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2645" tabRatio="648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Batting!$D$65</definedName>
    <definedName name="FantasyPlayerCount">'Fantasy Teams'!$H$93</definedName>
    <definedName name="Fifties">15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Batting!$E$65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Bowling!$A$1:$AR$34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7" r:id="rId12"/>
  </pivotCaches>
</workbook>
</file>

<file path=xl/calcChain.xml><?xml version="1.0" encoding="utf-8"?>
<calcChain xmlns="http://schemas.openxmlformats.org/spreadsheetml/2006/main">
  <c r="A75" i="3" l="1"/>
  <c r="O3" i="1"/>
  <c r="P3" i="1"/>
  <c r="C34" i="1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P35" i="2" l="1" a="1"/>
  <c r="CP35" i="2" s="1"/>
  <c r="CO35" i="2" a="1"/>
  <c r="CO35" i="2" s="1"/>
  <c r="CP16" i="3"/>
  <c r="CF20" i="3"/>
  <c r="CH23" i="3"/>
  <c r="CJ26" i="3"/>
  <c r="CN29" i="3"/>
  <c r="CI15" i="3"/>
  <c r="CO18" i="3"/>
  <c r="CQ21" i="3"/>
  <c r="CE25" i="3"/>
  <c r="CI28" i="3"/>
  <c r="AI104" i="3"/>
  <c r="S104" i="3"/>
  <c r="AR103" i="3"/>
  <c r="AB103" i="3"/>
  <c r="L103" i="3"/>
  <c r="AK102" i="3"/>
  <c r="U102" i="3"/>
  <c r="E102" i="3"/>
  <c r="AD101" i="3"/>
  <c r="N101" i="3"/>
  <c r="AM100" i="3"/>
  <c r="W100" i="3"/>
  <c r="G100" i="3"/>
  <c r="AF99" i="3"/>
  <c r="P99" i="3"/>
  <c r="AO98" i="3"/>
  <c r="Y98" i="3"/>
  <c r="I98" i="3"/>
  <c r="AH97" i="3"/>
  <c r="CP17" i="3"/>
  <c r="CF21" i="3"/>
  <c r="CH24" i="3"/>
  <c r="CJ27" i="3"/>
  <c r="CN30" i="3"/>
  <c r="CI16" i="3"/>
  <c r="CO19" i="3"/>
  <c r="CQ22" i="3"/>
  <c r="CE26" i="3"/>
  <c r="CE30" i="3"/>
  <c r="AD104" i="3"/>
  <c r="N104" i="3"/>
  <c r="AM103" i="3"/>
  <c r="W103" i="3"/>
  <c r="G103" i="3"/>
  <c r="AF102" i="3"/>
  <c r="P102" i="3"/>
  <c r="AO101" i="3"/>
  <c r="Y101" i="3"/>
  <c r="I101" i="3"/>
  <c r="AH100" i="3"/>
  <c r="R100" i="3"/>
  <c r="AQ99" i="3"/>
  <c r="AA99" i="3"/>
  <c r="K99" i="3"/>
  <c r="AJ98" i="3"/>
  <c r="T98" i="3"/>
  <c r="D98" i="3"/>
  <c r="CN15" i="3"/>
  <c r="CF22" i="3"/>
  <c r="CJ28" i="3"/>
  <c r="CI17" i="3"/>
  <c r="CQ23" i="3"/>
  <c r="AO104" i="3"/>
  <c r="I104" i="3"/>
  <c r="R103" i="3"/>
  <c r="AA102" i="3"/>
  <c r="AJ101" i="3"/>
  <c r="D101" i="3"/>
  <c r="M100" i="3"/>
  <c r="V99" i="3"/>
  <c r="AE98" i="3"/>
  <c r="AN97" i="3"/>
  <c r="T97" i="3"/>
  <c r="D97" i="3"/>
  <c r="AC96" i="3"/>
  <c r="M96" i="3"/>
  <c r="AL95" i="3"/>
  <c r="V95" i="3"/>
  <c r="F95" i="3"/>
  <c r="AE94" i="3"/>
  <c r="O94" i="3"/>
  <c r="AN93" i="3"/>
  <c r="CF19" i="3"/>
  <c r="CJ25" i="3"/>
  <c r="CG30" i="3"/>
  <c r="CQ20" i="3"/>
  <c r="CG27" i="3"/>
  <c r="X104" i="3"/>
  <c r="AG103" i="3"/>
  <c r="AP102" i="3"/>
  <c r="J102" i="3"/>
  <c r="S101" i="3"/>
  <c r="AB100" i="3"/>
  <c r="AK99" i="3"/>
  <c r="E99" i="3"/>
  <c r="N98" i="3"/>
  <c r="AA97" i="3"/>
  <c r="K97" i="3"/>
  <c r="AJ96" i="3"/>
  <c r="T96" i="3"/>
  <c r="D96" i="3"/>
  <c r="AC95" i="3"/>
  <c r="M95" i="3"/>
  <c r="AL94" i="3"/>
  <c r="V94" i="3"/>
  <c r="F94" i="3"/>
  <c r="AE93" i="3"/>
  <c r="O93" i="3"/>
  <c r="AN92" i="3"/>
  <c r="X92" i="3"/>
  <c r="H92" i="3"/>
  <c r="AG91" i="3"/>
  <c r="Q91" i="3"/>
  <c r="AP90" i="3"/>
  <c r="Z90" i="3"/>
  <c r="J90" i="3"/>
  <c r="AI89" i="3"/>
  <c r="CF18" i="3"/>
  <c r="CJ24" i="3"/>
  <c r="CP30" i="3"/>
  <c r="CQ19" i="3"/>
  <c r="CG26" i="3"/>
  <c r="AC104" i="3"/>
  <c r="AL103" i="3"/>
  <c r="F103" i="3"/>
  <c r="O102" i="3"/>
  <c r="CN17" i="3"/>
  <c r="CP20" i="3"/>
  <c r="CF24" i="3"/>
  <c r="CH27" i="3"/>
  <c r="CJ30" i="3"/>
  <c r="CG16" i="3"/>
  <c r="CI19" i="3"/>
  <c r="CO22" i="3"/>
  <c r="CQ25" i="3"/>
  <c r="CQ29" i="3"/>
  <c r="AE104" i="3"/>
  <c r="O104" i="3"/>
  <c r="AN103" i="3"/>
  <c r="X103" i="3"/>
  <c r="H103" i="3"/>
  <c r="AG102" i="3"/>
  <c r="Q102" i="3"/>
  <c r="AP101" i="3"/>
  <c r="Z101" i="3"/>
  <c r="J101" i="3"/>
  <c r="AI100" i="3"/>
  <c r="S100" i="3"/>
  <c r="AR99" i="3"/>
  <c r="AB99" i="3"/>
  <c r="L99" i="3"/>
  <c r="AK98" i="3"/>
  <c r="U98" i="3"/>
  <c r="E98" i="3"/>
  <c r="CJ15" i="3"/>
  <c r="CN18" i="3"/>
  <c r="CP21" i="3"/>
  <c r="CF25" i="3"/>
  <c r="CH28" i="3"/>
  <c r="CG29" i="3"/>
  <c r="CG17" i="3"/>
  <c r="CI20" i="3"/>
  <c r="CO23" i="3"/>
  <c r="CQ26" i="3"/>
  <c r="AP104" i="3"/>
  <c r="Z104" i="3"/>
  <c r="J104" i="3"/>
  <c r="AI103" i="3"/>
  <c r="S103" i="3"/>
  <c r="AR102" i="3"/>
  <c r="AB102" i="3"/>
  <c r="L102" i="3"/>
  <c r="AK101" i="3"/>
  <c r="U101" i="3"/>
  <c r="E101" i="3"/>
  <c r="AD100" i="3"/>
  <c r="N100" i="3"/>
  <c r="AM99" i="3"/>
  <c r="W99" i="3"/>
  <c r="G99" i="3"/>
  <c r="AF98" i="3"/>
  <c r="P98" i="3"/>
  <c r="AO97" i="3"/>
  <c r="CH17" i="3"/>
  <c r="CN23" i="3"/>
  <c r="CF30" i="3"/>
  <c r="CE19" i="3"/>
  <c r="CI25" i="3"/>
  <c r="AG104" i="3"/>
  <c r="AP103" i="3"/>
  <c r="J103" i="3"/>
  <c r="S102" i="3"/>
  <c r="AB101" i="3"/>
  <c r="AK100" i="3"/>
  <c r="E100" i="3"/>
  <c r="N99" i="3"/>
  <c r="W98" i="3"/>
  <c r="AF97" i="3"/>
  <c r="P97" i="3"/>
  <c r="AO96" i="3"/>
  <c r="Y96" i="3"/>
  <c r="I96" i="3"/>
  <c r="AH95" i="3"/>
  <c r="R95" i="3"/>
  <c r="AQ94" i="3"/>
  <c r="AA94" i="3"/>
  <c r="K94" i="3"/>
  <c r="AJ93" i="3"/>
  <c r="CN20" i="3"/>
  <c r="CF27" i="3"/>
  <c r="CE16" i="3"/>
  <c r="CI22" i="3"/>
  <c r="CI29" i="3"/>
  <c r="P104" i="3"/>
  <c r="Y103" i="3"/>
  <c r="AH102" i="3"/>
  <c r="AQ101" i="3"/>
  <c r="K101" i="3"/>
  <c r="T100" i="3"/>
  <c r="AC99" i="3"/>
  <c r="AL98" i="3"/>
  <c r="F98" i="3"/>
  <c r="W97" i="3"/>
  <c r="G97" i="3"/>
  <c r="AF96" i="3"/>
  <c r="P96" i="3"/>
  <c r="AO95" i="3"/>
  <c r="Y95" i="3"/>
  <c r="I95" i="3"/>
  <c r="AH94" i="3"/>
  <c r="R94" i="3"/>
  <c r="AQ93" i="3"/>
  <c r="AA93" i="3"/>
  <c r="K93" i="3"/>
  <c r="AJ92" i="3"/>
  <c r="T92" i="3"/>
  <c r="D92" i="3"/>
  <c r="AC91" i="3"/>
  <c r="M91" i="3"/>
  <c r="AL90" i="3"/>
  <c r="V90" i="3"/>
  <c r="F90" i="3"/>
  <c r="AE89" i="3"/>
  <c r="CN19" i="3"/>
  <c r="CF26" i="3"/>
  <c r="CE15" i="3"/>
  <c r="CI21" i="3"/>
  <c r="CQ27" i="3"/>
  <c r="U104" i="3"/>
  <c r="AD103" i="3"/>
  <c r="AM102" i="3"/>
  <c r="G102" i="3"/>
  <c r="P101" i="3"/>
  <c r="CH15" i="3"/>
  <c r="CJ18" i="3"/>
  <c r="CN21" i="3"/>
  <c r="CP24" i="3"/>
  <c r="CF28" i="3"/>
  <c r="CO28" i="3"/>
  <c r="CE17" i="3"/>
  <c r="CG20" i="3"/>
  <c r="CI23" i="3"/>
  <c r="CO26" i="3"/>
  <c r="AQ104" i="3"/>
  <c r="AA104" i="3"/>
  <c r="K104" i="3"/>
  <c r="AJ103" i="3"/>
  <c r="T103" i="3"/>
  <c r="D103" i="3"/>
  <c r="AC102" i="3"/>
  <c r="M102" i="3"/>
  <c r="AL101" i="3"/>
  <c r="V101" i="3"/>
  <c r="F101" i="3"/>
  <c r="AE100" i="3"/>
  <c r="O100" i="3"/>
  <c r="AN99" i="3"/>
  <c r="X99" i="3"/>
  <c r="H99" i="3"/>
  <c r="AG98" i="3"/>
  <c r="Q98" i="3"/>
  <c r="AP97" i="3"/>
  <c r="CH16" i="3"/>
  <c r="CJ19" i="3"/>
  <c r="CN22" i="3"/>
  <c r="CP25" i="3"/>
  <c r="CF29" i="3"/>
  <c r="CO30" i="3"/>
  <c r="CE18" i="3"/>
  <c r="CG21" i="3"/>
  <c r="CI24" i="3"/>
  <c r="CO27" i="3"/>
  <c r="AL104" i="3"/>
  <c r="V104" i="3"/>
  <c r="F104" i="3"/>
  <c r="AE103" i="3"/>
  <c r="O103" i="3"/>
  <c r="AN102" i="3"/>
  <c r="X102" i="3"/>
  <c r="H102" i="3"/>
  <c r="AG101" i="3"/>
  <c r="Q101" i="3"/>
  <c r="AP100" i="3"/>
  <c r="Z100" i="3"/>
  <c r="J100" i="3"/>
  <c r="AI99" i="3"/>
  <c r="S99" i="3"/>
  <c r="AR98" i="3"/>
  <c r="AB98" i="3"/>
  <c r="L98" i="3"/>
  <c r="AK97" i="3"/>
  <c r="CP18" i="3"/>
  <c r="CH25" i="3"/>
  <c r="CO29" i="3"/>
  <c r="CO20" i="3"/>
  <c r="CE27" i="3"/>
  <c r="Y104" i="3"/>
  <c r="AH103" i="3"/>
  <c r="AQ102" i="3"/>
  <c r="K102" i="3"/>
  <c r="T101" i="3"/>
  <c r="AC100" i="3"/>
  <c r="AL99" i="3"/>
  <c r="F99" i="3"/>
  <c r="O98" i="3"/>
  <c r="AB97" i="3"/>
  <c r="L97" i="3"/>
  <c r="AK96" i="3"/>
  <c r="U96" i="3"/>
  <c r="E96" i="3"/>
  <c r="AD95" i="3"/>
  <c r="N95" i="3"/>
  <c r="AM94" i="3"/>
  <c r="W94" i="3"/>
  <c r="G94" i="3"/>
  <c r="CP15" i="3"/>
  <c r="CH22" i="3"/>
  <c r="CN28" i="3"/>
  <c r="CO17" i="3"/>
  <c r="CE24" i="3"/>
  <c r="AN104" i="3"/>
  <c r="H104" i="3"/>
  <c r="Q103" i="3"/>
  <c r="Z102" i="3"/>
  <c r="AI101" i="3"/>
  <c r="AR100" i="3"/>
  <c r="L100" i="3"/>
  <c r="U99" i="3"/>
  <c r="AD98" i="3"/>
  <c r="AM97" i="3"/>
  <c r="S97" i="3"/>
  <c r="AR96" i="3"/>
  <c r="AB96" i="3"/>
  <c r="L96" i="3"/>
  <c r="AK95" i="3"/>
  <c r="U95" i="3"/>
  <c r="E95" i="3"/>
  <c r="AD94" i="3"/>
  <c r="N94" i="3"/>
  <c r="AM93" i="3"/>
  <c r="W93" i="3"/>
  <c r="G93" i="3"/>
  <c r="AF92" i="3"/>
  <c r="P92" i="3"/>
  <c r="AO91" i="3"/>
  <c r="Y91" i="3"/>
  <c r="I91" i="3"/>
  <c r="AH90" i="3"/>
  <c r="R90" i="3"/>
  <c r="AQ89" i="3"/>
  <c r="AA89" i="3"/>
  <c r="CH21" i="3"/>
  <c r="CN27" i="3"/>
  <c r="CO16" i="3"/>
  <c r="CE23" i="3"/>
  <c r="CQ30" i="3"/>
  <c r="M104" i="3"/>
  <c r="V103" i="3"/>
  <c r="AE102" i="3"/>
  <c r="AN101" i="3"/>
  <c r="CH19" i="3"/>
  <c r="CI30" i="3"/>
  <c r="CI27" i="3"/>
  <c r="AF103" i="3"/>
  <c r="I102" i="3"/>
  <c r="AA100" i="3"/>
  <c r="D99" i="3"/>
  <c r="CF17" i="3"/>
  <c r="CP29" i="3"/>
  <c r="CG25" i="3"/>
  <c r="AQ103" i="3"/>
  <c r="T102" i="3"/>
  <c r="AL100" i="3"/>
  <c r="O99" i="3"/>
  <c r="AG97" i="3"/>
  <c r="CG22" i="3"/>
  <c r="AI102" i="3"/>
  <c r="AD99" i="3"/>
  <c r="H97" i="3"/>
  <c r="Z95" i="3"/>
  <c r="AR93" i="3"/>
  <c r="CG19" i="3"/>
  <c r="I103" i="3"/>
  <c r="D100" i="3"/>
  <c r="O97" i="3"/>
  <c r="AG95" i="3"/>
  <c r="J94" i="3"/>
  <c r="AB92" i="3"/>
  <c r="E91" i="3"/>
  <c r="CJ16" i="3"/>
  <c r="CO24" i="3"/>
  <c r="W102" i="3"/>
  <c r="AO100" i="3"/>
  <c r="I100" i="3"/>
  <c r="R99" i="3"/>
  <c r="AA98" i="3"/>
  <c r="AJ97" i="3"/>
  <c r="R97" i="3"/>
  <c r="AQ96" i="3"/>
  <c r="AA96" i="3"/>
  <c r="K96" i="3"/>
  <c r="AJ95" i="3"/>
  <c r="T95" i="3"/>
  <c r="D95" i="3"/>
  <c r="AC94" i="3"/>
  <c r="M94" i="3"/>
  <c r="AL93" i="3"/>
  <c r="V93" i="3"/>
  <c r="F93" i="3"/>
  <c r="AE92" i="3"/>
  <c r="O92" i="3"/>
  <c r="AN91" i="3"/>
  <c r="X91" i="3"/>
  <c r="CP19" i="3"/>
  <c r="CE28" i="3"/>
  <c r="F102" i="3"/>
  <c r="AP98" i="3"/>
  <c r="CF15" i="3"/>
  <c r="CG23" i="3"/>
  <c r="AD102" i="3"/>
  <c r="Y99" i="3"/>
  <c r="E97" i="3"/>
  <c r="W95" i="3"/>
  <c r="AO93" i="3"/>
  <c r="E93" i="3"/>
  <c r="N92" i="3"/>
  <c r="W91" i="3"/>
  <c r="AM90" i="3"/>
  <c r="Q90" i="3"/>
  <c r="AK89" i="3"/>
  <c r="R89" i="3"/>
  <c r="AQ88" i="3"/>
  <c r="AA88" i="3"/>
  <c r="K88" i="3"/>
  <c r="AJ87" i="3"/>
  <c r="T87" i="3"/>
  <c r="D87" i="3"/>
  <c r="AC86" i="3"/>
  <c r="M86" i="3"/>
  <c r="AL85" i="3"/>
  <c r="V85" i="3"/>
  <c r="F85" i="3"/>
  <c r="AE84" i="3"/>
  <c r="O84" i="3"/>
  <c r="AN83" i="3"/>
  <c r="X83" i="3"/>
  <c r="H83" i="3"/>
  <c r="AG82" i="3"/>
  <c r="Q82" i="3"/>
  <c r="AP81" i="3"/>
  <c r="Z81" i="3"/>
  <c r="J81" i="3"/>
  <c r="AI80" i="3"/>
  <c r="S80" i="3"/>
  <c r="AR79" i="3"/>
  <c r="AB79" i="3"/>
  <c r="L79" i="3"/>
  <c r="AK78" i="3"/>
  <c r="U78" i="3"/>
  <c r="E78" i="3"/>
  <c r="AD77" i="3"/>
  <c r="N77" i="3"/>
  <c r="AM76" i="3"/>
  <c r="W76" i="3"/>
  <c r="G76" i="3"/>
  <c r="S75" i="3"/>
  <c r="AB75" i="3"/>
  <c r="C83" i="3"/>
  <c r="C88" i="3"/>
  <c r="CN16" i="3"/>
  <c r="CQ24" i="3"/>
  <c r="V102" i="3"/>
  <c r="Q99" i="3"/>
  <c r="AP96" i="3"/>
  <c r="S95" i="3"/>
  <c r="AK93" i="3"/>
  <c r="D93" i="3"/>
  <c r="M92" i="3"/>
  <c r="V91" i="3"/>
  <c r="AK90" i="3"/>
  <c r="P90" i="3"/>
  <c r="AJ89" i="3"/>
  <c r="Q89" i="3"/>
  <c r="AP88" i="3"/>
  <c r="Z88" i="3"/>
  <c r="J88" i="3"/>
  <c r="AI87" i="3"/>
  <c r="CJ22" i="3"/>
  <c r="CQ17" i="3"/>
  <c r="AM104" i="3"/>
  <c r="P103" i="3"/>
  <c r="AH101" i="3"/>
  <c r="K100" i="3"/>
  <c r="AC98" i="3"/>
  <c r="CH20" i="3"/>
  <c r="CO15" i="3"/>
  <c r="CQ28" i="3"/>
  <c r="AA103" i="3"/>
  <c r="D102" i="3"/>
  <c r="V100" i="3"/>
  <c r="AN98" i="3"/>
  <c r="CJ20" i="3"/>
  <c r="CE29" i="3"/>
  <c r="AR101" i="3"/>
  <c r="AM98" i="3"/>
  <c r="AG96" i="3"/>
  <c r="J95" i="3"/>
  <c r="CJ17" i="3"/>
  <c r="CO25" i="3"/>
  <c r="R102" i="3"/>
  <c r="M99" i="3"/>
  <c r="AN96" i="3"/>
  <c r="Q95" i="3"/>
  <c r="AI93" i="3"/>
  <c r="L92" i="3"/>
  <c r="AD90" i="3"/>
  <c r="CP22" i="3"/>
  <c r="AK104" i="3"/>
  <c r="AF101" i="3"/>
  <c r="AG100" i="3"/>
  <c r="AP99" i="3"/>
  <c r="J99" i="3"/>
  <c r="S98" i="3"/>
  <c r="AD97" i="3"/>
  <c r="N97" i="3"/>
  <c r="AM96" i="3"/>
  <c r="W96" i="3"/>
  <c r="G96" i="3"/>
  <c r="AF95" i="3"/>
  <c r="P95" i="3"/>
  <c r="AO94" i="3"/>
  <c r="Y94" i="3"/>
  <c r="I94" i="3"/>
  <c r="AH93" i="3"/>
  <c r="R93" i="3"/>
  <c r="AQ92" i="3"/>
  <c r="AA92" i="3"/>
  <c r="K92" i="3"/>
  <c r="AJ91" i="3"/>
  <c r="T91" i="3"/>
  <c r="CH26" i="3"/>
  <c r="T104" i="3"/>
  <c r="O101" i="3"/>
  <c r="J98" i="3"/>
  <c r="CJ21" i="3"/>
  <c r="AR104" i="3"/>
  <c r="AM101" i="3"/>
  <c r="AH98" i="3"/>
  <c r="AD96" i="3"/>
  <c r="G95" i="3"/>
  <c r="AC93" i="3"/>
  <c r="AL92" i="3"/>
  <c r="F92" i="3"/>
  <c r="O91" i="3"/>
  <c r="AG90" i="3"/>
  <c r="L90" i="3"/>
  <c r="AF89" i="3"/>
  <c r="N89" i="3"/>
  <c r="AM88" i="3"/>
  <c r="W88" i="3"/>
  <c r="G88" i="3"/>
  <c r="AF87" i="3"/>
  <c r="P87" i="3"/>
  <c r="AO86" i="3"/>
  <c r="Y86" i="3"/>
  <c r="I86" i="3"/>
  <c r="AH85" i="3"/>
  <c r="R85" i="3"/>
  <c r="AQ84" i="3"/>
  <c r="AA84" i="3"/>
  <c r="K84" i="3"/>
  <c r="AJ83" i="3"/>
  <c r="T83" i="3"/>
  <c r="D83" i="3"/>
  <c r="AC82" i="3"/>
  <c r="M82" i="3"/>
  <c r="AL81" i="3"/>
  <c r="V81" i="3"/>
  <c r="F81" i="3"/>
  <c r="AE80" i="3"/>
  <c r="O80" i="3"/>
  <c r="AN79" i="3"/>
  <c r="X79" i="3"/>
  <c r="H79" i="3"/>
  <c r="AG78" i="3"/>
  <c r="Q78" i="3"/>
  <c r="AP77" i="3"/>
  <c r="Z77" i="3"/>
  <c r="J77" i="3"/>
  <c r="AI76" i="3"/>
  <c r="S76" i="3"/>
  <c r="AQ75" i="3"/>
  <c r="K75" i="3"/>
  <c r="T75" i="3"/>
  <c r="C91" i="3"/>
  <c r="C96" i="3"/>
  <c r="CF23" i="3"/>
  <c r="AJ104" i="3"/>
  <c r="AE101" i="3"/>
  <c r="Z98" i="3"/>
  <c r="Z96" i="3"/>
  <c r="AR94" i="3"/>
  <c r="AB93" i="3"/>
  <c r="AK92" i="3"/>
  <c r="E92" i="3"/>
  <c r="N91" i="3"/>
  <c r="AF90" i="3"/>
  <c r="K90" i="3"/>
  <c r="AD89" i="3"/>
  <c r="M89" i="3"/>
  <c r="AL88" i="3"/>
  <c r="V88" i="3"/>
  <c r="F88" i="3"/>
  <c r="AE87" i="3"/>
  <c r="CN25" i="3"/>
  <c r="CE21" i="3"/>
  <c r="W104" i="3"/>
  <c r="AO102" i="3"/>
  <c r="R101" i="3"/>
  <c r="AJ99" i="3"/>
  <c r="M98" i="3"/>
  <c r="CJ23" i="3"/>
  <c r="CQ18" i="3"/>
  <c r="AH104" i="3"/>
  <c r="K103" i="3"/>
  <c r="AC101" i="3"/>
  <c r="F100" i="3"/>
  <c r="X98" i="3"/>
  <c r="CP26" i="3"/>
  <c r="Q104" i="3"/>
  <c r="L101" i="3"/>
  <c r="G98" i="3"/>
  <c r="Q96" i="3"/>
  <c r="AI94" i="3"/>
  <c r="CP23" i="3"/>
  <c r="AF104" i="3"/>
  <c r="AA101" i="3"/>
  <c r="V98" i="3"/>
  <c r="X96" i="3"/>
  <c r="AP94" i="3"/>
  <c r="S93" i="3"/>
  <c r="AK91" i="3"/>
  <c r="N90" i="3"/>
  <c r="CH29" i="3"/>
  <c r="E104" i="3"/>
  <c r="X101" i="3"/>
  <c r="Y100" i="3"/>
  <c r="AH99" i="3"/>
  <c r="AQ98" i="3"/>
  <c r="K98" i="3"/>
  <c r="Z97" i="3"/>
  <c r="J97" i="3"/>
  <c r="AI96" i="3"/>
  <c r="S96" i="3"/>
  <c r="AR95" i="3"/>
  <c r="AB95" i="3"/>
  <c r="L95" i="3"/>
  <c r="AK94" i="3"/>
  <c r="U94" i="3"/>
  <c r="E94" i="3"/>
  <c r="AD93" i="3"/>
  <c r="N93" i="3"/>
  <c r="AM92" i="3"/>
  <c r="W92" i="3"/>
  <c r="G92" i="3"/>
  <c r="AF91" i="3"/>
  <c r="P91" i="3"/>
  <c r="CG15" i="3"/>
  <c r="AC103" i="3"/>
  <c r="X100" i="3"/>
  <c r="Y97" i="3"/>
  <c r="CP27" i="3"/>
  <c r="L104" i="3"/>
  <c r="G101" i="3"/>
  <c r="AQ97" i="3"/>
  <c r="N96" i="3"/>
  <c r="AF94" i="3"/>
  <c r="U93" i="3"/>
  <c r="AD92" i="3"/>
  <c r="AM91" i="3"/>
  <c r="H91" i="3"/>
  <c r="AB90" i="3"/>
  <c r="G90" i="3"/>
  <c r="Z89" i="3"/>
  <c r="J89" i="3"/>
  <c r="AI88" i="3"/>
  <c r="S88" i="3"/>
  <c r="AR87" i="3"/>
  <c r="AB87" i="3"/>
  <c r="L87" i="3"/>
  <c r="AK86" i="3"/>
  <c r="U86" i="3"/>
  <c r="E86" i="3"/>
  <c r="AD85" i="3"/>
  <c r="N85" i="3"/>
  <c r="AM84" i="3"/>
  <c r="W84" i="3"/>
  <c r="G84" i="3"/>
  <c r="AF83" i="3"/>
  <c r="P83" i="3"/>
  <c r="AO82" i="3"/>
  <c r="Y82" i="3"/>
  <c r="I82" i="3"/>
  <c r="AH81" i="3"/>
  <c r="R81" i="3"/>
  <c r="AQ80" i="3"/>
  <c r="AA80" i="3"/>
  <c r="K80" i="3"/>
  <c r="AJ79" i="3"/>
  <c r="T79" i="3"/>
  <c r="D79" i="3"/>
  <c r="AC78" i="3"/>
  <c r="M78" i="3"/>
  <c r="AL77" i="3"/>
  <c r="V77" i="3"/>
  <c r="F77" i="3"/>
  <c r="AE76" i="3"/>
  <c r="O76" i="3"/>
  <c r="AI75" i="3"/>
  <c r="AR75" i="3"/>
  <c r="L75" i="3"/>
  <c r="C99" i="3"/>
  <c r="C104" i="3"/>
  <c r="CJ29" i="3"/>
  <c r="D104" i="3"/>
  <c r="AN100" i="3"/>
  <c r="AI97" i="3"/>
  <c r="J96" i="3"/>
  <c r="AB94" i="3"/>
  <c r="T93" i="3"/>
  <c r="AC92" i="3"/>
  <c r="AL91" i="3"/>
  <c r="G91" i="3"/>
  <c r="AA90" i="3"/>
  <c r="E90" i="3"/>
  <c r="Y89" i="3"/>
  <c r="I89" i="3"/>
  <c r="AH88" i="3"/>
  <c r="R88" i="3"/>
  <c r="AQ87" i="3"/>
  <c r="AA87" i="3"/>
  <c r="CF16" i="3"/>
  <c r="Y102" i="3"/>
  <c r="CN26" i="3"/>
  <c r="M101" i="3"/>
  <c r="Z103" i="3"/>
  <c r="S94" i="3"/>
  <c r="AE97" i="3"/>
  <c r="U91" i="3"/>
  <c r="H101" i="3"/>
  <c r="AR97" i="3"/>
  <c r="O96" i="3"/>
  <c r="AG94" i="3"/>
  <c r="J93" i="3"/>
  <c r="AB91" i="3"/>
  <c r="AG99" i="3"/>
  <c r="P100" i="3"/>
  <c r="M93" i="3"/>
  <c r="W90" i="3"/>
  <c r="AE88" i="3"/>
  <c r="H87" i="3"/>
  <c r="Z85" i="3"/>
  <c r="AR83" i="3"/>
  <c r="U82" i="3"/>
  <c r="AM80" i="3"/>
  <c r="P79" i="3"/>
  <c r="AH77" i="3"/>
  <c r="K76" i="3"/>
  <c r="C80" i="3"/>
  <c r="H100" i="3"/>
  <c r="L93" i="3"/>
  <c r="U90" i="3"/>
  <c r="AD88" i="3"/>
  <c r="S87" i="3"/>
  <c r="AR86" i="3"/>
  <c r="AB86" i="3"/>
  <c r="L86" i="3"/>
  <c r="AK85" i="3"/>
  <c r="U85" i="3"/>
  <c r="E85" i="3"/>
  <c r="AD84" i="3"/>
  <c r="N84" i="3"/>
  <c r="AM83" i="3"/>
  <c r="W83" i="3"/>
  <c r="G83" i="3"/>
  <c r="AF82" i="3"/>
  <c r="P82" i="3"/>
  <c r="AO81" i="3"/>
  <c r="Y81" i="3"/>
  <c r="I81" i="3"/>
  <c r="AH80" i="3"/>
  <c r="R80" i="3"/>
  <c r="AQ79" i="3"/>
  <c r="AA79" i="3"/>
  <c r="K79" i="3"/>
  <c r="AJ78" i="3"/>
  <c r="T78" i="3"/>
  <c r="D78" i="3"/>
  <c r="AC77" i="3"/>
  <c r="M77" i="3"/>
  <c r="AL76" i="3"/>
  <c r="V76" i="3"/>
  <c r="F76" i="3"/>
  <c r="Q75" i="3"/>
  <c r="Z75" i="3"/>
  <c r="C85" i="3"/>
  <c r="C90" i="3"/>
  <c r="AK73" i="3"/>
  <c r="U73" i="3"/>
  <c r="E73" i="3"/>
  <c r="AD72" i="3"/>
  <c r="N72" i="3"/>
  <c r="CG28" i="3"/>
  <c r="AK103" i="3"/>
  <c r="AF100" i="3"/>
  <c r="AC97" i="3"/>
  <c r="F96" i="3"/>
  <c r="X94" i="3"/>
  <c r="Q93" i="3"/>
  <c r="Z92" i="3"/>
  <c r="AI91" i="3"/>
  <c r="F91" i="3"/>
  <c r="Y90" i="3"/>
  <c r="D90" i="3"/>
  <c r="X89" i="3"/>
  <c r="H89" i="3"/>
  <c r="AG88" i="3"/>
  <c r="Q88" i="3"/>
  <c r="AP87" i="3"/>
  <c r="Z87" i="3"/>
  <c r="J87" i="3"/>
  <c r="AI86" i="3"/>
  <c r="S86" i="3"/>
  <c r="AR85" i="3"/>
  <c r="AB85" i="3"/>
  <c r="L85" i="3"/>
  <c r="AK84" i="3"/>
  <c r="U84" i="3"/>
  <c r="E84" i="3"/>
  <c r="AD83" i="3"/>
  <c r="N83" i="3"/>
  <c r="AM82" i="3"/>
  <c r="W82" i="3"/>
  <c r="G82" i="3"/>
  <c r="AO92" i="3"/>
  <c r="M90" i="3"/>
  <c r="X88" i="3"/>
  <c r="AP86" i="3"/>
  <c r="S85" i="3"/>
  <c r="AK83" i="3"/>
  <c r="N82" i="3"/>
  <c r="S81" i="3"/>
  <c r="AB80" i="3"/>
  <c r="AK79" i="3"/>
  <c r="E79" i="3"/>
  <c r="N78" i="3"/>
  <c r="W77" i="3"/>
  <c r="AF76" i="3"/>
  <c r="AK75" i="3"/>
  <c r="N75" i="3"/>
  <c r="C102" i="3"/>
  <c r="W73" i="3"/>
  <c r="AQ72" i="3"/>
  <c r="U72" i="3"/>
  <c r="AQ71" i="3"/>
  <c r="AA71" i="3"/>
  <c r="K71" i="3"/>
  <c r="AJ70" i="3"/>
  <c r="T70" i="3"/>
  <c r="D70" i="3"/>
  <c r="AC69" i="3"/>
  <c r="M69" i="3"/>
  <c r="AL68" i="3"/>
  <c r="V68" i="3"/>
  <c r="F68" i="3"/>
  <c r="R96" i="3"/>
  <c r="AP91" i="3"/>
  <c r="AB89" i="3"/>
  <c r="D88" i="3"/>
  <c r="V86" i="3"/>
  <c r="AN84" i="3"/>
  <c r="Q83" i="3"/>
  <c r="AN81" i="3"/>
  <c r="H81" i="3"/>
  <c r="Q80" i="3"/>
  <c r="Z79" i="3"/>
  <c r="AI78" i="3"/>
  <c r="AR77" i="3"/>
  <c r="L77" i="3"/>
  <c r="U76" i="3"/>
  <c r="O75" i="3"/>
  <c r="C87" i="3"/>
  <c r="AL73" i="3"/>
  <c r="P73" i="3"/>
  <c r="AJ72" i="3"/>
  <c r="O72" i="3"/>
  <c r="AL71" i="3"/>
  <c r="V71" i="3"/>
  <c r="F71" i="3"/>
  <c r="AE70" i="3"/>
  <c r="O70" i="3"/>
  <c r="AN69" i="3"/>
  <c r="X69" i="3"/>
  <c r="H69" i="3"/>
  <c r="AG68" i="3"/>
  <c r="Q68" i="3"/>
  <c r="AP67" i="3"/>
  <c r="Y92" i="3"/>
  <c r="AR89" i="3"/>
  <c r="P88" i="3"/>
  <c r="AH86" i="3"/>
  <c r="K85" i="3"/>
  <c r="AC83" i="3"/>
  <c r="F82" i="3"/>
  <c r="O81" i="3"/>
  <c r="X80" i="3"/>
  <c r="AG79" i="3"/>
  <c r="AP78" i="3"/>
  <c r="J78" i="3"/>
  <c r="S77" i="3"/>
  <c r="AB76" i="3"/>
  <c r="AC75" i="3"/>
  <c r="F75" i="3"/>
  <c r="AQ73" i="3"/>
  <c r="T73" i="3"/>
  <c r="AN72" i="3"/>
  <c r="S72" i="3"/>
  <c r="AO71" i="3"/>
  <c r="Y71" i="3"/>
  <c r="I71" i="3"/>
  <c r="AH70" i="3"/>
  <c r="R70" i="3"/>
  <c r="AQ69" i="3"/>
  <c r="AA69" i="3"/>
  <c r="K69" i="3"/>
  <c r="AJ68" i="3"/>
  <c r="Q92" i="3"/>
  <c r="AL89" i="3"/>
  <c r="L88" i="3"/>
  <c r="AD86" i="3"/>
  <c r="G85" i="3"/>
  <c r="Y83" i="3"/>
  <c r="AR81" i="3"/>
  <c r="L81" i="3"/>
  <c r="CP28" i="3"/>
  <c r="AQ100" i="3"/>
  <c r="CE22" i="3"/>
  <c r="AE99" i="3"/>
  <c r="U100" i="3"/>
  <c r="CH30" i="3"/>
  <c r="H96" i="3"/>
  <c r="AM89" i="3"/>
  <c r="Q100" i="3"/>
  <c r="V97" i="3"/>
  <c r="AN95" i="3"/>
  <c r="Q94" i="3"/>
  <c r="AI92" i="3"/>
  <c r="L91" i="3"/>
  <c r="I97" i="3"/>
  <c r="U97" i="3"/>
  <c r="V92" i="3"/>
  <c r="CG24" i="3"/>
  <c r="T99" i="3"/>
  <c r="R104" i="3"/>
  <c r="H98" i="3"/>
  <c r="X97" i="3"/>
  <c r="AO103" i="3"/>
  <c r="Z94" i="3"/>
  <c r="CG18" i="3"/>
  <c r="Z99" i="3"/>
  <c r="F97" i="3"/>
  <c r="X95" i="3"/>
  <c r="AP93" i="3"/>
  <c r="S92" i="3"/>
  <c r="CO21" i="3"/>
  <c r="CQ16" i="3"/>
  <c r="AM95" i="3"/>
  <c r="AE91" i="3"/>
  <c r="V89" i="3"/>
  <c r="AN87" i="3"/>
  <c r="Q86" i="3"/>
  <c r="AI84" i="3"/>
  <c r="L83" i="3"/>
  <c r="AD81" i="3"/>
  <c r="G80" i="3"/>
  <c r="Y78" i="3"/>
  <c r="AQ76" i="3"/>
  <c r="AJ75" i="3"/>
  <c r="CI18" i="3"/>
  <c r="AI95" i="3"/>
  <c r="AD91" i="3"/>
  <c r="U89" i="3"/>
  <c r="AM87" i="3"/>
  <c r="K87" i="3"/>
  <c r="AJ86" i="3"/>
  <c r="T86" i="3"/>
  <c r="D86" i="3"/>
  <c r="AC85" i="3"/>
  <c r="M85" i="3"/>
  <c r="AL84" i="3"/>
  <c r="V84" i="3"/>
  <c r="F84" i="3"/>
  <c r="AE83" i="3"/>
  <c r="O83" i="3"/>
  <c r="AN82" i="3"/>
  <c r="X82" i="3"/>
  <c r="H82" i="3"/>
  <c r="AG81" i="3"/>
  <c r="Q81" i="3"/>
  <c r="AP80" i="3"/>
  <c r="Z80" i="3"/>
  <c r="J80" i="3"/>
  <c r="AI79" i="3"/>
  <c r="S79" i="3"/>
  <c r="AR78" i="3"/>
  <c r="AB78" i="3"/>
  <c r="L78" i="3"/>
  <c r="AK77" i="3"/>
  <c r="U77" i="3"/>
  <c r="E77" i="3"/>
  <c r="AD76" i="3"/>
  <c r="N76" i="3"/>
  <c r="AG75" i="3"/>
  <c r="AP75" i="3"/>
  <c r="J75" i="3"/>
  <c r="C103" i="3"/>
  <c r="C101" i="3"/>
  <c r="AC73" i="3"/>
  <c r="M73" i="3"/>
  <c r="AL72" i="3"/>
  <c r="V72" i="3"/>
  <c r="CH18" i="3"/>
  <c r="CI26" i="3"/>
  <c r="N102" i="3"/>
  <c r="I99" i="3"/>
  <c r="AL96" i="3"/>
  <c r="O95" i="3"/>
  <c r="AG93" i="3"/>
  <c r="AP92" i="3"/>
  <c r="J92" i="3"/>
  <c r="S91" i="3"/>
  <c r="AJ90" i="3"/>
  <c r="O90" i="3"/>
  <c r="AH89" i="3"/>
  <c r="P89" i="3"/>
  <c r="AO88" i="3"/>
  <c r="Y88" i="3"/>
  <c r="I88" i="3"/>
  <c r="AH87" i="3"/>
  <c r="R87" i="3"/>
  <c r="AQ86" i="3"/>
  <c r="AA86" i="3"/>
  <c r="K86" i="3"/>
  <c r="AJ85" i="3"/>
  <c r="T85" i="3"/>
  <c r="D85" i="3"/>
  <c r="AC84" i="3"/>
  <c r="M84" i="3"/>
  <c r="AL83" i="3"/>
  <c r="V83" i="3"/>
  <c r="F83" i="3"/>
  <c r="AE82" i="3"/>
  <c r="O82" i="3"/>
  <c r="K95" i="3"/>
  <c r="R91" i="3"/>
  <c r="O89" i="3"/>
  <c r="AG87" i="3"/>
  <c r="J86" i="3"/>
  <c r="AB84" i="3"/>
  <c r="E83" i="3"/>
  <c r="AI81" i="3"/>
  <c r="AR80" i="3"/>
  <c r="L80" i="3"/>
  <c r="U79" i="3"/>
  <c r="AD78" i="3"/>
  <c r="AM77" i="3"/>
  <c r="G77" i="3"/>
  <c r="P76" i="3"/>
  <c r="E75" i="3"/>
  <c r="C97" i="3"/>
  <c r="AH73" i="3"/>
  <c r="L73" i="3"/>
  <c r="AF72" i="3"/>
  <c r="K72" i="3"/>
  <c r="AI71" i="3"/>
  <c r="S71" i="3"/>
  <c r="AR70" i="3"/>
  <c r="AB70" i="3"/>
  <c r="L70" i="3"/>
  <c r="AK69" i="3"/>
  <c r="U69" i="3"/>
  <c r="E69" i="3"/>
  <c r="AD68" i="3"/>
  <c r="N68" i="3"/>
  <c r="AM67" i="3"/>
  <c r="X93" i="3"/>
  <c r="AC90" i="3"/>
  <c r="AJ88" i="3"/>
  <c r="M87" i="3"/>
  <c r="AE85" i="3"/>
  <c r="H84" i="3"/>
  <c r="Z82" i="3"/>
  <c r="X81" i="3"/>
  <c r="AG80" i="3"/>
  <c r="AP79" i="3"/>
  <c r="J79" i="3"/>
  <c r="S78" i="3"/>
  <c r="AB77" i="3"/>
  <c r="AK76" i="3"/>
  <c r="E76" i="3"/>
  <c r="X75" i="3"/>
  <c r="C92" i="3"/>
  <c r="AA73" i="3"/>
  <c r="F73" i="3"/>
  <c r="Y72" i="3"/>
  <c r="E72" i="3"/>
  <c r="AD71" i="3"/>
  <c r="N71" i="3"/>
  <c r="AM70" i="3"/>
  <c r="W70" i="3"/>
  <c r="G70" i="3"/>
  <c r="AF69" i="3"/>
  <c r="P69" i="3"/>
  <c r="AO68" i="3"/>
  <c r="Y68" i="3"/>
  <c r="I68" i="3"/>
  <c r="T94" i="3"/>
  <c r="D91" i="3"/>
  <c r="G89" i="3"/>
  <c r="Y87" i="3"/>
  <c r="AQ85" i="3"/>
  <c r="T84" i="3"/>
  <c r="AL82" i="3"/>
  <c r="AE81" i="3"/>
  <c r="AN80" i="3"/>
  <c r="H80" i="3"/>
  <c r="Q79" i="3"/>
  <c r="Z78" i="3"/>
  <c r="AI77" i="3"/>
  <c r="AR76" i="3"/>
  <c r="L76" i="3"/>
  <c r="AL75" i="3"/>
  <c r="C78" i="3"/>
  <c r="AE73" i="3"/>
  <c r="J73" i="3"/>
  <c r="AC72" i="3"/>
  <c r="H72" i="3"/>
  <c r="AG71" i="3"/>
  <c r="Q71" i="3"/>
  <c r="AP70" i="3"/>
  <c r="Z70" i="3"/>
  <c r="J70" i="3"/>
  <c r="AI69" i="3"/>
  <c r="S69" i="3"/>
  <c r="AR68" i="3"/>
  <c r="D94" i="3"/>
  <c r="AN90" i="3"/>
  <c r="AR88" i="3"/>
  <c r="U87" i="3"/>
  <c r="AM85" i="3"/>
  <c r="P84" i="3"/>
  <c r="AH82" i="3"/>
  <c r="AB81" i="3"/>
  <c r="AK80" i="3"/>
  <c r="E80" i="3"/>
  <c r="N79" i="3"/>
  <c r="W78" i="3"/>
  <c r="AF77" i="3"/>
  <c r="AO76" i="3"/>
  <c r="I76" i="3"/>
  <c r="AF75" i="3"/>
  <c r="C84" i="3"/>
  <c r="AD73" i="3"/>
  <c r="H73" i="3"/>
  <c r="AB72" i="3"/>
  <c r="G72" i="3"/>
  <c r="AF71" i="3"/>
  <c r="P71" i="3"/>
  <c r="AO70" i="3"/>
  <c r="Y70" i="3"/>
  <c r="I70" i="3"/>
  <c r="AH69" i="3"/>
  <c r="R69" i="3"/>
  <c r="AQ68" i="3"/>
  <c r="AA68" i="3"/>
  <c r="K68" i="3"/>
  <c r="AB67" i="3"/>
  <c r="L67" i="3"/>
  <c r="AK66" i="3"/>
  <c r="U66" i="3"/>
  <c r="E66" i="3"/>
  <c r="AD65" i="3"/>
  <c r="N65" i="3"/>
  <c r="AM64" i="3"/>
  <c r="W64" i="3"/>
  <c r="G64" i="3"/>
  <c r="AF63" i="3"/>
  <c r="P63" i="3"/>
  <c r="AO62" i="3"/>
  <c r="Y62" i="3"/>
  <c r="I62" i="3"/>
  <c r="AH61" i="3"/>
  <c r="R61" i="3"/>
  <c r="AQ60" i="3"/>
  <c r="AA60" i="3"/>
  <c r="K60" i="3"/>
  <c r="AJ59" i="3"/>
  <c r="T59" i="3"/>
  <c r="D59" i="3"/>
  <c r="AC58" i="3"/>
  <c r="M58" i="3"/>
  <c r="AL57" i="3"/>
  <c r="V57" i="3"/>
  <c r="F57" i="3"/>
  <c r="AE56" i="3"/>
  <c r="O56" i="3"/>
  <c r="G104" i="3"/>
  <c r="AP95" i="3"/>
  <c r="AI98" i="3"/>
  <c r="AR91" i="3"/>
  <c r="AR90" i="3"/>
  <c r="X87" i="3"/>
  <c r="S84" i="3"/>
  <c r="N81" i="3"/>
  <c r="I78" i="3"/>
  <c r="D75" i="3"/>
  <c r="L94" i="3"/>
  <c r="E89" i="3"/>
  <c r="G87" i="3"/>
  <c r="P86" i="3"/>
  <c r="Y85" i="3"/>
  <c r="AH84" i="3"/>
  <c r="AQ83" i="3"/>
  <c r="K83" i="3"/>
  <c r="T82" i="3"/>
  <c r="AC81" i="3"/>
  <c r="AL80" i="3"/>
  <c r="F80" i="3"/>
  <c r="O79" i="3"/>
  <c r="X78" i="3"/>
  <c r="AG77" i="3"/>
  <c r="AP76" i="3"/>
  <c r="J76" i="3"/>
  <c r="AH75" i="3"/>
  <c r="C82" i="3"/>
  <c r="Y73" i="3"/>
  <c r="AH72" i="3"/>
  <c r="CN24" i="3"/>
  <c r="W101" i="3"/>
  <c r="V96" i="3"/>
  <c r="Y93" i="3"/>
  <c r="AQ91" i="3"/>
  <c r="AE90" i="3"/>
  <c r="AC89" i="3"/>
  <c r="AK88" i="3"/>
  <c r="E88" i="3"/>
  <c r="N87" i="3"/>
  <c r="W86" i="3"/>
  <c r="AF85" i="3"/>
  <c r="AO84" i="3"/>
  <c r="I84" i="3"/>
  <c r="R83" i="3"/>
  <c r="AA82" i="3"/>
  <c r="AF93" i="3"/>
  <c r="AN88" i="3"/>
  <c r="AI85" i="3"/>
  <c r="AD82" i="3"/>
  <c r="AJ80" i="3"/>
  <c r="M79" i="3"/>
  <c r="AE77" i="3"/>
  <c r="H76" i="3"/>
  <c r="C86" i="3"/>
  <c r="G73" i="3"/>
  <c r="F72" i="3"/>
  <c r="O71" i="3"/>
  <c r="X70" i="3"/>
  <c r="AG69" i="3"/>
  <c r="AP68" i="3"/>
  <c r="J68" i="3"/>
  <c r="AG92" i="3"/>
  <c r="T88" i="3"/>
  <c r="O85" i="3"/>
  <c r="J82" i="3"/>
  <c r="Y80" i="3"/>
  <c r="AQ78" i="3"/>
  <c r="T77" i="3"/>
  <c r="AE75" i="3"/>
  <c r="AR73" i="3"/>
  <c r="AO72" i="3"/>
  <c r="AP71" i="3"/>
  <c r="J71" i="3"/>
  <c r="S70" i="3"/>
  <c r="AB69" i="3"/>
  <c r="AK68" i="3"/>
  <c r="E68" i="3"/>
  <c r="X90" i="3"/>
  <c r="I87" i="3"/>
  <c r="D84" i="3"/>
  <c r="W81" i="3"/>
  <c r="AO79" i="3"/>
  <c r="R78" i="3"/>
  <c r="AJ76" i="3"/>
  <c r="V75" i="3"/>
  <c r="Z73" i="3"/>
  <c r="X72" i="3"/>
  <c r="AC71" i="3"/>
  <c r="AL70" i="3"/>
  <c r="F70" i="3"/>
  <c r="O69" i="3"/>
  <c r="H93" i="3"/>
  <c r="AB88" i="3"/>
  <c r="W85" i="3"/>
  <c r="R82" i="3"/>
  <c r="AC80" i="3"/>
  <c r="AD79" i="3"/>
  <c r="AE78" i="3"/>
  <c r="X77" i="3"/>
  <c r="Y76" i="3"/>
  <c r="G75" i="3"/>
  <c r="C100" i="3"/>
  <c r="S73" i="3"/>
  <c r="AG72" i="3"/>
  <c r="AR71" i="3"/>
  <c r="X71" i="3"/>
  <c r="D71" i="3"/>
  <c r="U70" i="3"/>
  <c r="AP69" i="3"/>
  <c r="V69" i="3"/>
  <c r="AM68" i="3"/>
  <c r="AF68" i="3"/>
  <c r="AF67" i="3"/>
  <c r="H67" i="3"/>
  <c r="AC66" i="3"/>
  <c r="I66" i="3"/>
  <c r="Z65" i="3"/>
  <c r="F65" i="3"/>
  <c r="AA64" i="3"/>
  <c r="AR63" i="3"/>
  <c r="X63" i="3"/>
  <c r="D63" i="3"/>
  <c r="U62" i="3"/>
  <c r="AP61" i="3"/>
  <c r="V61" i="3"/>
  <c r="AM60" i="3"/>
  <c r="S60" i="3"/>
  <c r="AN59" i="3"/>
  <c r="P59" i="3"/>
  <c r="AK58" i="3"/>
  <c r="Q58" i="3"/>
  <c r="AH57" i="3"/>
  <c r="N57" i="3"/>
  <c r="AI56" i="3"/>
  <c r="K56" i="3"/>
  <c r="AJ55" i="3"/>
  <c r="T55" i="3"/>
  <c r="D55" i="3"/>
  <c r="AC54" i="3"/>
  <c r="M54" i="3"/>
  <c r="AL53" i="3"/>
  <c r="V53" i="3"/>
  <c r="F53" i="3"/>
  <c r="AE52" i="3"/>
  <c r="O52" i="3"/>
  <c r="AN51" i="3"/>
  <c r="X51" i="3"/>
  <c r="H51" i="3"/>
  <c r="AG50" i="3"/>
  <c r="Q50" i="3"/>
  <c r="AP49" i="3"/>
  <c r="Z49" i="3"/>
  <c r="J49" i="3"/>
  <c r="AI48" i="3"/>
  <c r="S48" i="3"/>
  <c r="AR47" i="3"/>
  <c r="AB47" i="3"/>
  <c r="L47" i="3"/>
  <c r="AK46" i="3"/>
  <c r="U46" i="3"/>
  <c r="E46" i="3"/>
  <c r="AD45" i="3"/>
  <c r="N45" i="3"/>
  <c r="AM44" i="3"/>
  <c r="W44" i="3"/>
  <c r="G44" i="3"/>
  <c r="C57" i="3"/>
  <c r="AB68" i="3"/>
  <c r="AJ67" i="3"/>
  <c r="S67" i="3"/>
  <c r="AR66" i="3"/>
  <c r="AB66" i="3"/>
  <c r="L66" i="3"/>
  <c r="AK65" i="3"/>
  <c r="U65" i="3"/>
  <c r="E65" i="3"/>
  <c r="AD64" i="3"/>
  <c r="N64" i="3"/>
  <c r="AM63" i="3"/>
  <c r="W63" i="3"/>
  <c r="G63" i="3"/>
  <c r="AF62" i="3"/>
  <c r="P62" i="3"/>
  <c r="AO61" i="3"/>
  <c r="Y61" i="3"/>
  <c r="I61" i="3"/>
  <c r="AH60" i="3"/>
  <c r="R60" i="3"/>
  <c r="AQ59" i="3"/>
  <c r="AA59" i="3"/>
  <c r="K59" i="3"/>
  <c r="AJ58" i="3"/>
  <c r="T58" i="3"/>
  <c r="D58" i="3"/>
  <c r="AC57" i="3"/>
  <c r="M57" i="3"/>
  <c r="AL56" i="3"/>
  <c r="V56" i="3"/>
  <c r="F56" i="3"/>
  <c r="AE55" i="3"/>
  <c r="O55" i="3"/>
  <c r="AN54" i="3"/>
  <c r="X54" i="3"/>
  <c r="H54" i="3"/>
  <c r="AG53" i="3"/>
  <c r="Q53" i="3"/>
  <c r="AP52" i="3"/>
  <c r="Z52" i="3"/>
  <c r="J52" i="3"/>
  <c r="AI51" i="3"/>
  <c r="S51" i="3"/>
  <c r="AR50" i="3"/>
  <c r="AB50" i="3"/>
  <c r="L50" i="3"/>
  <c r="AK49" i="3"/>
  <c r="U49" i="3"/>
  <c r="E49" i="3"/>
  <c r="AD48" i="3"/>
  <c r="N48" i="3"/>
  <c r="AM47" i="3"/>
  <c r="W47" i="3"/>
  <c r="G47" i="3"/>
  <c r="AF46" i="3"/>
  <c r="P46" i="3"/>
  <c r="AO45" i="3"/>
  <c r="Y45" i="3"/>
  <c r="I45" i="3"/>
  <c r="AH44" i="3"/>
  <c r="R44" i="3"/>
  <c r="C46" i="3"/>
  <c r="C62" i="3"/>
  <c r="G68" i="3"/>
  <c r="Z67" i="3"/>
  <c r="J67" i="3"/>
  <c r="AI66" i="3"/>
  <c r="S66" i="3"/>
  <c r="AR65" i="3"/>
  <c r="AB65" i="3"/>
  <c r="L65" i="3"/>
  <c r="AK64" i="3"/>
  <c r="U64" i="3"/>
  <c r="E64" i="3"/>
  <c r="AD63" i="3"/>
  <c r="N63" i="3"/>
  <c r="AM62" i="3"/>
  <c r="W62" i="3"/>
  <c r="G62" i="3"/>
  <c r="AF61" i="3"/>
  <c r="P61" i="3"/>
  <c r="AO60" i="3"/>
  <c r="Y60" i="3"/>
  <c r="I60" i="3"/>
  <c r="AH59" i="3"/>
  <c r="AL97" i="3"/>
  <c r="AJ100" i="3"/>
  <c r="AE96" i="3"/>
  <c r="AL102" i="3"/>
  <c r="AP89" i="3"/>
  <c r="AG86" i="3"/>
  <c r="AB83" i="3"/>
  <c r="W80" i="3"/>
  <c r="R77" i="3"/>
  <c r="AP73" i="3"/>
  <c r="U92" i="3"/>
  <c r="N88" i="3"/>
  <c r="AN86" i="3"/>
  <c r="H86" i="3"/>
  <c r="Q85" i="3"/>
  <c r="Z84" i="3"/>
  <c r="AI83" i="3"/>
  <c r="AR82" i="3"/>
  <c r="L82" i="3"/>
  <c r="U81" i="3"/>
  <c r="AD80" i="3"/>
  <c r="AM79" i="3"/>
  <c r="G79" i="3"/>
  <c r="P78" i="3"/>
  <c r="Y77" i="3"/>
  <c r="AH76" i="3"/>
  <c r="AO75" i="3"/>
  <c r="R75" i="3"/>
  <c r="C98" i="3"/>
  <c r="Q73" i="3"/>
  <c r="Z72" i="3"/>
  <c r="CE20" i="3"/>
  <c r="AO99" i="3"/>
  <c r="AE95" i="3"/>
  <c r="I93" i="3"/>
  <c r="AA91" i="3"/>
  <c r="T90" i="3"/>
  <c r="T89" i="3"/>
  <c r="AC88" i="3"/>
  <c r="AL87" i="3"/>
  <c r="F87" i="3"/>
  <c r="O86" i="3"/>
  <c r="X85" i="3"/>
  <c r="AG84" i="3"/>
  <c r="AP83" i="3"/>
  <c r="J83" i="3"/>
  <c r="S82" i="3"/>
  <c r="I92" i="3"/>
  <c r="H88" i="3"/>
  <c r="AR84" i="3"/>
  <c r="AQ81" i="3"/>
  <c r="T80" i="3"/>
  <c r="AL78" i="3"/>
  <c r="O77" i="3"/>
  <c r="U75" i="3"/>
  <c r="AM73" i="3"/>
  <c r="AK72" i="3"/>
  <c r="AM71" i="3"/>
  <c r="G71" i="3"/>
  <c r="P70" i="3"/>
  <c r="Y69" i="3"/>
  <c r="AH68" i="3"/>
  <c r="AQ67" i="3"/>
  <c r="J91" i="3"/>
  <c r="AC87" i="3"/>
  <c r="X84" i="3"/>
  <c r="AF81" i="3"/>
  <c r="I80" i="3"/>
  <c r="AA78" i="3"/>
  <c r="D77" i="3"/>
  <c r="AN75" i="3"/>
  <c r="AF73" i="3"/>
  <c r="AE72" i="3"/>
  <c r="AH71" i="3"/>
  <c r="AQ70" i="3"/>
  <c r="K70" i="3"/>
  <c r="T69" i="3"/>
  <c r="AC68" i="3"/>
  <c r="AQ95" i="3"/>
  <c r="W89" i="3"/>
  <c r="R86" i="3"/>
  <c r="M83" i="3"/>
  <c r="G81" i="3"/>
  <c r="Y79" i="3"/>
  <c r="AQ77" i="3"/>
  <c r="T76" i="3"/>
  <c r="C89" i="3"/>
  <c r="O73" i="3"/>
  <c r="M72" i="3"/>
  <c r="U71" i="3"/>
  <c r="AD70" i="3"/>
  <c r="AM69" i="3"/>
  <c r="G69" i="3"/>
  <c r="Z91" i="3"/>
  <c r="AK87" i="3"/>
  <c r="AF84" i="3"/>
  <c r="AJ81" i="3"/>
  <c r="U80" i="3"/>
  <c r="V79" i="3"/>
  <c r="O78" i="3"/>
  <c r="P77" i="3"/>
  <c r="Q76" i="3"/>
  <c r="P75" i="3"/>
  <c r="AN73" i="3"/>
  <c r="N73" i="3"/>
  <c r="W72" i="3"/>
  <c r="AN71" i="3"/>
  <c r="T71" i="3"/>
  <c r="AK70" i="3"/>
  <c r="Q70" i="3"/>
  <c r="AL69" i="3"/>
  <c r="N69" i="3"/>
  <c r="AI68" i="3"/>
  <c r="S68" i="3"/>
  <c r="X67" i="3"/>
  <c r="D67" i="3"/>
  <c r="Y66" i="3"/>
  <c r="AP65" i="3"/>
  <c r="V65" i="3"/>
  <c r="AQ64" i="3"/>
  <c r="S64" i="3"/>
  <c r="AN63" i="3"/>
  <c r="T63" i="3"/>
  <c r="AK62" i="3"/>
  <c r="Q62" i="3"/>
  <c r="AL61" i="3"/>
  <c r="N61" i="3"/>
  <c r="AI60" i="3"/>
  <c r="O60" i="3"/>
  <c r="AF59" i="3"/>
  <c r="L59" i="3"/>
  <c r="AG58" i="3"/>
  <c r="I58" i="3"/>
  <c r="AD57" i="3"/>
  <c r="J57" i="3"/>
  <c r="AA56" i="3"/>
  <c r="G56" i="3"/>
  <c r="AF55" i="3"/>
  <c r="P55" i="3"/>
  <c r="AO54" i="3"/>
  <c r="Y54" i="3"/>
  <c r="I54" i="3"/>
  <c r="AH53" i="3"/>
  <c r="R53" i="3"/>
  <c r="AQ52" i="3"/>
  <c r="AA52" i="3"/>
  <c r="K52" i="3"/>
  <c r="AJ51" i="3"/>
  <c r="T51" i="3"/>
  <c r="D51" i="3"/>
  <c r="AC50" i="3"/>
  <c r="M50" i="3"/>
  <c r="AL49" i="3"/>
  <c r="V49" i="3"/>
  <c r="F49" i="3"/>
  <c r="AE48" i="3"/>
  <c r="O48" i="3"/>
  <c r="AN47" i="3"/>
  <c r="X47" i="3"/>
  <c r="H47" i="3"/>
  <c r="AG46" i="3"/>
  <c r="Q46" i="3"/>
  <c r="AP45" i="3"/>
  <c r="Z45" i="3"/>
  <c r="J45" i="3"/>
  <c r="AI44" i="3"/>
  <c r="S44" i="3"/>
  <c r="C45" i="3"/>
  <c r="C61" i="3"/>
  <c r="P68" i="3"/>
  <c r="AE67" i="3"/>
  <c r="O67" i="3"/>
  <c r="AN66" i="3"/>
  <c r="X66" i="3"/>
  <c r="H66" i="3"/>
  <c r="AG65" i="3"/>
  <c r="Q65" i="3"/>
  <c r="AP64" i="3"/>
  <c r="Z64" i="3"/>
  <c r="J64" i="3"/>
  <c r="AI63" i="3"/>
  <c r="S63" i="3"/>
  <c r="AR62" i="3"/>
  <c r="AB62" i="3"/>
  <c r="L62" i="3"/>
  <c r="AK61" i="3"/>
  <c r="U61" i="3"/>
  <c r="E61" i="3"/>
  <c r="AD60" i="3"/>
  <c r="N60" i="3"/>
  <c r="AM59" i="3"/>
  <c r="W59" i="3"/>
  <c r="G59" i="3"/>
  <c r="AF58" i="3"/>
  <c r="P58" i="3"/>
  <c r="AO57" i="3"/>
  <c r="Y57" i="3"/>
  <c r="I57" i="3"/>
  <c r="AH56" i="3"/>
  <c r="R56" i="3"/>
  <c r="AQ55" i="3"/>
  <c r="AA55" i="3"/>
  <c r="K55" i="3"/>
  <c r="AJ54" i="3"/>
  <c r="T54" i="3"/>
  <c r="D54" i="3"/>
  <c r="AC53" i="3"/>
  <c r="M53" i="3"/>
  <c r="AL52" i="3"/>
  <c r="V52" i="3"/>
  <c r="F52" i="3"/>
  <c r="AE51" i="3"/>
  <c r="O51" i="3"/>
  <c r="AN50" i="3"/>
  <c r="X50" i="3"/>
  <c r="H50" i="3"/>
  <c r="AG49" i="3"/>
  <c r="Q49" i="3"/>
  <c r="AP48" i="3"/>
  <c r="Z48" i="3"/>
  <c r="J48" i="3"/>
  <c r="AI47" i="3"/>
  <c r="S47" i="3"/>
  <c r="AR46" i="3"/>
  <c r="AB46" i="3"/>
  <c r="L46" i="3"/>
  <c r="AK45" i="3"/>
  <c r="U45" i="3"/>
  <c r="E45" i="3"/>
  <c r="AD44" i="3"/>
  <c r="N44" i="3"/>
  <c r="C50" i="3"/>
  <c r="C66" i="3"/>
  <c r="AN67" i="3"/>
  <c r="V67" i="3"/>
  <c r="F67" i="3"/>
  <c r="AE66" i="3"/>
  <c r="O66" i="3"/>
  <c r="AN65" i="3"/>
  <c r="X65" i="3"/>
  <c r="H65" i="3"/>
  <c r="AG64" i="3"/>
  <c r="Q64" i="3"/>
  <c r="AP63" i="3"/>
  <c r="Z63" i="3"/>
  <c r="AJ102" i="3"/>
  <c r="H95" i="3"/>
  <c r="F89" i="3"/>
  <c r="AK82" i="3"/>
  <c r="AA76" i="3"/>
  <c r="AQ90" i="3"/>
  <c r="AF86" i="3"/>
  <c r="I85" i="3"/>
  <c r="AA83" i="3"/>
  <c r="D82" i="3"/>
  <c r="V80" i="3"/>
  <c r="AN78" i="3"/>
  <c r="Q77" i="3"/>
  <c r="Y75" i="3"/>
  <c r="AO73" i="3"/>
  <c r="R72" i="3"/>
  <c r="R98" i="3"/>
  <c r="AH92" i="3"/>
  <c r="I90" i="3"/>
  <c r="U88" i="3"/>
  <c r="AM86" i="3"/>
  <c r="P85" i="3"/>
  <c r="AH83" i="3"/>
  <c r="K82" i="3"/>
  <c r="Q87" i="3"/>
  <c r="AA81" i="3"/>
  <c r="V78" i="3"/>
  <c r="AD75" i="3"/>
  <c r="AA72" i="3"/>
  <c r="AN70" i="3"/>
  <c r="Q69" i="3"/>
  <c r="AI67" i="3"/>
  <c r="AL86" i="3"/>
  <c r="P81" i="3"/>
  <c r="K78" i="3"/>
  <c r="H75" i="3"/>
  <c r="T72" i="3"/>
  <c r="AI70" i="3"/>
  <c r="L69" i="3"/>
  <c r="P93" i="3"/>
  <c r="AA85" i="3"/>
  <c r="AF80" i="3"/>
  <c r="AA77" i="3"/>
  <c r="C94" i="3"/>
  <c r="D72" i="3"/>
  <c r="V70" i="3"/>
  <c r="AN68" i="3"/>
  <c r="E87" i="3"/>
  <c r="T81" i="3"/>
  <c r="F79" i="3"/>
  <c r="H77" i="3"/>
  <c r="C79" i="3"/>
  <c r="AR72" i="3"/>
  <c r="AJ71" i="3"/>
  <c r="AG70" i="3"/>
  <c r="AD69" i="3"/>
  <c r="AE68" i="3"/>
  <c r="T67" i="3"/>
  <c r="Q66" i="3"/>
  <c r="R65" i="3"/>
  <c r="O64" i="3"/>
  <c r="L63" i="3"/>
  <c r="M62" i="3"/>
  <c r="J61" i="3"/>
  <c r="G60" i="3"/>
  <c r="H59" i="3"/>
  <c r="E58" i="3"/>
  <c r="AQ56" i="3"/>
  <c r="AR55" i="3"/>
  <c r="L55" i="3"/>
  <c r="U54" i="3"/>
  <c r="AD53" i="3"/>
  <c r="AM52" i="3"/>
  <c r="G52" i="3"/>
  <c r="P51" i="3"/>
  <c r="Y50" i="3"/>
  <c r="AH49" i="3"/>
  <c r="AQ48" i="3"/>
  <c r="K48" i="3"/>
  <c r="T47" i="3"/>
  <c r="AC46" i="3"/>
  <c r="AL45" i="3"/>
  <c r="F45" i="3"/>
  <c r="O44" i="3"/>
  <c r="C65" i="3"/>
  <c r="AA67" i="3"/>
  <c r="AJ66" i="3"/>
  <c r="D66" i="3"/>
  <c r="M65" i="3"/>
  <c r="V64" i="3"/>
  <c r="AE63" i="3"/>
  <c r="AN62" i="3"/>
  <c r="H62" i="3"/>
  <c r="Q61" i="3"/>
  <c r="Z60" i="3"/>
  <c r="AI59" i="3"/>
  <c r="AR58" i="3"/>
  <c r="L58" i="3"/>
  <c r="U57" i="3"/>
  <c r="AD56" i="3"/>
  <c r="AM55" i="3"/>
  <c r="G55" i="3"/>
  <c r="P54" i="3"/>
  <c r="Y53" i="3"/>
  <c r="AH52" i="3"/>
  <c r="AQ51" i="3"/>
  <c r="K51" i="3"/>
  <c r="T50" i="3"/>
  <c r="AC49" i="3"/>
  <c r="AL48" i="3"/>
  <c r="F48" i="3"/>
  <c r="O47" i="3"/>
  <c r="X46" i="3"/>
  <c r="AG45" i="3"/>
  <c r="AP44" i="3"/>
  <c r="J44" i="3"/>
  <c r="X68" i="3"/>
  <c r="R67" i="3"/>
  <c r="AA66" i="3"/>
  <c r="AJ65" i="3"/>
  <c r="D65" i="3"/>
  <c r="M64" i="3"/>
  <c r="V63" i="3"/>
  <c r="AQ62" i="3"/>
  <c r="S62" i="3"/>
  <c r="AN61" i="3"/>
  <c r="T61" i="3"/>
  <c r="AK60" i="3"/>
  <c r="Q60" i="3"/>
  <c r="AL59" i="3"/>
  <c r="R59" i="3"/>
  <c r="AQ58" i="3"/>
  <c r="AA58" i="3"/>
  <c r="K58" i="3"/>
  <c r="AJ57" i="3"/>
  <c r="T57" i="3"/>
  <c r="D57" i="3"/>
  <c r="AC56" i="3"/>
  <c r="M56" i="3"/>
  <c r="AL55" i="3"/>
  <c r="V55" i="3"/>
  <c r="F55" i="3"/>
  <c r="AE54" i="3"/>
  <c r="O54" i="3"/>
  <c r="AN53" i="3"/>
  <c r="X53" i="3"/>
  <c r="H53" i="3"/>
  <c r="AG52" i="3"/>
  <c r="Q52" i="3"/>
  <c r="AP51" i="3"/>
  <c r="Z51" i="3"/>
  <c r="J51" i="3"/>
  <c r="AI50" i="3"/>
  <c r="S50" i="3"/>
  <c r="AR49" i="3"/>
  <c r="AB49" i="3"/>
  <c r="L49" i="3"/>
  <c r="AK48" i="3"/>
  <c r="U48" i="3"/>
  <c r="E48" i="3"/>
  <c r="AD47" i="3"/>
  <c r="N47" i="3"/>
  <c r="AM46" i="3"/>
  <c r="W46" i="3"/>
  <c r="G46" i="3"/>
  <c r="AF45" i="3"/>
  <c r="P45" i="3"/>
  <c r="AO44" i="3"/>
  <c r="Y44" i="3"/>
  <c r="T68" i="3"/>
  <c r="AG67" i="3"/>
  <c r="Q67" i="3"/>
  <c r="AP66" i="3"/>
  <c r="Z66" i="3"/>
  <c r="J66" i="3"/>
  <c r="AI65" i="3"/>
  <c r="S65" i="3"/>
  <c r="AR64" i="3"/>
  <c r="AB64" i="3"/>
  <c r="L64" i="3"/>
  <c r="AK63" i="3"/>
  <c r="U63" i="3"/>
  <c r="E63" i="3"/>
  <c r="AD62" i="3"/>
  <c r="N62" i="3"/>
  <c r="AM61" i="3"/>
  <c r="W61" i="3"/>
  <c r="G61" i="3"/>
  <c r="AF60" i="3"/>
  <c r="P60" i="3"/>
  <c r="AO59" i="3"/>
  <c r="Y59" i="3"/>
  <c r="I59" i="3"/>
  <c r="AH58" i="3"/>
  <c r="R58" i="3"/>
  <c r="AQ57" i="3"/>
  <c r="AA57" i="3"/>
  <c r="K57" i="3"/>
  <c r="AJ56" i="3"/>
  <c r="T56" i="3"/>
  <c r="D56" i="3"/>
  <c r="AC55" i="3"/>
  <c r="M55" i="3"/>
  <c r="AL54" i="3"/>
  <c r="V54" i="3"/>
  <c r="F54" i="3"/>
  <c r="AE53" i="3"/>
  <c r="O53" i="3"/>
  <c r="AN52" i="3"/>
  <c r="X52" i="3"/>
  <c r="H52" i="3"/>
  <c r="AG51" i="3"/>
  <c r="Q51" i="3"/>
  <c r="AP50" i="3"/>
  <c r="Z50" i="3"/>
  <c r="J50" i="3"/>
  <c r="AI49" i="3"/>
  <c r="S49" i="3"/>
  <c r="AR48" i="3"/>
  <c r="AB48" i="3"/>
  <c r="L48" i="3"/>
  <c r="AK47" i="3"/>
  <c r="U47" i="3"/>
  <c r="E47" i="3"/>
  <c r="AD46" i="3"/>
  <c r="N46" i="3"/>
  <c r="AM45" i="3"/>
  <c r="W45" i="3"/>
  <c r="G45" i="3"/>
  <c r="AF44" i="3"/>
  <c r="C52" i="3"/>
  <c r="W93" i="2"/>
  <c r="G93" i="2"/>
  <c r="N92" i="2"/>
  <c r="U91" i="2"/>
  <c r="E91" i="2"/>
  <c r="L90" i="2"/>
  <c r="S89" i="2"/>
  <c r="Z88" i="2"/>
  <c r="G88" i="2"/>
  <c r="M87" i="2"/>
  <c r="T86" i="2"/>
  <c r="D86" i="2"/>
  <c r="F85" i="2"/>
  <c r="I84" i="2"/>
  <c r="L83" i="2"/>
  <c r="R82" i="2"/>
  <c r="V81" i="2"/>
  <c r="Z80" i="2"/>
  <c r="Y79" i="2"/>
  <c r="S77" i="2"/>
  <c r="K74" i="2"/>
  <c r="W70" i="2"/>
  <c r="H67" i="2"/>
  <c r="Z62" i="2"/>
  <c r="X44" i="3"/>
  <c r="C63" i="3"/>
  <c r="CQ15" i="3"/>
  <c r="Z93" i="3"/>
  <c r="O88" i="3"/>
  <c r="E82" i="3"/>
  <c r="AA75" i="3"/>
  <c r="AO89" i="3"/>
  <c r="X86" i="3"/>
  <c r="AP84" i="3"/>
  <c r="S83" i="3"/>
  <c r="AK81" i="3"/>
  <c r="N80" i="3"/>
  <c r="AF78" i="3"/>
  <c r="I77" i="3"/>
  <c r="I75" i="3"/>
  <c r="AG73" i="3"/>
  <c r="J72" i="3"/>
  <c r="M97" i="3"/>
  <c r="R92" i="3"/>
  <c r="AN89" i="3"/>
  <c r="M88" i="3"/>
  <c r="AE86" i="3"/>
  <c r="H85" i="3"/>
  <c r="Z83" i="3"/>
  <c r="AH96" i="3"/>
  <c r="Z86" i="3"/>
  <c r="K81" i="3"/>
  <c r="F78" i="3"/>
  <c r="C81" i="3"/>
  <c r="P72" i="3"/>
  <c r="AF70" i="3"/>
  <c r="I69" i="3"/>
  <c r="AJ94" i="3"/>
  <c r="F86" i="3"/>
  <c r="AO80" i="3"/>
  <c r="AJ77" i="3"/>
  <c r="C76" i="3"/>
  <c r="I72" i="3"/>
  <c r="AA70" i="3"/>
  <c r="D69" i="3"/>
  <c r="AH91" i="3"/>
  <c r="AJ84" i="3"/>
  <c r="P80" i="3"/>
  <c r="K77" i="3"/>
  <c r="AJ73" i="3"/>
  <c r="AK71" i="3"/>
  <c r="N70" i="3"/>
  <c r="AA95" i="3"/>
  <c r="N86" i="3"/>
  <c r="D81" i="3"/>
  <c r="AM78" i="3"/>
  <c r="AG76" i="3"/>
  <c r="C95" i="3"/>
  <c r="AM72" i="3"/>
  <c r="AB71" i="3"/>
  <c r="AC70" i="3"/>
  <c r="Z69" i="3"/>
  <c r="W68" i="3"/>
  <c r="P67" i="3"/>
  <c r="M66" i="3"/>
  <c r="J65" i="3"/>
  <c r="K64" i="3"/>
  <c r="H63" i="3"/>
  <c r="E62" i="3"/>
  <c r="F61" i="3"/>
  <c r="AR59" i="3"/>
  <c r="AO58" i="3"/>
  <c r="AP57" i="3"/>
  <c r="AM56" i="3"/>
  <c r="AN55" i="3"/>
  <c r="H55" i="3"/>
  <c r="Q54" i="3"/>
  <c r="Z53" i="3"/>
  <c r="AI52" i="3"/>
  <c r="AR51" i="3"/>
  <c r="L51" i="3"/>
  <c r="U50" i="3"/>
  <c r="AD49" i="3"/>
  <c r="AM48" i="3"/>
  <c r="G48" i="3"/>
  <c r="P47" i="3"/>
  <c r="Y46" i="3"/>
  <c r="AH45" i="3"/>
  <c r="AQ44" i="3"/>
  <c r="K44" i="3"/>
  <c r="C69" i="3"/>
  <c r="W67" i="3"/>
  <c r="AF66" i="3"/>
  <c r="AO65" i="3"/>
  <c r="I65" i="3"/>
  <c r="R64" i="3"/>
  <c r="AA63" i="3"/>
  <c r="AJ62" i="3"/>
  <c r="D62" i="3"/>
  <c r="M61" i="3"/>
  <c r="V60" i="3"/>
  <c r="AE59" i="3"/>
  <c r="AN58" i="3"/>
  <c r="H58" i="3"/>
  <c r="Q57" i="3"/>
  <c r="Z56" i="3"/>
  <c r="AI55" i="3"/>
  <c r="AR54" i="3"/>
  <c r="L54" i="3"/>
  <c r="U53" i="3"/>
  <c r="AD52" i="3"/>
  <c r="AM51" i="3"/>
  <c r="G51" i="3"/>
  <c r="P50" i="3"/>
  <c r="Y49" i="3"/>
  <c r="AH48" i="3"/>
  <c r="AQ47" i="3"/>
  <c r="K47" i="3"/>
  <c r="T46" i="3"/>
  <c r="AC45" i="3"/>
  <c r="AL44" i="3"/>
  <c r="F44" i="3"/>
  <c r="O68" i="3"/>
  <c r="N67" i="3"/>
  <c r="W66" i="3"/>
  <c r="AF65" i="3"/>
  <c r="AO64" i="3"/>
  <c r="I64" i="3"/>
  <c r="R63" i="3"/>
  <c r="AI62" i="3"/>
  <c r="O62" i="3"/>
  <c r="AJ61" i="3"/>
  <c r="L61" i="3"/>
  <c r="AG60" i="3"/>
  <c r="M60" i="3"/>
  <c r="AD59" i="3"/>
  <c r="N59" i="3"/>
  <c r="AM58" i="3"/>
  <c r="W58" i="3"/>
  <c r="G58" i="3"/>
  <c r="AF57" i="3"/>
  <c r="P57" i="3"/>
  <c r="AO56" i="3"/>
  <c r="Y56" i="3"/>
  <c r="I56" i="3"/>
  <c r="AH55" i="3"/>
  <c r="R55" i="3"/>
  <c r="AQ54" i="3"/>
  <c r="AA54" i="3"/>
  <c r="K54" i="3"/>
  <c r="AJ53" i="3"/>
  <c r="T53" i="3"/>
  <c r="D53" i="3"/>
  <c r="AC52" i="3"/>
  <c r="M52" i="3"/>
  <c r="AL51" i="3"/>
  <c r="V51" i="3"/>
  <c r="F51" i="3"/>
  <c r="AE50" i="3"/>
  <c r="O50" i="3"/>
  <c r="AN49" i="3"/>
  <c r="X49" i="3"/>
  <c r="H49" i="3"/>
  <c r="AG48" i="3"/>
  <c r="Q48" i="3"/>
  <c r="AP47" i="3"/>
  <c r="Z47" i="3"/>
  <c r="J47" i="3"/>
  <c r="AI46" i="3"/>
  <c r="S46" i="3"/>
  <c r="AR45" i="3"/>
  <c r="AB45" i="3"/>
  <c r="L45" i="3"/>
  <c r="AK44" i="3"/>
  <c r="U44" i="3"/>
  <c r="L68" i="3"/>
  <c r="AC67" i="3"/>
  <c r="M67" i="3"/>
  <c r="AL66" i="3"/>
  <c r="V66" i="3"/>
  <c r="F66" i="3"/>
  <c r="AE65" i="3"/>
  <c r="O65" i="3"/>
  <c r="AN64" i="3"/>
  <c r="X64" i="3"/>
  <c r="H64" i="3"/>
  <c r="AG63" i="3"/>
  <c r="Q63" i="3"/>
  <c r="AP62" i="3"/>
  <c r="Z62" i="3"/>
  <c r="J62" i="3"/>
  <c r="AI61" i="3"/>
  <c r="S61" i="3"/>
  <c r="AR60" i="3"/>
  <c r="AB60" i="3"/>
  <c r="L60" i="3"/>
  <c r="AK59" i="3"/>
  <c r="U59" i="3"/>
  <c r="E59" i="3"/>
  <c r="AD58" i="3"/>
  <c r="N58" i="3"/>
  <c r="AM57" i="3"/>
  <c r="W57" i="3"/>
  <c r="G57" i="3"/>
  <c r="AF56" i="3"/>
  <c r="P56" i="3"/>
  <c r="AO55" i="3"/>
  <c r="Y55" i="3"/>
  <c r="I55" i="3"/>
  <c r="AH54" i="3"/>
  <c r="R54" i="3"/>
  <c r="AQ53" i="3"/>
  <c r="AA53" i="3"/>
  <c r="K53" i="3"/>
  <c r="AJ52" i="3"/>
  <c r="T52" i="3"/>
  <c r="D52" i="3"/>
  <c r="AC51" i="3"/>
  <c r="M51" i="3"/>
  <c r="AL50" i="3"/>
  <c r="V50" i="3"/>
  <c r="F50" i="3"/>
  <c r="AE49" i="3"/>
  <c r="O49" i="3"/>
  <c r="AN48" i="3"/>
  <c r="X48" i="3"/>
  <c r="H48" i="3"/>
  <c r="AG47" i="3"/>
  <c r="Q47" i="3"/>
  <c r="AP46" i="3"/>
  <c r="Z46" i="3"/>
  <c r="J46" i="3"/>
  <c r="AI45" i="3"/>
  <c r="S45" i="3"/>
  <c r="AR44" i="3"/>
  <c r="AB44" i="3"/>
  <c r="C60" i="3"/>
  <c r="S93" i="2"/>
  <c r="Z92" i="2"/>
  <c r="J92" i="2"/>
  <c r="Q91" i="2"/>
  <c r="X90" i="2"/>
  <c r="H90" i="2"/>
  <c r="O89" i="2"/>
  <c r="U88" i="2"/>
  <c r="Y87" i="2"/>
  <c r="I87" i="2"/>
  <c r="P86" i="2"/>
  <c r="V85" i="2"/>
  <c r="Y84" i="2"/>
  <c r="E84" i="2"/>
  <c r="H83" i="2"/>
  <c r="L82" i="2"/>
  <c r="R81" i="2"/>
  <c r="R80" i="2"/>
  <c r="Q79" i="2"/>
  <c r="F77" i="2"/>
  <c r="N73" i="2"/>
  <c r="G70" i="2"/>
  <c r="K66" i="2"/>
  <c r="Y61" i="2"/>
  <c r="AR92" i="3"/>
  <c r="AP85" i="3"/>
  <c r="M103" i="3"/>
  <c r="AO85" i="3"/>
  <c r="AJ82" i="3"/>
  <c r="AE79" i="3"/>
  <c r="Z76" i="3"/>
  <c r="I73" i="3"/>
  <c r="AN94" i="3"/>
  <c r="L89" i="3"/>
  <c r="G86" i="3"/>
  <c r="AQ82" i="3"/>
  <c r="L84" i="3"/>
  <c r="AN76" i="3"/>
  <c r="AE71" i="3"/>
  <c r="Z68" i="3"/>
  <c r="AG83" i="3"/>
  <c r="AC76" i="3"/>
  <c r="Z71" i="3"/>
  <c r="U68" i="3"/>
  <c r="V82" i="3"/>
  <c r="D76" i="3"/>
  <c r="M71" i="3"/>
  <c r="S90" i="3"/>
  <c r="M80" i="3"/>
  <c r="AM75" i="3"/>
  <c r="Q72" i="3"/>
  <c r="M70" i="3"/>
  <c r="AR67" i="3"/>
  <c r="AL65" i="3"/>
  <c r="AJ63" i="3"/>
  <c r="AD61" i="3"/>
  <c r="AB59" i="3"/>
  <c r="Z57" i="3"/>
  <c r="AB55" i="3"/>
  <c r="E54" i="3"/>
  <c r="W52" i="3"/>
  <c r="AO50" i="3"/>
  <c r="R49" i="3"/>
  <c r="AJ47" i="3"/>
  <c r="M46" i="3"/>
  <c r="AE44" i="3"/>
  <c r="H68" i="3"/>
  <c r="T66" i="3"/>
  <c r="AL64" i="3"/>
  <c r="O63" i="3"/>
  <c r="AG61" i="3"/>
  <c r="J60" i="3"/>
  <c r="AB58" i="3"/>
  <c r="E57" i="3"/>
  <c r="W55" i="3"/>
  <c r="AO53" i="3"/>
  <c r="R52" i="3"/>
  <c r="AJ50" i="3"/>
  <c r="M49" i="3"/>
  <c r="AE47" i="3"/>
  <c r="H46" i="3"/>
  <c r="Z44" i="3"/>
  <c r="AH67" i="3"/>
  <c r="K66" i="3"/>
  <c r="AC64" i="3"/>
  <c r="J63" i="3"/>
  <c r="K62" i="3"/>
  <c r="H61" i="3"/>
  <c r="E60" i="3"/>
  <c r="J59" i="3"/>
  <c r="S58" i="3"/>
  <c r="AB57" i="3"/>
  <c r="AK56" i="3"/>
  <c r="E56" i="3"/>
  <c r="N55" i="3"/>
  <c r="W54" i="3"/>
  <c r="AF53" i="3"/>
  <c r="AO52" i="3"/>
  <c r="I52" i="3"/>
  <c r="R51" i="3"/>
  <c r="AA50" i="3"/>
  <c r="AJ49" i="3"/>
  <c r="D49" i="3"/>
  <c r="M48" i="3"/>
  <c r="V47" i="3"/>
  <c r="AE46" i="3"/>
  <c r="AN45" i="3"/>
  <c r="H45" i="3"/>
  <c r="Q44" i="3"/>
  <c r="Y67" i="3"/>
  <c r="AH66" i="3"/>
  <c r="AQ65" i="3"/>
  <c r="K65" i="3"/>
  <c r="T64" i="3"/>
  <c r="AC63" i="3"/>
  <c r="AL62" i="3"/>
  <c r="F62" i="3"/>
  <c r="O61" i="3"/>
  <c r="X60" i="3"/>
  <c r="AG59" i="3"/>
  <c r="AP58" i="3"/>
  <c r="J58" i="3"/>
  <c r="S57" i="3"/>
  <c r="AB56" i="3"/>
  <c r="AK55" i="3"/>
  <c r="E55" i="3"/>
  <c r="N54" i="3"/>
  <c r="W53" i="3"/>
  <c r="AF52" i="3"/>
  <c r="AO51" i="3"/>
  <c r="I51" i="3"/>
  <c r="R50" i="3"/>
  <c r="AA49" i="3"/>
  <c r="AJ48" i="3"/>
  <c r="D48" i="3"/>
  <c r="M47" i="3"/>
  <c r="V46" i="3"/>
  <c r="AE45" i="3"/>
  <c r="AN44" i="3"/>
  <c r="C68" i="3"/>
  <c r="V92" i="2"/>
  <c r="M91" i="2"/>
  <c r="D90" i="2"/>
  <c r="P88" i="2"/>
  <c r="E87" i="2"/>
  <c r="R85" i="2"/>
  <c r="X83" i="2"/>
  <c r="H82" i="2"/>
  <c r="N80" i="2"/>
  <c r="E76" i="2"/>
  <c r="F69" i="2"/>
  <c r="T60" i="2"/>
  <c r="C55" i="3"/>
  <c r="R93" i="2"/>
  <c r="Y92" i="2"/>
  <c r="I92" i="2"/>
  <c r="P91" i="2"/>
  <c r="W90" i="2"/>
  <c r="G90" i="2"/>
  <c r="N89" i="2"/>
  <c r="S88" i="2"/>
  <c r="X87" i="2"/>
  <c r="H87" i="2"/>
  <c r="O86" i="2"/>
  <c r="U85" i="2"/>
  <c r="E85" i="2"/>
  <c r="L84" i="2"/>
  <c r="S83" i="2"/>
  <c r="Z82" i="2"/>
  <c r="G82" i="2"/>
  <c r="K81" i="2"/>
  <c r="Q80" i="2"/>
  <c r="X79" i="2"/>
  <c r="H79" i="2"/>
  <c r="O78" i="2"/>
  <c r="V77" i="2"/>
  <c r="E77" i="2"/>
  <c r="L76" i="2"/>
  <c r="S75" i="2"/>
  <c r="Z74" i="2"/>
  <c r="J74" i="2"/>
  <c r="Q73" i="2"/>
  <c r="X72" i="2"/>
  <c r="H72" i="2"/>
  <c r="O71" i="2"/>
  <c r="N103" i="3"/>
  <c r="J85" i="3"/>
  <c r="Q97" i="3"/>
  <c r="AG85" i="3"/>
  <c r="AB82" i="3"/>
  <c r="W79" i="3"/>
  <c r="R76" i="3"/>
  <c r="AP72" i="3"/>
  <c r="H94" i="3"/>
  <c r="D89" i="3"/>
  <c r="AN85" i="3"/>
  <c r="AI82" i="3"/>
  <c r="U83" i="3"/>
  <c r="X76" i="3"/>
  <c r="W71" i="3"/>
  <c r="R68" i="3"/>
  <c r="AP82" i="3"/>
  <c r="M76" i="3"/>
  <c r="R71" i="3"/>
  <c r="M68" i="3"/>
  <c r="AM81" i="3"/>
  <c r="M75" i="3"/>
  <c r="E71" i="3"/>
  <c r="S89" i="3"/>
  <c r="AL79" i="3"/>
  <c r="W75" i="3"/>
  <c r="L72" i="3"/>
  <c r="E70" i="3"/>
  <c r="AK67" i="3"/>
  <c r="AH65" i="3"/>
  <c r="AB63" i="3"/>
  <c r="Z61" i="3"/>
  <c r="X59" i="3"/>
  <c r="R57" i="3"/>
  <c r="X55" i="3"/>
  <c r="AP53" i="3"/>
  <c r="S52" i="3"/>
  <c r="AK50" i="3"/>
  <c r="N49" i="3"/>
  <c r="AF47" i="3"/>
  <c r="I46" i="3"/>
  <c r="AA44" i="3"/>
  <c r="AO67" i="3"/>
  <c r="P66" i="3"/>
  <c r="AH64" i="3"/>
  <c r="K63" i="3"/>
  <c r="AC61" i="3"/>
  <c r="F60" i="3"/>
  <c r="X58" i="3"/>
  <c r="AP56" i="3"/>
  <c r="S55" i="3"/>
  <c r="AK53" i="3"/>
  <c r="N52" i="3"/>
  <c r="AF50" i="3"/>
  <c r="I49" i="3"/>
  <c r="AA47" i="3"/>
  <c r="D46" i="3"/>
  <c r="V44" i="3"/>
  <c r="AD67" i="3"/>
  <c r="G66" i="3"/>
  <c r="Y64" i="3"/>
  <c r="F63" i="3"/>
  <c r="AR61" i="3"/>
  <c r="D61" i="3"/>
  <c r="AP59" i="3"/>
  <c r="F59" i="3"/>
  <c r="O58" i="3"/>
  <c r="X57" i="3"/>
  <c r="AG56" i="3"/>
  <c r="AP55" i="3"/>
  <c r="J55" i="3"/>
  <c r="S54" i="3"/>
  <c r="AB53" i="3"/>
  <c r="AK52" i="3"/>
  <c r="E52" i="3"/>
  <c r="N51" i="3"/>
  <c r="W50" i="3"/>
  <c r="AF49" i="3"/>
  <c r="AO48" i="3"/>
  <c r="I48" i="3"/>
  <c r="R47" i="3"/>
  <c r="AA46" i="3"/>
  <c r="AJ45" i="3"/>
  <c r="D45" i="3"/>
  <c r="M44" i="3"/>
  <c r="U67" i="3"/>
  <c r="AD66" i="3"/>
  <c r="AM65" i="3"/>
  <c r="G65" i="3"/>
  <c r="P64" i="3"/>
  <c r="Y63" i="3"/>
  <c r="AH62" i="3"/>
  <c r="AQ61" i="3"/>
  <c r="K61" i="3"/>
  <c r="T60" i="3"/>
  <c r="AC59" i="3"/>
  <c r="AL58" i="3"/>
  <c r="F58" i="3"/>
  <c r="O57" i="3"/>
  <c r="X56" i="3"/>
  <c r="AG55" i="3"/>
  <c r="AP54" i="3"/>
  <c r="J54" i="3"/>
  <c r="S53" i="3"/>
  <c r="AB52" i="3"/>
  <c r="AK51" i="3"/>
  <c r="E51" i="3"/>
  <c r="N50" i="3"/>
  <c r="W49" i="3"/>
  <c r="AF48" i="3"/>
  <c r="AO47" i="3"/>
  <c r="I47" i="3"/>
  <c r="R46" i="3"/>
  <c r="AA45" i="3"/>
  <c r="AJ44" i="3"/>
  <c r="C73" i="3"/>
  <c r="R92" i="2"/>
  <c r="I91" i="2"/>
  <c r="W89" i="2"/>
  <c r="K88" i="2"/>
  <c r="X86" i="2"/>
  <c r="N85" i="2"/>
  <c r="P83" i="2"/>
  <c r="D82" i="2"/>
  <c r="J80" i="2"/>
  <c r="L75" i="2"/>
  <c r="I68" i="2"/>
  <c r="O59" i="2"/>
  <c r="C70" i="3"/>
  <c r="N93" i="2"/>
  <c r="U92" i="2"/>
  <c r="E92" i="2"/>
  <c r="L91" i="2"/>
  <c r="S90" i="2"/>
  <c r="Z89" i="2"/>
  <c r="J89" i="2"/>
  <c r="O88" i="2"/>
  <c r="T87" i="2"/>
  <c r="D87" i="2"/>
  <c r="K86" i="2"/>
  <c r="Q85" i="2"/>
  <c r="X84" i="2"/>
  <c r="H84" i="2"/>
  <c r="O83" i="2"/>
  <c r="V82" i="2"/>
  <c r="Z81" i="2"/>
  <c r="G81" i="2"/>
  <c r="M80" i="2"/>
  <c r="T79" i="2"/>
  <c r="D79" i="2"/>
  <c r="K78" i="2"/>
  <c r="R77" i="2"/>
  <c r="X76" i="2"/>
  <c r="H76" i="2"/>
  <c r="O75" i="2"/>
  <c r="V74" i="2"/>
  <c r="F74" i="2"/>
  <c r="M73" i="2"/>
  <c r="T72" i="2"/>
  <c r="D72" i="2"/>
  <c r="K71" i="2"/>
  <c r="R70" i="2"/>
  <c r="Y69" i="2"/>
  <c r="I69" i="2"/>
  <c r="P68" i="2"/>
  <c r="W67" i="2"/>
  <c r="G67" i="2"/>
  <c r="N66" i="2"/>
  <c r="U65" i="2"/>
  <c r="E65" i="2"/>
  <c r="L64" i="2"/>
  <c r="S63" i="2"/>
  <c r="Y62" i="2"/>
  <c r="I62" i="2"/>
  <c r="P61" i="2"/>
  <c r="W60" i="2"/>
  <c r="G60" i="2"/>
  <c r="N59" i="2"/>
  <c r="I79" i="2"/>
  <c r="X75" i="2"/>
  <c r="J73" i="2"/>
  <c r="H71" i="2"/>
  <c r="M68" i="2"/>
  <c r="V65" i="2"/>
  <c r="P63" i="2"/>
  <c r="P60" i="2"/>
  <c r="C48" i="3"/>
  <c r="Y93" i="2"/>
  <c r="I93" i="2"/>
  <c r="P92" i="2"/>
  <c r="W91" i="2"/>
  <c r="G91" i="2"/>
  <c r="N90" i="2"/>
  <c r="U89" i="2"/>
  <c r="E89" i="2"/>
  <c r="I88" i="2"/>
  <c r="O87" i="2"/>
  <c r="V86" i="2"/>
  <c r="F86" i="2"/>
  <c r="L85" i="2"/>
  <c r="S84" i="2"/>
  <c r="Z83" i="2"/>
  <c r="J83" i="2"/>
  <c r="N82" i="2"/>
  <c r="T81" i="2"/>
  <c r="X80" i="2"/>
  <c r="H80" i="2"/>
  <c r="O79" i="2"/>
  <c r="V78" i="2"/>
  <c r="F78" i="2"/>
  <c r="L77" i="2"/>
  <c r="S76" i="2"/>
  <c r="Z75" i="2"/>
  <c r="J75" i="2"/>
  <c r="Q74" i="2"/>
  <c r="X73" i="2"/>
  <c r="H73" i="2"/>
  <c r="O72" i="2"/>
  <c r="V71" i="2"/>
  <c r="F71" i="2"/>
  <c r="M70" i="2"/>
  <c r="T69" i="2"/>
  <c r="D69" i="2"/>
  <c r="K68" i="2"/>
  <c r="R67" i="2"/>
  <c r="Y66" i="2"/>
  <c r="I66" i="2"/>
  <c r="P65" i="2"/>
  <c r="W64" i="2"/>
  <c r="G64" i="2"/>
  <c r="N63" i="2"/>
  <c r="T62" i="2"/>
  <c r="D62" i="2"/>
  <c r="K61" i="2"/>
  <c r="R60" i="2"/>
  <c r="Y59" i="2"/>
  <c r="I59" i="2"/>
  <c r="W77" i="2"/>
  <c r="W74" i="2"/>
  <c r="E72" i="2"/>
  <c r="N69" i="2"/>
  <c r="S66" i="2"/>
  <c r="I64" i="2"/>
  <c r="U61" i="2"/>
  <c r="K59" i="2"/>
  <c r="C59" i="3"/>
  <c r="T93" i="2"/>
  <c r="D93" i="2"/>
  <c r="K92" i="2"/>
  <c r="R91" i="2"/>
  <c r="Y90" i="2"/>
  <c r="I90" i="2"/>
  <c r="P89" i="2"/>
  <c r="V88" i="2"/>
  <c r="Z87" i="2"/>
  <c r="J87" i="2"/>
  <c r="Q86" i="2"/>
  <c r="W85" i="2"/>
  <c r="G85" i="2"/>
  <c r="N84" i="2"/>
  <c r="U83" i="2"/>
  <c r="E83" i="2"/>
  <c r="I82" i="2"/>
  <c r="M81" i="2"/>
  <c r="S80" i="2"/>
  <c r="Z79" i="2"/>
  <c r="J79" i="2"/>
  <c r="Q78" i="2"/>
  <c r="X77" i="2"/>
  <c r="G77" i="2"/>
  <c r="N76" i="2"/>
  <c r="U75" i="2"/>
  <c r="E75" i="2"/>
  <c r="L74" i="2"/>
  <c r="S73" i="2"/>
  <c r="Z72" i="2"/>
  <c r="J72" i="2"/>
  <c r="Q71" i="2"/>
  <c r="X70" i="2"/>
  <c r="H70" i="2"/>
  <c r="O69" i="2"/>
  <c r="V68" i="2"/>
  <c r="F68" i="2"/>
  <c r="M67" i="2"/>
  <c r="T66" i="2"/>
  <c r="D66" i="2"/>
  <c r="K65" i="2"/>
  <c r="R64" i="2"/>
  <c r="Y63" i="2"/>
  <c r="H63" i="2"/>
  <c r="O62" i="2"/>
  <c r="V61" i="2"/>
  <c r="F61" i="2"/>
  <c r="M60" i="2"/>
  <c r="T59" i="2"/>
  <c r="J85" i="2"/>
  <c r="M79" i="2"/>
  <c r="N77" i="2"/>
  <c r="D75" i="2"/>
  <c r="M72" i="2"/>
  <c r="R69" i="2"/>
  <c r="P67" i="2"/>
  <c r="U64" i="2"/>
  <c r="J62" i="2"/>
  <c r="H60" i="2"/>
  <c r="CY35" i="2"/>
  <c r="D59" i="2"/>
  <c r="U103" i="3"/>
  <c r="AF79" i="3"/>
  <c r="W87" i="3"/>
  <c r="R84" i="3"/>
  <c r="M81" i="3"/>
  <c r="H78" i="3"/>
  <c r="C77" i="3"/>
  <c r="AB104" i="3"/>
  <c r="K91" i="3"/>
  <c r="AD87" i="3"/>
  <c r="Y84" i="3"/>
  <c r="AI90" i="3"/>
  <c r="D80" i="3"/>
  <c r="AB73" i="3"/>
  <c r="H70" i="3"/>
  <c r="H90" i="3"/>
  <c r="AH79" i="3"/>
  <c r="V73" i="3"/>
  <c r="AR69" i="3"/>
  <c r="AF88" i="3"/>
  <c r="I79" i="3"/>
  <c r="D73" i="3"/>
  <c r="AE69" i="3"/>
  <c r="AO83" i="3"/>
  <c r="G78" i="3"/>
  <c r="AI73" i="3"/>
  <c r="L71" i="3"/>
  <c r="J69" i="3"/>
  <c r="AO66" i="3"/>
  <c r="AI64" i="3"/>
  <c r="AG62" i="3"/>
  <c r="AE60" i="3"/>
  <c r="Y58" i="3"/>
  <c r="W56" i="3"/>
  <c r="AK54" i="3"/>
  <c r="N53" i="3"/>
  <c r="AF51" i="3"/>
  <c r="I50" i="3"/>
  <c r="AA48" i="3"/>
  <c r="D47" i="3"/>
  <c r="V45" i="3"/>
  <c r="C49" i="3"/>
  <c r="K67" i="3"/>
  <c r="AC65" i="3"/>
  <c r="F64" i="3"/>
  <c r="X62" i="3"/>
  <c r="AP60" i="3"/>
  <c r="S59" i="3"/>
  <c r="AK57" i="3"/>
  <c r="N56" i="3"/>
  <c r="AF54" i="3"/>
  <c r="I53" i="3"/>
  <c r="AA51" i="3"/>
  <c r="D50" i="3"/>
  <c r="V48" i="3"/>
  <c r="AN46" i="3"/>
  <c r="Q45" i="3"/>
  <c r="C54" i="3"/>
  <c r="AQ66" i="3"/>
  <c r="T65" i="3"/>
  <c r="AL63" i="3"/>
  <c r="AE62" i="3"/>
  <c r="AB61" i="3"/>
  <c r="AC60" i="3"/>
  <c r="Z59" i="3"/>
  <c r="AI58" i="3"/>
  <c r="AR57" i="3"/>
  <c r="L57" i="3"/>
  <c r="U56" i="3"/>
  <c r="AD55" i="3"/>
  <c r="AM54" i="3"/>
  <c r="G54" i="3"/>
  <c r="P53" i="3"/>
  <c r="Y52" i="3"/>
  <c r="AH51" i="3"/>
  <c r="AQ50" i="3"/>
  <c r="K50" i="3"/>
  <c r="T49" i="3"/>
  <c r="AC48" i="3"/>
  <c r="AL47" i="3"/>
  <c r="F47" i="3"/>
  <c r="O46" i="3"/>
  <c r="X45" i="3"/>
  <c r="AG44" i="3"/>
  <c r="D68" i="3"/>
  <c r="I67" i="3"/>
  <c r="R66" i="3"/>
  <c r="AA65" i="3"/>
  <c r="AJ64" i="3"/>
  <c r="D64" i="3"/>
  <c r="M63" i="3"/>
  <c r="V62" i="3"/>
  <c r="AE61" i="3"/>
  <c r="AN60" i="3"/>
  <c r="H60" i="3"/>
  <c r="Q59" i="3"/>
  <c r="Z58" i="3"/>
  <c r="AI57" i="3"/>
  <c r="AR56" i="3"/>
  <c r="L56" i="3"/>
  <c r="U55" i="3"/>
  <c r="AD54" i="3"/>
  <c r="AM53" i="3"/>
  <c r="G53" i="3"/>
  <c r="P52" i="3"/>
  <c r="Y51" i="3"/>
  <c r="AH50" i="3"/>
  <c r="AQ49" i="3"/>
  <c r="K49" i="3"/>
  <c r="T48" i="3"/>
  <c r="AC47" i="3"/>
  <c r="AL46" i="3"/>
  <c r="F46" i="3"/>
  <c r="O45" i="3"/>
  <c r="L44" i="3"/>
  <c r="O93" i="2"/>
  <c r="F92" i="2"/>
  <c r="T90" i="2"/>
  <c r="K89" i="2"/>
  <c r="U87" i="2"/>
  <c r="L86" i="2"/>
  <c r="U84" i="2"/>
  <c r="D83" i="2"/>
  <c r="L81" i="2"/>
  <c r="X78" i="2"/>
  <c r="Q72" i="2"/>
  <c r="N65" i="2"/>
  <c r="I44" i="3"/>
  <c r="Z93" i="2"/>
  <c r="J93" i="2"/>
  <c r="Q92" i="2"/>
  <c r="X91" i="2"/>
  <c r="H91" i="2"/>
  <c r="O90" i="2"/>
  <c r="V89" i="2"/>
  <c r="F89" i="2"/>
  <c r="J88" i="2"/>
  <c r="P87" i="2"/>
  <c r="W86" i="2"/>
  <c r="G86" i="2"/>
  <c r="M85" i="2"/>
  <c r="T84" i="2"/>
  <c r="D84" i="2"/>
  <c r="K83" i="2"/>
  <c r="P82" i="2"/>
  <c r="U81" i="2"/>
  <c r="Y80" i="2"/>
  <c r="I80" i="2"/>
  <c r="P79" i="2"/>
  <c r="W78" i="2"/>
  <c r="G78" i="2"/>
  <c r="M77" i="2"/>
  <c r="T76" i="2"/>
  <c r="D76" i="2"/>
  <c r="K75" i="2"/>
  <c r="R74" i="2"/>
  <c r="Y73" i="2"/>
  <c r="I73" i="2"/>
  <c r="P72" i="2"/>
  <c r="W71" i="2"/>
  <c r="G71" i="2"/>
  <c r="N70" i="2"/>
  <c r="U69" i="2"/>
  <c r="E69" i="2"/>
  <c r="L68" i="2"/>
  <c r="S67" i="2"/>
  <c r="Z66" i="2"/>
  <c r="J66" i="2"/>
  <c r="Q65" i="2"/>
  <c r="X64" i="2"/>
  <c r="H64" i="2"/>
  <c r="O63" i="2"/>
  <c r="U62" i="2"/>
  <c r="E62" i="2"/>
  <c r="L61" i="2"/>
  <c r="S60" i="2"/>
  <c r="Z59" i="2"/>
  <c r="J59" i="2"/>
  <c r="D78" i="2"/>
  <c r="H75" i="2"/>
  <c r="Y72" i="2"/>
  <c r="K70" i="2"/>
  <c r="T67" i="2"/>
  <c r="Y64" i="2"/>
  <c r="R62" i="2"/>
  <c r="W59" i="2"/>
  <c r="C56" i="3"/>
  <c r="U93" i="2"/>
  <c r="E93" i="2"/>
  <c r="L92" i="2"/>
  <c r="S91" i="2"/>
  <c r="Z90" i="2"/>
  <c r="J90" i="2"/>
  <c r="Q89" i="2"/>
  <c r="X88" i="2"/>
  <c r="E88" i="2"/>
  <c r="K87" i="2"/>
  <c r="R86" i="2"/>
  <c r="Y85" i="2"/>
  <c r="H85" i="2"/>
  <c r="O84" i="2"/>
  <c r="V83" i="2"/>
  <c r="F83" i="2"/>
  <c r="J82" i="2"/>
  <c r="J84" i="3"/>
  <c r="E103" i="3"/>
  <c r="AG89" i="3"/>
  <c r="K89" i="3"/>
  <c r="AO87" i="3"/>
  <c r="I83" i="3"/>
  <c r="F69" i="3"/>
  <c r="W60" i="3"/>
  <c r="J53" i="3"/>
  <c r="AO46" i="3"/>
  <c r="Y65" i="3"/>
  <c r="O59" i="3"/>
  <c r="E53" i="3"/>
  <c r="AJ46" i="3"/>
  <c r="P65" i="3"/>
  <c r="U60" i="3"/>
  <c r="H57" i="3"/>
  <c r="AR53" i="3"/>
  <c r="AM50" i="3"/>
  <c r="AH47" i="3"/>
  <c r="AC44" i="3"/>
  <c r="W65" i="3"/>
  <c r="R62" i="3"/>
  <c r="M59" i="3"/>
  <c r="H56" i="3"/>
  <c r="AR52" i="3"/>
  <c r="AM49" i="3"/>
  <c r="AH46" i="3"/>
  <c r="K93" i="2"/>
  <c r="Q87" i="2"/>
  <c r="H81" i="2"/>
  <c r="C47" i="3"/>
  <c r="T91" i="2"/>
  <c r="Y88" i="2"/>
  <c r="Z85" i="2"/>
  <c r="G83" i="2"/>
  <c r="E80" i="2"/>
  <c r="I77" i="2"/>
  <c r="N74" i="2"/>
  <c r="S71" i="2"/>
  <c r="F70" i="2"/>
  <c r="T68" i="2"/>
  <c r="K67" i="2"/>
  <c r="Y65" i="2"/>
  <c r="P64" i="2"/>
  <c r="F63" i="2"/>
  <c r="T61" i="2"/>
  <c r="K60" i="2"/>
  <c r="T83" i="2"/>
  <c r="Z73" i="2"/>
  <c r="Y68" i="2"/>
  <c r="E64" i="2"/>
  <c r="H44" i="3"/>
  <c r="M93" i="2"/>
  <c r="D92" i="2"/>
  <c r="R90" i="2"/>
  <c r="I89" i="2"/>
  <c r="S87" i="2"/>
  <c r="J86" i="2"/>
  <c r="W84" i="2"/>
  <c r="N83" i="2"/>
  <c r="Y81" i="2"/>
  <c r="T80" i="2"/>
  <c r="W79" i="2"/>
  <c r="Z78" i="2"/>
  <c r="Y77" i="2"/>
  <c r="D77" i="2"/>
  <c r="G76" i="2"/>
  <c r="F75" i="2"/>
  <c r="I74" i="2"/>
  <c r="L73" i="2"/>
  <c r="K72" i="2"/>
  <c r="N71" i="2"/>
  <c r="Q70" i="2"/>
  <c r="P69" i="2"/>
  <c r="S68" i="2"/>
  <c r="V67" i="2"/>
  <c r="U66" i="2"/>
  <c r="X65" i="2"/>
  <c r="D65" i="2"/>
  <c r="Z63" i="2"/>
  <c r="E63" i="2"/>
  <c r="H62" i="2"/>
  <c r="G61" i="2"/>
  <c r="J60" i="2"/>
  <c r="M59" i="2"/>
  <c r="U76" i="2"/>
  <c r="R73" i="2"/>
  <c r="Z69" i="2"/>
  <c r="G66" i="2"/>
  <c r="G63" i="2"/>
  <c r="D60" i="2"/>
  <c r="C67" i="3"/>
  <c r="L93" i="2"/>
  <c r="O92" i="2"/>
  <c r="N91" i="2"/>
  <c r="Q90" i="2"/>
  <c r="T89" i="2"/>
  <c r="Q88" i="2"/>
  <c r="R87" i="2"/>
  <c r="U86" i="2"/>
  <c r="S85" i="2"/>
  <c r="V84" i="2"/>
  <c r="Y83" i="2"/>
  <c r="X82" i="2"/>
  <c r="X81" i="2"/>
  <c r="W80" i="2"/>
  <c r="V79" i="2"/>
  <c r="Y78" i="2"/>
  <c r="E78" i="2"/>
  <c r="Z76" i="2"/>
  <c r="F76" i="2"/>
  <c r="I75" i="2"/>
  <c r="H74" i="2"/>
  <c r="K73" i="2"/>
  <c r="N72" i="2"/>
  <c r="M71" i="2"/>
  <c r="P70" i="2"/>
  <c r="S69" i="2"/>
  <c r="R68" i="2"/>
  <c r="U67" i="2"/>
  <c r="X66" i="2"/>
  <c r="W65" i="2"/>
  <c r="Z64" i="2"/>
  <c r="F64" i="2"/>
  <c r="D63" i="2"/>
  <c r="G62" i="2"/>
  <c r="P94" i="3"/>
  <c r="AO77" i="3"/>
  <c r="Q84" i="3"/>
  <c r="R79" i="3"/>
  <c r="AI72" i="3"/>
  <c r="H71" i="3"/>
  <c r="U58" i="3"/>
  <c r="E50" i="3"/>
  <c r="G67" i="3"/>
  <c r="AG57" i="3"/>
  <c r="AO49" i="3"/>
  <c r="AM66" i="3"/>
  <c r="V59" i="3"/>
  <c r="Z55" i="3"/>
  <c r="AD51" i="3"/>
  <c r="AQ46" i="3"/>
  <c r="E67" i="3"/>
  <c r="I63" i="3"/>
  <c r="V58" i="3"/>
  <c r="Z54" i="3"/>
  <c r="AD50" i="3"/>
  <c r="AQ45" i="3"/>
  <c r="P90" i="2"/>
  <c r="W82" i="2"/>
  <c r="V93" i="2"/>
  <c r="K90" i="2"/>
  <c r="S86" i="2"/>
  <c r="K82" i="2"/>
  <c r="S78" i="2"/>
  <c r="G75" i="2"/>
  <c r="Z70" i="2"/>
  <c r="M69" i="2"/>
  <c r="O67" i="2"/>
  <c r="W63" i="2"/>
  <c r="X61" i="2"/>
  <c r="V59" i="2"/>
  <c r="Q76" i="2"/>
  <c r="V69" i="2"/>
  <c r="C71" i="3"/>
  <c r="N88" i="2"/>
  <c r="E81" i="2"/>
  <c r="V75" i="2"/>
  <c r="Y70" i="2"/>
  <c r="E66" i="2"/>
  <c r="R63" i="2"/>
  <c r="Z60" i="2"/>
  <c r="U72" i="2"/>
  <c r="P44" i="3"/>
  <c r="S92" i="2"/>
  <c r="E90" i="2"/>
  <c r="I86" i="2"/>
  <c r="Q83" i="2"/>
  <c r="D81" i="2"/>
  <c r="R79" i="2"/>
  <c r="K77" i="2"/>
  <c r="T74" i="2"/>
  <c r="F72" i="2"/>
  <c r="W69" i="2"/>
  <c r="I67" i="2"/>
  <c r="V64" i="2"/>
  <c r="K62" i="2"/>
  <c r="L59" i="2"/>
  <c r="Y76" i="2"/>
  <c r="O70" i="2"/>
  <c r="X60" i="2"/>
  <c r="DD35" i="2"/>
  <c r="C93" i="3"/>
  <c r="AE58" i="3"/>
  <c r="K46" i="3"/>
  <c r="AE57" i="3"/>
  <c r="G49" i="3"/>
  <c r="G89" i="2"/>
  <c r="F93" i="2"/>
  <c r="I85" i="2"/>
  <c r="Z77" i="2"/>
  <c r="X68" i="2"/>
  <c r="I65" i="2"/>
  <c r="H61" i="2"/>
  <c r="D67" i="2"/>
  <c r="Q93" i="2"/>
  <c r="Y89" i="2"/>
  <c r="T85" i="2"/>
  <c r="P80" i="2"/>
  <c r="J78" i="2"/>
  <c r="R75" i="2"/>
  <c r="D73" i="2"/>
  <c r="U70" i="2"/>
  <c r="G68" i="2"/>
  <c r="T65" i="2"/>
  <c r="I63" i="2"/>
  <c r="V60" i="2"/>
  <c r="I76" i="2"/>
  <c r="N62" i="2"/>
  <c r="P93" i="2"/>
  <c r="F91" i="2"/>
  <c r="M88" i="2"/>
  <c r="E86" i="2"/>
  <c r="M83" i="2"/>
  <c r="O80" i="2"/>
  <c r="I78" i="2"/>
  <c r="Q75" i="2"/>
  <c r="G73" i="2"/>
  <c r="T70" i="2"/>
  <c r="K69" i="2"/>
  <c r="E67" i="2"/>
  <c r="N64" i="2"/>
  <c r="Z61" i="2"/>
  <c r="E60" i="2"/>
  <c r="T78" i="2"/>
  <c r="F73" i="2"/>
  <c r="V62" i="2"/>
  <c r="DB35" i="2"/>
  <c r="O87" i="3"/>
  <c r="AO90" i="3"/>
  <c r="R73" i="3"/>
  <c r="AJ69" i="3"/>
  <c r="AN77" i="3"/>
  <c r="AE64" i="3"/>
  <c r="AG54" i="3"/>
  <c r="R45" i="3"/>
  <c r="T62" i="3"/>
  <c r="AB54" i="3"/>
  <c r="M45" i="3"/>
  <c r="AA62" i="3"/>
  <c r="AN57" i="3"/>
  <c r="L53" i="3"/>
  <c r="P49" i="3"/>
  <c r="T45" i="3"/>
  <c r="AF64" i="3"/>
  <c r="AJ60" i="3"/>
  <c r="AN56" i="3"/>
  <c r="L52" i="3"/>
  <c r="P48" i="3"/>
  <c r="D44" i="3"/>
  <c r="H86" i="2"/>
  <c r="X71" i="2"/>
  <c r="M92" i="2"/>
  <c r="F88" i="2"/>
  <c r="P84" i="2"/>
  <c r="U80" i="2"/>
  <c r="P76" i="2"/>
  <c r="E73" i="2"/>
  <c r="J70" i="2"/>
  <c r="H68" i="2"/>
  <c r="R66" i="2"/>
  <c r="T64" i="2"/>
  <c r="Q62" i="2"/>
  <c r="D61" i="2"/>
  <c r="F59" i="2"/>
  <c r="I72" i="2"/>
  <c r="O66" i="2"/>
  <c r="T44" i="3"/>
  <c r="X92" i="2"/>
  <c r="K91" i="2"/>
  <c r="M89" i="2"/>
  <c r="G87" i="2"/>
  <c r="P85" i="2"/>
  <c r="R83" i="2"/>
  <c r="O81" i="2"/>
  <c r="L80" i="2"/>
  <c r="G79" i="2"/>
  <c r="U77" i="2"/>
  <c r="O76" i="2"/>
  <c r="N75" i="2"/>
  <c r="E74" i="2"/>
  <c r="W72" i="2"/>
  <c r="R71" i="2"/>
  <c r="I70" i="2"/>
  <c r="H69" i="2"/>
  <c r="Z67" i="2"/>
  <c r="Q66" i="2"/>
  <c r="L65" i="2"/>
  <c r="K64" i="2"/>
  <c r="X62" i="2"/>
  <c r="S61" i="2"/>
  <c r="N60" i="2"/>
  <c r="E59" i="2"/>
  <c r="P75" i="2"/>
  <c r="S70" i="2"/>
  <c r="R65" i="2"/>
  <c r="E61" i="2"/>
  <c r="C51" i="3"/>
  <c r="H93" i="2"/>
  <c r="Z91" i="2"/>
  <c r="U90" i="2"/>
  <c r="L89" i="2"/>
  <c r="H88" i="2"/>
  <c r="Y86" i="2"/>
  <c r="O85" i="2"/>
  <c r="J84" i="2"/>
  <c r="I83" i="2"/>
  <c r="S81" i="2"/>
  <c r="K80" i="2"/>
  <c r="F79" i="2"/>
  <c r="T77" i="2"/>
  <c r="R76" i="2"/>
  <c r="M75" i="2"/>
  <c r="D74" i="2"/>
  <c r="V72" i="2"/>
  <c r="U71" i="2"/>
  <c r="L70" i="2"/>
  <c r="G69" i="2"/>
  <c r="Y67" i="2"/>
  <c r="P66" i="2"/>
  <c r="O65" i="2"/>
  <c r="J64" i="2"/>
  <c r="W62" i="2"/>
  <c r="R61" i="2"/>
  <c r="U60" i="2"/>
  <c r="X59" i="2"/>
  <c r="V80" i="2"/>
  <c r="P78" i="2"/>
  <c r="T75" i="2"/>
  <c r="T71" i="2"/>
  <c r="U68" i="2"/>
  <c r="J65" i="2"/>
  <c r="Q61" i="2"/>
  <c r="G59" i="2"/>
  <c r="CX35" i="2"/>
  <c r="E81" i="3"/>
  <c r="V87" i="3"/>
  <c r="AO69" i="3"/>
  <c r="AH78" i="3"/>
  <c r="X73" i="3"/>
  <c r="AC62" i="3"/>
  <c r="AB51" i="3"/>
  <c r="C53" i="3"/>
  <c r="AL60" i="3"/>
  <c r="W51" i="3"/>
  <c r="C58" i="3"/>
  <c r="X61" i="3"/>
  <c r="Q56" i="3"/>
  <c r="U52" i="3"/>
  <c r="Y48" i="3"/>
  <c r="AL67" i="3"/>
  <c r="AO63" i="3"/>
  <c r="D60" i="3"/>
  <c r="Q55" i="3"/>
  <c r="U51" i="3"/>
  <c r="Y47" i="3"/>
  <c r="Y91" i="2"/>
  <c r="Q84" i="2"/>
  <c r="M64" i="2"/>
  <c r="D91" i="2"/>
  <c r="L87" i="2"/>
  <c r="W83" i="2"/>
  <c r="L79" i="2"/>
  <c r="W75" i="2"/>
  <c r="L72" i="2"/>
  <c r="Q69" i="2"/>
  <c r="D68" i="2"/>
  <c r="F66" i="2"/>
  <c r="D64" i="2"/>
  <c r="M62" i="2"/>
  <c r="O60" i="2"/>
  <c r="J77" i="2"/>
  <c r="P71" i="2"/>
  <c r="Q64" i="2"/>
  <c r="C64" i="3"/>
  <c r="T92" i="2"/>
  <c r="V90" i="2"/>
  <c r="R88" i="2"/>
  <c r="Z86" i="2"/>
  <c r="D85" i="2"/>
  <c r="Y82" i="2"/>
  <c r="J81" i="2"/>
  <c r="D80" i="2"/>
  <c r="R78" i="2"/>
  <c r="P77" i="2"/>
  <c r="K76" i="2"/>
  <c r="Y74" i="2"/>
  <c r="T73" i="2"/>
  <c r="S72" i="2"/>
  <c r="J71" i="2"/>
  <c r="E70" i="2"/>
  <c r="W68" i="2"/>
  <c r="N67" i="2"/>
  <c r="M66" i="2"/>
  <c r="H65" i="2"/>
  <c r="V63" i="2"/>
  <c r="P62" i="2"/>
  <c r="O61" i="2"/>
  <c r="F60" i="2"/>
  <c r="M84" i="2"/>
  <c r="G74" i="2"/>
  <c r="Q68" i="2"/>
  <c r="F65" i="2"/>
  <c r="L60" i="2"/>
  <c r="C72" i="3"/>
  <c r="W92" i="2"/>
  <c r="V91" i="2"/>
  <c r="M90" i="2"/>
  <c r="H89" i="2"/>
  <c r="V87" i="2"/>
  <c r="M86" i="2"/>
  <c r="K85" i="2"/>
  <c r="F84" i="2"/>
  <c r="T82" i="2"/>
  <c r="I81" i="2"/>
  <c r="G80" i="2"/>
  <c r="U78" i="2"/>
  <c r="O77" i="2"/>
  <c r="J76" i="2"/>
  <c r="X74" i="2"/>
  <c r="W73" i="2"/>
  <c r="R72" i="2"/>
  <c r="I71" i="2"/>
  <c r="D70" i="2"/>
  <c r="Z68" i="2"/>
  <c r="Q67" i="2"/>
  <c r="L66" i="2"/>
  <c r="G65" i="2"/>
  <c r="U63" i="2"/>
  <c r="S62" i="2"/>
  <c r="N61" i="2"/>
  <c r="Q60" i="2"/>
  <c r="P59" i="2"/>
  <c r="F80" i="2"/>
  <c r="H78" i="2"/>
  <c r="O74" i="2"/>
  <c r="D71" i="2"/>
  <c r="E68" i="2"/>
  <c r="X63" i="2"/>
  <c r="I61" i="2"/>
  <c r="DC35" i="2"/>
  <c r="DA35" i="2"/>
  <c r="M65" i="2"/>
  <c r="F62" i="2"/>
  <c r="H92" i="2"/>
  <c r="F90" i="2"/>
  <c r="N86" i="2"/>
  <c r="K84" i="2"/>
  <c r="U82" i="2"/>
  <c r="S79" i="2"/>
  <c r="N78" i="2"/>
  <c r="H77" i="2"/>
  <c r="U74" i="2"/>
  <c r="P73" i="2"/>
  <c r="G72" i="2"/>
  <c r="X69" i="2"/>
  <c r="O68" i="2"/>
  <c r="J67" i="2"/>
  <c r="S64" i="2"/>
  <c r="L62" i="2"/>
  <c r="U59" i="2"/>
  <c r="E79" i="2"/>
  <c r="X67" i="2"/>
  <c r="T63" i="2"/>
  <c r="X93" i="2"/>
  <c r="J91" i="2"/>
  <c r="D89" i="2"/>
  <c r="N87" i="2"/>
  <c r="Z84" i="2"/>
  <c r="M82" i="2"/>
  <c r="M78" i="2"/>
  <c r="Y75" i="2"/>
  <c r="O73" i="2"/>
  <c r="E71" i="2"/>
  <c r="N68" i="2"/>
  <c r="H66" i="2"/>
  <c r="Q63" i="2"/>
  <c r="J61" i="2"/>
  <c r="I60" i="2"/>
  <c r="U79" i="2"/>
  <c r="V73" i="2"/>
  <c r="W66" i="2"/>
  <c r="K63" i="2"/>
  <c r="CQ35" i="2"/>
  <c r="AO78" i="3"/>
  <c r="AC79" i="3"/>
  <c r="K73" i="3"/>
  <c r="W69" i="3"/>
  <c r="AG66" i="3"/>
  <c r="S56" i="3"/>
  <c r="W48" i="3"/>
  <c r="AQ63" i="3"/>
  <c r="J56" i="3"/>
  <c r="R48" i="3"/>
  <c r="AH63" i="3"/>
  <c r="AI54" i="3"/>
  <c r="G50" i="3"/>
  <c r="N66" i="3"/>
  <c r="AA61" i="3"/>
  <c r="AI53" i="3"/>
  <c r="K45" i="3"/>
  <c r="L78" i="2"/>
  <c r="R89" i="2"/>
  <c r="Q81" i="2"/>
  <c r="U73" i="2"/>
  <c r="V70" i="2"/>
  <c r="V66" i="2"/>
  <c r="J63" i="2"/>
  <c r="R59" i="2"/>
  <c r="S74" i="2"/>
  <c r="M61" i="2"/>
  <c r="O91" i="2"/>
  <c r="W87" i="2"/>
  <c r="G84" i="2"/>
  <c r="F82" i="2"/>
  <c r="K79" i="2"/>
  <c r="W76" i="2"/>
  <c r="M74" i="2"/>
  <c r="Z71" i="2"/>
  <c r="L69" i="2"/>
  <c r="F67" i="2"/>
  <c r="O64" i="2"/>
  <c r="W61" i="2"/>
  <c r="Q59" i="2"/>
  <c r="L71" i="2"/>
  <c r="L67" i="2"/>
  <c r="E44" i="3"/>
  <c r="G92" i="2"/>
  <c r="X89" i="2"/>
  <c r="F87" i="2"/>
  <c r="R84" i="2"/>
  <c r="E82" i="2"/>
  <c r="N79" i="2"/>
  <c r="V76" i="2"/>
  <c r="P74" i="2"/>
  <c r="Y71" i="2"/>
  <c r="J68" i="2"/>
  <c r="S65" i="2"/>
  <c r="L63" i="2"/>
  <c r="Y60" i="2"/>
  <c r="H59" i="2"/>
  <c r="M76" i="2"/>
  <c r="J69" i="2"/>
  <c r="Z65" i="2"/>
  <c r="S59" i="2"/>
  <c r="CZ35" i="2"/>
  <c r="CK35" i="2"/>
  <c r="CN35" i="2"/>
  <c r="CM35" i="2"/>
  <c r="AT93" i="3" l="1" a="1"/>
  <c r="AT93" i="3" s="1"/>
  <c r="AT77" i="3" a="1"/>
  <c r="AT77" i="3" s="1"/>
  <c r="AT95" i="3" a="1"/>
  <c r="AT95" i="3" s="1"/>
  <c r="AT76" i="3" a="1"/>
  <c r="AT76" i="3" s="1"/>
  <c r="AT81" i="3" a="1"/>
  <c r="AT81" i="3" s="1"/>
  <c r="AT79" i="3" a="1"/>
  <c r="AT79" i="3" s="1"/>
  <c r="AT94" i="3" a="1"/>
  <c r="AT94" i="3" s="1"/>
  <c r="AT89" i="3" a="1"/>
  <c r="AT89" i="3" s="1"/>
  <c r="AT98" i="3" a="1"/>
  <c r="AT98" i="3" s="1"/>
  <c r="AT100" i="3" a="1"/>
  <c r="AT100" i="3" s="1"/>
  <c r="AT86" i="3" a="1"/>
  <c r="AT86" i="3" s="1"/>
  <c r="AT82" i="3" a="1"/>
  <c r="AT82" i="3" s="1"/>
  <c r="AT84" i="3" a="1"/>
  <c r="AT84" i="3" s="1"/>
  <c r="AT78" i="3" a="1"/>
  <c r="AT78" i="3" s="1"/>
  <c r="AT92" i="3" a="1"/>
  <c r="AT92" i="3" s="1"/>
  <c r="AT97" i="3" a="1"/>
  <c r="AT97" i="3" s="1"/>
  <c r="AT101" i="3" a="1"/>
  <c r="AT101" i="3" s="1"/>
  <c r="AT103" i="3" a="1"/>
  <c r="AT103" i="3" s="1"/>
  <c r="AT87" i="3" a="1"/>
  <c r="AT87" i="3" s="1"/>
  <c r="AT102" i="3" a="1"/>
  <c r="AT102" i="3" s="1"/>
  <c r="AT90" i="3" a="1"/>
  <c r="AT90" i="3" s="1"/>
  <c r="AT85" i="3" a="1"/>
  <c r="AT85" i="3" s="1"/>
  <c r="AT80" i="3" a="1"/>
  <c r="AT80" i="3" s="1"/>
  <c r="CM16" i="3"/>
  <c r="CT16" i="3"/>
  <c r="CL29" i="3"/>
  <c r="CK29" i="3"/>
  <c r="CR29" i="3" s="1"/>
  <c r="AT104" i="3" a="1"/>
  <c r="AT104" i="3" s="1"/>
  <c r="AT99" i="3" a="1"/>
  <c r="AT99" i="3" s="1"/>
  <c r="CL23" i="3"/>
  <c r="CK23" i="3"/>
  <c r="CR23" i="3" s="1"/>
  <c r="CM23" i="3"/>
  <c r="CT23" i="3"/>
  <c r="AT96" i="3" a="1"/>
  <c r="AT96" i="3" s="1"/>
  <c r="AT91" i="3" a="1"/>
  <c r="AT91" i="3" s="1"/>
  <c r="CK21" i="3"/>
  <c r="CR21" i="3" s="1"/>
  <c r="CL21" i="3"/>
  <c r="CR17" i="3"/>
  <c r="CK17" i="3"/>
  <c r="CL17" i="3"/>
  <c r="CL20" i="3"/>
  <c r="CK20" i="3"/>
  <c r="CR20" i="3"/>
  <c r="CK22" i="3"/>
  <c r="CR22" i="3"/>
  <c r="CL22" i="3"/>
  <c r="AT88" i="3" a="1"/>
  <c r="AT88" i="3" s="1"/>
  <c r="AT83" i="3" a="1"/>
  <c r="AT83" i="3" s="1"/>
  <c r="CM15" i="3"/>
  <c r="CT15" i="3"/>
  <c r="CK16" i="3"/>
  <c r="CR16" i="3"/>
  <c r="CL16" i="3"/>
  <c r="CT17" i="3"/>
  <c r="CM17" i="3"/>
  <c r="CM29" i="3"/>
  <c r="CT29" i="3"/>
  <c r="CK19" i="3"/>
  <c r="CL19" i="3"/>
  <c r="CR19" i="3"/>
  <c r="CM28" i="3"/>
  <c r="CT28" i="3"/>
  <c r="CR18" i="3"/>
  <c r="CL18" i="3"/>
  <c r="CK18" i="3"/>
  <c r="CM26" i="3"/>
  <c r="CT26" i="3"/>
  <c r="CM27" i="3"/>
  <c r="CT27" i="3"/>
  <c r="CM30" i="3"/>
  <c r="CT30" i="3"/>
  <c r="CM25" i="3"/>
  <c r="CT25" i="3"/>
  <c r="CL15" i="3"/>
  <c r="CK15" i="3"/>
  <c r="CR15" i="3" s="1"/>
  <c r="CL30" i="3"/>
  <c r="CK30" i="3"/>
  <c r="CR30" i="3"/>
  <c r="CM24" i="3"/>
  <c r="CT24" i="3"/>
  <c r="CL24" i="3"/>
  <c r="CK24" i="3"/>
  <c r="CR24" i="3" s="1"/>
  <c r="CM18" i="3"/>
  <c r="CT18" i="3"/>
  <c r="CK25" i="3"/>
  <c r="CR25" i="3" s="1"/>
  <c r="CL25" i="3"/>
  <c r="CM19" i="3"/>
  <c r="CT19" i="3"/>
  <c r="CK28" i="3"/>
  <c r="CR28" i="3" s="1"/>
  <c r="CL28" i="3"/>
  <c r="CT22" i="3"/>
  <c r="CM22" i="3"/>
  <c r="CK27" i="3"/>
  <c r="CR27" i="3"/>
  <c r="CL27" i="3"/>
  <c r="CM21" i="3"/>
  <c r="CT21" i="3"/>
  <c r="CK26" i="3"/>
  <c r="CL26" i="3"/>
  <c r="CR26" i="3"/>
  <c r="CM20" i="3"/>
  <c r="CT20" i="3"/>
  <c r="DH35" i="2"/>
  <c r="CI35" i="2"/>
  <c r="CG35" i="2"/>
  <c r="CH35" i="2"/>
  <c r="DI35" i="2" l="1"/>
  <c r="CL35" i="2"/>
  <c r="CJ35" i="2"/>
  <c r="CY19" i="2"/>
  <c r="DA19" i="2"/>
  <c r="DB19" i="2"/>
  <c r="DD19" i="2"/>
  <c r="CX19" i="2"/>
  <c r="DC19" i="2"/>
  <c r="CE35" i="2"/>
  <c r="CZ19" i="2"/>
  <c r="CF35" i="2" l="1"/>
  <c r="DE35" i="2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Q19" i="2"/>
  <c r="CP19" i="2" l="1" a="1"/>
  <c r="CP19" i="2" s="1"/>
  <c r="CO19" i="2" a="1"/>
  <c r="CO19" i="2" s="1"/>
  <c r="CM19" i="2"/>
  <c r="CK19" i="2"/>
  <c r="CN19" i="2"/>
  <c r="DH19" i="2" l="1"/>
  <c r="CH19" i="2"/>
  <c r="CI19" i="2"/>
  <c r="CG19" i="2"/>
  <c r="DI19" i="2" l="1"/>
  <c r="CL19" i="2"/>
  <c r="CJ19" i="2"/>
  <c r="CX6" i="2"/>
  <c r="CZ6" i="2"/>
  <c r="CE19" i="2"/>
  <c r="DC6" i="2"/>
  <c r="CY6" i="2"/>
  <c r="DD6" i="2"/>
  <c r="DA6" i="2"/>
  <c r="DB6" i="2"/>
  <c r="CF19" i="2" l="1"/>
  <c r="DE19" i="2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Q6" i="2"/>
  <c r="CP6" i="2" l="1" a="1"/>
  <c r="CP6" i="2" s="1"/>
  <c r="CO6" i="2" a="1"/>
  <c r="CO6" i="2" s="1"/>
  <c r="CK6" i="2"/>
  <c r="CN6" i="2"/>
  <c r="CM6" i="2"/>
  <c r="DH6" i="2" l="1"/>
  <c r="CI6" i="2"/>
  <c r="CH6" i="2"/>
  <c r="CG6" i="2"/>
  <c r="DI6" i="2" l="1"/>
  <c r="CL6" i="2"/>
  <c r="CJ6" i="2"/>
  <c r="CF8" i="3"/>
  <c r="CH12" i="3"/>
  <c r="CJ31" i="3"/>
  <c r="CO7" i="3"/>
  <c r="CQ10" i="3"/>
  <c r="CE31" i="3"/>
  <c r="CN32" i="3"/>
  <c r="CE11" i="3"/>
  <c r="DD33" i="2"/>
  <c r="CN12" i="3"/>
  <c r="CG7" i="3"/>
  <c r="CO14" i="3"/>
  <c r="CJ11" i="3"/>
  <c r="CP7" i="3"/>
  <c r="CN13" i="3"/>
  <c r="CG8" i="3"/>
  <c r="CO31" i="3"/>
  <c r="CF6" i="3"/>
  <c r="CF9" i="3"/>
  <c r="CH13" i="3"/>
  <c r="CJ33" i="3"/>
  <c r="CO8" i="3"/>
  <c r="CQ12" i="3"/>
  <c r="CE33" i="3"/>
  <c r="CP32" i="3"/>
  <c r="CG6" i="3"/>
  <c r="CE6" i="2"/>
  <c r="CP31" i="3"/>
  <c r="CG12" i="3"/>
  <c r="CQ32" i="3"/>
  <c r="CZ33" i="2"/>
  <c r="CP33" i="3"/>
  <c r="CG13" i="3"/>
  <c r="CF32" i="3"/>
  <c r="CX33" i="2"/>
  <c r="CQ33" i="3"/>
  <c r="CH9" i="3"/>
  <c r="CQ13" i="3"/>
  <c r="CJ9" i="3"/>
  <c r="CQ14" i="3"/>
  <c r="CG11" i="3"/>
  <c r="CG9" i="3"/>
  <c r="CJ6" i="3"/>
  <c r="CI10" i="3"/>
  <c r="DA33" i="2"/>
  <c r="CF33" i="3"/>
  <c r="CJ7" i="3"/>
  <c r="CE7" i="3"/>
  <c r="CI14" i="3"/>
  <c r="CF11" i="3"/>
  <c r="CE8" i="3"/>
  <c r="CQ11" i="3"/>
  <c r="CE9" i="3"/>
  <c r="CH6" i="3"/>
  <c r="CJ10" i="3"/>
  <c r="CP34" i="3"/>
  <c r="CI34" i="3"/>
  <c r="CF10" i="3"/>
  <c r="CG32" i="3"/>
  <c r="CF12" i="3"/>
  <c r="CN34" i="3"/>
  <c r="CP11" i="3"/>
  <c r="CJ12" i="3"/>
  <c r="CE12" i="3"/>
  <c r="CE32" i="3"/>
  <c r="CI11" i="3"/>
  <c r="CJ13" i="3"/>
  <c r="CE34" i="3"/>
  <c r="CH31" i="3"/>
  <c r="CO10" i="3"/>
  <c r="CI6" i="3"/>
  <c r="CP8" i="3"/>
  <c r="CF13" i="3"/>
  <c r="CH33" i="3"/>
  <c r="CI8" i="3"/>
  <c r="CO12" i="3"/>
  <c r="CQ31" i="3"/>
  <c r="CJ32" i="3"/>
  <c r="CN6" i="3"/>
  <c r="CN7" i="3"/>
  <c r="CH14" i="3"/>
  <c r="CQ8" i="3"/>
  <c r="CG33" i="3"/>
  <c r="CO6" i="3"/>
  <c r="CN8" i="3"/>
  <c r="CJ14" i="3"/>
  <c r="CQ9" i="3"/>
  <c r="CH32" i="3"/>
  <c r="CY33" i="2"/>
  <c r="CP9" i="3"/>
  <c r="CF14" i="3"/>
  <c r="CH34" i="3"/>
  <c r="CI9" i="3"/>
  <c r="CO13" i="3"/>
  <c r="CH11" i="3"/>
  <c r="CP6" i="3"/>
  <c r="CJ34" i="3"/>
  <c r="CN11" i="3"/>
  <c r="CI7" i="3"/>
  <c r="CP13" i="3"/>
  <c r="CO33" i="3"/>
  <c r="CJ8" i="3"/>
  <c r="CQ34" i="3"/>
  <c r="CH10" i="3"/>
  <c r="CO32" i="3"/>
  <c r="CN10" i="3"/>
  <c r="CG10" i="3"/>
  <c r="CO34" i="3"/>
  <c r="CP10" i="3"/>
  <c r="CI31" i="3"/>
  <c r="CI33" i="3"/>
  <c r="CH7" i="3"/>
  <c r="CG14" i="3"/>
  <c r="CQ6" i="3"/>
  <c r="CN9" i="3"/>
  <c r="CF34" i="3"/>
  <c r="CI13" i="3"/>
  <c r="CI32" i="3"/>
  <c r="CF31" i="3"/>
  <c r="CI12" i="3"/>
  <c r="CP14" i="3"/>
  <c r="DC33" i="2"/>
  <c r="CP12" i="3"/>
  <c r="CN14" i="3"/>
  <c r="CE10" i="3"/>
  <c r="CO11" i="3"/>
  <c r="CN33" i="3"/>
  <c r="CE13" i="3"/>
  <c r="CF7" i="3"/>
  <c r="CE14" i="3"/>
  <c r="CH8" i="3"/>
  <c r="CN31" i="3"/>
  <c r="CQ7" i="3"/>
  <c r="CG31" i="3"/>
  <c r="DB33" i="2"/>
  <c r="CO9" i="3"/>
  <c r="CE6" i="3"/>
  <c r="CG34" i="3"/>
  <c r="CF6" i="2" l="1"/>
  <c r="DE6" i="2"/>
  <c r="CL34" i="3"/>
  <c r="CK34" i="3"/>
  <c r="CR34" i="3" s="1"/>
  <c r="CT34" i="3"/>
  <c r="CM34" i="3"/>
  <c r="CL33" i="3"/>
  <c r="CR33" i="3"/>
  <c r="CK33" i="3"/>
  <c r="CT33" i="3"/>
  <c r="CM33" i="3"/>
  <c r="CL32" i="3"/>
  <c r="CK32" i="3"/>
  <c r="CR32" i="3" s="1"/>
  <c r="CT32" i="3"/>
  <c r="CM32" i="3"/>
  <c r="CL31" i="3"/>
  <c r="CK31" i="3"/>
  <c r="CR31" i="3" s="1"/>
  <c r="CT31" i="3"/>
  <c r="CM31" i="3"/>
  <c r="CL14" i="3"/>
  <c r="CR14" i="3"/>
  <c r="CK14" i="3"/>
  <c r="CT14" i="3"/>
  <c r="CM14" i="3"/>
  <c r="CL13" i="3"/>
  <c r="CK13" i="3"/>
  <c r="CR13" i="3" s="1"/>
  <c r="CT13" i="3"/>
  <c r="CM13" i="3"/>
  <c r="CL12" i="3"/>
  <c r="CR12" i="3"/>
  <c r="CK12" i="3"/>
  <c r="CT12" i="3"/>
  <c r="CM12" i="3"/>
  <c r="CL11" i="3"/>
  <c r="CK11" i="3"/>
  <c r="CR11" i="3" s="1"/>
  <c r="CT11" i="3"/>
  <c r="CM11" i="3"/>
  <c r="CL10" i="3"/>
  <c r="CR10" i="3"/>
  <c r="CK10" i="3"/>
  <c r="CT10" i="3"/>
  <c r="CM10" i="3"/>
  <c r="CL9" i="3"/>
  <c r="CK9" i="3"/>
  <c r="CR9" i="3" s="1"/>
  <c r="CT9" i="3"/>
  <c r="CM9" i="3"/>
  <c r="CL8" i="3"/>
  <c r="CR8" i="3"/>
  <c r="CK8" i="3"/>
  <c r="CT8" i="3"/>
  <c r="CM8" i="3"/>
  <c r="CL7" i="3"/>
  <c r="CK7" i="3"/>
  <c r="CR7" i="3" s="1"/>
  <c r="CT7" i="3"/>
  <c r="CM7" i="3"/>
  <c r="CL6" i="3"/>
  <c r="CK6" i="3"/>
  <c r="CR6" i="3" s="1"/>
  <c r="CT6" i="3"/>
  <c r="CM6" i="3"/>
  <c r="CW33" i="2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Q33" i="2"/>
  <c r="CP33" i="2" l="1" a="1"/>
  <c r="CP33" i="2" s="1"/>
  <c r="CO33" i="2" a="1"/>
  <c r="CO33" i="2" s="1"/>
  <c r="CN33" i="2"/>
  <c r="CK33" i="2"/>
  <c r="CM33" i="2"/>
  <c r="DH33" i="2" l="1"/>
  <c r="CI33" i="2"/>
  <c r="CG33" i="2"/>
  <c r="CH33" i="2"/>
  <c r="DI33" i="2" l="1"/>
  <c r="CL33" i="2"/>
  <c r="CJ33" i="2"/>
  <c r="CE33" i="2"/>
  <c r="CF33" i="2" l="1"/>
  <c r="DE33" i="2"/>
  <c r="DC32" i="2"/>
  <c r="DA32" i="2"/>
  <c r="CY32" i="2"/>
  <c r="DD32" i="2"/>
  <c r="DB32" i="2"/>
  <c r="CZ32" i="2"/>
  <c r="CX32" i="2"/>
  <c r="CW32" i="2" l="1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Q32" i="2"/>
  <c r="CP32" i="2" l="1" a="1"/>
  <c r="CP32" i="2" s="1"/>
  <c r="CO32" i="2" a="1"/>
  <c r="CO32" i="2" s="1"/>
  <c r="CK32" i="2"/>
  <c r="CN32" i="2"/>
  <c r="CM32" i="2"/>
  <c r="DH32" i="2" l="1"/>
  <c r="CI32" i="2"/>
  <c r="CH32" i="2"/>
  <c r="CG32" i="2"/>
  <c r="DI32" i="2" l="1"/>
  <c r="CL32" i="2"/>
  <c r="CJ32" i="2"/>
  <c r="CE32" i="2"/>
  <c r="CF32" i="2" l="1"/>
  <c r="DE32" i="2"/>
  <c r="CZ31" i="2"/>
  <c r="DA31" i="2"/>
  <c r="CX31" i="2"/>
  <c r="DB31" i="2"/>
  <c r="DD31" i="2"/>
  <c r="CY31" i="2"/>
  <c r="DC31" i="2"/>
  <c r="CW31" i="2" l="1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Q31" i="2"/>
  <c r="CP31" i="2" l="1" a="1"/>
  <c r="CP31" i="2" s="1"/>
  <c r="CO31" i="2" a="1"/>
  <c r="CO31" i="2" s="1"/>
  <c r="CM31" i="2"/>
  <c r="CN31" i="2"/>
  <c r="CK31" i="2"/>
  <c r="DH31" i="2" l="1"/>
  <c r="CI31" i="2"/>
  <c r="CH31" i="2"/>
  <c r="CG31" i="2"/>
  <c r="DI31" i="2" l="1"/>
  <c r="CL31" i="2"/>
  <c r="CJ31" i="2"/>
  <c r="CE31" i="2"/>
  <c r="CF31" i="2" l="1"/>
  <c r="DE31" i="2"/>
  <c r="DA30" i="2"/>
  <c r="CY30" i="2"/>
  <c r="DC30" i="2"/>
  <c r="DD30" i="2"/>
  <c r="CX30" i="2"/>
  <c r="CZ30" i="2"/>
  <c r="DB30" i="2"/>
  <c r="CW30" i="2" l="1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K30" i="2"/>
  <c r="CN30" i="2"/>
  <c r="CM30" i="2"/>
  <c r="DH30" i="2" l="1"/>
  <c r="CH30" i="2"/>
  <c r="CI30" i="2"/>
  <c r="CG30" i="2"/>
  <c r="DI30" i="2" l="1"/>
  <c r="CL30" i="2"/>
  <c r="CJ30" i="2"/>
  <c r="CE30" i="2"/>
  <c r="CF30" i="2" l="1"/>
  <c r="DE30" i="2"/>
  <c r="DD29" i="2"/>
  <c r="DA29" i="2"/>
  <c r="DB29" i="2"/>
  <c r="CX29" i="2"/>
  <c r="CZ29" i="2"/>
  <c r="DC29" i="2"/>
  <c r="CY29" i="2"/>
  <c r="CW29" i="2" l="1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K29" i="2"/>
  <c r="CN29" i="2"/>
  <c r="CM29" i="2"/>
  <c r="DH29" i="2" l="1"/>
  <c r="CI29" i="2"/>
  <c r="CH29" i="2"/>
  <c r="CG29" i="2"/>
  <c r="DI29" i="2" l="1"/>
  <c r="CL29" i="2"/>
  <c r="CJ29" i="2"/>
  <c r="CE29" i="2"/>
  <c r="CF29" i="2" l="1"/>
  <c r="DE29" i="2"/>
  <c r="DD28" i="2"/>
  <c r="DA28" i="2"/>
  <c r="DB28" i="2"/>
  <c r="DC28" i="2"/>
  <c r="CZ28" i="2"/>
  <c r="CX28" i="2"/>
  <c r="CY28" i="2"/>
  <c r="CW28" i="2" l="1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Q28" i="2"/>
  <c r="CP28" i="2" l="1" a="1"/>
  <c r="CP28" i="2" s="1"/>
  <c r="CO28" i="2" a="1"/>
  <c r="CO28" i="2" s="1"/>
  <c r="CK28" i="2"/>
  <c r="CM28" i="2"/>
  <c r="CN28" i="2"/>
  <c r="DH28" i="2" l="1"/>
  <c r="CH28" i="2"/>
  <c r="CI28" i="2"/>
  <c r="CG28" i="2"/>
  <c r="DI28" i="2" l="1"/>
  <c r="CL28" i="2"/>
  <c r="CJ28" i="2"/>
  <c r="CE28" i="2"/>
  <c r="CF28" i="2" l="1"/>
  <c r="DE28" i="2"/>
  <c r="CX27" i="2"/>
  <c r="CY27" i="2"/>
  <c r="DB27" i="2"/>
  <c r="DD27" i="2"/>
  <c r="CZ27" i="2"/>
  <c r="DA27" i="2"/>
  <c r="DC27" i="2"/>
  <c r="CW27" i="2" l="1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M27" i="2"/>
  <c r="CN27" i="2"/>
  <c r="CK27" i="2"/>
  <c r="DH27" i="2" l="1"/>
  <c r="CH27" i="2"/>
  <c r="CI27" i="2"/>
  <c r="CG27" i="2"/>
  <c r="DI27" i="2" l="1"/>
  <c r="CL27" i="2"/>
  <c r="CJ27" i="2"/>
  <c r="CE27" i="2"/>
  <c r="CF27" i="2" l="1"/>
  <c r="DE27" i="2"/>
  <c r="CZ26" i="2"/>
  <c r="DB26" i="2"/>
  <c r="CY26" i="2"/>
  <c r="CX26" i="2"/>
  <c r="DA26" i="2"/>
  <c r="DD26" i="2"/>
  <c r="DC26" i="2"/>
  <c r="CW26" i="2" l="1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Q26" i="2"/>
  <c r="CP26" i="2" l="1" a="1"/>
  <c r="CP26" i="2" s="1"/>
  <c r="CO26" i="2" a="1"/>
  <c r="CO26" i="2" s="1"/>
  <c r="CN26" i="2"/>
  <c r="CM26" i="2"/>
  <c r="CK26" i="2"/>
  <c r="DH26" i="2" l="1"/>
  <c r="CI26" i="2"/>
  <c r="CH26" i="2"/>
  <c r="CG26" i="2"/>
  <c r="DI26" i="2" l="1"/>
  <c r="CL26" i="2"/>
  <c r="CJ26" i="2"/>
  <c r="CE26" i="2"/>
  <c r="CF26" i="2" l="1"/>
  <c r="DE26" i="2"/>
  <c r="DA25" i="2"/>
  <c r="CY25" i="2"/>
  <c r="DD25" i="2"/>
  <c r="DC25" i="2"/>
  <c r="CZ25" i="2"/>
  <c r="DB25" i="2"/>
  <c r="CX25" i="2"/>
  <c r="CW25" i="2" l="1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CQ25" i="2"/>
  <c r="CP25" i="2" l="1" a="1"/>
  <c r="CP25" i="2" s="1"/>
  <c r="CO25" i="2" a="1"/>
  <c r="CO25" i="2" s="1"/>
  <c r="CK25" i="2"/>
  <c r="CN25" i="2"/>
  <c r="CM25" i="2"/>
  <c r="DH25" i="2" l="1"/>
  <c r="CG25" i="2"/>
  <c r="CI25" i="2"/>
  <c r="CH25" i="2"/>
  <c r="DI25" i="2" l="1"/>
  <c r="CL25" i="2"/>
  <c r="CJ25" i="2"/>
  <c r="CE25" i="2"/>
  <c r="CF25" i="2" l="1"/>
  <c r="DE25" i="2"/>
  <c r="CX24" i="2"/>
  <c r="CY24" i="2"/>
  <c r="DD24" i="2"/>
  <c r="DA24" i="2"/>
  <c r="CZ24" i="2"/>
  <c r="DB24" i="2"/>
  <c r="DC24" i="2"/>
  <c r="CW24" i="2" l="1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Q24" i="2"/>
  <c r="CP24" i="2" l="1" a="1"/>
  <c r="CP24" i="2" s="1"/>
  <c r="CO24" i="2" a="1"/>
  <c r="CO24" i="2" s="1"/>
  <c r="CK24" i="2"/>
  <c r="CN24" i="2"/>
  <c r="CM24" i="2"/>
  <c r="DH24" i="2" l="1"/>
  <c r="CI24" i="2"/>
  <c r="CG24" i="2"/>
  <c r="CH24" i="2"/>
  <c r="DI24" i="2" l="1"/>
  <c r="CL24" i="2"/>
  <c r="CJ24" i="2"/>
  <c r="CE24" i="2"/>
  <c r="CF24" i="2" l="1"/>
  <c r="DE24" i="2"/>
  <c r="DA23" i="2"/>
  <c r="DC23" i="2"/>
  <c r="DD23" i="2"/>
  <c r="DB23" i="2"/>
  <c r="CZ23" i="2"/>
  <c r="CX23" i="2"/>
  <c r="CY23" i="2"/>
  <c r="CW23" i="2" l="1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Q23" i="2"/>
  <c r="CP23" i="2" l="1" a="1"/>
  <c r="CP23" i="2" s="1"/>
  <c r="CO23" i="2" a="1"/>
  <c r="CO23" i="2" s="1"/>
  <c r="CM23" i="2"/>
  <c r="CN23" i="2"/>
  <c r="CK23" i="2"/>
  <c r="DH23" i="2" l="1"/>
  <c r="CH23" i="2"/>
  <c r="CI23" i="2"/>
  <c r="CG23" i="2"/>
  <c r="DI23" i="2" l="1"/>
  <c r="CL23" i="2"/>
  <c r="CJ23" i="2"/>
  <c r="CE23" i="2"/>
  <c r="CF23" i="2" l="1"/>
  <c r="DE23" i="2"/>
  <c r="DA22" i="2"/>
  <c r="DD22" i="2"/>
  <c r="DB22" i="2"/>
  <c r="CZ22" i="2"/>
  <c r="CX22" i="2"/>
  <c r="DC22" i="2"/>
  <c r="CY22" i="2"/>
  <c r="CW22" i="2" l="1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CQ22" i="2"/>
  <c r="CP22" i="2" l="1" a="1"/>
  <c r="CP22" i="2" s="1"/>
  <c r="CO22" i="2" a="1"/>
  <c r="CO22" i="2" s="1"/>
  <c r="CK22" i="2"/>
  <c r="CN22" i="2"/>
  <c r="CM22" i="2"/>
  <c r="DH22" i="2" l="1"/>
  <c r="CG22" i="2"/>
  <c r="CI22" i="2"/>
  <c r="CH22" i="2"/>
  <c r="DI22" i="2" l="1"/>
  <c r="CL22" i="2"/>
  <c r="CJ22" i="2"/>
  <c r="CE22" i="2"/>
  <c r="CF22" i="2" l="1"/>
  <c r="DE22" i="2"/>
  <c r="DD21" i="2"/>
  <c r="DB21" i="2"/>
  <c r="CZ21" i="2"/>
  <c r="CX21" i="2"/>
  <c r="DC21" i="2"/>
  <c r="DA21" i="2"/>
  <c r="CY21" i="2"/>
  <c r="CW21" i="2" l="1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Q21" i="2"/>
  <c r="CP21" i="2" l="1" a="1"/>
  <c r="CP21" i="2" s="1"/>
  <c r="CO21" i="2" a="1"/>
  <c r="CO21" i="2" s="1"/>
  <c r="CM21" i="2"/>
  <c r="CK21" i="2"/>
  <c r="CN21" i="2"/>
  <c r="DH21" i="2" l="1"/>
  <c r="CG21" i="2"/>
  <c r="CI21" i="2"/>
  <c r="CH21" i="2"/>
  <c r="DI21" i="2" l="1"/>
  <c r="CL21" i="2"/>
  <c r="CJ21" i="2"/>
  <c r="CE21" i="2"/>
  <c r="CF21" i="2" l="1"/>
  <c r="DE21" i="2"/>
  <c r="DB42" i="2"/>
  <c r="CY42" i="2"/>
  <c r="CX42" i="2"/>
  <c r="DA42" i="2"/>
  <c r="DC42" i="2"/>
  <c r="CZ42" i="2"/>
  <c r="DD42" i="2"/>
  <c r="CW42" i="2" l="1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Q42" i="2"/>
  <c r="CP42" i="2" l="1" a="1"/>
  <c r="CP42" i="2" s="1"/>
  <c r="CO42" i="2" a="1"/>
  <c r="CO42" i="2" s="1"/>
  <c r="CM42" i="2"/>
  <c r="CN42" i="2"/>
  <c r="CK42" i="2"/>
  <c r="DH42" i="2" l="1"/>
  <c r="CG42" i="2"/>
  <c r="CI42" i="2"/>
  <c r="CH42" i="2"/>
  <c r="DI42" i="2" l="1"/>
  <c r="CL42" i="2"/>
  <c r="CJ42" i="2"/>
  <c r="CE42" i="2"/>
  <c r="CF42" i="2" l="1"/>
  <c r="DE42" i="2"/>
  <c r="DD41" i="2"/>
  <c r="CY41" i="2"/>
  <c r="CZ41" i="2"/>
  <c r="DB41" i="2"/>
  <c r="DA41" i="2"/>
  <c r="CX41" i="2"/>
  <c r="DC41" i="2"/>
  <c r="CW41" i="2" l="1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 a="1"/>
  <c r="CR41" i="2" s="1"/>
  <c r="CQ41" i="2"/>
  <c r="CP41" i="2" l="1" a="1"/>
  <c r="CP41" i="2" s="1"/>
  <c r="CO41" i="2" a="1"/>
  <c r="CO41" i="2" s="1"/>
  <c r="CK41" i="2"/>
  <c r="CN41" i="2"/>
  <c r="CM41" i="2"/>
  <c r="DH41" i="2" l="1"/>
  <c r="CH41" i="2"/>
  <c r="CG41" i="2"/>
  <c r="CI41" i="2"/>
  <c r="DI41" i="2" l="1"/>
  <c r="CL41" i="2"/>
  <c r="CJ41" i="2"/>
  <c r="CE41" i="2"/>
  <c r="CF41" i="2" l="1"/>
  <c r="DE41" i="2"/>
  <c r="CY40" i="2"/>
  <c r="DB40" i="2"/>
  <c r="CZ40" i="2"/>
  <c r="CX40" i="2"/>
  <c r="DC40" i="2"/>
  <c r="DA40" i="2"/>
  <c r="DD40" i="2"/>
  <c r="CW40" i="2" l="1" a="1"/>
  <c r="CW40" i="2" s="1"/>
  <c r="CV40" i="2" a="1"/>
  <c r="CV40" i="2" s="1"/>
  <c r="CU40" i="2" a="1"/>
  <c r="CU40" i="2" s="1"/>
  <c r="CT40" i="2" a="1"/>
  <c r="CT40" i="2" s="1"/>
  <c r="CS40" i="2" a="1"/>
  <c r="CS40" i="2" s="1"/>
  <c r="CR40" i="2" a="1"/>
  <c r="CR40" i="2" s="1"/>
  <c r="CQ40" i="2"/>
  <c r="CP40" i="2" l="1" a="1"/>
  <c r="CP40" i="2" s="1"/>
  <c r="CO40" i="2" a="1"/>
  <c r="CO40" i="2" s="1"/>
  <c r="CK40" i="2"/>
  <c r="CN40" i="2"/>
  <c r="CM40" i="2"/>
  <c r="DH40" i="2" l="1"/>
  <c r="CG40" i="2"/>
  <c r="CI40" i="2"/>
  <c r="CH40" i="2"/>
  <c r="DI40" i="2" l="1"/>
  <c r="CL40" i="2"/>
  <c r="CJ40" i="2"/>
  <c r="CE40" i="2"/>
  <c r="CF40" i="2" l="1"/>
  <c r="DE40" i="2"/>
  <c r="CZ39" i="2"/>
  <c r="DD39" i="2"/>
  <c r="CY39" i="2"/>
  <c r="DA39" i="2"/>
  <c r="CX39" i="2"/>
  <c r="DB39" i="2"/>
  <c r="DC39" i="2"/>
  <c r="CW39" i="2" l="1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Q39" i="2"/>
  <c r="CP39" i="2" l="1" a="1"/>
  <c r="CP39" i="2" s="1"/>
  <c r="CO39" i="2" a="1"/>
  <c r="CO39" i="2" s="1"/>
  <c r="CM39" i="2"/>
  <c r="CN39" i="2"/>
  <c r="CK39" i="2"/>
  <c r="DH39" i="2" l="1"/>
  <c r="CH39" i="2"/>
  <c r="CG39" i="2"/>
  <c r="CI39" i="2"/>
  <c r="DI39" i="2" l="1"/>
  <c r="CL39" i="2"/>
  <c r="CJ39" i="2"/>
  <c r="CE39" i="2"/>
  <c r="CF39" i="2" l="1"/>
  <c r="DE39" i="2"/>
  <c r="CX38" i="2"/>
  <c r="DA38" i="2"/>
  <c r="CZ38" i="2"/>
  <c r="DB38" i="2"/>
  <c r="DD38" i="2"/>
  <c r="DC38" i="2"/>
  <c r="CY38" i="2"/>
  <c r="CW38" i="2" l="1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Q38" i="2"/>
  <c r="CP38" i="2" l="1" a="1"/>
  <c r="CP38" i="2" s="1"/>
  <c r="CO38" i="2" a="1"/>
  <c r="CO38" i="2" s="1"/>
  <c r="CM38" i="2"/>
  <c r="CN38" i="2"/>
  <c r="CK38" i="2"/>
  <c r="DH38" i="2" l="1"/>
  <c r="CI38" i="2"/>
  <c r="CG38" i="2"/>
  <c r="CH38" i="2"/>
  <c r="DI38" i="2" l="1"/>
  <c r="CL38" i="2"/>
  <c r="CJ38" i="2"/>
  <c r="CE38" i="2"/>
  <c r="CF38" i="2" l="1"/>
  <c r="DE38" i="2"/>
  <c r="DA37" i="2"/>
  <c r="CY37" i="2"/>
  <c r="DD37" i="2"/>
  <c r="DB37" i="2"/>
  <c r="CZ37" i="2"/>
  <c r="CX37" i="2"/>
  <c r="DC37" i="2"/>
  <c r="CW37" i="2" l="1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Q37" i="2"/>
  <c r="CP37" i="2" l="1" a="1"/>
  <c r="CP37" i="2" s="1"/>
  <c r="CO37" i="2" a="1"/>
  <c r="CO37" i="2" s="1"/>
  <c r="CM37" i="2"/>
  <c r="CK37" i="2"/>
  <c r="CN37" i="2"/>
  <c r="DH37" i="2" l="1"/>
  <c r="CH37" i="2"/>
  <c r="CG37" i="2"/>
  <c r="CI37" i="2"/>
  <c r="DI37" i="2" l="1"/>
  <c r="CL37" i="2"/>
  <c r="CJ37" i="2"/>
  <c r="CE37" i="2"/>
  <c r="CF37" i="2" l="1"/>
  <c r="DE37" i="2"/>
  <c r="DB36" i="2"/>
  <c r="CY36" i="2"/>
  <c r="CZ36" i="2"/>
  <c r="DA36" i="2"/>
  <c r="CX36" i="2"/>
  <c r="DD36" i="2"/>
  <c r="DC36" i="2"/>
  <c r="CW36" i="2" l="1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Q36" i="2"/>
  <c r="CP36" i="2" l="1" a="1"/>
  <c r="CP36" i="2" s="1"/>
  <c r="CO36" i="2" a="1"/>
  <c r="CO36" i="2" s="1"/>
  <c r="CK36" i="2"/>
  <c r="CN36" i="2"/>
  <c r="CM36" i="2"/>
  <c r="DH36" i="2" l="1"/>
  <c r="CI36" i="2"/>
  <c r="CG36" i="2"/>
  <c r="CH36" i="2"/>
  <c r="DI36" i="2" l="1"/>
  <c r="CL36" i="2"/>
  <c r="CJ36" i="2"/>
  <c r="CE36" i="2"/>
  <c r="CF36" i="2" l="1"/>
  <c r="DE36" i="2"/>
  <c r="CZ34" i="2"/>
  <c r="DA34" i="2"/>
  <c r="DC34" i="2"/>
  <c r="CX34" i="2"/>
  <c r="DB34" i="2"/>
  <c r="CY34" i="2"/>
  <c r="DD34" i="2"/>
  <c r="CW34" i="2" l="1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Q34" i="2"/>
  <c r="CP34" i="2" l="1" a="1"/>
  <c r="CP34" i="2" s="1"/>
  <c r="CO34" i="2" a="1"/>
  <c r="CO34" i="2" s="1"/>
  <c r="CK34" i="2"/>
  <c r="CN34" i="2"/>
  <c r="CM34" i="2"/>
  <c r="DH34" i="2" l="1"/>
  <c r="CH34" i="2"/>
  <c r="CG34" i="2"/>
  <c r="CI34" i="2"/>
  <c r="DI34" i="2" l="1"/>
  <c r="CL34" i="2"/>
  <c r="CJ34" i="2"/>
  <c r="CE34" i="2"/>
  <c r="CF34" i="2" l="1"/>
  <c r="DE34" i="2"/>
  <c r="DB20" i="2"/>
  <c r="CX20" i="2"/>
  <c r="DA20" i="2"/>
  <c r="CY20" i="2"/>
  <c r="DC20" i="2"/>
  <c r="CZ20" i="2"/>
  <c r="DD20" i="2"/>
  <c r="CW20" i="2" l="1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K20" i="2"/>
  <c r="CN20" i="2"/>
  <c r="CM20" i="2"/>
  <c r="DH20" i="2" l="1"/>
  <c r="CG20" i="2"/>
  <c r="CI20" i="2"/>
  <c r="CH20" i="2"/>
  <c r="DI20" i="2" l="1"/>
  <c r="CL20" i="2"/>
  <c r="CJ20" i="2"/>
  <c r="CE20" i="2"/>
  <c r="CF20" i="2" l="1"/>
  <c r="DE20" i="2"/>
  <c r="DD18" i="2"/>
  <c r="DA18" i="2"/>
  <c r="DC18" i="2"/>
  <c r="DB18" i="2"/>
  <c r="CX18" i="2"/>
  <c r="CZ18" i="2"/>
  <c r="CY18" i="2"/>
  <c r="CW18" i="2" l="1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Q18" i="2"/>
  <c r="CP18" i="2" l="1" a="1"/>
  <c r="CP18" i="2" s="1"/>
  <c r="CO18" i="2" a="1"/>
  <c r="CO18" i="2" s="1"/>
  <c r="CK18" i="2"/>
  <c r="CM18" i="2"/>
  <c r="CN18" i="2"/>
  <c r="DH18" i="2" l="1"/>
  <c r="CH18" i="2"/>
  <c r="CI18" i="2"/>
  <c r="CG18" i="2"/>
  <c r="DI18" i="2" l="1"/>
  <c r="CL18" i="2"/>
  <c r="CJ18" i="2"/>
  <c r="CE18" i="2"/>
  <c r="CF18" i="2" l="1"/>
  <c r="DE18" i="2"/>
  <c r="DD17" i="2"/>
  <c r="CZ17" i="2"/>
  <c r="DA17" i="2"/>
  <c r="CY17" i="2"/>
  <c r="DC17" i="2"/>
  <c r="CX17" i="2"/>
  <c r="DB17" i="2"/>
  <c r="CW17" i="2" l="1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Q17" i="2"/>
  <c r="CP17" i="2" l="1" a="1"/>
  <c r="CP17" i="2" s="1"/>
  <c r="CO17" i="2" a="1"/>
  <c r="CO17" i="2" s="1"/>
  <c r="CN17" i="2"/>
  <c r="CM17" i="2"/>
  <c r="CK17" i="2"/>
  <c r="DH17" i="2" l="1"/>
  <c r="CI17" i="2"/>
  <c r="CH17" i="2"/>
  <c r="CG17" i="2"/>
  <c r="DI17" i="2" l="1"/>
  <c r="CL17" i="2"/>
  <c r="CJ17" i="2"/>
  <c r="CE17" i="2"/>
  <c r="CF17" i="2" l="1"/>
  <c r="DE17" i="2"/>
  <c r="DA16" i="2"/>
  <c r="CY16" i="2"/>
  <c r="CX16" i="2"/>
  <c r="DC16" i="2"/>
  <c r="DD16" i="2"/>
  <c r="DB16" i="2"/>
  <c r="CZ16" i="2"/>
  <c r="CW16" i="2" l="1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Q16" i="2"/>
  <c r="CP16" i="2" l="1" a="1"/>
  <c r="CP16" i="2" s="1"/>
  <c r="CO16" i="2" a="1"/>
  <c r="CO16" i="2" s="1"/>
  <c r="CM16" i="2"/>
  <c r="CN16" i="2"/>
  <c r="CK16" i="2"/>
  <c r="DH16" i="2" l="1"/>
  <c r="CG16" i="2"/>
  <c r="CH16" i="2"/>
  <c r="CI16" i="2"/>
  <c r="DI16" i="2" l="1"/>
  <c r="CL16" i="2"/>
  <c r="CJ16" i="2"/>
  <c r="CE16" i="2"/>
  <c r="CF16" i="2" l="1"/>
  <c r="DE16" i="2"/>
  <c r="CY15" i="2"/>
  <c r="DB15" i="2"/>
  <c r="CX15" i="2"/>
  <c r="DA15" i="2"/>
  <c r="DD15" i="2"/>
  <c r="CZ15" i="2"/>
  <c r="DC15" i="2"/>
  <c r="CW15" i="2" l="1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Q15" i="2"/>
  <c r="CP15" i="2" l="1" a="1"/>
  <c r="CP15" i="2" s="1"/>
  <c r="CO15" i="2" a="1"/>
  <c r="CO15" i="2" s="1"/>
  <c r="CN15" i="2"/>
  <c r="CK15" i="2"/>
  <c r="CM15" i="2"/>
  <c r="DH15" i="2" l="1"/>
  <c r="CI15" i="2"/>
  <c r="CH15" i="2"/>
  <c r="CG15" i="2"/>
  <c r="DI15" i="2" l="1"/>
  <c r="CL15" i="2"/>
  <c r="CJ15" i="2"/>
  <c r="CE15" i="2"/>
  <c r="CF15" i="2" l="1"/>
  <c r="DE15" i="2"/>
  <c r="CX14" i="2"/>
  <c r="DA14" i="2"/>
  <c r="CZ14" i="2"/>
  <c r="DC14" i="2"/>
  <c r="CY14" i="2"/>
  <c r="DD14" i="2"/>
  <c r="DB14" i="2"/>
  <c r="CW14" i="2" l="1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 a="1"/>
  <c r="CR14" i="2" s="1"/>
  <c r="CQ14" i="2"/>
  <c r="CP14" i="2" l="1" a="1"/>
  <c r="CP14" i="2" s="1"/>
  <c r="CO14" i="2" a="1"/>
  <c r="CO14" i="2" s="1"/>
  <c r="CK14" i="2"/>
  <c r="CM14" i="2"/>
  <c r="CN14" i="2"/>
  <c r="DH14" i="2" l="1"/>
  <c r="CI14" i="2"/>
  <c r="CH14" i="2"/>
  <c r="CG14" i="2"/>
  <c r="DI14" i="2" l="1"/>
  <c r="CL14" i="2"/>
  <c r="CJ14" i="2"/>
  <c r="CE14" i="2"/>
  <c r="CF14" i="2" l="1"/>
  <c r="DE14" i="2"/>
  <c r="CZ13" i="2"/>
  <c r="DD13" i="2"/>
  <c r="DA13" i="2"/>
  <c r="DC13" i="2"/>
  <c r="CY13" i="2"/>
  <c r="DB13" i="2"/>
  <c r="CX13" i="2"/>
  <c r="CW13" i="2" l="1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N13" i="2"/>
  <c r="CK13" i="2"/>
  <c r="CM13" i="2"/>
  <c r="DH13" i="2" l="1"/>
  <c r="CI13" i="2"/>
  <c r="CG13" i="2"/>
  <c r="CH13" i="2"/>
  <c r="DI13" i="2" l="1"/>
  <c r="CL13" i="2"/>
  <c r="CJ13" i="2"/>
  <c r="CE13" i="2"/>
  <c r="CF13" i="2" l="1"/>
  <c r="DE13" i="2"/>
  <c r="CY12" i="2"/>
  <c r="CZ12" i="2"/>
  <c r="DC12" i="2"/>
  <c r="CX12" i="2"/>
  <c r="DD12" i="2"/>
  <c r="DA12" i="2"/>
  <c r="DB12" i="2"/>
  <c r="CW12" i="2" l="1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M12" i="2"/>
  <c r="CK12" i="2"/>
  <c r="CN12" i="2"/>
  <c r="DH12" i="2" l="1"/>
  <c r="CI12" i="2"/>
  <c r="CG12" i="2"/>
  <c r="CH12" i="2"/>
  <c r="DI12" i="2" l="1"/>
  <c r="CL12" i="2"/>
  <c r="CJ12" i="2"/>
  <c r="CE12" i="2"/>
  <c r="CF12" i="2" l="1"/>
  <c r="DE12" i="2"/>
  <c r="CX11" i="2"/>
  <c r="DB11" i="2"/>
  <c r="DD11" i="2"/>
  <c r="CZ11" i="2"/>
  <c r="CY11" i="2"/>
  <c r="DA11" i="2"/>
  <c r="DC11" i="2"/>
  <c r="CW11" i="2" l="1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Q11" i="2"/>
  <c r="CP11" i="2" l="1" a="1"/>
  <c r="CP11" i="2" s="1"/>
  <c r="CO11" i="2" a="1"/>
  <c r="CO11" i="2" s="1"/>
  <c r="CK11" i="2"/>
  <c r="CM11" i="2"/>
  <c r="CN11" i="2"/>
  <c r="DH11" i="2" l="1"/>
  <c r="CH11" i="2"/>
  <c r="CI11" i="2"/>
  <c r="CG11" i="2"/>
  <c r="DI11" i="2" l="1"/>
  <c r="CL11" i="2"/>
  <c r="CJ11" i="2"/>
  <c r="CE11" i="2"/>
  <c r="CF11" i="2" l="1"/>
  <c r="DE11" i="2"/>
  <c r="CX10" i="2"/>
  <c r="DA10" i="2"/>
  <c r="DD10" i="2"/>
  <c r="CZ10" i="2"/>
  <c r="DC10" i="2"/>
  <c r="CY10" i="2"/>
  <c r="DB10" i="2"/>
  <c r="CW10" i="2" l="1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Q10" i="2"/>
  <c r="CP10" i="2" l="1" a="1"/>
  <c r="CP10" i="2" s="1"/>
  <c r="CO10" i="2" a="1"/>
  <c r="CO10" i="2" s="1"/>
  <c r="CK10" i="2"/>
  <c r="CM10" i="2"/>
  <c r="CN10" i="2"/>
  <c r="DH10" i="2" l="1"/>
  <c r="CH10" i="2"/>
  <c r="CI10" i="2"/>
  <c r="CG10" i="2"/>
  <c r="DI10" i="2" l="1"/>
  <c r="CL10" i="2"/>
  <c r="CJ10" i="2"/>
  <c r="CE10" i="2"/>
  <c r="CF10" i="2" l="1"/>
  <c r="DE10" i="2"/>
  <c r="DC9" i="2"/>
  <c r="DA9" i="2"/>
  <c r="CX9" i="2"/>
  <c r="DB9" i="2"/>
  <c r="DD9" i="2"/>
  <c r="CY9" i="2"/>
  <c r="CZ9" i="2"/>
  <c r="CW9" i="2" l="1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Q9" i="2"/>
  <c r="CP9" i="2" l="1" a="1"/>
  <c r="CP9" i="2" s="1"/>
  <c r="CO9" i="2" a="1"/>
  <c r="CO9" i="2" s="1"/>
  <c r="CN9" i="2"/>
  <c r="CK9" i="2"/>
  <c r="CM9" i="2"/>
  <c r="DH9" i="2" l="1"/>
  <c r="CH9" i="2"/>
  <c r="CI9" i="2"/>
  <c r="CG9" i="2"/>
  <c r="DI9" i="2" l="1"/>
  <c r="CL9" i="2"/>
  <c r="CJ9" i="2"/>
  <c r="CE9" i="2"/>
  <c r="CF9" i="2" l="1"/>
  <c r="DE9" i="2"/>
  <c r="DC8" i="2"/>
  <c r="CX8" i="2"/>
  <c r="CZ8" i="2"/>
  <c r="CY8" i="2"/>
  <c r="DD8" i="2"/>
  <c r="DA8" i="2"/>
  <c r="DB8" i="2"/>
  <c r="CW8" i="2" l="1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N8" i="2"/>
  <c r="CM8" i="2"/>
  <c r="CK8" i="2"/>
  <c r="DH8" i="2" l="1"/>
  <c r="CG8" i="2"/>
  <c r="CI8" i="2"/>
  <c r="CH8" i="2"/>
  <c r="DI8" i="2" l="1"/>
  <c r="CL8" i="2"/>
  <c r="CJ8" i="2"/>
  <c r="CE8" i="2"/>
  <c r="CF8" i="2" l="1"/>
  <c r="DE8" i="2"/>
  <c r="CZ7" i="2"/>
  <c r="DA7" i="2"/>
  <c r="CY7" i="2"/>
  <c r="DD7" i="2"/>
  <c r="DC7" i="2"/>
  <c r="DB7" i="2"/>
  <c r="CX7" i="2"/>
  <c r="CW7" i="2" l="1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Q7" i="2"/>
  <c r="CP7" i="2" l="1" a="1"/>
  <c r="CP7" i="2" s="1"/>
  <c r="CO7" i="2" a="1"/>
  <c r="CO7" i="2" s="1"/>
  <c r="CM7" i="2"/>
  <c r="CN7" i="2"/>
  <c r="CK7" i="2"/>
  <c r="DH7" i="2" l="1"/>
  <c r="CI7" i="2"/>
  <c r="CG7" i="2"/>
  <c r="CH7" i="2"/>
  <c r="DI7" i="2" l="1"/>
  <c r="CL7" i="2"/>
  <c r="CJ7" i="2"/>
  <c r="CE7" i="2"/>
  <c r="CF7" i="2" l="1"/>
  <c r="DE7" i="2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Q57" i="2"/>
  <c r="W57" i="2"/>
  <c r="N57" i="2"/>
  <c r="R57" i="2"/>
  <c r="C75" i="3"/>
  <c r="F57" i="2"/>
  <c r="D57" i="2"/>
  <c r="V57" i="2"/>
  <c r="O57" i="2"/>
  <c r="Y57" i="2"/>
  <c r="I57" i="2"/>
  <c r="K57" i="2"/>
  <c r="H57" i="2"/>
  <c r="G57" i="2"/>
  <c r="X57" i="2"/>
  <c r="S57" i="2"/>
  <c r="U57" i="2"/>
  <c r="Z57" i="2"/>
  <c r="J57" i="2"/>
  <c r="L57" i="2"/>
  <c r="CX5" i="2"/>
  <c r="P57" i="2"/>
  <c r="T57" i="2"/>
  <c r="E57" i="2"/>
  <c r="M57" i="2"/>
  <c r="AT75" i="3" l="1" a="1"/>
  <c r="AT75" i="3" s="1"/>
  <c r="B76" i="3" a="1"/>
  <c r="B76" i="3" s="1"/>
  <c r="B75" i="3"/>
  <c r="B43" i="3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Z5" i="1"/>
  <c r="Y5" i="1"/>
  <c r="C43" i="3"/>
  <c r="C1" i="2" a="1"/>
  <c r="C1" i="2" s="1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CW5" i="2" a="1"/>
  <c r="CW5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N45" i="2" a="1"/>
  <c r="N45" i="2" s="1"/>
  <c r="O45" i="2" a="1"/>
  <c r="O45" i="2" s="1"/>
  <c r="P45" i="2" a="1"/>
  <c r="P45" i="2" s="1"/>
  <c r="Q45" i="2" a="1"/>
  <c r="Q45" i="2" s="1"/>
  <c r="R45" i="2" a="1"/>
  <c r="R45" i="2" s="1"/>
  <c r="S45" i="2" a="1"/>
  <c r="S45" i="2" s="1"/>
  <c r="T45" i="2" a="1"/>
  <c r="T45" i="2" s="1"/>
  <c r="U45" i="2" a="1"/>
  <c r="U45" i="2" s="1"/>
  <c r="V45" i="2" a="1"/>
  <c r="V45" i="2" s="1"/>
  <c r="W45" i="2" a="1"/>
  <c r="W45" i="2" s="1"/>
  <c r="X45" i="2" a="1"/>
  <c r="X45" i="2" s="1"/>
  <c r="Y45" i="2" a="1"/>
  <c r="Y45" i="2" s="1"/>
  <c r="Z45" i="2" a="1"/>
  <c r="Z45" i="2" s="1"/>
  <c r="AA45" i="2" a="1"/>
  <c r="AA45" i="2" s="1"/>
  <c r="AB45" i="2" a="1"/>
  <c r="AB45" i="2" s="1"/>
  <c r="AC45" i="2" a="1"/>
  <c r="AC45" i="2" s="1"/>
  <c r="AD45" i="2" a="1"/>
  <c r="AD45" i="2" s="1"/>
  <c r="AE45" i="2" a="1"/>
  <c r="AE45" i="2" s="1"/>
  <c r="AF45" i="2" a="1"/>
  <c r="AF45" i="2" s="1"/>
  <c r="AG45" i="2" a="1"/>
  <c r="AG45" i="2" s="1"/>
  <c r="AH45" i="2" a="1"/>
  <c r="AH45" i="2" s="1"/>
  <c r="AI45" i="2" a="1"/>
  <c r="AI45" i="2" s="1"/>
  <c r="AJ45" i="2" a="1"/>
  <c r="AJ45" i="2" s="1"/>
  <c r="AK45" i="2" a="1"/>
  <c r="AK45" i="2" s="1"/>
  <c r="AL45" i="2" a="1"/>
  <c r="AL45" i="2" s="1"/>
  <c r="AM45" i="2" a="1"/>
  <c r="AM45" i="2" s="1"/>
  <c r="AN45" i="2" a="1"/>
  <c r="AN45" i="2" s="1"/>
  <c r="AO45" i="2" a="1"/>
  <c r="AO45" i="2" s="1"/>
  <c r="AP45" i="2" a="1"/>
  <c r="AP45" i="2" s="1"/>
  <c r="AQ45" i="2" a="1"/>
  <c r="AQ45" i="2" s="1"/>
  <c r="AR45" i="2" a="1"/>
  <c r="AR45" i="2" s="1"/>
  <c r="AS45" i="2" a="1"/>
  <c r="AS45" i="2" s="1"/>
  <c r="AT45" i="2" a="1"/>
  <c r="AT45" i="2" s="1"/>
  <c r="AU45" i="2" a="1"/>
  <c r="AU45" i="2" s="1"/>
  <c r="AV45" i="2" a="1"/>
  <c r="AV45" i="2" s="1"/>
  <c r="AW45" i="2" a="1"/>
  <c r="AW45" i="2" s="1"/>
  <c r="AX45" i="2" a="1"/>
  <c r="AX45" i="2" s="1"/>
  <c r="AY45" i="2" a="1"/>
  <c r="AY45" i="2" s="1"/>
  <c r="AZ45" i="2" a="1"/>
  <c r="AZ45" i="2" s="1"/>
  <c r="BA45" i="2" a="1"/>
  <c r="BA45" i="2" s="1"/>
  <c r="BB45" i="2" a="1"/>
  <c r="BB45" i="2" s="1"/>
  <c r="BC45" i="2" a="1"/>
  <c r="BC45" i="2" s="1"/>
  <c r="BD45" i="2" a="1"/>
  <c r="BD45" i="2" s="1"/>
  <c r="BE45" i="2" a="1"/>
  <c r="BE45" i="2" s="1"/>
  <c r="BF45" i="2" a="1"/>
  <c r="BF45" i="2" s="1"/>
  <c r="D46" i="2" a="1"/>
  <c r="D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M46" i="2" a="1"/>
  <c r="M46" i="2" s="1"/>
  <c r="N46" i="2" a="1"/>
  <c r="N46" i="2" s="1"/>
  <c r="O46" i="2" a="1"/>
  <c r="O46" i="2" s="1"/>
  <c r="P46" i="2" a="1"/>
  <c r="P46" i="2" s="1"/>
  <c r="Q46" i="2" a="1"/>
  <c r="Q46" i="2" s="1"/>
  <c r="R46" i="2" a="1"/>
  <c r="R46" i="2" s="1"/>
  <c r="S46" i="2" a="1"/>
  <c r="S46" i="2" s="1"/>
  <c r="T46" i="2" a="1"/>
  <c r="T46" i="2" s="1"/>
  <c r="U46" i="2" a="1"/>
  <c r="U46" i="2" s="1"/>
  <c r="V46" i="2" a="1"/>
  <c r="V46" i="2" s="1"/>
  <c r="W46" i="2" a="1"/>
  <c r="W46" i="2" s="1"/>
  <c r="X46" i="2" a="1"/>
  <c r="X46" i="2" s="1"/>
  <c r="Y46" i="2" a="1"/>
  <c r="Y46" i="2" s="1"/>
  <c r="Z46" i="2" a="1"/>
  <c r="Z46" i="2" s="1"/>
  <c r="AA46" i="2" a="1"/>
  <c r="AA46" i="2" s="1"/>
  <c r="AB46" i="2" a="1"/>
  <c r="AB46" i="2" s="1"/>
  <c r="AC46" i="2" a="1"/>
  <c r="AC46" i="2" s="1"/>
  <c r="AD46" i="2" a="1"/>
  <c r="AD46" i="2" s="1"/>
  <c r="AE46" i="2" a="1"/>
  <c r="AE46" i="2" s="1"/>
  <c r="AF46" i="2" a="1"/>
  <c r="AF46" i="2" s="1"/>
  <c r="AG46" i="2" a="1"/>
  <c r="AG46" i="2" s="1"/>
  <c r="AH46" i="2" a="1"/>
  <c r="AH46" i="2" s="1"/>
  <c r="AI46" i="2" a="1"/>
  <c r="AI46" i="2" s="1"/>
  <c r="AJ46" i="2" a="1"/>
  <c r="AJ46" i="2" s="1"/>
  <c r="AK46" i="2" a="1"/>
  <c r="AK46" i="2" s="1"/>
  <c r="AL46" i="2" a="1"/>
  <c r="AL46" i="2" s="1"/>
  <c r="AM46" i="2" a="1"/>
  <c r="AM46" i="2" s="1"/>
  <c r="AN46" i="2" a="1"/>
  <c r="AN46" i="2" s="1"/>
  <c r="AO46" i="2" a="1"/>
  <c r="AO46" i="2" s="1"/>
  <c r="AP46" i="2" a="1"/>
  <c r="AP46" i="2" s="1"/>
  <c r="AQ46" i="2" a="1"/>
  <c r="AQ46" i="2" s="1"/>
  <c r="AR46" i="2" a="1"/>
  <c r="AR46" i="2" s="1"/>
  <c r="AS46" i="2" a="1"/>
  <c r="AS46" i="2" s="1"/>
  <c r="AT46" i="2" a="1"/>
  <c r="AT46" i="2" s="1"/>
  <c r="AU46" i="2" a="1"/>
  <c r="AU46" i="2" s="1"/>
  <c r="AV46" i="2" a="1"/>
  <c r="AV46" i="2" s="1"/>
  <c r="AW46" i="2" a="1"/>
  <c r="AW46" i="2" s="1"/>
  <c r="AX46" i="2" a="1"/>
  <c r="AX46" i="2" s="1"/>
  <c r="AY46" i="2" a="1"/>
  <c r="AY46" i="2" s="1"/>
  <c r="AZ46" i="2" a="1"/>
  <c r="AZ46" i="2" s="1"/>
  <c r="BA46" i="2" a="1"/>
  <c r="BA46" i="2" s="1"/>
  <c r="BB46" i="2" a="1"/>
  <c r="BB46" i="2" s="1"/>
  <c r="BC46" i="2" a="1"/>
  <c r="BC46" i="2" s="1"/>
  <c r="BD46" i="2" a="1"/>
  <c r="BD46" i="2" s="1"/>
  <c r="BE46" i="2" a="1"/>
  <c r="BE46" i="2" s="1"/>
  <c r="BF46" i="2" a="1"/>
  <c r="BF46" i="2" s="1"/>
  <c r="B1" i="3" a="1"/>
  <c r="B1" i="3" s="1"/>
  <c r="C37" i="3" a="1"/>
  <c r="C37" i="3" s="1"/>
  <c r="C42" i="3" a="1"/>
  <c r="C42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D29" i="4"/>
  <c r="D41" i="4" s="1"/>
  <c r="D42" i="4" s="1"/>
  <c r="E29" i="4"/>
  <c r="F29" i="4"/>
  <c r="F41" i="4" s="1"/>
  <c r="F42" i="4" s="1"/>
  <c r="G29" i="4"/>
  <c r="H29" i="4"/>
  <c r="H41" i="4" s="1"/>
  <c r="H42" i="4" s="1"/>
  <c r="I29" i="4"/>
  <c r="J29" i="4"/>
  <c r="J41" i="4" s="1"/>
  <c r="J42" i="4" s="1"/>
  <c r="K29" i="4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B29" i="4"/>
  <c r="AB41" i="4" s="1"/>
  <c r="AB42" i="4" s="1"/>
  <c r="AC29" i="4"/>
  <c r="AD29" i="4"/>
  <c r="AD41" i="4" s="1"/>
  <c r="AD42" i="4" s="1"/>
  <c r="AE29" i="4"/>
  <c r="AF29" i="4"/>
  <c r="AF41" i="4" s="1"/>
  <c r="AF42" i="4" s="1"/>
  <c r="AG29" i="4"/>
  <c r="AH29" i="4"/>
  <c r="AH41" i="4" s="1"/>
  <c r="AH42" i="4" s="1"/>
  <c r="AI29" i="4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41" i="4"/>
  <c r="A42" i="4" s="1"/>
  <c r="C41" i="4"/>
  <c r="C42" i="4" s="1"/>
  <c r="E41" i="4"/>
  <c r="E42" i="4" s="1"/>
  <c r="E43" i="4" s="1"/>
  <c r="G41" i="4"/>
  <c r="G42" i="4" s="1"/>
  <c r="I41" i="4"/>
  <c r="I42" i="4" s="1"/>
  <c r="K41" i="4"/>
  <c r="K42" i="4" s="1"/>
  <c r="M41" i="4"/>
  <c r="M42" i="4" s="1"/>
  <c r="M43" i="4" s="1"/>
  <c r="O41" i="4"/>
  <c r="O42" i="4" s="1"/>
  <c r="AA41" i="4"/>
  <c r="AA42" i="4" s="1"/>
  <c r="AC41" i="4"/>
  <c r="AC42" i="4" s="1"/>
  <c r="AE41" i="4"/>
  <c r="AE42" i="4" s="1"/>
  <c r="AE43" i="4" s="1"/>
  <c r="AG41" i="4"/>
  <c r="AG42" i="4" s="1"/>
  <c r="AI41" i="4"/>
  <c r="AI42" i="4" s="1"/>
  <c r="AK41" i="4"/>
  <c r="AK42" i="4" s="1"/>
  <c r="AM41" i="4"/>
  <c r="AM42" i="4" s="1"/>
  <c r="AM43" i="4" s="1"/>
  <c r="AO41" i="4"/>
  <c r="AO42" i="4" s="1"/>
  <c r="H44" i="4"/>
  <c r="D45" i="4" a="1"/>
  <c r="D45" i="4" s="1"/>
  <c r="H45" i="4"/>
  <c r="K45" i="4" s="1"/>
  <c r="N45" i="4" s="1"/>
  <c r="C4" i="7" s="1"/>
  <c r="D46" i="4" a="1"/>
  <c r="D46" i="4" s="1"/>
  <c r="L46" i="4"/>
  <c r="H46" i="4" s="1"/>
  <c r="M46" i="4" s="1"/>
  <c r="B5" i="7" s="1"/>
  <c r="D47" i="4" a="1"/>
  <c r="D47" i="4" s="1"/>
  <c r="L47" i="4"/>
  <c r="H47" i="4" s="1"/>
  <c r="K47" i="4" s="1"/>
  <c r="N47" i="4" s="1"/>
  <c r="C6" i="7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A21" i="1"/>
  <c r="AB21" i="1"/>
  <c r="AC21" i="1"/>
  <c r="AD21" i="1"/>
  <c r="A22" i="1"/>
  <c r="AA22" i="1"/>
  <c r="AB22" i="1"/>
  <c r="AC22" i="1"/>
  <c r="AD22" i="1"/>
  <c r="A23" i="1"/>
  <c r="AA23" i="1"/>
  <c r="AB23" i="1"/>
  <c r="AC23" i="1"/>
  <c r="AD23" i="1"/>
  <c r="A24" i="1"/>
  <c r="AA24" i="1"/>
  <c r="AB24" i="1"/>
  <c r="AC24" i="1"/>
  <c r="AD24" i="1"/>
  <c r="A25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AO43" i="4"/>
  <c r="AK43" i="4"/>
  <c r="AG43" i="4"/>
  <c r="AC43" i="4"/>
  <c r="O43" i="4"/>
  <c r="K43" i="4"/>
  <c r="G43" i="4"/>
  <c r="C43" i="4"/>
  <c r="E40" i="3"/>
  <c r="AU36" i="3"/>
  <c r="AJ40" i="3"/>
  <c r="S36" i="3"/>
  <c r="K40" i="3"/>
  <c r="AD40" i="3"/>
  <c r="H41" i="3"/>
  <c r="AP41" i="3"/>
  <c r="AF40" i="3"/>
  <c r="Y40" i="3"/>
  <c r="F55" i="2"/>
  <c r="BF48" i="2"/>
  <c r="AQ48" i="2"/>
  <c r="I54" i="2"/>
  <c r="AC48" i="2"/>
  <c r="Y48" i="2"/>
  <c r="N52" i="2"/>
  <c r="Q52" i="2"/>
  <c r="X54" i="2"/>
  <c r="CZ5" i="2"/>
  <c r="W52" i="2"/>
  <c r="D41" i="3"/>
  <c r="BE36" i="3"/>
  <c r="BA36" i="3"/>
  <c r="N36" i="3"/>
  <c r="J41" i="3"/>
  <c r="AG36" i="3"/>
  <c r="T36" i="3"/>
  <c r="AY36" i="3"/>
  <c r="AO36" i="3"/>
  <c r="AB41" i="3"/>
  <c r="H54" i="2"/>
  <c r="AM48" i="2"/>
  <c r="AC55" i="2"/>
  <c r="Z54" i="2"/>
  <c r="AV48" i="2"/>
  <c r="U54" i="2"/>
  <c r="E52" i="2"/>
  <c r="U52" i="2"/>
  <c r="X52" i="2"/>
  <c r="CG5" i="2"/>
  <c r="AP36" i="3"/>
  <c r="BA40" i="3"/>
  <c r="AW36" i="3"/>
  <c r="AC40" i="3"/>
  <c r="X41" i="3"/>
  <c r="I36" i="3"/>
  <c r="AF41" i="3"/>
  <c r="G41" i="3"/>
  <c r="AQ40" i="3"/>
  <c r="AQ36" i="3"/>
  <c r="R36" i="3"/>
  <c r="Y55" i="2"/>
  <c r="AA48" i="2"/>
  <c r="P54" i="2"/>
  <c r="R48" i="2"/>
  <c r="AU48" i="2"/>
  <c r="L54" i="2"/>
  <c r="S52" i="2"/>
  <c r="C44" i="3"/>
  <c r="CI5" i="3"/>
  <c r="CQ5" i="2"/>
  <c r="BB40" i="3"/>
  <c r="AI36" i="3"/>
  <c r="D40" i="3"/>
  <c r="AA36" i="3"/>
  <c r="S40" i="3"/>
  <c r="AY40" i="3"/>
  <c r="BF40" i="3"/>
  <c r="K36" i="3"/>
  <c r="F40" i="3"/>
  <c r="X40" i="3"/>
  <c r="AO48" i="2"/>
  <c r="D54" i="2"/>
  <c r="AD55" i="2"/>
  <c r="S54" i="2"/>
  <c r="D55" i="2"/>
  <c r="Q55" i="2"/>
  <c r="M52" i="2"/>
  <c r="R52" i="2"/>
  <c r="W40" i="3"/>
  <c r="CN5" i="3"/>
  <c r="DA5" i="2"/>
  <c r="AX36" i="3"/>
  <c r="S48" i="2"/>
  <c r="P55" i="2"/>
  <c r="AA52" i="2"/>
  <c r="CJ5" i="3"/>
  <c r="AH41" i="3"/>
  <c r="BE40" i="3"/>
  <c r="U40" i="3"/>
  <c r="BD41" i="3"/>
  <c r="AV40" i="3"/>
  <c r="AL41" i="3"/>
  <c r="R55" i="2"/>
  <c r="AE55" i="2"/>
  <c r="Q54" i="2"/>
  <c r="AY48" i="2"/>
  <c r="U48" i="2"/>
  <c r="D52" i="2"/>
  <c r="X55" i="2"/>
  <c r="W54" i="2"/>
  <c r="C40" i="3"/>
  <c r="AI41" i="3"/>
  <c r="M55" i="2"/>
  <c r="E48" i="2"/>
  <c r="AS48" i="2"/>
  <c r="T55" i="2"/>
  <c r="CM5" i="2"/>
  <c r="AG41" i="3"/>
  <c r="X36" i="3"/>
  <c r="AV41" i="3"/>
  <c r="AM36" i="3"/>
  <c r="AZ48" i="2"/>
  <c r="AP48" i="2"/>
  <c r="AK48" i="2"/>
  <c r="G52" i="2"/>
  <c r="DC5" i="2"/>
  <c r="AO40" i="3"/>
  <c r="P36" i="3"/>
  <c r="BF41" i="3"/>
  <c r="AK41" i="3"/>
  <c r="G40" i="3"/>
  <c r="AR48" i="2"/>
  <c r="AX48" i="2"/>
  <c r="AD52" i="2"/>
  <c r="V40" i="3"/>
  <c r="BF36" i="3"/>
  <c r="AB40" i="3"/>
  <c r="AA41" i="3"/>
  <c r="AS40" i="3"/>
  <c r="AH48" i="2"/>
  <c r="Y54" i="2"/>
  <c r="K52" i="2"/>
  <c r="CQ5" i="3"/>
  <c r="AX41" i="3"/>
  <c r="M40" i="3"/>
  <c r="AS36" i="3"/>
  <c r="AB55" i="2"/>
  <c r="J48" i="2"/>
  <c r="V52" i="2"/>
  <c r="V41" i="3"/>
  <c r="E41" i="3"/>
  <c r="M36" i="3"/>
  <c r="Q40" i="3"/>
  <c r="AN48" i="2"/>
  <c r="P48" i="2"/>
  <c r="W36" i="3"/>
  <c r="BD36" i="3"/>
  <c r="O41" i="3"/>
  <c r="BB41" i="3"/>
  <c r="R54" i="2"/>
  <c r="E55" i="2"/>
  <c r="V54" i="2"/>
  <c r="CO5" i="3"/>
  <c r="AE40" i="3"/>
  <c r="AS41" i="3"/>
  <c r="Y41" i="3"/>
  <c r="AJ48" i="2"/>
  <c r="F48" i="2"/>
  <c r="AB48" i="2"/>
  <c r="Y52" i="2"/>
  <c r="CI5" i="2"/>
  <c r="AQ41" i="3"/>
  <c r="AE36" i="3"/>
  <c r="AG40" i="3"/>
  <c r="N41" i="3"/>
  <c r="Q41" i="3"/>
  <c r="C41" i="3"/>
  <c r="U36" i="3"/>
  <c r="AO41" i="3"/>
  <c r="AF36" i="3"/>
  <c r="J40" i="3"/>
  <c r="I55" i="2"/>
  <c r="AB54" i="2"/>
  <c r="F54" i="2"/>
  <c r="G48" i="2"/>
  <c r="AA55" i="2"/>
  <c r="N48" i="2"/>
  <c r="L52" i="2"/>
  <c r="O48" i="2"/>
  <c r="CF5" i="3"/>
  <c r="CY5" i="2"/>
  <c r="AJ41" i="3"/>
  <c r="AZ40" i="3"/>
  <c r="AL40" i="3"/>
  <c r="AM41" i="3"/>
  <c r="H36" i="3"/>
  <c r="I41" i="3"/>
  <c r="AP40" i="3"/>
  <c r="P40" i="3"/>
  <c r="F36" i="3"/>
  <c r="BA41" i="3"/>
  <c r="Q36" i="3"/>
  <c r="H55" i="2"/>
  <c r="BA48" i="2"/>
  <c r="S55" i="2"/>
  <c r="U55" i="2"/>
  <c r="BB48" i="2"/>
  <c r="M54" i="2"/>
  <c r="H52" i="2"/>
  <c r="O55" i="2"/>
  <c r="CP5" i="3"/>
  <c r="CE5" i="2"/>
  <c r="AE41" i="3"/>
  <c r="AZ36" i="3"/>
  <c r="BC36" i="3"/>
  <c r="S41" i="3"/>
  <c r="AB36" i="3"/>
  <c r="BB36" i="3"/>
  <c r="C36" i="3"/>
  <c r="L40" i="3"/>
  <c r="T41" i="3"/>
  <c r="AD54" i="2"/>
  <c r="K54" i="2"/>
  <c r="AT48" i="2"/>
  <c r="K48" i="2"/>
  <c r="AE52" i="2"/>
  <c r="T54" i="2"/>
  <c r="DD5" i="2"/>
  <c r="AJ36" i="3"/>
  <c r="K41" i="3"/>
  <c r="I40" i="3"/>
  <c r="N40" i="3"/>
  <c r="BC48" i="2"/>
  <c r="AB52" i="2"/>
  <c r="DB5" i="2"/>
  <c r="AD41" i="3"/>
  <c r="H40" i="3"/>
  <c r="AN36" i="3"/>
  <c r="P41" i="3"/>
  <c r="BC41" i="3"/>
  <c r="AE54" i="2"/>
  <c r="M48" i="2"/>
  <c r="J52" i="2"/>
  <c r="CH5" i="3"/>
  <c r="AH40" i="3"/>
  <c r="Z40" i="3"/>
  <c r="O40" i="3"/>
  <c r="Z41" i="3"/>
  <c r="L55" i="2"/>
  <c r="L48" i="2"/>
  <c r="J54" i="2"/>
  <c r="CE5" i="3"/>
  <c r="AU41" i="3"/>
  <c r="L41" i="3"/>
  <c r="R41" i="3"/>
  <c r="Z55" i="2"/>
  <c r="V55" i="2"/>
  <c r="F52" i="2"/>
  <c r="W48" i="2"/>
  <c r="AT40" i="3"/>
  <c r="AI40" i="3"/>
  <c r="BD40" i="3"/>
  <c r="Q48" i="2"/>
  <c r="H48" i="2"/>
  <c r="V48" i="2"/>
  <c r="O52" i="2"/>
  <c r="AW40" i="3"/>
  <c r="T40" i="3"/>
  <c r="AN41" i="3"/>
  <c r="O36" i="3"/>
  <c r="AI48" i="2"/>
  <c r="G55" i="2"/>
  <c r="W41" i="3"/>
  <c r="CH5" i="2"/>
  <c r="AN40" i="3"/>
  <c r="D36" i="3"/>
  <c r="AU40" i="3"/>
  <c r="AG48" i="2"/>
  <c r="I48" i="2"/>
  <c r="P52" i="2"/>
  <c r="V36" i="3"/>
  <c r="AZ41" i="3"/>
  <c r="Y36" i="3"/>
  <c r="AA40" i="3"/>
  <c r="E36" i="3"/>
  <c r="BD48" i="2"/>
  <c r="AW48" i="2"/>
  <c r="O54" i="2"/>
  <c r="CK5" i="2"/>
  <c r="AD36" i="3"/>
  <c r="AX40" i="3"/>
  <c r="AL36" i="3"/>
  <c r="BC40" i="3"/>
  <c r="AA54" i="2"/>
  <c r="K55" i="2"/>
  <c r="T52" i="2"/>
  <c r="AR40" i="3"/>
  <c r="AC36" i="3"/>
  <c r="AW41" i="3"/>
  <c r="AD48" i="2"/>
  <c r="J55" i="2"/>
  <c r="AK40" i="3"/>
  <c r="AY41" i="3"/>
  <c r="G54" i="2"/>
  <c r="T48" i="2"/>
  <c r="AC41" i="3"/>
  <c r="AT41" i="3"/>
  <c r="AF48" i="2"/>
  <c r="D48" i="2"/>
  <c r="X48" i="2"/>
  <c r="AK36" i="3"/>
  <c r="R40" i="3"/>
  <c r="L36" i="3"/>
  <c r="AC54" i="2"/>
  <c r="CN5" i="2"/>
  <c r="F41" i="3"/>
  <c r="AH36" i="3"/>
  <c r="J36" i="3"/>
  <c r="AL48" i="2"/>
  <c r="E54" i="2"/>
  <c r="I52" i="2"/>
  <c r="AR36" i="3"/>
  <c r="U41" i="3"/>
  <c r="AT36" i="3"/>
  <c r="G36" i="3"/>
  <c r="BE48" i="2"/>
  <c r="AE48" i="2"/>
  <c r="AC52" i="2"/>
  <c r="W55" i="2"/>
  <c r="AM40" i="3"/>
  <c r="AR41" i="3"/>
  <c r="M41" i="3"/>
  <c r="Z48" i="2"/>
  <c r="Z52" i="2"/>
  <c r="BE41" i="3"/>
  <c r="Z36" i="3"/>
  <c r="AV36" i="3"/>
  <c r="N55" i="2"/>
  <c r="N54" i="2"/>
  <c r="CG5" i="3"/>
  <c r="L48" i="4" l="1"/>
  <c r="A7" i="7" s="1"/>
  <c r="AI43" i="4"/>
  <c r="AA43" i="4"/>
  <c r="I43" i="4"/>
  <c r="B45" i="3"/>
  <c r="Y63" i="1"/>
  <c r="CK5" i="3"/>
  <c r="CR5" i="3" s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44" i="2"/>
  <c r="CE46" i="2"/>
  <c r="AB3" i="1" a="1"/>
  <c r="AB3" i="1" s="1"/>
  <c r="AC63" i="1"/>
  <c r="BN42" i="3"/>
  <c r="AH42" i="3"/>
  <c r="AX42" i="3"/>
  <c r="R42" i="3"/>
  <c r="K38" i="3"/>
  <c r="BV42" i="3"/>
  <c r="BF42" i="3"/>
  <c r="AP42" i="3"/>
  <c r="Z42" i="3"/>
  <c r="J42" i="3"/>
  <c r="AQ38" i="3"/>
  <c r="AH37" i="3"/>
  <c r="K46" i="4"/>
  <c r="N46" i="4" s="1"/>
  <c r="C5" i="7" s="1"/>
  <c r="AA38" i="3"/>
  <c r="AX37" i="3"/>
  <c r="R37" i="3"/>
  <c r="BZ42" i="3"/>
  <c r="BR42" i="3"/>
  <c r="BJ42" i="3"/>
  <c r="BB42" i="3"/>
  <c r="AT42" i="3"/>
  <c r="AL42" i="3"/>
  <c r="AD42" i="3"/>
  <c r="V42" i="3"/>
  <c r="N42" i="3"/>
  <c r="F42" i="3"/>
  <c r="AY38" i="3"/>
  <c r="AI38" i="3"/>
  <c r="S38" i="3"/>
  <c r="C38" i="3"/>
  <c r="AP37" i="3"/>
  <c r="Z37" i="3"/>
  <c r="J37" i="3"/>
  <c r="BC38" i="3"/>
  <c r="AU38" i="3"/>
  <c r="AM38" i="3"/>
  <c r="AE38" i="3"/>
  <c r="W38" i="3"/>
  <c r="O38" i="3"/>
  <c r="G38" i="3"/>
  <c r="BB37" i="3"/>
  <c r="AT37" i="3"/>
  <c r="AL37" i="3"/>
  <c r="AD37" i="3"/>
  <c r="V37" i="3"/>
  <c r="N37" i="3"/>
  <c r="F37" i="3"/>
  <c r="CB42" i="3"/>
  <c r="BX42" i="3"/>
  <c r="BT42" i="3"/>
  <c r="BP42" i="3"/>
  <c r="BL42" i="3"/>
  <c r="BH42" i="3"/>
  <c r="BD42" i="3"/>
  <c r="AZ42" i="3"/>
  <c r="AV42" i="3"/>
  <c r="AR42" i="3"/>
  <c r="AN42" i="3"/>
  <c r="AJ42" i="3"/>
  <c r="AF42" i="3"/>
  <c r="AB42" i="3"/>
  <c r="X42" i="3"/>
  <c r="T42" i="3"/>
  <c r="P42" i="3"/>
  <c r="L42" i="3"/>
  <c r="H42" i="3"/>
  <c r="D42" i="3"/>
  <c r="BE38" i="3"/>
  <c r="BA38" i="3"/>
  <c r="AW38" i="3"/>
  <c r="AS38" i="3"/>
  <c r="AO38" i="3"/>
  <c r="AK38" i="3"/>
  <c r="AG38" i="3"/>
  <c r="AC38" i="3"/>
  <c r="Y38" i="3"/>
  <c r="U38" i="3"/>
  <c r="Q38" i="3"/>
  <c r="M38" i="3"/>
  <c r="I38" i="3"/>
  <c r="E38" i="3"/>
  <c r="BD37" i="3"/>
  <c r="AZ37" i="3"/>
  <c r="AV37" i="3"/>
  <c r="AR37" i="3"/>
  <c r="AN37" i="3"/>
  <c r="AJ37" i="3"/>
  <c r="AF37" i="3"/>
  <c r="AB37" i="3"/>
  <c r="X37" i="3"/>
  <c r="T37" i="3"/>
  <c r="P37" i="3"/>
  <c r="L37" i="3"/>
  <c r="H37" i="3"/>
  <c r="D37" i="3"/>
  <c r="BD38" i="3"/>
  <c r="BB38" i="3"/>
  <c r="AZ38" i="3"/>
  <c r="AX38" i="3"/>
  <c r="AV38" i="3"/>
  <c r="AT38" i="3"/>
  <c r="AR38" i="3"/>
  <c r="AP38" i="3"/>
  <c r="AN38" i="3"/>
  <c r="AL38" i="3"/>
  <c r="AJ38" i="3"/>
  <c r="AH38" i="3"/>
  <c r="AF38" i="3"/>
  <c r="AD38" i="3"/>
  <c r="AB38" i="3"/>
  <c r="Z38" i="3"/>
  <c r="X38" i="3"/>
  <c r="V38" i="3"/>
  <c r="T38" i="3"/>
  <c r="R38" i="3"/>
  <c r="P38" i="3"/>
  <c r="N38" i="3"/>
  <c r="L38" i="3"/>
  <c r="J38" i="3"/>
  <c r="H38" i="3"/>
  <c r="F38" i="3"/>
  <c r="D38" i="3"/>
  <c r="BE37" i="3"/>
  <c r="BC37" i="3"/>
  <c r="BA37" i="3"/>
  <c r="BA39" i="3" s="1"/>
  <c r="AY37" i="3"/>
  <c r="AW37" i="3"/>
  <c r="AU37" i="3"/>
  <c r="AS37" i="3"/>
  <c r="AS39" i="3" s="1"/>
  <c r="AQ37" i="3"/>
  <c r="AO37" i="3"/>
  <c r="AM37" i="3"/>
  <c r="AK37" i="3"/>
  <c r="AI37" i="3"/>
  <c r="AG37" i="3"/>
  <c r="AE37" i="3"/>
  <c r="AC37" i="3"/>
  <c r="AA37" i="3"/>
  <c r="Y37" i="3"/>
  <c r="W37" i="3"/>
  <c r="U37" i="3"/>
  <c r="S37" i="3"/>
  <c r="Q37" i="3"/>
  <c r="O37" i="3"/>
  <c r="M37" i="3"/>
  <c r="K37" i="3"/>
  <c r="I37" i="3"/>
  <c r="G37" i="3"/>
  <c r="E37" i="3"/>
  <c r="CC42" i="3"/>
  <c r="CA42" i="3"/>
  <c r="BY42" i="3"/>
  <c r="BW42" i="3"/>
  <c r="BU42" i="3"/>
  <c r="BS42" i="3"/>
  <c r="BQ42" i="3"/>
  <c r="BO42" i="3"/>
  <c r="BM42" i="3"/>
  <c r="BK42" i="3"/>
  <c r="BI42" i="3"/>
  <c r="BG42" i="3"/>
  <c r="BE42" i="3"/>
  <c r="BC42" i="3"/>
  <c r="BA42" i="3"/>
  <c r="AY42" i="3"/>
  <c r="AW42" i="3"/>
  <c r="AU42" i="3"/>
  <c r="AS42" i="3"/>
  <c r="AQ42" i="3"/>
  <c r="AO42" i="3"/>
  <c r="AM42" i="3"/>
  <c r="AK42" i="3"/>
  <c r="AI42" i="3"/>
  <c r="AG42" i="3"/>
  <c r="AE42" i="3"/>
  <c r="AC42" i="3"/>
  <c r="AA42" i="3"/>
  <c r="Y42" i="3"/>
  <c r="W42" i="3"/>
  <c r="U42" i="3"/>
  <c r="S42" i="3"/>
  <c r="Q42" i="3"/>
  <c r="O42" i="3"/>
  <c r="M42" i="3"/>
  <c r="K42" i="3"/>
  <c r="I42" i="3"/>
  <c r="G42" i="3"/>
  <c r="E42" i="3"/>
  <c r="O65" i="1"/>
  <c r="O66" i="1" s="1"/>
  <c r="CC1" i="3"/>
  <c r="BM1" i="3"/>
  <c r="AW1" i="3"/>
  <c r="AG1" i="3"/>
  <c r="Q1" i="3"/>
  <c r="O46" i="4"/>
  <c r="D5" i="7" s="1"/>
  <c r="M47" i="4"/>
  <c r="B6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44" i="2"/>
  <c r="CS44" i="2"/>
  <c r="CP44" i="2"/>
  <c r="CE45" i="2"/>
  <c r="CV44" i="2"/>
  <c r="CT44" i="2"/>
  <c r="CO44" i="2"/>
  <c r="O47" i="4"/>
  <c r="D6" i="7" s="1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Y44" i="2"/>
  <c r="CE41" i="3"/>
  <c r="CE40" i="3"/>
  <c r="CE36" i="3"/>
  <c r="CE48" i="2"/>
  <c r="CO48" i="2"/>
  <c r="DC44" i="2"/>
  <c r="CJ5" i="2"/>
  <c r="CI48" i="2"/>
  <c r="CQ3" i="3"/>
  <c r="DA44" i="2"/>
  <c r="CP3" i="3"/>
  <c r="B55" i="2"/>
  <c r="B54" i="2"/>
  <c r="DD44" i="2"/>
  <c r="DB44" i="2"/>
  <c r="CZ44" i="2"/>
  <c r="DI5" i="2"/>
  <c r="CQ44" i="2"/>
  <c r="CT5" i="3"/>
  <c r="CF36" i="3"/>
  <c r="CM5" i="3"/>
  <c r="CL5" i="3"/>
  <c r="CJ36" i="3"/>
  <c r="DH5" i="2"/>
  <c r="CK48" i="2"/>
  <c r="CL5" i="2"/>
  <c r="DE5" i="2" s="1"/>
  <c r="CG48" i="2"/>
  <c r="CF5" i="2"/>
  <c r="CH48" i="2"/>
  <c r="O17" i="5"/>
  <c r="Z63" i="1"/>
  <c r="D49" i="2" a="1"/>
  <c r="AA2" i="1"/>
  <c r="AA63" i="1"/>
  <c r="AA3" i="1" a="1"/>
  <c r="AA3" i="1" s="1"/>
  <c r="AD63" i="1"/>
  <c r="AB63" i="1"/>
  <c r="CO46" i="2"/>
  <c r="P65" i="1"/>
  <c r="P66" i="1" s="1"/>
  <c r="H93" i="4"/>
  <c r="A5" i="5" s="1" a="1"/>
  <c r="CO45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F81" i="2"/>
  <c r="M63" i="2"/>
  <c r="W81" i="2"/>
  <c r="N81" i="2"/>
  <c r="W88" i="2"/>
  <c r="S82" i="2"/>
  <c r="X85" i="2"/>
  <c r="L88" i="2"/>
  <c r="Q77" i="2"/>
  <c r="T88" i="2"/>
  <c r="D88" i="2"/>
  <c r="P81" i="2"/>
  <c r="O82" i="2"/>
  <c r="Q82" i="2"/>
  <c r="CS28" i="3" l="1"/>
  <c r="CS27" i="3"/>
  <c r="CS23" i="3"/>
  <c r="CS30" i="3"/>
  <c r="CS16" i="3"/>
  <c r="CS24" i="3"/>
  <c r="CS19" i="3"/>
  <c r="CS29" i="3"/>
  <c r="CS17" i="3"/>
  <c r="CS26" i="3"/>
  <c r="CS20" i="3"/>
  <c r="CS21" i="3"/>
  <c r="CS22" i="3"/>
  <c r="CS15" i="3"/>
  <c r="CS18" i="3"/>
  <c r="CS25" i="3"/>
  <c r="H48" i="4"/>
  <c r="L49" i="4"/>
  <c r="DF19" i="2"/>
  <c r="DF35" i="2"/>
  <c r="DF6" i="2"/>
  <c r="CS6" i="3"/>
  <c r="CS9" i="3"/>
  <c r="CS7" i="3"/>
  <c r="CS34" i="3"/>
  <c r="CS8" i="3"/>
  <c r="CS12" i="3"/>
  <c r="CS32" i="3"/>
  <c r="CS11" i="3"/>
  <c r="CS13" i="3"/>
  <c r="CS31" i="3"/>
  <c r="CS10" i="3"/>
  <c r="CS14" i="3"/>
  <c r="CS33" i="3"/>
  <c r="DF26" i="2"/>
  <c r="DF33" i="2"/>
  <c r="DF31" i="2"/>
  <c r="DF29" i="2"/>
  <c r="DF27" i="2"/>
  <c r="DF25" i="2"/>
  <c r="DF23" i="2"/>
  <c r="DF22" i="2"/>
  <c r="DF32" i="2"/>
  <c r="DF30" i="2"/>
  <c r="DF28" i="2"/>
  <c r="DF24" i="2"/>
  <c r="DF21" i="2"/>
  <c r="DF42" i="2"/>
  <c r="DF40" i="2"/>
  <c r="DF38" i="2"/>
  <c r="DF36" i="2"/>
  <c r="DF17" i="2"/>
  <c r="DF16" i="2"/>
  <c r="DF14" i="2"/>
  <c r="DF13" i="2"/>
  <c r="DF11" i="2"/>
  <c r="DF9" i="2"/>
  <c r="DF8" i="2"/>
  <c r="DF41" i="2"/>
  <c r="DF39" i="2"/>
  <c r="DF37" i="2"/>
  <c r="DF34" i="2"/>
  <c r="DF20" i="2"/>
  <c r="DF18" i="2"/>
  <c r="DF15" i="2"/>
  <c r="DF12" i="2"/>
  <c r="DF10" i="2"/>
  <c r="DF7" i="2"/>
  <c r="T68" i="1"/>
  <c r="R68" i="1"/>
  <c r="S68" i="1"/>
  <c r="Q68" i="1"/>
  <c r="BC39" i="3"/>
  <c r="G39" i="3"/>
  <c r="W39" i="3"/>
  <c r="AA39" i="3"/>
  <c r="AI39" i="3"/>
  <c r="AM39" i="3"/>
  <c r="E39" i="3"/>
  <c r="M39" i="3"/>
  <c r="U39" i="3"/>
  <c r="AC39" i="3"/>
  <c r="AK39" i="3"/>
  <c r="C39" i="3"/>
  <c r="I39" i="3"/>
  <c r="AB39" i="3"/>
  <c r="L39" i="3"/>
  <c r="AR39" i="3"/>
  <c r="AO39" i="3"/>
  <c r="Y39" i="3"/>
  <c r="BE39" i="3"/>
  <c r="D39" i="3"/>
  <c r="T39" i="3"/>
  <c r="AJ39" i="3"/>
  <c r="AZ39" i="3"/>
  <c r="AY39" i="3"/>
  <c r="S39" i="3"/>
  <c r="H39" i="3"/>
  <c r="P39" i="3"/>
  <c r="X39" i="3"/>
  <c r="AF39" i="3"/>
  <c r="AN39" i="3"/>
  <c r="AV39" i="3"/>
  <c r="BD39" i="3"/>
  <c r="Q39" i="3"/>
  <c r="AG39" i="3"/>
  <c r="AW39" i="3"/>
  <c r="N39" i="3"/>
  <c r="R39" i="3"/>
  <c r="Z39" i="3"/>
  <c r="AD39" i="3"/>
  <c r="AH39" i="3"/>
  <c r="AT39" i="3"/>
  <c r="O39" i="3"/>
  <c r="AE39" i="3"/>
  <c r="AU39" i="3"/>
  <c r="AQ39" i="3"/>
  <c r="K39" i="3"/>
  <c r="F39" i="3"/>
  <c r="V39" i="3"/>
  <c r="AL39" i="3"/>
  <c r="BB39" i="3"/>
  <c r="J39" i="3"/>
  <c r="AP39" i="3"/>
  <c r="AX39" i="3"/>
  <c r="CE37" i="3"/>
  <c r="CE38" i="3"/>
  <c r="CR45" i="2"/>
  <c r="CR46" i="2" s="1"/>
  <c r="DF5" i="2"/>
  <c r="CS5" i="3"/>
  <c r="AA65" i="1"/>
  <c r="O67" i="1"/>
  <c r="D49" i="2"/>
  <c r="E49" i="2"/>
  <c r="E50" i="2" s="1"/>
  <c r="G49" i="2"/>
  <c r="G50" i="2" s="1"/>
  <c r="I49" i="2"/>
  <c r="I50" i="2" s="1"/>
  <c r="K49" i="2"/>
  <c r="K50" i="2" s="1"/>
  <c r="M49" i="2"/>
  <c r="M50" i="2" s="1"/>
  <c r="O49" i="2"/>
  <c r="O50" i="2" s="1"/>
  <c r="Q49" i="2"/>
  <c r="Q50" i="2" s="1"/>
  <c r="S49" i="2"/>
  <c r="S50" i="2" s="1"/>
  <c r="U49" i="2"/>
  <c r="U50" i="2" s="1"/>
  <c r="W49" i="2"/>
  <c r="W50" i="2" s="1"/>
  <c r="Y49" i="2"/>
  <c r="Y50" i="2" s="1"/>
  <c r="AA49" i="2"/>
  <c r="AA50" i="2" s="1"/>
  <c r="AC49" i="2"/>
  <c r="AC50" i="2" s="1"/>
  <c r="AE49" i="2"/>
  <c r="AE50" i="2" s="1"/>
  <c r="AG49" i="2"/>
  <c r="AG50" i="2" s="1"/>
  <c r="AI49" i="2"/>
  <c r="AI50" i="2" s="1"/>
  <c r="AK49" i="2"/>
  <c r="AK50" i="2" s="1"/>
  <c r="AM49" i="2"/>
  <c r="AM50" i="2" s="1"/>
  <c r="AO49" i="2"/>
  <c r="AO50" i="2" s="1"/>
  <c r="AQ49" i="2"/>
  <c r="AQ50" i="2" s="1"/>
  <c r="AS49" i="2"/>
  <c r="AS50" i="2" s="1"/>
  <c r="AU49" i="2"/>
  <c r="AU50" i="2" s="1"/>
  <c r="AV49" i="2"/>
  <c r="AV50" i="2" s="1"/>
  <c r="AW49" i="2"/>
  <c r="AW50" i="2" s="1"/>
  <c r="AX49" i="2"/>
  <c r="AX50" i="2" s="1"/>
  <c r="AY49" i="2"/>
  <c r="AY50" i="2" s="1"/>
  <c r="AZ49" i="2"/>
  <c r="AZ50" i="2" s="1"/>
  <c r="BA49" i="2"/>
  <c r="BA50" i="2" s="1"/>
  <c r="BB49" i="2"/>
  <c r="BB50" i="2" s="1"/>
  <c r="BC49" i="2"/>
  <c r="BC50" i="2" s="1"/>
  <c r="BD49" i="2"/>
  <c r="BD50" i="2" s="1"/>
  <c r="BE49" i="2"/>
  <c r="BE50" i="2" s="1"/>
  <c r="BF49" i="2"/>
  <c r="BF50" i="2" s="1"/>
  <c r="H49" i="2"/>
  <c r="H50" i="2" s="1"/>
  <c r="L49" i="2"/>
  <c r="L50" i="2" s="1"/>
  <c r="P49" i="2"/>
  <c r="P50" i="2" s="1"/>
  <c r="T49" i="2"/>
  <c r="T50" i="2" s="1"/>
  <c r="X49" i="2"/>
  <c r="X50" i="2" s="1"/>
  <c r="AB49" i="2"/>
  <c r="AB50" i="2" s="1"/>
  <c r="AF49" i="2"/>
  <c r="AF50" i="2" s="1"/>
  <c r="AJ49" i="2"/>
  <c r="AJ50" i="2" s="1"/>
  <c r="AN49" i="2"/>
  <c r="AN50" i="2" s="1"/>
  <c r="AR49" i="2"/>
  <c r="AR50" i="2" s="1"/>
  <c r="F49" i="2"/>
  <c r="F50" i="2" s="1"/>
  <c r="J49" i="2"/>
  <c r="J50" i="2" s="1"/>
  <c r="N49" i="2"/>
  <c r="N50" i="2" s="1"/>
  <c r="R49" i="2"/>
  <c r="R50" i="2" s="1"/>
  <c r="V49" i="2"/>
  <c r="V50" i="2" s="1"/>
  <c r="Z49" i="2"/>
  <c r="Z50" i="2" s="1"/>
  <c r="AD49" i="2"/>
  <c r="AD50" i="2" s="1"/>
  <c r="AH49" i="2"/>
  <c r="AH50" i="2" s="1"/>
  <c r="AL49" i="2"/>
  <c r="AL50" i="2" s="1"/>
  <c r="AP49" i="2"/>
  <c r="AP50" i="2" s="1"/>
  <c r="AT49" i="2"/>
  <c r="AT50" i="2" s="1"/>
  <c r="CF41" i="3"/>
  <c r="CG41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50" i="2"/>
  <c r="M48" i="4" l="1"/>
  <c r="B7" i="7" s="1"/>
  <c r="K48" i="4"/>
  <c r="N48" i="4" s="1"/>
  <c r="C7" i="7" s="1"/>
  <c r="O48" i="4"/>
  <c r="D7" i="7" s="1"/>
  <c r="H49" i="4"/>
  <c r="A8" i="7"/>
  <c r="L50" i="4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39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39" i="3"/>
  <c r="CH39" i="3" a="1"/>
  <c r="CH39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46" i="2"/>
  <c r="CT46" i="2"/>
  <c r="CV46" i="2"/>
  <c r="CU46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D2" i="9"/>
  <c r="F34" i="9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4" i="9"/>
  <c r="B4" i="9"/>
  <c r="D16" i="9"/>
  <c r="F16" i="9"/>
  <c r="G16" i="9"/>
  <c r="D24" i="9"/>
  <c r="G24" i="9"/>
  <c r="C24" i="9"/>
  <c r="E36" i="9"/>
  <c r="B36" i="9"/>
  <c r="D48" i="9"/>
  <c r="F48" i="9"/>
  <c r="E48" i="9"/>
  <c r="D56" i="9"/>
  <c r="F56" i="9"/>
  <c r="E56" i="9"/>
  <c r="C9" i="9"/>
  <c r="H9" i="9"/>
  <c r="G9" i="9"/>
  <c r="F21" i="9"/>
  <c r="F41" i="9"/>
  <c r="E41" i="9"/>
  <c r="H41" i="9"/>
  <c r="E57" i="9"/>
  <c r="CO49" i="2"/>
  <c r="D50" i="2"/>
  <c r="CE49" i="2"/>
  <c r="CH41" i="3"/>
  <c r="G56" i="9" l="1"/>
  <c r="G48" i="9"/>
  <c r="H36" i="9"/>
  <c r="F24" i="9"/>
  <c r="E16" i="9"/>
  <c r="H4" i="9"/>
  <c r="G23" i="9"/>
  <c r="D18" i="9"/>
  <c r="D50" i="9"/>
  <c r="L50" i="9" s="1"/>
  <c r="F2" i="9"/>
  <c r="D34" i="9"/>
  <c r="C44" i="10"/>
  <c r="E50" i="9"/>
  <c r="E18" i="9"/>
  <c r="C41" i="10"/>
  <c r="D48" i="10" a="1"/>
  <c r="I48" i="10" s="1"/>
  <c r="D55" i="9"/>
  <c r="J55" i="9" s="1"/>
  <c r="D7" i="9"/>
  <c r="J7" i="9" s="1"/>
  <c r="B39" i="9"/>
  <c r="B23" i="9"/>
  <c r="B25" i="9"/>
  <c r="F8" i="9"/>
  <c r="B55" i="9"/>
  <c r="G39" i="9"/>
  <c r="B7" i="9"/>
  <c r="H52" i="9"/>
  <c r="F40" i="9"/>
  <c r="E45" i="9"/>
  <c r="G37" i="9"/>
  <c r="D40" i="9"/>
  <c r="J40" i="9" s="1"/>
  <c r="B20" i="9"/>
  <c r="F25" i="9"/>
  <c r="G58" i="9"/>
  <c r="G26" i="9"/>
  <c r="C10" i="9"/>
  <c r="B45" i="9"/>
  <c r="D37" i="9"/>
  <c r="J37" i="9" s="1"/>
  <c r="H20" i="9"/>
  <c r="G8" i="9"/>
  <c r="E47" i="9"/>
  <c r="C15" i="9"/>
  <c r="G42" i="9"/>
  <c r="F45" i="9"/>
  <c r="B37" i="9"/>
  <c r="D25" i="9"/>
  <c r="J25" i="9" s="1"/>
  <c r="C40" i="9"/>
  <c r="G40" i="9"/>
  <c r="C20" i="9"/>
  <c r="D8" i="9"/>
  <c r="J8" i="9" s="1"/>
  <c r="F47" i="9"/>
  <c r="D31" i="9"/>
  <c r="J31" i="9" s="1"/>
  <c r="D15" i="9"/>
  <c r="J15" i="9" s="1"/>
  <c r="F58" i="9"/>
  <c r="F42" i="9"/>
  <c r="F26" i="9"/>
  <c r="G10" i="9"/>
  <c r="C52" i="9"/>
  <c r="B40" i="9"/>
  <c r="C31" i="9"/>
  <c r="D45" i="9"/>
  <c r="J45" i="9" s="1"/>
  <c r="C37" i="9"/>
  <c r="E25" i="9"/>
  <c r="B52" i="9"/>
  <c r="H40" i="9"/>
  <c r="C8" i="9"/>
  <c r="K49" i="4"/>
  <c r="N49" i="4" s="1"/>
  <c r="C8" i="7" s="1"/>
  <c r="M49" i="4"/>
  <c r="B8" i="7" s="1"/>
  <c r="O49" i="4"/>
  <c r="D8" i="7" s="1"/>
  <c r="A9" i="7"/>
  <c r="L51" i="4"/>
  <c r="H50" i="4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L47" i="9" s="1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L58" i="9" s="1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L24" i="9" s="1"/>
  <c r="G20" i="9"/>
  <c r="E20" i="9"/>
  <c r="F20" i="9"/>
  <c r="B16" i="9"/>
  <c r="H16" i="9"/>
  <c r="H8" i="9"/>
  <c r="B8" i="9"/>
  <c r="L8" i="9" s="1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L49" i="9" s="1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L56" i="9"/>
  <c r="J56" i="9"/>
  <c r="L48" i="9"/>
  <c r="J48" i="9"/>
  <c r="L16" i="9"/>
  <c r="J16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L51" i="9"/>
  <c r="J51" i="9"/>
  <c r="J43" i="9"/>
  <c r="J11" i="9"/>
  <c r="L54" i="9"/>
  <c r="J54" i="9"/>
  <c r="L46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L53" i="9"/>
  <c r="J53" i="9"/>
  <c r="J5" i="9"/>
  <c r="L40" i="9"/>
  <c r="J32" i="9"/>
  <c r="J24" i="9"/>
  <c r="I8" i="5"/>
  <c r="F5" i="6" s="1"/>
  <c r="D8" i="5"/>
  <c r="C5" i="6" s="1"/>
  <c r="F8" i="5"/>
  <c r="CO50" i="2"/>
  <c r="CE50" i="2"/>
  <c r="CH51" i="2" s="1"/>
  <c r="J9" i="9"/>
  <c r="L52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J50" i="9"/>
  <c r="J34" i="9"/>
  <c r="J18" i="9"/>
  <c r="J2" i="9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L55" i="9" l="1"/>
  <c r="H48" i="10"/>
  <c r="G48" i="10"/>
  <c r="L48" i="10" s="1"/>
  <c r="D48" i="10"/>
  <c r="J48" i="10"/>
  <c r="K48" i="10"/>
  <c r="E48" i="10"/>
  <c r="F48" i="10"/>
  <c r="E30" i="10"/>
  <c r="L45" i="9"/>
  <c r="L37" i="9"/>
  <c r="L25" i="9"/>
  <c r="M50" i="4"/>
  <c r="B9" i="7" s="1"/>
  <c r="K50" i="4"/>
  <c r="N50" i="4" s="1"/>
  <c r="C9" i="7" s="1"/>
  <c r="O50" i="4"/>
  <c r="D9" i="7" s="1"/>
  <c r="H51" i="4"/>
  <c r="L52" i="4"/>
  <c r="A10" i="7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N38" i="10" s="1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K50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N34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48" i="10" l="1"/>
  <c r="K51" i="4"/>
  <c r="N51" i="4" s="1"/>
  <c r="C10" i="7" s="1"/>
  <c r="M51" i="4"/>
  <c r="B10" i="7" s="1"/>
  <c r="O51" i="4"/>
  <c r="D10" i="7" s="1"/>
  <c r="H52" i="4"/>
  <c r="L53" i="4"/>
  <c r="A11" i="7"/>
  <c r="N30" i="10"/>
  <c r="N32" i="10"/>
  <c r="N11" i="10"/>
  <c r="L38" i="10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39" i="10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38" i="10"/>
  <c r="M44" i="10"/>
  <c r="M42" i="10"/>
  <c r="M40" i="10"/>
  <c r="M37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M36" i="10"/>
  <c r="M35" i="10"/>
  <c r="M34" i="10"/>
  <c r="M33" i="10"/>
  <c r="M32" i="10"/>
  <c r="M3" i="10"/>
  <c r="M6" i="10"/>
  <c r="M14" i="10"/>
  <c r="M22" i="10"/>
  <c r="M30" i="10"/>
  <c r="M4" i="10"/>
  <c r="M12" i="10"/>
  <c r="M20" i="10"/>
  <c r="M28" i="10"/>
  <c r="M10" i="10"/>
  <c r="M26" i="10"/>
  <c r="M8" i="10"/>
  <c r="M24" i="10"/>
  <c r="M5" i="10"/>
  <c r="M9" i="10"/>
  <c r="M13" i="10"/>
  <c r="M17" i="10"/>
  <c r="M21" i="10"/>
  <c r="M25" i="10"/>
  <c r="M29" i="10"/>
  <c r="M7" i="10"/>
  <c r="M11" i="10"/>
  <c r="M15" i="10"/>
  <c r="M19" i="10"/>
  <c r="M23" i="10"/>
  <c r="M27" i="10"/>
  <c r="M31" i="10"/>
  <c r="M2" i="10"/>
  <c r="M18" i="10"/>
  <c r="M16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O52" i="4" l="1"/>
  <c r="D11" i="7" s="1"/>
  <c r="K52" i="4"/>
  <c r="N52" i="4" s="1"/>
  <c r="C11" i="7" s="1"/>
  <c r="M52" i="4"/>
  <c r="B11" i="7" s="1"/>
  <c r="H53" i="4"/>
  <c r="A12" i="7"/>
  <c r="L54" i="4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Q3" i="10" a="1"/>
  <c r="Q3" i="10" s="1"/>
  <c r="Q25" i="10" a="1"/>
  <c r="Q24" i="10" a="1"/>
  <c r="Q23" i="10" a="1"/>
  <c r="Q22" i="10" a="1"/>
  <c r="Q21" i="10" a="1"/>
  <c r="Q19" i="10" a="1"/>
  <c r="Q18" i="10" a="1"/>
  <c r="Q17" i="10" a="1"/>
  <c r="Q16" i="10" a="1"/>
  <c r="Q14" i="10" a="1"/>
  <c r="Q12" i="10" a="1"/>
  <c r="Q11" i="10" a="1"/>
  <c r="Q9" i="10" a="1"/>
  <c r="Q6" i="10" a="1"/>
  <c r="Q5" i="10" a="1"/>
  <c r="Q20" i="10" a="1"/>
  <c r="Q15" i="10" a="1"/>
  <c r="Q13" i="10" a="1"/>
  <c r="Q10" i="10" a="1"/>
  <c r="Q8" i="10" a="1"/>
  <c r="Q7" i="10" a="1"/>
  <c r="Q4" i="10" a="1"/>
  <c r="M39" i="9"/>
  <c r="S39" i="9" s="1"/>
  <c r="M31" i="9"/>
  <c r="Q31" i="9" s="1"/>
  <c r="M23" i="9"/>
  <c r="S23" i="9" s="1"/>
  <c r="M11" i="9"/>
  <c r="Q11" i="9" s="1"/>
  <c r="M3" i="9"/>
  <c r="S3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Q9" i="9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S34" i="9" l="1"/>
  <c r="S2" i="9"/>
  <c r="O10" i="9"/>
  <c r="O7" i="9"/>
  <c r="T41" i="9"/>
  <c r="O53" i="4"/>
  <c r="D12" i="7" s="1"/>
  <c r="K53" i="4"/>
  <c r="N53" i="4" s="1"/>
  <c r="C12" i="7" s="1"/>
  <c r="M53" i="4"/>
  <c r="B12" i="7" s="1"/>
  <c r="A13" i="7"/>
  <c r="H54" i="4"/>
  <c r="L55" i="4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V3" i="10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W3" i="10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R3" i="10"/>
  <c r="S3" i="10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X3" i="10"/>
  <c r="T3" i="10"/>
  <c r="Y3" i="10"/>
  <c r="U3" i="10"/>
  <c r="P20" i="9"/>
  <c r="T11" i="9"/>
  <c r="S20" i="9"/>
  <c r="R11" i="9"/>
  <c r="O6" i="9"/>
  <c r="O22" i="9"/>
  <c r="Q38" i="9"/>
  <c r="P29" i="9"/>
  <c r="Y4" i="10"/>
  <c r="W4" i="10"/>
  <c r="U4" i="10"/>
  <c r="S4" i="10"/>
  <c r="Q4" i="10"/>
  <c r="X4" i="10"/>
  <c r="V4" i="10"/>
  <c r="T4" i="10"/>
  <c r="R4" i="10"/>
  <c r="Y8" i="10"/>
  <c r="W8" i="10"/>
  <c r="U8" i="10"/>
  <c r="S8" i="10"/>
  <c r="Q8" i="10"/>
  <c r="X8" i="10"/>
  <c r="V8" i="10"/>
  <c r="T8" i="10"/>
  <c r="R8" i="10"/>
  <c r="Y13" i="10"/>
  <c r="W13" i="10"/>
  <c r="U13" i="10"/>
  <c r="S13" i="10"/>
  <c r="Q13" i="10"/>
  <c r="X13" i="10"/>
  <c r="V13" i="10"/>
  <c r="T13" i="10"/>
  <c r="R13" i="10"/>
  <c r="R20" i="10"/>
  <c r="Y20" i="10"/>
  <c r="W20" i="10"/>
  <c r="U20" i="10"/>
  <c r="S20" i="10"/>
  <c r="Q20" i="10"/>
  <c r="X20" i="10"/>
  <c r="V20" i="10"/>
  <c r="T20" i="10"/>
  <c r="X6" i="10"/>
  <c r="V6" i="10"/>
  <c r="T6" i="10"/>
  <c r="R6" i="10"/>
  <c r="Y6" i="10"/>
  <c r="W6" i="10"/>
  <c r="U6" i="10"/>
  <c r="S6" i="10"/>
  <c r="Z6" i="10" s="1"/>
  <c r="Q6" i="10"/>
  <c r="Y11" i="10"/>
  <c r="W11" i="10"/>
  <c r="U11" i="10"/>
  <c r="S11" i="10"/>
  <c r="Q11" i="10"/>
  <c r="X11" i="10"/>
  <c r="V11" i="10"/>
  <c r="T11" i="10"/>
  <c r="R11" i="10"/>
  <c r="X14" i="10"/>
  <c r="V14" i="10"/>
  <c r="T14" i="10"/>
  <c r="R14" i="10"/>
  <c r="Y14" i="10"/>
  <c r="W14" i="10"/>
  <c r="U14" i="10"/>
  <c r="S14" i="10"/>
  <c r="Q14" i="10"/>
  <c r="X17" i="10"/>
  <c r="V17" i="10"/>
  <c r="T17" i="10"/>
  <c r="R17" i="10"/>
  <c r="Y17" i="10"/>
  <c r="W17" i="10"/>
  <c r="U17" i="10"/>
  <c r="S17" i="10"/>
  <c r="Z17" i="10" s="1"/>
  <c r="Q17" i="10"/>
  <c r="X19" i="10"/>
  <c r="V19" i="10"/>
  <c r="T19" i="10"/>
  <c r="R19" i="10"/>
  <c r="Y19" i="10"/>
  <c r="W19" i="10"/>
  <c r="U19" i="10"/>
  <c r="S19" i="10"/>
  <c r="Q19" i="10"/>
  <c r="X22" i="10"/>
  <c r="V22" i="10"/>
  <c r="T22" i="10"/>
  <c r="R22" i="10"/>
  <c r="Y22" i="10"/>
  <c r="W22" i="10"/>
  <c r="U22" i="10"/>
  <c r="S22" i="10"/>
  <c r="Q22" i="10"/>
  <c r="X24" i="10"/>
  <c r="V24" i="10"/>
  <c r="T24" i="10"/>
  <c r="R24" i="10"/>
  <c r="Y24" i="10"/>
  <c r="W24" i="10"/>
  <c r="U24" i="10"/>
  <c r="S24" i="10"/>
  <c r="Q24" i="10"/>
  <c r="X7" i="10"/>
  <c r="V7" i="10"/>
  <c r="T7" i="10"/>
  <c r="R7" i="10"/>
  <c r="Y7" i="10"/>
  <c r="W7" i="10"/>
  <c r="U7" i="10"/>
  <c r="S7" i="10"/>
  <c r="Q7" i="10"/>
  <c r="Y10" i="10"/>
  <c r="W10" i="10"/>
  <c r="U10" i="10"/>
  <c r="S10" i="10"/>
  <c r="Q10" i="10"/>
  <c r="X10" i="10"/>
  <c r="V10" i="10"/>
  <c r="T10" i="10"/>
  <c r="R10" i="10"/>
  <c r="Y15" i="10"/>
  <c r="W15" i="10"/>
  <c r="U15" i="10"/>
  <c r="S15" i="10"/>
  <c r="Q15" i="10"/>
  <c r="X15" i="10"/>
  <c r="V15" i="10"/>
  <c r="T15" i="10"/>
  <c r="R15" i="10"/>
  <c r="Y5" i="10"/>
  <c r="W5" i="10"/>
  <c r="U5" i="10"/>
  <c r="S5" i="10"/>
  <c r="Q5" i="10"/>
  <c r="X5" i="10"/>
  <c r="V5" i="10"/>
  <c r="T5" i="10"/>
  <c r="R5" i="10"/>
  <c r="X9" i="10"/>
  <c r="V9" i="10"/>
  <c r="T9" i="10"/>
  <c r="Y9" i="10"/>
  <c r="W9" i="10"/>
  <c r="U9" i="10"/>
  <c r="S9" i="10"/>
  <c r="Q9" i="10"/>
  <c r="R9" i="10"/>
  <c r="X12" i="10"/>
  <c r="V12" i="10"/>
  <c r="T12" i="10"/>
  <c r="Y12" i="10"/>
  <c r="W12" i="10"/>
  <c r="U12" i="10"/>
  <c r="S12" i="10"/>
  <c r="Q12" i="10"/>
  <c r="R12" i="10"/>
  <c r="T16" i="10"/>
  <c r="Y16" i="10"/>
  <c r="W16" i="10"/>
  <c r="U16" i="10"/>
  <c r="S16" i="10"/>
  <c r="Q16" i="10"/>
  <c r="X16" i="10"/>
  <c r="V16" i="10"/>
  <c r="R16" i="10"/>
  <c r="X18" i="10"/>
  <c r="V18" i="10"/>
  <c r="T18" i="10"/>
  <c r="R18" i="10"/>
  <c r="Y18" i="10"/>
  <c r="W18" i="10"/>
  <c r="U18" i="10"/>
  <c r="S18" i="10"/>
  <c r="Q18" i="10"/>
  <c r="X21" i="10"/>
  <c r="T21" i="10"/>
  <c r="R21" i="10"/>
  <c r="Y21" i="10"/>
  <c r="W21" i="10"/>
  <c r="U21" i="10"/>
  <c r="S21" i="10"/>
  <c r="Z21" i="10" s="1"/>
  <c r="Q21" i="10"/>
  <c r="V21" i="10"/>
  <c r="X23" i="10"/>
  <c r="V23" i="10"/>
  <c r="T23" i="10"/>
  <c r="R23" i="10"/>
  <c r="Y23" i="10"/>
  <c r="W23" i="10"/>
  <c r="U23" i="10"/>
  <c r="S23" i="10"/>
  <c r="Q23" i="10"/>
  <c r="X25" i="10"/>
  <c r="V25" i="10"/>
  <c r="T25" i="10"/>
  <c r="R25" i="10"/>
  <c r="Y25" i="10"/>
  <c r="W25" i="10"/>
  <c r="U25" i="10"/>
  <c r="S25" i="10"/>
  <c r="Q25" i="10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Z18" i="10" l="1"/>
  <c r="Z24" i="10"/>
  <c r="Z14" i="10"/>
  <c r="Z19" i="10"/>
  <c r="Z20" i="10"/>
  <c r="Z7" i="10"/>
  <c r="Z25" i="10"/>
  <c r="Z22" i="10"/>
  <c r="Z23" i="10"/>
  <c r="H55" i="4"/>
  <c r="L56" i="4"/>
  <c r="A14" i="7"/>
  <c r="O54" i="4"/>
  <c r="D13" i="7" s="1"/>
  <c r="M54" i="4"/>
  <c r="B13" i="7" s="1"/>
  <c r="K54" i="4"/>
  <c r="N54" i="4" s="1"/>
  <c r="C13" i="7" s="1"/>
  <c r="Z5" i="10"/>
  <c r="Z10" i="10"/>
  <c r="Z13" i="10"/>
  <c r="Z4" i="10"/>
  <c r="Z16" i="10"/>
  <c r="Z9" i="10"/>
  <c r="Z12" i="10"/>
  <c r="Z15" i="10"/>
  <c r="Z11" i="10"/>
  <c r="Z8" i="10"/>
  <c r="Z3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H56" i="4" l="1"/>
  <c r="L57" i="4"/>
  <c r="A15" i="7"/>
  <c r="K55" i="4"/>
  <c r="N55" i="4" s="1"/>
  <c r="C14" i="7" s="1"/>
  <c r="M55" i="4"/>
  <c r="B14" i="7" s="1"/>
  <c r="O55" i="4"/>
  <c r="D14" i="7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H57" i="4" l="1"/>
  <c r="L58" i="4"/>
  <c r="A16" i="7"/>
  <c r="K56" i="4"/>
  <c r="N56" i="4" s="1"/>
  <c r="C15" i="7" s="1"/>
  <c r="O56" i="4"/>
  <c r="D15" i="7" s="1"/>
  <c r="M56" i="4"/>
  <c r="B15" i="7" s="1"/>
  <c r="T15" i="5" a="1"/>
  <c r="T15" i="5" s="1"/>
  <c r="S15" i="5"/>
  <c r="O27" i="5"/>
  <c r="N26" i="5"/>
  <c r="P25" i="5"/>
  <c r="R25" i="5"/>
  <c r="Q25" i="5"/>
  <c r="H58" i="4" l="1"/>
  <c r="L59" i="4"/>
  <c r="A17" i="7"/>
  <c r="K57" i="4"/>
  <c r="N57" i="4" s="1"/>
  <c r="C16" i="7" s="1"/>
  <c r="O57" i="4"/>
  <c r="D16" i="7" s="1"/>
  <c r="M57" i="4"/>
  <c r="B16" i="7" s="1"/>
  <c r="Q26" i="5"/>
  <c r="P26" i="5"/>
  <c r="R26" i="5"/>
  <c r="O28" i="5"/>
  <c r="N27" i="5"/>
  <c r="L60" i="4" l="1"/>
  <c r="H59" i="4"/>
  <c r="A18" i="7"/>
  <c r="K58" i="4"/>
  <c r="N58" i="4" s="1"/>
  <c r="C17" i="7" s="1"/>
  <c r="O58" i="4"/>
  <c r="D17" i="7" s="1"/>
  <c r="M58" i="4"/>
  <c r="B17" i="7" s="1"/>
  <c r="O29" i="5"/>
  <c r="N28" i="5"/>
  <c r="P27" i="5"/>
  <c r="R27" i="5"/>
  <c r="Q27" i="5"/>
  <c r="L61" i="4" l="1"/>
  <c r="A19" i="7"/>
  <c r="H60" i="4"/>
  <c r="M59" i="4"/>
  <c r="B18" i="7" s="1"/>
  <c r="O59" i="4"/>
  <c r="D18" i="7" s="1"/>
  <c r="K59" i="4"/>
  <c r="N59" i="4" s="1"/>
  <c r="C18" i="7" s="1"/>
  <c r="Q28" i="5"/>
  <c r="P28" i="5"/>
  <c r="R28" i="5"/>
  <c r="O30" i="5"/>
  <c r="N29" i="5"/>
  <c r="A20" i="7" l="1"/>
  <c r="L62" i="4"/>
  <c r="H61" i="4"/>
  <c r="M60" i="4"/>
  <c r="B19" i="7" s="1"/>
  <c r="K60" i="4"/>
  <c r="N60" i="4" s="1"/>
  <c r="C19" i="7" s="1"/>
  <c r="O60" i="4"/>
  <c r="D19" i="7" s="1"/>
  <c r="P29" i="5"/>
  <c r="R29" i="5"/>
  <c r="Q29" i="5"/>
  <c r="O31" i="5"/>
  <c r="N30" i="5"/>
  <c r="L63" i="4" l="1"/>
  <c r="H62" i="4"/>
  <c r="A21" i="7"/>
  <c r="O61" i="4"/>
  <c r="D20" i="7" s="1"/>
  <c r="M61" i="4"/>
  <c r="B20" i="7" s="1"/>
  <c r="K61" i="4"/>
  <c r="N61" i="4" s="1"/>
  <c r="C20" i="7" s="1"/>
  <c r="O32" i="5"/>
  <c r="N31" i="5"/>
  <c r="Q30" i="5"/>
  <c r="P30" i="5"/>
  <c r="R30" i="5"/>
  <c r="O62" i="4" l="1"/>
  <c r="D21" i="7" s="1"/>
  <c r="M62" i="4"/>
  <c r="B21" i="7" s="1"/>
  <c r="K62" i="4"/>
  <c r="N62" i="4" s="1"/>
  <c r="C21" i="7" s="1"/>
  <c r="H63" i="4"/>
  <c r="L64" i="4"/>
  <c r="A22" i="7"/>
  <c r="P31" i="5"/>
  <c r="R31" i="5"/>
  <c r="Q31" i="5"/>
  <c r="O33" i="5"/>
  <c r="N32" i="5"/>
  <c r="O63" i="4" l="1"/>
  <c r="D22" i="7" s="1"/>
  <c r="M63" i="4"/>
  <c r="B22" i="7" s="1"/>
  <c r="K63" i="4"/>
  <c r="N63" i="4" s="1"/>
  <c r="C22" i="7" s="1"/>
  <c r="L65" i="4"/>
  <c r="H64" i="4"/>
  <c r="A23" i="7"/>
  <c r="Q32" i="5"/>
  <c r="P32" i="5"/>
  <c r="R32" i="5"/>
  <c r="O34" i="5"/>
  <c r="N33" i="5"/>
  <c r="H65" i="4" l="1"/>
  <c r="A24" i="7"/>
  <c r="L66" i="4"/>
  <c r="M64" i="4"/>
  <c r="B23" i="7" s="1"/>
  <c r="K64" i="4"/>
  <c r="N64" i="4" s="1"/>
  <c r="C23" i="7" s="1"/>
  <c r="O64" i="4"/>
  <c r="D23" i="7" s="1"/>
  <c r="P33" i="5"/>
  <c r="R33" i="5"/>
  <c r="Q33" i="5"/>
  <c r="O35" i="5"/>
  <c r="N34" i="5"/>
  <c r="H66" i="4" l="1"/>
  <c r="L67" i="4"/>
  <c r="A25" i="7"/>
  <c r="O65" i="4"/>
  <c r="D24" i="7" s="1"/>
  <c r="M65" i="4"/>
  <c r="B24" i="7" s="1"/>
  <c r="K65" i="4"/>
  <c r="N65" i="4" s="1"/>
  <c r="C24" i="7" s="1"/>
  <c r="O36" i="5"/>
  <c r="N35" i="5"/>
  <c r="Q34" i="5"/>
  <c r="P34" i="5"/>
  <c r="R34" i="5"/>
  <c r="H67" i="4" l="1"/>
  <c r="L68" i="4"/>
  <c r="A26" i="7"/>
  <c r="O66" i="4"/>
  <c r="D25" i="7" s="1"/>
  <c r="M66" i="4"/>
  <c r="B25" i="7" s="1"/>
  <c r="K66" i="4"/>
  <c r="N66" i="4" s="1"/>
  <c r="C25" i="7" s="1"/>
  <c r="O37" i="5"/>
  <c r="N36" i="5"/>
  <c r="P35" i="5"/>
  <c r="R35" i="5"/>
  <c r="Q35" i="5"/>
  <c r="H68" i="4" l="1"/>
  <c r="L69" i="4"/>
  <c r="A27" i="7"/>
  <c r="M67" i="4"/>
  <c r="B26" i="7" s="1"/>
  <c r="K67" i="4"/>
  <c r="N67" i="4" s="1"/>
  <c r="C26" i="7" s="1"/>
  <c r="O67" i="4"/>
  <c r="D26" i="7" s="1"/>
  <c r="Q36" i="5"/>
  <c r="P36" i="5"/>
  <c r="R36" i="5"/>
  <c r="O38" i="5"/>
  <c r="N37" i="5"/>
  <c r="H69" i="4" l="1"/>
  <c r="A28" i="7"/>
  <c r="L70" i="4"/>
  <c r="O68" i="4"/>
  <c r="D27" i="7" s="1"/>
  <c r="M68" i="4"/>
  <c r="B27" i="7" s="1"/>
  <c r="K68" i="4"/>
  <c r="N68" i="4" s="1"/>
  <c r="C27" i="7" s="1"/>
  <c r="P37" i="5"/>
  <c r="R37" i="5"/>
  <c r="Q37" i="5"/>
  <c r="O39" i="5"/>
  <c r="N38" i="5"/>
  <c r="O69" i="4" l="1"/>
  <c r="D28" i="7" s="1"/>
  <c r="K69" i="4"/>
  <c r="N69" i="4" s="1"/>
  <c r="C28" i="7" s="1"/>
  <c r="M69" i="4"/>
  <c r="B28" i="7" s="1"/>
  <c r="H70" i="4"/>
  <c r="L71" i="4"/>
  <c r="A29" i="7"/>
  <c r="O40" i="5"/>
  <c r="N39" i="5"/>
  <c r="Q38" i="5"/>
  <c r="P38" i="5"/>
  <c r="R38" i="5"/>
  <c r="H71" i="4" l="1"/>
  <c r="L72" i="4"/>
  <c r="A30" i="7"/>
  <c r="K70" i="4"/>
  <c r="N70" i="4" s="1"/>
  <c r="C29" i="7" s="1"/>
  <c r="O70" i="4"/>
  <c r="D29" i="7" s="1"/>
  <c r="M70" i="4"/>
  <c r="B29" i="7" s="1"/>
  <c r="P39" i="5"/>
  <c r="R39" i="5"/>
  <c r="Q39" i="5"/>
  <c r="O41" i="5"/>
  <c r="N40" i="5"/>
  <c r="K71" i="4" l="1"/>
  <c r="N71" i="4" s="1"/>
  <c r="C30" i="7" s="1"/>
  <c r="O71" i="4"/>
  <c r="D30" i="7" s="1"/>
  <c r="M71" i="4"/>
  <c r="B30" i="7" s="1"/>
  <c r="L73" i="4"/>
  <c r="H72" i="4"/>
  <c r="A31" i="7"/>
  <c r="Q40" i="5"/>
  <c r="P40" i="5"/>
  <c r="R40" i="5"/>
  <c r="O42" i="5"/>
  <c r="N41" i="5"/>
  <c r="H73" i="4" l="1"/>
  <c r="A32" i="7"/>
  <c r="L74" i="4"/>
  <c r="K72" i="4"/>
  <c r="N72" i="4" s="1"/>
  <c r="C31" i="7" s="1"/>
  <c r="M72" i="4"/>
  <c r="B31" i="7" s="1"/>
  <c r="O72" i="4"/>
  <c r="D31" i="7" s="1"/>
  <c r="P41" i="5"/>
  <c r="R41" i="5"/>
  <c r="Q41" i="5"/>
  <c r="O43" i="5"/>
  <c r="N42" i="5"/>
  <c r="L75" i="4" l="1"/>
  <c r="H74" i="4"/>
  <c r="A33" i="7"/>
  <c r="K73" i="4"/>
  <c r="N73" i="4" s="1"/>
  <c r="C32" i="7" s="1"/>
  <c r="O73" i="4"/>
  <c r="D32" i="7" s="1"/>
  <c r="M73" i="4"/>
  <c r="B32" i="7" s="1"/>
  <c r="O44" i="5"/>
  <c r="N43" i="5"/>
  <c r="Q42" i="5"/>
  <c r="P42" i="5"/>
  <c r="R42" i="5"/>
  <c r="H75" i="4" l="1"/>
  <c r="L76" i="4"/>
  <c r="A34" i="7"/>
  <c r="K74" i="4"/>
  <c r="N74" i="4" s="1"/>
  <c r="C33" i="7" s="1"/>
  <c r="O74" i="4"/>
  <c r="D33" i="7" s="1"/>
  <c r="M74" i="4"/>
  <c r="B33" i="7" s="1"/>
  <c r="P43" i="5"/>
  <c r="R43" i="5"/>
  <c r="Q43" i="5"/>
  <c r="O45" i="5"/>
  <c r="N44" i="5"/>
  <c r="L77" i="4" l="1"/>
  <c r="H76" i="4"/>
  <c r="A35" i="7"/>
  <c r="K75" i="4"/>
  <c r="N75" i="4" s="1"/>
  <c r="C34" i="7" s="1"/>
  <c r="M75" i="4"/>
  <c r="B34" i="7" s="1"/>
  <c r="O75" i="4"/>
  <c r="D34" i="7" s="1"/>
  <c r="O46" i="5"/>
  <c r="N46" i="5" s="1"/>
  <c r="N45" i="5"/>
  <c r="Q44" i="5"/>
  <c r="P44" i="5"/>
  <c r="R44" i="5"/>
  <c r="K76" i="4" l="1"/>
  <c r="N76" i="4" s="1"/>
  <c r="C35" i="7" s="1"/>
  <c r="O76" i="4"/>
  <c r="D35" i="7" s="1"/>
  <c r="M76" i="4"/>
  <c r="B35" i="7" s="1"/>
  <c r="L78" i="4"/>
  <c r="H77" i="4"/>
  <c r="A36" i="7"/>
  <c r="P45" i="5"/>
  <c r="R45" i="5"/>
  <c r="Q45" i="5"/>
  <c r="Q46" i="5"/>
  <c r="P46" i="5"/>
  <c r="R46" i="5"/>
  <c r="H78" i="4" l="1"/>
  <c r="L79" i="4"/>
  <c r="A37" i="7"/>
  <c r="O77" i="4"/>
  <c r="D36" i="7" s="1"/>
  <c r="M77" i="4"/>
  <c r="B36" i="7" s="1"/>
  <c r="K77" i="4"/>
  <c r="N77" i="4" s="1"/>
  <c r="C36" i="7" s="1"/>
  <c r="K78" i="4" l="1"/>
  <c r="N78" i="4" s="1"/>
  <c r="C37" i="7" s="1"/>
  <c r="O78" i="4"/>
  <c r="D37" i="7" s="1"/>
  <c r="M78" i="4"/>
  <c r="B37" i="7" s="1"/>
  <c r="H79" i="4"/>
  <c r="L80" i="4"/>
  <c r="A38" i="7"/>
  <c r="K79" i="4" l="1"/>
  <c r="N79" i="4" s="1"/>
  <c r="C38" i="7" s="1"/>
  <c r="M79" i="4"/>
  <c r="B38" i="7" s="1"/>
  <c r="O79" i="4"/>
  <c r="D38" i="7" s="1"/>
  <c r="H80" i="4"/>
  <c r="L81" i="4"/>
  <c r="A39" i="7"/>
  <c r="M80" i="4" l="1"/>
  <c r="B39" i="7" s="1"/>
  <c r="O80" i="4"/>
  <c r="D39" i="7" s="1"/>
  <c r="K80" i="4"/>
  <c r="N80" i="4" s="1"/>
  <c r="C39" i="7" s="1"/>
  <c r="H81" i="4"/>
  <c r="L82" i="4"/>
  <c r="A40" i="7"/>
  <c r="H82" i="4" l="1"/>
  <c r="L83" i="4"/>
  <c r="K81" i="4"/>
  <c r="N81" i="4" s="1"/>
  <c r="C40" i="7" s="1"/>
  <c r="M81" i="4"/>
  <c r="B40" i="7" s="1"/>
  <c r="O81" i="4"/>
  <c r="D40" i="7" s="1"/>
  <c r="H83" i="4" l="1"/>
  <c r="L84" i="4"/>
  <c r="M82" i="4"/>
  <c r="K82" i="4"/>
  <c r="N82" i="4" s="1"/>
  <c r="O82" i="4"/>
  <c r="K83" i="4" l="1"/>
  <c r="N83" i="4" s="1"/>
  <c r="O83" i="4"/>
  <c r="M83" i="4"/>
  <c r="L85" i="4"/>
  <c r="H84" i="4"/>
  <c r="H85" i="4" l="1"/>
  <c r="L86" i="4"/>
  <c r="L87" i="4" s="1"/>
  <c r="M84" i="4"/>
  <c r="K84" i="4"/>
  <c r="N84" i="4" s="1"/>
  <c r="O84" i="4"/>
  <c r="K85" i="4" l="1"/>
  <c r="N85" i="4" s="1"/>
  <c r="O85" i="4"/>
  <c r="M85" i="4"/>
</calcChain>
</file>

<file path=xl/sharedStrings.xml><?xml version="1.0" encoding="utf-8"?>
<sst xmlns="http://schemas.openxmlformats.org/spreadsheetml/2006/main" count="1094" uniqueCount="697">
  <si>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</si>
  <si>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</si>
  <si>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</si>
  <si>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</si>
  <si>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</si>
  <si>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</si>
  <si>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</si>
  <si>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</si>
  <si>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</si>
  <si>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</si>
  <si>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</si>
  <si>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</si>
  <si>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</si>
  <si>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</si>
  <si>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</si>
  <si>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</si>
  <si>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</si>
  <si>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</si>
  <si>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</si>
  <si>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</si>
  <si>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</si>
  <si>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</si>
  <si>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</si>
  <si>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</si>
  <si>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</si>
  <si>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</si>
  <si>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</si>
  <si>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</si>
  <si>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</si>
  <si>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</si>
  <si>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</si>
  <si>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</si>
  <si>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</si>
  <si>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</si>
  <si>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</si>
  <si>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</si>
  <si>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</si>
  <si>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</si>
  <si>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</si>
  <si>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</si>
  <si>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</si>
  <si>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</si>
  <si>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</si>
  <si>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</si>
  <si>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</si>
  <si>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</si>
  <si>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</si>
  <si>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</si>
  <si>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</si>
  <si>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</si>
  <si>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</si>
  <si>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</si>
  <si>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</si>
  <si>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</si>
  <si>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</si>
  <si>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</si>
  <si>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</si>
  <si>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</si>
  <si>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</si>
  <si>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</si>
  <si>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</si>
  <si>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</si>
  <si>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</si>
  <si>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</si>
  <si>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</si>
  <si>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</si>
  <si>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</si>
  <si>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</si>
  <si>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</si>
  <si>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</si>
  <si>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</si>
  <si>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</si>
  <si>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</si>
  <si>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</si>
  <si>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</si>
  <si>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</si>
  <si>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</si>
  <si>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</si>
  <si>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</si>
  <si>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</si>
  <si>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</si>
  <si>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</si>
  <si>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</si>
  <si>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</si>
  <si>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</si>
  <si>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</si>
  <si>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</si>
  <si>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</si>
  <si>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</si>
  <si>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</si>
  <si>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</si>
  <si>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</si>
  <si>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</si>
  <si>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</si>
  <si>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</si>
  <si>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</si>
  <si>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</si>
  <si>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</si>
  <si>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</si>
  <si>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</si>
  <si>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</si>
  <si>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</si>
  <si>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</si>
  <si>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</si>
  <si>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</si>
  <si>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</si>
  <si>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</si>
  <si>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</si>
  <si>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</si>
  <si>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</si>
  <si>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</si>
  <si>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</si>
  <si>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</si>
  <si>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</si>
  <si>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</si>
  <si>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</si>
  <si>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</si>
  <si>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</si>
  <si>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</si>
  <si>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</si>
  <si>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</si>
  <si>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</si>
  <si>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</si>
  <si>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</si>
  <si>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</si>
  <si>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</si>
  <si>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</si>
  <si>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</si>
  <si>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</si>
  <si>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</si>
  <si>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</si>
  <si>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</si>
  <si>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</si>
  <si>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</si>
  <si>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</si>
  <si>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</si>
  <si>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</si>
  <si>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</si>
  <si>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</si>
  <si>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</si>
  <si>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</si>
  <si>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</si>
  <si>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</si>
  <si>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</si>
  <si>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</si>
  <si>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</si>
  <si>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</si>
  <si>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</si>
  <si>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</si>
  <si>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Coloe A</t>
  </si>
  <si>
    <t>Sharpe D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</si>
  <si>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</si>
  <si>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</si>
  <si>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</si>
  <si>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</si>
  <si>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</si>
  <si>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</si>
  <si>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</si>
  <si>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</si>
  <si>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</si>
  <si>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</si>
  <si>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</si>
  <si>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</si>
  <si>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</si>
  <si>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</si>
  <si>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</si>
  <si>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</si>
  <si>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</si>
  <si>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</si>
  <si>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</si>
  <si>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</si>
  <si>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</si>
  <si>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</si>
  <si>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</si>
  <si>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</si>
  <si>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</si>
  <si>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</si>
  <si>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</si>
  <si>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</si>
  <si>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</si>
  <si>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</si>
  <si>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</si>
  <si>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</si>
  <si>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</si>
  <si>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</si>
  <si>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</si>
  <si>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</si>
  <si>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</si>
  <si>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</si>
  <si>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</si>
  <si>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</si>
  <si>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</si>
  <si>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</si>
  <si>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</si>
  <si>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</si>
  <si>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</si>
  <si>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</si>
  <si>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</si>
  <si>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</si>
  <si>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</si>
  <si>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</si>
  <si>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</si>
  <si>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</si>
  <si>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</si>
  <si>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</si>
  <si>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</si>
  <si>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</si>
  <si>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</si>
  <si>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</si>
  <si>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</si>
  <si>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</si>
  <si>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</si>
  <si>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A</t>
  </si>
  <si>
    <t>D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</si>
  <si>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</si>
  <si>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</si>
  <si>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</si>
  <si>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</si>
  <si>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</si>
  <si>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</si>
  <si>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</si>
  <si>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</si>
  <si>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</si>
  <si>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</si>
  <si>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Johnson A</t>
  </si>
  <si>
    <t>de Souza C</t>
  </si>
  <si>
    <t>Clayton</t>
  </si>
  <si>
    <t>Seymour C</t>
  </si>
  <si>
    <t>H</t>
  </si>
  <si>
    <t>Queries</t>
  </si>
  <si>
    <t>11/0/dnb*/0/0</t>
  </si>
  <si>
    <t>9/0/dnb/0/0</t>
  </si>
  <si>
    <t>10/0/dnb/0/0</t>
  </si>
  <si>
    <t>TOCC</t>
  </si>
  <si>
    <t>L</t>
  </si>
  <si>
    <t>Alex</t>
  </si>
  <si>
    <t>Beddington</t>
  </si>
  <si>
    <t>W</t>
  </si>
  <si>
    <t>Vishwa</t>
  </si>
  <si>
    <t>Sanderstead</t>
  </si>
  <si>
    <t>Middleton J</t>
  </si>
  <si>
    <t>N/O</t>
  </si>
  <si>
    <t>Davies R</t>
  </si>
  <si>
    <t>Ray</t>
  </si>
  <si>
    <t>Mark</t>
  </si>
  <si>
    <t>Clarkson M</t>
  </si>
  <si>
    <t>2009 Season</t>
  </si>
  <si>
    <t>Sundip</t>
  </si>
  <si>
    <t>Nair S</t>
  </si>
  <si>
    <t>TOCC R/O</t>
  </si>
  <si>
    <t>Opp R/O</t>
  </si>
  <si>
    <t>Sydenham</t>
  </si>
  <si>
    <t>6/0/43/0</t>
  </si>
  <si>
    <t>2/1/b/0/0</t>
  </si>
  <si>
    <t>8/0/b/0/0</t>
  </si>
  <si>
    <t>Woodgreen</t>
  </si>
  <si>
    <t>11/1/no*/0/0</t>
  </si>
  <si>
    <t>5/0/36/1</t>
  </si>
  <si>
    <t>Steeple Langford</t>
  </si>
  <si>
    <t>Gibbs A</t>
  </si>
  <si>
    <t>4/0/23/0</t>
  </si>
  <si>
    <t>Lovell A</t>
  </si>
  <si>
    <t>10/1/b/0/0</t>
  </si>
  <si>
    <t>11/0/dnb*/1/0</t>
  </si>
  <si>
    <t>Unbtn</t>
  </si>
  <si>
    <t>Bat1</t>
  </si>
  <si>
    <t>Sc1</t>
  </si>
  <si>
    <t>NO</t>
  </si>
  <si>
    <t>Bat2</t>
  </si>
  <si>
    <t>Sc2</t>
  </si>
  <si>
    <t>3/0/16/1</t>
  </si>
  <si>
    <t>11/0/no*/0/0</t>
  </si>
  <si>
    <t>Rao A</t>
  </si>
  <si>
    <t>Anuvrat</t>
  </si>
  <si>
    <t>10/0/b/0/0</t>
  </si>
  <si>
    <t>7/0/b/1/0</t>
  </si>
  <si>
    <t>Gareth</t>
  </si>
  <si>
    <t>Dickson G</t>
  </si>
  <si>
    <t>Walker G</t>
  </si>
  <si>
    <t>4/0/24/0</t>
  </si>
  <si>
    <t>6/4/b/0/1.0</t>
  </si>
  <si>
    <t>Childs S</t>
  </si>
  <si>
    <t>Steve</t>
  </si>
  <si>
    <t>1/1/b/0/0</t>
  </si>
  <si>
    <t>10/1/c/0/0</t>
  </si>
  <si>
    <t>Highest Score</t>
  </si>
  <si>
    <t>Fifties</t>
  </si>
  <si>
    <t>Row Labels</t>
  </si>
  <si>
    <t>Grand Total</t>
  </si>
  <si>
    <t>Count of Name</t>
  </si>
  <si>
    <t>mdn %</t>
  </si>
  <si>
    <t>Sharpe 84</t>
  </si>
  <si>
    <t>1/25/c/0/1.0</t>
  </si>
  <si>
    <t>2/84/c/0/11.3</t>
  </si>
  <si>
    <t>3/14/st/0/1.0</t>
  </si>
  <si>
    <t>4/29/no/0/3.0</t>
  </si>
  <si>
    <t>5/1/b+/1.0/0</t>
  </si>
  <si>
    <t>6/7/b/1/1.0</t>
  </si>
  <si>
    <t>7/3/b/0/0</t>
  </si>
  <si>
    <t>8/1/no/0/0</t>
  </si>
  <si>
    <t>6/2/41/1</t>
  </si>
  <si>
    <t>5/0/20/0</t>
  </si>
  <si>
    <t>8/0/49/3</t>
  </si>
  <si>
    <t>9/0/36/1</t>
  </si>
  <si>
    <t>6/0/25/2</t>
  </si>
  <si>
    <t>5/2/13/2</t>
  </si>
  <si>
    <t>(blank)</t>
  </si>
  <si>
    <t>Trushan 70, Asad 65, Middleton 3-31</t>
  </si>
  <si>
    <t>Shah 4-14</t>
  </si>
  <si>
    <t>1/18/b/0/1.0</t>
  </si>
  <si>
    <t>2/38/b/0/4.3</t>
  </si>
  <si>
    <t>4/3/b/0/0</t>
  </si>
  <si>
    <t>5/13/b/0/3.0</t>
  </si>
  <si>
    <t>6/27/no/0/5.0</t>
  </si>
  <si>
    <t>7/8/b/1/1.0</t>
  </si>
  <si>
    <t>9/5/b/0/1/0</t>
  </si>
  <si>
    <t>10/0/dnb*/0</t>
  </si>
  <si>
    <t>3/1/lb+/0/0</t>
  </si>
  <si>
    <t>8.5/1/43/2</t>
  </si>
  <si>
    <t>6/0/31/3</t>
  </si>
  <si>
    <t>6/1/47/0</t>
  </si>
  <si>
    <t>2/0/24/0</t>
  </si>
  <si>
    <t>du Plessis A</t>
  </si>
  <si>
    <t>Aldo</t>
  </si>
  <si>
    <t>Cheesman 89, Meredith 65, Dickson 3-49</t>
  </si>
  <si>
    <t>Singleton 60, Rushforth 56, Bowers 4-71</t>
  </si>
  <si>
    <t>Middleton 65, Rushforth 3-26</t>
  </si>
  <si>
    <t>1/b/2/0/0</t>
  </si>
  <si>
    <t>2/9/lb/0/0</t>
  </si>
  <si>
    <t>Chaitanya</t>
  </si>
  <si>
    <t>Sunkara C</t>
  </si>
  <si>
    <t>3/9/c/1/1.0</t>
  </si>
  <si>
    <t>4/65/st/1/8.3</t>
  </si>
  <si>
    <t>5/24/c+/0.1/4.0</t>
  </si>
  <si>
    <t>6/9/c/1/1.0</t>
  </si>
  <si>
    <t>7/6/no/0/0</t>
  </si>
  <si>
    <t>9/3/lb/0/0</t>
  </si>
  <si>
    <t>12/1/50/1</t>
  </si>
  <si>
    <t>4/0/29/0</t>
  </si>
  <si>
    <t>6/1/18/1</t>
  </si>
  <si>
    <t>12/0/71/4</t>
  </si>
  <si>
    <t>2/0/27/0</t>
  </si>
  <si>
    <t>Coloe 48, Naish D 4-18</t>
  </si>
  <si>
    <t>Naish D 50*</t>
  </si>
  <si>
    <t>1/37/ret/0/7.0</t>
  </si>
  <si>
    <t>2/48/b+/1.0/8.0</t>
  </si>
  <si>
    <t>Cyril</t>
  </si>
  <si>
    <t>Saller C</t>
  </si>
  <si>
    <t>3/8/b/0/2.0</t>
  </si>
  <si>
    <t>4/0/c/0/0</t>
  </si>
  <si>
    <t>5/35/no/0/4.1</t>
  </si>
  <si>
    <t>6/3/b/0/0</t>
  </si>
  <si>
    <t>7/24/b/0/0.3</t>
  </si>
  <si>
    <t>9/0/no/0/0</t>
  </si>
  <si>
    <t>6/0/25/1</t>
  </si>
  <si>
    <t>7/1/22/2</t>
  </si>
  <si>
    <t>7/0/39/0</t>
  </si>
  <si>
    <t>7/0/38/1</t>
  </si>
  <si>
    <t>2.3/0/17/0</t>
  </si>
  <si>
    <t>Smith 65, Phillips 2-14</t>
  </si>
  <si>
    <t>Gibbs 39, McNeilly 3-18, Hill 3-18</t>
  </si>
  <si>
    <t>1/39/c/0/5.0</t>
  </si>
  <si>
    <t>Brian</t>
  </si>
  <si>
    <t>Wheeler B</t>
  </si>
  <si>
    <t>3/12/b/0/2.0</t>
  </si>
  <si>
    <t>Graham M</t>
  </si>
  <si>
    <t>6/6/lb/0/1.0</t>
  </si>
  <si>
    <t>7/4/lb/1/1.0</t>
  </si>
  <si>
    <t>Martin</t>
  </si>
  <si>
    <t>Phillips M</t>
  </si>
  <si>
    <t>8/12/b/0/2.0</t>
  </si>
  <si>
    <t>9/2/ro/0/0</t>
  </si>
  <si>
    <t>Mander A</t>
  </si>
  <si>
    <t>5/2/lb+/0/0</t>
  </si>
  <si>
    <t>8/0/37/1</t>
  </si>
  <si>
    <t>8/0/59/1</t>
  </si>
  <si>
    <t>8/1/29/1</t>
  </si>
  <si>
    <t>8/4/14/2</t>
  </si>
  <si>
    <t>4/0/13/1</t>
  </si>
  <si>
    <t>2/1/2/0</t>
  </si>
  <si>
    <t>2/0/14/1</t>
  </si>
  <si>
    <t>Samir 120, Clarkson 3-54</t>
  </si>
  <si>
    <t>Patel S 3-2</t>
  </si>
  <si>
    <t>2/16/b+/1.0/3.0</t>
  </si>
  <si>
    <t>3/9/b/0/0</t>
  </si>
  <si>
    <t>4/7/c/0/0</t>
  </si>
  <si>
    <t>7/0/lb/0/0</t>
  </si>
  <si>
    <t>5/0/lb/1/0</t>
  </si>
  <si>
    <t>8/0/c+/2.0/0</t>
  </si>
  <si>
    <t>9/5/c/0/0</t>
  </si>
  <si>
    <t>8/0/46/1</t>
  </si>
  <si>
    <t>8/0/35/2</t>
  </si>
  <si>
    <t>8/0/54/3</t>
  </si>
  <si>
    <t>5/0/23/1</t>
  </si>
  <si>
    <t>6.4/0/40/2</t>
  </si>
  <si>
    <t>Weybridge Vandals</t>
  </si>
  <si>
    <t>Fenton 188, Sanderson 90*</t>
  </si>
  <si>
    <t>Worthington 62, Edghill 44*</t>
  </si>
  <si>
    <t>1/44/no/1/7.0</t>
  </si>
  <si>
    <t>2/7/c/0/1.0</t>
  </si>
  <si>
    <t>3/19/ro/0/3.0</t>
  </si>
  <si>
    <t>4/62/b+/0/11.1</t>
  </si>
  <si>
    <t>5/0/c*/0/0</t>
  </si>
  <si>
    <t>6/22/no/0/5.0</t>
  </si>
  <si>
    <t>Jones J</t>
  </si>
  <si>
    <t>7/0/dnb/0/0</t>
  </si>
  <si>
    <t>8/0/dnb/0/0</t>
  </si>
  <si>
    <t>8/0/36/2</t>
  </si>
  <si>
    <t>8/1/53/0</t>
  </si>
  <si>
    <t>7/0/99/1</t>
  </si>
  <si>
    <t>7/0/37/0</t>
  </si>
  <si>
    <t>8/0/67/0</t>
  </si>
  <si>
    <t>2/0/12/0</t>
  </si>
  <si>
    <t>*</t>
  </si>
  <si>
    <t>LESSA Wanderers</t>
  </si>
  <si>
    <t>Seymour 49*, Woodhouse 44, Wahid 4-46</t>
  </si>
  <si>
    <t>Bishop 47, Clark 2-6</t>
  </si>
  <si>
    <t>1/44/lb/0/8.0</t>
  </si>
  <si>
    <t>2/21/c/1/3.0</t>
  </si>
  <si>
    <t>3/5/b+/0/1.0</t>
  </si>
  <si>
    <t>5/10/b/0/2.0</t>
  </si>
  <si>
    <t>7/49/no/2/9.0</t>
  </si>
  <si>
    <t>8/12/c/1/2.0</t>
  </si>
  <si>
    <t>9/10/no/0/1.0</t>
  </si>
  <si>
    <t>10/0/dnb*/0/0</t>
  </si>
  <si>
    <t>9/3/24/0</t>
  </si>
  <si>
    <t>11/0/47/2</t>
  </si>
  <si>
    <t>5/1/31/0</t>
  </si>
  <si>
    <t>2/0/21/1</t>
  </si>
  <si>
    <t>4/1/6/2</t>
  </si>
  <si>
    <t>2/0/19/1</t>
  </si>
  <si>
    <t>1.4/0/6/1</t>
  </si>
  <si>
    <t>Bromley Town</t>
  </si>
  <si>
    <t>Clark 4-13, Middleton 3-16</t>
  </si>
  <si>
    <t>Sharpe 67*, Woodhouse 44*</t>
  </si>
  <si>
    <t>1/67/no/1/12.2</t>
  </si>
  <si>
    <t>2/44/no/0/8.0</t>
  </si>
  <si>
    <t>3/0/dnb/1/0</t>
  </si>
  <si>
    <t>4/0/dnb/0/0</t>
  </si>
  <si>
    <t>5/0/dnb/1/0</t>
  </si>
  <si>
    <t>6/0/dnb+/3.0/0</t>
  </si>
  <si>
    <t>5/1/32/0</t>
  </si>
  <si>
    <t>6/2/17/0</t>
  </si>
  <si>
    <t>8/1/16/3</t>
  </si>
  <si>
    <t>7/1/16/4</t>
  </si>
  <si>
    <t>6/1/19/2</t>
  </si>
  <si>
    <t>5/1/11/1</t>
  </si>
  <si>
    <t>Norwood Exiles</t>
  </si>
  <si>
    <t>Jotanya 57*, Steel 49</t>
  </si>
  <si>
    <t>Clarkson 59, Ahmed 6-33</t>
  </si>
  <si>
    <t>1/36/b+/0.1/6.1</t>
  </si>
  <si>
    <t>2/0/b/0/0</t>
  </si>
  <si>
    <t>3/59/st/0/6.2</t>
  </si>
  <si>
    <t>4/16/c/0/1.1</t>
  </si>
  <si>
    <t>5/2/c/1/0</t>
  </si>
  <si>
    <t>6/12/lb/0/3.0</t>
  </si>
  <si>
    <t>7/18/c/0/2.0</t>
  </si>
  <si>
    <t>8/0/lb/0/0</t>
  </si>
  <si>
    <t>9/6/st/0/1.0</t>
  </si>
  <si>
    <t>10/7/b/1/0</t>
  </si>
  <si>
    <t>11/18/no*/0/2.0</t>
  </si>
  <si>
    <t>8/2/44/1</t>
  </si>
  <si>
    <t>4/0/34/0</t>
  </si>
  <si>
    <t>8/1/29/2</t>
  </si>
  <si>
    <t>8/0/32/1</t>
  </si>
  <si>
    <t>8/1/48/1</t>
  </si>
  <si>
    <t>4/0/19/1</t>
  </si>
  <si>
    <t>Ockham</t>
  </si>
  <si>
    <t>Slater 80*</t>
  </si>
  <si>
    <t>Middleton 55, Slater 3-47</t>
  </si>
  <si>
    <t>1/26/c/0/3.0</t>
  </si>
  <si>
    <t>2/34/lb/1/7.0</t>
  </si>
  <si>
    <t>3/19/c+/1.0/4.0</t>
  </si>
  <si>
    <t>4/55/b/0/8.1</t>
  </si>
  <si>
    <t>5/8/b/0/2.0</t>
  </si>
  <si>
    <t>6/9/b/0/2.0</t>
  </si>
  <si>
    <t>7/13/b/0/2.0</t>
  </si>
  <si>
    <t>8/8/c/0/2.0</t>
  </si>
  <si>
    <t>9/4/no/0/1.0</t>
  </si>
  <si>
    <t>10/5/no*/0/1.0</t>
  </si>
  <si>
    <t>8/0/31/1</t>
  </si>
  <si>
    <t>6/1/21/1</t>
  </si>
  <si>
    <t>8/0/42/2</t>
  </si>
  <si>
    <t>8/2/31/1</t>
  </si>
  <si>
    <t>6/0/38/1</t>
  </si>
  <si>
    <t>Sthn Rlways &amp; Kenley</t>
  </si>
  <si>
    <t>Bulled 60, Middleton 4-14, Dickson 3-19</t>
  </si>
  <si>
    <t>Nair 51, Hewitt 3-39</t>
  </si>
  <si>
    <t>1/4/ro+/4.1/1.0</t>
  </si>
  <si>
    <t>2/4/b/0/1.0</t>
  </si>
  <si>
    <t>Pope G</t>
  </si>
  <si>
    <t>3/6/lb/0/0</t>
  </si>
  <si>
    <t>4/2/lb/0/0</t>
  </si>
  <si>
    <t>5/3/c/0/0</t>
  </si>
  <si>
    <t>6/2/b/0/0</t>
  </si>
  <si>
    <t>7/12/c/0/3.0</t>
  </si>
  <si>
    <t>8/51/b/0/9.0</t>
  </si>
  <si>
    <t>9/0/lb/0/0</t>
  </si>
  <si>
    <t>10/15/c/0/3.0</t>
  </si>
  <si>
    <t>Sthn Rlwys &amp; Kenley</t>
  </si>
  <si>
    <t>8/2/14/4</t>
  </si>
  <si>
    <t>7/1/19/3</t>
  </si>
  <si>
    <t>10/3/24/1</t>
  </si>
  <si>
    <t>10/5/15/1</t>
  </si>
  <si>
    <t>3/0/26/0</t>
  </si>
  <si>
    <t>3/0/8/0</t>
  </si>
  <si>
    <t>LESSA Christchurch</t>
  </si>
  <si>
    <t>Middleton 100*, Nair 42</t>
  </si>
  <si>
    <t>Seymour 4-43, Nair 3-19</t>
  </si>
  <si>
    <t>1/0/c/0/0</t>
  </si>
  <si>
    <t>2/42/c/2/5.0</t>
  </si>
  <si>
    <t>3/5/b/0/0</t>
  </si>
  <si>
    <t>4/100/no/0/9.6</t>
  </si>
  <si>
    <t>5/1/c+/1.3/0</t>
  </si>
  <si>
    <t>6/0/ro/0/0</t>
  </si>
  <si>
    <t>7/10/b/0/1.0</t>
  </si>
  <si>
    <t>8/34/b/0/2.3</t>
  </si>
  <si>
    <t>9/2/no/0/0</t>
  </si>
  <si>
    <t>10/0/dnb/1/0</t>
  </si>
  <si>
    <t>6/0/28/2</t>
  </si>
  <si>
    <t>6/1/19/3</t>
  </si>
  <si>
    <t>6.3/0/43/4</t>
  </si>
  <si>
    <t>6/0/28/1</t>
  </si>
  <si>
    <t>Seven Sports</t>
  </si>
  <si>
    <t>Leadley 65, Nair 55*, Johnson 3-16</t>
  </si>
  <si>
    <t>Johnson 109*</t>
  </si>
  <si>
    <t>1/65/b/0/10.0</t>
  </si>
  <si>
    <t>2/11/b/0/2.0</t>
  </si>
  <si>
    <t>3/7/b/1/1.0</t>
  </si>
  <si>
    <t>4/0/b/0/0</t>
  </si>
  <si>
    <t>5/0/c/0/0</t>
  </si>
  <si>
    <t>6/3/c/0/0</t>
  </si>
  <si>
    <t>7/55/no/0/6.2</t>
  </si>
  <si>
    <t>8/4/c/0/1.0</t>
  </si>
  <si>
    <t>9/0/b/0/0</t>
  </si>
  <si>
    <t>10/1/c+/1.0/0</t>
  </si>
  <si>
    <t>5/1/25/1</t>
  </si>
  <si>
    <t>4/0/25/0</t>
  </si>
  <si>
    <t>3/0/25/0</t>
  </si>
  <si>
    <t>5/1/26/0</t>
  </si>
  <si>
    <t>5/0/30/0</t>
  </si>
  <si>
    <t>3/0/18/1</t>
  </si>
  <si>
    <t>2.5/0/17/0</t>
  </si>
  <si>
    <t>John Fisher Lamgas</t>
  </si>
  <si>
    <t>Clark 2-13, Bowers 2-22</t>
  </si>
  <si>
    <t>Sunkara 35</t>
  </si>
  <si>
    <t>1/25/c/0/3.0</t>
  </si>
  <si>
    <t>2/5/lb/0/0</t>
  </si>
  <si>
    <t>3/35/b/0/5.0</t>
  </si>
  <si>
    <t>4/2/b/1/0</t>
  </si>
  <si>
    <t>5/24/b/0/1.0</t>
  </si>
  <si>
    <t>6/15/b/1/1.0</t>
  </si>
  <si>
    <t>7/1/lb/0/0</t>
  </si>
  <si>
    <t>9/1/c*/0/0</t>
  </si>
  <si>
    <t>10/1/no/0/0</t>
  </si>
  <si>
    <t>11/0/dnb/0/0</t>
  </si>
  <si>
    <t>9/1/24/1</t>
  </si>
  <si>
    <t>8/1/32/2</t>
  </si>
  <si>
    <t>5/0/13/2</t>
  </si>
  <si>
    <t>6/0/22/2</t>
  </si>
  <si>
    <t>3/0/24/1</t>
  </si>
  <si>
    <t>2/0/6/0</t>
  </si>
  <si>
    <t>book says opp=153</t>
  </si>
  <si>
    <t>8/15/no/0/1.0</t>
  </si>
  <si>
    <t>YRG Eagles</t>
  </si>
  <si>
    <t>Nair 98, Middleton 44</t>
  </si>
  <si>
    <t>Bowers 4-11, Middleton 3-8</t>
  </si>
  <si>
    <t>1/11/b/0/1.0</t>
  </si>
  <si>
    <t>2/98/c/0/11.2</t>
  </si>
  <si>
    <t>3/0/c/0/0</t>
  </si>
  <si>
    <t>4/44/ro/2/2.2</t>
  </si>
  <si>
    <t>5/4/ro+/1.1/0</t>
  </si>
  <si>
    <t>6/5/no/0//0</t>
  </si>
  <si>
    <t>7/0/no/0/0</t>
  </si>
  <si>
    <t>Guarav</t>
  </si>
  <si>
    <t>Singh G</t>
  </si>
  <si>
    <t>8/0/dnb/1/0</t>
  </si>
  <si>
    <t>Nick</t>
  </si>
  <si>
    <t>Bennell N</t>
  </si>
  <si>
    <t>11/0/dnb*/2/0</t>
  </si>
  <si>
    <t>6/1/25/2</t>
  </si>
  <si>
    <t>6/0/17/1</t>
  </si>
  <si>
    <t>2/0/22/0</t>
  </si>
  <si>
    <t>3/0/27/0</t>
  </si>
  <si>
    <t>5/1/8/3</t>
  </si>
  <si>
    <t>3.1/1/11/4</t>
  </si>
  <si>
    <t>Wilson 68, Sharpe 3-20, Nair 3-28</t>
  </si>
  <si>
    <t>Sharpe 68, Sommerville 4-28</t>
  </si>
  <si>
    <t>3/4/c/2/1.0</t>
  </si>
  <si>
    <t>4/21/lb/0/3.1</t>
  </si>
  <si>
    <t>7/2/no/0/0</t>
  </si>
  <si>
    <t>6/0/c/0/0</t>
  </si>
  <si>
    <t>9/3/no+/2.2/0</t>
  </si>
  <si>
    <t>2/68/c*/0/7.3</t>
  </si>
  <si>
    <t>10/3/28/3</t>
  </si>
  <si>
    <t>7/2/21/1</t>
  </si>
  <si>
    <t>11.3/1/55/0</t>
  </si>
  <si>
    <t>7/0/30/1</t>
  </si>
  <si>
    <t>3.3/0/20/3</t>
  </si>
  <si>
    <t>4.5/0/22/2</t>
  </si>
  <si>
    <t>Beck 48</t>
  </si>
  <si>
    <t>Sharpe 48, Middleton 33*</t>
  </si>
  <si>
    <t>1/48/b/0/6.1</t>
  </si>
  <si>
    <t>2/30/ro+/1.0/3.0</t>
  </si>
  <si>
    <t>3/2/ro/0/0</t>
  </si>
  <si>
    <t>4/33/no/0/5.1</t>
  </si>
  <si>
    <t>5/8/no/0/1.0</t>
  </si>
  <si>
    <t>Hider</t>
  </si>
  <si>
    <t>6/0/dnb/0/0</t>
  </si>
  <si>
    <t>9/0/dnb/1/0</t>
  </si>
  <si>
    <t>5/20/c/0/2.0</t>
  </si>
  <si>
    <t>6/1/10/2</t>
  </si>
  <si>
    <t>8/1/15/2</t>
  </si>
  <si>
    <t>8/1/41/1</t>
  </si>
  <si>
    <t>8/1/36/1</t>
  </si>
  <si>
    <t>5/1/26/2</t>
  </si>
  <si>
    <t>3/0/9/0</t>
  </si>
  <si>
    <t>Churchleigh</t>
  </si>
  <si>
    <t>de Alwis 51, Bowers 4-17</t>
  </si>
  <si>
    <t>Rao 40, Middleton 35*</t>
  </si>
  <si>
    <t>1/20/lb/2/4.0</t>
  </si>
  <si>
    <t>3/40/b+/1.0/4.0</t>
  </si>
  <si>
    <t>4/35/no/0/4.0</t>
  </si>
  <si>
    <t>5/0/b/0/0</t>
  </si>
  <si>
    <t>6/12/no/0/0</t>
  </si>
  <si>
    <t>8/0/nb/0/0</t>
  </si>
  <si>
    <t>8/1/18/0</t>
  </si>
  <si>
    <t>5/0/36/0</t>
  </si>
  <si>
    <t>8/1/17/4</t>
  </si>
  <si>
    <t>8/1/21/2</t>
  </si>
  <si>
    <t>3/0/11/0</t>
  </si>
  <si>
    <t>1/0/3/1</t>
  </si>
  <si>
    <t>Ward 77, Bull 68, Middleton 4-41</t>
  </si>
  <si>
    <t>Middleton 81*, Sharpe 67</t>
  </si>
  <si>
    <t>1/15/c/0/2.0</t>
  </si>
  <si>
    <t>3/0/b/1/0</t>
  </si>
  <si>
    <t>4/81/no/0/7.5</t>
  </si>
  <si>
    <t>5/6/lb/0/0</t>
  </si>
  <si>
    <t>6/6/b/0/1.0</t>
  </si>
  <si>
    <t>7/2/lb*/0/0</t>
  </si>
  <si>
    <t>8/16/no+/1.1/2.0</t>
  </si>
  <si>
    <t>|Sanderstead</t>
  </si>
  <si>
    <t>12/0/41/4</t>
  </si>
  <si>
    <t>5/1/11/0</t>
  </si>
  <si>
    <t>10/0/51/0</t>
  </si>
  <si>
    <t>3/0/21/0</t>
  </si>
  <si>
    <t>7/0/45/2</t>
  </si>
  <si>
    <t>6/0/27/0</t>
  </si>
  <si>
    <t>Cheam</t>
  </si>
  <si>
    <t>Kington 75, Nair 2-27</t>
  </si>
  <si>
    <t>Rao 131*</t>
  </si>
  <si>
    <t>1/25/c/0/2.2</t>
  </si>
  <si>
    <t>2/131/no+/1.0/19.2</t>
  </si>
  <si>
    <t>3/16/c/1/3.0</t>
  </si>
  <si>
    <t>4/4/b/0/0</t>
  </si>
  <si>
    <t>5/14/c/0/0.2</t>
  </si>
  <si>
    <t>6/4/b/0/0</t>
  </si>
  <si>
    <t>7/11/lb/0/2.0</t>
  </si>
  <si>
    <t>8/1/lb/0/1</t>
  </si>
  <si>
    <t>9/6/no/0/1.0</t>
  </si>
  <si>
    <t>6/1/32/0</t>
  </si>
  <si>
    <t>5/1/15/1</t>
  </si>
  <si>
    <t>6/0/22/0</t>
  </si>
  <si>
    <t>11/0/54/2</t>
  </si>
  <si>
    <t>7/1/27/2</t>
  </si>
  <si>
    <t>5/0/33/0</t>
  </si>
  <si>
    <t>4/0/30/0</t>
  </si>
  <si>
    <t>2/67/b/0/8.1</t>
  </si>
  <si>
    <t>1/9/lb/0/0</t>
  </si>
  <si>
    <t>Rao A 2-1-131*-171</t>
  </si>
  <si>
    <t>Coloe A 1-0-48-48</t>
  </si>
  <si>
    <t>Gibbs A 1-0-39-39</t>
  </si>
  <si>
    <t>Leadley J 3-0-65-102</t>
  </si>
  <si>
    <t>Wheeler B 1-0-12-12</t>
  </si>
  <si>
    <t>Phillips M 1-0-12-12</t>
  </si>
  <si>
    <t>du Plessis A 2-0-13-16</t>
  </si>
  <si>
    <t>Saller C 1-0-8-8</t>
  </si>
  <si>
    <t>de Souza C 3-0-15-17</t>
  </si>
  <si>
    <t>Childs S 4-1-8*-14</t>
  </si>
  <si>
    <t>Pope G 2-0-6-6</t>
  </si>
  <si>
    <t>Mander A 2-0-4-4</t>
  </si>
  <si>
    <t>Lestrelle A 2-0-2-3</t>
  </si>
  <si>
    <t>Wiseman R 1-1-10*-10</t>
  </si>
  <si>
    <t>Phillips M 8-4-14-2,</t>
  </si>
  <si>
    <t>Graham M 2-0-14-1,</t>
  </si>
  <si>
    <t>Woodhouse M 3-0-16-1,</t>
  </si>
  <si>
    <t>Pope 2-0-21-1,</t>
  </si>
  <si>
    <t>Clarkson M 19-0-119-5,</t>
  </si>
  <si>
    <t>Smith C 6.3-0-35-1,</t>
  </si>
  <si>
    <t>Cooper G 9-0-36-1,</t>
  </si>
  <si>
    <t>Sunkara C 67-6-334-7,</t>
  </si>
  <si>
    <t>Mander A 24.3-2-118-1,</t>
  </si>
  <si>
    <t>Lestrelle A 2-1-2-0,</t>
  </si>
  <si>
    <t>Saller C 4-0-23-0,</t>
  </si>
  <si>
    <t>du Plessis A 4.3-0-44-0,</t>
  </si>
  <si>
    <t>Jones J 7-0-37-0,</t>
  </si>
  <si>
    <t>de Souza C 10-0-50-0,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</si>
</sst>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5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sz val="8"/>
      <color rgb="FFFF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80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15" fillId="0" borderId="0" xfId="0" applyNumberFormat="1" applyFo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64" fontId="18" fillId="0" borderId="3" xfId="0" applyNumberFormat="1" applyFont="1" applyBorder="1" applyAlignment="1">
      <alignment horizontal="center"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0" fontId="24" fillId="0" borderId="2" xfId="0" applyFont="1" applyBorder="1">
      <alignment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</cellXfs>
  <cellStyles count="2">
    <cellStyle name="Normal" xfId="0" builtinId="0"/>
    <cellStyle name="Percent" xfId="1" builtinId="5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FF0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" refreshedDate="40600.008789467596" createdVersion="3" refreshedVersion="3" minRefreshableVersion="3" recordCount="16">
  <cacheSource type="worksheet">
    <worksheetSource ref="O1:O25" sheet="Partnerships"/>
  </cacheSource>
  <cacheFields count="1">
    <cacheField name="Name" numFmtId="0">
      <sharedItems containsBlank="1" count="14">
        <s v="Edghill C"/>
        <s v="Nair S"/>
        <s v="Sharpe D"/>
        <s v="Leadley J"/>
        <s v="Middleton J"/>
        <s v="Woodhouse M"/>
        <s v="Worthington R"/>
        <m/>
        <s v="Clarkson M" u="1"/>
        <s v="Coloe A" u="1"/>
        <s v="Johnson A" u="1"/>
        <s v="Gibbs A" u="1"/>
        <s v="Greyling R" u="1"/>
        <s v="Rao 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</r>
  <r>
    <x v="1"/>
  </r>
  <r>
    <x v="2"/>
  </r>
  <r>
    <x v="0"/>
  </r>
  <r>
    <x v="2"/>
  </r>
  <r>
    <x v="2"/>
  </r>
  <r>
    <x v="3"/>
  </r>
  <r>
    <x v="2"/>
  </r>
  <r>
    <x v="4"/>
  </r>
  <r>
    <x v="5"/>
  </r>
  <r>
    <x v="6"/>
  </r>
  <r>
    <x v="4"/>
  </r>
  <r>
    <x v="0"/>
  </r>
  <r>
    <x v="1"/>
  </r>
  <r>
    <x v="7"/>
  </r>
  <r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Q2:R11" firstHeaderRow="1" firstDataRow="1" firstDataCol="1"/>
  <pivotFields count="1">
    <pivotField axis="axisRow" dataField="1" showAll="0">
      <items count="15">
        <item m="1" x="8"/>
        <item m="1" x="9"/>
        <item m="1" x="11"/>
        <item m="1" x="12"/>
        <item m="1" x="10"/>
        <item x="3"/>
        <item x="4"/>
        <item m="1" x="13"/>
        <item x="2"/>
        <item x="6"/>
        <item x="7"/>
        <item x="0"/>
        <item x="1"/>
        <item x="5"/>
        <item t="default"/>
      </items>
    </pivotField>
  </pivotFields>
  <rowFields count="1">
    <field x="0"/>
  </rowFields>
  <rowItems count="9"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D11" sqref="D11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 t="s">
        <v>246</v>
      </c>
      <c r="B1" s="29"/>
      <c r="C1" s="39" t="str">
        <f t="array" ref="C1">"Won:"&amp;SUM(IF($E$5:$E$67="W",1,0))</f>
        <v>Won:9</v>
      </c>
      <c r="D1" s="99" t="str">
        <f t="array" ref="D1">"N/D:"&amp;SUM(IF($E$5:$E$67="ND",1,0))</f>
        <v>N/D:0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Lost:7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217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204</v>
      </c>
      <c r="AA2" s="45">
        <f>MAX(AA5:AA59)</f>
        <v>247</v>
      </c>
      <c r="AB2" s="45">
        <f>MAX(AB5:AB59)</f>
        <v>327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Drawn:5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218</v>
      </c>
      <c r="O3" s="179">
        <f>MAX(O5:O25)</f>
        <v>44</v>
      </c>
      <c r="P3" s="179">
        <f>MAX(P5:P25)</f>
        <v>44</v>
      </c>
      <c r="Q3" s="44"/>
      <c r="R3" s="44"/>
      <c r="S3" s="44"/>
      <c r="T3" s="44"/>
      <c r="U3" s="44"/>
      <c r="V3" s="44"/>
      <c r="W3" s="44"/>
      <c r="X3" s="44"/>
      <c r="Z3" s="45" t="s">
        <v>205</v>
      </c>
      <c r="AA3" s="45">
        <f t="array" ref="AA3">MIN(IF(AA5:AA59=0,99999,AA5:AA59))</f>
        <v>54</v>
      </c>
      <c r="AB3" s="45">
        <f t="array" ref="AB3">MIN(IF(AB5:AB59&lt;=0,99999,AB5:AB59))</f>
        <v>107</v>
      </c>
      <c r="AF3" s="45">
        <f>SUM(AF5:AF59)</f>
        <v>8</v>
      </c>
      <c r="AG3" s="45">
        <f>SUM(AG5:AG59)</f>
        <v>10</v>
      </c>
    </row>
    <row r="4" spans="1:33" s="148" customFormat="1" ht="31.5" x14ac:dyDescent="0.15">
      <c r="A4" s="142" t="s">
        <v>129</v>
      </c>
      <c r="B4" s="143" t="s">
        <v>0</v>
      </c>
      <c r="C4" s="144" t="s">
        <v>1</v>
      </c>
      <c r="D4" s="142" t="s">
        <v>2</v>
      </c>
      <c r="E4" s="142" t="s">
        <v>3</v>
      </c>
      <c r="F4" s="142" t="s">
        <v>158</v>
      </c>
      <c r="G4" s="144" t="s">
        <v>9</v>
      </c>
      <c r="H4" s="142" t="s">
        <v>37</v>
      </c>
      <c r="I4" s="142" t="s">
        <v>107</v>
      </c>
      <c r="J4" s="145"/>
      <c r="K4" s="144" t="s">
        <v>9</v>
      </c>
      <c r="L4" s="142" t="s">
        <v>37</v>
      </c>
      <c r="M4" s="142" t="s">
        <v>107</v>
      </c>
      <c r="N4" s="144"/>
      <c r="O4" s="144" t="s">
        <v>183</v>
      </c>
      <c r="P4" s="144" t="s">
        <v>184</v>
      </c>
      <c r="Q4" s="144" t="s">
        <v>109</v>
      </c>
      <c r="R4" s="146" t="s">
        <v>110</v>
      </c>
      <c r="S4" s="146" t="s">
        <v>111</v>
      </c>
      <c r="T4" s="146" t="s">
        <v>112</v>
      </c>
      <c r="U4" s="146" t="s">
        <v>113</v>
      </c>
      <c r="V4" s="146" t="s">
        <v>114</v>
      </c>
      <c r="W4" s="146" t="s">
        <v>115</v>
      </c>
      <c r="X4" s="146" t="s">
        <v>116</v>
      </c>
      <c r="Y4" s="146" t="s">
        <v>119</v>
      </c>
      <c r="Z4" s="146" t="s">
        <v>120</v>
      </c>
      <c r="AA4" s="147" t="s">
        <v>196</v>
      </c>
      <c r="AB4" s="147" t="s">
        <v>197</v>
      </c>
      <c r="AC4" s="147" t="s">
        <v>198</v>
      </c>
      <c r="AD4" s="147" t="s">
        <v>199</v>
      </c>
      <c r="AE4" s="148" t="s">
        <v>229</v>
      </c>
      <c r="AF4" s="148" t="s">
        <v>249</v>
      </c>
      <c r="AG4" s="148" t="s">
        <v>250</v>
      </c>
    </row>
    <row r="5" spans="1:33" s="22" customFormat="1" x14ac:dyDescent="0.15">
      <c r="A5" s="108" t="str">
        <f t="shared" ref="A5:A59" si="0">TEXT(WEEKDAY(B5),"ddd")</f>
        <v>Sun</v>
      </c>
      <c r="B5" s="109">
        <v>40307</v>
      </c>
      <c r="C5" s="110" t="s">
        <v>236</v>
      </c>
      <c r="D5" s="111" t="s">
        <v>212</v>
      </c>
      <c r="E5" s="111" t="s">
        <v>237</v>
      </c>
      <c r="F5" s="111" t="s">
        <v>1</v>
      </c>
      <c r="G5" s="112">
        <v>188</v>
      </c>
      <c r="H5" s="111">
        <v>9</v>
      </c>
      <c r="I5" s="111"/>
      <c r="J5" s="113" t="s">
        <v>324</v>
      </c>
      <c r="K5" s="112">
        <v>192</v>
      </c>
      <c r="L5" s="111">
        <v>6</v>
      </c>
      <c r="M5" s="111"/>
      <c r="N5" s="110" t="s">
        <v>291</v>
      </c>
      <c r="O5" s="114">
        <v>37.200000000000003</v>
      </c>
      <c r="P5" s="114">
        <v>39</v>
      </c>
      <c r="Q5" s="115">
        <v>1</v>
      </c>
      <c r="R5" s="115">
        <v>0</v>
      </c>
      <c r="S5" s="115">
        <v>4</v>
      </c>
      <c r="T5" s="115">
        <v>0</v>
      </c>
      <c r="U5" s="115">
        <v>14</v>
      </c>
      <c r="V5" s="115">
        <v>0</v>
      </c>
      <c r="W5" s="115">
        <v>10</v>
      </c>
      <c r="X5" s="115">
        <v>5</v>
      </c>
      <c r="Y5" s="115">
        <f t="shared" ref="Y5:Y59" si="1">SUM(Q5:T5)</f>
        <v>5</v>
      </c>
      <c r="Z5" s="115">
        <f t="shared" ref="Z5:Z59" si="2">SUM(U5:X5)</f>
        <v>29</v>
      </c>
      <c r="AA5" s="115">
        <f t="shared" ref="AA5:AA20" si="3">IF(F5="TOCC",G5,K5)</f>
        <v>192</v>
      </c>
      <c r="AB5" s="115">
        <f t="shared" ref="AB5:AB20" si="4">IF(F5&lt;&gt;"TOCC",G5,K5)</f>
        <v>188</v>
      </c>
      <c r="AC5" s="115">
        <f t="shared" ref="AC5:AC20" si="5">IF(F5="TOCC",H5,L5)</f>
        <v>6</v>
      </c>
      <c r="AD5" s="115">
        <f t="shared" ref="AD5:AD20" si="6">IF(F5&lt;&gt;"TOCC",H5,L5)</f>
        <v>9</v>
      </c>
      <c r="AF5" s="22">
        <v>0</v>
      </c>
      <c r="AG5" s="22">
        <v>0</v>
      </c>
    </row>
    <row r="6" spans="1:33" x14ac:dyDescent="0.15">
      <c r="A6" s="149" t="str">
        <f>TEXT(WEEKDAY(B6),"ddd")</f>
        <v>Sun</v>
      </c>
      <c r="B6" s="150">
        <v>40314</v>
      </c>
      <c r="C6" s="151" t="s">
        <v>251</v>
      </c>
      <c r="D6" s="152" t="s">
        <v>228</v>
      </c>
      <c r="E6" s="152" t="s">
        <v>213</v>
      </c>
      <c r="F6" s="152" t="s">
        <v>1</v>
      </c>
      <c r="G6" s="153">
        <v>235</v>
      </c>
      <c r="H6" s="152">
        <v>6</v>
      </c>
      <c r="I6" s="152"/>
      <c r="J6" s="154" t="s">
        <v>307</v>
      </c>
      <c r="K6" s="153">
        <v>129</v>
      </c>
      <c r="L6" s="152">
        <v>8</v>
      </c>
      <c r="M6" s="152"/>
      <c r="N6" s="151" t="s">
        <v>308</v>
      </c>
      <c r="O6" s="155">
        <v>26.1</v>
      </c>
      <c r="P6" s="155">
        <v>30</v>
      </c>
      <c r="Q6" s="156">
        <v>11</v>
      </c>
      <c r="R6" s="156">
        <v>0</v>
      </c>
      <c r="S6" s="156">
        <v>6</v>
      </c>
      <c r="T6" s="156">
        <v>0</v>
      </c>
      <c r="U6" s="156">
        <v>4</v>
      </c>
      <c r="V6" s="156">
        <v>0</v>
      </c>
      <c r="W6" s="156">
        <v>9</v>
      </c>
      <c r="X6" s="156">
        <v>4</v>
      </c>
      <c r="Y6" s="156">
        <f t="shared" si="1"/>
        <v>17</v>
      </c>
      <c r="Z6" s="156">
        <f t="shared" si="2"/>
        <v>17</v>
      </c>
      <c r="AA6" s="156">
        <f t="shared" si="3"/>
        <v>129</v>
      </c>
      <c r="AB6" s="156">
        <f t="shared" si="4"/>
        <v>235</v>
      </c>
      <c r="AC6" s="156">
        <f t="shared" si="5"/>
        <v>8</v>
      </c>
      <c r="AD6" s="156">
        <f t="shared" si="6"/>
        <v>6</v>
      </c>
      <c r="AF6" s="26">
        <v>0</v>
      </c>
      <c r="AG6" s="26">
        <v>1</v>
      </c>
    </row>
    <row r="7" spans="1:33" x14ac:dyDescent="0.15">
      <c r="A7" s="149" t="str">
        <f t="shared" si="0"/>
        <v>Sun</v>
      </c>
      <c r="B7" s="150">
        <v>40321</v>
      </c>
      <c r="C7" s="151" t="s">
        <v>239</v>
      </c>
      <c r="D7" s="152" t="s">
        <v>212</v>
      </c>
      <c r="E7" s="152" t="s">
        <v>213</v>
      </c>
      <c r="F7" s="152" t="s">
        <v>1</v>
      </c>
      <c r="G7" s="153">
        <v>234</v>
      </c>
      <c r="H7" s="152">
        <v>8</v>
      </c>
      <c r="I7" s="152"/>
      <c r="J7" s="154" t="s">
        <v>325</v>
      </c>
      <c r="K7" s="153">
        <v>148</v>
      </c>
      <c r="L7" s="152">
        <v>9</v>
      </c>
      <c r="M7" s="152"/>
      <c r="N7" s="151" t="s">
        <v>326</v>
      </c>
      <c r="O7" s="155">
        <v>40</v>
      </c>
      <c r="P7" s="155">
        <v>42.5</v>
      </c>
      <c r="Q7" s="156">
        <v>3</v>
      </c>
      <c r="R7" s="156">
        <v>1</v>
      </c>
      <c r="S7" s="156">
        <v>11</v>
      </c>
      <c r="T7" s="156">
        <v>6</v>
      </c>
      <c r="U7" s="156">
        <v>7</v>
      </c>
      <c r="V7" s="156">
        <v>6</v>
      </c>
      <c r="W7" s="156">
        <v>5</v>
      </c>
      <c r="X7" s="156">
        <v>2</v>
      </c>
      <c r="Y7" s="156">
        <f t="shared" si="1"/>
        <v>21</v>
      </c>
      <c r="Z7" s="156">
        <f t="shared" si="2"/>
        <v>20</v>
      </c>
      <c r="AA7" s="156">
        <f t="shared" si="3"/>
        <v>148</v>
      </c>
      <c r="AB7" s="156">
        <f t="shared" si="4"/>
        <v>234</v>
      </c>
      <c r="AC7" s="156">
        <f t="shared" si="5"/>
        <v>9</v>
      </c>
      <c r="AD7" s="156">
        <f t="shared" si="6"/>
        <v>8</v>
      </c>
      <c r="AF7" s="26">
        <v>0</v>
      </c>
      <c r="AG7" s="26">
        <v>0</v>
      </c>
    </row>
    <row r="8" spans="1:33" x14ac:dyDescent="0.15">
      <c r="A8" s="149" t="str">
        <f t="shared" si="0"/>
        <v>Sun</v>
      </c>
      <c r="B8" s="150">
        <v>40328</v>
      </c>
      <c r="C8" s="151" t="s">
        <v>255</v>
      </c>
      <c r="D8" s="152" t="s">
        <v>212</v>
      </c>
      <c r="E8" s="152" t="s">
        <v>234</v>
      </c>
      <c r="F8" s="152" t="s">
        <v>233</v>
      </c>
      <c r="G8" s="153">
        <v>179</v>
      </c>
      <c r="H8" s="152">
        <v>6</v>
      </c>
      <c r="I8" s="152"/>
      <c r="J8" s="157" t="s">
        <v>342</v>
      </c>
      <c r="K8" s="153">
        <v>180</v>
      </c>
      <c r="L8" s="152">
        <v>4</v>
      </c>
      <c r="M8" s="152"/>
      <c r="N8" s="151" t="s">
        <v>343</v>
      </c>
      <c r="O8" s="155">
        <v>35</v>
      </c>
      <c r="P8" s="155">
        <v>33.299999999999997</v>
      </c>
      <c r="Q8" s="156">
        <v>15</v>
      </c>
      <c r="R8" s="156">
        <v>11</v>
      </c>
      <c r="S8" s="156">
        <v>11</v>
      </c>
      <c r="T8" s="156">
        <v>5</v>
      </c>
      <c r="U8" s="156">
        <v>7</v>
      </c>
      <c r="V8" s="156">
        <v>5</v>
      </c>
      <c r="W8" s="156">
        <v>7</v>
      </c>
      <c r="X8" s="156">
        <v>1</v>
      </c>
      <c r="Y8" s="156">
        <f t="shared" si="1"/>
        <v>42</v>
      </c>
      <c r="Z8" s="156">
        <f t="shared" si="2"/>
        <v>20</v>
      </c>
      <c r="AA8" s="156">
        <f t="shared" si="3"/>
        <v>179</v>
      </c>
      <c r="AB8" s="156">
        <f t="shared" si="4"/>
        <v>180</v>
      </c>
      <c r="AC8" s="156">
        <f t="shared" si="5"/>
        <v>6</v>
      </c>
      <c r="AD8" s="156">
        <f t="shared" si="6"/>
        <v>4</v>
      </c>
      <c r="AF8" s="26">
        <v>0</v>
      </c>
      <c r="AG8" s="26">
        <v>0</v>
      </c>
    </row>
    <row r="9" spans="1:33" x14ac:dyDescent="0.15">
      <c r="A9" s="149" t="str">
        <f t="shared" si="0"/>
        <v>Mon</v>
      </c>
      <c r="B9" s="150">
        <v>40329</v>
      </c>
      <c r="C9" s="151" t="s">
        <v>258</v>
      </c>
      <c r="D9" s="152" t="s">
        <v>212</v>
      </c>
      <c r="E9" s="152" t="s">
        <v>234</v>
      </c>
      <c r="F9" s="152" t="s">
        <v>1</v>
      </c>
      <c r="G9" s="153">
        <v>183</v>
      </c>
      <c r="H9" s="152">
        <v>7</v>
      </c>
      <c r="I9" s="152"/>
      <c r="J9" s="154" t="s">
        <v>359</v>
      </c>
      <c r="K9" s="153">
        <v>98</v>
      </c>
      <c r="L9" s="152">
        <v>10</v>
      </c>
      <c r="M9" s="152"/>
      <c r="N9" s="151" t="s">
        <v>360</v>
      </c>
      <c r="O9" s="155">
        <v>28.4</v>
      </c>
      <c r="P9" s="155">
        <v>40</v>
      </c>
      <c r="Q9" s="156">
        <v>11</v>
      </c>
      <c r="R9" s="156">
        <v>0</v>
      </c>
      <c r="S9" s="156">
        <v>14</v>
      </c>
      <c r="T9" s="156">
        <v>1</v>
      </c>
      <c r="U9" s="156">
        <v>6</v>
      </c>
      <c r="V9" s="156">
        <v>4</v>
      </c>
      <c r="W9" s="156">
        <v>6</v>
      </c>
      <c r="X9" s="156">
        <v>2</v>
      </c>
      <c r="Y9" s="156">
        <f t="shared" si="1"/>
        <v>26</v>
      </c>
      <c r="Z9" s="156">
        <f t="shared" si="2"/>
        <v>18</v>
      </c>
      <c r="AA9" s="156">
        <f t="shared" si="3"/>
        <v>98</v>
      </c>
      <c r="AB9" s="156">
        <f t="shared" si="4"/>
        <v>183</v>
      </c>
      <c r="AC9" s="156">
        <f t="shared" si="5"/>
        <v>10</v>
      </c>
      <c r="AD9" s="156">
        <f t="shared" si="6"/>
        <v>7</v>
      </c>
      <c r="AF9" s="26">
        <v>1</v>
      </c>
      <c r="AG9" s="26">
        <v>0</v>
      </c>
    </row>
    <row r="10" spans="1:33" x14ac:dyDescent="0.15">
      <c r="A10" s="149" t="str">
        <f t="shared" si="0"/>
        <v>Sun</v>
      </c>
      <c r="B10" s="150">
        <v>40335</v>
      </c>
      <c r="C10" s="151" t="s">
        <v>238</v>
      </c>
      <c r="D10" s="152" t="s">
        <v>228</v>
      </c>
      <c r="E10" s="152" t="s">
        <v>234</v>
      </c>
      <c r="F10" s="152" t="s">
        <v>1</v>
      </c>
      <c r="G10" s="153">
        <v>236</v>
      </c>
      <c r="H10" s="152">
        <v>10</v>
      </c>
      <c r="I10" s="152"/>
      <c r="J10" s="154" t="s">
        <v>381</v>
      </c>
      <c r="K10" s="153">
        <v>54</v>
      </c>
      <c r="L10" s="152">
        <v>10</v>
      </c>
      <c r="M10" s="152"/>
      <c r="N10" s="151" t="s">
        <v>382</v>
      </c>
      <c r="O10" s="155">
        <v>21.4</v>
      </c>
      <c r="P10" s="155">
        <v>39.4</v>
      </c>
      <c r="Q10" s="156">
        <v>17</v>
      </c>
      <c r="R10" s="156">
        <v>7</v>
      </c>
      <c r="S10" s="156">
        <v>6</v>
      </c>
      <c r="T10" s="156">
        <v>2</v>
      </c>
      <c r="U10" s="156">
        <v>6</v>
      </c>
      <c r="V10" s="156">
        <v>3</v>
      </c>
      <c r="W10" s="156">
        <v>0</v>
      </c>
      <c r="X10" s="156">
        <v>1</v>
      </c>
      <c r="Y10" s="156">
        <f t="shared" si="1"/>
        <v>32</v>
      </c>
      <c r="Z10" s="156">
        <f t="shared" si="2"/>
        <v>10</v>
      </c>
      <c r="AA10" s="156">
        <f t="shared" si="3"/>
        <v>54</v>
      </c>
      <c r="AB10" s="156">
        <f t="shared" si="4"/>
        <v>236</v>
      </c>
      <c r="AC10" s="156">
        <f t="shared" si="5"/>
        <v>10</v>
      </c>
      <c r="AD10" s="156">
        <f t="shared" si="6"/>
        <v>10</v>
      </c>
      <c r="AF10" s="26">
        <v>0</v>
      </c>
      <c r="AG10" s="26">
        <v>1</v>
      </c>
    </row>
    <row r="11" spans="1:33" x14ac:dyDescent="0.15">
      <c r="A11" s="149" t="str">
        <f t="shared" si="0"/>
        <v>Sun</v>
      </c>
      <c r="B11" s="150">
        <v>40342</v>
      </c>
      <c r="C11" s="151" t="s">
        <v>395</v>
      </c>
      <c r="D11" s="152" t="s">
        <v>212</v>
      </c>
      <c r="E11" s="152" t="s">
        <v>213</v>
      </c>
      <c r="F11" s="152" t="s">
        <v>1</v>
      </c>
      <c r="G11" s="153">
        <v>327</v>
      </c>
      <c r="H11" s="152">
        <v>3</v>
      </c>
      <c r="I11" s="152"/>
      <c r="J11" s="154" t="s">
        <v>396</v>
      </c>
      <c r="K11" s="153">
        <v>181</v>
      </c>
      <c r="L11" s="152">
        <v>4</v>
      </c>
      <c r="M11" s="152"/>
      <c r="N11" s="151" t="s">
        <v>397</v>
      </c>
      <c r="O11" s="155">
        <v>40</v>
      </c>
      <c r="P11" s="155">
        <v>40</v>
      </c>
      <c r="Q11" s="156">
        <v>10</v>
      </c>
      <c r="R11" s="156">
        <v>4</v>
      </c>
      <c r="S11" s="156">
        <v>22</v>
      </c>
      <c r="T11" s="156">
        <v>1</v>
      </c>
      <c r="U11" s="156">
        <v>17</v>
      </c>
      <c r="V11" s="156">
        <v>1</v>
      </c>
      <c r="W11" s="156">
        <v>8</v>
      </c>
      <c r="X11" s="156">
        <v>2</v>
      </c>
      <c r="Y11" s="156">
        <f t="shared" si="1"/>
        <v>37</v>
      </c>
      <c r="Z11" s="156">
        <f t="shared" si="2"/>
        <v>28</v>
      </c>
      <c r="AA11" s="156">
        <f t="shared" si="3"/>
        <v>181</v>
      </c>
      <c r="AB11" s="156">
        <f t="shared" si="4"/>
        <v>327</v>
      </c>
      <c r="AC11" s="156">
        <f t="shared" si="5"/>
        <v>4</v>
      </c>
      <c r="AD11" s="156">
        <f t="shared" si="6"/>
        <v>3</v>
      </c>
      <c r="AF11" s="26">
        <v>1</v>
      </c>
      <c r="AG11" s="26">
        <v>0</v>
      </c>
    </row>
    <row r="12" spans="1:33" x14ac:dyDescent="0.15">
      <c r="A12" s="149" t="str">
        <f t="shared" si="0"/>
        <v>Sun</v>
      </c>
      <c r="B12" s="150">
        <v>40349</v>
      </c>
      <c r="C12" s="151" t="s">
        <v>414</v>
      </c>
      <c r="D12" s="152" t="s">
        <v>212</v>
      </c>
      <c r="E12" s="152" t="s">
        <v>234</v>
      </c>
      <c r="F12" s="152" t="s">
        <v>233</v>
      </c>
      <c r="G12" s="153">
        <v>160</v>
      </c>
      <c r="H12" s="152">
        <v>7</v>
      </c>
      <c r="I12" s="152"/>
      <c r="J12" s="154" t="s">
        <v>415</v>
      </c>
      <c r="K12" s="153">
        <v>161</v>
      </c>
      <c r="L12" s="152">
        <v>7</v>
      </c>
      <c r="M12" s="152"/>
      <c r="N12" s="154" t="s">
        <v>416</v>
      </c>
      <c r="O12" s="155">
        <v>40</v>
      </c>
      <c r="P12" s="155">
        <v>34.4</v>
      </c>
      <c r="Q12" s="156">
        <v>6</v>
      </c>
      <c r="R12" s="156">
        <v>1</v>
      </c>
      <c r="S12" s="156">
        <v>11</v>
      </c>
      <c r="T12" s="156">
        <v>1</v>
      </c>
      <c r="U12" s="156">
        <v>2</v>
      </c>
      <c r="V12" s="156">
        <v>1</v>
      </c>
      <c r="W12" s="156">
        <v>1</v>
      </c>
      <c r="X12" s="156">
        <v>1</v>
      </c>
      <c r="Y12" s="156">
        <f t="shared" si="1"/>
        <v>19</v>
      </c>
      <c r="Z12" s="156">
        <f t="shared" si="2"/>
        <v>5</v>
      </c>
      <c r="AA12" s="156">
        <f t="shared" si="3"/>
        <v>160</v>
      </c>
      <c r="AB12" s="156">
        <f t="shared" si="4"/>
        <v>161</v>
      </c>
      <c r="AC12" s="156">
        <f t="shared" si="5"/>
        <v>7</v>
      </c>
      <c r="AD12" s="156">
        <f t="shared" si="6"/>
        <v>7</v>
      </c>
      <c r="AF12" s="26">
        <v>0</v>
      </c>
      <c r="AG12" s="26">
        <v>0</v>
      </c>
    </row>
    <row r="13" spans="1:33" x14ac:dyDescent="0.15">
      <c r="A13" s="149" t="str">
        <f t="shared" si="0"/>
        <v>Sun</v>
      </c>
      <c r="B13" s="150">
        <v>40356</v>
      </c>
      <c r="C13" s="151" t="s">
        <v>432</v>
      </c>
      <c r="D13" s="152" t="s">
        <v>212</v>
      </c>
      <c r="E13" s="152" t="s">
        <v>237</v>
      </c>
      <c r="F13" s="152" t="s">
        <v>1</v>
      </c>
      <c r="G13" s="153">
        <v>107</v>
      </c>
      <c r="H13" s="152">
        <v>10</v>
      </c>
      <c r="I13" s="152"/>
      <c r="J13" s="154" t="s">
        <v>433</v>
      </c>
      <c r="K13" s="153">
        <v>112</v>
      </c>
      <c r="L13" s="152">
        <v>0</v>
      </c>
      <c r="M13" s="152"/>
      <c r="N13" s="151" t="s">
        <v>434</v>
      </c>
      <c r="O13" s="155">
        <v>19.5</v>
      </c>
      <c r="P13" s="155">
        <v>37</v>
      </c>
      <c r="Q13" s="156">
        <v>1</v>
      </c>
      <c r="R13" s="156">
        <v>12</v>
      </c>
      <c r="S13" s="156">
        <v>0</v>
      </c>
      <c r="T13" s="156">
        <v>3</v>
      </c>
      <c r="U13" s="156">
        <v>0</v>
      </c>
      <c r="V13" s="156">
        <v>0</v>
      </c>
      <c r="W13" s="156">
        <v>1</v>
      </c>
      <c r="X13" s="156">
        <v>0</v>
      </c>
      <c r="Y13" s="156">
        <f t="shared" si="1"/>
        <v>16</v>
      </c>
      <c r="Z13" s="156">
        <f t="shared" si="2"/>
        <v>1</v>
      </c>
      <c r="AA13" s="156">
        <f t="shared" si="3"/>
        <v>112</v>
      </c>
      <c r="AB13" s="156">
        <f t="shared" si="4"/>
        <v>107</v>
      </c>
      <c r="AC13" s="156">
        <f t="shared" si="5"/>
        <v>0</v>
      </c>
      <c r="AD13" s="156">
        <f t="shared" si="6"/>
        <v>10</v>
      </c>
      <c r="AF13" s="26">
        <v>0</v>
      </c>
      <c r="AG13" s="26">
        <v>0</v>
      </c>
    </row>
    <row r="14" spans="1:33" x14ac:dyDescent="0.15">
      <c r="A14" s="149" t="str">
        <f t="shared" si="0"/>
        <v>Sun</v>
      </c>
      <c r="B14" s="150">
        <v>40363</v>
      </c>
      <c r="C14" s="151" t="s">
        <v>447</v>
      </c>
      <c r="D14" s="152" t="s">
        <v>212</v>
      </c>
      <c r="E14" s="152" t="s">
        <v>234</v>
      </c>
      <c r="F14" s="152" t="s">
        <v>1</v>
      </c>
      <c r="G14" s="153">
        <v>219</v>
      </c>
      <c r="H14" s="152">
        <v>8</v>
      </c>
      <c r="I14" s="152"/>
      <c r="J14" s="154" t="s">
        <v>448</v>
      </c>
      <c r="K14" s="153">
        <v>196</v>
      </c>
      <c r="L14" s="152">
        <v>10</v>
      </c>
      <c r="M14" s="152"/>
      <c r="N14" s="151" t="s">
        <v>449</v>
      </c>
      <c r="O14" s="155">
        <v>37.5</v>
      </c>
      <c r="P14" s="155">
        <v>40</v>
      </c>
      <c r="Q14" s="156">
        <v>19</v>
      </c>
      <c r="R14" s="156">
        <v>2</v>
      </c>
      <c r="S14" s="156">
        <v>7</v>
      </c>
      <c r="T14" s="156">
        <v>6</v>
      </c>
      <c r="U14" s="156">
        <v>8</v>
      </c>
      <c r="V14" s="156">
        <v>4</v>
      </c>
      <c r="W14" s="156">
        <v>7</v>
      </c>
      <c r="X14" s="156">
        <v>3</v>
      </c>
      <c r="Y14" s="156">
        <f t="shared" si="1"/>
        <v>34</v>
      </c>
      <c r="Z14" s="156">
        <f t="shared" si="2"/>
        <v>22</v>
      </c>
      <c r="AA14" s="156">
        <f t="shared" si="3"/>
        <v>196</v>
      </c>
      <c r="AB14" s="156">
        <f t="shared" si="4"/>
        <v>219</v>
      </c>
      <c r="AC14" s="156">
        <f t="shared" si="5"/>
        <v>10</v>
      </c>
      <c r="AD14" s="156">
        <f t="shared" si="6"/>
        <v>8</v>
      </c>
      <c r="AF14" s="26">
        <v>0</v>
      </c>
      <c r="AG14" s="26">
        <v>2</v>
      </c>
    </row>
    <row r="15" spans="1:33" x14ac:dyDescent="0.15">
      <c r="A15" s="149" t="str">
        <f t="shared" si="0"/>
        <v>Sun</v>
      </c>
      <c r="B15" s="150">
        <v>40370</v>
      </c>
      <c r="C15" s="151" t="s">
        <v>467</v>
      </c>
      <c r="D15" s="152" t="s">
        <v>212</v>
      </c>
      <c r="E15" s="152" t="s">
        <v>237</v>
      </c>
      <c r="F15" s="152" t="s">
        <v>1</v>
      </c>
      <c r="G15" s="153">
        <v>204</v>
      </c>
      <c r="H15" s="152">
        <v>8</v>
      </c>
      <c r="I15" s="152"/>
      <c r="J15" s="154" t="s">
        <v>468</v>
      </c>
      <c r="K15" s="153">
        <v>208</v>
      </c>
      <c r="L15" s="152">
        <v>8</v>
      </c>
      <c r="M15" s="152"/>
      <c r="N15" s="151" t="s">
        <v>469</v>
      </c>
      <c r="O15" s="155">
        <v>38.299999999999997</v>
      </c>
      <c r="P15" s="155">
        <v>40</v>
      </c>
      <c r="Q15" s="156">
        <v>11</v>
      </c>
      <c r="R15" s="156">
        <v>12</v>
      </c>
      <c r="S15" s="156">
        <v>10</v>
      </c>
      <c r="T15" s="156">
        <v>1</v>
      </c>
      <c r="U15" s="156">
        <v>17</v>
      </c>
      <c r="V15" s="156">
        <v>3</v>
      </c>
      <c r="W15" s="156">
        <v>5</v>
      </c>
      <c r="X15" s="156">
        <v>3</v>
      </c>
      <c r="Y15" s="156">
        <f t="shared" si="1"/>
        <v>34</v>
      </c>
      <c r="Z15" s="156">
        <f t="shared" si="2"/>
        <v>28</v>
      </c>
      <c r="AA15" s="156">
        <f t="shared" si="3"/>
        <v>208</v>
      </c>
      <c r="AB15" s="156">
        <f t="shared" si="4"/>
        <v>204</v>
      </c>
      <c r="AC15" s="156">
        <f t="shared" si="5"/>
        <v>8</v>
      </c>
      <c r="AD15" s="156">
        <f t="shared" si="6"/>
        <v>8</v>
      </c>
      <c r="AF15" s="26">
        <v>0</v>
      </c>
      <c r="AG15" s="26">
        <v>1</v>
      </c>
    </row>
    <row r="16" spans="1:33" s="22" customFormat="1" x14ac:dyDescent="0.15">
      <c r="A16" s="108" t="str">
        <f t="shared" si="0"/>
        <v>Sun</v>
      </c>
      <c r="B16" s="109">
        <v>40377</v>
      </c>
      <c r="C16" s="110" t="s">
        <v>485</v>
      </c>
      <c r="D16" s="111" t="s">
        <v>212</v>
      </c>
      <c r="E16" s="111" t="s">
        <v>234</v>
      </c>
      <c r="F16" s="111" t="s">
        <v>1</v>
      </c>
      <c r="G16" s="112">
        <v>120</v>
      </c>
      <c r="H16" s="111">
        <v>10</v>
      </c>
      <c r="I16" s="111"/>
      <c r="J16" s="113" t="s">
        <v>486</v>
      </c>
      <c r="K16" s="112">
        <v>111</v>
      </c>
      <c r="L16" s="111">
        <v>10</v>
      </c>
      <c r="M16" s="111"/>
      <c r="N16" s="110" t="s">
        <v>487</v>
      </c>
      <c r="O16" s="114">
        <v>31.2</v>
      </c>
      <c r="P16" s="114">
        <v>41</v>
      </c>
      <c r="Q16" s="115">
        <v>6</v>
      </c>
      <c r="R16" s="115">
        <v>1</v>
      </c>
      <c r="S16" s="115">
        <v>3</v>
      </c>
      <c r="T16" s="115">
        <v>1</v>
      </c>
      <c r="U16" s="115">
        <v>4</v>
      </c>
      <c r="V16" s="115">
        <v>1</v>
      </c>
      <c r="W16" s="115">
        <v>1</v>
      </c>
      <c r="X16" s="115">
        <v>6</v>
      </c>
      <c r="Y16" s="115">
        <f t="shared" si="1"/>
        <v>11</v>
      </c>
      <c r="Z16" s="115">
        <f t="shared" si="2"/>
        <v>12</v>
      </c>
      <c r="AA16" s="115">
        <f t="shared" si="3"/>
        <v>111</v>
      </c>
      <c r="AB16" s="115">
        <f t="shared" si="4"/>
        <v>120</v>
      </c>
      <c r="AC16" s="115">
        <f t="shared" si="5"/>
        <v>10</v>
      </c>
      <c r="AD16" s="115">
        <f t="shared" si="6"/>
        <v>10</v>
      </c>
      <c r="AF16" s="22">
        <v>1</v>
      </c>
      <c r="AG16" s="22">
        <v>1</v>
      </c>
    </row>
    <row r="17" spans="1:33" x14ac:dyDescent="0.15">
      <c r="A17" s="108" t="str">
        <f t="shared" si="0"/>
        <v>Sun</v>
      </c>
      <c r="B17" s="109">
        <v>40384</v>
      </c>
      <c r="C17" s="110" t="s">
        <v>506</v>
      </c>
      <c r="D17" s="111" t="s">
        <v>228</v>
      </c>
      <c r="E17" s="111" t="s">
        <v>237</v>
      </c>
      <c r="F17" s="111" t="s">
        <v>233</v>
      </c>
      <c r="G17" s="112">
        <v>247</v>
      </c>
      <c r="H17" s="111">
        <v>7</v>
      </c>
      <c r="I17" s="111"/>
      <c r="J17" s="113" t="s">
        <v>507</v>
      </c>
      <c r="K17" s="112">
        <v>122</v>
      </c>
      <c r="L17" s="111">
        <v>10</v>
      </c>
      <c r="M17" s="111"/>
      <c r="N17" s="110" t="s">
        <v>508</v>
      </c>
      <c r="O17" s="114">
        <v>40</v>
      </c>
      <c r="P17" s="114">
        <v>24.3</v>
      </c>
      <c r="Q17" s="115">
        <v>9</v>
      </c>
      <c r="R17" s="115">
        <v>2</v>
      </c>
      <c r="S17" s="115">
        <v>3</v>
      </c>
      <c r="T17" s="115">
        <v>2</v>
      </c>
      <c r="U17" s="115">
        <v>43</v>
      </c>
      <c r="V17" s="115">
        <v>2</v>
      </c>
      <c r="W17" s="115">
        <v>5</v>
      </c>
      <c r="X17" s="115">
        <v>3</v>
      </c>
      <c r="Y17" s="115">
        <f t="shared" si="1"/>
        <v>16</v>
      </c>
      <c r="Z17" s="115">
        <f t="shared" si="2"/>
        <v>53</v>
      </c>
      <c r="AA17" s="115">
        <f t="shared" si="3"/>
        <v>247</v>
      </c>
      <c r="AB17" s="115">
        <f t="shared" si="4"/>
        <v>122</v>
      </c>
      <c r="AC17" s="115">
        <f t="shared" si="5"/>
        <v>7</v>
      </c>
      <c r="AD17" s="115">
        <f t="shared" si="6"/>
        <v>10</v>
      </c>
      <c r="AF17" s="26">
        <v>1</v>
      </c>
      <c r="AG17" s="26">
        <v>0</v>
      </c>
    </row>
    <row r="18" spans="1:33" x14ac:dyDescent="0.15">
      <c r="A18" s="108" t="str">
        <f t="shared" si="0"/>
        <v>Sun</v>
      </c>
      <c r="B18" s="109">
        <v>40391</v>
      </c>
      <c r="C18" s="110" t="s">
        <v>523</v>
      </c>
      <c r="D18" s="111" t="s">
        <v>212</v>
      </c>
      <c r="E18" s="111" t="s">
        <v>234</v>
      </c>
      <c r="F18" s="111" t="s">
        <v>233</v>
      </c>
      <c r="G18" s="112">
        <v>168</v>
      </c>
      <c r="H18" s="111">
        <v>9</v>
      </c>
      <c r="I18" s="111"/>
      <c r="J18" s="113" t="s">
        <v>524</v>
      </c>
      <c r="K18" s="112">
        <v>172</v>
      </c>
      <c r="L18" s="111">
        <v>2</v>
      </c>
      <c r="M18" s="111"/>
      <c r="N18" s="110" t="s">
        <v>525</v>
      </c>
      <c r="O18" s="114">
        <v>35</v>
      </c>
      <c r="P18" s="114">
        <v>27.5</v>
      </c>
      <c r="Q18" s="115">
        <v>3</v>
      </c>
      <c r="R18" s="115">
        <v>0</v>
      </c>
      <c r="S18" s="115">
        <v>5</v>
      </c>
      <c r="T18" s="115">
        <v>1</v>
      </c>
      <c r="U18" s="115">
        <v>11</v>
      </c>
      <c r="V18" s="115">
        <v>3</v>
      </c>
      <c r="W18" s="115">
        <v>4</v>
      </c>
      <c r="X18" s="115">
        <v>4</v>
      </c>
      <c r="Y18" s="115">
        <f t="shared" si="1"/>
        <v>9</v>
      </c>
      <c r="Z18" s="115">
        <f t="shared" si="2"/>
        <v>22</v>
      </c>
      <c r="AA18" s="115">
        <f t="shared" si="3"/>
        <v>168</v>
      </c>
      <c r="AB18" s="115">
        <f t="shared" si="4"/>
        <v>172</v>
      </c>
      <c r="AC18" s="115">
        <f t="shared" si="5"/>
        <v>9</v>
      </c>
      <c r="AD18" s="115">
        <f t="shared" si="6"/>
        <v>2</v>
      </c>
      <c r="AF18" s="26">
        <v>0</v>
      </c>
      <c r="AG18" s="26">
        <v>0</v>
      </c>
    </row>
    <row r="19" spans="1:33" x14ac:dyDescent="0.15">
      <c r="A19" s="108" t="str">
        <f t="shared" si="0"/>
        <v>Sun</v>
      </c>
      <c r="B19" s="109">
        <v>40398</v>
      </c>
      <c r="C19" s="110" t="s">
        <v>543</v>
      </c>
      <c r="D19" s="111" t="s">
        <v>228</v>
      </c>
      <c r="E19" s="111" t="s">
        <v>237</v>
      </c>
      <c r="F19" s="111" t="s">
        <v>1</v>
      </c>
      <c r="G19" s="112">
        <v>143</v>
      </c>
      <c r="H19" s="111">
        <v>9</v>
      </c>
      <c r="I19" s="111"/>
      <c r="J19" s="113" t="s">
        <v>544</v>
      </c>
      <c r="K19" s="112">
        <v>150</v>
      </c>
      <c r="L19" s="111">
        <v>8</v>
      </c>
      <c r="M19" s="111"/>
      <c r="N19" s="110" t="s">
        <v>545</v>
      </c>
      <c r="O19" s="114">
        <v>38</v>
      </c>
      <c r="P19" s="114">
        <v>33</v>
      </c>
      <c r="Q19" s="115">
        <v>16</v>
      </c>
      <c r="R19" s="115">
        <v>4</v>
      </c>
      <c r="S19" s="115">
        <v>14</v>
      </c>
      <c r="T19" s="115">
        <v>3</v>
      </c>
      <c r="U19" s="115">
        <v>6</v>
      </c>
      <c r="V19" s="115">
        <v>1</v>
      </c>
      <c r="W19" s="115">
        <v>15</v>
      </c>
      <c r="X19" s="115">
        <v>4</v>
      </c>
      <c r="Y19" s="115">
        <f t="shared" si="1"/>
        <v>37</v>
      </c>
      <c r="Z19" s="115">
        <f t="shared" si="2"/>
        <v>26</v>
      </c>
      <c r="AA19" s="115">
        <f t="shared" si="3"/>
        <v>150</v>
      </c>
      <c r="AB19" s="115">
        <f t="shared" si="4"/>
        <v>143</v>
      </c>
      <c r="AC19" s="115">
        <f t="shared" si="5"/>
        <v>8</v>
      </c>
      <c r="AD19" s="115">
        <f t="shared" si="6"/>
        <v>9</v>
      </c>
      <c r="AE19" s="26" t="s">
        <v>562</v>
      </c>
      <c r="AF19" s="26">
        <v>0</v>
      </c>
      <c r="AG19" s="26">
        <v>1</v>
      </c>
    </row>
    <row r="20" spans="1:33" x14ac:dyDescent="0.15">
      <c r="A20" s="108" t="str">
        <f t="shared" si="0"/>
        <v>Sun</v>
      </c>
      <c r="B20" s="109">
        <v>40405</v>
      </c>
      <c r="C20" s="110" t="s">
        <v>564</v>
      </c>
      <c r="D20" s="111" t="s">
        <v>212</v>
      </c>
      <c r="E20" s="111" t="s">
        <v>237</v>
      </c>
      <c r="F20" s="111" t="s">
        <v>233</v>
      </c>
      <c r="G20" s="112">
        <v>178</v>
      </c>
      <c r="H20" s="111">
        <v>5</v>
      </c>
      <c r="I20" s="111"/>
      <c r="J20" s="113" t="s">
        <v>565</v>
      </c>
      <c r="K20" s="112">
        <v>112</v>
      </c>
      <c r="L20" s="111">
        <v>10</v>
      </c>
      <c r="M20" s="111"/>
      <c r="N20" s="110" t="s">
        <v>566</v>
      </c>
      <c r="O20" s="114">
        <v>30</v>
      </c>
      <c r="P20" s="114">
        <v>25.1</v>
      </c>
      <c r="Q20" s="115">
        <v>14</v>
      </c>
      <c r="R20" s="115">
        <v>0</v>
      </c>
      <c r="S20" s="115">
        <v>3</v>
      </c>
      <c r="T20" s="115">
        <v>0</v>
      </c>
      <c r="U20" s="115">
        <v>8</v>
      </c>
      <c r="V20" s="115">
        <v>2</v>
      </c>
      <c r="W20" s="115">
        <v>3</v>
      </c>
      <c r="X20" s="115">
        <v>3</v>
      </c>
      <c r="Y20" s="115">
        <f t="shared" si="1"/>
        <v>17</v>
      </c>
      <c r="Z20" s="115">
        <f t="shared" si="2"/>
        <v>16</v>
      </c>
      <c r="AA20" s="115">
        <f t="shared" si="3"/>
        <v>178</v>
      </c>
      <c r="AB20" s="115">
        <f t="shared" si="4"/>
        <v>112</v>
      </c>
      <c r="AC20" s="115">
        <f t="shared" si="5"/>
        <v>5</v>
      </c>
      <c r="AD20" s="115">
        <f t="shared" si="6"/>
        <v>10</v>
      </c>
      <c r="AF20" s="26">
        <v>2</v>
      </c>
      <c r="AG20" s="26">
        <v>0</v>
      </c>
    </row>
    <row r="21" spans="1:33" x14ac:dyDescent="0.15">
      <c r="A21" s="108" t="str">
        <f t="shared" si="0"/>
        <v>Sun</v>
      </c>
      <c r="B21" s="109">
        <v>40412</v>
      </c>
      <c r="C21" s="110" t="s">
        <v>447</v>
      </c>
      <c r="D21" s="111" t="s">
        <v>228</v>
      </c>
      <c r="E21" s="111" t="s">
        <v>213</v>
      </c>
      <c r="F21" s="111" t="s">
        <v>1</v>
      </c>
      <c r="G21" s="112">
        <v>185</v>
      </c>
      <c r="H21" s="111">
        <v>10</v>
      </c>
      <c r="I21" s="111"/>
      <c r="J21" s="113" t="s">
        <v>586</v>
      </c>
      <c r="K21" s="112">
        <v>139</v>
      </c>
      <c r="L21" s="111">
        <v>7</v>
      </c>
      <c r="M21" s="111"/>
      <c r="N21" s="110" t="s">
        <v>587</v>
      </c>
      <c r="O21" s="114">
        <v>44</v>
      </c>
      <c r="P21" s="114">
        <v>43.5</v>
      </c>
      <c r="Q21" s="115">
        <v>11</v>
      </c>
      <c r="R21" s="115">
        <v>0</v>
      </c>
      <c r="S21" s="115">
        <v>7</v>
      </c>
      <c r="T21" s="115">
        <v>2</v>
      </c>
      <c r="U21" s="115">
        <v>3</v>
      </c>
      <c r="V21" s="115">
        <v>0</v>
      </c>
      <c r="W21" s="115">
        <v>6</v>
      </c>
      <c r="X21" s="115">
        <v>3</v>
      </c>
      <c r="Y21" s="115">
        <f t="shared" si="1"/>
        <v>20</v>
      </c>
      <c r="Z21" s="115">
        <f t="shared" si="2"/>
        <v>12</v>
      </c>
      <c r="AA21" s="115">
        <f t="shared" ref="AA21:AA59" si="7">IF(F21="TOCC",G21,K21)</f>
        <v>139</v>
      </c>
      <c r="AB21" s="115">
        <f t="shared" ref="AB21:AB59" si="8">IF(F21&lt;&gt;"TOCC",G21,K21)</f>
        <v>185</v>
      </c>
      <c r="AC21" s="115">
        <f t="shared" ref="AC21:AC59" si="9">IF(F21="TOCC",H21,L21)</f>
        <v>7</v>
      </c>
      <c r="AD21" s="115">
        <f t="shared" ref="AD21:AD59" si="10">IF(F21&lt;&gt;"TOCC",H21,L21)</f>
        <v>10</v>
      </c>
      <c r="AF21" s="26">
        <v>0</v>
      </c>
      <c r="AG21" s="26">
        <v>0</v>
      </c>
    </row>
    <row r="22" spans="1:33" x14ac:dyDescent="0.15">
      <c r="A22" s="108" t="str">
        <f t="shared" si="0"/>
        <v>Sun</v>
      </c>
      <c r="B22" s="109">
        <v>40419</v>
      </c>
      <c r="C22" s="110" t="s">
        <v>414</v>
      </c>
      <c r="D22" s="111" t="s">
        <v>212</v>
      </c>
      <c r="E22" s="111" t="s">
        <v>237</v>
      </c>
      <c r="F22" s="111" t="s">
        <v>1</v>
      </c>
      <c r="G22" s="112">
        <v>141</v>
      </c>
      <c r="H22" s="111">
        <v>9</v>
      </c>
      <c r="I22" s="111"/>
      <c r="J22" s="113" t="s">
        <v>600</v>
      </c>
      <c r="K22" s="112">
        <v>145</v>
      </c>
      <c r="L22" s="111">
        <v>3</v>
      </c>
      <c r="M22" s="111"/>
      <c r="N22" s="110" t="s">
        <v>601</v>
      </c>
      <c r="O22" s="114">
        <v>36.4</v>
      </c>
      <c r="P22" s="114">
        <v>38</v>
      </c>
      <c r="Q22" s="115">
        <v>6</v>
      </c>
      <c r="R22" s="115">
        <v>0</v>
      </c>
      <c r="S22" s="115">
        <v>1</v>
      </c>
      <c r="T22" s="115">
        <v>0</v>
      </c>
      <c r="U22" s="115">
        <v>12</v>
      </c>
      <c r="V22" s="115">
        <v>3</v>
      </c>
      <c r="W22" s="115">
        <v>8</v>
      </c>
      <c r="X22" s="115">
        <v>1</v>
      </c>
      <c r="Y22" s="115">
        <f t="shared" si="1"/>
        <v>7</v>
      </c>
      <c r="Z22" s="115">
        <f t="shared" si="2"/>
        <v>24</v>
      </c>
      <c r="AA22" s="115">
        <f t="shared" si="7"/>
        <v>145</v>
      </c>
      <c r="AB22" s="115">
        <f t="shared" si="8"/>
        <v>141</v>
      </c>
      <c r="AC22" s="115">
        <f t="shared" si="9"/>
        <v>3</v>
      </c>
      <c r="AD22" s="115">
        <f t="shared" si="10"/>
        <v>9</v>
      </c>
      <c r="AF22" s="26">
        <v>2</v>
      </c>
      <c r="AG22" s="26">
        <v>1</v>
      </c>
    </row>
    <row r="23" spans="1:33" x14ac:dyDescent="0.15">
      <c r="A23" s="108" t="str">
        <f t="shared" si="0"/>
        <v>Sun</v>
      </c>
      <c r="B23" s="109">
        <v>40426</v>
      </c>
      <c r="C23" s="110" t="s">
        <v>617</v>
      </c>
      <c r="D23" s="111" t="s">
        <v>228</v>
      </c>
      <c r="E23" s="111" t="s">
        <v>237</v>
      </c>
      <c r="F23" s="111" t="s">
        <v>1</v>
      </c>
      <c r="G23" s="112">
        <v>145</v>
      </c>
      <c r="H23" s="111">
        <v>10</v>
      </c>
      <c r="I23" s="111"/>
      <c r="J23" s="113" t="s">
        <v>618</v>
      </c>
      <c r="K23" s="112">
        <v>149</v>
      </c>
      <c r="L23" s="111">
        <v>4</v>
      </c>
      <c r="M23" s="111"/>
      <c r="N23" s="110" t="s">
        <v>619</v>
      </c>
      <c r="O23" s="114">
        <v>32.4</v>
      </c>
      <c r="P23" s="114">
        <v>39</v>
      </c>
      <c r="Q23" s="115">
        <v>7</v>
      </c>
      <c r="R23" s="115">
        <v>5</v>
      </c>
      <c r="S23" s="115">
        <v>17</v>
      </c>
      <c r="T23" s="115">
        <v>4</v>
      </c>
      <c r="U23" s="176">
        <v>8</v>
      </c>
      <c r="V23" s="176">
        <v>2</v>
      </c>
      <c r="W23" s="176">
        <v>5</v>
      </c>
      <c r="X23" s="176">
        <v>2</v>
      </c>
      <c r="Y23" s="115">
        <f t="shared" si="1"/>
        <v>33</v>
      </c>
      <c r="Z23" s="115">
        <f t="shared" si="2"/>
        <v>17</v>
      </c>
      <c r="AA23" s="115">
        <f t="shared" si="7"/>
        <v>149</v>
      </c>
      <c r="AB23" s="115">
        <f t="shared" si="8"/>
        <v>145</v>
      </c>
      <c r="AC23" s="115">
        <f t="shared" si="9"/>
        <v>4</v>
      </c>
      <c r="AD23" s="115">
        <f t="shared" si="10"/>
        <v>10</v>
      </c>
      <c r="AF23" s="26">
        <v>0</v>
      </c>
      <c r="AG23" s="26">
        <v>2</v>
      </c>
    </row>
    <row r="24" spans="1:33" x14ac:dyDescent="0.15">
      <c r="A24" s="108" t="str">
        <f t="shared" si="0"/>
        <v>Sun</v>
      </c>
      <c r="B24" s="109">
        <v>40433</v>
      </c>
      <c r="C24" s="110" t="s">
        <v>239</v>
      </c>
      <c r="D24" s="111" t="s">
        <v>212</v>
      </c>
      <c r="E24" s="111" t="s">
        <v>237</v>
      </c>
      <c r="F24" s="111" t="s">
        <v>1</v>
      </c>
      <c r="G24" s="112">
        <v>200</v>
      </c>
      <c r="H24" s="111">
        <v>6</v>
      </c>
      <c r="I24" s="111"/>
      <c r="J24" s="113" t="s">
        <v>632</v>
      </c>
      <c r="K24" s="112">
        <v>202</v>
      </c>
      <c r="L24" s="111">
        <v>6</v>
      </c>
      <c r="M24" s="111"/>
      <c r="N24" s="110" t="s">
        <v>633</v>
      </c>
      <c r="O24" s="114">
        <v>36.200000000000003</v>
      </c>
      <c r="P24" s="114">
        <v>43</v>
      </c>
      <c r="Q24" s="115">
        <v>4</v>
      </c>
      <c r="R24" s="115">
        <v>2</v>
      </c>
      <c r="S24" s="115">
        <v>2</v>
      </c>
      <c r="T24" s="115">
        <v>1</v>
      </c>
      <c r="U24" s="115">
        <v>8</v>
      </c>
      <c r="V24" s="115">
        <v>0</v>
      </c>
      <c r="W24" s="115">
        <v>2</v>
      </c>
      <c r="X24" s="115">
        <v>1</v>
      </c>
      <c r="Y24" s="115">
        <f t="shared" si="1"/>
        <v>9</v>
      </c>
      <c r="Z24" s="115">
        <f t="shared" si="2"/>
        <v>11</v>
      </c>
      <c r="AA24" s="115">
        <f t="shared" si="7"/>
        <v>202</v>
      </c>
      <c r="AB24" s="115">
        <f t="shared" si="8"/>
        <v>200</v>
      </c>
      <c r="AC24" s="115">
        <f t="shared" si="9"/>
        <v>6</v>
      </c>
      <c r="AD24" s="115">
        <f t="shared" si="10"/>
        <v>6</v>
      </c>
      <c r="AF24" s="26">
        <v>0</v>
      </c>
      <c r="AG24" s="26">
        <v>0</v>
      </c>
    </row>
    <row r="25" spans="1:33" x14ac:dyDescent="0.15">
      <c r="A25" s="108" t="str">
        <f t="shared" si="0"/>
        <v>Sun</v>
      </c>
      <c r="B25" s="109">
        <v>40440</v>
      </c>
      <c r="C25" s="110" t="s">
        <v>648</v>
      </c>
      <c r="D25" s="111" t="s">
        <v>212</v>
      </c>
      <c r="E25" s="111" t="s">
        <v>213</v>
      </c>
      <c r="F25" s="111" t="s">
        <v>1</v>
      </c>
      <c r="G25" s="112">
        <v>226</v>
      </c>
      <c r="H25" s="111">
        <v>5</v>
      </c>
      <c r="I25" s="111"/>
      <c r="J25" s="113" t="s">
        <v>649</v>
      </c>
      <c r="K25" s="112">
        <v>223</v>
      </c>
      <c r="L25" s="111">
        <v>7</v>
      </c>
      <c r="M25" s="111"/>
      <c r="N25" s="110" t="s">
        <v>650</v>
      </c>
      <c r="O25" s="114">
        <v>41</v>
      </c>
      <c r="P25" s="114">
        <v>44</v>
      </c>
      <c r="Q25" s="115">
        <v>15</v>
      </c>
      <c r="R25" s="115">
        <v>1</v>
      </c>
      <c r="S25" s="115">
        <v>10</v>
      </c>
      <c r="T25" s="115">
        <v>2</v>
      </c>
      <c r="U25" s="115">
        <v>1</v>
      </c>
      <c r="V25" s="115">
        <v>3</v>
      </c>
      <c r="W25" s="115">
        <v>7</v>
      </c>
      <c r="X25" s="115">
        <v>0</v>
      </c>
      <c r="Y25" s="115">
        <f t="shared" si="1"/>
        <v>28</v>
      </c>
      <c r="Z25" s="115">
        <f t="shared" si="2"/>
        <v>11</v>
      </c>
      <c r="AA25" s="115">
        <f t="shared" si="7"/>
        <v>223</v>
      </c>
      <c r="AB25" s="115">
        <f t="shared" si="8"/>
        <v>226</v>
      </c>
      <c r="AC25" s="115">
        <f t="shared" si="9"/>
        <v>7</v>
      </c>
      <c r="AD25" s="115">
        <f t="shared" si="10"/>
        <v>5</v>
      </c>
      <c r="AF25" s="26">
        <v>0</v>
      </c>
      <c r="AG25" s="26">
        <v>0</v>
      </c>
    </row>
    <row r="26" spans="1:33" x14ac:dyDescent="0.15">
      <c r="A26" s="108" t="str">
        <f t="shared" si="0"/>
        <v>Sat</v>
      </c>
      <c r="B26" s="109"/>
      <c r="C26" s="110"/>
      <c r="D26" s="111"/>
      <c r="E26" s="111"/>
      <c r="F26" s="111"/>
      <c r="G26" s="112"/>
      <c r="H26" s="111"/>
      <c r="I26" s="111"/>
      <c r="J26" s="113"/>
      <c r="K26" s="112"/>
      <c r="L26" s="111"/>
      <c r="M26" s="111"/>
      <c r="N26" s="110"/>
      <c r="O26" s="114"/>
      <c r="P26" s="114"/>
      <c r="Q26" s="115"/>
      <c r="R26" s="115"/>
      <c r="S26" s="115"/>
      <c r="T26" s="115"/>
      <c r="U26" s="115"/>
      <c r="V26" s="115"/>
      <c r="W26" s="115"/>
      <c r="X26" s="115"/>
      <c r="Y26" s="115">
        <f t="shared" si="1"/>
        <v>0</v>
      </c>
      <c r="Z26" s="115">
        <f t="shared" si="2"/>
        <v>0</v>
      </c>
      <c r="AA26" s="115">
        <f t="shared" si="7"/>
        <v>0</v>
      </c>
      <c r="AB26" s="115">
        <f t="shared" si="8"/>
        <v>0</v>
      </c>
      <c r="AC26" s="115">
        <f t="shared" si="9"/>
        <v>0</v>
      </c>
      <c r="AD26" s="115">
        <f t="shared" si="10"/>
        <v>0</v>
      </c>
    </row>
    <row r="27" spans="1:33" x14ac:dyDescent="0.15">
      <c r="A27" s="108" t="str">
        <f t="shared" si="0"/>
        <v>Sat</v>
      </c>
      <c r="B27" s="109"/>
      <c r="C27" s="110"/>
      <c r="D27" s="111"/>
      <c r="E27" s="111"/>
      <c r="F27" s="111"/>
      <c r="G27" s="112"/>
      <c r="H27" s="111"/>
      <c r="I27" s="111"/>
      <c r="J27" s="113"/>
      <c r="K27" s="112"/>
      <c r="L27" s="111"/>
      <c r="M27" s="111"/>
      <c r="N27" s="110"/>
      <c r="O27" s="114"/>
      <c r="P27" s="114"/>
      <c r="Q27" s="115"/>
      <c r="R27" s="115"/>
      <c r="S27" s="115"/>
      <c r="T27" s="115"/>
      <c r="U27" s="115"/>
      <c r="V27" s="115"/>
      <c r="W27" s="115"/>
      <c r="X27" s="115"/>
      <c r="Y27" s="115">
        <f t="shared" si="1"/>
        <v>0</v>
      </c>
      <c r="Z27" s="115">
        <f t="shared" si="2"/>
        <v>0</v>
      </c>
      <c r="AA27" s="115">
        <f t="shared" si="7"/>
        <v>0</v>
      </c>
      <c r="AB27" s="115">
        <f t="shared" si="8"/>
        <v>0</v>
      </c>
      <c r="AC27" s="115">
        <f t="shared" si="9"/>
        <v>0</v>
      </c>
      <c r="AD27" s="115">
        <f t="shared" si="10"/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si="1"/>
        <v>0</v>
      </c>
      <c r="Z28" s="115">
        <f t="shared" si="2"/>
        <v>0</v>
      </c>
      <c r="AA28" s="115">
        <f t="shared" si="7"/>
        <v>0</v>
      </c>
      <c r="AB28" s="115">
        <f t="shared" si="8"/>
        <v>0</v>
      </c>
      <c r="AC28" s="115">
        <f t="shared" si="9"/>
        <v>0</v>
      </c>
      <c r="AD28" s="115">
        <f t="shared" si="10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"/>
        <v>0</v>
      </c>
      <c r="Z29" s="115">
        <f t="shared" si="2"/>
        <v>0</v>
      </c>
      <c r="AA29" s="115">
        <f t="shared" si="7"/>
        <v>0</v>
      </c>
      <c r="AB29" s="115">
        <f t="shared" si="8"/>
        <v>0</v>
      </c>
      <c r="AC29" s="115">
        <f t="shared" si="9"/>
        <v>0</v>
      </c>
      <c r="AD29" s="115">
        <f t="shared" si="10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"/>
        <v>0</v>
      </c>
      <c r="Z30" s="115">
        <f t="shared" si="2"/>
        <v>0</v>
      </c>
      <c r="AA30" s="115">
        <f t="shared" si="7"/>
        <v>0</v>
      </c>
      <c r="AB30" s="115">
        <f t="shared" si="8"/>
        <v>0</v>
      </c>
      <c r="AC30" s="115">
        <f t="shared" si="9"/>
        <v>0</v>
      </c>
      <c r="AD30" s="115">
        <f t="shared" si="10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"/>
        <v>0</v>
      </c>
      <c r="Z31" s="115">
        <f t="shared" si="2"/>
        <v>0</v>
      </c>
      <c r="AA31" s="115">
        <f t="shared" si="7"/>
        <v>0</v>
      </c>
      <c r="AB31" s="115">
        <f t="shared" si="8"/>
        <v>0</v>
      </c>
      <c r="AC31" s="115">
        <f t="shared" si="9"/>
        <v>0</v>
      </c>
      <c r="AD31" s="115">
        <f t="shared" si="10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"/>
        <v>0</v>
      </c>
      <c r="Z32" s="115">
        <f t="shared" si="2"/>
        <v>0</v>
      </c>
      <c r="AA32" s="115">
        <f t="shared" si="7"/>
        <v>0</v>
      </c>
      <c r="AB32" s="115">
        <f t="shared" si="8"/>
        <v>0</v>
      </c>
      <c r="AC32" s="115">
        <f t="shared" si="9"/>
        <v>0</v>
      </c>
      <c r="AD32" s="115">
        <f t="shared" si="10"/>
        <v>0</v>
      </c>
    </row>
    <row r="33" spans="1:30" x14ac:dyDescent="0.15">
      <c r="A33" s="108" t="str">
        <f t="shared" si="0"/>
        <v>Sat</v>
      </c>
      <c r="B33" s="109"/>
      <c r="C33" s="177">
        <v>38521</v>
      </c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"/>
        <v>0</v>
      </c>
      <c r="Z33" s="115">
        <f t="shared" si="2"/>
        <v>0</v>
      </c>
      <c r="AA33" s="115">
        <f t="shared" si="7"/>
        <v>0</v>
      </c>
      <c r="AB33" s="115">
        <f t="shared" si="8"/>
        <v>0</v>
      </c>
      <c r="AC33" s="115">
        <f t="shared" si="9"/>
        <v>0</v>
      </c>
      <c r="AD33" s="115">
        <f t="shared" si="10"/>
        <v>0</v>
      </c>
    </row>
    <row r="34" spans="1:30" x14ac:dyDescent="0.15">
      <c r="A34" s="108" t="str">
        <f t="shared" si="0"/>
        <v>Sat</v>
      </c>
      <c r="B34" s="109"/>
      <c r="C34" s="178">
        <f>B17-C33</f>
        <v>1863</v>
      </c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"/>
        <v>0</v>
      </c>
      <c r="Z34" s="115">
        <f t="shared" si="2"/>
        <v>0</v>
      </c>
      <c r="AA34" s="115">
        <f t="shared" si="7"/>
        <v>0</v>
      </c>
      <c r="AB34" s="115">
        <f t="shared" si="8"/>
        <v>0</v>
      </c>
      <c r="AC34" s="115">
        <f t="shared" si="9"/>
        <v>0</v>
      </c>
      <c r="AD34" s="115">
        <f t="shared" si="10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"/>
        <v>0</v>
      </c>
      <c r="Z35" s="115">
        <f t="shared" si="2"/>
        <v>0</v>
      </c>
      <c r="AA35" s="115">
        <f t="shared" si="7"/>
        <v>0</v>
      </c>
      <c r="AB35" s="115">
        <f t="shared" si="8"/>
        <v>0</v>
      </c>
      <c r="AC35" s="115">
        <f t="shared" si="9"/>
        <v>0</v>
      </c>
      <c r="AD35" s="115">
        <f t="shared" si="10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"/>
        <v>0</v>
      </c>
      <c r="Z36" s="115">
        <f t="shared" si="2"/>
        <v>0</v>
      </c>
      <c r="AA36" s="115">
        <f t="shared" si="7"/>
        <v>0</v>
      </c>
      <c r="AB36" s="115">
        <f t="shared" si="8"/>
        <v>0</v>
      </c>
      <c r="AC36" s="115">
        <f t="shared" si="9"/>
        <v>0</v>
      </c>
      <c r="AD36" s="115">
        <f t="shared" si="10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"/>
        <v>0</v>
      </c>
      <c r="Z37" s="115">
        <f t="shared" si="2"/>
        <v>0</v>
      </c>
      <c r="AA37" s="115">
        <f t="shared" si="7"/>
        <v>0</v>
      </c>
      <c r="AB37" s="115">
        <f t="shared" si="8"/>
        <v>0</v>
      </c>
      <c r="AC37" s="115">
        <f t="shared" si="9"/>
        <v>0</v>
      </c>
      <c r="AD37" s="115">
        <f t="shared" si="10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"/>
        <v>0</v>
      </c>
      <c r="Z38" s="115">
        <f t="shared" si="2"/>
        <v>0</v>
      </c>
      <c r="AA38" s="115">
        <f t="shared" si="7"/>
        <v>0</v>
      </c>
      <c r="AB38" s="115">
        <f t="shared" si="8"/>
        <v>0</v>
      </c>
      <c r="AC38" s="115">
        <f t="shared" si="9"/>
        <v>0</v>
      </c>
      <c r="AD38" s="115">
        <f t="shared" si="10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"/>
        <v>0</v>
      </c>
      <c r="Z39" s="115">
        <f t="shared" si="2"/>
        <v>0</v>
      </c>
      <c r="AA39" s="115">
        <f t="shared" si="7"/>
        <v>0</v>
      </c>
      <c r="AB39" s="115">
        <f t="shared" si="8"/>
        <v>0</v>
      </c>
      <c r="AC39" s="115">
        <f t="shared" si="9"/>
        <v>0</v>
      </c>
      <c r="AD39" s="115">
        <f t="shared" si="10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"/>
        <v>0</v>
      </c>
      <c r="Z40" s="115">
        <f t="shared" si="2"/>
        <v>0</v>
      </c>
      <c r="AA40" s="115">
        <f t="shared" si="7"/>
        <v>0</v>
      </c>
      <c r="AB40" s="115">
        <f t="shared" si="8"/>
        <v>0</v>
      </c>
      <c r="AC40" s="115">
        <f t="shared" si="9"/>
        <v>0</v>
      </c>
      <c r="AD40" s="115">
        <f t="shared" si="10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"/>
        <v>0</v>
      </c>
      <c r="Z41" s="115">
        <f t="shared" si="2"/>
        <v>0</v>
      </c>
      <c r="AA41" s="115">
        <f t="shared" si="7"/>
        <v>0</v>
      </c>
      <c r="AB41" s="115">
        <f t="shared" si="8"/>
        <v>0</v>
      </c>
      <c r="AC41" s="115">
        <f t="shared" si="9"/>
        <v>0</v>
      </c>
      <c r="AD41" s="115">
        <f t="shared" si="10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"/>
        <v>0</v>
      </c>
      <c r="Z42" s="115">
        <f t="shared" si="2"/>
        <v>0</v>
      </c>
      <c r="AA42" s="115">
        <f t="shared" si="7"/>
        <v>0</v>
      </c>
      <c r="AB42" s="115">
        <f t="shared" si="8"/>
        <v>0</v>
      </c>
      <c r="AC42" s="115">
        <f t="shared" si="9"/>
        <v>0</v>
      </c>
      <c r="AD42" s="115">
        <f t="shared" si="10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"/>
        <v>0</v>
      </c>
      <c r="Z43" s="115">
        <f t="shared" si="2"/>
        <v>0</v>
      </c>
      <c r="AA43" s="115">
        <f t="shared" si="7"/>
        <v>0</v>
      </c>
      <c r="AB43" s="115">
        <f t="shared" si="8"/>
        <v>0</v>
      </c>
      <c r="AC43" s="115">
        <f t="shared" si="9"/>
        <v>0</v>
      </c>
      <c r="AD43" s="115">
        <f t="shared" si="10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"/>
        <v>0</v>
      </c>
      <c r="Z44" s="115">
        <f t="shared" si="2"/>
        <v>0</v>
      </c>
      <c r="AA44" s="115">
        <f t="shared" si="7"/>
        <v>0</v>
      </c>
      <c r="AB44" s="115">
        <f t="shared" si="8"/>
        <v>0</v>
      </c>
      <c r="AC44" s="115">
        <f t="shared" si="9"/>
        <v>0</v>
      </c>
      <c r="AD44" s="115">
        <f t="shared" si="10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"/>
        <v>0</v>
      </c>
      <c r="Z45" s="115">
        <f t="shared" si="2"/>
        <v>0</v>
      </c>
      <c r="AA45" s="115">
        <f t="shared" si="7"/>
        <v>0</v>
      </c>
      <c r="AB45" s="115">
        <f t="shared" si="8"/>
        <v>0</v>
      </c>
      <c r="AC45" s="115">
        <f t="shared" si="9"/>
        <v>0</v>
      </c>
      <c r="AD45" s="115">
        <f t="shared" si="10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"/>
        <v>0</v>
      </c>
      <c r="Z46" s="115">
        <f t="shared" si="2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"/>
        <v>0</v>
      </c>
      <c r="Z47" s="115">
        <f t="shared" si="2"/>
        <v>0</v>
      </c>
      <c r="AA47" s="115">
        <f t="shared" si="7"/>
        <v>0</v>
      </c>
      <c r="AB47" s="115">
        <f t="shared" si="8"/>
        <v>0</v>
      </c>
      <c r="AC47" s="115">
        <f t="shared" si="9"/>
        <v>0</v>
      </c>
      <c r="AD47" s="115">
        <f t="shared" si="10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"/>
        <v>0</v>
      </c>
      <c r="Z48" s="115">
        <f t="shared" si="2"/>
        <v>0</v>
      </c>
      <c r="AA48" s="115">
        <f t="shared" si="7"/>
        <v>0</v>
      </c>
      <c r="AB48" s="115">
        <f t="shared" si="8"/>
        <v>0</v>
      </c>
      <c r="AC48" s="115">
        <f t="shared" si="9"/>
        <v>0</v>
      </c>
      <c r="AD48" s="115">
        <f t="shared" si="10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"/>
        <v>0</v>
      </c>
      <c r="Z49" s="115">
        <f t="shared" si="2"/>
        <v>0</v>
      </c>
      <c r="AA49" s="115">
        <f t="shared" si="7"/>
        <v>0</v>
      </c>
      <c r="AB49" s="115">
        <f t="shared" si="8"/>
        <v>0</v>
      </c>
      <c r="AC49" s="115">
        <f t="shared" si="9"/>
        <v>0</v>
      </c>
      <c r="AD49" s="115">
        <f t="shared" si="10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"/>
        <v>0</v>
      </c>
      <c r="Z50" s="115">
        <f t="shared" si="2"/>
        <v>0</v>
      </c>
      <c r="AA50" s="115">
        <f t="shared" si="7"/>
        <v>0</v>
      </c>
      <c r="AB50" s="115">
        <f t="shared" si="8"/>
        <v>0</v>
      </c>
      <c r="AC50" s="115">
        <f t="shared" si="9"/>
        <v>0</v>
      </c>
      <c r="AD50" s="115">
        <f t="shared" si="10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"/>
        <v>0</v>
      </c>
      <c r="Z51" s="115">
        <f t="shared" si="2"/>
        <v>0</v>
      </c>
      <c r="AA51" s="115">
        <f t="shared" si="7"/>
        <v>0</v>
      </c>
      <c r="AB51" s="115">
        <f t="shared" si="8"/>
        <v>0</v>
      </c>
      <c r="AC51" s="115">
        <f t="shared" si="9"/>
        <v>0</v>
      </c>
      <c r="AD51" s="115">
        <f t="shared" si="10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"/>
        <v>0</v>
      </c>
      <c r="Z52" s="115">
        <f t="shared" si="2"/>
        <v>0</v>
      </c>
      <c r="AA52" s="115">
        <f t="shared" si="7"/>
        <v>0</v>
      </c>
      <c r="AB52" s="115">
        <f t="shared" si="8"/>
        <v>0</v>
      </c>
      <c r="AC52" s="115">
        <f t="shared" si="9"/>
        <v>0</v>
      </c>
      <c r="AD52" s="115">
        <f t="shared" si="10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"/>
        <v>0</v>
      </c>
      <c r="Z53" s="115">
        <f t="shared" si="2"/>
        <v>0</v>
      </c>
      <c r="AA53" s="115">
        <f t="shared" si="7"/>
        <v>0</v>
      </c>
      <c r="AB53" s="115">
        <f t="shared" si="8"/>
        <v>0</v>
      </c>
      <c r="AC53" s="115">
        <f t="shared" si="9"/>
        <v>0</v>
      </c>
      <c r="AD53" s="115">
        <f t="shared" si="10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"/>
        <v>0</v>
      </c>
      <c r="Z54" s="115">
        <f t="shared" si="2"/>
        <v>0</v>
      </c>
      <c r="AA54" s="115">
        <f t="shared" si="7"/>
        <v>0</v>
      </c>
      <c r="AB54" s="115">
        <f t="shared" si="8"/>
        <v>0</v>
      </c>
      <c r="AC54" s="115">
        <f t="shared" si="9"/>
        <v>0</v>
      </c>
      <c r="AD54" s="115">
        <f t="shared" si="10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"/>
        <v>0</v>
      </c>
      <c r="Z55" s="115">
        <f t="shared" si="2"/>
        <v>0</v>
      </c>
      <c r="AA55" s="115">
        <f t="shared" si="7"/>
        <v>0</v>
      </c>
      <c r="AB55" s="115">
        <f t="shared" si="8"/>
        <v>0</v>
      </c>
      <c r="AC55" s="115">
        <f t="shared" si="9"/>
        <v>0</v>
      </c>
      <c r="AD55" s="115">
        <f t="shared" si="10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"/>
        <v>0</v>
      </c>
      <c r="Z56" s="115">
        <f t="shared" si="2"/>
        <v>0</v>
      </c>
      <c r="AA56" s="115">
        <f t="shared" si="7"/>
        <v>0</v>
      </c>
      <c r="AB56" s="115">
        <f t="shared" si="8"/>
        <v>0</v>
      </c>
      <c r="AC56" s="115">
        <f t="shared" si="9"/>
        <v>0</v>
      </c>
      <c r="AD56" s="115">
        <f t="shared" si="10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"/>
        <v>0</v>
      </c>
      <c r="Z57" s="115">
        <f t="shared" si="2"/>
        <v>0</v>
      </c>
      <c r="AA57" s="115">
        <f t="shared" si="7"/>
        <v>0</v>
      </c>
      <c r="AB57" s="115">
        <f t="shared" si="8"/>
        <v>0</v>
      </c>
      <c r="AC57" s="115">
        <f t="shared" si="9"/>
        <v>0</v>
      </c>
      <c r="AD57" s="115">
        <f t="shared" si="10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108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"/>
        <v>0</v>
      </c>
      <c r="Z58" s="115">
        <f t="shared" si="2"/>
        <v>0</v>
      </c>
      <c r="AA58" s="115">
        <f t="shared" si="7"/>
        <v>0</v>
      </c>
      <c r="AB58" s="115">
        <f t="shared" si="8"/>
        <v>0</v>
      </c>
      <c r="AC58" s="115">
        <f t="shared" si="9"/>
        <v>0</v>
      </c>
      <c r="AD58" s="115">
        <f t="shared" si="10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108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"/>
        <v>0</v>
      </c>
      <c r="Z59" s="115">
        <f t="shared" si="2"/>
        <v>0</v>
      </c>
      <c r="AA59" s="115">
        <f t="shared" si="7"/>
        <v>0</v>
      </c>
      <c r="AB59" s="115">
        <f t="shared" si="8"/>
        <v>0</v>
      </c>
      <c r="AC59" s="115">
        <f t="shared" si="9"/>
        <v>0</v>
      </c>
      <c r="AD59" s="115">
        <f t="shared" si="10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154</v>
      </c>
      <c r="O61" s="36">
        <f>MAX(O5:O59)</f>
        <v>44</v>
      </c>
      <c r="P61" s="36">
        <f>MAX(P5:P59)</f>
        <v>44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724</v>
      </c>
      <c r="P63" s="36">
        <f t="array" ref="P63">SUM(FLOOR(P5:P59,1))</f>
        <v>771</v>
      </c>
      <c r="Q63" s="37">
        <f>SUM(Q5:Q59)</f>
        <v>196</v>
      </c>
      <c r="R63" s="37">
        <f t="shared" ref="R63:Z63" si="11">SUM(R5:R59)</f>
        <v>65</v>
      </c>
      <c r="S63" s="37">
        <f t="shared" si="11"/>
        <v>167</v>
      </c>
      <c r="T63" s="37">
        <f t="shared" si="11"/>
        <v>42</v>
      </c>
      <c r="U63" s="37">
        <f t="shared" si="11"/>
        <v>192</v>
      </c>
      <c r="V63" s="37">
        <f t="shared" si="11"/>
        <v>44</v>
      </c>
      <c r="W63" s="37">
        <f t="shared" si="11"/>
        <v>115</v>
      </c>
      <c r="X63" s="37">
        <f t="shared" si="11"/>
        <v>51</v>
      </c>
      <c r="Y63" s="37">
        <f t="shared" si="11"/>
        <v>470</v>
      </c>
      <c r="Z63" s="37">
        <f t="shared" si="11"/>
        <v>402</v>
      </c>
      <c r="AA63" s="26">
        <f>SUM(AA5:AA59)</f>
        <v>3369</v>
      </c>
      <c r="AB63" s="26">
        <f>SUM(AB5:AB59)</f>
        <v>3840</v>
      </c>
      <c r="AC63" s="26">
        <f>SUM(AC5:AC59)</f>
        <v>144</v>
      </c>
      <c r="AD63" s="26">
        <f>SUM(AD5:AD59)</f>
        <v>161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35.999999999999979</v>
      </c>
      <c r="P64" s="36">
        <f t="array" ref="P64">SUM(P5:P59-FLOOR(P5:P59,1))*10</f>
        <v>29.999999999999964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36" t="s">
        <v>153</v>
      </c>
      <c r="O65" s="36">
        <f>O63*6+O64</f>
        <v>4380</v>
      </c>
      <c r="P65" s="36">
        <f>P63*6+P64</f>
        <v>4656</v>
      </c>
      <c r="Q65" s="37"/>
      <c r="R65" s="37"/>
      <c r="S65" s="37">
        <f>MAX(S7:S59)</f>
        <v>22</v>
      </c>
      <c r="T65" s="37"/>
      <c r="U65" s="37"/>
      <c r="V65" s="37"/>
      <c r="W65" s="37">
        <f>MAX(W7:W59)</f>
        <v>15</v>
      </c>
      <c r="X65" s="37"/>
      <c r="Z65" s="26" t="s">
        <v>38</v>
      </c>
      <c r="AA65" s="26">
        <f>AA63/AC63</f>
        <v>23.395833333333332</v>
      </c>
      <c r="AB65" s="26">
        <f>AB63/AD63</f>
        <v>23.850931677018632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36" t="s">
        <v>202</v>
      </c>
      <c r="O66" s="36">
        <f>INT(O65/6)+(O65-INT(O65/6)*6)/10</f>
        <v>730</v>
      </c>
      <c r="P66" s="36">
        <f>INT(P65/6)+(P65-INT(P65/6)*6)/10</f>
        <v>776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203</v>
      </c>
      <c r="O67" s="36">
        <f>AA63/O65*100</f>
        <v>76.917808219178085</v>
      </c>
      <c r="P67" s="36">
        <f>AB63/P65*100</f>
        <v>82.474226804123703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196</v>
      </c>
      <c r="R68" s="26">
        <f t="shared" ref="R68:T68" si="12">$Y$63*R63/SUM($Q$63:$T$63)</f>
        <v>65</v>
      </c>
      <c r="S68" s="26">
        <f t="shared" si="12"/>
        <v>167</v>
      </c>
      <c r="T68" s="26">
        <f t="shared" si="12"/>
        <v>42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6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46"/>
  <sheetViews>
    <sheetView workbookViewId="0">
      <pane xSplit="3" ySplit="4" topLeftCell="E8" activePane="bottomRight" state="frozenSplit"/>
      <selection pane="topRight" activeCell="D1" sqref="D1"/>
      <selection pane="bottomLeft" activeCell="A4" sqref="A4"/>
      <selection pane="bottomRight" activeCell="J42" sqref="J42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3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bestFit="1" customWidth="1"/>
    <col min="24" max="24" width="13.85546875" style="68" bestFit="1" customWidth="1"/>
    <col min="25" max="25" width="14.28515625" style="68" bestFit="1" customWidth="1"/>
    <col min="26" max="26" width="14.42578125" style="68" bestFit="1" customWidth="1"/>
    <col min="27" max="27" width="13.85546875" style="68" bestFit="1" customWidth="1"/>
    <col min="28" max="28" width="14.5703125" style="68" bestFit="1" customWidth="1"/>
    <col min="29" max="29" width="12.42578125" style="68" bestFit="1" customWidth="1"/>
    <col min="30" max="30" width="13.5703125" style="68" bestFit="1" customWidth="1"/>
    <col min="31" max="31" width="14.28515625" style="68" bestFit="1" customWidth="1"/>
    <col min="32" max="82" width="2.7109375" style="68" customWidth="1"/>
    <col min="83" max="85" width="8.140625" style="68" bestFit="1" customWidth="1"/>
    <col min="86" max="86" width="7.140625" style="68" bestFit="1" customWidth="1"/>
    <col min="87" max="87" width="8" style="68" hidden="1" customWidth="1"/>
    <col min="88" max="88" width="4.5703125" style="68" bestFit="1" customWidth="1"/>
    <col min="89" max="89" width="5" style="68" bestFit="1" customWidth="1"/>
    <col min="90" max="90" width="8.7109375" style="60" bestFit="1" customWidth="1"/>
    <col min="91" max="91" width="8.140625" style="68" bestFit="1" customWidth="1"/>
    <col min="92" max="92" width="5.7109375" style="68" bestFit="1" customWidth="1"/>
    <col min="93" max="93" width="5.5703125" style="68" bestFit="1" customWidth="1"/>
    <col min="94" max="94" width="4.140625" style="68" bestFit="1" customWidth="1"/>
    <col min="95" max="95" width="6" style="68" bestFit="1" customWidth="1"/>
    <col min="96" max="98" width="5.28515625" style="68" bestFit="1" customWidth="1"/>
    <col min="99" max="100" width="4.140625" style="68" bestFit="1" customWidth="1"/>
    <col min="101" max="101" width="4.140625" style="68" customWidth="1"/>
    <col min="102" max="102" width="7.7109375" style="68" bestFit="1" customWidth="1"/>
    <col min="103" max="104" width="8.140625" style="68" bestFit="1" customWidth="1"/>
    <col min="105" max="105" width="5.42578125" style="68" bestFit="1" customWidth="1"/>
    <col min="106" max="106" width="9.5703125" style="68" bestFit="1" customWidth="1"/>
    <col min="107" max="107" width="6.5703125" style="68" bestFit="1" customWidth="1"/>
    <col min="108" max="108" width="5.140625" style="68" bestFit="1" customWidth="1"/>
    <col min="109" max="109" width="11" style="68" bestFit="1" customWidth="1"/>
    <col min="110" max="111" width="5.140625" style="68" bestFit="1" customWidth="1"/>
    <col min="112" max="16384" width="9.140625" style="68"/>
  </cols>
  <sheetData>
    <row r="1" spans="1:113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40307</v>
      </c>
      <c r="E1" s="65">
        <v>40314</v>
      </c>
      <c r="F1" s="65">
        <v>40321</v>
      </c>
      <c r="G1" s="65">
        <v>40328</v>
      </c>
      <c r="H1" s="65">
        <v>40329</v>
      </c>
      <c r="I1" s="65">
        <v>40335</v>
      </c>
      <c r="J1" s="65">
        <v>40342</v>
      </c>
      <c r="K1" s="65">
        <v>40349</v>
      </c>
      <c r="L1" s="65">
        <v>40356</v>
      </c>
      <c r="M1" s="65">
        <v>40363</v>
      </c>
      <c r="N1" s="65">
        <v>40370</v>
      </c>
      <c r="O1" s="65">
        <v>40377</v>
      </c>
      <c r="P1" s="65">
        <v>40384</v>
      </c>
      <c r="Q1" s="65">
        <v>40391</v>
      </c>
      <c r="R1" s="65">
        <v>40398</v>
      </c>
      <c r="S1" s="65">
        <v>40405</v>
      </c>
      <c r="T1" s="65">
        <v>40412</v>
      </c>
      <c r="U1" s="65">
        <v>40419</v>
      </c>
      <c r="V1" s="65">
        <v>40426</v>
      </c>
      <c r="W1" s="65">
        <v>40433</v>
      </c>
      <c r="X1" s="65">
        <v>40440</v>
      </c>
      <c r="Y1" s="65">
        <v>0</v>
      </c>
      <c r="Z1" s="65">
        <v>0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4"/>
      <c r="CF1" s="64"/>
      <c r="CG1" s="64"/>
      <c r="CH1" s="64"/>
      <c r="CI1" s="64"/>
      <c r="CJ1" s="64"/>
      <c r="CK1" s="64"/>
      <c r="CL1" s="66"/>
    </row>
    <row r="2" spans="1:113" ht="83.25" customHeight="1" x14ac:dyDescent="0.15">
      <c r="C2" s="53" t="str">
        <v>Opp</v>
      </c>
      <c r="D2" s="69" t="str">
        <v>Beddington</v>
      </c>
      <c r="E2" s="69" t="str">
        <v>Sydenham</v>
      </c>
      <c r="F2" s="69" t="str">
        <v>Sanderstead</v>
      </c>
      <c r="G2" s="69" t="str">
        <v>Woodgreen</v>
      </c>
      <c r="H2" s="69" t="str">
        <v>Steeple Langford</v>
      </c>
      <c r="I2" s="69" t="str">
        <v>Vishwa</v>
      </c>
      <c r="J2" s="69" t="str">
        <v>Weybridge Vandals</v>
      </c>
      <c r="K2" s="69" t="str">
        <v>LESSA Wanderers</v>
      </c>
      <c r="L2" s="69" t="str">
        <v>Bromley Town</v>
      </c>
      <c r="M2" s="69" t="str">
        <v>Norwood Exiles</v>
      </c>
      <c r="N2" s="69" t="str">
        <v>Ockham</v>
      </c>
      <c r="O2" s="69" t="str">
        <v>Sthn Rlways &amp; Kenley</v>
      </c>
      <c r="P2" s="69" t="str">
        <v>LESSA Christchurch</v>
      </c>
      <c r="Q2" s="69" t="str">
        <v>Seven Sports</v>
      </c>
      <c r="R2" s="69" t="str">
        <v>John Fisher Lamgas</v>
      </c>
      <c r="S2" s="69" t="str">
        <v>YRG Eagles</v>
      </c>
      <c r="T2" s="69" t="str">
        <v>Norwood Exiles</v>
      </c>
      <c r="U2" s="69" t="str">
        <v>LESSA Wanderers</v>
      </c>
      <c r="V2" s="69" t="str">
        <v>Churchleigh</v>
      </c>
      <c r="W2" s="69" t="str">
        <v>Sanderstead</v>
      </c>
      <c r="X2" s="69" t="str">
        <v>Cheam</v>
      </c>
      <c r="Y2" s="69">
        <v>0</v>
      </c>
      <c r="Z2" s="69">
        <v>0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38521</v>
      </c>
      <c r="AG2" s="69">
        <v>1863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O2" s="68" t="s">
        <v>4</v>
      </c>
    </row>
    <row r="3" spans="1:113" x14ac:dyDescent="0.15">
      <c r="C3" s="53" t="str">
        <v>Venue</v>
      </c>
      <c r="D3" s="53" t="str">
        <v>A</v>
      </c>
      <c r="E3" s="53" t="str">
        <v>H</v>
      </c>
      <c r="F3" s="53" t="str">
        <v>A</v>
      </c>
      <c r="G3" s="53" t="str">
        <v>A</v>
      </c>
      <c r="H3" s="53" t="str">
        <v>A</v>
      </c>
      <c r="I3" s="53" t="str">
        <v>H</v>
      </c>
      <c r="J3" s="53" t="str">
        <v>A</v>
      </c>
      <c r="K3" s="53" t="str">
        <v>A</v>
      </c>
      <c r="L3" s="53" t="str">
        <v>A</v>
      </c>
      <c r="M3" s="53" t="str">
        <v>A</v>
      </c>
      <c r="N3" s="53" t="str">
        <v>A</v>
      </c>
      <c r="O3" s="53" t="str">
        <v>A</v>
      </c>
      <c r="P3" s="53" t="str">
        <v>H</v>
      </c>
      <c r="Q3" s="53" t="str">
        <v>A</v>
      </c>
      <c r="R3" s="53" t="str">
        <v>H</v>
      </c>
      <c r="S3" s="53" t="str">
        <v>A</v>
      </c>
      <c r="T3" s="53" t="str">
        <v>H</v>
      </c>
      <c r="U3" s="53" t="str">
        <v>A</v>
      </c>
      <c r="V3" s="53" t="str">
        <v>H</v>
      </c>
      <c r="W3" s="53" t="str">
        <v>A</v>
      </c>
      <c r="X3" s="53" t="str">
        <v>A</v>
      </c>
      <c r="Y3" s="53">
        <v>0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</row>
    <row r="4" spans="1:113" x14ac:dyDescent="0.15">
      <c r="C4" s="53" t="str">
        <v>Result</v>
      </c>
      <c r="D4" s="68" t="str">
        <v>W</v>
      </c>
      <c r="E4" s="53" t="str">
        <v>D</v>
      </c>
      <c r="F4" s="53" t="str">
        <v>D</v>
      </c>
      <c r="G4" s="53" t="str">
        <v>L</v>
      </c>
      <c r="H4" s="53" t="str">
        <v>L</v>
      </c>
      <c r="I4" s="53" t="str">
        <v>L</v>
      </c>
      <c r="J4" s="53" t="str">
        <v>D</v>
      </c>
      <c r="K4" s="53" t="str">
        <v>L</v>
      </c>
      <c r="L4" s="53" t="str">
        <v>W</v>
      </c>
      <c r="M4" s="53" t="str">
        <v>L</v>
      </c>
      <c r="N4" s="53" t="str">
        <v>W</v>
      </c>
      <c r="O4" s="53" t="str">
        <v>L</v>
      </c>
      <c r="P4" s="53" t="str">
        <v>W</v>
      </c>
      <c r="Q4" s="53" t="str">
        <v>L</v>
      </c>
      <c r="R4" s="53" t="str">
        <v>W</v>
      </c>
      <c r="S4" s="53" t="str">
        <v>W</v>
      </c>
      <c r="T4" s="53" t="str">
        <v>D</v>
      </c>
      <c r="U4" s="53" t="str">
        <v>W</v>
      </c>
      <c r="V4" s="53" t="str">
        <v>W</v>
      </c>
      <c r="W4" s="53" t="str">
        <v>W</v>
      </c>
      <c r="X4" s="53" t="str">
        <v>D</v>
      </c>
      <c r="Y4" s="53">
        <v>0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49" t="s">
        <v>5</v>
      </c>
      <c r="CF4" s="49" t="s">
        <v>6</v>
      </c>
      <c r="CG4" s="49" t="s">
        <v>7</v>
      </c>
      <c r="CH4" s="49" t="s">
        <v>8</v>
      </c>
      <c r="CI4" s="49" t="s">
        <v>126</v>
      </c>
      <c r="CJ4" s="49" t="s">
        <v>142</v>
      </c>
      <c r="CK4" s="49" t="s">
        <v>9</v>
      </c>
      <c r="CL4" s="46" t="s">
        <v>38</v>
      </c>
      <c r="CM4" s="68" t="s">
        <v>11</v>
      </c>
      <c r="CN4" s="68" t="s">
        <v>12</v>
      </c>
      <c r="CO4" s="49" t="s">
        <v>13</v>
      </c>
      <c r="CP4" s="49" t="s">
        <v>14</v>
      </c>
      <c r="CQ4" s="49" t="s">
        <v>15</v>
      </c>
      <c r="CR4" s="49" t="s">
        <v>16</v>
      </c>
      <c r="CS4" s="49" t="s">
        <v>17</v>
      </c>
      <c r="CT4" s="49" t="s">
        <v>18</v>
      </c>
      <c r="CU4" s="49" t="s">
        <v>19</v>
      </c>
      <c r="CV4" s="49" t="s">
        <v>20</v>
      </c>
      <c r="CW4" s="49" t="s">
        <v>211</v>
      </c>
      <c r="CX4" s="74" t="s">
        <v>286</v>
      </c>
      <c r="CY4" s="49" t="s">
        <v>21</v>
      </c>
      <c r="CZ4" s="49" t="s">
        <v>22</v>
      </c>
      <c r="DA4" s="49" t="s">
        <v>23</v>
      </c>
      <c r="DB4" s="49" t="s">
        <v>24</v>
      </c>
      <c r="DC4" s="68" t="s">
        <v>127</v>
      </c>
      <c r="DD4" s="68" t="s">
        <v>128</v>
      </c>
      <c r="DE4" s="68" t="s">
        <v>140</v>
      </c>
      <c r="DF4" s="68" t="s">
        <v>139</v>
      </c>
      <c r="DG4" s="68" t="s">
        <v>146</v>
      </c>
      <c r="DH4" s="68" t="s">
        <v>159</v>
      </c>
      <c r="DI4" s="68" t="s">
        <v>161</v>
      </c>
    </row>
    <row r="5" spans="1:113" x14ac:dyDescent="0.15">
      <c r="A5" s="68" t="s">
        <v>61</v>
      </c>
      <c r="B5" s="68" t="s">
        <v>26</v>
      </c>
      <c r="C5" s="68" t="s">
        <v>147</v>
      </c>
      <c r="D5" s="122"/>
      <c r="E5" s="122" t="s">
        <v>315</v>
      </c>
      <c r="F5" s="122" t="s">
        <v>262</v>
      </c>
      <c r="G5" s="122"/>
      <c r="H5" s="122" t="s">
        <v>371</v>
      </c>
      <c r="I5" s="122" t="s">
        <v>284</v>
      </c>
      <c r="J5" s="122" t="s">
        <v>231</v>
      </c>
      <c r="K5" s="122" t="s">
        <v>422</v>
      </c>
      <c r="L5" s="122" t="s">
        <v>232</v>
      </c>
      <c r="M5" s="122" t="s">
        <v>459</v>
      </c>
      <c r="N5" s="122" t="s">
        <v>478</v>
      </c>
      <c r="O5" s="122" t="s">
        <v>498</v>
      </c>
      <c r="P5"/>
      <c r="Q5"/>
      <c r="R5" t="s">
        <v>563</v>
      </c>
      <c r="S5" t="s">
        <v>569</v>
      </c>
      <c r="T5" t="s">
        <v>232</v>
      </c>
      <c r="U5" t="s">
        <v>232</v>
      </c>
      <c r="V5" t="s">
        <v>232</v>
      </c>
      <c r="W5" t="s">
        <v>638</v>
      </c>
      <c r="X5" t="s">
        <v>232</v>
      </c>
      <c r="Y5" s="122"/>
      <c r="Z5" s="122"/>
      <c r="CE5" s="68">
        <f t="shared" ref="CE5:CE42" si="0">BatSplit(D5:CD5,MatchesPlayed)</f>
        <v>17</v>
      </c>
      <c r="CF5" s="68">
        <f>CE5-CG5</f>
        <v>6</v>
      </c>
      <c r="CG5" s="68">
        <f t="shared" ref="CG5:CG42" si="1">BatSplit(D5:CD5,InnsBattedIn)</f>
        <v>11</v>
      </c>
      <c r="CH5" s="68">
        <f t="shared" ref="CH5:CH42" si="2">BatSplit(D5:CD5,NotOuts)</f>
        <v>2</v>
      </c>
      <c r="CI5" s="68">
        <f t="shared" ref="CI5:CI42" si="3">BatSplit(D5:CD5,HighestScore)</f>
        <v>-15</v>
      </c>
      <c r="CJ5" s="72" t="str">
        <f t="shared" ref="CJ5" si="4">IF(CI5&lt;0,-CI5&amp;"*",CI5)</f>
        <v>15*</v>
      </c>
      <c r="CK5" s="68">
        <f t="shared" ref="CK5:CK42" si="5">BatSplit(D5:CD5,RunsScored)</f>
        <v>68</v>
      </c>
      <c r="CL5" s="70">
        <f>IF(CG5=CH5,0,CK5/(CG5-CH5))</f>
        <v>7.5555555555555554</v>
      </c>
      <c r="CM5" s="68">
        <f t="shared" ref="CM5:CM42" si="6">BatSplit(D5:CD5,BatPts)</f>
        <v>63</v>
      </c>
      <c r="CN5" s="68">
        <f t="shared" ref="CN5:CN42" si="7">BatSplit(D5:CD5,FldPts)</f>
        <v>10</v>
      </c>
      <c r="CO5" s="71">
        <f t="array" ref="CO5">SUM(IF(ISERR(FIND("*",D5:CD5)),0,1))</f>
        <v>0</v>
      </c>
      <c r="CP5" s="71">
        <f t="array" ref="CP5">SUM(IF(ISERR(FIND("+",D5:CD5)),0,1))</f>
        <v>0</v>
      </c>
      <c r="CQ5" s="68">
        <f t="shared" ref="CQ5:CQ42" si="8">BatSplit(D5:CD5,Ducks)</f>
        <v>1</v>
      </c>
      <c r="CR5" s="71">
        <f t="array" ref="CR5">SUM(IF(ISERR(FIND(CR$4,$D5:$CD5)),0,1))</f>
        <v>4</v>
      </c>
      <c r="CS5" s="71">
        <f t="array" ref="CS5">SUM(IF(ISERR(FIND(CS$4,$D5:$CD5)),0,1))</f>
        <v>4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1</v>
      </c>
      <c r="CW5" s="71">
        <f t="array" ref="CW5">SUM(IF(ISERR(FIND(CW$4,$D5:$CD5)),0,1))</f>
        <v>0</v>
      </c>
      <c r="CX5" s="71">
        <f t="shared" ref="CX5" si="9">BatSplit(D5:CD5,Fifties)</f>
        <v>0</v>
      </c>
      <c r="CY5" s="71">
        <f t="shared" ref="CY5:CY42" si="10">BatSplit(D5:CD5,Catches)</f>
        <v>2</v>
      </c>
      <c r="CZ5" s="71">
        <f t="shared" ref="CZ5:CZ42" si="11">BatSplit(D5:CD5,Fours)</f>
        <v>9</v>
      </c>
      <c r="DA5" s="71">
        <f t="shared" ref="DA5:DA42" si="12">BatSplit(D5:CD5,Sixes)</f>
        <v>0</v>
      </c>
      <c r="DB5" s="71">
        <f t="shared" ref="DB5:DB42" si="13">BatSplit(D5:CD5,Stumpings)</f>
        <v>0</v>
      </c>
      <c r="DC5" s="71">
        <f t="shared" ref="DC5:DC42" si="14">BatSplit(D5:CD5,CaughtWkt)</f>
        <v>0</v>
      </c>
      <c r="DD5" s="71">
        <f t="shared" ref="DD5:DD42" si="15">BatSplit(D5:CD5,TwentyFives)</f>
        <v>0</v>
      </c>
      <c r="DE5" s="68">
        <f>ROUND(IF(ISERROR(CL5),0,CL5),2)*100000+CG5*100+CE5+CK5/100+ROW()/100000</f>
        <v>757117.68005000008</v>
      </c>
      <c r="DF5" s="68">
        <f t="shared" ref="DF5:DF42" si="16">RANK(DE5,$DE$5:$DE$42)</f>
        <v>21</v>
      </c>
      <c r="DG5" s="68">
        <v>0</v>
      </c>
      <c r="DH5" s="89">
        <f>IF(CK5&gt;=50,(CZ5*4+DA5*6+DG5*5)/CK5,"")</f>
        <v>0.52941176470588236</v>
      </c>
      <c r="DI5" s="97">
        <f>CQ5/(CG5-CH5)</f>
        <v>0.1111111111111111</v>
      </c>
    </row>
    <row r="6" spans="1:113" x14ac:dyDescent="0.15">
      <c r="B6" t="s">
        <v>577</v>
      </c>
      <c r="C6" t="s">
        <v>578</v>
      </c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/>
      <c r="Q6"/>
      <c r="R6"/>
      <c r="S6" t="s">
        <v>231</v>
      </c>
      <c r="U6" s="122"/>
      <c r="V6" s="122"/>
      <c r="W6" s="122"/>
      <c r="X6" s="122"/>
      <c r="Y6" s="122"/>
      <c r="Z6" s="122"/>
      <c r="CE6" s="68">
        <f t="shared" ref="CE6" si="17">BatSplit(D6:CD6,MatchesPlayed)</f>
        <v>1</v>
      </c>
      <c r="CF6" s="68">
        <f>CE6-CG6</f>
        <v>1</v>
      </c>
      <c r="CG6" s="68">
        <f t="shared" ref="CG6" si="18">BatSplit(D6:CD6,InnsBattedIn)</f>
        <v>0</v>
      </c>
      <c r="CH6" s="68">
        <f t="shared" ref="CH6" si="19">BatSplit(D6:CD6,NotOuts)</f>
        <v>0</v>
      </c>
      <c r="CI6" s="68">
        <f t="shared" ref="CI6" si="20">BatSplit(D6:CD6,HighestScore)</f>
        <v>0</v>
      </c>
      <c r="CJ6" s="72">
        <f t="shared" ref="CJ6" si="21">IF(CI6&lt;0,-CI6&amp;"*",CI6)</f>
        <v>0</v>
      </c>
      <c r="CK6" s="68">
        <f t="shared" ref="CK6" si="22">BatSplit(D6:CD6,RunsScored)</f>
        <v>0</v>
      </c>
      <c r="CL6" s="70">
        <f>IF(CG6=CH6,0,CK6/(CG6-CH6))</f>
        <v>0</v>
      </c>
      <c r="CM6" s="68">
        <f t="shared" ref="CM6" si="23">BatSplit(D6:CD6,BatPts)</f>
        <v>0</v>
      </c>
      <c r="CN6" s="68">
        <f t="shared" ref="CN6" si="24">BatSplit(D6:CD6,FldPts)</f>
        <v>0</v>
      </c>
      <c r="CO6" s="71">
        <f t="array" ref="CO6">SUM(IF(ISERR(FIND("*",D6:CD6)),0,1))</f>
        <v>0</v>
      </c>
      <c r="CP6" s="71">
        <f t="array" ref="CP6">SUM(IF(ISERR(FIND("+",D6:CD6)),0,1))</f>
        <v>0</v>
      </c>
      <c r="CQ6" s="68">
        <f t="shared" ref="CQ6" si="25">BatSplit(D6:CD6,Ducks)</f>
        <v>0</v>
      </c>
      <c r="CR6" s="71">
        <f t="array" ref="CR6">SUM(IF(ISERR(FIND(CR$4,$D6:$CD6)),0,1))</f>
        <v>0</v>
      </c>
      <c r="CS6" s="71">
        <f t="array" ref="CS6">SUM(IF(ISERR(FIND(CS$4,$D6:$CD6)),0,1))</f>
        <v>0</v>
      </c>
      <c r="CT6" s="71">
        <f t="array" ref="CT6">SUM(IF(ISERR(FIND(CT$4,$D6:$CD6)),0,1))</f>
        <v>0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shared" ref="CX6" si="26">BatSplit(D6:CD6,Fifties)</f>
        <v>0</v>
      </c>
      <c r="CY6" s="71">
        <f t="shared" ref="CY6" si="27">BatSplit(D6:CD6,Catches)</f>
        <v>0</v>
      </c>
      <c r="CZ6" s="71">
        <f t="shared" ref="CZ6" si="28">BatSplit(D6:CD6,Fours)</f>
        <v>0</v>
      </c>
      <c r="DA6" s="71">
        <f t="shared" ref="DA6" si="29">BatSplit(D6:CD6,Sixes)</f>
        <v>0</v>
      </c>
      <c r="DB6" s="71">
        <f t="shared" ref="DB6" si="30">BatSplit(D6:CD6,Stumpings)</f>
        <v>0</v>
      </c>
      <c r="DC6" s="71">
        <f t="shared" ref="DC6" si="31">BatSplit(D6:CD6,CaughtWkt)</f>
        <v>0</v>
      </c>
      <c r="DD6" s="71">
        <f t="shared" ref="DD6" si="32">BatSplit(D6:CD6,TwentyFives)</f>
        <v>0</v>
      </c>
      <c r="DE6" s="68">
        <f>ROUND(IF(ISERROR(CL6),0,CL6),2)*100000+CG6*100+CE6+CK6/100+ROW()/100000</f>
        <v>1.0000599999999999</v>
      </c>
      <c r="DF6" s="68">
        <f t="shared" si="16"/>
        <v>36</v>
      </c>
      <c r="DG6" s="68">
        <v>0</v>
      </c>
      <c r="DH6" s="89" t="str">
        <f>IF(CK6&gt;=50,(CZ6*4+DA6*6+DG6*5)/CK6,"")</f>
        <v/>
      </c>
      <c r="DI6" s="97" t="e">
        <f>CQ6/(CG6-CH6)</f>
        <v>#DIV/0!</v>
      </c>
    </row>
    <row r="7" spans="1:113" x14ac:dyDescent="0.15">
      <c r="B7" t="s">
        <v>282</v>
      </c>
      <c r="C7" t="s">
        <v>281</v>
      </c>
      <c r="D7" s="122"/>
      <c r="F7" t="s">
        <v>275</v>
      </c>
      <c r="G7" s="122"/>
      <c r="J7"/>
      <c r="K7"/>
      <c r="M7"/>
      <c r="N7"/>
      <c r="O7" t="s">
        <v>493</v>
      </c>
      <c r="P7"/>
      <c r="Q7" t="s">
        <v>531</v>
      </c>
      <c r="R7"/>
      <c r="S7"/>
      <c r="U7" t="s">
        <v>606</v>
      </c>
      <c r="V7"/>
      <c r="Y7"/>
      <c r="CE7" s="68">
        <f t="shared" si="0"/>
        <v>4</v>
      </c>
      <c r="CF7" s="68">
        <f t="shared" ref="CF7:CF42" si="33">CE7-CG7</f>
        <v>0</v>
      </c>
      <c r="CG7" s="68">
        <f t="shared" si="1"/>
        <v>4</v>
      </c>
      <c r="CH7" s="68">
        <f t="shared" si="2"/>
        <v>1</v>
      </c>
      <c r="CI7" s="68">
        <f t="shared" si="3"/>
        <v>-8</v>
      </c>
      <c r="CJ7" s="72" t="str">
        <f t="shared" ref="CJ7:CJ42" si="34">IF(CI7&lt;0,-CI7&amp;"*",CI7)</f>
        <v>8*</v>
      </c>
      <c r="CK7" s="68">
        <f t="shared" si="5"/>
        <v>14</v>
      </c>
      <c r="CL7" s="70">
        <f t="shared" ref="CL7:CL42" si="35">IF(CG7=CH7,0,CK7/(CG7-CH7))</f>
        <v>4.666666666666667</v>
      </c>
      <c r="CM7" s="68">
        <f t="shared" si="6"/>
        <v>9</v>
      </c>
      <c r="CN7" s="68">
        <f t="shared" si="7"/>
        <v>5</v>
      </c>
      <c r="CO7" s="71">
        <f t="array" ref="CO7">SUM(IF(ISERR(FIND("*",D7:CD7)),0,1))</f>
        <v>0</v>
      </c>
      <c r="CP7" s="71">
        <f t="array" ref="CP7">SUM(IF(ISERR(FIND("+",D7:CD7)),0,1))</f>
        <v>0</v>
      </c>
      <c r="CQ7" s="68">
        <f t="shared" si="8"/>
        <v>1</v>
      </c>
      <c r="CR7" s="71">
        <f t="array" ref="CR7">SUM(IF(ISERR(FIND(CR$4,$D7:$CD7)),0,1))</f>
        <v>1</v>
      </c>
      <c r="CS7" s="71">
        <f t="array" ref="CS7">SUM(IF(ISERR(FIND(CS$4,$D7:$CD7)),0,1))</f>
        <v>2</v>
      </c>
      <c r="CT7" s="71">
        <f t="array" ref="CT7">SUM(IF(ISERR(FIND(CT$4,$D7:$CD7)),0,1))</f>
        <v>0</v>
      </c>
      <c r="CU7" s="71">
        <f t="array" ref="CU7">SUM(IF(ISERR(FIND(CU$4,$D7:$CD7)),0,1))</f>
        <v>0</v>
      </c>
      <c r="CV7" s="71">
        <f t="array" ref="CV7">SUM(IF(ISERR(FIND(CV$4,$D7:$CD7)),0,1))</f>
        <v>0</v>
      </c>
      <c r="CW7" s="71">
        <f t="array" ref="CW7">SUM(IF(ISERR(FIND(CW$4,$D7:$CD7)),0,1))</f>
        <v>0</v>
      </c>
      <c r="CX7" s="71">
        <f t="shared" ref="CX7:CX42" si="36">BatSplit(D7:CD7,Fifties)</f>
        <v>0</v>
      </c>
      <c r="CY7" s="71">
        <f t="shared" si="10"/>
        <v>1</v>
      </c>
      <c r="CZ7" s="71">
        <f t="shared" si="11"/>
        <v>1</v>
      </c>
      <c r="DA7" s="71">
        <f t="shared" si="12"/>
        <v>0</v>
      </c>
      <c r="DB7" s="71">
        <f t="shared" si="13"/>
        <v>0</v>
      </c>
      <c r="DC7" s="71">
        <f t="shared" si="14"/>
        <v>0</v>
      </c>
      <c r="DD7" s="71">
        <f t="shared" si="15"/>
        <v>0</v>
      </c>
      <c r="DE7" s="68">
        <f t="shared" ref="DE7:DE42" si="37">ROUND(IF(ISERROR(CL7),0,CL7),2)*100000+CG7*100+CE7+CK7/100+ROW()/100000</f>
        <v>467404.14007000002</v>
      </c>
      <c r="DF7" s="68">
        <f t="shared" si="16"/>
        <v>24</v>
      </c>
      <c r="DG7" s="68">
        <v>0</v>
      </c>
      <c r="DH7" s="89" t="str">
        <f t="shared" ref="DH7:DH42" si="38">IF(CK7&gt;=50,(CZ7*4+DA7*6+DG7*5)/CK7,"")</f>
        <v/>
      </c>
      <c r="DI7" s="97">
        <f t="shared" ref="DI7:DI42" si="39">CQ7/(CG7-CH7)</f>
        <v>0.33333333333333331</v>
      </c>
    </row>
    <row r="8" spans="1:113" x14ac:dyDescent="0.15">
      <c r="A8" s="68" t="s">
        <v>99</v>
      </c>
      <c r="B8" s="68" t="s">
        <v>33</v>
      </c>
      <c r="C8" s="68" t="s">
        <v>148</v>
      </c>
      <c r="D8" s="122" t="s">
        <v>230</v>
      </c>
      <c r="E8" t="s">
        <v>316</v>
      </c>
      <c r="F8" t="s">
        <v>271</v>
      </c>
      <c r="G8" t="s">
        <v>263</v>
      </c>
      <c r="H8" t="s">
        <v>271</v>
      </c>
      <c r="I8" t="s">
        <v>256</v>
      </c>
      <c r="J8" s="122"/>
      <c r="K8" s="122" t="s">
        <v>424</v>
      </c>
      <c r="L8" s="122" t="s">
        <v>230</v>
      </c>
      <c r="M8" s="122" t="s">
        <v>460</v>
      </c>
      <c r="N8" t="s">
        <v>479</v>
      </c>
      <c r="O8" t="s">
        <v>271</v>
      </c>
      <c r="P8" t="s">
        <v>230</v>
      </c>
      <c r="Q8" t="s">
        <v>271</v>
      </c>
      <c r="R8" t="s">
        <v>553</v>
      </c>
      <c r="S8" t="s">
        <v>579</v>
      </c>
      <c r="T8"/>
      <c r="U8" t="s">
        <v>230</v>
      </c>
      <c r="V8" t="s">
        <v>230</v>
      </c>
      <c r="W8" t="s">
        <v>639</v>
      </c>
      <c r="X8" t="s">
        <v>230</v>
      </c>
      <c r="Y8" s="122"/>
      <c r="Z8" s="122"/>
      <c r="CE8" s="68">
        <f t="shared" si="0"/>
        <v>19</v>
      </c>
      <c r="CF8" s="68">
        <f t="shared" si="33"/>
        <v>10</v>
      </c>
      <c r="CG8" s="68">
        <f t="shared" si="1"/>
        <v>9</v>
      </c>
      <c r="CH8" s="68">
        <f t="shared" si="2"/>
        <v>7</v>
      </c>
      <c r="CI8" s="68">
        <f t="shared" si="3"/>
        <v>-18</v>
      </c>
      <c r="CJ8" s="72" t="str">
        <f t="shared" si="34"/>
        <v>18*</v>
      </c>
      <c r="CK8" s="68">
        <f t="shared" si="5"/>
        <v>27</v>
      </c>
      <c r="CL8" s="70">
        <f t="shared" si="35"/>
        <v>13.5</v>
      </c>
      <c r="CM8" s="68">
        <f t="shared" si="6"/>
        <v>27</v>
      </c>
      <c r="CN8" s="68">
        <f t="shared" si="7"/>
        <v>15</v>
      </c>
      <c r="CO8" s="71">
        <f t="array" ref="CO8">SUM(IF(ISERR(FIND("*",D8:CD8)),0,1))</f>
        <v>19</v>
      </c>
      <c r="CP8" s="71">
        <f t="array" ref="CP8">SUM(IF(ISERR(FIND("+",D8:CD8)),0,1))</f>
        <v>0</v>
      </c>
      <c r="CQ8" s="68">
        <f t="shared" si="8"/>
        <v>0</v>
      </c>
      <c r="CR8" s="71">
        <f t="array" ref="CR8">SUM(IF(ISERR(FIND(CR$4,$D8:$CD8)),0,1))</f>
        <v>0</v>
      </c>
      <c r="CS8" s="71">
        <f t="array" ref="CS8">SUM(IF(ISERR(FIND(CS$4,$D8:$CD8)),0,1))</f>
        <v>1</v>
      </c>
      <c r="CT8" s="71">
        <f t="array" ref="CT8">SUM(IF(ISERR(FIND(CT$4,$D8:$CD8)),0,1))</f>
        <v>1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shared" si="36"/>
        <v>0</v>
      </c>
      <c r="CY8" s="71">
        <f t="shared" si="10"/>
        <v>3</v>
      </c>
      <c r="CZ8" s="71">
        <f t="shared" si="11"/>
        <v>3</v>
      </c>
      <c r="DA8" s="71">
        <f t="shared" si="12"/>
        <v>0</v>
      </c>
      <c r="DB8" s="71">
        <f t="shared" si="13"/>
        <v>0</v>
      </c>
      <c r="DC8" s="71">
        <f t="shared" si="14"/>
        <v>0</v>
      </c>
      <c r="DD8" s="71">
        <f t="shared" si="15"/>
        <v>0</v>
      </c>
      <c r="DE8" s="68">
        <f t="shared" si="37"/>
        <v>1350919.2700799999</v>
      </c>
      <c r="DF8" s="68">
        <f t="shared" si="16"/>
        <v>11</v>
      </c>
      <c r="DG8" s="68">
        <v>0</v>
      </c>
      <c r="DH8" s="89" t="str">
        <f t="shared" si="38"/>
        <v/>
      </c>
      <c r="DI8" s="97">
        <f t="shared" si="39"/>
        <v>0</v>
      </c>
    </row>
    <row r="9" spans="1:113" x14ac:dyDescent="0.15">
      <c r="B9" s="122" t="s">
        <v>244</v>
      </c>
      <c r="C9" s="122" t="s">
        <v>245</v>
      </c>
      <c r="D9" t="s">
        <v>294</v>
      </c>
      <c r="E9" t="s">
        <v>314</v>
      </c>
      <c r="F9"/>
      <c r="G9"/>
      <c r="H9"/>
      <c r="I9" t="s">
        <v>386</v>
      </c>
      <c r="J9"/>
      <c r="K9"/>
      <c r="L9"/>
      <c r="M9" t="s">
        <v>452</v>
      </c>
      <c r="N9" s="122"/>
      <c r="O9"/>
      <c r="P9"/>
      <c r="Q9"/>
      <c r="R9" t="s">
        <v>549</v>
      </c>
      <c r="S9" t="s">
        <v>571</v>
      </c>
      <c r="U9"/>
      <c r="V9"/>
      <c r="X9" t="s">
        <v>658</v>
      </c>
      <c r="Z9"/>
      <c r="CE9" s="68">
        <f t="shared" si="0"/>
        <v>7</v>
      </c>
      <c r="CF9" s="68">
        <f t="shared" si="33"/>
        <v>0</v>
      </c>
      <c r="CG9" s="68">
        <f t="shared" si="1"/>
        <v>7</v>
      </c>
      <c r="CH9" s="68">
        <f t="shared" si="2"/>
        <v>0</v>
      </c>
      <c r="CI9" s="68">
        <f t="shared" si="3"/>
        <v>59</v>
      </c>
      <c r="CJ9" s="72">
        <f t="shared" si="34"/>
        <v>59</v>
      </c>
      <c r="CK9" s="68">
        <f t="shared" si="5"/>
        <v>88</v>
      </c>
      <c r="CL9" s="70">
        <f t="shared" si="35"/>
        <v>12.571428571428571</v>
      </c>
      <c r="CM9" s="68">
        <f t="shared" si="6"/>
        <v>93</v>
      </c>
      <c r="CN9" s="68">
        <f t="shared" si="7"/>
        <v>10</v>
      </c>
      <c r="CO9" s="71">
        <f t="array" ref="CO9">SUM(IF(ISERR(FIND("*",D9:CD9)),0,1))</f>
        <v>0</v>
      </c>
      <c r="CP9" s="71">
        <f t="array" ref="CP9">SUM(IF(ISERR(FIND("+",D9:CD9)),0,1))</f>
        <v>1</v>
      </c>
      <c r="CQ9" s="68">
        <f t="shared" si="8"/>
        <v>1</v>
      </c>
      <c r="CR9" s="71">
        <f t="array" ref="CR9">SUM(IF(ISERR(FIND(CR$4,$D9:$CD9)),0,1))</f>
        <v>2</v>
      </c>
      <c r="CS9" s="71">
        <f t="array" ref="CS9">SUM(IF(ISERR(FIND(CS$4,$D9:$CD9)),0,1))</f>
        <v>0</v>
      </c>
      <c r="CT9" s="71">
        <f t="array" ref="CT9">SUM(IF(ISERR(FIND(CT$4,$D9:$CD9)),0,1))</f>
        <v>2</v>
      </c>
      <c r="CU9" s="71">
        <f t="array" ref="CU9">SUM(IF(ISERR(FIND(CU$4,$D9:$CD9)),0,1))</f>
        <v>2</v>
      </c>
      <c r="CV9" s="71">
        <f t="array" ref="CV9">SUM(IF(ISERR(FIND(CV$4,$D9:$CD9)),0,1))</f>
        <v>1</v>
      </c>
      <c r="CW9" s="71">
        <f t="array" ref="CW9">SUM(IF(ISERR(FIND(CW$4,$D9:$CD9)),0,1))</f>
        <v>0</v>
      </c>
      <c r="CX9" s="71">
        <f t="shared" si="36"/>
        <v>1</v>
      </c>
      <c r="CY9" s="71">
        <f t="shared" si="10"/>
        <v>3</v>
      </c>
      <c r="CZ9" s="71">
        <f t="shared" si="11"/>
        <v>9</v>
      </c>
      <c r="DA9" s="71">
        <f t="shared" si="12"/>
        <v>2</v>
      </c>
      <c r="DB9" s="71">
        <f t="shared" si="13"/>
        <v>1</v>
      </c>
      <c r="DC9" s="71">
        <f t="shared" si="14"/>
        <v>1</v>
      </c>
      <c r="DD9" s="71">
        <f t="shared" si="15"/>
        <v>1</v>
      </c>
      <c r="DE9" s="68">
        <f t="shared" si="37"/>
        <v>1257707.8800899999</v>
      </c>
      <c r="DF9" s="68">
        <f t="shared" si="16"/>
        <v>12</v>
      </c>
      <c r="DG9" s="68">
        <v>0</v>
      </c>
      <c r="DH9" s="89">
        <f t="shared" si="38"/>
        <v>0.54545454545454541</v>
      </c>
      <c r="DI9" s="97">
        <f t="shared" si="39"/>
        <v>0.14285714285714285</v>
      </c>
    </row>
    <row r="10" spans="1:113" x14ac:dyDescent="0.15">
      <c r="A10" s="68" t="s">
        <v>131</v>
      </c>
      <c r="B10" s="68" t="s">
        <v>177</v>
      </c>
      <c r="C10" s="68" t="s">
        <v>149</v>
      </c>
      <c r="D10"/>
      <c r="E10" s="122"/>
      <c r="G10" t="s">
        <v>345</v>
      </c>
      <c r="H10" s="122"/>
      <c r="K10"/>
      <c r="M10"/>
      <c r="P10" s="122"/>
      <c r="Q10"/>
      <c r="R10" t="s">
        <v>555</v>
      </c>
      <c r="S10"/>
      <c r="T10"/>
      <c r="V10" s="122"/>
      <c r="Z10"/>
      <c r="CE10" s="68">
        <f t="shared" si="0"/>
        <v>2</v>
      </c>
      <c r="CF10" s="68">
        <f t="shared" si="33"/>
        <v>1</v>
      </c>
      <c r="CG10" s="68">
        <f t="shared" si="1"/>
        <v>1</v>
      </c>
      <c r="CH10" s="68">
        <f t="shared" si="2"/>
        <v>0</v>
      </c>
      <c r="CI10" s="68">
        <f t="shared" si="3"/>
        <v>48</v>
      </c>
      <c r="CJ10" s="72">
        <f t="shared" si="34"/>
        <v>48</v>
      </c>
      <c r="CK10" s="68">
        <f t="shared" si="5"/>
        <v>48</v>
      </c>
      <c r="CL10" s="70">
        <f t="shared" si="35"/>
        <v>48</v>
      </c>
      <c r="CM10" s="68">
        <f t="shared" si="6"/>
        <v>48</v>
      </c>
      <c r="CN10" s="68">
        <f t="shared" si="7"/>
        <v>0</v>
      </c>
      <c r="CO10" s="71">
        <f t="array" ref="CO10">SUM(IF(ISERR(FIND("*",D10:CD10)),0,1))</f>
        <v>0</v>
      </c>
      <c r="CP10" s="71">
        <f t="array" ref="CP10">SUM(IF(ISERR(FIND("+",D10:CD10)),0,1))</f>
        <v>1</v>
      </c>
      <c r="CQ10" s="68">
        <f t="shared" si="8"/>
        <v>0</v>
      </c>
      <c r="CR10" s="71">
        <f t="array" ref="CR10">SUM(IF(ISERR(FIND(CR$4,$D10:$CD10)),0,1))</f>
        <v>1</v>
      </c>
      <c r="CS10" s="71">
        <f t="array" ref="CS10">SUM(IF(ISERR(FIND(CS$4,$D10:$CD10)),0,1))</f>
        <v>0</v>
      </c>
      <c r="CT10" s="71">
        <f t="array" ref="CT10">SUM(IF(ISERR(FIND(CT$4,$D10:$CD10)),0,1))</f>
        <v>0</v>
      </c>
      <c r="CU10" s="71">
        <f t="array" ref="CU10">SUM(IF(ISERR(FIND(CU$4,$D10:$CD10)),0,1))</f>
        <v>0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shared" si="36"/>
        <v>0</v>
      </c>
      <c r="CY10" s="71">
        <f t="shared" si="10"/>
        <v>1</v>
      </c>
      <c r="CZ10" s="71">
        <f t="shared" si="11"/>
        <v>8</v>
      </c>
      <c r="DA10" s="71">
        <f t="shared" si="12"/>
        <v>0</v>
      </c>
      <c r="DB10" s="71">
        <f t="shared" si="13"/>
        <v>0</v>
      </c>
      <c r="DC10" s="71">
        <f t="shared" si="14"/>
        <v>1</v>
      </c>
      <c r="DD10" s="71">
        <f t="shared" si="15"/>
        <v>1</v>
      </c>
      <c r="DE10" s="68">
        <f t="shared" si="37"/>
        <v>4800102.4801000003</v>
      </c>
      <c r="DF10" s="68">
        <f t="shared" si="16"/>
        <v>3</v>
      </c>
      <c r="DG10" s="68">
        <v>0</v>
      </c>
      <c r="DH10" s="89" t="str">
        <f t="shared" si="38"/>
        <v/>
      </c>
      <c r="DI10" s="97">
        <f t="shared" si="39"/>
        <v>0</v>
      </c>
    </row>
    <row r="11" spans="1:113" x14ac:dyDescent="0.15">
      <c r="A11" s="68" t="s">
        <v>43</v>
      </c>
      <c r="B11" s="68" t="s">
        <v>28</v>
      </c>
      <c r="C11" s="68" t="s">
        <v>44</v>
      </c>
      <c r="D11" s="122" t="s">
        <v>232</v>
      </c>
      <c r="E11" s="122"/>
      <c r="F11" s="122"/>
      <c r="G11" s="122"/>
      <c r="H11" s="122"/>
      <c r="I11" s="122"/>
      <c r="J11" s="60"/>
      <c r="K11" s="122"/>
      <c r="L11"/>
      <c r="M11"/>
      <c r="N11" s="122"/>
      <c r="O11"/>
      <c r="P11"/>
      <c r="Q11"/>
      <c r="R11" s="122"/>
      <c r="S11" s="122"/>
      <c r="T11" s="122"/>
      <c r="U11" s="122"/>
      <c r="V11" s="122"/>
      <c r="CE11" s="68">
        <f t="shared" si="0"/>
        <v>1</v>
      </c>
      <c r="CF11" s="68">
        <f t="shared" si="33"/>
        <v>1</v>
      </c>
      <c r="CG11" s="68">
        <f t="shared" si="1"/>
        <v>0</v>
      </c>
      <c r="CH11" s="68">
        <f t="shared" si="2"/>
        <v>0</v>
      </c>
      <c r="CI11" s="68">
        <f t="shared" si="3"/>
        <v>0</v>
      </c>
      <c r="CJ11" s="72">
        <f t="shared" si="34"/>
        <v>0</v>
      </c>
      <c r="CK11" s="68">
        <f t="shared" si="5"/>
        <v>0</v>
      </c>
      <c r="CL11" s="70">
        <f t="shared" si="35"/>
        <v>0</v>
      </c>
      <c r="CM11" s="68">
        <f t="shared" si="6"/>
        <v>0</v>
      </c>
      <c r="CN11" s="68">
        <f t="shared" si="7"/>
        <v>0</v>
      </c>
      <c r="CO11" s="71">
        <f t="array" ref="CO11">SUM(IF(ISERR(FIND("*",D11:CD11)),0,1))</f>
        <v>0</v>
      </c>
      <c r="CP11" s="71">
        <f t="array" ref="CP11">SUM(IF(ISERR(FIND("+",D11:CD11)),0,1))</f>
        <v>0</v>
      </c>
      <c r="CQ11" s="68">
        <f t="shared" si="8"/>
        <v>0</v>
      </c>
      <c r="CR11" s="71">
        <f t="array" ref="CR11">SUM(IF(ISERR(FIND(CR$4,$D11:$CD11)),0,1))</f>
        <v>0</v>
      </c>
      <c r="CS11" s="71">
        <f t="array" ref="CS11">SUM(IF(ISERR(FIND(CS$4,$D11:$CD11)),0,1))</f>
        <v>0</v>
      </c>
      <c r="CT11" s="71">
        <f t="array" ref="CT11">SUM(IF(ISERR(FIND(CT$4,$D11:$CD11)),0,1))</f>
        <v>0</v>
      </c>
      <c r="CU11" s="71">
        <f t="array" ref="CU11">SUM(IF(ISERR(FIND(CU$4,$D11:$CD11)),0,1))</f>
        <v>0</v>
      </c>
      <c r="CV11" s="71">
        <f t="array" ref="CV11">SUM(IF(ISERR(FIND(CV$4,$D11:$CD11)),0,1))</f>
        <v>0</v>
      </c>
      <c r="CW11" s="71">
        <f t="array" ref="CW11">SUM(IF(ISERR(FIND(CW$4,$D11:$CD11)),0,1))</f>
        <v>0</v>
      </c>
      <c r="CX11" s="71">
        <f t="shared" si="36"/>
        <v>0</v>
      </c>
      <c r="CY11" s="71">
        <f t="shared" si="10"/>
        <v>0</v>
      </c>
      <c r="CZ11" s="71">
        <f t="shared" si="11"/>
        <v>0</v>
      </c>
      <c r="DA11" s="71">
        <f t="shared" si="12"/>
        <v>0</v>
      </c>
      <c r="DB11" s="71">
        <f t="shared" si="13"/>
        <v>0</v>
      </c>
      <c r="DC11" s="71">
        <f t="shared" si="14"/>
        <v>0</v>
      </c>
      <c r="DD11" s="71">
        <f t="shared" si="15"/>
        <v>0</v>
      </c>
      <c r="DE11" s="68">
        <f t="shared" si="37"/>
        <v>1.0001100000000001</v>
      </c>
      <c r="DF11" s="68">
        <f t="shared" si="16"/>
        <v>35</v>
      </c>
      <c r="DG11" s="68">
        <v>0</v>
      </c>
      <c r="DH11" s="89" t="str">
        <f t="shared" si="38"/>
        <v/>
      </c>
      <c r="DI11" s="97" t="e">
        <f t="shared" si="39"/>
        <v>#DIV/0!</v>
      </c>
    </row>
    <row r="12" spans="1:113" x14ac:dyDescent="0.15">
      <c r="B12" s="68" t="s">
        <v>243</v>
      </c>
      <c r="C12" s="68" t="s">
        <v>242</v>
      </c>
      <c r="D12" t="s">
        <v>298</v>
      </c>
      <c r="E12" t="s">
        <v>254</v>
      </c>
      <c r="F12"/>
      <c r="H12"/>
      <c r="I12" t="s">
        <v>280</v>
      </c>
      <c r="J12" t="s">
        <v>406</v>
      </c>
      <c r="K12"/>
      <c r="M12" s="122"/>
      <c r="P12" t="s">
        <v>514</v>
      </c>
      <c r="Q12"/>
      <c r="R12" t="s">
        <v>552</v>
      </c>
      <c r="CE12" s="68">
        <f t="shared" si="0"/>
        <v>6</v>
      </c>
      <c r="CF12" s="68">
        <f t="shared" si="33"/>
        <v>1</v>
      </c>
      <c r="CG12" s="68">
        <f t="shared" si="1"/>
        <v>5</v>
      </c>
      <c r="CH12" s="68">
        <f t="shared" si="2"/>
        <v>0</v>
      </c>
      <c r="CI12" s="68">
        <f t="shared" si="3"/>
        <v>4</v>
      </c>
      <c r="CJ12" s="72">
        <f t="shared" si="34"/>
        <v>4</v>
      </c>
      <c r="CK12" s="68">
        <f t="shared" si="5"/>
        <v>8</v>
      </c>
      <c r="CL12" s="70">
        <f t="shared" si="35"/>
        <v>1.6</v>
      </c>
      <c r="CM12" s="68">
        <f t="shared" si="6"/>
        <v>-2</v>
      </c>
      <c r="CN12" s="68">
        <f t="shared" si="7"/>
        <v>0</v>
      </c>
      <c r="CO12" s="71">
        <f t="array" ref="CO12">SUM(IF(ISERR(FIND("*",D12:CD12)),0,1))</f>
        <v>0</v>
      </c>
      <c r="CP12" s="71">
        <f t="array" ref="CP12">SUM(IF(ISERR(FIND("+",D12:CD12)),0,1))</f>
        <v>0</v>
      </c>
      <c r="CQ12" s="68">
        <f t="shared" si="8"/>
        <v>2</v>
      </c>
      <c r="CR12" s="71">
        <f t="array" ref="CR12">SUM(IF(ISERR(FIND(CR$4,$D12:$CD12)),0,1))</f>
        <v>3</v>
      </c>
      <c r="CS12" s="71">
        <f t="array" ref="CS12">SUM(IF(ISERR(FIND(CS$4,$D12:$CD12)),0,1))</f>
        <v>0</v>
      </c>
      <c r="CT12" s="71">
        <f t="array" ref="CT12">SUM(IF(ISERR(FIND(CT$4,$D12:$CD12)),0,1))</f>
        <v>1</v>
      </c>
      <c r="CU12" s="71">
        <f t="array" ref="CU12">SUM(IF(ISERR(FIND(CU$4,$D12:$CD12)),0,1))</f>
        <v>0</v>
      </c>
      <c r="CV12" s="71">
        <f t="array" ref="CV12">SUM(IF(ISERR(FIND(CV$4,$D12:$CD12)),0,1))</f>
        <v>1</v>
      </c>
      <c r="CW12" s="71">
        <f t="array" ref="CW12">SUM(IF(ISERR(FIND(CW$4,$D12:$CD12)),0,1))</f>
        <v>0</v>
      </c>
      <c r="CX12" s="71">
        <f t="shared" si="36"/>
        <v>0</v>
      </c>
      <c r="CY12" s="71">
        <f t="shared" si="10"/>
        <v>0</v>
      </c>
      <c r="CZ12" s="71">
        <f t="shared" si="11"/>
        <v>1</v>
      </c>
      <c r="DA12" s="71">
        <f t="shared" si="12"/>
        <v>0</v>
      </c>
      <c r="DB12" s="71">
        <f t="shared" si="13"/>
        <v>0</v>
      </c>
      <c r="DC12" s="71">
        <f t="shared" si="14"/>
        <v>0</v>
      </c>
      <c r="DD12" s="71">
        <f t="shared" si="15"/>
        <v>0</v>
      </c>
      <c r="DE12" s="68">
        <f t="shared" si="37"/>
        <v>160506.08012</v>
      </c>
      <c r="DF12" s="68">
        <f t="shared" si="16"/>
        <v>28</v>
      </c>
      <c r="DG12" s="68">
        <v>0</v>
      </c>
      <c r="DH12" s="89" t="str">
        <f t="shared" si="38"/>
        <v/>
      </c>
      <c r="DI12" s="97">
        <f t="shared" si="39"/>
        <v>0.4</v>
      </c>
    </row>
    <row r="13" spans="1:113" x14ac:dyDescent="0.15">
      <c r="B13" s="122" t="s">
        <v>276</v>
      </c>
      <c r="C13" s="122" t="s">
        <v>277</v>
      </c>
      <c r="D13" t="s">
        <v>297</v>
      </c>
      <c r="E13" t="s">
        <v>310</v>
      </c>
      <c r="F13"/>
      <c r="G13" t="s">
        <v>352</v>
      </c>
      <c r="H13"/>
      <c r="I13"/>
      <c r="K13" t="s">
        <v>280</v>
      </c>
      <c r="L13" t="s">
        <v>439</v>
      </c>
      <c r="M13" s="122"/>
      <c r="O13" t="s">
        <v>495</v>
      </c>
      <c r="P13" t="s">
        <v>516</v>
      </c>
      <c r="Q13" t="s">
        <v>530</v>
      </c>
      <c r="S13"/>
      <c r="T13" t="s">
        <v>254</v>
      </c>
      <c r="V13"/>
      <c r="W13"/>
      <c r="X13" t="s">
        <v>655</v>
      </c>
      <c r="CE13" s="68">
        <f t="shared" si="0"/>
        <v>10</v>
      </c>
      <c r="CF13" s="68">
        <f t="shared" si="33"/>
        <v>1</v>
      </c>
      <c r="CG13" s="68">
        <f t="shared" si="1"/>
        <v>9</v>
      </c>
      <c r="CH13" s="68">
        <f t="shared" si="2"/>
        <v>0</v>
      </c>
      <c r="CI13" s="68">
        <f t="shared" si="3"/>
        <v>38</v>
      </c>
      <c r="CJ13" s="72">
        <f t="shared" si="34"/>
        <v>38</v>
      </c>
      <c r="CK13" s="68">
        <f t="shared" si="5"/>
        <v>133</v>
      </c>
      <c r="CL13" s="70">
        <f t="shared" si="35"/>
        <v>14.777777777777779</v>
      </c>
      <c r="CM13" s="68">
        <f t="shared" si="6"/>
        <v>123</v>
      </c>
      <c r="CN13" s="68">
        <f t="shared" si="7"/>
        <v>10</v>
      </c>
      <c r="CO13" s="71">
        <f t="array" ref="CO13">SUM(IF(ISERR(FIND("*",D13:CD13)),0,1))</f>
        <v>0</v>
      </c>
      <c r="CP13" s="71">
        <f t="array" ref="CP13">SUM(IF(ISERR(FIND("+",D13:CD13)),0,1))</f>
        <v>0</v>
      </c>
      <c r="CQ13" s="68">
        <f t="shared" si="8"/>
        <v>2</v>
      </c>
      <c r="CR13" s="71">
        <f t="array" ref="CR13">SUM(IF(ISERR(FIND(CR$4,$D13:$CD13)),0,1))</f>
        <v>6</v>
      </c>
      <c r="CS13" s="71">
        <f t="array" ref="CS13">SUM(IF(ISERR(FIND(CS$4,$D13:$CD13)),0,1))</f>
        <v>3</v>
      </c>
      <c r="CT13" s="71">
        <f t="array" ref="CT13">SUM(IF(ISERR(FIND(CT$4,$D13:$CD13)),0,1))</f>
        <v>0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shared" si="36"/>
        <v>0</v>
      </c>
      <c r="CY13" s="71">
        <f t="shared" si="10"/>
        <v>2</v>
      </c>
      <c r="CZ13" s="71">
        <f t="shared" si="11"/>
        <v>11</v>
      </c>
      <c r="DA13" s="71">
        <f t="shared" si="12"/>
        <v>11</v>
      </c>
      <c r="DB13" s="71">
        <f t="shared" si="13"/>
        <v>0</v>
      </c>
      <c r="DC13" s="71">
        <f t="shared" si="14"/>
        <v>0</v>
      </c>
      <c r="DD13" s="71">
        <f t="shared" si="15"/>
        <v>2</v>
      </c>
      <c r="DE13" s="68">
        <f t="shared" si="37"/>
        <v>1478911.3301300001</v>
      </c>
      <c r="DF13" s="68">
        <f t="shared" si="16"/>
        <v>10</v>
      </c>
      <c r="DG13" s="68">
        <v>0</v>
      </c>
      <c r="DH13" s="89">
        <f t="shared" si="38"/>
        <v>0.82706766917293228</v>
      </c>
      <c r="DI13" s="97">
        <f t="shared" si="39"/>
        <v>0.22222222222222221</v>
      </c>
    </row>
    <row r="14" spans="1:113" x14ac:dyDescent="0.15">
      <c r="B14" s="68" t="s">
        <v>226</v>
      </c>
      <c r="C14" s="68" t="s">
        <v>225</v>
      </c>
      <c r="K14" s="122"/>
      <c r="L14"/>
      <c r="M14"/>
      <c r="O14" t="s">
        <v>494</v>
      </c>
      <c r="P14"/>
      <c r="Q14"/>
      <c r="R14" t="s">
        <v>551</v>
      </c>
      <c r="S14"/>
      <c r="T14"/>
      <c r="U14"/>
      <c r="V14" t="s">
        <v>625</v>
      </c>
      <c r="Y14"/>
      <c r="CE14" s="68">
        <f t="shared" si="0"/>
        <v>3</v>
      </c>
      <c r="CF14" s="68">
        <f t="shared" si="33"/>
        <v>0</v>
      </c>
      <c r="CG14" s="68">
        <f t="shared" si="1"/>
        <v>3</v>
      </c>
      <c r="CH14" s="68">
        <f t="shared" si="2"/>
        <v>0</v>
      </c>
      <c r="CI14" s="68">
        <f t="shared" si="3"/>
        <v>15</v>
      </c>
      <c r="CJ14" s="72">
        <f t="shared" si="34"/>
        <v>15</v>
      </c>
      <c r="CK14" s="68">
        <f t="shared" si="5"/>
        <v>17</v>
      </c>
      <c r="CL14" s="70">
        <f t="shared" si="35"/>
        <v>5.666666666666667</v>
      </c>
      <c r="CM14" s="68">
        <f t="shared" si="6"/>
        <v>12</v>
      </c>
      <c r="CN14" s="68">
        <f t="shared" si="7"/>
        <v>5</v>
      </c>
      <c r="CO14" s="71">
        <f t="array" ref="CO14">SUM(IF(ISERR(FIND("*",D14:CD14)),0,1))</f>
        <v>0</v>
      </c>
      <c r="CP14" s="71">
        <f t="array" ref="CP14">SUM(IF(ISERR(FIND("+",D14:CD14)),0,1))</f>
        <v>0</v>
      </c>
      <c r="CQ14" s="68">
        <f t="shared" si="8"/>
        <v>1</v>
      </c>
      <c r="CR14" s="71">
        <f t="array" ref="CR14">SUM(IF(ISERR(FIND(CR$4,$D14:$CD14)),0,1))</f>
        <v>2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shared" si="36"/>
        <v>0</v>
      </c>
      <c r="CY14" s="71">
        <f t="shared" si="10"/>
        <v>1</v>
      </c>
      <c r="CZ14" s="71">
        <f t="shared" si="11"/>
        <v>1</v>
      </c>
      <c r="DA14" s="71">
        <f t="shared" si="12"/>
        <v>0</v>
      </c>
      <c r="DB14" s="71">
        <f t="shared" si="13"/>
        <v>0</v>
      </c>
      <c r="DC14" s="71">
        <f t="shared" si="14"/>
        <v>0</v>
      </c>
      <c r="DD14" s="71">
        <f t="shared" si="15"/>
        <v>0</v>
      </c>
      <c r="DE14" s="68">
        <f t="shared" si="37"/>
        <v>567303.17014000006</v>
      </c>
      <c r="DF14" s="68">
        <f t="shared" si="16"/>
        <v>23</v>
      </c>
      <c r="DG14" s="68">
        <v>0</v>
      </c>
      <c r="DH14" s="89" t="str">
        <f t="shared" si="38"/>
        <v/>
      </c>
      <c r="DI14" s="97">
        <f t="shared" si="39"/>
        <v>0.33333333333333331</v>
      </c>
    </row>
    <row r="15" spans="1:113" x14ac:dyDescent="0.15">
      <c r="B15" s="122" t="s">
        <v>323</v>
      </c>
      <c r="C15" t="s">
        <v>322</v>
      </c>
      <c r="E15" t="s">
        <v>312</v>
      </c>
      <c r="G15" s="122" t="s">
        <v>351</v>
      </c>
      <c r="K15" s="122"/>
      <c r="L15"/>
      <c r="M15"/>
      <c r="O15"/>
      <c r="P15"/>
      <c r="Q15"/>
      <c r="R15"/>
      <c r="S15"/>
      <c r="T15"/>
      <c r="U15"/>
      <c r="V15"/>
      <c r="Y15"/>
      <c r="CE15" s="68">
        <f t="shared" si="0"/>
        <v>2</v>
      </c>
      <c r="CF15" s="68">
        <f t="shared" si="33"/>
        <v>0</v>
      </c>
      <c r="CG15" s="68">
        <f t="shared" si="1"/>
        <v>2</v>
      </c>
      <c r="CH15" s="68">
        <f t="shared" si="2"/>
        <v>0</v>
      </c>
      <c r="CI15" s="68">
        <f t="shared" si="3"/>
        <v>13</v>
      </c>
      <c r="CJ15" s="72">
        <f t="shared" si="34"/>
        <v>13</v>
      </c>
      <c r="CK15" s="68">
        <f t="shared" si="5"/>
        <v>16</v>
      </c>
      <c r="CL15" s="70">
        <f t="shared" si="35"/>
        <v>8</v>
      </c>
      <c r="CM15" s="68">
        <f t="shared" si="6"/>
        <v>16</v>
      </c>
      <c r="CN15" s="68">
        <f t="shared" si="7"/>
        <v>0</v>
      </c>
      <c r="CO15" s="71">
        <f t="array" ref="CO15">SUM(IF(ISERR(FIND("*",D15:CD15)),0,1))</f>
        <v>0</v>
      </c>
      <c r="CP15" s="71">
        <f t="array" ref="CP15">SUM(IF(ISERR(FIND("+",D15:CD15)),0,1))</f>
        <v>0</v>
      </c>
      <c r="CQ15" s="68">
        <f t="shared" si="8"/>
        <v>0</v>
      </c>
      <c r="CR15" s="71">
        <f t="array" ref="CR15">SUM(IF(ISERR(FIND(CR$4,$D15:$CD15)),0,1))</f>
        <v>2</v>
      </c>
      <c r="CS15" s="71">
        <f t="array" ref="CS15">SUM(IF(ISERR(FIND(CS$4,$D15:$CD15)),0,1))</f>
        <v>0</v>
      </c>
      <c r="CT15" s="71">
        <f t="array" ref="CT15">SUM(IF(ISERR(FIND(CT$4,$D15:$CD15)),0,1))</f>
        <v>0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0</v>
      </c>
      <c r="CX15" s="71">
        <f t="shared" si="36"/>
        <v>0</v>
      </c>
      <c r="CY15" s="71">
        <f t="shared" si="10"/>
        <v>0</v>
      </c>
      <c r="CZ15" s="71">
        <f t="shared" si="11"/>
        <v>3</v>
      </c>
      <c r="DA15" s="71">
        <f t="shared" si="12"/>
        <v>0</v>
      </c>
      <c r="DB15" s="71">
        <f t="shared" si="13"/>
        <v>0</v>
      </c>
      <c r="DC15" s="71">
        <f t="shared" si="14"/>
        <v>0</v>
      </c>
      <c r="DD15" s="71">
        <f t="shared" si="15"/>
        <v>0</v>
      </c>
      <c r="DE15" s="68">
        <f t="shared" si="37"/>
        <v>800202.16015000001</v>
      </c>
      <c r="DF15" s="68">
        <f t="shared" si="16"/>
        <v>19</v>
      </c>
      <c r="DG15" s="68">
        <v>0</v>
      </c>
      <c r="DH15" s="89" t="str">
        <f t="shared" si="38"/>
        <v/>
      </c>
      <c r="DI15" s="97">
        <f t="shared" si="39"/>
        <v>0</v>
      </c>
    </row>
    <row r="16" spans="1:113" x14ac:dyDescent="0.15">
      <c r="A16" s="68" t="s">
        <v>185</v>
      </c>
      <c r="B16" s="68" t="s">
        <v>179</v>
      </c>
      <c r="C16" s="68" t="s">
        <v>180</v>
      </c>
      <c r="D16" s="122" t="s">
        <v>292</v>
      </c>
      <c r="E16" s="122"/>
      <c r="F16" s="122" t="s">
        <v>335</v>
      </c>
      <c r="G16" s="122"/>
      <c r="H16" s="122"/>
      <c r="I16" t="s">
        <v>388</v>
      </c>
      <c r="J16" t="s">
        <v>398</v>
      </c>
      <c r="K16" s="122"/>
      <c r="L16" t="s">
        <v>440</v>
      </c>
      <c r="M16"/>
      <c r="N16" t="s">
        <v>470</v>
      </c>
      <c r="O16"/>
      <c r="P16" t="s">
        <v>513</v>
      </c>
      <c r="Q16"/>
      <c r="T16" t="s">
        <v>592</v>
      </c>
      <c r="U16" t="s">
        <v>603</v>
      </c>
      <c r="V16"/>
      <c r="W16" t="s">
        <v>640</v>
      </c>
      <c r="X16"/>
      <c r="CE16" s="68">
        <f t="shared" si="0"/>
        <v>10</v>
      </c>
      <c r="CF16" s="68">
        <f t="shared" si="33"/>
        <v>1</v>
      </c>
      <c r="CG16" s="68">
        <f t="shared" si="1"/>
        <v>9</v>
      </c>
      <c r="CH16" s="68">
        <f t="shared" si="2"/>
        <v>4</v>
      </c>
      <c r="CI16" s="68">
        <f t="shared" si="3"/>
        <v>-44</v>
      </c>
      <c r="CJ16" s="72" t="str">
        <f t="shared" si="34"/>
        <v>44*</v>
      </c>
      <c r="CK16" s="68">
        <f t="shared" si="5"/>
        <v>151</v>
      </c>
      <c r="CL16" s="70">
        <f t="shared" si="35"/>
        <v>30.2</v>
      </c>
      <c r="CM16" s="68">
        <f t="shared" si="6"/>
        <v>146</v>
      </c>
      <c r="CN16" s="68">
        <f t="shared" si="7"/>
        <v>5</v>
      </c>
      <c r="CO16" s="71">
        <f t="array" ref="CO16">SUM(IF(ISERR(FIND("*",D16:CD16)),0,1))</f>
        <v>0</v>
      </c>
      <c r="CP16" s="71">
        <f t="array" ref="CP16">SUM(IF(ISERR(FIND("+",D16:CD16)),0,1))</f>
        <v>6</v>
      </c>
      <c r="CQ16" s="68">
        <f t="shared" si="8"/>
        <v>1</v>
      </c>
      <c r="CR16" s="71">
        <f t="array" ref="CR16">SUM(IF(ISERR(FIND(CR$4,$D16:$CD16)),0,1))</f>
        <v>0</v>
      </c>
      <c r="CS16" s="71">
        <f t="array" ref="CS16">SUM(IF(ISERR(FIND(CS$4,$D16:$CD16)),0,1))</f>
        <v>4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1</v>
      </c>
      <c r="CW16" s="71">
        <f t="array" ref="CW16">SUM(IF(ISERR(FIND(CW$4,$D16:$CD16)),0,1))</f>
        <v>0</v>
      </c>
      <c r="CX16" s="71">
        <f t="shared" si="36"/>
        <v>0</v>
      </c>
      <c r="CY16" s="71">
        <f t="shared" si="10"/>
        <v>11</v>
      </c>
      <c r="CZ16" s="71">
        <f t="shared" si="11"/>
        <v>16</v>
      </c>
      <c r="DA16" s="71">
        <f t="shared" si="12"/>
        <v>0</v>
      </c>
      <c r="DB16" s="71">
        <f t="shared" si="13"/>
        <v>6</v>
      </c>
      <c r="DC16" s="71">
        <f t="shared" si="14"/>
        <v>10</v>
      </c>
      <c r="DD16" s="71">
        <f t="shared" si="15"/>
        <v>4</v>
      </c>
      <c r="DE16" s="68">
        <f t="shared" si="37"/>
        <v>3020911.5101599996</v>
      </c>
      <c r="DF16" s="68">
        <f t="shared" si="16"/>
        <v>8</v>
      </c>
      <c r="DG16" s="68">
        <v>0</v>
      </c>
      <c r="DH16" s="89">
        <f t="shared" si="38"/>
        <v>0.42384105960264901</v>
      </c>
      <c r="DI16" s="97">
        <f t="shared" si="39"/>
        <v>0.2</v>
      </c>
    </row>
    <row r="17" spans="1:113" x14ac:dyDescent="0.15">
      <c r="B17" s="68" t="s">
        <v>235</v>
      </c>
      <c r="C17" t="s">
        <v>259</v>
      </c>
      <c r="H17" t="s">
        <v>361</v>
      </c>
      <c r="J17"/>
      <c r="V17"/>
      <c r="CE17" s="68">
        <f t="shared" si="0"/>
        <v>1</v>
      </c>
      <c r="CF17" s="68">
        <f t="shared" si="33"/>
        <v>0</v>
      </c>
      <c r="CG17" s="68">
        <f t="shared" si="1"/>
        <v>1</v>
      </c>
      <c r="CH17" s="68">
        <f t="shared" si="2"/>
        <v>0</v>
      </c>
      <c r="CI17" s="68">
        <f t="shared" si="3"/>
        <v>39</v>
      </c>
      <c r="CJ17" s="72">
        <f t="shared" si="34"/>
        <v>39</v>
      </c>
      <c r="CK17" s="68">
        <f t="shared" si="5"/>
        <v>39</v>
      </c>
      <c r="CL17" s="70">
        <f t="shared" si="35"/>
        <v>39</v>
      </c>
      <c r="CM17" s="68">
        <f t="shared" si="6"/>
        <v>39</v>
      </c>
      <c r="CN17" s="68">
        <f t="shared" si="7"/>
        <v>0</v>
      </c>
      <c r="CO17" s="71">
        <f t="array" ref="CO17">SUM(IF(ISERR(FIND("*",D17:CD17)),0,1))</f>
        <v>0</v>
      </c>
      <c r="CP17" s="71">
        <f t="array" ref="CP17">SUM(IF(ISERR(FIND("+",D17:CD17)),0,1))</f>
        <v>0</v>
      </c>
      <c r="CQ17" s="68">
        <f t="shared" si="8"/>
        <v>0</v>
      </c>
      <c r="CR17" s="71">
        <f t="array" ref="CR17">SUM(IF(ISERR(FIND(CR$4,$D17:$CD17)),0,1))</f>
        <v>0</v>
      </c>
      <c r="CS17" s="71">
        <f t="array" ref="CS17">SUM(IF(ISERR(FIND(CS$4,$D17:$CD17)),0,1))</f>
        <v>1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shared" si="36"/>
        <v>0</v>
      </c>
      <c r="CY17" s="71">
        <f t="shared" si="10"/>
        <v>0</v>
      </c>
      <c r="CZ17" s="71">
        <f t="shared" si="11"/>
        <v>5</v>
      </c>
      <c r="DA17" s="71">
        <f t="shared" si="12"/>
        <v>0</v>
      </c>
      <c r="DB17" s="71">
        <f t="shared" si="13"/>
        <v>0</v>
      </c>
      <c r="DC17" s="71">
        <f t="shared" si="14"/>
        <v>0</v>
      </c>
      <c r="DD17" s="71">
        <f t="shared" si="15"/>
        <v>1</v>
      </c>
      <c r="DE17" s="68">
        <f t="shared" si="37"/>
        <v>3900101.39017</v>
      </c>
      <c r="DF17" s="68">
        <f t="shared" si="16"/>
        <v>5</v>
      </c>
      <c r="DG17" s="68">
        <v>0</v>
      </c>
      <c r="DH17" s="89" t="str">
        <f t="shared" si="38"/>
        <v/>
      </c>
      <c r="DI17" s="97">
        <f t="shared" si="39"/>
        <v>0</v>
      </c>
    </row>
    <row r="18" spans="1:113" x14ac:dyDescent="0.15">
      <c r="B18" s="122" t="s">
        <v>244</v>
      </c>
      <c r="C18" t="s">
        <v>365</v>
      </c>
      <c r="H18" t="s">
        <v>349</v>
      </c>
      <c r="J18"/>
      <c r="V18"/>
      <c r="CE18" s="68">
        <f t="shared" si="0"/>
        <v>1</v>
      </c>
      <c r="CF18" s="68">
        <f t="shared" si="33"/>
        <v>0</v>
      </c>
      <c r="CG18" s="68">
        <f t="shared" si="1"/>
        <v>1</v>
      </c>
      <c r="CH18" s="68">
        <f t="shared" si="2"/>
        <v>0</v>
      </c>
      <c r="CI18" s="68">
        <f t="shared" si="3"/>
        <v>0</v>
      </c>
      <c r="CJ18" s="72">
        <f t="shared" si="34"/>
        <v>0</v>
      </c>
      <c r="CK18" s="68">
        <f t="shared" si="5"/>
        <v>0</v>
      </c>
      <c r="CL18" s="70">
        <f t="shared" si="35"/>
        <v>0</v>
      </c>
      <c r="CM18" s="68">
        <f t="shared" si="6"/>
        <v>-5</v>
      </c>
      <c r="CN18" s="68">
        <f t="shared" si="7"/>
        <v>0</v>
      </c>
      <c r="CO18" s="71">
        <f t="array" ref="CO18">SUM(IF(ISERR(FIND("*",D18:CD18)),0,1))</f>
        <v>0</v>
      </c>
      <c r="CP18" s="71">
        <f t="array" ref="CP18">SUM(IF(ISERR(FIND("+",D18:CD18)),0,1))</f>
        <v>0</v>
      </c>
      <c r="CQ18" s="68">
        <f t="shared" si="8"/>
        <v>1</v>
      </c>
      <c r="CR18" s="71">
        <f t="array" ref="CR18">SUM(IF(ISERR(FIND(CR$4,$D18:$CD18)),0,1))</f>
        <v>0</v>
      </c>
      <c r="CS18" s="71">
        <f t="array" ref="CS18">SUM(IF(ISERR(FIND(CS$4,$D18:$CD18)),0,1))</f>
        <v>1</v>
      </c>
      <c r="CT18" s="71">
        <f t="array" ref="CT18">SUM(IF(ISERR(FIND(CT$4,$D18:$CD18)),0,1))</f>
        <v>0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shared" si="36"/>
        <v>0</v>
      </c>
      <c r="CY18" s="71">
        <f t="shared" si="10"/>
        <v>0</v>
      </c>
      <c r="CZ18" s="71">
        <f t="shared" si="11"/>
        <v>0</v>
      </c>
      <c r="DA18" s="71">
        <f t="shared" si="12"/>
        <v>0</v>
      </c>
      <c r="DB18" s="71">
        <f t="shared" si="13"/>
        <v>0</v>
      </c>
      <c r="DC18" s="71">
        <f t="shared" si="14"/>
        <v>0</v>
      </c>
      <c r="DD18" s="71">
        <f t="shared" si="15"/>
        <v>0</v>
      </c>
      <c r="DE18" s="68">
        <f t="shared" si="37"/>
        <v>101.00018</v>
      </c>
      <c r="DF18" s="68">
        <f t="shared" si="16"/>
        <v>31</v>
      </c>
      <c r="DG18" s="68">
        <v>0</v>
      </c>
      <c r="DH18" s="89" t="str">
        <f t="shared" si="38"/>
        <v/>
      </c>
      <c r="DI18" s="97">
        <f t="shared" si="39"/>
        <v>1</v>
      </c>
    </row>
    <row r="19" spans="1:113" x14ac:dyDescent="0.15">
      <c r="B19" s="122"/>
      <c r="C19" t="s">
        <v>607</v>
      </c>
      <c r="H19"/>
      <c r="J19"/>
      <c r="U19" t="s">
        <v>608</v>
      </c>
      <c r="V19"/>
      <c r="CE19" s="68">
        <f t="shared" si="0"/>
        <v>1</v>
      </c>
      <c r="CF19" s="68">
        <f>CE19-CG19</f>
        <v>1</v>
      </c>
      <c r="CG19" s="68">
        <f t="shared" si="1"/>
        <v>0</v>
      </c>
      <c r="CH19" s="68">
        <f t="shared" si="2"/>
        <v>0</v>
      </c>
      <c r="CI19" s="68">
        <f t="shared" si="3"/>
        <v>0</v>
      </c>
      <c r="CJ19" s="72">
        <f t="shared" si="34"/>
        <v>0</v>
      </c>
      <c r="CK19" s="68">
        <f t="shared" si="5"/>
        <v>0</v>
      </c>
      <c r="CL19" s="70">
        <f>IF(CG19=CH19,0,CK19/(CG19-CH19))</f>
        <v>0</v>
      </c>
      <c r="CM19" s="68">
        <f t="shared" si="6"/>
        <v>0</v>
      </c>
      <c r="CN19" s="68">
        <f t="shared" si="7"/>
        <v>0</v>
      </c>
      <c r="CO19" s="71">
        <f t="array" ref="CO19">SUM(IF(ISERR(FIND("*",D19:CD19)),0,1))</f>
        <v>0</v>
      </c>
      <c r="CP19" s="71">
        <f t="array" ref="CP19">SUM(IF(ISERR(FIND("+",D19:CD19)),0,1))</f>
        <v>0</v>
      </c>
      <c r="CQ19" s="68">
        <f t="shared" si="8"/>
        <v>0</v>
      </c>
      <c r="CR19" s="71">
        <f t="array" ref="CR19">SUM(IF(ISERR(FIND(CR$4,$D19:$CD19)),0,1))</f>
        <v>0</v>
      </c>
      <c r="CS19" s="71">
        <f t="array" ref="CS19">SUM(IF(ISERR(FIND(CS$4,$D19:$CD19)),0,1))</f>
        <v>0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shared" si="36"/>
        <v>0</v>
      </c>
      <c r="CY19" s="71">
        <f t="shared" si="10"/>
        <v>0</v>
      </c>
      <c r="CZ19" s="71">
        <f t="shared" si="11"/>
        <v>0</v>
      </c>
      <c r="DA19" s="71">
        <f t="shared" si="12"/>
        <v>0</v>
      </c>
      <c r="DB19" s="71">
        <f t="shared" si="13"/>
        <v>0</v>
      </c>
      <c r="DC19" s="71">
        <f t="shared" si="14"/>
        <v>0</v>
      </c>
      <c r="DD19" s="71">
        <f t="shared" si="15"/>
        <v>0</v>
      </c>
      <c r="DE19" s="68">
        <f>ROUND(IF(ISERROR(CL19),0,CL19),2)*100000+CG19*100+CE19+CK19/100+ROW()/100000</f>
        <v>1.0001899999999999</v>
      </c>
      <c r="DF19" s="68">
        <f t="shared" si="16"/>
        <v>34</v>
      </c>
      <c r="DG19" s="68">
        <v>0</v>
      </c>
      <c r="DH19" s="89" t="str">
        <f>IF(CK19&gt;=50,(CZ19*4+DA19*6+DG19*5)/CK19,"")</f>
        <v/>
      </c>
      <c r="DI19" s="97" t="e">
        <f>CQ19/(CG19-CH19)</f>
        <v>#DIV/0!</v>
      </c>
    </row>
    <row r="20" spans="1:113" x14ac:dyDescent="0.15">
      <c r="B20" s="68" t="s">
        <v>29</v>
      </c>
      <c r="C20" s="68" t="s">
        <v>224</v>
      </c>
      <c r="D20" t="s">
        <v>296</v>
      </c>
      <c r="E20"/>
      <c r="F20"/>
      <c r="G20"/>
      <c r="H20"/>
      <c r="I20"/>
      <c r="J20"/>
      <c r="K20"/>
      <c r="L20"/>
      <c r="M20"/>
      <c r="N20"/>
      <c r="O20"/>
      <c r="P20" t="s">
        <v>515</v>
      </c>
      <c r="Q20" s="122"/>
      <c r="R20" t="s">
        <v>550</v>
      </c>
      <c r="S20" s="122"/>
      <c r="T20" t="s">
        <v>591</v>
      </c>
      <c r="U20" t="s">
        <v>609</v>
      </c>
      <c r="V20" t="s">
        <v>623</v>
      </c>
      <c r="W20" t="s">
        <v>637</v>
      </c>
      <c r="X20" t="s">
        <v>656</v>
      </c>
      <c r="Y20"/>
      <c r="Z20"/>
      <c r="CE20" s="68">
        <f t="shared" si="0"/>
        <v>8</v>
      </c>
      <c r="CF20" s="68">
        <f t="shared" si="33"/>
        <v>1</v>
      </c>
      <c r="CG20" s="68">
        <f t="shared" si="1"/>
        <v>7</v>
      </c>
      <c r="CH20" s="68">
        <f t="shared" si="2"/>
        <v>0</v>
      </c>
      <c r="CI20" s="68">
        <f t="shared" si="3"/>
        <v>24</v>
      </c>
      <c r="CJ20" s="72">
        <f t="shared" si="34"/>
        <v>24</v>
      </c>
      <c r="CK20" s="68">
        <f t="shared" si="5"/>
        <v>45</v>
      </c>
      <c r="CL20" s="70">
        <f t="shared" si="35"/>
        <v>6.4285714285714288</v>
      </c>
      <c r="CM20" s="68">
        <f t="shared" si="6"/>
        <v>35</v>
      </c>
      <c r="CN20" s="68">
        <f t="shared" si="7"/>
        <v>5</v>
      </c>
      <c r="CO20" s="71">
        <f t="array" ref="CO20">SUM(IF(ISERR(FIND("*",D20:CD20)),0,1))</f>
        <v>0</v>
      </c>
      <c r="CP20" s="71">
        <f t="array" ref="CP20">SUM(IF(ISERR(FIND("+",D20:CD20)),0,1))</f>
        <v>1</v>
      </c>
      <c r="CQ20" s="68">
        <f t="shared" si="8"/>
        <v>2</v>
      </c>
      <c r="CR20" s="71">
        <f t="array" ref="CR20">SUM(IF(ISERR(FIND(CR$4,$D20:$CD20)),0,1))</f>
        <v>5</v>
      </c>
      <c r="CS20" s="71">
        <f t="array" ref="CS20">SUM(IF(ISERR(FIND(CS$4,$D20:$CD20)),0,1))</f>
        <v>1</v>
      </c>
      <c r="CT20" s="71">
        <f t="array" ref="CT20">SUM(IF(ISERR(FIND(CT$4,$D20:$CD20)),0,1))</f>
        <v>1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shared" si="36"/>
        <v>0</v>
      </c>
      <c r="CY20" s="71">
        <f t="shared" si="10"/>
        <v>2</v>
      </c>
      <c r="CZ20" s="71">
        <f t="shared" si="11"/>
        <v>2</v>
      </c>
      <c r="DA20" s="71">
        <f t="shared" si="12"/>
        <v>0</v>
      </c>
      <c r="DB20" s="71">
        <f t="shared" si="13"/>
        <v>0</v>
      </c>
      <c r="DC20" s="71">
        <f t="shared" si="14"/>
        <v>1</v>
      </c>
      <c r="DD20" s="71">
        <f t="shared" si="15"/>
        <v>0</v>
      </c>
      <c r="DE20" s="68">
        <f t="shared" si="37"/>
        <v>643708.45019999996</v>
      </c>
      <c r="DF20" s="68">
        <f t="shared" si="16"/>
        <v>22</v>
      </c>
      <c r="DG20" s="68">
        <v>1</v>
      </c>
      <c r="DH20" s="89" t="str">
        <f t="shared" si="38"/>
        <v/>
      </c>
      <c r="DI20" s="97">
        <f t="shared" si="39"/>
        <v>0.2857142857142857</v>
      </c>
    </row>
    <row r="21" spans="1:113" x14ac:dyDescent="0.15">
      <c r="C21" s="122" t="s">
        <v>404</v>
      </c>
      <c r="D21"/>
      <c r="E21"/>
      <c r="F21"/>
      <c r="G21"/>
      <c r="H21"/>
      <c r="I21"/>
      <c r="J21" t="s">
        <v>405</v>
      </c>
      <c r="K21"/>
      <c r="L21"/>
      <c r="M21"/>
      <c r="N21"/>
      <c r="O21"/>
      <c r="P21"/>
      <c r="Q21" s="122"/>
      <c r="R21" s="122"/>
      <c r="S21" s="122"/>
      <c r="T21" s="122"/>
      <c r="U21"/>
      <c r="V21" s="122"/>
      <c r="X21"/>
      <c r="Y21"/>
      <c r="Z21"/>
      <c r="CE21" s="68">
        <f t="shared" ref="CE21:CE33" si="40">BatSplit(D21:CD21,MatchesPlayed)</f>
        <v>1</v>
      </c>
      <c r="CF21" s="68">
        <f t="shared" ref="CF21:CF33" si="41">CE21-CG21</f>
        <v>1</v>
      </c>
      <c r="CG21" s="68">
        <f t="shared" ref="CG21:CG33" si="42">BatSplit(D21:CD21,InnsBattedIn)</f>
        <v>0</v>
      </c>
      <c r="CH21" s="68">
        <f t="shared" ref="CH21:CH33" si="43">BatSplit(D21:CD21,NotOuts)</f>
        <v>0</v>
      </c>
      <c r="CI21" s="68">
        <f t="shared" ref="CI21:CI33" si="44">BatSplit(D21:CD21,HighestScore)</f>
        <v>0</v>
      </c>
      <c r="CJ21" s="72">
        <f t="shared" ref="CJ21:CJ33" si="45">IF(CI21&lt;0,-CI21&amp;"*",CI21)</f>
        <v>0</v>
      </c>
      <c r="CK21" s="68">
        <f t="shared" ref="CK21:CK33" si="46">BatSplit(D21:CD21,RunsScored)</f>
        <v>0</v>
      </c>
      <c r="CL21" s="70">
        <f t="shared" ref="CL21:CL33" si="47">IF(CG21=CH21,0,CK21/(CG21-CH21))</f>
        <v>0</v>
      </c>
      <c r="CM21" s="68">
        <f t="shared" ref="CM21:CM33" si="48">BatSplit(D21:CD21,BatPts)</f>
        <v>0</v>
      </c>
      <c r="CN21" s="68">
        <f t="shared" ref="CN21:CN33" si="49">BatSplit(D21:CD21,FldPts)</f>
        <v>0</v>
      </c>
      <c r="CO21" s="71">
        <f t="array" ref="CO21">SUM(IF(ISERR(FIND("*",D21:CD21)),0,1))</f>
        <v>0</v>
      </c>
      <c r="CP21" s="71">
        <f t="array" ref="CP21">SUM(IF(ISERR(FIND("+",D21:CD21)),0,1))</f>
        <v>0</v>
      </c>
      <c r="CQ21" s="68">
        <f t="shared" ref="CQ21:CQ33" si="50">BatSplit(D21:CD21,Ducks)</f>
        <v>0</v>
      </c>
      <c r="CR21" s="71">
        <f t="array" ref="CR21">SUM(IF(ISERR(FIND(CR$4,$D21:$CD21)),0,1))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shared" ref="CX21:CX33" si="51">BatSplit(D21:CD21,Fifties)</f>
        <v>0</v>
      </c>
      <c r="CY21" s="71">
        <f t="shared" ref="CY21:CY33" si="52">BatSplit(D21:CD21,Catches)</f>
        <v>0</v>
      </c>
      <c r="CZ21" s="71">
        <f t="shared" ref="CZ21:CZ33" si="53">BatSplit(D21:CD21,Fours)</f>
        <v>0</v>
      </c>
      <c r="DA21" s="71">
        <f t="shared" ref="DA21:DA33" si="54">BatSplit(D21:CD21,Sixes)</f>
        <v>0</v>
      </c>
      <c r="DB21" s="71">
        <f t="shared" ref="DB21:DB33" si="55">BatSplit(D21:CD21,Stumpings)</f>
        <v>0</v>
      </c>
      <c r="DC21" s="71">
        <f t="shared" ref="DC21:DC33" si="56">BatSplit(D21:CD21,CaughtWkt)</f>
        <v>0</v>
      </c>
      <c r="DD21" s="71">
        <f t="shared" ref="DD21:DD33" si="57">BatSplit(D21:CD21,TwentyFives)</f>
        <v>0</v>
      </c>
      <c r="DE21" s="68">
        <f t="shared" ref="DE21:DE33" si="58">ROUND(IF(ISERROR(CL21),0,CL21),2)*100000+CG21*100+CE21+CK21/100+ROW()/100000</f>
        <v>1.00021</v>
      </c>
      <c r="DF21" s="68">
        <f t="shared" si="16"/>
        <v>33</v>
      </c>
      <c r="DG21" s="68">
        <v>0</v>
      </c>
      <c r="DH21" s="89" t="str">
        <f t="shared" ref="DH21:DH33" si="59">IF(CK21&gt;=50,(CZ21*4+DA21*6+DG21*5)/CK21,"")</f>
        <v/>
      </c>
      <c r="DI21" s="97" t="e">
        <f t="shared" ref="DI21:DI33" si="60">CQ21/(CG21-CH21)</f>
        <v>#DIV/0!</v>
      </c>
    </row>
    <row r="22" spans="1:113" x14ac:dyDescent="0.15">
      <c r="B22" s="68" t="s">
        <v>215</v>
      </c>
      <c r="C22" s="68" t="s">
        <v>214</v>
      </c>
      <c r="G22" t="s">
        <v>353</v>
      </c>
      <c r="H22" t="s">
        <v>366</v>
      </c>
      <c r="I22"/>
      <c r="J22" t="s">
        <v>232</v>
      </c>
      <c r="M22" t="s">
        <v>458</v>
      </c>
      <c r="N22"/>
      <c r="O22" t="s">
        <v>497</v>
      </c>
      <c r="P22"/>
      <c r="Q22"/>
      <c r="R22" t="s">
        <v>554</v>
      </c>
      <c r="S22" t="s">
        <v>232</v>
      </c>
      <c r="T22"/>
      <c r="U22"/>
      <c r="V22"/>
      <c r="W22"/>
      <c r="X22"/>
      <c r="CE22" s="68">
        <f t="shared" si="40"/>
        <v>7</v>
      </c>
      <c r="CF22" s="68">
        <f t="shared" si="41"/>
        <v>2</v>
      </c>
      <c r="CG22" s="68">
        <f t="shared" si="42"/>
        <v>5</v>
      </c>
      <c r="CH22" s="68">
        <f t="shared" si="43"/>
        <v>2</v>
      </c>
      <c r="CI22" s="68">
        <f t="shared" si="44"/>
        <v>6</v>
      </c>
      <c r="CJ22" s="72">
        <f t="shared" si="45"/>
        <v>6</v>
      </c>
      <c r="CK22" s="68">
        <f t="shared" si="46"/>
        <v>13</v>
      </c>
      <c r="CL22" s="70">
        <f t="shared" si="47"/>
        <v>4.333333333333333</v>
      </c>
      <c r="CM22" s="68">
        <f t="shared" si="48"/>
        <v>8</v>
      </c>
      <c r="CN22" s="68">
        <f t="shared" si="49"/>
        <v>0</v>
      </c>
      <c r="CO22" s="71">
        <f t="array" ref="CO22">SUM(IF(ISERR(FIND("*",D22:CD22)),0,1))</f>
        <v>0</v>
      </c>
      <c r="CP22" s="71">
        <f t="array" ref="CP22">SUM(IF(ISERR(FIND("+",D22:CD22)),0,1))</f>
        <v>0</v>
      </c>
      <c r="CQ22" s="68">
        <f t="shared" si="50"/>
        <v>1</v>
      </c>
      <c r="CR22" s="71">
        <f t="array" ref="CR22">SUM(IF(ISERR(FIND(CR$4,$D22:$CD22)),0,1))</f>
        <v>0</v>
      </c>
      <c r="CS22" s="71">
        <f t="array" ref="CS22">SUM(IF(ISERR(FIND(CS$4,$D22:$CD22)),0,1))</f>
        <v>0</v>
      </c>
      <c r="CT22" s="71">
        <f t="array" ref="CT22">SUM(IF(ISERR(FIND(CT$4,$D22:$CD22)),0,1))</f>
        <v>2</v>
      </c>
      <c r="CU22" s="71">
        <f t="array" ref="CU22">SUM(IF(ISERR(FIND(CU$4,$D22:$CD22)),0,1))</f>
        <v>1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shared" si="51"/>
        <v>0</v>
      </c>
      <c r="CY22" s="71">
        <f t="shared" si="52"/>
        <v>0</v>
      </c>
      <c r="CZ22" s="71">
        <f t="shared" si="53"/>
        <v>2</v>
      </c>
      <c r="DA22" s="71">
        <f t="shared" si="54"/>
        <v>0</v>
      </c>
      <c r="DB22" s="71">
        <f t="shared" si="55"/>
        <v>0</v>
      </c>
      <c r="DC22" s="71">
        <f t="shared" si="56"/>
        <v>0</v>
      </c>
      <c r="DD22" s="71">
        <f t="shared" si="57"/>
        <v>0</v>
      </c>
      <c r="DE22" s="68">
        <f t="shared" si="58"/>
        <v>433507.13021999999</v>
      </c>
      <c r="DF22" s="68">
        <f t="shared" si="16"/>
        <v>25</v>
      </c>
      <c r="DG22" s="68">
        <v>0</v>
      </c>
      <c r="DH22" s="89" t="str">
        <f t="shared" si="59"/>
        <v/>
      </c>
      <c r="DI22" s="97">
        <f t="shared" si="60"/>
        <v>0.33333333333333331</v>
      </c>
    </row>
    <row r="23" spans="1:113" x14ac:dyDescent="0.15">
      <c r="A23" s="68" t="s">
        <v>47</v>
      </c>
      <c r="B23" s="68" t="s">
        <v>25</v>
      </c>
      <c r="C23" s="68" t="s">
        <v>48</v>
      </c>
      <c r="D23" s="122"/>
      <c r="E23" s="122"/>
      <c r="F23" s="122" t="s">
        <v>327</v>
      </c>
      <c r="G23" s="122" t="s">
        <v>344</v>
      </c>
      <c r="H23" s="122"/>
      <c r="I23" s="122"/>
      <c r="N23"/>
      <c r="Q23" t="s">
        <v>526</v>
      </c>
      <c r="V23"/>
      <c r="Y23"/>
      <c r="Z23"/>
      <c r="CE23" s="68">
        <f t="shared" si="40"/>
        <v>3</v>
      </c>
      <c r="CF23" s="68">
        <f t="shared" si="41"/>
        <v>0</v>
      </c>
      <c r="CG23" s="68">
        <f t="shared" si="42"/>
        <v>3</v>
      </c>
      <c r="CH23" s="68">
        <f t="shared" si="43"/>
        <v>0</v>
      </c>
      <c r="CI23" s="68">
        <f t="shared" si="44"/>
        <v>65</v>
      </c>
      <c r="CJ23" s="72">
        <f t="shared" si="45"/>
        <v>65</v>
      </c>
      <c r="CK23" s="68">
        <f t="shared" si="46"/>
        <v>102</v>
      </c>
      <c r="CL23" s="70">
        <f t="shared" si="47"/>
        <v>34</v>
      </c>
      <c r="CM23" s="68">
        <f t="shared" si="48"/>
        <v>107</v>
      </c>
      <c r="CN23" s="68">
        <f t="shared" si="49"/>
        <v>0</v>
      </c>
      <c r="CO23" s="71">
        <f t="array" ref="CO23">SUM(IF(ISERR(FIND("*",D23:CD23)),0,1))</f>
        <v>0</v>
      </c>
      <c r="CP23" s="71">
        <f t="array" ref="CP23">SUM(IF(ISERR(FIND("+",D23:CD23)),0,1))</f>
        <v>0</v>
      </c>
      <c r="CQ23" s="68">
        <f t="shared" si="50"/>
        <v>1</v>
      </c>
      <c r="CR23" s="71">
        <f t="array" ref="CR23">SUM(IF(ISERR(FIND(CR$4,$D23:$CD23)),0,1))</f>
        <v>2</v>
      </c>
      <c r="CS23" s="71">
        <f t="array" ref="CS23">SUM(IF(ISERR(FIND(CS$4,$D23:$CD23)),0,1))</f>
        <v>0</v>
      </c>
      <c r="CT23" s="71">
        <f t="array" ref="CT23">SUM(IF(ISERR(FIND(CT$4,$D23:$CD23)),0,1))</f>
        <v>0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shared" si="51"/>
        <v>1</v>
      </c>
      <c r="CY23" s="71">
        <f t="shared" si="52"/>
        <v>0</v>
      </c>
      <c r="CZ23" s="71">
        <f t="shared" si="53"/>
        <v>17</v>
      </c>
      <c r="DA23" s="71">
        <f t="shared" si="54"/>
        <v>0</v>
      </c>
      <c r="DB23" s="71">
        <f t="shared" si="55"/>
        <v>0</v>
      </c>
      <c r="DC23" s="71">
        <f t="shared" si="56"/>
        <v>0</v>
      </c>
      <c r="DD23" s="71">
        <f t="shared" si="57"/>
        <v>2</v>
      </c>
      <c r="DE23" s="68">
        <f t="shared" si="58"/>
        <v>3400304.0202299999</v>
      </c>
      <c r="DF23" s="68">
        <f t="shared" si="16"/>
        <v>7</v>
      </c>
      <c r="DG23" s="68">
        <v>0</v>
      </c>
      <c r="DH23" s="89">
        <f t="shared" si="59"/>
        <v>0.66666666666666663</v>
      </c>
      <c r="DI23" s="97">
        <f t="shared" si="60"/>
        <v>0.33333333333333331</v>
      </c>
    </row>
    <row r="24" spans="1:113" x14ac:dyDescent="0.15">
      <c r="A24" s="68" t="s">
        <v>187</v>
      </c>
      <c r="B24" s="68" t="s">
        <v>181</v>
      </c>
      <c r="C24" s="68" t="s">
        <v>182</v>
      </c>
      <c r="D24"/>
      <c r="E24"/>
      <c r="F24"/>
      <c r="G24"/>
      <c r="H24" t="s">
        <v>373</v>
      </c>
      <c r="I24" s="122"/>
      <c r="J24" s="122"/>
      <c r="K24" s="122"/>
      <c r="L24" s="122"/>
      <c r="Q24" t="s">
        <v>535</v>
      </c>
      <c r="R24"/>
      <c r="S24"/>
      <c r="T24"/>
      <c r="U24"/>
      <c r="V24"/>
      <c r="W24"/>
      <c r="Y24"/>
      <c r="CE24" s="68">
        <f t="shared" si="40"/>
        <v>2</v>
      </c>
      <c r="CF24" s="68">
        <f t="shared" si="41"/>
        <v>0</v>
      </c>
      <c r="CG24" s="68">
        <f t="shared" si="42"/>
        <v>2</v>
      </c>
      <c r="CH24" s="68">
        <f t="shared" si="43"/>
        <v>0</v>
      </c>
      <c r="CI24" s="68">
        <f t="shared" si="44"/>
        <v>2</v>
      </c>
      <c r="CJ24" s="72">
        <f t="shared" si="45"/>
        <v>2</v>
      </c>
      <c r="CK24" s="68">
        <f t="shared" si="46"/>
        <v>3</v>
      </c>
      <c r="CL24" s="70">
        <f t="shared" si="47"/>
        <v>1.5</v>
      </c>
      <c r="CM24" s="68">
        <f t="shared" si="48"/>
        <v>3</v>
      </c>
      <c r="CN24" s="68">
        <f t="shared" si="49"/>
        <v>0</v>
      </c>
      <c r="CO24" s="71">
        <f t="array" ref="CO24">SUM(IF(ISERR(FIND("*",D24:CD24)),0,1))</f>
        <v>0</v>
      </c>
      <c r="CP24" s="71">
        <f t="array" ref="CP24">SUM(IF(ISERR(FIND("+",D24:CD24)),0,1))</f>
        <v>2</v>
      </c>
      <c r="CQ24" s="68">
        <f t="shared" si="50"/>
        <v>0</v>
      </c>
      <c r="CR24" s="71">
        <f t="array" ref="CR24">SUM(IF(ISERR(FIND(CR$4,$D24:$CD24)),0,1))</f>
        <v>0</v>
      </c>
      <c r="CS24" s="71">
        <f t="array" ref="CS24">SUM(IF(ISERR(FIND(CS$4,$D24:$CD24)),0,1))</f>
        <v>1</v>
      </c>
      <c r="CT24" s="71">
        <f t="array" ref="CT24">SUM(IF(ISERR(FIND(CT$4,$D24:$CD24)),0,1))</f>
        <v>1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shared" si="51"/>
        <v>0</v>
      </c>
      <c r="CY24" s="71">
        <f t="shared" si="52"/>
        <v>1</v>
      </c>
      <c r="CZ24" s="71">
        <f t="shared" si="53"/>
        <v>0</v>
      </c>
      <c r="DA24" s="71">
        <f t="shared" si="54"/>
        <v>0</v>
      </c>
      <c r="DB24" s="71">
        <f t="shared" si="55"/>
        <v>0</v>
      </c>
      <c r="DC24" s="71">
        <f t="shared" si="56"/>
        <v>1</v>
      </c>
      <c r="DD24" s="71">
        <f t="shared" si="57"/>
        <v>0</v>
      </c>
      <c r="DE24" s="68">
        <f t="shared" si="58"/>
        <v>150202.03023999999</v>
      </c>
      <c r="DF24" s="68">
        <f t="shared" si="16"/>
        <v>29</v>
      </c>
      <c r="DG24" s="68">
        <v>0</v>
      </c>
      <c r="DH24" s="89" t="str">
        <f t="shared" si="59"/>
        <v/>
      </c>
      <c r="DI24" s="97">
        <f t="shared" si="60"/>
        <v>0</v>
      </c>
    </row>
    <row r="25" spans="1:113" x14ac:dyDescent="0.15">
      <c r="B25" s="122" t="s">
        <v>29</v>
      </c>
      <c r="C25" t="s">
        <v>261</v>
      </c>
      <c r="D25" s="122"/>
      <c r="L25"/>
      <c r="O25"/>
      <c r="P25"/>
      <c r="Q25"/>
      <c r="S25"/>
      <c r="T25"/>
      <c r="U25"/>
      <c r="V25"/>
      <c r="X25" s="122"/>
      <c r="CE25" s="68">
        <f t="shared" si="40"/>
        <v>0</v>
      </c>
      <c r="CF25" s="68">
        <f t="shared" si="41"/>
        <v>0</v>
      </c>
      <c r="CG25" s="68">
        <f t="shared" si="42"/>
        <v>0</v>
      </c>
      <c r="CH25" s="68">
        <f t="shared" si="43"/>
        <v>0</v>
      </c>
      <c r="CI25" s="68">
        <f t="shared" si="44"/>
        <v>0</v>
      </c>
      <c r="CJ25" s="72">
        <f t="shared" si="45"/>
        <v>0</v>
      </c>
      <c r="CK25" s="68">
        <f t="shared" si="46"/>
        <v>0</v>
      </c>
      <c r="CL25" s="70">
        <f t="shared" si="47"/>
        <v>0</v>
      </c>
      <c r="CM25" s="68">
        <f t="shared" si="48"/>
        <v>0</v>
      </c>
      <c r="CN25" s="68">
        <f t="shared" si="49"/>
        <v>0</v>
      </c>
      <c r="CO25" s="71">
        <f t="array" ref="CO25">SUM(IF(ISERR(FIND("*",D25:CD25)),0,1))</f>
        <v>0</v>
      </c>
      <c r="CP25" s="71">
        <f t="array" ref="CP25">SUM(IF(ISERR(FIND("+",D25:CD25)),0,1))</f>
        <v>0</v>
      </c>
      <c r="CQ25" s="68">
        <f t="shared" si="50"/>
        <v>0</v>
      </c>
      <c r="CR25" s="71">
        <f t="array" ref="CR25">SUM(IF(ISERR(FIND(CR$4,$D25:$CD25)),0,1))</f>
        <v>0</v>
      </c>
      <c r="CS25" s="71">
        <f t="array" ref="CS25">SUM(IF(ISERR(FIND(CS$4,$D25:$CD25)),0,1))</f>
        <v>0</v>
      </c>
      <c r="CT25" s="71">
        <f t="array" ref="CT25">SUM(IF(ISERR(FIND(CT$4,$D25:$CD25)),0,1))</f>
        <v>0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shared" si="51"/>
        <v>0</v>
      </c>
      <c r="CY25" s="71">
        <f t="shared" si="52"/>
        <v>0</v>
      </c>
      <c r="CZ25" s="71">
        <f t="shared" si="53"/>
        <v>0</v>
      </c>
      <c r="DA25" s="71">
        <f t="shared" si="54"/>
        <v>0</v>
      </c>
      <c r="DB25" s="71">
        <f t="shared" si="55"/>
        <v>0</v>
      </c>
      <c r="DC25" s="71">
        <f t="shared" si="56"/>
        <v>0</v>
      </c>
      <c r="DD25" s="71">
        <f t="shared" si="57"/>
        <v>0</v>
      </c>
      <c r="DE25" s="68">
        <f t="shared" si="58"/>
        <v>2.5000000000000001E-4</v>
      </c>
      <c r="DF25" s="68">
        <f t="shared" si="16"/>
        <v>38</v>
      </c>
      <c r="DG25" s="68">
        <v>0</v>
      </c>
      <c r="DH25" s="89" t="str">
        <f t="shared" si="59"/>
        <v/>
      </c>
      <c r="DI25" s="97" t="e">
        <f t="shared" si="60"/>
        <v>#DIV/0!</v>
      </c>
    </row>
    <row r="26" spans="1:113" x14ac:dyDescent="0.15">
      <c r="B26" s="122" t="s">
        <v>29</v>
      </c>
      <c r="C26" t="s">
        <v>372</v>
      </c>
      <c r="D26" s="122"/>
      <c r="H26" t="s">
        <v>274</v>
      </c>
      <c r="L26"/>
      <c r="O26"/>
      <c r="P26"/>
      <c r="Q26" t="s">
        <v>533</v>
      </c>
      <c r="S26"/>
      <c r="T26" t="s">
        <v>555</v>
      </c>
      <c r="U26"/>
      <c r="V26"/>
      <c r="X26" s="122"/>
      <c r="CE26" s="68">
        <f t="shared" si="40"/>
        <v>3</v>
      </c>
      <c r="CF26" s="68">
        <f t="shared" si="41"/>
        <v>1</v>
      </c>
      <c r="CG26" s="68">
        <f t="shared" si="42"/>
        <v>2</v>
      </c>
      <c r="CH26" s="68">
        <f t="shared" si="43"/>
        <v>0</v>
      </c>
      <c r="CI26" s="68">
        <f t="shared" si="44"/>
        <v>4</v>
      </c>
      <c r="CJ26" s="72">
        <f t="shared" si="45"/>
        <v>4</v>
      </c>
      <c r="CK26" s="68">
        <f t="shared" si="46"/>
        <v>4</v>
      </c>
      <c r="CL26" s="70">
        <f t="shared" si="47"/>
        <v>2</v>
      </c>
      <c r="CM26" s="68">
        <f t="shared" si="48"/>
        <v>-1</v>
      </c>
      <c r="CN26" s="68">
        <f t="shared" si="49"/>
        <v>0</v>
      </c>
      <c r="CO26" s="71">
        <f t="array" ref="CO26">SUM(IF(ISERR(FIND("*",D26:CD26)),0,1))</f>
        <v>0</v>
      </c>
      <c r="CP26" s="71">
        <f t="array" ref="CP26">SUM(IF(ISERR(FIND("+",D26:CD26)),0,1))</f>
        <v>0</v>
      </c>
      <c r="CQ26" s="68">
        <f t="shared" si="50"/>
        <v>1</v>
      </c>
      <c r="CR26" s="71">
        <f t="array" ref="CR26">SUM(IF(ISERR(FIND(CR$4,$D26:$CD26)),0,1))</f>
        <v>1</v>
      </c>
      <c r="CS26" s="71">
        <f t="array" ref="CS26">SUM(IF(ISERR(FIND(CS$4,$D26:$CD26)),0,1))</f>
        <v>1</v>
      </c>
      <c r="CT26" s="71">
        <f t="array" ref="CT26">SUM(IF(ISERR(FIND(CT$4,$D26:$CD26)),0,1))</f>
        <v>0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shared" si="51"/>
        <v>0</v>
      </c>
      <c r="CY26" s="71">
        <f t="shared" si="52"/>
        <v>0</v>
      </c>
      <c r="CZ26" s="71">
        <f t="shared" si="53"/>
        <v>1</v>
      </c>
      <c r="DA26" s="71">
        <f t="shared" si="54"/>
        <v>0</v>
      </c>
      <c r="DB26" s="71">
        <f t="shared" si="55"/>
        <v>0</v>
      </c>
      <c r="DC26" s="71">
        <f t="shared" si="56"/>
        <v>0</v>
      </c>
      <c r="DD26" s="71">
        <f t="shared" si="57"/>
        <v>0</v>
      </c>
      <c r="DE26" s="68">
        <f t="shared" si="58"/>
        <v>200203.04026000001</v>
      </c>
      <c r="DF26" s="68">
        <f t="shared" si="16"/>
        <v>27</v>
      </c>
      <c r="DG26" s="68">
        <v>0</v>
      </c>
      <c r="DH26" s="89" t="str">
        <f t="shared" si="59"/>
        <v/>
      </c>
      <c r="DI26" s="97">
        <f t="shared" si="60"/>
        <v>0.5</v>
      </c>
    </row>
    <row r="27" spans="1:113" x14ac:dyDescent="0.15">
      <c r="B27" s="68" t="s">
        <v>31</v>
      </c>
      <c r="C27" s="68" t="s">
        <v>240</v>
      </c>
      <c r="D27" t="s">
        <v>295</v>
      </c>
      <c r="E27" t="s">
        <v>309</v>
      </c>
      <c r="F27" t="s">
        <v>332</v>
      </c>
      <c r="G27" t="s">
        <v>350</v>
      </c>
      <c r="H27"/>
      <c r="I27" t="s">
        <v>387</v>
      </c>
      <c r="J27" s="122"/>
      <c r="K27" s="122"/>
      <c r="L27" t="s">
        <v>438</v>
      </c>
      <c r="M27" t="s">
        <v>453</v>
      </c>
      <c r="N27" t="s">
        <v>473</v>
      </c>
      <c r="O27" t="s">
        <v>492</v>
      </c>
      <c r="P27" t="s">
        <v>512</v>
      </c>
      <c r="Q27"/>
      <c r="R27"/>
      <c r="S27" t="s">
        <v>570</v>
      </c>
      <c r="T27" t="s">
        <v>589</v>
      </c>
      <c r="U27" t="s">
        <v>605</v>
      </c>
      <c r="V27" t="s">
        <v>622</v>
      </c>
      <c r="W27" t="s">
        <v>636</v>
      </c>
      <c r="X27" t="s">
        <v>657</v>
      </c>
      <c r="Y27"/>
      <c r="Z27"/>
      <c r="CE27" s="68">
        <f t="shared" si="40"/>
        <v>16</v>
      </c>
      <c r="CF27" s="68">
        <f t="shared" si="41"/>
        <v>1</v>
      </c>
      <c r="CG27" s="68">
        <f t="shared" si="42"/>
        <v>15</v>
      </c>
      <c r="CH27" s="68">
        <f t="shared" si="43"/>
        <v>6</v>
      </c>
      <c r="CI27" s="68">
        <f t="shared" si="44"/>
        <v>-100</v>
      </c>
      <c r="CJ27" s="72" t="str">
        <f t="shared" si="45"/>
        <v>100*</v>
      </c>
      <c r="CK27" s="68">
        <f t="shared" si="46"/>
        <v>545</v>
      </c>
      <c r="CL27" s="70">
        <f t="shared" si="47"/>
        <v>60.555555555555557</v>
      </c>
      <c r="CM27" s="68">
        <f t="shared" si="48"/>
        <v>580</v>
      </c>
      <c r="CN27" s="68">
        <f t="shared" si="49"/>
        <v>20</v>
      </c>
      <c r="CO27" s="71">
        <f t="array" ref="CO27">SUM(IF(ISERR(FIND("*",D27:CD27)),0,1))</f>
        <v>0</v>
      </c>
      <c r="CP27" s="71">
        <f t="array" ref="CP27">SUM(IF(ISERR(FIND("+",D27:CD27)),0,1))</f>
        <v>0</v>
      </c>
      <c r="CQ27" s="68">
        <f t="shared" si="50"/>
        <v>1</v>
      </c>
      <c r="CR27" s="71">
        <f t="array" ref="CR27">SUM(IF(ISERR(FIND(CR$4,$D27:$CD27)),0,1))</f>
        <v>2</v>
      </c>
      <c r="CS27" s="71">
        <f t="array" ref="CS27">SUM(IF(ISERR(FIND(CS$4,$D27:$CD27)),0,1))</f>
        <v>1</v>
      </c>
      <c r="CT27" s="71">
        <f t="array" ref="CT27">SUM(IF(ISERR(FIND(CT$4,$D27:$CD27)),0,1))</f>
        <v>4</v>
      </c>
      <c r="CU27" s="71">
        <f t="array" ref="CU27">SUM(IF(ISERR(FIND(CU$4,$D27:$CD27)),0,1))</f>
        <v>1</v>
      </c>
      <c r="CV27" s="71">
        <f t="array" ref="CV27">SUM(IF(ISERR(FIND(CV$4,$D27:$CD27)),0,1))</f>
        <v>1</v>
      </c>
      <c r="CW27" s="71">
        <f t="array" ref="CW27">SUM(IF(ISERR(FIND(CW$4,$D27:$CD27)),0,1))</f>
        <v>0</v>
      </c>
      <c r="CX27" s="71">
        <f t="shared" si="51"/>
        <v>4</v>
      </c>
      <c r="CY27" s="71">
        <f t="shared" si="52"/>
        <v>4</v>
      </c>
      <c r="CZ27" s="71">
        <f t="shared" si="53"/>
        <v>57</v>
      </c>
      <c r="DA27" s="71">
        <f t="shared" si="54"/>
        <v>21</v>
      </c>
      <c r="DB27" s="71">
        <f t="shared" si="55"/>
        <v>0</v>
      </c>
      <c r="DC27" s="71">
        <f t="shared" si="56"/>
        <v>0</v>
      </c>
      <c r="DD27" s="71">
        <f t="shared" si="57"/>
        <v>9</v>
      </c>
      <c r="DE27" s="68">
        <f t="shared" si="58"/>
        <v>6057521.4502699999</v>
      </c>
      <c r="DF27" s="68">
        <f t="shared" si="16"/>
        <v>2</v>
      </c>
      <c r="DG27" s="68">
        <v>0</v>
      </c>
      <c r="DH27" s="89">
        <f t="shared" si="59"/>
        <v>0.64954128440366976</v>
      </c>
      <c r="DI27" s="97">
        <f t="shared" si="60"/>
        <v>0.1111111111111111</v>
      </c>
    </row>
    <row r="28" spans="1:113" x14ac:dyDescent="0.15">
      <c r="B28" t="s">
        <v>247</v>
      </c>
      <c r="C28" t="s">
        <v>248</v>
      </c>
      <c r="D28" t="s">
        <v>231</v>
      </c>
      <c r="E28"/>
      <c r="F28"/>
      <c r="G28"/>
      <c r="H28"/>
      <c r="I28" t="s">
        <v>384</v>
      </c>
      <c r="J28" t="s">
        <v>400</v>
      </c>
      <c r="K28" t="s">
        <v>418</v>
      </c>
      <c r="L28" t="s">
        <v>231</v>
      </c>
      <c r="M28" t="s">
        <v>455</v>
      </c>
      <c r="N28" t="s">
        <v>476</v>
      </c>
      <c r="O28" t="s">
        <v>496</v>
      </c>
      <c r="P28" t="s">
        <v>510</v>
      </c>
      <c r="Q28" t="s">
        <v>532</v>
      </c>
      <c r="R28" t="s">
        <v>546</v>
      </c>
      <c r="S28" t="s">
        <v>568</v>
      </c>
      <c r="T28" t="s">
        <v>610</v>
      </c>
      <c r="U28"/>
      <c r="V28" t="s">
        <v>624</v>
      </c>
      <c r="W28" t="s">
        <v>634</v>
      </c>
      <c r="X28" t="s">
        <v>653</v>
      </c>
      <c r="CE28" s="68">
        <f t="shared" si="40"/>
        <v>16</v>
      </c>
      <c r="CF28" s="68">
        <f t="shared" si="41"/>
        <v>2</v>
      </c>
      <c r="CG28" s="68">
        <f t="shared" si="42"/>
        <v>14</v>
      </c>
      <c r="CH28" s="68">
        <f t="shared" si="43"/>
        <v>2</v>
      </c>
      <c r="CI28" s="68">
        <f t="shared" si="44"/>
        <v>98</v>
      </c>
      <c r="CJ28" s="72">
        <f t="shared" si="45"/>
        <v>98</v>
      </c>
      <c r="CK28" s="68">
        <f t="shared" si="46"/>
        <v>408</v>
      </c>
      <c r="CL28" s="70">
        <f t="shared" si="47"/>
        <v>34</v>
      </c>
      <c r="CM28" s="68">
        <f t="shared" si="48"/>
        <v>438</v>
      </c>
      <c r="CN28" s="68">
        <f t="shared" si="49"/>
        <v>20</v>
      </c>
      <c r="CO28" s="71">
        <f t="array" ref="CO28">SUM(IF(ISERR(FIND("*",D28:CD28)),0,1))</f>
        <v>0</v>
      </c>
      <c r="CP28" s="71">
        <f t="array" ref="CP28">SUM(IF(ISERR(FIND("+",D28:CD28)),0,1))</f>
        <v>0</v>
      </c>
      <c r="CQ28" s="68">
        <f t="shared" si="50"/>
        <v>0</v>
      </c>
      <c r="CR28" s="71">
        <f t="array" ref="CR28">SUM(IF(ISERR(FIND(CR$4,$D28:$CD28)),0,1))</f>
        <v>3</v>
      </c>
      <c r="CS28" s="71">
        <f t="array" ref="CS28">SUM(IF(ISERR(FIND(CS$4,$D28:$CD28)),0,1))</f>
        <v>7</v>
      </c>
      <c r="CT28" s="71">
        <f t="array" ref="CT28">SUM(IF(ISERR(FIND(CT$4,$D28:$CD28)),0,1))</f>
        <v>1</v>
      </c>
      <c r="CU28" s="71">
        <f t="array" ref="CU28">SUM(IF(ISERR(FIND(CU$4,$D28:$CD28)),0,1))</f>
        <v>0</v>
      </c>
      <c r="CV28" s="71">
        <f t="array" ref="CV28">SUM(IF(ISERR(FIND(CV$4,$D28:$CD28)),0,1))</f>
        <v>1</v>
      </c>
      <c r="CW28" s="71">
        <f t="array" ref="CW28">SUM(IF(ISERR(FIND(CW$4,$D28:$CD28)),0,1))</f>
        <v>0</v>
      </c>
      <c r="CX28" s="71">
        <f t="shared" si="51"/>
        <v>3</v>
      </c>
      <c r="CY28" s="71">
        <f t="shared" si="52"/>
        <v>4</v>
      </c>
      <c r="CZ28" s="71">
        <f t="shared" si="53"/>
        <v>52</v>
      </c>
      <c r="DA28" s="71">
        <f t="shared" si="54"/>
        <v>4</v>
      </c>
      <c r="DB28" s="71">
        <f t="shared" si="55"/>
        <v>0</v>
      </c>
      <c r="DC28" s="71">
        <f t="shared" si="56"/>
        <v>0</v>
      </c>
      <c r="DD28" s="71">
        <f t="shared" si="57"/>
        <v>5</v>
      </c>
      <c r="DE28" s="68">
        <f t="shared" si="58"/>
        <v>3401420.0802799999</v>
      </c>
      <c r="DF28" s="68">
        <f t="shared" si="16"/>
        <v>6</v>
      </c>
      <c r="DG28" s="68">
        <v>0</v>
      </c>
      <c r="DH28" s="89">
        <f t="shared" si="59"/>
        <v>0.56862745098039214</v>
      </c>
      <c r="DI28" s="97">
        <f t="shared" si="60"/>
        <v>0</v>
      </c>
    </row>
    <row r="29" spans="1:113" x14ac:dyDescent="0.15">
      <c r="B29" t="s">
        <v>368</v>
      </c>
      <c r="C29" t="s">
        <v>369</v>
      </c>
      <c r="D29"/>
      <c r="E29"/>
      <c r="F29"/>
      <c r="G29"/>
      <c r="H29" t="s">
        <v>370</v>
      </c>
      <c r="I29"/>
      <c r="K29" s="122"/>
      <c r="L29" s="122"/>
      <c r="M29" s="122"/>
      <c r="N29" s="122"/>
      <c r="O29" s="122"/>
      <c r="P29" s="122"/>
      <c r="R29" s="122"/>
      <c r="S29"/>
      <c r="T29"/>
      <c r="U29"/>
      <c r="V29"/>
      <c r="W29"/>
      <c r="CE29" s="68">
        <f t="shared" si="40"/>
        <v>1</v>
      </c>
      <c r="CF29" s="68">
        <f t="shared" si="41"/>
        <v>0</v>
      </c>
      <c r="CG29" s="68">
        <f t="shared" si="42"/>
        <v>1</v>
      </c>
      <c r="CH29" s="68">
        <f t="shared" si="43"/>
        <v>0</v>
      </c>
      <c r="CI29" s="68">
        <f t="shared" si="44"/>
        <v>12</v>
      </c>
      <c r="CJ29" s="72">
        <f t="shared" si="45"/>
        <v>12</v>
      </c>
      <c r="CK29" s="68">
        <f t="shared" si="46"/>
        <v>12</v>
      </c>
      <c r="CL29" s="70">
        <f t="shared" si="47"/>
        <v>12</v>
      </c>
      <c r="CM29" s="68">
        <f t="shared" si="48"/>
        <v>12</v>
      </c>
      <c r="CN29" s="68">
        <f t="shared" si="49"/>
        <v>0</v>
      </c>
      <c r="CO29" s="71">
        <f t="array" ref="CO29">SUM(IF(ISERR(FIND("*",D29:CD29)),0,1))</f>
        <v>0</v>
      </c>
      <c r="CP29" s="71">
        <f t="array" ref="CP29">SUM(IF(ISERR(FIND("+",D29:CD29)),0,1))</f>
        <v>0</v>
      </c>
      <c r="CQ29" s="68">
        <f t="shared" si="50"/>
        <v>0</v>
      </c>
      <c r="CR29" s="71">
        <f t="array" ref="CR29">SUM(IF(ISERR(FIND(CR$4,$D29:$CD29)),0,1))</f>
        <v>1</v>
      </c>
      <c r="CS29" s="71">
        <f t="array" ref="CS29">SUM(IF(ISERR(FIND(CS$4,$D29:$CD29)),0,1))</f>
        <v>0</v>
      </c>
      <c r="CT29" s="71">
        <f t="array" ref="CT29">SUM(IF(ISERR(FIND(CT$4,$D29:$CD29)),0,1))</f>
        <v>0</v>
      </c>
      <c r="CU29" s="71">
        <f t="array" ref="CU29">SUM(IF(ISERR(FIND(CU$4,$D29:$CD29)),0,1))</f>
        <v>0</v>
      </c>
      <c r="CV29" s="71">
        <f t="array" ref="CV29">SUM(IF(ISERR(FIND(CV$4,$D29:$CD29)),0,1))</f>
        <v>0</v>
      </c>
      <c r="CW29" s="71">
        <f t="array" ref="CW29">SUM(IF(ISERR(FIND(CW$4,$D29:$CD29)),0,1))</f>
        <v>0</v>
      </c>
      <c r="CX29" s="71">
        <f t="shared" si="51"/>
        <v>0</v>
      </c>
      <c r="CY29" s="71">
        <f t="shared" si="52"/>
        <v>0</v>
      </c>
      <c r="CZ29" s="71">
        <f t="shared" si="53"/>
        <v>2</v>
      </c>
      <c r="DA29" s="71">
        <f t="shared" si="54"/>
        <v>0</v>
      </c>
      <c r="DB29" s="71">
        <f t="shared" si="55"/>
        <v>0</v>
      </c>
      <c r="DC29" s="71">
        <f t="shared" si="56"/>
        <v>0</v>
      </c>
      <c r="DD29" s="71">
        <f t="shared" si="57"/>
        <v>0</v>
      </c>
      <c r="DE29" s="68">
        <f t="shared" si="58"/>
        <v>1200101.1202900002</v>
      </c>
      <c r="DF29" s="68">
        <f t="shared" si="16"/>
        <v>15</v>
      </c>
      <c r="DG29" s="68">
        <v>0</v>
      </c>
      <c r="DH29" s="89" t="str">
        <f t="shared" si="59"/>
        <v/>
      </c>
      <c r="DI29" s="97">
        <f t="shared" si="60"/>
        <v>0</v>
      </c>
    </row>
    <row r="30" spans="1:113" x14ac:dyDescent="0.15">
      <c r="B30"/>
      <c r="C30" t="s">
        <v>490</v>
      </c>
      <c r="D30"/>
      <c r="E30"/>
      <c r="F30"/>
      <c r="G30"/>
      <c r="H30"/>
      <c r="I30"/>
      <c r="K30" t="s">
        <v>349</v>
      </c>
      <c r="L30" s="122"/>
      <c r="M30" s="122"/>
      <c r="N30" s="122"/>
      <c r="O30" t="s">
        <v>491</v>
      </c>
      <c r="P30" s="122"/>
      <c r="R30" s="122"/>
      <c r="S30"/>
      <c r="T30"/>
      <c r="U30"/>
      <c r="V30"/>
      <c r="W30"/>
      <c r="CE30" s="68">
        <f t="shared" si="40"/>
        <v>2</v>
      </c>
      <c r="CF30" s="68">
        <f t="shared" si="41"/>
        <v>0</v>
      </c>
      <c r="CG30" s="68">
        <f t="shared" si="42"/>
        <v>2</v>
      </c>
      <c r="CH30" s="68">
        <f t="shared" si="43"/>
        <v>0</v>
      </c>
      <c r="CI30" s="68">
        <f t="shared" si="44"/>
        <v>6</v>
      </c>
      <c r="CJ30" s="72">
        <f t="shared" si="45"/>
        <v>6</v>
      </c>
      <c r="CK30" s="68">
        <f t="shared" si="46"/>
        <v>6</v>
      </c>
      <c r="CL30" s="70">
        <f t="shared" si="47"/>
        <v>3</v>
      </c>
      <c r="CM30" s="68">
        <f t="shared" si="48"/>
        <v>1</v>
      </c>
      <c r="CN30" s="68">
        <f t="shared" si="49"/>
        <v>0</v>
      </c>
      <c r="CO30" s="71">
        <f t="array" ref="CO30">SUM(IF(ISERR(FIND("*",D30:CD30)),0,1))</f>
        <v>0</v>
      </c>
      <c r="CP30" s="71">
        <f t="array" ref="CP30">SUM(IF(ISERR(FIND("+",D30:CD30)),0,1))</f>
        <v>0</v>
      </c>
      <c r="CQ30" s="68">
        <f t="shared" si="50"/>
        <v>1</v>
      </c>
      <c r="CR30" s="71">
        <f t="array" ref="CR30">SUM(IF(ISERR(FIND(CR$4,$D30:$CD30)),0,1))</f>
        <v>0</v>
      </c>
      <c r="CS30" s="71">
        <f t="array" ref="CS30">SUM(IF(ISERR(FIND(CS$4,$D30:$CD30)),0,1))</f>
        <v>1</v>
      </c>
      <c r="CT30" s="71">
        <f t="array" ref="CT30">SUM(IF(ISERR(FIND(CT$4,$D30:$CD30)),0,1))</f>
        <v>1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shared" si="51"/>
        <v>0</v>
      </c>
      <c r="CY30" s="71">
        <f t="shared" si="52"/>
        <v>0</v>
      </c>
      <c r="CZ30" s="71">
        <f t="shared" si="53"/>
        <v>0</v>
      </c>
      <c r="DA30" s="71">
        <f t="shared" si="54"/>
        <v>0</v>
      </c>
      <c r="DB30" s="71">
        <f t="shared" si="55"/>
        <v>0</v>
      </c>
      <c r="DC30" s="71">
        <f t="shared" si="56"/>
        <v>0</v>
      </c>
      <c r="DD30" s="71">
        <f t="shared" si="57"/>
        <v>0</v>
      </c>
      <c r="DE30" s="68">
        <f t="shared" si="58"/>
        <v>300202.06030000001</v>
      </c>
      <c r="DF30" s="68">
        <f t="shared" si="16"/>
        <v>26</v>
      </c>
      <c r="DG30" s="68">
        <v>0</v>
      </c>
      <c r="DH30" s="89" t="str">
        <f t="shared" si="59"/>
        <v/>
      </c>
      <c r="DI30" s="97">
        <f t="shared" si="60"/>
        <v>0.5</v>
      </c>
    </row>
    <row r="31" spans="1:113" x14ac:dyDescent="0.15">
      <c r="B31" t="s">
        <v>273</v>
      </c>
      <c r="C31" t="s">
        <v>272</v>
      </c>
      <c r="D31"/>
      <c r="E31"/>
      <c r="F31"/>
      <c r="G31"/>
      <c r="H31"/>
      <c r="I31"/>
      <c r="K31" s="122"/>
      <c r="L31" s="122"/>
      <c r="M31" s="122"/>
      <c r="N31" s="122"/>
      <c r="O31" s="122"/>
      <c r="P31" s="122"/>
      <c r="R31"/>
      <c r="S31"/>
      <c r="T31"/>
      <c r="V31" t="s">
        <v>621</v>
      </c>
      <c r="W31"/>
      <c r="X31" t="s">
        <v>652</v>
      </c>
      <c r="Y31"/>
      <c r="Z31"/>
      <c r="CE31" s="68">
        <f t="shared" si="40"/>
        <v>2</v>
      </c>
      <c r="CF31" s="68">
        <f t="shared" si="41"/>
        <v>0</v>
      </c>
      <c r="CG31" s="68">
        <f t="shared" si="42"/>
        <v>2</v>
      </c>
      <c r="CH31" s="68">
        <f t="shared" si="43"/>
        <v>1</v>
      </c>
      <c r="CI31" s="68">
        <f t="shared" si="44"/>
        <v>-131</v>
      </c>
      <c r="CJ31" s="72" t="str">
        <f t="shared" si="45"/>
        <v>131*</v>
      </c>
      <c r="CK31" s="68">
        <f t="shared" si="46"/>
        <v>171</v>
      </c>
      <c r="CL31" s="70">
        <f t="shared" si="47"/>
        <v>171</v>
      </c>
      <c r="CM31" s="68">
        <f t="shared" si="48"/>
        <v>181</v>
      </c>
      <c r="CN31" s="68">
        <f t="shared" si="49"/>
        <v>0</v>
      </c>
      <c r="CO31" s="71">
        <f t="array" ref="CO31">SUM(IF(ISERR(FIND("*",D31:CD31)),0,1))</f>
        <v>0</v>
      </c>
      <c r="CP31" s="71">
        <f t="array" ref="CP31">SUM(IF(ISERR(FIND("+",D31:CD31)),0,1))</f>
        <v>2</v>
      </c>
      <c r="CQ31" s="68">
        <f t="shared" si="50"/>
        <v>0</v>
      </c>
      <c r="CR31" s="71">
        <f t="array" ref="CR31">SUM(IF(ISERR(FIND(CR$4,$D31:$CD31)),0,1))</f>
        <v>1</v>
      </c>
      <c r="CS31" s="71">
        <f t="array" ref="CS31">SUM(IF(ISERR(FIND(CS$4,$D31:$CD31)),0,1))</f>
        <v>0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0</v>
      </c>
      <c r="CW31" s="71">
        <f t="array" ref="CW31">SUM(IF(ISERR(FIND(CW$4,$D31:$CD31)),0,1))</f>
        <v>0</v>
      </c>
      <c r="CX31" s="71">
        <f t="shared" si="51"/>
        <v>1</v>
      </c>
      <c r="CY31" s="71">
        <f t="shared" si="52"/>
        <v>2</v>
      </c>
      <c r="CZ31" s="71">
        <f t="shared" si="53"/>
        <v>23</v>
      </c>
      <c r="DA31" s="71">
        <f t="shared" si="54"/>
        <v>2</v>
      </c>
      <c r="DB31" s="71">
        <f t="shared" si="55"/>
        <v>0</v>
      </c>
      <c r="DC31" s="71">
        <f t="shared" si="56"/>
        <v>2</v>
      </c>
      <c r="DD31" s="71">
        <f t="shared" si="57"/>
        <v>2</v>
      </c>
      <c r="DE31" s="68">
        <f t="shared" si="58"/>
        <v>17100203.710310001</v>
      </c>
      <c r="DF31" s="68">
        <f t="shared" si="16"/>
        <v>1</v>
      </c>
      <c r="DG31" s="68">
        <v>0</v>
      </c>
      <c r="DH31" s="89">
        <f t="shared" si="59"/>
        <v>0.60818713450292394</v>
      </c>
      <c r="DI31" s="97">
        <f t="shared" si="60"/>
        <v>0</v>
      </c>
    </row>
    <row r="32" spans="1:113" x14ac:dyDescent="0.15">
      <c r="B32" s="122" t="s">
        <v>346</v>
      </c>
      <c r="C32" s="122" t="s">
        <v>347</v>
      </c>
      <c r="G32" t="s">
        <v>348</v>
      </c>
      <c r="K32"/>
      <c r="O32" s="122"/>
      <c r="Q32"/>
      <c r="R32"/>
      <c r="T32" s="122"/>
      <c r="V32" s="122"/>
      <c r="CE32" s="68">
        <f t="shared" si="40"/>
        <v>1</v>
      </c>
      <c r="CF32" s="68">
        <f t="shared" si="41"/>
        <v>0</v>
      </c>
      <c r="CG32" s="68">
        <f t="shared" si="42"/>
        <v>1</v>
      </c>
      <c r="CH32" s="68">
        <f t="shared" si="43"/>
        <v>0</v>
      </c>
      <c r="CI32" s="68">
        <f t="shared" si="44"/>
        <v>8</v>
      </c>
      <c r="CJ32" s="72">
        <f t="shared" si="45"/>
        <v>8</v>
      </c>
      <c r="CK32" s="68">
        <f t="shared" si="46"/>
        <v>8</v>
      </c>
      <c r="CL32" s="70">
        <f t="shared" si="47"/>
        <v>8</v>
      </c>
      <c r="CM32" s="68">
        <f t="shared" si="48"/>
        <v>8</v>
      </c>
      <c r="CN32" s="68">
        <f t="shared" si="49"/>
        <v>0</v>
      </c>
      <c r="CO32" s="71">
        <f t="array" ref="CO32">SUM(IF(ISERR(FIND("*",D32:CD32)),0,1))</f>
        <v>0</v>
      </c>
      <c r="CP32" s="71">
        <f t="array" ref="CP32">SUM(IF(ISERR(FIND("+",D32:CD32)),0,1))</f>
        <v>0</v>
      </c>
      <c r="CQ32" s="68">
        <f t="shared" si="50"/>
        <v>0</v>
      </c>
      <c r="CR32" s="71">
        <f t="array" ref="CR32">SUM(IF(ISERR(FIND(CR$4,$D32:$CD32)),0,1))</f>
        <v>1</v>
      </c>
      <c r="CS32" s="71">
        <f t="array" ref="CS32">SUM(IF(ISERR(FIND(CS$4,$D32:$CD32)),0,1))</f>
        <v>0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shared" si="51"/>
        <v>0</v>
      </c>
      <c r="CY32" s="71">
        <f t="shared" si="52"/>
        <v>0</v>
      </c>
      <c r="CZ32" s="71">
        <f t="shared" si="53"/>
        <v>2</v>
      </c>
      <c r="DA32" s="71">
        <f t="shared" si="54"/>
        <v>0</v>
      </c>
      <c r="DB32" s="71">
        <f t="shared" si="55"/>
        <v>0</v>
      </c>
      <c r="DC32" s="71">
        <f t="shared" si="56"/>
        <v>0</v>
      </c>
      <c r="DD32" s="71">
        <f t="shared" si="57"/>
        <v>0</v>
      </c>
      <c r="DE32" s="68">
        <f t="shared" si="58"/>
        <v>800101.08031999995</v>
      </c>
      <c r="DF32" s="68">
        <f t="shared" si="16"/>
        <v>20</v>
      </c>
      <c r="DG32" s="68">
        <v>0</v>
      </c>
      <c r="DH32" s="89" t="str">
        <f t="shared" si="59"/>
        <v/>
      </c>
      <c r="DI32" s="97">
        <f t="shared" si="60"/>
        <v>0</v>
      </c>
    </row>
    <row r="33" spans="1:113" x14ac:dyDescent="0.15">
      <c r="B33" s="68" t="s">
        <v>33</v>
      </c>
      <c r="C33" s="68" t="s">
        <v>227</v>
      </c>
      <c r="F33"/>
      <c r="G33" t="s">
        <v>232</v>
      </c>
      <c r="H33" t="s">
        <v>367</v>
      </c>
      <c r="I33"/>
      <c r="J33" t="s">
        <v>403</v>
      </c>
      <c r="K33" t="s">
        <v>421</v>
      </c>
      <c r="L33" t="s">
        <v>405</v>
      </c>
      <c r="M33" t="s">
        <v>456</v>
      </c>
      <c r="N33" t="s">
        <v>475</v>
      </c>
      <c r="O33" t="s">
        <v>489</v>
      </c>
      <c r="P33" t="s">
        <v>518</v>
      </c>
      <c r="Q33" t="s">
        <v>534</v>
      </c>
      <c r="R33" t="s">
        <v>547</v>
      </c>
      <c r="S33" t="s">
        <v>573</v>
      </c>
      <c r="T33" t="s">
        <v>588</v>
      </c>
      <c r="U33" t="s">
        <v>604</v>
      </c>
      <c r="V33" t="s">
        <v>231</v>
      </c>
      <c r="W33" t="s">
        <v>635</v>
      </c>
      <c r="X33" t="s">
        <v>654</v>
      </c>
      <c r="Y33"/>
      <c r="Z33"/>
      <c r="CE33" s="68">
        <f t="shared" si="40"/>
        <v>17</v>
      </c>
      <c r="CF33" s="68">
        <f t="shared" si="41"/>
        <v>4</v>
      </c>
      <c r="CG33" s="68">
        <f t="shared" si="42"/>
        <v>13</v>
      </c>
      <c r="CH33" s="68">
        <f t="shared" si="43"/>
        <v>3</v>
      </c>
      <c r="CI33" s="68">
        <f t="shared" si="44"/>
        <v>-49</v>
      </c>
      <c r="CJ33" s="72" t="str">
        <f t="shared" si="45"/>
        <v>49*</v>
      </c>
      <c r="CK33" s="68">
        <f t="shared" si="46"/>
        <v>121</v>
      </c>
      <c r="CL33" s="70">
        <f t="shared" si="47"/>
        <v>12.1</v>
      </c>
      <c r="CM33" s="68">
        <f t="shared" si="48"/>
        <v>111</v>
      </c>
      <c r="CN33" s="68">
        <f t="shared" si="49"/>
        <v>35</v>
      </c>
      <c r="CO33" s="71">
        <f t="array" ref="CO33">SUM(IF(ISERR(FIND("*",D33:CD33)),0,1))</f>
        <v>0</v>
      </c>
      <c r="CP33" s="71">
        <f t="array" ref="CP33">SUM(IF(ISERR(FIND("+",D33:CD33)),0,1))</f>
        <v>0</v>
      </c>
      <c r="CQ33" s="68">
        <f t="shared" si="50"/>
        <v>2</v>
      </c>
      <c r="CR33" s="71">
        <f t="array" ref="CR33">SUM(IF(ISERR(FIND(CR$4,$D33:$CD33)),0,1))</f>
        <v>5</v>
      </c>
      <c r="CS33" s="71">
        <f t="array" ref="CS33">SUM(IF(ISERR(FIND(CS$4,$D33:$CD33)),0,1))</f>
        <v>2</v>
      </c>
      <c r="CT33" s="71">
        <f t="array" ref="CT33">SUM(IF(ISERR(FIND(CT$4,$D33:$CD33)),0,1))</f>
        <v>2</v>
      </c>
      <c r="CU33" s="71">
        <f t="array" ref="CU33">SUM(IF(ISERR(FIND(CU$4,$D33:$CD33)),0,1))</f>
        <v>0</v>
      </c>
      <c r="CV33" s="71">
        <f t="array" ref="CV33">SUM(IF(ISERR(FIND(CV$4,$D33:$CD33)),0,1))</f>
        <v>1</v>
      </c>
      <c r="CW33" s="71">
        <f t="array" ref="CW33">SUM(IF(ISERR(FIND(CW$4,$D33:$CD33)),0,1))</f>
        <v>0</v>
      </c>
      <c r="CX33" s="71">
        <f t="shared" si="51"/>
        <v>0</v>
      </c>
      <c r="CY33" s="71">
        <f t="shared" si="52"/>
        <v>7</v>
      </c>
      <c r="CZ33" s="71">
        <f t="shared" si="53"/>
        <v>21</v>
      </c>
      <c r="DA33" s="71">
        <f t="shared" si="54"/>
        <v>0</v>
      </c>
      <c r="DB33" s="71">
        <f t="shared" si="55"/>
        <v>0</v>
      </c>
      <c r="DC33" s="71">
        <f t="shared" si="56"/>
        <v>0</v>
      </c>
      <c r="DD33" s="71">
        <f t="shared" si="57"/>
        <v>1</v>
      </c>
      <c r="DE33" s="68">
        <f t="shared" si="58"/>
        <v>1211318.2103299999</v>
      </c>
      <c r="DF33" s="68">
        <f t="shared" si="16"/>
        <v>13</v>
      </c>
      <c r="DG33" s="68">
        <v>0</v>
      </c>
      <c r="DH33" s="89">
        <f t="shared" si="59"/>
        <v>0.69421487603305787</v>
      </c>
      <c r="DI33" s="97">
        <f t="shared" si="60"/>
        <v>0.2</v>
      </c>
    </row>
    <row r="34" spans="1:113" x14ac:dyDescent="0.15">
      <c r="A34" s="68" t="s">
        <v>53</v>
      </c>
      <c r="B34" s="68" t="s">
        <v>27</v>
      </c>
      <c r="C34" s="68" t="s">
        <v>150</v>
      </c>
      <c r="D34" s="122" t="s">
        <v>293</v>
      </c>
      <c r="E34" s="122"/>
      <c r="F34" s="122" t="s">
        <v>334</v>
      </c>
      <c r="I34" t="s">
        <v>383</v>
      </c>
      <c r="J34"/>
      <c r="K34"/>
      <c r="L34" t="s">
        <v>435</v>
      </c>
      <c r="M34" t="s">
        <v>450</v>
      </c>
      <c r="N34" t="s">
        <v>471</v>
      </c>
      <c r="O34" t="s">
        <v>488</v>
      </c>
      <c r="R34"/>
      <c r="S34"/>
      <c r="T34" t="s">
        <v>593</v>
      </c>
      <c r="U34" t="s">
        <v>602</v>
      </c>
      <c r="V34" t="s">
        <v>620</v>
      </c>
      <c r="W34" t="s">
        <v>667</v>
      </c>
      <c r="X34" t="s">
        <v>651</v>
      </c>
      <c r="CE34" s="68">
        <f t="shared" si="0"/>
        <v>12</v>
      </c>
      <c r="CF34" s="68">
        <f t="shared" si="33"/>
        <v>0</v>
      </c>
      <c r="CG34" s="68">
        <f t="shared" si="1"/>
        <v>12</v>
      </c>
      <c r="CH34" s="68">
        <f t="shared" si="2"/>
        <v>1</v>
      </c>
      <c r="CI34" s="68">
        <f t="shared" si="3"/>
        <v>84</v>
      </c>
      <c r="CJ34" s="72">
        <f t="shared" si="34"/>
        <v>84</v>
      </c>
      <c r="CK34" s="68">
        <f t="shared" si="5"/>
        <v>478</v>
      </c>
      <c r="CL34" s="70">
        <f t="shared" si="35"/>
        <v>43.454545454545453</v>
      </c>
      <c r="CM34" s="68">
        <f t="shared" si="6"/>
        <v>518</v>
      </c>
      <c r="CN34" s="68">
        <f t="shared" si="7"/>
        <v>25</v>
      </c>
      <c r="CO34" s="71">
        <f t="array" ref="CO34">SUM(IF(ISERR(FIND("*",D34:CD34)),0,1))</f>
        <v>1</v>
      </c>
      <c r="CP34" s="71">
        <f t="array" ref="CP34">SUM(IF(ISERR(FIND("+",D34:CD34)),0,1))</f>
        <v>3</v>
      </c>
      <c r="CQ34" s="68">
        <f t="shared" si="8"/>
        <v>0</v>
      </c>
      <c r="CR34" s="71">
        <f t="array" ref="CR34">SUM(IF(ISERR(FIND(CR$4,$D34:$CD34)),0,1))</f>
        <v>4</v>
      </c>
      <c r="CS34" s="71">
        <f t="array" ref="CS34">SUM(IF(ISERR(FIND(CS$4,$D34:$CD34)),0,1))</f>
        <v>4</v>
      </c>
      <c r="CT34" s="71">
        <f t="array" ref="CT34">SUM(IF(ISERR(FIND(CT$4,$D34:$CD34)),0,1))</f>
        <v>2</v>
      </c>
      <c r="CU34" s="71">
        <f t="array" ref="CU34">SUM(IF(ISERR(FIND(CU$4,$D34:$CD34)),0,1))</f>
        <v>0</v>
      </c>
      <c r="CV34" s="71">
        <f t="array" ref="CV34">SUM(IF(ISERR(FIND(CV$4,$D34:$CD34)),0,1))</f>
        <v>1</v>
      </c>
      <c r="CW34" s="71">
        <f t="array" ref="CW34">SUM(IF(ISERR(FIND(CW$4,$D34:$CD34)),0,1))</f>
        <v>0</v>
      </c>
      <c r="CX34" s="71">
        <f t="shared" si="36"/>
        <v>4</v>
      </c>
      <c r="CY34" s="71">
        <f t="shared" si="10"/>
        <v>10</v>
      </c>
      <c r="CZ34" s="71">
        <f t="shared" si="11"/>
        <v>68</v>
      </c>
      <c r="DA34" s="71">
        <f t="shared" si="12"/>
        <v>13</v>
      </c>
      <c r="DB34" s="71">
        <f t="shared" si="13"/>
        <v>2</v>
      </c>
      <c r="DC34" s="71">
        <f t="shared" si="14"/>
        <v>5</v>
      </c>
      <c r="DD34" s="71">
        <f t="shared" si="15"/>
        <v>8</v>
      </c>
      <c r="DE34" s="68">
        <f t="shared" si="37"/>
        <v>4346216.7803400001</v>
      </c>
      <c r="DF34" s="68">
        <f t="shared" si="16"/>
        <v>4</v>
      </c>
      <c r="DG34" s="68">
        <v>0</v>
      </c>
      <c r="DH34" s="89">
        <f t="shared" si="38"/>
        <v>0.73221757322175729</v>
      </c>
      <c r="DI34" s="97">
        <f t="shared" si="39"/>
        <v>0</v>
      </c>
    </row>
    <row r="35" spans="1:113" x14ac:dyDescent="0.15">
      <c r="B35" s="122" t="s">
        <v>574</v>
      </c>
      <c r="C35" s="122" t="s">
        <v>575</v>
      </c>
      <c r="D35" s="122"/>
      <c r="E35" s="122"/>
      <c r="F35" s="122"/>
      <c r="I35"/>
      <c r="J35"/>
      <c r="K35"/>
      <c r="L35"/>
      <c r="M35"/>
      <c r="N35"/>
      <c r="O35"/>
      <c r="R35"/>
      <c r="S35" t="s">
        <v>576</v>
      </c>
      <c r="T35"/>
      <c r="U35"/>
      <c r="V35"/>
      <c r="CE35" s="68">
        <f t="shared" ref="CE35" si="61">BatSplit(D35:CD35,MatchesPlayed)</f>
        <v>1</v>
      </c>
      <c r="CF35" s="68">
        <f>CE35-CG35</f>
        <v>1</v>
      </c>
      <c r="CG35" s="68">
        <f t="shared" ref="CG35" si="62">BatSplit(D35:CD35,InnsBattedIn)</f>
        <v>0</v>
      </c>
      <c r="CH35" s="68">
        <f t="shared" ref="CH35" si="63">BatSplit(D35:CD35,NotOuts)</f>
        <v>0</v>
      </c>
      <c r="CI35" s="68">
        <f t="shared" ref="CI35" si="64">BatSplit(D35:CD35,HighestScore)</f>
        <v>0</v>
      </c>
      <c r="CJ35" s="72">
        <f t="shared" ref="CJ35" si="65">IF(CI35&lt;0,-CI35&amp;"*",CI35)</f>
        <v>0</v>
      </c>
      <c r="CK35" s="68">
        <f t="shared" ref="CK35" si="66">BatSplit(D35:CD35,RunsScored)</f>
        <v>0</v>
      </c>
      <c r="CL35" s="70">
        <f>IF(CG35=CH35,0,CK35/(CG35-CH35))</f>
        <v>0</v>
      </c>
      <c r="CM35" s="68">
        <f t="shared" ref="CM35" si="67">BatSplit(D35:CD35,BatPts)</f>
        <v>0</v>
      </c>
      <c r="CN35" s="68">
        <f t="shared" ref="CN35" si="68">BatSplit(D35:CD35,FldPts)</f>
        <v>5</v>
      </c>
      <c r="CO35" s="71">
        <f t="array" ref="CO35">SUM(IF(ISERR(FIND("*",D35:CD35)),0,1))</f>
        <v>0</v>
      </c>
      <c r="CP35" s="71">
        <f t="array" ref="CP35">SUM(IF(ISERR(FIND("+",D35:CD35)),0,1))</f>
        <v>0</v>
      </c>
      <c r="CQ35" s="68">
        <f t="shared" ref="CQ35" si="69">BatSplit(D35:CD35,Ducks)</f>
        <v>0</v>
      </c>
      <c r="CR35" s="71">
        <f t="array" ref="CR35">SUM(IF(ISERR(FIND(CR$4,$D35:$CD35)),0,1))</f>
        <v>0</v>
      </c>
      <c r="CS35" s="71">
        <f t="array" ref="CS35">SUM(IF(ISERR(FIND(CS$4,$D35:$CD35)),0,1))</f>
        <v>0</v>
      </c>
      <c r="CT35" s="71">
        <f t="array" ref="CT35">SUM(IF(ISERR(FIND(CT$4,$D35:$CD35)),0,1))</f>
        <v>0</v>
      </c>
      <c r="CU35" s="71">
        <f t="array" ref="CU35">SUM(IF(ISERR(FIND(CU$4,$D35:$CD35)),0,1))</f>
        <v>0</v>
      </c>
      <c r="CV35" s="71">
        <f t="array" ref="CV35">SUM(IF(ISERR(FIND(CV$4,$D35:$CD35)),0,1))</f>
        <v>0</v>
      </c>
      <c r="CW35" s="71">
        <f t="array" ref="CW35">SUM(IF(ISERR(FIND(CW$4,$D35:$CD35)),0,1))</f>
        <v>0</v>
      </c>
      <c r="CX35" s="71">
        <f t="shared" ref="CX35" si="70">BatSplit(D35:CD35,Fifties)</f>
        <v>0</v>
      </c>
      <c r="CY35" s="71">
        <f t="shared" ref="CY35" si="71">BatSplit(D35:CD35,Catches)</f>
        <v>1</v>
      </c>
      <c r="CZ35" s="71">
        <f t="shared" ref="CZ35" si="72">BatSplit(D35:CD35,Fours)</f>
        <v>0</v>
      </c>
      <c r="DA35" s="71">
        <f t="shared" ref="DA35" si="73">BatSplit(D35:CD35,Sixes)</f>
        <v>0</v>
      </c>
      <c r="DB35" s="71">
        <f t="shared" ref="DB35" si="74">BatSplit(D35:CD35,Stumpings)</f>
        <v>0</v>
      </c>
      <c r="DC35" s="71">
        <f t="shared" ref="DC35" si="75">BatSplit(D35:CD35,CaughtWkt)</f>
        <v>0</v>
      </c>
      <c r="DD35" s="71">
        <f t="shared" ref="DD35" si="76">BatSplit(D35:CD35,TwentyFives)</f>
        <v>0</v>
      </c>
      <c r="DE35" s="68">
        <f>ROUND(IF(ISERROR(CL35),0,CL35),2)*100000+CG35*100+CE35+CK35/100+ROW()/100000</f>
        <v>1.0003500000000001</v>
      </c>
      <c r="DF35" s="68">
        <f t="shared" si="16"/>
        <v>32</v>
      </c>
      <c r="DG35" s="68">
        <v>0</v>
      </c>
      <c r="DH35" s="89" t="str">
        <f>IF(CK35&gt;=50,(CZ35*4+DA35*6+DG35*5)/CK35,"")</f>
        <v/>
      </c>
      <c r="DI35" s="97" t="e">
        <f>CQ35/(CG35-CH35)</f>
        <v>#DIV/0!</v>
      </c>
    </row>
    <row r="36" spans="1:113" x14ac:dyDescent="0.15">
      <c r="B36" s="68" t="s">
        <v>30</v>
      </c>
      <c r="C36" s="68" t="s">
        <v>216</v>
      </c>
      <c r="D36" t="s">
        <v>299</v>
      </c>
      <c r="E36" t="s">
        <v>313</v>
      </c>
      <c r="F36" t="s">
        <v>336</v>
      </c>
      <c r="G36"/>
      <c r="H36"/>
      <c r="I36" t="s">
        <v>385</v>
      </c>
      <c r="J36" t="s">
        <v>402</v>
      </c>
      <c r="K36" t="s">
        <v>420</v>
      </c>
      <c r="L36" t="s">
        <v>406</v>
      </c>
      <c r="M36" t="s">
        <v>457</v>
      </c>
      <c r="N36" t="s">
        <v>474</v>
      </c>
      <c r="O36" s="122"/>
      <c r="P36" s="122" t="s">
        <v>511</v>
      </c>
      <c r="Q36" s="122" t="s">
        <v>528</v>
      </c>
      <c r="R36" s="122"/>
      <c r="S36" s="122"/>
      <c r="T36" t="s">
        <v>590</v>
      </c>
      <c r="U36" t="s">
        <v>576</v>
      </c>
      <c r="V36" t="s">
        <v>405</v>
      </c>
      <c r="W36" t="s">
        <v>232</v>
      </c>
      <c r="X36" s="122"/>
      <c r="CE36" s="68">
        <f t="shared" si="0"/>
        <v>15</v>
      </c>
      <c r="CF36" s="68">
        <f t="shared" si="33"/>
        <v>4</v>
      </c>
      <c r="CG36" s="68">
        <f t="shared" si="1"/>
        <v>11</v>
      </c>
      <c r="CH36" s="68">
        <f t="shared" si="2"/>
        <v>3</v>
      </c>
      <c r="CI36" s="68">
        <f t="shared" si="3"/>
        <v>-27</v>
      </c>
      <c r="CJ36" s="72" t="str">
        <f t="shared" si="34"/>
        <v>27*</v>
      </c>
      <c r="CK36" s="68">
        <f t="shared" si="5"/>
        <v>70</v>
      </c>
      <c r="CL36" s="70">
        <f t="shared" si="35"/>
        <v>8.75</v>
      </c>
      <c r="CM36" s="68">
        <f t="shared" si="6"/>
        <v>60</v>
      </c>
      <c r="CN36" s="68">
        <f t="shared" si="7"/>
        <v>10</v>
      </c>
      <c r="CO36" s="71">
        <f t="array" ref="CO36">SUM(IF(ISERR(FIND("*",D36:CD36)),0,1))</f>
        <v>1</v>
      </c>
      <c r="CP36" s="71">
        <f t="array" ref="CP36">SUM(IF(ISERR(FIND("+",D36:CD36)),0,1))</f>
        <v>0</v>
      </c>
      <c r="CQ36" s="68">
        <f t="shared" si="8"/>
        <v>2</v>
      </c>
      <c r="CR36" s="71">
        <f t="array" ref="CR36">SUM(IF(ISERR(FIND(CR$4,$D36:$CD36)),0,1))</f>
        <v>4</v>
      </c>
      <c r="CS36" s="71">
        <f t="array" ref="CS36">SUM(IF(ISERR(FIND(CS$4,$D36:$CD36)),0,1))</f>
        <v>2</v>
      </c>
      <c r="CT36" s="71">
        <f t="array" ref="CT36">SUM(IF(ISERR(FIND(CT$4,$D36:$CD36)),0,1))</f>
        <v>2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0</v>
      </c>
      <c r="CX36" s="71">
        <f t="shared" si="36"/>
        <v>0</v>
      </c>
      <c r="CY36" s="71">
        <f t="shared" si="10"/>
        <v>2</v>
      </c>
      <c r="CZ36" s="71">
        <f t="shared" si="11"/>
        <v>10</v>
      </c>
      <c r="DA36" s="71">
        <f t="shared" si="12"/>
        <v>0</v>
      </c>
      <c r="DB36" s="71">
        <f t="shared" si="13"/>
        <v>0</v>
      </c>
      <c r="DC36" s="71">
        <f t="shared" si="14"/>
        <v>0</v>
      </c>
      <c r="DD36" s="71">
        <f t="shared" si="15"/>
        <v>1</v>
      </c>
      <c r="DE36" s="68">
        <f t="shared" si="37"/>
        <v>876115.7003599999</v>
      </c>
      <c r="DF36" s="68">
        <f t="shared" si="16"/>
        <v>18</v>
      </c>
      <c r="DG36" s="68">
        <v>0</v>
      </c>
      <c r="DH36" s="89">
        <f t="shared" si="38"/>
        <v>0.5714285714285714</v>
      </c>
      <c r="DI36" s="97">
        <f t="shared" si="39"/>
        <v>0.25</v>
      </c>
    </row>
    <row r="37" spans="1:113" x14ac:dyDescent="0.15">
      <c r="B37" s="122" t="s">
        <v>329</v>
      </c>
      <c r="C37" s="122" t="s">
        <v>330</v>
      </c>
      <c r="D37"/>
      <c r="E37"/>
      <c r="F37" t="s">
        <v>331</v>
      </c>
      <c r="G37" t="s">
        <v>349</v>
      </c>
      <c r="H37"/>
      <c r="I37" t="s">
        <v>389</v>
      </c>
      <c r="J37" t="s">
        <v>399</v>
      </c>
      <c r="K37" s="122"/>
      <c r="L37" s="122" t="s">
        <v>437</v>
      </c>
      <c r="M37" s="122" t="s">
        <v>454</v>
      </c>
      <c r="N37" s="122" t="s">
        <v>477</v>
      </c>
      <c r="O37" s="122"/>
      <c r="P37" s="122" t="s">
        <v>517</v>
      </c>
      <c r="Q37" s="122" t="s">
        <v>529</v>
      </c>
      <c r="R37" s="122" t="s">
        <v>548</v>
      </c>
      <c r="S37" s="122" t="s">
        <v>572</v>
      </c>
      <c r="T37" s="122"/>
      <c r="U37" s="122"/>
      <c r="V37" s="122"/>
      <c r="W37" s="122"/>
      <c r="X37" t="s">
        <v>659</v>
      </c>
      <c r="CE37" s="68">
        <f t="shared" si="0"/>
        <v>12</v>
      </c>
      <c r="CF37" s="68">
        <f t="shared" si="33"/>
        <v>1</v>
      </c>
      <c r="CG37" s="68">
        <f t="shared" si="1"/>
        <v>11</v>
      </c>
      <c r="CH37" s="68">
        <f t="shared" si="2"/>
        <v>3</v>
      </c>
      <c r="CI37" s="68">
        <f t="shared" si="3"/>
        <v>35</v>
      </c>
      <c r="CJ37" s="72">
        <f t="shared" si="34"/>
        <v>35</v>
      </c>
      <c r="CK37" s="68">
        <f t="shared" si="5"/>
        <v>79</v>
      </c>
      <c r="CL37" s="70">
        <f t="shared" si="35"/>
        <v>9.875</v>
      </c>
      <c r="CM37" s="68">
        <f t="shared" si="6"/>
        <v>69</v>
      </c>
      <c r="CN37" s="68">
        <f t="shared" si="7"/>
        <v>15</v>
      </c>
      <c r="CO37" s="71">
        <f t="array" ref="CO37">SUM(IF(ISERR(FIND("*",D37:CD37)),0,1))</f>
        <v>0</v>
      </c>
      <c r="CP37" s="71">
        <f t="array" ref="CP37">SUM(IF(ISERR(FIND("+",D37:CD37)),0,1))</f>
        <v>0</v>
      </c>
      <c r="CQ37" s="68">
        <f t="shared" si="8"/>
        <v>2</v>
      </c>
      <c r="CR37" s="71">
        <f t="array" ref="CR37">SUM(IF(ISERR(FIND(CR$4,$D37:$CD37)),0,1))</f>
        <v>2</v>
      </c>
      <c r="CS37" s="71">
        <f t="array" ref="CS37">SUM(IF(ISERR(FIND(CS$4,$D37:$CD37)),0,1))</f>
        <v>6</v>
      </c>
      <c r="CT37" s="71">
        <f t="array" ref="CT37">SUM(IF(ISERR(FIND(CT$4,$D37:$CD37)),0,1))</f>
        <v>0</v>
      </c>
      <c r="CU37" s="71">
        <f t="array" ref="CU37">SUM(IF(ISERR(FIND(CU$4,$D37:$CD37)),0,1))</f>
        <v>0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shared" si="36"/>
        <v>0</v>
      </c>
      <c r="CY37" s="71">
        <f t="shared" si="10"/>
        <v>3</v>
      </c>
      <c r="CZ37" s="71">
        <f t="shared" si="11"/>
        <v>10</v>
      </c>
      <c r="DA37" s="71">
        <f t="shared" si="12"/>
        <v>0</v>
      </c>
      <c r="DB37" s="71">
        <f t="shared" si="13"/>
        <v>0</v>
      </c>
      <c r="DC37" s="71">
        <f t="shared" si="14"/>
        <v>0</v>
      </c>
      <c r="DD37" s="71">
        <f t="shared" si="15"/>
        <v>1</v>
      </c>
      <c r="DE37" s="68">
        <f t="shared" si="37"/>
        <v>989112.79037000018</v>
      </c>
      <c r="DF37" s="68">
        <f t="shared" si="16"/>
        <v>17</v>
      </c>
      <c r="DG37" s="68">
        <v>0</v>
      </c>
      <c r="DH37" s="89">
        <f t="shared" si="38"/>
        <v>0.50632911392405067</v>
      </c>
      <c r="DI37" s="97">
        <f t="shared" si="39"/>
        <v>0.25</v>
      </c>
    </row>
    <row r="38" spans="1:113" x14ac:dyDescent="0.15">
      <c r="B38" s="122" t="s">
        <v>276</v>
      </c>
      <c r="C38" t="s">
        <v>278</v>
      </c>
      <c r="D38"/>
      <c r="E38"/>
      <c r="F38"/>
      <c r="G38"/>
      <c r="H38"/>
      <c r="I38"/>
      <c r="K38" s="122"/>
      <c r="L38" s="122"/>
      <c r="M38" s="122"/>
      <c r="N38" s="122"/>
      <c r="O38"/>
      <c r="P38" s="122"/>
      <c r="Q38" s="122"/>
      <c r="R38"/>
      <c r="T38" s="122"/>
      <c r="U38" s="122"/>
      <c r="V38" s="122"/>
      <c r="X38" s="122"/>
      <c r="CE38" s="68">
        <f t="shared" si="0"/>
        <v>0</v>
      </c>
      <c r="CF38" s="68">
        <f t="shared" si="33"/>
        <v>0</v>
      </c>
      <c r="CG38" s="68">
        <f t="shared" si="1"/>
        <v>0</v>
      </c>
      <c r="CH38" s="68">
        <f t="shared" si="2"/>
        <v>0</v>
      </c>
      <c r="CI38" s="68">
        <f t="shared" si="3"/>
        <v>0</v>
      </c>
      <c r="CJ38" s="72">
        <f t="shared" si="34"/>
        <v>0</v>
      </c>
      <c r="CK38" s="68">
        <f t="shared" si="5"/>
        <v>0</v>
      </c>
      <c r="CL38" s="70">
        <f t="shared" si="35"/>
        <v>0</v>
      </c>
      <c r="CM38" s="68">
        <f t="shared" si="6"/>
        <v>0</v>
      </c>
      <c r="CN38" s="68">
        <f t="shared" si="7"/>
        <v>0</v>
      </c>
      <c r="CO38" s="71">
        <f t="array" ref="CO38">SUM(IF(ISERR(FIND("*",D38:CD38)),0,1))</f>
        <v>0</v>
      </c>
      <c r="CP38" s="71">
        <f t="array" ref="CP38">SUM(IF(ISERR(FIND("+",D38:CD38)),0,1))</f>
        <v>0</v>
      </c>
      <c r="CQ38" s="68">
        <f t="shared" si="8"/>
        <v>0</v>
      </c>
      <c r="CR38" s="71">
        <f t="array" ref="CR38">SUM(IF(ISERR(FIND(CR$4,$D38:$CD38)),0,1))</f>
        <v>0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shared" si="36"/>
        <v>0</v>
      </c>
      <c r="CY38" s="71">
        <f t="shared" si="10"/>
        <v>0</v>
      </c>
      <c r="CZ38" s="71">
        <f t="shared" si="11"/>
        <v>0</v>
      </c>
      <c r="DA38" s="71">
        <f t="shared" si="12"/>
        <v>0</v>
      </c>
      <c r="DB38" s="71">
        <f t="shared" si="13"/>
        <v>0</v>
      </c>
      <c r="DC38" s="71">
        <f t="shared" si="14"/>
        <v>0</v>
      </c>
      <c r="DD38" s="71">
        <f t="shared" si="15"/>
        <v>0</v>
      </c>
      <c r="DE38" s="68">
        <f t="shared" si="37"/>
        <v>3.8000000000000002E-4</v>
      </c>
      <c r="DF38" s="68">
        <f t="shared" si="16"/>
        <v>37</v>
      </c>
      <c r="DG38" s="68">
        <v>0</v>
      </c>
      <c r="DH38" s="89" t="str">
        <f t="shared" si="38"/>
        <v/>
      </c>
      <c r="DI38" s="97" t="e">
        <f t="shared" si="39"/>
        <v>#DIV/0!</v>
      </c>
    </row>
    <row r="39" spans="1:113" x14ac:dyDescent="0.15">
      <c r="B39" s="122" t="s">
        <v>362</v>
      </c>
      <c r="C39" t="s">
        <v>363</v>
      </c>
      <c r="D39"/>
      <c r="E39"/>
      <c r="F39"/>
      <c r="G39"/>
      <c r="H39" t="s">
        <v>364</v>
      </c>
      <c r="I39"/>
      <c r="K39" s="122"/>
      <c r="L39" s="122"/>
      <c r="M39" s="122"/>
      <c r="N39" s="122"/>
      <c r="O39"/>
      <c r="P39" s="122"/>
      <c r="Q39" s="122"/>
      <c r="R39"/>
      <c r="T39" s="122"/>
      <c r="U39" s="122"/>
      <c r="V39" s="122"/>
      <c r="X39" s="122"/>
      <c r="CE39" s="68">
        <f t="shared" si="0"/>
        <v>1</v>
      </c>
      <c r="CF39" s="68">
        <f t="shared" si="33"/>
        <v>0</v>
      </c>
      <c r="CG39" s="68">
        <f t="shared" si="1"/>
        <v>1</v>
      </c>
      <c r="CH39" s="68">
        <f t="shared" si="2"/>
        <v>0</v>
      </c>
      <c r="CI39" s="68">
        <f t="shared" si="3"/>
        <v>12</v>
      </c>
      <c r="CJ39" s="72">
        <f t="shared" si="34"/>
        <v>12</v>
      </c>
      <c r="CK39" s="68">
        <f t="shared" si="5"/>
        <v>12</v>
      </c>
      <c r="CL39" s="70">
        <f t="shared" si="35"/>
        <v>12</v>
      </c>
      <c r="CM39" s="68">
        <f t="shared" si="6"/>
        <v>12</v>
      </c>
      <c r="CN39" s="68">
        <f t="shared" si="7"/>
        <v>0</v>
      </c>
      <c r="CO39" s="71">
        <f t="array" ref="CO39">SUM(IF(ISERR(FIND("*",D39:CD39)),0,1))</f>
        <v>0</v>
      </c>
      <c r="CP39" s="71">
        <f t="array" ref="CP39">SUM(IF(ISERR(FIND("+",D39:CD39)),0,1))</f>
        <v>0</v>
      </c>
      <c r="CQ39" s="68">
        <f t="shared" si="8"/>
        <v>0</v>
      </c>
      <c r="CR39" s="71">
        <f t="array" ref="CR39">SUM(IF(ISERR(FIND(CR$4,$D39:$CD39)),0,1))</f>
        <v>1</v>
      </c>
      <c r="CS39" s="71">
        <f t="array" ref="CS39">SUM(IF(ISERR(FIND(CS$4,$D39:$CD39)),0,1))</f>
        <v>0</v>
      </c>
      <c r="CT39" s="71">
        <f t="array" ref="CT39">SUM(IF(ISERR(FIND(CT$4,$D39:$CD39)),0,1))</f>
        <v>0</v>
      </c>
      <c r="CU39" s="71">
        <f t="array" ref="CU39">SUM(IF(ISERR(FIND(CU$4,$D39:$CD39)),0,1))</f>
        <v>0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shared" si="36"/>
        <v>0</v>
      </c>
      <c r="CY39" s="71">
        <f t="shared" si="10"/>
        <v>0</v>
      </c>
      <c r="CZ39" s="71">
        <f t="shared" si="11"/>
        <v>2</v>
      </c>
      <c r="DA39" s="71">
        <f t="shared" si="12"/>
        <v>0</v>
      </c>
      <c r="DB39" s="71">
        <f t="shared" si="13"/>
        <v>0</v>
      </c>
      <c r="DC39" s="71">
        <f t="shared" si="14"/>
        <v>0</v>
      </c>
      <c r="DD39" s="71">
        <f t="shared" si="15"/>
        <v>0</v>
      </c>
      <c r="DE39" s="68">
        <f t="shared" si="37"/>
        <v>1200101.1203900001</v>
      </c>
      <c r="DF39" s="68">
        <f t="shared" si="16"/>
        <v>14</v>
      </c>
      <c r="DG39" s="68">
        <v>0</v>
      </c>
      <c r="DH39" s="89" t="str">
        <f t="shared" si="38"/>
        <v/>
      </c>
      <c r="DI39" s="97">
        <f t="shared" si="39"/>
        <v>0</v>
      </c>
    </row>
    <row r="40" spans="1:113" x14ac:dyDescent="0.15">
      <c r="B40" s="68" t="s">
        <v>209</v>
      </c>
      <c r="C40" s="68" t="s">
        <v>210</v>
      </c>
      <c r="D40"/>
      <c r="K40" t="s">
        <v>423</v>
      </c>
      <c r="O40"/>
      <c r="Q40"/>
      <c r="U40" t="s">
        <v>405</v>
      </c>
      <c r="CE40" s="68">
        <f t="shared" si="0"/>
        <v>2</v>
      </c>
      <c r="CF40" s="68">
        <f t="shared" si="33"/>
        <v>1</v>
      </c>
      <c r="CG40" s="68">
        <f t="shared" si="1"/>
        <v>1</v>
      </c>
      <c r="CH40" s="68">
        <f t="shared" si="2"/>
        <v>1</v>
      </c>
      <c r="CI40" s="68">
        <f t="shared" si="3"/>
        <v>-10</v>
      </c>
      <c r="CJ40" s="72" t="str">
        <f t="shared" si="34"/>
        <v>10*</v>
      </c>
      <c r="CK40" s="68">
        <f t="shared" si="5"/>
        <v>10</v>
      </c>
      <c r="CL40" s="70">
        <f t="shared" si="35"/>
        <v>0</v>
      </c>
      <c r="CM40" s="68">
        <f t="shared" si="6"/>
        <v>10</v>
      </c>
      <c r="CN40" s="68">
        <f t="shared" si="7"/>
        <v>0</v>
      </c>
      <c r="CO40" s="71">
        <f t="array" ref="CO40">SUM(IF(ISERR(FIND("*",D40:CD40)),0,1))</f>
        <v>0</v>
      </c>
      <c r="CP40" s="71">
        <f t="array" ref="CP40">SUM(IF(ISERR(FIND("+",D40:CD40)),0,1))</f>
        <v>0</v>
      </c>
      <c r="CQ40" s="68">
        <f t="shared" si="8"/>
        <v>0</v>
      </c>
      <c r="CR40" s="71">
        <f t="array" ref="CR40">SUM(IF(ISERR(FIND(CR$4,$D40:$CD40)),0,1))</f>
        <v>0</v>
      </c>
      <c r="CS40" s="71">
        <f t="array" ref="CS40">SUM(IF(ISERR(FIND(CS$4,$D40:$CD40)),0,1))</f>
        <v>0</v>
      </c>
      <c r="CT40" s="71">
        <f t="array" ref="CT40">SUM(IF(ISERR(FIND(CT$4,$D40:$CD40)),0,1))</f>
        <v>0</v>
      </c>
      <c r="CU40" s="71">
        <f t="array" ref="CU40">SUM(IF(ISERR(FIND(CU$4,$D40:$CD40)),0,1))</f>
        <v>0</v>
      </c>
      <c r="CV40" s="71">
        <f t="array" ref="CV40">SUM(IF(ISERR(FIND(CV$4,$D40:$CD40)),0,1))</f>
        <v>0</v>
      </c>
      <c r="CW40" s="71">
        <f t="array" ref="CW40">SUM(IF(ISERR(FIND(CW$4,$D40:$CD40)),0,1))</f>
        <v>0</v>
      </c>
      <c r="CX40" s="71">
        <f t="shared" si="36"/>
        <v>0</v>
      </c>
      <c r="CY40" s="71">
        <f t="shared" si="10"/>
        <v>0</v>
      </c>
      <c r="CZ40" s="71">
        <f t="shared" si="11"/>
        <v>1</v>
      </c>
      <c r="DA40" s="71">
        <f t="shared" si="12"/>
        <v>0</v>
      </c>
      <c r="DB40" s="71">
        <f t="shared" si="13"/>
        <v>0</v>
      </c>
      <c r="DC40" s="71">
        <f t="shared" si="14"/>
        <v>0</v>
      </c>
      <c r="DD40" s="71">
        <f t="shared" si="15"/>
        <v>0</v>
      </c>
      <c r="DE40" s="68">
        <f t="shared" si="37"/>
        <v>102.10039999999999</v>
      </c>
      <c r="DF40" s="68">
        <f t="shared" si="16"/>
        <v>30</v>
      </c>
      <c r="DG40" s="68">
        <v>0</v>
      </c>
      <c r="DH40" s="89" t="str">
        <f t="shared" si="38"/>
        <v/>
      </c>
      <c r="DI40" s="97" t="e">
        <f t="shared" si="39"/>
        <v>#DIV/0!</v>
      </c>
    </row>
    <row r="41" spans="1:113" x14ac:dyDescent="0.15">
      <c r="A41" s="68" t="s">
        <v>60</v>
      </c>
      <c r="B41" s="68" t="s">
        <v>26</v>
      </c>
      <c r="C41" s="68" t="s">
        <v>151</v>
      </c>
      <c r="E41" s="122" t="s">
        <v>311</v>
      </c>
      <c r="F41" s="122" t="s">
        <v>328</v>
      </c>
      <c r="G41" s="122" t="s">
        <v>254</v>
      </c>
      <c r="H41" s="122" t="s">
        <v>253</v>
      </c>
      <c r="I41" s="122" t="s">
        <v>283</v>
      </c>
      <c r="J41"/>
      <c r="K41" t="s">
        <v>417</v>
      </c>
      <c r="L41" t="s">
        <v>436</v>
      </c>
      <c r="M41" t="s">
        <v>451</v>
      </c>
      <c r="N41" s="122"/>
      <c r="P41" s="122" t="s">
        <v>509</v>
      </c>
      <c r="Q41" s="122" t="s">
        <v>527</v>
      </c>
      <c r="R41"/>
      <c r="S41" t="s">
        <v>567</v>
      </c>
      <c r="T41" t="s">
        <v>668</v>
      </c>
      <c r="V41" s="122" t="s">
        <v>328</v>
      </c>
      <c r="W41" s="122" t="s">
        <v>231</v>
      </c>
      <c r="Y41"/>
      <c r="CE41" s="68">
        <f t="shared" si="0"/>
        <v>14</v>
      </c>
      <c r="CF41" s="68">
        <f t="shared" si="33"/>
        <v>1</v>
      </c>
      <c r="CG41" s="68">
        <f t="shared" si="1"/>
        <v>13</v>
      </c>
      <c r="CH41" s="68">
        <f t="shared" si="2"/>
        <v>1</v>
      </c>
      <c r="CI41" s="68">
        <f t="shared" si="3"/>
        <v>-44</v>
      </c>
      <c r="CJ41" s="72" t="str">
        <f t="shared" si="34"/>
        <v>44*</v>
      </c>
      <c r="CK41" s="68">
        <f t="shared" si="5"/>
        <v>142</v>
      </c>
      <c r="CL41" s="70">
        <f t="shared" si="35"/>
        <v>11.833333333333334</v>
      </c>
      <c r="CM41" s="68">
        <f t="shared" si="6"/>
        <v>127</v>
      </c>
      <c r="CN41" s="68">
        <f t="shared" si="7"/>
        <v>0</v>
      </c>
      <c r="CO41" s="71">
        <f t="array" ref="CO41">SUM(IF(ISERR(FIND("*",D41:CD41)),0,1))</f>
        <v>0</v>
      </c>
      <c r="CP41" s="71">
        <f t="array" ref="CP41">SUM(IF(ISERR(FIND("+",D41:CD41)),0,1))</f>
        <v>0</v>
      </c>
      <c r="CQ41" s="68">
        <f t="shared" si="8"/>
        <v>3</v>
      </c>
      <c r="CR41" s="71">
        <f t="array" ref="CR41">SUM(IF(ISERR(FIND(CR$4,$D41:$CD41)),0,1))</f>
        <v>7</v>
      </c>
      <c r="CS41" s="71">
        <f t="array" ref="CS41">SUM(IF(ISERR(FIND(CS$4,$D41:$CD41)),0,1))</f>
        <v>1</v>
      </c>
      <c r="CT41" s="71">
        <f t="array" ref="CT41">SUM(IF(ISERR(FIND(CT$4,$D41:$CD41)),0,1))</f>
        <v>4</v>
      </c>
      <c r="CU41" s="71">
        <f t="array" ref="CU41">SUM(IF(ISERR(FIND(CU$4,$D41:$CD41)),0,1))</f>
        <v>0</v>
      </c>
      <c r="CV41" s="71">
        <f t="array" ref="CV41">SUM(IF(ISERR(FIND(CV$4,$D41:$CD41)),0,1))</f>
        <v>0</v>
      </c>
      <c r="CW41" s="71">
        <f t="array" ref="CW41">SUM(IF(ISERR(FIND(CW$4,$D41:$CD41)),0,1))</f>
        <v>0</v>
      </c>
      <c r="CX41" s="71">
        <f t="shared" si="36"/>
        <v>0</v>
      </c>
      <c r="CY41" s="71">
        <f t="shared" si="10"/>
        <v>0</v>
      </c>
      <c r="CZ41" s="71">
        <f t="shared" si="11"/>
        <v>19</v>
      </c>
      <c r="DA41" s="71">
        <f t="shared" si="12"/>
        <v>0</v>
      </c>
      <c r="DB41" s="71">
        <f t="shared" si="13"/>
        <v>0</v>
      </c>
      <c r="DC41" s="71">
        <f t="shared" si="14"/>
        <v>0</v>
      </c>
      <c r="DD41" s="71">
        <f t="shared" si="15"/>
        <v>2</v>
      </c>
      <c r="DE41" s="68">
        <f t="shared" si="37"/>
        <v>1184315.42041</v>
      </c>
      <c r="DF41" s="68">
        <f t="shared" si="16"/>
        <v>16</v>
      </c>
      <c r="DG41" s="68">
        <v>0</v>
      </c>
      <c r="DH41" s="89">
        <f t="shared" si="38"/>
        <v>0.53521126760563376</v>
      </c>
      <c r="DI41" s="97">
        <f t="shared" si="39"/>
        <v>0.25</v>
      </c>
    </row>
    <row r="42" spans="1:113" x14ac:dyDescent="0.15">
      <c r="A42" s="68" t="s">
        <v>57</v>
      </c>
      <c r="B42" s="68" t="s">
        <v>32</v>
      </c>
      <c r="C42" s="68" t="s">
        <v>152</v>
      </c>
      <c r="D42" s="122"/>
      <c r="E42" t="s">
        <v>317</v>
      </c>
      <c r="F42" s="122" t="s">
        <v>333</v>
      </c>
      <c r="G42"/>
      <c r="H42" s="122"/>
      <c r="I42" s="60"/>
      <c r="J42" s="122" t="s">
        <v>401</v>
      </c>
      <c r="K42" t="s">
        <v>419</v>
      </c>
      <c r="M42"/>
      <c r="N42" t="s">
        <v>472</v>
      </c>
      <c r="O42"/>
      <c r="Q42"/>
      <c r="R42"/>
      <c r="S42"/>
      <c r="T42"/>
      <c r="V42" s="122"/>
      <c r="W42"/>
      <c r="Z42"/>
      <c r="CE42" s="68">
        <f t="shared" si="0"/>
        <v>5</v>
      </c>
      <c r="CF42" s="68">
        <f t="shared" si="33"/>
        <v>0</v>
      </c>
      <c r="CG42" s="68">
        <f t="shared" si="1"/>
        <v>5</v>
      </c>
      <c r="CH42" s="68">
        <f t="shared" si="2"/>
        <v>0</v>
      </c>
      <c r="CI42" s="68">
        <f t="shared" si="3"/>
        <v>62</v>
      </c>
      <c r="CJ42" s="72">
        <f t="shared" si="34"/>
        <v>62</v>
      </c>
      <c r="CK42" s="68">
        <f t="shared" si="5"/>
        <v>111</v>
      </c>
      <c r="CL42" s="70">
        <f t="shared" si="35"/>
        <v>22.2</v>
      </c>
      <c r="CM42" s="68">
        <f t="shared" si="6"/>
        <v>121</v>
      </c>
      <c r="CN42" s="68">
        <f t="shared" si="7"/>
        <v>0</v>
      </c>
      <c r="CO42" s="71">
        <f t="array" ref="CO42">SUM(IF(ISERR(FIND("*",D42:CD42)),0,1))</f>
        <v>0</v>
      </c>
      <c r="CP42" s="71">
        <f t="array" ref="CP42">SUM(IF(ISERR(FIND("+",D42:CD42)),0,1))</f>
        <v>5</v>
      </c>
      <c r="CQ42" s="68">
        <f t="shared" si="8"/>
        <v>0</v>
      </c>
      <c r="CR42" s="71">
        <f t="array" ref="CR42">SUM(IF(ISERR(FIND(CR$4,$D42:$CD42)),0,1))</f>
        <v>2</v>
      </c>
      <c r="CS42" s="71">
        <f t="array" ref="CS42">SUM(IF(ISERR(FIND(CS$4,$D42:$CD42)),0,1))</f>
        <v>2</v>
      </c>
      <c r="CT42" s="71">
        <f t="array" ref="CT42">SUM(IF(ISERR(FIND(CT$4,$D42:$CD42)),0,1))</f>
        <v>1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>
        <f t="shared" si="36"/>
        <v>1</v>
      </c>
      <c r="CY42" s="71">
        <f t="shared" si="10"/>
        <v>1</v>
      </c>
      <c r="CZ42" s="71">
        <f t="shared" si="11"/>
        <v>20</v>
      </c>
      <c r="DA42" s="71">
        <f t="shared" si="12"/>
        <v>1</v>
      </c>
      <c r="DB42" s="71">
        <f t="shared" si="13"/>
        <v>1</v>
      </c>
      <c r="DC42" s="71">
        <f t="shared" si="14"/>
        <v>1</v>
      </c>
      <c r="DD42" s="71">
        <f t="shared" si="15"/>
        <v>1</v>
      </c>
      <c r="DE42" s="68">
        <f t="shared" si="37"/>
        <v>2220506.1104199998</v>
      </c>
      <c r="DF42" s="68">
        <f t="shared" si="16"/>
        <v>9</v>
      </c>
      <c r="DG42" s="68">
        <v>0</v>
      </c>
      <c r="DH42" s="89">
        <f t="shared" si="38"/>
        <v>0.77477477477477474</v>
      </c>
      <c r="DI42" s="97">
        <f t="shared" si="39"/>
        <v>0</v>
      </c>
    </row>
    <row r="43" spans="1:113" x14ac:dyDescent="0.15">
      <c r="CJ43" s="72"/>
      <c r="CL43" s="70"/>
      <c r="CO43" s="71"/>
      <c r="CP43" s="71"/>
      <c r="CR43" s="71"/>
      <c r="CS43" s="71"/>
      <c r="CT43" s="71"/>
      <c r="CU43" s="71"/>
      <c r="CV43" s="71"/>
      <c r="CW43" s="71"/>
      <c r="CX43" s="71"/>
    </row>
    <row r="44" spans="1:113" x14ac:dyDescent="0.15">
      <c r="CO44" s="90">
        <f t="shared" ref="CO44:CV44" si="77">SUM(CO5:CO43)</f>
        <v>21</v>
      </c>
      <c r="CP44" s="90">
        <f t="shared" si="77"/>
        <v>21</v>
      </c>
      <c r="CQ44" s="60">
        <f t="shared" si="77"/>
        <v>26</v>
      </c>
      <c r="CR44" s="73">
        <f t="shared" si="77"/>
        <v>62</v>
      </c>
      <c r="CS44" s="73">
        <f t="shared" si="77"/>
        <v>45</v>
      </c>
      <c r="CT44" s="73">
        <f t="shared" si="77"/>
        <v>25</v>
      </c>
      <c r="CU44" s="73">
        <f t="shared" si="77"/>
        <v>4</v>
      </c>
      <c r="CV44" s="73">
        <f t="shared" si="77"/>
        <v>8</v>
      </c>
      <c r="CW44" s="73"/>
      <c r="CX44" s="73"/>
      <c r="CY44" s="60">
        <f t="shared" ref="CY44:DD44" si="78">SUM(CY5:CY43)</f>
        <v>61</v>
      </c>
      <c r="CZ44" s="60">
        <f t="shared" si="78"/>
        <v>376</v>
      </c>
      <c r="DA44" s="60">
        <f t="shared" si="78"/>
        <v>54</v>
      </c>
      <c r="DB44" s="60">
        <f t="shared" si="78"/>
        <v>10</v>
      </c>
      <c r="DC44" s="60">
        <f t="shared" si="78"/>
        <v>22</v>
      </c>
      <c r="DD44" s="60">
        <f t="shared" si="78"/>
        <v>41</v>
      </c>
    </row>
    <row r="45" spans="1:113" x14ac:dyDescent="0.15">
      <c r="C45" s="68" t="s">
        <v>130</v>
      </c>
      <c r="D45" s="68">
        <f t="array" ref="D45">SUM(IF(NOT(ISERR(FIND("*",D5:D42))),1,0))</f>
        <v>1</v>
      </c>
      <c r="E45" s="68">
        <f t="array" ref="E45">SUM(IF(NOT(ISERR(FIND("*",E5:E42))),1,0))</f>
        <v>1</v>
      </c>
      <c r="F45" s="68">
        <f t="array" ref="F45">SUM(IF(NOT(ISERR(FIND("*",F5:F42))),1,0))</f>
        <v>1</v>
      </c>
      <c r="G45" s="68">
        <f t="array" ref="G45">SUM(IF(NOT(ISERR(FIND("*",G5:G42))),1,0))</f>
        <v>1</v>
      </c>
      <c r="H45" s="68">
        <f t="array" ref="H45">SUM(IF(NOT(ISERR(FIND("*",H5:H42))),1,0))</f>
        <v>1</v>
      </c>
      <c r="I45" s="68">
        <f t="array" ref="I45">SUM(IF(NOT(ISERR(FIND("*",I5:I42))),1,0))</f>
        <v>1</v>
      </c>
      <c r="J45" s="68">
        <f t="array" ref="J45">SUM(IF(NOT(ISERR(FIND("*",J5:J42))),1,0))</f>
        <v>1</v>
      </c>
      <c r="K45" s="68">
        <f t="array" ref="K45">SUM(IF(NOT(ISERR(FIND("*",K5:K42))),1,0))</f>
        <v>1</v>
      </c>
      <c r="L45" s="68">
        <f t="array" ref="L45">SUM(IF(NOT(ISERR(FIND("*",L5:L42))),1,0))</f>
        <v>1</v>
      </c>
      <c r="M45" s="68">
        <f t="array" ref="M45">SUM(IF(NOT(ISERR(FIND("*",M5:M42))),1,0))</f>
        <v>1</v>
      </c>
      <c r="N45" s="68">
        <f t="array" ref="N45">SUM(IF(NOT(ISERR(FIND("*",N5:N42))),1,0))</f>
        <v>1</v>
      </c>
      <c r="O45" s="68">
        <f t="array" ref="O45">SUM(IF(NOT(ISERR(FIND("*",O5:O42))),1,0))</f>
        <v>1</v>
      </c>
      <c r="P45" s="68">
        <f t="array" ref="P45">SUM(IF(NOT(ISERR(FIND("*",P5:P42))),1,0))</f>
        <v>1</v>
      </c>
      <c r="Q45" s="68">
        <f t="array" ref="Q45">SUM(IF(NOT(ISERR(FIND("*",Q5:Q42))),1,0))</f>
        <v>1</v>
      </c>
      <c r="R45" s="68">
        <f t="array" ref="R45">SUM(IF(NOT(ISERR(FIND("*",R5:R42))),1,0))</f>
        <v>1</v>
      </c>
      <c r="S45" s="68">
        <f t="array" ref="S45">SUM(IF(NOT(ISERR(FIND("*",S5:S42))),1,0))</f>
        <v>1</v>
      </c>
      <c r="T45" s="68">
        <f t="array" ref="T45">SUM(IF(NOT(ISERR(FIND("*",T5:T42))),1,0))</f>
        <v>1</v>
      </c>
      <c r="U45" s="68">
        <f t="array" ref="U45">SUM(IF(NOT(ISERR(FIND("*",U5:U42))),1,0))</f>
        <v>1</v>
      </c>
      <c r="V45" s="68">
        <f t="array" ref="V45">SUM(IF(NOT(ISERR(FIND("*",V5:V42))),1,0))</f>
        <v>1</v>
      </c>
      <c r="W45" s="68">
        <f t="array" ref="W45">SUM(IF(NOT(ISERR(FIND("*",W5:W42))),1,0))</f>
        <v>1</v>
      </c>
      <c r="X45" s="68">
        <f t="array" ref="X45">SUM(IF(NOT(ISERR(FIND("*",X5:X42))),1,0))</f>
        <v>1</v>
      </c>
      <c r="Y45" s="68">
        <f t="array" ref="Y45">SUM(IF(NOT(ISERR(FIND("*",Y5:Y42))),1,0))</f>
        <v>0</v>
      </c>
      <c r="Z45" s="68">
        <f t="array" ref="Z45">SUM(IF(NOT(ISERR(FIND("*",Z5:Z42))),1,0))</f>
        <v>0</v>
      </c>
      <c r="AA45" s="68">
        <f t="array" ref="AA45">SUM(IF(NOT(ISERR(FIND("*",AA5:AA42))),1,0))</f>
        <v>0</v>
      </c>
      <c r="AB45" s="68">
        <f t="array" ref="AB45">SUM(IF(NOT(ISERR(FIND("*",AB5:AB42))),1,0))</f>
        <v>0</v>
      </c>
      <c r="AC45" s="68">
        <f t="array" ref="AC45">SUM(IF(NOT(ISERR(FIND("*",AC5:AC42))),1,0))</f>
        <v>0</v>
      </c>
      <c r="AD45" s="68">
        <f t="array" ref="AD45">SUM(IF(NOT(ISERR(FIND("*",AD5:AD42))),1,0))</f>
        <v>0</v>
      </c>
      <c r="AE45" s="68">
        <f t="array" ref="AE45">SUM(IF(NOT(ISERR(FIND("*",AE5:AE42))),1,0))</f>
        <v>0</v>
      </c>
      <c r="AF45" s="68">
        <f t="array" ref="AF45">SUM(IF(NOT(ISERR(FIND("*",AF5:AF42))),1,0))</f>
        <v>0</v>
      </c>
      <c r="AG45" s="68">
        <f t="array" ref="AG45">SUM(IF(NOT(ISERR(FIND("*",AG5:AG42))),1,0))</f>
        <v>0</v>
      </c>
      <c r="AH45" s="68">
        <f t="array" ref="AH45">SUM(IF(NOT(ISERR(FIND("*",AH5:AH42))),1,0))</f>
        <v>0</v>
      </c>
      <c r="AI45" s="68">
        <f t="array" ref="AI45">SUM(IF(NOT(ISERR(FIND("*",AI5:AI42))),1,0))</f>
        <v>0</v>
      </c>
      <c r="AJ45" s="68">
        <f t="array" ref="AJ45">SUM(IF(NOT(ISERR(FIND("*",AJ5:AJ42))),1,0))</f>
        <v>0</v>
      </c>
      <c r="AK45" s="68">
        <f t="array" ref="AK45">SUM(IF(NOT(ISERR(FIND("*",AK5:AK42))),1,0))</f>
        <v>0</v>
      </c>
      <c r="AL45" s="68">
        <f t="array" ref="AL45">SUM(IF(NOT(ISERR(FIND("*",AL5:AL42))),1,0))</f>
        <v>0</v>
      </c>
      <c r="AM45" s="68">
        <f t="array" ref="AM45">SUM(IF(NOT(ISERR(FIND("*",AM5:AM42))),1,0))</f>
        <v>0</v>
      </c>
      <c r="AN45" s="68">
        <f t="array" ref="AN45">SUM(IF(NOT(ISERR(FIND("*",AN5:AN42))),1,0))</f>
        <v>0</v>
      </c>
      <c r="AO45" s="68">
        <f t="array" ref="AO45">SUM(IF(NOT(ISERR(FIND("*",AO5:AO42))),1,0))</f>
        <v>0</v>
      </c>
      <c r="AP45" s="68">
        <f t="array" ref="AP45">SUM(IF(NOT(ISERR(FIND("*",AP5:AP42))),1,0))</f>
        <v>0</v>
      </c>
      <c r="AQ45" s="68">
        <f t="array" ref="AQ45">SUM(IF(NOT(ISERR(FIND("*",AQ5:AQ42))),1,0))</f>
        <v>0</v>
      </c>
      <c r="AR45" s="68">
        <f t="array" ref="AR45">SUM(IF(NOT(ISERR(FIND("*",AR5:AR42))),1,0))</f>
        <v>0</v>
      </c>
      <c r="AS45" s="68">
        <f t="array" ref="AS45">SUM(IF(NOT(ISERR(FIND("*",AS5:AS42))),1,0))</f>
        <v>0</v>
      </c>
      <c r="AT45" s="68">
        <f t="array" ref="AT45">SUM(IF(NOT(ISERR(FIND("*",AT5:AT42))),1,0))</f>
        <v>0</v>
      </c>
      <c r="AU45" s="68">
        <f t="array" ref="AU45">SUM(IF(NOT(ISERR(FIND("*",AU5:AU42))),1,0))</f>
        <v>0</v>
      </c>
      <c r="AV45" s="68">
        <f t="array" ref="AV45">SUM(IF(NOT(ISERR(FIND("*",AV5:AV42))),1,0))</f>
        <v>0</v>
      </c>
      <c r="AW45" s="68">
        <f t="array" ref="AW45">SUM(IF(NOT(ISERR(FIND("*",AW5:AW42))),1,0))</f>
        <v>0</v>
      </c>
      <c r="AX45" s="68">
        <f t="array" ref="AX45">SUM(IF(NOT(ISERR(FIND("*",AX5:AX42))),1,0))</f>
        <v>0</v>
      </c>
      <c r="AY45" s="68">
        <f t="array" ref="AY45">SUM(IF(NOT(ISERR(FIND("*",AY5:AY42))),1,0))</f>
        <v>0</v>
      </c>
      <c r="AZ45" s="68">
        <f t="array" ref="AZ45">SUM(IF(NOT(ISERR(FIND("*",AZ5:AZ42))),1,0))</f>
        <v>0</v>
      </c>
      <c r="BA45" s="68">
        <f t="array" ref="BA45">SUM(IF(NOT(ISERR(FIND("*",BA5:BA42))),1,0))</f>
        <v>0</v>
      </c>
      <c r="BB45" s="68">
        <f t="array" ref="BB45">SUM(IF(NOT(ISERR(FIND("*",BB5:BB42))),1,0))</f>
        <v>0</v>
      </c>
      <c r="BC45" s="68">
        <f t="array" ref="BC45">SUM(IF(NOT(ISERR(FIND("*",BC5:BC42))),1,0))</f>
        <v>0</v>
      </c>
      <c r="BD45" s="68">
        <f t="array" ref="BD45">SUM(IF(NOT(ISERR(FIND("*",BD5:BD42))),1,0))</f>
        <v>0</v>
      </c>
      <c r="BE45" s="68">
        <f t="array" ref="BE45">SUM(IF(NOT(ISERR(FIND("*",BE5:BE42))),1,0))</f>
        <v>0</v>
      </c>
      <c r="BF45" s="68">
        <f t="array" ref="BF45">SUM(IF(NOT(ISERR(FIND("*",BF5:BF42))),1,0))</f>
        <v>0</v>
      </c>
      <c r="CE45" s="68">
        <f>SUM(D45:BF45)</f>
        <v>21</v>
      </c>
      <c r="CO45" s="91">
        <f>SUM(D45:BF45)</f>
        <v>21</v>
      </c>
      <c r="CP45" s="60"/>
      <c r="CQ45" s="60"/>
      <c r="CR45" s="73">
        <f>SUM(CR44:CV44)</f>
        <v>144</v>
      </c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</row>
    <row r="46" spans="1:113" x14ac:dyDescent="0.15">
      <c r="C46" s="68" t="s">
        <v>14</v>
      </c>
      <c r="D46" s="68">
        <f t="array" ref="D46">SUM(IF(NOT(ISERR(FIND("+",D5:D42))),1,0))</f>
        <v>1</v>
      </c>
      <c r="E46" s="68">
        <f t="array" ref="E46">SUM(IF(NOT(ISERR(FIND("+",E5:E42))),1,0))</f>
        <v>1</v>
      </c>
      <c r="F46" s="68">
        <f t="array" ref="F46">SUM(IF(NOT(ISERR(FIND("+",F5:F42))),1,0))</f>
        <v>1</v>
      </c>
      <c r="G46" s="68">
        <f t="array" ref="G46">SUM(IF(NOT(ISERR(FIND("+",G5:G42))),1,0))</f>
        <v>1</v>
      </c>
      <c r="H46" s="68">
        <f t="array" ref="H46">SUM(IF(NOT(ISERR(FIND("+",H5:H42))),1,0))</f>
        <v>1</v>
      </c>
      <c r="I46" s="68">
        <f t="array" ref="I46">SUM(IF(NOT(ISERR(FIND("+",I5:I42))),1,0))</f>
        <v>2</v>
      </c>
      <c r="J46" s="68">
        <f t="array" ref="J46">SUM(IF(NOT(ISERR(FIND("+",J5:J42))),1,0))</f>
        <v>1</v>
      </c>
      <c r="K46" s="68">
        <f t="array" ref="K46">SUM(IF(NOT(ISERR(FIND("+",K5:K42))),1,0))</f>
        <v>1</v>
      </c>
      <c r="L46" s="68">
        <f t="array" ref="L46">SUM(IF(NOT(ISERR(FIND("+",L5:L42))),1,0))</f>
        <v>1</v>
      </c>
      <c r="M46" s="68">
        <f t="array" ref="M46">SUM(IF(NOT(ISERR(FIND("+",M5:M42))),1,0))</f>
        <v>1</v>
      </c>
      <c r="N46" s="68">
        <f t="array" ref="N46">SUM(IF(NOT(ISERR(FIND("+",N5:N42))),1,0))</f>
        <v>1</v>
      </c>
      <c r="O46" s="68">
        <f t="array" ref="O46">SUM(IF(NOT(ISERR(FIND("+",O5:O42))),1,0))</f>
        <v>1</v>
      </c>
      <c r="P46" s="68">
        <f t="array" ref="P46">SUM(IF(NOT(ISERR(FIND("+",P5:P42))),1,0))</f>
        <v>1</v>
      </c>
      <c r="Q46" s="68">
        <f t="array" ref="Q46">SUM(IF(NOT(ISERR(FIND("+",Q5:Q42))),1,0))</f>
        <v>1</v>
      </c>
      <c r="R46" s="68">
        <f t="array" ref="R46">SUM(IF(NOT(ISERR(FIND("+",R5:R42))),1,0))</f>
        <v>0</v>
      </c>
      <c r="S46" s="68">
        <f t="array" ref="S46">SUM(IF(NOT(ISERR(FIND("+",S5:S42))),1,0))</f>
        <v>1</v>
      </c>
      <c r="T46" s="68">
        <f t="array" ref="T46">SUM(IF(NOT(ISERR(FIND("+",T5:T42))),1,0))</f>
        <v>1</v>
      </c>
      <c r="U46" s="68">
        <f t="array" ref="U46">SUM(IF(NOT(ISERR(FIND("+",U5:U42))),1,0))</f>
        <v>1</v>
      </c>
      <c r="V46" s="68">
        <f t="array" ref="V46">SUM(IF(NOT(ISERR(FIND("+",V5:V42))),1,0))</f>
        <v>1</v>
      </c>
      <c r="W46" s="68">
        <f t="array" ref="W46">SUM(IF(NOT(ISERR(FIND("+",W5:W42))),1,0))</f>
        <v>1</v>
      </c>
      <c r="X46" s="68">
        <f t="array" ref="X46">SUM(IF(NOT(ISERR(FIND("+",X5:X42))),1,0))</f>
        <v>1</v>
      </c>
      <c r="Y46" s="68">
        <f t="array" ref="Y46">SUM(IF(NOT(ISERR(FIND("+",Y5:Y42))),1,0))</f>
        <v>0</v>
      </c>
      <c r="Z46" s="68">
        <f t="array" ref="Z46">SUM(IF(NOT(ISERR(FIND("+",Z5:Z42))),1,0))</f>
        <v>0</v>
      </c>
      <c r="AA46" s="68">
        <f t="array" ref="AA46">SUM(IF(NOT(ISERR(FIND("+",AA5:AA42))),1,0))</f>
        <v>0</v>
      </c>
      <c r="AB46" s="68">
        <f t="array" ref="AB46">SUM(IF(NOT(ISERR(FIND("+",AB5:AB42))),1,0))</f>
        <v>0</v>
      </c>
      <c r="AC46" s="68">
        <f t="array" ref="AC46">SUM(IF(NOT(ISERR(FIND("+",AC5:AC42))),1,0))</f>
        <v>0</v>
      </c>
      <c r="AD46" s="68">
        <f t="array" ref="AD46">SUM(IF(NOT(ISERR(FIND("+",AD5:AD42))),1,0))</f>
        <v>0</v>
      </c>
      <c r="AE46" s="68">
        <f t="array" ref="AE46">SUM(IF(NOT(ISERR(FIND("+",AE5:AE42))),1,0))</f>
        <v>0</v>
      </c>
      <c r="AF46" s="68">
        <f t="array" ref="AF46">SUM(IF(NOT(ISERR(FIND("+",AF5:AF42))),1,0))</f>
        <v>0</v>
      </c>
      <c r="AG46" s="68">
        <f t="array" ref="AG46">SUM(IF(NOT(ISERR(FIND("+",AG5:AG42))),1,0))</f>
        <v>0</v>
      </c>
      <c r="AH46" s="68">
        <f t="array" ref="AH46">SUM(IF(NOT(ISERR(FIND("+",AH5:AH42))),1,0))</f>
        <v>0</v>
      </c>
      <c r="AI46" s="68">
        <f t="array" ref="AI46">SUM(IF(NOT(ISERR(FIND("+",AI5:AI42))),1,0))</f>
        <v>0</v>
      </c>
      <c r="AJ46" s="68">
        <f t="array" ref="AJ46">SUM(IF(NOT(ISERR(FIND("+",AJ5:AJ42))),1,0))</f>
        <v>0</v>
      </c>
      <c r="AK46" s="68">
        <f t="array" ref="AK46">SUM(IF(NOT(ISERR(FIND("+",AK5:AK42))),1,0))</f>
        <v>0</v>
      </c>
      <c r="AL46" s="68">
        <f t="array" ref="AL46">SUM(IF(NOT(ISERR(FIND("+",AL5:AL42))),1,0))</f>
        <v>0</v>
      </c>
      <c r="AM46" s="68">
        <f t="array" ref="AM46">SUM(IF(NOT(ISERR(FIND("+",AM5:AM42))),1,0))</f>
        <v>0</v>
      </c>
      <c r="AN46" s="68">
        <f t="array" ref="AN46">SUM(IF(NOT(ISERR(FIND("+",AN5:AN42))),1,0))</f>
        <v>0</v>
      </c>
      <c r="AO46" s="68">
        <f t="array" ref="AO46">SUM(IF(NOT(ISERR(FIND("+",AO5:AO42))),1,0))</f>
        <v>0</v>
      </c>
      <c r="AP46" s="68">
        <f t="array" ref="AP46">SUM(IF(NOT(ISERR(FIND("+",AP5:AP42))),1,0))</f>
        <v>0</v>
      </c>
      <c r="AQ46" s="68">
        <f t="array" ref="AQ46">SUM(IF(NOT(ISERR(FIND("+",AQ5:AQ42))),1,0))</f>
        <v>0</v>
      </c>
      <c r="AR46" s="68">
        <f t="array" ref="AR46">SUM(IF(NOT(ISERR(FIND("+",AR5:AR42))),1,0))</f>
        <v>0</v>
      </c>
      <c r="AS46" s="68">
        <f t="array" ref="AS46">SUM(IF(NOT(ISERR(FIND("+",AS5:AS42))),1,0))</f>
        <v>0</v>
      </c>
      <c r="AT46" s="68">
        <f t="array" ref="AT46">SUM(IF(NOT(ISERR(FIND("+",AT5:AT42))),1,0))</f>
        <v>0</v>
      </c>
      <c r="AU46" s="68">
        <f t="array" ref="AU46">SUM(IF(NOT(ISERR(FIND("+",AU5:AU42))),1,0))</f>
        <v>0</v>
      </c>
      <c r="AV46" s="68">
        <f t="array" ref="AV46">SUM(IF(NOT(ISERR(FIND("+",AV5:AV42))),1,0))</f>
        <v>0</v>
      </c>
      <c r="AW46" s="68">
        <f t="array" ref="AW46">SUM(IF(NOT(ISERR(FIND("+",AW5:AW42))),1,0))</f>
        <v>0</v>
      </c>
      <c r="AX46" s="68">
        <f t="array" ref="AX46">SUM(IF(NOT(ISERR(FIND("+",AX5:AX42))),1,0))</f>
        <v>0</v>
      </c>
      <c r="AY46" s="68">
        <f t="array" ref="AY46">SUM(IF(NOT(ISERR(FIND("+",AY5:AY42))),1,0))</f>
        <v>0</v>
      </c>
      <c r="AZ46" s="68">
        <f t="array" ref="AZ46">SUM(IF(NOT(ISERR(FIND("+",AZ5:AZ42))),1,0))</f>
        <v>0</v>
      </c>
      <c r="BA46" s="68">
        <f t="array" ref="BA46">SUM(IF(NOT(ISERR(FIND("+",BA5:BA42))),1,0))</f>
        <v>0</v>
      </c>
      <c r="BB46" s="68">
        <f t="array" ref="BB46">SUM(IF(NOT(ISERR(FIND("+",BB5:BB42))),1,0))</f>
        <v>0</v>
      </c>
      <c r="BC46" s="68">
        <f t="array" ref="BC46">SUM(IF(NOT(ISERR(FIND("+",BC5:BC42))),1,0))</f>
        <v>0</v>
      </c>
      <c r="BD46" s="68">
        <f t="array" ref="BD46">SUM(IF(NOT(ISERR(FIND("+",BD5:BD42))),1,0))</f>
        <v>0</v>
      </c>
      <c r="BE46" s="68">
        <f t="array" ref="BE46">SUM(IF(NOT(ISERR(FIND("+",BE5:BE42))),1,0))</f>
        <v>0</v>
      </c>
      <c r="BF46" s="68">
        <f t="array" ref="BF46">SUM(IF(NOT(ISERR(FIND("+",BF5:BF42))),1,0))</f>
        <v>0</v>
      </c>
      <c r="CE46" s="68">
        <f>SUM(D46:BF46)</f>
        <v>21</v>
      </c>
      <c r="CO46" s="91">
        <f>SUM(D46:BF46)</f>
        <v>21</v>
      </c>
      <c r="CP46" s="60"/>
      <c r="CQ46" s="60"/>
      <c r="CR46" s="107">
        <f>CR44/$CR$45</f>
        <v>0.43055555555555558</v>
      </c>
      <c r="CS46" s="107">
        <f>CS44/$CR$45</f>
        <v>0.3125</v>
      </c>
      <c r="CT46" s="107">
        <f>CT44/$CR$45</f>
        <v>0.1736111111111111</v>
      </c>
      <c r="CU46" s="107">
        <f>CU44/$CR$45</f>
        <v>2.7777777777777776E-2</v>
      </c>
      <c r="CV46" s="107">
        <f>CV44/$CR$45</f>
        <v>5.5555555555555552E-2</v>
      </c>
      <c r="CW46" s="107"/>
      <c r="CX46" s="107"/>
      <c r="CY46" s="60"/>
      <c r="CZ46" s="60"/>
      <c r="DA46" s="60"/>
      <c r="DB46" s="60"/>
      <c r="DC46" s="60"/>
      <c r="DD46" s="60"/>
    </row>
    <row r="48" spans="1:113" x14ac:dyDescent="0.15">
      <c r="C48" s="68" t="s">
        <v>121</v>
      </c>
      <c r="D48" s="68">
        <f t="shared" ref="D48:AI48" si="79">BatSplit(D5:D42,RunsScored)</f>
        <v>164</v>
      </c>
      <c r="E48" s="68">
        <f t="shared" si="79"/>
        <v>113</v>
      </c>
      <c r="F48" s="68">
        <f t="shared" si="79"/>
        <v>126</v>
      </c>
      <c r="G48" s="68">
        <f t="shared" si="79"/>
        <v>155</v>
      </c>
      <c r="H48" s="68">
        <f t="shared" si="79"/>
        <v>78</v>
      </c>
      <c r="I48" s="68">
        <f t="shared" si="79"/>
        <v>44</v>
      </c>
      <c r="J48" s="68">
        <f t="shared" si="79"/>
        <v>154</v>
      </c>
      <c r="K48" s="68">
        <f t="shared" si="79"/>
        <v>155</v>
      </c>
      <c r="L48" s="68">
        <f t="shared" si="79"/>
        <v>111</v>
      </c>
      <c r="M48" s="68">
        <f t="shared" si="79"/>
        <v>174</v>
      </c>
      <c r="N48" s="68">
        <f t="shared" si="79"/>
        <v>181</v>
      </c>
      <c r="O48" s="68">
        <f t="shared" si="79"/>
        <v>99</v>
      </c>
      <c r="P48" s="68">
        <f t="shared" si="79"/>
        <v>194</v>
      </c>
      <c r="Q48" s="68">
        <f t="shared" si="79"/>
        <v>146</v>
      </c>
      <c r="R48" s="68">
        <f t="shared" si="79"/>
        <v>124</v>
      </c>
      <c r="S48" s="68">
        <f t="shared" si="79"/>
        <v>162</v>
      </c>
      <c r="T48" s="68">
        <f t="shared" si="79"/>
        <v>127</v>
      </c>
      <c r="U48" s="68">
        <f t="shared" si="79"/>
        <v>121</v>
      </c>
      <c r="V48" s="68">
        <f t="shared" si="79"/>
        <v>116</v>
      </c>
      <c r="W48" s="68">
        <f t="shared" si="79"/>
        <v>193</v>
      </c>
      <c r="X48" s="68">
        <f t="shared" si="79"/>
        <v>212</v>
      </c>
      <c r="Y48" s="68">
        <f t="shared" si="79"/>
        <v>0</v>
      </c>
      <c r="Z48" s="68">
        <f t="shared" si="79"/>
        <v>0</v>
      </c>
      <c r="AA48" s="68">
        <f t="shared" si="79"/>
        <v>0</v>
      </c>
      <c r="AB48" s="68">
        <f t="shared" si="79"/>
        <v>0</v>
      </c>
      <c r="AC48" s="68">
        <f t="shared" si="79"/>
        <v>0</v>
      </c>
      <c r="AD48" s="68">
        <f t="shared" si="79"/>
        <v>0</v>
      </c>
      <c r="AE48" s="68">
        <f t="shared" si="79"/>
        <v>0</v>
      </c>
      <c r="AF48" s="68">
        <f t="shared" si="79"/>
        <v>0</v>
      </c>
      <c r="AG48" s="68">
        <f t="shared" si="79"/>
        <v>0</v>
      </c>
      <c r="AH48" s="68">
        <f t="shared" si="79"/>
        <v>0</v>
      </c>
      <c r="AI48" s="68">
        <f t="shared" si="79"/>
        <v>0</v>
      </c>
      <c r="AJ48" s="68">
        <f t="shared" ref="AJ48:BF48" si="80">BatSplit(AJ5:AJ42,RunsScored)</f>
        <v>0</v>
      </c>
      <c r="AK48" s="68">
        <f t="shared" si="80"/>
        <v>0</v>
      </c>
      <c r="AL48" s="68">
        <f t="shared" si="80"/>
        <v>0</v>
      </c>
      <c r="AM48" s="68">
        <f t="shared" si="80"/>
        <v>0</v>
      </c>
      <c r="AN48" s="68">
        <f t="shared" si="80"/>
        <v>0</v>
      </c>
      <c r="AO48" s="68">
        <f t="shared" si="80"/>
        <v>0</v>
      </c>
      <c r="AP48" s="68">
        <f t="shared" si="80"/>
        <v>0</v>
      </c>
      <c r="AQ48" s="68">
        <f t="shared" si="80"/>
        <v>0</v>
      </c>
      <c r="AR48" s="68">
        <f t="shared" si="80"/>
        <v>0</v>
      </c>
      <c r="AS48" s="68">
        <f t="shared" si="80"/>
        <v>0</v>
      </c>
      <c r="AT48" s="68">
        <f t="shared" si="80"/>
        <v>0</v>
      </c>
      <c r="AU48" s="68">
        <f t="shared" si="80"/>
        <v>0</v>
      </c>
      <c r="AV48" s="68">
        <f t="shared" si="80"/>
        <v>0</v>
      </c>
      <c r="AW48" s="68">
        <f t="shared" si="80"/>
        <v>0</v>
      </c>
      <c r="AX48" s="68">
        <f t="shared" si="80"/>
        <v>0</v>
      </c>
      <c r="AY48" s="68">
        <f t="shared" si="80"/>
        <v>0</v>
      </c>
      <c r="AZ48" s="68">
        <f t="shared" si="80"/>
        <v>0</v>
      </c>
      <c r="BA48" s="68">
        <f t="shared" si="80"/>
        <v>0</v>
      </c>
      <c r="BB48" s="68">
        <f t="shared" si="80"/>
        <v>0</v>
      </c>
      <c r="BC48" s="68">
        <f t="shared" si="80"/>
        <v>0</v>
      </c>
      <c r="BD48" s="68">
        <f t="shared" si="80"/>
        <v>0</v>
      </c>
      <c r="BE48" s="68">
        <f t="shared" si="80"/>
        <v>0</v>
      </c>
      <c r="BF48" s="68">
        <f t="shared" si="80"/>
        <v>0</v>
      </c>
      <c r="CE48" s="68">
        <f>SUM(D48:BD48)</f>
        <v>2949</v>
      </c>
      <c r="CG48" s="68">
        <f>SUM(CG5:CG43)</f>
        <v>183</v>
      </c>
      <c r="CH48" s="68">
        <f>SUM(CH5:CH43)</f>
        <v>37</v>
      </c>
      <c r="CI48" s="68">
        <f>SUM(CI5:CI42)</f>
        <v>188</v>
      </c>
      <c r="CK48" s="68">
        <f>SUM(CK5:CK43)</f>
        <v>2949</v>
      </c>
      <c r="CO48" s="68">
        <f>SUM(D48:BF48)</f>
        <v>2949</v>
      </c>
    </row>
    <row r="49" spans="2:93" x14ac:dyDescent="0.15">
      <c r="C49" s="68" t="s">
        <v>120</v>
      </c>
      <c r="D49" s="68">
        <f t="array" ref="D49:BF49">TRANSPOSE(Matches!Z5:Z59)</f>
        <v>29</v>
      </c>
      <c r="E49" s="68">
        <v>17</v>
      </c>
      <c r="F49" s="68">
        <v>20</v>
      </c>
      <c r="G49" s="68">
        <v>20</v>
      </c>
      <c r="H49" s="68">
        <v>18</v>
      </c>
      <c r="I49" s="68">
        <v>10</v>
      </c>
      <c r="J49" s="68">
        <v>28</v>
      </c>
      <c r="K49" s="68">
        <v>5</v>
      </c>
      <c r="L49" s="68">
        <v>1</v>
      </c>
      <c r="M49" s="68">
        <v>22</v>
      </c>
      <c r="N49" s="68">
        <v>28</v>
      </c>
      <c r="O49" s="68">
        <v>12</v>
      </c>
      <c r="P49" s="68">
        <v>53</v>
      </c>
      <c r="Q49" s="68">
        <v>22</v>
      </c>
      <c r="R49" s="68">
        <v>26</v>
      </c>
      <c r="S49" s="68">
        <v>16</v>
      </c>
      <c r="T49" s="68">
        <v>12</v>
      </c>
      <c r="U49" s="68">
        <v>24</v>
      </c>
      <c r="V49" s="68">
        <v>17</v>
      </c>
      <c r="W49" s="68">
        <v>11</v>
      </c>
      <c r="X49" s="68">
        <v>11</v>
      </c>
      <c r="Y49" s="68">
        <v>0</v>
      </c>
      <c r="Z49" s="68">
        <v>0</v>
      </c>
      <c r="AA49" s="68">
        <v>0</v>
      </c>
      <c r="AB49" s="68">
        <v>0</v>
      </c>
      <c r="AC49" s="68">
        <v>0</v>
      </c>
      <c r="AD49" s="68">
        <v>0</v>
      </c>
      <c r="AE49" s="68">
        <v>0</v>
      </c>
      <c r="AF49" s="68">
        <v>0</v>
      </c>
      <c r="AG49" s="68">
        <v>0</v>
      </c>
      <c r="AH49" s="68">
        <v>0</v>
      </c>
      <c r="AI49" s="68">
        <v>0</v>
      </c>
      <c r="AJ49" s="68">
        <v>0</v>
      </c>
      <c r="AK49" s="68">
        <v>0</v>
      </c>
      <c r="AL49" s="68">
        <v>0</v>
      </c>
      <c r="AM49" s="68">
        <v>0</v>
      </c>
      <c r="AN49" s="68">
        <v>0</v>
      </c>
      <c r="AO49" s="68">
        <v>0</v>
      </c>
      <c r="AP49" s="68">
        <v>0</v>
      </c>
      <c r="AQ49" s="68">
        <v>0</v>
      </c>
      <c r="AR49" s="68">
        <v>0</v>
      </c>
      <c r="AS49" s="68">
        <v>0</v>
      </c>
      <c r="AT49" s="68">
        <v>0</v>
      </c>
      <c r="AU49" s="68">
        <v>0</v>
      </c>
      <c r="AV49" s="68">
        <v>0</v>
      </c>
      <c r="AW49" s="68">
        <v>0</v>
      </c>
      <c r="AX49" s="68">
        <v>0</v>
      </c>
      <c r="AY49" s="68">
        <v>0</v>
      </c>
      <c r="AZ49" s="68">
        <v>0</v>
      </c>
      <c r="BA49" s="68">
        <v>0</v>
      </c>
      <c r="BB49" s="68">
        <v>0</v>
      </c>
      <c r="BC49" s="68">
        <v>0</v>
      </c>
      <c r="BD49" s="68">
        <v>0</v>
      </c>
      <c r="BE49" s="68">
        <v>0</v>
      </c>
      <c r="BF49" s="68">
        <v>0</v>
      </c>
      <c r="CE49" s="68">
        <f>SUM(D49:BD49)</f>
        <v>402</v>
      </c>
      <c r="CO49" s="68">
        <f>SUM(D49:BF49)</f>
        <v>402</v>
      </c>
    </row>
    <row r="50" spans="2:93" s="60" customFormat="1" x14ac:dyDescent="0.15">
      <c r="C50" s="60" t="s">
        <v>122</v>
      </c>
      <c r="D50" s="60">
        <f>D49+D48</f>
        <v>193</v>
      </c>
      <c r="E50" s="60">
        <f t="shared" ref="E50:BF50" si="81">E49+E48</f>
        <v>130</v>
      </c>
      <c r="F50" s="60">
        <f t="shared" si="81"/>
        <v>146</v>
      </c>
      <c r="G50" s="60">
        <f t="shared" si="81"/>
        <v>175</v>
      </c>
      <c r="H50" s="60">
        <f t="shared" si="81"/>
        <v>96</v>
      </c>
      <c r="I50" s="60">
        <f t="shared" si="81"/>
        <v>54</v>
      </c>
      <c r="J50" s="60">
        <f t="shared" si="81"/>
        <v>182</v>
      </c>
      <c r="K50" s="60">
        <f t="shared" si="81"/>
        <v>160</v>
      </c>
      <c r="L50" s="60">
        <f t="shared" si="81"/>
        <v>112</v>
      </c>
      <c r="M50" s="60">
        <f t="shared" si="81"/>
        <v>196</v>
      </c>
      <c r="N50" s="60">
        <f t="shared" si="81"/>
        <v>209</v>
      </c>
      <c r="O50" s="60">
        <f t="shared" si="81"/>
        <v>111</v>
      </c>
      <c r="P50" s="60">
        <f t="shared" si="81"/>
        <v>247</v>
      </c>
      <c r="Q50" s="60">
        <f t="shared" si="81"/>
        <v>168</v>
      </c>
      <c r="R50" s="60">
        <f t="shared" si="81"/>
        <v>150</v>
      </c>
      <c r="S50" s="60">
        <f t="shared" si="81"/>
        <v>178</v>
      </c>
      <c r="T50" s="60">
        <f t="shared" si="81"/>
        <v>139</v>
      </c>
      <c r="U50" s="60">
        <f t="shared" si="81"/>
        <v>145</v>
      </c>
      <c r="V50" s="60">
        <f t="shared" si="81"/>
        <v>133</v>
      </c>
      <c r="W50" s="60">
        <f t="shared" si="81"/>
        <v>204</v>
      </c>
      <c r="X50" s="60">
        <f t="shared" si="81"/>
        <v>223</v>
      </c>
      <c r="Y50" s="60">
        <f t="shared" si="81"/>
        <v>0</v>
      </c>
      <c r="Z50" s="60">
        <f t="shared" si="81"/>
        <v>0</v>
      </c>
      <c r="AA50" s="60">
        <f t="shared" si="81"/>
        <v>0</v>
      </c>
      <c r="AB50" s="60">
        <f t="shared" si="81"/>
        <v>0</v>
      </c>
      <c r="AC50" s="60">
        <f t="shared" si="81"/>
        <v>0</v>
      </c>
      <c r="AD50" s="60">
        <f t="shared" si="81"/>
        <v>0</v>
      </c>
      <c r="AE50" s="60">
        <f t="shared" si="81"/>
        <v>0</v>
      </c>
      <c r="AF50" s="60">
        <f t="shared" si="81"/>
        <v>0</v>
      </c>
      <c r="AG50" s="60">
        <f t="shared" si="81"/>
        <v>0</v>
      </c>
      <c r="AH50" s="60">
        <f t="shared" si="81"/>
        <v>0</v>
      </c>
      <c r="AI50" s="60">
        <f t="shared" si="81"/>
        <v>0</v>
      </c>
      <c r="AJ50" s="60">
        <f t="shared" si="81"/>
        <v>0</v>
      </c>
      <c r="AK50" s="60">
        <f t="shared" si="81"/>
        <v>0</v>
      </c>
      <c r="AL50" s="60">
        <f t="shared" si="81"/>
        <v>0</v>
      </c>
      <c r="AM50" s="60">
        <f t="shared" si="81"/>
        <v>0</v>
      </c>
      <c r="AN50" s="60">
        <f t="shared" si="81"/>
        <v>0</v>
      </c>
      <c r="AO50" s="60">
        <f t="shared" si="81"/>
        <v>0</v>
      </c>
      <c r="AP50" s="60">
        <f t="shared" si="81"/>
        <v>0</v>
      </c>
      <c r="AQ50" s="60">
        <f t="shared" si="81"/>
        <v>0</v>
      </c>
      <c r="AR50" s="60">
        <f t="shared" si="81"/>
        <v>0</v>
      </c>
      <c r="AS50" s="60">
        <f t="shared" si="81"/>
        <v>0</v>
      </c>
      <c r="AT50" s="60">
        <f t="shared" si="81"/>
        <v>0</v>
      </c>
      <c r="AU50" s="60">
        <f>AU49+AU48</f>
        <v>0</v>
      </c>
      <c r="AV50" s="60">
        <f t="shared" si="81"/>
        <v>0</v>
      </c>
      <c r="AW50" s="60">
        <f t="shared" si="81"/>
        <v>0</v>
      </c>
      <c r="AX50" s="60">
        <f t="shared" si="81"/>
        <v>0</v>
      </c>
      <c r="AY50" s="60">
        <f t="shared" si="81"/>
        <v>0</v>
      </c>
      <c r="AZ50" s="60">
        <f t="shared" si="81"/>
        <v>0</v>
      </c>
      <c r="BA50" s="60">
        <f t="shared" si="81"/>
        <v>0</v>
      </c>
      <c r="BB50" s="60">
        <f t="shared" si="81"/>
        <v>0</v>
      </c>
      <c r="BC50" s="60">
        <f t="shared" si="81"/>
        <v>0</v>
      </c>
      <c r="BD50" s="60">
        <f t="shared" si="81"/>
        <v>0</v>
      </c>
      <c r="BE50" s="60">
        <f t="shared" si="81"/>
        <v>0</v>
      </c>
      <c r="BF50" s="60">
        <f t="shared" si="81"/>
        <v>0</v>
      </c>
      <c r="CE50" s="68">
        <f>SUM(D50:BD50)</f>
        <v>3351</v>
      </c>
      <c r="CG50" s="68" t="s">
        <v>37</v>
      </c>
      <c r="CH50" s="68">
        <f>CG48-CH48</f>
        <v>146</v>
      </c>
      <c r="CI50" s="68"/>
      <c r="CJ50" s="68"/>
      <c r="CK50" s="68"/>
      <c r="CO50" s="60">
        <f>SUM(D50:BF50)</f>
        <v>3351</v>
      </c>
    </row>
    <row r="51" spans="2:93" x14ac:dyDescent="0.15">
      <c r="D51" s="53"/>
      <c r="CG51" s="68" t="s">
        <v>38</v>
      </c>
      <c r="CH51" s="68">
        <f>CE50/CH50</f>
        <v>22.952054794520549</v>
      </c>
    </row>
    <row r="52" spans="2:93" s="117" customFormat="1" x14ac:dyDescent="0.15">
      <c r="C52" s="117" t="s">
        <v>223</v>
      </c>
      <c r="D52" s="118" t="str">
        <f>INDEX($C$5:$C$42,findcellcontaining("*",D5:D42))</f>
        <v>Clark C</v>
      </c>
      <c r="E52" s="118" t="str">
        <f>INDEX($C$5:$C$42,findcellcontaining("*",E5:E42))</f>
        <v>Clark C</v>
      </c>
      <c r="F52" s="118" t="str">
        <f>INDEX($C$5:$C$42,findcellcontaining("*",F5:F42))</f>
        <v>Clark C</v>
      </c>
      <c r="G52" s="118" t="str">
        <f>INDEX($C$5:$C$42,findcellcontaining("*",G5:G42))</f>
        <v>Clark C</v>
      </c>
      <c r="H52" s="118" t="str">
        <f>INDEX($C$5:$C$42,findcellcontaining("*",H5:H42))</f>
        <v>Clark C</v>
      </c>
      <c r="I52" s="118" t="str">
        <f>INDEX($C$5:$C$42,findcellcontaining("*",I5:I42))</f>
        <v>Clark C</v>
      </c>
      <c r="J52" s="118" t="str">
        <f>INDEX($C$5:$C$42,findcellcontaining("*",J5:J42))</f>
        <v>Smith C</v>
      </c>
      <c r="K52" s="118" t="str">
        <f>INDEX($C$5:$C$42,findcellcontaining("*",K5:K42))</f>
        <v>Clark C</v>
      </c>
      <c r="L52" s="118" t="str">
        <f>INDEX($C$5:$C$42,findcellcontaining("*",L5:L42))</f>
        <v>Clark C</v>
      </c>
      <c r="M52" s="118" t="str">
        <f>INDEX($C$5:$C$42,findcellcontaining("*",M5:M42))</f>
        <v>Clark C</v>
      </c>
      <c r="N52" s="118" t="str">
        <f>INDEX($C$5:$C$42,findcellcontaining("*",N5:N42))</f>
        <v>Clark C</v>
      </c>
      <c r="O52" s="118" t="str">
        <f>INDEX($C$5:$C$42,findcellcontaining("*",O5:O42))</f>
        <v>Clark C</v>
      </c>
      <c r="P52" s="118" t="str">
        <f>INDEX($C$5:$C$42,findcellcontaining("*",P5:P42))</f>
        <v>Clark C</v>
      </c>
      <c r="Q52" s="118" t="str">
        <f>INDEX($C$5:$C$42,findcellcontaining("*",Q5:Q42))</f>
        <v>Clark C</v>
      </c>
      <c r="R52" s="118" t="str">
        <f>INDEX($C$5:$C$42,findcellcontaining("*",R5:R42))</f>
        <v>Clark C</v>
      </c>
      <c r="S52" s="118" t="str">
        <f>INDEX($C$5:$C$42,findcellcontaining("*",S5:S42))</f>
        <v>Clark C</v>
      </c>
      <c r="T52" s="118" t="str">
        <f>INDEX($C$5:$C$42,findcellcontaining("*",T5:T42))</f>
        <v>Sharpe D</v>
      </c>
      <c r="U52" s="118" t="str">
        <f>INDEX($C$5:$C$42,findcellcontaining("*",U5:U42))</f>
        <v>Clark C</v>
      </c>
      <c r="V52" s="118" t="str">
        <f>INDEX($C$5:$C$42,findcellcontaining("*",V5:V42))</f>
        <v>Clark C</v>
      </c>
      <c r="W52" s="118" t="str">
        <f>INDEX($C$5:$C$42,findcellcontaining("*",W5:W42))</f>
        <v>Clark C</v>
      </c>
      <c r="X52" s="118" t="str">
        <f>INDEX($C$5:$C$42,findcellcontaining("*",X5:X42))</f>
        <v>Clark C</v>
      </c>
      <c r="Y52" s="118" t="e">
        <f>INDEX($C$5:$C$42,findcellcontaining("*",Y5:Y42))</f>
        <v>#N/A</v>
      </c>
      <c r="Z52" s="118" t="e">
        <f>INDEX($C$5:$C$42,findcellcontaining("*",Z5:Z42))</f>
        <v>#N/A</v>
      </c>
      <c r="AA52" s="118" t="e">
        <f>INDEX($C$5:$C$42,findcellcontaining("*",AA5:AA42))</f>
        <v>#N/A</v>
      </c>
      <c r="AB52" s="118" t="e">
        <f>INDEX($C$5:$C$42,findcellcontaining("*",AB5:AB42))</f>
        <v>#N/A</v>
      </c>
      <c r="AC52" s="118" t="e">
        <f>INDEX($C$5:$C$42,findcellcontaining("*",AC5:AC42))</f>
        <v>#N/A</v>
      </c>
      <c r="AD52" s="118" t="e">
        <f>INDEX($C$5:$C$42,findcellcontaining("*",AD5:AD42))</f>
        <v>#N/A</v>
      </c>
      <c r="AE52" s="118" t="e">
        <f>INDEX($C$5:$C$42,findcellcontaining("*",AE5:AE42))</f>
        <v>#N/A</v>
      </c>
      <c r="AF52" s="118"/>
      <c r="AG52" s="118"/>
      <c r="AH52" s="118"/>
      <c r="AI52" s="118"/>
      <c r="AJ52" s="118"/>
      <c r="AK52" s="118"/>
      <c r="AL52" s="118"/>
      <c r="AM52" s="118"/>
      <c r="AN52" s="118"/>
      <c r="AO52" s="118"/>
      <c r="AP52" s="118"/>
      <c r="AQ52" s="118"/>
      <c r="AR52" s="118"/>
      <c r="AS52" s="118"/>
      <c r="AT52" s="118"/>
      <c r="AU52" s="118"/>
      <c r="AV52" s="118"/>
      <c r="AW52" s="118"/>
      <c r="AX52" s="118"/>
      <c r="AY52" s="118"/>
      <c r="AZ52" s="118"/>
      <c r="BA52" s="118"/>
      <c r="BB52" s="118"/>
      <c r="BC52" s="118"/>
      <c r="BD52" s="118"/>
      <c r="BE52" s="118"/>
      <c r="BF52" s="118"/>
      <c r="BG52" s="118"/>
      <c r="BH52" s="118"/>
      <c r="BI52" s="118"/>
      <c r="BJ52" s="118"/>
      <c r="BK52" s="118"/>
      <c r="BL52" s="118"/>
      <c r="BM52" s="118"/>
      <c r="BN52" s="118"/>
      <c r="BO52" s="118"/>
      <c r="BP52" s="118"/>
      <c r="BQ52" s="118"/>
      <c r="BR52" s="118"/>
      <c r="BS52" s="118"/>
      <c r="BT52" s="118"/>
      <c r="BU52" s="118"/>
      <c r="BV52" s="118"/>
      <c r="BW52" s="118"/>
      <c r="BX52" s="118"/>
      <c r="BY52" s="118"/>
      <c r="BZ52" s="118"/>
      <c r="CA52" s="118"/>
      <c r="CB52" s="118"/>
      <c r="CC52" s="118"/>
      <c r="CD52" s="118"/>
      <c r="CL52" s="119"/>
    </row>
    <row r="53" spans="2:93" s="117" customFormat="1" x14ac:dyDescent="0.15">
      <c r="C53" s="121"/>
      <c r="CL53" s="119"/>
      <c r="CO53" s="120"/>
    </row>
    <row r="54" spans="2:93" s="117" customFormat="1" x14ac:dyDescent="0.15">
      <c r="B54" s="117">
        <f>MAX(D54:AE54)</f>
        <v>9</v>
      </c>
      <c r="C54" s="117" t="s">
        <v>23</v>
      </c>
      <c r="D54" s="117">
        <f t="shared" ref="D54:AE54" si="82">BatSplit(D5:D42,Sixes)</f>
        <v>3</v>
      </c>
      <c r="E54" s="117">
        <f t="shared" si="82"/>
        <v>3</v>
      </c>
      <c r="F54" s="117">
        <f t="shared" si="82"/>
        <v>3</v>
      </c>
      <c r="G54" s="117">
        <f t="shared" si="82"/>
        <v>4</v>
      </c>
      <c r="H54" s="117">
        <f t="shared" si="82"/>
        <v>0</v>
      </c>
      <c r="I54" s="117">
        <f t="shared" si="82"/>
        <v>0</v>
      </c>
      <c r="J54" s="117">
        <f t="shared" si="82"/>
        <v>1</v>
      </c>
      <c r="K54" s="117">
        <f t="shared" si="82"/>
        <v>0</v>
      </c>
      <c r="L54" s="117">
        <f t="shared" si="82"/>
        <v>2</v>
      </c>
      <c r="M54" s="117">
        <f t="shared" si="82"/>
        <v>4</v>
      </c>
      <c r="N54" s="117">
        <f t="shared" si="82"/>
        <v>1</v>
      </c>
      <c r="O54" s="117">
        <f t="shared" si="82"/>
        <v>0</v>
      </c>
      <c r="P54" s="117">
        <f t="shared" si="82"/>
        <v>9</v>
      </c>
      <c r="Q54" s="117">
        <f t="shared" si="82"/>
        <v>2</v>
      </c>
      <c r="R54" s="117">
        <f t="shared" si="82"/>
        <v>0</v>
      </c>
      <c r="S54" s="117">
        <f t="shared" si="82"/>
        <v>4</v>
      </c>
      <c r="T54" s="117">
        <f t="shared" si="82"/>
        <v>4</v>
      </c>
      <c r="U54" s="117">
        <f t="shared" si="82"/>
        <v>2</v>
      </c>
      <c r="V54" s="117">
        <f t="shared" si="82"/>
        <v>0</v>
      </c>
      <c r="W54" s="117">
        <f t="shared" si="82"/>
        <v>6</v>
      </c>
      <c r="X54" s="117">
        <f t="shared" si="82"/>
        <v>6</v>
      </c>
      <c r="Y54" s="117">
        <f t="shared" si="82"/>
        <v>0</v>
      </c>
      <c r="Z54" s="117">
        <f t="shared" si="82"/>
        <v>0</v>
      </c>
      <c r="AA54" s="117">
        <f t="shared" si="82"/>
        <v>0</v>
      </c>
      <c r="AB54" s="117">
        <f t="shared" si="82"/>
        <v>0</v>
      </c>
      <c r="AC54" s="117">
        <f t="shared" si="82"/>
        <v>0</v>
      </c>
      <c r="AD54" s="117">
        <f t="shared" si="82"/>
        <v>0</v>
      </c>
      <c r="AE54" s="117">
        <f t="shared" si="82"/>
        <v>0</v>
      </c>
      <c r="CL54" s="119"/>
    </row>
    <row r="55" spans="2:93" s="117" customFormat="1" x14ac:dyDescent="0.15">
      <c r="B55" s="117">
        <f>MAX(D55:AE55)</f>
        <v>32</v>
      </c>
      <c r="C55" s="117" t="s">
        <v>22</v>
      </c>
      <c r="D55" s="117">
        <f t="shared" ref="D55:AE55" si="83">BatSplit(D5:D42,Fours)</f>
        <v>17</v>
      </c>
      <c r="E55" s="117">
        <f t="shared" si="83"/>
        <v>15</v>
      </c>
      <c r="F55" s="117">
        <f t="shared" si="83"/>
        <v>14</v>
      </c>
      <c r="G55" s="117">
        <f t="shared" si="83"/>
        <v>21</v>
      </c>
      <c r="H55" s="117">
        <f t="shared" si="83"/>
        <v>11</v>
      </c>
      <c r="I55" s="117">
        <f t="shared" si="83"/>
        <v>4</v>
      </c>
      <c r="J55" s="117">
        <f t="shared" si="83"/>
        <v>27</v>
      </c>
      <c r="K55" s="117">
        <f t="shared" si="83"/>
        <v>27</v>
      </c>
      <c r="L55" s="117">
        <f t="shared" si="83"/>
        <v>20</v>
      </c>
      <c r="M55" s="117">
        <f t="shared" si="83"/>
        <v>21</v>
      </c>
      <c r="N55" s="117">
        <f t="shared" si="83"/>
        <v>32</v>
      </c>
      <c r="O55" s="117">
        <f t="shared" si="83"/>
        <v>17</v>
      </c>
      <c r="P55" s="117">
        <f t="shared" si="83"/>
        <v>17</v>
      </c>
      <c r="Q55" s="117">
        <f t="shared" si="83"/>
        <v>20</v>
      </c>
      <c r="R55" s="117">
        <f t="shared" si="83"/>
        <v>11</v>
      </c>
      <c r="S55" s="117">
        <f t="shared" si="83"/>
        <v>14</v>
      </c>
      <c r="T55" s="117">
        <f t="shared" si="83"/>
        <v>13</v>
      </c>
      <c r="U55" s="117">
        <f t="shared" si="83"/>
        <v>15</v>
      </c>
      <c r="V55" s="117">
        <f t="shared" si="83"/>
        <v>12</v>
      </c>
      <c r="W55" s="117">
        <f t="shared" si="83"/>
        <v>20</v>
      </c>
      <c r="X55" s="117">
        <f t="shared" si="83"/>
        <v>28</v>
      </c>
      <c r="Y55" s="117">
        <f t="shared" si="83"/>
        <v>0</v>
      </c>
      <c r="Z55" s="117">
        <f t="shared" si="83"/>
        <v>0</v>
      </c>
      <c r="AA55" s="117">
        <f t="shared" si="83"/>
        <v>0</v>
      </c>
      <c r="AB55" s="117">
        <f t="shared" si="83"/>
        <v>0</v>
      </c>
      <c r="AC55" s="117">
        <f t="shared" si="83"/>
        <v>0</v>
      </c>
      <c r="AD55" s="117">
        <f t="shared" si="83"/>
        <v>0</v>
      </c>
      <c r="AE55" s="117">
        <f t="shared" si="83"/>
        <v>0</v>
      </c>
      <c r="CL55" s="119"/>
    </row>
    <row r="56" spans="2:93" s="117" customFormat="1" x14ac:dyDescent="0.15">
      <c r="CL56" s="119"/>
    </row>
    <row r="57" spans="2:93" s="117" customFormat="1" x14ac:dyDescent="0.15">
      <c r="C57" s="137" t="s">
        <v>285</v>
      </c>
      <c r="D57" s="117">
        <f t="shared" ref="D57:Z57" si="84">BatSplit(D5:D42,HighestScore)</f>
        <v>84</v>
      </c>
      <c r="E57" s="117">
        <f t="shared" si="84"/>
        <v>38</v>
      </c>
      <c r="F57" s="117">
        <f t="shared" si="84"/>
        <v>65</v>
      </c>
      <c r="G57" s="117">
        <f t="shared" si="84"/>
        <v>48</v>
      </c>
      <c r="H57" s="117">
        <f t="shared" si="84"/>
        <v>39</v>
      </c>
      <c r="I57" s="117">
        <f t="shared" si="84"/>
        <v>16</v>
      </c>
      <c r="J57" s="117">
        <f t="shared" si="84"/>
        <v>62</v>
      </c>
      <c r="K57" s="117">
        <f t="shared" si="84"/>
        <v>-49</v>
      </c>
      <c r="L57" s="117">
        <f t="shared" si="84"/>
        <v>-67</v>
      </c>
      <c r="M57" s="117">
        <f t="shared" si="84"/>
        <v>59</v>
      </c>
      <c r="N57" s="117">
        <f t="shared" si="84"/>
        <v>55</v>
      </c>
      <c r="O57" s="117">
        <f t="shared" si="84"/>
        <v>51</v>
      </c>
      <c r="P57" s="117">
        <f t="shared" si="84"/>
        <v>-100</v>
      </c>
      <c r="Q57" s="117">
        <f t="shared" si="84"/>
        <v>65</v>
      </c>
      <c r="R57" s="117">
        <f t="shared" si="84"/>
        <v>35</v>
      </c>
      <c r="S57" s="117">
        <f t="shared" si="84"/>
        <v>98</v>
      </c>
      <c r="T57" s="117">
        <f t="shared" si="84"/>
        <v>68</v>
      </c>
      <c r="U57" s="117">
        <f t="shared" si="84"/>
        <v>48</v>
      </c>
      <c r="V57" s="117">
        <f t="shared" si="84"/>
        <v>40</v>
      </c>
      <c r="W57" s="117">
        <f t="shared" si="84"/>
        <v>-81</v>
      </c>
      <c r="X57" s="117">
        <f t="shared" si="84"/>
        <v>-131</v>
      </c>
      <c r="Y57" s="117">
        <f t="shared" si="84"/>
        <v>0</v>
      </c>
      <c r="Z57" s="117">
        <f t="shared" si="84"/>
        <v>0</v>
      </c>
      <c r="CL57" s="119"/>
    </row>
    <row r="58" spans="2:93" s="117" customFormat="1" x14ac:dyDescent="0.15">
      <c r="C58" s="137"/>
      <c r="CL58" s="119"/>
    </row>
    <row r="59" spans="2:93" s="117" customFormat="1" x14ac:dyDescent="0.15">
      <c r="D59" s="117" t="str">
        <f t="shared" ref="D59:Z59" si="85">IF(BatSplit(D5,RunsScored)&gt;=50,BatSplit(D5,RunsScored)&amp;IF(BatSplit(D5,NotOuts)=1,"*","")&amp;"|"&amp;$C5&amp;"|"&amp;D$2&amp;"|"&amp;TEXT(D$1,"dd-mmm"),"x")</f>
        <v>x</v>
      </c>
      <c r="E59" s="117" t="str">
        <f t="shared" si="85"/>
        <v>x</v>
      </c>
      <c r="F59" s="117" t="str">
        <f t="shared" si="85"/>
        <v>x</v>
      </c>
      <c r="G59" s="117" t="str">
        <f t="shared" si="85"/>
        <v>x</v>
      </c>
      <c r="H59" s="117" t="str">
        <f t="shared" si="85"/>
        <v>x</v>
      </c>
      <c r="I59" s="117" t="str">
        <f t="shared" si="85"/>
        <v>x</v>
      </c>
      <c r="J59" s="117" t="str">
        <f t="shared" si="85"/>
        <v>x</v>
      </c>
      <c r="K59" s="117" t="str">
        <f t="shared" si="85"/>
        <v>x</v>
      </c>
      <c r="L59" s="117" t="str">
        <f t="shared" si="85"/>
        <v>x</v>
      </c>
      <c r="M59" s="117" t="str">
        <f t="shared" si="85"/>
        <v>x</v>
      </c>
      <c r="N59" s="117" t="str">
        <f t="shared" si="85"/>
        <v>x</v>
      </c>
      <c r="O59" s="117" t="str">
        <f t="shared" si="85"/>
        <v>x</v>
      </c>
      <c r="P59" s="117" t="str">
        <f t="shared" si="85"/>
        <v>x</v>
      </c>
      <c r="Q59" s="117" t="str">
        <f t="shared" si="85"/>
        <v>x</v>
      </c>
      <c r="R59" s="117" t="str">
        <f t="shared" si="85"/>
        <v>x</v>
      </c>
      <c r="S59" s="117" t="str">
        <f t="shared" si="85"/>
        <v>x</v>
      </c>
      <c r="T59" s="117" t="str">
        <f t="shared" si="85"/>
        <v>x</v>
      </c>
      <c r="U59" s="117" t="str">
        <f t="shared" si="85"/>
        <v>x</v>
      </c>
      <c r="V59" s="117" t="str">
        <f t="shared" si="85"/>
        <v>x</v>
      </c>
      <c r="W59" s="117" t="str">
        <f t="shared" si="85"/>
        <v>x</v>
      </c>
      <c r="X59" s="117" t="str">
        <f t="shared" si="85"/>
        <v>x</v>
      </c>
      <c r="Y59" s="117" t="str">
        <f t="shared" si="85"/>
        <v>x</v>
      </c>
      <c r="Z59" s="117" t="str">
        <f t="shared" si="85"/>
        <v>x</v>
      </c>
      <c r="CL59" s="119"/>
    </row>
    <row r="60" spans="2:93" s="117" customFormat="1" x14ac:dyDescent="0.15">
      <c r="D60" s="117" t="str">
        <f t="shared" ref="D60:Z60" si="86">IF(BatSplit(D6,RunsScored)&gt;=50,BatSplit(D6,RunsScored)&amp;IF(BatSplit(D6,NotOuts)=1,"*","")&amp;"|"&amp;$C6&amp;"|"&amp;D$2&amp;"|"&amp;TEXT(D$1,"dd-mmm"),"x")</f>
        <v>x</v>
      </c>
      <c r="E60" s="117" t="str">
        <f t="shared" si="86"/>
        <v>x</v>
      </c>
      <c r="F60" s="117" t="str">
        <f t="shared" si="86"/>
        <v>x</v>
      </c>
      <c r="G60" s="117" t="str">
        <f t="shared" si="86"/>
        <v>x</v>
      </c>
      <c r="H60" s="117" t="str">
        <f t="shared" si="86"/>
        <v>x</v>
      </c>
      <c r="I60" s="117" t="str">
        <f t="shared" si="86"/>
        <v>x</v>
      </c>
      <c r="J60" s="117" t="str">
        <f t="shared" si="86"/>
        <v>x</v>
      </c>
      <c r="K60" s="117" t="str">
        <f t="shared" si="86"/>
        <v>x</v>
      </c>
      <c r="L60" s="117" t="str">
        <f t="shared" si="86"/>
        <v>x</v>
      </c>
      <c r="M60" s="117" t="str">
        <f t="shared" si="86"/>
        <v>x</v>
      </c>
      <c r="N60" s="117" t="str">
        <f t="shared" si="86"/>
        <v>x</v>
      </c>
      <c r="O60" s="117" t="str">
        <f t="shared" si="86"/>
        <v>x</v>
      </c>
      <c r="P60" s="117" t="str">
        <f t="shared" si="86"/>
        <v>x</v>
      </c>
      <c r="Q60" s="117" t="str">
        <f t="shared" si="86"/>
        <v>x</v>
      </c>
      <c r="R60" s="117" t="str">
        <f t="shared" si="86"/>
        <v>x</v>
      </c>
      <c r="S60" s="117" t="str">
        <f t="shared" si="86"/>
        <v>x</v>
      </c>
      <c r="T60" s="117" t="str">
        <f t="shared" si="86"/>
        <v>x</v>
      </c>
      <c r="U60" s="117" t="str">
        <f t="shared" si="86"/>
        <v>x</v>
      </c>
      <c r="V60" s="117" t="str">
        <f t="shared" si="86"/>
        <v>x</v>
      </c>
      <c r="W60" s="117" t="str">
        <f t="shared" si="86"/>
        <v>x</v>
      </c>
      <c r="X60" s="117" t="str">
        <f t="shared" si="86"/>
        <v>x</v>
      </c>
      <c r="Y60" s="117" t="str">
        <f t="shared" si="86"/>
        <v>x</v>
      </c>
      <c r="Z60" s="117" t="str">
        <f t="shared" si="86"/>
        <v>x</v>
      </c>
      <c r="CL60" s="119"/>
    </row>
    <row r="61" spans="2:93" s="117" customFormat="1" x14ac:dyDescent="0.15">
      <c r="D61" s="117" t="str">
        <f t="shared" ref="D61:Z61" si="87">IF(BatSplit(D7,RunsScored)&gt;=50,BatSplit(D7,RunsScored)&amp;IF(BatSplit(D7,NotOuts)=1,"*","")&amp;"|"&amp;$C7&amp;"|"&amp;D$2&amp;"|"&amp;TEXT(D$1,"dd-mmm"),"x")</f>
        <v>x</v>
      </c>
      <c r="E61" s="117" t="str">
        <f t="shared" si="87"/>
        <v>x</v>
      </c>
      <c r="F61" s="117" t="str">
        <f t="shared" si="87"/>
        <v>x</v>
      </c>
      <c r="G61" s="117" t="str">
        <f t="shared" si="87"/>
        <v>x</v>
      </c>
      <c r="H61" s="117" t="str">
        <f t="shared" si="87"/>
        <v>x</v>
      </c>
      <c r="I61" s="117" t="str">
        <f t="shared" si="87"/>
        <v>x</v>
      </c>
      <c r="J61" s="117" t="str">
        <f t="shared" si="87"/>
        <v>x</v>
      </c>
      <c r="K61" s="117" t="str">
        <f t="shared" si="87"/>
        <v>x</v>
      </c>
      <c r="L61" s="117" t="str">
        <f t="shared" si="87"/>
        <v>x</v>
      </c>
      <c r="M61" s="117" t="str">
        <f t="shared" si="87"/>
        <v>x</v>
      </c>
      <c r="N61" s="117" t="str">
        <f t="shared" si="87"/>
        <v>x</v>
      </c>
      <c r="O61" s="117" t="str">
        <f t="shared" si="87"/>
        <v>x</v>
      </c>
      <c r="P61" s="117" t="str">
        <f t="shared" si="87"/>
        <v>x</v>
      </c>
      <c r="Q61" s="117" t="str">
        <f t="shared" si="87"/>
        <v>x</v>
      </c>
      <c r="R61" s="117" t="str">
        <f t="shared" si="87"/>
        <v>x</v>
      </c>
      <c r="S61" s="117" t="str">
        <f t="shared" si="87"/>
        <v>x</v>
      </c>
      <c r="T61" s="117" t="str">
        <f t="shared" si="87"/>
        <v>x</v>
      </c>
      <c r="U61" s="117" t="str">
        <f t="shared" si="87"/>
        <v>x</v>
      </c>
      <c r="V61" s="117" t="str">
        <f t="shared" si="87"/>
        <v>x</v>
      </c>
      <c r="W61" s="117" t="str">
        <f t="shared" si="87"/>
        <v>x</v>
      </c>
      <c r="X61" s="117" t="str">
        <f t="shared" si="87"/>
        <v>x</v>
      </c>
      <c r="Y61" s="117" t="str">
        <f t="shared" si="87"/>
        <v>x</v>
      </c>
      <c r="Z61" s="117" t="str">
        <f t="shared" si="87"/>
        <v>x</v>
      </c>
      <c r="CL61" s="119"/>
    </row>
    <row r="62" spans="2:93" s="117" customFormat="1" x14ac:dyDescent="0.15">
      <c r="D62" s="117" t="str">
        <f t="shared" ref="D62:Z62" si="88">IF(BatSplit(D8,RunsScored)&gt;=50,BatSplit(D8,RunsScored)&amp;IF(BatSplit(D8,NotOuts)=1,"*","")&amp;"|"&amp;$C8&amp;"|"&amp;D$2&amp;"|"&amp;TEXT(D$1,"dd-mmm"),"x")</f>
        <v>x</v>
      </c>
      <c r="E62" s="117" t="str">
        <f t="shared" si="88"/>
        <v>x</v>
      </c>
      <c r="F62" s="117" t="str">
        <f t="shared" si="88"/>
        <v>x</v>
      </c>
      <c r="G62" s="117" t="str">
        <f t="shared" si="88"/>
        <v>x</v>
      </c>
      <c r="H62" s="117" t="str">
        <f t="shared" si="88"/>
        <v>x</v>
      </c>
      <c r="I62" s="117" t="str">
        <f t="shared" si="88"/>
        <v>x</v>
      </c>
      <c r="J62" s="117" t="str">
        <f t="shared" si="88"/>
        <v>x</v>
      </c>
      <c r="K62" s="117" t="str">
        <f t="shared" si="88"/>
        <v>x</v>
      </c>
      <c r="L62" s="117" t="str">
        <f t="shared" si="88"/>
        <v>x</v>
      </c>
      <c r="M62" s="117" t="str">
        <f t="shared" si="88"/>
        <v>x</v>
      </c>
      <c r="N62" s="117" t="str">
        <f t="shared" si="88"/>
        <v>x</v>
      </c>
      <c r="O62" s="117" t="str">
        <f t="shared" si="88"/>
        <v>x</v>
      </c>
      <c r="P62" s="117" t="str">
        <f t="shared" si="88"/>
        <v>x</v>
      </c>
      <c r="Q62" s="117" t="str">
        <f t="shared" si="88"/>
        <v>x</v>
      </c>
      <c r="R62" s="117" t="str">
        <f t="shared" si="88"/>
        <v>x</v>
      </c>
      <c r="S62" s="117" t="str">
        <f t="shared" si="88"/>
        <v>x</v>
      </c>
      <c r="T62" s="117" t="str">
        <f t="shared" si="88"/>
        <v>x</v>
      </c>
      <c r="U62" s="117" t="str">
        <f t="shared" si="88"/>
        <v>x</v>
      </c>
      <c r="V62" s="117" t="str">
        <f t="shared" si="88"/>
        <v>x</v>
      </c>
      <c r="W62" s="117" t="str">
        <f t="shared" si="88"/>
        <v>x</v>
      </c>
      <c r="X62" s="117" t="str">
        <f t="shared" si="88"/>
        <v>x</v>
      </c>
      <c r="Y62" s="117" t="str">
        <f t="shared" si="88"/>
        <v>x</v>
      </c>
      <c r="Z62" s="117" t="str">
        <f t="shared" si="88"/>
        <v>x</v>
      </c>
      <c r="CL62" s="119"/>
    </row>
    <row r="63" spans="2:93" s="117" customFormat="1" x14ac:dyDescent="0.15">
      <c r="D63" s="117" t="str">
        <f t="shared" ref="D63:Z63" si="89">IF(BatSplit(D9,RunsScored)&gt;=50,BatSplit(D9,RunsScored)&amp;IF(BatSplit(D9,NotOuts)=1,"*","")&amp;"|"&amp;$C9&amp;"|"&amp;D$2&amp;"|"&amp;TEXT(D$1,"dd-mmm"),"x")</f>
        <v>x</v>
      </c>
      <c r="E63" s="117" t="str">
        <f t="shared" si="89"/>
        <v>x</v>
      </c>
      <c r="F63" s="117" t="str">
        <f t="shared" si="89"/>
        <v>x</v>
      </c>
      <c r="G63" s="117" t="str">
        <f t="shared" si="89"/>
        <v>x</v>
      </c>
      <c r="H63" s="117" t="str">
        <f t="shared" si="89"/>
        <v>x</v>
      </c>
      <c r="I63" s="117" t="str">
        <f t="shared" si="89"/>
        <v>x</v>
      </c>
      <c r="J63" s="117" t="str">
        <f t="shared" si="89"/>
        <v>x</v>
      </c>
      <c r="K63" s="117" t="str">
        <f t="shared" si="89"/>
        <v>x</v>
      </c>
      <c r="L63" s="117" t="str">
        <f t="shared" si="89"/>
        <v>x</v>
      </c>
      <c r="M63" s="117" t="str">
        <f t="shared" si="89"/>
        <v>59|Clarkson M|Norwood Exiles|04-Jul</v>
      </c>
      <c r="N63" s="117" t="str">
        <f t="shared" si="89"/>
        <v>x</v>
      </c>
      <c r="O63" s="117" t="str">
        <f t="shared" si="89"/>
        <v>x</v>
      </c>
      <c r="P63" s="117" t="str">
        <f t="shared" si="89"/>
        <v>x</v>
      </c>
      <c r="Q63" s="117" t="str">
        <f t="shared" si="89"/>
        <v>x</v>
      </c>
      <c r="R63" s="117" t="str">
        <f t="shared" si="89"/>
        <v>x</v>
      </c>
      <c r="S63" s="117" t="str">
        <f t="shared" si="89"/>
        <v>x</v>
      </c>
      <c r="T63" s="117" t="str">
        <f t="shared" si="89"/>
        <v>x</v>
      </c>
      <c r="U63" s="117" t="str">
        <f t="shared" si="89"/>
        <v>x</v>
      </c>
      <c r="V63" s="117" t="str">
        <f t="shared" si="89"/>
        <v>x</v>
      </c>
      <c r="W63" s="117" t="str">
        <f t="shared" si="89"/>
        <v>x</v>
      </c>
      <c r="X63" s="117" t="str">
        <f t="shared" si="89"/>
        <v>x</v>
      </c>
      <c r="Y63" s="117" t="str">
        <f t="shared" si="89"/>
        <v>x</v>
      </c>
      <c r="Z63" s="117" t="str">
        <f t="shared" si="89"/>
        <v>x</v>
      </c>
      <c r="CL63" s="119"/>
    </row>
    <row r="64" spans="2:93" customFormat="1" x14ac:dyDescent="0.15">
      <c r="D64" s="117" t="str">
        <f t="shared" ref="D64:Z64" si="90">IF(BatSplit(D10,RunsScored)&gt;=50,BatSplit(D10,RunsScored)&amp;IF(BatSplit(D10,NotOuts)=1,"*","")&amp;"|"&amp;$C10&amp;"|"&amp;D$2&amp;"|"&amp;TEXT(D$1,"dd-mmm"),"x")</f>
        <v>x</v>
      </c>
      <c r="E64" s="117" t="str">
        <f t="shared" si="90"/>
        <v>x</v>
      </c>
      <c r="F64" s="117" t="str">
        <f t="shared" si="90"/>
        <v>x</v>
      </c>
      <c r="G64" s="117" t="str">
        <f t="shared" si="90"/>
        <v>x</v>
      </c>
      <c r="H64" s="117" t="str">
        <f t="shared" si="90"/>
        <v>x</v>
      </c>
      <c r="I64" s="117" t="str">
        <f t="shared" si="90"/>
        <v>x</v>
      </c>
      <c r="J64" s="117" t="str">
        <f t="shared" si="90"/>
        <v>x</v>
      </c>
      <c r="K64" s="117" t="str">
        <f t="shared" si="90"/>
        <v>x</v>
      </c>
      <c r="L64" s="117" t="str">
        <f t="shared" si="90"/>
        <v>x</v>
      </c>
      <c r="M64" s="117" t="str">
        <f t="shared" si="90"/>
        <v>x</v>
      </c>
      <c r="N64" s="117" t="str">
        <f t="shared" si="90"/>
        <v>x</v>
      </c>
      <c r="O64" s="117" t="str">
        <f t="shared" si="90"/>
        <v>x</v>
      </c>
      <c r="P64" s="117" t="str">
        <f t="shared" si="90"/>
        <v>x</v>
      </c>
      <c r="Q64" s="117" t="str">
        <f t="shared" si="90"/>
        <v>x</v>
      </c>
      <c r="R64" s="117" t="str">
        <f t="shared" si="90"/>
        <v>x</v>
      </c>
      <c r="S64" s="117" t="str">
        <f t="shared" si="90"/>
        <v>x</v>
      </c>
      <c r="T64" s="117" t="str">
        <f t="shared" si="90"/>
        <v>x</v>
      </c>
      <c r="U64" s="117" t="str">
        <f t="shared" si="90"/>
        <v>x</v>
      </c>
      <c r="V64" s="117" t="str">
        <f t="shared" si="90"/>
        <v>x</v>
      </c>
      <c r="W64" s="117" t="str">
        <f t="shared" si="90"/>
        <v>x</v>
      </c>
      <c r="X64" s="117" t="str">
        <f t="shared" si="90"/>
        <v>x</v>
      </c>
      <c r="Y64" s="117" t="str">
        <f t="shared" si="90"/>
        <v>x</v>
      </c>
      <c r="Z64" s="117" t="str">
        <f t="shared" si="90"/>
        <v>x</v>
      </c>
    </row>
    <row r="65" spans="4:26" customFormat="1" x14ac:dyDescent="0.15">
      <c r="D65" s="117" t="str">
        <f t="shared" ref="D65:Z65" si="91">IF(BatSplit(D11,RunsScored)&gt;=50,BatSplit(D11,RunsScored)&amp;IF(BatSplit(D11,NotOuts)=1,"*","")&amp;"|"&amp;$C11&amp;"|"&amp;D$2&amp;"|"&amp;TEXT(D$1,"dd-mmm"),"x")</f>
        <v>x</v>
      </c>
      <c r="E65" s="117" t="str">
        <f t="shared" si="91"/>
        <v>x</v>
      </c>
      <c r="F65" s="117" t="str">
        <f t="shared" si="91"/>
        <v>x</v>
      </c>
      <c r="G65" s="117" t="str">
        <f t="shared" si="91"/>
        <v>x</v>
      </c>
      <c r="H65" s="117" t="str">
        <f t="shared" si="91"/>
        <v>x</v>
      </c>
      <c r="I65" s="117" t="str">
        <f t="shared" si="91"/>
        <v>x</v>
      </c>
      <c r="J65" s="117" t="str">
        <f t="shared" si="91"/>
        <v>x</v>
      </c>
      <c r="K65" s="117" t="str">
        <f t="shared" si="91"/>
        <v>x</v>
      </c>
      <c r="L65" s="117" t="str">
        <f t="shared" si="91"/>
        <v>x</v>
      </c>
      <c r="M65" s="117" t="str">
        <f t="shared" si="91"/>
        <v>x</v>
      </c>
      <c r="N65" s="117" t="str">
        <f t="shared" si="91"/>
        <v>x</v>
      </c>
      <c r="O65" s="117" t="str">
        <f t="shared" si="91"/>
        <v>x</v>
      </c>
      <c r="P65" s="117" t="str">
        <f t="shared" si="91"/>
        <v>x</v>
      </c>
      <c r="Q65" s="117" t="str">
        <f t="shared" si="91"/>
        <v>x</v>
      </c>
      <c r="R65" s="117" t="str">
        <f t="shared" si="91"/>
        <v>x</v>
      </c>
      <c r="S65" s="117" t="str">
        <f t="shared" si="91"/>
        <v>x</v>
      </c>
      <c r="T65" s="117" t="str">
        <f t="shared" si="91"/>
        <v>x</v>
      </c>
      <c r="U65" s="117" t="str">
        <f t="shared" si="91"/>
        <v>x</v>
      </c>
      <c r="V65" s="117" t="str">
        <f t="shared" si="91"/>
        <v>x</v>
      </c>
      <c r="W65" s="117" t="str">
        <f t="shared" si="91"/>
        <v>x</v>
      </c>
      <c r="X65" s="117" t="str">
        <f t="shared" si="91"/>
        <v>x</v>
      </c>
      <c r="Y65" s="117" t="str">
        <f t="shared" si="91"/>
        <v>x</v>
      </c>
      <c r="Z65" s="117" t="str">
        <f t="shared" si="91"/>
        <v>x</v>
      </c>
    </row>
    <row r="66" spans="4:26" customFormat="1" x14ac:dyDescent="0.15">
      <c r="D66" s="117" t="str">
        <f t="shared" ref="D66:Z66" si="92">IF(BatSplit(D12,RunsScored)&gt;=50,BatSplit(D12,RunsScored)&amp;IF(BatSplit(D12,NotOuts)=1,"*","")&amp;"|"&amp;$C12&amp;"|"&amp;D$2&amp;"|"&amp;TEXT(D$1,"dd-mmm"),"x")</f>
        <v>x</v>
      </c>
      <c r="E66" s="117" t="str">
        <f t="shared" si="92"/>
        <v>x</v>
      </c>
      <c r="F66" s="117" t="str">
        <f t="shared" si="92"/>
        <v>x</v>
      </c>
      <c r="G66" s="117" t="str">
        <f t="shared" si="92"/>
        <v>x</v>
      </c>
      <c r="H66" s="117" t="str">
        <f t="shared" si="92"/>
        <v>x</v>
      </c>
      <c r="I66" s="117" t="str">
        <f t="shared" si="92"/>
        <v>x</v>
      </c>
      <c r="J66" s="117" t="str">
        <f t="shared" si="92"/>
        <v>x</v>
      </c>
      <c r="K66" s="117" t="str">
        <f t="shared" si="92"/>
        <v>x</v>
      </c>
      <c r="L66" s="117" t="str">
        <f t="shared" si="92"/>
        <v>x</v>
      </c>
      <c r="M66" s="117" t="str">
        <f t="shared" si="92"/>
        <v>x</v>
      </c>
      <c r="N66" s="117" t="str">
        <f t="shared" si="92"/>
        <v>x</v>
      </c>
      <c r="O66" s="117" t="str">
        <f t="shared" si="92"/>
        <v>x</v>
      </c>
      <c r="P66" s="117" t="str">
        <f t="shared" si="92"/>
        <v>x</v>
      </c>
      <c r="Q66" s="117" t="str">
        <f t="shared" si="92"/>
        <v>x</v>
      </c>
      <c r="R66" s="117" t="str">
        <f t="shared" si="92"/>
        <v>x</v>
      </c>
      <c r="S66" s="117" t="str">
        <f t="shared" si="92"/>
        <v>x</v>
      </c>
      <c r="T66" s="117" t="str">
        <f t="shared" si="92"/>
        <v>x</v>
      </c>
      <c r="U66" s="117" t="str">
        <f t="shared" si="92"/>
        <v>x</v>
      </c>
      <c r="V66" s="117" t="str">
        <f t="shared" si="92"/>
        <v>x</v>
      </c>
      <c r="W66" s="117" t="str">
        <f t="shared" si="92"/>
        <v>x</v>
      </c>
      <c r="X66" s="117" t="str">
        <f t="shared" si="92"/>
        <v>x</v>
      </c>
      <c r="Y66" s="117" t="str">
        <f t="shared" si="92"/>
        <v>x</v>
      </c>
      <c r="Z66" s="117" t="str">
        <f t="shared" si="92"/>
        <v>x</v>
      </c>
    </row>
    <row r="67" spans="4:26" customFormat="1" x14ac:dyDescent="0.15">
      <c r="D67" s="117" t="str">
        <f t="shared" ref="D67:Z67" si="93">IF(BatSplit(D13,RunsScored)&gt;=50,BatSplit(D13,RunsScored)&amp;IF(BatSplit(D13,NotOuts)=1,"*","")&amp;"|"&amp;$C13&amp;"|"&amp;D$2&amp;"|"&amp;TEXT(D$1,"dd-mmm"),"x")</f>
        <v>x</v>
      </c>
      <c r="E67" s="117" t="str">
        <f t="shared" si="93"/>
        <v>x</v>
      </c>
      <c r="F67" s="117" t="str">
        <f t="shared" si="93"/>
        <v>x</v>
      </c>
      <c r="G67" s="117" t="str">
        <f t="shared" si="93"/>
        <v>x</v>
      </c>
      <c r="H67" s="117" t="str">
        <f t="shared" si="93"/>
        <v>x</v>
      </c>
      <c r="I67" s="117" t="str">
        <f t="shared" si="93"/>
        <v>x</v>
      </c>
      <c r="J67" s="117" t="str">
        <f t="shared" si="93"/>
        <v>x</v>
      </c>
      <c r="K67" s="117" t="str">
        <f t="shared" si="93"/>
        <v>x</v>
      </c>
      <c r="L67" s="117" t="str">
        <f t="shared" si="93"/>
        <v>x</v>
      </c>
      <c r="M67" s="117" t="str">
        <f t="shared" si="93"/>
        <v>x</v>
      </c>
      <c r="N67" s="117" t="str">
        <f t="shared" si="93"/>
        <v>x</v>
      </c>
      <c r="O67" s="117" t="str">
        <f t="shared" si="93"/>
        <v>x</v>
      </c>
      <c r="P67" s="117" t="str">
        <f t="shared" si="93"/>
        <v>x</v>
      </c>
      <c r="Q67" s="117" t="str">
        <f t="shared" si="93"/>
        <v>x</v>
      </c>
      <c r="R67" s="117" t="str">
        <f t="shared" si="93"/>
        <v>x</v>
      </c>
      <c r="S67" s="117" t="str">
        <f t="shared" si="93"/>
        <v>x</v>
      </c>
      <c r="T67" s="117" t="str">
        <f t="shared" si="93"/>
        <v>x</v>
      </c>
      <c r="U67" s="117" t="str">
        <f t="shared" si="93"/>
        <v>x</v>
      </c>
      <c r="V67" s="117" t="str">
        <f t="shared" si="93"/>
        <v>x</v>
      </c>
      <c r="W67" s="117" t="str">
        <f t="shared" si="93"/>
        <v>x</v>
      </c>
      <c r="X67" s="117" t="str">
        <f t="shared" si="93"/>
        <v>x</v>
      </c>
      <c r="Y67" s="117" t="str">
        <f t="shared" si="93"/>
        <v>x</v>
      </c>
      <c r="Z67" s="117" t="str">
        <f t="shared" si="93"/>
        <v>x</v>
      </c>
    </row>
    <row r="68" spans="4:26" customFormat="1" x14ac:dyDescent="0.15">
      <c r="D68" s="117" t="str">
        <f t="shared" ref="D68:Z68" si="94">IF(BatSplit(D14,RunsScored)&gt;=50,BatSplit(D14,RunsScored)&amp;IF(BatSplit(D14,NotOuts)=1,"*","")&amp;"|"&amp;$C14&amp;"|"&amp;D$2&amp;"|"&amp;TEXT(D$1,"dd-mmm"),"x")</f>
        <v>x</v>
      </c>
      <c r="E68" s="117" t="str">
        <f t="shared" si="94"/>
        <v>x</v>
      </c>
      <c r="F68" s="117" t="str">
        <f t="shared" si="94"/>
        <v>x</v>
      </c>
      <c r="G68" s="117" t="str">
        <f t="shared" si="94"/>
        <v>x</v>
      </c>
      <c r="H68" s="117" t="str">
        <f t="shared" si="94"/>
        <v>x</v>
      </c>
      <c r="I68" s="117" t="str">
        <f t="shared" si="94"/>
        <v>x</v>
      </c>
      <c r="J68" s="117" t="str">
        <f t="shared" si="94"/>
        <v>x</v>
      </c>
      <c r="K68" s="117" t="str">
        <f t="shared" si="94"/>
        <v>x</v>
      </c>
      <c r="L68" s="117" t="str">
        <f t="shared" si="94"/>
        <v>x</v>
      </c>
      <c r="M68" s="117" t="str">
        <f t="shared" si="94"/>
        <v>x</v>
      </c>
      <c r="N68" s="117" t="str">
        <f t="shared" si="94"/>
        <v>x</v>
      </c>
      <c r="O68" s="117" t="str">
        <f t="shared" si="94"/>
        <v>x</v>
      </c>
      <c r="P68" s="117" t="str">
        <f t="shared" si="94"/>
        <v>x</v>
      </c>
      <c r="Q68" s="117" t="str">
        <f t="shared" si="94"/>
        <v>x</v>
      </c>
      <c r="R68" s="117" t="str">
        <f t="shared" si="94"/>
        <v>x</v>
      </c>
      <c r="S68" s="117" t="str">
        <f t="shared" si="94"/>
        <v>x</v>
      </c>
      <c r="T68" s="117" t="str">
        <f t="shared" si="94"/>
        <v>x</v>
      </c>
      <c r="U68" s="117" t="str">
        <f t="shared" si="94"/>
        <v>x</v>
      </c>
      <c r="V68" s="117" t="str">
        <f t="shared" si="94"/>
        <v>x</v>
      </c>
      <c r="W68" s="117" t="str">
        <f t="shared" si="94"/>
        <v>x</v>
      </c>
      <c r="X68" s="117" t="str">
        <f t="shared" si="94"/>
        <v>x</v>
      </c>
      <c r="Y68" s="117" t="str">
        <f t="shared" si="94"/>
        <v>x</v>
      </c>
      <c r="Z68" s="117" t="str">
        <f t="shared" si="94"/>
        <v>x</v>
      </c>
    </row>
    <row r="69" spans="4:26" customFormat="1" x14ac:dyDescent="0.15">
      <c r="D69" s="117" t="str">
        <f t="shared" ref="D69:Z69" si="95">IF(BatSplit(D15,RunsScored)&gt;=50,BatSplit(D15,RunsScored)&amp;IF(BatSplit(D15,NotOuts)=1,"*","")&amp;"|"&amp;$C15&amp;"|"&amp;D$2&amp;"|"&amp;TEXT(D$1,"dd-mmm"),"x")</f>
        <v>x</v>
      </c>
      <c r="E69" s="117" t="str">
        <f t="shared" si="95"/>
        <v>x</v>
      </c>
      <c r="F69" s="117" t="str">
        <f t="shared" si="95"/>
        <v>x</v>
      </c>
      <c r="G69" s="117" t="str">
        <f t="shared" si="95"/>
        <v>x</v>
      </c>
      <c r="H69" s="117" t="str">
        <f t="shared" si="95"/>
        <v>x</v>
      </c>
      <c r="I69" s="117" t="str">
        <f t="shared" si="95"/>
        <v>x</v>
      </c>
      <c r="J69" s="117" t="str">
        <f t="shared" si="95"/>
        <v>x</v>
      </c>
      <c r="K69" s="117" t="str">
        <f t="shared" si="95"/>
        <v>x</v>
      </c>
      <c r="L69" s="117" t="str">
        <f t="shared" si="95"/>
        <v>x</v>
      </c>
      <c r="M69" s="117" t="str">
        <f t="shared" si="95"/>
        <v>x</v>
      </c>
      <c r="N69" s="117" t="str">
        <f t="shared" si="95"/>
        <v>x</v>
      </c>
      <c r="O69" s="117" t="str">
        <f t="shared" si="95"/>
        <v>x</v>
      </c>
      <c r="P69" s="117" t="str">
        <f t="shared" si="95"/>
        <v>x</v>
      </c>
      <c r="Q69" s="117" t="str">
        <f t="shared" si="95"/>
        <v>x</v>
      </c>
      <c r="R69" s="117" t="str">
        <f t="shared" si="95"/>
        <v>x</v>
      </c>
      <c r="S69" s="117" t="str">
        <f t="shared" si="95"/>
        <v>x</v>
      </c>
      <c r="T69" s="117" t="str">
        <f t="shared" si="95"/>
        <v>x</v>
      </c>
      <c r="U69" s="117" t="str">
        <f t="shared" si="95"/>
        <v>x</v>
      </c>
      <c r="V69" s="117" t="str">
        <f t="shared" si="95"/>
        <v>x</v>
      </c>
      <c r="W69" s="117" t="str">
        <f t="shared" si="95"/>
        <v>x</v>
      </c>
      <c r="X69" s="117" t="str">
        <f t="shared" si="95"/>
        <v>x</v>
      </c>
      <c r="Y69" s="117" t="str">
        <f t="shared" si="95"/>
        <v>x</v>
      </c>
      <c r="Z69" s="117" t="str">
        <f t="shared" si="95"/>
        <v>x</v>
      </c>
    </row>
    <row r="70" spans="4:26" customFormat="1" x14ac:dyDescent="0.15">
      <c r="D70" s="117" t="str">
        <f t="shared" ref="D70:Z70" si="96">IF(BatSplit(D16,RunsScored)&gt;=50,BatSplit(D16,RunsScored)&amp;IF(BatSplit(D16,NotOuts)=1,"*","")&amp;"|"&amp;$C16&amp;"|"&amp;D$2&amp;"|"&amp;TEXT(D$1,"dd-mmm"),"x")</f>
        <v>x</v>
      </c>
      <c r="E70" s="117" t="str">
        <f t="shared" si="96"/>
        <v>x</v>
      </c>
      <c r="F70" s="117" t="str">
        <f t="shared" si="96"/>
        <v>x</v>
      </c>
      <c r="G70" s="117" t="str">
        <f t="shared" si="96"/>
        <v>x</v>
      </c>
      <c r="H70" s="117" t="str">
        <f t="shared" si="96"/>
        <v>x</v>
      </c>
      <c r="I70" s="117" t="str">
        <f t="shared" si="96"/>
        <v>x</v>
      </c>
      <c r="J70" s="117" t="str">
        <f t="shared" si="96"/>
        <v>x</v>
      </c>
      <c r="K70" s="117" t="str">
        <f t="shared" si="96"/>
        <v>x</v>
      </c>
      <c r="L70" s="117" t="str">
        <f t="shared" si="96"/>
        <v>x</v>
      </c>
      <c r="M70" s="117" t="str">
        <f t="shared" si="96"/>
        <v>x</v>
      </c>
      <c r="N70" s="117" t="str">
        <f t="shared" si="96"/>
        <v>x</v>
      </c>
      <c r="O70" s="117" t="str">
        <f t="shared" si="96"/>
        <v>x</v>
      </c>
      <c r="P70" s="117" t="str">
        <f t="shared" si="96"/>
        <v>x</v>
      </c>
      <c r="Q70" s="117" t="str">
        <f t="shared" si="96"/>
        <v>x</v>
      </c>
      <c r="R70" s="117" t="str">
        <f t="shared" si="96"/>
        <v>x</v>
      </c>
      <c r="S70" s="117" t="str">
        <f t="shared" si="96"/>
        <v>x</v>
      </c>
      <c r="T70" s="117" t="str">
        <f t="shared" si="96"/>
        <v>x</v>
      </c>
      <c r="U70" s="117" t="str">
        <f t="shared" si="96"/>
        <v>x</v>
      </c>
      <c r="V70" s="117" t="str">
        <f t="shared" si="96"/>
        <v>x</v>
      </c>
      <c r="W70" s="117" t="str">
        <f t="shared" si="96"/>
        <v>x</v>
      </c>
      <c r="X70" s="117" t="str">
        <f t="shared" si="96"/>
        <v>x</v>
      </c>
      <c r="Y70" s="117" t="str">
        <f t="shared" si="96"/>
        <v>x</v>
      </c>
      <c r="Z70" s="117" t="str">
        <f t="shared" si="96"/>
        <v>x</v>
      </c>
    </row>
    <row r="71" spans="4:26" customFormat="1" x14ac:dyDescent="0.15">
      <c r="D71" s="117" t="str">
        <f t="shared" ref="D71:Z71" si="97">IF(BatSplit(D17,RunsScored)&gt;=50,BatSplit(D17,RunsScored)&amp;IF(BatSplit(D17,NotOuts)=1,"*","")&amp;"|"&amp;$C17&amp;"|"&amp;D$2&amp;"|"&amp;TEXT(D$1,"dd-mmm"),"x")</f>
        <v>x</v>
      </c>
      <c r="E71" s="117" t="str">
        <f t="shared" si="97"/>
        <v>x</v>
      </c>
      <c r="F71" s="117" t="str">
        <f t="shared" si="97"/>
        <v>x</v>
      </c>
      <c r="G71" s="117" t="str">
        <f t="shared" si="97"/>
        <v>x</v>
      </c>
      <c r="H71" s="117" t="str">
        <f t="shared" si="97"/>
        <v>x</v>
      </c>
      <c r="I71" s="117" t="str">
        <f t="shared" si="97"/>
        <v>x</v>
      </c>
      <c r="J71" s="117" t="str">
        <f t="shared" si="97"/>
        <v>x</v>
      </c>
      <c r="K71" s="117" t="str">
        <f t="shared" si="97"/>
        <v>x</v>
      </c>
      <c r="L71" s="117" t="str">
        <f t="shared" si="97"/>
        <v>x</v>
      </c>
      <c r="M71" s="117" t="str">
        <f t="shared" si="97"/>
        <v>x</v>
      </c>
      <c r="N71" s="117" t="str">
        <f t="shared" si="97"/>
        <v>x</v>
      </c>
      <c r="O71" s="117" t="str">
        <f t="shared" si="97"/>
        <v>x</v>
      </c>
      <c r="P71" s="117" t="str">
        <f t="shared" si="97"/>
        <v>x</v>
      </c>
      <c r="Q71" s="117" t="str">
        <f t="shared" si="97"/>
        <v>x</v>
      </c>
      <c r="R71" s="117" t="str">
        <f t="shared" si="97"/>
        <v>x</v>
      </c>
      <c r="S71" s="117" t="str">
        <f t="shared" si="97"/>
        <v>x</v>
      </c>
      <c r="T71" s="117" t="str">
        <f t="shared" si="97"/>
        <v>x</v>
      </c>
      <c r="U71" s="117" t="str">
        <f t="shared" si="97"/>
        <v>x</v>
      </c>
      <c r="V71" s="117" t="str">
        <f t="shared" si="97"/>
        <v>x</v>
      </c>
      <c r="W71" s="117" t="str">
        <f t="shared" si="97"/>
        <v>x</v>
      </c>
      <c r="X71" s="117" t="str">
        <f t="shared" si="97"/>
        <v>x</v>
      </c>
      <c r="Y71" s="117" t="str">
        <f t="shared" si="97"/>
        <v>x</v>
      </c>
      <c r="Z71" s="117" t="str">
        <f t="shared" si="97"/>
        <v>x</v>
      </c>
    </row>
    <row r="72" spans="4:26" customFormat="1" x14ac:dyDescent="0.15">
      <c r="D72" s="117" t="str">
        <f t="shared" ref="D72:Z72" si="98">IF(BatSplit(D18,RunsScored)&gt;=50,BatSplit(D18,RunsScored)&amp;IF(BatSplit(D18,NotOuts)=1,"*","")&amp;"|"&amp;$C18&amp;"|"&amp;D$2&amp;"|"&amp;TEXT(D$1,"dd-mmm"),"x")</f>
        <v>x</v>
      </c>
      <c r="E72" s="117" t="str">
        <f t="shared" si="98"/>
        <v>x</v>
      </c>
      <c r="F72" s="117" t="str">
        <f t="shared" si="98"/>
        <v>x</v>
      </c>
      <c r="G72" s="117" t="str">
        <f t="shared" si="98"/>
        <v>x</v>
      </c>
      <c r="H72" s="117" t="str">
        <f t="shared" si="98"/>
        <v>x</v>
      </c>
      <c r="I72" s="117" t="str">
        <f t="shared" si="98"/>
        <v>x</v>
      </c>
      <c r="J72" s="117" t="str">
        <f t="shared" si="98"/>
        <v>x</v>
      </c>
      <c r="K72" s="117" t="str">
        <f t="shared" si="98"/>
        <v>x</v>
      </c>
      <c r="L72" s="117" t="str">
        <f t="shared" si="98"/>
        <v>x</v>
      </c>
      <c r="M72" s="117" t="str">
        <f t="shared" si="98"/>
        <v>x</v>
      </c>
      <c r="N72" s="117" t="str">
        <f t="shared" si="98"/>
        <v>x</v>
      </c>
      <c r="O72" s="117" t="str">
        <f t="shared" si="98"/>
        <v>x</v>
      </c>
      <c r="P72" s="117" t="str">
        <f t="shared" si="98"/>
        <v>x</v>
      </c>
      <c r="Q72" s="117" t="str">
        <f t="shared" si="98"/>
        <v>x</v>
      </c>
      <c r="R72" s="117" t="str">
        <f t="shared" si="98"/>
        <v>x</v>
      </c>
      <c r="S72" s="117" t="str">
        <f t="shared" si="98"/>
        <v>x</v>
      </c>
      <c r="T72" s="117" t="str">
        <f t="shared" si="98"/>
        <v>x</v>
      </c>
      <c r="U72" s="117" t="str">
        <f t="shared" si="98"/>
        <v>x</v>
      </c>
      <c r="V72" s="117" t="str">
        <f t="shared" si="98"/>
        <v>x</v>
      </c>
      <c r="W72" s="117" t="str">
        <f t="shared" si="98"/>
        <v>x</v>
      </c>
      <c r="X72" s="117" t="str">
        <f t="shared" si="98"/>
        <v>x</v>
      </c>
      <c r="Y72" s="117" t="str">
        <f t="shared" si="98"/>
        <v>x</v>
      </c>
      <c r="Z72" s="117" t="str">
        <f t="shared" si="98"/>
        <v>x</v>
      </c>
    </row>
    <row r="73" spans="4:26" customFormat="1" x14ac:dyDescent="0.15">
      <c r="D73" s="117" t="str">
        <f t="shared" ref="D73:Z73" si="99">IF(BatSplit(D19,RunsScored)&gt;=50,BatSplit(D19,RunsScored)&amp;IF(BatSplit(D19,NotOuts)=1,"*","")&amp;"|"&amp;$C19&amp;"|"&amp;D$2&amp;"|"&amp;TEXT(D$1,"dd-mmm"),"x")</f>
        <v>x</v>
      </c>
      <c r="E73" s="117" t="str">
        <f t="shared" si="99"/>
        <v>x</v>
      </c>
      <c r="F73" s="117" t="str">
        <f t="shared" si="99"/>
        <v>x</v>
      </c>
      <c r="G73" s="117" t="str">
        <f t="shared" si="99"/>
        <v>x</v>
      </c>
      <c r="H73" s="117" t="str">
        <f t="shared" si="99"/>
        <v>x</v>
      </c>
      <c r="I73" s="117" t="str">
        <f t="shared" si="99"/>
        <v>x</v>
      </c>
      <c r="J73" s="117" t="str">
        <f t="shared" si="99"/>
        <v>x</v>
      </c>
      <c r="K73" s="117" t="str">
        <f t="shared" si="99"/>
        <v>x</v>
      </c>
      <c r="L73" s="117" t="str">
        <f t="shared" si="99"/>
        <v>x</v>
      </c>
      <c r="M73" s="117" t="str">
        <f t="shared" si="99"/>
        <v>x</v>
      </c>
      <c r="N73" s="117" t="str">
        <f t="shared" si="99"/>
        <v>x</v>
      </c>
      <c r="O73" s="117" t="str">
        <f t="shared" si="99"/>
        <v>x</v>
      </c>
      <c r="P73" s="117" t="str">
        <f t="shared" si="99"/>
        <v>x</v>
      </c>
      <c r="Q73" s="117" t="str">
        <f t="shared" si="99"/>
        <v>x</v>
      </c>
      <c r="R73" s="117" t="str">
        <f t="shared" si="99"/>
        <v>x</v>
      </c>
      <c r="S73" s="117" t="str">
        <f t="shared" si="99"/>
        <v>x</v>
      </c>
      <c r="T73" s="117" t="str">
        <f t="shared" si="99"/>
        <v>x</v>
      </c>
      <c r="U73" s="117" t="str">
        <f t="shared" si="99"/>
        <v>x</v>
      </c>
      <c r="V73" s="117" t="str">
        <f t="shared" si="99"/>
        <v>x</v>
      </c>
      <c r="W73" s="117" t="str">
        <f t="shared" si="99"/>
        <v>x</v>
      </c>
      <c r="X73" s="117" t="str">
        <f t="shared" si="99"/>
        <v>x</v>
      </c>
      <c r="Y73" s="117" t="str">
        <f t="shared" si="99"/>
        <v>x</v>
      </c>
      <c r="Z73" s="117" t="str">
        <f t="shared" si="99"/>
        <v>x</v>
      </c>
    </row>
    <row r="74" spans="4:26" customFormat="1" x14ac:dyDescent="0.15">
      <c r="D74" s="117" t="str">
        <f t="shared" ref="D74:Z74" si="100">IF(BatSplit(D20,RunsScored)&gt;=50,BatSplit(D20,RunsScored)&amp;IF(BatSplit(D20,NotOuts)=1,"*","")&amp;"|"&amp;$C20&amp;"|"&amp;D$2&amp;"|"&amp;TEXT(D$1,"dd-mmm"),"x")</f>
        <v>x</v>
      </c>
      <c r="E74" s="117" t="str">
        <f t="shared" si="100"/>
        <v>x</v>
      </c>
      <c r="F74" s="117" t="str">
        <f t="shared" si="100"/>
        <v>x</v>
      </c>
      <c r="G74" s="117" t="str">
        <f t="shared" si="100"/>
        <v>x</v>
      </c>
      <c r="H74" s="117" t="str">
        <f t="shared" si="100"/>
        <v>x</v>
      </c>
      <c r="I74" s="117" t="str">
        <f t="shared" si="100"/>
        <v>x</v>
      </c>
      <c r="J74" s="117" t="str">
        <f t="shared" si="100"/>
        <v>x</v>
      </c>
      <c r="K74" s="117" t="str">
        <f t="shared" si="100"/>
        <v>x</v>
      </c>
      <c r="L74" s="117" t="str">
        <f t="shared" si="100"/>
        <v>x</v>
      </c>
      <c r="M74" s="117" t="str">
        <f t="shared" si="100"/>
        <v>x</v>
      </c>
      <c r="N74" s="117" t="str">
        <f t="shared" si="100"/>
        <v>x</v>
      </c>
      <c r="O74" s="117" t="str">
        <f t="shared" si="100"/>
        <v>x</v>
      </c>
      <c r="P74" s="117" t="str">
        <f t="shared" si="100"/>
        <v>x</v>
      </c>
      <c r="Q74" s="117" t="str">
        <f t="shared" si="100"/>
        <v>x</v>
      </c>
      <c r="R74" s="117" t="str">
        <f t="shared" si="100"/>
        <v>x</v>
      </c>
      <c r="S74" s="117" t="str">
        <f t="shared" si="100"/>
        <v>x</v>
      </c>
      <c r="T74" s="117" t="str">
        <f t="shared" si="100"/>
        <v>x</v>
      </c>
      <c r="U74" s="117" t="str">
        <f t="shared" si="100"/>
        <v>x</v>
      </c>
      <c r="V74" s="117" t="str">
        <f t="shared" si="100"/>
        <v>x</v>
      </c>
      <c r="W74" s="117" t="str">
        <f t="shared" si="100"/>
        <v>x</v>
      </c>
      <c r="X74" s="117" t="str">
        <f t="shared" si="100"/>
        <v>x</v>
      </c>
      <c r="Y74" s="117" t="str">
        <f t="shared" si="100"/>
        <v>x</v>
      </c>
      <c r="Z74" s="117" t="str">
        <f t="shared" si="100"/>
        <v>x</v>
      </c>
    </row>
    <row r="75" spans="4:26" customFormat="1" x14ac:dyDescent="0.15">
      <c r="D75" s="117" t="str">
        <f t="shared" ref="D75:Z75" si="101">IF(BatSplit(D21,RunsScored)&gt;=50,BatSplit(D21,RunsScored)&amp;IF(BatSplit(D21,NotOuts)=1,"*","")&amp;"|"&amp;$C21&amp;"|"&amp;D$2&amp;"|"&amp;TEXT(D$1,"dd-mmm"),"x")</f>
        <v>x</v>
      </c>
      <c r="E75" s="117" t="str">
        <f t="shared" si="101"/>
        <v>x</v>
      </c>
      <c r="F75" s="117" t="str">
        <f t="shared" si="101"/>
        <v>x</v>
      </c>
      <c r="G75" s="117" t="str">
        <f t="shared" si="101"/>
        <v>x</v>
      </c>
      <c r="H75" s="117" t="str">
        <f t="shared" si="101"/>
        <v>x</v>
      </c>
      <c r="I75" s="117" t="str">
        <f t="shared" si="101"/>
        <v>x</v>
      </c>
      <c r="J75" s="117" t="str">
        <f t="shared" si="101"/>
        <v>x</v>
      </c>
      <c r="K75" s="117" t="str">
        <f t="shared" si="101"/>
        <v>x</v>
      </c>
      <c r="L75" s="117" t="str">
        <f t="shared" si="101"/>
        <v>x</v>
      </c>
      <c r="M75" s="117" t="str">
        <f t="shared" si="101"/>
        <v>x</v>
      </c>
      <c r="N75" s="117" t="str">
        <f t="shared" si="101"/>
        <v>x</v>
      </c>
      <c r="O75" s="117" t="str">
        <f t="shared" si="101"/>
        <v>x</v>
      </c>
      <c r="P75" s="117" t="str">
        <f t="shared" si="101"/>
        <v>x</v>
      </c>
      <c r="Q75" s="117" t="str">
        <f t="shared" si="101"/>
        <v>x</v>
      </c>
      <c r="R75" s="117" t="str">
        <f t="shared" si="101"/>
        <v>x</v>
      </c>
      <c r="S75" s="117" t="str">
        <f t="shared" si="101"/>
        <v>x</v>
      </c>
      <c r="T75" s="117" t="str">
        <f t="shared" si="101"/>
        <v>x</v>
      </c>
      <c r="U75" s="117" t="str">
        <f t="shared" si="101"/>
        <v>x</v>
      </c>
      <c r="V75" s="117" t="str">
        <f t="shared" si="101"/>
        <v>x</v>
      </c>
      <c r="W75" s="117" t="str">
        <f t="shared" si="101"/>
        <v>x</v>
      </c>
      <c r="X75" s="117" t="str">
        <f t="shared" si="101"/>
        <v>x</v>
      </c>
      <c r="Y75" s="117" t="str">
        <f t="shared" si="101"/>
        <v>x</v>
      </c>
      <c r="Z75" s="117" t="str">
        <f t="shared" si="101"/>
        <v>x</v>
      </c>
    </row>
    <row r="76" spans="4:26" customFormat="1" x14ac:dyDescent="0.15">
      <c r="D76" s="117" t="str">
        <f t="shared" ref="D76:Z76" si="102">IF(BatSplit(D22,RunsScored)&gt;=50,BatSplit(D22,RunsScored)&amp;IF(BatSplit(D22,NotOuts)=1,"*","")&amp;"|"&amp;$C22&amp;"|"&amp;D$2&amp;"|"&amp;TEXT(D$1,"dd-mmm"),"x")</f>
        <v>x</v>
      </c>
      <c r="E76" s="117" t="str">
        <f t="shared" si="102"/>
        <v>x</v>
      </c>
      <c r="F76" s="117" t="str">
        <f t="shared" si="102"/>
        <v>x</v>
      </c>
      <c r="G76" s="117" t="str">
        <f t="shared" si="102"/>
        <v>x</v>
      </c>
      <c r="H76" s="117" t="str">
        <f t="shared" si="102"/>
        <v>x</v>
      </c>
      <c r="I76" s="117" t="str">
        <f t="shared" si="102"/>
        <v>x</v>
      </c>
      <c r="J76" s="117" t="str">
        <f t="shared" si="102"/>
        <v>x</v>
      </c>
      <c r="K76" s="117" t="str">
        <f t="shared" si="102"/>
        <v>x</v>
      </c>
      <c r="L76" s="117" t="str">
        <f t="shared" si="102"/>
        <v>x</v>
      </c>
      <c r="M76" s="117" t="str">
        <f t="shared" si="102"/>
        <v>x</v>
      </c>
      <c r="N76" s="117" t="str">
        <f t="shared" si="102"/>
        <v>x</v>
      </c>
      <c r="O76" s="117" t="str">
        <f t="shared" si="102"/>
        <v>x</v>
      </c>
      <c r="P76" s="117" t="str">
        <f t="shared" si="102"/>
        <v>x</v>
      </c>
      <c r="Q76" s="117" t="str">
        <f t="shared" si="102"/>
        <v>x</v>
      </c>
      <c r="R76" s="117" t="str">
        <f t="shared" si="102"/>
        <v>x</v>
      </c>
      <c r="S76" s="117" t="str">
        <f t="shared" si="102"/>
        <v>x</v>
      </c>
      <c r="T76" s="117" t="str">
        <f t="shared" si="102"/>
        <v>x</v>
      </c>
      <c r="U76" s="117" t="str">
        <f t="shared" si="102"/>
        <v>x</v>
      </c>
      <c r="V76" s="117" t="str">
        <f t="shared" si="102"/>
        <v>x</v>
      </c>
      <c r="W76" s="117" t="str">
        <f t="shared" si="102"/>
        <v>x</v>
      </c>
      <c r="X76" s="117" t="str">
        <f t="shared" si="102"/>
        <v>x</v>
      </c>
      <c r="Y76" s="117" t="str">
        <f t="shared" si="102"/>
        <v>x</v>
      </c>
      <c r="Z76" s="117" t="str">
        <f t="shared" si="102"/>
        <v>x</v>
      </c>
    </row>
    <row r="77" spans="4:26" customFormat="1" x14ac:dyDescent="0.15">
      <c r="D77" s="117" t="str">
        <f t="shared" ref="D77:Z77" si="103">IF(BatSplit(D23,RunsScored)&gt;=50,BatSplit(D23,RunsScored)&amp;IF(BatSplit(D23,NotOuts)=1,"*","")&amp;"|"&amp;$C23&amp;"|"&amp;D$2&amp;"|"&amp;TEXT(D$1,"dd-mmm"),"x")</f>
        <v>x</v>
      </c>
      <c r="E77" s="117" t="str">
        <f t="shared" si="103"/>
        <v>x</v>
      </c>
      <c r="F77" s="117" t="str">
        <f t="shared" si="103"/>
        <v>x</v>
      </c>
      <c r="G77" s="117" t="str">
        <f t="shared" si="103"/>
        <v>x</v>
      </c>
      <c r="H77" s="117" t="str">
        <f t="shared" si="103"/>
        <v>x</v>
      </c>
      <c r="I77" s="117" t="str">
        <f t="shared" si="103"/>
        <v>x</v>
      </c>
      <c r="J77" s="117" t="str">
        <f t="shared" si="103"/>
        <v>x</v>
      </c>
      <c r="K77" s="117" t="str">
        <f t="shared" si="103"/>
        <v>x</v>
      </c>
      <c r="L77" s="117" t="str">
        <f t="shared" si="103"/>
        <v>x</v>
      </c>
      <c r="M77" s="117" t="str">
        <f t="shared" si="103"/>
        <v>x</v>
      </c>
      <c r="N77" s="117" t="str">
        <f t="shared" si="103"/>
        <v>x</v>
      </c>
      <c r="O77" s="117" t="str">
        <f t="shared" si="103"/>
        <v>x</v>
      </c>
      <c r="P77" s="117" t="str">
        <f t="shared" si="103"/>
        <v>x</v>
      </c>
      <c r="Q77" s="117" t="str">
        <f t="shared" si="103"/>
        <v>65|Leadley J|Seven Sports|01-Aug</v>
      </c>
      <c r="R77" s="117" t="str">
        <f t="shared" si="103"/>
        <v>x</v>
      </c>
      <c r="S77" s="117" t="str">
        <f t="shared" si="103"/>
        <v>x</v>
      </c>
      <c r="T77" s="117" t="str">
        <f t="shared" si="103"/>
        <v>x</v>
      </c>
      <c r="U77" s="117" t="str">
        <f t="shared" si="103"/>
        <v>x</v>
      </c>
      <c r="V77" s="117" t="str">
        <f t="shared" si="103"/>
        <v>x</v>
      </c>
      <c r="W77" s="117" t="str">
        <f t="shared" si="103"/>
        <v>x</v>
      </c>
      <c r="X77" s="117" t="str">
        <f t="shared" si="103"/>
        <v>x</v>
      </c>
      <c r="Y77" s="117" t="str">
        <f t="shared" si="103"/>
        <v>x</v>
      </c>
      <c r="Z77" s="117" t="str">
        <f t="shared" si="103"/>
        <v>x</v>
      </c>
    </row>
    <row r="78" spans="4:26" customFormat="1" x14ac:dyDescent="0.15">
      <c r="D78" s="117" t="str">
        <f t="shared" ref="D78:Z78" si="104">IF(BatSplit(D24,RunsScored)&gt;=50,BatSplit(D24,RunsScored)&amp;IF(BatSplit(D24,NotOuts)=1,"*","")&amp;"|"&amp;$C24&amp;"|"&amp;D$2&amp;"|"&amp;TEXT(D$1,"dd-mmm"),"x")</f>
        <v>x</v>
      </c>
      <c r="E78" s="117" t="str">
        <f t="shared" si="104"/>
        <v>x</v>
      </c>
      <c r="F78" s="117" t="str">
        <f t="shared" si="104"/>
        <v>x</v>
      </c>
      <c r="G78" s="117" t="str">
        <f t="shared" si="104"/>
        <v>x</v>
      </c>
      <c r="H78" s="117" t="str">
        <f t="shared" si="104"/>
        <v>x</v>
      </c>
      <c r="I78" s="117" t="str">
        <f t="shared" si="104"/>
        <v>x</v>
      </c>
      <c r="J78" s="117" t="str">
        <f t="shared" si="104"/>
        <v>x</v>
      </c>
      <c r="K78" s="117" t="str">
        <f t="shared" si="104"/>
        <v>x</v>
      </c>
      <c r="L78" s="117" t="str">
        <f t="shared" si="104"/>
        <v>x</v>
      </c>
      <c r="M78" s="117" t="str">
        <f t="shared" si="104"/>
        <v>x</v>
      </c>
      <c r="N78" s="117" t="str">
        <f t="shared" si="104"/>
        <v>x</v>
      </c>
      <c r="O78" s="117" t="str">
        <f t="shared" si="104"/>
        <v>x</v>
      </c>
      <c r="P78" s="117" t="str">
        <f t="shared" si="104"/>
        <v>x</v>
      </c>
      <c r="Q78" s="117" t="str">
        <f t="shared" si="104"/>
        <v>x</v>
      </c>
      <c r="R78" s="117" t="str">
        <f t="shared" si="104"/>
        <v>x</v>
      </c>
      <c r="S78" s="117" t="str">
        <f t="shared" si="104"/>
        <v>x</v>
      </c>
      <c r="T78" s="117" t="str">
        <f t="shared" si="104"/>
        <v>x</v>
      </c>
      <c r="U78" s="117" t="str">
        <f t="shared" si="104"/>
        <v>x</v>
      </c>
      <c r="V78" s="117" t="str">
        <f t="shared" si="104"/>
        <v>x</v>
      </c>
      <c r="W78" s="117" t="str">
        <f t="shared" si="104"/>
        <v>x</v>
      </c>
      <c r="X78" s="117" t="str">
        <f t="shared" si="104"/>
        <v>x</v>
      </c>
      <c r="Y78" s="117" t="str">
        <f t="shared" si="104"/>
        <v>x</v>
      </c>
      <c r="Z78" s="117" t="str">
        <f t="shared" si="104"/>
        <v>x</v>
      </c>
    </row>
    <row r="79" spans="4:26" customFormat="1" x14ac:dyDescent="0.15">
      <c r="D79" s="117" t="str">
        <f t="shared" ref="D79:Z79" si="105">IF(BatSplit(D25,RunsScored)&gt;=50,BatSplit(D25,RunsScored)&amp;IF(BatSplit(D25,NotOuts)=1,"*","")&amp;"|"&amp;$C25&amp;"|"&amp;D$2&amp;"|"&amp;TEXT(D$1,"dd-mmm"),"x")</f>
        <v>x</v>
      </c>
      <c r="E79" s="117" t="str">
        <f t="shared" si="105"/>
        <v>x</v>
      </c>
      <c r="F79" s="117" t="str">
        <f t="shared" si="105"/>
        <v>x</v>
      </c>
      <c r="G79" s="117" t="str">
        <f t="shared" si="105"/>
        <v>x</v>
      </c>
      <c r="H79" s="117" t="str">
        <f t="shared" si="105"/>
        <v>x</v>
      </c>
      <c r="I79" s="117" t="str">
        <f t="shared" si="105"/>
        <v>x</v>
      </c>
      <c r="J79" s="117" t="str">
        <f t="shared" si="105"/>
        <v>x</v>
      </c>
      <c r="K79" s="117" t="str">
        <f t="shared" si="105"/>
        <v>x</v>
      </c>
      <c r="L79" s="117" t="str">
        <f t="shared" si="105"/>
        <v>x</v>
      </c>
      <c r="M79" s="117" t="str">
        <f t="shared" si="105"/>
        <v>x</v>
      </c>
      <c r="N79" s="117" t="str">
        <f t="shared" si="105"/>
        <v>x</v>
      </c>
      <c r="O79" s="117" t="str">
        <f t="shared" si="105"/>
        <v>x</v>
      </c>
      <c r="P79" s="117" t="str">
        <f t="shared" si="105"/>
        <v>x</v>
      </c>
      <c r="Q79" s="117" t="str">
        <f t="shared" si="105"/>
        <v>x</v>
      </c>
      <c r="R79" s="117" t="str">
        <f t="shared" si="105"/>
        <v>x</v>
      </c>
      <c r="S79" s="117" t="str">
        <f t="shared" si="105"/>
        <v>x</v>
      </c>
      <c r="T79" s="117" t="str">
        <f t="shared" si="105"/>
        <v>x</v>
      </c>
      <c r="U79" s="117" t="str">
        <f t="shared" si="105"/>
        <v>x</v>
      </c>
      <c r="V79" s="117" t="str">
        <f t="shared" si="105"/>
        <v>x</v>
      </c>
      <c r="W79" s="117" t="str">
        <f t="shared" si="105"/>
        <v>x</v>
      </c>
      <c r="X79" s="117" t="str">
        <f t="shared" si="105"/>
        <v>x</v>
      </c>
      <c r="Y79" s="117" t="str">
        <f t="shared" si="105"/>
        <v>x</v>
      </c>
      <c r="Z79" s="117" t="str">
        <f t="shared" si="105"/>
        <v>x</v>
      </c>
    </row>
    <row r="80" spans="4:26" customFormat="1" x14ac:dyDescent="0.15">
      <c r="D80" s="117" t="str">
        <f t="shared" ref="D80:Z80" si="106">IF(BatSplit(D26,RunsScored)&gt;=50,BatSplit(D26,RunsScored)&amp;IF(BatSplit(D26,NotOuts)=1,"*","")&amp;"|"&amp;$C26&amp;"|"&amp;D$2&amp;"|"&amp;TEXT(D$1,"dd-mmm"),"x")</f>
        <v>x</v>
      </c>
      <c r="E80" s="117" t="str">
        <f t="shared" si="106"/>
        <v>x</v>
      </c>
      <c r="F80" s="117" t="str">
        <f t="shared" si="106"/>
        <v>x</v>
      </c>
      <c r="G80" s="117" t="str">
        <f t="shared" si="106"/>
        <v>x</v>
      </c>
      <c r="H80" s="117" t="str">
        <f t="shared" si="106"/>
        <v>x</v>
      </c>
      <c r="I80" s="117" t="str">
        <f t="shared" si="106"/>
        <v>x</v>
      </c>
      <c r="J80" s="117" t="str">
        <f t="shared" si="106"/>
        <v>x</v>
      </c>
      <c r="K80" s="117" t="str">
        <f t="shared" si="106"/>
        <v>x</v>
      </c>
      <c r="L80" s="117" t="str">
        <f t="shared" si="106"/>
        <v>x</v>
      </c>
      <c r="M80" s="117" t="str">
        <f t="shared" si="106"/>
        <v>x</v>
      </c>
      <c r="N80" s="117" t="str">
        <f t="shared" si="106"/>
        <v>x</v>
      </c>
      <c r="O80" s="117" t="str">
        <f t="shared" si="106"/>
        <v>x</v>
      </c>
      <c r="P80" s="117" t="str">
        <f t="shared" si="106"/>
        <v>x</v>
      </c>
      <c r="Q80" s="117" t="str">
        <f t="shared" si="106"/>
        <v>x</v>
      </c>
      <c r="R80" s="117" t="str">
        <f t="shared" si="106"/>
        <v>x</v>
      </c>
      <c r="S80" s="117" t="str">
        <f t="shared" si="106"/>
        <v>x</v>
      </c>
      <c r="T80" s="117" t="str">
        <f t="shared" si="106"/>
        <v>x</v>
      </c>
      <c r="U80" s="117" t="str">
        <f t="shared" si="106"/>
        <v>x</v>
      </c>
      <c r="V80" s="117" t="str">
        <f t="shared" si="106"/>
        <v>x</v>
      </c>
      <c r="W80" s="117" t="str">
        <f t="shared" si="106"/>
        <v>x</v>
      </c>
      <c r="X80" s="117" t="str">
        <f t="shared" si="106"/>
        <v>x</v>
      </c>
      <c r="Y80" s="117" t="str">
        <f t="shared" si="106"/>
        <v>x</v>
      </c>
      <c r="Z80" s="117" t="str">
        <f t="shared" si="106"/>
        <v>x</v>
      </c>
    </row>
    <row r="81" spans="4:26" customFormat="1" x14ac:dyDescent="0.15">
      <c r="D81" s="117" t="str">
        <f t="shared" ref="D81:Z81" si="107">IF(BatSplit(D27,RunsScored)&gt;=50,BatSplit(D27,RunsScored)&amp;IF(BatSplit(D27,NotOuts)=1,"*","")&amp;"|"&amp;$C27&amp;"|"&amp;D$2&amp;"|"&amp;TEXT(D$1,"dd-mmm"),"x")</f>
        <v>x</v>
      </c>
      <c r="E81" s="117" t="str">
        <f t="shared" si="107"/>
        <v>x</v>
      </c>
      <c r="F81" s="117" t="str">
        <f t="shared" si="107"/>
        <v>65|Middleton J|Sanderstead|23-May</v>
      </c>
      <c r="G81" s="117" t="str">
        <f t="shared" si="107"/>
        <v>x</v>
      </c>
      <c r="H81" s="117" t="str">
        <f t="shared" si="107"/>
        <v>x</v>
      </c>
      <c r="I81" s="117" t="str">
        <f t="shared" si="107"/>
        <v>x</v>
      </c>
      <c r="J81" s="117" t="str">
        <f t="shared" si="107"/>
        <v>x</v>
      </c>
      <c r="K81" s="117" t="str">
        <f t="shared" si="107"/>
        <v>x</v>
      </c>
      <c r="L81" s="117" t="str">
        <f t="shared" si="107"/>
        <v>x</v>
      </c>
      <c r="M81" s="117" t="str">
        <f t="shared" si="107"/>
        <v>x</v>
      </c>
      <c r="N81" s="117" t="str">
        <f t="shared" si="107"/>
        <v>55|Middleton J|Ockham|11-Jul</v>
      </c>
      <c r="O81" s="117" t="str">
        <f t="shared" si="107"/>
        <v>x</v>
      </c>
      <c r="P81" s="117" t="str">
        <f t="shared" si="107"/>
        <v>100*|Middleton J|LESSA Christchurch|25-Jul</v>
      </c>
      <c r="Q81" s="117" t="str">
        <f t="shared" si="107"/>
        <v>x</v>
      </c>
      <c r="R81" s="117" t="str">
        <f t="shared" si="107"/>
        <v>x</v>
      </c>
      <c r="S81" s="117" t="str">
        <f t="shared" si="107"/>
        <v>x</v>
      </c>
      <c r="T81" s="117" t="str">
        <f t="shared" si="107"/>
        <v>x</v>
      </c>
      <c r="U81" s="117" t="str">
        <f t="shared" si="107"/>
        <v>x</v>
      </c>
      <c r="V81" s="117" t="str">
        <f t="shared" si="107"/>
        <v>x</v>
      </c>
      <c r="W81" s="117" t="str">
        <f t="shared" si="107"/>
        <v>81*|Middleton J|Sanderstead|12-Sep</v>
      </c>
      <c r="X81" s="117" t="str">
        <f t="shared" si="107"/>
        <v>x</v>
      </c>
      <c r="Y81" s="117" t="str">
        <f t="shared" si="107"/>
        <v>x</v>
      </c>
      <c r="Z81" s="117" t="str">
        <f t="shared" si="107"/>
        <v>x</v>
      </c>
    </row>
    <row r="82" spans="4:26" customFormat="1" x14ac:dyDescent="0.15">
      <c r="D82" s="117" t="str">
        <f t="shared" ref="D82:Z82" si="108">IF(BatSplit(D28,RunsScored)&gt;=50,BatSplit(D28,RunsScored)&amp;IF(BatSplit(D28,NotOuts)=1,"*","")&amp;"|"&amp;$C28&amp;"|"&amp;D$2&amp;"|"&amp;TEXT(D$1,"dd-mmm"),"x")</f>
        <v>x</v>
      </c>
      <c r="E82" s="117" t="str">
        <f t="shared" si="108"/>
        <v>x</v>
      </c>
      <c r="F82" s="117" t="str">
        <f t="shared" si="108"/>
        <v>x</v>
      </c>
      <c r="G82" s="117" t="str">
        <f t="shared" si="108"/>
        <v>x</v>
      </c>
      <c r="H82" s="117" t="str">
        <f t="shared" si="108"/>
        <v>x</v>
      </c>
      <c r="I82" s="117" t="str">
        <f t="shared" si="108"/>
        <v>x</v>
      </c>
      <c r="J82" s="117" t="str">
        <f t="shared" si="108"/>
        <v>x</v>
      </c>
      <c r="K82" s="117" t="str">
        <f t="shared" si="108"/>
        <v>x</v>
      </c>
      <c r="L82" s="117" t="str">
        <f t="shared" si="108"/>
        <v>x</v>
      </c>
      <c r="M82" s="117" t="str">
        <f t="shared" si="108"/>
        <v>x</v>
      </c>
      <c r="N82" s="117" t="str">
        <f t="shared" si="108"/>
        <v>x</v>
      </c>
      <c r="O82" s="117" t="str">
        <f t="shared" si="108"/>
        <v>51|Nair S|Sthn Rlways &amp; Kenley|18-Jul</v>
      </c>
      <c r="P82" s="117" t="str">
        <f t="shared" si="108"/>
        <v>x</v>
      </c>
      <c r="Q82" s="117" t="str">
        <f t="shared" si="108"/>
        <v>55*|Nair S|Seven Sports|01-Aug</v>
      </c>
      <c r="R82" s="117" t="str">
        <f t="shared" si="108"/>
        <v>x</v>
      </c>
      <c r="S82" s="117" t="str">
        <f t="shared" si="108"/>
        <v>98|Nair S|YRG Eagles|15-Aug</v>
      </c>
      <c r="T82" s="117" t="str">
        <f t="shared" si="108"/>
        <v>x</v>
      </c>
      <c r="U82" s="117" t="str">
        <f t="shared" si="108"/>
        <v>x</v>
      </c>
      <c r="V82" s="117" t="str">
        <f t="shared" si="108"/>
        <v>x</v>
      </c>
      <c r="W82" s="117" t="str">
        <f t="shared" si="108"/>
        <v>x</v>
      </c>
      <c r="X82" s="117" t="str">
        <f t="shared" si="108"/>
        <v>x</v>
      </c>
      <c r="Y82" s="117" t="str">
        <f t="shared" si="108"/>
        <v>x</v>
      </c>
      <c r="Z82" s="117" t="str">
        <f t="shared" si="108"/>
        <v>x</v>
      </c>
    </row>
    <row r="83" spans="4:26" customFormat="1" x14ac:dyDescent="0.15">
      <c r="D83" s="117" t="str">
        <f t="shared" ref="D83:Z83" si="109">IF(BatSplit(D29,RunsScored)&gt;=50,BatSplit(D29,RunsScored)&amp;IF(BatSplit(D29,NotOuts)=1,"*","")&amp;"|"&amp;$C29&amp;"|"&amp;D$2&amp;"|"&amp;TEXT(D$1,"dd-mmm"),"x")</f>
        <v>x</v>
      </c>
      <c r="E83" s="117" t="str">
        <f t="shared" si="109"/>
        <v>x</v>
      </c>
      <c r="F83" s="117" t="str">
        <f t="shared" si="109"/>
        <v>x</v>
      </c>
      <c r="G83" s="117" t="str">
        <f t="shared" si="109"/>
        <v>x</v>
      </c>
      <c r="H83" s="117" t="str">
        <f t="shared" si="109"/>
        <v>x</v>
      </c>
      <c r="I83" s="117" t="str">
        <f t="shared" si="109"/>
        <v>x</v>
      </c>
      <c r="J83" s="117" t="str">
        <f t="shared" si="109"/>
        <v>x</v>
      </c>
      <c r="K83" s="117" t="str">
        <f t="shared" si="109"/>
        <v>x</v>
      </c>
      <c r="L83" s="117" t="str">
        <f t="shared" si="109"/>
        <v>x</v>
      </c>
      <c r="M83" s="117" t="str">
        <f t="shared" si="109"/>
        <v>x</v>
      </c>
      <c r="N83" s="117" t="str">
        <f t="shared" si="109"/>
        <v>x</v>
      </c>
      <c r="O83" s="117" t="str">
        <f t="shared" si="109"/>
        <v>x</v>
      </c>
      <c r="P83" s="117" t="str">
        <f t="shared" si="109"/>
        <v>x</v>
      </c>
      <c r="Q83" s="117" t="str">
        <f t="shared" si="109"/>
        <v>x</v>
      </c>
      <c r="R83" s="117" t="str">
        <f t="shared" si="109"/>
        <v>x</v>
      </c>
      <c r="S83" s="117" t="str">
        <f t="shared" si="109"/>
        <v>x</v>
      </c>
      <c r="T83" s="117" t="str">
        <f t="shared" si="109"/>
        <v>x</v>
      </c>
      <c r="U83" s="117" t="str">
        <f t="shared" si="109"/>
        <v>x</v>
      </c>
      <c r="V83" s="117" t="str">
        <f t="shared" si="109"/>
        <v>x</v>
      </c>
      <c r="W83" s="117" t="str">
        <f t="shared" si="109"/>
        <v>x</v>
      </c>
      <c r="X83" s="117" t="str">
        <f t="shared" si="109"/>
        <v>x</v>
      </c>
      <c r="Y83" s="117" t="str">
        <f t="shared" si="109"/>
        <v>x</v>
      </c>
      <c r="Z83" s="117" t="str">
        <f t="shared" si="109"/>
        <v>x</v>
      </c>
    </row>
    <row r="84" spans="4:26" customFormat="1" x14ac:dyDescent="0.15">
      <c r="D84" s="117" t="str">
        <f t="shared" ref="D84:Z84" si="110">IF(BatSplit(D30,RunsScored)&gt;=50,BatSplit(D30,RunsScored)&amp;IF(BatSplit(D30,NotOuts)=1,"*","")&amp;"|"&amp;$C30&amp;"|"&amp;D$2&amp;"|"&amp;TEXT(D$1,"dd-mmm"),"x")</f>
        <v>x</v>
      </c>
      <c r="E84" s="117" t="str">
        <f t="shared" si="110"/>
        <v>x</v>
      </c>
      <c r="F84" s="117" t="str">
        <f t="shared" si="110"/>
        <v>x</v>
      </c>
      <c r="G84" s="117" t="str">
        <f t="shared" si="110"/>
        <v>x</v>
      </c>
      <c r="H84" s="117" t="str">
        <f t="shared" si="110"/>
        <v>x</v>
      </c>
      <c r="I84" s="117" t="str">
        <f t="shared" si="110"/>
        <v>x</v>
      </c>
      <c r="J84" s="117" t="str">
        <f t="shared" si="110"/>
        <v>x</v>
      </c>
      <c r="K84" s="117" t="str">
        <f t="shared" si="110"/>
        <v>x</v>
      </c>
      <c r="L84" s="117" t="str">
        <f t="shared" si="110"/>
        <v>x</v>
      </c>
      <c r="M84" s="117" t="str">
        <f t="shared" si="110"/>
        <v>x</v>
      </c>
      <c r="N84" s="117" t="str">
        <f t="shared" si="110"/>
        <v>x</v>
      </c>
      <c r="O84" s="117" t="str">
        <f t="shared" si="110"/>
        <v>x</v>
      </c>
      <c r="P84" s="117" t="str">
        <f t="shared" si="110"/>
        <v>x</v>
      </c>
      <c r="Q84" s="117" t="str">
        <f t="shared" si="110"/>
        <v>x</v>
      </c>
      <c r="R84" s="117" t="str">
        <f t="shared" si="110"/>
        <v>x</v>
      </c>
      <c r="S84" s="117" t="str">
        <f t="shared" si="110"/>
        <v>x</v>
      </c>
      <c r="T84" s="117" t="str">
        <f t="shared" si="110"/>
        <v>x</v>
      </c>
      <c r="U84" s="117" t="str">
        <f t="shared" si="110"/>
        <v>x</v>
      </c>
      <c r="V84" s="117" t="str">
        <f t="shared" si="110"/>
        <v>x</v>
      </c>
      <c r="W84" s="117" t="str">
        <f t="shared" si="110"/>
        <v>x</v>
      </c>
      <c r="X84" s="117" t="str">
        <f t="shared" si="110"/>
        <v>x</v>
      </c>
      <c r="Y84" s="117" t="str">
        <f t="shared" si="110"/>
        <v>x</v>
      </c>
      <c r="Z84" s="117" t="str">
        <f t="shared" si="110"/>
        <v>x</v>
      </c>
    </row>
    <row r="85" spans="4:26" customFormat="1" x14ac:dyDescent="0.15">
      <c r="D85" s="117" t="str">
        <f t="shared" ref="D85:Z85" si="111">IF(BatSplit(D31,RunsScored)&gt;=50,BatSplit(D31,RunsScored)&amp;IF(BatSplit(D31,NotOuts)=1,"*","")&amp;"|"&amp;$C31&amp;"|"&amp;D$2&amp;"|"&amp;TEXT(D$1,"dd-mmm"),"x")</f>
        <v>x</v>
      </c>
      <c r="E85" s="117" t="str">
        <f t="shared" si="111"/>
        <v>x</v>
      </c>
      <c r="F85" s="117" t="str">
        <f t="shared" si="111"/>
        <v>x</v>
      </c>
      <c r="G85" s="117" t="str">
        <f t="shared" si="111"/>
        <v>x</v>
      </c>
      <c r="H85" s="117" t="str">
        <f t="shared" si="111"/>
        <v>x</v>
      </c>
      <c r="I85" s="117" t="str">
        <f t="shared" si="111"/>
        <v>x</v>
      </c>
      <c r="J85" s="117" t="str">
        <f t="shared" si="111"/>
        <v>x</v>
      </c>
      <c r="K85" s="117" t="str">
        <f t="shared" si="111"/>
        <v>x</v>
      </c>
      <c r="L85" s="117" t="str">
        <f t="shared" si="111"/>
        <v>x</v>
      </c>
      <c r="M85" s="117" t="str">
        <f t="shared" si="111"/>
        <v>x</v>
      </c>
      <c r="N85" s="117" t="str">
        <f t="shared" si="111"/>
        <v>x</v>
      </c>
      <c r="O85" s="117" t="str">
        <f t="shared" si="111"/>
        <v>x</v>
      </c>
      <c r="P85" s="117" t="str">
        <f t="shared" si="111"/>
        <v>x</v>
      </c>
      <c r="Q85" s="117" t="str">
        <f t="shared" si="111"/>
        <v>x</v>
      </c>
      <c r="R85" s="117" t="str">
        <f t="shared" si="111"/>
        <v>x</v>
      </c>
      <c r="S85" s="117" t="str">
        <f t="shared" si="111"/>
        <v>x</v>
      </c>
      <c r="T85" s="117" t="str">
        <f t="shared" si="111"/>
        <v>x</v>
      </c>
      <c r="U85" s="117" t="str">
        <f t="shared" si="111"/>
        <v>x</v>
      </c>
      <c r="V85" s="117" t="str">
        <f t="shared" si="111"/>
        <v>x</v>
      </c>
      <c r="W85" s="117" t="str">
        <f t="shared" si="111"/>
        <v>x</v>
      </c>
      <c r="X85" s="117" t="str">
        <f t="shared" si="111"/>
        <v>131*|Rao A|Cheam|19-Sep</v>
      </c>
      <c r="Y85" s="117" t="str">
        <f t="shared" si="111"/>
        <v>x</v>
      </c>
      <c r="Z85" s="117" t="str">
        <f t="shared" si="111"/>
        <v>x</v>
      </c>
    </row>
    <row r="86" spans="4:26" customFormat="1" x14ac:dyDescent="0.15">
      <c r="D86" s="117" t="str">
        <f t="shared" ref="D86:Z86" si="112">IF(BatSplit(D32,RunsScored)&gt;=50,BatSplit(D32,RunsScored)&amp;IF(BatSplit(D32,NotOuts)=1,"*","")&amp;"|"&amp;$C32&amp;"|"&amp;D$2&amp;"|"&amp;TEXT(D$1,"dd-mmm"),"x")</f>
        <v>x</v>
      </c>
      <c r="E86" s="117" t="str">
        <f t="shared" si="112"/>
        <v>x</v>
      </c>
      <c r="F86" s="117" t="str">
        <f t="shared" si="112"/>
        <v>x</v>
      </c>
      <c r="G86" s="117" t="str">
        <f t="shared" si="112"/>
        <v>x</v>
      </c>
      <c r="H86" s="117" t="str">
        <f t="shared" si="112"/>
        <v>x</v>
      </c>
      <c r="I86" s="117" t="str">
        <f t="shared" si="112"/>
        <v>x</v>
      </c>
      <c r="J86" s="117" t="str">
        <f t="shared" si="112"/>
        <v>x</v>
      </c>
      <c r="K86" s="117" t="str">
        <f t="shared" si="112"/>
        <v>x</v>
      </c>
      <c r="L86" s="117" t="str">
        <f t="shared" si="112"/>
        <v>x</v>
      </c>
      <c r="M86" s="117" t="str">
        <f t="shared" si="112"/>
        <v>x</v>
      </c>
      <c r="N86" s="117" t="str">
        <f t="shared" si="112"/>
        <v>x</v>
      </c>
      <c r="O86" s="117" t="str">
        <f t="shared" si="112"/>
        <v>x</v>
      </c>
      <c r="P86" s="117" t="str">
        <f t="shared" si="112"/>
        <v>x</v>
      </c>
      <c r="Q86" s="117" t="str">
        <f t="shared" si="112"/>
        <v>x</v>
      </c>
      <c r="R86" s="117" t="str">
        <f t="shared" si="112"/>
        <v>x</v>
      </c>
      <c r="S86" s="117" t="str">
        <f t="shared" si="112"/>
        <v>x</v>
      </c>
      <c r="T86" s="117" t="str">
        <f t="shared" si="112"/>
        <v>x</v>
      </c>
      <c r="U86" s="117" t="str">
        <f t="shared" si="112"/>
        <v>x</v>
      </c>
      <c r="V86" s="117" t="str">
        <f t="shared" si="112"/>
        <v>x</v>
      </c>
      <c r="W86" s="117" t="str">
        <f t="shared" si="112"/>
        <v>x</v>
      </c>
      <c r="X86" s="117" t="str">
        <f t="shared" si="112"/>
        <v>x</v>
      </c>
      <c r="Y86" s="117" t="str">
        <f t="shared" si="112"/>
        <v>x</v>
      </c>
      <c r="Z86" s="117" t="str">
        <f t="shared" si="112"/>
        <v>x</v>
      </c>
    </row>
    <row r="87" spans="4:26" customFormat="1" x14ac:dyDescent="0.15">
      <c r="D87" s="117" t="str">
        <f t="shared" ref="D87:Z87" si="113">IF(BatSplit(D33,RunsScored)&gt;=50,BatSplit(D33,RunsScored)&amp;IF(BatSplit(D33,NotOuts)=1,"*","")&amp;"|"&amp;$C33&amp;"|"&amp;D$2&amp;"|"&amp;TEXT(D$1,"dd-mmm"),"x")</f>
        <v>x</v>
      </c>
      <c r="E87" s="117" t="str">
        <f t="shared" si="113"/>
        <v>x</v>
      </c>
      <c r="F87" s="117" t="str">
        <f t="shared" si="113"/>
        <v>x</v>
      </c>
      <c r="G87" s="117" t="str">
        <f t="shared" si="113"/>
        <v>x</v>
      </c>
      <c r="H87" s="117" t="str">
        <f t="shared" si="113"/>
        <v>x</v>
      </c>
      <c r="I87" s="117" t="str">
        <f t="shared" si="113"/>
        <v>x</v>
      </c>
      <c r="J87" s="117" t="str">
        <f t="shared" si="113"/>
        <v>x</v>
      </c>
      <c r="K87" s="117" t="str">
        <f t="shared" si="113"/>
        <v>x</v>
      </c>
      <c r="L87" s="117" t="str">
        <f t="shared" si="113"/>
        <v>x</v>
      </c>
      <c r="M87" s="117" t="str">
        <f t="shared" si="113"/>
        <v>x</v>
      </c>
      <c r="N87" s="117" t="str">
        <f t="shared" si="113"/>
        <v>x</v>
      </c>
      <c r="O87" s="117" t="str">
        <f t="shared" si="113"/>
        <v>x</v>
      </c>
      <c r="P87" s="117" t="str">
        <f t="shared" si="113"/>
        <v>x</v>
      </c>
      <c r="Q87" s="117" t="str">
        <f t="shared" si="113"/>
        <v>x</v>
      </c>
      <c r="R87" s="117" t="str">
        <f t="shared" si="113"/>
        <v>x</v>
      </c>
      <c r="S87" s="117" t="str">
        <f t="shared" si="113"/>
        <v>x</v>
      </c>
      <c r="T87" s="117" t="str">
        <f t="shared" si="113"/>
        <v>x</v>
      </c>
      <c r="U87" s="117" t="str">
        <f t="shared" si="113"/>
        <v>x</v>
      </c>
      <c r="V87" s="117" t="str">
        <f t="shared" si="113"/>
        <v>x</v>
      </c>
      <c r="W87" s="117" t="str">
        <f t="shared" si="113"/>
        <v>x</v>
      </c>
      <c r="X87" s="117" t="str">
        <f t="shared" si="113"/>
        <v>x</v>
      </c>
      <c r="Y87" s="117" t="str">
        <f t="shared" si="113"/>
        <v>x</v>
      </c>
      <c r="Z87" s="117" t="str">
        <f t="shared" si="113"/>
        <v>x</v>
      </c>
    </row>
    <row r="88" spans="4:26" customFormat="1" x14ac:dyDescent="0.15">
      <c r="D88" s="117" t="str">
        <f t="shared" ref="D88:Z88" si="114">IF(BatSplit(D34,RunsScored)&gt;=50,BatSplit(D34,RunsScored)&amp;IF(BatSplit(D34,NotOuts)=1,"*","")&amp;"|"&amp;$C34&amp;"|"&amp;D$2&amp;"|"&amp;TEXT(D$1,"dd-mmm"),"x")</f>
        <v>84|Sharpe D|Beddington|09-May</v>
      </c>
      <c r="E88" s="117" t="str">
        <f t="shared" si="114"/>
        <v>x</v>
      </c>
      <c r="F88" s="117" t="str">
        <f t="shared" si="114"/>
        <v>x</v>
      </c>
      <c r="G88" s="117" t="str">
        <f t="shared" si="114"/>
        <v>x</v>
      </c>
      <c r="H88" s="117" t="str">
        <f t="shared" si="114"/>
        <v>x</v>
      </c>
      <c r="I88" s="117" t="str">
        <f t="shared" si="114"/>
        <v>x</v>
      </c>
      <c r="J88" s="117" t="str">
        <f t="shared" si="114"/>
        <v>x</v>
      </c>
      <c r="K88" s="117" t="str">
        <f t="shared" si="114"/>
        <v>x</v>
      </c>
      <c r="L88" s="117" t="str">
        <f t="shared" si="114"/>
        <v>67*|Sharpe D|Bromley Town|27-Jun</v>
      </c>
      <c r="M88" s="117" t="str">
        <f t="shared" si="114"/>
        <v>x</v>
      </c>
      <c r="N88" s="117" t="str">
        <f t="shared" si="114"/>
        <v>x</v>
      </c>
      <c r="O88" s="117" t="str">
        <f t="shared" si="114"/>
        <v>x</v>
      </c>
      <c r="P88" s="117" t="str">
        <f t="shared" si="114"/>
        <v>x</v>
      </c>
      <c r="Q88" s="117" t="str">
        <f t="shared" si="114"/>
        <v>x</v>
      </c>
      <c r="R88" s="117" t="str">
        <f t="shared" si="114"/>
        <v>x</v>
      </c>
      <c r="S88" s="117" t="str">
        <f t="shared" si="114"/>
        <v>x</v>
      </c>
      <c r="T88" s="117" t="str">
        <f t="shared" si="114"/>
        <v>68|Sharpe D|Norwood Exiles|22-Aug</v>
      </c>
      <c r="U88" s="117" t="str">
        <f t="shared" si="114"/>
        <v>x</v>
      </c>
      <c r="V88" s="117" t="str">
        <f t="shared" si="114"/>
        <v>x</v>
      </c>
      <c r="W88" s="117" t="str">
        <f t="shared" si="114"/>
        <v>67|Sharpe D|Sanderstead|12-Sep</v>
      </c>
      <c r="X88" s="117" t="str">
        <f t="shared" si="114"/>
        <v>x</v>
      </c>
      <c r="Y88" s="117" t="str">
        <f t="shared" si="114"/>
        <v>x</v>
      </c>
      <c r="Z88" s="117" t="str">
        <f t="shared" si="114"/>
        <v>x</v>
      </c>
    </row>
    <row r="89" spans="4:26" customFormat="1" x14ac:dyDescent="0.15">
      <c r="D89" s="117" t="str">
        <f t="shared" ref="D89:Z89" si="115">IF(BatSplit(D35,RunsScored)&gt;=50,BatSplit(D35,RunsScored)&amp;IF(BatSplit(D35,NotOuts)=1,"*","")&amp;"|"&amp;$C35&amp;"|"&amp;D$2&amp;"|"&amp;TEXT(D$1,"dd-mmm"),"x")</f>
        <v>x</v>
      </c>
      <c r="E89" s="117" t="str">
        <f t="shared" si="115"/>
        <v>x</v>
      </c>
      <c r="F89" s="117" t="str">
        <f t="shared" si="115"/>
        <v>x</v>
      </c>
      <c r="G89" s="117" t="str">
        <f t="shared" si="115"/>
        <v>x</v>
      </c>
      <c r="H89" s="117" t="str">
        <f t="shared" si="115"/>
        <v>x</v>
      </c>
      <c r="I89" s="117" t="str">
        <f t="shared" si="115"/>
        <v>x</v>
      </c>
      <c r="J89" s="117" t="str">
        <f t="shared" si="115"/>
        <v>x</v>
      </c>
      <c r="K89" s="117" t="str">
        <f t="shared" si="115"/>
        <v>x</v>
      </c>
      <c r="L89" s="117" t="str">
        <f t="shared" si="115"/>
        <v>x</v>
      </c>
      <c r="M89" s="117" t="str">
        <f t="shared" si="115"/>
        <v>x</v>
      </c>
      <c r="N89" s="117" t="str">
        <f t="shared" si="115"/>
        <v>x</v>
      </c>
      <c r="O89" s="117" t="str">
        <f t="shared" si="115"/>
        <v>x</v>
      </c>
      <c r="P89" s="117" t="str">
        <f t="shared" si="115"/>
        <v>x</v>
      </c>
      <c r="Q89" s="117" t="str">
        <f t="shared" si="115"/>
        <v>x</v>
      </c>
      <c r="R89" s="117" t="str">
        <f t="shared" si="115"/>
        <v>x</v>
      </c>
      <c r="S89" s="117" t="str">
        <f t="shared" si="115"/>
        <v>x</v>
      </c>
      <c r="T89" s="117" t="str">
        <f t="shared" si="115"/>
        <v>x</v>
      </c>
      <c r="U89" s="117" t="str">
        <f t="shared" si="115"/>
        <v>x</v>
      </c>
      <c r="V89" s="117" t="str">
        <f t="shared" si="115"/>
        <v>x</v>
      </c>
      <c r="W89" s="117" t="str">
        <f t="shared" si="115"/>
        <v>x</v>
      </c>
      <c r="X89" s="117" t="str">
        <f t="shared" si="115"/>
        <v>x</v>
      </c>
      <c r="Y89" s="117" t="str">
        <f t="shared" si="115"/>
        <v>x</v>
      </c>
      <c r="Z89" s="117" t="str">
        <f t="shared" si="115"/>
        <v>x</v>
      </c>
    </row>
    <row r="90" spans="4:26" customFormat="1" x14ac:dyDescent="0.15">
      <c r="D90" s="117" t="str">
        <f t="shared" ref="D90:Z90" si="116">IF(BatSplit(D36,RunsScored)&gt;=50,BatSplit(D36,RunsScored)&amp;IF(BatSplit(D36,NotOuts)=1,"*","")&amp;"|"&amp;$C36&amp;"|"&amp;D$2&amp;"|"&amp;TEXT(D$1,"dd-mmm"),"x")</f>
        <v>x</v>
      </c>
      <c r="E90" s="117" t="str">
        <f t="shared" si="116"/>
        <v>x</v>
      </c>
      <c r="F90" s="117" t="str">
        <f t="shared" si="116"/>
        <v>x</v>
      </c>
      <c r="G90" s="117" t="str">
        <f t="shared" si="116"/>
        <v>x</v>
      </c>
      <c r="H90" s="117" t="str">
        <f t="shared" si="116"/>
        <v>x</v>
      </c>
      <c r="I90" s="117" t="str">
        <f t="shared" si="116"/>
        <v>x</v>
      </c>
      <c r="J90" s="117" t="str">
        <f t="shared" si="116"/>
        <v>x</v>
      </c>
      <c r="K90" s="117" t="str">
        <f t="shared" si="116"/>
        <v>x</v>
      </c>
      <c r="L90" s="117" t="str">
        <f t="shared" si="116"/>
        <v>x</v>
      </c>
      <c r="M90" s="117" t="str">
        <f t="shared" si="116"/>
        <v>x</v>
      </c>
      <c r="N90" s="117" t="str">
        <f t="shared" si="116"/>
        <v>x</v>
      </c>
      <c r="O90" s="117" t="str">
        <f t="shared" si="116"/>
        <v>x</v>
      </c>
      <c r="P90" s="117" t="str">
        <f t="shared" si="116"/>
        <v>x</v>
      </c>
      <c r="Q90" s="117" t="str">
        <f t="shared" si="116"/>
        <v>x</v>
      </c>
      <c r="R90" s="117" t="str">
        <f t="shared" si="116"/>
        <v>x</v>
      </c>
      <c r="S90" s="117" t="str">
        <f t="shared" si="116"/>
        <v>x</v>
      </c>
      <c r="T90" s="117" t="str">
        <f t="shared" si="116"/>
        <v>x</v>
      </c>
      <c r="U90" s="117" t="str">
        <f t="shared" si="116"/>
        <v>x</v>
      </c>
      <c r="V90" s="117" t="str">
        <f t="shared" si="116"/>
        <v>x</v>
      </c>
      <c r="W90" s="117" t="str">
        <f t="shared" si="116"/>
        <v>x</v>
      </c>
      <c r="X90" s="117" t="str">
        <f t="shared" si="116"/>
        <v>x</v>
      </c>
      <c r="Y90" s="117" t="str">
        <f t="shared" si="116"/>
        <v>x</v>
      </c>
      <c r="Z90" s="117" t="str">
        <f t="shared" si="116"/>
        <v>x</v>
      </c>
    </row>
    <row r="91" spans="4:26" customFormat="1" x14ac:dyDescent="0.15">
      <c r="D91" s="117" t="str">
        <f t="shared" ref="D91:Z91" si="117">IF(BatSplit(D37,RunsScored)&gt;=50,BatSplit(D37,RunsScored)&amp;IF(BatSplit(D37,NotOuts)=1,"*","")&amp;"|"&amp;$C37&amp;"|"&amp;D$2&amp;"|"&amp;TEXT(D$1,"dd-mmm"),"x")</f>
        <v>x</v>
      </c>
      <c r="E91" s="117" t="str">
        <f t="shared" si="117"/>
        <v>x</v>
      </c>
      <c r="F91" s="117" t="str">
        <f t="shared" si="117"/>
        <v>x</v>
      </c>
      <c r="G91" s="117" t="str">
        <f t="shared" si="117"/>
        <v>x</v>
      </c>
      <c r="H91" s="117" t="str">
        <f t="shared" si="117"/>
        <v>x</v>
      </c>
      <c r="I91" s="117" t="str">
        <f t="shared" si="117"/>
        <v>x</v>
      </c>
      <c r="J91" s="117" t="str">
        <f t="shared" si="117"/>
        <v>x</v>
      </c>
      <c r="K91" s="117" t="str">
        <f t="shared" si="117"/>
        <v>x</v>
      </c>
      <c r="L91" s="117" t="str">
        <f t="shared" si="117"/>
        <v>x</v>
      </c>
      <c r="M91" s="117" t="str">
        <f t="shared" si="117"/>
        <v>x</v>
      </c>
      <c r="N91" s="117" t="str">
        <f t="shared" si="117"/>
        <v>x</v>
      </c>
      <c r="O91" s="117" t="str">
        <f t="shared" si="117"/>
        <v>x</v>
      </c>
      <c r="P91" s="117" t="str">
        <f t="shared" si="117"/>
        <v>x</v>
      </c>
      <c r="Q91" s="117" t="str">
        <f t="shared" si="117"/>
        <v>x</v>
      </c>
      <c r="R91" s="117" t="str">
        <f t="shared" si="117"/>
        <v>x</v>
      </c>
      <c r="S91" s="117" t="str">
        <f t="shared" si="117"/>
        <v>x</v>
      </c>
      <c r="T91" s="117" t="str">
        <f t="shared" si="117"/>
        <v>x</v>
      </c>
      <c r="U91" s="117" t="str">
        <f t="shared" si="117"/>
        <v>x</v>
      </c>
      <c r="V91" s="117" t="str">
        <f t="shared" si="117"/>
        <v>x</v>
      </c>
      <c r="W91" s="117" t="str">
        <f t="shared" si="117"/>
        <v>x</v>
      </c>
      <c r="X91" s="117" t="str">
        <f t="shared" si="117"/>
        <v>x</v>
      </c>
      <c r="Y91" s="117" t="str">
        <f t="shared" si="117"/>
        <v>x</v>
      </c>
      <c r="Z91" s="117" t="str">
        <f t="shared" si="117"/>
        <v>x</v>
      </c>
    </row>
    <row r="92" spans="4:26" customFormat="1" x14ac:dyDescent="0.15">
      <c r="D92" s="117" t="str">
        <f t="shared" ref="D92:Z92" si="118">IF(BatSplit(D38,RunsScored)&gt;=50,BatSplit(D38,RunsScored)&amp;IF(BatSplit(D38,NotOuts)=1,"*","")&amp;"|"&amp;$C38&amp;"|"&amp;D$2&amp;"|"&amp;TEXT(D$1,"dd-mmm"),"x")</f>
        <v>x</v>
      </c>
      <c r="E92" s="117" t="str">
        <f t="shared" si="118"/>
        <v>x</v>
      </c>
      <c r="F92" s="117" t="str">
        <f t="shared" si="118"/>
        <v>x</v>
      </c>
      <c r="G92" s="117" t="str">
        <f t="shared" si="118"/>
        <v>x</v>
      </c>
      <c r="H92" s="117" t="str">
        <f t="shared" si="118"/>
        <v>x</v>
      </c>
      <c r="I92" s="117" t="str">
        <f t="shared" si="118"/>
        <v>x</v>
      </c>
      <c r="J92" s="117" t="str">
        <f t="shared" si="118"/>
        <v>x</v>
      </c>
      <c r="K92" s="117" t="str">
        <f t="shared" si="118"/>
        <v>x</v>
      </c>
      <c r="L92" s="117" t="str">
        <f t="shared" si="118"/>
        <v>x</v>
      </c>
      <c r="M92" s="117" t="str">
        <f t="shared" si="118"/>
        <v>x</v>
      </c>
      <c r="N92" s="117" t="str">
        <f t="shared" si="118"/>
        <v>x</v>
      </c>
      <c r="O92" s="117" t="str">
        <f t="shared" si="118"/>
        <v>x</v>
      </c>
      <c r="P92" s="117" t="str">
        <f t="shared" si="118"/>
        <v>x</v>
      </c>
      <c r="Q92" s="117" t="str">
        <f t="shared" si="118"/>
        <v>x</v>
      </c>
      <c r="R92" s="117" t="str">
        <f t="shared" si="118"/>
        <v>x</v>
      </c>
      <c r="S92" s="117" t="str">
        <f t="shared" si="118"/>
        <v>x</v>
      </c>
      <c r="T92" s="117" t="str">
        <f t="shared" si="118"/>
        <v>x</v>
      </c>
      <c r="U92" s="117" t="str">
        <f t="shared" si="118"/>
        <v>x</v>
      </c>
      <c r="V92" s="117" t="str">
        <f t="shared" si="118"/>
        <v>x</v>
      </c>
      <c r="W92" s="117" t="str">
        <f t="shared" si="118"/>
        <v>x</v>
      </c>
      <c r="X92" s="117" t="str">
        <f t="shared" si="118"/>
        <v>x</v>
      </c>
      <c r="Y92" s="117" t="str">
        <f t="shared" si="118"/>
        <v>x</v>
      </c>
      <c r="Z92" s="117" t="str">
        <f t="shared" si="118"/>
        <v>x</v>
      </c>
    </row>
    <row r="93" spans="4:26" customFormat="1" x14ac:dyDescent="0.15">
      <c r="D93" s="117" t="str">
        <f t="shared" ref="D93:Z93" si="119">IF(BatSplit(D39,RunsScored)&gt;=50,BatSplit(D39,RunsScored)&amp;IF(BatSplit(D39,NotOuts)=1,"*","")&amp;"|"&amp;$C39&amp;"|"&amp;D$2&amp;"|"&amp;TEXT(D$1,"dd-mmm"),"x")</f>
        <v>x</v>
      </c>
      <c r="E93" s="117" t="str">
        <f t="shared" si="119"/>
        <v>x</v>
      </c>
      <c r="F93" s="117" t="str">
        <f t="shared" si="119"/>
        <v>x</v>
      </c>
      <c r="G93" s="117" t="str">
        <f t="shared" si="119"/>
        <v>x</v>
      </c>
      <c r="H93" s="117" t="str">
        <f t="shared" si="119"/>
        <v>x</v>
      </c>
      <c r="I93" s="117" t="str">
        <f t="shared" si="119"/>
        <v>x</v>
      </c>
      <c r="J93" s="117" t="str">
        <f t="shared" si="119"/>
        <v>x</v>
      </c>
      <c r="K93" s="117" t="str">
        <f t="shared" si="119"/>
        <v>x</v>
      </c>
      <c r="L93" s="117" t="str">
        <f t="shared" si="119"/>
        <v>x</v>
      </c>
      <c r="M93" s="117" t="str">
        <f t="shared" si="119"/>
        <v>x</v>
      </c>
      <c r="N93" s="117" t="str">
        <f t="shared" si="119"/>
        <v>x</v>
      </c>
      <c r="O93" s="117" t="str">
        <f t="shared" si="119"/>
        <v>x</v>
      </c>
      <c r="P93" s="117" t="str">
        <f t="shared" si="119"/>
        <v>x</v>
      </c>
      <c r="Q93" s="117" t="str">
        <f t="shared" si="119"/>
        <v>x</v>
      </c>
      <c r="R93" s="117" t="str">
        <f t="shared" si="119"/>
        <v>x</v>
      </c>
      <c r="S93" s="117" t="str">
        <f t="shared" si="119"/>
        <v>x</v>
      </c>
      <c r="T93" s="117" t="str">
        <f t="shared" si="119"/>
        <v>x</v>
      </c>
      <c r="U93" s="117" t="str">
        <f t="shared" si="119"/>
        <v>x</v>
      </c>
      <c r="V93" s="117" t="str">
        <f t="shared" si="119"/>
        <v>x</v>
      </c>
      <c r="W93" s="117" t="str">
        <f t="shared" si="119"/>
        <v>x</v>
      </c>
      <c r="X93" s="117" t="str">
        <f t="shared" si="119"/>
        <v>x</v>
      </c>
      <c r="Y93" s="117" t="str">
        <f t="shared" si="119"/>
        <v>x</v>
      </c>
      <c r="Z93" s="117" t="str">
        <f t="shared" si="119"/>
        <v>x</v>
      </c>
    </row>
    <row r="94" spans="4:26" customFormat="1" x14ac:dyDescent="0.15"/>
    <row r="95" spans="4:26" customFormat="1" x14ac:dyDescent="0.15"/>
    <row r="96" spans="4:2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</sheetData>
  <phoneticPr fontId="0" type="noConversion"/>
  <conditionalFormatting sqref="CE54:CE63">
    <cfRule type="cellIs" dxfId="5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104"/>
  <sheetViews>
    <sheetView tabSelected="1" zoomScaleNormal="100" workbookViewId="0">
      <pane xSplit="2" ySplit="4" topLeftCell="AY5" activePane="bottomRight" state="frozenSplit"/>
      <selection pane="topRight" activeCell="B1" sqref="B1"/>
      <selection pane="bottomLeft" activeCell="A5" sqref="A5"/>
      <selection pane="bottomRight" activeCell="B26" sqref="B26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40307</v>
      </c>
      <c r="D1" s="4">
        <v>40314</v>
      </c>
      <c r="E1" s="4">
        <v>40321</v>
      </c>
      <c r="F1" s="4">
        <v>40328</v>
      </c>
      <c r="G1" s="4">
        <v>40329</v>
      </c>
      <c r="H1" s="4">
        <v>40335</v>
      </c>
      <c r="I1" s="4">
        <v>40342</v>
      </c>
      <c r="J1" s="4">
        <v>40349</v>
      </c>
      <c r="K1" s="4">
        <v>40356</v>
      </c>
      <c r="L1" s="4">
        <v>40363</v>
      </c>
      <c r="M1" s="4">
        <v>40370</v>
      </c>
      <c r="N1" s="4">
        <v>40377</v>
      </c>
      <c r="O1" s="4">
        <v>40384</v>
      </c>
      <c r="P1" s="4">
        <v>40391</v>
      </c>
      <c r="Q1" s="4">
        <v>40398</v>
      </c>
      <c r="R1" s="4">
        <v>40405</v>
      </c>
      <c r="S1" s="4">
        <v>40412</v>
      </c>
      <c r="T1" s="4">
        <v>40419</v>
      </c>
      <c r="U1" s="4">
        <v>40426</v>
      </c>
      <c r="V1" s="4">
        <v>40433</v>
      </c>
      <c r="W1" s="4">
        <v>40440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8" ht="87.75" customHeight="1" x14ac:dyDescent="0.15">
      <c r="B2" s="2" t="str">
        <v>Opp</v>
      </c>
      <c r="C2" s="1" t="str">
        <v>Beddington</v>
      </c>
      <c r="D2" s="1" t="str">
        <v>Sydenham</v>
      </c>
      <c r="E2" s="1" t="str">
        <v>Sanderstead</v>
      </c>
      <c r="F2" s="1" t="str">
        <v>Woodgreen</v>
      </c>
      <c r="G2" s="1" t="str">
        <v>Steeple Langford</v>
      </c>
      <c r="H2" s="1" t="str">
        <v>Vishwa</v>
      </c>
      <c r="I2" s="1" t="str">
        <v>Weybridge Vandals</v>
      </c>
      <c r="J2" s="1" t="str">
        <v>LESSA Wanderers</v>
      </c>
      <c r="K2" s="1" t="str">
        <v>Bromley Town</v>
      </c>
      <c r="L2" s="1" t="str">
        <v>Norwood Exiles</v>
      </c>
      <c r="M2" s="1" t="str">
        <v>Ockham</v>
      </c>
      <c r="N2" s="1" t="str">
        <v>Sthn Rlways &amp; Kenley</v>
      </c>
      <c r="O2" s="1" t="str">
        <v>LESSA Christchurch</v>
      </c>
      <c r="P2" s="1" t="str">
        <v>Seven Sports</v>
      </c>
      <c r="Q2" s="1" t="str">
        <v>John Fisher Lamgas</v>
      </c>
      <c r="R2" s="1" t="str">
        <v>YRG Eagles</v>
      </c>
      <c r="S2" s="1" t="str">
        <v>Norwood Exiles</v>
      </c>
      <c r="T2" s="1" t="str">
        <v>LESSA Wanderers</v>
      </c>
      <c r="U2" s="1" t="str">
        <v>Churchleigh</v>
      </c>
      <c r="V2" s="1" t="str">
        <v>Sanderstead</v>
      </c>
      <c r="W2" s="1" t="str">
        <v>Cheam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38521</v>
      </c>
      <c r="AF2" s="1">
        <v>1863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A</v>
      </c>
      <c r="D3" s="1" t="str">
        <v>H</v>
      </c>
      <c r="E3" s="1" t="str">
        <v>A</v>
      </c>
      <c r="F3" s="1" t="str">
        <v>A</v>
      </c>
      <c r="G3" s="1" t="str">
        <v>A</v>
      </c>
      <c r="H3" s="1" t="str">
        <v>H</v>
      </c>
      <c r="I3" s="1" t="str">
        <v>A</v>
      </c>
      <c r="J3" s="1" t="str">
        <v>A</v>
      </c>
      <c r="K3" s="1" t="str">
        <v>A</v>
      </c>
      <c r="L3" s="1" t="str">
        <v>A</v>
      </c>
      <c r="M3" s="1" t="str">
        <v>A</v>
      </c>
      <c r="N3" s="1" t="str">
        <v>A</v>
      </c>
      <c r="O3" s="1" t="str">
        <v>H</v>
      </c>
      <c r="P3" s="1" t="str">
        <v>A</v>
      </c>
      <c r="Q3" s="1" t="str">
        <v>H</v>
      </c>
      <c r="R3" s="1" t="str">
        <v>A</v>
      </c>
      <c r="S3" s="1" t="str">
        <v>H</v>
      </c>
      <c r="T3" s="1" t="str">
        <v>A</v>
      </c>
      <c r="U3" s="1" t="str">
        <v>H</v>
      </c>
      <c r="V3" s="1" t="str">
        <v>A</v>
      </c>
      <c r="W3" s="1" t="str">
        <v>A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SUM(CP5:CP40)</f>
        <v>0</v>
      </c>
      <c r="CQ3" s="53">
        <f>SUM(CQ5:CQ40)</f>
        <v>0</v>
      </c>
    </row>
    <row r="4" spans="1:98" ht="11.25" customHeight="1" x14ac:dyDescent="0.15">
      <c r="B4" s="2" t="str">
        <v>Result</v>
      </c>
      <c r="C4" s="1" t="str">
        <v>W</v>
      </c>
      <c r="D4" s="1" t="str">
        <v>D</v>
      </c>
      <c r="E4" s="1" t="str">
        <v>D</v>
      </c>
      <c r="F4" s="1" t="str">
        <v>L</v>
      </c>
      <c r="G4" s="1" t="str">
        <v>L</v>
      </c>
      <c r="H4" s="1" t="str">
        <v>L</v>
      </c>
      <c r="I4" s="1" t="str">
        <v>D</v>
      </c>
      <c r="J4" s="1" t="str">
        <v>L</v>
      </c>
      <c r="K4" s="1" t="str">
        <v>W</v>
      </c>
      <c r="L4" s="1" t="str">
        <v>L</v>
      </c>
      <c r="M4" s="1" t="str">
        <v>W</v>
      </c>
      <c r="N4" s="1" t="str">
        <v>L</v>
      </c>
      <c r="O4" s="1" t="str">
        <v>W</v>
      </c>
      <c r="P4" s="1" t="str">
        <v>L</v>
      </c>
      <c r="Q4" s="1" t="str">
        <v>W</v>
      </c>
      <c r="R4" s="1" t="str">
        <v>W</v>
      </c>
      <c r="S4" s="1" t="str">
        <v>D</v>
      </c>
      <c r="T4" s="1" t="str">
        <v>W</v>
      </c>
      <c r="U4" s="1" t="str">
        <v>W</v>
      </c>
      <c r="V4" s="1" t="str">
        <v>W</v>
      </c>
      <c r="W4" s="1" t="str">
        <v>D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34</v>
      </c>
      <c r="CG4" s="49" t="s">
        <v>35</v>
      </c>
      <c r="CH4" s="49" t="s">
        <v>36</v>
      </c>
      <c r="CI4" s="49" t="s">
        <v>9</v>
      </c>
      <c r="CJ4" s="49" t="s">
        <v>37</v>
      </c>
      <c r="CK4" s="46" t="s">
        <v>38</v>
      </c>
      <c r="CL4" s="49" t="s">
        <v>39</v>
      </c>
      <c r="CM4" s="49" t="s">
        <v>40</v>
      </c>
      <c r="CN4" s="48" t="s">
        <v>98</v>
      </c>
      <c r="CO4" s="53" t="s">
        <v>41</v>
      </c>
      <c r="CP4" s="53" t="s">
        <v>117</v>
      </c>
      <c r="CQ4" s="53" t="s">
        <v>118</v>
      </c>
      <c r="CR4" s="74" t="s">
        <v>144</v>
      </c>
      <c r="CS4" s="2" t="s">
        <v>139</v>
      </c>
      <c r="CT4" s="2" t="s">
        <v>208</v>
      </c>
    </row>
    <row r="5" spans="1:98" ht="11.25" customHeight="1" x14ac:dyDescent="0.15">
      <c r="A5" s="2" t="s">
        <v>61</v>
      </c>
      <c r="B5" s="2" t="s">
        <v>147</v>
      </c>
      <c r="D5" s="2" t="s">
        <v>257</v>
      </c>
      <c r="E5" s="2" t="s">
        <v>340</v>
      </c>
      <c r="G5" s="2" t="s">
        <v>375</v>
      </c>
      <c r="H5" s="2" t="s">
        <v>393</v>
      </c>
      <c r="I5" s="2" t="s">
        <v>411</v>
      </c>
      <c r="J5" s="2" t="s">
        <v>430</v>
      </c>
      <c r="K5" s="2" t="s">
        <v>446</v>
      </c>
      <c r="L5" s="2" t="s">
        <v>466</v>
      </c>
      <c r="M5" s="2" t="s">
        <v>466</v>
      </c>
      <c r="N5" s="2" t="s">
        <v>502</v>
      </c>
      <c r="Q5" s="2" t="s">
        <v>559</v>
      </c>
      <c r="R5" s="2" t="s">
        <v>585</v>
      </c>
      <c r="S5" s="2" t="s">
        <v>599</v>
      </c>
      <c r="T5" s="2" t="s">
        <v>616</v>
      </c>
      <c r="U5" s="2" t="s">
        <v>628</v>
      </c>
      <c r="V5" s="2" t="s">
        <v>646</v>
      </c>
      <c r="W5" s="2" t="s">
        <v>663</v>
      </c>
      <c r="CE5" s="53">
        <f t="shared" ref="CE5" si="0">BowlSplit(C5:BC5,InnsBowledIn)</f>
        <v>17</v>
      </c>
      <c r="CF5" s="53">
        <f t="shared" ref="CF5" si="1">BowlSplit(C5:CC5,BallsBowled)</f>
        <v>636</v>
      </c>
      <c r="CG5" s="55">
        <f t="shared" ref="CG5" si="2">BowlSplit(C5:CC5,OversBowled)</f>
        <v>106</v>
      </c>
      <c r="CH5" s="53">
        <f t="shared" ref="CH5" si="3">BowlSplit(C5:CC5,Maidens)</f>
        <v>6</v>
      </c>
      <c r="CI5" s="53">
        <f t="shared" ref="CI5" si="4">BowlSplit(C5:CC5,RunsConceded)</f>
        <v>528</v>
      </c>
      <c r="CJ5" s="53">
        <f t="shared" ref="CJ5" si="5">BowlSplit(C5:CC5,WicketsTaken)</f>
        <v>28</v>
      </c>
      <c r="CK5" s="56">
        <f>IF(CJ5&gt;0,ROUND(CI5/CJ5,2),"")</f>
        <v>18.86</v>
      </c>
      <c r="CL5" s="57">
        <f t="shared" ref="CL5" si="6">IF(CJ5&gt;0,CF5/CJ5,"")</f>
        <v>22.714285714285715</v>
      </c>
      <c r="CM5" s="57">
        <f t="shared" ref="CM5" si="7">IF(CF5&gt;0,6*CI5/CF5,"")</f>
        <v>4.9811320754716979</v>
      </c>
      <c r="CN5" s="48" t="str">
        <f t="shared" ref="CN5" si="8">BowlSplit(C5:CC5,BestBowling)</f>
        <v>4-11</v>
      </c>
      <c r="CO5" s="53">
        <f t="shared" ref="CO5" si="9">BowlSplit(C5:CC5,BowlPts)</f>
        <v>301</v>
      </c>
      <c r="CP5" s="53">
        <f t="shared" ref="CP5" si="10">BowlSplit(C5:CC5,Wides)</f>
        <v>0</v>
      </c>
      <c r="CQ5" s="53">
        <f t="shared" ref="CQ5" si="11">BowlSplit(C5:CC5,NoBalls)</f>
        <v>0</v>
      </c>
      <c r="CR5" s="58">
        <f t="shared" ref="CR5" si="12">IF(CJ5&gt;0,CK5,IF(CF5&gt;0,CF5+1000,99999))+ROW(CQ5)/10000</f>
        <v>18.860499999999998</v>
      </c>
      <c r="CS5" s="2">
        <f t="shared" ref="CS5:CS30" si="13">RANK(CR5,$CR$5:$CR$34,1)</f>
        <v>6</v>
      </c>
      <c r="CT5" s="106">
        <f t="shared" ref="CT5" si="14">IF(CF5&gt;=120,CH5/CF5*6,"")</f>
        <v>5.6603773584905662E-2</v>
      </c>
    </row>
    <row r="6" spans="1:98" ht="11.25" customHeight="1" x14ac:dyDescent="0.15">
      <c r="A6" s="2" t="s">
        <v>99</v>
      </c>
      <c r="B6" s="2" t="s">
        <v>148</v>
      </c>
      <c r="C6" s="2" t="s">
        <v>304</v>
      </c>
      <c r="D6" s="123" t="s">
        <v>320</v>
      </c>
      <c r="E6" s="2" t="s">
        <v>339</v>
      </c>
      <c r="G6" s="2" t="s">
        <v>376</v>
      </c>
      <c r="J6" s="2" t="s">
        <v>429</v>
      </c>
      <c r="K6" s="2" t="s">
        <v>444</v>
      </c>
      <c r="L6" s="2" t="s">
        <v>463</v>
      </c>
      <c r="M6" s="58"/>
      <c r="P6" s="2" t="s">
        <v>541</v>
      </c>
      <c r="Q6" s="2" t="s">
        <v>558</v>
      </c>
      <c r="T6" s="2" t="s">
        <v>612</v>
      </c>
      <c r="U6" s="2" t="s">
        <v>626</v>
      </c>
      <c r="V6" s="2" t="s">
        <v>643</v>
      </c>
      <c r="W6" s="2" t="s">
        <v>665</v>
      </c>
      <c r="CE6" s="53">
        <f t="shared" ref="CE6:CE34" si="15">BowlSplit(C6:BC6,InnsBowledIn)</f>
        <v>13</v>
      </c>
      <c r="CF6" s="53">
        <f t="shared" ref="CF6:CF34" si="16">BowlSplit(C6:CC6,BallsBowled)</f>
        <v>474</v>
      </c>
      <c r="CG6" s="55">
        <f t="shared" ref="CG6:CG34" si="17">BowlSplit(C6:CC6,OversBowled)</f>
        <v>79</v>
      </c>
      <c r="CH6" s="53">
        <f t="shared" ref="CH6:CH34" si="18">BowlSplit(C6:CC6,Maidens)</f>
        <v>9</v>
      </c>
      <c r="CI6" s="53">
        <f t="shared" ref="CI6:CI34" si="19">BowlSplit(C6:CC6,RunsConceded)</f>
        <v>278</v>
      </c>
      <c r="CJ6" s="53">
        <f t="shared" ref="CJ6:CJ34" si="20">BowlSplit(C6:CC6,WicketsTaken)</f>
        <v>17</v>
      </c>
      <c r="CK6" s="56">
        <f t="shared" ref="CK6:CK34" si="21">IF(CJ6&gt;0,ROUND(CI6/CJ6,2),"")</f>
        <v>16.350000000000001</v>
      </c>
      <c r="CL6" s="57">
        <f t="shared" ref="CL6:CL34" si="22">IF(CJ6&gt;0,CF6/CJ6,"")</f>
        <v>27.882352941176471</v>
      </c>
      <c r="CM6" s="57">
        <f t="shared" ref="CM6:CM34" si="23">IF(CF6&gt;0,6*CI6/CF6,"")</f>
        <v>3.518987341772152</v>
      </c>
      <c r="CN6" s="48" t="str">
        <f t="shared" ref="CN6:CN34" si="24">BowlSplit(C6:CC6,BestBowling)</f>
        <v>4-16</v>
      </c>
      <c r="CO6" s="53">
        <f t="shared" ref="CO6:CO34" si="25">BowlSplit(C6:CC6,BowlPts)</f>
        <v>239</v>
      </c>
      <c r="CP6" s="53">
        <f t="shared" ref="CP6:CP34" si="26">BowlSplit(C6:CC6,Wides)</f>
        <v>0</v>
      </c>
      <c r="CQ6" s="53">
        <f t="shared" ref="CQ6:CQ34" si="27">BowlSplit(C6:CC6,NoBalls)</f>
        <v>0</v>
      </c>
      <c r="CR6" s="58">
        <f t="shared" ref="CR6:CR34" si="28">IF(CJ6&gt;0,CK6,IF(CF6&gt;0,CF6+1000,99999))+ROW(CQ6)/10000</f>
        <v>16.3506</v>
      </c>
      <c r="CS6" s="2">
        <f t="shared" si="13"/>
        <v>5</v>
      </c>
      <c r="CT6" s="106">
        <f t="shared" ref="CT6:CT34" si="29">IF(CF6&gt;=120,CH6/CF6*6,"")</f>
        <v>0.11392405063291139</v>
      </c>
    </row>
    <row r="7" spans="1:98" ht="11.25" customHeight="1" x14ac:dyDescent="0.15">
      <c r="B7" s="2" t="s">
        <v>245</v>
      </c>
      <c r="D7" s="123" t="s">
        <v>321</v>
      </c>
      <c r="H7" s="2" t="s">
        <v>392</v>
      </c>
      <c r="M7" s="58"/>
      <c r="Q7" s="2" t="s">
        <v>560</v>
      </c>
      <c r="R7" s="2" t="s">
        <v>581</v>
      </c>
      <c r="CE7" s="53">
        <f t="shared" si="15"/>
        <v>4</v>
      </c>
      <c r="CF7" s="53">
        <f t="shared" si="16"/>
        <v>114</v>
      </c>
      <c r="CG7" s="55">
        <f t="shared" si="17"/>
        <v>19</v>
      </c>
      <c r="CH7" s="53">
        <f t="shared" si="18"/>
        <v>0</v>
      </c>
      <c r="CI7" s="53">
        <f t="shared" si="19"/>
        <v>119</v>
      </c>
      <c r="CJ7" s="53">
        <f t="shared" si="20"/>
        <v>5</v>
      </c>
      <c r="CK7" s="56">
        <f t="shared" si="21"/>
        <v>23.8</v>
      </c>
      <c r="CL7" s="57">
        <f t="shared" si="22"/>
        <v>22.8</v>
      </c>
      <c r="CM7" s="57">
        <f t="shared" si="23"/>
        <v>6.2631578947368425</v>
      </c>
      <c r="CN7" s="48" t="str">
        <f t="shared" si="24"/>
        <v>3-54</v>
      </c>
      <c r="CO7" s="53">
        <f t="shared" si="25"/>
        <v>45</v>
      </c>
      <c r="CP7" s="53">
        <f t="shared" si="26"/>
        <v>0</v>
      </c>
      <c r="CQ7" s="53">
        <f t="shared" si="27"/>
        <v>0</v>
      </c>
      <c r="CR7" s="58">
        <f t="shared" si="28"/>
        <v>23.800699999999999</v>
      </c>
      <c r="CS7" s="2">
        <f t="shared" si="13"/>
        <v>10</v>
      </c>
      <c r="CT7" s="106" t="str">
        <f t="shared" si="29"/>
        <v/>
      </c>
    </row>
    <row r="8" spans="1:98" ht="11.25" customHeight="1" x14ac:dyDescent="0.15">
      <c r="A8" s="2" t="s">
        <v>131</v>
      </c>
      <c r="B8" s="2" t="s">
        <v>149</v>
      </c>
      <c r="CE8" s="53">
        <f t="shared" si="15"/>
        <v>0</v>
      </c>
      <c r="CF8" s="53">
        <f t="shared" si="16"/>
        <v>0</v>
      </c>
      <c r="CG8" s="55">
        <f t="shared" si="17"/>
        <v>0</v>
      </c>
      <c r="CH8" s="53">
        <f t="shared" si="18"/>
        <v>0</v>
      </c>
      <c r="CI8" s="53">
        <f t="shared" si="19"/>
        <v>0</v>
      </c>
      <c r="CJ8" s="53">
        <f t="shared" si="20"/>
        <v>0</v>
      </c>
      <c r="CK8" s="56" t="str">
        <f t="shared" si="21"/>
        <v/>
      </c>
      <c r="CL8" s="57" t="str">
        <f t="shared" si="22"/>
        <v/>
      </c>
      <c r="CM8" s="57" t="str">
        <f t="shared" si="23"/>
        <v/>
      </c>
      <c r="CN8" s="48" t="str">
        <f t="shared" si="24"/>
        <v/>
      </c>
      <c r="CO8" s="53">
        <f t="shared" si="25"/>
        <v>0</v>
      </c>
      <c r="CP8" s="53">
        <f t="shared" si="26"/>
        <v>0</v>
      </c>
      <c r="CQ8" s="53">
        <f t="shared" si="27"/>
        <v>0</v>
      </c>
      <c r="CR8" s="58">
        <f t="shared" si="28"/>
        <v>99999.000799999994</v>
      </c>
      <c r="CS8" s="2">
        <f t="shared" si="13"/>
        <v>24</v>
      </c>
      <c r="CT8" s="106" t="str">
        <f t="shared" si="29"/>
        <v/>
      </c>
    </row>
    <row r="9" spans="1:98" ht="11.25" customHeight="1" x14ac:dyDescent="0.15">
      <c r="A9" s="2" t="s">
        <v>43</v>
      </c>
      <c r="B9" s="2" t="s">
        <v>44</v>
      </c>
      <c r="C9" s="2" t="s">
        <v>303</v>
      </c>
      <c r="M9" s="58"/>
      <c r="CE9" s="53">
        <f t="shared" si="15"/>
        <v>1</v>
      </c>
      <c r="CF9" s="53">
        <f t="shared" si="16"/>
        <v>54</v>
      </c>
      <c r="CG9" s="55">
        <f t="shared" si="17"/>
        <v>9</v>
      </c>
      <c r="CH9" s="53">
        <f t="shared" si="18"/>
        <v>0</v>
      </c>
      <c r="CI9" s="53">
        <f t="shared" si="19"/>
        <v>36</v>
      </c>
      <c r="CJ9" s="53">
        <f t="shared" si="20"/>
        <v>1</v>
      </c>
      <c r="CK9" s="56">
        <f t="shared" si="21"/>
        <v>36</v>
      </c>
      <c r="CL9" s="57">
        <f t="shared" si="22"/>
        <v>54</v>
      </c>
      <c r="CM9" s="57">
        <f t="shared" si="23"/>
        <v>4</v>
      </c>
      <c r="CN9" s="48" t="str">
        <f t="shared" si="24"/>
        <v>1-36</v>
      </c>
      <c r="CO9" s="53">
        <f t="shared" si="25"/>
        <v>10</v>
      </c>
      <c r="CP9" s="53">
        <f t="shared" si="26"/>
        <v>0</v>
      </c>
      <c r="CQ9" s="53">
        <f t="shared" si="27"/>
        <v>0</v>
      </c>
      <c r="CR9" s="58">
        <f t="shared" si="28"/>
        <v>36.000900000000001</v>
      </c>
      <c r="CS9" s="2">
        <f t="shared" si="13"/>
        <v>13</v>
      </c>
      <c r="CT9" s="106" t="str">
        <f t="shared" si="29"/>
        <v/>
      </c>
    </row>
    <row r="10" spans="1:98" ht="11.25" customHeight="1" x14ac:dyDescent="0.15">
      <c r="B10" s="2" t="s">
        <v>225</v>
      </c>
      <c r="M10" s="58"/>
      <c r="N10" s="2" t="s">
        <v>505</v>
      </c>
      <c r="Q10" s="2" t="s">
        <v>561</v>
      </c>
      <c r="U10" s="2" t="s">
        <v>627</v>
      </c>
      <c r="CE10" s="53">
        <f t="shared" si="15"/>
        <v>3</v>
      </c>
      <c r="CF10" s="53">
        <f t="shared" si="16"/>
        <v>60</v>
      </c>
      <c r="CG10" s="55">
        <f t="shared" si="17"/>
        <v>10</v>
      </c>
      <c r="CH10" s="53">
        <f t="shared" si="18"/>
        <v>0</v>
      </c>
      <c r="CI10" s="53">
        <f t="shared" si="19"/>
        <v>50</v>
      </c>
      <c r="CJ10" s="53">
        <f t="shared" si="20"/>
        <v>0</v>
      </c>
      <c r="CK10" s="56" t="str">
        <f t="shared" si="21"/>
        <v/>
      </c>
      <c r="CL10" s="57" t="str">
        <f t="shared" si="22"/>
        <v/>
      </c>
      <c r="CM10" s="57">
        <f t="shared" si="23"/>
        <v>5</v>
      </c>
      <c r="CN10" s="48" t="str">
        <f t="shared" si="24"/>
        <v>0-6</v>
      </c>
      <c r="CO10" s="53">
        <f t="shared" si="25"/>
        <v>10</v>
      </c>
      <c r="CP10" s="53">
        <f t="shared" si="26"/>
        <v>0</v>
      </c>
      <c r="CQ10" s="53">
        <f t="shared" si="27"/>
        <v>0</v>
      </c>
      <c r="CR10" s="58">
        <f t="shared" si="28"/>
        <v>1060.001</v>
      </c>
      <c r="CS10" s="2">
        <f t="shared" si="13"/>
        <v>23</v>
      </c>
      <c r="CT10" s="106" t="str">
        <f t="shared" si="29"/>
        <v/>
      </c>
    </row>
    <row r="11" spans="1:98" ht="11.25" customHeight="1" x14ac:dyDescent="0.15">
      <c r="B11" s="2" t="s">
        <v>277</v>
      </c>
      <c r="C11" s="2" t="s">
        <v>302</v>
      </c>
      <c r="D11" s="2" t="s">
        <v>252</v>
      </c>
      <c r="F11" s="2" t="s">
        <v>355</v>
      </c>
      <c r="J11" s="2" t="s">
        <v>426</v>
      </c>
      <c r="K11" s="2" t="s">
        <v>445</v>
      </c>
      <c r="M11" s="58"/>
      <c r="N11" s="2" t="s">
        <v>501</v>
      </c>
      <c r="O11" s="2" t="s">
        <v>522</v>
      </c>
      <c r="P11" s="2" t="s">
        <v>540</v>
      </c>
      <c r="S11" s="2" t="s">
        <v>597</v>
      </c>
      <c r="W11" s="2" t="s">
        <v>660</v>
      </c>
      <c r="CE11" s="53">
        <f t="shared" si="15"/>
        <v>10</v>
      </c>
      <c r="CF11" s="53">
        <f t="shared" si="16"/>
        <v>414</v>
      </c>
      <c r="CG11" s="55">
        <f t="shared" si="17"/>
        <v>69</v>
      </c>
      <c r="CH11" s="53">
        <f t="shared" si="18"/>
        <v>4</v>
      </c>
      <c r="CI11" s="53">
        <f t="shared" si="19"/>
        <v>319</v>
      </c>
      <c r="CJ11" s="53">
        <f t="shared" si="20"/>
        <v>14</v>
      </c>
      <c r="CK11" s="56">
        <f t="shared" si="21"/>
        <v>22.79</v>
      </c>
      <c r="CL11" s="57">
        <f t="shared" si="22"/>
        <v>29.571428571428573</v>
      </c>
      <c r="CM11" s="57">
        <f t="shared" si="23"/>
        <v>4.6231884057971016</v>
      </c>
      <c r="CN11" s="48" t="str">
        <f t="shared" si="24"/>
        <v>3-19</v>
      </c>
      <c r="CO11" s="53">
        <f t="shared" si="25"/>
        <v>144</v>
      </c>
      <c r="CP11" s="53">
        <f t="shared" si="26"/>
        <v>0</v>
      </c>
      <c r="CQ11" s="53">
        <f t="shared" si="27"/>
        <v>0</v>
      </c>
      <c r="CR11" s="58">
        <f t="shared" si="28"/>
        <v>22.7911</v>
      </c>
      <c r="CS11" s="2">
        <f t="shared" si="13"/>
        <v>9</v>
      </c>
      <c r="CT11" s="106">
        <f t="shared" si="29"/>
        <v>5.7971014492753617E-2</v>
      </c>
    </row>
    <row r="12" spans="1:98" ht="11.25" customHeight="1" x14ac:dyDescent="0.15">
      <c r="B12" s="2" t="s">
        <v>322</v>
      </c>
      <c r="D12" s="2" t="s">
        <v>341</v>
      </c>
      <c r="F12" s="2" t="s">
        <v>358</v>
      </c>
      <c r="M12" s="58"/>
      <c r="CE12" s="53">
        <f t="shared" si="15"/>
        <v>2</v>
      </c>
      <c r="CF12" s="53">
        <f t="shared" si="16"/>
        <v>27</v>
      </c>
      <c r="CG12" s="55">
        <f t="shared" si="17"/>
        <v>4.3</v>
      </c>
      <c r="CH12" s="53">
        <f t="shared" si="18"/>
        <v>0</v>
      </c>
      <c r="CI12" s="53">
        <f t="shared" si="19"/>
        <v>44</v>
      </c>
      <c r="CJ12" s="53">
        <f t="shared" si="20"/>
        <v>0</v>
      </c>
      <c r="CK12" s="56" t="str">
        <f t="shared" si="21"/>
        <v/>
      </c>
      <c r="CL12" s="57" t="str">
        <f t="shared" si="22"/>
        <v/>
      </c>
      <c r="CM12" s="57">
        <f t="shared" si="23"/>
        <v>9.7777777777777786</v>
      </c>
      <c r="CN12" s="48" t="str">
        <f t="shared" si="24"/>
        <v>0-17</v>
      </c>
      <c r="CO12" s="53">
        <f t="shared" si="25"/>
        <v>-10</v>
      </c>
      <c r="CP12" s="53">
        <f t="shared" si="26"/>
        <v>0</v>
      </c>
      <c r="CQ12" s="53">
        <f t="shared" si="27"/>
        <v>0</v>
      </c>
      <c r="CR12" s="58">
        <f t="shared" si="28"/>
        <v>1027.0011999999999</v>
      </c>
      <c r="CS12" s="2">
        <f t="shared" si="13"/>
        <v>21</v>
      </c>
      <c r="CT12" s="106" t="str">
        <f t="shared" si="29"/>
        <v/>
      </c>
    </row>
    <row r="13" spans="1:98" ht="11.25" customHeight="1" x14ac:dyDescent="0.15">
      <c r="B13" s="2" t="s">
        <v>365</v>
      </c>
      <c r="G13" s="2" t="s">
        <v>380</v>
      </c>
      <c r="CE13" s="53">
        <f t="shared" si="15"/>
        <v>1</v>
      </c>
      <c r="CF13" s="53">
        <f t="shared" si="16"/>
        <v>12</v>
      </c>
      <c r="CG13" s="55">
        <f t="shared" si="17"/>
        <v>2</v>
      </c>
      <c r="CH13" s="53">
        <f t="shared" si="18"/>
        <v>0</v>
      </c>
      <c r="CI13" s="53">
        <f t="shared" si="19"/>
        <v>14</v>
      </c>
      <c r="CJ13" s="53">
        <f t="shared" si="20"/>
        <v>1</v>
      </c>
      <c r="CK13" s="56">
        <f t="shared" si="21"/>
        <v>14</v>
      </c>
      <c r="CL13" s="57">
        <f t="shared" si="22"/>
        <v>12</v>
      </c>
      <c r="CM13" s="57">
        <f t="shared" si="23"/>
        <v>7</v>
      </c>
      <c r="CN13" s="48" t="str">
        <f t="shared" si="24"/>
        <v>1-14</v>
      </c>
      <c r="CO13" s="53">
        <f t="shared" si="25"/>
        <v>5</v>
      </c>
      <c r="CP13" s="53">
        <f t="shared" si="26"/>
        <v>0</v>
      </c>
      <c r="CQ13" s="53">
        <f t="shared" si="27"/>
        <v>0</v>
      </c>
      <c r="CR13" s="58">
        <f t="shared" si="28"/>
        <v>14.001300000000001</v>
      </c>
      <c r="CS13" s="2">
        <f t="shared" si="13"/>
        <v>3</v>
      </c>
      <c r="CT13" s="106" t="str">
        <f t="shared" si="29"/>
        <v/>
      </c>
    </row>
    <row r="14" spans="1:98" ht="11.25" customHeight="1" x14ac:dyDescent="0.15">
      <c r="B14" s="2" t="s">
        <v>201</v>
      </c>
      <c r="CE14" s="53">
        <f t="shared" si="15"/>
        <v>0</v>
      </c>
      <c r="CF14" s="53">
        <f t="shared" si="16"/>
        <v>0</v>
      </c>
      <c r="CG14" s="55">
        <f t="shared" si="17"/>
        <v>0</v>
      </c>
      <c r="CH14" s="53">
        <f t="shared" si="18"/>
        <v>0</v>
      </c>
      <c r="CI14" s="53">
        <f t="shared" si="19"/>
        <v>0</v>
      </c>
      <c r="CJ14" s="53">
        <f t="shared" si="20"/>
        <v>0</v>
      </c>
      <c r="CK14" s="56" t="str">
        <f t="shared" si="21"/>
        <v/>
      </c>
      <c r="CL14" s="57" t="str">
        <f t="shared" si="22"/>
        <v/>
      </c>
      <c r="CM14" s="57" t="str">
        <f t="shared" si="23"/>
        <v/>
      </c>
      <c r="CN14" s="48" t="str">
        <f t="shared" si="24"/>
        <v/>
      </c>
      <c r="CO14" s="53">
        <f t="shared" si="25"/>
        <v>0</v>
      </c>
      <c r="CP14" s="53">
        <f t="shared" si="26"/>
        <v>0</v>
      </c>
      <c r="CQ14" s="53">
        <f t="shared" si="27"/>
        <v>0</v>
      </c>
      <c r="CR14" s="58">
        <f t="shared" si="28"/>
        <v>99999.001399999994</v>
      </c>
      <c r="CS14" s="2">
        <f t="shared" si="13"/>
        <v>25</v>
      </c>
      <c r="CT14" s="106" t="str">
        <f t="shared" si="29"/>
        <v/>
      </c>
    </row>
    <row r="15" spans="1:98" ht="11.25" customHeight="1" x14ac:dyDescent="0.15">
      <c r="B15" s="2" t="s">
        <v>607</v>
      </c>
      <c r="T15" s="2" t="s">
        <v>614</v>
      </c>
      <c r="CE15" s="53">
        <f t="shared" ref="CE15:CE30" si="30">BowlSplit(C15:BC15,InnsBowledIn)</f>
        <v>1</v>
      </c>
      <c r="CF15" s="53">
        <f t="shared" ref="CF15:CF30" si="31">BowlSplit(C15:CC15,BallsBowled)</f>
        <v>48</v>
      </c>
      <c r="CG15" s="55">
        <f t="shared" ref="CG15:CG30" si="32">BowlSplit(C15:CC15,OversBowled)</f>
        <v>8</v>
      </c>
      <c r="CH15" s="53">
        <f t="shared" ref="CH15:CH30" si="33">BowlSplit(C15:CC15,Maidens)</f>
        <v>1</v>
      </c>
      <c r="CI15" s="53">
        <f t="shared" ref="CI15:CI30" si="34">BowlSplit(C15:CC15,RunsConceded)</f>
        <v>36</v>
      </c>
      <c r="CJ15" s="53">
        <f t="shared" ref="CJ15:CJ30" si="35">BowlSplit(C15:CC15,WicketsTaken)</f>
        <v>1</v>
      </c>
      <c r="CK15" s="56">
        <f t="shared" ref="CK15:CK30" si="36">IF(CJ15&gt;0,ROUND(CI15/CJ15,2),"")</f>
        <v>36</v>
      </c>
      <c r="CL15" s="57">
        <f t="shared" ref="CL15:CL30" si="37">IF(CJ15&gt;0,CF15/CJ15,"")</f>
        <v>48</v>
      </c>
      <c r="CM15" s="57">
        <f t="shared" ref="CM15:CM30" si="38">IF(CF15&gt;0,6*CI15/CF15,"")</f>
        <v>4.5</v>
      </c>
      <c r="CN15" s="48" t="str">
        <f t="shared" ref="CN15:CN30" si="39">BowlSplit(C15:CC15,BestBowling)</f>
        <v>1-36</v>
      </c>
      <c r="CO15" s="53">
        <f t="shared" ref="CO15:CO30" si="40">BowlSplit(C15:CC15,BowlPts)</f>
        <v>11</v>
      </c>
      <c r="CP15" s="53">
        <f t="shared" ref="CP15:CP30" si="41">BowlSplit(C15:CC15,Wides)</f>
        <v>0</v>
      </c>
      <c r="CQ15" s="53">
        <f t="shared" ref="CQ15:CQ30" si="42">BowlSplit(C15:CC15,NoBalls)</f>
        <v>0</v>
      </c>
      <c r="CR15" s="58">
        <f t="shared" ref="CR15:CR30" si="43">IF(CJ15&gt;0,CK15,IF(CF15&gt;0,CF15+1000,99999))+ROW(CQ15)/10000</f>
        <v>36.0015</v>
      </c>
      <c r="CS15" s="2">
        <f t="shared" si="13"/>
        <v>14</v>
      </c>
      <c r="CT15" s="106" t="str">
        <f t="shared" ref="CT15:CT30" si="44">IF(CF15&gt;=120,CH15/CF15*6,"")</f>
        <v/>
      </c>
    </row>
    <row r="16" spans="1:98" ht="11.25" customHeight="1" x14ac:dyDescent="0.15">
      <c r="B16" s="2" t="s">
        <v>224</v>
      </c>
      <c r="M16" s="58"/>
      <c r="CE16" s="53">
        <f t="shared" si="30"/>
        <v>0</v>
      </c>
      <c r="CF16" s="53">
        <f t="shared" si="31"/>
        <v>0</v>
      </c>
      <c r="CG16" s="55">
        <f t="shared" si="32"/>
        <v>0</v>
      </c>
      <c r="CH16" s="53">
        <f t="shared" si="33"/>
        <v>0</v>
      </c>
      <c r="CI16" s="53">
        <f t="shared" si="34"/>
        <v>0</v>
      </c>
      <c r="CJ16" s="53">
        <f t="shared" si="35"/>
        <v>0</v>
      </c>
      <c r="CK16" s="56" t="str">
        <f t="shared" si="36"/>
        <v/>
      </c>
      <c r="CL16" s="57" t="str">
        <f t="shared" si="37"/>
        <v/>
      </c>
      <c r="CM16" s="57" t="str">
        <f t="shared" si="38"/>
        <v/>
      </c>
      <c r="CN16" s="48" t="str">
        <f t="shared" si="39"/>
        <v/>
      </c>
      <c r="CO16" s="53">
        <f t="shared" si="40"/>
        <v>0</v>
      </c>
      <c r="CP16" s="53">
        <f t="shared" si="41"/>
        <v>0</v>
      </c>
      <c r="CQ16" s="53">
        <f t="shared" si="42"/>
        <v>0</v>
      </c>
      <c r="CR16" s="58">
        <f t="shared" si="43"/>
        <v>99999.001600000003</v>
      </c>
      <c r="CS16" s="2">
        <f t="shared" si="13"/>
        <v>26</v>
      </c>
      <c r="CT16" s="106" t="str">
        <f t="shared" si="44"/>
        <v/>
      </c>
    </row>
    <row r="17" spans="1:98" ht="11.25" customHeight="1" x14ac:dyDescent="0.15">
      <c r="B17" s="2" t="s">
        <v>404</v>
      </c>
      <c r="I17" s="2" t="s">
        <v>410</v>
      </c>
      <c r="M17" s="58"/>
      <c r="CE17" s="53">
        <f t="shared" si="30"/>
        <v>1</v>
      </c>
      <c r="CF17" s="53">
        <f t="shared" si="31"/>
        <v>42</v>
      </c>
      <c r="CG17" s="55">
        <f t="shared" si="32"/>
        <v>7</v>
      </c>
      <c r="CH17" s="53">
        <f t="shared" si="33"/>
        <v>0</v>
      </c>
      <c r="CI17" s="53">
        <f t="shared" si="34"/>
        <v>37</v>
      </c>
      <c r="CJ17" s="53">
        <f t="shared" si="35"/>
        <v>0</v>
      </c>
      <c r="CK17" s="56" t="str">
        <f t="shared" si="36"/>
        <v/>
      </c>
      <c r="CL17" s="57" t="str">
        <f t="shared" si="37"/>
        <v/>
      </c>
      <c r="CM17" s="57">
        <f t="shared" si="38"/>
        <v>5.2857142857142856</v>
      </c>
      <c r="CN17" s="48" t="str">
        <f t="shared" si="39"/>
        <v>0-37</v>
      </c>
      <c r="CO17" s="53">
        <f t="shared" si="40"/>
        <v>-5</v>
      </c>
      <c r="CP17" s="53">
        <f t="shared" si="41"/>
        <v>0</v>
      </c>
      <c r="CQ17" s="53">
        <f t="shared" si="42"/>
        <v>0</v>
      </c>
      <c r="CR17" s="58">
        <f t="shared" si="43"/>
        <v>1042.0017</v>
      </c>
      <c r="CS17" s="2">
        <f t="shared" si="13"/>
        <v>22</v>
      </c>
      <c r="CT17" s="106" t="str">
        <f t="shared" si="44"/>
        <v/>
      </c>
    </row>
    <row r="18" spans="1:98" ht="11.25" customHeight="1" x14ac:dyDescent="0.15">
      <c r="A18" s="2" t="s">
        <v>47</v>
      </c>
      <c r="B18" s="2" t="s">
        <v>48</v>
      </c>
      <c r="CE18" s="53">
        <f t="shared" si="30"/>
        <v>0</v>
      </c>
      <c r="CF18" s="53">
        <f t="shared" si="31"/>
        <v>0</v>
      </c>
      <c r="CG18" s="55">
        <f t="shared" si="32"/>
        <v>0</v>
      </c>
      <c r="CH18" s="53">
        <f t="shared" si="33"/>
        <v>0</v>
      </c>
      <c r="CI18" s="53">
        <f t="shared" si="34"/>
        <v>0</v>
      </c>
      <c r="CJ18" s="53">
        <f t="shared" si="35"/>
        <v>0</v>
      </c>
      <c r="CK18" s="56" t="str">
        <f t="shared" si="36"/>
        <v/>
      </c>
      <c r="CL18" s="57" t="str">
        <f t="shared" si="37"/>
        <v/>
      </c>
      <c r="CM18" s="57" t="str">
        <f t="shared" si="38"/>
        <v/>
      </c>
      <c r="CN18" s="48" t="str">
        <f t="shared" si="39"/>
        <v/>
      </c>
      <c r="CO18" s="53">
        <f t="shared" si="40"/>
        <v>0</v>
      </c>
      <c r="CP18" s="53">
        <f t="shared" si="41"/>
        <v>0</v>
      </c>
      <c r="CQ18" s="53">
        <f t="shared" si="42"/>
        <v>0</v>
      </c>
      <c r="CR18" s="58">
        <f t="shared" si="43"/>
        <v>99999.001799999998</v>
      </c>
      <c r="CS18" s="2">
        <f t="shared" si="13"/>
        <v>27</v>
      </c>
      <c r="CT18" s="106" t="str">
        <f t="shared" si="44"/>
        <v/>
      </c>
    </row>
    <row r="19" spans="1:98" ht="11.25" customHeight="1" x14ac:dyDescent="0.15">
      <c r="A19" s="2" t="s">
        <v>187</v>
      </c>
      <c r="B19" s="2" t="s">
        <v>182</v>
      </c>
      <c r="G19" s="2" t="s">
        <v>379</v>
      </c>
      <c r="CE19" s="53">
        <f t="shared" si="30"/>
        <v>1</v>
      </c>
      <c r="CF19" s="53">
        <f t="shared" si="31"/>
        <v>12</v>
      </c>
      <c r="CG19" s="55">
        <f t="shared" si="32"/>
        <v>2</v>
      </c>
      <c r="CH19" s="53">
        <f t="shared" si="33"/>
        <v>1</v>
      </c>
      <c r="CI19" s="53">
        <f t="shared" si="34"/>
        <v>2</v>
      </c>
      <c r="CJ19" s="53">
        <f t="shared" si="35"/>
        <v>0</v>
      </c>
      <c r="CK19" s="56" t="str">
        <f t="shared" si="36"/>
        <v/>
      </c>
      <c r="CL19" s="57" t="str">
        <f t="shared" si="37"/>
        <v/>
      </c>
      <c r="CM19" s="57">
        <f t="shared" si="38"/>
        <v>1</v>
      </c>
      <c r="CN19" s="48" t="str">
        <f t="shared" si="39"/>
        <v>0-2</v>
      </c>
      <c r="CO19" s="53">
        <f t="shared" si="40"/>
        <v>11</v>
      </c>
      <c r="CP19" s="53">
        <f t="shared" si="41"/>
        <v>0</v>
      </c>
      <c r="CQ19" s="53">
        <f t="shared" si="42"/>
        <v>0</v>
      </c>
      <c r="CR19" s="58">
        <f t="shared" si="43"/>
        <v>1012.0019</v>
      </c>
      <c r="CS19" s="2">
        <f t="shared" si="13"/>
        <v>18</v>
      </c>
      <c r="CT19" s="106" t="str">
        <f t="shared" si="44"/>
        <v/>
      </c>
    </row>
    <row r="20" spans="1:98" ht="11.25" customHeight="1" x14ac:dyDescent="0.15">
      <c r="B20" s="2" t="s">
        <v>261</v>
      </c>
      <c r="CE20" s="53">
        <f t="shared" si="30"/>
        <v>0</v>
      </c>
      <c r="CF20" s="53">
        <f t="shared" si="31"/>
        <v>0</v>
      </c>
      <c r="CG20" s="55">
        <f t="shared" si="32"/>
        <v>0</v>
      </c>
      <c r="CH20" s="53">
        <f t="shared" si="33"/>
        <v>0</v>
      </c>
      <c r="CI20" s="53">
        <f t="shared" si="34"/>
        <v>0</v>
      </c>
      <c r="CJ20" s="53">
        <f t="shared" si="35"/>
        <v>0</v>
      </c>
      <c r="CK20" s="56" t="str">
        <f t="shared" si="36"/>
        <v/>
      </c>
      <c r="CL20" s="57" t="str">
        <f t="shared" si="37"/>
        <v/>
      </c>
      <c r="CM20" s="57" t="str">
        <f t="shared" si="38"/>
        <v/>
      </c>
      <c r="CN20" s="48" t="str">
        <f t="shared" si="39"/>
        <v/>
      </c>
      <c r="CO20" s="53">
        <f t="shared" si="40"/>
        <v>0</v>
      </c>
      <c r="CP20" s="53">
        <f t="shared" si="41"/>
        <v>0</v>
      </c>
      <c r="CQ20" s="53">
        <f t="shared" si="42"/>
        <v>0</v>
      </c>
      <c r="CR20" s="58">
        <f t="shared" si="43"/>
        <v>99999.001999999993</v>
      </c>
      <c r="CS20" s="2">
        <f t="shared" si="13"/>
        <v>28</v>
      </c>
      <c r="CT20" s="106" t="str">
        <f t="shared" si="44"/>
        <v/>
      </c>
    </row>
    <row r="21" spans="1:98" ht="11.25" customHeight="1" x14ac:dyDescent="0.15">
      <c r="B21" s="2" t="s">
        <v>372</v>
      </c>
      <c r="G21" s="2" t="s">
        <v>374</v>
      </c>
      <c r="P21" s="2" t="s">
        <v>539</v>
      </c>
      <c r="S21" s="2" t="s">
        <v>596</v>
      </c>
      <c r="CE21" s="53">
        <f t="shared" si="30"/>
        <v>3</v>
      </c>
      <c r="CF21" s="53">
        <f t="shared" si="31"/>
        <v>147</v>
      </c>
      <c r="CG21" s="55">
        <f t="shared" si="32"/>
        <v>24.3</v>
      </c>
      <c r="CH21" s="53">
        <f t="shared" si="33"/>
        <v>2</v>
      </c>
      <c r="CI21" s="53">
        <f t="shared" si="34"/>
        <v>118</v>
      </c>
      <c r="CJ21" s="53">
        <f t="shared" si="35"/>
        <v>1</v>
      </c>
      <c r="CK21" s="56">
        <f t="shared" si="36"/>
        <v>118</v>
      </c>
      <c r="CL21" s="57">
        <f t="shared" si="37"/>
        <v>147</v>
      </c>
      <c r="CM21" s="57">
        <f t="shared" si="38"/>
        <v>4.8163265306122449</v>
      </c>
      <c r="CN21" s="48" t="str">
        <f t="shared" si="39"/>
        <v>1-37</v>
      </c>
      <c r="CO21" s="53">
        <f t="shared" si="40"/>
        <v>7</v>
      </c>
      <c r="CP21" s="53">
        <f t="shared" si="41"/>
        <v>0</v>
      </c>
      <c r="CQ21" s="53">
        <f t="shared" si="42"/>
        <v>0</v>
      </c>
      <c r="CR21" s="58">
        <f t="shared" si="43"/>
        <v>118.0021</v>
      </c>
      <c r="CS21" s="2">
        <f t="shared" si="13"/>
        <v>17</v>
      </c>
      <c r="CT21" s="106">
        <f t="shared" si="44"/>
        <v>8.1632653061224483E-2</v>
      </c>
    </row>
    <row r="22" spans="1:98" ht="11.25" customHeight="1" x14ac:dyDescent="0.15">
      <c r="B22" s="2" t="s">
        <v>240</v>
      </c>
      <c r="C22" s="2" t="s">
        <v>305</v>
      </c>
      <c r="D22" s="2" t="s">
        <v>319</v>
      </c>
      <c r="E22" s="2" t="s">
        <v>337</v>
      </c>
      <c r="F22" s="2" t="s">
        <v>354</v>
      </c>
      <c r="H22" s="2" t="s">
        <v>394</v>
      </c>
      <c r="K22" s="2" t="s">
        <v>443</v>
      </c>
      <c r="L22" s="2" t="s">
        <v>461</v>
      </c>
      <c r="M22" s="58" t="s">
        <v>480</v>
      </c>
      <c r="N22" s="2" t="s">
        <v>500</v>
      </c>
      <c r="R22" s="2" t="s">
        <v>584</v>
      </c>
      <c r="S22" s="2" t="s">
        <v>595</v>
      </c>
      <c r="T22" s="2" t="s">
        <v>611</v>
      </c>
      <c r="U22" s="2" t="s">
        <v>522</v>
      </c>
      <c r="V22" s="2" t="s">
        <v>642</v>
      </c>
      <c r="W22" s="2" t="s">
        <v>661</v>
      </c>
      <c r="CE22" s="53">
        <f t="shared" si="30"/>
        <v>15</v>
      </c>
      <c r="CF22" s="53">
        <f t="shared" si="31"/>
        <v>652</v>
      </c>
      <c r="CG22" s="55">
        <f t="shared" si="32"/>
        <v>108.4</v>
      </c>
      <c r="CH22" s="53">
        <f t="shared" si="33"/>
        <v>13</v>
      </c>
      <c r="CI22" s="53">
        <f t="shared" si="34"/>
        <v>387</v>
      </c>
      <c r="CJ22" s="53">
        <f t="shared" si="35"/>
        <v>30</v>
      </c>
      <c r="CK22" s="56">
        <f t="shared" si="36"/>
        <v>12.9</v>
      </c>
      <c r="CL22" s="57">
        <f t="shared" si="37"/>
        <v>21.733333333333334</v>
      </c>
      <c r="CM22" s="57">
        <f t="shared" si="38"/>
        <v>3.5613496932515338</v>
      </c>
      <c r="CN22" s="48" t="str">
        <f t="shared" si="39"/>
        <v>4-14</v>
      </c>
      <c r="CO22" s="53">
        <f t="shared" si="40"/>
        <v>368</v>
      </c>
      <c r="CP22" s="53">
        <f t="shared" si="41"/>
        <v>0</v>
      </c>
      <c r="CQ22" s="53">
        <f t="shared" si="42"/>
        <v>0</v>
      </c>
      <c r="CR22" s="58">
        <f t="shared" si="43"/>
        <v>12.902200000000001</v>
      </c>
      <c r="CS22" s="2">
        <f t="shared" si="13"/>
        <v>2</v>
      </c>
      <c r="CT22" s="106">
        <f t="shared" si="44"/>
        <v>0.1196319018404908</v>
      </c>
    </row>
    <row r="23" spans="1:98" ht="11.25" customHeight="1" x14ac:dyDescent="0.15">
      <c r="B23" s="2" t="s">
        <v>248</v>
      </c>
      <c r="C23" s="2" t="s">
        <v>300</v>
      </c>
      <c r="H23" s="2" t="s">
        <v>391</v>
      </c>
      <c r="I23" s="2" t="s">
        <v>407</v>
      </c>
      <c r="J23" s="2" t="s">
        <v>425</v>
      </c>
      <c r="K23" s="2" t="s">
        <v>442</v>
      </c>
      <c r="L23" s="2" t="s">
        <v>465</v>
      </c>
      <c r="M23" s="58" t="s">
        <v>481</v>
      </c>
      <c r="N23" s="2" t="s">
        <v>503</v>
      </c>
      <c r="O23" s="2" t="s">
        <v>520</v>
      </c>
      <c r="P23" s="2" t="s">
        <v>537</v>
      </c>
      <c r="Q23" s="2" t="s">
        <v>557</v>
      </c>
      <c r="S23" s="2" t="s">
        <v>594</v>
      </c>
      <c r="U23" s="2" t="s">
        <v>629</v>
      </c>
      <c r="V23" s="2" t="s">
        <v>647</v>
      </c>
      <c r="W23" s="2" t="s">
        <v>664</v>
      </c>
      <c r="CE23" s="53">
        <f t="shared" si="30"/>
        <v>15</v>
      </c>
      <c r="CF23" s="53">
        <f t="shared" si="31"/>
        <v>660</v>
      </c>
      <c r="CG23" s="55">
        <f t="shared" si="32"/>
        <v>110</v>
      </c>
      <c r="CH23" s="53">
        <f t="shared" si="33"/>
        <v>21</v>
      </c>
      <c r="CI23" s="53">
        <f t="shared" si="34"/>
        <v>416</v>
      </c>
      <c r="CJ23" s="53">
        <f t="shared" si="35"/>
        <v>20</v>
      </c>
      <c r="CK23" s="56">
        <f t="shared" si="36"/>
        <v>20.8</v>
      </c>
      <c r="CL23" s="57">
        <f t="shared" si="37"/>
        <v>33</v>
      </c>
      <c r="CM23" s="57">
        <f t="shared" si="38"/>
        <v>3.7818181818181817</v>
      </c>
      <c r="CN23" s="48" t="str">
        <f t="shared" si="39"/>
        <v>3-19</v>
      </c>
      <c r="CO23" s="53">
        <f t="shared" si="40"/>
        <v>271</v>
      </c>
      <c r="CP23" s="53">
        <f t="shared" si="41"/>
        <v>0</v>
      </c>
      <c r="CQ23" s="53">
        <f t="shared" si="42"/>
        <v>0</v>
      </c>
      <c r="CR23" s="58">
        <f t="shared" si="43"/>
        <v>20.802300000000002</v>
      </c>
      <c r="CS23" s="2">
        <f t="shared" si="13"/>
        <v>7</v>
      </c>
      <c r="CT23" s="106">
        <f t="shared" si="44"/>
        <v>0.19090909090909089</v>
      </c>
    </row>
    <row r="24" spans="1:98" ht="11.25" customHeight="1" x14ac:dyDescent="0.15">
      <c r="B24" s="2" t="s">
        <v>369</v>
      </c>
      <c r="G24" s="2" t="s">
        <v>377</v>
      </c>
      <c r="M24" s="58"/>
      <c r="CE24" s="53">
        <f t="shared" si="30"/>
        <v>1</v>
      </c>
      <c r="CF24" s="53">
        <f t="shared" si="31"/>
        <v>48</v>
      </c>
      <c r="CG24" s="55">
        <f t="shared" si="32"/>
        <v>8</v>
      </c>
      <c r="CH24" s="53">
        <f t="shared" si="33"/>
        <v>4</v>
      </c>
      <c r="CI24" s="53">
        <f t="shared" si="34"/>
        <v>14</v>
      </c>
      <c r="CJ24" s="53">
        <f t="shared" si="35"/>
        <v>2</v>
      </c>
      <c r="CK24" s="56">
        <f t="shared" si="36"/>
        <v>7</v>
      </c>
      <c r="CL24" s="57">
        <f t="shared" si="37"/>
        <v>24</v>
      </c>
      <c r="CM24" s="57">
        <f t="shared" si="38"/>
        <v>1.75</v>
      </c>
      <c r="CN24" s="48" t="str">
        <f t="shared" si="39"/>
        <v>2-14</v>
      </c>
      <c r="CO24" s="53">
        <f t="shared" si="40"/>
        <v>34</v>
      </c>
      <c r="CP24" s="53">
        <f t="shared" si="41"/>
        <v>0</v>
      </c>
      <c r="CQ24" s="53">
        <f t="shared" si="42"/>
        <v>0</v>
      </c>
      <c r="CR24" s="58">
        <f t="shared" si="43"/>
        <v>7.0023999999999997</v>
      </c>
      <c r="CS24" s="2">
        <f t="shared" si="13"/>
        <v>1</v>
      </c>
      <c r="CT24" s="106" t="str">
        <f t="shared" si="44"/>
        <v/>
      </c>
    </row>
    <row r="25" spans="1:98" ht="11.25" customHeight="1" x14ac:dyDescent="0.15">
      <c r="B25" s="2" t="s">
        <v>490</v>
      </c>
      <c r="J25" s="2" t="s">
        <v>428</v>
      </c>
      <c r="M25" s="58"/>
      <c r="CE25" s="53">
        <f t="shared" si="30"/>
        <v>1</v>
      </c>
      <c r="CF25" s="53">
        <f t="shared" si="31"/>
        <v>12</v>
      </c>
      <c r="CG25" s="55">
        <f t="shared" si="32"/>
        <v>2</v>
      </c>
      <c r="CH25" s="53">
        <f t="shared" si="33"/>
        <v>0</v>
      </c>
      <c r="CI25" s="53">
        <f t="shared" si="34"/>
        <v>21</v>
      </c>
      <c r="CJ25" s="53">
        <f t="shared" si="35"/>
        <v>1</v>
      </c>
      <c r="CK25" s="56">
        <f t="shared" si="36"/>
        <v>21</v>
      </c>
      <c r="CL25" s="57">
        <f t="shared" si="37"/>
        <v>12</v>
      </c>
      <c r="CM25" s="57">
        <f t="shared" si="38"/>
        <v>10.5</v>
      </c>
      <c r="CN25" s="48" t="str">
        <f t="shared" si="39"/>
        <v>1-21</v>
      </c>
      <c r="CO25" s="53">
        <f t="shared" si="40"/>
        <v>5</v>
      </c>
      <c r="CP25" s="53">
        <f t="shared" si="41"/>
        <v>0</v>
      </c>
      <c r="CQ25" s="53">
        <f t="shared" si="42"/>
        <v>0</v>
      </c>
      <c r="CR25" s="58">
        <f t="shared" si="43"/>
        <v>21.002500000000001</v>
      </c>
      <c r="CS25" s="2">
        <f t="shared" si="13"/>
        <v>8</v>
      </c>
      <c r="CT25" s="106" t="str">
        <f t="shared" si="44"/>
        <v/>
      </c>
    </row>
    <row r="26" spans="1:98" ht="11.25" customHeight="1" x14ac:dyDescent="0.15">
      <c r="B26" s="2" t="s">
        <v>272</v>
      </c>
      <c r="M26" s="58"/>
      <c r="CE26" s="53">
        <f t="shared" si="30"/>
        <v>0</v>
      </c>
      <c r="CF26" s="53">
        <f t="shared" si="31"/>
        <v>0</v>
      </c>
      <c r="CG26" s="55">
        <f t="shared" si="32"/>
        <v>0</v>
      </c>
      <c r="CH26" s="53">
        <f t="shared" si="33"/>
        <v>0</v>
      </c>
      <c r="CI26" s="53">
        <f t="shared" si="34"/>
        <v>0</v>
      </c>
      <c r="CJ26" s="53">
        <f t="shared" si="35"/>
        <v>0</v>
      </c>
      <c r="CK26" s="56" t="str">
        <f t="shared" si="36"/>
        <v/>
      </c>
      <c r="CL26" s="57" t="str">
        <f t="shared" si="37"/>
        <v/>
      </c>
      <c r="CM26" s="57" t="str">
        <f t="shared" si="38"/>
        <v/>
      </c>
      <c r="CN26" s="48" t="str">
        <f t="shared" si="39"/>
        <v/>
      </c>
      <c r="CO26" s="53">
        <f t="shared" si="40"/>
        <v>0</v>
      </c>
      <c r="CP26" s="53">
        <f t="shared" si="41"/>
        <v>0</v>
      </c>
      <c r="CQ26" s="53">
        <f t="shared" si="42"/>
        <v>0</v>
      </c>
      <c r="CR26" s="58">
        <f t="shared" si="43"/>
        <v>99999.002600000007</v>
      </c>
      <c r="CS26" s="2">
        <f t="shared" si="13"/>
        <v>29</v>
      </c>
      <c r="CT26" s="106" t="str">
        <f t="shared" si="44"/>
        <v/>
      </c>
    </row>
    <row r="27" spans="1:98" ht="11.25" customHeight="1" x14ac:dyDescent="0.15">
      <c r="B27" s="2" t="s">
        <v>347</v>
      </c>
      <c r="F27" s="2" t="s">
        <v>260</v>
      </c>
      <c r="M27" s="58"/>
      <c r="CE27" s="53">
        <f t="shared" si="30"/>
        <v>1</v>
      </c>
      <c r="CF27" s="53">
        <f t="shared" si="31"/>
        <v>24</v>
      </c>
      <c r="CG27" s="55">
        <f t="shared" si="32"/>
        <v>4</v>
      </c>
      <c r="CH27" s="53">
        <f t="shared" si="33"/>
        <v>0</v>
      </c>
      <c r="CI27" s="53">
        <f t="shared" si="34"/>
        <v>23</v>
      </c>
      <c r="CJ27" s="53">
        <f t="shared" si="35"/>
        <v>0</v>
      </c>
      <c r="CK27" s="56" t="str">
        <f t="shared" si="36"/>
        <v/>
      </c>
      <c r="CL27" s="57" t="str">
        <f t="shared" si="37"/>
        <v/>
      </c>
      <c r="CM27" s="57">
        <f t="shared" si="38"/>
        <v>5.75</v>
      </c>
      <c r="CN27" s="48" t="str">
        <f t="shared" si="39"/>
        <v>0-23</v>
      </c>
      <c r="CO27" s="53">
        <f t="shared" si="40"/>
        <v>-5</v>
      </c>
      <c r="CP27" s="53">
        <f t="shared" si="41"/>
        <v>0</v>
      </c>
      <c r="CQ27" s="53">
        <f t="shared" si="42"/>
        <v>0</v>
      </c>
      <c r="CR27" s="58">
        <f t="shared" si="43"/>
        <v>1024.0027</v>
      </c>
      <c r="CS27" s="2">
        <f t="shared" si="13"/>
        <v>20</v>
      </c>
      <c r="CT27" s="106" t="str">
        <f t="shared" si="44"/>
        <v/>
      </c>
    </row>
    <row r="28" spans="1:98" ht="11.25" customHeight="1" x14ac:dyDescent="0.15">
      <c r="B28" s="2" t="s">
        <v>227</v>
      </c>
      <c r="F28" s="2" t="s">
        <v>357</v>
      </c>
      <c r="G28" s="2" t="s">
        <v>378</v>
      </c>
      <c r="I28" s="2" t="s">
        <v>409</v>
      </c>
      <c r="J28" s="2" t="s">
        <v>427</v>
      </c>
      <c r="L28" s="2" t="s">
        <v>464</v>
      </c>
      <c r="M28" s="58" t="s">
        <v>482</v>
      </c>
      <c r="N28" s="2" t="s">
        <v>504</v>
      </c>
      <c r="O28" s="2" t="s">
        <v>521</v>
      </c>
      <c r="P28" s="2" t="s">
        <v>538</v>
      </c>
      <c r="R28" s="2" t="s">
        <v>583</v>
      </c>
      <c r="T28" s="2" t="s">
        <v>613</v>
      </c>
      <c r="U28" s="2" t="s">
        <v>630</v>
      </c>
      <c r="V28" s="2" t="s">
        <v>645</v>
      </c>
      <c r="CE28" s="53">
        <f t="shared" si="30"/>
        <v>13</v>
      </c>
      <c r="CF28" s="53">
        <f t="shared" si="31"/>
        <v>411</v>
      </c>
      <c r="CG28" s="55">
        <f t="shared" si="32"/>
        <v>68.3</v>
      </c>
      <c r="CH28" s="53">
        <f t="shared" si="33"/>
        <v>2</v>
      </c>
      <c r="CI28" s="53">
        <f t="shared" si="34"/>
        <v>449</v>
      </c>
      <c r="CJ28" s="53">
        <f t="shared" si="35"/>
        <v>11</v>
      </c>
      <c r="CK28" s="56">
        <f t="shared" si="36"/>
        <v>40.82</v>
      </c>
      <c r="CL28" s="57">
        <f t="shared" si="37"/>
        <v>37.363636363636367</v>
      </c>
      <c r="CM28" s="57">
        <f t="shared" si="38"/>
        <v>6.554744525547445</v>
      </c>
      <c r="CN28" s="48" t="str">
        <f t="shared" si="39"/>
        <v>4-43</v>
      </c>
      <c r="CO28" s="53">
        <f t="shared" si="40"/>
        <v>72</v>
      </c>
      <c r="CP28" s="53">
        <f t="shared" si="41"/>
        <v>0</v>
      </c>
      <c r="CQ28" s="53">
        <f t="shared" si="42"/>
        <v>0</v>
      </c>
      <c r="CR28" s="58">
        <f t="shared" si="43"/>
        <v>40.822800000000001</v>
      </c>
      <c r="CS28" s="2">
        <f t="shared" si="13"/>
        <v>15</v>
      </c>
      <c r="CT28" s="106">
        <f t="shared" si="44"/>
        <v>2.9197080291970802E-2</v>
      </c>
    </row>
    <row r="29" spans="1:98" ht="11.25" customHeight="1" x14ac:dyDescent="0.15">
      <c r="A29" s="2" t="s">
        <v>53</v>
      </c>
      <c r="B29" s="2" t="s">
        <v>150</v>
      </c>
      <c r="C29" s="2" t="s">
        <v>301</v>
      </c>
      <c r="E29" s="2" t="s">
        <v>318</v>
      </c>
      <c r="H29" s="2" t="s">
        <v>390</v>
      </c>
      <c r="K29" s="2" t="s">
        <v>441</v>
      </c>
      <c r="M29" s="58" t="s">
        <v>484</v>
      </c>
      <c r="S29" s="2" t="s">
        <v>598</v>
      </c>
      <c r="T29" s="2" t="s">
        <v>615</v>
      </c>
      <c r="U29" s="2" t="s">
        <v>631</v>
      </c>
      <c r="V29" s="2" t="s">
        <v>644</v>
      </c>
      <c r="W29" s="2" t="s">
        <v>666</v>
      </c>
      <c r="CE29" s="53">
        <f t="shared" si="30"/>
        <v>10</v>
      </c>
      <c r="CF29" s="53">
        <f t="shared" si="31"/>
        <v>338</v>
      </c>
      <c r="CG29" s="55">
        <f t="shared" si="32"/>
        <v>56.2</v>
      </c>
      <c r="CH29" s="53">
        <f t="shared" si="33"/>
        <v>3</v>
      </c>
      <c r="CI29" s="53">
        <f t="shared" si="34"/>
        <v>309</v>
      </c>
      <c r="CJ29" s="53">
        <f t="shared" si="35"/>
        <v>10</v>
      </c>
      <c r="CK29" s="56">
        <f t="shared" si="36"/>
        <v>30.9</v>
      </c>
      <c r="CL29" s="57">
        <f t="shared" si="37"/>
        <v>33.799999999999997</v>
      </c>
      <c r="CM29" s="57">
        <f t="shared" si="38"/>
        <v>5.4852071005917162</v>
      </c>
      <c r="CN29" s="48" t="str">
        <f t="shared" si="39"/>
        <v>3-20</v>
      </c>
      <c r="CO29" s="53">
        <f t="shared" si="40"/>
        <v>73</v>
      </c>
      <c r="CP29" s="53">
        <f t="shared" si="41"/>
        <v>0</v>
      </c>
      <c r="CQ29" s="53">
        <f t="shared" si="42"/>
        <v>0</v>
      </c>
      <c r="CR29" s="58">
        <f t="shared" si="43"/>
        <v>30.902899999999999</v>
      </c>
      <c r="CS29" s="2">
        <f t="shared" si="13"/>
        <v>11</v>
      </c>
      <c r="CT29" s="106">
        <f t="shared" si="44"/>
        <v>5.3254437869822487E-2</v>
      </c>
    </row>
    <row r="30" spans="1:98" ht="11.25" customHeight="1" x14ac:dyDescent="0.15">
      <c r="B30" s="2" t="s">
        <v>575</v>
      </c>
      <c r="M30" s="58"/>
      <c r="R30" s="2" t="s">
        <v>582</v>
      </c>
      <c r="CE30" s="53">
        <f t="shared" si="30"/>
        <v>1</v>
      </c>
      <c r="CF30" s="53">
        <f t="shared" si="31"/>
        <v>12</v>
      </c>
      <c r="CG30" s="55">
        <f t="shared" si="32"/>
        <v>2</v>
      </c>
      <c r="CH30" s="53">
        <f t="shared" si="33"/>
        <v>0</v>
      </c>
      <c r="CI30" s="53">
        <f t="shared" si="34"/>
        <v>22</v>
      </c>
      <c r="CJ30" s="53">
        <f t="shared" si="35"/>
        <v>0</v>
      </c>
      <c r="CK30" s="56" t="str">
        <f t="shared" si="36"/>
        <v/>
      </c>
      <c r="CL30" s="57" t="str">
        <f t="shared" si="37"/>
        <v/>
      </c>
      <c r="CM30" s="57">
        <f t="shared" si="38"/>
        <v>11</v>
      </c>
      <c r="CN30" s="48" t="str">
        <f t="shared" si="39"/>
        <v>0-22</v>
      </c>
      <c r="CO30" s="53">
        <f t="shared" si="40"/>
        <v>-5</v>
      </c>
      <c r="CP30" s="53">
        <f t="shared" si="41"/>
        <v>0</v>
      </c>
      <c r="CQ30" s="53">
        <f t="shared" si="42"/>
        <v>0</v>
      </c>
      <c r="CR30" s="58">
        <f t="shared" si="43"/>
        <v>1012.003</v>
      </c>
      <c r="CS30" s="2">
        <f t="shared" si="13"/>
        <v>19</v>
      </c>
      <c r="CT30" s="106" t="str">
        <f t="shared" si="44"/>
        <v/>
      </c>
    </row>
    <row r="31" spans="1:98" ht="11.25" customHeight="1" x14ac:dyDescent="0.15">
      <c r="B31" s="2" t="s">
        <v>216</v>
      </c>
      <c r="I31" s="2" t="s">
        <v>412</v>
      </c>
      <c r="J31" s="2" t="s">
        <v>431</v>
      </c>
      <c r="M31" s="58"/>
      <c r="P31" s="2" t="s">
        <v>542</v>
      </c>
      <c r="CE31" s="53">
        <f t="shared" si="15"/>
        <v>3</v>
      </c>
      <c r="CF31" s="53">
        <f t="shared" si="16"/>
        <v>39</v>
      </c>
      <c r="CG31" s="55">
        <f t="shared" si="17"/>
        <v>6.3</v>
      </c>
      <c r="CH31" s="53">
        <f t="shared" si="18"/>
        <v>0</v>
      </c>
      <c r="CI31" s="53">
        <f t="shared" si="19"/>
        <v>35</v>
      </c>
      <c r="CJ31" s="53">
        <f t="shared" si="20"/>
        <v>1</v>
      </c>
      <c r="CK31" s="56">
        <f t="shared" si="21"/>
        <v>35</v>
      </c>
      <c r="CL31" s="57">
        <f t="shared" si="22"/>
        <v>39</v>
      </c>
      <c r="CM31" s="57">
        <f t="shared" si="23"/>
        <v>5.384615384615385</v>
      </c>
      <c r="CN31" s="48" t="str">
        <f t="shared" si="24"/>
        <v>1-6</v>
      </c>
      <c r="CO31" s="53">
        <f t="shared" si="25"/>
        <v>5</v>
      </c>
      <c r="CP31" s="53">
        <f t="shared" si="26"/>
        <v>0</v>
      </c>
      <c r="CQ31" s="53">
        <f t="shared" si="27"/>
        <v>0</v>
      </c>
      <c r="CR31" s="58">
        <f t="shared" si="28"/>
        <v>35.003100000000003</v>
      </c>
      <c r="CS31" s="2">
        <f>RANK(CR31,$CR$5:$CR$34,1)</f>
        <v>12</v>
      </c>
      <c r="CT31" s="106" t="str">
        <f t="shared" si="29"/>
        <v/>
      </c>
    </row>
    <row r="32" spans="1:98" ht="11.25" customHeight="1" x14ac:dyDescent="0.15">
      <c r="B32" s="2" t="s">
        <v>330</v>
      </c>
      <c r="E32" s="2" t="s">
        <v>338</v>
      </c>
      <c r="F32" s="2" t="s">
        <v>356</v>
      </c>
      <c r="H32" s="2" t="s">
        <v>279</v>
      </c>
      <c r="I32" s="2" t="s">
        <v>408</v>
      </c>
      <c r="L32" s="2" t="s">
        <v>462</v>
      </c>
      <c r="M32" s="58" t="s">
        <v>483</v>
      </c>
      <c r="O32" s="2" t="s">
        <v>519</v>
      </c>
      <c r="P32" s="2" t="s">
        <v>536</v>
      </c>
      <c r="Q32" s="2" t="s">
        <v>556</v>
      </c>
      <c r="R32" s="2" t="s">
        <v>580</v>
      </c>
      <c r="W32" s="2" t="s">
        <v>662</v>
      </c>
      <c r="CE32" s="53">
        <f t="shared" si="15"/>
        <v>11</v>
      </c>
      <c r="CF32" s="53">
        <f t="shared" si="16"/>
        <v>402</v>
      </c>
      <c r="CG32" s="55">
        <f t="shared" si="17"/>
        <v>67</v>
      </c>
      <c r="CH32" s="53">
        <f t="shared" si="18"/>
        <v>6</v>
      </c>
      <c r="CI32" s="53">
        <f t="shared" si="19"/>
        <v>334</v>
      </c>
      <c r="CJ32" s="53">
        <f t="shared" si="20"/>
        <v>7</v>
      </c>
      <c r="CK32" s="56">
        <f t="shared" si="21"/>
        <v>47.71</v>
      </c>
      <c r="CL32" s="57">
        <f t="shared" si="22"/>
        <v>57.428571428571431</v>
      </c>
      <c r="CM32" s="57">
        <f t="shared" si="23"/>
        <v>4.9850746268656714</v>
      </c>
      <c r="CN32" s="48" t="str">
        <f t="shared" si="24"/>
        <v>2-25</v>
      </c>
      <c r="CO32" s="53">
        <f t="shared" si="25"/>
        <v>71</v>
      </c>
      <c r="CP32" s="53">
        <f t="shared" si="26"/>
        <v>0</v>
      </c>
      <c r="CQ32" s="53">
        <f t="shared" si="27"/>
        <v>0</v>
      </c>
      <c r="CR32" s="58">
        <f t="shared" si="28"/>
        <v>47.713200000000001</v>
      </c>
      <c r="CS32" s="2">
        <f>RANK(CR32,$CR$5:$CR$34,1)</f>
        <v>16</v>
      </c>
      <c r="CT32" s="106">
        <f t="shared" si="29"/>
        <v>8.9552238805970144E-2</v>
      </c>
    </row>
    <row r="33" spans="1:98" ht="11.25" customHeight="1" x14ac:dyDescent="0.15">
      <c r="B33" s="2" t="s">
        <v>210</v>
      </c>
      <c r="CE33" s="53">
        <f t="shared" si="15"/>
        <v>0</v>
      </c>
      <c r="CF33" s="53">
        <f t="shared" si="16"/>
        <v>0</v>
      </c>
      <c r="CG33" s="55">
        <f t="shared" si="17"/>
        <v>0</v>
      </c>
      <c r="CH33" s="53">
        <f t="shared" si="18"/>
        <v>0</v>
      </c>
      <c r="CI33" s="53">
        <f t="shared" si="19"/>
        <v>0</v>
      </c>
      <c r="CJ33" s="53">
        <f t="shared" si="20"/>
        <v>0</v>
      </c>
      <c r="CK33" s="56" t="str">
        <f t="shared" si="21"/>
        <v/>
      </c>
      <c r="CL33" s="57" t="str">
        <f t="shared" si="22"/>
        <v/>
      </c>
      <c r="CM33" s="57" t="str">
        <f t="shared" si="23"/>
        <v/>
      </c>
      <c r="CN33" s="48" t="str">
        <f t="shared" si="24"/>
        <v/>
      </c>
      <c r="CO33" s="53">
        <f t="shared" si="25"/>
        <v>0</v>
      </c>
      <c r="CP33" s="53">
        <f t="shared" si="26"/>
        <v>0</v>
      </c>
      <c r="CQ33" s="53">
        <f t="shared" si="27"/>
        <v>0</v>
      </c>
      <c r="CR33" s="58">
        <f t="shared" si="28"/>
        <v>99999.003299999997</v>
      </c>
      <c r="CS33" s="2">
        <f>RANK(CR33,$CR$5:$CR$34,1)</f>
        <v>30</v>
      </c>
      <c r="CT33" s="106" t="str">
        <f t="shared" si="29"/>
        <v/>
      </c>
    </row>
    <row r="34" spans="1:98" ht="11.25" customHeight="1" x14ac:dyDescent="0.15">
      <c r="A34" s="2" t="s">
        <v>60</v>
      </c>
      <c r="B34" s="2" t="s">
        <v>151</v>
      </c>
      <c r="D34" s="2" t="s">
        <v>270</v>
      </c>
      <c r="CE34" s="53">
        <f t="shared" si="15"/>
        <v>1</v>
      </c>
      <c r="CF34" s="53">
        <f t="shared" si="16"/>
        <v>18</v>
      </c>
      <c r="CG34" s="55">
        <f t="shared" si="17"/>
        <v>3</v>
      </c>
      <c r="CH34" s="53">
        <f t="shared" si="18"/>
        <v>0</v>
      </c>
      <c r="CI34" s="53">
        <f t="shared" si="19"/>
        <v>16</v>
      </c>
      <c r="CJ34" s="53">
        <f t="shared" si="20"/>
        <v>1</v>
      </c>
      <c r="CK34" s="56">
        <f t="shared" si="21"/>
        <v>16</v>
      </c>
      <c r="CL34" s="57">
        <f t="shared" si="22"/>
        <v>18</v>
      </c>
      <c r="CM34" s="57">
        <f t="shared" si="23"/>
        <v>5.333333333333333</v>
      </c>
      <c r="CN34" s="48" t="str">
        <f t="shared" si="24"/>
        <v>1-16</v>
      </c>
      <c r="CO34" s="53">
        <f t="shared" si="25"/>
        <v>5</v>
      </c>
      <c r="CP34" s="53">
        <f t="shared" si="26"/>
        <v>0</v>
      </c>
      <c r="CQ34" s="53">
        <f t="shared" si="27"/>
        <v>0</v>
      </c>
      <c r="CR34" s="58">
        <f t="shared" si="28"/>
        <v>16.003399999999999</v>
      </c>
      <c r="CS34" s="2">
        <f>RANK(CR34,$CR$5:$CR$34,1)</f>
        <v>4</v>
      </c>
      <c r="CT34" s="106" t="str">
        <f t="shared" si="29"/>
        <v/>
      </c>
    </row>
    <row r="36" spans="1:98" x14ac:dyDescent="0.15">
      <c r="B36" s="2" t="s">
        <v>123</v>
      </c>
      <c r="C36" s="2">
        <f t="shared" ref="C36:AH36" si="45">BowlSplit(C5:C34,RunsConceded)</f>
        <v>184</v>
      </c>
      <c r="D36" s="2">
        <f t="shared" si="45"/>
        <v>224</v>
      </c>
      <c r="E36" s="2">
        <f t="shared" si="45"/>
        <v>211</v>
      </c>
      <c r="F36" s="2">
        <f t="shared" si="45"/>
        <v>164</v>
      </c>
      <c r="G36" s="2">
        <f t="shared" si="45"/>
        <v>168</v>
      </c>
      <c r="H36" s="2">
        <f t="shared" si="45"/>
        <v>222</v>
      </c>
      <c r="I36" s="2">
        <f t="shared" si="45"/>
        <v>304</v>
      </c>
      <c r="J36" s="2">
        <f t="shared" si="45"/>
        <v>154</v>
      </c>
      <c r="K36" s="2">
        <f t="shared" si="45"/>
        <v>111</v>
      </c>
      <c r="L36" s="2">
        <f t="shared" si="45"/>
        <v>206</v>
      </c>
      <c r="M36" s="2">
        <f t="shared" si="45"/>
        <v>182</v>
      </c>
      <c r="N36" s="2">
        <f t="shared" si="45"/>
        <v>106</v>
      </c>
      <c r="O36" s="2">
        <f t="shared" si="45"/>
        <v>118</v>
      </c>
      <c r="P36" s="2">
        <f t="shared" si="45"/>
        <v>166</v>
      </c>
      <c r="Q36" s="2">
        <f t="shared" si="45"/>
        <v>121</v>
      </c>
      <c r="R36" s="2">
        <f t="shared" si="45"/>
        <v>110</v>
      </c>
      <c r="S36" s="2">
        <f t="shared" si="45"/>
        <v>176</v>
      </c>
      <c r="T36" s="2">
        <f t="shared" si="45"/>
        <v>137</v>
      </c>
      <c r="U36" s="2">
        <f t="shared" si="45"/>
        <v>134</v>
      </c>
      <c r="V36" s="2">
        <f t="shared" si="45"/>
        <v>196</v>
      </c>
      <c r="W36" s="2">
        <f t="shared" si="45"/>
        <v>213</v>
      </c>
      <c r="X36" s="2">
        <f t="shared" si="45"/>
        <v>0</v>
      </c>
      <c r="Y36" s="2">
        <f t="shared" si="45"/>
        <v>0</v>
      </c>
      <c r="Z36" s="2">
        <f t="shared" si="45"/>
        <v>0</v>
      </c>
      <c r="AA36" s="2">
        <f t="shared" si="45"/>
        <v>0</v>
      </c>
      <c r="AB36" s="2">
        <f t="shared" si="45"/>
        <v>0</v>
      </c>
      <c r="AC36" s="2">
        <f t="shared" si="45"/>
        <v>0</v>
      </c>
      <c r="AD36" s="2">
        <f t="shared" si="45"/>
        <v>0</v>
      </c>
      <c r="AE36" s="2">
        <f t="shared" si="45"/>
        <v>0</v>
      </c>
      <c r="AF36" s="2">
        <f t="shared" si="45"/>
        <v>0</v>
      </c>
      <c r="AG36" s="2">
        <f t="shared" si="45"/>
        <v>0</v>
      </c>
      <c r="AH36" s="2">
        <f t="shared" si="45"/>
        <v>0</v>
      </c>
      <c r="AI36" s="2">
        <f t="shared" ref="AI36:BF36" si="46">BowlSplit(AI5:AI34,RunsConceded)</f>
        <v>0</v>
      </c>
      <c r="AJ36" s="2">
        <f t="shared" si="46"/>
        <v>0</v>
      </c>
      <c r="AK36" s="2">
        <f t="shared" si="46"/>
        <v>0</v>
      </c>
      <c r="AL36" s="2">
        <f t="shared" si="46"/>
        <v>0</v>
      </c>
      <c r="AM36" s="2">
        <f t="shared" si="46"/>
        <v>0</v>
      </c>
      <c r="AN36" s="2">
        <f t="shared" si="46"/>
        <v>0</v>
      </c>
      <c r="AO36" s="2">
        <f t="shared" si="46"/>
        <v>0</v>
      </c>
      <c r="AP36" s="2">
        <f t="shared" si="46"/>
        <v>0</v>
      </c>
      <c r="AQ36" s="2">
        <f t="shared" si="46"/>
        <v>0</v>
      </c>
      <c r="AR36" s="2">
        <f t="shared" si="46"/>
        <v>0</v>
      </c>
      <c r="AS36" s="2">
        <f t="shared" si="46"/>
        <v>0</v>
      </c>
      <c r="AT36" s="2">
        <f t="shared" si="46"/>
        <v>0</v>
      </c>
      <c r="AU36" s="2">
        <f t="shared" si="46"/>
        <v>0</v>
      </c>
      <c r="AV36" s="2">
        <f t="shared" si="46"/>
        <v>0</v>
      </c>
      <c r="AW36" s="2">
        <f t="shared" si="46"/>
        <v>0</v>
      </c>
      <c r="AX36" s="2">
        <f t="shared" si="46"/>
        <v>0</v>
      </c>
      <c r="AY36" s="2">
        <f t="shared" si="46"/>
        <v>0</v>
      </c>
      <c r="AZ36" s="2">
        <f t="shared" si="46"/>
        <v>0</v>
      </c>
      <c r="BA36" s="2">
        <f t="shared" si="46"/>
        <v>0</v>
      </c>
      <c r="BB36" s="2">
        <f t="shared" si="46"/>
        <v>0</v>
      </c>
      <c r="BC36" s="2">
        <f t="shared" si="46"/>
        <v>0</v>
      </c>
      <c r="BD36" s="2">
        <f t="shared" si="46"/>
        <v>0</v>
      </c>
      <c r="BE36" s="2">
        <f t="shared" si="46"/>
        <v>0</v>
      </c>
      <c r="BF36" s="2">
        <f t="shared" si="46"/>
        <v>0</v>
      </c>
      <c r="CE36" s="53">
        <f>SUM(C36:BF36)</f>
        <v>3607</v>
      </c>
      <c r="CF36" s="53">
        <f>SUM(CF5:CF34)</f>
        <v>4656</v>
      </c>
      <c r="CJ36" s="53">
        <f>SUM(CJ5:CJ34)</f>
        <v>151</v>
      </c>
    </row>
    <row r="37" spans="1:98" x14ac:dyDescent="0.15">
      <c r="B37" s="2" t="s">
        <v>124</v>
      </c>
      <c r="C37" s="2">
        <f t="array" ref="C37:BE38">TRANSPOSE(Matches!S5:T59)</f>
        <v>4</v>
      </c>
      <c r="D37" s="2">
        <v>6</v>
      </c>
      <c r="E37" s="2">
        <v>11</v>
      </c>
      <c r="F37" s="2">
        <v>11</v>
      </c>
      <c r="G37" s="2">
        <v>14</v>
      </c>
      <c r="H37" s="2">
        <v>6</v>
      </c>
      <c r="I37" s="2">
        <v>22</v>
      </c>
      <c r="J37" s="2">
        <v>11</v>
      </c>
      <c r="K37" s="2">
        <v>0</v>
      </c>
      <c r="L37" s="2">
        <v>7</v>
      </c>
      <c r="M37" s="2">
        <v>10</v>
      </c>
      <c r="N37" s="2">
        <v>3</v>
      </c>
      <c r="O37" s="2">
        <v>3</v>
      </c>
      <c r="P37" s="2">
        <v>5</v>
      </c>
      <c r="Q37" s="2">
        <v>14</v>
      </c>
      <c r="R37" s="2">
        <v>3</v>
      </c>
      <c r="S37" s="2">
        <v>7</v>
      </c>
      <c r="T37" s="2">
        <v>1</v>
      </c>
      <c r="U37" s="2">
        <v>17</v>
      </c>
      <c r="V37" s="2">
        <v>2</v>
      </c>
      <c r="W37" s="2">
        <v>10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CE37" s="53">
        <f>SUM(C37:BF37)</f>
        <v>167</v>
      </c>
    </row>
    <row r="38" spans="1:98" x14ac:dyDescent="0.15">
      <c r="B38" s="2" t="s">
        <v>125</v>
      </c>
      <c r="C38" s="2">
        <v>0</v>
      </c>
      <c r="D38" s="2">
        <v>0</v>
      </c>
      <c r="E38" s="2">
        <v>6</v>
      </c>
      <c r="F38" s="2">
        <v>5</v>
      </c>
      <c r="G38" s="2">
        <v>1</v>
      </c>
      <c r="H38" s="2">
        <v>2</v>
      </c>
      <c r="I38" s="2">
        <v>1</v>
      </c>
      <c r="J38" s="2">
        <v>1</v>
      </c>
      <c r="K38" s="2">
        <v>3</v>
      </c>
      <c r="L38" s="2">
        <v>6</v>
      </c>
      <c r="M38" s="2">
        <v>1</v>
      </c>
      <c r="N38" s="2">
        <v>1</v>
      </c>
      <c r="O38" s="2">
        <v>2</v>
      </c>
      <c r="P38" s="2">
        <v>1</v>
      </c>
      <c r="Q38" s="2">
        <v>3</v>
      </c>
      <c r="R38" s="2">
        <v>0</v>
      </c>
      <c r="S38" s="2">
        <v>2</v>
      </c>
      <c r="T38" s="2">
        <v>0</v>
      </c>
      <c r="U38" s="2">
        <v>4</v>
      </c>
      <c r="V38" s="2">
        <v>1</v>
      </c>
      <c r="W38" s="2">
        <v>2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CE38" s="53">
        <f>SUM(C38:BF38)</f>
        <v>42</v>
      </c>
      <c r="CG38" s="53" t="s">
        <v>162</v>
      </c>
      <c r="CH38" s="53" t="s">
        <v>163</v>
      </c>
    </row>
    <row r="39" spans="1:98" s="54" customFormat="1" x14ac:dyDescent="0.15">
      <c r="B39" s="54" t="s">
        <v>122</v>
      </c>
      <c r="C39" s="54">
        <f>SUM(C36:C38)</f>
        <v>188</v>
      </c>
      <c r="D39" s="54">
        <f t="shared" ref="D39:BE39" si="47">SUM(D36:D38)</f>
        <v>230</v>
      </c>
      <c r="E39" s="54">
        <f t="shared" si="47"/>
        <v>228</v>
      </c>
      <c r="F39" s="54">
        <f t="shared" si="47"/>
        <v>180</v>
      </c>
      <c r="G39" s="54">
        <f t="shared" si="47"/>
        <v>183</v>
      </c>
      <c r="H39" s="54">
        <f t="shared" si="47"/>
        <v>230</v>
      </c>
      <c r="I39" s="54">
        <f t="shared" si="47"/>
        <v>327</v>
      </c>
      <c r="J39" s="54">
        <f t="shared" si="47"/>
        <v>166</v>
      </c>
      <c r="K39" s="54">
        <f t="shared" si="47"/>
        <v>114</v>
      </c>
      <c r="L39" s="54">
        <f t="shared" si="47"/>
        <v>219</v>
      </c>
      <c r="M39" s="54">
        <f t="shared" si="47"/>
        <v>193</v>
      </c>
      <c r="N39" s="54">
        <f t="shared" si="47"/>
        <v>110</v>
      </c>
      <c r="O39" s="54">
        <f t="shared" si="47"/>
        <v>123</v>
      </c>
      <c r="P39" s="54">
        <f t="shared" si="47"/>
        <v>172</v>
      </c>
      <c r="Q39" s="54">
        <f t="shared" si="47"/>
        <v>138</v>
      </c>
      <c r="R39" s="54">
        <f t="shared" si="47"/>
        <v>113</v>
      </c>
      <c r="S39" s="54">
        <f t="shared" si="47"/>
        <v>185</v>
      </c>
      <c r="T39" s="54">
        <f t="shared" si="47"/>
        <v>138</v>
      </c>
      <c r="U39" s="54">
        <f t="shared" si="47"/>
        <v>155</v>
      </c>
      <c r="V39" s="54">
        <f t="shared" si="47"/>
        <v>199</v>
      </c>
      <c r="W39" s="54">
        <f t="shared" si="47"/>
        <v>225</v>
      </c>
      <c r="X39" s="54">
        <f t="shared" si="47"/>
        <v>0</v>
      </c>
      <c r="Y39" s="54">
        <f t="shared" si="47"/>
        <v>0</v>
      </c>
      <c r="Z39" s="54">
        <f t="shared" si="47"/>
        <v>0</v>
      </c>
      <c r="AA39" s="54">
        <f t="shared" si="47"/>
        <v>0</v>
      </c>
      <c r="AB39" s="54">
        <f t="shared" si="47"/>
        <v>0</v>
      </c>
      <c r="AC39" s="54">
        <f t="shared" si="47"/>
        <v>0</v>
      </c>
      <c r="AD39" s="54">
        <f t="shared" si="47"/>
        <v>0</v>
      </c>
      <c r="AE39" s="54">
        <f t="shared" si="47"/>
        <v>0</v>
      </c>
      <c r="AF39" s="54">
        <f t="shared" si="47"/>
        <v>0</v>
      </c>
      <c r="AG39" s="54">
        <f t="shared" si="47"/>
        <v>0</v>
      </c>
      <c r="AH39" s="54">
        <f t="shared" si="47"/>
        <v>0</v>
      </c>
      <c r="AI39" s="54">
        <f t="shared" si="47"/>
        <v>0</v>
      </c>
      <c r="AJ39" s="54">
        <f t="shared" si="47"/>
        <v>0</v>
      </c>
      <c r="AK39" s="54">
        <f t="shared" si="47"/>
        <v>0</v>
      </c>
      <c r="AL39" s="54">
        <f t="shared" si="47"/>
        <v>0</v>
      </c>
      <c r="AM39" s="54">
        <f t="shared" si="47"/>
        <v>0</v>
      </c>
      <c r="AN39" s="54">
        <f t="shared" si="47"/>
        <v>0</v>
      </c>
      <c r="AO39" s="54">
        <f t="shared" si="47"/>
        <v>0</v>
      </c>
      <c r="AP39" s="54">
        <f t="shared" si="47"/>
        <v>0</v>
      </c>
      <c r="AQ39" s="54">
        <f t="shared" si="47"/>
        <v>0</v>
      </c>
      <c r="AR39" s="54">
        <f t="shared" si="47"/>
        <v>0</v>
      </c>
      <c r="AS39" s="54">
        <f t="shared" si="47"/>
        <v>0</v>
      </c>
      <c r="AT39" s="54">
        <f t="shared" si="47"/>
        <v>0</v>
      </c>
      <c r="AU39" s="54">
        <f t="shared" si="47"/>
        <v>0</v>
      </c>
      <c r="AV39" s="54">
        <f t="shared" si="47"/>
        <v>0</v>
      </c>
      <c r="AW39" s="54">
        <f t="shared" si="47"/>
        <v>0</v>
      </c>
      <c r="AX39" s="54">
        <f t="shared" si="47"/>
        <v>0</v>
      </c>
      <c r="AY39" s="54">
        <f t="shared" si="47"/>
        <v>0</v>
      </c>
      <c r="AZ39" s="54">
        <f t="shared" si="47"/>
        <v>0</v>
      </c>
      <c r="BA39" s="54">
        <f t="shared" si="47"/>
        <v>0</v>
      </c>
      <c r="BB39" s="54">
        <f t="shared" si="47"/>
        <v>0</v>
      </c>
      <c r="BC39" s="54">
        <f t="shared" si="47"/>
        <v>0</v>
      </c>
      <c r="BD39" s="54">
        <f t="shared" si="47"/>
        <v>0</v>
      </c>
      <c r="BE39" s="54">
        <f t="shared" si="47"/>
        <v>0</v>
      </c>
      <c r="CE39" s="54">
        <f>SUM(C39:BF39)</f>
        <v>3816</v>
      </c>
      <c r="CG39" s="54">
        <f>MAX(C39:CB39)</f>
        <v>327</v>
      </c>
      <c r="CH39" s="54">
        <f t="array" ref="CH39">MIN(IF(C39:CB39&gt;0,C39:CB39,9999))</f>
        <v>110</v>
      </c>
      <c r="CN39" s="59"/>
    </row>
    <row r="40" spans="1:98" x14ac:dyDescent="0.15">
      <c r="B40" s="2" t="s">
        <v>35</v>
      </c>
      <c r="C40" s="2">
        <f t="shared" ref="C40:AH40" si="48">BowlSplit(C5:C34,OversBowled)</f>
        <v>39</v>
      </c>
      <c r="D40" s="2">
        <f t="shared" si="48"/>
        <v>30</v>
      </c>
      <c r="E40" s="2">
        <f t="shared" si="48"/>
        <v>42.5</v>
      </c>
      <c r="F40" s="2">
        <f t="shared" si="48"/>
        <v>33.299999999999997</v>
      </c>
      <c r="G40" s="2">
        <f t="shared" si="48"/>
        <v>40</v>
      </c>
      <c r="H40" s="2">
        <f t="shared" si="48"/>
        <v>39.4</v>
      </c>
      <c r="I40" s="2">
        <f t="shared" si="48"/>
        <v>40</v>
      </c>
      <c r="J40" s="2">
        <f t="shared" si="48"/>
        <v>34.4</v>
      </c>
      <c r="K40" s="2">
        <f t="shared" si="48"/>
        <v>37</v>
      </c>
      <c r="L40" s="2">
        <f t="shared" si="48"/>
        <v>40</v>
      </c>
      <c r="M40" s="2">
        <f t="shared" si="48"/>
        <v>40</v>
      </c>
      <c r="N40" s="2">
        <f t="shared" si="48"/>
        <v>41</v>
      </c>
      <c r="O40" s="2">
        <f t="shared" si="48"/>
        <v>24.3</v>
      </c>
      <c r="P40" s="2">
        <f t="shared" si="48"/>
        <v>27.5</v>
      </c>
      <c r="Q40" s="2">
        <f t="shared" si="48"/>
        <v>33</v>
      </c>
      <c r="R40" s="2">
        <f t="shared" si="48"/>
        <v>25.1</v>
      </c>
      <c r="S40" s="2">
        <f t="shared" si="48"/>
        <v>43.5</v>
      </c>
      <c r="T40" s="2">
        <f t="shared" si="48"/>
        <v>38</v>
      </c>
      <c r="U40" s="2">
        <f t="shared" si="48"/>
        <v>39</v>
      </c>
      <c r="V40" s="2">
        <f t="shared" si="48"/>
        <v>43</v>
      </c>
      <c r="W40" s="2">
        <f t="shared" si="48"/>
        <v>44</v>
      </c>
      <c r="X40" s="2">
        <f t="shared" si="48"/>
        <v>0</v>
      </c>
      <c r="Y40" s="2">
        <f t="shared" si="48"/>
        <v>0</v>
      </c>
      <c r="Z40" s="2">
        <f t="shared" si="48"/>
        <v>0</v>
      </c>
      <c r="AA40" s="2">
        <f t="shared" si="48"/>
        <v>0</v>
      </c>
      <c r="AB40" s="2">
        <f t="shared" si="48"/>
        <v>0</v>
      </c>
      <c r="AC40" s="2">
        <f t="shared" si="48"/>
        <v>0</v>
      </c>
      <c r="AD40" s="2">
        <f t="shared" si="48"/>
        <v>0</v>
      </c>
      <c r="AE40" s="2">
        <f t="shared" si="48"/>
        <v>0</v>
      </c>
      <c r="AF40" s="2">
        <f t="shared" si="48"/>
        <v>0</v>
      </c>
      <c r="AG40" s="2">
        <f t="shared" si="48"/>
        <v>0</v>
      </c>
      <c r="AH40" s="2">
        <f t="shared" si="48"/>
        <v>0</v>
      </c>
      <c r="AI40" s="2">
        <f t="shared" ref="AI40:BF40" si="49">BowlSplit(AI5:AI34,OversBowled)</f>
        <v>0</v>
      </c>
      <c r="AJ40" s="2">
        <f t="shared" si="49"/>
        <v>0</v>
      </c>
      <c r="AK40" s="2">
        <f t="shared" si="49"/>
        <v>0</v>
      </c>
      <c r="AL40" s="2">
        <f t="shared" si="49"/>
        <v>0</v>
      </c>
      <c r="AM40" s="2">
        <f t="shared" si="49"/>
        <v>0</v>
      </c>
      <c r="AN40" s="2">
        <f t="shared" si="49"/>
        <v>0</v>
      </c>
      <c r="AO40" s="2">
        <f t="shared" si="49"/>
        <v>0</v>
      </c>
      <c r="AP40" s="2">
        <f t="shared" si="49"/>
        <v>0</v>
      </c>
      <c r="AQ40" s="2">
        <f t="shared" si="49"/>
        <v>0</v>
      </c>
      <c r="AR40" s="2">
        <f t="shared" si="49"/>
        <v>0</v>
      </c>
      <c r="AS40" s="2">
        <f t="shared" si="49"/>
        <v>0</v>
      </c>
      <c r="AT40" s="2">
        <f t="shared" si="49"/>
        <v>0</v>
      </c>
      <c r="AU40" s="2">
        <f t="shared" si="49"/>
        <v>0</v>
      </c>
      <c r="AV40" s="2">
        <f t="shared" si="49"/>
        <v>0</v>
      </c>
      <c r="AW40" s="2">
        <f t="shared" si="49"/>
        <v>0</v>
      </c>
      <c r="AX40" s="2">
        <f t="shared" si="49"/>
        <v>0</v>
      </c>
      <c r="AY40" s="2">
        <f t="shared" si="49"/>
        <v>0</v>
      </c>
      <c r="AZ40" s="2">
        <f t="shared" si="49"/>
        <v>0</v>
      </c>
      <c r="BA40" s="2">
        <f t="shared" si="49"/>
        <v>0</v>
      </c>
      <c r="BB40" s="2">
        <f t="shared" si="49"/>
        <v>0</v>
      </c>
      <c r="BC40" s="2">
        <f t="shared" si="49"/>
        <v>0</v>
      </c>
      <c r="BD40" s="2">
        <f t="shared" si="49"/>
        <v>0</v>
      </c>
      <c r="BE40" s="2">
        <f t="shared" si="49"/>
        <v>0</v>
      </c>
      <c r="BF40" s="2">
        <f t="shared" si="49"/>
        <v>0</v>
      </c>
      <c r="CE40" s="53">
        <f>MAX(C40:CC40)</f>
        <v>44</v>
      </c>
    </row>
    <row r="41" spans="1:98" x14ac:dyDescent="0.15">
      <c r="B41" s="2" t="s">
        <v>34</v>
      </c>
      <c r="C41" s="2">
        <f t="shared" ref="C41:N41" si="50">BowlSplit(C5:C34,BallsBowled)</f>
        <v>234</v>
      </c>
      <c r="D41" s="2">
        <f t="shared" si="50"/>
        <v>180</v>
      </c>
      <c r="E41" s="2">
        <f t="shared" si="50"/>
        <v>257</v>
      </c>
      <c r="F41" s="2">
        <f t="shared" si="50"/>
        <v>201</v>
      </c>
      <c r="G41" s="2">
        <f t="shared" si="50"/>
        <v>240</v>
      </c>
      <c r="H41" s="2">
        <f t="shared" si="50"/>
        <v>238</v>
      </c>
      <c r="I41" s="2">
        <f t="shared" si="50"/>
        <v>240</v>
      </c>
      <c r="J41" s="2">
        <f t="shared" si="50"/>
        <v>208</v>
      </c>
      <c r="K41" s="2">
        <f t="shared" si="50"/>
        <v>222</v>
      </c>
      <c r="L41" s="2">
        <f t="shared" si="50"/>
        <v>240</v>
      </c>
      <c r="M41" s="2">
        <f t="shared" si="50"/>
        <v>240</v>
      </c>
      <c r="N41" s="2">
        <f t="shared" si="50"/>
        <v>246</v>
      </c>
      <c r="O41" s="2">
        <f>BowlSplit(T5:T34,BallsBowled)</f>
        <v>228</v>
      </c>
      <c r="P41" s="2">
        <f t="shared" ref="P41:BF41" si="51">BowlSplit(P5:P34,BallsBowled)</f>
        <v>167</v>
      </c>
      <c r="Q41" s="2">
        <f t="shared" si="51"/>
        <v>198</v>
      </c>
      <c r="R41" s="2">
        <f t="shared" si="51"/>
        <v>151</v>
      </c>
      <c r="S41" s="2">
        <f t="shared" si="51"/>
        <v>263</v>
      </c>
      <c r="T41" s="2">
        <f t="shared" si="51"/>
        <v>228</v>
      </c>
      <c r="U41" s="2">
        <f t="shared" si="51"/>
        <v>234</v>
      </c>
      <c r="V41" s="2">
        <f t="shared" si="51"/>
        <v>258</v>
      </c>
      <c r="W41" s="2">
        <f t="shared" si="51"/>
        <v>264</v>
      </c>
      <c r="X41" s="2">
        <f t="shared" si="51"/>
        <v>0</v>
      </c>
      <c r="Y41" s="2">
        <f t="shared" si="51"/>
        <v>0</v>
      </c>
      <c r="Z41" s="2">
        <f t="shared" si="51"/>
        <v>0</v>
      </c>
      <c r="AA41" s="2">
        <f t="shared" si="51"/>
        <v>0</v>
      </c>
      <c r="AB41" s="2">
        <f t="shared" si="51"/>
        <v>0</v>
      </c>
      <c r="AC41" s="2">
        <f t="shared" si="51"/>
        <v>0</v>
      </c>
      <c r="AD41" s="2">
        <f t="shared" si="51"/>
        <v>0</v>
      </c>
      <c r="AE41" s="2">
        <f t="shared" si="51"/>
        <v>0</v>
      </c>
      <c r="AF41" s="2">
        <f t="shared" si="51"/>
        <v>0</v>
      </c>
      <c r="AG41" s="2">
        <f t="shared" si="51"/>
        <v>0</v>
      </c>
      <c r="AH41" s="2">
        <f t="shared" si="51"/>
        <v>0</v>
      </c>
      <c r="AI41" s="2">
        <f t="shared" si="51"/>
        <v>0</v>
      </c>
      <c r="AJ41" s="2">
        <f t="shared" si="51"/>
        <v>0</v>
      </c>
      <c r="AK41" s="2">
        <f t="shared" si="51"/>
        <v>0</v>
      </c>
      <c r="AL41" s="2">
        <f t="shared" si="51"/>
        <v>0</v>
      </c>
      <c r="AM41" s="2">
        <f t="shared" si="51"/>
        <v>0</v>
      </c>
      <c r="AN41" s="2">
        <f t="shared" si="51"/>
        <v>0</v>
      </c>
      <c r="AO41" s="2">
        <f t="shared" si="51"/>
        <v>0</v>
      </c>
      <c r="AP41" s="2">
        <f t="shared" si="51"/>
        <v>0</v>
      </c>
      <c r="AQ41" s="2">
        <f t="shared" si="51"/>
        <v>0</v>
      </c>
      <c r="AR41" s="2">
        <f t="shared" si="51"/>
        <v>0</v>
      </c>
      <c r="AS41" s="2">
        <f t="shared" si="51"/>
        <v>0</v>
      </c>
      <c r="AT41" s="2">
        <f t="shared" si="51"/>
        <v>0</v>
      </c>
      <c r="AU41" s="2">
        <f t="shared" si="51"/>
        <v>0</v>
      </c>
      <c r="AV41" s="2">
        <f t="shared" si="51"/>
        <v>0</v>
      </c>
      <c r="AW41" s="2">
        <f t="shared" si="51"/>
        <v>0</v>
      </c>
      <c r="AX41" s="2">
        <f t="shared" si="51"/>
        <v>0</v>
      </c>
      <c r="AY41" s="2">
        <f t="shared" si="51"/>
        <v>0</v>
      </c>
      <c r="AZ41" s="2">
        <f t="shared" si="51"/>
        <v>0</v>
      </c>
      <c r="BA41" s="2">
        <f t="shared" si="51"/>
        <v>0</v>
      </c>
      <c r="BB41" s="2">
        <f t="shared" si="51"/>
        <v>0</v>
      </c>
      <c r="BC41" s="2">
        <f t="shared" si="51"/>
        <v>0</v>
      </c>
      <c r="BD41" s="2">
        <f t="shared" si="51"/>
        <v>0</v>
      </c>
      <c r="BE41" s="2">
        <f t="shared" si="51"/>
        <v>0</v>
      </c>
      <c r="BF41" s="2">
        <f t="shared" si="51"/>
        <v>0</v>
      </c>
      <c r="CE41" s="53">
        <f>SUM(C41:BF41)</f>
        <v>4737</v>
      </c>
      <c r="CF41" s="53">
        <f>INT(CE41/6)</f>
        <v>789</v>
      </c>
      <c r="CG41" s="53">
        <f>CE41-CF41*6</f>
        <v>3</v>
      </c>
      <c r="CH41" s="53">
        <f>CF41+CG41/10</f>
        <v>789.3</v>
      </c>
    </row>
    <row r="42" spans="1:98" x14ac:dyDescent="0.15">
      <c r="B42" s="2" t="s">
        <v>170</v>
      </c>
      <c r="C42" s="2">
        <f t="array" ref="C42:CC42">TRANSPOSE(Matches!P5:P59)</f>
        <v>39</v>
      </c>
      <c r="D42" s="2">
        <v>30</v>
      </c>
      <c r="E42" s="2">
        <v>42.5</v>
      </c>
      <c r="F42" s="2">
        <v>33.299999999999997</v>
      </c>
      <c r="G42" s="2">
        <v>40</v>
      </c>
      <c r="H42" s="2">
        <v>39.4</v>
      </c>
      <c r="I42" s="2">
        <v>40</v>
      </c>
      <c r="J42" s="2">
        <v>34.4</v>
      </c>
      <c r="K42" s="2">
        <v>37</v>
      </c>
      <c r="L42" s="2">
        <v>40</v>
      </c>
      <c r="M42" s="2">
        <v>40</v>
      </c>
      <c r="N42" s="2">
        <v>41</v>
      </c>
      <c r="O42" s="2">
        <v>24.3</v>
      </c>
      <c r="P42" s="2">
        <v>27.5</v>
      </c>
      <c r="Q42" s="2">
        <v>33</v>
      </c>
      <c r="R42" s="2">
        <v>25.1</v>
      </c>
      <c r="S42" s="2">
        <v>43.5</v>
      </c>
      <c r="T42" s="2">
        <v>38</v>
      </c>
      <c r="U42" s="2">
        <v>39</v>
      </c>
      <c r="V42" s="2">
        <v>43</v>
      </c>
      <c r="W42" s="2">
        <v>44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 t="e">
        <v>#N/A</v>
      </c>
      <c r="BG42" s="2" t="e">
        <v>#N/A</v>
      </c>
      <c r="BH42" s="2" t="e">
        <v>#N/A</v>
      </c>
      <c r="BI42" s="2" t="e">
        <v>#N/A</v>
      </c>
      <c r="BJ42" s="2" t="e">
        <v>#N/A</v>
      </c>
      <c r="BK42" s="2" t="e">
        <v>#N/A</v>
      </c>
      <c r="BL42" s="2" t="e">
        <v>#N/A</v>
      </c>
      <c r="BM42" s="2" t="e">
        <v>#N/A</v>
      </c>
      <c r="BN42" s="2" t="e">
        <v>#N/A</v>
      </c>
      <c r="BO42" s="2" t="e">
        <v>#N/A</v>
      </c>
      <c r="BP42" s="2" t="e">
        <v>#N/A</v>
      </c>
      <c r="BQ42" s="2" t="e">
        <v>#N/A</v>
      </c>
      <c r="BR42" s="2" t="e">
        <v>#N/A</v>
      </c>
      <c r="BS42" s="2" t="e">
        <v>#N/A</v>
      </c>
      <c r="BT42" s="2" t="e">
        <v>#N/A</v>
      </c>
      <c r="BU42" s="2" t="e">
        <v>#N/A</v>
      </c>
      <c r="BV42" s="2" t="e">
        <v>#N/A</v>
      </c>
      <c r="BW42" s="2" t="e">
        <v>#N/A</v>
      </c>
      <c r="BX42" s="2" t="e">
        <v>#N/A</v>
      </c>
      <c r="BY42" s="2" t="e">
        <v>#N/A</v>
      </c>
      <c r="BZ42" s="2" t="e">
        <v>#N/A</v>
      </c>
      <c r="CA42" s="2" t="e">
        <v>#N/A</v>
      </c>
      <c r="CB42" s="2" t="e">
        <v>#N/A</v>
      </c>
      <c r="CC42" s="2" t="e">
        <v>#N/A</v>
      </c>
    </row>
    <row r="43" spans="1:98" x14ac:dyDescent="0.15">
      <c r="B43" s="2">
        <f>WicketsTaken</f>
        <v>4</v>
      </c>
      <c r="C43" s="2">
        <f>WicketsTaken</f>
        <v>4</v>
      </c>
    </row>
    <row r="44" spans="1:98" x14ac:dyDescent="0.15">
      <c r="B44" s="2">
        <v>5</v>
      </c>
      <c r="C44" s="2">
        <f t="shared" ref="C44:R73" si="52">BowlSplit(C5,$C$43)</f>
        <v>0</v>
      </c>
      <c r="D44" s="2">
        <f t="shared" si="52"/>
        <v>1</v>
      </c>
      <c r="E44" s="2">
        <f t="shared" si="52"/>
        <v>4</v>
      </c>
      <c r="F44" s="2">
        <f t="shared" si="52"/>
        <v>0</v>
      </c>
      <c r="G44" s="2">
        <f t="shared" si="52"/>
        <v>1</v>
      </c>
      <c r="H44" s="2">
        <f t="shared" si="52"/>
        <v>1</v>
      </c>
      <c r="I44" s="2">
        <f t="shared" si="52"/>
        <v>0</v>
      </c>
      <c r="J44" s="2">
        <f t="shared" si="52"/>
        <v>1</v>
      </c>
      <c r="K44" s="2">
        <f t="shared" si="52"/>
        <v>1</v>
      </c>
      <c r="L44" s="2">
        <f t="shared" si="52"/>
        <v>1</v>
      </c>
      <c r="M44" s="2">
        <f t="shared" si="52"/>
        <v>1</v>
      </c>
      <c r="N44" s="2">
        <f t="shared" si="52"/>
        <v>1</v>
      </c>
      <c r="O44" s="2">
        <f t="shared" si="52"/>
        <v>0</v>
      </c>
      <c r="P44" s="2">
        <f t="shared" si="52"/>
        <v>0</v>
      </c>
      <c r="Q44" s="2">
        <f t="shared" si="52"/>
        <v>2</v>
      </c>
      <c r="R44" s="2">
        <f t="shared" si="52"/>
        <v>4</v>
      </c>
      <c r="S44" s="2">
        <f t="shared" ref="D44:AR50" si="53">BowlSplit(S5,$C$43)</f>
        <v>2</v>
      </c>
      <c r="T44" s="2">
        <f t="shared" si="53"/>
        <v>0</v>
      </c>
      <c r="U44" s="2">
        <f t="shared" si="53"/>
        <v>4</v>
      </c>
      <c r="V44" s="2">
        <f t="shared" si="53"/>
        <v>2</v>
      </c>
      <c r="W44" s="2">
        <f t="shared" si="53"/>
        <v>2</v>
      </c>
      <c r="X44" s="2">
        <f t="shared" si="53"/>
        <v>0</v>
      </c>
      <c r="Y44" s="2">
        <f t="shared" si="53"/>
        <v>0</v>
      </c>
      <c r="Z44" s="2">
        <f t="shared" si="53"/>
        <v>0</v>
      </c>
      <c r="AA44" s="2">
        <f t="shared" si="53"/>
        <v>0</v>
      </c>
      <c r="AB44" s="2">
        <f t="shared" si="53"/>
        <v>0</v>
      </c>
      <c r="AC44" s="2">
        <f t="shared" si="53"/>
        <v>0</v>
      </c>
      <c r="AD44" s="2">
        <f t="shared" si="53"/>
        <v>0</v>
      </c>
      <c r="AE44" s="2">
        <f t="shared" si="53"/>
        <v>0</v>
      </c>
      <c r="AF44" s="2">
        <f t="shared" si="53"/>
        <v>0</v>
      </c>
      <c r="AG44" s="2">
        <f t="shared" si="53"/>
        <v>0</v>
      </c>
      <c r="AH44" s="2">
        <f t="shared" si="53"/>
        <v>0</v>
      </c>
      <c r="AI44" s="2">
        <f t="shared" si="53"/>
        <v>0</v>
      </c>
      <c r="AJ44" s="2">
        <f t="shared" si="53"/>
        <v>0</v>
      </c>
      <c r="AK44" s="2">
        <f t="shared" si="53"/>
        <v>0</v>
      </c>
      <c r="AL44" s="2">
        <f t="shared" si="53"/>
        <v>0</v>
      </c>
      <c r="AM44" s="2">
        <f t="shared" si="53"/>
        <v>0</v>
      </c>
      <c r="AN44" s="2">
        <f t="shared" si="53"/>
        <v>0</v>
      </c>
      <c r="AO44" s="2">
        <f t="shared" si="53"/>
        <v>0</v>
      </c>
      <c r="AP44" s="2">
        <f t="shared" si="53"/>
        <v>0</v>
      </c>
      <c r="AQ44" s="2">
        <f t="shared" si="53"/>
        <v>0</v>
      </c>
      <c r="AR44" s="2">
        <f t="shared" si="53"/>
        <v>0</v>
      </c>
    </row>
    <row r="45" spans="1:98" x14ac:dyDescent="0.15">
      <c r="B45" s="2">
        <f>MAX(C44:AR73)</f>
        <v>4</v>
      </c>
      <c r="C45" s="2">
        <f t="shared" si="52"/>
        <v>2</v>
      </c>
      <c r="D45" s="2">
        <f t="shared" si="53"/>
        <v>0</v>
      </c>
      <c r="E45" s="2">
        <f t="shared" si="53"/>
        <v>1</v>
      </c>
      <c r="F45" s="2">
        <f t="shared" si="53"/>
        <v>0</v>
      </c>
      <c r="G45" s="2">
        <f t="shared" si="53"/>
        <v>1</v>
      </c>
      <c r="H45" s="2">
        <f t="shared" si="53"/>
        <v>0</v>
      </c>
      <c r="I45" s="2">
        <f t="shared" si="53"/>
        <v>0</v>
      </c>
      <c r="J45" s="2">
        <f t="shared" si="53"/>
        <v>2</v>
      </c>
      <c r="K45" s="2">
        <f t="shared" si="53"/>
        <v>4</v>
      </c>
      <c r="L45" s="2">
        <f t="shared" si="53"/>
        <v>2</v>
      </c>
      <c r="M45" s="2">
        <f t="shared" si="53"/>
        <v>0</v>
      </c>
      <c r="N45" s="2">
        <f t="shared" si="53"/>
        <v>0</v>
      </c>
      <c r="O45" s="2">
        <f t="shared" si="53"/>
        <v>0</v>
      </c>
      <c r="P45" s="2">
        <f t="shared" si="53"/>
        <v>1</v>
      </c>
      <c r="Q45" s="2">
        <f t="shared" si="53"/>
        <v>2</v>
      </c>
      <c r="R45" s="2">
        <f t="shared" si="53"/>
        <v>0</v>
      </c>
      <c r="S45" s="2">
        <f t="shared" si="53"/>
        <v>0</v>
      </c>
      <c r="T45" s="2">
        <f t="shared" si="53"/>
        <v>2</v>
      </c>
      <c r="U45" s="2">
        <f t="shared" si="53"/>
        <v>0</v>
      </c>
      <c r="V45" s="2">
        <f t="shared" si="53"/>
        <v>0</v>
      </c>
      <c r="W45" s="2">
        <f t="shared" si="53"/>
        <v>0</v>
      </c>
      <c r="X45" s="2">
        <f t="shared" si="53"/>
        <v>0</v>
      </c>
      <c r="Y45" s="2">
        <f t="shared" si="53"/>
        <v>0</v>
      </c>
      <c r="Z45" s="2">
        <f t="shared" si="53"/>
        <v>0</v>
      </c>
      <c r="AA45" s="2">
        <f t="shared" si="53"/>
        <v>0</v>
      </c>
      <c r="AB45" s="2">
        <f t="shared" si="53"/>
        <v>0</v>
      </c>
      <c r="AC45" s="2">
        <f t="shared" si="53"/>
        <v>0</v>
      </c>
      <c r="AD45" s="2">
        <f t="shared" si="53"/>
        <v>0</v>
      </c>
      <c r="AE45" s="2">
        <f t="shared" si="53"/>
        <v>0</v>
      </c>
      <c r="AF45" s="2">
        <f t="shared" si="53"/>
        <v>0</v>
      </c>
      <c r="AG45" s="2">
        <f t="shared" si="53"/>
        <v>0</v>
      </c>
      <c r="AH45" s="2">
        <f t="shared" si="53"/>
        <v>0</v>
      </c>
      <c r="AI45" s="2">
        <f t="shared" si="53"/>
        <v>0</v>
      </c>
      <c r="AJ45" s="2">
        <f t="shared" si="53"/>
        <v>0</v>
      </c>
      <c r="AK45" s="2">
        <f t="shared" si="53"/>
        <v>0</v>
      </c>
      <c r="AL45" s="2">
        <f t="shared" si="53"/>
        <v>0</v>
      </c>
      <c r="AM45" s="2">
        <f t="shared" si="53"/>
        <v>0</v>
      </c>
      <c r="AN45" s="2">
        <f t="shared" si="53"/>
        <v>0</v>
      </c>
      <c r="AO45" s="2">
        <f t="shared" si="53"/>
        <v>0</v>
      </c>
      <c r="AP45" s="2">
        <f t="shared" si="53"/>
        <v>0</v>
      </c>
      <c r="AQ45" s="2">
        <f t="shared" si="53"/>
        <v>0</v>
      </c>
      <c r="AR45" s="2">
        <f t="shared" si="53"/>
        <v>0</v>
      </c>
    </row>
    <row r="46" spans="1:98" x14ac:dyDescent="0.15">
      <c r="C46" s="2">
        <f t="shared" si="52"/>
        <v>0</v>
      </c>
      <c r="D46" s="2">
        <f t="shared" si="53"/>
        <v>0</v>
      </c>
      <c r="E46" s="2">
        <f t="shared" si="53"/>
        <v>0</v>
      </c>
      <c r="F46" s="2">
        <f t="shared" si="53"/>
        <v>0</v>
      </c>
      <c r="G46" s="2">
        <f t="shared" si="53"/>
        <v>0</v>
      </c>
      <c r="H46" s="2">
        <f t="shared" si="53"/>
        <v>3</v>
      </c>
      <c r="I46" s="2">
        <f t="shared" si="53"/>
        <v>0</v>
      </c>
      <c r="J46" s="2">
        <f t="shared" si="53"/>
        <v>0</v>
      </c>
      <c r="K46" s="2">
        <f t="shared" si="53"/>
        <v>0</v>
      </c>
      <c r="L46" s="2">
        <f t="shared" si="53"/>
        <v>0</v>
      </c>
      <c r="M46" s="2">
        <f t="shared" si="53"/>
        <v>0</v>
      </c>
      <c r="N46" s="2">
        <f t="shared" si="53"/>
        <v>0</v>
      </c>
      <c r="O46" s="2">
        <f t="shared" si="53"/>
        <v>0</v>
      </c>
      <c r="P46" s="2">
        <f t="shared" si="53"/>
        <v>0</v>
      </c>
      <c r="Q46" s="2">
        <f t="shared" si="53"/>
        <v>1</v>
      </c>
      <c r="R46" s="2">
        <f t="shared" si="53"/>
        <v>1</v>
      </c>
      <c r="S46" s="2">
        <f t="shared" si="53"/>
        <v>0</v>
      </c>
      <c r="T46" s="2">
        <f t="shared" si="53"/>
        <v>0</v>
      </c>
      <c r="U46" s="2">
        <f t="shared" si="53"/>
        <v>0</v>
      </c>
      <c r="V46" s="2">
        <f t="shared" si="53"/>
        <v>0</v>
      </c>
      <c r="W46" s="2">
        <f t="shared" si="53"/>
        <v>0</v>
      </c>
      <c r="X46" s="2">
        <f t="shared" si="53"/>
        <v>0</v>
      </c>
      <c r="Y46" s="2">
        <f t="shared" si="53"/>
        <v>0</v>
      </c>
      <c r="Z46" s="2">
        <f t="shared" si="53"/>
        <v>0</v>
      </c>
      <c r="AA46" s="2">
        <f t="shared" si="53"/>
        <v>0</v>
      </c>
      <c r="AB46" s="2">
        <f t="shared" si="53"/>
        <v>0</v>
      </c>
      <c r="AC46" s="2">
        <f t="shared" si="53"/>
        <v>0</v>
      </c>
      <c r="AD46" s="2">
        <f t="shared" si="53"/>
        <v>0</v>
      </c>
      <c r="AE46" s="2">
        <f t="shared" si="53"/>
        <v>0</v>
      </c>
      <c r="AF46" s="2">
        <f t="shared" si="53"/>
        <v>0</v>
      </c>
      <c r="AG46" s="2">
        <f t="shared" si="53"/>
        <v>0</v>
      </c>
      <c r="AH46" s="2">
        <f t="shared" si="53"/>
        <v>0</v>
      </c>
      <c r="AI46" s="2">
        <f t="shared" si="53"/>
        <v>0</v>
      </c>
      <c r="AJ46" s="2">
        <f t="shared" si="53"/>
        <v>0</v>
      </c>
      <c r="AK46" s="2">
        <f t="shared" si="53"/>
        <v>0</v>
      </c>
      <c r="AL46" s="2">
        <f t="shared" si="53"/>
        <v>0</v>
      </c>
      <c r="AM46" s="2">
        <f t="shared" si="53"/>
        <v>0</v>
      </c>
      <c r="AN46" s="2">
        <f t="shared" si="53"/>
        <v>0</v>
      </c>
      <c r="AO46" s="2">
        <f t="shared" si="53"/>
        <v>0</v>
      </c>
      <c r="AP46" s="2">
        <f t="shared" si="53"/>
        <v>0</v>
      </c>
      <c r="AQ46" s="2">
        <f t="shared" si="53"/>
        <v>0</v>
      </c>
      <c r="AR46" s="2">
        <f t="shared" si="53"/>
        <v>0</v>
      </c>
    </row>
    <row r="47" spans="1:98" x14ac:dyDescent="0.15">
      <c r="C47" s="2">
        <f t="shared" si="52"/>
        <v>0</v>
      </c>
      <c r="D47" s="2">
        <f t="shared" si="53"/>
        <v>0</v>
      </c>
      <c r="E47" s="2">
        <f t="shared" si="53"/>
        <v>0</v>
      </c>
      <c r="F47" s="2">
        <f t="shared" si="53"/>
        <v>0</v>
      </c>
      <c r="G47" s="2">
        <f t="shared" si="53"/>
        <v>0</v>
      </c>
      <c r="H47" s="2">
        <f t="shared" si="53"/>
        <v>0</v>
      </c>
      <c r="I47" s="2">
        <f t="shared" si="53"/>
        <v>0</v>
      </c>
      <c r="J47" s="2">
        <f t="shared" si="53"/>
        <v>0</v>
      </c>
      <c r="K47" s="2">
        <f t="shared" si="53"/>
        <v>0</v>
      </c>
      <c r="L47" s="2">
        <f t="shared" si="53"/>
        <v>0</v>
      </c>
      <c r="M47" s="2">
        <f t="shared" si="53"/>
        <v>0</v>
      </c>
      <c r="N47" s="2">
        <f t="shared" si="53"/>
        <v>0</v>
      </c>
      <c r="O47" s="2">
        <f t="shared" si="53"/>
        <v>0</v>
      </c>
      <c r="P47" s="2">
        <f t="shared" si="53"/>
        <v>0</v>
      </c>
      <c r="Q47" s="2">
        <f t="shared" si="53"/>
        <v>0</v>
      </c>
      <c r="R47" s="2">
        <f t="shared" si="53"/>
        <v>0</v>
      </c>
      <c r="S47" s="2">
        <f t="shared" si="53"/>
        <v>0</v>
      </c>
      <c r="T47" s="2">
        <f t="shared" si="53"/>
        <v>0</v>
      </c>
      <c r="U47" s="2">
        <f t="shared" si="53"/>
        <v>0</v>
      </c>
      <c r="V47" s="2">
        <f t="shared" si="53"/>
        <v>0</v>
      </c>
      <c r="W47" s="2">
        <f t="shared" si="53"/>
        <v>0</v>
      </c>
      <c r="X47" s="2">
        <f t="shared" si="53"/>
        <v>0</v>
      </c>
      <c r="Y47" s="2">
        <f t="shared" si="53"/>
        <v>0</v>
      </c>
      <c r="Z47" s="2">
        <f t="shared" si="53"/>
        <v>0</v>
      </c>
      <c r="AA47" s="2">
        <f t="shared" si="53"/>
        <v>0</v>
      </c>
      <c r="AB47" s="2">
        <f t="shared" si="53"/>
        <v>0</v>
      </c>
      <c r="AC47" s="2">
        <f t="shared" si="53"/>
        <v>0</v>
      </c>
      <c r="AD47" s="2">
        <f t="shared" si="53"/>
        <v>0</v>
      </c>
      <c r="AE47" s="2">
        <f t="shared" si="53"/>
        <v>0</v>
      </c>
      <c r="AF47" s="2">
        <f t="shared" si="53"/>
        <v>0</v>
      </c>
      <c r="AG47" s="2">
        <f t="shared" si="53"/>
        <v>0</v>
      </c>
      <c r="AH47" s="2">
        <f t="shared" si="53"/>
        <v>0</v>
      </c>
      <c r="AI47" s="2">
        <f t="shared" si="53"/>
        <v>0</v>
      </c>
      <c r="AJ47" s="2">
        <f t="shared" si="53"/>
        <v>0</v>
      </c>
      <c r="AK47" s="2">
        <f t="shared" si="53"/>
        <v>0</v>
      </c>
      <c r="AL47" s="2">
        <f t="shared" si="53"/>
        <v>0</v>
      </c>
      <c r="AM47" s="2">
        <f t="shared" si="53"/>
        <v>0</v>
      </c>
      <c r="AN47" s="2">
        <f t="shared" si="53"/>
        <v>0</v>
      </c>
      <c r="AO47" s="2">
        <f t="shared" si="53"/>
        <v>0</v>
      </c>
      <c r="AP47" s="2">
        <f t="shared" si="53"/>
        <v>0</v>
      </c>
      <c r="AQ47" s="2">
        <f t="shared" si="53"/>
        <v>0</v>
      </c>
      <c r="AR47" s="2">
        <f t="shared" si="53"/>
        <v>0</v>
      </c>
      <c r="CE47" s="57"/>
    </row>
    <row r="48" spans="1:98" x14ac:dyDescent="0.15">
      <c r="C48" s="2">
        <f t="shared" si="52"/>
        <v>1</v>
      </c>
      <c r="D48" s="2">
        <f t="shared" si="53"/>
        <v>0</v>
      </c>
      <c r="E48" s="2">
        <f t="shared" si="53"/>
        <v>0</v>
      </c>
      <c r="F48" s="2">
        <f t="shared" si="53"/>
        <v>0</v>
      </c>
      <c r="G48" s="2">
        <f t="shared" si="53"/>
        <v>0</v>
      </c>
      <c r="H48" s="2">
        <f t="shared" si="53"/>
        <v>0</v>
      </c>
      <c r="I48" s="2">
        <f t="shared" si="53"/>
        <v>0</v>
      </c>
      <c r="J48" s="2">
        <f t="shared" si="53"/>
        <v>0</v>
      </c>
      <c r="K48" s="2">
        <f t="shared" si="53"/>
        <v>0</v>
      </c>
      <c r="L48" s="2">
        <f t="shared" si="53"/>
        <v>0</v>
      </c>
      <c r="M48" s="2">
        <f t="shared" si="53"/>
        <v>0</v>
      </c>
      <c r="N48" s="2">
        <f t="shared" si="53"/>
        <v>0</v>
      </c>
      <c r="O48" s="2">
        <f t="shared" si="53"/>
        <v>0</v>
      </c>
      <c r="P48" s="2">
        <f t="shared" si="53"/>
        <v>0</v>
      </c>
      <c r="Q48" s="2">
        <f t="shared" si="53"/>
        <v>0</v>
      </c>
      <c r="R48" s="2">
        <f t="shared" si="53"/>
        <v>0</v>
      </c>
      <c r="S48" s="2">
        <f t="shared" si="53"/>
        <v>0</v>
      </c>
      <c r="T48" s="2">
        <f t="shared" si="53"/>
        <v>0</v>
      </c>
      <c r="U48" s="2">
        <f t="shared" si="53"/>
        <v>0</v>
      </c>
      <c r="V48" s="2">
        <f t="shared" si="53"/>
        <v>0</v>
      </c>
      <c r="W48" s="2">
        <f t="shared" si="53"/>
        <v>0</v>
      </c>
      <c r="X48" s="2">
        <f t="shared" si="53"/>
        <v>0</v>
      </c>
      <c r="Y48" s="2">
        <f t="shared" si="53"/>
        <v>0</v>
      </c>
      <c r="Z48" s="2">
        <f t="shared" si="53"/>
        <v>0</v>
      </c>
      <c r="AA48" s="2">
        <f t="shared" si="53"/>
        <v>0</v>
      </c>
      <c r="AB48" s="2">
        <f t="shared" si="53"/>
        <v>0</v>
      </c>
      <c r="AC48" s="2">
        <f t="shared" si="53"/>
        <v>0</v>
      </c>
      <c r="AD48" s="2">
        <f t="shared" si="53"/>
        <v>0</v>
      </c>
      <c r="AE48" s="2">
        <f t="shared" si="53"/>
        <v>0</v>
      </c>
      <c r="AF48" s="2">
        <f t="shared" si="53"/>
        <v>0</v>
      </c>
      <c r="AG48" s="2">
        <f t="shared" si="53"/>
        <v>0</v>
      </c>
      <c r="AH48" s="2">
        <f t="shared" si="53"/>
        <v>0</v>
      </c>
      <c r="AI48" s="2">
        <f t="shared" si="53"/>
        <v>0</v>
      </c>
      <c r="AJ48" s="2">
        <f t="shared" si="53"/>
        <v>0</v>
      </c>
      <c r="AK48" s="2">
        <f t="shared" si="53"/>
        <v>0</v>
      </c>
      <c r="AL48" s="2">
        <f t="shared" si="53"/>
        <v>0</v>
      </c>
      <c r="AM48" s="2">
        <f t="shared" si="53"/>
        <v>0</v>
      </c>
      <c r="AN48" s="2">
        <f t="shared" si="53"/>
        <v>0</v>
      </c>
      <c r="AO48" s="2">
        <f t="shared" si="53"/>
        <v>0</v>
      </c>
      <c r="AP48" s="2">
        <f t="shared" si="53"/>
        <v>0</v>
      </c>
      <c r="AQ48" s="2">
        <f t="shared" si="53"/>
        <v>0</v>
      </c>
      <c r="AR48" s="2">
        <f t="shared" si="53"/>
        <v>0</v>
      </c>
    </row>
    <row r="49" spans="3:44" x14ac:dyDescent="0.15">
      <c r="C49" s="2">
        <f t="shared" si="52"/>
        <v>0</v>
      </c>
      <c r="D49" s="2">
        <f t="shared" si="53"/>
        <v>0</v>
      </c>
      <c r="E49" s="2">
        <f t="shared" si="53"/>
        <v>0</v>
      </c>
      <c r="F49" s="2">
        <f t="shared" si="53"/>
        <v>0</v>
      </c>
      <c r="G49" s="2">
        <f t="shared" si="53"/>
        <v>0</v>
      </c>
      <c r="H49" s="2">
        <f t="shared" si="53"/>
        <v>0</v>
      </c>
      <c r="I49" s="2">
        <f t="shared" si="53"/>
        <v>0</v>
      </c>
      <c r="J49" s="2">
        <f t="shared" si="53"/>
        <v>0</v>
      </c>
      <c r="K49" s="2">
        <f t="shared" si="53"/>
        <v>0</v>
      </c>
      <c r="L49" s="2">
        <f t="shared" si="53"/>
        <v>0</v>
      </c>
      <c r="M49" s="2">
        <f t="shared" si="53"/>
        <v>0</v>
      </c>
      <c r="N49" s="2">
        <f t="shared" si="53"/>
        <v>0</v>
      </c>
      <c r="O49" s="2">
        <f t="shared" si="53"/>
        <v>0</v>
      </c>
      <c r="P49" s="2">
        <f t="shared" si="53"/>
        <v>0</v>
      </c>
      <c r="Q49" s="2">
        <f t="shared" si="53"/>
        <v>0</v>
      </c>
      <c r="R49" s="2">
        <f t="shared" si="53"/>
        <v>0</v>
      </c>
      <c r="S49" s="2">
        <f t="shared" si="53"/>
        <v>0</v>
      </c>
      <c r="T49" s="2">
        <f t="shared" si="53"/>
        <v>0</v>
      </c>
      <c r="U49" s="2">
        <f t="shared" si="53"/>
        <v>0</v>
      </c>
      <c r="V49" s="2">
        <f t="shared" si="53"/>
        <v>0</v>
      </c>
      <c r="W49" s="2">
        <f t="shared" si="53"/>
        <v>0</v>
      </c>
      <c r="X49" s="2">
        <f t="shared" si="53"/>
        <v>0</v>
      </c>
      <c r="Y49" s="2">
        <f t="shared" si="53"/>
        <v>0</v>
      </c>
      <c r="Z49" s="2">
        <f t="shared" si="53"/>
        <v>0</v>
      </c>
      <c r="AA49" s="2">
        <f t="shared" si="53"/>
        <v>0</v>
      </c>
      <c r="AB49" s="2">
        <f t="shared" si="53"/>
        <v>0</v>
      </c>
      <c r="AC49" s="2">
        <f t="shared" si="53"/>
        <v>0</v>
      </c>
      <c r="AD49" s="2">
        <f t="shared" si="53"/>
        <v>0</v>
      </c>
      <c r="AE49" s="2">
        <f t="shared" si="53"/>
        <v>0</v>
      </c>
      <c r="AF49" s="2">
        <f t="shared" si="53"/>
        <v>0</v>
      </c>
      <c r="AG49" s="2">
        <f t="shared" si="53"/>
        <v>0</v>
      </c>
      <c r="AH49" s="2">
        <f t="shared" si="53"/>
        <v>0</v>
      </c>
      <c r="AI49" s="2">
        <f t="shared" si="53"/>
        <v>0</v>
      </c>
      <c r="AJ49" s="2">
        <f t="shared" si="53"/>
        <v>0</v>
      </c>
      <c r="AK49" s="2">
        <f t="shared" si="53"/>
        <v>0</v>
      </c>
      <c r="AL49" s="2">
        <f t="shared" si="53"/>
        <v>0</v>
      </c>
      <c r="AM49" s="2">
        <f t="shared" si="53"/>
        <v>0</v>
      </c>
      <c r="AN49" s="2">
        <f t="shared" si="53"/>
        <v>0</v>
      </c>
      <c r="AO49" s="2">
        <f t="shared" si="53"/>
        <v>0</v>
      </c>
      <c r="AP49" s="2">
        <f t="shared" si="53"/>
        <v>0</v>
      </c>
      <c r="AQ49" s="2">
        <f t="shared" si="53"/>
        <v>0</v>
      </c>
      <c r="AR49" s="2">
        <f t="shared" si="53"/>
        <v>0</v>
      </c>
    </row>
    <row r="50" spans="3:44" x14ac:dyDescent="0.15">
      <c r="C50" s="2">
        <f t="shared" si="52"/>
        <v>3</v>
      </c>
      <c r="D50" s="2">
        <f t="shared" si="53"/>
        <v>0</v>
      </c>
      <c r="E50" s="2">
        <f t="shared" si="53"/>
        <v>0</v>
      </c>
      <c r="F50" s="2">
        <f t="shared" si="53"/>
        <v>2</v>
      </c>
      <c r="G50" s="2">
        <f t="shared" si="53"/>
        <v>0</v>
      </c>
      <c r="H50" s="2">
        <f t="shared" si="53"/>
        <v>0</v>
      </c>
      <c r="I50" s="2">
        <f t="shared" si="53"/>
        <v>0</v>
      </c>
      <c r="J50" s="2">
        <f t="shared" si="53"/>
        <v>2</v>
      </c>
      <c r="K50" s="2">
        <f t="shared" si="53"/>
        <v>2</v>
      </c>
      <c r="L50" s="2">
        <f t="shared" si="53"/>
        <v>0</v>
      </c>
      <c r="M50" s="2">
        <f t="shared" si="53"/>
        <v>0</v>
      </c>
      <c r="N50" s="2">
        <f t="shared" si="53"/>
        <v>3</v>
      </c>
      <c r="O50" s="2">
        <f t="shared" si="53"/>
        <v>1</v>
      </c>
      <c r="P50" s="2">
        <f t="shared" si="53"/>
        <v>0</v>
      </c>
      <c r="Q50" s="2">
        <f t="shared" si="53"/>
        <v>0</v>
      </c>
      <c r="R50" s="2">
        <f t="shared" si="53"/>
        <v>0</v>
      </c>
      <c r="S50" s="2">
        <f t="shared" si="53"/>
        <v>1</v>
      </c>
      <c r="T50" s="2">
        <f t="shared" si="53"/>
        <v>0</v>
      </c>
      <c r="U50" s="2">
        <f t="shared" si="53"/>
        <v>0</v>
      </c>
      <c r="V50" s="2">
        <f t="shared" si="53"/>
        <v>0</v>
      </c>
      <c r="W50" s="2">
        <f t="shared" si="53"/>
        <v>0</v>
      </c>
      <c r="X50" s="2">
        <f t="shared" si="53"/>
        <v>0</v>
      </c>
      <c r="Y50" s="2">
        <f t="shared" si="53"/>
        <v>0</v>
      </c>
      <c r="Z50" s="2">
        <f t="shared" si="53"/>
        <v>0</v>
      </c>
      <c r="AA50" s="2">
        <f t="shared" si="53"/>
        <v>0</v>
      </c>
      <c r="AB50" s="2">
        <f t="shared" ref="D50:AR56" si="54">BowlSplit(AB11,$C$43)</f>
        <v>0</v>
      </c>
      <c r="AC50" s="2">
        <f t="shared" si="54"/>
        <v>0</v>
      </c>
      <c r="AD50" s="2">
        <f t="shared" si="54"/>
        <v>0</v>
      </c>
      <c r="AE50" s="2">
        <f t="shared" si="54"/>
        <v>0</v>
      </c>
      <c r="AF50" s="2">
        <f t="shared" si="54"/>
        <v>0</v>
      </c>
      <c r="AG50" s="2">
        <f t="shared" si="54"/>
        <v>0</v>
      </c>
      <c r="AH50" s="2">
        <f t="shared" si="54"/>
        <v>0</v>
      </c>
      <c r="AI50" s="2">
        <f t="shared" si="54"/>
        <v>0</v>
      </c>
      <c r="AJ50" s="2">
        <f t="shared" si="54"/>
        <v>0</v>
      </c>
      <c r="AK50" s="2">
        <f t="shared" si="54"/>
        <v>0</v>
      </c>
      <c r="AL50" s="2">
        <f t="shared" si="54"/>
        <v>0</v>
      </c>
      <c r="AM50" s="2">
        <f t="shared" si="54"/>
        <v>0</v>
      </c>
      <c r="AN50" s="2">
        <f t="shared" si="54"/>
        <v>0</v>
      </c>
      <c r="AO50" s="2">
        <f t="shared" si="54"/>
        <v>0</v>
      </c>
      <c r="AP50" s="2">
        <f t="shared" si="54"/>
        <v>0</v>
      </c>
      <c r="AQ50" s="2">
        <f t="shared" si="54"/>
        <v>0</v>
      </c>
      <c r="AR50" s="2">
        <f t="shared" si="54"/>
        <v>0</v>
      </c>
    </row>
    <row r="51" spans="3:44" x14ac:dyDescent="0.15">
      <c r="C51" s="2">
        <f t="shared" si="52"/>
        <v>0</v>
      </c>
      <c r="D51" s="2">
        <f t="shared" si="54"/>
        <v>0</v>
      </c>
      <c r="E51" s="2">
        <f t="shared" si="54"/>
        <v>0</v>
      </c>
      <c r="F51" s="2">
        <f t="shared" si="54"/>
        <v>0</v>
      </c>
      <c r="G51" s="2">
        <f t="shared" si="54"/>
        <v>0</v>
      </c>
      <c r="H51" s="2">
        <f t="shared" si="54"/>
        <v>0</v>
      </c>
      <c r="I51" s="2">
        <f t="shared" si="54"/>
        <v>0</v>
      </c>
      <c r="J51" s="2">
        <f t="shared" si="54"/>
        <v>0</v>
      </c>
      <c r="K51" s="2">
        <f t="shared" si="54"/>
        <v>0</v>
      </c>
      <c r="L51" s="2">
        <f t="shared" si="54"/>
        <v>0</v>
      </c>
      <c r="M51" s="2">
        <f t="shared" si="54"/>
        <v>0</v>
      </c>
      <c r="N51" s="2">
        <f t="shared" si="54"/>
        <v>0</v>
      </c>
      <c r="O51" s="2">
        <f t="shared" si="54"/>
        <v>0</v>
      </c>
      <c r="P51" s="2">
        <f t="shared" si="54"/>
        <v>0</v>
      </c>
      <c r="Q51" s="2">
        <f t="shared" si="54"/>
        <v>0</v>
      </c>
      <c r="R51" s="2">
        <f t="shared" si="54"/>
        <v>0</v>
      </c>
      <c r="S51" s="2">
        <f t="shared" si="54"/>
        <v>0</v>
      </c>
      <c r="T51" s="2">
        <f t="shared" si="54"/>
        <v>0</v>
      </c>
      <c r="U51" s="2">
        <f t="shared" si="54"/>
        <v>0</v>
      </c>
      <c r="V51" s="2">
        <f t="shared" si="54"/>
        <v>0</v>
      </c>
      <c r="W51" s="2">
        <f t="shared" si="54"/>
        <v>0</v>
      </c>
      <c r="X51" s="2">
        <f t="shared" si="54"/>
        <v>0</v>
      </c>
      <c r="Y51" s="2">
        <f t="shared" si="54"/>
        <v>0</v>
      </c>
      <c r="Z51" s="2">
        <f t="shared" si="54"/>
        <v>0</v>
      </c>
      <c r="AA51" s="2">
        <f t="shared" si="54"/>
        <v>0</v>
      </c>
      <c r="AB51" s="2">
        <f t="shared" si="54"/>
        <v>0</v>
      </c>
      <c r="AC51" s="2">
        <f t="shared" si="54"/>
        <v>0</v>
      </c>
      <c r="AD51" s="2">
        <f t="shared" si="54"/>
        <v>0</v>
      </c>
      <c r="AE51" s="2">
        <f t="shared" si="54"/>
        <v>0</v>
      </c>
      <c r="AF51" s="2">
        <f t="shared" si="54"/>
        <v>0</v>
      </c>
      <c r="AG51" s="2">
        <f t="shared" si="54"/>
        <v>0</v>
      </c>
      <c r="AH51" s="2">
        <f t="shared" si="54"/>
        <v>0</v>
      </c>
      <c r="AI51" s="2">
        <f t="shared" si="54"/>
        <v>0</v>
      </c>
      <c r="AJ51" s="2">
        <f t="shared" si="54"/>
        <v>0</v>
      </c>
      <c r="AK51" s="2">
        <f t="shared" si="54"/>
        <v>0</v>
      </c>
      <c r="AL51" s="2">
        <f t="shared" si="54"/>
        <v>0</v>
      </c>
      <c r="AM51" s="2">
        <f t="shared" si="54"/>
        <v>0</v>
      </c>
      <c r="AN51" s="2">
        <f t="shared" si="54"/>
        <v>0</v>
      </c>
      <c r="AO51" s="2">
        <f t="shared" si="54"/>
        <v>0</v>
      </c>
      <c r="AP51" s="2">
        <f t="shared" si="54"/>
        <v>0</v>
      </c>
      <c r="AQ51" s="2">
        <f t="shared" si="54"/>
        <v>0</v>
      </c>
      <c r="AR51" s="2">
        <f t="shared" si="54"/>
        <v>0</v>
      </c>
    </row>
    <row r="52" spans="3:44" x14ac:dyDescent="0.15">
      <c r="C52" s="2">
        <f t="shared" si="52"/>
        <v>0</v>
      </c>
      <c r="D52" s="2">
        <f t="shared" si="54"/>
        <v>0</v>
      </c>
      <c r="E52" s="2">
        <f t="shared" si="54"/>
        <v>0</v>
      </c>
      <c r="F52" s="2">
        <f t="shared" si="54"/>
        <v>0</v>
      </c>
      <c r="G52" s="2">
        <f t="shared" si="54"/>
        <v>1</v>
      </c>
      <c r="H52" s="2">
        <f t="shared" si="54"/>
        <v>0</v>
      </c>
      <c r="I52" s="2">
        <f t="shared" si="54"/>
        <v>0</v>
      </c>
      <c r="J52" s="2">
        <f t="shared" si="54"/>
        <v>0</v>
      </c>
      <c r="K52" s="2">
        <f t="shared" si="54"/>
        <v>0</v>
      </c>
      <c r="L52" s="2">
        <f t="shared" si="54"/>
        <v>0</v>
      </c>
      <c r="M52" s="2">
        <f t="shared" si="54"/>
        <v>0</v>
      </c>
      <c r="N52" s="2">
        <f t="shared" si="54"/>
        <v>0</v>
      </c>
      <c r="O52" s="2">
        <f t="shared" si="54"/>
        <v>0</v>
      </c>
      <c r="P52" s="2">
        <f t="shared" si="54"/>
        <v>0</v>
      </c>
      <c r="Q52" s="2">
        <f t="shared" si="54"/>
        <v>0</v>
      </c>
      <c r="R52" s="2">
        <f t="shared" si="54"/>
        <v>0</v>
      </c>
      <c r="S52" s="2">
        <f t="shared" si="54"/>
        <v>0</v>
      </c>
      <c r="T52" s="2">
        <f t="shared" si="54"/>
        <v>0</v>
      </c>
      <c r="U52" s="2">
        <f t="shared" si="54"/>
        <v>0</v>
      </c>
      <c r="V52" s="2">
        <f t="shared" si="54"/>
        <v>0</v>
      </c>
      <c r="W52" s="2">
        <f t="shared" si="54"/>
        <v>0</v>
      </c>
      <c r="X52" s="2">
        <f t="shared" si="54"/>
        <v>0</v>
      </c>
      <c r="Y52" s="2">
        <f t="shared" si="54"/>
        <v>0</v>
      </c>
      <c r="Z52" s="2">
        <f t="shared" si="54"/>
        <v>0</v>
      </c>
      <c r="AA52" s="2">
        <f t="shared" si="54"/>
        <v>0</v>
      </c>
      <c r="AB52" s="2">
        <f t="shared" si="54"/>
        <v>0</v>
      </c>
      <c r="AC52" s="2">
        <f t="shared" si="54"/>
        <v>0</v>
      </c>
      <c r="AD52" s="2">
        <f t="shared" si="54"/>
        <v>0</v>
      </c>
      <c r="AE52" s="2">
        <f t="shared" si="54"/>
        <v>0</v>
      </c>
      <c r="AF52" s="2">
        <f t="shared" si="54"/>
        <v>0</v>
      </c>
      <c r="AG52" s="2">
        <f t="shared" si="54"/>
        <v>0</v>
      </c>
      <c r="AH52" s="2">
        <f t="shared" si="54"/>
        <v>0</v>
      </c>
      <c r="AI52" s="2">
        <f t="shared" si="54"/>
        <v>0</v>
      </c>
      <c r="AJ52" s="2">
        <f t="shared" si="54"/>
        <v>0</v>
      </c>
      <c r="AK52" s="2">
        <f t="shared" si="54"/>
        <v>0</v>
      </c>
      <c r="AL52" s="2">
        <f t="shared" si="54"/>
        <v>0</v>
      </c>
      <c r="AM52" s="2">
        <f t="shared" si="54"/>
        <v>0</v>
      </c>
      <c r="AN52" s="2">
        <f t="shared" si="54"/>
        <v>0</v>
      </c>
      <c r="AO52" s="2">
        <f t="shared" si="54"/>
        <v>0</v>
      </c>
      <c r="AP52" s="2">
        <f t="shared" si="54"/>
        <v>0</v>
      </c>
      <c r="AQ52" s="2">
        <f t="shared" si="54"/>
        <v>0</v>
      </c>
      <c r="AR52" s="2">
        <f t="shared" si="54"/>
        <v>0</v>
      </c>
    </row>
    <row r="53" spans="3:44" x14ac:dyDescent="0.15">
      <c r="C53" s="2">
        <f t="shared" si="52"/>
        <v>0</v>
      </c>
      <c r="D53" s="2">
        <f t="shared" si="54"/>
        <v>0</v>
      </c>
      <c r="E53" s="2">
        <f t="shared" si="54"/>
        <v>0</v>
      </c>
      <c r="F53" s="2">
        <f t="shared" si="54"/>
        <v>0</v>
      </c>
      <c r="G53" s="2">
        <f t="shared" si="54"/>
        <v>0</v>
      </c>
      <c r="H53" s="2">
        <f t="shared" si="54"/>
        <v>0</v>
      </c>
      <c r="I53" s="2">
        <f t="shared" si="54"/>
        <v>0</v>
      </c>
      <c r="J53" s="2">
        <f t="shared" si="54"/>
        <v>0</v>
      </c>
      <c r="K53" s="2">
        <f t="shared" si="54"/>
        <v>0</v>
      </c>
      <c r="L53" s="2">
        <f t="shared" si="54"/>
        <v>0</v>
      </c>
      <c r="M53" s="2">
        <f t="shared" si="54"/>
        <v>0</v>
      </c>
      <c r="N53" s="2">
        <f t="shared" si="54"/>
        <v>0</v>
      </c>
      <c r="O53" s="2">
        <f t="shared" si="54"/>
        <v>0</v>
      </c>
      <c r="P53" s="2">
        <f t="shared" si="54"/>
        <v>0</v>
      </c>
      <c r="Q53" s="2">
        <f t="shared" si="54"/>
        <v>0</v>
      </c>
      <c r="R53" s="2">
        <f t="shared" si="54"/>
        <v>0</v>
      </c>
      <c r="S53" s="2">
        <f t="shared" si="54"/>
        <v>0</v>
      </c>
      <c r="T53" s="2">
        <f t="shared" si="54"/>
        <v>0</v>
      </c>
      <c r="U53" s="2">
        <f t="shared" si="54"/>
        <v>0</v>
      </c>
      <c r="V53" s="2">
        <f t="shared" si="54"/>
        <v>0</v>
      </c>
      <c r="W53" s="2">
        <f t="shared" si="54"/>
        <v>0</v>
      </c>
      <c r="X53" s="2">
        <f t="shared" si="54"/>
        <v>0</v>
      </c>
      <c r="Y53" s="2">
        <f t="shared" si="54"/>
        <v>0</v>
      </c>
      <c r="Z53" s="2">
        <f t="shared" si="54"/>
        <v>0</v>
      </c>
      <c r="AA53" s="2">
        <f t="shared" si="54"/>
        <v>0</v>
      </c>
      <c r="AB53" s="2">
        <f t="shared" si="54"/>
        <v>0</v>
      </c>
      <c r="AC53" s="2">
        <f t="shared" si="54"/>
        <v>0</v>
      </c>
      <c r="AD53" s="2">
        <f t="shared" si="54"/>
        <v>0</v>
      </c>
      <c r="AE53" s="2">
        <f t="shared" si="54"/>
        <v>0</v>
      </c>
      <c r="AF53" s="2">
        <f t="shared" si="54"/>
        <v>0</v>
      </c>
      <c r="AG53" s="2">
        <f t="shared" si="54"/>
        <v>0</v>
      </c>
      <c r="AH53" s="2">
        <f t="shared" si="54"/>
        <v>0</v>
      </c>
      <c r="AI53" s="2">
        <f t="shared" si="54"/>
        <v>0</v>
      </c>
      <c r="AJ53" s="2">
        <f t="shared" si="54"/>
        <v>0</v>
      </c>
      <c r="AK53" s="2">
        <f t="shared" si="54"/>
        <v>0</v>
      </c>
      <c r="AL53" s="2">
        <f t="shared" si="54"/>
        <v>0</v>
      </c>
      <c r="AM53" s="2">
        <f t="shared" si="54"/>
        <v>0</v>
      </c>
      <c r="AN53" s="2">
        <f t="shared" si="54"/>
        <v>0</v>
      </c>
      <c r="AO53" s="2">
        <f t="shared" si="54"/>
        <v>0</v>
      </c>
      <c r="AP53" s="2">
        <f t="shared" si="54"/>
        <v>0</v>
      </c>
      <c r="AQ53" s="2">
        <f t="shared" si="54"/>
        <v>0</v>
      </c>
      <c r="AR53" s="2">
        <f t="shared" si="54"/>
        <v>0</v>
      </c>
    </row>
    <row r="54" spans="3:44" x14ac:dyDescent="0.15">
      <c r="C54" s="2">
        <f t="shared" si="52"/>
        <v>0</v>
      </c>
      <c r="D54" s="2">
        <f t="shared" si="54"/>
        <v>0</v>
      </c>
      <c r="E54" s="2">
        <f t="shared" si="54"/>
        <v>0</v>
      </c>
      <c r="F54" s="2">
        <f t="shared" si="54"/>
        <v>0</v>
      </c>
      <c r="G54" s="2">
        <f t="shared" si="54"/>
        <v>0</v>
      </c>
      <c r="H54" s="2">
        <f t="shared" si="54"/>
        <v>0</v>
      </c>
      <c r="I54" s="2">
        <f t="shared" si="54"/>
        <v>0</v>
      </c>
      <c r="J54" s="2">
        <f t="shared" si="54"/>
        <v>0</v>
      </c>
      <c r="K54" s="2">
        <f t="shared" si="54"/>
        <v>0</v>
      </c>
      <c r="L54" s="2">
        <f t="shared" si="54"/>
        <v>0</v>
      </c>
      <c r="M54" s="2">
        <f t="shared" si="54"/>
        <v>0</v>
      </c>
      <c r="N54" s="2">
        <f t="shared" si="54"/>
        <v>0</v>
      </c>
      <c r="O54" s="2">
        <f t="shared" si="54"/>
        <v>0</v>
      </c>
      <c r="P54" s="2">
        <f t="shared" si="54"/>
        <v>0</v>
      </c>
      <c r="Q54" s="2">
        <f t="shared" si="54"/>
        <v>0</v>
      </c>
      <c r="R54" s="2">
        <f t="shared" si="54"/>
        <v>0</v>
      </c>
      <c r="S54" s="2">
        <f t="shared" si="54"/>
        <v>0</v>
      </c>
      <c r="T54" s="2">
        <f t="shared" si="54"/>
        <v>1</v>
      </c>
      <c r="U54" s="2">
        <f t="shared" si="54"/>
        <v>0</v>
      </c>
      <c r="V54" s="2">
        <f t="shared" si="54"/>
        <v>0</v>
      </c>
      <c r="W54" s="2">
        <f t="shared" si="54"/>
        <v>0</v>
      </c>
      <c r="X54" s="2">
        <f t="shared" si="54"/>
        <v>0</v>
      </c>
      <c r="Y54" s="2">
        <f t="shared" si="54"/>
        <v>0</v>
      </c>
      <c r="Z54" s="2">
        <f t="shared" si="54"/>
        <v>0</v>
      </c>
      <c r="AA54" s="2">
        <f t="shared" si="54"/>
        <v>0</v>
      </c>
      <c r="AB54" s="2">
        <f t="shared" si="54"/>
        <v>0</v>
      </c>
      <c r="AC54" s="2">
        <f t="shared" si="54"/>
        <v>0</v>
      </c>
      <c r="AD54" s="2">
        <f t="shared" si="54"/>
        <v>0</v>
      </c>
      <c r="AE54" s="2">
        <f t="shared" si="54"/>
        <v>0</v>
      </c>
      <c r="AF54" s="2">
        <f t="shared" si="54"/>
        <v>0</v>
      </c>
      <c r="AG54" s="2">
        <f t="shared" si="54"/>
        <v>0</v>
      </c>
      <c r="AH54" s="2">
        <f t="shared" si="54"/>
        <v>0</v>
      </c>
      <c r="AI54" s="2">
        <f t="shared" si="54"/>
        <v>0</v>
      </c>
      <c r="AJ54" s="2">
        <f t="shared" si="54"/>
        <v>0</v>
      </c>
      <c r="AK54" s="2">
        <f t="shared" si="54"/>
        <v>0</v>
      </c>
      <c r="AL54" s="2">
        <f t="shared" si="54"/>
        <v>0</v>
      </c>
      <c r="AM54" s="2">
        <f t="shared" si="54"/>
        <v>0</v>
      </c>
      <c r="AN54" s="2">
        <f t="shared" si="54"/>
        <v>0</v>
      </c>
      <c r="AO54" s="2">
        <f t="shared" si="54"/>
        <v>0</v>
      </c>
      <c r="AP54" s="2">
        <f t="shared" si="54"/>
        <v>0</v>
      </c>
      <c r="AQ54" s="2">
        <f t="shared" si="54"/>
        <v>0</v>
      </c>
      <c r="AR54" s="2">
        <f t="shared" si="54"/>
        <v>0</v>
      </c>
    </row>
    <row r="55" spans="3:44" x14ac:dyDescent="0.15">
      <c r="C55" s="2">
        <f t="shared" si="52"/>
        <v>0</v>
      </c>
      <c r="D55" s="2">
        <f t="shared" si="54"/>
        <v>0</v>
      </c>
      <c r="E55" s="2">
        <f t="shared" si="54"/>
        <v>0</v>
      </c>
      <c r="F55" s="2">
        <f t="shared" si="54"/>
        <v>0</v>
      </c>
      <c r="G55" s="2">
        <f t="shared" si="54"/>
        <v>0</v>
      </c>
      <c r="H55" s="2">
        <f t="shared" si="54"/>
        <v>0</v>
      </c>
      <c r="I55" s="2">
        <f t="shared" si="54"/>
        <v>0</v>
      </c>
      <c r="J55" s="2">
        <f t="shared" si="54"/>
        <v>0</v>
      </c>
      <c r="K55" s="2">
        <f t="shared" si="54"/>
        <v>0</v>
      </c>
      <c r="L55" s="2">
        <f t="shared" si="54"/>
        <v>0</v>
      </c>
      <c r="M55" s="2">
        <f t="shared" si="54"/>
        <v>0</v>
      </c>
      <c r="N55" s="2">
        <f t="shared" si="54"/>
        <v>0</v>
      </c>
      <c r="O55" s="2">
        <f t="shared" si="54"/>
        <v>0</v>
      </c>
      <c r="P55" s="2">
        <f t="shared" si="54"/>
        <v>0</v>
      </c>
      <c r="Q55" s="2">
        <f t="shared" si="54"/>
        <v>0</v>
      </c>
      <c r="R55" s="2">
        <f t="shared" si="54"/>
        <v>0</v>
      </c>
      <c r="S55" s="2">
        <f t="shared" si="54"/>
        <v>0</v>
      </c>
      <c r="T55" s="2">
        <f t="shared" si="54"/>
        <v>0</v>
      </c>
      <c r="U55" s="2">
        <f t="shared" si="54"/>
        <v>0</v>
      </c>
      <c r="V55" s="2">
        <f t="shared" si="54"/>
        <v>0</v>
      </c>
      <c r="W55" s="2">
        <f t="shared" si="54"/>
        <v>0</v>
      </c>
      <c r="X55" s="2">
        <f t="shared" si="54"/>
        <v>0</v>
      </c>
      <c r="Y55" s="2">
        <f t="shared" si="54"/>
        <v>0</v>
      </c>
      <c r="Z55" s="2">
        <f t="shared" si="54"/>
        <v>0</v>
      </c>
      <c r="AA55" s="2">
        <f t="shared" si="54"/>
        <v>0</v>
      </c>
      <c r="AB55" s="2">
        <f t="shared" si="54"/>
        <v>0</v>
      </c>
      <c r="AC55" s="2">
        <f t="shared" si="54"/>
        <v>0</v>
      </c>
      <c r="AD55" s="2">
        <f t="shared" si="54"/>
        <v>0</v>
      </c>
      <c r="AE55" s="2">
        <f t="shared" si="54"/>
        <v>0</v>
      </c>
      <c r="AF55" s="2">
        <f t="shared" si="54"/>
        <v>0</v>
      </c>
      <c r="AG55" s="2">
        <f t="shared" si="54"/>
        <v>0</v>
      </c>
      <c r="AH55" s="2">
        <f t="shared" si="54"/>
        <v>0</v>
      </c>
      <c r="AI55" s="2">
        <f t="shared" si="54"/>
        <v>0</v>
      </c>
      <c r="AJ55" s="2">
        <f t="shared" si="54"/>
        <v>0</v>
      </c>
      <c r="AK55" s="2">
        <f t="shared" si="54"/>
        <v>0</v>
      </c>
      <c r="AL55" s="2">
        <f t="shared" si="54"/>
        <v>0</v>
      </c>
      <c r="AM55" s="2">
        <f t="shared" si="54"/>
        <v>0</v>
      </c>
      <c r="AN55" s="2">
        <f t="shared" si="54"/>
        <v>0</v>
      </c>
      <c r="AO55" s="2">
        <f t="shared" si="54"/>
        <v>0</v>
      </c>
      <c r="AP55" s="2">
        <f t="shared" si="54"/>
        <v>0</v>
      </c>
      <c r="AQ55" s="2">
        <f t="shared" si="54"/>
        <v>0</v>
      </c>
      <c r="AR55" s="2">
        <f t="shared" si="54"/>
        <v>0</v>
      </c>
    </row>
    <row r="56" spans="3:44" x14ac:dyDescent="0.15">
      <c r="C56" s="2">
        <f t="shared" si="52"/>
        <v>0</v>
      </c>
      <c r="D56" s="2">
        <f t="shared" si="54"/>
        <v>0</v>
      </c>
      <c r="E56" s="2">
        <f t="shared" si="54"/>
        <v>0</v>
      </c>
      <c r="F56" s="2">
        <f t="shared" si="54"/>
        <v>0</v>
      </c>
      <c r="G56" s="2">
        <f t="shared" si="54"/>
        <v>0</v>
      </c>
      <c r="H56" s="2">
        <f t="shared" si="54"/>
        <v>0</v>
      </c>
      <c r="I56" s="2">
        <f t="shared" si="54"/>
        <v>0</v>
      </c>
      <c r="J56" s="2">
        <f t="shared" si="54"/>
        <v>0</v>
      </c>
      <c r="K56" s="2">
        <f t="shared" si="54"/>
        <v>0</v>
      </c>
      <c r="L56" s="2">
        <f t="shared" si="54"/>
        <v>0</v>
      </c>
      <c r="M56" s="2">
        <f t="shared" si="54"/>
        <v>0</v>
      </c>
      <c r="N56" s="2">
        <f t="shared" si="54"/>
        <v>0</v>
      </c>
      <c r="O56" s="2">
        <f t="shared" si="54"/>
        <v>0</v>
      </c>
      <c r="P56" s="2">
        <f t="shared" si="54"/>
        <v>0</v>
      </c>
      <c r="Q56" s="2">
        <f t="shared" si="54"/>
        <v>0</v>
      </c>
      <c r="R56" s="2">
        <f t="shared" si="54"/>
        <v>0</v>
      </c>
      <c r="S56" s="2">
        <f t="shared" si="54"/>
        <v>0</v>
      </c>
      <c r="T56" s="2">
        <f t="shared" si="54"/>
        <v>0</v>
      </c>
      <c r="U56" s="2">
        <f t="shared" si="54"/>
        <v>0</v>
      </c>
      <c r="V56" s="2">
        <f t="shared" si="54"/>
        <v>0</v>
      </c>
      <c r="W56" s="2">
        <f t="shared" si="54"/>
        <v>0</v>
      </c>
      <c r="X56" s="2">
        <f t="shared" si="54"/>
        <v>0</v>
      </c>
      <c r="Y56" s="2">
        <f t="shared" si="54"/>
        <v>0</v>
      </c>
      <c r="Z56" s="2">
        <f t="shared" si="54"/>
        <v>0</v>
      </c>
      <c r="AA56" s="2">
        <f t="shared" si="54"/>
        <v>0</v>
      </c>
      <c r="AB56" s="2">
        <f t="shared" si="54"/>
        <v>0</v>
      </c>
      <c r="AC56" s="2">
        <f t="shared" si="54"/>
        <v>0</v>
      </c>
      <c r="AD56" s="2">
        <f t="shared" si="54"/>
        <v>0</v>
      </c>
      <c r="AE56" s="2">
        <f t="shared" si="54"/>
        <v>0</v>
      </c>
      <c r="AF56" s="2">
        <f t="shared" si="54"/>
        <v>0</v>
      </c>
      <c r="AG56" s="2">
        <f t="shared" si="54"/>
        <v>0</v>
      </c>
      <c r="AH56" s="2">
        <f t="shared" si="54"/>
        <v>0</v>
      </c>
      <c r="AI56" s="2">
        <f t="shared" si="54"/>
        <v>0</v>
      </c>
      <c r="AJ56" s="2">
        <f t="shared" si="54"/>
        <v>0</v>
      </c>
      <c r="AK56" s="2">
        <f t="shared" ref="D56:AR63" si="55">BowlSplit(AK17,$C$43)</f>
        <v>0</v>
      </c>
      <c r="AL56" s="2">
        <f t="shared" si="55"/>
        <v>0</v>
      </c>
      <c r="AM56" s="2">
        <f t="shared" si="55"/>
        <v>0</v>
      </c>
      <c r="AN56" s="2">
        <f t="shared" si="55"/>
        <v>0</v>
      </c>
      <c r="AO56" s="2">
        <f t="shared" si="55"/>
        <v>0</v>
      </c>
      <c r="AP56" s="2">
        <f t="shared" si="55"/>
        <v>0</v>
      </c>
      <c r="AQ56" s="2">
        <f t="shared" si="55"/>
        <v>0</v>
      </c>
      <c r="AR56" s="2">
        <f t="shared" si="55"/>
        <v>0</v>
      </c>
    </row>
    <row r="57" spans="3:44" x14ac:dyDescent="0.15">
      <c r="C57" s="2">
        <f t="shared" si="52"/>
        <v>0</v>
      </c>
      <c r="D57" s="2">
        <f t="shared" si="55"/>
        <v>0</v>
      </c>
      <c r="E57" s="2">
        <f t="shared" si="55"/>
        <v>0</v>
      </c>
      <c r="F57" s="2">
        <f t="shared" si="55"/>
        <v>0</v>
      </c>
      <c r="G57" s="2">
        <f t="shared" si="55"/>
        <v>0</v>
      </c>
      <c r="H57" s="2">
        <f t="shared" si="55"/>
        <v>0</v>
      </c>
      <c r="I57" s="2">
        <f t="shared" si="55"/>
        <v>0</v>
      </c>
      <c r="J57" s="2">
        <f t="shared" si="55"/>
        <v>0</v>
      </c>
      <c r="K57" s="2">
        <f t="shared" si="55"/>
        <v>0</v>
      </c>
      <c r="L57" s="2">
        <f t="shared" si="55"/>
        <v>0</v>
      </c>
      <c r="M57" s="2">
        <f t="shared" si="55"/>
        <v>0</v>
      </c>
      <c r="N57" s="2">
        <f t="shared" si="55"/>
        <v>0</v>
      </c>
      <c r="O57" s="2">
        <f t="shared" si="55"/>
        <v>0</v>
      </c>
      <c r="P57" s="2">
        <f t="shared" si="55"/>
        <v>0</v>
      </c>
      <c r="Q57" s="2">
        <f t="shared" si="55"/>
        <v>0</v>
      </c>
      <c r="R57" s="2">
        <f t="shared" si="55"/>
        <v>0</v>
      </c>
      <c r="S57" s="2">
        <f t="shared" si="55"/>
        <v>0</v>
      </c>
      <c r="T57" s="2">
        <f t="shared" si="55"/>
        <v>0</v>
      </c>
      <c r="U57" s="2">
        <f t="shared" si="55"/>
        <v>0</v>
      </c>
      <c r="V57" s="2">
        <f t="shared" si="55"/>
        <v>0</v>
      </c>
      <c r="W57" s="2">
        <f t="shared" si="55"/>
        <v>0</v>
      </c>
      <c r="X57" s="2">
        <f t="shared" si="55"/>
        <v>0</v>
      </c>
      <c r="Y57" s="2">
        <f t="shared" si="55"/>
        <v>0</v>
      </c>
      <c r="Z57" s="2">
        <f t="shared" si="55"/>
        <v>0</v>
      </c>
      <c r="AA57" s="2">
        <f t="shared" si="55"/>
        <v>0</v>
      </c>
      <c r="AB57" s="2">
        <f t="shared" si="55"/>
        <v>0</v>
      </c>
      <c r="AC57" s="2">
        <f t="shared" si="55"/>
        <v>0</v>
      </c>
      <c r="AD57" s="2">
        <f t="shared" si="55"/>
        <v>0</v>
      </c>
      <c r="AE57" s="2">
        <f t="shared" si="55"/>
        <v>0</v>
      </c>
      <c r="AF57" s="2">
        <f t="shared" si="55"/>
        <v>0</v>
      </c>
      <c r="AG57" s="2">
        <f t="shared" si="55"/>
        <v>0</v>
      </c>
      <c r="AH57" s="2">
        <f t="shared" si="55"/>
        <v>0</v>
      </c>
      <c r="AI57" s="2">
        <f t="shared" si="55"/>
        <v>0</v>
      </c>
      <c r="AJ57" s="2">
        <f t="shared" si="55"/>
        <v>0</v>
      </c>
      <c r="AK57" s="2">
        <f t="shared" si="55"/>
        <v>0</v>
      </c>
      <c r="AL57" s="2">
        <f t="shared" si="55"/>
        <v>0</v>
      </c>
      <c r="AM57" s="2">
        <f t="shared" si="55"/>
        <v>0</v>
      </c>
      <c r="AN57" s="2">
        <f t="shared" si="55"/>
        <v>0</v>
      </c>
      <c r="AO57" s="2">
        <f t="shared" si="55"/>
        <v>0</v>
      </c>
      <c r="AP57" s="2">
        <f t="shared" si="55"/>
        <v>0</v>
      </c>
      <c r="AQ57" s="2">
        <f t="shared" si="55"/>
        <v>0</v>
      </c>
      <c r="AR57" s="2">
        <f t="shared" si="55"/>
        <v>0</v>
      </c>
    </row>
    <row r="58" spans="3:44" x14ac:dyDescent="0.15">
      <c r="C58" s="2">
        <f t="shared" si="52"/>
        <v>0</v>
      </c>
      <c r="D58" s="2">
        <f t="shared" si="55"/>
        <v>0</v>
      </c>
      <c r="E58" s="2">
        <f t="shared" si="55"/>
        <v>0</v>
      </c>
      <c r="F58" s="2">
        <f t="shared" si="55"/>
        <v>0</v>
      </c>
      <c r="G58" s="2">
        <f t="shared" si="55"/>
        <v>0</v>
      </c>
      <c r="H58" s="2">
        <f t="shared" si="55"/>
        <v>0</v>
      </c>
      <c r="I58" s="2">
        <f t="shared" si="55"/>
        <v>0</v>
      </c>
      <c r="J58" s="2">
        <f t="shared" si="55"/>
        <v>0</v>
      </c>
      <c r="K58" s="2">
        <f t="shared" si="55"/>
        <v>0</v>
      </c>
      <c r="L58" s="2">
        <f t="shared" si="55"/>
        <v>0</v>
      </c>
      <c r="M58" s="2">
        <f t="shared" si="55"/>
        <v>0</v>
      </c>
      <c r="N58" s="2">
        <f t="shared" si="55"/>
        <v>0</v>
      </c>
      <c r="O58" s="2">
        <f t="shared" si="55"/>
        <v>0</v>
      </c>
      <c r="P58" s="2">
        <f t="shared" si="55"/>
        <v>0</v>
      </c>
      <c r="Q58" s="2">
        <f t="shared" si="55"/>
        <v>0</v>
      </c>
      <c r="R58" s="2">
        <f t="shared" si="55"/>
        <v>0</v>
      </c>
      <c r="S58" s="2">
        <f t="shared" si="55"/>
        <v>0</v>
      </c>
      <c r="T58" s="2">
        <f t="shared" si="55"/>
        <v>0</v>
      </c>
      <c r="U58" s="2">
        <f t="shared" si="55"/>
        <v>0</v>
      </c>
      <c r="V58" s="2">
        <f t="shared" si="55"/>
        <v>0</v>
      </c>
      <c r="W58" s="2">
        <f t="shared" si="55"/>
        <v>0</v>
      </c>
      <c r="X58" s="2">
        <f t="shared" si="55"/>
        <v>0</v>
      </c>
      <c r="Y58" s="2">
        <f t="shared" si="55"/>
        <v>0</v>
      </c>
      <c r="Z58" s="2">
        <f t="shared" si="55"/>
        <v>0</v>
      </c>
      <c r="AA58" s="2">
        <f t="shared" si="55"/>
        <v>0</v>
      </c>
      <c r="AB58" s="2">
        <f t="shared" si="55"/>
        <v>0</v>
      </c>
      <c r="AC58" s="2">
        <f t="shared" si="55"/>
        <v>0</v>
      </c>
      <c r="AD58" s="2">
        <f t="shared" si="55"/>
        <v>0</v>
      </c>
      <c r="AE58" s="2">
        <f t="shared" si="55"/>
        <v>0</v>
      </c>
      <c r="AF58" s="2">
        <f t="shared" si="55"/>
        <v>0</v>
      </c>
      <c r="AG58" s="2">
        <f t="shared" si="55"/>
        <v>0</v>
      </c>
      <c r="AH58" s="2">
        <f t="shared" si="55"/>
        <v>0</v>
      </c>
      <c r="AI58" s="2">
        <f t="shared" si="55"/>
        <v>0</v>
      </c>
      <c r="AJ58" s="2">
        <f t="shared" si="55"/>
        <v>0</v>
      </c>
      <c r="AK58" s="2">
        <f t="shared" si="55"/>
        <v>0</v>
      </c>
      <c r="AL58" s="2">
        <f t="shared" si="55"/>
        <v>0</v>
      </c>
      <c r="AM58" s="2">
        <f t="shared" si="55"/>
        <v>0</v>
      </c>
      <c r="AN58" s="2">
        <f t="shared" si="55"/>
        <v>0</v>
      </c>
      <c r="AO58" s="2">
        <f t="shared" si="55"/>
        <v>0</v>
      </c>
      <c r="AP58" s="2">
        <f t="shared" si="55"/>
        <v>0</v>
      </c>
      <c r="AQ58" s="2">
        <f t="shared" si="55"/>
        <v>0</v>
      </c>
      <c r="AR58" s="2">
        <f t="shared" si="55"/>
        <v>0</v>
      </c>
    </row>
    <row r="59" spans="3:44" x14ac:dyDescent="0.15">
      <c r="C59" s="2">
        <f t="shared" si="52"/>
        <v>0</v>
      </c>
      <c r="D59" s="2">
        <f t="shared" si="55"/>
        <v>0</v>
      </c>
      <c r="E59" s="2">
        <f t="shared" si="55"/>
        <v>0</v>
      </c>
      <c r="F59" s="2">
        <f t="shared" si="55"/>
        <v>0</v>
      </c>
      <c r="G59" s="2">
        <f t="shared" si="55"/>
        <v>0</v>
      </c>
      <c r="H59" s="2">
        <f t="shared" si="55"/>
        <v>0</v>
      </c>
      <c r="I59" s="2">
        <f t="shared" si="55"/>
        <v>0</v>
      </c>
      <c r="J59" s="2">
        <f t="shared" si="55"/>
        <v>0</v>
      </c>
      <c r="K59" s="2">
        <f t="shared" si="55"/>
        <v>0</v>
      </c>
      <c r="L59" s="2">
        <f t="shared" si="55"/>
        <v>0</v>
      </c>
      <c r="M59" s="2">
        <f t="shared" si="55"/>
        <v>0</v>
      </c>
      <c r="N59" s="2">
        <f t="shared" si="55"/>
        <v>0</v>
      </c>
      <c r="O59" s="2">
        <f t="shared" si="55"/>
        <v>0</v>
      </c>
      <c r="P59" s="2">
        <f t="shared" si="55"/>
        <v>0</v>
      </c>
      <c r="Q59" s="2">
        <f t="shared" si="55"/>
        <v>0</v>
      </c>
      <c r="R59" s="2">
        <f t="shared" si="55"/>
        <v>0</v>
      </c>
      <c r="S59" s="2">
        <f t="shared" si="55"/>
        <v>0</v>
      </c>
      <c r="T59" s="2">
        <f t="shared" si="55"/>
        <v>0</v>
      </c>
      <c r="U59" s="2">
        <f t="shared" si="55"/>
        <v>0</v>
      </c>
      <c r="V59" s="2">
        <f t="shared" si="55"/>
        <v>0</v>
      </c>
      <c r="W59" s="2">
        <f t="shared" si="55"/>
        <v>0</v>
      </c>
      <c r="X59" s="2">
        <f t="shared" si="55"/>
        <v>0</v>
      </c>
      <c r="Y59" s="2">
        <f t="shared" si="55"/>
        <v>0</v>
      </c>
      <c r="Z59" s="2">
        <f t="shared" si="55"/>
        <v>0</v>
      </c>
      <c r="AA59" s="2">
        <f t="shared" si="55"/>
        <v>0</v>
      </c>
      <c r="AB59" s="2">
        <f t="shared" si="55"/>
        <v>0</v>
      </c>
      <c r="AC59" s="2">
        <f t="shared" si="55"/>
        <v>0</v>
      </c>
      <c r="AD59" s="2">
        <f t="shared" si="55"/>
        <v>0</v>
      </c>
      <c r="AE59" s="2">
        <f t="shared" si="55"/>
        <v>0</v>
      </c>
      <c r="AF59" s="2">
        <f t="shared" si="55"/>
        <v>0</v>
      </c>
      <c r="AG59" s="2">
        <f t="shared" si="55"/>
        <v>0</v>
      </c>
      <c r="AH59" s="2">
        <f t="shared" si="55"/>
        <v>0</v>
      </c>
      <c r="AI59" s="2">
        <f t="shared" si="55"/>
        <v>0</v>
      </c>
      <c r="AJ59" s="2">
        <f t="shared" si="55"/>
        <v>0</v>
      </c>
      <c r="AK59" s="2">
        <f t="shared" si="55"/>
        <v>0</v>
      </c>
      <c r="AL59" s="2">
        <f t="shared" si="55"/>
        <v>0</v>
      </c>
      <c r="AM59" s="2">
        <f t="shared" si="55"/>
        <v>0</v>
      </c>
      <c r="AN59" s="2">
        <f t="shared" si="55"/>
        <v>0</v>
      </c>
      <c r="AO59" s="2">
        <f t="shared" si="55"/>
        <v>0</v>
      </c>
      <c r="AP59" s="2">
        <f t="shared" si="55"/>
        <v>0</v>
      </c>
      <c r="AQ59" s="2">
        <f t="shared" si="55"/>
        <v>0</v>
      </c>
      <c r="AR59" s="2">
        <f t="shared" si="55"/>
        <v>0</v>
      </c>
    </row>
    <row r="60" spans="3:44" x14ac:dyDescent="0.15">
      <c r="C60" s="2">
        <f t="shared" si="52"/>
        <v>0</v>
      </c>
      <c r="D60" s="2">
        <f t="shared" si="55"/>
        <v>0</v>
      </c>
      <c r="E60" s="2">
        <f t="shared" si="55"/>
        <v>0</v>
      </c>
      <c r="F60" s="2">
        <f t="shared" si="55"/>
        <v>0</v>
      </c>
      <c r="G60" s="2">
        <f t="shared" si="55"/>
        <v>1</v>
      </c>
      <c r="H60" s="2">
        <f t="shared" si="55"/>
        <v>0</v>
      </c>
      <c r="I60" s="2">
        <f t="shared" si="55"/>
        <v>0</v>
      </c>
      <c r="J60" s="2">
        <f t="shared" si="55"/>
        <v>0</v>
      </c>
      <c r="K60" s="2">
        <f t="shared" si="55"/>
        <v>0</v>
      </c>
      <c r="L60" s="2">
        <f t="shared" si="55"/>
        <v>0</v>
      </c>
      <c r="M60" s="2">
        <f t="shared" si="55"/>
        <v>0</v>
      </c>
      <c r="N60" s="2">
        <f t="shared" si="55"/>
        <v>0</v>
      </c>
      <c r="O60" s="2">
        <f t="shared" si="55"/>
        <v>0</v>
      </c>
      <c r="P60" s="2">
        <f t="shared" si="55"/>
        <v>0</v>
      </c>
      <c r="Q60" s="2">
        <f t="shared" si="55"/>
        <v>0</v>
      </c>
      <c r="R60" s="2">
        <f t="shared" si="55"/>
        <v>0</v>
      </c>
      <c r="S60" s="2">
        <f t="shared" si="55"/>
        <v>0</v>
      </c>
      <c r="T60" s="2">
        <f t="shared" si="55"/>
        <v>0</v>
      </c>
      <c r="U60" s="2">
        <f t="shared" si="55"/>
        <v>0</v>
      </c>
      <c r="V60" s="2">
        <f t="shared" si="55"/>
        <v>0</v>
      </c>
      <c r="W60" s="2">
        <f t="shared" si="55"/>
        <v>0</v>
      </c>
      <c r="X60" s="2">
        <f t="shared" si="55"/>
        <v>0</v>
      </c>
      <c r="Y60" s="2">
        <f t="shared" si="55"/>
        <v>0</v>
      </c>
      <c r="Z60" s="2">
        <f t="shared" si="55"/>
        <v>0</v>
      </c>
      <c r="AA60" s="2">
        <f t="shared" si="55"/>
        <v>0</v>
      </c>
      <c r="AB60" s="2">
        <f t="shared" si="55"/>
        <v>0</v>
      </c>
      <c r="AC60" s="2">
        <f t="shared" si="55"/>
        <v>0</v>
      </c>
      <c r="AD60" s="2">
        <f t="shared" si="55"/>
        <v>0</v>
      </c>
      <c r="AE60" s="2">
        <f t="shared" si="55"/>
        <v>0</v>
      </c>
      <c r="AF60" s="2">
        <f t="shared" si="55"/>
        <v>0</v>
      </c>
      <c r="AG60" s="2">
        <f t="shared" si="55"/>
        <v>0</v>
      </c>
      <c r="AH60" s="2">
        <f t="shared" si="55"/>
        <v>0</v>
      </c>
      <c r="AI60" s="2">
        <f t="shared" si="55"/>
        <v>0</v>
      </c>
      <c r="AJ60" s="2">
        <f t="shared" si="55"/>
        <v>0</v>
      </c>
      <c r="AK60" s="2">
        <f t="shared" si="55"/>
        <v>0</v>
      </c>
      <c r="AL60" s="2">
        <f t="shared" si="55"/>
        <v>0</v>
      </c>
      <c r="AM60" s="2">
        <f t="shared" si="55"/>
        <v>0</v>
      </c>
      <c r="AN60" s="2">
        <f t="shared" si="55"/>
        <v>0</v>
      </c>
      <c r="AO60" s="2">
        <f t="shared" si="55"/>
        <v>0</v>
      </c>
      <c r="AP60" s="2">
        <f t="shared" si="55"/>
        <v>0</v>
      </c>
      <c r="AQ60" s="2">
        <f t="shared" si="55"/>
        <v>0</v>
      </c>
      <c r="AR60" s="2">
        <f t="shared" si="55"/>
        <v>0</v>
      </c>
    </row>
    <row r="61" spans="3:44" x14ac:dyDescent="0.15">
      <c r="C61" s="2">
        <f t="shared" si="52"/>
        <v>2</v>
      </c>
      <c r="D61" s="2">
        <f t="shared" si="55"/>
        <v>3</v>
      </c>
      <c r="E61" s="2">
        <f t="shared" si="55"/>
        <v>1</v>
      </c>
      <c r="F61" s="2">
        <f t="shared" si="55"/>
        <v>1</v>
      </c>
      <c r="G61" s="2">
        <f t="shared" si="55"/>
        <v>0</v>
      </c>
      <c r="H61" s="2">
        <f t="shared" si="55"/>
        <v>2</v>
      </c>
      <c r="I61" s="2">
        <f t="shared" si="55"/>
        <v>0</v>
      </c>
      <c r="J61" s="2">
        <f t="shared" si="55"/>
        <v>0</v>
      </c>
      <c r="K61" s="2">
        <f t="shared" si="55"/>
        <v>3</v>
      </c>
      <c r="L61" s="2">
        <f t="shared" si="55"/>
        <v>1</v>
      </c>
      <c r="M61" s="2">
        <f t="shared" si="55"/>
        <v>1</v>
      </c>
      <c r="N61" s="2">
        <f t="shared" si="55"/>
        <v>4</v>
      </c>
      <c r="O61" s="2">
        <f t="shared" si="55"/>
        <v>0</v>
      </c>
      <c r="P61" s="2">
        <f t="shared" si="55"/>
        <v>0</v>
      </c>
      <c r="Q61" s="2">
        <f t="shared" si="55"/>
        <v>0</v>
      </c>
      <c r="R61" s="2">
        <f t="shared" si="55"/>
        <v>3</v>
      </c>
      <c r="S61" s="2">
        <f t="shared" si="55"/>
        <v>1</v>
      </c>
      <c r="T61" s="2">
        <f t="shared" si="55"/>
        <v>2</v>
      </c>
      <c r="U61" s="2">
        <f t="shared" si="55"/>
        <v>1</v>
      </c>
      <c r="V61" s="2">
        <f t="shared" si="55"/>
        <v>4</v>
      </c>
      <c r="W61" s="2">
        <f t="shared" si="55"/>
        <v>1</v>
      </c>
      <c r="X61" s="2">
        <f t="shared" si="55"/>
        <v>0</v>
      </c>
      <c r="Y61" s="2">
        <f t="shared" si="55"/>
        <v>0</v>
      </c>
      <c r="Z61" s="2">
        <f t="shared" si="55"/>
        <v>0</v>
      </c>
      <c r="AA61" s="2">
        <f t="shared" si="55"/>
        <v>0</v>
      </c>
      <c r="AB61" s="2">
        <f t="shared" si="55"/>
        <v>0</v>
      </c>
      <c r="AC61" s="2">
        <f t="shared" si="55"/>
        <v>0</v>
      </c>
      <c r="AD61" s="2">
        <f t="shared" si="55"/>
        <v>0</v>
      </c>
      <c r="AE61" s="2">
        <f t="shared" si="55"/>
        <v>0</v>
      </c>
      <c r="AF61" s="2">
        <f t="shared" si="55"/>
        <v>0</v>
      </c>
      <c r="AG61" s="2">
        <f t="shared" si="55"/>
        <v>0</v>
      </c>
      <c r="AH61" s="2">
        <f t="shared" si="55"/>
        <v>0</v>
      </c>
      <c r="AI61" s="2">
        <f t="shared" si="55"/>
        <v>0</v>
      </c>
      <c r="AJ61" s="2">
        <f t="shared" si="55"/>
        <v>0</v>
      </c>
      <c r="AK61" s="2">
        <f t="shared" si="55"/>
        <v>0</v>
      </c>
      <c r="AL61" s="2">
        <f t="shared" si="55"/>
        <v>0</v>
      </c>
      <c r="AM61" s="2">
        <f t="shared" si="55"/>
        <v>0</v>
      </c>
      <c r="AN61" s="2">
        <f t="shared" si="55"/>
        <v>0</v>
      </c>
      <c r="AO61" s="2">
        <f t="shared" si="55"/>
        <v>0</v>
      </c>
      <c r="AP61" s="2">
        <f t="shared" si="55"/>
        <v>0</v>
      </c>
      <c r="AQ61" s="2">
        <f t="shared" si="55"/>
        <v>0</v>
      </c>
      <c r="AR61" s="2">
        <f t="shared" si="55"/>
        <v>0</v>
      </c>
    </row>
    <row r="62" spans="3:44" x14ac:dyDescent="0.15">
      <c r="C62" s="2">
        <f t="shared" si="52"/>
        <v>1</v>
      </c>
      <c r="D62" s="2">
        <f t="shared" si="55"/>
        <v>0</v>
      </c>
      <c r="E62" s="2">
        <f t="shared" si="55"/>
        <v>0</v>
      </c>
      <c r="F62" s="2">
        <f t="shared" si="55"/>
        <v>0</v>
      </c>
      <c r="G62" s="2">
        <f t="shared" si="55"/>
        <v>0</v>
      </c>
      <c r="H62" s="2">
        <f t="shared" si="55"/>
        <v>2</v>
      </c>
      <c r="I62" s="2">
        <f t="shared" si="55"/>
        <v>2</v>
      </c>
      <c r="J62" s="2">
        <f t="shared" si="55"/>
        <v>0</v>
      </c>
      <c r="K62" s="2">
        <f t="shared" si="55"/>
        <v>0</v>
      </c>
      <c r="L62" s="2">
        <f t="shared" si="55"/>
        <v>1</v>
      </c>
      <c r="M62" s="2">
        <f t="shared" si="55"/>
        <v>1</v>
      </c>
      <c r="N62" s="2">
        <f t="shared" si="55"/>
        <v>1</v>
      </c>
      <c r="O62" s="2">
        <f t="shared" si="55"/>
        <v>3</v>
      </c>
      <c r="P62" s="2">
        <f t="shared" si="55"/>
        <v>0</v>
      </c>
      <c r="Q62" s="2">
        <f t="shared" si="55"/>
        <v>2</v>
      </c>
      <c r="R62" s="2">
        <f t="shared" si="55"/>
        <v>0</v>
      </c>
      <c r="S62" s="2">
        <f t="shared" si="55"/>
        <v>3</v>
      </c>
      <c r="T62" s="2">
        <f t="shared" si="55"/>
        <v>0</v>
      </c>
      <c r="U62" s="2">
        <f t="shared" si="55"/>
        <v>2</v>
      </c>
      <c r="V62" s="2">
        <f t="shared" si="55"/>
        <v>0</v>
      </c>
      <c r="W62" s="2">
        <f t="shared" si="55"/>
        <v>2</v>
      </c>
      <c r="X62" s="2">
        <f t="shared" si="55"/>
        <v>0</v>
      </c>
      <c r="Y62" s="2">
        <f t="shared" si="55"/>
        <v>0</v>
      </c>
      <c r="Z62" s="2">
        <f t="shared" si="55"/>
        <v>0</v>
      </c>
      <c r="AA62" s="2">
        <f t="shared" si="55"/>
        <v>0</v>
      </c>
      <c r="AB62" s="2">
        <f t="shared" si="55"/>
        <v>0</v>
      </c>
      <c r="AC62" s="2">
        <f t="shared" si="55"/>
        <v>0</v>
      </c>
      <c r="AD62" s="2">
        <f t="shared" si="55"/>
        <v>0</v>
      </c>
      <c r="AE62" s="2">
        <f t="shared" si="55"/>
        <v>0</v>
      </c>
      <c r="AF62" s="2">
        <f t="shared" si="55"/>
        <v>0</v>
      </c>
      <c r="AG62" s="2">
        <f t="shared" si="55"/>
        <v>0</v>
      </c>
      <c r="AH62" s="2">
        <f t="shared" si="55"/>
        <v>0</v>
      </c>
      <c r="AI62" s="2">
        <f t="shared" si="55"/>
        <v>0</v>
      </c>
      <c r="AJ62" s="2">
        <f t="shared" si="55"/>
        <v>0</v>
      </c>
      <c r="AK62" s="2">
        <f t="shared" si="55"/>
        <v>0</v>
      </c>
      <c r="AL62" s="2">
        <f t="shared" si="55"/>
        <v>0</v>
      </c>
      <c r="AM62" s="2">
        <f t="shared" si="55"/>
        <v>0</v>
      </c>
      <c r="AN62" s="2">
        <f t="shared" si="55"/>
        <v>0</v>
      </c>
      <c r="AO62" s="2">
        <f t="shared" si="55"/>
        <v>0</v>
      </c>
      <c r="AP62" s="2">
        <f t="shared" si="55"/>
        <v>0</v>
      </c>
      <c r="AQ62" s="2">
        <f t="shared" si="55"/>
        <v>0</v>
      </c>
      <c r="AR62" s="2">
        <f t="shared" si="55"/>
        <v>0</v>
      </c>
    </row>
    <row r="63" spans="3:44" x14ac:dyDescent="0.15">
      <c r="C63" s="2">
        <f t="shared" si="52"/>
        <v>0</v>
      </c>
      <c r="D63" s="2">
        <f t="shared" si="55"/>
        <v>0</v>
      </c>
      <c r="E63" s="2">
        <f t="shared" ref="D63:AR69" si="56">BowlSplit(E24,$C$43)</f>
        <v>0</v>
      </c>
      <c r="F63" s="2">
        <f t="shared" si="56"/>
        <v>0</v>
      </c>
      <c r="G63" s="2">
        <f t="shared" si="56"/>
        <v>2</v>
      </c>
      <c r="H63" s="2">
        <f t="shared" si="56"/>
        <v>0</v>
      </c>
      <c r="I63" s="2">
        <f t="shared" si="56"/>
        <v>0</v>
      </c>
      <c r="J63" s="2">
        <f t="shared" si="56"/>
        <v>0</v>
      </c>
      <c r="K63" s="2">
        <f t="shared" si="56"/>
        <v>0</v>
      </c>
      <c r="L63" s="2">
        <f t="shared" si="56"/>
        <v>0</v>
      </c>
      <c r="M63" s="2">
        <f t="shared" si="56"/>
        <v>0</v>
      </c>
      <c r="N63" s="2">
        <f t="shared" si="56"/>
        <v>0</v>
      </c>
      <c r="O63" s="2">
        <f t="shared" si="56"/>
        <v>0</v>
      </c>
      <c r="P63" s="2">
        <f t="shared" si="56"/>
        <v>0</v>
      </c>
      <c r="Q63" s="2">
        <f t="shared" si="56"/>
        <v>0</v>
      </c>
      <c r="R63" s="2">
        <f t="shared" si="56"/>
        <v>0</v>
      </c>
      <c r="S63" s="2">
        <f t="shared" si="56"/>
        <v>0</v>
      </c>
      <c r="T63" s="2">
        <f t="shared" si="56"/>
        <v>0</v>
      </c>
      <c r="U63" s="2">
        <f t="shared" si="56"/>
        <v>0</v>
      </c>
      <c r="V63" s="2">
        <f t="shared" si="56"/>
        <v>0</v>
      </c>
      <c r="W63" s="2">
        <f t="shared" si="56"/>
        <v>0</v>
      </c>
      <c r="X63" s="2">
        <f t="shared" si="56"/>
        <v>0</v>
      </c>
      <c r="Y63" s="2">
        <f t="shared" si="56"/>
        <v>0</v>
      </c>
      <c r="Z63" s="2">
        <f t="shared" si="56"/>
        <v>0</v>
      </c>
      <c r="AA63" s="2">
        <f t="shared" si="56"/>
        <v>0</v>
      </c>
      <c r="AB63" s="2">
        <f t="shared" si="56"/>
        <v>0</v>
      </c>
      <c r="AC63" s="2">
        <f t="shared" si="56"/>
        <v>0</v>
      </c>
      <c r="AD63" s="2">
        <f t="shared" si="56"/>
        <v>0</v>
      </c>
      <c r="AE63" s="2">
        <f t="shared" si="56"/>
        <v>0</v>
      </c>
      <c r="AF63" s="2">
        <f t="shared" si="56"/>
        <v>0</v>
      </c>
      <c r="AG63" s="2">
        <f t="shared" si="56"/>
        <v>0</v>
      </c>
      <c r="AH63" s="2">
        <f t="shared" si="56"/>
        <v>0</v>
      </c>
      <c r="AI63" s="2">
        <f t="shared" si="56"/>
        <v>0</v>
      </c>
      <c r="AJ63" s="2">
        <f t="shared" si="56"/>
        <v>0</v>
      </c>
      <c r="AK63" s="2">
        <f t="shared" si="56"/>
        <v>0</v>
      </c>
      <c r="AL63" s="2">
        <f t="shared" si="56"/>
        <v>0</v>
      </c>
      <c r="AM63" s="2">
        <f t="shared" si="56"/>
        <v>0</v>
      </c>
      <c r="AN63" s="2">
        <f t="shared" si="56"/>
        <v>0</v>
      </c>
      <c r="AO63" s="2">
        <f t="shared" si="56"/>
        <v>0</v>
      </c>
      <c r="AP63" s="2">
        <f t="shared" si="56"/>
        <v>0</v>
      </c>
      <c r="AQ63" s="2">
        <f t="shared" si="56"/>
        <v>0</v>
      </c>
      <c r="AR63" s="2">
        <f t="shared" si="56"/>
        <v>0</v>
      </c>
    </row>
    <row r="64" spans="3:44" x14ac:dyDescent="0.15">
      <c r="C64" s="2">
        <f t="shared" si="52"/>
        <v>0</v>
      </c>
      <c r="D64" s="2">
        <f t="shared" si="56"/>
        <v>0</v>
      </c>
      <c r="E64" s="2">
        <f t="shared" si="56"/>
        <v>0</v>
      </c>
      <c r="F64" s="2">
        <f t="shared" si="56"/>
        <v>0</v>
      </c>
      <c r="G64" s="2">
        <f t="shared" si="56"/>
        <v>0</v>
      </c>
      <c r="H64" s="2">
        <f t="shared" si="56"/>
        <v>0</v>
      </c>
      <c r="I64" s="2">
        <f t="shared" si="56"/>
        <v>0</v>
      </c>
      <c r="J64" s="2">
        <f t="shared" si="56"/>
        <v>1</v>
      </c>
      <c r="K64" s="2">
        <f t="shared" si="56"/>
        <v>0</v>
      </c>
      <c r="L64" s="2">
        <f t="shared" si="56"/>
        <v>0</v>
      </c>
      <c r="M64" s="2">
        <f t="shared" si="56"/>
        <v>0</v>
      </c>
      <c r="N64" s="2">
        <f t="shared" si="56"/>
        <v>0</v>
      </c>
      <c r="O64" s="2">
        <f t="shared" si="56"/>
        <v>0</v>
      </c>
      <c r="P64" s="2">
        <f t="shared" si="56"/>
        <v>0</v>
      </c>
      <c r="Q64" s="2">
        <f t="shared" si="56"/>
        <v>0</v>
      </c>
      <c r="R64" s="2">
        <f t="shared" si="56"/>
        <v>0</v>
      </c>
      <c r="S64" s="2">
        <f t="shared" si="56"/>
        <v>0</v>
      </c>
      <c r="T64" s="2">
        <f t="shared" si="56"/>
        <v>0</v>
      </c>
      <c r="U64" s="2">
        <f t="shared" si="56"/>
        <v>0</v>
      </c>
      <c r="V64" s="2">
        <f t="shared" si="56"/>
        <v>0</v>
      </c>
      <c r="W64" s="2">
        <f t="shared" si="56"/>
        <v>0</v>
      </c>
      <c r="X64" s="2">
        <f t="shared" si="56"/>
        <v>0</v>
      </c>
      <c r="Y64" s="2">
        <f t="shared" si="56"/>
        <v>0</v>
      </c>
      <c r="Z64" s="2">
        <f t="shared" si="56"/>
        <v>0</v>
      </c>
      <c r="AA64" s="2">
        <f t="shared" si="56"/>
        <v>0</v>
      </c>
      <c r="AB64" s="2">
        <f t="shared" si="56"/>
        <v>0</v>
      </c>
      <c r="AC64" s="2">
        <f t="shared" si="56"/>
        <v>0</v>
      </c>
      <c r="AD64" s="2">
        <f t="shared" si="56"/>
        <v>0</v>
      </c>
      <c r="AE64" s="2">
        <f t="shared" si="56"/>
        <v>0</v>
      </c>
      <c r="AF64" s="2">
        <f t="shared" si="56"/>
        <v>0</v>
      </c>
      <c r="AG64" s="2">
        <f t="shared" si="56"/>
        <v>0</v>
      </c>
      <c r="AH64" s="2">
        <f t="shared" si="56"/>
        <v>0</v>
      </c>
      <c r="AI64" s="2">
        <f t="shared" si="56"/>
        <v>0</v>
      </c>
      <c r="AJ64" s="2">
        <f t="shared" si="56"/>
        <v>0</v>
      </c>
      <c r="AK64" s="2">
        <f t="shared" si="56"/>
        <v>0</v>
      </c>
      <c r="AL64" s="2">
        <f t="shared" si="56"/>
        <v>0</v>
      </c>
      <c r="AM64" s="2">
        <f t="shared" si="56"/>
        <v>0</v>
      </c>
      <c r="AN64" s="2">
        <f t="shared" si="56"/>
        <v>0</v>
      </c>
      <c r="AO64" s="2">
        <f t="shared" si="56"/>
        <v>0</v>
      </c>
      <c r="AP64" s="2">
        <f t="shared" si="56"/>
        <v>0</v>
      </c>
      <c r="AQ64" s="2">
        <f t="shared" si="56"/>
        <v>0</v>
      </c>
      <c r="AR64" s="2">
        <f t="shared" si="56"/>
        <v>0</v>
      </c>
    </row>
    <row r="65" spans="1:46" x14ac:dyDescent="0.15">
      <c r="C65" s="2">
        <f t="shared" si="52"/>
        <v>0</v>
      </c>
      <c r="D65" s="2">
        <f t="shared" si="56"/>
        <v>0</v>
      </c>
      <c r="E65" s="2">
        <f t="shared" si="56"/>
        <v>0</v>
      </c>
      <c r="F65" s="2">
        <f t="shared" si="56"/>
        <v>0</v>
      </c>
      <c r="G65" s="2">
        <f t="shared" si="56"/>
        <v>0</v>
      </c>
      <c r="H65" s="2">
        <f t="shared" si="56"/>
        <v>0</v>
      </c>
      <c r="I65" s="2">
        <f t="shared" si="56"/>
        <v>0</v>
      </c>
      <c r="J65" s="2">
        <f t="shared" si="56"/>
        <v>0</v>
      </c>
      <c r="K65" s="2">
        <f t="shared" si="56"/>
        <v>0</v>
      </c>
      <c r="L65" s="2">
        <f t="shared" si="56"/>
        <v>0</v>
      </c>
      <c r="M65" s="2">
        <f t="shared" si="56"/>
        <v>0</v>
      </c>
      <c r="N65" s="2">
        <f t="shared" si="56"/>
        <v>0</v>
      </c>
      <c r="O65" s="2">
        <f t="shared" si="56"/>
        <v>0</v>
      </c>
      <c r="P65" s="2">
        <f t="shared" si="56"/>
        <v>0</v>
      </c>
      <c r="Q65" s="2">
        <f t="shared" si="56"/>
        <v>0</v>
      </c>
      <c r="R65" s="2">
        <f t="shared" si="56"/>
        <v>0</v>
      </c>
      <c r="S65" s="2">
        <f t="shared" si="56"/>
        <v>0</v>
      </c>
      <c r="T65" s="2">
        <f t="shared" si="56"/>
        <v>0</v>
      </c>
      <c r="U65" s="2">
        <f t="shared" si="56"/>
        <v>0</v>
      </c>
      <c r="V65" s="2">
        <f t="shared" si="56"/>
        <v>0</v>
      </c>
      <c r="W65" s="2">
        <f t="shared" si="56"/>
        <v>0</v>
      </c>
      <c r="X65" s="2">
        <f t="shared" si="56"/>
        <v>0</v>
      </c>
      <c r="Y65" s="2">
        <f t="shared" si="56"/>
        <v>0</v>
      </c>
      <c r="Z65" s="2">
        <f t="shared" si="56"/>
        <v>0</v>
      </c>
      <c r="AA65" s="2">
        <f t="shared" si="56"/>
        <v>0</v>
      </c>
      <c r="AB65" s="2">
        <f t="shared" si="56"/>
        <v>0</v>
      </c>
      <c r="AC65" s="2">
        <f t="shared" si="56"/>
        <v>0</v>
      </c>
      <c r="AD65" s="2">
        <f t="shared" si="56"/>
        <v>0</v>
      </c>
      <c r="AE65" s="2">
        <f t="shared" si="56"/>
        <v>0</v>
      </c>
      <c r="AF65" s="2">
        <f t="shared" si="56"/>
        <v>0</v>
      </c>
      <c r="AG65" s="2">
        <f t="shared" si="56"/>
        <v>0</v>
      </c>
      <c r="AH65" s="2">
        <f t="shared" si="56"/>
        <v>0</v>
      </c>
      <c r="AI65" s="2">
        <f t="shared" si="56"/>
        <v>0</v>
      </c>
      <c r="AJ65" s="2">
        <f t="shared" si="56"/>
        <v>0</v>
      </c>
      <c r="AK65" s="2">
        <f t="shared" si="56"/>
        <v>0</v>
      </c>
      <c r="AL65" s="2">
        <f t="shared" si="56"/>
        <v>0</v>
      </c>
      <c r="AM65" s="2">
        <f t="shared" si="56"/>
        <v>0</v>
      </c>
      <c r="AN65" s="2">
        <f t="shared" si="56"/>
        <v>0</v>
      </c>
      <c r="AO65" s="2">
        <f t="shared" si="56"/>
        <v>0</v>
      </c>
      <c r="AP65" s="2">
        <f t="shared" si="56"/>
        <v>0</v>
      </c>
      <c r="AQ65" s="2">
        <f t="shared" si="56"/>
        <v>0</v>
      </c>
      <c r="AR65" s="2">
        <f t="shared" si="56"/>
        <v>0</v>
      </c>
    </row>
    <row r="66" spans="1:46" x14ac:dyDescent="0.15">
      <c r="C66" s="2">
        <f t="shared" si="52"/>
        <v>0</v>
      </c>
      <c r="D66" s="2">
        <f t="shared" si="56"/>
        <v>0</v>
      </c>
      <c r="E66" s="2">
        <f t="shared" si="56"/>
        <v>0</v>
      </c>
      <c r="F66" s="2">
        <f t="shared" si="56"/>
        <v>0</v>
      </c>
      <c r="G66" s="2">
        <f t="shared" si="56"/>
        <v>0</v>
      </c>
      <c r="H66" s="2">
        <f t="shared" si="56"/>
        <v>0</v>
      </c>
      <c r="I66" s="2">
        <f t="shared" si="56"/>
        <v>0</v>
      </c>
      <c r="J66" s="2">
        <f t="shared" si="56"/>
        <v>0</v>
      </c>
      <c r="K66" s="2">
        <f t="shared" si="56"/>
        <v>0</v>
      </c>
      <c r="L66" s="2">
        <f t="shared" si="56"/>
        <v>0</v>
      </c>
      <c r="M66" s="2">
        <f t="shared" si="56"/>
        <v>0</v>
      </c>
      <c r="N66" s="2">
        <f t="shared" si="56"/>
        <v>0</v>
      </c>
      <c r="O66" s="2">
        <f t="shared" si="56"/>
        <v>0</v>
      </c>
      <c r="P66" s="2">
        <f t="shared" si="56"/>
        <v>0</v>
      </c>
      <c r="Q66" s="2">
        <f t="shared" si="56"/>
        <v>0</v>
      </c>
      <c r="R66" s="2">
        <f t="shared" si="56"/>
        <v>0</v>
      </c>
      <c r="S66" s="2">
        <f t="shared" si="56"/>
        <v>0</v>
      </c>
      <c r="T66" s="2">
        <f t="shared" si="56"/>
        <v>0</v>
      </c>
      <c r="U66" s="2">
        <f t="shared" si="56"/>
        <v>0</v>
      </c>
      <c r="V66" s="2">
        <f t="shared" si="56"/>
        <v>0</v>
      </c>
      <c r="W66" s="2">
        <f t="shared" si="56"/>
        <v>0</v>
      </c>
      <c r="X66" s="2">
        <f t="shared" si="56"/>
        <v>0</v>
      </c>
      <c r="Y66" s="2">
        <f t="shared" si="56"/>
        <v>0</v>
      </c>
      <c r="Z66" s="2">
        <f t="shared" si="56"/>
        <v>0</v>
      </c>
      <c r="AA66" s="2">
        <f t="shared" si="56"/>
        <v>0</v>
      </c>
      <c r="AB66" s="2">
        <f t="shared" si="56"/>
        <v>0</v>
      </c>
      <c r="AC66" s="2">
        <f t="shared" si="56"/>
        <v>0</v>
      </c>
      <c r="AD66" s="2">
        <f t="shared" si="56"/>
        <v>0</v>
      </c>
      <c r="AE66" s="2">
        <f t="shared" si="56"/>
        <v>0</v>
      </c>
      <c r="AF66" s="2">
        <f t="shared" si="56"/>
        <v>0</v>
      </c>
      <c r="AG66" s="2">
        <f t="shared" si="56"/>
        <v>0</v>
      </c>
      <c r="AH66" s="2">
        <f t="shared" si="56"/>
        <v>0</v>
      </c>
      <c r="AI66" s="2">
        <f t="shared" si="56"/>
        <v>0</v>
      </c>
      <c r="AJ66" s="2">
        <f t="shared" si="56"/>
        <v>0</v>
      </c>
      <c r="AK66" s="2">
        <f t="shared" si="56"/>
        <v>0</v>
      </c>
      <c r="AL66" s="2">
        <f t="shared" si="56"/>
        <v>0</v>
      </c>
      <c r="AM66" s="2">
        <f t="shared" si="56"/>
        <v>0</v>
      </c>
      <c r="AN66" s="2">
        <f t="shared" si="56"/>
        <v>0</v>
      </c>
      <c r="AO66" s="2">
        <f t="shared" si="56"/>
        <v>0</v>
      </c>
      <c r="AP66" s="2">
        <f t="shared" si="56"/>
        <v>0</v>
      </c>
      <c r="AQ66" s="2">
        <f t="shared" si="56"/>
        <v>0</v>
      </c>
      <c r="AR66" s="2">
        <f t="shared" si="56"/>
        <v>0</v>
      </c>
    </row>
    <row r="67" spans="1:46" x14ac:dyDescent="0.15">
      <c r="C67" s="2">
        <f t="shared" si="52"/>
        <v>0</v>
      </c>
      <c r="D67" s="2">
        <f t="shared" si="56"/>
        <v>0</v>
      </c>
      <c r="E67" s="2">
        <f t="shared" si="56"/>
        <v>0</v>
      </c>
      <c r="F67" s="2">
        <f t="shared" si="56"/>
        <v>1</v>
      </c>
      <c r="G67" s="2">
        <f t="shared" si="56"/>
        <v>1</v>
      </c>
      <c r="H67" s="2">
        <f t="shared" si="56"/>
        <v>0</v>
      </c>
      <c r="I67" s="2">
        <f t="shared" si="56"/>
        <v>1</v>
      </c>
      <c r="J67" s="2">
        <f t="shared" si="56"/>
        <v>0</v>
      </c>
      <c r="K67" s="2">
        <f t="shared" si="56"/>
        <v>0</v>
      </c>
      <c r="L67" s="2">
        <f t="shared" si="56"/>
        <v>1</v>
      </c>
      <c r="M67" s="2">
        <f t="shared" si="56"/>
        <v>2</v>
      </c>
      <c r="N67" s="2">
        <f t="shared" si="56"/>
        <v>0</v>
      </c>
      <c r="O67" s="2">
        <f t="shared" si="56"/>
        <v>4</v>
      </c>
      <c r="P67" s="2">
        <f t="shared" si="56"/>
        <v>0</v>
      </c>
      <c r="Q67" s="2">
        <f t="shared" si="56"/>
        <v>0</v>
      </c>
      <c r="R67" s="2">
        <f t="shared" si="56"/>
        <v>0</v>
      </c>
      <c r="S67" s="2">
        <f t="shared" si="56"/>
        <v>0</v>
      </c>
      <c r="T67" s="2">
        <f t="shared" si="56"/>
        <v>1</v>
      </c>
      <c r="U67" s="2">
        <f t="shared" si="56"/>
        <v>0</v>
      </c>
      <c r="V67" s="2">
        <f t="shared" si="56"/>
        <v>0</v>
      </c>
      <c r="W67" s="2">
        <f t="shared" si="56"/>
        <v>0</v>
      </c>
      <c r="X67" s="2">
        <f t="shared" si="56"/>
        <v>0</v>
      </c>
      <c r="Y67" s="2">
        <f t="shared" si="56"/>
        <v>0</v>
      </c>
      <c r="Z67" s="2">
        <f t="shared" si="56"/>
        <v>0</v>
      </c>
      <c r="AA67" s="2">
        <f t="shared" si="56"/>
        <v>0</v>
      </c>
      <c r="AB67" s="2">
        <f t="shared" si="56"/>
        <v>0</v>
      </c>
      <c r="AC67" s="2">
        <f t="shared" si="56"/>
        <v>0</v>
      </c>
      <c r="AD67" s="2">
        <f t="shared" si="56"/>
        <v>0</v>
      </c>
      <c r="AE67" s="2">
        <f t="shared" si="56"/>
        <v>0</v>
      </c>
      <c r="AF67" s="2">
        <f t="shared" si="56"/>
        <v>0</v>
      </c>
      <c r="AG67" s="2">
        <f t="shared" si="56"/>
        <v>0</v>
      </c>
      <c r="AH67" s="2">
        <f t="shared" si="56"/>
        <v>0</v>
      </c>
      <c r="AI67" s="2">
        <f t="shared" si="56"/>
        <v>0</v>
      </c>
      <c r="AJ67" s="2">
        <f t="shared" si="56"/>
        <v>0</v>
      </c>
      <c r="AK67" s="2">
        <f t="shared" si="56"/>
        <v>0</v>
      </c>
      <c r="AL67" s="2">
        <f t="shared" si="56"/>
        <v>0</v>
      </c>
      <c r="AM67" s="2">
        <f t="shared" si="56"/>
        <v>0</v>
      </c>
      <c r="AN67" s="2">
        <f t="shared" si="56"/>
        <v>0</v>
      </c>
      <c r="AO67" s="2">
        <f t="shared" si="56"/>
        <v>0</v>
      </c>
      <c r="AP67" s="2">
        <f t="shared" si="56"/>
        <v>0</v>
      </c>
      <c r="AQ67" s="2">
        <f t="shared" si="56"/>
        <v>0</v>
      </c>
      <c r="AR67" s="2">
        <f t="shared" si="56"/>
        <v>0</v>
      </c>
    </row>
    <row r="68" spans="1:46" x14ac:dyDescent="0.15">
      <c r="C68" s="2">
        <f t="shared" si="52"/>
        <v>0</v>
      </c>
      <c r="D68" s="2">
        <f t="shared" si="56"/>
        <v>0</v>
      </c>
      <c r="E68" s="2">
        <f t="shared" si="56"/>
        <v>2</v>
      </c>
      <c r="F68" s="2">
        <f t="shared" si="56"/>
        <v>0</v>
      </c>
      <c r="G68" s="2">
        <f t="shared" si="56"/>
        <v>0</v>
      </c>
      <c r="H68" s="2">
        <f t="shared" si="56"/>
        <v>1</v>
      </c>
      <c r="I68" s="2">
        <f t="shared" si="56"/>
        <v>0</v>
      </c>
      <c r="J68" s="2">
        <f t="shared" si="56"/>
        <v>0</v>
      </c>
      <c r="K68" s="2">
        <f t="shared" si="56"/>
        <v>0</v>
      </c>
      <c r="L68" s="2">
        <f t="shared" si="56"/>
        <v>0</v>
      </c>
      <c r="M68" s="2">
        <f t="shared" si="56"/>
        <v>1</v>
      </c>
      <c r="N68" s="2">
        <f t="shared" si="56"/>
        <v>0</v>
      </c>
      <c r="O68" s="2">
        <f t="shared" si="56"/>
        <v>0</v>
      </c>
      <c r="P68" s="2">
        <f t="shared" si="56"/>
        <v>0</v>
      </c>
      <c r="Q68" s="2">
        <f t="shared" si="56"/>
        <v>0</v>
      </c>
      <c r="R68" s="2">
        <f t="shared" si="56"/>
        <v>0</v>
      </c>
      <c r="S68" s="2">
        <f t="shared" si="56"/>
        <v>3</v>
      </c>
      <c r="T68" s="2">
        <f t="shared" si="56"/>
        <v>2</v>
      </c>
      <c r="U68" s="2">
        <f t="shared" si="56"/>
        <v>1</v>
      </c>
      <c r="V68" s="2">
        <f t="shared" si="56"/>
        <v>0</v>
      </c>
      <c r="W68" s="2">
        <f t="shared" si="56"/>
        <v>0</v>
      </c>
      <c r="X68" s="2">
        <f t="shared" si="56"/>
        <v>0</v>
      </c>
      <c r="Y68" s="2">
        <f t="shared" si="56"/>
        <v>0</v>
      </c>
      <c r="Z68" s="2">
        <f t="shared" si="56"/>
        <v>0</v>
      </c>
      <c r="AA68" s="2">
        <f t="shared" si="56"/>
        <v>0</v>
      </c>
      <c r="AB68" s="2">
        <f t="shared" si="56"/>
        <v>0</v>
      </c>
      <c r="AC68" s="2">
        <f t="shared" si="56"/>
        <v>0</v>
      </c>
      <c r="AD68" s="2">
        <f t="shared" si="56"/>
        <v>0</v>
      </c>
      <c r="AE68" s="2">
        <f t="shared" si="56"/>
        <v>0</v>
      </c>
      <c r="AF68" s="2">
        <f t="shared" si="56"/>
        <v>0</v>
      </c>
      <c r="AG68" s="2">
        <f t="shared" si="56"/>
        <v>0</v>
      </c>
      <c r="AH68" s="2">
        <f t="shared" si="56"/>
        <v>0</v>
      </c>
      <c r="AI68" s="2">
        <f t="shared" si="56"/>
        <v>0</v>
      </c>
      <c r="AJ68" s="2">
        <f t="shared" si="56"/>
        <v>0</v>
      </c>
      <c r="AK68" s="2">
        <f t="shared" si="56"/>
        <v>0</v>
      </c>
      <c r="AL68" s="2">
        <f t="shared" si="56"/>
        <v>0</v>
      </c>
      <c r="AM68" s="2">
        <f t="shared" si="56"/>
        <v>0</v>
      </c>
      <c r="AN68" s="2">
        <f t="shared" si="56"/>
        <v>0</v>
      </c>
      <c r="AO68" s="2">
        <f t="shared" si="56"/>
        <v>0</v>
      </c>
      <c r="AP68" s="2">
        <f t="shared" si="56"/>
        <v>0</v>
      </c>
      <c r="AQ68" s="2">
        <f t="shared" si="56"/>
        <v>0</v>
      </c>
      <c r="AR68" s="2">
        <f t="shared" si="56"/>
        <v>0</v>
      </c>
    </row>
    <row r="69" spans="1:46" x14ac:dyDescent="0.15">
      <c r="C69" s="2">
        <f t="shared" si="52"/>
        <v>0</v>
      </c>
      <c r="D69" s="2">
        <f t="shared" si="56"/>
        <v>0</v>
      </c>
      <c r="E69" s="2">
        <f t="shared" si="56"/>
        <v>0</v>
      </c>
      <c r="F69" s="2">
        <f t="shared" si="56"/>
        <v>0</v>
      </c>
      <c r="G69" s="2">
        <f t="shared" si="56"/>
        <v>0</v>
      </c>
      <c r="H69" s="2">
        <f t="shared" si="56"/>
        <v>0</v>
      </c>
      <c r="I69" s="2">
        <f t="shared" si="56"/>
        <v>0</v>
      </c>
      <c r="J69" s="2">
        <f t="shared" si="56"/>
        <v>0</v>
      </c>
      <c r="K69" s="2">
        <f t="shared" si="56"/>
        <v>0</v>
      </c>
      <c r="L69" s="2">
        <f t="shared" si="56"/>
        <v>0</v>
      </c>
      <c r="M69" s="2">
        <f t="shared" si="56"/>
        <v>0</v>
      </c>
      <c r="N69" s="2">
        <f t="shared" ref="D69:AR73" si="57">BowlSplit(N30,$C$43)</f>
        <v>0</v>
      </c>
      <c r="O69" s="2">
        <f t="shared" si="57"/>
        <v>0</v>
      </c>
      <c r="P69" s="2">
        <f t="shared" si="57"/>
        <v>0</v>
      </c>
      <c r="Q69" s="2">
        <f t="shared" si="57"/>
        <v>0</v>
      </c>
      <c r="R69" s="2">
        <f t="shared" si="57"/>
        <v>0</v>
      </c>
      <c r="S69" s="2">
        <f t="shared" si="57"/>
        <v>0</v>
      </c>
      <c r="T69" s="2">
        <f t="shared" si="57"/>
        <v>0</v>
      </c>
      <c r="U69" s="2">
        <f t="shared" si="57"/>
        <v>0</v>
      </c>
      <c r="V69" s="2">
        <f t="shared" si="57"/>
        <v>0</v>
      </c>
      <c r="W69" s="2">
        <f t="shared" si="57"/>
        <v>0</v>
      </c>
      <c r="X69" s="2">
        <f t="shared" si="57"/>
        <v>0</v>
      </c>
      <c r="Y69" s="2">
        <f t="shared" si="57"/>
        <v>0</v>
      </c>
      <c r="Z69" s="2">
        <f t="shared" si="57"/>
        <v>0</v>
      </c>
      <c r="AA69" s="2">
        <f t="shared" si="57"/>
        <v>0</v>
      </c>
      <c r="AB69" s="2">
        <f t="shared" si="57"/>
        <v>0</v>
      </c>
      <c r="AC69" s="2">
        <f t="shared" si="57"/>
        <v>0</v>
      </c>
      <c r="AD69" s="2">
        <f t="shared" si="57"/>
        <v>0</v>
      </c>
      <c r="AE69" s="2">
        <f t="shared" si="57"/>
        <v>0</v>
      </c>
      <c r="AF69" s="2">
        <f t="shared" si="57"/>
        <v>0</v>
      </c>
      <c r="AG69" s="2">
        <f t="shared" si="57"/>
        <v>0</v>
      </c>
      <c r="AH69" s="2">
        <f t="shared" si="57"/>
        <v>0</v>
      </c>
      <c r="AI69" s="2">
        <f t="shared" si="57"/>
        <v>0</v>
      </c>
      <c r="AJ69" s="2">
        <f t="shared" si="57"/>
        <v>0</v>
      </c>
      <c r="AK69" s="2">
        <f t="shared" si="57"/>
        <v>0</v>
      </c>
      <c r="AL69" s="2">
        <f t="shared" si="57"/>
        <v>0</v>
      </c>
      <c r="AM69" s="2">
        <f t="shared" si="57"/>
        <v>0</v>
      </c>
      <c r="AN69" s="2">
        <f t="shared" si="57"/>
        <v>0</v>
      </c>
      <c r="AO69" s="2">
        <f t="shared" si="57"/>
        <v>0</v>
      </c>
      <c r="AP69" s="2">
        <f t="shared" si="57"/>
        <v>0</v>
      </c>
      <c r="AQ69" s="2">
        <f t="shared" si="57"/>
        <v>0</v>
      </c>
      <c r="AR69" s="2">
        <f t="shared" si="57"/>
        <v>0</v>
      </c>
    </row>
    <row r="70" spans="1:46" x14ac:dyDescent="0.15">
      <c r="C70" s="2">
        <f t="shared" si="52"/>
        <v>0</v>
      </c>
      <c r="D70" s="2">
        <f t="shared" si="57"/>
        <v>0</v>
      </c>
      <c r="E70" s="2">
        <f t="shared" si="57"/>
        <v>0</v>
      </c>
      <c r="F70" s="2">
        <f t="shared" si="57"/>
        <v>0</v>
      </c>
      <c r="G70" s="2">
        <f t="shared" si="57"/>
        <v>0</v>
      </c>
      <c r="H70" s="2">
        <f t="shared" si="57"/>
        <v>0</v>
      </c>
      <c r="I70" s="2">
        <f t="shared" si="57"/>
        <v>0</v>
      </c>
      <c r="J70" s="2">
        <f t="shared" si="57"/>
        <v>1</v>
      </c>
      <c r="K70" s="2">
        <f t="shared" si="57"/>
        <v>0</v>
      </c>
      <c r="L70" s="2">
        <f t="shared" si="57"/>
        <v>0</v>
      </c>
      <c r="M70" s="2">
        <f t="shared" si="57"/>
        <v>0</v>
      </c>
      <c r="N70" s="2">
        <f t="shared" si="57"/>
        <v>0</v>
      </c>
      <c r="O70" s="2">
        <f t="shared" si="57"/>
        <v>0</v>
      </c>
      <c r="P70" s="2">
        <f t="shared" si="57"/>
        <v>0</v>
      </c>
      <c r="Q70" s="2">
        <f t="shared" si="57"/>
        <v>0</v>
      </c>
      <c r="R70" s="2">
        <f t="shared" si="57"/>
        <v>0</v>
      </c>
      <c r="S70" s="2">
        <f t="shared" si="57"/>
        <v>0</v>
      </c>
      <c r="T70" s="2">
        <f t="shared" si="57"/>
        <v>0</v>
      </c>
      <c r="U70" s="2">
        <f t="shared" si="57"/>
        <v>0</v>
      </c>
      <c r="V70" s="2">
        <f t="shared" si="57"/>
        <v>0</v>
      </c>
      <c r="W70" s="2">
        <f t="shared" si="57"/>
        <v>0</v>
      </c>
      <c r="X70" s="2">
        <f t="shared" si="57"/>
        <v>0</v>
      </c>
      <c r="Y70" s="2">
        <f t="shared" si="57"/>
        <v>0</v>
      </c>
      <c r="Z70" s="2">
        <f t="shared" si="57"/>
        <v>0</v>
      </c>
      <c r="AA70" s="2">
        <f t="shared" si="57"/>
        <v>0</v>
      </c>
      <c r="AB70" s="2">
        <f t="shared" si="57"/>
        <v>0</v>
      </c>
      <c r="AC70" s="2">
        <f t="shared" si="57"/>
        <v>0</v>
      </c>
      <c r="AD70" s="2">
        <f t="shared" si="57"/>
        <v>0</v>
      </c>
      <c r="AE70" s="2">
        <f t="shared" si="57"/>
        <v>0</v>
      </c>
      <c r="AF70" s="2">
        <f t="shared" si="57"/>
        <v>0</v>
      </c>
      <c r="AG70" s="2">
        <f t="shared" si="57"/>
        <v>0</v>
      </c>
      <c r="AH70" s="2">
        <f t="shared" si="57"/>
        <v>0</v>
      </c>
      <c r="AI70" s="2">
        <f t="shared" si="57"/>
        <v>0</v>
      </c>
      <c r="AJ70" s="2">
        <f t="shared" si="57"/>
        <v>0</v>
      </c>
      <c r="AK70" s="2">
        <f t="shared" si="57"/>
        <v>0</v>
      </c>
      <c r="AL70" s="2">
        <f t="shared" si="57"/>
        <v>0</v>
      </c>
      <c r="AM70" s="2">
        <f t="shared" si="57"/>
        <v>0</v>
      </c>
      <c r="AN70" s="2">
        <f t="shared" si="57"/>
        <v>0</v>
      </c>
      <c r="AO70" s="2">
        <f t="shared" si="57"/>
        <v>0</v>
      </c>
      <c r="AP70" s="2">
        <f t="shared" si="57"/>
        <v>0</v>
      </c>
      <c r="AQ70" s="2">
        <f t="shared" si="57"/>
        <v>0</v>
      </c>
      <c r="AR70" s="2">
        <f t="shared" si="57"/>
        <v>0</v>
      </c>
    </row>
    <row r="71" spans="1:46" x14ac:dyDescent="0.15">
      <c r="C71" s="2">
        <f t="shared" si="52"/>
        <v>0</v>
      </c>
      <c r="D71" s="2">
        <f t="shared" si="57"/>
        <v>0</v>
      </c>
      <c r="E71" s="2">
        <f t="shared" si="57"/>
        <v>0</v>
      </c>
      <c r="F71" s="2">
        <f t="shared" si="57"/>
        <v>0</v>
      </c>
      <c r="G71" s="2">
        <f t="shared" si="57"/>
        <v>0</v>
      </c>
      <c r="H71" s="2">
        <f t="shared" si="57"/>
        <v>0</v>
      </c>
      <c r="I71" s="2">
        <f t="shared" si="57"/>
        <v>0</v>
      </c>
      <c r="J71" s="2">
        <f t="shared" si="57"/>
        <v>0</v>
      </c>
      <c r="K71" s="2">
        <f t="shared" si="57"/>
        <v>0</v>
      </c>
      <c r="L71" s="2">
        <f t="shared" si="57"/>
        <v>0</v>
      </c>
      <c r="M71" s="2">
        <f t="shared" si="57"/>
        <v>1</v>
      </c>
      <c r="N71" s="2">
        <f t="shared" si="57"/>
        <v>0</v>
      </c>
      <c r="O71" s="2">
        <f t="shared" si="57"/>
        <v>2</v>
      </c>
      <c r="P71" s="2">
        <f t="shared" si="57"/>
        <v>1</v>
      </c>
      <c r="Q71" s="2">
        <f t="shared" si="57"/>
        <v>1</v>
      </c>
      <c r="R71" s="2">
        <f t="shared" si="57"/>
        <v>2</v>
      </c>
      <c r="S71" s="2">
        <f t="shared" si="57"/>
        <v>0</v>
      </c>
      <c r="T71" s="2">
        <f t="shared" si="57"/>
        <v>0</v>
      </c>
      <c r="U71" s="2">
        <f t="shared" si="57"/>
        <v>0</v>
      </c>
      <c r="V71" s="2">
        <f t="shared" si="57"/>
        <v>0</v>
      </c>
      <c r="W71" s="2">
        <f t="shared" si="57"/>
        <v>0</v>
      </c>
      <c r="X71" s="2">
        <f t="shared" si="57"/>
        <v>0</v>
      </c>
      <c r="Y71" s="2">
        <f t="shared" si="57"/>
        <v>0</v>
      </c>
      <c r="Z71" s="2">
        <f t="shared" si="57"/>
        <v>0</v>
      </c>
      <c r="AA71" s="2">
        <f t="shared" si="57"/>
        <v>0</v>
      </c>
      <c r="AB71" s="2">
        <f t="shared" si="57"/>
        <v>0</v>
      </c>
      <c r="AC71" s="2">
        <f t="shared" si="57"/>
        <v>0</v>
      </c>
      <c r="AD71" s="2">
        <f t="shared" si="57"/>
        <v>0</v>
      </c>
      <c r="AE71" s="2">
        <f t="shared" si="57"/>
        <v>0</v>
      </c>
      <c r="AF71" s="2">
        <f t="shared" si="57"/>
        <v>0</v>
      </c>
      <c r="AG71" s="2">
        <f t="shared" si="57"/>
        <v>0</v>
      </c>
      <c r="AH71" s="2">
        <f t="shared" si="57"/>
        <v>0</v>
      </c>
      <c r="AI71" s="2">
        <f t="shared" si="57"/>
        <v>0</v>
      </c>
      <c r="AJ71" s="2">
        <f t="shared" si="57"/>
        <v>0</v>
      </c>
      <c r="AK71" s="2">
        <f t="shared" si="57"/>
        <v>0</v>
      </c>
      <c r="AL71" s="2">
        <f t="shared" si="57"/>
        <v>0</v>
      </c>
      <c r="AM71" s="2">
        <f t="shared" si="57"/>
        <v>0</v>
      </c>
      <c r="AN71" s="2">
        <f t="shared" si="57"/>
        <v>0</v>
      </c>
      <c r="AO71" s="2">
        <f t="shared" si="57"/>
        <v>0</v>
      </c>
      <c r="AP71" s="2">
        <f t="shared" si="57"/>
        <v>0</v>
      </c>
      <c r="AQ71" s="2">
        <f t="shared" si="57"/>
        <v>0</v>
      </c>
      <c r="AR71" s="2">
        <f t="shared" si="57"/>
        <v>0</v>
      </c>
    </row>
    <row r="72" spans="1:46" x14ac:dyDescent="0.15">
      <c r="C72" s="2">
        <f t="shared" si="52"/>
        <v>0</v>
      </c>
      <c r="D72" s="2">
        <f t="shared" si="57"/>
        <v>0</v>
      </c>
      <c r="E72" s="2">
        <f t="shared" si="57"/>
        <v>0</v>
      </c>
      <c r="F72" s="2">
        <f t="shared" si="57"/>
        <v>0</v>
      </c>
      <c r="G72" s="2">
        <f t="shared" si="57"/>
        <v>0</v>
      </c>
      <c r="H72" s="2">
        <f t="shared" si="57"/>
        <v>0</v>
      </c>
      <c r="I72" s="2">
        <f t="shared" si="57"/>
        <v>0</v>
      </c>
      <c r="J72" s="2">
        <f t="shared" si="57"/>
        <v>0</v>
      </c>
      <c r="K72" s="2">
        <f t="shared" si="57"/>
        <v>0</v>
      </c>
      <c r="L72" s="2">
        <f t="shared" si="57"/>
        <v>0</v>
      </c>
      <c r="M72" s="2">
        <f t="shared" si="57"/>
        <v>0</v>
      </c>
      <c r="N72" s="2">
        <f t="shared" si="57"/>
        <v>0</v>
      </c>
      <c r="O72" s="2">
        <f t="shared" si="57"/>
        <v>0</v>
      </c>
      <c r="P72" s="2">
        <f t="shared" si="57"/>
        <v>0</v>
      </c>
      <c r="Q72" s="2">
        <f t="shared" si="57"/>
        <v>0</v>
      </c>
      <c r="R72" s="2">
        <f t="shared" si="57"/>
        <v>0</v>
      </c>
      <c r="S72" s="2">
        <f t="shared" si="57"/>
        <v>0</v>
      </c>
      <c r="T72" s="2">
        <f t="shared" si="57"/>
        <v>0</v>
      </c>
      <c r="U72" s="2">
        <f t="shared" si="57"/>
        <v>0</v>
      </c>
      <c r="V72" s="2">
        <f t="shared" si="57"/>
        <v>0</v>
      </c>
      <c r="W72" s="2">
        <f t="shared" si="57"/>
        <v>0</v>
      </c>
      <c r="X72" s="2">
        <f t="shared" si="57"/>
        <v>0</v>
      </c>
      <c r="Y72" s="2">
        <f t="shared" si="57"/>
        <v>0</v>
      </c>
      <c r="Z72" s="2">
        <f t="shared" si="57"/>
        <v>0</v>
      </c>
      <c r="AA72" s="2">
        <f t="shared" si="57"/>
        <v>0</v>
      </c>
      <c r="AB72" s="2">
        <f t="shared" si="57"/>
        <v>0</v>
      </c>
      <c r="AC72" s="2">
        <f t="shared" si="57"/>
        <v>0</v>
      </c>
      <c r="AD72" s="2">
        <f t="shared" si="57"/>
        <v>0</v>
      </c>
      <c r="AE72" s="2">
        <f t="shared" si="57"/>
        <v>0</v>
      </c>
      <c r="AF72" s="2">
        <f t="shared" si="57"/>
        <v>0</v>
      </c>
      <c r="AG72" s="2">
        <f t="shared" si="57"/>
        <v>0</v>
      </c>
      <c r="AH72" s="2">
        <f t="shared" si="57"/>
        <v>0</v>
      </c>
      <c r="AI72" s="2">
        <f t="shared" si="57"/>
        <v>0</v>
      </c>
      <c r="AJ72" s="2">
        <f t="shared" si="57"/>
        <v>0</v>
      </c>
      <c r="AK72" s="2">
        <f t="shared" si="57"/>
        <v>0</v>
      </c>
      <c r="AL72" s="2">
        <f t="shared" si="57"/>
        <v>0</v>
      </c>
      <c r="AM72" s="2">
        <f t="shared" si="57"/>
        <v>0</v>
      </c>
      <c r="AN72" s="2">
        <f t="shared" si="57"/>
        <v>0</v>
      </c>
      <c r="AO72" s="2">
        <f t="shared" si="57"/>
        <v>0</v>
      </c>
      <c r="AP72" s="2">
        <f t="shared" si="57"/>
        <v>0</v>
      </c>
      <c r="AQ72" s="2">
        <f t="shared" si="57"/>
        <v>0</v>
      </c>
      <c r="AR72" s="2">
        <f t="shared" si="57"/>
        <v>0</v>
      </c>
    </row>
    <row r="73" spans="1:46" x14ac:dyDescent="0.15">
      <c r="C73" s="2">
        <f t="shared" si="52"/>
        <v>0</v>
      </c>
      <c r="D73" s="2">
        <f t="shared" si="57"/>
        <v>1</v>
      </c>
      <c r="E73" s="2">
        <f t="shared" si="57"/>
        <v>0</v>
      </c>
      <c r="F73" s="2">
        <f t="shared" si="57"/>
        <v>0</v>
      </c>
      <c r="G73" s="2">
        <f t="shared" si="57"/>
        <v>0</v>
      </c>
      <c r="H73" s="2">
        <f t="shared" si="57"/>
        <v>0</v>
      </c>
      <c r="I73" s="2">
        <f t="shared" si="57"/>
        <v>0</v>
      </c>
      <c r="J73" s="2">
        <f t="shared" si="57"/>
        <v>0</v>
      </c>
      <c r="K73" s="2">
        <f t="shared" si="57"/>
        <v>0</v>
      </c>
      <c r="L73" s="2">
        <f t="shared" si="57"/>
        <v>0</v>
      </c>
      <c r="M73" s="2">
        <f t="shared" si="57"/>
        <v>0</v>
      </c>
      <c r="N73" s="2">
        <f t="shared" si="57"/>
        <v>0</v>
      </c>
      <c r="O73" s="2">
        <f t="shared" si="57"/>
        <v>0</v>
      </c>
      <c r="P73" s="2">
        <f t="shared" si="57"/>
        <v>0</v>
      </c>
      <c r="Q73" s="2">
        <f t="shared" si="57"/>
        <v>0</v>
      </c>
      <c r="R73" s="2">
        <f t="shared" si="57"/>
        <v>0</v>
      </c>
      <c r="S73" s="2">
        <f t="shared" si="57"/>
        <v>0</v>
      </c>
      <c r="T73" s="2">
        <f t="shared" si="57"/>
        <v>0</v>
      </c>
      <c r="U73" s="2">
        <f t="shared" si="57"/>
        <v>0</v>
      </c>
      <c r="V73" s="2">
        <f t="shared" si="57"/>
        <v>0</v>
      </c>
      <c r="W73" s="2">
        <f t="shared" si="57"/>
        <v>0</v>
      </c>
      <c r="X73" s="2">
        <f t="shared" si="57"/>
        <v>0</v>
      </c>
      <c r="Y73" s="2">
        <f t="shared" si="57"/>
        <v>0</v>
      </c>
      <c r="Z73" s="2">
        <f t="shared" si="57"/>
        <v>0</v>
      </c>
      <c r="AA73" s="2">
        <f t="shared" si="57"/>
        <v>0</v>
      </c>
      <c r="AB73" s="2">
        <f t="shared" si="57"/>
        <v>0</v>
      </c>
      <c r="AC73" s="2">
        <f t="shared" si="57"/>
        <v>0</v>
      </c>
      <c r="AD73" s="2">
        <f t="shared" si="57"/>
        <v>0</v>
      </c>
      <c r="AE73" s="2">
        <f t="shared" si="57"/>
        <v>0</v>
      </c>
      <c r="AF73" s="2">
        <f t="shared" si="57"/>
        <v>0</v>
      </c>
      <c r="AG73" s="2">
        <f t="shared" si="57"/>
        <v>0</v>
      </c>
      <c r="AH73" s="2">
        <f t="shared" si="57"/>
        <v>0</v>
      </c>
      <c r="AI73" s="2">
        <f t="shared" si="57"/>
        <v>0</v>
      </c>
      <c r="AJ73" s="2">
        <f t="shared" si="57"/>
        <v>0</v>
      </c>
      <c r="AK73" s="2">
        <f t="shared" si="57"/>
        <v>0</v>
      </c>
      <c r="AL73" s="2">
        <f t="shared" si="57"/>
        <v>0</v>
      </c>
      <c r="AM73" s="2">
        <f t="shared" si="57"/>
        <v>0</v>
      </c>
      <c r="AN73" s="2">
        <f t="shared" si="57"/>
        <v>0</v>
      </c>
      <c r="AO73" s="2">
        <f t="shared" si="57"/>
        <v>0</v>
      </c>
      <c r="AP73" s="2">
        <f t="shared" si="57"/>
        <v>0</v>
      </c>
      <c r="AQ73" s="2">
        <f t="shared" si="57"/>
        <v>0</v>
      </c>
      <c r="AR73" s="2">
        <f t="shared" si="57"/>
        <v>0</v>
      </c>
    </row>
    <row r="75" spans="1:46" x14ac:dyDescent="0.15">
      <c r="A75" s="2">
        <f>RunsConceded</f>
        <v>3</v>
      </c>
      <c r="B75" s="2">
        <f>MAX(C75:AR104)</f>
        <v>99</v>
      </c>
      <c r="C75" s="2">
        <f>BowlSplit(C5,$A$75)</f>
        <v>0</v>
      </c>
      <c r="D75" s="2">
        <f t="shared" ref="D75:AR81" si="58">BowlSplit(D5,$A$75)</f>
        <v>36</v>
      </c>
      <c r="E75" s="2">
        <f t="shared" si="58"/>
        <v>71</v>
      </c>
      <c r="F75" s="2">
        <f t="shared" si="58"/>
        <v>0</v>
      </c>
      <c r="G75" s="2">
        <f t="shared" si="58"/>
        <v>59</v>
      </c>
      <c r="H75" s="2">
        <f t="shared" si="58"/>
        <v>23</v>
      </c>
      <c r="I75" s="2">
        <f t="shared" si="58"/>
        <v>67</v>
      </c>
      <c r="J75" s="2">
        <f t="shared" si="58"/>
        <v>19</v>
      </c>
      <c r="K75" s="2">
        <f t="shared" si="58"/>
        <v>11</v>
      </c>
      <c r="L75" s="2">
        <f t="shared" si="58"/>
        <v>19</v>
      </c>
      <c r="M75" s="2">
        <f t="shared" si="58"/>
        <v>19</v>
      </c>
      <c r="N75" s="2">
        <f t="shared" si="58"/>
        <v>24</v>
      </c>
      <c r="O75" s="2">
        <f t="shared" si="58"/>
        <v>0</v>
      </c>
      <c r="P75" s="2">
        <f t="shared" si="58"/>
        <v>0</v>
      </c>
      <c r="Q75" s="2">
        <f t="shared" si="58"/>
        <v>22</v>
      </c>
      <c r="R75" s="2">
        <f t="shared" si="58"/>
        <v>11</v>
      </c>
      <c r="S75" s="2">
        <f t="shared" si="58"/>
        <v>22</v>
      </c>
      <c r="T75" s="2">
        <f t="shared" si="58"/>
        <v>9</v>
      </c>
      <c r="U75" s="2">
        <f t="shared" si="58"/>
        <v>17</v>
      </c>
      <c r="V75" s="2">
        <f t="shared" si="58"/>
        <v>45</v>
      </c>
      <c r="W75" s="2">
        <f t="shared" si="58"/>
        <v>54</v>
      </c>
      <c r="X75" s="2">
        <f t="shared" si="58"/>
        <v>0</v>
      </c>
      <c r="Y75" s="2">
        <f t="shared" si="58"/>
        <v>0</v>
      </c>
      <c r="Z75" s="2">
        <f t="shared" si="58"/>
        <v>0</v>
      </c>
      <c r="AA75" s="2">
        <f t="shared" si="58"/>
        <v>0</v>
      </c>
      <c r="AB75" s="2">
        <f t="shared" si="58"/>
        <v>0</v>
      </c>
      <c r="AC75" s="2">
        <f t="shared" si="58"/>
        <v>0</v>
      </c>
      <c r="AD75" s="2">
        <f t="shared" si="58"/>
        <v>0</v>
      </c>
      <c r="AE75" s="2">
        <f t="shared" si="58"/>
        <v>0</v>
      </c>
      <c r="AF75" s="2">
        <f t="shared" si="58"/>
        <v>0</v>
      </c>
      <c r="AG75" s="2">
        <f t="shared" si="58"/>
        <v>0</v>
      </c>
      <c r="AH75" s="2">
        <f t="shared" si="58"/>
        <v>0</v>
      </c>
      <c r="AI75" s="2">
        <f t="shared" si="58"/>
        <v>0</v>
      </c>
      <c r="AJ75" s="2">
        <f t="shared" si="58"/>
        <v>0</v>
      </c>
      <c r="AK75" s="2">
        <f t="shared" si="58"/>
        <v>0</v>
      </c>
      <c r="AL75" s="2">
        <f t="shared" si="58"/>
        <v>0</v>
      </c>
      <c r="AM75" s="2">
        <f t="shared" si="58"/>
        <v>0</v>
      </c>
      <c r="AN75" s="2">
        <f t="shared" si="58"/>
        <v>0</v>
      </c>
      <c r="AO75" s="2">
        <f t="shared" si="58"/>
        <v>0</v>
      </c>
      <c r="AP75" s="2">
        <f t="shared" si="58"/>
        <v>0</v>
      </c>
      <c r="AQ75" s="2">
        <f t="shared" si="58"/>
        <v>0</v>
      </c>
      <c r="AR75" s="2">
        <f t="shared" si="58"/>
        <v>0</v>
      </c>
      <c r="AT75" s="2">
        <f t="array" ref="AT75">SUM(IF(C75:AR75&gt;=50,1,0))</f>
        <v>4</v>
      </c>
    </row>
    <row r="76" spans="1:46" x14ac:dyDescent="0.15">
      <c r="B76" s="2">
        <f t="array" ref="B76">SUM(IF(C75:AR104&gt;=50,1,0))</f>
        <v>10</v>
      </c>
      <c r="C76" s="2">
        <f t="shared" ref="C76:R104" si="59">BowlSplit(C6,$A$75)</f>
        <v>25</v>
      </c>
      <c r="D76" s="2">
        <f t="shared" si="59"/>
        <v>47</v>
      </c>
      <c r="E76" s="2">
        <f t="shared" si="59"/>
        <v>18</v>
      </c>
      <c r="F76" s="2">
        <f t="shared" si="59"/>
        <v>0</v>
      </c>
      <c r="G76" s="2">
        <f t="shared" si="59"/>
        <v>29</v>
      </c>
      <c r="H76" s="2">
        <f t="shared" si="59"/>
        <v>0</v>
      </c>
      <c r="I76" s="2">
        <f t="shared" si="59"/>
        <v>0</v>
      </c>
      <c r="J76" s="2">
        <f t="shared" si="59"/>
        <v>6</v>
      </c>
      <c r="K76" s="2">
        <f t="shared" si="59"/>
        <v>16</v>
      </c>
      <c r="L76" s="2">
        <f t="shared" si="59"/>
        <v>29</v>
      </c>
      <c r="M76" s="2">
        <f t="shared" si="59"/>
        <v>0</v>
      </c>
      <c r="N76" s="2">
        <f t="shared" si="59"/>
        <v>0</v>
      </c>
      <c r="O76" s="2">
        <f t="shared" si="59"/>
        <v>0</v>
      </c>
      <c r="P76" s="2">
        <f t="shared" si="59"/>
        <v>18</v>
      </c>
      <c r="Q76" s="2">
        <f t="shared" si="59"/>
        <v>13</v>
      </c>
      <c r="R76" s="2">
        <f t="shared" si="59"/>
        <v>0</v>
      </c>
      <c r="S76" s="2">
        <f t="shared" si="58"/>
        <v>0</v>
      </c>
      <c r="T76" s="2">
        <f t="shared" si="58"/>
        <v>15</v>
      </c>
      <c r="U76" s="2">
        <f t="shared" si="58"/>
        <v>18</v>
      </c>
      <c r="V76" s="2">
        <f t="shared" si="58"/>
        <v>11</v>
      </c>
      <c r="W76" s="2">
        <f t="shared" si="58"/>
        <v>33</v>
      </c>
      <c r="X76" s="2">
        <f t="shared" si="58"/>
        <v>0</v>
      </c>
      <c r="Y76" s="2">
        <f t="shared" si="58"/>
        <v>0</v>
      </c>
      <c r="Z76" s="2">
        <f t="shared" si="58"/>
        <v>0</v>
      </c>
      <c r="AA76" s="2">
        <f t="shared" si="58"/>
        <v>0</v>
      </c>
      <c r="AB76" s="2">
        <f t="shared" si="58"/>
        <v>0</v>
      </c>
      <c r="AC76" s="2">
        <f t="shared" si="58"/>
        <v>0</v>
      </c>
      <c r="AD76" s="2">
        <f t="shared" si="58"/>
        <v>0</v>
      </c>
      <c r="AE76" s="2">
        <f t="shared" si="58"/>
        <v>0</v>
      </c>
      <c r="AF76" s="2">
        <f t="shared" si="58"/>
        <v>0</v>
      </c>
      <c r="AG76" s="2">
        <f t="shared" si="58"/>
        <v>0</v>
      </c>
      <c r="AH76" s="2">
        <f t="shared" si="58"/>
        <v>0</v>
      </c>
      <c r="AI76" s="2">
        <f t="shared" si="58"/>
        <v>0</v>
      </c>
      <c r="AJ76" s="2">
        <f t="shared" si="58"/>
        <v>0</v>
      </c>
      <c r="AK76" s="2">
        <f t="shared" si="58"/>
        <v>0</v>
      </c>
      <c r="AL76" s="2">
        <f t="shared" si="58"/>
        <v>0</v>
      </c>
      <c r="AM76" s="2">
        <f t="shared" si="58"/>
        <v>0</v>
      </c>
      <c r="AN76" s="2">
        <f t="shared" si="58"/>
        <v>0</v>
      </c>
      <c r="AO76" s="2">
        <f t="shared" si="58"/>
        <v>0</v>
      </c>
      <c r="AP76" s="2">
        <f t="shared" si="58"/>
        <v>0</v>
      </c>
      <c r="AQ76" s="2">
        <f t="shared" si="58"/>
        <v>0</v>
      </c>
      <c r="AR76" s="2">
        <f t="shared" si="58"/>
        <v>0</v>
      </c>
      <c r="AT76" s="2">
        <f t="array" ref="AT76">SUM(IF(C76:AR76&gt;=50,1,0))</f>
        <v>0</v>
      </c>
    </row>
    <row r="77" spans="1:46" x14ac:dyDescent="0.15">
      <c r="C77" s="2">
        <f t="shared" si="59"/>
        <v>0</v>
      </c>
      <c r="D77" s="2">
        <f t="shared" si="58"/>
        <v>24</v>
      </c>
      <c r="E77" s="2">
        <f t="shared" si="58"/>
        <v>0</v>
      </c>
      <c r="F77" s="2">
        <f t="shared" si="58"/>
        <v>0</v>
      </c>
      <c r="G77" s="2">
        <f t="shared" si="58"/>
        <v>0</v>
      </c>
      <c r="H77" s="2">
        <f t="shared" si="58"/>
        <v>54</v>
      </c>
      <c r="I77" s="2">
        <f t="shared" si="58"/>
        <v>0</v>
      </c>
      <c r="J77" s="2">
        <f t="shared" si="58"/>
        <v>0</v>
      </c>
      <c r="K77" s="2">
        <f t="shared" si="58"/>
        <v>0</v>
      </c>
      <c r="L77" s="2">
        <f t="shared" si="58"/>
        <v>0</v>
      </c>
      <c r="M77" s="2">
        <f t="shared" si="58"/>
        <v>0</v>
      </c>
      <c r="N77" s="2">
        <f t="shared" si="58"/>
        <v>0</v>
      </c>
      <c r="O77" s="2">
        <f t="shared" si="58"/>
        <v>0</v>
      </c>
      <c r="P77" s="2">
        <f t="shared" si="58"/>
        <v>0</v>
      </c>
      <c r="Q77" s="2">
        <f t="shared" si="58"/>
        <v>24</v>
      </c>
      <c r="R77" s="2">
        <f t="shared" si="58"/>
        <v>17</v>
      </c>
      <c r="S77" s="2">
        <f t="shared" si="58"/>
        <v>0</v>
      </c>
      <c r="T77" s="2">
        <f t="shared" si="58"/>
        <v>0</v>
      </c>
      <c r="U77" s="2">
        <f t="shared" si="58"/>
        <v>0</v>
      </c>
      <c r="V77" s="2">
        <f t="shared" si="58"/>
        <v>0</v>
      </c>
      <c r="W77" s="2">
        <f t="shared" si="58"/>
        <v>0</v>
      </c>
      <c r="X77" s="2">
        <f t="shared" si="58"/>
        <v>0</v>
      </c>
      <c r="Y77" s="2">
        <f t="shared" si="58"/>
        <v>0</v>
      </c>
      <c r="Z77" s="2">
        <f t="shared" si="58"/>
        <v>0</v>
      </c>
      <c r="AA77" s="2">
        <f t="shared" si="58"/>
        <v>0</v>
      </c>
      <c r="AB77" s="2">
        <f t="shared" si="58"/>
        <v>0</v>
      </c>
      <c r="AC77" s="2">
        <f t="shared" si="58"/>
        <v>0</v>
      </c>
      <c r="AD77" s="2">
        <f t="shared" si="58"/>
        <v>0</v>
      </c>
      <c r="AE77" s="2">
        <f t="shared" si="58"/>
        <v>0</v>
      </c>
      <c r="AF77" s="2">
        <f t="shared" si="58"/>
        <v>0</v>
      </c>
      <c r="AG77" s="2">
        <f t="shared" si="58"/>
        <v>0</v>
      </c>
      <c r="AH77" s="2">
        <f t="shared" si="58"/>
        <v>0</v>
      </c>
      <c r="AI77" s="2">
        <f t="shared" si="58"/>
        <v>0</v>
      </c>
      <c r="AJ77" s="2">
        <f t="shared" si="58"/>
        <v>0</v>
      </c>
      <c r="AK77" s="2">
        <f t="shared" si="58"/>
        <v>0</v>
      </c>
      <c r="AL77" s="2">
        <f t="shared" si="58"/>
        <v>0</v>
      </c>
      <c r="AM77" s="2">
        <f t="shared" si="58"/>
        <v>0</v>
      </c>
      <c r="AN77" s="2">
        <f t="shared" si="58"/>
        <v>0</v>
      </c>
      <c r="AO77" s="2">
        <f t="shared" si="58"/>
        <v>0</v>
      </c>
      <c r="AP77" s="2">
        <f t="shared" si="58"/>
        <v>0</v>
      </c>
      <c r="AQ77" s="2">
        <f t="shared" si="58"/>
        <v>0</v>
      </c>
      <c r="AR77" s="2">
        <f t="shared" si="58"/>
        <v>0</v>
      </c>
      <c r="AT77" s="2">
        <f t="array" ref="AT77">SUM(IF(C77:AR77&gt;=50,1,0))</f>
        <v>1</v>
      </c>
    </row>
    <row r="78" spans="1:46" x14ac:dyDescent="0.15">
      <c r="C78" s="2">
        <f t="shared" si="59"/>
        <v>0</v>
      </c>
      <c r="D78" s="2">
        <f t="shared" si="58"/>
        <v>0</v>
      </c>
      <c r="E78" s="2">
        <f t="shared" si="58"/>
        <v>0</v>
      </c>
      <c r="F78" s="2">
        <f t="shared" si="58"/>
        <v>0</v>
      </c>
      <c r="G78" s="2">
        <f t="shared" si="58"/>
        <v>0</v>
      </c>
      <c r="H78" s="2">
        <f t="shared" si="58"/>
        <v>0</v>
      </c>
      <c r="I78" s="2">
        <f t="shared" si="58"/>
        <v>0</v>
      </c>
      <c r="J78" s="2">
        <f t="shared" si="58"/>
        <v>0</v>
      </c>
      <c r="K78" s="2">
        <f t="shared" si="58"/>
        <v>0</v>
      </c>
      <c r="L78" s="2">
        <f t="shared" si="58"/>
        <v>0</v>
      </c>
      <c r="M78" s="2">
        <f t="shared" si="58"/>
        <v>0</v>
      </c>
      <c r="N78" s="2">
        <f t="shared" si="58"/>
        <v>0</v>
      </c>
      <c r="O78" s="2">
        <f t="shared" si="58"/>
        <v>0</v>
      </c>
      <c r="P78" s="2">
        <f t="shared" si="58"/>
        <v>0</v>
      </c>
      <c r="Q78" s="2">
        <f t="shared" si="58"/>
        <v>0</v>
      </c>
      <c r="R78" s="2">
        <f t="shared" si="58"/>
        <v>0</v>
      </c>
      <c r="S78" s="2">
        <f t="shared" si="58"/>
        <v>0</v>
      </c>
      <c r="T78" s="2">
        <f t="shared" si="58"/>
        <v>0</v>
      </c>
      <c r="U78" s="2">
        <f t="shared" si="58"/>
        <v>0</v>
      </c>
      <c r="V78" s="2">
        <f t="shared" si="58"/>
        <v>0</v>
      </c>
      <c r="W78" s="2">
        <f t="shared" si="58"/>
        <v>0</v>
      </c>
      <c r="X78" s="2">
        <f t="shared" si="58"/>
        <v>0</v>
      </c>
      <c r="Y78" s="2">
        <f t="shared" si="58"/>
        <v>0</v>
      </c>
      <c r="Z78" s="2">
        <f t="shared" si="58"/>
        <v>0</v>
      </c>
      <c r="AA78" s="2">
        <f t="shared" si="58"/>
        <v>0</v>
      </c>
      <c r="AB78" s="2">
        <f t="shared" si="58"/>
        <v>0</v>
      </c>
      <c r="AC78" s="2">
        <f t="shared" si="58"/>
        <v>0</v>
      </c>
      <c r="AD78" s="2">
        <f t="shared" si="58"/>
        <v>0</v>
      </c>
      <c r="AE78" s="2">
        <f t="shared" si="58"/>
        <v>0</v>
      </c>
      <c r="AF78" s="2">
        <f t="shared" si="58"/>
        <v>0</v>
      </c>
      <c r="AG78" s="2">
        <f t="shared" si="58"/>
        <v>0</v>
      </c>
      <c r="AH78" s="2">
        <f t="shared" si="58"/>
        <v>0</v>
      </c>
      <c r="AI78" s="2">
        <f t="shared" si="58"/>
        <v>0</v>
      </c>
      <c r="AJ78" s="2">
        <f t="shared" si="58"/>
        <v>0</v>
      </c>
      <c r="AK78" s="2">
        <f t="shared" si="58"/>
        <v>0</v>
      </c>
      <c r="AL78" s="2">
        <f t="shared" si="58"/>
        <v>0</v>
      </c>
      <c r="AM78" s="2">
        <f t="shared" si="58"/>
        <v>0</v>
      </c>
      <c r="AN78" s="2">
        <f t="shared" si="58"/>
        <v>0</v>
      </c>
      <c r="AO78" s="2">
        <f t="shared" si="58"/>
        <v>0</v>
      </c>
      <c r="AP78" s="2">
        <f t="shared" si="58"/>
        <v>0</v>
      </c>
      <c r="AQ78" s="2">
        <f t="shared" si="58"/>
        <v>0</v>
      </c>
      <c r="AR78" s="2">
        <f t="shared" si="58"/>
        <v>0</v>
      </c>
      <c r="AT78" s="2">
        <f t="array" ref="AT78">SUM(IF(C78:AR78&gt;=50,1,0))</f>
        <v>0</v>
      </c>
    </row>
    <row r="79" spans="1:46" x14ac:dyDescent="0.15">
      <c r="C79" s="2">
        <f t="shared" si="59"/>
        <v>36</v>
      </c>
      <c r="D79" s="2">
        <f t="shared" si="58"/>
        <v>0</v>
      </c>
      <c r="E79" s="2">
        <f t="shared" si="58"/>
        <v>0</v>
      </c>
      <c r="F79" s="2">
        <f t="shared" si="58"/>
        <v>0</v>
      </c>
      <c r="G79" s="2">
        <f t="shared" si="58"/>
        <v>0</v>
      </c>
      <c r="H79" s="2">
        <f t="shared" si="58"/>
        <v>0</v>
      </c>
      <c r="I79" s="2">
        <f t="shared" si="58"/>
        <v>0</v>
      </c>
      <c r="J79" s="2">
        <f t="shared" si="58"/>
        <v>0</v>
      </c>
      <c r="K79" s="2">
        <f t="shared" si="58"/>
        <v>0</v>
      </c>
      <c r="L79" s="2">
        <f t="shared" si="58"/>
        <v>0</v>
      </c>
      <c r="M79" s="2">
        <f t="shared" si="58"/>
        <v>0</v>
      </c>
      <c r="N79" s="2">
        <f t="shared" si="58"/>
        <v>0</v>
      </c>
      <c r="O79" s="2">
        <f t="shared" si="58"/>
        <v>0</v>
      </c>
      <c r="P79" s="2">
        <f t="shared" si="58"/>
        <v>0</v>
      </c>
      <c r="Q79" s="2">
        <f t="shared" si="58"/>
        <v>0</v>
      </c>
      <c r="R79" s="2">
        <f t="shared" si="58"/>
        <v>0</v>
      </c>
      <c r="S79" s="2">
        <f t="shared" si="58"/>
        <v>0</v>
      </c>
      <c r="T79" s="2">
        <f t="shared" si="58"/>
        <v>0</v>
      </c>
      <c r="U79" s="2">
        <f t="shared" si="58"/>
        <v>0</v>
      </c>
      <c r="V79" s="2">
        <f t="shared" si="58"/>
        <v>0</v>
      </c>
      <c r="W79" s="2">
        <f t="shared" si="58"/>
        <v>0</v>
      </c>
      <c r="X79" s="2">
        <f t="shared" si="58"/>
        <v>0</v>
      </c>
      <c r="Y79" s="2">
        <f t="shared" si="58"/>
        <v>0</v>
      </c>
      <c r="Z79" s="2">
        <f t="shared" si="58"/>
        <v>0</v>
      </c>
      <c r="AA79" s="2">
        <f t="shared" si="58"/>
        <v>0</v>
      </c>
      <c r="AB79" s="2">
        <f t="shared" si="58"/>
        <v>0</v>
      </c>
      <c r="AC79" s="2">
        <f t="shared" si="58"/>
        <v>0</v>
      </c>
      <c r="AD79" s="2">
        <f t="shared" si="58"/>
        <v>0</v>
      </c>
      <c r="AE79" s="2">
        <f t="shared" si="58"/>
        <v>0</v>
      </c>
      <c r="AF79" s="2">
        <f t="shared" si="58"/>
        <v>0</v>
      </c>
      <c r="AG79" s="2">
        <f t="shared" si="58"/>
        <v>0</v>
      </c>
      <c r="AH79" s="2">
        <f t="shared" si="58"/>
        <v>0</v>
      </c>
      <c r="AI79" s="2">
        <f t="shared" si="58"/>
        <v>0</v>
      </c>
      <c r="AJ79" s="2">
        <f t="shared" si="58"/>
        <v>0</v>
      </c>
      <c r="AK79" s="2">
        <f t="shared" si="58"/>
        <v>0</v>
      </c>
      <c r="AL79" s="2">
        <f t="shared" si="58"/>
        <v>0</v>
      </c>
      <c r="AM79" s="2">
        <f t="shared" si="58"/>
        <v>0</v>
      </c>
      <c r="AN79" s="2">
        <f t="shared" si="58"/>
        <v>0</v>
      </c>
      <c r="AO79" s="2">
        <f t="shared" si="58"/>
        <v>0</v>
      </c>
      <c r="AP79" s="2">
        <f t="shared" si="58"/>
        <v>0</v>
      </c>
      <c r="AQ79" s="2">
        <f t="shared" si="58"/>
        <v>0</v>
      </c>
      <c r="AR79" s="2">
        <f t="shared" si="58"/>
        <v>0</v>
      </c>
      <c r="AT79" s="2">
        <f t="array" ref="AT79">SUM(IF(C79:AR79&gt;=50,1,0))</f>
        <v>0</v>
      </c>
    </row>
    <row r="80" spans="1:46" x14ac:dyDescent="0.15">
      <c r="C80" s="2">
        <f t="shared" si="59"/>
        <v>0</v>
      </c>
      <c r="D80" s="2">
        <f t="shared" si="58"/>
        <v>0</v>
      </c>
      <c r="E80" s="2">
        <f t="shared" si="58"/>
        <v>0</v>
      </c>
      <c r="F80" s="2">
        <f t="shared" si="58"/>
        <v>0</v>
      </c>
      <c r="G80" s="2">
        <f t="shared" si="58"/>
        <v>0</v>
      </c>
      <c r="H80" s="2">
        <f t="shared" si="58"/>
        <v>0</v>
      </c>
      <c r="I80" s="2">
        <f t="shared" si="58"/>
        <v>0</v>
      </c>
      <c r="J80" s="2">
        <f t="shared" si="58"/>
        <v>0</v>
      </c>
      <c r="K80" s="2">
        <f t="shared" si="58"/>
        <v>0</v>
      </c>
      <c r="L80" s="2">
        <f t="shared" si="58"/>
        <v>0</v>
      </c>
      <c r="M80" s="2">
        <f t="shared" si="58"/>
        <v>0</v>
      </c>
      <c r="N80" s="2">
        <f t="shared" si="58"/>
        <v>8</v>
      </c>
      <c r="O80" s="2">
        <f t="shared" si="58"/>
        <v>0</v>
      </c>
      <c r="P80" s="2">
        <f t="shared" si="58"/>
        <v>0</v>
      </c>
      <c r="Q80" s="2">
        <f t="shared" si="58"/>
        <v>6</v>
      </c>
      <c r="R80" s="2">
        <f t="shared" si="58"/>
        <v>0</v>
      </c>
      <c r="S80" s="2">
        <f t="shared" si="58"/>
        <v>0</v>
      </c>
      <c r="T80" s="2">
        <f t="shared" si="58"/>
        <v>0</v>
      </c>
      <c r="U80" s="2">
        <f t="shared" si="58"/>
        <v>36</v>
      </c>
      <c r="V80" s="2">
        <f t="shared" si="58"/>
        <v>0</v>
      </c>
      <c r="W80" s="2">
        <f t="shared" si="58"/>
        <v>0</v>
      </c>
      <c r="X80" s="2">
        <f t="shared" si="58"/>
        <v>0</v>
      </c>
      <c r="Y80" s="2">
        <f t="shared" si="58"/>
        <v>0</v>
      </c>
      <c r="Z80" s="2">
        <f t="shared" si="58"/>
        <v>0</v>
      </c>
      <c r="AA80" s="2">
        <f t="shared" si="58"/>
        <v>0</v>
      </c>
      <c r="AB80" s="2">
        <f t="shared" si="58"/>
        <v>0</v>
      </c>
      <c r="AC80" s="2">
        <f t="shared" si="58"/>
        <v>0</v>
      </c>
      <c r="AD80" s="2">
        <f t="shared" si="58"/>
        <v>0</v>
      </c>
      <c r="AE80" s="2">
        <f t="shared" si="58"/>
        <v>0</v>
      </c>
      <c r="AF80" s="2">
        <f t="shared" si="58"/>
        <v>0</v>
      </c>
      <c r="AG80" s="2">
        <f t="shared" si="58"/>
        <v>0</v>
      </c>
      <c r="AH80" s="2">
        <f t="shared" si="58"/>
        <v>0</v>
      </c>
      <c r="AI80" s="2">
        <f t="shared" si="58"/>
        <v>0</v>
      </c>
      <c r="AJ80" s="2">
        <f t="shared" si="58"/>
        <v>0</v>
      </c>
      <c r="AK80" s="2">
        <f t="shared" si="58"/>
        <v>0</v>
      </c>
      <c r="AL80" s="2">
        <f t="shared" si="58"/>
        <v>0</v>
      </c>
      <c r="AM80" s="2">
        <f t="shared" si="58"/>
        <v>0</v>
      </c>
      <c r="AN80" s="2">
        <f t="shared" si="58"/>
        <v>0</v>
      </c>
      <c r="AO80" s="2">
        <f t="shared" si="58"/>
        <v>0</v>
      </c>
      <c r="AP80" s="2">
        <f t="shared" si="58"/>
        <v>0</v>
      </c>
      <c r="AQ80" s="2">
        <f t="shared" si="58"/>
        <v>0</v>
      </c>
      <c r="AR80" s="2">
        <f t="shared" si="58"/>
        <v>0</v>
      </c>
      <c r="AT80" s="2">
        <f t="array" ref="AT80">SUM(IF(C80:AR80&gt;=50,1,0))</f>
        <v>0</v>
      </c>
    </row>
    <row r="81" spans="3:46" x14ac:dyDescent="0.15">
      <c r="C81" s="2">
        <f t="shared" si="59"/>
        <v>49</v>
      </c>
      <c r="D81" s="2">
        <f t="shared" si="58"/>
        <v>43</v>
      </c>
      <c r="E81" s="2">
        <f t="shared" si="58"/>
        <v>0</v>
      </c>
      <c r="F81" s="2">
        <f t="shared" si="58"/>
        <v>22</v>
      </c>
      <c r="G81" s="2">
        <f t="shared" si="58"/>
        <v>0</v>
      </c>
      <c r="H81" s="2">
        <f t="shared" si="58"/>
        <v>0</v>
      </c>
      <c r="I81" s="2">
        <f t="shared" si="58"/>
        <v>0</v>
      </c>
      <c r="J81" s="2">
        <f t="shared" si="58"/>
        <v>47</v>
      </c>
      <c r="K81" s="2">
        <f t="shared" si="58"/>
        <v>19</v>
      </c>
      <c r="L81" s="2">
        <f t="shared" si="58"/>
        <v>0</v>
      </c>
      <c r="M81" s="2">
        <f t="shared" si="58"/>
        <v>0</v>
      </c>
      <c r="N81" s="2">
        <f t="shared" si="58"/>
        <v>19</v>
      </c>
      <c r="O81" s="2">
        <f t="shared" si="58"/>
        <v>28</v>
      </c>
      <c r="P81" s="2">
        <f t="shared" si="58"/>
        <v>30</v>
      </c>
      <c r="Q81" s="2">
        <f t="shared" si="58"/>
        <v>0</v>
      </c>
      <c r="R81" s="2">
        <f t="shared" si="58"/>
        <v>0</v>
      </c>
      <c r="S81" s="2">
        <f t="shared" si="58"/>
        <v>30</v>
      </c>
      <c r="T81" s="2">
        <f t="shared" si="58"/>
        <v>0</v>
      </c>
      <c r="U81" s="2">
        <f t="shared" si="58"/>
        <v>0</v>
      </c>
      <c r="V81" s="2">
        <f t="shared" si="58"/>
        <v>0</v>
      </c>
      <c r="W81" s="2">
        <f t="shared" si="58"/>
        <v>32</v>
      </c>
      <c r="X81" s="2">
        <f t="shared" si="58"/>
        <v>0</v>
      </c>
      <c r="Y81" s="2">
        <f t="shared" si="58"/>
        <v>0</v>
      </c>
      <c r="Z81" s="2">
        <f t="shared" si="58"/>
        <v>0</v>
      </c>
      <c r="AA81" s="2">
        <f t="shared" si="58"/>
        <v>0</v>
      </c>
      <c r="AB81" s="2">
        <f t="shared" ref="D81:AR87" si="60">BowlSplit(AB11,$A$75)</f>
        <v>0</v>
      </c>
      <c r="AC81" s="2">
        <f t="shared" si="60"/>
        <v>0</v>
      </c>
      <c r="AD81" s="2">
        <f t="shared" si="60"/>
        <v>0</v>
      </c>
      <c r="AE81" s="2">
        <f t="shared" si="60"/>
        <v>0</v>
      </c>
      <c r="AF81" s="2">
        <f t="shared" si="60"/>
        <v>0</v>
      </c>
      <c r="AG81" s="2">
        <f t="shared" si="60"/>
        <v>0</v>
      </c>
      <c r="AH81" s="2">
        <f t="shared" si="60"/>
        <v>0</v>
      </c>
      <c r="AI81" s="2">
        <f t="shared" si="60"/>
        <v>0</v>
      </c>
      <c r="AJ81" s="2">
        <f t="shared" si="60"/>
        <v>0</v>
      </c>
      <c r="AK81" s="2">
        <f t="shared" si="60"/>
        <v>0</v>
      </c>
      <c r="AL81" s="2">
        <f t="shared" si="60"/>
        <v>0</v>
      </c>
      <c r="AM81" s="2">
        <f t="shared" si="60"/>
        <v>0</v>
      </c>
      <c r="AN81" s="2">
        <f t="shared" si="60"/>
        <v>0</v>
      </c>
      <c r="AO81" s="2">
        <f t="shared" si="60"/>
        <v>0</v>
      </c>
      <c r="AP81" s="2">
        <f t="shared" si="60"/>
        <v>0</v>
      </c>
      <c r="AQ81" s="2">
        <f t="shared" si="60"/>
        <v>0</v>
      </c>
      <c r="AR81" s="2">
        <f t="shared" si="60"/>
        <v>0</v>
      </c>
      <c r="AT81" s="2">
        <f t="array" ref="AT81">SUM(IF(C81:AR81&gt;=50,1,0))</f>
        <v>0</v>
      </c>
    </row>
    <row r="82" spans="3:46" x14ac:dyDescent="0.15">
      <c r="C82" s="2">
        <f t="shared" si="59"/>
        <v>0</v>
      </c>
      <c r="D82" s="2">
        <f t="shared" si="60"/>
        <v>27</v>
      </c>
      <c r="E82" s="2">
        <f t="shared" si="60"/>
        <v>0</v>
      </c>
      <c r="F82" s="2">
        <f t="shared" si="60"/>
        <v>17</v>
      </c>
      <c r="G82" s="2">
        <f t="shared" si="60"/>
        <v>0</v>
      </c>
      <c r="H82" s="2">
        <f t="shared" si="60"/>
        <v>0</v>
      </c>
      <c r="I82" s="2">
        <f t="shared" si="60"/>
        <v>0</v>
      </c>
      <c r="J82" s="2">
        <f t="shared" si="60"/>
        <v>0</v>
      </c>
      <c r="K82" s="2">
        <f t="shared" si="60"/>
        <v>0</v>
      </c>
      <c r="L82" s="2">
        <f t="shared" si="60"/>
        <v>0</v>
      </c>
      <c r="M82" s="2">
        <f t="shared" si="60"/>
        <v>0</v>
      </c>
      <c r="N82" s="2">
        <f t="shared" si="60"/>
        <v>0</v>
      </c>
      <c r="O82" s="2">
        <f t="shared" si="60"/>
        <v>0</v>
      </c>
      <c r="P82" s="2">
        <f t="shared" si="60"/>
        <v>0</v>
      </c>
      <c r="Q82" s="2">
        <f t="shared" si="60"/>
        <v>0</v>
      </c>
      <c r="R82" s="2">
        <f t="shared" si="60"/>
        <v>0</v>
      </c>
      <c r="S82" s="2">
        <f t="shared" si="60"/>
        <v>0</v>
      </c>
      <c r="T82" s="2">
        <f t="shared" si="60"/>
        <v>0</v>
      </c>
      <c r="U82" s="2">
        <f t="shared" si="60"/>
        <v>0</v>
      </c>
      <c r="V82" s="2">
        <f t="shared" si="60"/>
        <v>0</v>
      </c>
      <c r="W82" s="2">
        <f t="shared" si="60"/>
        <v>0</v>
      </c>
      <c r="X82" s="2">
        <f t="shared" si="60"/>
        <v>0</v>
      </c>
      <c r="Y82" s="2">
        <f t="shared" si="60"/>
        <v>0</v>
      </c>
      <c r="Z82" s="2">
        <f t="shared" si="60"/>
        <v>0</v>
      </c>
      <c r="AA82" s="2">
        <f t="shared" si="60"/>
        <v>0</v>
      </c>
      <c r="AB82" s="2">
        <f t="shared" si="60"/>
        <v>0</v>
      </c>
      <c r="AC82" s="2">
        <f t="shared" si="60"/>
        <v>0</v>
      </c>
      <c r="AD82" s="2">
        <f t="shared" si="60"/>
        <v>0</v>
      </c>
      <c r="AE82" s="2">
        <f t="shared" si="60"/>
        <v>0</v>
      </c>
      <c r="AF82" s="2">
        <f t="shared" si="60"/>
        <v>0</v>
      </c>
      <c r="AG82" s="2">
        <f t="shared" si="60"/>
        <v>0</v>
      </c>
      <c r="AH82" s="2">
        <f t="shared" si="60"/>
        <v>0</v>
      </c>
      <c r="AI82" s="2">
        <f t="shared" si="60"/>
        <v>0</v>
      </c>
      <c r="AJ82" s="2">
        <f t="shared" si="60"/>
        <v>0</v>
      </c>
      <c r="AK82" s="2">
        <f t="shared" si="60"/>
        <v>0</v>
      </c>
      <c r="AL82" s="2">
        <f t="shared" si="60"/>
        <v>0</v>
      </c>
      <c r="AM82" s="2">
        <f t="shared" si="60"/>
        <v>0</v>
      </c>
      <c r="AN82" s="2">
        <f t="shared" si="60"/>
        <v>0</v>
      </c>
      <c r="AO82" s="2">
        <f t="shared" si="60"/>
        <v>0</v>
      </c>
      <c r="AP82" s="2">
        <f t="shared" si="60"/>
        <v>0</v>
      </c>
      <c r="AQ82" s="2">
        <f t="shared" si="60"/>
        <v>0</v>
      </c>
      <c r="AR82" s="2">
        <f t="shared" si="60"/>
        <v>0</v>
      </c>
      <c r="AT82" s="2">
        <f t="array" ref="AT82">SUM(IF(C82:AR82&gt;=50,1,0))</f>
        <v>0</v>
      </c>
    </row>
    <row r="83" spans="3:46" x14ac:dyDescent="0.15">
      <c r="C83" s="2">
        <f t="shared" si="59"/>
        <v>0</v>
      </c>
      <c r="D83" s="2">
        <f t="shared" si="60"/>
        <v>0</v>
      </c>
      <c r="E83" s="2">
        <f t="shared" si="60"/>
        <v>0</v>
      </c>
      <c r="F83" s="2">
        <f t="shared" si="60"/>
        <v>0</v>
      </c>
      <c r="G83" s="2">
        <f t="shared" si="60"/>
        <v>14</v>
      </c>
      <c r="H83" s="2">
        <f t="shared" si="60"/>
        <v>0</v>
      </c>
      <c r="I83" s="2">
        <f t="shared" si="60"/>
        <v>0</v>
      </c>
      <c r="J83" s="2">
        <f t="shared" si="60"/>
        <v>0</v>
      </c>
      <c r="K83" s="2">
        <f t="shared" si="60"/>
        <v>0</v>
      </c>
      <c r="L83" s="2">
        <f t="shared" si="60"/>
        <v>0</v>
      </c>
      <c r="M83" s="2">
        <f t="shared" si="60"/>
        <v>0</v>
      </c>
      <c r="N83" s="2">
        <f t="shared" si="60"/>
        <v>0</v>
      </c>
      <c r="O83" s="2">
        <f t="shared" si="60"/>
        <v>0</v>
      </c>
      <c r="P83" s="2">
        <f t="shared" si="60"/>
        <v>0</v>
      </c>
      <c r="Q83" s="2">
        <f t="shared" si="60"/>
        <v>0</v>
      </c>
      <c r="R83" s="2">
        <f t="shared" si="60"/>
        <v>0</v>
      </c>
      <c r="S83" s="2">
        <f t="shared" si="60"/>
        <v>0</v>
      </c>
      <c r="T83" s="2">
        <f t="shared" si="60"/>
        <v>0</v>
      </c>
      <c r="U83" s="2">
        <f t="shared" si="60"/>
        <v>0</v>
      </c>
      <c r="V83" s="2">
        <f t="shared" si="60"/>
        <v>0</v>
      </c>
      <c r="W83" s="2">
        <f t="shared" si="60"/>
        <v>0</v>
      </c>
      <c r="X83" s="2">
        <f t="shared" si="60"/>
        <v>0</v>
      </c>
      <c r="Y83" s="2">
        <f t="shared" si="60"/>
        <v>0</v>
      </c>
      <c r="Z83" s="2">
        <f t="shared" si="60"/>
        <v>0</v>
      </c>
      <c r="AA83" s="2">
        <f t="shared" si="60"/>
        <v>0</v>
      </c>
      <c r="AB83" s="2">
        <f t="shared" si="60"/>
        <v>0</v>
      </c>
      <c r="AC83" s="2">
        <f t="shared" si="60"/>
        <v>0</v>
      </c>
      <c r="AD83" s="2">
        <f t="shared" si="60"/>
        <v>0</v>
      </c>
      <c r="AE83" s="2">
        <f t="shared" si="60"/>
        <v>0</v>
      </c>
      <c r="AF83" s="2">
        <f t="shared" si="60"/>
        <v>0</v>
      </c>
      <c r="AG83" s="2">
        <f t="shared" si="60"/>
        <v>0</v>
      </c>
      <c r="AH83" s="2">
        <f t="shared" si="60"/>
        <v>0</v>
      </c>
      <c r="AI83" s="2">
        <f t="shared" si="60"/>
        <v>0</v>
      </c>
      <c r="AJ83" s="2">
        <f t="shared" si="60"/>
        <v>0</v>
      </c>
      <c r="AK83" s="2">
        <f t="shared" si="60"/>
        <v>0</v>
      </c>
      <c r="AL83" s="2">
        <f t="shared" si="60"/>
        <v>0</v>
      </c>
      <c r="AM83" s="2">
        <f t="shared" si="60"/>
        <v>0</v>
      </c>
      <c r="AN83" s="2">
        <f t="shared" si="60"/>
        <v>0</v>
      </c>
      <c r="AO83" s="2">
        <f t="shared" si="60"/>
        <v>0</v>
      </c>
      <c r="AP83" s="2">
        <f t="shared" si="60"/>
        <v>0</v>
      </c>
      <c r="AQ83" s="2">
        <f t="shared" si="60"/>
        <v>0</v>
      </c>
      <c r="AR83" s="2">
        <f t="shared" si="60"/>
        <v>0</v>
      </c>
      <c r="AT83" s="2">
        <f t="array" ref="AT83">SUM(IF(C83:AR83&gt;=50,1,0))</f>
        <v>0</v>
      </c>
    </row>
    <row r="84" spans="3:46" x14ac:dyDescent="0.15">
      <c r="C84" s="2">
        <f t="shared" si="59"/>
        <v>0</v>
      </c>
      <c r="D84" s="2">
        <f t="shared" si="60"/>
        <v>0</v>
      </c>
      <c r="E84" s="2">
        <f t="shared" si="60"/>
        <v>0</v>
      </c>
      <c r="F84" s="2">
        <f t="shared" si="60"/>
        <v>0</v>
      </c>
      <c r="G84" s="2">
        <f t="shared" si="60"/>
        <v>0</v>
      </c>
      <c r="H84" s="2">
        <f t="shared" si="60"/>
        <v>0</v>
      </c>
      <c r="I84" s="2">
        <f t="shared" si="60"/>
        <v>0</v>
      </c>
      <c r="J84" s="2">
        <f t="shared" si="60"/>
        <v>0</v>
      </c>
      <c r="K84" s="2">
        <f t="shared" si="60"/>
        <v>0</v>
      </c>
      <c r="L84" s="2">
        <f t="shared" si="60"/>
        <v>0</v>
      </c>
      <c r="M84" s="2">
        <f t="shared" si="60"/>
        <v>0</v>
      </c>
      <c r="N84" s="2">
        <f t="shared" si="60"/>
        <v>0</v>
      </c>
      <c r="O84" s="2">
        <f t="shared" si="60"/>
        <v>0</v>
      </c>
      <c r="P84" s="2">
        <f t="shared" si="60"/>
        <v>0</v>
      </c>
      <c r="Q84" s="2">
        <f t="shared" si="60"/>
        <v>0</v>
      </c>
      <c r="R84" s="2">
        <f t="shared" si="60"/>
        <v>0</v>
      </c>
      <c r="S84" s="2">
        <f t="shared" si="60"/>
        <v>0</v>
      </c>
      <c r="T84" s="2">
        <f t="shared" si="60"/>
        <v>0</v>
      </c>
      <c r="U84" s="2">
        <f t="shared" si="60"/>
        <v>0</v>
      </c>
      <c r="V84" s="2">
        <f t="shared" si="60"/>
        <v>0</v>
      </c>
      <c r="W84" s="2">
        <f t="shared" si="60"/>
        <v>0</v>
      </c>
      <c r="X84" s="2">
        <f t="shared" si="60"/>
        <v>0</v>
      </c>
      <c r="Y84" s="2">
        <f t="shared" si="60"/>
        <v>0</v>
      </c>
      <c r="Z84" s="2">
        <f t="shared" si="60"/>
        <v>0</v>
      </c>
      <c r="AA84" s="2">
        <f t="shared" si="60"/>
        <v>0</v>
      </c>
      <c r="AB84" s="2">
        <f t="shared" si="60"/>
        <v>0</v>
      </c>
      <c r="AC84" s="2">
        <f t="shared" si="60"/>
        <v>0</v>
      </c>
      <c r="AD84" s="2">
        <f t="shared" si="60"/>
        <v>0</v>
      </c>
      <c r="AE84" s="2">
        <f t="shared" si="60"/>
        <v>0</v>
      </c>
      <c r="AF84" s="2">
        <f t="shared" si="60"/>
        <v>0</v>
      </c>
      <c r="AG84" s="2">
        <f t="shared" si="60"/>
        <v>0</v>
      </c>
      <c r="AH84" s="2">
        <f t="shared" si="60"/>
        <v>0</v>
      </c>
      <c r="AI84" s="2">
        <f t="shared" si="60"/>
        <v>0</v>
      </c>
      <c r="AJ84" s="2">
        <f t="shared" si="60"/>
        <v>0</v>
      </c>
      <c r="AK84" s="2">
        <f t="shared" si="60"/>
        <v>0</v>
      </c>
      <c r="AL84" s="2">
        <f t="shared" si="60"/>
        <v>0</v>
      </c>
      <c r="AM84" s="2">
        <f t="shared" si="60"/>
        <v>0</v>
      </c>
      <c r="AN84" s="2">
        <f t="shared" si="60"/>
        <v>0</v>
      </c>
      <c r="AO84" s="2">
        <f t="shared" si="60"/>
        <v>0</v>
      </c>
      <c r="AP84" s="2">
        <f t="shared" si="60"/>
        <v>0</v>
      </c>
      <c r="AQ84" s="2">
        <f t="shared" si="60"/>
        <v>0</v>
      </c>
      <c r="AR84" s="2">
        <f t="shared" si="60"/>
        <v>0</v>
      </c>
      <c r="AT84" s="2">
        <f t="array" ref="AT84">SUM(IF(C84:AR84&gt;=50,1,0))</f>
        <v>0</v>
      </c>
    </row>
    <row r="85" spans="3:46" x14ac:dyDescent="0.15">
      <c r="C85" s="2">
        <f t="shared" si="59"/>
        <v>0</v>
      </c>
      <c r="D85" s="2">
        <f t="shared" si="60"/>
        <v>0</v>
      </c>
      <c r="E85" s="2">
        <f t="shared" si="60"/>
        <v>0</v>
      </c>
      <c r="F85" s="2">
        <f t="shared" si="60"/>
        <v>0</v>
      </c>
      <c r="G85" s="2">
        <f t="shared" si="60"/>
        <v>0</v>
      </c>
      <c r="H85" s="2">
        <f t="shared" si="60"/>
        <v>0</v>
      </c>
      <c r="I85" s="2">
        <f t="shared" si="60"/>
        <v>0</v>
      </c>
      <c r="J85" s="2">
        <f t="shared" si="60"/>
        <v>0</v>
      </c>
      <c r="K85" s="2">
        <f t="shared" si="60"/>
        <v>0</v>
      </c>
      <c r="L85" s="2">
        <f t="shared" si="60"/>
        <v>0</v>
      </c>
      <c r="M85" s="2">
        <f t="shared" si="60"/>
        <v>0</v>
      </c>
      <c r="N85" s="2">
        <f t="shared" si="60"/>
        <v>0</v>
      </c>
      <c r="O85" s="2">
        <f t="shared" si="60"/>
        <v>0</v>
      </c>
      <c r="P85" s="2">
        <f t="shared" si="60"/>
        <v>0</v>
      </c>
      <c r="Q85" s="2">
        <f t="shared" si="60"/>
        <v>0</v>
      </c>
      <c r="R85" s="2">
        <f t="shared" si="60"/>
        <v>0</v>
      </c>
      <c r="S85" s="2">
        <f t="shared" si="60"/>
        <v>0</v>
      </c>
      <c r="T85" s="2">
        <f t="shared" si="60"/>
        <v>36</v>
      </c>
      <c r="U85" s="2">
        <f t="shared" si="60"/>
        <v>0</v>
      </c>
      <c r="V85" s="2">
        <f t="shared" si="60"/>
        <v>0</v>
      </c>
      <c r="W85" s="2">
        <f t="shared" si="60"/>
        <v>0</v>
      </c>
      <c r="X85" s="2">
        <f t="shared" si="60"/>
        <v>0</v>
      </c>
      <c r="Y85" s="2">
        <f t="shared" si="60"/>
        <v>0</v>
      </c>
      <c r="Z85" s="2">
        <f t="shared" si="60"/>
        <v>0</v>
      </c>
      <c r="AA85" s="2">
        <f t="shared" si="60"/>
        <v>0</v>
      </c>
      <c r="AB85" s="2">
        <f t="shared" si="60"/>
        <v>0</v>
      </c>
      <c r="AC85" s="2">
        <f t="shared" si="60"/>
        <v>0</v>
      </c>
      <c r="AD85" s="2">
        <f t="shared" si="60"/>
        <v>0</v>
      </c>
      <c r="AE85" s="2">
        <f t="shared" si="60"/>
        <v>0</v>
      </c>
      <c r="AF85" s="2">
        <f t="shared" si="60"/>
        <v>0</v>
      </c>
      <c r="AG85" s="2">
        <f t="shared" si="60"/>
        <v>0</v>
      </c>
      <c r="AH85" s="2">
        <f t="shared" si="60"/>
        <v>0</v>
      </c>
      <c r="AI85" s="2">
        <f t="shared" si="60"/>
        <v>0</v>
      </c>
      <c r="AJ85" s="2">
        <f t="shared" si="60"/>
        <v>0</v>
      </c>
      <c r="AK85" s="2">
        <f t="shared" si="60"/>
        <v>0</v>
      </c>
      <c r="AL85" s="2">
        <f t="shared" si="60"/>
        <v>0</v>
      </c>
      <c r="AM85" s="2">
        <f t="shared" si="60"/>
        <v>0</v>
      </c>
      <c r="AN85" s="2">
        <f t="shared" si="60"/>
        <v>0</v>
      </c>
      <c r="AO85" s="2">
        <f t="shared" si="60"/>
        <v>0</v>
      </c>
      <c r="AP85" s="2">
        <f t="shared" si="60"/>
        <v>0</v>
      </c>
      <c r="AQ85" s="2">
        <f t="shared" si="60"/>
        <v>0</v>
      </c>
      <c r="AR85" s="2">
        <f t="shared" si="60"/>
        <v>0</v>
      </c>
      <c r="AT85" s="2">
        <f t="array" ref="AT85">SUM(IF(C85:AR85&gt;=50,1,0))</f>
        <v>0</v>
      </c>
    </row>
    <row r="86" spans="3:46" x14ac:dyDescent="0.15">
      <c r="C86" s="2">
        <f t="shared" si="59"/>
        <v>0</v>
      </c>
      <c r="D86" s="2">
        <f t="shared" si="60"/>
        <v>0</v>
      </c>
      <c r="E86" s="2">
        <f t="shared" si="60"/>
        <v>0</v>
      </c>
      <c r="F86" s="2">
        <f t="shared" si="60"/>
        <v>0</v>
      </c>
      <c r="G86" s="2">
        <f t="shared" si="60"/>
        <v>0</v>
      </c>
      <c r="H86" s="2">
        <f t="shared" si="60"/>
        <v>0</v>
      </c>
      <c r="I86" s="2">
        <f t="shared" si="60"/>
        <v>0</v>
      </c>
      <c r="J86" s="2">
        <f t="shared" si="60"/>
        <v>0</v>
      </c>
      <c r="K86" s="2">
        <f t="shared" si="60"/>
        <v>0</v>
      </c>
      <c r="L86" s="2">
        <f t="shared" si="60"/>
        <v>0</v>
      </c>
      <c r="M86" s="2">
        <f t="shared" si="60"/>
        <v>0</v>
      </c>
      <c r="N86" s="2">
        <f t="shared" si="60"/>
        <v>0</v>
      </c>
      <c r="O86" s="2">
        <f t="shared" si="60"/>
        <v>0</v>
      </c>
      <c r="P86" s="2">
        <f t="shared" si="60"/>
        <v>0</v>
      </c>
      <c r="Q86" s="2">
        <f t="shared" si="60"/>
        <v>0</v>
      </c>
      <c r="R86" s="2">
        <f t="shared" si="60"/>
        <v>0</v>
      </c>
      <c r="S86" s="2">
        <f t="shared" si="60"/>
        <v>0</v>
      </c>
      <c r="T86" s="2">
        <f t="shared" si="60"/>
        <v>0</v>
      </c>
      <c r="U86" s="2">
        <f t="shared" si="60"/>
        <v>0</v>
      </c>
      <c r="V86" s="2">
        <f t="shared" si="60"/>
        <v>0</v>
      </c>
      <c r="W86" s="2">
        <f t="shared" si="60"/>
        <v>0</v>
      </c>
      <c r="X86" s="2">
        <f t="shared" si="60"/>
        <v>0</v>
      </c>
      <c r="Y86" s="2">
        <f t="shared" si="60"/>
        <v>0</v>
      </c>
      <c r="Z86" s="2">
        <f t="shared" si="60"/>
        <v>0</v>
      </c>
      <c r="AA86" s="2">
        <f t="shared" si="60"/>
        <v>0</v>
      </c>
      <c r="AB86" s="2">
        <f t="shared" si="60"/>
        <v>0</v>
      </c>
      <c r="AC86" s="2">
        <f t="shared" si="60"/>
        <v>0</v>
      </c>
      <c r="AD86" s="2">
        <f t="shared" si="60"/>
        <v>0</v>
      </c>
      <c r="AE86" s="2">
        <f t="shared" si="60"/>
        <v>0</v>
      </c>
      <c r="AF86" s="2">
        <f t="shared" si="60"/>
        <v>0</v>
      </c>
      <c r="AG86" s="2">
        <f t="shared" si="60"/>
        <v>0</v>
      </c>
      <c r="AH86" s="2">
        <f t="shared" si="60"/>
        <v>0</v>
      </c>
      <c r="AI86" s="2">
        <f t="shared" si="60"/>
        <v>0</v>
      </c>
      <c r="AJ86" s="2">
        <f t="shared" si="60"/>
        <v>0</v>
      </c>
      <c r="AK86" s="2">
        <f t="shared" si="60"/>
        <v>0</v>
      </c>
      <c r="AL86" s="2">
        <f t="shared" si="60"/>
        <v>0</v>
      </c>
      <c r="AM86" s="2">
        <f t="shared" si="60"/>
        <v>0</v>
      </c>
      <c r="AN86" s="2">
        <f t="shared" si="60"/>
        <v>0</v>
      </c>
      <c r="AO86" s="2">
        <f t="shared" si="60"/>
        <v>0</v>
      </c>
      <c r="AP86" s="2">
        <f t="shared" si="60"/>
        <v>0</v>
      </c>
      <c r="AQ86" s="2">
        <f t="shared" si="60"/>
        <v>0</v>
      </c>
      <c r="AR86" s="2">
        <f t="shared" si="60"/>
        <v>0</v>
      </c>
      <c r="AT86" s="2">
        <f t="array" ref="AT86">SUM(IF(C86:AR86&gt;=50,1,0))</f>
        <v>0</v>
      </c>
    </row>
    <row r="87" spans="3:46" x14ac:dyDescent="0.15">
      <c r="C87" s="2">
        <f t="shared" si="59"/>
        <v>0</v>
      </c>
      <c r="D87" s="2">
        <f t="shared" si="60"/>
        <v>0</v>
      </c>
      <c r="E87" s="2">
        <f t="shared" si="60"/>
        <v>0</v>
      </c>
      <c r="F87" s="2">
        <f t="shared" si="60"/>
        <v>0</v>
      </c>
      <c r="G87" s="2">
        <f t="shared" si="60"/>
        <v>0</v>
      </c>
      <c r="H87" s="2">
        <f t="shared" si="60"/>
        <v>0</v>
      </c>
      <c r="I87" s="2">
        <f t="shared" si="60"/>
        <v>37</v>
      </c>
      <c r="J87" s="2">
        <f t="shared" si="60"/>
        <v>0</v>
      </c>
      <c r="K87" s="2">
        <f t="shared" si="60"/>
        <v>0</v>
      </c>
      <c r="L87" s="2">
        <f t="shared" si="60"/>
        <v>0</v>
      </c>
      <c r="M87" s="2">
        <f t="shared" si="60"/>
        <v>0</v>
      </c>
      <c r="N87" s="2">
        <f t="shared" si="60"/>
        <v>0</v>
      </c>
      <c r="O87" s="2">
        <f t="shared" si="60"/>
        <v>0</v>
      </c>
      <c r="P87" s="2">
        <f t="shared" si="60"/>
        <v>0</v>
      </c>
      <c r="Q87" s="2">
        <f t="shared" si="60"/>
        <v>0</v>
      </c>
      <c r="R87" s="2">
        <f t="shared" si="60"/>
        <v>0</v>
      </c>
      <c r="S87" s="2">
        <f t="shared" si="60"/>
        <v>0</v>
      </c>
      <c r="T87" s="2">
        <f t="shared" si="60"/>
        <v>0</v>
      </c>
      <c r="U87" s="2">
        <f t="shared" si="60"/>
        <v>0</v>
      </c>
      <c r="V87" s="2">
        <f t="shared" si="60"/>
        <v>0</v>
      </c>
      <c r="W87" s="2">
        <f t="shared" si="60"/>
        <v>0</v>
      </c>
      <c r="X87" s="2">
        <f t="shared" si="60"/>
        <v>0</v>
      </c>
      <c r="Y87" s="2">
        <f t="shared" si="60"/>
        <v>0</v>
      </c>
      <c r="Z87" s="2">
        <f t="shared" si="60"/>
        <v>0</v>
      </c>
      <c r="AA87" s="2">
        <f t="shared" si="60"/>
        <v>0</v>
      </c>
      <c r="AB87" s="2">
        <f t="shared" si="60"/>
        <v>0</v>
      </c>
      <c r="AC87" s="2">
        <f t="shared" si="60"/>
        <v>0</v>
      </c>
      <c r="AD87" s="2">
        <f t="shared" si="60"/>
        <v>0</v>
      </c>
      <c r="AE87" s="2">
        <f t="shared" si="60"/>
        <v>0</v>
      </c>
      <c r="AF87" s="2">
        <f t="shared" si="60"/>
        <v>0</v>
      </c>
      <c r="AG87" s="2">
        <f t="shared" si="60"/>
        <v>0</v>
      </c>
      <c r="AH87" s="2">
        <f t="shared" si="60"/>
        <v>0</v>
      </c>
      <c r="AI87" s="2">
        <f t="shared" si="60"/>
        <v>0</v>
      </c>
      <c r="AJ87" s="2">
        <f t="shared" si="60"/>
        <v>0</v>
      </c>
      <c r="AK87" s="2">
        <f t="shared" ref="D87:AR94" si="61">BowlSplit(AK17,$A$75)</f>
        <v>0</v>
      </c>
      <c r="AL87" s="2">
        <f t="shared" si="61"/>
        <v>0</v>
      </c>
      <c r="AM87" s="2">
        <f t="shared" si="61"/>
        <v>0</v>
      </c>
      <c r="AN87" s="2">
        <f t="shared" si="61"/>
        <v>0</v>
      </c>
      <c r="AO87" s="2">
        <f t="shared" si="61"/>
        <v>0</v>
      </c>
      <c r="AP87" s="2">
        <f t="shared" si="61"/>
        <v>0</v>
      </c>
      <c r="AQ87" s="2">
        <f t="shared" si="61"/>
        <v>0</v>
      </c>
      <c r="AR87" s="2">
        <f t="shared" si="61"/>
        <v>0</v>
      </c>
      <c r="AT87" s="2">
        <f t="array" ref="AT87">SUM(IF(C87:AR87&gt;=50,1,0))</f>
        <v>0</v>
      </c>
    </row>
    <row r="88" spans="3:46" x14ac:dyDescent="0.15">
      <c r="C88" s="2">
        <f t="shared" si="59"/>
        <v>0</v>
      </c>
      <c r="D88" s="2">
        <f t="shared" si="61"/>
        <v>0</v>
      </c>
      <c r="E88" s="2">
        <f t="shared" si="61"/>
        <v>0</v>
      </c>
      <c r="F88" s="2">
        <f t="shared" si="61"/>
        <v>0</v>
      </c>
      <c r="G88" s="2">
        <f t="shared" si="61"/>
        <v>0</v>
      </c>
      <c r="H88" s="2">
        <f t="shared" si="61"/>
        <v>0</v>
      </c>
      <c r="I88" s="2">
        <f t="shared" si="61"/>
        <v>0</v>
      </c>
      <c r="J88" s="2">
        <f t="shared" si="61"/>
        <v>0</v>
      </c>
      <c r="K88" s="2">
        <f t="shared" si="61"/>
        <v>0</v>
      </c>
      <c r="L88" s="2">
        <f t="shared" si="61"/>
        <v>0</v>
      </c>
      <c r="M88" s="2">
        <f t="shared" si="61"/>
        <v>0</v>
      </c>
      <c r="N88" s="2">
        <f t="shared" si="61"/>
        <v>0</v>
      </c>
      <c r="O88" s="2">
        <f t="shared" si="61"/>
        <v>0</v>
      </c>
      <c r="P88" s="2">
        <f t="shared" si="61"/>
        <v>0</v>
      </c>
      <c r="Q88" s="2">
        <f t="shared" si="61"/>
        <v>0</v>
      </c>
      <c r="R88" s="2">
        <f t="shared" si="61"/>
        <v>0</v>
      </c>
      <c r="S88" s="2">
        <f t="shared" si="61"/>
        <v>0</v>
      </c>
      <c r="T88" s="2">
        <f t="shared" si="61"/>
        <v>0</v>
      </c>
      <c r="U88" s="2">
        <f t="shared" si="61"/>
        <v>0</v>
      </c>
      <c r="V88" s="2">
        <f t="shared" si="61"/>
        <v>0</v>
      </c>
      <c r="W88" s="2">
        <f t="shared" si="61"/>
        <v>0</v>
      </c>
      <c r="X88" s="2">
        <f t="shared" si="61"/>
        <v>0</v>
      </c>
      <c r="Y88" s="2">
        <f t="shared" si="61"/>
        <v>0</v>
      </c>
      <c r="Z88" s="2">
        <f t="shared" si="61"/>
        <v>0</v>
      </c>
      <c r="AA88" s="2">
        <f t="shared" si="61"/>
        <v>0</v>
      </c>
      <c r="AB88" s="2">
        <f t="shared" si="61"/>
        <v>0</v>
      </c>
      <c r="AC88" s="2">
        <f t="shared" si="61"/>
        <v>0</v>
      </c>
      <c r="AD88" s="2">
        <f t="shared" si="61"/>
        <v>0</v>
      </c>
      <c r="AE88" s="2">
        <f t="shared" si="61"/>
        <v>0</v>
      </c>
      <c r="AF88" s="2">
        <f t="shared" si="61"/>
        <v>0</v>
      </c>
      <c r="AG88" s="2">
        <f t="shared" si="61"/>
        <v>0</v>
      </c>
      <c r="AH88" s="2">
        <f t="shared" si="61"/>
        <v>0</v>
      </c>
      <c r="AI88" s="2">
        <f t="shared" si="61"/>
        <v>0</v>
      </c>
      <c r="AJ88" s="2">
        <f t="shared" si="61"/>
        <v>0</v>
      </c>
      <c r="AK88" s="2">
        <f t="shared" si="61"/>
        <v>0</v>
      </c>
      <c r="AL88" s="2">
        <f t="shared" si="61"/>
        <v>0</v>
      </c>
      <c r="AM88" s="2">
        <f t="shared" si="61"/>
        <v>0</v>
      </c>
      <c r="AN88" s="2">
        <f t="shared" si="61"/>
        <v>0</v>
      </c>
      <c r="AO88" s="2">
        <f t="shared" si="61"/>
        <v>0</v>
      </c>
      <c r="AP88" s="2">
        <f t="shared" si="61"/>
        <v>0</v>
      </c>
      <c r="AQ88" s="2">
        <f t="shared" si="61"/>
        <v>0</v>
      </c>
      <c r="AR88" s="2">
        <f t="shared" si="61"/>
        <v>0</v>
      </c>
      <c r="AT88" s="2">
        <f t="array" ref="AT88">SUM(IF(C88:AR88&gt;=50,1,0))</f>
        <v>0</v>
      </c>
    </row>
    <row r="89" spans="3:46" x14ac:dyDescent="0.15">
      <c r="C89" s="2">
        <f t="shared" si="59"/>
        <v>0</v>
      </c>
      <c r="D89" s="2">
        <f t="shared" si="61"/>
        <v>0</v>
      </c>
      <c r="E89" s="2">
        <f t="shared" si="61"/>
        <v>0</v>
      </c>
      <c r="F89" s="2">
        <f t="shared" si="61"/>
        <v>0</v>
      </c>
      <c r="G89" s="2">
        <f t="shared" si="61"/>
        <v>2</v>
      </c>
      <c r="H89" s="2">
        <f t="shared" si="61"/>
        <v>0</v>
      </c>
      <c r="I89" s="2">
        <f t="shared" si="61"/>
        <v>0</v>
      </c>
      <c r="J89" s="2">
        <f t="shared" si="61"/>
        <v>0</v>
      </c>
      <c r="K89" s="2">
        <f t="shared" si="61"/>
        <v>0</v>
      </c>
      <c r="L89" s="2">
        <f t="shared" si="61"/>
        <v>0</v>
      </c>
      <c r="M89" s="2">
        <f t="shared" si="61"/>
        <v>0</v>
      </c>
      <c r="N89" s="2">
        <f t="shared" si="61"/>
        <v>0</v>
      </c>
      <c r="O89" s="2">
        <f t="shared" si="61"/>
        <v>0</v>
      </c>
      <c r="P89" s="2">
        <f t="shared" si="61"/>
        <v>0</v>
      </c>
      <c r="Q89" s="2">
        <f t="shared" si="61"/>
        <v>0</v>
      </c>
      <c r="R89" s="2">
        <f t="shared" si="61"/>
        <v>0</v>
      </c>
      <c r="S89" s="2">
        <f t="shared" si="61"/>
        <v>0</v>
      </c>
      <c r="T89" s="2">
        <f t="shared" si="61"/>
        <v>0</v>
      </c>
      <c r="U89" s="2">
        <f t="shared" si="61"/>
        <v>0</v>
      </c>
      <c r="V89" s="2">
        <f t="shared" si="61"/>
        <v>0</v>
      </c>
      <c r="W89" s="2">
        <f t="shared" si="61"/>
        <v>0</v>
      </c>
      <c r="X89" s="2">
        <f t="shared" si="61"/>
        <v>0</v>
      </c>
      <c r="Y89" s="2">
        <f t="shared" si="61"/>
        <v>0</v>
      </c>
      <c r="Z89" s="2">
        <f t="shared" si="61"/>
        <v>0</v>
      </c>
      <c r="AA89" s="2">
        <f t="shared" si="61"/>
        <v>0</v>
      </c>
      <c r="AB89" s="2">
        <f t="shared" si="61"/>
        <v>0</v>
      </c>
      <c r="AC89" s="2">
        <f t="shared" si="61"/>
        <v>0</v>
      </c>
      <c r="AD89" s="2">
        <f t="shared" si="61"/>
        <v>0</v>
      </c>
      <c r="AE89" s="2">
        <f t="shared" si="61"/>
        <v>0</v>
      </c>
      <c r="AF89" s="2">
        <f t="shared" si="61"/>
        <v>0</v>
      </c>
      <c r="AG89" s="2">
        <f t="shared" si="61"/>
        <v>0</v>
      </c>
      <c r="AH89" s="2">
        <f t="shared" si="61"/>
        <v>0</v>
      </c>
      <c r="AI89" s="2">
        <f t="shared" si="61"/>
        <v>0</v>
      </c>
      <c r="AJ89" s="2">
        <f t="shared" si="61"/>
        <v>0</v>
      </c>
      <c r="AK89" s="2">
        <f t="shared" si="61"/>
        <v>0</v>
      </c>
      <c r="AL89" s="2">
        <f t="shared" si="61"/>
        <v>0</v>
      </c>
      <c r="AM89" s="2">
        <f t="shared" si="61"/>
        <v>0</v>
      </c>
      <c r="AN89" s="2">
        <f t="shared" si="61"/>
        <v>0</v>
      </c>
      <c r="AO89" s="2">
        <f t="shared" si="61"/>
        <v>0</v>
      </c>
      <c r="AP89" s="2">
        <f t="shared" si="61"/>
        <v>0</v>
      </c>
      <c r="AQ89" s="2">
        <f t="shared" si="61"/>
        <v>0</v>
      </c>
      <c r="AR89" s="2">
        <f t="shared" si="61"/>
        <v>0</v>
      </c>
      <c r="AT89" s="2">
        <f t="array" ref="AT89">SUM(IF(C89:AR89&gt;=50,1,0))</f>
        <v>0</v>
      </c>
    </row>
    <row r="90" spans="3:46" x14ac:dyDescent="0.15">
      <c r="C90" s="2">
        <f t="shared" si="59"/>
        <v>0</v>
      </c>
      <c r="D90" s="2">
        <f t="shared" si="61"/>
        <v>0</v>
      </c>
      <c r="E90" s="2">
        <f t="shared" si="61"/>
        <v>0</v>
      </c>
      <c r="F90" s="2">
        <f t="shared" si="61"/>
        <v>0</v>
      </c>
      <c r="G90" s="2">
        <f t="shared" si="61"/>
        <v>0</v>
      </c>
      <c r="H90" s="2">
        <f t="shared" si="61"/>
        <v>0</v>
      </c>
      <c r="I90" s="2">
        <f t="shared" si="61"/>
        <v>0</v>
      </c>
      <c r="J90" s="2">
        <f t="shared" si="61"/>
        <v>0</v>
      </c>
      <c r="K90" s="2">
        <f t="shared" si="61"/>
        <v>0</v>
      </c>
      <c r="L90" s="2">
        <f t="shared" si="61"/>
        <v>0</v>
      </c>
      <c r="M90" s="2">
        <f t="shared" si="61"/>
        <v>0</v>
      </c>
      <c r="N90" s="2">
        <f t="shared" si="61"/>
        <v>0</v>
      </c>
      <c r="O90" s="2">
        <f t="shared" si="61"/>
        <v>0</v>
      </c>
      <c r="P90" s="2">
        <f t="shared" si="61"/>
        <v>0</v>
      </c>
      <c r="Q90" s="2">
        <f t="shared" si="61"/>
        <v>0</v>
      </c>
      <c r="R90" s="2">
        <f t="shared" si="61"/>
        <v>0</v>
      </c>
      <c r="S90" s="2">
        <f t="shared" si="61"/>
        <v>0</v>
      </c>
      <c r="T90" s="2">
        <f t="shared" si="61"/>
        <v>0</v>
      </c>
      <c r="U90" s="2">
        <f t="shared" si="61"/>
        <v>0</v>
      </c>
      <c r="V90" s="2">
        <f t="shared" si="61"/>
        <v>0</v>
      </c>
      <c r="W90" s="2">
        <f t="shared" si="61"/>
        <v>0</v>
      </c>
      <c r="X90" s="2">
        <f t="shared" si="61"/>
        <v>0</v>
      </c>
      <c r="Y90" s="2">
        <f t="shared" si="61"/>
        <v>0</v>
      </c>
      <c r="Z90" s="2">
        <f t="shared" si="61"/>
        <v>0</v>
      </c>
      <c r="AA90" s="2">
        <f t="shared" si="61"/>
        <v>0</v>
      </c>
      <c r="AB90" s="2">
        <f t="shared" si="61"/>
        <v>0</v>
      </c>
      <c r="AC90" s="2">
        <f t="shared" si="61"/>
        <v>0</v>
      </c>
      <c r="AD90" s="2">
        <f t="shared" si="61"/>
        <v>0</v>
      </c>
      <c r="AE90" s="2">
        <f t="shared" si="61"/>
        <v>0</v>
      </c>
      <c r="AF90" s="2">
        <f t="shared" si="61"/>
        <v>0</v>
      </c>
      <c r="AG90" s="2">
        <f t="shared" si="61"/>
        <v>0</v>
      </c>
      <c r="AH90" s="2">
        <f t="shared" si="61"/>
        <v>0</v>
      </c>
      <c r="AI90" s="2">
        <f t="shared" si="61"/>
        <v>0</v>
      </c>
      <c r="AJ90" s="2">
        <f t="shared" si="61"/>
        <v>0</v>
      </c>
      <c r="AK90" s="2">
        <f t="shared" si="61"/>
        <v>0</v>
      </c>
      <c r="AL90" s="2">
        <f t="shared" si="61"/>
        <v>0</v>
      </c>
      <c r="AM90" s="2">
        <f t="shared" si="61"/>
        <v>0</v>
      </c>
      <c r="AN90" s="2">
        <f t="shared" si="61"/>
        <v>0</v>
      </c>
      <c r="AO90" s="2">
        <f t="shared" si="61"/>
        <v>0</v>
      </c>
      <c r="AP90" s="2">
        <f t="shared" si="61"/>
        <v>0</v>
      </c>
      <c r="AQ90" s="2">
        <f t="shared" si="61"/>
        <v>0</v>
      </c>
      <c r="AR90" s="2">
        <f t="shared" si="61"/>
        <v>0</v>
      </c>
      <c r="AT90" s="2">
        <f t="array" ref="AT90">SUM(IF(C90:AR90&gt;=50,1,0))</f>
        <v>0</v>
      </c>
    </row>
    <row r="91" spans="3:46" x14ac:dyDescent="0.15">
      <c r="C91" s="2">
        <f t="shared" si="59"/>
        <v>0</v>
      </c>
      <c r="D91" s="2">
        <f t="shared" si="61"/>
        <v>0</v>
      </c>
      <c r="E91" s="2">
        <f t="shared" si="61"/>
        <v>0</v>
      </c>
      <c r="F91" s="2">
        <f t="shared" si="61"/>
        <v>0</v>
      </c>
      <c r="G91" s="2">
        <f t="shared" si="61"/>
        <v>37</v>
      </c>
      <c r="H91" s="2">
        <f t="shared" si="61"/>
        <v>0</v>
      </c>
      <c r="I91" s="2">
        <f t="shared" si="61"/>
        <v>0</v>
      </c>
      <c r="J91" s="2">
        <f t="shared" si="61"/>
        <v>0</v>
      </c>
      <c r="K91" s="2">
        <f t="shared" si="61"/>
        <v>0</v>
      </c>
      <c r="L91" s="2">
        <f t="shared" si="61"/>
        <v>0</v>
      </c>
      <c r="M91" s="2">
        <f t="shared" si="61"/>
        <v>0</v>
      </c>
      <c r="N91" s="2">
        <f t="shared" si="61"/>
        <v>0</v>
      </c>
      <c r="O91" s="2">
        <f t="shared" si="61"/>
        <v>0</v>
      </c>
      <c r="P91" s="2">
        <f t="shared" si="61"/>
        <v>26</v>
      </c>
      <c r="Q91" s="2">
        <f t="shared" si="61"/>
        <v>0</v>
      </c>
      <c r="R91" s="2">
        <f t="shared" si="61"/>
        <v>0</v>
      </c>
      <c r="S91" s="2">
        <f t="shared" si="61"/>
        <v>55</v>
      </c>
      <c r="T91" s="2">
        <f t="shared" si="61"/>
        <v>0</v>
      </c>
      <c r="U91" s="2">
        <f t="shared" si="61"/>
        <v>0</v>
      </c>
      <c r="V91" s="2">
        <f t="shared" si="61"/>
        <v>0</v>
      </c>
      <c r="W91" s="2">
        <f t="shared" si="61"/>
        <v>0</v>
      </c>
      <c r="X91" s="2">
        <f t="shared" si="61"/>
        <v>0</v>
      </c>
      <c r="Y91" s="2">
        <f t="shared" si="61"/>
        <v>0</v>
      </c>
      <c r="Z91" s="2">
        <f t="shared" si="61"/>
        <v>0</v>
      </c>
      <c r="AA91" s="2">
        <f t="shared" si="61"/>
        <v>0</v>
      </c>
      <c r="AB91" s="2">
        <f t="shared" si="61"/>
        <v>0</v>
      </c>
      <c r="AC91" s="2">
        <f t="shared" si="61"/>
        <v>0</v>
      </c>
      <c r="AD91" s="2">
        <f t="shared" si="61"/>
        <v>0</v>
      </c>
      <c r="AE91" s="2">
        <f t="shared" si="61"/>
        <v>0</v>
      </c>
      <c r="AF91" s="2">
        <f t="shared" si="61"/>
        <v>0</v>
      </c>
      <c r="AG91" s="2">
        <f t="shared" si="61"/>
        <v>0</v>
      </c>
      <c r="AH91" s="2">
        <f t="shared" si="61"/>
        <v>0</v>
      </c>
      <c r="AI91" s="2">
        <f t="shared" si="61"/>
        <v>0</v>
      </c>
      <c r="AJ91" s="2">
        <f t="shared" si="61"/>
        <v>0</v>
      </c>
      <c r="AK91" s="2">
        <f t="shared" si="61"/>
        <v>0</v>
      </c>
      <c r="AL91" s="2">
        <f t="shared" si="61"/>
        <v>0</v>
      </c>
      <c r="AM91" s="2">
        <f t="shared" si="61"/>
        <v>0</v>
      </c>
      <c r="AN91" s="2">
        <f t="shared" si="61"/>
        <v>0</v>
      </c>
      <c r="AO91" s="2">
        <f t="shared" si="61"/>
        <v>0</v>
      </c>
      <c r="AP91" s="2">
        <f t="shared" si="61"/>
        <v>0</v>
      </c>
      <c r="AQ91" s="2">
        <f t="shared" si="61"/>
        <v>0</v>
      </c>
      <c r="AR91" s="2">
        <f t="shared" si="61"/>
        <v>0</v>
      </c>
      <c r="AT91" s="2">
        <f t="array" ref="AT91">SUM(IF(C91:AR91&gt;=50,1,0))</f>
        <v>1</v>
      </c>
    </row>
    <row r="92" spans="3:46" x14ac:dyDescent="0.15">
      <c r="C92" s="2">
        <f t="shared" si="59"/>
        <v>13</v>
      </c>
      <c r="D92" s="2">
        <f t="shared" si="61"/>
        <v>31</v>
      </c>
      <c r="E92" s="2">
        <f t="shared" si="61"/>
        <v>50</v>
      </c>
      <c r="F92" s="2">
        <f t="shared" si="61"/>
        <v>25</v>
      </c>
      <c r="G92" s="2">
        <f t="shared" si="61"/>
        <v>0</v>
      </c>
      <c r="H92" s="2">
        <f t="shared" si="61"/>
        <v>40</v>
      </c>
      <c r="I92" s="2">
        <f t="shared" si="61"/>
        <v>0</v>
      </c>
      <c r="J92" s="2">
        <f t="shared" si="61"/>
        <v>0</v>
      </c>
      <c r="K92" s="2">
        <f t="shared" si="61"/>
        <v>16</v>
      </c>
      <c r="L92" s="2">
        <f t="shared" si="61"/>
        <v>44</v>
      </c>
      <c r="M92" s="2">
        <f t="shared" si="61"/>
        <v>31</v>
      </c>
      <c r="N92" s="2">
        <f t="shared" si="61"/>
        <v>14</v>
      </c>
      <c r="O92" s="2">
        <f t="shared" si="61"/>
        <v>0</v>
      </c>
      <c r="P92" s="2">
        <f t="shared" si="61"/>
        <v>0</v>
      </c>
      <c r="Q92" s="2">
        <f t="shared" si="61"/>
        <v>0</v>
      </c>
      <c r="R92" s="2">
        <f t="shared" si="61"/>
        <v>8</v>
      </c>
      <c r="S92" s="2">
        <f t="shared" si="61"/>
        <v>21</v>
      </c>
      <c r="T92" s="2">
        <f t="shared" si="61"/>
        <v>10</v>
      </c>
      <c r="U92" s="2">
        <f t="shared" si="61"/>
        <v>28</v>
      </c>
      <c r="V92" s="2">
        <f t="shared" si="61"/>
        <v>41</v>
      </c>
      <c r="W92" s="2">
        <f t="shared" si="61"/>
        <v>15</v>
      </c>
      <c r="X92" s="2">
        <f t="shared" si="61"/>
        <v>0</v>
      </c>
      <c r="Y92" s="2">
        <f t="shared" si="61"/>
        <v>0</v>
      </c>
      <c r="Z92" s="2">
        <f t="shared" si="61"/>
        <v>0</v>
      </c>
      <c r="AA92" s="2">
        <f t="shared" si="61"/>
        <v>0</v>
      </c>
      <c r="AB92" s="2">
        <f t="shared" si="61"/>
        <v>0</v>
      </c>
      <c r="AC92" s="2">
        <f t="shared" si="61"/>
        <v>0</v>
      </c>
      <c r="AD92" s="2">
        <f t="shared" si="61"/>
        <v>0</v>
      </c>
      <c r="AE92" s="2">
        <f t="shared" si="61"/>
        <v>0</v>
      </c>
      <c r="AF92" s="2">
        <f t="shared" si="61"/>
        <v>0</v>
      </c>
      <c r="AG92" s="2">
        <f t="shared" si="61"/>
        <v>0</v>
      </c>
      <c r="AH92" s="2">
        <f t="shared" si="61"/>
        <v>0</v>
      </c>
      <c r="AI92" s="2">
        <f t="shared" si="61"/>
        <v>0</v>
      </c>
      <c r="AJ92" s="2">
        <f t="shared" si="61"/>
        <v>0</v>
      </c>
      <c r="AK92" s="2">
        <f t="shared" si="61"/>
        <v>0</v>
      </c>
      <c r="AL92" s="2">
        <f t="shared" si="61"/>
        <v>0</v>
      </c>
      <c r="AM92" s="2">
        <f t="shared" si="61"/>
        <v>0</v>
      </c>
      <c r="AN92" s="2">
        <f t="shared" si="61"/>
        <v>0</v>
      </c>
      <c r="AO92" s="2">
        <f t="shared" si="61"/>
        <v>0</v>
      </c>
      <c r="AP92" s="2">
        <f t="shared" si="61"/>
        <v>0</v>
      </c>
      <c r="AQ92" s="2">
        <f t="shared" si="61"/>
        <v>0</v>
      </c>
      <c r="AR92" s="2">
        <f t="shared" si="61"/>
        <v>0</v>
      </c>
      <c r="AT92" s="2">
        <f t="array" ref="AT92">SUM(IF(C92:AR92&gt;=50,1,0))</f>
        <v>1</v>
      </c>
    </row>
    <row r="93" spans="3:46" x14ac:dyDescent="0.15">
      <c r="C93" s="2">
        <f t="shared" si="59"/>
        <v>41</v>
      </c>
      <c r="D93" s="2">
        <f t="shared" si="61"/>
        <v>0</v>
      </c>
      <c r="E93" s="2">
        <f t="shared" si="61"/>
        <v>0</v>
      </c>
      <c r="F93" s="2">
        <f t="shared" si="61"/>
        <v>0</v>
      </c>
      <c r="G93" s="2">
        <f t="shared" si="61"/>
        <v>0</v>
      </c>
      <c r="H93" s="2">
        <f t="shared" si="61"/>
        <v>35</v>
      </c>
      <c r="I93" s="2">
        <f t="shared" si="61"/>
        <v>36</v>
      </c>
      <c r="J93" s="2">
        <f t="shared" si="61"/>
        <v>24</v>
      </c>
      <c r="K93" s="2">
        <f t="shared" si="61"/>
        <v>17</v>
      </c>
      <c r="L93" s="2">
        <f t="shared" si="61"/>
        <v>48</v>
      </c>
      <c r="M93" s="2">
        <f t="shared" si="61"/>
        <v>21</v>
      </c>
      <c r="N93" s="2">
        <f t="shared" si="61"/>
        <v>15</v>
      </c>
      <c r="O93" s="2">
        <f t="shared" si="61"/>
        <v>19</v>
      </c>
      <c r="P93" s="2">
        <f t="shared" si="61"/>
        <v>25</v>
      </c>
      <c r="Q93" s="2">
        <f t="shared" si="61"/>
        <v>32</v>
      </c>
      <c r="R93" s="2">
        <f t="shared" si="61"/>
        <v>0</v>
      </c>
      <c r="S93" s="2">
        <f t="shared" si="61"/>
        <v>28</v>
      </c>
      <c r="T93" s="2">
        <f t="shared" si="61"/>
        <v>0</v>
      </c>
      <c r="U93" s="2">
        <f t="shared" si="61"/>
        <v>21</v>
      </c>
      <c r="V93" s="2">
        <f t="shared" si="61"/>
        <v>27</v>
      </c>
      <c r="W93" s="2">
        <f t="shared" si="61"/>
        <v>27</v>
      </c>
      <c r="X93" s="2">
        <f t="shared" si="61"/>
        <v>0</v>
      </c>
      <c r="Y93" s="2">
        <f t="shared" si="61"/>
        <v>0</v>
      </c>
      <c r="Z93" s="2">
        <f t="shared" si="61"/>
        <v>0</v>
      </c>
      <c r="AA93" s="2">
        <f t="shared" si="61"/>
        <v>0</v>
      </c>
      <c r="AB93" s="2">
        <f t="shared" si="61"/>
        <v>0</v>
      </c>
      <c r="AC93" s="2">
        <f t="shared" si="61"/>
        <v>0</v>
      </c>
      <c r="AD93" s="2">
        <f t="shared" si="61"/>
        <v>0</v>
      </c>
      <c r="AE93" s="2">
        <f t="shared" si="61"/>
        <v>0</v>
      </c>
      <c r="AF93" s="2">
        <f t="shared" si="61"/>
        <v>0</v>
      </c>
      <c r="AG93" s="2">
        <f t="shared" si="61"/>
        <v>0</v>
      </c>
      <c r="AH93" s="2">
        <f t="shared" si="61"/>
        <v>0</v>
      </c>
      <c r="AI93" s="2">
        <f t="shared" si="61"/>
        <v>0</v>
      </c>
      <c r="AJ93" s="2">
        <f t="shared" si="61"/>
        <v>0</v>
      </c>
      <c r="AK93" s="2">
        <f t="shared" si="61"/>
        <v>0</v>
      </c>
      <c r="AL93" s="2">
        <f t="shared" si="61"/>
        <v>0</v>
      </c>
      <c r="AM93" s="2">
        <f t="shared" si="61"/>
        <v>0</v>
      </c>
      <c r="AN93" s="2">
        <f t="shared" si="61"/>
        <v>0</v>
      </c>
      <c r="AO93" s="2">
        <f t="shared" si="61"/>
        <v>0</v>
      </c>
      <c r="AP93" s="2">
        <f t="shared" si="61"/>
        <v>0</v>
      </c>
      <c r="AQ93" s="2">
        <f t="shared" si="61"/>
        <v>0</v>
      </c>
      <c r="AR93" s="2">
        <f t="shared" si="61"/>
        <v>0</v>
      </c>
      <c r="AT93" s="2">
        <f t="array" ref="AT93">SUM(IF(C93:AR93&gt;=50,1,0))</f>
        <v>0</v>
      </c>
    </row>
    <row r="94" spans="3:46" x14ac:dyDescent="0.15">
      <c r="C94" s="2">
        <f t="shared" si="59"/>
        <v>0</v>
      </c>
      <c r="D94" s="2">
        <f t="shared" si="61"/>
        <v>0</v>
      </c>
      <c r="E94" s="2">
        <f t="shared" ref="D94:AR100" si="62">BowlSplit(E24,$A$75)</f>
        <v>0</v>
      </c>
      <c r="F94" s="2">
        <f t="shared" si="62"/>
        <v>0</v>
      </c>
      <c r="G94" s="2">
        <f t="shared" si="62"/>
        <v>14</v>
      </c>
      <c r="H94" s="2">
        <f t="shared" si="62"/>
        <v>0</v>
      </c>
      <c r="I94" s="2">
        <f t="shared" si="62"/>
        <v>0</v>
      </c>
      <c r="J94" s="2">
        <f t="shared" si="62"/>
        <v>0</v>
      </c>
      <c r="K94" s="2">
        <f t="shared" si="62"/>
        <v>0</v>
      </c>
      <c r="L94" s="2">
        <f t="shared" si="62"/>
        <v>0</v>
      </c>
      <c r="M94" s="2">
        <f t="shared" si="62"/>
        <v>0</v>
      </c>
      <c r="N94" s="2">
        <f t="shared" si="62"/>
        <v>0</v>
      </c>
      <c r="O94" s="2">
        <f t="shared" si="62"/>
        <v>0</v>
      </c>
      <c r="P94" s="2">
        <f t="shared" si="62"/>
        <v>0</v>
      </c>
      <c r="Q94" s="2">
        <f t="shared" si="62"/>
        <v>0</v>
      </c>
      <c r="R94" s="2">
        <f t="shared" si="62"/>
        <v>0</v>
      </c>
      <c r="S94" s="2">
        <f t="shared" si="62"/>
        <v>0</v>
      </c>
      <c r="T94" s="2">
        <f t="shared" si="62"/>
        <v>0</v>
      </c>
      <c r="U94" s="2">
        <f t="shared" si="62"/>
        <v>0</v>
      </c>
      <c r="V94" s="2">
        <f t="shared" si="62"/>
        <v>0</v>
      </c>
      <c r="W94" s="2">
        <f t="shared" si="62"/>
        <v>0</v>
      </c>
      <c r="X94" s="2">
        <f t="shared" si="62"/>
        <v>0</v>
      </c>
      <c r="Y94" s="2">
        <f t="shared" si="62"/>
        <v>0</v>
      </c>
      <c r="Z94" s="2">
        <f t="shared" si="62"/>
        <v>0</v>
      </c>
      <c r="AA94" s="2">
        <f t="shared" si="62"/>
        <v>0</v>
      </c>
      <c r="AB94" s="2">
        <f t="shared" si="62"/>
        <v>0</v>
      </c>
      <c r="AC94" s="2">
        <f t="shared" si="62"/>
        <v>0</v>
      </c>
      <c r="AD94" s="2">
        <f t="shared" si="62"/>
        <v>0</v>
      </c>
      <c r="AE94" s="2">
        <f t="shared" si="62"/>
        <v>0</v>
      </c>
      <c r="AF94" s="2">
        <f t="shared" si="62"/>
        <v>0</v>
      </c>
      <c r="AG94" s="2">
        <f t="shared" si="62"/>
        <v>0</v>
      </c>
      <c r="AH94" s="2">
        <f t="shared" si="62"/>
        <v>0</v>
      </c>
      <c r="AI94" s="2">
        <f t="shared" si="62"/>
        <v>0</v>
      </c>
      <c r="AJ94" s="2">
        <f t="shared" si="62"/>
        <v>0</v>
      </c>
      <c r="AK94" s="2">
        <f t="shared" si="62"/>
        <v>0</v>
      </c>
      <c r="AL94" s="2">
        <f t="shared" si="62"/>
        <v>0</v>
      </c>
      <c r="AM94" s="2">
        <f t="shared" si="62"/>
        <v>0</v>
      </c>
      <c r="AN94" s="2">
        <f t="shared" si="62"/>
        <v>0</v>
      </c>
      <c r="AO94" s="2">
        <f t="shared" si="62"/>
        <v>0</v>
      </c>
      <c r="AP94" s="2">
        <f t="shared" si="62"/>
        <v>0</v>
      </c>
      <c r="AQ94" s="2">
        <f t="shared" si="62"/>
        <v>0</v>
      </c>
      <c r="AR94" s="2">
        <f t="shared" si="62"/>
        <v>0</v>
      </c>
      <c r="AT94" s="2">
        <f t="array" ref="AT94">SUM(IF(C94:AR94&gt;=50,1,0))</f>
        <v>0</v>
      </c>
    </row>
    <row r="95" spans="3:46" x14ac:dyDescent="0.15">
      <c r="C95" s="2">
        <f t="shared" si="59"/>
        <v>0</v>
      </c>
      <c r="D95" s="2">
        <f t="shared" si="62"/>
        <v>0</v>
      </c>
      <c r="E95" s="2">
        <f t="shared" si="62"/>
        <v>0</v>
      </c>
      <c r="F95" s="2">
        <f t="shared" si="62"/>
        <v>0</v>
      </c>
      <c r="G95" s="2">
        <f t="shared" si="62"/>
        <v>0</v>
      </c>
      <c r="H95" s="2">
        <f t="shared" si="62"/>
        <v>0</v>
      </c>
      <c r="I95" s="2">
        <f t="shared" si="62"/>
        <v>0</v>
      </c>
      <c r="J95" s="2">
        <f t="shared" si="62"/>
        <v>21</v>
      </c>
      <c r="K95" s="2">
        <f t="shared" si="62"/>
        <v>0</v>
      </c>
      <c r="L95" s="2">
        <f t="shared" si="62"/>
        <v>0</v>
      </c>
      <c r="M95" s="2">
        <f t="shared" si="62"/>
        <v>0</v>
      </c>
      <c r="N95" s="2">
        <f t="shared" si="62"/>
        <v>0</v>
      </c>
      <c r="O95" s="2">
        <f t="shared" si="62"/>
        <v>0</v>
      </c>
      <c r="P95" s="2">
        <f t="shared" si="62"/>
        <v>0</v>
      </c>
      <c r="Q95" s="2">
        <f t="shared" si="62"/>
        <v>0</v>
      </c>
      <c r="R95" s="2">
        <f t="shared" si="62"/>
        <v>0</v>
      </c>
      <c r="S95" s="2">
        <f t="shared" si="62"/>
        <v>0</v>
      </c>
      <c r="T95" s="2">
        <f t="shared" si="62"/>
        <v>0</v>
      </c>
      <c r="U95" s="2">
        <f t="shared" si="62"/>
        <v>0</v>
      </c>
      <c r="V95" s="2">
        <f t="shared" si="62"/>
        <v>0</v>
      </c>
      <c r="W95" s="2">
        <f t="shared" si="62"/>
        <v>0</v>
      </c>
      <c r="X95" s="2">
        <f t="shared" si="62"/>
        <v>0</v>
      </c>
      <c r="Y95" s="2">
        <f t="shared" si="62"/>
        <v>0</v>
      </c>
      <c r="Z95" s="2">
        <f t="shared" si="62"/>
        <v>0</v>
      </c>
      <c r="AA95" s="2">
        <f t="shared" si="62"/>
        <v>0</v>
      </c>
      <c r="AB95" s="2">
        <f t="shared" si="62"/>
        <v>0</v>
      </c>
      <c r="AC95" s="2">
        <f t="shared" si="62"/>
        <v>0</v>
      </c>
      <c r="AD95" s="2">
        <f t="shared" si="62"/>
        <v>0</v>
      </c>
      <c r="AE95" s="2">
        <f t="shared" si="62"/>
        <v>0</v>
      </c>
      <c r="AF95" s="2">
        <f t="shared" si="62"/>
        <v>0</v>
      </c>
      <c r="AG95" s="2">
        <f t="shared" si="62"/>
        <v>0</v>
      </c>
      <c r="AH95" s="2">
        <f t="shared" si="62"/>
        <v>0</v>
      </c>
      <c r="AI95" s="2">
        <f t="shared" si="62"/>
        <v>0</v>
      </c>
      <c r="AJ95" s="2">
        <f t="shared" si="62"/>
        <v>0</v>
      </c>
      <c r="AK95" s="2">
        <f t="shared" si="62"/>
        <v>0</v>
      </c>
      <c r="AL95" s="2">
        <f t="shared" si="62"/>
        <v>0</v>
      </c>
      <c r="AM95" s="2">
        <f t="shared" si="62"/>
        <v>0</v>
      </c>
      <c r="AN95" s="2">
        <f t="shared" si="62"/>
        <v>0</v>
      </c>
      <c r="AO95" s="2">
        <f t="shared" si="62"/>
        <v>0</v>
      </c>
      <c r="AP95" s="2">
        <f t="shared" si="62"/>
        <v>0</v>
      </c>
      <c r="AQ95" s="2">
        <f t="shared" si="62"/>
        <v>0</v>
      </c>
      <c r="AR95" s="2">
        <f t="shared" si="62"/>
        <v>0</v>
      </c>
      <c r="AT95" s="2">
        <f t="array" ref="AT95">SUM(IF(C95:AR95&gt;=50,1,0))</f>
        <v>0</v>
      </c>
    </row>
    <row r="96" spans="3:46" x14ac:dyDescent="0.15">
      <c r="C96" s="2">
        <f t="shared" si="59"/>
        <v>0</v>
      </c>
      <c r="D96" s="2">
        <f t="shared" si="62"/>
        <v>0</v>
      </c>
      <c r="E96" s="2">
        <f t="shared" si="62"/>
        <v>0</v>
      </c>
      <c r="F96" s="2">
        <f t="shared" si="62"/>
        <v>0</v>
      </c>
      <c r="G96" s="2">
        <f t="shared" si="62"/>
        <v>0</v>
      </c>
      <c r="H96" s="2">
        <f t="shared" si="62"/>
        <v>0</v>
      </c>
      <c r="I96" s="2">
        <f t="shared" si="62"/>
        <v>0</v>
      </c>
      <c r="J96" s="2">
        <f t="shared" si="62"/>
        <v>0</v>
      </c>
      <c r="K96" s="2">
        <f t="shared" si="62"/>
        <v>0</v>
      </c>
      <c r="L96" s="2">
        <f t="shared" si="62"/>
        <v>0</v>
      </c>
      <c r="M96" s="2">
        <f t="shared" si="62"/>
        <v>0</v>
      </c>
      <c r="N96" s="2">
        <f t="shared" si="62"/>
        <v>0</v>
      </c>
      <c r="O96" s="2">
        <f t="shared" si="62"/>
        <v>0</v>
      </c>
      <c r="P96" s="2">
        <f t="shared" si="62"/>
        <v>0</v>
      </c>
      <c r="Q96" s="2">
        <f t="shared" si="62"/>
        <v>0</v>
      </c>
      <c r="R96" s="2">
        <f t="shared" si="62"/>
        <v>0</v>
      </c>
      <c r="S96" s="2">
        <f t="shared" si="62"/>
        <v>0</v>
      </c>
      <c r="T96" s="2">
        <f t="shared" si="62"/>
        <v>0</v>
      </c>
      <c r="U96" s="2">
        <f t="shared" si="62"/>
        <v>0</v>
      </c>
      <c r="V96" s="2">
        <f t="shared" si="62"/>
        <v>0</v>
      </c>
      <c r="W96" s="2">
        <f t="shared" si="62"/>
        <v>0</v>
      </c>
      <c r="X96" s="2">
        <f t="shared" si="62"/>
        <v>0</v>
      </c>
      <c r="Y96" s="2">
        <f t="shared" si="62"/>
        <v>0</v>
      </c>
      <c r="Z96" s="2">
        <f t="shared" si="62"/>
        <v>0</v>
      </c>
      <c r="AA96" s="2">
        <f t="shared" si="62"/>
        <v>0</v>
      </c>
      <c r="AB96" s="2">
        <f t="shared" si="62"/>
        <v>0</v>
      </c>
      <c r="AC96" s="2">
        <f t="shared" si="62"/>
        <v>0</v>
      </c>
      <c r="AD96" s="2">
        <f t="shared" si="62"/>
        <v>0</v>
      </c>
      <c r="AE96" s="2">
        <f t="shared" si="62"/>
        <v>0</v>
      </c>
      <c r="AF96" s="2">
        <f t="shared" si="62"/>
        <v>0</v>
      </c>
      <c r="AG96" s="2">
        <f t="shared" si="62"/>
        <v>0</v>
      </c>
      <c r="AH96" s="2">
        <f t="shared" si="62"/>
        <v>0</v>
      </c>
      <c r="AI96" s="2">
        <f t="shared" si="62"/>
        <v>0</v>
      </c>
      <c r="AJ96" s="2">
        <f t="shared" si="62"/>
        <v>0</v>
      </c>
      <c r="AK96" s="2">
        <f t="shared" si="62"/>
        <v>0</v>
      </c>
      <c r="AL96" s="2">
        <f t="shared" si="62"/>
        <v>0</v>
      </c>
      <c r="AM96" s="2">
        <f t="shared" si="62"/>
        <v>0</v>
      </c>
      <c r="AN96" s="2">
        <f t="shared" si="62"/>
        <v>0</v>
      </c>
      <c r="AO96" s="2">
        <f t="shared" si="62"/>
        <v>0</v>
      </c>
      <c r="AP96" s="2">
        <f t="shared" si="62"/>
        <v>0</v>
      </c>
      <c r="AQ96" s="2">
        <f t="shared" si="62"/>
        <v>0</v>
      </c>
      <c r="AR96" s="2">
        <f t="shared" si="62"/>
        <v>0</v>
      </c>
      <c r="AT96" s="2">
        <f t="array" ref="AT96">SUM(IF(C96:AR96&gt;=50,1,0))</f>
        <v>0</v>
      </c>
    </row>
    <row r="97" spans="3:46" x14ac:dyDescent="0.15">
      <c r="C97" s="2">
        <f t="shared" si="59"/>
        <v>0</v>
      </c>
      <c r="D97" s="2">
        <f t="shared" si="62"/>
        <v>0</v>
      </c>
      <c r="E97" s="2">
        <f t="shared" si="62"/>
        <v>0</v>
      </c>
      <c r="F97" s="2">
        <f t="shared" si="62"/>
        <v>23</v>
      </c>
      <c r="G97" s="2">
        <f t="shared" si="62"/>
        <v>0</v>
      </c>
      <c r="H97" s="2">
        <f t="shared" si="62"/>
        <v>0</v>
      </c>
      <c r="I97" s="2">
        <f t="shared" si="62"/>
        <v>0</v>
      </c>
      <c r="J97" s="2">
        <f t="shared" si="62"/>
        <v>0</v>
      </c>
      <c r="K97" s="2">
        <f t="shared" si="62"/>
        <v>0</v>
      </c>
      <c r="L97" s="2">
        <f t="shared" si="62"/>
        <v>0</v>
      </c>
      <c r="M97" s="2">
        <f t="shared" si="62"/>
        <v>0</v>
      </c>
      <c r="N97" s="2">
        <f t="shared" si="62"/>
        <v>0</v>
      </c>
      <c r="O97" s="2">
        <f t="shared" si="62"/>
        <v>0</v>
      </c>
      <c r="P97" s="2">
        <f t="shared" si="62"/>
        <v>0</v>
      </c>
      <c r="Q97" s="2">
        <f t="shared" si="62"/>
        <v>0</v>
      </c>
      <c r="R97" s="2">
        <f t="shared" si="62"/>
        <v>0</v>
      </c>
      <c r="S97" s="2">
        <f t="shared" si="62"/>
        <v>0</v>
      </c>
      <c r="T97" s="2">
        <f t="shared" si="62"/>
        <v>0</v>
      </c>
      <c r="U97" s="2">
        <f t="shared" si="62"/>
        <v>0</v>
      </c>
      <c r="V97" s="2">
        <f t="shared" si="62"/>
        <v>0</v>
      </c>
      <c r="W97" s="2">
        <f t="shared" si="62"/>
        <v>0</v>
      </c>
      <c r="X97" s="2">
        <f t="shared" si="62"/>
        <v>0</v>
      </c>
      <c r="Y97" s="2">
        <f t="shared" si="62"/>
        <v>0</v>
      </c>
      <c r="Z97" s="2">
        <f t="shared" si="62"/>
        <v>0</v>
      </c>
      <c r="AA97" s="2">
        <f t="shared" si="62"/>
        <v>0</v>
      </c>
      <c r="AB97" s="2">
        <f t="shared" si="62"/>
        <v>0</v>
      </c>
      <c r="AC97" s="2">
        <f t="shared" si="62"/>
        <v>0</v>
      </c>
      <c r="AD97" s="2">
        <f t="shared" si="62"/>
        <v>0</v>
      </c>
      <c r="AE97" s="2">
        <f t="shared" si="62"/>
        <v>0</v>
      </c>
      <c r="AF97" s="2">
        <f t="shared" si="62"/>
        <v>0</v>
      </c>
      <c r="AG97" s="2">
        <f t="shared" si="62"/>
        <v>0</v>
      </c>
      <c r="AH97" s="2">
        <f t="shared" si="62"/>
        <v>0</v>
      </c>
      <c r="AI97" s="2">
        <f t="shared" si="62"/>
        <v>0</v>
      </c>
      <c r="AJ97" s="2">
        <f t="shared" si="62"/>
        <v>0</v>
      </c>
      <c r="AK97" s="2">
        <f t="shared" si="62"/>
        <v>0</v>
      </c>
      <c r="AL97" s="2">
        <f t="shared" si="62"/>
        <v>0</v>
      </c>
      <c r="AM97" s="2">
        <f t="shared" si="62"/>
        <v>0</v>
      </c>
      <c r="AN97" s="2">
        <f t="shared" si="62"/>
        <v>0</v>
      </c>
      <c r="AO97" s="2">
        <f t="shared" si="62"/>
        <v>0</v>
      </c>
      <c r="AP97" s="2">
        <f t="shared" si="62"/>
        <v>0</v>
      </c>
      <c r="AQ97" s="2">
        <f t="shared" si="62"/>
        <v>0</v>
      </c>
      <c r="AR97" s="2">
        <f t="shared" si="62"/>
        <v>0</v>
      </c>
      <c r="AT97" s="2">
        <f t="array" ref="AT97">SUM(IF(C97:AR97&gt;=50,1,0))</f>
        <v>0</v>
      </c>
    </row>
    <row r="98" spans="3:46" x14ac:dyDescent="0.15">
      <c r="C98" s="2">
        <f t="shared" si="59"/>
        <v>0</v>
      </c>
      <c r="D98" s="2">
        <f t="shared" si="62"/>
        <v>0</v>
      </c>
      <c r="E98" s="2">
        <f t="shared" si="62"/>
        <v>0</v>
      </c>
      <c r="F98" s="2">
        <f t="shared" si="62"/>
        <v>38</v>
      </c>
      <c r="G98" s="2">
        <f t="shared" si="62"/>
        <v>13</v>
      </c>
      <c r="H98" s="2">
        <f t="shared" si="62"/>
        <v>0</v>
      </c>
      <c r="I98" s="2">
        <f t="shared" si="62"/>
        <v>99</v>
      </c>
      <c r="J98" s="2">
        <f t="shared" si="62"/>
        <v>31</v>
      </c>
      <c r="K98" s="2">
        <f t="shared" si="62"/>
        <v>0</v>
      </c>
      <c r="L98" s="2">
        <f t="shared" si="62"/>
        <v>32</v>
      </c>
      <c r="M98" s="2">
        <f t="shared" si="62"/>
        <v>42</v>
      </c>
      <c r="N98" s="2">
        <f t="shared" si="62"/>
        <v>26</v>
      </c>
      <c r="O98" s="2">
        <f t="shared" si="62"/>
        <v>43</v>
      </c>
      <c r="P98" s="2">
        <f t="shared" si="62"/>
        <v>25</v>
      </c>
      <c r="Q98" s="2">
        <f t="shared" si="62"/>
        <v>0</v>
      </c>
      <c r="R98" s="2">
        <f t="shared" si="62"/>
        <v>27</v>
      </c>
      <c r="S98" s="2">
        <f t="shared" si="62"/>
        <v>0</v>
      </c>
      <c r="T98" s="2">
        <f t="shared" si="62"/>
        <v>41</v>
      </c>
      <c r="U98" s="2">
        <f t="shared" si="62"/>
        <v>11</v>
      </c>
      <c r="V98" s="2">
        <f t="shared" si="62"/>
        <v>21</v>
      </c>
      <c r="W98" s="2">
        <f t="shared" si="62"/>
        <v>0</v>
      </c>
      <c r="X98" s="2">
        <f t="shared" si="62"/>
        <v>0</v>
      </c>
      <c r="Y98" s="2">
        <f t="shared" si="62"/>
        <v>0</v>
      </c>
      <c r="Z98" s="2">
        <f t="shared" si="62"/>
        <v>0</v>
      </c>
      <c r="AA98" s="2">
        <f t="shared" si="62"/>
        <v>0</v>
      </c>
      <c r="AB98" s="2">
        <f t="shared" si="62"/>
        <v>0</v>
      </c>
      <c r="AC98" s="2">
        <f t="shared" si="62"/>
        <v>0</v>
      </c>
      <c r="AD98" s="2">
        <f t="shared" si="62"/>
        <v>0</v>
      </c>
      <c r="AE98" s="2">
        <f t="shared" si="62"/>
        <v>0</v>
      </c>
      <c r="AF98" s="2">
        <f t="shared" si="62"/>
        <v>0</v>
      </c>
      <c r="AG98" s="2">
        <f t="shared" si="62"/>
        <v>0</v>
      </c>
      <c r="AH98" s="2">
        <f t="shared" si="62"/>
        <v>0</v>
      </c>
      <c r="AI98" s="2">
        <f t="shared" si="62"/>
        <v>0</v>
      </c>
      <c r="AJ98" s="2">
        <f t="shared" si="62"/>
        <v>0</v>
      </c>
      <c r="AK98" s="2">
        <f t="shared" si="62"/>
        <v>0</v>
      </c>
      <c r="AL98" s="2">
        <f t="shared" si="62"/>
        <v>0</v>
      </c>
      <c r="AM98" s="2">
        <f t="shared" si="62"/>
        <v>0</v>
      </c>
      <c r="AN98" s="2">
        <f t="shared" si="62"/>
        <v>0</v>
      </c>
      <c r="AO98" s="2">
        <f t="shared" si="62"/>
        <v>0</v>
      </c>
      <c r="AP98" s="2">
        <f t="shared" si="62"/>
        <v>0</v>
      </c>
      <c r="AQ98" s="2">
        <f t="shared" si="62"/>
        <v>0</v>
      </c>
      <c r="AR98" s="2">
        <f t="shared" si="62"/>
        <v>0</v>
      </c>
      <c r="AT98" s="2">
        <f t="array" ref="AT98">SUM(IF(C98:AR98&gt;=50,1,0))</f>
        <v>1</v>
      </c>
    </row>
    <row r="99" spans="3:46" x14ac:dyDescent="0.15">
      <c r="C99" s="2">
        <f t="shared" si="59"/>
        <v>20</v>
      </c>
      <c r="D99" s="2">
        <f t="shared" si="62"/>
        <v>0</v>
      </c>
      <c r="E99" s="2">
        <f t="shared" si="62"/>
        <v>43</v>
      </c>
      <c r="F99" s="2">
        <f t="shared" si="62"/>
        <v>0</v>
      </c>
      <c r="G99" s="2">
        <f t="shared" si="62"/>
        <v>0</v>
      </c>
      <c r="H99" s="2">
        <f t="shared" si="62"/>
        <v>46</v>
      </c>
      <c r="I99" s="2">
        <f t="shared" si="62"/>
        <v>0</v>
      </c>
      <c r="J99" s="2">
        <f t="shared" si="62"/>
        <v>0</v>
      </c>
      <c r="K99" s="2">
        <f t="shared" si="62"/>
        <v>32</v>
      </c>
      <c r="L99" s="2">
        <f t="shared" si="62"/>
        <v>0</v>
      </c>
      <c r="M99" s="2">
        <f t="shared" si="62"/>
        <v>38</v>
      </c>
      <c r="N99" s="2">
        <f t="shared" si="62"/>
        <v>0</v>
      </c>
      <c r="O99" s="2">
        <f t="shared" si="62"/>
        <v>0</v>
      </c>
      <c r="P99" s="2">
        <f t="shared" si="62"/>
        <v>0</v>
      </c>
      <c r="Q99" s="2">
        <f t="shared" si="62"/>
        <v>0</v>
      </c>
      <c r="R99" s="2">
        <f t="shared" si="62"/>
        <v>0</v>
      </c>
      <c r="S99" s="2">
        <f t="shared" si="62"/>
        <v>20</v>
      </c>
      <c r="T99" s="2">
        <f t="shared" si="62"/>
        <v>26</v>
      </c>
      <c r="U99" s="2">
        <f t="shared" si="62"/>
        <v>3</v>
      </c>
      <c r="V99" s="2">
        <f t="shared" si="62"/>
        <v>51</v>
      </c>
      <c r="W99" s="2">
        <f t="shared" si="62"/>
        <v>30</v>
      </c>
      <c r="X99" s="2">
        <f t="shared" si="62"/>
        <v>0</v>
      </c>
      <c r="Y99" s="2">
        <f t="shared" si="62"/>
        <v>0</v>
      </c>
      <c r="Z99" s="2">
        <f t="shared" si="62"/>
        <v>0</v>
      </c>
      <c r="AA99" s="2">
        <f t="shared" si="62"/>
        <v>0</v>
      </c>
      <c r="AB99" s="2">
        <f t="shared" si="62"/>
        <v>0</v>
      </c>
      <c r="AC99" s="2">
        <f t="shared" si="62"/>
        <v>0</v>
      </c>
      <c r="AD99" s="2">
        <f t="shared" si="62"/>
        <v>0</v>
      </c>
      <c r="AE99" s="2">
        <f t="shared" si="62"/>
        <v>0</v>
      </c>
      <c r="AF99" s="2">
        <f t="shared" si="62"/>
        <v>0</v>
      </c>
      <c r="AG99" s="2">
        <f t="shared" si="62"/>
        <v>0</v>
      </c>
      <c r="AH99" s="2">
        <f t="shared" si="62"/>
        <v>0</v>
      </c>
      <c r="AI99" s="2">
        <f t="shared" si="62"/>
        <v>0</v>
      </c>
      <c r="AJ99" s="2">
        <f t="shared" si="62"/>
        <v>0</v>
      </c>
      <c r="AK99" s="2">
        <f t="shared" si="62"/>
        <v>0</v>
      </c>
      <c r="AL99" s="2">
        <f t="shared" si="62"/>
        <v>0</v>
      </c>
      <c r="AM99" s="2">
        <f t="shared" si="62"/>
        <v>0</v>
      </c>
      <c r="AN99" s="2">
        <f t="shared" si="62"/>
        <v>0</v>
      </c>
      <c r="AO99" s="2">
        <f t="shared" si="62"/>
        <v>0</v>
      </c>
      <c r="AP99" s="2">
        <f t="shared" si="62"/>
        <v>0</v>
      </c>
      <c r="AQ99" s="2">
        <f t="shared" si="62"/>
        <v>0</v>
      </c>
      <c r="AR99" s="2">
        <f t="shared" si="62"/>
        <v>0</v>
      </c>
      <c r="AT99" s="2">
        <f t="array" ref="AT99">SUM(IF(C99:AR99&gt;=50,1,0))</f>
        <v>1</v>
      </c>
    </row>
    <row r="100" spans="3:46" x14ac:dyDescent="0.15">
      <c r="C100" s="2">
        <f t="shared" si="59"/>
        <v>0</v>
      </c>
      <c r="D100" s="2">
        <f t="shared" si="62"/>
        <v>0</v>
      </c>
      <c r="E100" s="2">
        <f t="shared" si="62"/>
        <v>0</v>
      </c>
      <c r="F100" s="2">
        <f t="shared" si="62"/>
        <v>0</v>
      </c>
      <c r="G100" s="2">
        <f t="shared" si="62"/>
        <v>0</v>
      </c>
      <c r="H100" s="2">
        <f t="shared" si="62"/>
        <v>0</v>
      </c>
      <c r="I100" s="2">
        <f t="shared" si="62"/>
        <v>0</v>
      </c>
      <c r="J100" s="2">
        <f t="shared" si="62"/>
        <v>0</v>
      </c>
      <c r="K100" s="2">
        <f t="shared" si="62"/>
        <v>0</v>
      </c>
      <c r="L100" s="2">
        <f t="shared" si="62"/>
        <v>0</v>
      </c>
      <c r="M100" s="2">
        <f t="shared" si="62"/>
        <v>0</v>
      </c>
      <c r="N100" s="2">
        <f t="shared" ref="D100:AR104" si="63">BowlSplit(N30,$A$75)</f>
        <v>0</v>
      </c>
      <c r="O100" s="2">
        <f t="shared" si="63"/>
        <v>0</v>
      </c>
      <c r="P100" s="2">
        <f t="shared" si="63"/>
        <v>0</v>
      </c>
      <c r="Q100" s="2">
        <f t="shared" si="63"/>
        <v>0</v>
      </c>
      <c r="R100" s="2">
        <f t="shared" si="63"/>
        <v>22</v>
      </c>
      <c r="S100" s="2">
        <f t="shared" si="63"/>
        <v>0</v>
      </c>
      <c r="T100" s="2">
        <f t="shared" si="63"/>
        <v>0</v>
      </c>
      <c r="U100" s="2">
        <f t="shared" si="63"/>
        <v>0</v>
      </c>
      <c r="V100" s="2">
        <f t="shared" si="63"/>
        <v>0</v>
      </c>
      <c r="W100" s="2">
        <f t="shared" si="63"/>
        <v>0</v>
      </c>
      <c r="X100" s="2">
        <f t="shared" si="63"/>
        <v>0</v>
      </c>
      <c r="Y100" s="2">
        <f t="shared" si="63"/>
        <v>0</v>
      </c>
      <c r="Z100" s="2">
        <f t="shared" si="63"/>
        <v>0</v>
      </c>
      <c r="AA100" s="2">
        <f t="shared" si="63"/>
        <v>0</v>
      </c>
      <c r="AB100" s="2">
        <f t="shared" si="63"/>
        <v>0</v>
      </c>
      <c r="AC100" s="2">
        <f t="shared" si="63"/>
        <v>0</v>
      </c>
      <c r="AD100" s="2">
        <f t="shared" si="63"/>
        <v>0</v>
      </c>
      <c r="AE100" s="2">
        <f t="shared" si="63"/>
        <v>0</v>
      </c>
      <c r="AF100" s="2">
        <f t="shared" si="63"/>
        <v>0</v>
      </c>
      <c r="AG100" s="2">
        <f t="shared" si="63"/>
        <v>0</v>
      </c>
      <c r="AH100" s="2">
        <f t="shared" si="63"/>
        <v>0</v>
      </c>
      <c r="AI100" s="2">
        <f t="shared" si="63"/>
        <v>0</v>
      </c>
      <c r="AJ100" s="2">
        <f t="shared" si="63"/>
        <v>0</v>
      </c>
      <c r="AK100" s="2">
        <f t="shared" si="63"/>
        <v>0</v>
      </c>
      <c r="AL100" s="2">
        <f t="shared" si="63"/>
        <v>0</v>
      </c>
      <c r="AM100" s="2">
        <f t="shared" si="63"/>
        <v>0</v>
      </c>
      <c r="AN100" s="2">
        <f t="shared" si="63"/>
        <v>0</v>
      </c>
      <c r="AO100" s="2">
        <f t="shared" si="63"/>
        <v>0</v>
      </c>
      <c r="AP100" s="2">
        <f t="shared" si="63"/>
        <v>0</v>
      </c>
      <c r="AQ100" s="2">
        <f t="shared" si="63"/>
        <v>0</v>
      </c>
      <c r="AR100" s="2">
        <f t="shared" si="63"/>
        <v>0</v>
      </c>
      <c r="AT100" s="2">
        <f t="array" ref="AT100">SUM(IF(C100:AR100&gt;=50,1,0))</f>
        <v>0</v>
      </c>
    </row>
    <row r="101" spans="3:46" x14ac:dyDescent="0.15">
      <c r="C101" s="2">
        <f t="shared" si="59"/>
        <v>0</v>
      </c>
      <c r="D101" s="2">
        <f t="shared" si="63"/>
        <v>0</v>
      </c>
      <c r="E101" s="2">
        <f t="shared" si="63"/>
        <v>0</v>
      </c>
      <c r="F101" s="2">
        <f t="shared" si="63"/>
        <v>0</v>
      </c>
      <c r="G101" s="2">
        <f t="shared" si="63"/>
        <v>0</v>
      </c>
      <c r="H101" s="2">
        <f t="shared" si="63"/>
        <v>0</v>
      </c>
      <c r="I101" s="2">
        <f t="shared" si="63"/>
        <v>12</v>
      </c>
      <c r="J101" s="2">
        <f t="shared" si="63"/>
        <v>6</v>
      </c>
      <c r="K101" s="2">
        <f t="shared" si="63"/>
        <v>0</v>
      </c>
      <c r="L101" s="2">
        <f t="shared" si="63"/>
        <v>0</v>
      </c>
      <c r="M101" s="2">
        <f t="shared" si="63"/>
        <v>0</v>
      </c>
      <c r="N101" s="2">
        <f t="shared" si="63"/>
        <v>0</v>
      </c>
      <c r="O101" s="2">
        <f t="shared" si="63"/>
        <v>0</v>
      </c>
      <c r="P101" s="2">
        <f t="shared" si="63"/>
        <v>17</v>
      </c>
      <c r="Q101" s="2">
        <f t="shared" si="63"/>
        <v>0</v>
      </c>
      <c r="R101" s="2">
        <f t="shared" si="63"/>
        <v>0</v>
      </c>
      <c r="S101" s="2">
        <f t="shared" si="63"/>
        <v>0</v>
      </c>
      <c r="T101" s="2">
        <f t="shared" si="63"/>
        <v>0</v>
      </c>
      <c r="U101" s="2">
        <f t="shared" si="63"/>
        <v>0</v>
      </c>
      <c r="V101" s="2">
        <f t="shared" si="63"/>
        <v>0</v>
      </c>
      <c r="W101" s="2">
        <f t="shared" si="63"/>
        <v>0</v>
      </c>
      <c r="X101" s="2">
        <f t="shared" si="63"/>
        <v>0</v>
      </c>
      <c r="Y101" s="2">
        <f t="shared" si="63"/>
        <v>0</v>
      </c>
      <c r="Z101" s="2">
        <f t="shared" si="63"/>
        <v>0</v>
      </c>
      <c r="AA101" s="2">
        <f t="shared" si="63"/>
        <v>0</v>
      </c>
      <c r="AB101" s="2">
        <f t="shared" si="63"/>
        <v>0</v>
      </c>
      <c r="AC101" s="2">
        <f t="shared" si="63"/>
        <v>0</v>
      </c>
      <c r="AD101" s="2">
        <f t="shared" si="63"/>
        <v>0</v>
      </c>
      <c r="AE101" s="2">
        <f t="shared" si="63"/>
        <v>0</v>
      </c>
      <c r="AF101" s="2">
        <f t="shared" si="63"/>
        <v>0</v>
      </c>
      <c r="AG101" s="2">
        <f t="shared" si="63"/>
        <v>0</v>
      </c>
      <c r="AH101" s="2">
        <f t="shared" si="63"/>
        <v>0</v>
      </c>
      <c r="AI101" s="2">
        <f t="shared" si="63"/>
        <v>0</v>
      </c>
      <c r="AJ101" s="2">
        <f t="shared" si="63"/>
        <v>0</v>
      </c>
      <c r="AK101" s="2">
        <f t="shared" si="63"/>
        <v>0</v>
      </c>
      <c r="AL101" s="2">
        <f t="shared" si="63"/>
        <v>0</v>
      </c>
      <c r="AM101" s="2">
        <f t="shared" si="63"/>
        <v>0</v>
      </c>
      <c r="AN101" s="2">
        <f t="shared" si="63"/>
        <v>0</v>
      </c>
      <c r="AO101" s="2">
        <f t="shared" si="63"/>
        <v>0</v>
      </c>
      <c r="AP101" s="2">
        <f t="shared" si="63"/>
        <v>0</v>
      </c>
      <c r="AQ101" s="2">
        <f t="shared" si="63"/>
        <v>0</v>
      </c>
      <c r="AR101" s="2">
        <f t="shared" si="63"/>
        <v>0</v>
      </c>
      <c r="AT101" s="2">
        <f t="array" ref="AT101">SUM(IF(C101:AR101&gt;=50,1,0))</f>
        <v>0</v>
      </c>
    </row>
    <row r="102" spans="3:46" x14ac:dyDescent="0.15">
      <c r="C102" s="2">
        <f t="shared" si="59"/>
        <v>0</v>
      </c>
      <c r="D102" s="2">
        <f t="shared" si="63"/>
        <v>0</v>
      </c>
      <c r="E102" s="2">
        <f t="shared" si="63"/>
        <v>29</v>
      </c>
      <c r="F102" s="2">
        <f t="shared" si="63"/>
        <v>39</v>
      </c>
      <c r="G102" s="2">
        <f t="shared" si="63"/>
        <v>0</v>
      </c>
      <c r="H102" s="2">
        <f t="shared" si="63"/>
        <v>24</v>
      </c>
      <c r="I102" s="2">
        <f t="shared" si="63"/>
        <v>53</v>
      </c>
      <c r="J102" s="2">
        <f t="shared" si="63"/>
        <v>0</v>
      </c>
      <c r="K102" s="2">
        <f t="shared" si="63"/>
        <v>0</v>
      </c>
      <c r="L102" s="2">
        <f t="shared" si="63"/>
        <v>34</v>
      </c>
      <c r="M102" s="2">
        <f t="shared" si="63"/>
        <v>31</v>
      </c>
      <c r="N102" s="2">
        <f t="shared" si="63"/>
        <v>0</v>
      </c>
      <c r="O102" s="2">
        <f t="shared" si="63"/>
        <v>28</v>
      </c>
      <c r="P102" s="2">
        <f t="shared" si="63"/>
        <v>25</v>
      </c>
      <c r="Q102" s="2">
        <f t="shared" si="63"/>
        <v>24</v>
      </c>
      <c r="R102" s="2">
        <f t="shared" si="63"/>
        <v>25</v>
      </c>
      <c r="S102" s="2">
        <f t="shared" si="63"/>
        <v>0</v>
      </c>
      <c r="T102" s="2">
        <f t="shared" si="63"/>
        <v>0</v>
      </c>
      <c r="U102" s="2">
        <f t="shared" si="63"/>
        <v>0</v>
      </c>
      <c r="V102" s="2">
        <f t="shared" si="63"/>
        <v>0</v>
      </c>
      <c r="W102" s="2">
        <f t="shared" si="63"/>
        <v>22</v>
      </c>
      <c r="X102" s="2">
        <f t="shared" si="63"/>
        <v>0</v>
      </c>
      <c r="Y102" s="2">
        <f t="shared" si="63"/>
        <v>0</v>
      </c>
      <c r="Z102" s="2">
        <f t="shared" si="63"/>
        <v>0</v>
      </c>
      <c r="AA102" s="2">
        <f t="shared" si="63"/>
        <v>0</v>
      </c>
      <c r="AB102" s="2">
        <f t="shared" si="63"/>
        <v>0</v>
      </c>
      <c r="AC102" s="2">
        <f t="shared" si="63"/>
        <v>0</v>
      </c>
      <c r="AD102" s="2">
        <f t="shared" si="63"/>
        <v>0</v>
      </c>
      <c r="AE102" s="2">
        <f t="shared" si="63"/>
        <v>0</v>
      </c>
      <c r="AF102" s="2">
        <f t="shared" si="63"/>
        <v>0</v>
      </c>
      <c r="AG102" s="2">
        <f t="shared" si="63"/>
        <v>0</v>
      </c>
      <c r="AH102" s="2">
        <f t="shared" si="63"/>
        <v>0</v>
      </c>
      <c r="AI102" s="2">
        <f t="shared" si="63"/>
        <v>0</v>
      </c>
      <c r="AJ102" s="2">
        <f t="shared" si="63"/>
        <v>0</v>
      </c>
      <c r="AK102" s="2">
        <f t="shared" si="63"/>
        <v>0</v>
      </c>
      <c r="AL102" s="2">
        <f t="shared" si="63"/>
        <v>0</v>
      </c>
      <c r="AM102" s="2">
        <f t="shared" si="63"/>
        <v>0</v>
      </c>
      <c r="AN102" s="2">
        <f t="shared" si="63"/>
        <v>0</v>
      </c>
      <c r="AO102" s="2">
        <f t="shared" si="63"/>
        <v>0</v>
      </c>
      <c r="AP102" s="2">
        <f t="shared" si="63"/>
        <v>0</v>
      </c>
      <c r="AQ102" s="2">
        <f t="shared" si="63"/>
        <v>0</v>
      </c>
      <c r="AR102" s="2">
        <f t="shared" si="63"/>
        <v>0</v>
      </c>
      <c r="AT102" s="2">
        <f t="array" ref="AT102">SUM(IF(C102:AR102&gt;=50,1,0))</f>
        <v>1</v>
      </c>
    </row>
    <row r="103" spans="3:46" x14ac:dyDescent="0.15">
      <c r="C103" s="2">
        <f t="shared" si="59"/>
        <v>0</v>
      </c>
      <c r="D103" s="2">
        <f t="shared" si="63"/>
        <v>0</v>
      </c>
      <c r="E103" s="2">
        <f t="shared" si="63"/>
        <v>0</v>
      </c>
      <c r="F103" s="2">
        <f t="shared" si="63"/>
        <v>0</v>
      </c>
      <c r="G103" s="2">
        <f t="shared" si="63"/>
        <v>0</v>
      </c>
      <c r="H103" s="2">
        <f t="shared" si="63"/>
        <v>0</v>
      </c>
      <c r="I103" s="2">
        <f t="shared" si="63"/>
        <v>0</v>
      </c>
      <c r="J103" s="2">
        <f t="shared" si="63"/>
        <v>0</v>
      </c>
      <c r="K103" s="2">
        <f t="shared" si="63"/>
        <v>0</v>
      </c>
      <c r="L103" s="2">
        <f t="shared" si="63"/>
        <v>0</v>
      </c>
      <c r="M103" s="2">
        <f t="shared" si="63"/>
        <v>0</v>
      </c>
      <c r="N103" s="2">
        <f t="shared" si="63"/>
        <v>0</v>
      </c>
      <c r="O103" s="2">
        <f t="shared" si="63"/>
        <v>0</v>
      </c>
      <c r="P103" s="2">
        <f t="shared" si="63"/>
        <v>0</v>
      </c>
      <c r="Q103" s="2">
        <f t="shared" si="63"/>
        <v>0</v>
      </c>
      <c r="R103" s="2">
        <f t="shared" si="63"/>
        <v>0</v>
      </c>
      <c r="S103" s="2">
        <f t="shared" si="63"/>
        <v>0</v>
      </c>
      <c r="T103" s="2">
        <f t="shared" si="63"/>
        <v>0</v>
      </c>
      <c r="U103" s="2">
        <f t="shared" si="63"/>
        <v>0</v>
      </c>
      <c r="V103" s="2">
        <f t="shared" si="63"/>
        <v>0</v>
      </c>
      <c r="W103" s="2">
        <f t="shared" si="63"/>
        <v>0</v>
      </c>
      <c r="X103" s="2">
        <f t="shared" si="63"/>
        <v>0</v>
      </c>
      <c r="Y103" s="2">
        <f t="shared" si="63"/>
        <v>0</v>
      </c>
      <c r="Z103" s="2">
        <f t="shared" si="63"/>
        <v>0</v>
      </c>
      <c r="AA103" s="2">
        <f t="shared" si="63"/>
        <v>0</v>
      </c>
      <c r="AB103" s="2">
        <f t="shared" si="63"/>
        <v>0</v>
      </c>
      <c r="AC103" s="2">
        <f t="shared" si="63"/>
        <v>0</v>
      </c>
      <c r="AD103" s="2">
        <f t="shared" si="63"/>
        <v>0</v>
      </c>
      <c r="AE103" s="2">
        <f t="shared" si="63"/>
        <v>0</v>
      </c>
      <c r="AF103" s="2">
        <f t="shared" si="63"/>
        <v>0</v>
      </c>
      <c r="AG103" s="2">
        <f t="shared" si="63"/>
        <v>0</v>
      </c>
      <c r="AH103" s="2">
        <f t="shared" si="63"/>
        <v>0</v>
      </c>
      <c r="AI103" s="2">
        <f t="shared" si="63"/>
        <v>0</v>
      </c>
      <c r="AJ103" s="2">
        <f t="shared" si="63"/>
        <v>0</v>
      </c>
      <c r="AK103" s="2">
        <f t="shared" si="63"/>
        <v>0</v>
      </c>
      <c r="AL103" s="2">
        <f t="shared" si="63"/>
        <v>0</v>
      </c>
      <c r="AM103" s="2">
        <f t="shared" si="63"/>
        <v>0</v>
      </c>
      <c r="AN103" s="2">
        <f t="shared" si="63"/>
        <v>0</v>
      </c>
      <c r="AO103" s="2">
        <f t="shared" si="63"/>
        <v>0</v>
      </c>
      <c r="AP103" s="2">
        <f t="shared" si="63"/>
        <v>0</v>
      </c>
      <c r="AQ103" s="2">
        <f t="shared" si="63"/>
        <v>0</v>
      </c>
      <c r="AR103" s="2">
        <f t="shared" si="63"/>
        <v>0</v>
      </c>
      <c r="AT103" s="2">
        <f t="array" ref="AT103">SUM(IF(C103:AR103&gt;=50,1,0))</f>
        <v>0</v>
      </c>
    </row>
    <row r="104" spans="3:46" x14ac:dyDescent="0.15">
      <c r="C104" s="2">
        <f t="shared" si="59"/>
        <v>0</v>
      </c>
      <c r="D104" s="2">
        <f t="shared" si="63"/>
        <v>16</v>
      </c>
      <c r="E104" s="2">
        <f t="shared" si="63"/>
        <v>0</v>
      </c>
      <c r="F104" s="2">
        <f t="shared" si="63"/>
        <v>0</v>
      </c>
      <c r="G104" s="2">
        <f t="shared" si="63"/>
        <v>0</v>
      </c>
      <c r="H104" s="2">
        <f t="shared" si="63"/>
        <v>0</v>
      </c>
      <c r="I104" s="2">
        <f t="shared" si="63"/>
        <v>0</v>
      </c>
      <c r="J104" s="2">
        <f t="shared" si="63"/>
        <v>0</v>
      </c>
      <c r="K104" s="2">
        <f t="shared" si="63"/>
        <v>0</v>
      </c>
      <c r="L104" s="2">
        <f t="shared" si="63"/>
        <v>0</v>
      </c>
      <c r="M104" s="2">
        <f t="shared" si="63"/>
        <v>0</v>
      </c>
      <c r="N104" s="2">
        <f t="shared" si="63"/>
        <v>0</v>
      </c>
      <c r="O104" s="2">
        <f t="shared" si="63"/>
        <v>0</v>
      </c>
      <c r="P104" s="2">
        <f t="shared" si="63"/>
        <v>0</v>
      </c>
      <c r="Q104" s="2">
        <f t="shared" si="63"/>
        <v>0</v>
      </c>
      <c r="R104" s="2">
        <f t="shared" si="63"/>
        <v>0</v>
      </c>
      <c r="S104" s="2">
        <f t="shared" si="63"/>
        <v>0</v>
      </c>
      <c r="T104" s="2">
        <f t="shared" si="63"/>
        <v>0</v>
      </c>
      <c r="U104" s="2">
        <f t="shared" si="63"/>
        <v>0</v>
      </c>
      <c r="V104" s="2">
        <f t="shared" si="63"/>
        <v>0</v>
      </c>
      <c r="W104" s="2">
        <f t="shared" si="63"/>
        <v>0</v>
      </c>
      <c r="X104" s="2">
        <f t="shared" si="63"/>
        <v>0</v>
      </c>
      <c r="Y104" s="2">
        <f t="shared" si="63"/>
        <v>0</v>
      </c>
      <c r="Z104" s="2">
        <f t="shared" si="63"/>
        <v>0</v>
      </c>
      <c r="AA104" s="2">
        <f t="shared" si="63"/>
        <v>0</v>
      </c>
      <c r="AB104" s="2">
        <f t="shared" si="63"/>
        <v>0</v>
      </c>
      <c r="AC104" s="2">
        <f t="shared" si="63"/>
        <v>0</v>
      </c>
      <c r="AD104" s="2">
        <f t="shared" si="63"/>
        <v>0</v>
      </c>
      <c r="AE104" s="2">
        <f t="shared" si="63"/>
        <v>0</v>
      </c>
      <c r="AF104" s="2">
        <f t="shared" si="63"/>
        <v>0</v>
      </c>
      <c r="AG104" s="2">
        <f t="shared" si="63"/>
        <v>0</v>
      </c>
      <c r="AH104" s="2">
        <f t="shared" si="63"/>
        <v>0</v>
      </c>
      <c r="AI104" s="2">
        <f t="shared" si="63"/>
        <v>0</v>
      </c>
      <c r="AJ104" s="2">
        <f t="shared" si="63"/>
        <v>0</v>
      </c>
      <c r="AK104" s="2">
        <f t="shared" si="63"/>
        <v>0</v>
      </c>
      <c r="AL104" s="2">
        <f t="shared" si="63"/>
        <v>0</v>
      </c>
      <c r="AM104" s="2">
        <f t="shared" si="63"/>
        <v>0</v>
      </c>
      <c r="AN104" s="2">
        <f t="shared" si="63"/>
        <v>0</v>
      </c>
      <c r="AO104" s="2">
        <f t="shared" si="63"/>
        <v>0</v>
      </c>
      <c r="AP104" s="2">
        <f t="shared" si="63"/>
        <v>0</v>
      </c>
      <c r="AQ104" s="2">
        <f t="shared" si="63"/>
        <v>0</v>
      </c>
      <c r="AR104" s="2">
        <f t="shared" si="63"/>
        <v>0</v>
      </c>
      <c r="AT104" s="2">
        <f t="array" ref="AT104">SUM(IF(C104:AR104&gt;=50,1,0))</f>
        <v>0</v>
      </c>
    </row>
  </sheetData>
  <phoneticPr fontId="0" type="noConversion"/>
  <conditionalFormatting sqref="AU44:BB94 AS44:AT102 AG105:AG114 AT76:AT104">
    <cfRule type="cellIs" dxfId="4" priority="6" operator="greaterThan">
      <formula>5</formula>
    </cfRule>
  </conditionalFormatting>
  <conditionalFormatting sqref="C42:CC42">
    <cfRule type="cellIs" dxfId="3" priority="7" stopIfTrue="1" operator="notEqual">
      <formula>C40</formula>
    </cfRule>
  </conditionalFormatting>
  <conditionalFormatting sqref="C44:AR74">
    <cfRule type="cellIs" dxfId="2" priority="8" operator="equal">
      <formula>$B$44</formula>
    </cfRule>
  </conditionalFormatting>
  <conditionalFormatting sqref="C75:AR104">
    <cfRule type="cellIs" dxfId="1" priority="1" operator="greaterThan">
      <formula>50</formula>
    </cfRule>
    <cfRule type="cellIs" dxfId="0" priority="2" operator="greaterThan">
      <formula>10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M1" workbookViewId="0">
      <selection activeCell="W18" sqref="W18:W31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16384" width="9.140625" style="68"/>
  </cols>
  <sheetData>
    <row r="1" spans="1:23" ht="12.75" x14ac:dyDescent="0.15">
      <c r="A1" s="60" t="s">
        <v>141</v>
      </c>
      <c r="C1" s="72" t="s">
        <v>5</v>
      </c>
      <c r="D1" s="72" t="s">
        <v>7</v>
      </c>
      <c r="E1" s="72" t="s">
        <v>8</v>
      </c>
      <c r="F1" s="72" t="s">
        <v>142</v>
      </c>
      <c r="G1" s="72" t="s">
        <v>9</v>
      </c>
      <c r="H1" s="77" t="s">
        <v>10</v>
      </c>
      <c r="J1" s="72"/>
      <c r="L1" s="68" t="s">
        <v>222</v>
      </c>
      <c r="M1" s="68">
        <f t="array" aca="1" ref="M1" ca="1">SUM(IF(NOT(ISNA(B2:B60)),1,0))</f>
        <v>38</v>
      </c>
      <c r="N1" s="128"/>
      <c r="O1" s="131" t="s">
        <v>84</v>
      </c>
      <c r="P1" s="129" t="s">
        <v>7</v>
      </c>
      <c r="Q1" s="129" t="s">
        <v>241</v>
      </c>
      <c r="R1" s="129" t="s">
        <v>142</v>
      </c>
      <c r="S1" s="129" t="s">
        <v>9</v>
      </c>
      <c r="T1" s="129" t="s">
        <v>38</v>
      </c>
    </row>
    <row r="2" spans="1:23" ht="12.75" x14ac:dyDescent="0.15">
      <c r="A2" s="68">
        <v>1</v>
      </c>
      <c r="B2" s="68" t="str">
        <f ca="1">OFFSET(Batting!$C$4,BatAves!$I2,0)</f>
        <v>Rao A</v>
      </c>
      <c r="C2" s="72">
        <f ca="1">OFFSET(Batting!$CE$4,BatAves!$I2,0)</f>
        <v>2</v>
      </c>
      <c r="D2" s="72">
        <f ca="1">OFFSET(Batting!$CG$4,BatAves!$I2,0)</f>
        <v>2</v>
      </c>
      <c r="E2" s="72">
        <f ca="1">OFFSET(Batting!$CH$4,BatAves!$I2,0)</f>
        <v>1</v>
      </c>
      <c r="F2" s="72" t="str">
        <f ca="1">OFFSET(Batting!$CJ$4,BatAves!$I2,0)</f>
        <v>131*</v>
      </c>
      <c r="G2" s="72">
        <f ca="1">OFFSET(Batting!$CK$4,BatAves!$I2,0)</f>
        <v>171</v>
      </c>
      <c r="H2" s="76">
        <f ca="1">OFFSET(Batting!$CL$4,BatAves!$I2,0)</f>
        <v>171</v>
      </c>
      <c r="I2" s="68">
        <f>MATCH(A2,Batting!$DF$5:$DF$42,0)</f>
        <v>27</v>
      </c>
      <c r="J2" s="68">
        <f ca="1">IF(D2&gt;=5,A2,1000+A2)</f>
        <v>1001</v>
      </c>
      <c r="K2" s="68">
        <f ca="1">RANK(J2,OFFSET($J$2,0,0,$M$1,1),-1)</f>
        <v>17</v>
      </c>
      <c r="L2" s="68" t="str">
        <f ca="1">IF(D2&lt;5,B2&amp;" "&amp;D2&amp;"-"&amp;E2&amp;"-"&amp;F2&amp;"-"&amp;G2,"")</f>
        <v>Rao A 2-1-131*-171</v>
      </c>
      <c r="M2" s="68">
        <f ca="1">MATCH(N2,OFFSET($K$2,0,0,$M$1,1),0)</f>
        <v>2</v>
      </c>
      <c r="N2" s="128">
        <v>1</v>
      </c>
      <c r="O2" s="128" t="str">
        <f ca="1">OFFSET(B$1,$M2,0)</f>
        <v>Middleton J</v>
      </c>
      <c r="P2" s="128">
        <f ca="1">OFFSET(D$1,$M2,0)</f>
        <v>15</v>
      </c>
      <c r="Q2" s="128">
        <f ca="1">OFFSET(E$1,$M2,0)</f>
        <v>6</v>
      </c>
      <c r="R2" s="128" t="str">
        <f ca="1">OFFSET(F$1,$M2,0)</f>
        <v>100*</v>
      </c>
      <c r="S2" s="128">
        <f ca="1">OFFSET(G$1,$M2,0)</f>
        <v>545</v>
      </c>
      <c r="T2" s="130">
        <f ca="1">OFFSET(H$1,$M2,0)</f>
        <v>60.555555555555557</v>
      </c>
      <c r="U2" s="72"/>
      <c r="W2" s="68" t="s">
        <v>221</v>
      </c>
    </row>
    <row r="3" spans="1:23" ht="12.75" x14ac:dyDescent="0.15">
      <c r="A3" s="68">
        <v>2</v>
      </c>
      <c r="B3" s="68" t="str">
        <f ca="1">OFFSET(Batting!$C$4,BatAves!$I3,0)</f>
        <v>Middleton J</v>
      </c>
      <c r="C3" s="72">
        <f ca="1">OFFSET(Batting!$CE$4,BatAves!$I3,0)</f>
        <v>16</v>
      </c>
      <c r="D3" s="72">
        <f ca="1">OFFSET(Batting!$CG$4,BatAves!$I3,0)</f>
        <v>15</v>
      </c>
      <c r="E3" s="72">
        <f ca="1">OFFSET(Batting!$CH$4,BatAves!$I3,0)</f>
        <v>6</v>
      </c>
      <c r="F3" s="72" t="str">
        <f ca="1">OFFSET(Batting!$CJ$4,BatAves!$I3,0)</f>
        <v>100*</v>
      </c>
      <c r="G3" s="72">
        <f ca="1">OFFSET(Batting!$CK$4,BatAves!$I3,0)</f>
        <v>545</v>
      </c>
      <c r="H3" s="76">
        <f ca="1">OFFSET(Batting!$CL$4,BatAves!$I3,0)</f>
        <v>60.555555555555557</v>
      </c>
      <c r="I3" s="68">
        <f>MATCH(A3,Batting!$DF$5:$DF$42,0)</f>
        <v>23</v>
      </c>
      <c r="J3" s="68">
        <f t="shared" ref="J3:J60" ca="1" si="0">IF(D3&gt;=5,A3,1000+A3)</f>
        <v>2</v>
      </c>
      <c r="K3" s="68">
        <f t="shared" ref="K3:K60" ca="1" si="1">RANK(J3,OFFSET($J$2,0,0,$M$1,1),-1)</f>
        <v>1</v>
      </c>
      <c r="L3" s="68" t="str">
        <f t="shared" ref="L3:L60" ca="1" si="2">IF(D3&lt;5,B3&amp;" "&amp;D3&amp;"-"&amp;E3&amp;"-"&amp;F3&amp;"-"&amp;G3,"")</f>
        <v/>
      </c>
      <c r="M3" s="68">
        <f t="shared" ref="M3:M43" ca="1" si="3">MATCH(N3,OFFSET($K$2,0,0,$M$1,1),0)</f>
        <v>4</v>
      </c>
      <c r="N3" s="128">
        <v>2</v>
      </c>
      <c r="O3" s="128" t="str">
        <f t="shared" ref="O3:O43" ca="1" si="4">OFFSET(B$1,$M3,0)</f>
        <v>Sharpe D</v>
      </c>
      <c r="P3" s="128">
        <f t="shared" ref="P3:P43" ca="1" si="5">OFFSET(D$1,$M3,0)</f>
        <v>12</v>
      </c>
      <c r="Q3" s="128">
        <f t="shared" ref="Q3:Q43" ca="1" si="6">OFFSET(E$1,$M3,0)</f>
        <v>1</v>
      </c>
      <c r="R3" s="128">
        <f t="shared" ref="R3:R43" ca="1" si="7">OFFSET(F$1,$M3,0)</f>
        <v>84</v>
      </c>
      <c r="S3" s="128">
        <f t="shared" ref="S3:S43" ca="1" si="8">OFFSET(G$1,$M3,0)</f>
        <v>478</v>
      </c>
      <c r="T3" s="130">
        <f t="shared" ref="T3:T43" ca="1" si="9">OFFSET(H$1,$M3,0)</f>
        <v>43.454545454545453</v>
      </c>
      <c r="W3" s="68" t="s">
        <v>221</v>
      </c>
    </row>
    <row r="4" spans="1:23" ht="12.75" x14ac:dyDescent="0.15">
      <c r="A4" s="68">
        <v>3</v>
      </c>
      <c r="B4" s="68" t="str">
        <f ca="1">OFFSET(Batting!$C$4,BatAves!$I4,0)</f>
        <v>Coloe A</v>
      </c>
      <c r="C4" s="72">
        <f ca="1">OFFSET(Batting!$CE$4,BatAves!$I4,0)</f>
        <v>2</v>
      </c>
      <c r="D4" s="72">
        <f ca="1">OFFSET(Batting!$CG$4,BatAves!$I4,0)</f>
        <v>1</v>
      </c>
      <c r="E4" s="72">
        <f ca="1">OFFSET(Batting!$CH$4,BatAves!$I4,0)</f>
        <v>0</v>
      </c>
      <c r="F4" s="72">
        <f ca="1">OFFSET(Batting!$CJ$4,BatAves!$I4,0)</f>
        <v>48</v>
      </c>
      <c r="G4" s="72">
        <f ca="1">OFFSET(Batting!$CK$4,BatAves!$I4,0)</f>
        <v>48</v>
      </c>
      <c r="H4" s="76">
        <f ca="1">OFFSET(Batting!$CL$4,BatAves!$I4,0)</f>
        <v>48</v>
      </c>
      <c r="I4" s="68">
        <f>MATCH(A4,Batting!$DF$5:$DF$42,0)</f>
        <v>6</v>
      </c>
      <c r="J4" s="68">
        <f t="shared" ca="1" si="0"/>
        <v>1003</v>
      </c>
      <c r="K4" s="68">
        <f t="shared" ca="1" si="1"/>
        <v>18</v>
      </c>
      <c r="L4" s="68" t="str">
        <f t="shared" ca="1" si="2"/>
        <v>Coloe A 1-0-48-48</v>
      </c>
      <c r="M4" s="68">
        <f t="shared" ca="1" si="3"/>
        <v>6</v>
      </c>
      <c r="N4" s="128">
        <v>3</v>
      </c>
      <c r="O4" s="128" t="str">
        <f t="shared" ca="1" si="4"/>
        <v>Nair S</v>
      </c>
      <c r="P4" s="128">
        <f t="shared" ca="1" si="5"/>
        <v>14</v>
      </c>
      <c r="Q4" s="128">
        <f t="shared" ca="1" si="6"/>
        <v>2</v>
      </c>
      <c r="R4" s="128">
        <f t="shared" ca="1" si="7"/>
        <v>98</v>
      </c>
      <c r="S4" s="128">
        <f t="shared" ca="1" si="8"/>
        <v>408</v>
      </c>
      <c r="T4" s="130">
        <f t="shared" ca="1" si="9"/>
        <v>34</v>
      </c>
      <c r="W4" s="68" t="s">
        <v>221</v>
      </c>
    </row>
    <row r="5" spans="1:23" ht="12.75" x14ac:dyDescent="0.15">
      <c r="A5" s="68">
        <v>4</v>
      </c>
      <c r="B5" s="68" t="str">
        <f ca="1">OFFSET(Batting!$C$4,BatAves!$I5,0)</f>
        <v>Sharpe D</v>
      </c>
      <c r="C5" s="72">
        <f ca="1">OFFSET(Batting!$CE$4,BatAves!$I5,0)</f>
        <v>12</v>
      </c>
      <c r="D5" s="72">
        <f ca="1">OFFSET(Batting!$CG$4,BatAves!$I5,0)</f>
        <v>12</v>
      </c>
      <c r="E5" s="72">
        <f ca="1">OFFSET(Batting!$CH$4,BatAves!$I5,0)</f>
        <v>1</v>
      </c>
      <c r="F5" s="72">
        <f ca="1">OFFSET(Batting!$CJ$4,BatAves!$I5,0)</f>
        <v>84</v>
      </c>
      <c r="G5" s="72">
        <f ca="1">OFFSET(Batting!$CK$4,BatAves!$I5,0)</f>
        <v>478</v>
      </c>
      <c r="H5" s="76">
        <f ca="1">OFFSET(Batting!$CL$4,BatAves!$I5,0)</f>
        <v>43.454545454545453</v>
      </c>
      <c r="I5" s="68">
        <f>MATCH(A5,Batting!$DF$5:$DF$42,0)</f>
        <v>30</v>
      </c>
      <c r="J5" s="68">
        <f t="shared" ca="1" si="0"/>
        <v>4</v>
      </c>
      <c r="K5" s="68">
        <f t="shared" ca="1" si="1"/>
        <v>2</v>
      </c>
      <c r="L5" s="68" t="str">
        <f t="shared" ca="1" si="2"/>
        <v/>
      </c>
      <c r="M5" s="68">
        <f t="shared" ca="1" si="3"/>
        <v>8</v>
      </c>
      <c r="N5" s="128">
        <v>4</v>
      </c>
      <c r="O5" s="128" t="str">
        <f t="shared" ca="1" si="4"/>
        <v>Edghill C</v>
      </c>
      <c r="P5" s="128">
        <f t="shared" ca="1" si="5"/>
        <v>9</v>
      </c>
      <c r="Q5" s="128">
        <f t="shared" ca="1" si="6"/>
        <v>4</v>
      </c>
      <c r="R5" s="128" t="str">
        <f t="shared" ca="1" si="7"/>
        <v>44*</v>
      </c>
      <c r="S5" s="128">
        <f t="shared" ca="1" si="8"/>
        <v>151</v>
      </c>
      <c r="T5" s="130">
        <f t="shared" ca="1" si="9"/>
        <v>30.2</v>
      </c>
      <c r="W5" s="68" t="s">
        <v>221</v>
      </c>
    </row>
    <row r="6" spans="1:23" ht="12.75" x14ac:dyDescent="0.15">
      <c r="A6" s="68">
        <v>5</v>
      </c>
      <c r="B6" s="68" t="str">
        <f ca="1">OFFSET(Batting!$C$4,BatAves!$I6,0)</f>
        <v>Gibbs A</v>
      </c>
      <c r="C6" s="72">
        <f ca="1">OFFSET(Batting!$CE$4,BatAves!$I6,0)</f>
        <v>1</v>
      </c>
      <c r="D6" s="72">
        <f ca="1">OFFSET(Batting!$CG$4,BatAves!$I6,0)</f>
        <v>1</v>
      </c>
      <c r="E6" s="72">
        <f ca="1">OFFSET(Batting!$CH$4,BatAves!$I6,0)</f>
        <v>0</v>
      </c>
      <c r="F6" s="72">
        <f ca="1">OFFSET(Batting!$CJ$4,BatAves!$I6,0)</f>
        <v>39</v>
      </c>
      <c r="G6" s="72">
        <f ca="1">OFFSET(Batting!$CK$4,BatAves!$I6,0)</f>
        <v>39</v>
      </c>
      <c r="H6" s="76">
        <f ca="1">OFFSET(Batting!$CL$4,BatAves!$I6,0)</f>
        <v>39</v>
      </c>
      <c r="I6" s="68">
        <f>MATCH(A6,Batting!$DF$5:$DF$42,0)</f>
        <v>13</v>
      </c>
      <c r="J6" s="68">
        <f t="shared" ca="1" si="0"/>
        <v>1005</v>
      </c>
      <c r="K6" s="68">
        <f t="shared" ca="1" si="1"/>
        <v>19</v>
      </c>
      <c r="L6" s="68" t="str">
        <f t="shared" ca="1" si="2"/>
        <v>Gibbs A 1-0-39-39</v>
      </c>
      <c r="M6" s="68">
        <f t="shared" ca="1" si="3"/>
        <v>9</v>
      </c>
      <c r="N6" s="128">
        <v>5</v>
      </c>
      <c r="O6" s="128" t="str">
        <f t="shared" ca="1" si="4"/>
        <v>Worthington R</v>
      </c>
      <c r="P6" s="128">
        <f t="shared" ca="1" si="5"/>
        <v>5</v>
      </c>
      <c r="Q6" s="128">
        <f t="shared" ca="1" si="6"/>
        <v>0</v>
      </c>
      <c r="R6" s="128">
        <f t="shared" ca="1" si="7"/>
        <v>62</v>
      </c>
      <c r="S6" s="128">
        <f t="shared" ca="1" si="8"/>
        <v>111</v>
      </c>
      <c r="T6" s="130">
        <f t="shared" ca="1" si="9"/>
        <v>22.2</v>
      </c>
      <c r="W6" s="68" t="s">
        <v>221</v>
      </c>
    </row>
    <row r="7" spans="1:23" ht="12.75" x14ac:dyDescent="0.15">
      <c r="A7" s="68">
        <v>6</v>
      </c>
      <c r="B7" s="68" t="str">
        <f ca="1">OFFSET(Batting!$C$4,BatAves!$I7,0)</f>
        <v>Nair S</v>
      </c>
      <c r="C7" s="72">
        <f ca="1">OFFSET(Batting!$CE$4,BatAves!$I7,0)</f>
        <v>16</v>
      </c>
      <c r="D7" s="72">
        <f ca="1">OFFSET(Batting!$CG$4,BatAves!$I7,0)</f>
        <v>14</v>
      </c>
      <c r="E7" s="72">
        <f ca="1">OFFSET(Batting!$CH$4,BatAves!$I7,0)</f>
        <v>2</v>
      </c>
      <c r="F7" s="72">
        <f ca="1">OFFSET(Batting!$CJ$4,BatAves!$I7,0)</f>
        <v>98</v>
      </c>
      <c r="G7" s="72">
        <f ca="1">OFFSET(Batting!$CK$4,BatAves!$I7,0)</f>
        <v>408</v>
      </c>
      <c r="H7" s="76">
        <f ca="1">OFFSET(Batting!$CL$4,BatAves!$I7,0)</f>
        <v>34</v>
      </c>
      <c r="I7" s="68">
        <f>MATCH(A7,Batting!$DF$5:$DF$42,0)</f>
        <v>24</v>
      </c>
      <c r="J7" s="68">
        <f t="shared" ca="1" si="0"/>
        <v>6</v>
      </c>
      <c r="K7" s="68">
        <f t="shared" ca="1" si="1"/>
        <v>3</v>
      </c>
      <c r="L7" s="68" t="str">
        <f t="shared" ca="1" si="2"/>
        <v/>
      </c>
      <c r="M7" s="68">
        <f t="shared" ca="1" si="3"/>
        <v>10</v>
      </c>
      <c r="N7" s="128">
        <v>6</v>
      </c>
      <c r="O7" s="128" t="str">
        <f t="shared" ca="1" si="4"/>
        <v>Dickson G</v>
      </c>
      <c r="P7" s="128">
        <f t="shared" ca="1" si="5"/>
        <v>9</v>
      </c>
      <c r="Q7" s="128">
        <f t="shared" ca="1" si="6"/>
        <v>0</v>
      </c>
      <c r="R7" s="128">
        <f t="shared" ca="1" si="7"/>
        <v>38</v>
      </c>
      <c r="S7" s="128">
        <f t="shared" ca="1" si="8"/>
        <v>133</v>
      </c>
      <c r="T7" s="130">
        <f t="shared" ca="1" si="9"/>
        <v>14.777777777777779</v>
      </c>
      <c r="W7" s="68" t="s">
        <v>221</v>
      </c>
    </row>
    <row r="8" spans="1:23" ht="12.75" x14ac:dyDescent="0.15">
      <c r="A8" s="68">
        <v>7</v>
      </c>
      <c r="B8" s="68" t="str">
        <f ca="1">OFFSET(Batting!$C$4,BatAves!$I8,0)</f>
        <v>Leadley J</v>
      </c>
      <c r="C8" s="72">
        <f ca="1">OFFSET(Batting!$CE$4,BatAves!$I8,0)</f>
        <v>3</v>
      </c>
      <c r="D8" s="72">
        <f ca="1">OFFSET(Batting!$CG$4,BatAves!$I8,0)</f>
        <v>3</v>
      </c>
      <c r="E8" s="72">
        <f ca="1">OFFSET(Batting!$CH$4,BatAves!$I8,0)</f>
        <v>0</v>
      </c>
      <c r="F8" s="72">
        <f ca="1">OFFSET(Batting!$CJ$4,BatAves!$I8,0)</f>
        <v>65</v>
      </c>
      <c r="G8" s="72">
        <f ca="1">OFFSET(Batting!$CK$4,BatAves!$I8,0)</f>
        <v>102</v>
      </c>
      <c r="H8" s="76">
        <f ca="1">OFFSET(Batting!$CL$4,BatAves!$I8,0)</f>
        <v>34</v>
      </c>
      <c r="I8" s="68">
        <f>MATCH(A8,Batting!$DF$5:$DF$42,0)</f>
        <v>19</v>
      </c>
      <c r="J8" s="68">
        <f t="shared" ca="1" si="0"/>
        <v>1007</v>
      </c>
      <c r="K8" s="68">
        <f t="shared" ca="1" si="1"/>
        <v>20</v>
      </c>
      <c r="L8" s="68" t="str">
        <f t="shared" ca="1" si="2"/>
        <v>Leadley J 3-0-65-102</v>
      </c>
      <c r="M8" s="68">
        <f t="shared" ca="1" si="3"/>
        <v>11</v>
      </c>
      <c r="N8" s="128">
        <v>7</v>
      </c>
      <c r="O8" s="128" t="str">
        <f t="shared" ca="1" si="4"/>
        <v>Clark C</v>
      </c>
      <c r="P8" s="128">
        <f t="shared" ca="1" si="5"/>
        <v>9</v>
      </c>
      <c r="Q8" s="128">
        <f t="shared" ca="1" si="6"/>
        <v>7</v>
      </c>
      <c r="R8" s="128" t="str">
        <f t="shared" ca="1" si="7"/>
        <v>18*</v>
      </c>
      <c r="S8" s="128">
        <f t="shared" ca="1" si="8"/>
        <v>27</v>
      </c>
      <c r="T8" s="130">
        <f t="shared" ca="1" si="9"/>
        <v>13.5</v>
      </c>
      <c r="W8" s="68" t="s">
        <v>221</v>
      </c>
    </row>
    <row r="9" spans="1:23" ht="12.75" x14ac:dyDescent="0.15">
      <c r="A9" s="68">
        <v>8</v>
      </c>
      <c r="B9" s="68" t="str">
        <f ca="1">OFFSET(Batting!$C$4,BatAves!$I9,0)</f>
        <v>Edghill C</v>
      </c>
      <c r="C9" s="72">
        <f ca="1">OFFSET(Batting!$CE$4,BatAves!$I9,0)</f>
        <v>10</v>
      </c>
      <c r="D9" s="72">
        <f ca="1">OFFSET(Batting!$CG$4,BatAves!$I9,0)</f>
        <v>9</v>
      </c>
      <c r="E9" s="72">
        <f ca="1">OFFSET(Batting!$CH$4,BatAves!$I9,0)</f>
        <v>4</v>
      </c>
      <c r="F9" s="72" t="str">
        <f ca="1">OFFSET(Batting!$CJ$4,BatAves!$I9,0)</f>
        <v>44*</v>
      </c>
      <c r="G9" s="72">
        <f ca="1">OFFSET(Batting!$CK$4,BatAves!$I9,0)</f>
        <v>151</v>
      </c>
      <c r="H9" s="76">
        <f ca="1">OFFSET(Batting!$CL$4,BatAves!$I9,0)</f>
        <v>30.2</v>
      </c>
      <c r="I9" s="68">
        <f>MATCH(A9,Batting!$DF$5:$DF$42,0)</f>
        <v>12</v>
      </c>
      <c r="J9" s="68">
        <f t="shared" ca="1" si="0"/>
        <v>8</v>
      </c>
      <c r="K9" s="68">
        <f t="shared" ca="1" si="1"/>
        <v>4</v>
      </c>
      <c r="L9" s="68" t="str">
        <f t="shared" ca="1" si="2"/>
        <v/>
      </c>
      <c r="M9" s="68">
        <f t="shared" ca="1" si="3"/>
        <v>12</v>
      </c>
      <c r="N9" s="128">
        <v>8</v>
      </c>
      <c r="O9" s="128" t="str">
        <f t="shared" ca="1" si="4"/>
        <v>Clarkson M</v>
      </c>
      <c r="P9" s="128">
        <f t="shared" ca="1" si="5"/>
        <v>7</v>
      </c>
      <c r="Q9" s="128">
        <f t="shared" ca="1" si="6"/>
        <v>0</v>
      </c>
      <c r="R9" s="128">
        <f t="shared" ca="1" si="7"/>
        <v>59</v>
      </c>
      <c r="S9" s="128">
        <f t="shared" ca="1" si="8"/>
        <v>88</v>
      </c>
      <c r="T9" s="130">
        <f t="shared" ca="1" si="9"/>
        <v>12.571428571428571</v>
      </c>
      <c r="W9" s="68" t="s">
        <v>221</v>
      </c>
    </row>
    <row r="10" spans="1:23" ht="12.75" x14ac:dyDescent="0.15">
      <c r="A10" s="68">
        <v>9</v>
      </c>
      <c r="B10" s="68" t="str">
        <f ca="1">OFFSET(Batting!$C$4,BatAves!$I10,0)</f>
        <v>Worthington R</v>
      </c>
      <c r="C10" s="72">
        <f ca="1">OFFSET(Batting!$CE$4,BatAves!$I10,0)</f>
        <v>5</v>
      </c>
      <c r="D10" s="72">
        <f ca="1">OFFSET(Batting!$CG$4,BatAves!$I10,0)</f>
        <v>5</v>
      </c>
      <c r="E10" s="72">
        <f ca="1">OFFSET(Batting!$CH$4,BatAves!$I10,0)</f>
        <v>0</v>
      </c>
      <c r="F10" s="72">
        <f ca="1">OFFSET(Batting!$CJ$4,BatAves!$I10,0)</f>
        <v>62</v>
      </c>
      <c r="G10" s="72">
        <f ca="1">OFFSET(Batting!$CK$4,BatAves!$I10,0)</f>
        <v>111</v>
      </c>
      <c r="H10" s="76">
        <f ca="1">OFFSET(Batting!$CL$4,BatAves!$I10,0)</f>
        <v>22.2</v>
      </c>
      <c r="I10" s="68">
        <f>MATCH(A10,Batting!$DF$5:$DF$42,0)</f>
        <v>38</v>
      </c>
      <c r="J10" s="68">
        <f t="shared" ca="1" si="0"/>
        <v>9</v>
      </c>
      <c r="K10" s="68">
        <f t="shared" ca="1" si="1"/>
        <v>5</v>
      </c>
      <c r="L10" s="68" t="str">
        <f t="shared" ca="1" si="2"/>
        <v/>
      </c>
      <c r="M10" s="68">
        <f t="shared" ca="1" si="3"/>
        <v>13</v>
      </c>
      <c r="N10" s="128">
        <v>9</v>
      </c>
      <c r="O10" s="128" t="str">
        <f t="shared" ca="1" si="4"/>
        <v>Seymour C</v>
      </c>
      <c r="P10" s="128">
        <f t="shared" ca="1" si="5"/>
        <v>13</v>
      </c>
      <c r="Q10" s="128">
        <f t="shared" ca="1" si="6"/>
        <v>3</v>
      </c>
      <c r="R10" s="128" t="str">
        <f t="shared" ca="1" si="7"/>
        <v>49*</v>
      </c>
      <c r="S10" s="128">
        <f t="shared" ca="1" si="8"/>
        <v>121</v>
      </c>
      <c r="T10" s="130">
        <f t="shared" ca="1" si="9"/>
        <v>12.1</v>
      </c>
      <c r="W10" s="68" t="s">
        <v>221</v>
      </c>
    </row>
    <row r="11" spans="1:23" ht="12.75" x14ac:dyDescent="0.15">
      <c r="A11" s="68">
        <v>10</v>
      </c>
      <c r="B11" s="68" t="str">
        <f ca="1">OFFSET(Batting!$C$4,BatAves!$I11,0)</f>
        <v>Dickson G</v>
      </c>
      <c r="C11" s="72">
        <f ca="1">OFFSET(Batting!$CE$4,BatAves!$I11,0)</f>
        <v>10</v>
      </c>
      <c r="D11" s="72">
        <f ca="1">OFFSET(Batting!$CG$4,BatAves!$I11,0)</f>
        <v>9</v>
      </c>
      <c r="E11" s="72">
        <f ca="1">OFFSET(Batting!$CH$4,BatAves!$I11,0)</f>
        <v>0</v>
      </c>
      <c r="F11" s="72">
        <f ca="1">OFFSET(Batting!$CJ$4,BatAves!$I11,0)</f>
        <v>38</v>
      </c>
      <c r="G11" s="72">
        <f ca="1">OFFSET(Batting!$CK$4,BatAves!$I11,0)</f>
        <v>133</v>
      </c>
      <c r="H11" s="76">
        <f ca="1">OFFSET(Batting!$CL$4,BatAves!$I11,0)</f>
        <v>14.777777777777779</v>
      </c>
      <c r="I11" s="68">
        <f>MATCH(A11,Batting!$DF$5:$DF$42,0)</f>
        <v>9</v>
      </c>
      <c r="J11" s="68">
        <f t="shared" ca="1" si="0"/>
        <v>10</v>
      </c>
      <c r="K11" s="68">
        <f t="shared" ca="1" si="1"/>
        <v>6</v>
      </c>
      <c r="L11" s="68" t="str">
        <f t="shared" ca="1" si="2"/>
        <v/>
      </c>
      <c r="M11" s="68">
        <f t="shared" ca="1" si="3"/>
        <v>16</v>
      </c>
      <c r="N11" s="128">
        <v>10</v>
      </c>
      <c r="O11" s="128" t="str">
        <f t="shared" ca="1" si="4"/>
        <v>Woodhouse M</v>
      </c>
      <c r="P11" s="128">
        <f t="shared" ca="1" si="5"/>
        <v>13</v>
      </c>
      <c r="Q11" s="128">
        <f t="shared" ca="1" si="6"/>
        <v>1</v>
      </c>
      <c r="R11" s="128" t="str">
        <f t="shared" ca="1" si="7"/>
        <v>44*</v>
      </c>
      <c r="S11" s="128">
        <f t="shared" ca="1" si="8"/>
        <v>142</v>
      </c>
      <c r="T11" s="130">
        <f t="shared" ca="1" si="9"/>
        <v>11.833333333333334</v>
      </c>
      <c r="W11" s="68" t="s">
        <v>221</v>
      </c>
    </row>
    <row r="12" spans="1:23" ht="12.75" x14ac:dyDescent="0.15">
      <c r="A12" s="68">
        <v>11</v>
      </c>
      <c r="B12" s="68" t="str">
        <f ca="1">OFFSET(Batting!$C$4,BatAves!$I12,0)</f>
        <v>Clark C</v>
      </c>
      <c r="C12" s="72">
        <f ca="1">OFFSET(Batting!$CE$4,BatAves!$I12,0)</f>
        <v>19</v>
      </c>
      <c r="D12" s="72">
        <f ca="1">OFFSET(Batting!$CG$4,BatAves!$I12,0)</f>
        <v>9</v>
      </c>
      <c r="E12" s="72">
        <f ca="1">OFFSET(Batting!$CH$4,BatAves!$I12,0)</f>
        <v>7</v>
      </c>
      <c r="F12" s="72" t="str">
        <f ca="1">OFFSET(Batting!$CJ$4,BatAves!$I12,0)</f>
        <v>18*</v>
      </c>
      <c r="G12" s="72">
        <f ca="1">OFFSET(Batting!$CK$4,BatAves!$I12,0)</f>
        <v>27</v>
      </c>
      <c r="H12" s="76">
        <f ca="1">OFFSET(Batting!$CL$4,BatAves!$I12,0)</f>
        <v>13.5</v>
      </c>
      <c r="I12" s="68">
        <f>MATCH(A12,Batting!$DF$5:$DF$42,0)</f>
        <v>4</v>
      </c>
      <c r="J12" s="68">
        <f t="shared" ca="1" si="0"/>
        <v>11</v>
      </c>
      <c r="K12" s="68">
        <f t="shared" ca="1" si="1"/>
        <v>7</v>
      </c>
      <c r="L12" s="68" t="str">
        <f t="shared" ca="1" si="2"/>
        <v/>
      </c>
      <c r="M12" s="68">
        <f t="shared" ca="1" si="3"/>
        <v>17</v>
      </c>
      <c r="N12" s="128">
        <v>11</v>
      </c>
      <c r="O12" s="128" t="str">
        <f t="shared" ca="1" si="4"/>
        <v>Sunkara C</v>
      </c>
      <c r="P12" s="128">
        <f t="shared" ca="1" si="5"/>
        <v>11</v>
      </c>
      <c r="Q12" s="128">
        <f t="shared" ca="1" si="6"/>
        <v>3</v>
      </c>
      <c r="R12" s="128">
        <f t="shared" ca="1" si="7"/>
        <v>35</v>
      </c>
      <c r="S12" s="128">
        <f t="shared" ca="1" si="8"/>
        <v>79</v>
      </c>
      <c r="T12" s="130">
        <f t="shared" ca="1" si="9"/>
        <v>9.875</v>
      </c>
      <c r="W12" s="68" t="s">
        <v>221</v>
      </c>
    </row>
    <row r="13" spans="1:23" ht="12.75" x14ac:dyDescent="0.15">
      <c r="A13" s="68">
        <v>12</v>
      </c>
      <c r="B13" s="68" t="str">
        <f ca="1">OFFSET(Batting!$C$4,BatAves!$I13,0)</f>
        <v>Clarkson M</v>
      </c>
      <c r="C13" s="72">
        <f ca="1">OFFSET(Batting!$CE$4,BatAves!$I13,0)</f>
        <v>7</v>
      </c>
      <c r="D13" s="72">
        <f ca="1">OFFSET(Batting!$CG$4,BatAves!$I13,0)</f>
        <v>7</v>
      </c>
      <c r="E13" s="72">
        <f ca="1">OFFSET(Batting!$CH$4,BatAves!$I13,0)</f>
        <v>0</v>
      </c>
      <c r="F13" s="72">
        <f ca="1">OFFSET(Batting!$CJ$4,BatAves!$I13,0)</f>
        <v>59</v>
      </c>
      <c r="G13" s="72">
        <f ca="1">OFFSET(Batting!$CK$4,BatAves!$I13,0)</f>
        <v>88</v>
      </c>
      <c r="H13" s="76">
        <f ca="1">OFFSET(Batting!$CL$4,BatAves!$I13,0)</f>
        <v>12.571428571428571</v>
      </c>
      <c r="I13" s="68">
        <f>MATCH(A13,Batting!$DF$5:$DF$42,0)</f>
        <v>5</v>
      </c>
      <c r="J13" s="68">
        <f t="shared" ca="1" si="0"/>
        <v>12</v>
      </c>
      <c r="K13" s="68">
        <f t="shared" ca="1" si="1"/>
        <v>8</v>
      </c>
      <c r="L13" s="68" t="str">
        <f t="shared" ca="1" si="2"/>
        <v/>
      </c>
      <c r="M13" s="68">
        <f t="shared" ca="1" si="3"/>
        <v>18</v>
      </c>
      <c r="N13" s="128">
        <v>12</v>
      </c>
      <c r="O13" s="128" t="str">
        <f t="shared" ca="1" si="4"/>
        <v>Smith C</v>
      </c>
      <c r="P13" s="128">
        <f t="shared" ca="1" si="5"/>
        <v>11</v>
      </c>
      <c r="Q13" s="128">
        <f t="shared" ca="1" si="6"/>
        <v>3</v>
      </c>
      <c r="R13" s="128" t="str">
        <f t="shared" ca="1" si="7"/>
        <v>27*</v>
      </c>
      <c r="S13" s="128">
        <f t="shared" ca="1" si="8"/>
        <v>70</v>
      </c>
      <c r="T13" s="130">
        <f t="shared" ca="1" si="9"/>
        <v>8.75</v>
      </c>
      <c r="W13" s="68" t="s">
        <v>221</v>
      </c>
    </row>
    <row r="14" spans="1:23" ht="12.75" x14ac:dyDescent="0.15">
      <c r="A14" s="68">
        <v>13</v>
      </c>
      <c r="B14" s="68" t="str">
        <f ca="1">OFFSET(Batting!$C$4,BatAves!$I14,0)</f>
        <v>Seymour C</v>
      </c>
      <c r="C14" s="72">
        <f ca="1">OFFSET(Batting!$CE$4,BatAves!$I14,0)</f>
        <v>17</v>
      </c>
      <c r="D14" s="72">
        <f ca="1">OFFSET(Batting!$CG$4,BatAves!$I14,0)</f>
        <v>13</v>
      </c>
      <c r="E14" s="72">
        <f ca="1">OFFSET(Batting!$CH$4,BatAves!$I14,0)</f>
        <v>3</v>
      </c>
      <c r="F14" s="72" t="str">
        <f ca="1">OFFSET(Batting!$CJ$4,BatAves!$I14,0)</f>
        <v>49*</v>
      </c>
      <c r="G14" s="72">
        <f ca="1">OFFSET(Batting!$CK$4,BatAves!$I14,0)</f>
        <v>121</v>
      </c>
      <c r="H14" s="76">
        <f ca="1">OFFSET(Batting!$CL$4,BatAves!$I14,0)</f>
        <v>12.1</v>
      </c>
      <c r="I14" s="68">
        <f>MATCH(A14,Batting!$DF$5:$DF$42,0)</f>
        <v>29</v>
      </c>
      <c r="J14" s="68">
        <f t="shared" ca="1" si="0"/>
        <v>13</v>
      </c>
      <c r="K14" s="68">
        <f t="shared" ca="1" si="1"/>
        <v>9</v>
      </c>
      <c r="L14" s="68" t="str">
        <f t="shared" ca="1" si="2"/>
        <v/>
      </c>
      <c r="M14" s="68">
        <f t="shared" ca="1" si="3"/>
        <v>21</v>
      </c>
      <c r="N14" s="128">
        <v>13</v>
      </c>
      <c r="O14" s="128" t="str">
        <f t="shared" ca="1" si="4"/>
        <v>Bowers M</v>
      </c>
      <c r="P14" s="128">
        <f t="shared" ca="1" si="5"/>
        <v>11</v>
      </c>
      <c r="Q14" s="128">
        <f t="shared" ca="1" si="6"/>
        <v>2</v>
      </c>
      <c r="R14" s="128" t="str">
        <f t="shared" ca="1" si="7"/>
        <v>15*</v>
      </c>
      <c r="S14" s="128">
        <f t="shared" ca="1" si="8"/>
        <v>68</v>
      </c>
      <c r="T14" s="130">
        <f t="shared" ca="1" si="9"/>
        <v>7.5555555555555554</v>
      </c>
      <c r="W14" s="68" t="s">
        <v>221</v>
      </c>
    </row>
    <row r="15" spans="1:23" ht="12.75" x14ac:dyDescent="0.15">
      <c r="A15" s="68">
        <v>14</v>
      </c>
      <c r="B15" s="68" t="str">
        <f ca="1">OFFSET(Batting!$C$4,BatAves!$I15,0)</f>
        <v>Wheeler B</v>
      </c>
      <c r="C15" s="72">
        <f ca="1">OFFSET(Batting!$CE$4,BatAves!$I15,0)</f>
        <v>1</v>
      </c>
      <c r="D15" s="72">
        <f ca="1">OFFSET(Batting!$CG$4,BatAves!$I15,0)</f>
        <v>1</v>
      </c>
      <c r="E15" s="72">
        <f ca="1">OFFSET(Batting!$CH$4,BatAves!$I15,0)</f>
        <v>0</v>
      </c>
      <c r="F15" s="72">
        <f ca="1">OFFSET(Batting!$CJ$4,BatAves!$I15,0)</f>
        <v>12</v>
      </c>
      <c r="G15" s="72">
        <f ca="1">OFFSET(Batting!$CK$4,BatAves!$I15,0)</f>
        <v>12</v>
      </c>
      <c r="H15" s="76">
        <f ca="1">OFFSET(Batting!$CL$4,BatAves!$I15,0)</f>
        <v>12</v>
      </c>
      <c r="I15" s="68">
        <f>MATCH(A15,Batting!$DF$5:$DF$42,0)</f>
        <v>35</v>
      </c>
      <c r="J15" s="68">
        <f t="shared" ca="1" si="0"/>
        <v>1014</v>
      </c>
      <c r="K15" s="68">
        <f t="shared" ca="1" si="1"/>
        <v>21</v>
      </c>
      <c r="L15" s="68" t="str">
        <f t="shared" ca="1" si="2"/>
        <v>Wheeler B 1-0-12-12</v>
      </c>
      <c r="M15" s="68">
        <f t="shared" ca="1" si="3"/>
        <v>22</v>
      </c>
      <c r="N15" s="128">
        <v>14</v>
      </c>
      <c r="O15" s="128" t="str">
        <f t="shared" ca="1" si="4"/>
        <v>Johnson A</v>
      </c>
      <c r="P15" s="128">
        <f t="shared" ca="1" si="5"/>
        <v>7</v>
      </c>
      <c r="Q15" s="128">
        <f t="shared" ca="1" si="6"/>
        <v>0</v>
      </c>
      <c r="R15" s="128">
        <f t="shared" ca="1" si="7"/>
        <v>24</v>
      </c>
      <c r="S15" s="128">
        <f t="shared" ca="1" si="8"/>
        <v>45</v>
      </c>
      <c r="T15" s="130">
        <f t="shared" ca="1" si="9"/>
        <v>6.4285714285714288</v>
      </c>
      <c r="W15" s="68" t="s">
        <v>221</v>
      </c>
    </row>
    <row r="16" spans="1:23" ht="12.75" x14ac:dyDescent="0.15">
      <c r="A16" s="68">
        <v>15</v>
      </c>
      <c r="B16" s="68" t="str">
        <f ca="1">OFFSET(Batting!$C$4,BatAves!$I16,0)</f>
        <v>Phillips M</v>
      </c>
      <c r="C16" s="72">
        <f ca="1">OFFSET(Batting!$CE$4,BatAves!$I16,0)</f>
        <v>1</v>
      </c>
      <c r="D16" s="72">
        <f ca="1">OFFSET(Batting!$CG$4,BatAves!$I16,0)</f>
        <v>1</v>
      </c>
      <c r="E16" s="72">
        <f ca="1">OFFSET(Batting!$CH$4,BatAves!$I16,0)</f>
        <v>0</v>
      </c>
      <c r="F16" s="72">
        <f ca="1">OFFSET(Batting!$CJ$4,BatAves!$I16,0)</f>
        <v>12</v>
      </c>
      <c r="G16" s="72">
        <f ca="1">OFFSET(Batting!$CK$4,BatAves!$I16,0)</f>
        <v>12</v>
      </c>
      <c r="H16" s="76">
        <f ca="1">OFFSET(Batting!$CL$4,BatAves!$I16,0)</f>
        <v>12</v>
      </c>
      <c r="I16" s="68">
        <f>MATCH(A16,Batting!$DF$5:$DF$42,0)</f>
        <v>25</v>
      </c>
      <c r="J16" s="68">
        <f t="shared" ca="1" si="0"/>
        <v>1015</v>
      </c>
      <c r="K16" s="68">
        <f t="shared" ca="1" si="1"/>
        <v>22</v>
      </c>
      <c r="L16" s="68" t="str">
        <f t="shared" ca="1" si="2"/>
        <v>Phillips M 1-0-12-12</v>
      </c>
      <c r="M16" s="68">
        <f t="shared" ca="1" si="3"/>
        <v>25</v>
      </c>
      <c r="N16" s="128">
        <v>15</v>
      </c>
      <c r="O16" s="128" t="str">
        <f t="shared" ca="1" si="4"/>
        <v>Kiernan M</v>
      </c>
      <c r="P16" s="128">
        <f t="shared" ca="1" si="5"/>
        <v>5</v>
      </c>
      <c r="Q16" s="128">
        <f t="shared" ca="1" si="6"/>
        <v>2</v>
      </c>
      <c r="R16" s="128">
        <f t="shared" ca="1" si="7"/>
        <v>6</v>
      </c>
      <c r="S16" s="128">
        <f t="shared" ca="1" si="8"/>
        <v>13</v>
      </c>
      <c r="T16" s="130">
        <f t="shared" ca="1" si="9"/>
        <v>4.333333333333333</v>
      </c>
      <c r="W16" s="68" t="s">
        <v>221</v>
      </c>
    </row>
    <row r="17" spans="1:23" ht="12.75" x14ac:dyDescent="0.15">
      <c r="A17" s="68">
        <v>16</v>
      </c>
      <c r="B17" s="68" t="str">
        <f ca="1">OFFSET(Batting!$C$4,BatAves!$I17,0)</f>
        <v>Woodhouse M</v>
      </c>
      <c r="C17" s="72">
        <f ca="1">OFFSET(Batting!$CE$4,BatAves!$I17,0)</f>
        <v>14</v>
      </c>
      <c r="D17" s="72">
        <f ca="1">OFFSET(Batting!$CG$4,BatAves!$I17,0)</f>
        <v>13</v>
      </c>
      <c r="E17" s="72">
        <f ca="1">OFFSET(Batting!$CH$4,BatAves!$I17,0)</f>
        <v>1</v>
      </c>
      <c r="F17" s="72" t="str">
        <f ca="1">OFFSET(Batting!$CJ$4,BatAves!$I17,0)</f>
        <v>44*</v>
      </c>
      <c r="G17" s="72">
        <f ca="1">OFFSET(Batting!$CK$4,BatAves!$I17,0)</f>
        <v>142</v>
      </c>
      <c r="H17" s="76">
        <f ca="1">OFFSET(Batting!$CL$4,BatAves!$I17,0)</f>
        <v>11.833333333333334</v>
      </c>
      <c r="I17" s="68">
        <f>MATCH(A17,Batting!$DF$5:$DF$42,0)</f>
        <v>37</v>
      </c>
      <c r="J17" s="68">
        <f t="shared" ca="1" si="0"/>
        <v>16</v>
      </c>
      <c r="K17" s="68">
        <f t="shared" ca="1" si="1"/>
        <v>10</v>
      </c>
      <c r="L17" s="68" t="str">
        <f t="shared" ca="1" si="2"/>
        <v/>
      </c>
      <c r="M17" s="68">
        <f t="shared" ca="1" si="3"/>
        <v>28</v>
      </c>
      <c r="N17" s="128">
        <v>16</v>
      </c>
      <c r="O17" s="128" t="str">
        <f t="shared" ca="1" si="4"/>
        <v>Davies R</v>
      </c>
      <c r="P17" s="128">
        <f t="shared" ca="1" si="5"/>
        <v>5</v>
      </c>
      <c r="Q17" s="128">
        <f t="shared" ca="1" si="6"/>
        <v>0</v>
      </c>
      <c r="R17" s="128">
        <f t="shared" ca="1" si="7"/>
        <v>4</v>
      </c>
      <c r="S17" s="128">
        <f t="shared" ca="1" si="8"/>
        <v>8</v>
      </c>
      <c r="T17" s="130">
        <f t="shared" ca="1" si="9"/>
        <v>1.6</v>
      </c>
      <c r="W17" s="136" t="s">
        <v>221</v>
      </c>
    </row>
    <row r="18" spans="1:23" ht="12.75" x14ac:dyDescent="0.15">
      <c r="A18" s="68">
        <v>17</v>
      </c>
      <c r="B18" s="68" t="str">
        <f ca="1">OFFSET(Batting!$C$4,BatAves!$I18,0)</f>
        <v>Sunkara C</v>
      </c>
      <c r="C18" s="72">
        <f ca="1">OFFSET(Batting!$CE$4,BatAves!$I18,0)</f>
        <v>12</v>
      </c>
      <c r="D18" s="72">
        <f ca="1">OFFSET(Batting!$CG$4,BatAves!$I18,0)</f>
        <v>11</v>
      </c>
      <c r="E18" s="72">
        <f ca="1">OFFSET(Batting!$CH$4,BatAves!$I18,0)</f>
        <v>3</v>
      </c>
      <c r="F18" s="72">
        <f ca="1">OFFSET(Batting!$CJ$4,BatAves!$I18,0)</f>
        <v>35</v>
      </c>
      <c r="G18" s="72">
        <f ca="1">OFFSET(Batting!$CK$4,BatAves!$I18,0)</f>
        <v>79</v>
      </c>
      <c r="H18" s="76">
        <f ca="1">OFFSET(Batting!$CL$4,BatAves!$I18,0)</f>
        <v>9.875</v>
      </c>
      <c r="I18" s="68">
        <f>MATCH(A18,Batting!$DF$5:$DF$42,0)</f>
        <v>33</v>
      </c>
      <c r="J18" s="68">
        <f t="shared" ca="1" si="0"/>
        <v>17</v>
      </c>
      <c r="K18" s="68">
        <f t="shared" ca="1" si="1"/>
        <v>11</v>
      </c>
      <c r="L18" s="68" t="str">
        <f t="shared" ca="1" si="2"/>
        <v/>
      </c>
      <c r="M18" s="68">
        <f t="shared" ca="1" si="3"/>
        <v>1</v>
      </c>
      <c r="N18" s="128">
        <v>17</v>
      </c>
      <c r="O18" s="128" t="str">
        <f t="shared" ca="1" si="4"/>
        <v>Rao A</v>
      </c>
      <c r="P18" s="128">
        <f t="shared" ca="1" si="5"/>
        <v>2</v>
      </c>
      <c r="Q18" s="128">
        <f t="shared" ca="1" si="6"/>
        <v>1</v>
      </c>
      <c r="R18" s="128" t="str">
        <f t="shared" ca="1" si="7"/>
        <v>131*</v>
      </c>
      <c r="S18" s="128">
        <f t="shared" ca="1" si="8"/>
        <v>171</v>
      </c>
      <c r="T18" s="130">
        <f t="shared" ca="1" si="9"/>
        <v>171</v>
      </c>
      <c r="V18" s="68" t="s">
        <v>221</v>
      </c>
      <c r="W18" s="68" t="s">
        <v>678</v>
      </c>
    </row>
    <row r="19" spans="1:23" ht="12.75" x14ac:dyDescent="0.15">
      <c r="A19" s="68">
        <v>18</v>
      </c>
      <c r="B19" s="68" t="str">
        <f ca="1">OFFSET(Batting!$C$4,BatAves!$I19,0)</f>
        <v>Smith C</v>
      </c>
      <c r="C19" s="72">
        <f ca="1">OFFSET(Batting!$CE$4,BatAves!$I19,0)</f>
        <v>15</v>
      </c>
      <c r="D19" s="72">
        <f ca="1">OFFSET(Batting!$CG$4,BatAves!$I19,0)</f>
        <v>11</v>
      </c>
      <c r="E19" s="72">
        <f ca="1">OFFSET(Batting!$CH$4,BatAves!$I19,0)</f>
        <v>3</v>
      </c>
      <c r="F19" s="72" t="str">
        <f ca="1">OFFSET(Batting!$CJ$4,BatAves!$I19,0)</f>
        <v>27*</v>
      </c>
      <c r="G19" s="72">
        <f ca="1">OFFSET(Batting!$CK$4,BatAves!$I19,0)</f>
        <v>70</v>
      </c>
      <c r="H19" s="76">
        <f ca="1">OFFSET(Batting!$CL$4,BatAves!$I19,0)</f>
        <v>8.75</v>
      </c>
      <c r="I19" s="68">
        <f>MATCH(A19,Batting!$DF$5:$DF$42,0)</f>
        <v>32</v>
      </c>
      <c r="J19" s="68">
        <f t="shared" ca="1" si="0"/>
        <v>18</v>
      </c>
      <c r="K19" s="68">
        <f t="shared" ca="1" si="1"/>
        <v>12</v>
      </c>
      <c r="L19" s="68" t="str">
        <f t="shared" ca="1" si="2"/>
        <v/>
      </c>
      <c r="M19" s="68">
        <f t="shared" ca="1" si="3"/>
        <v>3</v>
      </c>
      <c r="N19" s="128">
        <v>18</v>
      </c>
      <c r="O19" s="128" t="str">
        <f t="shared" ca="1" si="4"/>
        <v>Coloe A</v>
      </c>
      <c r="P19" s="128">
        <f t="shared" ca="1" si="5"/>
        <v>1</v>
      </c>
      <c r="Q19" s="128">
        <f t="shared" ca="1" si="6"/>
        <v>0</v>
      </c>
      <c r="R19" s="128">
        <f t="shared" ca="1" si="7"/>
        <v>48</v>
      </c>
      <c r="S19" s="128">
        <f t="shared" ca="1" si="8"/>
        <v>48</v>
      </c>
      <c r="T19" s="130">
        <f t="shared" ca="1" si="9"/>
        <v>48</v>
      </c>
      <c r="V19" s="68" t="s">
        <v>221</v>
      </c>
      <c r="W19" s="68" t="s">
        <v>670</v>
      </c>
    </row>
    <row r="20" spans="1:23" ht="12.75" x14ac:dyDescent="0.15">
      <c r="A20" s="68">
        <v>19</v>
      </c>
      <c r="B20" s="68" t="str">
        <f ca="1">OFFSET(Batting!$C$4,BatAves!$I20,0)</f>
        <v>du Plessis A</v>
      </c>
      <c r="C20" s="72">
        <f ca="1">OFFSET(Batting!$CE$4,BatAves!$I20,0)</f>
        <v>2</v>
      </c>
      <c r="D20" s="72">
        <f ca="1">OFFSET(Batting!$CG$4,BatAves!$I20,0)</f>
        <v>2</v>
      </c>
      <c r="E20" s="72">
        <f ca="1">OFFSET(Batting!$CH$4,BatAves!$I20,0)</f>
        <v>0</v>
      </c>
      <c r="F20" s="72">
        <f ca="1">OFFSET(Batting!$CJ$4,BatAves!$I20,0)</f>
        <v>13</v>
      </c>
      <c r="G20" s="72">
        <f ca="1">OFFSET(Batting!$CK$4,BatAves!$I20,0)</f>
        <v>16</v>
      </c>
      <c r="H20" s="76">
        <f ca="1">OFFSET(Batting!$CL$4,BatAves!$I20,0)</f>
        <v>8</v>
      </c>
      <c r="I20" s="68">
        <f>MATCH(A20,Batting!$DF$5:$DF$42,0)</f>
        <v>11</v>
      </c>
      <c r="J20" s="68">
        <f t="shared" ca="1" si="0"/>
        <v>1019</v>
      </c>
      <c r="K20" s="68">
        <f t="shared" ca="1" si="1"/>
        <v>23</v>
      </c>
      <c r="L20" s="68" t="str">
        <f t="shared" ca="1" si="2"/>
        <v>du Plessis A 2-0-13-16</v>
      </c>
      <c r="M20" s="68">
        <f t="shared" ca="1" si="3"/>
        <v>5</v>
      </c>
      <c r="N20" s="128">
        <v>19</v>
      </c>
      <c r="O20" s="128" t="str">
        <f t="shared" ca="1" si="4"/>
        <v>Gibbs A</v>
      </c>
      <c r="P20" s="128">
        <f t="shared" ca="1" si="5"/>
        <v>1</v>
      </c>
      <c r="Q20" s="128">
        <f t="shared" ca="1" si="6"/>
        <v>0</v>
      </c>
      <c r="R20" s="128">
        <f t="shared" ca="1" si="7"/>
        <v>39</v>
      </c>
      <c r="S20" s="128">
        <f t="shared" ca="1" si="8"/>
        <v>39</v>
      </c>
      <c r="T20" s="130">
        <f t="shared" ca="1" si="9"/>
        <v>39</v>
      </c>
      <c r="V20" s="68" t="s">
        <v>221</v>
      </c>
      <c r="W20" s="68" t="s">
        <v>677</v>
      </c>
    </row>
    <row r="21" spans="1:23" ht="12.75" x14ac:dyDescent="0.15">
      <c r="A21" s="68">
        <v>20</v>
      </c>
      <c r="B21" s="68" t="str">
        <f ca="1">OFFSET(Batting!$C$4,BatAves!$I21,0)</f>
        <v>Saller C</v>
      </c>
      <c r="C21" s="72">
        <f ca="1">OFFSET(Batting!$CE$4,BatAves!$I21,0)</f>
        <v>1</v>
      </c>
      <c r="D21" s="72">
        <f ca="1">OFFSET(Batting!$CG$4,BatAves!$I21,0)</f>
        <v>1</v>
      </c>
      <c r="E21" s="72">
        <f ca="1">OFFSET(Batting!$CH$4,BatAves!$I21,0)</f>
        <v>0</v>
      </c>
      <c r="F21" s="72">
        <f ca="1">OFFSET(Batting!$CJ$4,BatAves!$I21,0)</f>
        <v>8</v>
      </c>
      <c r="G21" s="72">
        <f ca="1">OFFSET(Batting!$CK$4,BatAves!$I21,0)</f>
        <v>8</v>
      </c>
      <c r="H21" s="76">
        <f ca="1">OFFSET(Batting!$CL$4,BatAves!$I21,0)</f>
        <v>8</v>
      </c>
      <c r="I21" s="68">
        <f>MATCH(A21,Batting!$DF$5:$DF$42,0)</f>
        <v>28</v>
      </c>
      <c r="J21" s="68">
        <f t="shared" ca="1" si="0"/>
        <v>1020</v>
      </c>
      <c r="K21" s="68">
        <f t="shared" ca="1" si="1"/>
        <v>24</v>
      </c>
      <c r="L21" s="68" t="str">
        <f t="shared" ca="1" si="2"/>
        <v>Saller C 1-0-8-8</v>
      </c>
      <c r="M21" s="68">
        <f t="shared" ca="1" si="3"/>
        <v>7</v>
      </c>
      <c r="N21" s="128">
        <v>20</v>
      </c>
      <c r="O21" s="128" t="str">
        <f t="shared" ca="1" si="4"/>
        <v>Leadley J</v>
      </c>
      <c r="P21" s="128">
        <f t="shared" ca="1" si="5"/>
        <v>3</v>
      </c>
      <c r="Q21" s="128">
        <f t="shared" ca="1" si="6"/>
        <v>0</v>
      </c>
      <c r="R21" s="128">
        <f t="shared" ca="1" si="7"/>
        <v>65</v>
      </c>
      <c r="S21" s="128">
        <f t="shared" ca="1" si="8"/>
        <v>102</v>
      </c>
      <c r="T21" s="130">
        <f t="shared" ca="1" si="9"/>
        <v>34</v>
      </c>
      <c r="V21" s="68" t="s">
        <v>221</v>
      </c>
      <c r="W21" s="68" t="s">
        <v>675</v>
      </c>
    </row>
    <row r="22" spans="1:23" ht="12.75" x14ac:dyDescent="0.15">
      <c r="A22" s="68">
        <v>21</v>
      </c>
      <c r="B22" s="68" t="str">
        <f ca="1">OFFSET(Batting!$C$4,BatAves!$I22,0)</f>
        <v>Bowers M</v>
      </c>
      <c r="C22" s="72">
        <f ca="1">OFFSET(Batting!$CE$4,BatAves!$I22,0)</f>
        <v>17</v>
      </c>
      <c r="D22" s="72">
        <f ca="1">OFFSET(Batting!$CG$4,BatAves!$I22,0)</f>
        <v>11</v>
      </c>
      <c r="E22" s="72">
        <f ca="1">OFFSET(Batting!$CH$4,BatAves!$I22,0)</f>
        <v>2</v>
      </c>
      <c r="F22" s="72" t="str">
        <f ca="1">OFFSET(Batting!$CJ$4,BatAves!$I22,0)</f>
        <v>15*</v>
      </c>
      <c r="G22" s="72">
        <f ca="1">OFFSET(Batting!$CK$4,BatAves!$I22,0)</f>
        <v>68</v>
      </c>
      <c r="H22" s="76">
        <f ca="1">OFFSET(Batting!$CL$4,BatAves!$I22,0)</f>
        <v>7.5555555555555554</v>
      </c>
      <c r="I22" s="68">
        <f>MATCH(A22,Batting!$DF$5:$DF$42,0)</f>
        <v>1</v>
      </c>
      <c r="J22" s="68">
        <f t="shared" ca="1" si="0"/>
        <v>21</v>
      </c>
      <c r="K22" s="68">
        <f t="shared" ca="1" si="1"/>
        <v>13</v>
      </c>
      <c r="L22" s="68" t="str">
        <f t="shared" ca="1" si="2"/>
        <v/>
      </c>
      <c r="M22" s="68">
        <f t="shared" ca="1" si="3"/>
        <v>14</v>
      </c>
      <c r="N22" s="128">
        <v>21</v>
      </c>
      <c r="O22" s="128" t="str">
        <f t="shared" ca="1" si="4"/>
        <v>Wheeler B</v>
      </c>
      <c r="P22" s="128">
        <f t="shared" ca="1" si="5"/>
        <v>1</v>
      </c>
      <c r="Q22" s="128">
        <f t="shared" ca="1" si="6"/>
        <v>0</v>
      </c>
      <c r="R22" s="128">
        <f t="shared" ca="1" si="7"/>
        <v>12</v>
      </c>
      <c r="S22" s="128">
        <f t="shared" ca="1" si="8"/>
        <v>12</v>
      </c>
      <c r="T22" s="130">
        <f t="shared" ca="1" si="9"/>
        <v>12</v>
      </c>
      <c r="V22" s="68" t="s">
        <v>221</v>
      </c>
      <c r="W22" s="68" t="s">
        <v>671</v>
      </c>
    </row>
    <row r="23" spans="1:23" ht="12.75" x14ac:dyDescent="0.15">
      <c r="A23" s="68">
        <v>22</v>
      </c>
      <c r="B23" s="68" t="str">
        <f ca="1">OFFSET(Batting!$C$4,BatAves!$I23,0)</f>
        <v>Johnson A</v>
      </c>
      <c r="C23" s="72">
        <f ca="1">OFFSET(Batting!$CE$4,BatAves!$I23,0)</f>
        <v>8</v>
      </c>
      <c r="D23" s="72">
        <f ca="1">OFFSET(Batting!$CG$4,BatAves!$I23,0)</f>
        <v>7</v>
      </c>
      <c r="E23" s="72">
        <f ca="1">OFFSET(Batting!$CH$4,BatAves!$I23,0)</f>
        <v>0</v>
      </c>
      <c r="F23" s="72">
        <f ca="1">OFFSET(Batting!$CJ$4,BatAves!$I23,0)</f>
        <v>24</v>
      </c>
      <c r="G23" s="72">
        <f ca="1">OFFSET(Batting!$CK$4,BatAves!$I23,0)</f>
        <v>45</v>
      </c>
      <c r="H23" s="76">
        <f ca="1">OFFSET(Batting!$CL$4,BatAves!$I23,0)</f>
        <v>6.4285714285714288</v>
      </c>
      <c r="I23" s="68">
        <f>MATCH(A23,Batting!$DF$5:$DF$42,0)</f>
        <v>16</v>
      </c>
      <c r="J23" s="68">
        <f t="shared" ca="1" si="0"/>
        <v>22</v>
      </c>
      <c r="K23" s="68">
        <f t="shared" ca="1" si="1"/>
        <v>14</v>
      </c>
      <c r="L23" s="68" t="str">
        <f t="shared" ca="1" si="2"/>
        <v/>
      </c>
      <c r="M23" s="68">
        <f t="shared" ca="1" si="3"/>
        <v>15</v>
      </c>
      <c r="N23" s="128">
        <v>22</v>
      </c>
      <c r="O23" s="128" t="str">
        <f t="shared" ca="1" si="4"/>
        <v>Phillips M</v>
      </c>
      <c r="P23" s="128">
        <f t="shared" ca="1" si="5"/>
        <v>1</v>
      </c>
      <c r="Q23" s="128">
        <f t="shared" ca="1" si="6"/>
        <v>0</v>
      </c>
      <c r="R23" s="128">
        <f t="shared" ca="1" si="7"/>
        <v>12</v>
      </c>
      <c r="S23" s="128">
        <f t="shared" ca="1" si="8"/>
        <v>12</v>
      </c>
      <c r="T23" s="130">
        <f t="shared" ca="1" si="9"/>
        <v>12</v>
      </c>
      <c r="V23" s="68" t="s">
        <v>221</v>
      </c>
      <c r="W23" s="68" t="s">
        <v>672</v>
      </c>
    </row>
    <row r="24" spans="1:23" ht="12.75" x14ac:dyDescent="0.15">
      <c r="A24" s="68">
        <v>23</v>
      </c>
      <c r="B24" s="68" t="str">
        <f ca="1">OFFSET(Batting!$C$4,BatAves!$I24,0)</f>
        <v>de Souza C</v>
      </c>
      <c r="C24" s="72">
        <f ca="1">OFFSET(Batting!$CE$4,BatAves!$I24,0)</f>
        <v>3</v>
      </c>
      <c r="D24" s="72">
        <f ca="1">OFFSET(Batting!$CG$4,BatAves!$I24,0)</f>
        <v>3</v>
      </c>
      <c r="E24" s="72">
        <f ca="1">OFFSET(Batting!$CH$4,BatAves!$I24,0)</f>
        <v>0</v>
      </c>
      <c r="F24" s="72">
        <f ca="1">OFFSET(Batting!$CJ$4,BatAves!$I24,0)</f>
        <v>15</v>
      </c>
      <c r="G24" s="72">
        <f ca="1">OFFSET(Batting!$CK$4,BatAves!$I24,0)</f>
        <v>17</v>
      </c>
      <c r="H24" s="76">
        <f ca="1">OFFSET(Batting!$CL$4,BatAves!$I24,0)</f>
        <v>5.666666666666667</v>
      </c>
      <c r="I24" s="68">
        <f>MATCH(A24,Batting!$DF$5:$DF$42,0)</f>
        <v>10</v>
      </c>
      <c r="J24" s="68">
        <f t="shared" ca="1" si="0"/>
        <v>1023</v>
      </c>
      <c r="K24" s="68">
        <f t="shared" ca="1" si="1"/>
        <v>25</v>
      </c>
      <c r="L24" s="68" t="str">
        <f t="shared" ca="1" si="2"/>
        <v>de Souza C 3-0-15-17</v>
      </c>
      <c r="M24" s="68">
        <f t="shared" ca="1" si="3"/>
        <v>19</v>
      </c>
      <c r="N24" s="128">
        <v>23</v>
      </c>
      <c r="O24" s="128" t="str">
        <f t="shared" ca="1" si="4"/>
        <v>du Plessis A</v>
      </c>
      <c r="P24" s="128">
        <f t="shared" ca="1" si="5"/>
        <v>2</v>
      </c>
      <c r="Q24" s="128">
        <f t="shared" ca="1" si="6"/>
        <v>0</v>
      </c>
      <c r="R24" s="128">
        <f t="shared" ca="1" si="7"/>
        <v>13</v>
      </c>
      <c r="S24" s="128">
        <f t="shared" ca="1" si="8"/>
        <v>16</v>
      </c>
      <c r="T24" s="130">
        <f t="shared" ca="1" si="9"/>
        <v>8</v>
      </c>
      <c r="V24" s="68" t="s">
        <v>221</v>
      </c>
      <c r="W24" s="136" t="s">
        <v>681</v>
      </c>
    </row>
    <row r="25" spans="1:23" ht="12.75" x14ac:dyDescent="0.15">
      <c r="A25" s="68">
        <v>24</v>
      </c>
      <c r="B25" s="68" t="str">
        <f ca="1">OFFSET(Batting!$C$4,BatAves!$I25,0)</f>
        <v>Childs S</v>
      </c>
      <c r="C25" s="72">
        <f ca="1">OFFSET(Batting!$CE$4,BatAves!$I25,0)</f>
        <v>4</v>
      </c>
      <c r="D25" s="72">
        <f ca="1">OFFSET(Batting!$CG$4,BatAves!$I25,0)</f>
        <v>4</v>
      </c>
      <c r="E25" s="72">
        <f ca="1">OFFSET(Batting!$CH$4,BatAves!$I25,0)</f>
        <v>1</v>
      </c>
      <c r="F25" s="72" t="str">
        <f ca="1">OFFSET(Batting!$CJ$4,BatAves!$I25,0)</f>
        <v>8*</v>
      </c>
      <c r="G25" s="72">
        <f ca="1">OFFSET(Batting!$CK$4,BatAves!$I25,0)</f>
        <v>14</v>
      </c>
      <c r="H25" s="76">
        <f ca="1">OFFSET(Batting!$CL$4,BatAves!$I25,0)</f>
        <v>4.666666666666667</v>
      </c>
      <c r="I25" s="68">
        <f>MATCH(A25,Batting!$DF$5:$DF$42,0)</f>
        <v>3</v>
      </c>
      <c r="J25" s="68">
        <f t="shared" ca="1" si="0"/>
        <v>1024</v>
      </c>
      <c r="K25" s="68">
        <f t="shared" ca="1" si="1"/>
        <v>26</v>
      </c>
      <c r="L25" s="68" t="str">
        <f t="shared" ca="1" si="2"/>
        <v>Childs S 4-1-8*-14</v>
      </c>
      <c r="M25" s="68">
        <f t="shared" ca="1" si="3"/>
        <v>20</v>
      </c>
      <c r="N25" s="128">
        <v>24</v>
      </c>
      <c r="O25" s="128" t="str">
        <f t="shared" ca="1" si="4"/>
        <v>Saller C</v>
      </c>
      <c r="P25" s="128">
        <f t="shared" ca="1" si="5"/>
        <v>1</v>
      </c>
      <c r="Q25" s="128">
        <f t="shared" ca="1" si="6"/>
        <v>0</v>
      </c>
      <c r="R25" s="128">
        <f t="shared" ca="1" si="7"/>
        <v>8</v>
      </c>
      <c r="S25" s="128">
        <f t="shared" ca="1" si="8"/>
        <v>8</v>
      </c>
      <c r="T25" s="130">
        <f t="shared" ca="1" si="9"/>
        <v>8</v>
      </c>
      <c r="V25" s="68" t="s">
        <v>221</v>
      </c>
      <c r="W25" s="136" t="s">
        <v>680</v>
      </c>
    </row>
    <row r="26" spans="1:23" ht="12.75" x14ac:dyDescent="0.15">
      <c r="A26" s="68">
        <v>25</v>
      </c>
      <c r="B26" s="68" t="str">
        <f ca="1">OFFSET(Batting!$C$4,BatAves!$I26,0)</f>
        <v>Kiernan M</v>
      </c>
      <c r="C26" s="72">
        <f ca="1">OFFSET(Batting!$CE$4,BatAves!$I26,0)</f>
        <v>7</v>
      </c>
      <c r="D26" s="72">
        <f ca="1">OFFSET(Batting!$CG$4,BatAves!$I26,0)</f>
        <v>5</v>
      </c>
      <c r="E26" s="72">
        <f ca="1">OFFSET(Batting!$CH$4,BatAves!$I26,0)</f>
        <v>2</v>
      </c>
      <c r="F26" s="72">
        <f ca="1">OFFSET(Batting!$CJ$4,BatAves!$I26,0)</f>
        <v>6</v>
      </c>
      <c r="G26" s="72">
        <f ca="1">OFFSET(Batting!$CK$4,BatAves!$I26,0)</f>
        <v>13</v>
      </c>
      <c r="H26" s="76">
        <f ca="1">OFFSET(Batting!$CL$4,BatAves!$I26,0)</f>
        <v>4.333333333333333</v>
      </c>
      <c r="I26" s="68">
        <f>MATCH(A26,Batting!$DF$5:$DF$42,0)</f>
        <v>18</v>
      </c>
      <c r="J26" s="68">
        <f t="shared" ca="1" si="0"/>
        <v>25</v>
      </c>
      <c r="K26" s="68">
        <f t="shared" ca="1" si="1"/>
        <v>15</v>
      </c>
      <c r="L26" s="68" t="str">
        <f t="shared" ca="1" si="2"/>
        <v/>
      </c>
      <c r="M26" s="68">
        <f t="shared" ca="1" si="3"/>
        <v>23</v>
      </c>
      <c r="N26" s="128">
        <v>25</v>
      </c>
      <c r="O26" s="128" t="str">
        <f t="shared" ca="1" si="4"/>
        <v>de Souza C</v>
      </c>
      <c r="P26" s="128">
        <f t="shared" ca="1" si="5"/>
        <v>3</v>
      </c>
      <c r="Q26" s="128">
        <f t="shared" ca="1" si="6"/>
        <v>0</v>
      </c>
      <c r="R26" s="128">
        <f t="shared" ca="1" si="7"/>
        <v>15</v>
      </c>
      <c r="S26" s="128">
        <f t="shared" ca="1" si="8"/>
        <v>17</v>
      </c>
      <c r="T26" s="130">
        <f t="shared" ca="1" si="9"/>
        <v>5.666666666666667</v>
      </c>
      <c r="V26" s="68" t="s">
        <v>221</v>
      </c>
      <c r="W26" s="68" t="s">
        <v>674</v>
      </c>
    </row>
    <row r="27" spans="1:23" ht="12.75" x14ac:dyDescent="0.15">
      <c r="A27" s="68">
        <v>26</v>
      </c>
      <c r="B27" s="68" t="str">
        <f ca="1">OFFSET(Batting!$C$4,BatAves!$I27,0)</f>
        <v>Pope G</v>
      </c>
      <c r="C27" s="72">
        <f ca="1">OFFSET(Batting!$CE$4,BatAves!$I27,0)</f>
        <v>2</v>
      </c>
      <c r="D27" s="72">
        <f ca="1">OFFSET(Batting!$CG$4,BatAves!$I27,0)</f>
        <v>2</v>
      </c>
      <c r="E27" s="72">
        <f ca="1">OFFSET(Batting!$CH$4,BatAves!$I27,0)</f>
        <v>0</v>
      </c>
      <c r="F27" s="72">
        <f ca="1">OFFSET(Batting!$CJ$4,BatAves!$I27,0)</f>
        <v>6</v>
      </c>
      <c r="G27" s="72">
        <f ca="1">OFFSET(Batting!$CK$4,BatAves!$I27,0)</f>
        <v>6</v>
      </c>
      <c r="H27" s="76">
        <f ca="1">OFFSET(Batting!$CL$4,BatAves!$I27,0)</f>
        <v>3</v>
      </c>
      <c r="I27" s="68">
        <f>MATCH(A27,Batting!$DF$5:$DF$42,0)</f>
        <v>26</v>
      </c>
      <c r="J27" s="68">
        <f t="shared" ca="1" si="0"/>
        <v>1026</v>
      </c>
      <c r="K27" s="68">
        <f t="shared" ca="1" si="1"/>
        <v>27</v>
      </c>
      <c r="L27" s="68" t="str">
        <f t="shared" ca="1" si="2"/>
        <v>Pope G 2-0-6-6</v>
      </c>
      <c r="M27" s="68">
        <f t="shared" ca="1" si="3"/>
        <v>24</v>
      </c>
      <c r="N27" s="128">
        <v>26</v>
      </c>
      <c r="O27" s="128" t="str">
        <f t="shared" ca="1" si="4"/>
        <v>Childs S</v>
      </c>
      <c r="P27" s="128">
        <f t="shared" ca="1" si="5"/>
        <v>4</v>
      </c>
      <c r="Q27" s="128">
        <f t="shared" ca="1" si="6"/>
        <v>1</v>
      </c>
      <c r="R27" s="128" t="str">
        <f t="shared" ca="1" si="7"/>
        <v>8*</v>
      </c>
      <c r="S27" s="128">
        <f t="shared" ca="1" si="8"/>
        <v>14</v>
      </c>
      <c r="T27" s="130">
        <f t="shared" ca="1" si="9"/>
        <v>4.666666666666667</v>
      </c>
      <c r="W27" s="68" t="s">
        <v>679</v>
      </c>
    </row>
    <row r="28" spans="1:23" ht="12.75" x14ac:dyDescent="0.15">
      <c r="A28" s="68">
        <v>27</v>
      </c>
      <c r="B28" s="68" t="str">
        <f ca="1">OFFSET(Batting!$C$4,BatAves!$I28,0)</f>
        <v>Mander A</v>
      </c>
      <c r="C28" s="72">
        <f ca="1">OFFSET(Batting!$CE$4,BatAves!$I28,0)</f>
        <v>3</v>
      </c>
      <c r="D28" s="72">
        <f ca="1">OFFSET(Batting!$CG$4,BatAves!$I28,0)</f>
        <v>2</v>
      </c>
      <c r="E28" s="72">
        <f ca="1">OFFSET(Batting!$CH$4,BatAves!$I28,0)</f>
        <v>0</v>
      </c>
      <c r="F28" s="72">
        <f ca="1">OFFSET(Batting!$CJ$4,BatAves!$I28,0)</f>
        <v>4</v>
      </c>
      <c r="G28" s="72">
        <f ca="1">OFFSET(Batting!$CK$4,BatAves!$I28,0)</f>
        <v>4</v>
      </c>
      <c r="H28" s="76">
        <f ca="1">OFFSET(Batting!$CL$4,BatAves!$I28,0)</f>
        <v>2</v>
      </c>
      <c r="I28" s="68">
        <f>MATCH(A28,Batting!$DF$5:$DF$42,0)</f>
        <v>22</v>
      </c>
      <c r="J28" s="68">
        <f t="shared" ca="1" si="0"/>
        <v>1027</v>
      </c>
      <c r="K28" s="68">
        <f t="shared" ca="1" si="1"/>
        <v>28</v>
      </c>
      <c r="L28" s="68" t="str">
        <f t="shared" ca="1" si="2"/>
        <v>Mander A 2-0-4-4</v>
      </c>
      <c r="M28" s="68">
        <f t="shared" ca="1" si="3"/>
        <v>26</v>
      </c>
      <c r="N28" s="128">
        <v>27</v>
      </c>
      <c r="O28" s="128" t="str">
        <f t="shared" ca="1" si="4"/>
        <v>Pope G</v>
      </c>
      <c r="P28" s="128">
        <f t="shared" ca="1" si="5"/>
        <v>2</v>
      </c>
      <c r="Q28" s="128">
        <f t="shared" ca="1" si="6"/>
        <v>0</v>
      </c>
      <c r="R28" s="128">
        <f t="shared" ca="1" si="7"/>
        <v>6</v>
      </c>
      <c r="S28" s="128">
        <f t="shared" ca="1" si="8"/>
        <v>6</v>
      </c>
      <c r="T28" s="130">
        <f t="shared" ca="1" si="9"/>
        <v>3</v>
      </c>
      <c r="V28" s="68" t="s">
        <v>221</v>
      </c>
      <c r="W28" s="68" t="s">
        <v>669</v>
      </c>
    </row>
    <row r="29" spans="1:23" ht="12.75" x14ac:dyDescent="0.15">
      <c r="A29" s="68">
        <v>28</v>
      </c>
      <c r="B29" s="68" t="str">
        <f ca="1">OFFSET(Batting!$C$4,BatAves!$I29,0)</f>
        <v>Davies R</v>
      </c>
      <c r="C29" s="72">
        <f ca="1">OFFSET(Batting!$CE$4,BatAves!$I29,0)</f>
        <v>6</v>
      </c>
      <c r="D29" s="72">
        <f ca="1">OFFSET(Batting!$CG$4,BatAves!$I29,0)</f>
        <v>5</v>
      </c>
      <c r="E29" s="72">
        <f ca="1">OFFSET(Batting!$CH$4,BatAves!$I29,0)</f>
        <v>0</v>
      </c>
      <c r="F29" s="72">
        <f ca="1">OFFSET(Batting!$CJ$4,BatAves!$I29,0)</f>
        <v>4</v>
      </c>
      <c r="G29" s="72">
        <f ca="1">OFFSET(Batting!$CK$4,BatAves!$I29,0)</f>
        <v>8</v>
      </c>
      <c r="H29" s="76">
        <f ca="1">OFFSET(Batting!$CL$4,BatAves!$I29,0)</f>
        <v>1.6</v>
      </c>
      <c r="I29" s="68">
        <f>MATCH(A29,Batting!$DF$5:$DF$42,0)</f>
        <v>8</v>
      </c>
      <c r="J29" s="68">
        <f t="shared" ca="1" si="0"/>
        <v>28</v>
      </c>
      <c r="K29" s="68">
        <f t="shared" ca="1" si="1"/>
        <v>16</v>
      </c>
      <c r="L29" s="68" t="str">
        <f t="shared" ca="1" si="2"/>
        <v/>
      </c>
      <c r="M29" s="68">
        <f t="shared" ca="1" si="3"/>
        <v>27</v>
      </c>
      <c r="N29" s="128">
        <v>28</v>
      </c>
      <c r="O29" s="128" t="str">
        <f t="shared" ca="1" si="4"/>
        <v>Mander A</v>
      </c>
      <c r="P29" s="128">
        <f t="shared" ca="1" si="5"/>
        <v>2</v>
      </c>
      <c r="Q29" s="128">
        <f t="shared" ca="1" si="6"/>
        <v>0</v>
      </c>
      <c r="R29" s="128">
        <f t="shared" ca="1" si="7"/>
        <v>4</v>
      </c>
      <c r="S29" s="128">
        <f t="shared" ca="1" si="8"/>
        <v>4</v>
      </c>
      <c r="T29" s="130">
        <f t="shared" ca="1" si="9"/>
        <v>2</v>
      </c>
      <c r="W29" s="68" t="s">
        <v>676</v>
      </c>
    </row>
    <row r="30" spans="1:23" ht="12.75" x14ac:dyDescent="0.15">
      <c r="A30" s="68">
        <v>29</v>
      </c>
      <c r="B30" s="68" t="str">
        <f ca="1">OFFSET(Batting!$C$4,BatAves!$I30,0)</f>
        <v>Lestrelle A</v>
      </c>
      <c r="C30" s="72">
        <f ca="1">OFFSET(Batting!$CE$4,BatAves!$I30,0)</f>
        <v>2</v>
      </c>
      <c r="D30" s="72">
        <f ca="1">OFFSET(Batting!$CG$4,BatAves!$I30,0)</f>
        <v>2</v>
      </c>
      <c r="E30" s="72">
        <f ca="1">OFFSET(Batting!$CH$4,BatAves!$I30,0)</f>
        <v>0</v>
      </c>
      <c r="F30" s="72">
        <f ca="1">OFFSET(Batting!$CJ$4,BatAves!$I30,0)</f>
        <v>2</v>
      </c>
      <c r="G30" s="72">
        <f ca="1">OFFSET(Batting!$CK$4,BatAves!$I30,0)</f>
        <v>3</v>
      </c>
      <c r="H30" s="76">
        <f ca="1">OFFSET(Batting!$CL$4,BatAves!$I30,0)</f>
        <v>1.5</v>
      </c>
      <c r="I30" s="68">
        <f>MATCH(A30,Batting!$DF$5:$DF$42,0)</f>
        <v>20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Lestrelle A 2-0-2-3</v>
      </c>
      <c r="M30" s="68">
        <f t="shared" ca="1" si="3"/>
        <v>29</v>
      </c>
      <c r="N30" s="128">
        <v>29</v>
      </c>
      <c r="O30" s="128" t="str">
        <f t="shared" ca="1" si="4"/>
        <v>Lestrelle A</v>
      </c>
      <c r="P30" s="128">
        <f t="shared" ca="1" si="5"/>
        <v>2</v>
      </c>
      <c r="Q30" s="128">
        <f t="shared" ca="1" si="6"/>
        <v>0</v>
      </c>
      <c r="R30" s="128">
        <f t="shared" ca="1" si="7"/>
        <v>2</v>
      </c>
      <c r="S30" s="128">
        <f t="shared" ca="1" si="8"/>
        <v>3</v>
      </c>
      <c r="T30" s="130">
        <f t="shared" ca="1" si="9"/>
        <v>1.5</v>
      </c>
      <c r="V30" s="68" t="s">
        <v>221</v>
      </c>
      <c r="W30" s="68" t="s">
        <v>673</v>
      </c>
    </row>
    <row r="31" spans="1:23" ht="12.75" x14ac:dyDescent="0.15">
      <c r="A31" s="68">
        <v>30</v>
      </c>
      <c r="B31" s="68" t="str">
        <f ca="1">OFFSET(Batting!$C$4,BatAves!$I31,0)</f>
        <v>Wiseman R</v>
      </c>
      <c r="C31" s="72">
        <f ca="1">OFFSET(Batting!$CE$4,BatAves!$I31,0)</f>
        <v>2</v>
      </c>
      <c r="D31" s="72">
        <f ca="1">OFFSET(Batting!$CG$4,BatAves!$I31,0)</f>
        <v>1</v>
      </c>
      <c r="E31" s="72">
        <f ca="1">OFFSET(Batting!$CH$4,BatAves!$I31,0)</f>
        <v>1</v>
      </c>
      <c r="F31" s="72" t="str">
        <f ca="1">OFFSET(Batting!$CJ$4,BatAves!$I31,0)</f>
        <v>10*</v>
      </c>
      <c r="G31" s="72">
        <f ca="1">OFFSET(Batting!$CK$4,BatAves!$I31,0)</f>
        <v>10</v>
      </c>
      <c r="H31" s="76">
        <f ca="1">OFFSET(Batting!$CL$4,BatAves!$I31,0)</f>
        <v>0</v>
      </c>
      <c r="I31" s="68">
        <f>MATCH(A31,Batting!$DF$5:$DF$42,0)</f>
        <v>36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Wiseman R 1-1-10*-10</v>
      </c>
      <c r="M31" s="68">
        <f t="shared" ca="1" si="3"/>
        <v>30</v>
      </c>
      <c r="N31" s="128">
        <v>30</v>
      </c>
      <c r="O31" s="128" t="str">
        <f t="shared" ca="1" si="4"/>
        <v>Wiseman R</v>
      </c>
      <c r="P31" s="128">
        <f t="shared" ca="1" si="5"/>
        <v>1</v>
      </c>
      <c r="Q31" s="128">
        <f t="shared" ca="1" si="6"/>
        <v>1</v>
      </c>
      <c r="R31" s="128" t="str">
        <f t="shared" ca="1" si="7"/>
        <v>10*</v>
      </c>
      <c r="S31" s="128">
        <f t="shared" ca="1" si="8"/>
        <v>10</v>
      </c>
      <c r="T31" s="130">
        <f t="shared" ca="1" si="9"/>
        <v>0</v>
      </c>
      <c r="V31" s="68" t="s">
        <v>221</v>
      </c>
      <c r="W31" s="136" t="s">
        <v>682</v>
      </c>
    </row>
    <row r="32" spans="1:23" ht="12.75" x14ac:dyDescent="0.15">
      <c r="A32" s="68">
        <v>31</v>
      </c>
      <c r="B32" s="68" t="str">
        <f ca="1">OFFSET(Batting!$C$4,BatAves!$I32,0)</f>
        <v>Graham M</v>
      </c>
      <c r="C32" s="72">
        <f ca="1">OFFSET(Batting!$CE$4,BatAves!$I32,0)</f>
        <v>1</v>
      </c>
      <c r="D32" s="72">
        <f ca="1">OFFSET(Batting!$CG$4,BatAves!$I32,0)</f>
        <v>1</v>
      </c>
      <c r="E32" s="72">
        <f ca="1">OFFSET(Batting!$CH$4,BatAves!$I32,0)</f>
        <v>0</v>
      </c>
      <c r="F32" s="72">
        <f ca="1">OFFSET(Batting!$CJ$4,BatAves!$I32,0)</f>
        <v>0</v>
      </c>
      <c r="G32" s="72">
        <f ca="1">OFFSET(Batting!$CK$4,BatAves!$I32,0)</f>
        <v>0</v>
      </c>
      <c r="H32" s="76">
        <f ca="1">OFFSET(Batting!$CL$4,BatAves!$I32,0)</f>
        <v>0</v>
      </c>
      <c r="I32" s="68">
        <f>MATCH(A32,Batting!$DF$5:$DF$42,0)</f>
        <v>14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Graham M 1-0-0-0</v>
      </c>
      <c r="M32" s="68">
        <f t="shared" ca="1" si="3"/>
        <v>31</v>
      </c>
      <c r="N32" s="128">
        <v>31</v>
      </c>
      <c r="O32" s="128" t="str">
        <f t="shared" ca="1" si="4"/>
        <v>Graham M</v>
      </c>
      <c r="P32" s="128">
        <f t="shared" ca="1" si="5"/>
        <v>1</v>
      </c>
      <c r="Q32" s="128">
        <f t="shared" ca="1" si="6"/>
        <v>0</v>
      </c>
      <c r="R32" s="128">
        <f t="shared" ca="1" si="7"/>
        <v>0</v>
      </c>
      <c r="S32" s="128">
        <f t="shared" ca="1" si="8"/>
        <v>0</v>
      </c>
      <c r="T32" s="130">
        <f t="shared" ca="1" si="9"/>
        <v>0</v>
      </c>
      <c r="V32" s="68" t="s">
        <v>221</v>
      </c>
      <c r="W32" s="136"/>
    </row>
    <row r="33" spans="1:23" ht="12.75" x14ac:dyDescent="0.15">
      <c r="A33" s="68">
        <v>32</v>
      </c>
      <c r="B33" s="68" t="str">
        <f ca="1">OFFSET(Batting!$C$4,BatAves!$I33,0)</f>
        <v>Singh G</v>
      </c>
      <c r="C33" s="72">
        <f ca="1">OFFSET(Batting!$CE$4,BatAves!$I33,0)</f>
        <v>1</v>
      </c>
      <c r="D33" s="72">
        <f ca="1">OFFSET(Batting!$CG$4,BatAves!$I33,0)</f>
        <v>0</v>
      </c>
      <c r="E33" s="72">
        <f ca="1">OFFSET(Batting!$CH$4,BatAves!$I33,0)</f>
        <v>0</v>
      </c>
      <c r="F33" s="72">
        <f ca="1">OFFSET(Batting!$CJ$4,BatAves!$I33,0)</f>
        <v>0</v>
      </c>
      <c r="G33" s="72">
        <f ca="1">OFFSET(Batting!$CK$4,BatAves!$I33,0)</f>
        <v>0</v>
      </c>
      <c r="H33" s="76">
        <f ca="1">OFFSET(Batting!$CL$4,BatAves!$I33,0)</f>
        <v>0</v>
      </c>
      <c r="I33" s="68">
        <f>MATCH(A33,Batting!$DF$5:$DF$42,0)</f>
        <v>31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Singh G 0-0-0-0</v>
      </c>
      <c r="M33" s="68">
        <f t="shared" ca="1" si="3"/>
        <v>32</v>
      </c>
      <c r="N33" s="128">
        <v>32</v>
      </c>
      <c r="O33" s="128" t="str">
        <f t="shared" ca="1" si="4"/>
        <v>Singh G</v>
      </c>
      <c r="P33" s="128">
        <f t="shared" ca="1" si="5"/>
        <v>0</v>
      </c>
      <c r="Q33" s="128">
        <f t="shared" ca="1" si="6"/>
        <v>0</v>
      </c>
      <c r="R33" s="128">
        <f t="shared" ca="1" si="7"/>
        <v>0</v>
      </c>
      <c r="S33" s="128">
        <f t="shared" ca="1" si="8"/>
        <v>0</v>
      </c>
      <c r="T33" s="130">
        <f t="shared" ca="1" si="9"/>
        <v>0</v>
      </c>
      <c r="V33" s="68" t="s">
        <v>221</v>
      </c>
      <c r="W33" s="136"/>
    </row>
    <row r="34" spans="1:23" ht="12.75" x14ac:dyDescent="0.15">
      <c r="A34" s="68">
        <v>33</v>
      </c>
      <c r="B34" s="68" t="str">
        <f ca="1">OFFSET(Batting!$C$4,BatAves!$I34,0)</f>
        <v>Jones J</v>
      </c>
      <c r="C34" s="72">
        <f ca="1">OFFSET(Batting!$CE$4,BatAves!$I34,0)</f>
        <v>1</v>
      </c>
      <c r="D34" s="72">
        <f ca="1">OFFSET(Batting!$CG$4,BatAves!$I34,0)</f>
        <v>0</v>
      </c>
      <c r="E34" s="72">
        <f ca="1">OFFSET(Batting!$CH$4,BatAves!$I34,0)</f>
        <v>0</v>
      </c>
      <c r="F34" s="72">
        <f ca="1">OFFSET(Batting!$CJ$4,BatAves!$I34,0)</f>
        <v>0</v>
      </c>
      <c r="G34" s="72">
        <f ca="1">OFFSET(Batting!$CK$4,BatAves!$I34,0)</f>
        <v>0</v>
      </c>
      <c r="H34" s="76">
        <f ca="1">OFFSET(Batting!$CL$4,BatAves!$I34,0)</f>
        <v>0</v>
      </c>
      <c r="I34" s="68">
        <f>MATCH(A34,Batting!$DF$5:$DF$42,0)</f>
        <v>17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Jones J 0-0-0-0</v>
      </c>
      <c r="M34" s="68">
        <f t="shared" ca="1" si="3"/>
        <v>33</v>
      </c>
      <c r="N34" s="128">
        <v>33</v>
      </c>
      <c r="O34" s="128" t="str">
        <f t="shared" ca="1" si="4"/>
        <v>Jones J</v>
      </c>
      <c r="P34" s="128">
        <f t="shared" ca="1" si="5"/>
        <v>0</v>
      </c>
      <c r="Q34" s="128">
        <f t="shared" ca="1" si="6"/>
        <v>0</v>
      </c>
      <c r="R34" s="128">
        <f t="shared" ca="1" si="7"/>
        <v>0</v>
      </c>
      <c r="S34" s="128">
        <f t="shared" ca="1" si="8"/>
        <v>0</v>
      </c>
      <c r="T34" s="130">
        <f t="shared" ca="1" si="9"/>
        <v>0</v>
      </c>
      <c r="V34" s="68" t="s">
        <v>221</v>
      </c>
      <c r="W34" s="136"/>
    </row>
    <row r="35" spans="1:23" ht="12.75" x14ac:dyDescent="0.15">
      <c r="A35" s="68">
        <v>34</v>
      </c>
      <c r="B35" s="68" t="str">
        <f ca="1">OFFSET(Batting!$C$4,BatAves!$I35,0)</f>
        <v>Hider</v>
      </c>
      <c r="C35" s="72">
        <f ca="1">OFFSET(Batting!$CE$4,BatAves!$I35,0)</f>
        <v>1</v>
      </c>
      <c r="D35" s="72">
        <f ca="1">OFFSET(Batting!$CG$4,BatAves!$I35,0)</f>
        <v>0</v>
      </c>
      <c r="E35" s="72">
        <f ca="1">OFFSET(Batting!$CH$4,BatAves!$I35,0)</f>
        <v>0</v>
      </c>
      <c r="F35" s="72">
        <f ca="1">OFFSET(Batting!$CJ$4,BatAves!$I35,0)</f>
        <v>0</v>
      </c>
      <c r="G35" s="72">
        <f ca="1">OFFSET(Batting!$CK$4,BatAves!$I35,0)</f>
        <v>0</v>
      </c>
      <c r="H35" s="76">
        <f ca="1">OFFSET(Batting!$CL$4,BatAves!$I35,0)</f>
        <v>0</v>
      </c>
      <c r="I35" s="68">
        <f>MATCH(A35,Batting!$DF$5:$DF$42,0)</f>
        <v>15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Hider 0-0-0-0</v>
      </c>
      <c r="M35" s="68">
        <f t="shared" ca="1" si="3"/>
        <v>34</v>
      </c>
      <c r="N35" s="128">
        <v>34</v>
      </c>
      <c r="O35" s="128" t="str">
        <f t="shared" ca="1" si="4"/>
        <v>Hider</v>
      </c>
      <c r="P35" s="128">
        <f t="shared" ca="1" si="5"/>
        <v>0</v>
      </c>
      <c r="Q35" s="128">
        <f t="shared" ca="1" si="6"/>
        <v>0</v>
      </c>
      <c r="R35" s="128">
        <f t="shared" ca="1" si="7"/>
        <v>0</v>
      </c>
      <c r="S35" s="128">
        <f t="shared" ca="1" si="8"/>
        <v>0</v>
      </c>
      <c r="T35" s="130">
        <f t="shared" ca="1" si="9"/>
        <v>0</v>
      </c>
      <c r="W35" s="136"/>
    </row>
    <row r="36" spans="1:23" ht="12.75" x14ac:dyDescent="0.15">
      <c r="A36" s="68">
        <v>35</v>
      </c>
      <c r="B36" s="68" t="str">
        <f ca="1">OFFSET(Batting!$C$4,BatAves!$I36,0)</f>
        <v>Cooper G</v>
      </c>
      <c r="C36" s="72">
        <f ca="1">OFFSET(Batting!$CE$4,BatAves!$I36,0)</f>
        <v>1</v>
      </c>
      <c r="D36" s="72">
        <f ca="1">OFFSET(Batting!$CG$4,BatAves!$I36,0)</f>
        <v>0</v>
      </c>
      <c r="E36" s="72">
        <f ca="1">OFFSET(Batting!$CH$4,BatAves!$I36,0)</f>
        <v>0</v>
      </c>
      <c r="F36" s="72">
        <f ca="1">OFFSET(Batting!$CJ$4,BatAves!$I36,0)</f>
        <v>0</v>
      </c>
      <c r="G36" s="72">
        <f ca="1">OFFSET(Batting!$CK$4,BatAves!$I36,0)</f>
        <v>0</v>
      </c>
      <c r="H36" s="76">
        <f ca="1">OFFSET(Batting!$CL$4,BatAves!$I36,0)</f>
        <v>0</v>
      </c>
      <c r="I36" s="68">
        <f>MATCH(A36,Batting!$DF$5:$DF$42,0)</f>
        <v>7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Cooper G 0-0-0-0</v>
      </c>
      <c r="M36" s="68">
        <f t="shared" ca="1" si="3"/>
        <v>35</v>
      </c>
      <c r="N36" s="128">
        <v>35</v>
      </c>
      <c r="O36" s="128" t="str">
        <f t="shared" ca="1" si="4"/>
        <v>Cooper G</v>
      </c>
      <c r="P36" s="128">
        <f t="shared" ca="1" si="5"/>
        <v>0</v>
      </c>
      <c r="Q36" s="128">
        <f t="shared" ca="1" si="6"/>
        <v>0</v>
      </c>
      <c r="R36" s="128">
        <f t="shared" ca="1" si="7"/>
        <v>0</v>
      </c>
      <c r="S36" s="128">
        <f t="shared" ca="1" si="8"/>
        <v>0</v>
      </c>
      <c r="T36" s="130">
        <f t="shared" ca="1" si="9"/>
        <v>0</v>
      </c>
      <c r="V36" s="68" t="s">
        <v>221</v>
      </c>
      <c r="W36" s="136"/>
    </row>
    <row r="37" spans="1:23" ht="12.75" x14ac:dyDescent="0.15">
      <c r="A37" s="68">
        <v>36</v>
      </c>
      <c r="B37" s="68" t="str">
        <f ca="1">OFFSET(Batting!$C$4,BatAves!$I37,0)</f>
        <v>Bennell N</v>
      </c>
      <c r="C37" s="72">
        <f ca="1">OFFSET(Batting!$CE$4,BatAves!$I37,0)</f>
        <v>1</v>
      </c>
      <c r="D37" s="72">
        <f ca="1">OFFSET(Batting!$CG$4,BatAves!$I37,0)</f>
        <v>0</v>
      </c>
      <c r="E37" s="72">
        <f ca="1">OFFSET(Batting!$CH$4,BatAves!$I37,0)</f>
        <v>0</v>
      </c>
      <c r="F37" s="72">
        <f ca="1">OFFSET(Batting!$CJ$4,BatAves!$I37,0)</f>
        <v>0</v>
      </c>
      <c r="G37" s="72">
        <f ca="1">OFFSET(Batting!$CK$4,BatAves!$I37,0)</f>
        <v>0</v>
      </c>
      <c r="H37" s="76">
        <f ca="1">OFFSET(Batting!$CL$4,BatAves!$I37,0)</f>
        <v>0</v>
      </c>
      <c r="I37" s="68">
        <f>MATCH(A37,Batting!$DF$5:$DF$42,0)</f>
        <v>2</v>
      </c>
      <c r="J37" s="68">
        <f t="shared" ca="1" si="0"/>
        <v>1036</v>
      </c>
      <c r="K37" s="68">
        <f t="shared" ca="1" si="1"/>
        <v>36</v>
      </c>
      <c r="L37" s="68" t="str">
        <f t="shared" ca="1" si="2"/>
        <v>Bennell N 0-0-0-0</v>
      </c>
      <c r="M37" s="68">
        <f t="shared" ca="1" si="3"/>
        <v>36</v>
      </c>
      <c r="N37" s="128">
        <v>36</v>
      </c>
      <c r="O37" s="128" t="str">
        <f t="shared" ca="1" si="4"/>
        <v>Bennell N</v>
      </c>
      <c r="P37" s="128">
        <f t="shared" ca="1" si="5"/>
        <v>0</v>
      </c>
      <c r="Q37" s="128">
        <f t="shared" ca="1" si="6"/>
        <v>0</v>
      </c>
      <c r="R37" s="128">
        <f t="shared" ca="1" si="7"/>
        <v>0</v>
      </c>
      <c r="S37" s="128">
        <f t="shared" ca="1" si="8"/>
        <v>0</v>
      </c>
      <c r="T37" s="130">
        <f t="shared" ca="1" si="9"/>
        <v>0</v>
      </c>
      <c r="V37" s="68" t="s">
        <v>221</v>
      </c>
      <c r="W37" s="136"/>
    </row>
    <row r="38" spans="1:23" ht="12.75" x14ac:dyDescent="0.15">
      <c r="A38" s="68">
        <v>37</v>
      </c>
      <c r="B38" s="68" t="str">
        <f ca="1">OFFSET(Batting!$C$4,BatAves!$I38,0)</f>
        <v>Walker G</v>
      </c>
      <c r="C38" s="72">
        <f ca="1">OFFSET(Batting!$CE$4,BatAves!$I38,0)</f>
        <v>0</v>
      </c>
      <c r="D38" s="72">
        <f ca="1">OFFSET(Batting!$CG$4,BatAves!$I38,0)</f>
        <v>0</v>
      </c>
      <c r="E38" s="72">
        <f ca="1">OFFSET(Batting!$CH$4,BatAves!$I38,0)</f>
        <v>0</v>
      </c>
      <c r="F38" s="72">
        <f ca="1">OFFSET(Batting!$CJ$4,BatAves!$I38,0)</f>
        <v>0</v>
      </c>
      <c r="G38" s="72">
        <f ca="1">OFFSET(Batting!$CK$4,BatAves!$I38,0)</f>
        <v>0</v>
      </c>
      <c r="H38" s="76">
        <f ca="1">OFFSET(Batting!$CL$4,BatAves!$I38,0)</f>
        <v>0</v>
      </c>
      <c r="I38" s="68">
        <f>MATCH(A38,Batting!$DF$5:$DF$42,0)</f>
        <v>34</v>
      </c>
      <c r="J38" s="68">
        <f t="shared" ca="1" si="0"/>
        <v>1037</v>
      </c>
      <c r="K38" s="68">
        <f t="shared" ca="1" si="1"/>
        <v>37</v>
      </c>
      <c r="L38" s="68" t="str">
        <f t="shared" ca="1" si="2"/>
        <v>Walker G 0-0-0-0</v>
      </c>
      <c r="M38" s="68">
        <f t="shared" ca="1" si="3"/>
        <v>37</v>
      </c>
      <c r="N38" s="128">
        <v>37</v>
      </c>
      <c r="O38" s="128" t="str">
        <f t="shared" ca="1" si="4"/>
        <v>Walker G</v>
      </c>
      <c r="P38" s="128">
        <f t="shared" ca="1" si="5"/>
        <v>0</v>
      </c>
      <c r="Q38" s="128">
        <f t="shared" ca="1" si="6"/>
        <v>0</v>
      </c>
      <c r="R38" s="128">
        <f t="shared" ca="1" si="7"/>
        <v>0</v>
      </c>
      <c r="S38" s="128">
        <f t="shared" ca="1" si="8"/>
        <v>0</v>
      </c>
      <c r="T38" s="130">
        <f t="shared" ca="1" si="9"/>
        <v>0</v>
      </c>
    </row>
    <row r="39" spans="1:23" ht="12.75" x14ac:dyDescent="0.15">
      <c r="A39" s="68">
        <v>38</v>
      </c>
      <c r="B39" s="68" t="str">
        <f ca="1">OFFSET(Batting!$C$4,BatAves!$I39,0)</f>
        <v>Lovell A</v>
      </c>
      <c r="C39" s="72">
        <f ca="1">OFFSET(Batting!$CE$4,BatAves!$I39,0)</f>
        <v>0</v>
      </c>
      <c r="D39" s="72">
        <f ca="1">OFFSET(Batting!$CG$4,BatAves!$I39,0)</f>
        <v>0</v>
      </c>
      <c r="E39" s="72">
        <f ca="1">OFFSET(Batting!$CH$4,BatAves!$I39,0)</f>
        <v>0</v>
      </c>
      <c r="F39" s="72">
        <f ca="1">OFFSET(Batting!$CJ$4,BatAves!$I39,0)</f>
        <v>0</v>
      </c>
      <c r="G39" s="72">
        <f ca="1">OFFSET(Batting!$CK$4,BatAves!$I39,0)</f>
        <v>0</v>
      </c>
      <c r="H39" s="76">
        <f ca="1">OFFSET(Batting!$CL$4,BatAves!$I39,0)</f>
        <v>0</v>
      </c>
      <c r="I39" s="68">
        <f>MATCH(A39,Batting!$DF$5:$DF$42,0)</f>
        <v>21</v>
      </c>
      <c r="J39" s="68">
        <f t="shared" ca="1" si="0"/>
        <v>1038</v>
      </c>
      <c r="K39" s="68">
        <f t="shared" ca="1" si="1"/>
        <v>38</v>
      </c>
      <c r="L39" s="68" t="str">
        <f t="shared" ca="1" si="2"/>
        <v>Lovell A 0-0-0-0</v>
      </c>
      <c r="M39" s="68">
        <f t="shared" ca="1" si="3"/>
        <v>38</v>
      </c>
      <c r="N39" s="128">
        <v>38</v>
      </c>
      <c r="O39" s="128" t="str">
        <f t="shared" ca="1" si="4"/>
        <v>Lovell A</v>
      </c>
      <c r="P39" s="128">
        <f t="shared" ca="1" si="5"/>
        <v>0</v>
      </c>
      <c r="Q39" s="128">
        <f t="shared" ca="1" si="6"/>
        <v>0</v>
      </c>
      <c r="R39" s="128">
        <f t="shared" ca="1" si="7"/>
        <v>0</v>
      </c>
      <c r="S39" s="128">
        <f t="shared" ca="1" si="8"/>
        <v>0</v>
      </c>
      <c r="T39" s="130">
        <f t="shared" ca="1" si="9"/>
        <v>0</v>
      </c>
    </row>
    <row r="40" spans="1:23" ht="12.75" x14ac:dyDescent="0.15">
      <c r="A40" s="68">
        <v>39</v>
      </c>
      <c r="B40" s="68" t="e">
        <f ca="1">OFFSET(Batting!$C$4,BatAves!$I40,0)</f>
        <v>#N/A</v>
      </c>
      <c r="C40" s="72" t="e">
        <f ca="1">OFFSET(Batting!$CE$4,BatAves!$I40,0)</f>
        <v>#N/A</v>
      </c>
      <c r="D40" s="72" t="e">
        <f ca="1">OFFSET(Batting!$CG$4,BatAves!$I40,0)</f>
        <v>#N/A</v>
      </c>
      <c r="E40" s="72" t="e">
        <f ca="1">OFFSET(Batting!$CH$4,BatAves!$I40,0)</f>
        <v>#N/A</v>
      </c>
      <c r="F40" s="72" t="e">
        <f ca="1">OFFSET(Batting!$CJ$4,BatAves!$I40,0)</f>
        <v>#N/A</v>
      </c>
      <c r="G40" s="72" t="e">
        <f ca="1">OFFSET(Batting!$CK$4,BatAves!$I40,0)</f>
        <v>#N/A</v>
      </c>
      <c r="H40" s="76" t="e">
        <f ca="1">OFFSET(Batting!$CL$4,BatAves!$I40,0)</f>
        <v>#N/A</v>
      </c>
      <c r="I40" s="68" t="e">
        <f>MATCH(A40,Batting!$DF$5:$DF$42,0)</f>
        <v>#N/A</v>
      </c>
      <c r="J40" s="68" t="e">
        <f t="shared" ca="1" si="0"/>
        <v>#N/A</v>
      </c>
      <c r="K40" s="68" t="e">
        <f t="shared" ca="1" si="1"/>
        <v>#N/A</v>
      </c>
      <c r="L40" s="68" t="e">
        <f t="shared" ca="1" si="2"/>
        <v>#N/A</v>
      </c>
      <c r="M40" s="68" t="e">
        <f t="shared" ca="1" si="3"/>
        <v>#N/A</v>
      </c>
      <c r="N40" s="128">
        <v>39</v>
      </c>
      <c r="O40" s="128" t="e">
        <f t="shared" ca="1" si="4"/>
        <v>#N/A</v>
      </c>
      <c r="P40" s="128" t="e">
        <f t="shared" ca="1" si="5"/>
        <v>#N/A</v>
      </c>
      <c r="Q40" s="128" t="e">
        <f t="shared" ca="1" si="6"/>
        <v>#N/A</v>
      </c>
      <c r="R40" s="128" t="e">
        <f t="shared" ca="1" si="7"/>
        <v>#N/A</v>
      </c>
      <c r="S40" s="128" t="e">
        <f t="shared" ca="1" si="8"/>
        <v>#N/A</v>
      </c>
      <c r="T40" s="130" t="e">
        <f t="shared" ca="1" si="9"/>
        <v>#N/A</v>
      </c>
    </row>
    <row r="41" spans="1:23" ht="12.75" x14ac:dyDescent="0.15">
      <c r="A41" s="68">
        <v>40</v>
      </c>
      <c r="B41" s="68" t="e">
        <f ca="1">OFFSET(Batting!$C$4,BatAves!$I41,0)</f>
        <v>#N/A</v>
      </c>
      <c r="C41" s="72" t="e">
        <f ca="1">OFFSET(Batting!$CE$4,BatAves!$I41,0)</f>
        <v>#N/A</v>
      </c>
      <c r="D41" s="72" t="e">
        <f ca="1">OFFSET(Batting!$CG$4,BatAves!$I41,0)</f>
        <v>#N/A</v>
      </c>
      <c r="E41" s="72" t="e">
        <f ca="1">OFFSET(Batting!$CH$4,BatAves!$I41,0)</f>
        <v>#N/A</v>
      </c>
      <c r="F41" s="72" t="e">
        <f ca="1">OFFSET(Batting!$CJ$4,BatAves!$I41,0)</f>
        <v>#N/A</v>
      </c>
      <c r="G41" s="72" t="e">
        <f ca="1">OFFSET(Batting!$CK$4,BatAves!$I41,0)</f>
        <v>#N/A</v>
      </c>
      <c r="H41" s="76" t="e">
        <f ca="1">OFFSET(Batting!$CL$4,BatAves!$I41,0)</f>
        <v>#N/A</v>
      </c>
      <c r="I41" s="68" t="e">
        <f>MATCH(A41,Batting!$DF$5:$DF$42,0)</f>
        <v>#N/A</v>
      </c>
      <c r="J41" s="68" t="e">
        <f t="shared" ca="1" si="0"/>
        <v>#N/A</v>
      </c>
      <c r="K41" s="68" t="e">
        <f t="shared" ca="1" si="1"/>
        <v>#N/A</v>
      </c>
      <c r="L41" s="68" t="e">
        <f t="shared" ca="1" si="2"/>
        <v>#N/A</v>
      </c>
      <c r="M41" s="68" t="e">
        <f t="shared" ca="1" si="3"/>
        <v>#N/A</v>
      </c>
      <c r="N41" s="128">
        <v>40</v>
      </c>
      <c r="O41" s="128" t="e">
        <f t="shared" ca="1" si="4"/>
        <v>#N/A</v>
      </c>
      <c r="P41" s="128" t="e">
        <f t="shared" ca="1" si="5"/>
        <v>#N/A</v>
      </c>
      <c r="Q41" s="128" t="e">
        <f t="shared" ca="1" si="6"/>
        <v>#N/A</v>
      </c>
      <c r="R41" s="128" t="e">
        <f t="shared" ca="1" si="7"/>
        <v>#N/A</v>
      </c>
      <c r="S41" s="128" t="e">
        <f t="shared" ca="1" si="8"/>
        <v>#N/A</v>
      </c>
      <c r="T41" s="130" t="e">
        <f t="shared" ca="1" si="9"/>
        <v>#N/A</v>
      </c>
    </row>
    <row r="42" spans="1:23" x14ac:dyDescent="0.15">
      <c r="A42" s="68">
        <v>41</v>
      </c>
      <c r="B42" s="68" t="e">
        <f ca="1">OFFSET(Batting!$C$4,BatAves!$I42,0)</f>
        <v>#N/A</v>
      </c>
      <c r="C42" s="72" t="e">
        <f ca="1">OFFSET(Batting!$CE$4,BatAves!$I42,0)</f>
        <v>#N/A</v>
      </c>
      <c r="D42" s="72" t="e">
        <f ca="1">OFFSET(Batting!$CG$4,BatAves!$I42,0)</f>
        <v>#N/A</v>
      </c>
      <c r="E42" s="72" t="e">
        <f ca="1">OFFSET(Batting!$CH$4,BatAves!$I42,0)</f>
        <v>#N/A</v>
      </c>
      <c r="F42" s="72" t="e">
        <f ca="1">OFFSET(Batting!$CJ$4,BatAves!$I42,0)</f>
        <v>#N/A</v>
      </c>
      <c r="G42" s="72" t="e">
        <f ca="1">OFFSET(Batting!$CK$4,BatAves!$I42,0)</f>
        <v>#N/A</v>
      </c>
      <c r="H42" s="76" t="e">
        <f ca="1">OFFSET(Batting!$CL$4,BatAves!$I42,0)</f>
        <v>#N/A</v>
      </c>
      <c r="I42" s="68" t="e">
        <f>MATCH(A42,Batting!$DF$5:$DF$42,0)</f>
        <v>#N/A</v>
      </c>
      <c r="J42" s="68" t="e">
        <f t="shared" ca="1" si="0"/>
        <v>#N/A</v>
      </c>
      <c r="K42" s="68" t="e">
        <f t="shared" ca="1" si="1"/>
        <v>#N/A</v>
      </c>
      <c r="L42" s="68" t="e">
        <f t="shared" ca="1" si="2"/>
        <v>#N/A</v>
      </c>
      <c r="M42" s="68" t="e">
        <f t="shared" ca="1" si="3"/>
        <v>#N/A</v>
      </c>
      <c r="N42" s="124">
        <v>41</v>
      </c>
      <c r="O42" s="124" t="e">
        <f t="shared" ca="1" si="4"/>
        <v>#N/A</v>
      </c>
      <c r="P42" s="124" t="e">
        <f t="shared" ca="1" si="5"/>
        <v>#N/A</v>
      </c>
      <c r="Q42" s="124" t="e">
        <f t="shared" ca="1" si="6"/>
        <v>#N/A</v>
      </c>
      <c r="R42" s="124" t="e">
        <f t="shared" ca="1" si="7"/>
        <v>#N/A</v>
      </c>
      <c r="S42" s="124" t="e">
        <f t="shared" ca="1" si="8"/>
        <v>#N/A</v>
      </c>
      <c r="T42" s="125" t="e">
        <f t="shared" ca="1" si="9"/>
        <v>#N/A</v>
      </c>
    </row>
    <row r="43" spans="1:23" x14ac:dyDescent="0.15">
      <c r="A43" s="68">
        <v>42</v>
      </c>
      <c r="B43" s="68" t="e">
        <f ca="1">OFFSET(Batting!$C$4,BatAves!$I43,0)</f>
        <v>#N/A</v>
      </c>
      <c r="C43" s="72" t="e">
        <f ca="1">OFFSET(Batting!$CE$4,BatAves!$I43,0)</f>
        <v>#N/A</v>
      </c>
      <c r="D43" s="72" t="e">
        <f ca="1">OFFSET(Batting!$CG$4,BatAves!$I43,0)</f>
        <v>#N/A</v>
      </c>
      <c r="E43" s="72" t="e">
        <f ca="1">OFFSET(Batting!$CH$4,BatAves!$I43,0)</f>
        <v>#N/A</v>
      </c>
      <c r="F43" s="72" t="e">
        <f ca="1">OFFSET(Batting!$CJ$4,BatAves!$I43,0)</f>
        <v>#N/A</v>
      </c>
      <c r="G43" s="72" t="e">
        <f ca="1">OFFSET(Batting!$CK$4,BatAves!$I43,0)</f>
        <v>#N/A</v>
      </c>
      <c r="H43" s="76" t="e">
        <f ca="1">OFFSET(Batting!$CL$4,BatAves!$I43,0)</f>
        <v>#N/A</v>
      </c>
      <c r="I43" s="68" t="e">
        <f>MATCH(A43,Batting!$DF$5:$DF$42,0)</f>
        <v>#N/A</v>
      </c>
      <c r="J43" s="68" t="e">
        <f t="shared" ca="1" si="0"/>
        <v>#N/A</v>
      </c>
      <c r="K43" s="68" t="e">
        <f t="shared" ca="1" si="1"/>
        <v>#N/A</v>
      </c>
      <c r="L43" s="68" t="e">
        <f t="shared" ca="1" si="2"/>
        <v>#N/A</v>
      </c>
      <c r="M43" s="68" t="e">
        <f t="shared" ca="1" si="3"/>
        <v>#N/A</v>
      </c>
      <c r="N43" s="124">
        <v>42</v>
      </c>
      <c r="O43" s="124" t="e">
        <f t="shared" ca="1" si="4"/>
        <v>#N/A</v>
      </c>
      <c r="P43" s="124" t="e">
        <f t="shared" ca="1" si="5"/>
        <v>#N/A</v>
      </c>
      <c r="Q43" s="124" t="e">
        <f t="shared" ca="1" si="6"/>
        <v>#N/A</v>
      </c>
      <c r="R43" s="124" t="e">
        <f t="shared" ca="1" si="7"/>
        <v>#N/A</v>
      </c>
      <c r="S43" s="124" t="e">
        <f t="shared" ca="1" si="8"/>
        <v>#N/A</v>
      </c>
      <c r="T43" s="125" t="e">
        <f t="shared" ca="1" si="9"/>
        <v>#N/A</v>
      </c>
    </row>
    <row r="44" spans="1:23" x14ac:dyDescent="0.15">
      <c r="A44" s="68">
        <v>43</v>
      </c>
      <c r="B44" s="68" t="e">
        <f ca="1">OFFSET(Batting!$C$4,BatAves!$I44,0)</f>
        <v>#N/A</v>
      </c>
      <c r="C44" s="72" t="e">
        <f ca="1">OFFSET(Batting!$CE$4,BatAves!$I44,0)</f>
        <v>#N/A</v>
      </c>
      <c r="D44" s="72" t="e">
        <f ca="1">OFFSET(Batting!$CG$4,BatAves!$I44,0)</f>
        <v>#N/A</v>
      </c>
      <c r="E44" s="72" t="e">
        <f ca="1">OFFSET(Batting!$CH$4,BatAves!$I44,0)</f>
        <v>#N/A</v>
      </c>
      <c r="F44" s="72" t="e">
        <f ca="1">OFFSET(Batting!$CJ$4,BatAves!$I44,0)</f>
        <v>#N/A</v>
      </c>
      <c r="G44" s="72" t="e">
        <f ca="1">OFFSET(Batting!$CK$4,BatAves!$I44,0)</f>
        <v>#N/A</v>
      </c>
      <c r="H44" s="76" t="e">
        <f ca="1">OFFSET(Batting!$CL$4,BatAves!$I44,0)</f>
        <v>#N/A</v>
      </c>
      <c r="I44" s="68" t="e">
        <f>MATCH(A44,Batting!$DF$5:$DF$42,0)</f>
        <v>#N/A</v>
      </c>
      <c r="J44" s="68" t="e">
        <f t="shared" ca="1" si="0"/>
        <v>#N/A</v>
      </c>
      <c r="K44" s="68" t="e">
        <f t="shared" ca="1" si="1"/>
        <v>#N/A</v>
      </c>
      <c r="L44" s="68" t="e">
        <f t="shared" ca="1" si="2"/>
        <v>#N/A</v>
      </c>
    </row>
    <row r="45" spans="1:23" x14ac:dyDescent="0.15">
      <c r="A45" s="68">
        <v>44</v>
      </c>
      <c r="B45" s="68" t="e">
        <f ca="1">OFFSET(Batting!$C$4,BatAves!$I45,0)</f>
        <v>#N/A</v>
      </c>
      <c r="C45" s="72" t="e">
        <f ca="1">OFFSET(Batting!$CE$4,BatAves!$I45,0)</f>
        <v>#N/A</v>
      </c>
      <c r="D45" s="72" t="e">
        <f ca="1">OFFSET(Batting!$CG$4,BatAves!$I45,0)</f>
        <v>#N/A</v>
      </c>
      <c r="E45" s="72" t="e">
        <f ca="1">OFFSET(Batting!$CH$4,BatAves!$I45,0)</f>
        <v>#N/A</v>
      </c>
      <c r="F45" s="72" t="e">
        <f ca="1">OFFSET(Batting!$CJ$4,BatAves!$I45,0)</f>
        <v>#N/A</v>
      </c>
      <c r="G45" s="72" t="e">
        <f ca="1">OFFSET(Batting!$CK$4,BatAves!$I45,0)</f>
        <v>#N/A</v>
      </c>
      <c r="H45" s="76" t="e">
        <f ca="1">OFFSET(Batting!$CL$4,BatAves!$I45,0)</f>
        <v>#N/A</v>
      </c>
      <c r="I45" s="68" t="e">
        <f>MATCH(A45,Batting!$DF$5:$DF$42,0)</f>
        <v>#N/A</v>
      </c>
      <c r="J45" s="68" t="e">
        <f t="shared" ca="1" si="0"/>
        <v>#N/A</v>
      </c>
      <c r="K45" s="68" t="e">
        <f t="shared" ca="1" si="1"/>
        <v>#N/A</v>
      </c>
      <c r="L45" s="68" t="e">
        <f t="shared" ca="1" si="2"/>
        <v>#N/A</v>
      </c>
    </row>
    <row r="46" spans="1:23" x14ac:dyDescent="0.15">
      <c r="A46" s="68">
        <v>45</v>
      </c>
      <c r="B46" s="68" t="e">
        <f ca="1">OFFSET(Batting!$C$4,BatAves!$I46,0)</f>
        <v>#N/A</v>
      </c>
      <c r="C46" s="72" t="e">
        <f ca="1">OFFSET(Batting!$CE$4,BatAves!$I46,0)</f>
        <v>#N/A</v>
      </c>
      <c r="D46" s="72" t="e">
        <f ca="1">OFFSET(Batting!$CG$4,BatAves!$I46,0)</f>
        <v>#N/A</v>
      </c>
      <c r="E46" s="72" t="e">
        <f ca="1">OFFSET(Batting!$CH$4,BatAves!$I46,0)</f>
        <v>#N/A</v>
      </c>
      <c r="F46" s="72" t="e">
        <f ca="1">OFFSET(Batting!$CJ$4,BatAves!$I46,0)</f>
        <v>#N/A</v>
      </c>
      <c r="G46" s="72" t="e">
        <f ca="1">OFFSET(Batting!$CK$4,BatAves!$I46,0)</f>
        <v>#N/A</v>
      </c>
      <c r="H46" s="76" t="e">
        <f ca="1">OFFSET(Batting!$CL$4,BatAves!$I46,0)</f>
        <v>#N/A</v>
      </c>
      <c r="I46" s="68" t="e">
        <f>MATCH(A46,Batting!$DF$5:$DF$42,0)</f>
        <v>#N/A</v>
      </c>
      <c r="J46" s="68" t="e">
        <f t="shared" ca="1" si="0"/>
        <v>#N/A</v>
      </c>
      <c r="K46" s="68" t="e">
        <f t="shared" ca="1" si="1"/>
        <v>#N/A</v>
      </c>
      <c r="L46" s="68" t="e">
        <f t="shared" ca="1" si="2"/>
        <v>#N/A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OFFSET(Batting!$CE$4,BatAves!$I47,0)</f>
        <v>#N/A</v>
      </c>
      <c r="D47" s="72" t="e">
        <f ca="1">OFFSET(Batting!$CG$4,BatAves!$I47,0)</f>
        <v>#N/A</v>
      </c>
      <c r="E47" s="72" t="e">
        <f ca="1">OFFSET(Batting!$CH$4,BatAves!$I47,0)</f>
        <v>#N/A</v>
      </c>
      <c r="F47" s="72" t="e">
        <f ca="1">OFFSET(Batting!$CJ$4,BatAves!$I47,0)</f>
        <v>#N/A</v>
      </c>
      <c r="G47" s="72" t="e">
        <f ca="1">OFFSET(Batting!$CK$4,BatAves!$I47,0)</f>
        <v>#N/A</v>
      </c>
      <c r="H47" s="76" t="e">
        <f ca="1">OFFSET(Batting!$CL$4,BatAves!$I47,0)</f>
        <v>#N/A</v>
      </c>
      <c r="I47" s="68" t="e">
        <f>MATCH(A47,Batting!$DF$5:$DF$42,0)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O47" s="126" t="s">
        <v>221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OFFSET(Batting!$CE$4,BatAves!$I48,0)</f>
        <v>#N/A</v>
      </c>
      <c r="D48" s="72" t="e">
        <f ca="1">OFFSET(Batting!$CG$4,BatAves!$I48,0)</f>
        <v>#N/A</v>
      </c>
      <c r="E48" s="72" t="e">
        <f ca="1">OFFSET(Batting!$CH$4,BatAves!$I48,0)</f>
        <v>#N/A</v>
      </c>
      <c r="F48" s="72" t="e">
        <f ca="1">OFFSET(Batting!$CJ$4,BatAves!$I48,0)</f>
        <v>#N/A</v>
      </c>
      <c r="G48" s="72" t="e">
        <f ca="1">OFFSET(Batting!$CK$4,BatAves!$I48,0)</f>
        <v>#N/A</v>
      </c>
      <c r="H48" s="76" t="e">
        <f ca="1">OFFSET(Batting!$CL$4,BatAves!$I48,0)</f>
        <v>#N/A</v>
      </c>
      <c r="I48" s="68" t="e">
        <f>MATCH(A48,Batting!$DF$5:$DF$42,0)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O48" s="126" t="s">
        <v>221</v>
      </c>
    </row>
    <row r="49" spans="1:15" x14ac:dyDescent="0.15">
      <c r="A49" s="68">
        <v>48</v>
      </c>
      <c r="B49" s="68" t="e">
        <f ca="1">OFFSET(Batting!$C$4,BatAves!$I49,0)</f>
        <v>#N/A</v>
      </c>
      <c r="C49" s="72" t="e">
        <f ca="1">OFFSET(Batting!$CE$4,BatAves!$I49,0)</f>
        <v>#N/A</v>
      </c>
      <c r="D49" s="72" t="e">
        <f ca="1">OFFSET(Batting!$CG$4,BatAves!$I49,0)</f>
        <v>#N/A</v>
      </c>
      <c r="E49" s="72" t="e">
        <f ca="1">OFFSET(Batting!$CH$4,BatAves!$I49,0)</f>
        <v>#N/A</v>
      </c>
      <c r="F49" s="72" t="e">
        <f ca="1">OFFSET(Batting!$CJ$4,BatAves!$I49,0)</f>
        <v>#N/A</v>
      </c>
      <c r="G49" s="72" t="e">
        <f ca="1">OFFSET(Batting!$CK$4,BatAves!$I49,0)</f>
        <v>#N/A</v>
      </c>
      <c r="H49" s="76" t="e">
        <f ca="1">OFFSET(Batting!$CL$4,BatAves!$I49,0)</f>
        <v>#N/A</v>
      </c>
      <c r="I49" s="68" t="e">
        <f>MATCH(A49,Batting!$DF$5:$DF$42,0)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O49" s="126" t="s">
        <v>221</v>
      </c>
    </row>
    <row r="50" spans="1:15" x14ac:dyDescent="0.15">
      <c r="A50" s="68">
        <v>49</v>
      </c>
      <c r="B50" s="68" t="e">
        <f ca="1">OFFSET(Batting!$C$4,BatAves!$I50,0)</f>
        <v>#N/A</v>
      </c>
      <c r="C50" s="72" t="e">
        <f ca="1">OFFSET(Batting!$CE$4,BatAves!$I50,0)</f>
        <v>#N/A</v>
      </c>
      <c r="D50" s="72" t="e">
        <f ca="1">OFFSET(Batting!$CG$4,BatAves!$I50,0)</f>
        <v>#N/A</v>
      </c>
      <c r="E50" s="72" t="e">
        <f ca="1">OFFSET(Batting!$CH$4,BatAves!$I50,0)</f>
        <v>#N/A</v>
      </c>
      <c r="F50" s="72" t="e">
        <f ca="1">OFFSET(Batting!$CJ$4,BatAves!$I50,0)</f>
        <v>#N/A</v>
      </c>
      <c r="G50" s="72" t="e">
        <f ca="1">OFFSET(Batting!$CK$4,BatAves!$I50,0)</f>
        <v>#N/A</v>
      </c>
      <c r="H50" s="76" t="e">
        <f ca="1">OFFSET(Batting!$CL$4,BatAves!$I50,0)</f>
        <v>#N/A</v>
      </c>
      <c r="I50" s="68" t="e">
        <f>MATCH(A50,Batting!$DF$5:$DF$42,0)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O50" s="126" t="s">
        <v>221</v>
      </c>
    </row>
    <row r="51" spans="1:15" x14ac:dyDescent="0.15">
      <c r="A51" s="68">
        <v>50</v>
      </c>
      <c r="B51" s="68" t="e">
        <f ca="1">OFFSET(Batting!$C$4,BatAves!$I51,0)</f>
        <v>#N/A</v>
      </c>
      <c r="C51" s="72" t="e">
        <f ca="1">OFFSET(Batting!$CE$4,BatAves!$I51,0)</f>
        <v>#N/A</v>
      </c>
      <c r="D51" s="72" t="e">
        <f ca="1">OFFSET(Batting!$CG$4,BatAves!$I51,0)</f>
        <v>#N/A</v>
      </c>
      <c r="E51" s="72" t="e">
        <f ca="1">OFFSET(Batting!$CH$4,BatAves!$I51,0)</f>
        <v>#N/A</v>
      </c>
      <c r="F51" s="72" t="e">
        <f ca="1">OFFSET(Batting!$CJ$4,BatAves!$I51,0)</f>
        <v>#N/A</v>
      </c>
      <c r="G51" s="72" t="e">
        <f ca="1">OFFSET(Batting!$CK$4,BatAves!$I51,0)</f>
        <v>#N/A</v>
      </c>
      <c r="H51" s="76" t="e">
        <f ca="1">OFFSET(Batting!$CL$4,BatAves!$I51,0)</f>
        <v>#N/A</v>
      </c>
      <c r="I51" s="68" t="e">
        <f>MATCH(A51,Batting!$DF$5:$DF$42,0)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O51" s="126" t="s">
        <v>221</v>
      </c>
    </row>
    <row r="52" spans="1:15" x14ac:dyDescent="0.15">
      <c r="A52" s="68">
        <v>51</v>
      </c>
      <c r="B52" s="68" t="e">
        <f ca="1">OFFSET(Batting!$C$4,BatAves!$I52,0)</f>
        <v>#N/A</v>
      </c>
      <c r="C52" s="72" t="e">
        <f ca="1">OFFSET(Batting!$CE$4,BatAves!$I52,0)</f>
        <v>#N/A</v>
      </c>
      <c r="D52" s="72" t="e">
        <f ca="1">OFFSET(Batting!$CG$4,BatAves!$I52,0)</f>
        <v>#N/A</v>
      </c>
      <c r="E52" s="72" t="e">
        <f ca="1">OFFSET(Batting!$CH$4,BatAves!$I52,0)</f>
        <v>#N/A</v>
      </c>
      <c r="F52" s="72" t="e">
        <f ca="1">OFFSET(Batting!$CJ$4,BatAves!$I52,0)</f>
        <v>#N/A</v>
      </c>
      <c r="G52" s="72" t="e">
        <f ca="1">OFFSET(Batting!$CK$4,BatAves!$I52,0)</f>
        <v>#N/A</v>
      </c>
      <c r="H52" s="76" t="e">
        <f ca="1">OFFSET(Batting!$CL$4,BatAves!$I52,0)</f>
        <v>#N/A</v>
      </c>
      <c r="I52" s="68" t="e">
        <f>MATCH(A52,Batting!$DF$5:$DF$42,0)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O52" s="126" t="s">
        <v>221</v>
      </c>
    </row>
    <row r="53" spans="1:15" x14ac:dyDescent="0.15">
      <c r="A53" s="68">
        <v>52</v>
      </c>
      <c r="B53" s="68" t="e">
        <f ca="1">OFFSET(Batting!$C$4,BatAves!$I53,0)</f>
        <v>#N/A</v>
      </c>
      <c r="C53" s="72" t="e">
        <f ca="1">OFFSET(Batting!$CE$4,BatAves!$I53,0)</f>
        <v>#N/A</v>
      </c>
      <c r="D53" s="72" t="e">
        <f ca="1">OFFSET(Batting!$CG$4,BatAves!$I53,0)</f>
        <v>#N/A</v>
      </c>
      <c r="E53" s="72" t="e">
        <f ca="1">OFFSET(Batting!$CH$4,BatAves!$I53,0)</f>
        <v>#N/A</v>
      </c>
      <c r="F53" s="72" t="e">
        <f ca="1">OFFSET(Batting!$CJ$4,BatAves!$I53,0)</f>
        <v>#N/A</v>
      </c>
      <c r="G53" s="72" t="e">
        <f ca="1">OFFSET(Batting!$CK$4,BatAves!$I53,0)</f>
        <v>#N/A</v>
      </c>
      <c r="H53" s="76" t="e">
        <f ca="1">OFFSET(Batting!$CL$4,BatAves!$I53,0)</f>
        <v>#N/A</v>
      </c>
      <c r="I53" s="68" t="e">
        <f>MATCH(A53,Batting!$DF$5:$DF$42,0)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O53" s="126" t="s">
        <v>221</v>
      </c>
    </row>
    <row r="54" spans="1:15" x14ac:dyDescent="0.15">
      <c r="A54" s="68">
        <v>53</v>
      </c>
      <c r="B54" s="68" t="e">
        <f ca="1">OFFSET(Batting!$C$4,BatAves!$I54,0)</f>
        <v>#N/A</v>
      </c>
      <c r="C54" s="72" t="e">
        <f ca="1">OFFSET(Batting!$CE$4,BatAves!$I54,0)</f>
        <v>#N/A</v>
      </c>
      <c r="D54" s="72" t="e">
        <f ca="1">OFFSET(Batting!$CG$4,BatAves!$I54,0)</f>
        <v>#N/A</v>
      </c>
      <c r="E54" s="72" t="e">
        <f ca="1">OFFSET(Batting!$CH$4,BatAves!$I54,0)</f>
        <v>#N/A</v>
      </c>
      <c r="F54" s="72" t="e">
        <f ca="1">OFFSET(Batting!$CJ$4,BatAves!$I54,0)</f>
        <v>#N/A</v>
      </c>
      <c r="G54" s="72" t="e">
        <f ca="1">OFFSET(Batting!$CK$4,BatAves!$I54,0)</f>
        <v>#N/A</v>
      </c>
      <c r="H54" s="76" t="e">
        <f ca="1">OFFSET(Batting!$CL$4,BatAves!$I54,0)</f>
        <v>#N/A</v>
      </c>
      <c r="I54" s="68" t="e">
        <f>MATCH(A54,Batting!$DF$5:$DF$42,0)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O54" s="126" t="s">
        <v>221</v>
      </c>
    </row>
    <row r="55" spans="1:15" x14ac:dyDescent="0.15">
      <c r="A55" s="68">
        <v>54</v>
      </c>
      <c r="B55" s="68" t="e">
        <f ca="1">OFFSET(Batting!$C$4,BatAves!$I55,0)</f>
        <v>#N/A</v>
      </c>
      <c r="C55" s="72" t="e">
        <f ca="1">OFFSET(Batting!$CE$4,BatAves!$I55,0)</f>
        <v>#N/A</v>
      </c>
      <c r="D55" s="72" t="e">
        <f ca="1">OFFSET(Batting!$CG$4,BatAves!$I55,0)</f>
        <v>#N/A</v>
      </c>
      <c r="E55" s="72" t="e">
        <f ca="1">OFFSET(Batting!$CH$4,BatAves!$I55,0)</f>
        <v>#N/A</v>
      </c>
      <c r="F55" s="72" t="e">
        <f ca="1">OFFSET(Batting!$CJ$4,BatAves!$I55,0)</f>
        <v>#N/A</v>
      </c>
      <c r="G55" s="72" t="e">
        <f ca="1">OFFSET(Batting!$CK$4,BatAves!$I55,0)</f>
        <v>#N/A</v>
      </c>
      <c r="H55" s="76" t="e">
        <f ca="1">OFFSET(Batting!$CL$4,BatAves!$I55,0)</f>
        <v>#N/A</v>
      </c>
      <c r="I55" s="68" t="e">
        <f>MATCH(A55,Batting!$DF$5:$DF$42,0)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O55" s="126" t="s">
        <v>221</v>
      </c>
    </row>
    <row r="56" spans="1:15" x14ac:dyDescent="0.15">
      <c r="A56" s="68">
        <v>55</v>
      </c>
      <c r="B56" s="68" t="e">
        <f ca="1">OFFSET(Batting!$C$4,BatAves!$I56,0)</f>
        <v>#N/A</v>
      </c>
      <c r="C56" s="72" t="e">
        <f ca="1">OFFSET(Batting!$CE$4,BatAves!$I56,0)</f>
        <v>#N/A</v>
      </c>
      <c r="D56" s="72" t="e">
        <f ca="1">OFFSET(Batting!$CG$4,BatAves!$I56,0)</f>
        <v>#N/A</v>
      </c>
      <c r="E56" s="72" t="e">
        <f ca="1">OFFSET(Batting!$CH$4,BatAves!$I56,0)</f>
        <v>#N/A</v>
      </c>
      <c r="F56" s="72" t="e">
        <f ca="1">OFFSET(Batting!$CJ$4,BatAves!$I56,0)</f>
        <v>#N/A</v>
      </c>
      <c r="G56" s="72" t="e">
        <f ca="1">OFFSET(Batting!$CK$4,BatAves!$I56,0)</f>
        <v>#N/A</v>
      </c>
      <c r="H56" s="76" t="e">
        <f ca="1">OFFSET(Batting!$CL$4,BatAves!$I56,0)</f>
        <v>#N/A</v>
      </c>
      <c r="I56" s="68" t="e">
        <f>MATCH(A56,Batting!$DF$5:$DF$42,0)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O56" s="126" t="s">
        <v>221</v>
      </c>
    </row>
    <row r="57" spans="1:15" x14ac:dyDescent="0.15">
      <c r="A57" s="68">
        <v>56</v>
      </c>
      <c r="B57" s="68" t="e">
        <f ca="1">OFFSET(Batting!$C$4,BatAves!$I57,0)</f>
        <v>#N/A</v>
      </c>
      <c r="C57" s="72" t="e">
        <f ca="1">OFFSET(Batting!$CE$4,BatAves!$I57,0)</f>
        <v>#N/A</v>
      </c>
      <c r="D57" s="72" t="e">
        <f ca="1">OFFSET(Batting!$CG$4,BatAves!$I57,0)</f>
        <v>#N/A</v>
      </c>
      <c r="E57" s="72" t="e">
        <f ca="1">OFFSET(Batting!$CH$4,BatAves!$I57,0)</f>
        <v>#N/A</v>
      </c>
      <c r="F57" s="72" t="e">
        <f ca="1">OFFSET(Batting!$CJ$4,BatAves!$I57,0)</f>
        <v>#N/A</v>
      </c>
      <c r="G57" s="72" t="e">
        <f ca="1">OFFSET(Batting!$CK$4,BatAves!$I57,0)</f>
        <v>#N/A</v>
      </c>
      <c r="H57" s="76" t="e">
        <f ca="1">OFFSET(Batting!$CL$4,BatAves!$I57,0)</f>
        <v>#N/A</v>
      </c>
      <c r="I57" s="68" t="e">
        <f>MATCH(A57,Batting!$DF$5:$DF$42,0)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221</v>
      </c>
    </row>
    <row r="58" spans="1:15" x14ac:dyDescent="0.15">
      <c r="A58" s="68">
        <v>57</v>
      </c>
      <c r="B58" s="68" t="e">
        <f ca="1">OFFSET(Batting!$C$4,BatAves!$I58,0)</f>
        <v>#N/A</v>
      </c>
      <c r="C58" s="72" t="e">
        <f ca="1">OFFSET(Batting!$CE$4,BatAves!$I58,0)</f>
        <v>#N/A</v>
      </c>
      <c r="D58" s="72" t="e">
        <f ca="1">OFFSET(Batting!$CG$4,BatAves!$I58,0)</f>
        <v>#N/A</v>
      </c>
      <c r="E58" s="72" t="e">
        <f ca="1">OFFSET(Batting!$CH$4,BatAves!$I58,0)</f>
        <v>#N/A</v>
      </c>
      <c r="F58" s="72" t="e">
        <f ca="1">OFFSET(Batting!$CJ$4,BatAves!$I58,0)</f>
        <v>#N/A</v>
      </c>
      <c r="G58" s="72" t="e">
        <f ca="1">OFFSET(Batting!$CK$4,BatAves!$I58,0)</f>
        <v>#N/A</v>
      </c>
      <c r="H58" s="76" t="e">
        <f ca="1">OFFSET(Batting!$CL$4,BatAves!$I58,0)</f>
        <v>#N/A</v>
      </c>
      <c r="I58" s="68" t="e">
        <f>MATCH(A58,Batting!$DF$5:$DF$42,0)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221</v>
      </c>
    </row>
    <row r="59" spans="1:15" x14ac:dyDescent="0.15">
      <c r="A59" s="68">
        <v>58</v>
      </c>
      <c r="B59" s="68" t="e">
        <f ca="1">OFFSET(Batting!$C$4,BatAves!$I59,0)</f>
        <v>#N/A</v>
      </c>
      <c r="C59" s="72" t="e">
        <f ca="1">OFFSET(Batting!$CE$4,BatAves!$I59,0)</f>
        <v>#N/A</v>
      </c>
      <c r="D59" s="72" t="e">
        <f ca="1">OFFSET(Batting!$CG$4,BatAves!$I59,0)</f>
        <v>#N/A</v>
      </c>
      <c r="E59" s="72" t="e">
        <f ca="1">OFFSET(Batting!$CH$4,BatAves!$I59,0)</f>
        <v>#N/A</v>
      </c>
      <c r="F59" s="72" t="e">
        <f ca="1">OFFSET(Batting!$CJ$4,BatAves!$I59,0)</f>
        <v>#N/A</v>
      </c>
      <c r="G59" s="72" t="e">
        <f ca="1">OFFSET(Batting!$CK$4,BatAves!$I59,0)</f>
        <v>#N/A</v>
      </c>
      <c r="H59" s="76" t="e">
        <f ca="1">OFFSET(Batting!$CL$4,BatAves!$I59,0)</f>
        <v>#N/A</v>
      </c>
      <c r="I59" s="68" t="e">
        <f>MATCH(A59,Batting!$DF$5:$DF$42,0)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221</v>
      </c>
    </row>
    <row r="60" spans="1:15" x14ac:dyDescent="0.15">
      <c r="A60" s="68">
        <v>59</v>
      </c>
      <c r="B60" s="68" t="e">
        <f ca="1">OFFSET(Batting!$C$4,BatAves!$I60,0)</f>
        <v>#N/A</v>
      </c>
      <c r="C60" s="72" t="e">
        <f ca="1">OFFSET(Batting!$CE$4,BatAves!$I60,0)</f>
        <v>#N/A</v>
      </c>
      <c r="D60" s="72" t="e">
        <f ca="1">OFFSET(Batting!$CG$4,BatAves!$I60,0)</f>
        <v>#N/A</v>
      </c>
      <c r="E60" s="72" t="e">
        <f ca="1">OFFSET(Batting!$CH$4,BatAves!$I60,0)</f>
        <v>#N/A</v>
      </c>
      <c r="F60" s="72" t="e">
        <f ca="1">OFFSET(Batting!$CJ$4,BatAves!$I60,0)</f>
        <v>#N/A</v>
      </c>
      <c r="G60" s="72" t="e">
        <f ca="1">OFFSET(Batting!$CK$4,BatAves!$I60,0)</f>
        <v>#N/A</v>
      </c>
      <c r="H60" s="76" t="e">
        <f ca="1">OFFSET(Batting!$CL$4,BatAves!$I60,0)</f>
        <v>#N/A</v>
      </c>
      <c r="I60" s="68" t="e">
        <f>MATCH(A60,Batting!$DF$5:$DF$42,0)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221</v>
      </c>
    </row>
    <row r="61" spans="1:15" x14ac:dyDescent="0.15">
      <c r="O61" s="126" t="s">
        <v>221</v>
      </c>
    </row>
    <row r="62" spans="1:15" x14ac:dyDescent="0.15">
      <c r="O62" s="126" t="s">
        <v>221</v>
      </c>
    </row>
    <row r="63" spans="1:15" x14ac:dyDescent="0.15">
      <c r="O63" s="126" t="s">
        <v>221</v>
      </c>
    </row>
    <row r="64" spans="1:15" x14ac:dyDescent="0.15">
      <c r="O64" s="126" t="s">
        <v>221</v>
      </c>
    </row>
    <row r="65" spans="15:15" x14ac:dyDescent="0.15">
      <c r="O65" s="126" t="s">
        <v>221</v>
      </c>
    </row>
    <row r="66" spans="15:15" x14ac:dyDescent="0.15">
      <c r="O66" s="126" t="s">
        <v>221</v>
      </c>
    </row>
    <row r="67" spans="15:15" x14ac:dyDescent="0.15">
      <c r="O67" s="126" t="s">
        <v>221</v>
      </c>
    </row>
    <row r="68" spans="15:15" x14ac:dyDescent="0.15">
      <c r="O68" s="126" t="s">
        <v>221</v>
      </c>
    </row>
    <row r="69" spans="15:15" x14ac:dyDescent="0.15">
      <c r="O69" s="126" t="s">
        <v>221</v>
      </c>
    </row>
    <row r="70" spans="15:15" x14ac:dyDescent="0.15">
      <c r="O70" s="126" t="s">
        <v>221</v>
      </c>
    </row>
    <row r="71" spans="15:15" x14ac:dyDescent="0.15">
      <c r="O71" s="126" t="s">
        <v>221</v>
      </c>
    </row>
    <row r="72" spans="15:15" x14ac:dyDescent="0.15">
      <c r="O72" s="126" t="s">
        <v>221</v>
      </c>
    </row>
    <row r="73" spans="15:15" x14ac:dyDescent="0.15">
      <c r="O73" s="126" t="s">
        <v>221</v>
      </c>
    </row>
    <row r="74" spans="15:15" x14ac:dyDescent="0.15">
      <c r="O74" s="126" t="s">
        <v>221</v>
      </c>
    </row>
    <row r="75" spans="15:15" x14ac:dyDescent="0.15">
      <c r="O75" s="126" t="s">
        <v>221</v>
      </c>
    </row>
    <row r="76" spans="15:15" x14ac:dyDescent="0.15">
      <c r="O76" s="126" t="s">
        <v>221</v>
      </c>
    </row>
    <row r="77" spans="15:15" x14ac:dyDescent="0.15">
      <c r="O77" s="126" t="s">
        <v>221</v>
      </c>
    </row>
    <row r="78" spans="15:15" x14ac:dyDescent="0.15">
      <c r="O78" s="126" t="s">
        <v>221</v>
      </c>
    </row>
    <row r="79" spans="15:15" x14ac:dyDescent="0.15">
      <c r="O79" s="126" t="s">
        <v>221</v>
      </c>
    </row>
    <row r="80" spans="15:15" x14ac:dyDescent="0.15">
      <c r="O80" s="126" t="s">
        <v>221</v>
      </c>
    </row>
    <row r="81" spans="15:15" x14ac:dyDescent="0.15">
      <c r="O81" s="126" t="s">
        <v>221</v>
      </c>
    </row>
    <row r="82" spans="15:15" x14ac:dyDescent="0.15">
      <c r="O82" s="126" t="s">
        <v>221</v>
      </c>
    </row>
    <row r="83" spans="15:15" x14ac:dyDescent="0.15">
      <c r="O83" s="126" t="s">
        <v>221</v>
      </c>
    </row>
    <row r="84" spans="15:15" x14ac:dyDescent="0.15">
      <c r="O84" s="126" t="s">
        <v>221</v>
      </c>
    </row>
    <row r="85" spans="15:15" x14ac:dyDescent="0.15">
      <c r="O85" s="126" t="s">
        <v>221</v>
      </c>
    </row>
  </sheetData>
  <sortState ref="W2:W31">
    <sortCondition ref="W2:W31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56"/>
  <sheetViews>
    <sheetView topLeftCell="A16" workbookViewId="0">
      <selection activeCell="Q43" sqref="Q43:Q56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8" bestFit="1" customWidth="1"/>
    <col min="5" max="5" width="5.140625" style="159" bestFit="1" customWidth="1"/>
    <col min="6" max="6" width="5" style="159" bestFit="1" customWidth="1"/>
    <col min="7" max="7" width="7.28515625" style="159" bestFit="1" customWidth="1"/>
    <col min="8" max="8" width="7.28515625" style="76" bestFit="1" customWidth="1"/>
    <col min="9" max="9" width="6.5703125" style="163" bestFit="1" customWidth="1"/>
    <col min="10" max="10" width="5.5703125" style="163" bestFit="1" customWidth="1"/>
    <col min="11" max="11" width="4.7109375" style="159" bestFit="1" customWidth="1"/>
    <col min="12" max="12" width="5.28515625" style="159" bestFit="1" customWidth="1"/>
    <col min="13" max="13" width="5.85546875" style="159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62"/>
    <col min="20" max="21" width="9.140625" style="122"/>
    <col min="22" max="22" width="9.140625" style="60"/>
    <col min="23" max="16384" width="9.140625" style="122"/>
  </cols>
  <sheetData>
    <row r="1" spans="1:26" x14ac:dyDescent="0.15">
      <c r="A1" s="60" t="s">
        <v>143</v>
      </c>
      <c r="D1" s="158" t="s">
        <v>35</v>
      </c>
      <c r="E1" s="159" t="s">
        <v>36</v>
      </c>
      <c r="F1" s="159" t="s">
        <v>9</v>
      </c>
      <c r="G1" s="159" t="s">
        <v>145</v>
      </c>
      <c r="H1" s="75" t="s">
        <v>38</v>
      </c>
      <c r="I1" s="160" t="s">
        <v>39</v>
      </c>
      <c r="J1" s="160" t="s">
        <v>40</v>
      </c>
      <c r="K1" s="161" t="s">
        <v>98</v>
      </c>
      <c r="L1" s="161"/>
      <c r="M1" s="161"/>
      <c r="O1" s="122" t="s">
        <v>219</v>
      </c>
      <c r="P1" s="122">
        <f t="array" aca="1" ref="P1" ca="1">SUM(IF(NOT(ISNA(C2:C51)),1,0))</f>
        <v>30</v>
      </c>
      <c r="Q1" s="122" t="s">
        <v>220</v>
      </c>
      <c r="R1" s="122">
        <f t="array" aca="1" ref="R1" ca="1">SUM(IF(OFFSET(G2,0,0,P1,1)&gt;=10,1,0))</f>
        <v>7</v>
      </c>
    </row>
    <row r="2" spans="1:26" x14ac:dyDescent="0.15">
      <c r="A2" s="122">
        <v>1</v>
      </c>
      <c r="B2" s="122">
        <f>MATCH(A2,Bowling!$CS$5:$CS$34,0)</f>
        <v>20</v>
      </c>
      <c r="C2" s="122" t="str">
        <f ca="1">OFFSET(Bowling!$B$4,BowlAves!B2,0)</f>
        <v>Phillips M</v>
      </c>
      <c r="D2" s="158">
        <f t="array" aca="1" ref="D2:K2" ca="1">OFFSET(Bowling!$CG$4,BowlAves!B2,0,1,8)</f>
        <v>8</v>
      </c>
      <c r="E2" s="159">
        <f ca="1"/>
        <v>4</v>
      </c>
      <c r="F2" s="159">
        <f ca="1"/>
        <v>14</v>
      </c>
      <c r="G2" s="159">
        <f ca="1"/>
        <v>2</v>
      </c>
      <c r="H2" s="76">
        <f ca="1"/>
        <v>7</v>
      </c>
      <c r="I2" s="163">
        <f ca="1"/>
        <v>24</v>
      </c>
      <c r="J2" s="163">
        <f ca="1"/>
        <v>1.75</v>
      </c>
      <c r="K2" s="164" t="str">
        <f ca="1"/>
        <v>2-14</v>
      </c>
      <c r="L2" s="164">
        <f ca="1">IF(G2&gt;=10,A2,1000+A2)</f>
        <v>1001</v>
      </c>
      <c r="M2" s="164">
        <f ca="1">RANK(L2,OFFSET($L$2,0,0,$P$1,1),-1)</f>
        <v>8</v>
      </c>
      <c r="N2" s="122" t="str">
        <f ca="1">IF(G2&gt;=10,"",C2&amp;" "&amp;D2&amp;"-"&amp;E2&amp;"-"&amp;F2&amp;"-"&amp;G2&amp;",")</f>
        <v>Phillips M 8-4-14-2,</v>
      </c>
      <c r="Q2" s="165" t="s">
        <v>84</v>
      </c>
      <c r="R2" s="166" t="s">
        <v>35</v>
      </c>
      <c r="S2" s="167" t="s">
        <v>36</v>
      </c>
      <c r="T2" s="166" t="s">
        <v>9</v>
      </c>
      <c r="U2" s="166" t="s">
        <v>145</v>
      </c>
      <c r="V2" s="166" t="s">
        <v>38</v>
      </c>
      <c r="W2" s="166" t="s">
        <v>39</v>
      </c>
      <c r="X2" s="166" t="s">
        <v>40</v>
      </c>
      <c r="Y2" s="166" t="s">
        <v>98</v>
      </c>
      <c r="Z2" s="166" t="s">
        <v>290</v>
      </c>
    </row>
    <row r="3" spans="1:26" ht="11.25" x14ac:dyDescent="0.2">
      <c r="A3" s="122">
        <v>2</v>
      </c>
      <c r="B3" s="122">
        <f>MATCH(A3,Bowling!$CS$5:$CS$34,0)</f>
        <v>18</v>
      </c>
      <c r="C3" s="122" t="str">
        <f ca="1">OFFSET(Bowling!$B$4,BowlAves!B3,0)</f>
        <v>Middleton J</v>
      </c>
      <c r="D3" s="158">
        <f t="array" aca="1" ref="D3:K3" ca="1">OFFSET(Bowling!$CG$4,BowlAves!B3,0,1,8)</f>
        <v>108.4</v>
      </c>
      <c r="E3" s="159">
        <f ca="1"/>
        <v>13</v>
      </c>
      <c r="F3" s="159">
        <f ca="1"/>
        <v>387</v>
      </c>
      <c r="G3" s="159">
        <f ca="1"/>
        <v>30</v>
      </c>
      <c r="H3" s="76">
        <f ca="1"/>
        <v>12.9</v>
      </c>
      <c r="I3" s="163">
        <f ca="1"/>
        <v>21.733333333333334</v>
      </c>
      <c r="J3" s="163">
        <f ca="1"/>
        <v>3.5613496932515338</v>
      </c>
      <c r="K3" s="164" t="str">
        <f ca="1"/>
        <v>4-14</v>
      </c>
      <c r="L3" s="164">
        <f t="shared" ref="L3:L51" ca="1" si="0">IF(G3&gt;=10,A3,1000+A3)</f>
        <v>2</v>
      </c>
      <c r="M3" s="164">
        <f t="shared" ref="M3:M51" ca="1" si="1">RANK(L3,OFFSET($L$2,0,0,$P$1,1),-1)</f>
        <v>1</v>
      </c>
      <c r="N3" s="122" t="str">
        <f t="shared" ref="N3:N51" ca="1" si="2">IF(G3&gt;=10,"",C3&amp;" "&amp;D3&amp;"-"&amp;E3&amp;"-"&amp;F3&amp;"-"&amp;G3&amp;",")</f>
        <v/>
      </c>
      <c r="P3" s="168">
        <v>1</v>
      </c>
      <c r="Q3" s="169" t="str">
        <f t="array" aca="1" ref="Q3:Y3" ca="1">OFFSET($C$2,MATCH(P3,$M$2:$M$51,0)-1,0,1,9)</f>
        <v>Middleton J</v>
      </c>
      <c r="R3" s="170">
        <f ca="1"/>
        <v>108.4</v>
      </c>
      <c r="S3" s="171">
        <f ca="1"/>
        <v>13</v>
      </c>
      <c r="T3" s="170">
        <f ca="1"/>
        <v>387</v>
      </c>
      <c r="U3" s="170">
        <f ca="1"/>
        <v>30</v>
      </c>
      <c r="V3" s="172">
        <f ca="1"/>
        <v>12.9</v>
      </c>
      <c r="W3" s="173">
        <f ca="1"/>
        <v>21.733333333333334</v>
      </c>
      <c r="X3" s="173">
        <f ca="1"/>
        <v>3.5613496932515338</v>
      </c>
      <c r="Y3" s="173" t="str">
        <f ca="1"/>
        <v>4-14</v>
      </c>
      <c r="Z3" s="174">
        <f ca="1">S3/R3</f>
        <v>0.11992619926199262</v>
      </c>
    </row>
    <row r="4" spans="1:26" ht="11.25" x14ac:dyDescent="0.2">
      <c r="A4" s="122">
        <v>3</v>
      </c>
      <c r="B4" s="122">
        <f>MATCH(A4,Bowling!$CS$5:$CS$34,0)</f>
        <v>9</v>
      </c>
      <c r="C4" s="122" t="str">
        <f ca="1">OFFSET(Bowling!$B$4,BowlAves!B4,0)</f>
        <v>Graham M</v>
      </c>
      <c r="D4" s="158">
        <f t="array" aca="1" ref="D4:K4" ca="1">OFFSET(Bowling!$CG$4,BowlAves!B4,0,1,8)</f>
        <v>2</v>
      </c>
      <c r="E4" s="159">
        <f ca="1"/>
        <v>0</v>
      </c>
      <c r="F4" s="159">
        <f ca="1"/>
        <v>14</v>
      </c>
      <c r="G4" s="159">
        <f ca="1"/>
        <v>1</v>
      </c>
      <c r="H4" s="76">
        <f ca="1"/>
        <v>14</v>
      </c>
      <c r="I4" s="163">
        <f ca="1"/>
        <v>12</v>
      </c>
      <c r="J4" s="163">
        <f ca="1"/>
        <v>7</v>
      </c>
      <c r="K4" s="164" t="str">
        <f ca="1"/>
        <v>1-14</v>
      </c>
      <c r="L4" s="164">
        <f t="shared" ca="1" si="0"/>
        <v>1003</v>
      </c>
      <c r="M4" s="164">
        <f t="shared" ca="1" si="1"/>
        <v>9</v>
      </c>
      <c r="N4" s="122" t="str">
        <f t="shared" ca="1" si="2"/>
        <v>Graham M 2-0-14-1,</v>
      </c>
      <c r="P4" s="168">
        <v>2</v>
      </c>
      <c r="Q4" s="169" t="str">
        <f t="array" aca="1" ref="Q4:Y4" ca="1">OFFSET($C$2,MATCH(P4,$M$2:$M$51,0)-1,0,1,9)</f>
        <v>Clark C</v>
      </c>
      <c r="R4" s="170">
        <f ca="1"/>
        <v>79</v>
      </c>
      <c r="S4" s="171">
        <f ca="1"/>
        <v>9</v>
      </c>
      <c r="T4" s="170">
        <f ca="1"/>
        <v>278</v>
      </c>
      <c r="U4" s="170">
        <f ca="1"/>
        <v>17</v>
      </c>
      <c r="V4" s="172">
        <f ca="1"/>
        <v>16.350000000000001</v>
      </c>
      <c r="W4" s="173">
        <f ca="1"/>
        <v>27.882352941176471</v>
      </c>
      <c r="X4" s="173">
        <f ca="1"/>
        <v>3.518987341772152</v>
      </c>
      <c r="Y4" s="173" t="str">
        <f ca="1"/>
        <v>4-16</v>
      </c>
      <c r="Z4" s="174">
        <f t="shared" ref="Z4:Z25" ca="1" si="3">S4/R4</f>
        <v>0.11392405063291139</v>
      </c>
    </row>
    <row r="5" spans="1:26" ht="11.25" x14ac:dyDescent="0.2">
      <c r="A5" s="122">
        <v>4</v>
      </c>
      <c r="B5" s="122">
        <f>MATCH(A5,Bowling!$CS$5:$CS$34,0)</f>
        <v>30</v>
      </c>
      <c r="C5" s="122" t="str">
        <f ca="1">OFFSET(Bowling!$B$4,BowlAves!B5,0)</f>
        <v>Woodhouse M</v>
      </c>
      <c r="D5" s="158">
        <f t="array" aca="1" ref="D5:K5" ca="1">OFFSET(Bowling!$CG$4,BowlAves!B5,0,1,8)</f>
        <v>3</v>
      </c>
      <c r="E5" s="159">
        <f ca="1"/>
        <v>0</v>
      </c>
      <c r="F5" s="159">
        <f ca="1"/>
        <v>16</v>
      </c>
      <c r="G5" s="159">
        <f ca="1"/>
        <v>1</v>
      </c>
      <c r="H5" s="76">
        <f ca="1"/>
        <v>16</v>
      </c>
      <c r="I5" s="163">
        <f ca="1"/>
        <v>18</v>
      </c>
      <c r="J5" s="163">
        <f ca="1"/>
        <v>5.333333333333333</v>
      </c>
      <c r="K5" s="164" t="str">
        <f ca="1"/>
        <v>1-16</v>
      </c>
      <c r="L5" s="164">
        <f t="shared" ca="1" si="0"/>
        <v>1004</v>
      </c>
      <c r="M5" s="164">
        <f t="shared" ca="1" si="1"/>
        <v>10</v>
      </c>
      <c r="N5" s="122" t="str">
        <f t="shared" ca="1" si="2"/>
        <v>Woodhouse M 3-0-16-1,</v>
      </c>
      <c r="P5" s="168">
        <v>3</v>
      </c>
      <c r="Q5" s="169" t="str">
        <f t="array" aca="1" ref="Q5:Y5" ca="1">OFFSET($C$2,MATCH(P5,$M$2:$M$51,0)-1,0,1,9)</f>
        <v>Bowers M</v>
      </c>
      <c r="R5" s="170">
        <f ca="1"/>
        <v>106</v>
      </c>
      <c r="S5" s="171">
        <f ca="1"/>
        <v>6</v>
      </c>
      <c r="T5" s="170">
        <f ca="1"/>
        <v>528</v>
      </c>
      <c r="U5" s="170">
        <f ca="1"/>
        <v>28</v>
      </c>
      <c r="V5" s="172">
        <f ca="1"/>
        <v>18.86</v>
      </c>
      <c r="W5" s="173">
        <f ca="1"/>
        <v>22.714285714285715</v>
      </c>
      <c r="X5" s="173">
        <f ca="1"/>
        <v>4.9811320754716979</v>
      </c>
      <c r="Y5" s="173" t="str">
        <f ca="1"/>
        <v>4-11</v>
      </c>
      <c r="Z5" s="174">
        <f t="shared" ca="1" si="3"/>
        <v>5.6603773584905662E-2</v>
      </c>
    </row>
    <row r="6" spans="1:26" ht="11.25" x14ac:dyDescent="0.2">
      <c r="A6" s="122">
        <v>5</v>
      </c>
      <c r="B6" s="122">
        <f>MATCH(A6,Bowling!$CS$5:$CS$34,0)</f>
        <v>2</v>
      </c>
      <c r="C6" s="122" t="str">
        <f ca="1">OFFSET(Bowling!$B$4,BowlAves!B6,0)</f>
        <v>Clark C</v>
      </c>
      <c r="D6" s="158">
        <f t="array" aca="1" ref="D6:K6" ca="1">OFFSET(Bowling!$CG$4,BowlAves!B6,0,1,8)</f>
        <v>79</v>
      </c>
      <c r="E6" s="159">
        <f ca="1"/>
        <v>9</v>
      </c>
      <c r="F6" s="159">
        <f ca="1"/>
        <v>278</v>
      </c>
      <c r="G6" s="159">
        <f ca="1"/>
        <v>17</v>
      </c>
      <c r="H6" s="76">
        <f ca="1"/>
        <v>16.350000000000001</v>
      </c>
      <c r="I6" s="163">
        <f ca="1"/>
        <v>27.882352941176471</v>
      </c>
      <c r="J6" s="163">
        <f ca="1"/>
        <v>3.518987341772152</v>
      </c>
      <c r="K6" s="164" t="str">
        <f ca="1"/>
        <v>4-16</v>
      </c>
      <c r="L6" s="164">
        <f t="shared" ca="1" si="0"/>
        <v>5</v>
      </c>
      <c r="M6" s="164">
        <f t="shared" ca="1" si="1"/>
        <v>2</v>
      </c>
      <c r="N6" s="122" t="str">
        <f t="shared" ca="1" si="2"/>
        <v/>
      </c>
      <c r="P6" s="168">
        <v>4</v>
      </c>
      <c r="Q6" s="169" t="str">
        <f t="array" aca="1" ref="Q6:Y6" ca="1">OFFSET($C$2,MATCH(P6,$M$2:$M$51,0)-1,0,1,9)</f>
        <v>Nair S</v>
      </c>
      <c r="R6" s="170">
        <f ca="1"/>
        <v>110</v>
      </c>
      <c r="S6" s="171">
        <f ca="1"/>
        <v>21</v>
      </c>
      <c r="T6" s="170">
        <f ca="1"/>
        <v>416</v>
      </c>
      <c r="U6" s="170">
        <f ca="1"/>
        <v>20</v>
      </c>
      <c r="V6" s="172">
        <f ca="1"/>
        <v>20.8</v>
      </c>
      <c r="W6" s="173">
        <f ca="1"/>
        <v>33</v>
      </c>
      <c r="X6" s="173">
        <f ca="1"/>
        <v>3.7818181818181817</v>
      </c>
      <c r="Y6" s="173" t="str">
        <f ca="1"/>
        <v>3-19</v>
      </c>
      <c r="Z6" s="174">
        <f t="shared" ca="1" si="3"/>
        <v>0.19090909090909092</v>
      </c>
    </row>
    <row r="7" spans="1:26" ht="11.25" x14ac:dyDescent="0.2">
      <c r="A7" s="122">
        <v>6</v>
      </c>
      <c r="B7" s="122">
        <f>MATCH(A7,Bowling!$CS$5:$CS$34,0)</f>
        <v>1</v>
      </c>
      <c r="C7" s="122" t="str">
        <f ca="1">OFFSET(Bowling!$B$4,BowlAves!B7,0)</f>
        <v>Bowers M</v>
      </c>
      <c r="D7" s="158">
        <f t="array" aca="1" ref="D7:K7" ca="1">OFFSET(Bowling!$CG$4,BowlAves!B7,0,1,8)</f>
        <v>106</v>
      </c>
      <c r="E7" s="159">
        <f ca="1"/>
        <v>6</v>
      </c>
      <c r="F7" s="159">
        <f ca="1"/>
        <v>528</v>
      </c>
      <c r="G7" s="159">
        <f ca="1"/>
        <v>28</v>
      </c>
      <c r="H7" s="76">
        <f ca="1"/>
        <v>18.86</v>
      </c>
      <c r="I7" s="163">
        <f ca="1"/>
        <v>22.714285714285715</v>
      </c>
      <c r="J7" s="163">
        <f ca="1"/>
        <v>4.9811320754716979</v>
      </c>
      <c r="K7" s="164" t="str">
        <f ca="1"/>
        <v>4-11</v>
      </c>
      <c r="L7" s="164">
        <f t="shared" ca="1" si="0"/>
        <v>6</v>
      </c>
      <c r="M7" s="164">
        <f t="shared" ca="1" si="1"/>
        <v>3</v>
      </c>
      <c r="N7" s="122" t="str">
        <f t="shared" ca="1" si="2"/>
        <v/>
      </c>
      <c r="P7" s="168">
        <v>5</v>
      </c>
      <c r="Q7" s="169" t="str">
        <f t="array" aca="1" ref="Q7:Y7" ca="1">OFFSET($C$2,MATCH(P7,$M$2:$M$51,0)-1,0,1,9)</f>
        <v>Dickson G</v>
      </c>
      <c r="R7" s="170">
        <f ca="1"/>
        <v>69</v>
      </c>
      <c r="S7" s="171">
        <f ca="1"/>
        <v>4</v>
      </c>
      <c r="T7" s="170">
        <f ca="1"/>
        <v>319</v>
      </c>
      <c r="U7" s="170">
        <f ca="1"/>
        <v>14</v>
      </c>
      <c r="V7" s="172">
        <f ca="1"/>
        <v>22.79</v>
      </c>
      <c r="W7" s="173">
        <f ca="1"/>
        <v>29.571428571428573</v>
      </c>
      <c r="X7" s="173">
        <f ca="1"/>
        <v>4.6231884057971016</v>
      </c>
      <c r="Y7" s="173" t="str">
        <f ca="1"/>
        <v>3-19</v>
      </c>
      <c r="Z7" s="174">
        <f t="shared" ca="1" si="3"/>
        <v>5.7971014492753624E-2</v>
      </c>
    </row>
    <row r="8" spans="1:26" ht="11.25" x14ac:dyDescent="0.2">
      <c r="A8" s="122">
        <v>7</v>
      </c>
      <c r="B8" s="122">
        <f>MATCH(A8,Bowling!$CS$5:$CS$34,0)</f>
        <v>19</v>
      </c>
      <c r="C8" s="122" t="str">
        <f ca="1">OFFSET(Bowling!$B$4,BowlAves!B8,0)</f>
        <v>Nair S</v>
      </c>
      <c r="D8" s="158">
        <f t="array" aca="1" ref="D8:K8" ca="1">OFFSET(Bowling!$CG$4,BowlAves!B8,0,1,8)</f>
        <v>110</v>
      </c>
      <c r="E8" s="159">
        <f ca="1"/>
        <v>21</v>
      </c>
      <c r="F8" s="159">
        <f ca="1"/>
        <v>416</v>
      </c>
      <c r="G8" s="159">
        <f ca="1"/>
        <v>20</v>
      </c>
      <c r="H8" s="76">
        <f ca="1"/>
        <v>20.8</v>
      </c>
      <c r="I8" s="163">
        <f ca="1"/>
        <v>33</v>
      </c>
      <c r="J8" s="163">
        <f ca="1"/>
        <v>3.7818181818181817</v>
      </c>
      <c r="K8" s="164" t="str">
        <f ca="1"/>
        <v>3-19</v>
      </c>
      <c r="L8" s="164">
        <f t="shared" ca="1" si="0"/>
        <v>7</v>
      </c>
      <c r="M8" s="164">
        <f t="shared" ca="1" si="1"/>
        <v>4</v>
      </c>
      <c r="N8" s="122" t="str">
        <f t="shared" ca="1" si="2"/>
        <v/>
      </c>
      <c r="P8" s="168">
        <v>6</v>
      </c>
      <c r="Q8" s="169" t="str">
        <f t="array" aca="1" ref="Q8:Y8" ca="1">OFFSET($C$2,MATCH(P8,$M$2:$M$51,0)-1,0,1,9)</f>
        <v>Sharpe D</v>
      </c>
      <c r="R8" s="170">
        <f ca="1"/>
        <v>56.2</v>
      </c>
      <c r="S8" s="171">
        <f ca="1"/>
        <v>3</v>
      </c>
      <c r="T8" s="170">
        <f ca="1"/>
        <v>309</v>
      </c>
      <c r="U8" s="170">
        <f ca="1"/>
        <v>10</v>
      </c>
      <c r="V8" s="172">
        <f ca="1"/>
        <v>30.9</v>
      </c>
      <c r="W8" s="173">
        <f ca="1"/>
        <v>33.799999999999997</v>
      </c>
      <c r="X8" s="173">
        <f ca="1"/>
        <v>5.4852071005917162</v>
      </c>
      <c r="Y8" s="173" t="str">
        <f ca="1"/>
        <v>3-20</v>
      </c>
      <c r="Z8" s="174">
        <f t="shared" ca="1" si="3"/>
        <v>5.3380782918149461E-2</v>
      </c>
    </row>
    <row r="9" spans="1:26" ht="11.25" x14ac:dyDescent="0.2">
      <c r="A9" s="122">
        <v>8</v>
      </c>
      <c r="B9" s="122">
        <f>MATCH(A9,Bowling!$CS$5:$CS$34,0)</f>
        <v>21</v>
      </c>
      <c r="C9" s="122" t="str">
        <f ca="1">OFFSET(Bowling!$B$4,BowlAves!B9,0)</f>
        <v>Pope G</v>
      </c>
      <c r="D9" s="158">
        <f t="array" aca="1" ref="D9:K9" ca="1">OFFSET(Bowling!$CG$4,BowlAves!B9,0,1,8)</f>
        <v>2</v>
      </c>
      <c r="E9" s="159">
        <f ca="1"/>
        <v>0</v>
      </c>
      <c r="F9" s="159">
        <f ca="1"/>
        <v>21</v>
      </c>
      <c r="G9" s="159">
        <f ca="1"/>
        <v>1</v>
      </c>
      <c r="H9" s="76">
        <f ca="1"/>
        <v>21</v>
      </c>
      <c r="I9" s="163">
        <f ca="1"/>
        <v>12</v>
      </c>
      <c r="J9" s="163">
        <f ca="1"/>
        <v>10.5</v>
      </c>
      <c r="K9" s="164" t="str">
        <f ca="1"/>
        <v>1-21</v>
      </c>
      <c r="L9" s="164">
        <f t="shared" ca="1" si="0"/>
        <v>1008</v>
      </c>
      <c r="M9" s="164">
        <f t="shared" ca="1" si="1"/>
        <v>11</v>
      </c>
      <c r="N9" s="122" t="str">
        <f t="shared" ca="1" si="2"/>
        <v>Pope G 2-0-21-1,</v>
      </c>
      <c r="P9" s="168">
        <v>7</v>
      </c>
      <c r="Q9" s="169" t="str">
        <f t="array" aca="1" ref="Q9:Y9" ca="1">OFFSET($C$2,MATCH(P9,$M$2:$M$51,0)-1,0,1,9)</f>
        <v>Seymour C</v>
      </c>
      <c r="R9" s="170">
        <f ca="1"/>
        <v>68.3</v>
      </c>
      <c r="S9" s="171">
        <f ca="1"/>
        <v>2</v>
      </c>
      <c r="T9" s="170">
        <f ca="1"/>
        <v>449</v>
      </c>
      <c r="U9" s="170">
        <f ca="1"/>
        <v>11</v>
      </c>
      <c r="V9" s="172">
        <f ca="1"/>
        <v>40.82</v>
      </c>
      <c r="W9" s="173">
        <f ca="1"/>
        <v>37.363636363636367</v>
      </c>
      <c r="X9" s="173">
        <f ca="1"/>
        <v>6.554744525547445</v>
      </c>
      <c r="Y9" s="173" t="str">
        <f ca="1"/>
        <v>4-43</v>
      </c>
      <c r="Z9" s="174">
        <f t="shared" ca="1" si="3"/>
        <v>2.9282576866764276E-2</v>
      </c>
    </row>
    <row r="10" spans="1:26" ht="11.25" x14ac:dyDescent="0.2">
      <c r="A10" s="122">
        <v>9</v>
      </c>
      <c r="B10" s="122">
        <f>MATCH(A10,Bowling!$CS$5:$CS$34,0)</f>
        <v>7</v>
      </c>
      <c r="C10" s="122" t="str">
        <f ca="1">OFFSET(Bowling!$B$4,BowlAves!B10,0)</f>
        <v>Dickson G</v>
      </c>
      <c r="D10" s="158">
        <f t="array" aca="1" ref="D10:K10" ca="1">OFFSET(Bowling!$CG$4,BowlAves!B10,0,1,8)</f>
        <v>69</v>
      </c>
      <c r="E10" s="159">
        <f ca="1"/>
        <v>4</v>
      </c>
      <c r="F10" s="159">
        <f ca="1"/>
        <v>319</v>
      </c>
      <c r="G10" s="159">
        <f ca="1"/>
        <v>14</v>
      </c>
      <c r="H10" s="76">
        <f ca="1"/>
        <v>22.79</v>
      </c>
      <c r="I10" s="163">
        <f ca="1"/>
        <v>29.571428571428573</v>
      </c>
      <c r="J10" s="163">
        <f ca="1"/>
        <v>4.6231884057971016</v>
      </c>
      <c r="K10" s="164" t="str">
        <f ca="1"/>
        <v>3-19</v>
      </c>
      <c r="L10" s="164">
        <f t="shared" ca="1" si="0"/>
        <v>9</v>
      </c>
      <c r="M10" s="164">
        <f t="shared" ca="1" si="1"/>
        <v>5</v>
      </c>
      <c r="N10" s="122" t="str">
        <f t="shared" ca="1" si="2"/>
        <v/>
      </c>
      <c r="P10" s="168">
        <v>8</v>
      </c>
      <c r="Q10" s="169" t="str">
        <f t="array" aca="1" ref="Q10:Y10" ca="1">OFFSET($C$2,MATCH(P10,$M$2:$M$51,0)-1,0,1,9)</f>
        <v>Phillips M</v>
      </c>
      <c r="R10" s="170">
        <f ca="1"/>
        <v>8</v>
      </c>
      <c r="S10" s="171">
        <f ca="1"/>
        <v>4</v>
      </c>
      <c r="T10" s="170">
        <f ca="1"/>
        <v>14</v>
      </c>
      <c r="U10" s="170">
        <f ca="1"/>
        <v>2</v>
      </c>
      <c r="V10" s="172">
        <f ca="1"/>
        <v>7</v>
      </c>
      <c r="W10" s="173">
        <f ca="1"/>
        <v>24</v>
      </c>
      <c r="X10" s="173">
        <f ca="1"/>
        <v>1.75</v>
      </c>
      <c r="Y10" s="173" t="str">
        <f ca="1"/>
        <v>2-14</v>
      </c>
      <c r="Z10" s="174">
        <f t="shared" ca="1" si="3"/>
        <v>0.5</v>
      </c>
    </row>
    <row r="11" spans="1:26" ht="11.25" x14ac:dyDescent="0.2">
      <c r="A11" s="122">
        <v>10</v>
      </c>
      <c r="B11" s="122">
        <f>MATCH(A11,Bowling!$CS$5:$CS$34,0)</f>
        <v>3</v>
      </c>
      <c r="C11" s="122" t="str">
        <f ca="1">OFFSET(Bowling!$B$4,BowlAves!B11,0)</f>
        <v>Clarkson M</v>
      </c>
      <c r="D11" s="158">
        <f t="array" aca="1" ref="D11:K11" ca="1">OFFSET(Bowling!$CG$4,BowlAves!B11,0,1,8)</f>
        <v>19</v>
      </c>
      <c r="E11" s="159">
        <f ca="1"/>
        <v>0</v>
      </c>
      <c r="F11" s="159">
        <f ca="1"/>
        <v>119</v>
      </c>
      <c r="G11" s="159">
        <f ca="1"/>
        <v>5</v>
      </c>
      <c r="H11" s="76">
        <f ca="1"/>
        <v>23.8</v>
      </c>
      <c r="I11" s="163">
        <f ca="1"/>
        <v>22.8</v>
      </c>
      <c r="J11" s="163">
        <f ca="1"/>
        <v>6.2631578947368425</v>
      </c>
      <c r="K11" s="164" t="str">
        <f ca="1"/>
        <v>3-54</v>
      </c>
      <c r="L11" s="164">
        <f t="shared" ca="1" si="0"/>
        <v>1010</v>
      </c>
      <c r="M11" s="164">
        <f t="shared" ca="1" si="1"/>
        <v>12</v>
      </c>
      <c r="N11" s="122" t="str">
        <f t="shared" ca="1" si="2"/>
        <v>Clarkson M 19-0-119-5,</v>
      </c>
      <c r="P11" s="168">
        <v>9</v>
      </c>
      <c r="Q11" s="169" t="str">
        <f t="array" aca="1" ref="Q11:Y11" ca="1">OFFSET($C$2,MATCH(P11,$M$2:$M$51,0)-1,0,1,9)</f>
        <v>Graham M</v>
      </c>
      <c r="R11" s="170">
        <f ca="1"/>
        <v>2</v>
      </c>
      <c r="S11" s="171">
        <f ca="1"/>
        <v>0</v>
      </c>
      <c r="T11" s="170">
        <f ca="1"/>
        <v>14</v>
      </c>
      <c r="U11" s="170">
        <f ca="1"/>
        <v>1</v>
      </c>
      <c r="V11" s="172">
        <f ca="1"/>
        <v>14</v>
      </c>
      <c r="W11" s="173">
        <f ca="1"/>
        <v>12</v>
      </c>
      <c r="X11" s="173">
        <f ca="1"/>
        <v>7</v>
      </c>
      <c r="Y11" s="173" t="str">
        <f ca="1"/>
        <v>1-14</v>
      </c>
      <c r="Z11" s="174">
        <f t="shared" ca="1" si="3"/>
        <v>0</v>
      </c>
    </row>
    <row r="12" spans="1:26" ht="11.25" x14ac:dyDescent="0.2">
      <c r="A12" s="122">
        <v>11</v>
      </c>
      <c r="B12" s="122">
        <f>MATCH(A12,Bowling!$CS$5:$CS$34,0)</f>
        <v>25</v>
      </c>
      <c r="C12" s="122" t="str">
        <f ca="1">OFFSET(Bowling!$B$4,BowlAves!B12,0)</f>
        <v>Sharpe D</v>
      </c>
      <c r="D12" s="158">
        <f t="array" aca="1" ref="D12:K12" ca="1">OFFSET(Bowling!$CG$4,BowlAves!B12,0,1,8)</f>
        <v>56.2</v>
      </c>
      <c r="E12" s="159">
        <f ca="1"/>
        <v>3</v>
      </c>
      <c r="F12" s="159">
        <f ca="1"/>
        <v>309</v>
      </c>
      <c r="G12" s="159">
        <f ca="1"/>
        <v>10</v>
      </c>
      <c r="H12" s="76">
        <f ca="1"/>
        <v>30.9</v>
      </c>
      <c r="I12" s="163">
        <f ca="1"/>
        <v>33.799999999999997</v>
      </c>
      <c r="J12" s="163">
        <f ca="1"/>
        <v>5.4852071005917162</v>
      </c>
      <c r="K12" s="164" t="str">
        <f ca="1"/>
        <v>3-20</v>
      </c>
      <c r="L12" s="164">
        <f t="shared" ca="1" si="0"/>
        <v>11</v>
      </c>
      <c r="M12" s="164">
        <f t="shared" ca="1" si="1"/>
        <v>6</v>
      </c>
      <c r="N12" s="122" t="str">
        <f t="shared" ca="1" si="2"/>
        <v/>
      </c>
      <c r="P12" s="168">
        <v>10</v>
      </c>
      <c r="Q12" s="169" t="str">
        <f t="array" aca="1" ref="Q12:Y12" ca="1">OFFSET($C$2,MATCH(P12,$M$2:$M$51,0)-1,0,1,9)</f>
        <v>Woodhouse M</v>
      </c>
      <c r="R12" s="170">
        <f ca="1"/>
        <v>3</v>
      </c>
      <c r="S12" s="171">
        <f ca="1"/>
        <v>0</v>
      </c>
      <c r="T12" s="170">
        <f ca="1"/>
        <v>16</v>
      </c>
      <c r="U12" s="170">
        <f ca="1"/>
        <v>1</v>
      </c>
      <c r="V12" s="172">
        <f ca="1"/>
        <v>16</v>
      </c>
      <c r="W12" s="173">
        <f ca="1"/>
        <v>18</v>
      </c>
      <c r="X12" s="173">
        <f ca="1"/>
        <v>5.333333333333333</v>
      </c>
      <c r="Y12" s="173" t="str">
        <f ca="1"/>
        <v>1-16</v>
      </c>
      <c r="Z12" s="174">
        <f t="shared" ca="1" si="3"/>
        <v>0</v>
      </c>
    </row>
    <row r="13" spans="1:26" ht="11.25" x14ac:dyDescent="0.2">
      <c r="A13" s="122">
        <v>12</v>
      </c>
      <c r="B13" s="122">
        <f>MATCH(A13,Bowling!$CS$5:$CS$34,0)</f>
        <v>27</v>
      </c>
      <c r="C13" s="122" t="str">
        <f ca="1">OFFSET(Bowling!$B$4,BowlAves!B13,0)</f>
        <v>Smith C</v>
      </c>
      <c r="D13" s="158">
        <f t="array" aca="1" ref="D13:K13" ca="1">OFFSET(Bowling!$CG$4,BowlAves!B13,0,1,8)</f>
        <v>6.3</v>
      </c>
      <c r="E13" s="159">
        <f ca="1"/>
        <v>0</v>
      </c>
      <c r="F13" s="159">
        <f ca="1"/>
        <v>35</v>
      </c>
      <c r="G13" s="159">
        <f ca="1"/>
        <v>1</v>
      </c>
      <c r="H13" s="76">
        <f ca="1"/>
        <v>35</v>
      </c>
      <c r="I13" s="163">
        <f ca="1"/>
        <v>39</v>
      </c>
      <c r="J13" s="163">
        <f ca="1"/>
        <v>5.384615384615385</v>
      </c>
      <c r="K13" s="164" t="str">
        <f ca="1"/>
        <v>1-6</v>
      </c>
      <c r="L13" s="164">
        <f t="shared" ca="1" si="0"/>
        <v>1012</v>
      </c>
      <c r="M13" s="164">
        <f t="shared" ca="1" si="1"/>
        <v>13</v>
      </c>
      <c r="N13" s="122" t="str">
        <f t="shared" ca="1" si="2"/>
        <v>Smith C 6.3-0-35-1,</v>
      </c>
      <c r="P13" s="168">
        <v>11</v>
      </c>
      <c r="Q13" s="169" t="str">
        <f t="array" aca="1" ref="Q13:Y13" ca="1">OFFSET($C$2,MATCH(P13,$M$2:$M$51,0)-1,0,1,9)</f>
        <v>Pope G</v>
      </c>
      <c r="R13" s="170">
        <f ca="1"/>
        <v>2</v>
      </c>
      <c r="S13" s="171">
        <f ca="1"/>
        <v>0</v>
      </c>
      <c r="T13" s="170">
        <f ca="1"/>
        <v>21</v>
      </c>
      <c r="U13" s="170">
        <f ca="1"/>
        <v>1</v>
      </c>
      <c r="V13" s="172">
        <f ca="1"/>
        <v>21</v>
      </c>
      <c r="W13" s="173">
        <f ca="1"/>
        <v>12</v>
      </c>
      <c r="X13" s="173">
        <f ca="1"/>
        <v>10.5</v>
      </c>
      <c r="Y13" s="173" t="str">
        <f ca="1"/>
        <v>1-21</v>
      </c>
      <c r="Z13" s="174">
        <f t="shared" ca="1" si="3"/>
        <v>0</v>
      </c>
    </row>
    <row r="14" spans="1:26" ht="11.25" x14ac:dyDescent="0.2">
      <c r="A14" s="122">
        <v>13</v>
      </c>
      <c r="B14" s="122">
        <f>MATCH(A14,Bowling!$CS$5:$CS$34,0)</f>
        <v>5</v>
      </c>
      <c r="C14" s="122" t="str">
        <f ca="1">OFFSET(Bowling!$B$4,BowlAves!B14,0)</f>
        <v>Cooper G</v>
      </c>
      <c r="D14" s="158">
        <f t="array" aca="1" ref="D14:K14" ca="1">OFFSET(Bowling!$CG$4,BowlAves!B14,0,1,8)</f>
        <v>9</v>
      </c>
      <c r="E14" s="159">
        <f ca="1"/>
        <v>0</v>
      </c>
      <c r="F14" s="159">
        <f ca="1"/>
        <v>36</v>
      </c>
      <c r="G14" s="159">
        <f ca="1"/>
        <v>1</v>
      </c>
      <c r="H14" s="76">
        <f ca="1"/>
        <v>36</v>
      </c>
      <c r="I14" s="163">
        <f ca="1"/>
        <v>54</v>
      </c>
      <c r="J14" s="163">
        <f ca="1"/>
        <v>4</v>
      </c>
      <c r="K14" s="164" t="str">
        <f ca="1"/>
        <v>1-36</v>
      </c>
      <c r="L14" s="164">
        <f t="shared" ca="1" si="0"/>
        <v>1013</v>
      </c>
      <c r="M14" s="164">
        <f t="shared" ca="1" si="1"/>
        <v>14</v>
      </c>
      <c r="N14" s="122" t="str">
        <f t="shared" ca="1" si="2"/>
        <v>Cooper G 9-0-36-1,</v>
      </c>
      <c r="P14" s="168">
        <v>12</v>
      </c>
      <c r="Q14" s="169" t="str">
        <f t="array" aca="1" ref="Q14:Y14" ca="1">OFFSET($C$2,MATCH(P14,$M$2:$M$51,0)-1,0,1,9)</f>
        <v>Clarkson M</v>
      </c>
      <c r="R14" s="170">
        <f ca="1"/>
        <v>19</v>
      </c>
      <c r="S14" s="171">
        <f ca="1"/>
        <v>0</v>
      </c>
      <c r="T14" s="170">
        <f ca="1"/>
        <v>119</v>
      </c>
      <c r="U14" s="170">
        <f ca="1"/>
        <v>5</v>
      </c>
      <c r="V14" s="172">
        <f ca="1"/>
        <v>23.8</v>
      </c>
      <c r="W14" s="173">
        <f ca="1"/>
        <v>22.8</v>
      </c>
      <c r="X14" s="173">
        <f ca="1"/>
        <v>6.2631578947368425</v>
      </c>
      <c r="Y14" s="173" t="str">
        <f ca="1"/>
        <v>3-54</v>
      </c>
      <c r="Z14" s="174">
        <f t="shared" ca="1" si="3"/>
        <v>0</v>
      </c>
    </row>
    <row r="15" spans="1:26" ht="11.25" x14ac:dyDescent="0.2">
      <c r="A15" s="122">
        <v>14</v>
      </c>
      <c r="B15" s="122">
        <f>MATCH(A15,Bowling!$CS$5:$CS$34,0)</f>
        <v>11</v>
      </c>
      <c r="C15" s="122" t="str">
        <f ca="1">OFFSET(Bowling!$B$4,BowlAves!B15,0)</f>
        <v>Hider</v>
      </c>
      <c r="D15" s="158">
        <f t="array" aca="1" ref="D15:K15" ca="1">OFFSET(Bowling!$CG$4,BowlAves!B15,0,1,8)</f>
        <v>8</v>
      </c>
      <c r="E15" s="159">
        <f ca="1"/>
        <v>1</v>
      </c>
      <c r="F15" s="159">
        <f ca="1"/>
        <v>36</v>
      </c>
      <c r="G15" s="159">
        <f ca="1"/>
        <v>1</v>
      </c>
      <c r="H15" s="76">
        <f ca="1"/>
        <v>36</v>
      </c>
      <c r="I15" s="163">
        <f ca="1"/>
        <v>48</v>
      </c>
      <c r="J15" s="163">
        <f ca="1"/>
        <v>4.5</v>
      </c>
      <c r="K15" s="164" t="str">
        <f ca="1"/>
        <v>1-36</v>
      </c>
      <c r="L15" s="164">
        <f t="shared" ca="1" si="0"/>
        <v>1014</v>
      </c>
      <c r="M15" s="164">
        <f t="shared" ca="1" si="1"/>
        <v>15</v>
      </c>
      <c r="N15" s="122" t="str">
        <f t="shared" ca="1" si="2"/>
        <v>Hider 8-1-36-1,</v>
      </c>
      <c r="P15" s="168">
        <v>13</v>
      </c>
      <c r="Q15" s="169" t="str">
        <f t="array" aca="1" ref="Q15:Y15" ca="1">OFFSET($C$2,MATCH(P15,$M$2:$M$51,0)-1,0,1,9)</f>
        <v>Smith C</v>
      </c>
      <c r="R15" s="170">
        <f ca="1"/>
        <v>6.3</v>
      </c>
      <c r="S15" s="171">
        <f ca="1"/>
        <v>0</v>
      </c>
      <c r="T15" s="170">
        <f ca="1"/>
        <v>35</v>
      </c>
      <c r="U15" s="170">
        <f ca="1"/>
        <v>1</v>
      </c>
      <c r="V15" s="172">
        <f ca="1"/>
        <v>35</v>
      </c>
      <c r="W15" s="173">
        <f ca="1"/>
        <v>39</v>
      </c>
      <c r="X15" s="173">
        <f ca="1"/>
        <v>5.384615384615385</v>
      </c>
      <c r="Y15" s="173" t="str">
        <f ca="1"/>
        <v>1-6</v>
      </c>
      <c r="Z15" s="174">
        <f t="shared" ca="1" si="3"/>
        <v>0</v>
      </c>
    </row>
    <row r="16" spans="1:26" ht="11.25" x14ac:dyDescent="0.2">
      <c r="A16" s="122">
        <v>15</v>
      </c>
      <c r="B16" s="122">
        <f>MATCH(A16,Bowling!$CS$5:$CS$34,0)</f>
        <v>24</v>
      </c>
      <c r="C16" s="122" t="str">
        <f ca="1">OFFSET(Bowling!$B$4,BowlAves!B16,0)</f>
        <v>Seymour C</v>
      </c>
      <c r="D16" s="158">
        <f t="array" aca="1" ref="D16:K16" ca="1">OFFSET(Bowling!$CG$4,BowlAves!B16,0,1,8)</f>
        <v>68.3</v>
      </c>
      <c r="E16" s="159">
        <f ca="1"/>
        <v>2</v>
      </c>
      <c r="F16" s="159">
        <f ca="1"/>
        <v>449</v>
      </c>
      <c r="G16" s="159">
        <f ca="1"/>
        <v>11</v>
      </c>
      <c r="H16" s="76">
        <f ca="1"/>
        <v>40.82</v>
      </c>
      <c r="I16" s="163">
        <f ca="1"/>
        <v>37.363636363636367</v>
      </c>
      <c r="J16" s="163">
        <f ca="1"/>
        <v>6.554744525547445</v>
      </c>
      <c r="K16" s="164" t="str">
        <f ca="1"/>
        <v>4-43</v>
      </c>
      <c r="L16" s="164">
        <f t="shared" ca="1" si="0"/>
        <v>15</v>
      </c>
      <c r="M16" s="164">
        <f t="shared" ca="1" si="1"/>
        <v>7</v>
      </c>
      <c r="N16" s="122" t="str">
        <f t="shared" ca="1" si="2"/>
        <v/>
      </c>
      <c r="P16" s="168">
        <v>14</v>
      </c>
      <c r="Q16" s="169" t="str">
        <f t="array" aca="1" ref="Q16:Y16" ca="1">OFFSET($C$2,MATCH(P16,$M$2:$M$51,0)-1,0,1,9)</f>
        <v>Cooper G</v>
      </c>
      <c r="R16" s="170">
        <f ca="1"/>
        <v>9</v>
      </c>
      <c r="S16" s="171">
        <f ca="1"/>
        <v>0</v>
      </c>
      <c r="T16" s="170">
        <f ca="1"/>
        <v>36</v>
      </c>
      <c r="U16" s="170">
        <f ca="1"/>
        <v>1</v>
      </c>
      <c r="V16" s="172">
        <f ca="1"/>
        <v>36</v>
      </c>
      <c r="W16" s="173">
        <f ca="1"/>
        <v>54</v>
      </c>
      <c r="X16" s="173">
        <f ca="1"/>
        <v>4</v>
      </c>
      <c r="Y16" s="173" t="str">
        <f ca="1"/>
        <v>1-36</v>
      </c>
      <c r="Z16" s="174">
        <f t="shared" ca="1" si="3"/>
        <v>0</v>
      </c>
    </row>
    <row r="17" spans="1:26" ht="11.25" x14ac:dyDescent="0.2">
      <c r="A17" s="122">
        <v>16</v>
      </c>
      <c r="B17" s="122">
        <f>MATCH(A17,Bowling!$CS$5:$CS$34,0)</f>
        <v>28</v>
      </c>
      <c r="C17" s="122" t="str">
        <f ca="1">OFFSET(Bowling!$B$4,BowlAves!B17,0)</f>
        <v>Sunkara C</v>
      </c>
      <c r="D17" s="158">
        <f t="array" aca="1" ref="D17:K17" ca="1">OFFSET(Bowling!$CG$4,BowlAves!B17,0,1,8)</f>
        <v>67</v>
      </c>
      <c r="E17" s="159">
        <f ca="1"/>
        <v>6</v>
      </c>
      <c r="F17" s="159">
        <f ca="1"/>
        <v>334</v>
      </c>
      <c r="G17" s="159">
        <f ca="1"/>
        <v>7</v>
      </c>
      <c r="H17" s="76">
        <f ca="1"/>
        <v>47.71</v>
      </c>
      <c r="I17" s="163">
        <f ca="1"/>
        <v>57.428571428571431</v>
      </c>
      <c r="J17" s="163">
        <f ca="1"/>
        <v>4.9850746268656714</v>
      </c>
      <c r="K17" s="164" t="str">
        <f ca="1"/>
        <v>2-25</v>
      </c>
      <c r="L17" s="164">
        <f t="shared" ca="1" si="0"/>
        <v>1016</v>
      </c>
      <c r="M17" s="164">
        <f t="shared" ca="1" si="1"/>
        <v>16</v>
      </c>
      <c r="N17" s="122" t="str">
        <f t="shared" ca="1" si="2"/>
        <v>Sunkara C 67-6-334-7,</v>
      </c>
      <c r="P17" s="168">
        <v>15</v>
      </c>
      <c r="Q17" s="169" t="str">
        <f t="array" aca="1" ref="Q17:Y17" ca="1">OFFSET($C$2,MATCH(P17,$M$2:$M$51,0)-1,0,1,9)</f>
        <v>Hider</v>
      </c>
      <c r="R17" s="170">
        <f ca="1"/>
        <v>8</v>
      </c>
      <c r="S17" s="171">
        <f ca="1"/>
        <v>1</v>
      </c>
      <c r="T17" s="170">
        <f ca="1"/>
        <v>36</v>
      </c>
      <c r="U17" s="170">
        <f ca="1"/>
        <v>1</v>
      </c>
      <c r="V17" s="172">
        <f ca="1"/>
        <v>36</v>
      </c>
      <c r="W17" s="173">
        <f ca="1"/>
        <v>48</v>
      </c>
      <c r="X17" s="173">
        <f ca="1"/>
        <v>4.5</v>
      </c>
      <c r="Y17" s="173" t="str">
        <f ca="1"/>
        <v>1-36</v>
      </c>
      <c r="Z17" s="174">
        <f t="shared" ca="1" si="3"/>
        <v>0.125</v>
      </c>
    </row>
    <row r="18" spans="1:26" ht="11.25" x14ac:dyDescent="0.2">
      <c r="A18" s="122">
        <v>17</v>
      </c>
      <c r="B18" s="122">
        <f>MATCH(A18,Bowling!$CS$5:$CS$34,0)</f>
        <v>17</v>
      </c>
      <c r="C18" s="122" t="str">
        <f ca="1">OFFSET(Bowling!$B$4,BowlAves!B18,0)</f>
        <v>Mander A</v>
      </c>
      <c r="D18" s="158">
        <f t="array" aca="1" ref="D18:K18" ca="1">OFFSET(Bowling!$CG$4,BowlAves!B18,0,1,8)</f>
        <v>24.3</v>
      </c>
      <c r="E18" s="159">
        <f ca="1"/>
        <v>2</v>
      </c>
      <c r="F18" s="159">
        <f ca="1"/>
        <v>118</v>
      </c>
      <c r="G18" s="159">
        <f ca="1"/>
        <v>1</v>
      </c>
      <c r="H18" s="76">
        <f ca="1"/>
        <v>118</v>
      </c>
      <c r="I18" s="163">
        <f ca="1"/>
        <v>147</v>
      </c>
      <c r="J18" s="163">
        <f ca="1"/>
        <v>4.8163265306122449</v>
      </c>
      <c r="K18" s="164" t="str">
        <f ca="1"/>
        <v>1-37</v>
      </c>
      <c r="L18" s="164">
        <f t="shared" ca="1" si="0"/>
        <v>1017</v>
      </c>
      <c r="M18" s="164">
        <f t="shared" ca="1" si="1"/>
        <v>17</v>
      </c>
      <c r="N18" s="122" t="str">
        <f t="shared" ca="1" si="2"/>
        <v>Mander A 24.3-2-118-1,</v>
      </c>
      <c r="P18" s="168">
        <v>16</v>
      </c>
      <c r="Q18" s="169" t="str">
        <f t="array" aca="1" ref="Q18:Y18" ca="1">OFFSET($C$2,MATCH(P18,$M$2:$M$51,0)-1,0,1,9)</f>
        <v>Sunkara C</v>
      </c>
      <c r="R18" s="170">
        <f ca="1"/>
        <v>67</v>
      </c>
      <c r="S18" s="171">
        <f ca="1"/>
        <v>6</v>
      </c>
      <c r="T18" s="170">
        <f ca="1"/>
        <v>334</v>
      </c>
      <c r="U18" s="170">
        <f ca="1"/>
        <v>7</v>
      </c>
      <c r="V18" s="172">
        <f ca="1"/>
        <v>47.71</v>
      </c>
      <c r="W18" s="173">
        <f ca="1"/>
        <v>57.428571428571431</v>
      </c>
      <c r="X18" s="173">
        <f ca="1"/>
        <v>4.9850746268656714</v>
      </c>
      <c r="Y18" s="173" t="str">
        <f ca="1"/>
        <v>2-25</v>
      </c>
      <c r="Z18" s="174">
        <f t="shared" ca="1" si="3"/>
        <v>8.9552238805970144E-2</v>
      </c>
    </row>
    <row r="19" spans="1:26" ht="11.25" x14ac:dyDescent="0.2">
      <c r="A19" s="122">
        <v>18</v>
      </c>
      <c r="B19" s="122">
        <f>MATCH(A19,Bowling!$CS$5:$CS$34,0)</f>
        <v>15</v>
      </c>
      <c r="C19" s="122" t="str">
        <f ca="1">OFFSET(Bowling!$B$4,BowlAves!B19,0)</f>
        <v>Lestrelle A</v>
      </c>
      <c r="D19" s="158">
        <f t="array" aca="1" ref="D19:K19" ca="1">OFFSET(Bowling!$CG$4,BowlAves!B19,0,1,8)</f>
        <v>2</v>
      </c>
      <c r="E19" s="159">
        <f ca="1"/>
        <v>1</v>
      </c>
      <c r="F19" s="159">
        <f ca="1"/>
        <v>2</v>
      </c>
      <c r="G19" s="159">
        <f ca="1"/>
        <v>0</v>
      </c>
      <c r="H19" s="76" t="str">
        <f ca="1"/>
        <v/>
      </c>
      <c r="I19" s="163" t="str">
        <f ca="1"/>
        <v/>
      </c>
      <c r="J19" s="163">
        <f ca="1"/>
        <v>1</v>
      </c>
      <c r="K19" s="164" t="str">
        <f ca="1"/>
        <v>0-2</v>
      </c>
      <c r="L19" s="164">
        <f t="shared" ca="1" si="0"/>
        <v>1018</v>
      </c>
      <c r="M19" s="164">
        <f t="shared" ca="1" si="1"/>
        <v>18</v>
      </c>
      <c r="N19" s="122" t="str">
        <f t="shared" ca="1" si="2"/>
        <v>Lestrelle A 2-1-2-0,</v>
      </c>
      <c r="P19" s="168">
        <v>17</v>
      </c>
      <c r="Q19" s="169" t="str">
        <f t="array" aca="1" ref="Q19:Y19" ca="1">OFFSET($C$2,MATCH(P19,$M$2:$M$51,0)-1,0,1,9)</f>
        <v>Mander A</v>
      </c>
      <c r="R19" s="170">
        <f ca="1"/>
        <v>24.3</v>
      </c>
      <c r="S19" s="171">
        <f ca="1"/>
        <v>2</v>
      </c>
      <c r="T19" s="170">
        <f ca="1"/>
        <v>118</v>
      </c>
      <c r="U19" s="170">
        <f ca="1"/>
        <v>1</v>
      </c>
      <c r="V19" s="172">
        <f ca="1"/>
        <v>118</v>
      </c>
      <c r="W19" s="173">
        <f ca="1"/>
        <v>147</v>
      </c>
      <c r="X19" s="173">
        <f ca="1"/>
        <v>4.8163265306122449</v>
      </c>
      <c r="Y19" s="173" t="str">
        <f ca="1"/>
        <v>1-37</v>
      </c>
      <c r="Z19" s="174">
        <f t="shared" ca="1" si="3"/>
        <v>8.2304526748971193E-2</v>
      </c>
    </row>
    <row r="20" spans="1:26" ht="11.25" x14ac:dyDescent="0.2">
      <c r="A20" s="122">
        <v>19</v>
      </c>
      <c r="B20" s="122">
        <f>MATCH(A20,Bowling!$CS$5:$CS$34,0)</f>
        <v>26</v>
      </c>
      <c r="C20" s="122" t="str">
        <f ca="1">OFFSET(Bowling!$B$4,BowlAves!B20,0)</f>
        <v>Singh G</v>
      </c>
      <c r="D20" s="158">
        <f t="array" aca="1" ref="D20:K20" ca="1">OFFSET(Bowling!$CG$4,BowlAves!B20,0,1,8)</f>
        <v>2</v>
      </c>
      <c r="E20" s="159">
        <f ca="1"/>
        <v>0</v>
      </c>
      <c r="F20" s="159">
        <f ca="1"/>
        <v>22</v>
      </c>
      <c r="G20" s="159">
        <f ca="1"/>
        <v>0</v>
      </c>
      <c r="H20" s="76" t="str">
        <f ca="1"/>
        <v/>
      </c>
      <c r="I20" s="163" t="str">
        <f ca="1"/>
        <v/>
      </c>
      <c r="J20" s="163">
        <f ca="1"/>
        <v>11</v>
      </c>
      <c r="K20" s="164" t="str">
        <f ca="1"/>
        <v>0-22</v>
      </c>
      <c r="L20" s="164">
        <f t="shared" ca="1" si="0"/>
        <v>1019</v>
      </c>
      <c r="M20" s="164">
        <f t="shared" ca="1" si="1"/>
        <v>19</v>
      </c>
      <c r="N20" s="122" t="str">
        <f t="shared" ca="1" si="2"/>
        <v>Singh G 2-0-22-0,</v>
      </c>
      <c r="P20" s="168">
        <v>18</v>
      </c>
      <c r="Q20" s="169" t="str">
        <f t="array" aca="1" ref="Q20:Y20" ca="1">OFFSET($C$2,MATCH(P20,$M$2:$M$51,0)-1,0,1,9)</f>
        <v>Lestrelle A</v>
      </c>
      <c r="R20" s="170">
        <f ca="1"/>
        <v>2</v>
      </c>
      <c r="S20" s="171">
        <f ca="1"/>
        <v>1</v>
      </c>
      <c r="T20" s="170">
        <f ca="1"/>
        <v>2</v>
      </c>
      <c r="U20" s="170">
        <f ca="1"/>
        <v>0</v>
      </c>
      <c r="V20" s="172" t="str">
        <f ca="1"/>
        <v/>
      </c>
      <c r="W20" s="173" t="str">
        <f ca="1"/>
        <v/>
      </c>
      <c r="X20" s="173">
        <f ca="1"/>
        <v>1</v>
      </c>
      <c r="Y20" s="173" t="str">
        <f ca="1"/>
        <v>0-2</v>
      </c>
      <c r="Z20" s="174">
        <f t="shared" ca="1" si="3"/>
        <v>0.5</v>
      </c>
    </row>
    <row r="21" spans="1:26" ht="11.25" x14ac:dyDescent="0.2">
      <c r="A21" s="122">
        <v>20</v>
      </c>
      <c r="B21" s="122">
        <f>MATCH(A21,Bowling!$CS$5:$CS$34,0)</f>
        <v>23</v>
      </c>
      <c r="C21" s="122" t="str">
        <f ca="1">OFFSET(Bowling!$B$4,BowlAves!B21,0)</f>
        <v>Saller C</v>
      </c>
      <c r="D21" s="158">
        <f t="array" aca="1" ref="D21:K21" ca="1">OFFSET(Bowling!$CG$4,BowlAves!B21,0,1,8)</f>
        <v>4</v>
      </c>
      <c r="E21" s="159">
        <f ca="1"/>
        <v>0</v>
      </c>
      <c r="F21" s="159">
        <f ca="1"/>
        <v>23</v>
      </c>
      <c r="G21" s="159">
        <f ca="1"/>
        <v>0</v>
      </c>
      <c r="H21" s="76" t="str">
        <f ca="1"/>
        <v/>
      </c>
      <c r="I21" s="163" t="str">
        <f ca="1"/>
        <v/>
      </c>
      <c r="J21" s="163">
        <f ca="1"/>
        <v>5.75</v>
      </c>
      <c r="K21" s="164" t="str">
        <f ca="1"/>
        <v>0-23</v>
      </c>
      <c r="L21" s="164">
        <f t="shared" ca="1" si="0"/>
        <v>1020</v>
      </c>
      <c r="M21" s="164">
        <f t="shared" ca="1" si="1"/>
        <v>20</v>
      </c>
      <c r="N21" s="122" t="str">
        <f t="shared" ca="1" si="2"/>
        <v>Saller C 4-0-23-0,</v>
      </c>
      <c r="P21" s="168">
        <v>19</v>
      </c>
      <c r="Q21" s="169" t="str">
        <f t="array" aca="1" ref="Q21:Y21" ca="1">OFFSET($C$2,MATCH(P21,$M$2:$M$51,0)-1,0,1,9)</f>
        <v>Singh G</v>
      </c>
      <c r="R21" s="170">
        <f ca="1"/>
        <v>2</v>
      </c>
      <c r="S21" s="171">
        <f ca="1"/>
        <v>0</v>
      </c>
      <c r="T21" s="170">
        <f ca="1"/>
        <v>22</v>
      </c>
      <c r="U21" s="170">
        <f ca="1"/>
        <v>0</v>
      </c>
      <c r="V21" s="172" t="str">
        <f ca="1"/>
        <v/>
      </c>
      <c r="W21" s="173" t="str">
        <f ca="1"/>
        <v/>
      </c>
      <c r="X21" s="173">
        <f ca="1"/>
        <v>11</v>
      </c>
      <c r="Y21" s="173" t="str">
        <f ca="1"/>
        <v>0-22</v>
      </c>
      <c r="Z21" s="174">
        <f t="shared" ca="1" si="3"/>
        <v>0</v>
      </c>
    </row>
    <row r="22" spans="1:26" ht="11.25" x14ac:dyDescent="0.2">
      <c r="A22" s="122">
        <v>21</v>
      </c>
      <c r="B22" s="122">
        <f>MATCH(A22,Bowling!$CS$5:$CS$34,0)</f>
        <v>8</v>
      </c>
      <c r="C22" s="122" t="str">
        <f ca="1">OFFSET(Bowling!$B$4,BowlAves!B22,0)</f>
        <v>du Plessis A</v>
      </c>
      <c r="D22" s="158">
        <f t="array" aca="1" ref="D22:K22" ca="1">OFFSET(Bowling!$CG$4,BowlAves!B22,0,1,8)</f>
        <v>4.3</v>
      </c>
      <c r="E22" s="159">
        <f ca="1"/>
        <v>0</v>
      </c>
      <c r="F22" s="159">
        <f ca="1"/>
        <v>44</v>
      </c>
      <c r="G22" s="159">
        <f ca="1"/>
        <v>0</v>
      </c>
      <c r="H22" s="76" t="str">
        <f ca="1"/>
        <v/>
      </c>
      <c r="I22" s="163" t="str">
        <f ca="1"/>
        <v/>
      </c>
      <c r="J22" s="163">
        <f ca="1"/>
        <v>9.7777777777777786</v>
      </c>
      <c r="K22" s="164" t="str">
        <f ca="1"/>
        <v>0-17</v>
      </c>
      <c r="L22" s="164">
        <f t="shared" ca="1" si="0"/>
        <v>1021</v>
      </c>
      <c r="M22" s="164">
        <f t="shared" ca="1" si="1"/>
        <v>21</v>
      </c>
      <c r="N22" s="122" t="str">
        <f t="shared" ca="1" si="2"/>
        <v>du Plessis A 4.3-0-44-0,</v>
      </c>
      <c r="P22" s="168">
        <v>20</v>
      </c>
      <c r="Q22" s="169" t="str">
        <f t="array" aca="1" ref="Q22:Y22" ca="1">OFFSET($C$2,MATCH(P22,$M$2:$M$51,0)-1,0,1,9)</f>
        <v>Saller C</v>
      </c>
      <c r="R22" s="170">
        <f ca="1"/>
        <v>4</v>
      </c>
      <c r="S22" s="171">
        <f ca="1"/>
        <v>0</v>
      </c>
      <c r="T22" s="170">
        <f ca="1"/>
        <v>23</v>
      </c>
      <c r="U22" s="170">
        <f ca="1"/>
        <v>0</v>
      </c>
      <c r="V22" s="172" t="str">
        <f ca="1"/>
        <v/>
      </c>
      <c r="W22" s="173" t="str">
        <f ca="1"/>
        <v/>
      </c>
      <c r="X22" s="173">
        <f ca="1"/>
        <v>5.75</v>
      </c>
      <c r="Y22" s="173" t="str">
        <f ca="1"/>
        <v>0-23</v>
      </c>
      <c r="Z22" s="174">
        <f t="shared" ca="1" si="3"/>
        <v>0</v>
      </c>
    </row>
    <row r="23" spans="1:26" ht="11.25" x14ac:dyDescent="0.2">
      <c r="A23" s="122">
        <v>22</v>
      </c>
      <c r="B23" s="122">
        <f>MATCH(A23,Bowling!$CS$5:$CS$34,0)</f>
        <v>13</v>
      </c>
      <c r="C23" s="122" t="str">
        <f ca="1">OFFSET(Bowling!$B$4,BowlAves!B23,0)</f>
        <v>Jones J</v>
      </c>
      <c r="D23" s="158">
        <f t="array" aca="1" ref="D23:K23" ca="1">OFFSET(Bowling!$CG$4,BowlAves!B23,0,1,8)</f>
        <v>7</v>
      </c>
      <c r="E23" s="159">
        <f ca="1"/>
        <v>0</v>
      </c>
      <c r="F23" s="159">
        <f ca="1"/>
        <v>37</v>
      </c>
      <c r="G23" s="159">
        <f ca="1"/>
        <v>0</v>
      </c>
      <c r="H23" s="76" t="str">
        <f ca="1"/>
        <v/>
      </c>
      <c r="I23" s="163" t="str">
        <f ca="1"/>
        <v/>
      </c>
      <c r="J23" s="163">
        <f ca="1"/>
        <v>5.2857142857142856</v>
      </c>
      <c r="K23" s="164" t="str">
        <f ca="1"/>
        <v>0-37</v>
      </c>
      <c r="L23" s="164">
        <f t="shared" ca="1" si="0"/>
        <v>1022</v>
      </c>
      <c r="M23" s="164">
        <f t="shared" ca="1" si="1"/>
        <v>22</v>
      </c>
      <c r="N23" s="122" t="str">
        <f t="shared" ca="1" si="2"/>
        <v>Jones J 7-0-37-0,</v>
      </c>
      <c r="P23" s="168">
        <v>21</v>
      </c>
      <c r="Q23" s="169" t="str">
        <f t="array" aca="1" ref="Q23:Y23" ca="1">OFFSET($C$2,MATCH(P23,$M$2:$M$51,0)-1,0,1,9)</f>
        <v>du Plessis A</v>
      </c>
      <c r="R23" s="170">
        <f ca="1"/>
        <v>4.3</v>
      </c>
      <c r="S23" s="171">
        <f ca="1"/>
        <v>0</v>
      </c>
      <c r="T23" s="170">
        <f ca="1"/>
        <v>44</v>
      </c>
      <c r="U23" s="170">
        <f ca="1"/>
        <v>0</v>
      </c>
      <c r="V23" s="172" t="str">
        <f ca="1"/>
        <v/>
      </c>
      <c r="W23" s="173" t="str">
        <f ca="1"/>
        <v/>
      </c>
      <c r="X23" s="173">
        <f ca="1"/>
        <v>9.7777777777777786</v>
      </c>
      <c r="Y23" s="173" t="str">
        <f ca="1"/>
        <v>0-17</v>
      </c>
      <c r="Z23" s="174">
        <f t="shared" ca="1" si="3"/>
        <v>0</v>
      </c>
    </row>
    <row r="24" spans="1:26" ht="11.25" x14ac:dyDescent="0.2">
      <c r="A24" s="122">
        <v>23</v>
      </c>
      <c r="B24" s="122">
        <f>MATCH(A24,Bowling!$CS$5:$CS$34,0)</f>
        <v>6</v>
      </c>
      <c r="C24" s="122" t="str">
        <f ca="1">OFFSET(Bowling!$B$4,BowlAves!B24,0)</f>
        <v>de Souza C</v>
      </c>
      <c r="D24" s="158">
        <f t="array" aca="1" ref="D24:K24" ca="1">OFFSET(Bowling!$CG$4,BowlAves!B24,0,1,8)</f>
        <v>10</v>
      </c>
      <c r="E24" s="159">
        <f ca="1"/>
        <v>0</v>
      </c>
      <c r="F24" s="159">
        <f ca="1"/>
        <v>50</v>
      </c>
      <c r="G24" s="159">
        <f ca="1"/>
        <v>0</v>
      </c>
      <c r="H24" s="76" t="str">
        <f ca="1"/>
        <v/>
      </c>
      <c r="I24" s="163" t="str">
        <f ca="1"/>
        <v/>
      </c>
      <c r="J24" s="163">
        <f ca="1"/>
        <v>5</v>
      </c>
      <c r="K24" s="164" t="str">
        <f ca="1"/>
        <v>0-6</v>
      </c>
      <c r="L24" s="164">
        <f t="shared" ca="1" si="0"/>
        <v>1023</v>
      </c>
      <c r="M24" s="164">
        <f t="shared" ca="1" si="1"/>
        <v>23</v>
      </c>
      <c r="N24" s="122" t="str">
        <f t="shared" ca="1" si="2"/>
        <v>de Souza C 10-0-50-0,</v>
      </c>
      <c r="P24" s="168">
        <v>22</v>
      </c>
      <c r="Q24" s="169" t="str">
        <f t="array" aca="1" ref="Q24:Y24" ca="1">OFFSET($C$2,MATCH(P24,$M$2:$M$51,0)-1,0,1,9)</f>
        <v>Jones J</v>
      </c>
      <c r="R24" s="170">
        <f ca="1"/>
        <v>7</v>
      </c>
      <c r="S24" s="171">
        <f ca="1"/>
        <v>0</v>
      </c>
      <c r="T24" s="170">
        <f ca="1"/>
        <v>37</v>
      </c>
      <c r="U24" s="170">
        <f ca="1"/>
        <v>0</v>
      </c>
      <c r="V24" s="172" t="str">
        <f ca="1"/>
        <v/>
      </c>
      <c r="W24" s="173" t="str">
        <f ca="1"/>
        <v/>
      </c>
      <c r="X24" s="173">
        <f ca="1"/>
        <v>5.2857142857142856</v>
      </c>
      <c r="Y24" s="173" t="str">
        <f ca="1"/>
        <v>0-37</v>
      </c>
      <c r="Z24" s="174">
        <f t="shared" ca="1" si="3"/>
        <v>0</v>
      </c>
    </row>
    <row r="25" spans="1:26" ht="11.25" x14ac:dyDescent="0.2">
      <c r="A25" s="122">
        <v>24</v>
      </c>
      <c r="B25" s="122">
        <f>MATCH(A25,Bowling!$CS$5:$CS$34,0)</f>
        <v>4</v>
      </c>
      <c r="C25" s="122" t="str">
        <f ca="1">OFFSET(Bowling!$B$4,BowlAves!B25,0)</f>
        <v>Coloe A</v>
      </c>
      <c r="D25" s="158">
        <f t="array" aca="1" ref="D25:K25" ca="1">OFFSET(Bowling!$CG$4,BowlAves!B25,0,1,8)</f>
        <v>0</v>
      </c>
      <c r="E25" s="159">
        <f ca="1"/>
        <v>0</v>
      </c>
      <c r="F25" s="159">
        <f ca="1"/>
        <v>0</v>
      </c>
      <c r="G25" s="159">
        <f ca="1"/>
        <v>0</v>
      </c>
      <c r="H25" s="76" t="str">
        <f ca="1"/>
        <v/>
      </c>
      <c r="I25" s="163" t="str">
        <f ca="1"/>
        <v/>
      </c>
      <c r="J25" s="163" t="str">
        <f ca="1"/>
        <v/>
      </c>
      <c r="K25" s="164" t="str">
        <f ca="1"/>
        <v/>
      </c>
      <c r="L25" s="164">
        <f t="shared" ca="1" si="0"/>
        <v>1024</v>
      </c>
      <c r="M25" s="164">
        <f t="shared" ca="1" si="1"/>
        <v>24</v>
      </c>
      <c r="N25" s="122" t="str">
        <f t="shared" ca="1" si="2"/>
        <v>Coloe A 0-0-0-0,</v>
      </c>
      <c r="P25" s="168">
        <v>23</v>
      </c>
      <c r="Q25" s="169" t="str">
        <f t="array" aca="1" ref="Q25:Y25" ca="1">OFFSET($C$2,MATCH(P25,$M$2:$M$51,0)-1,0,1,9)</f>
        <v>de Souza C</v>
      </c>
      <c r="R25" s="170">
        <f ca="1"/>
        <v>10</v>
      </c>
      <c r="S25" s="171">
        <f ca="1"/>
        <v>0</v>
      </c>
      <c r="T25" s="170">
        <f ca="1"/>
        <v>50</v>
      </c>
      <c r="U25" s="170">
        <f ca="1"/>
        <v>0</v>
      </c>
      <c r="V25" s="172" t="str">
        <f ca="1"/>
        <v/>
      </c>
      <c r="W25" s="173" t="str">
        <f ca="1"/>
        <v/>
      </c>
      <c r="X25" s="173">
        <f ca="1"/>
        <v>5</v>
      </c>
      <c r="Y25" s="173" t="str">
        <f ca="1"/>
        <v>0-6</v>
      </c>
      <c r="Z25" s="174">
        <f t="shared" ca="1" si="3"/>
        <v>0</v>
      </c>
    </row>
    <row r="26" spans="1:26" x14ac:dyDescent="0.15">
      <c r="A26" s="122">
        <v>25</v>
      </c>
      <c r="B26" s="122">
        <f>MATCH(A26,Bowling!$CS$5:$CS$34,0)</f>
        <v>10</v>
      </c>
      <c r="C26" s="122" t="str">
        <f ca="1">OFFSET(Bowling!$B$4,BowlAves!B26,0)</f>
        <v>Greyling R</v>
      </c>
      <c r="D26" s="158">
        <f t="array" aca="1" ref="D26:K26" ca="1">OFFSET(Bowling!$CG$4,BowlAves!B26,0,1,8)</f>
        <v>0</v>
      </c>
      <c r="E26" s="159">
        <f ca="1"/>
        <v>0</v>
      </c>
      <c r="F26" s="159">
        <f ca="1"/>
        <v>0</v>
      </c>
      <c r="G26" s="159">
        <f ca="1"/>
        <v>0</v>
      </c>
      <c r="H26" s="76" t="str">
        <f ca="1"/>
        <v/>
      </c>
      <c r="I26" s="163" t="str">
        <f ca="1"/>
        <v/>
      </c>
      <c r="J26" s="163" t="str">
        <f ca="1"/>
        <v/>
      </c>
      <c r="K26" s="164" t="str">
        <f ca="1"/>
        <v/>
      </c>
      <c r="L26" s="164">
        <f t="shared" ca="1" si="0"/>
        <v>1025</v>
      </c>
      <c r="M26" s="164">
        <f t="shared" ca="1" si="1"/>
        <v>25</v>
      </c>
      <c r="N26" s="122" t="str">
        <f t="shared" ca="1" si="2"/>
        <v>Greyling R 0-0-0-0,</v>
      </c>
      <c r="Q26" s="164"/>
      <c r="R26" s="164"/>
      <c r="S26" s="175"/>
      <c r="T26" s="164"/>
      <c r="U26" s="164"/>
      <c r="V26" s="133"/>
      <c r="W26" s="132"/>
      <c r="X26" s="132"/>
      <c r="Y26" s="132"/>
      <c r="Z26" s="164"/>
    </row>
    <row r="27" spans="1:26" x14ac:dyDescent="0.15">
      <c r="A27" s="122">
        <v>26</v>
      </c>
      <c r="B27" s="122">
        <f>MATCH(A27,Bowling!$CS$5:$CS$34,0)</f>
        <v>12</v>
      </c>
      <c r="C27" s="122" t="str">
        <f ca="1">OFFSET(Bowling!$B$4,BowlAves!B27,0)</f>
        <v>Johnson A</v>
      </c>
      <c r="D27" s="158">
        <f t="array" aca="1" ref="D27:K27" ca="1">OFFSET(Bowling!$CG$4,BowlAves!B27,0,1,8)</f>
        <v>0</v>
      </c>
      <c r="E27" s="159">
        <f ca="1"/>
        <v>0</v>
      </c>
      <c r="F27" s="159">
        <f ca="1"/>
        <v>0</v>
      </c>
      <c r="G27" s="159">
        <f ca="1"/>
        <v>0</v>
      </c>
      <c r="H27" s="76" t="str">
        <f ca="1"/>
        <v/>
      </c>
      <c r="I27" s="163" t="str">
        <f ca="1"/>
        <v/>
      </c>
      <c r="J27" s="163" t="str">
        <f ca="1"/>
        <v/>
      </c>
      <c r="K27" s="164" t="str">
        <f ca="1"/>
        <v/>
      </c>
      <c r="L27" s="164">
        <f t="shared" ca="1" si="0"/>
        <v>1026</v>
      </c>
      <c r="M27" s="164">
        <f t="shared" ca="1" si="1"/>
        <v>26</v>
      </c>
      <c r="N27" s="122" t="str">
        <f t="shared" ca="1" si="2"/>
        <v>Johnson A 0-0-0-0,</v>
      </c>
      <c r="Q27" s="164"/>
      <c r="R27" s="164"/>
      <c r="S27" s="175"/>
      <c r="T27" s="164"/>
      <c r="U27" s="164"/>
      <c r="V27" s="133"/>
      <c r="W27" s="132"/>
      <c r="X27" s="132"/>
      <c r="Y27" s="132"/>
      <c r="Z27" s="164"/>
    </row>
    <row r="28" spans="1:26" x14ac:dyDescent="0.15">
      <c r="A28" s="122">
        <v>27</v>
      </c>
      <c r="B28" s="122">
        <f>MATCH(A28,Bowling!$CS$5:$CS$34,0)</f>
        <v>14</v>
      </c>
      <c r="C28" s="122" t="str">
        <f ca="1">OFFSET(Bowling!$B$4,BowlAves!B28,0)</f>
        <v>Leadley J</v>
      </c>
      <c r="D28" s="158">
        <f t="array" aca="1" ref="D28:K28" ca="1">OFFSET(Bowling!$CG$4,BowlAves!B28,0,1,8)</f>
        <v>0</v>
      </c>
      <c r="E28" s="159">
        <f ca="1"/>
        <v>0</v>
      </c>
      <c r="F28" s="159">
        <f ca="1"/>
        <v>0</v>
      </c>
      <c r="G28" s="159">
        <f ca="1"/>
        <v>0</v>
      </c>
      <c r="H28" s="76" t="str">
        <f ca="1"/>
        <v/>
      </c>
      <c r="I28" s="163" t="str">
        <f ca="1"/>
        <v/>
      </c>
      <c r="J28" s="163" t="str">
        <f ca="1"/>
        <v/>
      </c>
      <c r="K28" s="164" t="str">
        <f ca="1"/>
        <v/>
      </c>
      <c r="L28" s="164">
        <f t="shared" ca="1" si="0"/>
        <v>1027</v>
      </c>
      <c r="M28" s="164">
        <f t="shared" ca="1" si="1"/>
        <v>27</v>
      </c>
      <c r="N28" s="122" t="str">
        <f t="shared" ca="1" si="2"/>
        <v>Leadley J 0-0-0-0,</v>
      </c>
      <c r="Q28" s="164"/>
      <c r="R28" s="164"/>
      <c r="S28" s="175"/>
      <c r="T28" s="164"/>
      <c r="U28" s="164"/>
      <c r="V28" s="133"/>
      <c r="W28" s="132"/>
      <c r="X28" s="132"/>
      <c r="Y28" s="132"/>
      <c r="Z28" s="164"/>
    </row>
    <row r="29" spans="1:26" x14ac:dyDescent="0.15">
      <c r="A29" s="122">
        <v>28</v>
      </c>
      <c r="B29" s="122">
        <f>MATCH(A29,Bowling!$CS$5:$CS$34,0)</f>
        <v>16</v>
      </c>
      <c r="C29" s="122" t="str">
        <f ca="1">OFFSET(Bowling!$B$4,BowlAves!B29,0)</f>
        <v>Lovell A</v>
      </c>
      <c r="D29" s="158">
        <f t="array" aca="1" ref="D29:K29" ca="1">OFFSET(Bowling!$CG$4,BowlAves!B29,0,1,8)</f>
        <v>0</v>
      </c>
      <c r="E29" s="159">
        <f ca="1"/>
        <v>0</v>
      </c>
      <c r="F29" s="159">
        <f ca="1"/>
        <v>0</v>
      </c>
      <c r="G29" s="159">
        <f ca="1"/>
        <v>0</v>
      </c>
      <c r="H29" s="76" t="str">
        <f ca="1"/>
        <v/>
      </c>
      <c r="I29" s="163" t="str">
        <f ca="1"/>
        <v/>
      </c>
      <c r="J29" s="163" t="str">
        <f ca="1"/>
        <v/>
      </c>
      <c r="K29" s="164" t="str">
        <f ca="1"/>
        <v/>
      </c>
      <c r="L29" s="164">
        <f t="shared" ca="1" si="0"/>
        <v>1028</v>
      </c>
      <c r="M29" s="164">
        <f t="shared" ca="1" si="1"/>
        <v>28</v>
      </c>
      <c r="N29" s="122" t="str">
        <f t="shared" ca="1" si="2"/>
        <v>Lovell A 0-0-0-0,</v>
      </c>
      <c r="Q29" s="164"/>
      <c r="R29" s="164"/>
      <c r="S29" s="175"/>
      <c r="T29" s="164"/>
      <c r="U29" s="164"/>
      <c r="V29" s="133"/>
      <c r="W29" s="132"/>
      <c r="X29" s="132"/>
      <c r="Y29" s="132"/>
      <c r="Z29" s="164"/>
    </row>
    <row r="30" spans="1:26" x14ac:dyDescent="0.15">
      <c r="A30" s="122">
        <v>29</v>
      </c>
      <c r="B30" s="122">
        <f>MATCH(A30,Bowling!$CS$5:$CS$34,0)</f>
        <v>22</v>
      </c>
      <c r="C30" s="122" t="str">
        <f ca="1">OFFSET(Bowling!$B$4,BowlAves!B30,0)</f>
        <v>Rao A</v>
      </c>
      <c r="D30" s="158">
        <f t="array" aca="1" ref="D30:K30" ca="1">OFFSET(Bowling!$CG$4,BowlAves!B30,0,1,8)</f>
        <v>0</v>
      </c>
      <c r="E30" s="159">
        <f ca="1"/>
        <v>0</v>
      </c>
      <c r="F30" s="159">
        <f ca="1"/>
        <v>0</v>
      </c>
      <c r="G30" s="159">
        <f ca="1"/>
        <v>0</v>
      </c>
      <c r="H30" s="76" t="str">
        <f ca="1"/>
        <v/>
      </c>
      <c r="I30" s="163" t="str">
        <f ca="1"/>
        <v/>
      </c>
      <c r="J30" s="163" t="str">
        <f ca="1"/>
        <v/>
      </c>
      <c r="K30" s="164" t="str">
        <f ca="1"/>
        <v/>
      </c>
      <c r="L30" s="164">
        <f t="shared" ca="1" si="0"/>
        <v>1029</v>
      </c>
      <c r="M30" s="164">
        <f t="shared" ca="1" si="1"/>
        <v>29</v>
      </c>
      <c r="N30" s="122" t="str">
        <f t="shared" ca="1" si="2"/>
        <v>Rao A 0-0-0-0,</v>
      </c>
    </row>
    <row r="31" spans="1:26" x14ac:dyDescent="0.15">
      <c r="A31" s="122">
        <v>30</v>
      </c>
      <c r="B31" s="122">
        <f>MATCH(A31,Bowling!$CS$5:$CS$34,0)</f>
        <v>29</v>
      </c>
      <c r="C31" s="122" t="str">
        <f ca="1">OFFSET(Bowling!$B$4,BowlAves!B31,0)</f>
        <v>Wiseman R</v>
      </c>
      <c r="D31" s="158">
        <f t="array" aca="1" ref="D31:K31" ca="1">OFFSET(Bowling!$CG$4,BowlAves!B31,0,1,8)</f>
        <v>0</v>
      </c>
      <c r="E31" s="159">
        <f ca="1"/>
        <v>0</v>
      </c>
      <c r="F31" s="159">
        <f ca="1"/>
        <v>0</v>
      </c>
      <c r="G31" s="159">
        <f ca="1"/>
        <v>0</v>
      </c>
      <c r="H31" s="76" t="str">
        <f ca="1"/>
        <v/>
      </c>
      <c r="I31" s="163" t="str">
        <f ca="1"/>
        <v/>
      </c>
      <c r="J31" s="163" t="str">
        <f ca="1"/>
        <v/>
      </c>
      <c r="K31" s="164" t="str">
        <f ca="1"/>
        <v/>
      </c>
      <c r="L31" s="164">
        <f t="shared" ca="1" si="0"/>
        <v>1030</v>
      </c>
      <c r="M31" s="164">
        <f t="shared" ca="1" si="1"/>
        <v>30</v>
      </c>
      <c r="N31" s="122" t="str">
        <f t="shared" ca="1" si="2"/>
        <v>Wiseman R 0-0-0-0,</v>
      </c>
      <c r="W31" s="122" t="s">
        <v>221</v>
      </c>
    </row>
    <row r="32" spans="1:26" x14ac:dyDescent="0.15">
      <c r="A32" s="122">
        <v>31</v>
      </c>
      <c r="B32" s="122" t="e">
        <f>MATCH(A32,Bowling!$CS$5:$CS$34,0)</f>
        <v>#N/A</v>
      </c>
      <c r="C32" s="122" t="e">
        <f ca="1">OFFSET(Bowling!$B$4,BowlAves!B32,0)</f>
        <v>#N/A</v>
      </c>
      <c r="D32" s="158" t="e">
        <f t="array" aca="1" ref="D32:K32" ca="1">OFFSET(Bowling!$CG$4,BowlAves!B32,0,1,8)</f>
        <v>#N/A</v>
      </c>
      <c r="E32" s="159" t="e">
        <f ca="1"/>
        <v>#N/A</v>
      </c>
      <c r="F32" s="159" t="e">
        <f ca="1"/>
        <v>#N/A</v>
      </c>
      <c r="G32" s="159" t="e">
        <f ca="1"/>
        <v>#N/A</v>
      </c>
      <c r="H32" s="76" t="e">
        <f ca="1"/>
        <v>#N/A</v>
      </c>
      <c r="I32" s="163" t="e">
        <f ca="1"/>
        <v>#N/A</v>
      </c>
      <c r="J32" s="163" t="e">
        <f ca="1"/>
        <v>#N/A</v>
      </c>
      <c r="K32" s="164" t="e">
        <f ca="1"/>
        <v>#N/A</v>
      </c>
      <c r="L32" s="164" t="e">
        <f t="shared" ca="1" si="0"/>
        <v>#N/A</v>
      </c>
      <c r="M32" s="164" t="e">
        <f t="shared" ca="1" si="1"/>
        <v>#N/A</v>
      </c>
      <c r="N32" s="122" t="e">
        <f t="shared" ca="1" si="2"/>
        <v>#N/A</v>
      </c>
      <c r="W32" s="122" t="s">
        <v>221</v>
      </c>
    </row>
    <row r="33" spans="1:23" x14ac:dyDescent="0.15">
      <c r="A33" s="122">
        <v>32</v>
      </c>
      <c r="B33" s="122" t="e">
        <f>MATCH(A33,Bowling!$CS$5:$CS$34,0)</f>
        <v>#N/A</v>
      </c>
      <c r="C33" s="122" t="e">
        <f ca="1">OFFSET(Bowling!$B$4,BowlAves!B33,0)</f>
        <v>#N/A</v>
      </c>
      <c r="D33" s="158" t="e">
        <f t="array" aca="1" ref="D33:K33" ca="1">OFFSET(Bowling!$CG$4,BowlAves!B33,0,1,8)</f>
        <v>#N/A</v>
      </c>
      <c r="E33" s="159" t="e">
        <f ca="1"/>
        <v>#N/A</v>
      </c>
      <c r="F33" s="159" t="e">
        <f ca="1"/>
        <v>#N/A</v>
      </c>
      <c r="G33" s="159" t="e">
        <f ca="1"/>
        <v>#N/A</v>
      </c>
      <c r="H33" s="76" t="e">
        <f ca="1"/>
        <v>#N/A</v>
      </c>
      <c r="I33" s="163" t="e">
        <f ca="1"/>
        <v>#N/A</v>
      </c>
      <c r="J33" s="163" t="e">
        <f ca="1"/>
        <v>#N/A</v>
      </c>
      <c r="K33" s="164" t="e">
        <f ca="1"/>
        <v>#N/A</v>
      </c>
      <c r="L33" s="164" t="e">
        <f t="shared" ca="1" si="0"/>
        <v>#N/A</v>
      </c>
      <c r="M33" s="164" t="e">
        <f t="shared" ca="1" si="1"/>
        <v>#N/A</v>
      </c>
      <c r="N33" s="122" t="e">
        <f t="shared" ca="1" si="2"/>
        <v>#N/A</v>
      </c>
    </row>
    <row r="34" spans="1:23" x14ac:dyDescent="0.15">
      <c r="A34" s="122">
        <v>33</v>
      </c>
      <c r="B34" s="122" t="e">
        <f>MATCH(A34,Bowling!$CS$5:$CS$34,0)</f>
        <v>#N/A</v>
      </c>
      <c r="C34" s="122" t="e">
        <f ca="1">OFFSET(Bowling!$B$4,BowlAves!B34,0)</f>
        <v>#N/A</v>
      </c>
      <c r="D34" s="158" t="e">
        <f t="array" aca="1" ref="D34:K34" ca="1">OFFSET(Bowling!$CG$4,BowlAves!B34,0,1,8)</f>
        <v>#N/A</v>
      </c>
      <c r="E34" s="159" t="e">
        <f ca="1"/>
        <v>#N/A</v>
      </c>
      <c r="F34" s="159" t="e">
        <f ca="1"/>
        <v>#N/A</v>
      </c>
      <c r="G34" s="159" t="e">
        <f ca="1"/>
        <v>#N/A</v>
      </c>
      <c r="H34" s="76" t="e">
        <f ca="1"/>
        <v>#N/A</v>
      </c>
      <c r="I34" s="163" t="e">
        <f ca="1"/>
        <v>#N/A</v>
      </c>
      <c r="J34" s="163" t="e">
        <f ca="1"/>
        <v>#N/A</v>
      </c>
      <c r="K34" s="164" t="e">
        <f ca="1"/>
        <v>#N/A</v>
      </c>
      <c r="L34" s="164" t="e">
        <f t="shared" ca="1" si="0"/>
        <v>#N/A</v>
      </c>
      <c r="M34" s="164" t="e">
        <f t="shared" ca="1" si="1"/>
        <v>#N/A</v>
      </c>
      <c r="N34" s="122" t="e">
        <f t="shared" ca="1" si="2"/>
        <v>#N/A</v>
      </c>
    </row>
    <row r="35" spans="1:23" x14ac:dyDescent="0.15">
      <c r="A35" s="122">
        <v>34</v>
      </c>
      <c r="B35" s="122" t="e">
        <f>MATCH(A35,Bowling!$CS$5:$CS$34,0)</f>
        <v>#N/A</v>
      </c>
      <c r="C35" s="122" t="e">
        <f ca="1">OFFSET(Bowling!$B$4,BowlAves!B35,0)</f>
        <v>#N/A</v>
      </c>
      <c r="D35" s="158" t="e">
        <f t="array" aca="1" ref="D35:K35" ca="1">OFFSET(Bowling!$CG$4,BowlAves!B35,0,1,8)</f>
        <v>#N/A</v>
      </c>
      <c r="E35" s="159" t="e">
        <f ca="1"/>
        <v>#N/A</v>
      </c>
      <c r="F35" s="159" t="e">
        <f ca="1"/>
        <v>#N/A</v>
      </c>
      <c r="G35" s="159" t="e">
        <f ca="1"/>
        <v>#N/A</v>
      </c>
      <c r="H35" s="76" t="e">
        <f ca="1"/>
        <v>#N/A</v>
      </c>
      <c r="I35" s="163" t="e">
        <f ca="1"/>
        <v>#N/A</v>
      </c>
      <c r="J35" s="163" t="e">
        <f ca="1"/>
        <v>#N/A</v>
      </c>
      <c r="K35" s="164" t="e">
        <f ca="1"/>
        <v>#N/A</v>
      </c>
      <c r="L35" s="164" t="e">
        <f t="shared" ca="1" si="0"/>
        <v>#N/A</v>
      </c>
      <c r="M35" s="164" t="e">
        <f t="shared" ca="1" si="1"/>
        <v>#N/A</v>
      </c>
      <c r="N35" s="122" t="e">
        <f t="shared" ca="1" si="2"/>
        <v>#N/A</v>
      </c>
    </row>
    <row r="36" spans="1:23" x14ac:dyDescent="0.15">
      <c r="A36" s="122">
        <v>35</v>
      </c>
      <c r="B36" s="122" t="e">
        <f>MATCH(A36,Bowling!$CS$5:$CS$34,0)</f>
        <v>#N/A</v>
      </c>
      <c r="C36" s="122" t="e">
        <f ca="1">OFFSET(Bowling!$B$4,BowlAves!B36,0)</f>
        <v>#N/A</v>
      </c>
      <c r="D36" s="158" t="e">
        <f t="array" aca="1" ref="D36:K36" ca="1">OFFSET(Bowling!$CG$4,BowlAves!B36,0,1,8)</f>
        <v>#N/A</v>
      </c>
      <c r="E36" s="159" t="e">
        <f ca="1"/>
        <v>#N/A</v>
      </c>
      <c r="F36" s="159" t="e">
        <f ca="1"/>
        <v>#N/A</v>
      </c>
      <c r="G36" s="159" t="e">
        <f ca="1"/>
        <v>#N/A</v>
      </c>
      <c r="H36" s="76" t="e">
        <f ca="1"/>
        <v>#N/A</v>
      </c>
      <c r="I36" s="163" t="e">
        <f ca="1"/>
        <v>#N/A</v>
      </c>
      <c r="J36" s="163" t="e">
        <f ca="1"/>
        <v>#N/A</v>
      </c>
      <c r="K36" s="164" t="e">
        <f ca="1"/>
        <v>#N/A</v>
      </c>
      <c r="L36" s="164" t="e">
        <f t="shared" ca="1" si="0"/>
        <v>#N/A</v>
      </c>
      <c r="M36" s="164" t="e">
        <f t="shared" ca="1" si="1"/>
        <v>#N/A</v>
      </c>
      <c r="N36" s="122" t="e">
        <f t="shared" ca="1" si="2"/>
        <v>#N/A</v>
      </c>
      <c r="Q36" s="122" t="s">
        <v>221</v>
      </c>
    </row>
    <row r="37" spans="1:23" ht="11.25" x14ac:dyDescent="0.15">
      <c r="A37" s="122">
        <v>36</v>
      </c>
      <c r="B37" s="122" t="e">
        <f>MATCH(A37,Bowling!$CS$5:$CS$34,0)</f>
        <v>#N/A</v>
      </c>
      <c r="C37" s="122" t="e">
        <f ca="1">OFFSET(Bowling!$B$4,BowlAves!B37,0)</f>
        <v>#N/A</v>
      </c>
      <c r="D37" s="158" t="e">
        <f t="array" aca="1" ref="D37:K37" ca="1">OFFSET(Bowling!$CG$4,BowlAves!B37,0,1,8)</f>
        <v>#N/A</v>
      </c>
      <c r="E37" s="159" t="e">
        <f ca="1"/>
        <v>#N/A</v>
      </c>
      <c r="F37" s="159" t="e">
        <f ca="1"/>
        <v>#N/A</v>
      </c>
      <c r="G37" s="159" t="e">
        <f ca="1"/>
        <v>#N/A</v>
      </c>
      <c r="H37" s="76" t="e">
        <f ca="1"/>
        <v>#N/A</v>
      </c>
      <c r="I37" s="163" t="e">
        <f ca="1"/>
        <v>#N/A</v>
      </c>
      <c r="J37" s="163" t="e">
        <f ca="1"/>
        <v>#N/A</v>
      </c>
      <c r="K37" s="164" t="e">
        <f ca="1"/>
        <v>#N/A</v>
      </c>
      <c r="L37" s="164" t="e">
        <f t="shared" ca="1" si="0"/>
        <v>#N/A</v>
      </c>
      <c r="M37" s="164" t="e">
        <f t="shared" ca="1" si="1"/>
        <v>#N/A</v>
      </c>
      <c r="N37" s="122" t="e">
        <f t="shared" ca="1" si="2"/>
        <v>#N/A</v>
      </c>
      <c r="Q37" s="122" t="s">
        <v>221</v>
      </c>
      <c r="W37" s="168"/>
    </row>
    <row r="38" spans="1:23" ht="11.25" x14ac:dyDescent="0.15">
      <c r="A38" s="122">
        <v>37</v>
      </c>
      <c r="B38" s="122" t="e">
        <f>MATCH(A38,Bowling!$CS$5:$CS$34,0)</f>
        <v>#N/A</v>
      </c>
      <c r="C38" s="122" t="e">
        <f ca="1">OFFSET(Bowling!$B$4,BowlAves!B38,0)</f>
        <v>#N/A</v>
      </c>
      <c r="D38" s="158" t="e">
        <f t="array" aca="1" ref="D38:K38" ca="1">OFFSET(Bowling!$CG$4,BowlAves!B38,0,1,8)</f>
        <v>#N/A</v>
      </c>
      <c r="E38" s="159" t="e">
        <f ca="1"/>
        <v>#N/A</v>
      </c>
      <c r="F38" s="159" t="e">
        <f ca="1"/>
        <v>#N/A</v>
      </c>
      <c r="G38" s="159" t="e">
        <f ca="1"/>
        <v>#N/A</v>
      </c>
      <c r="H38" s="76" t="e">
        <f ca="1"/>
        <v>#N/A</v>
      </c>
      <c r="I38" s="163" t="e">
        <f ca="1"/>
        <v>#N/A</v>
      </c>
      <c r="J38" s="163" t="e">
        <f ca="1"/>
        <v>#N/A</v>
      </c>
      <c r="K38" s="164" t="e">
        <f ca="1"/>
        <v>#N/A</v>
      </c>
      <c r="L38" s="164" t="e">
        <f t="shared" ca="1" si="0"/>
        <v>#N/A</v>
      </c>
      <c r="M38" s="164" t="e">
        <f t="shared" ca="1" si="1"/>
        <v>#N/A</v>
      </c>
      <c r="N38" s="122" t="e">
        <f t="shared" ca="1" si="2"/>
        <v>#N/A</v>
      </c>
      <c r="Q38" s="122" t="s">
        <v>221</v>
      </c>
      <c r="W38" s="168"/>
    </row>
    <row r="39" spans="1:23" ht="11.25" x14ac:dyDescent="0.15">
      <c r="A39" s="122">
        <v>38</v>
      </c>
      <c r="B39" s="122" t="e">
        <f>MATCH(A39,Bowling!$CS$5:$CS$34,0)</f>
        <v>#N/A</v>
      </c>
      <c r="C39" s="122" t="e">
        <f ca="1">OFFSET(Bowling!$B$4,BowlAves!B39,0)</f>
        <v>#N/A</v>
      </c>
      <c r="D39" s="158" t="e">
        <f t="array" aca="1" ref="D39:K39" ca="1">OFFSET(Bowling!$CG$4,BowlAves!B39,0,1,8)</f>
        <v>#N/A</v>
      </c>
      <c r="E39" s="159" t="e">
        <f ca="1"/>
        <v>#N/A</v>
      </c>
      <c r="F39" s="159" t="e">
        <f ca="1"/>
        <v>#N/A</v>
      </c>
      <c r="G39" s="159" t="e">
        <f ca="1"/>
        <v>#N/A</v>
      </c>
      <c r="H39" s="76" t="e">
        <f ca="1"/>
        <v>#N/A</v>
      </c>
      <c r="I39" s="163" t="e">
        <f ca="1"/>
        <v>#N/A</v>
      </c>
      <c r="J39" s="163" t="e">
        <f ca="1"/>
        <v>#N/A</v>
      </c>
      <c r="K39" s="164" t="e">
        <f ca="1"/>
        <v>#N/A</v>
      </c>
      <c r="L39" s="164" t="e">
        <f t="shared" ca="1" si="0"/>
        <v>#N/A</v>
      </c>
      <c r="M39" s="164" t="e">
        <f t="shared" ca="1" si="1"/>
        <v>#N/A</v>
      </c>
      <c r="N39" s="122" t="e">
        <f t="shared" ca="1" si="2"/>
        <v>#N/A</v>
      </c>
      <c r="Q39" s="122" t="s">
        <v>221</v>
      </c>
      <c r="W39" s="168"/>
    </row>
    <row r="40" spans="1:23" ht="11.25" x14ac:dyDescent="0.15">
      <c r="A40" s="122">
        <v>39</v>
      </c>
      <c r="B40" s="122" t="e">
        <f>MATCH(A40,Bowling!$CS$5:$CS$34,0)</f>
        <v>#N/A</v>
      </c>
      <c r="C40" s="122" t="e">
        <f ca="1">OFFSET(Bowling!$B$4,BowlAves!B40,0)</f>
        <v>#N/A</v>
      </c>
      <c r="D40" s="158" t="e">
        <f t="array" aca="1" ref="D40:K40" ca="1">OFFSET(Bowling!$CG$4,BowlAves!B40,0,1,8)</f>
        <v>#N/A</v>
      </c>
      <c r="E40" s="159" t="e">
        <f ca="1"/>
        <v>#N/A</v>
      </c>
      <c r="F40" s="159" t="e">
        <f ca="1"/>
        <v>#N/A</v>
      </c>
      <c r="G40" s="159" t="e">
        <f ca="1"/>
        <v>#N/A</v>
      </c>
      <c r="H40" s="76" t="e">
        <f ca="1"/>
        <v>#N/A</v>
      </c>
      <c r="I40" s="163" t="e">
        <f ca="1"/>
        <v>#N/A</v>
      </c>
      <c r="J40" s="163" t="e">
        <f ca="1"/>
        <v>#N/A</v>
      </c>
      <c r="K40" s="164" t="e">
        <f ca="1"/>
        <v>#N/A</v>
      </c>
      <c r="L40" s="164" t="e">
        <f t="shared" ca="1" si="0"/>
        <v>#N/A</v>
      </c>
      <c r="M40" s="164" t="e">
        <f t="shared" ca="1" si="1"/>
        <v>#N/A</v>
      </c>
      <c r="N40" s="122" t="e">
        <f t="shared" ca="1" si="2"/>
        <v>#N/A</v>
      </c>
      <c r="Q40" s="122" t="s">
        <v>221</v>
      </c>
      <c r="W40" s="168"/>
    </row>
    <row r="41" spans="1:23" ht="11.25" x14ac:dyDescent="0.15">
      <c r="A41" s="122">
        <v>40</v>
      </c>
      <c r="B41" s="122" t="e">
        <f>MATCH(A41,Bowling!$CS$5:$CS$34,0)</f>
        <v>#N/A</v>
      </c>
      <c r="C41" s="122" t="e">
        <f ca="1">OFFSET(Bowling!$B$4,BowlAves!B41,0)</f>
        <v>#N/A</v>
      </c>
      <c r="D41" s="158" t="e">
        <f t="array" aca="1" ref="D41:K41" ca="1">OFFSET(Bowling!$CG$4,BowlAves!B41,0,1,8)</f>
        <v>#N/A</v>
      </c>
      <c r="E41" s="159" t="e">
        <f ca="1"/>
        <v>#N/A</v>
      </c>
      <c r="F41" s="159" t="e">
        <f ca="1"/>
        <v>#N/A</v>
      </c>
      <c r="G41" s="159" t="e">
        <f ca="1"/>
        <v>#N/A</v>
      </c>
      <c r="H41" s="76" t="e">
        <f ca="1"/>
        <v>#N/A</v>
      </c>
      <c r="I41" s="163" t="e">
        <f ca="1"/>
        <v>#N/A</v>
      </c>
      <c r="J41" s="163" t="e">
        <f ca="1"/>
        <v>#N/A</v>
      </c>
      <c r="K41" s="164" t="e">
        <f ca="1"/>
        <v>#N/A</v>
      </c>
      <c r="L41" s="164" t="e">
        <f t="shared" ca="1" si="0"/>
        <v>#N/A</v>
      </c>
      <c r="M41" s="164" t="e">
        <f t="shared" ca="1" si="1"/>
        <v>#N/A</v>
      </c>
      <c r="N41" s="122" t="e">
        <f t="shared" ca="1" si="2"/>
        <v>#N/A</v>
      </c>
      <c r="Q41" s="122" t="s">
        <v>221</v>
      </c>
      <c r="W41" s="168"/>
    </row>
    <row r="42" spans="1:23" ht="11.25" x14ac:dyDescent="0.15">
      <c r="A42" s="122">
        <v>41</v>
      </c>
      <c r="B42" s="122" t="e">
        <f>MATCH(A42,Bowling!$CS$5:$CS$34,0)</f>
        <v>#N/A</v>
      </c>
      <c r="C42" s="122" t="e">
        <f ca="1">OFFSET(Bowling!$B$4,BowlAves!B42,0)</f>
        <v>#N/A</v>
      </c>
      <c r="D42" s="158" t="e">
        <f t="array" aca="1" ref="D42:K42" ca="1">OFFSET(Bowling!$CG$4,BowlAves!B42,0,1,8)</f>
        <v>#N/A</v>
      </c>
      <c r="E42" s="159" t="e">
        <f ca="1"/>
        <v>#N/A</v>
      </c>
      <c r="F42" s="159" t="e">
        <f ca="1"/>
        <v>#N/A</v>
      </c>
      <c r="G42" s="159" t="e">
        <f ca="1"/>
        <v>#N/A</v>
      </c>
      <c r="H42" s="76" t="e">
        <f ca="1"/>
        <v>#N/A</v>
      </c>
      <c r="I42" s="163" t="e">
        <f ca="1"/>
        <v>#N/A</v>
      </c>
      <c r="J42" s="163" t="e">
        <f ca="1"/>
        <v>#N/A</v>
      </c>
      <c r="K42" s="164" t="e">
        <f ca="1"/>
        <v>#N/A</v>
      </c>
      <c r="L42" s="164" t="e">
        <f t="shared" ca="1" si="0"/>
        <v>#N/A</v>
      </c>
      <c r="M42" s="164" t="e">
        <f t="shared" ca="1" si="1"/>
        <v>#N/A</v>
      </c>
      <c r="N42" s="122" t="e">
        <f t="shared" ca="1" si="2"/>
        <v>#N/A</v>
      </c>
      <c r="Q42" s="122" t="s">
        <v>221</v>
      </c>
      <c r="W42" s="168"/>
    </row>
    <row r="43" spans="1:23" ht="11.25" x14ac:dyDescent="0.15">
      <c r="A43" s="122">
        <v>42</v>
      </c>
      <c r="B43" s="122" t="e">
        <f>MATCH(A43,Bowling!$CS$5:$CS$34,0)</f>
        <v>#N/A</v>
      </c>
      <c r="C43" s="122" t="e">
        <f ca="1">OFFSET(Bowling!$B$4,BowlAves!B43,0)</f>
        <v>#N/A</v>
      </c>
      <c r="D43" s="158" t="e">
        <f t="array" aca="1" ref="D43:K43" ca="1">OFFSET(Bowling!$CG$4,BowlAves!B43,0,1,8)</f>
        <v>#N/A</v>
      </c>
      <c r="E43" s="159" t="e">
        <f ca="1"/>
        <v>#N/A</v>
      </c>
      <c r="F43" s="159" t="e">
        <f ca="1"/>
        <v>#N/A</v>
      </c>
      <c r="G43" s="159" t="e">
        <f ca="1"/>
        <v>#N/A</v>
      </c>
      <c r="H43" s="76" t="e">
        <f ca="1"/>
        <v>#N/A</v>
      </c>
      <c r="I43" s="163" t="e">
        <f ca="1"/>
        <v>#N/A</v>
      </c>
      <c r="J43" s="163" t="e">
        <f ca="1"/>
        <v>#N/A</v>
      </c>
      <c r="K43" s="164" t="e">
        <f ca="1"/>
        <v>#N/A</v>
      </c>
      <c r="L43" s="164" t="e">
        <f t="shared" ca="1" si="0"/>
        <v>#N/A</v>
      </c>
      <c r="M43" s="164" t="e">
        <f t="shared" ca="1" si="1"/>
        <v>#N/A</v>
      </c>
      <c r="N43" s="122" t="e">
        <f t="shared" ca="1" si="2"/>
        <v>#N/A</v>
      </c>
      <c r="Q43" s="122" t="s">
        <v>687</v>
      </c>
      <c r="W43" s="168"/>
    </row>
    <row r="44" spans="1:23" ht="11.25" x14ac:dyDescent="0.15">
      <c r="A44" s="122">
        <v>43</v>
      </c>
      <c r="B44" s="122" t="e">
        <f>MATCH(A44,Bowling!$CS$5:$CS$34,0)</f>
        <v>#N/A</v>
      </c>
      <c r="C44" s="122" t="e">
        <f ca="1">OFFSET(Bowling!$B$4,BowlAves!B44,0)</f>
        <v>#N/A</v>
      </c>
      <c r="D44" s="158" t="e">
        <f t="array" aca="1" ref="D44:K44" ca="1">OFFSET(Bowling!$CG$4,BowlAves!B44,0,1,8)</f>
        <v>#N/A</v>
      </c>
      <c r="E44" s="159" t="e">
        <f ca="1"/>
        <v>#N/A</v>
      </c>
      <c r="F44" s="159" t="e">
        <f ca="1"/>
        <v>#N/A</v>
      </c>
      <c r="G44" s="159" t="e">
        <f ca="1"/>
        <v>#N/A</v>
      </c>
      <c r="H44" s="76" t="e">
        <f ca="1"/>
        <v>#N/A</v>
      </c>
      <c r="I44" s="163" t="e">
        <f ca="1"/>
        <v>#N/A</v>
      </c>
      <c r="J44" s="163" t="e">
        <f ca="1"/>
        <v>#N/A</v>
      </c>
      <c r="K44" s="164" t="e">
        <f ca="1"/>
        <v>#N/A</v>
      </c>
      <c r="L44" s="164" t="e">
        <f t="shared" ca="1" si="0"/>
        <v>#N/A</v>
      </c>
      <c r="M44" s="164" t="e">
        <f t="shared" ca="1" si="1"/>
        <v>#N/A</v>
      </c>
      <c r="N44" s="122" t="e">
        <f t="shared" ca="1" si="2"/>
        <v>#N/A</v>
      </c>
      <c r="Q44" s="122" t="s">
        <v>689</v>
      </c>
      <c r="W44" s="168"/>
    </row>
    <row r="45" spans="1:23" ht="11.25" x14ac:dyDescent="0.15">
      <c r="A45" s="122">
        <v>44</v>
      </c>
      <c r="B45" s="122" t="e">
        <f>MATCH(A45,Bowling!$CS$5:$CS$34,0)</f>
        <v>#N/A</v>
      </c>
      <c r="C45" s="122" t="e">
        <f ca="1">OFFSET(Bowling!$B$4,BowlAves!B45,0)</f>
        <v>#N/A</v>
      </c>
      <c r="D45" s="158" t="e">
        <f t="array" aca="1" ref="D45:K45" ca="1">OFFSET(Bowling!$CG$4,BowlAves!B45,0,1,8)</f>
        <v>#N/A</v>
      </c>
      <c r="E45" s="159" t="e">
        <f ca="1"/>
        <v>#N/A</v>
      </c>
      <c r="F45" s="159" t="e">
        <f ca="1"/>
        <v>#N/A</v>
      </c>
      <c r="G45" s="159" t="e">
        <f ca="1"/>
        <v>#N/A</v>
      </c>
      <c r="H45" s="76" t="e">
        <f ca="1"/>
        <v>#N/A</v>
      </c>
      <c r="I45" s="163" t="e">
        <f ca="1"/>
        <v>#N/A</v>
      </c>
      <c r="J45" s="163" t="e">
        <f ca="1"/>
        <v>#N/A</v>
      </c>
      <c r="K45" s="164" t="e">
        <f ca="1"/>
        <v>#N/A</v>
      </c>
      <c r="L45" s="164" t="e">
        <f t="shared" ca="1" si="0"/>
        <v>#N/A</v>
      </c>
      <c r="M45" s="164" t="e">
        <f t="shared" ca="1" si="1"/>
        <v>#N/A</v>
      </c>
      <c r="N45" s="122" t="e">
        <f t="shared" ca="1" si="2"/>
        <v>#N/A</v>
      </c>
      <c r="Q45" s="122" t="s">
        <v>696</v>
      </c>
      <c r="W45" s="168"/>
    </row>
    <row r="46" spans="1:23" ht="11.25" x14ac:dyDescent="0.15">
      <c r="A46" s="122">
        <v>45</v>
      </c>
      <c r="B46" s="122" t="e">
        <f>MATCH(A46,Bowling!$CS$5:$CS$34,0)</f>
        <v>#N/A</v>
      </c>
      <c r="C46" s="122" t="e">
        <f ca="1">OFFSET(Bowling!$B$4,BowlAves!B46,0)</f>
        <v>#N/A</v>
      </c>
      <c r="D46" s="158" t="e">
        <f t="array" aca="1" ref="D46:K46" ca="1">OFFSET(Bowling!$CG$4,BowlAves!B46,0,1,8)</f>
        <v>#N/A</v>
      </c>
      <c r="E46" s="159" t="e">
        <f ca="1"/>
        <v>#N/A</v>
      </c>
      <c r="F46" s="159" t="e">
        <f ca="1"/>
        <v>#N/A</v>
      </c>
      <c r="G46" s="159" t="e">
        <f ca="1"/>
        <v>#N/A</v>
      </c>
      <c r="H46" s="76" t="e">
        <f ca="1"/>
        <v>#N/A</v>
      </c>
      <c r="I46" s="163" t="e">
        <f ca="1"/>
        <v>#N/A</v>
      </c>
      <c r="J46" s="163" t="e">
        <f ca="1"/>
        <v>#N/A</v>
      </c>
      <c r="K46" s="164" t="e">
        <f ca="1"/>
        <v>#N/A</v>
      </c>
      <c r="L46" s="164" t="e">
        <f t="shared" ca="1" si="0"/>
        <v>#N/A</v>
      </c>
      <c r="M46" s="164" t="e">
        <f t="shared" ca="1" si="1"/>
        <v>#N/A</v>
      </c>
      <c r="N46" s="122" t="e">
        <f t="shared" ca="1" si="2"/>
        <v>#N/A</v>
      </c>
      <c r="Q46" s="122" t="s">
        <v>694</v>
      </c>
      <c r="W46" s="168"/>
    </row>
    <row r="47" spans="1:23" ht="11.25" x14ac:dyDescent="0.15">
      <c r="A47" s="122">
        <v>46</v>
      </c>
      <c r="B47" s="122" t="e">
        <f>MATCH(A47,Bowling!$CS$5:$CS$34,0)</f>
        <v>#N/A</v>
      </c>
      <c r="C47" s="122" t="e">
        <f ca="1">OFFSET(Bowling!$B$4,BowlAves!B47,0)</f>
        <v>#N/A</v>
      </c>
      <c r="D47" s="158" t="e">
        <f t="array" aca="1" ref="D47:K47" ca="1">OFFSET(Bowling!$CG$4,BowlAves!B47,0,1,8)</f>
        <v>#N/A</v>
      </c>
      <c r="E47" s="159" t="e">
        <f ca="1"/>
        <v>#N/A</v>
      </c>
      <c r="F47" s="159" t="e">
        <f ca="1"/>
        <v>#N/A</v>
      </c>
      <c r="G47" s="159" t="e">
        <f ca="1"/>
        <v>#N/A</v>
      </c>
      <c r="H47" s="76" t="e">
        <f ca="1"/>
        <v>#N/A</v>
      </c>
      <c r="I47" s="163" t="e">
        <f ca="1"/>
        <v>#N/A</v>
      </c>
      <c r="J47" s="163" t="e">
        <f ca="1"/>
        <v>#N/A</v>
      </c>
      <c r="K47" s="164" t="e">
        <f ca="1"/>
        <v>#N/A</v>
      </c>
      <c r="L47" s="164" t="e">
        <f t="shared" ca="1" si="0"/>
        <v>#N/A</v>
      </c>
      <c r="M47" s="164" t="e">
        <f t="shared" ca="1" si="1"/>
        <v>#N/A</v>
      </c>
      <c r="N47" s="122" t="e">
        <f t="shared" ca="1" si="2"/>
        <v>#N/A</v>
      </c>
      <c r="Q47" s="122" t="s">
        <v>684</v>
      </c>
      <c r="W47" s="168"/>
    </row>
    <row r="48" spans="1:23" ht="11.25" x14ac:dyDescent="0.15">
      <c r="A48" s="122">
        <v>47</v>
      </c>
      <c r="B48" s="122" t="e">
        <f>MATCH(A48,Bowling!$CS$5:$CS$34,0)</f>
        <v>#N/A</v>
      </c>
      <c r="C48" s="122" t="e">
        <f ca="1">OFFSET(Bowling!$B$4,BowlAves!B48,0)</f>
        <v>#N/A</v>
      </c>
      <c r="D48" s="158" t="e">
        <f t="array" aca="1" ref="D48:K48" ca="1">OFFSET(Bowling!$CG$4,BowlAves!B48,0,1,8)</f>
        <v>#N/A</v>
      </c>
      <c r="E48" s="159" t="e">
        <f ca="1"/>
        <v>#N/A</v>
      </c>
      <c r="F48" s="159" t="e">
        <f ca="1"/>
        <v>#N/A</v>
      </c>
      <c r="G48" s="159" t="e">
        <f ca="1"/>
        <v>#N/A</v>
      </c>
      <c r="H48" s="76" t="e">
        <f ca="1"/>
        <v>#N/A</v>
      </c>
      <c r="I48" s="163" t="e">
        <f ca="1"/>
        <v>#N/A</v>
      </c>
      <c r="J48" s="163" t="e">
        <f ca="1"/>
        <v>#N/A</v>
      </c>
      <c r="K48" s="164" t="e">
        <f ca="1"/>
        <v>#N/A</v>
      </c>
      <c r="L48" s="164" t="e">
        <f t="shared" ca="1" si="0"/>
        <v>#N/A</v>
      </c>
      <c r="M48" s="164" t="e">
        <f t="shared" ca="1" si="1"/>
        <v>#N/A</v>
      </c>
      <c r="N48" s="122" t="e">
        <f t="shared" ca="1" si="2"/>
        <v>#N/A</v>
      </c>
      <c r="Q48" s="122" t="s">
        <v>695</v>
      </c>
      <c r="W48" s="168"/>
    </row>
    <row r="49" spans="1:23" ht="11.25" x14ac:dyDescent="0.15">
      <c r="A49" s="122">
        <v>48</v>
      </c>
      <c r="B49" s="122" t="e">
        <f>MATCH(A49,Bowling!$CS$5:$CS$34,0)</f>
        <v>#N/A</v>
      </c>
      <c r="C49" s="122" t="e">
        <f ca="1">OFFSET(Bowling!$B$4,BowlAves!B49,0)</f>
        <v>#N/A</v>
      </c>
      <c r="D49" s="158" t="e">
        <f t="array" aca="1" ref="D49:K49" ca="1">OFFSET(Bowling!$CG$4,BowlAves!B49,0,1,8)</f>
        <v>#N/A</v>
      </c>
      <c r="E49" s="159" t="e">
        <f ca="1"/>
        <v>#N/A</v>
      </c>
      <c r="F49" s="159" t="e">
        <f ca="1"/>
        <v>#N/A</v>
      </c>
      <c r="G49" s="159" t="e">
        <f ca="1"/>
        <v>#N/A</v>
      </c>
      <c r="H49" s="76" t="e">
        <f ca="1"/>
        <v>#N/A</v>
      </c>
      <c r="I49" s="163" t="e">
        <f ca="1"/>
        <v>#N/A</v>
      </c>
      <c r="J49" s="163" t="e">
        <f ca="1"/>
        <v>#N/A</v>
      </c>
      <c r="K49" s="164" t="e">
        <f ca="1"/>
        <v>#N/A</v>
      </c>
      <c r="L49" s="164" t="e">
        <f t="shared" ca="1" si="0"/>
        <v>#N/A</v>
      </c>
      <c r="M49" s="164" t="e">
        <f t="shared" ca="1" si="1"/>
        <v>#N/A</v>
      </c>
      <c r="N49" s="122" t="e">
        <f t="shared" ca="1" si="2"/>
        <v>#N/A</v>
      </c>
      <c r="Q49" s="122" t="s">
        <v>692</v>
      </c>
      <c r="W49" s="168"/>
    </row>
    <row r="50" spans="1:23" ht="11.25" x14ac:dyDescent="0.15">
      <c r="A50" s="122">
        <v>49</v>
      </c>
      <c r="B50" s="122" t="e">
        <f>MATCH(A50,Bowling!$CS$5:$CS$34,0)</f>
        <v>#N/A</v>
      </c>
      <c r="C50" s="122" t="e">
        <f ca="1">OFFSET(Bowling!$B$4,BowlAves!B50,0)</f>
        <v>#N/A</v>
      </c>
      <c r="D50" s="158" t="e">
        <f t="array" aca="1" ref="D50:K50" ca="1">OFFSET(Bowling!$CG$4,BowlAves!B50,0,1,8)</f>
        <v>#N/A</v>
      </c>
      <c r="E50" s="159" t="e">
        <f ca="1"/>
        <v>#N/A</v>
      </c>
      <c r="F50" s="159" t="e">
        <f ca="1"/>
        <v>#N/A</v>
      </c>
      <c r="G50" s="159" t="e">
        <f ca="1"/>
        <v>#N/A</v>
      </c>
      <c r="H50" s="76" t="e">
        <f ca="1"/>
        <v>#N/A</v>
      </c>
      <c r="I50" s="163" t="e">
        <f ca="1"/>
        <v>#N/A</v>
      </c>
      <c r="J50" s="163" t="e">
        <f ca="1"/>
        <v>#N/A</v>
      </c>
      <c r="K50" s="164" t="e">
        <f ca="1"/>
        <v>#N/A</v>
      </c>
      <c r="L50" s="164" t="e">
        <f t="shared" ca="1" si="0"/>
        <v>#N/A</v>
      </c>
      <c r="M50" s="164" t="e">
        <f t="shared" ca="1" si="1"/>
        <v>#N/A</v>
      </c>
      <c r="N50" s="122" t="e">
        <f t="shared" ca="1" si="2"/>
        <v>#N/A</v>
      </c>
      <c r="Q50" s="122" t="s">
        <v>691</v>
      </c>
      <c r="W50" s="168"/>
    </row>
    <row r="51" spans="1:23" ht="11.25" x14ac:dyDescent="0.15">
      <c r="A51" s="122">
        <v>50</v>
      </c>
      <c r="B51" s="122" t="e">
        <f>MATCH(A51,Bowling!$CS$5:$CS$34,0)</f>
        <v>#N/A</v>
      </c>
      <c r="C51" s="122" t="e">
        <f ca="1">OFFSET(Bowling!$B$4,BowlAves!B51,0)</f>
        <v>#N/A</v>
      </c>
      <c r="D51" s="158" t="e">
        <f t="array" aca="1" ref="D51:K51" ca="1">OFFSET(Bowling!$CG$4,BowlAves!B51,0,1,8)</f>
        <v>#N/A</v>
      </c>
      <c r="E51" s="159" t="e">
        <f ca="1"/>
        <v>#N/A</v>
      </c>
      <c r="F51" s="159" t="e">
        <f ca="1"/>
        <v>#N/A</v>
      </c>
      <c r="G51" s="159" t="e">
        <f ca="1"/>
        <v>#N/A</v>
      </c>
      <c r="H51" s="76" t="e">
        <f ca="1"/>
        <v>#N/A</v>
      </c>
      <c r="I51" s="163" t="e">
        <f ca="1"/>
        <v>#N/A</v>
      </c>
      <c r="J51" s="163" t="e">
        <f ca="1"/>
        <v>#N/A</v>
      </c>
      <c r="K51" s="164" t="e">
        <f ca="1"/>
        <v>#N/A</v>
      </c>
      <c r="L51" s="164" t="e">
        <f t="shared" ca="1" si="0"/>
        <v>#N/A</v>
      </c>
      <c r="M51" s="164" t="e">
        <f t="shared" ca="1" si="1"/>
        <v>#N/A</v>
      </c>
      <c r="N51" s="122" t="e">
        <f t="shared" ca="1" si="2"/>
        <v>#N/A</v>
      </c>
      <c r="Q51" s="122" t="s">
        <v>683</v>
      </c>
      <c r="W51" s="168"/>
    </row>
    <row r="52" spans="1:23" ht="11.25" x14ac:dyDescent="0.15">
      <c r="Q52" s="122" t="s">
        <v>686</v>
      </c>
      <c r="W52" s="168"/>
    </row>
    <row r="53" spans="1:23" x14ac:dyDescent="0.15">
      <c r="Q53" s="122" t="s">
        <v>693</v>
      </c>
    </row>
    <row r="54" spans="1:23" x14ac:dyDescent="0.15">
      <c r="Q54" s="122" t="s">
        <v>688</v>
      </c>
    </row>
    <row r="55" spans="1:23" x14ac:dyDescent="0.15">
      <c r="Q55" s="122" t="s">
        <v>690</v>
      </c>
    </row>
    <row r="56" spans="1:23" x14ac:dyDescent="0.15">
      <c r="Q56" s="122" t="s">
        <v>685</v>
      </c>
    </row>
  </sheetData>
  <sortState ref="Q36:Q56">
    <sortCondition ref="Q36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78</v>
      </c>
      <c r="D44" s="88" t="s">
        <v>157</v>
      </c>
      <c r="E44" s="88" t="s">
        <v>79</v>
      </c>
      <c r="F44" s="88" t="s">
        <v>80</v>
      </c>
      <c r="G44" s="86" t="s">
        <v>81</v>
      </c>
      <c r="H44" s="87">
        <f>COUNTA(1:1)</f>
        <v>0</v>
      </c>
    </row>
    <row r="45" spans="1:41" x14ac:dyDescent="0.15">
      <c r="A45" s="68" t="s">
        <v>186</v>
      </c>
      <c r="B45" t="s">
        <v>189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187</v>
      </c>
      <c r="B46" t="s">
        <v>195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24</v>
      </c>
      <c r="G46" t="s">
        <v>135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131</v>
      </c>
      <c r="B47" t="s">
        <v>178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58</v>
      </c>
      <c r="G47" t="s">
        <v>134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49</v>
      </c>
      <c r="B48" t="s">
        <v>72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59</v>
      </c>
      <c r="B49" t="s">
        <v>71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99</v>
      </c>
      <c r="B50" t="s">
        <v>160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376</v>
      </c>
      <c r="G50" t="s">
        <v>135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185</v>
      </c>
      <c r="B51" t="s">
        <v>190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201</v>
      </c>
      <c r="G51" t="s">
        <v>134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50</v>
      </c>
      <c r="B52" t="s">
        <v>100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155</v>
      </c>
      <c r="B53" t="s">
        <v>172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51</v>
      </c>
      <c r="B54" t="s">
        <v>70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42</v>
      </c>
      <c r="B55" t="s">
        <v>101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53</v>
      </c>
      <c r="B56" t="s">
        <v>73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676</v>
      </c>
      <c r="G56" t="s">
        <v>136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55</v>
      </c>
      <c r="B57" t="s">
        <v>66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54</v>
      </c>
      <c r="B58" t="s">
        <v>68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43</v>
      </c>
      <c r="B59" t="s">
        <v>67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15</v>
      </c>
      <c r="G59" t="s">
        <v>136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171</v>
      </c>
      <c r="B60" t="s">
        <v>191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75</v>
      </c>
      <c r="B61" t="s">
        <v>102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168</v>
      </c>
      <c r="B62" t="s">
        <v>167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137</v>
      </c>
      <c r="B63" t="s">
        <v>138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134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46</v>
      </c>
      <c r="B64" t="s">
        <v>103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47</v>
      </c>
      <c r="B65" t="s">
        <v>65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122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58</v>
      </c>
      <c r="B66" t="s">
        <v>104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188</v>
      </c>
      <c r="B67" t="s">
        <v>192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165</v>
      </c>
      <c r="B68" t="s">
        <v>166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61</v>
      </c>
      <c r="B69" t="s">
        <v>64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459</v>
      </c>
      <c r="G69" t="s">
        <v>135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77</v>
      </c>
      <c r="B70" t="s">
        <v>74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60</v>
      </c>
      <c r="B71" t="s">
        <v>69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202</v>
      </c>
      <c r="G71" t="s">
        <v>134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76</v>
      </c>
      <c r="B72" t="s">
        <v>173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132</v>
      </c>
      <c r="B73" t="s">
        <v>133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57</v>
      </c>
      <c r="B74" t="s">
        <v>105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146</v>
      </c>
      <c r="G74" t="s">
        <v>134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176</v>
      </c>
      <c r="B75" t="s">
        <v>193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164</v>
      </c>
      <c r="B76" t="s">
        <v>174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175</v>
      </c>
      <c r="B77" t="s">
        <v>194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45</v>
      </c>
      <c r="B78" t="s">
        <v>62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56</v>
      </c>
      <c r="B79" t="s">
        <v>106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52</v>
      </c>
      <c r="B80" t="s">
        <v>63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136</v>
      </c>
      <c r="H89">
        <f t="array" ref="H89">SUM(IF($G$45:$G$87=G89,1,0))</f>
        <v>6</v>
      </c>
    </row>
    <row r="90" spans="1:15" x14ac:dyDescent="0.15">
      <c r="G90" t="s">
        <v>134</v>
      </c>
      <c r="H90">
        <f t="array" ref="H90">SUM(IF($G$45:$G$87=G90,1,0))</f>
        <v>14</v>
      </c>
    </row>
    <row r="91" spans="1:15" x14ac:dyDescent="0.15">
      <c r="G91" t="s">
        <v>135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156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82</v>
      </c>
      <c r="C1" s="9">
        <v>89</v>
      </c>
    </row>
    <row r="2" spans="1:20" x14ac:dyDescent="0.2">
      <c r="A2" s="5" t="s">
        <v>83</v>
      </c>
      <c r="C2" s="9">
        <v>91</v>
      </c>
    </row>
    <row r="4" spans="1:20" ht="22.5" x14ac:dyDescent="0.2">
      <c r="A4" s="8"/>
      <c r="B4" s="8" t="s">
        <v>84</v>
      </c>
      <c r="C4" s="8" t="s">
        <v>85</v>
      </c>
      <c r="D4" s="8" t="s">
        <v>169</v>
      </c>
      <c r="E4" s="8" t="s">
        <v>86</v>
      </c>
      <c r="F4" s="8" t="s">
        <v>87</v>
      </c>
      <c r="G4" s="8" t="s">
        <v>88</v>
      </c>
      <c r="H4" s="8" t="s">
        <v>89</v>
      </c>
      <c r="I4" s="8" t="s">
        <v>90</v>
      </c>
      <c r="J4" s="8" t="s">
        <v>78</v>
      </c>
      <c r="K4" s="8" t="s">
        <v>207</v>
      </c>
      <c r="M4" s="8" t="s">
        <v>91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MATCH(A5,Batting!$A$5:$A$54,0)</f>
        <v>#N/A</v>
      </c>
      <c r="F5" s="9">
        <f ca="1">IF(NOT(ISNA(E5)),OFFSET(Batting!$B$4,E5,$C$1,1,1),0)</f>
        <v>0</v>
      </c>
      <c r="G5" s="9" t="e">
        <f ca="1">MATCH(A5,Bowling!$A$5:$A$38,0)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225.333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24</v>
      </c>
      <c r="D6" s="9">
        <f ca="1">IF(NOT(ISNA(E6)),5*OFFSET(Batting!$CE$4,E6,0,1,1),0)</f>
        <v>10</v>
      </c>
      <c r="E6" s="9">
        <f ca="1">MATCH(A6,Batting!$A$5:$A$54,0)</f>
        <v>20</v>
      </c>
      <c r="F6" s="9">
        <f ca="1">IF(NOT(ISNA(E6)),OFFSET(Batting!$B$4,E6,$C$1,1,1),0)</f>
        <v>3</v>
      </c>
      <c r="G6" s="9">
        <f ca="1">MATCH(A6,Bowling!$A$5:$A$38,0)</f>
        <v>15</v>
      </c>
      <c r="H6" s="9">
        <f ca="1">IF(NOT(ISNA(G6)),OFFSET(Bowling!$CO$4,G6,0,1,1),0)</f>
        <v>11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12</v>
      </c>
      <c r="L6" s="5">
        <f t="shared" ref="L6:L46" ca="1" si="5">K6+ROW(K6)/100000</f>
        <v>12.00006</v>
      </c>
      <c r="M6" s="5">
        <f t="shared" ref="M6:M46" ca="1" si="6">RANK(L6,$L$5:$L$40)</f>
        <v>8</v>
      </c>
      <c r="N6" s="5">
        <f t="shared" ref="N6:N46" ca="1" si="7">MATCH(O6,$M$5:$M$55,0)</f>
        <v>25</v>
      </c>
      <c r="O6" s="5">
        <f>O5+1</f>
        <v>2</v>
      </c>
      <c r="P6" s="5" t="str">
        <f t="shared" ca="1" si="1"/>
        <v>Mike Bowers</v>
      </c>
      <c r="Q6" s="7">
        <f t="shared" ca="1" si="2"/>
        <v>153</v>
      </c>
      <c r="R6" s="5">
        <f t="shared" ca="1" si="3"/>
        <v>3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58</v>
      </c>
      <c r="D7" s="9">
        <f ca="1">IF(NOT(ISNA(E7)),5*OFFSET(Batting!$CE$4,E7,0,1,1),0)</f>
        <v>10</v>
      </c>
      <c r="E7" s="9">
        <f ca="1">MATCH(A7,Batting!$A$5:$A$54,0)</f>
        <v>6</v>
      </c>
      <c r="F7" s="9">
        <f ca="1">IF(NOT(ISNA(E7)),OFFSET(Batting!$B$4,E7,$C$1,1,1),0)</f>
        <v>48</v>
      </c>
      <c r="G7" s="9">
        <f ca="1">MATCH(A7,Bowling!$A$5:$A$38,0)</f>
        <v>4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19.332999999999998</v>
      </c>
      <c r="L7" s="5">
        <f t="shared" ca="1" si="5"/>
        <v>19.333069999999999</v>
      </c>
      <c r="M7" s="5">
        <f t="shared" ca="1" si="6"/>
        <v>7</v>
      </c>
      <c r="N7" s="5">
        <f t="shared" ca="1" si="7"/>
        <v>7</v>
      </c>
      <c r="O7" s="5">
        <f t="shared" ref="O7:O46" si="8">O6+1</f>
        <v>3</v>
      </c>
      <c r="P7" s="5" t="str">
        <f t="shared" ca="1" si="1"/>
        <v>Clive Edghill</v>
      </c>
      <c r="Q7" s="7">
        <f t="shared" ca="1" si="2"/>
        <v>100.5</v>
      </c>
      <c r="R7" s="5">
        <f t="shared" ca="1" si="3"/>
        <v>2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MATCH(A8,Batting!$A$5:$A$54,0)</f>
        <v>#N/A</v>
      </c>
      <c r="F8" s="9">
        <f ca="1">IF(NOT(ISNA(E8)),OFFSET(Batting!$B$4,E8,$C$1,1,1),0)</f>
        <v>0</v>
      </c>
      <c r="G8" s="9" t="e">
        <f ca="1">MATCH(A8,Bowling!$A$5:$A$38,0)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35</v>
      </c>
      <c r="N8" s="5">
        <f t="shared" ca="1" si="7"/>
        <v>6</v>
      </c>
      <c r="O8" s="5">
        <f t="shared" si="8"/>
        <v>4</v>
      </c>
      <c r="P8" s="5" t="str">
        <f t="shared" ca="1" si="1"/>
        <v>Chris Clark</v>
      </c>
      <c r="Q8" s="7">
        <f t="shared" ca="1" si="2"/>
        <v>62.665999999999997</v>
      </c>
      <c r="R8" s="5">
        <f t="shared" ca="1" si="3"/>
        <v>6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MATCH(A9,Batting!$A$5:$A$54,0)</f>
        <v>#N/A</v>
      </c>
      <c r="F9" s="9">
        <f ca="1">IF(NOT(ISNA(E9)),OFFSET(Batting!$B$4,E9,$C$1,1,1),0)</f>
        <v>0</v>
      </c>
      <c r="G9" s="9" t="e">
        <f ca="1">MATCH(A9,Bowling!$A$5:$A$38,0)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34</v>
      </c>
      <c r="N9" s="5">
        <f t="shared" ca="1" si="7"/>
        <v>27</v>
      </c>
      <c r="O9" s="5">
        <f t="shared" si="8"/>
        <v>5</v>
      </c>
      <c r="P9" s="5" t="str">
        <f t="shared" ca="1" si="1"/>
        <v>Mike Woodhouse</v>
      </c>
      <c r="Q9" s="7">
        <f t="shared" ca="1" si="2"/>
        <v>40.4</v>
      </c>
      <c r="R9" s="5">
        <f t="shared" ca="1" si="3"/>
        <v>5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376</v>
      </c>
      <c r="D10" s="9">
        <f ca="1">IF(NOT(ISNA(E10)),5*OFFSET(Batting!$CE$4,E10,0,1,1),0)</f>
        <v>95</v>
      </c>
      <c r="E10" s="9">
        <f ca="1">MATCH(A10,Batting!$A$5:$A$54,0)</f>
        <v>4</v>
      </c>
      <c r="F10" s="9">
        <f ca="1">IF(NOT(ISNA(E10)),OFFSET(Batting!$B$4,E10,$C$1,1,1),0)</f>
        <v>27</v>
      </c>
      <c r="G10" s="9">
        <f ca="1">MATCH(A10,Bowling!$A$5:$A$38,0)</f>
        <v>2</v>
      </c>
      <c r="H10" s="9">
        <f ca="1">IF(NOT(ISNA(G10)),OFFSET(Bowling!$CO$4,G10,0,1,1),0)</f>
        <v>239</v>
      </c>
      <c r="I10" s="9">
        <f ca="1">IF(NOT(ISNA(E10)),OFFSET(Batting!$B$4,E10,$C$1+1,1,1),0)</f>
        <v>15</v>
      </c>
      <c r="J10" s="9">
        <f ca="1">VLOOKUP(A10,'Fantasy Teams'!$A$45:$C$87,3,FALSE)</f>
        <v>6</v>
      </c>
      <c r="K10" s="10">
        <f t="shared" ca="1" si="4"/>
        <v>62.665999999999997</v>
      </c>
      <c r="L10" s="5">
        <f t="shared" ca="1" si="5"/>
        <v>62.6661</v>
      </c>
      <c r="M10" s="5">
        <f t="shared" ca="1" si="6"/>
        <v>4</v>
      </c>
      <c r="N10" s="5">
        <f t="shared" ca="1" si="7"/>
        <v>30</v>
      </c>
      <c r="O10" s="5">
        <f t="shared" si="8"/>
        <v>6</v>
      </c>
      <c r="P10" s="5" t="str">
        <f t="shared" ca="1" si="1"/>
        <v>Rick Worthington</v>
      </c>
      <c r="Q10" s="7">
        <f t="shared" ca="1" si="2"/>
        <v>36.5</v>
      </c>
      <c r="R10" s="5">
        <f t="shared" ca="1" si="3"/>
        <v>4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201</v>
      </c>
      <c r="D11" s="9">
        <f ca="1">IF(NOT(ISNA(E11)),5*OFFSET(Batting!$CE$4,E11,0,1,1),0)</f>
        <v>50</v>
      </c>
      <c r="E11" s="9">
        <f ca="1">MATCH(A11,Batting!$A$5:$A$54,0)</f>
        <v>12</v>
      </c>
      <c r="F11" s="9">
        <f ca="1">IF(NOT(ISNA(E11)),OFFSET(Batting!$B$4,E11,$C$1,1,1),0)</f>
        <v>146</v>
      </c>
      <c r="G11" s="9" t="e">
        <f ca="1">MATCH(A11,Bowling!$A$5:$A$38,0)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5</v>
      </c>
      <c r="J11" s="9">
        <f ca="1">VLOOKUP(A11,'Fantasy Teams'!$A$45:$C$87,3,FALSE)</f>
        <v>2</v>
      </c>
      <c r="K11" s="10">
        <f t="shared" ca="1" si="4"/>
        <v>100.5</v>
      </c>
      <c r="L11" s="5">
        <f t="shared" ca="1" si="5"/>
        <v>100.50011000000001</v>
      </c>
      <c r="M11" s="5">
        <f t="shared" ca="1" si="6"/>
        <v>3</v>
      </c>
      <c r="N11" s="5">
        <f t="shared" ca="1" si="7"/>
        <v>3</v>
      </c>
      <c r="O11" s="5">
        <f t="shared" si="8"/>
        <v>7</v>
      </c>
      <c r="P11" s="5" t="str">
        <f t="shared" ca="1" si="1"/>
        <v>Aiden Coloe</v>
      </c>
      <c r="Q11" s="7">
        <f t="shared" ca="1" si="2"/>
        <v>19.332999999999998</v>
      </c>
      <c r="R11" s="5">
        <f t="shared" ca="1" si="3"/>
        <v>3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MATCH(A12,Batting!$A$5:$A$54,0)</f>
        <v>#N/A</v>
      </c>
      <c r="F12" s="9">
        <f ca="1">IF(NOT(ISNA(E12)),OFFSET(Batting!$B$4,E12,$C$1,1,1),0)</f>
        <v>0</v>
      </c>
      <c r="G12" s="9" t="e">
        <f ca="1">MATCH(A12,Bowling!$A$5:$A$38,0)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33</v>
      </c>
      <c r="N12" s="5">
        <f t="shared" ca="1" si="7"/>
        <v>2</v>
      </c>
      <c r="O12" s="5">
        <f t="shared" si="8"/>
        <v>8</v>
      </c>
      <c r="P12" s="5" t="str">
        <f t="shared" ca="1" si="1"/>
        <v>Adam Lestrelle</v>
      </c>
      <c r="Q12" s="7">
        <f t="shared" ca="1" si="2"/>
        <v>12</v>
      </c>
      <c r="R12" s="5">
        <f t="shared" ca="1" si="3"/>
        <v>2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MATCH(A13,Batting!$A$5:$A$54,0)</f>
        <v>#N/A</v>
      </c>
      <c r="F13" s="9">
        <f ca="1">IF(NOT(ISNA(E13)),OFFSET(Batting!$B$4,E13,$C$1,1,1),0)</f>
        <v>0</v>
      </c>
      <c r="G13" s="9" t="e">
        <f ca="1">MATCH(A13,Bowling!$A$5:$A$38,0)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32</v>
      </c>
      <c r="N13" s="5">
        <f t="shared" ca="1" si="7"/>
        <v>21</v>
      </c>
      <c r="O13" s="5">
        <f t="shared" si="8"/>
        <v>9</v>
      </c>
      <c r="P13" s="5" t="str">
        <f t="shared" ca="1" si="1"/>
        <v>John Leadley</v>
      </c>
      <c r="Q13" s="7">
        <f t="shared" ca="1" si="2"/>
        <v>11.09</v>
      </c>
      <c r="R13" s="5">
        <f t="shared" ca="1" si="3"/>
        <v>11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MATCH(A14,Batting!$A$5:$A$54,0)</f>
        <v>#N/A</v>
      </c>
      <c r="F14" s="9">
        <f ca="1">IF(NOT(ISNA(E14)),OFFSET(Batting!$B$4,E14,$C$1,1,1),0)</f>
        <v>0</v>
      </c>
      <c r="G14" s="9" t="e">
        <f ca="1">MATCH(A14,Bowling!$A$5:$A$38,0)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31</v>
      </c>
      <c r="N14" s="5">
        <f t="shared" ca="1" si="7"/>
        <v>15</v>
      </c>
      <c r="O14" s="5">
        <f t="shared" si="8"/>
        <v>10</v>
      </c>
      <c r="P14" s="5" t="str">
        <f t="shared" ca="1" si="1"/>
        <v>Geoff Cooper</v>
      </c>
      <c r="Q14" s="7">
        <f t="shared" ca="1" si="2"/>
        <v>2.5</v>
      </c>
      <c r="R14" s="5">
        <f t="shared" ca="1" si="3"/>
        <v>6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MATCH(A15,Batting!$A$5:$A$54,0)</f>
        <v>#N/A</v>
      </c>
      <c r="F15" s="9">
        <f ca="1">IF(NOT(ISNA(E15)),OFFSET(Batting!$B$4,E15,$C$1,1,1),0)</f>
        <v>0</v>
      </c>
      <c r="G15" s="9" t="e">
        <f ca="1">MATCH(A15,Bowling!$A$5:$A$38,0)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30</v>
      </c>
      <c r="N15" s="5">
        <f t="shared" ca="1" si="7"/>
        <v>36</v>
      </c>
      <c r="O15" s="5">
        <f t="shared" si="8"/>
        <v>11</v>
      </c>
      <c r="P15" s="5" t="str">
        <f t="shared" ca="1" si="1"/>
        <v>Vince Reid</v>
      </c>
      <c r="Q15" s="7">
        <f t="shared" ca="1" si="2"/>
        <v>0</v>
      </c>
      <c r="R15" s="5">
        <f t="shared" ca="1" si="3"/>
        <v>4</v>
      </c>
      <c r="S15" s="5">
        <f ca="1">SUM(R5:R15)</f>
        <v>49</v>
      </c>
      <c r="T15" s="104">
        <f t="array" aca="1" ref="T15" ca="1">SUM(Q5:Q15*R5:R15)</f>
        <v>2278.9839999999995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676</v>
      </c>
      <c r="D16" s="9">
        <f ca="1">IF(NOT(ISNA(E16)),5*OFFSET(Batting!$CE$4,E16,0,1,1),0)</f>
        <v>60</v>
      </c>
      <c r="E16" s="9">
        <f ca="1">MATCH(A16,Batting!$A$5:$A$54,0)</f>
        <v>30</v>
      </c>
      <c r="F16" s="9">
        <f ca="1">IF(NOT(ISNA(E16)),OFFSET(Batting!$B$4,E16,$C$1,1,1),0)</f>
        <v>518</v>
      </c>
      <c r="G16" s="9">
        <f ca="1">MATCH(A16,Bowling!$A$5:$A$38,0)</f>
        <v>25</v>
      </c>
      <c r="H16" s="9">
        <f ca="1">IF(NOT(ISNA(G16)),OFFSET(Bowling!$CO$4,G16,0,1,1),0)</f>
        <v>73</v>
      </c>
      <c r="I16" s="9">
        <f ca="1">IF(NOT(ISNA(E16)),OFFSET(Batting!$B$4,E16,$C$1+1,1,1),0)</f>
        <v>25</v>
      </c>
      <c r="J16" s="9">
        <f ca="1">VLOOKUP(A16,'Fantasy Teams'!$A$45:$C$87,3,FALSE)</f>
        <v>3</v>
      </c>
      <c r="K16" s="10">
        <f t="shared" ca="1" si="4"/>
        <v>225.333</v>
      </c>
      <c r="L16" s="5">
        <f t="shared" ca="1" si="5"/>
        <v>225.33315999999999</v>
      </c>
      <c r="M16" s="5">
        <f t="shared" ca="1" si="6"/>
        <v>1</v>
      </c>
      <c r="N16" s="5">
        <f t="shared" ca="1" si="7"/>
        <v>35</v>
      </c>
      <c r="O16" s="5">
        <f t="shared" si="8"/>
        <v>12</v>
      </c>
      <c r="P16" s="5" t="str">
        <f t="shared" ca="1" si="1"/>
        <v>Tony Springer</v>
      </c>
      <c r="Q16" s="7">
        <f t="shared" ca="1" si="2"/>
        <v>0</v>
      </c>
      <c r="R16" s="5">
        <f t="shared" ca="1" si="3"/>
        <v>13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MATCH(A17,Batting!$A$5:$A$54,0)</f>
        <v>#N/A</v>
      </c>
      <c r="F17" s="9">
        <f ca="1">IF(NOT(ISNA(E17)),OFFSET(Batting!$B$4,E17,$C$1,1,1),0)</f>
        <v>0</v>
      </c>
      <c r="G17" s="9" t="e">
        <f ca="1">MATCH(A17,Bowling!$A$5:$A$38,0)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29</v>
      </c>
      <c r="N17" s="5">
        <f t="shared" ca="1" si="7"/>
        <v>34</v>
      </c>
      <c r="O17" s="5">
        <f t="shared" si="8"/>
        <v>13</v>
      </c>
      <c r="P17" s="5" t="str">
        <f t="shared" ca="1" si="1"/>
        <v>Ted Dugdale</v>
      </c>
      <c r="Q17" s="7">
        <f t="shared" ca="1" si="2"/>
        <v>0</v>
      </c>
      <c r="R17" s="5">
        <f t="shared" ca="1" si="3"/>
        <v>3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MATCH(A18,Batting!$A$5:$A$54,0)</f>
        <v>#N/A</v>
      </c>
      <c r="F18" s="9">
        <f ca="1">IF(NOT(ISNA(E18)),OFFSET(Batting!$B$4,E18,$C$1,1,1),0)</f>
        <v>0</v>
      </c>
      <c r="G18" s="9" t="e">
        <f ca="1">MATCH(A18,Bowling!$A$5:$A$38,0)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28</v>
      </c>
      <c r="N18" s="5">
        <f t="shared" ca="1" si="7"/>
        <v>33</v>
      </c>
      <c r="O18" s="5">
        <f t="shared" si="8"/>
        <v>14</v>
      </c>
      <c r="P18" s="5" t="str">
        <f t="shared" ca="1" si="1"/>
        <v>Steve Barry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15</v>
      </c>
      <c r="D19" s="9">
        <f ca="1">IF(NOT(ISNA(E19)),5*OFFSET(Batting!$CE$4,E19,0,1,1),0)</f>
        <v>5</v>
      </c>
      <c r="E19" s="9">
        <f ca="1">MATCH(A19,Batting!$A$5:$A$54,0)</f>
        <v>7</v>
      </c>
      <c r="F19" s="9">
        <f ca="1">IF(NOT(ISNA(E19)),OFFSET(Batting!$B$4,E19,$C$1,1,1),0)</f>
        <v>0</v>
      </c>
      <c r="G19" s="9">
        <f ca="1">MATCH(A19,Bowling!$A$5:$A$38,0)</f>
        <v>5</v>
      </c>
      <c r="H19" s="9">
        <f ca="1">IF(NOT(ISNA(G19)),OFFSET(Bowling!$CO$4,G19,0,1,1),0)</f>
        <v>10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2.5</v>
      </c>
      <c r="L19" s="5">
        <f t="shared" ca="1" si="5"/>
        <v>2.5001899999999999</v>
      </c>
      <c r="M19" s="5">
        <f t="shared" ca="1" si="6"/>
        <v>10</v>
      </c>
      <c r="N19" s="5">
        <f t="shared" ca="1" si="7"/>
        <v>32</v>
      </c>
      <c r="O19" s="5">
        <f t="shared" si="8"/>
        <v>15</v>
      </c>
      <c r="P19" s="5" t="str">
        <f t="shared" ca="1" si="1"/>
        <v>Roy Odeneal</v>
      </c>
      <c r="Q19" s="7">
        <f t="shared" ca="1" si="2"/>
        <v>0</v>
      </c>
      <c r="R19" s="5">
        <f t="shared" ca="1" si="3"/>
        <v>2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MATCH(A20,Batting!$A$5:$A$54,0)</f>
        <v>#N/A</v>
      </c>
      <c r="F20" s="9">
        <f ca="1">IF(NOT(ISNA(E20)),OFFSET(Batting!$B$4,E20,$C$1,1,1),0)</f>
        <v>0</v>
      </c>
      <c r="G20" s="9" t="e">
        <f ca="1">MATCH(A20,Bowling!$A$5:$A$38,0)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27</v>
      </c>
      <c r="N20" s="5">
        <f t="shared" ca="1" si="7"/>
        <v>31</v>
      </c>
      <c r="O20" s="5">
        <f t="shared" si="8"/>
        <v>16</v>
      </c>
      <c r="P20" s="5" t="str">
        <f t="shared" ca="1" si="1"/>
        <v>Ron Morris</v>
      </c>
      <c r="Q20" s="7">
        <f t="shared" ca="1" si="2"/>
        <v>0</v>
      </c>
      <c r="R20" s="5">
        <f t="shared" ca="1" si="3"/>
        <v>2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MATCH(A21,Batting!$A$5:$A$54,0)</f>
        <v>#N/A</v>
      </c>
      <c r="F21" s="9">
        <f ca="1">IF(NOT(ISNA(E21)),OFFSET(Batting!$B$4,E21,$C$1,1,1),0)</f>
        <v>0</v>
      </c>
      <c r="G21" s="9" t="e">
        <f ca="1">MATCH(A21,Bowling!$A$5:$A$38,0)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26</v>
      </c>
      <c r="N21" s="5">
        <f t="shared" ca="1" si="7"/>
        <v>29</v>
      </c>
      <c r="O21" s="5">
        <f t="shared" si="8"/>
        <v>17</v>
      </c>
      <c r="P21" s="5" t="str">
        <f t="shared" ca="1" si="1"/>
        <v>Neil Mander</v>
      </c>
      <c r="Q21" s="7">
        <f t="shared" ca="1" si="2"/>
        <v>0</v>
      </c>
      <c r="R21" s="5">
        <f t="shared" ca="1" si="3"/>
        <v>9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MATCH(A22,Batting!$A$5:$A$54,0)</f>
        <v>#N/A</v>
      </c>
      <c r="F22" s="9">
        <f ca="1">IF(NOT(ISNA(E22)),OFFSET(Batting!$B$4,E22,$C$1,1,1),0)</f>
        <v>0</v>
      </c>
      <c r="G22" s="9" t="e">
        <f ca="1">MATCH(A22,Bowling!$A$5:$A$38,0)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25</v>
      </c>
      <c r="N22" s="5">
        <f t="shared" ca="1" si="7"/>
        <v>28</v>
      </c>
      <c r="O22" s="5">
        <f t="shared" si="8"/>
        <v>18</v>
      </c>
      <c r="P22" s="5" t="str">
        <f t="shared" ca="1" si="1"/>
        <v>Naimish Patel</v>
      </c>
      <c r="Q22" s="7">
        <f t="shared" ca="1" si="2"/>
        <v>0</v>
      </c>
      <c r="R22" s="5">
        <f t="shared" ca="1" si="3"/>
        <v>3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IF(NOT(ISNA(E23)),5*OFFSET(Batting!$CE$4,E23,0,1,1),0)</f>
        <v>0</v>
      </c>
      <c r="E23" s="9" t="e">
        <f ca="1">MATCH(A23,Batting!$A$5:$A$54,0)</f>
        <v>#N/A</v>
      </c>
      <c r="F23" s="9">
        <f ca="1">IF(NOT(ISNA(E23)),OFFSET(Batting!$B$4,E23,$C$1,1,1),0)</f>
        <v>0</v>
      </c>
      <c r="G23" s="9" t="e">
        <f ca="1">MATCH(A23,Bowling!$A$5:$A$38,0)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24</v>
      </c>
      <c r="N23" s="5">
        <f t="shared" ca="1" si="7"/>
        <v>26</v>
      </c>
      <c r="O23" s="5">
        <f t="shared" si="8"/>
        <v>19</v>
      </c>
      <c r="P23" s="5" t="str">
        <f t="shared" ca="1" si="1"/>
        <v>Mike Hosking</v>
      </c>
      <c r="Q23" s="7">
        <f t="shared" ca="1" si="2"/>
        <v>0</v>
      </c>
      <c r="R23" s="5">
        <f t="shared" ca="1" si="3"/>
        <v>3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MATCH(A24,Batting!$A$5:$A$54,0)</f>
        <v>#N/A</v>
      </c>
      <c r="F24" s="9">
        <f ca="1">IF(NOT(ISNA(E24)),OFFSET(Batting!$B$4,E24,$C$1,1,1),0)</f>
        <v>0</v>
      </c>
      <c r="G24" s="9" t="e">
        <f ca="1">MATCH(A24,Bowling!$A$5:$A$38,0)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23</v>
      </c>
      <c r="N24" s="5">
        <f t="shared" ca="1" si="7"/>
        <v>24</v>
      </c>
      <c r="O24" s="5">
        <f t="shared" si="8"/>
        <v>20</v>
      </c>
      <c r="P24" s="5" t="str">
        <f t="shared" ca="1" si="1"/>
        <v>Mick Clark</v>
      </c>
      <c r="Q24" s="7">
        <f t="shared" ca="1" si="2"/>
        <v>0</v>
      </c>
      <c r="R24" s="5">
        <f t="shared" ca="1" si="3"/>
        <v>2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122</v>
      </c>
      <c r="D25" s="9">
        <f ca="1">IF(NOT(ISNA(E25)),5*OFFSET(Batting!$CE$4,E25,0,1,1),0)</f>
        <v>15</v>
      </c>
      <c r="E25" s="9">
        <f ca="1">MATCH(A25,Batting!$A$5:$A$54,0)</f>
        <v>19</v>
      </c>
      <c r="F25" s="9">
        <f ca="1">IF(NOT(ISNA(E25)),OFFSET(Batting!$B$4,E25,$C$1,1,1),0)</f>
        <v>107</v>
      </c>
      <c r="G25" s="9">
        <f ca="1">MATCH(A25,Bowling!$A$5:$A$38,0)</f>
        <v>14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11.09</v>
      </c>
      <c r="L25" s="5">
        <f t="shared" ca="1" si="5"/>
        <v>11.090249999999999</v>
      </c>
      <c r="M25" s="5">
        <f t="shared" ca="1" si="6"/>
        <v>9</v>
      </c>
      <c r="N25" s="5">
        <f t="shared" ca="1" si="7"/>
        <v>23</v>
      </c>
      <c r="O25" s="5">
        <f t="shared" si="8"/>
        <v>21</v>
      </c>
      <c r="P25" s="5" t="str">
        <f t="shared" ca="1" si="1"/>
        <v>Kieran Moore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MATCH(A26,Batting!$A$5:$A$54,0)</f>
        <v>#N/A</v>
      </c>
      <c r="F26" s="9">
        <f ca="1">IF(NOT(ISNA(E26)),OFFSET(Batting!$B$4,E26,$C$1,1,1),0)</f>
        <v>0</v>
      </c>
      <c r="G26" s="9" t="e">
        <f ca="1">MATCH(A26,Bowling!$A$5:$A$38,0)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22</v>
      </c>
      <c r="N26" s="5">
        <f t="shared" ca="1" si="7"/>
        <v>22</v>
      </c>
      <c r="O26" s="5">
        <f t="shared" si="8"/>
        <v>22</v>
      </c>
      <c r="P26" s="5" t="str">
        <f t="shared" ca="1" si="1"/>
        <v>Jon Worthy</v>
      </c>
      <c r="Q26" s="7">
        <f t="shared" ca="1" si="2"/>
        <v>0</v>
      </c>
      <c r="R26" s="5">
        <f t="shared" ca="1" si="3"/>
        <v>5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MATCH(A27,Batting!$A$5:$A$54,0)</f>
        <v>#N/A</v>
      </c>
      <c r="F27" s="9">
        <f ca="1">IF(NOT(ISNA(E27)),OFFSET(Batting!$B$4,E27,$C$1,1,1),0)</f>
        <v>0</v>
      </c>
      <c r="G27" s="9" t="e">
        <f ca="1">MATCH(A27,Bowling!$A$5:$A$38,0)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21</v>
      </c>
      <c r="N27" s="5">
        <f t="shared" ca="1" si="7"/>
        <v>20</v>
      </c>
      <c r="O27" s="5">
        <f t="shared" si="8"/>
        <v>23</v>
      </c>
      <c r="P27" s="5" t="str">
        <f t="shared" ca="1" si="1"/>
        <v>John Elliston</v>
      </c>
      <c r="Q27" s="7">
        <f t="shared" ca="1" si="2"/>
        <v>0</v>
      </c>
      <c r="R27" s="5">
        <f t="shared" ca="1" si="3"/>
        <v>5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MATCH(A28,Batting!$A$5:$A$54,0)</f>
        <v>#N/A</v>
      </c>
      <c r="F28" s="9">
        <f ca="1">IF(NOT(ISNA(E28)),OFFSET(Batting!$B$4,E28,$C$1,1,1),0)</f>
        <v>0</v>
      </c>
      <c r="G28" s="9" t="e">
        <f ca="1">MATCH(A28,Bowling!$A$5:$A$38,0)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20</v>
      </c>
      <c r="N28" s="5">
        <f t="shared" ca="1" si="7"/>
        <v>19</v>
      </c>
      <c r="O28" s="5">
        <f t="shared" si="8"/>
        <v>24</v>
      </c>
      <c r="P28" s="5" t="str">
        <f t="shared" ca="1" si="1"/>
        <v>Jeff Lestrelle</v>
      </c>
      <c r="Q28" s="7">
        <f t="shared" ca="1" si="2"/>
        <v>0</v>
      </c>
      <c r="R28" s="5">
        <f t="shared" ca="1" si="3"/>
        <v>4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459</v>
      </c>
      <c r="D29" s="9">
        <f ca="1">IF(NOT(ISNA(E29)),5*OFFSET(Batting!$CE$4,E29,0,1,1),0)</f>
        <v>85</v>
      </c>
      <c r="E29" s="9">
        <f ca="1">MATCH(A29,Batting!$A$5:$A$54,0)</f>
        <v>1</v>
      </c>
      <c r="F29" s="9">
        <f ca="1">IF(NOT(ISNA(E29)),OFFSET(Batting!$B$4,E29,$C$1,1,1),0)</f>
        <v>63</v>
      </c>
      <c r="G29" s="9">
        <f ca="1">MATCH(A29,Bowling!$A$5:$A$38,0)</f>
        <v>1</v>
      </c>
      <c r="H29" s="9">
        <f ca="1">IF(NOT(ISNA(G29)),OFFSET(Bowling!$CO$4,G29,0,1,1),0)</f>
        <v>301</v>
      </c>
      <c r="I29" s="9">
        <f ca="1">IF(NOT(ISNA(E29)),OFFSET(Batting!$B$4,E29,$C$1+1,1,1),0)</f>
        <v>10</v>
      </c>
      <c r="J29" s="9">
        <f ca="1">VLOOKUP(A29,'Fantasy Teams'!$A$45:$C$87,3,FALSE)</f>
        <v>3</v>
      </c>
      <c r="K29" s="10">
        <f t="shared" ca="1" si="4"/>
        <v>153</v>
      </c>
      <c r="L29" s="5">
        <f t="shared" ca="1" si="5"/>
        <v>153.00029000000001</v>
      </c>
      <c r="M29" s="5">
        <f t="shared" ca="1" si="6"/>
        <v>2</v>
      </c>
      <c r="N29" s="5">
        <f t="shared" ca="1" si="7"/>
        <v>18</v>
      </c>
      <c r="O29" s="5">
        <f t="shared" si="8"/>
        <v>25</v>
      </c>
      <c r="P29" s="5" t="str">
        <f t="shared" ca="1" si="1"/>
        <v>Jason Crisford</v>
      </c>
      <c r="Q29" s="7">
        <f t="shared" ca="1" si="2"/>
        <v>0</v>
      </c>
      <c r="R29" s="5">
        <f t="shared" ca="1" si="3"/>
        <v>2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MATCH(A30,Batting!$A$5:$A$54,0)</f>
        <v>#N/A</v>
      </c>
      <c r="F30" s="9">
        <f ca="1">IF(NOT(ISNA(E30)),OFFSET(Batting!$B$4,E30,$C$1,1,1),0)</f>
        <v>0</v>
      </c>
      <c r="G30" s="9" t="e">
        <f ca="1">MATCH(A30,Bowling!$A$5:$A$38,0)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19</v>
      </c>
      <c r="N30" s="5">
        <f t="shared" ca="1" si="7"/>
        <v>17</v>
      </c>
      <c r="O30" s="5">
        <f t="shared" si="8"/>
        <v>26</v>
      </c>
      <c r="P30" s="5" t="str">
        <f t="shared" ca="1" si="1"/>
        <v>Glyn Angell</v>
      </c>
      <c r="Q30" s="7">
        <f t="shared" ca="1" si="2"/>
        <v>0</v>
      </c>
      <c r="R30" s="5">
        <f t="shared" ca="1" si="3"/>
        <v>1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202</v>
      </c>
      <c r="D31" s="9">
        <f ca="1">IF(NOT(ISNA(E31)),5*OFFSET(Batting!$CE$4,E31,0,1,1),0)</f>
        <v>70</v>
      </c>
      <c r="E31" s="9">
        <f ca="1">MATCH(A31,Batting!$A$5:$A$54,0)</f>
        <v>37</v>
      </c>
      <c r="F31" s="9">
        <f ca="1">IF(NOT(ISNA(E31)),OFFSET(Batting!$B$4,E31,$C$1,1,1),0)</f>
        <v>127</v>
      </c>
      <c r="G31" s="9">
        <f ca="1">MATCH(A31,Bowling!$A$5:$A$38,0)</f>
        <v>30</v>
      </c>
      <c r="H31" s="9">
        <f ca="1">IF(NOT(ISNA(G31)),OFFSET(Bowling!$CO$4,G31,0,1,1),0)</f>
        <v>5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40.4</v>
      </c>
      <c r="L31" s="5">
        <f t="shared" ca="1" si="5"/>
        <v>40.400309999999998</v>
      </c>
      <c r="M31" s="5">
        <f t="shared" ca="1" si="6"/>
        <v>5</v>
      </c>
      <c r="N31" s="5">
        <f t="shared" ca="1" si="7"/>
        <v>16</v>
      </c>
      <c r="O31" s="5">
        <f t="shared" si="8"/>
        <v>27</v>
      </c>
      <c r="P31" s="5" t="str">
        <f t="shared" ca="1" si="1"/>
        <v>Glen Lilley</v>
      </c>
      <c r="Q31" s="7">
        <f t="shared" ca="1" si="2"/>
        <v>0</v>
      </c>
      <c r="R31" s="5">
        <f t="shared" ca="1" si="3"/>
        <v>2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MATCH(A32,Batting!$A$5:$A$54,0)</f>
        <v>#N/A</v>
      </c>
      <c r="F32" s="9">
        <f ca="1">IF(NOT(ISNA(E32)),OFFSET(Batting!$B$4,E32,$C$1,1,1),0)</f>
        <v>0</v>
      </c>
      <c r="G32" s="9" t="e">
        <f ca="1">MATCH(A32,Bowling!$A$5:$A$38,0)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18</v>
      </c>
      <c r="N32" s="5">
        <f t="shared" ca="1" si="7"/>
        <v>14</v>
      </c>
      <c r="O32" s="5">
        <f t="shared" si="8"/>
        <v>28</v>
      </c>
      <c r="P32" s="5" t="str">
        <f t="shared" ref="P32:P46" ca="1" si="10">OFFSET($B$4,N32,0)</f>
        <v>Del Shewan</v>
      </c>
      <c r="Q32" s="7">
        <f t="shared" ref="Q32:Q46" ca="1" si="11">OFFSET($K$4,N32,0)</f>
        <v>0</v>
      </c>
      <c r="R32" s="5">
        <f t="shared" ca="1" si="3"/>
        <v>3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MATCH(A33,Batting!$A$5:$A$54,0)</f>
        <v>#N/A</v>
      </c>
      <c r="F33" s="9">
        <f ca="1">IF(NOT(ISNA(E33)),OFFSET(Batting!$B$4,E33,$C$1,1,1),0)</f>
        <v>0</v>
      </c>
      <c r="G33" s="9" t="e">
        <f ca="1">MATCH(A33,Bowling!$A$5:$A$38,0)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17</v>
      </c>
      <c r="N33" s="5">
        <f t="shared" ca="1" si="7"/>
        <v>13</v>
      </c>
      <c r="O33" s="5">
        <f t="shared" si="8"/>
        <v>29</v>
      </c>
      <c r="P33" s="5" t="str">
        <f t="shared" ca="1" si="10"/>
        <v>David Snow</v>
      </c>
      <c r="Q33" s="7">
        <f t="shared" ca="1" si="11"/>
        <v>0</v>
      </c>
      <c r="R33" s="5">
        <f t="shared" ca="1" si="3"/>
        <v>3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146</v>
      </c>
      <c r="D34" s="9">
        <f ca="1">IF(NOT(ISNA(E34)),5*OFFSET(Batting!$CE$4,E34,0,1,1),0)</f>
        <v>25</v>
      </c>
      <c r="E34" s="9">
        <f ca="1">MATCH(A34,Batting!$A$5:$A$54,0)</f>
        <v>38</v>
      </c>
      <c r="F34" s="9">
        <f ca="1">IF(NOT(ISNA(E34)),OFFSET(Batting!$B$4,E34,$C$1,1,1),0)</f>
        <v>121</v>
      </c>
      <c r="G34" s="9" t="e">
        <f ca="1">MATCH(A34,Bowling!$A$5:$A$38,0)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36.5</v>
      </c>
      <c r="L34" s="5">
        <f t="shared" ca="1" si="5"/>
        <v>36.500340000000001</v>
      </c>
      <c r="M34" s="5">
        <f t="shared" ca="1" si="6"/>
        <v>6</v>
      </c>
      <c r="N34" s="5">
        <f t="shared" ca="1" si="7"/>
        <v>11</v>
      </c>
      <c r="O34" s="5">
        <f t="shared" si="8"/>
        <v>30</v>
      </c>
      <c r="P34" s="5" t="str">
        <f t="shared" ca="1" si="10"/>
        <v>David Brocks</v>
      </c>
      <c r="Q34" s="7">
        <f t="shared" ca="1" si="11"/>
        <v>0</v>
      </c>
      <c r="R34" s="5">
        <f t="shared" ca="1" si="3"/>
        <v>4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MATCH(A35,Batting!$A$5:$A$54,0)</f>
        <v>#N/A</v>
      </c>
      <c r="F35" s="9">
        <f ca="1">IF(NOT(ISNA(E35)),OFFSET(Batting!$B$4,E35,$C$1,1,1),0)</f>
        <v>0</v>
      </c>
      <c r="G35" s="9" t="e">
        <f ca="1">MATCH(A35,Bowling!$A$5:$A$38,0)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16</v>
      </c>
      <c r="N35" s="5">
        <f t="shared" ca="1" si="7"/>
        <v>10</v>
      </c>
      <c r="O35" s="5">
        <f t="shared" si="8"/>
        <v>31</v>
      </c>
      <c r="P35" s="5" t="str">
        <f t="shared" ca="1" si="10"/>
        <v>Dave Morris</v>
      </c>
      <c r="Q35" s="7">
        <f t="shared" ca="1" si="11"/>
        <v>0</v>
      </c>
      <c r="R35" s="5">
        <f t="shared" ca="1" si="3"/>
        <v>5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MATCH(A36,Batting!$A$5:$A$54,0)</f>
        <v>#N/A</v>
      </c>
      <c r="F36" s="9">
        <f ca="1">IF(NOT(ISNA(E36)),OFFSET(Batting!$B$4,E36,$C$1,1,1),0)</f>
        <v>0</v>
      </c>
      <c r="G36" s="9" t="e">
        <f ca="1">MATCH(A36,Bowling!$A$5:$A$38,0)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15</v>
      </c>
      <c r="N36" s="5">
        <f t="shared" ca="1" si="7"/>
        <v>9</v>
      </c>
      <c r="O36" s="5">
        <f t="shared" si="8"/>
        <v>32</v>
      </c>
      <c r="P36" s="5" t="str">
        <f t="shared" ca="1" si="10"/>
        <v>Daragh Corrigan</v>
      </c>
      <c r="Q36" s="7">
        <f t="shared" ca="1" si="11"/>
        <v>0</v>
      </c>
      <c r="R36" s="5">
        <f t="shared" ca="1" si="3"/>
        <v>2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MATCH(A37,Batting!$A$5:$A$54,0)</f>
        <v>#N/A</v>
      </c>
      <c r="F37" s="9">
        <f ca="1">IF(NOT(ISNA(E37)),OFFSET(Batting!$B$4,E37,$C$1,1,1),0)</f>
        <v>0</v>
      </c>
      <c r="G37" s="9" t="e">
        <f ca="1">MATCH(A37,Bowling!$A$5:$A$38,0)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14</v>
      </c>
      <c r="N37" s="5">
        <f t="shared" ca="1" si="7"/>
        <v>8</v>
      </c>
      <c r="O37" s="5">
        <f t="shared" si="8"/>
        <v>33</v>
      </c>
      <c r="P37" s="5" t="str">
        <f t="shared" ca="1" si="10"/>
        <v>Colin Mander</v>
      </c>
      <c r="Q37" s="7">
        <f t="shared" ca="1" si="11"/>
        <v>0</v>
      </c>
      <c r="R37" s="5">
        <f t="shared" ca="1" si="3"/>
        <v>9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MATCH(A38,Batting!$A$5:$A$54,0)</f>
        <v>#N/A</v>
      </c>
      <c r="F38" s="9">
        <f ca="1">IF(NOT(ISNA(E38)),OFFSET(Batting!$B$4,E38,$C$1,1,1),0)</f>
        <v>0</v>
      </c>
      <c r="G38" s="9" t="e">
        <f ca="1">MATCH(A38,Bowling!$A$5:$A$38,0)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13</v>
      </c>
      <c r="N38" s="5">
        <f t="shared" ca="1" si="7"/>
        <v>5</v>
      </c>
      <c r="O38" s="5">
        <f t="shared" si="8"/>
        <v>34</v>
      </c>
      <c r="P38" s="5" t="str">
        <f t="shared" ca="1" si="10"/>
        <v>Bob Young</v>
      </c>
      <c r="Q38" s="7">
        <f t="shared" ca="1" si="11"/>
        <v>0</v>
      </c>
      <c r="R38" s="5">
        <f t="shared" ca="1" si="3"/>
        <v>4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MATCH(A39,Batting!$A$5:$A$54,0)</f>
        <v>#N/A</v>
      </c>
      <c r="F39" s="9">
        <f ca="1">IF(NOT(ISNA(E39)),OFFSET(Batting!$B$4,E39,$C$1,1,1),0)</f>
        <v>0</v>
      </c>
      <c r="G39" s="9" t="e">
        <f ca="1">MATCH(A39,Bowling!$A$5:$A$38,0)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12</v>
      </c>
      <c r="N39" s="5">
        <f t="shared" ca="1" si="7"/>
        <v>4</v>
      </c>
      <c r="O39" s="5">
        <f t="shared" si="8"/>
        <v>35</v>
      </c>
      <c r="P39" s="5" t="str">
        <f t="shared" ca="1" si="10"/>
        <v>Andy Mander</v>
      </c>
      <c r="Q39" s="7">
        <f t="shared" ca="1" si="11"/>
        <v>0</v>
      </c>
      <c r="R39" s="5">
        <f t="shared" ca="1" si="3"/>
        <v>6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MATCH(A40,Batting!$A$5:$A$54,0)</f>
        <v>#N/A</v>
      </c>
      <c r="F40" s="9">
        <f ca="1">IF(NOT(ISNA(E40)),OFFSET(Batting!$B$4,E40,$C$1,1,1),0)</f>
        <v>0</v>
      </c>
      <c r="G40" s="9" t="e">
        <f ca="1">MATCH(A40,Bowling!$A$5:$A$38,0)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MATCH(A41,Batting!$A$5:$A$54,0)</f>
        <v>#N/A</v>
      </c>
      <c r="F41" s="9">
        <f ca="1">IF(NOT(ISNA(E41)),OFFSET(Batting!$B$4,E41,$C$1,1,1),0)</f>
        <v>0</v>
      </c>
      <c r="G41" s="9" t="e">
        <f ca="1">MATCH(A41,Bowling!$A$5:$A$38,0)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MATCH(A42,Batting!$A$5:$A$54,0)</f>
        <v>#N/A</v>
      </c>
      <c r="F42" s="9">
        <f ca="1">IF(NOT(ISNA(E42)),OFFSET(Batting!$B$4,E42,$C$1,1,1),0)</f>
        <v>0</v>
      </c>
      <c r="G42" s="9" t="e">
        <f ca="1">MATCH(A42,Bowling!$A$5:$A$38,0)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MATCH(A43,Batting!$A$5:$A$54,0)</f>
        <v>#N/A</v>
      </c>
      <c r="F43" s="9">
        <f ca="1">IF(NOT(ISNA(E43)),OFFSET(Batting!$B$4,E43,$C$1,1,1),0)</f>
        <v>0</v>
      </c>
      <c r="G43" s="9" t="e">
        <f ca="1">MATCH(A43,Bowling!$A$5:$A$38,0)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MATCH(A44,Batting!$A$5:$A$54,0)</f>
        <v>#N/A</v>
      </c>
      <c r="F44" s="9">
        <f ca="1">IF(NOT(ISNA(E44)),OFFSET(Batting!$B$4,E44,$C$1,1,1),0)</f>
        <v>0</v>
      </c>
      <c r="G44" s="9" t="e">
        <f ca="1">MATCH(A44,Bowling!$A$5:$A$38,0)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MATCH(A45,Batting!$A$5:$A$54,0)</f>
        <v>#N/A</v>
      </c>
      <c r="F45" s="9">
        <f ca="1">IF(NOT(ISNA(E45)),OFFSET(Batting!$B$4,E45,$C$1,1,1),0)</f>
        <v>0</v>
      </c>
      <c r="G45" s="9" t="e">
        <f ca="1">MATCH(A45,Bowling!$A$5:$A$38,0)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MATCH(A46,Batting!$A$5:$A$54,0)</f>
        <v>#N/A</v>
      </c>
      <c r="F46" s="9">
        <f ca="1">IF(NOT(ISNA(E46)),OFFSET(Batting!$B$4,E46,$C$1,1,1),0)</f>
        <v>0</v>
      </c>
      <c r="G46" s="9" t="e">
        <f ca="1">MATCH(A46,Bowling!$A$5:$A$38,0)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84</v>
      </c>
      <c r="B1" s="14" t="s">
        <v>92</v>
      </c>
      <c r="C1" s="14" t="s">
        <v>93</v>
      </c>
      <c r="D1" s="14" t="s">
        <v>87</v>
      </c>
      <c r="E1" s="14" t="s">
        <v>89</v>
      </c>
      <c r="F1" s="14" t="s">
        <v>90</v>
      </c>
      <c r="G1" s="14" t="s">
        <v>78</v>
      </c>
      <c r="H1" s="15" t="s">
        <v>94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24</v>
      </c>
      <c r="C3" s="18">
        <f ca="1">FantasyPts!D6</f>
        <v>10</v>
      </c>
      <c r="D3" s="18">
        <f ca="1">FantasyPts!F6</f>
        <v>3</v>
      </c>
      <c r="E3" s="18">
        <f ca="1">FantasyPts!H6</f>
        <v>11</v>
      </c>
      <c r="F3" s="18">
        <f ca="1">FantasyPts!I6</f>
        <v>0</v>
      </c>
      <c r="G3" s="18">
        <f ca="1">FantasyPts!J6</f>
        <v>2</v>
      </c>
      <c r="H3" s="19">
        <f ca="1">FantasyPts!K6</f>
        <v>12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58</v>
      </c>
      <c r="C4" s="18">
        <f ca="1">FantasyPts!D7</f>
        <v>10</v>
      </c>
      <c r="D4" s="18">
        <f ca="1">FantasyPts!F7</f>
        <v>48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19.332999999999998</v>
      </c>
      <c r="I4" s="16">
        <f t="shared" ca="1" si="0"/>
        <v>1</v>
      </c>
      <c r="J4" s="105">
        <f t="shared" ca="1" si="1"/>
        <v>-2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376</v>
      </c>
      <c r="C7" s="18">
        <f ca="1">FantasyPts!D10</f>
        <v>95</v>
      </c>
      <c r="D7" s="18">
        <f ca="1">FantasyPts!F10</f>
        <v>27</v>
      </c>
      <c r="E7" s="18">
        <f ca="1">FantasyPts!H10</f>
        <v>239</v>
      </c>
      <c r="F7" s="18">
        <f ca="1">FantasyPts!I10</f>
        <v>15</v>
      </c>
      <c r="G7" s="18">
        <f ca="1">FantasyPts!J10</f>
        <v>6</v>
      </c>
      <c r="H7" s="19">
        <f ca="1">FantasyPts!K10</f>
        <v>62.665999999999997</v>
      </c>
      <c r="I7" s="16">
        <f t="shared" ca="1" si="0"/>
        <v>4</v>
      </c>
      <c r="J7" s="105">
        <f t="shared" ca="1" si="1"/>
        <v>-2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201</v>
      </c>
      <c r="C8" s="18">
        <f ca="1">FantasyPts!D11</f>
        <v>50</v>
      </c>
      <c r="D8" s="18">
        <f ca="1">FantasyPts!F11</f>
        <v>146</v>
      </c>
      <c r="E8" s="18">
        <f ca="1">FantasyPts!H11</f>
        <v>0</v>
      </c>
      <c r="F8" s="18">
        <f ca="1">FantasyPts!I11</f>
        <v>5</v>
      </c>
      <c r="G8" s="18">
        <f ca="1">FantasyPts!J11</f>
        <v>2</v>
      </c>
      <c r="H8" s="19">
        <f ca="1">FantasyPts!K11</f>
        <v>100.5</v>
      </c>
      <c r="I8" s="16">
        <f t="shared" ca="1" si="0"/>
        <v>2</v>
      </c>
      <c r="J8" s="105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676</v>
      </c>
      <c r="C13" s="18">
        <f ca="1">FantasyPts!D16</f>
        <v>60</v>
      </c>
      <c r="D13" s="18">
        <f ca="1">FantasyPts!F16</f>
        <v>518</v>
      </c>
      <c r="E13" s="18">
        <f ca="1">FantasyPts!H16</f>
        <v>73</v>
      </c>
      <c r="F13" s="18">
        <f ca="1">FantasyPts!I16</f>
        <v>25</v>
      </c>
      <c r="G13" s="18">
        <f ca="1">FantasyPts!J16</f>
        <v>3</v>
      </c>
      <c r="H13" s="19">
        <f ca="1">FantasyPts!K16</f>
        <v>225.333</v>
      </c>
      <c r="I13" s="16">
        <f t="shared" ca="1" si="0"/>
        <v>7</v>
      </c>
      <c r="J13" s="105">
        <f t="shared" ca="1" si="1"/>
        <v>4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15</v>
      </c>
      <c r="C16" s="18">
        <f ca="1">FantasyPts!D19</f>
        <v>5</v>
      </c>
      <c r="D16" s="18">
        <f ca="1">FantasyPts!F19</f>
        <v>0</v>
      </c>
      <c r="E16" s="18">
        <f ca="1">FantasyPts!H19</f>
        <v>10</v>
      </c>
      <c r="F16" s="18">
        <f ca="1">FantasyPts!I19</f>
        <v>0</v>
      </c>
      <c r="G16" s="18">
        <f ca="1">FantasyPts!J19</f>
        <v>6</v>
      </c>
      <c r="H16" s="19">
        <f ca="1">FantasyPts!K19</f>
        <v>2.5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122</v>
      </c>
      <c r="C22" s="18">
        <f ca="1">FantasyPts!D25</f>
        <v>15</v>
      </c>
      <c r="D22" s="18">
        <f ca="1">FantasyPts!F25</f>
        <v>107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11.09</v>
      </c>
      <c r="I22" s="16">
        <f t="shared" ca="1" si="0"/>
        <v>1</v>
      </c>
      <c r="J22" s="105">
        <f t="shared" ca="1" si="1"/>
        <v>-10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459</v>
      </c>
      <c r="C26" s="18">
        <f ca="1">FantasyPts!D29</f>
        <v>85</v>
      </c>
      <c r="D26" s="18">
        <f ca="1">FantasyPts!F29</f>
        <v>63</v>
      </c>
      <c r="E26" s="18">
        <f ca="1">FantasyPts!H29</f>
        <v>301</v>
      </c>
      <c r="F26" s="18">
        <f ca="1">FantasyPts!I29</f>
        <v>10</v>
      </c>
      <c r="G26" s="18">
        <f ca="1">FantasyPts!J29</f>
        <v>3</v>
      </c>
      <c r="H26" s="19">
        <f ca="1">FantasyPts!K29</f>
        <v>153</v>
      </c>
      <c r="I26" s="16">
        <f t="shared" ca="1" si="0"/>
        <v>5</v>
      </c>
      <c r="J26" s="105">
        <f t="shared" ca="1" si="1"/>
        <v>2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202</v>
      </c>
      <c r="C28" s="18">
        <f ca="1">FantasyPts!D31</f>
        <v>70</v>
      </c>
      <c r="D28" s="18">
        <f ca="1">FantasyPts!F31</f>
        <v>127</v>
      </c>
      <c r="E28" s="18">
        <f ca="1">FantasyPts!H31</f>
        <v>5</v>
      </c>
      <c r="F28" s="18">
        <f ca="1">FantasyPts!I31</f>
        <v>0</v>
      </c>
      <c r="G28" s="18">
        <f ca="1">FantasyPts!J31</f>
        <v>5</v>
      </c>
      <c r="H28" s="19">
        <f ca="1">FantasyPts!K31</f>
        <v>40.4</v>
      </c>
      <c r="I28" s="16">
        <f t="shared" ca="1" si="0"/>
        <v>2</v>
      </c>
      <c r="J28" s="105">
        <f t="shared" ca="1" si="1"/>
        <v>-3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146</v>
      </c>
      <c r="C31" s="18">
        <f ca="1">FantasyPts!D34</f>
        <v>25</v>
      </c>
      <c r="D31" s="18">
        <f ca="1">FantasyPts!F34</f>
        <v>121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36.5</v>
      </c>
      <c r="I31" s="16">
        <f t="shared" ca="1" si="0"/>
        <v>1</v>
      </c>
      <c r="J31" s="105">
        <f t="shared" ca="1" si="1"/>
        <v>-3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206</v>
      </c>
    </row>
    <row r="2" spans="1:27" x14ac:dyDescent="0.25">
      <c r="A2" s="78"/>
    </row>
    <row r="3" spans="1:27" ht="15" x14ac:dyDescent="0.3">
      <c r="A3" s="11" t="s">
        <v>200</v>
      </c>
      <c r="B3" s="12" t="s">
        <v>95</v>
      </c>
      <c r="C3" s="12" t="s">
        <v>96</v>
      </c>
      <c r="D3" s="11" t="s">
        <v>97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19"/>
  <sheetViews>
    <sheetView topLeftCell="H1" workbookViewId="0">
      <selection activeCell="R17" sqref="R17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2.5703125" style="103" bestFit="1" customWidth="1"/>
    <col min="8" max="8" width="4" style="103" bestFit="1" customWidth="1"/>
    <col min="9" max="9" width="3.42578125" style="103" bestFit="1" customWidth="1"/>
    <col min="10" max="10" width="17.28515625" style="103" bestFit="1" customWidth="1"/>
    <col min="11" max="11" width="10.42578125" style="138" bestFit="1" customWidth="1"/>
    <col min="12" max="16" width="9.140625" style="103"/>
    <col min="17" max="17" width="13.140625" style="103" customWidth="1"/>
    <col min="18" max="18" width="14.7109375" style="103" bestFit="1" customWidth="1"/>
    <col min="19" max="16384" width="9.140625" style="103"/>
  </cols>
  <sheetData>
    <row r="1" spans="1:19" x14ac:dyDescent="0.15">
      <c r="A1" s="103" t="s">
        <v>14</v>
      </c>
      <c r="B1" s="103" t="s">
        <v>85</v>
      </c>
      <c r="C1" s="103" t="s">
        <v>264</v>
      </c>
      <c r="D1" s="103" t="s">
        <v>265</v>
      </c>
      <c r="E1" s="103" t="s">
        <v>266</v>
      </c>
      <c r="F1" s="103" t="s">
        <v>267</v>
      </c>
      <c r="G1" s="103" t="s">
        <v>268</v>
      </c>
      <c r="H1" s="103" t="s">
        <v>269</v>
      </c>
      <c r="I1" s="103" t="s">
        <v>267</v>
      </c>
      <c r="J1" s="103" t="s">
        <v>1</v>
      </c>
      <c r="K1" s="138" t="s">
        <v>0</v>
      </c>
      <c r="O1" s="103" t="s">
        <v>84</v>
      </c>
    </row>
    <row r="2" spans="1:19" x14ac:dyDescent="0.15">
      <c r="A2" s="103">
        <v>1</v>
      </c>
      <c r="B2" s="103">
        <v>122</v>
      </c>
      <c r="D2" s="103" t="s">
        <v>180</v>
      </c>
      <c r="E2" s="103">
        <v>25</v>
      </c>
      <c r="G2" s="103" t="s">
        <v>150</v>
      </c>
      <c r="H2" s="103">
        <v>84</v>
      </c>
      <c r="J2" s="103" t="s">
        <v>236</v>
      </c>
      <c r="K2" s="138">
        <v>40307</v>
      </c>
      <c r="O2" s="103" t="s">
        <v>180</v>
      </c>
      <c r="Q2" s="139" t="s">
        <v>287</v>
      </c>
      <c r="R2" t="s">
        <v>289</v>
      </c>
      <c r="S2"/>
    </row>
    <row r="3" spans="1:19" x14ac:dyDescent="0.15">
      <c r="A3" s="103">
        <v>3</v>
      </c>
      <c r="B3" s="103">
        <v>114</v>
      </c>
      <c r="D3" s="103" t="s">
        <v>248</v>
      </c>
      <c r="E3" s="103">
        <v>98</v>
      </c>
      <c r="G3" s="103" t="s">
        <v>240</v>
      </c>
      <c r="H3" s="103">
        <v>44</v>
      </c>
      <c r="J3" s="103" t="s">
        <v>564</v>
      </c>
      <c r="K3" s="138">
        <v>40405</v>
      </c>
      <c r="O3" s="103" t="s">
        <v>248</v>
      </c>
      <c r="Q3" s="140" t="s">
        <v>48</v>
      </c>
      <c r="R3" s="141">
        <v>1</v>
      </c>
      <c r="S3"/>
    </row>
    <row r="4" spans="1:19" x14ac:dyDescent="0.15">
      <c r="A4" s="103">
        <v>1</v>
      </c>
      <c r="B4" s="103">
        <v>112</v>
      </c>
      <c r="C4" s="103" t="s">
        <v>413</v>
      </c>
      <c r="D4" s="103" t="s">
        <v>150</v>
      </c>
      <c r="E4" s="103">
        <v>67</v>
      </c>
      <c r="F4" s="103" t="s">
        <v>413</v>
      </c>
      <c r="G4" s="103" t="s">
        <v>151</v>
      </c>
      <c r="H4" s="103">
        <v>44</v>
      </c>
      <c r="I4" s="103" t="s">
        <v>413</v>
      </c>
      <c r="J4" s="103" t="s">
        <v>432</v>
      </c>
      <c r="K4" s="138">
        <v>40356</v>
      </c>
      <c r="O4" s="103" t="s">
        <v>150</v>
      </c>
      <c r="Q4" s="140" t="s">
        <v>240</v>
      </c>
      <c r="R4" s="141">
        <v>2</v>
      </c>
      <c r="S4"/>
    </row>
    <row r="5" spans="1:19" x14ac:dyDescent="0.15">
      <c r="A5" s="103">
        <v>3</v>
      </c>
      <c r="B5" s="103">
        <v>105</v>
      </c>
      <c r="D5" s="103" t="s">
        <v>180</v>
      </c>
      <c r="E5" s="103">
        <v>44</v>
      </c>
      <c r="F5" s="103" t="s">
        <v>413</v>
      </c>
      <c r="G5" s="103" t="s">
        <v>152</v>
      </c>
      <c r="H5" s="103">
        <v>62</v>
      </c>
      <c r="J5" s="103" t="s">
        <v>395</v>
      </c>
      <c r="K5" s="138">
        <v>40342</v>
      </c>
      <c r="O5" s="103" t="s">
        <v>180</v>
      </c>
      <c r="Q5" s="140" t="s">
        <v>150</v>
      </c>
      <c r="R5" s="141">
        <v>4</v>
      </c>
      <c r="S5"/>
    </row>
    <row r="6" spans="1:19" x14ac:dyDescent="0.15">
      <c r="A6" s="103">
        <v>3</v>
      </c>
      <c r="B6" s="103">
        <v>89</v>
      </c>
      <c r="D6" s="103" t="s">
        <v>150</v>
      </c>
      <c r="E6" s="103">
        <v>67</v>
      </c>
      <c r="G6" s="103" t="s">
        <v>240</v>
      </c>
      <c r="H6" s="103">
        <v>81</v>
      </c>
      <c r="I6" s="103" t="s">
        <v>413</v>
      </c>
      <c r="J6" s="103" t="s">
        <v>641</v>
      </c>
      <c r="K6" s="138">
        <v>40433</v>
      </c>
      <c r="O6" s="103" t="s">
        <v>150</v>
      </c>
      <c r="Q6" s="140" t="s">
        <v>152</v>
      </c>
      <c r="R6" s="141">
        <v>1</v>
      </c>
      <c r="S6"/>
    </row>
    <row r="7" spans="1:19" x14ac:dyDescent="0.15">
      <c r="A7" s="103">
        <v>1</v>
      </c>
      <c r="B7" s="103">
        <v>83</v>
      </c>
      <c r="D7" s="103" t="s">
        <v>150</v>
      </c>
      <c r="E7" s="103">
        <v>48</v>
      </c>
      <c r="G7" s="103" t="s">
        <v>180</v>
      </c>
      <c r="H7" s="103">
        <v>30</v>
      </c>
      <c r="J7" s="103" t="s">
        <v>414</v>
      </c>
      <c r="K7" s="138">
        <v>40419</v>
      </c>
      <c r="O7" s="103" t="s">
        <v>150</v>
      </c>
      <c r="Q7" s="140" t="s">
        <v>306</v>
      </c>
      <c r="R7" s="141"/>
      <c r="S7"/>
    </row>
    <row r="8" spans="1:19" x14ac:dyDescent="0.15">
      <c r="A8" s="103">
        <v>6</v>
      </c>
      <c r="B8" s="103">
        <v>82</v>
      </c>
      <c r="D8" s="103" t="s">
        <v>48</v>
      </c>
      <c r="E8" s="103">
        <v>65</v>
      </c>
      <c r="G8" s="103" t="s">
        <v>248</v>
      </c>
      <c r="H8" s="103">
        <v>55</v>
      </c>
      <c r="I8" s="103" t="s">
        <v>413</v>
      </c>
      <c r="J8" s="103" t="s">
        <v>523</v>
      </c>
      <c r="K8" s="138">
        <v>40391</v>
      </c>
      <c r="O8" s="103" t="s">
        <v>48</v>
      </c>
      <c r="Q8" s="140" t="s">
        <v>180</v>
      </c>
      <c r="R8" s="141">
        <v>3</v>
      </c>
      <c r="S8"/>
    </row>
    <row r="9" spans="1:19" x14ac:dyDescent="0.15">
      <c r="A9" s="103">
        <v>5</v>
      </c>
      <c r="B9" s="103">
        <v>46</v>
      </c>
      <c r="C9" s="103" t="s">
        <v>413</v>
      </c>
      <c r="D9" s="103" t="s">
        <v>240</v>
      </c>
      <c r="E9" s="103">
        <v>35</v>
      </c>
      <c r="F9" s="103" t="s">
        <v>413</v>
      </c>
      <c r="G9" s="103" t="s">
        <v>248</v>
      </c>
      <c r="H9" s="103">
        <v>12</v>
      </c>
      <c r="I9" s="103" t="s">
        <v>413</v>
      </c>
      <c r="J9" s="103" t="s">
        <v>617</v>
      </c>
      <c r="K9" s="138">
        <v>40426</v>
      </c>
      <c r="O9" s="103" t="s">
        <v>150</v>
      </c>
      <c r="Q9" s="140" t="s">
        <v>248</v>
      </c>
      <c r="R9" s="141">
        <v>2</v>
      </c>
      <c r="S9"/>
    </row>
    <row r="10" spans="1:19" x14ac:dyDescent="0.15">
      <c r="A10" s="103">
        <v>2</v>
      </c>
      <c r="B10" s="103">
        <v>45</v>
      </c>
      <c r="D10" s="103" t="s">
        <v>272</v>
      </c>
      <c r="E10" s="103">
        <v>131</v>
      </c>
      <c r="F10" s="103" t="s">
        <v>413</v>
      </c>
      <c r="G10" s="103" t="s">
        <v>248</v>
      </c>
      <c r="H10" s="103">
        <v>16</v>
      </c>
      <c r="J10" s="103" t="s">
        <v>648</v>
      </c>
      <c r="K10" s="138">
        <v>40440</v>
      </c>
      <c r="O10" s="103" t="s">
        <v>240</v>
      </c>
      <c r="Q10" s="140" t="s">
        <v>151</v>
      </c>
      <c r="R10" s="141">
        <v>1</v>
      </c>
      <c r="S10"/>
    </row>
    <row r="11" spans="1:19" x14ac:dyDescent="0.15">
      <c r="A11" s="103">
        <v>4</v>
      </c>
      <c r="B11" s="103">
        <v>42</v>
      </c>
      <c r="C11" s="103" t="s">
        <v>413</v>
      </c>
      <c r="D11" s="103" t="s">
        <v>240</v>
      </c>
      <c r="E11" s="103">
        <v>33</v>
      </c>
      <c r="F11" s="103" t="s">
        <v>413</v>
      </c>
      <c r="G11" s="103" t="s">
        <v>281</v>
      </c>
      <c r="H11" s="103">
        <v>8</v>
      </c>
      <c r="I11" s="103" t="s">
        <v>413</v>
      </c>
      <c r="J11" s="103" t="s">
        <v>414</v>
      </c>
      <c r="K11" s="138">
        <v>40419</v>
      </c>
      <c r="O11" s="103" t="s">
        <v>151</v>
      </c>
      <c r="Q11" s="140" t="s">
        <v>288</v>
      </c>
      <c r="R11" s="141">
        <v>14</v>
      </c>
      <c r="S11"/>
    </row>
    <row r="12" spans="1:19" x14ac:dyDescent="0.15">
      <c r="A12" s="103">
        <v>8</v>
      </c>
      <c r="B12" s="103">
        <v>37</v>
      </c>
      <c r="D12" s="103" t="s">
        <v>248</v>
      </c>
      <c r="E12" s="103">
        <v>51</v>
      </c>
      <c r="G12" s="103" t="s">
        <v>214</v>
      </c>
      <c r="H12" s="103">
        <v>0</v>
      </c>
      <c r="J12" s="103" t="s">
        <v>499</v>
      </c>
      <c r="K12" s="138">
        <v>40377</v>
      </c>
      <c r="O12" s="103" t="s">
        <v>152</v>
      </c>
      <c r="Q12"/>
      <c r="R12"/>
      <c r="S12"/>
    </row>
    <row r="13" spans="1:19" x14ac:dyDescent="0.15">
      <c r="A13" s="103">
        <v>10</v>
      </c>
      <c r="B13" s="103">
        <v>30</v>
      </c>
      <c r="D13" s="103" t="s">
        <v>214</v>
      </c>
      <c r="E13" s="103">
        <v>6</v>
      </c>
      <c r="G13" s="103" t="s">
        <v>148</v>
      </c>
      <c r="H13" s="103">
        <v>18</v>
      </c>
      <c r="I13" s="103" t="s">
        <v>413</v>
      </c>
      <c r="J13" s="103" t="s">
        <v>447</v>
      </c>
      <c r="K13" s="138">
        <v>40363</v>
      </c>
      <c r="O13" s="103" t="s">
        <v>240</v>
      </c>
      <c r="Q13"/>
      <c r="R13"/>
      <c r="S13"/>
    </row>
    <row r="14" spans="1:19" x14ac:dyDescent="0.15">
      <c r="A14" s="103">
        <v>9</v>
      </c>
      <c r="B14" s="103">
        <v>26</v>
      </c>
      <c r="D14" s="103" t="s">
        <v>248</v>
      </c>
      <c r="E14" s="103">
        <v>51</v>
      </c>
      <c r="G14" s="103" t="s">
        <v>147</v>
      </c>
      <c r="H14" s="103">
        <v>15</v>
      </c>
      <c r="J14" s="103" t="s">
        <v>499</v>
      </c>
      <c r="K14" s="138">
        <v>40377</v>
      </c>
      <c r="O14" s="103" t="s">
        <v>180</v>
      </c>
      <c r="Q14"/>
      <c r="R14"/>
      <c r="S14"/>
    </row>
    <row r="15" spans="1:19" x14ac:dyDescent="0.15">
      <c r="O15" s="103" t="s">
        <v>248</v>
      </c>
      <c r="Q15"/>
      <c r="R15"/>
      <c r="S15"/>
    </row>
    <row r="16" spans="1:19" x14ac:dyDescent="0.15">
      <c r="Q16"/>
      <c r="R16"/>
      <c r="S16"/>
    </row>
    <row r="17" spans="17:19" x14ac:dyDescent="0.15">
      <c r="Q17"/>
      <c r="R17"/>
      <c r="S17"/>
    </row>
    <row r="18" spans="17:19" x14ac:dyDescent="0.15">
      <c r="Q18"/>
      <c r="R18"/>
      <c r="S18"/>
    </row>
    <row r="19" spans="17:19" x14ac:dyDescent="0.15">
      <c r="Q19"/>
      <c r="R19"/>
      <c r="S19"/>
    </row>
  </sheetData>
  <sortState ref="A2:K14">
    <sortCondition descending="1" ref="B2:B14"/>
  </sortState>
  <pageMargins left="0.7" right="0.7" top="0.75" bottom="0.75" header="0.3" footer="0.3"/>
  <pageSetup paperSize="9" orientation="portrait" horizontalDpi="4294967293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0"/>
  <sheetViews>
    <sheetView workbookViewId="0">
      <selection activeCell="H37" sqref="H37"/>
    </sheetView>
  </sheetViews>
  <sheetFormatPr defaultRowHeight="10.5" x14ac:dyDescent="0.15"/>
  <cols>
    <col min="5" max="5" width="10.42578125" bestFit="1" customWidth="1"/>
    <col min="6" max="6" width="13.140625" bestFit="1" customWidth="1"/>
    <col min="11" max="11" width="10.42578125" bestFit="1" customWidth="1"/>
  </cols>
  <sheetData>
    <row r="1" spans="1:12" x14ac:dyDescent="0.15">
      <c r="A1" t="s">
        <v>1</v>
      </c>
      <c r="G1" t="s">
        <v>233</v>
      </c>
    </row>
    <row r="2" spans="1:12" x14ac:dyDescent="0.15">
      <c r="E2" s="134"/>
      <c r="K2" s="134"/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8" x14ac:dyDescent="0.15">
      <c r="A17" s="109"/>
      <c r="B17" s="110"/>
    </row>
    <row r="27" spans="1:8" x14ac:dyDescent="0.15">
      <c r="H27">
        <v>17</v>
      </c>
    </row>
    <row r="28" spans="1:8" x14ac:dyDescent="0.15">
      <c r="H28">
        <v>15</v>
      </c>
    </row>
    <row r="29" spans="1:8" x14ac:dyDescent="0.15">
      <c r="H29">
        <v>19</v>
      </c>
    </row>
    <row r="30" spans="1:8" x14ac:dyDescent="0.15">
      <c r="H30">
        <v>2</v>
      </c>
    </row>
    <row r="31" spans="1:8" x14ac:dyDescent="0.15">
      <c r="H31">
        <v>1</v>
      </c>
    </row>
    <row r="32" spans="1:8" x14ac:dyDescent="0.15">
      <c r="H32">
        <v>4</v>
      </c>
    </row>
    <row r="33" spans="8:8" x14ac:dyDescent="0.15">
      <c r="H33">
        <v>22</v>
      </c>
    </row>
    <row r="34" spans="8:8" x14ac:dyDescent="0.15">
      <c r="H34">
        <v>10</v>
      </c>
    </row>
    <row r="35" spans="8:8" x14ac:dyDescent="0.15">
      <c r="H35">
        <v>10</v>
      </c>
    </row>
    <row r="36" spans="8:8" x14ac:dyDescent="0.15">
      <c r="H36">
        <v>6</v>
      </c>
    </row>
    <row r="37" spans="8:8" x14ac:dyDescent="0.15">
      <c r="H37">
        <v>4</v>
      </c>
    </row>
    <row r="38" spans="8:8" x14ac:dyDescent="0.15">
      <c r="H38">
        <v>16</v>
      </c>
    </row>
    <row r="39" spans="8:8" x14ac:dyDescent="0.15">
      <c r="H39">
        <v>14</v>
      </c>
    </row>
    <row r="40" spans="8:8" x14ac:dyDescent="0.15">
      <c r="H40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2023-11-24T12:31:52Z</dcterms:modified>
</cp:coreProperties>
</file>
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wsl.localhost\Ubuntu-24.04\home\mikew\stan\data\xldata\"/>
    </mc:Choice>
  </mc:AlternateContent>
  <bookViews>
    <workbookView xWindow="0" yWindow="720" windowWidth="36150" windowHeight="17100" tabRatio="548" activeTab="2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Batting!$D$73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Batting!$E$73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BatAves!$A$1:$I$45</definedName>
    <definedName name="_xlnm.Print_Area" localSheetId="4">BowlAves!$A$1:$K$31</definedName>
    <definedName name="_xlnm.Print_Area" localSheetId="2">Bowling!$A$1:$AR$42</definedName>
    <definedName name="_xlnm.Print_Area" localSheetId="8">'League Table'!$A$1:$D$36</definedName>
    <definedName name="_xlnm.Print_Area" localSheetId="0">Matches!$A$4:$P$48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O5" i="2" l="1" a="1"/>
  <c r="CO5" i="2" s="1"/>
  <c r="CP5" i="2" a="1"/>
  <c r="CP5" i="2" s="1"/>
  <c r="CR5" i="2" a="1"/>
  <c r="CR5" i="2" s="1"/>
  <c r="CS5" i="2" a="1"/>
  <c r="CS5" i="2" s="1"/>
  <c r="CT5" i="2" a="1"/>
  <c r="CT5" i="2" s="1"/>
  <c r="CU5" i="2"/>
  <c r="CU5" i="2" a="1"/>
  <c r="CV5" i="2" a="1"/>
  <c r="CV5" i="2" s="1"/>
  <c r="CW5" i="2" a="1"/>
  <c r="CW5" i="2" s="1"/>
  <c r="CO6" i="2" a="1"/>
  <c r="CO6" i="2" s="1"/>
  <c r="CP6" i="2"/>
  <c r="CP6" i="2" a="1"/>
  <c r="CR6" i="2" a="1"/>
  <c r="CR6" i="2" s="1"/>
  <c r="CS6" i="2" a="1"/>
  <c r="CS6" i="2" s="1"/>
  <c r="CT6" i="2" a="1"/>
  <c r="CT6" i="2" s="1"/>
  <c r="CU6" i="2"/>
  <c r="CU6" i="2" a="1"/>
  <c r="CV6" i="2" a="1"/>
  <c r="CV6" i="2" s="1"/>
  <c r="CW6" i="2" a="1"/>
  <c r="CW6" i="2" s="1"/>
  <c r="CO7" i="2" a="1"/>
  <c r="CO7" i="2" s="1"/>
  <c r="CP7" i="2" a="1"/>
  <c r="CP7" i="2" s="1"/>
  <c r="CR7" i="2"/>
  <c r="CR7" i="2" a="1"/>
  <c r="CS7" i="2" a="1"/>
  <c r="CS7" i="2" s="1"/>
  <c r="CT7" i="2" a="1"/>
  <c r="CT7" i="2" s="1"/>
  <c r="CU7" i="2" a="1"/>
  <c r="CU7" i="2" s="1"/>
  <c r="CV7" i="2"/>
  <c r="CV7" i="2" a="1"/>
  <c r="CW7" i="2" a="1"/>
  <c r="CW7" i="2" s="1"/>
  <c r="CO8" i="2" a="1"/>
  <c r="CO8" i="2" s="1"/>
  <c r="CP8" i="2" a="1"/>
  <c r="CP8" i="2" s="1"/>
  <c r="CR8" i="2"/>
  <c r="CR8" i="2" a="1"/>
  <c r="CS8" i="2" a="1"/>
  <c r="CS8" i="2" s="1"/>
  <c r="CT8" i="2" a="1"/>
  <c r="CT8" i="2" s="1"/>
  <c r="CU8" i="2" a="1"/>
  <c r="CU8" i="2" s="1"/>
  <c r="CV8" i="2" a="1"/>
  <c r="CV8" i="2" s="1"/>
  <c r="CW8" i="2" a="1"/>
  <c r="CW8" i="2" s="1"/>
  <c r="CO9" i="2" a="1"/>
  <c r="CO9" i="2" s="1"/>
  <c r="CP9" i="2" a="1"/>
  <c r="CP9" i="2" s="1"/>
  <c r="CR9" i="2" a="1"/>
  <c r="CR9" i="2" s="1"/>
  <c r="CS9" i="2" a="1"/>
  <c r="CS9" i="2" s="1"/>
  <c r="CT9" i="2" a="1"/>
  <c r="CT9" i="2" s="1"/>
  <c r="CU9" i="2"/>
  <c r="CU9" i="2" a="1"/>
  <c r="CV9" i="2" a="1"/>
  <c r="CV9" i="2" s="1"/>
  <c r="CW9" i="2" a="1"/>
  <c r="CW9" i="2" s="1"/>
  <c r="CO10" i="2" a="1"/>
  <c r="CO10" i="2" s="1"/>
  <c r="CP10" i="2"/>
  <c r="CP10" i="2" a="1"/>
  <c r="CR10" i="2" a="1"/>
  <c r="CR10" i="2" s="1"/>
  <c r="CS10" i="2" a="1"/>
  <c r="CS10" i="2" s="1"/>
  <c r="CT10" i="2" a="1"/>
  <c r="CT10" i="2" s="1"/>
  <c r="CU10" i="2"/>
  <c r="CU10" i="2" a="1"/>
  <c r="CV10" i="2" a="1"/>
  <c r="CV10" i="2" s="1"/>
  <c r="CW10" i="2" a="1"/>
  <c r="CW10" i="2" s="1"/>
  <c r="CO11" i="2" a="1"/>
  <c r="CO11" i="2" s="1"/>
  <c r="CP11" i="2" a="1"/>
  <c r="CP11" i="2" s="1"/>
  <c r="CR11" i="2"/>
  <c r="CR11" i="2" a="1"/>
  <c r="CS11" i="2" a="1"/>
  <c r="CS11" i="2" s="1"/>
  <c r="CT11" i="2" a="1"/>
  <c r="CT11" i="2" s="1"/>
  <c r="CU11" i="2" a="1"/>
  <c r="CU11" i="2" s="1"/>
  <c r="CV11" i="2"/>
  <c r="CV11" i="2" a="1"/>
  <c r="CW11" i="2" a="1"/>
  <c r="CW11" i="2" s="1"/>
  <c r="CO12" i="2" a="1"/>
  <c r="CO12" i="2" s="1"/>
  <c r="CP12" i="2" a="1"/>
  <c r="CP12" i="2" s="1"/>
  <c r="CR12" i="2"/>
  <c r="CR12" i="2" a="1"/>
  <c r="CS12" i="2" a="1"/>
  <c r="CS12" i="2" s="1"/>
  <c r="CT12" i="2" a="1"/>
  <c r="CT12" i="2" s="1"/>
  <c r="CU12" i="2" a="1"/>
  <c r="CU12" i="2" s="1"/>
  <c r="CV12" i="2"/>
  <c r="CV12" i="2" a="1"/>
  <c r="CW12" i="2" a="1"/>
  <c r="CW12" i="2" s="1"/>
  <c r="CO13" i="2" a="1"/>
  <c r="CO13" i="2" s="1"/>
  <c r="CP13" i="2" a="1"/>
  <c r="CP13" i="2" s="1"/>
  <c r="CR13" i="2" a="1"/>
  <c r="CR13" i="2" s="1"/>
  <c r="CS13" i="2"/>
  <c r="CS13" i="2" a="1"/>
  <c r="CT13" i="2" a="1"/>
  <c r="CT13" i="2" s="1"/>
  <c r="CU13" i="2" a="1"/>
  <c r="CU13" i="2" s="1"/>
  <c r="CV13" i="2" a="1"/>
  <c r="CV13" i="2" s="1"/>
  <c r="CW13" i="2"/>
  <c r="CW13" i="2" a="1"/>
  <c r="CO14" i="2" a="1"/>
  <c r="CO14" i="2" s="1"/>
  <c r="CP14" i="2" a="1"/>
  <c r="CP14" i="2" s="1"/>
  <c r="CR14" i="2" a="1"/>
  <c r="CR14" i="2" s="1"/>
  <c r="CS14" i="2"/>
  <c r="CS14" i="2" a="1"/>
  <c r="CT14" i="2" a="1"/>
  <c r="CT14" i="2" s="1"/>
  <c r="CU14" i="2" a="1"/>
  <c r="CU14" i="2" s="1"/>
  <c r="CV14" i="2" a="1"/>
  <c r="CV14" i="2" s="1"/>
  <c r="CW14" i="2"/>
  <c r="CW14" i="2" a="1"/>
  <c r="CO15" i="2" a="1"/>
  <c r="CO15" i="2" s="1"/>
  <c r="CP15" i="2" a="1"/>
  <c r="CP15" i="2" s="1"/>
  <c r="CR15" i="2"/>
  <c r="CR15" i="2" a="1"/>
  <c r="CS15" i="2" a="1"/>
  <c r="CS15" i="2" s="1"/>
  <c r="CT15" i="2" a="1"/>
  <c r="CT15" i="2" s="1"/>
  <c r="CU15" i="2" a="1"/>
  <c r="CU15" i="2" s="1"/>
  <c r="CV15" i="2"/>
  <c r="CV15" i="2" a="1"/>
  <c r="CW15" i="2" a="1"/>
  <c r="CW15" i="2" s="1"/>
  <c r="CO16" i="2" a="1"/>
  <c r="CO16" i="2" s="1"/>
  <c r="CP16" i="2" a="1"/>
  <c r="CP16" i="2" s="1"/>
  <c r="CR16" i="2"/>
  <c r="CR16" i="2" a="1"/>
  <c r="CS16" i="2" a="1"/>
  <c r="CS16" i="2" s="1"/>
  <c r="CT16" i="2" a="1"/>
  <c r="CT16" i="2" s="1"/>
  <c r="CU16" i="2" a="1"/>
  <c r="CU16" i="2" s="1"/>
  <c r="CV16" i="2"/>
  <c r="CV16" i="2" a="1"/>
  <c r="CW16" i="2" a="1"/>
  <c r="CW16" i="2" s="1"/>
  <c r="CO17" i="2" a="1"/>
  <c r="CO17" i="2" s="1"/>
  <c r="CP17" i="2" a="1"/>
  <c r="CP17" i="2" s="1"/>
  <c r="CR17" i="2" a="1"/>
  <c r="CR17" i="2" s="1"/>
  <c r="CS17" i="2"/>
  <c r="CS17" i="2" a="1"/>
  <c r="CT17" i="2" a="1"/>
  <c r="CT17" i="2" s="1"/>
  <c r="CU17" i="2" a="1"/>
  <c r="CU17" i="2" s="1"/>
  <c r="CV17" i="2" a="1"/>
  <c r="CV17" i="2" s="1"/>
  <c r="CW17" i="2"/>
  <c r="CW17" i="2" a="1"/>
  <c r="CO18" i="2" a="1"/>
  <c r="CO18" i="2" s="1"/>
  <c r="CP18" i="2" a="1"/>
  <c r="CP18" i="2" s="1"/>
  <c r="CR18" i="2" a="1"/>
  <c r="CR18" i="2" s="1"/>
  <c r="CS18" i="2"/>
  <c r="CS18" i="2" a="1"/>
  <c r="CT18" i="2" a="1"/>
  <c r="CT18" i="2" s="1"/>
  <c r="CU18" i="2" a="1"/>
  <c r="CU18" i="2" s="1"/>
  <c r="CV18" i="2" a="1"/>
  <c r="CV18" i="2" s="1"/>
  <c r="CW18" i="2"/>
  <c r="CW18" i="2" a="1"/>
  <c r="CO19" i="2" a="1"/>
  <c r="CO19" i="2" s="1"/>
  <c r="CP19" i="2" a="1"/>
  <c r="CP19" i="2" s="1"/>
  <c r="CR19" i="2"/>
  <c r="CR19" i="2" a="1"/>
  <c r="CS19" i="2" a="1"/>
  <c r="CS19" i="2" s="1"/>
  <c r="CT19" i="2" a="1"/>
  <c r="CT19" i="2" s="1"/>
  <c r="CU19" i="2" a="1"/>
  <c r="CU19" i="2" s="1"/>
  <c r="CV19" i="2"/>
  <c r="CV19" i="2" a="1"/>
  <c r="CW19" i="2" a="1"/>
  <c r="CW19" i="2" s="1"/>
  <c r="CO20" i="2" a="1"/>
  <c r="CO20" i="2" s="1"/>
  <c r="CP20" i="2" a="1"/>
  <c r="CP20" i="2" s="1"/>
  <c r="CR20" i="2"/>
  <c r="CR20" i="2" a="1"/>
  <c r="CS20" i="2" a="1"/>
  <c r="CS20" i="2" s="1"/>
  <c r="CT20" i="2" a="1"/>
  <c r="CT20" i="2" s="1"/>
  <c r="CU20" i="2" a="1"/>
  <c r="CU20" i="2" s="1"/>
  <c r="CV20" i="2" a="1"/>
  <c r="CV20" i="2" s="1"/>
  <c r="CW20" i="2" a="1"/>
  <c r="CW20" i="2" s="1"/>
  <c r="CO21" i="2" a="1"/>
  <c r="CO21" i="2" s="1"/>
  <c r="CP21" i="2" a="1"/>
  <c r="CP21" i="2" s="1"/>
  <c r="CR21" i="2" a="1"/>
  <c r="CR21" i="2" s="1"/>
  <c r="CS21" i="2" a="1"/>
  <c r="CS21" i="2" s="1"/>
  <c r="CT21" i="2" a="1"/>
  <c r="CT21" i="2" s="1"/>
  <c r="CU21" i="2"/>
  <c r="CU21" i="2" a="1"/>
  <c r="CV21" i="2" a="1"/>
  <c r="CV21" i="2" s="1"/>
  <c r="CW21" i="2" a="1"/>
  <c r="CW21" i="2" s="1"/>
  <c r="CO22" i="2" a="1"/>
  <c r="CO22" i="2" s="1"/>
  <c r="CP22" i="2"/>
  <c r="CP22" i="2" a="1"/>
  <c r="CR22" i="2" a="1"/>
  <c r="CR22" i="2" s="1"/>
  <c r="CS22" i="2" a="1"/>
  <c r="CS22" i="2" s="1"/>
  <c r="CT22" i="2" a="1"/>
  <c r="CT22" i="2" s="1"/>
  <c r="CU22" i="2"/>
  <c r="CU22" i="2" a="1"/>
  <c r="CV22" i="2" a="1"/>
  <c r="CV22" i="2" s="1"/>
  <c r="CW22" i="2" a="1"/>
  <c r="CW22" i="2" s="1"/>
  <c r="CO23" i="2" a="1"/>
  <c r="CO23" i="2" s="1"/>
  <c r="CP23" i="2" a="1"/>
  <c r="CP23" i="2" s="1"/>
  <c r="CR23" i="2"/>
  <c r="CR23" i="2" a="1"/>
  <c r="CS23" i="2" a="1"/>
  <c r="CS23" i="2" s="1"/>
  <c r="CT23" i="2" a="1"/>
  <c r="CT23" i="2" s="1"/>
  <c r="CU23" i="2" a="1"/>
  <c r="CU23" i="2" s="1"/>
  <c r="CV23" i="2"/>
  <c r="CV23" i="2" a="1"/>
  <c r="CW23" i="2" a="1"/>
  <c r="CW23" i="2" s="1"/>
  <c r="CO24" i="2" a="1"/>
  <c r="CO24" i="2" s="1"/>
  <c r="CP24" i="2"/>
  <c r="CP24" i="2" a="1"/>
  <c r="CR24" i="2"/>
  <c r="CR24" i="2" a="1"/>
  <c r="CS24" i="2" a="1"/>
  <c r="CS24" i="2" s="1"/>
  <c r="CT24" i="2" a="1"/>
  <c r="CT24" i="2" s="1"/>
  <c r="CU24" i="2" a="1"/>
  <c r="CU24" i="2" s="1"/>
  <c r="CV24" i="2"/>
  <c r="CV24" i="2" a="1"/>
  <c r="CW24" i="2" a="1"/>
  <c r="CW24" i="2" s="1"/>
  <c r="CO25" i="2" a="1"/>
  <c r="CO25" i="2" s="1"/>
  <c r="CP25" i="2" a="1"/>
  <c r="CP25" i="2" s="1"/>
  <c r="CR25" i="2"/>
  <c r="CR25" i="2" a="1"/>
  <c r="CS25" i="2" a="1"/>
  <c r="CS25" i="2" s="1"/>
  <c r="CT25" i="2" a="1"/>
  <c r="CT25" i="2" s="1"/>
  <c r="CU25" i="2" a="1"/>
  <c r="CU25" i="2" s="1"/>
  <c r="CV25" i="2"/>
  <c r="CV25" i="2" a="1"/>
  <c r="CW25" i="2" a="1"/>
  <c r="CW25" i="2" s="1"/>
  <c r="CO26" i="2" a="1"/>
  <c r="CO26" i="2" s="1"/>
  <c r="CP26" i="2" a="1"/>
  <c r="CP26" i="2" s="1"/>
  <c r="CR26" i="2" a="1"/>
  <c r="CR26" i="2" s="1"/>
  <c r="CS26" i="2" a="1"/>
  <c r="CS26" i="2" s="1"/>
  <c r="CT26" i="2" a="1"/>
  <c r="CT26" i="2" s="1"/>
  <c r="CU26" i="2"/>
  <c r="CU26" i="2" a="1"/>
  <c r="CV26" i="2" a="1"/>
  <c r="CV26" i="2" s="1"/>
  <c r="CW26" i="2" a="1"/>
  <c r="CW26" i="2" s="1"/>
  <c r="CO27" i="2" a="1"/>
  <c r="CO27" i="2" s="1"/>
  <c r="CP27" i="2"/>
  <c r="CP27" i="2" a="1"/>
  <c r="CR27" i="2" a="1"/>
  <c r="CR27" i="2" s="1"/>
  <c r="CS27" i="2" a="1"/>
  <c r="CS27" i="2" s="1"/>
  <c r="CT27" i="2" a="1"/>
  <c r="CT27" i="2" s="1"/>
  <c r="CU27" i="2"/>
  <c r="CU27" i="2" a="1"/>
  <c r="CV27" i="2" a="1"/>
  <c r="CV27" i="2" s="1"/>
  <c r="CW27" i="2" a="1"/>
  <c r="CW27" i="2" s="1"/>
  <c r="CO28" i="2" a="1"/>
  <c r="CO28" i="2" s="1"/>
  <c r="CP28" i="2"/>
  <c r="CP28" i="2" a="1"/>
  <c r="CR28" i="2"/>
  <c r="CR28" i="2" a="1"/>
  <c r="CS28" i="2" a="1"/>
  <c r="CS28" i="2" s="1"/>
  <c r="CT28" i="2" a="1"/>
  <c r="CT28" i="2" s="1"/>
  <c r="CU28" i="2" a="1"/>
  <c r="CU28" i="2" s="1"/>
  <c r="CV28" i="2"/>
  <c r="CV28" i="2" a="1"/>
  <c r="CW28" i="2" a="1"/>
  <c r="CW28" i="2" s="1"/>
  <c r="CO29" i="2" a="1"/>
  <c r="CO29" i="2" s="1"/>
  <c r="CP29" i="2" a="1"/>
  <c r="CP29" i="2" s="1"/>
  <c r="CR29" i="2"/>
  <c r="CR29" i="2" a="1"/>
  <c r="CS29" i="2" a="1"/>
  <c r="CS29" i="2" s="1"/>
  <c r="CT29" i="2" a="1"/>
  <c r="CT29" i="2" s="1"/>
  <c r="CU29" i="2" a="1"/>
  <c r="CU29" i="2" s="1"/>
  <c r="CV29" i="2"/>
  <c r="CV29" i="2" a="1"/>
  <c r="CW29" i="2" a="1"/>
  <c r="CW29" i="2" s="1"/>
  <c r="CO30" i="2" a="1"/>
  <c r="CO30" i="2" s="1"/>
  <c r="CP30" i="2" a="1"/>
  <c r="CP30" i="2" s="1"/>
  <c r="CR30" i="2" a="1"/>
  <c r="CR30" i="2" s="1"/>
  <c r="CS30" i="2" a="1"/>
  <c r="CS30" i="2" s="1"/>
  <c r="CT30" i="2" a="1"/>
  <c r="CT30" i="2" s="1"/>
  <c r="CU30" i="2"/>
  <c r="CU30" i="2" a="1"/>
  <c r="CV30" i="2" a="1"/>
  <c r="CV30" i="2" s="1"/>
  <c r="CW30" i="2" a="1"/>
  <c r="CW30" i="2" s="1"/>
  <c r="CO31" i="2" a="1"/>
  <c r="CO31" i="2" s="1"/>
  <c r="CP31" i="2"/>
  <c r="CP31" i="2" a="1"/>
  <c r="CR31" i="2" a="1"/>
  <c r="CR31" i="2" s="1"/>
  <c r="CS31" i="2" a="1"/>
  <c r="CS31" i="2" s="1"/>
  <c r="CT31" i="2" a="1"/>
  <c r="CT31" i="2" s="1"/>
  <c r="CU31" i="2"/>
  <c r="CU31" i="2" a="1"/>
  <c r="CV31" i="2" a="1"/>
  <c r="CV31" i="2" s="1"/>
  <c r="CW31" i="2" a="1"/>
  <c r="CW31" i="2" s="1"/>
  <c r="CO32" i="2" a="1"/>
  <c r="CO32" i="2" s="1"/>
  <c r="CP32" i="2"/>
  <c r="CP32" i="2" a="1"/>
  <c r="CR32" i="2"/>
  <c r="CR32" i="2" a="1"/>
  <c r="CS32" i="2" a="1"/>
  <c r="CS32" i="2" s="1"/>
  <c r="CT32" i="2" a="1"/>
  <c r="CT32" i="2" s="1"/>
  <c r="CU32" i="2" a="1"/>
  <c r="CU32" i="2" s="1"/>
  <c r="CV32" i="2"/>
  <c r="CV32" i="2" a="1"/>
  <c r="CW32" i="2" a="1"/>
  <c r="CW32" i="2" s="1"/>
  <c r="CO33" i="2" a="1"/>
  <c r="CO33" i="2" s="1"/>
  <c r="CP33" i="2" a="1"/>
  <c r="CP33" i="2" s="1"/>
  <c r="CR33" i="2"/>
  <c r="CR33" i="2" a="1"/>
  <c r="CS33" i="2" a="1"/>
  <c r="CS33" i="2" s="1"/>
  <c r="CT33" i="2" a="1"/>
  <c r="CT33" i="2" s="1"/>
  <c r="CU33" i="2" a="1"/>
  <c r="CU33" i="2" s="1"/>
  <c r="CV33" i="2"/>
  <c r="CV33" i="2" a="1"/>
  <c r="CW33" i="2" a="1"/>
  <c r="CW33" i="2" s="1"/>
  <c r="CO34" i="2" a="1"/>
  <c r="CO34" i="2" s="1"/>
  <c r="CP34" i="2" a="1"/>
  <c r="CP34" i="2" s="1"/>
  <c r="CR34" i="2" a="1"/>
  <c r="CR34" i="2" s="1"/>
  <c r="CS34" i="2"/>
  <c r="CS34" i="2" a="1"/>
  <c r="CT34" i="2" a="1"/>
  <c r="CT34" i="2" s="1"/>
  <c r="CU34" i="2" a="1"/>
  <c r="CU34" i="2" s="1"/>
  <c r="CV34" i="2" a="1"/>
  <c r="CV34" i="2" s="1"/>
  <c r="CW34" i="2"/>
  <c r="CW34" i="2" a="1"/>
  <c r="CO35" i="2" a="1"/>
  <c r="CO35" i="2" s="1"/>
  <c r="CP35" i="2" a="1"/>
  <c r="CP35" i="2" s="1"/>
  <c r="CR35" i="2" a="1"/>
  <c r="CR35" i="2" s="1"/>
  <c r="CS35" i="2"/>
  <c r="CS35" i="2" a="1"/>
  <c r="CT35" i="2" a="1"/>
  <c r="CT35" i="2" s="1"/>
  <c r="CU35" i="2" a="1"/>
  <c r="CU35" i="2" s="1"/>
  <c r="CV35" i="2" a="1"/>
  <c r="CV35" i="2" s="1"/>
  <c r="CW35" i="2"/>
  <c r="CW35" i="2" a="1"/>
  <c r="CO36" i="2" a="1"/>
  <c r="CO36" i="2" s="1"/>
  <c r="CP36" i="2" a="1"/>
  <c r="CP36" i="2" s="1"/>
  <c r="CR36" i="2"/>
  <c r="CR36" i="2" a="1"/>
  <c r="CS36" i="2" a="1"/>
  <c r="CS36" i="2" s="1"/>
  <c r="CT36" i="2" a="1"/>
  <c r="CT36" i="2" s="1"/>
  <c r="CU36" i="2" a="1"/>
  <c r="CU36" i="2" s="1"/>
  <c r="CV36" i="2"/>
  <c r="CV36" i="2" a="1"/>
  <c r="CW36" i="2" a="1"/>
  <c r="CW36" i="2" s="1"/>
  <c r="CO37" i="2" a="1"/>
  <c r="CO37" i="2" s="1"/>
  <c r="CP37" i="2" a="1"/>
  <c r="CP37" i="2" s="1"/>
  <c r="CR37" i="2"/>
  <c r="CR37" i="2" a="1"/>
  <c r="CS37" i="2" a="1"/>
  <c r="CS37" i="2" s="1"/>
  <c r="CT37" i="2" a="1"/>
  <c r="CT37" i="2" s="1"/>
  <c r="CU37" i="2" a="1"/>
  <c r="CU37" i="2" s="1"/>
  <c r="CV37" i="2"/>
  <c r="CV37" i="2" a="1"/>
  <c r="CW37" i="2" a="1"/>
  <c r="CW37" i="2" s="1"/>
  <c r="CO38" i="2" a="1"/>
  <c r="CO38" i="2" s="1"/>
  <c r="CP38" i="2" a="1"/>
  <c r="CP38" i="2" s="1"/>
  <c r="CR38" i="2" a="1"/>
  <c r="CR38" i="2" s="1"/>
  <c r="CS38" i="2"/>
  <c r="CS38" i="2" a="1"/>
  <c r="CT38" i="2" a="1"/>
  <c r="CT38" i="2" s="1"/>
  <c r="CU38" i="2" a="1"/>
  <c r="CU38" i="2" s="1"/>
  <c r="CV38" i="2" a="1"/>
  <c r="CV38" i="2" s="1"/>
  <c r="CW38" i="2"/>
  <c r="CW38" i="2" a="1"/>
  <c r="CO39" i="2" a="1"/>
  <c r="CO39" i="2" s="1"/>
  <c r="CP39" i="2" a="1"/>
  <c r="CP39" i="2" s="1"/>
  <c r="CR39" i="2" a="1"/>
  <c r="CR39" i="2" s="1"/>
  <c r="CS39" i="2"/>
  <c r="CS39" i="2" a="1"/>
  <c r="CT39" i="2" a="1"/>
  <c r="CT39" i="2" s="1"/>
  <c r="CU39" i="2" a="1"/>
  <c r="CU39" i="2" s="1"/>
  <c r="CV39" i="2" a="1"/>
  <c r="CV39" i="2" s="1"/>
  <c r="CW39" i="2"/>
  <c r="CW39" i="2" a="1"/>
  <c r="CO40" i="2" a="1"/>
  <c r="CO40" i="2" s="1"/>
  <c r="CP40" i="2" a="1"/>
  <c r="CP40" i="2" s="1"/>
  <c r="CR40" i="2"/>
  <c r="CR40" i="2" a="1"/>
  <c r="CS40" i="2" a="1"/>
  <c r="CS40" i="2" s="1"/>
  <c r="CT40" i="2" a="1"/>
  <c r="CT40" i="2" s="1"/>
  <c r="CU40" i="2" a="1"/>
  <c r="CU40" i="2" s="1"/>
  <c r="CV40" i="2"/>
  <c r="CV40" i="2" a="1"/>
  <c r="CW40" i="2" a="1"/>
  <c r="CW40" i="2" s="1"/>
  <c r="CO41" i="2" a="1"/>
  <c r="CO41" i="2" s="1"/>
  <c r="CP41" i="2" a="1"/>
  <c r="CP41" i="2" s="1"/>
  <c r="CR41" i="2"/>
  <c r="CR41" i="2" a="1"/>
  <c r="CS41" i="2" a="1"/>
  <c r="CS41" i="2" s="1"/>
  <c r="CT41" i="2" a="1"/>
  <c r="CT41" i="2" s="1"/>
  <c r="CU41" i="2" a="1"/>
  <c r="CU41" i="2" s="1"/>
  <c r="CV41" i="2"/>
  <c r="CV41" i="2" a="1"/>
  <c r="CW41" i="2" a="1"/>
  <c r="CW41" i="2" s="1"/>
  <c r="CO42" i="2" a="1"/>
  <c r="CO42" i="2" s="1"/>
  <c r="CP42" i="2" a="1"/>
  <c r="CP42" i="2" s="1"/>
  <c r="CR42" i="2" a="1"/>
  <c r="CR42" i="2" s="1"/>
  <c r="CS42" i="2"/>
  <c r="CS42" i="2" a="1"/>
  <c r="CT42" i="2" a="1"/>
  <c r="CT42" i="2" s="1"/>
  <c r="CU42" i="2" a="1"/>
  <c r="CU42" i="2" s="1"/>
  <c r="CV42" i="2" a="1"/>
  <c r="CV42" i="2" s="1"/>
  <c r="CW42" i="2"/>
  <c r="CW42" i="2" a="1"/>
  <c r="CO43" i="2" a="1"/>
  <c r="CO43" i="2" s="1"/>
  <c r="CP43" i="2" a="1"/>
  <c r="CP43" i="2" s="1"/>
  <c r="CR43" i="2" a="1"/>
  <c r="CR43" i="2" s="1"/>
  <c r="CS43" i="2"/>
  <c r="CS43" i="2" a="1"/>
  <c r="CT43" i="2" a="1"/>
  <c r="CT43" i="2" s="1"/>
  <c r="CU43" i="2" a="1"/>
  <c r="CU43" i="2" s="1"/>
  <c r="CV43" i="2" a="1"/>
  <c r="CV43" i="2" s="1"/>
  <c r="CW43" i="2"/>
  <c r="CW43" i="2" a="1"/>
  <c r="CO44" i="2" a="1"/>
  <c r="CO44" i="2" s="1"/>
  <c r="CP44" i="2" a="1"/>
  <c r="CP44" i="2" s="1"/>
  <c r="CR44" i="2"/>
  <c r="CR44" i="2" a="1"/>
  <c r="CS44" i="2" a="1"/>
  <c r="CS44" i="2" s="1"/>
  <c r="CT44" i="2" a="1"/>
  <c r="CT44" i="2" s="1"/>
  <c r="CU44" i="2" a="1"/>
  <c r="CU44" i="2" s="1"/>
  <c r="CV44" i="2"/>
  <c r="CV44" i="2" a="1"/>
  <c r="CW44" i="2" a="1"/>
  <c r="CW44" i="2" s="1"/>
  <c r="CO45" i="2" a="1"/>
  <c r="CO45" i="2" s="1"/>
  <c r="CP45" i="2" a="1"/>
  <c r="CP45" i="2" s="1"/>
  <c r="CR45" i="2"/>
  <c r="CR45" i="2" a="1"/>
  <c r="CS45" i="2" a="1"/>
  <c r="CS45" i="2" s="1"/>
  <c r="CT45" i="2" a="1"/>
  <c r="CT45" i="2" s="1"/>
  <c r="CU45" i="2" a="1"/>
  <c r="CU45" i="2" s="1"/>
  <c r="CV45" i="2"/>
  <c r="CV45" i="2" a="1"/>
  <c r="CW45" i="2" a="1"/>
  <c r="CW45" i="2" s="1"/>
  <c r="CO46" i="2" a="1"/>
  <c r="CO46" i="2" s="1"/>
  <c r="CP46" i="2" a="1"/>
  <c r="CP46" i="2" s="1"/>
  <c r="CR46" i="2" a="1"/>
  <c r="CR46" i="2" s="1"/>
  <c r="CS46" i="2"/>
  <c r="CS46" i="2" a="1"/>
  <c r="CT46" i="2" a="1"/>
  <c r="CT46" i="2" s="1"/>
  <c r="CU46" i="2" a="1"/>
  <c r="CU46" i="2" s="1"/>
  <c r="CV46" i="2" a="1"/>
  <c r="CV46" i="2" s="1"/>
  <c r="CW46" i="2"/>
  <c r="CW46" i="2" a="1"/>
  <c r="CO47" i="2" a="1"/>
  <c r="CO47" i="2" s="1"/>
  <c r="CP47" i="2" a="1"/>
  <c r="CP47" i="2" s="1"/>
  <c r="CR47" i="2"/>
  <c r="CR47" i="2" a="1"/>
  <c r="CS47" i="2"/>
  <c r="CS47" i="2" a="1"/>
  <c r="CT47" i="2" a="1"/>
  <c r="CT47" i="2" s="1"/>
  <c r="CU47" i="2"/>
  <c r="CU47" i="2" a="1"/>
  <c r="CV47" i="2" a="1"/>
  <c r="CV47" i="2" s="1"/>
  <c r="CW47" i="2" a="1"/>
  <c r="CW47" i="2" s="1"/>
  <c r="CO48" i="2" a="1"/>
  <c r="CO48" i="2" s="1"/>
  <c r="CP48" i="2" a="1"/>
  <c r="CP48" i="2" s="1"/>
  <c r="CR48" i="2"/>
  <c r="CR48" i="2" a="1"/>
  <c r="CS48" i="2" a="1"/>
  <c r="CS48" i="2" s="1"/>
  <c r="CT48" i="2" a="1"/>
  <c r="CT48" i="2" s="1"/>
  <c r="CU48" i="2" a="1"/>
  <c r="CU48" i="2" s="1"/>
  <c r="CV48" i="2" a="1"/>
  <c r="CV48" i="2" s="1"/>
  <c r="CW48" i="2" a="1"/>
  <c r="CW48" i="2" s="1"/>
  <c r="CO49" i="2" a="1"/>
  <c r="CO49" i="2" s="1"/>
  <c r="CP49" i="2" a="1"/>
  <c r="CP49" i="2" s="1"/>
  <c r="CR49" i="2" a="1"/>
  <c r="CR49" i="2" s="1"/>
  <c r="CS49" i="2"/>
  <c r="CS49" i="2" a="1"/>
  <c r="CT49" i="2" a="1"/>
  <c r="CT49" i="2" s="1"/>
  <c r="CU49" i="2" a="1"/>
  <c r="CU49" i="2" s="1"/>
  <c r="CV49" i="2" a="1"/>
  <c r="CV49" i="2" s="1"/>
  <c r="CW49" i="2" a="1"/>
  <c r="CW49" i="2" s="1"/>
  <c r="CO50" i="2" a="1"/>
  <c r="CO50" i="2" s="1"/>
  <c r="CP50" i="2" a="1"/>
  <c r="CP50" i="2" s="1"/>
  <c r="CR50" i="2" a="1"/>
  <c r="CR50" i="2" s="1"/>
  <c r="CS50" i="2"/>
  <c r="CS50" i="2" a="1"/>
  <c r="CT50" i="2" a="1"/>
  <c r="CT50" i="2" s="1"/>
  <c r="CU50" i="2" a="1"/>
  <c r="CU50" i="2" s="1"/>
  <c r="CV50" i="2" a="1"/>
  <c r="CV50" i="2" s="1"/>
  <c r="CW50" i="2" a="1"/>
  <c r="CW50" i="2" s="1"/>
  <c r="D53" i="2" a="1"/>
  <c r="D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K53" i="2" a="1"/>
  <c r="K53" i="2" s="1"/>
  <c r="L53" i="2" a="1"/>
  <c r="L53" i="2" s="1"/>
  <c r="M53" i="2" a="1"/>
  <c r="M53" i="2" s="1"/>
  <c r="N53" i="2" a="1"/>
  <c r="N53" i="2" s="1"/>
  <c r="O53" i="2" a="1"/>
  <c r="O53" i="2" s="1"/>
  <c r="P53" i="2" a="1"/>
  <c r="P53" i="2" s="1"/>
  <c r="Q53" i="2" a="1"/>
  <c r="Q53" i="2" s="1"/>
  <c r="R53" i="2" a="1"/>
  <c r="R53" i="2" s="1"/>
  <c r="S53" i="2" a="1"/>
  <c r="S53" i="2" s="1"/>
  <c r="T53" i="2" a="1"/>
  <c r="T53" i="2" s="1"/>
  <c r="U53" i="2" a="1"/>
  <c r="U53" i="2" s="1"/>
  <c r="V53" i="2" a="1"/>
  <c r="V53" i="2" s="1"/>
  <c r="W53" i="2" a="1"/>
  <c r="W53" i="2" s="1"/>
  <c r="X53" i="2" a="1"/>
  <c r="X53" i="2" s="1"/>
  <c r="Y53" i="2" a="1"/>
  <c r="Y53" i="2" s="1"/>
  <c r="Z53" i="2" a="1"/>
  <c r="Z53" i="2" s="1"/>
  <c r="AA53" i="2" a="1"/>
  <c r="AA53" i="2" s="1"/>
  <c r="AB53" i="2" a="1"/>
  <c r="AB53" i="2" s="1"/>
  <c r="AC53" i="2" a="1"/>
  <c r="AC53" i="2" s="1"/>
  <c r="AD53" i="2" a="1"/>
  <c r="AD53" i="2" s="1"/>
  <c r="AE53" i="2" a="1"/>
  <c r="AE53" i="2" s="1"/>
  <c r="AF53" i="2" a="1"/>
  <c r="AF53" i="2" s="1"/>
  <c r="AG53" i="2" a="1"/>
  <c r="AG53" i="2" s="1"/>
  <c r="AH53" i="2" a="1"/>
  <c r="AH53" i="2" s="1"/>
  <c r="AI53" i="2" a="1"/>
  <c r="AI53" i="2" s="1"/>
  <c r="AJ53" i="2" a="1"/>
  <c r="AJ53" i="2" s="1"/>
  <c r="AK53" i="2" a="1"/>
  <c r="AK53" i="2" s="1"/>
  <c r="AL53" i="2" a="1"/>
  <c r="AL53" i="2" s="1"/>
  <c r="AM53" i="2" a="1"/>
  <c r="AM53" i="2" s="1"/>
  <c r="AN53" i="2" a="1"/>
  <c r="AN53" i="2" s="1"/>
  <c r="AO53" i="2" a="1"/>
  <c r="AO53" i="2" s="1"/>
  <c r="AP53" i="2" a="1"/>
  <c r="AP53" i="2" s="1"/>
  <c r="AQ53" i="2" a="1"/>
  <c r="AQ53" i="2" s="1"/>
  <c r="AR53" i="2" a="1"/>
  <c r="AR53" i="2" s="1"/>
  <c r="AS53" i="2" a="1"/>
  <c r="AS53" i="2" s="1"/>
  <c r="AT53" i="2" a="1"/>
  <c r="AT53" i="2" s="1"/>
  <c r="AU53" i="2" a="1"/>
  <c r="AU53" i="2" s="1"/>
  <c r="AV53" i="2" a="1"/>
  <c r="AV53" i="2" s="1"/>
  <c r="AW53" i="2" a="1"/>
  <c r="AW53" i="2" s="1"/>
  <c r="AX53" i="2" a="1"/>
  <c r="AX53" i="2" s="1"/>
  <c r="AY53" i="2" a="1"/>
  <c r="AY53" i="2" s="1"/>
  <c r="AZ53" i="2" a="1"/>
  <c r="AZ53" i="2" s="1"/>
  <c r="BA53" i="2" a="1"/>
  <c r="BA53" i="2" s="1"/>
  <c r="BB53" i="2" a="1"/>
  <c r="BB53" i="2" s="1"/>
  <c r="BC53" i="2" a="1"/>
  <c r="BC53" i="2" s="1"/>
  <c r="BD53" i="2" a="1"/>
  <c r="BD53" i="2" s="1"/>
  <c r="BE53" i="2" a="1"/>
  <c r="BE53" i="2" s="1"/>
  <c r="BF53" i="2" a="1"/>
  <c r="BF53" i="2" s="1"/>
  <c r="D54" i="2" a="1"/>
  <c r="D54" i="2" s="1"/>
  <c r="E54" i="2" a="1"/>
  <c r="E54" i="2" s="1"/>
  <c r="F54" i="2" a="1"/>
  <c r="F54" i="2" s="1"/>
  <c r="G54" i="2" a="1"/>
  <c r="G54" i="2" s="1"/>
  <c r="H54" i="2" a="1"/>
  <c r="H54" i="2" s="1"/>
  <c r="I54" i="2" a="1"/>
  <c r="I54" i="2" s="1"/>
  <c r="J54" i="2" a="1"/>
  <c r="J54" i="2" s="1"/>
  <c r="K54" i="2" a="1"/>
  <c r="K54" i="2" s="1"/>
  <c r="L54" i="2" a="1"/>
  <c r="L54" i="2" s="1"/>
  <c r="M54" i="2" a="1"/>
  <c r="M54" i="2" s="1"/>
  <c r="N54" i="2" a="1"/>
  <c r="N54" i="2" s="1"/>
  <c r="O54" i="2" a="1"/>
  <c r="O54" i="2" s="1"/>
  <c r="P54" i="2" a="1"/>
  <c r="P54" i="2" s="1"/>
  <c r="Q54" i="2" a="1"/>
  <c r="Q54" i="2" s="1"/>
  <c r="R54" i="2" a="1"/>
  <c r="R54" i="2" s="1"/>
  <c r="S54" i="2" a="1"/>
  <c r="S54" i="2" s="1"/>
  <c r="T54" i="2" a="1"/>
  <c r="T54" i="2" s="1"/>
  <c r="U54" i="2" a="1"/>
  <c r="U54" i="2" s="1"/>
  <c r="V54" i="2" a="1"/>
  <c r="V54" i="2" s="1"/>
  <c r="W54" i="2" a="1"/>
  <c r="W54" i="2" s="1"/>
  <c r="X54" i="2" a="1"/>
  <c r="X54" i="2" s="1"/>
  <c r="Y54" i="2" a="1"/>
  <c r="Y54" i="2" s="1"/>
  <c r="Z54" i="2"/>
  <c r="Z54" i="2" a="1"/>
  <c r="AA54" i="2" a="1"/>
  <c r="AA54" i="2" s="1"/>
  <c r="AB54" i="2" a="1"/>
  <c r="AB54" i="2" s="1"/>
  <c r="AC54" i="2" a="1"/>
  <c r="AC54" i="2" s="1"/>
  <c r="AD54" i="2"/>
  <c r="AD54" i="2" a="1"/>
  <c r="AE54" i="2" a="1"/>
  <c r="AE54" i="2" s="1"/>
  <c r="AF54" i="2" a="1"/>
  <c r="AF54" i="2" s="1"/>
  <c r="AG54" i="2" a="1"/>
  <c r="AG54" i="2" s="1"/>
  <c r="AH54" i="2"/>
  <c r="AH54" i="2" a="1"/>
  <c r="AI54" i="2" a="1"/>
  <c r="AI54" i="2" s="1"/>
  <c r="AJ54" i="2" a="1"/>
  <c r="AJ54" i="2" s="1"/>
  <c r="AK54" i="2" a="1"/>
  <c r="AK54" i="2" s="1"/>
  <c r="AL54" i="2"/>
  <c r="AL54" i="2" a="1"/>
  <c r="AM54" i="2" a="1"/>
  <c r="AM54" i="2" s="1"/>
  <c r="AN54" i="2" a="1"/>
  <c r="AN54" i="2" s="1"/>
  <c r="AO54" i="2" a="1"/>
  <c r="AO54" i="2" s="1"/>
  <c r="AP54" i="2"/>
  <c r="AP54" i="2" a="1"/>
  <c r="AQ54" i="2" a="1"/>
  <c r="AQ54" i="2" s="1"/>
  <c r="AR54" i="2" a="1"/>
  <c r="AR54" i="2" s="1"/>
  <c r="AS54" i="2" a="1"/>
  <c r="AS54" i="2" s="1"/>
  <c r="AT54" i="2"/>
  <c r="AT54" i="2" a="1"/>
  <c r="AU54" i="2" a="1"/>
  <c r="AU54" i="2" s="1"/>
  <c r="AV54" i="2" a="1"/>
  <c r="AV54" i="2" s="1"/>
  <c r="AW54" i="2" a="1"/>
  <c r="AW54" i="2" s="1"/>
  <c r="AX54" i="2"/>
  <c r="AX54" i="2" a="1"/>
  <c r="AY54" i="2" a="1"/>
  <c r="AY54" i="2" s="1"/>
  <c r="AZ54" i="2" a="1"/>
  <c r="AZ54" i="2" s="1"/>
  <c r="BA54" i="2" a="1"/>
  <c r="BA54" i="2" s="1"/>
  <c r="BB54" i="2"/>
  <c r="BB54" i="2" a="1"/>
  <c r="BC54" i="2" a="1"/>
  <c r="BC54" i="2" s="1"/>
  <c r="BD54" i="2" a="1"/>
  <c r="BD54" i="2" s="1"/>
  <c r="BE54" i="2" a="1"/>
  <c r="BE54" i="2" s="1"/>
  <c r="BF54" i="2"/>
  <c r="BF54" i="2" a="1"/>
  <c r="CE62" i="2"/>
  <c r="CE63" i="2"/>
  <c r="CE64" i="2"/>
  <c r="CE65" i="2"/>
  <c r="CE66" i="2"/>
  <c r="CE67" i="2"/>
  <c r="CE68" i="2"/>
  <c r="CE69" i="2"/>
  <c r="CE70" i="2"/>
  <c r="CE71" i="2"/>
  <c r="CE72" i="2"/>
  <c r="D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W2" i="10"/>
  <c r="X2" i="10"/>
  <c r="Y2" i="10"/>
  <c r="W3" i="10"/>
  <c r="X3" i="10"/>
  <c r="Y3" i="10"/>
  <c r="W4" i="10"/>
  <c r="X4" i="10"/>
  <c r="Y4" i="10"/>
  <c r="W5" i="10"/>
  <c r="X5" i="10"/>
  <c r="Y5" i="10"/>
  <c r="W6" i="10"/>
  <c r="X6" i="10"/>
  <c r="Y6" i="10"/>
  <c r="W7" i="10"/>
  <c r="X7" i="10"/>
  <c r="Y7" i="10"/>
  <c r="W8" i="10"/>
  <c r="X8" i="10"/>
  <c r="Y8" i="10"/>
  <c r="W9" i="10"/>
  <c r="X9" i="10"/>
  <c r="Y9" i="10"/>
  <c r="W10" i="10"/>
  <c r="X10" i="10"/>
  <c r="Y10" i="10"/>
  <c r="W11" i="10"/>
  <c r="X11" i="10"/>
  <c r="Y11" i="10"/>
  <c r="W14" i="10"/>
  <c r="W15" i="10"/>
  <c r="W16" i="10"/>
  <c r="W17" i="10"/>
  <c r="W18" i="10"/>
  <c r="W19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C47" i="3" a="1"/>
  <c r="E47" i="3" s="1"/>
  <c r="F47" i="3"/>
  <c r="I47" i="3"/>
  <c r="K47" i="3"/>
  <c r="N47" i="3"/>
  <c r="Q47" i="3"/>
  <c r="S47" i="3"/>
  <c r="V47" i="3"/>
  <c r="Y47" i="3"/>
  <c r="AA47" i="3"/>
  <c r="AD47" i="3"/>
  <c r="AG47" i="3"/>
  <c r="AI47" i="3"/>
  <c r="AL47" i="3"/>
  <c r="AO47" i="3"/>
  <c r="AQ47" i="3"/>
  <c r="AT47" i="3"/>
  <c r="AW47" i="3"/>
  <c r="AY47" i="3"/>
  <c r="BB47" i="3"/>
  <c r="BE47" i="3"/>
  <c r="D48" i="3"/>
  <c r="G48" i="3"/>
  <c r="J48" i="3"/>
  <c r="L48" i="3"/>
  <c r="O48" i="3"/>
  <c r="R48" i="3"/>
  <c r="T48" i="3"/>
  <c r="W48" i="3"/>
  <c r="Z48" i="3"/>
  <c r="AB48" i="3"/>
  <c r="AE48" i="3"/>
  <c r="AH48" i="3"/>
  <c r="AJ48" i="3"/>
  <c r="AM48" i="3"/>
  <c r="AP48" i="3"/>
  <c r="AR48" i="3"/>
  <c r="AU48" i="3"/>
  <c r="AX48" i="3"/>
  <c r="AZ48" i="3"/>
  <c r="BC48" i="3"/>
  <c r="C52" i="3" a="1"/>
  <c r="K52" i="3"/>
  <c r="S52" i="3"/>
  <c r="AA52" i="3"/>
  <c r="AF52" i="3"/>
  <c r="AL52" i="3"/>
  <c r="AQ52" i="3"/>
  <c r="AV52" i="3"/>
  <c r="BB52" i="3"/>
  <c r="BG52" i="3"/>
  <c r="BL52" i="3"/>
  <c r="BR52" i="3"/>
  <c r="BW52" i="3"/>
  <c r="CB52" i="3"/>
  <c r="C53" i="3"/>
  <c r="D15" i="4"/>
  <c r="L15" i="4"/>
  <c r="T15" i="4"/>
  <c r="AB15" i="4"/>
  <c r="AJ15" i="4"/>
  <c r="A16" i="4"/>
  <c r="B16" i="4"/>
  <c r="B15" i="4" s="1"/>
  <c r="C16" i="4"/>
  <c r="C15" i="4" s="1"/>
  <c r="D16" i="4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M16" i="4"/>
  <c r="M15" i="4" s="1"/>
  <c r="N16" i="4"/>
  <c r="N15" i="4" s="1"/>
  <c r="O16" i="4"/>
  <c r="O15" i="4" s="1"/>
  <c r="P16" i="4"/>
  <c r="P15" i="4" s="1"/>
  <c r="Q16" i="4"/>
  <c r="Q15" i="4" s="1"/>
  <c r="R16" i="4"/>
  <c r="R15" i="4" s="1"/>
  <c r="S16" i="4"/>
  <c r="S15" i="4" s="1"/>
  <c r="T16" i="4"/>
  <c r="U16" i="4"/>
  <c r="U15" i="4" s="1"/>
  <c r="V16" i="4"/>
  <c r="V15" i="4" s="1"/>
  <c r="W16" i="4"/>
  <c r="W15" i="4" s="1"/>
  <c r="X16" i="4"/>
  <c r="X15" i="4" s="1"/>
  <c r="Y16" i="4"/>
  <c r="Y15" i="4" s="1"/>
  <c r="Z16" i="4"/>
  <c r="Z15" i="4" s="1"/>
  <c r="AA16" i="4"/>
  <c r="AA15" i="4" s="1"/>
  <c r="AB16" i="4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A41" i="4" s="1"/>
  <c r="A42" i="4" s="1"/>
  <c r="B29" i="4"/>
  <c r="B41" i="4" s="1"/>
  <c r="C29" i="4"/>
  <c r="C41" i="4" s="1"/>
  <c r="C42" i="4" s="1"/>
  <c r="D29" i="4"/>
  <c r="E29" i="4"/>
  <c r="E41" i="4" s="1"/>
  <c r="E42" i="4" s="1"/>
  <c r="E43" i="4" s="1"/>
  <c r="F29" i="4"/>
  <c r="F41" i="4" s="1"/>
  <c r="G29" i="4"/>
  <c r="H29" i="4"/>
  <c r="I29" i="4"/>
  <c r="J29" i="4"/>
  <c r="J41" i="4" s="1"/>
  <c r="K29" i="4"/>
  <c r="L29" i="4"/>
  <c r="M29" i="4"/>
  <c r="M41" i="4" s="1"/>
  <c r="M42" i="4" s="1"/>
  <c r="M43" i="4" s="1"/>
  <c r="N29" i="4"/>
  <c r="N41" i="4" s="1"/>
  <c r="N42" i="4" s="1"/>
  <c r="O29" i="4"/>
  <c r="O41" i="4" s="1"/>
  <c r="O42" i="4" s="1"/>
  <c r="P29" i="4"/>
  <c r="Q29" i="4"/>
  <c r="Q41" i="4" s="1"/>
  <c r="Q42" i="4" s="1"/>
  <c r="R29" i="4"/>
  <c r="R41" i="4" s="1"/>
  <c r="S29" i="4"/>
  <c r="S41" i="4" s="1"/>
  <c r="S42" i="4" s="1"/>
  <c r="T29" i="4"/>
  <c r="U29" i="4"/>
  <c r="U41" i="4" s="1"/>
  <c r="U42" i="4" s="1"/>
  <c r="U43" i="4" s="1"/>
  <c r="V29" i="4"/>
  <c r="V41" i="4" s="1"/>
  <c r="W29" i="4"/>
  <c r="X29" i="4"/>
  <c r="Y29" i="4"/>
  <c r="Y41" i="4" s="1"/>
  <c r="Y42" i="4" s="1"/>
  <c r="Z29" i="4"/>
  <c r="Z41" i="4" s="1"/>
  <c r="AA29" i="4"/>
  <c r="AB29" i="4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G29" i="4"/>
  <c r="AG41" i="4" s="1"/>
  <c r="AG42" i="4" s="1"/>
  <c r="AH29" i="4"/>
  <c r="AH41" i="4" s="1"/>
  <c r="AI29" i="4"/>
  <c r="AI41" i="4" s="1"/>
  <c r="AI42" i="4" s="1"/>
  <c r="AJ29" i="4"/>
  <c r="AK29" i="4"/>
  <c r="AK41" i="4" s="1"/>
  <c r="AK42" i="4" s="1"/>
  <c r="AK43" i="4" s="1"/>
  <c r="AL29" i="4"/>
  <c r="AL41" i="4" s="1"/>
  <c r="AM29" i="4"/>
  <c r="AN29" i="4"/>
  <c r="AO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D41" i="4"/>
  <c r="D42" i="4" s="1"/>
  <c r="G41" i="4"/>
  <c r="G42" i="4" s="1"/>
  <c r="H41" i="4"/>
  <c r="H42" i="4" s="1"/>
  <c r="I41" i="4"/>
  <c r="I42" i="4" s="1"/>
  <c r="K41" i="4"/>
  <c r="L41" i="4"/>
  <c r="L42" i="4" s="1"/>
  <c r="P41" i="4"/>
  <c r="P42" i="4" s="1"/>
  <c r="T41" i="4"/>
  <c r="T42" i="4" s="1"/>
  <c r="W41" i="4"/>
  <c r="W42" i="4" s="1"/>
  <c r="W43" i="4" s="1"/>
  <c r="X41" i="4"/>
  <c r="X42" i="4" s="1"/>
  <c r="AA41" i="4"/>
  <c r="AB41" i="4"/>
  <c r="AB42" i="4" s="1"/>
  <c r="AF41" i="4"/>
  <c r="AF42" i="4" s="1"/>
  <c r="AJ41" i="4"/>
  <c r="AJ42" i="4" s="1"/>
  <c r="AM41" i="4"/>
  <c r="AM42" i="4" s="1"/>
  <c r="AN41" i="4"/>
  <c r="AN42" i="4" s="1"/>
  <c r="AO41" i="4"/>
  <c r="AO42" i="4" s="1"/>
  <c r="B42" i="4"/>
  <c r="F42" i="4"/>
  <c r="J42" i="4"/>
  <c r="K42" i="4"/>
  <c r="R42" i="4"/>
  <c r="V42" i="4"/>
  <c r="Z42" i="4"/>
  <c r="AA42" i="4"/>
  <c r="AH42" i="4"/>
  <c r="AL42" i="4"/>
  <c r="H44" i="4"/>
  <c r="H45" i="4" s="1"/>
  <c r="D45" i="4" a="1"/>
  <c r="D45" i="4" s="1"/>
  <c r="D46" i="4" a="1"/>
  <c r="D46" i="4" s="1"/>
  <c r="L46" i="4"/>
  <c r="D47" i="4" a="1"/>
  <c r="D47" i="4" s="1"/>
  <c r="D48" i="4" a="1"/>
  <c r="D48" i="4" s="1"/>
  <c r="D49" i="4" a="1"/>
  <c r="D49" i="4" s="1"/>
  <c r="D50" i="4" a="1"/>
  <c r="D50" i="4" s="1"/>
  <c r="D51" i="4"/>
  <c r="D51" i="4" a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/>
  <c r="D59" i="4" a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/>
  <c r="D75" i="4" a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A4" i="7"/>
  <c r="A5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Y5" i="1"/>
  <c r="Z5" i="1"/>
  <c r="AA5" i="1"/>
  <c r="AB5" i="1"/>
  <c r="AC5" i="1"/>
  <c r="AD5" i="1"/>
  <c r="A6" i="1"/>
  <c r="Y6" i="1"/>
  <c r="Z6" i="1"/>
  <c r="AA6" i="1"/>
  <c r="AB6" i="1"/>
  <c r="AC6" i="1"/>
  <c r="AD6" i="1"/>
  <c r="A7" i="1"/>
  <c r="Y7" i="1"/>
  <c r="Z7" i="1"/>
  <c r="AA7" i="1"/>
  <c r="AB7" i="1"/>
  <c r="AC7" i="1"/>
  <c r="AD7" i="1"/>
  <c r="A8" i="1"/>
  <c r="Y8" i="1"/>
  <c r="Z8" i="1"/>
  <c r="AA8" i="1"/>
  <c r="AB8" i="1"/>
  <c r="AC8" i="1"/>
  <c r="AD8" i="1"/>
  <c r="A11" i="1"/>
  <c r="Y9" i="1"/>
  <c r="Z9" i="1"/>
  <c r="AA9" i="1"/>
  <c r="AB9" i="1"/>
  <c r="AC9" i="1"/>
  <c r="AD9" i="1"/>
  <c r="A10" i="1"/>
  <c r="Y10" i="1"/>
  <c r="Z10" i="1"/>
  <c r="AA10" i="1"/>
  <c r="AB10" i="1"/>
  <c r="AC10" i="1"/>
  <c r="AD10" i="1"/>
  <c r="Y11" i="1"/>
  <c r="Z11" i="1"/>
  <c r="AA11" i="1"/>
  <c r="AB11" i="1"/>
  <c r="AC11" i="1"/>
  <c r="AD11" i="1"/>
  <c r="Y12" i="1"/>
  <c r="Z12" i="1"/>
  <c r="AA12" i="1"/>
  <c r="AB12" i="1"/>
  <c r="AC12" i="1"/>
  <c r="AD12" i="1"/>
  <c r="A13" i="1"/>
  <c r="Y13" i="1"/>
  <c r="Z13" i="1"/>
  <c r="AA13" i="1"/>
  <c r="AB13" i="1"/>
  <c r="AC13" i="1"/>
  <c r="AD13" i="1"/>
  <c r="A14" i="1"/>
  <c r="Y14" i="1"/>
  <c r="Z14" i="1"/>
  <c r="AA14" i="1"/>
  <c r="AB14" i="1"/>
  <c r="AC14" i="1"/>
  <c r="AD14" i="1"/>
  <c r="A15" i="1"/>
  <c r="Y15" i="1"/>
  <c r="Z15" i="1"/>
  <c r="AA15" i="1"/>
  <c r="AB15" i="1"/>
  <c r="AC15" i="1"/>
  <c r="AD15" i="1"/>
  <c r="A16" i="1"/>
  <c r="Y16" i="1"/>
  <c r="Z16" i="1"/>
  <c r="AA16" i="1"/>
  <c r="AB16" i="1"/>
  <c r="AC16" i="1"/>
  <c r="AD16" i="1"/>
  <c r="A17" i="1"/>
  <c r="Y17" i="1"/>
  <c r="Z17" i="1"/>
  <c r="AA17" i="1"/>
  <c r="AB17" i="1"/>
  <c r="AC17" i="1"/>
  <c r="AD17" i="1"/>
  <c r="A18" i="1"/>
  <c r="Y18" i="1"/>
  <c r="Z18" i="1"/>
  <c r="AA18" i="1"/>
  <c r="AB18" i="1"/>
  <c r="AC18" i="1"/>
  <c r="AD18" i="1"/>
  <c r="Y19" i="1"/>
  <c r="Z19" i="1"/>
  <c r="AA19" i="1"/>
  <c r="AB19" i="1"/>
  <c r="AC19" i="1"/>
  <c r="AD19" i="1"/>
  <c r="Y20" i="1"/>
  <c r="Z20" i="1"/>
  <c r="AA20" i="1"/>
  <c r="AB20" i="1"/>
  <c r="AC20" i="1"/>
  <c r="AD20" i="1"/>
  <c r="Y21" i="1"/>
  <c r="Z21" i="1"/>
  <c r="AA21" i="1"/>
  <c r="AB21" i="1"/>
  <c r="AC21" i="1"/>
  <c r="AD21" i="1"/>
  <c r="Y22" i="1"/>
  <c r="Z22" i="1"/>
  <c r="AA22" i="1"/>
  <c r="AB22" i="1"/>
  <c r="AC22" i="1"/>
  <c r="AD22" i="1"/>
  <c r="Y23" i="1"/>
  <c r="Z23" i="1"/>
  <c r="AA23" i="1"/>
  <c r="AB23" i="1"/>
  <c r="AC23" i="1"/>
  <c r="AD23" i="1"/>
  <c r="Y24" i="1"/>
  <c r="Z24" i="1"/>
  <c r="AA24" i="1"/>
  <c r="AB24" i="1"/>
  <c r="AC24" i="1"/>
  <c r="AD24" i="1"/>
  <c r="Y25" i="1"/>
  <c r="Z25" i="1"/>
  <c r="AA25" i="1"/>
  <c r="AB25" i="1"/>
  <c r="AC25" i="1"/>
  <c r="AD25" i="1"/>
  <c r="Y26" i="1"/>
  <c r="Z26" i="1"/>
  <c r="AA26" i="1"/>
  <c r="AB26" i="1"/>
  <c r="AC26" i="1"/>
  <c r="AD26" i="1"/>
  <c r="Y27" i="1"/>
  <c r="Z27" i="1"/>
  <c r="AA27" i="1"/>
  <c r="AB27" i="1"/>
  <c r="AC27" i="1"/>
  <c r="AD27" i="1"/>
  <c r="Y28" i="1"/>
  <c r="Z28" i="1"/>
  <c r="AA28" i="1"/>
  <c r="AB28" i="1"/>
  <c r="AC28" i="1"/>
  <c r="AD28" i="1"/>
  <c r="Y29" i="1"/>
  <c r="Z29" i="1"/>
  <c r="AA29" i="1"/>
  <c r="AB29" i="1"/>
  <c r="AC29" i="1"/>
  <c r="AD29" i="1"/>
  <c r="Y30" i="1"/>
  <c r="Z30" i="1"/>
  <c r="AA30" i="1"/>
  <c r="AB30" i="1"/>
  <c r="AC30" i="1"/>
  <c r="AD30" i="1"/>
  <c r="Y31" i="1"/>
  <c r="Z31" i="1"/>
  <c r="AA31" i="1"/>
  <c r="AB31" i="1"/>
  <c r="AC31" i="1"/>
  <c r="AD31" i="1"/>
  <c r="Y32" i="1"/>
  <c r="Z32" i="1"/>
  <c r="AA32" i="1"/>
  <c r="AB32" i="1"/>
  <c r="AC32" i="1"/>
  <c r="AD32" i="1"/>
  <c r="Y33" i="1"/>
  <c r="Z33" i="1"/>
  <c r="AA33" i="1"/>
  <c r="AB33" i="1"/>
  <c r="AC33" i="1"/>
  <c r="AD33" i="1"/>
  <c r="Y34" i="1"/>
  <c r="Z34" i="1"/>
  <c r="AA34" i="1"/>
  <c r="AB34" i="1"/>
  <c r="AC34" i="1"/>
  <c r="AD34" i="1"/>
  <c r="Y35" i="1"/>
  <c r="Z35" i="1"/>
  <c r="AA35" i="1"/>
  <c r="AB35" i="1"/>
  <c r="AC35" i="1"/>
  <c r="AD35" i="1"/>
  <c r="Y36" i="1"/>
  <c r="Z36" i="1"/>
  <c r="AA36" i="1"/>
  <c r="AB36" i="1"/>
  <c r="AC36" i="1"/>
  <c r="AD36" i="1"/>
  <c r="Y37" i="1"/>
  <c r="Z37" i="1"/>
  <c r="AA37" i="1"/>
  <c r="AB37" i="1"/>
  <c r="AC37" i="1"/>
  <c r="AD37" i="1"/>
  <c r="Y38" i="1"/>
  <c r="Z38" i="1"/>
  <c r="AA38" i="1"/>
  <c r="AB38" i="1"/>
  <c r="AC38" i="1"/>
  <c r="AD38" i="1"/>
  <c r="Y39" i="1"/>
  <c r="Z39" i="1"/>
  <c r="AA39" i="1"/>
  <c r="AB39" i="1"/>
  <c r="AC39" i="1"/>
  <c r="AD39" i="1"/>
  <c r="Y40" i="1"/>
  <c r="Z40" i="1"/>
  <c r="AA40" i="1"/>
  <c r="AB40" i="1"/>
  <c r="AC40" i="1"/>
  <c r="AD40" i="1"/>
  <c r="Y41" i="1"/>
  <c r="Z41" i="1"/>
  <c r="AA41" i="1"/>
  <c r="AB41" i="1"/>
  <c r="AC41" i="1"/>
  <c r="AD41" i="1"/>
  <c r="Y42" i="1"/>
  <c r="Z42" i="1"/>
  <c r="AA42" i="1"/>
  <c r="AB42" i="1"/>
  <c r="AC42" i="1"/>
  <c r="AD42" i="1"/>
  <c r="Y43" i="1"/>
  <c r="Z43" i="1"/>
  <c r="AA43" i="1"/>
  <c r="AB43" i="1"/>
  <c r="AC43" i="1"/>
  <c r="AD43" i="1"/>
  <c r="Y44" i="1"/>
  <c r="Z44" i="1"/>
  <c r="AA44" i="1"/>
  <c r="AB44" i="1"/>
  <c r="AC44" i="1"/>
  <c r="AD44" i="1"/>
  <c r="Y45" i="1"/>
  <c r="Z45" i="1"/>
  <c r="AA45" i="1"/>
  <c r="AB45" i="1"/>
  <c r="AC45" i="1"/>
  <c r="AD45" i="1"/>
  <c r="Y46" i="1"/>
  <c r="Z46" i="1"/>
  <c r="AA46" i="1"/>
  <c r="AB46" i="1"/>
  <c r="AC46" i="1"/>
  <c r="AD46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 a="1"/>
  <c r="O63" i="1" s="1"/>
  <c r="P63" i="1"/>
  <c r="P65" i="1" s="1"/>
  <c r="P66" i="1" s="1"/>
  <c r="P63" i="1" a="1"/>
  <c r="Q63" i="1"/>
  <c r="R63" i="1"/>
  <c r="S63" i="1"/>
  <c r="T63" i="1"/>
  <c r="U63" i="1"/>
  <c r="V63" i="1"/>
  <c r="W63" i="1"/>
  <c r="X63" i="1"/>
  <c r="AD63" i="1"/>
  <c r="O64" i="1"/>
  <c r="O64" i="1" a="1"/>
  <c r="P64" i="1" a="1"/>
  <c r="P64" i="1" s="1"/>
  <c r="O65" i="1"/>
  <c r="O66" i="1" s="1"/>
  <c r="S65" i="1"/>
  <c r="W65" i="1"/>
  <c r="AA2" i="1" l="1"/>
  <c r="AA3" i="1" a="1"/>
  <c r="AA3" i="1" s="1"/>
  <c r="AA63" i="1"/>
  <c r="O7" i="5"/>
  <c r="A9" i="1"/>
  <c r="AB2" i="1"/>
  <c r="A12" i="1"/>
  <c r="AC63" i="1"/>
  <c r="Y63" i="1"/>
  <c r="H46" i="4"/>
  <c r="L47" i="4"/>
  <c r="O45" i="4"/>
  <c r="D4" i="7" s="1"/>
  <c r="K45" i="4"/>
  <c r="N45" i="4" s="1"/>
  <c r="C4" i="7" s="1"/>
  <c r="AA43" i="4"/>
  <c r="K43" i="4"/>
  <c r="AF43" i="4"/>
  <c r="M45" i="4"/>
  <c r="B4" i="7" s="1"/>
  <c r="Z43" i="4"/>
  <c r="J43" i="4"/>
  <c r="P43" i="4"/>
  <c r="AO43" i="4"/>
  <c r="AG43" i="4"/>
  <c r="Y43" i="4"/>
  <c r="Q43" i="4"/>
  <c r="I43" i="4"/>
  <c r="A43" i="4"/>
  <c r="AJ43" i="4"/>
  <c r="T43" i="4"/>
  <c r="D43" i="4"/>
  <c r="AN43" i="4"/>
  <c r="X43" i="4"/>
  <c r="H43" i="4"/>
  <c r="A15" i="4" a="1"/>
  <c r="A15" i="4" s="1"/>
  <c r="D57" i="2" a="1"/>
  <c r="C52" i="3"/>
  <c r="F52" i="3"/>
  <c r="J52" i="3"/>
  <c r="N52" i="3"/>
  <c r="CO54" i="2"/>
  <c r="CC52" i="3"/>
  <c r="BY52" i="3"/>
  <c r="BU52" i="3"/>
  <c r="BQ52" i="3"/>
  <c r="BM52" i="3"/>
  <c r="BI52" i="3"/>
  <c r="BE52" i="3"/>
  <c r="BA52" i="3"/>
  <c r="AW52" i="3"/>
  <c r="AS52" i="3"/>
  <c r="AO52" i="3"/>
  <c r="AK52" i="3"/>
  <c r="AG52" i="3"/>
  <c r="AC52" i="3"/>
  <c r="Y52" i="3"/>
  <c r="U52" i="3"/>
  <c r="Q52" i="3"/>
  <c r="L52" i="3"/>
  <c r="G52" i="3"/>
  <c r="CE54" i="2"/>
  <c r="CS52" i="2"/>
  <c r="CT52" i="2"/>
  <c r="CE53" i="2"/>
  <c r="CO53" i="2"/>
  <c r="CO52" i="2"/>
  <c r="CP52" i="2"/>
  <c r="CN5" i="2"/>
  <c r="DA5" i="2"/>
  <c r="CI7" i="2"/>
  <c r="CH8" i="2"/>
  <c r="CK9" i="2"/>
  <c r="CZ10" i="2"/>
  <c r="CY11" i="2"/>
  <c r="DB12" i="2"/>
  <c r="DA13" i="2"/>
  <c r="CI15" i="2"/>
  <c r="CH16" i="2"/>
  <c r="CK17" i="2"/>
  <c r="CZ18" i="2"/>
  <c r="CY19" i="2"/>
  <c r="DB20" i="2"/>
  <c r="DA21" i="2"/>
  <c r="CI23" i="2"/>
  <c r="CX5" i="2"/>
  <c r="CQ6" i="2"/>
  <c r="CE8" i="2"/>
  <c r="DC8" i="2"/>
  <c r="CG10" i="2"/>
  <c r="CN11" i="2"/>
  <c r="CM12" i="2"/>
  <c r="CX13" i="2"/>
  <c r="CQ14" i="2"/>
  <c r="CE16" i="2"/>
  <c r="DC16" i="2"/>
  <c r="CG18" i="2"/>
  <c r="CN19" i="2"/>
  <c r="CM20" i="2"/>
  <c r="CX21" i="2"/>
  <c r="CQ22" i="2"/>
  <c r="CE24" i="2"/>
  <c r="CY5" i="2"/>
  <c r="DB6" i="2"/>
  <c r="DA7" i="2"/>
  <c r="CI9" i="2"/>
  <c r="CH10" i="2"/>
  <c r="CK11" i="2"/>
  <c r="CZ12" i="2"/>
  <c r="CY13" i="2"/>
  <c r="DB14" i="2"/>
  <c r="DA15" i="2"/>
  <c r="CI17" i="2"/>
  <c r="CH18" i="2"/>
  <c r="CK19" i="2"/>
  <c r="CZ20" i="2"/>
  <c r="CY21" i="2"/>
  <c r="CI6" i="2"/>
  <c r="DA12" i="2"/>
  <c r="CN6" i="2"/>
  <c r="CY7" i="2"/>
  <c r="CG9" i="2"/>
  <c r="CE11" i="2"/>
  <c r="CH12" i="2"/>
  <c r="CQ13" i="2"/>
  <c r="CM15" i="2"/>
  <c r="DB16" i="2"/>
  <c r="CN18" i="2"/>
  <c r="DC19" i="2"/>
  <c r="CK21" i="2"/>
  <c r="CE23" i="2"/>
  <c r="DB5" i="2"/>
  <c r="CN7" i="2"/>
  <c r="CY8" i="2"/>
  <c r="CK10" i="2"/>
  <c r="CE12" i="2"/>
  <c r="CH13" i="2"/>
  <c r="DA14" i="2"/>
  <c r="CM16" i="2"/>
  <c r="DB17" i="2"/>
  <c r="CZ19" i="2"/>
  <c r="DC20" i="2"/>
  <c r="CK22" i="2"/>
  <c r="CI24" i="2"/>
  <c r="CH6" i="2"/>
  <c r="CQ7" i="2"/>
  <c r="CM9" i="2"/>
  <c r="DB10" i="2"/>
  <c r="CN12" i="2"/>
  <c r="DC13" i="2"/>
  <c r="CK15" i="2"/>
  <c r="CE17" i="2"/>
  <c r="CX18" i="2"/>
  <c r="DA19" i="2"/>
  <c r="CM21" i="2"/>
  <c r="CH7" i="2"/>
  <c r="CZ13" i="2"/>
  <c r="CY18" i="2"/>
  <c r="CI22" i="2"/>
  <c r="CG24" i="2"/>
  <c r="CX25" i="2"/>
  <c r="CQ26" i="2"/>
  <c r="CE28" i="2"/>
  <c r="DC28" i="2"/>
  <c r="CG30" i="2"/>
  <c r="CN31" i="2"/>
  <c r="CM32" i="2"/>
  <c r="CX33" i="2"/>
  <c r="CQ34" i="2"/>
  <c r="CE36" i="2"/>
  <c r="DC36" i="2"/>
  <c r="CG38" i="2"/>
  <c r="CN39" i="2"/>
  <c r="CM40" i="2"/>
  <c r="CX41" i="2"/>
  <c r="CQ42" i="2"/>
  <c r="CE44" i="2"/>
  <c r="DC44" i="2"/>
  <c r="CG46" i="2"/>
  <c r="CM6" i="2"/>
  <c r="CQ8" i="2"/>
  <c r="CY14" i="2"/>
  <c r="CE18" i="2"/>
  <c r="CN21" i="2"/>
  <c r="CQ23" i="2"/>
  <c r="CZ24" i="2"/>
  <c r="CY25" i="2"/>
  <c r="DB26" i="2"/>
  <c r="DA27" i="2"/>
  <c r="CI29" i="2"/>
  <c r="CH30" i="2"/>
  <c r="CK31" i="2"/>
  <c r="CZ32" i="2"/>
  <c r="CY33" i="2"/>
  <c r="DB34" i="2"/>
  <c r="DA35" i="2"/>
  <c r="CI37" i="2"/>
  <c r="CH38" i="2"/>
  <c r="CK39" i="2"/>
  <c r="CZ40" i="2"/>
  <c r="CY41" i="2"/>
  <c r="DB42" i="2"/>
  <c r="DA43" i="2"/>
  <c r="CI45" i="2"/>
  <c r="CH46" i="2"/>
  <c r="CK47" i="2"/>
  <c r="DA8" i="2"/>
  <c r="CY10" i="2"/>
  <c r="CE14" i="2"/>
  <c r="DB22" i="2"/>
  <c r="DA24" i="2"/>
  <c r="CI26" i="2"/>
  <c r="CH27" i="2"/>
  <c r="CK28" i="2"/>
  <c r="CZ29" i="2"/>
  <c r="CY30" i="2"/>
  <c r="DB31" i="2"/>
  <c r="DA32" i="2"/>
  <c r="CI34" i="2"/>
  <c r="CH35" i="2"/>
  <c r="CK36" i="2"/>
  <c r="CZ37" i="2"/>
  <c r="CY38" i="2"/>
  <c r="DB39" i="2"/>
  <c r="DA40" i="2"/>
  <c r="CI42" i="2"/>
  <c r="CH43" i="2"/>
  <c r="CK44" i="2"/>
  <c r="CZ45" i="2"/>
  <c r="DA16" i="2"/>
  <c r="CK25" i="2"/>
  <c r="CZ30" i="2"/>
  <c r="CN34" i="2"/>
  <c r="CG37" i="2"/>
  <c r="CQ41" i="2"/>
  <c r="DC46" i="2"/>
  <c r="CH48" i="2"/>
  <c r="CK49" i="2"/>
  <c r="CZ50" i="2"/>
  <c r="P56" i="2"/>
  <c r="AF56" i="2"/>
  <c r="AV56" i="2"/>
  <c r="CZ6" i="2"/>
  <c r="CX8" i="2"/>
  <c r="CN10" i="2"/>
  <c r="CX12" i="2"/>
  <c r="CZ14" i="2"/>
  <c r="CX16" i="2"/>
  <c r="CE19" i="2"/>
  <c r="CX20" i="2"/>
  <c r="CZ22" i="2"/>
  <c r="CG6" i="2"/>
  <c r="CI8" i="2"/>
  <c r="DB9" i="2"/>
  <c r="CI12" i="2"/>
  <c r="CG14" i="2"/>
  <c r="CI16" i="2"/>
  <c r="CK18" i="2"/>
  <c r="CI20" i="2"/>
  <c r="CG22" i="2"/>
  <c r="CM24" i="2"/>
  <c r="CG7" i="2"/>
  <c r="CE9" i="2"/>
  <c r="CG11" i="2"/>
  <c r="CI13" i="2"/>
  <c r="CG15" i="2"/>
  <c r="CM17" i="2"/>
  <c r="CG19" i="2"/>
  <c r="CI21" i="2"/>
  <c r="CG8" i="2"/>
  <c r="CH15" i="2"/>
  <c r="CQ20" i="2"/>
  <c r="CY24" i="2"/>
  <c r="CG26" i="2"/>
  <c r="CZ27" i="2"/>
  <c r="CH29" i="2"/>
  <c r="CQ30" i="2"/>
  <c r="CI32" i="2"/>
  <c r="DB33" i="2"/>
  <c r="CN35" i="2"/>
  <c r="CY36" i="2"/>
  <c r="CK38" i="2"/>
  <c r="CE40" i="2"/>
  <c r="CH41" i="2"/>
  <c r="DA42" i="2"/>
  <c r="CM44" i="2"/>
  <c r="DB45" i="2"/>
  <c r="CY6" i="2"/>
  <c r="CH11" i="2"/>
  <c r="CQ16" i="2"/>
  <c r="CZ21" i="2"/>
  <c r="CH24" i="2"/>
  <c r="CM25" i="2"/>
  <c r="CG27" i="2"/>
  <c r="CZ28" i="2"/>
  <c r="DC29" i="2"/>
  <c r="CQ31" i="2"/>
  <c r="CI33" i="2"/>
  <c r="CX34" i="2"/>
  <c r="CN36" i="2"/>
  <c r="CY37" i="2"/>
  <c r="CG39" i="2"/>
  <c r="CE41" i="2"/>
  <c r="CH42" i="2"/>
  <c r="CQ43" i="2"/>
  <c r="CM45" i="2"/>
  <c r="DB46" i="2"/>
  <c r="DB7" i="2"/>
  <c r="CX11" i="2"/>
  <c r="DB15" i="2"/>
  <c r="CQ24" i="2"/>
  <c r="CM26" i="2"/>
  <c r="DB27" i="2"/>
  <c r="CN29" i="2"/>
  <c r="DC30" i="2"/>
  <c r="CK32" i="2"/>
  <c r="CE34" i="2"/>
  <c r="CX35" i="2"/>
  <c r="DA36" i="2"/>
  <c r="CM38" i="2"/>
  <c r="CG40" i="2"/>
  <c r="CZ41" i="2"/>
  <c r="DC42" i="2"/>
  <c r="CQ44" i="2"/>
  <c r="CI46" i="2"/>
  <c r="CX24" i="2"/>
  <c r="CM31" i="2"/>
  <c r="CM35" i="2"/>
  <c r="CK41" i="2"/>
  <c r="CE47" i="2"/>
  <c r="DB48" i="2"/>
  <c r="CN50" i="2"/>
  <c r="T56" i="2"/>
  <c r="AN56" i="2"/>
  <c r="F74" i="2"/>
  <c r="V74" i="2"/>
  <c r="AL74" i="2"/>
  <c r="J75" i="2"/>
  <c r="Z75" i="2"/>
  <c r="AP75" i="2"/>
  <c r="DB11" i="2"/>
  <c r="DB24" i="2"/>
  <c r="CK29" i="2"/>
  <c r="CY35" i="2"/>
  <c r="CE39" i="2"/>
  <c r="DA45" i="2"/>
  <c r="CE48" i="2"/>
  <c r="DC48" i="2"/>
  <c r="CG50" i="2"/>
  <c r="E56" i="2"/>
  <c r="U56" i="2"/>
  <c r="AK56" i="2"/>
  <c r="BA56" i="2"/>
  <c r="S74" i="2"/>
  <c r="AI74" i="2"/>
  <c r="K75" i="2"/>
  <c r="AA75" i="2"/>
  <c r="AQ75" i="2"/>
  <c r="S76" i="2"/>
  <c r="AI76" i="2"/>
  <c r="CG5" i="2"/>
  <c r="CM7" i="2"/>
  <c r="DA9" i="2"/>
  <c r="CG13" i="2"/>
  <c r="CY15" i="2"/>
  <c r="DA17" i="2"/>
  <c r="CG21" i="2"/>
  <c r="CE5" i="2"/>
  <c r="CZ7" i="2"/>
  <c r="CQ10" i="2"/>
  <c r="DC12" i="2"/>
  <c r="CZ15" i="2"/>
  <c r="CQ18" i="2"/>
  <c r="CH21" i="2"/>
  <c r="CZ23" i="2"/>
  <c r="CK7" i="2"/>
  <c r="DC9" i="2"/>
  <c r="CE13" i="2"/>
  <c r="CQ15" i="2"/>
  <c r="DC17" i="2"/>
  <c r="CE21" i="2"/>
  <c r="CE10" i="2"/>
  <c r="CX19" i="2"/>
  <c r="CY23" i="2"/>
  <c r="CK26" i="2"/>
  <c r="CM28" i="2"/>
  <c r="CK30" i="2"/>
  <c r="CY32" i="2"/>
  <c r="CK34" i="2"/>
  <c r="CM36" i="2"/>
  <c r="CQ38" i="2"/>
  <c r="CY40" i="2"/>
  <c r="CK42" i="2"/>
  <c r="CY44" i="2"/>
  <c r="CQ46" i="2"/>
  <c r="CI10" i="2"/>
  <c r="DC18" i="2"/>
  <c r="CY22" i="2"/>
  <c r="CI25" i="2"/>
  <c r="CK27" i="2"/>
  <c r="CM29" i="2"/>
  <c r="CG31" i="2"/>
  <c r="CM33" i="2"/>
  <c r="CK35" i="2"/>
  <c r="CM37" i="2"/>
  <c r="CQ39" i="2"/>
  <c r="CM41" i="2"/>
  <c r="CK43" i="2"/>
  <c r="CY45" i="2"/>
  <c r="CQ47" i="2"/>
  <c r="CM10" i="2"/>
  <c r="CI18" i="2"/>
  <c r="CZ25" i="2"/>
  <c r="CX27" i="2"/>
  <c r="CE30" i="2"/>
  <c r="CX31" i="2"/>
  <c r="CZ33" i="2"/>
  <c r="DB35" i="2"/>
  <c r="CE38" i="2"/>
  <c r="CX39" i="2"/>
  <c r="CE42" i="2"/>
  <c r="DB43" i="2"/>
  <c r="CE46" i="2"/>
  <c r="CQ25" i="2"/>
  <c r="DA33" i="2"/>
  <c r="CX40" i="2"/>
  <c r="CY47" i="2"/>
  <c r="CQ49" i="2"/>
  <c r="L56" i="2"/>
  <c r="AR56" i="2"/>
  <c r="N74" i="2"/>
  <c r="AH74" i="2"/>
  <c r="N75" i="2"/>
  <c r="AH75" i="2"/>
  <c r="DC10" i="2"/>
  <c r="CE27" i="2"/>
  <c r="CY31" i="2"/>
  <c r="CQ37" i="2"/>
  <c r="CN46" i="2"/>
  <c r="CM48" i="2"/>
  <c r="DB49" i="2"/>
  <c r="I56" i="2"/>
  <c r="AC56" i="2"/>
  <c r="AW56" i="2"/>
  <c r="G74" i="2"/>
  <c r="AA74" i="2"/>
  <c r="G75" i="2"/>
  <c r="AE75" i="2"/>
  <c r="K76" i="2"/>
  <c r="AE76" i="2"/>
  <c r="K77" i="2"/>
  <c r="AA77" i="2"/>
  <c r="AQ77" i="2"/>
  <c r="S78" i="2"/>
  <c r="AI78" i="2"/>
  <c r="K79" i="2"/>
  <c r="AA79" i="2"/>
  <c r="AQ79" i="2"/>
  <c r="S80" i="2"/>
  <c r="AI80" i="2"/>
  <c r="K81" i="2"/>
  <c r="AA81" i="2"/>
  <c r="AQ81" i="2"/>
  <c r="S82" i="2"/>
  <c r="AI82" i="2"/>
  <c r="K83" i="2"/>
  <c r="CN26" i="2"/>
  <c r="DC31" i="2"/>
  <c r="CE35" i="2"/>
  <c r="DA41" i="2"/>
  <c r="CH44" i="2"/>
  <c r="CM47" i="2"/>
  <c r="CE49" i="2"/>
  <c r="DC49" i="2"/>
  <c r="CH19" i="2"/>
  <c r="CK24" i="2"/>
  <c r="CM39" i="2"/>
  <c r="CQ48" i="2"/>
  <c r="CI31" i="2"/>
  <c r="CQ45" i="2"/>
  <c r="G56" i="2"/>
  <c r="AM56" i="2"/>
  <c r="AB74" i="2"/>
  <c r="M75" i="2"/>
  <c r="AS75" i="2"/>
  <c r="V76" i="2"/>
  <c r="AR76" i="2"/>
  <c r="T77" i="2"/>
  <c r="AO77" i="2"/>
  <c r="Q78" i="2"/>
  <c r="AL78" i="2"/>
  <c r="N79" i="2"/>
  <c r="AJ79" i="2"/>
  <c r="L80" i="2"/>
  <c r="AG80" i="2"/>
  <c r="I81" i="2"/>
  <c r="AD81" i="2"/>
  <c r="F82" i="2"/>
  <c r="AB82" i="2"/>
  <c r="D83" i="2"/>
  <c r="V83" i="2"/>
  <c r="AL83" i="2"/>
  <c r="J84" i="2"/>
  <c r="Z84" i="2"/>
  <c r="AP84" i="2"/>
  <c r="N85" i="2"/>
  <c r="AD85" i="2"/>
  <c r="AT85" i="2"/>
  <c r="R86" i="2"/>
  <c r="AH86" i="2"/>
  <c r="F87" i="2"/>
  <c r="V87" i="2"/>
  <c r="AL87" i="2"/>
  <c r="J88" i="2"/>
  <c r="Z88" i="2"/>
  <c r="AP88" i="2"/>
  <c r="N89" i="2"/>
  <c r="AD89" i="2"/>
  <c r="AT89" i="2"/>
  <c r="R90" i="2"/>
  <c r="AH90" i="2"/>
  <c r="F91" i="2"/>
  <c r="V91" i="2"/>
  <c r="AL91" i="2"/>
  <c r="J92" i="2"/>
  <c r="Z92" i="2"/>
  <c r="AP92" i="2"/>
  <c r="N93" i="2"/>
  <c r="AD93" i="2"/>
  <c r="AT93" i="2"/>
  <c r="R94" i="2"/>
  <c r="AH94" i="2"/>
  <c r="F95" i="2"/>
  <c r="V95" i="2"/>
  <c r="AL95" i="2"/>
  <c r="J96" i="2"/>
  <c r="Z96" i="2"/>
  <c r="AP96" i="2"/>
  <c r="N97" i="2"/>
  <c r="AD97" i="2"/>
  <c r="AT97" i="2"/>
  <c r="R98" i="2"/>
  <c r="AH98" i="2"/>
  <c r="F99" i="2"/>
  <c r="V99" i="2"/>
  <c r="AL99" i="2"/>
  <c r="J100" i="2"/>
  <c r="Z100" i="2"/>
  <c r="AP100" i="2"/>
  <c r="N101" i="2"/>
  <c r="AD101" i="2"/>
  <c r="AT101" i="2"/>
  <c r="R102" i="2"/>
  <c r="AH102" i="2"/>
  <c r="F103" i="2"/>
  <c r="V103" i="2"/>
  <c r="AL103" i="2"/>
  <c r="J104" i="2"/>
  <c r="Z104" i="2"/>
  <c r="AP104" i="2"/>
  <c r="N105" i="2"/>
  <c r="AD105" i="2"/>
  <c r="AT105" i="2"/>
  <c r="R106" i="2"/>
  <c r="AH106" i="2"/>
  <c r="F107" i="2"/>
  <c r="V107" i="2"/>
  <c r="AL107" i="2"/>
  <c r="J108" i="2"/>
  <c r="Z108" i="2"/>
  <c r="AP108" i="2"/>
  <c r="N109" i="2"/>
  <c r="AD109" i="2"/>
  <c r="AT109" i="2"/>
  <c r="R110" i="2"/>
  <c r="AH110" i="2"/>
  <c r="F111" i="2"/>
  <c r="V111" i="2"/>
  <c r="AL111" i="2"/>
  <c r="J112" i="2"/>
  <c r="Z112" i="2"/>
  <c r="AP112" i="2"/>
  <c r="N113" i="2"/>
  <c r="AD113" i="2"/>
  <c r="AT113" i="2"/>
  <c r="R114" i="2"/>
  <c r="CQ5" i="2"/>
  <c r="DB8" i="2"/>
  <c r="CM11" i="2"/>
  <c r="CN14" i="2"/>
  <c r="CG17" i="2"/>
  <c r="CE7" i="2"/>
  <c r="CQ9" i="2"/>
  <c r="DC11" i="2"/>
  <c r="CE15" i="2"/>
  <c r="CQ17" i="2"/>
  <c r="CH20" i="2"/>
  <c r="CM23" i="2"/>
  <c r="DA6" i="2"/>
  <c r="CX9" i="2"/>
  <c r="CY12" i="2"/>
  <c r="CN15" i="2"/>
  <c r="CX17" i="2"/>
  <c r="CY20" i="2"/>
  <c r="CN23" i="2"/>
  <c r="CX6" i="2"/>
  <c r="CY9" i="2"/>
  <c r="DA11" i="2"/>
  <c r="CX14" i="2"/>
  <c r="CY17" i="2"/>
  <c r="CN20" i="2"/>
  <c r="CI5" i="2"/>
  <c r="CG16" i="2"/>
  <c r="CK23" i="2"/>
  <c r="DB25" i="2"/>
  <c r="CI28" i="2"/>
  <c r="DB29" i="2"/>
  <c r="CE32" i="2"/>
  <c r="CG34" i="2"/>
  <c r="CI36" i="2"/>
  <c r="DB37" i="2"/>
  <c r="CI40" i="2"/>
  <c r="CG42" i="2"/>
  <c r="CI44" i="2"/>
  <c r="CK46" i="2"/>
  <c r="CK8" i="2"/>
  <c r="CK16" i="2"/>
  <c r="CM22" i="2"/>
  <c r="CE25" i="2"/>
  <c r="CX26" i="2"/>
  <c r="CE29" i="2"/>
  <c r="DB30" i="2"/>
  <c r="CE33" i="2"/>
  <c r="CG35" i="2"/>
  <c r="CE37" i="2"/>
  <c r="DB38" i="2"/>
  <c r="CI41" i="2"/>
  <c r="CG43" i="2"/>
  <c r="CE45" i="2"/>
  <c r="CG47" i="2"/>
  <c r="CZ9" i="2"/>
  <c r="DC14" i="2"/>
  <c r="CN25" i="2"/>
  <c r="DC26" i="2"/>
  <c r="DA28" i="2"/>
  <c r="CH31" i="2"/>
  <c r="CN33" i="2"/>
  <c r="DC34" i="2"/>
  <c r="CN37" i="2"/>
  <c r="CH39" i="2"/>
  <c r="CN41" i="2"/>
  <c r="CX43" i="2"/>
  <c r="CN45" i="2"/>
  <c r="CX23" i="2"/>
  <c r="CH32" i="2"/>
  <c r="CY39" i="2"/>
  <c r="DB44" i="2"/>
  <c r="CG49" i="2"/>
  <c r="H56" i="2"/>
  <c r="AJ56" i="2"/>
  <c r="J74" i="2"/>
  <c r="AD74" i="2"/>
  <c r="F75" i="2"/>
  <c r="AD75" i="2"/>
  <c r="CE6" i="2"/>
  <c r="DC23" i="2"/>
  <c r="CQ29" i="2"/>
  <c r="CK37" i="2"/>
  <c r="CI43" i="2"/>
  <c r="CI48" i="2"/>
  <c r="CX49" i="2"/>
  <c r="DA50" i="2"/>
  <c r="Y56" i="2"/>
  <c r="AS56" i="2"/>
  <c r="W74" i="2"/>
  <c r="AQ74" i="2"/>
  <c r="W75" i="2"/>
  <c r="G76" i="2"/>
  <c r="AA76" i="2"/>
  <c r="G77" i="2"/>
  <c r="W77" i="2"/>
  <c r="AM77" i="2"/>
  <c r="O78" i="2"/>
  <c r="AE78" i="2"/>
  <c r="G79" i="2"/>
  <c r="W79" i="2"/>
  <c r="AM79" i="2"/>
  <c r="O80" i="2"/>
  <c r="AE80" i="2"/>
  <c r="G81" i="2"/>
  <c r="W81" i="2"/>
  <c r="AM81" i="2"/>
  <c r="O82" i="2"/>
  <c r="AE82" i="2"/>
  <c r="G83" i="2"/>
  <c r="DA25" i="2"/>
  <c r="CE31" i="2"/>
  <c r="CQ33" i="2"/>
  <c r="CI39" i="2"/>
  <c r="CM43" i="2"/>
  <c r="CH47" i="2"/>
  <c r="CZ48" i="2"/>
  <c r="CY49" i="2"/>
  <c r="DB50" i="2"/>
  <c r="DC22" i="2"/>
  <c r="CI35" i="2"/>
  <c r="CK48" i="2"/>
  <c r="CH28" i="2"/>
  <c r="CK45" i="2"/>
  <c r="CI50" i="2"/>
  <c r="AE56" i="2"/>
  <c r="T74" i="2"/>
  <c r="E75" i="2"/>
  <c r="AK75" i="2"/>
  <c r="Q76" i="2"/>
  <c r="AL76" i="2"/>
  <c r="N77" i="2"/>
  <c r="AJ77" i="2"/>
  <c r="L78" i="2"/>
  <c r="AG78" i="2"/>
  <c r="I79" i="2"/>
  <c r="AD79" i="2"/>
  <c r="F80" i="2"/>
  <c r="AB80" i="2"/>
  <c r="D81" i="2"/>
  <c r="Y81" i="2"/>
  <c r="AT81" i="2"/>
  <c r="V82" i="2"/>
  <c r="AR82" i="2"/>
  <c r="R83" i="2"/>
  <c r="AH83" i="2"/>
  <c r="F84" i="2"/>
  <c r="V84" i="2"/>
  <c r="AL84" i="2"/>
  <c r="J85" i="2"/>
  <c r="Z85" i="2"/>
  <c r="AP85" i="2"/>
  <c r="N86" i="2"/>
  <c r="AD86" i="2"/>
  <c r="AT86" i="2"/>
  <c r="R87" i="2"/>
  <c r="AH87" i="2"/>
  <c r="F88" i="2"/>
  <c r="V88" i="2"/>
  <c r="AL88" i="2"/>
  <c r="J89" i="2"/>
  <c r="Z89" i="2"/>
  <c r="AP89" i="2"/>
  <c r="N90" i="2"/>
  <c r="AD90" i="2"/>
  <c r="AT90" i="2"/>
  <c r="R91" i="2"/>
  <c r="AH91" i="2"/>
  <c r="F92" i="2"/>
  <c r="V92" i="2"/>
  <c r="AL92" i="2"/>
  <c r="J93" i="2"/>
  <c r="Z93" i="2"/>
  <c r="AP93" i="2"/>
  <c r="N94" i="2"/>
  <c r="AD94" i="2"/>
  <c r="AT94" i="2"/>
  <c r="R95" i="2"/>
  <c r="AH95" i="2"/>
  <c r="F96" i="2"/>
  <c r="V96" i="2"/>
  <c r="AL96" i="2"/>
  <c r="J97" i="2"/>
  <c r="Z97" i="2"/>
  <c r="AP97" i="2"/>
  <c r="N98" i="2"/>
  <c r="AD98" i="2"/>
  <c r="AT98" i="2"/>
  <c r="R99" i="2"/>
  <c r="AH99" i="2"/>
  <c r="F100" i="2"/>
  <c r="V100" i="2"/>
  <c r="AL100" i="2"/>
  <c r="J101" i="2"/>
  <c r="Z101" i="2"/>
  <c r="AP101" i="2"/>
  <c r="N102" i="2"/>
  <c r="AD102" i="2"/>
  <c r="AT102" i="2"/>
  <c r="R103" i="2"/>
  <c r="AH103" i="2"/>
  <c r="F104" i="2"/>
  <c r="V104" i="2"/>
  <c r="AL104" i="2"/>
  <c r="J105" i="2"/>
  <c r="Z105" i="2"/>
  <c r="AP105" i="2"/>
  <c r="N106" i="2"/>
  <c r="AD106" i="2"/>
  <c r="AT106" i="2"/>
  <c r="R107" i="2"/>
  <c r="AH107" i="2"/>
  <c r="F108" i="2"/>
  <c r="V108" i="2"/>
  <c r="AL108" i="2"/>
  <c r="J109" i="2"/>
  <c r="Z109" i="2"/>
  <c r="AP109" i="2"/>
  <c r="N110" i="2"/>
  <c r="AD110" i="2"/>
  <c r="AT110" i="2"/>
  <c r="R111" i="2"/>
  <c r="AH111" i="2"/>
  <c r="F112" i="2"/>
  <c r="V112" i="2"/>
  <c r="AL112" i="2"/>
  <c r="J113" i="2"/>
  <c r="Z113" i="2"/>
  <c r="AP113" i="2"/>
  <c r="N114" i="2"/>
  <c r="AD114" i="2"/>
  <c r="AT114" i="2"/>
  <c r="R115" i="2"/>
  <c r="AH115" i="2"/>
  <c r="F116" i="2"/>
  <c r="CN38" i="2"/>
  <c r="CY43" i="2"/>
  <c r="R56" i="2"/>
  <c r="Q74" i="2"/>
  <c r="P75" i="2"/>
  <c r="P76" i="2"/>
  <c r="AS76" i="2"/>
  <c r="AB77" i="2"/>
  <c r="J78" i="2"/>
  <c r="AN78" i="2"/>
  <c r="V79" i="2"/>
  <c r="E80" i="2"/>
  <c r="AH80" i="2"/>
  <c r="X81" i="2"/>
  <c r="DC7" i="2"/>
  <c r="CI19" i="2"/>
  <c r="CM5" i="2"/>
  <c r="DA10" i="2"/>
  <c r="CY16" i="2"/>
  <c r="DB21" i="2"/>
  <c r="CN8" i="2"/>
  <c r="CM13" i="2"/>
  <c r="DB18" i="2"/>
  <c r="CN13" i="2"/>
  <c r="DC24" i="2"/>
  <c r="CY28" i="2"/>
  <c r="DC32" i="2"/>
  <c r="CH37" i="2"/>
  <c r="DC40" i="2"/>
  <c r="CH45" i="2"/>
  <c r="CG12" i="2"/>
  <c r="DA23" i="2"/>
  <c r="CQ27" i="2"/>
  <c r="DA31" i="2"/>
  <c r="CQ35" i="2"/>
  <c r="DA39" i="2"/>
  <c r="CN44" i="2"/>
  <c r="DC6" i="2"/>
  <c r="CG23" i="2"/>
  <c r="CG28" i="2"/>
  <c r="CG32" i="2"/>
  <c r="CG36" i="2"/>
  <c r="CK40" i="2"/>
  <c r="CG44" i="2"/>
  <c r="CY27" i="2"/>
  <c r="CE43" i="2"/>
  <c r="DA49" i="2"/>
  <c r="AZ56" i="2"/>
  <c r="R74" i="2"/>
  <c r="R75" i="2"/>
  <c r="CN17" i="2"/>
  <c r="CG33" i="2"/>
  <c r="CY46" i="2"/>
  <c r="CK50" i="2"/>
  <c r="AG56" i="2"/>
  <c r="AE74" i="2"/>
  <c r="AI75" i="2"/>
  <c r="AM76" i="2"/>
  <c r="AE77" i="2"/>
  <c r="W78" i="2"/>
  <c r="O79" i="2"/>
  <c r="G80" i="2"/>
  <c r="AM80" i="2"/>
  <c r="AE81" i="2"/>
  <c r="W82" i="2"/>
  <c r="CI14" i="2"/>
  <c r="CX32" i="2"/>
  <c r="CN42" i="2"/>
  <c r="DA47" i="2"/>
  <c r="CH50" i="2"/>
  <c r="CM27" i="2"/>
  <c r="CE50" i="2"/>
  <c r="CI47" i="2"/>
  <c r="AU56" i="2"/>
  <c r="AJ74" i="2"/>
  <c r="F76" i="2"/>
  <c r="D77" i="2"/>
  <c r="AT77" i="2"/>
  <c r="AR78" i="2"/>
  <c r="AO79" i="2"/>
  <c r="AL80" i="2"/>
  <c r="AJ81" i="2"/>
  <c r="AG82" i="2"/>
  <c r="Z83" i="2"/>
  <c r="N84" i="2"/>
  <c r="AT84" i="2"/>
  <c r="AH85" i="2"/>
  <c r="V86" i="2"/>
  <c r="J87" i="2"/>
  <c r="AP87" i="2"/>
  <c r="AD88" i="2"/>
  <c r="R89" i="2"/>
  <c r="F90" i="2"/>
  <c r="AL90" i="2"/>
  <c r="Z91" i="2"/>
  <c r="N92" i="2"/>
  <c r="AT92" i="2"/>
  <c r="AH93" i="2"/>
  <c r="V94" i="2"/>
  <c r="J95" i="2"/>
  <c r="AP95" i="2"/>
  <c r="AD96" i="2"/>
  <c r="R97" i="2"/>
  <c r="F98" i="2"/>
  <c r="AL98" i="2"/>
  <c r="Z99" i="2"/>
  <c r="N100" i="2"/>
  <c r="AT100" i="2"/>
  <c r="AH101" i="2"/>
  <c r="V102" i="2"/>
  <c r="J103" i="2"/>
  <c r="AP103" i="2"/>
  <c r="AD104" i="2"/>
  <c r="R105" i="2"/>
  <c r="F106" i="2"/>
  <c r="AL106" i="2"/>
  <c r="Z107" i="2"/>
  <c r="N108" i="2"/>
  <c r="AT108" i="2"/>
  <c r="AH109" i="2"/>
  <c r="V110" i="2"/>
  <c r="J111" i="2"/>
  <c r="AP111" i="2"/>
  <c r="AD112" i="2"/>
  <c r="R113" i="2"/>
  <c r="F114" i="2"/>
  <c r="AH114" i="2"/>
  <c r="J115" i="2"/>
  <c r="AD115" i="2"/>
  <c r="J116" i="2"/>
  <c r="CN49" i="2"/>
  <c r="F56" i="2"/>
  <c r="D75" i="2"/>
  <c r="X76" i="2"/>
  <c r="CI11" i="2"/>
  <c r="CM19" i="2"/>
  <c r="CK6" i="2"/>
  <c r="CZ11" i="2"/>
  <c r="CH17" i="2"/>
  <c r="DA22" i="2"/>
  <c r="CZ8" i="2"/>
  <c r="CH14" i="2"/>
  <c r="CQ19" i="2"/>
  <c r="CM14" i="2"/>
  <c r="CH25" i="2"/>
  <c r="CX29" i="2"/>
  <c r="CH33" i="2"/>
  <c r="CX37" i="2"/>
  <c r="DB41" i="2"/>
  <c r="CX45" i="2"/>
  <c r="CX15" i="2"/>
  <c r="CN24" i="2"/>
  <c r="CN28" i="2"/>
  <c r="CN32" i="2"/>
  <c r="CZ36" i="2"/>
  <c r="CN40" i="2"/>
  <c r="CZ44" i="2"/>
  <c r="CN9" i="2"/>
  <c r="DB23" i="2"/>
  <c r="CQ28" i="2"/>
  <c r="CQ32" i="2"/>
  <c r="CQ36" i="2"/>
  <c r="CQ40" i="2"/>
  <c r="DA44" i="2"/>
  <c r="CG29" i="2"/>
  <c r="DC43" i="2"/>
  <c r="D56" i="2"/>
  <c r="BD56" i="2"/>
  <c r="Z74" i="2"/>
  <c r="V75" i="2"/>
  <c r="CZ17" i="2"/>
  <c r="CX36" i="2"/>
  <c r="CZ47" i="2"/>
  <c r="CQ50" i="2"/>
  <c r="AO56" i="2"/>
  <c r="AM74" i="2"/>
  <c r="AM75" i="2"/>
  <c r="AQ76" i="2"/>
  <c r="AI77" i="2"/>
  <c r="AA78" i="2"/>
  <c r="S79" i="2"/>
  <c r="K80" i="2"/>
  <c r="AQ80" i="2"/>
  <c r="AI81" i="2"/>
  <c r="AA82" i="2"/>
  <c r="CM18" i="2"/>
  <c r="CK33" i="2"/>
  <c r="CZ42" i="2"/>
  <c r="CN48" i="2"/>
  <c r="CX50" i="2"/>
  <c r="CN30" i="2"/>
  <c r="CG25" i="2"/>
  <c r="DB47" i="2"/>
  <c r="BC56" i="2"/>
  <c r="AR74" i="2"/>
  <c r="L76" i="2"/>
  <c r="I77" i="2"/>
  <c r="F78" i="2"/>
  <c r="D79" i="2"/>
  <c r="AT79" i="2"/>
  <c r="AR80" i="2"/>
  <c r="AO81" i="2"/>
  <c r="AL82" i="2"/>
  <c r="AD83" i="2"/>
  <c r="R84" i="2"/>
  <c r="F85" i="2"/>
  <c r="AL85" i="2"/>
  <c r="Z86" i="2"/>
  <c r="N87" i="2"/>
  <c r="AT87" i="2"/>
  <c r="AH88" i="2"/>
  <c r="V89" i="2"/>
  <c r="J90" i="2"/>
  <c r="AP90" i="2"/>
  <c r="AD91" i="2"/>
  <c r="R92" i="2"/>
  <c r="F93" i="2"/>
  <c r="AL93" i="2"/>
  <c r="Z94" i="2"/>
  <c r="N95" i="2"/>
  <c r="AT95" i="2"/>
  <c r="AH96" i="2"/>
  <c r="V97" i="2"/>
  <c r="J98" i="2"/>
  <c r="AP98" i="2"/>
  <c r="AD99" i="2"/>
  <c r="R100" i="2"/>
  <c r="F101" i="2"/>
  <c r="AL101" i="2"/>
  <c r="Z102" i="2"/>
  <c r="N103" i="2"/>
  <c r="AT103" i="2"/>
  <c r="AH104" i="2"/>
  <c r="V105" i="2"/>
  <c r="J106" i="2"/>
  <c r="AP106" i="2"/>
  <c r="AD107" i="2"/>
  <c r="R108" i="2"/>
  <c r="F109" i="2"/>
  <c r="AL109" i="2"/>
  <c r="Z110" i="2"/>
  <c r="N111" i="2"/>
  <c r="AT111" i="2"/>
  <c r="AH112" i="2"/>
  <c r="V113" i="2"/>
  <c r="J114" i="2"/>
  <c r="AL114" i="2"/>
  <c r="N115" i="2"/>
  <c r="AL115" i="2"/>
  <c r="CZ26" i="2"/>
  <c r="CZ49" i="2"/>
  <c r="AA56" i="2"/>
  <c r="H74" i="2"/>
  <c r="Y75" i="2"/>
  <c r="AD76" i="2"/>
  <c r="U77" i="2"/>
  <c r="R78" i="2"/>
  <c r="H79" i="2"/>
  <c r="AR79" i="2"/>
  <c r="AO80" i="2"/>
  <c r="AL81" i="2"/>
  <c r="U82" i="2"/>
  <c r="E83" i="2"/>
  <c r="AB83" i="2"/>
  <c r="E84" i="2"/>
  <c r="AA84" i="2"/>
  <c r="D85" i="2"/>
  <c r="Y85" i="2"/>
  <c r="H86" i="2"/>
  <c r="AC86" i="2"/>
  <c r="G87" i="2"/>
  <c r="AB87" i="2"/>
  <c r="E88" i="2"/>
  <c r="AA88" i="2"/>
  <c r="D89" i="2"/>
  <c r="Y89" i="2"/>
  <c r="H90" i="2"/>
  <c r="AC90" i="2"/>
  <c r="G91" i="2"/>
  <c r="AB91" i="2"/>
  <c r="E92" i="2"/>
  <c r="AA92" i="2"/>
  <c r="D93" i="2"/>
  <c r="Y93" i="2"/>
  <c r="H94" i="2"/>
  <c r="AC94" i="2"/>
  <c r="G95" i="2"/>
  <c r="AB95" i="2"/>
  <c r="E96" i="2"/>
  <c r="AA96" i="2"/>
  <c r="D97" i="2"/>
  <c r="Y97" i="2"/>
  <c r="H98" i="2"/>
  <c r="AC98" i="2"/>
  <c r="G99" i="2"/>
  <c r="AB99" i="2"/>
  <c r="E100" i="2"/>
  <c r="AA100" i="2"/>
  <c r="D101" i="2"/>
  <c r="Y101" i="2"/>
  <c r="H102" i="2"/>
  <c r="AC102" i="2"/>
  <c r="G103" i="2"/>
  <c r="AB103" i="2"/>
  <c r="E104" i="2"/>
  <c r="AA104" i="2"/>
  <c r="D105" i="2"/>
  <c r="Y105" i="2"/>
  <c r="H106" i="2"/>
  <c r="AC106" i="2"/>
  <c r="G107" i="2"/>
  <c r="AB107" i="2"/>
  <c r="E108" i="2"/>
  <c r="AA108" i="2"/>
  <c r="D109" i="2"/>
  <c r="Y109" i="2"/>
  <c r="H110" i="2"/>
  <c r="AC110" i="2"/>
  <c r="G111" i="2"/>
  <c r="AB111" i="2"/>
  <c r="E112" i="2"/>
  <c r="AA112" i="2"/>
  <c r="D113" i="2"/>
  <c r="Y113" i="2"/>
  <c r="H114" i="2"/>
  <c r="AC114" i="2"/>
  <c r="G115" i="2"/>
  <c r="AB115" i="2"/>
  <c r="E116" i="2"/>
  <c r="W116" i="2"/>
  <c r="AM116" i="2"/>
  <c r="O117" i="2"/>
  <c r="AE117" i="2"/>
  <c r="G118" i="2"/>
  <c r="W118" i="2"/>
  <c r="AM118" i="2"/>
  <c r="O119" i="2"/>
  <c r="AE119" i="2"/>
  <c r="CH5" i="3"/>
  <c r="CH7" i="3"/>
  <c r="CH9" i="3"/>
  <c r="CH11" i="3"/>
  <c r="CH13" i="3"/>
  <c r="CH15" i="3"/>
  <c r="CH17" i="3"/>
  <c r="CH19" i="3"/>
  <c r="CH23" i="3"/>
  <c r="CH25" i="3"/>
  <c r="CH27" i="3"/>
  <c r="CH29" i="3"/>
  <c r="CH31" i="3"/>
  <c r="CH33" i="3"/>
  <c r="CH35" i="3"/>
  <c r="CH37" i="3"/>
  <c r="CH39" i="3"/>
  <c r="CH41" i="3"/>
  <c r="CH43" i="3"/>
  <c r="F46" i="3"/>
  <c r="V46" i="3"/>
  <c r="AL46" i="3"/>
  <c r="BB46" i="3"/>
  <c r="L50" i="3"/>
  <c r="AB50" i="3"/>
  <c r="AR50" i="3"/>
  <c r="C51" i="3"/>
  <c r="S51" i="3"/>
  <c r="AI51" i="3"/>
  <c r="AY51" i="3"/>
  <c r="AI56" i="2"/>
  <c r="X74" i="2"/>
  <c r="AG75" i="2"/>
  <c r="AN76" i="2"/>
  <c r="AN77" i="2"/>
  <c r="AH78" i="2"/>
  <c r="Z79" i="2"/>
  <c r="R80" i="2"/>
  <c r="H81" i="2"/>
  <c r="J82" i="2"/>
  <c r="M83" i="2"/>
  <c r="AO83" i="2"/>
  <c r="Y84" i="2"/>
  <c r="Q85" i="2"/>
  <c r="CK13" i="2"/>
  <c r="CQ21" i="2"/>
  <c r="CM8" i="2"/>
  <c r="DB13" i="2"/>
  <c r="DA18" i="2"/>
  <c r="CH5" i="2"/>
  <c r="CX10" i="2"/>
  <c r="CN16" i="2"/>
  <c r="DC21" i="2"/>
  <c r="CK20" i="2"/>
  <c r="DA26" i="2"/>
  <c r="DA30" i="2"/>
  <c r="DA34" i="2"/>
  <c r="DA38" i="2"/>
  <c r="CN43" i="2"/>
  <c r="CZ5" i="2"/>
  <c r="DB19" i="2"/>
  <c r="DC25" i="2"/>
  <c r="CY29" i="2"/>
  <c r="DC33" i="2"/>
  <c r="DC37" i="2"/>
  <c r="DC41" i="2"/>
  <c r="DC45" i="2"/>
  <c r="CK12" i="2"/>
  <c r="CE26" i="2"/>
  <c r="CI30" i="2"/>
  <c r="CM34" i="2"/>
  <c r="CI38" i="2"/>
  <c r="CM42" i="2"/>
  <c r="CM46" i="2"/>
  <c r="CZ34" i="2"/>
  <c r="DC47" i="2"/>
  <c r="X56" i="2"/>
  <c r="AP74" i="2"/>
  <c r="AL75" i="2"/>
  <c r="DC27" i="2"/>
  <c r="DC39" i="2"/>
  <c r="CY48" i="2"/>
  <c r="M56" i="2"/>
  <c r="BE56" i="2"/>
  <c r="K74" i="2"/>
  <c r="O75" i="2"/>
  <c r="O76" i="2"/>
  <c r="O77" i="2"/>
  <c r="G78" i="2"/>
  <c r="AM78" i="2"/>
  <c r="AE79" i="2"/>
  <c r="W80" i="2"/>
  <c r="O81" i="2"/>
  <c r="G82" i="2"/>
  <c r="AM82" i="2"/>
  <c r="CI27" i="2"/>
  <c r="DC35" i="2"/>
  <c r="CG45" i="2"/>
  <c r="CI49" i="2"/>
  <c r="CG20" i="2"/>
  <c r="CX44" i="2"/>
  <c r="CH40" i="2"/>
  <c r="O56" i="2"/>
  <c r="D74" i="2"/>
  <c r="U75" i="2"/>
  <c r="AB76" i="2"/>
  <c r="Y77" i="2"/>
  <c r="V78" i="2"/>
  <c r="T79" i="2"/>
  <c r="Q80" i="2"/>
  <c r="N81" i="2"/>
  <c r="L82" i="2"/>
  <c r="I83" i="2"/>
  <c r="AP83" i="2"/>
  <c r="AD84" i="2"/>
  <c r="R85" i="2"/>
  <c r="F86" i="2"/>
  <c r="AL86" i="2"/>
  <c r="Z87" i="2"/>
  <c r="N88" i="2"/>
  <c r="AT88" i="2"/>
  <c r="AH89" i="2"/>
  <c r="V90" i="2"/>
  <c r="J91" i="2"/>
  <c r="AP91" i="2"/>
  <c r="AD92" i="2"/>
  <c r="R93" i="2"/>
  <c r="F94" i="2"/>
  <c r="AL94" i="2"/>
  <c r="Z95" i="2"/>
  <c r="N96" i="2"/>
  <c r="AT96" i="2"/>
  <c r="AH97" i="2"/>
  <c r="V98" i="2"/>
  <c r="J99" i="2"/>
  <c r="AP99" i="2"/>
  <c r="AD100" i="2"/>
  <c r="R101" i="2"/>
  <c r="F102" i="2"/>
  <c r="AL102" i="2"/>
  <c r="Z103" i="2"/>
  <c r="N104" i="2"/>
  <c r="AT104" i="2"/>
  <c r="AH105" i="2"/>
  <c r="V106" i="2"/>
  <c r="J107" i="2"/>
  <c r="AP107" i="2"/>
  <c r="AD108" i="2"/>
  <c r="R109" i="2"/>
  <c r="F110" i="2"/>
  <c r="AL110" i="2"/>
  <c r="Z111" i="2"/>
  <c r="N112" i="2"/>
  <c r="AT112" i="2"/>
  <c r="AH113" i="2"/>
  <c r="V114" i="2"/>
  <c r="AP114" i="2"/>
  <c r="V115" i="2"/>
  <c r="AP115" i="2"/>
  <c r="DB32" i="2"/>
  <c r="DA46" i="2"/>
  <c r="AL56" i="2"/>
  <c r="AC74" i="2"/>
  <c r="AJ75" i="2"/>
  <c r="AK76" i="2"/>
  <c r="AH77" i="2"/>
  <c r="Y78" i="2"/>
  <c r="P79" i="2"/>
  <c r="M80" i="2"/>
  <c r="J81" i="2"/>
  <c r="AS81" i="2"/>
  <c r="AC82" i="2"/>
  <c r="L83" i="2"/>
  <c r="AG83" i="2"/>
  <c r="K84" i="2"/>
  <c r="AF84" i="2"/>
  <c r="I85" i="2"/>
  <c r="AE85" i="2"/>
  <c r="M86" i="2"/>
  <c r="AI86" i="2"/>
  <c r="L87" i="2"/>
  <c r="AG87" i="2"/>
  <c r="K88" i="2"/>
  <c r="AF88" i="2"/>
  <c r="I89" i="2"/>
  <c r="AE89" i="2"/>
  <c r="M90" i="2"/>
  <c r="AI90" i="2"/>
  <c r="L91" i="2"/>
  <c r="AG91" i="2"/>
  <c r="K92" i="2"/>
  <c r="AF92" i="2"/>
  <c r="I93" i="2"/>
  <c r="AE93" i="2"/>
  <c r="M94" i="2"/>
  <c r="AI94" i="2"/>
  <c r="L95" i="2"/>
  <c r="AG95" i="2"/>
  <c r="K96" i="2"/>
  <c r="AF96" i="2"/>
  <c r="I97" i="2"/>
  <c r="AE97" i="2"/>
  <c r="M98" i="2"/>
  <c r="AI98" i="2"/>
  <c r="L99" i="2"/>
  <c r="AG99" i="2"/>
  <c r="K100" i="2"/>
  <c r="AF100" i="2"/>
  <c r="I101" i="2"/>
  <c r="AE101" i="2"/>
  <c r="M102" i="2"/>
  <c r="AI102" i="2"/>
  <c r="L103" i="2"/>
  <c r="AG103" i="2"/>
  <c r="K104" i="2"/>
  <c r="AF104" i="2"/>
  <c r="I105" i="2"/>
  <c r="AE105" i="2"/>
  <c r="M106" i="2"/>
  <c r="AI106" i="2"/>
  <c r="L107" i="2"/>
  <c r="AG107" i="2"/>
  <c r="K108" i="2"/>
  <c r="AF108" i="2"/>
  <c r="I109" i="2"/>
  <c r="AE109" i="2"/>
  <c r="M110" i="2"/>
  <c r="AI110" i="2"/>
  <c r="L111" i="2"/>
  <c r="AG111" i="2"/>
  <c r="K112" i="2"/>
  <c r="AF112" i="2"/>
  <c r="I113" i="2"/>
  <c r="AE113" i="2"/>
  <c r="M114" i="2"/>
  <c r="AI114" i="2"/>
  <c r="L115" i="2"/>
  <c r="AG115" i="2"/>
  <c r="K116" i="2"/>
  <c r="AA116" i="2"/>
  <c r="AQ116" i="2"/>
  <c r="S117" i="2"/>
  <c r="AI117" i="2"/>
  <c r="K118" i="2"/>
  <c r="AA118" i="2"/>
  <c r="AQ118" i="2"/>
  <c r="S119" i="2"/>
  <c r="AI119" i="2"/>
  <c r="CP5" i="3"/>
  <c r="CP7" i="3"/>
  <c r="CP9" i="3"/>
  <c r="CP11" i="3"/>
  <c r="CP13" i="3"/>
  <c r="CP15" i="3"/>
  <c r="CP17" i="3"/>
  <c r="CP19" i="3"/>
  <c r="CP23" i="3"/>
  <c r="CP25" i="3"/>
  <c r="CP27" i="3"/>
  <c r="CP29" i="3"/>
  <c r="CP31" i="3"/>
  <c r="CP33" i="3"/>
  <c r="CP35" i="3"/>
  <c r="CP37" i="3"/>
  <c r="CP39" i="3"/>
  <c r="CP41" i="3"/>
  <c r="CP43" i="3"/>
  <c r="J46" i="3"/>
  <c r="Z46" i="3"/>
  <c r="AP46" i="3"/>
  <c r="BF46" i="3"/>
  <c r="P50" i="3"/>
  <c r="AF50" i="3"/>
  <c r="AV50" i="3"/>
  <c r="G51" i="3"/>
  <c r="W51" i="3"/>
  <c r="AM51" i="3"/>
  <c r="BC51" i="3"/>
  <c r="AY56" i="2"/>
  <c r="AK74" i="2"/>
  <c r="J76" i="2"/>
  <c r="L77" i="2"/>
  <c r="E78" i="2"/>
  <c r="AP78" i="2"/>
  <c r="AH79" i="2"/>
  <c r="AC80" i="2"/>
  <c r="R81" i="2"/>
  <c r="T82" i="2"/>
  <c r="T83" i="2"/>
  <c r="D84" i="2"/>
  <c r="AG84" i="2"/>
  <c r="X85" i="2"/>
  <c r="CK5" i="2"/>
  <c r="DC15" i="2"/>
  <c r="CN22" i="2"/>
  <c r="CH9" i="2"/>
  <c r="CK14" i="2"/>
  <c r="CE20" i="2"/>
  <c r="DC5" i="2"/>
  <c r="CQ11" i="2"/>
  <c r="CZ16" i="2"/>
  <c r="CH22" i="2"/>
  <c r="CX22" i="2"/>
  <c r="CN27" i="2"/>
  <c r="CZ31" i="2"/>
  <c r="CZ35" i="2"/>
  <c r="CZ39" i="2"/>
  <c r="CZ43" i="2"/>
  <c r="CX7" i="2"/>
  <c r="DA20" i="2"/>
  <c r="CH26" i="2"/>
  <c r="CX30" i="2"/>
  <c r="CH34" i="2"/>
  <c r="CX38" i="2"/>
  <c r="CX42" i="2"/>
  <c r="CX46" i="2"/>
  <c r="CQ12" i="2"/>
  <c r="CY26" i="2"/>
  <c r="CM30" i="2"/>
  <c r="CY34" i="2"/>
  <c r="DC38" i="2"/>
  <c r="CY42" i="2"/>
  <c r="CH23" i="2"/>
  <c r="CH36" i="2"/>
  <c r="CX48" i="2"/>
  <c r="AB56" i="2"/>
  <c r="AT74" i="2"/>
  <c r="AT75" i="2"/>
  <c r="CX28" i="2"/>
  <c r="DB40" i="2"/>
  <c r="CH49" i="2"/>
  <c r="Q56" i="2"/>
  <c r="O74" i="2"/>
  <c r="S75" i="2"/>
  <c r="W76" i="2"/>
  <c r="S77" i="2"/>
  <c r="K78" i="2"/>
  <c r="AQ78" i="2"/>
  <c r="AI79" i="2"/>
  <c r="AA80" i="2"/>
  <c r="S81" i="2"/>
  <c r="K82" i="2"/>
  <c r="AQ82" i="2"/>
  <c r="DB28" i="2"/>
  <c r="DB36" i="2"/>
  <c r="CZ46" i="2"/>
  <c r="CM49" i="2"/>
  <c r="CE22" i="2"/>
  <c r="CX47" i="2"/>
  <c r="CG41" i="2"/>
  <c r="W56" i="2"/>
  <c r="L74" i="2"/>
  <c r="AC75" i="2"/>
  <c r="AG76" i="2"/>
  <c r="AD77" i="2"/>
  <c r="AB78" i="2"/>
  <c r="Y79" i="2"/>
  <c r="V80" i="2"/>
  <c r="T81" i="2"/>
  <c r="Q82" i="2"/>
  <c r="N83" i="2"/>
  <c r="AT83" i="2"/>
  <c r="AH84" i="2"/>
  <c r="V85" i="2"/>
  <c r="J86" i="2"/>
  <c r="AP86" i="2"/>
  <c r="AD87" i="2"/>
  <c r="R88" i="2"/>
  <c r="F89" i="2"/>
  <c r="AL89" i="2"/>
  <c r="Z90" i="2"/>
  <c r="N91" i="2"/>
  <c r="AT91" i="2"/>
  <c r="AH92" i="2"/>
  <c r="V93" i="2"/>
  <c r="J94" i="2"/>
  <c r="AP94" i="2"/>
  <c r="AD95" i="2"/>
  <c r="R96" i="2"/>
  <c r="F97" i="2"/>
  <c r="AL97" i="2"/>
  <c r="Z98" i="2"/>
  <c r="N99" i="2"/>
  <c r="AT99" i="2"/>
  <c r="AH100" i="2"/>
  <c r="V101" i="2"/>
  <c r="J102" i="2"/>
  <c r="AP102" i="2"/>
  <c r="AD103" i="2"/>
  <c r="R104" i="2"/>
  <c r="F105" i="2"/>
  <c r="AL105" i="2"/>
  <c r="Z106" i="2"/>
  <c r="N107" i="2"/>
  <c r="AT107" i="2"/>
  <c r="AH108" i="2"/>
  <c r="V109" i="2"/>
  <c r="J110" i="2"/>
  <c r="AP110" i="2"/>
  <c r="AD111" i="2"/>
  <c r="R112" i="2"/>
  <c r="F113" i="2"/>
  <c r="AL113" i="2"/>
  <c r="Z114" i="2"/>
  <c r="F115" i="2"/>
  <c r="Z115" i="2"/>
  <c r="AT115" i="2"/>
  <c r="CZ38" i="2"/>
  <c r="CG48" i="2"/>
  <c r="AX56" i="2"/>
  <c r="AN74" i="2"/>
  <c r="I76" i="2"/>
  <c r="F77" i="2"/>
  <c r="AP77" i="2"/>
  <c r="AF78" i="2"/>
  <c r="AC79" i="2"/>
  <c r="T80" i="2"/>
  <c r="Q81" i="2"/>
  <c r="H82" i="2"/>
  <c r="AJ82" i="2"/>
  <c r="Q83" i="2"/>
  <c r="AM83" i="2"/>
  <c r="P84" i="2"/>
  <c r="AK84" i="2"/>
  <c r="O85" i="2"/>
  <c r="AJ85" i="2"/>
  <c r="S86" i="2"/>
  <c r="AN86" i="2"/>
  <c r="Q87" i="2"/>
  <c r="AM87" i="2"/>
  <c r="P88" i="2"/>
  <c r="AK88" i="2"/>
  <c r="O89" i="2"/>
  <c r="AJ89" i="2"/>
  <c r="S90" i="2"/>
  <c r="AN90" i="2"/>
  <c r="Q91" i="2"/>
  <c r="AM91" i="2"/>
  <c r="P92" i="2"/>
  <c r="AK92" i="2"/>
  <c r="O93" i="2"/>
  <c r="AJ93" i="2"/>
  <c r="S94" i="2"/>
  <c r="AN94" i="2"/>
  <c r="Q95" i="2"/>
  <c r="AM95" i="2"/>
  <c r="P96" i="2"/>
  <c r="AK96" i="2"/>
  <c r="O97" i="2"/>
  <c r="AJ97" i="2"/>
  <c r="S98" i="2"/>
  <c r="AN98" i="2"/>
  <c r="Q99" i="2"/>
  <c r="AM99" i="2"/>
  <c r="P100" i="2"/>
  <c r="AK100" i="2"/>
  <c r="O101" i="2"/>
  <c r="AJ101" i="2"/>
  <c r="S102" i="2"/>
  <c r="AN102" i="2"/>
  <c r="Q103" i="2"/>
  <c r="AM103" i="2"/>
  <c r="P104" i="2"/>
  <c r="AK104" i="2"/>
  <c r="O105" i="2"/>
  <c r="AJ105" i="2"/>
  <c r="S106" i="2"/>
  <c r="AN106" i="2"/>
  <c r="Q107" i="2"/>
  <c r="AM107" i="2"/>
  <c r="P108" i="2"/>
  <c r="AK108" i="2"/>
  <c r="O109" i="2"/>
  <c r="AJ109" i="2"/>
  <c r="S110" i="2"/>
  <c r="AN110" i="2"/>
  <c r="Q111" i="2"/>
  <c r="AM111" i="2"/>
  <c r="P112" i="2"/>
  <c r="AK112" i="2"/>
  <c r="O113" i="2"/>
  <c r="AJ113" i="2"/>
  <c r="M77" i="2"/>
  <c r="Z80" i="2"/>
  <c r="W83" i="2"/>
  <c r="T85" i="2"/>
  <c r="W87" i="2"/>
  <c r="T89" i="2"/>
  <c r="W91" i="2"/>
  <c r="T93" i="2"/>
  <c r="W95" i="2"/>
  <c r="T97" i="2"/>
  <c r="W99" i="2"/>
  <c r="T101" i="2"/>
  <c r="W103" i="2"/>
  <c r="T105" i="2"/>
  <c r="W107" i="2"/>
  <c r="T109" i="2"/>
  <c r="W111" i="2"/>
  <c r="T113" i="2"/>
  <c r="AN114" i="2"/>
  <c r="AM115" i="2"/>
  <c r="AE116" i="2"/>
  <c r="W117" i="2"/>
  <c r="O118" i="2"/>
  <c r="G119" i="2"/>
  <c r="AM119" i="2"/>
  <c r="CH8" i="3"/>
  <c r="CH12" i="3"/>
  <c r="CH16" i="3"/>
  <c r="CH20" i="3"/>
  <c r="CH24" i="3"/>
  <c r="CH28" i="3"/>
  <c r="CH32" i="3"/>
  <c r="CH36" i="3"/>
  <c r="CH40" i="3"/>
  <c r="CH44" i="3"/>
  <c r="AD46" i="3"/>
  <c r="D50" i="3"/>
  <c r="AJ50" i="3"/>
  <c r="K51" i="3"/>
  <c r="AQ51" i="3"/>
  <c r="H75" i="2"/>
  <c r="V77" i="2"/>
  <c r="F79" i="2"/>
  <c r="AK80" i="2"/>
  <c r="AD82" i="2"/>
  <c r="L84" i="2"/>
  <c r="AF85" i="2"/>
  <c r="O86" i="2"/>
  <c r="AQ86" i="2"/>
  <c r="AA87" i="2"/>
  <c r="L88" i="2"/>
  <c r="AN88" i="2"/>
  <c r="AF89" i="2"/>
  <c r="O90" i="2"/>
  <c r="AQ90" i="2"/>
  <c r="AA91" i="2"/>
  <c r="L92" i="2"/>
  <c r="AN92" i="2"/>
  <c r="AF93" i="2"/>
  <c r="O94" i="2"/>
  <c r="AQ94" i="2"/>
  <c r="AA95" i="2"/>
  <c r="L96" i="2"/>
  <c r="AN96" i="2"/>
  <c r="AF97" i="2"/>
  <c r="O98" i="2"/>
  <c r="AQ98" i="2"/>
  <c r="AA99" i="2"/>
  <c r="L100" i="2"/>
  <c r="AN100" i="2"/>
  <c r="AF101" i="2"/>
  <c r="O102" i="2"/>
  <c r="AQ102" i="2"/>
  <c r="AA103" i="2"/>
  <c r="L104" i="2"/>
  <c r="AN104" i="2"/>
  <c r="AF105" i="2"/>
  <c r="O106" i="2"/>
  <c r="AQ106" i="2"/>
  <c r="AA107" i="2"/>
  <c r="L108" i="2"/>
  <c r="AN108" i="2"/>
  <c r="AF109" i="2"/>
  <c r="O110" i="2"/>
  <c r="AQ110" i="2"/>
  <c r="AA111" i="2"/>
  <c r="L112" i="2"/>
  <c r="AN112" i="2"/>
  <c r="AF113" i="2"/>
  <c r="O114" i="2"/>
  <c r="AQ114" i="2"/>
  <c r="AA115" i="2"/>
  <c r="L116" i="2"/>
  <c r="AG116" i="2"/>
  <c r="I117" i="2"/>
  <c r="AD117" i="2"/>
  <c r="F118" i="2"/>
  <c r="AB118" i="2"/>
  <c r="D119" i="2"/>
  <c r="Y119" i="2"/>
  <c r="AT119" i="2"/>
  <c r="AP56" i="2"/>
  <c r="M74" i="2"/>
  <c r="X75" i="2"/>
  <c r="AH56" i="2"/>
  <c r="E74" i="2"/>
  <c r="H76" i="2"/>
  <c r="J77" i="2"/>
  <c r="AC78" i="2"/>
  <c r="AG79" i="2"/>
  <c r="E81" i="2"/>
  <c r="E82" i="2"/>
  <c r="H83" i="2"/>
  <c r="M84" i="2"/>
  <c r="E85" i="2"/>
  <c r="AQ85" i="2"/>
  <c r="AG86" i="2"/>
  <c r="AC87" i="2"/>
  <c r="AE88" i="2"/>
  <c r="W89" i="2"/>
  <c r="P90" i="2"/>
  <c r="I91" i="2"/>
  <c r="M92" i="2"/>
  <c r="E93" i="2"/>
  <c r="AQ93" i="2"/>
  <c r="AG94" i="2"/>
  <c r="AC95" i="2"/>
  <c r="AE96" i="2"/>
  <c r="W97" i="2"/>
  <c r="P98" i="2"/>
  <c r="I99" i="2"/>
  <c r="M100" i="2"/>
  <c r="E101" i="2"/>
  <c r="AQ101" i="2"/>
  <c r="AG102" i="2"/>
  <c r="AC103" i="2"/>
  <c r="AE104" i="2"/>
  <c r="W105" i="2"/>
  <c r="P106" i="2"/>
  <c r="I107" i="2"/>
  <c r="M108" i="2"/>
  <c r="E109" i="2"/>
  <c r="AQ109" i="2"/>
  <c r="AG110" i="2"/>
  <c r="AC111" i="2"/>
  <c r="AE112" i="2"/>
  <c r="W113" i="2"/>
  <c r="P114" i="2"/>
  <c r="I115" i="2"/>
  <c r="M116" i="2"/>
  <c r="AO116" i="2"/>
  <c r="AF117" i="2"/>
  <c r="N118" i="2"/>
  <c r="AP118" i="2"/>
  <c r="Z119" i="2"/>
  <c r="CJ5" i="3"/>
  <c r="CO6" i="3"/>
  <c r="CE8" i="3"/>
  <c r="CJ9" i="3"/>
  <c r="CO10" i="3"/>
  <c r="CE12" i="3"/>
  <c r="CJ13" i="3"/>
  <c r="CO14" i="3"/>
  <c r="CE16" i="3"/>
  <c r="CJ17" i="3"/>
  <c r="CO18" i="3"/>
  <c r="CE20" i="3"/>
  <c r="CO22" i="3"/>
  <c r="CE24" i="3"/>
  <c r="CJ25" i="3"/>
  <c r="CO26" i="3"/>
  <c r="CE28" i="3"/>
  <c r="CJ29" i="3"/>
  <c r="CO30" i="3"/>
  <c r="CE32" i="3"/>
  <c r="CJ33" i="3"/>
  <c r="CO34" i="3"/>
  <c r="CE36" i="3"/>
  <c r="CJ37" i="3"/>
  <c r="CO38" i="3"/>
  <c r="CE40" i="3"/>
  <c r="CJ41" i="3"/>
  <c r="CO42" i="3"/>
  <c r="CE44" i="3"/>
  <c r="H46" i="3"/>
  <c r="AC46" i="3"/>
  <c r="AY46" i="3"/>
  <c r="R50" i="3"/>
  <c r="AM50" i="3"/>
  <c r="D51" i="3"/>
  <c r="Y51" i="3"/>
  <c r="AT51" i="3"/>
  <c r="H54" i="3"/>
  <c r="X54" i="3"/>
  <c r="AN54" i="3"/>
  <c r="N55" i="3"/>
  <c r="AD55" i="3"/>
  <c r="D56" i="3"/>
  <c r="T56" i="3"/>
  <c r="AJ56" i="3"/>
  <c r="J57" i="3"/>
  <c r="Z57" i="3"/>
  <c r="AP57" i="3"/>
  <c r="P58" i="3"/>
  <c r="AF58" i="3"/>
  <c r="F59" i="3"/>
  <c r="V59" i="3"/>
  <c r="AL59" i="3"/>
  <c r="L60" i="3"/>
  <c r="AB60" i="3"/>
  <c r="AR60" i="3"/>
  <c r="R61" i="3"/>
  <c r="AH61" i="3"/>
  <c r="H62" i="3"/>
  <c r="X62" i="3"/>
  <c r="AN62" i="3"/>
  <c r="N63" i="3"/>
  <c r="AD63" i="3"/>
  <c r="D64" i="3"/>
  <c r="T64" i="3"/>
  <c r="AJ64" i="3"/>
  <c r="J65" i="3"/>
  <c r="Z65" i="3"/>
  <c r="AP65" i="3"/>
  <c r="P66" i="3"/>
  <c r="AF66" i="3"/>
  <c r="F67" i="3"/>
  <c r="V67" i="3"/>
  <c r="AL67" i="3"/>
  <c r="L68" i="3"/>
  <c r="AB68" i="3"/>
  <c r="AR68" i="3"/>
  <c r="R69" i="3"/>
  <c r="AH69" i="3"/>
  <c r="H70" i="3"/>
  <c r="X70" i="3"/>
  <c r="AN70" i="3"/>
  <c r="N71" i="3"/>
  <c r="AD71" i="3"/>
  <c r="D72" i="3"/>
  <c r="T72" i="3"/>
  <c r="AJ72" i="3"/>
  <c r="J73" i="3"/>
  <c r="Z73" i="3"/>
  <c r="AP73" i="3"/>
  <c r="P74" i="3"/>
  <c r="AF74" i="3"/>
  <c r="F75" i="3"/>
  <c r="V75" i="3"/>
  <c r="AL75" i="3"/>
  <c r="L76" i="3"/>
  <c r="AB76" i="3"/>
  <c r="D78" i="2"/>
  <c r="AF81" i="2"/>
  <c r="AR83" i="2"/>
  <c r="AO85" i="2"/>
  <c r="AR87" i="2"/>
  <c r="AO89" i="2"/>
  <c r="AR91" i="2"/>
  <c r="AO93" i="2"/>
  <c r="AR95" i="2"/>
  <c r="AO97" i="2"/>
  <c r="AR99" i="2"/>
  <c r="AO101" i="2"/>
  <c r="AR103" i="2"/>
  <c r="AO105" i="2"/>
  <c r="AR107" i="2"/>
  <c r="AO109" i="2"/>
  <c r="AR111" i="2"/>
  <c r="AO113" i="2"/>
  <c r="AS114" i="2"/>
  <c r="AR115" i="2"/>
  <c r="AI116" i="2"/>
  <c r="AA117" i="2"/>
  <c r="S118" i="2"/>
  <c r="K119" i="2"/>
  <c r="AQ119" i="2"/>
  <c r="CP8" i="3"/>
  <c r="CP12" i="3"/>
  <c r="CP16" i="3"/>
  <c r="CP20" i="3"/>
  <c r="CP24" i="3"/>
  <c r="CP28" i="3"/>
  <c r="CP32" i="3"/>
  <c r="CP36" i="3"/>
  <c r="CP40" i="3"/>
  <c r="CP44" i="3"/>
  <c r="AH46" i="3"/>
  <c r="H50" i="3"/>
  <c r="AN50" i="3"/>
  <c r="O51" i="3"/>
  <c r="AU51" i="3"/>
  <c r="T75" i="2"/>
  <c r="AF77" i="2"/>
  <c r="Q79" i="2"/>
  <c r="AT80" i="2"/>
  <c r="AN82" i="2"/>
  <c r="S84" i="2"/>
  <c r="AM85" i="2"/>
  <c r="U86" i="2"/>
  <c r="E87" i="2"/>
  <c r="AI87" i="2"/>
  <c r="S88" i="2"/>
  <c r="K89" i="2"/>
  <c r="AM89" i="2"/>
  <c r="U90" i="2"/>
  <c r="E91" i="2"/>
  <c r="AI91" i="2"/>
  <c r="S92" i="2"/>
  <c r="K93" i="2"/>
  <c r="AM93" i="2"/>
  <c r="U94" i="2"/>
  <c r="E95" i="2"/>
  <c r="AI95" i="2"/>
  <c r="S96" i="2"/>
  <c r="K97" i="2"/>
  <c r="AM97" i="2"/>
  <c r="U98" i="2"/>
  <c r="E99" i="2"/>
  <c r="AI99" i="2"/>
  <c r="S100" i="2"/>
  <c r="K101" i="2"/>
  <c r="AM101" i="2"/>
  <c r="U102" i="2"/>
  <c r="E103" i="2"/>
  <c r="AI103" i="2"/>
  <c r="S104" i="2"/>
  <c r="K105" i="2"/>
  <c r="AM105" i="2"/>
  <c r="U106" i="2"/>
  <c r="E107" i="2"/>
  <c r="AI107" i="2"/>
  <c r="S108" i="2"/>
  <c r="K109" i="2"/>
  <c r="AM109" i="2"/>
  <c r="U110" i="2"/>
  <c r="E111" i="2"/>
  <c r="AI111" i="2"/>
  <c r="S112" i="2"/>
  <c r="K113" i="2"/>
  <c r="AM113" i="2"/>
  <c r="U114" i="2"/>
  <c r="E115" i="2"/>
  <c r="AI115" i="2"/>
  <c r="Q116" i="2"/>
  <c r="AL116" i="2"/>
  <c r="N117" i="2"/>
  <c r="AJ117" i="2"/>
  <c r="L118" i="2"/>
  <c r="AG118" i="2"/>
  <c r="I119" i="2"/>
  <c r="AD119" i="2"/>
  <c r="DA48" i="2"/>
  <c r="BB56" i="2"/>
  <c r="Y74" i="2"/>
  <c r="AN75" i="2"/>
  <c r="AG74" i="2"/>
  <c r="U76" i="2"/>
  <c r="X77" i="2"/>
  <c r="AO78" i="2"/>
  <c r="N80" i="2"/>
  <c r="P81" i="2"/>
  <c r="R82" i="2"/>
  <c r="S83" i="2"/>
  <c r="W84" i="2"/>
  <c r="M85" i="2"/>
  <c r="E86" i="2"/>
  <c r="AR86" i="2"/>
  <c r="AK87" i="2"/>
  <c r="AO88" i="2"/>
  <c r="AG89" i="2"/>
  <c r="Y90" i="2"/>
  <c r="S91" i="2"/>
  <c r="W92" i="2"/>
  <c r="M93" i="2"/>
  <c r="E94" i="2"/>
  <c r="AR94" i="2"/>
  <c r="AK95" i="2"/>
  <c r="AO96" i="2"/>
  <c r="AG97" i="2"/>
  <c r="Y98" i="2"/>
  <c r="S99" i="2"/>
  <c r="W100" i="2"/>
  <c r="M101" i="2"/>
  <c r="E102" i="2"/>
  <c r="AR102" i="2"/>
  <c r="AK103" i="2"/>
  <c r="AO104" i="2"/>
  <c r="AG105" i="2"/>
  <c r="Y106" i="2"/>
  <c r="S107" i="2"/>
  <c r="W108" i="2"/>
  <c r="M109" i="2"/>
  <c r="E110" i="2"/>
  <c r="AR110" i="2"/>
  <c r="AK111" i="2"/>
  <c r="AO112" i="2"/>
  <c r="AG113" i="2"/>
  <c r="Y114" i="2"/>
  <c r="S115" i="2"/>
  <c r="T116" i="2"/>
  <c r="J117" i="2"/>
  <c r="AL117" i="2"/>
  <c r="U118" i="2"/>
  <c r="E119" i="2"/>
  <c r="AG119" i="2"/>
  <c r="CO5" i="3"/>
  <c r="CE7" i="3"/>
  <c r="CJ8" i="3"/>
  <c r="CO9" i="3"/>
  <c r="CE11" i="3"/>
  <c r="CJ12" i="3"/>
  <c r="CO13" i="3"/>
  <c r="CE15" i="3"/>
  <c r="CJ16" i="3"/>
  <c r="CO17" i="3"/>
  <c r="CE19" i="3"/>
  <c r="CJ20" i="3"/>
  <c r="CE23" i="3"/>
  <c r="CJ24" i="3"/>
  <c r="CO25" i="3"/>
  <c r="CE27" i="3"/>
  <c r="CJ28" i="3"/>
  <c r="CO29" i="3"/>
  <c r="CE31" i="3"/>
  <c r="CJ32" i="3"/>
  <c r="CO33" i="3"/>
  <c r="CE35" i="3"/>
  <c r="CJ36" i="3"/>
  <c r="CO37" i="3"/>
  <c r="CE39" i="3"/>
  <c r="CJ40" i="3"/>
  <c r="CO41" i="3"/>
  <c r="CE43" i="3"/>
  <c r="CJ44" i="3"/>
  <c r="M46" i="3"/>
  <c r="AI46" i="3"/>
  <c r="BD46" i="3"/>
  <c r="W50" i="3"/>
  <c r="AS50" i="3"/>
  <c r="I51" i="3"/>
  <c r="AD51" i="3"/>
  <c r="AZ51" i="3"/>
  <c r="L54" i="3"/>
  <c r="AB54" i="3"/>
  <c r="AR54" i="3"/>
  <c r="R55" i="3"/>
  <c r="AH55" i="3"/>
  <c r="H56" i="3"/>
  <c r="X56" i="3"/>
  <c r="AN56" i="3"/>
  <c r="N57" i="3"/>
  <c r="AD57" i="3"/>
  <c r="D58" i="3"/>
  <c r="T58" i="3"/>
  <c r="AJ58" i="3"/>
  <c r="J59" i="3"/>
  <c r="Z59" i="3"/>
  <c r="AP59" i="3"/>
  <c r="P60" i="3"/>
  <c r="AF60" i="3"/>
  <c r="F61" i="3"/>
  <c r="V61" i="3"/>
  <c r="AL61" i="3"/>
  <c r="L62" i="3"/>
  <c r="AB62" i="3"/>
  <c r="AR62" i="3"/>
  <c r="R63" i="3"/>
  <c r="AH63" i="3"/>
  <c r="H64" i="3"/>
  <c r="X64" i="3"/>
  <c r="AN64" i="3"/>
  <c r="N65" i="3"/>
  <c r="AD65" i="3"/>
  <c r="D66" i="3"/>
  <c r="T66" i="3"/>
  <c r="AJ66" i="3"/>
  <c r="J67" i="3"/>
  <c r="Z67" i="3"/>
  <c r="AP67" i="3"/>
  <c r="P68" i="3"/>
  <c r="AF68" i="3"/>
  <c r="F69" i="3"/>
  <c r="V69" i="3"/>
  <c r="AL69" i="3"/>
  <c r="L70" i="3"/>
  <c r="AB70" i="3"/>
  <c r="AR70" i="3"/>
  <c r="R71" i="3"/>
  <c r="AH71" i="3"/>
  <c r="H72" i="3"/>
  <c r="X72" i="3"/>
  <c r="AN72" i="3"/>
  <c r="N73" i="3"/>
  <c r="AD73" i="3"/>
  <c r="D74" i="3"/>
  <c r="T74" i="3"/>
  <c r="AJ74" i="3"/>
  <c r="J75" i="3"/>
  <c r="Z75" i="3"/>
  <c r="AP75" i="3"/>
  <c r="P76" i="3"/>
  <c r="AF76" i="3"/>
  <c r="AT78" i="2"/>
  <c r="N82" i="2"/>
  <c r="U84" i="2"/>
  <c r="X86" i="2"/>
  <c r="U88" i="2"/>
  <c r="X90" i="2"/>
  <c r="U92" i="2"/>
  <c r="X94" i="2"/>
  <c r="U96" i="2"/>
  <c r="X98" i="2"/>
  <c r="U100" i="2"/>
  <c r="X102" i="2"/>
  <c r="U104" i="2"/>
  <c r="X106" i="2"/>
  <c r="U108" i="2"/>
  <c r="X110" i="2"/>
  <c r="U112" i="2"/>
  <c r="S114" i="2"/>
  <c r="Q115" i="2"/>
  <c r="O116" i="2"/>
  <c r="G117" i="2"/>
  <c r="AM117" i="2"/>
  <c r="AE118" i="2"/>
  <c r="W119" i="2"/>
  <c r="CH6" i="3"/>
  <c r="CH10" i="3"/>
  <c r="CH14" i="3"/>
  <c r="CH18" i="3"/>
  <c r="CH22" i="3"/>
  <c r="CH26" i="3"/>
  <c r="CH30" i="3"/>
  <c r="CH34" i="3"/>
  <c r="CH38" i="3"/>
  <c r="CH42" i="3"/>
  <c r="N46" i="3"/>
  <c r="AT46" i="3"/>
  <c r="T50" i="3"/>
  <c r="AZ50" i="3"/>
  <c r="AA51" i="3"/>
  <c r="J56" i="2"/>
  <c r="T76" i="2"/>
  <c r="N78" i="2"/>
  <c r="AS79" i="2"/>
  <c r="AB81" i="2"/>
  <c r="AA83" i="2"/>
  <c r="AN84" i="2"/>
  <c r="AS85" i="2"/>
  <c r="AB86" i="2"/>
  <c r="M87" i="2"/>
  <c r="AO87" i="2"/>
  <c r="Y88" i="2"/>
  <c r="Q89" i="2"/>
  <c r="AS89" i="2"/>
  <c r="AB90" i="2"/>
  <c r="M91" i="2"/>
  <c r="AO91" i="2"/>
  <c r="Y92" i="2"/>
  <c r="Q93" i="2"/>
  <c r="AS93" i="2"/>
  <c r="AB94" i="2"/>
  <c r="M95" i="2"/>
  <c r="AO95" i="2"/>
  <c r="Y96" i="2"/>
  <c r="Q97" i="2"/>
  <c r="AS97" i="2"/>
  <c r="AB98" i="2"/>
  <c r="M99" i="2"/>
  <c r="AO99" i="2"/>
  <c r="Y100" i="2"/>
  <c r="Q101" i="2"/>
  <c r="AS101" i="2"/>
  <c r="AB102" i="2"/>
  <c r="M103" i="2"/>
  <c r="AO103" i="2"/>
  <c r="Y104" i="2"/>
  <c r="Q105" i="2"/>
  <c r="AS105" i="2"/>
  <c r="AB106" i="2"/>
  <c r="M107" i="2"/>
  <c r="AO107" i="2"/>
  <c r="Y108" i="2"/>
  <c r="Q109" i="2"/>
  <c r="AS109" i="2"/>
  <c r="AB110" i="2"/>
  <c r="M111" i="2"/>
  <c r="AO111" i="2"/>
  <c r="Y112" i="2"/>
  <c r="Q113" i="2"/>
  <c r="AS113" i="2"/>
  <c r="AB114" i="2"/>
  <c r="M115" i="2"/>
  <c r="AO115" i="2"/>
  <c r="V116" i="2"/>
  <c r="AR116" i="2"/>
  <c r="T117" i="2"/>
  <c r="AO117" i="2"/>
  <c r="Q118" i="2"/>
  <c r="AL118" i="2"/>
  <c r="N119" i="2"/>
  <c r="AJ119" i="2"/>
  <c r="K56" i="2"/>
  <c r="AO74" i="2"/>
  <c r="CM50" i="2"/>
  <c r="Q75" i="2"/>
  <c r="AH76" i="2"/>
  <c r="AK77" i="2"/>
  <c r="J79" i="2"/>
  <c r="Y80" i="2"/>
  <c r="AC81" i="2"/>
  <c r="AF82" i="2"/>
  <c r="AC83" i="2"/>
  <c r="AE84" i="2"/>
  <c r="W85" i="2"/>
  <c r="P86" i="2"/>
  <c r="I87" i="2"/>
  <c r="M88" i="2"/>
  <c r="E89" i="2"/>
  <c r="AQ89" i="2"/>
  <c r="AG90" i="2"/>
  <c r="AC91" i="2"/>
  <c r="AE92" i="2"/>
  <c r="W93" i="2"/>
  <c r="P94" i="2"/>
  <c r="I95" i="2"/>
  <c r="M96" i="2"/>
  <c r="E97" i="2"/>
  <c r="AQ97" i="2"/>
  <c r="AG98" i="2"/>
  <c r="AC99" i="2"/>
  <c r="AE100" i="2"/>
  <c r="W101" i="2"/>
  <c r="P102" i="2"/>
  <c r="I103" i="2"/>
  <c r="M104" i="2"/>
  <c r="E105" i="2"/>
  <c r="AQ105" i="2"/>
  <c r="AG106" i="2"/>
  <c r="AC107" i="2"/>
  <c r="AE108" i="2"/>
  <c r="W109" i="2"/>
  <c r="P110" i="2"/>
  <c r="I111" i="2"/>
  <c r="M112" i="2"/>
  <c r="E113" i="2"/>
  <c r="AQ113" i="2"/>
  <c r="AG114" i="2"/>
  <c r="AC115" i="2"/>
  <c r="Z116" i="2"/>
  <c r="Q117" i="2"/>
  <c r="AS117" i="2"/>
  <c r="AC118" i="2"/>
  <c r="L119" i="2"/>
  <c r="AN119" i="2"/>
  <c r="CE6" i="3"/>
  <c r="CJ7" i="3"/>
  <c r="CO8" i="3"/>
  <c r="CE10" i="3"/>
  <c r="CJ11" i="3"/>
  <c r="CO12" i="3"/>
  <c r="CE14" i="3"/>
  <c r="CJ15" i="3"/>
  <c r="CO16" i="3"/>
  <c r="CE18" i="3"/>
  <c r="CJ19" i="3"/>
  <c r="CO20" i="3"/>
  <c r="CE22" i="3"/>
  <c r="CJ23" i="3"/>
  <c r="CO24" i="3"/>
  <c r="CE26" i="3"/>
  <c r="CJ27" i="3"/>
  <c r="CO28" i="3"/>
  <c r="CE30" i="3"/>
  <c r="CJ31" i="3"/>
  <c r="CO32" i="3"/>
  <c r="CE34" i="3"/>
  <c r="CJ35" i="3"/>
  <c r="CO36" i="3"/>
  <c r="CE38" i="3"/>
  <c r="CJ39" i="3"/>
  <c r="CO40" i="3"/>
  <c r="CE42" i="3"/>
  <c r="CJ43" i="3"/>
  <c r="CO44" i="3"/>
  <c r="S46" i="3"/>
  <c r="AN46" i="3"/>
  <c r="G50" i="3"/>
  <c r="AC50" i="3"/>
  <c r="AX50" i="3"/>
  <c r="N51" i="3"/>
  <c r="AJ51" i="3"/>
  <c r="BE51" i="3"/>
  <c r="P54" i="3"/>
  <c r="AF54" i="3"/>
  <c r="F55" i="3"/>
  <c r="V55" i="3"/>
  <c r="AL55" i="3"/>
  <c r="L56" i="3"/>
  <c r="AB56" i="3"/>
  <c r="AR56" i="3"/>
  <c r="R57" i="3"/>
  <c r="AH57" i="3"/>
  <c r="H58" i="3"/>
  <c r="X58" i="3"/>
  <c r="AN58" i="3"/>
  <c r="N59" i="3"/>
  <c r="AD59" i="3"/>
  <c r="D60" i="3"/>
  <c r="T60" i="3"/>
  <c r="AJ60" i="3"/>
  <c r="J61" i="3"/>
  <c r="Z61" i="3"/>
  <c r="AP61" i="3"/>
  <c r="P62" i="3"/>
  <c r="AF62" i="3"/>
  <c r="F63" i="3"/>
  <c r="V63" i="3"/>
  <c r="AL63" i="3"/>
  <c r="L64" i="3"/>
  <c r="AB64" i="3"/>
  <c r="AR64" i="3"/>
  <c r="R65" i="3"/>
  <c r="AH65" i="3"/>
  <c r="H66" i="3"/>
  <c r="X66" i="3"/>
  <c r="AN66" i="3"/>
  <c r="N67" i="3"/>
  <c r="AD67" i="3"/>
  <c r="D68" i="3"/>
  <c r="T68" i="3"/>
  <c r="AJ68" i="3"/>
  <c r="J69" i="3"/>
  <c r="Z69" i="3"/>
  <c r="AK79" i="2"/>
  <c r="AP82" i="2"/>
  <c r="AQ84" i="2"/>
  <c r="AS86" i="2"/>
  <c r="AQ88" i="2"/>
  <c r="AS90" i="2"/>
  <c r="AQ92" i="2"/>
  <c r="AS94" i="2"/>
  <c r="AQ96" i="2"/>
  <c r="AS98" i="2"/>
  <c r="AQ100" i="2"/>
  <c r="AS102" i="2"/>
  <c r="AQ104" i="2"/>
  <c r="AS106" i="2"/>
  <c r="AQ108" i="2"/>
  <c r="AS110" i="2"/>
  <c r="AQ112" i="2"/>
  <c r="X114" i="2"/>
  <c r="W115" i="2"/>
  <c r="S116" i="2"/>
  <c r="K117" i="2"/>
  <c r="AQ117" i="2"/>
  <c r="AI118" i="2"/>
  <c r="AA119" i="2"/>
  <c r="CP6" i="3"/>
  <c r="CP10" i="3"/>
  <c r="CP14" i="3"/>
  <c r="CP18" i="3"/>
  <c r="CP22" i="3"/>
  <c r="CP26" i="3"/>
  <c r="CP30" i="3"/>
  <c r="CP34" i="3"/>
  <c r="CP38" i="3"/>
  <c r="CP42" i="3"/>
  <c r="R46" i="3"/>
  <c r="AX46" i="3"/>
  <c r="X50" i="3"/>
  <c r="BD50" i="3"/>
  <c r="AE51" i="3"/>
  <c r="V56" i="2"/>
  <c r="I74" i="2"/>
  <c r="AC76" i="2"/>
  <c r="X78" i="2"/>
  <c r="I80" i="2"/>
  <c r="AK81" i="2"/>
  <c r="AI83" i="2"/>
  <c r="K85" i="2"/>
  <c r="G86" i="2"/>
  <c r="AJ86" i="2"/>
  <c r="T87" i="2"/>
  <c r="D88" i="2"/>
  <c r="AG88" i="2"/>
  <c r="X89" i="2"/>
  <c r="G90" i="2"/>
  <c r="AJ90" i="2"/>
  <c r="T91" i="2"/>
  <c r="D92" i="2"/>
  <c r="AG92" i="2"/>
  <c r="X93" i="2"/>
  <c r="G94" i="2"/>
  <c r="AJ94" i="2"/>
  <c r="T95" i="2"/>
  <c r="D96" i="2"/>
  <c r="AG96" i="2"/>
  <c r="X97" i="2"/>
  <c r="G98" i="2"/>
  <c r="AJ98" i="2"/>
  <c r="T99" i="2"/>
  <c r="D100" i="2"/>
  <c r="AG100" i="2"/>
  <c r="X101" i="2"/>
  <c r="G102" i="2"/>
  <c r="AJ102" i="2"/>
  <c r="T103" i="2"/>
  <c r="D104" i="2"/>
  <c r="AG104" i="2"/>
  <c r="X105" i="2"/>
  <c r="G106" i="2"/>
  <c r="AJ106" i="2"/>
  <c r="T107" i="2"/>
  <c r="D108" i="2"/>
  <c r="AG108" i="2"/>
  <c r="X109" i="2"/>
  <c r="G110" i="2"/>
  <c r="AJ110" i="2"/>
  <c r="T111" i="2"/>
  <c r="D112" i="2"/>
  <c r="AG112" i="2"/>
  <c r="X113" i="2"/>
  <c r="G114" i="2"/>
  <c r="AJ114" i="2"/>
  <c r="T115" i="2"/>
  <c r="D116" i="2"/>
  <c r="AB116" i="2"/>
  <c r="D117" i="2"/>
  <c r="Y117" i="2"/>
  <c r="AT117" i="2"/>
  <c r="V118" i="2"/>
  <c r="AR118" i="2"/>
  <c r="T119" i="2"/>
  <c r="AO119" i="2"/>
  <c r="Z56" i="2"/>
  <c r="I75" i="2"/>
  <c r="CY50" i="2"/>
  <c r="AR75" i="2"/>
  <c r="AT76" i="2"/>
  <c r="P78" i="2"/>
  <c r="U79" i="2"/>
  <c r="AN80" i="2"/>
  <c r="AP81" i="2"/>
  <c r="AS82" i="2"/>
  <c r="AK83" i="2"/>
  <c r="AO84" i="2"/>
  <c r="AG85" i="2"/>
  <c r="Y86" i="2"/>
  <c r="S87" i="2"/>
  <c r="W88" i="2"/>
  <c r="M89" i="2"/>
  <c r="E90" i="2"/>
  <c r="AR90" i="2"/>
  <c r="AK91" i="2"/>
  <c r="AO92" i="2"/>
  <c r="AG93" i="2"/>
  <c r="Y94" i="2"/>
  <c r="S95" i="2"/>
  <c r="W96" i="2"/>
  <c r="M97" i="2"/>
  <c r="E98" i="2"/>
  <c r="AR98" i="2"/>
  <c r="AK99" i="2"/>
  <c r="AO100" i="2"/>
  <c r="AG101" i="2"/>
  <c r="Y102" i="2"/>
  <c r="S103" i="2"/>
  <c r="W104" i="2"/>
  <c r="M105" i="2"/>
  <c r="E106" i="2"/>
  <c r="AR106" i="2"/>
  <c r="AK107" i="2"/>
  <c r="AO108" i="2"/>
  <c r="AG109" i="2"/>
  <c r="Y110" i="2"/>
  <c r="S111" i="2"/>
  <c r="W112" i="2"/>
  <c r="M113" i="2"/>
  <c r="E114" i="2"/>
  <c r="AR114" i="2"/>
  <c r="AK115" i="2"/>
  <c r="AH116" i="2"/>
  <c r="X117" i="2"/>
  <c r="H118" i="2"/>
  <c r="AJ118" i="2"/>
  <c r="R119" i="2"/>
  <c r="CE5" i="3"/>
  <c r="CJ6" i="3"/>
  <c r="CO7" i="3"/>
  <c r="CE9" i="3"/>
  <c r="CJ10" i="3"/>
  <c r="CO11" i="3"/>
  <c r="CE13" i="3"/>
  <c r="CJ14" i="3"/>
  <c r="CO15" i="3"/>
  <c r="CE17" i="3"/>
  <c r="CJ18" i="3"/>
  <c r="CO19" i="3"/>
  <c r="CJ22" i="3"/>
  <c r="CO23" i="3"/>
  <c r="CE25" i="3"/>
  <c r="CJ26" i="3"/>
  <c r="CO27" i="3"/>
  <c r="CE29" i="3"/>
  <c r="CJ30" i="3"/>
  <c r="CO31" i="3"/>
  <c r="CE33" i="3"/>
  <c r="CJ34" i="3"/>
  <c r="CO35" i="3"/>
  <c r="CE37" i="3"/>
  <c r="CJ38" i="3"/>
  <c r="CO39" i="3"/>
  <c r="CE41" i="3"/>
  <c r="CJ42" i="3"/>
  <c r="CO43" i="3"/>
  <c r="C46" i="3"/>
  <c r="X46" i="3"/>
  <c r="AS46" i="3"/>
  <c r="M50" i="3"/>
  <c r="AH50" i="3"/>
  <c r="BC50" i="3"/>
  <c r="T51" i="3"/>
  <c r="AO51" i="3"/>
  <c r="D54" i="3"/>
  <c r="T54" i="3"/>
  <c r="AJ54" i="3"/>
  <c r="J55" i="3"/>
  <c r="Z55" i="3"/>
  <c r="AP55" i="3"/>
  <c r="P56" i="3"/>
  <c r="AF56" i="3"/>
  <c r="F57" i="3"/>
  <c r="V57" i="3"/>
  <c r="AL57" i="3"/>
  <c r="L58" i="3"/>
  <c r="AB58" i="3"/>
  <c r="AR58" i="3"/>
  <c r="R59" i="3"/>
  <c r="AH59" i="3"/>
  <c r="H60" i="3"/>
  <c r="X60" i="3"/>
  <c r="AN60" i="3"/>
  <c r="N61" i="3"/>
  <c r="AD61" i="3"/>
  <c r="D62" i="3"/>
  <c r="T62" i="3"/>
  <c r="AJ62" i="3"/>
  <c r="J63" i="3"/>
  <c r="Z63" i="3"/>
  <c r="AP63" i="3"/>
  <c r="P64" i="3"/>
  <c r="AF64" i="3"/>
  <c r="F65" i="3"/>
  <c r="V65" i="3"/>
  <c r="AL65" i="3"/>
  <c r="L66" i="3"/>
  <c r="AB66" i="3"/>
  <c r="AR66" i="3"/>
  <c r="R67" i="3"/>
  <c r="AH67" i="3"/>
  <c r="H68" i="3"/>
  <c r="X68" i="3"/>
  <c r="AN68" i="3"/>
  <c r="N69" i="3"/>
  <c r="AD69" i="3"/>
  <c r="AP69" i="3"/>
  <c r="AF70" i="3"/>
  <c r="V71" i="3"/>
  <c r="L72" i="3"/>
  <c r="AR72" i="3"/>
  <c r="AH73" i="3"/>
  <c r="X74" i="3"/>
  <c r="N75" i="3"/>
  <c r="D76" i="3"/>
  <c r="AJ76" i="3"/>
  <c r="J77" i="3"/>
  <c r="Z77" i="3"/>
  <c r="AP77" i="3"/>
  <c r="P78" i="3"/>
  <c r="AF78" i="3"/>
  <c r="F79" i="3"/>
  <c r="V79" i="3"/>
  <c r="AL79" i="3"/>
  <c r="L80" i="3"/>
  <c r="AB80" i="3"/>
  <c r="AR80" i="3"/>
  <c r="R81" i="3"/>
  <c r="AH81" i="3"/>
  <c r="H82" i="3"/>
  <c r="X82" i="3"/>
  <c r="AN82" i="3"/>
  <c r="N83" i="3"/>
  <c r="AD83" i="3"/>
  <c r="DC50" i="2"/>
  <c r="AB75" i="2"/>
  <c r="P77" i="2"/>
  <c r="T78" i="2"/>
  <c r="X79" i="2"/>
  <c r="AD80" i="2"/>
  <c r="AG81" i="2"/>
  <c r="AH82" i="2"/>
  <c r="AE83" i="2"/>
  <c r="X84" i="2"/>
  <c r="P85" i="2"/>
  <c r="I86" i="2"/>
  <c r="K87" i="2"/>
  <c r="G88" i="2"/>
  <c r="AR88" i="2"/>
  <c r="AI89" i="2"/>
  <c r="AA90" i="2"/>
  <c r="AE91" i="2"/>
  <c r="X92" i="2"/>
  <c r="P93" i="2"/>
  <c r="I94" i="2"/>
  <c r="K95" i="2"/>
  <c r="G96" i="2"/>
  <c r="AR96" i="2"/>
  <c r="AI97" i="2"/>
  <c r="AA98" i="2"/>
  <c r="AE99" i="2"/>
  <c r="X100" i="2"/>
  <c r="P101" i="2"/>
  <c r="I102" i="2"/>
  <c r="K103" i="2"/>
  <c r="G104" i="2"/>
  <c r="AR104" i="2"/>
  <c r="AI105" i="2"/>
  <c r="AA106" i="2"/>
  <c r="AE107" i="2"/>
  <c r="X108" i="2"/>
  <c r="P109" i="2"/>
  <c r="I110" i="2"/>
  <c r="K111" i="2"/>
  <c r="G112" i="2"/>
  <c r="AR112" i="2"/>
  <c r="AI113" i="2"/>
  <c r="AA114" i="2"/>
  <c r="AE115" i="2"/>
  <c r="U116" i="2"/>
  <c r="E117" i="2"/>
  <c r="AG117" i="2"/>
  <c r="X118" i="2"/>
  <c r="F119" i="2"/>
  <c r="AH119" i="2"/>
  <c r="CF6" i="3"/>
  <c r="CF8" i="3"/>
  <c r="CF10" i="3"/>
  <c r="CF12" i="3"/>
  <c r="CF14" i="3"/>
  <c r="CF16" i="3"/>
  <c r="CF18" i="3"/>
  <c r="CF20" i="3"/>
  <c r="CF22" i="3"/>
  <c r="CF24" i="3"/>
  <c r="CF26" i="3"/>
  <c r="CF28" i="3"/>
  <c r="CF30" i="3"/>
  <c r="CF32" i="3"/>
  <c r="CF34" i="3"/>
  <c r="CF36" i="3"/>
  <c r="CF38" i="3"/>
  <c r="CF40" i="3"/>
  <c r="CF42" i="3"/>
  <c r="CF44" i="3"/>
  <c r="O46" i="3"/>
  <c r="AJ46" i="3"/>
  <c r="BE46" i="3"/>
  <c r="S50" i="3"/>
  <c r="AO50" i="3"/>
  <c r="E51" i="3"/>
  <c r="Z51" i="3"/>
  <c r="AV51" i="3"/>
  <c r="I54" i="3"/>
  <c r="Y54" i="3"/>
  <c r="AO54" i="3"/>
  <c r="O55" i="3"/>
  <c r="AE55" i="3"/>
  <c r="E56" i="3"/>
  <c r="U56" i="3"/>
  <c r="AK56" i="3"/>
  <c r="K57" i="3"/>
  <c r="AA57" i="3"/>
  <c r="AQ57" i="3"/>
  <c r="Q58" i="3"/>
  <c r="AG58" i="3"/>
  <c r="G59" i="3"/>
  <c r="W59" i="3"/>
  <c r="AM59" i="3"/>
  <c r="M60" i="3"/>
  <c r="AC60" i="3"/>
  <c r="C61" i="3"/>
  <c r="S61" i="3"/>
  <c r="AI61" i="3"/>
  <c r="I62" i="3"/>
  <c r="Y62" i="3"/>
  <c r="AO62" i="3"/>
  <c r="O63" i="3"/>
  <c r="AE63" i="3"/>
  <c r="E64" i="3"/>
  <c r="U64" i="3"/>
  <c r="AK64" i="3"/>
  <c r="K65" i="3"/>
  <c r="AA65" i="3"/>
  <c r="AQ65" i="3"/>
  <c r="Q66" i="3"/>
  <c r="AG66" i="3"/>
  <c r="G67" i="3"/>
  <c r="W67" i="3"/>
  <c r="AM67" i="3"/>
  <c r="M68" i="3"/>
  <c r="AC68" i="3"/>
  <c r="C69" i="3"/>
  <c r="S69" i="3"/>
  <c r="AI69" i="3"/>
  <c r="I70" i="3"/>
  <c r="Y70" i="3"/>
  <c r="AO70" i="3"/>
  <c r="O71" i="3"/>
  <c r="AE71" i="3"/>
  <c r="E72" i="3"/>
  <c r="U72" i="3"/>
  <c r="AK72" i="3"/>
  <c r="K73" i="3"/>
  <c r="AA73" i="3"/>
  <c r="AQ73" i="3"/>
  <c r="Q74" i="3"/>
  <c r="AG74" i="3"/>
  <c r="G75" i="3"/>
  <c r="W75" i="3"/>
  <c r="AM75" i="3"/>
  <c r="M76" i="3"/>
  <c r="AC76" i="3"/>
  <c r="C77" i="3"/>
  <c r="S77" i="3"/>
  <c r="AI77" i="3"/>
  <c r="I78" i="3"/>
  <c r="Y78" i="3"/>
  <c r="AO78" i="3"/>
  <c r="O79" i="3"/>
  <c r="AE79" i="3"/>
  <c r="E80" i="3"/>
  <c r="U80" i="3"/>
  <c r="AK80" i="3"/>
  <c r="K81" i="3"/>
  <c r="AA81" i="3"/>
  <c r="AQ81" i="3"/>
  <c r="Q82" i="3"/>
  <c r="AG82" i="3"/>
  <c r="G83" i="3"/>
  <c r="W83" i="3"/>
  <c r="AM83" i="3"/>
  <c r="S56" i="2"/>
  <c r="N76" i="2"/>
  <c r="Q77" i="2"/>
  <c r="U78" i="2"/>
  <c r="AN79" i="2"/>
  <c r="AS80" i="2"/>
  <c r="M82" i="2"/>
  <c r="X83" i="2"/>
  <c r="Q84" i="2"/>
  <c r="H85" i="2"/>
  <c r="K86" i="2"/>
  <c r="D87" i="2"/>
  <c r="AQ87" i="2"/>
  <c r="AJ88" i="2"/>
  <c r="AB89" i="2"/>
  <c r="AE90" i="2"/>
  <c r="X91" i="2"/>
  <c r="Q92" i="2"/>
  <c r="H93" i="2"/>
  <c r="K94" i="2"/>
  <c r="D95" i="2"/>
  <c r="AQ95" i="2"/>
  <c r="AJ96" i="2"/>
  <c r="AB97" i="2"/>
  <c r="AE98" i="2"/>
  <c r="X99" i="2"/>
  <c r="Q100" i="2"/>
  <c r="H101" i="2"/>
  <c r="K102" i="2"/>
  <c r="D103" i="2"/>
  <c r="AQ103" i="2"/>
  <c r="AJ104" i="2"/>
  <c r="AB105" i="2"/>
  <c r="AE106" i="2"/>
  <c r="X107" i="2"/>
  <c r="Q108" i="2"/>
  <c r="H109" i="2"/>
  <c r="K110" i="2"/>
  <c r="D111" i="2"/>
  <c r="AQ111" i="2"/>
  <c r="AJ112" i="2"/>
  <c r="AB113" i="2"/>
  <c r="AE114" i="2"/>
  <c r="X115" i="2"/>
  <c r="P116" i="2"/>
  <c r="AS116" i="2"/>
  <c r="AB117" i="2"/>
  <c r="J118" i="2"/>
  <c r="AN118" i="2"/>
  <c r="V119" i="2"/>
  <c r="CG5" i="3"/>
  <c r="AO75" i="2"/>
  <c r="E79" i="2"/>
  <c r="AN85" i="2"/>
  <c r="AC88" i="2"/>
  <c r="Y91" i="2"/>
  <c r="H95" i="2"/>
  <c r="D98" i="2"/>
  <c r="AN101" i="2"/>
  <c r="AC104" i="2"/>
  <c r="Y107" i="2"/>
  <c r="H111" i="2"/>
  <c r="D114" i="2"/>
  <c r="AN116" i="2"/>
  <c r="AF119" i="2"/>
  <c r="CI9" i="3"/>
  <c r="CI13" i="3"/>
  <c r="CI17" i="3"/>
  <c r="CI25" i="3"/>
  <c r="CI29" i="3"/>
  <c r="CI33" i="3"/>
  <c r="CI37" i="3"/>
  <c r="CI41" i="3"/>
  <c r="G46" i="3"/>
  <c r="AW46" i="3"/>
  <c r="AP50" i="3"/>
  <c r="AB51" i="3"/>
  <c r="R54" i="3"/>
  <c r="H55" i="3"/>
  <c r="AN55" i="3"/>
  <c r="AD56" i="3"/>
  <c r="T57" i="3"/>
  <c r="J58" i="3"/>
  <c r="AP58" i="3"/>
  <c r="AF59" i="3"/>
  <c r="V60" i="3"/>
  <c r="L61" i="3"/>
  <c r="AR61" i="3"/>
  <c r="AH62" i="3"/>
  <c r="X63" i="3"/>
  <c r="N64" i="3"/>
  <c r="D65" i="3"/>
  <c r="AJ65" i="3"/>
  <c r="Z66" i="3"/>
  <c r="P67" i="3"/>
  <c r="F68" i="3"/>
  <c r="AL68" i="3"/>
  <c r="D70" i="3"/>
  <c r="AJ70" i="3"/>
  <c r="Z71" i="3"/>
  <c r="P72" i="3"/>
  <c r="F73" i="3"/>
  <c r="AL73" i="3"/>
  <c r="AB74" i="3"/>
  <c r="R75" i="3"/>
  <c r="H76" i="3"/>
  <c r="AN76" i="3"/>
  <c r="N77" i="3"/>
  <c r="AD77" i="3"/>
  <c r="D78" i="3"/>
  <c r="T78" i="3"/>
  <c r="AJ78" i="3"/>
  <c r="J79" i="3"/>
  <c r="Z79" i="3"/>
  <c r="AP79" i="3"/>
  <c r="P80" i="3"/>
  <c r="AF80" i="3"/>
  <c r="F81" i="3"/>
  <c r="V81" i="3"/>
  <c r="AL81" i="3"/>
  <c r="L82" i="3"/>
  <c r="AB82" i="3"/>
  <c r="AR82" i="3"/>
  <c r="R83" i="3"/>
  <c r="AH83" i="3"/>
  <c r="N56" i="2"/>
  <c r="M76" i="2"/>
  <c r="Z77" i="2"/>
  <c r="AD78" i="2"/>
  <c r="AL79" i="2"/>
  <c r="AP80" i="2"/>
  <c r="AR81" i="2"/>
  <c r="AT82" i="2"/>
  <c r="AN83" i="2"/>
  <c r="AI84" i="2"/>
  <c r="AA85" i="2"/>
  <c r="Q86" i="2"/>
  <c r="U87" i="2"/>
  <c r="O88" i="2"/>
  <c r="G89" i="2"/>
  <c r="AR89" i="2"/>
  <c r="AK90" i="2"/>
  <c r="AN91" i="2"/>
  <c r="AI92" i="2"/>
  <c r="AA93" i="2"/>
  <c r="Q94" i="2"/>
  <c r="U95" i="2"/>
  <c r="O96" i="2"/>
  <c r="G97" i="2"/>
  <c r="AR97" i="2"/>
  <c r="AK98" i="2"/>
  <c r="AN99" i="2"/>
  <c r="AI100" i="2"/>
  <c r="AA101" i="2"/>
  <c r="Q102" i="2"/>
  <c r="U103" i="2"/>
  <c r="O104" i="2"/>
  <c r="G105" i="2"/>
  <c r="AR105" i="2"/>
  <c r="AK106" i="2"/>
  <c r="AN107" i="2"/>
  <c r="AI108" i="2"/>
  <c r="AA109" i="2"/>
  <c r="Q110" i="2"/>
  <c r="U111" i="2"/>
  <c r="O112" i="2"/>
  <c r="G113" i="2"/>
  <c r="AR113" i="2"/>
  <c r="AK114" i="2"/>
  <c r="AN115" i="2"/>
  <c r="AC116" i="2"/>
  <c r="L117" i="2"/>
  <c r="AN117" i="2"/>
  <c r="AD118" i="2"/>
  <c r="M119" i="2"/>
  <c r="AP119" i="2"/>
  <c r="CQ6" i="3"/>
  <c r="CQ8" i="3"/>
  <c r="CQ10" i="3"/>
  <c r="CQ12" i="3"/>
  <c r="CQ14" i="3"/>
  <c r="CQ16" i="3"/>
  <c r="CQ18" i="3"/>
  <c r="CQ20" i="3"/>
  <c r="CQ22" i="3"/>
  <c r="CQ24" i="3"/>
  <c r="CQ26" i="3"/>
  <c r="CQ28" i="3"/>
  <c r="CQ30" i="3"/>
  <c r="CQ32" i="3"/>
  <c r="CQ34" i="3"/>
  <c r="CQ36" i="3"/>
  <c r="CQ38" i="3"/>
  <c r="CQ40" i="3"/>
  <c r="CQ42" i="3"/>
  <c r="CQ44" i="3"/>
  <c r="T46" i="3"/>
  <c r="AO46" i="3"/>
  <c r="C50" i="3"/>
  <c r="Y50" i="3"/>
  <c r="AT50" i="3"/>
  <c r="J51" i="3"/>
  <c r="AF51" i="3"/>
  <c r="BA51" i="3"/>
  <c r="M54" i="3"/>
  <c r="AC54" i="3"/>
  <c r="C55" i="3"/>
  <c r="S55" i="3"/>
  <c r="AI55" i="3"/>
  <c r="I56" i="3"/>
  <c r="Y56" i="3"/>
  <c r="AO56" i="3"/>
  <c r="O57" i="3"/>
  <c r="AE57" i="3"/>
  <c r="E58" i="3"/>
  <c r="U58" i="3"/>
  <c r="AK58" i="3"/>
  <c r="K59" i="3"/>
  <c r="AA59" i="3"/>
  <c r="AQ59" i="3"/>
  <c r="Q60" i="3"/>
  <c r="AG60" i="3"/>
  <c r="G61" i="3"/>
  <c r="W61" i="3"/>
  <c r="AM61" i="3"/>
  <c r="M62" i="3"/>
  <c r="AC62" i="3"/>
  <c r="C63" i="3"/>
  <c r="S63" i="3"/>
  <c r="AI63" i="3"/>
  <c r="I64" i="3"/>
  <c r="Y64" i="3"/>
  <c r="AO64" i="3"/>
  <c r="O65" i="3"/>
  <c r="AE65" i="3"/>
  <c r="E66" i="3"/>
  <c r="U66" i="3"/>
  <c r="AK66" i="3"/>
  <c r="K67" i="3"/>
  <c r="AA67" i="3"/>
  <c r="AQ67" i="3"/>
  <c r="Q68" i="3"/>
  <c r="AG68" i="3"/>
  <c r="G69" i="3"/>
  <c r="W69" i="3"/>
  <c r="AM69" i="3"/>
  <c r="M70" i="3"/>
  <c r="AC70" i="3"/>
  <c r="C71" i="3"/>
  <c r="S71" i="3"/>
  <c r="AI71" i="3"/>
  <c r="I72" i="3"/>
  <c r="Y72" i="3"/>
  <c r="AO72" i="3"/>
  <c r="O73" i="3"/>
  <c r="AE73" i="3"/>
  <c r="E74" i="3"/>
  <c r="U74" i="3"/>
  <c r="AK74" i="3"/>
  <c r="K75" i="3"/>
  <c r="AA75" i="3"/>
  <c r="AQ75" i="3"/>
  <c r="Q76" i="3"/>
  <c r="AG76" i="3"/>
  <c r="G77" i="3"/>
  <c r="W77" i="3"/>
  <c r="AM77" i="3"/>
  <c r="M78" i="3"/>
  <c r="AC78" i="3"/>
  <c r="C79" i="3"/>
  <c r="S79" i="3"/>
  <c r="AI79" i="3"/>
  <c r="I80" i="3"/>
  <c r="Y80" i="3"/>
  <c r="AO80" i="3"/>
  <c r="O81" i="3"/>
  <c r="AE81" i="3"/>
  <c r="E82" i="3"/>
  <c r="U82" i="3"/>
  <c r="AK82" i="3"/>
  <c r="K83" i="3"/>
  <c r="AA83" i="3"/>
  <c r="AQ83" i="3"/>
  <c r="AT56" i="2"/>
  <c r="U74" i="2"/>
  <c r="Z76" i="2"/>
  <c r="AC77" i="2"/>
  <c r="AJ78" i="2"/>
  <c r="H80" i="2"/>
  <c r="L81" i="2"/>
  <c r="Y82" i="2"/>
  <c r="AF83" i="2"/>
  <c r="AB84" i="2"/>
  <c r="S85" i="2"/>
  <c r="T86" i="2"/>
  <c r="O87" i="2"/>
  <c r="H88" i="2"/>
  <c r="AS88" i="2"/>
  <c r="AK89" i="2"/>
  <c r="AM90" i="2"/>
  <c r="AF91" i="2"/>
  <c r="AB92" i="2"/>
  <c r="S93" i="2"/>
  <c r="T94" i="2"/>
  <c r="O95" i="2"/>
  <c r="H96" i="2"/>
  <c r="AS96" i="2"/>
  <c r="AK97" i="2"/>
  <c r="AM98" i="2"/>
  <c r="AF99" i="2"/>
  <c r="AB100" i="2"/>
  <c r="S101" i="2"/>
  <c r="T102" i="2"/>
  <c r="O103" i="2"/>
  <c r="H104" i="2"/>
  <c r="AS104" i="2"/>
  <c r="AK105" i="2"/>
  <c r="AM106" i="2"/>
  <c r="AF107" i="2"/>
  <c r="AB108" i="2"/>
  <c r="S109" i="2"/>
  <c r="T110" i="2"/>
  <c r="O111" i="2"/>
  <c r="H112" i="2"/>
  <c r="AS112" i="2"/>
  <c r="AK113" i="2"/>
  <c r="AM114" i="2"/>
  <c r="AF115" i="2"/>
  <c r="X116" i="2"/>
  <c r="F117" i="2"/>
  <c r="AH117" i="2"/>
  <c r="R118" i="2"/>
  <c r="AT118" i="2"/>
  <c r="AC119" i="2"/>
  <c r="CG6" i="3"/>
  <c r="AF76" i="2"/>
  <c r="AO82" i="2"/>
  <c r="W86" i="2"/>
  <c r="U89" i="2"/>
  <c r="I92" i="2"/>
  <c r="AS95" i="2"/>
  <c r="AO98" i="2"/>
  <c r="W102" i="2"/>
  <c r="U105" i="2"/>
  <c r="I108" i="2"/>
  <c r="AS111" i="2"/>
  <c r="AO114" i="2"/>
  <c r="P117" i="2"/>
  <c r="CI5" i="3"/>
  <c r="CN10" i="3"/>
  <c r="CN14" i="3"/>
  <c r="CN18" i="3"/>
  <c r="CN22" i="3"/>
  <c r="CN26" i="3"/>
  <c r="CN30" i="3"/>
  <c r="CN34" i="3"/>
  <c r="CN38" i="3"/>
  <c r="CN42" i="3"/>
  <c r="Q46" i="3"/>
  <c r="J50" i="3"/>
  <c r="BA50" i="3"/>
  <c r="AL51" i="3"/>
  <c r="Z54" i="3"/>
  <c r="P55" i="3"/>
  <c r="F56" i="3"/>
  <c r="AL56" i="3"/>
  <c r="AB57" i="3"/>
  <c r="R58" i="3"/>
  <c r="H59" i="3"/>
  <c r="AN59" i="3"/>
  <c r="AD60" i="3"/>
  <c r="T61" i="3"/>
  <c r="J62" i="3"/>
  <c r="P70" i="3"/>
  <c r="F71" i="3"/>
  <c r="AL71" i="3"/>
  <c r="AB72" i="3"/>
  <c r="R73" i="3"/>
  <c r="H74" i="3"/>
  <c r="AN74" i="3"/>
  <c r="AD75" i="3"/>
  <c r="T76" i="3"/>
  <c r="AR76" i="3"/>
  <c r="R77" i="3"/>
  <c r="AH77" i="3"/>
  <c r="H78" i="3"/>
  <c r="X78" i="3"/>
  <c r="AN78" i="3"/>
  <c r="N79" i="3"/>
  <c r="AD79" i="3"/>
  <c r="D80" i="3"/>
  <c r="T80" i="3"/>
  <c r="AJ80" i="3"/>
  <c r="J81" i="3"/>
  <c r="Z81" i="3"/>
  <c r="AP81" i="3"/>
  <c r="P82" i="3"/>
  <c r="AF82" i="3"/>
  <c r="F83" i="3"/>
  <c r="V83" i="3"/>
  <c r="AL83" i="3"/>
  <c r="AQ56" i="2"/>
  <c r="P74" i="2"/>
  <c r="Y76" i="2"/>
  <c r="AL77" i="2"/>
  <c r="AS78" i="2"/>
  <c r="D80" i="2"/>
  <c r="F81" i="2"/>
  <c r="I82" i="2"/>
  <c r="J83" i="2"/>
  <c r="G84" i="2"/>
  <c r="AR84" i="2"/>
  <c r="AI85" i="2"/>
  <c r="AA86" i="2"/>
  <c r="AE87" i="2"/>
  <c r="X88" i="2"/>
  <c r="P89" i="2"/>
  <c r="I90" i="2"/>
  <c r="K91" i="2"/>
  <c r="G92" i="2"/>
  <c r="AR92" i="2"/>
  <c r="AI93" i="2"/>
  <c r="AA94" i="2"/>
  <c r="AE95" i="2"/>
  <c r="X96" i="2"/>
  <c r="P97" i="2"/>
  <c r="I98" i="2"/>
  <c r="K99" i="2"/>
  <c r="G100" i="2"/>
  <c r="AR100" i="2"/>
  <c r="AI101" i="2"/>
  <c r="AA102" i="2"/>
  <c r="AE103" i="2"/>
  <c r="X104" i="2"/>
  <c r="P105" i="2"/>
  <c r="I106" i="2"/>
  <c r="K107" i="2"/>
  <c r="G108" i="2"/>
  <c r="AR108" i="2"/>
  <c r="AI109" i="2"/>
  <c r="AA110" i="2"/>
  <c r="AE111" i="2"/>
  <c r="X112" i="2"/>
  <c r="P113" i="2"/>
  <c r="I114" i="2"/>
  <c r="K115" i="2"/>
  <c r="G116" i="2"/>
  <c r="AJ116" i="2"/>
  <c r="R117" i="2"/>
  <c r="I118" i="2"/>
  <c r="AK118" i="2"/>
  <c r="U119" i="2"/>
  <c r="CF5" i="3"/>
  <c r="CF7" i="3"/>
  <c r="CF9" i="3"/>
  <c r="CF11" i="3"/>
  <c r="CF13" i="3"/>
  <c r="CF15" i="3"/>
  <c r="CF17" i="3"/>
  <c r="CF19" i="3"/>
  <c r="CF23" i="3"/>
  <c r="CF25" i="3"/>
  <c r="CF27" i="3"/>
  <c r="CF29" i="3"/>
  <c r="CF31" i="3"/>
  <c r="CF33" i="3"/>
  <c r="CF35" i="3"/>
  <c r="CF37" i="3"/>
  <c r="CF39" i="3"/>
  <c r="CF41" i="3"/>
  <c r="CF43" i="3"/>
  <c r="D46" i="3"/>
  <c r="Y46" i="3"/>
  <c r="AU46" i="3"/>
  <c r="I50" i="3"/>
  <c r="AD50" i="3"/>
  <c r="AY50" i="3"/>
  <c r="P51" i="3"/>
  <c r="BF51" i="3"/>
  <c r="Q54" i="3"/>
  <c r="AG54" i="3"/>
  <c r="G55" i="3"/>
  <c r="W55" i="3"/>
  <c r="AM55" i="3"/>
  <c r="M56" i="3"/>
  <c r="AC56" i="3"/>
  <c r="C57" i="3"/>
  <c r="S57" i="3"/>
  <c r="AI57" i="3"/>
  <c r="I58" i="3"/>
  <c r="Y58" i="3"/>
  <c r="AO58" i="3"/>
  <c r="O59" i="3"/>
  <c r="AE59" i="3"/>
  <c r="E60" i="3"/>
  <c r="U60" i="3"/>
  <c r="AK60" i="3"/>
  <c r="K61" i="3"/>
  <c r="AA61" i="3"/>
  <c r="AQ61" i="3"/>
  <c r="Q62" i="3"/>
  <c r="AG62" i="3"/>
  <c r="G63" i="3"/>
  <c r="W63" i="3"/>
  <c r="AM63" i="3"/>
  <c r="M64" i="3"/>
  <c r="AC64" i="3"/>
  <c r="C65" i="3"/>
  <c r="S65" i="3"/>
  <c r="AI65" i="3"/>
  <c r="I66" i="3"/>
  <c r="Y66" i="3"/>
  <c r="AO66" i="3"/>
  <c r="O67" i="3"/>
  <c r="AE67" i="3"/>
  <c r="E68" i="3"/>
  <c r="U68" i="3"/>
  <c r="AK68" i="3"/>
  <c r="K69" i="3"/>
  <c r="AA69" i="3"/>
  <c r="AQ69" i="3"/>
  <c r="Q70" i="3"/>
  <c r="AG70" i="3"/>
  <c r="G71" i="3"/>
  <c r="W71" i="3"/>
  <c r="AM71" i="3"/>
  <c r="M72" i="3"/>
  <c r="AC72" i="3"/>
  <c r="C73" i="3"/>
  <c r="S73" i="3"/>
  <c r="AI73" i="3"/>
  <c r="I74" i="3"/>
  <c r="Y74" i="3"/>
  <c r="AO74" i="3"/>
  <c r="O75" i="3"/>
  <c r="AE75" i="3"/>
  <c r="E76" i="3"/>
  <c r="U76" i="3"/>
  <c r="AK76" i="3"/>
  <c r="K77" i="3"/>
  <c r="AA77" i="3"/>
  <c r="AQ77" i="3"/>
  <c r="Q78" i="3"/>
  <c r="AG78" i="3"/>
  <c r="G79" i="3"/>
  <c r="W79" i="3"/>
  <c r="AM79" i="3"/>
  <c r="M80" i="3"/>
  <c r="AC80" i="3"/>
  <c r="C81" i="3"/>
  <c r="S81" i="3"/>
  <c r="AI81" i="3"/>
  <c r="I82" i="3"/>
  <c r="Y82" i="3"/>
  <c r="AO82" i="3"/>
  <c r="O83" i="3"/>
  <c r="AE83" i="3"/>
  <c r="DA37" i="2"/>
  <c r="AF75" i="2"/>
  <c r="AO76" i="2"/>
  <c r="AR77" i="2"/>
  <c r="M79" i="2"/>
  <c r="U80" i="2"/>
  <c r="V81" i="2"/>
  <c r="AK82" i="2"/>
  <c r="AQ83" i="2"/>
  <c r="AJ84" i="2"/>
  <c r="AB85" i="2"/>
  <c r="AE86" i="2"/>
  <c r="X87" i="2"/>
  <c r="Q88" i="2"/>
  <c r="H89" i="2"/>
  <c r="K90" i="2"/>
  <c r="D91" i="2"/>
  <c r="AQ91" i="2"/>
  <c r="AJ92" i="2"/>
  <c r="AB93" i="2"/>
  <c r="AE94" i="2"/>
  <c r="X95" i="2"/>
  <c r="Q96" i="2"/>
  <c r="H97" i="2"/>
  <c r="K98" i="2"/>
  <c r="D99" i="2"/>
  <c r="AQ99" i="2"/>
  <c r="AJ100" i="2"/>
  <c r="AB101" i="2"/>
  <c r="AE102" i="2"/>
  <c r="X103" i="2"/>
  <c r="Q104" i="2"/>
  <c r="H105" i="2"/>
  <c r="K106" i="2"/>
  <c r="D107" i="2"/>
  <c r="AQ107" i="2"/>
  <c r="AJ108" i="2"/>
  <c r="AB109" i="2"/>
  <c r="AE110" i="2"/>
  <c r="X111" i="2"/>
  <c r="Q112" i="2"/>
  <c r="H113" i="2"/>
  <c r="K114" i="2"/>
  <c r="D115" i="2"/>
  <c r="AQ115" i="2"/>
  <c r="AD116" i="2"/>
  <c r="M117" i="2"/>
  <c r="AP117" i="2"/>
  <c r="Y118" i="2"/>
  <c r="H119" i="2"/>
  <c r="AK119" i="2"/>
  <c r="CG7" i="3"/>
  <c r="R77" i="2"/>
  <c r="Y83" i="2"/>
  <c r="H87" i="2"/>
  <c r="D90" i="2"/>
  <c r="AN93" i="2"/>
  <c r="AC96" i="2"/>
  <c r="Y99" i="2"/>
  <c r="H103" i="2"/>
  <c r="D106" i="2"/>
  <c r="AN109" i="2"/>
  <c r="AC112" i="2"/>
  <c r="Y115" i="2"/>
  <c r="AR117" i="2"/>
  <c r="CN6" i="3"/>
  <c r="CI11" i="3"/>
  <c r="CI15" i="3"/>
  <c r="T70" i="3"/>
  <c r="J71" i="3"/>
  <c r="AP71" i="3"/>
  <c r="AF72" i="3"/>
  <c r="V73" i="3"/>
  <c r="L74" i="3"/>
  <c r="AR74" i="3"/>
  <c r="AH75" i="3"/>
  <c r="X76" i="3"/>
  <c r="F77" i="3"/>
  <c r="V77" i="3"/>
  <c r="AL77" i="3"/>
  <c r="L78" i="3"/>
  <c r="AB78" i="3"/>
  <c r="AR78" i="3"/>
  <c r="R79" i="3"/>
  <c r="AH79" i="3"/>
  <c r="H80" i="3"/>
  <c r="X80" i="3"/>
  <c r="AN80" i="3"/>
  <c r="N81" i="3"/>
  <c r="AD81" i="3"/>
  <c r="D82" i="3"/>
  <c r="T82" i="3"/>
  <c r="AJ82" i="3"/>
  <c r="J83" i="3"/>
  <c r="Z83" i="3"/>
  <c r="AP83" i="3"/>
  <c r="AS74" i="2"/>
  <c r="AJ76" i="2"/>
  <c r="H78" i="2"/>
  <c r="L79" i="2"/>
  <c r="P80" i="2"/>
  <c r="U81" i="2"/>
  <c r="X82" i="2"/>
  <c r="U83" i="2"/>
  <c r="O84" i="2"/>
  <c r="G85" i="2"/>
  <c r="AR85" i="2"/>
  <c r="AK86" i="2"/>
  <c r="AN87" i="2"/>
  <c r="AI88" i="2"/>
  <c r="AA89" i="2"/>
  <c r="Q90" i="2"/>
  <c r="U91" i="2"/>
  <c r="O92" i="2"/>
  <c r="G93" i="2"/>
  <c r="AR93" i="2"/>
  <c r="AK94" i="2"/>
  <c r="AN95" i="2"/>
  <c r="AI96" i="2"/>
  <c r="AA97" i="2"/>
  <c r="Q98" i="2"/>
  <c r="U99" i="2"/>
  <c r="O100" i="2"/>
  <c r="G101" i="2"/>
  <c r="AR101" i="2"/>
  <c r="AK102" i="2"/>
  <c r="AN103" i="2"/>
  <c r="AI104" i="2"/>
  <c r="AA105" i="2"/>
  <c r="Q106" i="2"/>
  <c r="U107" i="2"/>
  <c r="O108" i="2"/>
  <c r="G109" i="2"/>
  <c r="AR109" i="2"/>
  <c r="AK110" i="2"/>
  <c r="AN111" i="2"/>
  <c r="AI112" i="2"/>
  <c r="AA113" i="2"/>
  <c r="Q114" i="2"/>
  <c r="U115" i="2"/>
  <c r="N116" i="2"/>
  <c r="AP116" i="2"/>
  <c r="Z117" i="2"/>
  <c r="P118" i="2"/>
  <c r="AS118" i="2"/>
  <c r="AB119" i="2"/>
  <c r="CQ5" i="3"/>
  <c r="CQ7" i="3"/>
  <c r="CQ9" i="3"/>
  <c r="CQ11" i="3"/>
  <c r="CQ13" i="3"/>
  <c r="CQ15" i="3"/>
  <c r="CQ17" i="3"/>
  <c r="CQ19" i="3"/>
  <c r="CQ23" i="3"/>
  <c r="CQ25" i="3"/>
  <c r="CQ27" i="3"/>
  <c r="CQ29" i="3"/>
  <c r="CQ31" i="3"/>
  <c r="CQ33" i="3"/>
  <c r="CQ35" i="3"/>
  <c r="CQ37" i="3"/>
  <c r="CQ39" i="3"/>
  <c r="CQ41" i="3"/>
  <c r="CQ43" i="3"/>
  <c r="I46" i="3"/>
  <c r="AE46" i="3"/>
  <c r="AZ46" i="3"/>
  <c r="N50" i="3"/>
  <c r="AI50" i="3"/>
  <c r="BE50" i="3"/>
  <c r="U51" i="3"/>
  <c r="AP51" i="3"/>
  <c r="E54" i="3"/>
  <c r="U54" i="3"/>
  <c r="AK54" i="3"/>
  <c r="K55" i="3"/>
  <c r="AA55" i="3"/>
  <c r="AQ55" i="3"/>
  <c r="Q56" i="3"/>
  <c r="AG56" i="3"/>
  <c r="G57" i="3"/>
  <c r="W57" i="3"/>
  <c r="AM57" i="3"/>
  <c r="M58" i="3"/>
  <c r="AC58" i="3"/>
  <c r="C59" i="3"/>
  <c r="S59" i="3"/>
  <c r="AI59" i="3"/>
  <c r="I60" i="3"/>
  <c r="Y60" i="3"/>
  <c r="AO60" i="3"/>
  <c r="O61" i="3"/>
  <c r="AE61" i="3"/>
  <c r="E62" i="3"/>
  <c r="U62" i="3"/>
  <c r="AK62" i="3"/>
  <c r="K63" i="3"/>
  <c r="AA63" i="3"/>
  <c r="AQ63" i="3"/>
  <c r="Q64" i="3"/>
  <c r="AG64" i="3"/>
  <c r="G65" i="3"/>
  <c r="W65" i="3"/>
  <c r="AM65" i="3"/>
  <c r="M66" i="3"/>
  <c r="AC66" i="3"/>
  <c r="C67" i="3"/>
  <c r="S67" i="3"/>
  <c r="AI67" i="3"/>
  <c r="I68" i="3"/>
  <c r="Y68" i="3"/>
  <c r="AO68" i="3"/>
  <c r="O69" i="3"/>
  <c r="AE69" i="3"/>
  <c r="E70" i="3"/>
  <c r="U70" i="3"/>
  <c r="AK70" i="3"/>
  <c r="K71" i="3"/>
  <c r="AA71" i="3"/>
  <c r="AQ71" i="3"/>
  <c r="Q72" i="3"/>
  <c r="AG72" i="3"/>
  <c r="G73" i="3"/>
  <c r="W73" i="3"/>
  <c r="AM73" i="3"/>
  <c r="M74" i="3"/>
  <c r="AC74" i="3"/>
  <c r="C75" i="3"/>
  <c r="S75" i="3"/>
  <c r="AI75" i="3"/>
  <c r="I76" i="3"/>
  <c r="Y76" i="3"/>
  <c r="AO76" i="3"/>
  <c r="O77" i="3"/>
  <c r="AE77" i="3"/>
  <c r="E78" i="3"/>
  <c r="U78" i="3"/>
  <c r="AK78" i="3"/>
  <c r="K79" i="3"/>
  <c r="AA79" i="3"/>
  <c r="AQ79" i="3"/>
  <c r="Q80" i="3"/>
  <c r="AG80" i="3"/>
  <c r="G81" i="3"/>
  <c r="W81" i="3"/>
  <c r="AM81" i="3"/>
  <c r="M82" i="3"/>
  <c r="AC82" i="3"/>
  <c r="C83" i="3"/>
  <c r="S83" i="3"/>
  <c r="AI83" i="3"/>
  <c r="CN47" i="2"/>
  <c r="D76" i="2"/>
  <c r="E77" i="2"/>
  <c r="I78" i="2"/>
  <c r="AB79" i="2"/>
  <c r="AF80" i="2"/>
  <c r="AH81" i="2"/>
  <c r="O83" i="2"/>
  <c r="H84" i="2"/>
  <c r="AS84" i="2"/>
  <c r="AK85" i="2"/>
  <c r="AM86" i="2"/>
  <c r="AF87" i="2"/>
  <c r="AB88" i="2"/>
  <c r="S89" i="2"/>
  <c r="T90" i="2"/>
  <c r="O91" i="2"/>
  <c r="H92" i="2"/>
  <c r="AS92" i="2"/>
  <c r="AK93" i="2"/>
  <c r="AM94" i="2"/>
  <c r="AF95" i="2"/>
  <c r="AB96" i="2"/>
  <c r="S97" i="2"/>
  <c r="T98" i="2"/>
  <c r="O99" i="2"/>
  <c r="H100" i="2"/>
  <c r="AS100" i="2"/>
  <c r="AK101" i="2"/>
  <c r="AM102" i="2"/>
  <c r="AF103" i="2"/>
  <c r="AB104" i="2"/>
  <c r="S105" i="2"/>
  <c r="T106" i="2"/>
  <c r="O107" i="2"/>
  <c r="H108" i="2"/>
  <c r="AS108" i="2"/>
  <c r="AK109" i="2"/>
  <c r="AM110" i="2"/>
  <c r="AF111" i="2"/>
  <c r="AB112" i="2"/>
  <c r="S113" i="2"/>
  <c r="T114" i="2"/>
  <c r="O115" i="2"/>
  <c r="H116" i="2"/>
  <c r="AK116" i="2"/>
  <c r="U117" i="2"/>
  <c r="D118" i="2"/>
  <c r="AF118" i="2"/>
  <c r="P119" i="2"/>
  <c r="AR119" i="2"/>
  <c r="M78" i="2"/>
  <c r="I84" i="2"/>
  <c r="AS87" i="2"/>
  <c r="AO90" i="2"/>
  <c r="W94" i="2"/>
  <c r="U97" i="2"/>
  <c r="I100" i="2"/>
  <c r="AS103" i="2"/>
  <c r="AO106" i="2"/>
  <c r="W110" i="2"/>
  <c r="U113" i="2"/>
  <c r="I116" i="2"/>
  <c r="T118" i="2"/>
  <c r="CN8" i="3"/>
  <c r="CN12" i="3"/>
  <c r="CN16" i="3"/>
  <c r="CN20" i="3"/>
  <c r="CI19" i="3"/>
  <c r="CN28" i="3"/>
  <c r="CN36" i="3"/>
  <c r="CN44" i="3"/>
  <c r="AE50" i="3"/>
  <c r="J54" i="3"/>
  <c r="AF55" i="3"/>
  <c r="L57" i="3"/>
  <c r="AH58" i="3"/>
  <c r="N60" i="3"/>
  <c r="AJ61" i="3"/>
  <c r="H63" i="3"/>
  <c r="F64" i="3"/>
  <c r="L65" i="3"/>
  <c r="J66" i="3"/>
  <c r="H67" i="3"/>
  <c r="N68" i="3"/>
  <c r="L69" i="3"/>
  <c r="AR69" i="3"/>
  <c r="AH70" i="3"/>
  <c r="X71" i="3"/>
  <c r="N72" i="3"/>
  <c r="D73" i="3"/>
  <c r="AJ73" i="3"/>
  <c r="Z74" i="3"/>
  <c r="P75" i="3"/>
  <c r="F76" i="3"/>
  <c r="AL76" i="3"/>
  <c r="AB77" i="3"/>
  <c r="R78" i="3"/>
  <c r="H79" i="3"/>
  <c r="AN79" i="3"/>
  <c r="AD80" i="3"/>
  <c r="T81" i="3"/>
  <c r="J82" i="3"/>
  <c r="AP82" i="3"/>
  <c r="AF83" i="3"/>
  <c r="AF74" i="2"/>
  <c r="R79" i="2"/>
  <c r="AJ83" i="2"/>
  <c r="P87" i="2"/>
  <c r="AJ91" i="2"/>
  <c r="P95" i="2"/>
  <c r="AJ99" i="2"/>
  <c r="P103" i="2"/>
  <c r="AJ107" i="2"/>
  <c r="P111" i="2"/>
  <c r="AJ115" i="2"/>
  <c r="Z118" i="2"/>
  <c r="CG8" i="3"/>
  <c r="CG16" i="3"/>
  <c r="CG24" i="3"/>
  <c r="CG32" i="3"/>
  <c r="CG40" i="3"/>
  <c r="U46" i="3"/>
  <c r="K50" i="3"/>
  <c r="BB50" i="3"/>
  <c r="AN51" i="3"/>
  <c r="S54" i="3"/>
  <c r="I55" i="3"/>
  <c r="AO55" i="3"/>
  <c r="AE56" i="3"/>
  <c r="U57" i="3"/>
  <c r="K58" i="3"/>
  <c r="AQ58" i="3"/>
  <c r="AG59" i="3"/>
  <c r="W60" i="3"/>
  <c r="M61" i="3"/>
  <c r="C62" i="3"/>
  <c r="AI62" i="3"/>
  <c r="Y63" i="3"/>
  <c r="O64" i="3"/>
  <c r="E65" i="3"/>
  <c r="AK65" i="3"/>
  <c r="AA66" i="3"/>
  <c r="Q67" i="3"/>
  <c r="G68" i="3"/>
  <c r="AM68" i="3"/>
  <c r="AC69" i="3"/>
  <c r="S70" i="3"/>
  <c r="I71" i="3"/>
  <c r="AO71" i="3"/>
  <c r="AE72" i="3"/>
  <c r="U73" i="3"/>
  <c r="K74" i="3"/>
  <c r="AQ74" i="3"/>
  <c r="AG75" i="3"/>
  <c r="W76" i="3"/>
  <c r="M77" i="3"/>
  <c r="C78" i="3"/>
  <c r="AI78" i="3"/>
  <c r="Y79" i="3"/>
  <c r="O80" i="3"/>
  <c r="E81" i="3"/>
  <c r="AK81" i="3"/>
  <c r="AA82" i="3"/>
  <c r="Q83" i="3"/>
  <c r="DA29" i="2"/>
  <c r="AK78" i="2"/>
  <c r="F83" i="2"/>
  <c r="D86" i="2"/>
  <c r="AN89" i="2"/>
  <c r="AC92" i="2"/>
  <c r="Y95" i="2"/>
  <c r="H99" i="2"/>
  <c r="D102" i="2"/>
  <c r="W106" i="2"/>
  <c r="U109" i="2"/>
  <c r="AN113" i="2"/>
  <c r="AH118" i="2"/>
  <c r="CI12" i="3"/>
  <c r="CI30" i="3"/>
  <c r="CI36" i="3"/>
  <c r="CI44" i="3"/>
  <c r="E50" i="3"/>
  <c r="AR51" i="3"/>
  <c r="L55" i="3"/>
  <c r="Z56" i="3"/>
  <c r="F58" i="3"/>
  <c r="AB59" i="3"/>
  <c r="AP60" i="3"/>
  <c r="AD62" i="3"/>
  <c r="AR63" i="3"/>
  <c r="X65" i="3"/>
  <c r="AD66" i="3"/>
  <c r="J68" i="3"/>
  <c r="X69" i="3"/>
  <c r="D71" i="3"/>
  <c r="J72" i="3"/>
  <c r="P73" i="3"/>
  <c r="D75" i="3"/>
  <c r="Z76" i="3"/>
  <c r="F78" i="3"/>
  <c r="AB79" i="3"/>
  <c r="AH80" i="3"/>
  <c r="V82" i="3"/>
  <c r="AJ83" i="3"/>
  <c r="H115" i="2"/>
  <c r="CI8" i="3"/>
  <c r="CN15" i="3"/>
  <c r="CI22" i="3"/>
  <c r="CN27" i="3"/>
  <c r="CN39" i="3"/>
  <c r="AR46" i="3"/>
  <c r="V51" i="3"/>
  <c r="AD54" i="3"/>
  <c r="R56" i="3"/>
  <c r="AN57" i="3"/>
  <c r="T59" i="3"/>
  <c r="H61" i="3"/>
  <c r="V62" i="3"/>
  <c r="J64" i="3"/>
  <c r="AN65" i="3"/>
  <c r="T67" i="3"/>
  <c r="H69" i="3"/>
  <c r="AL70" i="3"/>
  <c r="H73" i="3"/>
  <c r="V74" i="3"/>
  <c r="AR75" i="3"/>
  <c r="X77" i="3"/>
  <c r="L79" i="3"/>
  <c r="AP80" i="3"/>
  <c r="N82" i="3"/>
  <c r="AR83" i="3"/>
  <c r="H77" i="2"/>
  <c r="Z82" i="2"/>
  <c r="L86" i="2"/>
  <c r="AF90" i="2"/>
  <c r="L94" i="2"/>
  <c r="AF98" i="2"/>
  <c r="L102" i="2"/>
  <c r="AF106" i="2"/>
  <c r="L110" i="2"/>
  <c r="AF114" i="2"/>
  <c r="AK117" i="2"/>
  <c r="CI6" i="3"/>
  <c r="CG13" i="3"/>
  <c r="CG27" i="3"/>
  <c r="AL50" i="3"/>
  <c r="C56" i="3"/>
  <c r="E59" i="3"/>
  <c r="G62" i="3"/>
  <c r="I65" i="3"/>
  <c r="K68" i="3"/>
  <c r="M71" i="3"/>
  <c r="O74" i="3"/>
  <c r="Q77" i="3"/>
  <c r="S80" i="3"/>
  <c r="U83" i="3"/>
  <c r="AA46" i="3"/>
  <c r="AE54" i="3"/>
  <c r="AG57" i="3"/>
  <c r="AI60" i="3"/>
  <c r="AK63" i="3"/>
  <c r="AM66" i="3"/>
  <c r="AO69" i="3"/>
  <c r="AQ72" i="3"/>
  <c r="C76" i="3"/>
  <c r="E79" i="3"/>
  <c r="G82" i="3"/>
  <c r="CG31" i="3"/>
  <c r="AS51" i="3"/>
  <c r="S56" i="3"/>
  <c r="U59" i="3"/>
  <c r="W62" i="3"/>
  <c r="Y65" i="3"/>
  <c r="AA68" i="3"/>
  <c r="AC71" i="3"/>
  <c r="AE74" i="3"/>
  <c r="AG77" i="3"/>
  <c r="AI80" i="3"/>
  <c r="AK83" i="3"/>
  <c r="E46" i="3"/>
  <c r="BD51" i="3"/>
  <c r="AA56" i="3"/>
  <c r="AC59" i="3"/>
  <c r="AE62" i="3"/>
  <c r="AG65" i="3"/>
  <c r="AI68" i="3"/>
  <c r="AK71" i="3"/>
  <c r="AM74" i="3"/>
  <c r="AO77" i="3"/>
  <c r="AQ80" i="3"/>
  <c r="S72" i="3"/>
  <c r="O54" i="3"/>
  <c r="S60" i="3"/>
  <c r="U63" i="3"/>
  <c r="AA72" i="3"/>
  <c r="AG81" i="3"/>
  <c r="Q73" i="3"/>
  <c r="W82" i="3"/>
  <c r="CI23" i="3"/>
  <c r="CI31" i="3"/>
  <c r="CI39" i="3"/>
  <c r="AB46" i="3"/>
  <c r="F51" i="3"/>
  <c r="AH54" i="3"/>
  <c r="N56" i="3"/>
  <c r="AJ57" i="3"/>
  <c r="P59" i="3"/>
  <c r="AL60" i="3"/>
  <c r="R62" i="3"/>
  <c r="P63" i="3"/>
  <c r="V64" i="3"/>
  <c r="T65" i="3"/>
  <c r="R66" i="3"/>
  <c r="X67" i="3"/>
  <c r="V68" i="3"/>
  <c r="T69" i="3"/>
  <c r="J70" i="3"/>
  <c r="AP70" i="3"/>
  <c r="AF71" i="3"/>
  <c r="V72" i="3"/>
  <c r="L73" i="3"/>
  <c r="AR73" i="3"/>
  <c r="AH74" i="3"/>
  <c r="X75" i="3"/>
  <c r="N76" i="3"/>
  <c r="D77" i="3"/>
  <c r="AJ77" i="3"/>
  <c r="Z78" i="3"/>
  <c r="P79" i="3"/>
  <c r="F80" i="3"/>
  <c r="AL80" i="3"/>
  <c r="AB81" i="3"/>
  <c r="R82" i="3"/>
  <c r="H83" i="3"/>
  <c r="AN83" i="3"/>
  <c r="AP76" i="2"/>
  <c r="J80" i="2"/>
  <c r="T84" i="2"/>
  <c r="AM88" i="2"/>
  <c r="T92" i="2"/>
  <c r="AM96" i="2"/>
  <c r="T100" i="2"/>
  <c r="AM104" i="2"/>
  <c r="T108" i="2"/>
  <c r="AM112" i="2"/>
  <c r="R116" i="2"/>
  <c r="J119" i="2"/>
  <c r="CG10" i="3"/>
  <c r="CG18" i="3"/>
  <c r="CG26" i="3"/>
  <c r="CG34" i="3"/>
  <c r="CG42" i="3"/>
  <c r="AF46" i="3"/>
  <c r="V50" i="3"/>
  <c r="H51" i="3"/>
  <c r="AX51" i="3"/>
  <c r="AA54" i="3"/>
  <c r="Q55" i="3"/>
  <c r="G56" i="3"/>
  <c r="AM56" i="3"/>
  <c r="AC57" i="3"/>
  <c r="S58" i="3"/>
  <c r="I59" i="3"/>
  <c r="AO59" i="3"/>
  <c r="AE60" i="3"/>
  <c r="U61" i="3"/>
  <c r="K62" i="3"/>
  <c r="AQ62" i="3"/>
  <c r="AG63" i="3"/>
  <c r="W64" i="3"/>
  <c r="M65" i="3"/>
  <c r="C66" i="3"/>
  <c r="AI66" i="3"/>
  <c r="Y67" i="3"/>
  <c r="O68" i="3"/>
  <c r="E69" i="3"/>
  <c r="AK69" i="3"/>
  <c r="AA70" i="3"/>
  <c r="Q71" i="3"/>
  <c r="G72" i="3"/>
  <c r="AM72" i="3"/>
  <c r="AC73" i="3"/>
  <c r="S74" i="3"/>
  <c r="I75" i="3"/>
  <c r="AO75" i="3"/>
  <c r="AE76" i="3"/>
  <c r="U77" i="3"/>
  <c r="K78" i="3"/>
  <c r="AQ78" i="3"/>
  <c r="AG79" i="3"/>
  <c r="W80" i="3"/>
  <c r="M81" i="3"/>
  <c r="C82" i="3"/>
  <c r="AI82" i="3"/>
  <c r="Y83" i="3"/>
  <c r="BF56" i="2"/>
  <c r="AF79" i="2"/>
  <c r="AS83" i="2"/>
  <c r="AO86" i="2"/>
  <c r="W90" i="2"/>
  <c r="U93" i="2"/>
  <c r="I96" i="2"/>
  <c r="AS99" i="2"/>
  <c r="AO102" i="2"/>
  <c r="H107" i="2"/>
  <c r="D110" i="2"/>
  <c r="W114" i="2"/>
  <c r="AS119" i="2"/>
  <c r="CN13" i="3"/>
  <c r="CN25" i="3"/>
  <c r="CN31" i="3"/>
  <c r="CN37" i="3"/>
  <c r="L46" i="3"/>
  <c r="F54" i="3"/>
  <c r="AB55" i="3"/>
  <c r="AP56" i="3"/>
  <c r="V58" i="3"/>
  <c r="AR59" i="3"/>
  <c r="P61" i="3"/>
  <c r="D63" i="3"/>
  <c r="R64" i="3"/>
  <c r="AF65" i="3"/>
  <c r="D67" i="3"/>
  <c r="Z68" i="3"/>
  <c r="AN69" i="3"/>
  <c r="T71" i="3"/>
  <c r="R72" i="3"/>
  <c r="AF73" i="3"/>
  <c r="T75" i="3"/>
  <c r="AP76" i="3"/>
  <c r="N78" i="3"/>
  <c r="AJ79" i="3"/>
  <c r="P81" i="3"/>
  <c r="AL82" i="3"/>
  <c r="X80" i="2"/>
  <c r="Y116" i="2"/>
  <c r="CI10" i="3"/>
  <c r="CI18" i="3"/>
  <c r="CN23" i="3"/>
  <c r="CI32" i="3"/>
  <c r="CI42" i="3"/>
  <c r="O50" i="3"/>
  <c r="AG51" i="3"/>
  <c r="AL54" i="3"/>
  <c r="AH56" i="3"/>
  <c r="N58" i="3"/>
  <c r="AJ59" i="3"/>
  <c r="X61" i="3"/>
  <c r="AL62" i="3"/>
  <c r="Z64" i="3"/>
  <c r="N66" i="3"/>
  <c r="AR67" i="3"/>
  <c r="AF69" i="3"/>
  <c r="L71" i="3"/>
  <c r="X73" i="3"/>
  <c r="AL74" i="3"/>
  <c r="R76" i="3"/>
  <c r="AN77" i="3"/>
  <c r="T79" i="3"/>
  <c r="H81" i="3"/>
  <c r="AD82" i="3"/>
  <c r="AP79" i="2"/>
  <c r="P83" i="2"/>
  <c r="AJ87" i="2"/>
  <c r="P91" i="2"/>
  <c r="AJ95" i="2"/>
  <c r="P99" i="2"/>
  <c r="AJ103" i="2"/>
  <c r="P107" i="2"/>
  <c r="AJ111" i="2"/>
  <c r="P115" i="2"/>
  <c r="M118" i="2"/>
  <c r="CN7" i="3"/>
  <c r="CG15" i="3"/>
  <c r="CG35" i="3"/>
  <c r="X51" i="3"/>
  <c r="AI56" i="3"/>
  <c r="AK59" i="3"/>
  <c r="AM62" i="3"/>
  <c r="AO65" i="3"/>
  <c r="AQ68" i="3"/>
  <c r="C72" i="3"/>
  <c r="E75" i="3"/>
  <c r="G78" i="3"/>
  <c r="I81" i="3"/>
  <c r="CG25" i="3"/>
  <c r="F50" i="3"/>
  <c r="U55" i="3"/>
  <c r="W58" i="3"/>
  <c r="Y61" i="3"/>
  <c r="AA64" i="3"/>
  <c r="AC67" i="3"/>
  <c r="AE70" i="3"/>
  <c r="AG73" i="3"/>
  <c r="AI76" i="3"/>
  <c r="AK79" i="3"/>
  <c r="AM82" i="3"/>
  <c r="CG39" i="3"/>
  <c r="G54" i="3"/>
  <c r="I57" i="3"/>
  <c r="K60" i="3"/>
  <c r="M63" i="3"/>
  <c r="O66" i="3"/>
  <c r="Q69" i="3"/>
  <c r="U75" i="3"/>
  <c r="W78" i="3"/>
  <c r="Y81" i="3"/>
  <c r="AV46" i="3"/>
  <c r="Q57" i="3"/>
  <c r="W66" i="3"/>
  <c r="AC75" i="3"/>
  <c r="M67" i="3"/>
  <c r="U79" i="3"/>
  <c r="CN24" i="3"/>
  <c r="CN32" i="3"/>
  <c r="CN40" i="3"/>
  <c r="AM46" i="3"/>
  <c r="Q51" i="3"/>
  <c r="AP54" i="3"/>
  <c r="V56" i="3"/>
  <c r="AR57" i="3"/>
  <c r="X59" i="3"/>
  <c r="D61" i="3"/>
  <c r="Z62" i="3"/>
  <c r="AF63" i="3"/>
  <c r="AD64" i="3"/>
  <c r="AB65" i="3"/>
  <c r="AH66" i="3"/>
  <c r="AF67" i="3"/>
  <c r="AD68" i="3"/>
  <c r="AB69" i="3"/>
  <c r="R70" i="3"/>
  <c r="H71" i="3"/>
  <c r="AN71" i="3"/>
  <c r="AD72" i="3"/>
  <c r="T73" i="3"/>
  <c r="J74" i="3"/>
  <c r="AP74" i="3"/>
  <c r="AF75" i="3"/>
  <c r="V76" i="3"/>
  <c r="L77" i="3"/>
  <c r="AR77" i="3"/>
  <c r="AH78" i="3"/>
  <c r="X79" i="3"/>
  <c r="N80" i="3"/>
  <c r="D81" i="3"/>
  <c r="AJ81" i="3"/>
  <c r="Z82" i="3"/>
  <c r="P83" i="3"/>
  <c r="AD56" i="2"/>
  <c r="AG77" i="2"/>
  <c r="M81" i="2"/>
  <c r="L85" i="2"/>
  <c r="AC89" i="2"/>
  <c r="L93" i="2"/>
  <c r="AC97" i="2"/>
  <c r="L101" i="2"/>
  <c r="AC105" i="2"/>
  <c r="L109" i="2"/>
  <c r="AC113" i="2"/>
  <c r="AT116" i="2"/>
  <c r="AL119" i="2"/>
  <c r="CG12" i="3"/>
  <c r="CG20" i="3"/>
  <c r="CG28" i="3"/>
  <c r="CG36" i="3"/>
  <c r="CG44" i="3"/>
  <c r="AQ46" i="3"/>
  <c r="AG50" i="3"/>
  <c r="R51" i="3"/>
  <c r="C54" i="3"/>
  <c r="AI54" i="3"/>
  <c r="Y55" i="3"/>
  <c r="O56" i="3"/>
  <c r="E57" i="3"/>
  <c r="AK57" i="3"/>
  <c r="AA58" i="3"/>
  <c r="Q59" i="3"/>
  <c r="G60" i="3"/>
  <c r="AM60" i="3"/>
  <c r="AC61" i="3"/>
  <c r="S62" i="3"/>
  <c r="I63" i="3"/>
  <c r="AO63" i="3"/>
  <c r="AE64" i="3"/>
  <c r="U65" i="3"/>
  <c r="K66" i="3"/>
  <c r="AQ66" i="3"/>
  <c r="AG67" i="3"/>
  <c r="W68" i="3"/>
  <c r="M69" i="3"/>
  <c r="C70" i="3"/>
  <c r="AI70" i="3"/>
  <c r="Y71" i="3"/>
  <c r="O72" i="3"/>
  <c r="E73" i="3"/>
  <c r="AK73" i="3"/>
  <c r="AA74" i="3"/>
  <c r="Q75" i="3"/>
  <c r="G76" i="3"/>
  <c r="AM76" i="3"/>
  <c r="AC77" i="3"/>
  <c r="S78" i="3"/>
  <c r="I79" i="3"/>
  <c r="AO79" i="3"/>
  <c r="AE80" i="3"/>
  <c r="U81" i="3"/>
  <c r="K82" i="3"/>
  <c r="AQ82" i="3"/>
  <c r="AG83" i="3"/>
  <c r="E76" i="2"/>
  <c r="Z81" i="2"/>
  <c r="AC84" i="2"/>
  <c r="Y87" i="2"/>
  <c r="H91" i="2"/>
  <c r="D94" i="2"/>
  <c r="AN97" i="2"/>
  <c r="AC100" i="2"/>
  <c r="I104" i="2"/>
  <c r="AS107" i="2"/>
  <c r="AO110" i="2"/>
  <c r="AS115" i="2"/>
  <c r="CI7" i="3"/>
  <c r="CI16" i="3"/>
  <c r="CI28" i="3"/>
  <c r="CI34" i="3"/>
  <c r="CI40" i="3"/>
  <c r="AG46" i="3"/>
  <c r="BF50" i="3"/>
  <c r="V54" i="3"/>
  <c r="AR55" i="3"/>
  <c r="X57" i="3"/>
  <c r="AL58" i="3"/>
  <c r="J60" i="3"/>
  <c r="AF61" i="3"/>
  <c r="L63" i="3"/>
  <c r="AH64" i="3"/>
  <c r="F66" i="3"/>
  <c r="AB67" i="3"/>
  <c r="AP68" i="3"/>
  <c r="N70" i="3"/>
  <c r="AB71" i="3"/>
  <c r="AH72" i="3"/>
  <c r="F74" i="3"/>
  <c r="AJ75" i="3"/>
  <c r="P77" i="3"/>
  <c r="AD78" i="3"/>
  <c r="J80" i="3"/>
  <c r="AF81" i="3"/>
  <c r="D83" i="3"/>
  <c r="Y103" i="2"/>
  <c r="E118" i="2"/>
  <c r="CN11" i="3"/>
  <c r="CN19" i="3"/>
  <c r="CI24" i="3"/>
  <c r="CN33" i="3"/>
  <c r="CN43" i="3"/>
  <c r="Z50" i="3"/>
  <c r="BB51" i="3"/>
  <c r="T55" i="3"/>
  <c r="H57" i="3"/>
  <c r="AD58" i="3"/>
  <c r="R60" i="3"/>
  <c r="AN61" i="3"/>
  <c r="T63" i="3"/>
  <c r="AP64" i="3"/>
  <c r="AL66" i="3"/>
  <c r="R68" i="3"/>
  <c r="F70" i="3"/>
  <c r="AJ71" i="3"/>
  <c r="AN73" i="3"/>
  <c r="L75" i="3"/>
  <c r="AH76" i="3"/>
  <c r="V78" i="3"/>
  <c r="AR79" i="3"/>
  <c r="X81" i="3"/>
  <c r="L83" i="3"/>
  <c r="L75" i="2"/>
  <c r="AJ80" i="2"/>
  <c r="AM84" i="2"/>
  <c r="T88" i="2"/>
  <c r="AM92" i="2"/>
  <c r="T96" i="2"/>
  <c r="AM100" i="2"/>
  <c r="T104" i="2"/>
  <c r="AM108" i="2"/>
  <c r="T112" i="2"/>
  <c r="AF116" i="2"/>
  <c r="AO118" i="2"/>
  <c r="CG9" i="3"/>
  <c r="CG17" i="3"/>
  <c r="CG43" i="3"/>
  <c r="W54" i="3"/>
  <c r="Y57" i="3"/>
  <c r="AA60" i="3"/>
  <c r="AC63" i="3"/>
  <c r="AE66" i="3"/>
  <c r="AG69" i="3"/>
  <c r="AI72" i="3"/>
  <c r="AK75" i="3"/>
  <c r="AM78" i="3"/>
  <c r="AO81" i="3"/>
  <c r="CG33" i="3"/>
  <c r="AW50" i="3"/>
  <c r="K56" i="3"/>
  <c r="M59" i="3"/>
  <c r="O62" i="3"/>
  <c r="Q65" i="3"/>
  <c r="S68" i="3"/>
  <c r="U71" i="3"/>
  <c r="W74" i="3"/>
  <c r="Y77" i="3"/>
  <c r="AA80" i="3"/>
  <c r="AC83" i="3"/>
  <c r="AM54" i="3"/>
  <c r="AO57" i="3"/>
  <c r="AQ60" i="3"/>
  <c r="C64" i="3"/>
  <c r="E67" i="3"/>
  <c r="G70" i="3"/>
  <c r="I73" i="3"/>
  <c r="K76" i="3"/>
  <c r="M79" i="3"/>
  <c r="O82" i="3"/>
  <c r="CG29" i="3"/>
  <c r="AA50" i="3"/>
  <c r="E55" i="3"/>
  <c r="G58" i="3"/>
  <c r="I61" i="3"/>
  <c r="K64" i="3"/>
  <c r="S76" i="3"/>
  <c r="CI27" i="3"/>
  <c r="CI35" i="3"/>
  <c r="CI43" i="3"/>
  <c r="U50" i="3"/>
  <c r="AW51" i="3"/>
  <c r="X55" i="3"/>
  <c r="D57" i="3"/>
  <c r="Z58" i="3"/>
  <c r="F60" i="3"/>
  <c r="AB61" i="3"/>
  <c r="AP62" i="3"/>
  <c r="AN63" i="3"/>
  <c r="AL64" i="3"/>
  <c r="AR65" i="3"/>
  <c r="AP66" i="3"/>
  <c r="AN67" i="3"/>
  <c r="D69" i="3"/>
  <c r="AJ69" i="3"/>
  <c r="Z70" i="3"/>
  <c r="P71" i="3"/>
  <c r="F72" i="3"/>
  <c r="AL72" i="3"/>
  <c r="AB73" i="3"/>
  <c r="R74" i="3"/>
  <c r="H75" i="3"/>
  <c r="AN75" i="3"/>
  <c r="AD76" i="3"/>
  <c r="T77" i="3"/>
  <c r="J78" i="3"/>
  <c r="AP78" i="3"/>
  <c r="AF79" i="3"/>
  <c r="V80" i="3"/>
  <c r="L81" i="3"/>
  <c r="AR81" i="3"/>
  <c r="AH82" i="3"/>
  <c r="X83" i="3"/>
  <c r="Z78" i="2"/>
  <c r="D82" i="2"/>
  <c r="AF86" i="2"/>
  <c r="L90" i="2"/>
  <c r="AF94" i="2"/>
  <c r="L98" i="2"/>
  <c r="AF102" i="2"/>
  <c r="L106" i="2"/>
  <c r="AF110" i="2"/>
  <c r="L114" i="2"/>
  <c r="V117" i="2"/>
  <c r="CN5" i="3"/>
  <c r="CG14" i="3"/>
  <c r="CG22" i="3"/>
  <c r="CG30" i="3"/>
  <c r="CG38" i="3"/>
  <c r="K46" i="3"/>
  <c r="BA46" i="3"/>
  <c r="AQ50" i="3"/>
  <c r="AC51" i="3"/>
  <c r="K54" i="3"/>
  <c r="AQ54" i="3"/>
  <c r="AG55" i="3"/>
  <c r="W56" i="3"/>
  <c r="M57" i="3"/>
  <c r="C58" i="3"/>
  <c r="AI58" i="3"/>
  <c r="Y59" i="3"/>
  <c r="O60" i="3"/>
  <c r="E61" i="3"/>
  <c r="AK61" i="3"/>
  <c r="AA62" i="3"/>
  <c r="Q63" i="3"/>
  <c r="G64" i="3"/>
  <c r="AM64" i="3"/>
  <c r="AC65" i="3"/>
  <c r="S66" i="3"/>
  <c r="I67" i="3"/>
  <c r="AO67" i="3"/>
  <c r="AE68" i="3"/>
  <c r="U69" i="3"/>
  <c r="K70" i="3"/>
  <c r="AQ70" i="3"/>
  <c r="AG71" i="3"/>
  <c r="W72" i="3"/>
  <c r="M73" i="3"/>
  <c r="C74" i="3"/>
  <c r="AI74" i="3"/>
  <c r="Y75" i="3"/>
  <c r="O76" i="3"/>
  <c r="E77" i="3"/>
  <c r="AK77" i="3"/>
  <c r="AA78" i="3"/>
  <c r="Q79" i="3"/>
  <c r="G80" i="3"/>
  <c r="AM80" i="3"/>
  <c r="AC81" i="3"/>
  <c r="S82" i="3"/>
  <c r="I83" i="3"/>
  <c r="AO83" i="3"/>
  <c r="AS77" i="2"/>
  <c r="P82" i="2"/>
  <c r="U85" i="2"/>
  <c r="I88" i="2"/>
  <c r="AS91" i="2"/>
  <c r="AO94" i="2"/>
  <c r="W98" i="2"/>
  <c r="U101" i="2"/>
  <c r="AN105" i="2"/>
  <c r="AC108" i="2"/>
  <c r="I112" i="2"/>
  <c r="AC117" i="2"/>
  <c r="CN9" i="3"/>
  <c r="CN17" i="3"/>
  <c r="CN29" i="3"/>
  <c r="CN35" i="3"/>
  <c r="CN41" i="3"/>
  <c r="BC46" i="3"/>
  <c r="L51" i="3"/>
  <c r="D55" i="3"/>
  <c r="J56" i="3"/>
  <c r="AF57" i="3"/>
  <c r="L59" i="3"/>
  <c r="Z60" i="3"/>
  <c r="F62" i="3"/>
  <c r="AB63" i="3"/>
  <c r="H65" i="3"/>
  <c r="V66" i="3"/>
  <c r="AJ67" i="3"/>
  <c r="P69" i="3"/>
  <c r="AD70" i="3"/>
  <c r="AR71" i="3"/>
  <c r="AP72" i="3"/>
  <c r="AD74" i="3"/>
  <c r="J76" i="3"/>
  <c r="AF77" i="3"/>
  <c r="D79" i="3"/>
  <c r="R80" i="3"/>
  <c r="F82" i="3"/>
  <c r="T83" i="3"/>
  <c r="Y111" i="2"/>
  <c r="Q119" i="2"/>
  <c r="CI14" i="3"/>
  <c r="CI20" i="3"/>
  <c r="CI26" i="3"/>
  <c r="CI38" i="3"/>
  <c r="W46" i="3"/>
  <c r="AU50" i="3"/>
  <c r="N54" i="3"/>
  <c r="AJ55" i="3"/>
  <c r="P57" i="3"/>
  <c r="D59" i="3"/>
  <c r="AH60" i="3"/>
  <c r="N62" i="3"/>
  <c r="AJ63" i="3"/>
  <c r="P65" i="3"/>
  <c r="L67" i="3"/>
  <c r="AH68" i="3"/>
  <c r="V70" i="3"/>
  <c r="Z72" i="3"/>
  <c r="N74" i="3"/>
  <c r="AB75" i="3"/>
  <c r="H77" i="3"/>
  <c r="AL78" i="3"/>
  <c r="Z80" i="3"/>
  <c r="AN81" i="3"/>
  <c r="AB83" i="3"/>
  <c r="R76" i="2"/>
  <c r="AN81" i="2"/>
  <c r="AC85" i="2"/>
  <c r="L89" i="2"/>
  <c r="AC93" i="2"/>
  <c r="L97" i="2"/>
  <c r="AC101" i="2"/>
  <c r="L105" i="2"/>
  <c r="AC109" i="2"/>
  <c r="L113" i="2"/>
  <c r="H117" i="2"/>
  <c r="X119" i="2"/>
  <c r="CG11" i="3"/>
  <c r="CG19" i="3"/>
  <c r="P46" i="3"/>
  <c r="M55" i="3"/>
  <c r="O58" i="3"/>
  <c r="Q61" i="3"/>
  <c r="S64" i="3"/>
  <c r="U67" i="3"/>
  <c r="W70" i="3"/>
  <c r="Y73" i="3"/>
  <c r="AA76" i="3"/>
  <c r="AC79" i="3"/>
  <c r="AE82" i="3"/>
  <c r="CG41" i="3"/>
  <c r="AH51" i="3"/>
  <c r="AQ56" i="3"/>
  <c r="C60" i="3"/>
  <c r="E63" i="3"/>
  <c r="G66" i="3"/>
  <c r="I69" i="3"/>
  <c r="K72" i="3"/>
  <c r="M75" i="3"/>
  <c r="O78" i="3"/>
  <c r="Q81" i="3"/>
  <c r="CG23" i="3"/>
  <c r="Q50" i="3"/>
  <c r="AC55" i="3"/>
  <c r="AE58" i="3"/>
  <c r="AG61" i="3"/>
  <c r="AI64" i="3"/>
  <c r="AM70" i="3"/>
  <c r="AO73" i="3"/>
  <c r="AQ76" i="3"/>
  <c r="C80" i="3"/>
  <c r="E83" i="3"/>
  <c r="CG37" i="3"/>
  <c r="M51" i="3"/>
  <c r="AK55" i="3"/>
  <c r="AM58" i="3"/>
  <c r="AO61" i="3"/>
  <c r="AQ64" i="3"/>
  <c r="C68" i="3"/>
  <c r="E71" i="3"/>
  <c r="G74" i="3"/>
  <c r="I77" i="3"/>
  <c r="K80" i="3"/>
  <c r="M83" i="3"/>
  <c r="Y69" i="3"/>
  <c r="AE78" i="3"/>
  <c r="O70" i="3"/>
  <c r="CP21" i="3"/>
  <c r="CF21" i="3"/>
  <c r="AK50" i="3"/>
  <c r="CJ21" i="3"/>
  <c r="CH21" i="3"/>
  <c r="AK51" i="3"/>
  <c r="CE21" i="3"/>
  <c r="CQ21" i="3"/>
  <c r="CG21" i="3"/>
  <c r="AK67" i="3"/>
  <c r="CO21" i="3"/>
  <c r="AK46" i="3"/>
  <c r="CI21" i="3"/>
  <c r="CN21" i="3"/>
  <c r="Z60" i="2"/>
  <c r="AD60" i="2"/>
  <c r="AU60" i="2"/>
  <c r="R60" i="2"/>
  <c r="BY60" i="2"/>
  <c r="AL60" i="2"/>
  <c r="K60" i="2"/>
  <c r="I60" i="2"/>
  <c r="BO60" i="2"/>
  <c r="BA60" i="2"/>
  <c r="BU60" i="2"/>
  <c r="AR60" i="2"/>
  <c r="BZ60" i="2"/>
  <c r="AQ60" i="2"/>
  <c r="U60" i="2"/>
  <c r="AO60" i="2"/>
  <c r="CD60" i="2"/>
  <c r="AY60" i="2"/>
  <c r="AC60" i="2"/>
  <c r="BL60" i="2"/>
  <c r="AG60" i="2"/>
  <c r="AB60" i="2"/>
  <c r="AJ60" i="2"/>
  <c r="AN60" i="2"/>
  <c r="BC60" i="2"/>
  <c r="BM60" i="2"/>
  <c r="J60" i="2"/>
  <c r="AE60" i="2"/>
  <c r="AS60" i="2"/>
  <c r="BW60" i="2"/>
  <c r="W60" i="2"/>
  <c r="AH60" i="2"/>
  <c r="AV60" i="2"/>
  <c r="BT60" i="2"/>
  <c r="BP60" i="2"/>
  <c r="AW60" i="2"/>
  <c r="AP60" i="2"/>
  <c r="AX60" i="2"/>
  <c r="BK60" i="2"/>
  <c r="AT60" i="2"/>
  <c r="S60" i="2"/>
  <c r="BN60" i="2"/>
  <c r="AI60" i="2"/>
  <c r="E60" i="2"/>
  <c r="AZ60" i="2"/>
  <c r="BJ60" i="2"/>
  <c r="AA60" i="2"/>
  <c r="AF60" i="2"/>
  <c r="P60" i="2"/>
  <c r="D60" i="2"/>
  <c r="BD60" i="2"/>
  <c r="Q60" i="2"/>
  <c r="CC60" i="2"/>
  <c r="L60" i="2"/>
  <c r="H60" i="2"/>
  <c r="Y60" i="2"/>
  <c r="BH60" i="2"/>
  <c r="BX60" i="2"/>
  <c r="X60" i="2"/>
  <c r="CB60" i="2"/>
  <c r="N60" i="2"/>
  <c r="BB60" i="2"/>
  <c r="T60" i="2"/>
  <c r="G60" i="2"/>
  <c r="BF60" i="2"/>
  <c r="BR60" i="2"/>
  <c r="O60" i="2"/>
  <c r="CA60" i="2"/>
  <c r="BV60" i="2"/>
  <c r="AM60" i="2"/>
  <c r="M60" i="2"/>
  <c r="AK60" i="2"/>
  <c r="BS60" i="2"/>
  <c r="BI60" i="2"/>
  <c r="F60" i="2"/>
  <c r="BG60" i="2"/>
  <c r="BQ60" i="2"/>
  <c r="V60" i="2"/>
  <c r="BE60" i="2"/>
  <c r="P49" i="3" l="1"/>
  <c r="W49" i="3"/>
  <c r="BC49" i="3"/>
  <c r="BA49" i="3"/>
  <c r="K49" i="3"/>
  <c r="AK49" i="3"/>
  <c r="AG49" i="3"/>
  <c r="B54" i="3"/>
  <c r="AQ49" i="3"/>
  <c r="AM49" i="3"/>
  <c r="AV49" i="3"/>
  <c r="L49" i="3"/>
  <c r="AF49" i="3"/>
  <c r="AB49" i="3"/>
  <c r="E49" i="3"/>
  <c r="AA49" i="3"/>
  <c r="AR49" i="3"/>
  <c r="U49" i="3"/>
  <c r="AZ49" i="3"/>
  <c r="AE49" i="3"/>
  <c r="I49" i="3"/>
  <c r="CQ3" i="3"/>
  <c r="AU49" i="3"/>
  <c r="Y49" i="3"/>
  <c r="D49" i="3"/>
  <c r="CM43" i="3"/>
  <c r="CM41" i="3"/>
  <c r="CM39" i="3"/>
  <c r="CM37" i="3"/>
  <c r="CM35" i="3"/>
  <c r="CM33" i="3"/>
  <c r="CM31" i="3"/>
  <c r="CM29" i="3"/>
  <c r="CM27" i="3"/>
  <c r="CM25" i="3"/>
  <c r="CM23" i="3"/>
  <c r="CM21" i="3"/>
  <c r="CM19" i="3"/>
  <c r="CM17" i="3"/>
  <c r="CM15" i="3"/>
  <c r="CM13" i="3"/>
  <c r="CM11" i="3"/>
  <c r="CM9" i="3"/>
  <c r="CM7" i="3"/>
  <c r="CM5" i="3"/>
  <c r="Q49" i="3"/>
  <c r="CE50" i="3"/>
  <c r="AO49" i="3"/>
  <c r="T49" i="3"/>
  <c r="AW49" i="3"/>
  <c r="G49" i="3"/>
  <c r="BE49" i="3"/>
  <c r="AJ49" i="3"/>
  <c r="O49" i="3"/>
  <c r="CM44" i="3"/>
  <c r="CM42" i="3"/>
  <c r="CM40" i="3"/>
  <c r="CM38" i="3"/>
  <c r="CM36" i="3"/>
  <c r="CM34" i="3"/>
  <c r="CM32" i="3"/>
  <c r="CM30" i="3"/>
  <c r="CM28" i="3"/>
  <c r="CM26" i="3"/>
  <c r="CM24" i="3"/>
  <c r="CM22" i="3"/>
  <c r="CM20" i="3"/>
  <c r="CM18" i="3"/>
  <c r="CM16" i="3"/>
  <c r="CM14" i="3"/>
  <c r="CM12" i="3"/>
  <c r="CM10" i="3"/>
  <c r="CM8" i="3"/>
  <c r="CM6" i="3"/>
  <c r="AS49" i="3"/>
  <c r="X49" i="3"/>
  <c r="C49" i="3"/>
  <c r="CE46" i="3"/>
  <c r="CL42" i="3"/>
  <c r="CK42" i="3"/>
  <c r="CR42" i="3" s="1"/>
  <c r="CL38" i="3"/>
  <c r="CK38" i="3"/>
  <c r="CR38" i="3" s="1"/>
  <c r="CL34" i="3"/>
  <c r="CK34" i="3"/>
  <c r="CR34" i="3"/>
  <c r="CL30" i="3"/>
  <c r="CK30" i="3"/>
  <c r="CR30" i="3" s="1"/>
  <c r="CL26" i="3"/>
  <c r="CK26" i="3"/>
  <c r="CR26" i="3" s="1"/>
  <c r="CL22" i="3"/>
  <c r="CK22" i="3"/>
  <c r="CR22" i="3" s="1"/>
  <c r="CL18" i="3"/>
  <c r="CK18" i="3"/>
  <c r="CR18" i="3"/>
  <c r="CL14" i="3"/>
  <c r="CK14" i="3"/>
  <c r="CR14" i="3" s="1"/>
  <c r="CL10" i="3"/>
  <c r="CK10" i="3"/>
  <c r="CR10" i="3" s="1"/>
  <c r="CL6" i="3"/>
  <c r="CK6" i="3"/>
  <c r="CR6" i="3"/>
  <c r="DG50" i="2"/>
  <c r="AX49" i="3"/>
  <c r="R49" i="3"/>
  <c r="AN49" i="3"/>
  <c r="S49" i="3"/>
  <c r="CL43" i="3"/>
  <c r="CK43" i="3"/>
  <c r="CR43" i="3"/>
  <c r="CL39" i="3"/>
  <c r="CK39" i="3"/>
  <c r="CR39" i="3" s="1"/>
  <c r="CR35" i="3"/>
  <c r="CL35" i="3"/>
  <c r="CK35" i="3"/>
  <c r="CR31" i="3"/>
  <c r="CL31" i="3"/>
  <c r="CK31" i="3"/>
  <c r="CL27" i="3"/>
  <c r="CK27" i="3"/>
  <c r="CR27" i="3"/>
  <c r="CL23" i="3"/>
  <c r="CK23" i="3"/>
  <c r="CR23" i="3" s="1"/>
  <c r="CR19" i="3"/>
  <c r="CL19" i="3"/>
  <c r="CK19" i="3"/>
  <c r="CL15" i="3"/>
  <c r="CK15" i="3"/>
  <c r="CR15" i="3" s="1"/>
  <c r="CL11" i="3"/>
  <c r="CK11" i="3"/>
  <c r="CR11" i="3" s="1"/>
  <c r="CL7" i="3"/>
  <c r="CK7" i="3"/>
  <c r="CR7" i="3" s="1"/>
  <c r="AT49" i="3"/>
  <c r="N49" i="3"/>
  <c r="CT42" i="3"/>
  <c r="CT38" i="3"/>
  <c r="CT34" i="3"/>
  <c r="CT30" i="3"/>
  <c r="CT26" i="3"/>
  <c r="CT22" i="3"/>
  <c r="CT18" i="3"/>
  <c r="CT14" i="3"/>
  <c r="CT10" i="3"/>
  <c r="CT6" i="3"/>
  <c r="BD49" i="3"/>
  <c r="AI49" i="3"/>
  <c r="M49" i="3"/>
  <c r="CR44" i="3"/>
  <c r="CL44" i="3"/>
  <c r="CK44" i="3"/>
  <c r="CL40" i="3"/>
  <c r="CK40" i="3"/>
  <c r="CR40" i="3"/>
  <c r="CK36" i="3"/>
  <c r="CR36" i="3" s="1"/>
  <c r="CL36" i="3"/>
  <c r="CK32" i="3"/>
  <c r="CR32" i="3"/>
  <c r="CL32" i="3"/>
  <c r="CL28" i="3"/>
  <c r="CK28" i="3"/>
  <c r="CR28" i="3" s="1"/>
  <c r="CL24" i="3"/>
  <c r="CK24" i="3"/>
  <c r="CR24" i="3" s="1"/>
  <c r="CK20" i="3"/>
  <c r="CR20" i="3"/>
  <c r="CL20" i="3"/>
  <c r="CK16" i="3"/>
  <c r="CR16" i="3"/>
  <c r="CL16" i="3"/>
  <c r="CL12" i="3"/>
  <c r="CK12" i="3"/>
  <c r="CR12" i="3"/>
  <c r="CK8" i="3"/>
  <c r="CR8" i="3"/>
  <c r="CL8" i="3"/>
  <c r="AH49" i="3"/>
  <c r="AY49" i="3"/>
  <c r="AC49" i="3"/>
  <c r="H49" i="3"/>
  <c r="CK41" i="3"/>
  <c r="CR41" i="3" s="1"/>
  <c r="CL41" i="3"/>
  <c r="CL37" i="3"/>
  <c r="CK37" i="3"/>
  <c r="CR37" i="3" s="1"/>
  <c r="CL33" i="3"/>
  <c r="CK33" i="3"/>
  <c r="CR33" i="3"/>
  <c r="CL29" i="3"/>
  <c r="CK29" i="3"/>
  <c r="CR29" i="3" s="1"/>
  <c r="CK25" i="3"/>
  <c r="CR25" i="3" s="1"/>
  <c r="CL25" i="3"/>
  <c r="CL21" i="3"/>
  <c r="CK21" i="3"/>
  <c r="CR21" i="3" s="1"/>
  <c r="CL17" i="3"/>
  <c r="CK17" i="3"/>
  <c r="CR17" i="3"/>
  <c r="CK13" i="3"/>
  <c r="CR13" i="3" s="1"/>
  <c r="CL13" i="3"/>
  <c r="CL9" i="3"/>
  <c r="CK9" i="3"/>
  <c r="CR9" i="3" s="1"/>
  <c r="CK5" i="3"/>
  <c r="CR5" i="3" s="1"/>
  <c r="CJ46" i="3"/>
  <c r="CL5" i="3"/>
  <c r="AD49" i="3"/>
  <c r="CT44" i="3"/>
  <c r="CT40" i="3"/>
  <c r="CT36" i="3"/>
  <c r="CT32" i="3"/>
  <c r="CT28" i="3"/>
  <c r="CT24" i="3"/>
  <c r="CT20" i="3"/>
  <c r="CT16" i="3"/>
  <c r="CT12" i="3"/>
  <c r="CT8" i="3"/>
  <c r="CL48" i="2"/>
  <c r="DD48" i="2" s="1"/>
  <c r="CL41" i="2"/>
  <c r="DD41" i="2" s="1"/>
  <c r="CF22" i="2"/>
  <c r="DG42" i="2"/>
  <c r="DG34" i="2"/>
  <c r="DG26" i="2"/>
  <c r="DH12" i="2"/>
  <c r="DH11" i="2"/>
  <c r="DC52" i="2"/>
  <c r="CF20" i="2"/>
  <c r="CK56" i="2"/>
  <c r="AP49" i="3"/>
  <c r="Z49" i="3"/>
  <c r="J49" i="3"/>
  <c r="CP3" i="3"/>
  <c r="CL20" i="2"/>
  <c r="DD20" i="2" s="1"/>
  <c r="CJ49" i="2"/>
  <c r="CL45" i="2"/>
  <c r="DD45" i="2" s="1"/>
  <c r="CJ27" i="2"/>
  <c r="DG48" i="2"/>
  <c r="CJ38" i="2"/>
  <c r="CJ30" i="2"/>
  <c r="CF26" i="2"/>
  <c r="DG29" i="2"/>
  <c r="CZ52" i="2"/>
  <c r="CH56" i="2"/>
  <c r="DH21" i="2"/>
  <c r="CE51" i="3"/>
  <c r="BB49" i="3"/>
  <c r="AL49" i="3"/>
  <c r="V49" i="3"/>
  <c r="F49" i="3"/>
  <c r="CT43" i="3"/>
  <c r="CT41" i="3"/>
  <c r="CT39" i="3"/>
  <c r="CT37" i="3"/>
  <c r="CT35" i="3"/>
  <c r="CT33" i="3"/>
  <c r="CT31" i="3"/>
  <c r="CT29" i="3"/>
  <c r="CT27" i="3"/>
  <c r="CT25" i="3"/>
  <c r="CT23" i="3"/>
  <c r="CT21" i="3"/>
  <c r="CT19" i="3"/>
  <c r="CT17" i="3"/>
  <c r="CT15" i="3"/>
  <c r="CT13" i="3"/>
  <c r="CT11" i="3"/>
  <c r="CT9" i="3"/>
  <c r="CT7" i="3"/>
  <c r="CT5" i="3"/>
  <c r="CL25" i="2"/>
  <c r="DD25" i="2" s="1"/>
  <c r="DH50" i="2"/>
  <c r="CO56" i="2"/>
  <c r="CE56" i="2"/>
  <c r="CL29" i="2"/>
  <c r="DD29" i="2" s="1"/>
  <c r="DH40" i="2"/>
  <c r="DH36" i="2"/>
  <c r="DH32" i="2"/>
  <c r="DH28" i="2"/>
  <c r="DH19" i="2"/>
  <c r="CJ11" i="2"/>
  <c r="CJ47" i="2"/>
  <c r="CF50" i="2"/>
  <c r="CJ14" i="2"/>
  <c r="DG46" i="2"/>
  <c r="CL33" i="2"/>
  <c r="DD33" i="2" s="1"/>
  <c r="CF43" i="2"/>
  <c r="DG27" i="2"/>
  <c r="CL44" i="2"/>
  <c r="DD44" i="2" s="1"/>
  <c r="DE44" i="2" s="1"/>
  <c r="CL36" i="2"/>
  <c r="DD36" i="2" s="1"/>
  <c r="CL32" i="2"/>
  <c r="DD32" i="2" s="1"/>
  <c r="CL28" i="2"/>
  <c r="DD28" i="2" s="1"/>
  <c r="CL23" i="2"/>
  <c r="DD23" i="2" s="1"/>
  <c r="DH35" i="2"/>
  <c r="DH27" i="2"/>
  <c r="CL12" i="2"/>
  <c r="DD12" i="2" s="1"/>
  <c r="DG28" i="2"/>
  <c r="DG16" i="2"/>
  <c r="CJ19" i="2"/>
  <c r="DG43" i="2"/>
  <c r="CJ50" i="2"/>
  <c r="CJ35" i="2"/>
  <c r="DG49" i="2"/>
  <c r="CJ39" i="2"/>
  <c r="DH33" i="2"/>
  <c r="CF31" i="2"/>
  <c r="CJ48" i="2"/>
  <c r="CJ43" i="2"/>
  <c r="DH29" i="2"/>
  <c r="CF6" i="2"/>
  <c r="CL49" i="2"/>
  <c r="DD49" i="2" s="1"/>
  <c r="DG39" i="2"/>
  <c r="CL47" i="2"/>
  <c r="DD47" i="2" s="1"/>
  <c r="CF45" i="2"/>
  <c r="CL43" i="2"/>
  <c r="DD43" i="2" s="1"/>
  <c r="CJ41" i="2"/>
  <c r="CF37" i="2"/>
  <c r="CL35" i="2"/>
  <c r="DD35" i="2" s="1"/>
  <c r="CF33" i="2"/>
  <c r="CF29" i="2"/>
  <c r="CF25" i="2"/>
  <c r="CJ44" i="2"/>
  <c r="CL42" i="2"/>
  <c r="DD42" i="2" s="1"/>
  <c r="CJ40" i="2"/>
  <c r="CJ36" i="2"/>
  <c r="CL34" i="2"/>
  <c r="DD34" i="2" s="1"/>
  <c r="CF32" i="2"/>
  <c r="CJ28" i="2"/>
  <c r="CL16" i="2"/>
  <c r="DD16" i="2" s="1"/>
  <c r="CI56" i="2"/>
  <c r="CJ5" i="2"/>
  <c r="DG17" i="2"/>
  <c r="DG9" i="2"/>
  <c r="DG20" i="2"/>
  <c r="DG12" i="2"/>
  <c r="DH17" i="2"/>
  <c r="CF15" i="2"/>
  <c r="DH9" i="2"/>
  <c r="CF7" i="2"/>
  <c r="CL17" i="2"/>
  <c r="DD17" i="2" s="1"/>
  <c r="CQ52" i="2"/>
  <c r="DH5" i="2"/>
  <c r="DH45" i="2"/>
  <c r="CJ31" i="2"/>
  <c r="DH48" i="2"/>
  <c r="CF49" i="2"/>
  <c r="CF35" i="2"/>
  <c r="DH37" i="2"/>
  <c r="DG31" i="2"/>
  <c r="CF27" i="2"/>
  <c r="DH49" i="2"/>
  <c r="DG47" i="2"/>
  <c r="DH25" i="2"/>
  <c r="CF46" i="2"/>
  <c r="CF42" i="2"/>
  <c r="CF38" i="2"/>
  <c r="CF30" i="2"/>
  <c r="CJ18" i="2"/>
  <c r="DH47" i="2"/>
  <c r="DG45" i="2"/>
  <c r="DH39" i="2"/>
  <c r="CL31" i="2"/>
  <c r="DD31" i="2" s="1"/>
  <c r="CJ25" i="2"/>
  <c r="DG22" i="2"/>
  <c r="CJ10" i="2"/>
  <c r="DH46" i="2"/>
  <c r="DG44" i="2"/>
  <c r="DG40" i="2"/>
  <c r="DH38" i="2"/>
  <c r="DG32" i="2"/>
  <c r="DG23" i="2"/>
  <c r="CF10" i="2"/>
  <c r="CF21" i="2"/>
  <c r="DH15" i="2"/>
  <c r="CF13" i="2"/>
  <c r="DH18" i="2"/>
  <c r="DH10" i="2"/>
  <c r="CF5" i="2"/>
  <c r="CL21" i="2"/>
  <c r="DD21" i="2" s="1"/>
  <c r="DG15" i="2"/>
  <c r="CL13" i="2"/>
  <c r="DD13" i="2" s="1"/>
  <c r="CL5" i="2"/>
  <c r="DD5" i="2" s="1"/>
  <c r="CG56" i="2"/>
  <c r="CL50" i="2"/>
  <c r="DD50" i="2" s="1"/>
  <c r="CF48" i="2"/>
  <c r="CF39" i="2"/>
  <c r="DG35" i="2"/>
  <c r="CF47" i="2"/>
  <c r="CJ46" i="2"/>
  <c r="DH44" i="2"/>
  <c r="CL40" i="2"/>
  <c r="DD40" i="2" s="1"/>
  <c r="CF34" i="2"/>
  <c r="DH24" i="2"/>
  <c r="DH43" i="2"/>
  <c r="CF41" i="2"/>
  <c r="CL39" i="2"/>
  <c r="DD39" i="2" s="1"/>
  <c r="DG37" i="2"/>
  <c r="CJ33" i="2"/>
  <c r="DH31" i="2"/>
  <c r="CL27" i="2"/>
  <c r="DD27" i="2" s="1"/>
  <c r="DH16" i="2"/>
  <c r="DG6" i="2"/>
  <c r="CF40" i="2"/>
  <c r="DG36" i="2"/>
  <c r="CJ32" i="2"/>
  <c r="DH30" i="2"/>
  <c r="CL26" i="2"/>
  <c r="DD26" i="2" s="1"/>
  <c r="DG24" i="2"/>
  <c r="DH20" i="2"/>
  <c r="CL8" i="2"/>
  <c r="DD8" i="2" s="1"/>
  <c r="CJ21" i="2"/>
  <c r="CL19" i="2"/>
  <c r="DD19" i="2" s="1"/>
  <c r="CL15" i="2"/>
  <c r="DD15" i="2" s="1"/>
  <c r="CJ13" i="2"/>
  <c r="CL11" i="2"/>
  <c r="DD11" i="2" s="1"/>
  <c r="CF9" i="2"/>
  <c r="CL7" i="2"/>
  <c r="DD7" i="2" s="1"/>
  <c r="CL22" i="2"/>
  <c r="DD22" i="2" s="1"/>
  <c r="CJ20" i="2"/>
  <c r="CJ16" i="2"/>
  <c r="CL14" i="2"/>
  <c r="DD14" i="2" s="1"/>
  <c r="CJ12" i="2"/>
  <c r="CJ8" i="2"/>
  <c r="CL6" i="2"/>
  <c r="DD6" i="2" s="1"/>
  <c r="CF19" i="2"/>
  <c r="DH41" i="2"/>
  <c r="CL37" i="2"/>
  <c r="DD37" i="2" s="1"/>
  <c r="DE37" i="2" s="1"/>
  <c r="CJ42" i="2"/>
  <c r="DG38" i="2"/>
  <c r="CJ34" i="2"/>
  <c r="DG30" i="2"/>
  <c r="CJ26" i="2"/>
  <c r="CF14" i="2"/>
  <c r="DG10" i="2"/>
  <c r="CJ45" i="2"/>
  <c r="DG41" i="2"/>
  <c r="CJ37" i="2"/>
  <c r="DG33" i="2"/>
  <c r="CJ29" i="2"/>
  <c r="DG25" i="2"/>
  <c r="DH23" i="2"/>
  <c r="CF18" i="2"/>
  <c r="DG14" i="2"/>
  <c r="DH8" i="2"/>
  <c r="CL46" i="2"/>
  <c r="DD46" i="2" s="1"/>
  <c r="CF44" i="2"/>
  <c r="DH42" i="2"/>
  <c r="CL38" i="2"/>
  <c r="DD38" i="2" s="1"/>
  <c r="CF36" i="2"/>
  <c r="DH34" i="2"/>
  <c r="CL30" i="2"/>
  <c r="DD30" i="2" s="1"/>
  <c r="DE30" i="2" s="1"/>
  <c r="CF28" i="2"/>
  <c r="DH26" i="2"/>
  <c r="CL24" i="2"/>
  <c r="DD24" i="2" s="1"/>
  <c r="CJ22" i="2"/>
  <c r="DG18" i="2"/>
  <c r="CF17" i="2"/>
  <c r="DH7" i="2"/>
  <c r="CJ24" i="2"/>
  <c r="CF12" i="2"/>
  <c r="DG8" i="2"/>
  <c r="DB52" i="2"/>
  <c r="CF23" i="2"/>
  <c r="DH13" i="2"/>
  <c r="CF11" i="2"/>
  <c r="CL9" i="2"/>
  <c r="DD9" i="2" s="1"/>
  <c r="DG7" i="2"/>
  <c r="CJ6" i="2"/>
  <c r="DG21" i="2"/>
  <c r="CJ17" i="2"/>
  <c r="DG13" i="2"/>
  <c r="CJ9" i="2"/>
  <c r="DG5" i="2"/>
  <c r="CY52" i="2"/>
  <c r="CF24" i="2"/>
  <c r="DH22" i="2"/>
  <c r="CL18" i="2"/>
  <c r="DD18" i="2" s="1"/>
  <c r="DE18" i="2" s="1"/>
  <c r="CF16" i="2"/>
  <c r="DH14" i="2"/>
  <c r="CL10" i="2"/>
  <c r="DD10" i="2" s="1"/>
  <c r="CF8" i="2"/>
  <c r="DH6" i="2"/>
  <c r="CX52" i="2"/>
  <c r="CJ23" i="2"/>
  <c r="DG19" i="2"/>
  <c r="CJ15" i="2"/>
  <c r="DG11" i="2"/>
  <c r="CJ7" i="2"/>
  <c r="DA52" i="2"/>
  <c r="AB63" i="1"/>
  <c r="Z63" i="1"/>
  <c r="AB3" i="1" a="1"/>
  <c r="AB3" i="1" s="1"/>
  <c r="H93" i="4"/>
  <c r="A5" i="5" s="1" a="1"/>
  <c r="V43" i="4"/>
  <c r="F43" i="4"/>
  <c r="AB43" i="4"/>
  <c r="H52" i="3"/>
  <c r="O52" i="3"/>
  <c r="T52" i="3"/>
  <c r="Z52" i="3"/>
  <c r="AH43" i="4"/>
  <c r="CA52" i="3"/>
  <c r="BV52" i="3"/>
  <c r="BP52" i="3"/>
  <c r="BK52" i="3"/>
  <c r="BF52" i="3"/>
  <c r="AZ52" i="3"/>
  <c r="AU52" i="3"/>
  <c r="AP52" i="3"/>
  <c r="AJ52" i="3"/>
  <c r="AE52" i="3"/>
  <c r="X52" i="3"/>
  <c r="R52" i="3"/>
  <c r="I52" i="3"/>
  <c r="BD48" i="3"/>
  <c r="AY48" i="3"/>
  <c r="AT48" i="3"/>
  <c r="AN48" i="3"/>
  <c r="AI48" i="3"/>
  <c r="AD48" i="3"/>
  <c r="X48" i="3"/>
  <c r="S48" i="3"/>
  <c r="N48" i="3"/>
  <c r="H48" i="3"/>
  <c r="C48" i="3"/>
  <c r="BA47" i="3"/>
  <c r="AU47" i="3"/>
  <c r="AP47" i="3"/>
  <c r="AK47" i="3"/>
  <c r="AE47" i="3"/>
  <c r="Z47" i="3"/>
  <c r="U47" i="3"/>
  <c r="O47" i="3"/>
  <c r="J47" i="3"/>
  <c r="R43" i="4"/>
  <c r="B43" i="4"/>
  <c r="AM43" i="4"/>
  <c r="L43" i="4"/>
  <c r="G43" i="4"/>
  <c r="AI43" i="4"/>
  <c r="AE43" i="4"/>
  <c r="S43" i="4"/>
  <c r="O43" i="4"/>
  <c r="C43" i="4"/>
  <c r="BZ52" i="3"/>
  <c r="BT52" i="3"/>
  <c r="BO52" i="3"/>
  <c r="BJ52" i="3"/>
  <c r="BD52" i="3"/>
  <c r="AY52" i="3"/>
  <c r="AT52" i="3"/>
  <c r="AN52" i="3"/>
  <c r="AI52" i="3"/>
  <c r="AD52" i="3"/>
  <c r="W52" i="3"/>
  <c r="P52" i="3"/>
  <c r="E52" i="3"/>
  <c r="D47" i="3"/>
  <c r="H47" i="3"/>
  <c r="L47" i="3"/>
  <c r="P47" i="3"/>
  <c r="T47" i="3"/>
  <c r="X47" i="3"/>
  <c r="AB47" i="3"/>
  <c r="AF47" i="3"/>
  <c r="AJ47" i="3"/>
  <c r="AN47" i="3"/>
  <c r="AR47" i="3"/>
  <c r="AV47" i="3"/>
  <c r="AZ47" i="3"/>
  <c r="BD47" i="3"/>
  <c r="E48" i="3"/>
  <c r="I48" i="3"/>
  <c r="M48" i="3"/>
  <c r="Q48" i="3"/>
  <c r="U48" i="3"/>
  <c r="Y48" i="3"/>
  <c r="AC48" i="3"/>
  <c r="AG48" i="3"/>
  <c r="AK48" i="3"/>
  <c r="AO48" i="3"/>
  <c r="AS48" i="3"/>
  <c r="AW48" i="3"/>
  <c r="BA48" i="3"/>
  <c r="BE48" i="3"/>
  <c r="AL43" i="4"/>
  <c r="AD43" i="4"/>
  <c r="N43" i="4"/>
  <c r="BX52" i="3"/>
  <c r="BS52" i="3"/>
  <c r="BN52" i="3"/>
  <c r="BH52" i="3"/>
  <c r="BC52" i="3"/>
  <c r="AX52" i="3"/>
  <c r="AR52" i="3"/>
  <c r="AM52" i="3"/>
  <c r="AH52" i="3"/>
  <c r="AB52" i="3"/>
  <c r="V52" i="3"/>
  <c r="M52" i="3"/>
  <c r="D52" i="3"/>
  <c r="BB48" i="3"/>
  <c r="AV48" i="3"/>
  <c r="AQ48" i="3"/>
  <c r="AL48" i="3"/>
  <c r="AF48" i="3"/>
  <c r="AA48" i="3"/>
  <c r="V48" i="3"/>
  <c r="P48" i="3"/>
  <c r="K48" i="3"/>
  <c r="F48" i="3"/>
  <c r="BC47" i="3"/>
  <c r="AX47" i="3"/>
  <c r="AS47" i="3"/>
  <c r="AM47" i="3"/>
  <c r="AH47" i="3"/>
  <c r="AC47" i="3"/>
  <c r="W47" i="3"/>
  <c r="R47" i="3"/>
  <c r="M47" i="3"/>
  <c r="G47" i="3"/>
  <c r="C47" i="3"/>
  <c r="CV52" i="2"/>
  <c r="CU52" i="2"/>
  <c r="CR52" i="2"/>
  <c r="CR53" i="2" s="1"/>
  <c r="DE15" i="2"/>
  <c r="DE36" i="2"/>
  <c r="DE48" i="2"/>
  <c r="DE19" i="2"/>
  <c r="DE40" i="2"/>
  <c r="DE6" i="2"/>
  <c r="DE43" i="2"/>
  <c r="DE21" i="2"/>
  <c r="DE46" i="2"/>
  <c r="DE33" i="2"/>
  <c r="H47" i="4"/>
  <c r="L48" i="4"/>
  <c r="A6" i="7"/>
  <c r="A19" i="1"/>
  <c r="M46" i="4"/>
  <c r="B5" i="7" s="1"/>
  <c r="O46" i="4"/>
  <c r="D5" i="7" s="1"/>
  <c r="K46" i="4"/>
  <c r="N46" i="4" s="1"/>
  <c r="C5" i="7" s="1"/>
  <c r="F57" i="2"/>
  <c r="F58" i="2" s="1"/>
  <c r="J57" i="2"/>
  <c r="J58" i="2" s="1"/>
  <c r="N57" i="2"/>
  <c r="N58" i="2" s="1"/>
  <c r="R57" i="2"/>
  <c r="R58" i="2" s="1"/>
  <c r="V57" i="2"/>
  <c r="V58" i="2" s="1"/>
  <c r="Z57" i="2"/>
  <c r="Z58" i="2" s="1"/>
  <c r="AD57" i="2"/>
  <c r="AD58" i="2" s="1"/>
  <c r="AH57" i="2"/>
  <c r="AH58" i="2" s="1"/>
  <c r="AL57" i="2"/>
  <c r="AL58" i="2" s="1"/>
  <c r="AP57" i="2"/>
  <c r="AP58" i="2" s="1"/>
  <c r="AT57" i="2"/>
  <c r="AT58" i="2" s="1"/>
  <c r="AX57" i="2"/>
  <c r="AX58" i="2" s="1"/>
  <c r="BB57" i="2"/>
  <c r="BB58" i="2" s="1"/>
  <c r="BF57" i="2"/>
  <c r="BF58" i="2" s="1"/>
  <c r="D57" i="2"/>
  <c r="G57" i="2"/>
  <c r="G58" i="2" s="1"/>
  <c r="K57" i="2"/>
  <c r="K58" i="2" s="1"/>
  <c r="O57" i="2"/>
  <c r="O58" i="2" s="1"/>
  <c r="S57" i="2"/>
  <c r="S58" i="2" s="1"/>
  <c r="W57" i="2"/>
  <c r="W58" i="2" s="1"/>
  <c r="AA57" i="2"/>
  <c r="AA58" i="2" s="1"/>
  <c r="AE57" i="2"/>
  <c r="AE58" i="2" s="1"/>
  <c r="AI57" i="2"/>
  <c r="AI58" i="2" s="1"/>
  <c r="AM57" i="2"/>
  <c r="AM58" i="2" s="1"/>
  <c r="AQ57" i="2"/>
  <c r="AQ58" i="2" s="1"/>
  <c r="AU57" i="2"/>
  <c r="AU58" i="2" s="1"/>
  <c r="AY57" i="2"/>
  <c r="AY58" i="2" s="1"/>
  <c r="BC57" i="2"/>
  <c r="BC58" i="2" s="1"/>
  <c r="I57" i="2"/>
  <c r="I58" i="2" s="1"/>
  <c r="Q57" i="2"/>
  <c r="Q58" i="2" s="1"/>
  <c r="Y57" i="2"/>
  <c r="Y58" i="2" s="1"/>
  <c r="AG57" i="2"/>
  <c r="AG58" i="2" s="1"/>
  <c r="AO57" i="2"/>
  <c r="AO58" i="2" s="1"/>
  <c r="AW57" i="2"/>
  <c r="AW58" i="2" s="1"/>
  <c r="BE57" i="2"/>
  <c r="BE58" i="2" s="1"/>
  <c r="H57" i="2"/>
  <c r="H58" i="2" s="1"/>
  <c r="T57" i="2"/>
  <c r="T58" i="2" s="1"/>
  <c r="AC57" i="2"/>
  <c r="AC58" i="2" s="1"/>
  <c r="AN57" i="2"/>
  <c r="AN58" i="2" s="1"/>
  <c r="AZ57" i="2"/>
  <c r="AZ58" i="2" s="1"/>
  <c r="P57" i="2"/>
  <c r="P58" i="2" s="1"/>
  <c r="AF57" i="2"/>
  <c r="AF58" i="2" s="1"/>
  <c r="AS57" i="2"/>
  <c r="AS58" i="2" s="1"/>
  <c r="E57" i="2"/>
  <c r="E58" i="2" s="1"/>
  <c r="U57" i="2"/>
  <c r="U58" i="2" s="1"/>
  <c r="AJ57" i="2"/>
  <c r="AJ58" i="2" s="1"/>
  <c r="AV57" i="2"/>
  <c r="AV58" i="2" s="1"/>
  <c r="AB57" i="2"/>
  <c r="AB58" i="2" s="1"/>
  <c r="BD57" i="2"/>
  <c r="BD58" i="2" s="1"/>
  <c r="L57" i="2"/>
  <c r="L58" i="2" s="1"/>
  <c r="AK57" i="2"/>
  <c r="AK58" i="2" s="1"/>
  <c r="M57" i="2"/>
  <c r="M58" i="2" s="1"/>
  <c r="AR57" i="2"/>
  <c r="AR58" i="2" s="1"/>
  <c r="BA57" i="2"/>
  <c r="BA58" i="2" s="1"/>
  <c r="X57" i="2"/>
  <c r="X58" i="2" s="1"/>
  <c r="A20" i="1"/>
  <c r="O67" i="1"/>
  <c r="AA65" i="1"/>
  <c r="O8" i="5"/>
  <c r="CF51" i="3"/>
  <c r="CG51" i="3" s="1"/>
  <c r="CE49" i="3"/>
  <c r="CS14" i="3" l="1"/>
  <c r="CG49" i="3"/>
  <c r="CS42" i="3"/>
  <c r="CS28" i="3"/>
  <c r="CS22" i="3"/>
  <c r="CS30" i="3"/>
  <c r="CS15" i="3"/>
  <c r="CS41" i="3"/>
  <c r="CS12" i="3"/>
  <c r="CS10" i="3"/>
  <c r="CS21" i="3"/>
  <c r="CS18" i="3"/>
  <c r="CS34" i="3"/>
  <c r="CS25" i="3"/>
  <c r="CS44" i="3"/>
  <c r="CS38" i="3"/>
  <c r="CS29" i="3"/>
  <c r="CS24" i="3"/>
  <c r="CS36" i="3"/>
  <c r="CS26" i="3"/>
  <c r="DE7" i="2"/>
  <c r="DE16" i="2"/>
  <c r="DE23" i="2"/>
  <c r="CS13" i="3"/>
  <c r="CS16" i="3"/>
  <c r="CS11" i="3"/>
  <c r="B29" i="10" s="1"/>
  <c r="D29" i="10" s="1" a="1"/>
  <c r="CS6" i="3"/>
  <c r="CH49" i="3" a="1"/>
  <c r="CH49" i="3" s="1"/>
  <c r="CS40" i="3"/>
  <c r="CS20" i="3"/>
  <c r="B18" i="10" s="1"/>
  <c r="C18" i="10" s="1"/>
  <c r="DE49" i="2"/>
  <c r="CS33" i="3"/>
  <c r="DE42" i="2"/>
  <c r="DE17" i="2"/>
  <c r="DE39" i="2"/>
  <c r="CS31" i="3"/>
  <c r="DE20" i="2"/>
  <c r="DE35" i="2"/>
  <c r="DE9" i="2"/>
  <c r="CS39" i="3"/>
  <c r="CS9" i="3"/>
  <c r="DE38" i="2"/>
  <c r="DE27" i="2"/>
  <c r="DE50" i="2"/>
  <c r="CH58" i="2"/>
  <c r="DE41" i="2"/>
  <c r="CS17" i="3"/>
  <c r="CS37" i="3"/>
  <c r="CS35" i="3"/>
  <c r="DE26" i="2"/>
  <c r="DE12" i="2"/>
  <c r="DE14" i="2"/>
  <c r="DE13" i="2"/>
  <c r="DE47" i="2"/>
  <c r="CS5" i="3"/>
  <c r="CS32" i="3"/>
  <c r="B52" i="10" s="1"/>
  <c r="C52" i="10" s="1"/>
  <c r="CS43" i="3"/>
  <c r="DE32" i="2"/>
  <c r="DE11" i="2"/>
  <c r="DE25" i="2"/>
  <c r="CS27" i="3"/>
  <c r="DE45" i="2"/>
  <c r="DE34" i="2"/>
  <c r="DE5" i="2"/>
  <c r="CS8" i="3"/>
  <c r="DE31" i="2"/>
  <c r="DE10" i="2"/>
  <c r="DE28" i="2"/>
  <c r="DE22" i="2"/>
  <c r="DE8" i="2"/>
  <c r="B51" i="9" s="1"/>
  <c r="CS19" i="3"/>
  <c r="DE29" i="2"/>
  <c r="DE24" i="2"/>
  <c r="CS23" i="3"/>
  <c r="CS7" i="3"/>
  <c r="B19" i="10"/>
  <c r="C19" i="10" s="1"/>
  <c r="B28" i="10"/>
  <c r="B5" i="10"/>
  <c r="B47" i="10"/>
  <c r="D47" i="10" s="1" a="1"/>
  <c r="B16" i="10"/>
  <c r="C16" i="10" s="1"/>
  <c r="B19" i="9"/>
  <c r="H19" i="9" s="1"/>
  <c r="CS54" i="2"/>
  <c r="CT54" i="2"/>
  <c r="CE48" i="3"/>
  <c r="B24" i="5"/>
  <c r="A21" i="6" s="1"/>
  <c r="B37" i="5"/>
  <c r="A34" i="6" s="1"/>
  <c r="A8" i="5"/>
  <c r="B9" i="5"/>
  <c r="A6" i="6" s="1"/>
  <c r="A16" i="5"/>
  <c r="A24" i="5"/>
  <c r="A32" i="5"/>
  <c r="A40" i="5"/>
  <c r="B6" i="5"/>
  <c r="A3" i="6" s="1"/>
  <c r="B18" i="5"/>
  <c r="A15" i="6" s="1"/>
  <c r="A29" i="5"/>
  <c r="B39" i="5"/>
  <c r="A36" i="6" s="1"/>
  <c r="B10" i="5"/>
  <c r="A7" i="6" s="1"/>
  <c r="A19" i="5"/>
  <c r="B41" i="5"/>
  <c r="A38" i="6" s="1"/>
  <c r="A7" i="5"/>
  <c r="A23" i="5"/>
  <c r="B38" i="5"/>
  <c r="A35" i="6" s="1"/>
  <c r="A13" i="5"/>
  <c r="B27" i="5"/>
  <c r="A24" i="6" s="1"/>
  <c r="A35" i="5"/>
  <c r="B35" i="5"/>
  <c r="A32" i="6" s="1"/>
  <c r="A43" i="5"/>
  <c r="B11" i="5"/>
  <c r="A8" i="6" s="1"/>
  <c r="A18" i="5"/>
  <c r="A26" i="5"/>
  <c r="A34" i="5"/>
  <c r="A42" i="5"/>
  <c r="A9" i="5"/>
  <c r="A21" i="5"/>
  <c r="B31" i="5"/>
  <c r="A28" i="6" s="1"/>
  <c r="B42" i="5"/>
  <c r="A39" i="6" s="1"/>
  <c r="B12" i="5"/>
  <c r="A9" i="6" s="1"/>
  <c r="B28" i="5"/>
  <c r="A25" i="6" s="1"/>
  <c r="B43" i="5"/>
  <c r="A40" i="6" s="1"/>
  <c r="B17" i="5"/>
  <c r="A14" i="6" s="1"/>
  <c r="A25" i="5"/>
  <c r="B40" i="5"/>
  <c r="A37" i="6" s="1"/>
  <c r="A15" i="5"/>
  <c r="B29" i="5"/>
  <c r="A26" i="6" s="1"/>
  <c r="B44" i="5"/>
  <c r="A41" i="6" s="1"/>
  <c r="A39" i="5"/>
  <c r="A6" i="5"/>
  <c r="A10" i="5"/>
  <c r="B22" i="5"/>
  <c r="A19" i="6" s="1"/>
  <c r="B13" i="5"/>
  <c r="A10" i="6" s="1"/>
  <c r="A20" i="5"/>
  <c r="A28" i="5"/>
  <c r="A36" i="5"/>
  <c r="A44" i="5"/>
  <c r="A12" i="5"/>
  <c r="B23" i="5"/>
  <c r="A20" i="6" s="1"/>
  <c r="B34" i="5"/>
  <c r="A31" i="6" s="1"/>
  <c r="A45" i="5"/>
  <c r="A14" i="5"/>
  <c r="B30" i="5"/>
  <c r="A27" i="6" s="1"/>
  <c r="B45" i="5"/>
  <c r="A42" i="6" s="1"/>
  <c r="B19" i="5"/>
  <c r="A16" i="6" s="1"/>
  <c r="A27" i="5"/>
  <c r="B5" i="5"/>
  <c r="A2" i="6" s="1"/>
  <c r="B16" i="5"/>
  <c r="A13" i="6" s="1"/>
  <c r="A31" i="5"/>
  <c r="B46" i="5"/>
  <c r="B20" i="5"/>
  <c r="A17" i="6" s="1"/>
  <c r="B33" i="5"/>
  <c r="A30" i="6" s="1"/>
  <c r="A41" i="5"/>
  <c r="B7" i="5"/>
  <c r="A4" i="6" s="1"/>
  <c r="B15" i="5"/>
  <c r="A12" i="6" s="1"/>
  <c r="A22" i="5"/>
  <c r="A30" i="5"/>
  <c r="A38" i="5"/>
  <c r="A46" i="5"/>
  <c r="B14" i="5"/>
  <c r="A11" i="6" s="1"/>
  <c r="B26" i="5"/>
  <c r="A23" i="6" s="1"/>
  <c r="A37" i="5"/>
  <c r="B8" i="5"/>
  <c r="A5" i="6" s="1"/>
  <c r="A17" i="5"/>
  <c r="B32" i="5"/>
  <c r="A29" i="6" s="1"/>
  <c r="A5" i="5"/>
  <c r="B21" i="5"/>
  <c r="A18" i="6" s="1"/>
  <c r="B36" i="5"/>
  <c r="A33" i="6" s="1"/>
  <c r="A11" i="5"/>
  <c r="B25" i="5"/>
  <c r="A22" i="6" s="1"/>
  <c r="A33" i="5"/>
  <c r="B55" i="9"/>
  <c r="B26" i="9"/>
  <c r="C26" i="9" s="1"/>
  <c r="B49" i="9"/>
  <c r="B20" i="10"/>
  <c r="C20" i="10" s="1"/>
  <c r="B10" i="10"/>
  <c r="C10" i="10" s="1"/>
  <c r="B47" i="9"/>
  <c r="CE47" i="3"/>
  <c r="AB65" i="1"/>
  <c r="P67" i="1"/>
  <c r="B40" i="9"/>
  <c r="B8" i="9"/>
  <c r="B33" i="9"/>
  <c r="G33" i="9" s="1"/>
  <c r="C47" i="10"/>
  <c r="CE57" i="2"/>
  <c r="D58" i="2"/>
  <c r="CO57" i="2"/>
  <c r="H40" i="9"/>
  <c r="E8" i="9"/>
  <c r="H48" i="4"/>
  <c r="L49" i="4"/>
  <c r="A7" i="7"/>
  <c r="CH51" i="3"/>
  <c r="H49" i="9"/>
  <c r="G19" i="9"/>
  <c r="F19" i="9"/>
  <c r="K47" i="4"/>
  <c r="N47" i="4" s="1"/>
  <c r="C6" i="7" s="1"/>
  <c r="O47" i="4"/>
  <c r="D6" i="7" s="1"/>
  <c r="M47" i="4"/>
  <c r="B6" i="7" s="1"/>
  <c r="O9" i="5"/>
  <c r="D16" i="10" a="1"/>
  <c r="H55" i="9"/>
  <c r="H47" i="9"/>
  <c r="G26" i="9"/>
  <c r="D26" i="9"/>
  <c r="H26" i="9"/>
  <c r="E26" i="9"/>
  <c r="F26" i="9"/>
  <c r="A21" i="1"/>
  <c r="CV54" i="2"/>
  <c r="CR54" i="2"/>
  <c r="CU54" i="2"/>
  <c r="D5" i="10" a="1"/>
  <c r="C5" i="10"/>
  <c r="C28" i="10"/>
  <c r="D28" i="10" a="1"/>
  <c r="A22" i="1"/>
  <c r="C33" i="9"/>
  <c r="I33" i="9"/>
  <c r="D10" i="10" l="1" a="1"/>
  <c r="B14" i="10"/>
  <c r="C14" i="10" s="1"/>
  <c r="H51" i="9"/>
  <c r="G51" i="9"/>
  <c r="I51" i="9"/>
  <c r="C51" i="9"/>
  <c r="D51" i="9"/>
  <c r="F51" i="9"/>
  <c r="E51" i="9"/>
  <c r="D14" i="10" a="1"/>
  <c r="G8" i="9"/>
  <c r="I8" i="9"/>
  <c r="F8" i="9"/>
  <c r="H8" i="9"/>
  <c r="G47" i="9"/>
  <c r="E47" i="9"/>
  <c r="G55" i="9"/>
  <c r="I55" i="9"/>
  <c r="D19" i="10" a="1"/>
  <c r="B9" i="9"/>
  <c r="B52" i="9"/>
  <c r="B35" i="10"/>
  <c r="B27" i="9"/>
  <c r="B45" i="10"/>
  <c r="B51" i="10"/>
  <c r="C40" i="9"/>
  <c r="I40" i="9"/>
  <c r="D40" i="9"/>
  <c r="F40" i="9"/>
  <c r="G49" i="9"/>
  <c r="I49" i="9"/>
  <c r="H33" i="9"/>
  <c r="C47" i="9"/>
  <c r="D52" i="10" a="1"/>
  <c r="K52" i="10" s="1"/>
  <c r="B16" i="9"/>
  <c r="B7" i="9"/>
  <c r="B48" i="10"/>
  <c r="F49" i="9"/>
  <c r="C49" i="9"/>
  <c r="C8" i="9"/>
  <c r="B17" i="9"/>
  <c r="B54" i="9"/>
  <c r="B24" i="9"/>
  <c r="B22" i="9"/>
  <c r="B43" i="10"/>
  <c r="B23" i="9"/>
  <c r="B27" i="10"/>
  <c r="B3" i="9"/>
  <c r="B6" i="10"/>
  <c r="B38" i="10"/>
  <c r="B33" i="10"/>
  <c r="B11" i="9"/>
  <c r="B58" i="9"/>
  <c r="B34" i="9"/>
  <c r="B2" i="9"/>
  <c r="B31" i="9"/>
  <c r="B5" i="9"/>
  <c r="B48" i="9"/>
  <c r="B14" i="9"/>
  <c r="B59" i="9"/>
  <c r="B44" i="9"/>
  <c r="B28" i="9"/>
  <c r="B12" i="9"/>
  <c r="B45" i="9"/>
  <c r="B37" i="9"/>
  <c r="B21" i="9"/>
  <c r="B43" i="9"/>
  <c r="B35" i="9"/>
  <c r="B57" i="9"/>
  <c r="B56" i="9"/>
  <c r="B18" i="9"/>
  <c r="B50" i="9"/>
  <c r="B15" i="9"/>
  <c r="B30" i="9"/>
  <c r="B60" i="9"/>
  <c r="B36" i="9"/>
  <c r="B20" i="9"/>
  <c r="B4" i="9"/>
  <c r="B46" i="9"/>
  <c r="B29" i="9"/>
  <c r="B13" i="9"/>
  <c r="C19" i="9"/>
  <c r="I19" i="9"/>
  <c r="B7" i="10"/>
  <c r="B42" i="10"/>
  <c r="B30" i="10"/>
  <c r="B2" i="10"/>
  <c r="B26" i="10"/>
  <c r="B22" i="10"/>
  <c r="B31" i="10"/>
  <c r="B24" i="10"/>
  <c r="B44" i="10"/>
  <c r="B34" i="10"/>
  <c r="B3" i="10"/>
  <c r="B41" i="10"/>
  <c r="D55" i="9"/>
  <c r="D18" i="10" a="1"/>
  <c r="E19" i="9"/>
  <c r="D49" i="9"/>
  <c r="D20" i="10" a="1"/>
  <c r="E20" i="10" s="1"/>
  <c r="D8" i="9"/>
  <c r="G40" i="9"/>
  <c r="B41" i="9"/>
  <c r="B10" i="9"/>
  <c r="B17" i="10"/>
  <c r="B12" i="10"/>
  <c r="F33" i="9"/>
  <c r="D33" i="9"/>
  <c r="C29" i="10"/>
  <c r="F55" i="9"/>
  <c r="C55" i="9"/>
  <c r="E33" i="9"/>
  <c r="I26" i="9"/>
  <c r="E55" i="9"/>
  <c r="D19" i="9"/>
  <c r="E49" i="9"/>
  <c r="E40" i="9"/>
  <c r="B25" i="9"/>
  <c r="B53" i="9"/>
  <c r="B32" i="9"/>
  <c r="B38" i="9"/>
  <c r="B23" i="10"/>
  <c r="B39" i="9"/>
  <c r="B42" i="9"/>
  <c r="B32" i="10"/>
  <c r="B40" i="10"/>
  <c r="B11" i="10"/>
  <c r="B9" i="10"/>
  <c r="B6" i="9"/>
  <c r="B13" i="10"/>
  <c r="C13" i="10" s="1"/>
  <c r="B36" i="10"/>
  <c r="C36" i="10" s="1"/>
  <c r="B8" i="10"/>
  <c r="B49" i="10"/>
  <c r="B39" i="10"/>
  <c r="B37" i="10"/>
  <c r="B25" i="10"/>
  <c r="B15" i="10"/>
  <c r="C15" i="10" s="1"/>
  <c r="B21" i="10"/>
  <c r="B46" i="10"/>
  <c r="D46" i="10" s="1" a="1"/>
  <c r="B50" i="10"/>
  <c r="D50" i="10" s="1" a="1"/>
  <c r="H50" i="10" s="1"/>
  <c r="B4" i="10"/>
  <c r="E5" i="9"/>
  <c r="E37" i="9"/>
  <c r="G45" i="9"/>
  <c r="H2" i="9"/>
  <c r="C14" i="9"/>
  <c r="D31" i="9"/>
  <c r="I58" i="9"/>
  <c r="G58" i="9"/>
  <c r="I12" i="9"/>
  <c r="G12" i="9"/>
  <c r="D59" i="9"/>
  <c r="F5" i="9"/>
  <c r="I37" i="9"/>
  <c r="H41" i="9"/>
  <c r="C45" i="9"/>
  <c r="D15" i="10" a="1"/>
  <c r="G15" i="10" s="1"/>
  <c r="C50" i="10"/>
  <c r="C46" i="10"/>
  <c r="D2" i="9"/>
  <c r="I6" i="9"/>
  <c r="G6" i="9"/>
  <c r="E10" i="9"/>
  <c r="C10" i="9"/>
  <c r="H14" i="9"/>
  <c r="F14" i="9"/>
  <c r="F22" i="9"/>
  <c r="D22" i="9"/>
  <c r="E42" i="9"/>
  <c r="G42" i="9"/>
  <c r="C48" i="9"/>
  <c r="F47" i="9"/>
  <c r="D47" i="9"/>
  <c r="D36" i="10" a="1"/>
  <c r="F36" i="10" s="1"/>
  <c r="D7" i="9"/>
  <c r="F27" i="9"/>
  <c r="D27" i="9"/>
  <c r="E31" i="9"/>
  <c r="G31" i="9"/>
  <c r="H39" i="9"/>
  <c r="E58" i="9"/>
  <c r="C58" i="9"/>
  <c r="E12" i="9"/>
  <c r="C12" i="9"/>
  <c r="H16" i="9"/>
  <c r="F16" i="9"/>
  <c r="I32" i="9"/>
  <c r="C32" i="9"/>
  <c r="I44" i="9"/>
  <c r="D44" i="9"/>
  <c r="E52" i="9"/>
  <c r="C52" i="9"/>
  <c r="I59" i="9"/>
  <c r="G59" i="9"/>
  <c r="C5" i="9"/>
  <c r="G37" i="9"/>
  <c r="I45" i="9"/>
  <c r="F2" i="9"/>
  <c r="E14" i="9"/>
  <c r="F31" i="9"/>
  <c r="F44" i="9"/>
  <c r="G44" i="9"/>
  <c r="F59" i="9"/>
  <c r="H5" i="9"/>
  <c r="D9" i="9"/>
  <c r="I21" i="9"/>
  <c r="C37" i="9"/>
  <c r="E45" i="9"/>
  <c r="H53" i="9"/>
  <c r="I9" i="9"/>
  <c r="F41" i="9"/>
  <c r="F53" i="9"/>
  <c r="I2" i="9"/>
  <c r="E6" i="9"/>
  <c r="H10" i="9"/>
  <c r="E22" i="9"/>
  <c r="I42" i="9"/>
  <c r="I47" i="9"/>
  <c r="I7" i="9"/>
  <c r="E27" i="9"/>
  <c r="I31" i="9"/>
  <c r="F39" i="9"/>
  <c r="H12" i="9"/>
  <c r="E44" i="9"/>
  <c r="E59" i="9"/>
  <c r="G17" i="5"/>
  <c r="H17" i="5" s="1"/>
  <c r="E14" i="6" s="1"/>
  <c r="J17" i="5"/>
  <c r="G14" i="6" s="1"/>
  <c r="E17" i="5"/>
  <c r="E22" i="5"/>
  <c r="J22" i="5"/>
  <c r="G19" i="6" s="1"/>
  <c r="G22" i="5"/>
  <c r="H22" i="5" s="1"/>
  <c r="E19" i="6" s="1"/>
  <c r="J36" i="5"/>
  <c r="G33" i="6" s="1"/>
  <c r="E36" i="5"/>
  <c r="G36" i="5"/>
  <c r="H36" i="5" s="1"/>
  <c r="E33" i="6" s="1"/>
  <c r="G25" i="5"/>
  <c r="H25" i="5" s="1"/>
  <c r="E22" i="6" s="1"/>
  <c r="J25" i="5"/>
  <c r="G22" i="6" s="1"/>
  <c r="E25" i="5"/>
  <c r="E9" i="5"/>
  <c r="J9" i="5"/>
  <c r="G6" i="6" s="1"/>
  <c r="G9" i="5"/>
  <c r="H9" i="5" s="1"/>
  <c r="E6" i="6" s="1"/>
  <c r="J18" i="5"/>
  <c r="G15" i="6" s="1"/>
  <c r="E18" i="5"/>
  <c r="G18" i="5"/>
  <c r="H18" i="5" s="1"/>
  <c r="E15" i="6" s="1"/>
  <c r="E35" i="5"/>
  <c r="J35" i="5"/>
  <c r="G32" i="6" s="1"/>
  <c r="G35" i="5"/>
  <c r="H35" i="5" s="1"/>
  <c r="E32" i="6" s="1"/>
  <c r="G23" i="5"/>
  <c r="H23" i="5" s="1"/>
  <c r="E20" i="6" s="1"/>
  <c r="J23" i="5"/>
  <c r="G20" i="6" s="1"/>
  <c r="E23" i="5"/>
  <c r="J16" i="5"/>
  <c r="G13" i="6" s="1"/>
  <c r="E16" i="5"/>
  <c r="G16" i="5"/>
  <c r="H16" i="5" s="1"/>
  <c r="E13" i="6" s="1"/>
  <c r="G33" i="5"/>
  <c r="H33" i="5" s="1"/>
  <c r="E30" i="6" s="1"/>
  <c r="E33" i="5"/>
  <c r="J33" i="5"/>
  <c r="G30" i="6" s="1"/>
  <c r="J46" i="5"/>
  <c r="G46" i="5"/>
  <c r="H46" i="5" s="1"/>
  <c r="E46" i="5"/>
  <c r="E28" i="5"/>
  <c r="G28" i="5"/>
  <c r="H28" i="5" s="1"/>
  <c r="E25" i="6" s="1"/>
  <c r="J28" i="5"/>
  <c r="G25" i="6" s="1"/>
  <c r="G10" i="5"/>
  <c r="H10" i="5" s="1"/>
  <c r="E7" i="6" s="1"/>
  <c r="E10" i="5"/>
  <c r="J10" i="5"/>
  <c r="G7" i="6" s="1"/>
  <c r="E42" i="5"/>
  <c r="G42" i="5"/>
  <c r="H42" i="5" s="1"/>
  <c r="E39" i="6" s="1"/>
  <c r="J42" i="5"/>
  <c r="G39" i="6" s="1"/>
  <c r="J7" i="5"/>
  <c r="G4" i="6" s="1"/>
  <c r="E7" i="5"/>
  <c r="G7" i="5"/>
  <c r="H7" i="5" s="1"/>
  <c r="E4" i="6" s="1"/>
  <c r="E40" i="5"/>
  <c r="G40" i="5"/>
  <c r="H40" i="5" s="1"/>
  <c r="E37" i="6" s="1"/>
  <c r="J40" i="5"/>
  <c r="G37" i="6" s="1"/>
  <c r="E51" i="4"/>
  <c r="E59" i="4"/>
  <c r="E67" i="4"/>
  <c r="E75" i="4"/>
  <c r="E45" i="4"/>
  <c r="E68" i="4"/>
  <c r="E66" i="4"/>
  <c r="E72" i="4"/>
  <c r="E80" i="4"/>
  <c r="J5" i="5"/>
  <c r="G2" i="6" s="1"/>
  <c r="E53" i="4"/>
  <c r="E61" i="4"/>
  <c r="E69" i="4"/>
  <c r="E77" i="4"/>
  <c r="E48" i="4"/>
  <c r="E46" i="4"/>
  <c r="E74" i="4"/>
  <c r="E62" i="4"/>
  <c r="E50" i="4"/>
  <c r="G5" i="5"/>
  <c r="H5" i="5" s="1"/>
  <c r="E2" i="6" s="1"/>
  <c r="E47" i="4"/>
  <c r="E55" i="4"/>
  <c r="E63" i="4"/>
  <c r="E71" i="4"/>
  <c r="E79" i="4"/>
  <c r="E56" i="4"/>
  <c r="E54" i="4"/>
  <c r="E52" i="4"/>
  <c r="E76" i="4"/>
  <c r="E70" i="4"/>
  <c r="E49" i="4"/>
  <c r="E57" i="4"/>
  <c r="E65" i="4"/>
  <c r="E73" i="4"/>
  <c r="E5" i="5"/>
  <c r="E60" i="4"/>
  <c r="E58" i="4"/>
  <c r="E64" i="4"/>
  <c r="E78" i="4"/>
  <c r="G37" i="5"/>
  <c r="H37" i="5" s="1"/>
  <c r="E34" i="6" s="1"/>
  <c r="J37" i="5"/>
  <c r="G34" i="6" s="1"/>
  <c r="E37" i="5"/>
  <c r="G38" i="5"/>
  <c r="H38" i="5" s="1"/>
  <c r="E35" i="6" s="1"/>
  <c r="E38" i="5"/>
  <c r="J38" i="5"/>
  <c r="G35" i="6" s="1"/>
  <c r="E27" i="5"/>
  <c r="J27" i="5"/>
  <c r="G24" i="6" s="1"/>
  <c r="G27" i="5"/>
  <c r="H27" i="5" s="1"/>
  <c r="E24" i="6" s="1"/>
  <c r="E14" i="5"/>
  <c r="J14" i="5"/>
  <c r="G11" i="6" s="1"/>
  <c r="G14" i="5"/>
  <c r="H14" i="5" s="1"/>
  <c r="E11" i="6" s="1"/>
  <c r="J12" i="5"/>
  <c r="G9" i="6" s="1"/>
  <c r="E12" i="5"/>
  <c r="G12" i="5"/>
  <c r="H12" i="5" s="1"/>
  <c r="E9" i="6" s="1"/>
  <c r="E20" i="5"/>
  <c r="G20" i="5"/>
  <c r="H20" i="5" s="1"/>
  <c r="E17" i="6" s="1"/>
  <c r="J20" i="5"/>
  <c r="G17" i="6" s="1"/>
  <c r="E6" i="5"/>
  <c r="G6" i="5"/>
  <c r="H6" i="5" s="1"/>
  <c r="E3" i="6" s="1"/>
  <c r="J6" i="5"/>
  <c r="G3" i="6" s="1"/>
  <c r="J15" i="5"/>
  <c r="G12" i="6" s="1"/>
  <c r="E15" i="5"/>
  <c r="G15" i="5"/>
  <c r="H15" i="5" s="1"/>
  <c r="E12" i="6" s="1"/>
  <c r="E34" i="5"/>
  <c r="G34" i="5"/>
  <c r="H34" i="5" s="1"/>
  <c r="E31" i="6" s="1"/>
  <c r="J34" i="5"/>
  <c r="G31" i="6" s="1"/>
  <c r="G43" i="5"/>
  <c r="H43" i="5" s="1"/>
  <c r="E40" i="6" s="1"/>
  <c r="E43" i="5"/>
  <c r="J43" i="5"/>
  <c r="G40" i="6" s="1"/>
  <c r="G13" i="5"/>
  <c r="H13" i="5" s="1"/>
  <c r="E10" i="6" s="1"/>
  <c r="J13" i="5"/>
  <c r="G10" i="6" s="1"/>
  <c r="E13" i="5"/>
  <c r="J29" i="5"/>
  <c r="G26" i="6" s="1"/>
  <c r="G29" i="5"/>
  <c r="H29" i="5" s="1"/>
  <c r="E26" i="6" s="1"/>
  <c r="E29" i="5"/>
  <c r="E32" i="5"/>
  <c r="J32" i="5"/>
  <c r="G29" i="6" s="1"/>
  <c r="G32" i="5"/>
  <c r="H32" i="5" s="1"/>
  <c r="E29" i="6" s="1"/>
  <c r="G8" i="5"/>
  <c r="H8" i="5" s="1"/>
  <c r="E5" i="6" s="1"/>
  <c r="J8" i="5"/>
  <c r="G5" i="6" s="1"/>
  <c r="E8" i="5"/>
  <c r="E11" i="5"/>
  <c r="G11" i="5"/>
  <c r="H11" i="5" s="1"/>
  <c r="E8" i="6" s="1"/>
  <c r="J11" i="5"/>
  <c r="G8" i="6" s="1"/>
  <c r="E30" i="5"/>
  <c r="J30" i="5"/>
  <c r="G27" i="6" s="1"/>
  <c r="G30" i="5"/>
  <c r="H30" i="5" s="1"/>
  <c r="E27" i="6" s="1"/>
  <c r="E41" i="5"/>
  <c r="G41" i="5"/>
  <c r="H41" i="5" s="1"/>
  <c r="E38" i="6" s="1"/>
  <c r="J41" i="5"/>
  <c r="G38" i="6" s="1"/>
  <c r="G31" i="5"/>
  <c r="H31" i="5" s="1"/>
  <c r="E28" i="6" s="1"/>
  <c r="E31" i="5"/>
  <c r="J31" i="5"/>
  <c r="G28" i="6" s="1"/>
  <c r="G45" i="5"/>
  <c r="H45" i="5" s="1"/>
  <c r="E42" i="6" s="1"/>
  <c r="J45" i="5"/>
  <c r="G42" i="6" s="1"/>
  <c r="E45" i="5"/>
  <c r="G44" i="5"/>
  <c r="H44" i="5" s="1"/>
  <c r="E41" i="6" s="1"/>
  <c r="J44" i="5"/>
  <c r="G41" i="6" s="1"/>
  <c r="E44" i="5"/>
  <c r="J39" i="5"/>
  <c r="G36" i="6" s="1"/>
  <c r="E39" i="5"/>
  <c r="G39" i="5"/>
  <c r="H39" i="5" s="1"/>
  <c r="E36" i="6" s="1"/>
  <c r="J21" i="5"/>
  <c r="G18" i="6" s="1"/>
  <c r="E21" i="5"/>
  <c r="G21" i="5"/>
  <c r="H21" i="5" s="1"/>
  <c r="E18" i="6" s="1"/>
  <c r="G26" i="5"/>
  <c r="H26" i="5" s="1"/>
  <c r="E23" i="6" s="1"/>
  <c r="J26" i="5"/>
  <c r="G23" i="6" s="1"/>
  <c r="E26" i="5"/>
  <c r="E19" i="5"/>
  <c r="J19" i="5"/>
  <c r="G16" i="6" s="1"/>
  <c r="G19" i="5"/>
  <c r="H19" i="5" s="1"/>
  <c r="E16" i="6" s="1"/>
  <c r="J24" i="5"/>
  <c r="G21" i="6" s="1"/>
  <c r="G24" i="5"/>
  <c r="H24" i="5" s="1"/>
  <c r="E21" i="6" s="1"/>
  <c r="E24" i="5"/>
  <c r="D28" i="10"/>
  <c r="G28" i="10"/>
  <c r="K28" i="10"/>
  <c r="E28" i="10"/>
  <c r="J28" i="10"/>
  <c r="H28" i="10"/>
  <c r="I28" i="10"/>
  <c r="F28" i="10"/>
  <c r="D19" i="10"/>
  <c r="G19" i="10"/>
  <c r="K19" i="10"/>
  <c r="F19" i="10"/>
  <c r="H19" i="10"/>
  <c r="I19" i="10"/>
  <c r="J19" i="10"/>
  <c r="E19" i="10"/>
  <c r="D16" i="10"/>
  <c r="G16" i="10"/>
  <c r="K16" i="10"/>
  <c r="E16" i="10"/>
  <c r="J16" i="10"/>
  <c r="H16" i="10"/>
  <c r="I16" i="10"/>
  <c r="F16" i="10"/>
  <c r="O10" i="5"/>
  <c r="D5" i="10"/>
  <c r="G5" i="10"/>
  <c r="K5" i="10"/>
  <c r="I5" i="10"/>
  <c r="J5" i="10"/>
  <c r="E5" i="10"/>
  <c r="F5" i="10"/>
  <c r="H5" i="10"/>
  <c r="D29" i="10"/>
  <c r="G29" i="10"/>
  <c r="K29" i="10"/>
  <c r="I29" i="10"/>
  <c r="J29" i="10"/>
  <c r="E29" i="10"/>
  <c r="F29" i="10"/>
  <c r="H29" i="10"/>
  <c r="A23" i="1"/>
  <c r="D20" i="10"/>
  <c r="G20" i="10"/>
  <c r="J20" i="10"/>
  <c r="H20" i="10"/>
  <c r="A24" i="1"/>
  <c r="D15" i="10"/>
  <c r="H15" i="10"/>
  <c r="D18" i="10"/>
  <c r="G18" i="10"/>
  <c r="K18" i="10"/>
  <c r="H18" i="10"/>
  <c r="E18" i="10"/>
  <c r="F18" i="10"/>
  <c r="I18" i="10"/>
  <c r="J18" i="10"/>
  <c r="L50" i="4"/>
  <c r="H49" i="4"/>
  <c r="A8" i="7"/>
  <c r="D50" i="10"/>
  <c r="I50" i="10"/>
  <c r="E50" i="10"/>
  <c r="K50" i="10"/>
  <c r="H46" i="10"/>
  <c r="E46" i="10"/>
  <c r="J46" i="10"/>
  <c r="I46" i="10"/>
  <c r="D46" i="10"/>
  <c r="K46" i="10"/>
  <c r="F46" i="10"/>
  <c r="G46" i="10"/>
  <c r="E10" i="10"/>
  <c r="I10" i="10"/>
  <c r="F10" i="10"/>
  <c r="K10" i="10"/>
  <c r="H10" i="10"/>
  <c r="D10" i="10"/>
  <c r="J10" i="10"/>
  <c r="G10" i="10"/>
  <c r="M48" i="4"/>
  <c r="B7" i="7" s="1"/>
  <c r="K48" i="4"/>
  <c r="N48" i="4" s="1"/>
  <c r="C7" i="7" s="1"/>
  <c r="O48" i="4"/>
  <c r="D7" i="7" s="1"/>
  <c r="CO58" i="2"/>
  <c r="CO61" i="2" s="1"/>
  <c r="CE58" i="2"/>
  <c r="CH59" i="2" s="1"/>
  <c r="E47" i="10"/>
  <c r="I47" i="10"/>
  <c r="J47" i="10"/>
  <c r="F47" i="10"/>
  <c r="G47" i="10"/>
  <c r="H47" i="10"/>
  <c r="K47" i="10"/>
  <c r="D47" i="10"/>
  <c r="E52" i="10" l="1"/>
  <c r="E36" i="10"/>
  <c r="F50" i="10"/>
  <c r="G50" i="10"/>
  <c r="I20" i="10"/>
  <c r="K20" i="10"/>
  <c r="J50" i="10"/>
  <c r="F20" i="10"/>
  <c r="C39" i="10"/>
  <c r="D39" i="10" a="1"/>
  <c r="F39" i="10" s="1"/>
  <c r="C40" i="10"/>
  <c r="D40" i="10" a="1"/>
  <c r="C3" i="10"/>
  <c r="D3" i="10" a="1"/>
  <c r="C30" i="10"/>
  <c r="D30" i="10" a="1"/>
  <c r="H30" i="9"/>
  <c r="I30" i="9"/>
  <c r="E30" i="9"/>
  <c r="C30" i="9"/>
  <c r="G30" i="9"/>
  <c r="F30" i="9"/>
  <c r="D30" i="9"/>
  <c r="H21" i="9"/>
  <c r="D21" i="9"/>
  <c r="F21" i="9"/>
  <c r="E21" i="9"/>
  <c r="C21" i="9"/>
  <c r="G21" i="9"/>
  <c r="D34" i="9"/>
  <c r="E34" i="9"/>
  <c r="G34" i="9"/>
  <c r="F34" i="9"/>
  <c r="I34" i="9"/>
  <c r="H23" i="9"/>
  <c r="I23" i="9"/>
  <c r="G23" i="9"/>
  <c r="C23" i="9"/>
  <c r="E23" i="9"/>
  <c r="F23" i="9"/>
  <c r="D23" i="9"/>
  <c r="H14" i="10"/>
  <c r="J14" i="10"/>
  <c r="D14" i="10"/>
  <c r="E14" i="10"/>
  <c r="G14" i="10"/>
  <c r="F14" i="10"/>
  <c r="I14" i="10"/>
  <c r="J36" i="10"/>
  <c r="G36" i="10"/>
  <c r="D36" i="10"/>
  <c r="I36" i="10"/>
  <c r="H36" i="10"/>
  <c r="K36" i="10"/>
  <c r="D25" i="9"/>
  <c r="E25" i="9"/>
  <c r="C25" i="9"/>
  <c r="G25" i="9"/>
  <c r="I25" i="9"/>
  <c r="H25" i="9"/>
  <c r="F25" i="9"/>
  <c r="C12" i="10"/>
  <c r="D12" i="10" a="1"/>
  <c r="C56" i="9"/>
  <c r="E56" i="9"/>
  <c r="G56" i="9"/>
  <c r="D56" i="9"/>
  <c r="I56" i="9"/>
  <c r="F56" i="9"/>
  <c r="H56" i="9"/>
  <c r="H48" i="9"/>
  <c r="F48" i="9"/>
  <c r="D48" i="9"/>
  <c r="I48" i="9"/>
  <c r="E48" i="9"/>
  <c r="D38" i="10" a="1"/>
  <c r="C38" i="10"/>
  <c r="F52" i="10"/>
  <c r="G52" i="10"/>
  <c r="J52" i="10"/>
  <c r="I52" i="10"/>
  <c r="C35" i="10"/>
  <c r="D35" i="10" a="1"/>
  <c r="D35" i="10" s="1"/>
  <c r="H52" i="10"/>
  <c r="K14" i="10"/>
  <c r="C21" i="10"/>
  <c r="D21" i="10" a="1"/>
  <c r="C23" i="10"/>
  <c r="D23" i="10" a="1"/>
  <c r="C31" i="10"/>
  <c r="D31" i="10" a="1"/>
  <c r="D4" i="9"/>
  <c r="C4" i="9"/>
  <c r="E4" i="9"/>
  <c r="F4" i="9"/>
  <c r="G4" i="9"/>
  <c r="I4" i="9"/>
  <c r="H4" i="9"/>
  <c r="C28" i="9"/>
  <c r="H28" i="9"/>
  <c r="E28" i="9"/>
  <c r="I28" i="9"/>
  <c r="F28" i="9"/>
  <c r="G28" i="9"/>
  <c r="D28" i="9"/>
  <c r="G54" i="9"/>
  <c r="I54" i="9"/>
  <c r="D54" i="9"/>
  <c r="F54" i="9"/>
  <c r="H54" i="9"/>
  <c r="C54" i="9"/>
  <c r="E54" i="9"/>
  <c r="D52" i="10"/>
  <c r="C34" i="9"/>
  <c r="H34" i="9"/>
  <c r="D13" i="10" a="1"/>
  <c r="G48" i="9"/>
  <c r="D4" i="10" a="1"/>
  <c r="C4" i="10"/>
  <c r="C49" i="10"/>
  <c r="D49" i="10" a="1"/>
  <c r="C6" i="9"/>
  <c r="H6" i="9"/>
  <c r="F6" i="9"/>
  <c r="D6" i="9"/>
  <c r="C32" i="10"/>
  <c r="D32" i="10" a="1"/>
  <c r="C38" i="9"/>
  <c r="I38" i="9"/>
  <c r="G38" i="9"/>
  <c r="E38" i="9"/>
  <c r="F38" i="9"/>
  <c r="D38" i="9"/>
  <c r="H38" i="9"/>
  <c r="D17" i="10" a="1"/>
  <c r="C17" i="10"/>
  <c r="C34" i="10"/>
  <c r="D34" i="10" a="1"/>
  <c r="C22" i="10"/>
  <c r="D22" i="10" a="1"/>
  <c r="C42" i="10"/>
  <c r="D42" i="10" a="1"/>
  <c r="G13" i="9"/>
  <c r="I13" i="9"/>
  <c r="D13" i="9"/>
  <c r="H13" i="9"/>
  <c r="F13" i="9"/>
  <c r="C13" i="9"/>
  <c r="E13" i="9"/>
  <c r="D20" i="9"/>
  <c r="F20" i="9"/>
  <c r="C20" i="9"/>
  <c r="I20" i="9"/>
  <c r="H20" i="9"/>
  <c r="E20" i="9"/>
  <c r="G20" i="9"/>
  <c r="C15" i="9"/>
  <c r="E15" i="9"/>
  <c r="F15" i="9"/>
  <c r="I15" i="9"/>
  <c r="G15" i="9"/>
  <c r="D15" i="9"/>
  <c r="H15" i="9"/>
  <c r="C57" i="9"/>
  <c r="E57" i="9"/>
  <c r="G57" i="9"/>
  <c r="F57" i="9"/>
  <c r="D57" i="9"/>
  <c r="H57" i="9"/>
  <c r="I57" i="9"/>
  <c r="H37" i="9"/>
  <c r="D37" i="9"/>
  <c r="F37" i="9"/>
  <c r="C44" i="9"/>
  <c r="H44" i="9"/>
  <c r="D5" i="9"/>
  <c r="G5" i="9"/>
  <c r="I5" i="9"/>
  <c r="H58" i="9"/>
  <c r="D58" i="9"/>
  <c r="F58" i="9"/>
  <c r="C6" i="10"/>
  <c r="D6" i="10" a="1"/>
  <c r="C43" i="10"/>
  <c r="D43" i="10" a="1"/>
  <c r="C17" i="9"/>
  <c r="E17" i="9"/>
  <c r="G17" i="9"/>
  <c r="I17" i="9"/>
  <c r="D17" i="9"/>
  <c r="F17" i="9"/>
  <c r="H17" i="9"/>
  <c r="C48" i="10"/>
  <c r="D48" i="10" a="1"/>
  <c r="D51" i="10" a="1"/>
  <c r="C51" i="10"/>
  <c r="H52" i="9"/>
  <c r="D52" i="9"/>
  <c r="F52" i="9"/>
  <c r="I52" i="9"/>
  <c r="G52" i="9"/>
  <c r="C25" i="10"/>
  <c r="D25" i="10" a="1"/>
  <c r="C8" i="10"/>
  <c r="D8" i="10" a="1"/>
  <c r="D9" i="10" a="1"/>
  <c r="C9" i="10"/>
  <c r="C42" i="9"/>
  <c r="D42" i="9"/>
  <c r="H42" i="9"/>
  <c r="F42" i="9"/>
  <c r="H32" i="9"/>
  <c r="E32" i="9"/>
  <c r="G32" i="9"/>
  <c r="D32" i="9"/>
  <c r="F32" i="9"/>
  <c r="F10" i="9"/>
  <c r="D10" i="9"/>
  <c r="I10" i="9"/>
  <c r="G10" i="9"/>
  <c r="C44" i="10"/>
  <c r="D44" i="10" a="1"/>
  <c r="C26" i="10"/>
  <c r="D26" i="10" a="1"/>
  <c r="D7" i="10" a="1"/>
  <c r="C7" i="10"/>
  <c r="D29" i="9"/>
  <c r="F29" i="9"/>
  <c r="H29" i="9"/>
  <c r="C29" i="9"/>
  <c r="I29" i="9"/>
  <c r="E29" i="9"/>
  <c r="G29" i="9"/>
  <c r="G36" i="9"/>
  <c r="E36" i="9"/>
  <c r="H36" i="9"/>
  <c r="F36" i="9"/>
  <c r="I36" i="9"/>
  <c r="C36" i="9"/>
  <c r="D36" i="9"/>
  <c r="C50" i="9"/>
  <c r="E50" i="9"/>
  <c r="G50" i="9"/>
  <c r="F50" i="9"/>
  <c r="H50" i="9"/>
  <c r="D50" i="9"/>
  <c r="I50" i="9"/>
  <c r="D35" i="9"/>
  <c r="F35" i="9"/>
  <c r="I35" i="9"/>
  <c r="G35" i="9"/>
  <c r="C35" i="9"/>
  <c r="E35" i="9"/>
  <c r="H35" i="9"/>
  <c r="H45" i="9"/>
  <c r="D45" i="9"/>
  <c r="F45" i="9"/>
  <c r="C59" i="9"/>
  <c r="H59" i="9"/>
  <c r="C31" i="9"/>
  <c r="H31" i="9"/>
  <c r="G11" i="9"/>
  <c r="I11" i="9"/>
  <c r="H11" i="9"/>
  <c r="C11" i="9"/>
  <c r="F11" i="9"/>
  <c r="E11" i="9"/>
  <c r="D11" i="9"/>
  <c r="D3" i="9"/>
  <c r="H3" i="9"/>
  <c r="F3" i="9"/>
  <c r="C3" i="9"/>
  <c r="E3" i="9"/>
  <c r="I3" i="9"/>
  <c r="G3" i="9"/>
  <c r="G22" i="9"/>
  <c r="H22" i="9"/>
  <c r="I22" i="9"/>
  <c r="C22" i="9"/>
  <c r="G7" i="9"/>
  <c r="E7" i="9"/>
  <c r="H7" i="9"/>
  <c r="F7" i="9"/>
  <c r="C7" i="9"/>
  <c r="C45" i="10"/>
  <c r="D45" i="10" a="1"/>
  <c r="G9" i="9"/>
  <c r="E9" i="9"/>
  <c r="F9" i="9"/>
  <c r="C9" i="9"/>
  <c r="H9" i="9"/>
  <c r="D37" i="10" a="1"/>
  <c r="C37" i="10"/>
  <c r="C11" i="10"/>
  <c r="D11" i="10" a="1"/>
  <c r="D39" i="9"/>
  <c r="I39" i="9"/>
  <c r="E39" i="9"/>
  <c r="C39" i="9"/>
  <c r="G39" i="9"/>
  <c r="D53" i="9"/>
  <c r="I53" i="9"/>
  <c r="C53" i="9"/>
  <c r="G53" i="9"/>
  <c r="E53" i="9"/>
  <c r="D41" i="9"/>
  <c r="E41" i="9"/>
  <c r="C41" i="9"/>
  <c r="G41" i="9"/>
  <c r="I41" i="9"/>
  <c r="D41" i="10" a="1"/>
  <c r="C41" i="10"/>
  <c r="D24" i="10" a="1"/>
  <c r="C24" i="10"/>
  <c r="C2" i="10"/>
  <c r="D2" i="10" a="1"/>
  <c r="D46" i="9"/>
  <c r="F46" i="9"/>
  <c r="H46" i="9"/>
  <c r="C46" i="9"/>
  <c r="E46" i="9"/>
  <c r="I46" i="9"/>
  <c r="G46" i="9"/>
  <c r="C60" i="9"/>
  <c r="E60" i="9"/>
  <c r="D60" i="9"/>
  <c r="F60" i="9"/>
  <c r="G60" i="9"/>
  <c r="I60" i="9"/>
  <c r="H60" i="9"/>
  <c r="G18" i="9"/>
  <c r="I18" i="9"/>
  <c r="D18" i="9"/>
  <c r="F18" i="9"/>
  <c r="H18" i="9"/>
  <c r="E18" i="9"/>
  <c r="C18" i="9"/>
  <c r="G43" i="9"/>
  <c r="E43" i="9"/>
  <c r="I43" i="9"/>
  <c r="C43" i="9"/>
  <c r="F43" i="9"/>
  <c r="D43" i="9"/>
  <c r="H43" i="9"/>
  <c r="F12" i="9"/>
  <c r="D12" i="9"/>
  <c r="D14" i="9"/>
  <c r="G14" i="9"/>
  <c r="I14" i="9"/>
  <c r="G2" i="9"/>
  <c r="C2" i="9"/>
  <c r="E2" i="9"/>
  <c r="C33" i="10"/>
  <c r="D33" i="10" a="1"/>
  <c r="D27" i="10" a="1"/>
  <c r="C27" i="10"/>
  <c r="G24" i="9"/>
  <c r="E24" i="9"/>
  <c r="H24" i="9"/>
  <c r="D24" i="9"/>
  <c r="I24" i="9"/>
  <c r="C24" i="9"/>
  <c r="F24" i="9"/>
  <c r="D16" i="9"/>
  <c r="I16" i="9"/>
  <c r="G16" i="9"/>
  <c r="E16" i="9"/>
  <c r="C16" i="9"/>
  <c r="G27" i="9"/>
  <c r="I27" i="9"/>
  <c r="H27" i="9"/>
  <c r="C27" i="9"/>
  <c r="E15" i="10"/>
  <c r="F15" i="10"/>
  <c r="D39" i="10"/>
  <c r="J15" i="10"/>
  <c r="K15" i="10"/>
  <c r="I15" i="10"/>
  <c r="F26" i="5"/>
  <c r="I26" i="5"/>
  <c r="F23" i="6" s="1"/>
  <c r="D26" i="5"/>
  <c r="C23" i="6" s="1"/>
  <c r="D21" i="5"/>
  <c r="C18" i="6" s="1"/>
  <c r="F21" i="5"/>
  <c r="I21" i="5"/>
  <c r="F18" i="6" s="1"/>
  <c r="F45" i="5"/>
  <c r="I45" i="5"/>
  <c r="F42" i="6" s="1"/>
  <c r="D45" i="5"/>
  <c r="C42" i="6" s="1"/>
  <c r="D31" i="5"/>
  <c r="C28" i="6" s="1"/>
  <c r="F31" i="5"/>
  <c r="I31" i="5"/>
  <c r="F28" i="6" s="1"/>
  <c r="D41" i="5"/>
  <c r="C38" i="6" s="1"/>
  <c r="I41" i="5"/>
  <c r="F38" i="6" s="1"/>
  <c r="F41" i="5"/>
  <c r="I32" i="5"/>
  <c r="F29" i="6" s="1"/>
  <c r="F32" i="5"/>
  <c r="D32" i="5"/>
  <c r="C29" i="6" s="1"/>
  <c r="F13" i="5"/>
  <c r="D13" i="5"/>
  <c r="C10" i="6" s="1"/>
  <c r="I13" i="5"/>
  <c r="F10" i="6" s="1"/>
  <c r="D43" i="5"/>
  <c r="C40" i="6" s="1"/>
  <c r="F43" i="5"/>
  <c r="I43" i="5"/>
  <c r="F40" i="6" s="1"/>
  <c r="F34" i="5"/>
  <c r="I34" i="5"/>
  <c r="F31" i="6" s="1"/>
  <c r="D34" i="5"/>
  <c r="C31" i="6" s="1"/>
  <c r="I38" i="5"/>
  <c r="F35" i="6" s="1"/>
  <c r="D38" i="5"/>
  <c r="C35" i="6" s="1"/>
  <c r="F38" i="5"/>
  <c r="D7" i="5"/>
  <c r="C4" i="6" s="1"/>
  <c r="F7" i="5"/>
  <c r="I7" i="5"/>
  <c r="F4" i="6" s="1"/>
  <c r="F42" i="5"/>
  <c r="D42" i="5"/>
  <c r="C39" i="6" s="1"/>
  <c r="I42" i="5"/>
  <c r="F39" i="6" s="1"/>
  <c r="F23" i="5"/>
  <c r="I23" i="5"/>
  <c r="F20" i="6" s="1"/>
  <c r="D23" i="5"/>
  <c r="C20" i="6" s="1"/>
  <c r="I25" i="5"/>
  <c r="F22" i="6" s="1"/>
  <c r="F25" i="5"/>
  <c r="D25" i="5"/>
  <c r="C22" i="6" s="1"/>
  <c r="I36" i="5"/>
  <c r="F33" i="6" s="1"/>
  <c r="D36" i="5"/>
  <c r="C33" i="6" s="1"/>
  <c r="F36" i="5"/>
  <c r="F22" i="5"/>
  <c r="I22" i="5"/>
  <c r="F19" i="6" s="1"/>
  <c r="D22" i="5"/>
  <c r="C19" i="6" s="1"/>
  <c r="I44" i="5"/>
  <c r="F41" i="6" s="1"/>
  <c r="F44" i="5"/>
  <c r="D44" i="5"/>
  <c r="C41" i="6" s="1"/>
  <c r="D29" i="5"/>
  <c r="C26" i="6" s="1"/>
  <c r="F29" i="5"/>
  <c r="I29" i="5"/>
  <c r="F26" i="6" s="1"/>
  <c r="D20" i="5"/>
  <c r="C17" i="6" s="1"/>
  <c r="F20" i="5"/>
  <c r="I20" i="5"/>
  <c r="F17" i="6" s="1"/>
  <c r="I5" i="5"/>
  <c r="F2" i="6" s="1"/>
  <c r="F5" i="5"/>
  <c r="D5" i="5"/>
  <c r="C2" i="6" s="1"/>
  <c r="I35" i="5"/>
  <c r="F32" i="6" s="1"/>
  <c r="D35" i="5"/>
  <c r="C32" i="6" s="1"/>
  <c r="F35" i="5"/>
  <c r="F17" i="5"/>
  <c r="D17" i="5"/>
  <c r="C14" i="6" s="1"/>
  <c r="I17" i="5"/>
  <c r="F14" i="6" s="1"/>
  <c r="F24" i="5"/>
  <c r="D24" i="5"/>
  <c r="C21" i="6" s="1"/>
  <c r="I24" i="5"/>
  <c r="F21" i="6" s="1"/>
  <c r="F11" i="5"/>
  <c r="I11" i="5"/>
  <c r="F8" i="6" s="1"/>
  <c r="D11" i="5"/>
  <c r="C8" i="6" s="1"/>
  <c r="I15" i="5"/>
  <c r="F12" i="6" s="1"/>
  <c r="F15" i="5"/>
  <c r="D15" i="5"/>
  <c r="C12" i="6" s="1"/>
  <c r="D6" i="5"/>
  <c r="C3" i="6" s="1"/>
  <c r="F6" i="5"/>
  <c r="I6" i="5"/>
  <c r="F3" i="6" s="1"/>
  <c r="F27" i="5"/>
  <c r="I27" i="5"/>
  <c r="F24" i="6" s="1"/>
  <c r="D27" i="5"/>
  <c r="C24" i="6" s="1"/>
  <c r="F37" i="5"/>
  <c r="D37" i="5"/>
  <c r="C34" i="6" s="1"/>
  <c r="I37" i="5"/>
  <c r="F34" i="6" s="1"/>
  <c r="F40" i="5"/>
  <c r="D40" i="5"/>
  <c r="C37" i="6" s="1"/>
  <c r="I40" i="5"/>
  <c r="F37" i="6" s="1"/>
  <c r="I10" i="5"/>
  <c r="F7" i="6" s="1"/>
  <c r="F10" i="5"/>
  <c r="D10" i="5"/>
  <c r="C7" i="6" s="1"/>
  <c r="I28" i="5"/>
  <c r="F25" i="6" s="1"/>
  <c r="D28" i="5"/>
  <c r="C25" i="6" s="1"/>
  <c r="F28" i="5"/>
  <c r="D16" i="5"/>
  <c r="C13" i="6" s="1"/>
  <c r="I16" i="5"/>
  <c r="F13" i="6" s="1"/>
  <c r="F16" i="5"/>
  <c r="D19" i="5"/>
  <c r="C16" i="6" s="1"/>
  <c r="F19" i="5"/>
  <c r="I19" i="5"/>
  <c r="F16" i="6" s="1"/>
  <c r="D39" i="5"/>
  <c r="C36" i="6" s="1"/>
  <c r="F39" i="5"/>
  <c r="I39" i="5"/>
  <c r="F36" i="6" s="1"/>
  <c r="I30" i="5"/>
  <c r="F27" i="6" s="1"/>
  <c r="D30" i="5"/>
  <c r="C27" i="6" s="1"/>
  <c r="F30" i="5"/>
  <c r="I8" i="5"/>
  <c r="F5" i="6" s="1"/>
  <c r="D8" i="5"/>
  <c r="C5" i="6" s="1"/>
  <c r="F8" i="5"/>
  <c r="F12" i="5"/>
  <c r="I12" i="5"/>
  <c r="F9" i="6" s="1"/>
  <c r="D12" i="5"/>
  <c r="C9" i="6" s="1"/>
  <c r="F14" i="5"/>
  <c r="D14" i="5"/>
  <c r="C11" i="6" s="1"/>
  <c r="I14" i="5"/>
  <c r="F11" i="6" s="1"/>
  <c r="D46" i="5"/>
  <c r="F46" i="5"/>
  <c r="I46" i="5"/>
  <c r="D33" i="5"/>
  <c r="C30" i="6" s="1"/>
  <c r="I33" i="5"/>
  <c r="F30" i="6" s="1"/>
  <c r="F33" i="5"/>
  <c r="I18" i="5"/>
  <c r="F15" i="6" s="1"/>
  <c r="D18" i="5"/>
  <c r="C15" i="6" s="1"/>
  <c r="F18" i="5"/>
  <c r="F9" i="5"/>
  <c r="I9" i="5"/>
  <c r="F6" i="6" s="1"/>
  <c r="D9" i="5"/>
  <c r="C6" i="6" s="1"/>
  <c r="O11" i="5"/>
  <c r="K49" i="4"/>
  <c r="N49" i="4" s="1"/>
  <c r="C8" i="7" s="1"/>
  <c r="O49" i="4"/>
  <c r="D8" i="7" s="1"/>
  <c r="M49" i="4"/>
  <c r="B8" i="7" s="1"/>
  <c r="A26" i="1"/>
  <c r="A25" i="1"/>
  <c r="H50" i="4"/>
  <c r="L51" i="4"/>
  <c r="A9" i="7"/>
  <c r="K35" i="10" l="1"/>
  <c r="F35" i="10"/>
  <c r="H39" i="10"/>
  <c r="E39" i="10"/>
  <c r="K39" i="10"/>
  <c r="D22" i="10"/>
  <c r="E22" i="10"/>
  <c r="G22" i="10"/>
  <c r="F22" i="10"/>
  <c r="K22" i="10"/>
  <c r="J22" i="10"/>
  <c r="H22" i="10"/>
  <c r="I22" i="10"/>
  <c r="D13" i="10"/>
  <c r="E13" i="10"/>
  <c r="H13" i="10"/>
  <c r="G13" i="10"/>
  <c r="F13" i="10"/>
  <c r="I13" i="10"/>
  <c r="J13" i="10"/>
  <c r="K13" i="10"/>
  <c r="D27" i="10"/>
  <c r="H27" i="10"/>
  <c r="G27" i="10"/>
  <c r="I27" i="10"/>
  <c r="K27" i="10"/>
  <c r="F27" i="10"/>
  <c r="E27" i="10"/>
  <c r="J27" i="10"/>
  <c r="D41" i="10"/>
  <c r="H41" i="10"/>
  <c r="G41" i="10"/>
  <c r="I41" i="10"/>
  <c r="K41" i="10"/>
  <c r="E41" i="10"/>
  <c r="F41" i="10"/>
  <c r="J41" i="10"/>
  <c r="D11" i="10"/>
  <c r="H11" i="10"/>
  <c r="G11" i="10"/>
  <c r="I11" i="10"/>
  <c r="K11" i="10"/>
  <c r="J11" i="10"/>
  <c r="F11" i="10"/>
  <c r="E11" i="10"/>
  <c r="D25" i="10"/>
  <c r="J25" i="10"/>
  <c r="G25" i="10"/>
  <c r="E25" i="10"/>
  <c r="K25" i="10"/>
  <c r="F25" i="10"/>
  <c r="I25" i="10"/>
  <c r="H25" i="10"/>
  <c r="E51" i="10"/>
  <c r="K51" i="10"/>
  <c r="I51" i="10"/>
  <c r="F51" i="10"/>
  <c r="D51" i="10"/>
  <c r="G51" i="10"/>
  <c r="J51" i="10"/>
  <c r="H51" i="10"/>
  <c r="K6" i="10"/>
  <c r="G6" i="10"/>
  <c r="E6" i="10"/>
  <c r="H6" i="10"/>
  <c r="I6" i="10"/>
  <c r="D6" i="10"/>
  <c r="F6" i="10"/>
  <c r="J6" i="10"/>
  <c r="D17" i="10"/>
  <c r="J17" i="10"/>
  <c r="G17" i="10"/>
  <c r="E17" i="10"/>
  <c r="K17" i="10"/>
  <c r="H17" i="10"/>
  <c r="I17" i="10"/>
  <c r="F17" i="10"/>
  <c r="K32" i="10"/>
  <c r="I32" i="10"/>
  <c r="E32" i="10"/>
  <c r="F32" i="10"/>
  <c r="D32" i="10"/>
  <c r="J32" i="10"/>
  <c r="H32" i="10"/>
  <c r="G32" i="10"/>
  <c r="F31" i="10"/>
  <c r="E31" i="10"/>
  <c r="D31" i="10"/>
  <c r="H31" i="10"/>
  <c r="G31" i="10"/>
  <c r="I31" i="10"/>
  <c r="J31" i="10"/>
  <c r="K31" i="10"/>
  <c r="I21" i="10"/>
  <c r="H21" i="10"/>
  <c r="K21" i="10"/>
  <c r="D21" i="10"/>
  <c r="J21" i="10"/>
  <c r="G21" i="10"/>
  <c r="E21" i="10"/>
  <c r="F21" i="10"/>
  <c r="I35" i="10"/>
  <c r="E35" i="10"/>
  <c r="H35" i="10"/>
  <c r="J35" i="10"/>
  <c r="G35" i="10"/>
  <c r="E12" i="10"/>
  <c r="F12" i="10"/>
  <c r="I12" i="10"/>
  <c r="G12" i="10"/>
  <c r="D12" i="10"/>
  <c r="J12" i="10"/>
  <c r="K12" i="10"/>
  <c r="H12" i="10"/>
  <c r="F2" i="10"/>
  <c r="J2" i="10"/>
  <c r="K2" i="10"/>
  <c r="G2" i="10"/>
  <c r="E2" i="10"/>
  <c r="H2" i="10"/>
  <c r="I2" i="10"/>
  <c r="D2" i="10"/>
  <c r="E38" i="10"/>
  <c r="D38" i="10"/>
  <c r="K38" i="10"/>
  <c r="J38" i="10"/>
  <c r="H38" i="10"/>
  <c r="F38" i="10"/>
  <c r="G38" i="10"/>
  <c r="I38" i="10"/>
  <c r="G40" i="10"/>
  <c r="D40" i="10"/>
  <c r="K40" i="10"/>
  <c r="I40" i="10"/>
  <c r="F40" i="10"/>
  <c r="E40" i="10"/>
  <c r="J40" i="10"/>
  <c r="H40" i="10"/>
  <c r="K33" i="10"/>
  <c r="F33" i="10"/>
  <c r="I33" i="10"/>
  <c r="H33" i="10"/>
  <c r="D33" i="10"/>
  <c r="J33" i="10"/>
  <c r="E33" i="10"/>
  <c r="G33" i="10"/>
  <c r="K45" i="10"/>
  <c r="H45" i="10"/>
  <c r="E45" i="10"/>
  <c r="I45" i="10"/>
  <c r="D45" i="10"/>
  <c r="J45" i="10"/>
  <c r="F45" i="10"/>
  <c r="G45" i="10"/>
  <c r="J44" i="10"/>
  <c r="I44" i="10"/>
  <c r="E44" i="10"/>
  <c r="G44" i="10"/>
  <c r="K44" i="10"/>
  <c r="H44" i="10"/>
  <c r="F44" i="10"/>
  <c r="D44" i="10"/>
  <c r="K9" i="10"/>
  <c r="F9" i="10"/>
  <c r="I9" i="10"/>
  <c r="H9" i="10"/>
  <c r="D9" i="10"/>
  <c r="J9" i="10"/>
  <c r="E9" i="10"/>
  <c r="G9" i="10"/>
  <c r="F48" i="10"/>
  <c r="D48" i="10"/>
  <c r="J48" i="10"/>
  <c r="K48" i="10"/>
  <c r="I48" i="10"/>
  <c r="E48" i="10"/>
  <c r="G48" i="10"/>
  <c r="H48" i="10"/>
  <c r="K42" i="10"/>
  <c r="G42" i="10"/>
  <c r="D42" i="10"/>
  <c r="I42" i="10"/>
  <c r="H42" i="10"/>
  <c r="J42" i="10"/>
  <c r="F42" i="10"/>
  <c r="E42" i="10"/>
  <c r="I34" i="10"/>
  <c r="K34" i="10"/>
  <c r="F34" i="10"/>
  <c r="E34" i="10"/>
  <c r="H34" i="10"/>
  <c r="G34" i="10"/>
  <c r="J34" i="10"/>
  <c r="D34" i="10"/>
  <c r="E4" i="10"/>
  <c r="F4" i="10"/>
  <c r="I4" i="10"/>
  <c r="G4" i="10"/>
  <c r="D4" i="10"/>
  <c r="K4" i="10"/>
  <c r="H4" i="10"/>
  <c r="J4" i="10"/>
  <c r="K3" i="10"/>
  <c r="J3" i="10"/>
  <c r="F3" i="10"/>
  <c r="E3" i="10"/>
  <c r="D3" i="10"/>
  <c r="H3" i="10"/>
  <c r="I3" i="10"/>
  <c r="G3" i="10"/>
  <c r="G39" i="10"/>
  <c r="I39" i="10"/>
  <c r="J39" i="10"/>
  <c r="D37" i="10"/>
  <c r="I37" i="10"/>
  <c r="G37" i="10"/>
  <c r="J37" i="10"/>
  <c r="K37" i="10"/>
  <c r="H37" i="10"/>
  <c r="E37" i="10"/>
  <c r="F37" i="10"/>
  <c r="D26" i="10"/>
  <c r="E26" i="10"/>
  <c r="G26" i="10"/>
  <c r="F26" i="10"/>
  <c r="K26" i="10"/>
  <c r="I26" i="10"/>
  <c r="H26" i="10"/>
  <c r="J26" i="10"/>
  <c r="K30" i="10"/>
  <c r="I30" i="10"/>
  <c r="H30" i="10"/>
  <c r="J30" i="10"/>
  <c r="D30" i="10"/>
  <c r="E30" i="10"/>
  <c r="F30" i="10"/>
  <c r="G30" i="10"/>
  <c r="D24" i="10"/>
  <c r="J24" i="10"/>
  <c r="G24" i="10"/>
  <c r="H24" i="10"/>
  <c r="K24" i="10"/>
  <c r="F24" i="10"/>
  <c r="E24" i="10"/>
  <c r="I24" i="10"/>
  <c r="D7" i="10"/>
  <c r="H7" i="10"/>
  <c r="G7" i="10"/>
  <c r="I7" i="10"/>
  <c r="K7" i="10"/>
  <c r="F7" i="10"/>
  <c r="E7" i="10"/>
  <c r="J7" i="10"/>
  <c r="D8" i="10"/>
  <c r="J8" i="10"/>
  <c r="H8" i="10"/>
  <c r="K8" i="10"/>
  <c r="E8" i="10"/>
  <c r="F8" i="10"/>
  <c r="I8" i="10"/>
  <c r="G8" i="10"/>
  <c r="F43" i="10"/>
  <c r="D43" i="10"/>
  <c r="K43" i="10"/>
  <c r="J43" i="10"/>
  <c r="E43" i="10"/>
  <c r="G43" i="10"/>
  <c r="H43" i="10"/>
  <c r="I43" i="10"/>
  <c r="I49" i="10"/>
  <c r="J49" i="10"/>
  <c r="D49" i="10"/>
  <c r="E49" i="10"/>
  <c r="G49" i="10"/>
  <c r="F49" i="10"/>
  <c r="K49" i="10"/>
  <c r="H49" i="10"/>
  <c r="K23" i="10"/>
  <c r="J23" i="10"/>
  <c r="F23" i="10"/>
  <c r="E23" i="10"/>
  <c r="D23" i="10"/>
  <c r="H23" i="10"/>
  <c r="G23" i="10"/>
  <c r="I23" i="10"/>
  <c r="C46" i="5"/>
  <c r="K46" i="5" s="1"/>
  <c r="L46" i="5" s="1"/>
  <c r="M46" i="5" s="1"/>
  <c r="C9" i="5"/>
  <c r="D6" i="6"/>
  <c r="C33" i="5"/>
  <c r="D30" i="6"/>
  <c r="D11" i="6"/>
  <c r="C14" i="5"/>
  <c r="C8" i="5"/>
  <c r="D5" i="6"/>
  <c r="D13" i="6"/>
  <c r="C16" i="5"/>
  <c r="C17" i="5"/>
  <c r="D14" i="6"/>
  <c r="C20" i="5"/>
  <c r="D17" i="6"/>
  <c r="C7" i="5"/>
  <c r="D4" i="6"/>
  <c r="D15" i="6"/>
  <c r="C18" i="5"/>
  <c r="C27" i="5"/>
  <c r="D24" i="6"/>
  <c r="C24" i="5"/>
  <c r="D21" i="6"/>
  <c r="C35" i="5"/>
  <c r="D32" i="6"/>
  <c r="D2" i="6"/>
  <c r="C5" i="5"/>
  <c r="C43" i="5"/>
  <c r="D40" i="6"/>
  <c r="C13" i="5"/>
  <c r="D10" i="6"/>
  <c r="C41" i="5"/>
  <c r="D38" i="6"/>
  <c r="D28" i="6"/>
  <c r="C31" i="5"/>
  <c r="D42" i="6"/>
  <c r="C45" i="5"/>
  <c r="D16" i="6"/>
  <c r="C19" i="5"/>
  <c r="D34" i="6"/>
  <c r="C37" i="5"/>
  <c r="D12" i="6"/>
  <c r="C15" i="5"/>
  <c r="C11" i="5"/>
  <c r="D8" i="6"/>
  <c r="C44" i="5"/>
  <c r="D41" i="6"/>
  <c r="D19" i="6"/>
  <c r="C22" i="5"/>
  <c r="D39" i="6"/>
  <c r="C42" i="5"/>
  <c r="D35" i="6"/>
  <c r="C38" i="5"/>
  <c r="C12" i="5"/>
  <c r="D9" i="6"/>
  <c r="D27" i="6"/>
  <c r="C30" i="5"/>
  <c r="C39" i="5"/>
  <c r="D36" i="6"/>
  <c r="D25" i="6"/>
  <c r="C28" i="5"/>
  <c r="D7" i="6"/>
  <c r="C10" i="5"/>
  <c r="C40" i="5"/>
  <c r="D37" i="6"/>
  <c r="D3" i="6"/>
  <c r="C6" i="5"/>
  <c r="C29" i="5"/>
  <c r="D26" i="6"/>
  <c r="C36" i="5"/>
  <c r="D33" i="6"/>
  <c r="D22" i="6"/>
  <c r="C25" i="5"/>
  <c r="C23" i="5"/>
  <c r="D20" i="6"/>
  <c r="C34" i="5"/>
  <c r="D31" i="6"/>
  <c r="C32" i="5"/>
  <c r="D29" i="6"/>
  <c r="D18" i="6"/>
  <c r="C21" i="5"/>
  <c r="C26" i="5"/>
  <c r="D23" i="6"/>
  <c r="A28" i="1"/>
  <c r="L52" i="4"/>
  <c r="H51" i="4"/>
  <c r="A10" i="7"/>
  <c r="M50" i="4"/>
  <c r="B9" i="7" s="1"/>
  <c r="K50" i="4"/>
  <c r="N50" i="4" s="1"/>
  <c r="C9" i="7" s="1"/>
  <c r="O50" i="4"/>
  <c r="D9" i="7" s="1"/>
  <c r="A27" i="1"/>
  <c r="O12" i="5"/>
  <c r="F61" i="4" l="1"/>
  <c r="B18" i="6"/>
  <c r="I18" i="6" s="1"/>
  <c r="J18" i="6" s="1"/>
  <c r="K21" i="5"/>
  <c r="K25" i="5"/>
  <c r="B22" i="6"/>
  <c r="I22" i="6" s="1"/>
  <c r="J22" i="6" s="1"/>
  <c r="F65" i="4"/>
  <c r="K28" i="5"/>
  <c r="B25" i="6"/>
  <c r="I25" i="6" s="1"/>
  <c r="J25" i="6" s="1"/>
  <c r="F68" i="4"/>
  <c r="K30" i="5"/>
  <c r="B27" i="6"/>
  <c r="I27" i="6" s="1"/>
  <c r="J27" i="6" s="1"/>
  <c r="F70" i="4"/>
  <c r="B35" i="6"/>
  <c r="I35" i="6" s="1"/>
  <c r="J35" i="6" s="1"/>
  <c r="F78" i="4"/>
  <c r="K38" i="5"/>
  <c r="K22" i="5"/>
  <c r="B19" i="6"/>
  <c r="I19" i="6" s="1"/>
  <c r="J19" i="6" s="1"/>
  <c r="F62" i="4"/>
  <c r="B34" i="6"/>
  <c r="I34" i="6" s="1"/>
  <c r="J34" i="6" s="1"/>
  <c r="F77" i="4"/>
  <c r="K37" i="5"/>
  <c r="K45" i="5"/>
  <c r="B42" i="6"/>
  <c r="I42" i="6" s="1"/>
  <c r="J42" i="6" s="1"/>
  <c r="K34" i="5"/>
  <c r="B31" i="6"/>
  <c r="I31" i="6" s="1"/>
  <c r="J31" i="6" s="1"/>
  <c r="F74" i="4"/>
  <c r="B26" i="6"/>
  <c r="I26" i="6" s="1"/>
  <c r="J26" i="6" s="1"/>
  <c r="F69" i="4"/>
  <c r="K29" i="5"/>
  <c r="K40" i="5"/>
  <c r="B37" i="6"/>
  <c r="I37" i="6" s="1"/>
  <c r="J37" i="6" s="1"/>
  <c r="F80" i="4"/>
  <c r="B8" i="6"/>
  <c r="I8" i="6" s="1"/>
  <c r="J8" i="6" s="1"/>
  <c r="K11" i="5"/>
  <c r="F51" i="4"/>
  <c r="K41" i="5"/>
  <c r="B38" i="6"/>
  <c r="I38" i="6" s="1"/>
  <c r="J38" i="6" s="1"/>
  <c r="K43" i="5"/>
  <c r="B40" i="6"/>
  <c r="I40" i="6" s="1"/>
  <c r="J40" i="6" s="1"/>
  <c r="K35" i="5"/>
  <c r="B32" i="6"/>
  <c r="I32" i="6" s="1"/>
  <c r="J32" i="6" s="1"/>
  <c r="F75" i="4"/>
  <c r="K27" i="5"/>
  <c r="B24" i="6"/>
  <c r="I24" i="6" s="1"/>
  <c r="J24" i="6" s="1"/>
  <c r="F67" i="4"/>
  <c r="F47" i="4"/>
  <c r="K7" i="5"/>
  <c r="B4" i="6"/>
  <c r="I4" i="6" s="1"/>
  <c r="J4" i="6" s="1"/>
  <c r="K17" i="5"/>
  <c r="B14" i="6"/>
  <c r="I14" i="6" s="1"/>
  <c r="J14" i="6" s="1"/>
  <c r="F57" i="4"/>
  <c r="F48" i="4"/>
  <c r="B5" i="6"/>
  <c r="I5" i="6" s="1"/>
  <c r="J5" i="6" s="1"/>
  <c r="K8" i="5"/>
  <c r="K33" i="5"/>
  <c r="B30" i="6"/>
  <c r="I30" i="6" s="1"/>
  <c r="J30" i="6" s="1"/>
  <c r="F73" i="4"/>
  <c r="F46" i="4"/>
  <c r="K6" i="5"/>
  <c r="B3" i="6"/>
  <c r="I3" i="6" s="1"/>
  <c r="J3" i="6" s="1"/>
  <c r="F50" i="4"/>
  <c r="K10" i="5"/>
  <c r="B7" i="6"/>
  <c r="I7" i="6" s="1"/>
  <c r="J7" i="6" s="1"/>
  <c r="K42" i="5"/>
  <c r="B39" i="6"/>
  <c r="I39" i="6" s="1"/>
  <c r="J39" i="6" s="1"/>
  <c r="K15" i="5"/>
  <c r="B12" i="6"/>
  <c r="I12" i="6" s="1"/>
  <c r="J12" i="6" s="1"/>
  <c r="F55" i="4"/>
  <c r="B16" i="6"/>
  <c r="I16" i="6" s="1"/>
  <c r="J16" i="6" s="1"/>
  <c r="F59" i="4"/>
  <c r="K19" i="5"/>
  <c r="K31" i="5"/>
  <c r="B28" i="6"/>
  <c r="I28" i="6" s="1"/>
  <c r="J28" i="6" s="1"/>
  <c r="F71" i="4"/>
  <c r="F45" i="4"/>
  <c r="B2" i="6"/>
  <c r="I2" i="6" s="1"/>
  <c r="J2" i="6" s="1"/>
  <c r="K5" i="5"/>
  <c r="B15" i="6"/>
  <c r="I15" i="6" s="1"/>
  <c r="J15" i="6" s="1"/>
  <c r="F58" i="4"/>
  <c r="K18" i="5"/>
  <c r="F56" i="4"/>
  <c r="K16" i="5"/>
  <c r="B13" i="6"/>
  <c r="I13" i="6" s="1"/>
  <c r="J13" i="6" s="1"/>
  <c r="K14" i="5"/>
  <c r="B11" i="6"/>
  <c r="I11" i="6" s="1"/>
  <c r="J11" i="6" s="1"/>
  <c r="F54" i="4"/>
  <c r="B23" i="6"/>
  <c r="I23" i="6" s="1"/>
  <c r="J23" i="6" s="1"/>
  <c r="F66" i="4"/>
  <c r="K26" i="5"/>
  <c r="K32" i="5"/>
  <c r="B29" i="6"/>
  <c r="I29" i="6" s="1"/>
  <c r="J29" i="6" s="1"/>
  <c r="F72" i="4"/>
  <c r="B20" i="6"/>
  <c r="I20" i="6" s="1"/>
  <c r="J20" i="6" s="1"/>
  <c r="F63" i="4"/>
  <c r="K23" i="5"/>
  <c r="B33" i="6"/>
  <c r="I33" i="6" s="1"/>
  <c r="J33" i="6" s="1"/>
  <c r="K36" i="5"/>
  <c r="F76" i="4"/>
  <c r="F79" i="4"/>
  <c r="B36" i="6"/>
  <c r="I36" i="6" s="1"/>
  <c r="J36" i="6" s="1"/>
  <c r="K39" i="5"/>
  <c r="F52" i="4"/>
  <c r="K12" i="5"/>
  <c r="B9" i="6"/>
  <c r="I9" i="6" s="1"/>
  <c r="J9" i="6" s="1"/>
  <c r="K44" i="5"/>
  <c r="B41" i="6"/>
  <c r="I41" i="6" s="1"/>
  <c r="J41" i="6" s="1"/>
  <c r="B10" i="6"/>
  <c r="I10" i="6" s="1"/>
  <c r="J10" i="6" s="1"/>
  <c r="K13" i="5"/>
  <c r="F53" i="4"/>
  <c r="K24" i="5"/>
  <c r="B21" i="6"/>
  <c r="I21" i="6" s="1"/>
  <c r="J21" i="6" s="1"/>
  <c r="F64" i="4"/>
  <c r="F60" i="4"/>
  <c r="B17" i="6"/>
  <c r="I17" i="6" s="1"/>
  <c r="J17" i="6" s="1"/>
  <c r="K20" i="5"/>
  <c r="B6" i="6"/>
  <c r="I6" i="6" s="1"/>
  <c r="J6" i="6" s="1"/>
  <c r="F49" i="4"/>
  <c r="K9" i="5"/>
  <c r="K51" i="4"/>
  <c r="N51" i="4" s="1"/>
  <c r="C10" i="7" s="1"/>
  <c r="O51" i="4"/>
  <c r="D10" i="7" s="1"/>
  <c r="M51" i="4"/>
  <c r="B10" i="7" s="1"/>
  <c r="A30" i="1"/>
  <c r="O13" i="5"/>
  <c r="H52" i="4"/>
  <c r="L53" i="4"/>
  <c r="A11" i="7"/>
  <c r="A29" i="1"/>
  <c r="L14" i="5" l="1"/>
  <c r="H11" i="6"/>
  <c r="H15" i="6"/>
  <c r="L18" i="5"/>
  <c r="L31" i="5"/>
  <c r="H28" i="6"/>
  <c r="L42" i="5"/>
  <c r="M42" i="5" s="1"/>
  <c r="H39" i="6"/>
  <c r="L35" i="5"/>
  <c r="H32" i="6"/>
  <c r="L41" i="5"/>
  <c r="M41" i="5" s="1"/>
  <c r="H38" i="6"/>
  <c r="L34" i="5"/>
  <c r="H31" i="6"/>
  <c r="L22" i="5"/>
  <c r="H19" i="6"/>
  <c r="H22" i="6"/>
  <c r="L25" i="5"/>
  <c r="H17" i="6"/>
  <c r="L20" i="5"/>
  <c r="L12" i="5"/>
  <c r="H9" i="6"/>
  <c r="H20" i="6"/>
  <c r="L23" i="5"/>
  <c r="H16" i="6"/>
  <c r="L19" i="5"/>
  <c r="H3" i="6"/>
  <c r="L6" i="5"/>
  <c r="H30" i="6"/>
  <c r="L33" i="5"/>
  <c r="L7" i="5"/>
  <c r="H4" i="6"/>
  <c r="H24" i="6"/>
  <c r="L27" i="5"/>
  <c r="H35" i="6"/>
  <c r="L38" i="5"/>
  <c r="H25" i="6"/>
  <c r="L28" i="5"/>
  <c r="L21" i="5"/>
  <c r="H18" i="6"/>
  <c r="L9" i="5"/>
  <c r="H6" i="6"/>
  <c r="L24" i="5"/>
  <c r="H21" i="6"/>
  <c r="L32" i="5"/>
  <c r="H29" i="6"/>
  <c r="L16" i="5"/>
  <c r="H13" i="6"/>
  <c r="L15" i="5"/>
  <c r="H12" i="6"/>
  <c r="H7" i="6"/>
  <c r="L10" i="5"/>
  <c r="L8" i="5"/>
  <c r="H5" i="6"/>
  <c r="L43" i="5"/>
  <c r="M43" i="5" s="1"/>
  <c r="H40" i="6"/>
  <c r="H8" i="6"/>
  <c r="L11" i="5"/>
  <c r="H37" i="6"/>
  <c r="L40" i="5"/>
  <c r="L45" i="5"/>
  <c r="M45" i="5" s="1"/>
  <c r="H42" i="6"/>
  <c r="L30" i="5"/>
  <c r="H27" i="6"/>
  <c r="H10" i="6"/>
  <c r="L13" i="5"/>
  <c r="H41" i="6"/>
  <c r="L44" i="5"/>
  <c r="M44" i="5" s="1"/>
  <c r="H36" i="6"/>
  <c r="L39" i="5"/>
  <c r="H33" i="6"/>
  <c r="L36" i="5"/>
  <c r="L26" i="5"/>
  <c r="H23" i="6"/>
  <c r="H2" i="6"/>
  <c r="L5" i="5"/>
  <c r="L17" i="5"/>
  <c r="H14" i="6"/>
  <c r="H26" i="6"/>
  <c r="L29" i="5"/>
  <c r="L37" i="5"/>
  <c r="H34" i="6"/>
  <c r="O14" i="5"/>
  <c r="H53" i="4"/>
  <c r="L54" i="4"/>
  <c r="A12" i="7"/>
  <c r="A31" i="1"/>
  <c r="M52" i="4"/>
  <c r="B11" i="7" s="1"/>
  <c r="O52" i="4"/>
  <c r="D11" i="7" s="1"/>
  <c r="K52" i="4"/>
  <c r="N52" i="4" s="1"/>
  <c r="C11" i="7" s="1"/>
  <c r="A32" i="1"/>
  <c r="M5" i="5" l="1"/>
  <c r="M29" i="5"/>
  <c r="M10" i="5"/>
  <c r="M6" i="5"/>
  <c r="M16" i="5"/>
  <c r="M7" i="5"/>
  <c r="M22" i="5"/>
  <c r="M36" i="5"/>
  <c r="M23" i="5"/>
  <c r="M24" i="5"/>
  <c r="M39" i="5"/>
  <c r="M11" i="5"/>
  <c r="M33" i="5"/>
  <c r="M19" i="5"/>
  <c r="M25" i="5"/>
  <c r="M18" i="5"/>
  <c r="M17" i="5"/>
  <c r="M26" i="5"/>
  <c r="M8" i="5"/>
  <c r="M15" i="5"/>
  <c r="M32" i="5"/>
  <c r="M9" i="5"/>
  <c r="M12" i="5"/>
  <c r="M34" i="5"/>
  <c r="M31" i="5"/>
  <c r="M14" i="5"/>
  <c r="M40" i="5"/>
  <c r="M38" i="5"/>
  <c r="M20" i="5"/>
  <c r="M30" i="5"/>
  <c r="M21" i="5"/>
  <c r="M13" i="5"/>
  <c r="M28" i="5"/>
  <c r="M27" i="5"/>
  <c r="M37" i="5"/>
  <c r="M35" i="5"/>
  <c r="A33" i="1"/>
  <c r="H54" i="4"/>
  <c r="L55" i="4"/>
  <c r="A13" i="7"/>
  <c r="O15" i="5"/>
  <c r="K53" i="4"/>
  <c r="N53" i="4" s="1"/>
  <c r="C12" i="7" s="1"/>
  <c r="O53" i="4"/>
  <c r="D12" i="7" s="1"/>
  <c r="M53" i="4"/>
  <c r="B12" i="7" s="1"/>
  <c r="A34" i="1"/>
  <c r="N10" i="5" l="1"/>
  <c r="P10" i="5" s="1"/>
  <c r="N7" i="5"/>
  <c r="R7" i="5" s="1"/>
  <c r="N14" i="5"/>
  <c r="R14" i="5" s="1"/>
  <c r="N12" i="5"/>
  <c r="N6" i="5"/>
  <c r="N9" i="5"/>
  <c r="N5" i="5"/>
  <c r="N11" i="5"/>
  <c r="N13" i="5"/>
  <c r="N8" i="5"/>
  <c r="H55" i="4"/>
  <c r="L56" i="4"/>
  <c r="A14" i="7"/>
  <c r="A35" i="1"/>
  <c r="A36" i="1"/>
  <c r="M54" i="4"/>
  <c r="B13" i="7" s="1"/>
  <c r="O54" i="4"/>
  <c r="D13" i="7" s="1"/>
  <c r="K54" i="4"/>
  <c r="N54" i="4" s="1"/>
  <c r="C13" i="7" s="1"/>
  <c r="N15" i="5"/>
  <c r="O16" i="5"/>
  <c r="P14" i="5" l="1"/>
  <c r="Q7" i="5"/>
  <c r="Q14" i="5"/>
  <c r="P7" i="5"/>
  <c r="Q10" i="5"/>
  <c r="R10" i="5"/>
  <c r="Q8" i="5"/>
  <c r="R8" i="5"/>
  <c r="P8" i="5"/>
  <c r="R9" i="5"/>
  <c r="Q9" i="5"/>
  <c r="P9" i="5"/>
  <c r="R13" i="5"/>
  <c r="P13" i="5"/>
  <c r="Q13" i="5"/>
  <c r="P6" i="5"/>
  <c r="R6" i="5"/>
  <c r="Q6" i="5"/>
  <c r="R11" i="5"/>
  <c r="Q11" i="5"/>
  <c r="P11" i="5"/>
  <c r="P12" i="5"/>
  <c r="Q12" i="5"/>
  <c r="R12" i="5"/>
  <c r="P5" i="5"/>
  <c r="Q5" i="5"/>
  <c r="R5" i="5"/>
  <c r="H56" i="4"/>
  <c r="L57" i="4"/>
  <c r="A15" i="7"/>
  <c r="K55" i="4"/>
  <c r="N55" i="4" s="1"/>
  <c r="C14" i="7" s="1"/>
  <c r="O55" i="4"/>
  <c r="D14" i="7" s="1"/>
  <c r="M55" i="4"/>
  <c r="B14" i="7" s="1"/>
  <c r="O17" i="5"/>
  <c r="N16" i="5"/>
  <c r="A37" i="1"/>
  <c r="R15" i="5"/>
  <c r="P15" i="5"/>
  <c r="Q15" i="5"/>
  <c r="A38" i="1"/>
  <c r="S15" i="5" l="1"/>
  <c r="T15" i="5" a="1"/>
  <c r="T15" i="5" s="1"/>
  <c r="Q16" i="5"/>
  <c r="P16" i="5"/>
  <c r="R16" i="5"/>
  <c r="N17" i="5"/>
  <c r="O18" i="5"/>
  <c r="A40" i="1"/>
  <c r="A39" i="1"/>
  <c r="L58" i="4"/>
  <c r="H57" i="4"/>
  <c r="A16" i="7"/>
  <c r="M56" i="4"/>
  <c r="B15" i="7" s="1"/>
  <c r="K56" i="4"/>
  <c r="N56" i="4" s="1"/>
  <c r="C15" i="7" s="1"/>
  <c r="O56" i="4"/>
  <c r="D15" i="7" s="1"/>
  <c r="P17" i="5" l="1"/>
  <c r="Q17" i="5"/>
  <c r="R17" i="5"/>
  <c r="K57" i="4"/>
  <c r="N57" i="4" s="1"/>
  <c r="C16" i="7" s="1"/>
  <c r="M57" i="4"/>
  <c r="B16" i="7" s="1"/>
  <c r="O57" i="4"/>
  <c r="D16" i="7" s="1"/>
  <c r="A42" i="1"/>
  <c r="H58" i="4"/>
  <c r="L59" i="4"/>
  <c r="A17" i="7"/>
  <c r="A41" i="1"/>
  <c r="O19" i="5"/>
  <c r="N18" i="5"/>
  <c r="A44" i="1" l="1"/>
  <c r="A46" i="1"/>
  <c r="N19" i="5"/>
  <c r="O20" i="5"/>
  <c r="H59" i="4"/>
  <c r="L60" i="4"/>
  <c r="A18" i="7"/>
  <c r="Q18" i="5"/>
  <c r="R18" i="5"/>
  <c r="P18" i="5"/>
  <c r="A43" i="1"/>
  <c r="M58" i="4"/>
  <c r="B17" i="7" s="1"/>
  <c r="O58" i="4"/>
  <c r="D17" i="7" s="1"/>
  <c r="K58" i="4"/>
  <c r="N58" i="4" s="1"/>
  <c r="C17" i="7" s="1"/>
  <c r="M59" i="4" l="1"/>
  <c r="B18" i="7" s="1"/>
  <c r="O59" i="4"/>
  <c r="D18" i="7" s="1"/>
  <c r="K59" i="4"/>
  <c r="N59" i="4" s="1"/>
  <c r="C18" i="7" s="1"/>
  <c r="A45" i="1"/>
  <c r="O21" i="5"/>
  <c r="N20" i="5"/>
  <c r="P19" i="5"/>
  <c r="Q19" i="5"/>
  <c r="R19" i="5"/>
  <c r="H60" i="4"/>
  <c r="L61" i="4"/>
  <c r="A19" i="7"/>
  <c r="A47" i="1" l="1"/>
  <c r="C1" i="2" a="1"/>
  <c r="B1" i="3" a="1"/>
  <c r="H61" i="4"/>
  <c r="L62" i="4"/>
  <c r="A20" i="7"/>
  <c r="M60" i="4"/>
  <c r="B19" i="7" s="1"/>
  <c r="O60" i="4"/>
  <c r="D19" i="7" s="1"/>
  <c r="K60" i="4"/>
  <c r="N60" i="4" s="1"/>
  <c r="C19" i="7" s="1"/>
  <c r="Q20" i="5"/>
  <c r="R20" i="5"/>
  <c r="P20" i="5"/>
  <c r="O22" i="5"/>
  <c r="N21" i="5"/>
  <c r="O23" i="5" l="1"/>
  <c r="N22" i="5"/>
  <c r="O61" i="4"/>
  <c r="D20" i="7" s="1"/>
  <c r="K61" i="4"/>
  <c r="N61" i="4" s="1"/>
  <c r="C20" i="7" s="1"/>
  <c r="M61" i="4"/>
  <c r="B20" i="7" s="1"/>
  <c r="C1" i="3"/>
  <c r="G1" i="3"/>
  <c r="K1" i="3"/>
  <c r="O1" i="3"/>
  <c r="S1" i="3"/>
  <c r="W1" i="3"/>
  <c r="AA1" i="3"/>
  <c r="AE1" i="3"/>
  <c r="AI1" i="3"/>
  <c r="AM1" i="3"/>
  <c r="AQ1" i="3"/>
  <c r="AU1" i="3"/>
  <c r="AY1" i="3"/>
  <c r="BC1" i="3"/>
  <c r="BG1" i="3"/>
  <c r="BK1" i="3"/>
  <c r="BO1" i="3"/>
  <c r="BS1" i="3"/>
  <c r="BW1" i="3"/>
  <c r="CA1" i="3"/>
  <c r="C2" i="3"/>
  <c r="G2" i="3"/>
  <c r="K2" i="3"/>
  <c r="O2" i="3"/>
  <c r="S2" i="3"/>
  <c r="W2" i="3"/>
  <c r="AA2" i="3"/>
  <c r="AE2" i="3"/>
  <c r="AI2" i="3"/>
  <c r="AM2" i="3"/>
  <c r="AQ2" i="3"/>
  <c r="AU2" i="3"/>
  <c r="AY2" i="3"/>
  <c r="BC2" i="3"/>
  <c r="BG2" i="3"/>
  <c r="BK2" i="3"/>
  <c r="BO2" i="3"/>
  <c r="BS2" i="3"/>
  <c r="BW2" i="3"/>
  <c r="CA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BC3" i="3"/>
  <c r="BG3" i="3"/>
  <c r="BK3" i="3"/>
  <c r="BO3" i="3"/>
  <c r="BS3" i="3"/>
  <c r="BW3" i="3"/>
  <c r="CA3" i="3"/>
  <c r="E4" i="3"/>
  <c r="I4" i="3"/>
  <c r="M4" i="3"/>
  <c r="Q4" i="3"/>
  <c r="U4" i="3"/>
  <c r="Y4" i="3"/>
  <c r="AC4" i="3"/>
  <c r="AG4" i="3"/>
  <c r="AK4" i="3"/>
  <c r="AO4" i="3"/>
  <c r="AS4" i="3"/>
  <c r="AW4" i="3"/>
  <c r="BA4" i="3"/>
  <c r="BE4" i="3"/>
  <c r="BI4" i="3"/>
  <c r="BM4" i="3"/>
  <c r="BQ4" i="3"/>
  <c r="BU4" i="3"/>
  <c r="BY4" i="3"/>
  <c r="CC4" i="3"/>
  <c r="H1" i="3"/>
  <c r="M1" i="3"/>
  <c r="R1" i="3"/>
  <c r="X1" i="3"/>
  <c r="AC1" i="3"/>
  <c r="AH1" i="3"/>
  <c r="AN1" i="3"/>
  <c r="AS1" i="3"/>
  <c r="AX1" i="3"/>
  <c r="BD1" i="3"/>
  <c r="BI1" i="3"/>
  <c r="BN1" i="3"/>
  <c r="BT1" i="3"/>
  <c r="BY1" i="3"/>
  <c r="B2" i="3"/>
  <c r="H2" i="3"/>
  <c r="M2" i="3"/>
  <c r="R2" i="3"/>
  <c r="X2" i="3"/>
  <c r="AC2" i="3"/>
  <c r="AH2" i="3"/>
  <c r="AN2" i="3"/>
  <c r="AS2" i="3"/>
  <c r="AX2" i="3"/>
  <c r="BD2" i="3"/>
  <c r="BI2" i="3"/>
  <c r="BN2" i="3"/>
  <c r="BT2" i="3"/>
  <c r="BY2" i="3"/>
  <c r="B3" i="3"/>
  <c r="H3" i="3"/>
  <c r="M3" i="3"/>
  <c r="R3" i="3"/>
  <c r="X3" i="3"/>
  <c r="AC3" i="3"/>
  <c r="AH3" i="3"/>
  <c r="D1" i="3"/>
  <c r="J1" i="3"/>
  <c r="Q1" i="3"/>
  <c r="Y1" i="3"/>
  <c r="AF1" i="3"/>
  <c r="AL1" i="3"/>
  <c r="AT1" i="3"/>
  <c r="BA1" i="3"/>
  <c r="BH1" i="3"/>
  <c r="BP1" i="3"/>
  <c r="BV1" i="3"/>
  <c r="CC1" i="3"/>
  <c r="I2" i="3"/>
  <c r="P2" i="3"/>
  <c r="V2" i="3"/>
  <c r="AD2" i="3"/>
  <c r="AK2" i="3"/>
  <c r="AR2" i="3"/>
  <c r="AZ2" i="3"/>
  <c r="BF2" i="3"/>
  <c r="BM2" i="3"/>
  <c r="BU2" i="3"/>
  <c r="CB2" i="3"/>
  <c r="F3" i="3"/>
  <c r="N3" i="3"/>
  <c r="U3" i="3"/>
  <c r="AB3" i="3"/>
  <c r="AJ3" i="3"/>
  <c r="AO3" i="3"/>
  <c r="AT3" i="3"/>
  <c r="AZ3" i="3"/>
  <c r="BE3" i="3"/>
  <c r="BJ3" i="3"/>
  <c r="BP3" i="3"/>
  <c r="BU3" i="3"/>
  <c r="BZ3" i="3"/>
  <c r="B4" i="3"/>
  <c r="G4" i="3"/>
  <c r="L4" i="3"/>
  <c r="R4" i="3"/>
  <c r="W4" i="3"/>
  <c r="AB4" i="3"/>
  <c r="AH4" i="3"/>
  <c r="AM4" i="3"/>
  <c r="AR4" i="3"/>
  <c r="AX4" i="3"/>
  <c r="BC4" i="3"/>
  <c r="BH4" i="3"/>
  <c r="BN4" i="3"/>
  <c r="BS4" i="3"/>
  <c r="BX4" i="3"/>
  <c r="E1" i="3"/>
  <c r="L1" i="3"/>
  <c r="T1" i="3"/>
  <c r="Z1" i="3"/>
  <c r="AG1" i="3"/>
  <c r="AO1" i="3"/>
  <c r="AV1" i="3"/>
  <c r="BB1" i="3"/>
  <c r="BJ1" i="3"/>
  <c r="BQ1" i="3"/>
  <c r="BX1" i="3"/>
  <c r="D2" i="3"/>
  <c r="J2" i="3"/>
  <c r="Q2" i="3"/>
  <c r="Y2" i="3"/>
  <c r="AF2" i="3"/>
  <c r="AL2" i="3"/>
  <c r="AT2" i="3"/>
  <c r="BA2" i="3"/>
  <c r="BH2" i="3"/>
  <c r="BP2" i="3"/>
  <c r="BV2" i="3"/>
  <c r="CC2" i="3"/>
  <c r="I3" i="3"/>
  <c r="P3" i="3"/>
  <c r="V3" i="3"/>
  <c r="AD3" i="3"/>
  <c r="AK3" i="3"/>
  <c r="AP3" i="3"/>
  <c r="AV3" i="3"/>
  <c r="BA3" i="3"/>
  <c r="BF3" i="3"/>
  <c r="BL3" i="3"/>
  <c r="BQ3" i="3"/>
  <c r="BV3" i="3"/>
  <c r="CB3" i="3"/>
  <c r="C4" i="3"/>
  <c r="H4" i="3"/>
  <c r="N4" i="3"/>
  <c r="S4" i="3"/>
  <c r="X4" i="3"/>
  <c r="AD4" i="3"/>
  <c r="AI4" i="3"/>
  <c r="AN4" i="3"/>
  <c r="AT4" i="3"/>
  <c r="AY4" i="3"/>
  <c r="BD4" i="3"/>
  <c r="BJ4" i="3"/>
  <c r="BO4" i="3"/>
  <c r="BT4" i="3"/>
  <c r="BZ4" i="3"/>
  <c r="F1" i="3"/>
  <c r="N1" i="3"/>
  <c r="U1" i="3"/>
  <c r="AB1" i="3"/>
  <c r="AJ1" i="3"/>
  <c r="AP1" i="3"/>
  <c r="AW1" i="3"/>
  <c r="BE1" i="3"/>
  <c r="BL1" i="3"/>
  <c r="BR1" i="3"/>
  <c r="BZ1" i="3"/>
  <c r="E2" i="3"/>
  <c r="L2" i="3"/>
  <c r="T2" i="3"/>
  <c r="Z2" i="3"/>
  <c r="AG2" i="3"/>
  <c r="AO2" i="3"/>
  <c r="AV2" i="3"/>
  <c r="BB2" i="3"/>
  <c r="BJ2" i="3"/>
  <c r="BQ2" i="3"/>
  <c r="BX2" i="3"/>
  <c r="D3" i="3"/>
  <c r="J3" i="3"/>
  <c r="Q3" i="3"/>
  <c r="Y3" i="3"/>
  <c r="AF3" i="3"/>
  <c r="AL3" i="3"/>
  <c r="AR3" i="3"/>
  <c r="AW3" i="3"/>
  <c r="BB3" i="3"/>
  <c r="BH3" i="3"/>
  <c r="BM3" i="3"/>
  <c r="BR3" i="3"/>
  <c r="BX3" i="3"/>
  <c r="CC3" i="3"/>
  <c r="D4" i="3"/>
  <c r="J4" i="3"/>
  <c r="O4" i="3"/>
  <c r="T4" i="3"/>
  <c r="Z4" i="3"/>
  <c r="AE4" i="3"/>
  <c r="AJ4" i="3"/>
  <c r="AP4" i="3"/>
  <c r="AU4" i="3"/>
  <c r="AZ4" i="3"/>
  <c r="BF4" i="3"/>
  <c r="BK4" i="3"/>
  <c r="BP4" i="3"/>
  <c r="BV4" i="3"/>
  <c r="CA4" i="3"/>
  <c r="B1" i="3"/>
  <c r="AD1" i="3"/>
  <c r="BF1" i="3"/>
  <c r="F2" i="3"/>
  <c r="AJ2" i="3"/>
  <c r="BL2" i="3"/>
  <c r="L3" i="3"/>
  <c r="AN3" i="3"/>
  <c r="BI3" i="3"/>
  <c r="V4" i="3"/>
  <c r="AQ4" i="3"/>
  <c r="BL4" i="3"/>
  <c r="I1" i="3"/>
  <c r="AK1" i="3"/>
  <c r="BM1" i="3"/>
  <c r="N2" i="3"/>
  <c r="AP2" i="3"/>
  <c r="BR2" i="3"/>
  <c r="T3" i="3"/>
  <c r="AS3" i="3"/>
  <c r="BN3" i="3"/>
  <c r="F4" i="3"/>
  <c r="AA4" i="3"/>
  <c r="AV4" i="3"/>
  <c r="BR4" i="3"/>
  <c r="U2" i="3"/>
  <c r="Z3" i="3"/>
  <c r="BT3" i="3"/>
  <c r="AF4" i="3"/>
  <c r="BW4" i="3"/>
  <c r="P1" i="3"/>
  <c r="AR1" i="3"/>
  <c r="BU1" i="3"/>
  <c r="AW2" i="3"/>
  <c r="BZ2" i="3"/>
  <c r="AX3" i="3"/>
  <c r="K4" i="3"/>
  <c r="BB4" i="3"/>
  <c r="V1" i="3"/>
  <c r="AZ1" i="3"/>
  <c r="CB1" i="3"/>
  <c r="AB2" i="3"/>
  <c r="BE2" i="3"/>
  <c r="E3" i="3"/>
  <c r="AG3" i="3"/>
  <c r="BD3" i="3"/>
  <c r="BY3" i="3"/>
  <c r="P4" i="3"/>
  <c r="AL4" i="3"/>
  <c r="BG4" i="3"/>
  <c r="CB4" i="3"/>
  <c r="G1" i="2"/>
  <c r="K1" i="2"/>
  <c r="O1" i="2"/>
  <c r="S1" i="2"/>
  <c r="W1" i="2"/>
  <c r="AA1" i="2"/>
  <c r="AE1" i="2"/>
  <c r="AI1" i="2"/>
  <c r="AM1" i="2"/>
  <c r="AQ1" i="2"/>
  <c r="AU1" i="2"/>
  <c r="AY1" i="2"/>
  <c r="BC1" i="2"/>
  <c r="BG1" i="2"/>
  <c r="BK1" i="2"/>
  <c r="BO1" i="2"/>
  <c r="BS1" i="2"/>
  <c r="D1" i="2"/>
  <c r="H1" i="2"/>
  <c r="L1" i="2"/>
  <c r="P1" i="2"/>
  <c r="T1" i="2"/>
  <c r="X1" i="2"/>
  <c r="AB1" i="2"/>
  <c r="AF1" i="2"/>
  <c r="AJ1" i="2"/>
  <c r="AN1" i="2"/>
  <c r="AR1" i="2"/>
  <c r="AV1" i="2"/>
  <c r="AZ1" i="2"/>
  <c r="BD1" i="2"/>
  <c r="BH1" i="2"/>
  <c r="BL1" i="2"/>
  <c r="BP1" i="2"/>
  <c r="BT1" i="2"/>
  <c r="BX1" i="2"/>
  <c r="CB1" i="2"/>
  <c r="D2" i="2"/>
  <c r="H2" i="2"/>
  <c r="L2" i="2"/>
  <c r="P2" i="2"/>
  <c r="T2" i="2"/>
  <c r="X2" i="2"/>
  <c r="AB2" i="2"/>
  <c r="AF2" i="2"/>
  <c r="AJ2" i="2"/>
  <c r="AN2" i="2"/>
  <c r="AR2" i="2"/>
  <c r="AV2" i="2"/>
  <c r="AZ2" i="2"/>
  <c r="BD2" i="2"/>
  <c r="BH2" i="2"/>
  <c r="BL2" i="2"/>
  <c r="BP2" i="2"/>
  <c r="BT2" i="2"/>
  <c r="BX2" i="2"/>
  <c r="CB2" i="2"/>
  <c r="D3" i="2"/>
  <c r="H3" i="2"/>
  <c r="L3" i="2"/>
  <c r="P3" i="2"/>
  <c r="T3" i="2"/>
  <c r="X3" i="2"/>
  <c r="AB3" i="2"/>
  <c r="AF3" i="2"/>
  <c r="AJ3" i="2"/>
  <c r="AN3" i="2"/>
  <c r="AR3" i="2"/>
  <c r="AV3" i="2"/>
  <c r="AZ3" i="2"/>
  <c r="BD3" i="2"/>
  <c r="BH3" i="2"/>
  <c r="BL3" i="2"/>
  <c r="BP3" i="2"/>
  <c r="BT3" i="2"/>
  <c r="BX3" i="2"/>
  <c r="CB3" i="2"/>
  <c r="D4" i="2"/>
  <c r="D61" i="2" s="1"/>
  <c r="H4" i="2"/>
  <c r="H61" i="2" s="1"/>
  <c r="L4" i="2"/>
  <c r="L61" i="2" s="1"/>
  <c r="P4" i="2"/>
  <c r="P61" i="2" s="1"/>
  <c r="T4" i="2"/>
  <c r="T61" i="2" s="1"/>
  <c r="X4" i="2"/>
  <c r="X61" i="2" s="1"/>
  <c r="AB4" i="2"/>
  <c r="AB61" i="2" s="1"/>
  <c r="AF4" i="2"/>
  <c r="AF61" i="2" s="1"/>
  <c r="AJ4" i="2"/>
  <c r="AJ61" i="2" s="1"/>
  <c r="AN4" i="2"/>
  <c r="AN61" i="2" s="1"/>
  <c r="AR4" i="2"/>
  <c r="AR61" i="2" s="1"/>
  <c r="AV4" i="2"/>
  <c r="AV61" i="2" s="1"/>
  <c r="AZ4" i="2"/>
  <c r="AZ61" i="2" s="1"/>
  <c r="BD4" i="2"/>
  <c r="BD61" i="2" s="1"/>
  <c r="BH4" i="2"/>
  <c r="BH61" i="2" s="1"/>
  <c r="BL4" i="2"/>
  <c r="BL61" i="2" s="1"/>
  <c r="BP4" i="2"/>
  <c r="BP61" i="2" s="1"/>
  <c r="BT4" i="2"/>
  <c r="BT61" i="2" s="1"/>
  <c r="BX4" i="2"/>
  <c r="BX61" i="2" s="1"/>
  <c r="CB4" i="2"/>
  <c r="CB61" i="2" s="1"/>
  <c r="E1" i="2"/>
  <c r="I1" i="2"/>
  <c r="M1" i="2"/>
  <c r="Q1" i="2"/>
  <c r="U1" i="2"/>
  <c r="Y1" i="2"/>
  <c r="AC1" i="2"/>
  <c r="AG1" i="2"/>
  <c r="AK1" i="2"/>
  <c r="AO1" i="2"/>
  <c r="AS1" i="2"/>
  <c r="AW1" i="2"/>
  <c r="BA1" i="2"/>
  <c r="BE1" i="2"/>
  <c r="BI1" i="2"/>
  <c r="BM1" i="2"/>
  <c r="BQ1" i="2"/>
  <c r="BU1" i="2"/>
  <c r="BY1" i="2"/>
  <c r="CC1" i="2"/>
  <c r="E2" i="2"/>
  <c r="I2" i="2"/>
  <c r="M2" i="2"/>
  <c r="Q2" i="2"/>
  <c r="U2" i="2"/>
  <c r="Y2" i="2"/>
  <c r="AC2" i="2"/>
  <c r="AG2" i="2"/>
  <c r="AK2" i="2"/>
  <c r="AO2" i="2"/>
  <c r="AS2" i="2"/>
  <c r="AW2" i="2"/>
  <c r="BA2" i="2"/>
  <c r="BE2" i="2"/>
  <c r="BI2" i="2"/>
  <c r="BM2" i="2"/>
  <c r="BQ2" i="2"/>
  <c r="BU2" i="2"/>
  <c r="BY2" i="2"/>
  <c r="CC2" i="2"/>
  <c r="E3" i="2"/>
  <c r="I3" i="2"/>
  <c r="M3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BU3" i="2"/>
  <c r="BY3" i="2"/>
  <c r="CC3" i="2"/>
  <c r="E4" i="2"/>
  <c r="E61" i="2" s="1"/>
  <c r="I4" i="2"/>
  <c r="I61" i="2" s="1"/>
  <c r="M4" i="2"/>
  <c r="M61" i="2" s="1"/>
  <c r="Q4" i="2"/>
  <c r="Q61" i="2" s="1"/>
  <c r="U4" i="2"/>
  <c r="U61" i="2" s="1"/>
  <c r="Y4" i="2"/>
  <c r="Y61" i="2" s="1"/>
  <c r="AC4" i="2"/>
  <c r="AC61" i="2" s="1"/>
  <c r="AG4" i="2"/>
  <c r="AG61" i="2" s="1"/>
  <c r="AK4" i="2"/>
  <c r="AK61" i="2" s="1"/>
  <c r="AO4" i="2"/>
  <c r="AO61" i="2" s="1"/>
  <c r="AS4" i="2"/>
  <c r="AS61" i="2" s="1"/>
  <c r="AW4" i="2"/>
  <c r="AW61" i="2" s="1"/>
  <c r="BA4" i="2"/>
  <c r="BA61" i="2" s="1"/>
  <c r="BE4" i="2"/>
  <c r="BE61" i="2" s="1"/>
  <c r="BI4" i="2"/>
  <c r="BI61" i="2" s="1"/>
  <c r="BM4" i="2"/>
  <c r="BM61" i="2" s="1"/>
  <c r="BQ4" i="2"/>
  <c r="BQ61" i="2" s="1"/>
  <c r="BU4" i="2"/>
  <c r="BU61" i="2" s="1"/>
  <c r="BY4" i="2"/>
  <c r="BY61" i="2" s="1"/>
  <c r="CC4" i="2"/>
  <c r="CC61" i="2" s="1"/>
  <c r="J1" i="2"/>
  <c r="Z1" i="2"/>
  <c r="AP1" i="2"/>
  <c r="BF1" i="2"/>
  <c r="BV1" i="2"/>
  <c r="CD1" i="2"/>
  <c r="J2" i="2"/>
  <c r="R2" i="2"/>
  <c r="Z2" i="2"/>
  <c r="AH2" i="2"/>
  <c r="AP2" i="2"/>
  <c r="AX2" i="2"/>
  <c r="BF2" i="2"/>
  <c r="BN2" i="2"/>
  <c r="BV2" i="2"/>
  <c r="CD2" i="2"/>
  <c r="J3" i="2"/>
  <c r="R3" i="2"/>
  <c r="Z3" i="2"/>
  <c r="AH3" i="2"/>
  <c r="AP3" i="2"/>
  <c r="AX3" i="2"/>
  <c r="BF3" i="2"/>
  <c r="BN3" i="2"/>
  <c r="BV3" i="2"/>
  <c r="CD3" i="2"/>
  <c r="J4" i="2"/>
  <c r="J61" i="2" s="1"/>
  <c r="R4" i="2"/>
  <c r="R61" i="2" s="1"/>
  <c r="Z4" i="2"/>
  <c r="Z61" i="2" s="1"/>
  <c r="AH4" i="2"/>
  <c r="AH61" i="2" s="1"/>
  <c r="AP4" i="2"/>
  <c r="AP61" i="2" s="1"/>
  <c r="AX4" i="2"/>
  <c r="AX61" i="2" s="1"/>
  <c r="BF4" i="2"/>
  <c r="BF61" i="2" s="1"/>
  <c r="BN4" i="2"/>
  <c r="BN61" i="2" s="1"/>
  <c r="BV4" i="2"/>
  <c r="BV61" i="2" s="1"/>
  <c r="CD4" i="2"/>
  <c r="CD61" i="2" s="1"/>
  <c r="N1" i="2"/>
  <c r="AD1" i="2"/>
  <c r="AT1" i="2"/>
  <c r="BJ1" i="2"/>
  <c r="BW1" i="2"/>
  <c r="C2" i="2"/>
  <c r="K2" i="2"/>
  <c r="S2" i="2"/>
  <c r="AA2" i="2"/>
  <c r="AI2" i="2"/>
  <c r="AQ2" i="2"/>
  <c r="AY2" i="2"/>
  <c r="BG2" i="2"/>
  <c r="BO2" i="2"/>
  <c r="BW2" i="2"/>
  <c r="C3" i="2"/>
  <c r="K3" i="2"/>
  <c r="S3" i="2"/>
  <c r="AA3" i="2"/>
  <c r="AI3" i="2"/>
  <c r="AQ3" i="2"/>
  <c r="AY3" i="2"/>
  <c r="BG3" i="2"/>
  <c r="BO3" i="2"/>
  <c r="BW3" i="2"/>
  <c r="C4" i="2"/>
  <c r="K4" i="2"/>
  <c r="K61" i="2" s="1"/>
  <c r="S4" i="2"/>
  <c r="S61" i="2" s="1"/>
  <c r="AA4" i="2"/>
  <c r="AA61" i="2" s="1"/>
  <c r="AI4" i="2"/>
  <c r="AI61" i="2" s="1"/>
  <c r="AQ4" i="2"/>
  <c r="AQ61" i="2" s="1"/>
  <c r="AY4" i="2"/>
  <c r="AY61" i="2" s="1"/>
  <c r="BG4" i="2"/>
  <c r="BG61" i="2" s="1"/>
  <c r="BO4" i="2"/>
  <c r="BO61" i="2" s="1"/>
  <c r="BW4" i="2"/>
  <c r="BW61" i="2" s="1"/>
  <c r="C1" i="2"/>
  <c r="R1" i="2"/>
  <c r="AH1" i="2"/>
  <c r="AX1" i="2"/>
  <c r="BN1" i="2"/>
  <c r="BZ1" i="2"/>
  <c r="F2" i="2"/>
  <c r="N2" i="2"/>
  <c r="V2" i="2"/>
  <c r="AD2" i="2"/>
  <c r="AL2" i="2"/>
  <c r="AT2" i="2"/>
  <c r="BB2" i="2"/>
  <c r="BJ2" i="2"/>
  <c r="BR2" i="2"/>
  <c r="BZ2" i="2"/>
  <c r="F3" i="2"/>
  <c r="N3" i="2"/>
  <c r="V3" i="2"/>
  <c r="AD3" i="2"/>
  <c r="AL3" i="2"/>
  <c r="AT3" i="2"/>
  <c r="BB3" i="2"/>
  <c r="BJ3" i="2"/>
  <c r="BR3" i="2"/>
  <c r="BZ3" i="2"/>
  <c r="F4" i="2"/>
  <c r="F61" i="2" s="1"/>
  <c r="N4" i="2"/>
  <c r="N61" i="2" s="1"/>
  <c r="V4" i="2"/>
  <c r="V61" i="2" s="1"/>
  <c r="AD4" i="2"/>
  <c r="AD61" i="2" s="1"/>
  <c r="AL4" i="2"/>
  <c r="AL61" i="2" s="1"/>
  <c r="AT4" i="2"/>
  <c r="AT61" i="2" s="1"/>
  <c r="BB4" i="2"/>
  <c r="BB61" i="2" s="1"/>
  <c r="BJ4" i="2"/>
  <c r="BJ61" i="2" s="1"/>
  <c r="BR4" i="2"/>
  <c r="BR61" i="2" s="1"/>
  <c r="BZ4" i="2"/>
  <c r="BZ61" i="2" s="1"/>
  <c r="F1" i="2"/>
  <c r="BR1" i="2"/>
  <c r="W2" i="2"/>
  <c r="BC2" i="2"/>
  <c r="G3" i="2"/>
  <c r="AM3" i="2"/>
  <c r="BS3" i="2"/>
  <c r="W4" i="2"/>
  <c r="W61" i="2" s="1"/>
  <c r="BC4" i="2"/>
  <c r="BC61" i="2" s="1"/>
  <c r="V1" i="2"/>
  <c r="CA1" i="2"/>
  <c r="AE2" i="2"/>
  <c r="BK2" i="2"/>
  <c r="O3" i="2"/>
  <c r="AU3" i="2"/>
  <c r="CA3" i="2"/>
  <c r="AE4" i="2"/>
  <c r="AE61" i="2" s="1"/>
  <c r="BK4" i="2"/>
  <c r="BK61" i="2" s="1"/>
  <c r="AL1" i="2"/>
  <c r="G2" i="2"/>
  <c r="AM2" i="2"/>
  <c r="BS2" i="2"/>
  <c r="W3" i="2"/>
  <c r="BC3" i="2"/>
  <c r="G4" i="2"/>
  <c r="G61" i="2" s="1"/>
  <c r="AM4" i="2"/>
  <c r="AM61" i="2" s="1"/>
  <c r="BS4" i="2"/>
  <c r="BS61" i="2" s="1"/>
  <c r="BB1" i="2"/>
  <c r="AE3" i="2"/>
  <c r="CA4" i="2"/>
  <c r="CA61" i="2" s="1"/>
  <c r="O2" i="2"/>
  <c r="BK3" i="2"/>
  <c r="AU2" i="2"/>
  <c r="O4" i="2"/>
  <c r="O61" i="2" s="1"/>
  <c r="CA2" i="2"/>
  <c r="AU4" i="2"/>
  <c r="AU61" i="2" s="1"/>
  <c r="Q21" i="5"/>
  <c r="P21" i="5"/>
  <c r="R21" i="5"/>
  <c r="H62" i="4"/>
  <c r="L63" i="4"/>
  <c r="A21" i="7"/>
  <c r="H63" i="4" l="1"/>
  <c r="L64" i="4"/>
  <c r="A22" i="7"/>
  <c r="Q22" i="5"/>
  <c r="R22" i="5"/>
  <c r="P22" i="5"/>
  <c r="O62" i="4"/>
  <c r="D21" i="7" s="1"/>
  <c r="K62" i="4"/>
  <c r="N62" i="4" s="1"/>
  <c r="C21" i="7" s="1"/>
  <c r="M62" i="4"/>
  <c r="B21" i="7" s="1"/>
  <c r="N23" i="5"/>
  <c r="O24" i="5"/>
  <c r="O25" i="5" l="1"/>
  <c r="N24" i="5"/>
  <c r="R23" i="5"/>
  <c r="P23" i="5"/>
  <c r="Q23" i="5"/>
  <c r="H64" i="4"/>
  <c r="L65" i="4"/>
  <c r="A23" i="7"/>
  <c r="O63" i="4"/>
  <c r="D22" i="7" s="1"/>
  <c r="K63" i="4"/>
  <c r="N63" i="4" s="1"/>
  <c r="C22" i="7" s="1"/>
  <c r="M63" i="4"/>
  <c r="B22" i="7" s="1"/>
  <c r="N25" i="5" l="1"/>
  <c r="O26" i="5"/>
  <c r="L66" i="4"/>
  <c r="H65" i="4"/>
  <c r="A24" i="7"/>
  <c r="K64" i="4"/>
  <c r="N64" i="4" s="1"/>
  <c r="C23" i="7" s="1"/>
  <c r="M64" i="4"/>
  <c r="B23" i="7" s="1"/>
  <c r="O64" i="4"/>
  <c r="D23" i="7" s="1"/>
  <c r="Q24" i="5"/>
  <c r="P24" i="5"/>
  <c r="R24" i="5"/>
  <c r="K65" i="4" l="1"/>
  <c r="N65" i="4" s="1"/>
  <c r="C24" i="7" s="1"/>
  <c r="M65" i="4"/>
  <c r="B24" i="7" s="1"/>
  <c r="O65" i="4"/>
  <c r="D24" i="7" s="1"/>
  <c r="H66" i="4"/>
  <c r="L67" i="4"/>
  <c r="A25" i="7"/>
  <c r="O27" i="5"/>
  <c r="N26" i="5"/>
  <c r="P25" i="5"/>
  <c r="Q25" i="5"/>
  <c r="R25" i="5"/>
  <c r="Q26" i="5" l="1"/>
  <c r="R26" i="5"/>
  <c r="P26" i="5"/>
  <c r="M66" i="4"/>
  <c r="B25" i="7" s="1"/>
  <c r="O66" i="4"/>
  <c r="D25" i="7" s="1"/>
  <c r="K66" i="4"/>
  <c r="N66" i="4" s="1"/>
  <c r="C25" i="7" s="1"/>
  <c r="H67" i="4"/>
  <c r="L68" i="4"/>
  <c r="A26" i="7"/>
  <c r="N27" i="5"/>
  <c r="O28" i="5"/>
  <c r="H68" i="4" l="1"/>
  <c r="L69" i="4"/>
  <c r="A27" i="7"/>
  <c r="O29" i="5"/>
  <c r="N28" i="5"/>
  <c r="M67" i="4"/>
  <c r="B26" i="7" s="1"/>
  <c r="O67" i="4"/>
  <c r="D26" i="7" s="1"/>
  <c r="K67" i="4"/>
  <c r="N67" i="4" s="1"/>
  <c r="C26" i="7" s="1"/>
  <c r="P27" i="5"/>
  <c r="Q27" i="5"/>
  <c r="R27" i="5"/>
  <c r="O30" i="5" l="1"/>
  <c r="N29" i="5"/>
  <c r="H69" i="4"/>
  <c r="L70" i="4"/>
  <c r="A28" i="7"/>
  <c r="Q28" i="5"/>
  <c r="P28" i="5"/>
  <c r="R28" i="5"/>
  <c r="M68" i="4"/>
  <c r="B27" i="7" s="1"/>
  <c r="O68" i="4"/>
  <c r="D27" i="7" s="1"/>
  <c r="K68" i="4"/>
  <c r="N68" i="4" s="1"/>
  <c r="C27" i="7" s="1"/>
  <c r="H70" i="4" l="1"/>
  <c r="L71" i="4"/>
  <c r="A29" i="7"/>
  <c r="O69" i="4"/>
  <c r="D28" i="7" s="1"/>
  <c r="K69" i="4"/>
  <c r="N69" i="4" s="1"/>
  <c r="C28" i="7" s="1"/>
  <c r="M69" i="4"/>
  <c r="B28" i="7" s="1"/>
  <c r="Q29" i="5"/>
  <c r="P29" i="5"/>
  <c r="R29" i="5"/>
  <c r="O31" i="5"/>
  <c r="N30" i="5"/>
  <c r="Q30" i="5" l="1"/>
  <c r="P30" i="5"/>
  <c r="R30" i="5"/>
  <c r="O32" i="5"/>
  <c r="N31" i="5"/>
  <c r="H71" i="4"/>
  <c r="L72" i="4"/>
  <c r="A30" i="7"/>
  <c r="O70" i="4"/>
  <c r="D29" i="7" s="1"/>
  <c r="K70" i="4"/>
  <c r="N70" i="4" s="1"/>
  <c r="C29" i="7" s="1"/>
  <c r="M70" i="4"/>
  <c r="B29" i="7" s="1"/>
  <c r="O33" i="5" l="1"/>
  <c r="N32" i="5"/>
  <c r="H72" i="4"/>
  <c r="L73" i="4"/>
  <c r="A31" i="7"/>
  <c r="O71" i="4"/>
  <c r="D30" i="7" s="1"/>
  <c r="K71" i="4"/>
  <c r="N71" i="4" s="1"/>
  <c r="C30" i="7" s="1"/>
  <c r="M71" i="4"/>
  <c r="B30" i="7" s="1"/>
  <c r="R31" i="5"/>
  <c r="P31" i="5"/>
  <c r="Q31" i="5"/>
  <c r="L74" i="4" l="1"/>
  <c r="H73" i="4"/>
  <c r="A32" i="7"/>
  <c r="K72" i="4"/>
  <c r="N72" i="4" s="1"/>
  <c r="C31" i="7" s="1"/>
  <c r="M72" i="4"/>
  <c r="B31" i="7" s="1"/>
  <c r="O72" i="4"/>
  <c r="D31" i="7" s="1"/>
  <c r="Q32" i="5"/>
  <c r="P32" i="5"/>
  <c r="R32" i="5"/>
  <c r="N33" i="5"/>
  <c r="O34" i="5"/>
  <c r="H74" i="4" l="1"/>
  <c r="L75" i="4"/>
  <c r="A33" i="7"/>
  <c r="O35" i="5"/>
  <c r="N34" i="5"/>
  <c r="R33" i="5"/>
  <c r="P33" i="5"/>
  <c r="Q33" i="5"/>
  <c r="K73" i="4"/>
  <c r="N73" i="4" s="1"/>
  <c r="C32" i="7" s="1"/>
  <c r="M73" i="4"/>
  <c r="B32" i="7" s="1"/>
  <c r="O73" i="4"/>
  <c r="D32" i="7" s="1"/>
  <c r="O36" i="5" l="1"/>
  <c r="N35" i="5"/>
  <c r="H75" i="4"/>
  <c r="L76" i="4"/>
  <c r="A34" i="7"/>
  <c r="Q34" i="5"/>
  <c r="R34" i="5"/>
  <c r="P34" i="5"/>
  <c r="M74" i="4"/>
  <c r="B33" i="7" s="1"/>
  <c r="O74" i="4"/>
  <c r="D33" i="7" s="1"/>
  <c r="K74" i="4"/>
  <c r="N74" i="4" s="1"/>
  <c r="C33" i="7" s="1"/>
  <c r="H76" i="4" l="1"/>
  <c r="L77" i="4"/>
  <c r="A35" i="7"/>
  <c r="O75" i="4"/>
  <c r="D34" i="7" s="1"/>
  <c r="K75" i="4"/>
  <c r="N75" i="4" s="1"/>
  <c r="C34" i="7" s="1"/>
  <c r="M75" i="4"/>
  <c r="B34" i="7" s="1"/>
  <c r="P35" i="5"/>
  <c r="R35" i="5"/>
  <c r="Q35" i="5"/>
  <c r="O37" i="5"/>
  <c r="N36" i="5"/>
  <c r="Q36" i="5" l="1"/>
  <c r="P36" i="5"/>
  <c r="R36" i="5"/>
  <c r="O38" i="5"/>
  <c r="N37" i="5"/>
  <c r="H77" i="4"/>
  <c r="A36" i="7"/>
  <c r="L78" i="4"/>
  <c r="O76" i="4"/>
  <c r="D35" i="7" s="1"/>
  <c r="K76" i="4"/>
  <c r="N76" i="4" s="1"/>
  <c r="C35" i="7" s="1"/>
  <c r="M76" i="4"/>
  <c r="B35" i="7" s="1"/>
  <c r="H78" i="4" l="1"/>
  <c r="L79" i="4"/>
  <c r="A37" i="7"/>
  <c r="O39" i="5"/>
  <c r="N38" i="5"/>
  <c r="O77" i="4"/>
  <c r="D36" i="7" s="1"/>
  <c r="K77" i="4"/>
  <c r="N77" i="4" s="1"/>
  <c r="C36" i="7" s="1"/>
  <c r="M77" i="4"/>
  <c r="B36" i="7" s="1"/>
  <c r="Q37" i="5"/>
  <c r="R37" i="5"/>
  <c r="P37" i="5"/>
  <c r="O40" i="5" l="1"/>
  <c r="N39" i="5"/>
  <c r="L80" i="4"/>
  <c r="A38" i="7"/>
  <c r="H79" i="4"/>
  <c r="Q38" i="5"/>
  <c r="P38" i="5"/>
  <c r="R38" i="5"/>
  <c r="K78" i="4"/>
  <c r="N78" i="4" s="1"/>
  <c r="C37" i="7" s="1"/>
  <c r="O78" i="4"/>
  <c r="D37" i="7" s="1"/>
  <c r="M78" i="4"/>
  <c r="B37" i="7" s="1"/>
  <c r="H80" i="4" l="1"/>
  <c r="L81" i="4"/>
  <c r="A39" i="7"/>
  <c r="R39" i="5"/>
  <c r="Q39" i="5"/>
  <c r="P39" i="5"/>
  <c r="K79" i="4"/>
  <c r="N79" i="4" s="1"/>
  <c r="C38" i="7" s="1"/>
  <c r="M79" i="4"/>
  <c r="B38" i="7" s="1"/>
  <c r="O79" i="4"/>
  <c r="D38" i="7" s="1"/>
  <c r="O41" i="5"/>
  <c r="N40" i="5"/>
  <c r="Q40" i="5" l="1"/>
  <c r="P40" i="5"/>
  <c r="R40" i="5"/>
  <c r="N41" i="5"/>
  <c r="O42" i="5"/>
  <c r="H81" i="4"/>
  <c r="L82" i="4"/>
  <c r="A40" i="7"/>
  <c r="O80" i="4"/>
  <c r="D39" i="7" s="1"/>
  <c r="K80" i="4"/>
  <c r="N80" i="4" s="1"/>
  <c r="C39" i="7" s="1"/>
  <c r="M80" i="4"/>
  <c r="B39" i="7" s="1"/>
  <c r="Q41" i="5" l="1"/>
  <c r="R41" i="5"/>
  <c r="P41" i="5"/>
  <c r="H82" i="4"/>
  <c r="L83" i="4"/>
  <c r="K81" i="4"/>
  <c r="N81" i="4" s="1"/>
  <c r="C40" i="7" s="1"/>
  <c r="O81" i="4"/>
  <c r="D40" i="7" s="1"/>
  <c r="M81" i="4"/>
  <c r="B40" i="7" s="1"/>
  <c r="O43" i="5"/>
  <c r="N42" i="5"/>
  <c r="K82" i="4" l="1"/>
  <c r="N82" i="4" s="1"/>
  <c r="M82" i="4"/>
  <c r="O82" i="4"/>
  <c r="Q42" i="5"/>
  <c r="R42" i="5"/>
  <c r="P42" i="5"/>
  <c r="O44" i="5"/>
  <c r="N43" i="5"/>
  <c r="H83" i="4"/>
  <c r="L84" i="4"/>
  <c r="P43" i="5" l="1"/>
  <c r="Q43" i="5"/>
  <c r="R43" i="5"/>
  <c r="O45" i="5"/>
  <c r="N44" i="5"/>
  <c r="H84" i="4"/>
  <c r="L85" i="4"/>
  <c r="O83" i="4"/>
  <c r="K83" i="4"/>
  <c r="N83" i="4" s="1"/>
  <c r="M83" i="4"/>
  <c r="O46" i="5" l="1"/>
  <c r="N46" i="5" s="1"/>
  <c r="N45" i="5"/>
  <c r="H85" i="4"/>
  <c r="L86" i="4"/>
  <c r="L87" i="4" s="1"/>
  <c r="O84" i="4"/>
  <c r="M84" i="4"/>
  <c r="K84" i="4"/>
  <c r="N84" i="4" s="1"/>
  <c r="Q44" i="5"/>
  <c r="P44" i="5"/>
  <c r="R44" i="5"/>
  <c r="M85" i="4" l="1"/>
  <c r="O85" i="4"/>
  <c r="K85" i="4"/>
  <c r="N85" i="4" s="1"/>
  <c r="Q45" i="5"/>
  <c r="P45" i="5"/>
  <c r="R45" i="5"/>
  <c r="Q46" i="5"/>
  <c r="P46" i="5"/>
  <c r="R46" i="5"/>
</calcChain>
</file>

<file path=xl/sharedStrings.xml><?xml version="1.0" encoding="utf-8"?>
<sst xmlns="http://schemas.openxmlformats.org/spreadsheetml/2006/main" count="1301" uniqueCount="912">
  <si>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</si>
  <si>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</si>
  <si>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</si>
  <si>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</si>
  <si>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</si>
  <si>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</si>
  <si>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</si>
  <si>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</si>
  <si>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</si>
  <si>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</si>
  <si>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</si>
  <si>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</si>
  <si>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</si>
  <si>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</si>
  <si>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</si>
  <si>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</si>
  <si>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</si>
  <si>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</si>
  <si>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</si>
  <si>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</si>
  <si>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</si>
  <si>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</si>
  <si>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</si>
  <si>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</si>
  <si>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</si>
  <si>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</si>
  <si>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John</t>
  </si>
  <si>
    <t>Mike</t>
  </si>
  <si>
    <t>David</t>
  </si>
  <si>
    <t>Geoff</t>
  </si>
  <si>
    <t>Tony</t>
  </si>
  <si>
    <t>Andy</t>
  </si>
  <si>
    <t>Colin</t>
  </si>
  <si>
    <t>Jeff</t>
  </si>
  <si>
    <t>Rick</t>
  </si>
  <si>
    <t>Jon</t>
  </si>
  <si>
    <t>Bob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</si>
  <si>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</si>
  <si>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</si>
  <si>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</si>
  <si>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</si>
  <si>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</si>
  <si>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</si>
  <si>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</si>
  <si>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</si>
  <si>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</si>
  <si>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</si>
  <si>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</si>
  <si>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</si>
  <si>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</si>
  <si>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</si>
  <si>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</si>
  <si>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</si>
  <si>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</si>
  <si>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Mander A</t>
  </si>
  <si>
    <t>COMA</t>
  </si>
  <si>
    <t>Mander C</t>
  </si>
  <si>
    <t>DAMO</t>
  </si>
  <si>
    <t>Morris D</t>
  </si>
  <si>
    <t>VIRE</t>
  </si>
  <si>
    <t>DASH</t>
  </si>
  <si>
    <t>DESH</t>
  </si>
  <si>
    <t>DASN</t>
  </si>
  <si>
    <t>TOSP</t>
  </si>
  <si>
    <t>RIWO</t>
  </si>
  <si>
    <t>JOWO</t>
  </si>
  <si>
    <t>Worthy J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</si>
  <si>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</si>
  <si>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</si>
  <si>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</si>
  <si>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</si>
  <si>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</si>
  <si>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</si>
  <si>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</si>
  <si>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</si>
  <si>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</si>
  <si>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</si>
  <si>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</si>
  <si>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</si>
  <si>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</si>
  <si>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</si>
  <si>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</si>
  <si>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</si>
  <si>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</si>
  <si>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</si>
  <si>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</si>
  <si>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</si>
  <si>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</si>
  <si>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</si>
  <si>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</si>
  <si>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</si>
  <si>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</si>
  <si>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</si>
  <si>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</si>
  <si>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</si>
  <si>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</si>
  <si>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</si>
  <si>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</si>
  <si>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</si>
  <si>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</si>
  <si>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</si>
  <si>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</si>
  <si>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</si>
  <si>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</si>
  <si>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</si>
  <si>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</si>
  <si>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</si>
  <si>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</si>
  <si>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</si>
  <si>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</si>
  <si>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</si>
  <si>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</si>
  <si>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</si>
  <si>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</si>
  <si>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</si>
  <si>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</si>
  <si>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</si>
  <si>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</si>
  <si>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</si>
  <si>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</si>
  <si>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</si>
  <si>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</si>
  <si>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</si>
  <si>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</si>
  <si>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</si>
  <si>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</si>
  <si>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</si>
  <si>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</si>
  <si>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</si>
  <si>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</si>
  <si>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</si>
  <si>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</si>
  <si>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</si>
  <si>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</si>
  <si>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</si>
  <si>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</si>
  <si>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</si>
  <si>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</si>
  <si>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</si>
  <si>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</si>
  <si>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</si>
  <si>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</si>
  <si>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</si>
  <si>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</si>
  <si>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</si>
  <si>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</si>
  <si>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</si>
  <si>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</si>
  <si>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</si>
  <si>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Captain Name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</si>
  <si>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</si>
  <si>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</si>
  <si>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</si>
  <si>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</si>
  <si>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</si>
  <si>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</si>
  <si>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</si>
  <si>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</si>
  <si>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</si>
  <si>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Brocks D</t>
  </si>
  <si>
    <t>Clark C</t>
  </si>
  <si>
    <t>Coloe A</t>
  </si>
  <si>
    <t>Elliston J</t>
  </si>
  <si>
    <t>Lestrelle J</t>
  </si>
  <si>
    <t>Patel N</t>
  </si>
  <si>
    <t>Sharpe D</t>
  </si>
  <si>
    <t>Shewan D</t>
  </si>
  <si>
    <t>Snow D</t>
  </si>
  <si>
    <t>Springer T</t>
  </si>
  <si>
    <t>Woodhouse M</t>
  </si>
  <si>
    <t>Worthington R</t>
  </si>
  <si>
    <t>Young R</t>
  </si>
  <si>
    <t>Total balls</t>
  </si>
  <si>
    <t>Max Overs</t>
  </si>
  <si>
    <t>DACO</t>
  </si>
  <si>
    <t>Players</t>
  </si>
  <si>
    <t>times chosen</t>
  </si>
  <si>
    <t>1st Inns</t>
  </si>
  <si>
    <t>Howe V</t>
  </si>
  <si>
    <t>PctInBdries</t>
  </si>
  <si>
    <t>Chris Clark</t>
  </si>
  <si>
    <t>Naimish</t>
  </si>
  <si>
    <t>Partnerships</t>
  </si>
  <si>
    <t>Adrian</t>
  </si>
  <si>
    <t>Hawksworth A</t>
  </si>
  <si>
    <t>Roy</t>
  </si>
  <si>
    <t>Odeneal R</t>
  </si>
  <si>
    <t>DuckPct</t>
  </si>
  <si>
    <t>Jason</t>
  </si>
  <si>
    <t>max</t>
  </si>
  <si>
    <t>min</t>
  </si>
  <si>
    <t>ROOD</t>
  </si>
  <si>
    <t>VIHO</t>
  </si>
  <si>
    <t>MICL</t>
  </si>
  <si>
    <t>Mick Clark</t>
  </si>
  <si>
    <t>Jason Crisford</t>
  </si>
  <si>
    <t>JACR</t>
  </si>
  <si>
    <t>Crisford J</t>
  </si>
  <si>
    <t>Simmons M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</si>
  <si>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</si>
  <si>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</si>
  <si>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</si>
  <si>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</si>
  <si>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</si>
  <si>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</si>
  <si>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</si>
  <si>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</si>
  <si>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</si>
  <si>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</si>
  <si>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</si>
  <si>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</si>
  <si>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</si>
  <si>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</si>
  <si>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</si>
  <si>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</si>
  <si>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</si>
  <si>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</si>
  <si>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</si>
  <si>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</si>
  <si>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</si>
  <si>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</si>
  <si>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</si>
  <si>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</si>
  <si>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</si>
  <si>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</si>
  <si>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</si>
  <si>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H</t>
  </si>
  <si>
    <t>W</t>
  </si>
  <si>
    <t>Paul</t>
  </si>
  <si>
    <t>Murphy P</t>
  </si>
  <si>
    <t>8/0/dnb/0/0</t>
  </si>
  <si>
    <t>9/0/dnb/0/0</t>
  </si>
  <si>
    <t>Vic</t>
  </si>
  <si>
    <t>4/0/dnb/0/0</t>
  </si>
  <si>
    <t>6/0/dnb/0/0</t>
  </si>
  <si>
    <t>Simon</t>
  </si>
  <si>
    <t>Haines S</t>
  </si>
  <si>
    <t>5/0/dnb/0/0</t>
  </si>
  <si>
    <t>7/0/dnb/0/0</t>
  </si>
  <si>
    <t>TOCC Runs</t>
  </si>
  <si>
    <t>Opp Runs</t>
  </si>
  <si>
    <t>TOCC Wkts</t>
  </si>
  <si>
    <t>Opp Wkts</t>
  </si>
  <si>
    <t>Pos</t>
  </si>
  <si>
    <t>Lashley W</t>
  </si>
  <si>
    <t>Rob</t>
  </si>
  <si>
    <t>Matt</t>
  </si>
  <si>
    <t>Davis M</t>
  </si>
  <si>
    <t>Greyling R</t>
  </si>
  <si>
    <t>Penfold N</t>
  </si>
  <si>
    <t>10/0/dnb/2/0</t>
  </si>
  <si>
    <t>Mark</t>
  </si>
  <si>
    <t>Cox M</t>
  </si>
  <si>
    <t>Oakes P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</si>
  <si>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</si>
  <si>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</si>
  <si>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</si>
  <si>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</si>
  <si>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</si>
  <si>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</si>
  <si>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</si>
  <si>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Blackheath Select</t>
  </si>
  <si>
    <t>Young 3-20</t>
  </si>
  <si>
    <t>Leadley 44*</t>
  </si>
  <si>
    <t>1/44/no+/1.1/3.0</t>
  </si>
  <si>
    <t>2/21/c/0/1.0</t>
  </si>
  <si>
    <t>3/8/no/0/0</t>
  </si>
  <si>
    <t>Heckroodt</t>
  </si>
  <si>
    <t>11/0/dnb*/0/0</t>
  </si>
  <si>
    <t>7/3/10/1/0/0</t>
  </si>
  <si>
    <t>5/0/13/0/2/1</t>
  </si>
  <si>
    <t>9/3/20/3/1/0</t>
  </si>
  <si>
    <t>4/1/14/0/0/0</t>
  </si>
  <si>
    <t>5.3/2/3/1/0/0</t>
  </si>
  <si>
    <t>5/2/7/2/0/0</t>
  </si>
  <si>
    <t>Legless XI</t>
  </si>
  <si>
    <t>TOCC</t>
  </si>
  <si>
    <t>L</t>
  </si>
  <si>
    <t>Burns 3-21, Leadley 32</t>
  </si>
  <si>
    <t>Williams 50*, Copper 4-40</t>
  </si>
  <si>
    <t>1/32/lb+/0.1/4.0</t>
  </si>
  <si>
    <t>2/4/b/0/0</t>
  </si>
  <si>
    <t>3/2/c/0/0</t>
  </si>
  <si>
    <t>4/0/b/1/0</t>
  </si>
  <si>
    <t>5/2/st/1/0</t>
  </si>
  <si>
    <t>6/0/lb/0/0</t>
  </si>
  <si>
    <t>7/3/c/0/0</t>
  </si>
  <si>
    <t>8/11/c/0/0</t>
  </si>
  <si>
    <t>9/23/c/0/5.0</t>
  </si>
  <si>
    <t>10/3/b/0/0</t>
  </si>
  <si>
    <t>11/10/no/0/0</t>
  </si>
  <si>
    <t>3/2/c/1/0</t>
  </si>
  <si>
    <t>2/4/b*/0/0</t>
  </si>
  <si>
    <t>10.4/2/25/1/2/0</t>
  </si>
  <si>
    <t>20/8/40/4/0/0</t>
  </si>
  <si>
    <t>10/1/28/1/1/0</t>
  </si>
  <si>
    <t>Blindley Heath</t>
  </si>
  <si>
    <t>A</t>
  </si>
  <si>
    <t>Burchett 44, Springer 3-16</t>
  </si>
  <si>
    <t>Jenkins 4-19</t>
  </si>
  <si>
    <t>1/5/ro/1/1.0</t>
  </si>
  <si>
    <t>2/0/lb/0/0</t>
  </si>
  <si>
    <t>3/17/c/0/3.0</t>
  </si>
  <si>
    <t>5/0/c/1/0</t>
  </si>
  <si>
    <t>6/4/c/1/1.0</t>
  </si>
  <si>
    <t>7/18/c+/0/3.0</t>
  </si>
  <si>
    <t>4/0/b/0/0</t>
  </si>
  <si>
    <t>8/2/b/0/0</t>
  </si>
  <si>
    <t>9/17/c/0/3.0</t>
  </si>
  <si>
    <t>10/8/no/0/1.0</t>
  </si>
  <si>
    <t>11/4/st*/0/1.0</t>
  </si>
  <si>
    <t>11/1/45/1/8/1</t>
  </si>
  <si>
    <t>10/6/11/2/1/1</t>
  </si>
  <si>
    <t>14/4/36/1/0/0</t>
  </si>
  <si>
    <t>7/2/21/0/3/0</t>
  </si>
  <si>
    <t>7/2/16/3/0/0</t>
  </si>
  <si>
    <t>Norwood Exiles</t>
  </si>
  <si>
    <t>Greyling 53, Patel C 4-26</t>
  </si>
  <si>
    <t>Norris 53*</t>
  </si>
  <si>
    <t>1/53/lb/0/8.0</t>
  </si>
  <si>
    <t>2/0/c/0/0</t>
  </si>
  <si>
    <t>3/2/b/0/0</t>
  </si>
  <si>
    <t>4/4/b/0/0</t>
  </si>
  <si>
    <t>5/4/b/0/1.0</t>
  </si>
  <si>
    <t>6/3/c+/0/0</t>
  </si>
  <si>
    <t>7/14/no/0/0</t>
  </si>
  <si>
    <t>Richard</t>
  </si>
  <si>
    <t>8/0/b/0/0</t>
  </si>
  <si>
    <t>9/2/c/0/0</t>
  </si>
  <si>
    <t>10/0/b/0/0</t>
  </si>
  <si>
    <t>11/3/b*/0/0</t>
  </si>
  <si>
    <t>9/4/7/0/0/0</t>
  </si>
  <si>
    <t>6/0/26/1/0/0</t>
  </si>
  <si>
    <t>Wiseman R</t>
  </si>
  <si>
    <t>3/0/18/0/0/0</t>
  </si>
  <si>
    <t>3.3/0/13/0/0/0</t>
  </si>
  <si>
    <t>1/0/13/0/0/0</t>
  </si>
  <si>
    <t>1/0/5/0/0/0</t>
  </si>
  <si>
    <t>5/1/10/1/4/0</t>
  </si>
  <si>
    <t>7/6/1/2/0/0</t>
  </si>
  <si>
    <t>Roodenburgh 42, Murphy 3-29</t>
  </si>
  <si>
    <t>Worthington 35</t>
  </si>
  <si>
    <t>1/8/c/0/1.0</t>
  </si>
  <si>
    <t>2/8/c/1/2.0</t>
  </si>
  <si>
    <t>3/9/lb/1/2.0</t>
  </si>
  <si>
    <t>4/35/lb+/0/5.1</t>
  </si>
  <si>
    <t>5/0/c/0/0</t>
  </si>
  <si>
    <t>6/4/b/0/1.0</t>
  </si>
  <si>
    <t>7/4/b/1/0</t>
  </si>
  <si>
    <t>8/12/b/0/2.0</t>
  </si>
  <si>
    <t>9/21/lb/1/4.0</t>
  </si>
  <si>
    <t>10/12/b/0/3.0</t>
  </si>
  <si>
    <t>11/0/no*/0/0</t>
  </si>
  <si>
    <t>8/0/44/1/0/0</t>
  </si>
  <si>
    <t>7.3/2/17/0/0/0</t>
  </si>
  <si>
    <t>6/1/26/1/0/0</t>
  </si>
  <si>
    <t>8/0/52/1/0/0</t>
  </si>
  <si>
    <t>3/0/23/0/0/0</t>
  </si>
  <si>
    <t>8/0/29/3/0/0</t>
  </si>
  <si>
    <t>Churchleigh</t>
  </si>
  <si>
    <t>Worthington 65</t>
  </si>
  <si>
    <t>Williams 50, Hulme 48*</t>
  </si>
  <si>
    <t>1/6/c/1/0</t>
  </si>
  <si>
    <t>3/5/b/0/0</t>
  </si>
  <si>
    <t>5/15/c/0/0</t>
  </si>
  <si>
    <t>6/14/b/0/2.0</t>
  </si>
  <si>
    <t>7/4/no/0/0</t>
  </si>
  <si>
    <t>8/4/no/0/0</t>
  </si>
  <si>
    <t>D</t>
  </si>
  <si>
    <t>10/0/dnb/0/0</t>
  </si>
  <si>
    <t>4/65/b+/0/8.0</t>
  </si>
  <si>
    <t>4/0/25/0/1/0</t>
  </si>
  <si>
    <t>10/1/32/0/3/1</t>
  </si>
  <si>
    <t>11/1/36/2/0/0</t>
  </si>
  <si>
    <t>4/1/19/1/1/0</t>
  </si>
  <si>
    <t>2/0/13/0/0/0</t>
  </si>
  <si>
    <t>Central YMCA</t>
  </si>
  <si>
    <t>Clark 3-12, Wiseman 3-12</t>
  </si>
  <si>
    <t>1/0/lb/0/0</t>
  </si>
  <si>
    <t>2/0/b/1/0</t>
  </si>
  <si>
    <t>Glyn</t>
  </si>
  <si>
    <t>4/1/c/0/0</t>
  </si>
  <si>
    <t>5/15/st/0/1.0</t>
  </si>
  <si>
    <t>6/14/b/0/1.0</t>
  </si>
  <si>
    <t>8/7/no/0/0</t>
  </si>
  <si>
    <t>7/11/no+/1.0/0</t>
  </si>
  <si>
    <t>8/0/37/3/23/1</t>
  </si>
  <si>
    <t>13/6/12/3/0/1</t>
  </si>
  <si>
    <t>5/1/12/3/3/0</t>
  </si>
  <si>
    <t>1.1/1/0/1/0/0</t>
  </si>
  <si>
    <t>1/1/0/0/0/0</t>
  </si>
  <si>
    <t>Lessa Wanderers</t>
  </si>
  <si>
    <t>Seven-O</t>
  </si>
  <si>
    <t>Riverside</t>
  </si>
  <si>
    <t>Mixed Caribbean</t>
  </si>
  <si>
    <t>Malden Wanderers</t>
  </si>
  <si>
    <t>Sanderstead</t>
  </si>
  <si>
    <t>Young 4-27</t>
  </si>
  <si>
    <t>1/6/b/0/0</t>
  </si>
  <si>
    <t>2/18/c/0/1.0</t>
  </si>
  <si>
    <t>3/0/c/0/0</t>
  </si>
  <si>
    <t>4/30/no+/0.1/4.0</t>
  </si>
  <si>
    <t>5/0/b/0/0</t>
  </si>
  <si>
    <t>6/0/lb/2/0</t>
  </si>
  <si>
    <t>7/13/b/1/3.0</t>
  </si>
  <si>
    <t>8/10/c/1/1.0</t>
  </si>
  <si>
    <t>9/10/c*/0/2.0</t>
  </si>
  <si>
    <t>10/2/b/0/0</t>
  </si>
  <si>
    <t>10/1/31/2/5/0</t>
  </si>
  <si>
    <t>10/1/33/0/1/0</t>
  </si>
  <si>
    <t>9/2/21/2/1/0</t>
  </si>
  <si>
    <t>9/2/27/4/0/0</t>
  </si>
  <si>
    <t>5/1/22/2/0/0</t>
  </si>
  <si>
    <t>2/0/9/0/0/0</t>
  </si>
  <si>
    <t>16/3/68/2/1/3</t>
  </si>
  <si>
    <t>5/1/39/1/0/0</t>
  </si>
  <si>
    <t>9/2/24/2/0/0</t>
  </si>
  <si>
    <t>3/0/28/0/0/0</t>
  </si>
  <si>
    <t>5/0/58/2/0/0</t>
  </si>
  <si>
    <t>Glancy 67</t>
  </si>
  <si>
    <t>1/18/no/0/3.0</t>
  </si>
  <si>
    <t>3/5/no/0/0</t>
  </si>
  <si>
    <t>5/0/dnb+/2.0/0</t>
  </si>
  <si>
    <t>6/0/dnb/1/0</t>
  </si>
  <si>
    <t>7/0/dnb/1/0</t>
  </si>
  <si>
    <t>8/0/dnb/1/0</t>
  </si>
  <si>
    <t>9/0/dnb*/0/0</t>
  </si>
  <si>
    <t>Bowers 3-33</t>
  </si>
  <si>
    <t>1/9/b/0/0</t>
  </si>
  <si>
    <t>2/0/b/0/0</t>
  </si>
  <si>
    <t>3/0/c+/2.2/0</t>
  </si>
  <si>
    <t>4/2/c/0/0</t>
  </si>
  <si>
    <t>5/2/b/0/0</t>
  </si>
  <si>
    <t>6/10/lb/0/0</t>
  </si>
  <si>
    <t>7/25/b/0/2.0</t>
  </si>
  <si>
    <t>8/17/no/2/0</t>
  </si>
  <si>
    <t>10/0/no/0/0</t>
  </si>
  <si>
    <t>9/4/28/0/0/0</t>
  </si>
  <si>
    <t>6/1/18/1/0/2</t>
  </si>
  <si>
    <t>10/5/15/2/1/0</t>
  </si>
  <si>
    <t>5/0/24/1/0/0</t>
  </si>
  <si>
    <t>2.3/0/14/2/0/0</t>
  </si>
  <si>
    <t>10/1/33/3/0/0</t>
  </si>
  <si>
    <t>Srithan 48*</t>
  </si>
  <si>
    <t>Worthington 41</t>
  </si>
  <si>
    <t>1/3/c/0/0/0</t>
  </si>
  <si>
    <t>2/24/c/0/3.0</t>
  </si>
  <si>
    <t>4/24/b/0/4.0</t>
  </si>
  <si>
    <t>5/41/c+/0/6.0</t>
  </si>
  <si>
    <t>6/0/b/0/0</t>
  </si>
  <si>
    <t>7/3/b/0/0</t>
  </si>
  <si>
    <t>8/4/c/0/0</t>
  </si>
  <si>
    <t>9/4/b/0/1.0</t>
  </si>
  <si>
    <t>10/2/no*/1/0</t>
  </si>
  <si>
    <t>11/9/c/0/2.0</t>
  </si>
  <si>
    <t>8/0/18/1/0/1</t>
  </si>
  <si>
    <t>6/2/21/1/0/0</t>
  </si>
  <si>
    <t>9/0/50/1/0/1</t>
  </si>
  <si>
    <t>5/0/32/2/0/0</t>
  </si>
  <si>
    <t>5/0/40/0/0/0</t>
  </si>
  <si>
    <t>1/0/10/0/0/0</t>
  </si>
  <si>
    <t>Mahmood B 72*, Fish 5-39</t>
  </si>
  <si>
    <t>Springer 91, George 4-52</t>
  </si>
  <si>
    <t>Ganesh</t>
  </si>
  <si>
    <t>1/4/c/1/1.0</t>
  </si>
  <si>
    <t>2/27/c/0/4.0</t>
  </si>
  <si>
    <t>Ryan</t>
  </si>
  <si>
    <t>Fish R</t>
  </si>
  <si>
    <t>3/5/b/0/1.0</t>
  </si>
  <si>
    <t>4/91/c/2/18.0</t>
  </si>
  <si>
    <t>5/7/lb+/1.0/0</t>
  </si>
  <si>
    <t>Angell A</t>
  </si>
  <si>
    <t>Alain</t>
  </si>
  <si>
    <t>6/0/c/0/0</t>
  </si>
  <si>
    <t>7/0/c/1/0</t>
  </si>
  <si>
    <t>8/9/no/1/1.0</t>
  </si>
  <si>
    <t>9/1/c/0/0</t>
  </si>
  <si>
    <t>10/0/39/1/0/0</t>
  </si>
  <si>
    <t>Fish</t>
  </si>
  <si>
    <t>11/1/39/5/0/0</t>
  </si>
  <si>
    <t>2/0/21/0/0/0</t>
  </si>
  <si>
    <t>5/0/37/0/0/0</t>
  </si>
  <si>
    <t>4/0/23/0/0/0</t>
  </si>
  <si>
    <t>11/2/62/1/3/0</t>
  </si>
  <si>
    <t>Shawn 116*, Latty 116</t>
  </si>
  <si>
    <t>Ganesh 52</t>
  </si>
  <si>
    <t>1/52/b/0/4.0</t>
  </si>
  <si>
    <t>2/10/c/0/0</t>
  </si>
  <si>
    <t>3/8/b*/1/0</t>
  </si>
  <si>
    <t>5/6/c/0/0</t>
  </si>
  <si>
    <t>6/14/c/0/3.0</t>
  </si>
  <si>
    <t>7/2/no/0/0</t>
  </si>
  <si>
    <t>7/0/36/1/0/0</t>
  </si>
  <si>
    <t>7/0/17/1/0/0</t>
  </si>
  <si>
    <t>7/0/70/0/0/0</t>
  </si>
  <si>
    <t>7/0/76/0/0/0</t>
  </si>
  <si>
    <t>Cooper 3-11, Greyling 3-35</t>
  </si>
  <si>
    <t>Patel 4-22</t>
  </si>
  <si>
    <t>1/5/b+/0/0</t>
  </si>
  <si>
    <t>2/6/b/1/1.0</t>
  </si>
  <si>
    <t>3/14/c/0/1.0</t>
  </si>
  <si>
    <t>5/2/b/3/0</t>
  </si>
  <si>
    <t>6/2/ro/0/0</t>
  </si>
  <si>
    <t>7/11/lb/0/2.0</t>
  </si>
  <si>
    <t>8/14/c/0/1.0</t>
  </si>
  <si>
    <t>9/2/no*/0/0</t>
  </si>
  <si>
    <t>9/1/b*/0/0</t>
  </si>
  <si>
    <t>11/1/c/0/0</t>
  </si>
  <si>
    <t>14/4/35/3/3/0</t>
  </si>
  <si>
    <t>6/1/38/1/0/0</t>
  </si>
  <si>
    <t>8/0/39/1/0/0</t>
  </si>
  <si>
    <t>4/0/19/0/4/0</t>
  </si>
  <si>
    <t>6.1/1/11/3/0/0</t>
  </si>
  <si>
    <t>3/0/22/2/0/0</t>
  </si>
  <si>
    <t>Bishop 53</t>
  </si>
  <si>
    <t>Greyling 38</t>
  </si>
  <si>
    <t>1/18/c/0/3.0</t>
  </si>
  <si>
    <t>3/4/b/0/1.0</t>
  </si>
  <si>
    <t>4/6/lb+/0/1.0</t>
  </si>
  <si>
    <t>5/0/c/0/10</t>
  </si>
  <si>
    <t>6/2/b/0/0</t>
  </si>
  <si>
    <t>7/20/no/0/3.0</t>
  </si>
  <si>
    <t>8/38/c/1/5.2</t>
  </si>
  <si>
    <t>9/10/c/1/2.0</t>
  </si>
  <si>
    <t>10/9/c*/0/2.0</t>
  </si>
  <si>
    <t>13/4/43/3/3/0</t>
  </si>
  <si>
    <t>14/5/36/3/0/0</t>
  </si>
  <si>
    <t>11/2/57/1/0/0</t>
  </si>
  <si>
    <t>9/1/45/3/0/0</t>
  </si>
  <si>
    <t>Mander N 75</t>
  </si>
  <si>
    <t>1/75/c/0/12.1</t>
  </si>
  <si>
    <t>2/6/b/0/1.0</t>
  </si>
  <si>
    <t>3/1/lb/0/0</t>
  </si>
  <si>
    <t>4/14/c/0/2.0</t>
  </si>
  <si>
    <t>5/12/b/0/0.1</t>
  </si>
  <si>
    <t>6/17/no+/1.1/4.0</t>
  </si>
  <si>
    <t>7/0/lb/0/0</t>
  </si>
  <si>
    <t>8/17/no/0/2.1</t>
  </si>
  <si>
    <t>11/0/dnb/0/0</t>
  </si>
  <si>
    <t>12/0/dnb*/0/0</t>
  </si>
  <si>
    <t>4/0/22/0/0/0</t>
  </si>
  <si>
    <t>3/1/5/2/0/0</t>
  </si>
  <si>
    <t>4/1/24/2/0/0</t>
  </si>
  <si>
    <t>3/1/15/0/0/0</t>
  </si>
  <si>
    <t>4/0/16/2/0/0</t>
  </si>
  <si>
    <t>1.4/0/14/1/0/0</t>
  </si>
  <si>
    <t>4/2/8/1/0/0</t>
  </si>
  <si>
    <t>4/0/20/0/0/0</t>
  </si>
  <si>
    <t>4/0/18/0/0/0</t>
  </si>
  <si>
    <t>2/0/7/1/0/0</t>
  </si>
  <si>
    <t>John Fisher Wandgas</t>
  </si>
  <si>
    <t>Sullivan 46, Cooper 3-26</t>
  </si>
  <si>
    <t>Mander N 35*</t>
  </si>
  <si>
    <t>1/29/no/0/3.0</t>
  </si>
  <si>
    <t>2/5/b/0/1.0</t>
  </si>
  <si>
    <t>3/17/c*/0/2.1</t>
  </si>
  <si>
    <t>4/12/c/0/1.0</t>
  </si>
  <si>
    <t>5/35/no/0/5.1</t>
  </si>
  <si>
    <t>7/0/dnb/2/0</t>
  </si>
  <si>
    <t>6/0/dnb+/1.0/0</t>
  </si>
  <si>
    <t>8/0/23/2/1/0</t>
  </si>
  <si>
    <t>7/1/26/0/3/0</t>
  </si>
  <si>
    <t>8/1/26/3/0/0</t>
  </si>
  <si>
    <t>8/1/25/1/0/0</t>
  </si>
  <si>
    <t>1.4/1/0/2/0/0</t>
  </si>
  <si>
    <t>2/0/12/0/3/0</t>
  </si>
  <si>
    <t>Francais 43, Greyling 3-44</t>
  </si>
  <si>
    <t>Lestrelle J 39, Evans 4-36</t>
  </si>
  <si>
    <t>1/39/c+/0/2.0</t>
  </si>
  <si>
    <t>2/9/lb/0/1.0</t>
  </si>
  <si>
    <t>3/18/b/0/2.0</t>
  </si>
  <si>
    <t>4/1/c*/0/0</t>
  </si>
  <si>
    <t>5/6/c/0/1.0</t>
  </si>
  <si>
    <t>6/0/c/1/0</t>
  </si>
  <si>
    <t>7/6/b/2/1.0</t>
  </si>
  <si>
    <t>8/8/b/0/1.0</t>
  </si>
  <si>
    <t>9/0/lb/1/0</t>
  </si>
  <si>
    <t>10/9/no/1/1.0</t>
  </si>
  <si>
    <t>11/1/no/0/0</t>
  </si>
  <si>
    <t>12/3/31/1/0/0</t>
  </si>
  <si>
    <t>12/5/23/1/1/0</t>
  </si>
  <si>
    <t>10/1/44/3/9/1</t>
  </si>
  <si>
    <t>4/0/38/0/1/0</t>
  </si>
  <si>
    <t>5/0/21/2/0/2</t>
  </si>
  <si>
    <t>Gold Leaf</t>
  </si>
  <si>
    <t>Thurlow Park RAFA</t>
  </si>
  <si>
    <t>Springer 100*</t>
  </si>
  <si>
    <t>Greyling 4-17</t>
  </si>
  <si>
    <t>1/12/c+/1.0/2.0</t>
  </si>
  <si>
    <t>2/1/b/0/0</t>
  </si>
  <si>
    <t>Luxford J</t>
  </si>
  <si>
    <t>4/10/b/0/1.0</t>
  </si>
  <si>
    <t>5/100/no*/0/8.8</t>
  </si>
  <si>
    <t>Wrenn S</t>
  </si>
  <si>
    <t>6/25/b/0/3.1</t>
  </si>
  <si>
    <t>7/1/b/0/0</t>
  </si>
  <si>
    <t>8/0/ro/0/0</t>
  </si>
  <si>
    <t>9/15/b/1/0.2</t>
  </si>
  <si>
    <t>10/4/b/0/1.0</t>
  </si>
  <si>
    <t>11/0/no/0/0</t>
  </si>
  <si>
    <t>8/5/9/1/0/0</t>
  </si>
  <si>
    <t>8/1/17/4/5/0</t>
  </si>
  <si>
    <t>6/2/4/1/0/0</t>
  </si>
  <si>
    <t>8/1/27/3/3/0</t>
  </si>
  <si>
    <t>3/0/12/1/0/0</t>
  </si>
  <si>
    <t>Woodgreen</t>
  </si>
  <si>
    <t>Mander A 35, P Young 3-14</t>
  </si>
  <si>
    <t>Greyling 3-32</t>
  </si>
  <si>
    <t>1/6/c+/0/0</t>
  </si>
  <si>
    <t>3/4/b/0/0</t>
  </si>
  <si>
    <t>4/0/ro/0/0</t>
  </si>
  <si>
    <t>5/27/c*/0/4.0</t>
  </si>
  <si>
    <t>5/1/c/0/0</t>
  </si>
  <si>
    <t>7/0/c/0/0</t>
  </si>
  <si>
    <t>8/0/c/0/0</t>
  </si>
  <si>
    <t>9/5/7/2/0/0</t>
  </si>
  <si>
    <t>8.4/3/32/3/4/0</t>
  </si>
  <si>
    <t>5/1/18/1/2/0</t>
  </si>
  <si>
    <t>3/0/13/0/3/0</t>
  </si>
  <si>
    <t>2/0/18/1/0/1</t>
  </si>
  <si>
    <t>5/1/9/1/0/0</t>
  </si>
  <si>
    <t>5/2/5/0/0/0</t>
  </si>
  <si>
    <t>9/35/ro/0/6.0</t>
  </si>
  <si>
    <t>Steeple Langford</t>
  </si>
  <si>
    <t>Harvey 3-9</t>
  </si>
  <si>
    <t>Springer 4-21</t>
  </si>
  <si>
    <t>1/0/b/0/0</t>
  </si>
  <si>
    <t>2/15/c/1/3.0</t>
  </si>
  <si>
    <t>3/19/b/0/1.1</t>
  </si>
  <si>
    <t>4/4/c/1/0</t>
  </si>
  <si>
    <t>5/27/b+*/2.0/1.0</t>
  </si>
  <si>
    <t>6/28/ro/0/3.0</t>
  </si>
  <si>
    <t>7/10/b/0/2.0</t>
  </si>
  <si>
    <t>8/10/b/0/1.1</t>
  </si>
  <si>
    <t>10/1/no/0/0</t>
  </si>
  <si>
    <t>9/2/no/0/0</t>
  </si>
  <si>
    <t>5/1/22/0/0/0</t>
  </si>
  <si>
    <t>11/4/19/0/0/0</t>
  </si>
  <si>
    <t>8/1/21/4/2/0</t>
  </si>
  <si>
    <t>3/0/19/0/2/0</t>
  </si>
  <si>
    <t>6/0/36/2/6/0</t>
  </si>
  <si>
    <t>4/0/28/1/5/0</t>
  </si>
  <si>
    <t>Cove</t>
  </si>
  <si>
    <t>Mander N 62, FIney 4-26</t>
  </si>
  <si>
    <t>Carter 103*</t>
  </si>
  <si>
    <t>1/62/c+/2.0/6.0</t>
  </si>
  <si>
    <t>2/7/ro/0/0</t>
  </si>
  <si>
    <t>3/13/c/0/0</t>
  </si>
  <si>
    <t>7/4/st/0/0</t>
  </si>
  <si>
    <t>8/17/c/0/3.0</t>
  </si>
  <si>
    <t>9/9/c/0/0.1</t>
  </si>
  <si>
    <t>10/15/no/0/3.0</t>
  </si>
  <si>
    <t>11/0/c/0/0</t>
  </si>
  <si>
    <t>3/0/20/0/6/0</t>
  </si>
  <si>
    <t>12/5/48/1/2/0</t>
  </si>
  <si>
    <t>8/0/53/1/3/0</t>
  </si>
  <si>
    <t>5/1/12/2/0/0</t>
  </si>
  <si>
    <t>2.2/0/23/0/0/0</t>
  </si>
  <si>
    <t>6/14/lb*/0/1.0</t>
  </si>
  <si>
    <t>Giltec</t>
  </si>
  <si>
    <t>Greyling 4-27</t>
  </si>
  <si>
    <t>Chandler 3-14</t>
  </si>
  <si>
    <t>1/1/c/0/0</t>
  </si>
  <si>
    <t>2/18/b*/0/2.0</t>
  </si>
  <si>
    <t>3/7/ro/0/0</t>
  </si>
  <si>
    <t>4/29/b/0/1.1</t>
  </si>
  <si>
    <t>5/11/b+/0/1.0</t>
  </si>
  <si>
    <t>7/2/b/0/0</t>
  </si>
  <si>
    <t>8/6/lb/0/0</t>
  </si>
  <si>
    <t>9/6/b/0/1.0</t>
  </si>
  <si>
    <t>8/0/20/1/1/0</t>
  </si>
  <si>
    <t>8/2/0/0/6/0</t>
  </si>
  <si>
    <t>8/1/27/4/2/0</t>
  </si>
  <si>
    <t>8/0/33/3/4/0</t>
  </si>
  <si>
    <t>1.2/0/7/2/1/0</t>
  </si>
  <si>
    <t>1/0/7/0/0/0</t>
  </si>
  <si>
    <t>CYPOS</t>
  </si>
  <si>
    <t>Springer 103*</t>
  </si>
  <si>
    <t>1/27/b+/0/2.0</t>
  </si>
  <si>
    <t>3/27/lb/0/4.0</t>
  </si>
  <si>
    <t>4/131/no*/0/19.2</t>
  </si>
  <si>
    <t>6/2/c/0/0</t>
  </si>
  <si>
    <t>7/7/b/0/1.0</t>
  </si>
  <si>
    <t>8/10/c/1/2.0</t>
  </si>
  <si>
    <t>9/0/no/1/0</t>
  </si>
  <si>
    <t>8/3/34/0/1/0</t>
  </si>
  <si>
    <t>8/0/55/0/2/0</t>
  </si>
  <si>
    <t>8/0/23/4/0/0</t>
  </si>
  <si>
    <t>8/2/31/1/2/0</t>
  </si>
  <si>
    <t>3.3/0/5/2/4/0</t>
  </si>
  <si>
    <t>3/0/17/2/0/0</t>
  </si>
  <si>
    <t>Vishwa</t>
  </si>
  <si>
    <t>1/6/lb+/0.1/0</t>
  </si>
  <si>
    <t>4/2/c/1/0</t>
  </si>
  <si>
    <t>5/4/c/0/0</t>
  </si>
  <si>
    <t>6/0/b/1/0</t>
  </si>
  <si>
    <t>7/5/st/0/0</t>
  </si>
  <si>
    <t>3/32/b*/0/3.0</t>
  </si>
  <si>
    <t>8/26/no/0/2.0</t>
  </si>
  <si>
    <t>9/0/b/0/0</t>
  </si>
  <si>
    <t>10/26/no/0/2.0</t>
  </si>
  <si>
    <t>8/2/23/2/0/0</t>
  </si>
  <si>
    <t>8/1/21/1/0/0</t>
  </si>
  <si>
    <t>8/0/27/1/0/0</t>
  </si>
  <si>
    <t>8/0/38/3/0/0</t>
  </si>
  <si>
    <t>4/1/10/1/0/0</t>
  </si>
  <si>
    <t>Worcester Park</t>
  </si>
  <si>
    <t>Wilkinson 53, Cooper 3-29</t>
  </si>
  <si>
    <t>Springer 52, Rivenal 4-26</t>
  </si>
  <si>
    <t>1/32/c/2/6.1</t>
  </si>
  <si>
    <t>2/5/c/0/0</t>
  </si>
  <si>
    <t>4/52/c+*/3.0/5.2</t>
  </si>
  <si>
    <t>5/5/c/0/1.0</t>
  </si>
  <si>
    <t>6/30/b/1/2.1</t>
  </si>
  <si>
    <t>8/2/c/0/0</t>
  </si>
  <si>
    <t>9/0/lb/0/0</t>
  </si>
  <si>
    <t>11/1/c/1/0</t>
  </si>
  <si>
    <t>9/1/33/0/0/0</t>
  </si>
  <si>
    <t>7/1/21/1/2/0</t>
  </si>
  <si>
    <t>12/6/19/2/0/0</t>
  </si>
  <si>
    <t>7/0/40/1/3/0</t>
  </si>
  <si>
    <t>11/3/29/3/0/0</t>
  </si>
  <si>
    <t>4/0/21/0/0/0</t>
  </si>
  <si>
    <t>1/0/6/1/0/0</t>
  </si>
  <si>
    <t>Saints</t>
  </si>
  <si>
    <t>Symes M 48, Springer 3-0</t>
  </si>
  <si>
    <t>Springer 37</t>
  </si>
  <si>
    <t>1/5/b/0/1.0</t>
  </si>
  <si>
    <t>3/37/b*/2/5.0</t>
  </si>
  <si>
    <t>5/16/b/1/3.0</t>
  </si>
  <si>
    <t>6/5/b/0/0</t>
  </si>
  <si>
    <t>7/2/no+/2.0/0</t>
  </si>
  <si>
    <t>8/0/b/1/0</t>
  </si>
  <si>
    <t>9/18/no/0/4.0</t>
  </si>
  <si>
    <t>11/0/dnb/1/0</t>
  </si>
  <si>
    <t>8/3/13/1/2/0</t>
  </si>
  <si>
    <t>8/1/13/2/7/0</t>
  </si>
  <si>
    <t>8/2/22/2/3/0</t>
  </si>
  <si>
    <t>4/1/16/2/2/0</t>
  </si>
  <si>
    <t>2/0/19/0/0/0</t>
  </si>
  <si>
    <t>2/0/0/3/0/0</t>
  </si>
  <si>
    <t>Commonwealth Offices</t>
  </si>
  <si>
    <t>Morraine 5-33</t>
  </si>
  <si>
    <t>Springer 4-9, Mander A 3-23</t>
  </si>
  <si>
    <t>1/12/c/0/1.0</t>
  </si>
  <si>
    <t>2/20/c+/1.1/1.2</t>
  </si>
  <si>
    <t>3/3/b*/0/0</t>
  </si>
  <si>
    <t>4/1/b/2/0</t>
  </si>
  <si>
    <t>5/1/lb/0/0</t>
  </si>
  <si>
    <t>6/6/c/0/0</t>
  </si>
  <si>
    <t>7/6/c/0/1.0</t>
  </si>
  <si>
    <t>8/31/c/0/6.0</t>
  </si>
  <si>
    <t>9/31/no/0/5.0</t>
  </si>
  <si>
    <t>6/0/38/1/1/0</t>
  </si>
  <si>
    <t>7/1/23/3/0/0</t>
  </si>
  <si>
    <t>6/0/24/1/1/0</t>
  </si>
  <si>
    <t>2.5/0/9/4/0/0</t>
  </si>
  <si>
    <t>Downsiders</t>
  </si>
  <si>
    <t>Cooper 40, Wilson 4-14</t>
  </si>
  <si>
    <t>Cornet 34</t>
  </si>
  <si>
    <t>1/8/b+/0/1.0</t>
  </si>
  <si>
    <t>3/3/c/0/0</t>
  </si>
  <si>
    <t>4/19/b/1/3.0</t>
  </si>
  <si>
    <t>5/16/lb*/0/2.0</t>
  </si>
  <si>
    <t>6/10/b/0/2.0</t>
  </si>
  <si>
    <t>7/10/c/0/0</t>
  </si>
  <si>
    <t>8/40/b/0/7.0</t>
  </si>
  <si>
    <t>9/10/ro/0/1.0</t>
  </si>
  <si>
    <t>10/8/hw/0/0.1</t>
  </si>
  <si>
    <t>/hw</t>
  </si>
  <si>
    <t>8/1/28/1/0/0</t>
  </si>
  <si>
    <t>8/2/11/2/0/0</t>
  </si>
  <si>
    <t>7/0/49/0/1/0</t>
  </si>
  <si>
    <t>8/1/30/1/6/1</t>
  </si>
  <si>
    <t>2/0/16/0/1/0</t>
  </si>
  <si>
    <t>4/0/23/1/0/0</t>
  </si>
  <si>
    <t>1.3/1/7/0/1/0</t>
  </si>
  <si>
    <t>Greyling 3-18</t>
  </si>
  <si>
    <t>Springer 70</t>
  </si>
  <si>
    <t>1/35/c/0/6.0</t>
  </si>
  <si>
    <t>3/70/b*/1/14.0</t>
  </si>
  <si>
    <t>6/4/no/0/1.0</t>
  </si>
  <si>
    <t>6/0/18/3/3/0</t>
  </si>
  <si>
    <t>5/3/4/0/0/0</t>
  </si>
  <si>
    <t>4/1/11/1/0/0</t>
  </si>
  <si>
    <t>5/0/24/0/11/0</t>
  </si>
  <si>
    <t>4/1/12/2/4/0</t>
  </si>
  <si>
    <t>Heckroodt P</t>
  </si>
  <si>
    <t>3/0/11/0/2/0</t>
  </si>
  <si>
    <t>4/0/13/1/1/0</t>
  </si>
  <si>
    <t>1.3/1/0/2/0/0</t>
  </si>
  <si>
    <t>Whyteleaf</t>
  </si>
  <si>
    <t>Fish 52</t>
  </si>
  <si>
    <t>Canter 66*, Mander N 5-28</t>
  </si>
  <si>
    <t>1/12/c/0/2.0</t>
  </si>
  <si>
    <t>2/5/c/0/1.0</t>
  </si>
  <si>
    <t>3/6/ro/1/1.0</t>
  </si>
  <si>
    <t>4/12/b/0/3.0</t>
  </si>
  <si>
    <t>5/7/c+*/2.0/0</t>
  </si>
  <si>
    <t>6/15/c/1/2.0</t>
  </si>
  <si>
    <t>7/19/c/0/3.0</t>
  </si>
  <si>
    <t>8/52/b/0/9.0</t>
  </si>
  <si>
    <t>9/0/b/1/0</t>
  </si>
  <si>
    <t>7/0/35/1/1/0</t>
  </si>
  <si>
    <t>5/0/14/0/0/0</t>
  </si>
  <si>
    <t>5/0/22/0/1/0</t>
  </si>
  <si>
    <t>8/2/28/5/0/0</t>
  </si>
  <si>
    <t>4/1/16/1/1/0</t>
  </si>
  <si>
    <t>2.1/1/11/0/0/0</t>
  </si>
  <si>
    <t>Addington 1743</t>
  </si>
  <si>
    <t>Mander N 93</t>
  </si>
  <si>
    <t>Springer 3-8</t>
  </si>
  <si>
    <t>1/93/ro+/0.1/14.1</t>
  </si>
  <si>
    <t>2/0/b/2/0</t>
  </si>
  <si>
    <t>3/20/b/0/2.0</t>
  </si>
  <si>
    <t>4/36/c*/1/5.0</t>
  </si>
  <si>
    <t>5/0/b/2/0</t>
  </si>
  <si>
    <t>6/12/c/0/0</t>
  </si>
  <si>
    <t>7/4/b/0/1.0</t>
  </si>
  <si>
    <t>8/15/no/0/3.0</t>
  </si>
  <si>
    <t>9/0/ro/1/0</t>
  </si>
  <si>
    <t>8/0/25/1/1/0</t>
  </si>
  <si>
    <t>8/1/41/1/3/0</t>
  </si>
  <si>
    <t>6/0/35/3/4/0</t>
  </si>
  <si>
    <t>4/1/12/0/1/0</t>
  </si>
  <si>
    <t>3/0/19/1/0/0</t>
  </si>
  <si>
    <t>4/0/21/1/0/3</t>
  </si>
  <si>
    <t>2.1/0/8/3/0/0</t>
  </si>
  <si>
    <t>Elliston 4-30</t>
  </si>
  <si>
    <t>Mander N 44</t>
  </si>
  <si>
    <t>2/6/c*/1/0</t>
  </si>
  <si>
    <t>3/20/b/0/0</t>
  </si>
  <si>
    <t>4/3/b/1/0</t>
  </si>
  <si>
    <t>5/44/b/0/4.0</t>
  </si>
  <si>
    <t>6/19/b+/3.1/3.0</t>
  </si>
  <si>
    <t>7/9/no/0/1.0</t>
  </si>
  <si>
    <t>9/21/no/1/1.2</t>
  </si>
  <si>
    <t>8/4/11/1/6/0</t>
  </si>
  <si>
    <t>8/1/26/2/3/0</t>
  </si>
  <si>
    <t>5/0/14/3/1/0</t>
  </si>
  <si>
    <t>8/0/31/1/4/0</t>
  </si>
  <si>
    <t>5/1/25/0/3/0</t>
  </si>
  <si>
    <t>2.1/0/6/2/0/0</t>
  </si>
  <si>
    <t>1/0/17/0/1/0</t>
  </si>
  <si>
    <t>East Cheam &amp; St Helier</t>
  </si>
  <si>
    <t>6/1/22/3/0/0</t>
  </si>
  <si>
    <t>8/3/27/2/2/0</t>
  </si>
  <si>
    <t>5/0/30/0/4/0</t>
  </si>
  <si>
    <t>7.2/0/30/4/1/0</t>
  </si>
  <si>
    <t>5/0/37/1/2/0</t>
  </si>
  <si>
    <t>Dolbear 53, Springer 3-14</t>
  </si>
  <si>
    <t>Cox 72</t>
  </si>
  <si>
    <t>1/6/lb/1/1.0</t>
  </si>
  <si>
    <t>2/3/b/0/0</t>
  </si>
  <si>
    <t>3/8/c/0/0</t>
  </si>
  <si>
    <t>4/72/c/1/10.0</t>
  </si>
  <si>
    <t>5/35/b*/0/5.0</t>
  </si>
  <si>
    <t>6/1/no/0/0</t>
  </si>
  <si>
    <t>9/0/dnb/2/0</t>
  </si>
  <si>
    <t>Pretenders</t>
  </si>
  <si>
    <t>Mander N 88, Owen 60*</t>
  </si>
  <si>
    <t>Owen B</t>
  </si>
  <si>
    <t>2/88/lb/0/15.0</t>
  </si>
  <si>
    <t>3/0/b/0/0</t>
  </si>
  <si>
    <t>Marks J</t>
  </si>
  <si>
    <t>4/3/no/0/0</t>
  </si>
  <si>
    <t>7/0/dnb+*/3.1/0</t>
  </si>
  <si>
    <t>Davies A</t>
  </si>
  <si>
    <t>5/2/11/2/2/0</t>
  </si>
  <si>
    <t>5.2/1/17/2/2/0</t>
  </si>
  <si>
    <t>5/2/18/0/0/0</t>
  </si>
  <si>
    <t>5/1/10/1/0/0</t>
  </si>
  <si>
    <t>5/1/21/1/4/0</t>
  </si>
  <si>
    <t>5/1/19/2/0/0</t>
  </si>
  <si>
    <t>4/0/33/1/0/0</t>
  </si>
  <si>
    <t>1/0/15/0/1/0</t>
  </si>
  <si>
    <t>2/0/19/0/3/0</t>
  </si>
  <si>
    <t>1/60/no/0/8.0</t>
  </si>
  <si>
    <t>2003 Season</t>
  </si>
  <si>
    <t>5-28</t>
  </si>
  <si>
    <t>4-9</t>
  </si>
  <si>
    <t>5-39</t>
  </si>
  <si>
    <t>4-23</t>
  </si>
  <si>
    <t>3-23</t>
  </si>
  <si>
    <t>4-17</t>
  </si>
  <si>
    <t>1-18</t>
  </si>
  <si>
    <t>3-12</t>
  </si>
  <si>
    <t>4-27</t>
  </si>
  <si>
    <t>3-29</t>
  </si>
  <si>
    <t>4-30</t>
  </si>
  <si>
    <t>2-11</t>
  </si>
  <si>
    <t>3-33</t>
  </si>
  <si>
    <t>2-12</t>
  </si>
  <si>
    <t>1-28</t>
  </si>
  <si>
    <t>3-27</t>
  </si>
  <si>
    <t>1-23</t>
  </si>
  <si>
    <t>1-14</t>
  </si>
  <si>
    <t>1-21</t>
  </si>
  <si>
    <t/>
  </si>
  <si>
    <t>0-19</t>
  </si>
  <si>
    <t>0-15</t>
  </si>
  <si>
    <t>0-11</t>
  </si>
  <si>
    <t>0-40</t>
  </si>
  <si>
    <t>1-33</t>
  </si>
  <si>
    <t>4/5/no+/0/0</t>
  </si>
  <si>
    <t>4/28/no+/0/2.0</t>
  </si>
  <si>
    <t>7/0/no+/0/0</t>
  </si>
  <si>
    <t>Piper-Masha S</t>
  </si>
  <si>
    <t>6/1/25/1/6/1</t>
  </si>
  <si>
    <t>2/11/c/2/0</t>
  </si>
  <si>
    <t>Old Tennysonians</t>
  </si>
  <si>
    <t>7/0/53/0/0/0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</si>
</sst>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19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i/>
      <sz val="8"/>
      <name val="Verdana"/>
      <family val="2"/>
    </font>
    <font>
      <b/>
      <sz val="8"/>
      <color indexed="9"/>
      <name val="Verdana"/>
      <family val="2"/>
    </font>
    <font>
      <b/>
      <sz val="8"/>
      <color indexed="9"/>
      <name val="Arial"/>
      <family val="2"/>
    </font>
    <font>
      <b/>
      <i/>
      <sz val="10"/>
      <name val="Verdana"/>
      <family val="2"/>
    </font>
    <font>
      <sz val="1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31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164" fontId="7" fillId="0" borderId="2" xfId="0" applyNumberFormat="1" applyFont="1" applyBorder="1" applyAlignment="1">
      <alignment horizontal="center"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2" fontId="10" fillId="0" borderId="0" xfId="0" applyNumberFormat="1" applyFont="1">
      <alignment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165" fontId="7" fillId="0" borderId="2" xfId="0" applyNumberFormat="1" applyFont="1" applyBorder="1" applyAlignment="1">
      <alignment vertical="top" wrapText="1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13" fillId="3" borderId="9" xfId="0" applyFont="1" applyFill="1" applyBorder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14" fillId="0" borderId="2" xfId="0" applyFont="1" applyBorder="1" applyAlignment="1">
      <alignment vertical="top" wrapText="1"/>
    </xf>
    <xf numFmtId="0" fontId="15" fillId="7" borderId="4" xfId="0" applyFont="1" applyFill="1" applyBorder="1" applyAlignment="1">
      <alignment horizontal="center" vertical="top" wrapText="1"/>
    </xf>
    <xf numFmtId="15" fontId="15" fillId="7" borderId="4" xfId="0" applyNumberFormat="1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vertical="top" wrapText="1"/>
    </xf>
    <xf numFmtId="0" fontId="15" fillId="7" borderId="4" xfId="0" applyFont="1" applyFill="1" applyBorder="1" applyAlignment="1">
      <alignment horizontal="left" vertical="top" wrapText="1"/>
    </xf>
    <xf numFmtId="0" fontId="15" fillId="7" borderId="4" xfId="0" applyFont="1" applyFill="1" applyBorder="1" applyAlignment="1">
      <alignment horizontal="right" vertical="top" wrapText="1"/>
    </xf>
    <xf numFmtId="0" fontId="16" fillId="7" borderId="4" xfId="0" applyFont="1" applyFill="1" applyBorder="1" applyAlignment="1">
      <alignment horizontal="right" vertical="top" wrapText="1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2" fontId="0" fillId="0" borderId="0" xfId="0" applyNumberFormat="1">
      <alignment vertical="top"/>
    </xf>
    <xf numFmtId="0" fontId="18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0" fontId="10" fillId="4" borderId="0" xfId="0" applyFont="1" applyFill="1">
      <alignment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" fontId="0" fillId="0" borderId="0" xfId="0" applyNumberFormat="1">
      <alignment vertical="top"/>
    </xf>
  </cellXfs>
  <cellStyles count="2">
    <cellStyle name="Normal" xfId="0" builtinId="0"/>
    <cellStyle name="Percent" xfId="1" builtinId="5"/>
  </cellStyles>
  <dxfs count="6"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67"/>
  <sheetViews>
    <sheetView workbookViewId="0">
      <pane xSplit="3" ySplit="4" topLeftCell="O5" activePane="bottomRight" state="frozenSplit"/>
      <selection pane="topRight" activeCell="O1" sqref="O1"/>
      <selection pane="bottomLeft" activeCell="K43" sqref="K43"/>
      <selection pane="bottomRight" activeCell="P43" sqref="P43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107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0" s="22" customFormat="1" ht="12.75" x14ac:dyDescent="0.15">
      <c r="A1" s="120" t="s">
        <v>878</v>
      </c>
      <c r="B1" s="29"/>
      <c r="C1" s="39" t="str">
        <f t="array" ref="C1">"Won:"&amp;SUM(IF($E$5:$E$67="W",1,0))</f>
        <v>Won:12</v>
      </c>
      <c r="D1" s="119" t="str">
        <f t="array" ref="D1">"N/D:"&amp;SUM(IF($E$5:$E$67="ND",1,0))</f>
        <v>N/D:0</v>
      </c>
      <c r="E1" s="30"/>
      <c r="F1" s="30"/>
      <c r="H1" s="65"/>
      <c r="J1" s="108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0" s="45" customFormat="1" x14ac:dyDescent="0.15">
      <c r="A2" s="40"/>
      <c r="B2" s="41"/>
      <c r="C2" s="39" t="str">
        <f t="array" ref="C2">"Lost:"&amp;SUM(IF($E$5:$E$67="L",1,0))</f>
        <v>Lost:17</v>
      </c>
      <c r="D2" s="66" t="str">
        <f t="array" ref="D2">"Tied:"&amp;SUM(IF($E$5:$E$67="T",1,0))</f>
        <v>Tied:0</v>
      </c>
      <c r="E2" s="42"/>
      <c r="F2" s="42"/>
      <c r="G2" s="64"/>
      <c r="H2" s="66"/>
      <c r="J2" s="109"/>
      <c r="K2" s="40"/>
      <c r="L2" s="42"/>
      <c r="M2" s="42"/>
      <c r="N2" s="43"/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256</v>
      </c>
      <c r="AA2" s="45">
        <f>MAX(AA5:AA59)</f>
        <v>233</v>
      </c>
      <c r="AB2" s="45">
        <f>MAX(AB5:AB59)</f>
        <v>286</v>
      </c>
    </row>
    <row r="3" spans="1:30" s="45" customFormat="1" ht="12" thickBot="1" x14ac:dyDescent="0.2">
      <c r="A3" s="40"/>
      <c r="B3" s="41"/>
      <c r="C3" s="39" t="str">
        <f t="array" ref="C3">"Drawn:"&amp;SUM(IF($E$5:$E$67="D",1,0))</f>
        <v>Drawn:6</v>
      </c>
      <c r="D3" s="42"/>
      <c r="E3" s="42"/>
      <c r="F3" s="42"/>
      <c r="G3" s="40"/>
      <c r="H3" s="42"/>
      <c r="I3" s="40"/>
      <c r="J3" s="104"/>
      <c r="K3" s="40"/>
      <c r="L3" s="42"/>
      <c r="M3" s="42"/>
      <c r="N3" s="43"/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257</v>
      </c>
      <c r="AA3" s="45">
        <f t="array" ref="AA3">MIN(IF(AA5:AA59=0,99999,AA5:AA59))</f>
        <v>23</v>
      </c>
      <c r="AB3" s="45">
        <f t="array" ref="AB3">MIN(IF(AB5:AB59&lt;=0,99999,AB5:AB59))</f>
        <v>66</v>
      </c>
    </row>
    <row r="4" spans="1:30" s="46" customFormat="1" ht="23.25" thickBot="1" x14ac:dyDescent="0.2">
      <c r="A4" s="112" t="s">
        <v>139</v>
      </c>
      <c r="B4" s="113" t="s">
        <v>0</v>
      </c>
      <c r="C4" s="114" t="s">
        <v>1</v>
      </c>
      <c r="D4" s="112" t="s">
        <v>2</v>
      </c>
      <c r="E4" s="112" t="s">
        <v>3</v>
      </c>
      <c r="F4" s="112" t="s">
        <v>177</v>
      </c>
      <c r="G4" s="114" t="s">
        <v>9</v>
      </c>
      <c r="H4" s="112" t="s">
        <v>41</v>
      </c>
      <c r="I4" s="112" t="s">
        <v>115</v>
      </c>
      <c r="J4" s="115"/>
      <c r="K4" s="114" t="s">
        <v>9</v>
      </c>
      <c r="L4" s="112" t="s">
        <v>41</v>
      </c>
      <c r="M4" s="112" t="s">
        <v>115</v>
      </c>
      <c r="N4" s="114"/>
      <c r="O4" s="114" t="s">
        <v>213</v>
      </c>
      <c r="P4" s="114" t="s">
        <v>214</v>
      </c>
      <c r="Q4" s="114" t="s">
        <v>117</v>
      </c>
      <c r="R4" s="116" t="s">
        <v>118</v>
      </c>
      <c r="S4" s="116" t="s">
        <v>119</v>
      </c>
      <c r="T4" s="116" t="s">
        <v>120</v>
      </c>
      <c r="U4" s="116" t="s">
        <v>121</v>
      </c>
      <c r="V4" s="116" t="s">
        <v>122</v>
      </c>
      <c r="W4" s="116" t="s">
        <v>123</v>
      </c>
      <c r="X4" s="116" t="s">
        <v>124</v>
      </c>
      <c r="Y4" s="117" t="s">
        <v>129</v>
      </c>
      <c r="Z4" s="117" t="s">
        <v>130</v>
      </c>
      <c r="AA4" s="46" t="s">
        <v>239</v>
      </c>
      <c r="AB4" s="46" t="s">
        <v>240</v>
      </c>
      <c r="AC4" s="46" t="s">
        <v>241</v>
      </c>
      <c r="AD4" s="46" t="s">
        <v>242</v>
      </c>
    </row>
    <row r="5" spans="1:30" s="22" customFormat="1" x14ac:dyDescent="0.15">
      <c r="A5" s="63" t="str">
        <f t="shared" ref="A5:A59" si="0">TEXT(WEEKDAY(B5),"ddd")</f>
        <v>Sat</v>
      </c>
      <c r="B5" s="29">
        <v>37744</v>
      </c>
      <c r="C5" s="31" t="s">
        <v>261</v>
      </c>
      <c r="D5" s="30" t="s">
        <v>226</v>
      </c>
      <c r="E5" s="30" t="s">
        <v>227</v>
      </c>
      <c r="F5" s="30" t="s">
        <v>1</v>
      </c>
      <c r="G5" s="28">
        <v>77</v>
      </c>
      <c r="H5" s="30">
        <v>10</v>
      </c>
      <c r="I5" s="30"/>
      <c r="J5" s="105" t="s">
        <v>262</v>
      </c>
      <c r="K5" s="28">
        <v>78</v>
      </c>
      <c r="L5" s="30">
        <v>1</v>
      </c>
      <c r="M5" s="30"/>
      <c r="N5" s="31" t="s">
        <v>263</v>
      </c>
      <c r="O5" s="91">
        <v>18</v>
      </c>
      <c r="P5" s="91">
        <v>42.3</v>
      </c>
      <c r="Q5" s="32">
        <v>3</v>
      </c>
      <c r="R5" s="32">
        <v>1</v>
      </c>
      <c r="S5" s="32">
        <v>6</v>
      </c>
      <c r="T5" s="32">
        <v>3</v>
      </c>
      <c r="U5" s="32">
        <v>2</v>
      </c>
      <c r="V5" s="32">
        <v>0</v>
      </c>
      <c r="W5" s="32">
        <v>2</v>
      </c>
      <c r="X5" s="32">
        <v>1</v>
      </c>
      <c r="Y5" s="22">
        <f>SUM(Q5:T5)</f>
        <v>13</v>
      </c>
      <c r="Z5" s="22">
        <f>SUM(U5:X5)</f>
        <v>5</v>
      </c>
      <c r="AA5" s="22">
        <f>IF(F5="TOCC",G5,K5)</f>
        <v>78</v>
      </c>
      <c r="AB5" s="22">
        <f>IF(F5&lt;&gt;"TOCC",G5,K5)</f>
        <v>77</v>
      </c>
      <c r="AC5" s="22">
        <f>IF(F5="TOCC",H5,L5)</f>
        <v>1</v>
      </c>
      <c r="AD5" s="22">
        <f>IF(F5&lt;&gt;"TOCC",H5,L5)</f>
        <v>10</v>
      </c>
    </row>
    <row r="6" spans="1:30" s="51" customFormat="1" x14ac:dyDescent="0.15">
      <c r="A6" s="63" t="str">
        <f>TEXT(WEEKDAY(B6),"ddd")</f>
        <v>Sun</v>
      </c>
      <c r="B6" s="29">
        <v>37745</v>
      </c>
      <c r="C6" s="31" t="s">
        <v>550</v>
      </c>
      <c r="D6" s="30" t="s">
        <v>226</v>
      </c>
      <c r="E6" s="30" t="s">
        <v>227</v>
      </c>
      <c r="F6" s="30" t="s">
        <v>1</v>
      </c>
      <c r="G6" s="28">
        <v>119</v>
      </c>
      <c r="H6" s="30">
        <v>10</v>
      </c>
      <c r="I6" s="30"/>
      <c r="J6" s="105" t="s">
        <v>551</v>
      </c>
      <c r="K6" s="28">
        <v>120</v>
      </c>
      <c r="L6" s="30">
        <v>3</v>
      </c>
      <c r="M6" s="30"/>
      <c r="N6" s="31" t="s">
        <v>552</v>
      </c>
      <c r="O6" s="91">
        <v>28.4</v>
      </c>
      <c r="P6" s="91">
        <v>34.4</v>
      </c>
      <c r="Q6" s="32">
        <v>7</v>
      </c>
      <c r="R6" s="32">
        <v>0</v>
      </c>
      <c r="S6" s="32">
        <v>9</v>
      </c>
      <c r="T6" s="32">
        <v>1</v>
      </c>
      <c r="U6" s="32">
        <v>2</v>
      </c>
      <c r="V6" s="32">
        <v>2</v>
      </c>
      <c r="W6" s="32">
        <v>13</v>
      </c>
      <c r="X6" s="32">
        <v>5</v>
      </c>
      <c r="Y6" s="22">
        <f t="shared" ref="Y6:Y59" si="1">SUM(Q6:T6)</f>
        <v>17</v>
      </c>
      <c r="Z6" s="22">
        <f t="shared" ref="Z6:Z59" si="2">SUM(U6:X6)</f>
        <v>22</v>
      </c>
      <c r="AA6" s="22">
        <f t="shared" ref="AA6:AA59" si="3">IF(F6="TOCC",G6,K6)</f>
        <v>120</v>
      </c>
      <c r="AB6" s="22">
        <f t="shared" ref="AB6:AB59" si="4">IF(F6&lt;&gt;"TOCC",G6,K6)</f>
        <v>119</v>
      </c>
      <c r="AC6" s="22">
        <f t="shared" ref="AC6:AC59" si="5">IF(F6="TOCC",H6,L6)</f>
        <v>3</v>
      </c>
      <c r="AD6" s="22">
        <f t="shared" ref="AD6:AD59" si="6">IF(F6&lt;&gt;"TOCC",H6,L6)</f>
        <v>10</v>
      </c>
    </row>
    <row r="7" spans="1:30" s="45" customFormat="1" x14ac:dyDescent="0.15">
      <c r="A7" s="63" t="str">
        <f t="shared" si="0"/>
        <v>Sat</v>
      </c>
      <c r="B7" s="29">
        <v>37751</v>
      </c>
      <c r="C7" s="31" t="s">
        <v>275</v>
      </c>
      <c r="D7" s="30" t="s">
        <v>226</v>
      </c>
      <c r="E7" s="30" t="s">
        <v>277</v>
      </c>
      <c r="F7" s="30" t="s">
        <v>276</v>
      </c>
      <c r="G7" s="28">
        <v>99</v>
      </c>
      <c r="H7" s="30">
        <v>10</v>
      </c>
      <c r="I7" s="30"/>
      <c r="J7" s="105" t="s">
        <v>278</v>
      </c>
      <c r="K7" s="28">
        <v>101</v>
      </c>
      <c r="L7" s="30">
        <v>6</v>
      </c>
      <c r="M7" s="30"/>
      <c r="N7" s="31" t="s">
        <v>279</v>
      </c>
      <c r="O7" s="91">
        <v>31.5</v>
      </c>
      <c r="P7" s="91">
        <v>40.4</v>
      </c>
      <c r="Q7" s="32">
        <v>3</v>
      </c>
      <c r="R7" s="32">
        <v>0</v>
      </c>
      <c r="S7" s="32">
        <v>5</v>
      </c>
      <c r="T7" s="32">
        <v>3</v>
      </c>
      <c r="U7" s="32">
        <v>6</v>
      </c>
      <c r="V7" s="32">
        <v>0</v>
      </c>
      <c r="W7" s="32">
        <v>3</v>
      </c>
      <c r="X7" s="32">
        <v>0</v>
      </c>
      <c r="Y7" s="22">
        <f t="shared" si="1"/>
        <v>11</v>
      </c>
      <c r="Z7" s="22">
        <f t="shared" si="2"/>
        <v>9</v>
      </c>
      <c r="AA7" s="22">
        <f t="shared" si="3"/>
        <v>99</v>
      </c>
      <c r="AB7" s="22">
        <f t="shared" si="4"/>
        <v>101</v>
      </c>
      <c r="AC7" s="22">
        <f t="shared" si="5"/>
        <v>10</v>
      </c>
      <c r="AD7" s="22">
        <f t="shared" si="6"/>
        <v>6</v>
      </c>
    </row>
    <row r="8" spans="1:30" s="51" customFormat="1" x14ac:dyDescent="0.15">
      <c r="A8" s="63" t="str">
        <f t="shared" si="0"/>
        <v>Sun</v>
      </c>
      <c r="B8" s="29">
        <v>37752</v>
      </c>
      <c r="C8" s="31" t="s">
        <v>584</v>
      </c>
      <c r="D8" s="30" t="s">
        <v>297</v>
      </c>
      <c r="E8" s="30" t="s">
        <v>368</v>
      </c>
      <c r="F8" s="30" t="s">
        <v>1</v>
      </c>
      <c r="G8" s="28">
        <v>169</v>
      </c>
      <c r="H8" s="30">
        <v>8</v>
      </c>
      <c r="I8" s="30"/>
      <c r="J8" s="105" t="s">
        <v>566</v>
      </c>
      <c r="K8" s="28">
        <v>132</v>
      </c>
      <c r="L8" s="30">
        <v>9</v>
      </c>
      <c r="M8" s="30"/>
      <c r="N8" s="31" t="s">
        <v>567</v>
      </c>
      <c r="O8" s="91">
        <v>38</v>
      </c>
      <c r="P8" s="91">
        <v>43</v>
      </c>
      <c r="Q8" s="32">
        <v>16</v>
      </c>
      <c r="R8" s="32">
        <v>6</v>
      </c>
      <c r="S8" s="32">
        <v>10</v>
      </c>
      <c r="T8" s="32">
        <v>3</v>
      </c>
      <c r="U8" s="32">
        <v>17</v>
      </c>
      <c r="V8" s="32">
        <v>3</v>
      </c>
      <c r="W8" s="32">
        <v>13</v>
      </c>
      <c r="X8" s="32">
        <v>2</v>
      </c>
      <c r="Y8" s="22">
        <f t="shared" si="1"/>
        <v>35</v>
      </c>
      <c r="Z8" s="22">
        <f t="shared" si="2"/>
        <v>35</v>
      </c>
      <c r="AA8" s="22">
        <f t="shared" si="3"/>
        <v>132</v>
      </c>
      <c r="AB8" s="22">
        <f t="shared" si="4"/>
        <v>169</v>
      </c>
      <c r="AC8" s="22">
        <f t="shared" si="5"/>
        <v>9</v>
      </c>
      <c r="AD8" s="22">
        <f t="shared" si="6"/>
        <v>8</v>
      </c>
    </row>
    <row r="9" spans="1:30" s="45" customFormat="1" x14ac:dyDescent="0.15">
      <c r="A9" s="63" t="str">
        <f t="shared" si="0"/>
        <v>Sat</v>
      </c>
      <c r="B9" s="29">
        <v>37758</v>
      </c>
      <c r="C9" s="31"/>
      <c r="D9" s="30"/>
      <c r="E9" s="30"/>
      <c r="F9" s="30"/>
      <c r="G9" s="28"/>
      <c r="H9" s="30"/>
      <c r="I9" s="30"/>
      <c r="J9" s="105"/>
      <c r="K9" s="28"/>
      <c r="L9" s="30"/>
      <c r="M9" s="30"/>
      <c r="N9" s="31"/>
      <c r="O9" s="91"/>
      <c r="P9" s="91"/>
      <c r="Q9" s="32"/>
      <c r="R9" s="32"/>
      <c r="S9" s="32"/>
      <c r="T9" s="32"/>
      <c r="U9" s="32"/>
      <c r="V9" s="32"/>
      <c r="W9" s="32"/>
      <c r="X9" s="32"/>
      <c r="Y9" s="22">
        <f t="shared" si="1"/>
        <v>0</v>
      </c>
      <c r="Z9" s="22">
        <f t="shared" si="2"/>
        <v>0</v>
      </c>
      <c r="AA9" s="22">
        <f t="shared" si="3"/>
        <v>0</v>
      </c>
      <c r="AB9" s="22">
        <f t="shared" si="4"/>
        <v>0</v>
      </c>
      <c r="AC9" s="22">
        <f t="shared" si="5"/>
        <v>0</v>
      </c>
      <c r="AD9" s="22">
        <f t="shared" si="6"/>
        <v>0</v>
      </c>
    </row>
    <row r="10" spans="1:30" x14ac:dyDescent="0.15">
      <c r="A10" s="63" t="str">
        <f t="shared" si="0"/>
        <v>Sun</v>
      </c>
      <c r="B10" s="29">
        <v>37759</v>
      </c>
      <c r="C10" s="31" t="s">
        <v>585</v>
      </c>
      <c r="D10" s="30" t="s">
        <v>226</v>
      </c>
      <c r="E10" s="30" t="s">
        <v>227</v>
      </c>
      <c r="F10" s="30" t="s">
        <v>276</v>
      </c>
      <c r="G10" s="28">
        <v>168</v>
      </c>
      <c r="H10" s="30">
        <v>9</v>
      </c>
      <c r="I10" s="30"/>
      <c r="J10" s="105" t="s">
        <v>586</v>
      </c>
      <c r="K10" s="28">
        <v>98</v>
      </c>
      <c r="L10" s="30">
        <v>10</v>
      </c>
      <c r="M10" s="30"/>
      <c r="N10" s="31" t="s">
        <v>587</v>
      </c>
      <c r="O10" s="91">
        <v>40</v>
      </c>
      <c r="P10" s="91">
        <v>33</v>
      </c>
      <c r="Q10" s="32">
        <v>15</v>
      </c>
      <c r="R10" s="32">
        <v>6</v>
      </c>
      <c r="S10" s="32">
        <v>10</v>
      </c>
      <c r="T10" s="32">
        <v>10</v>
      </c>
      <c r="U10" s="32">
        <v>1</v>
      </c>
      <c r="V10" s="32">
        <v>0</v>
      </c>
      <c r="W10" s="32">
        <v>11</v>
      </c>
      <c r="X10" s="32">
        <v>4</v>
      </c>
      <c r="Y10" s="22">
        <f t="shared" si="1"/>
        <v>41</v>
      </c>
      <c r="Z10" s="22">
        <f t="shared" si="2"/>
        <v>16</v>
      </c>
      <c r="AA10" s="22">
        <f t="shared" si="3"/>
        <v>168</v>
      </c>
      <c r="AB10" s="22">
        <f t="shared" si="4"/>
        <v>98</v>
      </c>
      <c r="AC10" s="22">
        <f t="shared" si="5"/>
        <v>9</v>
      </c>
      <c r="AD10" s="22">
        <f t="shared" si="6"/>
        <v>10</v>
      </c>
    </row>
    <row r="11" spans="1:30" x14ac:dyDescent="0.15">
      <c r="A11" s="63" t="str">
        <f t="shared" si="0"/>
        <v>Sat</v>
      </c>
      <c r="B11" s="29">
        <v>37765</v>
      </c>
      <c r="C11" s="31" t="s">
        <v>296</v>
      </c>
      <c r="D11" s="30" t="s">
        <v>297</v>
      </c>
      <c r="E11" s="30" t="s">
        <v>277</v>
      </c>
      <c r="F11" s="30" t="s">
        <v>1</v>
      </c>
      <c r="G11" s="28">
        <v>136</v>
      </c>
      <c r="H11" s="30">
        <v>9</v>
      </c>
      <c r="I11" s="30"/>
      <c r="J11" s="105" t="s">
        <v>298</v>
      </c>
      <c r="K11" s="28">
        <v>93</v>
      </c>
      <c r="L11" s="30">
        <v>10</v>
      </c>
      <c r="M11" s="30"/>
      <c r="N11" s="31" t="s">
        <v>299</v>
      </c>
      <c r="O11" s="91">
        <v>26.2</v>
      </c>
      <c r="P11" s="91">
        <v>49</v>
      </c>
      <c r="Q11" s="32">
        <v>12</v>
      </c>
      <c r="R11" s="32">
        <v>2</v>
      </c>
      <c r="S11" s="32">
        <v>5</v>
      </c>
      <c r="T11" s="32">
        <v>2</v>
      </c>
      <c r="U11" s="32">
        <v>12</v>
      </c>
      <c r="V11" s="32">
        <v>0</v>
      </c>
      <c r="W11" s="32">
        <v>6</v>
      </c>
      <c r="X11" s="32">
        <v>0</v>
      </c>
      <c r="Y11" s="22">
        <f t="shared" si="1"/>
        <v>21</v>
      </c>
      <c r="Z11" s="22">
        <f t="shared" si="2"/>
        <v>18</v>
      </c>
      <c r="AA11" s="22">
        <f t="shared" si="3"/>
        <v>93</v>
      </c>
      <c r="AB11" s="22">
        <f t="shared" si="4"/>
        <v>136</v>
      </c>
      <c r="AC11" s="22">
        <f t="shared" si="5"/>
        <v>10</v>
      </c>
      <c r="AD11" s="22">
        <f t="shared" si="6"/>
        <v>9</v>
      </c>
    </row>
    <row r="12" spans="1:30" x14ac:dyDescent="0.15">
      <c r="A12" s="63" t="str">
        <f t="shared" si="0"/>
        <v>Sun</v>
      </c>
      <c r="B12" s="29">
        <v>37766</v>
      </c>
      <c r="C12" s="31" t="s">
        <v>605</v>
      </c>
      <c r="D12" s="30" t="s">
        <v>297</v>
      </c>
      <c r="E12" s="30" t="s">
        <v>277</v>
      </c>
      <c r="F12" s="30" t="s">
        <v>276</v>
      </c>
      <c r="G12" s="28">
        <v>107</v>
      </c>
      <c r="H12" s="30">
        <v>10</v>
      </c>
      <c r="I12" s="30"/>
      <c r="J12" s="105" t="s">
        <v>606</v>
      </c>
      <c r="K12" s="28">
        <v>111</v>
      </c>
      <c r="L12" s="30">
        <v>8</v>
      </c>
      <c r="M12" s="30"/>
      <c r="N12" s="31" t="s">
        <v>607</v>
      </c>
      <c r="O12" s="91">
        <v>38</v>
      </c>
      <c r="P12" s="91">
        <v>37.4</v>
      </c>
      <c r="Q12" s="32">
        <v>19</v>
      </c>
      <c r="R12" s="32">
        <v>1</v>
      </c>
      <c r="S12" s="32">
        <v>7</v>
      </c>
      <c r="T12" s="32">
        <v>2</v>
      </c>
      <c r="U12" s="32">
        <v>8</v>
      </c>
      <c r="V12" s="32">
        <v>1</v>
      </c>
      <c r="W12" s="32">
        <v>6</v>
      </c>
      <c r="X12" s="32">
        <v>1</v>
      </c>
      <c r="Y12" s="22">
        <f t="shared" si="1"/>
        <v>29</v>
      </c>
      <c r="Z12" s="22">
        <f t="shared" si="2"/>
        <v>16</v>
      </c>
      <c r="AA12" s="22">
        <f t="shared" si="3"/>
        <v>107</v>
      </c>
      <c r="AB12" s="22">
        <f t="shared" si="4"/>
        <v>111</v>
      </c>
      <c r="AC12" s="22">
        <f t="shared" si="5"/>
        <v>10</v>
      </c>
      <c r="AD12" s="22">
        <f t="shared" si="6"/>
        <v>8</v>
      </c>
    </row>
    <row r="13" spans="1:30" x14ac:dyDescent="0.15">
      <c r="A13" s="63" t="str">
        <f t="shared" si="0"/>
        <v>Mon</v>
      </c>
      <c r="B13" s="29">
        <v>37767</v>
      </c>
      <c r="C13" s="31" t="s">
        <v>623</v>
      </c>
      <c r="D13" s="30" t="s">
        <v>297</v>
      </c>
      <c r="E13" s="30" t="s">
        <v>368</v>
      </c>
      <c r="F13" s="30" t="s">
        <v>276</v>
      </c>
      <c r="G13" s="28">
        <v>155</v>
      </c>
      <c r="H13" s="30">
        <v>8</v>
      </c>
      <c r="I13" s="30"/>
      <c r="J13" s="105" t="s">
        <v>624</v>
      </c>
      <c r="K13" s="28">
        <v>150</v>
      </c>
      <c r="L13" s="30">
        <v>7</v>
      </c>
      <c r="M13" s="30"/>
      <c r="N13" s="31" t="s">
        <v>625</v>
      </c>
      <c r="O13" s="91">
        <v>39</v>
      </c>
      <c r="P13" s="91">
        <v>37</v>
      </c>
      <c r="Q13" s="32">
        <v>8</v>
      </c>
      <c r="R13" s="32">
        <v>5</v>
      </c>
      <c r="S13" s="32">
        <v>0</v>
      </c>
      <c r="T13" s="32">
        <v>6</v>
      </c>
      <c r="U13" s="32">
        <v>17</v>
      </c>
      <c r="V13" s="32">
        <v>13</v>
      </c>
      <c r="W13" s="32">
        <v>3</v>
      </c>
      <c r="X13" s="32">
        <v>6</v>
      </c>
      <c r="Y13" s="22">
        <f t="shared" si="1"/>
        <v>19</v>
      </c>
      <c r="Z13" s="22">
        <f t="shared" si="2"/>
        <v>39</v>
      </c>
      <c r="AA13" s="22">
        <f t="shared" si="3"/>
        <v>155</v>
      </c>
      <c r="AB13" s="22">
        <f t="shared" si="4"/>
        <v>150</v>
      </c>
      <c r="AC13" s="22">
        <f t="shared" si="5"/>
        <v>8</v>
      </c>
      <c r="AD13" s="22">
        <f t="shared" si="6"/>
        <v>7</v>
      </c>
    </row>
    <row r="14" spans="1:30" x14ac:dyDescent="0.15">
      <c r="A14" s="63" t="str">
        <f t="shared" si="0"/>
        <v>Tue</v>
      </c>
      <c r="B14" s="29">
        <v>37768</v>
      </c>
      <c r="C14" s="31" t="s">
        <v>642</v>
      </c>
      <c r="D14" s="30" t="s">
        <v>297</v>
      </c>
      <c r="E14" s="30" t="s">
        <v>277</v>
      </c>
      <c r="F14" s="30" t="s">
        <v>276</v>
      </c>
      <c r="G14" s="28">
        <v>160</v>
      </c>
      <c r="H14" s="30">
        <v>10</v>
      </c>
      <c r="I14" s="30"/>
      <c r="J14" s="105" t="s">
        <v>643</v>
      </c>
      <c r="K14" s="28">
        <v>162</v>
      </c>
      <c r="L14" s="30">
        <v>5</v>
      </c>
      <c r="M14" s="30"/>
      <c r="N14" s="31" t="s">
        <v>644</v>
      </c>
      <c r="O14" s="91">
        <v>46</v>
      </c>
      <c r="P14" s="91">
        <v>30.2</v>
      </c>
      <c r="Q14" s="32">
        <v>11</v>
      </c>
      <c r="R14" s="32">
        <v>0</v>
      </c>
      <c r="S14" s="32">
        <v>0</v>
      </c>
      <c r="T14" s="32">
        <v>0</v>
      </c>
      <c r="U14" s="32">
        <v>10</v>
      </c>
      <c r="V14" s="32">
        <v>4</v>
      </c>
      <c r="W14" s="32">
        <v>5</v>
      </c>
      <c r="X14" s="32">
        <v>2</v>
      </c>
      <c r="Y14" s="22">
        <f t="shared" si="1"/>
        <v>11</v>
      </c>
      <c r="Z14" s="22">
        <f t="shared" si="2"/>
        <v>21</v>
      </c>
      <c r="AA14" s="22">
        <f t="shared" si="3"/>
        <v>160</v>
      </c>
      <c r="AB14" s="22">
        <f t="shared" si="4"/>
        <v>162</v>
      </c>
      <c r="AC14" s="22">
        <f t="shared" si="5"/>
        <v>10</v>
      </c>
      <c r="AD14" s="22">
        <f t="shared" si="6"/>
        <v>5</v>
      </c>
    </row>
    <row r="15" spans="1:30" x14ac:dyDescent="0.15">
      <c r="A15" s="63" t="str">
        <f t="shared" si="0"/>
        <v>Sat</v>
      </c>
      <c r="B15" s="29">
        <v>37772</v>
      </c>
      <c r="C15" s="31"/>
      <c r="D15" s="30"/>
      <c r="E15" s="30"/>
      <c r="F15" s="30"/>
      <c r="G15" s="28"/>
      <c r="H15" s="30"/>
      <c r="I15" s="30"/>
      <c r="J15" s="105"/>
      <c r="K15" s="28"/>
      <c r="L15" s="30"/>
      <c r="M15" s="30"/>
      <c r="N15" s="31"/>
      <c r="O15" s="91"/>
      <c r="P15" s="91"/>
      <c r="Q15" s="32"/>
      <c r="R15" s="32"/>
      <c r="S15" s="32"/>
      <c r="T15" s="32"/>
      <c r="U15" s="32"/>
      <c r="V15" s="32"/>
      <c r="W15" s="32"/>
      <c r="X15" s="32"/>
      <c r="Y15" s="22">
        <f t="shared" si="1"/>
        <v>0</v>
      </c>
      <c r="Z15" s="22">
        <f t="shared" si="2"/>
        <v>0</v>
      </c>
      <c r="AA15" s="22">
        <f t="shared" si="3"/>
        <v>0</v>
      </c>
      <c r="AB15" s="22">
        <f t="shared" si="4"/>
        <v>0</v>
      </c>
      <c r="AC15" s="22">
        <f t="shared" si="5"/>
        <v>0</v>
      </c>
      <c r="AD15" s="22">
        <f t="shared" si="6"/>
        <v>0</v>
      </c>
    </row>
    <row r="16" spans="1:30" x14ac:dyDescent="0.15">
      <c r="A16" s="63" t="str">
        <f t="shared" si="0"/>
        <v>Sun</v>
      </c>
      <c r="B16" s="29">
        <v>37773</v>
      </c>
      <c r="C16" s="31" t="s">
        <v>659</v>
      </c>
      <c r="D16" s="30" t="s">
        <v>226</v>
      </c>
      <c r="E16" s="30" t="s">
        <v>277</v>
      </c>
      <c r="F16" s="30" t="s">
        <v>1</v>
      </c>
      <c r="G16" s="28">
        <v>126</v>
      </c>
      <c r="H16" s="30">
        <v>10</v>
      </c>
      <c r="I16" s="30"/>
      <c r="J16" s="105" t="s">
        <v>660</v>
      </c>
      <c r="K16" s="28">
        <v>98</v>
      </c>
      <c r="L16" s="30">
        <v>10</v>
      </c>
      <c r="M16" s="30"/>
      <c r="N16" s="31" t="s">
        <v>661</v>
      </c>
      <c r="O16" s="91">
        <v>36.299999999999997</v>
      </c>
      <c r="P16" s="91">
        <v>34.200000000000003</v>
      </c>
      <c r="Q16" s="32">
        <v>14</v>
      </c>
      <c r="R16" s="32">
        <v>0</v>
      </c>
      <c r="S16" s="32">
        <v>2</v>
      </c>
      <c r="T16" s="32">
        <v>0</v>
      </c>
      <c r="U16" s="32">
        <v>7</v>
      </c>
      <c r="V16" s="32">
        <v>6</v>
      </c>
      <c r="W16" s="32">
        <v>1</v>
      </c>
      <c r="X16" s="32">
        <v>4</v>
      </c>
      <c r="Y16" s="22">
        <f t="shared" si="1"/>
        <v>16</v>
      </c>
      <c r="Z16" s="22">
        <f t="shared" si="2"/>
        <v>18</v>
      </c>
      <c r="AA16" s="22">
        <f t="shared" si="3"/>
        <v>98</v>
      </c>
      <c r="AB16" s="22">
        <f t="shared" si="4"/>
        <v>126</v>
      </c>
      <c r="AC16" s="22">
        <f t="shared" si="5"/>
        <v>10</v>
      </c>
      <c r="AD16" s="22">
        <f t="shared" si="6"/>
        <v>10</v>
      </c>
    </row>
    <row r="17" spans="1:30" x14ac:dyDescent="0.15">
      <c r="A17" s="63" t="str">
        <f t="shared" si="0"/>
        <v>Sat</v>
      </c>
      <c r="B17" s="29">
        <v>37779</v>
      </c>
      <c r="C17" s="31" t="s">
        <v>316</v>
      </c>
      <c r="D17" s="30" t="s">
        <v>226</v>
      </c>
      <c r="E17" s="30" t="s">
        <v>277</v>
      </c>
      <c r="F17" s="30" t="s">
        <v>276</v>
      </c>
      <c r="G17" s="28">
        <v>106</v>
      </c>
      <c r="H17" s="30">
        <v>10</v>
      </c>
      <c r="I17" s="30"/>
      <c r="J17" s="105" t="s">
        <v>317</v>
      </c>
      <c r="K17" s="28">
        <v>107</v>
      </c>
      <c r="L17" s="30">
        <v>2</v>
      </c>
      <c r="M17" s="30"/>
      <c r="N17" s="31" t="s">
        <v>318</v>
      </c>
      <c r="O17" s="91">
        <v>26</v>
      </c>
      <c r="P17" s="91">
        <v>28.3</v>
      </c>
      <c r="Q17" s="32">
        <v>4</v>
      </c>
      <c r="R17" s="32">
        <v>1</v>
      </c>
      <c r="S17" s="32">
        <v>9</v>
      </c>
      <c r="T17" s="32">
        <v>2</v>
      </c>
      <c r="U17" s="32">
        <v>17</v>
      </c>
      <c r="V17" s="32">
        <v>0</v>
      </c>
      <c r="W17" s="32">
        <v>4</v>
      </c>
      <c r="X17" s="32">
        <v>0</v>
      </c>
      <c r="Y17" s="22">
        <f t="shared" si="1"/>
        <v>16</v>
      </c>
      <c r="Z17" s="22">
        <f t="shared" si="2"/>
        <v>21</v>
      </c>
      <c r="AA17" s="22">
        <f t="shared" si="3"/>
        <v>106</v>
      </c>
      <c r="AB17" s="22">
        <f t="shared" si="4"/>
        <v>107</v>
      </c>
      <c r="AC17" s="22">
        <f t="shared" si="5"/>
        <v>10</v>
      </c>
      <c r="AD17" s="22">
        <f t="shared" si="6"/>
        <v>2</v>
      </c>
    </row>
    <row r="18" spans="1:30" x14ac:dyDescent="0.15">
      <c r="A18" s="63" t="str">
        <f t="shared" si="0"/>
        <v>Sun</v>
      </c>
      <c r="B18" s="29">
        <v>37780</v>
      </c>
      <c r="C18" s="31" t="s">
        <v>676</v>
      </c>
      <c r="D18" s="30" t="s">
        <v>297</v>
      </c>
      <c r="E18" s="30" t="s">
        <v>227</v>
      </c>
      <c r="F18" s="30" t="s">
        <v>276</v>
      </c>
      <c r="G18" s="28">
        <v>233</v>
      </c>
      <c r="H18" s="30">
        <v>7</v>
      </c>
      <c r="I18" s="30"/>
      <c r="J18" s="105" t="s">
        <v>677</v>
      </c>
      <c r="K18" s="28">
        <v>169</v>
      </c>
      <c r="L18" s="30">
        <v>9</v>
      </c>
      <c r="M18" s="30"/>
      <c r="N18" s="31"/>
      <c r="O18" s="91">
        <v>40</v>
      </c>
      <c r="P18" s="91">
        <v>38.299999999999997</v>
      </c>
      <c r="Q18" s="32">
        <v>9</v>
      </c>
      <c r="R18" s="32">
        <v>0</v>
      </c>
      <c r="S18" s="32">
        <v>1</v>
      </c>
      <c r="T18" s="32">
        <v>2</v>
      </c>
      <c r="U18" s="32">
        <v>4</v>
      </c>
      <c r="V18" s="32">
        <v>1</v>
      </c>
      <c r="W18" s="32">
        <v>10</v>
      </c>
      <c r="X18" s="32">
        <v>1</v>
      </c>
      <c r="Y18" s="22">
        <f t="shared" si="1"/>
        <v>12</v>
      </c>
      <c r="Z18" s="22">
        <f t="shared" si="2"/>
        <v>16</v>
      </c>
      <c r="AA18" s="22">
        <f t="shared" si="3"/>
        <v>233</v>
      </c>
      <c r="AB18" s="22">
        <f t="shared" si="4"/>
        <v>169</v>
      </c>
      <c r="AC18" s="22">
        <f t="shared" si="5"/>
        <v>7</v>
      </c>
      <c r="AD18" s="22">
        <f t="shared" si="6"/>
        <v>9</v>
      </c>
    </row>
    <row r="19" spans="1:30" x14ac:dyDescent="0.15">
      <c r="A19" s="63" t="str">
        <f t="shared" si="0"/>
        <v>Sat</v>
      </c>
      <c r="B19" s="29">
        <v>37786</v>
      </c>
      <c r="C19" s="31" t="s">
        <v>275</v>
      </c>
      <c r="D19" s="30" t="s">
        <v>297</v>
      </c>
      <c r="E19" s="30" t="s">
        <v>277</v>
      </c>
      <c r="F19" s="30" t="s">
        <v>1</v>
      </c>
      <c r="G19" s="28">
        <v>211</v>
      </c>
      <c r="H19" s="30">
        <v>8</v>
      </c>
      <c r="I19" s="30"/>
      <c r="J19" s="105" t="s">
        <v>340</v>
      </c>
      <c r="K19" s="28">
        <v>151</v>
      </c>
      <c r="L19" s="30">
        <v>10</v>
      </c>
      <c r="M19" s="30"/>
      <c r="N19" s="31" t="s">
        <v>341</v>
      </c>
      <c r="O19" s="91">
        <v>36.200000000000003</v>
      </c>
      <c r="P19" s="91">
        <v>40.299999999999997</v>
      </c>
      <c r="Q19" s="32">
        <v>18</v>
      </c>
      <c r="R19" s="32">
        <v>2</v>
      </c>
      <c r="S19" s="32">
        <v>12</v>
      </c>
      <c r="T19" s="32">
        <v>2</v>
      </c>
      <c r="U19" s="32">
        <v>8</v>
      </c>
      <c r="V19" s="32">
        <v>3</v>
      </c>
      <c r="W19" s="32">
        <v>21</v>
      </c>
      <c r="X19" s="32">
        <v>6</v>
      </c>
      <c r="Y19" s="22">
        <f t="shared" si="1"/>
        <v>34</v>
      </c>
      <c r="Z19" s="22">
        <f t="shared" si="2"/>
        <v>38</v>
      </c>
      <c r="AA19" s="22">
        <f t="shared" si="3"/>
        <v>151</v>
      </c>
      <c r="AB19" s="22">
        <f t="shared" si="4"/>
        <v>211</v>
      </c>
      <c r="AC19" s="22">
        <f t="shared" si="5"/>
        <v>10</v>
      </c>
      <c r="AD19" s="22">
        <f t="shared" si="6"/>
        <v>8</v>
      </c>
    </row>
    <row r="20" spans="1:30" x14ac:dyDescent="0.15">
      <c r="A20" s="63" t="str">
        <f t="shared" si="0"/>
        <v>Sun</v>
      </c>
      <c r="B20" s="29">
        <v>37787</v>
      </c>
      <c r="C20" s="31" t="s">
        <v>691</v>
      </c>
      <c r="D20" s="30" t="s">
        <v>226</v>
      </c>
      <c r="E20" s="30" t="s">
        <v>277</v>
      </c>
      <c r="F20" s="30" t="s">
        <v>1</v>
      </c>
      <c r="G20" s="28">
        <v>171</v>
      </c>
      <c r="H20" s="30">
        <v>8</v>
      </c>
      <c r="I20" s="30"/>
      <c r="J20" s="105"/>
      <c r="K20" s="28">
        <v>121</v>
      </c>
      <c r="L20" s="30">
        <v>8</v>
      </c>
      <c r="M20" s="30"/>
      <c r="N20" s="31"/>
      <c r="O20" s="91">
        <v>40</v>
      </c>
      <c r="P20" s="91">
        <v>40</v>
      </c>
      <c r="Q20" s="32">
        <v>15</v>
      </c>
      <c r="R20" s="32">
        <v>1</v>
      </c>
      <c r="S20" s="32">
        <v>0</v>
      </c>
      <c r="T20" s="32">
        <v>0</v>
      </c>
      <c r="U20" s="32">
        <v>8</v>
      </c>
      <c r="V20" s="32">
        <v>1</v>
      </c>
      <c r="W20" s="32">
        <v>8</v>
      </c>
      <c r="X20" s="32">
        <v>2</v>
      </c>
      <c r="Y20" s="22">
        <f t="shared" si="1"/>
        <v>16</v>
      </c>
      <c r="Z20" s="22">
        <f t="shared" si="2"/>
        <v>19</v>
      </c>
      <c r="AA20" s="22">
        <f t="shared" si="3"/>
        <v>121</v>
      </c>
      <c r="AB20" s="22">
        <f t="shared" si="4"/>
        <v>171</v>
      </c>
      <c r="AC20" s="22">
        <f t="shared" si="5"/>
        <v>8</v>
      </c>
      <c r="AD20" s="22">
        <f t="shared" si="6"/>
        <v>8</v>
      </c>
    </row>
    <row r="21" spans="1:30" x14ac:dyDescent="0.15">
      <c r="A21" s="63" t="str">
        <f t="shared" si="0"/>
        <v>Sat</v>
      </c>
      <c r="B21" s="29">
        <v>37793</v>
      </c>
      <c r="C21" s="31" t="s">
        <v>359</v>
      </c>
      <c r="D21" s="30" t="s">
        <v>226</v>
      </c>
      <c r="E21" s="30" t="s">
        <v>368</v>
      </c>
      <c r="F21" s="30" t="s">
        <v>276</v>
      </c>
      <c r="G21" s="28">
        <v>152</v>
      </c>
      <c r="H21" s="30">
        <v>6</v>
      </c>
      <c r="I21" s="30"/>
      <c r="J21" s="105" t="s">
        <v>360</v>
      </c>
      <c r="K21" s="28">
        <v>156</v>
      </c>
      <c r="L21" s="30">
        <v>4</v>
      </c>
      <c r="M21" s="30"/>
      <c r="N21" s="31" t="s">
        <v>361</v>
      </c>
      <c r="O21" s="91">
        <v>41</v>
      </c>
      <c r="P21" s="91">
        <v>34</v>
      </c>
      <c r="Q21" s="32">
        <v>9</v>
      </c>
      <c r="R21" s="32">
        <v>1</v>
      </c>
      <c r="S21" s="32">
        <v>3</v>
      </c>
      <c r="T21" s="32">
        <v>0</v>
      </c>
      <c r="U21" s="32">
        <v>13</v>
      </c>
      <c r="V21" s="32">
        <v>9</v>
      </c>
      <c r="W21" s="32">
        <v>11</v>
      </c>
      <c r="X21" s="32">
        <v>0</v>
      </c>
      <c r="Y21" s="22">
        <f t="shared" si="1"/>
        <v>13</v>
      </c>
      <c r="Z21" s="22">
        <f t="shared" si="2"/>
        <v>33</v>
      </c>
      <c r="AA21" s="22">
        <f t="shared" si="3"/>
        <v>152</v>
      </c>
      <c r="AB21" s="22">
        <f t="shared" si="4"/>
        <v>156</v>
      </c>
      <c r="AC21" s="22">
        <f t="shared" si="5"/>
        <v>6</v>
      </c>
      <c r="AD21" s="22">
        <f t="shared" si="6"/>
        <v>4</v>
      </c>
    </row>
    <row r="22" spans="1:30" x14ac:dyDescent="0.15">
      <c r="A22" s="63" t="str">
        <f t="shared" si="0"/>
        <v>Sun</v>
      </c>
      <c r="B22" s="29">
        <v>37794</v>
      </c>
      <c r="C22" s="31" t="s">
        <v>706</v>
      </c>
      <c r="D22" s="30" t="s">
        <v>297</v>
      </c>
      <c r="E22" s="30" t="s">
        <v>277</v>
      </c>
      <c r="F22" s="30" t="s">
        <v>1</v>
      </c>
      <c r="G22" s="28">
        <v>171</v>
      </c>
      <c r="H22" s="30">
        <v>9</v>
      </c>
      <c r="I22" s="30"/>
      <c r="J22" s="105" t="s">
        <v>707</v>
      </c>
      <c r="K22" s="28">
        <v>137</v>
      </c>
      <c r="L22" s="30">
        <v>10</v>
      </c>
      <c r="M22" s="30"/>
      <c r="N22" s="31" t="s">
        <v>708</v>
      </c>
      <c r="O22" s="91">
        <v>28.4</v>
      </c>
      <c r="P22" s="91">
        <v>51</v>
      </c>
      <c r="Q22" s="32">
        <v>10</v>
      </c>
      <c r="R22" s="32">
        <v>3</v>
      </c>
      <c r="S22" s="32">
        <v>2</v>
      </c>
      <c r="T22" s="32">
        <v>9</v>
      </c>
      <c r="U22" s="32">
        <v>3</v>
      </c>
      <c r="V22" s="32">
        <v>1</v>
      </c>
      <c r="W22" s="32">
        <v>2</v>
      </c>
      <c r="X22" s="32">
        <v>0</v>
      </c>
      <c r="Y22" s="22">
        <f t="shared" si="1"/>
        <v>24</v>
      </c>
      <c r="Z22" s="22">
        <f t="shared" si="2"/>
        <v>6</v>
      </c>
      <c r="AA22" s="22">
        <f t="shared" si="3"/>
        <v>137</v>
      </c>
      <c r="AB22" s="22">
        <f t="shared" si="4"/>
        <v>171</v>
      </c>
      <c r="AC22" s="22">
        <f t="shared" si="5"/>
        <v>10</v>
      </c>
      <c r="AD22" s="22">
        <f t="shared" si="6"/>
        <v>9</v>
      </c>
    </row>
    <row r="23" spans="1:30" x14ac:dyDescent="0.15">
      <c r="A23" s="63" t="str">
        <f t="shared" si="0"/>
        <v>Sat</v>
      </c>
      <c r="B23" s="29">
        <v>37800</v>
      </c>
      <c r="C23" s="31"/>
      <c r="D23" s="30"/>
      <c r="E23" s="30"/>
      <c r="F23" s="30"/>
      <c r="G23" s="28"/>
      <c r="H23" s="30"/>
      <c r="I23" s="30"/>
      <c r="J23" s="105"/>
      <c r="K23" s="28"/>
      <c r="L23" s="30"/>
      <c r="M23" s="30"/>
      <c r="N23" s="31"/>
      <c r="O23" s="91"/>
      <c r="P23" s="91"/>
      <c r="Q23" s="32"/>
      <c r="R23" s="32"/>
      <c r="S23" s="32"/>
      <c r="T23" s="32"/>
      <c r="U23" s="32"/>
      <c r="V23" s="32"/>
      <c r="W23" s="32"/>
      <c r="X23" s="32"/>
      <c r="Y23" s="22">
        <f t="shared" si="1"/>
        <v>0</v>
      </c>
      <c r="Z23" s="22">
        <f t="shared" si="2"/>
        <v>0</v>
      </c>
      <c r="AA23" s="22">
        <f t="shared" si="3"/>
        <v>0</v>
      </c>
      <c r="AB23" s="22">
        <f t="shared" si="4"/>
        <v>0</v>
      </c>
      <c r="AC23" s="22">
        <f t="shared" si="5"/>
        <v>0</v>
      </c>
      <c r="AD23" s="22">
        <f t="shared" si="6"/>
        <v>0</v>
      </c>
    </row>
    <row r="24" spans="1:30" x14ac:dyDescent="0.15">
      <c r="A24" s="63" t="str">
        <f t="shared" si="0"/>
        <v>Sun</v>
      </c>
      <c r="B24" s="29">
        <v>37801</v>
      </c>
      <c r="C24" s="31" t="s">
        <v>724</v>
      </c>
      <c r="D24" s="30" t="s">
        <v>226</v>
      </c>
      <c r="E24" s="30" t="s">
        <v>227</v>
      </c>
      <c r="F24" s="30" t="s">
        <v>1</v>
      </c>
      <c r="G24" s="28">
        <v>92</v>
      </c>
      <c r="H24" s="30">
        <v>10</v>
      </c>
      <c r="I24" s="30"/>
      <c r="J24" s="105" t="s">
        <v>725</v>
      </c>
      <c r="K24" s="28">
        <v>94</v>
      </c>
      <c r="L24" s="30">
        <v>7</v>
      </c>
      <c r="M24" s="30"/>
      <c r="N24" s="31" t="s">
        <v>726</v>
      </c>
      <c r="O24" s="91">
        <v>23</v>
      </c>
      <c r="P24" s="91">
        <v>32</v>
      </c>
      <c r="Q24" s="32">
        <v>14</v>
      </c>
      <c r="R24" s="32">
        <v>0</v>
      </c>
      <c r="S24" s="32">
        <v>6</v>
      </c>
      <c r="T24" s="32">
        <v>2</v>
      </c>
      <c r="U24" s="32">
        <v>4</v>
      </c>
      <c r="V24" s="32">
        <v>0</v>
      </c>
      <c r="W24" s="32">
        <v>2</v>
      </c>
      <c r="X24" s="32">
        <v>0</v>
      </c>
      <c r="Y24" s="22">
        <f t="shared" si="1"/>
        <v>22</v>
      </c>
      <c r="Z24" s="22">
        <f t="shared" si="2"/>
        <v>6</v>
      </c>
      <c r="AA24" s="22">
        <f t="shared" si="3"/>
        <v>94</v>
      </c>
      <c r="AB24" s="22">
        <f t="shared" si="4"/>
        <v>92</v>
      </c>
      <c r="AC24" s="22">
        <f t="shared" si="5"/>
        <v>7</v>
      </c>
      <c r="AD24" s="22">
        <f t="shared" si="6"/>
        <v>10</v>
      </c>
    </row>
    <row r="25" spans="1:30" x14ac:dyDescent="0.15">
      <c r="A25" s="63" t="str">
        <f t="shared" si="0"/>
        <v>Sat</v>
      </c>
      <c r="B25" s="29">
        <v>37807</v>
      </c>
      <c r="C25" s="31" t="s">
        <v>376</v>
      </c>
      <c r="D25" s="30" t="s">
        <v>297</v>
      </c>
      <c r="E25" s="30" t="s">
        <v>227</v>
      </c>
      <c r="F25" s="30" t="s">
        <v>1</v>
      </c>
      <c r="G25" s="28">
        <v>66</v>
      </c>
      <c r="H25" s="30">
        <v>10</v>
      </c>
      <c r="I25" s="30"/>
      <c r="J25" s="105" t="s">
        <v>377</v>
      </c>
      <c r="K25" s="28">
        <v>67</v>
      </c>
      <c r="L25" s="30">
        <v>6</v>
      </c>
      <c r="M25" s="30"/>
      <c r="N25" s="31"/>
      <c r="O25" s="91">
        <v>36.5</v>
      </c>
      <c r="P25" s="91">
        <v>28.1</v>
      </c>
      <c r="Q25" s="32">
        <v>26</v>
      </c>
      <c r="R25" s="32">
        <v>2</v>
      </c>
      <c r="S25" s="32">
        <v>5</v>
      </c>
      <c r="T25" s="32">
        <v>1</v>
      </c>
      <c r="U25" s="32">
        <v>10</v>
      </c>
      <c r="V25" s="32">
        <v>3</v>
      </c>
      <c r="W25" s="32">
        <v>2</v>
      </c>
      <c r="X25" s="32">
        <v>2</v>
      </c>
      <c r="Y25" s="22">
        <f t="shared" si="1"/>
        <v>34</v>
      </c>
      <c r="Z25" s="22">
        <f t="shared" si="2"/>
        <v>17</v>
      </c>
      <c r="AA25" s="22">
        <f t="shared" si="3"/>
        <v>67</v>
      </c>
      <c r="AB25" s="22">
        <f t="shared" si="4"/>
        <v>66</v>
      </c>
      <c r="AC25" s="22">
        <f t="shared" si="5"/>
        <v>6</v>
      </c>
      <c r="AD25" s="22">
        <f t="shared" si="6"/>
        <v>10</v>
      </c>
    </row>
    <row r="26" spans="1:30" ht="21" x14ac:dyDescent="0.15">
      <c r="A26" s="63" t="str">
        <f t="shared" si="0"/>
        <v>Sun</v>
      </c>
      <c r="B26" s="29">
        <v>37808</v>
      </c>
      <c r="C26" s="31" t="s">
        <v>741</v>
      </c>
      <c r="D26" s="30" t="s">
        <v>297</v>
      </c>
      <c r="E26" s="30" t="s">
        <v>277</v>
      </c>
      <c r="F26" s="30" t="s">
        <v>276</v>
      </c>
      <c r="G26" s="28">
        <v>117</v>
      </c>
      <c r="H26" s="30">
        <v>9</v>
      </c>
      <c r="I26" s="30"/>
      <c r="J26" s="105" t="s">
        <v>742</v>
      </c>
      <c r="K26" s="28">
        <v>118</v>
      </c>
      <c r="L26" s="30">
        <v>9</v>
      </c>
      <c r="M26" s="30"/>
      <c r="N26" s="31" t="s">
        <v>743</v>
      </c>
      <c r="O26" s="91">
        <v>30</v>
      </c>
      <c r="P26" s="91">
        <v>23.5</v>
      </c>
      <c r="Q26" s="32">
        <v>2</v>
      </c>
      <c r="R26" s="32">
        <v>0</v>
      </c>
      <c r="S26" s="32">
        <v>0</v>
      </c>
      <c r="T26" s="32">
        <v>0</v>
      </c>
      <c r="U26" s="32">
        <v>1</v>
      </c>
      <c r="V26" s="32">
        <v>0</v>
      </c>
      <c r="W26" s="32">
        <v>1</v>
      </c>
      <c r="X26" s="32">
        <v>1</v>
      </c>
      <c r="Y26" s="22">
        <f t="shared" si="1"/>
        <v>2</v>
      </c>
      <c r="Z26" s="22">
        <f t="shared" si="2"/>
        <v>3</v>
      </c>
      <c r="AA26" s="22">
        <f t="shared" si="3"/>
        <v>117</v>
      </c>
      <c r="AB26" s="22">
        <f t="shared" si="4"/>
        <v>118</v>
      </c>
      <c r="AC26" s="22">
        <f t="shared" si="5"/>
        <v>9</v>
      </c>
      <c r="AD26" s="22">
        <f t="shared" si="6"/>
        <v>9</v>
      </c>
    </row>
    <row r="27" spans="1:30" x14ac:dyDescent="0.15">
      <c r="A27" s="63" t="str">
        <f t="shared" si="0"/>
        <v>Sat</v>
      </c>
      <c r="B27" s="29">
        <v>37814</v>
      </c>
      <c r="C27" s="31"/>
      <c r="D27" s="30"/>
      <c r="E27" s="30"/>
      <c r="F27" s="30"/>
      <c r="G27" s="28"/>
      <c r="H27" s="30"/>
      <c r="I27" s="30"/>
      <c r="J27" s="105"/>
      <c r="K27" s="28"/>
      <c r="L27" s="30"/>
      <c r="M27" s="30"/>
      <c r="N27" s="31"/>
      <c r="O27" s="91"/>
      <c r="P27" s="91"/>
      <c r="Q27" s="32"/>
      <c r="R27" s="32"/>
      <c r="S27" s="32"/>
      <c r="T27" s="32"/>
      <c r="U27" s="32"/>
      <c r="V27" s="32"/>
      <c r="W27" s="32"/>
      <c r="X27" s="32"/>
      <c r="Y27" s="22">
        <f t="shared" si="1"/>
        <v>0</v>
      </c>
      <c r="Z27" s="22">
        <f t="shared" si="2"/>
        <v>0</v>
      </c>
      <c r="AA27" s="22">
        <f t="shared" si="3"/>
        <v>0</v>
      </c>
      <c r="AB27" s="22">
        <f t="shared" si="4"/>
        <v>0</v>
      </c>
      <c r="AC27" s="22">
        <f t="shared" si="5"/>
        <v>0</v>
      </c>
      <c r="AD27" s="22">
        <f t="shared" si="6"/>
        <v>0</v>
      </c>
    </row>
    <row r="28" spans="1:30" x14ac:dyDescent="0.15">
      <c r="A28" s="63" t="str">
        <f t="shared" si="0"/>
        <v>Sun</v>
      </c>
      <c r="B28" s="29">
        <v>37815</v>
      </c>
      <c r="C28" s="31" t="s">
        <v>757</v>
      </c>
      <c r="D28" s="30" t="s">
        <v>226</v>
      </c>
      <c r="E28" s="30" t="s">
        <v>277</v>
      </c>
      <c r="F28" s="30" t="s">
        <v>276</v>
      </c>
      <c r="G28" s="28">
        <v>161</v>
      </c>
      <c r="H28" s="30">
        <v>10</v>
      </c>
      <c r="I28" s="30"/>
      <c r="J28" s="105" t="s">
        <v>758</v>
      </c>
      <c r="K28" s="28">
        <v>169</v>
      </c>
      <c r="L28" s="30">
        <v>5</v>
      </c>
      <c r="M28" s="30"/>
      <c r="N28" s="31" t="s">
        <v>759</v>
      </c>
      <c r="O28" s="91">
        <v>39.200000000000003</v>
      </c>
      <c r="P28" s="91">
        <v>38.299999999999997</v>
      </c>
      <c r="Q28" s="32">
        <v>9</v>
      </c>
      <c r="R28" s="32">
        <v>0</v>
      </c>
      <c r="S28" s="32">
        <v>6</v>
      </c>
      <c r="T28" s="32">
        <v>4</v>
      </c>
      <c r="U28" s="32">
        <v>14</v>
      </c>
      <c r="V28" s="32">
        <v>9</v>
      </c>
      <c r="W28" s="32">
        <v>13</v>
      </c>
      <c r="X28" s="32">
        <v>4</v>
      </c>
      <c r="Y28" s="22">
        <f t="shared" si="1"/>
        <v>19</v>
      </c>
      <c r="Z28" s="22">
        <f t="shared" si="2"/>
        <v>40</v>
      </c>
      <c r="AA28" s="22">
        <f t="shared" si="3"/>
        <v>161</v>
      </c>
      <c r="AB28" s="22">
        <f t="shared" si="4"/>
        <v>169</v>
      </c>
      <c r="AC28" s="22">
        <f t="shared" si="5"/>
        <v>10</v>
      </c>
      <c r="AD28" s="22">
        <f t="shared" si="6"/>
        <v>5</v>
      </c>
    </row>
    <row r="29" spans="1:30" x14ac:dyDescent="0.15">
      <c r="A29" s="63" t="str">
        <f t="shared" si="0"/>
        <v>Sat</v>
      </c>
      <c r="B29" s="29">
        <v>37821</v>
      </c>
      <c r="C29" s="31" t="s">
        <v>396</v>
      </c>
      <c r="D29" s="30" t="s">
        <v>226</v>
      </c>
      <c r="E29" s="30" t="s">
        <v>277</v>
      </c>
      <c r="F29" s="30" t="s">
        <v>1</v>
      </c>
      <c r="G29" s="28">
        <v>150</v>
      </c>
      <c r="H29" s="30">
        <v>10</v>
      </c>
      <c r="I29" s="30"/>
      <c r="J29" s="105" t="s">
        <v>397</v>
      </c>
      <c r="K29" s="28">
        <v>101</v>
      </c>
      <c r="L29" s="30">
        <v>9</v>
      </c>
      <c r="M29" s="30"/>
      <c r="N29" s="31"/>
      <c r="O29" s="91">
        <v>31</v>
      </c>
      <c r="P29" s="91">
        <v>45</v>
      </c>
      <c r="Q29" s="32">
        <v>6</v>
      </c>
      <c r="R29" s="32">
        <v>0</v>
      </c>
      <c r="S29" s="32">
        <v>0</v>
      </c>
      <c r="T29" s="32">
        <v>3</v>
      </c>
      <c r="U29" s="32">
        <v>6</v>
      </c>
      <c r="V29" s="32">
        <v>0</v>
      </c>
      <c r="W29" s="32">
        <v>1</v>
      </c>
      <c r="X29" s="32">
        <v>5</v>
      </c>
      <c r="Y29" s="22">
        <f t="shared" si="1"/>
        <v>9</v>
      </c>
      <c r="Z29" s="22">
        <f t="shared" si="2"/>
        <v>12</v>
      </c>
      <c r="AA29" s="22">
        <f t="shared" si="3"/>
        <v>101</v>
      </c>
      <c r="AB29" s="22">
        <f t="shared" si="4"/>
        <v>150</v>
      </c>
      <c r="AC29" s="22">
        <f t="shared" si="5"/>
        <v>9</v>
      </c>
      <c r="AD29" s="22">
        <f t="shared" si="6"/>
        <v>10</v>
      </c>
    </row>
    <row r="30" spans="1:30" x14ac:dyDescent="0.15">
      <c r="A30" s="63" t="str">
        <f t="shared" si="0"/>
        <v>Sun</v>
      </c>
      <c r="B30" s="29">
        <v>37822</v>
      </c>
      <c r="C30" s="31" t="s">
        <v>392</v>
      </c>
      <c r="D30" s="30" t="s">
        <v>226</v>
      </c>
      <c r="E30" s="30" t="s">
        <v>227</v>
      </c>
      <c r="F30" s="30" t="s">
        <v>1</v>
      </c>
      <c r="G30" s="28">
        <v>116</v>
      </c>
      <c r="H30" s="30">
        <v>10</v>
      </c>
      <c r="I30" s="30"/>
      <c r="J30" s="105" t="s">
        <v>777</v>
      </c>
      <c r="K30" s="28">
        <v>118</v>
      </c>
      <c r="L30" s="30">
        <v>4</v>
      </c>
      <c r="M30" s="30"/>
      <c r="N30" s="31" t="s">
        <v>778</v>
      </c>
      <c r="O30" s="91">
        <v>22.3</v>
      </c>
      <c r="P30" s="91">
        <v>36.299999999999997</v>
      </c>
      <c r="Q30" s="32">
        <v>25</v>
      </c>
      <c r="R30" s="32">
        <v>0</v>
      </c>
      <c r="S30" s="32">
        <v>10</v>
      </c>
      <c r="T30" s="32">
        <v>2</v>
      </c>
      <c r="U30" s="32">
        <v>2</v>
      </c>
      <c r="V30" s="32">
        <v>0</v>
      </c>
      <c r="W30" s="32">
        <v>2</v>
      </c>
      <c r="X30" s="32">
        <v>0</v>
      </c>
      <c r="Y30" s="22">
        <f t="shared" si="1"/>
        <v>37</v>
      </c>
      <c r="Z30" s="22">
        <f t="shared" si="2"/>
        <v>4</v>
      </c>
      <c r="AA30" s="22">
        <f t="shared" si="3"/>
        <v>118</v>
      </c>
      <c r="AB30" s="22">
        <f t="shared" si="4"/>
        <v>116</v>
      </c>
      <c r="AC30" s="22">
        <f t="shared" si="5"/>
        <v>4</v>
      </c>
      <c r="AD30" s="22">
        <f t="shared" si="6"/>
        <v>10</v>
      </c>
    </row>
    <row r="31" spans="1:30" x14ac:dyDescent="0.15">
      <c r="A31" s="63" t="str">
        <f t="shared" si="0"/>
        <v>Sat</v>
      </c>
      <c r="B31" s="29">
        <v>37828</v>
      </c>
      <c r="C31" s="31" t="s">
        <v>391</v>
      </c>
      <c r="D31" s="30" t="s">
        <v>297</v>
      </c>
      <c r="E31" s="30" t="s">
        <v>368</v>
      </c>
      <c r="F31" s="30" t="s">
        <v>1</v>
      </c>
      <c r="G31" s="28">
        <v>214</v>
      </c>
      <c r="H31" s="30">
        <v>7</v>
      </c>
      <c r="I31" s="30"/>
      <c r="J31" s="105" t="s">
        <v>419</v>
      </c>
      <c r="K31" s="28">
        <v>23</v>
      </c>
      <c r="L31" s="30">
        <v>1</v>
      </c>
      <c r="M31" s="30"/>
      <c r="N31" s="31"/>
      <c r="O31" s="91">
        <v>10.3</v>
      </c>
      <c r="P31" s="91">
        <v>38</v>
      </c>
      <c r="Q31" s="32">
        <v>1</v>
      </c>
      <c r="R31" s="32">
        <v>3</v>
      </c>
      <c r="S31" s="32">
        <v>5</v>
      </c>
      <c r="T31" s="32">
        <v>4</v>
      </c>
      <c r="U31" s="32">
        <v>0</v>
      </c>
      <c r="V31" s="32">
        <v>0</v>
      </c>
      <c r="W31" s="32">
        <v>0</v>
      </c>
      <c r="X31" s="32">
        <v>1</v>
      </c>
      <c r="Y31" s="22">
        <f t="shared" si="1"/>
        <v>13</v>
      </c>
      <c r="Z31" s="22">
        <f t="shared" si="2"/>
        <v>1</v>
      </c>
      <c r="AA31" s="22">
        <f t="shared" si="3"/>
        <v>23</v>
      </c>
      <c r="AB31" s="22">
        <f t="shared" si="4"/>
        <v>214</v>
      </c>
      <c r="AC31" s="22">
        <f t="shared" si="5"/>
        <v>1</v>
      </c>
      <c r="AD31" s="22">
        <f t="shared" si="6"/>
        <v>7</v>
      </c>
    </row>
    <row r="32" spans="1:30" x14ac:dyDescent="0.15">
      <c r="A32" s="63" t="str">
        <f t="shared" si="0"/>
        <v>Sun</v>
      </c>
      <c r="B32" s="29">
        <v>37829</v>
      </c>
      <c r="C32" s="31"/>
      <c r="D32" s="30"/>
      <c r="E32" s="30"/>
      <c r="F32" s="30"/>
      <c r="G32" s="28"/>
      <c r="H32" s="30"/>
      <c r="I32" s="30"/>
      <c r="J32" s="105"/>
      <c r="K32" s="28"/>
      <c r="L32" s="30"/>
      <c r="M32" s="30"/>
      <c r="N32" s="31"/>
      <c r="O32" s="91"/>
      <c r="P32" s="91"/>
      <c r="Q32" s="32"/>
      <c r="R32" s="32"/>
      <c r="S32" s="32"/>
      <c r="T32" s="32"/>
      <c r="U32" s="32"/>
      <c r="V32" s="32"/>
      <c r="W32" s="32"/>
      <c r="X32" s="32"/>
      <c r="Y32" s="22">
        <f t="shared" si="1"/>
        <v>0</v>
      </c>
      <c r="Z32" s="22">
        <f t="shared" si="2"/>
        <v>0</v>
      </c>
      <c r="AA32" s="22">
        <f t="shared" si="3"/>
        <v>0</v>
      </c>
      <c r="AB32" s="22">
        <f t="shared" si="4"/>
        <v>0</v>
      </c>
      <c r="AC32" s="22">
        <f t="shared" si="5"/>
        <v>0</v>
      </c>
      <c r="AD32" s="22">
        <f t="shared" si="6"/>
        <v>0</v>
      </c>
    </row>
    <row r="33" spans="1:30" x14ac:dyDescent="0.15">
      <c r="A33" s="63" t="str">
        <f t="shared" si="0"/>
        <v>Sat</v>
      </c>
      <c r="B33" s="29">
        <v>37835</v>
      </c>
      <c r="C33" s="31" t="s">
        <v>910</v>
      </c>
      <c r="D33" s="30" t="s">
        <v>226</v>
      </c>
      <c r="E33" s="30" t="s">
        <v>368</v>
      </c>
      <c r="F33" s="30" t="s">
        <v>1</v>
      </c>
      <c r="G33" s="28">
        <v>138</v>
      </c>
      <c r="H33" s="30">
        <v>9</v>
      </c>
      <c r="I33" s="30"/>
      <c r="J33" s="105" t="s">
        <v>427</v>
      </c>
      <c r="K33" s="28">
        <v>82</v>
      </c>
      <c r="L33" s="30">
        <v>9</v>
      </c>
      <c r="M33" s="30"/>
      <c r="N33" s="31"/>
      <c r="O33" s="91">
        <v>37</v>
      </c>
      <c r="P33" s="91">
        <v>42.3</v>
      </c>
      <c r="Q33" s="32">
        <v>1</v>
      </c>
      <c r="R33" s="32">
        <v>2</v>
      </c>
      <c r="S33" s="32">
        <v>3</v>
      </c>
      <c r="T33" s="32">
        <v>0</v>
      </c>
      <c r="U33" s="32">
        <v>2</v>
      </c>
      <c r="V33" s="32">
        <v>1</v>
      </c>
      <c r="W33" s="32">
        <v>13</v>
      </c>
      <c r="X33" s="32">
        <v>0</v>
      </c>
      <c r="Y33" s="22">
        <f t="shared" si="1"/>
        <v>6</v>
      </c>
      <c r="Z33" s="22">
        <f t="shared" si="2"/>
        <v>16</v>
      </c>
      <c r="AA33" s="22">
        <f t="shared" si="3"/>
        <v>82</v>
      </c>
      <c r="AB33" s="22">
        <f t="shared" si="4"/>
        <v>138</v>
      </c>
      <c r="AC33" s="22">
        <f t="shared" si="5"/>
        <v>9</v>
      </c>
      <c r="AD33" s="22">
        <f t="shared" si="6"/>
        <v>9</v>
      </c>
    </row>
    <row r="34" spans="1:30" x14ac:dyDescent="0.15">
      <c r="A34" s="63" t="str">
        <f t="shared" si="0"/>
        <v>Sun</v>
      </c>
      <c r="B34" s="29">
        <v>37836</v>
      </c>
      <c r="C34" s="31" t="s">
        <v>791</v>
      </c>
      <c r="D34" s="30" t="s">
        <v>297</v>
      </c>
      <c r="E34" s="30" t="s">
        <v>277</v>
      </c>
      <c r="F34" s="30" t="s">
        <v>276</v>
      </c>
      <c r="G34" s="28">
        <v>152</v>
      </c>
      <c r="H34" s="30">
        <v>9</v>
      </c>
      <c r="I34" s="30"/>
      <c r="J34" s="105" t="s">
        <v>792</v>
      </c>
      <c r="K34" s="28">
        <v>155</v>
      </c>
      <c r="L34" s="30">
        <v>8</v>
      </c>
      <c r="M34" s="30"/>
      <c r="N34" s="31" t="s">
        <v>793</v>
      </c>
      <c r="O34" s="91">
        <v>39</v>
      </c>
      <c r="P34" s="91">
        <v>31.1</v>
      </c>
      <c r="Q34" s="32">
        <v>3</v>
      </c>
      <c r="R34" s="32">
        <v>0</v>
      </c>
      <c r="S34" s="32">
        <v>11</v>
      </c>
      <c r="T34" s="32">
        <v>5</v>
      </c>
      <c r="U34" s="32">
        <v>10</v>
      </c>
      <c r="V34" s="32">
        <v>1</v>
      </c>
      <c r="W34" s="32">
        <v>9</v>
      </c>
      <c r="X34" s="32">
        <v>1</v>
      </c>
      <c r="Y34" s="22">
        <f t="shared" si="1"/>
        <v>19</v>
      </c>
      <c r="Z34" s="22">
        <f t="shared" si="2"/>
        <v>21</v>
      </c>
      <c r="AA34" s="22">
        <f t="shared" si="3"/>
        <v>152</v>
      </c>
      <c r="AB34" s="22">
        <f t="shared" si="4"/>
        <v>155</v>
      </c>
      <c r="AC34" s="22">
        <f t="shared" si="5"/>
        <v>9</v>
      </c>
      <c r="AD34" s="22">
        <f t="shared" si="6"/>
        <v>8</v>
      </c>
    </row>
    <row r="35" spans="1:30" x14ac:dyDescent="0.15">
      <c r="A35" s="63" t="str">
        <f t="shared" si="0"/>
        <v>Sat</v>
      </c>
      <c r="B35" s="29">
        <v>37842</v>
      </c>
      <c r="C35" s="31" t="s">
        <v>392</v>
      </c>
      <c r="D35" s="30" t="s">
        <v>297</v>
      </c>
      <c r="E35" s="30" t="s">
        <v>277</v>
      </c>
      <c r="F35" s="30" t="s">
        <v>1</v>
      </c>
      <c r="G35" s="28">
        <v>202</v>
      </c>
      <c r="H35" s="30">
        <v>6</v>
      </c>
      <c r="I35" s="30"/>
      <c r="J35" s="105" t="s">
        <v>443</v>
      </c>
      <c r="K35" s="28">
        <v>138</v>
      </c>
      <c r="L35" s="30">
        <v>10</v>
      </c>
      <c r="M35" s="30"/>
      <c r="N35" s="31" t="s">
        <v>444</v>
      </c>
      <c r="O35" s="91">
        <v>33.4</v>
      </c>
      <c r="P35" s="91">
        <v>40</v>
      </c>
      <c r="Q35" s="32">
        <v>6</v>
      </c>
      <c r="R35" s="32">
        <v>3</v>
      </c>
      <c r="S35" s="32">
        <v>6</v>
      </c>
      <c r="T35" s="32">
        <v>1</v>
      </c>
      <c r="U35" s="32">
        <v>10</v>
      </c>
      <c r="V35" s="32">
        <v>4</v>
      </c>
      <c r="W35" s="32">
        <v>4</v>
      </c>
      <c r="X35" s="32">
        <v>4</v>
      </c>
      <c r="Y35" s="22">
        <f t="shared" si="1"/>
        <v>16</v>
      </c>
      <c r="Z35" s="22">
        <f t="shared" si="2"/>
        <v>22</v>
      </c>
      <c r="AA35" s="22">
        <f t="shared" si="3"/>
        <v>138</v>
      </c>
      <c r="AB35" s="22">
        <f t="shared" si="4"/>
        <v>202</v>
      </c>
      <c r="AC35" s="22">
        <f t="shared" si="5"/>
        <v>10</v>
      </c>
      <c r="AD35" s="22">
        <f t="shared" si="6"/>
        <v>6</v>
      </c>
    </row>
    <row r="36" spans="1:30" x14ac:dyDescent="0.15">
      <c r="A36" s="63" t="str">
        <f t="shared" si="0"/>
        <v>Sun</v>
      </c>
      <c r="B36" s="29">
        <v>37843</v>
      </c>
      <c r="C36" s="31" t="s">
        <v>809</v>
      </c>
      <c r="D36" s="30" t="s">
        <v>226</v>
      </c>
      <c r="E36" s="30" t="s">
        <v>227</v>
      </c>
      <c r="F36" s="30" t="s">
        <v>276</v>
      </c>
      <c r="G36" s="28">
        <v>212</v>
      </c>
      <c r="H36" s="30">
        <v>7</v>
      </c>
      <c r="I36" s="30"/>
      <c r="J36" s="105" t="s">
        <v>810</v>
      </c>
      <c r="K36" s="28">
        <v>163</v>
      </c>
      <c r="L36" s="30">
        <v>10</v>
      </c>
      <c r="M36" s="30"/>
      <c r="N36" s="31" t="s">
        <v>811</v>
      </c>
      <c r="O36" s="91">
        <v>40</v>
      </c>
      <c r="P36" s="91">
        <v>35.1</v>
      </c>
      <c r="Q36" s="32">
        <v>13</v>
      </c>
      <c r="R36" s="32">
        <v>3</v>
      </c>
      <c r="S36" s="32">
        <v>0</v>
      </c>
      <c r="T36" s="32">
        <v>0</v>
      </c>
      <c r="U36" s="32">
        <v>12</v>
      </c>
      <c r="V36" s="32">
        <v>3</v>
      </c>
      <c r="W36" s="32">
        <v>14</v>
      </c>
      <c r="X36" s="32">
        <v>4</v>
      </c>
      <c r="Y36" s="22">
        <f t="shared" si="1"/>
        <v>16</v>
      </c>
      <c r="Z36" s="22">
        <f t="shared" si="2"/>
        <v>33</v>
      </c>
      <c r="AA36" s="22">
        <f t="shared" si="3"/>
        <v>212</v>
      </c>
      <c r="AB36" s="22">
        <f t="shared" si="4"/>
        <v>163</v>
      </c>
      <c r="AC36" s="22">
        <f t="shared" si="5"/>
        <v>7</v>
      </c>
      <c r="AD36" s="22">
        <f t="shared" si="6"/>
        <v>10</v>
      </c>
    </row>
    <row r="37" spans="1:30" x14ac:dyDescent="0.15">
      <c r="A37" s="63" t="str">
        <f t="shared" si="0"/>
        <v>Sat</v>
      </c>
      <c r="B37" s="29">
        <v>37849</v>
      </c>
      <c r="C37" s="31" t="s">
        <v>393</v>
      </c>
      <c r="D37" s="30" t="s">
        <v>226</v>
      </c>
      <c r="E37" s="30" t="s">
        <v>368</v>
      </c>
      <c r="F37" s="30" t="s">
        <v>1</v>
      </c>
      <c r="G37" s="28">
        <v>224</v>
      </c>
      <c r="H37" s="30">
        <v>7</v>
      </c>
      <c r="I37" s="30"/>
      <c r="J37" s="105" t="s">
        <v>461</v>
      </c>
      <c r="K37" s="28">
        <v>164</v>
      </c>
      <c r="L37" s="30">
        <v>8</v>
      </c>
      <c r="M37" s="30"/>
      <c r="N37" s="31" t="s">
        <v>462</v>
      </c>
      <c r="O37" s="91">
        <v>36</v>
      </c>
      <c r="P37" s="91">
        <v>43</v>
      </c>
      <c r="Q37" s="32">
        <v>11</v>
      </c>
      <c r="R37" s="32">
        <v>0</v>
      </c>
      <c r="S37" s="32">
        <v>2</v>
      </c>
      <c r="T37" s="32">
        <v>2</v>
      </c>
      <c r="U37" s="32">
        <v>14</v>
      </c>
      <c r="V37" s="32">
        <v>0</v>
      </c>
      <c r="W37" s="32">
        <v>3</v>
      </c>
      <c r="X37" s="32">
        <v>3</v>
      </c>
      <c r="Y37" s="22">
        <f t="shared" si="1"/>
        <v>15</v>
      </c>
      <c r="Z37" s="22">
        <f t="shared" si="2"/>
        <v>20</v>
      </c>
      <c r="AA37" s="22">
        <f t="shared" si="3"/>
        <v>164</v>
      </c>
      <c r="AB37" s="22">
        <f t="shared" si="4"/>
        <v>224</v>
      </c>
      <c r="AC37" s="22">
        <f t="shared" si="5"/>
        <v>8</v>
      </c>
      <c r="AD37" s="22">
        <f t="shared" si="6"/>
        <v>7</v>
      </c>
    </row>
    <row r="38" spans="1:30" x14ac:dyDescent="0.15">
      <c r="A38" s="63" t="str">
        <f t="shared" si="0"/>
        <v>Sun</v>
      </c>
      <c r="B38" s="29">
        <v>37850</v>
      </c>
      <c r="C38" s="31" t="s">
        <v>394</v>
      </c>
      <c r="D38" s="30" t="s">
        <v>226</v>
      </c>
      <c r="E38" s="30" t="s">
        <v>227</v>
      </c>
      <c r="F38" s="30" t="s">
        <v>1</v>
      </c>
      <c r="G38" s="28">
        <v>147</v>
      </c>
      <c r="H38" s="30">
        <v>10</v>
      </c>
      <c r="I38" s="30"/>
      <c r="J38" s="105" t="s">
        <v>828</v>
      </c>
      <c r="K38" s="28">
        <v>150</v>
      </c>
      <c r="L38" s="30">
        <v>7</v>
      </c>
      <c r="M38" s="30"/>
      <c r="N38" s="31" t="s">
        <v>829</v>
      </c>
      <c r="O38" s="91">
        <v>39</v>
      </c>
      <c r="P38" s="91">
        <v>31.2</v>
      </c>
      <c r="Q38" s="32">
        <v>9</v>
      </c>
      <c r="R38" s="32">
        <v>3</v>
      </c>
      <c r="S38" s="32">
        <v>0</v>
      </c>
      <c r="T38" s="32">
        <v>6</v>
      </c>
      <c r="U38" s="32">
        <v>8</v>
      </c>
      <c r="V38" s="32">
        <v>6</v>
      </c>
      <c r="W38" s="32">
        <v>6</v>
      </c>
      <c r="X38" s="32">
        <v>7</v>
      </c>
      <c r="Y38" s="22">
        <f t="shared" si="1"/>
        <v>18</v>
      </c>
      <c r="Z38" s="22">
        <f t="shared" si="2"/>
        <v>27</v>
      </c>
      <c r="AA38" s="22">
        <f t="shared" si="3"/>
        <v>150</v>
      </c>
      <c r="AB38" s="22">
        <f t="shared" si="4"/>
        <v>147</v>
      </c>
      <c r="AC38" s="22">
        <f t="shared" si="5"/>
        <v>7</v>
      </c>
      <c r="AD38" s="22">
        <f t="shared" si="6"/>
        <v>10</v>
      </c>
    </row>
    <row r="39" spans="1:30" x14ac:dyDescent="0.15">
      <c r="A39" s="63" t="str">
        <f t="shared" si="0"/>
        <v>Sat</v>
      </c>
      <c r="B39" s="29">
        <v>37856</v>
      </c>
      <c r="C39" s="31" t="s">
        <v>394</v>
      </c>
      <c r="D39" s="30" t="s">
        <v>226</v>
      </c>
      <c r="E39" s="30" t="s">
        <v>277</v>
      </c>
      <c r="F39" s="30" t="s">
        <v>1</v>
      </c>
      <c r="G39" s="28">
        <v>286</v>
      </c>
      <c r="H39" s="30">
        <v>3</v>
      </c>
      <c r="I39" s="30"/>
      <c r="J39" s="105" t="s">
        <v>484</v>
      </c>
      <c r="K39" s="28">
        <v>139</v>
      </c>
      <c r="L39" s="30">
        <v>5</v>
      </c>
      <c r="M39" s="30"/>
      <c r="N39" s="31" t="s">
        <v>485</v>
      </c>
      <c r="O39" s="91">
        <v>35</v>
      </c>
      <c r="P39" s="91">
        <v>35</v>
      </c>
      <c r="Q39" s="32">
        <v>22</v>
      </c>
      <c r="R39" s="32">
        <v>7</v>
      </c>
      <c r="S39" s="32">
        <v>3</v>
      </c>
      <c r="T39" s="32">
        <v>1</v>
      </c>
      <c r="U39" s="32">
        <v>18</v>
      </c>
      <c r="V39" s="32">
        <v>0</v>
      </c>
      <c r="W39" s="32">
        <v>1</v>
      </c>
      <c r="X39" s="32">
        <v>0</v>
      </c>
      <c r="Y39" s="22">
        <f t="shared" si="1"/>
        <v>33</v>
      </c>
      <c r="Z39" s="22">
        <f t="shared" si="2"/>
        <v>19</v>
      </c>
      <c r="AA39" s="22">
        <f t="shared" si="3"/>
        <v>139</v>
      </c>
      <c r="AB39" s="22">
        <f t="shared" si="4"/>
        <v>286</v>
      </c>
      <c r="AC39" s="22">
        <f t="shared" si="5"/>
        <v>5</v>
      </c>
      <c r="AD39" s="22">
        <f t="shared" si="6"/>
        <v>3</v>
      </c>
    </row>
    <row r="40" spans="1:30" ht="21" x14ac:dyDescent="0.15">
      <c r="A40" s="63" t="str">
        <f t="shared" si="0"/>
        <v>Sun</v>
      </c>
      <c r="B40" s="29">
        <v>37857</v>
      </c>
      <c r="C40" s="31" t="s">
        <v>844</v>
      </c>
      <c r="D40" s="30" t="s">
        <v>226</v>
      </c>
      <c r="E40" s="30" t="s">
        <v>227</v>
      </c>
      <c r="F40" s="30" t="s">
        <v>1</v>
      </c>
      <c r="G40" s="28">
        <v>132</v>
      </c>
      <c r="H40" s="30">
        <v>9</v>
      </c>
      <c r="I40" s="30"/>
      <c r="J40" s="105" t="s">
        <v>850</v>
      </c>
      <c r="K40" s="28">
        <v>139</v>
      </c>
      <c r="L40" s="30">
        <v>5</v>
      </c>
      <c r="M40" s="30"/>
      <c r="N40" s="31" t="s">
        <v>851</v>
      </c>
      <c r="O40" s="91">
        <v>19.5</v>
      </c>
      <c r="P40" s="91">
        <v>37.1</v>
      </c>
      <c r="Q40" s="32">
        <v>18</v>
      </c>
      <c r="R40" s="32">
        <v>0</v>
      </c>
      <c r="S40" s="32">
        <v>5</v>
      </c>
      <c r="T40" s="32">
        <v>1</v>
      </c>
      <c r="U40" s="32">
        <v>11</v>
      </c>
      <c r="V40" s="32">
        <v>1</v>
      </c>
      <c r="W40" s="32">
        <v>1</v>
      </c>
      <c r="X40" s="32">
        <v>1</v>
      </c>
      <c r="Y40" s="22">
        <f t="shared" si="1"/>
        <v>24</v>
      </c>
      <c r="Z40" s="22">
        <f t="shared" si="2"/>
        <v>14</v>
      </c>
      <c r="AA40" s="22">
        <f t="shared" si="3"/>
        <v>139</v>
      </c>
      <c r="AB40" s="22">
        <f t="shared" si="4"/>
        <v>132</v>
      </c>
      <c r="AC40" s="22">
        <f t="shared" si="5"/>
        <v>5</v>
      </c>
      <c r="AD40" s="22">
        <f t="shared" si="6"/>
        <v>9</v>
      </c>
    </row>
    <row r="41" spans="1:30" x14ac:dyDescent="0.15">
      <c r="A41" s="63" t="str">
        <f t="shared" si="0"/>
        <v>Sat</v>
      </c>
      <c r="B41" s="29">
        <v>37863</v>
      </c>
      <c r="C41" s="31" t="s">
        <v>261</v>
      </c>
      <c r="D41" s="30" t="s">
        <v>297</v>
      </c>
      <c r="E41" s="30" t="s">
        <v>277</v>
      </c>
      <c r="F41" s="30" t="s">
        <v>1</v>
      </c>
      <c r="G41" s="28">
        <v>179</v>
      </c>
      <c r="H41" s="30">
        <v>10</v>
      </c>
      <c r="I41" s="30"/>
      <c r="J41" s="105" t="s">
        <v>496</v>
      </c>
      <c r="K41" s="28">
        <v>67</v>
      </c>
      <c r="L41" s="30">
        <v>10</v>
      </c>
      <c r="M41" s="30"/>
      <c r="N41" s="31" t="s">
        <v>497</v>
      </c>
      <c r="O41" s="91">
        <v>25.1</v>
      </c>
      <c r="P41" s="91">
        <v>41.1</v>
      </c>
      <c r="Q41" s="32">
        <v>7</v>
      </c>
      <c r="R41" s="32">
        <v>0</v>
      </c>
      <c r="S41" s="32">
        <v>13</v>
      </c>
      <c r="T41" s="32">
        <v>2</v>
      </c>
      <c r="U41" s="32">
        <v>1</v>
      </c>
      <c r="V41" s="32">
        <v>3</v>
      </c>
      <c r="W41" s="32">
        <v>4</v>
      </c>
      <c r="X41" s="32">
        <v>2</v>
      </c>
      <c r="Y41" s="22">
        <f t="shared" si="1"/>
        <v>22</v>
      </c>
      <c r="Z41" s="22">
        <f t="shared" si="2"/>
        <v>10</v>
      </c>
      <c r="AA41" s="22">
        <f t="shared" si="3"/>
        <v>67</v>
      </c>
      <c r="AB41" s="22">
        <f t="shared" si="4"/>
        <v>179</v>
      </c>
      <c r="AC41" s="22">
        <f t="shared" si="5"/>
        <v>10</v>
      </c>
      <c r="AD41" s="22">
        <f t="shared" si="6"/>
        <v>10</v>
      </c>
    </row>
    <row r="42" spans="1:30" x14ac:dyDescent="0.15">
      <c r="A42" s="63" t="str">
        <f t="shared" si="0"/>
        <v>Sun</v>
      </c>
      <c r="B42" s="29">
        <v>37864</v>
      </c>
      <c r="C42" s="31"/>
      <c r="D42" s="30"/>
      <c r="E42" s="30"/>
      <c r="F42" s="30"/>
      <c r="G42" s="28"/>
      <c r="H42" s="30"/>
      <c r="I42" s="30"/>
      <c r="J42" s="105"/>
      <c r="K42" s="28"/>
      <c r="L42" s="30"/>
      <c r="M42" s="30"/>
      <c r="N42" s="31"/>
      <c r="O42" s="91"/>
      <c r="P42" s="91"/>
      <c r="Q42" s="32"/>
      <c r="R42" s="32"/>
      <c r="S42" s="32"/>
      <c r="T42" s="32"/>
      <c r="U42" s="32"/>
      <c r="V42" s="32"/>
      <c r="W42" s="32"/>
      <c r="X42" s="32"/>
      <c r="Y42" s="22">
        <f t="shared" si="1"/>
        <v>0</v>
      </c>
      <c r="Z42" s="22">
        <f t="shared" si="2"/>
        <v>0</v>
      </c>
      <c r="AA42" s="22">
        <f t="shared" si="3"/>
        <v>0</v>
      </c>
      <c r="AB42" s="22">
        <f t="shared" si="4"/>
        <v>0</v>
      </c>
      <c r="AC42" s="22">
        <f t="shared" si="5"/>
        <v>0</v>
      </c>
      <c r="AD42" s="22">
        <f t="shared" si="6"/>
        <v>0</v>
      </c>
    </row>
    <row r="43" spans="1:30" x14ac:dyDescent="0.15">
      <c r="A43" s="63" t="str">
        <f t="shared" si="0"/>
        <v>Sat</v>
      </c>
      <c r="B43" s="29">
        <v>37870</v>
      </c>
      <c r="C43" s="31" t="s">
        <v>391</v>
      </c>
      <c r="D43" s="30" t="s">
        <v>226</v>
      </c>
      <c r="E43" s="30" t="s">
        <v>277</v>
      </c>
      <c r="F43" s="30" t="s">
        <v>1</v>
      </c>
      <c r="G43" s="28">
        <v>199</v>
      </c>
      <c r="H43" s="30">
        <v>10</v>
      </c>
      <c r="I43" s="30"/>
      <c r="J43" s="105" t="s">
        <v>514</v>
      </c>
      <c r="K43" s="28">
        <v>135</v>
      </c>
      <c r="L43" s="30">
        <v>9</v>
      </c>
      <c r="M43" s="30"/>
      <c r="N43" s="31" t="s">
        <v>515</v>
      </c>
      <c r="O43" s="91">
        <v>39.4</v>
      </c>
      <c r="P43" s="91">
        <v>47</v>
      </c>
      <c r="Q43" s="32">
        <v>3</v>
      </c>
      <c r="R43" s="32">
        <v>0</v>
      </c>
      <c r="S43" s="32">
        <v>15</v>
      </c>
      <c r="T43" s="32">
        <v>4</v>
      </c>
      <c r="U43" s="32">
        <v>6</v>
      </c>
      <c r="V43" s="32">
        <v>3</v>
      </c>
      <c r="W43" s="32">
        <v>19</v>
      </c>
      <c r="X43" s="32">
        <v>0</v>
      </c>
      <c r="Y43" s="22">
        <f t="shared" si="1"/>
        <v>22</v>
      </c>
      <c r="Z43" s="22">
        <f t="shared" si="2"/>
        <v>28</v>
      </c>
      <c r="AA43" s="22">
        <f t="shared" si="3"/>
        <v>135</v>
      </c>
      <c r="AB43" s="22">
        <f t="shared" si="4"/>
        <v>199</v>
      </c>
      <c r="AC43" s="22">
        <f t="shared" si="5"/>
        <v>9</v>
      </c>
      <c r="AD43" s="22">
        <f t="shared" si="6"/>
        <v>10</v>
      </c>
    </row>
    <row r="44" spans="1:30" x14ac:dyDescent="0.15">
      <c r="A44" s="63" t="str">
        <f t="shared" si="0"/>
        <v>Sun</v>
      </c>
      <c r="B44" s="29">
        <v>37871</v>
      </c>
      <c r="C44" s="31"/>
      <c r="D44" s="30"/>
      <c r="E44" s="30"/>
      <c r="F44" s="30"/>
      <c r="G44" s="28"/>
      <c r="H44" s="30"/>
      <c r="I44" s="30"/>
      <c r="J44" s="105"/>
      <c r="K44" s="28"/>
      <c r="L44" s="30"/>
      <c r="M44" s="30"/>
      <c r="N44" s="31"/>
      <c r="O44" s="91"/>
      <c r="P44" s="91"/>
      <c r="Q44" s="32"/>
      <c r="R44" s="32"/>
      <c r="S44" s="32"/>
      <c r="T44" s="32"/>
      <c r="U44" s="32"/>
      <c r="V44" s="32"/>
      <c r="W44" s="32"/>
      <c r="X44" s="32"/>
      <c r="Y44" s="22">
        <f t="shared" si="1"/>
        <v>0</v>
      </c>
      <c r="Z44" s="22">
        <f t="shared" si="2"/>
        <v>0</v>
      </c>
      <c r="AA44" s="22">
        <f t="shared" si="3"/>
        <v>0</v>
      </c>
      <c r="AB44" s="22">
        <f t="shared" si="4"/>
        <v>0</v>
      </c>
      <c r="AC44" s="22">
        <f t="shared" si="5"/>
        <v>0</v>
      </c>
      <c r="AD44" s="22">
        <f t="shared" si="6"/>
        <v>0</v>
      </c>
    </row>
    <row r="45" spans="1:30" x14ac:dyDescent="0.15">
      <c r="A45" s="63" t="str">
        <f t="shared" si="0"/>
        <v>Sat</v>
      </c>
      <c r="B45" s="29">
        <v>37877</v>
      </c>
      <c r="C45" s="31"/>
      <c r="D45" s="30"/>
      <c r="E45" s="30"/>
      <c r="F45" s="30"/>
      <c r="G45" s="28"/>
      <c r="H45" s="30"/>
      <c r="I45" s="30"/>
      <c r="J45" s="105"/>
      <c r="K45" s="28"/>
      <c r="L45" s="30"/>
      <c r="M45" s="30"/>
      <c r="N45" s="31"/>
      <c r="O45" s="91"/>
      <c r="P45" s="91"/>
      <c r="Q45" s="32"/>
      <c r="R45" s="32"/>
      <c r="S45" s="32"/>
      <c r="T45" s="32"/>
      <c r="U45" s="32"/>
      <c r="V45" s="32"/>
      <c r="W45" s="32"/>
      <c r="X45" s="32"/>
      <c r="Y45" s="22">
        <f t="shared" si="1"/>
        <v>0</v>
      </c>
      <c r="Z45" s="22">
        <f t="shared" si="2"/>
        <v>0</v>
      </c>
      <c r="AA45" s="22">
        <f t="shared" si="3"/>
        <v>0</v>
      </c>
      <c r="AB45" s="22">
        <f t="shared" si="4"/>
        <v>0</v>
      </c>
      <c r="AC45" s="22">
        <f t="shared" si="5"/>
        <v>0</v>
      </c>
      <c r="AD45" s="22">
        <f t="shared" si="6"/>
        <v>0</v>
      </c>
    </row>
    <row r="46" spans="1:30" x14ac:dyDescent="0.15">
      <c r="A46" s="63" t="str">
        <f t="shared" si="0"/>
        <v>Sun</v>
      </c>
      <c r="B46" s="29">
        <v>37878</v>
      </c>
      <c r="C46" s="31" t="s">
        <v>859</v>
      </c>
      <c r="D46" s="30" t="s">
        <v>226</v>
      </c>
      <c r="E46" s="30" t="s">
        <v>227</v>
      </c>
      <c r="F46" s="30" t="s">
        <v>276</v>
      </c>
      <c r="G46" s="28">
        <v>171</v>
      </c>
      <c r="H46" s="30">
        <v>2</v>
      </c>
      <c r="I46" s="30"/>
      <c r="J46" s="105" t="s">
        <v>860</v>
      </c>
      <c r="K46" s="28">
        <v>170</v>
      </c>
      <c r="L46" s="30">
        <v>10</v>
      </c>
      <c r="M46" s="30"/>
      <c r="N46" s="31"/>
      <c r="O46" s="91">
        <v>27.5</v>
      </c>
      <c r="P46" s="91">
        <v>37.200000000000003</v>
      </c>
      <c r="Q46" s="32">
        <v>8</v>
      </c>
      <c r="R46" s="32">
        <v>0</v>
      </c>
      <c r="S46" s="32">
        <v>8</v>
      </c>
      <c r="T46" s="32">
        <v>1</v>
      </c>
      <c r="U46" s="32">
        <v>3</v>
      </c>
      <c r="V46" s="32">
        <v>1</v>
      </c>
      <c r="W46" s="32">
        <v>14</v>
      </c>
      <c r="X46" s="32">
        <v>2</v>
      </c>
      <c r="Y46" s="22">
        <f>SUM(Q46:T46)</f>
        <v>17</v>
      </c>
      <c r="Z46" s="22">
        <f>SUM(U46:X46)</f>
        <v>20</v>
      </c>
      <c r="AA46" s="22">
        <f>IF(F46="TOCC",G46,K46)</f>
        <v>171</v>
      </c>
      <c r="AB46" s="22">
        <f>IF(F46&lt;&gt;"TOCC",G46,K46)</f>
        <v>170</v>
      </c>
      <c r="AC46" s="22">
        <f>IF(F46="TOCC",H46,L46)</f>
        <v>2</v>
      </c>
      <c r="AD46" s="22">
        <f>IF(F46&lt;&gt;"TOCC",H46,L46)</f>
        <v>10</v>
      </c>
    </row>
    <row r="47" spans="1:30" x14ac:dyDescent="0.15">
      <c r="A47" s="63" t="str">
        <f t="shared" si="0"/>
        <v>Sat</v>
      </c>
      <c r="B47" s="29">
        <v>37884</v>
      </c>
      <c r="C47" s="31" t="s">
        <v>395</v>
      </c>
      <c r="D47" s="30" t="s">
        <v>297</v>
      </c>
      <c r="E47" s="30" t="s">
        <v>227</v>
      </c>
      <c r="F47" s="30" t="s">
        <v>1</v>
      </c>
      <c r="G47" s="28">
        <v>161</v>
      </c>
      <c r="H47" s="30">
        <v>10</v>
      </c>
      <c r="I47" s="30"/>
      <c r="J47" s="105"/>
      <c r="K47" s="28">
        <v>165</v>
      </c>
      <c r="L47" s="30">
        <v>6</v>
      </c>
      <c r="M47" s="30"/>
      <c r="N47" s="31" t="s">
        <v>529</v>
      </c>
      <c r="O47" s="91">
        <v>34</v>
      </c>
      <c r="P47" s="91">
        <v>33.4</v>
      </c>
      <c r="Q47" s="32">
        <v>25</v>
      </c>
      <c r="R47" s="32">
        <v>1</v>
      </c>
      <c r="S47" s="32">
        <v>2</v>
      </c>
      <c r="T47" s="32">
        <v>0</v>
      </c>
      <c r="U47" s="32">
        <v>6</v>
      </c>
      <c r="V47" s="32">
        <v>0</v>
      </c>
      <c r="W47" s="32">
        <v>16</v>
      </c>
      <c r="X47" s="32">
        <v>1</v>
      </c>
      <c r="Y47" s="22">
        <f>SUM(Q47:T47)</f>
        <v>28</v>
      </c>
      <c r="Z47" s="22">
        <f>SUM(U47:X47)</f>
        <v>23</v>
      </c>
      <c r="AA47" s="22">
        <f t="shared" si="3"/>
        <v>165</v>
      </c>
      <c r="AB47" s="22">
        <f t="shared" si="4"/>
        <v>161</v>
      </c>
      <c r="AC47" s="22">
        <f t="shared" si="5"/>
        <v>6</v>
      </c>
      <c r="AD47" s="22">
        <f t="shared" si="6"/>
        <v>10</v>
      </c>
    </row>
    <row r="48" spans="1:30" x14ac:dyDescent="0.15">
      <c r="A48" s="63" t="str">
        <f t="shared" si="0"/>
        <v>Sat</v>
      </c>
      <c r="B48" s="29"/>
      <c r="C48" s="31"/>
      <c r="D48" s="30"/>
      <c r="E48" s="30"/>
      <c r="F48" s="30"/>
      <c r="G48" s="28"/>
      <c r="H48" s="30"/>
      <c r="I48" s="30"/>
      <c r="J48" s="105"/>
      <c r="K48" s="28"/>
      <c r="L48" s="30"/>
      <c r="M48" s="30"/>
      <c r="N48" s="31"/>
      <c r="O48" s="91"/>
      <c r="P48" s="91"/>
      <c r="Q48" s="32"/>
      <c r="R48" s="32"/>
      <c r="S48" s="32"/>
      <c r="T48" s="32"/>
      <c r="U48" s="32"/>
      <c r="V48" s="32"/>
      <c r="W48" s="32"/>
      <c r="X48" s="32"/>
      <c r="Y48" s="22">
        <f t="shared" si="1"/>
        <v>0</v>
      </c>
      <c r="Z48" s="22">
        <f t="shared" si="2"/>
        <v>0</v>
      </c>
      <c r="AA48" s="22">
        <f t="shared" si="3"/>
        <v>0</v>
      </c>
      <c r="AB48" s="22">
        <f t="shared" si="4"/>
        <v>0</v>
      </c>
      <c r="AC48" s="22">
        <f t="shared" si="5"/>
        <v>0</v>
      </c>
      <c r="AD48" s="22">
        <f t="shared" si="6"/>
        <v>0</v>
      </c>
    </row>
    <row r="49" spans="1:30" x14ac:dyDescent="0.15">
      <c r="A49" s="63" t="str">
        <f t="shared" si="0"/>
        <v>Sat</v>
      </c>
      <c r="B49" s="29"/>
      <c r="C49" s="31"/>
      <c r="D49" s="30"/>
      <c r="E49" s="30"/>
      <c r="F49" s="30"/>
      <c r="G49" s="28"/>
      <c r="H49" s="30"/>
      <c r="I49" s="30"/>
      <c r="J49" s="105"/>
      <c r="K49" s="28"/>
      <c r="L49" s="30"/>
      <c r="M49" s="30"/>
      <c r="N49" s="31"/>
      <c r="O49" s="91"/>
      <c r="P49" s="91"/>
      <c r="Q49" s="32"/>
      <c r="R49" s="32"/>
      <c r="S49" s="32"/>
      <c r="T49" s="32"/>
      <c r="U49" s="32"/>
      <c r="V49" s="32"/>
      <c r="W49" s="32"/>
      <c r="X49" s="32"/>
      <c r="Y49" s="22">
        <f t="shared" si="1"/>
        <v>0</v>
      </c>
      <c r="Z49" s="22">
        <f t="shared" si="2"/>
        <v>0</v>
      </c>
      <c r="AA49" s="22">
        <f t="shared" si="3"/>
        <v>0</v>
      </c>
      <c r="AB49" s="22">
        <f t="shared" si="4"/>
        <v>0</v>
      </c>
      <c r="AC49" s="22">
        <f t="shared" si="5"/>
        <v>0</v>
      </c>
      <c r="AD49" s="22">
        <f t="shared" si="6"/>
        <v>0</v>
      </c>
    </row>
    <row r="50" spans="1:30" x14ac:dyDescent="0.15">
      <c r="A50" s="63" t="str">
        <f t="shared" si="0"/>
        <v>Sat</v>
      </c>
      <c r="B50" s="29"/>
      <c r="C50" s="31"/>
      <c r="D50" s="30"/>
      <c r="E50" s="30"/>
      <c r="F50" s="30"/>
      <c r="G50" s="28"/>
      <c r="H50" s="30"/>
      <c r="I50" s="30"/>
      <c r="J50" s="105"/>
      <c r="K50" s="28"/>
      <c r="L50" s="30"/>
      <c r="M50" s="30"/>
      <c r="N50" s="31"/>
      <c r="O50" s="91"/>
      <c r="P50" s="91"/>
      <c r="Q50" s="32"/>
      <c r="R50" s="32"/>
      <c r="S50" s="32"/>
      <c r="T50" s="32"/>
      <c r="U50" s="32"/>
      <c r="V50" s="32"/>
      <c r="W50" s="32"/>
      <c r="X50" s="32"/>
      <c r="Y50" s="22">
        <f t="shared" si="1"/>
        <v>0</v>
      </c>
      <c r="Z50" s="22">
        <f t="shared" si="2"/>
        <v>0</v>
      </c>
      <c r="AA50" s="22">
        <f t="shared" si="3"/>
        <v>0</v>
      </c>
      <c r="AB50" s="22">
        <f t="shared" si="4"/>
        <v>0</v>
      </c>
      <c r="AC50" s="22">
        <f t="shared" si="5"/>
        <v>0</v>
      </c>
      <c r="AD50" s="22">
        <f t="shared" si="6"/>
        <v>0</v>
      </c>
    </row>
    <row r="51" spans="1:30" x14ac:dyDescent="0.15">
      <c r="A51" s="63" t="str">
        <f t="shared" si="0"/>
        <v>Sat</v>
      </c>
      <c r="B51" s="29"/>
      <c r="C51" s="31"/>
      <c r="D51" s="30"/>
      <c r="E51" s="30"/>
      <c r="F51" s="30"/>
      <c r="G51" s="28"/>
      <c r="H51" s="30"/>
      <c r="I51" s="30"/>
      <c r="J51" s="105"/>
      <c r="K51" s="28"/>
      <c r="L51" s="30"/>
      <c r="M51" s="30"/>
      <c r="N51" s="31"/>
      <c r="O51" s="91"/>
      <c r="P51" s="91"/>
      <c r="Q51" s="32"/>
      <c r="R51" s="32"/>
      <c r="S51" s="32"/>
      <c r="T51" s="32"/>
      <c r="U51" s="32"/>
      <c r="V51" s="32"/>
      <c r="W51" s="32"/>
      <c r="X51" s="32"/>
      <c r="Y51" s="22">
        <f t="shared" si="1"/>
        <v>0</v>
      </c>
      <c r="Z51" s="22">
        <f t="shared" si="2"/>
        <v>0</v>
      </c>
      <c r="AA51" s="22">
        <f t="shared" si="3"/>
        <v>0</v>
      </c>
      <c r="AB51" s="22">
        <f t="shared" si="4"/>
        <v>0</v>
      </c>
      <c r="AC51" s="22">
        <f t="shared" si="5"/>
        <v>0</v>
      </c>
      <c r="AD51" s="22">
        <f t="shared" si="6"/>
        <v>0</v>
      </c>
    </row>
    <row r="52" spans="1:30" x14ac:dyDescent="0.15">
      <c r="A52" s="63" t="str">
        <f t="shared" si="0"/>
        <v>Sat</v>
      </c>
      <c r="B52" s="29"/>
      <c r="C52" s="31"/>
      <c r="D52" s="30"/>
      <c r="E52" s="30"/>
      <c r="F52" s="30"/>
      <c r="G52" s="28"/>
      <c r="H52" s="30"/>
      <c r="I52" s="30"/>
      <c r="J52" s="105"/>
      <c r="K52" s="28"/>
      <c r="L52" s="30"/>
      <c r="M52" s="30"/>
      <c r="N52" s="31"/>
      <c r="O52" s="91"/>
      <c r="P52" s="91"/>
      <c r="Q52" s="32"/>
      <c r="R52" s="32"/>
      <c r="S52" s="32"/>
      <c r="T52" s="32"/>
      <c r="U52" s="32"/>
      <c r="V52" s="32"/>
      <c r="W52" s="32"/>
      <c r="X52" s="32"/>
      <c r="Y52" s="22">
        <f t="shared" si="1"/>
        <v>0</v>
      </c>
      <c r="Z52" s="22">
        <f t="shared" si="2"/>
        <v>0</v>
      </c>
      <c r="AA52" s="22">
        <f t="shared" si="3"/>
        <v>0</v>
      </c>
      <c r="AB52" s="22">
        <f t="shared" si="4"/>
        <v>0</v>
      </c>
      <c r="AC52" s="22">
        <f t="shared" si="5"/>
        <v>0</v>
      </c>
      <c r="AD52" s="22">
        <f t="shared" si="6"/>
        <v>0</v>
      </c>
    </row>
    <row r="53" spans="1:30" x14ac:dyDescent="0.15">
      <c r="A53" s="63" t="str">
        <f t="shared" si="0"/>
        <v>Sat</v>
      </c>
      <c r="B53" s="29"/>
      <c r="C53" s="31"/>
      <c r="D53" s="30"/>
      <c r="E53" s="30"/>
      <c r="F53" s="30"/>
      <c r="G53" s="28"/>
      <c r="H53" s="30"/>
      <c r="I53" s="30"/>
      <c r="J53" s="105"/>
      <c r="K53" s="28"/>
      <c r="L53" s="30"/>
      <c r="M53" s="30"/>
      <c r="N53" s="31"/>
      <c r="O53" s="91"/>
      <c r="P53" s="91"/>
      <c r="Q53" s="32"/>
      <c r="R53" s="32"/>
      <c r="S53" s="32"/>
      <c r="T53" s="32"/>
      <c r="U53" s="32"/>
      <c r="V53" s="32"/>
      <c r="W53" s="32"/>
      <c r="X53" s="32"/>
      <c r="Y53" s="22">
        <f t="shared" si="1"/>
        <v>0</v>
      </c>
      <c r="Z53" s="22">
        <f t="shared" si="2"/>
        <v>0</v>
      </c>
      <c r="AA53" s="22">
        <f t="shared" si="3"/>
        <v>0</v>
      </c>
      <c r="AB53" s="22">
        <f t="shared" si="4"/>
        <v>0</v>
      </c>
      <c r="AC53" s="22">
        <f t="shared" si="5"/>
        <v>0</v>
      </c>
      <c r="AD53" s="22">
        <f t="shared" si="6"/>
        <v>0</v>
      </c>
    </row>
    <row r="54" spans="1:30" x14ac:dyDescent="0.15">
      <c r="A54" s="63" t="str">
        <f t="shared" si="0"/>
        <v>Sat</v>
      </c>
      <c r="B54" s="29"/>
      <c r="C54" s="111"/>
      <c r="D54" s="30"/>
      <c r="E54" s="30"/>
      <c r="F54" s="30"/>
      <c r="G54" s="28"/>
      <c r="H54" s="30"/>
      <c r="I54" s="30"/>
      <c r="J54" s="105"/>
      <c r="K54" s="28"/>
      <c r="L54" s="30"/>
      <c r="M54" s="30"/>
      <c r="N54" s="31"/>
      <c r="O54" s="91"/>
      <c r="P54" s="91"/>
      <c r="Q54" s="32"/>
      <c r="R54" s="32"/>
      <c r="S54" s="32"/>
      <c r="T54" s="32"/>
      <c r="U54" s="32"/>
      <c r="V54" s="32"/>
      <c r="W54" s="32"/>
      <c r="X54" s="32"/>
      <c r="Y54" s="22">
        <f t="shared" si="1"/>
        <v>0</v>
      </c>
      <c r="Z54" s="22">
        <f t="shared" si="2"/>
        <v>0</v>
      </c>
      <c r="AA54" s="22">
        <f t="shared" si="3"/>
        <v>0</v>
      </c>
      <c r="AB54" s="22">
        <f t="shared" si="4"/>
        <v>0</v>
      </c>
      <c r="AC54" s="22">
        <f t="shared" si="5"/>
        <v>0</v>
      </c>
      <c r="AD54" s="22">
        <f t="shared" si="6"/>
        <v>0</v>
      </c>
    </row>
    <row r="55" spans="1:30" x14ac:dyDescent="0.15">
      <c r="A55" s="63" t="str">
        <f t="shared" si="0"/>
        <v>Sat</v>
      </c>
      <c r="B55" s="29"/>
      <c r="C55" s="31"/>
      <c r="D55" s="30"/>
      <c r="E55" s="30"/>
      <c r="F55" s="30"/>
      <c r="G55" s="28"/>
      <c r="H55" s="30"/>
      <c r="I55" s="30"/>
      <c r="J55" s="105"/>
      <c r="K55" s="28"/>
      <c r="L55" s="30"/>
      <c r="M55" s="30"/>
      <c r="N55" s="31"/>
      <c r="O55" s="91"/>
      <c r="P55" s="91"/>
      <c r="Q55" s="32"/>
      <c r="R55" s="32"/>
      <c r="S55" s="32"/>
      <c r="T55" s="32"/>
      <c r="U55" s="32"/>
      <c r="V55" s="32"/>
      <c r="W55" s="32"/>
      <c r="X55" s="32"/>
      <c r="Y55" s="22">
        <f t="shared" si="1"/>
        <v>0</v>
      </c>
      <c r="Z55" s="22">
        <f t="shared" si="2"/>
        <v>0</v>
      </c>
      <c r="AA55" s="22">
        <f t="shared" si="3"/>
        <v>0</v>
      </c>
      <c r="AB55" s="22">
        <f t="shared" si="4"/>
        <v>0</v>
      </c>
      <c r="AC55" s="22">
        <f t="shared" si="5"/>
        <v>0</v>
      </c>
      <c r="AD55" s="22">
        <f t="shared" si="6"/>
        <v>0</v>
      </c>
    </row>
    <row r="56" spans="1:30" x14ac:dyDescent="0.15">
      <c r="A56" s="63" t="str">
        <f t="shared" si="0"/>
        <v>Sat</v>
      </c>
      <c r="B56" s="29"/>
      <c r="C56" s="31"/>
      <c r="D56" s="30"/>
      <c r="E56" s="30"/>
      <c r="F56" s="30"/>
      <c r="G56" s="28"/>
      <c r="H56" s="30"/>
      <c r="I56" s="30"/>
      <c r="J56" s="105"/>
      <c r="K56" s="28"/>
      <c r="L56" s="30"/>
      <c r="M56" s="30"/>
      <c r="N56" s="31"/>
      <c r="O56" s="91"/>
      <c r="P56" s="91"/>
      <c r="Q56" s="32"/>
      <c r="R56" s="32"/>
      <c r="S56" s="32"/>
      <c r="T56" s="32"/>
      <c r="U56" s="32"/>
      <c r="V56" s="32"/>
      <c r="W56" s="32"/>
      <c r="X56" s="32"/>
      <c r="Y56" s="22">
        <f t="shared" si="1"/>
        <v>0</v>
      </c>
      <c r="Z56" s="22">
        <f t="shared" si="2"/>
        <v>0</v>
      </c>
      <c r="AA56" s="22">
        <f t="shared" si="3"/>
        <v>0</v>
      </c>
      <c r="AB56" s="22">
        <f t="shared" si="4"/>
        <v>0</v>
      </c>
      <c r="AC56" s="22">
        <f t="shared" si="5"/>
        <v>0</v>
      </c>
      <c r="AD56" s="22">
        <f t="shared" si="6"/>
        <v>0</v>
      </c>
    </row>
    <row r="57" spans="1:30" x14ac:dyDescent="0.15">
      <c r="A57" s="63" t="str">
        <f t="shared" si="0"/>
        <v>Sat</v>
      </c>
      <c r="B57" s="29"/>
      <c r="C57" s="31"/>
      <c r="D57" s="30"/>
      <c r="E57" s="30"/>
      <c r="F57" s="30"/>
      <c r="G57" s="28"/>
      <c r="H57" s="30"/>
      <c r="I57" s="30"/>
      <c r="J57" s="105"/>
      <c r="K57" s="28"/>
      <c r="L57" s="30"/>
      <c r="M57" s="30"/>
      <c r="N57" s="31"/>
      <c r="O57" s="91"/>
      <c r="P57" s="91"/>
      <c r="Q57" s="32"/>
      <c r="R57" s="32"/>
      <c r="S57" s="32"/>
      <c r="T57" s="32"/>
      <c r="U57" s="32"/>
      <c r="V57" s="32"/>
      <c r="W57" s="32"/>
      <c r="X57" s="32"/>
      <c r="Y57" s="22">
        <f t="shared" si="1"/>
        <v>0</v>
      </c>
      <c r="Z57" s="22">
        <f t="shared" si="2"/>
        <v>0</v>
      </c>
      <c r="AA57" s="22">
        <f t="shared" si="3"/>
        <v>0</v>
      </c>
      <c r="AB57" s="22">
        <f t="shared" si="4"/>
        <v>0</v>
      </c>
      <c r="AC57" s="22">
        <f t="shared" si="5"/>
        <v>0</v>
      </c>
      <c r="AD57" s="22">
        <f t="shared" si="6"/>
        <v>0</v>
      </c>
    </row>
    <row r="58" spans="1:30" x14ac:dyDescent="0.15">
      <c r="A58" s="63" t="str">
        <f t="shared" si="0"/>
        <v>Sat</v>
      </c>
      <c r="B58" s="29"/>
      <c r="C58" s="31"/>
      <c r="D58" s="30"/>
      <c r="E58" s="30"/>
      <c r="F58" s="30"/>
      <c r="G58" s="28"/>
      <c r="H58" s="30"/>
      <c r="I58" s="30" t="s">
        <v>116</v>
      </c>
      <c r="J58" s="105"/>
      <c r="K58" s="28"/>
      <c r="L58" s="30"/>
      <c r="M58" s="30"/>
      <c r="N58" s="31"/>
      <c r="O58" s="91"/>
      <c r="P58" s="91"/>
      <c r="Q58" s="32"/>
      <c r="R58" s="32"/>
      <c r="S58" s="32"/>
      <c r="T58" s="32"/>
      <c r="U58" s="32"/>
      <c r="V58" s="32"/>
      <c r="W58" s="32"/>
      <c r="X58" s="32"/>
      <c r="Y58" s="22">
        <f t="shared" si="1"/>
        <v>0</v>
      </c>
      <c r="Z58" s="22">
        <f t="shared" si="2"/>
        <v>0</v>
      </c>
      <c r="AA58" s="22">
        <f t="shared" si="3"/>
        <v>0</v>
      </c>
      <c r="AB58" s="22">
        <f t="shared" si="4"/>
        <v>0</v>
      </c>
      <c r="AC58" s="22">
        <f t="shared" si="5"/>
        <v>0</v>
      </c>
      <c r="AD58" s="22">
        <f t="shared" si="6"/>
        <v>0</v>
      </c>
    </row>
    <row r="59" spans="1:30" x14ac:dyDescent="0.15">
      <c r="A59" s="63" t="str">
        <f t="shared" si="0"/>
        <v>Sat</v>
      </c>
      <c r="B59" s="29"/>
      <c r="C59" s="31"/>
      <c r="D59" s="30"/>
      <c r="E59" s="30"/>
      <c r="F59" s="30"/>
      <c r="G59" s="28"/>
      <c r="H59" s="30"/>
      <c r="I59" s="30" t="s">
        <v>116</v>
      </c>
      <c r="J59" s="105"/>
      <c r="K59" s="28"/>
      <c r="L59" s="30"/>
      <c r="M59" s="30"/>
      <c r="N59" s="31"/>
      <c r="O59" s="91"/>
      <c r="P59" s="91"/>
      <c r="Q59" s="32"/>
      <c r="R59" s="32"/>
      <c r="S59" s="32"/>
      <c r="T59" s="32"/>
      <c r="U59" s="32"/>
      <c r="V59" s="32"/>
      <c r="W59" s="32"/>
      <c r="X59" s="32"/>
      <c r="Y59" s="22">
        <f t="shared" si="1"/>
        <v>0</v>
      </c>
      <c r="Z59" s="22">
        <f t="shared" si="2"/>
        <v>0</v>
      </c>
      <c r="AA59" s="22">
        <f t="shared" si="3"/>
        <v>0</v>
      </c>
      <c r="AB59" s="22">
        <f t="shared" si="4"/>
        <v>0</v>
      </c>
      <c r="AC59" s="22">
        <f t="shared" si="5"/>
        <v>0</v>
      </c>
      <c r="AD59" s="22">
        <f t="shared" si="6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06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06"/>
      <c r="K61" s="33"/>
      <c r="L61" s="35"/>
      <c r="M61" s="35"/>
      <c r="N61" s="36" t="s">
        <v>173</v>
      </c>
      <c r="O61" s="36">
        <f>MAX(O5:O59)</f>
        <v>46</v>
      </c>
      <c r="P61" s="36">
        <f>MAX(P5:P59)</f>
        <v>51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06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06"/>
      <c r="K63" s="33"/>
      <c r="L63" s="35"/>
      <c r="M63" s="35"/>
      <c r="N63" s="36"/>
      <c r="O63" s="36">
        <f t="array" ref="O63">SUM(FLOOR(O5:O59,1))</f>
        <v>1145</v>
      </c>
      <c r="P63" s="36">
        <f t="array" ref="P63">SUM(FLOOR(P5:P59,1))</f>
        <v>1302</v>
      </c>
      <c r="Q63" s="37">
        <f>SUM(Q5:Q59)</f>
        <v>382</v>
      </c>
      <c r="R63" s="37">
        <f t="shared" ref="R63:Z63" si="7">SUM(R5:R59)</f>
        <v>53</v>
      </c>
      <c r="S63" s="37">
        <f t="shared" si="7"/>
        <v>181</v>
      </c>
      <c r="T63" s="37">
        <f t="shared" si="7"/>
        <v>84</v>
      </c>
      <c r="U63" s="37">
        <f t="shared" si="7"/>
        <v>273</v>
      </c>
      <c r="V63" s="37">
        <f t="shared" si="7"/>
        <v>79</v>
      </c>
      <c r="W63" s="37">
        <f t="shared" si="7"/>
        <v>244</v>
      </c>
      <c r="X63" s="37">
        <f t="shared" si="7"/>
        <v>72</v>
      </c>
      <c r="Y63" s="37">
        <f t="shared" si="7"/>
        <v>700</v>
      </c>
      <c r="Z63" s="37">
        <f t="shared" si="7"/>
        <v>668</v>
      </c>
      <c r="AA63" s="26">
        <f>SUM(AA5:AA59)</f>
        <v>4505</v>
      </c>
      <c r="AB63" s="26">
        <f>SUM(AB5:AB59)</f>
        <v>5315</v>
      </c>
      <c r="AC63" s="26">
        <f>SUM(AC5:AC59)</f>
        <v>264</v>
      </c>
      <c r="AD63" s="26">
        <f>SUM(AD5:AD59)</f>
        <v>286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06"/>
      <c r="K64" s="33"/>
      <c r="L64" s="35"/>
      <c r="M64" s="35"/>
      <c r="N64" s="36"/>
      <c r="O64" s="36">
        <f t="array" ref="O64">SUM(O5:O59-FLOOR(O5:O59,1))*10</f>
        <v>51.999999999999993</v>
      </c>
      <c r="P64" s="36">
        <f t="array" ref="P64">SUM(P5:P59-FLOOR(P5:P59,1))*10</f>
        <v>54.999999999999893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106"/>
      <c r="K65" s="33"/>
      <c r="L65" s="35"/>
      <c r="M65" s="35"/>
      <c r="N65" s="36" t="s">
        <v>172</v>
      </c>
      <c r="O65" s="36">
        <f>O63*6+O64</f>
        <v>6922</v>
      </c>
      <c r="P65" s="36">
        <f>P63*6+P64</f>
        <v>7867</v>
      </c>
      <c r="Q65" s="37"/>
      <c r="R65" s="37"/>
      <c r="S65" s="37">
        <f>MAX(S7:S59)</f>
        <v>15</v>
      </c>
      <c r="T65" s="37"/>
      <c r="U65" s="37"/>
      <c r="V65" s="37"/>
      <c r="W65" s="37">
        <f>MAX(W7:W59)</f>
        <v>21</v>
      </c>
      <c r="X65" s="37"/>
      <c r="Z65" s="26" t="s">
        <v>42</v>
      </c>
      <c r="AA65" s="26">
        <f>AA63/AC63</f>
        <v>17.064393939393938</v>
      </c>
      <c r="AB65" s="26">
        <f>AB63/AD63</f>
        <v>18.583916083916083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106"/>
      <c r="K66" s="33"/>
      <c r="L66" s="35"/>
      <c r="M66" s="35"/>
      <c r="N66" s="36" t="s">
        <v>254</v>
      </c>
      <c r="O66" s="36">
        <f>INT(O65/6)+(O65-INT(O65/6)*6)/10</f>
        <v>1153.4000000000001</v>
      </c>
      <c r="P66" s="36">
        <f>INT(P65/6)+(P65-INT(P65/6)*6)/10</f>
        <v>1311.1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106"/>
      <c r="K67" s="33"/>
      <c r="L67" s="35"/>
      <c r="M67" s="35"/>
      <c r="N67" s="36" t="s">
        <v>255</v>
      </c>
      <c r="O67" s="36">
        <f>AA63/O65*100</f>
        <v>65.082346142733314</v>
      </c>
      <c r="P67" s="36">
        <f>AB63/P65*100</f>
        <v>67.560696580653371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5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92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H125"/>
  <sheetViews>
    <sheetView workbookViewId="0">
      <pane xSplit="3" ySplit="4" topLeftCell="CM5" activePane="bottomRight" state="frozenSplit"/>
      <selection pane="topRight" activeCell="D1" sqref="D1"/>
      <selection pane="bottomLeft" activeCell="A4" sqref="A4"/>
      <selection pane="bottomRight" activeCell="DL17" sqref="DL17"/>
    </sheetView>
  </sheetViews>
  <sheetFormatPr defaultRowHeight="10.5" x14ac:dyDescent="0.15"/>
  <cols>
    <col min="1" max="1" width="6.28515625" style="71" bestFit="1" customWidth="1"/>
    <col min="2" max="2" width="7" style="71" bestFit="1" customWidth="1"/>
    <col min="3" max="3" width="12.85546875" style="71" bestFit="1" customWidth="1"/>
    <col min="4" max="4" width="13" style="71" customWidth="1"/>
    <col min="5" max="5" width="13.7109375" style="71" bestFit="1" customWidth="1"/>
    <col min="6" max="6" width="12.42578125" style="71" bestFit="1" customWidth="1"/>
    <col min="7" max="7" width="14.140625" style="71" bestFit="1" customWidth="1"/>
    <col min="8" max="8" width="11.85546875" style="71" bestFit="1" customWidth="1"/>
    <col min="9" max="9" width="13.5703125" style="71" bestFit="1" customWidth="1"/>
    <col min="10" max="10" width="12.28515625" style="71" bestFit="1" customWidth="1"/>
    <col min="11" max="11" width="12.42578125" style="71" bestFit="1" customWidth="1"/>
    <col min="12" max="12" width="13.42578125" style="71" bestFit="1" customWidth="1"/>
    <col min="13" max="14" width="14.7109375" style="71" bestFit="1" customWidth="1"/>
    <col min="15" max="15" width="12.85546875" style="71" bestFit="1" customWidth="1"/>
    <col min="16" max="16" width="13.140625" style="71" bestFit="1" customWidth="1"/>
    <col min="17" max="17" width="12.42578125" style="71" bestFit="1" customWidth="1"/>
    <col min="18" max="18" width="13.7109375" style="71" bestFit="1" customWidth="1"/>
    <col min="19" max="19" width="14.140625" style="71" bestFit="1" customWidth="1"/>
    <col min="20" max="21" width="13.42578125" style="71" bestFit="1" customWidth="1"/>
    <col min="22" max="22" width="15.28515625" style="71" bestFit="1" customWidth="1"/>
    <col min="23" max="23" width="13.42578125" style="71" bestFit="1" customWidth="1"/>
    <col min="24" max="24" width="13.85546875" style="71" bestFit="1" customWidth="1"/>
    <col min="25" max="25" width="14.28515625" style="71" bestFit="1" customWidth="1"/>
    <col min="26" max="26" width="14.42578125" style="71" bestFit="1" customWidth="1"/>
    <col min="27" max="27" width="13.85546875" style="71" bestFit="1" customWidth="1"/>
    <col min="28" max="28" width="14.5703125" style="71" bestFit="1" customWidth="1"/>
    <col min="29" max="29" width="12.42578125" style="71" bestFit="1" customWidth="1"/>
    <col min="30" max="30" width="13.5703125" style="71" bestFit="1" customWidth="1"/>
    <col min="31" max="31" width="14.28515625" style="71" bestFit="1" customWidth="1"/>
    <col min="32" max="33" width="12.28515625" style="71" bestFit="1" customWidth="1"/>
    <col min="34" max="34" width="11.28515625" style="71" bestFit="1" customWidth="1"/>
    <col min="35" max="35" width="12.140625" style="71" bestFit="1" customWidth="1"/>
    <col min="36" max="36" width="12.5703125" style="71" bestFit="1" customWidth="1"/>
    <col min="37" max="37" width="17.28515625" style="71" bestFit="1" customWidth="1"/>
    <col min="38" max="38" width="14.28515625" style="71" bestFit="1" customWidth="1"/>
    <col min="39" max="39" width="12.28515625" style="71" bestFit="1" customWidth="1"/>
    <col min="40" max="40" width="15" style="71" bestFit="1" customWidth="1"/>
    <col min="41" max="41" width="14.140625" style="71" bestFit="1" customWidth="1"/>
    <col min="42" max="43" width="14.28515625" style="71" bestFit="1" customWidth="1"/>
    <col min="44" max="44" width="15.28515625" style="71" bestFit="1" customWidth="1"/>
    <col min="45" max="45" width="12.7109375" style="71" bestFit="1" customWidth="1"/>
    <col min="46" max="46" width="11.28515625" style="71" bestFit="1" customWidth="1"/>
    <col min="47" max="47" width="14" style="71" bestFit="1" customWidth="1"/>
    <col min="48" max="82" width="3.42578125" style="71" customWidth="1"/>
    <col min="83" max="83" width="8.140625" style="71" bestFit="1" customWidth="1"/>
    <col min="84" max="84" width="4.5703125" style="71" bestFit="1" customWidth="1"/>
    <col min="85" max="85" width="8.140625" style="71" bestFit="1" customWidth="1"/>
    <col min="86" max="86" width="7.140625" style="71" bestFit="1" customWidth="1"/>
    <col min="87" max="87" width="8" style="71" hidden="1" customWidth="1"/>
    <col min="88" max="88" width="4.5703125" style="71" bestFit="1" customWidth="1"/>
    <col min="89" max="89" width="5" style="71" bestFit="1" customWidth="1"/>
    <col min="90" max="90" width="8.7109375" style="62" bestFit="1" customWidth="1"/>
    <col min="91" max="91" width="8.140625" style="71" bestFit="1" customWidth="1"/>
    <col min="92" max="92" width="5.7109375" style="71" bestFit="1" customWidth="1"/>
    <col min="93" max="93" width="5.5703125" style="71" bestFit="1" customWidth="1"/>
    <col min="94" max="94" width="4.140625" style="71" bestFit="1" customWidth="1"/>
    <col min="95" max="95" width="6" style="71" bestFit="1" customWidth="1"/>
    <col min="96" max="97" width="5.28515625" style="71" bestFit="1" customWidth="1"/>
    <col min="98" max="100" width="4.140625" style="71" bestFit="1" customWidth="1"/>
    <col min="101" max="101" width="4.140625" style="71" customWidth="1"/>
    <col min="102" max="102" width="7.5703125" style="71" bestFit="1" customWidth="1"/>
    <col min="103" max="104" width="5.42578125" style="71" bestFit="1" customWidth="1"/>
    <col min="105" max="105" width="9.5703125" style="71" bestFit="1" customWidth="1"/>
    <col min="106" max="106" width="6.5703125" style="71" bestFit="1" customWidth="1"/>
    <col min="107" max="107" width="5.140625" style="71" bestFit="1" customWidth="1"/>
    <col min="108" max="108" width="11" style="71" bestFit="1" customWidth="1"/>
    <col min="109" max="110" width="5.140625" style="71" bestFit="1" customWidth="1"/>
    <col min="111" max="16384" width="9.140625" style="71"/>
  </cols>
  <sheetData>
    <row r="1" spans="1:112" s="70" customFormat="1" ht="50.25" customHeight="1" x14ac:dyDescent="0.15">
      <c r="A1" s="67"/>
      <c r="B1" s="67"/>
      <c r="C1" s="52" t="str">
        <f t="array" ref="C1:CD4">TRANSPOSE(Matches!B4:E82)</f>
        <v>Date</v>
      </c>
      <c r="D1" s="68">
        <v>37744</v>
      </c>
      <c r="E1" s="68">
        <v>37745</v>
      </c>
      <c r="F1" s="68">
        <v>37751</v>
      </c>
      <c r="G1" s="68">
        <v>37752</v>
      </c>
      <c r="H1" s="68">
        <v>37758</v>
      </c>
      <c r="I1" s="68">
        <v>37759</v>
      </c>
      <c r="J1" s="68">
        <v>37765</v>
      </c>
      <c r="K1" s="68">
        <v>37766</v>
      </c>
      <c r="L1" s="68">
        <v>37767</v>
      </c>
      <c r="M1" s="68">
        <v>37768</v>
      </c>
      <c r="N1" s="68">
        <v>37772</v>
      </c>
      <c r="O1" s="68">
        <v>37773</v>
      </c>
      <c r="P1" s="68">
        <v>37779</v>
      </c>
      <c r="Q1" s="68">
        <v>37780</v>
      </c>
      <c r="R1" s="68">
        <v>37786</v>
      </c>
      <c r="S1" s="68">
        <v>37787</v>
      </c>
      <c r="T1" s="68">
        <v>37793</v>
      </c>
      <c r="U1" s="68">
        <v>37794</v>
      </c>
      <c r="V1" s="68">
        <v>37800</v>
      </c>
      <c r="W1" s="68">
        <v>37801</v>
      </c>
      <c r="X1" s="68">
        <v>37807</v>
      </c>
      <c r="Y1" s="68">
        <v>37808</v>
      </c>
      <c r="Z1" s="68">
        <v>37814</v>
      </c>
      <c r="AA1" s="68">
        <v>37815</v>
      </c>
      <c r="AB1" s="68">
        <v>37821</v>
      </c>
      <c r="AC1" s="68">
        <v>37822</v>
      </c>
      <c r="AD1" s="68">
        <v>37828</v>
      </c>
      <c r="AE1" s="68">
        <v>37829</v>
      </c>
      <c r="AF1" s="68">
        <v>37835</v>
      </c>
      <c r="AG1" s="68">
        <v>37836</v>
      </c>
      <c r="AH1" s="68">
        <v>37842</v>
      </c>
      <c r="AI1" s="68">
        <v>37843</v>
      </c>
      <c r="AJ1" s="68">
        <v>37849</v>
      </c>
      <c r="AK1" s="68">
        <v>37850</v>
      </c>
      <c r="AL1" s="68">
        <v>37856</v>
      </c>
      <c r="AM1" s="68">
        <v>37857</v>
      </c>
      <c r="AN1" s="68">
        <v>37863</v>
      </c>
      <c r="AO1" s="68">
        <v>37864</v>
      </c>
      <c r="AP1" s="68">
        <v>37870</v>
      </c>
      <c r="AQ1" s="68">
        <v>37871</v>
      </c>
      <c r="AR1" s="68">
        <v>37877</v>
      </c>
      <c r="AS1" s="68">
        <v>37878</v>
      </c>
      <c r="AT1" s="68">
        <v>37884</v>
      </c>
      <c r="AU1" s="68">
        <v>0</v>
      </c>
      <c r="AV1" s="68">
        <v>0</v>
      </c>
      <c r="AW1" s="68">
        <v>0</v>
      </c>
      <c r="AX1" s="68">
        <v>0</v>
      </c>
      <c r="AY1" s="68">
        <v>0</v>
      </c>
      <c r="AZ1" s="68">
        <v>0</v>
      </c>
      <c r="BA1" s="68">
        <v>0</v>
      </c>
      <c r="BB1" s="68">
        <v>0</v>
      </c>
      <c r="BC1" s="68">
        <v>0</v>
      </c>
      <c r="BD1" s="68">
        <v>0</v>
      </c>
      <c r="BE1" s="68">
        <v>0</v>
      </c>
      <c r="BF1" s="68">
        <v>0</v>
      </c>
      <c r="BG1" s="68">
        <v>0</v>
      </c>
      <c r="BH1" s="68">
        <v>0</v>
      </c>
      <c r="BI1" s="68">
        <v>0</v>
      </c>
      <c r="BJ1" s="68">
        <v>0</v>
      </c>
      <c r="BK1" s="68">
        <v>0</v>
      </c>
      <c r="BL1" s="68">
        <v>0</v>
      </c>
      <c r="BM1" s="68">
        <v>0</v>
      </c>
      <c r="BN1" s="68">
        <v>0</v>
      </c>
      <c r="BO1" s="68">
        <v>0</v>
      </c>
      <c r="BP1" s="68">
        <v>0</v>
      </c>
      <c r="BQ1" s="68">
        <v>0</v>
      </c>
      <c r="BR1" s="68">
        <v>0</v>
      </c>
      <c r="BS1" s="68">
        <v>0</v>
      </c>
      <c r="BT1" s="68">
        <v>0</v>
      </c>
      <c r="BU1" s="68">
        <v>0</v>
      </c>
      <c r="BV1" s="68">
        <v>0</v>
      </c>
      <c r="BW1" s="68">
        <v>0</v>
      </c>
      <c r="BX1" s="68">
        <v>0</v>
      </c>
      <c r="BY1" s="68">
        <v>0</v>
      </c>
      <c r="BZ1" s="68">
        <v>0</v>
      </c>
      <c r="CA1" s="68">
        <v>0</v>
      </c>
      <c r="CB1" s="68">
        <v>0</v>
      </c>
      <c r="CC1" s="68">
        <v>0</v>
      </c>
      <c r="CD1" s="68" t="e">
        <v>#N/A</v>
      </c>
      <c r="CE1" s="67"/>
      <c r="CF1" s="67"/>
      <c r="CG1" s="67"/>
      <c r="CH1" s="67"/>
      <c r="CI1" s="67"/>
      <c r="CJ1" s="67"/>
      <c r="CK1" s="67"/>
      <c r="CL1" s="69"/>
    </row>
    <row r="2" spans="1:112" ht="83.25" customHeight="1" x14ac:dyDescent="0.15">
      <c r="C2" s="55" t="str">
        <v>Opp</v>
      </c>
      <c r="D2" s="72" t="str">
        <v>Blackheath Select</v>
      </c>
      <c r="E2" s="72" t="str">
        <v>John Fisher Wandgas</v>
      </c>
      <c r="F2" s="72" t="str">
        <v>Legless XI</v>
      </c>
      <c r="G2" s="72" t="str">
        <v>Gold Leaf</v>
      </c>
      <c r="H2" s="72">
        <v>0</v>
      </c>
      <c r="I2" s="72" t="str">
        <v>Thurlow Park RAFA</v>
      </c>
      <c r="J2" s="72" t="str">
        <v>Blindley Heath</v>
      </c>
      <c r="K2" s="72" t="str">
        <v>Woodgreen</v>
      </c>
      <c r="L2" s="72" t="str">
        <v>Steeple Langford</v>
      </c>
      <c r="M2" s="72" t="str">
        <v>Cove</v>
      </c>
      <c r="N2" s="72">
        <v>0</v>
      </c>
      <c r="O2" s="72" t="str">
        <v>Giltec</v>
      </c>
      <c r="P2" s="72" t="str">
        <v>Norwood Exiles</v>
      </c>
      <c r="Q2" s="72" t="str">
        <v>CYPOS</v>
      </c>
      <c r="R2" s="72" t="str">
        <v>Legless XI</v>
      </c>
      <c r="S2" s="72" t="str">
        <v>Vishwa</v>
      </c>
      <c r="T2" s="72" t="str">
        <v>Churchleigh</v>
      </c>
      <c r="U2" s="72" t="str">
        <v>Worcester Park</v>
      </c>
      <c r="V2" s="72">
        <v>0</v>
      </c>
      <c r="W2" s="72" t="str">
        <v>Saints</v>
      </c>
      <c r="X2" s="72" t="str">
        <v>Central YMCA</v>
      </c>
      <c r="Y2" s="72" t="str">
        <v>Commonwealth Offices</v>
      </c>
      <c r="Z2" s="72">
        <v>0</v>
      </c>
      <c r="AA2" s="72" t="str">
        <v>Downsiders</v>
      </c>
      <c r="AB2" s="72" t="str">
        <v>Sanderstead</v>
      </c>
      <c r="AC2" s="72" t="str">
        <v>Seven-O</v>
      </c>
      <c r="AD2" s="72" t="str">
        <v>Lessa Wanderers</v>
      </c>
      <c r="AE2" s="72">
        <v>0</v>
      </c>
      <c r="AF2" s="72" t="str">
        <v>Old Tennysonians</v>
      </c>
      <c r="AG2" s="72" t="str">
        <v>Whyteleaf</v>
      </c>
      <c r="AH2" s="72" t="str">
        <v>Seven-O</v>
      </c>
      <c r="AI2" s="72" t="str">
        <v>Addington 1743</v>
      </c>
      <c r="AJ2" s="72" t="str">
        <v>Riverside</v>
      </c>
      <c r="AK2" s="72" t="str">
        <v>Mixed Caribbean</v>
      </c>
      <c r="AL2" s="72" t="str">
        <v>Mixed Caribbean</v>
      </c>
      <c r="AM2" s="72" t="str">
        <v>East Cheam &amp; St Helier</v>
      </c>
      <c r="AN2" s="72" t="str">
        <v>Blackheath Select</v>
      </c>
      <c r="AO2" s="72">
        <v>0</v>
      </c>
      <c r="AP2" s="72" t="str">
        <v>Lessa Wanderers</v>
      </c>
      <c r="AQ2" s="72">
        <v>0</v>
      </c>
      <c r="AR2" s="72">
        <v>0</v>
      </c>
      <c r="AS2" s="72" t="str">
        <v>Pretenders</v>
      </c>
      <c r="AT2" s="72" t="str">
        <v>Malden Wanderers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 t="e">
        <v>#N/A</v>
      </c>
      <c r="CO2" s="71" t="s">
        <v>4</v>
      </c>
    </row>
    <row r="3" spans="1:112" x14ac:dyDescent="0.15">
      <c r="C3" s="55" t="str">
        <v>Venue</v>
      </c>
      <c r="D3" s="55" t="str">
        <v>H</v>
      </c>
      <c r="E3" s="55" t="str">
        <v>H</v>
      </c>
      <c r="F3" s="55" t="str">
        <v>H</v>
      </c>
      <c r="G3" s="55" t="str">
        <v>A</v>
      </c>
      <c r="H3" s="55">
        <v>0</v>
      </c>
      <c r="I3" s="55" t="str">
        <v>H</v>
      </c>
      <c r="J3" s="55" t="str">
        <v>A</v>
      </c>
      <c r="K3" s="55" t="str">
        <v>A</v>
      </c>
      <c r="L3" s="55" t="str">
        <v>A</v>
      </c>
      <c r="M3" s="55" t="str">
        <v>A</v>
      </c>
      <c r="N3" s="55">
        <v>0</v>
      </c>
      <c r="O3" s="55" t="str">
        <v>H</v>
      </c>
      <c r="P3" s="55" t="str">
        <v>H</v>
      </c>
      <c r="Q3" s="55" t="str">
        <v>A</v>
      </c>
      <c r="R3" s="55" t="str">
        <v>A</v>
      </c>
      <c r="S3" s="55" t="str">
        <v>H</v>
      </c>
      <c r="T3" s="55" t="str">
        <v>H</v>
      </c>
      <c r="U3" s="55" t="str">
        <v>A</v>
      </c>
      <c r="V3" s="55">
        <v>0</v>
      </c>
      <c r="W3" s="55" t="str">
        <v>H</v>
      </c>
      <c r="X3" s="55" t="str">
        <v>A</v>
      </c>
      <c r="Y3" s="55" t="str">
        <v>A</v>
      </c>
      <c r="Z3" s="55">
        <v>0</v>
      </c>
      <c r="AA3" s="55" t="str">
        <v>H</v>
      </c>
      <c r="AB3" s="55" t="str">
        <v>H</v>
      </c>
      <c r="AC3" s="55" t="str">
        <v>H</v>
      </c>
      <c r="AD3" s="55" t="str">
        <v>A</v>
      </c>
      <c r="AE3" s="55">
        <v>0</v>
      </c>
      <c r="AF3" s="55" t="str">
        <v>H</v>
      </c>
      <c r="AG3" s="55" t="str">
        <v>A</v>
      </c>
      <c r="AH3" s="55" t="str">
        <v>A</v>
      </c>
      <c r="AI3" s="55" t="str">
        <v>H</v>
      </c>
      <c r="AJ3" s="55" t="str">
        <v>H</v>
      </c>
      <c r="AK3" s="55" t="str">
        <v>H</v>
      </c>
      <c r="AL3" s="55" t="str">
        <v>H</v>
      </c>
      <c r="AM3" s="55" t="str">
        <v>H</v>
      </c>
      <c r="AN3" s="55" t="str">
        <v>A</v>
      </c>
      <c r="AO3" s="55">
        <v>0</v>
      </c>
      <c r="AP3" s="55" t="str">
        <v>H</v>
      </c>
      <c r="AQ3" s="55">
        <v>0</v>
      </c>
      <c r="AR3" s="55">
        <v>0</v>
      </c>
      <c r="AS3" s="55" t="str">
        <v>H</v>
      </c>
      <c r="AT3" s="55" t="str">
        <v>A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2" x14ac:dyDescent="0.15">
      <c r="C4" s="55" t="str">
        <v>Result</v>
      </c>
      <c r="D4" s="71" t="str">
        <v>W</v>
      </c>
      <c r="E4" s="55" t="str">
        <v>W</v>
      </c>
      <c r="F4" s="55" t="str">
        <v>L</v>
      </c>
      <c r="G4" s="55" t="str">
        <v>D</v>
      </c>
      <c r="H4" s="55">
        <v>0</v>
      </c>
      <c r="I4" s="55" t="str">
        <v>W</v>
      </c>
      <c r="J4" s="55" t="str">
        <v>L</v>
      </c>
      <c r="K4" s="55" t="str">
        <v>L</v>
      </c>
      <c r="L4" s="55" t="str">
        <v>D</v>
      </c>
      <c r="M4" s="55" t="str">
        <v>L</v>
      </c>
      <c r="N4" s="55">
        <v>0</v>
      </c>
      <c r="O4" s="55" t="str">
        <v>L</v>
      </c>
      <c r="P4" s="55" t="str">
        <v>L</v>
      </c>
      <c r="Q4" s="55" t="str">
        <v>W</v>
      </c>
      <c r="R4" s="55" t="str">
        <v>L</v>
      </c>
      <c r="S4" s="55" t="str">
        <v>L</v>
      </c>
      <c r="T4" s="55" t="str">
        <v>D</v>
      </c>
      <c r="U4" s="55" t="str">
        <v>L</v>
      </c>
      <c r="V4" s="55">
        <v>0</v>
      </c>
      <c r="W4" s="55" t="str">
        <v>W</v>
      </c>
      <c r="X4" s="55" t="str">
        <v>W</v>
      </c>
      <c r="Y4" s="55" t="str">
        <v>L</v>
      </c>
      <c r="Z4" s="55">
        <v>0</v>
      </c>
      <c r="AA4" s="55" t="str">
        <v>L</v>
      </c>
      <c r="AB4" s="55" t="str">
        <v>L</v>
      </c>
      <c r="AC4" s="55" t="str">
        <v>W</v>
      </c>
      <c r="AD4" s="55" t="str">
        <v>D</v>
      </c>
      <c r="AE4" s="55">
        <v>0</v>
      </c>
      <c r="AF4" s="55" t="str">
        <v>D</v>
      </c>
      <c r="AG4" s="55" t="str">
        <v>L</v>
      </c>
      <c r="AH4" s="55" t="str">
        <v>L</v>
      </c>
      <c r="AI4" s="55" t="str">
        <v>W</v>
      </c>
      <c r="AJ4" s="55" t="str">
        <v>D</v>
      </c>
      <c r="AK4" s="55" t="str">
        <v>W</v>
      </c>
      <c r="AL4" s="55" t="str">
        <v>L</v>
      </c>
      <c r="AM4" s="55" t="str">
        <v>W</v>
      </c>
      <c r="AN4" s="55" t="str">
        <v>L</v>
      </c>
      <c r="AO4" s="55">
        <v>0</v>
      </c>
      <c r="AP4" s="55" t="str">
        <v>L</v>
      </c>
      <c r="AQ4" s="55">
        <v>0</v>
      </c>
      <c r="AR4" s="55">
        <v>0</v>
      </c>
      <c r="AS4" s="55" t="str">
        <v>W</v>
      </c>
      <c r="AT4" s="55" t="str">
        <v>W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136</v>
      </c>
      <c r="CJ4" s="50" t="s">
        <v>153</v>
      </c>
      <c r="CK4" s="50" t="s">
        <v>9</v>
      </c>
      <c r="CL4" s="47" t="s">
        <v>42</v>
      </c>
      <c r="CM4" s="71" t="s">
        <v>11</v>
      </c>
      <c r="CN4" s="71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769</v>
      </c>
      <c r="CX4" s="50" t="s">
        <v>21</v>
      </c>
      <c r="CY4" s="50" t="s">
        <v>22</v>
      </c>
      <c r="CZ4" s="50" t="s">
        <v>23</v>
      </c>
      <c r="DA4" s="50" t="s">
        <v>24</v>
      </c>
      <c r="DB4" s="71" t="s">
        <v>137</v>
      </c>
      <c r="DC4" s="71" t="s">
        <v>138</v>
      </c>
      <c r="DD4" s="71" t="s">
        <v>151</v>
      </c>
      <c r="DE4" s="71" t="s">
        <v>150</v>
      </c>
      <c r="DF4" s="71" t="s">
        <v>157</v>
      </c>
      <c r="DG4" s="71" t="s">
        <v>179</v>
      </c>
      <c r="DH4" s="71" t="s">
        <v>187</v>
      </c>
    </row>
    <row r="5" spans="1:112" x14ac:dyDescent="0.15">
      <c r="C5" s="71" t="s">
        <v>472</v>
      </c>
      <c r="AJ5" s="71" t="s">
        <v>473</v>
      </c>
      <c r="CE5" s="71">
        <f>BatSplit(D5:CD5,MatchesPlayed)</f>
        <v>1</v>
      </c>
      <c r="CF5" s="71">
        <f t="shared" ref="CF5:CF31" si="0">CE5-CG5</f>
        <v>0</v>
      </c>
      <c r="CG5" s="71">
        <f t="shared" ref="CG5:CG31" si="1">BatSplit(D5:CD5,InnsBattedIn)</f>
        <v>1</v>
      </c>
      <c r="CH5" s="71">
        <f t="shared" ref="CH5:CH31" si="2">BatSplit(D5:CD5,NotOuts)</f>
        <v>0</v>
      </c>
      <c r="CI5" s="71">
        <f t="shared" ref="CI5:CI31" si="3">BatSplit(D5:CD5,HighestScore)</f>
        <v>0</v>
      </c>
      <c r="CJ5" s="75">
        <f t="shared" ref="CJ5:CJ50" si="4">IF(CI5&lt;0,-CI5&amp;"*",CI5)</f>
        <v>0</v>
      </c>
      <c r="CK5" s="71">
        <f t="shared" ref="CK5:CK24" si="5">BatSplit(D5:CD5,RunsScored)</f>
        <v>0</v>
      </c>
      <c r="CL5" s="73">
        <f t="shared" ref="CL5:CL12" si="6">IF(CG5=CH5,0,CK5/(CG5-CH5))</f>
        <v>0</v>
      </c>
      <c r="CM5" s="71">
        <f t="shared" ref="CM5:CM31" si="7">BatSplit(D5:CD5,BatPts)</f>
        <v>-5</v>
      </c>
      <c r="CN5" s="71">
        <f t="shared" ref="CN5:CN12" si="8">BatSplit(D5:CD5,FldPts)</f>
        <v>0</v>
      </c>
      <c r="CO5" s="74">
        <f t="array" ref="CO5">SUM(IF(ISERR(FIND("*",D5:CD5)),0,1))</f>
        <v>0</v>
      </c>
      <c r="CP5" s="74">
        <f t="array" ref="CP5">SUM(IF(ISERR(FIND("+",D5:CD5)),0,1))</f>
        <v>0</v>
      </c>
      <c r="CQ5" s="71">
        <f t="shared" ref="CQ5:CQ31" si="9">BatSplit(D5:CD5,Ducks)</f>
        <v>1</v>
      </c>
      <c r="CR5" s="74">
        <f t="array" ref="CR5">SUM(IF(ISERR(FIND(CR$4,$D5:$CD5)),0,1))</f>
        <v>0</v>
      </c>
      <c r="CS5" s="74">
        <f t="array" ref="CS5">SUM(IF(ISERR(FIND(CS$4,$D5:$CD5)),0,1))</f>
        <v>1</v>
      </c>
      <c r="CT5" s="74">
        <f t="array" ref="CT5">SUM(IF(ISERR(FIND(CT$4,$D5:$CD5)),0,1))</f>
        <v>0</v>
      </c>
      <c r="CU5" s="74">
        <f t="array" ref="CU5">SUM(IF(ISERR(FIND(CU$4,$D5:$CD5)),0,1))</f>
        <v>0</v>
      </c>
      <c r="CV5" s="74">
        <f t="array" ref="CV5">SUM(IF(ISERR(FIND(CV$4,$D5:$CD5)),0,1))</f>
        <v>0</v>
      </c>
      <c r="CW5" s="74">
        <f t="array" ref="CW5">SUM(IF(ISERR(FIND(CW$4,$D5:$CD5)),0,1))</f>
        <v>0</v>
      </c>
      <c r="CX5" s="74">
        <f t="shared" ref="CX5:CX31" si="10">BatSplit(D5:CD5,Catches)</f>
        <v>0</v>
      </c>
      <c r="CY5" s="74">
        <f t="shared" ref="CY5:CY31" si="11">BatSplit(D5:CD5,Fours)</f>
        <v>0</v>
      </c>
      <c r="CZ5" s="74">
        <f t="shared" ref="CZ5:CZ31" si="12">BatSplit(D5:CD5,Sixes)</f>
        <v>0</v>
      </c>
      <c r="DA5" s="74">
        <f t="shared" ref="DA5:DA31" si="13">BatSplit(D5:CD5,Stumpings)</f>
        <v>0</v>
      </c>
      <c r="DB5" s="74">
        <f t="shared" ref="DB5:DB33" si="14">BatSplit(D5:CD5,CaughtWkt)</f>
        <v>0</v>
      </c>
      <c r="DC5" s="74">
        <f t="shared" ref="DC5:DC12" si="15">BatSplit(D5:CD5,TwentyFives)</f>
        <v>0</v>
      </c>
      <c r="DD5" s="71">
        <f t="shared" ref="DD5:DD50" si="16">ROUND(IF(ISERROR(CL5),0,CL5),2)*100000+CG5*100+CE5+CK5/100+ROW()/100000</f>
        <v>101.00005</v>
      </c>
      <c r="DE5" s="71">
        <f t="shared" ref="DE5:DE50" si="17">RANK(DD5,$DD$5:$DD$50)</f>
        <v>38</v>
      </c>
      <c r="DF5" s="71">
        <v>0</v>
      </c>
      <c r="DG5" s="100" t="e">
        <f t="shared" ref="DG5:DG11" si="18">(CY5*4+CZ5*6)/CK5</f>
        <v>#DIV/0!</v>
      </c>
      <c r="DH5" s="110">
        <f t="shared" ref="DH5:DH11" si="19">CQ5/(CG5-CH5)</f>
        <v>1</v>
      </c>
    </row>
    <row r="6" spans="1:112" x14ac:dyDescent="0.15">
      <c r="B6" s="71" t="s">
        <v>380</v>
      </c>
      <c r="C6" s="71" t="s">
        <v>471</v>
      </c>
      <c r="G6" s="71" t="s">
        <v>570</v>
      </c>
      <c r="O6" s="71" t="s">
        <v>664</v>
      </c>
      <c r="W6" s="71" t="s">
        <v>710</v>
      </c>
      <c r="X6" s="71" t="s">
        <v>381</v>
      </c>
      <c r="AA6" s="71" t="s">
        <v>554</v>
      </c>
      <c r="AF6" s="71" t="s">
        <v>429</v>
      </c>
      <c r="AG6" s="71" t="s">
        <v>795</v>
      </c>
      <c r="AH6" s="71" t="s">
        <v>446</v>
      </c>
      <c r="AK6" s="71" t="s">
        <v>662</v>
      </c>
      <c r="CE6" s="71">
        <f>BatSplit(D6:CD6,MatchesPlayed)</f>
        <v>9</v>
      </c>
      <c r="CF6" s="71">
        <f>CE6-CG6</f>
        <v>0</v>
      </c>
      <c r="CG6" s="71">
        <f>BatSplit(D6:CD6,InnsBattedIn)</f>
        <v>9</v>
      </c>
      <c r="CH6" s="71">
        <f>BatSplit(D6:CD6,NotOuts)</f>
        <v>0</v>
      </c>
      <c r="CI6" s="71">
        <f>BatSplit(D6:CD6,HighestScore)</f>
        <v>24</v>
      </c>
      <c r="CJ6" s="75">
        <f t="shared" si="4"/>
        <v>24</v>
      </c>
      <c r="CK6" s="71">
        <f>BatSplit(D6:CD6,RunsScored)</f>
        <v>66</v>
      </c>
      <c r="CL6" s="73">
        <f t="shared" si="6"/>
        <v>7.333333333333333</v>
      </c>
      <c r="CM6" s="71">
        <f>BatSplit(D6:CD6,BatPts)</f>
        <v>61</v>
      </c>
      <c r="CN6" s="71">
        <f>BatSplit(D6:CD6,FldPts)</f>
        <v>0</v>
      </c>
      <c r="CO6" s="74">
        <f t="array" ref="CO6">SUM(IF(ISERR(FIND("*",D6:CD6)),0,1))</f>
        <v>0</v>
      </c>
      <c r="CP6" s="74">
        <f t="array" ref="CP6">SUM(IF(ISERR(FIND("+",D6:CD6)),0,1))</f>
        <v>0</v>
      </c>
      <c r="CQ6" s="71">
        <f>BatSplit(D6:CD6,Ducks)</f>
        <v>1</v>
      </c>
      <c r="CR6" s="74">
        <f t="array" ref="CR6">SUM(IF(ISERR(FIND(CR$4,$D6:$CD6)),0,1))</f>
        <v>3</v>
      </c>
      <c r="CS6" s="74">
        <f t="array" ref="CS6">SUM(IF(ISERR(FIND(CS$4,$D6:$CD6)),0,1))</f>
        <v>5</v>
      </c>
      <c r="CT6" s="74">
        <f t="array" ref="CT6">SUM(IF(ISERR(FIND(CT$4,$D6:$CD6)),0,1))</f>
        <v>0</v>
      </c>
      <c r="CU6" s="74">
        <f t="array" ref="CU6">SUM(IF(ISERR(FIND(CU$4,$D6:$CD6)),0,1))</f>
        <v>0</v>
      </c>
      <c r="CV6" s="74">
        <f t="array" ref="CV6">SUM(IF(ISERR(FIND(CV$4,$D6:$CD6)),0,1))</f>
        <v>1</v>
      </c>
      <c r="CW6" s="74">
        <f t="array" ref="CW6">SUM(IF(ISERR(FIND(CW$4,$D6:$CD6)),0,1))</f>
        <v>0</v>
      </c>
      <c r="CX6" s="74">
        <f>BatSplit(D6:CD6,Catches)</f>
        <v>0</v>
      </c>
      <c r="CY6" s="74">
        <f>BatSplit(D6:CD6,Fours)</f>
        <v>7</v>
      </c>
      <c r="CZ6" s="74">
        <f>BatSplit(D6:CD6,Sixes)</f>
        <v>0</v>
      </c>
      <c r="DA6" s="74">
        <f>BatSplit(D6:CD6,Stumpings)</f>
        <v>0</v>
      </c>
      <c r="DB6" s="74">
        <f>BatSplit(D6:CD6,CaughtWkt)</f>
        <v>0</v>
      </c>
      <c r="DC6" s="74">
        <f t="shared" si="15"/>
        <v>0</v>
      </c>
      <c r="DD6" s="71">
        <f>ROUND(IF(ISERROR(CL6),0,CL6),2)*100000+CG6*100+CE6+CK6/100+ROW()/100000</f>
        <v>733909.66006000002</v>
      </c>
      <c r="DE6" s="71">
        <f t="shared" si="17"/>
        <v>25</v>
      </c>
      <c r="DF6" s="71">
        <v>0</v>
      </c>
      <c r="DG6" s="100">
        <f t="shared" si="18"/>
        <v>0.42424242424242425</v>
      </c>
      <c r="DH6" s="110">
        <f t="shared" si="19"/>
        <v>0.1111111111111111</v>
      </c>
    </row>
    <row r="7" spans="1:112" x14ac:dyDescent="0.15">
      <c r="A7" s="71" t="s">
        <v>69</v>
      </c>
      <c r="B7" s="71" t="s">
        <v>27</v>
      </c>
      <c r="C7" s="71" t="s">
        <v>158</v>
      </c>
      <c r="Y7" s="71" t="s">
        <v>289</v>
      </c>
      <c r="AB7" s="71" t="s">
        <v>407</v>
      </c>
      <c r="AC7" s="71" t="s">
        <v>231</v>
      </c>
      <c r="AD7" s="71" t="s">
        <v>423</v>
      </c>
      <c r="AG7" s="71" t="s">
        <v>436</v>
      </c>
      <c r="AH7" s="71" t="s">
        <v>454</v>
      </c>
      <c r="AK7" s="71" t="s">
        <v>538</v>
      </c>
      <c r="AL7" s="71" t="s">
        <v>230</v>
      </c>
      <c r="AM7" s="71" t="s">
        <v>538</v>
      </c>
      <c r="AN7" s="71" t="s">
        <v>329</v>
      </c>
      <c r="AS7" s="71" t="s">
        <v>369</v>
      </c>
      <c r="CE7" s="71">
        <f>BatSplit(D7:CD7,MatchesPlayed)</f>
        <v>11</v>
      </c>
      <c r="CF7" s="71">
        <f>CE7-CG7</f>
        <v>6</v>
      </c>
      <c r="CG7" s="71">
        <f>BatSplit(D7:CD7,InnsBattedIn)</f>
        <v>5</v>
      </c>
      <c r="CH7" s="71">
        <f>BatSplit(D7:CD7,NotOuts)</f>
        <v>1</v>
      </c>
      <c r="CI7" s="71">
        <f>BatSplit(D7:CD7,HighestScore)</f>
        <v>9</v>
      </c>
      <c r="CJ7" s="75">
        <f t="shared" si="4"/>
        <v>9</v>
      </c>
      <c r="CK7" s="71">
        <f>BatSplit(D7:CD7,RunsScored)</f>
        <v>14</v>
      </c>
      <c r="CL7" s="73">
        <f t="shared" si="6"/>
        <v>3.5</v>
      </c>
      <c r="CM7" s="71">
        <f>BatSplit(D7:CD7,BatPts)</f>
        <v>9</v>
      </c>
      <c r="CN7" s="71">
        <f>BatSplit(D7:CD7,FldPts)</f>
        <v>5</v>
      </c>
      <c r="CO7" s="74">
        <f t="array" ref="CO7">SUM(IF(ISERR(FIND("*",D7:CD7)),0,1))</f>
        <v>0</v>
      </c>
      <c r="CP7" s="74">
        <f t="array" ref="CP7">SUM(IF(ISERR(FIND("+",D7:CD7)),0,1))</f>
        <v>0</v>
      </c>
      <c r="CQ7" s="71">
        <f>BatSplit(D7:CD7,Ducks)</f>
        <v>1</v>
      </c>
      <c r="CR7" s="74">
        <f t="array" ref="CR7">SUM(IF(ISERR(FIND(CR$4,$D7:$CD7)),0,1))</f>
        <v>3</v>
      </c>
      <c r="CS7" s="74">
        <f t="array" ref="CS7">SUM(IF(ISERR(FIND(CS$4,$D7:$CD7)),0,1))</f>
        <v>1</v>
      </c>
      <c r="CT7" s="74">
        <f t="array" ref="CT7">SUM(IF(ISERR(FIND(CT$4,$D7:$CD7)),0,1))</f>
        <v>0</v>
      </c>
      <c r="CU7" s="74">
        <f t="array" ref="CU7">SUM(IF(ISERR(FIND(CU$4,$D7:$CD7)),0,1))</f>
        <v>0</v>
      </c>
      <c r="CV7" s="74">
        <f t="array" ref="CV7">SUM(IF(ISERR(FIND(CV$4,$D7:$CD7)),0,1))</f>
        <v>0</v>
      </c>
      <c r="CW7" s="74">
        <f t="array" ref="CW7">SUM(IF(ISERR(FIND(CW$4,$D7:$CD7)),0,1))</f>
        <v>0</v>
      </c>
      <c r="CX7" s="74">
        <f>BatSplit(D7:CD7,Catches)</f>
        <v>1</v>
      </c>
      <c r="CY7" s="74">
        <f>BatSplit(D7:CD7,Fours)</f>
        <v>2</v>
      </c>
      <c r="CZ7" s="74">
        <f>BatSplit(D7:CD7,Sixes)</f>
        <v>0</v>
      </c>
      <c r="DA7" s="74">
        <f>BatSplit(D7:CD7,Stumpings)</f>
        <v>0</v>
      </c>
      <c r="DB7" s="74">
        <f>BatSplit(D7:CD7,CaughtWkt)</f>
        <v>0</v>
      </c>
      <c r="DC7" s="74">
        <f t="shared" si="15"/>
        <v>0</v>
      </c>
      <c r="DD7" s="71">
        <f>ROUND(IF(ISERROR(CL7),0,CL7),2)*100000+CG7*100+CE7+CK7/100+ROW()/100000</f>
        <v>350511.14007000002</v>
      </c>
      <c r="DE7" s="71">
        <f t="shared" si="17"/>
        <v>34</v>
      </c>
      <c r="DF7" s="71">
        <v>0</v>
      </c>
      <c r="DG7" s="100">
        <f t="shared" si="18"/>
        <v>0.5714285714285714</v>
      </c>
      <c r="DH7" s="110">
        <f t="shared" si="19"/>
        <v>0.25</v>
      </c>
    </row>
    <row r="8" spans="1:112" x14ac:dyDescent="0.15">
      <c r="A8" s="71" t="s">
        <v>46</v>
      </c>
      <c r="B8" s="71" t="s">
        <v>28</v>
      </c>
      <c r="C8" s="71" t="s">
        <v>159</v>
      </c>
      <c r="L8" s="71" t="s">
        <v>632</v>
      </c>
      <c r="M8" s="71" t="s">
        <v>649</v>
      </c>
      <c r="W8" s="71" t="s">
        <v>729</v>
      </c>
      <c r="CE8" s="71">
        <f>BatSplit(D8:CD8,MatchesPlayed)</f>
        <v>3</v>
      </c>
      <c r="CF8" s="71">
        <f t="shared" si="0"/>
        <v>0</v>
      </c>
      <c r="CG8" s="71">
        <f t="shared" si="1"/>
        <v>3</v>
      </c>
      <c r="CH8" s="71">
        <f t="shared" si="2"/>
        <v>0</v>
      </c>
      <c r="CI8" s="71">
        <f t="shared" si="3"/>
        <v>17</v>
      </c>
      <c r="CJ8" s="75">
        <f t="shared" si="4"/>
        <v>17</v>
      </c>
      <c r="CK8" s="71">
        <f t="shared" si="5"/>
        <v>43</v>
      </c>
      <c r="CL8" s="73">
        <f t="shared" si="6"/>
        <v>14.333333333333334</v>
      </c>
      <c r="CM8" s="71">
        <f t="shared" si="7"/>
        <v>43</v>
      </c>
      <c r="CN8" s="71">
        <f t="shared" si="8"/>
        <v>5</v>
      </c>
      <c r="CO8" s="74">
        <f t="array" ref="CO8">SUM(IF(ISERR(FIND("*",D8:CD8)),0,1))</f>
        <v>0</v>
      </c>
      <c r="CP8" s="74">
        <f t="array" ref="CP8">SUM(IF(ISERR(FIND("+",D8:CD8)),0,1))</f>
        <v>0</v>
      </c>
      <c r="CQ8" s="71">
        <f t="shared" si="9"/>
        <v>0</v>
      </c>
      <c r="CR8" s="74">
        <f t="array" ref="CR8">SUM(IF(ISERR(FIND(CR$4,$D8:$CD8)),0,1))</f>
        <v>2</v>
      </c>
      <c r="CS8" s="74">
        <f t="array" ref="CS8">SUM(IF(ISERR(FIND(CS$4,$D8:$CD8)),0,1))</f>
        <v>1</v>
      </c>
      <c r="CT8" s="74">
        <f t="array" ref="CT8">SUM(IF(ISERR(FIND(CT$4,$D8:$CD8)),0,1))</f>
        <v>0</v>
      </c>
      <c r="CU8" s="74">
        <f t="array" ref="CU8">SUM(IF(ISERR(FIND(CU$4,$D8:$CD8)),0,1))</f>
        <v>0</v>
      </c>
      <c r="CV8" s="74">
        <f t="array" ref="CV8">SUM(IF(ISERR(FIND(CV$4,$D8:$CD8)),0,1))</f>
        <v>0</v>
      </c>
      <c r="CW8" s="74">
        <f t="array" ref="CW8">SUM(IF(ISERR(FIND(CW$4,$D8:$CD8)),0,1))</f>
        <v>0</v>
      </c>
      <c r="CX8" s="74">
        <f t="shared" si="10"/>
        <v>1</v>
      </c>
      <c r="CY8" s="74">
        <f t="shared" si="11"/>
        <v>8</v>
      </c>
      <c r="CZ8" s="74">
        <f t="shared" si="12"/>
        <v>0</v>
      </c>
      <c r="DA8" s="74">
        <f t="shared" si="13"/>
        <v>0</v>
      </c>
      <c r="DB8" s="74">
        <f t="shared" si="14"/>
        <v>0</v>
      </c>
      <c r="DC8" s="74">
        <f t="shared" si="15"/>
        <v>0</v>
      </c>
      <c r="DD8" s="71">
        <f t="shared" si="16"/>
        <v>1433303.4300799998</v>
      </c>
      <c r="DE8" s="71">
        <f t="shared" si="17"/>
        <v>14</v>
      </c>
      <c r="DF8" s="71">
        <v>0</v>
      </c>
      <c r="DG8" s="100">
        <f t="shared" si="18"/>
        <v>0.7441860465116279</v>
      </c>
      <c r="DH8" s="110">
        <f t="shared" si="19"/>
        <v>0</v>
      </c>
    </row>
    <row r="9" spans="1:112" x14ac:dyDescent="0.15">
      <c r="A9" s="71" t="s">
        <v>107</v>
      </c>
      <c r="B9" s="71" t="s">
        <v>37</v>
      </c>
      <c r="C9" s="71" t="s">
        <v>160</v>
      </c>
      <c r="D9" s="71" t="s">
        <v>268</v>
      </c>
      <c r="G9" s="71" t="s">
        <v>578</v>
      </c>
      <c r="J9" s="71" t="s">
        <v>310</v>
      </c>
      <c r="K9" s="71" t="s">
        <v>429</v>
      </c>
      <c r="L9" s="71" t="s">
        <v>538</v>
      </c>
      <c r="M9" s="71" t="s">
        <v>652</v>
      </c>
      <c r="P9" s="71" t="s">
        <v>330</v>
      </c>
      <c r="R9" s="71" t="s">
        <v>352</v>
      </c>
      <c r="T9" s="71" t="s">
        <v>268</v>
      </c>
      <c r="X9" s="71" t="s">
        <v>268</v>
      </c>
      <c r="Y9" s="71" t="s">
        <v>751</v>
      </c>
      <c r="AB9" s="71" t="s">
        <v>406</v>
      </c>
      <c r="AD9" s="71" t="s">
        <v>426</v>
      </c>
      <c r="AF9" s="71" t="s">
        <v>506</v>
      </c>
      <c r="AN9" s="71" t="s">
        <v>505</v>
      </c>
      <c r="AP9" s="71" t="s">
        <v>524</v>
      </c>
      <c r="AS9" s="71" t="s">
        <v>538</v>
      </c>
      <c r="AT9" s="71" t="s">
        <v>539</v>
      </c>
      <c r="CE9" s="71">
        <f>BatSplit(D9:CD9,MatchesPlayed)</f>
        <v>18</v>
      </c>
      <c r="CF9" s="71">
        <f t="shared" si="0"/>
        <v>7</v>
      </c>
      <c r="CG9" s="71">
        <f t="shared" si="1"/>
        <v>11</v>
      </c>
      <c r="CH9" s="71">
        <f t="shared" si="2"/>
        <v>3</v>
      </c>
      <c r="CI9" s="71">
        <f t="shared" si="3"/>
        <v>31</v>
      </c>
      <c r="CJ9" s="75">
        <f t="shared" si="4"/>
        <v>31</v>
      </c>
      <c r="CK9" s="71">
        <f t="shared" si="5"/>
        <v>61</v>
      </c>
      <c r="CL9" s="73">
        <f t="shared" si="6"/>
        <v>7.625</v>
      </c>
      <c r="CM9" s="71">
        <f t="shared" si="7"/>
        <v>51</v>
      </c>
      <c r="CN9" s="71">
        <f t="shared" si="8"/>
        <v>0</v>
      </c>
      <c r="CO9" s="74">
        <f t="array" ref="CO9">SUM(IF(ISERR(FIND("*",D9:CD9)),0,1))</f>
        <v>12</v>
      </c>
      <c r="CP9" s="74">
        <f t="array" ref="CP9">SUM(IF(ISERR(FIND("+",D9:CD9)),0,1))</f>
        <v>0</v>
      </c>
      <c r="CQ9" s="71">
        <f t="shared" si="9"/>
        <v>2</v>
      </c>
      <c r="CR9" s="74">
        <f t="array" ref="CR9">SUM(IF(ISERR(FIND(CR$4,$D9:$CD9)),0,1))</f>
        <v>3</v>
      </c>
      <c r="CS9" s="74">
        <f t="array" ref="CS9">SUM(IF(ISERR(FIND(CS$4,$D9:$CD9)),0,1))</f>
        <v>4</v>
      </c>
      <c r="CT9" s="74">
        <f t="array" ref="CT9">SUM(IF(ISERR(FIND(CT$4,$D9:$CD9)),0,1))</f>
        <v>0</v>
      </c>
      <c r="CU9" s="74">
        <f t="array" ref="CU9">SUM(IF(ISERR(FIND(CU$4,$D9:$CD9)),0,1))</f>
        <v>1</v>
      </c>
      <c r="CV9" s="74">
        <f t="array" ref="CV9">SUM(IF(ISERR(FIND(CV$4,$D9:$CD9)),0,1))</f>
        <v>0</v>
      </c>
      <c r="CW9" s="74">
        <f t="array" ref="CW9">SUM(IF(ISERR(FIND(CW$4,$D9:$CD9)),0,1))</f>
        <v>0</v>
      </c>
      <c r="CX9" s="74">
        <f t="shared" si="10"/>
        <v>0</v>
      </c>
      <c r="CY9" s="74">
        <f t="shared" si="11"/>
        <v>11</v>
      </c>
      <c r="CZ9" s="74">
        <f t="shared" si="12"/>
        <v>0</v>
      </c>
      <c r="DA9" s="74">
        <f t="shared" si="13"/>
        <v>0</v>
      </c>
      <c r="DB9" s="74">
        <f t="shared" si="14"/>
        <v>0</v>
      </c>
      <c r="DC9" s="74">
        <f t="shared" si="15"/>
        <v>1</v>
      </c>
      <c r="DD9" s="71">
        <f t="shared" si="16"/>
        <v>764118.61008999997</v>
      </c>
      <c r="DE9" s="71">
        <f t="shared" si="17"/>
        <v>24</v>
      </c>
      <c r="DF9" s="71">
        <v>0</v>
      </c>
      <c r="DG9" s="100">
        <f t="shared" si="18"/>
        <v>0.72131147540983609</v>
      </c>
      <c r="DH9" s="110">
        <f t="shared" si="19"/>
        <v>0.25</v>
      </c>
    </row>
    <row r="10" spans="1:112" x14ac:dyDescent="0.15">
      <c r="A10" s="71" t="s">
        <v>141</v>
      </c>
      <c r="B10" s="71" t="s">
        <v>207</v>
      </c>
      <c r="C10" s="71" t="s">
        <v>161</v>
      </c>
      <c r="E10" s="71" t="s">
        <v>553</v>
      </c>
      <c r="F10" s="71" t="s">
        <v>285</v>
      </c>
      <c r="I10" s="71" t="s">
        <v>589</v>
      </c>
      <c r="T10" s="71" t="s">
        <v>363</v>
      </c>
      <c r="X10" s="71" t="s">
        <v>384</v>
      </c>
      <c r="AB10" s="71" t="s">
        <v>398</v>
      </c>
      <c r="AC10" s="71" t="s">
        <v>779</v>
      </c>
      <c r="AG10" s="71" t="s">
        <v>794</v>
      </c>
      <c r="AI10" s="71" t="s">
        <v>814</v>
      </c>
      <c r="AP10" s="71" t="s">
        <v>519</v>
      </c>
      <c r="AT10" s="71" t="s">
        <v>532</v>
      </c>
      <c r="CE10" s="71">
        <f t="shared" ref="CE10:CE29" si="20">BatSplit(D10:CD10,MatchesPlayed)</f>
        <v>11</v>
      </c>
      <c r="CF10" s="71">
        <f t="shared" si="0"/>
        <v>0</v>
      </c>
      <c r="CG10" s="71">
        <f t="shared" si="1"/>
        <v>11</v>
      </c>
      <c r="CH10" s="71">
        <f t="shared" si="2"/>
        <v>2</v>
      </c>
      <c r="CI10" s="71">
        <f t="shared" si="3"/>
        <v>35</v>
      </c>
      <c r="CJ10" s="75">
        <f t="shared" si="4"/>
        <v>35</v>
      </c>
      <c r="CK10" s="71">
        <f t="shared" si="5"/>
        <v>116</v>
      </c>
      <c r="CL10" s="73">
        <f t="shared" si="6"/>
        <v>12.888888888888889</v>
      </c>
      <c r="CM10" s="71">
        <f t="shared" si="7"/>
        <v>106</v>
      </c>
      <c r="CN10" s="71">
        <f t="shared" si="8"/>
        <v>0</v>
      </c>
      <c r="CO10" s="74">
        <f t="array" ref="CO10">SUM(IF(ISERR(FIND("*",D10:CD10)),0,1))</f>
        <v>0</v>
      </c>
      <c r="CP10" s="74">
        <f t="array" ref="CP10">SUM(IF(ISERR(FIND("+",D10:CD10)),0,1))</f>
        <v>0</v>
      </c>
      <c r="CQ10" s="71">
        <f t="shared" si="9"/>
        <v>2</v>
      </c>
      <c r="CR10" s="74">
        <f t="array" ref="CR10">SUM(IF(ISERR(FIND(CR$4,$D10:$CD10)),0,1))</f>
        <v>4</v>
      </c>
      <c r="CS10" s="74">
        <f t="array" ref="CS10">SUM(IF(ISERR(FIND(CS$4,$D10:$CD10)),0,1))</f>
        <v>3</v>
      </c>
      <c r="CT10" s="74">
        <f t="array" ref="CT10">SUM(IF(ISERR(FIND(CT$4,$D10:$CD10)),0,1))</f>
        <v>2</v>
      </c>
      <c r="CU10" s="74">
        <f t="array" ref="CU10">SUM(IF(ISERR(FIND(CU$4,$D10:$CD10)),0,1))</f>
        <v>0</v>
      </c>
      <c r="CV10" s="74">
        <f t="array" ref="CV10">SUM(IF(ISERR(FIND(CV$4,$D10:$CD10)),0,1))</f>
        <v>0</v>
      </c>
      <c r="CW10" s="74">
        <f t="array" ref="CW10">SUM(IF(ISERR(FIND(CW$4,$D10:$CD10)),0,1))</f>
        <v>0</v>
      </c>
      <c r="CX10" s="74">
        <f t="shared" si="10"/>
        <v>0</v>
      </c>
      <c r="CY10" s="74">
        <f t="shared" si="11"/>
        <v>23</v>
      </c>
      <c r="CZ10" s="74">
        <f t="shared" si="12"/>
        <v>0</v>
      </c>
      <c r="DA10" s="74">
        <f t="shared" si="13"/>
        <v>0</v>
      </c>
      <c r="DB10" s="74">
        <f t="shared" si="14"/>
        <v>0</v>
      </c>
      <c r="DC10" s="74">
        <f t="shared" si="15"/>
        <v>2</v>
      </c>
      <c r="DD10" s="71">
        <f t="shared" si="16"/>
        <v>1290112.1601</v>
      </c>
      <c r="DE10" s="71">
        <f t="shared" si="17"/>
        <v>16</v>
      </c>
      <c r="DF10" s="71">
        <v>0</v>
      </c>
      <c r="DG10" s="100">
        <f t="shared" si="18"/>
        <v>0.7931034482758621</v>
      </c>
      <c r="DH10" s="110">
        <f t="shared" si="19"/>
        <v>0.22222222222222221</v>
      </c>
    </row>
    <row r="11" spans="1:112" x14ac:dyDescent="0.15">
      <c r="A11" s="71" t="s">
        <v>47</v>
      </c>
      <c r="B11" s="71" t="s">
        <v>29</v>
      </c>
      <c r="C11" s="71" t="s">
        <v>48</v>
      </c>
      <c r="D11" s="71" t="s">
        <v>238</v>
      </c>
      <c r="E11" s="71" t="s">
        <v>558</v>
      </c>
      <c r="F11" s="71" t="s">
        <v>290</v>
      </c>
      <c r="G11" s="71" t="s">
        <v>569</v>
      </c>
      <c r="I11" s="71" t="s">
        <v>598</v>
      </c>
      <c r="J11" s="71" t="s">
        <v>308</v>
      </c>
      <c r="L11" s="71" t="s">
        <v>634</v>
      </c>
      <c r="O11" s="71" t="s">
        <v>662</v>
      </c>
      <c r="P11" s="71" t="s">
        <v>320</v>
      </c>
      <c r="Q11" s="71" t="s">
        <v>684</v>
      </c>
      <c r="R11" s="71" t="s">
        <v>350</v>
      </c>
      <c r="S11" s="71" t="s">
        <v>696</v>
      </c>
      <c r="T11" s="71" t="s">
        <v>364</v>
      </c>
      <c r="U11" s="71" t="s">
        <v>716</v>
      </c>
      <c r="Y11" s="71" t="s">
        <v>748</v>
      </c>
      <c r="AA11" s="71" t="s">
        <v>766</v>
      </c>
      <c r="AB11" s="71" t="s">
        <v>399</v>
      </c>
      <c r="AC11" s="71" t="s">
        <v>781</v>
      </c>
      <c r="AD11" s="71" t="s">
        <v>421</v>
      </c>
      <c r="AF11" s="71" t="s">
        <v>435</v>
      </c>
      <c r="AG11" s="71" t="s">
        <v>800</v>
      </c>
      <c r="AH11" s="71" t="s">
        <v>451</v>
      </c>
      <c r="AI11" s="71" t="s">
        <v>817</v>
      </c>
      <c r="AJ11" s="71" t="s">
        <v>476</v>
      </c>
      <c r="AK11" s="71" t="s">
        <v>835</v>
      </c>
      <c r="AL11" s="71" t="s">
        <v>491</v>
      </c>
      <c r="AM11" s="71" t="s">
        <v>858</v>
      </c>
      <c r="AN11" s="71" t="s">
        <v>503</v>
      </c>
      <c r="AP11" s="71" t="s">
        <v>521</v>
      </c>
      <c r="AS11" s="71" t="s">
        <v>230</v>
      </c>
      <c r="CE11" s="71">
        <f t="shared" si="20"/>
        <v>30</v>
      </c>
      <c r="CF11" s="71">
        <f t="shared" si="0"/>
        <v>4</v>
      </c>
      <c r="CG11" s="71">
        <f t="shared" si="1"/>
        <v>26</v>
      </c>
      <c r="CH11" s="71">
        <f t="shared" si="2"/>
        <v>9</v>
      </c>
      <c r="CI11" s="71">
        <f t="shared" si="3"/>
        <v>40</v>
      </c>
      <c r="CJ11" s="75">
        <f t="shared" si="4"/>
        <v>40</v>
      </c>
      <c r="CK11" s="71">
        <f t="shared" si="5"/>
        <v>247</v>
      </c>
      <c r="CL11" s="73">
        <f t="shared" si="6"/>
        <v>14.529411764705882</v>
      </c>
      <c r="CM11" s="71">
        <f t="shared" si="7"/>
        <v>242</v>
      </c>
      <c r="CN11" s="71">
        <f t="shared" si="8"/>
        <v>45</v>
      </c>
      <c r="CO11" s="74">
        <f t="array" ref="CO11">SUM(IF(ISERR(FIND("*",D11:CD11)),0,1))</f>
        <v>0</v>
      </c>
      <c r="CP11" s="74">
        <f t="array" ref="CP11">SUM(IF(ISERR(FIND("+",D11:CD11)),0,1))</f>
        <v>0</v>
      </c>
      <c r="CQ11" s="71">
        <f t="shared" si="9"/>
        <v>1</v>
      </c>
      <c r="CR11" s="74">
        <f t="array" ref="CR11">SUM(IF(ISERR(FIND(CR$4,$D11:$CD11)),0,1))</f>
        <v>2</v>
      </c>
      <c r="CS11" s="74">
        <f t="array" ref="CS11">SUM(IF(ISERR(FIND(CS$4,$D11:$CD11)),0,1))</f>
        <v>10</v>
      </c>
      <c r="CT11" s="74">
        <f t="array" ref="CT11">SUM(IF(ISERR(FIND(CT$4,$D11:$CD11)),0,1))</f>
        <v>4</v>
      </c>
      <c r="CU11" s="74">
        <f t="array" ref="CU11">SUM(IF(ISERR(FIND(CU$4,$D11:$CD11)),0,1))</f>
        <v>1</v>
      </c>
      <c r="CV11" s="74">
        <f t="array" ref="CV11">SUM(IF(ISERR(FIND(CV$4,$D11:$CD11)),0,1))</f>
        <v>0</v>
      </c>
      <c r="CW11" s="74">
        <f t="array" ref="CW11">SUM(IF(ISERR(FIND(CW$4,$D11:$CD11)),0,1))</f>
        <v>0</v>
      </c>
      <c r="CX11" s="74">
        <f t="shared" si="10"/>
        <v>9</v>
      </c>
      <c r="CY11" s="74">
        <f t="shared" si="11"/>
        <v>27</v>
      </c>
      <c r="CZ11" s="74">
        <f t="shared" si="12"/>
        <v>0</v>
      </c>
      <c r="DA11" s="74">
        <f t="shared" si="13"/>
        <v>0</v>
      </c>
      <c r="DB11" s="74">
        <f t="shared" si="14"/>
        <v>0</v>
      </c>
      <c r="DC11" s="74">
        <f t="shared" si="15"/>
        <v>1</v>
      </c>
      <c r="DD11" s="71">
        <f t="shared" si="16"/>
        <v>1455632.4701099999</v>
      </c>
      <c r="DE11" s="71">
        <f t="shared" si="17"/>
        <v>13</v>
      </c>
      <c r="DF11" s="71">
        <v>0</v>
      </c>
      <c r="DG11" s="100">
        <f t="shared" si="18"/>
        <v>0.43724696356275305</v>
      </c>
      <c r="DH11" s="110">
        <f t="shared" si="19"/>
        <v>5.8823529411764705E-2</v>
      </c>
    </row>
    <row r="12" spans="1:112" x14ac:dyDescent="0.15">
      <c r="B12" s="71" t="s">
        <v>251</v>
      </c>
      <c r="C12" s="71" t="s">
        <v>252</v>
      </c>
      <c r="Y12" s="71" t="s">
        <v>747</v>
      </c>
      <c r="AI12" s="71" t="s">
        <v>816</v>
      </c>
      <c r="AK12" s="71" t="s">
        <v>832</v>
      </c>
      <c r="AM12" s="71" t="s">
        <v>855</v>
      </c>
      <c r="CE12" s="71">
        <f>BatSplit(D12:CD12,MatchesPlayed)</f>
        <v>4</v>
      </c>
      <c r="CF12" s="71">
        <f t="shared" si="0"/>
        <v>0</v>
      </c>
      <c r="CG12" s="71">
        <f>BatSplit(D12:CD12,InnsBattedIn)</f>
        <v>4</v>
      </c>
      <c r="CH12" s="71">
        <f>BatSplit(D12:CD12,NotOuts)</f>
        <v>0</v>
      </c>
      <c r="CI12" s="71">
        <f>BatSplit(D12:CD12,HighestScore)</f>
        <v>72</v>
      </c>
      <c r="CJ12" s="75">
        <f t="shared" si="4"/>
        <v>72</v>
      </c>
      <c r="CK12" s="71">
        <f>BatSplit(D12:CD12,RunsScored)</f>
        <v>76</v>
      </c>
      <c r="CL12" s="73">
        <f t="shared" si="6"/>
        <v>19</v>
      </c>
      <c r="CM12" s="71">
        <f>BatSplit(D12:CD12,BatPts)</f>
        <v>81</v>
      </c>
      <c r="CN12" s="71">
        <f t="shared" si="8"/>
        <v>30</v>
      </c>
      <c r="CO12" s="74">
        <f t="array" ref="CO12">SUM(IF(ISERR(FIND("*",D12:CD12)),0,1))</f>
        <v>0</v>
      </c>
      <c r="CP12" s="74">
        <f t="array" ref="CP12">SUM(IF(ISERR(FIND("+",D12:CD12)),0,1))</f>
        <v>0</v>
      </c>
      <c r="CQ12" s="71">
        <f>BatSplit(D12:CD12,Ducks)</f>
        <v>1</v>
      </c>
      <c r="CR12" s="74">
        <f t="array" ref="CR12">SUM(IF(ISERR(FIND(CR$4,$D12:$CD12)),0,1))</f>
        <v>3</v>
      </c>
      <c r="CS12" s="74">
        <f t="array" ref="CS12">SUM(IF(ISERR(FIND(CS$4,$D12:$CD12)),0,1))</f>
        <v>1</v>
      </c>
      <c r="CT12" s="74">
        <f t="array" ref="CT12">SUM(IF(ISERR(FIND(CT$4,$D12:$CD12)),0,1))</f>
        <v>0</v>
      </c>
      <c r="CU12" s="74">
        <f t="array" ref="CU12">SUM(IF(ISERR(FIND(CU$4,$D12:$CD12)),0,1))</f>
        <v>0</v>
      </c>
      <c r="CV12" s="74">
        <f t="array" ref="CV12">SUM(IF(ISERR(FIND(CV$4,$D12:$CD12)),0,1))</f>
        <v>0</v>
      </c>
      <c r="CW12" s="74">
        <f t="array" ref="CW12">SUM(IF(ISERR(FIND(CW$4,$D12:$CD12)),0,1))</f>
        <v>0</v>
      </c>
      <c r="CX12" s="74">
        <f>BatSplit(D12:CD12,Catches)</f>
        <v>6</v>
      </c>
      <c r="CY12" s="74">
        <f>BatSplit(D12:CD12,Fours)</f>
        <v>10</v>
      </c>
      <c r="CZ12" s="74">
        <f>BatSplit(D12:CD12,Sixes)</f>
        <v>0</v>
      </c>
      <c r="DA12" s="74">
        <f>BatSplit(D12:CD12,Stumpings)</f>
        <v>0</v>
      </c>
      <c r="DB12" s="74">
        <f>BatSplit(D12:CD12,CaughtWkt)</f>
        <v>0</v>
      </c>
      <c r="DC12" s="74">
        <f t="shared" si="15"/>
        <v>1</v>
      </c>
      <c r="DD12" s="71">
        <f>ROUND(IF(ISERROR(CL12),0,CL12),2)*100000+CG12*100+CE12+CK12/100+ROW()/100000</f>
        <v>1900404.76012</v>
      </c>
      <c r="DE12" s="71">
        <f t="shared" si="17"/>
        <v>11</v>
      </c>
      <c r="DF12" s="71">
        <v>0</v>
      </c>
      <c r="DG12" s="100">
        <f t="shared" ref="DG12:DG50" si="21">(CY12*4+CZ12*6)/CK12</f>
        <v>0.52631578947368418</v>
      </c>
      <c r="DH12" s="110">
        <f t="shared" ref="DH12:DH50" si="22">CQ12/(CG12-CH12)</f>
        <v>0.25</v>
      </c>
    </row>
    <row r="13" spans="1:112" x14ac:dyDescent="0.15">
      <c r="A13" s="71" t="s">
        <v>196</v>
      </c>
      <c r="B13" s="71" t="s">
        <v>188</v>
      </c>
      <c r="C13" s="71" t="s">
        <v>197</v>
      </c>
      <c r="G13" s="71" t="s">
        <v>574</v>
      </c>
      <c r="CE13" s="71">
        <f t="shared" si="20"/>
        <v>1</v>
      </c>
      <c r="CF13" s="71">
        <f t="shared" si="0"/>
        <v>0</v>
      </c>
      <c r="CG13" s="71">
        <f t="shared" si="1"/>
        <v>1</v>
      </c>
      <c r="CH13" s="71">
        <f t="shared" si="2"/>
        <v>0</v>
      </c>
      <c r="CI13" s="71">
        <f t="shared" si="3"/>
        <v>6</v>
      </c>
      <c r="CJ13" s="75">
        <f t="shared" si="4"/>
        <v>6</v>
      </c>
      <c r="CK13" s="71">
        <f t="shared" si="5"/>
        <v>6</v>
      </c>
      <c r="CL13" s="73">
        <f t="shared" ref="CL13:CL24" si="23">IF(CG13=CH13,0,CK13/(CG13-CH13))</f>
        <v>6</v>
      </c>
      <c r="CM13" s="71">
        <f t="shared" si="7"/>
        <v>6</v>
      </c>
      <c r="CN13" s="71">
        <f t="shared" ref="CN13:CN25" si="24">BatSplit(D13:CD13,FldPts)</f>
        <v>10</v>
      </c>
      <c r="CO13" s="74">
        <f t="array" ref="CO13">SUM(IF(ISERR(FIND("*",D13:CD13)),0,1))</f>
        <v>0</v>
      </c>
      <c r="CP13" s="74">
        <f t="array" ref="CP13">SUM(IF(ISERR(FIND("+",D13:CD13)),0,1))</f>
        <v>0</v>
      </c>
      <c r="CQ13" s="71">
        <f t="shared" si="9"/>
        <v>0</v>
      </c>
      <c r="CR13" s="74">
        <f t="array" ref="CR13">SUM(IF(ISERR(FIND(CR$4,$D13:$CD13)),0,1))</f>
        <v>1</v>
      </c>
      <c r="CS13" s="74">
        <f t="array" ref="CS13">SUM(IF(ISERR(FIND(CS$4,$D13:$CD13)),0,1))</f>
        <v>0</v>
      </c>
      <c r="CT13" s="74">
        <f t="array" ref="CT13">SUM(IF(ISERR(FIND(CT$4,$D13:$CD13)),0,1))</f>
        <v>0</v>
      </c>
      <c r="CU13" s="74">
        <f t="array" ref="CU13">SUM(IF(ISERR(FIND(CU$4,$D13:$CD13)),0,1))</f>
        <v>0</v>
      </c>
      <c r="CV13" s="74">
        <f t="array" ref="CV13">SUM(IF(ISERR(FIND(CV$4,$D13:$CD13)),0,1))</f>
        <v>0</v>
      </c>
      <c r="CW13" s="74">
        <f t="array" ref="CW13">SUM(IF(ISERR(FIND(CW$4,$D13:$CD13)),0,1))</f>
        <v>0</v>
      </c>
      <c r="CX13" s="74">
        <f t="shared" si="10"/>
        <v>2</v>
      </c>
      <c r="CY13" s="74">
        <f t="shared" si="11"/>
        <v>1</v>
      </c>
      <c r="CZ13" s="74">
        <f t="shared" si="12"/>
        <v>0</v>
      </c>
      <c r="DA13" s="74">
        <f t="shared" si="13"/>
        <v>0</v>
      </c>
      <c r="DB13" s="74">
        <f t="shared" si="14"/>
        <v>0</v>
      </c>
      <c r="DC13" s="74">
        <f t="shared" ref="DC13:DC24" si="25">BatSplit(D13:CD13,TwentyFives)</f>
        <v>0</v>
      </c>
      <c r="DD13" s="71">
        <f t="shared" si="16"/>
        <v>600101.06013</v>
      </c>
      <c r="DE13" s="71">
        <f t="shared" si="17"/>
        <v>28</v>
      </c>
      <c r="DF13" s="71">
        <v>0</v>
      </c>
      <c r="DG13" s="100">
        <f t="shared" si="21"/>
        <v>0.66666666666666663</v>
      </c>
      <c r="DH13" s="110">
        <f t="shared" si="22"/>
        <v>0</v>
      </c>
    </row>
    <row r="14" spans="1:112" x14ac:dyDescent="0.15">
      <c r="C14" s="71" t="s">
        <v>867</v>
      </c>
      <c r="AS14" s="71" t="s">
        <v>231</v>
      </c>
      <c r="CE14" s="71">
        <f>BatSplit(D14:CD14,MatchesPlayed)</f>
        <v>1</v>
      </c>
      <c r="CF14" s="71">
        <f>CE14-CG14</f>
        <v>1</v>
      </c>
      <c r="CG14" s="71">
        <f>BatSplit(D14:CD14,InnsBattedIn)</f>
        <v>0</v>
      </c>
      <c r="CH14" s="71">
        <f>BatSplit(D14:CD14,NotOuts)</f>
        <v>0</v>
      </c>
      <c r="CI14" s="71">
        <f>BatSplit(D14:CD14,HighestScore)</f>
        <v>0</v>
      </c>
      <c r="CJ14" s="75">
        <f t="shared" si="4"/>
        <v>0</v>
      </c>
      <c r="CK14" s="71">
        <f>BatSplit(D14:CD14,RunsScored)</f>
        <v>0</v>
      </c>
      <c r="CL14" s="73">
        <f>IF(CG14=CH14,0,CK14/(CG14-CH14))</f>
        <v>0</v>
      </c>
      <c r="CM14" s="71">
        <f>BatSplit(D14:CD14,BatPts)</f>
        <v>0</v>
      </c>
      <c r="CN14" s="71">
        <f>BatSplit(D14:CD14,FldPts)</f>
        <v>0</v>
      </c>
      <c r="CO14" s="74">
        <f t="array" ref="CO14">SUM(IF(ISERR(FIND("*",D14:CD14)),0,1))</f>
        <v>0</v>
      </c>
      <c r="CP14" s="74">
        <f t="array" ref="CP14">SUM(IF(ISERR(FIND("+",D14:CD14)),0,1))</f>
        <v>0</v>
      </c>
      <c r="CQ14" s="71">
        <f>BatSplit(D14:CD14,Ducks)</f>
        <v>0</v>
      </c>
      <c r="CR14" s="74">
        <f t="array" ref="CR14">SUM(IF(ISERR(FIND(CR$4,$D14:$CD14)),0,1))</f>
        <v>0</v>
      </c>
      <c r="CS14" s="74">
        <f t="array" ref="CS14">SUM(IF(ISERR(FIND(CS$4,$D14:$CD14)),0,1))</f>
        <v>0</v>
      </c>
      <c r="CT14" s="74">
        <f t="array" ref="CT14">SUM(IF(ISERR(FIND(CT$4,$D14:$CD14)),0,1))</f>
        <v>0</v>
      </c>
      <c r="CU14" s="74">
        <f t="array" ref="CU14">SUM(IF(ISERR(FIND(CU$4,$D14:$CD14)),0,1))</f>
        <v>0</v>
      </c>
      <c r="CV14" s="74">
        <f t="array" ref="CV14">SUM(IF(ISERR(FIND(CV$4,$D14:$CD14)),0,1))</f>
        <v>0</v>
      </c>
      <c r="CW14" s="74">
        <f t="array" ref="CW14">SUM(IF(ISERR(FIND(CW$4,$D14:$CD14)),0,1))</f>
        <v>0</v>
      </c>
      <c r="CX14" s="74">
        <f>BatSplit(D14:CD14,Catches)</f>
        <v>0</v>
      </c>
      <c r="CY14" s="74">
        <f>BatSplit(D14:CD14,Fours)</f>
        <v>0</v>
      </c>
      <c r="CZ14" s="74">
        <f>BatSplit(D14:CD14,Sixes)</f>
        <v>0</v>
      </c>
      <c r="DA14" s="74">
        <f>BatSplit(D14:CD14,Stumpings)</f>
        <v>0</v>
      </c>
      <c r="DB14" s="74">
        <f>BatSplit(D14:CD14,CaughtWkt)</f>
        <v>0</v>
      </c>
      <c r="DC14" s="74">
        <f>BatSplit(D14:CD14,TwentyFives)</f>
        <v>0</v>
      </c>
      <c r="DD14" s="71">
        <f>ROUND(IF(ISERROR(CL14),0,CL14),2)*100000+CG14*100+CE14+CK14/100+ROW()/100000</f>
        <v>1.00014</v>
      </c>
      <c r="DE14" s="71">
        <f t="shared" si="17"/>
        <v>39</v>
      </c>
      <c r="DF14" s="71">
        <v>0</v>
      </c>
      <c r="DG14" s="100" t="e">
        <f>(CY14*4+CZ14*6)/CK14</f>
        <v>#DIV/0!</v>
      </c>
      <c r="DH14" s="110" t="e">
        <f t="shared" si="22"/>
        <v>#DIV/0!</v>
      </c>
    </row>
    <row r="15" spans="1:112" x14ac:dyDescent="0.15">
      <c r="B15" s="71" t="s">
        <v>246</v>
      </c>
      <c r="C15" s="71" t="s">
        <v>247</v>
      </c>
      <c r="AH15" s="71" t="s">
        <v>452</v>
      </c>
      <c r="CE15" s="71">
        <f t="shared" si="20"/>
        <v>1</v>
      </c>
      <c r="CF15" s="71">
        <f t="shared" si="0"/>
        <v>0</v>
      </c>
      <c r="CG15" s="71">
        <f t="shared" si="1"/>
        <v>1</v>
      </c>
      <c r="CH15" s="71">
        <f t="shared" si="2"/>
        <v>0</v>
      </c>
      <c r="CI15" s="71">
        <f t="shared" si="3"/>
        <v>4</v>
      </c>
      <c r="CJ15" s="75">
        <f t="shared" si="4"/>
        <v>4</v>
      </c>
      <c r="CK15" s="71">
        <f t="shared" si="5"/>
        <v>4</v>
      </c>
      <c r="CL15" s="73">
        <f t="shared" si="23"/>
        <v>4</v>
      </c>
      <c r="CM15" s="71">
        <f t="shared" si="7"/>
        <v>4</v>
      </c>
      <c r="CN15" s="71">
        <f t="shared" si="24"/>
        <v>0</v>
      </c>
      <c r="CO15" s="74">
        <f t="array" ref="CO15">SUM(IF(ISERR(FIND("*",D15:CD15)),0,1))</f>
        <v>0</v>
      </c>
      <c r="CP15" s="74">
        <f t="array" ref="CP15">SUM(IF(ISERR(FIND("+",D15:CD15)),0,1))</f>
        <v>0</v>
      </c>
      <c r="CQ15" s="71">
        <f t="shared" si="9"/>
        <v>0</v>
      </c>
      <c r="CR15" s="74">
        <f t="array" ref="CR15">SUM(IF(ISERR(FIND(CR$4,$D15:$CD15)),0,1))</f>
        <v>1</v>
      </c>
      <c r="CS15" s="74">
        <f t="array" ref="CS15">SUM(IF(ISERR(FIND(CS$4,$D15:$CD15)),0,1))</f>
        <v>0</v>
      </c>
      <c r="CT15" s="74">
        <f t="array" ref="CT15">SUM(IF(ISERR(FIND(CT$4,$D15:$CD15)),0,1))</f>
        <v>0</v>
      </c>
      <c r="CU15" s="74">
        <f t="array" ref="CU15">SUM(IF(ISERR(FIND(CU$4,$D15:$CD15)),0,1))</f>
        <v>0</v>
      </c>
      <c r="CV15" s="74">
        <f t="array" ref="CV15">SUM(IF(ISERR(FIND(CV$4,$D15:$CD15)),0,1))</f>
        <v>0</v>
      </c>
      <c r="CW15" s="74">
        <f t="array" ref="CW15">SUM(IF(ISERR(FIND(CW$4,$D15:$CD15)),0,1))</f>
        <v>0</v>
      </c>
      <c r="CX15" s="74">
        <f t="shared" si="10"/>
        <v>0</v>
      </c>
      <c r="CY15" s="74">
        <f t="shared" si="11"/>
        <v>1</v>
      </c>
      <c r="CZ15" s="74">
        <f t="shared" si="12"/>
        <v>0</v>
      </c>
      <c r="DA15" s="74">
        <f t="shared" si="13"/>
        <v>0</v>
      </c>
      <c r="DB15" s="74">
        <f t="shared" si="14"/>
        <v>0</v>
      </c>
      <c r="DC15" s="74">
        <f t="shared" si="25"/>
        <v>0</v>
      </c>
      <c r="DD15" s="71">
        <f>ROUND(IF(ISERROR(CL15),0,CL15),2)*100000+CG15*100+CE15+CK15/100+ROW()/100000</f>
        <v>400101.04014999996</v>
      </c>
      <c r="DE15" s="71">
        <f t="shared" si="17"/>
        <v>32</v>
      </c>
      <c r="DF15" s="71">
        <v>0</v>
      </c>
      <c r="DG15" s="100">
        <f t="shared" si="21"/>
        <v>1</v>
      </c>
      <c r="DH15" s="110">
        <f t="shared" si="22"/>
        <v>0</v>
      </c>
    </row>
    <row r="16" spans="1:112" x14ac:dyDescent="0.15">
      <c r="A16" s="71" t="s">
        <v>215</v>
      </c>
      <c r="B16" s="71" t="s">
        <v>209</v>
      </c>
      <c r="C16" s="71" t="s">
        <v>210</v>
      </c>
      <c r="D16" s="71" t="s">
        <v>266</v>
      </c>
      <c r="F16" s="71" t="s">
        <v>284</v>
      </c>
      <c r="J16" s="71" t="s">
        <v>306</v>
      </c>
      <c r="Q16" s="71" t="s">
        <v>909</v>
      </c>
      <c r="T16" s="71" t="s">
        <v>281</v>
      </c>
      <c r="X16" s="71" t="s">
        <v>382</v>
      </c>
      <c r="AF16" s="71" t="s">
        <v>433</v>
      </c>
      <c r="CE16" s="71">
        <f>BatSplit(D16:CD16,MatchesPlayed)</f>
        <v>7</v>
      </c>
      <c r="CF16" s="71">
        <f t="shared" si="0"/>
        <v>0</v>
      </c>
      <c r="CG16" s="71">
        <f>BatSplit(D16:CD16,InnsBattedIn)</f>
        <v>7</v>
      </c>
      <c r="CH16" s="71">
        <f t="shared" si="2"/>
        <v>1</v>
      </c>
      <c r="CI16" s="71">
        <f t="shared" si="3"/>
        <v>15</v>
      </c>
      <c r="CJ16" s="75">
        <f t="shared" si="4"/>
        <v>15</v>
      </c>
      <c r="CK16" s="71">
        <f t="shared" si="5"/>
        <v>50</v>
      </c>
      <c r="CL16" s="73">
        <f>IF(CG16=CH16,0,CK16/(CG16-CH16))</f>
        <v>8.3333333333333339</v>
      </c>
      <c r="CM16" s="71">
        <f>BatSplit(D16:CD16,BatPts)</f>
        <v>45</v>
      </c>
      <c r="CN16" s="71">
        <f t="shared" si="24"/>
        <v>15</v>
      </c>
      <c r="CO16" s="74">
        <f t="array" ref="CO16">SUM(IF(ISERR(FIND("*",D16:CD16)),0,1))</f>
        <v>0</v>
      </c>
      <c r="CP16" s="74">
        <f t="array" ref="CP16">SUM(IF(ISERR(FIND("+",D16:CD16)),0,1))</f>
        <v>0</v>
      </c>
      <c r="CQ16" s="71">
        <f t="shared" si="9"/>
        <v>1</v>
      </c>
      <c r="CR16" s="74">
        <f t="array" ref="CR16">SUM(IF(ISERR(FIND(CR$4,$D16:$CD16)),0,1))</f>
        <v>2</v>
      </c>
      <c r="CS16" s="74">
        <f t="array" ref="CS16">SUM(IF(ISERR(FIND(CS$4,$D16:$CD16)),0,1))</f>
        <v>1</v>
      </c>
      <c r="CT16" s="74">
        <f t="array" ref="CT16">SUM(IF(ISERR(FIND(CT$4,$D16:$CD16)),0,1))</f>
        <v>1</v>
      </c>
      <c r="CU16" s="74">
        <f t="array" ref="CU16">SUM(IF(ISERR(FIND(CU$4,$D16:$CD16)),0,1))</f>
        <v>2</v>
      </c>
      <c r="CV16" s="74">
        <f t="array" ref="CV16">SUM(IF(ISERR(FIND(CV$4,$D16:$CD16)),0,1))</f>
        <v>0</v>
      </c>
      <c r="CW16" s="74">
        <f t="array" ref="CW16">SUM(IF(ISERR(FIND(CW$4,$D16:$CD16)),0,1))</f>
        <v>0</v>
      </c>
      <c r="CX16" s="74">
        <f t="shared" si="10"/>
        <v>3</v>
      </c>
      <c r="CY16" s="74">
        <f t="shared" si="11"/>
        <v>1</v>
      </c>
      <c r="CZ16" s="74">
        <f t="shared" si="12"/>
        <v>0</v>
      </c>
      <c r="DA16" s="74">
        <f t="shared" si="13"/>
        <v>0</v>
      </c>
      <c r="DB16" s="74">
        <f t="shared" si="14"/>
        <v>0</v>
      </c>
      <c r="DC16" s="74">
        <f t="shared" si="25"/>
        <v>0</v>
      </c>
      <c r="DD16" s="71">
        <f t="shared" si="16"/>
        <v>833707.50016000005</v>
      </c>
      <c r="DE16" s="71">
        <f t="shared" si="17"/>
        <v>22</v>
      </c>
      <c r="DF16" s="71">
        <v>0</v>
      </c>
      <c r="DG16" s="100">
        <f t="shared" si="21"/>
        <v>0.08</v>
      </c>
      <c r="DH16" s="110">
        <f t="shared" si="22"/>
        <v>0.16666666666666666</v>
      </c>
    </row>
    <row r="17" spans="1:112" x14ac:dyDescent="0.15">
      <c r="A17" s="71" t="s">
        <v>50</v>
      </c>
      <c r="B17" s="71" t="s">
        <v>26</v>
      </c>
      <c r="C17" s="71" t="s">
        <v>162</v>
      </c>
      <c r="O17" s="71" t="s">
        <v>578</v>
      </c>
      <c r="Q17" s="71" t="s">
        <v>538</v>
      </c>
      <c r="S17" s="71" t="s">
        <v>700</v>
      </c>
      <c r="U17" s="71" t="s">
        <v>436</v>
      </c>
      <c r="W17" s="71" t="s">
        <v>734</v>
      </c>
      <c r="X17" s="71" t="s">
        <v>383</v>
      </c>
      <c r="AA17" s="71" t="s">
        <v>599</v>
      </c>
      <c r="AC17" s="71" t="s">
        <v>369</v>
      </c>
      <c r="AI17" s="71" t="s">
        <v>538</v>
      </c>
      <c r="AK17" s="71" t="s">
        <v>369</v>
      </c>
      <c r="AM17" s="71" t="s">
        <v>853</v>
      </c>
      <c r="AN17" s="71" t="s">
        <v>504</v>
      </c>
      <c r="CE17" s="71">
        <f t="shared" si="20"/>
        <v>12</v>
      </c>
      <c r="CF17" s="71">
        <f t="shared" si="0"/>
        <v>5</v>
      </c>
      <c r="CG17" s="71">
        <f t="shared" si="1"/>
        <v>7</v>
      </c>
      <c r="CH17" s="71">
        <f t="shared" si="2"/>
        <v>4</v>
      </c>
      <c r="CI17" s="71">
        <f t="shared" si="3"/>
        <v>-26</v>
      </c>
      <c r="CJ17" s="75" t="str">
        <f t="shared" si="4"/>
        <v>26*</v>
      </c>
      <c r="CK17" s="71">
        <f t="shared" si="5"/>
        <v>58</v>
      </c>
      <c r="CL17" s="73">
        <f t="shared" si="23"/>
        <v>19.333333333333332</v>
      </c>
      <c r="CM17" s="71">
        <f t="shared" si="7"/>
        <v>58</v>
      </c>
      <c r="CN17" s="71">
        <f t="shared" si="24"/>
        <v>5</v>
      </c>
      <c r="CO17" s="74">
        <f t="array" ref="CO17">SUM(IF(ISERR(FIND("*",D17:CD17)),0,1))</f>
        <v>0</v>
      </c>
      <c r="CP17" s="74">
        <f t="array" ref="CP17">SUM(IF(ISERR(FIND("+",D17:CD17)),0,1))</f>
        <v>0</v>
      </c>
      <c r="CQ17" s="71">
        <f t="shared" si="9"/>
        <v>0</v>
      </c>
      <c r="CR17" s="74">
        <f t="array" ref="CR17">SUM(IF(ISERR(FIND(CR$4,$D17:$CD17)),0,1))</f>
        <v>2</v>
      </c>
      <c r="CS17" s="74">
        <f t="array" ref="CS17">SUM(IF(ISERR(FIND(CS$4,$D17:$CD17)),0,1))</f>
        <v>1</v>
      </c>
      <c r="CT17" s="74">
        <f t="array" ref="CT17">SUM(IF(ISERR(FIND(CT$4,$D17:$CD17)),0,1))</f>
        <v>0</v>
      </c>
      <c r="CU17" s="74">
        <f t="array" ref="CU17">SUM(IF(ISERR(FIND(CU$4,$D17:$CD17)),0,1))</f>
        <v>0</v>
      </c>
      <c r="CV17" s="74">
        <f t="array" ref="CV17">SUM(IF(ISERR(FIND(CV$4,$D17:$CD17)),0,1))</f>
        <v>0</v>
      </c>
      <c r="CW17" s="74">
        <f t="array" ref="CW17">SUM(IF(ISERR(FIND(CW$4,$D17:$CD17)),0,1))</f>
        <v>0</v>
      </c>
      <c r="CX17" s="74">
        <f t="shared" si="10"/>
        <v>1</v>
      </c>
      <c r="CY17" s="74">
        <f t="shared" si="11"/>
        <v>4</v>
      </c>
      <c r="CZ17" s="74">
        <f t="shared" si="12"/>
        <v>0</v>
      </c>
      <c r="DA17" s="74">
        <f t="shared" si="13"/>
        <v>0</v>
      </c>
      <c r="DB17" s="74">
        <f t="shared" si="14"/>
        <v>0</v>
      </c>
      <c r="DC17" s="74">
        <f t="shared" si="25"/>
        <v>1</v>
      </c>
      <c r="DD17" s="71">
        <f t="shared" si="16"/>
        <v>1933712.5801699997</v>
      </c>
      <c r="DE17" s="71">
        <f t="shared" si="17"/>
        <v>10</v>
      </c>
      <c r="DF17" s="71">
        <v>0</v>
      </c>
      <c r="DG17" s="100">
        <f t="shared" si="21"/>
        <v>0.27586206896551724</v>
      </c>
      <c r="DH17" s="110">
        <f t="shared" si="22"/>
        <v>0</v>
      </c>
    </row>
    <row r="18" spans="1:112" x14ac:dyDescent="0.15">
      <c r="B18" s="71" t="s">
        <v>466</v>
      </c>
      <c r="C18" s="71" t="s">
        <v>467</v>
      </c>
      <c r="AG18" s="71" t="s">
        <v>801</v>
      </c>
      <c r="AJ18" s="71" t="s">
        <v>468</v>
      </c>
      <c r="AN18" s="71" t="s">
        <v>501</v>
      </c>
      <c r="AT18" s="71" t="s">
        <v>537</v>
      </c>
      <c r="CE18" s="71">
        <f>BatSplit(D18:CD18,MatchesPlayed)</f>
        <v>4</v>
      </c>
      <c r="CF18" s="71">
        <f>CE18-CG18</f>
        <v>0</v>
      </c>
      <c r="CG18" s="71">
        <f>BatSplit(D18:CD18,InnsBattedIn)</f>
        <v>4</v>
      </c>
      <c r="CH18" s="71">
        <f>BatSplit(D18:CD18,NotOuts)</f>
        <v>1</v>
      </c>
      <c r="CI18" s="71">
        <f>BatSplit(D18:CD18,HighestScore)</f>
        <v>52</v>
      </c>
      <c r="CJ18" s="75">
        <f t="shared" si="4"/>
        <v>52</v>
      </c>
      <c r="CK18" s="71">
        <f>BatSplit(D18:CD18,RunsScored)</f>
        <v>76</v>
      </c>
      <c r="CL18" s="73">
        <f>IF(CG18=CH18,0,CK18/(CG18-CH18))</f>
        <v>25.333333333333332</v>
      </c>
      <c r="CM18" s="71">
        <f>BatSplit(D18:CD18,BatPts)</f>
        <v>86</v>
      </c>
      <c r="CN18" s="71">
        <f>BatSplit(D18:CD18,FldPts)</f>
        <v>15</v>
      </c>
      <c r="CO18" s="74">
        <f t="array" ref="CO18">SUM(IF(ISERR(FIND("*",D18:CD18)),0,1))</f>
        <v>0</v>
      </c>
      <c r="CP18" s="74">
        <f t="array" ref="CP18">SUM(IF(ISERR(FIND("+",D18:CD18)),0,1))</f>
        <v>0</v>
      </c>
      <c r="CQ18" s="71">
        <f>BatSplit(D18:CD18,Ducks)</f>
        <v>0</v>
      </c>
      <c r="CR18" s="74">
        <f t="array" ref="CR18">SUM(IF(ISERR(FIND(CR$4,$D18:$CD18)),0,1))</f>
        <v>3</v>
      </c>
      <c r="CS18" s="74">
        <f t="array" ref="CS18">SUM(IF(ISERR(FIND(CS$4,$D18:$CD18)),0,1))</f>
        <v>0</v>
      </c>
      <c r="CT18" s="74">
        <f t="array" ref="CT18">SUM(IF(ISERR(FIND(CT$4,$D18:$CD18)),0,1))</f>
        <v>0</v>
      </c>
      <c r="CU18" s="74">
        <f t="array" ref="CU18">SUM(IF(ISERR(FIND(CU$4,$D18:$CD18)),0,1))</f>
        <v>0</v>
      </c>
      <c r="CV18" s="74">
        <f t="array" ref="CV18">SUM(IF(ISERR(FIND(CV$4,$D18:$CD18)),0,1))</f>
        <v>0</v>
      </c>
      <c r="CW18" s="74">
        <f t="array" ref="CW18">SUM(IF(ISERR(FIND(CW$4,$D18:$CD18)),0,1))</f>
        <v>0</v>
      </c>
      <c r="CX18" s="74">
        <f>BatSplit(D18:CD18,Catches)</f>
        <v>3</v>
      </c>
      <c r="CY18" s="74">
        <f>BatSplit(D18:CD18,Fours)</f>
        <v>12</v>
      </c>
      <c r="CZ18" s="74">
        <f>BatSplit(D18:CD18,Sixes)</f>
        <v>1</v>
      </c>
      <c r="DA18" s="74">
        <f>BatSplit(D18:CD18,Stumpings)</f>
        <v>0</v>
      </c>
      <c r="DB18" s="74">
        <f>BatSplit(D18:CD18,CaughtWkt)</f>
        <v>0</v>
      </c>
      <c r="DC18" s="74">
        <f>BatSplit(D18:CD18,TwentyFives)</f>
        <v>1</v>
      </c>
      <c r="DD18" s="71">
        <f>ROUND(IF(ISERROR(CL18),0,CL18),2)*100000+CG18*100+CE18+CK18/100+ROW()/100000</f>
        <v>2533404.7601799998</v>
      </c>
      <c r="DE18" s="71">
        <f t="shared" si="17"/>
        <v>6</v>
      </c>
      <c r="DF18" s="71">
        <v>0</v>
      </c>
      <c r="DG18" s="100">
        <f>(CY18*4+CZ18*6)/CK18</f>
        <v>0.71052631578947367</v>
      </c>
      <c r="DH18" s="110">
        <f>CQ18/(CG18-CH18)</f>
        <v>0</v>
      </c>
    </row>
    <row r="19" spans="1:112" x14ac:dyDescent="0.15">
      <c r="C19" s="71" t="s">
        <v>463</v>
      </c>
      <c r="AJ19" s="71" t="s">
        <v>464</v>
      </c>
      <c r="AL19" s="71" t="s">
        <v>486</v>
      </c>
      <c r="AP19" s="71" t="s">
        <v>320</v>
      </c>
      <c r="CE19" s="71">
        <f>BatSplit(D19:CD19,MatchesPlayed)</f>
        <v>3</v>
      </c>
      <c r="CF19" s="71">
        <f>CE19-CG19</f>
        <v>0</v>
      </c>
      <c r="CG19" s="71">
        <f>BatSplit(D19:CD19,InnsBattedIn)</f>
        <v>3</v>
      </c>
      <c r="CH19" s="71">
        <f>BatSplit(D19:CD19,NotOuts)</f>
        <v>0</v>
      </c>
      <c r="CI19" s="71">
        <f>BatSplit(D19:CD19,HighestScore)</f>
        <v>52</v>
      </c>
      <c r="CJ19" s="75">
        <f t="shared" si="4"/>
        <v>52</v>
      </c>
      <c r="CK19" s="71">
        <f>BatSplit(D19:CD19,RunsScored)</f>
        <v>56</v>
      </c>
      <c r="CL19" s="73">
        <f>IF(CG19=CH19,0,CK19/(CG19-CH19))</f>
        <v>18.666666666666668</v>
      </c>
      <c r="CM19" s="71">
        <f>BatSplit(D19:CD19,BatPts)</f>
        <v>61</v>
      </c>
      <c r="CN19" s="71">
        <f>BatSplit(D19:CD19,FldPts)</f>
        <v>5</v>
      </c>
      <c r="CO19" s="74">
        <f t="array" ref="CO19">SUM(IF(ISERR(FIND("*",D19:CD19)),0,1))</f>
        <v>0</v>
      </c>
      <c r="CP19" s="74">
        <f t="array" ref="CP19">SUM(IF(ISERR(FIND("+",D19:CD19)),0,1))</f>
        <v>0</v>
      </c>
      <c r="CQ19" s="71">
        <f>BatSplit(D19:CD19,Ducks)</f>
        <v>1</v>
      </c>
      <c r="CR19" s="74">
        <f t="array" ref="CR19">SUM(IF(ISERR(FIND(CR$4,$D19:$CD19)),0,1))</f>
        <v>1</v>
      </c>
      <c r="CS19" s="74">
        <f t="array" ref="CS19">SUM(IF(ISERR(FIND(CS$4,$D19:$CD19)),0,1))</f>
        <v>2</v>
      </c>
      <c r="CT19" s="74">
        <f t="array" ref="CT19">SUM(IF(ISERR(FIND(CT$4,$D19:$CD19)),0,1))</f>
        <v>0</v>
      </c>
      <c r="CU19" s="74">
        <f t="array" ref="CU19">SUM(IF(ISERR(FIND(CU$4,$D19:$CD19)),0,1))</f>
        <v>0</v>
      </c>
      <c r="CV19" s="74">
        <f t="array" ref="CV19">SUM(IF(ISERR(FIND(CV$4,$D19:$CD19)),0,1))</f>
        <v>0</v>
      </c>
      <c r="CW19" s="74">
        <f t="array" ref="CW19">SUM(IF(ISERR(FIND(CW$4,$D19:$CD19)),0,1))</f>
        <v>0</v>
      </c>
      <c r="CX19" s="74">
        <f>BatSplit(D19:CD19,Catches)</f>
        <v>1</v>
      </c>
      <c r="CY19" s="74">
        <f>BatSplit(D19:CD19,Fours)</f>
        <v>5</v>
      </c>
      <c r="CZ19" s="74">
        <f>BatSplit(D19:CD19,Sixes)</f>
        <v>0</v>
      </c>
      <c r="DA19" s="74">
        <f>BatSplit(D19:CD19,Stumpings)</f>
        <v>0</v>
      </c>
      <c r="DB19" s="74">
        <f>BatSplit(D19:CD19,CaughtWkt)</f>
        <v>0</v>
      </c>
      <c r="DC19" s="74">
        <f>BatSplit(D19:CD19,TwentyFives)</f>
        <v>1</v>
      </c>
      <c r="DD19" s="71">
        <f>ROUND(IF(ISERROR(CL19),0,CL19),2)*100000+CG19*100+CE19+CK19/100+ROW()/100000</f>
        <v>1867303.5601900003</v>
      </c>
      <c r="DE19" s="71">
        <f t="shared" si="17"/>
        <v>12</v>
      </c>
      <c r="DF19" s="71">
        <v>0</v>
      </c>
      <c r="DG19" s="100">
        <f>(CY19*4+CZ19*6)/CK19</f>
        <v>0.35714285714285715</v>
      </c>
      <c r="DH19" s="110">
        <f>CQ19/(CG19-CH19)</f>
        <v>0.33333333333333331</v>
      </c>
    </row>
    <row r="20" spans="1:112" x14ac:dyDescent="0.15">
      <c r="B20" s="71" t="s">
        <v>245</v>
      </c>
      <c r="C20" s="71" t="s">
        <v>248</v>
      </c>
      <c r="D20" s="71" t="s">
        <v>234</v>
      </c>
      <c r="E20" s="71" t="s">
        <v>231</v>
      </c>
      <c r="F20" s="71" t="s">
        <v>288</v>
      </c>
      <c r="G20" s="71" t="s">
        <v>576</v>
      </c>
      <c r="I20" s="71" t="s">
        <v>597</v>
      </c>
      <c r="J20" s="71" t="s">
        <v>307</v>
      </c>
      <c r="K20" s="71" t="s">
        <v>614</v>
      </c>
      <c r="L20" s="71" t="s">
        <v>633</v>
      </c>
      <c r="M20" s="71" t="s">
        <v>650</v>
      </c>
      <c r="O20" s="71" t="s">
        <v>669</v>
      </c>
      <c r="P20" s="71" t="s">
        <v>319</v>
      </c>
      <c r="Q20" s="71" t="s">
        <v>683</v>
      </c>
      <c r="R20" s="71" t="s">
        <v>343</v>
      </c>
      <c r="S20" s="71" t="s">
        <v>695</v>
      </c>
      <c r="T20" s="71" t="s">
        <v>366</v>
      </c>
      <c r="U20" s="71" t="s">
        <v>713</v>
      </c>
      <c r="W20" s="71" t="s">
        <v>732</v>
      </c>
      <c r="X20" s="71" t="s">
        <v>231</v>
      </c>
      <c r="AA20" s="71" t="s">
        <v>764</v>
      </c>
      <c r="AB20" s="71" t="s">
        <v>403</v>
      </c>
      <c r="AC20" s="71" t="s">
        <v>425</v>
      </c>
      <c r="AF20" s="71" t="s">
        <v>432</v>
      </c>
      <c r="AG20" s="71" t="s">
        <v>797</v>
      </c>
      <c r="AL20" s="71" t="s">
        <v>490</v>
      </c>
      <c r="AM20" s="71" t="s">
        <v>425</v>
      </c>
      <c r="AN20" s="71" t="s">
        <v>499</v>
      </c>
      <c r="AP20" s="71" t="s">
        <v>522</v>
      </c>
      <c r="AS20" s="71" t="s">
        <v>237</v>
      </c>
      <c r="AT20" s="71" t="s">
        <v>536</v>
      </c>
      <c r="CE20" s="71">
        <f t="shared" si="20"/>
        <v>29</v>
      </c>
      <c r="CF20" s="71">
        <f t="shared" si="0"/>
        <v>6</v>
      </c>
      <c r="CG20" s="71">
        <f t="shared" si="1"/>
        <v>23</v>
      </c>
      <c r="CH20" s="71">
        <f t="shared" si="2"/>
        <v>1</v>
      </c>
      <c r="CI20" s="71">
        <f t="shared" si="3"/>
        <v>53</v>
      </c>
      <c r="CJ20" s="75">
        <f t="shared" si="4"/>
        <v>53</v>
      </c>
      <c r="CK20" s="71">
        <f t="shared" si="5"/>
        <v>252</v>
      </c>
      <c r="CL20" s="73">
        <f t="shared" si="23"/>
        <v>11.454545454545455</v>
      </c>
      <c r="CM20" s="71">
        <f t="shared" si="7"/>
        <v>232</v>
      </c>
      <c r="CN20" s="71">
        <f t="shared" si="24"/>
        <v>65</v>
      </c>
      <c r="CO20" s="74">
        <f t="array" ref="CO20">SUM(IF(ISERR(FIND("*",D20:CD20)),0,1))</f>
        <v>0</v>
      </c>
      <c r="CP20" s="74">
        <f t="array" ref="CP20">SUM(IF(ISERR(FIND("+",D20:CD20)),0,1))</f>
        <v>0</v>
      </c>
      <c r="CQ20" s="71">
        <f t="shared" si="9"/>
        <v>6</v>
      </c>
      <c r="CR20" s="74">
        <f t="array" ref="CR20">SUM(IF(ISERR(FIND(CR$4,$D20:$CD20)),0,1))</f>
        <v>11</v>
      </c>
      <c r="CS20" s="74">
        <f t="array" ref="CS20">SUM(IF(ISERR(FIND(CS$4,$D20:$CD20)),0,1))</f>
        <v>7</v>
      </c>
      <c r="CT20" s="74">
        <f t="array" ref="CT20">SUM(IF(ISERR(FIND(CT$4,$D20:$CD20)),0,1))</f>
        <v>4</v>
      </c>
      <c r="CU20" s="74">
        <f t="array" ref="CU20">SUM(IF(ISERR(FIND(CU$4,$D20:$CD20)),0,1))</f>
        <v>0</v>
      </c>
      <c r="CV20" s="74">
        <f t="array" ref="CV20">SUM(IF(ISERR(FIND(CV$4,$D20:$CD20)),0,1))</f>
        <v>0</v>
      </c>
      <c r="CW20" s="74">
        <f t="array" ref="CW20">SUM(IF(ISERR(FIND(CW$4,$D20:$CD20)),0,1))</f>
        <v>0</v>
      </c>
      <c r="CX20" s="74">
        <f t="shared" si="10"/>
        <v>13</v>
      </c>
      <c r="CY20" s="74">
        <f t="shared" si="11"/>
        <v>35</v>
      </c>
      <c r="CZ20" s="74">
        <f t="shared" si="12"/>
        <v>7</v>
      </c>
      <c r="DA20" s="74">
        <f t="shared" si="13"/>
        <v>0</v>
      </c>
      <c r="DB20" s="74">
        <f t="shared" si="14"/>
        <v>0</v>
      </c>
      <c r="DC20" s="74">
        <f t="shared" si="25"/>
        <v>3</v>
      </c>
      <c r="DD20" s="71">
        <f>ROUND(IF(ISERROR(CL20),0,CL20),2)*100000+CG20*100+CE20+CK20/100+ROW()/100000</f>
        <v>1147331.5201999999</v>
      </c>
      <c r="DE20" s="71">
        <f t="shared" si="17"/>
        <v>18</v>
      </c>
      <c r="DF20" s="71">
        <v>0</v>
      </c>
      <c r="DG20" s="100">
        <f t="shared" si="21"/>
        <v>0.72222222222222221</v>
      </c>
      <c r="DH20" s="110">
        <f t="shared" si="22"/>
        <v>0.27272727272727271</v>
      </c>
    </row>
    <row r="21" spans="1:112" x14ac:dyDescent="0.15">
      <c r="B21" s="71" t="s">
        <v>235</v>
      </c>
      <c r="C21" s="71" t="s">
        <v>236</v>
      </c>
      <c r="CE21" s="71">
        <f t="shared" si="20"/>
        <v>0</v>
      </c>
      <c r="CF21" s="71">
        <f t="shared" si="0"/>
        <v>0</v>
      </c>
      <c r="CG21" s="71">
        <f t="shared" si="1"/>
        <v>0</v>
      </c>
      <c r="CH21" s="71">
        <f t="shared" si="2"/>
        <v>0</v>
      </c>
      <c r="CI21" s="71">
        <f t="shared" si="3"/>
        <v>0</v>
      </c>
      <c r="CJ21" s="75">
        <f t="shared" si="4"/>
        <v>0</v>
      </c>
      <c r="CK21" s="71">
        <f t="shared" si="5"/>
        <v>0</v>
      </c>
      <c r="CL21" s="73">
        <f t="shared" si="23"/>
        <v>0</v>
      </c>
      <c r="CM21" s="71">
        <f t="shared" si="7"/>
        <v>0</v>
      </c>
      <c r="CN21" s="71">
        <f t="shared" si="24"/>
        <v>0</v>
      </c>
      <c r="CO21" s="74">
        <f t="array" ref="CO21">SUM(IF(ISERR(FIND("*",D21:CD21)),0,1))</f>
        <v>0</v>
      </c>
      <c r="CP21" s="74">
        <f t="array" ref="CP21">SUM(IF(ISERR(FIND("+",D21:CD21)),0,1))</f>
        <v>0</v>
      </c>
      <c r="CQ21" s="71">
        <f t="shared" si="9"/>
        <v>0</v>
      </c>
      <c r="CR21" s="74">
        <f t="array" ref="CR21">SUM(IF(ISERR(FIND(CR$4,$D21:$CD21)),0,1))</f>
        <v>0</v>
      </c>
      <c r="CS21" s="74">
        <f t="array" ref="CS21">SUM(IF(ISERR(FIND(CS$4,$D21:$CD21)),0,1))</f>
        <v>0</v>
      </c>
      <c r="CT21" s="74">
        <f t="array" ref="CT21">SUM(IF(ISERR(FIND(CT$4,$D21:$CD21)),0,1))</f>
        <v>0</v>
      </c>
      <c r="CU21" s="74">
        <f t="array" ref="CU21">SUM(IF(ISERR(FIND(CU$4,$D21:$CD21)),0,1))</f>
        <v>0</v>
      </c>
      <c r="CV21" s="74">
        <f t="array" ref="CV21">SUM(IF(ISERR(FIND(CV$4,$D21:$CD21)),0,1))</f>
        <v>0</v>
      </c>
      <c r="CW21" s="74">
        <f t="array" ref="CW21">SUM(IF(ISERR(FIND(CW$4,$D21:$CD21)),0,1))</f>
        <v>0</v>
      </c>
      <c r="CX21" s="74">
        <f t="shared" si="10"/>
        <v>0</v>
      </c>
      <c r="CY21" s="74">
        <f t="shared" si="11"/>
        <v>0</v>
      </c>
      <c r="CZ21" s="74">
        <f t="shared" si="12"/>
        <v>0</v>
      </c>
      <c r="DA21" s="74">
        <f t="shared" si="13"/>
        <v>0</v>
      </c>
      <c r="DB21" s="74">
        <f t="shared" si="14"/>
        <v>0</v>
      </c>
      <c r="DC21" s="74">
        <f t="shared" si="25"/>
        <v>0</v>
      </c>
      <c r="DD21" s="71">
        <f>ROUND(IF(ISERROR(CL21),0,CL21),2)*100000+CG21*100+CE21+CK21/100+ROW()/100000</f>
        <v>2.1000000000000001E-4</v>
      </c>
      <c r="DE21" s="71">
        <f t="shared" si="17"/>
        <v>46</v>
      </c>
      <c r="DF21" s="71">
        <v>0</v>
      </c>
      <c r="DG21" s="100" t="e">
        <f t="shared" si="21"/>
        <v>#DIV/0!</v>
      </c>
      <c r="DH21" s="110" t="e">
        <f t="shared" si="22"/>
        <v>#DIV/0!</v>
      </c>
    </row>
    <row r="22" spans="1:112" x14ac:dyDescent="0.15">
      <c r="A22" s="71" t="s">
        <v>216</v>
      </c>
      <c r="B22" s="71" t="s">
        <v>183</v>
      </c>
      <c r="C22" s="71" t="s">
        <v>184</v>
      </c>
      <c r="CE22" s="71">
        <f t="shared" si="20"/>
        <v>0</v>
      </c>
      <c r="CF22" s="71">
        <f t="shared" si="0"/>
        <v>0</v>
      </c>
      <c r="CG22" s="71">
        <f t="shared" si="1"/>
        <v>0</v>
      </c>
      <c r="CH22" s="71">
        <f t="shared" si="2"/>
        <v>0</v>
      </c>
      <c r="CI22" s="71">
        <f t="shared" si="3"/>
        <v>0</v>
      </c>
      <c r="CJ22" s="75">
        <f t="shared" si="4"/>
        <v>0</v>
      </c>
      <c r="CK22" s="71">
        <f t="shared" si="5"/>
        <v>0</v>
      </c>
      <c r="CL22" s="73">
        <f t="shared" si="23"/>
        <v>0</v>
      </c>
      <c r="CM22" s="71">
        <f t="shared" si="7"/>
        <v>0</v>
      </c>
      <c r="CN22" s="71">
        <f t="shared" si="24"/>
        <v>0</v>
      </c>
      <c r="CO22" s="74">
        <f t="array" ref="CO22">SUM(IF(ISERR(FIND("*",D22:CD22)),0,1))</f>
        <v>0</v>
      </c>
      <c r="CP22" s="74">
        <f t="array" ref="CP22">SUM(IF(ISERR(FIND("+",D22:CD22)),0,1))</f>
        <v>0</v>
      </c>
      <c r="CQ22" s="71">
        <f t="shared" si="9"/>
        <v>0</v>
      </c>
      <c r="CR22" s="74">
        <f t="array" ref="CR22">SUM(IF(ISERR(FIND(CR$4,$D22:$CD22)),0,1))</f>
        <v>0</v>
      </c>
      <c r="CS22" s="74">
        <f t="array" ref="CS22">SUM(IF(ISERR(FIND(CS$4,$D22:$CD22)),0,1))</f>
        <v>0</v>
      </c>
      <c r="CT22" s="74">
        <f t="array" ref="CT22">SUM(IF(ISERR(FIND(CT$4,$D22:$CD22)),0,1))</f>
        <v>0</v>
      </c>
      <c r="CU22" s="74">
        <f t="array" ref="CU22">SUM(IF(ISERR(FIND(CU$4,$D22:$CD22)),0,1))</f>
        <v>0</v>
      </c>
      <c r="CV22" s="74">
        <f t="array" ref="CV22">SUM(IF(ISERR(FIND(CV$4,$D22:$CD22)),0,1))</f>
        <v>0</v>
      </c>
      <c r="CW22" s="74">
        <f t="array" ref="CW22">SUM(IF(ISERR(FIND(CW$4,$D22:$CD22)),0,1))</f>
        <v>0</v>
      </c>
      <c r="CX22" s="74">
        <f t="shared" si="10"/>
        <v>0</v>
      </c>
      <c r="CY22" s="74">
        <f t="shared" si="11"/>
        <v>0</v>
      </c>
      <c r="CZ22" s="74">
        <f t="shared" si="12"/>
        <v>0</v>
      </c>
      <c r="DA22" s="74">
        <f t="shared" si="13"/>
        <v>0</v>
      </c>
      <c r="DB22" s="74">
        <f t="shared" si="14"/>
        <v>0</v>
      </c>
      <c r="DC22" s="74">
        <f t="shared" si="25"/>
        <v>0</v>
      </c>
      <c r="DD22" s="71">
        <f t="shared" si="16"/>
        <v>2.2000000000000001E-4</v>
      </c>
      <c r="DE22" s="71">
        <f t="shared" si="17"/>
        <v>45</v>
      </c>
      <c r="DF22" s="71">
        <v>0</v>
      </c>
      <c r="DG22" s="100" t="e">
        <f t="shared" si="21"/>
        <v>#DIV/0!</v>
      </c>
      <c r="DH22" s="110" t="e">
        <f t="shared" si="22"/>
        <v>#DIV/0!</v>
      </c>
    </row>
    <row r="23" spans="1:112" x14ac:dyDescent="0.15">
      <c r="B23" s="71" t="s">
        <v>228</v>
      </c>
      <c r="C23" s="71" t="s">
        <v>267</v>
      </c>
      <c r="D23" s="71" t="s">
        <v>237</v>
      </c>
      <c r="E23" s="71" t="s">
        <v>556</v>
      </c>
      <c r="F23" s="71" t="s">
        <v>286</v>
      </c>
      <c r="G23" s="71" t="s">
        <v>575</v>
      </c>
      <c r="I23" s="71" t="s">
        <v>595</v>
      </c>
      <c r="J23" s="71" t="s">
        <v>302</v>
      </c>
      <c r="K23" s="71" t="s">
        <v>473</v>
      </c>
      <c r="L23" s="71" t="s">
        <v>628</v>
      </c>
      <c r="O23" s="71" t="s">
        <v>449</v>
      </c>
      <c r="P23" s="71" t="s">
        <v>321</v>
      </c>
      <c r="Q23" s="71" t="s">
        <v>432</v>
      </c>
      <c r="R23" s="71" t="s">
        <v>346</v>
      </c>
      <c r="S23" s="71" t="s">
        <v>589</v>
      </c>
      <c r="U23" s="71" t="s">
        <v>282</v>
      </c>
      <c r="AA23" s="71" t="s">
        <v>762</v>
      </c>
      <c r="AB23" s="71" t="s">
        <v>405</v>
      </c>
      <c r="AC23" s="71" t="s">
        <v>402</v>
      </c>
      <c r="AD23" s="71" t="s">
        <v>320</v>
      </c>
      <c r="CE23" s="71">
        <f>BatSplit(D23:CD23,MatchesPlayed)</f>
        <v>18</v>
      </c>
      <c r="CF23" s="71">
        <f>CE23-CG23</f>
        <v>1</v>
      </c>
      <c r="CG23" s="71">
        <f>BatSplit(D23:CD23,InnsBattedIn)</f>
        <v>17</v>
      </c>
      <c r="CH23" s="71">
        <f>BatSplit(D23:CD23,NotOuts)</f>
        <v>0</v>
      </c>
      <c r="CI23" s="71">
        <f>BatSplit(D23:CD23,HighestScore)</f>
        <v>19</v>
      </c>
      <c r="CJ23" s="75">
        <f t="shared" si="4"/>
        <v>19</v>
      </c>
      <c r="CK23" s="71">
        <f>BatSplit(D23:CD23,RunsScored)</f>
        <v>96</v>
      </c>
      <c r="CL23" s="73">
        <f>IF(CG23=CH23,0,CK23/(CG23-CH23))</f>
        <v>5.6470588235294121</v>
      </c>
      <c r="CM23" s="71">
        <f>BatSplit(D23:CD23,BatPts)</f>
        <v>71</v>
      </c>
      <c r="CN23" s="71">
        <f>BatSplit(D23:CD23,FldPts)</f>
        <v>10</v>
      </c>
      <c r="CO23" s="74">
        <f t="array" ref="CO23">SUM(IF(ISERR(FIND("*",D23:CD23)),0,1))</f>
        <v>0</v>
      </c>
      <c r="CP23" s="74">
        <f t="array" ref="CP23">SUM(IF(ISERR(FIND("+",D23:CD23)),0,1))</f>
        <v>0</v>
      </c>
      <c r="CQ23" s="71">
        <f>BatSplit(D23:CD23,Ducks)</f>
        <v>5</v>
      </c>
      <c r="CR23" s="74">
        <f t="array" ref="CR23">SUM(IF(ISERR(FIND(CR$4,$D23:$CD23)),0,1))</f>
        <v>9</v>
      </c>
      <c r="CS23" s="74">
        <f t="array" ref="CS23">SUM(IF(ISERR(FIND(CS$4,$D23:$CD23)),0,1))</f>
        <v>8</v>
      </c>
      <c r="CT23" s="74">
        <f t="array" ref="CT23">SUM(IF(ISERR(FIND(CT$4,$D23:$CD23)),0,1))</f>
        <v>0</v>
      </c>
      <c r="CU23" s="74">
        <f t="array" ref="CU23">SUM(IF(ISERR(FIND(CU$4,$D23:$CD23)),0,1))</f>
        <v>0</v>
      </c>
      <c r="CV23" s="74">
        <f t="array" ref="CV23">SUM(IF(ISERR(FIND(CV$4,$D23:$CD23)),0,1))</f>
        <v>0</v>
      </c>
      <c r="CW23" s="74">
        <f t="array" ref="CW23">SUM(IF(ISERR(FIND(CW$4,$D23:$CD23)),0,1))</f>
        <v>0</v>
      </c>
      <c r="CX23" s="74">
        <f>BatSplit(D23:CD23,Catches)</f>
        <v>2</v>
      </c>
      <c r="CY23" s="74">
        <f>BatSplit(D23:CD23,Fours)</f>
        <v>10</v>
      </c>
      <c r="CZ23" s="74">
        <f>BatSplit(D23:CD23,Sixes)</f>
        <v>1</v>
      </c>
      <c r="DA23" s="74">
        <f>BatSplit(D23:CD23,Stumpings)</f>
        <v>0</v>
      </c>
      <c r="DB23" s="74">
        <f>BatSplit(D23:CD23,CaughtWkt)</f>
        <v>0</v>
      </c>
      <c r="DC23" s="74">
        <f>BatSplit(D23:CD23,TwentyFives)</f>
        <v>0</v>
      </c>
      <c r="DD23" s="71">
        <f>ROUND(IF(ISERROR(CL23),0,CL23),2)*100000+CG23*100+CE23+CK23/100+ROW()/100000</f>
        <v>566718.96022999997</v>
      </c>
      <c r="DE23" s="71">
        <f t="shared" si="17"/>
        <v>29</v>
      </c>
      <c r="DF23" s="71">
        <v>0</v>
      </c>
      <c r="DG23" s="100">
        <f>(CY23*4+CZ23*6)/CK23</f>
        <v>0.47916666666666669</v>
      </c>
      <c r="DH23" s="110">
        <f>CQ23/(CG23-CH23)</f>
        <v>0.29411764705882354</v>
      </c>
    </row>
    <row r="24" spans="1:112" x14ac:dyDescent="0.15">
      <c r="B24" s="71" t="s">
        <v>232</v>
      </c>
      <c r="C24" s="71" t="s">
        <v>178</v>
      </c>
      <c r="CE24" s="71">
        <f t="shared" si="20"/>
        <v>0</v>
      </c>
      <c r="CF24" s="71">
        <f t="shared" si="0"/>
        <v>0</v>
      </c>
      <c r="CG24" s="71">
        <f t="shared" si="1"/>
        <v>0</v>
      </c>
      <c r="CH24" s="71">
        <f t="shared" si="2"/>
        <v>0</v>
      </c>
      <c r="CI24" s="71">
        <f t="shared" si="3"/>
        <v>0</v>
      </c>
      <c r="CJ24" s="75">
        <f t="shared" si="4"/>
        <v>0</v>
      </c>
      <c r="CK24" s="71">
        <f t="shared" si="5"/>
        <v>0</v>
      </c>
      <c r="CL24" s="73">
        <f t="shared" si="23"/>
        <v>0</v>
      </c>
      <c r="CM24" s="71">
        <f t="shared" si="7"/>
        <v>0</v>
      </c>
      <c r="CN24" s="71">
        <f t="shared" si="24"/>
        <v>0</v>
      </c>
      <c r="CO24" s="74">
        <f t="array" ref="CO24">SUM(IF(ISERR(FIND("*",D24:CD24)),0,1))</f>
        <v>0</v>
      </c>
      <c r="CP24" s="74">
        <f t="array" ref="CP24">SUM(IF(ISERR(FIND("+",D24:CD24)),0,1))</f>
        <v>0</v>
      </c>
      <c r="CQ24" s="71">
        <f t="shared" si="9"/>
        <v>0</v>
      </c>
      <c r="CR24" s="74">
        <f t="array" ref="CR24">SUM(IF(ISERR(FIND(CR$4,$D24:$CD24)),0,1))</f>
        <v>0</v>
      </c>
      <c r="CS24" s="74">
        <f t="array" ref="CS24">SUM(IF(ISERR(FIND(CS$4,$D24:$CD24)),0,1))</f>
        <v>0</v>
      </c>
      <c r="CT24" s="74">
        <f t="array" ref="CT24">SUM(IF(ISERR(FIND(CT$4,$D24:$CD24)),0,1))</f>
        <v>0</v>
      </c>
      <c r="CU24" s="74">
        <f t="array" ref="CU24">SUM(IF(ISERR(FIND(CU$4,$D24:$CD24)),0,1))</f>
        <v>0</v>
      </c>
      <c r="CV24" s="74">
        <f t="array" ref="CV24">SUM(IF(ISERR(FIND(CV$4,$D24:$CD24)),0,1))</f>
        <v>0</v>
      </c>
      <c r="CW24" s="74">
        <f t="array" ref="CW24">SUM(IF(ISERR(FIND(CW$4,$D24:$CD24)),0,1))</f>
        <v>0</v>
      </c>
      <c r="CX24" s="74">
        <f t="shared" si="10"/>
        <v>0</v>
      </c>
      <c r="CY24" s="74">
        <f t="shared" si="11"/>
        <v>0</v>
      </c>
      <c r="CZ24" s="74">
        <f t="shared" si="12"/>
        <v>0</v>
      </c>
      <c r="DA24" s="74">
        <f t="shared" si="13"/>
        <v>0</v>
      </c>
      <c r="DB24" s="74">
        <f t="shared" si="14"/>
        <v>0</v>
      </c>
      <c r="DC24" s="74">
        <f t="shared" si="25"/>
        <v>0</v>
      </c>
      <c r="DD24" s="71">
        <f>ROUND(IF(ISERROR(CL24),0,CL24),2)*100000+CG24*100+CE24+CK24/100+ROW()/100000</f>
        <v>2.4000000000000001E-4</v>
      </c>
      <c r="DE24" s="71">
        <f t="shared" si="17"/>
        <v>44</v>
      </c>
      <c r="DF24" s="71">
        <v>0</v>
      </c>
      <c r="DG24" s="100" t="e">
        <f t="shared" si="21"/>
        <v>#DIV/0!</v>
      </c>
      <c r="DH24" s="110" t="e">
        <f t="shared" si="22"/>
        <v>#DIV/0!</v>
      </c>
    </row>
    <row r="25" spans="1:112" x14ac:dyDescent="0.15">
      <c r="A25" s="71" t="s">
        <v>51</v>
      </c>
      <c r="B25" s="71" t="s">
        <v>26</v>
      </c>
      <c r="C25" s="71" t="s">
        <v>52</v>
      </c>
      <c r="D25" s="71" t="s">
        <v>264</v>
      </c>
      <c r="F25" s="71" t="s">
        <v>280</v>
      </c>
      <c r="K25" s="71" t="s">
        <v>608</v>
      </c>
      <c r="CE25" s="71">
        <f t="shared" si="20"/>
        <v>3</v>
      </c>
      <c r="CF25" s="71">
        <f t="shared" si="0"/>
        <v>0</v>
      </c>
      <c r="CG25" s="71">
        <f t="shared" si="1"/>
        <v>3</v>
      </c>
      <c r="CH25" s="71">
        <f t="shared" si="2"/>
        <v>1</v>
      </c>
      <c r="CI25" s="71">
        <f t="shared" si="3"/>
        <v>-44</v>
      </c>
      <c r="CJ25" s="75" t="str">
        <f t="shared" si="4"/>
        <v>44*</v>
      </c>
      <c r="CK25" s="71">
        <f t="shared" ref="CK25:CK31" si="26">BatSplit(D25:CD25,RunsScored)</f>
        <v>82</v>
      </c>
      <c r="CL25" s="73">
        <f t="shared" ref="CL25:CL50" si="27">IF(CG25=CH25,0,CK25/(CG25-CH25))</f>
        <v>41</v>
      </c>
      <c r="CM25" s="71">
        <f t="shared" si="7"/>
        <v>82</v>
      </c>
      <c r="CN25" s="71">
        <f t="shared" si="24"/>
        <v>22</v>
      </c>
      <c r="CO25" s="74">
        <f t="array" ref="CO25">SUM(IF(ISERR(FIND("*",D25:CD25)),0,1))</f>
        <v>0</v>
      </c>
      <c r="CP25" s="74">
        <f t="array" ref="CP25">SUM(IF(ISERR(FIND("+",D25:CD25)),0,1))</f>
        <v>3</v>
      </c>
      <c r="CQ25" s="71">
        <f t="shared" si="9"/>
        <v>0</v>
      </c>
      <c r="CR25" s="74">
        <f t="array" ref="CR25">SUM(IF(ISERR(FIND(CR$4,$D25:$CD25)),0,1))</f>
        <v>0</v>
      </c>
      <c r="CS25" s="74">
        <f t="array" ref="CS25">SUM(IF(ISERR(FIND(CS$4,$D25:$CD25)),0,1))</f>
        <v>1</v>
      </c>
      <c r="CT25" s="74">
        <f t="array" ref="CT25">SUM(IF(ISERR(FIND(CT$4,$D25:$CD25)),0,1))</f>
        <v>1</v>
      </c>
      <c r="CU25" s="74">
        <f t="array" ref="CU25">SUM(IF(ISERR(FIND(CU$4,$D25:$CD25)),0,1))</f>
        <v>0</v>
      </c>
      <c r="CV25" s="74">
        <f t="array" ref="CV25">SUM(IF(ISERR(FIND(CV$4,$D25:$CD25)),0,1))</f>
        <v>0</v>
      </c>
      <c r="CW25" s="74">
        <f t="array" ref="CW25">SUM(IF(ISERR(FIND(CW$4,$D25:$CD25)),0,1))</f>
        <v>0</v>
      </c>
      <c r="CX25" s="74">
        <f t="shared" si="10"/>
        <v>1</v>
      </c>
      <c r="CY25" s="74">
        <f t="shared" si="11"/>
        <v>7</v>
      </c>
      <c r="CZ25" s="74">
        <f t="shared" si="12"/>
        <v>0</v>
      </c>
      <c r="DA25" s="74">
        <f t="shared" si="13"/>
        <v>2</v>
      </c>
      <c r="DB25" s="74">
        <f t="shared" si="14"/>
        <v>1</v>
      </c>
      <c r="DC25" s="74">
        <f t="shared" ref="DC25:DC50" si="28">BatSplit(D25:CD25,TwentyFives)</f>
        <v>2</v>
      </c>
      <c r="DD25" s="71">
        <f t="shared" si="16"/>
        <v>4100303.8202499999</v>
      </c>
      <c r="DE25" s="71">
        <f t="shared" si="17"/>
        <v>2</v>
      </c>
      <c r="DF25" s="71">
        <v>0</v>
      </c>
      <c r="DG25" s="100">
        <f t="shared" si="21"/>
        <v>0.34146341463414637</v>
      </c>
      <c r="DH25" s="110">
        <f t="shared" si="22"/>
        <v>0</v>
      </c>
    </row>
    <row r="26" spans="1:112" x14ac:dyDescent="0.15">
      <c r="A26" s="71" t="s">
        <v>217</v>
      </c>
      <c r="B26" s="71" t="s">
        <v>211</v>
      </c>
      <c r="C26" s="71" t="s">
        <v>212</v>
      </c>
      <c r="D26" s="71" t="s">
        <v>230</v>
      </c>
      <c r="G26" s="71" t="s">
        <v>572</v>
      </c>
      <c r="I26" s="71" t="s">
        <v>596</v>
      </c>
      <c r="L26" s="71" t="s">
        <v>635</v>
      </c>
      <c r="O26" s="71" t="s">
        <v>667</v>
      </c>
      <c r="P26" s="71" t="s">
        <v>328</v>
      </c>
      <c r="Q26" s="71" t="s">
        <v>681</v>
      </c>
      <c r="S26" s="71" t="s">
        <v>693</v>
      </c>
      <c r="U26" s="71" t="s">
        <v>286</v>
      </c>
      <c r="W26" s="71" t="s">
        <v>730</v>
      </c>
      <c r="Y26" s="71" t="s">
        <v>749</v>
      </c>
      <c r="AA26" s="71" t="s">
        <v>765</v>
      </c>
      <c r="AC26" s="71" t="s">
        <v>238</v>
      </c>
      <c r="AI26" s="71" t="s">
        <v>820</v>
      </c>
      <c r="AJ26" s="71" t="s">
        <v>436</v>
      </c>
      <c r="AK26" s="71" t="s">
        <v>614</v>
      </c>
      <c r="AL26" s="71" t="s">
        <v>231</v>
      </c>
      <c r="AM26" s="71" t="s">
        <v>852</v>
      </c>
      <c r="AP26" s="71" t="s">
        <v>520</v>
      </c>
      <c r="CE26" s="71">
        <f t="shared" si="20"/>
        <v>19</v>
      </c>
      <c r="CF26" s="71">
        <f t="shared" si="0"/>
        <v>3</v>
      </c>
      <c r="CG26" s="71">
        <f t="shared" si="1"/>
        <v>16</v>
      </c>
      <c r="CH26" s="71">
        <f t="shared" si="2"/>
        <v>2</v>
      </c>
      <c r="CI26" s="71">
        <f t="shared" si="3"/>
        <v>10</v>
      </c>
      <c r="CJ26" s="75">
        <f t="shared" si="4"/>
        <v>10</v>
      </c>
      <c r="CK26" s="71">
        <f>BatSplit(D26:CD26,RunsScored)</f>
        <v>48</v>
      </c>
      <c r="CL26" s="73">
        <f t="shared" si="27"/>
        <v>3.4285714285714284</v>
      </c>
      <c r="CM26" s="71">
        <f t="shared" si="7"/>
        <v>33</v>
      </c>
      <c r="CN26" s="71">
        <f t="shared" ref="CN26:CN31" si="29">BatSplit(D26:CD26,FldPts)</f>
        <v>15</v>
      </c>
      <c r="CO26" s="74">
        <f t="array" ref="CO26">SUM(IF(ISERR(FIND("*",D26:CD26)),0,1))</f>
        <v>0</v>
      </c>
      <c r="CP26" s="74">
        <f t="array" ref="CP26">SUM(IF(ISERR(FIND("+",D26:CD26)),0,1))</f>
        <v>0</v>
      </c>
      <c r="CQ26" s="71">
        <f t="shared" si="9"/>
        <v>3</v>
      </c>
      <c r="CR26" s="74">
        <f t="array" ref="CR26">SUM(IF(ISERR(FIND(CR$4,$D26:$CD26)),0,1))</f>
        <v>3</v>
      </c>
      <c r="CS26" s="74">
        <f t="array" ref="CS26">SUM(IF(ISERR(FIND(CS$4,$D26:$CD26)),0,1))</f>
        <v>8</v>
      </c>
      <c r="CT26" s="74">
        <f t="array" ref="CT26">SUM(IF(ISERR(FIND(CT$4,$D26:$CD26)),0,1))</f>
        <v>1</v>
      </c>
      <c r="CU26" s="74">
        <f t="array" ref="CU26">SUM(IF(ISERR(FIND(CU$4,$D26:$CD26)),0,1))</f>
        <v>0</v>
      </c>
      <c r="CV26" s="74">
        <f t="array" ref="CV26">SUM(IF(ISERR(FIND(CV$4,$D26:$CD26)),0,1))</f>
        <v>2</v>
      </c>
      <c r="CW26" s="74">
        <f t="array" ref="CW26">SUM(IF(ISERR(FIND(CW$4,$D26:$CD26)),0,1))</f>
        <v>0</v>
      </c>
      <c r="CX26" s="74">
        <f t="shared" si="10"/>
        <v>3</v>
      </c>
      <c r="CY26" s="74">
        <f t="shared" si="11"/>
        <v>2</v>
      </c>
      <c r="CZ26" s="74">
        <f t="shared" si="12"/>
        <v>0</v>
      </c>
      <c r="DA26" s="74">
        <f t="shared" si="13"/>
        <v>0</v>
      </c>
      <c r="DB26" s="74">
        <f t="shared" si="14"/>
        <v>0</v>
      </c>
      <c r="DC26" s="74">
        <f t="shared" si="28"/>
        <v>0</v>
      </c>
      <c r="DD26" s="71">
        <f t="shared" si="16"/>
        <v>344619.48025999998</v>
      </c>
      <c r="DE26" s="71">
        <f t="shared" si="17"/>
        <v>35</v>
      </c>
      <c r="DF26" s="71">
        <v>0</v>
      </c>
      <c r="DG26" s="100">
        <f t="shared" si="21"/>
        <v>0.16666666666666666</v>
      </c>
      <c r="DH26" s="110">
        <f t="shared" si="22"/>
        <v>0.21428571428571427</v>
      </c>
    </row>
    <row r="27" spans="1:112" x14ac:dyDescent="0.15">
      <c r="A27" s="71" t="s">
        <v>147</v>
      </c>
      <c r="B27" s="71" t="s">
        <v>33</v>
      </c>
      <c r="C27" s="71" t="s">
        <v>163</v>
      </c>
      <c r="E27" s="71" t="s">
        <v>554</v>
      </c>
      <c r="F27" s="71" t="s">
        <v>291</v>
      </c>
      <c r="G27" s="71" t="s">
        <v>568</v>
      </c>
      <c r="I27" s="71" t="s">
        <v>400</v>
      </c>
      <c r="J27" s="71" t="s">
        <v>305</v>
      </c>
      <c r="K27" s="71" t="s">
        <v>612</v>
      </c>
      <c r="L27" s="71" t="s">
        <v>630</v>
      </c>
      <c r="O27" s="71" t="s">
        <v>666</v>
      </c>
      <c r="P27" s="71" t="s">
        <v>324</v>
      </c>
      <c r="Q27" s="71" t="s">
        <v>678</v>
      </c>
      <c r="R27" s="86" t="s">
        <v>344</v>
      </c>
      <c r="S27" s="71" t="s">
        <v>692</v>
      </c>
      <c r="W27" s="71" t="s">
        <v>727</v>
      </c>
      <c r="X27" s="71" t="s">
        <v>385</v>
      </c>
      <c r="AA27" s="71" t="s">
        <v>763</v>
      </c>
      <c r="AC27" s="71" t="s">
        <v>904</v>
      </c>
      <c r="AF27" s="71" t="s">
        <v>430</v>
      </c>
      <c r="AG27" s="71" t="s">
        <v>798</v>
      </c>
      <c r="AI27" s="71" t="s">
        <v>813</v>
      </c>
      <c r="AK27" s="71" t="s">
        <v>831</v>
      </c>
      <c r="AM27" s="71" t="s">
        <v>857</v>
      </c>
      <c r="CE27" s="71">
        <f t="shared" si="20"/>
        <v>21</v>
      </c>
      <c r="CF27" s="71">
        <f t="shared" si="0"/>
        <v>0</v>
      </c>
      <c r="CG27" s="71">
        <f t="shared" si="1"/>
        <v>21</v>
      </c>
      <c r="CH27" s="71">
        <f t="shared" si="2"/>
        <v>3</v>
      </c>
      <c r="CI27" s="71">
        <f t="shared" si="3"/>
        <v>39</v>
      </c>
      <c r="CJ27" s="75">
        <f t="shared" si="4"/>
        <v>39</v>
      </c>
      <c r="CK27" s="71">
        <f t="shared" si="26"/>
        <v>213</v>
      </c>
      <c r="CL27" s="73">
        <f t="shared" si="27"/>
        <v>11.833333333333334</v>
      </c>
      <c r="CM27" s="71">
        <f t="shared" si="7"/>
        <v>198</v>
      </c>
      <c r="CN27" s="71">
        <f t="shared" si="29"/>
        <v>64</v>
      </c>
      <c r="CO27" s="74">
        <f t="array" ref="CO27">SUM(IF(ISERR(FIND("*",D27:CD27)),0,1))</f>
        <v>3</v>
      </c>
      <c r="CP27" s="74">
        <f t="array" ref="CP27">SUM(IF(ISERR(FIND("+",D27:CD27)),0,1))</f>
        <v>11</v>
      </c>
      <c r="CQ27" s="71">
        <f t="shared" si="9"/>
        <v>3</v>
      </c>
      <c r="CR27" s="74">
        <f t="array" ref="CR27">SUM(IF(ISERR(FIND(CR$4,$D27:$CD27)),0,1))</f>
        <v>7</v>
      </c>
      <c r="CS27" s="74">
        <f t="array" ref="CS27">SUM(IF(ISERR(FIND(CS$4,$D27:$CD27)),0,1))</f>
        <v>8</v>
      </c>
      <c r="CT27" s="74">
        <f t="array" ref="CT27">SUM(IF(ISERR(FIND(CT$4,$D27:$CD27)),0,1))</f>
        <v>3</v>
      </c>
      <c r="CU27" s="74">
        <f t="array" ref="CU27">SUM(IF(ISERR(FIND(CU$4,$D27:$CD27)),0,1))</f>
        <v>0</v>
      </c>
      <c r="CV27" s="74">
        <f t="array" ref="CV27">SUM(IF(ISERR(FIND(CV$4,$D27:$CD27)),0,1))</f>
        <v>0</v>
      </c>
      <c r="CW27" s="74">
        <f t="array" ref="CW27">SUM(IF(ISERR(FIND(CW$4,$D27:$CD27)),0,1))</f>
        <v>0</v>
      </c>
      <c r="CX27" s="74">
        <f t="shared" si="10"/>
        <v>11</v>
      </c>
      <c r="CY27" s="74">
        <f t="shared" si="11"/>
        <v>15</v>
      </c>
      <c r="CZ27" s="74">
        <f t="shared" si="12"/>
        <v>0</v>
      </c>
      <c r="DA27" s="74">
        <f t="shared" si="13"/>
        <v>3</v>
      </c>
      <c r="DB27" s="74">
        <f t="shared" si="14"/>
        <v>7</v>
      </c>
      <c r="DC27" s="74">
        <f t="shared" si="28"/>
        <v>3</v>
      </c>
      <c r="DD27" s="71">
        <f t="shared" si="16"/>
        <v>1185123.1302699998</v>
      </c>
      <c r="DE27" s="71">
        <f t="shared" si="17"/>
        <v>17</v>
      </c>
      <c r="DF27" s="71">
        <v>0</v>
      </c>
      <c r="DG27" s="100">
        <f t="shared" si="21"/>
        <v>0.28169014084507044</v>
      </c>
      <c r="DH27" s="110">
        <f t="shared" si="22"/>
        <v>0.16666666666666666</v>
      </c>
    </row>
    <row r="28" spans="1:112" x14ac:dyDescent="0.15">
      <c r="C28" s="71" t="s">
        <v>590</v>
      </c>
      <c r="I28" s="71" t="s">
        <v>591</v>
      </c>
      <c r="R28" s="86"/>
      <c r="CE28" s="71">
        <f>BatSplit(D28:CD28,MatchesPlayed)</f>
        <v>1</v>
      </c>
      <c r="CF28" s="71">
        <f>CE28-CG28</f>
        <v>0</v>
      </c>
      <c r="CG28" s="71">
        <f>BatSplit(D28:CD28,InnsBattedIn)</f>
        <v>1</v>
      </c>
      <c r="CH28" s="71">
        <f>BatSplit(D28:CD28,NotOuts)</f>
        <v>0</v>
      </c>
      <c r="CI28" s="71">
        <f>BatSplit(D28:CD28,HighestScore)</f>
        <v>10</v>
      </c>
      <c r="CJ28" s="75">
        <f t="shared" si="4"/>
        <v>10</v>
      </c>
      <c r="CK28" s="71">
        <f>BatSplit(D28:CD28,RunsScored)</f>
        <v>10</v>
      </c>
      <c r="CL28" s="73">
        <f>IF(CG28=CH28,0,CK28/(CG28-CH28))</f>
        <v>10</v>
      </c>
      <c r="CM28" s="71">
        <f>BatSplit(D28:CD28,BatPts)</f>
        <v>10</v>
      </c>
      <c r="CN28" s="71">
        <f>BatSplit(D28:CD28,FldPts)</f>
        <v>0</v>
      </c>
      <c r="CO28" s="74">
        <f t="array" ref="CO28">SUM(IF(ISERR(FIND("*",D28:CD28)),0,1))</f>
        <v>0</v>
      </c>
      <c r="CP28" s="74">
        <f t="array" ref="CP28">SUM(IF(ISERR(FIND("+",D28:CD28)),0,1))</f>
        <v>0</v>
      </c>
      <c r="CQ28" s="71">
        <f>BatSplit(D28:CD28,Ducks)</f>
        <v>0</v>
      </c>
      <c r="CR28" s="74">
        <f t="array" ref="CR28">SUM(IF(ISERR(FIND(CR$4,$D28:$CD28)),0,1))</f>
        <v>1</v>
      </c>
      <c r="CS28" s="74">
        <f t="array" ref="CS28">SUM(IF(ISERR(FIND(CS$4,$D28:$CD28)),0,1))</f>
        <v>0</v>
      </c>
      <c r="CT28" s="74">
        <f t="array" ref="CT28">SUM(IF(ISERR(FIND(CT$4,$D28:$CD28)),0,1))</f>
        <v>0</v>
      </c>
      <c r="CU28" s="74">
        <f t="array" ref="CU28">SUM(IF(ISERR(FIND(CU$4,$D28:$CD28)),0,1))</f>
        <v>0</v>
      </c>
      <c r="CV28" s="74">
        <f t="array" ref="CV28">SUM(IF(ISERR(FIND(CV$4,$D28:$CD28)),0,1))</f>
        <v>0</v>
      </c>
      <c r="CW28" s="74">
        <f t="array" ref="CW28">SUM(IF(ISERR(FIND(CW$4,$D28:$CD28)),0,1))</f>
        <v>0</v>
      </c>
      <c r="CX28" s="74">
        <f>BatSplit(D28:CD28,Catches)</f>
        <v>0</v>
      </c>
      <c r="CY28" s="74">
        <f>BatSplit(D28:CD28,Fours)</f>
        <v>1</v>
      </c>
      <c r="CZ28" s="74">
        <f>BatSplit(D28:CD28,Sixes)</f>
        <v>0</v>
      </c>
      <c r="DA28" s="74">
        <f>BatSplit(D28:CD28,Stumpings)</f>
        <v>0</v>
      </c>
      <c r="DB28" s="74">
        <f>BatSplit(D28:CD28,CaughtWkt)</f>
        <v>0</v>
      </c>
      <c r="DC28" s="74">
        <f>BatSplit(D28:CD28,TwentyFives)</f>
        <v>0</v>
      </c>
      <c r="DD28" s="71">
        <f>ROUND(IF(ISERROR(CL28),0,CL28),2)*100000+CG28*100+CE28+CK28/100+ROW()/100000</f>
        <v>1000101.10028</v>
      </c>
      <c r="DE28" s="71">
        <f t="shared" si="17"/>
        <v>21</v>
      </c>
      <c r="DF28" s="71">
        <v>0</v>
      </c>
      <c r="DG28" s="100">
        <f>(CY28*4+CZ28*6)/CK28</f>
        <v>0.4</v>
      </c>
      <c r="DH28" s="110">
        <f t="shared" si="22"/>
        <v>0</v>
      </c>
    </row>
    <row r="29" spans="1:112" x14ac:dyDescent="0.15">
      <c r="A29" s="71" t="s">
        <v>53</v>
      </c>
      <c r="B29" s="71" t="s">
        <v>31</v>
      </c>
      <c r="C29" s="71" t="s">
        <v>54</v>
      </c>
      <c r="E29" s="71" t="s">
        <v>369</v>
      </c>
      <c r="K29" s="71" t="s">
        <v>622</v>
      </c>
      <c r="M29" s="71" t="s">
        <v>651</v>
      </c>
      <c r="Q29" s="71" t="s">
        <v>369</v>
      </c>
      <c r="S29" s="71" t="s">
        <v>699</v>
      </c>
      <c r="U29" s="71" t="s">
        <v>714</v>
      </c>
      <c r="W29" s="71" t="s">
        <v>733</v>
      </c>
      <c r="Y29" s="71" t="s">
        <v>750</v>
      </c>
      <c r="AC29" s="71" t="s">
        <v>538</v>
      </c>
      <c r="AG29" s="71" t="s">
        <v>802</v>
      </c>
      <c r="AI29" s="71" t="s">
        <v>369</v>
      </c>
      <c r="AK29" s="71" t="s">
        <v>836</v>
      </c>
      <c r="AM29" s="71" t="s">
        <v>369</v>
      </c>
      <c r="AT29" s="71" t="s">
        <v>369</v>
      </c>
      <c r="CE29" s="71">
        <f t="shared" si="20"/>
        <v>14</v>
      </c>
      <c r="CF29" s="71">
        <f t="shared" si="0"/>
        <v>6</v>
      </c>
      <c r="CG29" s="71">
        <f t="shared" si="1"/>
        <v>8</v>
      </c>
      <c r="CH29" s="71">
        <f t="shared" si="2"/>
        <v>3</v>
      </c>
      <c r="CI29" s="71">
        <f t="shared" si="3"/>
        <v>35</v>
      </c>
      <c r="CJ29" s="75">
        <f t="shared" si="4"/>
        <v>35</v>
      </c>
      <c r="CK29" s="71">
        <f t="shared" si="26"/>
        <v>97</v>
      </c>
      <c r="CL29" s="73">
        <f t="shared" si="27"/>
        <v>19.399999999999999</v>
      </c>
      <c r="CM29" s="71">
        <f t="shared" si="7"/>
        <v>87</v>
      </c>
      <c r="CN29" s="71">
        <f t="shared" si="29"/>
        <v>10</v>
      </c>
      <c r="CO29" s="74">
        <f t="array" ref="CO29">SUM(IF(ISERR(FIND("*",D29:CD29)),0,1))</f>
        <v>0</v>
      </c>
      <c r="CP29" s="74">
        <f t="array" ref="CP29">SUM(IF(ISERR(FIND("+",D29:CD29)),0,1))</f>
        <v>0</v>
      </c>
      <c r="CQ29" s="71">
        <f t="shared" si="9"/>
        <v>2</v>
      </c>
      <c r="CR29" s="74">
        <f t="array" ref="CR29">SUM(IF(ISERR(FIND(CR$4,$D29:$CD29)),0,1))</f>
        <v>2</v>
      </c>
      <c r="CS29" s="74">
        <f t="array" ref="CS29">SUM(IF(ISERR(FIND(CS$4,$D29:$CD29)),0,1))</f>
        <v>2</v>
      </c>
      <c r="CT29" s="74">
        <f t="array" ref="CT29">SUM(IF(ISERR(FIND(CT$4,$D29:$CD29)),0,1))</f>
        <v>0</v>
      </c>
      <c r="CU29" s="74">
        <f t="array" ref="CU29">SUM(IF(ISERR(FIND(CU$4,$D29:$CD29)),0,1))</f>
        <v>0</v>
      </c>
      <c r="CV29" s="74">
        <f t="array" ref="CV29">SUM(IF(ISERR(FIND(CV$4,$D29:$CD29)),0,1))</f>
        <v>1</v>
      </c>
      <c r="CW29" s="74">
        <f t="array" ref="CW29">SUM(IF(ISERR(FIND(CW$4,$D29:$CD29)),0,1))</f>
        <v>0</v>
      </c>
      <c r="CX29" s="74">
        <f t="shared" si="10"/>
        <v>2</v>
      </c>
      <c r="CY29" s="74">
        <f t="shared" si="11"/>
        <v>15</v>
      </c>
      <c r="CZ29" s="74">
        <f t="shared" si="12"/>
        <v>2</v>
      </c>
      <c r="DA29" s="74">
        <f t="shared" si="13"/>
        <v>0</v>
      </c>
      <c r="DB29" s="74">
        <f t="shared" si="14"/>
        <v>0</v>
      </c>
      <c r="DC29" s="74">
        <f t="shared" si="28"/>
        <v>1</v>
      </c>
      <c r="DD29" s="71">
        <f t="shared" si="16"/>
        <v>1940814.9702899999</v>
      </c>
      <c r="DE29" s="71">
        <f t="shared" si="17"/>
        <v>9</v>
      </c>
      <c r="DF29" s="71">
        <v>0</v>
      </c>
      <c r="DG29" s="100">
        <f t="shared" si="21"/>
        <v>0.74226804123711343</v>
      </c>
      <c r="DH29" s="110">
        <f t="shared" si="22"/>
        <v>0.4</v>
      </c>
    </row>
    <row r="30" spans="1:112" x14ac:dyDescent="0.15">
      <c r="A30" s="71" t="s">
        <v>55</v>
      </c>
      <c r="B30" s="71" t="s">
        <v>32</v>
      </c>
      <c r="C30" s="71" t="s">
        <v>56</v>
      </c>
      <c r="E30" s="71" t="s">
        <v>559</v>
      </c>
      <c r="M30" s="71" t="s">
        <v>658</v>
      </c>
      <c r="U30" s="71" t="s">
        <v>709</v>
      </c>
      <c r="Y30" s="71" t="s">
        <v>745</v>
      </c>
      <c r="AI30" s="71" t="s">
        <v>819</v>
      </c>
      <c r="AK30" s="71" t="s">
        <v>834</v>
      </c>
      <c r="AM30" s="71" t="s">
        <v>906</v>
      </c>
      <c r="AS30" s="71" t="s">
        <v>866</v>
      </c>
      <c r="AT30" s="71" t="s">
        <v>535</v>
      </c>
      <c r="CE30" s="71">
        <f t="shared" ref="CE30:CE40" si="30">BatSplit(D30:CD30,MatchesPlayed)</f>
        <v>9</v>
      </c>
      <c r="CF30" s="71">
        <f t="shared" si="0"/>
        <v>2</v>
      </c>
      <c r="CG30" s="71">
        <f t="shared" si="1"/>
        <v>7</v>
      </c>
      <c r="CH30" s="71">
        <f t="shared" si="2"/>
        <v>3</v>
      </c>
      <c r="CI30" s="71">
        <f t="shared" si="3"/>
        <v>32</v>
      </c>
      <c r="CJ30" s="75">
        <f t="shared" si="4"/>
        <v>32</v>
      </c>
      <c r="CK30" s="71">
        <f t="shared" si="26"/>
        <v>117</v>
      </c>
      <c r="CL30" s="73">
        <f t="shared" si="27"/>
        <v>29.25</v>
      </c>
      <c r="CM30" s="71">
        <f t="shared" si="7"/>
        <v>117</v>
      </c>
      <c r="CN30" s="71">
        <f t="shared" si="29"/>
        <v>68</v>
      </c>
      <c r="CO30" s="74">
        <f t="array" ref="CO30">SUM(IF(ISERR(FIND("*",D30:CD30)),0,1))</f>
        <v>2</v>
      </c>
      <c r="CP30" s="74">
        <f t="array" ref="CP30">SUM(IF(ISERR(FIND("+",D30:CD30)),0,1))</f>
        <v>6</v>
      </c>
      <c r="CQ30" s="71">
        <f t="shared" si="9"/>
        <v>0</v>
      </c>
      <c r="CR30" s="74">
        <f t="array" ref="CR30">SUM(IF(ISERR(FIND(CR$4,$D30:$CD30)),0,1))</f>
        <v>1</v>
      </c>
      <c r="CS30" s="74">
        <f t="array" ref="CS30">SUM(IF(ISERR(FIND(CS$4,$D30:$CD30)),0,1))</f>
        <v>2</v>
      </c>
      <c r="CT30" s="74">
        <f t="array" ref="CT30">SUM(IF(ISERR(FIND(CT$4,$D30:$CD30)),0,1))</f>
        <v>1</v>
      </c>
      <c r="CU30" s="74">
        <f t="array" ref="CU30">SUM(IF(ISERR(FIND(CU$4,$D30:$CD30)),0,1))</f>
        <v>0</v>
      </c>
      <c r="CV30" s="74">
        <f t="array" ref="CV30">SUM(IF(ISERR(FIND(CV$4,$D30:$CD30)),0,1))</f>
        <v>0</v>
      </c>
      <c r="CW30" s="74">
        <f t="array" ref="CW30">SUM(IF(ISERR(FIND(CW$4,$D30:$CD30)),0,1))</f>
        <v>0</v>
      </c>
      <c r="CX30" s="74">
        <f t="shared" si="10"/>
        <v>11</v>
      </c>
      <c r="CY30" s="74">
        <f t="shared" si="11"/>
        <v>18</v>
      </c>
      <c r="CZ30" s="74">
        <f t="shared" si="12"/>
        <v>3</v>
      </c>
      <c r="DA30" s="74">
        <f t="shared" si="13"/>
        <v>4</v>
      </c>
      <c r="DB30" s="74">
        <f t="shared" si="14"/>
        <v>9</v>
      </c>
      <c r="DC30" s="74">
        <f t="shared" si="28"/>
        <v>1</v>
      </c>
      <c r="DD30" s="71">
        <f t="shared" si="16"/>
        <v>2925710.1702999999</v>
      </c>
      <c r="DE30" s="71">
        <f t="shared" si="17"/>
        <v>4</v>
      </c>
      <c r="DF30" s="71">
        <v>0</v>
      </c>
      <c r="DG30" s="100">
        <f t="shared" si="21"/>
        <v>0.76923076923076927</v>
      </c>
      <c r="DH30" s="110">
        <f t="shared" si="22"/>
        <v>0</v>
      </c>
    </row>
    <row r="31" spans="1:112" x14ac:dyDescent="0.15">
      <c r="A31" s="71" t="s">
        <v>142</v>
      </c>
      <c r="B31" s="71" t="s">
        <v>128</v>
      </c>
      <c r="C31" s="71" t="s">
        <v>127</v>
      </c>
      <c r="E31" s="71" t="s">
        <v>557</v>
      </c>
      <c r="I31" s="71" t="s">
        <v>588</v>
      </c>
      <c r="M31" s="71" t="s">
        <v>645</v>
      </c>
      <c r="W31" s="71" t="s">
        <v>731</v>
      </c>
      <c r="Y31" s="71" t="s">
        <v>744</v>
      </c>
      <c r="AG31" s="71" t="s">
        <v>799</v>
      </c>
      <c r="AI31" s="71" t="s">
        <v>812</v>
      </c>
      <c r="AK31" s="71" t="s">
        <v>833</v>
      </c>
      <c r="AS31" s="71" t="s">
        <v>862</v>
      </c>
      <c r="AT31" s="71" t="s">
        <v>530</v>
      </c>
      <c r="CE31" s="71">
        <f t="shared" si="30"/>
        <v>10</v>
      </c>
      <c r="CF31" s="71">
        <f t="shared" si="0"/>
        <v>0</v>
      </c>
      <c r="CG31" s="71">
        <f t="shared" si="1"/>
        <v>10</v>
      </c>
      <c r="CH31" s="71">
        <f t="shared" si="2"/>
        <v>2</v>
      </c>
      <c r="CI31" s="71">
        <f t="shared" si="3"/>
        <v>93</v>
      </c>
      <c r="CJ31" s="75">
        <f t="shared" si="4"/>
        <v>93</v>
      </c>
      <c r="CK31" s="71">
        <f t="shared" si="26"/>
        <v>438</v>
      </c>
      <c r="CL31" s="73">
        <f t="shared" si="27"/>
        <v>54.75</v>
      </c>
      <c r="CM31" s="71">
        <f t="shared" si="7"/>
        <v>478</v>
      </c>
      <c r="CN31" s="71">
        <f t="shared" si="29"/>
        <v>25</v>
      </c>
      <c r="CO31" s="74">
        <f t="array" ref="CO31">SUM(IF(ISERR(FIND("*",D31:CD31)),0,1))</f>
        <v>0</v>
      </c>
      <c r="CP31" s="74">
        <f t="array" ref="CP31">SUM(IF(ISERR(FIND("+",D31:CD31)),0,1))</f>
        <v>4</v>
      </c>
      <c r="CQ31" s="71">
        <f t="shared" si="9"/>
        <v>0</v>
      </c>
      <c r="CR31" s="74">
        <f t="array" ref="CR31">SUM(IF(ISERR(FIND(CR$4,$D31:$CD31)),0,1))</f>
        <v>1</v>
      </c>
      <c r="CS31" s="74">
        <f t="array" ref="CS31">SUM(IF(ISERR(FIND(CS$4,$D31:$CD31)),0,1))</f>
        <v>5</v>
      </c>
      <c r="CT31" s="74">
        <f t="array" ref="CT31">SUM(IF(ISERR(FIND(CT$4,$D31:$CD31)),0,1))</f>
        <v>1</v>
      </c>
      <c r="CU31" s="74">
        <f t="array" ref="CU31">SUM(IF(ISERR(FIND(CU$4,$D31:$CD31)),0,1))</f>
        <v>0</v>
      </c>
      <c r="CV31" s="74">
        <f t="array" ref="CV31">SUM(IF(ISERR(FIND(CV$4,$D31:$CD31)),0,1))</f>
        <v>1</v>
      </c>
      <c r="CW31" s="74">
        <f t="array" ref="CW31">SUM(IF(ISERR(FIND(CW$4,$D31:$CD31)),0,1))</f>
        <v>0</v>
      </c>
      <c r="CX31" s="74">
        <f t="shared" si="10"/>
        <v>6</v>
      </c>
      <c r="CY31" s="74">
        <f t="shared" si="11"/>
        <v>61</v>
      </c>
      <c r="CZ31" s="74">
        <f t="shared" si="12"/>
        <v>3</v>
      </c>
      <c r="DA31" s="74">
        <f t="shared" si="13"/>
        <v>1</v>
      </c>
      <c r="DB31" s="74">
        <f t="shared" si="14"/>
        <v>5</v>
      </c>
      <c r="DC31" s="74">
        <f t="shared" si="28"/>
        <v>6</v>
      </c>
      <c r="DD31" s="71">
        <f t="shared" si="16"/>
        <v>5476014.3803099999</v>
      </c>
      <c r="DE31" s="71">
        <f t="shared" si="17"/>
        <v>1</v>
      </c>
      <c r="DF31" s="71">
        <v>1</v>
      </c>
      <c r="DG31" s="100">
        <f t="shared" si="21"/>
        <v>0.59817351598173518</v>
      </c>
      <c r="DH31" s="110">
        <f t="shared" si="22"/>
        <v>0</v>
      </c>
    </row>
    <row r="32" spans="1:112" x14ac:dyDescent="0.15">
      <c r="C32" s="71" t="s">
        <v>864</v>
      </c>
      <c r="AS32" s="71" t="s">
        <v>865</v>
      </c>
      <c r="CE32" s="71">
        <f>BatSplit(D32:CD32,MatchesPlayed)</f>
        <v>1</v>
      </c>
      <c r="CF32" s="71">
        <f>CE32-CG32</f>
        <v>0</v>
      </c>
      <c r="CG32" s="71">
        <f>BatSplit(D32:CD32,InnsBattedIn)</f>
        <v>1</v>
      </c>
      <c r="CH32" s="71">
        <f>BatSplit(D32:CD32,NotOuts)</f>
        <v>1</v>
      </c>
      <c r="CI32" s="71">
        <f>BatSplit(D32:CD32,HighestScore)</f>
        <v>-3</v>
      </c>
      <c r="CJ32" s="75" t="str">
        <f t="shared" si="4"/>
        <v>3*</v>
      </c>
      <c r="CK32" s="71">
        <f>BatSplit(D32:CD32,RunsScored)</f>
        <v>3</v>
      </c>
      <c r="CL32" s="73">
        <f>IF(CG32=CH32,0,CK32/(CG32-CH32))</f>
        <v>0</v>
      </c>
      <c r="CM32" s="71">
        <f>BatSplit(D32:CD32,BatPts)</f>
        <v>3</v>
      </c>
      <c r="CN32" s="71">
        <f>BatSplit(D32:CD32,FldPts)</f>
        <v>0</v>
      </c>
      <c r="CO32" s="74">
        <f t="array" ref="CO32">SUM(IF(ISERR(FIND("*",D32:CD32)),0,1))</f>
        <v>0</v>
      </c>
      <c r="CP32" s="74">
        <f t="array" ref="CP32">SUM(IF(ISERR(FIND("+",D32:CD32)),0,1))</f>
        <v>0</v>
      </c>
      <c r="CQ32" s="71">
        <f>BatSplit(D32:CD32,Ducks)</f>
        <v>0</v>
      </c>
      <c r="CR32" s="74">
        <f t="array" ref="CR32">SUM(IF(ISERR(FIND(CR$4,$D32:$CD32)),0,1))</f>
        <v>0</v>
      </c>
      <c r="CS32" s="74">
        <f t="array" ref="CS32">SUM(IF(ISERR(FIND(CS$4,$D32:$CD32)),0,1))</f>
        <v>0</v>
      </c>
      <c r="CT32" s="74">
        <f t="array" ref="CT32">SUM(IF(ISERR(FIND(CT$4,$D32:$CD32)),0,1))</f>
        <v>0</v>
      </c>
      <c r="CU32" s="74">
        <f t="array" ref="CU32">SUM(IF(ISERR(FIND(CU$4,$D32:$CD32)),0,1))</f>
        <v>0</v>
      </c>
      <c r="CV32" s="74">
        <f t="array" ref="CV32">SUM(IF(ISERR(FIND(CV$4,$D32:$CD32)),0,1))</f>
        <v>0</v>
      </c>
      <c r="CW32" s="74">
        <f t="array" ref="CW32">SUM(IF(ISERR(FIND(CW$4,$D32:$CD32)),0,1))</f>
        <v>0</v>
      </c>
      <c r="CX32" s="74">
        <f>BatSplit(D32:CD32,Catches)</f>
        <v>0</v>
      </c>
      <c r="CY32" s="74">
        <f>BatSplit(D32:CD32,Fours)</f>
        <v>0</v>
      </c>
      <c r="CZ32" s="74">
        <f>BatSplit(D32:CD32,Sixes)</f>
        <v>0</v>
      </c>
      <c r="DA32" s="74">
        <f>BatSplit(D32:CD32,Stumpings)</f>
        <v>0</v>
      </c>
      <c r="DB32" s="74">
        <f>BatSplit(D32:CD32,CaughtWkt)</f>
        <v>0</v>
      </c>
      <c r="DC32" s="74">
        <f>BatSplit(D32:CD32,TwentyFives)</f>
        <v>0</v>
      </c>
      <c r="DD32" s="71">
        <f>ROUND(IF(ISERROR(CL32),0,CL32),2)*100000+CG32*100+CE32+CK32/100+ROW()/100000</f>
        <v>101.03032</v>
      </c>
      <c r="DE32" s="71">
        <f t="shared" si="17"/>
        <v>37</v>
      </c>
      <c r="DF32" s="71">
        <v>1</v>
      </c>
      <c r="DG32" s="100">
        <f>(CY32*4+CZ32*6)/CK32</f>
        <v>0</v>
      </c>
      <c r="DH32" s="110" t="e">
        <f>CQ32/(CG32-CH32)</f>
        <v>#DIV/0!</v>
      </c>
    </row>
    <row r="33" spans="1:112" x14ac:dyDescent="0.15">
      <c r="B33" s="71" t="s">
        <v>228</v>
      </c>
      <c r="C33" s="71" t="s">
        <v>229</v>
      </c>
      <c r="D33" s="71" t="s">
        <v>231</v>
      </c>
      <c r="E33" s="71" t="s">
        <v>230</v>
      </c>
      <c r="F33" s="71" t="s">
        <v>289</v>
      </c>
      <c r="G33" s="71" t="s">
        <v>573</v>
      </c>
      <c r="J33" s="71" t="s">
        <v>309</v>
      </c>
      <c r="O33" s="71" t="s">
        <v>329</v>
      </c>
      <c r="P33" s="71" t="s">
        <v>323</v>
      </c>
      <c r="Q33" s="71" t="s">
        <v>682</v>
      </c>
      <c r="R33" s="71" t="s">
        <v>351</v>
      </c>
      <c r="S33" s="71" t="s">
        <v>694</v>
      </c>
      <c r="T33" s="71" t="s">
        <v>369</v>
      </c>
      <c r="U33" s="71" t="s">
        <v>712</v>
      </c>
      <c r="W33" s="71" t="s">
        <v>306</v>
      </c>
      <c r="AA33" s="71" t="s">
        <v>761</v>
      </c>
      <c r="AH33" s="71" t="s">
        <v>449</v>
      </c>
      <c r="AI33" s="71" t="s">
        <v>818</v>
      </c>
      <c r="CE33" s="71">
        <f t="shared" si="30"/>
        <v>16</v>
      </c>
      <c r="CF33" s="71">
        <f>CE33-CG33</f>
        <v>3</v>
      </c>
      <c r="CG33" s="71">
        <f>BatSplit(D33:CD33,InnsBattedIn)</f>
        <v>13</v>
      </c>
      <c r="CH33" s="71">
        <f>BatSplit(D33:CD33,NotOuts)</f>
        <v>1</v>
      </c>
      <c r="CI33" s="71">
        <f>BatSplit(D33:CD33,HighestScore)</f>
        <v>12</v>
      </c>
      <c r="CJ33" s="75">
        <f t="shared" si="4"/>
        <v>12</v>
      </c>
      <c r="CK33" s="71">
        <f>BatSplit(D33:CD33,RunsScored)</f>
        <v>50</v>
      </c>
      <c r="CL33" s="73">
        <f t="shared" si="27"/>
        <v>4.166666666666667</v>
      </c>
      <c r="CM33" s="71">
        <f>BatSplit(D33:CD33,BatPts)</f>
        <v>30</v>
      </c>
      <c r="CN33" s="71">
        <f>BatSplit(D33:CD33,FldPts)</f>
        <v>5</v>
      </c>
      <c r="CO33" s="74">
        <f t="array" ref="CO33">SUM(IF(ISERR(FIND("*",D33:CD33)),0,1))</f>
        <v>0</v>
      </c>
      <c r="CP33" s="74">
        <f t="array" ref="CP33">SUM(IF(ISERR(FIND("+",D33:CD33)),0,1))</f>
        <v>0</v>
      </c>
      <c r="CQ33" s="71">
        <f>BatSplit(D33:CD33,Ducks)</f>
        <v>4</v>
      </c>
      <c r="CR33" s="74">
        <f t="array" ref="CR33">SUM(IF(ISERR(FIND(CR$4,$D33:$CD33)),0,1))</f>
        <v>8</v>
      </c>
      <c r="CS33" s="74">
        <f t="array" ref="CS33">SUM(IF(ISERR(FIND(CS$4,$D33:$CD33)),0,1))</f>
        <v>4</v>
      </c>
      <c r="CT33" s="74">
        <f t="array" ref="CT33">SUM(IF(ISERR(FIND(CT$4,$D33:$CD33)),0,1))</f>
        <v>0</v>
      </c>
      <c r="CU33" s="74">
        <f t="array" ref="CU33">SUM(IF(ISERR(FIND(CU$4,$D33:$CD33)),0,1))</f>
        <v>0</v>
      </c>
      <c r="CV33" s="74">
        <f t="array" ref="CV33">SUM(IF(ISERR(FIND(CV$4,$D33:$CD33)),0,1))</f>
        <v>0</v>
      </c>
      <c r="CW33" s="74">
        <f t="array" ref="CW33">SUM(IF(ISERR(FIND(CW$4,$D33:$CD33)),0,1))</f>
        <v>0</v>
      </c>
      <c r="CX33" s="74">
        <f>BatSplit(D33:CD33,Catches)</f>
        <v>1</v>
      </c>
      <c r="CY33" s="74">
        <f>BatSplit(D33:CD33,Fours)</f>
        <v>8</v>
      </c>
      <c r="CZ33" s="74">
        <f>BatSplit(D33:CD33,Sixes)</f>
        <v>0</v>
      </c>
      <c r="DA33" s="74">
        <f>BatSplit(D33:CD33,Stumpings)</f>
        <v>0</v>
      </c>
      <c r="DB33" s="74">
        <f t="shared" si="14"/>
        <v>0</v>
      </c>
      <c r="DC33" s="74">
        <f t="shared" si="28"/>
        <v>0</v>
      </c>
      <c r="DD33" s="71">
        <f>ROUND(IF(ISERROR(CL33),0,CL33),2)*100000+CG33*100+CE33+CK33/100+ROW()/100000</f>
        <v>418316.50033000001</v>
      </c>
      <c r="DE33" s="71">
        <f t="shared" si="17"/>
        <v>31</v>
      </c>
      <c r="DF33" s="71">
        <v>0</v>
      </c>
      <c r="DG33" s="100">
        <f t="shared" si="21"/>
        <v>0.64</v>
      </c>
      <c r="DH33" s="110">
        <f t="shared" si="22"/>
        <v>0.33333333333333331</v>
      </c>
    </row>
    <row r="34" spans="1:112" x14ac:dyDescent="0.15">
      <c r="B34" s="71" t="s">
        <v>228</v>
      </c>
      <c r="C34" s="71" t="s">
        <v>253</v>
      </c>
      <c r="K34" s="71" t="s">
        <v>613</v>
      </c>
      <c r="L34" s="71" t="s">
        <v>631</v>
      </c>
      <c r="M34" s="71" t="s">
        <v>648</v>
      </c>
      <c r="CE34" s="71">
        <f t="shared" si="30"/>
        <v>3</v>
      </c>
      <c r="CF34" s="71">
        <f>CE34-CG34</f>
        <v>0</v>
      </c>
      <c r="CG34" s="71">
        <f>BatSplit(D34:CD34,InnsBattedIn)</f>
        <v>3</v>
      </c>
      <c r="CH34" s="71">
        <f>BatSplit(D34:CD34,NotOuts)</f>
        <v>0</v>
      </c>
      <c r="CI34" s="71">
        <f>BatSplit(D34:CD34,HighestScore)</f>
        <v>28</v>
      </c>
      <c r="CJ34" s="75">
        <f t="shared" si="4"/>
        <v>28</v>
      </c>
      <c r="CK34" s="71">
        <f>BatSplit(D34:CD34,RunsScored)</f>
        <v>32</v>
      </c>
      <c r="CL34" s="73">
        <f t="shared" si="27"/>
        <v>10.666666666666666</v>
      </c>
      <c r="CM34" s="71">
        <f>BatSplit(D34:CD34,BatPts)</f>
        <v>27</v>
      </c>
      <c r="CN34" s="71">
        <f>BatSplit(D34:CD34,FldPts)</f>
        <v>0</v>
      </c>
      <c r="CO34" s="74">
        <f t="array" ref="CO34">SUM(IF(ISERR(FIND("*",D34:CD34)),0,1))</f>
        <v>0</v>
      </c>
      <c r="CP34" s="74">
        <f t="array" ref="CP34">SUM(IF(ISERR(FIND("+",D34:CD34)),0,1))</f>
        <v>0</v>
      </c>
      <c r="CQ34" s="71">
        <f>BatSplit(D34:CD34,Ducks)</f>
        <v>1</v>
      </c>
      <c r="CR34" s="74">
        <f t="array" ref="CR34">SUM(IF(ISERR(FIND(CR$4,$D34:$CD34)),0,1))</f>
        <v>0</v>
      </c>
      <c r="CS34" s="74">
        <f t="array" ref="CS34">SUM(IF(ISERR(FIND(CS$4,$D34:$CD34)),0,1))</f>
        <v>1</v>
      </c>
      <c r="CT34" s="74">
        <f t="array" ref="CT34">SUM(IF(ISERR(FIND(CT$4,$D34:$CD34)),0,1))</f>
        <v>0</v>
      </c>
      <c r="CU34" s="74">
        <f t="array" ref="CU34">SUM(IF(ISERR(FIND(CU$4,$D34:$CD34)),0,1))</f>
        <v>1</v>
      </c>
      <c r="CV34" s="74">
        <f t="array" ref="CV34">SUM(IF(ISERR(FIND(CV$4,$D34:$CD34)),0,1))</f>
        <v>1</v>
      </c>
      <c r="CW34" s="74">
        <f t="array" ref="CW34">SUM(IF(ISERR(FIND(CW$4,$D34:$CD34)),0,1))</f>
        <v>0</v>
      </c>
      <c r="CX34" s="74">
        <f>BatSplit(D34:CD34,Catches)</f>
        <v>0</v>
      </c>
      <c r="CY34" s="74">
        <f>BatSplit(D34:CD34,Fours)</f>
        <v>3</v>
      </c>
      <c r="CZ34" s="74">
        <f>BatSplit(D34:CD34,Sixes)</f>
        <v>0</v>
      </c>
      <c r="DA34" s="74">
        <f>BatSplit(D34:CD34,Stumpings)</f>
        <v>0</v>
      </c>
      <c r="DB34" s="74">
        <f>BatSplit(D34:CD34,CaughtWkt)</f>
        <v>0</v>
      </c>
      <c r="DC34" s="74">
        <f t="shared" si="28"/>
        <v>1</v>
      </c>
      <c r="DD34" s="71">
        <f>ROUND(IF(ISERROR(CL34),0,CL34),2)*100000+CG34*100+CE34+CK34/100+ROW()/100000</f>
        <v>1067303.3203400001</v>
      </c>
      <c r="DE34" s="71">
        <f t="shared" si="17"/>
        <v>19</v>
      </c>
      <c r="DF34" s="71">
        <v>0</v>
      </c>
      <c r="DG34" s="100">
        <f t="shared" si="21"/>
        <v>0.375</v>
      </c>
      <c r="DH34" s="110">
        <f t="shared" si="22"/>
        <v>0.33333333333333331</v>
      </c>
    </row>
    <row r="35" spans="1:112" x14ac:dyDescent="0.15">
      <c r="A35" s="71" t="s">
        <v>191</v>
      </c>
      <c r="B35" s="71" t="s">
        <v>185</v>
      </c>
      <c r="C35" s="71" t="s">
        <v>186</v>
      </c>
      <c r="F35" s="71" t="s">
        <v>287</v>
      </c>
      <c r="J35" s="71" t="s">
        <v>303</v>
      </c>
      <c r="K35" s="71" t="s">
        <v>610</v>
      </c>
      <c r="M35" s="71" t="s">
        <v>402</v>
      </c>
      <c r="P35" s="71" t="s">
        <v>322</v>
      </c>
      <c r="R35" s="71" t="s">
        <v>347</v>
      </c>
      <c r="T35" s="71" t="s">
        <v>365</v>
      </c>
      <c r="AB35" s="71" t="s">
        <v>402</v>
      </c>
      <c r="AJ35" s="71" t="s">
        <v>474</v>
      </c>
      <c r="AL35" s="71" t="s">
        <v>489</v>
      </c>
      <c r="CE35" s="71">
        <f t="shared" si="30"/>
        <v>10</v>
      </c>
      <c r="CF35" s="71">
        <f t="shared" ref="CF35:CF40" si="31">CE35-CG35</f>
        <v>0</v>
      </c>
      <c r="CG35" s="71">
        <f t="shared" ref="CG35:CG40" si="32">BatSplit(D35:CD35,InnsBattedIn)</f>
        <v>10</v>
      </c>
      <c r="CH35" s="71">
        <f t="shared" ref="CH35:CH40" si="33">BatSplit(D35:CD35,NotOuts)</f>
        <v>0</v>
      </c>
      <c r="CI35" s="71">
        <f t="shared" ref="CI35:CI40" si="34">BatSplit(D35:CD35,HighestScore)</f>
        <v>14</v>
      </c>
      <c r="CJ35" s="75">
        <f t="shared" si="4"/>
        <v>14</v>
      </c>
      <c r="CK35" s="71">
        <f t="shared" ref="CK35:CK40" si="35">BatSplit(D35:CD35,RunsScored)</f>
        <v>39</v>
      </c>
      <c r="CL35" s="73">
        <f t="shared" si="27"/>
        <v>3.9</v>
      </c>
      <c r="CM35" s="71">
        <f t="shared" ref="CM35:CM40" si="36">BatSplit(D35:CD35,BatPts)</f>
        <v>14</v>
      </c>
      <c r="CN35" s="71">
        <f t="shared" ref="CN35:CN40" si="37">BatSplit(D35:CD35,FldPts)</f>
        <v>10</v>
      </c>
      <c r="CO35" s="74">
        <f t="array" ref="CO35">SUM(IF(ISERR(FIND("*",D35:CD35)),0,1))</f>
        <v>0</v>
      </c>
      <c r="CP35" s="74">
        <f t="array" ref="CP35">SUM(IF(ISERR(FIND("+",D35:CD35)),0,1))</f>
        <v>0</v>
      </c>
      <c r="CQ35" s="71">
        <f t="shared" ref="CQ35:CQ40" si="38">BatSplit(D35:CD35,Ducks)</f>
        <v>5</v>
      </c>
      <c r="CR35" s="74">
        <f t="array" ref="CR35">SUM(IF(ISERR(FIND(CR$4,$D35:$CD35)),0,1))</f>
        <v>5</v>
      </c>
      <c r="CS35" s="74">
        <f t="array" ref="CS35">SUM(IF(ISERR(FIND(CS$4,$D35:$CD35)),0,1))</f>
        <v>4</v>
      </c>
      <c r="CT35" s="74">
        <f t="array" ref="CT35">SUM(IF(ISERR(FIND(CT$4,$D35:$CD35)),0,1))</f>
        <v>0</v>
      </c>
      <c r="CU35" s="74">
        <f t="array" ref="CU35">SUM(IF(ISERR(FIND(CU$4,$D35:$CD35)),0,1))</f>
        <v>0</v>
      </c>
      <c r="CV35" s="74">
        <f t="array" ref="CV35">SUM(IF(ISERR(FIND(CV$4,$D35:$CD35)),0,1))</f>
        <v>1</v>
      </c>
      <c r="CW35" s="74">
        <f t="array" ref="CW35">SUM(IF(ISERR(FIND(CW$4,$D35:$CD35)),0,1))</f>
        <v>0</v>
      </c>
      <c r="CX35" s="74">
        <f t="shared" ref="CX35:CX40" si="39">BatSplit(D35:CD35,Catches)</f>
        <v>2</v>
      </c>
      <c r="CY35" s="74">
        <f t="shared" ref="CY35:CY40" si="40">BatSplit(D35:CD35,Fours)</f>
        <v>3</v>
      </c>
      <c r="CZ35" s="74">
        <f t="shared" ref="CZ35:CZ40" si="41">BatSplit(D35:CD35,Sixes)</f>
        <v>0</v>
      </c>
      <c r="DA35" s="74">
        <f t="shared" ref="DA35:DA40" si="42">BatSplit(D35:CD35,Stumpings)</f>
        <v>0</v>
      </c>
      <c r="DB35" s="74">
        <f t="shared" ref="DB35:DB50" si="43">BatSplit(D35:CD35,CaughtWkt)</f>
        <v>0</v>
      </c>
      <c r="DC35" s="74">
        <f t="shared" si="28"/>
        <v>0</v>
      </c>
      <c r="DD35" s="71">
        <f t="shared" si="16"/>
        <v>391010.39035</v>
      </c>
      <c r="DE35" s="71">
        <f t="shared" si="17"/>
        <v>33</v>
      </c>
      <c r="DF35" s="71">
        <v>0</v>
      </c>
      <c r="DG35" s="100">
        <f t="shared" si="21"/>
        <v>0.30769230769230771</v>
      </c>
      <c r="DH35" s="110">
        <f t="shared" si="22"/>
        <v>0.5</v>
      </c>
    </row>
    <row r="36" spans="1:112" x14ac:dyDescent="0.15">
      <c r="C36" s="71" t="s">
        <v>861</v>
      </c>
      <c r="AS36" s="71" t="s">
        <v>877</v>
      </c>
      <c r="CE36" s="71">
        <f>BatSplit(D36:CD36,MatchesPlayed)</f>
        <v>1</v>
      </c>
      <c r="CF36" s="71">
        <f>CE36-CG36</f>
        <v>0</v>
      </c>
      <c r="CG36" s="71">
        <f>BatSplit(D36:CD36,InnsBattedIn)</f>
        <v>1</v>
      </c>
      <c r="CH36" s="71">
        <f>BatSplit(D36:CD36,NotOuts)</f>
        <v>1</v>
      </c>
      <c r="CI36" s="71">
        <f>BatSplit(D36:CD36,HighestScore)</f>
        <v>-60</v>
      </c>
      <c r="CJ36" s="75" t="str">
        <f t="shared" si="4"/>
        <v>60*</v>
      </c>
      <c r="CK36" s="71">
        <f>BatSplit(D36:CD36,RunsScored)</f>
        <v>60</v>
      </c>
      <c r="CL36" s="73">
        <f>IF(CG36=CH36,0,CK36/(CG36-CH36))</f>
        <v>0</v>
      </c>
      <c r="CM36" s="71">
        <f>BatSplit(D36:CD36,BatPts)</f>
        <v>70</v>
      </c>
      <c r="CN36" s="71">
        <f>BatSplit(D36:CD36,FldPts)</f>
        <v>0</v>
      </c>
      <c r="CO36" s="74">
        <f t="array" ref="CO36">SUM(IF(ISERR(FIND("*",D36:CD36)),0,1))</f>
        <v>0</v>
      </c>
      <c r="CP36" s="74">
        <f t="array" ref="CP36">SUM(IF(ISERR(FIND("+",D36:CD36)),0,1))</f>
        <v>0</v>
      </c>
      <c r="CQ36" s="71">
        <f>BatSplit(D36:CD36,Ducks)</f>
        <v>0</v>
      </c>
      <c r="CR36" s="74">
        <f t="array" ref="CR36">SUM(IF(ISERR(FIND(CR$4,$D36:$CD36)),0,1))</f>
        <v>0</v>
      </c>
      <c r="CS36" s="74">
        <f t="array" ref="CS36">SUM(IF(ISERR(FIND(CS$4,$D36:$CD36)),0,1))</f>
        <v>0</v>
      </c>
      <c r="CT36" s="74">
        <f t="array" ref="CT36">SUM(IF(ISERR(FIND(CT$4,$D36:$CD36)),0,1))</f>
        <v>0</v>
      </c>
      <c r="CU36" s="74">
        <f t="array" ref="CU36">SUM(IF(ISERR(FIND(CU$4,$D36:$CD36)),0,1))</f>
        <v>0</v>
      </c>
      <c r="CV36" s="74">
        <f t="array" ref="CV36">SUM(IF(ISERR(FIND(CV$4,$D36:$CD36)),0,1))</f>
        <v>0</v>
      </c>
      <c r="CW36" s="74">
        <f t="array" ref="CW36">SUM(IF(ISERR(FIND(CW$4,$D36:$CD36)),0,1))</f>
        <v>0</v>
      </c>
      <c r="CX36" s="74">
        <f>BatSplit(D36:CD36,Catches)</f>
        <v>0</v>
      </c>
      <c r="CY36" s="74">
        <f>BatSplit(D36:CD36,Fours)</f>
        <v>8</v>
      </c>
      <c r="CZ36" s="74">
        <f>BatSplit(D36:CD36,Sixes)</f>
        <v>0</v>
      </c>
      <c r="DA36" s="74">
        <f>BatSplit(D36:CD36,Stumpings)</f>
        <v>0</v>
      </c>
      <c r="DB36" s="74">
        <f>BatSplit(D36:CD36,CaughtWkt)</f>
        <v>0</v>
      </c>
      <c r="DC36" s="74">
        <f>BatSplit(D36:CD36,TwentyFives)</f>
        <v>1</v>
      </c>
      <c r="DD36" s="71">
        <f>ROUND(IF(ISERROR(CL36),0,CL36),2)*100000+CG36*100+CE36+CK36/100+ROW()/100000</f>
        <v>101.60035999999999</v>
      </c>
      <c r="DE36" s="71">
        <f t="shared" si="17"/>
        <v>36</v>
      </c>
      <c r="DF36" s="71">
        <v>0</v>
      </c>
      <c r="DG36" s="100">
        <f t="shared" si="21"/>
        <v>0.53333333333333333</v>
      </c>
      <c r="DH36" s="110" t="e">
        <f t="shared" si="22"/>
        <v>#DIV/0!</v>
      </c>
    </row>
    <row r="37" spans="1:112" x14ac:dyDescent="0.15">
      <c r="A37" s="71" t="s">
        <v>84</v>
      </c>
      <c r="B37" s="71" t="s">
        <v>181</v>
      </c>
      <c r="C37" s="71" t="s">
        <v>164</v>
      </c>
      <c r="Q37" s="71" t="s">
        <v>679</v>
      </c>
      <c r="U37" s="71" t="s">
        <v>710</v>
      </c>
      <c r="AM37" s="71" t="s">
        <v>854</v>
      </c>
      <c r="CE37" s="71">
        <f t="shared" si="30"/>
        <v>3</v>
      </c>
      <c r="CF37" s="71">
        <f t="shared" si="31"/>
        <v>0</v>
      </c>
      <c r="CG37" s="71">
        <f t="shared" si="32"/>
        <v>3</v>
      </c>
      <c r="CH37" s="71">
        <f t="shared" si="33"/>
        <v>0</v>
      </c>
      <c r="CI37" s="71">
        <f t="shared" si="34"/>
        <v>27</v>
      </c>
      <c r="CJ37" s="75">
        <f t="shared" si="4"/>
        <v>27</v>
      </c>
      <c r="CK37" s="71">
        <f t="shared" si="35"/>
        <v>40</v>
      </c>
      <c r="CL37" s="73">
        <f t="shared" si="27"/>
        <v>13.333333333333334</v>
      </c>
      <c r="CM37" s="71">
        <f t="shared" si="36"/>
        <v>40</v>
      </c>
      <c r="CN37" s="71">
        <f t="shared" si="37"/>
        <v>0</v>
      </c>
      <c r="CO37" s="74">
        <f t="array" ref="CO37">SUM(IF(ISERR(FIND("*",D37:CD37)),0,1))</f>
        <v>0</v>
      </c>
      <c r="CP37" s="74">
        <f t="array" ref="CP37">SUM(IF(ISERR(FIND("+",D37:CD37)),0,1))</f>
        <v>0</v>
      </c>
      <c r="CQ37" s="71">
        <f t="shared" si="38"/>
        <v>0</v>
      </c>
      <c r="CR37" s="74">
        <f t="array" ref="CR37">SUM(IF(ISERR(FIND(CR$4,$D37:$CD37)),0,1))</f>
        <v>0</v>
      </c>
      <c r="CS37" s="74">
        <f t="array" ref="CS37">SUM(IF(ISERR(FIND(CS$4,$D37:$CD37)),0,1))</f>
        <v>2</v>
      </c>
      <c r="CT37" s="74">
        <f t="array" ref="CT37">SUM(IF(ISERR(FIND(CT$4,$D37:$CD37)),0,1))</f>
        <v>1</v>
      </c>
      <c r="CU37" s="74">
        <f t="array" ref="CU37">SUM(IF(ISERR(FIND(CU$4,$D37:$CD37)),0,1))</f>
        <v>0</v>
      </c>
      <c r="CV37" s="74">
        <f t="array" ref="CV37">SUM(IF(ISERR(FIND(CV$4,$D37:$CD37)),0,1))</f>
        <v>0</v>
      </c>
      <c r="CW37" s="74">
        <f t="array" ref="CW37">SUM(IF(ISERR(FIND(CW$4,$D37:$CD37)),0,1))</f>
        <v>0</v>
      </c>
      <c r="CX37" s="74">
        <f t="shared" si="39"/>
        <v>0</v>
      </c>
      <c r="CY37" s="74">
        <f t="shared" si="40"/>
        <v>4</v>
      </c>
      <c r="CZ37" s="74">
        <f t="shared" si="41"/>
        <v>0</v>
      </c>
      <c r="DA37" s="74">
        <f t="shared" si="42"/>
        <v>0</v>
      </c>
      <c r="DB37" s="74">
        <f t="shared" si="43"/>
        <v>0</v>
      </c>
      <c r="DC37" s="74">
        <f t="shared" si="28"/>
        <v>1</v>
      </c>
      <c r="DD37" s="71">
        <f t="shared" si="16"/>
        <v>1333303.4003699999</v>
      </c>
      <c r="DE37" s="71">
        <f t="shared" si="17"/>
        <v>15</v>
      </c>
      <c r="DF37" s="71">
        <v>0</v>
      </c>
      <c r="DG37" s="100">
        <f t="shared" si="21"/>
        <v>0.4</v>
      </c>
      <c r="DH37" s="110">
        <f t="shared" si="22"/>
        <v>0</v>
      </c>
    </row>
    <row r="38" spans="1:112" x14ac:dyDescent="0.15">
      <c r="B38" s="71" t="s">
        <v>128</v>
      </c>
      <c r="C38" s="71" t="s">
        <v>249</v>
      </c>
      <c r="CE38" s="71">
        <f t="shared" si="30"/>
        <v>0</v>
      </c>
      <c r="CF38" s="71">
        <f>CE38-CG38</f>
        <v>0</v>
      </c>
      <c r="CG38" s="71">
        <f>BatSplit(D38:CD38,InnsBattedIn)</f>
        <v>0</v>
      </c>
      <c r="CH38" s="71">
        <f>BatSplit(D38:CD38,NotOuts)</f>
        <v>0</v>
      </c>
      <c r="CI38" s="71">
        <f>BatSplit(D38:CD38,HighestScore)</f>
        <v>0</v>
      </c>
      <c r="CJ38" s="75">
        <f t="shared" si="4"/>
        <v>0</v>
      </c>
      <c r="CK38" s="71">
        <f>BatSplit(D38:CD38,RunsScored)</f>
        <v>0</v>
      </c>
      <c r="CL38" s="73">
        <f t="shared" si="27"/>
        <v>0</v>
      </c>
      <c r="CM38" s="71">
        <f>BatSplit(D38:CD38,BatPts)</f>
        <v>0</v>
      </c>
      <c r="CN38" s="71">
        <f>BatSplit(D38:CD38,FldPts)</f>
        <v>0</v>
      </c>
      <c r="CO38" s="74">
        <f t="array" ref="CO38">SUM(IF(ISERR(FIND("*",D38:CD38)),0,1))</f>
        <v>0</v>
      </c>
      <c r="CP38" s="74">
        <f t="array" ref="CP38">SUM(IF(ISERR(FIND("+",D38:CD38)),0,1))</f>
        <v>0</v>
      </c>
      <c r="CQ38" s="71">
        <f>BatSplit(D38:CD38,Ducks)</f>
        <v>0</v>
      </c>
      <c r="CR38" s="74">
        <f t="array" ref="CR38">SUM(IF(ISERR(FIND(CR$4,$D38:$CD38)),0,1))</f>
        <v>0</v>
      </c>
      <c r="CS38" s="74">
        <f t="array" ref="CS38">SUM(IF(ISERR(FIND(CS$4,$D38:$CD38)),0,1))</f>
        <v>0</v>
      </c>
      <c r="CT38" s="74">
        <f t="array" ref="CT38">SUM(IF(ISERR(FIND(CT$4,$D38:$CD38)),0,1))</f>
        <v>0</v>
      </c>
      <c r="CU38" s="74">
        <f t="array" ref="CU38">SUM(IF(ISERR(FIND(CU$4,$D38:$CD38)),0,1))</f>
        <v>0</v>
      </c>
      <c r="CV38" s="74">
        <f t="array" ref="CV38">SUM(IF(ISERR(FIND(CV$4,$D38:$CD38)),0,1))</f>
        <v>0</v>
      </c>
      <c r="CW38" s="74">
        <f t="array" ref="CW38">SUM(IF(ISERR(FIND(CW$4,$D38:$CD38)),0,1))</f>
        <v>0</v>
      </c>
      <c r="CX38" s="74">
        <f>BatSplit(D38:CD38,Catches)</f>
        <v>0</v>
      </c>
      <c r="CY38" s="74">
        <f>BatSplit(D38:CD38,Fours)</f>
        <v>0</v>
      </c>
      <c r="CZ38" s="74">
        <f>BatSplit(D38:CD38,Sixes)</f>
        <v>0</v>
      </c>
      <c r="DA38" s="74">
        <f>BatSplit(D38:CD38,Stumpings)</f>
        <v>0</v>
      </c>
      <c r="DB38" s="74">
        <f t="shared" si="43"/>
        <v>0</v>
      </c>
      <c r="DC38" s="74">
        <f t="shared" si="28"/>
        <v>0</v>
      </c>
      <c r="DD38" s="71">
        <f>ROUND(IF(ISERROR(CL38),0,CL38),2)*100000+CG38*100+CE38+CK38/100+ROW()/100000</f>
        <v>3.8000000000000002E-4</v>
      </c>
      <c r="DE38" s="71">
        <f t="shared" si="17"/>
        <v>43</v>
      </c>
      <c r="DF38" s="71">
        <v>0</v>
      </c>
      <c r="DG38" s="100" t="e">
        <f t="shared" si="21"/>
        <v>#DIV/0!</v>
      </c>
      <c r="DH38" s="110" t="e">
        <f t="shared" si="22"/>
        <v>#DIV/0!</v>
      </c>
    </row>
    <row r="39" spans="1:112" x14ac:dyDescent="0.15">
      <c r="B39" s="71" t="s">
        <v>235</v>
      </c>
      <c r="C39" s="71" t="s">
        <v>907</v>
      </c>
      <c r="J39" s="71" t="s">
        <v>301</v>
      </c>
      <c r="L39" s="71" t="s">
        <v>629</v>
      </c>
      <c r="M39" s="71" t="s">
        <v>381</v>
      </c>
      <c r="T39" s="71" t="s">
        <v>362</v>
      </c>
      <c r="X39" s="71" t="s">
        <v>282</v>
      </c>
      <c r="AD39" s="71" t="s">
        <v>420</v>
      </c>
      <c r="AF39" s="71" t="s">
        <v>431</v>
      </c>
      <c r="AH39" s="71" t="s">
        <v>447</v>
      </c>
      <c r="AJ39" s="71" t="s">
        <v>465</v>
      </c>
      <c r="AL39" s="71" t="s">
        <v>487</v>
      </c>
      <c r="AN39" s="71" t="s">
        <v>500</v>
      </c>
      <c r="AP39" s="71" t="s">
        <v>517</v>
      </c>
      <c r="CE39" s="71">
        <f>BatSplit(D39:CD39,MatchesPlayed)</f>
        <v>12</v>
      </c>
      <c r="CF39" s="71">
        <f>CE39-CG39</f>
        <v>0</v>
      </c>
      <c r="CG39" s="71">
        <f>BatSplit(D39:CD39,InnsBattedIn)</f>
        <v>12</v>
      </c>
      <c r="CH39" s="71">
        <f>BatSplit(D39:CD39,NotOuts)</f>
        <v>1</v>
      </c>
      <c r="CI39" s="71">
        <f>BatSplit(D39:CD39,HighestScore)</f>
        <v>27</v>
      </c>
      <c r="CJ39" s="75">
        <f t="shared" si="4"/>
        <v>27</v>
      </c>
      <c r="CK39" s="71">
        <f>BatSplit(D39:CD39,RunsScored)</f>
        <v>112</v>
      </c>
      <c r="CL39" s="73">
        <f t="shared" si="27"/>
        <v>10.181818181818182</v>
      </c>
      <c r="CM39" s="71">
        <f>BatSplit(D39:CD39,BatPts)</f>
        <v>107</v>
      </c>
      <c r="CN39" s="71">
        <f>BatSplit(D39:CD39,FldPts)</f>
        <v>10</v>
      </c>
      <c r="CO39" s="74">
        <f t="array" ref="CO39">SUM(IF(ISERR(FIND("*",D39:CD39)),0,1))</f>
        <v>0</v>
      </c>
      <c r="CP39" s="74">
        <f t="array" ref="CP39">SUM(IF(ISERR(FIND("+",D39:CD39)),0,1))</f>
        <v>0</v>
      </c>
      <c r="CQ39" s="71">
        <f>BatSplit(D39:CD39,Ducks)</f>
        <v>1</v>
      </c>
      <c r="CR39" s="74">
        <f t="array" ref="CR39">SUM(IF(ISERR(FIND(CR$4,$D39:$CD39)),0,1))</f>
        <v>2</v>
      </c>
      <c r="CS39" s="74">
        <f t="array" ref="CS39">SUM(IF(ISERR(FIND(CS$4,$D39:$CD39)),0,1))</f>
        <v>8</v>
      </c>
      <c r="CT39" s="74">
        <f t="array" ref="CT39">SUM(IF(ISERR(FIND(CT$4,$D39:$CD39)),0,1))</f>
        <v>1</v>
      </c>
      <c r="CU39" s="74">
        <f t="array" ref="CU39">SUM(IF(ISERR(FIND(CU$4,$D39:$CD39)),0,1))</f>
        <v>0</v>
      </c>
      <c r="CV39" s="74">
        <f t="array" ref="CV39">SUM(IF(ISERR(FIND(CV$4,$D39:$CD39)),0,1))</f>
        <v>0</v>
      </c>
      <c r="CW39" s="74">
        <f t="array" ref="CW39">SUM(IF(ISERR(FIND(CW$4,$D39:$CD39)),0,1))</f>
        <v>0</v>
      </c>
      <c r="CX39" s="74">
        <f>BatSplit(D39:CD39,Catches)</f>
        <v>2</v>
      </c>
      <c r="CY39" s="74">
        <f>BatSplit(D39:CD39,Fours)</f>
        <v>13</v>
      </c>
      <c r="CZ39" s="74">
        <f>BatSplit(D39:CD39,Sixes)</f>
        <v>0</v>
      </c>
      <c r="DA39" s="74">
        <f>BatSplit(D39:CD39,Stumpings)</f>
        <v>0</v>
      </c>
      <c r="DB39" s="74">
        <f>BatSplit(D39:CD39,CaughtWkt)</f>
        <v>0</v>
      </c>
      <c r="DC39" s="74">
        <f t="shared" si="28"/>
        <v>1</v>
      </c>
      <c r="DD39" s="71">
        <f>ROUND(IF(ISERROR(CL39),0,CL39),2)*100000+CG39*100+CE39+CK39/100+ROW()/100000</f>
        <v>1019213.1203899999</v>
      </c>
      <c r="DE39" s="71">
        <f t="shared" si="17"/>
        <v>20</v>
      </c>
      <c r="DF39" s="71">
        <v>0</v>
      </c>
      <c r="DG39" s="100">
        <f>(CY39*4+CZ39*6)/CK39</f>
        <v>0.4642857142857143</v>
      </c>
      <c r="DH39" s="110">
        <f>CQ39/(CG39-CH39)</f>
        <v>9.0909090909090912E-2</v>
      </c>
    </row>
    <row r="40" spans="1:112" x14ac:dyDescent="0.15">
      <c r="A40" s="71" t="s">
        <v>60</v>
      </c>
      <c r="B40" s="71" t="s">
        <v>28</v>
      </c>
      <c r="C40" s="71" t="s">
        <v>165</v>
      </c>
      <c r="CE40" s="71">
        <f t="shared" si="30"/>
        <v>0</v>
      </c>
      <c r="CF40" s="71">
        <f t="shared" si="31"/>
        <v>0</v>
      </c>
      <c r="CG40" s="71">
        <f t="shared" si="32"/>
        <v>0</v>
      </c>
      <c r="CH40" s="71">
        <f t="shared" si="33"/>
        <v>0</v>
      </c>
      <c r="CI40" s="71">
        <f t="shared" si="34"/>
        <v>0</v>
      </c>
      <c r="CJ40" s="75">
        <f t="shared" si="4"/>
        <v>0</v>
      </c>
      <c r="CK40" s="71">
        <f t="shared" si="35"/>
        <v>0</v>
      </c>
      <c r="CL40" s="73">
        <f t="shared" si="27"/>
        <v>0</v>
      </c>
      <c r="CM40" s="71">
        <f t="shared" si="36"/>
        <v>0</v>
      </c>
      <c r="CN40" s="71">
        <f t="shared" si="37"/>
        <v>0</v>
      </c>
      <c r="CO40" s="74">
        <f t="array" ref="CO40">SUM(IF(ISERR(FIND("*",D40:CD40)),0,1))</f>
        <v>0</v>
      </c>
      <c r="CP40" s="74">
        <f t="array" ref="CP40">SUM(IF(ISERR(FIND("+",D40:CD40)),0,1))</f>
        <v>0</v>
      </c>
      <c r="CQ40" s="71">
        <f t="shared" si="38"/>
        <v>0</v>
      </c>
      <c r="CR40" s="74">
        <f t="array" ref="CR40">SUM(IF(ISERR(FIND(CR$4,$D40:$CD40)),0,1))</f>
        <v>0</v>
      </c>
      <c r="CS40" s="74">
        <f t="array" ref="CS40">SUM(IF(ISERR(FIND(CS$4,$D40:$CD40)),0,1))</f>
        <v>0</v>
      </c>
      <c r="CT40" s="74">
        <f t="array" ref="CT40">SUM(IF(ISERR(FIND(CT$4,$D40:$CD40)),0,1))</f>
        <v>0</v>
      </c>
      <c r="CU40" s="74">
        <f t="array" ref="CU40">SUM(IF(ISERR(FIND(CU$4,$D40:$CD40)),0,1))</f>
        <v>0</v>
      </c>
      <c r="CV40" s="74">
        <f t="array" ref="CV40">SUM(IF(ISERR(FIND(CV$4,$D40:$CD40)),0,1))</f>
        <v>0</v>
      </c>
      <c r="CW40" s="74">
        <f t="array" ref="CW40">SUM(IF(ISERR(FIND(CW$4,$D40:$CD40)),0,1))</f>
        <v>0</v>
      </c>
      <c r="CX40" s="74">
        <f t="shared" si="39"/>
        <v>0</v>
      </c>
      <c r="CY40" s="74">
        <f t="shared" si="40"/>
        <v>0</v>
      </c>
      <c r="CZ40" s="74">
        <f t="shared" si="41"/>
        <v>0</v>
      </c>
      <c r="DA40" s="74">
        <f t="shared" si="42"/>
        <v>0</v>
      </c>
      <c r="DB40" s="74">
        <f t="shared" si="43"/>
        <v>0</v>
      </c>
      <c r="DC40" s="74">
        <f t="shared" si="28"/>
        <v>0</v>
      </c>
      <c r="DD40" s="71">
        <f t="shared" si="16"/>
        <v>4.0000000000000002E-4</v>
      </c>
      <c r="DE40" s="71">
        <f t="shared" si="17"/>
        <v>42</v>
      </c>
      <c r="DF40" s="71">
        <v>0</v>
      </c>
      <c r="DG40" s="100" t="e">
        <f t="shared" si="21"/>
        <v>#DIV/0!</v>
      </c>
      <c r="DH40" s="110" t="e">
        <f t="shared" si="22"/>
        <v>#DIV/0!</v>
      </c>
    </row>
    <row r="41" spans="1:112" x14ac:dyDescent="0.15">
      <c r="A41" s="71" t="s">
        <v>61</v>
      </c>
      <c r="B41" s="71" t="s">
        <v>25</v>
      </c>
      <c r="C41" s="71" t="s">
        <v>166</v>
      </c>
      <c r="CE41" s="71">
        <f t="shared" ref="CE41:CE50" si="44">BatSplit(D41:CD41,MatchesPlayed)</f>
        <v>0</v>
      </c>
      <c r="CF41" s="71">
        <f t="shared" ref="CF41:CF50" si="45">CE41-CG41</f>
        <v>0</v>
      </c>
      <c r="CG41" s="71">
        <f t="shared" ref="CG41:CG50" si="46">BatSplit(D41:CD41,InnsBattedIn)</f>
        <v>0</v>
      </c>
      <c r="CH41" s="71">
        <f t="shared" ref="CH41:CH50" si="47">BatSplit(D41:CD41,NotOuts)</f>
        <v>0</v>
      </c>
      <c r="CI41" s="71">
        <f t="shared" ref="CI41:CI50" si="48">BatSplit(D41:CD41,HighestScore)</f>
        <v>0</v>
      </c>
      <c r="CJ41" s="75">
        <f t="shared" si="4"/>
        <v>0</v>
      </c>
      <c r="CK41" s="71">
        <f t="shared" ref="CK41:CK50" si="49">BatSplit(D41:CD41,RunsScored)</f>
        <v>0</v>
      </c>
      <c r="CL41" s="73">
        <f t="shared" si="27"/>
        <v>0</v>
      </c>
      <c r="CM41" s="71">
        <f t="shared" ref="CM41:CM50" si="50">BatSplit(D41:CD41,BatPts)</f>
        <v>0</v>
      </c>
      <c r="CN41" s="71">
        <f t="shared" ref="CN41:CN50" si="51">BatSplit(D41:CD41,FldPts)</f>
        <v>0</v>
      </c>
      <c r="CO41" s="74">
        <f t="array" ref="CO41">SUM(IF(ISERR(FIND("*",D41:CD41)),0,1))</f>
        <v>0</v>
      </c>
      <c r="CP41" s="74">
        <f t="array" ref="CP41">SUM(IF(ISERR(FIND("+",D41:CD41)),0,1))</f>
        <v>0</v>
      </c>
      <c r="CQ41" s="71">
        <f t="shared" ref="CQ41:CQ50" si="52">BatSplit(D41:CD41,Ducks)</f>
        <v>0</v>
      </c>
      <c r="CR41" s="74">
        <f t="array" ref="CR41">SUM(IF(ISERR(FIND(CR$4,$D41:$CD41)),0,1))</f>
        <v>0</v>
      </c>
      <c r="CS41" s="74">
        <f t="array" ref="CS41">SUM(IF(ISERR(FIND(CS$4,$D41:$CD41)),0,1))</f>
        <v>0</v>
      </c>
      <c r="CT41" s="74">
        <f t="array" ref="CT41">SUM(IF(ISERR(FIND(CT$4,$D41:$CD41)),0,1))</f>
        <v>0</v>
      </c>
      <c r="CU41" s="74">
        <f t="array" ref="CU41">SUM(IF(ISERR(FIND(CU$4,$D41:$CD41)),0,1))</f>
        <v>0</v>
      </c>
      <c r="CV41" s="74">
        <f t="array" ref="CV41">SUM(IF(ISERR(FIND(CV$4,$D41:$CD41)),0,1))</f>
        <v>0</v>
      </c>
      <c r="CW41" s="74">
        <f t="array" ref="CW41">SUM(IF(ISERR(FIND(CW$4,$D41:$CD41)),0,1))</f>
        <v>0</v>
      </c>
      <c r="CX41" s="74">
        <f t="shared" ref="CX41:CX50" si="53">BatSplit(D41:CD41,Catches)</f>
        <v>0</v>
      </c>
      <c r="CY41" s="74">
        <f t="shared" ref="CY41:CY50" si="54">BatSplit(D41:CD41,Fours)</f>
        <v>0</v>
      </c>
      <c r="CZ41" s="74">
        <f t="shared" ref="CZ41:CZ50" si="55">BatSplit(D41:CD41,Sixes)</f>
        <v>0</v>
      </c>
      <c r="DA41" s="74">
        <f t="shared" ref="DA41:DA50" si="56">BatSplit(D41:CD41,Stumpings)</f>
        <v>0</v>
      </c>
      <c r="DB41" s="74">
        <f t="shared" si="43"/>
        <v>0</v>
      </c>
      <c r="DC41" s="74">
        <f t="shared" si="28"/>
        <v>0</v>
      </c>
      <c r="DD41" s="71">
        <f t="shared" si="16"/>
        <v>4.0999999999999999E-4</v>
      </c>
      <c r="DE41" s="71">
        <f t="shared" si="17"/>
        <v>41</v>
      </c>
      <c r="DF41" s="71">
        <v>0</v>
      </c>
      <c r="DG41" s="100" t="e">
        <f t="shared" si="21"/>
        <v>#DIV/0!</v>
      </c>
      <c r="DH41" s="110" t="e">
        <f t="shared" si="22"/>
        <v>#DIV/0!</v>
      </c>
    </row>
    <row r="42" spans="1:112" x14ac:dyDescent="0.15">
      <c r="B42" s="71" t="s">
        <v>27</v>
      </c>
      <c r="C42" s="71" t="s">
        <v>198</v>
      </c>
      <c r="P42" s="71" t="s">
        <v>329</v>
      </c>
      <c r="AA42" s="71" t="s">
        <v>767</v>
      </c>
      <c r="CE42" s="71">
        <f>BatSplit(D42:CD42,MatchesPlayed)</f>
        <v>2</v>
      </c>
      <c r="CF42" s="71">
        <f>CE42-CG42</f>
        <v>0</v>
      </c>
      <c r="CG42" s="71">
        <f>BatSplit(D42:CD42,InnsBattedIn)</f>
        <v>2</v>
      </c>
      <c r="CH42" s="71">
        <f>BatSplit(D42:CD42,NotOuts)</f>
        <v>0</v>
      </c>
      <c r="CI42" s="71">
        <f>BatSplit(D42:CD42,HighestScore)</f>
        <v>10</v>
      </c>
      <c r="CJ42" s="75">
        <f t="shared" si="4"/>
        <v>10</v>
      </c>
      <c r="CK42" s="71">
        <f>BatSplit(D42:CD42,RunsScored)</f>
        <v>10</v>
      </c>
      <c r="CL42" s="73">
        <f t="shared" si="27"/>
        <v>5</v>
      </c>
      <c r="CM42" s="71">
        <f>BatSplit(D42:CD42,BatPts)</f>
        <v>5</v>
      </c>
      <c r="CN42" s="71">
        <f>BatSplit(D42:CD42,FldPts)</f>
        <v>0</v>
      </c>
      <c r="CO42" s="74">
        <f t="array" ref="CO42">SUM(IF(ISERR(FIND("*",D42:CD42)),0,1))</f>
        <v>0</v>
      </c>
      <c r="CP42" s="74">
        <f t="array" ref="CP42">SUM(IF(ISERR(FIND("+",D42:CD42)),0,1))</f>
        <v>0</v>
      </c>
      <c r="CQ42" s="71">
        <f>BatSplit(D42:CD42,Ducks)</f>
        <v>1</v>
      </c>
      <c r="CR42" s="74">
        <f t="array" ref="CR42">SUM(IF(ISERR(FIND(CR$4,$D42:$CD42)),0,1))</f>
        <v>1</v>
      </c>
      <c r="CS42" s="74">
        <f t="array" ref="CS42">SUM(IF(ISERR(FIND(CS$4,$D42:$CD42)),0,1))</f>
        <v>0</v>
      </c>
      <c r="CT42" s="74">
        <f t="array" ref="CT42">SUM(IF(ISERR(FIND(CT$4,$D42:$CD42)),0,1))</f>
        <v>0</v>
      </c>
      <c r="CU42" s="74">
        <f t="array" ref="CU42">SUM(IF(ISERR(FIND(CU$4,$D42:$CD42)),0,1))</f>
        <v>0</v>
      </c>
      <c r="CV42" s="74">
        <f t="array" ref="CV42">SUM(IF(ISERR(FIND(CV$4,$D42:$CD42)),0,1))</f>
        <v>1</v>
      </c>
      <c r="CW42" s="74">
        <f t="array" ref="CW42">SUM(IF(ISERR(FIND(CW$4,$D42:$CD42)),0,1))</f>
        <v>0</v>
      </c>
      <c r="CX42" s="74">
        <f>BatSplit(D42:CD42,Catches)</f>
        <v>0</v>
      </c>
      <c r="CY42" s="74">
        <f>BatSplit(D42:CD42,Fours)</f>
        <v>1</v>
      </c>
      <c r="CZ42" s="74">
        <f>BatSplit(D42:CD42,Sixes)</f>
        <v>0</v>
      </c>
      <c r="DA42" s="74">
        <f>BatSplit(D42:CD42,Stumpings)</f>
        <v>0</v>
      </c>
      <c r="DB42" s="74">
        <f t="shared" si="43"/>
        <v>0</v>
      </c>
      <c r="DC42" s="74">
        <f t="shared" si="28"/>
        <v>0</v>
      </c>
      <c r="DD42" s="71">
        <f>ROUND(IF(ISERROR(CL42),0,CL42),2)*100000+CG42*100+CE42+CK42/100+ROW()/100000</f>
        <v>500202.10041999997</v>
      </c>
      <c r="DE42" s="71">
        <f t="shared" si="17"/>
        <v>30</v>
      </c>
      <c r="DF42" s="71">
        <v>0</v>
      </c>
      <c r="DG42" s="100">
        <f t="shared" si="21"/>
        <v>0.4</v>
      </c>
      <c r="DH42" s="110">
        <f t="shared" si="22"/>
        <v>0.5</v>
      </c>
    </row>
    <row r="43" spans="1:112" x14ac:dyDescent="0.15">
      <c r="A43" s="71" t="s">
        <v>62</v>
      </c>
      <c r="B43" s="71" t="s">
        <v>28</v>
      </c>
      <c r="C43" s="71" t="s">
        <v>167</v>
      </c>
      <c r="CE43" s="71">
        <f t="shared" si="44"/>
        <v>0</v>
      </c>
      <c r="CF43" s="71">
        <f t="shared" si="45"/>
        <v>0</v>
      </c>
      <c r="CG43" s="71">
        <f t="shared" si="46"/>
        <v>0</v>
      </c>
      <c r="CH43" s="71">
        <f t="shared" si="47"/>
        <v>0</v>
      </c>
      <c r="CI43" s="71">
        <f t="shared" si="48"/>
        <v>0</v>
      </c>
      <c r="CJ43" s="75">
        <f t="shared" si="4"/>
        <v>0</v>
      </c>
      <c r="CK43" s="71">
        <f t="shared" si="49"/>
        <v>0</v>
      </c>
      <c r="CL43" s="73">
        <f t="shared" si="27"/>
        <v>0</v>
      </c>
      <c r="CM43" s="71">
        <f t="shared" si="50"/>
        <v>0</v>
      </c>
      <c r="CN43" s="71">
        <f t="shared" si="51"/>
        <v>0</v>
      </c>
      <c r="CO43" s="74">
        <f t="array" ref="CO43">SUM(IF(ISERR(FIND("*",D43:CD43)),0,1))</f>
        <v>0</v>
      </c>
      <c r="CP43" s="74">
        <f t="array" ref="CP43">SUM(IF(ISERR(FIND("+",D43:CD43)),0,1))</f>
        <v>0</v>
      </c>
      <c r="CQ43" s="71">
        <f t="shared" si="52"/>
        <v>0</v>
      </c>
      <c r="CR43" s="74">
        <f t="array" ref="CR43">SUM(IF(ISERR(FIND(CR$4,$D43:$CD43)),0,1))</f>
        <v>0</v>
      </c>
      <c r="CS43" s="74">
        <f t="array" ref="CS43">SUM(IF(ISERR(FIND(CS$4,$D43:$CD43)),0,1))</f>
        <v>0</v>
      </c>
      <c r="CT43" s="74">
        <f t="array" ref="CT43">SUM(IF(ISERR(FIND(CT$4,$D43:$CD43)),0,1))</f>
        <v>0</v>
      </c>
      <c r="CU43" s="74">
        <f t="array" ref="CU43">SUM(IF(ISERR(FIND(CU$4,$D43:$CD43)),0,1))</f>
        <v>0</v>
      </c>
      <c r="CV43" s="74">
        <f t="array" ref="CV43">SUM(IF(ISERR(FIND(CV$4,$D43:$CD43)),0,1))</f>
        <v>0</v>
      </c>
      <c r="CW43" s="74">
        <f t="array" ref="CW43">SUM(IF(ISERR(FIND(CW$4,$D43:$CD43)),0,1))</f>
        <v>0</v>
      </c>
      <c r="CX43" s="74">
        <f t="shared" si="53"/>
        <v>0</v>
      </c>
      <c r="CY43" s="74">
        <f t="shared" si="54"/>
        <v>0</v>
      </c>
      <c r="CZ43" s="74">
        <f t="shared" si="55"/>
        <v>0</v>
      </c>
      <c r="DA43" s="74">
        <f t="shared" si="56"/>
        <v>0</v>
      </c>
      <c r="DB43" s="74">
        <f t="shared" si="43"/>
        <v>0</v>
      </c>
      <c r="DC43" s="74">
        <f t="shared" si="28"/>
        <v>0</v>
      </c>
      <c r="DD43" s="71">
        <f t="shared" si="16"/>
        <v>4.2999999999999999E-4</v>
      </c>
      <c r="DE43" s="71">
        <f t="shared" si="17"/>
        <v>40</v>
      </c>
      <c r="DF43" s="71">
        <v>0</v>
      </c>
      <c r="DG43" s="100" t="e">
        <f t="shared" si="21"/>
        <v>#DIV/0!</v>
      </c>
      <c r="DH43" s="110" t="e">
        <f t="shared" si="22"/>
        <v>#DIV/0!</v>
      </c>
    </row>
    <row r="44" spans="1:112" x14ac:dyDescent="0.15">
      <c r="A44" s="71" t="s">
        <v>63</v>
      </c>
      <c r="B44" s="71" t="s">
        <v>30</v>
      </c>
      <c r="C44" s="71" t="s">
        <v>168</v>
      </c>
      <c r="D44" s="71" t="s">
        <v>265</v>
      </c>
      <c r="E44" s="71" t="s">
        <v>555</v>
      </c>
      <c r="G44" s="71" t="s">
        <v>571</v>
      </c>
      <c r="I44" s="71" t="s">
        <v>592</v>
      </c>
      <c r="J44" s="71" t="s">
        <v>304</v>
      </c>
      <c r="K44" s="71" t="s">
        <v>611</v>
      </c>
      <c r="L44" s="71" t="s">
        <v>627</v>
      </c>
      <c r="M44" s="71" t="s">
        <v>647</v>
      </c>
      <c r="O44" s="71" t="s">
        <v>663</v>
      </c>
      <c r="Q44" s="71" t="s">
        <v>680</v>
      </c>
      <c r="S44" s="71" t="s">
        <v>697</v>
      </c>
      <c r="U44" s="71" t="s">
        <v>711</v>
      </c>
      <c r="W44" s="71" t="s">
        <v>728</v>
      </c>
      <c r="Y44" s="71" t="s">
        <v>746</v>
      </c>
      <c r="AC44" s="71" t="s">
        <v>780</v>
      </c>
      <c r="AD44" s="71" t="s">
        <v>233</v>
      </c>
      <c r="AH44" s="71" t="s">
        <v>321</v>
      </c>
      <c r="AI44" s="71" t="s">
        <v>815</v>
      </c>
      <c r="AJ44" s="71" t="s">
        <v>469</v>
      </c>
      <c r="AK44" s="71" t="s">
        <v>830</v>
      </c>
      <c r="AM44" s="71" t="s">
        <v>856</v>
      </c>
      <c r="AT44" s="71" t="s">
        <v>534</v>
      </c>
      <c r="CE44" s="71">
        <f t="shared" si="44"/>
        <v>22</v>
      </c>
      <c r="CF44" s="71">
        <f>CE44-CG44</f>
        <v>1</v>
      </c>
      <c r="CG44" s="71">
        <f>BatSplit(D44:CD44,InnsBattedIn)</f>
        <v>21</v>
      </c>
      <c r="CH44" s="71">
        <f>BatSplit(D44:CD44,NotOuts)</f>
        <v>2</v>
      </c>
      <c r="CI44" s="71">
        <f>BatSplit(D44:CD44,HighestScore)</f>
        <v>-131</v>
      </c>
      <c r="CJ44" s="75" t="str">
        <f t="shared" si="4"/>
        <v>131*</v>
      </c>
      <c r="CK44" s="71">
        <f>BatSplit(D44:CD44,RunsScored)</f>
        <v>723</v>
      </c>
      <c r="CL44" s="73">
        <f t="shared" si="27"/>
        <v>38.05263157894737</v>
      </c>
      <c r="CM44" s="71">
        <f>BatSplit(D44:CD44,BatPts)</f>
        <v>773</v>
      </c>
      <c r="CN44" s="71">
        <f>BatSplit(D44:CD44,FldPts)</f>
        <v>51</v>
      </c>
      <c r="CO44" s="74">
        <f t="array" ref="CO44">SUM(IF(ISERR(FIND("*",D44:CD44)),0,1))</f>
        <v>14</v>
      </c>
      <c r="CP44" s="74">
        <f t="array" ref="CP44">SUM(IF(ISERR(FIND("+",D44:CD44)),0,1))</f>
        <v>1</v>
      </c>
      <c r="CQ44" s="71">
        <f>BatSplit(D44:CD44,Ducks)</f>
        <v>0</v>
      </c>
      <c r="CR44" s="74">
        <f t="array" ref="CR44">SUM(IF(ISERR(FIND(CR$4,$D44:$CD44)),0,1))</f>
        <v>8</v>
      </c>
      <c r="CS44" s="74">
        <f t="array" ref="CS44">SUM(IF(ISERR(FIND(CS$4,$D44:$CD44)),0,1))</f>
        <v>11</v>
      </c>
      <c r="CT44" s="74">
        <f t="array" ref="CT44">SUM(IF(ISERR(FIND(CT$4,$D44:$CD44)),0,1))</f>
        <v>0</v>
      </c>
      <c r="CU44" s="74">
        <f t="array" ref="CU44">SUM(IF(ISERR(FIND(CU$4,$D44:$CD44)),0,1))</f>
        <v>0</v>
      </c>
      <c r="CV44" s="74">
        <f t="array" ref="CV44">SUM(IF(ISERR(FIND(CV$4,$D44:$CD44)),0,1))</f>
        <v>0</v>
      </c>
      <c r="CW44" s="74">
        <f t="array" ref="CW44">SUM(IF(ISERR(FIND(CW$4,$D44:$CD44)),0,1))</f>
        <v>0</v>
      </c>
      <c r="CX44" s="74">
        <f>BatSplit(D44:CD44,Catches)</f>
        <v>12</v>
      </c>
      <c r="CY44" s="74">
        <f>BatSplit(D44:CD44,Fours)</f>
        <v>95</v>
      </c>
      <c r="CZ44" s="74">
        <f>BatSplit(D44:CD44,Sixes)</f>
        <v>14</v>
      </c>
      <c r="DA44" s="74">
        <f>BatSplit(D44:CD44,Stumpings)</f>
        <v>0</v>
      </c>
      <c r="DB44" s="74">
        <f t="shared" si="43"/>
        <v>3</v>
      </c>
      <c r="DC44" s="74">
        <f t="shared" si="28"/>
        <v>10</v>
      </c>
      <c r="DD44" s="71">
        <f>ROUND(IF(ISERROR(CL44),0,CL44),2)*100000+CG44*100+CE44+CK44/100+ROW()/100000</f>
        <v>3807129.2304399996</v>
      </c>
      <c r="DE44" s="71">
        <f t="shared" si="17"/>
        <v>3</v>
      </c>
      <c r="DF44" s="71">
        <v>0</v>
      </c>
      <c r="DG44" s="100">
        <f t="shared" si="21"/>
        <v>0.64177040110650074</v>
      </c>
      <c r="DH44" s="110">
        <f t="shared" si="22"/>
        <v>0</v>
      </c>
    </row>
    <row r="45" spans="1:112" x14ac:dyDescent="0.15">
      <c r="B45" s="71" t="s">
        <v>326</v>
      </c>
      <c r="C45" s="71" t="s">
        <v>333</v>
      </c>
      <c r="P45" s="71" t="s">
        <v>327</v>
      </c>
      <c r="R45" s="71" t="s">
        <v>348</v>
      </c>
      <c r="T45" s="71" t="s">
        <v>367</v>
      </c>
      <c r="X45" s="71" t="s">
        <v>369</v>
      </c>
      <c r="AB45" s="71" t="s">
        <v>400</v>
      </c>
      <c r="AD45" s="71" t="s">
        <v>424</v>
      </c>
      <c r="AF45" s="71" t="s">
        <v>434</v>
      </c>
      <c r="AH45" s="71" t="s">
        <v>450</v>
      </c>
      <c r="AJ45" s="71" t="s">
        <v>475</v>
      </c>
      <c r="AN45" s="71" t="s">
        <v>502</v>
      </c>
      <c r="AP45" s="71" t="s">
        <v>523</v>
      </c>
      <c r="CE45" s="71">
        <f>BatSplit(D45:CD45,MatchesPlayed)</f>
        <v>11</v>
      </c>
      <c r="CF45" s="71">
        <f>CE45-CG45</f>
        <v>2</v>
      </c>
      <c r="CG45" s="71">
        <f>BatSplit(D45:CD45,InnsBattedIn)</f>
        <v>9</v>
      </c>
      <c r="CH45" s="71">
        <f>BatSplit(D45:CD45,NotOuts)</f>
        <v>2</v>
      </c>
      <c r="CI45" s="71">
        <f>BatSplit(D45:CD45,HighestScore)</f>
        <v>25</v>
      </c>
      <c r="CJ45" s="75">
        <f t="shared" si="4"/>
        <v>25</v>
      </c>
      <c r="CK45" s="71">
        <f>BatSplit(D45:CD45,RunsScored)</f>
        <v>57</v>
      </c>
      <c r="CL45" s="73">
        <f t="shared" si="27"/>
        <v>8.1428571428571423</v>
      </c>
      <c r="CM45" s="71">
        <f>BatSplit(D45:CD45,BatPts)</f>
        <v>47</v>
      </c>
      <c r="CN45" s="71">
        <f>BatSplit(D45:CD45,FldPts)</f>
        <v>20</v>
      </c>
      <c r="CO45" s="74">
        <f t="array" ref="CO45">SUM(IF(ISERR(FIND("*",D45:CD45)),0,1))</f>
        <v>0</v>
      </c>
      <c r="CP45" s="74">
        <f t="array" ref="CP45">SUM(IF(ISERR(FIND("+",D45:CD45)),0,1))</f>
        <v>0</v>
      </c>
      <c r="CQ45" s="71">
        <f>BatSplit(D45:CD45,Ducks)</f>
        <v>2</v>
      </c>
      <c r="CR45" s="74">
        <f t="array" ref="CR45">SUM(IF(ISERR(FIND(CR$4,$D45:$CD45)),0,1))</f>
        <v>4</v>
      </c>
      <c r="CS45" s="74">
        <f t="array" ref="CS45">SUM(IF(ISERR(FIND(CS$4,$D45:$CD45)),0,1))</f>
        <v>2</v>
      </c>
      <c r="CT45" s="74">
        <f t="array" ref="CT45">SUM(IF(ISERR(FIND(CT$4,$D45:$CD45)),0,1))</f>
        <v>0</v>
      </c>
      <c r="CU45" s="74">
        <f t="array" ref="CU45">SUM(IF(ISERR(FIND(CU$4,$D45:$CD45)),0,1))</f>
        <v>0</v>
      </c>
      <c r="CV45" s="74">
        <f t="array" ref="CV45">SUM(IF(ISERR(FIND(CV$4,$D45:$CD45)),0,1))</f>
        <v>1</v>
      </c>
      <c r="CW45" s="74">
        <f t="array" ref="CW45">SUM(IF(ISERR(FIND(CW$4,$D45:$CD45)),0,1))</f>
        <v>0</v>
      </c>
      <c r="CX45" s="74">
        <f>BatSplit(D45:CD45,Catches)</f>
        <v>4</v>
      </c>
      <c r="CY45" s="74">
        <f>BatSplit(D45:CD45,Fours)</f>
        <v>5</v>
      </c>
      <c r="CZ45" s="74">
        <f>BatSplit(D45:CD45,Sixes)</f>
        <v>0</v>
      </c>
      <c r="DA45" s="74">
        <f>BatSplit(D45:CD45,Stumpings)</f>
        <v>0</v>
      </c>
      <c r="DB45" s="74">
        <f>BatSplit(D45:CD45,CaughtWkt)</f>
        <v>0</v>
      </c>
      <c r="DC45" s="74">
        <f t="shared" si="28"/>
        <v>1</v>
      </c>
      <c r="DD45" s="71">
        <f>ROUND(IF(ISERROR(CL45),0,CL45),2)*100000+CG45*100+CE45+CK45/100+ROW()/100000</f>
        <v>814911.57045</v>
      </c>
      <c r="DE45" s="71">
        <f t="shared" si="17"/>
        <v>23</v>
      </c>
      <c r="DF45" s="71">
        <v>0</v>
      </c>
      <c r="DG45" s="100">
        <f>(CY45*4+CZ45*6)/CK45</f>
        <v>0.35087719298245612</v>
      </c>
      <c r="DH45" s="110">
        <f>CQ45/(CG45-CH45)</f>
        <v>0.2857142857142857</v>
      </c>
    </row>
    <row r="46" spans="1:112" x14ac:dyDescent="0.15">
      <c r="A46" s="71" t="s">
        <v>68</v>
      </c>
      <c r="B46" s="71" t="s">
        <v>27</v>
      </c>
      <c r="C46" s="71" t="s">
        <v>169</v>
      </c>
      <c r="D46" s="71" t="s">
        <v>233</v>
      </c>
      <c r="F46" s="71" t="s">
        <v>292</v>
      </c>
      <c r="J46" s="71" t="s">
        <v>300</v>
      </c>
      <c r="K46" s="71" t="s">
        <v>609</v>
      </c>
      <c r="L46" s="71" t="s">
        <v>626</v>
      </c>
      <c r="M46" s="71" t="s">
        <v>646</v>
      </c>
      <c r="P46" s="71" t="s">
        <v>325</v>
      </c>
      <c r="R46" s="71" t="s">
        <v>342</v>
      </c>
      <c r="X46" s="71" t="s">
        <v>378</v>
      </c>
      <c r="AA46" s="71" t="s">
        <v>760</v>
      </c>
      <c r="AD46" s="71" t="s">
        <v>422</v>
      </c>
      <c r="AF46" s="71" t="s">
        <v>428</v>
      </c>
      <c r="AH46" s="71" t="s">
        <v>445</v>
      </c>
      <c r="AJ46" s="71" t="s">
        <v>470</v>
      </c>
      <c r="AL46" s="71" t="s">
        <v>488</v>
      </c>
      <c r="AN46" s="71" t="s">
        <v>498</v>
      </c>
      <c r="AP46" s="71" t="s">
        <v>516</v>
      </c>
      <c r="AT46" s="71" t="s">
        <v>531</v>
      </c>
      <c r="CE46" s="71">
        <f t="shared" si="44"/>
        <v>18</v>
      </c>
      <c r="CF46" s="71">
        <f t="shared" si="45"/>
        <v>2</v>
      </c>
      <c r="CG46" s="71">
        <f t="shared" si="46"/>
        <v>16</v>
      </c>
      <c r="CH46" s="71">
        <f t="shared" si="47"/>
        <v>1</v>
      </c>
      <c r="CI46" s="71">
        <f t="shared" si="48"/>
        <v>18</v>
      </c>
      <c r="CJ46" s="75">
        <f t="shared" si="4"/>
        <v>18</v>
      </c>
      <c r="CK46" s="71">
        <f t="shared" si="49"/>
        <v>106</v>
      </c>
      <c r="CL46" s="73">
        <f t="shared" si="27"/>
        <v>7.0666666666666664</v>
      </c>
      <c r="CM46" s="71">
        <f t="shared" si="50"/>
        <v>96</v>
      </c>
      <c r="CN46" s="71">
        <f t="shared" si="51"/>
        <v>16</v>
      </c>
      <c r="CO46" s="74">
        <f t="array" ref="CO46">SUM(IF(ISERR(FIND("*",D46:CD46)),0,1))</f>
        <v>2</v>
      </c>
      <c r="CP46" s="74">
        <f t="array" ref="CP46">SUM(IF(ISERR(FIND("+",D46:CD46)),0,1))</f>
        <v>4</v>
      </c>
      <c r="CQ46" s="71">
        <f t="shared" si="52"/>
        <v>2</v>
      </c>
      <c r="CR46" s="74">
        <f t="array" ref="CR46">SUM(IF(ISERR(FIND(CR$4,$D46:$CD46)),0,1))</f>
        <v>8</v>
      </c>
      <c r="CS46" s="74">
        <f t="array" ref="CS46">SUM(IF(ISERR(FIND(CS$4,$D46:$CD46)),0,1))</f>
        <v>3</v>
      </c>
      <c r="CT46" s="74">
        <f t="array" ref="CT46">SUM(IF(ISERR(FIND(CT$4,$D46:$CD46)),0,1))</f>
        <v>2</v>
      </c>
      <c r="CU46" s="74">
        <f t="array" ref="CU46">SUM(IF(ISERR(FIND(CU$4,$D46:$CD46)),0,1))</f>
        <v>0</v>
      </c>
      <c r="CV46" s="74">
        <f t="array" ref="CV46">SUM(IF(ISERR(FIND(CV$4,$D46:$CD46)),0,1))</f>
        <v>2</v>
      </c>
      <c r="CW46" s="74">
        <f t="array" ref="CW46">SUM(IF(ISERR(FIND(CW$4,$D46:$CD46)),0,1))</f>
        <v>0</v>
      </c>
      <c r="CX46" s="74">
        <f t="shared" si="53"/>
        <v>5</v>
      </c>
      <c r="CY46" s="74">
        <f t="shared" si="54"/>
        <v>7</v>
      </c>
      <c r="CZ46" s="74">
        <f t="shared" si="55"/>
        <v>0</v>
      </c>
      <c r="DA46" s="74">
        <f t="shared" si="56"/>
        <v>0</v>
      </c>
      <c r="DB46" s="74">
        <f t="shared" si="43"/>
        <v>3</v>
      </c>
      <c r="DC46" s="74">
        <f t="shared" si="28"/>
        <v>0</v>
      </c>
      <c r="DD46" s="71">
        <f t="shared" si="16"/>
        <v>708619.06046000007</v>
      </c>
      <c r="DE46" s="71">
        <f t="shared" si="17"/>
        <v>26</v>
      </c>
      <c r="DF46" s="71">
        <v>1</v>
      </c>
      <c r="DG46" s="100">
        <f t="shared" si="21"/>
        <v>0.26415094339622641</v>
      </c>
      <c r="DH46" s="110">
        <f t="shared" si="22"/>
        <v>0.13333333333333333</v>
      </c>
    </row>
    <row r="47" spans="1:112" x14ac:dyDescent="0.15">
      <c r="A47" s="71" t="s">
        <v>64</v>
      </c>
      <c r="B47" s="71" t="s">
        <v>34</v>
      </c>
      <c r="C47" s="71" t="s">
        <v>170</v>
      </c>
      <c r="F47" s="71" t="s">
        <v>283</v>
      </c>
      <c r="O47" s="71" t="s">
        <v>665</v>
      </c>
      <c r="R47" s="71" t="s">
        <v>345</v>
      </c>
      <c r="T47" s="71" t="s">
        <v>370</v>
      </c>
      <c r="AB47" s="71" t="s">
        <v>401</v>
      </c>
      <c r="AC47" s="71" t="s">
        <v>301</v>
      </c>
      <c r="AG47" s="71" t="s">
        <v>796</v>
      </c>
      <c r="AH47" s="71" t="s">
        <v>448</v>
      </c>
      <c r="AL47" s="71" t="s">
        <v>905</v>
      </c>
      <c r="AN47" s="71" t="s">
        <v>306</v>
      </c>
      <c r="AP47" s="71" t="s">
        <v>518</v>
      </c>
      <c r="AS47" s="71" t="s">
        <v>863</v>
      </c>
      <c r="AT47" s="71" t="s">
        <v>533</v>
      </c>
      <c r="CE47" s="71">
        <f t="shared" si="44"/>
        <v>13</v>
      </c>
      <c r="CF47" s="71">
        <f t="shared" si="45"/>
        <v>0</v>
      </c>
      <c r="CG47" s="71">
        <f t="shared" si="46"/>
        <v>13</v>
      </c>
      <c r="CH47" s="71">
        <f t="shared" si="47"/>
        <v>2</v>
      </c>
      <c r="CI47" s="71">
        <f t="shared" si="48"/>
        <v>65</v>
      </c>
      <c r="CJ47" s="75">
        <f t="shared" si="4"/>
        <v>65</v>
      </c>
      <c r="CK47" s="71">
        <f t="shared" si="49"/>
        <v>254</v>
      </c>
      <c r="CL47" s="73">
        <f t="shared" si="27"/>
        <v>23.09090909090909</v>
      </c>
      <c r="CM47" s="71">
        <f t="shared" si="50"/>
        <v>244</v>
      </c>
      <c r="CN47" s="71">
        <f t="shared" si="51"/>
        <v>20</v>
      </c>
      <c r="CO47" s="74">
        <f t="array" ref="CO47">SUM(IF(ISERR(FIND("*",D47:CD47)),0,1))</f>
        <v>0</v>
      </c>
      <c r="CP47" s="74">
        <f t="array" ref="CP47">SUM(IF(ISERR(FIND("+",D47:CD47)),0,1))</f>
        <v>6</v>
      </c>
      <c r="CQ47" s="71">
        <f t="shared" si="52"/>
        <v>4</v>
      </c>
      <c r="CR47" s="74">
        <f t="array" ref="CR47">SUM(IF(ISERR(FIND(CR$4,$D47:$CD47)),0,1))</f>
        <v>5</v>
      </c>
      <c r="CS47" s="74">
        <f t="array" ref="CS47">SUM(IF(ISERR(FIND(CS$4,$D47:$CD47)),0,1))</f>
        <v>2</v>
      </c>
      <c r="CT47" s="74">
        <f t="array" ref="CT47">SUM(IF(ISERR(FIND(CT$4,$D47:$CD47)),0,1))</f>
        <v>3</v>
      </c>
      <c r="CU47" s="74">
        <f t="array" ref="CU47">SUM(IF(ISERR(FIND(CU$4,$D47:$CD47)),0,1))</f>
        <v>0</v>
      </c>
      <c r="CV47" s="74">
        <f t="array" ref="CV47">SUM(IF(ISERR(FIND(CV$4,$D47:$CD47)),0,1))</f>
        <v>1</v>
      </c>
      <c r="CW47" s="74">
        <f t="array" ref="CW47">SUM(IF(ISERR(FIND(CW$4,$D47:$CD47)),0,1))</f>
        <v>0</v>
      </c>
      <c r="CX47" s="74">
        <f t="shared" si="53"/>
        <v>2</v>
      </c>
      <c r="CY47" s="74">
        <f t="shared" si="54"/>
        <v>30</v>
      </c>
      <c r="CZ47" s="74">
        <f t="shared" si="55"/>
        <v>2</v>
      </c>
      <c r="DA47" s="74">
        <f t="shared" si="56"/>
        <v>1</v>
      </c>
      <c r="DB47" s="74">
        <f t="shared" si="43"/>
        <v>0</v>
      </c>
      <c r="DC47" s="74">
        <f t="shared" si="28"/>
        <v>6</v>
      </c>
      <c r="DD47" s="71">
        <f t="shared" si="16"/>
        <v>2310315.5404699999</v>
      </c>
      <c r="DE47" s="71">
        <f t="shared" si="17"/>
        <v>8</v>
      </c>
      <c r="DF47" s="71">
        <v>0</v>
      </c>
      <c r="DG47" s="100">
        <f t="shared" si="21"/>
        <v>0.51968503937007871</v>
      </c>
      <c r="DH47" s="110">
        <f t="shared" si="22"/>
        <v>0.36363636363636365</v>
      </c>
    </row>
    <row r="48" spans="1:112" x14ac:dyDescent="0.15">
      <c r="A48" s="71" t="s">
        <v>65</v>
      </c>
      <c r="B48" s="71" t="s">
        <v>35</v>
      </c>
      <c r="C48" s="71" t="s">
        <v>66</v>
      </c>
      <c r="E48" s="71" t="s">
        <v>538</v>
      </c>
      <c r="G48" s="71" t="s">
        <v>577</v>
      </c>
      <c r="I48" s="71" t="s">
        <v>599</v>
      </c>
      <c r="O48" s="71" t="s">
        <v>668</v>
      </c>
      <c r="S48" s="71" t="s">
        <v>698</v>
      </c>
      <c r="U48" s="71" t="s">
        <v>715</v>
      </c>
      <c r="W48" s="71" t="s">
        <v>369</v>
      </c>
      <c r="Y48" s="71" t="s">
        <v>752</v>
      </c>
      <c r="AA48" s="71" t="s">
        <v>768</v>
      </c>
      <c r="AS48" s="71" t="s">
        <v>234</v>
      </c>
      <c r="AT48" s="71" t="s">
        <v>231</v>
      </c>
      <c r="CE48" s="71">
        <f t="shared" si="44"/>
        <v>11</v>
      </c>
      <c r="CF48" s="71">
        <f t="shared" si="45"/>
        <v>4</v>
      </c>
      <c r="CG48" s="71">
        <f t="shared" si="46"/>
        <v>7</v>
      </c>
      <c r="CH48" s="71">
        <f t="shared" si="47"/>
        <v>4</v>
      </c>
      <c r="CI48" s="71">
        <f t="shared" si="48"/>
        <v>-31</v>
      </c>
      <c r="CJ48" s="75" t="str">
        <f t="shared" si="4"/>
        <v>31*</v>
      </c>
      <c r="CK48" s="71">
        <f t="shared" si="49"/>
        <v>80</v>
      </c>
      <c r="CL48" s="73">
        <f t="shared" si="27"/>
        <v>26.666666666666668</v>
      </c>
      <c r="CM48" s="71">
        <f t="shared" si="50"/>
        <v>75</v>
      </c>
      <c r="CN48" s="71">
        <f t="shared" si="51"/>
        <v>5</v>
      </c>
      <c r="CO48" s="74">
        <f t="array" ref="CO48">SUM(IF(ISERR(FIND("*",D48:CD48)),0,1))</f>
        <v>0</v>
      </c>
      <c r="CP48" s="74">
        <f t="array" ref="CP48">SUM(IF(ISERR(FIND("+",D48:CD48)),0,1))</f>
        <v>0</v>
      </c>
      <c r="CQ48" s="71">
        <f t="shared" si="52"/>
        <v>1</v>
      </c>
      <c r="CR48" s="74">
        <f t="array" ref="CR48">SUM(IF(ISERR(FIND(CR$4,$D48:$CD48)),0,1))</f>
        <v>0</v>
      </c>
      <c r="CS48" s="74">
        <f t="array" ref="CS48">SUM(IF(ISERR(FIND(CS$4,$D48:$CD48)),0,1))</f>
        <v>0</v>
      </c>
      <c r="CT48" s="74">
        <f t="array" ref="CT48">SUM(IF(ISERR(FIND(CT$4,$D48:$CD48)),0,1))</f>
        <v>2</v>
      </c>
      <c r="CU48" s="74">
        <f t="array" ref="CU48">SUM(IF(ISERR(FIND(CU$4,$D48:$CD48)),0,1))</f>
        <v>0</v>
      </c>
      <c r="CV48" s="74">
        <f t="array" ref="CV48">SUM(IF(ISERR(FIND(CV$4,$D48:$CD48)),0,1))</f>
        <v>0</v>
      </c>
      <c r="CW48" s="74">
        <f t="array" ref="CW48">SUM(IF(ISERR(FIND(CW$4,$D48:$CD48)),0,1))</f>
        <v>1</v>
      </c>
      <c r="CX48" s="74">
        <f t="shared" si="53"/>
        <v>1</v>
      </c>
      <c r="CY48" s="74">
        <f t="shared" si="54"/>
        <v>8</v>
      </c>
      <c r="CZ48" s="74">
        <f t="shared" si="55"/>
        <v>1</v>
      </c>
      <c r="DA48" s="74">
        <f t="shared" si="56"/>
        <v>0</v>
      </c>
      <c r="DB48" s="74">
        <f t="shared" si="43"/>
        <v>0</v>
      </c>
      <c r="DC48" s="74">
        <f t="shared" si="28"/>
        <v>2</v>
      </c>
      <c r="DD48" s="71">
        <f t="shared" si="16"/>
        <v>2667711.8004799997</v>
      </c>
      <c r="DE48" s="71">
        <f t="shared" si="17"/>
        <v>5</v>
      </c>
      <c r="DF48" s="71">
        <v>0</v>
      </c>
      <c r="DG48" s="100">
        <f t="shared" si="21"/>
        <v>0.47499999999999998</v>
      </c>
      <c r="DH48" s="110">
        <f t="shared" si="22"/>
        <v>0.33333333333333331</v>
      </c>
    </row>
    <row r="49" spans="1:112" x14ac:dyDescent="0.15">
      <c r="C49" s="71" t="s">
        <v>593</v>
      </c>
      <c r="I49" s="71" t="s">
        <v>594</v>
      </c>
      <c r="CE49" s="71">
        <f>BatSplit(D49:CD49,MatchesPlayed)</f>
        <v>1</v>
      </c>
      <c r="CF49" s="71">
        <f>CE49-CG49</f>
        <v>0</v>
      </c>
      <c r="CG49" s="71">
        <f>BatSplit(D49:CD49,InnsBattedIn)</f>
        <v>1</v>
      </c>
      <c r="CH49" s="71">
        <f>BatSplit(D49:CD49,NotOuts)</f>
        <v>0</v>
      </c>
      <c r="CI49" s="71">
        <f>BatSplit(D49:CD49,HighestScore)</f>
        <v>25</v>
      </c>
      <c r="CJ49" s="75">
        <f t="shared" si="4"/>
        <v>25</v>
      </c>
      <c r="CK49" s="71">
        <f>BatSplit(D49:CD49,RunsScored)</f>
        <v>25</v>
      </c>
      <c r="CL49" s="73">
        <f>IF(CG49=CH49,0,CK49/(CG49-CH49))</f>
        <v>25</v>
      </c>
      <c r="CM49" s="71">
        <f>BatSplit(D49:CD49,BatPts)</f>
        <v>25</v>
      </c>
      <c r="CN49" s="71">
        <f>BatSplit(D49:CD49,FldPts)</f>
        <v>0</v>
      </c>
      <c r="CO49" s="74">
        <f t="array" ref="CO49">SUM(IF(ISERR(FIND("*",D49:CD49)),0,1))</f>
        <v>0</v>
      </c>
      <c r="CP49" s="74">
        <f t="array" ref="CP49">SUM(IF(ISERR(FIND("+",D49:CD49)),0,1))</f>
        <v>0</v>
      </c>
      <c r="CQ49" s="71">
        <f>BatSplit(D49:CD49,Ducks)</f>
        <v>0</v>
      </c>
      <c r="CR49" s="74">
        <f t="array" ref="CR49">SUM(IF(ISERR(FIND(CR$4,$D49:$CD49)),0,1))</f>
        <v>1</v>
      </c>
      <c r="CS49" s="74">
        <f t="array" ref="CS49">SUM(IF(ISERR(FIND(CS$4,$D49:$CD49)),0,1))</f>
        <v>0</v>
      </c>
      <c r="CT49" s="74">
        <f t="array" ref="CT49">SUM(IF(ISERR(FIND(CT$4,$D49:$CD49)),0,1))</f>
        <v>0</v>
      </c>
      <c r="CU49" s="74">
        <f t="array" ref="CU49">SUM(IF(ISERR(FIND(CU$4,$D49:$CD49)),0,1))</f>
        <v>0</v>
      </c>
      <c r="CV49" s="74">
        <f t="array" ref="CV49">SUM(IF(ISERR(FIND(CV$4,$D49:$CD49)),0,1))</f>
        <v>0</v>
      </c>
      <c r="CW49" s="74">
        <f t="array" ref="CW49">SUM(IF(ISERR(FIND(CW$4,$D49:$CD49)),0,1))</f>
        <v>0</v>
      </c>
      <c r="CX49" s="74">
        <f>BatSplit(D49:CD49,Catches)</f>
        <v>0</v>
      </c>
      <c r="CY49" s="74">
        <f>BatSplit(D49:CD49,Fours)</f>
        <v>3</v>
      </c>
      <c r="CZ49" s="74">
        <f>BatSplit(D49:CD49,Sixes)</f>
        <v>1</v>
      </c>
      <c r="DA49" s="74">
        <f>BatSplit(D49:CD49,Stumpings)</f>
        <v>0</v>
      </c>
      <c r="DB49" s="74">
        <f>BatSplit(D49:CD49,CaughtWkt)</f>
        <v>0</v>
      </c>
      <c r="DC49" s="74">
        <f>BatSplit(D49:CD49,TwentyFives)</f>
        <v>1</v>
      </c>
      <c r="DD49" s="71">
        <f>ROUND(IF(ISERROR(CL49),0,CL49),2)*100000+CG49*100+CE49+CK49/100+ROW()/100000</f>
        <v>2500101.25049</v>
      </c>
      <c r="DE49" s="71">
        <f t="shared" si="17"/>
        <v>7</v>
      </c>
      <c r="DF49" s="71">
        <v>0</v>
      </c>
      <c r="DG49" s="100">
        <f>(CY49*4+CZ49*6)/CK49</f>
        <v>0.72</v>
      </c>
      <c r="DH49" s="110">
        <f>CQ49/(CG49-CH49)</f>
        <v>0</v>
      </c>
    </row>
    <row r="50" spans="1:112" x14ac:dyDescent="0.15">
      <c r="A50" s="71" t="s">
        <v>67</v>
      </c>
      <c r="B50" s="71" t="s">
        <v>36</v>
      </c>
      <c r="C50" s="71" t="s">
        <v>171</v>
      </c>
      <c r="D50" s="71" t="s">
        <v>250</v>
      </c>
      <c r="R50" s="71" t="s">
        <v>349</v>
      </c>
      <c r="T50" s="71" t="s">
        <v>231</v>
      </c>
      <c r="X50" s="71" t="s">
        <v>379</v>
      </c>
      <c r="AB50" s="71" t="s">
        <v>404</v>
      </c>
      <c r="AD50" s="71" t="s">
        <v>425</v>
      </c>
      <c r="AF50" s="71" t="s">
        <v>436</v>
      </c>
      <c r="AH50" s="71" t="s">
        <v>453</v>
      </c>
      <c r="AJ50" s="71" t="s">
        <v>268</v>
      </c>
      <c r="AN50" s="71" t="s">
        <v>507</v>
      </c>
      <c r="AT50" s="71" t="s">
        <v>538</v>
      </c>
      <c r="CE50" s="71">
        <f t="shared" si="44"/>
        <v>11</v>
      </c>
      <c r="CF50" s="71">
        <f t="shared" si="45"/>
        <v>5</v>
      </c>
      <c r="CG50" s="71">
        <f t="shared" si="46"/>
        <v>6</v>
      </c>
      <c r="CH50" s="71">
        <f t="shared" si="47"/>
        <v>2</v>
      </c>
      <c r="CI50" s="71">
        <f t="shared" si="48"/>
        <v>13</v>
      </c>
      <c r="CJ50" s="75">
        <f t="shared" si="4"/>
        <v>13</v>
      </c>
      <c r="CK50" s="71">
        <f t="shared" si="49"/>
        <v>28</v>
      </c>
      <c r="CL50" s="73">
        <f t="shared" si="27"/>
        <v>7</v>
      </c>
      <c r="CM50" s="71">
        <f t="shared" si="50"/>
        <v>23</v>
      </c>
      <c r="CN50" s="71">
        <f t="shared" si="51"/>
        <v>30</v>
      </c>
      <c r="CO50" s="74">
        <f t="array" ref="CO50">SUM(IF(ISERR(FIND("*",D50:CD50)),0,1))</f>
        <v>2</v>
      </c>
      <c r="CP50" s="74">
        <f t="array" ref="CP50">SUM(IF(ISERR(FIND("+",D50:CD50)),0,1))</f>
        <v>0</v>
      </c>
      <c r="CQ50" s="71">
        <f t="shared" si="52"/>
        <v>1</v>
      </c>
      <c r="CR50" s="74">
        <f t="array" ref="CR50">SUM(IF(ISERR(FIND(CR$4,$D50:$CD50)),0,1))</f>
        <v>3</v>
      </c>
      <c r="CS50" s="74">
        <f t="array" ref="CS50">SUM(IF(ISERR(FIND(CS$4,$D50:$CD50)),0,1))</f>
        <v>1</v>
      </c>
      <c r="CT50" s="74">
        <f t="array" ref="CT50">SUM(IF(ISERR(FIND(CT$4,$D50:$CD50)),0,1))</f>
        <v>0</v>
      </c>
      <c r="CU50" s="74">
        <f t="array" ref="CU50">SUM(IF(ISERR(FIND(CU$4,$D50:$CD50)),0,1))</f>
        <v>0</v>
      </c>
      <c r="CV50" s="74">
        <f t="array" ref="CV50">SUM(IF(ISERR(FIND(CV$4,$D50:$CD50)),0,1))</f>
        <v>0</v>
      </c>
      <c r="CW50" s="74">
        <f t="array" ref="CW50">SUM(IF(ISERR(FIND(CW$4,$D50:$CD50)),0,1))</f>
        <v>0</v>
      </c>
      <c r="CX50" s="74">
        <f t="shared" si="53"/>
        <v>6</v>
      </c>
      <c r="CY50" s="74">
        <f t="shared" si="54"/>
        <v>5</v>
      </c>
      <c r="CZ50" s="74">
        <f t="shared" si="55"/>
        <v>0</v>
      </c>
      <c r="DA50" s="74">
        <f t="shared" si="56"/>
        <v>0</v>
      </c>
      <c r="DB50" s="74">
        <f t="shared" si="43"/>
        <v>0</v>
      </c>
      <c r="DC50" s="74">
        <f t="shared" si="28"/>
        <v>0</v>
      </c>
      <c r="DD50" s="71">
        <f t="shared" si="16"/>
        <v>700611.28049999999</v>
      </c>
      <c r="DE50" s="71">
        <f t="shared" si="17"/>
        <v>27</v>
      </c>
      <c r="DF50" s="71">
        <v>0</v>
      </c>
      <c r="DG50" s="100">
        <f t="shared" si="21"/>
        <v>0.7142857142857143</v>
      </c>
      <c r="DH50" s="110">
        <f t="shared" si="22"/>
        <v>0.25</v>
      </c>
    </row>
    <row r="51" spans="1:112" x14ac:dyDescent="0.15">
      <c r="CJ51" s="75"/>
      <c r="CL51" s="73"/>
      <c r="CO51" s="74"/>
      <c r="CP51" s="74"/>
      <c r="CR51" s="74"/>
      <c r="CS51" s="74"/>
      <c r="CT51" s="74"/>
      <c r="CU51" s="74"/>
      <c r="CV51" s="74"/>
      <c r="CW51" s="74"/>
    </row>
    <row r="52" spans="1:112" x14ac:dyDescent="0.15">
      <c r="CO52" s="101">
        <f t="shared" ref="CO52:DC52" si="57">SUM(CO5:CO51)</f>
        <v>35</v>
      </c>
      <c r="CP52" s="101">
        <f t="shared" si="57"/>
        <v>35</v>
      </c>
      <c r="CQ52" s="62">
        <f t="shared" si="57"/>
        <v>52</v>
      </c>
      <c r="CR52" s="77">
        <f t="shared" si="57"/>
        <v>110</v>
      </c>
      <c r="CS52" s="77">
        <f t="shared" si="57"/>
        <v>109</v>
      </c>
      <c r="CT52" s="77">
        <f t="shared" si="57"/>
        <v>27</v>
      </c>
      <c r="CU52" s="77">
        <f t="shared" si="57"/>
        <v>5</v>
      </c>
      <c r="CV52" s="77">
        <f t="shared" si="57"/>
        <v>12</v>
      </c>
      <c r="CW52" s="77"/>
      <c r="CX52" s="62">
        <f t="shared" si="57"/>
        <v>111</v>
      </c>
      <c r="CY52" s="62">
        <f t="shared" si="57"/>
        <v>469</v>
      </c>
      <c r="CZ52" s="62">
        <f t="shared" si="57"/>
        <v>35</v>
      </c>
      <c r="DA52" s="62">
        <f t="shared" si="57"/>
        <v>11</v>
      </c>
      <c r="DB52" s="62">
        <f t="shared" si="57"/>
        <v>28</v>
      </c>
      <c r="DC52" s="62">
        <f t="shared" si="57"/>
        <v>48</v>
      </c>
    </row>
    <row r="53" spans="1:112" x14ac:dyDescent="0.15">
      <c r="C53" s="71" t="s">
        <v>140</v>
      </c>
      <c r="D53" s="71">
        <f t="array" ref="D53">SUM(IF(NOT(ISERR(FIND("*",D5:D50))),1,0))</f>
        <v>1</v>
      </c>
      <c r="E53" s="71">
        <f t="array" ref="E53">SUM(IF(NOT(ISERR(FIND("*",E5:E50))),1,0))</f>
        <v>1</v>
      </c>
      <c r="F53" s="71">
        <f t="array" ref="F53">SUM(IF(NOT(ISERR(FIND("*",F5:F50))),1,0))</f>
        <v>1</v>
      </c>
      <c r="G53" s="71">
        <f t="array" ref="G53">SUM(IF(NOT(ISERR(FIND("*",G5:G50))),1,0))</f>
        <v>1</v>
      </c>
      <c r="H53" s="71">
        <f t="array" ref="H53">SUM(IF(NOT(ISERR(FIND("*",H5:H50))),1,0))</f>
        <v>0</v>
      </c>
      <c r="I53" s="71">
        <f t="array" ref="I53">SUM(IF(NOT(ISERR(FIND("*",I5:I50))),1,0))</f>
        <v>1</v>
      </c>
      <c r="J53" s="71">
        <f t="array" ref="J53">SUM(IF(NOT(ISERR(FIND("*",J5:J50))),1,0))</f>
        <v>1</v>
      </c>
      <c r="K53" s="71">
        <f t="array" ref="K53">SUM(IF(NOT(ISERR(FIND("*",K5:K50))),1,0))</f>
        <v>1</v>
      </c>
      <c r="L53" s="71">
        <f t="array" ref="L53">SUM(IF(NOT(ISERR(FIND("*",L5:L50))),1,0))</f>
        <v>1</v>
      </c>
      <c r="M53" s="71">
        <f t="array" ref="M53">SUM(IF(NOT(ISERR(FIND("*",M5:M50))),1,0))</f>
        <v>1</v>
      </c>
      <c r="N53" s="71">
        <f t="array" ref="N53">SUM(IF(NOT(ISERR(FIND("*",N5:N50))),1,0))</f>
        <v>0</v>
      </c>
      <c r="O53" s="71">
        <f t="array" ref="O53">SUM(IF(NOT(ISERR(FIND("*",O5:O50))),1,0))</f>
        <v>1</v>
      </c>
      <c r="P53" s="71">
        <f t="array" ref="P53">SUM(IF(NOT(ISERR(FIND("*",P5:P50))),1,0))</f>
        <v>1</v>
      </c>
      <c r="Q53" s="71">
        <f t="array" ref="Q53">SUM(IF(NOT(ISERR(FIND("*",Q5:Q50))),1,0))</f>
        <v>1</v>
      </c>
      <c r="R53" s="71">
        <f t="array" ref="R53">SUM(IF(NOT(ISERR(FIND("*",R5:R50))),1,0))</f>
        <v>1</v>
      </c>
      <c r="S53" s="71">
        <f t="array" ref="S53">SUM(IF(NOT(ISERR(FIND("*",S5:S50))),1,0))</f>
        <v>1</v>
      </c>
      <c r="T53" s="71">
        <f t="array" ref="T53">SUM(IF(NOT(ISERR(FIND("*",T5:T50))),1,0))</f>
        <v>1</v>
      </c>
      <c r="U53" s="71">
        <f t="array" ref="U53">SUM(IF(NOT(ISERR(FIND("*",U5:U50))),1,0))</f>
        <v>1</v>
      </c>
      <c r="V53" s="71">
        <f t="array" ref="V53">SUM(IF(NOT(ISERR(FIND("*",V5:V50))),1,0))</f>
        <v>0</v>
      </c>
      <c r="W53" s="71">
        <f t="array" ref="W53">SUM(IF(NOT(ISERR(FIND("*",W5:W50))),1,0))</f>
        <v>1</v>
      </c>
      <c r="X53" s="71">
        <f t="array" ref="X53">SUM(IF(NOT(ISERR(FIND("*",X5:X50))),1,0))</f>
        <v>1</v>
      </c>
      <c r="Y53" s="71">
        <f t="array" ref="Y53">SUM(IF(NOT(ISERR(FIND("*",Y5:Y50))),1,0))</f>
        <v>1</v>
      </c>
      <c r="Z53" s="71">
        <f t="array" ref="Z53">SUM(IF(NOT(ISERR(FIND("*",Z5:Z50))),1,0))</f>
        <v>0</v>
      </c>
      <c r="AA53" s="71">
        <f t="array" ref="AA53">SUM(IF(NOT(ISERR(FIND("*",AA5:AA50))),1,0))</f>
        <v>1</v>
      </c>
      <c r="AB53" s="71">
        <f t="array" ref="AB53">SUM(IF(NOT(ISERR(FIND("*",AB5:AB50))),1,0))</f>
        <v>1</v>
      </c>
      <c r="AC53" s="71">
        <f t="array" ref="AC53">SUM(IF(NOT(ISERR(FIND("*",AC5:AC50))),1,0))</f>
        <v>1</v>
      </c>
      <c r="AD53" s="71">
        <f t="array" ref="AD53">SUM(IF(NOT(ISERR(FIND("*",AD5:AD50))),1,0))</f>
        <v>1</v>
      </c>
      <c r="AE53" s="71">
        <f t="array" ref="AE53">SUM(IF(NOT(ISERR(FIND("*",AE5:AE50))),1,0))</f>
        <v>0</v>
      </c>
      <c r="AF53" s="71">
        <f t="array" ref="AF53">SUM(IF(NOT(ISERR(FIND("*",AF5:AF50))),1,0))</f>
        <v>1</v>
      </c>
      <c r="AG53" s="71">
        <f t="array" ref="AG53">SUM(IF(NOT(ISERR(FIND("*",AG5:AG50))),1,0))</f>
        <v>1</v>
      </c>
      <c r="AH53" s="71">
        <f t="array" ref="AH53">SUM(IF(NOT(ISERR(FIND("*",AH5:AH50))),1,0))</f>
        <v>1</v>
      </c>
      <c r="AI53" s="71">
        <f t="array" ref="AI53">SUM(IF(NOT(ISERR(FIND("*",AI5:AI50))),1,0))</f>
        <v>1</v>
      </c>
      <c r="AJ53" s="71">
        <f t="array" ref="AJ53">SUM(IF(NOT(ISERR(FIND("*",AJ5:AJ50))),1,0))</f>
        <v>1</v>
      </c>
      <c r="AK53" s="71">
        <f t="array" ref="AK53">SUM(IF(NOT(ISERR(FIND("*",AK5:AK50))),1,0))</f>
        <v>1</v>
      </c>
      <c r="AL53" s="71">
        <f t="array" ref="AL53">SUM(IF(NOT(ISERR(FIND("*",AL5:AL50))),1,0))</f>
        <v>1</v>
      </c>
      <c r="AM53" s="71">
        <f t="array" ref="AM53">SUM(IF(NOT(ISERR(FIND("*",AM5:AM50))),1,0))</f>
        <v>1</v>
      </c>
      <c r="AN53" s="71">
        <f t="array" ref="AN53">SUM(IF(NOT(ISERR(FIND("*",AN5:AN50))),1,0))</f>
        <v>1</v>
      </c>
      <c r="AO53" s="71">
        <f t="array" ref="AO53">SUM(IF(NOT(ISERR(FIND("*",AO5:AO50))),1,0))</f>
        <v>0</v>
      </c>
      <c r="AP53" s="71">
        <f t="array" ref="AP53">SUM(IF(NOT(ISERR(FIND("*",AP5:AP50))),1,0))</f>
        <v>1</v>
      </c>
      <c r="AQ53" s="71">
        <f t="array" ref="AQ53">SUM(IF(NOT(ISERR(FIND("*",AQ5:AQ50))),1,0))</f>
        <v>0</v>
      </c>
      <c r="AR53" s="71">
        <f t="array" ref="AR53">SUM(IF(NOT(ISERR(FIND("*",AR5:AR50))),1,0))</f>
        <v>0</v>
      </c>
      <c r="AS53" s="71">
        <f t="array" ref="AS53">SUM(IF(NOT(ISERR(FIND("*",AS5:AS50))),1,0))</f>
        <v>1</v>
      </c>
      <c r="AT53" s="71">
        <f t="array" ref="AT53">SUM(IF(NOT(ISERR(FIND("*",AT5:AT50))),1,0))</f>
        <v>1</v>
      </c>
      <c r="AU53" s="71">
        <f t="array" ref="AU53">SUM(IF(NOT(ISERR(FIND("*",AU5:AU50))),1,0))</f>
        <v>0</v>
      </c>
      <c r="AV53" s="71">
        <f t="array" ref="AV53">SUM(IF(NOT(ISERR(FIND("*",AV5:AV50))),1,0))</f>
        <v>0</v>
      </c>
      <c r="AW53" s="71">
        <f t="array" ref="AW53">SUM(IF(NOT(ISERR(FIND("*",AW5:AW50))),1,0))</f>
        <v>0</v>
      </c>
      <c r="AX53" s="71">
        <f t="array" ref="AX53">SUM(IF(NOT(ISERR(FIND("*",AX5:AX50))),1,0))</f>
        <v>0</v>
      </c>
      <c r="AY53" s="71">
        <f t="array" ref="AY53">SUM(IF(NOT(ISERR(FIND("*",AY5:AY50))),1,0))</f>
        <v>0</v>
      </c>
      <c r="AZ53" s="71">
        <f t="array" ref="AZ53">SUM(IF(NOT(ISERR(FIND("*",AZ5:AZ50))),1,0))</f>
        <v>0</v>
      </c>
      <c r="BA53" s="71">
        <f t="array" ref="BA53">SUM(IF(NOT(ISERR(FIND("*",BA5:BA50))),1,0))</f>
        <v>0</v>
      </c>
      <c r="BB53" s="71">
        <f t="array" ref="BB53">SUM(IF(NOT(ISERR(FIND("*",BB5:BB50))),1,0))</f>
        <v>0</v>
      </c>
      <c r="BC53" s="71">
        <f t="array" ref="BC53">SUM(IF(NOT(ISERR(FIND("*",BC5:BC50))),1,0))</f>
        <v>0</v>
      </c>
      <c r="BD53" s="71">
        <f t="array" ref="BD53">SUM(IF(NOT(ISERR(FIND("*",BD5:BD50))),1,0))</f>
        <v>0</v>
      </c>
      <c r="BE53" s="71">
        <f t="array" ref="BE53">SUM(IF(NOT(ISERR(FIND("*",BE5:BE50))),1,0))</f>
        <v>0</v>
      </c>
      <c r="BF53" s="71">
        <f t="array" ref="BF53">SUM(IF(NOT(ISERR(FIND("*",BF5:BF50))),1,0))</f>
        <v>0</v>
      </c>
      <c r="CE53" s="71">
        <f>SUM(D53:BF53)</f>
        <v>35</v>
      </c>
      <c r="CO53" s="102">
        <f>SUM(D53:BF53)</f>
        <v>35</v>
      </c>
      <c r="CP53" s="62"/>
      <c r="CQ53" s="62"/>
      <c r="CR53" s="77">
        <f>SUM(CR52:CV52)</f>
        <v>263</v>
      </c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</row>
    <row r="54" spans="1:112" x14ac:dyDescent="0.15">
      <c r="C54" s="71" t="s">
        <v>14</v>
      </c>
      <c r="D54" s="71">
        <f t="array" ref="D54">SUM(IF(NOT(ISERR(FIND("+",D5:D50))),1,0))</f>
        <v>1</v>
      </c>
      <c r="E54" s="71">
        <f t="array" ref="E54">SUM(IF(NOT(ISERR(FIND("+",E5:E50))),1,0))</f>
        <v>1</v>
      </c>
      <c r="F54" s="71">
        <f t="array" ref="F54">SUM(IF(NOT(ISERR(FIND("+",F5:F50))),1,0))</f>
        <v>1</v>
      </c>
      <c r="G54" s="71">
        <f t="array" ref="G54">SUM(IF(NOT(ISERR(FIND("+",G5:G50))),1,0))</f>
        <v>1</v>
      </c>
      <c r="H54" s="71">
        <f t="array" ref="H54">SUM(IF(NOT(ISERR(FIND("+",H5:H50))),1,0))</f>
        <v>0</v>
      </c>
      <c r="I54" s="71">
        <f t="array" ref="I54">SUM(IF(NOT(ISERR(FIND("+",I5:I50))),1,0))</f>
        <v>1</v>
      </c>
      <c r="J54" s="71">
        <f t="array" ref="J54">SUM(IF(NOT(ISERR(FIND("+",J5:J50))),1,0))</f>
        <v>1</v>
      </c>
      <c r="K54" s="71">
        <f t="array" ref="K54">SUM(IF(NOT(ISERR(FIND("+",K5:K50))),1,0))</f>
        <v>1</v>
      </c>
      <c r="L54" s="71">
        <f t="array" ref="L54">SUM(IF(NOT(ISERR(FIND("+",L5:L50))),1,0))</f>
        <v>1</v>
      </c>
      <c r="M54" s="71">
        <f t="array" ref="M54">SUM(IF(NOT(ISERR(FIND("+",M5:M50))),1,0))</f>
        <v>1</v>
      </c>
      <c r="N54" s="71">
        <f t="array" ref="N54">SUM(IF(NOT(ISERR(FIND("+",N5:N50))),1,0))</f>
        <v>0</v>
      </c>
      <c r="O54" s="71">
        <f t="array" ref="O54">SUM(IF(NOT(ISERR(FIND("+",O5:O50))),1,0))</f>
        <v>1</v>
      </c>
      <c r="P54" s="71">
        <f t="array" ref="P54">SUM(IF(NOT(ISERR(FIND("+",P5:P50))),1,0))</f>
        <v>1</v>
      </c>
      <c r="Q54" s="71">
        <f t="array" ref="Q54">SUM(IF(NOT(ISERR(FIND("+",Q5:Q50))),1,0))</f>
        <v>1</v>
      </c>
      <c r="R54" s="71">
        <f t="array" ref="R54">SUM(IF(NOT(ISERR(FIND("+",R5:R50))),1,0))</f>
        <v>1</v>
      </c>
      <c r="S54" s="71">
        <f t="array" ref="S54">SUM(IF(NOT(ISERR(FIND("+",S5:S50))),1,0))</f>
        <v>1</v>
      </c>
      <c r="T54" s="71">
        <f t="array" ref="T54">SUM(IF(NOT(ISERR(FIND("+",T5:T50))),1,0))</f>
        <v>1</v>
      </c>
      <c r="U54" s="71">
        <f t="array" ref="U54">SUM(IF(NOT(ISERR(FIND("+",U5:U50))),1,0))</f>
        <v>1</v>
      </c>
      <c r="V54" s="71">
        <f t="array" ref="V54">SUM(IF(NOT(ISERR(FIND("+",V5:V50))),1,0))</f>
        <v>0</v>
      </c>
      <c r="W54" s="71">
        <f t="array" ref="W54">SUM(IF(NOT(ISERR(FIND("+",W5:W50))),1,0))</f>
        <v>1</v>
      </c>
      <c r="X54" s="71">
        <f t="array" ref="X54">SUM(IF(NOT(ISERR(FIND("+",X5:X50))),1,0))</f>
        <v>1</v>
      </c>
      <c r="Y54" s="71">
        <f t="array" ref="Y54">SUM(IF(NOT(ISERR(FIND("+",Y5:Y50))),1,0))</f>
        <v>1</v>
      </c>
      <c r="Z54" s="71">
        <f t="array" ref="Z54">SUM(IF(NOT(ISERR(FIND("+",Z5:Z50))),1,0))</f>
        <v>0</v>
      </c>
      <c r="AA54" s="71">
        <f t="array" ref="AA54">SUM(IF(NOT(ISERR(FIND("+",AA5:AA50))),1,0))</f>
        <v>1</v>
      </c>
      <c r="AB54" s="71">
        <f t="array" ref="AB54">SUM(IF(NOT(ISERR(FIND("+",AB5:AB50))),1,0))</f>
        <v>1</v>
      </c>
      <c r="AC54" s="71">
        <f t="array" ref="AC54">SUM(IF(NOT(ISERR(FIND("+",AC5:AC50))),1,0))</f>
        <v>1</v>
      </c>
      <c r="AD54" s="71">
        <f t="array" ref="AD54">SUM(IF(NOT(ISERR(FIND("+",AD5:AD50))),1,0))</f>
        <v>1</v>
      </c>
      <c r="AE54" s="71">
        <f t="array" ref="AE54">SUM(IF(NOT(ISERR(FIND("+",AE5:AE50))),1,0))</f>
        <v>0</v>
      </c>
      <c r="AF54" s="71">
        <f t="array" ref="AF54">SUM(IF(NOT(ISERR(FIND("+",AF5:AF50))),1,0))</f>
        <v>1</v>
      </c>
      <c r="AG54" s="71">
        <f t="array" ref="AG54">SUM(IF(NOT(ISERR(FIND("+",AG5:AG50))),1,0))</f>
        <v>1</v>
      </c>
      <c r="AH54" s="71">
        <f t="array" ref="AH54">SUM(IF(NOT(ISERR(FIND("+",AH5:AH50))),1,0))</f>
        <v>1</v>
      </c>
      <c r="AI54" s="71">
        <f t="array" ref="AI54">SUM(IF(NOT(ISERR(FIND("+",AI5:AI50))),1,0))</f>
        <v>1</v>
      </c>
      <c r="AJ54" s="71">
        <f t="array" ref="AJ54">SUM(IF(NOT(ISERR(FIND("+",AJ5:AJ50))),1,0))</f>
        <v>1</v>
      </c>
      <c r="AK54" s="71">
        <f t="array" ref="AK54">SUM(IF(NOT(ISERR(FIND("+",AK5:AK50))),1,0))</f>
        <v>1</v>
      </c>
      <c r="AL54" s="71">
        <f t="array" ref="AL54">SUM(IF(NOT(ISERR(FIND("+",AL5:AL50))),1,0))</f>
        <v>1</v>
      </c>
      <c r="AM54" s="71">
        <f t="array" ref="AM54">SUM(IF(NOT(ISERR(FIND("+",AM5:AM50))),1,0))</f>
        <v>1</v>
      </c>
      <c r="AN54" s="71">
        <f t="array" ref="AN54">SUM(IF(NOT(ISERR(FIND("+",AN5:AN50))),1,0))</f>
        <v>1</v>
      </c>
      <c r="AO54" s="71">
        <f t="array" ref="AO54">SUM(IF(NOT(ISERR(FIND("+",AO5:AO50))),1,0))</f>
        <v>0</v>
      </c>
      <c r="AP54" s="71">
        <f t="array" ref="AP54">SUM(IF(NOT(ISERR(FIND("+",AP5:AP50))),1,0))</f>
        <v>1</v>
      </c>
      <c r="AQ54" s="71">
        <f t="array" ref="AQ54">SUM(IF(NOT(ISERR(FIND("+",AQ5:AQ50))),1,0))</f>
        <v>0</v>
      </c>
      <c r="AR54" s="71">
        <f t="array" ref="AR54">SUM(IF(NOT(ISERR(FIND("+",AR5:AR50))),1,0))</f>
        <v>0</v>
      </c>
      <c r="AS54" s="71">
        <f t="array" ref="AS54">SUM(IF(NOT(ISERR(FIND("+",AS5:AS50))),1,0))</f>
        <v>1</v>
      </c>
      <c r="AT54" s="71">
        <f t="array" ref="AT54">SUM(IF(NOT(ISERR(FIND("+",AT5:AT50))),1,0))</f>
        <v>1</v>
      </c>
      <c r="AU54" s="71">
        <f t="array" ref="AU54">SUM(IF(NOT(ISERR(FIND("+",AU5:AU50))),1,0))</f>
        <v>0</v>
      </c>
      <c r="AV54" s="71">
        <f t="array" ref="AV54">SUM(IF(NOT(ISERR(FIND("+",AV5:AV50))),1,0))</f>
        <v>0</v>
      </c>
      <c r="AW54" s="71">
        <f t="array" ref="AW54">SUM(IF(NOT(ISERR(FIND("+",AW5:AW50))),1,0))</f>
        <v>0</v>
      </c>
      <c r="AX54" s="71">
        <f t="array" ref="AX54">SUM(IF(NOT(ISERR(FIND("+",AX5:AX50))),1,0))</f>
        <v>0</v>
      </c>
      <c r="AY54" s="71">
        <f t="array" ref="AY54">SUM(IF(NOT(ISERR(FIND("+",AY5:AY50))),1,0))</f>
        <v>0</v>
      </c>
      <c r="AZ54" s="71">
        <f t="array" ref="AZ54">SUM(IF(NOT(ISERR(FIND("+",AZ5:AZ50))),1,0))</f>
        <v>0</v>
      </c>
      <c r="BA54" s="71">
        <f t="array" ref="BA54">SUM(IF(NOT(ISERR(FIND("+",BA5:BA50))),1,0))</f>
        <v>0</v>
      </c>
      <c r="BB54" s="71">
        <f t="array" ref="BB54">SUM(IF(NOT(ISERR(FIND("+",BB5:BB50))),1,0))</f>
        <v>0</v>
      </c>
      <c r="BC54" s="71">
        <f t="array" ref="BC54">SUM(IF(NOT(ISERR(FIND("+",BC5:BC50))),1,0))</f>
        <v>0</v>
      </c>
      <c r="BD54" s="71">
        <f t="array" ref="BD54">SUM(IF(NOT(ISERR(FIND("+",BD5:BD50))),1,0))</f>
        <v>0</v>
      </c>
      <c r="BE54" s="71">
        <f t="array" ref="BE54">SUM(IF(NOT(ISERR(FIND("+",BE5:BE50))),1,0))</f>
        <v>0</v>
      </c>
      <c r="BF54" s="71">
        <f t="array" ref="BF54">SUM(IF(NOT(ISERR(FIND("+",BF5:BF50))),1,0))</f>
        <v>0</v>
      </c>
      <c r="CE54" s="71">
        <f>SUM(D54:BF54)</f>
        <v>35</v>
      </c>
      <c r="CO54" s="102">
        <f>SUM(D54:BF54)</f>
        <v>35</v>
      </c>
      <c r="CP54" s="62"/>
      <c r="CQ54" s="62"/>
      <c r="CR54" s="129">
        <f>CR52/$CR$53</f>
        <v>0.41825095057034223</v>
      </c>
      <c r="CS54" s="129">
        <f>CS52/$CR$53</f>
        <v>0.4144486692015209</v>
      </c>
      <c r="CT54" s="129">
        <f>CT52/$CR$53</f>
        <v>0.10266159695817491</v>
      </c>
      <c r="CU54" s="129">
        <f>CU52/$CR$53</f>
        <v>1.9011406844106463E-2</v>
      </c>
      <c r="CV54" s="129">
        <f>CV52/$CR$53</f>
        <v>4.5627376425855515E-2</v>
      </c>
      <c r="CW54" s="129"/>
      <c r="CX54" s="62"/>
      <c r="CY54" s="62"/>
      <c r="CZ54" s="62"/>
      <c r="DA54" s="62"/>
      <c r="DB54" s="62"/>
      <c r="DC54" s="62"/>
    </row>
    <row r="56" spans="1:112" x14ac:dyDescent="0.15">
      <c r="C56" s="71" t="s">
        <v>131</v>
      </c>
      <c r="D56" s="71">
        <f t="shared" ref="D56:AI56" si="58">BatSplit(D5:D50,RunsScored)</f>
        <v>73</v>
      </c>
      <c r="E56" s="71">
        <f t="shared" si="58"/>
        <v>98</v>
      </c>
      <c r="F56" s="71">
        <f t="shared" si="58"/>
        <v>90</v>
      </c>
      <c r="G56" s="71">
        <f t="shared" si="58"/>
        <v>97</v>
      </c>
      <c r="H56" s="71">
        <f t="shared" si="58"/>
        <v>0</v>
      </c>
      <c r="I56" s="71">
        <f t="shared" si="58"/>
        <v>168</v>
      </c>
      <c r="J56" s="71">
        <f t="shared" si="58"/>
        <v>75</v>
      </c>
      <c r="K56" s="71">
        <f t="shared" si="58"/>
        <v>73</v>
      </c>
      <c r="L56" s="71">
        <f t="shared" si="58"/>
        <v>116</v>
      </c>
      <c r="M56" s="71">
        <f t="shared" si="58"/>
        <v>142</v>
      </c>
      <c r="N56" s="71">
        <f t="shared" si="58"/>
        <v>0</v>
      </c>
      <c r="O56" s="71">
        <f t="shared" si="58"/>
        <v>81</v>
      </c>
      <c r="P56" s="71">
        <f t="shared" si="58"/>
        <v>85</v>
      </c>
      <c r="Q56" s="71">
        <f t="shared" si="58"/>
        <v>217</v>
      </c>
      <c r="R56" s="71">
        <f t="shared" si="58"/>
        <v>113</v>
      </c>
      <c r="S56" s="71">
        <f t="shared" si="58"/>
        <v>102</v>
      </c>
      <c r="T56" s="71">
        <f t="shared" si="58"/>
        <v>117</v>
      </c>
      <c r="U56" s="71">
        <f t="shared" si="58"/>
        <v>132</v>
      </c>
      <c r="V56" s="71">
        <f t="shared" si="58"/>
        <v>0</v>
      </c>
      <c r="W56" s="71">
        <f t="shared" si="58"/>
        <v>88</v>
      </c>
      <c r="X56" s="71">
        <f t="shared" si="58"/>
        <v>50</v>
      </c>
      <c r="Y56" s="71">
        <f t="shared" si="58"/>
        <v>114</v>
      </c>
      <c r="Z56" s="71">
        <f t="shared" si="58"/>
        <v>0</v>
      </c>
      <c r="AA56" s="71">
        <f t="shared" si="58"/>
        <v>129</v>
      </c>
      <c r="AB56" s="71">
        <f t="shared" si="58"/>
        <v>89</v>
      </c>
      <c r="AC56" s="71">
        <f t="shared" si="58"/>
        <v>114</v>
      </c>
      <c r="AD56" s="71">
        <f t="shared" si="58"/>
        <v>23</v>
      </c>
      <c r="AE56" s="71">
        <f t="shared" si="58"/>
        <v>0</v>
      </c>
      <c r="AF56" s="71">
        <f t="shared" si="58"/>
        <v>66</v>
      </c>
      <c r="AG56" s="71">
        <f t="shared" si="58"/>
        <v>128</v>
      </c>
      <c r="AH56" s="71">
        <f t="shared" si="58"/>
        <v>116</v>
      </c>
      <c r="AI56" s="71">
        <f t="shared" si="58"/>
        <v>180</v>
      </c>
      <c r="AJ56" s="71">
        <f>BatSplit(AJ5:AJ50,RunsScored)</f>
        <v>144</v>
      </c>
      <c r="AK56" s="71">
        <f t="shared" ref="AK56:BF56" si="59">BatSplit(AK5:AK50,RunsScored)</f>
        <v>123</v>
      </c>
      <c r="AL56" s="71">
        <f t="shared" si="59"/>
        <v>120</v>
      </c>
      <c r="AM56" s="71">
        <f t="shared" si="59"/>
        <v>125</v>
      </c>
      <c r="AN56" s="71">
        <f t="shared" si="59"/>
        <v>57</v>
      </c>
      <c r="AO56" s="71">
        <f t="shared" si="59"/>
        <v>0</v>
      </c>
      <c r="AP56" s="71">
        <f t="shared" si="59"/>
        <v>107</v>
      </c>
      <c r="AQ56" s="71">
        <f t="shared" si="59"/>
        <v>0</v>
      </c>
      <c r="AR56" s="71">
        <f t="shared" si="59"/>
        <v>0</v>
      </c>
      <c r="AS56" s="71">
        <f t="shared" si="59"/>
        <v>151</v>
      </c>
      <c r="AT56" s="71">
        <f t="shared" si="59"/>
        <v>142</v>
      </c>
      <c r="AU56" s="71">
        <f t="shared" si="59"/>
        <v>0</v>
      </c>
      <c r="AV56" s="71">
        <f t="shared" si="59"/>
        <v>0</v>
      </c>
      <c r="AW56" s="71">
        <f t="shared" si="59"/>
        <v>0</v>
      </c>
      <c r="AX56" s="71">
        <f t="shared" si="59"/>
        <v>0</v>
      </c>
      <c r="AY56" s="71">
        <f t="shared" si="59"/>
        <v>0</v>
      </c>
      <c r="AZ56" s="71">
        <f t="shared" si="59"/>
        <v>0</v>
      </c>
      <c r="BA56" s="71">
        <f t="shared" si="59"/>
        <v>0</v>
      </c>
      <c r="BB56" s="71">
        <f t="shared" si="59"/>
        <v>0</v>
      </c>
      <c r="BC56" s="71">
        <f t="shared" si="59"/>
        <v>0</v>
      </c>
      <c r="BD56" s="71">
        <f t="shared" si="59"/>
        <v>0</v>
      </c>
      <c r="BE56" s="71">
        <f t="shared" si="59"/>
        <v>0</v>
      </c>
      <c r="BF56" s="71">
        <f t="shared" si="59"/>
        <v>0</v>
      </c>
      <c r="CE56" s="71">
        <f>SUM(D56:BD56)</f>
        <v>3845</v>
      </c>
      <c r="CG56" s="71">
        <f>SUM(CG5:CG51)</f>
        <v>317</v>
      </c>
      <c r="CH56" s="71">
        <f>SUM(CH5:CH51)</f>
        <v>53</v>
      </c>
      <c r="CI56" s="71">
        <f>SUM(CI5:CI50)</f>
        <v>617</v>
      </c>
      <c r="CK56" s="71">
        <f>SUM(CK5:CK51)</f>
        <v>3845</v>
      </c>
      <c r="CO56" s="71">
        <f>SUM(D56:BF56)</f>
        <v>3845</v>
      </c>
    </row>
    <row r="57" spans="1:112" x14ac:dyDescent="0.15">
      <c r="C57" s="71" t="s">
        <v>130</v>
      </c>
      <c r="D57" s="71">
        <f t="array" ref="D57:BF57">TRANSPOSE(Matches!Z5:Z59)</f>
        <v>5</v>
      </c>
      <c r="E57" s="71">
        <v>22</v>
      </c>
      <c r="F57" s="71">
        <v>9</v>
      </c>
      <c r="G57" s="71">
        <v>35</v>
      </c>
      <c r="H57" s="71">
        <v>0</v>
      </c>
      <c r="I57" s="71">
        <v>16</v>
      </c>
      <c r="J57" s="71">
        <v>18</v>
      </c>
      <c r="K57" s="71">
        <v>16</v>
      </c>
      <c r="L57" s="71">
        <v>39</v>
      </c>
      <c r="M57" s="71">
        <v>21</v>
      </c>
      <c r="N57" s="71">
        <v>0</v>
      </c>
      <c r="O57" s="71">
        <v>18</v>
      </c>
      <c r="P57" s="71">
        <v>21</v>
      </c>
      <c r="Q57" s="71">
        <v>16</v>
      </c>
      <c r="R57" s="71">
        <v>38</v>
      </c>
      <c r="S57" s="71">
        <v>19</v>
      </c>
      <c r="T57" s="71">
        <v>33</v>
      </c>
      <c r="U57" s="71">
        <v>6</v>
      </c>
      <c r="V57" s="71">
        <v>0</v>
      </c>
      <c r="W57" s="71">
        <v>6</v>
      </c>
      <c r="X57" s="71">
        <v>17</v>
      </c>
      <c r="Y57" s="71">
        <v>3</v>
      </c>
      <c r="Z57" s="71">
        <v>0</v>
      </c>
      <c r="AA57" s="71">
        <v>40</v>
      </c>
      <c r="AB57" s="71">
        <v>12</v>
      </c>
      <c r="AC57" s="71">
        <v>4</v>
      </c>
      <c r="AD57" s="71">
        <v>1</v>
      </c>
      <c r="AE57" s="71">
        <v>0</v>
      </c>
      <c r="AF57" s="71">
        <v>16</v>
      </c>
      <c r="AG57" s="71">
        <v>21</v>
      </c>
      <c r="AH57" s="71">
        <v>22</v>
      </c>
      <c r="AI57" s="71">
        <v>33</v>
      </c>
      <c r="AJ57" s="71">
        <v>20</v>
      </c>
      <c r="AK57" s="71">
        <v>27</v>
      </c>
      <c r="AL57" s="71">
        <v>19</v>
      </c>
      <c r="AM57" s="71">
        <v>14</v>
      </c>
      <c r="AN57" s="71">
        <v>10</v>
      </c>
      <c r="AO57" s="71">
        <v>0</v>
      </c>
      <c r="AP57" s="71">
        <v>28</v>
      </c>
      <c r="AQ57" s="71">
        <v>0</v>
      </c>
      <c r="AR57" s="71">
        <v>0</v>
      </c>
      <c r="AS57" s="71">
        <v>20</v>
      </c>
      <c r="AT57" s="71">
        <v>23</v>
      </c>
      <c r="AU57" s="71">
        <v>0</v>
      </c>
      <c r="AV57" s="71">
        <v>0</v>
      </c>
      <c r="AW57" s="71">
        <v>0</v>
      </c>
      <c r="AX57" s="71">
        <v>0</v>
      </c>
      <c r="AY57" s="71">
        <v>0</v>
      </c>
      <c r="AZ57" s="71">
        <v>0</v>
      </c>
      <c r="BA57" s="71">
        <v>0</v>
      </c>
      <c r="BB57" s="71">
        <v>0</v>
      </c>
      <c r="BC57" s="71">
        <v>0</v>
      </c>
      <c r="BD57" s="71">
        <v>0</v>
      </c>
      <c r="BE57" s="71">
        <v>0</v>
      </c>
      <c r="BF57" s="71">
        <v>0</v>
      </c>
      <c r="CE57" s="71">
        <f>SUM(D57:BD57)</f>
        <v>668</v>
      </c>
      <c r="CO57" s="71">
        <f>SUM(D57:BF57)</f>
        <v>668</v>
      </c>
    </row>
    <row r="58" spans="1:112" s="62" customFormat="1" x14ac:dyDescent="0.15">
      <c r="C58" s="62" t="s">
        <v>132</v>
      </c>
      <c r="D58" s="62">
        <f>D57+D56</f>
        <v>78</v>
      </c>
      <c r="E58" s="62">
        <f t="shared" ref="E58:BF58" si="60">E57+E56</f>
        <v>120</v>
      </c>
      <c r="F58" s="62">
        <f t="shared" si="60"/>
        <v>99</v>
      </c>
      <c r="G58" s="62">
        <f t="shared" si="60"/>
        <v>132</v>
      </c>
      <c r="H58" s="62">
        <f t="shared" si="60"/>
        <v>0</v>
      </c>
      <c r="I58" s="62">
        <f t="shared" si="60"/>
        <v>184</v>
      </c>
      <c r="J58" s="62">
        <f t="shared" si="60"/>
        <v>93</v>
      </c>
      <c r="K58" s="62">
        <f t="shared" si="60"/>
        <v>89</v>
      </c>
      <c r="L58" s="62">
        <f t="shared" si="60"/>
        <v>155</v>
      </c>
      <c r="M58" s="62">
        <f t="shared" si="60"/>
        <v>163</v>
      </c>
      <c r="N58" s="62">
        <f t="shared" si="60"/>
        <v>0</v>
      </c>
      <c r="O58" s="62">
        <f t="shared" si="60"/>
        <v>99</v>
      </c>
      <c r="P58" s="62">
        <f t="shared" si="60"/>
        <v>106</v>
      </c>
      <c r="Q58" s="62">
        <f t="shared" si="60"/>
        <v>233</v>
      </c>
      <c r="R58" s="62">
        <f t="shared" si="60"/>
        <v>151</v>
      </c>
      <c r="S58" s="62">
        <f t="shared" si="60"/>
        <v>121</v>
      </c>
      <c r="T58" s="62">
        <f t="shared" si="60"/>
        <v>150</v>
      </c>
      <c r="U58" s="62">
        <f t="shared" si="60"/>
        <v>138</v>
      </c>
      <c r="V58" s="62">
        <f t="shared" si="60"/>
        <v>0</v>
      </c>
      <c r="W58" s="62">
        <f t="shared" si="60"/>
        <v>94</v>
      </c>
      <c r="X58" s="62">
        <f t="shared" si="60"/>
        <v>67</v>
      </c>
      <c r="Y58" s="62">
        <f t="shared" si="60"/>
        <v>117</v>
      </c>
      <c r="Z58" s="62">
        <f t="shared" si="60"/>
        <v>0</v>
      </c>
      <c r="AA58" s="62">
        <f t="shared" si="60"/>
        <v>169</v>
      </c>
      <c r="AB58" s="62">
        <f t="shared" si="60"/>
        <v>101</v>
      </c>
      <c r="AC58" s="62">
        <f t="shared" si="60"/>
        <v>118</v>
      </c>
      <c r="AD58" s="62">
        <f t="shared" si="60"/>
        <v>24</v>
      </c>
      <c r="AE58" s="62">
        <f t="shared" si="60"/>
        <v>0</v>
      </c>
      <c r="AF58" s="62">
        <f t="shared" si="60"/>
        <v>82</v>
      </c>
      <c r="AG58" s="62">
        <f t="shared" si="60"/>
        <v>149</v>
      </c>
      <c r="AH58" s="62">
        <f t="shared" si="60"/>
        <v>138</v>
      </c>
      <c r="AI58" s="62">
        <f t="shared" si="60"/>
        <v>213</v>
      </c>
      <c r="AJ58" s="62">
        <f t="shared" si="60"/>
        <v>164</v>
      </c>
      <c r="AK58" s="62">
        <f t="shared" si="60"/>
        <v>150</v>
      </c>
      <c r="AL58" s="62">
        <f t="shared" si="60"/>
        <v>139</v>
      </c>
      <c r="AM58" s="62">
        <f t="shared" si="60"/>
        <v>139</v>
      </c>
      <c r="AN58" s="62">
        <f t="shared" si="60"/>
        <v>67</v>
      </c>
      <c r="AO58" s="62">
        <f t="shared" si="60"/>
        <v>0</v>
      </c>
      <c r="AP58" s="62">
        <f t="shared" si="60"/>
        <v>135</v>
      </c>
      <c r="AQ58" s="62">
        <f t="shared" si="60"/>
        <v>0</v>
      </c>
      <c r="AR58" s="62">
        <f t="shared" si="60"/>
        <v>0</v>
      </c>
      <c r="AS58" s="62">
        <f t="shared" si="60"/>
        <v>171</v>
      </c>
      <c r="AT58" s="62">
        <f t="shared" si="60"/>
        <v>165</v>
      </c>
      <c r="AU58" s="62">
        <f>AU57+AU56</f>
        <v>0</v>
      </c>
      <c r="AV58" s="62">
        <f t="shared" si="60"/>
        <v>0</v>
      </c>
      <c r="AW58" s="62">
        <f t="shared" si="60"/>
        <v>0</v>
      </c>
      <c r="AX58" s="62">
        <f t="shared" si="60"/>
        <v>0</v>
      </c>
      <c r="AY58" s="62">
        <f t="shared" si="60"/>
        <v>0</v>
      </c>
      <c r="AZ58" s="62">
        <f t="shared" si="60"/>
        <v>0</v>
      </c>
      <c r="BA58" s="62">
        <f t="shared" si="60"/>
        <v>0</v>
      </c>
      <c r="BB58" s="62">
        <f t="shared" si="60"/>
        <v>0</v>
      </c>
      <c r="BC58" s="62">
        <f t="shared" si="60"/>
        <v>0</v>
      </c>
      <c r="BD58" s="62">
        <f t="shared" si="60"/>
        <v>0</v>
      </c>
      <c r="BE58" s="62">
        <f t="shared" si="60"/>
        <v>0</v>
      </c>
      <c r="BF58" s="62">
        <f t="shared" si="60"/>
        <v>0</v>
      </c>
      <c r="CE58" s="71">
        <f>SUM(D58:BD58)</f>
        <v>4513</v>
      </c>
      <c r="CG58" s="71" t="s">
        <v>41</v>
      </c>
      <c r="CH58" s="71">
        <f>CG56-CH56</f>
        <v>264</v>
      </c>
      <c r="CI58" s="71"/>
      <c r="CJ58" s="71"/>
      <c r="CK58" s="71"/>
      <c r="CO58" s="62">
        <f>SUM(D58:BF58)</f>
        <v>4513</v>
      </c>
    </row>
    <row r="59" spans="1:112" x14ac:dyDescent="0.15">
      <c r="D59" s="55"/>
      <c r="CG59" s="71" t="s">
        <v>42</v>
      </c>
      <c r="CH59" s="71">
        <f>CE58/CH58</f>
        <v>17.094696969696969</v>
      </c>
    </row>
    <row r="60" spans="1:112" x14ac:dyDescent="0.15">
      <c r="C60" s="71" t="s">
        <v>149</v>
      </c>
      <c r="D60" s="55" t="str">
        <f t="shared" ref="D60:AI60" ca="1" si="61">OFFSET($C$4,findcellcontaining("*",D5:D50),0)</f>
        <v>Clark C</v>
      </c>
      <c r="E60" s="55" t="str">
        <f t="shared" ca="1" si="61"/>
        <v>Springer T</v>
      </c>
      <c r="F60" s="55" t="str">
        <f t="shared" ca="1" si="61"/>
        <v>Woodhouse M</v>
      </c>
      <c r="G60" s="55" t="str">
        <f t="shared" ca="1" si="61"/>
        <v>Springer T</v>
      </c>
      <c r="H60" s="55" t="e">
        <f t="shared" ca="1" si="61"/>
        <v>#N/A</v>
      </c>
      <c r="I60" s="55" t="str">
        <f t="shared" ca="1" si="61"/>
        <v>Springer T</v>
      </c>
      <c r="J60" s="55" t="str">
        <f t="shared" ca="1" si="61"/>
        <v>Clark C</v>
      </c>
      <c r="K60" s="55" t="str">
        <f t="shared" ca="1" si="61"/>
        <v>Springer T</v>
      </c>
      <c r="L60" s="55" t="str">
        <f t="shared" ca="1" si="61"/>
        <v>Lestrelle J</v>
      </c>
      <c r="M60" s="55" t="str">
        <f t="shared" ca="1" si="61"/>
        <v>Mander C</v>
      </c>
      <c r="N60" s="55" t="e">
        <f t="shared" ca="1" si="61"/>
        <v>#N/A</v>
      </c>
      <c r="O60" s="55" t="str">
        <f t="shared" ca="1" si="61"/>
        <v>Springer T</v>
      </c>
      <c r="P60" s="55" t="str">
        <f t="shared" ca="1" si="61"/>
        <v>Clark C</v>
      </c>
      <c r="Q60" s="55" t="str">
        <f t="shared" ca="1" si="61"/>
        <v>Springer T</v>
      </c>
      <c r="R60" s="55" t="str">
        <f t="shared" ca="1" si="61"/>
        <v>Clark C</v>
      </c>
      <c r="S60" s="55" t="str">
        <f t="shared" ca="1" si="61"/>
        <v>Springer T</v>
      </c>
      <c r="T60" s="55" t="str">
        <f t="shared" ca="1" si="61"/>
        <v>Clark C</v>
      </c>
      <c r="U60" s="55" t="str">
        <f t="shared" ca="1" si="61"/>
        <v>Springer T</v>
      </c>
      <c r="V60" s="55" t="e">
        <f t="shared" ca="1" si="61"/>
        <v>#N/A</v>
      </c>
      <c r="W60" s="55" t="str">
        <f t="shared" ca="1" si="61"/>
        <v>Springer T</v>
      </c>
      <c r="X60" s="55" t="str">
        <f t="shared" ca="1" si="61"/>
        <v>Clark C</v>
      </c>
      <c r="Y60" s="55" t="str">
        <f t="shared" ca="1" si="61"/>
        <v>Springer T</v>
      </c>
      <c r="Z60" s="55" t="e">
        <f t="shared" ca="1" si="61"/>
        <v>#N/A</v>
      </c>
      <c r="AA60" s="55" t="str">
        <f t="shared" ca="1" si="61"/>
        <v>Lestrelle J</v>
      </c>
      <c r="AB60" s="55" t="str">
        <f t="shared" ca="1" si="61"/>
        <v>Clark C</v>
      </c>
      <c r="AC60" s="55" t="str">
        <f t="shared" ca="1" si="61"/>
        <v>Springer T</v>
      </c>
      <c r="AD60" s="55" t="str">
        <f t="shared" ca="1" si="61"/>
        <v>Clark C</v>
      </c>
      <c r="AE60" s="55" t="e">
        <f t="shared" ca="1" si="61"/>
        <v>#N/A</v>
      </c>
      <c r="AF60" s="55" t="str">
        <f t="shared" ca="1" si="61"/>
        <v>Clark C</v>
      </c>
      <c r="AG60" s="55" t="str">
        <f t="shared" ca="1" si="61"/>
        <v>Lestrelle J</v>
      </c>
      <c r="AH60" s="55" t="str">
        <f t="shared" ca="1" si="61"/>
        <v>Young R</v>
      </c>
      <c r="AI60" s="55" t="str">
        <f t="shared" ca="1" si="61"/>
        <v>Springer T</v>
      </c>
      <c r="AJ60" s="55" t="str">
        <f t="shared" ref="AJ60:BO60" ca="1" si="62">OFFSET($C$4,findcellcontaining("*",AJ5:AJ50),0)</f>
        <v>Young R</v>
      </c>
      <c r="AK60" s="55" t="str">
        <f t="shared" ca="1" si="62"/>
        <v>Springer T</v>
      </c>
      <c r="AL60" s="55" t="str">
        <f t="shared" ca="1" si="62"/>
        <v>Woodhouse M</v>
      </c>
      <c r="AM60" s="55" t="str">
        <f t="shared" ca="1" si="62"/>
        <v>Springer T</v>
      </c>
      <c r="AN60" s="55" t="str">
        <f t="shared" ca="1" si="62"/>
        <v>Clark C</v>
      </c>
      <c r="AO60" s="55" t="e">
        <f t="shared" ca="1" si="62"/>
        <v>#N/A</v>
      </c>
      <c r="AP60" s="55" t="str">
        <f t="shared" ca="1" si="62"/>
        <v>Clark C</v>
      </c>
      <c r="AQ60" s="55" t="e">
        <f t="shared" ca="1" si="62"/>
        <v>#N/A</v>
      </c>
      <c r="AR60" s="55" t="e">
        <f t="shared" ca="1" si="62"/>
        <v>#N/A</v>
      </c>
      <c r="AS60" s="55" t="str">
        <f t="shared" ca="1" si="62"/>
        <v>Mander C</v>
      </c>
      <c r="AT60" s="55" t="str">
        <f t="shared" ca="1" si="62"/>
        <v>Clark C</v>
      </c>
      <c r="AU60" s="55" t="e">
        <f t="shared" ca="1" si="62"/>
        <v>#N/A</v>
      </c>
      <c r="AV60" s="55" t="e">
        <f t="shared" ca="1" si="62"/>
        <v>#N/A</v>
      </c>
      <c r="AW60" s="55" t="e">
        <f t="shared" ca="1" si="62"/>
        <v>#N/A</v>
      </c>
      <c r="AX60" s="55" t="e">
        <f t="shared" ca="1" si="62"/>
        <v>#N/A</v>
      </c>
      <c r="AY60" s="55" t="e">
        <f t="shared" ca="1" si="62"/>
        <v>#N/A</v>
      </c>
      <c r="AZ60" s="55" t="e">
        <f t="shared" ca="1" si="62"/>
        <v>#N/A</v>
      </c>
      <c r="BA60" s="55" t="e">
        <f t="shared" ca="1" si="62"/>
        <v>#N/A</v>
      </c>
      <c r="BB60" s="55" t="e">
        <f t="shared" ca="1" si="62"/>
        <v>#N/A</v>
      </c>
      <c r="BC60" s="55" t="e">
        <f t="shared" ca="1" si="62"/>
        <v>#N/A</v>
      </c>
      <c r="BD60" s="55" t="e">
        <f t="shared" ca="1" si="62"/>
        <v>#N/A</v>
      </c>
      <c r="BE60" s="55" t="e">
        <f t="shared" ca="1" si="62"/>
        <v>#N/A</v>
      </c>
      <c r="BF60" s="55" t="e">
        <f t="shared" ca="1" si="62"/>
        <v>#N/A</v>
      </c>
      <c r="BG60" s="55" t="e">
        <f t="shared" ca="1" si="62"/>
        <v>#N/A</v>
      </c>
      <c r="BH60" s="55" t="e">
        <f t="shared" ca="1" si="62"/>
        <v>#N/A</v>
      </c>
      <c r="BI60" s="55" t="e">
        <f t="shared" ca="1" si="62"/>
        <v>#N/A</v>
      </c>
      <c r="BJ60" s="55" t="e">
        <f t="shared" ca="1" si="62"/>
        <v>#N/A</v>
      </c>
      <c r="BK60" s="55" t="e">
        <f t="shared" ca="1" si="62"/>
        <v>#N/A</v>
      </c>
      <c r="BL60" s="55" t="e">
        <f t="shared" ca="1" si="62"/>
        <v>#N/A</v>
      </c>
      <c r="BM60" s="55" t="e">
        <f t="shared" ca="1" si="62"/>
        <v>#N/A</v>
      </c>
      <c r="BN60" s="55" t="e">
        <f t="shared" ca="1" si="62"/>
        <v>#N/A</v>
      </c>
      <c r="BO60" s="55" t="e">
        <f t="shared" ca="1" si="62"/>
        <v>#N/A</v>
      </c>
      <c r="BP60" s="55" t="e">
        <f t="shared" ref="BP60:CD60" ca="1" si="63">OFFSET($C$4,findcellcontaining("*",BP5:BP50),0)</f>
        <v>#N/A</v>
      </c>
      <c r="BQ60" s="55" t="e">
        <f t="shared" ca="1" si="63"/>
        <v>#N/A</v>
      </c>
      <c r="BR60" s="55" t="e">
        <f t="shared" ca="1" si="63"/>
        <v>#N/A</v>
      </c>
      <c r="BS60" s="55" t="e">
        <f t="shared" ca="1" si="63"/>
        <v>#N/A</v>
      </c>
      <c r="BT60" s="55" t="e">
        <f t="shared" ca="1" si="63"/>
        <v>#N/A</v>
      </c>
      <c r="BU60" s="55" t="e">
        <f t="shared" ca="1" si="63"/>
        <v>#N/A</v>
      </c>
      <c r="BV60" s="55" t="e">
        <f t="shared" ca="1" si="63"/>
        <v>#N/A</v>
      </c>
      <c r="BW60" s="55" t="e">
        <f t="shared" ca="1" si="63"/>
        <v>#N/A</v>
      </c>
      <c r="BX60" s="55" t="e">
        <f t="shared" ca="1" si="63"/>
        <v>#N/A</v>
      </c>
      <c r="BY60" s="55" t="e">
        <f t="shared" ca="1" si="63"/>
        <v>#N/A</v>
      </c>
      <c r="BZ60" s="55" t="e">
        <f t="shared" ca="1" si="63"/>
        <v>#N/A</v>
      </c>
      <c r="CA60" s="55" t="e">
        <f t="shared" ca="1" si="63"/>
        <v>#N/A</v>
      </c>
      <c r="CB60" s="55" t="e">
        <f t="shared" ca="1" si="63"/>
        <v>#N/A</v>
      </c>
      <c r="CC60" s="55" t="e">
        <f t="shared" ca="1" si="63"/>
        <v>#N/A</v>
      </c>
      <c r="CD60" s="55" t="e">
        <f t="shared" ca="1" si="63"/>
        <v>#N/A</v>
      </c>
    </row>
    <row r="61" spans="1:112" x14ac:dyDescent="0.15">
      <c r="C61" s="103" t="s">
        <v>182</v>
      </c>
      <c r="D61" s="71" t="str">
        <f>D4</f>
        <v>W</v>
      </c>
      <c r="E61" s="71" t="str">
        <f t="shared" ref="E61:BP61" si="64">E4</f>
        <v>W</v>
      </c>
      <c r="F61" s="71" t="str">
        <f t="shared" si="64"/>
        <v>L</v>
      </c>
      <c r="G61" s="71" t="str">
        <f t="shared" si="64"/>
        <v>D</v>
      </c>
      <c r="H61" s="71">
        <f t="shared" si="64"/>
        <v>0</v>
      </c>
      <c r="I61" s="71" t="str">
        <f t="shared" si="64"/>
        <v>W</v>
      </c>
      <c r="J61" s="71" t="str">
        <f t="shared" si="64"/>
        <v>L</v>
      </c>
      <c r="K61" s="71" t="str">
        <f t="shared" si="64"/>
        <v>L</v>
      </c>
      <c r="L61" s="71" t="str">
        <f t="shared" si="64"/>
        <v>D</v>
      </c>
      <c r="M61" s="71" t="str">
        <f t="shared" si="64"/>
        <v>L</v>
      </c>
      <c r="N61" s="71">
        <f t="shared" si="64"/>
        <v>0</v>
      </c>
      <c r="O61" s="71" t="str">
        <f t="shared" si="64"/>
        <v>L</v>
      </c>
      <c r="P61" s="71" t="str">
        <f t="shared" si="64"/>
        <v>L</v>
      </c>
      <c r="Q61" s="71" t="str">
        <f t="shared" si="64"/>
        <v>W</v>
      </c>
      <c r="R61" s="71" t="str">
        <f t="shared" si="64"/>
        <v>L</v>
      </c>
      <c r="S61" s="71" t="str">
        <f t="shared" si="64"/>
        <v>L</v>
      </c>
      <c r="T61" s="71" t="str">
        <f t="shared" si="64"/>
        <v>D</v>
      </c>
      <c r="U61" s="71" t="str">
        <f t="shared" si="64"/>
        <v>L</v>
      </c>
      <c r="V61" s="71">
        <f t="shared" si="64"/>
        <v>0</v>
      </c>
      <c r="W61" s="71" t="str">
        <f t="shared" si="64"/>
        <v>W</v>
      </c>
      <c r="X61" s="71" t="str">
        <f t="shared" si="64"/>
        <v>W</v>
      </c>
      <c r="Y61" s="71" t="str">
        <f t="shared" si="64"/>
        <v>L</v>
      </c>
      <c r="Z61" s="71">
        <f t="shared" si="64"/>
        <v>0</v>
      </c>
      <c r="AA61" s="71" t="str">
        <f t="shared" si="64"/>
        <v>L</v>
      </c>
      <c r="AB61" s="71" t="str">
        <f t="shared" si="64"/>
        <v>L</v>
      </c>
      <c r="AC61" s="71" t="str">
        <f t="shared" si="64"/>
        <v>W</v>
      </c>
      <c r="AD61" s="71" t="str">
        <f t="shared" si="64"/>
        <v>D</v>
      </c>
      <c r="AE61" s="71">
        <f t="shared" si="64"/>
        <v>0</v>
      </c>
      <c r="AF61" s="71" t="str">
        <f t="shared" si="64"/>
        <v>D</v>
      </c>
      <c r="AG61" s="71" t="str">
        <f t="shared" si="64"/>
        <v>L</v>
      </c>
      <c r="AH61" s="71" t="str">
        <f t="shared" si="64"/>
        <v>L</v>
      </c>
      <c r="AI61" s="71" t="str">
        <f t="shared" si="64"/>
        <v>W</v>
      </c>
      <c r="AJ61" s="71" t="str">
        <f t="shared" si="64"/>
        <v>D</v>
      </c>
      <c r="AK61" s="71" t="str">
        <f t="shared" si="64"/>
        <v>W</v>
      </c>
      <c r="AL61" s="71" t="str">
        <f t="shared" si="64"/>
        <v>L</v>
      </c>
      <c r="AM61" s="71" t="str">
        <f t="shared" si="64"/>
        <v>W</v>
      </c>
      <c r="AN61" s="71" t="str">
        <f t="shared" si="64"/>
        <v>L</v>
      </c>
      <c r="AO61" s="71">
        <f t="shared" si="64"/>
        <v>0</v>
      </c>
      <c r="AP61" s="71" t="str">
        <f t="shared" si="64"/>
        <v>L</v>
      </c>
      <c r="AQ61" s="71">
        <f t="shared" si="64"/>
        <v>0</v>
      </c>
      <c r="AR61" s="71">
        <f t="shared" si="64"/>
        <v>0</v>
      </c>
      <c r="AS61" s="71" t="str">
        <f t="shared" si="64"/>
        <v>W</v>
      </c>
      <c r="AT61" s="71" t="str">
        <f t="shared" si="64"/>
        <v>W</v>
      </c>
      <c r="AU61" s="71">
        <f t="shared" si="64"/>
        <v>0</v>
      </c>
      <c r="AV61" s="71">
        <f t="shared" si="64"/>
        <v>0</v>
      </c>
      <c r="AW61" s="71">
        <f t="shared" si="64"/>
        <v>0</v>
      </c>
      <c r="AX61" s="71">
        <f t="shared" si="64"/>
        <v>0</v>
      </c>
      <c r="AY61" s="71">
        <f t="shared" si="64"/>
        <v>0</v>
      </c>
      <c r="AZ61" s="71">
        <f t="shared" si="64"/>
        <v>0</v>
      </c>
      <c r="BA61" s="71">
        <f t="shared" si="64"/>
        <v>0</v>
      </c>
      <c r="BB61" s="71">
        <f t="shared" si="64"/>
        <v>0</v>
      </c>
      <c r="BC61" s="71">
        <f t="shared" si="64"/>
        <v>0</v>
      </c>
      <c r="BD61" s="71">
        <f t="shared" si="64"/>
        <v>0</v>
      </c>
      <c r="BE61" s="71">
        <f t="shared" si="64"/>
        <v>0</v>
      </c>
      <c r="BF61" s="71">
        <f t="shared" si="64"/>
        <v>0</v>
      </c>
      <c r="BG61" s="71">
        <f t="shared" si="64"/>
        <v>0</v>
      </c>
      <c r="BH61" s="71">
        <f t="shared" si="64"/>
        <v>0</v>
      </c>
      <c r="BI61" s="71">
        <f t="shared" si="64"/>
        <v>0</v>
      </c>
      <c r="BJ61" s="71">
        <f t="shared" si="64"/>
        <v>0</v>
      </c>
      <c r="BK61" s="71">
        <f t="shared" si="64"/>
        <v>0</v>
      </c>
      <c r="BL61" s="71">
        <f t="shared" si="64"/>
        <v>0</v>
      </c>
      <c r="BM61" s="71">
        <f t="shared" si="64"/>
        <v>0</v>
      </c>
      <c r="BN61" s="71">
        <f t="shared" si="64"/>
        <v>0</v>
      </c>
      <c r="BO61" s="71">
        <f t="shared" si="64"/>
        <v>0</v>
      </c>
      <c r="BP61" s="71">
        <f t="shared" si="64"/>
        <v>0</v>
      </c>
      <c r="BQ61" s="71">
        <f t="shared" ref="BQ61:CD61" si="65">BQ4</f>
        <v>0</v>
      </c>
      <c r="BR61" s="71">
        <f t="shared" si="65"/>
        <v>0</v>
      </c>
      <c r="BS61" s="71">
        <f t="shared" si="65"/>
        <v>0</v>
      </c>
      <c r="BT61" s="71">
        <f t="shared" si="65"/>
        <v>0</v>
      </c>
      <c r="BU61" s="71">
        <f t="shared" si="65"/>
        <v>0</v>
      </c>
      <c r="BV61" s="71">
        <f t="shared" si="65"/>
        <v>0</v>
      </c>
      <c r="BW61" s="71">
        <f t="shared" si="65"/>
        <v>0</v>
      </c>
      <c r="BX61" s="71">
        <f t="shared" si="65"/>
        <v>0</v>
      </c>
      <c r="BY61" s="71">
        <f t="shared" si="65"/>
        <v>0</v>
      </c>
      <c r="BZ61" s="71">
        <f t="shared" si="65"/>
        <v>0</v>
      </c>
      <c r="CA61" s="71">
        <f t="shared" si="65"/>
        <v>0</v>
      </c>
      <c r="CB61" s="71">
        <f t="shared" si="65"/>
        <v>0</v>
      </c>
      <c r="CC61" s="71">
        <f t="shared" si="65"/>
        <v>0</v>
      </c>
      <c r="CD61" s="71" t="e">
        <f t="shared" si="65"/>
        <v>#N/A</v>
      </c>
      <c r="CO61" s="76">
        <f>CO58/(CG56-CH56)</f>
        <v>17.094696969696969</v>
      </c>
    </row>
    <row r="62" spans="1:112" x14ac:dyDescent="0.15">
      <c r="C62" s="71">
        <v>1</v>
      </c>
      <c r="CE62" s="71">
        <f>MAX(D62:CD62)</f>
        <v>0</v>
      </c>
    </row>
    <row r="63" spans="1:112" x14ac:dyDescent="0.15">
      <c r="C63" s="71">
        <v>2</v>
      </c>
      <c r="CE63" s="71">
        <f t="shared" ref="CE63:CE72" si="66">MAX(D63:CD63)</f>
        <v>0</v>
      </c>
    </row>
    <row r="64" spans="1:112" x14ac:dyDescent="0.15">
      <c r="C64" s="71">
        <v>3</v>
      </c>
      <c r="CE64" s="71">
        <f t="shared" si="66"/>
        <v>0</v>
      </c>
    </row>
    <row r="65" spans="1:83" x14ac:dyDescent="0.15">
      <c r="C65" s="71">
        <v>4</v>
      </c>
      <c r="CE65" s="71">
        <f t="shared" si="66"/>
        <v>0</v>
      </c>
    </row>
    <row r="66" spans="1:83" x14ac:dyDescent="0.15">
      <c r="C66" s="71">
        <v>5</v>
      </c>
      <c r="CE66" s="71">
        <f t="shared" si="66"/>
        <v>0</v>
      </c>
    </row>
    <row r="67" spans="1:83" x14ac:dyDescent="0.15">
      <c r="C67" s="71">
        <v>6</v>
      </c>
      <c r="CE67" s="71">
        <f t="shared" si="66"/>
        <v>0</v>
      </c>
    </row>
    <row r="68" spans="1:83" x14ac:dyDescent="0.15">
      <c r="C68" s="71">
        <v>7</v>
      </c>
      <c r="CE68" s="71">
        <f t="shared" si="66"/>
        <v>0</v>
      </c>
    </row>
    <row r="69" spans="1:83" x14ac:dyDescent="0.15">
      <c r="C69" s="71">
        <v>8</v>
      </c>
      <c r="CE69" s="71">
        <f t="shared" si="66"/>
        <v>0</v>
      </c>
    </row>
    <row r="70" spans="1:83" x14ac:dyDescent="0.15">
      <c r="C70" s="71">
        <v>9</v>
      </c>
      <c r="CE70" s="71">
        <f t="shared" si="66"/>
        <v>0</v>
      </c>
    </row>
    <row r="71" spans="1:83" x14ac:dyDescent="0.15">
      <c r="C71" s="71">
        <v>10</v>
      </c>
      <c r="CE71" s="71">
        <f t="shared" si="66"/>
        <v>0</v>
      </c>
    </row>
    <row r="72" spans="1:83" x14ac:dyDescent="0.15">
      <c r="C72" s="71">
        <v>11</v>
      </c>
      <c r="CE72" s="71">
        <f t="shared" si="66"/>
        <v>0</v>
      </c>
    </row>
    <row r="73" spans="1:83" x14ac:dyDescent="0.15">
      <c r="D73" s="71">
        <f>Fours</f>
        <v>10</v>
      </c>
      <c r="E73" s="71">
        <v>8</v>
      </c>
    </row>
    <row r="74" spans="1:83" customFormat="1" x14ac:dyDescent="0.15">
      <c r="A74" s="127"/>
      <c r="B74" s="127"/>
      <c r="C74" s="127" t="str">
        <f>C5</f>
        <v>Alain</v>
      </c>
      <c r="D74" s="127">
        <f>BatSplit(D5,_xlnm.Extract)</f>
        <v>0</v>
      </c>
      <c r="E74" s="127">
        <f t="shared" ref="E74:AT74" si="67">BatSplit(E5,_xlnm.Extract)</f>
        <v>0</v>
      </c>
      <c r="F74" s="127">
        <f t="shared" si="67"/>
        <v>0</v>
      </c>
      <c r="G74" s="127">
        <f t="shared" si="67"/>
        <v>0</v>
      </c>
      <c r="H74" s="127">
        <f t="shared" si="67"/>
        <v>0</v>
      </c>
      <c r="I74" s="127">
        <f t="shared" si="67"/>
        <v>0</v>
      </c>
      <c r="J74" s="127">
        <f t="shared" si="67"/>
        <v>0</v>
      </c>
      <c r="K74" s="127">
        <f t="shared" si="67"/>
        <v>0</v>
      </c>
      <c r="L74" s="127">
        <f t="shared" si="67"/>
        <v>0</v>
      </c>
      <c r="M74" s="127">
        <f t="shared" si="67"/>
        <v>0</v>
      </c>
      <c r="N74" s="127">
        <f t="shared" si="67"/>
        <v>0</v>
      </c>
      <c r="O74" s="127">
        <f t="shared" si="67"/>
        <v>0</v>
      </c>
      <c r="P74" s="127">
        <f t="shared" si="67"/>
        <v>0</v>
      </c>
      <c r="Q74" s="127">
        <f t="shared" si="67"/>
        <v>0</v>
      </c>
      <c r="R74" s="127">
        <f t="shared" si="67"/>
        <v>0</v>
      </c>
      <c r="S74" s="127">
        <f t="shared" si="67"/>
        <v>0</v>
      </c>
      <c r="T74" s="127">
        <f t="shared" si="67"/>
        <v>0</v>
      </c>
      <c r="U74" s="127">
        <f t="shared" si="67"/>
        <v>0</v>
      </c>
      <c r="V74" s="127">
        <f t="shared" si="67"/>
        <v>0</v>
      </c>
      <c r="W74" s="127">
        <f t="shared" si="67"/>
        <v>0</v>
      </c>
      <c r="X74" s="127">
        <f t="shared" si="67"/>
        <v>0</v>
      </c>
      <c r="Y74" s="127">
        <f t="shared" si="67"/>
        <v>0</v>
      </c>
      <c r="Z74" s="127">
        <f t="shared" si="67"/>
        <v>0</v>
      </c>
      <c r="AA74" s="127">
        <f t="shared" si="67"/>
        <v>0</v>
      </c>
      <c r="AB74" s="127">
        <f t="shared" si="67"/>
        <v>0</v>
      </c>
      <c r="AC74" s="127">
        <f t="shared" si="67"/>
        <v>0</v>
      </c>
      <c r="AD74" s="127">
        <f t="shared" si="67"/>
        <v>0</v>
      </c>
      <c r="AE74" s="127">
        <f t="shared" si="67"/>
        <v>0</v>
      </c>
      <c r="AF74" s="127">
        <f t="shared" si="67"/>
        <v>0</v>
      </c>
      <c r="AG74" s="127">
        <f t="shared" si="67"/>
        <v>0</v>
      </c>
      <c r="AH74" s="127">
        <f t="shared" si="67"/>
        <v>0</v>
      </c>
      <c r="AI74" s="127">
        <f t="shared" si="67"/>
        <v>0</v>
      </c>
      <c r="AJ74" s="127">
        <f t="shared" si="67"/>
        <v>0</v>
      </c>
      <c r="AK74" s="127">
        <f t="shared" si="67"/>
        <v>0</v>
      </c>
      <c r="AL74" s="127">
        <f t="shared" si="67"/>
        <v>0</v>
      </c>
      <c r="AM74" s="127">
        <f t="shared" si="67"/>
        <v>0</v>
      </c>
      <c r="AN74" s="127">
        <f t="shared" si="67"/>
        <v>0</v>
      </c>
      <c r="AO74" s="127">
        <f t="shared" si="67"/>
        <v>0</v>
      </c>
      <c r="AP74" s="127">
        <f t="shared" si="67"/>
        <v>0</v>
      </c>
      <c r="AQ74" s="127">
        <f t="shared" si="67"/>
        <v>0</v>
      </c>
      <c r="AR74" s="127">
        <f t="shared" si="67"/>
        <v>0</v>
      </c>
      <c r="AS74" s="127">
        <f t="shared" si="67"/>
        <v>0</v>
      </c>
      <c r="AT74" s="127">
        <f t="shared" si="67"/>
        <v>0</v>
      </c>
    </row>
    <row r="75" spans="1:83" customFormat="1" x14ac:dyDescent="0.15">
      <c r="A75" s="127"/>
      <c r="B75" s="127"/>
      <c r="C75" s="127" t="str">
        <f>C6</f>
        <v>Angell A</v>
      </c>
      <c r="D75" s="127">
        <f t="shared" ref="D75:AT75" si="68">BatSplit(D6,_xlnm.Extract)</f>
        <v>0</v>
      </c>
      <c r="E75" s="127">
        <f t="shared" si="68"/>
        <v>0</v>
      </c>
      <c r="F75" s="127">
        <f t="shared" si="68"/>
        <v>0</v>
      </c>
      <c r="G75" s="127">
        <f t="shared" si="68"/>
        <v>2</v>
      </c>
      <c r="H75" s="127">
        <f t="shared" si="68"/>
        <v>0</v>
      </c>
      <c r="I75" s="127">
        <f t="shared" si="68"/>
        <v>0</v>
      </c>
      <c r="J75" s="127">
        <f t="shared" si="68"/>
        <v>0</v>
      </c>
      <c r="K75" s="127">
        <f t="shared" si="68"/>
        <v>0</v>
      </c>
      <c r="L75" s="127">
        <f t="shared" si="68"/>
        <v>0</v>
      </c>
      <c r="M75" s="127">
        <f t="shared" si="68"/>
        <v>0</v>
      </c>
      <c r="N75" s="127">
        <f t="shared" si="68"/>
        <v>0</v>
      </c>
      <c r="O75" s="127">
        <f t="shared" si="68"/>
        <v>0</v>
      </c>
      <c r="P75" s="127">
        <f t="shared" si="68"/>
        <v>0</v>
      </c>
      <c r="Q75" s="127">
        <f t="shared" si="68"/>
        <v>0</v>
      </c>
      <c r="R75" s="127">
        <f t="shared" si="68"/>
        <v>0</v>
      </c>
      <c r="S75" s="127">
        <f t="shared" si="68"/>
        <v>0</v>
      </c>
      <c r="T75" s="127">
        <f t="shared" si="68"/>
        <v>0</v>
      </c>
      <c r="U75" s="127">
        <f t="shared" si="68"/>
        <v>0</v>
      </c>
      <c r="V75" s="127">
        <f t="shared" si="68"/>
        <v>0</v>
      </c>
      <c r="W75" s="127">
        <f t="shared" si="68"/>
        <v>0</v>
      </c>
      <c r="X75" s="127">
        <f t="shared" si="68"/>
        <v>0</v>
      </c>
      <c r="Y75" s="127">
        <f t="shared" si="68"/>
        <v>0</v>
      </c>
      <c r="Z75" s="127">
        <f t="shared" si="68"/>
        <v>0</v>
      </c>
      <c r="AA75" s="127">
        <f t="shared" si="68"/>
        <v>1</v>
      </c>
      <c r="AB75" s="127">
        <f t="shared" si="68"/>
        <v>0</v>
      </c>
      <c r="AC75" s="127">
        <f t="shared" si="68"/>
        <v>0</v>
      </c>
      <c r="AD75" s="127">
        <f t="shared" si="68"/>
        <v>0</v>
      </c>
      <c r="AE75" s="127">
        <f t="shared" si="68"/>
        <v>0</v>
      </c>
      <c r="AF75" s="127">
        <f t="shared" si="68"/>
        <v>0</v>
      </c>
      <c r="AG75" s="127">
        <f t="shared" si="68"/>
        <v>1</v>
      </c>
      <c r="AH75" s="127">
        <f t="shared" si="68"/>
        <v>3</v>
      </c>
      <c r="AI75" s="127">
        <f t="shared" si="68"/>
        <v>0</v>
      </c>
      <c r="AJ75" s="127">
        <f t="shared" si="68"/>
        <v>0</v>
      </c>
      <c r="AK75" s="127">
        <f t="shared" si="68"/>
        <v>0</v>
      </c>
      <c r="AL75" s="127">
        <f t="shared" si="68"/>
        <v>0</v>
      </c>
      <c r="AM75" s="127">
        <f t="shared" si="68"/>
        <v>0</v>
      </c>
      <c r="AN75" s="127">
        <f t="shared" si="68"/>
        <v>0</v>
      </c>
      <c r="AO75" s="127">
        <f t="shared" si="68"/>
        <v>0</v>
      </c>
      <c r="AP75" s="127">
        <f t="shared" si="68"/>
        <v>0</v>
      </c>
      <c r="AQ75" s="127">
        <f t="shared" si="68"/>
        <v>0</v>
      </c>
      <c r="AR75" s="127">
        <f t="shared" si="68"/>
        <v>0</v>
      </c>
      <c r="AS75" s="127">
        <f t="shared" si="68"/>
        <v>0</v>
      </c>
      <c r="AT75" s="127">
        <f t="shared" si="68"/>
        <v>0</v>
      </c>
    </row>
    <row r="76" spans="1:83" customFormat="1" x14ac:dyDescent="0.15">
      <c r="A76" s="127"/>
      <c r="B76" s="127"/>
      <c r="C76" s="127" t="str">
        <f t="shared" ref="C76:C119" si="69">C7</f>
        <v>Bowers M</v>
      </c>
      <c r="D76" s="127">
        <f t="shared" ref="D76:AT76" si="70">BatSplit(D7,_xlnm.Extract)</f>
        <v>0</v>
      </c>
      <c r="E76" s="127">
        <f t="shared" si="70"/>
        <v>0</v>
      </c>
      <c r="F76" s="127">
        <f t="shared" si="70"/>
        <v>0</v>
      </c>
      <c r="G76" s="127">
        <f t="shared" si="70"/>
        <v>0</v>
      </c>
      <c r="H76" s="127">
        <f t="shared" si="70"/>
        <v>0</v>
      </c>
      <c r="I76" s="127">
        <f t="shared" si="70"/>
        <v>0</v>
      </c>
      <c r="J76" s="127">
        <f t="shared" si="70"/>
        <v>0</v>
      </c>
      <c r="K76" s="127">
        <f t="shared" si="70"/>
        <v>0</v>
      </c>
      <c r="L76" s="127">
        <f t="shared" si="70"/>
        <v>0</v>
      </c>
      <c r="M76" s="127">
        <f t="shared" si="70"/>
        <v>0</v>
      </c>
      <c r="N76" s="127">
        <f t="shared" si="70"/>
        <v>0</v>
      </c>
      <c r="O76" s="127">
        <f t="shared" si="70"/>
        <v>0</v>
      </c>
      <c r="P76" s="127">
        <f t="shared" si="70"/>
        <v>0</v>
      </c>
      <c r="Q76" s="127">
        <f t="shared" si="70"/>
        <v>0</v>
      </c>
      <c r="R76" s="127">
        <f t="shared" si="70"/>
        <v>0</v>
      </c>
      <c r="S76" s="127">
        <f t="shared" si="70"/>
        <v>0</v>
      </c>
      <c r="T76" s="127">
        <f t="shared" si="70"/>
        <v>0</v>
      </c>
      <c r="U76" s="127">
        <f t="shared" si="70"/>
        <v>0</v>
      </c>
      <c r="V76" s="127">
        <f t="shared" si="70"/>
        <v>0</v>
      </c>
      <c r="W76" s="127">
        <f t="shared" si="70"/>
        <v>0</v>
      </c>
      <c r="X76" s="127">
        <f t="shared" si="70"/>
        <v>0</v>
      </c>
      <c r="Y76" s="127">
        <f t="shared" si="70"/>
        <v>0</v>
      </c>
      <c r="Z76" s="127">
        <f t="shared" si="70"/>
        <v>0</v>
      </c>
      <c r="AA76" s="127">
        <f t="shared" si="70"/>
        <v>0</v>
      </c>
      <c r="AB76" s="127">
        <f t="shared" si="70"/>
        <v>0</v>
      </c>
      <c r="AC76" s="127">
        <f t="shared" si="70"/>
        <v>0</v>
      </c>
      <c r="AD76" s="127">
        <f t="shared" si="70"/>
        <v>0</v>
      </c>
      <c r="AE76" s="127">
        <f t="shared" si="70"/>
        <v>0</v>
      </c>
      <c r="AF76" s="127">
        <f t="shared" si="70"/>
        <v>0</v>
      </c>
      <c r="AG76" s="127">
        <f t="shared" si="70"/>
        <v>0</v>
      </c>
      <c r="AH76" s="127">
        <f t="shared" si="70"/>
        <v>2</v>
      </c>
      <c r="AI76" s="127">
        <f t="shared" si="70"/>
        <v>0</v>
      </c>
      <c r="AJ76" s="127">
        <f t="shared" si="70"/>
        <v>0</v>
      </c>
      <c r="AK76" s="127">
        <f t="shared" si="70"/>
        <v>0</v>
      </c>
      <c r="AL76" s="127">
        <f t="shared" si="70"/>
        <v>0</v>
      </c>
      <c r="AM76" s="127">
        <f t="shared" si="70"/>
        <v>0</v>
      </c>
      <c r="AN76" s="127">
        <f t="shared" si="70"/>
        <v>0</v>
      </c>
      <c r="AO76" s="127">
        <f t="shared" si="70"/>
        <v>0</v>
      </c>
      <c r="AP76" s="127">
        <f t="shared" si="70"/>
        <v>0</v>
      </c>
      <c r="AQ76" s="127">
        <f t="shared" si="70"/>
        <v>0</v>
      </c>
      <c r="AR76" s="127">
        <f t="shared" si="70"/>
        <v>0</v>
      </c>
      <c r="AS76" s="127">
        <f t="shared" si="70"/>
        <v>0</v>
      </c>
      <c r="AT76" s="127">
        <f t="shared" si="70"/>
        <v>0</v>
      </c>
    </row>
    <row r="77" spans="1:83" customFormat="1" x14ac:dyDescent="0.15">
      <c r="A77" s="127"/>
      <c r="B77" s="127"/>
      <c r="C77" s="127" t="str">
        <f t="shared" si="69"/>
        <v>Brocks D</v>
      </c>
      <c r="D77" s="127">
        <f t="shared" ref="D77:AT77" si="71">BatSplit(D8,_xlnm.Extract)</f>
        <v>0</v>
      </c>
      <c r="E77" s="127">
        <f t="shared" si="71"/>
        <v>0</v>
      </c>
      <c r="F77" s="127">
        <f t="shared" si="71"/>
        <v>0</v>
      </c>
      <c r="G77" s="127">
        <f t="shared" si="71"/>
        <v>0</v>
      </c>
      <c r="H77" s="127">
        <f t="shared" si="71"/>
        <v>0</v>
      </c>
      <c r="I77" s="127">
        <f t="shared" si="71"/>
        <v>0</v>
      </c>
      <c r="J77" s="127">
        <f t="shared" si="71"/>
        <v>0</v>
      </c>
      <c r="K77" s="127">
        <f t="shared" si="71"/>
        <v>0</v>
      </c>
      <c r="L77" s="127">
        <f t="shared" si="71"/>
        <v>2</v>
      </c>
      <c r="M77" s="127">
        <f t="shared" si="71"/>
        <v>3</v>
      </c>
      <c r="N77" s="127">
        <f t="shared" si="71"/>
        <v>0</v>
      </c>
      <c r="O77" s="127">
        <f t="shared" si="71"/>
        <v>0</v>
      </c>
      <c r="P77" s="127">
        <f t="shared" si="71"/>
        <v>0</v>
      </c>
      <c r="Q77" s="127">
        <f t="shared" si="71"/>
        <v>0</v>
      </c>
      <c r="R77" s="127">
        <f t="shared" si="71"/>
        <v>0</v>
      </c>
      <c r="S77" s="127">
        <f t="shared" si="71"/>
        <v>0</v>
      </c>
      <c r="T77" s="127">
        <f t="shared" si="71"/>
        <v>0</v>
      </c>
      <c r="U77" s="127">
        <f t="shared" si="71"/>
        <v>0</v>
      </c>
      <c r="V77" s="127">
        <f t="shared" si="71"/>
        <v>0</v>
      </c>
      <c r="W77" s="127">
        <f t="shared" si="71"/>
        <v>3</v>
      </c>
      <c r="X77" s="127">
        <f t="shared" si="71"/>
        <v>0</v>
      </c>
      <c r="Y77" s="127">
        <f t="shared" si="71"/>
        <v>0</v>
      </c>
      <c r="Z77" s="127">
        <f t="shared" si="71"/>
        <v>0</v>
      </c>
      <c r="AA77" s="127">
        <f t="shared" si="71"/>
        <v>0</v>
      </c>
      <c r="AB77" s="127">
        <f t="shared" si="71"/>
        <v>0</v>
      </c>
      <c r="AC77" s="127">
        <f t="shared" si="71"/>
        <v>0</v>
      </c>
      <c r="AD77" s="127">
        <f t="shared" si="71"/>
        <v>0</v>
      </c>
      <c r="AE77" s="127">
        <f t="shared" si="71"/>
        <v>0</v>
      </c>
      <c r="AF77" s="127">
        <f t="shared" si="71"/>
        <v>0</v>
      </c>
      <c r="AG77" s="127">
        <f t="shared" si="71"/>
        <v>0</v>
      </c>
      <c r="AH77" s="127">
        <f t="shared" si="71"/>
        <v>0</v>
      </c>
      <c r="AI77" s="127">
        <f t="shared" si="71"/>
        <v>0</v>
      </c>
      <c r="AJ77" s="127">
        <f t="shared" si="71"/>
        <v>0</v>
      </c>
      <c r="AK77" s="127">
        <f t="shared" si="71"/>
        <v>0</v>
      </c>
      <c r="AL77" s="127">
        <f t="shared" si="71"/>
        <v>0</v>
      </c>
      <c r="AM77" s="127">
        <f t="shared" si="71"/>
        <v>0</v>
      </c>
      <c r="AN77" s="127">
        <f t="shared" si="71"/>
        <v>0</v>
      </c>
      <c r="AO77" s="127">
        <f t="shared" si="71"/>
        <v>0</v>
      </c>
      <c r="AP77" s="127">
        <f t="shared" si="71"/>
        <v>0</v>
      </c>
      <c r="AQ77" s="127">
        <f t="shared" si="71"/>
        <v>0</v>
      </c>
      <c r="AR77" s="127">
        <f t="shared" si="71"/>
        <v>0</v>
      </c>
      <c r="AS77" s="127">
        <f t="shared" si="71"/>
        <v>0</v>
      </c>
      <c r="AT77" s="127">
        <f t="shared" si="71"/>
        <v>0</v>
      </c>
    </row>
    <row r="78" spans="1:83" customFormat="1" x14ac:dyDescent="0.15">
      <c r="A78" s="127"/>
      <c r="B78" s="127"/>
      <c r="C78" s="127" t="str">
        <f t="shared" si="69"/>
        <v>Clark C</v>
      </c>
      <c r="D78" s="127">
        <f t="shared" ref="D78:AT78" si="72">BatSplit(D9,_xlnm.Extract)</f>
        <v>0</v>
      </c>
      <c r="E78" s="127">
        <f t="shared" si="72"/>
        <v>0</v>
      </c>
      <c r="F78" s="127">
        <f t="shared" si="72"/>
        <v>0</v>
      </c>
      <c r="G78" s="127">
        <f t="shared" si="72"/>
        <v>0</v>
      </c>
      <c r="H78" s="127">
        <f t="shared" si="72"/>
        <v>0</v>
      </c>
      <c r="I78" s="127">
        <f t="shared" si="72"/>
        <v>0</v>
      </c>
      <c r="J78" s="127">
        <f t="shared" si="72"/>
        <v>1</v>
      </c>
      <c r="K78" s="127">
        <f t="shared" si="72"/>
        <v>0</v>
      </c>
      <c r="L78" s="127">
        <f t="shared" si="72"/>
        <v>0</v>
      </c>
      <c r="M78" s="127">
        <f t="shared" si="72"/>
        <v>0</v>
      </c>
      <c r="N78" s="127">
        <f t="shared" si="72"/>
        <v>0</v>
      </c>
      <c r="O78" s="127">
        <f t="shared" si="72"/>
        <v>0</v>
      </c>
      <c r="P78" s="127">
        <f t="shared" si="72"/>
        <v>0</v>
      </c>
      <c r="Q78" s="127">
        <f t="shared" si="72"/>
        <v>0</v>
      </c>
      <c r="R78" s="127">
        <f t="shared" si="72"/>
        <v>0</v>
      </c>
      <c r="S78" s="127">
        <f t="shared" si="72"/>
        <v>0</v>
      </c>
      <c r="T78" s="127">
        <f t="shared" si="72"/>
        <v>0</v>
      </c>
      <c r="U78" s="127">
        <f t="shared" si="72"/>
        <v>0</v>
      </c>
      <c r="V78" s="127">
        <f t="shared" si="72"/>
        <v>0</v>
      </c>
      <c r="W78" s="127">
        <f t="shared" si="72"/>
        <v>0</v>
      </c>
      <c r="X78" s="127">
        <f t="shared" si="72"/>
        <v>0</v>
      </c>
      <c r="Y78" s="127">
        <f t="shared" si="72"/>
        <v>6</v>
      </c>
      <c r="Z78" s="127">
        <f t="shared" si="72"/>
        <v>0</v>
      </c>
      <c r="AA78" s="127">
        <f t="shared" si="72"/>
        <v>0</v>
      </c>
      <c r="AB78" s="127">
        <f t="shared" si="72"/>
        <v>2</v>
      </c>
      <c r="AC78" s="127">
        <f t="shared" si="72"/>
        <v>0</v>
      </c>
      <c r="AD78" s="127">
        <f t="shared" si="72"/>
        <v>0</v>
      </c>
      <c r="AE78" s="127">
        <f t="shared" si="72"/>
        <v>0</v>
      </c>
      <c r="AF78" s="127">
        <f t="shared" si="72"/>
        <v>0</v>
      </c>
      <c r="AG78" s="127">
        <f t="shared" si="72"/>
        <v>0</v>
      </c>
      <c r="AH78" s="127">
        <f t="shared" si="72"/>
        <v>0</v>
      </c>
      <c r="AI78" s="127">
        <f t="shared" si="72"/>
        <v>0</v>
      </c>
      <c r="AJ78" s="127">
        <f t="shared" si="72"/>
        <v>0</v>
      </c>
      <c r="AK78" s="127">
        <f t="shared" si="72"/>
        <v>0</v>
      </c>
      <c r="AL78" s="127">
        <f t="shared" si="72"/>
        <v>0</v>
      </c>
      <c r="AM78" s="127">
        <f t="shared" si="72"/>
        <v>0</v>
      </c>
      <c r="AN78" s="127">
        <f t="shared" si="72"/>
        <v>0</v>
      </c>
      <c r="AO78" s="127">
        <f t="shared" si="72"/>
        <v>0</v>
      </c>
      <c r="AP78" s="127">
        <f t="shared" si="72"/>
        <v>2</v>
      </c>
      <c r="AQ78" s="127">
        <f t="shared" si="72"/>
        <v>0</v>
      </c>
      <c r="AR78" s="127">
        <f t="shared" si="72"/>
        <v>0</v>
      </c>
      <c r="AS78" s="127">
        <f t="shared" si="72"/>
        <v>0</v>
      </c>
      <c r="AT78" s="127">
        <f t="shared" si="72"/>
        <v>0</v>
      </c>
    </row>
    <row r="79" spans="1:83" customFormat="1" x14ac:dyDescent="0.15">
      <c r="A79" s="127"/>
      <c r="B79" s="127"/>
      <c r="C79" s="127" t="str">
        <f t="shared" si="69"/>
        <v>Coloe A</v>
      </c>
      <c r="D79" s="127">
        <f t="shared" ref="D79:AT79" si="73">BatSplit(D10,_xlnm.Extract)</f>
        <v>0</v>
      </c>
      <c r="E79" s="127">
        <f t="shared" si="73"/>
        <v>3</v>
      </c>
      <c r="F79" s="127">
        <f t="shared" si="73"/>
        <v>0</v>
      </c>
      <c r="G79" s="127">
        <f t="shared" si="73"/>
        <v>0</v>
      </c>
      <c r="H79" s="127">
        <f t="shared" si="73"/>
        <v>0</v>
      </c>
      <c r="I79" s="127">
        <f t="shared" si="73"/>
        <v>0</v>
      </c>
      <c r="J79" s="127">
        <f t="shared" si="73"/>
        <v>0</v>
      </c>
      <c r="K79" s="127">
        <f t="shared" si="73"/>
        <v>0</v>
      </c>
      <c r="L79" s="127">
        <f t="shared" si="73"/>
        <v>0</v>
      </c>
      <c r="M79" s="127">
        <f t="shared" si="73"/>
        <v>0</v>
      </c>
      <c r="N79" s="127">
        <f t="shared" si="73"/>
        <v>0</v>
      </c>
      <c r="O79" s="127">
        <f t="shared" si="73"/>
        <v>0</v>
      </c>
      <c r="P79" s="127">
        <f t="shared" si="73"/>
        <v>0</v>
      </c>
      <c r="Q79" s="127">
        <f t="shared" si="73"/>
        <v>0</v>
      </c>
      <c r="R79" s="127">
        <f t="shared" si="73"/>
        <v>0</v>
      </c>
      <c r="S79" s="127">
        <f t="shared" si="73"/>
        <v>0</v>
      </c>
      <c r="T79" s="127">
        <f t="shared" si="73"/>
        <v>0</v>
      </c>
      <c r="U79" s="127">
        <f t="shared" si="73"/>
        <v>0</v>
      </c>
      <c r="V79" s="127">
        <f t="shared" si="73"/>
        <v>0</v>
      </c>
      <c r="W79" s="127">
        <f t="shared" si="73"/>
        <v>0</v>
      </c>
      <c r="X79" s="127">
        <f t="shared" si="73"/>
        <v>0</v>
      </c>
      <c r="Y79" s="127">
        <f t="shared" si="73"/>
        <v>0</v>
      </c>
      <c r="Z79" s="127">
        <f t="shared" si="73"/>
        <v>0</v>
      </c>
      <c r="AA79" s="127">
        <f t="shared" si="73"/>
        <v>0</v>
      </c>
      <c r="AB79" s="127">
        <f t="shared" si="73"/>
        <v>0</v>
      </c>
      <c r="AC79" s="127">
        <f t="shared" si="73"/>
        <v>6</v>
      </c>
      <c r="AD79" s="127">
        <f t="shared" si="73"/>
        <v>0</v>
      </c>
      <c r="AE79" s="127">
        <f t="shared" si="73"/>
        <v>0</v>
      </c>
      <c r="AF79" s="127">
        <f t="shared" si="73"/>
        <v>0</v>
      </c>
      <c r="AG79" s="127">
        <f t="shared" si="73"/>
        <v>2</v>
      </c>
      <c r="AH79" s="127">
        <f t="shared" si="73"/>
        <v>0</v>
      </c>
      <c r="AI79" s="127">
        <f t="shared" si="73"/>
        <v>2</v>
      </c>
      <c r="AJ79" s="127">
        <f t="shared" si="73"/>
        <v>0</v>
      </c>
      <c r="AK79" s="127">
        <f t="shared" si="73"/>
        <v>0</v>
      </c>
      <c r="AL79" s="127">
        <f t="shared" si="73"/>
        <v>0</v>
      </c>
      <c r="AM79" s="127">
        <f t="shared" si="73"/>
        <v>0</v>
      </c>
      <c r="AN79" s="127">
        <f t="shared" si="73"/>
        <v>0</v>
      </c>
      <c r="AO79" s="127">
        <f t="shared" si="73"/>
        <v>0</v>
      </c>
      <c r="AP79" s="127">
        <f t="shared" si="73"/>
        <v>10</v>
      </c>
      <c r="AQ79" s="127">
        <f t="shared" si="73"/>
        <v>0</v>
      </c>
      <c r="AR79" s="127">
        <f t="shared" si="73"/>
        <v>0</v>
      </c>
      <c r="AS79" s="127">
        <f t="shared" si="73"/>
        <v>0</v>
      </c>
      <c r="AT79" s="127">
        <f t="shared" si="73"/>
        <v>0</v>
      </c>
    </row>
    <row r="80" spans="1:83" customFormat="1" x14ac:dyDescent="0.15">
      <c r="A80" s="127"/>
      <c r="B80" s="127"/>
      <c r="C80" s="127" t="str">
        <f t="shared" si="69"/>
        <v>Cooper G</v>
      </c>
      <c r="D80" s="127">
        <f t="shared" ref="D80:AT80" si="74">BatSplit(D11,_xlnm.Extract)</f>
        <v>0</v>
      </c>
      <c r="E80" s="127">
        <f t="shared" si="74"/>
        <v>0</v>
      </c>
      <c r="F80" s="127">
        <f t="shared" si="74"/>
        <v>0</v>
      </c>
      <c r="G80" s="127">
        <f t="shared" si="74"/>
        <v>1</v>
      </c>
      <c r="H80" s="127">
        <f t="shared" si="74"/>
        <v>0</v>
      </c>
      <c r="I80" s="127">
        <f t="shared" si="74"/>
        <v>1</v>
      </c>
      <c r="J80" s="127">
        <f t="shared" si="74"/>
        <v>3</v>
      </c>
      <c r="K80" s="127">
        <f t="shared" si="74"/>
        <v>0</v>
      </c>
      <c r="L80" s="127">
        <f t="shared" si="74"/>
        <v>0</v>
      </c>
      <c r="M80" s="127">
        <f t="shared" si="74"/>
        <v>0</v>
      </c>
      <c r="N80" s="127">
        <f t="shared" si="74"/>
        <v>0</v>
      </c>
      <c r="O80" s="127">
        <f t="shared" si="74"/>
        <v>0</v>
      </c>
      <c r="P80" s="127">
        <f t="shared" si="74"/>
        <v>0</v>
      </c>
      <c r="Q80" s="127">
        <f t="shared" si="74"/>
        <v>0</v>
      </c>
      <c r="R80" s="127">
        <f t="shared" si="74"/>
        <v>4</v>
      </c>
      <c r="S80" s="127">
        <f t="shared" si="74"/>
        <v>0</v>
      </c>
      <c r="T80" s="127">
        <f t="shared" si="74"/>
        <v>0</v>
      </c>
      <c r="U80" s="127">
        <f t="shared" si="74"/>
        <v>0</v>
      </c>
      <c r="V80" s="127">
        <f t="shared" si="74"/>
        <v>0</v>
      </c>
      <c r="W80" s="127">
        <f t="shared" si="74"/>
        <v>0</v>
      </c>
      <c r="X80" s="127">
        <f t="shared" si="74"/>
        <v>0</v>
      </c>
      <c r="Y80" s="127">
        <f t="shared" si="74"/>
        <v>0</v>
      </c>
      <c r="Z80" s="127">
        <f t="shared" si="74"/>
        <v>0</v>
      </c>
      <c r="AA80" s="127">
        <f t="shared" si="74"/>
        <v>7</v>
      </c>
      <c r="AB80" s="127">
        <f t="shared" si="74"/>
        <v>1</v>
      </c>
      <c r="AC80" s="127">
        <f t="shared" si="74"/>
        <v>1</v>
      </c>
      <c r="AD80" s="127">
        <f t="shared" si="74"/>
        <v>0</v>
      </c>
      <c r="AE80" s="127">
        <f t="shared" si="74"/>
        <v>0</v>
      </c>
      <c r="AF80" s="127">
        <f t="shared" si="74"/>
        <v>0</v>
      </c>
      <c r="AG80" s="127">
        <f t="shared" si="74"/>
        <v>3</v>
      </c>
      <c r="AH80" s="127">
        <f t="shared" si="74"/>
        <v>0</v>
      </c>
      <c r="AI80" s="127">
        <f t="shared" si="74"/>
        <v>0</v>
      </c>
      <c r="AJ80" s="127">
        <f t="shared" si="74"/>
        <v>0</v>
      </c>
      <c r="AK80" s="127">
        <f t="shared" si="74"/>
        <v>1</v>
      </c>
      <c r="AL80" s="127">
        <f t="shared" si="74"/>
        <v>0</v>
      </c>
      <c r="AM80" s="127">
        <f t="shared" si="74"/>
        <v>0</v>
      </c>
      <c r="AN80" s="127">
        <f t="shared" si="74"/>
        <v>2</v>
      </c>
      <c r="AO80" s="127">
        <f t="shared" si="74"/>
        <v>0</v>
      </c>
      <c r="AP80" s="127">
        <f t="shared" si="74"/>
        <v>3</v>
      </c>
      <c r="AQ80" s="127">
        <f t="shared" si="74"/>
        <v>0</v>
      </c>
      <c r="AR80" s="127">
        <f t="shared" si="74"/>
        <v>0</v>
      </c>
      <c r="AS80" s="127">
        <f t="shared" si="74"/>
        <v>0</v>
      </c>
      <c r="AT80" s="127">
        <f t="shared" si="74"/>
        <v>0</v>
      </c>
    </row>
    <row r="81" spans="1:46" customFormat="1" x14ac:dyDescent="0.15">
      <c r="A81" s="127"/>
      <c r="B81" s="127"/>
      <c r="C81" s="127" t="str">
        <f t="shared" si="69"/>
        <v>Cox M</v>
      </c>
      <c r="D81" s="127">
        <f t="shared" ref="D81:AT81" si="75">BatSplit(D12,_xlnm.Extract)</f>
        <v>0</v>
      </c>
      <c r="E81" s="127">
        <f t="shared" si="75"/>
        <v>0</v>
      </c>
      <c r="F81" s="127">
        <f t="shared" si="75"/>
        <v>0</v>
      </c>
      <c r="G81" s="127">
        <f t="shared" si="75"/>
        <v>0</v>
      </c>
      <c r="H81" s="127">
        <f t="shared" si="75"/>
        <v>0</v>
      </c>
      <c r="I81" s="127">
        <f t="shared" si="75"/>
        <v>0</v>
      </c>
      <c r="J81" s="127">
        <f t="shared" si="75"/>
        <v>0</v>
      </c>
      <c r="K81" s="127">
        <f t="shared" si="75"/>
        <v>0</v>
      </c>
      <c r="L81" s="127">
        <f t="shared" si="75"/>
        <v>0</v>
      </c>
      <c r="M81" s="127">
        <f t="shared" si="75"/>
        <v>0</v>
      </c>
      <c r="N81" s="127">
        <f t="shared" si="75"/>
        <v>0</v>
      </c>
      <c r="O81" s="127">
        <f t="shared" si="75"/>
        <v>0</v>
      </c>
      <c r="P81" s="127">
        <f t="shared" si="75"/>
        <v>0</v>
      </c>
      <c r="Q81" s="127">
        <f t="shared" si="75"/>
        <v>0</v>
      </c>
      <c r="R81" s="127">
        <f t="shared" si="75"/>
        <v>0</v>
      </c>
      <c r="S81" s="127">
        <f t="shared" si="75"/>
        <v>0</v>
      </c>
      <c r="T81" s="127">
        <f t="shared" si="75"/>
        <v>0</v>
      </c>
      <c r="U81" s="127">
        <f t="shared" si="75"/>
        <v>0</v>
      </c>
      <c r="V81" s="127">
        <f t="shared" si="75"/>
        <v>0</v>
      </c>
      <c r="W81" s="127">
        <f t="shared" si="75"/>
        <v>0</v>
      </c>
      <c r="X81" s="127">
        <f t="shared" si="75"/>
        <v>0</v>
      </c>
      <c r="Y81" s="127">
        <f t="shared" si="75"/>
        <v>0</v>
      </c>
      <c r="Z81" s="127">
        <f t="shared" si="75"/>
        <v>0</v>
      </c>
      <c r="AA81" s="127">
        <f t="shared" si="75"/>
        <v>0</v>
      </c>
      <c r="AB81" s="127">
        <f t="shared" si="75"/>
        <v>0</v>
      </c>
      <c r="AC81" s="127">
        <f t="shared" si="75"/>
        <v>0</v>
      </c>
      <c r="AD81" s="127">
        <f t="shared" si="75"/>
        <v>0</v>
      </c>
      <c r="AE81" s="127">
        <f t="shared" si="75"/>
        <v>0</v>
      </c>
      <c r="AF81" s="127">
        <f t="shared" si="75"/>
        <v>0</v>
      </c>
      <c r="AG81" s="127">
        <f t="shared" si="75"/>
        <v>0</v>
      </c>
      <c r="AH81" s="127">
        <f t="shared" si="75"/>
        <v>0</v>
      </c>
      <c r="AI81" s="127">
        <f t="shared" si="75"/>
        <v>0</v>
      </c>
      <c r="AJ81" s="127">
        <f t="shared" si="75"/>
        <v>0</v>
      </c>
      <c r="AK81" s="127">
        <f t="shared" si="75"/>
        <v>0</v>
      </c>
      <c r="AL81" s="127">
        <f t="shared" si="75"/>
        <v>0</v>
      </c>
      <c r="AM81" s="127">
        <f t="shared" si="75"/>
        <v>10</v>
      </c>
      <c r="AN81" s="127">
        <f t="shared" si="75"/>
        <v>0</v>
      </c>
      <c r="AO81" s="127">
        <f t="shared" si="75"/>
        <v>0</v>
      </c>
      <c r="AP81" s="127">
        <f t="shared" si="75"/>
        <v>0</v>
      </c>
      <c r="AQ81" s="127">
        <f t="shared" si="75"/>
        <v>0</v>
      </c>
      <c r="AR81" s="127">
        <f t="shared" si="75"/>
        <v>0</v>
      </c>
      <c r="AS81" s="127">
        <f t="shared" si="75"/>
        <v>0</v>
      </c>
      <c r="AT81" s="127">
        <f t="shared" si="75"/>
        <v>0</v>
      </c>
    </row>
    <row r="82" spans="1:46" customFormat="1" x14ac:dyDescent="0.15">
      <c r="A82" s="127"/>
      <c r="B82" s="127"/>
      <c r="C82" s="127" t="str">
        <f t="shared" si="69"/>
        <v>Crisford J</v>
      </c>
      <c r="D82" s="127">
        <f t="shared" ref="D82:AT82" si="76">BatSplit(D13,_xlnm.Extract)</f>
        <v>0</v>
      </c>
      <c r="E82" s="127">
        <f t="shared" si="76"/>
        <v>0</v>
      </c>
      <c r="F82" s="127">
        <f t="shared" si="76"/>
        <v>0</v>
      </c>
      <c r="G82" s="127">
        <f t="shared" si="76"/>
        <v>1</v>
      </c>
      <c r="H82" s="127">
        <f t="shared" si="76"/>
        <v>0</v>
      </c>
      <c r="I82" s="127">
        <f t="shared" si="76"/>
        <v>0</v>
      </c>
      <c r="J82" s="127">
        <f t="shared" si="76"/>
        <v>0</v>
      </c>
      <c r="K82" s="127">
        <f t="shared" si="76"/>
        <v>0</v>
      </c>
      <c r="L82" s="127">
        <f t="shared" si="76"/>
        <v>0</v>
      </c>
      <c r="M82" s="127">
        <f t="shared" si="76"/>
        <v>0</v>
      </c>
      <c r="N82" s="127">
        <f t="shared" si="76"/>
        <v>0</v>
      </c>
      <c r="O82" s="127">
        <f t="shared" si="76"/>
        <v>0</v>
      </c>
      <c r="P82" s="127">
        <f t="shared" si="76"/>
        <v>0</v>
      </c>
      <c r="Q82" s="127">
        <f t="shared" si="76"/>
        <v>0</v>
      </c>
      <c r="R82" s="127">
        <f t="shared" si="76"/>
        <v>0</v>
      </c>
      <c r="S82" s="127">
        <f t="shared" si="76"/>
        <v>0</v>
      </c>
      <c r="T82" s="127">
        <f t="shared" si="76"/>
        <v>0</v>
      </c>
      <c r="U82" s="127">
        <f t="shared" si="76"/>
        <v>0</v>
      </c>
      <c r="V82" s="127">
        <f t="shared" si="76"/>
        <v>0</v>
      </c>
      <c r="W82" s="127">
        <f t="shared" si="76"/>
        <v>0</v>
      </c>
      <c r="X82" s="127">
        <f t="shared" si="76"/>
        <v>0</v>
      </c>
      <c r="Y82" s="127">
        <f t="shared" si="76"/>
        <v>0</v>
      </c>
      <c r="Z82" s="127">
        <f t="shared" si="76"/>
        <v>0</v>
      </c>
      <c r="AA82" s="127">
        <f t="shared" si="76"/>
        <v>0</v>
      </c>
      <c r="AB82" s="127">
        <f t="shared" si="76"/>
        <v>0</v>
      </c>
      <c r="AC82" s="127">
        <f t="shared" si="76"/>
        <v>0</v>
      </c>
      <c r="AD82" s="127">
        <f t="shared" si="76"/>
        <v>0</v>
      </c>
      <c r="AE82" s="127">
        <f t="shared" si="76"/>
        <v>0</v>
      </c>
      <c r="AF82" s="127">
        <f t="shared" si="76"/>
        <v>0</v>
      </c>
      <c r="AG82" s="127">
        <f t="shared" si="76"/>
        <v>0</v>
      </c>
      <c r="AH82" s="127">
        <f t="shared" si="76"/>
        <v>0</v>
      </c>
      <c r="AI82" s="127">
        <f t="shared" si="76"/>
        <v>0</v>
      </c>
      <c r="AJ82" s="127">
        <f t="shared" si="76"/>
        <v>0</v>
      </c>
      <c r="AK82" s="127">
        <f t="shared" si="76"/>
        <v>0</v>
      </c>
      <c r="AL82" s="127">
        <f t="shared" si="76"/>
        <v>0</v>
      </c>
      <c r="AM82" s="127">
        <f t="shared" si="76"/>
        <v>0</v>
      </c>
      <c r="AN82" s="127">
        <f t="shared" si="76"/>
        <v>0</v>
      </c>
      <c r="AO82" s="127">
        <f t="shared" si="76"/>
        <v>0</v>
      </c>
      <c r="AP82" s="127">
        <f t="shared" si="76"/>
        <v>0</v>
      </c>
      <c r="AQ82" s="127">
        <f t="shared" si="76"/>
        <v>0</v>
      </c>
      <c r="AR82" s="127">
        <f t="shared" si="76"/>
        <v>0</v>
      </c>
      <c r="AS82" s="127">
        <f t="shared" si="76"/>
        <v>0</v>
      </c>
      <c r="AT82" s="127">
        <f t="shared" si="76"/>
        <v>0</v>
      </c>
    </row>
    <row r="83" spans="1:46" customFormat="1" x14ac:dyDescent="0.15">
      <c r="A83" s="127"/>
      <c r="B83" s="127"/>
      <c r="C83" s="127" t="str">
        <f t="shared" si="69"/>
        <v>Davies A</v>
      </c>
      <c r="D83" s="127">
        <f t="shared" ref="D83:AT83" si="77">BatSplit(D14,_xlnm.Extract)</f>
        <v>0</v>
      </c>
      <c r="E83" s="127">
        <f t="shared" si="77"/>
        <v>0</v>
      </c>
      <c r="F83" s="127">
        <f t="shared" si="77"/>
        <v>0</v>
      </c>
      <c r="G83" s="127">
        <f t="shared" si="77"/>
        <v>0</v>
      </c>
      <c r="H83" s="127">
        <f t="shared" si="77"/>
        <v>0</v>
      </c>
      <c r="I83" s="127">
        <f t="shared" si="77"/>
        <v>0</v>
      </c>
      <c r="J83" s="127">
        <f t="shared" si="77"/>
        <v>0</v>
      </c>
      <c r="K83" s="127">
        <f t="shared" si="77"/>
        <v>0</v>
      </c>
      <c r="L83" s="127">
        <f t="shared" si="77"/>
        <v>0</v>
      </c>
      <c r="M83" s="127">
        <f t="shared" si="77"/>
        <v>0</v>
      </c>
      <c r="N83" s="127">
        <f t="shared" si="77"/>
        <v>0</v>
      </c>
      <c r="O83" s="127">
        <f t="shared" si="77"/>
        <v>0</v>
      </c>
      <c r="P83" s="127">
        <f t="shared" si="77"/>
        <v>0</v>
      </c>
      <c r="Q83" s="127">
        <f t="shared" si="77"/>
        <v>0</v>
      </c>
      <c r="R83" s="127">
        <f t="shared" si="77"/>
        <v>0</v>
      </c>
      <c r="S83" s="127">
        <f t="shared" si="77"/>
        <v>0</v>
      </c>
      <c r="T83" s="127">
        <f t="shared" si="77"/>
        <v>0</v>
      </c>
      <c r="U83" s="127">
        <f t="shared" si="77"/>
        <v>0</v>
      </c>
      <c r="V83" s="127">
        <f t="shared" si="77"/>
        <v>0</v>
      </c>
      <c r="W83" s="127">
        <f t="shared" si="77"/>
        <v>0</v>
      </c>
      <c r="X83" s="127">
        <f t="shared" si="77"/>
        <v>0</v>
      </c>
      <c r="Y83" s="127">
        <f t="shared" si="77"/>
        <v>0</v>
      </c>
      <c r="Z83" s="127">
        <f t="shared" si="77"/>
        <v>0</v>
      </c>
      <c r="AA83" s="127">
        <f t="shared" si="77"/>
        <v>0</v>
      </c>
      <c r="AB83" s="127">
        <f t="shared" si="77"/>
        <v>0</v>
      </c>
      <c r="AC83" s="127">
        <f t="shared" si="77"/>
        <v>0</v>
      </c>
      <c r="AD83" s="127">
        <f t="shared" si="77"/>
        <v>0</v>
      </c>
      <c r="AE83" s="127">
        <f t="shared" si="77"/>
        <v>0</v>
      </c>
      <c r="AF83" s="127">
        <f t="shared" si="77"/>
        <v>0</v>
      </c>
      <c r="AG83" s="127">
        <f t="shared" si="77"/>
        <v>0</v>
      </c>
      <c r="AH83" s="127">
        <f t="shared" si="77"/>
        <v>0</v>
      </c>
      <c r="AI83" s="127">
        <f t="shared" si="77"/>
        <v>0</v>
      </c>
      <c r="AJ83" s="127">
        <f t="shared" si="77"/>
        <v>0</v>
      </c>
      <c r="AK83" s="127">
        <f t="shared" si="77"/>
        <v>0</v>
      </c>
      <c r="AL83" s="127">
        <f t="shared" si="77"/>
        <v>0</v>
      </c>
      <c r="AM83" s="127">
        <f t="shared" si="77"/>
        <v>0</v>
      </c>
      <c r="AN83" s="127">
        <f t="shared" si="77"/>
        <v>0</v>
      </c>
      <c r="AO83" s="127">
        <f t="shared" si="77"/>
        <v>0</v>
      </c>
      <c r="AP83" s="127">
        <f t="shared" si="77"/>
        <v>0</v>
      </c>
      <c r="AQ83" s="127">
        <f t="shared" si="77"/>
        <v>0</v>
      </c>
      <c r="AR83" s="127">
        <f t="shared" si="77"/>
        <v>0</v>
      </c>
      <c r="AS83" s="127">
        <f t="shared" si="77"/>
        <v>0</v>
      </c>
      <c r="AT83" s="127">
        <f t="shared" si="77"/>
        <v>0</v>
      </c>
    </row>
    <row r="84" spans="1:46" customFormat="1" x14ac:dyDescent="0.15">
      <c r="A84" s="127"/>
      <c r="B84" s="127"/>
      <c r="C84" s="127" t="str">
        <f t="shared" si="69"/>
        <v>Davis M</v>
      </c>
      <c r="D84" s="127">
        <f t="shared" ref="D84:AT84" si="78">BatSplit(D15,_xlnm.Extract)</f>
        <v>0</v>
      </c>
      <c r="E84" s="127">
        <f t="shared" si="78"/>
        <v>0</v>
      </c>
      <c r="F84" s="127">
        <f t="shared" si="78"/>
        <v>0</v>
      </c>
      <c r="G84" s="127">
        <f t="shared" si="78"/>
        <v>0</v>
      </c>
      <c r="H84" s="127">
        <f t="shared" si="78"/>
        <v>0</v>
      </c>
      <c r="I84" s="127">
        <f t="shared" si="78"/>
        <v>0</v>
      </c>
      <c r="J84" s="127">
        <f t="shared" si="78"/>
        <v>0</v>
      </c>
      <c r="K84" s="127">
        <f t="shared" si="78"/>
        <v>0</v>
      </c>
      <c r="L84" s="127">
        <f t="shared" si="78"/>
        <v>0</v>
      </c>
      <c r="M84" s="127">
        <f t="shared" si="78"/>
        <v>0</v>
      </c>
      <c r="N84" s="127">
        <f t="shared" si="78"/>
        <v>0</v>
      </c>
      <c r="O84" s="127">
        <f t="shared" si="78"/>
        <v>0</v>
      </c>
      <c r="P84" s="127">
        <f t="shared" si="78"/>
        <v>0</v>
      </c>
      <c r="Q84" s="127">
        <f t="shared" si="78"/>
        <v>0</v>
      </c>
      <c r="R84" s="127">
        <f t="shared" si="78"/>
        <v>0</v>
      </c>
      <c r="S84" s="127">
        <f t="shared" si="78"/>
        <v>0</v>
      </c>
      <c r="T84" s="127">
        <f t="shared" si="78"/>
        <v>0</v>
      </c>
      <c r="U84" s="127">
        <f t="shared" si="78"/>
        <v>0</v>
      </c>
      <c r="V84" s="127">
        <f t="shared" si="78"/>
        <v>0</v>
      </c>
      <c r="W84" s="127">
        <f t="shared" si="78"/>
        <v>0</v>
      </c>
      <c r="X84" s="127">
        <f t="shared" si="78"/>
        <v>0</v>
      </c>
      <c r="Y84" s="127">
        <f t="shared" si="78"/>
        <v>0</v>
      </c>
      <c r="Z84" s="127">
        <f t="shared" si="78"/>
        <v>0</v>
      </c>
      <c r="AA84" s="127">
        <f t="shared" si="78"/>
        <v>0</v>
      </c>
      <c r="AB84" s="127">
        <f t="shared" si="78"/>
        <v>0</v>
      </c>
      <c r="AC84" s="127">
        <f t="shared" si="78"/>
        <v>0</v>
      </c>
      <c r="AD84" s="127">
        <f t="shared" si="78"/>
        <v>0</v>
      </c>
      <c r="AE84" s="127">
        <f t="shared" si="78"/>
        <v>0</v>
      </c>
      <c r="AF84" s="127">
        <f t="shared" si="78"/>
        <v>0</v>
      </c>
      <c r="AG84" s="127">
        <f t="shared" si="78"/>
        <v>0</v>
      </c>
      <c r="AH84" s="127">
        <f t="shared" si="78"/>
        <v>1</v>
      </c>
      <c r="AI84" s="127">
        <f t="shared" si="78"/>
        <v>0</v>
      </c>
      <c r="AJ84" s="127">
        <f t="shared" si="78"/>
        <v>0</v>
      </c>
      <c r="AK84" s="127">
        <f t="shared" si="78"/>
        <v>0</v>
      </c>
      <c r="AL84" s="127">
        <f t="shared" si="78"/>
        <v>0</v>
      </c>
      <c r="AM84" s="127">
        <f t="shared" si="78"/>
        <v>0</v>
      </c>
      <c r="AN84" s="127">
        <f t="shared" si="78"/>
        <v>0</v>
      </c>
      <c r="AO84" s="127">
        <f t="shared" si="78"/>
        <v>0</v>
      </c>
      <c r="AP84" s="127">
        <f t="shared" si="78"/>
        <v>0</v>
      </c>
      <c r="AQ84" s="127">
        <f t="shared" si="78"/>
        <v>0</v>
      </c>
      <c r="AR84" s="127">
        <f t="shared" si="78"/>
        <v>0</v>
      </c>
      <c r="AS84" s="127">
        <f t="shared" si="78"/>
        <v>0</v>
      </c>
      <c r="AT84" s="127">
        <f t="shared" si="78"/>
        <v>0</v>
      </c>
    </row>
    <row r="85" spans="1:46" customFormat="1" x14ac:dyDescent="0.15">
      <c r="A85" s="127"/>
      <c r="B85" s="127"/>
      <c r="C85" s="127" t="str">
        <f t="shared" si="69"/>
        <v>Edghill C</v>
      </c>
      <c r="D85" s="127">
        <f t="shared" ref="D85:AT85" si="79">BatSplit(D16,_xlnm.Extract)</f>
        <v>0</v>
      </c>
      <c r="E85" s="127">
        <f t="shared" si="79"/>
        <v>0</v>
      </c>
      <c r="F85" s="127">
        <f t="shared" si="79"/>
        <v>0</v>
      </c>
      <c r="G85" s="127">
        <f t="shared" si="79"/>
        <v>0</v>
      </c>
      <c r="H85" s="127">
        <f t="shared" si="79"/>
        <v>0</v>
      </c>
      <c r="I85" s="127">
        <f t="shared" si="79"/>
        <v>0</v>
      </c>
      <c r="J85" s="127" t="e">
        <f>BatSplit(#REF!,_xlnm.Extract)</f>
        <v>#VALUE!</v>
      </c>
      <c r="K85" s="127">
        <f t="shared" si="79"/>
        <v>0</v>
      </c>
      <c r="L85" s="127">
        <f t="shared" si="79"/>
        <v>0</v>
      </c>
      <c r="M85" s="127">
        <f t="shared" si="79"/>
        <v>0</v>
      </c>
      <c r="N85" s="127">
        <f t="shared" si="79"/>
        <v>0</v>
      </c>
      <c r="O85" s="127">
        <f t="shared" si="79"/>
        <v>0</v>
      </c>
      <c r="P85" s="127">
        <f t="shared" si="79"/>
        <v>0</v>
      </c>
      <c r="Q85" s="127">
        <f t="shared" si="79"/>
        <v>0</v>
      </c>
      <c r="R85" s="127">
        <f t="shared" si="79"/>
        <v>0</v>
      </c>
      <c r="S85" s="127">
        <f t="shared" si="79"/>
        <v>0</v>
      </c>
      <c r="T85" s="127">
        <f t="shared" si="79"/>
        <v>0</v>
      </c>
      <c r="U85" s="127">
        <f t="shared" si="79"/>
        <v>0</v>
      </c>
      <c r="V85" s="127">
        <f t="shared" si="79"/>
        <v>0</v>
      </c>
      <c r="W85" s="127">
        <f t="shared" si="79"/>
        <v>0</v>
      </c>
      <c r="X85" s="127">
        <f t="shared" si="79"/>
        <v>1</v>
      </c>
      <c r="Y85" s="127">
        <f t="shared" si="79"/>
        <v>0</v>
      </c>
      <c r="Z85" s="127">
        <f t="shared" si="79"/>
        <v>0</v>
      </c>
      <c r="AA85" s="127">
        <f t="shared" si="79"/>
        <v>0</v>
      </c>
      <c r="AB85" s="127">
        <f t="shared" si="79"/>
        <v>0</v>
      </c>
      <c r="AC85" s="127">
        <f t="shared" si="79"/>
        <v>0</v>
      </c>
      <c r="AD85" s="127">
        <f t="shared" si="79"/>
        <v>0</v>
      </c>
      <c r="AE85" s="127">
        <f t="shared" si="79"/>
        <v>0</v>
      </c>
      <c r="AF85" s="127">
        <f t="shared" si="79"/>
        <v>0</v>
      </c>
      <c r="AG85" s="127">
        <f t="shared" si="79"/>
        <v>0</v>
      </c>
      <c r="AH85" s="127">
        <f t="shared" si="79"/>
        <v>0</v>
      </c>
      <c r="AI85" s="127">
        <f t="shared" si="79"/>
        <v>0</v>
      </c>
      <c r="AJ85" s="127">
        <f t="shared" si="79"/>
        <v>0</v>
      </c>
      <c r="AK85" s="127">
        <f t="shared" si="79"/>
        <v>0</v>
      </c>
      <c r="AL85" s="127">
        <f t="shared" si="79"/>
        <v>0</v>
      </c>
      <c r="AM85" s="127">
        <f t="shared" si="79"/>
        <v>0</v>
      </c>
      <c r="AN85" s="127">
        <f t="shared" si="79"/>
        <v>0</v>
      </c>
      <c r="AO85" s="127">
        <f t="shared" si="79"/>
        <v>0</v>
      </c>
      <c r="AP85" s="127">
        <f t="shared" si="79"/>
        <v>0</v>
      </c>
      <c r="AQ85" s="127">
        <f t="shared" si="79"/>
        <v>0</v>
      </c>
      <c r="AR85" s="127">
        <f t="shared" si="79"/>
        <v>0</v>
      </c>
      <c r="AS85" s="127">
        <f t="shared" si="79"/>
        <v>0</v>
      </c>
      <c r="AT85" s="127">
        <f t="shared" si="79"/>
        <v>0</v>
      </c>
    </row>
    <row r="86" spans="1:46" customFormat="1" x14ac:dyDescent="0.15">
      <c r="A86" s="127"/>
      <c r="B86" s="127"/>
      <c r="C86" s="127" t="str">
        <f t="shared" si="69"/>
        <v>Elliston J</v>
      </c>
      <c r="D86" s="127">
        <f t="shared" ref="D86:AT86" si="80">BatSplit(D17,_xlnm.Extract)</f>
        <v>0</v>
      </c>
      <c r="E86" s="127">
        <f t="shared" si="80"/>
        <v>0</v>
      </c>
      <c r="F86" s="127">
        <f t="shared" si="80"/>
        <v>0</v>
      </c>
      <c r="G86" s="127">
        <f t="shared" si="80"/>
        <v>0</v>
      </c>
      <c r="H86" s="127">
        <f t="shared" si="80"/>
        <v>0</v>
      </c>
      <c r="I86" s="127">
        <f t="shared" si="80"/>
        <v>0</v>
      </c>
      <c r="J86" s="127">
        <f>BatSplit(J16,_xlnm.Extract)</f>
        <v>0</v>
      </c>
      <c r="K86" s="127">
        <f t="shared" si="80"/>
        <v>0</v>
      </c>
      <c r="L86" s="127">
        <f t="shared" si="80"/>
        <v>0</v>
      </c>
      <c r="M86" s="127">
        <f t="shared" si="80"/>
        <v>0</v>
      </c>
      <c r="N86" s="127">
        <f t="shared" si="80"/>
        <v>0</v>
      </c>
      <c r="O86" s="127">
        <f t="shared" si="80"/>
        <v>0</v>
      </c>
      <c r="P86" s="127">
        <f t="shared" si="80"/>
        <v>0</v>
      </c>
      <c r="Q86" s="127">
        <f t="shared" si="80"/>
        <v>0</v>
      </c>
      <c r="R86" s="127">
        <f t="shared" si="80"/>
        <v>0</v>
      </c>
      <c r="S86" s="127">
        <f t="shared" si="80"/>
        <v>2</v>
      </c>
      <c r="T86" s="127">
        <f t="shared" si="80"/>
        <v>0</v>
      </c>
      <c r="U86" s="127">
        <f t="shared" si="80"/>
        <v>0</v>
      </c>
      <c r="V86" s="127">
        <f t="shared" si="80"/>
        <v>0</v>
      </c>
      <c r="W86" s="127">
        <f t="shared" si="80"/>
        <v>0</v>
      </c>
      <c r="X86" s="127">
        <f t="shared" si="80"/>
        <v>1</v>
      </c>
      <c r="Y86" s="127">
        <f t="shared" si="80"/>
        <v>0</v>
      </c>
      <c r="Z86" s="127">
        <f t="shared" si="80"/>
        <v>0</v>
      </c>
      <c r="AA86" s="127">
        <f t="shared" si="80"/>
        <v>0</v>
      </c>
      <c r="AB86" s="127">
        <f t="shared" si="80"/>
        <v>0</v>
      </c>
      <c r="AC86" s="127">
        <f t="shared" si="80"/>
        <v>0</v>
      </c>
      <c r="AD86" s="127">
        <f t="shared" si="80"/>
        <v>0</v>
      </c>
      <c r="AE86" s="127">
        <f t="shared" si="80"/>
        <v>0</v>
      </c>
      <c r="AF86" s="127">
        <f t="shared" si="80"/>
        <v>0</v>
      </c>
      <c r="AG86" s="127">
        <f t="shared" si="80"/>
        <v>0</v>
      </c>
      <c r="AH86" s="127">
        <f t="shared" si="80"/>
        <v>0</v>
      </c>
      <c r="AI86" s="127">
        <f t="shared" si="80"/>
        <v>0</v>
      </c>
      <c r="AJ86" s="127">
        <f t="shared" si="80"/>
        <v>0</v>
      </c>
      <c r="AK86" s="127">
        <f t="shared" si="80"/>
        <v>0</v>
      </c>
      <c r="AL86" s="127">
        <f t="shared" si="80"/>
        <v>0</v>
      </c>
      <c r="AM86" s="127">
        <f t="shared" si="80"/>
        <v>0</v>
      </c>
      <c r="AN86" s="127">
        <f t="shared" si="80"/>
        <v>1</v>
      </c>
      <c r="AO86" s="127">
        <f t="shared" si="80"/>
        <v>0</v>
      </c>
      <c r="AP86" s="127">
        <f t="shared" si="80"/>
        <v>0</v>
      </c>
      <c r="AQ86" s="127">
        <f t="shared" si="80"/>
        <v>0</v>
      </c>
      <c r="AR86" s="127">
        <f t="shared" si="80"/>
        <v>0</v>
      </c>
      <c r="AS86" s="127">
        <f t="shared" si="80"/>
        <v>0</v>
      </c>
      <c r="AT86" s="127">
        <f t="shared" si="80"/>
        <v>0</v>
      </c>
    </row>
    <row r="87" spans="1:46" customFormat="1" x14ac:dyDescent="0.15">
      <c r="A87" s="127"/>
      <c r="B87" s="127"/>
      <c r="C87" s="127" t="str">
        <f t="shared" si="69"/>
        <v>Fish R</v>
      </c>
      <c r="D87" s="127">
        <f t="shared" ref="D87:AT87" si="81">BatSplit(D18,_xlnm.Extract)</f>
        <v>0</v>
      </c>
      <c r="E87" s="127">
        <f t="shared" si="81"/>
        <v>0</v>
      </c>
      <c r="F87" s="127">
        <f t="shared" si="81"/>
        <v>0</v>
      </c>
      <c r="G87" s="127">
        <f t="shared" si="81"/>
        <v>0</v>
      </c>
      <c r="H87" s="127">
        <f t="shared" si="81"/>
        <v>0</v>
      </c>
      <c r="I87" s="127">
        <f t="shared" si="81"/>
        <v>0</v>
      </c>
      <c r="J87" s="127">
        <f t="shared" si="81"/>
        <v>0</v>
      </c>
      <c r="K87" s="127">
        <f t="shared" si="81"/>
        <v>0</v>
      </c>
      <c r="L87" s="127">
        <f t="shared" si="81"/>
        <v>0</v>
      </c>
      <c r="M87" s="127">
        <f t="shared" si="81"/>
        <v>0</v>
      </c>
      <c r="N87" s="127">
        <f t="shared" si="81"/>
        <v>0</v>
      </c>
      <c r="O87" s="127">
        <f t="shared" si="81"/>
        <v>0</v>
      </c>
      <c r="P87" s="127">
        <f t="shared" si="81"/>
        <v>0</v>
      </c>
      <c r="Q87" s="127">
        <f t="shared" si="81"/>
        <v>0</v>
      </c>
      <c r="R87" s="127">
        <f t="shared" si="81"/>
        <v>0</v>
      </c>
      <c r="S87" s="127">
        <f t="shared" si="81"/>
        <v>0</v>
      </c>
      <c r="T87" s="127">
        <f t="shared" si="81"/>
        <v>0</v>
      </c>
      <c r="U87" s="127">
        <f t="shared" si="81"/>
        <v>0</v>
      </c>
      <c r="V87" s="127">
        <f t="shared" si="81"/>
        <v>0</v>
      </c>
      <c r="W87" s="127">
        <f t="shared" si="81"/>
        <v>0</v>
      </c>
      <c r="X87" s="127">
        <f t="shared" si="81"/>
        <v>0</v>
      </c>
      <c r="Y87" s="127">
        <f t="shared" si="81"/>
        <v>0</v>
      </c>
      <c r="Z87" s="127">
        <f t="shared" si="81"/>
        <v>0</v>
      </c>
      <c r="AA87" s="127">
        <f t="shared" si="81"/>
        <v>0</v>
      </c>
      <c r="AB87" s="127">
        <f t="shared" si="81"/>
        <v>0</v>
      </c>
      <c r="AC87" s="127">
        <f t="shared" si="81"/>
        <v>0</v>
      </c>
      <c r="AD87" s="127">
        <f t="shared" si="81"/>
        <v>0</v>
      </c>
      <c r="AE87" s="127">
        <f t="shared" si="81"/>
        <v>0</v>
      </c>
      <c r="AF87" s="127">
        <f t="shared" si="81"/>
        <v>0</v>
      </c>
      <c r="AG87" s="127">
        <f t="shared" si="81"/>
        <v>9</v>
      </c>
      <c r="AH87" s="127">
        <f t="shared" si="81"/>
        <v>0</v>
      </c>
      <c r="AI87" s="127">
        <f t="shared" si="81"/>
        <v>0</v>
      </c>
      <c r="AJ87" s="127">
        <f t="shared" si="81"/>
        <v>1</v>
      </c>
      <c r="AK87" s="127">
        <f t="shared" si="81"/>
        <v>0</v>
      </c>
      <c r="AL87" s="127">
        <f t="shared" si="81"/>
        <v>0</v>
      </c>
      <c r="AM87" s="127">
        <f t="shared" si="81"/>
        <v>0</v>
      </c>
      <c r="AN87" s="127">
        <f t="shared" si="81"/>
        <v>0</v>
      </c>
      <c r="AO87" s="127">
        <f t="shared" si="81"/>
        <v>0</v>
      </c>
      <c r="AP87" s="127">
        <f t="shared" si="81"/>
        <v>0</v>
      </c>
      <c r="AQ87" s="127">
        <f t="shared" si="81"/>
        <v>0</v>
      </c>
      <c r="AR87" s="127">
        <f t="shared" si="81"/>
        <v>0</v>
      </c>
      <c r="AS87" s="127">
        <f t="shared" si="81"/>
        <v>0</v>
      </c>
      <c r="AT87" s="127">
        <f t="shared" si="81"/>
        <v>2</v>
      </c>
    </row>
    <row r="88" spans="1:46" customFormat="1" x14ac:dyDescent="0.15">
      <c r="A88" s="127"/>
      <c r="B88" s="127"/>
      <c r="C88" s="127" t="str">
        <f t="shared" si="69"/>
        <v>Ganesh</v>
      </c>
      <c r="D88" s="127">
        <f t="shared" ref="D88:AT88" si="82">BatSplit(D19,_xlnm.Extract)</f>
        <v>0</v>
      </c>
      <c r="E88" s="127">
        <f t="shared" si="82"/>
        <v>0</v>
      </c>
      <c r="F88" s="127">
        <f t="shared" si="82"/>
        <v>0</v>
      </c>
      <c r="G88" s="127">
        <f t="shared" si="82"/>
        <v>0</v>
      </c>
      <c r="H88" s="127">
        <f t="shared" si="82"/>
        <v>0</v>
      </c>
      <c r="I88" s="127">
        <f t="shared" si="82"/>
        <v>0</v>
      </c>
      <c r="J88" s="127">
        <f t="shared" si="82"/>
        <v>0</v>
      </c>
      <c r="K88" s="127">
        <f t="shared" si="82"/>
        <v>0</v>
      </c>
      <c r="L88" s="127">
        <f t="shared" si="82"/>
        <v>0</v>
      </c>
      <c r="M88" s="127">
        <f t="shared" si="82"/>
        <v>0</v>
      </c>
      <c r="N88" s="127">
        <f t="shared" si="82"/>
        <v>0</v>
      </c>
      <c r="O88" s="127">
        <f t="shared" si="82"/>
        <v>0</v>
      </c>
      <c r="P88" s="127">
        <f t="shared" si="82"/>
        <v>0</v>
      </c>
      <c r="Q88" s="127">
        <f t="shared" si="82"/>
        <v>0</v>
      </c>
      <c r="R88" s="127">
        <f t="shared" si="82"/>
        <v>0</v>
      </c>
      <c r="S88" s="127">
        <f t="shared" si="82"/>
        <v>0</v>
      </c>
      <c r="T88" s="127">
        <f t="shared" si="82"/>
        <v>0</v>
      </c>
      <c r="U88" s="127">
        <f t="shared" si="82"/>
        <v>0</v>
      </c>
      <c r="V88" s="127">
        <f t="shared" si="82"/>
        <v>0</v>
      </c>
      <c r="W88" s="127">
        <f t="shared" si="82"/>
        <v>0</v>
      </c>
      <c r="X88" s="127">
        <f t="shared" si="82"/>
        <v>0</v>
      </c>
      <c r="Y88" s="127">
        <f t="shared" si="82"/>
        <v>0</v>
      </c>
      <c r="Z88" s="127">
        <f t="shared" si="82"/>
        <v>0</v>
      </c>
      <c r="AA88" s="127">
        <f t="shared" si="82"/>
        <v>0</v>
      </c>
      <c r="AB88" s="127">
        <f t="shared" si="82"/>
        <v>0</v>
      </c>
      <c r="AC88" s="127">
        <f t="shared" si="82"/>
        <v>0</v>
      </c>
      <c r="AD88" s="127">
        <f t="shared" si="82"/>
        <v>0</v>
      </c>
      <c r="AE88" s="127">
        <f t="shared" si="82"/>
        <v>0</v>
      </c>
      <c r="AF88" s="127">
        <f t="shared" si="82"/>
        <v>0</v>
      </c>
      <c r="AG88" s="127">
        <f t="shared" si="82"/>
        <v>0</v>
      </c>
      <c r="AH88" s="127">
        <f t="shared" si="82"/>
        <v>0</v>
      </c>
      <c r="AI88" s="127">
        <f t="shared" si="82"/>
        <v>0</v>
      </c>
      <c r="AJ88" s="127">
        <f t="shared" si="82"/>
        <v>1</v>
      </c>
      <c r="AK88" s="127">
        <f t="shared" si="82"/>
        <v>0</v>
      </c>
      <c r="AL88" s="127">
        <f t="shared" si="82"/>
        <v>4</v>
      </c>
      <c r="AM88" s="127">
        <f t="shared" si="82"/>
        <v>0</v>
      </c>
      <c r="AN88" s="127">
        <f t="shared" si="82"/>
        <v>0</v>
      </c>
      <c r="AO88" s="127">
        <f t="shared" si="82"/>
        <v>0</v>
      </c>
      <c r="AP88" s="127">
        <f t="shared" si="82"/>
        <v>0</v>
      </c>
      <c r="AQ88" s="127">
        <f t="shared" si="82"/>
        <v>0</v>
      </c>
      <c r="AR88" s="127">
        <f t="shared" si="82"/>
        <v>0</v>
      </c>
      <c r="AS88" s="127">
        <f t="shared" si="82"/>
        <v>0</v>
      </c>
      <c r="AT88" s="127">
        <f t="shared" si="82"/>
        <v>0</v>
      </c>
    </row>
    <row r="89" spans="1:46" customFormat="1" x14ac:dyDescent="0.15">
      <c r="A89" s="127"/>
      <c r="B89" s="127"/>
      <c r="C89" s="127" t="str">
        <f t="shared" si="69"/>
        <v>Greyling R</v>
      </c>
      <c r="D89" s="127">
        <f t="shared" ref="D89:AT89" si="83">BatSplit(D20,_xlnm.Extract)</f>
        <v>0</v>
      </c>
      <c r="E89" s="127">
        <f t="shared" si="83"/>
        <v>0</v>
      </c>
      <c r="F89" s="127">
        <f t="shared" si="83"/>
        <v>5</v>
      </c>
      <c r="G89" s="127">
        <f t="shared" si="83"/>
        <v>0</v>
      </c>
      <c r="H89" s="127">
        <f t="shared" si="83"/>
        <v>0</v>
      </c>
      <c r="I89" s="127">
        <f t="shared" si="83"/>
        <v>0</v>
      </c>
      <c r="J89" s="127">
        <f t="shared" si="83"/>
        <v>0</v>
      </c>
      <c r="K89" s="127">
        <f t="shared" si="83"/>
        <v>0</v>
      </c>
      <c r="L89" s="127">
        <f t="shared" si="83"/>
        <v>1</v>
      </c>
      <c r="M89" s="127">
        <f t="shared" si="83"/>
        <v>0</v>
      </c>
      <c r="N89" s="127">
        <f t="shared" si="83"/>
        <v>0</v>
      </c>
      <c r="O89" s="127">
        <f t="shared" si="83"/>
        <v>1</v>
      </c>
      <c r="P89" s="127">
        <f t="shared" si="83"/>
        <v>8</v>
      </c>
      <c r="Q89" s="127">
        <f t="shared" si="83"/>
        <v>2</v>
      </c>
      <c r="R89" s="127">
        <f t="shared" si="83"/>
        <v>2</v>
      </c>
      <c r="S89" s="127">
        <f t="shared" si="83"/>
        <v>0</v>
      </c>
      <c r="T89" s="127">
        <f t="shared" si="83"/>
        <v>0</v>
      </c>
      <c r="U89" s="127">
        <f t="shared" si="83"/>
        <v>2</v>
      </c>
      <c r="V89" s="127">
        <f t="shared" si="83"/>
        <v>0</v>
      </c>
      <c r="W89" s="127">
        <f t="shared" si="83"/>
        <v>0</v>
      </c>
      <c r="X89" s="127">
        <f t="shared" si="83"/>
        <v>0</v>
      </c>
      <c r="Y89" s="127">
        <f t="shared" si="83"/>
        <v>0</v>
      </c>
      <c r="Z89" s="127">
        <f t="shared" si="83"/>
        <v>0</v>
      </c>
      <c r="AA89" s="127">
        <f t="shared" si="83"/>
        <v>2</v>
      </c>
      <c r="AB89" s="127">
        <f t="shared" si="83"/>
        <v>0</v>
      </c>
      <c r="AC89" s="127">
        <f t="shared" si="83"/>
        <v>0</v>
      </c>
      <c r="AD89" s="127">
        <f t="shared" si="83"/>
        <v>0</v>
      </c>
      <c r="AE89" s="127">
        <f t="shared" si="83"/>
        <v>0</v>
      </c>
      <c r="AF89" s="127">
        <f t="shared" si="83"/>
        <v>0</v>
      </c>
      <c r="AG89" s="127">
        <f t="shared" si="83"/>
        <v>3</v>
      </c>
      <c r="AH89" s="127">
        <f t="shared" si="83"/>
        <v>0</v>
      </c>
      <c r="AI89" s="127">
        <f t="shared" si="83"/>
        <v>0</v>
      </c>
      <c r="AJ89" s="127">
        <f t="shared" si="83"/>
        <v>0</v>
      </c>
      <c r="AK89" s="127">
        <f t="shared" si="83"/>
        <v>0</v>
      </c>
      <c r="AL89" s="127">
        <f t="shared" si="83"/>
        <v>3</v>
      </c>
      <c r="AM89" s="127">
        <f t="shared" si="83"/>
        <v>0</v>
      </c>
      <c r="AN89" s="127">
        <f t="shared" si="83"/>
        <v>1</v>
      </c>
      <c r="AO89" s="127">
        <f t="shared" si="83"/>
        <v>0</v>
      </c>
      <c r="AP89" s="127">
        <f t="shared" si="83"/>
        <v>5</v>
      </c>
      <c r="AQ89" s="127">
        <f t="shared" si="83"/>
        <v>0</v>
      </c>
      <c r="AR89" s="127">
        <f t="shared" si="83"/>
        <v>0</v>
      </c>
      <c r="AS89" s="127">
        <f t="shared" si="83"/>
        <v>0</v>
      </c>
      <c r="AT89" s="127">
        <f t="shared" si="83"/>
        <v>0</v>
      </c>
    </row>
    <row r="90" spans="1:46" customFormat="1" x14ac:dyDescent="0.15">
      <c r="A90" s="127"/>
      <c r="B90" s="127"/>
      <c r="C90" s="127" t="str">
        <f t="shared" si="69"/>
        <v>Haines S</v>
      </c>
      <c r="D90" s="127">
        <f t="shared" ref="D90:AT90" si="84">BatSplit(D21,_xlnm.Extract)</f>
        <v>0</v>
      </c>
      <c r="E90" s="127">
        <f t="shared" si="84"/>
        <v>0</v>
      </c>
      <c r="F90" s="127">
        <f t="shared" si="84"/>
        <v>0</v>
      </c>
      <c r="G90" s="127">
        <f t="shared" si="84"/>
        <v>0</v>
      </c>
      <c r="H90" s="127">
        <f t="shared" si="84"/>
        <v>0</v>
      </c>
      <c r="I90" s="127">
        <f t="shared" si="84"/>
        <v>0</v>
      </c>
      <c r="J90" s="127">
        <f t="shared" si="84"/>
        <v>0</v>
      </c>
      <c r="K90" s="127">
        <f t="shared" si="84"/>
        <v>0</v>
      </c>
      <c r="L90" s="127">
        <f t="shared" si="84"/>
        <v>0</v>
      </c>
      <c r="M90" s="127">
        <f t="shared" si="84"/>
        <v>0</v>
      </c>
      <c r="N90" s="127">
        <f t="shared" si="84"/>
        <v>0</v>
      </c>
      <c r="O90" s="127">
        <f t="shared" si="84"/>
        <v>0</v>
      </c>
      <c r="P90" s="127">
        <f t="shared" si="84"/>
        <v>0</v>
      </c>
      <c r="Q90" s="127">
        <f t="shared" si="84"/>
        <v>0</v>
      </c>
      <c r="R90" s="127">
        <f t="shared" si="84"/>
        <v>0</v>
      </c>
      <c r="S90" s="127">
        <f t="shared" si="84"/>
        <v>0</v>
      </c>
      <c r="T90" s="127">
        <f t="shared" si="84"/>
        <v>0</v>
      </c>
      <c r="U90" s="127">
        <f t="shared" si="84"/>
        <v>0</v>
      </c>
      <c r="V90" s="127">
        <f t="shared" si="84"/>
        <v>0</v>
      </c>
      <c r="W90" s="127">
        <f t="shared" si="84"/>
        <v>0</v>
      </c>
      <c r="X90" s="127">
        <f t="shared" si="84"/>
        <v>0</v>
      </c>
      <c r="Y90" s="127">
        <f t="shared" si="84"/>
        <v>0</v>
      </c>
      <c r="Z90" s="127">
        <f t="shared" si="84"/>
        <v>0</v>
      </c>
      <c r="AA90" s="127">
        <f t="shared" si="84"/>
        <v>0</v>
      </c>
      <c r="AB90" s="127">
        <f t="shared" si="84"/>
        <v>0</v>
      </c>
      <c r="AC90" s="127">
        <f t="shared" si="84"/>
        <v>0</v>
      </c>
      <c r="AD90" s="127">
        <f t="shared" si="84"/>
        <v>0</v>
      </c>
      <c r="AE90" s="127">
        <f t="shared" si="84"/>
        <v>0</v>
      </c>
      <c r="AF90" s="127">
        <f t="shared" si="84"/>
        <v>0</v>
      </c>
      <c r="AG90" s="127">
        <f t="shared" si="84"/>
        <v>0</v>
      </c>
      <c r="AH90" s="127">
        <f t="shared" si="84"/>
        <v>0</v>
      </c>
      <c r="AI90" s="127">
        <f t="shared" si="84"/>
        <v>0</v>
      </c>
      <c r="AJ90" s="127">
        <f t="shared" si="84"/>
        <v>0</v>
      </c>
      <c r="AK90" s="127">
        <f t="shared" si="84"/>
        <v>0</v>
      </c>
      <c r="AL90" s="127">
        <f t="shared" si="84"/>
        <v>0</v>
      </c>
      <c r="AM90" s="127">
        <f t="shared" si="84"/>
        <v>0</v>
      </c>
      <c r="AN90" s="127">
        <f t="shared" si="84"/>
        <v>0</v>
      </c>
      <c r="AO90" s="127">
        <f t="shared" si="84"/>
        <v>0</v>
      </c>
      <c r="AP90" s="127">
        <f t="shared" si="84"/>
        <v>0</v>
      </c>
      <c r="AQ90" s="127">
        <f t="shared" si="84"/>
        <v>0</v>
      </c>
      <c r="AR90" s="127">
        <f t="shared" si="84"/>
        <v>0</v>
      </c>
      <c r="AS90" s="127">
        <f t="shared" si="84"/>
        <v>0</v>
      </c>
      <c r="AT90" s="127">
        <f t="shared" si="84"/>
        <v>0</v>
      </c>
    </row>
    <row r="91" spans="1:46" customFormat="1" x14ac:dyDescent="0.15">
      <c r="A91" s="127"/>
      <c r="B91" s="127"/>
      <c r="C91" s="127" t="str">
        <f t="shared" si="69"/>
        <v>Hawksworth A</v>
      </c>
      <c r="D91" s="127">
        <f t="shared" ref="D91:AT91" si="85">BatSplit(D22,_xlnm.Extract)</f>
        <v>0</v>
      </c>
      <c r="E91" s="127">
        <f t="shared" si="85"/>
        <v>0</v>
      </c>
      <c r="F91" s="127">
        <f t="shared" si="85"/>
        <v>0</v>
      </c>
      <c r="G91" s="127">
        <f t="shared" si="85"/>
        <v>0</v>
      </c>
      <c r="H91" s="127">
        <f t="shared" si="85"/>
        <v>0</v>
      </c>
      <c r="I91" s="127">
        <f t="shared" si="85"/>
        <v>0</v>
      </c>
      <c r="J91" s="127">
        <f t="shared" si="85"/>
        <v>0</v>
      </c>
      <c r="K91" s="127">
        <f t="shared" si="85"/>
        <v>0</v>
      </c>
      <c r="L91" s="127">
        <f t="shared" si="85"/>
        <v>0</v>
      </c>
      <c r="M91" s="127">
        <f t="shared" si="85"/>
        <v>0</v>
      </c>
      <c r="N91" s="127">
        <f t="shared" si="85"/>
        <v>0</v>
      </c>
      <c r="O91" s="127">
        <f t="shared" si="85"/>
        <v>0</v>
      </c>
      <c r="P91" s="127">
        <f t="shared" si="85"/>
        <v>0</v>
      </c>
      <c r="Q91" s="127">
        <f t="shared" si="85"/>
        <v>0</v>
      </c>
      <c r="R91" s="127">
        <f t="shared" si="85"/>
        <v>0</v>
      </c>
      <c r="S91" s="127">
        <f t="shared" si="85"/>
        <v>0</v>
      </c>
      <c r="T91" s="127">
        <f t="shared" si="85"/>
        <v>0</v>
      </c>
      <c r="U91" s="127">
        <f t="shared" si="85"/>
        <v>0</v>
      </c>
      <c r="V91" s="127">
        <f t="shared" si="85"/>
        <v>0</v>
      </c>
      <c r="W91" s="127">
        <f t="shared" si="85"/>
        <v>0</v>
      </c>
      <c r="X91" s="127">
        <f t="shared" si="85"/>
        <v>0</v>
      </c>
      <c r="Y91" s="127">
        <f t="shared" si="85"/>
        <v>0</v>
      </c>
      <c r="Z91" s="127">
        <f t="shared" si="85"/>
        <v>0</v>
      </c>
      <c r="AA91" s="127">
        <f t="shared" si="85"/>
        <v>0</v>
      </c>
      <c r="AB91" s="127">
        <f t="shared" si="85"/>
        <v>0</v>
      </c>
      <c r="AC91" s="127">
        <f t="shared" si="85"/>
        <v>0</v>
      </c>
      <c r="AD91" s="127">
        <f t="shared" si="85"/>
        <v>0</v>
      </c>
      <c r="AE91" s="127">
        <f t="shared" si="85"/>
        <v>0</v>
      </c>
      <c r="AF91" s="127">
        <f t="shared" si="85"/>
        <v>0</v>
      </c>
      <c r="AG91" s="127">
        <f t="shared" si="85"/>
        <v>0</v>
      </c>
      <c r="AH91" s="127">
        <f t="shared" si="85"/>
        <v>0</v>
      </c>
      <c r="AI91" s="127">
        <f t="shared" si="85"/>
        <v>0</v>
      </c>
      <c r="AJ91" s="127">
        <f t="shared" si="85"/>
        <v>0</v>
      </c>
      <c r="AK91" s="127">
        <f t="shared" si="85"/>
        <v>0</v>
      </c>
      <c r="AL91" s="127">
        <f t="shared" si="85"/>
        <v>0</v>
      </c>
      <c r="AM91" s="127">
        <f t="shared" si="85"/>
        <v>0</v>
      </c>
      <c r="AN91" s="127">
        <f t="shared" si="85"/>
        <v>0</v>
      </c>
      <c r="AO91" s="127">
        <f t="shared" si="85"/>
        <v>0</v>
      </c>
      <c r="AP91" s="127">
        <f t="shared" si="85"/>
        <v>0</v>
      </c>
      <c r="AQ91" s="127">
        <f t="shared" si="85"/>
        <v>0</v>
      </c>
      <c r="AR91" s="127">
        <f t="shared" si="85"/>
        <v>0</v>
      </c>
      <c r="AS91" s="127">
        <f t="shared" si="85"/>
        <v>0</v>
      </c>
      <c r="AT91" s="127">
        <f t="shared" si="85"/>
        <v>0</v>
      </c>
    </row>
    <row r="92" spans="1:46" customFormat="1" x14ac:dyDescent="0.15">
      <c r="A92" s="127"/>
      <c r="B92" s="127"/>
      <c r="C92" s="127" t="str">
        <f t="shared" si="69"/>
        <v>Heckroodt</v>
      </c>
      <c r="D92" s="127">
        <f t="shared" ref="D92:AT92" si="86">BatSplit(D23,_xlnm.Extract)</f>
        <v>0</v>
      </c>
      <c r="E92" s="127">
        <f t="shared" si="86"/>
        <v>1</v>
      </c>
      <c r="F92" s="127">
        <f t="shared" si="86"/>
        <v>0</v>
      </c>
      <c r="G92" s="127">
        <f t="shared" si="86"/>
        <v>1</v>
      </c>
      <c r="H92" s="127">
        <f t="shared" si="86"/>
        <v>0</v>
      </c>
      <c r="I92" s="127">
        <f t="shared" si="86"/>
        <v>0</v>
      </c>
      <c r="J92" s="127">
        <f t="shared" si="86"/>
        <v>3</v>
      </c>
      <c r="K92" s="127">
        <f t="shared" si="86"/>
        <v>0</v>
      </c>
      <c r="L92" s="127">
        <f t="shared" si="86"/>
        <v>1</v>
      </c>
      <c r="M92" s="127">
        <f t="shared" si="86"/>
        <v>0</v>
      </c>
      <c r="N92" s="127">
        <f t="shared" si="86"/>
        <v>0</v>
      </c>
      <c r="O92" s="127">
        <f t="shared" si="86"/>
        <v>0</v>
      </c>
      <c r="P92" s="127">
        <f t="shared" si="86"/>
        <v>0</v>
      </c>
      <c r="Q92" s="127">
        <f t="shared" si="86"/>
        <v>0</v>
      </c>
      <c r="R92" s="127">
        <f t="shared" si="86"/>
        <v>0</v>
      </c>
      <c r="S92" s="127">
        <f t="shared" si="86"/>
        <v>0</v>
      </c>
      <c r="T92" s="127">
        <f t="shared" si="86"/>
        <v>0</v>
      </c>
      <c r="U92" s="127">
        <f t="shared" si="86"/>
        <v>0</v>
      </c>
      <c r="V92" s="127">
        <f t="shared" si="86"/>
        <v>0</v>
      </c>
      <c r="W92" s="127">
        <f t="shared" si="86"/>
        <v>0</v>
      </c>
      <c r="X92" s="127">
        <f t="shared" si="86"/>
        <v>0</v>
      </c>
      <c r="Y92" s="127">
        <f t="shared" si="86"/>
        <v>0</v>
      </c>
      <c r="Z92" s="127">
        <f t="shared" si="86"/>
        <v>0</v>
      </c>
      <c r="AA92" s="127">
        <f t="shared" si="86"/>
        <v>3</v>
      </c>
      <c r="AB92" s="127">
        <f t="shared" si="86"/>
        <v>1</v>
      </c>
      <c r="AC92" s="127">
        <f t="shared" si="86"/>
        <v>0</v>
      </c>
      <c r="AD92" s="127">
        <f t="shared" si="86"/>
        <v>0</v>
      </c>
      <c r="AE92" s="127">
        <f t="shared" si="86"/>
        <v>0</v>
      </c>
      <c r="AF92" s="127">
        <f t="shared" si="86"/>
        <v>0</v>
      </c>
      <c r="AG92" s="127">
        <f t="shared" si="86"/>
        <v>0</v>
      </c>
      <c r="AH92" s="127">
        <f t="shared" si="86"/>
        <v>0</v>
      </c>
      <c r="AI92" s="127">
        <f t="shared" si="86"/>
        <v>0</v>
      </c>
      <c r="AJ92" s="127">
        <f t="shared" si="86"/>
        <v>0</v>
      </c>
      <c r="AK92" s="127">
        <f t="shared" si="86"/>
        <v>0</v>
      </c>
      <c r="AL92" s="127">
        <f t="shared" si="86"/>
        <v>0</v>
      </c>
      <c r="AM92" s="127">
        <f t="shared" si="86"/>
        <v>0</v>
      </c>
      <c r="AN92" s="127">
        <f t="shared" si="86"/>
        <v>0</v>
      </c>
      <c r="AO92" s="127">
        <f t="shared" si="86"/>
        <v>0</v>
      </c>
      <c r="AP92" s="127">
        <f t="shared" si="86"/>
        <v>0</v>
      </c>
      <c r="AQ92" s="127">
        <f t="shared" si="86"/>
        <v>0</v>
      </c>
      <c r="AR92" s="127">
        <f t="shared" si="86"/>
        <v>0</v>
      </c>
      <c r="AS92" s="127">
        <f t="shared" si="86"/>
        <v>0</v>
      </c>
      <c r="AT92" s="127">
        <f t="shared" si="86"/>
        <v>0</v>
      </c>
    </row>
    <row r="93" spans="1:46" customFormat="1" x14ac:dyDescent="0.15">
      <c r="A93" s="127"/>
      <c r="B93" s="127"/>
      <c r="C93" s="127" t="str">
        <f t="shared" si="69"/>
        <v>Howe V</v>
      </c>
      <c r="D93" s="127">
        <f t="shared" ref="D93:AT93" si="87">BatSplit(D24,_xlnm.Extract)</f>
        <v>0</v>
      </c>
      <c r="E93" s="127">
        <f t="shared" si="87"/>
        <v>0</v>
      </c>
      <c r="F93" s="127">
        <f t="shared" si="87"/>
        <v>0</v>
      </c>
      <c r="G93" s="127">
        <f t="shared" si="87"/>
        <v>0</v>
      </c>
      <c r="H93" s="127">
        <f t="shared" si="87"/>
        <v>0</v>
      </c>
      <c r="I93" s="127">
        <f t="shared" si="87"/>
        <v>0</v>
      </c>
      <c r="J93" s="127">
        <f t="shared" si="87"/>
        <v>0</v>
      </c>
      <c r="K93" s="127">
        <f t="shared" si="87"/>
        <v>0</v>
      </c>
      <c r="L93" s="127">
        <f t="shared" si="87"/>
        <v>0</v>
      </c>
      <c r="M93" s="127">
        <f t="shared" si="87"/>
        <v>0</v>
      </c>
      <c r="N93" s="127">
        <f t="shared" si="87"/>
        <v>0</v>
      </c>
      <c r="O93" s="127">
        <f t="shared" si="87"/>
        <v>0</v>
      </c>
      <c r="P93" s="127">
        <f t="shared" si="87"/>
        <v>0</v>
      </c>
      <c r="Q93" s="127">
        <f t="shared" si="87"/>
        <v>0</v>
      </c>
      <c r="R93" s="127">
        <f t="shared" si="87"/>
        <v>0</v>
      </c>
      <c r="S93" s="127">
        <f t="shared" si="87"/>
        <v>0</v>
      </c>
      <c r="T93" s="127">
        <f t="shared" si="87"/>
        <v>0</v>
      </c>
      <c r="U93" s="127">
        <f t="shared" si="87"/>
        <v>0</v>
      </c>
      <c r="V93" s="127">
        <f t="shared" si="87"/>
        <v>0</v>
      </c>
      <c r="W93" s="127">
        <f t="shared" si="87"/>
        <v>0</v>
      </c>
      <c r="X93" s="127">
        <f t="shared" si="87"/>
        <v>0</v>
      </c>
      <c r="Y93" s="127">
        <f t="shared" si="87"/>
        <v>0</v>
      </c>
      <c r="Z93" s="127">
        <f t="shared" si="87"/>
        <v>0</v>
      </c>
      <c r="AA93" s="127">
        <f t="shared" si="87"/>
        <v>0</v>
      </c>
      <c r="AB93" s="127">
        <f t="shared" si="87"/>
        <v>0</v>
      </c>
      <c r="AC93" s="127">
        <f t="shared" si="87"/>
        <v>0</v>
      </c>
      <c r="AD93" s="127">
        <f t="shared" si="87"/>
        <v>0</v>
      </c>
      <c r="AE93" s="127">
        <f t="shared" si="87"/>
        <v>0</v>
      </c>
      <c r="AF93" s="127">
        <f t="shared" si="87"/>
        <v>0</v>
      </c>
      <c r="AG93" s="127">
        <f t="shared" si="87"/>
        <v>0</v>
      </c>
      <c r="AH93" s="127">
        <f t="shared" si="87"/>
        <v>0</v>
      </c>
      <c r="AI93" s="127">
        <f t="shared" si="87"/>
        <v>0</v>
      </c>
      <c r="AJ93" s="127">
        <f t="shared" si="87"/>
        <v>0</v>
      </c>
      <c r="AK93" s="127">
        <f t="shared" si="87"/>
        <v>0</v>
      </c>
      <c r="AL93" s="127">
        <f t="shared" si="87"/>
        <v>0</v>
      </c>
      <c r="AM93" s="127">
        <f t="shared" si="87"/>
        <v>0</v>
      </c>
      <c r="AN93" s="127">
        <f t="shared" si="87"/>
        <v>0</v>
      </c>
      <c r="AO93" s="127">
        <f t="shared" si="87"/>
        <v>0</v>
      </c>
      <c r="AP93" s="127">
        <f t="shared" si="87"/>
        <v>0</v>
      </c>
      <c r="AQ93" s="127">
        <f t="shared" si="87"/>
        <v>0</v>
      </c>
      <c r="AR93" s="127">
        <f t="shared" si="87"/>
        <v>0</v>
      </c>
      <c r="AS93" s="127">
        <f t="shared" si="87"/>
        <v>0</v>
      </c>
      <c r="AT93" s="127">
        <f t="shared" si="87"/>
        <v>0</v>
      </c>
    </row>
    <row r="94" spans="1:46" customFormat="1" x14ac:dyDescent="0.15">
      <c r="A94" s="127"/>
      <c r="B94" s="127"/>
      <c r="C94" s="127" t="str">
        <f t="shared" si="69"/>
        <v>Leadley J</v>
      </c>
      <c r="D94" s="127">
        <f t="shared" ref="D94:AT94" si="88">BatSplit(D25,_xlnm.Extract)</f>
        <v>3</v>
      </c>
      <c r="E94" s="127">
        <f t="shared" si="88"/>
        <v>0</v>
      </c>
      <c r="F94" s="127">
        <f t="shared" si="88"/>
        <v>4</v>
      </c>
      <c r="G94" s="127">
        <f t="shared" si="88"/>
        <v>0</v>
      </c>
      <c r="H94" s="127">
        <f t="shared" si="88"/>
        <v>0</v>
      </c>
      <c r="I94" s="127">
        <f t="shared" si="88"/>
        <v>0</v>
      </c>
      <c r="J94" s="127">
        <f t="shared" si="88"/>
        <v>0</v>
      </c>
      <c r="K94" s="127">
        <f t="shared" si="88"/>
        <v>0</v>
      </c>
      <c r="L94" s="127">
        <f t="shared" si="88"/>
        <v>0</v>
      </c>
      <c r="M94" s="127">
        <f t="shared" si="88"/>
        <v>0</v>
      </c>
      <c r="N94" s="127">
        <f t="shared" si="88"/>
        <v>0</v>
      </c>
      <c r="O94" s="127">
        <f t="shared" si="88"/>
        <v>0</v>
      </c>
      <c r="P94" s="127">
        <f t="shared" si="88"/>
        <v>0</v>
      </c>
      <c r="Q94" s="127">
        <f t="shared" si="88"/>
        <v>0</v>
      </c>
      <c r="R94" s="127">
        <f t="shared" si="88"/>
        <v>0</v>
      </c>
      <c r="S94" s="127">
        <f t="shared" si="88"/>
        <v>0</v>
      </c>
      <c r="T94" s="127">
        <f t="shared" si="88"/>
        <v>0</v>
      </c>
      <c r="U94" s="127">
        <f t="shared" si="88"/>
        <v>0</v>
      </c>
      <c r="V94" s="127">
        <f t="shared" si="88"/>
        <v>0</v>
      </c>
      <c r="W94" s="127">
        <f t="shared" si="88"/>
        <v>0</v>
      </c>
      <c r="X94" s="127">
        <f t="shared" si="88"/>
        <v>0</v>
      </c>
      <c r="Y94" s="127">
        <f t="shared" si="88"/>
        <v>0</v>
      </c>
      <c r="Z94" s="127">
        <f t="shared" si="88"/>
        <v>0</v>
      </c>
      <c r="AA94" s="127">
        <f t="shared" si="88"/>
        <v>0</v>
      </c>
      <c r="AB94" s="127">
        <f t="shared" si="88"/>
        <v>0</v>
      </c>
      <c r="AC94" s="127">
        <f t="shared" si="88"/>
        <v>0</v>
      </c>
      <c r="AD94" s="127">
        <f t="shared" si="88"/>
        <v>0</v>
      </c>
      <c r="AE94" s="127">
        <f t="shared" si="88"/>
        <v>0</v>
      </c>
      <c r="AF94" s="127">
        <f t="shared" si="88"/>
        <v>0</v>
      </c>
      <c r="AG94" s="127">
        <f t="shared" si="88"/>
        <v>0</v>
      </c>
      <c r="AH94" s="127">
        <f t="shared" si="88"/>
        <v>0</v>
      </c>
      <c r="AI94" s="127">
        <f t="shared" si="88"/>
        <v>0</v>
      </c>
      <c r="AJ94" s="127">
        <f t="shared" si="88"/>
        <v>0</v>
      </c>
      <c r="AK94" s="127">
        <f t="shared" si="88"/>
        <v>0</v>
      </c>
      <c r="AL94" s="127">
        <f t="shared" si="88"/>
        <v>0</v>
      </c>
      <c r="AM94" s="127">
        <f t="shared" si="88"/>
        <v>0</v>
      </c>
      <c r="AN94" s="127">
        <f t="shared" si="88"/>
        <v>0</v>
      </c>
      <c r="AO94" s="127">
        <f t="shared" si="88"/>
        <v>0</v>
      </c>
      <c r="AP94" s="127">
        <f t="shared" si="88"/>
        <v>0</v>
      </c>
      <c r="AQ94" s="127">
        <f t="shared" si="88"/>
        <v>0</v>
      </c>
      <c r="AR94" s="127">
        <f t="shared" si="88"/>
        <v>0</v>
      </c>
      <c r="AS94" s="127">
        <f t="shared" si="88"/>
        <v>0</v>
      </c>
      <c r="AT94" s="127">
        <f t="shared" si="88"/>
        <v>0</v>
      </c>
    </row>
    <row r="95" spans="1:46" customFormat="1" x14ac:dyDescent="0.15">
      <c r="A95" s="127"/>
      <c r="B95" s="127"/>
      <c r="C95" s="127" t="str">
        <f t="shared" si="69"/>
        <v>Lestrelle A</v>
      </c>
      <c r="D95" s="127">
        <f t="shared" ref="D95:AT95" si="89">BatSplit(D26,_xlnm.Extract)</f>
        <v>0</v>
      </c>
      <c r="E95" s="127">
        <f t="shared" si="89"/>
        <v>0</v>
      </c>
      <c r="F95" s="127">
        <f t="shared" si="89"/>
        <v>0</v>
      </c>
      <c r="G95" s="127">
        <f t="shared" si="89"/>
        <v>1</v>
      </c>
      <c r="H95" s="127">
        <f t="shared" si="89"/>
        <v>0</v>
      </c>
      <c r="I95" s="127">
        <f t="shared" si="89"/>
        <v>0</v>
      </c>
      <c r="J95" s="127">
        <f t="shared" si="89"/>
        <v>0</v>
      </c>
      <c r="K95" s="127">
        <f t="shared" si="89"/>
        <v>0</v>
      </c>
      <c r="L95" s="127">
        <f t="shared" si="89"/>
        <v>0</v>
      </c>
      <c r="M95" s="127">
        <f t="shared" si="89"/>
        <v>0</v>
      </c>
      <c r="N95" s="127">
        <f t="shared" si="89"/>
        <v>0</v>
      </c>
      <c r="O95" s="127">
        <f t="shared" si="89"/>
        <v>0</v>
      </c>
      <c r="P95" s="127">
        <f t="shared" si="89"/>
        <v>0</v>
      </c>
      <c r="Q95" s="127">
        <f t="shared" si="89"/>
        <v>0</v>
      </c>
      <c r="R95" s="127">
        <f t="shared" si="89"/>
        <v>0</v>
      </c>
      <c r="S95" s="127">
        <f t="shared" si="89"/>
        <v>0</v>
      </c>
      <c r="T95" s="127">
        <f t="shared" si="89"/>
        <v>0</v>
      </c>
      <c r="U95" s="127">
        <f t="shared" si="89"/>
        <v>0</v>
      </c>
      <c r="V95" s="127">
        <f t="shared" si="89"/>
        <v>0</v>
      </c>
      <c r="W95" s="127">
        <f t="shared" si="89"/>
        <v>0</v>
      </c>
      <c r="X95" s="127">
        <f t="shared" si="89"/>
        <v>0</v>
      </c>
      <c r="Y95" s="127">
        <f t="shared" si="89"/>
        <v>0</v>
      </c>
      <c r="Z95" s="127">
        <f t="shared" si="89"/>
        <v>0</v>
      </c>
      <c r="AA95" s="127">
        <f t="shared" si="89"/>
        <v>0</v>
      </c>
      <c r="AB95" s="127">
        <f t="shared" si="89"/>
        <v>0</v>
      </c>
      <c r="AC95" s="127">
        <f t="shared" si="89"/>
        <v>0</v>
      </c>
      <c r="AD95" s="127">
        <f t="shared" si="89"/>
        <v>0</v>
      </c>
      <c r="AE95" s="127">
        <f t="shared" si="89"/>
        <v>0</v>
      </c>
      <c r="AF95" s="127">
        <f t="shared" si="89"/>
        <v>0</v>
      </c>
      <c r="AG95" s="127">
        <f t="shared" si="89"/>
        <v>0</v>
      </c>
      <c r="AH95" s="127">
        <f t="shared" si="89"/>
        <v>0</v>
      </c>
      <c r="AI95" s="127">
        <f t="shared" si="89"/>
        <v>0</v>
      </c>
      <c r="AJ95" s="127">
        <f t="shared" si="89"/>
        <v>0</v>
      </c>
      <c r="AK95" s="127">
        <f t="shared" si="89"/>
        <v>0</v>
      </c>
      <c r="AL95" s="127">
        <f t="shared" si="89"/>
        <v>0</v>
      </c>
      <c r="AM95" s="127">
        <f t="shared" si="89"/>
        <v>1</v>
      </c>
      <c r="AN95" s="127">
        <f t="shared" si="89"/>
        <v>0</v>
      </c>
      <c r="AO95" s="127">
        <f t="shared" si="89"/>
        <v>0</v>
      </c>
      <c r="AP95" s="127">
        <f t="shared" si="89"/>
        <v>0</v>
      </c>
      <c r="AQ95" s="127">
        <f t="shared" si="89"/>
        <v>0</v>
      </c>
      <c r="AR95" s="127">
        <f t="shared" si="89"/>
        <v>0</v>
      </c>
      <c r="AS95" s="127">
        <f t="shared" si="89"/>
        <v>0</v>
      </c>
      <c r="AT95" s="127">
        <f t="shared" si="89"/>
        <v>0</v>
      </c>
    </row>
    <row r="96" spans="1:46" customFormat="1" x14ac:dyDescent="0.15">
      <c r="A96" s="127"/>
      <c r="B96" s="127"/>
      <c r="C96" s="127" t="str">
        <f t="shared" si="69"/>
        <v>Lestrelle J</v>
      </c>
      <c r="D96" s="127">
        <f t="shared" ref="D96:AT96" si="90">BatSplit(D27,_xlnm.Extract)</f>
        <v>0</v>
      </c>
      <c r="E96" s="127">
        <f t="shared" si="90"/>
        <v>1</v>
      </c>
      <c r="F96" s="127">
        <f t="shared" si="90"/>
        <v>0</v>
      </c>
      <c r="G96" s="127">
        <f t="shared" si="90"/>
        <v>2</v>
      </c>
      <c r="H96" s="127">
        <f t="shared" si="90"/>
        <v>0</v>
      </c>
      <c r="I96" s="127">
        <f t="shared" si="90"/>
        <v>0</v>
      </c>
      <c r="J96" s="127">
        <f t="shared" si="90"/>
        <v>3</v>
      </c>
      <c r="K96" s="127">
        <f t="shared" si="90"/>
        <v>0</v>
      </c>
      <c r="L96" s="127">
        <f t="shared" si="90"/>
        <v>1</v>
      </c>
      <c r="M96" s="127">
        <f t="shared" si="90"/>
        <v>0</v>
      </c>
      <c r="N96" s="127">
        <f t="shared" si="90"/>
        <v>0</v>
      </c>
      <c r="O96" s="127">
        <f t="shared" si="90"/>
        <v>1</v>
      </c>
      <c r="P96" s="127">
        <f t="shared" si="90"/>
        <v>0</v>
      </c>
      <c r="Q96" s="127">
        <f t="shared" si="90"/>
        <v>2</v>
      </c>
      <c r="R96" s="127">
        <f t="shared" si="90"/>
        <v>2</v>
      </c>
      <c r="S96" s="127">
        <f t="shared" si="90"/>
        <v>0</v>
      </c>
      <c r="T96" s="127">
        <f t="shared" si="90"/>
        <v>0</v>
      </c>
      <c r="U96" s="127">
        <f t="shared" si="90"/>
        <v>0</v>
      </c>
      <c r="V96" s="127">
        <f t="shared" si="90"/>
        <v>0</v>
      </c>
      <c r="W96" s="127">
        <f t="shared" si="90"/>
        <v>1</v>
      </c>
      <c r="X96" s="127">
        <f t="shared" si="90"/>
        <v>0</v>
      </c>
      <c r="Y96" s="127">
        <f t="shared" si="90"/>
        <v>0</v>
      </c>
      <c r="Z96" s="127">
        <f t="shared" si="90"/>
        <v>0</v>
      </c>
      <c r="AA96" s="127">
        <f t="shared" si="90"/>
        <v>2</v>
      </c>
      <c r="AB96" s="127">
        <f t="shared" si="90"/>
        <v>0</v>
      </c>
      <c r="AC96" s="127">
        <f t="shared" si="90"/>
        <v>0</v>
      </c>
      <c r="AD96" s="127">
        <f t="shared" si="90"/>
        <v>0</v>
      </c>
      <c r="AE96" s="127">
        <f t="shared" si="90"/>
        <v>0</v>
      </c>
      <c r="AF96" s="127">
        <f t="shared" si="90"/>
        <v>0</v>
      </c>
      <c r="AG96" s="127">
        <f t="shared" si="90"/>
        <v>0</v>
      </c>
      <c r="AH96" s="127">
        <f t="shared" si="90"/>
        <v>0</v>
      </c>
      <c r="AI96" s="127">
        <f t="shared" si="90"/>
        <v>0</v>
      </c>
      <c r="AJ96" s="127">
        <f t="shared" si="90"/>
        <v>0</v>
      </c>
      <c r="AK96" s="127">
        <f t="shared" si="90"/>
        <v>0</v>
      </c>
      <c r="AL96" s="127">
        <f t="shared" si="90"/>
        <v>0</v>
      </c>
      <c r="AM96" s="127">
        <f t="shared" si="90"/>
        <v>0</v>
      </c>
      <c r="AN96" s="127">
        <f t="shared" si="90"/>
        <v>0</v>
      </c>
      <c r="AO96" s="127">
        <f t="shared" si="90"/>
        <v>0</v>
      </c>
      <c r="AP96" s="127">
        <f t="shared" si="90"/>
        <v>0</v>
      </c>
      <c r="AQ96" s="127">
        <f t="shared" si="90"/>
        <v>0</v>
      </c>
      <c r="AR96" s="127">
        <f t="shared" si="90"/>
        <v>0</v>
      </c>
      <c r="AS96" s="127">
        <f t="shared" si="90"/>
        <v>0</v>
      </c>
      <c r="AT96" s="127">
        <f t="shared" si="90"/>
        <v>0</v>
      </c>
    </row>
    <row r="97" spans="1:46" customFormat="1" x14ac:dyDescent="0.15">
      <c r="A97" s="127"/>
      <c r="B97" s="127"/>
      <c r="C97" s="127" t="str">
        <f t="shared" si="69"/>
        <v>Luxford J</v>
      </c>
      <c r="D97" s="127">
        <f t="shared" ref="D97:AT97" si="91">BatSplit(D28,_xlnm.Extract)</f>
        <v>0</v>
      </c>
      <c r="E97" s="127">
        <f t="shared" si="91"/>
        <v>0</v>
      </c>
      <c r="F97" s="127">
        <f t="shared" si="91"/>
        <v>0</v>
      </c>
      <c r="G97" s="127">
        <f t="shared" si="91"/>
        <v>0</v>
      </c>
      <c r="H97" s="127">
        <f t="shared" si="91"/>
        <v>0</v>
      </c>
      <c r="I97" s="127">
        <f t="shared" si="91"/>
        <v>1</v>
      </c>
      <c r="J97" s="127">
        <f t="shared" si="91"/>
        <v>0</v>
      </c>
      <c r="K97" s="127">
        <f t="shared" si="91"/>
        <v>0</v>
      </c>
      <c r="L97" s="127">
        <f t="shared" si="91"/>
        <v>0</v>
      </c>
      <c r="M97" s="127">
        <f t="shared" si="91"/>
        <v>0</v>
      </c>
      <c r="N97" s="127">
        <f t="shared" si="91"/>
        <v>0</v>
      </c>
      <c r="O97" s="127">
        <f t="shared" si="91"/>
        <v>0</v>
      </c>
      <c r="P97" s="127">
        <f t="shared" si="91"/>
        <v>0</v>
      </c>
      <c r="Q97" s="127">
        <f t="shared" si="91"/>
        <v>0</v>
      </c>
      <c r="R97" s="127">
        <f t="shared" si="91"/>
        <v>0</v>
      </c>
      <c r="S97" s="127">
        <f t="shared" si="91"/>
        <v>0</v>
      </c>
      <c r="T97" s="127">
        <f t="shared" si="91"/>
        <v>0</v>
      </c>
      <c r="U97" s="127">
        <f t="shared" si="91"/>
        <v>0</v>
      </c>
      <c r="V97" s="127">
        <f t="shared" si="91"/>
        <v>0</v>
      </c>
      <c r="W97" s="127">
        <f t="shared" si="91"/>
        <v>0</v>
      </c>
      <c r="X97" s="127">
        <f t="shared" si="91"/>
        <v>0</v>
      </c>
      <c r="Y97" s="127">
        <f t="shared" si="91"/>
        <v>0</v>
      </c>
      <c r="Z97" s="127">
        <f t="shared" si="91"/>
        <v>0</v>
      </c>
      <c r="AA97" s="127">
        <f t="shared" si="91"/>
        <v>0</v>
      </c>
      <c r="AB97" s="127">
        <f t="shared" si="91"/>
        <v>0</v>
      </c>
      <c r="AC97" s="127">
        <f t="shared" si="91"/>
        <v>0</v>
      </c>
      <c r="AD97" s="127">
        <f t="shared" si="91"/>
        <v>0</v>
      </c>
      <c r="AE97" s="127">
        <f t="shared" si="91"/>
        <v>0</v>
      </c>
      <c r="AF97" s="127">
        <f t="shared" si="91"/>
        <v>0</v>
      </c>
      <c r="AG97" s="127">
        <f t="shared" si="91"/>
        <v>0</v>
      </c>
      <c r="AH97" s="127">
        <f t="shared" si="91"/>
        <v>0</v>
      </c>
      <c r="AI97" s="127">
        <f t="shared" si="91"/>
        <v>0</v>
      </c>
      <c r="AJ97" s="127">
        <f t="shared" si="91"/>
        <v>0</v>
      </c>
      <c r="AK97" s="127">
        <f t="shared" si="91"/>
        <v>0</v>
      </c>
      <c r="AL97" s="127">
        <f t="shared" si="91"/>
        <v>0</v>
      </c>
      <c r="AM97" s="127">
        <f t="shared" si="91"/>
        <v>0</v>
      </c>
      <c r="AN97" s="127">
        <f t="shared" si="91"/>
        <v>0</v>
      </c>
      <c r="AO97" s="127">
        <f t="shared" si="91"/>
        <v>0</v>
      </c>
      <c r="AP97" s="127">
        <f t="shared" si="91"/>
        <v>0</v>
      </c>
      <c r="AQ97" s="127">
        <f t="shared" si="91"/>
        <v>0</v>
      </c>
      <c r="AR97" s="127">
        <f t="shared" si="91"/>
        <v>0</v>
      </c>
      <c r="AS97" s="127">
        <f t="shared" si="91"/>
        <v>0</v>
      </c>
      <c r="AT97" s="127">
        <f t="shared" si="91"/>
        <v>0</v>
      </c>
    </row>
    <row r="98" spans="1:46" customFormat="1" x14ac:dyDescent="0.15">
      <c r="A98" s="127"/>
      <c r="B98" s="127"/>
      <c r="C98" s="127" t="str">
        <f t="shared" si="69"/>
        <v>Mander A</v>
      </c>
      <c r="D98" s="127">
        <f t="shared" ref="D98:AT98" si="92">BatSplit(D29,_xlnm.Extract)</f>
        <v>0</v>
      </c>
      <c r="E98" s="127">
        <f t="shared" si="92"/>
        <v>0</v>
      </c>
      <c r="F98" s="127">
        <f t="shared" si="92"/>
        <v>0</v>
      </c>
      <c r="G98" s="127">
        <f t="shared" si="92"/>
        <v>0</v>
      </c>
      <c r="H98" s="127">
        <f t="shared" si="92"/>
        <v>0</v>
      </c>
      <c r="I98" s="127">
        <f t="shared" si="92"/>
        <v>0</v>
      </c>
      <c r="J98" s="127">
        <f t="shared" si="92"/>
        <v>0</v>
      </c>
      <c r="K98" s="127">
        <f t="shared" si="92"/>
        <v>6</v>
      </c>
      <c r="L98" s="127">
        <f t="shared" si="92"/>
        <v>0</v>
      </c>
      <c r="M98" s="127">
        <f t="shared" si="92"/>
        <v>3</v>
      </c>
      <c r="N98" s="127">
        <f t="shared" si="92"/>
        <v>0</v>
      </c>
      <c r="O98" s="127">
        <f t="shared" si="92"/>
        <v>0</v>
      </c>
      <c r="P98" s="127">
        <f t="shared" si="92"/>
        <v>0</v>
      </c>
      <c r="Q98" s="127">
        <f t="shared" si="92"/>
        <v>0</v>
      </c>
      <c r="R98" s="127">
        <f t="shared" si="92"/>
        <v>0</v>
      </c>
      <c r="S98" s="127">
        <f t="shared" si="92"/>
        <v>0</v>
      </c>
      <c r="T98" s="127">
        <f t="shared" si="92"/>
        <v>0</v>
      </c>
      <c r="U98" s="127">
        <f t="shared" si="92"/>
        <v>0</v>
      </c>
      <c r="V98" s="127">
        <f t="shared" si="92"/>
        <v>0</v>
      </c>
      <c r="W98" s="127">
        <f t="shared" si="92"/>
        <v>4</v>
      </c>
      <c r="X98" s="127">
        <f t="shared" si="92"/>
        <v>0</v>
      </c>
      <c r="Y98" s="127">
        <f t="shared" si="92"/>
        <v>1</v>
      </c>
      <c r="Z98" s="127">
        <f t="shared" si="92"/>
        <v>0</v>
      </c>
      <c r="AA98" s="127">
        <f t="shared" si="92"/>
        <v>0</v>
      </c>
      <c r="AB98" s="127">
        <f t="shared" si="92"/>
        <v>0</v>
      </c>
      <c r="AC98" s="127">
        <f t="shared" si="92"/>
        <v>0</v>
      </c>
      <c r="AD98" s="127">
        <f t="shared" si="92"/>
        <v>0</v>
      </c>
      <c r="AE98" s="127">
        <f t="shared" si="92"/>
        <v>0</v>
      </c>
      <c r="AF98" s="127">
        <f t="shared" si="92"/>
        <v>0</v>
      </c>
      <c r="AG98" s="127">
        <f t="shared" si="92"/>
        <v>0</v>
      </c>
      <c r="AH98" s="127">
        <f t="shared" si="92"/>
        <v>0</v>
      </c>
      <c r="AI98" s="127">
        <f t="shared" si="92"/>
        <v>0</v>
      </c>
      <c r="AJ98" s="127">
        <f t="shared" si="92"/>
        <v>0</v>
      </c>
      <c r="AK98" s="127">
        <f t="shared" si="92"/>
        <v>1</v>
      </c>
      <c r="AL98" s="127">
        <f t="shared" si="92"/>
        <v>0</v>
      </c>
      <c r="AM98" s="127">
        <f t="shared" si="92"/>
        <v>0</v>
      </c>
      <c r="AN98" s="127">
        <f t="shared" si="92"/>
        <v>0</v>
      </c>
      <c r="AO98" s="127">
        <f t="shared" si="92"/>
        <v>0</v>
      </c>
      <c r="AP98" s="127">
        <f t="shared" si="92"/>
        <v>0</v>
      </c>
      <c r="AQ98" s="127">
        <f t="shared" si="92"/>
        <v>0</v>
      </c>
      <c r="AR98" s="127">
        <f t="shared" si="92"/>
        <v>0</v>
      </c>
      <c r="AS98" s="127">
        <f t="shared" si="92"/>
        <v>0</v>
      </c>
      <c r="AT98" s="127">
        <f t="shared" si="92"/>
        <v>0</v>
      </c>
    </row>
    <row r="99" spans="1:46" customFormat="1" x14ac:dyDescent="0.15">
      <c r="A99" s="127"/>
      <c r="B99" s="127"/>
      <c r="C99" s="127" t="str">
        <f t="shared" si="69"/>
        <v>Mander C</v>
      </c>
      <c r="D99" s="127">
        <f t="shared" ref="D99:AT99" si="93">BatSplit(D30,_xlnm.Extract)</f>
        <v>0</v>
      </c>
      <c r="E99" s="127">
        <f t="shared" si="93"/>
        <v>0</v>
      </c>
      <c r="F99" s="127">
        <f t="shared" si="93"/>
        <v>0</v>
      </c>
      <c r="G99" s="127">
        <f t="shared" si="93"/>
        <v>0</v>
      </c>
      <c r="H99" s="127">
        <f t="shared" si="93"/>
        <v>0</v>
      </c>
      <c r="I99" s="127">
        <f t="shared" si="93"/>
        <v>0</v>
      </c>
      <c r="J99" s="127">
        <f t="shared" si="93"/>
        <v>0</v>
      </c>
      <c r="K99" s="127">
        <f t="shared" si="93"/>
        <v>0</v>
      </c>
      <c r="L99" s="127">
        <f t="shared" si="93"/>
        <v>0</v>
      </c>
      <c r="M99" s="127">
        <f t="shared" si="93"/>
        <v>1</v>
      </c>
      <c r="N99" s="127">
        <f t="shared" si="93"/>
        <v>0</v>
      </c>
      <c r="O99" s="127">
        <f t="shared" si="93"/>
        <v>0</v>
      </c>
      <c r="P99" s="127">
        <f t="shared" si="93"/>
        <v>0</v>
      </c>
      <c r="Q99" s="127">
        <f t="shared" si="93"/>
        <v>0</v>
      </c>
      <c r="R99" s="127">
        <f t="shared" si="93"/>
        <v>0</v>
      </c>
      <c r="S99" s="127">
        <f t="shared" si="93"/>
        <v>0</v>
      </c>
      <c r="T99" s="127">
        <f t="shared" si="93"/>
        <v>0</v>
      </c>
      <c r="U99" s="127">
        <f t="shared" si="93"/>
        <v>6</v>
      </c>
      <c r="V99" s="127">
        <f t="shared" si="93"/>
        <v>0</v>
      </c>
      <c r="W99" s="127">
        <f t="shared" si="93"/>
        <v>0</v>
      </c>
      <c r="X99" s="127">
        <f t="shared" si="93"/>
        <v>0</v>
      </c>
      <c r="Y99" s="127">
        <f t="shared" si="93"/>
        <v>1</v>
      </c>
      <c r="Z99" s="127">
        <f t="shared" si="93"/>
        <v>0</v>
      </c>
      <c r="AA99" s="127">
        <f t="shared" si="93"/>
        <v>0</v>
      </c>
      <c r="AB99" s="127">
        <f t="shared" si="93"/>
        <v>0</v>
      </c>
      <c r="AC99" s="127">
        <f t="shared" si="93"/>
        <v>0</v>
      </c>
      <c r="AD99" s="127">
        <f t="shared" si="93"/>
        <v>0</v>
      </c>
      <c r="AE99" s="127">
        <f t="shared" si="93"/>
        <v>0</v>
      </c>
      <c r="AF99" s="127">
        <f t="shared" si="93"/>
        <v>0</v>
      </c>
      <c r="AG99" s="127">
        <f t="shared" si="93"/>
        <v>0</v>
      </c>
      <c r="AH99" s="127">
        <f t="shared" si="93"/>
        <v>0</v>
      </c>
      <c r="AI99" s="127">
        <f t="shared" si="93"/>
        <v>3</v>
      </c>
      <c r="AJ99" s="127">
        <f t="shared" si="93"/>
        <v>0</v>
      </c>
      <c r="AK99" s="127">
        <f t="shared" si="93"/>
        <v>3</v>
      </c>
      <c r="AL99" s="127">
        <f t="shared" si="93"/>
        <v>0</v>
      </c>
      <c r="AM99" s="127">
        <f t="shared" si="93"/>
        <v>0</v>
      </c>
      <c r="AN99" s="127">
        <f t="shared" si="93"/>
        <v>0</v>
      </c>
      <c r="AO99" s="127">
        <f t="shared" si="93"/>
        <v>0</v>
      </c>
      <c r="AP99" s="127">
        <f t="shared" si="93"/>
        <v>0</v>
      </c>
      <c r="AQ99" s="127">
        <f t="shared" si="93"/>
        <v>0</v>
      </c>
      <c r="AR99" s="127">
        <f t="shared" si="93"/>
        <v>0</v>
      </c>
      <c r="AS99" s="127">
        <f t="shared" si="93"/>
        <v>0</v>
      </c>
      <c r="AT99" s="127">
        <f t="shared" si="93"/>
        <v>4</v>
      </c>
    </row>
    <row r="100" spans="1:46" customFormat="1" x14ac:dyDescent="0.15">
      <c r="A100" s="127"/>
      <c r="B100" s="127"/>
      <c r="C100" s="127" t="str">
        <f t="shared" si="69"/>
        <v>Mander N</v>
      </c>
      <c r="D100" s="127">
        <f t="shared" ref="D100:AT100" si="94">BatSplit(D31,_xlnm.Extract)</f>
        <v>0</v>
      </c>
      <c r="E100" s="127">
        <f t="shared" si="94"/>
        <v>5</v>
      </c>
      <c r="F100" s="127">
        <f t="shared" si="94"/>
        <v>0</v>
      </c>
      <c r="G100" s="127">
        <f t="shared" si="94"/>
        <v>0</v>
      </c>
      <c r="H100" s="127">
        <f t="shared" si="94"/>
        <v>0</v>
      </c>
      <c r="I100" s="127">
        <f t="shared" si="94"/>
        <v>2</v>
      </c>
      <c r="J100" s="127">
        <f t="shared" si="94"/>
        <v>0</v>
      </c>
      <c r="K100" s="127">
        <f t="shared" si="94"/>
        <v>0</v>
      </c>
      <c r="L100" s="127">
        <f t="shared" si="94"/>
        <v>0</v>
      </c>
      <c r="M100" s="127">
        <f t="shared" si="94"/>
        <v>6</v>
      </c>
      <c r="N100" s="127">
        <f t="shared" si="94"/>
        <v>0</v>
      </c>
      <c r="O100" s="127">
        <f t="shared" si="94"/>
        <v>0</v>
      </c>
      <c r="P100" s="127">
        <f t="shared" si="94"/>
        <v>0</v>
      </c>
      <c r="Q100" s="127">
        <f t="shared" si="94"/>
        <v>0</v>
      </c>
      <c r="R100" s="127">
        <f t="shared" si="94"/>
        <v>0</v>
      </c>
      <c r="S100" s="127">
        <f t="shared" si="94"/>
        <v>0</v>
      </c>
      <c r="T100" s="127">
        <f t="shared" si="94"/>
        <v>0</v>
      </c>
      <c r="U100" s="127">
        <f t="shared" si="94"/>
        <v>0</v>
      </c>
      <c r="V100" s="127">
        <f t="shared" si="94"/>
        <v>0</v>
      </c>
      <c r="W100" s="127">
        <f t="shared" si="94"/>
        <v>0</v>
      </c>
      <c r="X100" s="127">
        <f t="shared" si="94"/>
        <v>0</v>
      </c>
      <c r="Y100" s="127">
        <f t="shared" si="94"/>
        <v>1</v>
      </c>
      <c r="Z100" s="127">
        <f t="shared" si="94"/>
        <v>0</v>
      </c>
      <c r="AA100" s="127">
        <f t="shared" si="94"/>
        <v>0</v>
      </c>
      <c r="AB100" s="127">
        <f t="shared" si="94"/>
        <v>0</v>
      </c>
      <c r="AC100" s="127">
        <f t="shared" si="94"/>
        <v>0</v>
      </c>
      <c r="AD100" s="127">
        <f t="shared" si="94"/>
        <v>0</v>
      </c>
      <c r="AE100" s="127">
        <f t="shared" si="94"/>
        <v>0</v>
      </c>
      <c r="AF100" s="127">
        <f t="shared" si="94"/>
        <v>0</v>
      </c>
      <c r="AG100" s="127">
        <f t="shared" si="94"/>
        <v>2</v>
      </c>
      <c r="AH100" s="127">
        <f t="shared" si="94"/>
        <v>0</v>
      </c>
      <c r="AI100" s="127">
        <f t="shared" si="94"/>
        <v>14</v>
      </c>
      <c r="AJ100" s="127">
        <f t="shared" si="94"/>
        <v>0</v>
      </c>
      <c r="AK100" s="127">
        <f t="shared" si="94"/>
        <v>4</v>
      </c>
      <c r="AL100" s="127">
        <f t="shared" si="94"/>
        <v>0</v>
      </c>
      <c r="AM100" s="127">
        <f t="shared" si="94"/>
        <v>0</v>
      </c>
      <c r="AN100" s="127">
        <f t="shared" si="94"/>
        <v>0</v>
      </c>
      <c r="AO100" s="127">
        <f t="shared" si="94"/>
        <v>0</v>
      </c>
      <c r="AP100" s="127">
        <f t="shared" si="94"/>
        <v>0</v>
      </c>
      <c r="AQ100" s="127">
        <f t="shared" si="94"/>
        <v>0</v>
      </c>
      <c r="AR100" s="127">
        <f t="shared" si="94"/>
        <v>0</v>
      </c>
      <c r="AS100" s="127">
        <f t="shared" si="94"/>
        <v>15</v>
      </c>
      <c r="AT100" s="127">
        <f t="shared" si="94"/>
        <v>12</v>
      </c>
    </row>
    <row r="101" spans="1:46" customFormat="1" x14ac:dyDescent="0.15">
      <c r="A101" s="127"/>
      <c r="B101" s="127"/>
      <c r="C101" s="127" t="str">
        <f t="shared" si="69"/>
        <v>Marks J</v>
      </c>
      <c r="D101" s="127">
        <f t="shared" ref="D101:AT101" si="95">BatSplit(D32,_xlnm.Extract)</f>
        <v>0</v>
      </c>
      <c r="E101" s="127">
        <f t="shared" si="95"/>
        <v>0</v>
      </c>
      <c r="F101" s="127">
        <f t="shared" si="95"/>
        <v>0</v>
      </c>
      <c r="G101" s="127">
        <f t="shared" si="95"/>
        <v>0</v>
      </c>
      <c r="H101" s="127">
        <f t="shared" si="95"/>
        <v>0</v>
      </c>
      <c r="I101" s="127">
        <f t="shared" si="95"/>
        <v>0</v>
      </c>
      <c r="J101" s="127">
        <f t="shared" si="95"/>
        <v>0</v>
      </c>
      <c r="K101" s="127">
        <f t="shared" si="95"/>
        <v>0</v>
      </c>
      <c r="L101" s="127">
        <f t="shared" si="95"/>
        <v>0</v>
      </c>
      <c r="M101" s="127">
        <f t="shared" si="95"/>
        <v>0</v>
      </c>
      <c r="N101" s="127">
        <f t="shared" si="95"/>
        <v>0</v>
      </c>
      <c r="O101" s="127">
        <f t="shared" si="95"/>
        <v>0</v>
      </c>
      <c r="P101" s="127">
        <f t="shared" si="95"/>
        <v>0</v>
      </c>
      <c r="Q101" s="127">
        <f t="shared" si="95"/>
        <v>0</v>
      </c>
      <c r="R101" s="127">
        <f t="shared" si="95"/>
        <v>0</v>
      </c>
      <c r="S101" s="127">
        <f t="shared" si="95"/>
        <v>0</v>
      </c>
      <c r="T101" s="127">
        <f t="shared" si="95"/>
        <v>0</v>
      </c>
      <c r="U101" s="127">
        <f t="shared" si="95"/>
        <v>0</v>
      </c>
      <c r="V101" s="127">
        <f t="shared" si="95"/>
        <v>0</v>
      </c>
      <c r="W101" s="127">
        <f t="shared" si="95"/>
        <v>0</v>
      </c>
      <c r="X101" s="127">
        <f t="shared" si="95"/>
        <v>0</v>
      </c>
      <c r="Y101" s="127">
        <f t="shared" si="95"/>
        <v>0</v>
      </c>
      <c r="Z101" s="127">
        <f t="shared" si="95"/>
        <v>0</v>
      </c>
      <c r="AA101" s="127">
        <f t="shared" si="95"/>
        <v>0</v>
      </c>
      <c r="AB101" s="127">
        <f t="shared" si="95"/>
        <v>0</v>
      </c>
      <c r="AC101" s="127">
        <f t="shared" si="95"/>
        <v>0</v>
      </c>
      <c r="AD101" s="127">
        <f t="shared" si="95"/>
        <v>0</v>
      </c>
      <c r="AE101" s="127">
        <f t="shared" si="95"/>
        <v>0</v>
      </c>
      <c r="AF101" s="127">
        <f t="shared" si="95"/>
        <v>0</v>
      </c>
      <c r="AG101" s="127">
        <f t="shared" si="95"/>
        <v>0</v>
      </c>
      <c r="AH101" s="127">
        <f t="shared" si="95"/>
        <v>0</v>
      </c>
      <c r="AI101" s="127">
        <f t="shared" si="95"/>
        <v>0</v>
      </c>
      <c r="AJ101" s="127">
        <f t="shared" si="95"/>
        <v>0</v>
      </c>
      <c r="AK101" s="127">
        <f t="shared" si="95"/>
        <v>0</v>
      </c>
      <c r="AL101" s="127">
        <f t="shared" si="95"/>
        <v>0</v>
      </c>
      <c r="AM101" s="127">
        <f t="shared" si="95"/>
        <v>0</v>
      </c>
      <c r="AN101" s="127">
        <f t="shared" si="95"/>
        <v>0</v>
      </c>
      <c r="AO101" s="127">
        <f t="shared" si="95"/>
        <v>0</v>
      </c>
      <c r="AP101" s="127">
        <f t="shared" si="95"/>
        <v>0</v>
      </c>
      <c r="AQ101" s="127">
        <f t="shared" si="95"/>
        <v>0</v>
      </c>
      <c r="AR101" s="127">
        <f t="shared" si="95"/>
        <v>0</v>
      </c>
      <c r="AS101" s="127">
        <f t="shared" si="95"/>
        <v>0</v>
      </c>
      <c r="AT101" s="127">
        <f t="shared" si="95"/>
        <v>0</v>
      </c>
    </row>
    <row r="102" spans="1:46" customFormat="1" x14ac:dyDescent="0.15">
      <c r="A102" s="127"/>
      <c r="B102" s="127"/>
      <c r="C102" s="127" t="str">
        <f t="shared" si="69"/>
        <v>Murphy P</v>
      </c>
      <c r="D102" s="127">
        <f t="shared" ref="D102:AT102" si="96">BatSplit(D33,_xlnm.Extract)</f>
        <v>0</v>
      </c>
      <c r="E102" s="127">
        <f t="shared" si="96"/>
        <v>0</v>
      </c>
      <c r="F102" s="127">
        <f t="shared" si="96"/>
        <v>0</v>
      </c>
      <c r="G102" s="127">
        <f t="shared" si="96"/>
        <v>0</v>
      </c>
      <c r="H102" s="127">
        <f t="shared" si="96"/>
        <v>0</v>
      </c>
      <c r="I102" s="127">
        <f t="shared" si="96"/>
        <v>0</v>
      </c>
      <c r="J102" s="127">
        <f t="shared" si="96"/>
        <v>1</v>
      </c>
      <c r="K102" s="127">
        <f t="shared" si="96"/>
        <v>0</v>
      </c>
      <c r="L102" s="127">
        <f t="shared" si="96"/>
        <v>0</v>
      </c>
      <c r="M102" s="127">
        <f t="shared" si="96"/>
        <v>0</v>
      </c>
      <c r="N102" s="127">
        <f t="shared" si="96"/>
        <v>0</v>
      </c>
      <c r="O102" s="127">
        <f t="shared" si="96"/>
        <v>0</v>
      </c>
      <c r="P102" s="127">
        <f t="shared" si="96"/>
        <v>1</v>
      </c>
      <c r="Q102" s="127">
        <f t="shared" si="96"/>
        <v>1</v>
      </c>
      <c r="R102" s="127">
        <f t="shared" si="96"/>
        <v>3</v>
      </c>
      <c r="S102" s="127">
        <f t="shared" si="96"/>
        <v>0</v>
      </c>
      <c r="T102" s="127">
        <f t="shared" si="96"/>
        <v>0</v>
      </c>
      <c r="U102" s="127">
        <f t="shared" si="96"/>
        <v>1</v>
      </c>
      <c r="V102" s="127">
        <f t="shared" si="96"/>
        <v>0</v>
      </c>
      <c r="W102" s="127">
        <f t="shared" si="96"/>
        <v>0</v>
      </c>
      <c r="X102" s="127">
        <f t="shared" si="96"/>
        <v>0</v>
      </c>
      <c r="Y102" s="127">
        <f t="shared" si="96"/>
        <v>0</v>
      </c>
      <c r="Z102" s="127">
        <f t="shared" si="96"/>
        <v>0</v>
      </c>
      <c r="AA102" s="127">
        <f t="shared" si="96"/>
        <v>0</v>
      </c>
      <c r="AB102" s="127">
        <f t="shared" si="96"/>
        <v>0</v>
      </c>
      <c r="AC102" s="127">
        <f t="shared" si="96"/>
        <v>0</v>
      </c>
      <c r="AD102" s="127">
        <f t="shared" si="96"/>
        <v>0</v>
      </c>
      <c r="AE102" s="127">
        <f t="shared" si="96"/>
        <v>0</v>
      </c>
      <c r="AF102" s="127">
        <f t="shared" si="96"/>
        <v>0</v>
      </c>
      <c r="AG102" s="127">
        <f t="shared" si="96"/>
        <v>0</v>
      </c>
      <c r="AH102" s="127">
        <f t="shared" si="96"/>
        <v>0</v>
      </c>
      <c r="AI102" s="127">
        <f t="shared" si="96"/>
        <v>1</v>
      </c>
      <c r="AJ102" s="127">
        <f t="shared" si="96"/>
        <v>0</v>
      </c>
      <c r="AK102" s="127">
        <f t="shared" si="96"/>
        <v>0</v>
      </c>
      <c r="AL102" s="127">
        <f t="shared" si="96"/>
        <v>0</v>
      </c>
      <c r="AM102" s="127">
        <f t="shared" si="96"/>
        <v>0</v>
      </c>
      <c r="AN102" s="127">
        <f t="shared" si="96"/>
        <v>0</v>
      </c>
      <c r="AO102" s="127">
        <f t="shared" si="96"/>
        <v>0</v>
      </c>
      <c r="AP102" s="127">
        <f t="shared" si="96"/>
        <v>0</v>
      </c>
      <c r="AQ102" s="127">
        <f t="shared" si="96"/>
        <v>0</v>
      </c>
      <c r="AR102" s="127">
        <f t="shared" si="96"/>
        <v>0</v>
      </c>
      <c r="AS102" s="127">
        <f t="shared" si="96"/>
        <v>0</v>
      </c>
      <c r="AT102" s="127">
        <f t="shared" si="96"/>
        <v>0</v>
      </c>
    </row>
    <row r="103" spans="1:46" customFormat="1" x14ac:dyDescent="0.15">
      <c r="A103" s="127"/>
      <c r="B103" s="127"/>
      <c r="C103" s="127" t="str">
        <f t="shared" si="69"/>
        <v>Oakes P</v>
      </c>
      <c r="D103" s="127">
        <f t="shared" ref="D103:AT103" si="97">BatSplit(D34,_xlnm.Extract)</f>
        <v>0</v>
      </c>
      <c r="E103" s="127">
        <f t="shared" si="97"/>
        <v>0</v>
      </c>
      <c r="F103" s="127">
        <f t="shared" si="97"/>
        <v>0</v>
      </c>
      <c r="G103" s="127">
        <f t="shared" si="97"/>
        <v>0</v>
      </c>
      <c r="H103" s="127">
        <f t="shared" si="97"/>
        <v>0</v>
      </c>
      <c r="I103" s="127">
        <f t="shared" si="97"/>
        <v>0</v>
      </c>
      <c r="J103" s="127">
        <f t="shared" si="97"/>
        <v>0</v>
      </c>
      <c r="K103" s="127">
        <f t="shared" si="97"/>
        <v>0</v>
      </c>
      <c r="L103" s="127">
        <f t="shared" si="97"/>
        <v>3</v>
      </c>
      <c r="M103" s="127">
        <f t="shared" si="97"/>
        <v>0</v>
      </c>
      <c r="N103" s="127">
        <f t="shared" si="97"/>
        <v>0</v>
      </c>
      <c r="O103" s="127">
        <f t="shared" si="97"/>
        <v>0</v>
      </c>
      <c r="P103" s="127">
        <f t="shared" si="97"/>
        <v>0</v>
      </c>
      <c r="Q103" s="127">
        <f t="shared" si="97"/>
        <v>0</v>
      </c>
      <c r="R103" s="127">
        <f t="shared" si="97"/>
        <v>0</v>
      </c>
      <c r="S103" s="127">
        <f t="shared" si="97"/>
        <v>0</v>
      </c>
      <c r="T103" s="127">
        <f t="shared" si="97"/>
        <v>0</v>
      </c>
      <c r="U103" s="127">
        <f t="shared" si="97"/>
        <v>0</v>
      </c>
      <c r="V103" s="127">
        <f t="shared" si="97"/>
        <v>0</v>
      </c>
      <c r="W103" s="127">
        <f t="shared" si="97"/>
        <v>0</v>
      </c>
      <c r="X103" s="127">
        <f t="shared" si="97"/>
        <v>0</v>
      </c>
      <c r="Y103" s="127">
        <f t="shared" si="97"/>
        <v>0</v>
      </c>
      <c r="Z103" s="127">
        <f t="shared" si="97"/>
        <v>0</v>
      </c>
      <c r="AA103" s="127">
        <f t="shared" si="97"/>
        <v>0</v>
      </c>
      <c r="AB103" s="127">
        <f t="shared" si="97"/>
        <v>0</v>
      </c>
      <c r="AC103" s="127">
        <f t="shared" si="97"/>
        <v>0</v>
      </c>
      <c r="AD103" s="127">
        <f t="shared" si="97"/>
        <v>0</v>
      </c>
      <c r="AE103" s="127">
        <f t="shared" si="97"/>
        <v>0</v>
      </c>
      <c r="AF103" s="127">
        <f t="shared" si="97"/>
        <v>0</v>
      </c>
      <c r="AG103" s="127">
        <f t="shared" si="97"/>
        <v>0</v>
      </c>
      <c r="AH103" s="127">
        <f t="shared" si="97"/>
        <v>0</v>
      </c>
      <c r="AI103" s="127">
        <f t="shared" si="97"/>
        <v>0</v>
      </c>
      <c r="AJ103" s="127">
        <f t="shared" si="97"/>
        <v>0</v>
      </c>
      <c r="AK103" s="127">
        <f t="shared" si="97"/>
        <v>0</v>
      </c>
      <c r="AL103" s="127">
        <f t="shared" si="97"/>
        <v>0</v>
      </c>
      <c r="AM103" s="127">
        <f t="shared" si="97"/>
        <v>0</v>
      </c>
      <c r="AN103" s="127">
        <f t="shared" si="97"/>
        <v>0</v>
      </c>
      <c r="AO103" s="127">
        <f t="shared" si="97"/>
        <v>0</v>
      </c>
      <c r="AP103" s="127">
        <f t="shared" si="97"/>
        <v>0</v>
      </c>
      <c r="AQ103" s="127">
        <f t="shared" si="97"/>
        <v>0</v>
      </c>
      <c r="AR103" s="127">
        <f t="shared" si="97"/>
        <v>0</v>
      </c>
      <c r="AS103" s="127">
        <f t="shared" si="97"/>
        <v>0</v>
      </c>
      <c r="AT103" s="127">
        <f t="shared" si="97"/>
        <v>0</v>
      </c>
    </row>
    <row r="104" spans="1:46" customFormat="1" x14ac:dyDescent="0.15">
      <c r="A104" s="127"/>
      <c r="B104" s="127"/>
      <c r="C104" s="127" t="str">
        <f t="shared" si="69"/>
        <v>Odeneal R</v>
      </c>
      <c r="D104" s="127">
        <f t="shared" ref="D104:AT104" si="98">BatSplit(D35,_xlnm.Extract)</f>
        <v>0</v>
      </c>
      <c r="E104" s="127">
        <f t="shared" si="98"/>
        <v>0</v>
      </c>
      <c r="F104" s="127">
        <f t="shared" si="98"/>
        <v>0</v>
      </c>
      <c r="G104" s="127">
        <f t="shared" si="98"/>
        <v>0</v>
      </c>
      <c r="H104" s="127">
        <f t="shared" si="98"/>
        <v>0</v>
      </c>
      <c r="I104" s="127">
        <f t="shared" si="98"/>
        <v>0</v>
      </c>
      <c r="J104" s="127">
        <f t="shared" si="98"/>
        <v>0</v>
      </c>
      <c r="K104" s="127">
        <f t="shared" si="98"/>
        <v>0</v>
      </c>
      <c r="L104" s="127">
        <f t="shared" si="98"/>
        <v>0</v>
      </c>
      <c r="M104" s="127">
        <f t="shared" si="98"/>
        <v>0</v>
      </c>
      <c r="N104" s="127">
        <f t="shared" si="98"/>
        <v>0</v>
      </c>
      <c r="O104" s="127">
        <f t="shared" si="98"/>
        <v>0</v>
      </c>
      <c r="P104" s="127">
        <f t="shared" si="98"/>
        <v>0</v>
      </c>
      <c r="Q104" s="127">
        <f t="shared" si="98"/>
        <v>0</v>
      </c>
      <c r="R104" s="127">
        <f t="shared" si="98"/>
        <v>1</v>
      </c>
      <c r="S104" s="127">
        <f t="shared" si="98"/>
        <v>0</v>
      </c>
      <c r="T104" s="127">
        <f t="shared" si="98"/>
        <v>2</v>
      </c>
      <c r="U104" s="127">
        <f t="shared" si="98"/>
        <v>0</v>
      </c>
      <c r="V104" s="127">
        <f t="shared" si="98"/>
        <v>0</v>
      </c>
      <c r="W104" s="127">
        <f t="shared" si="98"/>
        <v>0</v>
      </c>
      <c r="X104" s="127">
        <f t="shared" si="98"/>
        <v>0</v>
      </c>
      <c r="Y104" s="127">
        <f t="shared" si="98"/>
        <v>0</v>
      </c>
      <c r="Z104" s="127">
        <f t="shared" si="98"/>
        <v>0</v>
      </c>
      <c r="AA104" s="127">
        <f t="shared" si="98"/>
        <v>0</v>
      </c>
      <c r="AB104" s="127">
        <f t="shared" si="98"/>
        <v>0</v>
      </c>
      <c r="AC104" s="127">
        <f t="shared" si="98"/>
        <v>0</v>
      </c>
      <c r="AD104" s="127">
        <f t="shared" si="98"/>
        <v>0</v>
      </c>
      <c r="AE104" s="127">
        <f t="shared" si="98"/>
        <v>0</v>
      </c>
      <c r="AF104" s="127">
        <f t="shared" si="98"/>
        <v>0</v>
      </c>
      <c r="AG104" s="127">
        <f t="shared" si="98"/>
        <v>0</v>
      </c>
      <c r="AH104" s="127">
        <f t="shared" si="98"/>
        <v>0</v>
      </c>
      <c r="AI104" s="127">
        <f t="shared" si="98"/>
        <v>0</v>
      </c>
      <c r="AJ104" s="127">
        <f t="shared" si="98"/>
        <v>0</v>
      </c>
      <c r="AK104" s="127">
        <f t="shared" si="98"/>
        <v>0</v>
      </c>
      <c r="AL104" s="127">
        <f t="shared" si="98"/>
        <v>0</v>
      </c>
      <c r="AM104" s="127">
        <f t="shared" si="98"/>
        <v>0</v>
      </c>
      <c r="AN104" s="127">
        <f t="shared" si="98"/>
        <v>0</v>
      </c>
      <c r="AO104" s="127">
        <f t="shared" si="98"/>
        <v>0</v>
      </c>
      <c r="AP104" s="127">
        <f t="shared" si="98"/>
        <v>0</v>
      </c>
      <c r="AQ104" s="127">
        <f t="shared" si="98"/>
        <v>0</v>
      </c>
      <c r="AR104" s="127">
        <f t="shared" si="98"/>
        <v>0</v>
      </c>
      <c r="AS104" s="127">
        <f t="shared" si="98"/>
        <v>0</v>
      </c>
      <c r="AT104" s="127">
        <f t="shared" si="98"/>
        <v>0</v>
      </c>
    </row>
    <row r="105" spans="1:46" customFormat="1" x14ac:dyDescent="0.15">
      <c r="A105" s="127"/>
      <c r="B105" s="127"/>
      <c r="C105" s="127" t="str">
        <f t="shared" si="69"/>
        <v>Owen B</v>
      </c>
      <c r="D105" s="127">
        <f t="shared" ref="D105:AT105" si="99">BatSplit(D36,_xlnm.Extract)</f>
        <v>0</v>
      </c>
      <c r="E105" s="127">
        <f t="shared" si="99"/>
        <v>0</v>
      </c>
      <c r="F105" s="127">
        <f t="shared" si="99"/>
        <v>0</v>
      </c>
      <c r="G105" s="127">
        <f t="shared" si="99"/>
        <v>0</v>
      </c>
      <c r="H105" s="127">
        <f t="shared" si="99"/>
        <v>0</v>
      </c>
      <c r="I105" s="127">
        <f t="shared" si="99"/>
        <v>0</v>
      </c>
      <c r="J105" s="127">
        <f t="shared" si="99"/>
        <v>0</v>
      </c>
      <c r="K105" s="127">
        <f t="shared" si="99"/>
        <v>0</v>
      </c>
      <c r="L105" s="127">
        <f t="shared" si="99"/>
        <v>0</v>
      </c>
      <c r="M105" s="127">
        <f t="shared" si="99"/>
        <v>0</v>
      </c>
      <c r="N105" s="127">
        <f t="shared" si="99"/>
        <v>0</v>
      </c>
      <c r="O105" s="127">
        <f t="shared" si="99"/>
        <v>0</v>
      </c>
      <c r="P105" s="127">
        <f t="shared" si="99"/>
        <v>0</v>
      </c>
      <c r="Q105" s="127">
        <f t="shared" si="99"/>
        <v>0</v>
      </c>
      <c r="R105" s="127">
        <f t="shared" si="99"/>
        <v>0</v>
      </c>
      <c r="S105" s="127">
        <f t="shared" si="99"/>
        <v>0</v>
      </c>
      <c r="T105" s="127">
        <f t="shared" si="99"/>
        <v>0</v>
      </c>
      <c r="U105" s="127">
        <f t="shared" si="99"/>
        <v>0</v>
      </c>
      <c r="V105" s="127">
        <f t="shared" si="99"/>
        <v>0</v>
      </c>
      <c r="W105" s="127">
        <f t="shared" si="99"/>
        <v>0</v>
      </c>
      <c r="X105" s="127">
        <f t="shared" si="99"/>
        <v>0</v>
      </c>
      <c r="Y105" s="127">
        <f t="shared" si="99"/>
        <v>0</v>
      </c>
      <c r="Z105" s="127">
        <f t="shared" si="99"/>
        <v>0</v>
      </c>
      <c r="AA105" s="127">
        <f t="shared" si="99"/>
        <v>0</v>
      </c>
      <c r="AB105" s="127">
        <f t="shared" si="99"/>
        <v>0</v>
      </c>
      <c r="AC105" s="127">
        <f t="shared" si="99"/>
        <v>0</v>
      </c>
      <c r="AD105" s="127">
        <f t="shared" si="99"/>
        <v>0</v>
      </c>
      <c r="AE105" s="127">
        <f t="shared" si="99"/>
        <v>0</v>
      </c>
      <c r="AF105" s="127">
        <f t="shared" si="99"/>
        <v>0</v>
      </c>
      <c r="AG105" s="127">
        <f t="shared" si="99"/>
        <v>0</v>
      </c>
      <c r="AH105" s="127">
        <f t="shared" si="99"/>
        <v>0</v>
      </c>
      <c r="AI105" s="127">
        <f t="shared" si="99"/>
        <v>0</v>
      </c>
      <c r="AJ105" s="127">
        <f t="shared" si="99"/>
        <v>0</v>
      </c>
      <c r="AK105" s="127">
        <f t="shared" si="99"/>
        <v>0</v>
      </c>
      <c r="AL105" s="127">
        <f t="shared" si="99"/>
        <v>0</v>
      </c>
      <c r="AM105" s="127">
        <f t="shared" si="99"/>
        <v>0</v>
      </c>
      <c r="AN105" s="127">
        <f t="shared" si="99"/>
        <v>0</v>
      </c>
      <c r="AO105" s="127">
        <f t="shared" si="99"/>
        <v>0</v>
      </c>
      <c r="AP105" s="127">
        <f t="shared" si="99"/>
        <v>0</v>
      </c>
      <c r="AQ105" s="127">
        <f t="shared" si="99"/>
        <v>0</v>
      </c>
      <c r="AR105" s="127">
        <f t="shared" si="99"/>
        <v>0</v>
      </c>
      <c r="AS105" s="127">
        <f t="shared" si="99"/>
        <v>8</v>
      </c>
      <c r="AT105" s="127">
        <f t="shared" si="99"/>
        <v>0</v>
      </c>
    </row>
    <row r="106" spans="1:46" customFormat="1" x14ac:dyDescent="0.15">
      <c r="A106" s="127"/>
      <c r="B106" s="127"/>
      <c r="C106" s="127" t="str">
        <f t="shared" si="69"/>
        <v>Patel N</v>
      </c>
      <c r="D106" s="127">
        <f t="shared" ref="D106:AT106" si="100">BatSplit(D37,_xlnm.Extract)</f>
        <v>0</v>
      </c>
      <c r="E106" s="127">
        <f t="shared" si="100"/>
        <v>0</v>
      </c>
      <c r="F106" s="127">
        <f t="shared" si="100"/>
        <v>0</v>
      </c>
      <c r="G106" s="127">
        <f t="shared" si="100"/>
        <v>0</v>
      </c>
      <c r="H106" s="127">
        <f t="shared" si="100"/>
        <v>0</v>
      </c>
      <c r="I106" s="127">
        <f t="shared" si="100"/>
        <v>0</v>
      </c>
      <c r="J106" s="127">
        <f t="shared" si="100"/>
        <v>0</v>
      </c>
      <c r="K106" s="127">
        <f t="shared" si="100"/>
        <v>0</v>
      </c>
      <c r="L106" s="127">
        <f t="shared" si="100"/>
        <v>0</v>
      </c>
      <c r="M106" s="127">
        <f t="shared" si="100"/>
        <v>0</v>
      </c>
      <c r="N106" s="127">
        <f t="shared" si="100"/>
        <v>0</v>
      </c>
      <c r="O106" s="127">
        <f t="shared" si="100"/>
        <v>0</v>
      </c>
      <c r="P106" s="127">
        <f t="shared" si="100"/>
        <v>0</v>
      </c>
      <c r="Q106" s="127">
        <f t="shared" si="100"/>
        <v>4</v>
      </c>
      <c r="R106" s="127">
        <f t="shared" si="100"/>
        <v>0</v>
      </c>
      <c r="S106" s="127">
        <f t="shared" si="100"/>
        <v>0</v>
      </c>
      <c r="T106" s="127">
        <f t="shared" si="100"/>
        <v>0</v>
      </c>
      <c r="U106" s="127">
        <f t="shared" si="100"/>
        <v>0</v>
      </c>
      <c r="V106" s="127">
        <f t="shared" si="100"/>
        <v>0</v>
      </c>
      <c r="W106" s="127">
        <f t="shared" si="100"/>
        <v>0</v>
      </c>
      <c r="X106" s="127">
        <f t="shared" si="100"/>
        <v>0</v>
      </c>
      <c r="Y106" s="127">
        <f t="shared" si="100"/>
        <v>0</v>
      </c>
      <c r="Z106" s="127">
        <f t="shared" si="100"/>
        <v>0</v>
      </c>
      <c r="AA106" s="127">
        <f t="shared" si="100"/>
        <v>0</v>
      </c>
      <c r="AB106" s="127">
        <f t="shared" si="100"/>
        <v>0</v>
      </c>
      <c r="AC106" s="127">
        <f t="shared" si="100"/>
        <v>0</v>
      </c>
      <c r="AD106" s="127">
        <f t="shared" si="100"/>
        <v>0</v>
      </c>
      <c r="AE106" s="127">
        <f t="shared" si="100"/>
        <v>0</v>
      </c>
      <c r="AF106" s="127">
        <f t="shared" si="100"/>
        <v>0</v>
      </c>
      <c r="AG106" s="127">
        <f t="shared" si="100"/>
        <v>0</v>
      </c>
      <c r="AH106" s="127">
        <f t="shared" si="100"/>
        <v>0</v>
      </c>
      <c r="AI106" s="127">
        <f t="shared" si="100"/>
        <v>0</v>
      </c>
      <c r="AJ106" s="127">
        <f t="shared" si="100"/>
        <v>0</v>
      </c>
      <c r="AK106" s="127">
        <f t="shared" si="100"/>
        <v>0</v>
      </c>
      <c r="AL106" s="127">
        <f t="shared" si="100"/>
        <v>0</v>
      </c>
      <c r="AM106" s="127">
        <f t="shared" si="100"/>
        <v>0</v>
      </c>
      <c r="AN106" s="127">
        <f t="shared" si="100"/>
        <v>0</v>
      </c>
      <c r="AO106" s="127">
        <f t="shared" si="100"/>
        <v>0</v>
      </c>
      <c r="AP106" s="127">
        <f t="shared" si="100"/>
        <v>0</v>
      </c>
      <c r="AQ106" s="127">
        <f t="shared" si="100"/>
        <v>0</v>
      </c>
      <c r="AR106" s="127">
        <f t="shared" si="100"/>
        <v>0</v>
      </c>
      <c r="AS106" s="127">
        <f t="shared" si="100"/>
        <v>0</v>
      </c>
      <c r="AT106" s="127">
        <f t="shared" si="100"/>
        <v>0</v>
      </c>
    </row>
    <row r="107" spans="1:46" customFormat="1" x14ac:dyDescent="0.15">
      <c r="A107" s="127"/>
      <c r="B107" s="127"/>
      <c r="C107" s="127" t="str">
        <f t="shared" si="69"/>
        <v>Penfold N</v>
      </c>
      <c r="D107" s="127">
        <f t="shared" ref="D107:AT107" si="101">BatSplit(D38,_xlnm.Extract)</f>
        <v>0</v>
      </c>
      <c r="E107" s="127">
        <f t="shared" si="101"/>
        <v>0</v>
      </c>
      <c r="F107" s="127">
        <f t="shared" si="101"/>
        <v>0</v>
      </c>
      <c r="G107" s="127">
        <f t="shared" si="101"/>
        <v>0</v>
      </c>
      <c r="H107" s="127">
        <f t="shared" si="101"/>
        <v>0</v>
      </c>
      <c r="I107" s="127">
        <f t="shared" si="101"/>
        <v>0</v>
      </c>
      <c r="J107" s="127">
        <f t="shared" si="101"/>
        <v>0</v>
      </c>
      <c r="K107" s="127">
        <f t="shared" si="101"/>
        <v>0</v>
      </c>
      <c r="L107" s="127">
        <f t="shared" si="101"/>
        <v>0</v>
      </c>
      <c r="M107" s="127">
        <f t="shared" si="101"/>
        <v>0</v>
      </c>
      <c r="N107" s="127">
        <f t="shared" si="101"/>
        <v>0</v>
      </c>
      <c r="O107" s="127">
        <f t="shared" si="101"/>
        <v>0</v>
      </c>
      <c r="P107" s="127">
        <f t="shared" si="101"/>
        <v>0</v>
      </c>
      <c r="Q107" s="127">
        <f t="shared" si="101"/>
        <v>0</v>
      </c>
      <c r="R107" s="127">
        <f t="shared" si="101"/>
        <v>0</v>
      </c>
      <c r="S107" s="127">
        <f t="shared" si="101"/>
        <v>0</v>
      </c>
      <c r="T107" s="127">
        <f t="shared" si="101"/>
        <v>0</v>
      </c>
      <c r="U107" s="127">
        <f t="shared" si="101"/>
        <v>0</v>
      </c>
      <c r="V107" s="127">
        <f t="shared" si="101"/>
        <v>0</v>
      </c>
      <c r="W107" s="127">
        <f t="shared" si="101"/>
        <v>0</v>
      </c>
      <c r="X107" s="127">
        <f t="shared" si="101"/>
        <v>0</v>
      </c>
      <c r="Y107" s="127">
        <f t="shared" si="101"/>
        <v>0</v>
      </c>
      <c r="Z107" s="127">
        <f t="shared" si="101"/>
        <v>0</v>
      </c>
      <c r="AA107" s="127">
        <f t="shared" si="101"/>
        <v>0</v>
      </c>
      <c r="AB107" s="127">
        <f t="shared" si="101"/>
        <v>0</v>
      </c>
      <c r="AC107" s="127">
        <f t="shared" si="101"/>
        <v>0</v>
      </c>
      <c r="AD107" s="127">
        <f t="shared" si="101"/>
        <v>0</v>
      </c>
      <c r="AE107" s="127">
        <f t="shared" si="101"/>
        <v>0</v>
      </c>
      <c r="AF107" s="127">
        <f t="shared" si="101"/>
        <v>0</v>
      </c>
      <c r="AG107" s="127">
        <f t="shared" si="101"/>
        <v>0</v>
      </c>
      <c r="AH107" s="127">
        <f t="shared" si="101"/>
        <v>0</v>
      </c>
      <c r="AI107" s="127">
        <f t="shared" si="101"/>
        <v>0</v>
      </c>
      <c r="AJ107" s="127">
        <f t="shared" si="101"/>
        <v>0</v>
      </c>
      <c r="AK107" s="127">
        <f t="shared" si="101"/>
        <v>0</v>
      </c>
      <c r="AL107" s="127">
        <f t="shared" si="101"/>
        <v>0</v>
      </c>
      <c r="AM107" s="127">
        <f t="shared" si="101"/>
        <v>0</v>
      </c>
      <c r="AN107" s="127">
        <f t="shared" si="101"/>
        <v>0</v>
      </c>
      <c r="AO107" s="127">
        <f t="shared" si="101"/>
        <v>0</v>
      </c>
      <c r="AP107" s="127">
        <f t="shared" si="101"/>
        <v>0</v>
      </c>
      <c r="AQ107" s="127">
        <f t="shared" si="101"/>
        <v>0</v>
      </c>
      <c r="AR107" s="127">
        <f t="shared" si="101"/>
        <v>0</v>
      </c>
      <c r="AS107" s="127">
        <f t="shared" si="101"/>
        <v>0</v>
      </c>
      <c r="AT107" s="127">
        <f t="shared" si="101"/>
        <v>0</v>
      </c>
    </row>
    <row r="108" spans="1:46" customFormat="1" x14ac:dyDescent="0.15">
      <c r="A108" s="127"/>
      <c r="B108" s="127"/>
      <c r="C108" s="127" t="str">
        <f t="shared" si="69"/>
        <v>Piper-Masha S</v>
      </c>
      <c r="D108" s="127">
        <f t="shared" ref="D108:AT108" si="102">BatSplit(D39,_xlnm.Extract)</f>
        <v>0</v>
      </c>
      <c r="E108" s="127">
        <f t="shared" si="102"/>
        <v>0</v>
      </c>
      <c r="F108" s="127">
        <f t="shared" si="102"/>
        <v>0</v>
      </c>
      <c r="G108" s="127">
        <f t="shared" si="102"/>
        <v>0</v>
      </c>
      <c r="H108" s="127">
        <f t="shared" si="102"/>
        <v>0</v>
      </c>
      <c r="I108" s="127">
        <f t="shared" si="102"/>
        <v>0</v>
      </c>
      <c r="J108" s="127">
        <f t="shared" si="102"/>
        <v>0</v>
      </c>
      <c r="K108" s="127">
        <f t="shared" si="102"/>
        <v>0</v>
      </c>
      <c r="L108" s="127">
        <f t="shared" si="102"/>
        <v>0</v>
      </c>
      <c r="M108" s="127">
        <f t="shared" si="102"/>
        <v>0</v>
      </c>
      <c r="N108" s="127">
        <f t="shared" si="102"/>
        <v>0</v>
      </c>
      <c r="O108" s="127">
        <f t="shared" si="102"/>
        <v>0</v>
      </c>
      <c r="P108" s="127">
        <f t="shared" si="102"/>
        <v>0</v>
      </c>
      <c r="Q108" s="127">
        <f t="shared" si="102"/>
        <v>0</v>
      </c>
      <c r="R108" s="127">
        <f t="shared" si="102"/>
        <v>0</v>
      </c>
      <c r="S108" s="127">
        <f t="shared" si="102"/>
        <v>0</v>
      </c>
      <c r="T108" s="127">
        <f t="shared" si="102"/>
        <v>0</v>
      </c>
      <c r="U108" s="127">
        <f t="shared" si="102"/>
        <v>0</v>
      </c>
      <c r="V108" s="127">
        <f t="shared" si="102"/>
        <v>0</v>
      </c>
      <c r="W108" s="127">
        <f t="shared" si="102"/>
        <v>0</v>
      </c>
      <c r="X108" s="127">
        <f t="shared" si="102"/>
        <v>0</v>
      </c>
      <c r="Y108" s="127">
        <f t="shared" si="102"/>
        <v>0</v>
      </c>
      <c r="Z108" s="127">
        <f t="shared" si="102"/>
        <v>0</v>
      </c>
      <c r="AA108" s="127">
        <f t="shared" si="102"/>
        <v>0</v>
      </c>
      <c r="AB108" s="127">
        <f t="shared" si="102"/>
        <v>0</v>
      </c>
      <c r="AC108" s="127">
        <f t="shared" si="102"/>
        <v>0</v>
      </c>
      <c r="AD108" s="127">
        <f t="shared" si="102"/>
        <v>3</v>
      </c>
      <c r="AE108" s="127">
        <f t="shared" si="102"/>
        <v>0</v>
      </c>
      <c r="AF108" s="127">
        <f t="shared" si="102"/>
        <v>0</v>
      </c>
      <c r="AG108" s="127">
        <f t="shared" si="102"/>
        <v>0</v>
      </c>
      <c r="AH108" s="127">
        <f t="shared" si="102"/>
        <v>4</v>
      </c>
      <c r="AI108" s="127">
        <f t="shared" si="102"/>
        <v>0</v>
      </c>
      <c r="AJ108" s="127">
        <f t="shared" si="102"/>
        <v>4</v>
      </c>
      <c r="AK108" s="127">
        <f t="shared" si="102"/>
        <v>0</v>
      </c>
      <c r="AL108" s="127">
        <f t="shared" si="102"/>
        <v>0</v>
      </c>
      <c r="AM108" s="127">
        <f t="shared" si="102"/>
        <v>0</v>
      </c>
      <c r="AN108" s="127">
        <f t="shared" si="102"/>
        <v>1</v>
      </c>
      <c r="AO108" s="127">
        <f t="shared" si="102"/>
        <v>0</v>
      </c>
      <c r="AP108" s="127">
        <f t="shared" si="102"/>
        <v>1</v>
      </c>
      <c r="AQ108" s="127">
        <f t="shared" si="102"/>
        <v>0</v>
      </c>
      <c r="AR108" s="127">
        <f t="shared" si="102"/>
        <v>0</v>
      </c>
      <c r="AS108" s="127">
        <f t="shared" si="102"/>
        <v>0</v>
      </c>
      <c r="AT108" s="127">
        <f t="shared" si="102"/>
        <v>0</v>
      </c>
    </row>
    <row r="109" spans="1:46" customFormat="1" x14ac:dyDescent="0.15">
      <c r="A109" s="127"/>
      <c r="B109" s="127"/>
      <c r="C109" s="127" t="str">
        <f t="shared" si="69"/>
        <v>Sharpe D</v>
      </c>
      <c r="D109" s="127">
        <f t="shared" ref="D109:AT109" si="103">BatSplit(D40,_xlnm.Extract)</f>
        <v>0</v>
      </c>
      <c r="E109" s="127">
        <f t="shared" si="103"/>
        <v>0</v>
      </c>
      <c r="F109" s="127">
        <f t="shared" si="103"/>
        <v>0</v>
      </c>
      <c r="G109" s="127">
        <f t="shared" si="103"/>
        <v>0</v>
      </c>
      <c r="H109" s="127">
        <f t="shared" si="103"/>
        <v>0</v>
      </c>
      <c r="I109" s="127">
        <f t="shared" si="103"/>
        <v>0</v>
      </c>
      <c r="J109" s="127">
        <f t="shared" si="103"/>
        <v>0</v>
      </c>
      <c r="K109" s="127">
        <f t="shared" si="103"/>
        <v>0</v>
      </c>
      <c r="L109" s="127">
        <f t="shared" si="103"/>
        <v>0</v>
      </c>
      <c r="M109" s="127">
        <f t="shared" si="103"/>
        <v>0</v>
      </c>
      <c r="N109" s="127">
        <f t="shared" si="103"/>
        <v>0</v>
      </c>
      <c r="O109" s="127">
        <f t="shared" si="103"/>
        <v>0</v>
      </c>
      <c r="P109" s="127">
        <f t="shared" si="103"/>
        <v>0</v>
      </c>
      <c r="Q109" s="127">
        <f t="shared" si="103"/>
        <v>0</v>
      </c>
      <c r="R109" s="127">
        <f t="shared" si="103"/>
        <v>0</v>
      </c>
      <c r="S109" s="127">
        <f t="shared" si="103"/>
        <v>0</v>
      </c>
      <c r="T109" s="127">
        <f t="shared" si="103"/>
        <v>0</v>
      </c>
      <c r="U109" s="127">
        <f t="shared" si="103"/>
        <v>0</v>
      </c>
      <c r="V109" s="127">
        <f t="shared" si="103"/>
        <v>0</v>
      </c>
      <c r="W109" s="127">
        <f t="shared" si="103"/>
        <v>0</v>
      </c>
      <c r="X109" s="127">
        <f t="shared" si="103"/>
        <v>0</v>
      </c>
      <c r="Y109" s="127">
        <f t="shared" si="103"/>
        <v>0</v>
      </c>
      <c r="Z109" s="127">
        <f t="shared" si="103"/>
        <v>0</v>
      </c>
      <c r="AA109" s="127">
        <f t="shared" si="103"/>
        <v>0</v>
      </c>
      <c r="AB109" s="127">
        <f t="shared" si="103"/>
        <v>0</v>
      </c>
      <c r="AC109" s="127">
        <f t="shared" si="103"/>
        <v>0</v>
      </c>
      <c r="AD109" s="127">
        <f t="shared" si="103"/>
        <v>0</v>
      </c>
      <c r="AE109" s="127">
        <f t="shared" si="103"/>
        <v>0</v>
      </c>
      <c r="AF109" s="127">
        <f t="shared" si="103"/>
        <v>0</v>
      </c>
      <c r="AG109" s="127">
        <f t="shared" si="103"/>
        <v>0</v>
      </c>
      <c r="AH109" s="127">
        <f t="shared" si="103"/>
        <v>0</v>
      </c>
      <c r="AI109" s="127">
        <f t="shared" si="103"/>
        <v>0</v>
      </c>
      <c r="AJ109" s="127">
        <f t="shared" si="103"/>
        <v>0</v>
      </c>
      <c r="AK109" s="127">
        <f t="shared" si="103"/>
        <v>0</v>
      </c>
      <c r="AL109" s="127">
        <f t="shared" si="103"/>
        <v>0</v>
      </c>
      <c r="AM109" s="127">
        <f t="shared" si="103"/>
        <v>0</v>
      </c>
      <c r="AN109" s="127">
        <f t="shared" si="103"/>
        <v>0</v>
      </c>
      <c r="AO109" s="127">
        <f t="shared" si="103"/>
        <v>0</v>
      </c>
      <c r="AP109" s="127">
        <f t="shared" si="103"/>
        <v>0</v>
      </c>
      <c r="AQ109" s="127">
        <f t="shared" si="103"/>
        <v>0</v>
      </c>
      <c r="AR109" s="127">
        <f t="shared" si="103"/>
        <v>0</v>
      </c>
      <c r="AS109" s="127">
        <f t="shared" si="103"/>
        <v>0</v>
      </c>
      <c r="AT109" s="127">
        <f t="shared" si="103"/>
        <v>0</v>
      </c>
    </row>
    <row r="110" spans="1:46" customFormat="1" x14ac:dyDescent="0.15">
      <c r="A110" s="127"/>
      <c r="B110" s="127"/>
      <c r="C110" s="127" t="str">
        <f t="shared" si="69"/>
        <v>Shewan D</v>
      </c>
      <c r="D110" s="127">
        <f t="shared" ref="D110:AT110" si="104">BatSplit(D41,_xlnm.Extract)</f>
        <v>0</v>
      </c>
      <c r="E110" s="127">
        <f t="shared" si="104"/>
        <v>0</v>
      </c>
      <c r="F110" s="127">
        <f t="shared" si="104"/>
        <v>0</v>
      </c>
      <c r="G110" s="127">
        <f t="shared" si="104"/>
        <v>0</v>
      </c>
      <c r="H110" s="127">
        <f t="shared" si="104"/>
        <v>0</v>
      </c>
      <c r="I110" s="127">
        <f t="shared" si="104"/>
        <v>0</v>
      </c>
      <c r="J110" s="127">
        <f t="shared" si="104"/>
        <v>0</v>
      </c>
      <c r="K110" s="127">
        <f t="shared" si="104"/>
        <v>0</v>
      </c>
      <c r="L110" s="127">
        <f t="shared" si="104"/>
        <v>0</v>
      </c>
      <c r="M110" s="127">
        <f t="shared" si="104"/>
        <v>0</v>
      </c>
      <c r="N110" s="127">
        <f t="shared" si="104"/>
        <v>0</v>
      </c>
      <c r="O110" s="127">
        <f t="shared" si="104"/>
        <v>0</v>
      </c>
      <c r="P110" s="127">
        <f t="shared" si="104"/>
        <v>0</v>
      </c>
      <c r="Q110" s="127">
        <f t="shared" si="104"/>
        <v>0</v>
      </c>
      <c r="R110" s="127">
        <f t="shared" si="104"/>
        <v>0</v>
      </c>
      <c r="S110" s="127">
        <f t="shared" si="104"/>
        <v>0</v>
      </c>
      <c r="T110" s="127">
        <f t="shared" si="104"/>
        <v>0</v>
      </c>
      <c r="U110" s="127">
        <f t="shared" si="104"/>
        <v>0</v>
      </c>
      <c r="V110" s="127">
        <f t="shared" si="104"/>
        <v>0</v>
      </c>
      <c r="W110" s="127">
        <f t="shared" si="104"/>
        <v>0</v>
      </c>
      <c r="X110" s="127">
        <f t="shared" si="104"/>
        <v>0</v>
      </c>
      <c r="Y110" s="127">
        <f t="shared" si="104"/>
        <v>0</v>
      </c>
      <c r="Z110" s="127">
        <f t="shared" si="104"/>
        <v>0</v>
      </c>
      <c r="AA110" s="127">
        <f t="shared" si="104"/>
        <v>0</v>
      </c>
      <c r="AB110" s="127">
        <f t="shared" si="104"/>
        <v>0</v>
      </c>
      <c r="AC110" s="127">
        <f t="shared" si="104"/>
        <v>0</v>
      </c>
      <c r="AD110" s="127">
        <f t="shared" si="104"/>
        <v>0</v>
      </c>
      <c r="AE110" s="127">
        <f t="shared" si="104"/>
        <v>0</v>
      </c>
      <c r="AF110" s="127">
        <f t="shared" si="104"/>
        <v>0</v>
      </c>
      <c r="AG110" s="127">
        <f t="shared" si="104"/>
        <v>0</v>
      </c>
      <c r="AH110" s="127">
        <f t="shared" si="104"/>
        <v>0</v>
      </c>
      <c r="AI110" s="127">
        <f t="shared" si="104"/>
        <v>0</v>
      </c>
      <c r="AJ110" s="127">
        <f t="shared" si="104"/>
        <v>0</v>
      </c>
      <c r="AK110" s="127">
        <f t="shared" si="104"/>
        <v>0</v>
      </c>
      <c r="AL110" s="127">
        <f t="shared" si="104"/>
        <v>0</v>
      </c>
      <c r="AM110" s="127">
        <f t="shared" si="104"/>
        <v>0</v>
      </c>
      <c r="AN110" s="127">
        <f t="shared" si="104"/>
        <v>0</v>
      </c>
      <c r="AO110" s="127">
        <f t="shared" si="104"/>
        <v>0</v>
      </c>
      <c r="AP110" s="127">
        <f t="shared" si="104"/>
        <v>0</v>
      </c>
      <c r="AQ110" s="127">
        <f t="shared" si="104"/>
        <v>0</v>
      </c>
      <c r="AR110" s="127">
        <f t="shared" si="104"/>
        <v>0</v>
      </c>
      <c r="AS110" s="127">
        <f t="shared" si="104"/>
        <v>0</v>
      </c>
      <c r="AT110" s="127">
        <f t="shared" si="104"/>
        <v>0</v>
      </c>
    </row>
    <row r="111" spans="1:46" x14ac:dyDescent="0.15">
      <c r="C111" s="127" t="str">
        <f t="shared" si="69"/>
        <v>Simmons M</v>
      </c>
      <c r="D111" s="127">
        <f t="shared" ref="D111:AT111" si="105">BatSplit(D42,_xlnm.Extract)</f>
        <v>0</v>
      </c>
      <c r="E111" s="127">
        <f t="shared" si="105"/>
        <v>0</v>
      </c>
      <c r="F111" s="127">
        <f t="shared" si="105"/>
        <v>0</v>
      </c>
      <c r="G111" s="127">
        <f t="shared" si="105"/>
        <v>0</v>
      </c>
      <c r="H111" s="127">
        <f t="shared" si="105"/>
        <v>0</v>
      </c>
      <c r="I111" s="127">
        <f t="shared" si="105"/>
        <v>0</v>
      </c>
      <c r="J111" s="127">
        <f t="shared" si="105"/>
        <v>0</v>
      </c>
      <c r="K111" s="127">
        <f t="shared" si="105"/>
        <v>0</v>
      </c>
      <c r="L111" s="127">
        <f t="shared" si="105"/>
        <v>0</v>
      </c>
      <c r="M111" s="127">
        <f t="shared" si="105"/>
        <v>0</v>
      </c>
      <c r="N111" s="127">
        <f t="shared" si="105"/>
        <v>0</v>
      </c>
      <c r="O111" s="127">
        <f t="shared" si="105"/>
        <v>0</v>
      </c>
      <c r="P111" s="127">
        <f t="shared" si="105"/>
        <v>0</v>
      </c>
      <c r="Q111" s="127">
        <f t="shared" si="105"/>
        <v>0</v>
      </c>
      <c r="R111" s="127">
        <f t="shared" si="105"/>
        <v>0</v>
      </c>
      <c r="S111" s="127">
        <f t="shared" si="105"/>
        <v>0</v>
      </c>
      <c r="T111" s="127">
        <f t="shared" si="105"/>
        <v>0</v>
      </c>
      <c r="U111" s="127">
        <f t="shared" si="105"/>
        <v>0</v>
      </c>
      <c r="V111" s="127">
        <f t="shared" si="105"/>
        <v>0</v>
      </c>
      <c r="W111" s="127">
        <f t="shared" si="105"/>
        <v>0</v>
      </c>
      <c r="X111" s="127">
        <f t="shared" si="105"/>
        <v>0</v>
      </c>
      <c r="Y111" s="127">
        <f t="shared" si="105"/>
        <v>0</v>
      </c>
      <c r="Z111" s="127">
        <f t="shared" si="105"/>
        <v>0</v>
      </c>
      <c r="AA111" s="127">
        <f t="shared" si="105"/>
        <v>1</v>
      </c>
      <c r="AB111" s="127">
        <f t="shared" si="105"/>
        <v>0</v>
      </c>
      <c r="AC111" s="127">
        <f t="shared" si="105"/>
        <v>0</v>
      </c>
      <c r="AD111" s="127">
        <f t="shared" si="105"/>
        <v>0</v>
      </c>
      <c r="AE111" s="127">
        <f t="shared" si="105"/>
        <v>0</v>
      </c>
      <c r="AF111" s="127">
        <f t="shared" si="105"/>
        <v>0</v>
      </c>
      <c r="AG111" s="127">
        <f t="shared" si="105"/>
        <v>0</v>
      </c>
      <c r="AH111" s="127">
        <f t="shared" si="105"/>
        <v>0</v>
      </c>
      <c r="AI111" s="127">
        <f t="shared" si="105"/>
        <v>0</v>
      </c>
      <c r="AJ111" s="127">
        <f t="shared" si="105"/>
        <v>0</v>
      </c>
      <c r="AK111" s="127">
        <f t="shared" si="105"/>
        <v>0</v>
      </c>
      <c r="AL111" s="127">
        <f t="shared" si="105"/>
        <v>0</v>
      </c>
      <c r="AM111" s="127">
        <f t="shared" si="105"/>
        <v>0</v>
      </c>
      <c r="AN111" s="127">
        <f t="shared" si="105"/>
        <v>0</v>
      </c>
      <c r="AO111" s="127">
        <f t="shared" si="105"/>
        <v>0</v>
      </c>
      <c r="AP111" s="127">
        <f t="shared" si="105"/>
        <v>0</v>
      </c>
      <c r="AQ111" s="127">
        <f t="shared" si="105"/>
        <v>0</v>
      </c>
      <c r="AR111" s="127">
        <f t="shared" si="105"/>
        <v>0</v>
      </c>
      <c r="AS111" s="127">
        <f t="shared" si="105"/>
        <v>0</v>
      </c>
      <c r="AT111" s="127">
        <f t="shared" si="105"/>
        <v>0</v>
      </c>
    </row>
    <row r="112" spans="1:46" x14ac:dyDescent="0.15">
      <c r="C112" s="127" t="str">
        <f t="shared" si="69"/>
        <v>Snow D</v>
      </c>
      <c r="D112" s="127">
        <f t="shared" ref="D112:AT112" si="106">BatSplit(D43,_xlnm.Extract)</f>
        <v>0</v>
      </c>
      <c r="E112" s="127">
        <f t="shared" si="106"/>
        <v>0</v>
      </c>
      <c r="F112" s="127">
        <f t="shared" si="106"/>
        <v>0</v>
      </c>
      <c r="G112" s="127">
        <f t="shared" si="106"/>
        <v>0</v>
      </c>
      <c r="H112" s="127">
        <f t="shared" si="106"/>
        <v>0</v>
      </c>
      <c r="I112" s="127">
        <f t="shared" si="106"/>
        <v>0</v>
      </c>
      <c r="J112" s="127">
        <f t="shared" si="106"/>
        <v>0</v>
      </c>
      <c r="K112" s="127">
        <f t="shared" si="106"/>
        <v>0</v>
      </c>
      <c r="L112" s="127">
        <f t="shared" si="106"/>
        <v>0</v>
      </c>
      <c r="M112" s="127">
        <f t="shared" si="106"/>
        <v>0</v>
      </c>
      <c r="N112" s="127">
        <f t="shared" si="106"/>
        <v>0</v>
      </c>
      <c r="O112" s="127">
        <f t="shared" si="106"/>
        <v>0</v>
      </c>
      <c r="P112" s="127">
        <f t="shared" si="106"/>
        <v>0</v>
      </c>
      <c r="Q112" s="127">
        <f t="shared" si="106"/>
        <v>0</v>
      </c>
      <c r="R112" s="127">
        <f t="shared" si="106"/>
        <v>0</v>
      </c>
      <c r="S112" s="127">
        <f t="shared" si="106"/>
        <v>0</v>
      </c>
      <c r="T112" s="127">
        <f t="shared" si="106"/>
        <v>0</v>
      </c>
      <c r="U112" s="127">
        <f t="shared" si="106"/>
        <v>0</v>
      </c>
      <c r="V112" s="127">
        <f t="shared" si="106"/>
        <v>0</v>
      </c>
      <c r="W112" s="127">
        <f t="shared" si="106"/>
        <v>0</v>
      </c>
      <c r="X112" s="127">
        <f t="shared" si="106"/>
        <v>0</v>
      </c>
      <c r="Y112" s="127">
        <f t="shared" si="106"/>
        <v>0</v>
      </c>
      <c r="Z112" s="127">
        <f t="shared" si="106"/>
        <v>0</v>
      </c>
      <c r="AA112" s="127">
        <f t="shared" si="106"/>
        <v>0</v>
      </c>
      <c r="AB112" s="127">
        <f t="shared" si="106"/>
        <v>0</v>
      </c>
      <c r="AC112" s="127">
        <f t="shared" si="106"/>
        <v>0</v>
      </c>
      <c r="AD112" s="127">
        <f t="shared" si="106"/>
        <v>0</v>
      </c>
      <c r="AE112" s="127">
        <f t="shared" si="106"/>
        <v>0</v>
      </c>
      <c r="AF112" s="127">
        <f t="shared" si="106"/>
        <v>0</v>
      </c>
      <c r="AG112" s="127">
        <f t="shared" si="106"/>
        <v>0</v>
      </c>
      <c r="AH112" s="127">
        <f t="shared" si="106"/>
        <v>0</v>
      </c>
      <c r="AI112" s="127">
        <f t="shared" si="106"/>
        <v>0</v>
      </c>
      <c r="AJ112" s="127">
        <f t="shared" si="106"/>
        <v>0</v>
      </c>
      <c r="AK112" s="127">
        <f t="shared" si="106"/>
        <v>0</v>
      </c>
      <c r="AL112" s="127">
        <f t="shared" si="106"/>
        <v>0</v>
      </c>
      <c r="AM112" s="127">
        <f t="shared" si="106"/>
        <v>0</v>
      </c>
      <c r="AN112" s="127">
        <f t="shared" si="106"/>
        <v>0</v>
      </c>
      <c r="AO112" s="127">
        <f t="shared" si="106"/>
        <v>0</v>
      </c>
      <c r="AP112" s="127">
        <f t="shared" si="106"/>
        <v>0</v>
      </c>
      <c r="AQ112" s="127">
        <f t="shared" si="106"/>
        <v>0</v>
      </c>
      <c r="AR112" s="127">
        <f t="shared" si="106"/>
        <v>0</v>
      </c>
      <c r="AS112" s="127">
        <f t="shared" si="106"/>
        <v>0</v>
      </c>
      <c r="AT112" s="127">
        <f t="shared" si="106"/>
        <v>0</v>
      </c>
    </row>
    <row r="113" spans="3:46" x14ac:dyDescent="0.15">
      <c r="C113" s="127" t="str">
        <f t="shared" si="69"/>
        <v>Springer T</v>
      </c>
      <c r="D113" s="127">
        <f t="shared" ref="D113:AT113" si="107">BatSplit(D44,_xlnm.Extract)</f>
        <v>1</v>
      </c>
      <c r="E113" s="127">
        <f t="shared" si="107"/>
        <v>2</v>
      </c>
      <c r="F113" s="127">
        <f t="shared" si="107"/>
        <v>0</v>
      </c>
      <c r="G113" s="127">
        <f t="shared" si="107"/>
        <v>0</v>
      </c>
      <c r="H113" s="127">
        <f t="shared" si="107"/>
        <v>0</v>
      </c>
      <c r="I113" s="127">
        <f t="shared" si="107"/>
        <v>8</v>
      </c>
      <c r="J113" s="127">
        <f t="shared" si="107"/>
        <v>1</v>
      </c>
      <c r="K113" s="127">
        <f t="shared" si="107"/>
        <v>4</v>
      </c>
      <c r="L113" s="127">
        <f t="shared" si="107"/>
        <v>3</v>
      </c>
      <c r="M113" s="127">
        <f t="shared" si="107"/>
        <v>0</v>
      </c>
      <c r="N113" s="127">
        <f t="shared" si="107"/>
        <v>0</v>
      </c>
      <c r="O113" s="127">
        <f t="shared" si="107"/>
        <v>2</v>
      </c>
      <c r="P113" s="127">
        <f t="shared" si="107"/>
        <v>0</v>
      </c>
      <c r="Q113" s="127">
        <f t="shared" si="107"/>
        <v>19</v>
      </c>
      <c r="R113" s="127">
        <f t="shared" si="107"/>
        <v>0</v>
      </c>
      <c r="S113" s="127">
        <f t="shared" si="107"/>
        <v>3</v>
      </c>
      <c r="T113" s="127">
        <f t="shared" si="107"/>
        <v>0</v>
      </c>
      <c r="U113" s="127">
        <f t="shared" si="107"/>
        <v>5</v>
      </c>
      <c r="V113" s="127">
        <f t="shared" si="107"/>
        <v>0</v>
      </c>
      <c r="W113" s="127">
        <f t="shared" si="107"/>
        <v>5</v>
      </c>
      <c r="X113" s="127">
        <f t="shared" si="107"/>
        <v>0</v>
      </c>
      <c r="Y113" s="127">
        <f t="shared" si="107"/>
        <v>0</v>
      </c>
      <c r="Z113" s="127">
        <f t="shared" si="107"/>
        <v>0</v>
      </c>
      <c r="AA113" s="127">
        <f t="shared" si="107"/>
        <v>0</v>
      </c>
      <c r="AB113" s="127">
        <f t="shared" si="107"/>
        <v>0</v>
      </c>
      <c r="AC113" s="127">
        <f t="shared" si="107"/>
        <v>14</v>
      </c>
      <c r="AD113" s="127">
        <f t="shared" si="107"/>
        <v>0</v>
      </c>
      <c r="AE113" s="127">
        <f t="shared" si="107"/>
        <v>0</v>
      </c>
      <c r="AF113" s="127">
        <f t="shared" si="107"/>
        <v>0</v>
      </c>
      <c r="AG113" s="127">
        <f t="shared" si="107"/>
        <v>0</v>
      </c>
      <c r="AH113" s="127">
        <f t="shared" si="107"/>
        <v>0</v>
      </c>
      <c r="AI113" s="127">
        <f t="shared" si="107"/>
        <v>5</v>
      </c>
      <c r="AJ113" s="127">
        <f t="shared" si="107"/>
        <v>18</v>
      </c>
      <c r="AK113" s="127">
        <f t="shared" si="107"/>
        <v>0</v>
      </c>
      <c r="AL113" s="127">
        <f t="shared" si="107"/>
        <v>0</v>
      </c>
      <c r="AM113" s="127">
        <f t="shared" si="107"/>
        <v>5</v>
      </c>
      <c r="AN113" s="127">
        <f t="shared" si="107"/>
        <v>0</v>
      </c>
      <c r="AO113" s="127">
        <f t="shared" si="107"/>
        <v>0</v>
      </c>
      <c r="AP113" s="127">
        <f t="shared" si="107"/>
        <v>0</v>
      </c>
      <c r="AQ113" s="127">
        <f t="shared" si="107"/>
        <v>0</v>
      </c>
      <c r="AR113" s="127">
        <f t="shared" si="107"/>
        <v>0</v>
      </c>
      <c r="AS113" s="127">
        <f t="shared" si="107"/>
        <v>0</v>
      </c>
      <c r="AT113" s="127">
        <f t="shared" si="107"/>
        <v>0</v>
      </c>
    </row>
    <row r="114" spans="3:46" x14ac:dyDescent="0.15">
      <c r="C114" s="127" t="str">
        <f t="shared" si="69"/>
        <v>Wiseman R</v>
      </c>
      <c r="D114" s="127">
        <f t="shared" ref="D114:AT114" si="108">BatSplit(D45,_xlnm.Extract)</f>
        <v>0</v>
      </c>
      <c r="E114" s="127">
        <f t="shared" si="108"/>
        <v>0</v>
      </c>
      <c r="F114" s="127">
        <f t="shared" si="108"/>
        <v>0</v>
      </c>
      <c r="G114" s="127">
        <f t="shared" si="108"/>
        <v>0</v>
      </c>
      <c r="H114" s="127">
        <f t="shared" si="108"/>
        <v>0</v>
      </c>
      <c r="I114" s="127">
        <f t="shared" si="108"/>
        <v>0</v>
      </c>
      <c r="J114" s="127">
        <f t="shared" si="108"/>
        <v>0</v>
      </c>
      <c r="K114" s="127">
        <f t="shared" si="108"/>
        <v>0</v>
      </c>
      <c r="L114" s="127">
        <f t="shared" si="108"/>
        <v>0</v>
      </c>
      <c r="M114" s="127">
        <f t="shared" si="108"/>
        <v>0</v>
      </c>
      <c r="N114" s="127">
        <f t="shared" si="108"/>
        <v>0</v>
      </c>
      <c r="O114" s="127">
        <f t="shared" si="108"/>
        <v>0</v>
      </c>
      <c r="P114" s="127">
        <f t="shared" si="108"/>
        <v>0</v>
      </c>
      <c r="Q114" s="127">
        <f t="shared" si="108"/>
        <v>0</v>
      </c>
      <c r="R114" s="127">
        <f t="shared" si="108"/>
        <v>0</v>
      </c>
      <c r="S114" s="127">
        <f t="shared" si="108"/>
        <v>0</v>
      </c>
      <c r="T114" s="127">
        <f t="shared" si="108"/>
        <v>0</v>
      </c>
      <c r="U114" s="127">
        <f t="shared" si="108"/>
        <v>0</v>
      </c>
      <c r="V114" s="127">
        <f t="shared" si="108"/>
        <v>0</v>
      </c>
      <c r="W114" s="127">
        <f t="shared" si="108"/>
        <v>0</v>
      </c>
      <c r="X114" s="127">
        <f t="shared" si="108"/>
        <v>0</v>
      </c>
      <c r="Y114" s="127">
        <f t="shared" si="108"/>
        <v>0</v>
      </c>
      <c r="Z114" s="127">
        <f t="shared" si="108"/>
        <v>0</v>
      </c>
      <c r="AA114" s="127">
        <f t="shared" si="108"/>
        <v>0</v>
      </c>
      <c r="AB114" s="127">
        <f t="shared" si="108"/>
        <v>0</v>
      </c>
      <c r="AC114" s="127">
        <f t="shared" si="108"/>
        <v>0</v>
      </c>
      <c r="AD114" s="127">
        <f t="shared" si="108"/>
        <v>0</v>
      </c>
      <c r="AE114" s="127">
        <f t="shared" si="108"/>
        <v>0</v>
      </c>
      <c r="AF114" s="127">
        <f t="shared" si="108"/>
        <v>2</v>
      </c>
      <c r="AG114" s="127">
        <f t="shared" si="108"/>
        <v>0</v>
      </c>
      <c r="AH114" s="127">
        <f t="shared" si="108"/>
        <v>0</v>
      </c>
      <c r="AI114" s="127">
        <f t="shared" si="108"/>
        <v>0</v>
      </c>
      <c r="AJ114" s="127">
        <f t="shared" si="108"/>
        <v>1</v>
      </c>
      <c r="AK114" s="127">
        <f t="shared" si="108"/>
        <v>0</v>
      </c>
      <c r="AL114" s="127">
        <f t="shared" si="108"/>
        <v>0</v>
      </c>
      <c r="AM114" s="127">
        <f t="shared" si="108"/>
        <v>0</v>
      </c>
      <c r="AN114" s="127">
        <f t="shared" si="108"/>
        <v>0</v>
      </c>
      <c r="AO114" s="127">
        <f t="shared" si="108"/>
        <v>0</v>
      </c>
      <c r="AP114" s="127">
        <f t="shared" si="108"/>
        <v>2</v>
      </c>
      <c r="AQ114" s="127">
        <f t="shared" si="108"/>
        <v>0</v>
      </c>
      <c r="AR114" s="127">
        <f t="shared" si="108"/>
        <v>0</v>
      </c>
      <c r="AS114" s="127">
        <f t="shared" si="108"/>
        <v>0</v>
      </c>
      <c r="AT114" s="127">
        <f t="shared" si="108"/>
        <v>0</v>
      </c>
    </row>
    <row r="115" spans="3:46" x14ac:dyDescent="0.15">
      <c r="C115" s="127" t="str">
        <f t="shared" si="69"/>
        <v>Woodhouse M</v>
      </c>
      <c r="D115" s="127">
        <f t="shared" ref="D115:AT115" si="109">BatSplit(D46,_xlnm.Extract)</f>
        <v>0</v>
      </c>
      <c r="E115" s="127">
        <f t="shared" si="109"/>
        <v>0</v>
      </c>
      <c r="F115" s="127">
        <f t="shared" si="109"/>
        <v>0</v>
      </c>
      <c r="G115" s="127">
        <f t="shared" si="109"/>
        <v>0</v>
      </c>
      <c r="H115" s="127">
        <f t="shared" si="109"/>
        <v>0</v>
      </c>
      <c r="I115" s="127">
        <f t="shared" si="109"/>
        <v>0</v>
      </c>
      <c r="J115" s="127">
        <f t="shared" si="109"/>
        <v>1</v>
      </c>
      <c r="K115" s="127">
        <f t="shared" si="109"/>
        <v>0</v>
      </c>
      <c r="L115" s="127">
        <f t="shared" si="109"/>
        <v>0</v>
      </c>
      <c r="M115" s="127">
        <f t="shared" si="109"/>
        <v>0</v>
      </c>
      <c r="N115" s="127">
        <f t="shared" si="109"/>
        <v>0</v>
      </c>
      <c r="O115" s="127">
        <f t="shared" si="109"/>
        <v>0</v>
      </c>
      <c r="P115" s="127">
        <f t="shared" si="109"/>
        <v>0</v>
      </c>
      <c r="Q115" s="127">
        <f t="shared" si="109"/>
        <v>0</v>
      </c>
      <c r="R115" s="127">
        <f t="shared" si="109"/>
        <v>1</v>
      </c>
      <c r="S115" s="127">
        <f t="shared" si="109"/>
        <v>0</v>
      </c>
      <c r="T115" s="127">
        <f t="shared" si="109"/>
        <v>0</v>
      </c>
      <c r="U115" s="127">
        <f t="shared" si="109"/>
        <v>0</v>
      </c>
      <c r="V115" s="127">
        <f t="shared" si="109"/>
        <v>0</v>
      </c>
      <c r="W115" s="127">
        <f t="shared" si="109"/>
        <v>0</v>
      </c>
      <c r="X115" s="127">
        <f t="shared" si="109"/>
        <v>0</v>
      </c>
      <c r="Y115" s="127">
        <f t="shared" si="109"/>
        <v>0</v>
      </c>
      <c r="Z115" s="127">
        <f t="shared" si="109"/>
        <v>0</v>
      </c>
      <c r="AA115" s="127">
        <f t="shared" si="109"/>
        <v>1</v>
      </c>
      <c r="AB115" s="127">
        <f t="shared" si="109"/>
        <v>0</v>
      </c>
      <c r="AC115" s="127">
        <f t="shared" si="109"/>
        <v>0</v>
      </c>
      <c r="AD115" s="127">
        <f t="shared" si="109"/>
        <v>0</v>
      </c>
      <c r="AE115" s="127">
        <f t="shared" si="109"/>
        <v>0</v>
      </c>
      <c r="AF115" s="127">
        <f t="shared" si="109"/>
        <v>0</v>
      </c>
      <c r="AG115" s="127">
        <f t="shared" si="109"/>
        <v>0</v>
      </c>
      <c r="AH115" s="127">
        <f t="shared" si="109"/>
        <v>0</v>
      </c>
      <c r="AI115" s="127">
        <f t="shared" si="109"/>
        <v>0</v>
      </c>
      <c r="AJ115" s="127">
        <f t="shared" si="109"/>
        <v>0</v>
      </c>
      <c r="AK115" s="127">
        <f t="shared" si="109"/>
        <v>0</v>
      </c>
      <c r="AL115" s="127">
        <f t="shared" si="109"/>
        <v>0</v>
      </c>
      <c r="AM115" s="127">
        <f t="shared" si="109"/>
        <v>0</v>
      </c>
      <c r="AN115" s="127">
        <f t="shared" si="109"/>
        <v>0</v>
      </c>
      <c r="AO115" s="127">
        <f t="shared" si="109"/>
        <v>0</v>
      </c>
      <c r="AP115" s="127">
        <f t="shared" si="109"/>
        <v>3</v>
      </c>
      <c r="AQ115" s="127">
        <f t="shared" si="109"/>
        <v>0</v>
      </c>
      <c r="AR115" s="127">
        <f t="shared" si="109"/>
        <v>0</v>
      </c>
      <c r="AS115" s="127">
        <f t="shared" si="109"/>
        <v>0</v>
      </c>
      <c r="AT115" s="127">
        <f t="shared" si="109"/>
        <v>1</v>
      </c>
    </row>
    <row r="116" spans="3:46" x14ac:dyDescent="0.15">
      <c r="C116" s="127" t="str">
        <f t="shared" si="69"/>
        <v>Worthington R</v>
      </c>
      <c r="D116" s="127">
        <f t="shared" ref="D116:AT116" si="110">BatSplit(D47,_xlnm.Extract)</f>
        <v>0</v>
      </c>
      <c r="E116" s="127">
        <f t="shared" si="110"/>
        <v>0</v>
      </c>
      <c r="F116" s="127">
        <f t="shared" si="110"/>
        <v>0</v>
      </c>
      <c r="G116" s="127">
        <f t="shared" si="110"/>
        <v>0</v>
      </c>
      <c r="H116" s="127">
        <f t="shared" si="110"/>
        <v>0</v>
      </c>
      <c r="I116" s="127">
        <f t="shared" si="110"/>
        <v>0</v>
      </c>
      <c r="J116" s="127">
        <f t="shared" si="110"/>
        <v>0</v>
      </c>
      <c r="K116" s="127">
        <f t="shared" si="110"/>
        <v>0</v>
      </c>
      <c r="L116" s="127">
        <f t="shared" si="110"/>
        <v>0</v>
      </c>
      <c r="M116" s="127">
        <f t="shared" si="110"/>
        <v>0</v>
      </c>
      <c r="N116" s="127">
        <f t="shared" si="110"/>
        <v>0</v>
      </c>
      <c r="O116" s="127">
        <f t="shared" si="110"/>
        <v>1</v>
      </c>
      <c r="P116" s="127">
        <f t="shared" si="110"/>
        <v>0</v>
      </c>
      <c r="Q116" s="127">
        <f t="shared" si="110"/>
        <v>0</v>
      </c>
      <c r="R116" s="127">
        <f t="shared" si="110"/>
        <v>5</v>
      </c>
      <c r="S116" s="127">
        <f t="shared" si="110"/>
        <v>0</v>
      </c>
      <c r="T116" s="127">
        <f t="shared" si="110"/>
        <v>8</v>
      </c>
      <c r="U116" s="127">
        <f t="shared" si="110"/>
        <v>0</v>
      </c>
      <c r="V116" s="127">
        <f t="shared" si="110"/>
        <v>0</v>
      </c>
      <c r="W116" s="127">
        <f t="shared" si="110"/>
        <v>0</v>
      </c>
      <c r="X116" s="127">
        <f t="shared" si="110"/>
        <v>0</v>
      </c>
      <c r="Y116" s="127">
        <f t="shared" si="110"/>
        <v>0</v>
      </c>
      <c r="Z116" s="127">
        <f t="shared" si="110"/>
        <v>0</v>
      </c>
      <c r="AA116" s="127">
        <f t="shared" si="110"/>
        <v>0</v>
      </c>
      <c r="AB116" s="127">
        <f t="shared" si="110"/>
        <v>4</v>
      </c>
      <c r="AC116" s="127">
        <f t="shared" si="110"/>
        <v>0</v>
      </c>
      <c r="AD116" s="127">
        <f t="shared" si="110"/>
        <v>0</v>
      </c>
      <c r="AE116" s="127">
        <f t="shared" si="110"/>
        <v>0</v>
      </c>
      <c r="AF116" s="127">
        <f t="shared" si="110"/>
        <v>0</v>
      </c>
      <c r="AG116" s="127">
        <f t="shared" si="110"/>
        <v>1</v>
      </c>
      <c r="AH116" s="127">
        <f t="shared" si="110"/>
        <v>6</v>
      </c>
      <c r="AI116" s="127">
        <f t="shared" si="110"/>
        <v>0</v>
      </c>
      <c r="AJ116" s="127">
        <f t="shared" si="110"/>
        <v>0</v>
      </c>
      <c r="AK116" s="127">
        <f t="shared" si="110"/>
        <v>0</v>
      </c>
      <c r="AL116" s="127">
        <f t="shared" si="110"/>
        <v>2</v>
      </c>
      <c r="AM116" s="127">
        <f t="shared" si="110"/>
        <v>0</v>
      </c>
      <c r="AN116" s="127">
        <f t="shared" si="110"/>
        <v>0</v>
      </c>
      <c r="AO116" s="127">
        <f t="shared" si="110"/>
        <v>0</v>
      </c>
      <c r="AP116" s="127">
        <f t="shared" si="110"/>
        <v>1</v>
      </c>
      <c r="AQ116" s="127">
        <f t="shared" si="110"/>
        <v>0</v>
      </c>
      <c r="AR116" s="127">
        <f t="shared" si="110"/>
        <v>0</v>
      </c>
      <c r="AS116" s="127">
        <f t="shared" si="110"/>
        <v>0</v>
      </c>
      <c r="AT116" s="127">
        <f t="shared" si="110"/>
        <v>2</v>
      </c>
    </row>
    <row r="117" spans="3:46" x14ac:dyDescent="0.15">
      <c r="C117" s="127" t="str">
        <f t="shared" si="69"/>
        <v>Worthy J</v>
      </c>
      <c r="D117" s="127">
        <f t="shared" ref="D117:AT117" si="111">BatSplit(D48,_xlnm.Extract)</f>
        <v>0</v>
      </c>
      <c r="E117" s="127">
        <f t="shared" si="111"/>
        <v>0</v>
      </c>
      <c r="F117" s="127">
        <f t="shared" si="111"/>
        <v>0</v>
      </c>
      <c r="G117" s="127">
        <f t="shared" si="111"/>
        <v>1</v>
      </c>
      <c r="H117" s="127">
        <f t="shared" si="111"/>
        <v>0</v>
      </c>
      <c r="I117" s="127">
        <f t="shared" si="111"/>
        <v>0</v>
      </c>
      <c r="J117" s="127">
        <f t="shared" si="111"/>
        <v>0</v>
      </c>
      <c r="K117" s="127">
        <f t="shared" si="111"/>
        <v>0</v>
      </c>
      <c r="L117" s="127">
        <f t="shared" si="111"/>
        <v>0</v>
      </c>
      <c r="M117" s="127">
        <f t="shared" si="111"/>
        <v>0</v>
      </c>
      <c r="N117" s="127">
        <f t="shared" si="111"/>
        <v>0</v>
      </c>
      <c r="O117" s="127">
        <f t="shared" si="111"/>
        <v>0</v>
      </c>
      <c r="P117" s="127">
        <f t="shared" si="111"/>
        <v>0</v>
      </c>
      <c r="Q117" s="127">
        <f t="shared" si="111"/>
        <v>0</v>
      </c>
      <c r="R117" s="127">
        <f t="shared" si="111"/>
        <v>0</v>
      </c>
      <c r="S117" s="127">
        <f t="shared" si="111"/>
        <v>2</v>
      </c>
      <c r="T117" s="127">
        <f t="shared" si="111"/>
        <v>0</v>
      </c>
      <c r="U117" s="127">
        <f t="shared" si="111"/>
        <v>0</v>
      </c>
      <c r="V117" s="127">
        <f t="shared" si="111"/>
        <v>0</v>
      </c>
      <c r="W117" s="127">
        <f t="shared" si="111"/>
        <v>0</v>
      </c>
      <c r="X117" s="127">
        <f t="shared" si="111"/>
        <v>0</v>
      </c>
      <c r="Y117" s="127">
        <f t="shared" si="111"/>
        <v>5</v>
      </c>
      <c r="Z117" s="127">
        <f t="shared" si="111"/>
        <v>0</v>
      </c>
      <c r="AA117" s="127">
        <f t="shared" si="111"/>
        <v>0</v>
      </c>
      <c r="AB117" s="127">
        <f t="shared" si="111"/>
        <v>0</v>
      </c>
      <c r="AC117" s="127">
        <f t="shared" si="111"/>
        <v>0</v>
      </c>
      <c r="AD117" s="127">
        <f t="shared" si="111"/>
        <v>0</v>
      </c>
      <c r="AE117" s="127">
        <f t="shared" si="111"/>
        <v>0</v>
      </c>
      <c r="AF117" s="127">
        <f t="shared" si="111"/>
        <v>0</v>
      </c>
      <c r="AG117" s="127">
        <f t="shared" si="111"/>
        <v>0</v>
      </c>
      <c r="AH117" s="127">
        <f t="shared" si="111"/>
        <v>0</v>
      </c>
      <c r="AI117" s="127">
        <f t="shared" si="111"/>
        <v>0</v>
      </c>
      <c r="AJ117" s="127">
        <f t="shared" si="111"/>
        <v>0</v>
      </c>
      <c r="AK117" s="127">
        <f t="shared" si="111"/>
        <v>0</v>
      </c>
      <c r="AL117" s="127">
        <f t="shared" si="111"/>
        <v>0</v>
      </c>
      <c r="AM117" s="127">
        <f t="shared" si="111"/>
        <v>0</v>
      </c>
      <c r="AN117" s="127">
        <f t="shared" si="111"/>
        <v>0</v>
      </c>
      <c r="AO117" s="127">
        <f t="shared" si="111"/>
        <v>0</v>
      </c>
      <c r="AP117" s="127">
        <f t="shared" si="111"/>
        <v>0</v>
      </c>
      <c r="AQ117" s="127">
        <f t="shared" si="111"/>
        <v>0</v>
      </c>
      <c r="AR117" s="127">
        <f t="shared" si="111"/>
        <v>0</v>
      </c>
      <c r="AS117" s="127">
        <f t="shared" si="111"/>
        <v>0</v>
      </c>
      <c r="AT117" s="127">
        <f t="shared" si="111"/>
        <v>0</v>
      </c>
    </row>
    <row r="118" spans="3:46" x14ac:dyDescent="0.15">
      <c r="C118" s="127" t="str">
        <f t="shared" si="69"/>
        <v>Wrenn S</v>
      </c>
      <c r="D118" s="127">
        <f t="shared" ref="D118:AT118" si="112">BatSplit(D49,_xlnm.Extract)</f>
        <v>0</v>
      </c>
      <c r="E118" s="127">
        <f t="shared" si="112"/>
        <v>0</v>
      </c>
      <c r="F118" s="127">
        <f t="shared" si="112"/>
        <v>0</v>
      </c>
      <c r="G118" s="127">
        <f t="shared" si="112"/>
        <v>0</v>
      </c>
      <c r="H118" s="127">
        <f t="shared" si="112"/>
        <v>0</v>
      </c>
      <c r="I118" s="127">
        <f t="shared" si="112"/>
        <v>3</v>
      </c>
      <c r="J118" s="127">
        <f t="shared" si="112"/>
        <v>0</v>
      </c>
      <c r="K118" s="127">
        <f t="shared" si="112"/>
        <v>0</v>
      </c>
      <c r="L118" s="127">
        <f t="shared" si="112"/>
        <v>0</v>
      </c>
      <c r="M118" s="127">
        <f t="shared" si="112"/>
        <v>0</v>
      </c>
      <c r="N118" s="127">
        <f t="shared" si="112"/>
        <v>0</v>
      </c>
      <c r="O118" s="127">
        <f t="shared" si="112"/>
        <v>0</v>
      </c>
      <c r="P118" s="127">
        <f t="shared" si="112"/>
        <v>0</v>
      </c>
      <c r="Q118" s="127">
        <f t="shared" si="112"/>
        <v>0</v>
      </c>
      <c r="R118" s="127">
        <f t="shared" si="112"/>
        <v>0</v>
      </c>
      <c r="S118" s="127">
        <f t="shared" si="112"/>
        <v>0</v>
      </c>
      <c r="T118" s="127">
        <f t="shared" si="112"/>
        <v>0</v>
      </c>
      <c r="U118" s="127">
        <f t="shared" si="112"/>
        <v>0</v>
      </c>
      <c r="V118" s="127">
        <f t="shared" si="112"/>
        <v>0</v>
      </c>
      <c r="W118" s="127">
        <f t="shared" si="112"/>
        <v>0</v>
      </c>
      <c r="X118" s="127">
        <f t="shared" si="112"/>
        <v>0</v>
      </c>
      <c r="Y118" s="127">
        <f t="shared" si="112"/>
        <v>0</v>
      </c>
      <c r="Z118" s="127">
        <f t="shared" si="112"/>
        <v>0</v>
      </c>
      <c r="AA118" s="127">
        <f t="shared" si="112"/>
        <v>0</v>
      </c>
      <c r="AB118" s="127">
        <f t="shared" si="112"/>
        <v>0</v>
      </c>
      <c r="AC118" s="127">
        <f t="shared" si="112"/>
        <v>0</v>
      </c>
      <c r="AD118" s="127">
        <f t="shared" si="112"/>
        <v>0</v>
      </c>
      <c r="AE118" s="127">
        <f t="shared" si="112"/>
        <v>0</v>
      </c>
      <c r="AF118" s="127">
        <f t="shared" si="112"/>
        <v>0</v>
      </c>
      <c r="AG118" s="127">
        <f t="shared" si="112"/>
        <v>0</v>
      </c>
      <c r="AH118" s="127">
        <f t="shared" si="112"/>
        <v>0</v>
      </c>
      <c r="AI118" s="127">
        <f t="shared" si="112"/>
        <v>0</v>
      </c>
      <c r="AJ118" s="127">
        <f t="shared" si="112"/>
        <v>0</v>
      </c>
      <c r="AK118" s="127">
        <f t="shared" si="112"/>
        <v>0</v>
      </c>
      <c r="AL118" s="127">
        <f t="shared" si="112"/>
        <v>0</v>
      </c>
      <c r="AM118" s="127">
        <f t="shared" si="112"/>
        <v>0</v>
      </c>
      <c r="AN118" s="127">
        <f t="shared" si="112"/>
        <v>0</v>
      </c>
      <c r="AO118" s="127">
        <f t="shared" si="112"/>
        <v>0</v>
      </c>
      <c r="AP118" s="127">
        <f t="shared" si="112"/>
        <v>0</v>
      </c>
      <c r="AQ118" s="127">
        <f t="shared" si="112"/>
        <v>0</v>
      </c>
      <c r="AR118" s="127">
        <f t="shared" si="112"/>
        <v>0</v>
      </c>
      <c r="AS118" s="127">
        <f t="shared" si="112"/>
        <v>0</v>
      </c>
      <c r="AT118" s="127">
        <f t="shared" si="112"/>
        <v>0</v>
      </c>
    </row>
    <row r="119" spans="3:46" x14ac:dyDescent="0.15">
      <c r="C119" s="127" t="str">
        <f t="shared" si="69"/>
        <v>Young R</v>
      </c>
      <c r="D119" s="127">
        <f t="shared" ref="D119:AT119" si="113">BatSplit(D50,_xlnm.Extract)</f>
        <v>0</v>
      </c>
      <c r="E119" s="127">
        <f t="shared" si="113"/>
        <v>0</v>
      </c>
      <c r="F119" s="127">
        <f t="shared" si="113"/>
        <v>0</v>
      </c>
      <c r="G119" s="127">
        <f t="shared" si="113"/>
        <v>0</v>
      </c>
      <c r="H119" s="127">
        <f t="shared" si="113"/>
        <v>0</v>
      </c>
      <c r="I119" s="127">
        <f t="shared" si="113"/>
        <v>0</v>
      </c>
      <c r="J119" s="127">
        <f t="shared" si="113"/>
        <v>0</v>
      </c>
      <c r="K119" s="127">
        <f t="shared" si="113"/>
        <v>0</v>
      </c>
      <c r="L119" s="127">
        <f t="shared" si="113"/>
        <v>0</v>
      </c>
      <c r="M119" s="127">
        <f t="shared" si="113"/>
        <v>0</v>
      </c>
      <c r="N119" s="127">
        <f t="shared" si="113"/>
        <v>0</v>
      </c>
      <c r="O119" s="127">
        <f t="shared" si="113"/>
        <v>0</v>
      </c>
      <c r="P119" s="127">
        <f t="shared" si="113"/>
        <v>0</v>
      </c>
      <c r="Q119" s="127">
        <f t="shared" si="113"/>
        <v>0</v>
      </c>
      <c r="R119" s="127">
        <f t="shared" si="113"/>
        <v>2</v>
      </c>
      <c r="S119" s="127">
        <f t="shared" si="113"/>
        <v>0</v>
      </c>
      <c r="T119" s="127">
        <f t="shared" si="113"/>
        <v>0</v>
      </c>
      <c r="U119" s="127">
        <f t="shared" si="113"/>
        <v>0</v>
      </c>
      <c r="V119" s="127">
        <f t="shared" si="113"/>
        <v>0</v>
      </c>
      <c r="W119" s="127">
        <f t="shared" si="113"/>
        <v>0</v>
      </c>
      <c r="X119" s="127">
        <f t="shared" si="113"/>
        <v>0</v>
      </c>
      <c r="Y119" s="127">
        <f t="shared" si="113"/>
        <v>0</v>
      </c>
      <c r="Z119" s="127">
        <f t="shared" si="113"/>
        <v>0</v>
      </c>
      <c r="AA119" s="127">
        <f t="shared" si="113"/>
        <v>0</v>
      </c>
      <c r="AB119" s="127">
        <f t="shared" si="113"/>
        <v>3</v>
      </c>
      <c r="AC119" s="127">
        <f t="shared" si="113"/>
        <v>0</v>
      </c>
      <c r="AD119" s="127">
        <f t="shared" si="113"/>
        <v>0</v>
      </c>
      <c r="AE119" s="127">
        <f t="shared" si="113"/>
        <v>0</v>
      </c>
      <c r="AF119" s="127">
        <f t="shared" si="113"/>
        <v>0</v>
      </c>
      <c r="AG119" s="127">
        <f t="shared" si="113"/>
        <v>0</v>
      </c>
      <c r="AH119" s="127">
        <f t="shared" si="113"/>
        <v>0</v>
      </c>
      <c r="AI119" s="127">
        <f t="shared" si="113"/>
        <v>0</v>
      </c>
      <c r="AJ119" s="127">
        <f t="shared" si="113"/>
        <v>0</v>
      </c>
      <c r="AK119" s="127">
        <f t="shared" si="113"/>
        <v>0</v>
      </c>
      <c r="AL119" s="127">
        <f t="shared" si="113"/>
        <v>0</v>
      </c>
      <c r="AM119" s="127">
        <f t="shared" si="113"/>
        <v>0</v>
      </c>
      <c r="AN119" s="127">
        <f t="shared" si="113"/>
        <v>0</v>
      </c>
      <c r="AO119" s="127">
        <f t="shared" si="113"/>
        <v>0</v>
      </c>
      <c r="AP119" s="127">
        <f t="shared" si="113"/>
        <v>0</v>
      </c>
      <c r="AQ119" s="127">
        <f t="shared" si="113"/>
        <v>0</v>
      </c>
      <c r="AR119" s="127">
        <f t="shared" si="113"/>
        <v>0</v>
      </c>
      <c r="AS119" s="127">
        <f t="shared" si="113"/>
        <v>0</v>
      </c>
      <c r="AT119" s="127">
        <f t="shared" si="113"/>
        <v>0</v>
      </c>
    </row>
    <row r="120" spans="3:46" x14ac:dyDescent="0.15">
      <c r="C120" s="127"/>
      <c r="D120" s="127"/>
      <c r="E120" s="127"/>
      <c r="F120" s="127"/>
      <c r="G120" s="127"/>
      <c r="H120" s="127"/>
      <c r="I120" s="127"/>
      <c r="J120" s="127"/>
      <c r="K120" s="127"/>
      <c r="L120" s="127"/>
      <c r="M120" s="127"/>
      <c r="N120" s="127"/>
      <c r="O120" s="127"/>
      <c r="P120" s="127"/>
      <c r="Q120" s="127"/>
      <c r="R120" s="127"/>
      <c r="S120" s="127"/>
      <c r="T120" s="127"/>
      <c r="U120" s="127"/>
      <c r="V120" s="127"/>
      <c r="W120" s="127"/>
      <c r="X120" s="127"/>
      <c r="Y120" s="127"/>
      <c r="Z120" s="127"/>
      <c r="AA120" s="127"/>
      <c r="AB120" s="127"/>
      <c r="AC120" s="127"/>
      <c r="AD120" s="127"/>
      <c r="AE120" s="127"/>
      <c r="AF120" s="127"/>
      <c r="AG120" s="127"/>
      <c r="AH120" s="127"/>
      <c r="AI120" s="127"/>
      <c r="AJ120" s="127"/>
      <c r="AK120" s="127"/>
      <c r="AL120" s="127"/>
      <c r="AM120" s="127"/>
      <c r="AN120" s="127"/>
      <c r="AO120" s="127"/>
      <c r="AP120" s="127"/>
      <c r="AQ120" s="127"/>
      <c r="AR120" s="127"/>
      <c r="AS120" s="127"/>
      <c r="AT120" s="127"/>
    </row>
    <row r="121" spans="3:46" x14ac:dyDescent="0.15">
      <c r="C121" s="127"/>
      <c r="D121" s="127"/>
      <c r="E121" s="127"/>
      <c r="F121" s="127"/>
      <c r="G121" s="127"/>
      <c r="H121" s="127"/>
      <c r="I121" s="127"/>
      <c r="J121" s="127"/>
      <c r="K121" s="127"/>
      <c r="L121" s="127"/>
      <c r="M121" s="127"/>
      <c r="N121" s="127"/>
      <c r="O121" s="127"/>
      <c r="P121" s="127"/>
      <c r="Q121" s="127"/>
      <c r="R121" s="127"/>
      <c r="S121" s="127"/>
      <c r="T121" s="127"/>
      <c r="U121" s="127"/>
      <c r="V121" s="127"/>
      <c r="W121" s="127"/>
      <c r="X121" s="127"/>
      <c r="Y121" s="127"/>
      <c r="Z121" s="127"/>
      <c r="AA121" s="127"/>
      <c r="AB121" s="127"/>
      <c r="AC121" s="127"/>
      <c r="AD121" s="127"/>
      <c r="AE121" s="127"/>
      <c r="AF121" s="127"/>
      <c r="AG121" s="127"/>
      <c r="AH121" s="127"/>
      <c r="AI121" s="127"/>
      <c r="AJ121" s="127"/>
      <c r="AK121" s="127"/>
      <c r="AL121" s="127"/>
      <c r="AM121" s="127"/>
      <c r="AN121" s="127"/>
      <c r="AO121" s="127"/>
      <c r="AP121" s="127"/>
      <c r="AQ121" s="127"/>
      <c r="AR121" s="127"/>
      <c r="AS121" s="127"/>
      <c r="AT121" s="127"/>
    </row>
    <row r="122" spans="3:46" x14ac:dyDescent="0.15">
      <c r="C122" s="127"/>
      <c r="D122" s="127"/>
      <c r="E122" s="127"/>
      <c r="F122" s="127"/>
      <c r="G122" s="127"/>
      <c r="H122" s="127"/>
      <c r="I122" s="127"/>
      <c r="J122" s="127"/>
      <c r="K122" s="127"/>
      <c r="L122" s="127"/>
      <c r="M122" s="127"/>
      <c r="N122" s="127"/>
      <c r="O122" s="127"/>
      <c r="P122" s="127"/>
      <c r="Q122" s="127"/>
      <c r="R122" s="127"/>
      <c r="S122" s="127"/>
      <c r="T122" s="127"/>
      <c r="U122" s="127"/>
      <c r="V122" s="127"/>
      <c r="W122" s="127"/>
      <c r="X122" s="127"/>
      <c r="Y122" s="127"/>
      <c r="Z122" s="127"/>
      <c r="AA122" s="127"/>
      <c r="AB122" s="127"/>
      <c r="AC122" s="127"/>
      <c r="AD122" s="127"/>
      <c r="AE122" s="127"/>
      <c r="AF122" s="127"/>
      <c r="AG122" s="127"/>
      <c r="AH122" s="127"/>
      <c r="AI122" s="127"/>
      <c r="AJ122" s="127"/>
      <c r="AK122" s="127"/>
      <c r="AL122" s="127"/>
      <c r="AM122" s="127"/>
      <c r="AN122" s="127"/>
      <c r="AO122" s="127"/>
      <c r="AP122" s="127"/>
      <c r="AQ122" s="127"/>
      <c r="AR122" s="127"/>
      <c r="AS122" s="127"/>
      <c r="AT122" s="127"/>
    </row>
    <row r="123" spans="3:46" x14ac:dyDescent="0.15">
      <c r="C123" s="127"/>
    </row>
    <row r="124" spans="3:46" x14ac:dyDescent="0.15">
      <c r="C124" s="127"/>
    </row>
    <row r="125" spans="3:46" x14ac:dyDescent="0.15">
      <c r="C125" s="127"/>
    </row>
  </sheetData>
  <phoneticPr fontId="0" type="noConversion"/>
  <conditionalFormatting sqref="CE62:CE72">
    <cfRule type="cellIs" dxfId="4" priority="1" stopIfTrue="1" operator="greaterThanOrEqual">
      <formula>75</formula>
    </cfRule>
  </conditionalFormatting>
  <conditionalFormatting sqref="D74:AT122">
    <cfRule type="cellIs" dxfId="3" priority="2" stopIfTrue="1" operator="greaterThanOrEqual">
      <formula>MinValue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83"/>
  <sheetViews>
    <sheetView tabSelected="1" workbookViewId="0">
      <pane xSplit="2" ySplit="4" topLeftCell="X5" activePane="bottomRight" state="frozenSplit"/>
      <selection pane="topRight" activeCell="B1" sqref="B1"/>
      <selection pane="bottomLeft" activeCell="A5" sqref="A5"/>
      <selection pane="bottomRight" activeCell="AK21" sqref="AK21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31" width="11.7109375" style="2" bestFit="1" customWidth="1"/>
    <col min="32" max="32" width="12.140625" style="2" bestFit="1" customWidth="1"/>
    <col min="33" max="33" width="13.28515625" style="2" bestFit="1" customWidth="1"/>
    <col min="34" max="34" width="12.5703125" style="2" bestFit="1" customWidth="1"/>
    <col min="35" max="35" width="12.140625" style="2" bestFit="1" customWidth="1"/>
    <col min="36" max="36" width="13.28515625" style="2" bestFit="1" customWidth="1"/>
    <col min="37" max="39" width="12.5703125" style="2" bestFit="1" customWidth="1"/>
    <col min="40" max="40" width="14.28515625" style="2" bestFit="1" customWidth="1"/>
    <col min="41" max="41" width="12.28515625" style="2" bestFit="1" customWidth="1"/>
    <col min="42" max="42" width="11.5703125" style="2" bestFit="1" customWidth="1"/>
    <col min="43" max="43" width="13.28515625" style="2" bestFit="1" customWidth="1"/>
    <col min="44" max="44" width="11.5703125" style="2" bestFit="1" customWidth="1"/>
    <col min="45" max="45" width="13.28515625" style="2" bestFit="1" customWidth="1"/>
    <col min="46" max="46" width="2.85546875" style="2" bestFit="1" customWidth="1"/>
    <col min="47" max="57" width="2.85546875" style="2" customWidth="1"/>
    <col min="58" max="81" width="5.28515625" style="2" bestFit="1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6.140625" style="56" bestFit="1" customWidth="1"/>
    <col min="90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37744</v>
      </c>
      <c r="D1" s="4">
        <v>37745</v>
      </c>
      <c r="E1" s="4">
        <v>37751</v>
      </c>
      <c r="F1" s="4">
        <v>37752</v>
      </c>
      <c r="G1" s="4">
        <v>37758</v>
      </c>
      <c r="H1" s="4">
        <v>37759</v>
      </c>
      <c r="I1" s="4">
        <v>37765</v>
      </c>
      <c r="J1" s="4">
        <v>37766</v>
      </c>
      <c r="K1" s="4">
        <v>37767</v>
      </c>
      <c r="L1" s="4">
        <v>37768</v>
      </c>
      <c r="M1" s="4">
        <v>37772</v>
      </c>
      <c r="N1" s="4">
        <v>37773</v>
      </c>
      <c r="O1" s="4">
        <v>37779</v>
      </c>
      <c r="P1" s="4">
        <v>37780</v>
      </c>
      <c r="Q1" s="4">
        <v>37786</v>
      </c>
      <c r="R1" s="4">
        <v>37787</v>
      </c>
      <c r="S1" s="4">
        <v>37793</v>
      </c>
      <c r="T1" s="4">
        <v>37794</v>
      </c>
      <c r="U1" s="4">
        <v>37800</v>
      </c>
      <c r="V1" s="4">
        <v>37801</v>
      </c>
      <c r="W1" s="4">
        <v>37807</v>
      </c>
      <c r="X1" s="4">
        <v>37808</v>
      </c>
      <c r="Y1" s="4">
        <v>37814</v>
      </c>
      <c r="Z1" s="4">
        <v>37815</v>
      </c>
      <c r="AA1" s="4">
        <v>37821</v>
      </c>
      <c r="AB1" s="4">
        <v>37822</v>
      </c>
      <c r="AC1" s="4">
        <v>37828</v>
      </c>
      <c r="AD1" s="4">
        <v>37829</v>
      </c>
      <c r="AE1" s="4">
        <v>37835</v>
      </c>
      <c r="AF1" s="4">
        <v>37836</v>
      </c>
      <c r="AG1" s="4">
        <v>37842</v>
      </c>
      <c r="AH1" s="4">
        <v>37843</v>
      </c>
      <c r="AI1" s="4">
        <v>37849</v>
      </c>
      <c r="AJ1" s="4">
        <v>37850</v>
      </c>
      <c r="AK1" s="4">
        <v>37856</v>
      </c>
      <c r="AL1" s="4">
        <v>37857</v>
      </c>
      <c r="AM1" s="4">
        <v>37863</v>
      </c>
      <c r="AN1" s="4">
        <v>37864</v>
      </c>
      <c r="AO1" s="4">
        <v>37870</v>
      </c>
      <c r="AP1" s="4">
        <v>37871</v>
      </c>
      <c r="AQ1" s="4">
        <v>37877</v>
      </c>
      <c r="AR1" s="4">
        <v>37878</v>
      </c>
      <c r="AS1" s="4">
        <v>37884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8" ht="87.75" customHeight="1" x14ac:dyDescent="0.15">
      <c r="B2" s="2" t="str">
        <v>Opp</v>
      </c>
      <c r="C2" s="1" t="str">
        <v>Blackheath Select</v>
      </c>
      <c r="D2" s="1" t="str">
        <v>John Fisher Wandgas</v>
      </c>
      <c r="E2" s="1" t="str">
        <v>Legless XI</v>
      </c>
      <c r="F2" s="1" t="str">
        <v>Gold Leaf</v>
      </c>
      <c r="G2" s="1">
        <v>0</v>
      </c>
      <c r="H2" s="1" t="str">
        <v>Thurlow Park RAFA</v>
      </c>
      <c r="I2" s="1" t="str">
        <v>Blindley Heath</v>
      </c>
      <c r="J2" s="1" t="str">
        <v>Woodgreen</v>
      </c>
      <c r="K2" s="1" t="str">
        <v>Steeple Langford</v>
      </c>
      <c r="L2" s="1" t="str">
        <v>Cove</v>
      </c>
      <c r="M2" s="1">
        <v>0</v>
      </c>
      <c r="N2" s="1" t="str">
        <v>Giltec</v>
      </c>
      <c r="O2" s="1" t="str">
        <v>Norwood Exiles</v>
      </c>
      <c r="P2" s="1" t="str">
        <v>CYPOS</v>
      </c>
      <c r="Q2" s="1" t="str">
        <v>Legless XI</v>
      </c>
      <c r="R2" s="1" t="str">
        <v>Vishwa</v>
      </c>
      <c r="S2" s="1" t="str">
        <v>Churchleigh</v>
      </c>
      <c r="T2" s="1" t="str">
        <v>Worcester Park</v>
      </c>
      <c r="U2" s="1">
        <v>0</v>
      </c>
      <c r="V2" s="1" t="str">
        <v>Saints</v>
      </c>
      <c r="W2" s="1" t="str">
        <v>Central YMCA</v>
      </c>
      <c r="X2" s="1" t="str">
        <v>Commonwealth Offices</v>
      </c>
      <c r="Y2" s="1">
        <v>0</v>
      </c>
      <c r="Z2" s="1" t="str">
        <v>Downsiders</v>
      </c>
      <c r="AA2" s="1" t="str">
        <v>Sanderstead</v>
      </c>
      <c r="AB2" s="1" t="str">
        <v>Seven-O</v>
      </c>
      <c r="AC2" s="1" t="str">
        <v>Lessa Wanderers</v>
      </c>
      <c r="AD2" s="1">
        <v>0</v>
      </c>
      <c r="AE2" s="1" t="str">
        <v>Old Tennysonians</v>
      </c>
      <c r="AF2" s="1" t="str">
        <v>Whyteleaf</v>
      </c>
      <c r="AG2" s="1" t="str">
        <v>Seven-O</v>
      </c>
      <c r="AH2" s="1" t="str">
        <v>Addington 1743</v>
      </c>
      <c r="AI2" s="1" t="str">
        <v>Riverside</v>
      </c>
      <c r="AJ2" s="1" t="str">
        <v>Mixed Caribbean</v>
      </c>
      <c r="AK2" s="1" t="str">
        <v>Mixed Caribbean</v>
      </c>
      <c r="AL2" s="1" t="str">
        <v>East Cheam &amp; St Helier</v>
      </c>
      <c r="AM2" s="1" t="str">
        <v>Blackheath Select</v>
      </c>
      <c r="AN2" s="1">
        <v>0</v>
      </c>
      <c r="AO2" s="1" t="str">
        <v>Lessa Wanderers</v>
      </c>
      <c r="AP2" s="1">
        <v>0</v>
      </c>
      <c r="AQ2" s="1">
        <v>0</v>
      </c>
      <c r="AR2" s="1" t="str">
        <v>Pretenders</v>
      </c>
      <c r="AS2" s="1" t="str">
        <v>Malden Wanderers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A</v>
      </c>
      <c r="G3" s="1">
        <v>0</v>
      </c>
      <c r="H3" s="1" t="str">
        <v>H</v>
      </c>
      <c r="I3" s="1" t="str">
        <v>A</v>
      </c>
      <c r="J3" s="1" t="str">
        <v>A</v>
      </c>
      <c r="K3" s="1" t="str">
        <v>A</v>
      </c>
      <c r="L3" s="1" t="str">
        <v>A</v>
      </c>
      <c r="M3" s="1">
        <v>0</v>
      </c>
      <c r="N3" s="1" t="str">
        <v>H</v>
      </c>
      <c r="O3" s="1" t="str">
        <v>H</v>
      </c>
      <c r="P3" s="1" t="str">
        <v>A</v>
      </c>
      <c r="Q3" s="1" t="str">
        <v>A</v>
      </c>
      <c r="R3" s="1" t="str">
        <v>H</v>
      </c>
      <c r="S3" s="1" t="str">
        <v>H</v>
      </c>
      <c r="T3" s="1" t="str">
        <v>A</v>
      </c>
      <c r="U3" s="1">
        <v>0</v>
      </c>
      <c r="V3" s="1" t="str">
        <v>H</v>
      </c>
      <c r="W3" s="1" t="str">
        <v>A</v>
      </c>
      <c r="X3" s="1" t="str">
        <v>A</v>
      </c>
      <c r="Y3" s="1">
        <v>0</v>
      </c>
      <c r="Z3" s="1" t="str">
        <v>H</v>
      </c>
      <c r="AA3" s="1" t="str">
        <v>H</v>
      </c>
      <c r="AB3" s="1" t="str">
        <v>H</v>
      </c>
      <c r="AC3" s="1" t="str">
        <v>A</v>
      </c>
      <c r="AD3" s="1">
        <v>0</v>
      </c>
      <c r="AE3" s="1" t="str">
        <v>H</v>
      </c>
      <c r="AF3" s="1" t="str">
        <v>A</v>
      </c>
      <c r="AG3" s="1" t="str">
        <v>A</v>
      </c>
      <c r="AH3" s="1" t="str">
        <v>H</v>
      </c>
      <c r="AI3" s="1" t="str">
        <v>H</v>
      </c>
      <c r="AJ3" s="1" t="str">
        <v>H</v>
      </c>
      <c r="AK3" s="1" t="str">
        <v>H</v>
      </c>
      <c r="AL3" s="1" t="str">
        <v>H</v>
      </c>
      <c r="AM3" s="1" t="str">
        <v>A</v>
      </c>
      <c r="AN3" s="1">
        <v>0</v>
      </c>
      <c r="AO3" s="1" t="str">
        <v>H</v>
      </c>
      <c r="AP3" s="1">
        <v>0</v>
      </c>
      <c r="AQ3" s="1">
        <v>0</v>
      </c>
      <c r="AR3" s="1" t="str">
        <v>H</v>
      </c>
      <c r="AS3" s="1" t="str">
        <v>A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SUM(CP5:CP50)</f>
        <v>267</v>
      </c>
      <c r="CQ3" s="55">
        <f>SUM(CQ5:CQ50)</f>
        <v>22</v>
      </c>
    </row>
    <row r="4" spans="1:98" ht="11.25" customHeight="1" x14ac:dyDescent="0.15">
      <c r="B4" s="2" t="str">
        <v>Result</v>
      </c>
      <c r="C4" s="1" t="str">
        <v>W</v>
      </c>
      <c r="D4" s="1" t="str">
        <v>W</v>
      </c>
      <c r="E4" s="1" t="str">
        <v>L</v>
      </c>
      <c r="F4" s="1" t="str">
        <v>D</v>
      </c>
      <c r="G4" s="1">
        <v>0</v>
      </c>
      <c r="H4" s="1" t="str">
        <v>W</v>
      </c>
      <c r="I4" s="1" t="str">
        <v>L</v>
      </c>
      <c r="J4" s="1" t="str">
        <v>L</v>
      </c>
      <c r="K4" s="1" t="str">
        <v>D</v>
      </c>
      <c r="L4" s="1" t="str">
        <v>L</v>
      </c>
      <c r="M4" s="1">
        <v>0</v>
      </c>
      <c r="N4" s="1" t="str">
        <v>L</v>
      </c>
      <c r="O4" s="1" t="str">
        <v>L</v>
      </c>
      <c r="P4" s="1" t="str">
        <v>W</v>
      </c>
      <c r="Q4" s="1" t="str">
        <v>L</v>
      </c>
      <c r="R4" s="1" t="str">
        <v>L</v>
      </c>
      <c r="S4" s="1" t="str">
        <v>D</v>
      </c>
      <c r="T4" s="1" t="str">
        <v>L</v>
      </c>
      <c r="U4" s="1">
        <v>0</v>
      </c>
      <c r="V4" s="1" t="str">
        <v>W</v>
      </c>
      <c r="W4" s="1" t="str">
        <v>W</v>
      </c>
      <c r="X4" s="1" t="str">
        <v>L</v>
      </c>
      <c r="Y4" s="1">
        <v>0</v>
      </c>
      <c r="Z4" s="1" t="str">
        <v>L</v>
      </c>
      <c r="AA4" s="1" t="str">
        <v>L</v>
      </c>
      <c r="AB4" s="1" t="str">
        <v>W</v>
      </c>
      <c r="AC4" s="1" t="str">
        <v>D</v>
      </c>
      <c r="AD4" s="1">
        <v>0</v>
      </c>
      <c r="AE4" s="1" t="str">
        <v>D</v>
      </c>
      <c r="AF4" s="1" t="str">
        <v>L</v>
      </c>
      <c r="AG4" s="1" t="str">
        <v>L</v>
      </c>
      <c r="AH4" s="1" t="str">
        <v>W</v>
      </c>
      <c r="AI4" s="1" t="str">
        <v>D</v>
      </c>
      <c r="AJ4" s="1" t="str">
        <v>W</v>
      </c>
      <c r="AK4" s="1" t="str">
        <v>L</v>
      </c>
      <c r="AL4" s="1" t="str">
        <v>W</v>
      </c>
      <c r="AM4" s="1" t="str">
        <v>L</v>
      </c>
      <c r="AN4" s="1">
        <v>0</v>
      </c>
      <c r="AO4" s="1" t="str">
        <v>L</v>
      </c>
      <c r="AP4" s="1">
        <v>0</v>
      </c>
      <c r="AQ4" s="1">
        <v>0</v>
      </c>
      <c r="AR4" s="1" t="str">
        <v>W</v>
      </c>
      <c r="AS4" s="1" t="str">
        <v>W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38</v>
      </c>
      <c r="CG4" s="50" t="s">
        <v>39</v>
      </c>
      <c r="CH4" s="50" t="s">
        <v>40</v>
      </c>
      <c r="CI4" s="50" t="s">
        <v>9</v>
      </c>
      <c r="CJ4" s="50" t="s">
        <v>41</v>
      </c>
      <c r="CK4" s="47" t="s">
        <v>42</v>
      </c>
      <c r="CL4" s="50" t="s">
        <v>43</v>
      </c>
      <c r="CM4" s="50" t="s">
        <v>44</v>
      </c>
      <c r="CN4" s="49" t="s">
        <v>106</v>
      </c>
      <c r="CO4" s="55" t="s">
        <v>45</v>
      </c>
      <c r="CP4" s="55" t="s">
        <v>125</v>
      </c>
      <c r="CQ4" s="55" t="s">
        <v>126</v>
      </c>
      <c r="CR4" s="78" t="s">
        <v>155</v>
      </c>
      <c r="CS4" s="2" t="s">
        <v>150</v>
      </c>
      <c r="CT4" s="2" t="s">
        <v>260</v>
      </c>
    </row>
    <row r="5" spans="1:98" ht="11.25" customHeight="1" x14ac:dyDescent="0.15">
      <c r="A5" s="2" t="s">
        <v>69</v>
      </c>
      <c r="B5" s="2" t="s">
        <v>158</v>
      </c>
      <c r="AA5" s="2" t="s">
        <v>410</v>
      </c>
      <c r="AB5" s="2" t="s">
        <v>789</v>
      </c>
      <c r="AE5" s="2" t="s">
        <v>442</v>
      </c>
      <c r="AF5" s="2" t="s">
        <v>807</v>
      </c>
      <c r="AG5" s="2" t="s">
        <v>457</v>
      </c>
      <c r="AJ5" s="2" t="s">
        <v>849</v>
      </c>
      <c r="AK5" s="2" t="s">
        <v>495</v>
      </c>
      <c r="AL5" s="2" t="s">
        <v>841</v>
      </c>
      <c r="AM5" s="2" t="s">
        <v>513</v>
      </c>
      <c r="AR5" s="2" t="s">
        <v>873</v>
      </c>
      <c r="CE5" s="55">
        <f>BowlSplit(C5:BC5,InnsBowledIn)</f>
        <v>10</v>
      </c>
      <c r="CF5" s="55">
        <f>BowlSplit(C5:CC5,BallsBowled)</f>
        <v>366</v>
      </c>
      <c r="CG5" s="57">
        <f>BowlSplit(C5:CC5,OversBowled)</f>
        <v>61</v>
      </c>
      <c r="CH5" s="55">
        <f>BowlSplit(C5:CC5,Maidens)</f>
        <v>6</v>
      </c>
      <c r="CI5" s="55">
        <f>BowlSplit(C5:CC5,RunsConceded)</f>
        <v>312</v>
      </c>
      <c r="CJ5" s="55">
        <f>BowlSplit(C5:CC5,WicketsTaken)</f>
        <v>13</v>
      </c>
      <c r="CK5" s="58">
        <f>IF(CJ5&gt;0,CI5/CJ5,"")</f>
        <v>24</v>
      </c>
      <c r="CL5" s="59">
        <f>IF(CJ5&gt;0,CF5/CJ5,"")</f>
        <v>28.153846153846153</v>
      </c>
      <c r="CM5" s="59">
        <f>IF(CF5&gt;0,6*CI5/CF5,"")</f>
        <v>5.1147540983606561</v>
      </c>
      <c r="CN5" s="49" t="str">
        <f>BowlSplit(C5:CC5,BestBowling)</f>
        <v>3-33</v>
      </c>
      <c r="CO5" s="55">
        <f>BowlSplit(C5:CC5,BowlPts)</f>
        <v>141</v>
      </c>
      <c r="CP5" s="55">
        <f>BowlSplit(C5:CC5,Wides)</f>
        <v>8</v>
      </c>
      <c r="CQ5" s="55">
        <f>BowlSplit(C5:CC5,NoBalls)</f>
        <v>1</v>
      </c>
      <c r="CR5" s="60">
        <f>IF(CJ5&gt;0,CK5,IF(CF5&gt;0,CF5+1000,99999))+ROW(CQ5)/10000</f>
        <v>24.000499999999999</v>
      </c>
      <c r="CS5" s="2">
        <f t="shared" ref="CS5:CS44" si="0">RANK(CR5,$CR$5:$CR$44,1)</f>
        <v>15</v>
      </c>
      <c r="CT5" s="128">
        <f>CH5/CF5*6</f>
        <v>9.8360655737704916E-2</v>
      </c>
    </row>
    <row r="6" spans="1:98" ht="11.25" customHeight="1" x14ac:dyDescent="0.15">
      <c r="A6" s="2" t="s">
        <v>46</v>
      </c>
      <c r="B6" s="2" t="s">
        <v>159</v>
      </c>
      <c r="K6" s="2" t="s">
        <v>641</v>
      </c>
      <c r="M6" s="60"/>
      <c r="CE6" s="55">
        <f t="shared" ref="CE6:CE42" si="1">BowlSplit(C6:BC6,InnsBowledIn)</f>
        <v>1</v>
      </c>
      <c r="CF6" s="55">
        <f t="shared" ref="CF6:CF42" si="2">BowlSplit(C6:CC6,BallsBowled)</f>
        <v>24</v>
      </c>
      <c r="CG6" s="57">
        <f t="shared" ref="CG6:CG42" si="3">BowlSplit(C6:CC6,OversBowled)</f>
        <v>4</v>
      </c>
      <c r="CH6" s="55">
        <f t="shared" ref="CH6:CH42" si="4">BowlSplit(C6:CC6,Maidens)</f>
        <v>0</v>
      </c>
      <c r="CI6" s="55">
        <f t="shared" ref="CI6:CI42" si="5">BowlSplit(C6:CC6,RunsConceded)</f>
        <v>28</v>
      </c>
      <c r="CJ6" s="55">
        <f t="shared" ref="CJ6:CJ42" si="6">BowlSplit(C6:CC6,WicketsTaken)</f>
        <v>1</v>
      </c>
      <c r="CK6" s="58">
        <f t="shared" ref="CK6:CK42" si="7">IF(CJ6&gt;0,CI6/CJ6,"")</f>
        <v>28</v>
      </c>
      <c r="CL6" s="59">
        <f t="shared" ref="CL6:CL42" si="8">IF(CJ6&gt;0,CF6/CJ6,"")</f>
        <v>24</v>
      </c>
      <c r="CM6" s="59">
        <f t="shared" ref="CM6:CM42" si="9">IF(CF6&gt;0,6*CI6/CF6,"")</f>
        <v>7</v>
      </c>
      <c r="CN6" s="49" t="str">
        <f t="shared" ref="CN6:CN42" si="10">BowlSplit(C6:CC6,BestBowling)</f>
        <v>1-28</v>
      </c>
      <c r="CO6" s="55">
        <f t="shared" ref="CO6:CO42" si="11">BowlSplit(C6:CC6,BowlPts)</f>
        <v>5</v>
      </c>
      <c r="CP6" s="55">
        <f t="shared" ref="CP6:CP42" si="12">BowlSplit(C6:CC6,Wides)</f>
        <v>5</v>
      </c>
      <c r="CQ6" s="55">
        <f t="shared" ref="CQ6:CQ42" si="13">BowlSplit(C6:CC6,NoBalls)</f>
        <v>0</v>
      </c>
      <c r="CR6" s="60">
        <f t="shared" ref="CR6:CR42" si="14">IF(CJ6&gt;0,CK6,IF(CF6&gt;0,CF6+1000,99999))+ROW(CQ6)/10000</f>
        <v>28.000599999999999</v>
      </c>
      <c r="CS6" s="2">
        <f t="shared" si="0"/>
        <v>18</v>
      </c>
      <c r="CT6" s="128">
        <f t="shared" ref="CT6:CT42" si="15">CH6/CF6*6</f>
        <v>0</v>
      </c>
    </row>
    <row r="7" spans="1:98" ht="11.25" customHeight="1" x14ac:dyDescent="0.15">
      <c r="A7" s="2" t="s">
        <v>107</v>
      </c>
      <c r="B7" s="2" t="s">
        <v>160</v>
      </c>
      <c r="C7" s="2" t="s">
        <v>339</v>
      </c>
      <c r="F7" s="2" t="s">
        <v>580</v>
      </c>
      <c r="I7" s="2" t="s">
        <v>312</v>
      </c>
      <c r="J7" s="2" t="s">
        <v>620</v>
      </c>
      <c r="K7" s="2" t="s">
        <v>636</v>
      </c>
      <c r="L7" s="2" t="s">
        <v>656</v>
      </c>
      <c r="M7" s="60"/>
      <c r="O7" s="2" t="s">
        <v>331</v>
      </c>
      <c r="Q7" s="2" t="s">
        <v>354</v>
      </c>
      <c r="S7" s="2" t="s">
        <v>371</v>
      </c>
      <c r="W7" s="2" t="s">
        <v>387</v>
      </c>
      <c r="X7" s="2" t="s">
        <v>755</v>
      </c>
      <c r="AA7" s="2" t="s">
        <v>409</v>
      </c>
      <c r="AC7" s="2" t="s">
        <v>416</v>
      </c>
      <c r="AE7" s="2" t="s">
        <v>437</v>
      </c>
      <c r="AM7" s="2" t="s">
        <v>509</v>
      </c>
      <c r="AO7" s="2" t="s">
        <v>526</v>
      </c>
      <c r="AR7" s="2" t="s">
        <v>870</v>
      </c>
      <c r="AS7" s="2" t="s">
        <v>547</v>
      </c>
      <c r="CE7" s="55">
        <f t="shared" si="1"/>
        <v>18</v>
      </c>
      <c r="CF7" s="55">
        <f t="shared" si="2"/>
        <v>843</v>
      </c>
      <c r="CG7" s="57">
        <f t="shared" si="3"/>
        <v>140.30000000000001</v>
      </c>
      <c r="CH7" s="55">
        <f t="shared" si="4"/>
        <v>47</v>
      </c>
      <c r="CI7" s="55">
        <f t="shared" si="5"/>
        <v>360</v>
      </c>
      <c r="CJ7" s="55">
        <f t="shared" si="6"/>
        <v>18</v>
      </c>
      <c r="CK7" s="58">
        <f t="shared" si="7"/>
        <v>20</v>
      </c>
      <c r="CL7" s="59">
        <f t="shared" si="8"/>
        <v>46.833333333333336</v>
      </c>
      <c r="CM7" s="59">
        <f t="shared" si="9"/>
        <v>2.5622775800711746</v>
      </c>
      <c r="CN7" s="49" t="str">
        <f t="shared" si="10"/>
        <v>3-12</v>
      </c>
      <c r="CO7" s="55">
        <f t="shared" si="11"/>
        <v>332</v>
      </c>
      <c r="CP7" s="55">
        <f t="shared" si="12"/>
        <v>5</v>
      </c>
      <c r="CQ7" s="55">
        <f t="shared" si="13"/>
        <v>2</v>
      </c>
      <c r="CR7" s="60">
        <f t="shared" si="14"/>
        <v>20.000699999999998</v>
      </c>
      <c r="CS7" s="2">
        <f t="shared" si="0"/>
        <v>9</v>
      </c>
      <c r="CT7" s="128">
        <f t="shared" si="15"/>
        <v>0.33451957295373669</v>
      </c>
    </row>
    <row r="8" spans="1:98" ht="11.25" customHeight="1" x14ac:dyDescent="0.15">
      <c r="A8" s="2" t="s">
        <v>141</v>
      </c>
      <c r="B8" s="2" t="s">
        <v>161</v>
      </c>
      <c r="AS8" s="2" t="s">
        <v>543</v>
      </c>
      <c r="CE8" s="55">
        <f t="shared" si="1"/>
        <v>1</v>
      </c>
      <c r="CF8" s="55">
        <f t="shared" si="2"/>
        <v>18</v>
      </c>
      <c r="CG8" s="57">
        <f t="shared" si="3"/>
        <v>3</v>
      </c>
      <c r="CH8" s="55">
        <f t="shared" si="4"/>
        <v>1</v>
      </c>
      <c r="CI8" s="55">
        <f t="shared" si="5"/>
        <v>15</v>
      </c>
      <c r="CJ8" s="55">
        <f t="shared" si="6"/>
        <v>0</v>
      </c>
      <c r="CK8" s="58" t="str">
        <f t="shared" si="7"/>
        <v/>
      </c>
      <c r="CL8" s="59" t="str">
        <f t="shared" si="8"/>
        <v/>
      </c>
      <c r="CM8" s="59">
        <f t="shared" si="9"/>
        <v>5</v>
      </c>
      <c r="CN8" s="49" t="str">
        <f t="shared" si="10"/>
        <v>0-15</v>
      </c>
      <c r="CO8" s="55">
        <f t="shared" si="11"/>
        <v>1</v>
      </c>
      <c r="CP8" s="55">
        <f t="shared" si="12"/>
        <v>0</v>
      </c>
      <c r="CQ8" s="55">
        <f t="shared" si="13"/>
        <v>0</v>
      </c>
      <c r="CR8" s="60">
        <f t="shared" si="14"/>
        <v>1018.0008</v>
      </c>
      <c r="CS8" s="2">
        <f t="shared" si="0"/>
        <v>27</v>
      </c>
      <c r="CT8" s="128">
        <f t="shared" si="15"/>
        <v>0.33333333333333331</v>
      </c>
    </row>
    <row r="9" spans="1:98" ht="11.25" customHeight="1" x14ac:dyDescent="0.15">
      <c r="A9" s="2" t="s">
        <v>47</v>
      </c>
      <c r="B9" s="2" t="s">
        <v>48</v>
      </c>
      <c r="C9" s="2" t="s">
        <v>274</v>
      </c>
      <c r="D9" s="2" t="s">
        <v>562</v>
      </c>
      <c r="E9" s="2" t="s">
        <v>294</v>
      </c>
      <c r="F9" s="2" t="s">
        <v>582</v>
      </c>
      <c r="H9" s="2" t="s">
        <v>602</v>
      </c>
      <c r="I9" s="2" t="s">
        <v>313</v>
      </c>
      <c r="K9" s="2" t="s">
        <v>637</v>
      </c>
      <c r="M9" s="60"/>
      <c r="O9" s="2" t="s">
        <v>332</v>
      </c>
      <c r="P9" s="2" t="s">
        <v>687</v>
      </c>
      <c r="Q9" s="2" t="s">
        <v>355</v>
      </c>
      <c r="R9" s="2" t="s">
        <v>540</v>
      </c>
      <c r="S9" s="2" t="s">
        <v>373</v>
      </c>
      <c r="T9" s="2" t="s">
        <v>721</v>
      </c>
      <c r="X9" s="2" t="s">
        <v>739</v>
      </c>
      <c r="Z9" s="2" t="s">
        <v>771</v>
      </c>
      <c r="AA9" s="2" t="s">
        <v>412</v>
      </c>
      <c r="AB9" s="2" t="s">
        <v>784</v>
      </c>
      <c r="AC9" s="2" t="s">
        <v>415</v>
      </c>
      <c r="AE9" s="2" t="s">
        <v>441</v>
      </c>
      <c r="AF9" s="2" t="s">
        <v>808</v>
      </c>
      <c r="AG9" s="2" t="s">
        <v>456</v>
      </c>
      <c r="AI9" s="2" t="s">
        <v>477</v>
      </c>
      <c r="AK9" s="2" t="s">
        <v>493</v>
      </c>
      <c r="AL9" s="2" t="s">
        <v>842</v>
      </c>
      <c r="AM9" s="2" t="s">
        <v>512</v>
      </c>
      <c r="AO9" s="2" t="s">
        <v>527</v>
      </c>
      <c r="AR9" s="2" t="s">
        <v>871</v>
      </c>
      <c r="CE9" s="55">
        <f t="shared" si="1"/>
        <v>27</v>
      </c>
      <c r="CF9" s="55">
        <f t="shared" si="2"/>
        <v>1140</v>
      </c>
      <c r="CG9" s="57">
        <f t="shared" si="3"/>
        <v>190</v>
      </c>
      <c r="CH9" s="55">
        <f t="shared" si="4"/>
        <v>38</v>
      </c>
      <c r="CI9" s="55">
        <f t="shared" si="5"/>
        <v>620</v>
      </c>
      <c r="CJ9" s="55">
        <f t="shared" si="6"/>
        <v>40</v>
      </c>
      <c r="CK9" s="58">
        <f t="shared" si="7"/>
        <v>15.5</v>
      </c>
      <c r="CL9" s="59">
        <f t="shared" si="8"/>
        <v>28.5</v>
      </c>
      <c r="CM9" s="59">
        <f t="shared" si="9"/>
        <v>3.263157894736842</v>
      </c>
      <c r="CN9" s="49" t="str">
        <f t="shared" si="10"/>
        <v>4-23</v>
      </c>
      <c r="CO9" s="55">
        <f t="shared" si="11"/>
        <v>553</v>
      </c>
      <c r="CP9" s="55">
        <f t="shared" si="12"/>
        <v>1</v>
      </c>
      <c r="CQ9" s="55">
        <f t="shared" si="13"/>
        <v>0</v>
      </c>
      <c r="CR9" s="60">
        <f t="shared" si="14"/>
        <v>15.5009</v>
      </c>
      <c r="CS9" s="2">
        <f t="shared" si="0"/>
        <v>4</v>
      </c>
      <c r="CT9" s="128">
        <f t="shared" si="15"/>
        <v>0.2</v>
      </c>
    </row>
    <row r="10" spans="1:98" ht="11.25" customHeight="1" x14ac:dyDescent="0.15">
      <c r="B10" s="2" t="s">
        <v>252</v>
      </c>
      <c r="M10" s="60"/>
      <c r="AH10" s="2" t="s">
        <v>826</v>
      </c>
      <c r="AJ10" s="2" t="s">
        <v>847</v>
      </c>
      <c r="CE10" s="55">
        <f t="shared" si="1"/>
        <v>2</v>
      </c>
      <c r="CF10" s="55">
        <f t="shared" si="2"/>
        <v>54</v>
      </c>
      <c r="CG10" s="57">
        <f t="shared" si="3"/>
        <v>9</v>
      </c>
      <c r="CH10" s="55">
        <f t="shared" si="4"/>
        <v>0</v>
      </c>
      <c r="CI10" s="55">
        <f t="shared" si="5"/>
        <v>51</v>
      </c>
      <c r="CJ10" s="55">
        <f t="shared" si="6"/>
        <v>1</v>
      </c>
      <c r="CK10" s="58">
        <f t="shared" si="7"/>
        <v>51</v>
      </c>
      <c r="CL10" s="59">
        <f t="shared" si="8"/>
        <v>54</v>
      </c>
      <c r="CM10" s="59">
        <f t="shared" si="9"/>
        <v>5.666666666666667</v>
      </c>
      <c r="CN10" s="49" t="str">
        <f t="shared" si="10"/>
        <v>1-21</v>
      </c>
      <c r="CO10" s="55">
        <f t="shared" si="11"/>
        <v>0</v>
      </c>
      <c r="CP10" s="55">
        <f t="shared" si="12"/>
        <v>4</v>
      </c>
      <c r="CQ10" s="55">
        <f t="shared" si="13"/>
        <v>3</v>
      </c>
      <c r="CR10" s="60">
        <f t="shared" si="14"/>
        <v>51.000999999999998</v>
      </c>
      <c r="CS10" s="2">
        <f t="shared" si="0"/>
        <v>23</v>
      </c>
      <c r="CT10" s="128">
        <f t="shared" si="15"/>
        <v>0</v>
      </c>
    </row>
    <row r="11" spans="1:98" ht="11.25" customHeight="1" x14ac:dyDescent="0.15">
      <c r="B11" s="2" t="s">
        <v>867</v>
      </c>
      <c r="M11" s="60"/>
      <c r="AR11" s="2" t="s">
        <v>872</v>
      </c>
      <c r="CE11" s="55">
        <f t="shared" si="1"/>
        <v>1</v>
      </c>
      <c r="CF11" s="55">
        <f t="shared" si="2"/>
        <v>30</v>
      </c>
      <c r="CG11" s="57">
        <f t="shared" si="3"/>
        <v>5</v>
      </c>
      <c r="CH11" s="55">
        <f t="shared" si="4"/>
        <v>1</v>
      </c>
      <c r="CI11" s="55">
        <f t="shared" si="5"/>
        <v>21</v>
      </c>
      <c r="CJ11" s="55">
        <f t="shared" si="6"/>
        <v>1</v>
      </c>
      <c r="CK11" s="58">
        <f t="shared" si="7"/>
        <v>21</v>
      </c>
      <c r="CL11" s="59">
        <f t="shared" si="8"/>
        <v>30</v>
      </c>
      <c r="CM11" s="59">
        <f t="shared" si="9"/>
        <v>4.2</v>
      </c>
      <c r="CN11" s="49" t="str">
        <f t="shared" si="10"/>
        <v>1-21</v>
      </c>
      <c r="CO11" s="55">
        <f t="shared" si="11"/>
        <v>11</v>
      </c>
      <c r="CP11" s="55">
        <f t="shared" si="12"/>
        <v>4</v>
      </c>
      <c r="CQ11" s="55">
        <f t="shared" si="13"/>
        <v>0</v>
      </c>
      <c r="CR11" s="60">
        <f t="shared" si="14"/>
        <v>21.001100000000001</v>
      </c>
      <c r="CS11" s="2">
        <f t="shared" si="0"/>
        <v>11</v>
      </c>
      <c r="CT11" s="128">
        <f t="shared" si="15"/>
        <v>0.2</v>
      </c>
    </row>
    <row r="12" spans="1:98" ht="11.25" customHeight="1" x14ac:dyDescent="0.15">
      <c r="B12" s="2" t="s">
        <v>247</v>
      </c>
      <c r="AG12" s="2" t="s">
        <v>459</v>
      </c>
      <c r="CE12" s="55">
        <f t="shared" si="1"/>
        <v>1</v>
      </c>
      <c r="CF12" s="55">
        <f t="shared" si="2"/>
        <v>30</v>
      </c>
      <c r="CG12" s="57">
        <f t="shared" si="3"/>
        <v>5</v>
      </c>
      <c r="CH12" s="55">
        <f t="shared" si="4"/>
        <v>0</v>
      </c>
      <c r="CI12" s="55">
        <f t="shared" si="5"/>
        <v>40</v>
      </c>
      <c r="CJ12" s="55">
        <f t="shared" si="6"/>
        <v>0</v>
      </c>
      <c r="CK12" s="58" t="str">
        <f t="shared" si="7"/>
        <v/>
      </c>
      <c r="CL12" s="59" t="str">
        <f t="shared" si="8"/>
        <v/>
      </c>
      <c r="CM12" s="59">
        <f t="shared" si="9"/>
        <v>8</v>
      </c>
      <c r="CN12" s="49" t="str">
        <f t="shared" si="10"/>
        <v>0-40</v>
      </c>
      <c r="CO12" s="55">
        <f t="shared" si="11"/>
        <v>-5</v>
      </c>
      <c r="CP12" s="55">
        <f t="shared" si="12"/>
        <v>0</v>
      </c>
      <c r="CQ12" s="55">
        <f t="shared" si="13"/>
        <v>0</v>
      </c>
      <c r="CR12" s="60">
        <f t="shared" si="14"/>
        <v>1030.0011999999999</v>
      </c>
      <c r="CS12" s="2">
        <f t="shared" si="0"/>
        <v>29</v>
      </c>
      <c r="CT12" s="128">
        <f t="shared" si="15"/>
        <v>0</v>
      </c>
    </row>
    <row r="13" spans="1:98" ht="11.25" customHeight="1" x14ac:dyDescent="0.15">
      <c r="A13" s="2" t="s">
        <v>50</v>
      </c>
      <c r="B13" s="2" t="s">
        <v>162</v>
      </c>
      <c r="N13" s="2" t="s">
        <v>673</v>
      </c>
      <c r="P13" s="2" t="s">
        <v>686</v>
      </c>
      <c r="R13" s="2" t="s">
        <v>704</v>
      </c>
      <c r="T13" s="2" t="s">
        <v>722</v>
      </c>
      <c r="V13" s="2" t="s">
        <v>737</v>
      </c>
      <c r="W13" s="2" t="s">
        <v>390</v>
      </c>
      <c r="Z13" s="2" t="s">
        <v>772</v>
      </c>
      <c r="AB13" s="2" t="s">
        <v>784</v>
      </c>
      <c r="AH13" s="2" t="s">
        <v>822</v>
      </c>
      <c r="AJ13" s="2" t="s">
        <v>848</v>
      </c>
      <c r="AL13" s="2" t="s">
        <v>840</v>
      </c>
      <c r="AM13" s="2" t="s">
        <v>510</v>
      </c>
      <c r="CE13" s="55">
        <f t="shared" si="1"/>
        <v>12</v>
      </c>
      <c r="CF13" s="55">
        <f t="shared" si="2"/>
        <v>476</v>
      </c>
      <c r="CG13" s="57">
        <f t="shared" si="3"/>
        <v>79.2</v>
      </c>
      <c r="CH13" s="55">
        <f t="shared" si="4"/>
        <v>5</v>
      </c>
      <c r="CI13" s="55">
        <f t="shared" si="5"/>
        <v>370</v>
      </c>
      <c r="CJ13" s="55">
        <f t="shared" si="6"/>
        <v>16</v>
      </c>
      <c r="CK13" s="58">
        <f t="shared" si="7"/>
        <v>23.125</v>
      </c>
      <c r="CL13" s="59">
        <f t="shared" si="8"/>
        <v>29.75</v>
      </c>
      <c r="CM13" s="59">
        <f t="shared" si="9"/>
        <v>4.6638655462184877</v>
      </c>
      <c r="CN13" s="49" t="str">
        <f t="shared" si="10"/>
        <v>4-30</v>
      </c>
      <c r="CO13" s="55">
        <f t="shared" si="11"/>
        <v>180</v>
      </c>
      <c r="CP13" s="55">
        <f t="shared" si="12"/>
        <v>18</v>
      </c>
      <c r="CQ13" s="55">
        <f t="shared" si="13"/>
        <v>0</v>
      </c>
      <c r="CR13" s="60">
        <f t="shared" si="14"/>
        <v>23.126300000000001</v>
      </c>
      <c r="CS13" s="2">
        <f t="shared" si="0"/>
        <v>13</v>
      </c>
      <c r="CT13" s="128">
        <f t="shared" si="15"/>
        <v>6.3025210084033612E-2</v>
      </c>
    </row>
    <row r="14" spans="1:98" ht="11.25" customHeight="1" x14ac:dyDescent="0.15">
      <c r="B14" s="2" t="s">
        <v>478</v>
      </c>
      <c r="AF14" s="2" t="s">
        <v>804</v>
      </c>
      <c r="AI14" s="2" t="s">
        <v>479</v>
      </c>
      <c r="AM14" s="2" t="s">
        <v>511</v>
      </c>
      <c r="AS14" s="2" t="s">
        <v>541</v>
      </c>
      <c r="CE14" s="55">
        <f t="shared" si="1"/>
        <v>4</v>
      </c>
      <c r="CF14" s="55">
        <f t="shared" si="2"/>
        <v>138</v>
      </c>
      <c r="CG14" s="57">
        <f t="shared" si="3"/>
        <v>23</v>
      </c>
      <c r="CH14" s="55">
        <f t="shared" si="4"/>
        <v>2</v>
      </c>
      <c r="CI14" s="55">
        <f t="shared" si="5"/>
        <v>77</v>
      </c>
      <c r="CJ14" s="55">
        <f t="shared" si="6"/>
        <v>7</v>
      </c>
      <c r="CK14" s="58">
        <f t="shared" si="7"/>
        <v>11</v>
      </c>
      <c r="CL14" s="59">
        <f t="shared" si="8"/>
        <v>19.714285714285715</v>
      </c>
      <c r="CM14" s="59">
        <f t="shared" si="9"/>
        <v>3.347826086956522</v>
      </c>
      <c r="CN14" s="49" t="str">
        <f t="shared" si="10"/>
        <v>5-39</v>
      </c>
      <c r="CO14" s="55">
        <f t="shared" si="11"/>
        <v>102</v>
      </c>
      <c r="CP14" s="55">
        <f t="shared" si="12"/>
        <v>4</v>
      </c>
      <c r="CQ14" s="55">
        <f t="shared" si="13"/>
        <v>0</v>
      </c>
      <c r="CR14" s="60">
        <f t="shared" si="14"/>
        <v>11.0014</v>
      </c>
      <c r="CS14" s="2">
        <f t="shared" si="0"/>
        <v>3</v>
      </c>
      <c r="CT14" s="128">
        <f t="shared" si="15"/>
        <v>8.6956521739130432E-2</v>
      </c>
    </row>
    <row r="15" spans="1:98" ht="11.25" customHeight="1" x14ac:dyDescent="0.15">
      <c r="B15" s="2" t="s">
        <v>248</v>
      </c>
      <c r="C15" s="2" t="s">
        <v>269</v>
      </c>
      <c r="D15" s="2" t="s">
        <v>561</v>
      </c>
      <c r="E15" s="2" t="s">
        <v>293</v>
      </c>
      <c r="F15" s="2" t="s">
        <v>581</v>
      </c>
      <c r="H15" s="2" t="s">
        <v>601</v>
      </c>
      <c r="I15" s="2" t="s">
        <v>311</v>
      </c>
      <c r="J15" s="2" t="s">
        <v>616</v>
      </c>
      <c r="K15" s="2" t="s">
        <v>640</v>
      </c>
      <c r="L15" s="2" t="s">
        <v>655</v>
      </c>
      <c r="N15" s="2" t="s">
        <v>672</v>
      </c>
      <c r="O15" s="2" t="s">
        <v>338</v>
      </c>
      <c r="P15" s="2" t="s">
        <v>688</v>
      </c>
      <c r="Q15" s="2" t="s">
        <v>353</v>
      </c>
      <c r="R15" s="2" t="s">
        <v>702</v>
      </c>
      <c r="S15" s="2" t="s">
        <v>372</v>
      </c>
      <c r="T15" s="2" t="s">
        <v>720</v>
      </c>
      <c r="V15" s="2" t="s">
        <v>736</v>
      </c>
      <c r="W15" s="2" t="s">
        <v>386</v>
      </c>
      <c r="Z15" s="2" t="s">
        <v>773</v>
      </c>
      <c r="AA15" s="2" t="s">
        <v>408</v>
      </c>
      <c r="AB15" s="2" t="s">
        <v>782</v>
      </c>
      <c r="AE15" s="2" t="s">
        <v>439</v>
      </c>
      <c r="AF15" s="2" t="s">
        <v>805</v>
      </c>
      <c r="AK15" s="2" t="s">
        <v>492</v>
      </c>
      <c r="AL15" s="2" t="s">
        <v>837</v>
      </c>
      <c r="AM15" s="2" t="s">
        <v>508</v>
      </c>
      <c r="AO15" s="2" t="s">
        <v>525</v>
      </c>
      <c r="AR15" s="2" t="s">
        <v>869</v>
      </c>
      <c r="AS15" s="2" t="s">
        <v>542</v>
      </c>
      <c r="CE15" s="55">
        <f t="shared" si="1"/>
        <v>29</v>
      </c>
      <c r="CF15" s="55">
        <f t="shared" si="2"/>
        <v>1420</v>
      </c>
      <c r="CG15" s="57">
        <f t="shared" si="3"/>
        <v>236.4</v>
      </c>
      <c r="CH15" s="55">
        <f t="shared" si="4"/>
        <v>40</v>
      </c>
      <c r="CI15" s="55">
        <f t="shared" si="5"/>
        <v>825</v>
      </c>
      <c r="CJ15" s="55">
        <f t="shared" si="6"/>
        <v>50</v>
      </c>
      <c r="CK15" s="58">
        <f t="shared" si="7"/>
        <v>16.5</v>
      </c>
      <c r="CL15" s="59">
        <f t="shared" si="8"/>
        <v>28.4</v>
      </c>
      <c r="CM15" s="59">
        <f t="shared" si="9"/>
        <v>3.4859154929577465</v>
      </c>
      <c r="CN15" s="49" t="str">
        <f t="shared" si="10"/>
        <v>4-17</v>
      </c>
      <c r="CO15" s="55">
        <f t="shared" si="11"/>
        <v>650</v>
      </c>
      <c r="CP15" s="55">
        <f t="shared" si="12"/>
        <v>114</v>
      </c>
      <c r="CQ15" s="55">
        <f t="shared" si="13"/>
        <v>5</v>
      </c>
      <c r="CR15" s="60">
        <f t="shared" si="14"/>
        <v>16.5015</v>
      </c>
      <c r="CS15" s="2">
        <f t="shared" si="0"/>
        <v>6</v>
      </c>
      <c r="CT15" s="128">
        <f t="shared" si="15"/>
        <v>0.16901408450704225</v>
      </c>
    </row>
    <row r="16" spans="1:98" ht="11.25" customHeight="1" x14ac:dyDescent="0.15">
      <c r="A16" s="2" t="s">
        <v>216</v>
      </c>
      <c r="B16" s="2" t="s">
        <v>184</v>
      </c>
      <c r="CE16" s="55">
        <f t="shared" si="1"/>
        <v>0</v>
      </c>
      <c r="CF16" s="55">
        <f t="shared" si="2"/>
        <v>0</v>
      </c>
      <c r="CG16" s="57">
        <f t="shared" si="3"/>
        <v>0</v>
      </c>
      <c r="CH16" s="55">
        <f t="shared" si="4"/>
        <v>0</v>
      </c>
      <c r="CI16" s="55">
        <f t="shared" si="5"/>
        <v>0</v>
      </c>
      <c r="CJ16" s="55">
        <f t="shared" si="6"/>
        <v>0</v>
      </c>
      <c r="CK16" s="58" t="str">
        <f t="shared" si="7"/>
        <v/>
      </c>
      <c r="CL16" s="59" t="str">
        <f t="shared" si="8"/>
        <v/>
      </c>
      <c r="CM16" s="59" t="str">
        <f t="shared" si="9"/>
        <v/>
      </c>
      <c r="CN16" s="49" t="str">
        <f t="shared" si="10"/>
        <v/>
      </c>
      <c r="CO16" s="55">
        <f t="shared" si="11"/>
        <v>0</v>
      </c>
      <c r="CP16" s="55">
        <f t="shared" si="12"/>
        <v>0</v>
      </c>
      <c r="CQ16" s="55">
        <f t="shared" si="13"/>
        <v>0</v>
      </c>
      <c r="CR16" s="60">
        <f t="shared" si="14"/>
        <v>99999.001600000003</v>
      </c>
      <c r="CS16" s="2">
        <f t="shared" si="0"/>
        <v>30</v>
      </c>
      <c r="CT16" s="128" t="e">
        <f t="shared" si="15"/>
        <v>#DIV/0!</v>
      </c>
    </row>
    <row r="17" spans="1:98" ht="11.25" customHeight="1" x14ac:dyDescent="0.15">
      <c r="B17" s="2" t="s">
        <v>787</v>
      </c>
      <c r="AB17" s="2" t="s">
        <v>788</v>
      </c>
      <c r="CE17" s="55">
        <f t="shared" si="1"/>
        <v>1</v>
      </c>
      <c r="CF17" s="55">
        <f t="shared" si="2"/>
        <v>18</v>
      </c>
      <c r="CG17" s="57">
        <f t="shared" si="3"/>
        <v>3</v>
      </c>
      <c r="CH17" s="55">
        <f t="shared" si="4"/>
        <v>0</v>
      </c>
      <c r="CI17" s="55">
        <f t="shared" si="5"/>
        <v>11</v>
      </c>
      <c r="CJ17" s="55">
        <f t="shared" si="6"/>
        <v>0</v>
      </c>
      <c r="CK17" s="58" t="str">
        <f t="shared" si="7"/>
        <v/>
      </c>
      <c r="CL17" s="59" t="str">
        <f t="shared" si="8"/>
        <v/>
      </c>
      <c r="CM17" s="59">
        <f t="shared" si="9"/>
        <v>3.6666666666666665</v>
      </c>
      <c r="CN17" s="49" t="str">
        <f t="shared" si="10"/>
        <v>0-11</v>
      </c>
      <c r="CO17" s="55">
        <f t="shared" si="11"/>
        <v>5</v>
      </c>
      <c r="CP17" s="55">
        <f t="shared" si="12"/>
        <v>2</v>
      </c>
      <c r="CQ17" s="55">
        <f t="shared" si="13"/>
        <v>0</v>
      </c>
      <c r="CR17" s="60">
        <f t="shared" si="14"/>
        <v>1018.0017</v>
      </c>
      <c r="CS17" s="2">
        <f t="shared" si="0"/>
        <v>28</v>
      </c>
      <c r="CT17" s="128">
        <f t="shared" si="15"/>
        <v>0</v>
      </c>
    </row>
    <row r="18" spans="1:98" ht="11.25" customHeight="1" x14ac:dyDescent="0.15">
      <c r="A18" s="2" t="s">
        <v>192</v>
      </c>
      <c r="B18" s="2" t="s">
        <v>178</v>
      </c>
      <c r="M18" s="60"/>
      <c r="CE18" s="55">
        <f t="shared" si="1"/>
        <v>0</v>
      </c>
      <c r="CF18" s="55">
        <f t="shared" si="2"/>
        <v>0</v>
      </c>
      <c r="CG18" s="57">
        <f t="shared" si="3"/>
        <v>0</v>
      </c>
      <c r="CH18" s="55">
        <f t="shared" si="4"/>
        <v>0</v>
      </c>
      <c r="CI18" s="55">
        <f t="shared" si="5"/>
        <v>0</v>
      </c>
      <c r="CJ18" s="55">
        <f t="shared" si="6"/>
        <v>0</v>
      </c>
      <c r="CK18" s="58" t="str">
        <f t="shared" si="7"/>
        <v/>
      </c>
      <c r="CL18" s="59" t="str">
        <f t="shared" si="8"/>
        <v/>
      </c>
      <c r="CM18" s="59" t="str">
        <f t="shared" si="9"/>
        <v/>
      </c>
      <c r="CN18" s="49" t="str">
        <f t="shared" si="10"/>
        <v/>
      </c>
      <c r="CO18" s="55">
        <f t="shared" si="11"/>
        <v>0</v>
      </c>
      <c r="CP18" s="55">
        <f t="shared" si="12"/>
        <v>0</v>
      </c>
      <c r="CQ18" s="55">
        <f t="shared" si="13"/>
        <v>0</v>
      </c>
      <c r="CR18" s="60">
        <f t="shared" si="14"/>
        <v>99999.001799999998</v>
      </c>
      <c r="CS18" s="2">
        <f t="shared" si="0"/>
        <v>31</v>
      </c>
      <c r="CT18" s="128" t="e">
        <f t="shared" si="15"/>
        <v>#DIV/0!</v>
      </c>
    </row>
    <row r="19" spans="1:98" ht="11.25" customHeight="1" x14ac:dyDescent="0.15">
      <c r="B19" s="2" t="s">
        <v>244</v>
      </c>
      <c r="M19" s="60"/>
      <c r="CE19" s="55">
        <f t="shared" si="1"/>
        <v>0</v>
      </c>
      <c r="CF19" s="55">
        <f t="shared" si="2"/>
        <v>0</v>
      </c>
      <c r="CG19" s="57">
        <f t="shared" si="3"/>
        <v>0</v>
      </c>
      <c r="CH19" s="55">
        <f t="shared" si="4"/>
        <v>0</v>
      </c>
      <c r="CI19" s="55">
        <f t="shared" si="5"/>
        <v>0</v>
      </c>
      <c r="CJ19" s="55">
        <f t="shared" si="6"/>
        <v>0</v>
      </c>
      <c r="CK19" s="58" t="str">
        <f t="shared" si="7"/>
        <v/>
      </c>
      <c r="CL19" s="59" t="str">
        <f t="shared" si="8"/>
        <v/>
      </c>
      <c r="CM19" s="59" t="str">
        <f t="shared" si="9"/>
        <v/>
      </c>
      <c r="CN19" s="49" t="str">
        <f t="shared" si="10"/>
        <v/>
      </c>
      <c r="CO19" s="55">
        <f t="shared" si="11"/>
        <v>0</v>
      </c>
      <c r="CP19" s="55">
        <f t="shared" si="12"/>
        <v>0</v>
      </c>
      <c r="CQ19" s="55">
        <f t="shared" si="13"/>
        <v>0</v>
      </c>
      <c r="CR19" s="60">
        <f t="shared" si="14"/>
        <v>99999.001900000003</v>
      </c>
      <c r="CS19" s="2">
        <f t="shared" si="0"/>
        <v>32</v>
      </c>
      <c r="CT19" s="128" t="e">
        <f t="shared" si="15"/>
        <v>#DIV/0!</v>
      </c>
    </row>
    <row r="20" spans="1:98" ht="11.25" customHeight="1" x14ac:dyDescent="0.15">
      <c r="A20" s="2" t="s">
        <v>51</v>
      </c>
      <c r="B20" s="2" t="s">
        <v>52</v>
      </c>
      <c r="CE20" s="55">
        <f t="shared" si="1"/>
        <v>0</v>
      </c>
      <c r="CF20" s="55">
        <f t="shared" si="2"/>
        <v>0</v>
      </c>
      <c r="CG20" s="57">
        <f t="shared" si="3"/>
        <v>0</v>
      </c>
      <c r="CH20" s="55">
        <f t="shared" si="4"/>
        <v>0</v>
      </c>
      <c r="CI20" s="55">
        <f t="shared" si="5"/>
        <v>0</v>
      </c>
      <c r="CJ20" s="55">
        <f t="shared" si="6"/>
        <v>0</v>
      </c>
      <c r="CK20" s="58" t="str">
        <f t="shared" si="7"/>
        <v/>
      </c>
      <c r="CL20" s="59" t="str">
        <f t="shared" si="8"/>
        <v/>
      </c>
      <c r="CM20" s="59" t="str">
        <f t="shared" si="9"/>
        <v/>
      </c>
      <c r="CN20" s="49" t="str">
        <f t="shared" si="10"/>
        <v/>
      </c>
      <c r="CO20" s="55">
        <f t="shared" si="11"/>
        <v>0</v>
      </c>
      <c r="CP20" s="55">
        <f t="shared" si="12"/>
        <v>0</v>
      </c>
      <c r="CQ20" s="55">
        <f t="shared" si="13"/>
        <v>0</v>
      </c>
      <c r="CR20" s="60">
        <f t="shared" si="14"/>
        <v>99999.001999999993</v>
      </c>
      <c r="CS20" s="2">
        <f t="shared" si="0"/>
        <v>33</v>
      </c>
      <c r="CT20" s="128" t="e">
        <f t="shared" si="15"/>
        <v>#DIV/0!</v>
      </c>
    </row>
    <row r="21" spans="1:98" ht="11.25" customHeight="1" x14ac:dyDescent="0.15">
      <c r="A21" s="2" t="s">
        <v>217</v>
      </c>
      <c r="B21" s="2" t="s">
        <v>212</v>
      </c>
      <c r="C21" s="2" t="s">
        <v>272</v>
      </c>
      <c r="H21" s="2" t="s">
        <v>603</v>
      </c>
      <c r="K21" s="2" t="s">
        <v>639</v>
      </c>
      <c r="N21" s="2" t="s">
        <v>675</v>
      </c>
      <c r="O21" s="2" t="s">
        <v>335</v>
      </c>
      <c r="V21" s="2" t="s">
        <v>738</v>
      </c>
      <c r="AB21" s="2" t="s">
        <v>785</v>
      </c>
      <c r="AH21" s="2" t="s">
        <v>823</v>
      </c>
      <c r="AI21" s="2" t="s">
        <v>482</v>
      </c>
      <c r="AK21" s="2" t="s">
        <v>911</v>
      </c>
      <c r="AL21" s="2" t="s">
        <v>843</v>
      </c>
      <c r="CE21" s="55">
        <f t="shared" si="1"/>
        <v>11</v>
      </c>
      <c r="CF21" s="55">
        <f t="shared" si="2"/>
        <v>279</v>
      </c>
      <c r="CG21" s="57">
        <f t="shared" si="3"/>
        <v>46.3</v>
      </c>
      <c r="CH21" s="55">
        <f t="shared" si="4"/>
        <v>3</v>
      </c>
      <c r="CI21" s="55">
        <f t="shared" si="5"/>
        <v>248</v>
      </c>
      <c r="CJ21" s="55">
        <f t="shared" si="6"/>
        <v>8</v>
      </c>
      <c r="CK21" s="58">
        <f t="shared" si="7"/>
        <v>31</v>
      </c>
      <c r="CL21" s="59">
        <f t="shared" si="8"/>
        <v>34.875</v>
      </c>
      <c r="CM21" s="59">
        <f t="shared" si="9"/>
        <v>5.333333333333333</v>
      </c>
      <c r="CN21" s="49" t="str">
        <f t="shared" si="10"/>
        <v>3-27</v>
      </c>
      <c r="CO21" s="55">
        <f t="shared" si="11"/>
        <v>68</v>
      </c>
      <c r="CP21" s="55">
        <f t="shared" si="12"/>
        <v>23</v>
      </c>
      <c r="CQ21" s="55">
        <f t="shared" si="13"/>
        <v>0</v>
      </c>
      <c r="CR21" s="60">
        <f t="shared" si="14"/>
        <v>31.002099999999999</v>
      </c>
      <c r="CS21" s="2">
        <f t="shared" si="0"/>
        <v>19</v>
      </c>
      <c r="CT21" s="128">
        <f t="shared" si="15"/>
        <v>6.4516129032258063E-2</v>
      </c>
    </row>
    <row r="22" spans="1:98" ht="11.25" customHeight="1" x14ac:dyDescent="0.15">
      <c r="A22" s="2" t="s">
        <v>147</v>
      </c>
      <c r="B22" s="2" t="s">
        <v>163</v>
      </c>
      <c r="E22" s="2" t="s">
        <v>295</v>
      </c>
      <c r="J22" s="2" t="s">
        <v>618</v>
      </c>
      <c r="Q22" s="2" t="s">
        <v>356</v>
      </c>
      <c r="T22" s="2" t="s">
        <v>723</v>
      </c>
      <c r="V22" s="2" t="s">
        <v>739</v>
      </c>
      <c r="Z22" s="2" t="s">
        <v>776</v>
      </c>
      <c r="AB22" s="2" t="s">
        <v>786</v>
      </c>
      <c r="CE22" s="55">
        <f t="shared" si="1"/>
        <v>7</v>
      </c>
      <c r="CF22" s="55">
        <f t="shared" si="2"/>
        <v>177</v>
      </c>
      <c r="CG22" s="57">
        <f t="shared" si="3"/>
        <v>29.3</v>
      </c>
      <c r="CH22" s="55">
        <f t="shared" si="4"/>
        <v>3</v>
      </c>
      <c r="CI22" s="55">
        <f t="shared" si="5"/>
        <v>137</v>
      </c>
      <c r="CJ22" s="55">
        <f t="shared" si="6"/>
        <v>5</v>
      </c>
      <c r="CK22" s="58">
        <f t="shared" si="7"/>
        <v>27.4</v>
      </c>
      <c r="CL22" s="59">
        <f t="shared" si="8"/>
        <v>35.4</v>
      </c>
      <c r="CM22" s="59">
        <f t="shared" si="9"/>
        <v>4.6440677966101696</v>
      </c>
      <c r="CN22" s="49" t="str">
        <f t="shared" si="10"/>
        <v>2-12</v>
      </c>
      <c r="CO22" s="55">
        <f t="shared" si="11"/>
        <v>53</v>
      </c>
      <c r="CP22" s="55">
        <f t="shared" si="12"/>
        <v>9</v>
      </c>
      <c r="CQ22" s="55">
        <f t="shared" si="13"/>
        <v>0</v>
      </c>
      <c r="CR22" s="60">
        <f t="shared" si="14"/>
        <v>27.402199999999997</v>
      </c>
      <c r="CS22" s="2">
        <f t="shared" si="0"/>
        <v>17</v>
      </c>
      <c r="CT22" s="128">
        <f t="shared" si="15"/>
        <v>0.10169491525423729</v>
      </c>
    </row>
    <row r="23" spans="1:98" ht="11.25" customHeight="1" x14ac:dyDescent="0.15">
      <c r="A23" s="2" t="s">
        <v>53</v>
      </c>
      <c r="B23" s="2" t="s">
        <v>54</v>
      </c>
      <c r="D23" s="2" t="s">
        <v>563</v>
      </c>
      <c r="J23" s="2" t="s">
        <v>615</v>
      </c>
      <c r="L23" s="2" t="s">
        <v>654</v>
      </c>
      <c r="P23" s="2" t="s">
        <v>685</v>
      </c>
      <c r="R23" s="2" t="s">
        <v>701</v>
      </c>
      <c r="T23" s="2" t="s">
        <v>719</v>
      </c>
      <c r="X23" s="2" t="s">
        <v>754</v>
      </c>
      <c r="AB23" s="2" t="s">
        <v>783</v>
      </c>
      <c r="AF23" s="2" t="s">
        <v>803</v>
      </c>
      <c r="AH23" s="2" t="s">
        <v>821</v>
      </c>
      <c r="AJ23" s="2" t="s">
        <v>846</v>
      </c>
      <c r="AL23" s="2" t="s">
        <v>838</v>
      </c>
      <c r="AS23" s="2" t="s">
        <v>544</v>
      </c>
      <c r="CE23" s="55">
        <f t="shared" si="1"/>
        <v>13</v>
      </c>
      <c r="CF23" s="55">
        <f t="shared" si="2"/>
        <v>624</v>
      </c>
      <c r="CG23" s="57">
        <f t="shared" si="3"/>
        <v>104</v>
      </c>
      <c r="CH23" s="55">
        <f t="shared" si="4"/>
        <v>30</v>
      </c>
      <c r="CI23" s="55">
        <f t="shared" si="5"/>
        <v>312</v>
      </c>
      <c r="CJ23" s="55">
        <f t="shared" si="6"/>
        <v>19</v>
      </c>
      <c r="CK23" s="58">
        <f t="shared" si="7"/>
        <v>16.421052631578949</v>
      </c>
      <c r="CL23" s="59">
        <f t="shared" si="8"/>
        <v>32.842105263157897</v>
      </c>
      <c r="CM23" s="59">
        <f t="shared" si="9"/>
        <v>3</v>
      </c>
      <c r="CN23" s="49" t="str">
        <f t="shared" si="10"/>
        <v>3-23</v>
      </c>
      <c r="CO23" s="55">
        <f t="shared" si="11"/>
        <v>285</v>
      </c>
      <c r="CP23" s="55">
        <f t="shared" si="12"/>
        <v>10</v>
      </c>
      <c r="CQ23" s="55">
        <f t="shared" si="13"/>
        <v>0</v>
      </c>
      <c r="CR23" s="60">
        <f t="shared" si="14"/>
        <v>16.42335263157895</v>
      </c>
      <c r="CS23" s="2">
        <f t="shared" si="0"/>
        <v>5</v>
      </c>
      <c r="CT23" s="128">
        <f t="shared" si="15"/>
        <v>0.28846153846153849</v>
      </c>
    </row>
    <row r="24" spans="1:98" ht="11.25" customHeight="1" x14ac:dyDescent="0.15">
      <c r="A24" s="2" t="s">
        <v>55</v>
      </c>
      <c r="B24" s="2" t="s">
        <v>56</v>
      </c>
      <c r="L24" s="2" t="s">
        <v>653</v>
      </c>
      <c r="M24" s="60"/>
      <c r="T24" s="2" t="s">
        <v>718</v>
      </c>
      <c r="AH24" s="2" t="s">
        <v>824</v>
      </c>
      <c r="CE24" s="55">
        <f t="shared" si="1"/>
        <v>3</v>
      </c>
      <c r="CF24" s="55">
        <f t="shared" si="2"/>
        <v>84</v>
      </c>
      <c r="CG24" s="57">
        <f t="shared" si="3"/>
        <v>14</v>
      </c>
      <c r="CH24" s="55">
        <f t="shared" si="4"/>
        <v>2</v>
      </c>
      <c r="CI24" s="55">
        <f t="shared" si="5"/>
        <v>53</v>
      </c>
      <c r="CJ24" s="55">
        <f t="shared" si="6"/>
        <v>1</v>
      </c>
      <c r="CK24" s="58">
        <f t="shared" si="7"/>
        <v>53</v>
      </c>
      <c r="CL24" s="59">
        <f t="shared" si="8"/>
        <v>84</v>
      </c>
      <c r="CM24" s="59">
        <f t="shared" si="9"/>
        <v>3.7857142857142856</v>
      </c>
      <c r="CN24" s="49" t="str">
        <f t="shared" si="10"/>
        <v>1-21</v>
      </c>
      <c r="CO24" s="55">
        <f t="shared" si="11"/>
        <v>17</v>
      </c>
      <c r="CP24" s="55">
        <f t="shared" si="12"/>
        <v>9</v>
      </c>
      <c r="CQ24" s="55">
        <f t="shared" si="13"/>
        <v>0</v>
      </c>
      <c r="CR24" s="60">
        <f t="shared" si="14"/>
        <v>53.002400000000002</v>
      </c>
      <c r="CS24" s="2">
        <f t="shared" si="0"/>
        <v>24</v>
      </c>
      <c r="CT24" s="128">
        <f t="shared" si="15"/>
        <v>0.14285714285714285</v>
      </c>
    </row>
    <row r="25" spans="1:98" ht="11.25" customHeight="1" x14ac:dyDescent="0.15">
      <c r="B25" s="2" t="s">
        <v>127</v>
      </c>
      <c r="D25" s="2" t="s">
        <v>564</v>
      </c>
      <c r="M25" s="60"/>
      <c r="AF25" s="2" t="s">
        <v>806</v>
      </c>
      <c r="AJ25" s="2" t="s">
        <v>845</v>
      </c>
      <c r="AS25" s="2" t="s">
        <v>549</v>
      </c>
      <c r="CE25" s="55">
        <f t="shared" si="1"/>
        <v>4</v>
      </c>
      <c r="CF25" s="55">
        <f t="shared" si="2"/>
        <v>106</v>
      </c>
      <c r="CG25" s="57">
        <f t="shared" si="3"/>
        <v>17.399999999999999</v>
      </c>
      <c r="CH25" s="55">
        <f t="shared" si="4"/>
        <v>4</v>
      </c>
      <c r="CI25" s="55">
        <f t="shared" si="5"/>
        <v>57</v>
      </c>
      <c r="CJ25" s="55">
        <f t="shared" si="6"/>
        <v>11</v>
      </c>
      <c r="CK25" s="58">
        <f t="shared" si="7"/>
        <v>5.1818181818181817</v>
      </c>
      <c r="CL25" s="59">
        <f t="shared" si="8"/>
        <v>9.6363636363636367</v>
      </c>
      <c r="CM25" s="59">
        <f t="shared" si="9"/>
        <v>3.2264150943396226</v>
      </c>
      <c r="CN25" s="49" t="str">
        <f t="shared" si="10"/>
        <v>5-28</v>
      </c>
      <c r="CO25" s="55">
        <f t="shared" si="11"/>
        <v>144</v>
      </c>
      <c r="CP25" s="55">
        <f t="shared" si="12"/>
        <v>0</v>
      </c>
      <c r="CQ25" s="55">
        <f t="shared" si="13"/>
        <v>0</v>
      </c>
      <c r="CR25" s="60">
        <f t="shared" si="14"/>
        <v>5.184318181818182</v>
      </c>
      <c r="CS25" s="2">
        <f t="shared" si="0"/>
        <v>1</v>
      </c>
      <c r="CT25" s="128">
        <f t="shared" si="15"/>
        <v>0.22641509433962265</v>
      </c>
    </row>
    <row r="26" spans="1:98" ht="11.25" customHeight="1" x14ac:dyDescent="0.15">
      <c r="B26" s="2" t="s">
        <v>864</v>
      </c>
      <c r="M26" s="60"/>
      <c r="AR26" s="2" t="s">
        <v>874</v>
      </c>
      <c r="CE26" s="55">
        <f t="shared" si="1"/>
        <v>1</v>
      </c>
      <c r="CF26" s="55">
        <f t="shared" si="2"/>
        <v>24</v>
      </c>
      <c r="CG26" s="57">
        <f t="shared" si="3"/>
        <v>4</v>
      </c>
      <c r="CH26" s="55">
        <f t="shared" si="4"/>
        <v>0</v>
      </c>
      <c r="CI26" s="55">
        <f t="shared" si="5"/>
        <v>33</v>
      </c>
      <c r="CJ26" s="55">
        <f t="shared" si="6"/>
        <v>1</v>
      </c>
      <c r="CK26" s="58">
        <f t="shared" si="7"/>
        <v>33</v>
      </c>
      <c r="CL26" s="59">
        <f t="shared" si="8"/>
        <v>24</v>
      </c>
      <c r="CM26" s="59">
        <f t="shared" si="9"/>
        <v>8.25</v>
      </c>
      <c r="CN26" s="49" t="str">
        <f t="shared" si="10"/>
        <v>1-33</v>
      </c>
      <c r="CO26" s="55">
        <f t="shared" si="11"/>
        <v>5</v>
      </c>
      <c r="CP26" s="55">
        <f t="shared" si="12"/>
        <v>0</v>
      </c>
      <c r="CQ26" s="55">
        <f t="shared" si="13"/>
        <v>0</v>
      </c>
      <c r="CR26" s="60">
        <f t="shared" si="14"/>
        <v>33.002600000000001</v>
      </c>
      <c r="CS26" s="2">
        <f t="shared" si="0"/>
        <v>20</v>
      </c>
      <c r="CT26" s="128">
        <f t="shared" si="15"/>
        <v>0</v>
      </c>
    </row>
    <row r="27" spans="1:98" ht="11.25" customHeight="1" x14ac:dyDescent="0.15">
      <c r="A27" s="2" t="s">
        <v>57</v>
      </c>
      <c r="B27" s="2" t="s">
        <v>58</v>
      </c>
      <c r="CE27" s="55">
        <f t="shared" si="1"/>
        <v>0</v>
      </c>
      <c r="CF27" s="55">
        <f t="shared" si="2"/>
        <v>0</v>
      </c>
      <c r="CG27" s="57">
        <f t="shared" si="3"/>
        <v>0</v>
      </c>
      <c r="CH27" s="55">
        <f t="shared" si="4"/>
        <v>0</v>
      </c>
      <c r="CI27" s="55">
        <f t="shared" si="5"/>
        <v>0</v>
      </c>
      <c r="CJ27" s="55">
        <f t="shared" si="6"/>
        <v>0</v>
      </c>
      <c r="CK27" s="58" t="str">
        <f t="shared" si="7"/>
        <v/>
      </c>
      <c r="CL27" s="59" t="str">
        <f t="shared" si="8"/>
        <v/>
      </c>
      <c r="CM27" s="59" t="str">
        <f t="shared" si="9"/>
        <v/>
      </c>
      <c r="CN27" s="49" t="str">
        <f t="shared" si="10"/>
        <v/>
      </c>
      <c r="CO27" s="55">
        <f t="shared" si="11"/>
        <v>0</v>
      </c>
      <c r="CP27" s="55">
        <f t="shared" si="12"/>
        <v>0</v>
      </c>
      <c r="CQ27" s="55">
        <f t="shared" si="13"/>
        <v>0</v>
      </c>
      <c r="CR27" s="60">
        <f t="shared" si="14"/>
        <v>99999.002699999997</v>
      </c>
      <c r="CS27" s="2">
        <f t="shared" si="0"/>
        <v>34</v>
      </c>
      <c r="CT27" s="128" t="e">
        <f t="shared" si="15"/>
        <v>#DIV/0!</v>
      </c>
    </row>
    <row r="28" spans="1:98" ht="11.25" customHeight="1" x14ac:dyDescent="0.15">
      <c r="B28" s="2" t="s">
        <v>229</v>
      </c>
      <c r="C28" s="2" t="s">
        <v>270</v>
      </c>
      <c r="D28" s="2" t="s">
        <v>565</v>
      </c>
      <c r="I28" s="2" t="s">
        <v>314</v>
      </c>
      <c r="N28" s="2" t="s">
        <v>671</v>
      </c>
      <c r="O28" s="2" t="s">
        <v>337</v>
      </c>
      <c r="P28" s="2" t="s">
        <v>690</v>
      </c>
      <c r="Q28" s="2" t="s">
        <v>358</v>
      </c>
      <c r="S28" s="2" t="s">
        <v>374</v>
      </c>
      <c r="Z28" s="2" t="s">
        <v>774</v>
      </c>
      <c r="AH28" s="2" t="s">
        <v>825</v>
      </c>
      <c r="CE28" s="55">
        <f t="shared" si="1"/>
        <v>10</v>
      </c>
      <c r="CF28" s="55">
        <f t="shared" si="2"/>
        <v>258</v>
      </c>
      <c r="CG28" s="57">
        <f t="shared" si="3"/>
        <v>43</v>
      </c>
      <c r="CH28" s="55">
        <f t="shared" si="4"/>
        <v>5</v>
      </c>
      <c r="CI28" s="55">
        <f t="shared" si="5"/>
        <v>151</v>
      </c>
      <c r="CJ28" s="55">
        <f t="shared" si="6"/>
        <v>7</v>
      </c>
      <c r="CK28" s="58">
        <f t="shared" si="7"/>
        <v>21.571428571428573</v>
      </c>
      <c r="CL28" s="59">
        <f t="shared" si="8"/>
        <v>36.857142857142854</v>
      </c>
      <c r="CM28" s="59">
        <f t="shared" si="9"/>
        <v>3.5116279069767442</v>
      </c>
      <c r="CN28" s="49" t="str">
        <f t="shared" si="10"/>
        <v>3-29</v>
      </c>
      <c r="CO28" s="55">
        <f t="shared" si="11"/>
        <v>85</v>
      </c>
      <c r="CP28" s="55">
        <f t="shared" si="12"/>
        <v>16</v>
      </c>
      <c r="CQ28" s="55">
        <f t="shared" si="13"/>
        <v>1</v>
      </c>
      <c r="CR28" s="60">
        <f t="shared" si="14"/>
        <v>21.574228571428574</v>
      </c>
      <c r="CS28" s="2">
        <f t="shared" si="0"/>
        <v>12</v>
      </c>
      <c r="CT28" s="128">
        <f t="shared" si="15"/>
        <v>0.11627906976744186</v>
      </c>
    </row>
    <row r="29" spans="1:98" ht="11.25" customHeight="1" x14ac:dyDescent="0.15">
      <c r="B29" s="2" t="s">
        <v>253</v>
      </c>
      <c r="J29" s="2" t="s">
        <v>617</v>
      </c>
      <c r="CE29" s="55">
        <f t="shared" si="1"/>
        <v>1</v>
      </c>
      <c r="CF29" s="55">
        <f t="shared" si="2"/>
        <v>30</v>
      </c>
      <c r="CG29" s="57">
        <f t="shared" si="3"/>
        <v>5</v>
      </c>
      <c r="CH29" s="55">
        <f t="shared" si="4"/>
        <v>1</v>
      </c>
      <c r="CI29" s="55">
        <f t="shared" si="5"/>
        <v>18</v>
      </c>
      <c r="CJ29" s="55">
        <f t="shared" si="6"/>
        <v>1</v>
      </c>
      <c r="CK29" s="58">
        <f t="shared" si="7"/>
        <v>18</v>
      </c>
      <c r="CL29" s="59">
        <f t="shared" si="8"/>
        <v>30</v>
      </c>
      <c r="CM29" s="59">
        <f t="shared" si="9"/>
        <v>3.6</v>
      </c>
      <c r="CN29" s="49" t="str">
        <f t="shared" si="10"/>
        <v>1-18</v>
      </c>
      <c r="CO29" s="55">
        <f t="shared" si="11"/>
        <v>16</v>
      </c>
      <c r="CP29" s="55">
        <f t="shared" si="12"/>
        <v>2</v>
      </c>
      <c r="CQ29" s="55">
        <f t="shared" si="13"/>
        <v>0</v>
      </c>
      <c r="CR29" s="60">
        <f t="shared" si="14"/>
        <v>18.0029</v>
      </c>
      <c r="CS29" s="2">
        <f t="shared" si="0"/>
        <v>7</v>
      </c>
      <c r="CT29" s="128">
        <f t="shared" si="15"/>
        <v>0.2</v>
      </c>
    </row>
    <row r="30" spans="1:98" ht="11.25" customHeight="1" x14ac:dyDescent="0.15">
      <c r="B30" s="2" t="s">
        <v>186</v>
      </c>
      <c r="J30" s="2" t="s">
        <v>619</v>
      </c>
      <c r="CE30" s="55">
        <f t="shared" si="1"/>
        <v>1</v>
      </c>
      <c r="CF30" s="55">
        <f t="shared" si="2"/>
        <v>12</v>
      </c>
      <c r="CG30" s="57">
        <f t="shared" si="3"/>
        <v>2</v>
      </c>
      <c r="CH30" s="55">
        <f t="shared" si="4"/>
        <v>0</v>
      </c>
      <c r="CI30" s="55">
        <f t="shared" si="5"/>
        <v>18</v>
      </c>
      <c r="CJ30" s="55">
        <f t="shared" si="6"/>
        <v>1</v>
      </c>
      <c r="CK30" s="58">
        <f t="shared" si="7"/>
        <v>18</v>
      </c>
      <c r="CL30" s="59">
        <f t="shared" si="8"/>
        <v>12</v>
      </c>
      <c r="CM30" s="59">
        <f t="shared" si="9"/>
        <v>9</v>
      </c>
      <c r="CN30" s="49" t="str">
        <f t="shared" si="10"/>
        <v>1-18</v>
      </c>
      <c r="CO30" s="55">
        <f t="shared" si="11"/>
        <v>5</v>
      </c>
      <c r="CP30" s="55">
        <f t="shared" si="12"/>
        <v>0</v>
      </c>
      <c r="CQ30" s="55">
        <f t="shared" si="13"/>
        <v>1</v>
      </c>
      <c r="CR30" s="60">
        <f t="shared" si="14"/>
        <v>18.003</v>
      </c>
      <c r="CS30" s="2">
        <f t="shared" si="0"/>
        <v>8</v>
      </c>
      <c r="CT30" s="128">
        <f t="shared" si="15"/>
        <v>0</v>
      </c>
    </row>
    <row r="31" spans="1:98" ht="11.25" customHeight="1" x14ac:dyDescent="0.15">
      <c r="B31" s="2" t="s">
        <v>861</v>
      </c>
      <c r="AR31" s="2" t="s">
        <v>875</v>
      </c>
      <c r="CE31" s="55">
        <f t="shared" si="1"/>
        <v>1</v>
      </c>
      <c r="CF31" s="55">
        <f t="shared" si="2"/>
        <v>6</v>
      </c>
      <c r="CG31" s="57">
        <f t="shared" si="3"/>
        <v>1</v>
      </c>
      <c r="CH31" s="55">
        <f t="shared" si="4"/>
        <v>0</v>
      </c>
      <c r="CI31" s="55">
        <f t="shared" si="5"/>
        <v>15</v>
      </c>
      <c r="CJ31" s="55">
        <f t="shared" si="6"/>
        <v>0</v>
      </c>
      <c r="CK31" s="58" t="str">
        <f t="shared" si="7"/>
        <v/>
      </c>
      <c r="CL31" s="59" t="str">
        <f t="shared" si="8"/>
        <v/>
      </c>
      <c r="CM31" s="59">
        <f t="shared" si="9"/>
        <v>15</v>
      </c>
      <c r="CN31" s="49" t="str">
        <f t="shared" si="10"/>
        <v>0-15</v>
      </c>
      <c r="CO31" s="55">
        <f t="shared" si="11"/>
        <v>-5</v>
      </c>
      <c r="CP31" s="55">
        <f t="shared" si="12"/>
        <v>1</v>
      </c>
      <c r="CQ31" s="55">
        <f t="shared" si="13"/>
        <v>0</v>
      </c>
      <c r="CR31" s="60">
        <f t="shared" si="14"/>
        <v>1006.0031</v>
      </c>
      <c r="CS31" s="2">
        <f t="shared" si="0"/>
        <v>25</v>
      </c>
      <c r="CT31" s="128">
        <f t="shared" si="15"/>
        <v>0</v>
      </c>
    </row>
    <row r="32" spans="1:98" ht="11.25" customHeight="1" x14ac:dyDescent="0.15">
      <c r="A32" s="2" t="s">
        <v>84</v>
      </c>
      <c r="B32" s="2" t="s">
        <v>164</v>
      </c>
      <c r="M32" s="60"/>
      <c r="CE32" s="55">
        <f t="shared" si="1"/>
        <v>0</v>
      </c>
      <c r="CF32" s="55">
        <f t="shared" si="2"/>
        <v>0</v>
      </c>
      <c r="CG32" s="57">
        <f t="shared" si="3"/>
        <v>0</v>
      </c>
      <c r="CH32" s="55">
        <f t="shared" si="4"/>
        <v>0</v>
      </c>
      <c r="CI32" s="55">
        <f t="shared" si="5"/>
        <v>0</v>
      </c>
      <c r="CJ32" s="55">
        <f t="shared" si="6"/>
        <v>0</v>
      </c>
      <c r="CK32" s="58" t="str">
        <f t="shared" si="7"/>
        <v/>
      </c>
      <c r="CL32" s="59" t="str">
        <f t="shared" si="8"/>
        <v/>
      </c>
      <c r="CM32" s="59" t="str">
        <f t="shared" si="9"/>
        <v/>
      </c>
      <c r="CN32" s="49" t="str">
        <f t="shared" si="10"/>
        <v/>
      </c>
      <c r="CO32" s="55">
        <f t="shared" si="11"/>
        <v>0</v>
      </c>
      <c r="CP32" s="55">
        <f t="shared" si="12"/>
        <v>0</v>
      </c>
      <c r="CQ32" s="55">
        <f t="shared" si="13"/>
        <v>0</v>
      </c>
      <c r="CR32" s="60">
        <f t="shared" si="14"/>
        <v>99999.003200000006</v>
      </c>
      <c r="CS32" s="2">
        <f t="shared" si="0"/>
        <v>35</v>
      </c>
      <c r="CT32" s="128" t="e">
        <f t="shared" si="15"/>
        <v>#DIV/0!</v>
      </c>
    </row>
    <row r="33" spans="1:98" ht="11.25" customHeight="1" x14ac:dyDescent="0.15">
      <c r="B33" s="2" t="s">
        <v>249</v>
      </c>
      <c r="M33" s="60"/>
      <c r="CE33" s="55">
        <f t="shared" si="1"/>
        <v>0</v>
      </c>
      <c r="CF33" s="55">
        <f t="shared" si="2"/>
        <v>0</v>
      </c>
      <c r="CG33" s="57">
        <f t="shared" si="3"/>
        <v>0</v>
      </c>
      <c r="CH33" s="55">
        <f t="shared" si="4"/>
        <v>0</v>
      </c>
      <c r="CI33" s="55">
        <f t="shared" si="5"/>
        <v>0</v>
      </c>
      <c r="CJ33" s="55">
        <f t="shared" si="6"/>
        <v>0</v>
      </c>
      <c r="CK33" s="58" t="str">
        <f t="shared" si="7"/>
        <v/>
      </c>
      <c r="CL33" s="59" t="str">
        <f t="shared" si="8"/>
        <v/>
      </c>
      <c r="CM33" s="59" t="str">
        <f t="shared" si="9"/>
        <v/>
      </c>
      <c r="CN33" s="49" t="str">
        <f t="shared" si="10"/>
        <v/>
      </c>
      <c r="CO33" s="55">
        <f t="shared" si="11"/>
        <v>0</v>
      </c>
      <c r="CP33" s="55">
        <f t="shared" si="12"/>
        <v>0</v>
      </c>
      <c r="CQ33" s="55">
        <f t="shared" si="13"/>
        <v>0</v>
      </c>
      <c r="CR33" s="60">
        <f t="shared" si="14"/>
        <v>99999.003299999997</v>
      </c>
      <c r="CS33" s="2">
        <f t="shared" si="0"/>
        <v>36</v>
      </c>
      <c r="CT33" s="128" t="e">
        <f t="shared" si="15"/>
        <v>#DIV/0!</v>
      </c>
    </row>
    <row r="34" spans="1:98" ht="11.25" customHeight="1" x14ac:dyDescent="0.15">
      <c r="A34" s="2" t="s">
        <v>60</v>
      </c>
      <c r="B34" s="2" t="s">
        <v>165</v>
      </c>
      <c r="CE34" s="55">
        <f t="shared" si="1"/>
        <v>0</v>
      </c>
      <c r="CF34" s="55">
        <f t="shared" si="2"/>
        <v>0</v>
      </c>
      <c r="CG34" s="57">
        <f t="shared" si="3"/>
        <v>0</v>
      </c>
      <c r="CH34" s="55">
        <f t="shared" si="4"/>
        <v>0</v>
      </c>
      <c r="CI34" s="55">
        <f t="shared" si="5"/>
        <v>0</v>
      </c>
      <c r="CJ34" s="55">
        <f t="shared" si="6"/>
        <v>0</v>
      </c>
      <c r="CK34" s="58" t="str">
        <f t="shared" si="7"/>
        <v/>
      </c>
      <c r="CL34" s="59" t="str">
        <f t="shared" si="8"/>
        <v/>
      </c>
      <c r="CM34" s="59" t="str">
        <f t="shared" si="9"/>
        <v/>
      </c>
      <c r="CN34" s="49" t="str">
        <f t="shared" si="10"/>
        <v/>
      </c>
      <c r="CO34" s="55">
        <f t="shared" si="11"/>
        <v>0</v>
      </c>
      <c r="CP34" s="55">
        <f t="shared" si="12"/>
        <v>0</v>
      </c>
      <c r="CQ34" s="55">
        <f t="shared" si="13"/>
        <v>0</v>
      </c>
      <c r="CR34" s="60">
        <f t="shared" si="14"/>
        <v>99999.003400000001</v>
      </c>
      <c r="CS34" s="2">
        <f t="shared" si="0"/>
        <v>37</v>
      </c>
      <c r="CT34" s="128" t="e">
        <f t="shared" si="15"/>
        <v>#DIV/0!</v>
      </c>
    </row>
    <row r="35" spans="1:98" ht="11.25" customHeight="1" x14ac:dyDescent="0.15">
      <c r="A35" s="2" t="s">
        <v>61</v>
      </c>
      <c r="B35" s="2" t="s">
        <v>166</v>
      </c>
      <c r="CE35" s="55">
        <f t="shared" si="1"/>
        <v>0</v>
      </c>
      <c r="CF35" s="55">
        <f t="shared" si="2"/>
        <v>0</v>
      </c>
      <c r="CG35" s="57">
        <f t="shared" si="3"/>
        <v>0</v>
      </c>
      <c r="CH35" s="55">
        <f t="shared" si="4"/>
        <v>0</v>
      </c>
      <c r="CI35" s="55">
        <f t="shared" si="5"/>
        <v>0</v>
      </c>
      <c r="CJ35" s="55">
        <f t="shared" si="6"/>
        <v>0</v>
      </c>
      <c r="CK35" s="58" t="str">
        <f t="shared" si="7"/>
        <v/>
      </c>
      <c r="CL35" s="59" t="str">
        <f t="shared" si="8"/>
        <v/>
      </c>
      <c r="CM35" s="59" t="str">
        <f t="shared" si="9"/>
        <v/>
      </c>
      <c r="CN35" s="49" t="str">
        <f t="shared" si="10"/>
        <v/>
      </c>
      <c r="CO35" s="55">
        <f t="shared" si="11"/>
        <v>0</v>
      </c>
      <c r="CP35" s="55">
        <f t="shared" si="12"/>
        <v>0</v>
      </c>
      <c r="CQ35" s="55">
        <f t="shared" si="13"/>
        <v>0</v>
      </c>
      <c r="CR35" s="60">
        <f t="shared" si="14"/>
        <v>99999.003500000006</v>
      </c>
      <c r="CS35" s="2">
        <f t="shared" si="0"/>
        <v>38</v>
      </c>
      <c r="CT35" s="128" t="e">
        <f t="shared" si="15"/>
        <v>#DIV/0!</v>
      </c>
    </row>
    <row r="36" spans="1:98" ht="11.25" customHeight="1" x14ac:dyDescent="0.15">
      <c r="B36" s="2" t="s">
        <v>198</v>
      </c>
      <c r="M36" s="60"/>
      <c r="O36" s="2" t="s">
        <v>336</v>
      </c>
      <c r="Z36" s="2" t="s">
        <v>775</v>
      </c>
      <c r="CE36" s="55">
        <f t="shared" si="1"/>
        <v>2</v>
      </c>
      <c r="CF36" s="55">
        <f t="shared" si="2"/>
        <v>30</v>
      </c>
      <c r="CG36" s="57">
        <f t="shared" si="3"/>
        <v>5</v>
      </c>
      <c r="CH36" s="55">
        <f t="shared" si="4"/>
        <v>0</v>
      </c>
      <c r="CI36" s="55">
        <f t="shared" si="5"/>
        <v>36</v>
      </c>
      <c r="CJ36" s="55">
        <f t="shared" si="6"/>
        <v>1</v>
      </c>
      <c r="CK36" s="58">
        <f t="shared" si="7"/>
        <v>36</v>
      </c>
      <c r="CL36" s="59">
        <f t="shared" si="8"/>
        <v>30</v>
      </c>
      <c r="CM36" s="59">
        <f t="shared" si="9"/>
        <v>7.2</v>
      </c>
      <c r="CN36" s="49" t="str">
        <f t="shared" si="10"/>
        <v>1-23</v>
      </c>
      <c r="CO36" s="55">
        <f t="shared" si="11"/>
        <v>0</v>
      </c>
      <c r="CP36" s="55">
        <f t="shared" si="12"/>
        <v>0</v>
      </c>
      <c r="CQ36" s="55">
        <f t="shared" si="13"/>
        <v>0</v>
      </c>
      <c r="CR36" s="60">
        <f t="shared" si="14"/>
        <v>36.003599999999999</v>
      </c>
      <c r="CS36" s="2">
        <f t="shared" si="0"/>
        <v>21</v>
      </c>
      <c r="CT36" s="128">
        <f t="shared" si="15"/>
        <v>0</v>
      </c>
    </row>
    <row r="37" spans="1:98" ht="11.25" customHeight="1" x14ac:dyDescent="0.15">
      <c r="A37" s="2" t="s">
        <v>63</v>
      </c>
      <c r="B37" s="2" t="s">
        <v>168</v>
      </c>
      <c r="C37" s="2" t="s">
        <v>273</v>
      </c>
      <c r="F37" s="2" t="s">
        <v>583</v>
      </c>
      <c r="H37" s="2" t="s">
        <v>604</v>
      </c>
      <c r="I37" s="2" t="s">
        <v>315</v>
      </c>
      <c r="J37" s="2" t="s">
        <v>621</v>
      </c>
      <c r="K37" s="2" t="s">
        <v>638</v>
      </c>
      <c r="L37" s="2" t="s">
        <v>657</v>
      </c>
      <c r="N37" s="2" t="s">
        <v>674</v>
      </c>
      <c r="P37" s="2" t="s">
        <v>689</v>
      </c>
      <c r="R37" s="2" t="s">
        <v>705</v>
      </c>
      <c r="V37" s="2" t="s">
        <v>740</v>
      </c>
      <c r="X37" s="2" t="s">
        <v>756</v>
      </c>
      <c r="AB37" s="2" t="s">
        <v>790</v>
      </c>
      <c r="AC37" s="2" t="s">
        <v>414</v>
      </c>
      <c r="AG37" s="2" t="s">
        <v>455</v>
      </c>
      <c r="AH37" s="2" t="s">
        <v>827</v>
      </c>
      <c r="AI37" s="2" t="s">
        <v>483</v>
      </c>
      <c r="AL37" s="2" t="s">
        <v>839</v>
      </c>
      <c r="AS37" s="2" t="s">
        <v>546</v>
      </c>
      <c r="CE37" s="55">
        <f t="shared" si="1"/>
        <v>19</v>
      </c>
      <c r="CF37" s="55">
        <f t="shared" si="2"/>
        <v>583</v>
      </c>
      <c r="CG37" s="57">
        <f t="shared" si="3"/>
        <v>97.1</v>
      </c>
      <c r="CH37" s="55">
        <f t="shared" si="4"/>
        <v>16</v>
      </c>
      <c r="CI37" s="55">
        <f t="shared" si="5"/>
        <v>310</v>
      </c>
      <c r="CJ37" s="55">
        <f t="shared" si="6"/>
        <v>36</v>
      </c>
      <c r="CK37" s="58">
        <f t="shared" si="7"/>
        <v>8.6111111111111107</v>
      </c>
      <c r="CL37" s="59">
        <f t="shared" si="8"/>
        <v>16.194444444444443</v>
      </c>
      <c r="CM37" s="59">
        <f t="shared" si="9"/>
        <v>3.1903945111492282</v>
      </c>
      <c r="CN37" s="49" t="str">
        <f t="shared" si="10"/>
        <v>4-9</v>
      </c>
      <c r="CO37" s="55">
        <f t="shared" si="11"/>
        <v>481</v>
      </c>
      <c r="CP37" s="55">
        <f t="shared" si="12"/>
        <v>12</v>
      </c>
      <c r="CQ37" s="55">
        <f t="shared" si="13"/>
        <v>6</v>
      </c>
      <c r="CR37" s="60">
        <f t="shared" si="14"/>
        <v>8.614811111111111</v>
      </c>
      <c r="CS37" s="2">
        <f t="shared" si="0"/>
        <v>2</v>
      </c>
      <c r="CT37" s="128">
        <f t="shared" si="15"/>
        <v>0.16466552315608918</v>
      </c>
    </row>
    <row r="38" spans="1:98" ht="11.25" customHeight="1" x14ac:dyDescent="0.15">
      <c r="B38" s="2" t="s">
        <v>333</v>
      </c>
      <c r="O38" s="2" t="s">
        <v>334</v>
      </c>
      <c r="S38" s="2" t="s">
        <v>375</v>
      </c>
      <c r="W38" s="2" t="s">
        <v>388</v>
      </c>
      <c r="AA38" s="2" t="s">
        <v>413</v>
      </c>
      <c r="AC38" s="2" t="s">
        <v>417</v>
      </c>
      <c r="AG38" s="2" t="s">
        <v>458</v>
      </c>
      <c r="AI38" s="2" t="s">
        <v>481</v>
      </c>
      <c r="AO38" s="2" t="s">
        <v>528</v>
      </c>
      <c r="CE38" s="55">
        <f t="shared" si="1"/>
        <v>8</v>
      </c>
      <c r="CF38" s="55">
        <f t="shared" si="2"/>
        <v>204</v>
      </c>
      <c r="CG38" s="57">
        <f t="shared" si="3"/>
        <v>34</v>
      </c>
      <c r="CH38" s="55">
        <f t="shared" si="4"/>
        <v>2</v>
      </c>
      <c r="CI38" s="55">
        <f t="shared" si="5"/>
        <v>194</v>
      </c>
      <c r="CJ38" s="55">
        <f t="shared" si="6"/>
        <v>8</v>
      </c>
      <c r="CK38" s="58">
        <f t="shared" si="7"/>
        <v>24.25</v>
      </c>
      <c r="CL38" s="59">
        <f t="shared" si="8"/>
        <v>25.5</v>
      </c>
      <c r="CM38" s="59">
        <f t="shared" si="9"/>
        <v>5.7058823529411766</v>
      </c>
      <c r="CN38" s="49" t="str">
        <f t="shared" si="10"/>
        <v>3-12</v>
      </c>
      <c r="CO38" s="55">
        <f t="shared" si="11"/>
        <v>67</v>
      </c>
      <c r="CP38" s="55">
        <f t="shared" si="12"/>
        <v>3</v>
      </c>
      <c r="CQ38" s="55">
        <f t="shared" si="13"/>
        <v>0</v>
      </c>
      <c r="CR38" s="60">
        <f t="shared" si="14"/>
        <v>24.253799999999998</v>
      </c>
      <c r="CS38" s="2">
        <f t="shared" si="0"/>
        <v>16</v>
      </c>
      <c r="CT38" s="128">
        <f t="shared" si="15"/>
        <v>5.8823529411764705E-2</v>
      </c>
    </row>
    <row r="39" spans="1:98" ht="11.25" customHeight="1" x14ac:dyDescent="0.15">
      <c r="A39" s="2" t="s">
        <v>68</v>
      </c>
      <c r="B39" s="2" t="s">
        <v>169</v>
      </c>
      <c r="AE39" s="2" t="s">
        <v>438</v>
      </c>
      <c r="AG39" s="2" t="s">
        <v>908</v>
      </c>
      <c r="AK39" s="2" t="s">
        <v>494</v>
      </c>
      <c r="AS39" s="2" t="s">
        <v>545</v>
      </c>
      <c r="CE39" s="55">
        <f t="shared" si="1"/>
        <v>4</v>
      </c>
      <c r="CF39" s="55">
        <f t="shared" si="2"/>
        <v>124</v>
      </c>
      <c r="CG39" s="57">
        <f t="shared" si="3"/>
        <v>20.399999999999999</v>
      </c>
      <c r="CH39" s="55">
        <f t="shared" si="4"/>
        <v>2</v>
      </c>
      <c r="CI39" s="55">
        <f t="shared" si="5"/>
        <v>127</v>
      </c>
      <c r="CJ39" s="55">
        <f t="shared" si="6"/>
        <v>3</v>
      </c>
      <c r="CK39" s="58">
        <f t="shared" si="7"/>
        <v>42.333333333333336</v>
      </c>
      <c r="CL39" s="59">
        <f t="shared" si="8"/>
        <v>41.333333333333336</v>
      </c>
      <c r="CM39" s="59">
        <f t="shared" si="9"/>
        <v>6.145161290322581</v>
      </c>
      <c r="CN39" s="49" t="str">
        <f t="shared" si="10"/>
        <v>1-14</v>
      </c>
      <c r="CO39" s="55">
        <f t="shared" si="11"/>
        <v>27</v>
      </c>
      <c r="CP39" s="55">
        <f t="shared" si="12"/>
        <v>6</v>
      </c>
      <c r="CQ39" s="55">
        <f t="shared" si="13"/>
        <v>3</v>
      </c>
      <c r="CR39" s="60">
        <f t="shared" si="14"/>
        <v>42.337233333333337</v>
      </c>
      <c r="CS39" s="2">
        <f t="shared" si="0"/>
        <v>22</v>
      </c>
      <c r="CT39" s="128">
        <f t="shared" si="15"/>
        <v>9.6774193548387094E-2</v>
      </c>
    </row>
    <row r="40" spans="1:98" x14ac:dyDescent="0.15">
      <c r="A40" s="2" t="s">
        <v>64</v>
      </c>
      <c r="B40" s="2" t="s">
        <v>170</v>
      </c>
      <c r="AR40" s="2" t="s">
        <v>876</v>
      </c>
      <c r="CE40" s="55">
        <f t="shared" si="1"/>
        <v>1</v>
      </c>
      <c r="CF40" s="55">
        <f t="shared" si="2"/>
        <v>12</v>
      </c>
      <c r="CG40" s="57">
        <f t="shared" si="3"/>
        <v>2</v>
      </c>
      <c r="CH40" s="55">
        <f t="shared" si="4"/>
        <v>0</v>
      </c>
      <c r="CI40" s="55">
        <f t="shared" si="5"/>
        <v>19</v>
      </c>
      <c r="CJ40" s="55">
        <f t="shared" si="6"/>
        <v>0</v>
      </c>
      <c r="CK40" s="58" t="str">
        <f t="shared" si="7"/>
        <v/>
      </c>
      <c r="CL40" s="59" t="str">
        <f t="shared" si="8"/>
        <v/>
      </c>
      <c r="CM40" s="59">
        <f t="shared" si="9"/>
        <v>9.5</v>
      </c>
      <c r="CN40" s="49" t="str">
        <f t="shared" si="10"/>
        <v>0-19</v>
      </c>
      <c r="CO40" s="55">
        <f t="shared" si="11"/>
        <v>-5</v>
      </c>
      <c r="CP40" s="55">
        <f t="shared" si="12"/>
        <v>3</v>
      </c>
      <c r="CQ40" s="55">
        <f t="shared" si="13"/>
        <v>0</v>
      </c>
      <c r="CR40" s="60">
        <f t="shared" si="14"/>
        <v>1012.004</v>
      </c>
      <c r="CS40" s="2">
        <f t="shared" si="0"/>
        <v>26</v>
      </c>
      <c r="CT40" s="128">
        <f t="shared" si="15"/>
        <v>0</v>
      </c>
    </row>
    <row r="41" spans="1:98" x14ac:dyDescent="0.15">
      <c r="A41" s="2" t="s">
        <v>65</v>
      </c>
      <c r="B41" s="2" t="s">
        <v>66</v>
      </c>
      <c r="D41" s="2" t="s">
        <v>560</v>
      </c>
      <c r="F41" s="2" t="s">
        <v>579</v>
      </c>
      <c r="H41" s="2" t="s">
        <v>600</v>
      </c>
      <c r="N41" s="2" t="s">
        <v>670</v>
      </c>
      <c r="R41" s="2" t="s">
        <v>703</v>
      </c>
      <c r="T41" s="2" t="s">
        <v>717</v>
      </c>
      <c r="V41" s="2" t="s">
        <v>735</v>
      </c>
      <c r="X41" s="2" t="s">
        <v>753</v>
      </c>
      <c r="Z41" s="2" t="s">
        <v>770</v>
      </c>
      <c r="AR41" s="2" t="s">
        <v>868</v>
      </c>
      <c r="AS41" s="2" t="s">
        <v>540</v>
      </c>
      <c r="CE41" s="55">
        <f t="shared" si="1"/>
        <v>11</v>
      </c>
      <c r="CF41" s="55">
        <f t="shared" si="2"/>
        <v>504</v>
      </c>
      <c r="CG41" s="57">
        <f t="shared" si="3"/>
        <v>84</v>
      </c>
      <c r="CH41" s="55">
        <f t="shared" si="4"/>
        <v>15</v>
      </c>
      <c r="CI41" s="55">
        <f t="shared" si="5"/>
        <v>255</v>
      </c>
      <c r="CJ41" s="55">
        <f t="shared" si="6"/>
        <v>11</v>
      </c>
      <c r="CK41" s="58">
        <f t="shared" si="7"/>
        <v>23.181818181818183</v>
      </c>
      <c r="CL41" s="59">
        <f t="shared" si="8"/>
        <v>45.81818181818182</v>
      </c>
      <c r="CM41" s="59">
        <f t="shared" si="9"/>
        <v>3.0357142857142856</v>
      </c>
      <c r="CN41" s="49" t="str">
        <f t="shared" si="10"/>
        <v>2-11</v>
      </c>
      <c r="CO41" s="55">
        <f t="shared" si="11"/>
        <v>190</v>
      </c>
      <c r="CP41" s="55">
        <f t="shared" si="12"/>
        <v>7</v>
      </c>
      <c r="CQ41" s="55">
        <f t="shared" si="13"/>
        <v>0</v>
      </c>
      <c r="CR41" s="60">
        <f t="shared" si="14"/>
        <v>23.185918181818185</v>
      </c>
      <c r="CS41" s="2">
        <f t="shared" si="0"/>
        <v>14</v>
      </c>
      <c r="CT41" s="128">
        <f t="shared" si="15"/>
        <v>0.17857142857142855</v>
      </c>
    </row>
    <row r="42" spans="1:98" x14ac:dyDescent="0.15">
      <c r="A42" s="2" t="s">
        <v>67</v>
      </c>
      <c r="B42" s="2" t="s">
        <v>171</v>
      </c>
      <c r="C42" s="2" t="s">
        <v>271</v>
      </c>
      <c r="Q42" s="2" t="s">
        <v>357</v>
      </c>
      <c r="S42" s="2" t="s">
        <v>357</v>
      </c>
      <c r="W42" s="2" t="s">
        <v>389</v>
      </c>
      <c r="AA42" s="2" t="s">
        <v>411</v>
      </c>
      <c r="AC42" s="2" t="s">
        <v>418</v>
      </c>
      <c r="AE42" s="2" t="s">
        <v>440</v>
      </c>
      <c r="AG42" s="2" t="s">
        <v>460</v>
      </c>
      <c r="AI42" s="2" t="s">
        <v>480</v>
      </c>
      <c r="AS42" s="2" t="s">
        <v>548</v>
      </c>
      <c r="CE42" s="55">
        <f t="shared" si="1"/>
        <v>10</v>
      </c>
      <c r="CF42" s="55">
        <f t="shared" si="2"/>
        <v>253</v>
      </c>
      <c r="CG42" s="57">
        <f t="shared" si="3"/>
        <v>42.1</v>
      </c>
      <c r="CH42" s="55">
        <f t="shared" si="4"/>
        <v>6</v>
      </c>
      <c r="CI42" s="55">
        <f t="shared" si="5"/>
        <v>224</v>
      </c>
      <c r="CJ42" s="55">
        <f t="shared" si="6"/>
        <v>11</v>
      </c>
      <c r="CK42" s="58">
        <f t="shared" si="7"/>
        <v>20.363636363636363</v>
      </c>
      <c r="CL42" s="59">
        <f t="shared" si="8"/>
        <v>23</v>
      </c>
      <c r="CM42" s="59">
        <f t="shared" si="9"/>
        <v>5.3122529644268779</v>
      </c>
      <c r="CN42" s="49" t="str">
        <f t="shared" si="10"/>
        <v>4-27</v>
      </c>
      <c r="CO42" s="55">
        <f t="shared" si="11"/>
        <v>116</v>
      </c>
      <c r="CP42" s="55">
        <f t="shared" si="12"/>
        <v>1</v>
      </c>
      <c r="CQ42" s="55">
        <f t="shared" si="13"/>
        <v>0</v>
      </c>
      <c r="CR42" s="60">
        <f t="shared" si="14"/>
        <v>20.367836363636364</v>
      </c>
      <c r="CS42" s="2">
        <f t="shared" si="0"/>
        <v>10</v>
      </c>
      <c r="CT42" s="128">
        <f t="shared" si="15"/>
        <v>0.14229249011857706</v>
      </c>
    </row>
    <row r="43" spans="1:98" x14ac:dyDescent="0.15">
      <c r="CE43" s="55">
        <f>BowlSplit(C43:CC43,InnsBowledIn)</f>
        <v>0</v>
      </c>
      <c r="CF43" s="55">
        <f>BowlSplit(C43:CC43,BallsBowled)</f>
        <v>0</v>
      </c>
      <c r="CG43" s="57">
        <f>BowlSplit(C43:CC43,OversBowled)</f>
        <v>0</v>
      </c>
      <c r="CH43" s="55">
        <f>BowlSplit(C43:CC43,Maidens)</f>
        <v>0</v>
      </c>
      <c r="CI43" s="55">
        <f>BowlSplit(C43:CC43,RunsConceded)</f>
        <v>0</v>
      </c>
      <c r="CJ43" s="55">
        <f>BowlSplit(C43:CC43,WicketsTaken)</f>
        <v>0</v>
      </c>
      <c r="CK43" s="58" t="str">
        <f>IF(CJ43&gt;0,CI43/CJ43,"")</f>
        <v/>
      </c>
      <c r="CL43" s="59" t="str">
        <f>IF(CJ43&gt;0,CF43/CJ43,"")</f>
        <v/>
      </c>
      <c r="CM43" s="59" t="str">
        <f>IF(CF43&gt;0,6*CI43/CF43,"")</f>
        <v/>
      </c>
      <c r="CN43" s="49" t="str">
        <f>BowlSplit(C43:CC43,BestBowling)</f>
        <v/>
      </c>
      <c r="CO43" s="55">
        <f>BowlSplit(C43:CC43,BowlPts)</f>
        <v>0</v>
      </c>
      <c r="CP43" s="55">
        <f>BowlSplit(C43:CC43,Wides)</f>
        <v>0</v>
      </c>
      <c r="CQ43" s="55">
        <f>BowlSplit(C43:CC43,NoBalls)</f>
        <v>0</v>
      </c>
      <c r="CR43" s="60">
        <f>IF(CJ43&gt;0,CK43,IF(CF43&gt;0,CF43+1000,99999))+ROW(CQ43)/10000</f>
        <v>99999.004300000001</v>
      </c>
      <c r="CS43" s="2">
        <f t="shared" si="0"/>
        <v>39</v>
      </c>
      <c r="CT43" s="128" t="e">
        <f>CH43/CF43*6</f>
        <v>#DIV/0!</v>
      </c>
    </row>
    <row r="44" spans="1:98" x14ac:dyDescent="0.15">
      <c r="CE44" s="55">
        <f>BowlSplit(C44:CC44,InnsBowledIn)</f>
        <v>0</v>
      </c>
      <c r="CF44" s="55">
        <f>BowlSplit(C44:CC44,BallsBowled)</f>
        <v>0</v>
      </c>
      <c r="CG44" s="57">
        <f>BowlSplit(C44:CC44,OversBowled)</f>
        <v>0</v>
      </c>
      <c r="CH44" s="55">
        <f>BowlSplit(C44:CC44,Maidens)</f>
        <v>0</v>
      </c>
      <c r="CI44" s="55">
        <f>BowlSplit(C44:CC44,RunsConceded)</f>
        <v>0</v>
      </c>
      <c r="CJ44" s="55">
        <f>BowlSplit(C44:CC44,WicketsTaken)</f>
        <v>0</v>
      </c>
      <c r="CK44" s="58" t="str">
        <f>IF(CJ44&gt;0,CI44/CJ44,"")</f>
        <v/>
      </c>
      <c r="CL44" s="59" t="str">
        <f>IF(CJ44&gt;0,CF44/CJ44,"")</f>
        <v/>
      </c>
      <c r="CM44" s="59" t="str">
        <f>IF(CF44&gt;0,6*CI44/CF44,"")</f>
        <v/>
      </c>
      <c r="CN44" s="49" t="str">
        <f>BowlSplit(C44:CC44,BestBowling)</f>
        <v/>
      </c>
      <c r="CO44" s="55">
        <f>BowlSplit(C44:CC44,BowlPts)</f>
        <v>0</v>
      </c>
      <c r="CP44" s="55">
        <f>BowlSplit(C44:CC44,Wides)</f>
        <v>0</v>
      </c>
      <c r="CQ44" s="55">
        <f>BowlSplit(C44:CC44,NoBalls)</f>
        <v>0</v>
      </c>
      <c r="CR44" s="60">
        <f>IF(CJ44&gt;0,CK44,IF(CF44&gt;0,CF44+1000,99999))+ROW(CQ44)/10000</f>
        <v>99999.004400000005</v>
      </c>
      <c r="CS44" s="2">
        <f t="shared" si="0"/>
        <v>40</v>
      </c>
      <c r="CT44" s="128" t="e">
        <f>CH44/CF44*6</f>
        <v>#DIV/0!</v>
      </c>
    </row>
    <row r="46" spans="1:98" x14ac:dyDescent="0.15">
      <c r="B46" s="2" t="s">
        <v>133</v>
      </c>
      <c r="C46" s="2">
        <f t="shared" ref="C46:O46" si="16">BowlSplit(C5:C44,RunsConceded)</f>
        <v>68</v>
      </c>
      <c r="D46" s="2">
        <f t="shared" si="16"/>
        <v>112</v>
      </c>
      <c r="E46" s="2">
        <f t="shared" si="16"/>
        <v>93</v>
      </c>
      <c r="F46" s="2">
        <f t="shared" si="16"/>
        <v>157</v>
      </c>
      <c r="G46" s="2">
        <f t="shared" si="16"/>
        <v>0</v>
      </c>
      <c r="H46" s="2">
        <f t="shared" si="16"/>
        <v>69</v>
      </c>
      <c r="I46" s="2">
        <f t="shared" si="16"/>
        <v>129</v>
      </c>
      <c r="J46" s="2">
        <f t="shared" si="16"/>
        <v>102</v>
      </c>
      <c r="K46" s="2">
        <f t="shared" si="16"/>
        <v>145</v>
      </c>
      <c r="L46" s="2">
        <f t="shared" si="16"/>
        <v>156</v>
      </c>
      <c r="M46" s="2">
        <f t="shared" si="16"/>
        <v>0</v>
      </c>
      <c r="N46" s="2">
        <f t="shared" si="16"/>
        <v>94</v>
      </c>
      <c r="O46" s="2">
        <f t="shared" si="16"/>
        <v>92</v>
      </c>
      <c r="P46" s="2">
        <f t="shared" ref="P46:BF46" si="17">BowlSplit(P5:P44,RunsConceded)</f>
        <v>165</v>
      </c>
      <c r="Q46" s="2">
        <f t="shared" si="17"/>
        <v>191</v>
      </c>
      <c r="R46" s="2">
        <f t="shared" si="17"/>
        <v>141</v>
      </c>
      <c r="S46" s="2">
        <f t="shared" si="17"/>
        <v>148</v>
      </c>
      <c r="T46" s="2">
        <f t="shared" si="17"/>
        <v>169</v>
      </c>
      <c r="U46" s="2">
        <f t="shared" si="17"/>
        <v>0</v>
      </c>
      <c r="V46" s="2">
        <f t="shared" si="17"/>
        <v>83</v>
      </c>
      <c r="W46" s="2">
        <f t="shared" si="17"/>
        <v>61</v>
      </c>
      <c r="X46" s="2">
        <f t="shared" si="17"/>
        <v>113</v>
      </c>
      <c r="Y46" s="2">
        <f t="shared" si="17"/>
        <v>0</v>
      </c>
      <c r="Z46" s="2">
        <f t="shared" si="17"/>
        <v>164</v>
      </c>
      <c r="AA46" s="2">
        <f t="shared" si="17"/>
        <v>143</v>
      </c>
      <c r="AB46" s="2">
        <f t="shared" si="17"/>
        <v>104</v>
      </c>
      <c r="AC46" s="2">
        <f t="shared" si="17"/>
        <v>217</v>
      </c>
      <c r="AD46" s="2">
        <f t="shared" si="17"/>
        <v>0</v>
      </c>
      <c r="AE46" s="2">
        <f t="shared" si="17"/>
        <v>132</v>
      </c>
      <c r="AF46" s="2">
        <f t="shared" si="17"/>
        <v>126</v>
      </c>
      <c r="AG46" s="2">
        <f t="shared" si="17"/>
        <v>196</v>
      </c>
      <c r="AH46" s="2">
        <f t="shared" si="17"/>
        <v>161</v>
      </c>
      <c r="AI46" s="2">
        <f>BowlSplit(AI5:AI44,RunsConceded)</f>
        <v>221</v>
      </c>
      <c r="AJ46" s="2">
        <f t="shared" si="17"/>
        <v>146</v>
      </c>
      <c r="AK46" s="2">
        <f t="shared" si="17"/>
        <v>252</v>
      </c>
      <c r="AL46" s="2">
        <f t="shared" si="17"/>
        <v>130</v>
      </c>
      <c r="AM46" s="2">
        <f t="shared" si="17"/>
        <v>164</v>
      </c>
      <c r="AN46" s="2">
        <f t="shared" si="17"/>
        <v>0</v>
      </c>
      <c r="AO46" s="2">
        <f t="shared" si="17"/>
        <v>181</v>
      </c>
      <c r="AP46" s="2">
        <f t="shared" si="17"/>
        <v>0</v>
      </c>
      <c r="AQ46" s="2">
        <f t="shared" si="17"/>
        <v>0</v>
      </c>
      <c r="AR46" s="2">
        <f t="shared" si="17"/>
        <v>163</v>
      </c>
      <c r="AS46" s="2">
        <f t="shared" si="17"/>
        <v>149</v>
      </c>
      <c r="AT46" s="2">
        <f t="shared" si="17"/>
        <v>0</v>
      </c>
      <c r="AU46" s="2">
        <f t="shared" si="17"/>
        <v>0</v>
      </c>
      <c r="AV46" s="2">
        <f t="shared" si="17"/>
        <v>0</v>
      </c>
      <c r="AW46" s="2">
        <f t="shared" si="17"/>
        <v>0</v>
      </c>
      <c r="AX46" s="2">
        <f t="shared" si="17"/>
        <v>0</v>
      </c>
      <c r="AY46" s="2">
        <f t="shared" si="17"/>
        <v>0</v>
      </c>
      <c r="AZ46" s="2">
        <f t="shared" si="17"/>
        <v>0</v>
      </c>
      <c r="BA46" s="2">
        <f t="shared" si="17"/>
        <v>0</v>
      </c>
      <c r="BB46" s="2">
        <f t="shared" si="17"/>
        <v>0</v>
      </c>
      <c r="BC46" s="2">
        <f t="shared" si="17"/>
        <v>0</v>
      </c>
      <c r="BD46" s="2">
        <f t="shared" si="17"/>
        <v>0</v>
      </c>
      <c r="BE46" s="2">
        <f t="shared" si="17"/>
        <v>0</v>
      </c>
      <c r="BF46" s="2">
        <f t="shared" si="17"/>
        <v>0</v>
      </c>
      <c r="CE46" s="55">
        <f>SUM(C46:BF46)</f>
        <v>4937</v>
      </c>
      <c r="CJ46" s="55">
        <f>SUM(CJ5:CJ44)</f>
        <v>271</v>
      </c>
    </row>
    <row r="47" spans="1:98" x14ac:dyDescent="0.15">
      <c r="B47" s="2" t="s">
        <v>134</v>
      </c>
      <c r="C47" s="2">
        <f t="array" ref="C47:BE48">TRANSPOSE(Matches!S5:T59)</f>
        <v>6</v>
      </c>
      <c r="D47" s="2">
        <v>9</v>
      </c>
      <c r="E47" s="2">
        <v>5</v>
      </c>
      <c r="F47" s="2">
        <v>10</v>
      </c>
      <c r="G47" s="2">
        <v>0</v>
      </c>
      <c r="H47" s="2">
        <v>10</v>
      </c>
      <c r="I47" s="2">
        <v>5</v>
      </c>
      <c r="J47" s="2">
        <v>7</v>
      </c>
      <c r="K47" s="2">
        <v>0</v>
      </c>
      <c r="L47" s="2">
        <v>0</v>
      </c>
      <c r="M47" s="2">
        <v>0</v>
      </c>
      <c r="N47" s="2">
        <v>2</v>
      </c>
      <c r="O47" s="2">
        <v>9</v>
      </c>
      <c r="P47" s="2">
        <v>1</v>
      </c>
      <c r="Q47" s="2">
        <v>12</v>
      </c>
      <c r="R47" s="2">
        <v>0</v>
      </c>
      <c r="S47" s="2">
        <v>3</v>
      </c>
      <c r="T47" s="2">
        <v>2</v>
      </c>
      <c r="U47" s="2">
        <v>0</v>
      </c>
      <c r="V47" s="2">
        <v>6</v>
      </c>
      <c r="W47" s="2">
        <v>5</v>
      </c>
      <c r="X47" s="2">
        <v>0</v>
      </c>
      <c r="Y47" s="2">
        <v>0</v>
      </c>
      <c r="Z47" s="2">
        <v>6</v>
      </c>
      <c r="AA47" s="2">
        <v>0</v>
      </c>
      <c r="AB47" s="2">
        <v>10</v>
      </c>
      <c r="AC47" s="2">
        <v>5</v>
      </c>
      <c r="AD47" s="2">
        <v>0</v>
      </c>
      <c r="AE47" s="2">
        <v>3</v>
      </c>
      <c r="AF47" s="2">
        <v>11</v>
      </c>
      <c r="AG47" s="2">
        <v>6</v>
      </c>
      <c r="AH47" s="2">
        <v>0</v>
      </c>
      <c r="AI47" s="2">
        <v>2</v>
      </c>
      <c r="AJ47" s="2">
        <v>0</v>
      </c>
      <c r="AK47" s="2">
        <v>3</v>
      </c>
      <c r="AL47" s="2">
        <v>5</v>
      </c>
      <c r="AM47" s="2">
        <v>13</v>
      </c>
      <c r="AN47" s="2">
        <v>0</v>
      </c>
      <c r="AO47" s="2">
        <v>15</v>
      </c>
      <c r="AP47" s="2">
        <v>0</v>
      </c>
      <c r="AQ47" s="2">
        <v>0</v>
      </c>
      <c r="AR47" s="2">
        <v>8</v>
      </c>
      <c r="AS47" s="2">
        <v>2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CE47" s="55">
        <f>SUM(C47:BF47)</f>
        <v>181</v>
      </c>
    </row>
    <row r="48" spans="1:98" x14ac:dyDescent="0.15">
      <c r="B48" s="2" t="s">
        <v>135</v>
      </c>
      <c r="C48" s="2">
        <v>3</v>
      </c>
      <c r="D48" s="2">
        <v>1</v>
      </c>
      <c r="E48" s="2">
        <v>3</v>
      </c>
      <c r="F48" s="2">
        <v>3</v>
      </c>
      <c r="G48" s="2">
        <v>0</v>
      </c>
      <c r="H48" s="2">
        <v>10</v>
      </c>
      <c r="I48" s="2">
        <v>2</v>
      </c>
      <c r="J48" s="2">
        <v>2</v>
      </c>
      <c r="K48" s="2">
        <v>6</v>
      </c>
      <c r="L48" s="2">
        <v>0</v>
      </c>
      <c r="M48" s="2">
        <v>0</v>
      </c>
      <c r="N48" s="2">
        <v>0</v>
      </c>
      <c r="O48" s="2">
        <v>2</v>
      </c>
      <c r="P48" s="2">
        <v>2</v>
      </c>
      <c r="Q48" s="2">
        <v>2</v>
      </c>
      <c r="R48" s="2">
        <v>0</v>
      </c>
      <c r="S48" s="2">
        <v>0</v>
      </c>
      <c r="T48" s="2">
        <v>9</v>
      </c>
      <c r="U48" s="2">
        <v>0</v>
      </c>
      <c r="V48" s="2">
        <v>2</v>
      </c>
      <c r="W48" s="2">
        <v>1</v>
      </c>
      <c r="X48" s="2">
        <v>0</v>
      </c>
      <c r="Y48" s="2">
        <v>0</v>
      </c>
      <c r="Z48" s="2">
        <v>4</v>
      </c>
      <c r="AA48" s="2">
        <v>3</v>
      </c>
      <c r="AB48" s="2">
        <v>2</v>
      </c>
      <c r="AC48" s="2">
        <v>4</v>
      </c>
      <c r="AD48" s="2">
        <v>0</v>
      </c>
      <c r="AE48" s="2">
        <v>0</v>
      </c>
      <c r="AF48" s="2">
        <v>5</v>
      </c>
      <c r="AG48" s="2">
        <v>1</v>
      </c>
      <c r="AH48" s="2">
        <v>0</v>
      </c>
      <c r="AI48" s="2">
        <v>2</v>
      </c>
      <c r="AJ48" s="2">
        <v>6</v>
      </c>
      <c r="AK48" s="2">
        <v>1</v>
      </c>
      <c r="AL48" s="2">
        <v>1</v>
      </c>
      <c r="AM48" s="2">
        <v>2</v>
      </c>
      <c r="AN48" s="2">
        <v>0</v>
      </c>
      <c r="AO48" s="2">
        <v>4</v>
      </c>
      <c r="AP48" s="2">
        <v>0</v>
      </c>
      <c r="AQ48" s="2">
        <v>0</v>
      </c>
      <c r="AR48" s="2">
        <v>1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CE48" s="55">
        <f>SUM(C48:BF48)</f>
        <v>84</v>
      </c>
      <c r="CG48" s="55" t="s">
        <v>189</v>
      </c>
      <c r="CH48" s="55" t="s">
        <v>190</v>
      </c>
    </row>
    <row r="49" spans="2:92" s="56" customFormat="1" x14ac:dyDescent="0.15">
      <c r="B49" s="56" t="s">
        <v>132</v>
      </c>
      <c r="C49" s="56">
        <f>SUM(C46:C48)</f>
        <v>77</v>
      </c>
      <c r="D49" s="56">
        <f t="shared" ref="D49:BE49" si="18">SUM(D46:D48)</f>
        <v>122</v>
      </c>
      <c r="E49" s="56">
        <f t="shared" si="18"/>
        <v>101</v>
      </c>
      <c r="F49" s="56">
        <f t="shared" si="18"/>
        <v>170</v>
      </c>
      <c r="G49" s="56">
        <f t="shared" si="18"/>
        <v>0</v>
      </c>
      <c r="H49" s="56">
        <f t="shared" si="18"/>
        <v>89</v>
      </c>
      <c r="I49" s="56">
        <f t="shared" si="18"/>
        <v>136</v>
      </c>
      <c r="J49" s="56">
        <f t="shared" si="18"/>
        <v>111</v>
      </c>
      <c r="K49" s="56">
        <f t="shared" si="18"/>
        <v>151</v>
      </c>
      <c r="L49" s="56">
        <f t="shared" si="18"/>
        <v>156</v>
      </c>
      <c r="M49" s="56">
        <f t="shared" si="18"/>
        <v>0</v>
      </c>
      <c r="N49" s="56">
        <f t="shared" si="18"/>
        <v>96</v>
      </c>
      <c r="O49" s="56">
        <f t="shared" si="18"/>
        <v>103</v>
      </c>
      <c r="P49" s="56">
        <f t="shared" si="18"/>
        <v>168</v>
      </c>
      <c r="Q49" s="56">
        <f t="shared" si="18"/>
        <v>205</v>
      </c>
      <c r="R49" s="56">
        <f t="shared" si="18"/>
        <v>141</v>
      </c>
      <c r="S49" s="56">
        <f t="shared" si="18"/>
        <v>151</v>
      </c>
      <c r="T49" s="56">
        <f t="shared" si="18"/>
        <v>180</v>
      </c>
      <c r="U49" s="56">
        <f t="shared" si="18"/>
        <v>0</v>
      </c>
      <c r="V49" s="56">
        <f t="shared" si="18"/>
        <v>91</v>
      </c>
      <c r="W49" s="56">
        <f t="shared" si="18"/>
        <v>67</v>
      </c>
      <c r="X49" s="56">
        <f t="shared" si="18"/>
        <v>113</v>
      </c>
      <c r="Y49" s="56">
        <f t="shared" si="18"/>
        <v>0</v>
      </c>
      <c r="Z49" s="56">
        <f t="shared" si="18"/>
        <v>174</v>
      </c>
      <c r="AA49" s="56">
        <f t="shared" si="18"/>
        <v>146</v>
      </c>
      <c r="AB49" s="56">
        <f t="shared" si="18"/>
        <v>116</v>
      </c>
      <c r="AC49" s="56">
        <f t="shared" si="18"/>
        <v>226</v>
      </c>
      <c r="AD49" s="56">
        <f t="shared" si="18"/>
        <v>0</v>
      </c>
      <c r="AE49" s="56">
        <f t="shared" si="18"/>
        <v>135</v>
      </c>
      <c r="AF49" s="56">
        <f t="shared" si="18"/>
        <v>142</v>
      </c>
      <c r="AG49" s="56">
        <f t="shared" si="18"/>
        <v>203</v>
      </c>
      <c r="AH49" s="56">
        <f t="shared" si="18"/>
        <v>161</v>
      </c>
      <c r="AI49" s="56">
        <f t="shared" si="18"/>
        <v>225</v>
      </c>
      <c r="AJ49" s="56">
        <f t="shared" si="18"/>
        <v>152</v>
      </c>
      <c r="AK49" s="56">
        <f t="shared" si="18"/>
        <v>256</v>
      </c>
      <c r="AL49" s="56">
        <f t="shared" si="18"/>
        <v>136</v>
      </c>
      <c r="AM49" s="56">
        <f t="shared" si="18"/>
        <v>179</v>
      </c>
      <c r="AN49" s="56">
        <f t="shared" si="18"/>
        <v>0</v>
      </c>
      <c r="AO49" s="56">
        <f t="shared" si="18"/>
        <v>200</v>
      </c>
      <c r="AP49" s="56">
        <f t="shared" si="18"/>
        <v>0</v>
      </c>
      <c r="AQ49" s="56">
        <f t="shared" si="18"/>
        <v>0</v>
      </c>
      <c r="AR49" s="56">
        <f t="shared" si="18"/>
        <v>172</v>
      </c>
      <c r="AS49" s="56">
        <f t="shared" si="18"/>
        <v>151</v>
      </c>
      <c r="AT49" s="56">
        <f t="shared" si="18"/>
        <v>0</v>
      </c>
      <c r="AU49" s="56">
        <f t="shared" si="18"/>
        <v>0</v>
      </c>
      <c r="AV49" s="56">
        <f t="shared" si="18"/>
        <v>0</v>
      </c>
      <c r="AW49" s="56">
        <f t="shared" si="18"/>
        <v>0</v>
      </c>
      <c r="AX49" s="56">
        <f t="shared" si="18"/>
        <v>0</v>
      </c>
      <c r="AY49" s="56">
        <f t="shared" si="18"/>
        <v>0</v>
      </c>
      <c r="AZ49" s="56">
        <f t="shared" si="18"/>
        <v>0</v>
      </c>
      <c r="BA49" s="56">
        <f t="shared" si="18"/>
        <v>0</v>
      </c>
      <c r="BB49" s="56">
        <f t="shared" si="18"/>
        <v>0</v>
      </c>
      <c r="BC49" s="56">
        <f t="shared" si="18"/>
        <v>0</v>
      </c>
      <c r="BD49" s="56">
        <f t="shared" si="18"/>
        <v>0</v>
      </c>
      <c r="BE49" s="56">
        <f t="shared" si="18"/>
        <v>0</v>
      </c>
      <c r="CE49" s="56">
        <f>SUM(C49:BF49)</f>
        <v>5202</v>
      </c>
      <c r="CG49" s="56">
        <f>MAX(C49:CB49)</f>
        <v>256</v>
      </c>
      <c r="CH49" s="56">
        <f t="array" ref="CH49">MIN(IF(C49:CB49&gt;0,C49:CB49,9999))</f>
        <v>67</v>
      </c>
      <c r="CN49" s="61"/>
    </row>
    <row r="50" spans="2:92" x14ac:dyDescent="0.15">
      <c r="B50" s="2" t="s">
        <v>39</v>
      </c>
      <c r="C50" s="2">
        <f t="shared" ref="C50:O50" si="19">BowlSplit(C5:C44,OversBowled)</f>
        <v>42.3</v>
      </c>
      <c r="D50" s="2">
        <f t="shared" si="19"/>
        <v>34.4</v>
      </c>
      <c r="E50" s="2">
        <f t="shared" si="19"/>
        <v>40.4</v>
      </c>
      <c r="F50" s="2">
        <f t="shared" si="19"/>
        <v>43</v>
      </c>
      <c r="G50" s="2">
        <f t="shared" si="19"/>
        <v>0</v>
      </c>
      <c r="H50" s="2">
        <f t="shared" si="19"/>
        <v>33</v>
      </c>
      <c r="I50" s="2">
        <f t="shared" si="19"/>
        <v>49</v>
      </c>
      <c r="J50" s="2">
        <f t="shared" si="19"/>
        <v>37.4</v>
      </c>
      <c r="K50" s="2">
        <f t="shared" si="19"/>
        <v>37</v>
      </c>
      <c r="L50" s="2">
        <f t="shared" si="19"/>
        <v>30.2</v>
      </c>
      <c r="M50" s="2">
        <f t="shared" si="19"/>
        <v>0</v>
      </c>
      <c r="N50" s="2">
        <f t="shared" si="19"/>
        <v>34.200000000000003</v>
      </c>
      <c r="O50" s="2">
        <f t="shared" si="19"/>
        <v>28.3</v>
      </c>
      <c r="P50" s="2">
        <f t="shared" ref="P50:BF50" si="20">BowlSplit(P5:P44,OversBowled)</f>
        <v>38.299999999999997</v>
      </c>
      <c r="Q50" s="2">
        <f t="shared" si="20"/>
        <v>40.299999999999997</v>
      </c>
      <c r="R50" s="2">
        <f t="shared" si="20"/>
        <v>40</v>
      </c>
      <c r="S50" s="2">
        <f t="shared" si="20"/>
        <v>34</v>
      </c>
      <c r="T50" s="2">
        <f t="shared" si="20"/>
        <v>51</v>
      </c>
      <c r="U50" s="2">
        <f t="shared" si="20"/>
        <v>0</v>
      </c>
      <c r="V50" s="2">
        <f t="shared" si="20"/>
        <v>32</v>
      </c>
      <c r="W50" s="2">
        <f t="shared" si="20"/>
        <v>28.1</v>
      </c>
      <c r="X50" s="2">
        <f t="shared" si="20"/>
        <v>23.5</v>
      </c>
      <c r="Y50" s="2">
        <f t="shared" si="20"/>
        <v>0</v>
      </c>
      <c r="Z50" s="2">
        <f t="shared" si="20"/>
        <v>38.299999999999997</v>
      </c>
      <c r="AA50" s="2">
        <f t="shared" si="20"/>
        <v>45</v>
      </c>
      <c r="AB50" s="2">
        <f t="shared" si="20"/>
        <v>36.299999999999997</v>
      </c>
      <c r="AC50" s="2">
        <f t="shared" si="20"/>
        <v>38</v>
      </c>
      <c r="AD50" s="2">
        <f t="shared" si="20"/>
        <v>0</v>
      </c>
      <c r="AE50" s="2">
        <f t="shared" si="20"/>
        <v>42.3</v>
      </c>
      <c r="AF50" s="2">
        <f t="shared" si="20"/>
        <v>31.1</v>
      </c>
      <c r="AG50" s="2">
        <f t="shared" si="20"/>
        <v>40</v>
      </c>
      <c r="AH50" s="2">
        <f t="shared" si="20"/>
        <v>35.1</v>
      </c>
      <c r="AI50" s="2">
        <f t="shared" si="20"/>
        <v>43</v>
      </c>
      <c r="AJ50" s="2">
        <f t="shared" si="20"/>
        <v>31.2</v>
      </c>
      <c r="AK50" s="2">
        <f t="shared" si="20"/>
        <v>35</v>
      </c>
      <c r="AL50" s="2">
        <f t="shared" si="20"/>
        <v>37.1</v>
      </c>
      <c r="AM50" s="2">
        <f t="shared" si="20"/>
        <v>41.1</v>
      </c>
      <c r="AN50" s="2">
        <f t="shared" si="20"/>
        <v>0</v>
      </c>
      <c r="AO50" s="2">
        <f t="shared" si="20"/>
        <v>47</v>
      </c>
      <c r="AP50" s="2">
        <f t="shared" si="20"/>
        <v>0</v>
      </c>
      <c r="AQ50" s="2">
        <f t="shared" si="20"/>
        <v>0</v>
      </c>
      <c r="AR50" s="2">
        <f t="shared" si="20"/>
        <v>37.200000000000003</v>
      </c>
      <c r="AS50" s="2">
        <f t="shared" si="20"/>
        <v>33.4</v>
      </c>
      <c r="AT50" s="2">
        <f t="shared" si="20"/>
        <v>0</v>
      </c>
      <c r="AU50" s="2">
        <f t="shared" si="20"/>
        <v>0</v>
      </c>
      <c r="AV50" s="2">
        <f t="shared" si="20"/>
        <v>0</v>
      </c>
      <c r="AW50" s="2">
        <f t="shared" si="20"/>
        <v>0</v>
      </c>
      <c r="AX50" s="2">
        <f t="shared" si="20"/>
        <v>0</v>
      </c>
      <c r="AY50" s="2">
        <f t="shared" si="20"/>
        <v>0</v>
      </c>
      <c r="AZ50" s="2">
        <f t="shared" si="20"/>
        <v>0</v>
      </c>
      <c r="BA50" s="2">
        <f t="shared" si="20"/>
        <v>0</v>
      </c>
      <c r="BB50" s="2">
        <f t="shared" si="20"/>
        <v>0</v>
      </c>
      <c r="BC50" s="2">
        <f t="shared" si="20"/>
        <v>0</v>
      </c>
      <c r="BD50" s="2">
        <f t="shared" si="20"/>
        <v>0</v>
      </c>
      <c r="BE50" s="2">
        <f t="shared" si="20"/>
        <v>0</v>
      </c>
      <c r="BF50" s="2">
        <f t="shared" si="20"/>
        <v>0</v>
      </c>
      <c r="CE50" s="55">
        <f>MAX(C50:CC50)</f>
        <v>51</v>
      </c>
    </row>
    <row r="51" spans="2:92" x14ac:dyDescent="0.15">
      <c r="B51" s="2" t="s">
        <v>38</v>
      </c>
      <c r="C51" s="2">
        <f t="shared" ref="C51:N51" si="21">BowlSplit(C5:C44,BallsBowled)</f>
        <v>255</v>
      </c>
      <c r="D51" s="2">
        <f t="shared" si="21"/>
        <v>208</v>
      </c>
      <c r="E51" s="2">
        <f t="shared" si="21"/>
        <v>244</v>
      </c>
      <c r="F51" s="2">
        <f t="shared" si="21"/>
        <v>258</v>
      </c>
      <c r="G51" s="2">
        <f t="shared" si="21"/>
        <v>0</v>
      </c>
      <c r="H51" s="2">
        <f t="shared" si="21"/>
        <v>198</v>
      </c>
      <c r="I51" s="2">
        <f t="shared" si="21"/>
        <v>294</v>
      </c>
      <c r="J51" s="2">
        <f t="shared" si="21"/>
        <v>226</v>
      </c>
      <c r="K51" s="2">
        <f t="shared" si="21"/>
        <v>222</v>
      </c>
      <c r="L51" s="2">
        <f t="shared" si="21"/>
        <v>182</v>
      </c>
      <c r="M51" s="2">
        <f t="shared" si="21"/>
        <v>0</v>
      </c>
      <c r="N51" s="2">
        <f t="shared" si="21"/>
        <v>206</v>
      </c>
      <c r="O51" s="2">
        <f>BowlSplit(T5:T44,BallsBowled)</f>
        <v>306</v>
      </c>
      <c r="P51" s="2">
        <f t="shared" ref="P51:BF51" si="22">BowlSplit(P5:P44,BallsBowled)</f>
        <v>231</v>
      </c>
      <c r="Q51" s="2">
        <f t="shared" si="22"/>
        <v>243</v>
      </c>
      <c r="R51" s="2">
        <f t="shared" si="22"/>
        <v>240</v>
      </c>
      <c r="S51" s="2">
        <f t="shared" si="22"/>
        <v>204</v>
      </c>
      <c r="T51" s="2">
        <f t="shared" si="22"/>
        <v>306</v>
      </c>
      <c r="U51" s="2">
        <f t="shared" si="22"/>
        <v>0</v>
      </c>
      <c r="V51" s="2">
        <f t="shared" si="22"/>
        <v>192</v>
      </c>
      <c r="W51" s="2">
        <f t="shared" si="22"/>
        <v>169</v>
      </c>
      <c r="X51" s="2">
        <f t="shared" si="22"/>
        <v>143</v>
      </c>
      <c r="Y51" s="2">
        <f t="shared" si="22"/>
        <v>0</v>
      </c>
      <c r="Z51" s="2">
        <f t="shared" si="22"/>
        <v>231</v>
      </c>
      <c r="AA51" s="2">
        <f t="shared" si="22"/>
        <v>270</v>
      </c>
      <c r="AB51" s="2">
        <f t="shared" si="22"/>
        <v>219</v>
      </c>
      <c r="AC51" s="2">
        <f t="shared" si="22"/>
        <v>228</v>
      </c>
      <c r="AD51" s="2">
        <f t="shared" si="22"/>
        <v>0</v>
      </c>
      <c r="AE51" s="2">
        <f t="shared" si="22"/>
        <v>255</v>
      </c>
      <c r="AF51" s="2">
        <f t="shared" si="22"/>
        <v>187</v>
      </c>
      <c r="AG51" s="2">
        <f t="shared" si="22"/>
        <v>240</v>
      </c>
      <c r="AH51" s="2">
        <f t="shared" si="22"/>
        <v>211</v>
      </c>
      <c r="AI51" s="2">
        <f t="shared" si="22"/>
        <v>258</v>
      </c>
      <c r="AJ51" s="2">
        <f t="shared" si="22"/>
        <v>188</v>
      </c>
      <c r="AK51" s="2">
        <f t="shared" si="22"/>
        <v>210</v>
      </c>
      <c r="AL51" s="2">
        <f t="shared" si="22"/>
        <v>223</v>
      </c>
      <c r="AM51" s="2">
        <f t="shared" si="22"/>
        <v>247</v>
      </c>
      <c r="AN51" s="2">
        <f t="shared" si="22"/>
        <v>0</v>
      </c>
      <c r="AO51" s="2">
        <f t="shared" si="22"/>
        <v>282</v>
      </c>
      <c r="AP51" s="2">
        <f t="shared" si="22"/>
        <v>0</v>
      </c>
      <c r="AQ51" s="2">
        <f t="shared" si="22"/>
        <v>0</v>
      </c>
      <c r="AR51" s="2">
        <f t="shared" si="22"/>
        <v>224</v>
      </c>
      <c r="AS51" s="2">
        <f t="shared" si="22"/>
        <v>202</v>
      </c>
      <c r="AT51" s="2">
        <f t="shared" si="22"/>
        <v>0</v>
      </c>
      <c r="AU51" s="2">
        <f t="shared" si="22"/>
        <v>0</v>
      </c>
      <c r="AV51" s="2">
        <f t="shared" si="22"/>
        <v>0</v>
      </c>
      <c r="AW51" s="2">
        <f t="shared" si="22"/>
        <v>0</v>
      </c>
      <c r="AX51" s="2">
        <f t="shared" si="22"/>
        <v>0</v>
      </c>
      <c r="AY51" s="2">
        <f t="shared" si="22"/>
        <v>0</v>
      </c>
      <c r="AZ51" s="2">
        <f t="shared" si="22"/>
        <v>0</v>
      </c>
      <c r="BA51" s="2">
        <f t="shared" si="22"/>
        <v>0</v>
      </c>
      <c r="BB51" s="2">
        <f t="shared" si="22"/>
        <v>0</v>
      </c>
      <c r="BC51" s="2">
        <f t="shared" si="22"/>
        <v>0</v>
      </c>
      <c r="BD51" s="2">
        <f t="shared" si="22"/>
        <v>0</v>
      </c>
      <c r="BE51" s="2">
        <f t="shared" si="22"/>
        <v>0</v>
      </c>
      <c r="BF51" s="2">
        <f t="shared" si="22"/>
        <v>0</v>
      </c>
      <c r="CE51" s="55">
        <f>SUM(C51:BF51)</f>
        <v>8002</v>
      </c>
      <c r="CF51" s="55">
        <f>INT(CE51/6)</f>
        <v>1333</v>
      </c>
      <c r="CG51" s="55">
        <f>CE51-CF51*6</f>
        <v>4</v>
      </c>
      <c r="CH51" s="55">
        <f>CF51+CG51/10</f>
        <v>1333.4</v>
      </c>
    </row>
    <row r="52" spans="2:92" x14ac:dyDescent="0.15">
      <c r="B52" s="2" t="s">
        <v>200</v>
      </c>
      <c r="C52" s="2">
        <f t="array" ref="C52:CC52">TRANSPOSE(Matches!P5:P59)</f>
        <v>42.3</v>
      </c>
      <c r="D52" s="2">
        <v>34.4</v>
      </c>
      <c r="E52" s="2">
        <v>40.4</v>
      </c>
      <c r="F52" s="2">
        <v>43</v>
      </c>
      <c r="G52" s="2">
        <v>0</v>
      </c>
      <c r="H52" s="2">
        <v>33</v>
      </c>
      <c r="I52" s="2">
        <v>49</v>
      </c>
      <c r="J52" s="2">
        <v>37.4</v>
      </c>
      <c r="K52" s="2">
        <v>37</v>
      </c>
      <c r="L52" s="2">
        <v>30.2</v>
      </c>
      <c r="M52" s="2">
        <v>0</v>
      </c>
      <c r="N52" s="2">
        <v>34.200000000000003</v>
      </c>
      <c r="O52" s="2">
        <v>28.3</v>
      </c>
      <c r="P52" s="2">
        <v>38.299999999999997</v>
      </c>
      <c r="Q52" s="2">
        <v>40.299999999999997</v>
      </c>
      <c r="R52" s="2">
        <v>40</v>
      </c>
      <c r="S52" s="2">
        <v>34</v>
      </c>
      <c r="T52" s="2">
        <v>51</v>
      </c>
      <c r="U52" s="2">
        <v>0</v>
      </c>
      <c r="V52" s="2">
        <v>32</v>
      </c>
      <c r="W52" s="2">
        <v>28.1</v>
      </c>
      <c r="X52" s="2">
        <v>23.5</v>
      </c>
      <c r="Y52" s="2">
        <v>0</v>
      </c>
      <c r="Z52" s="2">
        <v>38.299999999999997</v>
      </c>
      <c r="AA52" s="2">
        <v>45</v>
      </c>
      <c r="AB52" s="2">
        <v>36.299999999999997</v>
      </c>
      <c r="AC52" s="2">
        <v>38</v>
      </c>
      <c r="AD52" s="2">
        <v>0</v>
      </c>
      <c r="AE52" s="2">
        <v>42.3</v>
      </c>
      <c r="AF52" s="2">
        <v>31.1</v>
      </c>
      <c r="AG52" s="2">
        <v>40</v>
      </c>
      <c r="AH52" s="2">
        <v>35.1</v>
      </c>
      <c r="AI52" s="2">
        <v>43</v>
      </c>
      <c r="AJ52" s="2">
        <v>31.2</v>
      </c>
      <c r="AK52" s="2">
        <v>35</v>
      </c>
      <c r="AL52" s="2">
        <v>37.1</v>
      </c>
      <c r="AM52" s="2">
        <v>41.1</v>
      </c>
      <c r="AN52" s="2">
        <v>0</v>
      </c>
      <c r="AO52" s="2">
        <v>47</v>
      </c>
      <c r="AP52" s="2">
        <v>0</v>
      </c>
      <c r="AQ52" s="2">
        <v>0</v>
      </c>
      <c r="AR52" s="2">
        <v>37.200000000000003</v>
      </c>
      <c r="AS52" s="2">
        <v>33.4</v>
      </c>
      <c r="AT52" s="2">
        <v>0</v>
      </c>
      <c r="AU52" s="2">
        <v>0</v>
      </c>
      <c r="AV52" s="2">
        <v>0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 t="e">
        <v>#N/A</v>
      </c>
      <c r="BG52" s="2" t="e">
        <v>#N/A</v>
      </c>
      <c r="BH52" s="2" t="e">
        <v>#N/A</v>
      </c>
      <c r="BI52" s="2" t="e">
        <v>#N/A</v>
      </c>
      <c r="BJ52" s="2" t="e">
        <v>#N/A</v>
      </c>
      <c r="BK52" s="2" t="e">
        <v>#N/A</v>
      </c>
      <c r="BL52" s="2" t="e">
        <v>#N/A</v>
      </c>
      <c r="BM52" s="2" t="e">
        <v>#N/A</v>
      </c>
      <c r="BN52" s="2" t="e">
        <v>#N/A</v>
      </c>
      <c r="BO52" s="2" t="e">
        <v>#N/A</v>
      </c>
      <c r="BP52" s="2" t="e">
        <v>#N/A</v>
      </c>
      <c r="BQ52" s="2" t="e">
        <v>#N/A</v>
      </c>
      <c r="BR52" s="2" t="e">
        <v>#N/A</v>
      </c>
      <c r="BS52" s="2" t="e">
        <v>#N/A</v>
      </c>
      <c r="BT52" s="2" t="e">
        <v>#N/A</v>
      </c>
      <c r="BU52" s="2" t="e">
        <v>#N/A</v>
      </c>
      <c r="BV52" s="2" t="e">
        <v>#N/A</v>
      </c>
      <c r="BW52" s="2" t="e">
        <v>#N/A</v>
      </c>
      <c r="BX52" s="2" t="e">
        <v>#N/A</v>
      </c>
      <c r="BY52" s="2" t="e">
        <v>#N/A</v>
      </c>
      <c r="BZ52" s="2" t="e">
        <v>#N/A</v>
      </c>
      <c r="CA52" s="2" t="e">
        <v>#N/A</v>
      </c>
      <c r="CB52" s="2" t="e">
        <v>#N/A</v>
      </c>
      <c r="CC52" s="2" t="e">
        <v>#N/A</v>
      </c>
    </row>
    <row r="53" spans="2:92" x14ac:dyDescent="0.15">
      <c r="C53" s="2">
        <f>Maidens</f>
        <v>2</v>
      </c>
    </row>
    <row r="54" spans="2:92" x14ac:dyDescent="0.15">
      <c r="B54" s="2">
        <f>MAX(C54:AR83)</f>
        <v>8</v>
      </c>
      <c r="C54" s="2">
        <f t="shared" ref="C54:R54" si="23">BowlSplit(C5,$C$53)</f>
        <v>0</v>
      </c>
      <c r="D54" s="2">
        <f t="shared" si="23"/>
        <v>0</v>
      </c>
      <c r="E54" s="2">
        <f t="shared" si="23"/>
        <v>0</v>
      </c>
      <c r="F54" s="2">
        <f t="shared" si="23"/>
        <v>0</v>
      </c>
      <c r="G54" s="2">
        <f t="shared" si="23"/>
        <v>0</v>
      </c>
      <c r="H54" s="2">
        <f t="shared" si="23"/>
        <v>0</v>
      </c>
      <c r="I54" s="2">
        <f t="shared" si="23"/>
        <v>0</v>
      </c>
      <c r="J54" s="2">
        <f t="shared" si="23"/>
        <v>0</v>
      </c>
      <c r="K54" s="2">
        <f t="shared" si="23"/>
        <v>0</v>
      </c>
      <c r="L54" s="2">
        <f t="shared" si="23"/>
        <v>0</v>
      </c>
      <c r="M54" s="2">
        <f t="shared" si="23"/>
        <v>0</v>
      </c>
      <c r="N54" s="2">
        <f t="shared" si="23"/>
        <v>0</v>
      </c>
      <c r="O54" s="2">
        <f t="shared" si="23"/>
        <v>0</v>
      </c>
      <c r="P54" s="2">
        <f t="shared" si="23"/>
        <v>0</v>
      </c>
      <c r="Q54" s="2">
        <f t="shared" si="23"/>
        <v>0</v>
      </c>
      <c r="R54" s="2">
        <f t="shared" si="23"/>
        <v>0</v>
      </c>
      <c r="S54" s="2">
        <f t="shared" ref="S54:AR54" si="24">BowlSplit(S5,$C$53)</f>
        <v>0</v>
      </c>
      <c r="T54" s="2">
        <f t="shared" si="24"/>
        <v>0</v>
      </c>
      <c r="U54" s="2">
        <f t="shared" si="24"/>
        <v>0</v>
      </c>
      <c r="V54" s="2">
        <f t="shared" si="24"/>
        <v>0</v>
      </c>
      <c r="W54" s="2">
        <f t="shared" si="24"/>
        <v>0</v>
      </c>
      <c r="X54" s="2">
        <f t="shared" si="24"/>
        <v>0</v>
      </c>
      <c r="Y54" s="2">
        <f t="shared" si="24"/>
        <v>0</v>
      </c>
      <c r="Z54" s="2">
        <f t="shared" si="24"/>
        <v>0</v>
      </c>
      <c r="AA54" s="2">
        <f t="shared" si="24"/>
        <v>2</v>
      </c>
      <c r="AB54" s="2">
        <f t="shared" si="24"/>
        <v>0</v>
      </c>
      <c r="AC54" s="2">
        <f t="shared" si="24"/>
        <v>0</v>
      </c>
      <c r="AD54" s="2">
        <f t="shared" si="24"/>
        <v>0</v>
      </c>
      <c r="AE54" s="2">
        <f t="shared" si="24"/>
        <v>1</v>
      </c>
      <c r="AF54" s="2">
        <f t="shared" si="24"/>
        <v>1</v>
      </c>
      <c r="AG54" s="2">
        <f t="shared" si="24"/>
        <v>0</v>
      </c>
      <c r="AH54" s="2">
        <f t="shared" si="24"/>
        <v>0</v>
      </c>
      <c r="AI54" s="2">
        <f t="shared" si="24"/>
        <v>0</v>
      </c>
      <c r="AJ54" s="2">
        <f t="shared" si="24"/>
        <v>0</v>
      </c>
      <c r="AK54" s="2">
        <f t="shared" si="24"/>
        <v>0</v>
      </c>
      <c r="AL54" s="2">
        <f t="shared" si="24"/>
        <v>1</v>
      </c>
      <c r="AM54" s="2">
        <f t="shared" si="24"/>
        <v>0</v>
      </c>
      <c r="AN54" s="2">
        <f t="shared" si="24"/>
        <v>0</v>
      </c>
      <c r="AO54" s="2">
        <f t="shared" si="24"/>
        <v>0</v>
      </c>
      <c r="AP54" s="2">
        <f t="shared" si="24"/>
        <v>0</v>
      </c>
      <c r="AQ54" s="2">
        <f t="shared" si="24"/>
        <v>0</v>
      </c>
      <c r="AR54" s="2">
        <f t="shared" si="24"/>
        <v>1</v>
      </c>
    </row>
    <row r="55" spans="2:92" x14ac:dyDescent="0.15">
      <c r="C55" s="2">
        <f t="shared" ref="C55:R55" si="25">BowlSplit(C6,$C$53)</f>
        <v>0</v>
      </c>
      <c r="D55" s="2">
        <f t="shared" si="25"/>
        <v>0</v>
      </c>
      <c r="E55" s="2">
        <f t="shared" si="25"/>
        <v>0</v>
      </c>
      <c r="F55" s="2">
        <f t="shared" si="25"/>
        <v>0</v>
      </c>
      <c r="G55" s="2">
        <f t="shared" si="25"/>
        <v>0</v>
      </c>
      <c r="H55" s="2">
        <f t="shared" si="25"/>
        <v>0</v>
      </c>
      <c r="I55" s="2">
        <f t="shared" si="25"/>
        <v>0</v>
      </c>
      <c r="J55" s="2">
        <f t="shared" si="25"/>
        <v>0</v>
      </c>
      <c r="K55" s="2">
        <f t="shared" si="25"/>
        <v>0</v>
      </c>
      <c r="L55" s="2">
        <f t="shared" si="25"/>
        <v>0</v>
      </c>
      <c r="M55" s="2">
        <f t="shared" si="25"/>
        <v>0</v>
      </c>
      <c r="N55" s="2">
        <f t="shared" si="25"/>
        <v>0</v>
      </c>
      <c r="O55" s="2">
        <f t="shared" si="25"/>
        <v>0</v>
      </c>
      <c r="P55" s="2">
        <f t="shared" si="25"/>
        <v>0</v>
      </c>
      <c r="Q55" s="2">
        <f t="shared" si="25"/>
        <v>0</v>
      </c>
      <c r="R55" s="2">
        <f t="shared" si="25"/>
        <v>0</v>
      </c>
      <c r="S55" s="2">
        <f t="shared" ref="S55:AR55" si="26">BowlSplit(S6,$C$53)</f>
        <v>0</v>
      </c>
      <c r="T55" s="2">
        <f t="shared" si="26"/>
        <v>0</v>
      </c>
      <c r="U55" s="2">
        <f t="shared" si="26"/>
        <v>0</v>
      </c>
      <c r="V55" s="2">
        <f t="shared" si="26"/>
        <v>0</v>
      </c>
      <c r="W55" s="2">
        <f t="shared" si="26"/>
        <v>0</v>
      </c>
      <c r="X55" s="2">
        <f t="shared" si="26"/>
        <v>0</v>
      </c>
      <c r="Y55" s="2">
        <f t="shared" si="26"/>
        <v>0</v>
      </c>
      <c r="Z55" s="2">
        <f t="shared" si="26"/>
        <v>0</v>
      </c>
      <c r="AA55" s="2">
        <f t="shared" si="26"/>
        <v>0</v>
      </c>
      <c r="AB55" s="2">
        <f t="shared" si="26"/>
        <v>0</v>
      </c>
      <c r="AC55" s="2">
        <f t="shared" si="26"/>
        <v>0</v>
      </c>
      <c r="AD55" s="2">
        <f t="shared" si="26"/>
        <v>0</v>
      </c>
      <c r="AE55" s="2">
        <f t="shared" si="26"/>
        <v>0</v>
      </c>
      <c r="AF55" s="2">
        <f t="shared" si="26"/>
        <v>0</v>
      </c>
      <c r="AG55" s="2">
        <f t="shared" si="26"/>
        <v>0</v>
      </c>
      <c r="AH55" s="2">
        <f t="shared" si="26"/>
        <v>0</v>
      </c>
      <c r="AI55" s="2">
        <f t="shared" si="26"/>
        <v>0</v>
      </c>
      <c r="AJ55" s="2">
        <f t="shared" si="26"/>
        <v>0</v>
      </c>
      <c r="AK55" s="2">
        <f t="shared" si="26"/>
        <v>0</v>
      </c>
      <c r="AL55" s="2">
        <f t="shared" si="26"/>
        <v>0</v>
      </c>
      <c r="AM55" s="2">
        <f t="shared" si="26"/>
        <v>0</v>
      </c>
      <c r="AN55" s="2">
        <f t="shared" si="26"/>
        <v>0</v>
      </c>
      <c r="AO55" s="2">
        <f t="shared" si="26"/>
        <v>0</v>
      </c>
      <c r="AP55" s="2">
        <f t="shared" si="26"/>
        <v>0</v>
      </c>
      <c r="AQ55" s="2">
        <f t="shared" si="26"/>
        <v>0</v>
      </c>
      <c r="AR55" s="2">
        <f t="shared" si="26"/>
        <v>0</v>
      </c>
    </row>
    <row r="56" spans="2:92" x14ac:dyDescent="0.15">
      <c r="C56" s="2">
        <f t="shared" ref="C56:R56" si="27">BowlSplit(C7,$C$53)</f>
        <v>6</v>
      </c>
      <c r="D56" s="2">
        <f t="shared" si="27"/>
        <v>0</v>
      </c>
      <c r="E56" s="2">
        <f t="shared" si="27"/>
        <v>0</v>
      </c>
      <c r="F56" s="2">
        <f t="shared" si="27"/>
        <v>5</v>
      </c>
      <c r="G56" s="2">
        <f t="shared" si="27"/>
        <v>0</v>
      </c>
      <c r="H56" s="2">
        <f t="shared" si="27"/>
        <v>0</v>
      </c>
      <c r="I56" s="2">
        <f t="shared" si="27"/>
        <v>6</v>
      </c>
      <c r="J56" s="2">
        <f t="shared" si="27"/>
        <v>1</v>
      </c>
      <c r="K56" s="2">
        <f t="shared" si="27"/>
        <v>1</v>
      </c>
      <c r="L56" s="2">
        <f t="shared" si="27"/>
        <v>1</v>
      </c>
      <c r="M56" s="2">
        <f t="shared" si="27"/>
        <v>0</v>
      </c>
      <c r="N56" s="2">
        <f t="shared" si="27"/>
        <v>0</v>
      </c>
      <c r="O56" s="2">
        <f t="shared" si="27"/>
        <v>4</v>
      </c>
      <c r="P56" s="2">
        <f t="shared" si="27"/>
        <v>0</v>
      </c>
      <c r="Q56" s="2">
        <f t="shared" si="27"/>
        <v>2</v>
      </c>
      <c r="R56" s="2">
        <f t="shared" si="27"/>
        <v>0</v>
      </c>
      <c r="S56" s="2">
        <f t="shared" ref="S56:AR56" si="28">BowlSplit(S7,$C$53)</f>
        <v>0</v>
      </c>
      <c r="T56" s="2">
        <f t="shared" si="28"/>
        <v>0</v>
      </c>
      <c r="U56" s="2">
        <f t="shared" si="28"/>
        <v>0</v>
      </c>
      <c r="V56" s="2">
        <f t="shared" si="28"/>
        <v>0</v>
      </c>
      <c r="W56" s="2">
        <f t="shared" si="28"/>
        <v>6</v>
      </c>
      <c r="X56" s="2">
        <f t="shared" si="28"/>
        <v>0</v>
      </c>
      <c r="Y56" s="2">
        <f t="shared" si="28"/>
        <v>0</v>
      </c>
      <c r="Z56" s="2">
        <f t="shared" si="28"/>
        <v>0</v>
      </c>
      <c r="AA56" s="2">
        <f t="shared" si="28"/>
        <v>1</v>
      </c>
      <c r="AB56" s="2">
        <f t="shared" si="28"/>
        <v>0</v>
      </c>
      <c r="AC56" s="2">
        <f t="shared" si="28"/>
        <v>2</v>
      </c>
      <c r="AD56" s="2">
        <f t="shared" si="28"/>
        <v>0</v>
      </c>
      <c r="AE56" s="2">
        <f t="shared" si="28"/>
        <v>4</v>
      </c>
      <c r="AF56" s="2">
        <f t="shared" si="28"/>
        <v>0</v>
      </c>
      <c r="AG56" s="2">
        <f t="shared" si="28"/>
        <v>0</v>
      </c>
      <c r="AH56" s="2">
        <f t="shared" si="28"/>
        <v>0</v>
      </c>
      <c r="AI56" s="2">
        <f t="shared" si="28"/>
        <v>0</v>
      </c>
      <c r="AJ56" s="2">
        <f t="shared" si="28"/>
        <v>0</v>
      </c>
      <c r="AK56" s="2">
        <f t="shared" si="28"/>
        <v>0</v>
      </c>
      <c r="AL56" s="2">
        <f t="shared" si="28"/>
        <v>0</v>
      </c>
      <c r="AM56" s="2">
        <f t="shared" si="28"/>
        <v>1</v>
      </c>
      <c r="AN56" s="2">
        <f t="shared" si="28"/>
        <v>0</v>
      </c>
      <c r="AO56" s="2">
        <f t="shared" si="28"/>
        <v>5</v>
      </c>
      <c r="AP56" s="2">
        <f t="shared" si="28"/>
        <v>0</v>
      </c>
      <c r="AQ56" s="2">
        <f t="shared" si="28"/>
        <v>0</v>
      </c>
      <c r="AR56" s="2">
        <f t="shared" si="28"/>
        <v>2</v>
      </c>
    </row>
    <row r="57" spans="2:92" x14ac:dyDescent="0.15">
      <c r="C57" s="2">
        <f t="shared" ref="C57:R57" si="29">BowlSplit(C8,$C$53)</f>
        <v>0</v>
      </c>
      <c r="D57" s="2">
        <f t="shared" si="29"/>
        <v>0</v>
      </c>
      <c r="E57" s="2">
        <f t="shared" si="29"/>
        <v>0</v>
      </c>
      <c r="F57" s="2">
        <f t="shared" si="29"/>
        <v>0</v>
      </c>
      <c r="G57" s="2">
        <f t="shared" si="29"/>
        <v>0</v>
      </c>
      <c r="H57" s="2">
        <f t="shared" si="29"/>
        <v>0</v>
      </c>
      <c r="I57" s="2">
        <f t="shared" si="29"/>
        <v>0</v>
      </c>
      <c r="J57" s="2">
        <f t="shared" si="29"/>
        <v>0</v>
      </c>
      <c r="K57" s="2">
        <f t="shared" si="29"/>
        <v>0</v>
      </c>
      <c r="L57" s="2">
        <f t="shared" si="29"/>
        <v>0</v>
      </c>
      <c r="M57" s="2">
        <f t="shared" si="29"/>
        <v>0</v>
      </c>
      <c r="N57" s="2">
        <f t="shared" si="29"/>
        <v>0</v>
      </c>
      <c r="O57" s="2">
        <f t="shared" si="29"/>
        <v>0</v>
      </c>
      <c r="P57" s="2">
        <f t="shared" si="29"/>
        <v>0</v>
      </c>
      <c r="Q57" s="2">
        <f t="shared" si="29"/>
        <v>0</v>
      </c>
      <c r="R57" s="2">
        <f t="shared" si="29"/>
        <v>0</v>
      </c>
      <c r="S57" s="2">
        <f t="shared" ref="S57:AR57" si="30">BowlSplit(S8,$C$53)</f>
        <v>0</v>
      </c>
      <c r="T57" s="2">
        <f t="shared" si="30"/>
        <v>0</v>
      </c>
      <c r="U57" s="2">
        <f t="shared" si="30"/>
        <v>0</v>
      </c>
      <c r="V57" s="2">
        <f t="shared" si="30"/>
        <v>0</v>
      </c>
      <c r="W57" s="2">
        <f t="shared" si="30"/>
        <v>0</v>
      </c>
      <c r="X57" s="2">
        <f t="shared" si="30"/>
        <v>0</v>
      </c>
      <c r="Y57" s="2">
        <f t="shared" si="30"/>
        <v>0</v>
      </c>
      <c r="Z57" s="2">
        <f t="shared" si="30"/>
        <v>0</v>
      </c>
      <c r="AA57" s="2">
        <f t="shared" si="30"/>
        <v>0</v>
      </c>
      <c r="AB57" s="2">
        <f t="shared" si="30"/>
        <v>0</v>
      </c>
      <c r="AC57" s="2">
        <f t="shared" si="30"/>
        <v>0</v>
      </c>
      <c r="AD57" s="2">
        <f t="shared" si="30"/>
        <v>0</v>
      </c>
      <c r="AE57" s="2">
        <f t="shared" si="30"/>
        <v>0</v>
      </c>
      <c r="AF57" s="2">
        <f t="shared" si="30"/>
        <v>0</v>
      </c>
      <c r="AG57" s="2">
        <f t="shared" si="30"/>
        <v>0</v>
      </c>
      <c r="AH57" s="2">
        <f t="shared" si="30"/>
        <v>0</v>
      </c>
      <c r="AI57" s="2">
        <f t="shared" si="30"/>
        <v>0</v>
      </c>
      <c r="AJ57" s="2">
        <f t="shared" si="30"/>
        <v>0</v>
      </c>
      <c r="AK57" s="2">
        <f t="shared" si="30"/>
        <v>0</v>
      </c>
      <c r="AL57" s="2">
        <f t="shared" si="30"/>
        <v>0</v>
      </c>
      <c r="AM57" s="2">
        <f t="shared" si="30"/>
        <v>0</v>
      </c>
      <c r="AN57" s="2">
        <f t="shared" si="30"/>
        <v>0</v>
      </c>
      <c r="AO57" s="2">
        <f t="shared" si="30"/>
        <v>0</v>
      </c>
      <c r="AP57" s="2">
        <f t="shared" si="30"/>
        <v>0</v>
      </c>
      <c r="AQ57" s="2">
        <f t="shared" si="30"/>
        <v>0</v>
      </c>
      <c r="AR57" s="2">
        <f t="shared" si="30"/>
        <v>0</v>
      </c>
    </row>
    <row r="58" spans="2:92" x14ac:dyDescent="0.15">
      <c r="C58" s="2">
        <f t="shared" ref="C58:R58" si="31">BowlSplit(C9,$C$53)</f>
        <v>2</v>
      </c>
      <c r="D58" s="2">
        <f t="shared" si="31"/>
        <v>1</v>
      </c>
      <c r="E58" s="2">
        <f t="shared" si="31"/>
        <v>8</v>
      </c>
      <c r="F58" s="2">
        <f t="shared" si="31"/>
        <v>0</v>
      </c>
      <c r="G58" s="2">
        <f t="shared" si="31"/>
        <v>0</v>
      </c>
      <c r="H58" s="2">
        <f t="shared" si="31"/>
        <v>2</v>
      </c>
      <c r="I58" s="2">
        <f t="shared" si="31"/>
        <v>4</v>
      </c>
      <c r="J58" s="2">
        <f t="shared" si="31"/>
        <v>0</v>
      </c>
      <c r="K58" s="2">
        <f t="shared" si="31"/>
        <v>4</v>
      </c>
      <c r="L58" s="2">
        <f t="shared" si="31"/>
        <v>0</v>
      </c>
      <c r="M58" s="2">
        <f t="shared" si="31"/>
        <v>0</v>
      </c>
      <c r="N58" s="2">
        <f t="shared" si="31"/>
        <v>0</v>
      </c>
      <c r="O58" s="2">
        <f t="shared" si="31"/>
        <v>0</v>
      </c>
      <c r="P58" s="2">
        <f t="shared" si="31"/>
        <v>0</v>
      </c>
      <c r="Q58" s="2">
        <f t="shared" si="31"/>
        <v>1</v>
      </c>
      <c r="R58" s="2">
        <f t="shared" si="31"/>
        <v>0</v>
      </c>
      <c r="S58" s="2">
        <f t="shared" ref="S58:AR58" si="32">BowlSplit(S9,$C$53)</f>
        <v>1</v>
      </c>
      <c r="T58" s="2">
        <f t="shared" si="32"/>
        <v>3</v>
      </c>
      <c r="U58" s="2">
        <f t="shared" si="32"/>
        <v>0</v>
      </c>
      <c r="V58" s="2">
        <f t="shared" si="32"/>
        <v>0</v>
      </c>
      <c r="W58" s="2">
        <f t="shared" si="32"/>
        <v>0</v>
      </c>
      <c r="X58" s="2">
        <f t="shared" si="32"/>
        <v>0</v>
      </c>
      <c r="Y58" s="2">
        <f t="shared" si="32"/>
        <v>0</v>
      </c>
      <c r="Z58" s="2">
        <f t="shared" si="32"/>
        <v>2</v>
      </c>
      <c r="AA58" s="2">
        <f t="shared" si="32"/>
        <v>1</v>
      </c>
      <c r="AB58" s="2">
        <f t="shared" si="32"/>
        <v>1</v>
      </c>
      <c r="AC58" s="2">
        <f t="shared" si="32"/>
        <v>1</v>
      </c>
      <c r="AD58" s="2">
        <f t="shared" si="32"/>
        <v>0</v>
      </c>
      <c r="AE58" s="2">
        <f t="shared" si="32"/>
        <v>0</v>
      </c>
      <c r="AF58" s="2">
        <f t="shared" si="32"/>
        <v>1</v>
      </c>
      <c r="AG58" s="2">
        <f t="shared" si="32"/>
        <v>2</v>
      </c>
      <c r="AH58" s="2">
        <f t="shared" si="32"/>
        <v>0</v>
      </c>
      <c r="AI58" s="2">
        <f t="shared" si="32"/>
        <v>0</v>
      </c>
      <c r="AJ58" s="2">
        <f t="shared" si="32"/>
        <v>0</v>
      </c>
      <c r="AK58" s="2">
        <f t="shared" si="32"/>
        <v>0</v>
      </c>
      <c r="AL58" s="2">
        <f t="shared" si="32"/>
        <v>0</v>
      </c>
      <c r="AM58" s="2">
        <f t="shared" si="32"/>
        <v>1</v>
      </c>
      <c r="AN58" s="2">
        <f t="shared" si="32"/>
        <v>0</v>
      </c>
      <c r="AO58" s="2">
        <f t="shared" si="32"/>
        <v>2</v>
      </c>
      <c r="AP58" s="2">
        <f t="shared" si="32"/>
        <v>0</v>
      </c>
      <c r="AQ58" s="2">
        <f t="shared" si="32"/>
        <v>0</v>
      </c>
      <c r="AR58" s="2">
        <f t="shared" si="32"/>
        <v>1</v>
      </c>
    </row>
    <row r="59" spans="2:92" x14ac:dyDescent="0.15">
      <c r="C59" s="2">
        <f t="shared" ref="C59:R59" si="33">BowlSplit(C10,$C$53)</f>
        <v>0</v>
      </c>
      <c r="D59" s="2">
        <f t="shared" si="33"/>
        <v>0</v>
      </c>
      <c r="E59" s="2">
        <f t="shared" si="33"/>
        <v>0</v>
      </c>
      <c r="F59" s="2">
        <f t="shared" si="33"/>
        <v>0</v>
      </c>
      <c r="G59" s="2">
        <f t="shared" si="33"/>
        <v>0</v>
      </c>
      <c r="H59" s="2">
        <f t="shared" si="33"/>
        <v>0</v>
      </c>
      <c r="I59" s="2">
        <f t="shared" si="33"/>
        <v>0</v>
      </c>
      <c r="J59" s="2">
        <f t="shared" si="33"/>
        <v>0</v>
      </c>
      <c r="K59" s="2">
        <f t="shared" si="33"/>
        <v>0</v>
      </c>
      <c r="L59" s="2">
        <f t="shared" si="33"/>
        <v>0</v>
      </c>
      <c r="M59" s="2">
        <f t="shared" si="33"/>
        <v>0</v>
      </c>
      <c r="N59" s="2">
        <f t="shared" si="33"/>
        <v>0</v>
      </c>
      <c r="O59" s="2">
        <f t="shared" si="33"/>
        <v>0</v>
      </c>
      <c r="P59" s="2">
        <f t="shared" si="33"/>
        <v>0</v>
      </c>
      <c r="Q59" s="2">
        <f t="shared" si="33"/>
        <v>0</v>
      </c>
      <c r="R59" s="2">
        <f t="shared" si="33"/>
        <v>0</v>
      </c>
      <c r="S59" s="2">
        <f t="shared" ref="S59:AR59" si="34">BowlSplit(S10,$C$53)</f>
        <v>0</v>
      </c>
      <c r="T59" s="2">
        <f t="shared" si="34"/>
        <v>0</v>
      </c>
      <c r="U59" s="2">
        <f t="shared" si="34"/>
        <v>0</v>
      </c>
      <c r="V59" s="2">
        <f t="shared" si="34"/>
        <v>0</v>
      </c>
      <c r="W59" s="2">
        <f t="shared" si="34"/>
        <v>0</v>
      </c>
      <c r="X59" s="2">
        <f t="shared" si="34"/>
        <v>0</v>
      </c>
      <c r="Y59" s="2">
        <f t="shared" si="34"/>
        <v>0</v>
      </c>
      <c r="Z59" s="2">
        <f t="shared" si="34"/>
        <v>0</v>
      </c>
      <c r="AA59" s="2">
        <f t="shared" si="34"/>
        <v>0</v>
      </c>
      <c r="AB59" s="2">
        <f t="shared" si="34"/>
        <v>0</v>
      </c>
      <c r="AC59" s="2">
        <f t="shared" si="34"/>
        <v>0</v>
      </c>
      <c r="AD59" s="2">
        <f t="shared" si="34"/>
        <v>0</v>
      </c>
      <c r="AE59" s="2">
        <f t="shared" si="34"/>
        <v>0</v>
      </c>
      <c r="AF59" s="2">
        <f t="shared" si="34"/>
        <v>0</v>
      </c>
      <c r="AG59" s="2">
        <f t="shared" si="34"/>
        <v>0</v>
      </c>
      <c r="AH59" s="2">
        <f t="shared" si="34"/>
        <v>0</v>
      </c>
      <c r="AI59" s="2">
        <f t="shared" si="34"/>
        <v>0</v>
      </c>
      <c r="AJ59" s="2">
        <f t="shared" si="34"/>
        <v>0</v>
      </c>
      <c r="AK59" s="2">
        <f t="shared" si="34"/>
        <v>0</v>
      </c>
      <c r="AL59" s="2">
        <f t="shared" si="34"/>
        <v>0</v>
      </c>
      <c r="AM59" s="2">
        <f t="shared" si="34"/>
        <v>0</v>
      </c>
      <c r="AN59" s="2">
        <f t="shared" si="34"/>
        <v>0</v>
      </c>
      <c r="AO59" s="2">
        <f t="shared" si="34"/>
        <v>0</v>
      </c>
      <c r="AP59" s="2">
        <f t="shared" si="34"/>
        <v>0</v>
      </c>
      <c r="AQ59" s="2">
        <f t="shared" si="34"/>
        <v>0</v>
      </c>
      <c r="AR59" s="2">
        <f t="shared" si="34"/>
        <v>0</v>
      </c>
      <c r="CE59" s="59"/>
    </row>
    <row r="60" spans="2:92" x14ac:dyDescent="0.15">
      <c r="C60" s="2">
        <f t="shared" ref="C60:AA60" si="35">BowlSplit(C12,$C$53)</f>
        <v>0</v>
      </c>
      <c r="D60" s="2">
        <f t="shared" si="35"/>
        <v>0</v>
      </c>
      <c r="E60" s="2">
        <f t="shared" si="35"/>
        <v>0</v>
      </c>
      <c r="F60" s="2">
        <f t="shared" si="35"/>
        <v>0</v>
      </c>
      <c r="G60" s="2">
        <f t="shared" si="35"/>
        <v>0</v>
      </c>
      <c r="H60" s="2">
        <f t="shared" si="35"/>
        <v>0</v>
      </c>
      <c r="I60" s="2">
        <f t="shared" si="35"/>
        <v>0</v>
      </c>
      <c r="J60" s="2">
        <f t="shared" si="35"/>
        <v>0</v>
      </c>
      <c r="K60" s="2">
        <f t="shared" si="35"/>
        <v>0</v>
      </c>
      <c r="L60" s="2">
        <f t="shared" si="35"/>
        <v>0</v>
      </c>
      <c r="M60" s="2">
        <f t="shared" si="35"/>
        <v>0</v>
      </c>
      <c r="N60" s="2">
        <f t="shared" si="35"/>
        <v>0</v>
      </c>
      <c r="O60" s="2">
        <f t="shared" si="35"/>
        <v>0</v>
      </c>
      <c r="P60" s="2">
        <f t="shared" si="35"/>
        <v>0</v>
      </c>
      <c r="Q60" s="2">
        <f t="shared" si="35"/>
        <v>0</v>
      </c>
      <c r="R60" s="2">
        <f t="shared" si="35"/>
        <v>0</v>
      </c>
      <c r="S60" s="2">
        <f t="shared" si="35"/>
        <v>0</v>
      </c>
      <c r="T60" s="2">
        <f t="shared" si="35"/>
        <v>0</v>
      </c>
      <c r="U60" s="2">
        <f t="shared" si="35"/>
        <v>0</v>
      </c>
      <c r="V60" s="2">
        <f t="shared" si="35"/>
        <v>0</v>
      </c>
      <c r="W60" s="2">
        <f t="shared" si="35"/>
        <v>0</v>
      </c>
      <c r="X60" s="2">
        <f t="shared" si="35"/>
        <v>0</v>
      </c>
      <c r="Y60" s="2">
        <f t="shared" si="35"/>
        <v>0</v>
      </c>
      <c r="Z60" s="2">
        <f t="shared" si="35"/>
        <v>0</v>
      </c>
      <c r="AA60" s="2">
        <f t="shared" si="35"/>
        <v>0</v>
      </c>
      <c r="AB60" s="2">
        <f t="shared" ref="AB60:AR60" si="36">BowlSplit(AB12,$C$53)</f>
        <v>0</v>
      </c>
      <c r="AC60" s="2">
        <f t="shared" si="36"/>
        <v>0</v>
      </c>
      <c r="AD60" s="2">
        <f t="shared" si="36"/>
        <v>0</v>
      </c>
      <c r="AE60" s="2">
        <f t="shared" si="36"/>
        <v>0</v>
      </c>
      <c r="AF60" s="2">
        <f t="shared" si="36"/>
        <v>0</v>
      </c>
      <c r="AG60" s="2">
        <f t="shared" si="36"/>
        <v>0</v>
      </c>
      <c r="AH60" s="2">
        <f t="shared" si="36"/>
        <v>0</v>
      </c>
      <c r="AI60" s="2">
        <f t="shared" si="36"/>
        <v>0</v>
      </c>
      <c r="AJ60" s="2">
        <f t="shared" si="36"/>
        <v>0</v>
      </c>
      <c r="AK60" s="2">
        <f t="shared" si="36"/>
        <v>0</v>
      </c>
      <c r="AL60" s="2">
        <f t="shared" si="36"/>
        <v>0</v>
      </c>
      <c r="AM60" s="2">
        <f t="shared" si="36"/>
        <v>0</v>
      </c>
      <c r="AN60" s="2">
        <f t="shared" si="36"/>
        <v>0</v>
      </c>
      <c r="AO60" s="2">
        <f t="shared" si="36"/>
        <v>0</v>
      </c>
      <c r="AP60" s="2">
        <f t="shared" si="36"/>
        <v>0</v>
      </c>
      <c r="AQ60" s="2">
        <f t="shared" si="36"/>
        <v>0</v>
      </c>
      <c r="AR60" s="2">
        <f t="shared" si="36"/>
        <v>0</v>
      </c>
    </row>
    <row r="61" spans="2:92" x14ac:dyDescent="0.15">
      <c r="C61" s="2">
        <f>BowlSplit(C13,$C$53)</f>
        <v>0</v>
      </c>
      <c r="D61" s="2">
        <f t="shared" ref="D61:AA61" si="37">BowlSplit(D13,$C$53)</f>
        <v>0</v>
      </c>
      <c r="E61" s="2">
        <f t="shared" si="37"/>
        <v>0</v>
      </c>
      <c r="F61" s="2">
        <f t="shared" si="37"/>
        <v>0</v>
      </c>
      <c r="G61" s="2">
        <f t="shared" si="37"/>
        <v>0</v>
      </c>
      <c r="H61" s="2">
        <f t="shared" si="37"/>
        <v>0</v>
      </c>
      <c r="I61" s="2">
        <f t="shared" si="37"/>
        <v>0</v>
      </c>
      <c r="J61" s="2">
        <f t="shared" si="37"/>
        <v>0</v>
      </c>
      <c r="K61" s="2">
        <f t="shared" si="37"/>
        <v>0</v>
      </c>
      <c r="L61" s="2">
        <f t="shared" si="37"/>
        <v>0</v>
      </c>
      <c r="M61" s="2">
        <f t="shared" si="37"/>
        <v>0</v>
      </c>
      <c r="N61" s="2">
        <f t="shared" si="37"/>
        <v>0</v>
      </c>
      <c r="O61" s="2">
        <f t="shared" si="37"/>
        <v>0</v>
      </c>
      <c r="P61" s="2">
        <f t="shared" si="37"/>
        <v>0</v>
      </c>
      <c r="Q61" s="2">
        <f t="shared" si="37"/>
        <v>0</v>
      </c>
      <c r="R61" s="2">
        <f t="shared" si="37"/>
        <v>0</v>
      </c>
      <c r="S61" s="2">
        <f t="shared" si="37"/>
        <v>0</v>
      </c>
      <c r="T61" s="2">
        <f t="shared" si="37"/>
        <v>0</v>
      </c>
      <c r="U61" s="2">
        <f t="shared" si="37"/>
        <v>0</v>
      </c>
      <c r="V61" s="2">
        <f t="shared" si="37"/>
        <v>2</v>
      </c>
      <c r="W61" s="2">
        <f t="shared" si="37"/>
        <v>1</v>
      </c>
      <c r="X61" s="2">
        <f t="shared" si="37"/>
        <v>0</v>
      </c>
      <c r="Y61" s="2">
        <f t="shared" si="37"/>
        <v>0</v>
      </c>
      <c r="Z61" s="2">
        <f t="shared" si="37"/>
        <v>0</v>
      </c>
      <c r="AA61" s="2">
        <f t="shared" si="37"/>
        <v>0</v>
      </c>
      <c r="AB61" s="2">
        <f t="shared" ref="AB61:AR61" si="38">BowlSplit(AB13,$C$53)</f>
        <v>1</v>
      </c>
      <c r="AC61" s="2">
        <f t="shared" si="38"/>
        <v>0</v>
      </c>
      <c r="AD61" s="2">
        <f t="shared" si="38"/>
        <v>0</v>
      </c>
      <c r="AE61" s="2">
        <f t="shared" si="38"/>
        <v>0</v>
      </c>
      <c r="AF61" s="2">
        <f t="shared" si="38"/>
        <v>0</v>
      </c>
      <c r="AG61" s="2">
        <f t="shared" si="38"/>
        <v>0</v>
      </c>
      <c r="AH61" s="2">
        <f t="shared" si="38"/>
        <v>1</v>
      </c>
      <c r="AI61" s="2">
        <f t="shared" si="38"/>
        <v>0</v>
      </c>
      <c r="AJ61" s="2">
        <f t="shared" si="38"/>
        <v>0</v>
      </c>
      <c r="AK61" s="2">
        <f t="shared" si="38"/>
        <v>0</v>
      </c>
      <c r="AL61" s="2">
        <f t="shared" si="38"/>
        <v>0</v>
      </c>
      <c r="AM61" s="2">
        <f t="shared" si="38"/>
        <v>0</v>
      </c>
      <c r="AN61" s="2">
        <f t="shared" si="38"/>
        <v>0</v>
      </c>
      <c r="AO61" s="2">
        <f t="shared" si="38"/>
        <v>0</v>
      </c>
      <c r="AP61" s="2">
        <f t="shared" si="38"/>
        <v>0</v>
      </c>
      <c r="AQ61" s="2">
        <f t="shared" si="38"/>
        <v>0</v>
      </c>
      <c r="AR61" s="2">
        <f t="shared" si="38"/>
        <v>0</v>
      </c>
    </row>
    <row r="62" spans="2:92" x14ac:dyDescent="0.15">
      <c r="C62" s="2">
        <f t="shared" ref="C62:AR62" si="39">BowlSplit(C15,$C$53)</f>
        <v>3</v>
      </c>
      <c r="D62" s="2">
        <f t="shared" si="39"/>
        <v>1</v>
      </c>
      <c r="E62" s="2">
        <f t="shared" si="39"/>
        <v>2</v>
      </c>
      <c r="F62" s="2">
        <f t="shared" si="39"/>
        <v>1</v>
      </c>
      <c r="G62" s="2">
        <f t="shared" si="39"/>
        <v>0</v>
      </c>
      <c r="H62" s="2">
        <f t="shared" si="39"/>
        <v>1</v>
      </c>
      <c r="I62" s="2">
        <f t="shared" si="39"/>
        <v>1</v>
      </c>
      <c r="J62" s="2">
        <f t="shared" si="39"/>
        <v>3</v>
      </c>
      <c r="K62" s="2">
        <f t="shared" si="39"/>
        <v>0</v>
      </c>
      <c r="L62" s="2">
        <f t="shared" si="39"/>
        <v>0</v>
      </c>
      <c r="M62" s="2">
        <f t="shared" si="39"/>
        <v>0</v>
      </c>
      <c r="N62" s="2">
        <f t="shared" si="39"/>
        <v>1</v>
      </c>
      <c r="O62" s="2">
        <f t="shared" si="39"/>
        <v>1</v>
      </c>
      <c r="P62" s="2">
        <f t="shared" si="39"/>
        <v>2</v>
      </c>
      <c r="Q62" s="2">
        <f t="shared" si="39"/>
        <v>0</v>
      </c>
      <c r="R62" s="2">
        <f t="shared" si="39"/>
        <v>1</v>
      </c>
      <c r="S62" s="2">
        <f t="shared" si="39"/>
        <v>1</v>
      </c>
      <c r="T62" s="2">
        <f t="shared" si="39"/>
        <v>0</v>
      </c>
      <c r="U62" s="2">
        <f t="shared" si="39"/>
        <v>0</v>
      </c>
      <c r="V62" s="2">
        <f t="shared" si="39"/>
        <v>1</v>
      </c>
      <c r="W62" s="2">
        <f t="shared" si="39"/>
        <v>0</v>
      </c>
      <c r="X62" s="2">
        <f t="shared" si="39"/>
        <v>0</v>
      </c>
      <c r="Y62" s="2">
        <f t="shared" si="39"/>
        <v>0</v>
      </c>
      <c r="Z62" s="2">
        <f t="shared" si="39"/>
        <v>1</v>
      </c>
      <c r="AA62" s="2">
        <f t="shared" si="39"/>
        <v>1</v>
      </c>
      <c r="AB62" s="2">
        <f t="shared" si="39"/>
        <v>0</v>
      </c>
      <c r="AC62" s="2">
        <f t="shared" si="39"/>
        <v>0</v>
      </c>
      <c r="AD62" s="2">
        <f t="shared" si="39"/>
        <v>0</v>
      </c>
      <c r="AE62" s="2">
        <f t="shared" si="39"/>
        <v>5</v>
      </c>
      <c r="AF62" s="2">
        <f t="shared" si="39"/>
        <v>0</v>
      </c>
      <c r="AG62" s="2">
        <f t="shared" si="39"/>
        <v>0</v>
      </c>
      <c r="AH62" s="2">
        <f t="shared" si="39"/>
        <v>0</v>
      </c>
      <c r="AI62" s="2">
        <f t="shared" si="39"/>
        <v>0</v>
      </c>
      <c r="AJ62" s="2">
        <f t="shared" si="39"/>
        <v>0</v>
      </c>
      <c r="AK62" s="2">
        <f t="shared" si="39"/>
        <v>0</v>
      </c>
      <c r="AL62" s="2">
        <f t="shared" si="39"/>
        <v>4</v>
      </c>
      <c r="AM62" s="2">
        <f t="shared" si="39"/>
        <v>4</v>
      </c>
      <c r="AN62" s="2">
        <f t="shared" si="39"/>
        <v>0</v>
      </c>
      <c r="AO62" s="2">
        <f t="shared" si="39"/>
        <v>4</v>
      </c>
      <c r="AP62" s="2">
        <f t="shared" si="39"/>
        <v>0</v>
      </c>
      <c r="AQ62" s="2">
        <f t="shared" si="39"/>
        <v>0</v>
      </c>
      <c r="AR62" s="2">
        <f t="shared" si="39"/>
        <v>1</v>
      </c>
    </row>
    <row r="63" spans="2:92" x14ac:dyDescent="0.15">
      <c r="C63" s="2">
        <f t="shared" ref="C63:AR63" si="40">BowlSplit(C16,$C$53)</f>
        <v>0</v>
      </c>
      <c r="D63" s="2">
        <f t="shared" si="40"/>
        <v>0</v>
      </c>
      <c r="E63" s="2">
        <f t="shared" si="40"/>
        <v>0</v>
      </c>
      <c r="F63" s="2">
        <f t="shared" si="40"/>
        <v>0</v>
      </c>
      <c r="G63" s="2">
        <f t="shared" si="40"/>
        <v>0</v>
      </c>
      <c r="H63" s="2">
        <f t="shared" si="40"/>
        <v>0</v>
      </c>
      <c r="I63" s="2">
        <f t="shared" si="40"/>
        <v>0</v>
      </c>
      <c r="J63" s="2">
        <f t="shared" si="40"/>
        <v>0</v>
      </c>
      <c r="K63" s="2">
        <f t="shared" si="40"/>
        <v>0</v>
      </c>
      <c r="L63" s="2">
        <f t="shared" si="40"/>
        <v>0</v>
      </c>
      <c r="M63" s="2">
        <f t="shared" si="40"/>
        <v>0</v>
      </c>
      <c r="N63" s="2">
        <f t="shared" si="40"/>
        <v>0</v>
      </c>
      <c r="O63" s="2">
        <f t="shared" si="40"/>
        <v>0</v>
      </c>
      <c r="P63" s="2">
        <f t="shared" si="40"/>
        <v>0</v>
      </c>
      <c r="Q63" s="2">
        <f t="shared" si="40"/>
        <v>0</v>
      </c>
      <c r="R63" s="2">
        <f t="shared" si="40"/>
        <v>0</v>
      </c>
      <c r="S63" s="2">
        <f t="shared" si="40"/>
        <v>0</v>
      </c>
      <c r="T63" s="2">
        <f t="shared" si="40"/>
        <v>0</v>
      </c>
      <c r="U63" s="2">
        <f t="shared" si="40"/>
        <v>0</v>
      </c>
      <c r="V63" s="2">
        <f t="shared" si="40"/>
        <v>0</v>
      </c>
      <c r="W63" s="2">
        <f t="shared" si="40"/>
        <v>0</v>
      </c>
      <c r="X63" s="2">
        <f t="shared" si="40"/>
        <v>0</v>
      </c>
      <c r="Y63" s="2">
        <f t="shared" si="40"/>
        <v>0</v>
      </c>
      <c r="Z63" s="2">
        <f t="shared" si="40"/>
        <v>0</v>
      </c>
      <c r="AA63" s="2">
        <f t="shared" si="40"/>
        <v>0</v>
      </c>
      <c r="AB63" s="2">
        <f t="shared" si="40"/>
        <v>0</v>
      </c>
      <c r="AC63" s="2">
        <f t="shared" si="40"/>
        <v>0</v>
      </c>
      <c r="AD63" s="2">
        <f t="shared" si="40"/>
        <v>0</v>
      </c>
      <c r="AE63" s="2">
        <f t="shared" si="40"/>
        <v>0</v>
      </c>
      <c r="AF63" s="2">
        <f t="shared" si="40"/>
        <v>0</v>
      </c>
      <c r="AG63" s="2">
        <f t="shared" si="40"/>
        <v>0</v>
      </c>
      <c r="AH63" s="2">
        <f t="shared" si="40"/>
        <v>0</v>
      </c>
      <c r="AI63" s="2">
        <f t="shared" si="40"/>
        <v>0</v>
      </c>
      <c r="AJ63" s="2">
        <f t="shared" si="40"/>
        <v>0</v>
      </c>
      <c r="AK63" s="2">
        <f t="shared" si="40"/>
        <v>0</v>
      </c>
      <c r="AL63" s="2">
        <f t="shared" si="40"/>
        <v>0</v>
      </c>
      <c r="AM63" s="2">
        <f t="shared" si="40"/>
        <v>0</v>
      </c>
      <c r="AN63" s="2">
        <f t="shared" si="40"/>
        <v>0</v>
      </c>
      <c r="AO63" s="2">
        <f t="shared" si="40"/>
        <v>0</v>
      </c>
      <c r="AP63" s="2">
        <f t="shared" si="40"/>
        <v>0</v>
      </c>
      <c r="AQ63" s="2">
        <f t="shared" si="40"/>
        <v>0</v>
      </c>
      <c r="AR63" s="2">
        <f t="shared" si="40"/>
        <v>0</v>
      </c>
    </row>
    <row r="64" spans="2:92" x14ac:dyDescent="0.15">
      <c r="C64" s="2">
        <f t="shared" ref="C64:AR64" si="41">BowlSplit(C18,$C$53)</f>
        <v>0</v>
      </c>
      <c r="D64" s="2">
        <f t="shared" si="41"/>
        <v>0</v>
      </c>
      <c r="E64" s="2">
        <f t="shared" si="41"/>
        <v>0</v>
      </c>
      <c r="F64" s="2">
        <f t="shared" si="41"/>
        <v>0</v>
      </c>
      <c r="G64" s="2">
        <f t="shared" si="41"/>
        <v>0</v>
      </c>
      <c r="H64" s="2">
        <f t="shared" si="41"/>
        <v>0</v>
      </c>
      <c r="I64" s="2">
        <f t="shared" si="41"/>
        <v>0</v>
      </c>
      <c r="J64" s="2">
        <f t="shared" si="41"/>
        <v>0</v>
      </c>
      <c r="K64" s="2">
        <f t="shared" si="41"/>
        <v>0</v>
      </c>
      <c r="L64" s="2">
        <f t="shared" si="41"/>
        <v>0</v>
      </c>
      <c r="M64" s="2">
        <f t="shared" si="41"/>
        <v>0</v>
      </c>
      <c r="N64" s="2">
        <f t="shared" si="41"/>
        <v>0</v>
      </c>
      <c r="O64" s="2">
        <f t="shared" si="41"/>
        <v>0</v>
      </c>
      <c r="P64" s="2">
        <f t="shared" si="41"/>
        <v>0</v>
      </c>
      <c r="Q64" s="2">
        <f t="shared" si="41"/>
        <v>0</v>
      </c>
      <c r="R64" s="2">
        <f t="shared" si="41"/>
        <v>0</v>
      </c>
      <c r="S64" s="2">
        <f t="shared" si="41"/>
        <v>0</v>
      </c>
      <c r="T64" s="2">
        <f t="shared" si="41"/>
        <v>0</v>
      </c>
      <c r="U64" s="2">
        <f t="shared" si="41"/>
        <v>0</v>
      </c>
      <c r="V64" s="2">
        <f t="shared" si="41"/>
        <v>0</v>
      </c>
      <c r="W64" s="2">
        <f t="shared" si="41"/>
        <v>0</v>
      </c>
      <c r="X64" s="2">
        <f t="shared" si="41"/>
        <v>0</v>
      </c>
      <c r="Y64" s="2">
        <f t="shared" si="41"/>
        <v>0</v>
      </c>
      <c r="Z64" s="2">
        <f t="shared" si="41"/>
        <v>0</v>
      </c>
      <c r="AA64" s="2">
        <f t="shared" si="41"/>
        <v>0</v>
      </c>
      <c r="AB64" s="2">
        <f t="shared" si="41"/>
        <v>0</v>
      </c>
      <c r="AC64" s="2">
        <f t="shared" si="41"/>
        <v>0</v>
      </c>
      <c r="AD64" s="2">
        <f t="shared" si="41"/>
        <v>0</v>
      </c>
      <c r="AE64" s="2">
        <f t="shared" si="41"/>
        <v>0</v>
      </c>
      <c r="AF64" s="2">
        <f t="shared" si="41"/>
        <v>0</v>
      </c>
      <c r="AG64" s="2">
        <f t="shared" si="41"/>
        <v>0</v>
      </c>
      <c r="AH64" s="2">
        <f t="shared" si="41"/>
        <v>0</v>
      </c>
      <c r="AI64" s="2">
        <f t="shared" si="41"/>
        <v>0</v>
      </c>
      <c r="AJ64" s="2">
        <f t="shared" si="41"/>
        <v>0</v>
      </c>
      <c r="AK64" s="2">
        <f t="shared" si="41"/>
        <v>0</v>
      </c>
      <c r="AL64" s="2">
        <f t="shared" si="41"/>
        <v>0</v>
      </c>
      <c r="AM64" s="2">
        <f t="shared" si="41"/>
        <v>0</v>
      </c>
      <c r="AN64" s="2">
        <f t="shared" si="41"/>
        <v>0</v>
      </c>
      <c r="AO64" s="2">
        <f t="shared" si="41"/>
        <v>0</v>
      </c>
      <c r="AP64" s="2">
        <f t="shared" si="41"/>
        <v>0</v>
      </c>
      <c r="AQ64" s="2">
        <f t="shared" si="41"/>
        <v>0</v>
      </c>
      <c r="AR64" s="2">
        <f t="shared" si="41"/>
        <v>0</v>
      </c>
    </row>
    <row r="65" spans="3:44" x14ac:dyDescent="0.15">
      <c r="C65" s="2">
        <f t="shared" ref="C65:AR65" si="42">BowlSplit(C19,$C$53)</f>
        <v>0</v>
      </c>
      <c r="D65" s="2">
        <f t="shared" si="42"/>
        <v>0</v>
      </c>
      <c r="E65" s="2">
        <f t="shared" si="42"/>
        <v>0</v>
      </c>
      <c r="F65" s="2">
        <f t="shared" si="42"/>
        <v>0</v>
      </c>
      <c r="G65" s="2">
        <f t="shared" si="42"/>
        <v>0</v>
      </c>
      <c r="H65" s="2">
        <f t="shared" si="42"/>
        <v>0</v>
      </c>
      <c r="I65" s="2">
        <f t="shared" si="42"/>
        <v>0</v>
      </c>
      <c r="J65" s="2">
        <f t="shared" si="42"/>
        <v>0</v>
      </c>
      <c r="K65" s="2">
        <f t="shared" si="42"/>
        <v>0</v>
      </c>
      <c r="L65" s="2">
        <f t="shared" si="42"/>
        <v>0</v>
      </c>
      <c r="M65" s="2">
        <f t="shared" si="42"/>
        <v>0</v>
      </c>
      <c r="N65" s="2">
        <f t="shared" si="42"/>
        <v>0</v>
      </c>
      <c r="O65" s="2">
        <f t="shared" si="42"/>
        <v>0</v>
      </c>
      <c r="P65" s="2">
        <f t="shared" si="42"/>
        <v>0</v>
      </c>
      <c r="Q65" s="2">
        <f t="shared" si="42"/>
        <v>0</v>
      </c>
      <c r="R65" s="2">
        <f t="shared" si="42"/>
        <v>0</v>
      </c>
      <c r="S65" s="2">
        <f t="shared" si="42"/>
        <v>0</v>
      </c>
      <c r="T65" s="2">
        <f t="shared" si="42"/>
        <v>0</v>
      </c>
      <c r="U65" s="2">
        <f t="shared" si="42"/>
        <v>0</v>
      </c>
      <c r="V65" s="2">
        <f t="shared" si="42"/>
        <v>0</v>
      </c>
      <c r="W65" s="2">
        <f t="shared" si="42"/>
        <v>0</v>
      </c>
      <c r="X65" s="2">
        <f t="shared" si="42"/>
        <v>0</v>
      </c>
      <c r="Y65" s="2">
        <f t="shared" si="42"/>
        <v>0</v>
      </c>
      <c r="Z65" s="2">
        <f t="shared" si="42"/>
        <v>0</v>
      </c>
      <c r="AA65" s="2">
        <f t="shared" si="42"/>
        <v>0</v>
      </c>
      <c r="AB65" s="2">
        <f t="shared" si="42"/>
        <v>0</v>
      </c>
      <c r="AC65" s="2">
        <f t="shared" si="42"/>
        <v>0</v>
      </c>
      <c r="AD65" s="2">
        <f t="shared" si="42"/>
        <v>0</v>
      </c>
      <c r="AE65" s="2">
        <f t="shared" si="42"/>
        <v>0</v>
      </c>
      <c r="AF65" s="2">
        <f t="shared" si="42"/>
        <v>0</v>
      </c>
      <c r="AG65" s="2">
        <f t="shared" si="42"/>
        <v>0</v>
      </c>
      <c r="AH65" s="2">
        <f t="shared" si="42"/>
        <v>0</v>
      </c>
      <c r="AI65" s="2">
        <f t="shared" si="42"/>
        <v>0</v>
      </c>
      <c r="AJ65" s="2">
        <f t="shared" si="42"/>
        <v>0</v>
      </c>
      <c r="AK65" s="2">
        <f t="shared" si="42"/>
        <v>0</v>
      </c>
      <c r="AL65" s="2">
        <f t="shared" si="42"/>
        <v>0</v>
      </c>
      <c r="AM65" s="2">
        <f t="shared" si="42"/>
        <v>0</v>
      </c>
      <c r="AN65" s="2">
        <f t="shared" si="42"/>
        <v>0</v>
      </c>
      <c r="AO65" s="2">
        <f t="shared" si="42"/>
        <v>0</v>
      </c>
      <c r="AP65" s="2">
        <f t="shared" si="42"/>
        <v>0</v>
      </c>
      <c r="AQ65" s="2">
        <f t="shared" si="42"/>
        <v>0</v>
      </c>
      <c r="AR65" s="2">
        <f t="shared" si="42"/>
        <v>0</v>
      </c>
    </row>
    <row r="66" spans="3:44" x14ac:dyDescent="0.15">
      <c r="C66" s="2">
        <f t="shared" ref="C66:AR66" si="43">BowlSplit(C20,$C$53)</f>
        <v>0</v>
      </c>
      <c r="D66" s="2">
        <f t="shared" si="43"/>
        <v>0</v>
      </c>
      <c r="E66" s="2">
        <f t="shared" si="43"/>
        <v>0</v>
      </c>
      <c r="F66" s="2">
        <f t="shared" si="43"/>
        <v>0</v>
      </c>
      <c r="G66" s="2">
        <f t="shared" si="43"/>
        <v>0</v>
      </c>
      <c r="H66" s="2">
        <f t="shared" si="43"/>
        <v>0</v>
      </c>
      <c r="I66" s="2">
        <f t="shared" si="43"/>
        <v>0</v>
      </c>
      <c r="J66" s="2">
        <f t="shared" si="43"/>
        <v>0</v>
      </c>
      <c r="K66" s="2">
        <f t="shared" si="43"/>
        <v>0</v>
      </c>
      <c r="L66" s="2">
        <f t="shared" si="43"/>
        <v>0</v>
      </c>
      <c r="M66" s="2">
        <f t="shared" si="43"/>
        <v>0</v>
      </c>
      <c r="N66" s="2">
        <f t="shared" si="43"/>
        <v>0</v>
      </c>
      <c r="O66" s="2">
        <f t="shared" si="43"/>
        <v>0</v>
      </c>
      <c r="P66" s="2">
        <f t="shared" si="43"/>
        <v>0</v>
      </c>
      <c r="Q66" s="2">
        <f t="shared" si="43"/>
        <v>0</v>
      </c>
      <c r="R66" s="2">
        <f t="shared" si="43"/>
        <v>0</v>
      </c>
      <c r="S66" s="2">
        <f t="shared" si="43"/>
        <v>0</v>
      </c>
      <c r="T66" s="2">
        <f t="shared" si="43"/>
        <v>0</v>
      </c>
      <c r="U66" s="2">
        <f t="shared" si="43"/>
        <v>0</v>
      </c>
      <c r="V66" s="2">
        <f t="shared" si="43"/>
        <v>0</v>
      </c>
      <c r="W66" s="2">
        <f t="shared" si="43"/>
        <v>0</v>
      </c>
      <c r="X66" s="2">
        <f t="shared" si="43"/>
        <v>0</v>
      </c>
      <c r="Y66" s="2">
        <f t="shared" si="43"/>
        <v>0</v>
      </c>
      <c r="Z66" s="2">
        <f t="shared" si="43"/>
        <v>0</v>
      </c>
      <c r="AA66" s="2">
        <f t="shared" si="43"/>
        <v>0</v>
      </c>
      <c r="AB66" s="2">
        <f t="shared" si="43"/>
        <v>0</v>
      </c>
      <c r="AC66" s="2">
        <f t="shared" si="43"/>
        <v>0</v>
      </c>
      <c r="AD66" s="2">
        <f t="shared" si="43"/>
        <v>0</v>
      </c>
      <c r="AE66" s="2">
        <f t="shared" si="43"/>
        <v>0</v>
      </c>
      <c r="AF66" s="2">
        <f t="shared" si="43"/>
        <v>0</v>
      </c>
      <c r="AG66" s="2">
        <f t="shared" si="43"/>
        <v>0</v>
      </c>
      <c r="AH66" s="2">
        <f t="shared" si="43"/>
        <v>0</v>
      </c>
      <c r="AI66" s="2">
        <f t="shared" si="43"/>
        <v>0</v>
      </c>
      <c r="AJ66" s="2">
        <f t="shared" si="43"/>
        <v>0</v>
      </c>
      <c r="AK66" s="2">
        <f t="shared" si="43"/>
        <v>0</v>
      </c>
      <c r="AL66" s="2">
        <f t="shared" si="43"/>
        <v>0</v>
      </c>
      <c r="AM66" s="2">
        <f t="shared" si="43"/>
        <v>0</v>
      </c>
      <c r="AN66" s="2">
        <f t="shared" si="43"/>
        <v>0</v>
      </c>
      <c r="AO66" s="2">
        <f t="shared" si="43"/>
        <v>0</v>
      </c>
      <c r="AP66" s="2">
        <f t="shared" si="43"/>
        <v>0</v>
      </c>
      <c r="AQ66" s="2">
        <f t="shared" si="43"/>
        <v>0</v>
      </c>
      <c r="AR66" s="2">
        <f t="shared" si="43"/>
        <v>0</v>
      </c>
    </row>
    <row r="67" spans="3:44" x14ac:dyDescent="0.15">
      <c r="C67" s="2">
        <f t="shared" ref="C67:AR67" si="44">BowlSplit(C21,$C$53)</f>
        <v>1</v>
      </c>
      <c r="D67" s="2">
        <f t="shared" si="44"/>
        <v>0</v>
      </c>
      <c r="E67" s="2">
        <f t="shared" si="44"/>
        <v>0</v>
      </c>
      <c r="F67" s="2">
        <f t="shared" si="44"/>
        <v>0</v>
      </c>
      <c r="G67" s="2">
        <f t="shared" si="44"/>
        <v>0</v>
      </c>
      <c r="H67" s="2">
        <f t="shared" si="44"/>
        <v>1</v>
      </c>
      <c r="I67" s="2">
        <f t="shared" si="44"/>
        <v>0</v>
      </c>
      <c r="J67" s="2">
        <f t="shared" si="44"/>
        <v>0</v>
      </c>
      <c r="K67" s="2">
        <f t="shared" si="44"/>
        <v>0</v>
      </c>
      <c r="L67" s="2">
        <f t="shared" si="44"/>
        <v>0</v>
      </c>
      <c r="M67" s="2">
        <f t="shared" si="44"/>
        <v>0</v>
      </c>
      <c r="N67" s="2">
        <f t="shared" si="44"/>
        <v>0</v>
      </c>
      <c r="O67" s="2">
        <f t="shared" si="44"/>
        <v>0</v>
      </c>
      <c r="P67" s="2">
        <f t="shared" si="44"/>
        <v>0</v>
      </c>
      <c r="Q67" s="2">
        <f t="shared" si="44"/>
        <v>0</v>
      </c>
      <c r="R67" s="2">
        <f t="shared" si="44"/>
        <v>0</v>
      </c>
      <c r="S67" s="2">
        <f t="shared" si="44"/>
        <v>0</v>
      </c>
      <c r="T67" s="2">
        <f t="shared" si="44"/>
        <v>0</v>
      </c>
      <c r="U67" s="2">
        <f t="shared" si="44"/>
        <v>0</v>
      </c>
      <c r="V67" s="2">
        <f t="shared" si="44"/>
        <v>1</v>
      </c>
      <c r="W67" s="2">
        <f t="shared" si="44"/>
        <v>0</v>
      </c>
      <c r="X67" s="2">
        <f t="shared" si="44"/>
        <v>0</v>
      </c>
      <c r="Y67" s="2">
        <f t="shared" si="44"/>
        <v>0</v>
      </c>
      <c r="Z67" s="2">
        <f t="shared" si="44"/>
        <v>0</v>
      </c>
      <c r="AA67" s="2">
        <f t="shared" si="44"/>
        <v>0</v>
      </c>
      <c r="AB67" s="2">
        <f t="shared" si="44"/>
        <v>0</v>
      </c>
      <c r="AC67" s="2">
        <f t="shared" si="44"/>
        <v>0</v>
      </c>
      <c r="AD67" s="2">
        <f t="shared" si="44"/>
        <v>0</v>
      </c>
      <c r="AE67" s="2">
        <f t="shared" si="44"/>
        <v>0</v>
      </c>
      <c r="AF67" s="2">
        <f t="shared" si="44"/>
        <v>0</v>
      </c>
      <c r="AG67" s="2">
        <f t="shared" si="44"/>
        <v>0</v>
      </c>
      <c r="AH67" s="2">
        <f t="shared" si="44"/>
        <v>0</v>
      </c>
      <c r="AI67" s="2">
        <f t="shared" si="44"/>
        <v>0</v>
      </c>
      <c r="AJ67" s="2">
        <f t="shared" si="44"/>
        <v>0</v>
      </c>
      <c r="AK67" s="2">
        <f t="shared" si="44"/>
        <v>0</v>
      </c>
      <c r="AL67" s="2">
        <f t="shared" si="44"/>
        <v>0</v>
      </c>
      <c r="AM67" s="2">
        <f t="shared" si="44"/>
        <v>0</v>
      </c>
      <c r="AN67" s="2">
        <f t="shared" si="44"/>
        <v>0</v>
      </c>
      <c r="AO67" s="2">
        <f t="shared" si="44"/>
        <v>0</v>
      </c>
      <c r="AP67" s="2">
        <f t="shared" si="44"/>
        <v>0</v>
      </c>
      <c r="AQ67" s="2">
        <f t="shared" si="44"/>
        <v>0</v>
      </c>
      <c r="AR67" s="2">
        <f t="shared" si="44"/>
        <v>0</v>
      </c>
    </row>
    <row r="68" spans="3:44" x14ac:dyDescent="0.15">
      <c r="C68" s="2">
        <f t="shared" ref="C68:AR68" si="45">BowlSplit(C22,$C$53)</f>
        <v>0</v>
      </c>
      <c r="D68" s="2">
        <f t="shared" si="45"/>
        <v>0</v>
      </c>
      <c r="E68" s="2">
        <f t="shared" si="45"/>
        <v>1</v>
      </c>
      <c r="F68" s="2">
        <f t="shared" si="45"/>
        <v>0</v>
      </c>
      <c r="G68" s="2">
        <f t="shared" si="45"/>
        <v>0</v>
      </c>
      <c r="H68" s="2">
        <f t="shared" si="45"/>
        <v>0</v>
      </c>
      <c r="I68" s="2">
        <f t="shared" si="45"/>
        <v>0</v>
      </c>
      <c r="J68" s="2">
        <f t="shared" si="45"/>
        <v>0</v>
      </c>
      <c r="K68" s="2">
        <f t="shared" si="45"/>
        <v>0</v>
      </c>
      <c r="L68" s="2">
        <f t="shared" si="45"/>
        <v>0</v>
      </c>
      <c r="M68" s="2">
        <f t="shared" si="45"/>
        <v>0</v>
      </c>
      <c r="N68" s="2">
        <f t="shared" si="45"/>
        <v>0</v>
      </c>
      <c r="O68" s="2">
        <f t="shared" si="45"/>
        <v>0</v>
      </c>
      <c r="P68" s="2">
        <f t="shared" si="45"/>
        <v>0</v>
      </c>
      <c r="Q68" s="2">
        <f t="shared" si="45"/>
        <v>0</v>
      </c>
      <c r="R68" s="2">
        <f t="shared" si="45"/>
        <v>0</v>
      </c>
      <c r="S68" s="2">
        <f t="shared" si="45"/>
        <v>0</v>
      </c>
      <c r="T68" s="2">
        <f t="shared" si="45"/>
        <v>0</v>
      </c>
      <c r="U68" s="2">
        <f t="shared" si="45"/>
        <v>0</v>
      </c>
      <c r="V68" s="2">
        <f t="shared" si="45"/>
        <v>0</v>
      </c>
      <c r="W68" s="2">
        <f t="shared" si="45"/>
        <v>0</v>
      </c>
      <c r="X68" s="2">
        <f t="shared" si="45"/>
        <v>0</v>
      </c>
      <c r="Y68" s="2">
        <f t="shared" si="45"/>
        <v>0</v>
      </c>
      <c r="Z68" s="2">
        <f t="shared" si="45"/>
        <v>1</v>
      </c>
      <c r="AA68" s="2">
        <f t="shared" si="45"/>
        <v>0</v>
      </c>
      <c r="AB68" s="2">
        <f t="shared" si="45"/>
        <v>1</v>
      </c>
      <c r="AC68" s="2">
        <f t="shared" si="45"/>
        <v>0</v>
      </c>
      <c r="AD68" s="2">
        <f t="shared" si="45"/>
        <v>0</v>
      </c>
      <c r="AE68" s="2">
        <f t="shared" si="45"/>
        <v>0</v>
      </c>
      <c r="AF68" s="2">
        <f t="shared" si="45"/>
        <v>0</v>
      </c>
      <c r="AG68" s="2">
        <f t="shared" si="45"/>
        <v>0</v>
      </c>
      <c r="AH68" s="2">
        <f t="shared" si="45"/>
        <v>0</v>
      </c>
      <c r="AI68" s="2">
        <f t="shared" si="45"/>
        <v>0</v>
      </c>
      <c r="AJ68" s="2">
        <f t="shared" si="45"/>
        <v>0</v>
      </c>
      <c r="AK68" s="2">
        <f t="shared" si="45"/>
        <v>0</v>
      </c>
      <c r="AL68" s="2">
        <f t="shared" si="45"/>
        <v>0</v>
      </c>
      <c r="AM68" s="2">
        <f t="shared" si="45"/>
        <v>0</v>
      </c>
      <c r="AN68" s="2">
        <f t="shared" si="45"/>
        <v>0</v>
      </c>
      <c r="AO68" s="2">
        <f t="shared" si="45"/>
        <v>0</v>
      </c>
      <c r="AP68" s="2">
        <f t="shared" si="45"/>
        <v>0</v>
      </c>
      <c r="AQ68" s="2">
        <f t="shared" si="45"/>
        <v>0</v>
      </c>
      <c r="AR68" s="2">
        <f t="shared" si="45"/>
        <v>0</v>
      </c>
    </row>
    <row r="69" spans="3:44" x14ac:dyDescent="0.15">
      <c r="C69" s="2">
        <f t="shared" ref="C69:AR69" si="46">BowlSplit(C23,$C$53)</f>
        <v>0</v>
      </c>
      <c r="D69" s="2">
        <f t="shared" si="46"/>
        <v>1</v>
      </c>
      <c r="E69" s="2">
        <f t="shared" si="46"/>
        <v>0</v>
      </c>
      <c r="F69" s="2">
        <f t="shared" si="46"/>
        <v>0</v>
      </c>
      <c r="G69" s="2">
        <f t="shared" si="46"/>
        <v>0</v>
      </c>
      <c r="H69" s="2">
        <f t="shared" si="46"/>
        <v>0</v>
      </c>
      <c r="I69" s="2">
        <f t="shared" si="46"/>
        <v>0</v>
      </c>
      <c r="J69" s="2">
        <f t="shared" si="46"/>
        <v>5</v>
      </c>
      <c r="K69" s="2">
        <f t="shared" si="46"/>
        <v>0</v>
      </c>
      <c r="L69" s="2">
        <f t="shared" si="46"/>
        <v>5</v>
      </c>
      <c r="M69" s="2">
        <f t="shared" si="46"/>
        <v>0</v>
      </c>
      <c r="N69" s="2">
        <f t="shared" si="46"/>
        <v>0</v>
      </c>
      <c r="O69" s="2">
        <f t="shared" si="46"/>
        <v>0</v>
      </c>
      <c r="P69" s="2">
        <f t="shared" si="46"/>
        <v>3</v>
      </c>
      <c r="Q69" s="2">
        <f t="shared" si="46"/>
        <v>0</v>
      </c>
      <c r="R69" s="2">
        <f t="shared" si="46"/>
        <v>2</v>
      </c>
      <c r="S69" s="2">
        <f t="shared" si="46"/>
        <v>0</v>
      </c>
      <c r="T69" s="2">
        <f t="shared" si="46"/>
        <v>6</v>
      </c>
      <c r="U69" s="2">
        <f t="shared" si="46"/>
        <v>0</v>
      </c>
      <c r="V69" s="2">
        <f t="shared" si="46"/>
        <v>0</v>
      </c>
      <c r="W69" s="2">
        <f t="shared" si="46"/>
        <v>0</v>
      </c>
      <c r="X69" s="2">
        <f t="shared" si="46"/>
        <v>1</v>
      </c>
      <c r="Y69" s="2">
        <f t="shared" si="46"/>
        <v>0</v>
      </c>
      <c r="Z69" s="2">
        <f t="shared" si="46"/>
        <v>0</v>
      </c>
      <c r="AA69" s="2">
        <f t="shared" si="46"/>
        <v>0</v>
      </c>
      <c r="AB69" s="2">
        <f t="shared" si="46"/>
        <v>3</v>
      </c>
      <c r="AC69" s="2">
        <f t="shared" si="46"/>
        <v>0</v>
      </c>
      <c r="AD69" s="2">
        <f t="shared" si="46"/>
        <v>0</v>
      </c>
      <c r="AE69" s="2">
        <f t="shared" si="46"/>
        <v>0</v>
      </c>
      <c r="AF69" s="2">
        <f t="shared" si="46"/>
        <v>0</v>
      </c>
      <c r="AG69" s="2">
        <f t="shared" si="46"/>
        <v>0</v>
      </c>
      <c r="AH69" s="2">
        <f t="shared" si="46"/>
        <v>0</v>
      </c>
      <c r="AI69" s="2">
        <f t="shared" si="46"/>
        <v>0</v>
      </c>
      <c r="AJ69" s="2">
        <f t="shared" si="46"/>
        <v>3</v>
      </c>
      <c r="AK69" s="2">
        <f t="shared" si="46"/>
        <v>0</v>
      </c>
      <c r="AL69" s="2">
        <f t="shared" si="46"/>
        <v>1</v>
      </c>
      <c r="AM69" s="2">
        <f t="shared" si="46"/>
        <v>0</v>
      </c>
      <c r="AN69" s="2">
        <f t="shared" si="46"/>
        <v>0</v>
      </c>
      <c r="AO69" s="2">
        <f t="shared" si="46"/>
        <v>0</v>
      </c>
      <c r="AP69" s="2">
        <f t="shared" si="46"/>
        <v>0</v>
      </c>
      <c r="AQ69" s="2">
        <f t="shared" si="46"/>
        <v>0</v>
      </c>
      <c r="AR69" s="2">
        <f t="shared" si="46"/>
        <v>0</v>
      </c>
    </row>
    <row r="70" spans="3:44" x14ac:dyDescent="0.15">
      <c r="C70" s="2">
        <f t="shared" ref="C70:AR70" si="47">BowlSplit(C24,$C$53)</f>
        <v>0</v>
      </c>
      <c r="D70" s="2">
        <f t="shared" si="47"/>
        <v>0</v>
      </c>
      <c r="E70" s="2">
        <f t="shared" si="47"/>
        <v>0</v>
      </c>
      <c r="F70" s="2">
        <f t="shared" si="47"/>
        <v>0</v>
      </c>
      <c r="G70" s="2">
        <f t="shared" si="47"/>
        <v>0</v>
      </c>
      <c r="H70" s="2">
        <f t="shared" si="47"/>
        <v>0</v>
      </c>
      <c r="I70" s="2">
        <f t="shared" si="47"/>
        <v>0</v>
      </c>
      <c r="J70" s="2">
        <f t="shared" si="47"/>
        <v>0</v>
      </c>
      <c r="K70" s="2">
        <f t="shared" si="47"/>
        <v>0</v>
      </c>
      <c r="L70" s="2">
        <f t="shared" si="47"/>
        <v>0</v>
      </c>
      <c r="M70" s="2">
        <f t="shared" si="47"/>
        <v>0</v>
      </c>
      <c r="N70" s="2">
        <f t="shared" si="47"/>
        <v>0</v>
      </c>
      <c r="O70" s="2">
        <f t="shared" si="47"/>
        <v>0</v>
      </c>
      <c r="P70" s="2">
        <f t="shared" si="47"/>
        <v>0</v>
      </c>
      <c r="Q70" s="2">
        <f t="shared" si="47"/>
        <v>0</v>
      </c>
      <c r="R70" s="2">
        <f t="shared" si="47"/>
        <v>0</v>
      </c>
      <c r="S70" s="2">
        <f t="shared" si="47"/>
        <v>0</v>
      </c>
      <c r="T70" s="2">
        <f t="shared" si="47"/>
        <v>1</v>
      </c>
      <c r="U70" s="2">
        <f t="shared" si="47"/>
        <v>0</v>
      </c>
      <c r="V70" s="2">
        <f t="shared" si="47"/>
        <v>0</v>
      </c>
      <c r="W70" s="2">
        <f t="shared" si="47"/>
        <v>0</v>
      </c>
      <c r="X70" s="2">
        <f t="shared" si="47"/>
        <v>0</v>
      </c>
      <c r="Y70" s="2">
        <f t="shared" si="47"/>
        <v>0</v>
      </c>
      <c r="Z70" s="2">
        <f t="shared" si="47"/>
        <v>0</v>
      </c>
      <c r="AA70" s="2">
        <f t="shared" si="47"/>
        <v>0</v>
      </c>
      <c r="AB70" s="2">
        <f t="shared" si="47"/>
        <v>0</v>
      </c>
      <c r="AC70" s="2">
        <f t="shared" si="47"/>
        <v>0</v>
      </c>
      <c r="AD70" s="2">
        <f t="shared" si="47"/>
        <v>0</v>
      </c>
      <c r="AE70" s="2">
        <f t="shared" si="47"/>
        <v>0</v>
      </c>
      <c r="AF70" s="2">
        <f t="shared" si="47"/>
        <v>0</v>
      </c>
      <c r="AG70" s="2">
        <f t="shared" si="47"/>
        <v>0</v>
      </c>
      <c r="AH70" s="2">
        <f t="shared" si="47"/>
        <v>1</v>
      </c>
      <c r="AI70" s="2">
        <f t="shared" si="47"/>
        <v>0</v>
      </c>
      <c r="AJ70" s="2">
        <f t="shared" si="47"/>
        <v>0</v>
      </c>
      <c r="AK70" s="2">
        <f t="shared" si="47"/>
        <v>0</v>
      </c>
      <c r="AL70" s="2">
        <f t="shared" si="47"/>
        <v>0</v>
      </c>
      <c r="AM70" s="2">
        <f t="shared" si="47"/>
        <v>0</v>
      </c>
      <c r="AN70" s="2">
        <f t="shared" si="47"/>
        <v>0</v>
      </c>
      <c r="AO70" s="2">
        <f t="shared" si="47"/>
        <v>0</v>
      </c>
      <c r="AP70" s="2">
        <f t="shared" si="47"/>
        <v>0</v>
      </c>
      <c r="AQ70" s="2">
        <f t="shared" si="47"/>
        <v>0</v>
      </c>
      <c r="AR70" s="2">
        <f t="shared" si="47"/>
        <v>0</v>
      </c>
    </row>
    <row r="71" spans="3:44" x14ac:dyDescent="0.15">
      <c r="C71" s="2">
        <f t="shared" ref="C71:AR71" si="48">BowlSplit(C27,$C$53)</f>
        <v>0</v>
      </c>
      <c r="D71" s="2">
        <f t="shared" si="48"/>
        <v>0</v>
      </c>
      <c r="E71" s="2">
        <f t="shared" si="48"/>
        <v>0</v>
      </c>
      <c r="F71" s="2">
        <f t="shared" si="48"/>
        <v>0</v>
      </c>
      <c r="G71" s="2">
        <f t="shared" si="48"/>
        <v>0</v>
      </c>
      <c r="H71" s="2">
        <f t="shared" si="48"/>
        <v>0</v>
      </c>
      <c r="I71" s="2">
        <f t="shared" si="48"/>
        <v>0</v>
      </c>
      <c r="J71" s="2">
        <f t="shared" si="48"/>
        <v>0</v>
      </c>
      <c r="K71" s="2">
        <f t="shared" si="48"/>
        <v>0</v>
      </c>
      <c r="L71" s="2">
        <f t="shared" si="48"/>
        <v>0</v>
      </c>
      <c r="M71" s="2">
        <f t="shared" si="48"/>
        <v>0</v>
      </c>
      <c r="N71" s="2">
        <f t="shared" si="48"/>
        <v>0</v>
      </c>
      <c r="O71" s="2">
        <f t="shared" si="48"/>
        <v>0</v>
      </c>
      <c r="P71" s="2">
        <f t="shared" si="48"/>
        <v>0</v>
      </c>
      <c r="Q71" s="2">
        <f t="shared" si="48"/>
        <v>0</v>
      </c>
      <c r="R71" s="2">
        <f t="shared" si="48"/>
        <v>0</v>
      </c>
      <c r="S71" s="2">
        <f t="shared" si="48"/>
        <v>0</v>
      </c>
      <c r="T71" s="2">
        <f t="shared" si="48"/>
        <v>0</v>
      </c>
      <c r="U71" s="2">
        <f t="shared" si="48"/>
        <v>0</v>
      </c>
      <c r="V71" s="2">
        <f t="shared" si="48"/>
        <v>0</v>
      </c>
      <c r="W71" s="2">
        <f t="shared" si="48"/>
        <v>0</v>
      </c>
      <c r="X71" s="2">
        <f t="shared" si="48"/>
        <v>0</v>
      </c>
      <c r="Y71" s="2">
        <f t="shared" si="48"/>
        <v>0</v>
      </c>
      <c r="Z71" s="2">
        <f t="shared" si="48"/>
        <v>0</v>
      </c>
      <c r="AA71" s="2">
        <f t="shared" si="48"/>
        <v>0</v>
      </c>
      <c r="AB71" s="2">
        <f t="shared" si="48"/>
        <v>0</v>
      </c>
      <c r="AC71" s="2">
        <f t="shared" si="48"/>
        <v>0</v>
      </c>
      <c r="AD71" s="2">
        <f t="shared" si="48"/>
        <v>0</v>
      </c>
      <c r="AE71" s="2">
        <f t="shared" si="48"/>
        <v>0</v>
      </c>
      <c r="AF71" s="2">
        <f t="shared" si="48"/>
        <v>0</v>
      </c>
      <c r="AG71" s="2">
        <f t="shared" si="48"/>
        <v>0</v>
      </c>
      <c r="AH71" s="2">
        <f t="shared" si="48"/>
        <v>0</v>
      </c>
      <c r="AI71" s="2">
        <f t="shared" si="48"/>
        <v>0</v>
      </c>
      <c r="AJ71" s="2">
        <f t="shared" si="48"/>
        <v>0</v>
      </c>
      <c r="AK71" s="2">
        <f t="shared" si="48"/>
        <v>0</v>
      </c>
      <c r="AL71" s="2">
        <f t="shared" si="48"/>
        <v>0</v>
      </c>
      <c r="AM71" s="2">
        <f t="shared" si="48"/>
        <v>0</v>
      </c>
      <c r="AN71" s="2">
        <f t="shared" si="48"/>
        <v>0</v>
      </c>
      <c r="AO71" s="2">
        <f t="shared" si="48"/>
        <v>0</v>
      </c>
      <c r="AP71" s="2">
        <f t="shared" si="48"/>
        <v>0</v>
      </c>
      <c r="AQ71" s="2">
        <f t="shared" si="48"/>
        <v>0</v>
      </c>
      <c r="AR71" s="2">
        <f t="shared" si="48"/>
        <v>0</v>
      </c>
    </row>
    <row r="72" spans="3:44" x14ac:dyDescent="0.15">
      <c r="C72" s="2">
        <f t="shared" ref="C72:AR72" si="49">BowlSplit(C28,$C$53)</f>
        <v>0</v>
      </c>
      <c r="D72" s="2">
        <f t="shared" si="49"/>
        <v>0</v>
      </c>
      <c r="E72" s="2">
        <f t="shared" si="49"/>
        <v>0</v>
      </c>
      <c r="F72" s="2">
        <f t="shared" si="49"/>
        <v>0</v>
      </c>
      <c r="G72" s="2">
        <f t="shared" si="49"/>
        <v>0</v>
      </c>
      <c r="H72" s="2">
        <f t="shared" si="49"/>
        <v>0</v>
      </c>
      <c r="I72" s="2">
        <f t="shared" si="49"/>
        <v>2</v>
      </c>
      <c r="J72" s="2">
        <f t="shared" si="49"/>
        <v>0</v>
      </c>
      <c r="K72" s="2">
        <f t="shared" si="49"/>
        <v>0</v>
      </c>
      <c r="L72" s="2">
        <f t="shared" si="49"/>
        <v>0</v>
      </c>
      <c r="M72" s="2">
        <f t="shared" si="49"/>
        <v>0</v>
      </c>
      <c r="N72" s="2">
        <f t="shared" si="49"/>
        <v>2</v>
      </c>
      <c r="O72" s="2">
        <f t="shared" si="49"/>
        <v>0</v>
      </c>
      <c r="P72" s="2">
        <f t="shared" si="49"/>
        <v>0</v>
      </c>
      <c r="Q72" s="2">
        <f t="shared" si="49"/>
        <v>0</v>
      </c>
      <c r="R72" s="2">
        <f t="shared" si="49"/>
        <v>0</v>
      </c>
      <c r="S72" s="2">
        <f t="shared" si="49"/>
        <v>1</v>
      </c>
      <c r="T72" s="2">
        <f t="shared" si="49"/>
        <v>0</v>
      </c>
      <c r="U72" s="2">
        <f t="shared" si="49"/>
        <v>0</v>
      </c>
      <c r="V72" s="2">
        <f t="shared" si="49"/>
        <v>0</v>
      </c>
      <c r="W72" s="2">
        <f t="shared" si="49"/>
        <v>0</v>
      </c>
      <c r="X72" s="2">
        <f t="shared" si="49"/>
        <v>0</v>
      </c>
      <c r="Y72" s="2">
        <f t="shared" si="49"/>
        <v>0</v>
      </c>
      <c r="Z72" s="2">
        <f t="shared" si="49"/>
        <v>0</v>
      </c>
      <c r="AA72" s="2">
        <f t="shared" si="49"/>
        <v>0</v>
      </c>
      <c r="AB72" s="2">
        <f t="shared" si="49"/>
        <v>0</v>
      </c>
      <c r="AC72" s="2">
        <f t="shared" si="49"/>
        <v>0</v>
      </c>
      <c r="AD72" s="2">
        <f t="shared" si="49"/>
        <v>0</v>
      </c>
      <c r="AE72" s="2">
        <f t="shared" si="49"/>
        <v>0</v>
      </c>
      <c r="AF72" s="2">
        <f t="shared" si="49"/>
        <v>0</v>
      </c>
      <c r="AG72" s="2">
        <f t="shared" si="49"/>
        <v>0</v>
      </c>
      <c r="AH72" s="2">
        <f t="shared" si="49"/>
        <v>0</v>
      </c>
      <c r="AI72" s="2">
        <f t="shared" si="49"/>
        <v>0</v>
      </c>
      <c r="AJ72" s="2">
        <f t="shared" si="49"/>
        <v>0</v>
      </c>
      <c r="AK72" s="2">
        <f t="shared" si="49"/>
        <v>0</v>
      </c>
      <c r="AL72" s="2">
        <f t="shared" si="49"/>
        <v>0</v>
      </c>
      <c r="AM72" s="2">
        <f t="shared" si="49"/>
        <v>0</v>
      </c>
      <c r="AN72" s="2">
        <f t="shared" si="49"/>
        <v>0</v>
      </c>
      <c r="AO72" s="2">
        <f t="shared" si="49"/>
        <v>0</v>
      </c>
      <c r="AP72" s="2">
        <f t="shared" si="49"/>
        <v>0</v>
      </c>
      <c r="AQ72" s="2">
        <f t="shared" si="49"/>
        <v>0</v>
      </c>
      <c r="AR72" s="2">
        <f t="shared" si="49"/>
        <v>0</v>
      </c>
    </row>
    <row r="73" spans="3:44" x14ac:dyDescent="0.15">
      <c r="C73" s="2">
        <f t="shared" ref="C73:AR73" si="50">BowlSplit(C29,$C$53)</f>
        <v>0</v>
      </c>
      <c r="D73" s="2">
        <f t="shared" si="50"/>
        <v>0</v>
      </c>
      <c r="E73" s="2">
        <f t="shared" si="50"/>
        <v>0</v>
      </c>
      <c r="F73" s="2">
        <f t="shared" si="50"/>
        <v>0</v>
      </c>
      <c r="G73" s="2">
        <f t="shared" si="50"/>
        <v>0</v>
      </c>
      <c r="H73" s="2">
        <f t="shared" si="50"/>
        <v>0</v>
      </c>
      <c r="I73" s="2">
        <f t="shared" si="50"/>
        <v>0</v>
      </c>
      <c r="J73" s="2">
        <f t="shared" si="50"/>
        <v>1</v>
      </c>
      <c r="K73" s="2">
        <f t="shared" si="50"/>
        <v>0</v>
      </c>
      <c r="L73" s="2">
        <f t="shared" si="50"/>
        <v>0</v>
      </c>
      <c r="M73" s="2">
        <f t="shared" si="50"/>
        <v>0</v>
      </c>
      <c r="N73" s="2">
        <f t="shared" si="50"/>
        <v>0</v>
      </c>
      <c r="O73" s="2">
        <f t="shared" si="50"/>
        <v>0</v>
      </c>
      <c r="P73" s="2">
        <f t="shared" si="50"/>
        <v>0</v>
      </c>
      <c r="Q73" s="2">
        <f t="shared" si="50"/>
        <v>0</v>
      </c>
      <c r="R73" s="2">
        <f t="shared" si="50"/>
        <v>0</v>
      </c>
      <c r="S73" s="2">
        <f t="shared" si="50"/>
        <v>0</v>
      </c>
      <c r="T73" s="2">
        <f t="shared" si="50"/>
        <v>0</v>
      </c>
      <c r="U73" s="2">
        <f t="shared" si="50"/>
        <v>0</v>
      </c>
      <c r="V73" s="2">
        <f t="shared" si="50"/>
        <v>0</v>
      </c>
      <c r="W73" s="2">
        <f t="shared" si="50"/>
        <v>0</v>
      </c>
      <c r="X73" s="2">
        <f t="shared" si="50"/>
        <v>0</v>
      </c>
      <c r="Y73" s="2">
        <f t="shared" si="50"/>
        <v>0</v>
      </c>
      <c r="Z73" s="2">
        <f t="shared" si="50"/>
        <v>0</v>
      </c>
      <c r="AA73" s="2">
        <f t="shared" si="50"/>
        <v>0</v>
      </c>
      <c r="AB73" s="2">
        <f t="shared" si="50"/>
        <v>0</v>
      </c>
      <c r="AC73" s="2">
        <f t="shared" si="50"/>
        <v>0</v>
      </c>
      <c r="AD73" s="2">
        <f t="shared" si="50"/>
        <v>0</v>
      </c>
      <c r="AE73" s="2">
        <f t="shared" si="50"/>
        <v>0</v>
      </c>
      <c r="AF73" s="2">
        <f t="shared" si="50"/>
        <v>0</v>
      </c>
      <c r="AG73" s="2">
        <f t="shared" si="50"/>
        <v>0</v>
      </c>
      <c r="AH73" s="2">
        <f t="shared" si="50"/>
        <v>0</v>
      </c>
      <c r="AI73" s="2">
        <f t="shared" si="50"/>
        <v>0</v>
      </c>
      <c r="AJ73" s="2">
        <f t="shared" si="50"/>
        <v>0</v>
      </c>
      <c r="AK73" s="2">
        <f t="shared" si="50"/>
        <v>0</v>
      </c>
      <c r="AL73" s="2">
        <f t="shared" si="50"/>
        <v>0</v>
      </c>
      <c r="AM73" s="2">
        <f t="shared" si="50"/>
        <v>0</v>
      </c>
      <c r="AN73" s="2">
        <f t="shared" si="50"/>
        <v>0</v>
      </c>
      <c r="AO73" s="2">
        <f t="shared" si="50"/>
        <v>0</v>
      </c>
      <c r="AP73" s="2">
        <f t="shared" si="50"/>
        <v>0</v>
      </c>
      <c r="AQ73" s="2">
        <f t="shared" si="50"/>
        <v>0</v>
      </c>
      <c r="AR73" s="2">
        <f t="shared" si="50"/>
        <v>0</v>
      </c>
    </row>
    <row r="74" spans="3:44" x14ac:dyDescent="0.15">
      <c r="C74" s="2">
        <f t="shared" ref="C74:C79" si="51">BowlSplit(C32,$C$53)</f>
        <v>0</v>
      </c>
      <c r="D74" s="2">
        <f t="shared" ref="D74:AR74" si="52">BowlSplit(D32,$C$53)</f>
        <v>0</v>
      </c>
      <c r="E74" s="2">
        <f t="shared" si="52"/>
        <v>0</v>
      </c>
      <c r="F74" s="2">
        <f t="shared" si="52"/>
        <v>0</v>
      </c>
      <c r="G74" s="2">
        <f t="shared" si="52"/>
        <v>0</v>
      </c>
      <c r="H74" s="2">
        <f t="shared" si="52"/>
        <v>0</v>
      </c>
      <c r="I74" s="2">
        <f t="shared" si="52"/>
        <v>0</v>
      </c>
      <c r="J74" s="2">
        <f t="shared" si="52"/>
        <v>0</v>
      </c>
      <c r="K74" s="2">
        <f t="shared" si="52"/>
        <v>0</v>
      </c>
      <c r="L74" s="2">
        <f t="shared" si="52"/>
        <v>0</v>
      </c>
      <c r="M74" s="2">
        <f t="shared" si="52"/>
        <v>0</v>
      </c>
      <c r="N74" s="2">
        <f t="shared" si="52"/>
        <v>0</v>
      </c>
      <c r="O74" s="2">
        <f t="shared" si="52"/>
        <v>0</v>
      </c>
      <c r="P74" s="2">
        <f t="shared" si="52"/>
        <v>0</v>
      </c>
      <c r="Q74" s="2">
        <f t="shared" si="52"/>
        <v>0</v>
      </c>
      <c r="R74" s="2">
        <f t="shared" si="52"/>
        <v>0</v>
      </c>
      <c r="S74" s="2">
        <f t="shared" si="52"/>
        <v>0</v>
      </c>
      <c r="T74" s="2">
        <f t="shared" si="52"/>
        <v>0</v>
      </c>
      <c r="U74" s="2">
        <f t="shared" si="52"/>
        <v>0</v>
      </c>
      <c r="V74" s="2">
        <f t="shared" si="52"/>
        <v>0</v>
      </c>
      <c r="W74" s="2">
        <f t="shared" si="52"/>
        <v>0</v>
      </c>
      <c r="X74" s="2">
        <f t="shared" si="52"/>
        <v>0</v>
      </c>
      <c r="Y74" s="2">
        <f t="shared" si="52"/>
        <v>0</v>
      </c>
      <c r="Z74" s="2">
        <f t="shared" si="52"/>
        <v>0</v>
      </c>
      <c r="AA74" s="2">
        <f t="shared" si="52"/>
        <v>0</v>
      </c>
      <c r="AB74" s="2">
        <f t="shared" si="52"/>
        <v>0</v>
      </c>
      <c r="AC74" s="2">
        <f t="shared" si="52"/>
        <v>0</v>
      </c>
      <c r="AD74" s="2">
        <f t="shared" si="52"/>
        <v>0</v>
      </c>
      <c r="AE74" s="2">
        <f t="shared" si="52"/>
        <v>0</v>
      </c>
      <c r="AF74" s="2">
        <f t="shared" si="52"/>
        <v>0</v>
      </c>
      <c r="AG74" s="2">
        <f t="shared" si="52"/>
        <v>0</v>
      </c>
      <c r="AH74" s="2">
        <f t="shared" si="52"/>
        <v>0</v>
      </c>
      <c r="AI74" s="2">
        <f t="shared" si="52"/>
        <v>0</v>
      </c>
      <c r="AJ74" s="2">
        <f t="shared" si="52"/>
        <v>0</v>
      </c>
      <c r="AK74" s="2">
        <f t="shared" si="52"/>
        <v>0</v>
      </c>
      <c r="AL74" s="2">
        <f t="shared" si="52"/>
        <v>0</v>
      </c>
      <c r="AM74" s="2">
        <f t="shared" si="52"/>
        <v>0</v>
      </c>
      <c r="AN74" s="2">
        <f t="shared" si="52"/>
        <v>0</v>
      </c>
      <c r="AO74" s="2">
        <f t="shared" si="52"/>
        <v>0</v>
      </c>
      <c r="AP74" s="2">
        <f t="shared" si="52"/>
        <v>0</v>
      </c>
      <c r="AQ74" s="2">
        <f t="shared" si="52"/>
        <v>0</v>
      </c>
      <c r="AR74" s="2">
        <f t="shared" si="52"/>
        <v>0</v>
      </c>
    </row>
    <row r="75" spans="3:44" x14ac:dyDescent="0.15">
      <c r="C75" s="2">
        <f t="shared" si="51"/>
        <v>0</v>
      </c>
      <c r="D75" s="2">
        <f t="shared" ref="D75:AR75" si="53">BowlSplit(D33,$C$53)</f>
        <v>0</v>
      </c>
      <c r="E75" s="2">
        <f t="shared" si="53"/>
        <v>0</v>
      </c>
      <c r="F75" s="2">
        <f t="shared" si="53"/>
        <v>0</v>
      </c>
      <c r="G75" s="2">
        <f t="shared" si="53"/>
        <v>0</v>
      </c>
      <c r="H75" s="2">
        <f t="shared" si="53"/>
        <v>0</v>
      </c>
      <c r="I75" s="2">
        <f t="shared" si="53"/>
        <v>0</v>
      </c>
      <c r="J75" s="2">
        <f t="shared" si="53"/>
        <v>0</v>
      </c>
      <c r="K75" s="2">
        <f t="shared" si="53"/>
        <v>0</v>
      </c>
      <c r="L75" s="2">
        <f t="shared" si="53"/>
        <v>0</v>
      </c>
      <c r="M75" s="2">
        <f t="shared" si="53"/>
        <v>0</v>
      </c>
      <c r="N75" s="2">
        <f t="shared" si="53"/>
        <v>0</v>
      </c>
      <c r="O75" s="2">
        <f t="shared" si="53"/>
        <v>0</v>
      </c>
      <c r="P75" s="2">
        <f t="shared" si="53"/>
        <v>0</v>
      </c>
      <c r="Q75" s="2">
        <f t="shared" si="53"/>
        <v>0</v>
      </c>
      <c r="R75" s="2">
        <f t="shared" si="53"/>
        <v>0</v>
      </c>
      <c r="S75" s="2">
        <f t="shared" si="53"/>
        <v>0</v>
      </c>
      <c r="T75" s="2">
        <f t="shared" si="53"/>
        <v>0</v>
      </c>
      <c r="U75" s="2">
        <f t="shared" si="53"/>
        <v>0</v>
      </c>
      <c r="V75" s="2">
        <f t="shared" si="53"/>
        <v>0</v>
      </c>
      <c r="W75" s="2">
        <f t="shared" si="53"/>
        <v>0</v>
      </c>
      <c r="X75" s="2">
        <f t="shared" si="53"/>
        <v>0</v>
      </c>
      <c r="Y75" s="2">
        <f t="shared" si="53"/>
        <v>0</v>
      </c>
      <c r="Z75" s="2">
        <f t="shared" si="53"/>
        <v>0</v>
      </c>
      <c r="AA75" s="2">
        <f t="shared" si="53"/>
        <v>0</v>
      </c>
      <c r="AB75" s="2">
        <f t="shared" si="53"/>
        <v>0</v>
      </c>
      <c r="AC75" s="2">
        <f t="shared" si="53"/>
        <v>0</v>
      </c>
      <c r="AD75" s="2">
        <f t="shared" si="53"/>
        <v>0</v>
      </c>
      <c r="AE75" s="2">
        <f t="shared" si="53"/>
        <v>0</v>
      </c>
      <c r="AF75" s="2">
        <f t="shared" si="53"/>
        <v>0</v>
      </c>
      <c r="AG75" s="2">
        <f t="shared" si="53"/>
        <v>0</v>
      </c>
      <c r="AH75" s="2">
        <f t="shared" si="53"/>
        <v>0</v>
      </c>
      <c r="AI75" s="2">
        <f t="shared" si="53"/>
        <v>0</v>
      </c>
      <c r="AJ75" s="2">
        <f t="shared" si="53"/>
        <v>0</v>
      </c>
      <c r="AK75" s="2">
        <f t="shared" si="53"/>
        <v>0</v>
      </c>
      <c r="AL75" s="2">
        <f t="shared" si="53"/>
        <v>0</v>
      </c>
      <c r="AM75" s="2">
        <f t="shared" si="53"/>
        <v>0</v>
      </c>
      <c r="AN75" s="2">
        <f t="shared" si="53"/>
        <v>0</v>
      </c>
      <c r="AO75" s="2">
        <f t="shared" si="53"/>
        <v>0</v>
      </c>
      <c r="AP75" s="2">
        <f t="shared" si="53"/>
        <v>0</v>
      </c>
      <c r="AQ75" s="2">
        <f t="shared" si="53"/>
        <v>0</v>
      </c>
      <c r="AR75" s="2">
        <f t="shared" si="53"/>
        <v>0</v>
      </c>
    </row>
    <row r="76" spans="3:44" x14ac:dyDescent="0.15">
      <c r="C76" s="2">
        <f t="shared" si="51"/>
        <v>0</v>
      </c>
      <c r="D76" s="2">
        <f t="shared" ref="D76:AR76" si="54">BowlSplit(D34,$C$53)</f>
        <v>0</v>
      </c>
      <c r="E76" s="2">
        <f t="shared" si="54"/>
        <v>0</v>
      </c>
      <c r="F76" s="2">
        <f t="shared" si="54"/>
        <v>0</v>
      </c>
      <c r="G76" s="2">
        <f t="shared" si="54"/>
        <v>0</v>
      </c>
      <c r="H76" s="2">
        <f t="shared" si="54"/>
        <v>0</v>
      </c>
      <c r="I76" s="2">
        <f t="shared" si="54"/>
        <v>0</v>
      </c>
      <c r="J76" s="2">
        <f t="shared" si="54"/>
        <v>0</v>
      </c>
      <c r="K76" s="2">
        <f t="shared" si="54"/>
        <v>0</v>
      </c>
      <c r="L76" s="2">
        <f t="shared" si="54"/>
        <v>0</v>
      </c>
      <c r="M76" s="2">
        <f t="shared" si="54"/>
        <v>0</v>
      </c>
      <c r="N76" s="2">
        <f t="shared" si="54"/>
        <v>0</v>
      </c>
      <c r="O76" s="2">
        <f t="shared" si="54"/>
        <v>0</v>
      </c>
      <c r="P76" s="2">
        <f t="shared" si="54"/>
        <v>0</v>
      </c>
      <c r="Q76" s="2">
        <f t="shared" si="54"/>
        <v>0</v>
      </c>
      <c r="R76" s="2">
        <f t="shared" si="54"/>
        <v>0</v>
      </c>
      <c r="S76" s="2">
        <f t="shared" si="54"/>
        <v>0</v>
      </c>
      <c r="T76" s="2">
        <f t="shared" si="54"/>
        <v>0</v>
      </c>
      <c r="U76" s="2">
        <f t="shared" si="54"/>
        <v>0</v>
      </c>
      <c r="V76" s="2">
        <f t="shared" si="54"/>
        <v>0</v>
      </c>
      <c r="W76" s="2">
        <f t="shared" si="54"/>
        <v>0</v>
      </c>
      <c r="X76" s="2">
        <f t="shared" si="54"/>
        <v>0</v>
      </c>
      <c r="Y76" s="2">
        <f t="shared" si="54"/>
        <v>0</v>
      </c>
      <c r="Z76" s="2">
        <f t="shared" si="54"/>
        <v>0</v>
      </c>
      <c r="AA76" s="2">
        <f t="shared" si="54"/>
        <v>0</v>
      </c>
      <c r="AB76" s="2">
        <f t="shared" si="54"/>
        <v>0</v>
      </c>
      <c r="AC76" s="2">
        <f t="shared" si="54"/>
        <v>0</v>
      </c>
      <c r="AD76" s="2">
        <f t="shared" si="54"/>
        <v>0</v>
      </c>
      <c r="AE76" s="2">
        <f t="shared" si="54"/>
        <v>0</v>
      </c>
      <c r="AF76" s="2">
        <f t="shared" si="54"/>
        <v>0</v>
      </c>
      <c r="AG76" s="2">
        <f t="shared" si="54"/>
        <v>0</v>
      </c>
      <c r="AH76" s="2">
        <f t="shared" si="54"/>
        <v>0</v>
      </c>
      <c r="AI76" s="2">
        <f t="shared" si="54"/>
        <v>0</v>
      </c>
      <c r="AJ76" s="2">
        <f t="shared" si="54"/>
        <v>0</v>
      </c>
      <c r="AK76" s="2">
        <f t="shared" si="54"/>
        <v>0</v>
      </c>
      <c r="AL76" s="2">
        <f t="shared" si="54"/>
        <v>0</v>
      </c>
      <c r="AM76" s="2">
        <f t="shared" si="54"/>
        <v>0</v>
      </c>
      <c r="AN76" s="2">
        <f t="shared" si="54"/>
        <v>0</v>
      </c>
      <c r="AO76" s="2">
        <f t="shared" si="54"/>
        <v>0</v>
      </c>
      <c r="AP76" s="2">
        <f t="shared" si="54"/>
        <v>0</v>
      </c>
      <c r="AQ76" s="2">
        <f t="shared" si="54"/>
        <v>0</v>
      </c>
      <c r="AR76" s="2">
        <f t="shared" si="54"/>
        <v>0</v>
      </c>
    </row>
    <row r="77" spans="3:44" x14ac:dyDescent="0.15">
      <c r="C77" s="2">
        <f t="shared" si="51"/>
        <v>0</v>
      </c>
      <c r="D77" s="2">
        <f t="shared" ref="D77:AR77" si="55">BowlSplit(D35,$C$53)</f>
        <v>0</v>
      </c>
      <c r="E77" s="2">
        <f t="shared" si="55"/>
        <v>0</v>
      </c>
      <c r="F77" s="2">
        <f t="shared" si="55"/>
        <v>0</v>
      </c>
      <c r="G77" s="2">
        <f t="shared" si="55"/>
        <v>0</v>
      </c>
      <c r="H77" s="2">
        <f t="shared" si="55"/>
        <v>0</v>
      </c>
      <c r="I77" s="2">
        <f t="shared" si="55"/>
        <v>0</v>
      </c>
      <c r="J77" s="2">
        <f t="shared" si="55"/>
        <v>0</v>
      </c>
      <c r="K77" s="2">
        <f t="shared" si="55"/>
        <v>0</v>
      </c>
      <c r="L77" s="2">
        <f t="shared" si="55"/>
        <v>0</v>
      </c>
      <c r="M77" s="2">
        <f t="shared" si="55"/>
        <v>0</v>
      </c>
      <c r="N77" s="2">
        <f t="shared" si="55"/>
        <v>0</v>
      </c>
      <c r="O77" s="2">
        <f t="shared" si="55"/>
        <v>0</v>
      </c>
      <c r="P77" s="2">
        <f t="shared" si="55"/>
        <v>0</v>
      </c>
      <c r="Q77" s="2">
        <f t="shared" si="55"/>
        <v>0</v>
      </c>
      <c r="R77" s="2">
        <f t="shared" si="55"/>
        <v>0</v>
      </c>
      <c r="S77" s="2">
        <f t="shared" si="55"/>
        <v>0</v>
      </c>
      <c r="T77" s="2">
        <f t="shared" si="55"/>
        <v>0</v>
      </c>
      <c r="U77" s="2">
        <f t="shared" si="55"/>
        <v>0</v>
      </c>
      <c r="V77" s="2">
        <f t="shared" si="55"/>
        <v>0</v>
      </c>
      <c r="W77" s="2">
        <f t="shared" si="55"/>
        <v>0</v>
      </c>
      <c r="X77" s="2">
        <f t="shared" si="55"/>
        <v>0</v>
      </c>
      <c r="Y77" s="2">
        <f t="shared" si="55"/>
        <v>0</v>
      </c>
      <c r="Z77" s="2">
        <f t="shared" si="55"/>
        <v>0</v>
      </c>
      <c r="AA77" s="2">
        <f t="shared" si="55"/>
        <v>0</v>
      </c>
      <c r="AB77" s="2">
        <f t="shared" si="55"/>
        <v>0</v>
      </c>
      <c r="AC77" s="2">
        <f t="shared" si="55"/>
        <v>0</v>
      </c>
      <c r="AD77" s="2">
        <f t="shared" si="55"/>
        <v>0</v>
      </c>
      <c r="AE77" s="2">
        <f t="shared" si="55"/>
        <v>0</v>
      </c>
      <c r="AF77" s="2">
        <f t="shared" si="55"/>
        <v>0</v>
      </c>
      <c r="AG77" s="2">
        <f t="shared" si="55"/>
        <v>0</v>
      </c>
      <c r="AH77" s="2">
        <f t="shared" si="55"/>
        <v>0</v>
      </c>
      <c r="AI77" s="2">
        <f t="shared" si="55"/>
        <v>0</v>
      </c>
      <c r="AJ77" s="2">
        <f t="shared" si="55"/>
        <v>0</v>
      </c>
      <c r="AK77" s="2">
        <f t="shared" si="55"/>
        <v>0</v>
      </c>
      <c r="AL77" s="2">
        <f t="shared" si="55"/>
        <v>0</v>
      </c>
      <c r="AM77" s="2">
        <f t="shared" si="55"/>
        <v>0</v>
      </c>
      <c r="AN77" s="2">
        <f t="shared" si="55"/>
        <v>0</v>
      </c>
      <c r="AO77" s="2">
        <f t="shared" si="55"/>
        <v>0</v>
      </c>
      <c r="AP77" s="2">
        <f t="shared" si="55"/>
        <v>0</v>
      </c>
      <c r="AQ77" s="2">
        <f t="shared" si="55"/>
        <v>0</v>
      </c>
      <c r="AR77" s="2">
        <f t="shared" si="55"/>
        <v>0</v>
      </c>
    </row>
    <row r="78" spans="3:44" x14ac:dyDescent="0.15">
      <c r="C78" s="2">
        <f t="shared" si="51"/>
        <v>0</v>
      </c>
      <c r="D78" s="2">
        <f t="shared" ref="D78:AR78" si="56">BowlSplit(D36,$C$53)</f>
        <v>0</v>
      </c>
      <c r="E78" s="2">
        <f t="shared" si="56"/>
        <v>0</v>
      </c>
      <c r="F78" s="2">
        <f t="shared" si="56"/>
        <v>0</v>
      </c>
      <c r="G78" s="2">
        <f t="shared" si="56"/>
        <v>0</v>
      </c>
      <c r="H78" s="2">
        <f t="shared" si="56"/>
        <v>0</v>
      </c>
      <c r="I78" s="2">
        <f t="shared" si="56"/>
        <v>0</v>
      </c>
      <c r="J78" s="2">
        <f t="shared" si="56"/>
        <v>0</v>
      </c>
      <c r="K78" s="2">
        <f t="shared" si="56"/>
        <v>0</v>
      </c>
      <c r="L78" s="2">
        <f t="shared" si="56"/>
        <v>0</v>
      </c>
      <c r="M78" s="2">
        <f t="shared" si="56"/>
        <v>0</v>
      </c>
      <c r="N78" s="2">
        <f t="shared" si="56"/>
        <v>0</v>
      </c>
      <c r="O78" s="2">
        <f t="shared" si="56"/>
        <v>0</v>
      </c>
      <c r="P78" s="2">
        <f t="shared" si="56"/>
        <v>0</v>
      </c>
      <c r="Q78" s="2">
        <f t="shared" si="56"/>
        <v>0</v>
      </c>
      <c r="R78" s="2">
        <f t="shared" si="56"/>
        <v>0</v>
      </c>
      <c r="S78" s="2">
        <f t="shared" si="56"/>
        <v>0</v>
      </c>
      <c r="T78" s="2">
        <f t="shared" si="56"/>
        <v>0</v>
      </c>
      <c r="U78" s="2">
        <f t="shared" si="56"/>
        <v>0</v>
      </c>
      <c r="V78" s="2">
        <f t="shared" si="56"/>
        <v>0</v>
      </c>
      <c r="W78" s="2">
        <f t="shared" si="56"/>
        <v>0</v>
      </c>
      <c r="X78" s="2">
        <f t="shared" si="56"/>
        <v>0</v>
      </c>
      <c r="Y78" s="2">
        <f t="shared" si="56"/>
        <v>0</v>
      </c>
      <c r="Z78" s="2">
        <f t="shared" si="56"/>
        <v>0</v>
      </c>
      <c r="AA78" s="2">
        <f t="shared" si="56"/>
        <v>0</v>
      </c>
      <c r="AB78" s="2">
        <f t="shared" si="56"/>
        <v>0</v>
      </c>
      <c r="AC78" s="2">
        <f t="shared" si="56"/>
        <v>0</v>
      </c>
      <c r="AD78" s="2">
        <f t="shared" si="56"/>
        <v>0</v>
      </c>
      <c r="AE78" s="2">
        <f t="shared" si="56"/>
        <v>0</v>
      </c>
      <c r="AF78" s="2">
        <f t="shared" si="56"/>
        <v>0</v>
      </c>
      <c r="AG78" s="2">
        <f t="shared" si="56"/>
        <v>0</v>
      </c>
      <c r="AH78" s="2">
        <f t="shared" si="56"/>
        <v>0</v>
      </c>
      <c r="AI78" s="2">
        <f t="shared" si="56"/>
        <v>0</v>
      </c>
      <c r="AJ78" s="2">
        <f t="shared" si="56"/>
        <v>0</v>
      </c>
      <c r="AK78" s="2">
        <f t="shared" si="56"/>
        <v>0</v>
      </c>
      <c r="AL78" s="2">
        <f t="shared" si="56"/>
        <v>0</v>
      </c>
      <c r="AM78" s="2">
        <f t="shared" si="56"/>
        <v>0</v>
      </c>
      <c r="AN78" s="2">
        <f t="shared" si="56"/>
        <v>0</v>
      </c>
      <c r="AO78" s="2">
        <f t="shared" si="56"/>
        <v>0</v>
      </c>
      <c r="AP78" s="2">
        <f t="shared" si="56"/>
        <v>0</v>
      </c>
      <c r="AQ78" s="2">
        <f t="shared" si="56"/>
        <v>0</v>
      </c>
      <c r="AR78" s="2">
        <f t="shared" si="56"/>
        <v>0</v>
      </c>
    </row>
    <row r="79" spans="3:44" x14ac:dyDescent="0.15">
      <c r="C79" s="2">
        <f t="shared" si="51"/>
        <v>2</v>
      </c>
      <c r="D79" s="2">
        <f t="shared" ref="D79:M79" si="57">BowlSplit(D37,$C$53)</f>
        <v>0</v>
      </c>
      <c r="E79" s="2">
        <f t="shared" si="57"/>
        <v>0</v>
      </c>
      <c r="F79" s="2">
        <f t="shared" si="57"/>
        <v>0</v>
      </c>
      <c r="G79" s="2">
        <f t="shared" si="57"/>
        <v>0</v>
      </c>
      <c r="H79" s="2">
        <f t="shared" si="57"/>
        <v>0</v>
      </c>
      <c r="I79" s="2">
        <f t="shared" si="57"/>
        <v>2</v>
      </c>
      <c r="J79" s="2">
        <f t="shared" si="57"/>
        <v>2</v>
      </c>
      <c r="K79" s="2">
        <f t="shared" si="57"/>
        <v>1</v>
      </c>
      <c r="L79" s="2">
        <f t="shared" si="57"/>
        <v>0</v>
      </c>
      <c r="M79" s="2">
        <f t="shared" si="57"/>
        <v>0</v>
      </c>
      <c r="N79" s="2">
        <f t="shared" ref="N79:AR79" si="58">BowlSplit(N37,$C$53)</f>
        <v>0</v>
      </c>
      <c r="O79" s="2">
        <f t="shared" si="58"/>
        <v>0</v>
      </c>
      <c r="P79" s="2">
        <f t="shared" si="58"/>
        <v>0</v>
      </c>
      <c r="Q79" s="2">
        <f t="shared" si="58"/>
        <v>0</v>
      </c>
      <c r="R79" s="2">
        <f t="shared" si="58"/>
        <v>1</v>
      </c>
      <c r="S79" s="2">
        <f t="shared" si="58"/>
        <v>0</v>
      </c>
      <c r="T79" s="2">
        <f t="shared" si="58"/>
        <v>0</v>
      </c>
      <c r="U79" s="2">
        <f t="shared" si="58"/>
        <v>0</v>
      </c>
      <c r="V79" s="2">
        <f t="shared" si="58"/>
        <v>0</v>
      </c>
      <c r="W79" s="2">
        <f t="shared" si="58"/>
        <v>0</v>
      </c>
      <c r="X79" s="2">
        <f t="shared" si="58"/>
        <v>0</v>
      </c>
      <c r="Y79" s="2">
        <f t="shared" si="58"/>
        <v>0</v>
      </c>
      <c r="Z79" s="2">
        <f t="shared" si="58"/>
        <v>0</v>
      </c>
      <c r="AA79" s="2">
        <f t="shared" si="58"/>
        <v>0</v>
      </c>
      <c r="AB79" s="2">
        <f t="shared" si="58"/>
        <v>1</v>
      </c>
      <c r="AC79" s="2">
        <f t="shared" si="58"/>
        <v>3</v>
      </c>
      <c r="AD79" s="2">
        <f t="shared" si="58"/>
        <v>0</v>
      </c>
      <c r="AE79" s="2">
        <f t="shared" si="58"/>
        <v>0</v>
      </c>
      <c r="AF79" s="2">
        <f t="shared" si="58"/>
        <v>0</v>
      </c>
      <c r="AG79" s="2">
        <f t="shared" si="58"/>
        <v>0</v>
      </c>
      <c r="AH79" s="2">
        <f t="shared" si="58"/>
        <v>0</v>
      </c>
      <c r="AI79" s="2">
        <f t="shared" si="58"/>
        <v>2</v>
      </c>
      <c r="AJ79" s="2">
        <f t="shared" si="58"/>
        <v>0</v>
      </c>
      <c r="AK79" s="2">
        <f t="shared" si="58"/>
        <v>0</v>
      </c>
      <c r="AL79" s="2">
        <f t="shared" si="58"/>
        <v>0</v>
      </c>
      <c r="AM79" s="2">
        <f t="shared" si="58"/>
        <v>0</v>
      </c>
      <c r="AN79" s="2">
        <f t="shared" si="58"/>
        <v>0</v>
      </c>
      <c r="AO79" s="2">
        <f t="shared" si="58"/>
        <v>0</v>
      </c>
      <c r="AP79" s="2">
        <f t="shared" si="58"/>
        <v>0</v>
      </c>
      <c r="AQ79" s="2">
        <f t="shared" si="58"/>
        <v>0</v>
      </c>
      <c r="AR79" s="2">
        <f t="shared" si="58"/>
        <v>0</v>
      </c>
    </row>
    <row r="80" spans="3:44" x14ac:dyDescent="0.15">
      <c r="C80" s="2">
        <f t="shared" ref="C80:AR80" si="59">BowlSplit(C39,$C$53)</f>
        <v>0</v>
      </c>
      <c r="D80" s="2">
        <f t="shared" si="59"/>
        <v>0</v>
      </c>
      <c r="E80" s="2">
        <f t="shared" si="59"/>
        <v>0</v>
      </c>
      <c r="F80" s="2">
        <f t="shared" si="59"/>
        <v>0</v>
      </c>
      <c r="G80" s="2">
        <f t="shared" si="59"/>
        <v>0</v>
      </c>
      <c r="H80" s="2">
        <f t="shared" si="59"/>
        <v>0</v>
      </c>
      <c r="I80" s="2">
        <f t="shared" si="59"/>
        <v>0</v>
      </c>
      <c r="J80" s="2">
        <f t="shared" si="59"/>
        <v>0</v>
      </c>
      <c r="K80" s="2">
        <f t="shared" si="59"/>
        <v>0</v>
      </c>
      <c r="L80" s="2">
        <f t="shared" si="59"/>
        <v>0</v>
      </c>
      <c r="M80" s="2">
        <f t="shared" si="59"/>
        <v>0</v>
      </c>
      <c r="N80" s="2">
        <f t="shared" si="59"/>
        <v>0</v>
      </c>
      <c r="O80" s="2">
        <f t="shared" si="59"/>
        <v>0</v>
      </c>
      <c r="P80" s="2">
        <f t="shared" si="59"/>
        <v>0</v>
      </c>
      <c r="Q80" s="2">
        <f t="shared" si="59"/>
        <v>0</v>
      </c>
      <c r="R80" s="2">
        <f t="shared" si="59"/>
        <v>0</v>
      </c>
      <c r="S80" s="2">
        <f t="shared" si="59"/>
        <v>0</v>
      </c>
      <c r="T80" s="2">
        <f t="shared" si="59"/>
        <v>0</v>
      </c>
      <c r="U80" s="2">
        <f t="shared" si="59"/>
        <v>0</v>
      </c>
      <c r="V80" s="2">
        <f t="shared" si="59"/>
        <v>0</v>
      </c>
      <c r="W80" s="2">
        <f t="shared" si="59"/>
        <v>0</v>
      </c>
      <c r="X80" s="2">
        <f t="shared" si="59"/>
        <v>0</v>
      </c>
      <c r="Y80" s="2">
        <f t="shared" si="59"/>
        <v>0</v>
      </c>
      <c r="Z80" s="2">
        <f t="shared" si="59"/>
        <v>0</v>
      </c>
      <c r="AA80" s="2">
        <f t="shared" si="59"/>
        <v>0</v>
      </c>
      <c r="AB80" s="2">
        <f t="shared" si="59"/>
        <v>0</v>
      </c>
      <c r="AC80" s="2">
        <f t="shared" si="59"/>
        <v>0</v>
      </c>
      <c r="AD80" s="2">
        <f t="shared" si="59"/>
        <v>0</v>
      </c>
      <c r="AE80" s="2">
        <f t="shared" si="59"/>
        <v>1</v>
      </c>
      <c r="AF80" s="2">
        <f t="shared" si="59"/>
        <v>0</v>
      </c>
      <c r="AG80" s="2">
        <f t="shared" si="59"/>
        <v>1</v>
      </c>
      <c r="AH80" s="2">
        <f t="shared" si="59"/>
        <v>0</v>
      </c>
      <c r="AI80" s="2">
        <f t="shared" si="59"/>
        <v>0</v>
      </c>
      <c r="AJ80" s="2">
        <f t="shared" si="59"/>
        <v>0</v>
      </c>
      <c r="AK80" s="2">
        <f t="shared" si="59"/>
        <v>0</v>
      </c>
      <c r="AL80" s="2">
        <f t="shared" si="59"/>
        <v>0</v>
      </c>
      <c r="AM80" s="2">
        <f t="shared" si="59"/>
        <v>0</v>
      </c>
      <c r="AN80" s="2">
        <f t="shared" si="59"/>
        <v>0</v>
      </c>
      <c r="AO80" s="2">
        <f t="shared" si="59"/>
        <v>0</v>
      </c>
      <c r="AP80" s="2">
        <f t="shared" si="59"/>
        <v>0</v>
      </c>
      <c r="AQ80" s="2">
        <f t="shared" si="59"/>
        <v>0</v>
      </c>
      <c r="AR80" s="2">
        <f t="shared" si="59"/>
        <v>0</v>
      </c>
    </row>
    <row r="81" spans="3:44" x14ac:dyDescent="0.15">
      <c r="C81" s="2">
        <f t="shared" ref="C81:AR81" si="60">BowlSplit(C40,$C$53)</f>
        <v>0</v>
      </c>
      <c r="D81" s="2">
        <f t="shared" si="60"/>
        <v>0</v>
      </c>
      <c r="E81" s="2">
        <f t="shared" si="60"/>
        <v>0</v>
      </c>
      <c r="F81" s="2">
        <f t="shared" si="60"/>
        <v>0</v>
      </c>
      <c r="G81" s="2">
        <f t="shared" si="60"/>
        <v>0</v>
      </c>
      <c r="H81" s="2">
        <f t="shared" si="60"/>
        <v>0</v>
      </c>
      <c r="I81" s="2">
        <f t="shared" si="60"/>
        <v>0</v>
      </c>
      <c r="J81" s="2">
        <f t="shared" si="60"/>
        <v>0</v>
      </c>
      <c r="K81" s="2">
        <f t="shared" si="60"/>
        <v>0</v>
      </c>
      <c r="L81" s="2">
        <f t="shared" si="60"/>
        <v>0</v>
      </c>
      <c r="M81" s="2">
        <f t="shared" si="60"/>
        <v>0</v>
      </c>
      <c r="N81" s="2">
        <f t="shared" si="60"/>
        <v>0</v>
      </c>
      <c r="O81" s="2">
        <f t="shared" si="60"/>
        <v>0</v>
      </c>
      <c r="P81" s="2">
        <f t="shared" si="60"/>
        <v>0</v>
      </c>
      <c r="Q81" s="2">
        <f t="shared" si="60"/>
        <v>0</v>
      </c>
      <c r="R81" s="2">
        <f t="shared" si="60"/>
        <v>0</v>
      </c>
      <c r="S81" s="2">
        <f t="shared" si="60"/>
        <v>0</v>
      </c>
      <c r="T81" s="2">
        <f t="shared" si="60"/>
        <v>0</v>
      </c>
      <c r="U81" s="2">
        <f t="shared" si="60"/>
        <v>0</v>
      </c>
      <c r="V81" s="2">
        <f t="shared" si="60"/>
        <v>0</v>
      </c>
      <c r="W81" s="2">
        <f t="shared" si="60"/>
        <v>0</v>
      </c>
      <c r="X81" s="2">
        <f t="shared" si="60"/>
        <v>0</v>
      </c>
      <c r="Y81" s="2">
        <f t="shared" si="60"/>
        <v>0</v>
      </c>
      <c r="Z81" s="2">
        <f t="shared" si="60"/>
        <v>0</v>
      </c>
      <c r="AA81" s="2">
        <f t="shared" si="60"/>
        <v>0</v>
      </c>
      <c r="AB81" s="2">
        <f t="shared" si="60"/>
        <v>0</v>
      </c>
      <c r="AC81" s="2">
        <f t="shared" si="60"/>
        <v>0</v>
      </c>
      <c r="AD81" s="2">
        <f t="shared" si="60"/>
        <v>0</v>
      </c>
      <c r="AE81" s="2">
        <f t="shared" si="60"/>
        <v>0</v>
      </c>
      <c r="AF81" s="2">
        <f t="shared" si="60"/>
        <v>0</v>
      </c>
      <c r="AG81" s="2">
        <f t="shared" si="60"/>
        <v>0</v>
      </c>
      <c r="AH81" s="2">
        <f t="shared" si="60"/>
        <v>0</v>
      </c>
      <c r="AI81" s="2">
        <f t="shared" si="60"/>
        <v>0</v>
      </c>
      <c r="AJ81" s="2">
        <f t="shared" si="60"/>
        <v>0</v>
      </c>
      <c r="AK81" s="2">
        <f t="shared" si="60"/>
        <v>0</v>
      </c>
      <c r="AL81" s="2">
        <f t="shared" si="60"/>
        <v>0</v>
      </c>
      <c r="AM81" s="2">
        <f t="shared" si="60"/>
        <v>0</v>
      </c>
      <c r="AN81" s="2">
        <f t="shared" si="60"/>
        <v>0</v>
      </c>
      <c r="AO81" s="2">
        <f t="shared" si="60"/>
        <v>0</v>
      </c>
      <c r="AP81" s="2">
        <f t="shared" si="60"/>
        <v>0</v>
      </c>
      <c r="AQ81" s="2">
        <f t="shared" si="60"/>
        <v>0</v>
      </c>
      <c r="AR81" s="2">
        <f t="shared" si="60"/>
        <v>0</v>
      </c>
    </row>
    <row r="82" spans="3:44" x14ac:dyDescent="0.15">
      <c r="C82" s="2">
        <f t="shared" ref="C82:AR82" si="61">BowlSplit(C41,$C$53)</f>
        <v>0</v>
      </c>
      <c r="D82" s="2">
        <f t="shared" si="61"/>
        <v>0</v>
      </c>
      <c r="E82" s="2">
        <f t="shared" si="61"/>
        <v>0</v>
      </c>
      <c r="F82" s="2">
        <f t="shared" si="61"/>
        <v>3</v>
      </c>
      <c r="G82" s="2">
        <f t="shared" si="61"/>
        <v>0</v>
      </c>
      <c r="H82" s="2">
        <f t="shared" si="61"/>
        <v>5</v>
      </c>
      <c r="I82" s="2">
        <f t="shared" si="61"/>
        <v>0</v>
      </c>
      <c r="J82" s="2">
        <f t="shared" si="61"/>
        <v>0</v>
      </c>
      <c r="K82" s="2">
        <f t="shared" si="61"/>
        <v>0</v>
      </c>
      <c r="L82" s="2">
        <f t="shared" si="61"/>
        <v>0</v>
      </c>
      <c r="M82" s="2">
        <f t="shared" si="61"/>
        <v>0</v>
      </c>
      <c r="N82" s="2">
        <f t="shared" si="61"/>
        <v>0</v>
      </c>
      <c r="O82" s="2">
        <f t="shared" si="61"/>
        <v>0</v>
      </c>
      <c r="P82" s="2">
        <f t="shared" si="61"/>
        <v>0</v>
      </c>
      <c r="Q82" s="2">
        <f t="shared" si="61"/>
        <v>0</v>
      </c>
      <c r="R82" s="2">
        <f t="shared" si="61"/>
        <v>0</v>
      </c>
      <c r="S82" s="2">
        <f t="shared" si="61"/>
        <v>0</v>
      </c>
      <c r="T82" s="2">
        <f t="shared" si="61"/>
        <v>1</v>
      </c>
      <c r="U82" s="2">
        <f t="shared" si="61"/>
        <v>0</v>
      </c>
      <c r="V82" s="2">
        <f t="shared" si="61"/>
        <v>3</v>
      </c>
      <c r="W82" s="2">
        <f t="shared" si="61"/>
        <v>0</v>
      </c>
      <c r="X82" s="2">
        <f t="shared" si="61"/>
        <v>0</v>
      </c>
      <c r="Y82" s="2">
        <f t="shared" si="61"/>
        <v>0</v>
      </c>
      <c r="Z82" s="2">
        <f t="shared" si="61"/>
        <v>1</v>
      </c>
      <c r="AA82" s="2">
        <f t="shared" si="61"/>
        <v>0</v>
      </c>
      <c r="AB82" s="2">
        <f t="shared" si="61"/>
        <v>0</v>
      </c>
      <c r="AC82" s="2">
        <f t="shared" si="61"/>
        <v>0</v>
      </c>
      <c r="AD82" s="2">
        <f t="shared" si="61"/>
        <v>0</v>
      </c>
      <c r="AE82" s="2">
        <f t="shared" si="61"/>
        <v>0</v>
      </c>
      <c r="AF82" s="2">
        <f t="shared" si="61"/>
        <v>0</v>
      </c>
      <c r="AG82" s="2">
        <f t="shared" si="61"/>
        <v>0</v>
      </c>
      <c r="AH82" s="2">
        <f t="shared" si="61"/>
        <v>0</v>
      </c>
      <c r="AI82" s="2">
        <f t="shared" si="61"/>
        <v>0</v>
      </c>
      <c r="AJ82" s="2">
        <f t="shared" si="61"/>
        <v>0</v>
      </c>
      <c r="AK82" s="2">
        <f t="shared" si="61"/>
        <v>0</v>
      </c>
      <c r="AL82" s="2">
        <f t="shared" si="61"/>
        <v>0</v>
      </c>
      <c r="AM82" s="2">
        <f t="shared" si="61"/>
        <v>0</v>
      </c>
      <c r="AN82" s="2">
        <f t="shared" si="61"/>
        <v>0</v>
      </c>
      <c r="AO82" s="2">
        <f t="shared" si="61"/>
        <v>0</v>
      </c>
      <c r="AP82" s="2">
        <f t="shared" si="61"/>
        <v>0</v>
      </c>
      <c r="AQ82" s="2">
        <f t="shared" si="61"/>
        <v>0</v>
      </c>
      <c r="AR82" s="2">
        <f t="shared" si="61"/>
        <v>2</v>
      </c>
    </row>
    <row r="83" spans="3:44" x14ac:dyDescent="0.15">
      <c r="C83" s="2">
        <f t="shared" ref="C83:AR83" si="62">BowlSplit(C42,$C$53)</f>
        <v>3</v>
      </c>
      <c r="D83" s="2">
        <f t="shared" si="62"/>
        <v>0</v>
      </c>
      <c r="E83" s="2">
        <f t="shared" si="62"/>
        <v>0</v>
      </c>
      <c r="F83" s="2">
        <f t="shared" si="62"/>
        <v>0</v>
      </c>
      <c r="G83" s="2">
        <f t="shared" si="62"/>
        <v>0</v>
      </c>
      <c r="H83" s="2">
        <f t="shared" si="62"/>
        <v>0</v>
      </c>
      <c r="I83" s="2">
        <f t="shared" si="62"/>
        <v>0</v>
      </c>
      <c r="J83" s="2">
        <f t="shared" si="62"/>
        <v>0</v>
      </c>
      <c r="K83" s="2">
        <f t="shared" si="62"/>
        <v>0</v>
      </c>
      <c r="L83" s="2">
        <f t="shared" si="62"/>
        <v>0</v>
      </c>
      <c r="M83" s="2">
        <f t="shared" si="62"/>
        <v>0</v>
      </c>
      <c r="N83" s="2">
        <f t="shared" si="62"/>
        <v>0</v>
      </c>
      <c r="O83" s="2">
        <f t="shared" si="62"/>
        <v>0</v>
      </c>
      <c r="P83" s="2">
        <f t="shared" si="62"/>
        <v>0</v>
      </c>
      <c r="Q83" s="2">
        <f t="shared" si="62"/>
        <v>0</v>
      </c>
      <c r="R83" s="2">
        <f t="shared" si="62"/>
        <v>0</v>
      </c>
      <c r="S83" s="2">
        <f t="shared" si="62"/>
        <v>0</v>
      </c>
      <c r="T83" s="2">
        <f t="shared" si="62"/>
        <v>0</v>
      </c>
      <c r="U83" s="2">
        <f t="shared" si="62"/>
        <v>0</v>
      </c>
      <c r="V83" s="2">
        <f t="shared" si="62"/>
        <v>0</v>
      </c>
      <c r="W83" s="2">
        <f t="shared" si="62"/>
        <v>1</v>
      </c>
      <c r="X83" s="2">
        <f t="shared" si="62"/>
        <v>0</v>
      </c>
      <c r="Y83" s="2">
        <f t="shared" si="62"/>
        <v>0</v>
      </c>
      <c r="Z83" s="2">
        <f t="shared" si="62"/>
        <v>0</v>
      </c>
      <c r="AA83" s="2">
        <f t="shared" si="62"/>
        <v>2</v>
      </c>
      <c r="AB83" s="2">
        <f t="shared" si="62"/>
        <v>0</v>
      </c>
      <c r="AC83" s="2">
        <f t="shared" si="62"/>
        <v>0</v>
      </c>
      <c r="AD83" s="2">
        <f t="shared" si="62"/>
        <v>0</v>
      </c>
      <c r="AE83" s="2">
        <f t="shared" si="62"/>
        <v>0</v>
      </c>
      <c r="AF83" s="2">
        <f t="shared" si="62"/>
        <v>0</v>
      </c>
      <c r="AG83" s="2">
        <f t="shared" si="62"/>
        <v>0</v>
      </c>
      <c r="AH83" s="2">
        <f t="shared" si="62"/>
        <v>0</v>
      </c>
      <c r="AI83" s="2">
        <f t="shared" si="62"/>
        <v>0</v>
      </c>
      <c r="AJ83" s="2">
        <f t="shared" si="62"/>
        <v>0</v>
      </c>
      <c r="AK83" s="2">
        <f t="shared" si="62"/>
        <v>0</v>
      </c>
      <c r="AL83" s="2">
        <f t="shared" si="62"/>
        <v>0</v>
      </c>
      <c r="AM83" s="2">
        <f t="shared" si="62"/>
        <v>0</v>
      </c>
      <c r="AN83" s="2">
        <f t="shared" si="62"/>
        <v>0</v>
      </c>
      <c r="AO83" s="2">
        <f t="shared" si="62"/>
        <v>0</v>
      </c>
      <c r="AP83" s="2">
        <f t="shared" si="62"/>
        <v>0</v>
      </c>
      <c r="AQ83" s="2">
        <f t="shared" si="62"/>
        <v>0</v>
      </c>
      <c r="AR83" s="2">
        <f t="shared" si="62"/>
        <v>0</v>
      </c>
    </row>
  </sheetData>
  <phoneticPr fontId="0" type="noConversion"/>
  <conditionalFormatting sqref="AG105:AG116 AU54:BB96 AS54:AT104 C84:AR104">
    <cfRule type="cellIs" dxfId="2" priority="1" stopIfTrue="1" operator="greaterThan">
      <formula>5</formula>
    </cfRule>
  </conditionalFormatting>
  <conditionalFormatting sqref="C52:CC52">
    <cfRule type="cellIs" dxfId="1" priority="2" stopIfTrue="1" operator="notEqual">
      <formula>C50</formula>
    </cfRule>
  </conditionalFormatting>
  <conditionalFormatting sqref="C54:AR83">
    <cfRule type="cellIs" dxfId="0" priority="3" stopIfTrue="1" operator="equal">
      <formula>$B$54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60"/>
  <sheetViews>
    <sheetView workbookViewId="0">
      <selection activeCell="C2" sqref="C2"/>
    </sheetView>
  </sheetViews>
  <sheetFormatPr defaultRowHeight="10.5" x14ac:dyDescent="0.15"/>
  <cols>
    <col min="1" max="1" width="4.85546875" customWidth="1"/>
    <col min="2" max="2" width="0" hidden="1" customWidth="1"/>
    <col min="3" max="3" width="12.5703125" bestFit="1" customWidth="1"/>
    <col min="4" max="4" width="7.5703125" style="79" bestFit="1" customWidth="1"/>
    <col min="5" max="5" width="4.5703125" style="79" bestFit="1" customWidth="1"/>
    <col min="6" max="6" width="7.140625" style="79" bestFit="1" customWidth="1"/>
    <col min="7" max="8" width="5" style="79" bestFit="1" customWidth="1"/>
    <col min="9" max="9" width="8.85546875" style="85" bestFit="1" customWidth="1"/>
    <col min="20" max="20" width="18.42578125" customWidth="1"/>
  </cols>
  <sheetData>
    <row r="1" spans="1:20" x14ac:dyDescent="0.15">
      <c r="A1" s="62" t="s">
        <v>152</v>
      </c>
      <c r="D1" s="79" t="s">
        <v>5</v>
      </c>
      <c r="E1" s="79" t="s">
        <v>7</v>
      </c>
      <c r="F1" s="79" t="s">
        <v>8</v>
      </c>
      <c r="G1" s="79" t="s">
        <v>153</v>
      </c>
      <c r="H1" s="79" t="s">
        <v>9</v>
      </c>
      <c r="I1" s="85" t="s">
        <v>10</v>
      </c>
      <c r="K1" s="79"/>
    </row>
    <row r="2" spans="1:20" x14ac:dyDescent="0.15">
      <c r="A2">
        <v>1</v>
      </c>
      <c r="B2">
        <f>MATCH(A2,Batting!$DE$5:$DE$50,0)</f>
        <v>27</v>
      </c>
      <c r="C2" t="str">
        <f ca="1">OFFSET(Batting!$C$4,BatAves!$B2,0)</f>
        <v>Mander N</v>
      </c>
      <c r="D2" s="79">
        <f ca="1">OFFSET(Batting!$CE$4,BatAves!$B2,0)</f>
        <v>10</v>
      </c>
      <c r="E2" s="79">
        <f ca="1">OFFSET(Batting!$CG$4,BatAves!$B2,0)</f>
        <v>10</v>
      </c>
      <c r="F2" s="79">
        <f ca="1">OFFSET(Batting!$CH$4,BatAves!$B2,0)</f>
        <v>2</v>
      </c>
      <c r="G2" s="79">
        <f ca="1">OFFSET(Batting!$CJ$4,BatAves!$B2,0)</f>
        <v>93</v>
      </c>
      <c r="H2" s="79">
        <f ca="1">OFFSET(Batting!$CK$4,BatAves!$B2,0)</f>
        <v>438</v>
      </c>
      <c r="I2" s="83">
        <f ca="1">OFFSET(Batting!$CL$4,BatAves!$B2,0)</f>
        <v>54.75</v>
      </c>
      <c r="N2" s="79"/>
      <c r="O2" s="79"/>
      <c r="P2" s="79"/>
      <c r="Q2" s="79"/>
      <c r="R2" s="79"/>
      <c r="S2" s="83"/>
      <c r="T2" s="123"/>
    </row>
    <row r="3" spans="1:20" x14ac:dyDescent="0.15">
      <c r="A3">
        <v>2</v>
      </c>
      <c r="B3">
        <f>MATCH(A3,Batting!$DE$5:$DE$50,0)</f>
        <v>21</v>
      </c>
      <c r="C3" t="str">
        <f ca="1">OFFSET(Batting!$C$4,BatAves!$B3,0)</f>
        <v>Leadley J</v>
      </c>
      <c r="D3" s="79">
        <f ca="1">OFFSET(Batting!$CE$4,BatAves!$B3,0)</f>
        <v>3</v>
      </c>
      <c r="E3" s="79">
        <f ca="1">OFFSET(Batting!$CG$4,BatAves!$B3,0)</f>
        <v>3</v>
      </c>
      <c r="F3" s="79">
        <f ca="1">OFFSET(Batting!$CH$4,BatAves!$B3,0)</f>
        <v>1</v>
      </c>
      <c r="G3" s="79" t="str">
        <f ca="1">OFFSET(Batting!$CJ$4,BatAves!$B3,0)</f>
        <v>44*</v>
      </c>
      <c r="H3" s="79">
        <f ca="1">OFFSET(Batting!$CK$4,BatAves!$B3,0)</f>
        <v>82</v>
      </c>
      <c r="I3" s="83">
        <f ca="1">OFFSET(Batting!$CL$4,BatAves!$B3,0)</f>
        <v>41</v>
      </c>
      <c r="N3" s="79"/>
      <c r="O3" s="79"/>
      <c r="P3" s="79"/>
      <c r="Q3" s="79"/>
      <c r="R3" s="79"/>
      <c r="S3" s="83"/>
      <c r="T3" s="123"/>
    </row>
    <row r="4" spans="1:20" x14ac:dyDescent="0.15">
      <c r="A4">
        <v>3</v>
      </c>
      <c r="B4">
        <f>MATCH(A4,Batting!$DE$5:$DE$50,0)</f>
        <v>40</v>
      </c>
      <c r="C4" t="str">
        <f ca="1">OFFSET(Batting!$C$4,BatAves!$B4,0)</f>
        <v>Springer T</v>
      </c>
      <c r="D4" s="79">
        <f ca="1">OFFSET(Batting!$CE$4,BatAves!$B4,0)</f>
        <v>22</v>
      </c>
      <c r="E4" s="79">
        <f ca="1">OFFSET(Batting!$CG$4,BatAves!$B4,0)</f>
        <v>21</v>
      </c>
      <c r="F4" s="79">
        <f ca="1">OFFSET(Batting!$CH$4,BatAves!$B4,0)</f>
        <v>2</v>
      </c>
      <c r="G4" s="79" t="str">
        <f ca="1">OFFSET(Batting!$CJ$4,BatAves!$B4,0)</f>
        <v>131*</v>
      </c>
      <c r="H4" s="79">
        <f ca="1">OFFSET(Batting!$CK$4,BatAves!$B4,0)</f>
        <v>723</v>
      </c>
      <c r="I4" s="83">
        <f ca="1">OFFSET(Batting!$CL$4,BatAves!$B4,0)</f>
        <v>38.05263157894737</v>
      </c>
      <c r="N4" s="79"/>
      <c r="O4" s="79"/>
      <c r="P4" s="79"/>
      <c r="Q4" s="79"/>
      <c r="R4" s="79"/>
      <c r="S4" s="83"/>
      <c r="T4" s="123"/>
    </row>
    <row r="5" spans="1:20" x14ac:dyDescent="0.15">
      <c r="A5">
        <v>4</v>
      </c>
      <c r="B5">
        <f>MATCH(A5,Batting!$DE$5:$DE$50,0)</f>
        <v>26</v>
      </c>
      <c r="C5" t="str">
        <f ca="1">OFFSET(Batting!$C$4,BatAves!$B5,0)</f>
        <v>Mander C</v>
      </c>
      <c r="D5" s="79">
        <f ca="1">OFFSET(Batting!$CE$4,BatAves!$B5,0)</f>
        <v>9</v>
      </c>
      <c r="E5" s="79">
        <f ca="1">OFFSET(Batting!$CG$4,BatAves!$B5,0)</f>
        <v>7</v>
      </c>
      <c r="F5" s="79">
        <f ca="1">OFFSET(Batting!$CH$4,BatAves!$B5,0)</f>
        <v>3</v>
      </c>
      <c r="G5" s="79">
        <f ca="1">OFFSET(Batting!$CJ$4,BatAves!$B5,0)</f>
        <v>32</v>
      </c>
      <c r="H5" s="79">
        <f ca="1">OFFSET(Batting!$CK$4,BatAves!$B5,0)</f>
        <v>117</v>
      </c>
      <c r="I5" s="83">
        <f ca="1">OFFSET(Batting!$CL$4,BatAves!$B5,0)</f>
        <v>29.25</v>
      </c>
      <c r="N5" s="79"/>
      <c r="O5" s="79"/>
      <c r="P5" s="79"/>
      <c r="Q5" s="79"/>
      <c r="R5" s="79"/>
      <c r="S5" s="83"/>
      <c r="T5" s="123"/>
    </row>
    <row r="6" spans="1:20" x14ac:dyDescent="0.15">
      <c r="A6">
        <v>5</v>
      </c>
      <c r="B6">
        <f>MATCH(A6,Batting!$DE$5:$DE$50,0)</f>
        <v>44</v>
      </c>
      <c r="C6" t="str">
        <f ca="1">OFFSET(Batting!$C$4,BatAves!$B6,0)</f>
        <v>Worthy J</v>
      </c>
      <c r="D6" s="79">
        <f ca="1">OFFSET(Batting!$CE$4,BatAves!$B6,0)</f>
        <v>11</v>
      </c>
      <c r="E6" s="79">
        <f ca="1">OFFSET(Batting!$CG$4,BatAves!$B6,0)</f>
        <v>7</v>
      </c>
      <c r="F6" s="79">
        <f ca="1">OFFSET(Batting!$CH$4,BatAves!$B6,0)</f>
        <v>4</v>
      </c>
      <c r="G6" s="79" t="str">
        <f ca="1">OFFSET(Batting!$CJ$4,BatAves!$B6,0)</f>
        <v>31*</v>
      </c>
      <c r="H6" s="79">
        <f ca="1">OFFSET(Batting!$CK$4,BatAves!$B6,0)</f>
        <v>80</v>
      </c>
      <c r="I6" s="83">
        <f ca="1">OFFSET(Batting!$CL$4,BatAves!$B6,0)</f>
        <v>26.666666666666668</v>
      </c>
      <c r="N6" s="79"/>
      <c r="O6" s="79"/>
      <c r="P6" s="79"/>
      <c r="Q6" s="79"/>
      <c r="R6" s="79"/>
      <c r="S6" s="83"/>
      <c r="T6" s="123"/>
    </row>
    <row r="7" spans="1:20" x14ac:dyDescent="0.15">
      <c r="A7">
        <v>6</v>
      </c>
      <c r="B7">
        <f>MATCH(A7,Batting!$DE$5:$DE$50,0)</f>
        <v>14</v>
      </c>
      <c r="C7" t="str">
        <f ca="1">OFFSET(Batting!$C$4,BatAves!$B7,0)</f>
        <v>Fish R</v>
      </c>
      <c r="D7" s="79">
        <f ca="1">OFFSET(Batting!$CE$4,BatAves!$B7,0)</f>
        <v>4</v>
      </c>
      <c r="E7" s="79">
        <f ca="1">OFFSET(Batting!$CG$4,BatAves!$B7,0)</f>
        <v>4</v>
      </c>
      <c r="F7" s="79">
        <f ca="1">OFFSET(Batting!$CH$4,BatAves!$B7,0)</f>
        <v>1</v>
      </c>
      <c r="G7" s="79">
        <f ca="1">OFFSET(Batting!$CJ$4,BatAves!$B7,0)</f>
        <v>52</v>
      </c>
      <c r="H7" s="79">
        <f ca="1">OFFSET(Batting!$CK$4,BatAves!$B7,0)</f>
        <v>76</v>
      </c>
      <c r="I7" s="83">
        <f ca="1">OFFSET(Batting!$CL$4,BatAves!$B7,0)</f>
        <v>25.333333333333332</v>
      </c>
      <c r="N7" s="79"/>
      <c r="O7" s="79"/>
      <c r="P7" s="79"/>
      <c r="Q7" s="79"/>
      <c r="R7" s="79"/>
      <c r="S7" s="83"/>
      <c r="T7" s="123"/>
    </row>
    <row r="8" spans="1:20" x14ac:dyDescent="0.15">
      <c r="A8">
        <v>7</v>
      </c>
      <c r="B8">
        <f>MATCH(A8,Batting!$DE$5:$DE$50,0)</f>
        <v>45</v>
      </c>
      <c r="C8" t="str">
        <f ca="1">OFFSET(Batting!$C$4,BatAves!$B8,0)</f>
        <v>Wrenn S</v>
      </c>
      <c r="D8" s="79">
        <f ca="1">OFFSET(Batting!$CE$4,BatAves!$B8,0)</f>
        <v>1</v>
      </c>
      <c r="E8" s="79">
        <f ca="1">OFFSET(Batting!$CG$4,BatAves!$B8,0)</f>
        <v>1</v>
      </c>
      <c r="F8" s="79">
        <f ca="1">OFFSET(Batting!$CH$4,BatAves!$B8,0)</f>
        <v>0</v>
      </c>
      <c r="G8" s="79">
        <f ca="1">OFFSET(Batting!$CJ$4,BatAves!$B8,0)</f>
        <v>25</v>
      </c>
      <c r="H8" s="79">
        <f ca="1">OFFSET(Batting!$CK$4,BatAves!$B8,0)</f>
        <v>25</v>
      </c>
      <c r="I8" s="83">
        <f ca="1">OFFSET(Batting!$CL$4,BatAves!$B8,0)</f>
        <v>25</v>
      </c>
      <c r="N8" s="79"/>
      <c r="O8" s="79"/>
      <c r="P8" s="79"/>
      <c r="Q8" s="79"/>
      <c r="R8" s="79"/>
      <c r="S8" s="83"/>
      <c r="T8" s="123"/>
    </row>
    <row r="9" spans="1:20" x14ac:dyDescent="0.15">
      <c r="A9">
        <v>8</v>
      </c>
      <c r="B9">
        <f>MATCH(A9,Batting!$DE$5:$DE$50,0)</f>
        <v>43</v>
      </c>
      <c r="C9" t="str">
        <f ca="1">OFFSET(Batting!$C$4,BatAves!$B9,0)</f>
        <v>Worthington R</v>
      </c>
      <c r="D9" s="79">
        <f ca="1">OFFSET(Batting!$CE$4,BatAves!$B9,0)</f>
        <v>13</v>
      </c>
      <c r="E9" s="79">
        <f ca="1">OFFSET(Batting!$CG$4,BatAves!$B9,0)</f>
        <v>13</v>
      </c>
      <c r="F9" s="79">
        <f ca="1">OFFSET(Batting!$CH$4,BatAves!$B9,0)</f>
        <v>2</v>
      </c>
      <c r="G9" s="79">
        <f ca="1">OFFSET(Batting!$CJ$4,BatAves!$B9,0)</f>
        <v>65</v>
      </c>
      <c r="H9" s="79">
        <f ca="1">OFFSET(Batting!$CK$4,BatAves!$B9,0)</f>
        <v>254</v>
      </c>
      <c r="I9" s="83">
        <f ca="1">OFFSET(Batting!$CL$4,BatAves!$B9,0)</f>
        <v>23.09090909090909</v>
      </c>
      <c r="N9" s="79"/>
      <c r="O9" s="79"/>
      <c r="P9" s="79"/>
      <c r="Q9" s="79"/>
      <c r="R9" s="79"/>
      <c r="S9" s="83"/>
      <c r="T9" s="123"/>
    </row>
    <row r="10" spans="1:20" x14ac:dyDescent="0.15">
      <c r="A10">
        <v>9</v>
      </c>
      <c r="B10">
        <f>MATCH(A10,Batting!$DE$5:$DE$50,0)</f>
        <v>25</v>
      </c>
      <c r="C10" t="str">
        <f ca="1">OFFSET(Batting!$C$4,BatAves!$B10,0)</f>
        <v>Mander A</v>
      </c>
      <c r="D10" s="79">
        <f ca="1">OFFSET(Batting!$CE$4,BatAves!$B10,0)</f>
        <v>14</v>
      </c>
      <c r="E10" s="79">
        <f ca="1">OFFSET(Batting!$CG$4,BatAves!$B10,0)</f>
        <v>8</v>
      </c>
      <c r="F10" s="79">
        <f ca="1">OFFSET(Batting!$CH$4,BatAves!$B10,0)</f>
        <v>3</v>
      </c>
      <c r="G10" s="79">
        <f ca="1">OFFSET(Batting!$CJ$4,BatAves!$B10,0)</f>
        <v>35</v>
      </c>
      <c r="H10" s="79">
        <f ca="1">OFFSET(Batting!$CK$4,BatAves!$B10,0)</f>
        <v>97</v>
      </c>
      <c r="I10" s="83">
        <f ca="1">OFFSET(Batting!$CL$4,BatAves!$B10,0)</f>
        <v>19.399999999999999</v>
      </c>
      <c r="N10" s="79"/>
      <c r="O10" s="79"/>
      <c r="P10" s="79"/>
      <c r="Q10" s="79"/>
      <c r="R10" s="79"/>
      <c r="S10" s="83"/>
      <c r="T10" s="123"/>
    </row>
    <row r="11" spans="1:20" x14ac:dyDescent="0.15">
      <c r="A11">
        <v>10</v>
      </c>
      <c r="B11">
        <f>MATCH(A11,Batting!$DE$5:$DE$50,0)</f>
        <v>13</v>
      </c>
      <c r="C11" t="str">
        <f ca="1">OFFSET(Batting!$C$4,BatAves!$B11,0)</f>
        <v>Elliston J</v>
      </c>
      <c r="D11" s="79">
        <f ca="1">OFFSET(Batting!$CE$4,BatAves!$B11,0)</f>
        <v>12</v>
      </c>
      <c r="E11" s="79">
        <f ca="1">OFFSET(Batting!$CG$4,BatAves!$B11,0)</f>
        <v>7</v>
      </c>
      <c r="F11" s="79">
        <f ca="1">OFFSET(Batting!$CH$4,BatAves!$B11,0)</f>
        <v>4</v>
      </c>
      <c r="G11" s="79" t="str">
        <f ca="1">OFFSET(Batting!$CJ$4,BatAves!$B11,0)</f>
        <v>26*</v>
      </c>
      <c r="H11" s="79">
        <f ca="1">OFFSET(Batting!$CK$4,BatAves!$B11,0)</f>
        <v>58</v>
      </c>
      <c r="I11" s="83">
        <f ca="1">OFFSET(Batting!$CL$4,BatAves!$B11,0)</f>
        <v>19.333333333333332</v>
      </c>
      <c r="N11" s="79"/>
      <c r="O11" s="79"/>
      <c r="P11" s="79"/>
      <c r="Q11" s="79"/>
      <c r="R11" s="79"/>
      <c r="S11" s="83"/>
      <c r="T11" s="123"/>
    </row>
    <row r="12" spans="1:20" x14ac:dyDescent="0.15">
      <c r="A12">
        <v>11</v>
      </c>
      <c r="B12">
        <f>MATCH(A12,Batting!$DE$5:$DE$50,0)</f>
        <v>8</v>
      </c>
      <c r="C12" t="str">
        <f ca="1">OFFSET(Batting!$C$4,BatAves!$B12,0)</f>
        <v>Cox M</v>
      </c>
      <c r="D12" s="79">
        <f ca="1">OFFSET(Batting!$CE$4,BatAves!$B12,0)</f>
        <v>4</v>
      </c>
      <c r="E12" s="79">
        <f ca="1">OFFSET(Batting!$CG$4,BatAves!$B12,0)</f>
        <v>4</v>
      </c>
      <c r="F12" s="79">
        <f ca="1">OFFSET(Batting!$CH$4,BatAves!$B12,0)</f>
        <v>0</v>
      </c>
      <c r="G12" s="79">
        <f ca="1">OFFSET(Batting!$CJ$4,BatAves!$B12,0)</f>
        <v>72</v>
      </c>
      <c r="H12" s="79">
        <f ca="1">OFFSET(Batting!$CK$4,BatAves!$B12,0)</f>
        <v>76</v>
      </c>
      <c r="I12" s="83">
        <f ca="1">OFFSET(Batting!$CL$4,BatAves!$B12,0)</f>
        <v>19</v>
      </c>
      <c r="N12" s="79"/>
      <c r="O12" s="79"/>
      <c r="P12" s="79"/>
      <c r="Q12" s="79"/>
      <c r="R12" s="79"/>
      <c r="S12" s="83"/>
      <c r="T12" s="123"/>
    </row>
    <row r="13" spans="1:20" x14ac:dyDescent="0.15">
      <c r="A13">
        <v>12</v>
      </c>
      <c r="B13">
        <f>MATCH(A13,Batting!$DE$5:$DE$50,0)</f>
        <v>15</v>
      </c>
      <c r="C13" t="str">
        <f ca="1">OFFSET(Batting!$C$4,BatAves!$B13,0)</f>
        <v>Ganesh</v>
      </c>
      <c r="D13" s="79">
        <f ca="1">OFFSET(Batting!$CE$4,BatAves!$B13,0)</f>
        <v>3</v>
      </c>
      <c r="E13" s="79">
        <f ca="1">OFFSET(Batting!$CG$4,BatAves!$B13,0)</f>
        <v>3</v>
      </c>
      <c r="F13" s="79">
        <f ca="1">OFFSET(Batting!$CH$4,BatAves!$B13,0)</f>
        <v>0</v>
      </c>
      <c r="G13" s="79">
        <f ca="1">OFFSET(Batting!$CJ$4,BatAves!$B13,0)</f>
        <v>52</v>
      </c>
      <c r="H13" s="79">
        <f ca="1">OFFSET(Batting!$CK$4,BatAves!$B13,0)</f>
        <v>56</v>
      </c>
      <c r="I13" s="83">
        <f ca="1">OFFSET(Batting!$CL$4,BatAves!$B13,0)</f>
        <v>18.666666666666668</v>
      </c>
      <c r="N13" s="79"/>
      <c r="O13" s="79"/>
      <c r="P13" s="79"/>
      <c r="Q13" s="79"/>
      <c r="R13" s="79"/>
      <c r="S13" s="83"/>
      <c r="T13" s="123"/>
    </row>
    <row r="14" spans="1:20" x14ac:dyDescent="0.15">
      <c r="A14">
        <v>13</v>
      </c>
      <c r="B14">
        <f>MATCH(A14,Batting!$DE$5:$DE$50,0)</f>
        <v>7</v>
      </c>
      <c r="C14" t="str">
        <f ca="1">OFFSET(Batting!$C$4,BatAves!$B14,0)</f>
        <v>Cooper G</v>
      </c>
      <c r="D14" s="79">
        <f ca="1">OFFSET(Batting!$CE$4,BatAves!$B14,0)</f>
        <v>30</v>
      </c>
      <c r="E14" s="79">
        <f ca="1">OFFSET(Batting!$CG$4,BatAves!$B14,0)</f>
        <v>26</v>
      </c>
      <c r="F14" s="79">
        <f ca="1">OFFSET(Batting!$CH$4,BatAves!$B14,0)</f>
        <v>9</v>
      </c>
      <c r="G14" s="79">
        <f ca="1">OFFSET(Batting!$CJ$4,BatAves!$B14,0)</f>
        <v>40</v>
      </c>
      <c r="H14" s="79">
        <f ca="1">OFFSET(Batting!$CK$4,BatAves!$B14,0)</f>
        <v>247</v>
      </c>
      <c r="I14" s="83">
        <f ca="1">OFFSET(Batting!$CL$4,BatAves!$B14,0)</f>
        <v>14.529411764705882</v>
      </c>
      <c r="N14" s="79"/>
      <c r="O14" s="79"/>
      <c r="P14" s="79"/>
      <c r="Q14" s="79"/>
      <c r="R14" s="79"/>
      <c r="S14" s="83"/>
      <c r="T14" s="123"/>
    </row>
    <row r="15" spans="1:20" x14ac:dyDescent="0.15">
      <c r="A15">
        <v>14</v>
      </c>
      <c r="B15">
        <f>MATCH(A15,Batting!$DE$5:$DE$50,0)</f>
        <v>4</v>
      </c>
      <c r="C15" t="str">
        <f ca="1">OFFSET(Batting!$C$4,BatAves!$B15,0)</f>
        <v>Brocks D</v>
      </c>
      <c r="D15" s="79">
        <f ca="1">OFFSET(Batting!$CE$4,BatAves!$B15,0)</f>
        <v>3</v>
      </c>
      <c r="E15" s="79">
        <f ca="1">OFFSET(Batting!$CG$4,BatAves!$B15,0)</f>
        <v>3</v>
      </c>
      <c r="F15" s="79">
        <f ca="1">OFFSET(Batting!$CH$4,BatAves!$B15,0)</f>
        <v>0</v>
      </c>
      <c r="G15" s="79">
        <f ca="1">OFFSET(Batting!$CJ$4,BatAves!$B15,0)</f>
        <v>17</v>
      </c>
      <c r="H15" s="79">
        <f ca="1">OFFSET(Batting!$CK$4,BatAves!$B15,0)</f>
        <v>43</v>
      </c>
      <c r="I15" s="83">
        <f ca="1">OFFSET(Batting!$CL$4,BatAves!$B15,0)</f>
        <v>14.333333333333334</v>
      </c>
      <c r="N15" s="79"/>
      <c r="O15" s="79"/>
      <c r="P15" s="79"/>
      <c r="Q15" s="79"/>
      <c r="R15" s="79"/>
      <c r="S15" s="83"/>
      <c r="T15" s="123"/>
    </row>
    <row r="16" spans="1:20" x14ac:dyDescent="0.15">
      <c r="A16">
        <v>15</v>
      </c>
      <c r="B16">
        <f>MATCH(A16,Batting!$DE$5:$DE$50,0)</f>
        <v>33</v>
      </c>
      <c r="C16" t="str">
        <f ca="1">OFFSET(Batting!$C$4,BatAves!$B16,0)</f>
        <v>Patel N</v>
      </c>
      <c r="D16" s="79">
        <f ca="1">OFFSET(Batting!$CE$4,BatAves!$B16,0)</f>
        <v>3</v>
      </c>
      <c r="E16" s="79">
        <f ca="1">OFFSET(Batting!$CG$4,BatAves!$B16,0)</f>
        <v>3</v>
      </c>
      <c r="F16" s="79">
        <f ca="1">OFFSET(Batting!$CH$4,BatAves!$B16,0)</f>
        <v>0</v>
      </c>
      <c r="G16" s="79">
        <f ca="1">OFFSET(Batting!$CJ$4,BatAves!$B16,0)</f>
        <v>27</v>
      </c>
      <c r="H16" s="79">
        <f ca="1">OFFSET(Batting!$CK$4,BatAves!$B16,0)</f>
        <v>40</v>
      </c>
      <c r="I16" s="83">
        <f ca="1">OFFSET(Batting!$CL$4,BatAves!$B16,0)</f>
        <v>13.333333333333334</v>
      </c>
      <c r="N16" s="79"/>
      <c r="O16" s="79"/>
      <c r="P16" s="79"/>
      <c r="Q16" s="79"/>
      <c r="R16" s="79"/>
      <c r="S16" s="83"/>
      <c r="T16" s="123"/>
    </row>
    <row r="17" spans="1:20" x14ac:dyDescent="0.15">
      <c r="A17">
        <v>16</v>
      </c>
      <c r="B17">
        <f>MATCH(A17,Batting!$DE$5:$DE$50,0)</f>
        <v>6</v>
      </c>
      <c r="C17" t="str">
        <f ca="1">OFFSET(Batting!$C$4,BatAves!$B17,0)</f>
        <v>Coloe A</v>
      </c>
      <c r="D17" s="79">
        <f ca="1">OFFSET(Batting!$CE$4,BatAves!$B17,0)</f>
        <v>11</v>
      </c>
      <c r="E17" s="79">
        <f ca="1">OFFSET(Batting!$CG$4,BatAves!$B17,0)</f>
        <v>11</v>
      </c>
      <c r="F17" s="79">
        <f ca="1">OFFSET(Batting!$CH$4,BatAves!$B17,0)</f>
        <v>2</v>
      </c>
      <c r="G17" s="79">
        <f ca="1">OFFSET(Batting!$CJ$4,BatAves!$B17,0)</f>
        <v>35</v>
      </c>
      <c r="H17" s="79">
        <f ca="1">OFFSET(Batting!$CK$4,BatAves!$B17,0)</f>
        <v>116</v>
      </c>
      <c r="I17" s="83">
        <f ca="1">OFFSET(Batting!$CL$4,BatAves!$B17,0)</f>
        <v>12.888888888888889</v>
      </c>
      <c r="N17" s="79"/>
      <c r="O17" s="79"/>
      <c r="P17" s="79"/>
      <c r="Q17" s="79"/>
      <c r="R17" s="79"/>
      <c r="S17" s="83"/>
      <c r="T17" s="123"/>
    </row>
    <row r="18" spans="1:20" x14ac:dyDescent="0.15">
      <c r="A18">
        <v>17</v>
      </c>
      <c r="B18">
        <f>MATCH(A18,Batting!$DE$5:$DE$50,0)</f>
        <v>23</v>
      </c>
      <c r="C18" t="str">
        <f ca="1">OFFSET(Batting!$C$4,BatAves!$B18,0)</f>
        <v>Lestrelle J</v>
      </c>
      <c r="D18" s="79">
        <f ca="1">OFFSET(Batting!$CE$4,BatAves!$B18,0)</f>
        <v>21</v>
      </c>
      <c r="E18" s="79">
        <f ca="1">OFFSET(Batting!$CG$4,BatAves!$B18,0)</f>
        <v>21</v>
      </c>
      <c r="F18" s="79">
        <f ca="1">OFFSET(Batting!$CH$4,BatAves!$B18,0)</f>
        <v>3</v>
      </c>
      <c r="G18" s="79">
        <f ca="1">OFFSET(Batting!$CJ$4,BatAves!$B18,0)</f>
        <v>39</v>
      </c>
      <c r="H18" s="79">
        <f ca="1">OFFSET(Batting!$CK$4,BatAves!$B18,0)</f>
        <v>213</v>
      </c>
      <c r="I18" s="83">
        <f ca="1">OFFSET(Batting!$CL$4,BatAves!$B18,0)</f>
        <v>11.833333333333334</v>
      </c>
      <c r="N18" s="79"/>
      <c r="O18" s="79"/>
      <c r="P18" s="79"/>
      <c r="Q18" s="79"/>
      <c r="R18" s="79"/>
      <c r="S18" s="83"/>
      <c r="T18" s="123"/>
    </row>
    <row r="19" spans="1:20" x14ac:dyDescent="0.15">
      <c r="A19">
        <v>18</v>
      </c>
      <c r="B19">
        <f>MATCH(A19,Batting!$DE$5:$DE$50,0)</f>
        <v>16</v>
      </c>
      <c r="C19" t="str">
        <f ca="1">OFFSET(Batting!$C$4,BatAves!$B19,0)</f>
        <v>Greyling R</v>
      </c>
      <c r="D19" s="79">
        <f ca="1">OFFSET(Batting!$CE$4,BatAves!$B19,0)</f>
        <v>29</v>
      </c>
      <c r="E19" s="79">
        <f ca="1">OFFSET(Batting!$CG$4,BatAves!$B19,0)</f>
        <v>23</v>
      </c>
      <c r="F19" s="79">
        <f ca="1">OFFSET(Batting!$CH$4,BatAves!$B19,0)</f>
        <v>1</v>
      </c>
      <c r="G19" s="79">
        <f ca="1">OFFSET(Batting!$CJ$4,BatAves!$B19,0)</f>
        <v>53</v>
      </c>
      <c r="H19" s="79">
        <f ca="1">OFFSET(Batting!$CK$4,BatAves!$B19,0)</f>
        <v>252</v>
      </c>
      <c r="I19" s="83">
        <f ca="1">OFFSET(Batting!$CL$4,BatAves!$B19,0)</f>
        <v>11.454545454545455</v>
      </c>
      <c r="N19" s="79"/>
      <c r="O19" s="79"/>
      <c r="P19" s="79"/>
      <c r="Q19" s="79"/>
      <c r="R19" s="79"/>
      <c r="S19" s="83"/>
      <c r="T19" s="123"/>
    </row>
    <row r="20" spans="1:20" x14ac:dyDescent="0.15">
      <c r="A20">
        <v>19</v>
      </c>
      <c r="B20">
        <f>MATCH(A20,Batting!$DE$5:$DE$50,0)</f>
        <v>30</v>
      </c>
      <c r="C20" t="str">
        <f ca="1">OFFSET(Batting!$C$4,BatAves!$B20,0)</f>
        <v>Oakes P</v>
      </c>
      <c r="D20" s="79">
        <f ca="1">OFFSET(Batting!$CE$4,BatAves!$B20,0)</f>
        <v>3</v>
      </c>
      <c r="E20" s="79">
        <f ca="1">OFFSET(Batting!$CG$4,BatAves!$B20,0)</f>
        <v>3</v>
      </c>
      <c r="F20" s="79">
        <f ca="1">OFFSET(Batting!$CH$4,BatAves!$B20,0)</f>
        <v>0</v>
      </c>
      <c r="G20" s="79">
        <f ca="1">OFFSET(Batting!$CJ$4,BatAves!$B20,0)</f>
        <v>28</v>
      </c>
      <c r="H20" s="79">
        <f ca="1">OFFSET(Batting!$CK$4,BatAves!$B20,0)</f>
        <v>32</v>
      </c>
      <c r="I20" s="83">
        <f ca="1">OFFSET(Batting!$CL$4,BatAves!$B20,0)</f>
        <v>10.666666666666666</v>
      </c>
      <c r="N20" s="79"/>
      <c r="O20" s="79"/>
      <c r="P20" s="79"/>
      <c r="Q20" s="79"/>
      <c r="R20" s="79"/>
      <c r="S20" s="83"/>
      <c r="T20" s="123"/>
    </row>
    <row r="21" spans="1:20" x14ac:dyDescent="0.15">
      <c r="A21">
        <v>20</v>
      </c>
      <c r="B21">
        <f>MATCH(A21,Batting!$DE$5:$DE$50,0)</f>
        <v>35</v>
      </c>
      <c r="C21" t="str">
        <f ca="1">OFFSET(Batting!$C$4,BatAves!$B21,0)</f>
        <v>Piper-Masha S</v>
      </c>
      <c r="D21" s="79">
        <f ca="1">OFFSET(Batting!$CE$4,BatAves!$B21,0)</f>
        <v>12</v>
      </c>
      <c r="E21" s="79">
        <f ca="1">OFFSET(Batting!$CG$4,BatAves!$B21,0)</f>
        <v>12</v>
      </c>
      <c r="F21" s="79">
        <f ca="1">OFFSET(Batting!$CH$4,BatAves!$B21,0)</f>
        <v>1</v>
      </c>
      <c r="G21" s="79">
        <f ca="1">OFFSET(Batting!$CJ$4,BatAves!$B21,0)</f>
        <v>27</v>
      </c>
      <c r="H21" s="79">
        <f ca="1">OFFSET(Batting!$CK$4,BatAves!$B21,0)</f>
        <v>112</v>
      </c>
      <c r="I21" s="83">
        <f ca="1">OFFSET(Batting!$CL$4,BatAves!$B21,0)</f>
        <v>10.181818181818182</v>
      </c>
      <c r="N21" s="79"/>
      <c r="O21" s="79"/>
      <c r="P21" s="79"/>
      <c r="Q21" s="79"/>
      <c r="R21" s="79"/>
      <c r="S21" s="83"/>
      <c r="T21" s="123"/>
    </row>
    <row r="22" spans="1:20" x14ac:dyDescent="0.15">
      <c r="A22">
        <v>21</v>
      </c>
      <c r="B22">
        <f>MATCH(A22,Batting!$DE$5:$DE$50,0)</f>
        <v>24</v>
      </c>
      <c r="C22" t="str">
        <f ca="1">OFFSET(Batting!$C$4,BatAves!$B22,0)</f>
        <v>Luxford J</v>
      </c>
      <c r="D22" s="79">
        <f ca="1">OFFSET(Batting!$CE$4,BatAves!$B22,0)</f>
        <v>1</v>
      </c>
      <c r="E22" s="79">
        <f ca="1">OFFSET(Batting!$CG$4,BatAves!$B22,0)</f>
        <v>1</v>
      </c>
      <c r="F22" s="79">
        <f ca="1">OFFSET(Batting!$CH$4,BatAves!$B22,0)</f>
        <v>0</v>
      </c>
      <c r="G22" s="79">
        <f ca="1">OFFSET(Batting!$CJ$4,BatAves!$B22,0)</f>
        <v>10</v>
      </c>
      <c r="H22" s="79">
        <f ca="1">OFFSET(Batting!$CK$4,BatAves!$B22,0)</f>
        <v>10</v>
      </c>
      <c r="I22" s="83">
        <f ca="1">OFFSET(Batting!$CL$4,BatAves!$B22,0)</f>
        <v>10</v>
      </c>
      <c r="N22" s="79"/>
      <c r="O22" s="79"/>
      <c r="P22" s="79"/>
      <c r="Q22" s="79"/>
      <c r="R22" s="79"/>
      <c r="S22" s="83"/>
      <c r="T22" s="123"/>
    </row>
    <row r="23" spans="1:20" x14ac:dyDescent="0.15">
      <c r="A23">
        <v>22</v>
      </c>
      <c r="B23">
        <f>MATCH(A23,Batting!$DE$5:$DE$50,0)</f>
        <v>12</v>
      </c>
      <c r="C23" t="str">
        <f ca="1">OFFSET(Batting!$C$4,BatAves!$B23,0)</f>
        <v>Edghill C</v>
      </c>
      <c r="D23" s="79">
        <f ca="1">OFFSET(Batting!$CE$4,BatAves!$B23,0)</f>
        <v>7</v>
      </c>
      <c r="E23" s="79">
        <f ca="1">OFFSET(Batting!$CG$4,BatAves!$B23,0)</f>
        <v>7</v>
      </c>
      <c r="F23" s="79">
        <f ca="1">OFFSET(Batting!$CH$4,BatAves!$B23,0)</f>
        <v>1</v>
      </c>
      <c r="G23" s="79">
        <f ca="1">OFFSET(Batting!$CJ$4,BatAves!$B23,0)</f>
        <v>15</v>
      </c>
      <c r="H23" s="79">
        <f ca="1">OFFSET(Batting!$CK$4,BatAves!$B23,0)</f>
        <v>50</v>
      </c>
      <c r="I23" s="83">
        <f ca="1">OFFSET(Batting!$CL$4,BatAves!$B23,0)</f>
        <v>8.3333333333333339</v>
      </c>
      <c r="N23" s="79"/>
      <c r="O23" s="79"/>
      <c r="P23" s="79"/>
      <c r="Q23" s="79"/>
      <c r="R23" s="79"/>
      <c r="S23" s="83"/>
      <c r="T23" s="123"/>
    </row>
    <row r="24" spans="1:20" x14ac:dyDescent="0.15">
      <c r="A24">
        <v>23</v>
      </c>
      <c r="B24">
        <f>MATCH(A24,Batting!$DE$5:$DE$50,0)</f>
        <v>41</v>
      </c>
      <c r="C24" t="str">
        <f ca="1">OFFSET(Batting!$C$4,BatAves!$B24,0)</f>
        <v>Wiseman R</v>
      </c>
      <c r="D24" s="79">
        <f ca="1">OFFSET(Batting!$CE$4,BatAves!$B24,0)</f>
        <v>11</v>
      </c>
      <c r="E24" s="79">
        <f ca="1">OFFSET(Batting!$CG$4,BatAves!$B24,0)</f>
        <v>9</v>
      </c>
      <c r="F24" s="79">
        <f ca="1">OFFSET(Batting!$CH$4,BatAves!$B24,0)</f>
        <v>2</v>
      </c>
      <c r="G24" s="79">
        <f ca="1">OFFSET(Batting!$CJ$4,BatAves!$B24,0)</f>
        <v>25</v>
      </c>
      <c r="H24" s="79">
        <f ca="1">OFFSET(Batting!$CK$4,BatAves!$B24,0)</f>
        <v>57</v>
      </c>
      <c r="I24" s="83">
        <f ca="1">OFFSET(Batting!$CL$4,BatAves!$B24,0)</f>
        <v>8.1428571428571423</v>
      </c>
      <c r="N24" s="79"/>
      <c r="O24" s="79"/>
      <c r="P24" s="79"/>
      <c r="Q24" s="79"/>
      <c r="R24" s="79"/>
      <c r="S24" s="83"/>
      <c r="T24" s="123"/>
    </row>
    <row r="25" spans="1:20" x14ac:dyDescent="0.15">
      <c r="A25">
        <v>24</v>
      </c>
      <c r="B25">
        <f>MATCH(A25,Batting!$DE$5:$DE$50,0)</f>
        <v>5</v>
      </c>
      <c r="C25" t="str">
        <f ca="1">OFFSET(Batting!$C$4,BatAves!$B25,0)</f>
        <v>Clark C</v>
      </c>
      <c r="D25" s="79">
        <f ca="1">OFFSET(Batting!$CE$4,BatAves!$B25,0)</f>
        <v>18</v>
      </c>
      <c r="E25" s="79">
        <f ca="1">OFFSET(Batting!$CG$4,BatAves!$B25,0)</f>
        <v>11</v>
      </c>
      <c r="F25" s="79">
        <f ca="1">OFFSET(Batting!$CH$4,BatAves!$B25,0)</f>
        <v>3</v>
      </c>
      <c r="G25" s="79">
        <f ca="1">OFFSET(Batting!$CJ$4,BatAves!$B25,0)</f>
        <v>31</v>
      </c>
      <c r="H25" s="79">
        <f ca="1">OFFSET(Batting!$CK$4,BatAves!$B25,0)</f>
        <v>61</v>
      </c>
      <c r="I25" s="83">
        <f ca="1">OFFSET(Batting!$CL$4,BatAves!$B25,0)</f>
        <v>7.625</v>
      </c>
      <c r="N25" s="79"/>
      <c r="O25" s="79"/>
      <c r="P25" s="79"/>
      <c r="Q25" s="79"/>
      <c r="R25" s="79"/>
      <c r="S25" s="83"/>
      <c r="T25" s="123"/>
    </row>
    <row r="26" spans="1:20" x14ac:dyDescent="0.15">
      <c r="A26">
        <v>25</v>
      </c>
      <c r="B26">
        <f>MATCH(A26,Batting!$DE$5:$DE$50,0)</f>
        <v>2</v>
      </c>
      <c r="C26" t="str">
        <f ca="1">OFFSET(Batting!$C$4,BatAves!$B26,0)</f>
        <v>Angell A</v>
      </c>
      <c r="D26" s="79">
        <f ca="1">OFFSET(Batting!$CE$4,BatAves!$B26,0)</f>
        <v>9</v>
      </c>
      <c r="E26" s="79">
        <f ca="1">OFFSET(Batting!$CG$4,BatAves!$B26,0)</f>
        <v>9</v>
      </c>
      <c r="F26" s="79">
        <f ca="1">OFFSET(Batting!$CH$4,BatAves!$B26,0)</f>
        <v>0</v>
      </c>
      <c r="G26" s="79">
        <f ca="1">OFFSET(Batting!$CJ$4,BatAves!$B26,0)</f>
        <v>24</v>
      </c>
      <c r="H26" s="79">
        <f ca="1">OFFSET(Batting!$CK$4,BatAves!$B26,0)</f>
        <v>66</v>
      </c>
      <c r="I26" s="83">
        <f ca="1">OFFSET(Batting!$CL$4,BatAves!$B26,0)</f>
        <v>7.333333333333333</v>
      </c>
      <c r="T26" s="123"/>
    </row>
    <row r="27" spans="1:20" x14ac:dyDescent="0.15">
      <c r="A27">
        <v>26</v>
      </c>
      <c r="B27">
        <f>MATCH(A27,Batting!$DE$5:$DE$50,0)</f>
        <v>42</v>
      </c>
      <c r="C27" t="str">
        <f ca="1">OFFSET(Batting!$C$4,BatAves!$B27,0)</f>
        <v>Woodhouse M</v>
      </c>
      <c r="D27" s="79">
        <f ca="1">OFFSET(Batting!$CE$4,BatAves!$B27,0)</f>
        <v>18</v>
      </c>
      <c r="E27" s="79">
        <f ca="1">OFFSET(Batting!$CG$4,BatAves!$B27,0)</f>
        <v>16</v>
      </c>
      <c r="F27" s="79">
        <f ca="1">OFFSET(Batting!$CH$4,BatAves!$B27,0)</f>
        <v>1</v>
      </c>
      <c r="G27" s="79">
        <f ca="1">OFFSET(Batting!$CJ$4,BatAves!$B27,0)</f>
        <v>18</v>
      </c>
      <c r="H27" s="79">
        <f ca="1">OFFSET(Batting!$CK$4,BatAves!$B27,0)</f>
        <v>106</v>
      </c>
      <c r="I27" s="83">
        <f ca="1">OFFSET(Batting!$CL$4,BatAves!$B27,0)</f>
        <v>7.0666666666666664</v>
      </c>
      <c r="T27" s="123"/>
    </row>
    <row r="28" spans="1:20" x14ac:dyDescent="0.15">
      <c r="A28">
        <v>27</v>
      </c>
      <c r="B28">
        <f>MATCH(A28,Batting!$DE$5:$DE$50,0)</f>
        <v>46</v>
      </c>
      <c r="C28" t="str">
        <f ca="1">OFFSET(Batting!$C$4,BatAves!$B28,0)</f>
        <v>Young R</v>
      </c>
      <c r="D28" s="79">
        <f ca="1">OFFSET(Batting!$CE$4,BatAves!$B28,0)</f>
        <v>11</v>
      </c>
      <c r="E28" s="79">
        <f ca="1">OFFSET(Batting!$CG$4,BatAves!$B28,0)</f>
        <v>6</v>
      </c>
      <c r="F28" s="79">
        <f ca="1">OFFSET(Batting!$CH$4,BatAves!$B28,0)</f>
        <v>2</v>
      </c>
      <c r="G28" s="79">
        <f ca="1">OFFSET(Batting!$CJ$4,BatAves!$B28,0)</f>
        <v>13</v>
      </c>
      <c r="H28" s="79">
        <f ca="1">OFFSET(Batting!$CK$4,BatAves!$B28,0)</f>
        <v>28</v>
      </c>
      <c r="I28" s="83">
        <f ca="1">OFFSET(Batting!$CL$4,BatAves!$B28,0)</f>
        <v>7</v>
      </c>
      <c r="T28" s="123"/>
    </row>
    <row r="29" spans="1:20" x14ac:dyDescent="0.15">
      <c r="A29">
        <v>28</v>
      </c>
      <c r="B29">
        <f>MATCH(A29,Batting!$DE$5:$DE$50,0)</f>
        <v>9</v>
      </c>
      <c r="C29" t="str">
        <f ca="1">OFFSET(Batting!$C$4,BatAves!$B29,0)</f>
        <v>Crisford J</v>
      </c>
      <c r="D29" s="79">
        <f ca="1">OFFSET(Batting!$CE$4,BatAves!$B29,0)</f>
        <v>1</v>
      </c>
      <c r="E29" s="79">
        <f ca="1">OFFSET(Batting!$CG$4,BatAves!$B29,0)</f>
        <v>1</v>
      </c>
      <c r="F29" s="79">
        <f ca="1">OFFSET(Batting!$CH$4,BatAves!$B29,0)</f>
        <v>0</v>
      </c>
      <c r="G29" s="79">
        <f ca="1">OFFSET(Batting!$CJ$4,BatAves!$B29,0)</f>
        <v>6</v>
      </c>
      <c r="H29" s="79">
        <f ca="1">OFFSET(Batting!$CK$4,BatAves!$B29,0)</f>
        <v>6</v>
      </c>
      <c r="I29" s="83">
        <f ca="1">OFFSET(Batting!$CL$4,BatAves!$B29,0)</f>
        <v>6</v>
      </c>
      <c r="N29" s="79"/>
      <c r="O29" s="79"/>
      <c r="P29" s="79"/>
      <c r="Q29" s="79"/>
      <c r="R29" s="79"/>
      <c r="S29" s="83"/>
      <c r="T29" s="123"/>
    </row>
    <row r="30" spans="1:20" x14ac:dyDescent="0.15">
      <c r="A30">
        <v>29</v>
      </c>
      <c r="B30">
        <f>MATCH(A30,Batting!$DE$5:$DE$50,0)</f>
        <v>19</v>
      </c>
      <c r="C30" t="str">
        <f ca="1">OFFSET(Batting!$C$4,BatAves!$B30,0)</f>
        <v>Heckroodt</v>
      </c>
      <c r="D30" s="79">
        <f ca="1">OFFSET(Batting!$CE$4,BatAves!$B30,0)</f>
        <v>18</v>
      </c>
      <c r="E30" s="79">
        <f ca="1">OFFSET(Batting!$CG$4,BatAves!$B30,0)</f>
        <v>17</v>
      </c>
      <c r="F30" s="79">
        <f ca="1">OFFSET(Batting!$CH$4,BatAves!$B30,0)</f>
        <v>0</v>
      </c>
      <c r="G30" s="79">
        <f ca="1">OFFSET(Batting!$CJ$4,BatAves!$B30,0)</f>
        <v>19</v>
      </c>
      <c r="H30" s="79">
        <f ca="1">OFFSET(Batting!$CK$4,BatAves!$B30,0)</f>
        <v>96</v>
      </c>
      <c r="I30" s="83">
        <f ca="1">OFFSET(Batting!$CL$4,BatAves!$B30,0)</f>
        <v>5.6470588235294121</v>
      </c>
      <c r="N30" s="79"/>
      <c r="O30" s="79"/>
      <c r="P30" s="79"/>
      <c r="Q30" s="79"/>
      <c r="R30" s="79"/>
      <c r="S30" s="83"/>
      <c r="T30" s="123"/>
    </row>
    <row r="31" spans="1:20" x14ac:dyDescent="0.15">
      <c r="A31">
        <v>30</v>
      </c>
      <c r="B31">
        <f>MATCH(A31,Batting!$DE$5:$DE$50,0)</f>
        <v>38</v>
      </c>
      <c r="C31" t="str">
        <f ca="1">OFFSET(Batting!$C$4,BatAves!$B31,0)</f>
        <v>Simmons M</v>
      </c>
      <c r="D31" s="79">
        <f ca="1">OFFSET(Batting!$CE$4,BatAves!$B31,0)</f>
        <v>2</v>
      </c>
      <c r="E31" s="79">
        <f ca="1">OFFSET(Batting!$CG$4,BatAves!$B31,0)</f>
        <v>2</v>
      </c>
      <c r="F31" s="79">
        <f ca="1">OFFSET(Batting!$CH$4,BatAves!$B31,0)</f>
        <v>0</v>
      </c>
      <c r="G31" s="79">
        <f ca="1">OFFSET(Batting!$CJ$4,BatAves!$B31,0)</f>
        <v>10</v>
      </c>
      <c r="H31" s="79">
        <f ca="1">OFFSET(Batting!$CK$4,BatAves!$B31,0)</f>
        <v>10</v>
      </c>
      <c r="I31" s="83">
        <f ca="1">OFFSET(Batting!$CL$4,BatAves!$B31,0)</f>
        <v>5</v>
      </c>
      <c r="N31" s="79"/>
      <c r="O31" s="79"/>
      <c r="P31" s="79"/>
      <c r="Q31" s="79"/>
      <c r="R31" s="79"/>
      <c r="S31" s="83"/>
      <c r="T31" s="123"/>
    </row>
    <row r="32" spans="1:20" x14ac:dyDescent="0.15">
      <c r="A32">
        <v>31</v>
      </c>
      <c r="B32">
        <f>MATCH(A32,Batting!$DE$5:$DE$50,0)</f>
        <v>29</v>
      </c>
      <c r="C32" t="str">
        <f ca="1">OFFSET(Batting!$C$4,BatAves!$B32,0)</f>
        <v>Murphy P</v>
      </c>
      <c r="D32" s="79">
        <f ca="1">OFFSET(Batting!$CE$4,BatAves!$B32,0)</f>
        <v>16</v>
      </c>
      <c r="E32" s="79">
        <f ca="1">OFFSET(Batting!$CG$4,BatAves!$B32,0)</f>
        <v>13</v>
      </c>
      <c r="F32" s="79">
        <f ca="1">OFFSET(Batting!$CH$4,BatAves!$B32,0)</f>
        <v>1</v>
      </c>
      <c r="G32" s="79">
        <f ca="1">OFFSET(Batting!$CJ$4,BatAves!$B32,0)</f>
        <v>12</v>
      </c>
      <c r="H32" s="79">
        <f ca="1">OFFSET(Batting!$CK$4,BatAves!$B32,0)</f>
        <v>50</v>
      </c>
      <c r="I32" s="83">
        <f ca="1">OFFSET(Batting!$CL$4,BatAves!$B32,0)</f>
        <v>4.166666666666667</v>
      </c>
      <c r="T32" s="123"/>
    </row>
    <row r="33" spans="1:20" x14ac:dyDescent="0.15">
      <c r="A33">
        <v>32</v>
      </c>
      <c r="B33">
        <f>MATCH(A33,Batting!$DE$5:$DE$50,0)</f>
        <v>11</v>
      </c>
      <c r="C33" t="str">
        <f ca="1">OFFSET(Batting!$C$4,BatAves!$B33,0)</f>
        <v>Davis M</v>
      </c>
      <c r="D33" s="79">
        <f ca="1">OFFSET(Batting!$CE$4,BatAves!$B33,0)</f>
        <v>1</v>
      </c>
      <c r="E33" s="79">
        <f ca="1">OFFSET(Batting!$CG$4,BatAves!$B33,0)</f>
        <v>1</v>
      </c>
      <c r="F33" s="79">
        <f ca="1">OFFSET(Batting!$CH$4,BatAves!$B33,0)</f>
        <v>0</v>
      </c>
      <c r="G33" s="79">
        <f ca="1">OFFSET(Batting!$CJ$4,BatAves!$B33,0)</f>
        <v>4</v>
      </c>
      <c r="H33" s="79">
        <f ca="1">OFFSET(Batting!$CK$4,BatAves!$B33,0)</f>
        <v>4</v>
      </c>
      <c r="I33" s="83">
        <f ca="1">OFFSET(Batting!$CL$4,BatAves!$B33,0)</f>
        <v>4</v>
      </c>
      <c r="N33" s="79"/>
      <c r="O33" s="79"/>
      <c r="P33" s="79"/>
      <c r="Q33" s="79"/>
      <c r="R33" s="79"/>
      <c r="S33" s="83"/>
      <c r="T33" s="123"/>
    </row>
    <row r="34" spans="1:20" x14ac:dyDescent="0.15">
      <c r="A34">
        <v>33</v>
      </c>
      <c r="B34">
        <f>MATCH(A34,Batting!$DE$5:$DE$50,0)</f>
        <v>31</v>
      </c>
      <c r="C34" t="str">
        <f ca="1">OFFSET(Batting!$C$4,BatAves!$B34,0)</f>
        <v>Odeneal R</v>
      </c>
      <c r="D34" s="79">
        <f ca="1">OFFSET(Batting!$CE$4,BatAves!$B34,0)</f>
        <v>10</v>
      </c>
      <c r="E34" s="79">
        <f ca="1">OFFSET(Batting!$CG$4,BatAves!$B34,0)</f>
        <v>10</v>
      </c>
      <c r="F34" s="79">
        <f ca="1">OFFSET(Batting!$CH$4,BatAves!$B34,0)</f>
        <v>0</v>
      </c>
      <c r="G34" s="79">
        <f ca="1">OFFSET(Batting!$CJ$4,BatAves!$B34,0)</f>
        <v>14</v>
      </c>
      <c r="H34" s="79">
        <f ca="1">OFFSET(Batting!$CK$4,BatAves!$B34,0)</f>
        <v>39</v>
      </c>
      <c r="I34" s="83">
        <f ca="1">OFFSET(Batting!$CL$4,BatAves!$B34,0)</f>
        <v>3.9</v>
      </c>
      <c r="N34" s="79"/>
      <c r="O34" s="79"/>
      <c r="P34" s="79"/>
      <c r="Q34" s="79"/>
      <c r="R34" s="79"/>
      <c r="S34" s="83"/>
      <c r="T34" s="123"/>
    </row>
    <row r="35" spans="1:20" x14ac:dyDescent="0.15">
      <c r="A35">
        <v>34</v>
      </c>
      <c r="B35">
        <f>MATCH(A35,Batting!$DE$5:$DE$50,0)</f>
        <v>3</v>
      </c>
      <c r="C35" t="str">
        <f ca="1">OFFSET(Batting!$C$4,BatAves!$B35,0)</f>
        <v>Bowers M</v>
      </c>
      <c r="D35" s="79">
        <f ca="1">OFFSET(Batting!$CE$4,BatAves!$B35,0)</f>
        <v>11</v>
      </c>
      <c r="E35" s="79">
        <f ca="1">OFFSET(Batting!$CG$4,BatAves!$B35,0)</f>
        <v>5</v>
      </c>
      <c r="F35" s="79">
        <f ca="1">OFFSET(Batting!$CH$4,BatAves!$B35,0)</f>
        <v>1</v>
      </c>
      <c r="G35" s="79">
        <f ca="1">OFFSET(Batting!$CJ$4,BatAves!$B35,0)</f>
        <v>9</v>
      </c>
      <c r="H35" s="79">
        <f ca="1">OFFSET(Batting!$CK$4,BatAves!$B35,0)</f>
        <v>14</v>
      </c>
      <c r="I35" s="83">
        <f ca="1">OFFSET(Batting!$CL$4,BatAves!$B35,0)</f>
        <v>3.5</v>
      </c>
      <c r="N35" s="79"/>
      <c r="O35" s="79"/>
      <c r="P35" s="79"/>
      <c r="Q35" s="79"/>
      <c r="R35" s="79"/>
      <c r="S35" s="83"/>
      <c r="T35" s="123"/>
    </row>
    <row r="36" spans="1:20" x14ac:dyDescent="0.15">
      <c r="A36">
        <v>35</v>
      </c>
      <c r="B36">
        <f>MATCH(A36,Batting!$DE$5:$DE$50,0)</f>
        <v>22</v>
      </c>
      <c r="C36" t="str">
        <f ca="1">OFFSET(Batting!$C$4,BatAves!$B36,0)</f>
        <v>Lestrelle A</v>
      </c>
      <c r="D36" s="79">
        <f ca="1">OFFSET(Batting!$CE$4,BatAves!$B36,0)</f>
        <v>19</v>
      </c>
      <c r="E36" s="79">
        <f ca="1">OFFSET(Batting!$CG$4,BatAves!$B36,0)</f>
        <v>16</v>
      </c>
      <c r="F36" s="79">
        <f ca="1">OFFSET(Batting!$CH$4,BatAves!$B36,0)</f>
        <v>2</v>
      </c>
      <c r="G36" s="79">
        <f ca="1">OFFSET(Batting!$CJ$4,BatAves!$B36,0)</f>
        <v>10</v>
      </c>
      <c r="H36" s="79">
        <f ca="1">OFFSET(Batting!$CK$4,BatAves!$B36,0)</f>
        <v>48</v>
      </c>
      <c r="I36" s="83">
        <f ca="1">OFFSET(Batting!$CL$4,BatAves!$B36,0)</f>
        <v>3.4285714285714284</v>
      </c>
      <c r="N36" s="79"/>
      <c r="O36" s="79"/>
      <c r="P36" s="79"/>
      <c r="Q36" s="79"/>
      <c r="R36" s="79"/>
      <c r="S36" s="83"/>
      <c r="T36" s="123"/>
    </row>
    <row r="37" spans="1:20" x14ac:dyDescent="0.15">
      <c r="A37">
        <v>36</v>
      </c>
      <c r="B37">
        <f>MATCH(A37,Batting!$DE$5:$DE$50,0)</f>
        <v>32</v>
      </c>
      <c r="C37" t="str">
        <f ca="1">OFFSET(Batting!$C$4,BatAves!$B37,0)</f>
        <v>Owen B</v>
      </c>
      <c r="D37" s="79">
        <f ca="1">OFFSET(Batting!$CE$4,BatAves!$B37,0)</f>
        <v>1</v>
      </c>
      <c r="E37" s="79">
        <f ca="1">OFFSET(Batting!$CG$4,BatAves!$B37,0)</f>
        <v>1</v>
      </c>
      <c r="F37" s="79">
        <f ca="1">OFFSET(Batting!$CH$4,BatAves!$B37,0)</f>
        <v>1</v>
      </c>
      <c r="G37" s="79" t="str">
        <f ca="1">OFFSET(Batting!$CJ$4,BatAves!$B37,0)</f>
        <v>60*</v>
      </c>
      <c r="H37" s="79">
        <f ca="1">OFFSET(Batting!$CK$4,BatAves!$B37,0)</f>
        <v>60</v>
      </c>
      <c r="I37" s="83">
        <f ca="1">OFFSET(Batting!$CL$4,BatAves!$B37,0)</f>
        <v>0</v>
      </c>
      <c r="N37" s="79"/>
      <c r="O37" s="79"/>
      <c r="P37" s="79"/>
      <c r="Q37" s="79"/>
      <c r="R37" s="79"/>
      <c r="S37" s="83"/>
      <c r="T37" s="123"/>
    </row>
    <row r="38" spans="1:20" x14ac:dyDescent="0.15">
      <c r="A38">
        <v>37</v>
      </c>
      <c r="B38">
        <f>MATCH(A38,Batting!$DE$5:$DE$50,0)</f>
        <v>28</v>
      </c>
      <c r="C38" t="str">
        <f ca="1">OFFSET(Batting!$C$4,BatAves!$B38,0)</f>
        <v>Marks J</v>
      </c>
      <c r="D38" s="79">
        <f ca="1">OFFSET(Batting!$CE$4,BatAves!$B38,0)</f>
        <v>1</v>
      </c>
      <c r="E38" s="79">
        <f ca="1">OFFSET(Batting!$CG$4,BatAves!$B38,0)</f>
        <v>1</v>
      </c>
      <c r="F38" s="79">
        <f ca="1">OFFSET(Batting!$CH$4,BatAves!$B38,0)</f>
        <v>1</v>
      </c>
      <c r="G38" s="79" t="str">
        <f ca="1">OFFSET(Batting!$CJ$4,BatAves!$B38,0)</f>
        <v>3*</v>
      </c>
      <c r="H38" s="79">
        <f ca="1">OFFSET(Batting!$CK$4,BatAves!$B38,0)</f>
        <v>3</v>
      </c>
      <c r="I38" s="83">
        <f ca="1">OFFSET(Batting!$CL$4,BatAves!$B38,0)</f>
        <v>0</v>
      </c>
      <c r="N38" s="79"/>
      <c r="O38" s="79"/>
      <c r="P38" s="79"/>
      <c r="Q38" s="79"/>
      <c r="R38" s="79"/>
      <c r="S38" s="83"/>
      <c r="T38" s="123"/>
    </row>
    <row r="39" spans="1:20" x14ac:dyDescent="0.15">
      <c r="A39">
        <v>38</v>
      </c>
      <c r="B39">
        <f>MATCH(A39,Batting!$DE$5:$DE$50,0)</f>
        <v>1</v>
      </c>
      <c r="C39" t="str">
        <f ca="1">OFFSET(Batting!$C$4,BatAves!$B39,0)</f>
        <v>Alain</v>
      </c>
      <c r="D39" s="79">
        <f ca="1">OFFSET(Batting!$CE$4,BatAves!$B39,0)</f>
        <v>1</v>
      </c>
      <c r="E39" s="79">
        <f ca="1">OFFSET(Batting!$CG$4,BatAves!$B39,0)</f>
        <v>1</v>
      </c>
      <c r="F39" s="79">
        <f ca="1">OFFSET(Batting!$CH$4,BatAves!$B39,0)</f>
        <v>0</v>
      </c>
      <c r="G39" s="79">
        <f ca="1">OFFSET(Batting!$CJ$4,BatAves!$B39,0)</f>
        <v>0</v>
      </c>
      <c r="H39" s="79">
        <f ca="1">OFFSET(Batting!$CK$4,BatAves!$B39,0)</f>
        <v>0</v>
      </c>
      <c r="I39" s="83">
        <f ca="1">OFFSET(Batting!$CL$4,BatAves!$B39,0)</f>
        <v>0</v>
      </c>
      <c r="N39" s="79"/>
      <c r="O39" s="79"/>
      <c r="P39" s="79"/>
      <c r="Q39" s="79"/>
      <c r="R39" s="79"/>
      <c r="S39" s="83"/>
      <c r="T39" s="123"/>
    </row>
    <row r="40" spans="1:20" x14ac:dyDescent="0.15">
      <c r="A40">
        <v>39</v>
      </c>
      <c r="B40">
        <f>MATCH(A40,Batting!$DE$5:$DE$50,0)</f>
        <v>10</v>
      </c>
      <c r="C40" t="str">
        <f ca="1">OFFSET(Batting!$C$4,BatAves!$B40,0)</f>
        <v>Davies A</v>
      </c>
      <c r="D40" s="79">
        <f ca="1">OFFSET(Batting!$CE$4,BatAves!$B40,0)</f>
        <v>1</v>
      </c>
      <c r="E40" s="79">
        <f ca="1">OFFSET(Batting!$CG$4,BatAves!$B40,0)</f>
        <v>0</v>
      </c>
      <c r="F40" s="79">
        <f ca="1">OFFSET(Batting!$CH$4,BatAves!$B40,0)</f>
        <v>0</v>
      </c>
      <c r="G40" s="79">
        <f ca="1">OFFSET(Batting!$CJ$4,BatAves!$B40,0)</f>
        <v>0</v>
      </c>
      <c r="H40" s="79">
        <f ca="1">OFFSET(Batting!$CK$4,BatAves!$B40,0)</f>
        <v>0</v>
      </c>
      <c r="I40" s="83">
        <f ca="1">OFFSET(Batting!$CL$4,BatAves!$B40,0)</f>
        <v>0</v>
      </c>
      <c r="N40" s="79"/>
      <c r="O40" s="79"/>
      <c r="P40" s="79"/>
      <c r="Q40" s="79"/>
      <c r="R40" s="79"/>
      <c r="S40" s="83"/>
      <c r="T40" s="123"/>
    </row>
    <row r="41" spans="1:20" x14ac:dyDescent="0.15">
      <c r="A41">
        <v>40</v>
      </c>
      <c r="B41">
        <f>MATCH(A41,Batting!$DE$5:$DE$50,0)</f>
        <v>39</v>
      </c>
      <c r="C41" t="str">
        <f ca="1">OFFSET(Batting!$C$4,BatAves!$B41,0)</f>
        <v>Snow D</v>
      </c>
      <c r="D41" s="79">
        <f ca="1">OFFSET(Batting!$CE$4,BatAves!$B41,0)</f>
        <v>0</v>
      </c>
      <c r="E41" s="79">
        <f ca="1">OFFSET(Batting!$CG$4,BatAves!$B41,0)</f>
        <v>0</v>
      </c>
      <c r="F41" s="79">
        <f ca="1">OFFSET(Batting!$CH$4,BatAves!$B41,0)</f>
        <v>0</v>
      </c>
      <c r="G41" s="79">
        <f ca="1">OFFSET(Batting!$CJ$4,BatAves!$B41,0)</f>
        <v>0</v>
      </c>
      <c r="H41" s="79">
        <f ca="1">OFFSET(Batting!$CK$4,BatAves!$B41,0)</f>
        <v>0</v>
      </c>
      <c r="I41" s="83">
        <f ca="1">OFFSET(Batting!$CL$4,BatAves!$B41,0)</f>
        <v>0</v>
      </c>
      <c r="N41" s="79"/>
      <c r="O41" s="79"/>
      <c r="P41" s="79"/>
      <c r="Q41" s="79"/>
      <c r="R41" s="79"/>
      <c r="S41" s="83"/>
      <c r="T41" s="123"/>
    </row>
    <row r="42" spans="1:20" x14ac:dyDescent="0.15">
      <c r="A42">
        <v>41</v>
      </c>
      <c r="B42">
        <f>MATCH(A42,Batting!$DE$5:$DE$50,0)</f>
        <v>37</v>
      </c>
      <c r="C42" t="str">
        <f ca="1">OFFSET(Batting!$C$4,BatAves!$B42,0)</f>
        <v>Shewan D</v>
      </c>
      <c r="D42" s="79">
        <f ca="1">OFFSET(Batting!$CE$4,BatAves!$B42,0)</f>
        <v>0</v>
      </c>
      <c r="E42" s="79">
        <f ca="1">OFFSET(Batting!$CG$4,BatAves!$B42,0)</f>
        <v>0</v>
      </c>
      <c r="F42" s="79">
        <f ca="1">OFFSET(Batting!$CH$4,BatAves!$B42,0)</f>
        <v>0</v>
      </c>
      <c r="G42" s="79">
        <f ca="1">OFFSET(Batting!$CJ$4,BatAves!$B42,0)</f>
        <v>0</v>
      </c>
      <c r="H42" s="79">
        <f ca="1">OFFSET(Batting!$CK$4,BatAves!$B42,0)</f>
        <v>0</v>
      </c>
      <c r="I42" s="83">
        <f ca="1">OFFSET(Batting!$CL$4,BatAves!$B42,0)</f>
        <v>0</v>
      </c>
      <c r="N42" s="79"/>
      <c r="O42" s="79"/>
      <c r="P42" s="79"/>
      <c r="Q42" s="79"/>
      <c r="R42" s="79"/>
      <c r="S42" s="83"/>
      <c r="T42" s="123"/>
    </row>
    <row r="43" spans="1:20" x14ac:dyDescent="0.15">
      <c r="A43">
        <v>42</v>
      </c>
      <c r="B43">
        <f>MATCH(A43,Batting!$DE$5:$DE$50,0)</f>
        <v>36</v>
      </c>
      <c r="C43" t="str">
        <f ca="1">OFFSET(Batting!$C$4,BatAves!$B43,0)</f>
        <v>Sharpe D</v>
      </c>
      <c r="D43" s="79">
        <f ca="1">OFFSET(Batting!$CE$4,BatAves!$B43,0)</f>
        <v>0</v>
      </c>
      <c r="E43" s="79">
        <f ca="1">OFFSET(Batting!$CG$4,BatAves!$B43,0)</f>
        <v>0</v>
      </c>
      <c r="F43" s="79">
        <f ca="1">OFFSET(Batting!$CH$4,BatAves!$B43,0)</f>
        <v>0</v>
      </c>
      <c r="G43" s="79">
        <f ca="1">OFFSET(Batting!$CJ$4,BatAves!$B43,0)</f>
        <v>0</v>
      </c>
      <c r="H43" s="79">
        <f ca="1">OFFSET(Batting!$CK$4,BatAves!$B43,0)</f>
        <v>0</v>
      </c>
      <c r="I43" s="83">
        <f ca="1">OFFSET(Batting!$CL$4,BatAves!$B43,0)</f>
        <v>0</v>
      </c>
    </row>
    <row r="44" spans="1:20" x14ac:dyDescent="0.15">
      <c r="A44">
        <v>43</v>
      </c>
      <c r="B44">
        <f>MATCH(A44,Batting!$DE$5:$DE$50,0)</f>
        <v>34</v>
      </c>
      <c r="C44" t="str">
        <f ca="1">OFFSET(Batting!$C$4,BatAves!$B44,0)</f>
        <v>Penfold N</v>
      </c>
      <c r="D44" s="79">
        <f ca="1">OFFSET(Batting!$CE$4,BatAves!$B44,0)</f>
        <v>0</v>
      </c>
      <c r="E44" s="79">
        <f ca="1">OFFSET(Batting!$CG$4,BatAves!$B44,0)</f>
        <v>0</v>
      </c>
      <c r="F44" s="79">
        <f ca="1">OFFSET(Batting!$CH$4,BatAves!$B44,0)</f>
        <v>0</v>
      </c>
      <c r="G44" s="79">
        <f ca="1">OFFSET(Batting!$CJ$4,BatAves!$B44,0)</f>
        <v>0</v>
      </c>
      <c r="H44" s="79">
        <f ca="1">OFFSET(Batting!$CK$4,BatAves!$B44,0)</f>
        <v>0</v>
      </c>
      <c r="I44" s="83">
        <f ca="1">OFFSET(Batting!$CL$4,BatAves!$B44,0)</f>
        <v>0</v>
      </c>
    </row>
    <row r="45" spans="1:20" x14ac:dyDescent="0.15">
      <c r="A45">
        <v>44</v>
      </c>
      <c r="B45">
        <f>MATCH(A45,Batting!$DE$5:$DE$50,0)</f>
        <v>20</v>
      </c>
      <c r="C45" t="str">
        <f ca="1">OFFSET(Batting!$C$4,BatAves!$B45,0)</f>
        <v>Howe V</v>
      </c>
      <c r="D45" s="79">
        <f ca="1">OFFSET(Batting!$CE$4,BatAves!$B45,0)</f>
        <v>0</v>
      </c>
      <c r="E45" s="79">
        <f ca="1">OFFSET(Batting!$CG$4,BatAves!$B45,0)</f>
        <v>0</v>
      </c>
      <c r="F45" s="79">
        <f ca="1">OFFSET(Batting!$CH$4,BatAves!$B45,0)</f>
        <v>0</v>
      </c>
      <c r="G45" s="79">
        <f ca="1">OFFSET(Batting!$CJ$4,BatAves!$B45,0)</f>
        <v>0</v>
      </c>
      <c r="H45" s="79">
        <f ca="1">OFFSET(Batting!$CK$4,BatAves!$B45,0)</f>
        <v>0</v>
      </c>
      <c r="I45" s="83">
        <f ca="1">OFFSET(Batting!$CL$4,BatAves!$B45,0)</f>
        <v>0</v>
      </c>
    </row>
    <row r="46" spans="1:20" x14ac:dyDescent="0.15">
      <c r="A46">
        <v>45</v>
      </c>
      <c r="B46">
        <f>MATCH(A46,Batting!$DE$5:$DE$50,0)</f>
        <v>18</v>
      </c>
      <c r="C46" t="str">
        <f ca="1">OFFSET(Batting!$C$4,BatAves!$B46,0)</f>
        <v>Hawksworth A</v>
      </c>
      <c r="D46" s="79">
        <f ca="1">OFFSET(Batting!$CE$4,BatAves!$B46,0)</f>
        <v>0</v>
      </c>
      <c r="E46" s="79">
        <f ca="1">OFFSET(Batting!$CG$4,BatAves!$B46,0)</f>
        <v>0</v>
      </c>
      <c r="F46" s="79">
        <f ca="1">OFFSET(Batting!$CH$4,BatAves!$B46,0)</f>
        <v>0</v>
      </c>
      <c r="G46" s="79">
        <f ca="1">OFFSET(Batting!$CJ$4,BatAves!$B46,0)</f>
        <v>0</v>
      </c>
      <c r="H46" s="79">
        <f ca="1">OFFSET(Batting!$CK$4,BatAves!$B46,0)</f>
        <v>0</v>
      </c>
      <c r="I46" s="83">
        <f ca="1">OFFSET(Batting!$CL$4,BatAves!$B46,0)</f>
        <v>0</v>
      </c>
    </row>
    <row r="47" spans="1:20" x14ac:dyDescent="0.15">
      <c r="A47">
        <v>46</v>
      </c>
      <c r="B47">
        <f>MATCH(A47,Batting!$DE$5:$DE$50,0)</f>
        <v>17</v>
      </c>
      <c r="C47" t="str">
        <f ca="1">OFFSET(Batting!$C$4,BatAves!$B47,0)</f>
        <v>Haines S</v>
      </c>
      <c r="D47" s="79">
        <f ca="1">OFFSET(Batting!$CE$4,BatAves!$B47,0)</f>
        <v>0</v>
      </c>
      <c r="E47" s="79">
        <f ca="1">OFFSET(Batting!$CG$4,BatAves!$B47,0)</f>
        <v>0</v>
      </c>
      <c r="F47" s="79">
        <f ca="1">OFFSET(Batting!$CH$4,BatAves!$B47,0)</f>
        <v>0</v>
      </c>
      <c r="G47" s="79">
        <f ca="1">OFFSET(Batting!$CJ$4,BatAves!$B47,0)</f>
        <v>0</v>
      </c>
      <c r="H47" s="79">
        <f ca="1">OFFSET(Batting!$CK$4,BatAves!$B47,0)</f>
        <v>0</v>
      </c>
      <c r="I47" s="83">
        <f ca="1">OFFSET(Batting!$CL$4,BatAves!$B47,0)</f>
        <v>0</v>
      </c>
    </row>
    <row r="48" spans="1:20" x14ac:dyDescent="0.15">
      <c r="A48">
        <v>47</v>
      </c>
      <c r="B48" t="e">
        <f>MATCH(A48,Batting!$DE$5:$DE$50,0)</f>
        <v>#N/A</v>
      </c>
      <c r="C48" t="e">
        <f ca="1">OFFSET(Batting!$C$4,BatAves!$B48,0)</f>
        <v>#N/A</v>
      </c>
      <c r="D48" s="79" t="e">
        <f ca="1">OFFSET(Batting!$CE$4,BatAves!$B48,0)</f>
        <v>#N/A</v>
      </c>
      <c r="E48" s="79" t="e">
        <f ca="1">OFFSET(Batting!$CG$4,BatAves!$B48,0)</f>
        <v>#N/A</v>
      </c>
      <c r="F48" s="79" t="e">
        <f ca="1">OFFSET(Batting!$CH$4,BatAves!$B48,0)</f>
        <v>#N/A</v>
      </c>
      <c r="G48" s="79" t="e">
        <f ca="1">OFFSET(Batting!$CJ$4,BatAves!$B48,0)</f>
        <v>#N/A</v>
      </c>
      <c r="H48" s="79" t="e">
        <f ca="1">OFFSET(Batting!$CK$4,BatAves!$B48,0)</f>
        <v>#N/A</v>
      </c>
      <c r="I48" s="83" t="e">
        <f ca="1">OFFSET(Batting!$CL$4,BatAves!$B48,0)</f>
        <v>#N/A</v>
      </c>
    </row>
    <row r="49" spans="1:9" x14ac:dyDescent="0.15">
      <c r="A49">
        <v>48</v>
      </c>
      <c r="B49" t="e">
        <f>MATCH(A49,Batting!$DE$5:$DE$50,0)</f>
        <v>#N/A</v>
      </c>
      <c r="C49" t="e">
        <f ca="1">OFFSET(Batting!$C$4,BatAves!$B49,0)</f>
        <v>#N/A</v>
      </c>
      <c r="D49" s="79" t="e">
        <f ca="1">OFFSET(Batting!$CE$4,BatAves!$B49,0)</f>
        <v>#N/A</v>
      </c>
      <c r="E49" s="79" t="e">
        <f ca="1">OFFSET(Batting!$CG$4,BatAves!$B49,0)</f>
        <v>#N/A</v>
      </c>
      <c r="F49" s="79" t="e">
        <f ca="1">OFFSET(Batting!$CH$4,BatAves!$B49,0)</f>
        <v>#N/A</v>
      </c>
      <c r="G49" s="79" t="e">
        <f ca="1">OFFSET(Batting!$CJ$4,BatAves!$B49,0)</f>
        <v>#N/A</v>
      </c>
      <c r="H49" s="79" t="e">
        <f ca="1">OFFSET(Batting!$CK$4,BatAves!$B49,0)</f>
        <v>#N/A</v>
      </c>
      <c r="I49" s="83" t="e">
        <f ca="1">OFFSET(Batting!$CL$4,BatAves!$B49,0)</f>
        <v>#N/A</v>
      </c>
    </row>
    <row r="50" spans="1:9" x14ac:dyDescent="0.15">
      <c r="A50">
        <v>49</v>
      </c>
      <c r="B50" t="e">
        <f>MATCH(A50,Batting!$DE$5:$DE$50,0)</f>
        <v>#N/A</v>
      </c>
      <c r="C50" t="e">
        <f ca="1">OFFSET(Batting!$C$4,BatAves!$B50,0)</f>
        <v>#N/A</v>
      </c>
      <c r="D50" s="79" t="e">
        <f ca="1">OFFSET(Batting!$CE$4,BatAves!$B50,0)</f>
        <v>#N/A</v>
      </c>
      <c r="E50" s="79" t="e">
        <f ca="1">OFFSET(Batting!$CG$4,BatAves!$B50,0)</f>
        <v>#N/A</v>
      </c>
      <c r="F50" s="79" t="e">
        <f ca="1">OFFSET(Batting!$CH$4,BatAves!$B50,0)</f>
        <v>#N/A</v>
      </c>
      <c r="G50" s="79" t="e">
        <f ca="1">OFFSET(Batting!$CJ$4,BatAves!$B50,0)</f>
        <v>#N/A</v>
      </c>
      <c r="H50" s="79" t="e">
        <f ca="1">OFFSET(Batting!$CK$4,BatAves!$B50,0)</f>
        <v>#N/A</v>
      </c>
      <c r="I50" s="83" t="e">
        <f ca="1">OFFSET(Batting!$CL$4,BatAves!$B50,0)</f>
        <v>#N/A</v>
      </c>
    </row>
    <row r="51" spans="1:9" x14ac:dyDescent="0.15">
      <c r="A51">
        <v>50</v>
      </c>
      <c r="B51" t="e">
        <f>MATCH(A51,Batting!$DE$5:$DE$50,0)</f>
        <v>#N/A</v>
      </c>
      <c r="C51" t="e">
        <f ca="1">OFFSET(Batting!$C$4,BatAves!$B51,0)</f>
        <v>#N/A</v>
      </c>
      <c r="D51" s="79" t="e">
        <f ca="1">OFFSET(Batting!$CE$4,BatAves!$B51,0)</f>
        <v>#N/A</v>
      </c>
      <c r="E51" s="79" t="e">
        <f ca="1">OFFSET(Batting!$CG$4,BatAves!$B51,0)</f>
        <v>#N/A</v>
      </c>
      <c r="F51" s="79" t="e">
        <f ca="1">OFFSET(Batting!$CH$4,BatAves!$B51,0)</f>
        <v>#N/A</v>
      </c>
      <c r="G51" s="79" t="e">
        <f ca="1">OFFSET(Batting!$CJ$4,BatAves!$B51,0)</f>
        <v>#N/A</v>
      </c>
      <c r="H51" s="79" t="e">
        <f ca="1">OFFSET(Batting!$CK$4,BatAves!$B51,0)</f>
        <v>#N/A</v>
      </c>
      <c r="I51" s="83" t="e">
        <f ca="1">OFFSET(Batting!$CL$4,BatAves!$B51,0)</f>
        <v>#N/A</v>
      </c>
    </row>
    <row r="52" spans="1:9" x14ac:dyDescent="0.15">
      <c r="A52">
        <v>51</v>
      </c>
      <c r="B52" t="e">
        <f>MATCH(A52,Batting!$DE$5:$DE$50,0)</f>
        <v>#N/A</v>
      </c>
      <c r="C52" t="e">
        <f ca="1">OFFSET(Batting!$C$4,BatAves!$B52,0)</f>
        <v>#N/A</v>
      </c>
      <c r="D52" s="79" t="e">
        <f ca="1">OFFSET(Batting!$CE$4,BatAves!$B52,0)</f>
        <v>#N/A</v>
      </c>
      <c r="E52" s="79" t="e">
        <f ca="1">OFFSET(Batting!$CG$4,BatAves!$B52,0)</f>
        <v>#N/A</v>
      </c>
      <c r="F52" s="79" t="e">
        <f ca="1">OFFSET(Batting!$CH$4,BatAves!$B52,0)</f>
        <v>#N/A</v>
      </c>
      <c r="G52" s="79" t="e">
        <f ca="1">OFFSET(Batting!$CJ$4,BatAves!$B52,0)</f>
        <v>#N/A</v>
      </c>
      <c r="H52" s="79" t="e">
        <f ca="1">OFFSET(Batting!$CK$4,BatAves!$B52,0)</f>
        <v>#N/A</v>
      </c>
      <c r="I52" s="83" t="e">
        <f ca="1">OFFSET(Batting!$CL$4,BatAves!$B52,0)</f>
        <v>#N/A</v>
      </c>
    </row>
    <row r="53" spans="1:9" x14ac:dyDescent="0.15">
      <c r="A53">
        <v>52</v>
      </c>
      <c r="B53" t="e">
        <f>MATCH(A53,Batting!$DE$5:$DE$50,0)</f>
        <v>#N/A</v>
      </c>
      <c r="C53" t="e">
        <f ca="1">OFFSET(Batting!$C$4,BatAves!$B53,0)</f>
        <v>#N/A</v>
      </c>
      <c r="D53" s="79" t="e">
        <f ca="1">OFFSET(Batting!$CE$4,BatAves!$B53,0)</f>
        <v>#N/A</v>
      </c>
      <c r="E53" s="79" t="e">
        <f ca="1">OFFSET(Batting!$CG$4,BatAves!$B53,0)</f>
        <v>#N/A</v>
      </c>
      <c r="F53" s="79" t="e">
        <f ca="1">OFFSET(Batting!$CH$4,BatAves!$B53,0)</f>
        <v>#N/A</v>
      </c>
      <c r="G53" s="79" t="e">
        <f ca="1">OFFSET(Batting!$CJ$4,BatAves!$B53,0)</f>
        <v>#N/A</v>
      </c>
      <c r="H53" s="79" t="e">
        <f ca="1">OFFSET(Batting!$CK$4,BatAves!$B53,0)</f>
        <v>#N/A</v>
      </c>
      <c r="I53" s="83" t="e">
        <f ca="1">OFFSET(Batting!$CL$4,BatAves!$B53,0)</f>
        <v>#N/A</v>
      </c>
    </row>
    <row r="54" spans="1:9" x14ac:dyDescent="0.15">
      <c r="A54">
        <v>53</v>
      </c>
      <c r="B54" t="e">
        <f>MATCH(A54,Batting!$DE$5:$DE$50,0)</f>
        <v>#N/A</v>
      </c>
      <c r="C54" t="e">
        <f ca="1">OFFSET(Batting!$C$4,BatAves!$B54,0)</f>
        <v>#N/A</v>
      </c>
      <c r="D54" s="79" t="e">
        <f ca="1">OFFSET(Batting!$CE$4,BatAves!$B54,0)</f>
        <v>#N/A</v>
      </c>
      <c r="E54" s="79" t="e">
        <f ca="1">OFFSET(Batting!$CG$4,BatAves!$B54,0)</f>
        <v>#N/A</v>
      </c>
      <c r="F54" s="79" t="e">
        <f ca="1">OFFSET(Batting!$CH$4,BatAves!$B54,0)</f>
        <v>#N/A</v>
      </c>
      <c r="G54" s="79" t="e">
        <f ca="1">OFFSET(Batting!$CJ$4,BatAves!$B54,0)</f>
        <v>#N/A</v>
      </c>
      <c r="H54" s="79" t="e">
        <f ca="1">OFFSET(Batting!$CK$4,BatAves!$B54,0)</f>
        <v>#N/A</v>
      </c>
      <c r="I54" s="83" t="e">
        <f ca="1">OFFSET(Batting!$CL$4,BatAves!$B54,0)</f>
        <v>#N/A</v>
      </c>
    </row>
    <row r="55" spans="1:9" x14ac:dyDescent="0.15">
      <c r="A55">
        <v>54</v>
      </c>
      <c r="B55" t="e">
        <f>MATCH(A55,Batting!$DE$5:$DE$50,0)</f>
        <v>#N/A</v>
      </c>
      <c r="C55" t="e">
        <f ca="1">OFFSET(Batting!$C$4,BatAves!$B55,0)</f>
        <v>#N/A</v>
      </c>
      <c r="D55" s="79" t="e">
        <f ca="1">OFFSET(Batting!$CE$4,BatAves!$B55,0)</f>
        <v>#N/A</v>
      </c>
      <c r="E55" s="79" t="e">
        <f ca="1">OFFSET(Batting!$CG$4,BatAves!$B55,0)</f>
        <v>#N/A</v>
      </c>
      <c r="F55" s="79" t="e">
        <f ca="1">OFFSET(Batting!$CH$4,BatAves!$B55,0)</f>
        <v>#N/A</v>
      </c>
      <c r="G55" s="79" t="e">
        <f ca="1">OFFSET(Batting!$CJ$4,BatAves!$B55,0)</f>
        <v>#N/A</v>
      </c>
      <c r="H55" s="79" t="e">
        <f ca="1">OFFSET(Batting!$CK$4,BatAves!$B55,0)</f>
        <v>#N/A</v>
      </c>
      <c r="I55" s="83" t="e">
        <f ca="1">OFFSET(Batting!$CL$4,BatAves!$B55,0)</f>
        <v>#N/A</v>
      </c>
    </row>
    <row r="56" spans="1:9" x14ac:dyDescent="0.15">
      <c r="A56">
        <v>55</v>
      </c>
      <c r="B56" t="e">
        <f>MATCH(A56,Batting!$DE$5:$DE$50,0)</f>
        <v>#N/A</v>
      </c>
      <c r="C56" t="e">
        <f ca="1">OFFSET(Batting!$C$4,BatAves!$B56,0)</f>
        <v>#N/A</v>
      </c>
      <c r="D56" s="79" t="e">
        <f ca="1">OFFSET(Batting!$CE$4,BatAves!$B56,0)</f>
        <v>#N/A</v>
      </c>
      <c r="E56" s="79" t="e">
        <f ca="1">OFFSET(Batting!$CG$4,BatAves!$B56,0)</f>
        <v>#N/A</v>
      </c>
      <c r="F56" s="79" t="e">
        <f ca="1">OFFSET(Batting!$CH$4,BatAves!$B56,0)</f>
        <v>#N/A</v>
      </c>
      <c r="G56" s="79" t="e">
        <f ca="1">OFFSET(Batting!$CJ$4,BatAves!$B56,0)</f>
        <v>#N/A</v>
      </c>
      <c r="H56" s="79" t="e">
        <f ca="1">OFFSET(Batting!$CK$4,BatAves!$B56,0)</f>
        <v>#N/A</v>
      </c>
      <c r="I56" s="83" t="e">
        <f ca="1">OFFSET(Batting!$CL$4,BatAves!$B56,0)</f>
        <v>#N/A</v>
      </c>
    </row>
    <row r="57" spans="1:9" x14ac:dyDescent="0.15">
      <c r="A57">
        <v>56</v>
      </c>
      <c r="B57" t="e">
        <f>MATCH(A57,Batting!$DE$5:$DE$50,0)</f>
        <v>#N/A</v>
      </c>
      <c r="C57" t="e">
        <f ca="1">OFFSET(Batting!$C$4,BatAves!$B57,0)</f>
        <v>#N/A</v>
      </c>
      <c r="D57" s="79" t="e">
        <f ca="1">OFFSET(Batting!$CE$4,BatAves!$B57,0)</f>
        <v>#N/A</v>
      </c>
      <c r="E57" s="79" t="e">
        <f ca="1">OFFSET(Batting!$CG$4,BatAves!$B57,0)</f>
        <v>#N/A</v>
      </c>
      <c r="F57" s="79" t="e">
        <f ca="1">OFFSET(Batting!$CH$4,BatAves!$B57,0)</f>
        <v>#N/A</v>
      </c>
      <c r="G57" s="79" t="e">
        <f ca="1">OFFSET(Batting!$CJ$4,BatAves!$B57,0)</f>
        <v>#N/A</v>
      </c>
      <c r="H57" s="79" t="e">
        <f ca="1">OFFSET(Batting!$CK$4,BatAves!$B57,0)</f>
        <v>#N/A</v>
      </c>
      <c r="I57" s="83" t="e">
        <f ca="1">OFFSET(Batting!$CL$4,BatAves!$B57,0)</f>
        <v>#N/A</v>
      </c>
    </row>
    <row r="58" spans="1:9" x14ac:dyDescent="0.15">
      <c r="A58">
        <v>57</v>
      </c>
      <c r="B58" t="e">
        <f>MATCH(A58,Batting!$DE$5:$DE$50,0)</f>
        <v>#N/A</v>
      </c>
      <c r="C58" t="e">
        <f ca="1">OFFSET(Batting!$C$4,BatAves!$B58,0)</f>
        <v>#N/A</v>
      </c>
      <c r="D58" s="79" t="e">
        <f ca="1">OFFSET(Batting!$CE$4,BatAves!$B58,0)</f>
        <v>#N/A</v>
      </c>
      <c r="E58" s="79" t="e">
        <f ca="1">OFFSET(Batting!$CG$4,BatAves!$B58,0)</f>
        <v>#N/A</v>
      </c>
      <c r="F58" s="79" t="e">
        <f ca="1">OFFSET(Batting!$CH$4,BatAves!$B58,0)</f>
        <v>#N/A</v>
      </c>
      <c r="G58" s="79" t="e">
        <f ca="1">OFFSET(Batting!$CJ$4,BatAves!$B58,0)</f>
        <v>#N/A</v>
      </c>
      <c r="H58" s="79" t="e">
        <f ca="1">OFFSET(Batting!$CK$4,BatAves!$B58,0)</f>
        <v>#N/A</v>
      </c>
      <c r="I58" s="83" t="e">
        <f ca="1">OFFSET(Batting!$CL$4,BatAves!$B58,0)</f>
        <v>#N/A</v>
      </c>
    </row>
    <row r="59" spans="1:9" x14ac:dyDescent="0.15">
      <c r="A59">
        <v>58</v>
      </c>
      <c r="B59" t="e">
        <f>MATCH(A59,Batting!$DE$5:$DE$50,0)</f>
        <v>#N/A</v>
      </c>
      <c r="C59" t="e">
        <f ca="1">OFFSET(Batting!$C$4,BatAves!$B59,0)</f>
        <v>#N/A</v>
      </c>
      <c r="D59" s="79" t="e">
        <f ca="1">OFFSET(Batting!$CE$4,BatAves!$B59,0)</f>
        <v>#N/A</v>
      </c>
      <c r="E59" s="79" t="e">
        <f ca="1">OFFSET(Batting!$CG$4,BatAves!$B59,0)</f>
        <v>#N/A</v>
      </c>
      <c r="F59" s="79" t="e">
        <f ca="1">OFFSET(Batting!$CH$4,BatAves!$B59,0)</f>
        <v>#N/A</v>
      </c>
      <c r="G59" s="79" t="e">
        <f ca="1">OFFSET(Batting!$CJ$4,BatAves!$B59,0)</f>
        <v>#N/A</v>
      </c>
      <c r="H59" s="79" t="e">
        <f ca="1">OFFSET(Batting!$CK$4,BatAves!$B59,0)</f>
        <v>#N/A</v>
      </c>
      <c r="I59" s="83" t="e">
        <f ca="1">OFFSET(Batting!$CL$4,BatAves!$B59,0)</f>
        <v>#N/A</v>
      </c>
    </row>
    <row r="60" spans="1:9" x14ac:dyDescent="0.15">
      <c r="A60">
        <v>59</v>
      </c>
      <c r="B60" t="e">
        <f>MATCH(A60,Batting!$DE$5:$DE$50,0)</f>
        <v>#N/A</v>
      </c>
      <c r="C60" t="e">
        <f ca="1">OFFSET(Batting!$C$4,BatAves!$B60,0)</f>
        <v>#N/A</v>
      </c>
      <c r="D60" s="79" t="e">
        <f ca="1">OFFSET(Batting!$CE$4,BatAves!$B60,0)</f>
        <v>#N/A</v>
      </c>
      <c r="E60" s="79" t="e">
        <f ca="1">OFFSET(Batting!$CG$4,BatAves!$B60,0)</f>
        <v>#N/A</v>
      </c>
      <c r="F60" s="79" t="e">
        <f ca="1">OFFSET(Batting!$CH$4,BatAves!$B60,0)</f>
        <v>#N/A</v>
      </c>
      <c r="G60" s="79" t="e">
        <f ca="1">OFFSET(Batting!$CJ$4,BatAves!$B60,0)</f>
        <v>#N/A</v>
      </c>
      <c r="H60" s="79" t="e">
        <f ca="1">OFFSET(Batting!$CK$4,BatAves!$B60,0)</f>
        <v>#N/A</v>
      </c>
      <c r="I60" s="83" t="e">
        <f ca="1">OFFSET(Batting!$CL$4,BatAves!$B60,0)</f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52"/>
  <sheetViews>
    <sheetView topLeftCell="F1" workbookViewId="0">
      <selection activeCell="P14" sqref="P14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4" bestFit="1" customWidth="1"/>
    <col min="5" max="5" width="5.140625" style="79" bestFit="1" customWidth="1"/>
    <col min="6" max="6" width="5" style="79" bestFit="1" customWidth="1"/>
    <col min="7" max="7" width="7.28515625" style="79" bestFit="1" customWidth="1"/>
    <col min="8" max="8" width="7.28515625" style="83" bestFit="1" customWidth="1"/>
    <col min="9" max="9" width="6.5703125" style="80" bestFit="1" customWidth="1"/>
    <col min="10" max="10" width="5.5703125" style="80" bestFit="1" customWidth="1"/>
    <col min="11" max="11" width="4.7109375" style="79" bestFit="1" customWidth="1"/>
  </cols>
  <sheetData>
    <row r="1" spans="1:25" x14ac:dyDescent="0.15">
      <c r="A1" s="62" t="s">
        <v>154</v>
      </c>
      <c r="D1" s="84" t="s">
        <v>39</v>
      </c>
      <c r="E1" s="79" t="s">
        <v>40</v>
      </c>
      <c r="F1" s="79" t="s">
        <v>9</v>
      </c>
      <c r="G1" s="79" t="s">
        <v>156</v>
      </c>
      <c r="H1" s="81" t="s">
        <v>42</v>
      </c>
      <c r="I1" s="82" t="s">
        <v>43</v>
      </c>
      <c r="J1" s="82" t="s">
        <v>44</v>
      </c>
      <c r="K1" s="50" t="s">
        <v>106</v>
      </c>
      <c r="M1" t="s">
        <v>150</v>
      </c>
      <c r="N1" t="s">
        <v>92</v>
      </c>
      <c r="O1" t="s">
        <v>39</v>
      </c>
      <c r="P1" t="s">
        <v>40</v>
      </c>
      <c r="Q1" t="s">
        <v>9</v>
      </c>
      <c r="R1" t="s">
        <v>156</v>
      </c>
      <c r="S1" t="s">
        <v>42</v>
      </c>
      <c r="T1" t="s">
        <v>43</v>
      </c>
      <c r="U1" t="s">
        <v>44</v>
      </c>
      <c r="V1" t="s">
        <v>106</v>
      </c>
    </row>
    <row r="2" spans="1:25" x14ac:dyDescent="0.15">
      <c r="A2">
        <v>1</v>
      </c>
      <c r="B2">
        <f>MATCH(A2,Bowling!$CS$5:$CS$44,0)</f>
        <v>21</v>
      </c>
      <c r="C2" t="str">
        <f ca="1">OFFSET(Bowling!$B$4,BowlAves!B2,0)</f>
        <v>Mander N</v>
      </c>
      <c r="D2" s="84">
        <f t="array" aca="1" ref="D2:K2" ca="1">OFFSET(Bowling!$CG$4,BowlAves!B2,0,1,8)</f>
        <v>17.399999999999999</v>
      </c>
      <c r="E2" s="79">
        <f ca="1"/>
        <v>4</v>
      </c>
      <c r="F2" s="79">
        <f ca="1"/>
        <v>57</v>
      </c>
      <c r="G2" s="79">
        <f ca="1"/>
        <v>11</v>
      </c>
      <c r="H2" s="83">
        <f ca="1"/>
        <v>5.1818181818181817</v>
      </c>
      <c r="I2" s="80">
        <f ca="1"/>
        <v>9.6363636363636367</v>
      </c>
      <c r="J2" s="80">
        <f ca="1"/>
        <v>3.2264150943396226</v>
      </c>
      <c r="K2" s="87" t="str">
        <f ca="1"/>
        <v>5-28</v>
      </c>
      <c r="M2">
        <v>1</v>
      </c>
      <c r="N2" t="s">
        <v>127</v>
      </c>
      <c r="O2">
        <v>17.399999999999999</v>
      </c>
      <c r="P2">
        <v>4</v>
      </c>
      <c r="Q2">
        <v>57</v>
      </c>
      <c r="R2" s="130">
        <v>11</v>
      </c>
      <c r="S2" s="123">
        <v>5.18</v>
      </c>
      <c r="T2" s="123">
        <v>9.64</v>
      </c>
      <c r="U2" s="123">
        <v>3.23</v>
      </c>
      <c r="V2" t="s">
        <v>879</v>
      </c>
      <c r="W2" s="123">
        <f>ROUND(S2,2)</f>
        <v>5.18</v>
      </c>
      <c r="X2" s="123">
        <f t="shared" ref="X2:Y11" si="0">ROUND(T2,2)</f>
        <v>9.64</v>
      </c>
      <c r="Y2" s="123">
        <f t="shared" si="0"/>
        <v>3.23</v>
      </c>
    </row>
    <row r="3" spans="1:25" x14ac:dyDescent="0.15">
      <c r="A3">
        <v>2</v>
      </c>
      <c r="B3">
        <f>MATCH(A3,Bowling!$CS$5:$CS$44,0)</f>
        <v>33</v>
      </c>
      <c r="C3" t="str">
        <f ca="1">OFFSET(Bowling!$B$4,BowlAves!B3,0)</f>
        <v>Springer T</v>
      </c>
      <c r="D3" s="84">
        <f t="array" aca="1" ref="D3:K3" ca="1">OFFSET(Bowling!$CG$4,BowlAves!B3,0,1,8)</f>
        <v>97.1</v>
      </c>
      <c r="E3" s="79">
        <f ca="1"/>
        <v>16</v>
      </c>
      <c r="F3" s="79">
        <f ca="1"/>
        <v>310</v>
      </c>
      <c r="G3" s="79">
        <f ca="1"/>
        <v>36</v>
      </c>
      <c r="H3" s="83">
        <f ca="1"/>
        <v>8.6111111111111107</v>
      </c>
      <c r="I3" s="80">
        <f ca="1"/>
        <v>16.194444444444443</v>
      </c>
      <c r="J3" s="80">
        <f ca="1"/>
        <v>3.1903945111492282</v>
      </c>
      <c r="K3" s="87" t="str">
        <f ca="1"/>
        <v>4-9</v>
      </c>
      <c r="M3">
        <v>2</v>
      </c>
      <c r="N3" t="s">
        <v>168</v>
      </c>
      <c r="O3">
        <v>97.1</v>
      </c>
      <c r="P3">
        <v>16</v>
      </c>
      <c r="Q3">
        <v>310</v>
      </c>
      <c r="R3" s="130">
        <v>36</v>
      </c>
      <c r="S3" s="123">
        <v>8.61</v>
      </c>
      <c r="T3" s="123">
        <v>16.190000000000001</v>
      </c>
      <c r="U3" s="123">
        <v>3.19</v>
      </c>
      <c r="V3" t="s">
        <v>880</v>
      </c>
      <c r="W3" s="123">
        <f t="shared" ref="W3:W11" si="1">ROUND(S3,2)</f>
        <v>8.61</v>
      </c>
      <c r="X3" s="123">
        <f t="shared" si="0"/>
        <v>16.190000000000001</v>
      </c>
      <c r="Y3" s="123">
        <f t="shared" si="0"/>
        <v>3.19</v>
      </c>
    </row>
    <row r="4" spans="1:25" x14ac:dyDescent="0.15">
      <c r="A4">
        <v>3</v>
      </c>
      <c r="B4">
        <f>MATCH(A4,Bowling!$CS$5:$CS$44,0)</f>
        <v>10</v>
      </c>
      <c r="C4" t="str">
        <f ca="1">OFFSET(Bowling!$B$4,BowlAves!B4,0)</f>
        <v>Fish</v>
      </c>
      <c r="D4" s="84">
        <f t="array" aca="1" ref="D4:K4" ca="1">OFFSET(Bowling!$CG$4,BowlAves!B4,0,1,8)</f>
        <v>23</v>
      </c>
      <c r="E4" s="79">
        <f ca="1"/>
        <v>2</v>
      </c>
      <c r="F4" s="79">
        <f ca="1"/>
        <v>77</v>
      </c>
      <c r="G4" s="79">
        <f ca="1"/>
        <v>7</v>
      </c>
      <c r="H4" s="83">
        <f ca="1"/>
        <v>11</v>
      </c>
      <c r="I4" s="80">
        <f ca="1"/>
        <v>19.714285714285715</v>
      </c>
      <c r="J4" s="80">
        <f ca="1"/>
        <v>3.347826086956522</v>
      </c>
      <c r="K4" s="87" t="str">
        <f ca="1"/>
        <v>5-39</v>
      </c>
      <c r="M4">
        <v>3</v>
      </c>
      <c r="N4" t="s">
        <v>48</v>
      </c>
      <c r="O4">
        <v>190</v>
      </c>
      <c r="P4">
        <v>38</v>
      </c>
      <c r="Q4">
        <v>620</v>
      </c>
      <c r="R4" s="130">
        <v>40</v>
      </c>
      <c r="S4" s="123">
        <v>15.5</v>
      </c>
      <c r="T4" s="123">
        <v>28.5</v>
      </c>
      <c r="U4" s="123">
        <v>3.26</v>
      </c>
      <c r="V4" t="s">
        <v>882</v>
      </c>
      <c r="W4" s="123">
        <f t="shared" si="1"/>
        <v>15.5</v>
      </c>
      <c r="X4" s="123">
        <f t="shared" si="0"/>
        <v>28.5</v>
      </c>
      <c r="Y4" s="123">
        <f t="shared" si="0"/>
        <v>3.26</v>
      </c>
    </row>
    <row r="5" spans="1:25" x14ac:dyDescent="0.15">
      <c r="A5">
        <v>4</v>
      </c>
      <c r="B5">
        <f>MATCH(A5,Bowling!$CS$5:$CS$44,0)</f>
        <v>5</v>
      </c>
      <c r="C5" t="str">
        <f ca="1">OFFSET(Bowling!$B$4,BowlAves!B5,0)</f>
        <v>Cooper G</v>
      </c>
      <c r="D5" s="84">
        <f t="array" aca="1" ref="D5:K5" ca="1">OFFSET(Bowling!$CG$4,BowlAves!B5,0,1,8)</f>
        <v>190</v>
      </c>
      <c r="E5" s="79">
        <f ca="1"/>
        <v>38</v>
      </c>
      <c r="F5" s="79">
        <f ca="1"/>
        <v>620</v>
      </c>
      <c r="G5" s="79">
        <f ca="1"/>
        <v>40</v>
      </c>
      <c r="H5" s="83">
        <f ca="1"/>
        <v>15.5</v>
      </c>
      <c r="I5" s="80">
        <f ca="1"/>
        <v>28.5</v>
      </c>
      <c r="J5" s="80">
        <f ca="1"/>
        <v>3.263157894736842</v>
      </c>
      <c r="K5" s="87" t="str">
        <f ca="1"/>
        <v>4-23</v>
      </c>
      <c r="M5">
        <v>4</v>
      </c>
      <c r="N5" t="s">
        <v>54</v>
      </c>
      <c r="O5">
        <v>104</v>
      </c>
      <c r="P5">
        <v>30</v>
      </c>
      <c r="Q5">
        <v>312</v>
      </c>
      <c r="R5" s="130">
        <v>19</v>
      </c>
      <c r="S5" s="123">
        <v>16.420000000000002</v>
      </c>
      <c r="T5" s="123">
        <v>32.840000000000003</v>
      </c>
      <c r="U5" s="123">
        <v>3</v>
      </c>
      <c r="V5" t="s">
        <v>883</v>
      </c>
      <c r="W5" s="123">
        <f t="shared" si="1"/>
        <v>16.420000000000002</v>
      </c>
      <c r="X5" s="123">
        <f t="shared" si="0"/>
        <v>32.840000000000003</v>
      </c>
      <c r="Y5" s="123">
        <f t="shared" si="0"/>
        <v>3</v>
      </c>
    </row>
    <row r="6" spans="1:25" x14ac:dyDescent="0.15">
      <c r="A6">
        <v>5</v>
      </c>
      <c r="B6">
        <f>MATCH(A6,Bowling!$CS$5:$CS$44,0)</f>
        <v>19</v>
      </c>
      <c r="C6" t="str">
        <f ca="1">OFFSET(Bowling!$B$4,BowlAves!B6,0)</f>
        <v>Mander A</v>
      </c>
      <c r="D6" s="84">
        <f t="array" aca="1" ref="D6:K6" ca="1">OFFSET(Bowling!$CG$4,BowlAves!B6,0,1,8)</f>
        <v>104</v>
      </c>
      <c r="E6" s="79">
        <f ca="1"/>
        <v>30</v>
      </c>
      <c r="F6" s="79">
        <f ca="1"/>
        <v>312</v>
      </c>
      <c r="G6" s="79">
        <f ca="1"/>
        <v>19</v>
      </c>
      <c r="H6" s="83">
        <f ca="1"/>
        <v>16.421052631578949</v>
      </c>
      <c r="I6" s="80">
        <f ca="1"/>
        <v>32.842105263157897</v>
      </c>
      <c r="J6" s="80">
        <f ca="1"/>
        <v>3</v>
      </c>
      <c r="K6" s="87" t="str">
        <f ca="1"/>
        <v>3-23</v>
      </c>
      <c r="M6">
        <v>5</v>
      </c>
      <c r="N6" t="s">
        <v>248</v>
      </c>
      <c r="O6">
        <v>236.4</v>
      </c>
      <c r="P6">
        <v>40</v>
      </c>
      <c r="Q6">
        <v>825</v>
      </c>
      <c r="R6" s="130">
        <v>50</v>
      </c>
      <c r="S6" s="123">
        <v>16.5</v>
      </c>
      <c r="T6" s="123">
        <v>28.4</v>
      </c>
      <c r="U6" s="123">
        <v>3.49</v>
      </c>
      <c r="V6" t="s">
        <v>884</v>
      </c>
      <c r="W6" s="123">
        <f t="shared" si="1"/>
        <v>16.5</v>
      </c>
      <c r="X6" s="123">
        <f t="shared" si="0"/>
        <v>28.4</v>
      </c>
      <c r="Y6" s="123">
        <f t="shared" si="0"/>
        <v>3.49</v>
      </c>
    </row>
    <row r="7" spans="1:25" x14ac:dyDescent="0.15">
      <c r="A7">
        <v>6</v>
      </c>
      <c r="B7">
        <f>MATCH(A7,Bowling!$CS$5:$CS$44,0)</f>
        <v>11</v>
      </c>
      <c r="C7" t="str">
        <f ca="1">OFFSET(Bowling!$B$4,BowlAves!B7,0)</f>
        <v>Greyling R</v>
      </c>
      <c r="D7" s="84">
        <f t="array" aca="1" ref="D7:K7" ca="1">OFFSET(Bowling!$CG$4,BowlAves!B7,0,1,8)</f>
        <v>236.4</v>
      </c>
      <c r="E7" s="79">
        <f ca="1"/>
        <v>40</v>
      </c>
      <c r="F7" s="79">
        <f ca="1"/>
        <v>825</v>
      </c>
      <c r="G7" s="79">
        <f ca="1"/>
        <v>50</v>
      </c>
      <c r="H7" s="83">
        <f ca="1"/>
        <v>16.5</v>
      </c>
      <c r="I7" s="80">
        <f ca="1"/>
        <v>28.4</v>
      </c>
      <c r="J7" s="80">
        <f ca="1"/>
        <v>3.4859154929577465</v>
      </c>
      <c r="K7" s="87" t="str">
        <f ca="1"/>
        <v>4-17</v>
      </c>
      <c r="M7">
        <v>6</v>
      </c>
      <c r="N7" t="s">
        <v>160</v>
      </c>
      <c r="O7">
        <v>140.30000000000001</v>
      </c>
      <c r="P7">
        <v>47</v>
      </c>
      <c r="Q7">
        <v>360</v>
      </c>
      <c r="R7" s="130">
        <v>18</v>
      </c>
      <c r="S7" s="123">
        <v>20</v>
      </c>
      <c r="T7" s="123">
        <v>46.83</v>
      </c>
      <c r="U7" s="123">
        <v>2.56</v>
      </c>
      <c r="V7" t="s">
        <v>886</v>
      </c>
      <c r="W7" s="123">
        <f t="shared" si="1"/>
        <v>20</v>
      </c>
      <c r="X7" s="123">
        <f t="shared" si="0"/>
        <v>46.83</v>
      </c>
      <c r="Y7" s="123">
        <f t="shared" si="0"/>
        <v>2.56</v>
      </c>
    </row>
    <row r="8" spans="1:25" x14ac:dyDescent="0.15">
      <c r="A8">
        <v>7</v>
      </c>
      <c r="B8">
        <f>MATCH(A8,Bowling!$CS$5:$CS$44,0)</f>
        <v>25</v>
      </c>
      <c r="C8" t="str">
        <f ca="1">OFFSET(Bowling!$B$4,BowlAves!B8,0)</f>
        <v>Oakes P</v>
      </c>
      <c r="D8" s="84">
        <f t="array" aca="1" ref="D8:K8" ca="1">OFFSET(Bowling!$CG$4,BowlAves!B8,0,1,8)</f>
        <v>5</v>
      </c>
      <c r="E8" s="79">
        <f ca="1"/>
        <v>1</v>
      </c>
      <c r="F8" s="79">
        <f ca="1"/>
        <v>18</v>
      </c>
      <c r="G8" s="79">
        <f ca="1"/>
        <v>1</v>
      </c>
      <c r="H8" s="83">
        <f ca="1"/>
        <v>18</v>
      </c>
      <c r="I8" s="80">
        <f ca="1"/>
        <v>30</v>
      </c>
      <c r="J8" s="80">
        <f ca="1"/>
        <v>3.6</v>
      </c>
      <c r="K8" s="87" t="str">
        <f ca="1"/>
        <v>1-18</v>
      </c>
      <c r="M8">
        <v>7</v>
      </c>
      <c r="N8" t="s">
        <v>171</v>
      </c>
      <c r="O8">
        <v>42.1</v>
      </c>
      <c r="P8">
        <v>6</v>
      </c>
      <c r="Q8">
        <v>224</v>
      </c>
      <c r="R8" s="130">
        <v>11</v>
      </c>
      <c r="S8" s="123">
        <v>20.36</v>
      </c>
      <c r="T8" s="123">
        <v>23</v>
      </c>
      <c r="U8" s="123">
        <v>5.31</v>
      </c>
      <c r="V8" t="s">
        <v>887</v>
      </c>
      <c r="W8" s="123">
        <f t="shared" si="1"/>
        <v>20.36</v>
      </c>
      <c r="X8" s="123">
        <f t="shared" si="0"/>
        <v>23</v>
      </c>
      <c r="Y8" s="123">
        <f t="shared" si="0"/>
        <v>5.31</v>
      </c>
    </row>
    <row r="9" spans="1:25" x14ac:dyDescent="0.15">
      <c r="A9">
        <v>8</v>
      </c>
      <c r="B9">
        <f>MATCH(A9,Bowling!$CS$5:$CS$44,0)</f>
        <v>26</v>
      </c>
      <c r="C9" t="str">
        <f ca="1">OFFSET(Bowling!$B$4,BowlAves!B9,0)</f>
        <v>Odeneal R</v>
      </c>
      <c r="D9" s="84">
        <f t="array" aca="1" ref="D9:K9" ca="1">OFFSET(Bowling!$CG$4,BowlAves!B9,0,1,8)</f>
        <v>2</v>
      </c>
      <c r="E9" s="79">
        <f ca="1"/>
        <v>0</v>
      </c>
      <c r="F9" s="79">
        <f ca="1"/>
        <v>18</v>
      </c>
      <c r="G9" s="79">
        <f ca="1"/>
        <v>1</v>
      </c>
      <c r="H9" s="83">
        <f ca="1"/>
        <v>18</v>
      </c>
      <c r="I9" s="80">
        <f ca="1"/>
        <v>12</v>
      </c>
      <c r="J9" s="80">
        <f ca="1"/>
        <v>9</v>
      </c>
      <c r="K9" s="87" t="str">
        <f ca="1"/>
        <v>1-18</v>
      </c>
      <c r="M9">
        <v>8</v>
      </c>
      <c r="N9" t="s">
        <v>162</v>
      </c>
      <c r="O9">
        <v>79.2</v>
      </c>
      <c r="P9">
        <v>5</v>
      </c>
      <c r="Q9">
        <v>370</v>
      </c>
      <c r="R9" s="130">
        <v>16</v>
      </c>
      <c r="S9" s="123">
        <v>23.13</v>
      </c>
      <c r="T9" s="123">
        <v>29.75</v>
      </c>
      <c r="U9" s="123">
        <v>4.66</v>
      </c>
      <c r="V9" t="s">
        <v>889</v>
      </c>
      <c r="W9" s="123">
        <f t="shared" si="1"/>
        <v>23.13</v>
      </c>
      <c r="X9" s="123">
        <f t="shared" si="0"/>
        <v>29.75</v>
      </c>
      <c r="Y9" s="123">
        <f t="shared" si="0"/>
        <v>4.66</v>
      </c>
    </row>
    <row r="10" spans="1:25" x14ac:dyDescent="0.15">
      <c r="A10">
        <v>9</v>
      </c>
      <c r="B10">
        <f>MATCH(A10,Bowling!$CS$5:$CS$44,0)</f>
        <v>3</v>
      </c>
      <c r="C10" t="str">
        <f ca="1">OFFSET(Bowling!$B$4,BowlAves!B10,0)</f>
        <v>Clark C</v>
      </c>
      <c r="D10" s="84">
        <f t="array" aca="1" ref="D10:K10" ca="1">OFFSET(Bowling!$CG$4,BowlAves!B10,0,1,8)</f>
        <v>140.30000000000001</v>
      </c>
      <c r="E10" s="79">
        <f ca="1"/>
        <v>47</v>
      </c>
      <c r="F10" s="79">
        <f ca="1"/>
        <v>360</v>
      </c>
      <c r="G10" s="79">
        <f ca="1"/>
        <v>18</v>
      </c>
      <c r="H10" s="83">
        <f ca="1"/>
        <v>20</v>
      </c>
      <c r="I10" s="80">
        <f ca="1"/>
        <v>46.833333333333336</v>
      </c>
      <c r="J10" s="80">
        <f ca="1"/>
        <v>2.5622775800711746</v>
      </c>
      <c r="K10" s="87" t="str">
        <f ca="1"/>
        <v>3-12</v>
      </c>
      <c r="M10">
        <v>9</v>
      </c>
      <c r="N10" t="s">
        <v>66</v>
      </c>
      <c r="O10">
        <v>84</v>
      </c>
      <c r="P10">
        <v>15</v>
      </c>
      <c r="Q10">
        <v>255</v>
      </c>
      <c r="R10" s="130">
        <v>11</v>
      </c>
      <c r="S10" s="123">
        <v>23.18</v>
      </c>
      <c r="T10" s="123">
        <v>45.82</v>
      </c>
      <c r="U10" s="123">
        <v>3.04</v>
      </c>
      <c r="V10" t="s">
        <v>890</v>
      </c>
      <c r="W10" s="123">
        <f t="shared" si="1"/>
        <v>23.18</v>
      </c>
      <c r="X10" s="123">
        <f t="shared" si="0"/>
        <v>45.82</v>
      </c>
      <c r="Y10" s="123">
        <f t="shared" si="0"/>
        <v>3.04</v>
      </c>
    </row>
    <row r="11" spans="1:25" x14ac:dyDescent="0.15">
      <c r="A11">
        <v>10</v>
      </c>
      <c r="B11">
        <f>MATCH(A11,Bowling!$CS$5:$CS$44,0)</f>
        <v>38</v>
      </c>
      <c r="C11" t="str">
        <f ca="1">OFFSET(Bowling!$B$4,BowlAves!B11,0)</f>
        <v>Young R</v>
      </c>
      <c r="D11" s="84">
        <f t="array" aca="1" ref="D11:K11" ca="1">OFFSET(Bowling!$CG$4,BowlAves!B11,0,1,8)</f>
        <v>42.1</v>
      </c>
      <c r="E11" s="79">
        <f ca="1"/>
        <v>6</v>
      </c>
      <c r="F11" s="79">
        <f ca="1"/>
        <v>224</v>
      </c>
      <c r="G11" s="79">
        <f ca="1"/>
        <v>11</v>
      </c>
      <c r="H11" s="83">
        <f ca="1"/>
        <v>20.363636363636363</v>
      </c>
      <c r="I11" s="80">
        <f ca="1"/>
        <v>23</v>
      </c>
      <c r="J11" s="80">
        <f ca="1"/>
        <v>5.3122529644268779</v>
      </c>
      <c r="K11" s="87" t="str">
        <f ca="1"/>
        <v>4-27</v>
      </c>
      <c r="M11">
        <v>10</v>
      </c>
      <c r="N11" t="s">
        <v>158</v>
      </c>
      <c r="O11">
        <v>61</v>
      </c>
      <c r="P11">
        <v>6</v>
      </c>
      <c r="Q11">
        <v>312</v>
      </c>
      <c r="R11" s="130">
        <v>13</v>
      </c>
      <c r="S11" s="123">
        <v>24</v>
      </c>
      <c r="T11" s="123">
        <v>28.15</v>
      </c>
      <c r="U11" s="123">
        <v>5.1100000000000003</v>
      </c>
      <c r="V11" t="s">
        <v>891</v>
      </c>
      <c r="W11" s="123">
        <f t="shared" si="1"/>
        <v>24</v>
      </c>
      <c r="X11" s="123">
        <f t="shared" si="0"/>
        <v>28.15</v>
      </c>
      <c r="Y11" s="123">
        <f t="shared" si="0"/>
        <v>5.1100000000000003</v>
      </c>
    </row>
    <row r="12" spans="1:25" x14ac:dyDescent="0.15">
      <c r="A12">
        <v>11</v>
      </c>
      <c r="B12">
        <f>MATCH(A12,Bowling!$CS$5:$CS$44,0)</f>
        <v>7</v>
      </c>
      <c r="C12" t="str">
        <f ca="1">OFFSET(Bowling!$B$4,BowlAves!B12,0)</f>
        <v>Davies A</v>
      </c>
      <c r="D12" s="84">
        <f t="array" aca="1" ref="D12:K12" ca="1">OFFSET(Bowling!$CG$4,BowlAves!B12,0,1,8)</f>
        <v>5</v>
      </c>
      <c r="E12" s="79">
        <f ca="1"/>
        <v>1</v>
      </c>
      <c r="F12" s="79">
        <f ca="1"/>
        <v>21</v>
      </c>
      <c r="G12" s="79">
        <f ca="1"/>
        <v>1</v>
      </c>
      <c r="H12" s="83">
        <f ca="1"/>
        <v>21</v>
      </c>
      <c r="I12" s="80">
        <f ca="1"/>
        <v>30</v>
      </c>
      <c r="J12" s="80">
        <f ca="1"/>
        <v>4.2</v>
      </c>
      <c r="K12" s="87" t="str">
        <f ca="1"/>
        <v>1-21</v>
      </c>
    </row>
    <row r="13" spans="1:25" x14ac:dyDescent="0.15">
      <c r="A13">
        <v>12</v>
      </c>
      <c r="B13">
        <f>MATCH(A13,Bowling!$CS$5:$CS$44,0)</f>
        <v>24</v>
      </c>
      <c r="C13" t="str">
        <f ca="1">OFFSET(Bowling!$B$4,BowlAves!B13,0)</f>
        <v>Murphy P</v>
      </c>
      <c r="D13" s="84">
        <f t="array" aca="1" ref="D13:K13" ca="1">OFFSET(Bowling!$CG$4,BowlAves!B13,0,1,8)</f>
        <v>43</v>
      </c>
      <c r="E13" s="79">
        <f ca="1"/>
        <v>5</v>
      </c>
      <c r="F13" s="79">
        <f ca="1"/>
        <v>151</v>
      </c>
      <c r="G13" s="79">
        <f ca="1"/>
        <v>7</v>
      </c>
      <c r="H13" s="83">
        <f ca="1"/>
        <v>21.571428571428573</v>
      </c>
      <c r="I13" s="80">
        <f ca="1"/>
        <v>36.857142857142854</v>
      </c>
      <c r="J13" s="80">
        <f ca="1"/>
        <v>3.5116279069767442</v>
      </c>
      <c r="K13" s="87" t="str">
        <f ca="1"/>
        <v>3-29</v>
      </c>
    </row>
    <row r="14" spans="1:25" x14ac:dyDescent="0.15">
      <c r="A14">
        <v>13</v>
      </c>
      <c r="B14">
        <f>MATCH(A14,Bowling!$CS$5:$CS$44,0)</f>
        <v>9</v>
      </c>
      <c r="C14" t="str">
        <f ca="1">OFFSET(Bowling!$B$4,BowlAves!B14,0)</f>
        <v>Elliston J</v>
      </c>
      <c r="D14" s="84">
        <f t="array" aca="1" ref="D14:K14" ca="1">OFFSET(Bowling!$CG$4,BowlAves!B14,0,1,8)</f>
        <v>79.2</v>
      </c>
      <c r="E14" s="79">
        <f ca="1"/>
        <v>5</v>
      </c>
      <c r="F14" s="79">
        <f ca="1"/>
        <v>370</v>
      </c>
      <c r="G14" s="79">
        <f ca="1"/>
        <v>16</v>
      </c>
      <c r="H14" s="83">
        <f ca="1"/>
        <v>23.125</v>
      </c>
      <c r="I14" s="80">
        <f ca="1"/>
        <v>29.75</v>
      </c>
      <c r="J14" s="80">
        <f ca="1"/>
        <v>4.6638655462184877</v>
      </c>
      <c r="K14" s="87" t="str">
        <f ca="1"/>
        <v>4-30</v>
      </c>
      <c r="M14">
        <v>18</v>
      </c>
      <c r="N14" t="s">
        <v>159</v>
      </c>
      <c r="O14">
        <v>4</v>
      </c>
      <c r="P14">
        <v>0</v>
      </c>
      <c r="Q14">
        <v>28</v>
      </c>
      <c r="R14" s="130">
        <v>1</v>
      </c>
      <c r="S14">
        <v>28</v>
      </c>
      <c r="T14">
        <v>24</v>
      </c>
      <c r="U14">
        <v>7</v>
      </c>
      <c r="V14" t="s">
        <v>893</v>
      </c>
      <c r="W14" t="str">
        <f t="shared" ref="W14:W19" si="2">N14&amp;" "&amp;O14&amp;"-"&amp;P14&amp;"-"&amp;Q14&amp;"-"&amp;R14&amp;","</f>
        <v>Brocks D 4-0-28-1,</v>
      </c>
      <c r="X14" s="123"/>
      <c r="Y14" s="123"/>
    </row>
    <row r="15" spans="1:25" x14ac:dyDescent="0.15">
      <c r="A15">
        <v>14</v>
      </c>
      <c r="B15">
        <f>MATCH(A15,Bowling!$CS$5:$CS$44,0)</f>
        <v>37</v>
      </c>
      <c r="C15" t="str">
        <f ca="1">OFFSET(Bowling!$B$4,BowlAves!B15,0)</f>
        <v>Worthy J</v>
      </c>
      <c r="D15" s="84">
        <f t="array" aca="1" ref="D15:K15" ca="1">OFFSET(Bowling!$CG$4,BowlAves!B15,0,1,8)</f>
        <v>84</v>
      </c>
      <c r="E15" s="79">
        <f ca="1"/>
        <v>15</v>
      </c>
      <c r="F15" s="79">
        <f ca="1"/>
        <v>255</v>
      </c>
      <c r="G15" s="79">
        <f ca="1"/>
        <v>11</v>
      </c>
      <c r="H15" s="83">
        <f ca="1"/>
        <v>23.181818181818183</v>
      </c>
      <c r="I15" s="80">
        <f ca="1"/>
        <v>45.81818181818182</v>
      </c>
      <c r="J15" s="80">
        <f ca="1"/>
        <v>3.0357142857142856</v>
      </c>
      <c r="K15" s="87" t="str">
        <f ca="1"/>
        <v>2-11</v>
      </c>
      <c r="M15">
        <v>27</v>
      </c>
      <c r="N15" t="s">
        <v>161</v>
      </c>
      <c r="O15">
        <v>3</v>
      </c>
      <c r="P15">
        <v>1</v>
      </c>
      <c r="Q15">
        <v>15</v>
      </c>
      <c r="R15" s="130">
        <v>0</v>
      </c>
      <c r="S15" t="s">
        <v>898</v>
      </c>
      <c r="T15" t="s">
        <v>898</v>
      </c>
      <c r="U15">
        <v>5</v>
      </c>
      <c r="V15" t="s">
        <v>900</v>
      </c>
      <c r="W15" t="str">
        <f t="shared" si="2"/>
        <v>Coloe A 3-1-15-0,</v>
      </c>
      <c r="X15" s="123"/>
      <c r="Y15" s="123"/>
    </row>
    <row r="16" spans="1:25" x14ac:dyDescent="0.15">
      <c r="A16">
        <v>15</v>
      </c>
      <c r="B16">
        <f>MATCH(A16,Bowling!$CS$5:$CS$44,0)</f>
        <v>1</v>
      </c>
      <c r="C16" t="str">
        <f ca="1">OFFSET(Bowling!$B$4,BowlAves!B16,0)</f>
        <v>Bowers M</v>
      </c>
      <c r="D16" s="84">
        <f t="array" aca="1" ref="D16:K16" ca="1">OFFSET(Bowling!$CG$4,BowlAves!B16,0,1,8)</f>
        <v>61</v>
      </c>
      <c r="E16" s="79">
        <f ca="1"/>
        <v>6</v>
      </c>
      <c r="F16" s="79">
        <f ca="1"/>
        <v>312</v>
      </c>
      <c r="G16" s="79">
        <f ca="1"/>
        <v>13</v>
      </c>
      <c r="H16" s="83">
        <f ca="1"/>
        <v>24</v>
      </c>
      <c r="I16" s="80">
        <f ca="1"/>
        <v>28.153846153846153</v>
      </c>
      <c r="J16" s="80">
        <f ca="1"/>
        <v>5.1147540983606561</v>
      </c>
      <c r="K16" s="87" t="str">
        <f ca="1"/>
        <v>3-33</v>
      </c>
      <c r="M16">
        <v>23</v>
      </c>
      <c r="N16" t="s">
        <v>252</v>
      </c>
      <c r="O16">
        <v>9</v>
      </c>
      <c r="P16">
        <v>0</v>
      </c>
      <c r="Q16">
        <v>51</v>
      </c>
      <c r="R16" s="130">
        <v>1</v>
      </c>
      <c r="S16">
        <v>51</v>
      </c>
      <c r="T16">
        <v>54</v>
      </c>
      <c r="U16">
        <v>5.666666666666667</v>
      </c>
      <c r="V16" t="s">
        <v>897</v>
      </c>
      <c r="W16" t="str">
        <f t="shared" si="2"/>
        <v>Cox M 9-0-51-1,</v>
      </c>
      <c r="X16" s="123"/>
      <c r="Y16" s="123"/>
    </row>
    <row r="17" spans="1:25" x14ac:dyDescent="0.15">
      <c r="A17">
        <v>16</v>
      </c>
      <c r="B17">
        <f>MATCH(A17,Bowling!$CS$5:$CS$44,0)</f>
        <v>34</v>
      </c>
      <c r="C17" t="str">
        <f ca="1">OFFSET(Bowling!$B$4,BowlAves!B17,0)</f>
        <v>Wiseman R</v>
      </c>
      <c r="D17" s="84">
        <f t="array" aca="1" ref="D17:K17" ca="1">OFFSET(Bowling!$CG$4,BowlAves!B17,0,1,8)</f>
        <v>34</v>
      </c>
      <c r="E17" s="79">
        <f ca="1"/>
        <v>2</v>
      </c>
      <c r="F17" s="79">
        <f ca="1"/>
        <v>194</v>
      </c>
      <c r="G17" s="79">
        <f ca="1"/>
        <v>8</v>
      </c>
      <c r="H17" s="83">
        <f ca="1"/>
        <v>24.25</v>
      </c>
      <c r="I17" s="80">
        <f ca="1"/>
        <v>25.5</v>
      </c>
      <c r="J17" s="80">
        <f ca="1"/>
        <v>5.7058823529411766</v>
      </c>
      <c r="K17" s="87" t="str">
        <f ca="1"/>
        <v>3-12</v>
      </c>
      <c r="M17">
        <v>11</v>
      </c>
      <c r="N17" t="s">
        <v>867</v>
      </c>
      <c r="O17">
        <v>5</v>
      </c>
      <c r="P17">
        <v>1</v>
      </c>
      <c r="Q17">
        <v>21</v>
      </c>
      <c r="R17" s="130">
        <v>1</v>
      </c>
      <c r="S17" s="123">
        <v>21</v>
      </c>
      <c r="T17" s="123">
        <v>30</v>
      </c>
      <c r="U17">
        <v>4.2</v>
      </c>
      <c r="V17" t="s">
        <v>897</v>
      </c>
      <c r="W17" t="str">
        <f t="shared" si="2"/>
        <v>Davies A 5-1-21-1,</v>
      </c>
      <c r="X17" s="123"/>
      <c r="Y17" s="123"/>
    </row>
    <row r="18" spans="1:25" x14ac:dyDescent="0.15">
      <c r="A18">
        <v>17</v>
      </c>
      <c r="B18">
        <f>MATCH(A18,Bowling!$CS$5:$CS$44,0)</f>
        <v>18</v>
      </c>
      <c r="C18" t="str">
        <f ca="1">OFFSET(Bowling!$B$4,BowlAves!B18,0)</f>
        <v>Lestrelle J</v>
      </c>
      <c r="D18" s="84">
        <f t="array" aca="1" ref="D18:K18" ca="1">OFFSET(Bowling!$CG$4,BowlAves!B18,0,1,8)</f>
        <v>29.3</v>
      </c>
      <c r="E18" s="79">
        <f ca="1"/>
        <v>3</v>
      </c>
      <c r="F18" s="79">
        <f ca="1"/>
        <v>137</v>
      </c>
      <c r="G18" s="79">
        <f ca="1"/>
        <v>5</v>
      </c>
      <c r="H18" s="83">
        <f ca="1"/>
        <v>27.4</v>
      </c>
      <c r="I18" s="80">
        <f ca="1"/>
        <v>35.4</v>
      </c>
      <c r="J18" s="80">
        <f ca="1"/>
        <v>4.6440677966101696</v>
      </c>
      <c r="K18" s="87" t="str">
        <f ca="1"/>
        <v>2-12</v>
      </c>
      <c r="M18">
        <v>29</v>
      </c>
      <c r="N18" t="s">
        <v>247</v>
      </c>
      <c r="O18">
        <v>5</v>
      </c>
      <c r="P18">
        <v>0</v>
      </c>
      <c r="Q18">
        <v>40</v>
      </c>
      <c r="R18" s="130">
        <v>0</v>
      </c>
      <c r="S18" t="s">
        <v>898</v>
      </c>
      <c r="T18" t="s">
        <v>898</v>
      </c>
      <c r="U18">
        <v>8</v>
      </c>
      <c r="V18" t="s">
        <v>902</v>
      </c>
      <c r="W18" t="str">
        <f t="shared" si="2"/>
        <v>Davis M 5-0-40-0,</v>
      </c>
      <c r="X18" s="123"/>
      <c r="Y18" s="123"/>
    </row>
    <row r="19" spans="1:25" x14ac:dyDescent="0.15">
      <c r="A19">
        <v>18</v>
      </c>
      <c r="B19">
        <f>MATCH(A19,Bowling!$CS$5:$CS$44,0)</f>
        <v>2</v>
      </c>
      <c r="C19" t="str">
        <f ca="1">OFFSET(Bowling!$B$4,BowlAves!B19,0)</f>
        <v>Brocks D</v>
      </c>
      <c r="D19" s="84">
        <f t="array" aca="1" ref="D19:K19" ca="1">OFFSET(Bowling!$CG$4,BowlAves!B19,0,1,8)</f>
        <v>4</v>
      </c>
      <c r="E19" s="79">
        <f ca="1"/>
        <v>0</v>
      </c>
      <c r="F19" s="79">
        <f ca="1"/>
        <v>28</v>
      </c>
      <c r="G19" s="79">
        <f ca="1"/>
        <v>1</v>
      </c>
      <c r="H19" s="83">
        <f ca="1"/>
        <v>28</v>
      </c>
      <c r="I19" s="80">
        <f ca="1"/>
        <v>24</v>
      </c>
      <c r="J19" s="80">
        <f ca="1"/>
        <v>7</v>
      </c>
      <c r="K19" s="87" t="str">
        <f ca="1"/>
        <v>1-28</v>
      </c>
      <c r="M19">
        <v>3</v>
      </c>
      <c r="N19" t="s">
        <v>478</v>
      </c>
      <c r="O19">
        <v>23</v>
      </c>
      <c r="P19">
        <v>2</v>
      </c>
      <c r="Q19">
        <v>77</v>
      </c>
      <c r="R19" s="130">
        <v>7</v>
      </c>
      <c r="S19" s="123">
        <v>11</v>
      </c>
      <c r="T19" s="123">
        <v>19.71</v>
      </c>
      <c r="U19">
        <v>3.35</v>
      </c>
      <c r="V19" t="s">
        <v>881</v>
      </c>
      <c r="W19" t="str">
        <f t="shared" si="2"/>
        <v>Fish 23-2-77-7,</v>
      </c>
    </row>
    <row r="20" spans="1:25" x14ac:dyDescent="0.15">
      <c r="A20">
        <v>19</v>
      </c>
      <c r="B20">
        <f>MATCH(A20,Bowling!$CS$5:$CS$44,0)</f>
        <v>17</v>
      </c>
      <c r="C20" t="str">
        <f ca="1">OFFSET(Bowling!$B$4,BowlAves!B20,0)</f>
        <v>Lestrelle A</v>
      </c>
      <c r="D20" s="84">
        <f t="array" aca="1" ref="D20:K20" ca="1">OFFSET(Bowling!$CG$4,BowlAves!B20,0,1,8)</f>
        <v>46.3</v>
      </c>
      <c r="E20" s="79">
        <f ca="1"/>
        <v>3</v>
      </c>
      <c r="F20" s="79">
        <f ca="1"/>
        <v>248</v>
      </c>
      <c r="G20" s="79">
        <f ca="1"/>
        <v>8</v>
      </c>
      <c r="H20" s="83">
        <f ca="1"/>
        <v>31</v>
      </c>
      <c r="I20" s="80">
        <f ca="1"/>
        <v>34.875</v>
      </c>
      <c r="J20" s="80">
        <f ca="1"/>
        <v>5.333333333333333</v>
      </c>
      <c r="K20" s="87" t="str">
        <f ca="1"/>
        <v>3-27</v>
      </c>
      <c r="M20">
        <v>28</v>
      </c>
      <c r="N20" t="s">
        <v>787</v>
      </c>
      <c r="O20">
        <v>3</v>
      </c>
      <c r="P20">
        <v>0</v>
      </c>
      <c r="Q20">
        <v>11</v>
      </c>
      <c r="R20" s="130">
        <v>0</v>
      </c>
      <c r="S20" t="s">
        <v>898</v>
      </c>
      <c r="T20" t="s">
        <v>898</v>
      </c>
      <c r="U20">
        <v>3.6666666666666665</v>
      </c>
      <c r="V20" t="s">
        <v>901</v>
      </c>
      <c r="W20" t="str">
        <f t="shared" ref="W20:W32" si="3">N20&amp;" "&amp;O20&amp;"-"&amp;P20&amp;"-"&amp;Q20&amp;"-"&amp;R20&amp;","</f>
        <v>Heckroodt P 3-0-11-0,</v>
      </c>
    </row>
    <row r="21" spans="1:25" x14ac:dyDescent="0.15">
      <c r="A21">
        <v>20</v>
      </c>
      <c r="B21">
        <f>MATCH(A21,Bowling!$CS$5:$CS$44,0)</f>
        <v>22</v>
      </c>
      <c r="C21" t="str">
        <f ca="1">OFFSET(Bowling!$B$4,BowlAves!B21,0)</f>
        <v>Marks J</v>
      </c>
      <c r="D21" s="84">
        <f t="array" aca="1" ref="D21:K21" ca="1">OFFSET(Bowling!$CG$4,BowlAves!B21,0,1,8)</f>
        <v>4</v>
      </c>
      <c r="E21" s="79">
        <f ca="1"/>
        <v>0</v>
      </c>
      <c r="F21" s="79">
        <f ca="1"/>
        <v>33</v>
      </c>
      <c r="G21" s="79">
        <f ca="1"/>
        <v>1</v>
      </c>
      <c r="H21" s="83">
        <f ca="1"/>
        <v>33</v>
      </c>
      <c r="I21" s="80">
        <f ca="1"/>
        <v>24</v>
      </c>
      <c r="J21" s="80">
        <f ca="1"/>
        <v>8.25</v>
      </c>
      <c r="K21" s="87" t="str">
        <f ca="1"/>
        <v>1-33</v>
      </c>
      <c r="M21">
        <v>15</v>
      </c>
      <c r="N21" t="s">
        <v>212</v>
      </c>
      <c r="O21">
        <v>46.3</v>
      </c>
      <c r="P21">
        <v>3</v>
      </c>
      <c r="Q21">
        <v>248</v>
      </c>
      <c r="R21" s="130">
        <v>8</v>
      </c>
      <c r="S21">
        <v>31</v>
      </c>
      <c r="T21">
        <v>34.880000000000003</v>
      </c>
      <c r="U21">
        <v>5.33</v>
      </c>
      <c r="V21" t="s">
        <v>894</v>
      </c>
      <c r="W21" t="str">
        <f t="shared" si="3"/>
        <v>Lestrelle A 46.3-3-248-8,</v>
      </c>
    </row>
    <row r="22" spans="1:25" x14ac:dyDescent="0.15">
      <c r="A22">
        <v>21</v>
      </c>
      <c r="B22">
        <f>MATCH(A22,Bowling!$CS$5:$CS$44,0)</f>
        <v>32</v>
      </c>
      <c r="C22" t="str">
        <f ca="1">OFFSET(Bowling!$B$4,BowlAves!B22,0)</f>
        <v>Simmons M</v>
      </c>
      <c r="D22" s="84">
        <f t="array" aca="1" ref="D22:K22" ca="1">OFFSET(Bowling!$CG$4,BowlAves!B22,0,1,8)</f>
        <v>5</v>
      </c>
      <c r="E22" s="79">
        <f ca="1"/>
        <v>0</v>
      </c>
      <c r="F22" s="79">
        <f ca="1"/>
        <v>36</v>
      </c>
      <c r="G22" s="79">
        <f ca="1"/>
        <v>1</v>
      </c>
      <c r="H22" s="83">
        <f ca="1"/>
        <v>36</v>
      </c>
      <c r="I22" s="80">
        <f ca="1"/>
        <v>30</v>
      </c>
      <c r="J22" s="80">
        <f ca="1"/>
        <v>7.2</v>
      </c>
      <c r="K22" s="87" t="str">
        <f ca="1"/>
        <v>1-23</v>
      </c>
      <c r="M22">
        <v>14</v>
      </c>
      <c r="N22" t="s">
        <v>163</v>
      </c>
      <c r="O22">
        <v>29.3</v>
      </c>
      <c r="P22">
        <v>3</v>
      </c>
      <c r="Q22">
        <v>137</v>
      </c>
      <c r="R22" s="130">
        <v>5</v>
      </c>
      <c r="S22">
        <v>27.4</v>
      </c>
      <c r="T22">
        <v>35.4</v>
      </c>
      <c r="U22">
        <v>4.6399999999999997</v>
      </c>
      <c r="V22" t="s">
        <v>892</v>
      </c>
      <c r="W22" t="str">
        <f t="shared" si="3"/>
        <v>Lestrelle J 29.3-3-137-5,</v>
      </c>
    </row>
    <row r="23" spans="1:25" x14ac:dyDescent="0.15">
      <c r="A23">
        <v>22</v>
      </c>
      <c r="B23">
        <f>MATCH(A23,Bowling!$CS$5:$CS$44,0)</f>
        <v>35</v>
      </c>
      <c r="C23" t="str">
        <f ca="1">OFFSET(Bowling!$B$4,BowlAves!B23,0)</f>
        <v>Woodhouse M</v>
      </c>
      <c r="D23" s="84">
        <f t="array" aca="1" ref="D23:K23" ca="1">OFFSET(Bowling!$CG$4,BowlAves!B23,0,1,8)</f>
        <v>20.399999999999999</v>
      </c>
      <c r="E23" s="79">
        <f ca="1"/>
        <v>2</v>
      </c>
      <c r="F23" s="79">
        <f ca="1"/>
        <v>127</v>
      </c>
      <c r="G23" s="79">
        <f ca="1"/>
        <v>3</v>
      </c>
      <c r="H23" s="83">
        <f ca="1"/>
        <v>42.333333333333336</v>
      </c>
      <c r="I23" s="80">
        <f ca="1"/>
        <v>41.333333333333336</v>
      </c>
      <c r="J23" s="80">
        <f ca="1"/>
        <v>6.145161290322581</v>
      </c>
      <c r="K23" s="87" t="str">
        <f ca="1"/>
        <v>1-14</v>
      </c>
      <c r="M23">
        <v>24</v>
      </c>
      <c r="N23" t="s">
        <v>56</v>
      </c>
      <c r="O23">
        <v>14</v>
      </c>
      <c r="P23">
        <v>2</v>
      </c>
      <c r="Q23">
        <v>53</v>
      </c>
      <c r="R23" s="130">
        <v>1</v>
      </c>
      <c r="S23">
        <v>53</v>
      </c>
      <c r="T23">
        <v>84</v>
      </c>
      <c r="U23">
        <v>3.7857142857142856</v>
      </c>
      <c r="V23" t="s">
        <v>897</v>
      </c>
      <c r="W23" t="str">
        <f t="shared" si="3"/>
        <v>Mander C 14-2-53-1,</v>
      </c>
    </row>
    <row r="24" spans="1:25" x14ac:dyDescent="0.15">
      <c r="A24">
        <v>23</v>
      </c>
      <c r="B24">
        <f>MATCH(A24,Bowling!$CS$5:$CS$44,0)</f>
        <v>6</v>
      </c>
      <c r="C24" t="str">
        <f ca="1">OFFSET(Bowling!$B$4,BowlAves!B24,0)</f>
        <v>Cox M</v>
      </c>
      <c r="D24" s="84">
        <f t="array" aca="1" ref="D24:K24" ca="1">OFFSET(Bowling!$CG$4,BowlAves!B24,0,1,8)</f>
        <v>9</v>
      </c>
      <c r="E24" s="79">
        <f ca="1"/>
        <v>0</v>
      </c>
      <c r="F24" s="79">
        <f ca="1"/>
        <v>51</v>
      </c>
      <c r="G24" s="79">
        <f ca="1"/>
        <v>1</v>
      </c>
      <c r="H24" s="83">
        <f ca="1"/>
        <v>51</v>
      </c>
      <c r="I24" s="80">
        <f ca="1"/>
        <v>54</v>
      </c>
      <c r="J24" s="80">
        <f ca="1"/>
        <v>5.666666666666667</v>
      </c>
      <c r="K24" s="87" t="str">
        <f ca="1"/>
        <v>1-21</v>
      </c>
      <c r="M24">
        <v>20</v>
      </c>
      <c r="N24" t="s">
        <v>864</v>
      </c>
      <c r="O24">
        <v>4</v>
      </c>
      <c r="P24">
        <v>0</v>
      </c>
      <c r="Q24">
        <v>33</v>
      </c>
      <c r="R24" s="130">
        <v>1</v>
      </c>
      <c r="S24">
        <v>33</v>
      </c>
      <c r="T24">
        <v>24</v>
      </c>
      <c r="U24">
        <v>8.25</v>
      </c>
      <c r="V24" t="s">
        <v>903</v>
      </c>
      <c r="W24" t="str">
        <f t="shared" si="3"/>
        <v>Marks J 4-0-33-1,</v>
      </c>
    </row>
    <row r="25" spans="1:25" x14ac:dyDescent="0.15">
      <c r="A25">
        <v>24</v>
      </c>
      <c r="B25">
        <f>MATCH(A25,Bowling!$CS$5:$CS$44,0)</f>
        <v>20</v>
      </c>
      <c r="C25" t="str">
        <f ca="1">OFFSET(Bowling!$B$4,BowlAves!B25,0)</f>
        <v>Mander C</v>
      </c>
      <c r="D25" s="84">
        <f t="array" aca="1" ref="D25:K25" ca="1">OFFSET(Bowling!$CG$4,BowlAves!B25,0,1,8)</f>
        <v>14</v>
      </c>
      <c r="E25" s="79">
        <f ca="1"/>
        <v>2</v>
      </c>
      <c r="F25" s="79">
        <f ca="1"/>
        <v>53</v>
      </c>
      <c r="G25" s="79">
        <f ca="1"/>
        <v>1</v>
      </c>
      <c r="H25" s="83">
        <f ca="1"/>
        <v>53</v>
      </c>
      <c r="I25" s="80">
        <f ca="1"/>
        <v>84</v>
      </c>
      <c r="J25" s="80">
        <f ca="1"/>
        <v>3.7857142857142856</v>
      </c>
      <c r="K25" s="87" t="str">
        <f ca="1"/>
        <v>1-21</v>
      </c>
      <c r="M25">
        <v>9</v>
      </c>
      <c r="N25" t="s">
        <v>229</v>
      </c>
      <c r="O25">
        <v>43</v>
      </c>
      <c r="P25">
        <v>5</v>
      </c>
      <c r="Q25">
        <v>151</v>
      </c>
      <c r="R25" s="130">
        <v>7</v>
      </c>
      <c r="S25">
        <v>21.57</v>
      </c>
      <c r="T25">
        <v>36.86</v>
      </c>
      <c r="U25">
        <v>3.51</v>
      </c>
      <c r="V25" t="s">
        <v>888</v>
      </c>
      <c r="W25" t="str">
        <f t="shared" si="3"/>
        <v>Murphy P 43-5-151-7,</v>
      </c>
    </row>
    <row r="26" spans="1:25" x14ac:dyDescent="0.15">
      <c r="A26">
        <v>25</v>
      </c>
      <c r="B26">
        <f>MATCH(A26,Bowling!$CS$5:$CS$44,0)</f>
        <v>27</v>
      </c>
      <c r="C26" t="str">
        <f ca="1">OFFSET(Bowling!$B$4,BowlAves!B26,0)</f>
        <v>Owen B</v>
      </c>
      <c r="D26" s="84">
        <f t="array" aca="1" ref="D26:K26" ca="1">OFFSET(Bowling!$CG$4,BowlAves!B26,0,1,8)</f>
        <v>1</v>
      </c>
      <c r="E26" s="79">
        <f ca="1"/>
        <v>0</v>
      </c>
      <c r="F26" s="79">
        <f ca="1"/>
        <v>15</v>
      </c>
      <c r="G26" s="79">
        <f ca="1"/>
        <v>0</v>
      </c>
      <c r="H26" s="83" t="str">
        <f ca="1"/>
        <v/>
      </c>
      <c r="I26" s="80" t="str">
        <f ca="1"/>
        <v/>
      </c>
      <c r="J26" s="80">
        <f ca="1"/>
        <v>15</v>
      </c>
      <c r="K26" s="87" t="str">
        <f ca="1"/>
        <v>0-15</v>
      </c>
      <c r="M26">
        <v>7</v>
      </c>
      <c r="N26" t="s">
        <v>253</v>
      </c>
      <c r="O26">
        <v>5</v>
      </c>
      <c r="P26">
        <v>1</v>
      </c>
      <c r="Q26">
        <v>18</v>
      </c>
      <c r="R26" s="130">
        <v>1</v>
      </c>
      <c r="S26" s="123">
        <v>18</v>
      </c>
      <c r="T26" s="123">
        <v>30</v>
      </c>
      <c r="U26">
        <v>3.6</v>
      </c>
      <c r="V26" t="s">
        <v>885</v>
      </c>
      <c r="W26" t="str">
        <f t="shared" si="3"/>
        <v>Oakes P 5-1-18-1,</v>
      </c>
    </row>
    <row r="27" spans="1:25" x14ac:dyDescent="0.15">
      <c r="A27">
        <v>26</v>
      </c>
      <c r="B27">
        <f>MATCH(A27,Bowling!$CS$5:$CS$44,0)</f>
        <v>36</v>
      </c>
      <c r="C27" t="str">
        <f ca="1">OFFSET(Bowling!$B$4,BowlAves!B27,0)</f>
        <v>Worthington R</v>
      </c>
      <c r="D27" s="84">
        <f t="array" aca="1" ref="D27:K27" ca="1">OFFSET(Bowling!$CG$4,BowlAves!B27,0,1,8)</f>
        <v>2</v>
      </c>
      <c r="E27" s="79">
        <f ca="1"/>
        <v>0</v>
      </c>
      <c r="F27" s="79">
        <f ca="1"/>
        <v>19</v>
      </c>
      <c r="G27" s="79">
        <f ca="1"/>
        <v>0</v>
      </c>
      <c r="H27" s="83" t="str">
        <f ca="1"/>
        <v/>
      </c>
      <c r="I27" s="80" t="str">
        <f ca="1"/>
        <v/>
      </c>
      <c r="J27" s="80">
        <f ca="1"/>
        <v>9.5</v>
      </c>
      <c r="K27" s="87" t="str">
        <f ca="1"/>
        <v>0-19</v>
      </c>
      <c r="M27">
        <v>8</v>
      </c>
      <c r="N27" t="s">
        <v>186</v>
      </c>
      <c r="O27">
        <v>2</v>
      </c>
      <c r="P27">
        <v>0</v>
      </c>
      <c r="Q27">
        <v>18</v>
      </c>
      <c r="R27" s="130">
        <v>1</v>
      </c>
      <c r="S27" s="123">
        <v>18</v>
      </c>
      <c r="T27" s="123">
        <v>12</v>
      </c>
      <c r="U27">
        <v>9</v>
      </c>
      <c r="V27" t="s">
        <v>885</v>
      </c>
      <c r="W27" t="str">
        <f t="shared" si="3"/>
        <v>Odeneal R 2-0-18-1,</v>
      </c>
    </row>
    <row r="28" spans="1:25" x14ac:dyDescent="0.15">
      <c r="A28">
        <v>27</v>
      </c>
      <c r="B28">
        <f>MATCH(A28,Bowling!$CS$5:$CS$44,0)</f>
        <v>4</v>
      </c>
      <c r="C28" t="str">
        <f ca="1">OFFSET(Bowling!$B$4,BowlAves!B28,0)</f>
        <v>Coloe A</v>
      </c>
      <c r="D28" s="84">
        <f t="array" aca="1" ref="D28:K28" ca="1">OFFSET(Bowling!$CG$4,BowlAves!B28,0,1,8)</f>
        <v>3</v>
      </c>
      <c r="E28" s="79">
        <f ca="1"/>
        <v>1</v>
      </c>
      <c r="F28" s="79">
        <f ca="1"/>
        <v>15</v>
      </c>
      <c r="G28" s="79">
        <f ca="1"/>
        <v>0</v>
      </c>
      <c r="H28" s="83" t="str">
        <f ca="1"/>
        <v/>
      </c>
      <c r="I28" s="80" t="str">
        <f ca="1"/>
        <v/>
      </c>
      <c r="J28" s="80">
        <f ca="1"/>
        <v>5</v>
      </c>
      <c r="K28" s="87" t="str">
        <f ca="1"/>
        <v>0-15</v>
      </c>
      <c r="M28">
        <v>25</v>
      </c>
      <c r="N28" t="s">
        <v>861</v>
      </c>
      <c r="O28">
        <v>1</v>
      </c>
      <c r="P28">
        <v>0</v>
      </c>
      <c r="Q28">
        <v>15</v>
      </c>
      <c r="R28" s="130">
        <v>0</v>
      </c>
      <c r="S28" t="s">
        <v>898</v>
      </c>
      <c r="T28" t="s">
        <v>898</v>
      </c>
      <c r="U28">
        <v>15</v>
      </c>
      <c r="V28" t="s">
        <v>900</v>
      </c>
      <c r="W28" t="str">
        <f t="shared" si="3"/>
        <v>Owen B 1-0-15-0,</v>
      </c>
    </row>
    <row r="29" spans="1:25" x14ac:dyDescent="0.15">
      <c r="A29">
        <v>28</v>
      </c>
      <c r="B29">
        <f>MATCH(A29,Bowling!$CS$5:$CS$44,0)</f>
        <v>13</v>
      </c>
      <c r="C29" t="str">
        <f ca="1">OFFSET(Bowling!$B$4,BowlAves!B29,0)</f>
        <v>Heckroodt P</v>
      </c>
      <c r="D29" s="84">
        <f t="array" aca="1" ref="D29:K29" ca="1">OFFSET(Bowling!$CG$4,BowlAves!B29,0,1,8)</f>
        <v>3</v>
      </c>
      <c r="E29" s="79">
        <f ca="1"/>
        <v>0</v>
      </c>
      <c r="F29" s="79">
        <f ca="1"/>
        <v>11</v>
      </c>
      <c r="G29" s="79">
        <f ca="1"/>
        <v>0</v>
      </c>
      <c r="H29" s="83" t="str">
        <f ca="1"/>
        <v/>
      </c>
      <c r="I29" s="80" t="str">
        <f ca="1"/>
        <v/>
      </c>
      <c r="J29" s="80">
        <f ca="1"/>
        <v>3.6666666666666665</v>
      </c>
      <c r="K29" s="87" t="str">
        <f ca="1"/>
        <v>0-11</v>
      </c>
      <c r="M29">
        <v>21</v>
      </c>
      <c r="N29" t="s">
        <v>198</v>
      </c>
      <c r="O29">
        <v>5</v>
      </c>
      <c r="P29">
        <v>0</v>
      </c>
      <c r="Q29">
        <v>36</v>
      </c>
      <c r="R29" s="130">
        <v>1</v>
      </c>
      <c r="S29">
        <v>36</v>
      </c>
      <c r="T29">
        <v>30</v>
      </c>
      <c r="U29">
        <v>7.2</v>
      </c>
      <c r="V29" t="s">
        <v>895</v>
      </c>
      <c r="W29" t="str">
        <f t="shared" si="3"/>
        <v>Simmons M 5-0-36-1,</v>
      </c>
    </row>
    <row r="30" spans="1:25" x14ac:dyDescent="0.15">
      <c r="A30">
        <v>29</v>
      </c>
      <c r="B30">
        <f>MATCH(A30,Bowling!$CS$5:$CS$44,0)</f>
        <v>8</v>
      </c>
      <c r="C30" t="str">
        <f ca="1">OFFSET(Bowling!$B$4,BowlAves!B30,0)</f>
        <v>Davis M</v>
      </c>
      <c r="D30" s="84">
        <f t="array" aca="1" ref="D30:K30" ca="1">OFFSET(Bowling!$CG$4,BowlAves!B30,0,1,8)</f>
        <v>5</v>
      </c>
      <c r="E30" s="79">
        <f ca="1"/>
        <v>0</v>
      </c>
      <c r="F30" s="79">
        <f ca="1"/>
        <v>40</v>
      </c>
      <c r="G30" s="79">
        <f ca="1"/>
        <v>0</v>
      </c>
      <c r="H30" s="83" t="str">
        <f ca="1"/>
        <v/>
      </c>
      <c r="I30" s="80" t="str">
        <f ca="1"/>
        <v/>
      </c>
      <c r="J30" s="80">
        <f ca="1"/>
        <v>8</v>
      </c>
      <c r="K30" s="87" t="str">
        <f ca="1"/>
        <v>0-40</v>
      </c>
      <c r="M30">
        <v>13</v>
      </c>
      <c r="N30" t="s">
        <v>333</v>
      </c>
      <c r="O30">
        <v>34</v>
      </c>
      <c r="P30">
        <v>2</v>
      </c>
      <c r="Q30">
        <v>194</v>
      </c>
      <c r="R30" s="130">
        <v>8</v>
      </c>
      <c r="S30">
        <v>24.25</v>
      </c>
      <c r="T30">
        <v>25.5</v>
      </c>
      <c r="U30">
        <v>5.71</v>
      </c>
      <c r="V30" t="s">
        <v>886</v>
      </c>
      <c r="W30" t="str">
        <f t="shared" si="3"/>
        <v>Wiseman R 34-2-194-8,</v>
      </c>
    </row>
    <row r="31" spans="1:25" x14ac:dyDescent="0.15">
      <c r="A31">
        <v>30</v>
      </c>
      <c r="B31">
        <f>MATCH(A31,Bowling!$CS$5:$CS$44,0)</f>
        <v>12</v>
      </c>
      <c r="C31" t="str">
        <f ca="1">OFFSET(Bowling!$B$4,BowlAves!B31,0)</f>
        <v>Hawksworth A</v>
      </c>
      <c r="D31" s="84">
        <f t="array" aca="1" ref="D31:K31" ca="1">OFFSET(Bowling!$CG$4,BowlAves!B31,0,1,8)</f>
        <v>0</v>
      </c>
      <c r="E31" s="79">
        <f ca="1"/>
        <v>0</v>
      </c>
      <c r="F31" s="79">
        <f ca="1"/>
        <v>0</v>
      </c>
      <c r="G31" s="79">
        <f ca="1"/>
        <v>0</v>
      </c>
      <c r="H31" s="83" t="str">
        <f ca="1"/>
        <v/>
      </c>
      <c r="I31" s="80" t="str">
        <f ca="1"/>
        <v/>
      </c>
      <c r="J31" s="80" t="str">
        <f ca="1"/>
        <v/>
      </c>
      <c r="K31" s="87" t="str">
        <f ca="1"/>
        <v/>
      </c>
      <c r="M31">
        <v>22</v>
      </c>
      <c r="N31" t="s">
        <v>169</v>
      </c>
      <c r="O31">
        <v>20.399999999999999</v>
      </c>
      <c r="P31">
        <v>1</v>
      </c>
      <c r="Q31">
        <v>127</v>
      </c>
      <c r="R31" s="130">
        <v>3</v>
      </c>
      <c r="S31">
        <v>42.333333333333336</v>
      </c>
      <c r="T31">
        <v>41.333333333333336</v>
      </c>
      <c r="U31">
        <v>6.145161290322581</v>
      </c>
      <c r="V31" t="s">
        <v>896</v>
      </c>
      <c r="W31" t="str">
        <f t="shared" si="3"/>
        <v>Woodhouse M 20.4-1-127-3,</v>
      </c>
    </row>
    <row r="32" spans="1:25" x14ac:dyDescent="0.15">
      <c r="A32">
        <v>31</v>
      </c>
      <c r="B32">
        <f>MATCH(A32,Bowling!$CS$5:$CS$44,0)</f>
        <v>14</v>
      </c>
      <c r="C32" t="str">
        <f ca="1">OFFSET(Bowling!$B$4,BowlAves!B32,0)</f>
        <v>Howe V</v>
      </c>
      <c r="D32" s="84">
        <f t="array" aca="1" ref="D32:K32" ca="1">OFFSET(Bowling!$CG$4,BowlAves!B32,0,1,8)</f>
        <v>0</v>
      </c>
      <c r="E32" s="79">
        <f ca="1"/>
        <v>0</v>
      </c>
      <c r="F32" s="79">
        <f ca="1"/>
        <v>0</v>
      </c>
      <c r="G32" s="79">
        <f ca="1"/>
        <v>0</v>
      </c>
      <c r="H32" s="83" t="str">
        <f ca="1"/>
        <v/>
      </c>
      <c r="I32" s="80" t="str">
        <f ca="1"/>
        <v/>
      </c>
      <c r="J32" s="80" t="str">
        <f ca="1"/>
        <v/>
      </c>
      <c r="K32" s="87" t="str">
        <f ca="1"/>
        <v/>
      </c>
      <c r="M32">
        <v>26</v>
      </c>
      <c r="N32" t="s">
        <v>170</v>
      </c>
      <c r="O32">
        <v>2</v>
      </c>
      <c r="P32">
        <v>0</v>
      </c>
      <c r="Q32">
        <v>19</v>
      </c>
      <c r="R32" s="130">
        <v>0</v>
      </c>
      <c r="S32" t="s">
        <v>898</v>
      </c>
      <c r="T32" t="s">
        <v>898</v>
      </c>
      <c r="U32">
        <v>9.5</v>
      </c>
      <c r="V32" t="s">
        <v>899</v>
      </c>
      <c r="W32" t="str">
        <f t="shared" si="3"/>
        <v>Worthington R 2-0-19-0,</v>
      </c>
    </row>
    <row r="33" spans="1:11" x14ac:dyDescent="0.15">
      <c r="A33">
        <v>32</v>
      </c>
      <c r="B33">
        <f>MATCH(A33,Bowling!$CS$5:$CS$44,0)</f>
        <v>15</v>
      </c>
      <c r="C33" t="str">
        <f ca="1">OFFSET(Bowling!$B$4,BowlAves!B33,0)</f>
        <v>Lashley W</v>
      </c>
      <c r="D33" s="84">
        <f t="array" aca="1" ref="D33:K33" ca="1">OFFSET(Bowling!$CG$4,BowlAves!B33,0,1,8)</f>
        <v>0</v>
      </c>
      <c r="E33" s="79">
        <f ca="1"/>
        <v>0</v>
      </c>
      <c r="F33" s="79">
        <f ca="1"/>
        <v>0</v>
      </c>
      <c r="G33" s="79">
        <f ca="1"/>
        <v>0</v>
      </c>
      <c r="H33" s="83" t="str">
        <f ca="1"/>
        <v/>
      </c>
      <c r="I33" s="80" t="str">
        <f ca="1"/>
        <v/>
      </c>
      <c r="J33" s="80" t="str">
        <f ca="1"/>
        <v/>
      </c>
      <c r="K33" s="87" t="str">
        <f ca="1"/>
        <v/>
      </c>
    </row>
    <row r="34" spans="1:11" x14ac:dyDescent="0.15">
      <c r="A34">
        <v>33</v>
      </c>
      <c r="B34">
        <f>MATCH(A34,Bowling!$CS$5:$CS$44,0)</f>
        <v>16</v>
      </c>
      <c r="C34" t="str">
        <f ca="1">OFFSET(Bowling!$B$4,BowlAves!B34,0)</f>
        <v>Leadley J</v>
      </c>
      <c r="D34" s="84">
        <f t="array" aca="1" ref="D34:K34" ca="1">OFFSET(Bowling!$CG$4,BowlAves!B34,0,1,8)</f>
        <v>0</v>
      </c>
      <c r="E34" s="79">
        <f ca="1"/>
        <v>0</v>
      </c>
      <c r="F34" s="79">
        <f ca="1"/>
        <v>0</v>
      </c>
      <c r="G34" s="79">
        <f ca="1"/>
        <v>0</v>
      </c>
      <c r="H34" s="83" t="str">
        <f ca="1"/>
        <v/>
      </c>
      <c r="I34" s="80" t="str">
        <f ca="1"/>
        <v/>
      </c>
      <c r="J34" s="80" t="str">
        <f ca="1"/>
        <v/>
      </c>
      <c r="K34" s="87" t="str">
        <f ca="1"/>
        <v/>
      </c>
    </row>
    <row r="35" spans="1:11" x14ac:dyDescent="0.15">
      <c r="A35">
        <v>34</v>
      </c>
      <c r="B35">
        <f>MATCH(A35,Bowling!$CS$5:$CS$44,0)</f>
        <v>23</v>
      </c>
      <c r="C35" t="str">
        <f ca="1">OFFSET(Bowling!$B$4,BowlAves!B35,0)</f>
        <v>Morris D</v>
      </c>
      <c r="D35" s="84">
        <f t="array" aca="1" ref="D35:K35" ca="1">OFFSET(Bowling!$CG$4,BowlAves!B35,0,1,8)</f>
        <v>0</v>
      </c>
      <c r="E35" s="79">
        <f ca="1"/>
        <v>0</v>
      </c>
      <c r="F35" s="79">
        <f ca="1"/>
        <v>0</v>
      </c>
      <c r="G35" s="79">
        <f ca="1"/>
        <v>0</v>
      </c>
      <c r="H35" s="83" t="str">
        <f ca="1"/>
        <v/>
      </c>
      <c r="I35" s="80" t="str">
        <f ca="1"/>
        <v/>
      </c>
      <c r="J35" s="80" t="str">
        <f ca="1"/>
        <v/>
      </c>
      <c r="K35" s="87" t="str">
        <f ca="1"/>
        <v/>
      </c>
    </row>
    <row r="36" spans="1:11" x14ac:dyDescent="0.15">
      <c r="A36">
        <v>35</v>
      </c>
      <c r="B36">
        <f>MATCH(A36,Bowling!$CS$5:$CS$44,0)</f>
        <v>28</v>
      </c>
      <c r="C36" t="str">
        <f ca="1">OFFSET(Bowling!$B$4,BowlAves!B36,0)</f>
        <v>Patel N</v>
      </c>
      <c r="D36" s="84">
        <f t="array" aca="1" ref="D36:K36" ca="1">OFFSET(Bowling!$CG$4,BowlAves!B36,0,1,8)</f>
        <v>0</v>
      </c>
      <c r="E36" s="79">
        <f ca="1"/>
        <v>0</v>
      </c>
      <c r="F36" s="79">
        <f ca="1"/>
        <v>0</v>
      </c>
      <c r="G36" s="79">
        <f ca="1"/>
        <v>0</v>
      </c>
      <c r="H36" s="83" t="str">
        <f ca="1"/>
        <v/>
      </c>
      <c r="I36" s="80" t="str">
        <f ca="1"/>
        <v/>
      </c>
      <c r="J36" s="80" t="str">
        <f ca="1"/>
        <v/>
      </c>
      <c r="K36" s="87" t="str">
        <f ca="1"/>
        <v/>
      </c>
    </row>
    <row r="37" spans="1:11" x14ac:dyDescent="0.15">
      <c r="A37">
        <v>36</v>
      </c>
      <c r="B37">
        <f>MATCH(A37,Bowling!$CS$5:$CS$44,0)</f>
        <v>29</v>
      </c>
      <c r="C37" t="str">
        <f ca="1">OFFSET(Bowling!$B$4,BowlAves!B37,0)</f>
        <v>Penfold N</v>
      </c>
      <c r="D37" s="84">
        <f t="array" aca="1" ref="D37:K37" ca="1">OFFSET(Bowling!$CG$4,BowlAves!B37,0,1,8)</f>
        <v>0</v>
      </c>
      <c r="E37" s="79">
        <f ca="1"/>
        <v>0</v>
      </c>
      <c r="F37" s="79">
        <f ca="1"/>
        <v>0</v>
      </c>
      <c r="G37" s="79">
        <f ca="1"/>
        <v>0</v>
      </c>
      <c r="H37" s="83" t="str">
        <f ca="1"/>
        <v/>
      </c>
      <c r="I37" s="80" t="str">
        <f ca="1"/>
        <v/>
      </c>
      <c r="J37" s="80" t="str">
        <f ca="1"/>
        <v/>
      </c>
      <c r="K37" s="87" t="str">
        <f ca="1"/>
        <v/>
      </c>
    </row>
    <row r="38" spans="1:11" x14ac:dyDescent="0.15">
      <c r="A38">
        <v>37</v>
      </c>
      <c r="B38">
        <f>MATCH(A38,Bowling!$CS$5:$CS$44,0)</f>
        <v>30</v>
      </c>
      <c r="C38" t="str">
        <f ca="1">OFFSET(Bowling!$B$4,BowlAves!B38,0)</f>
        <v>Sharpe D</v>
      </c>
      <c r="D38" s="84">
        <f t="array" aca="1" ref="D38:K38" ca="1">OFFSET(Bowling!$CG$4,BowlAves!B38,0,1,8)</f>
        <v>0</v>
      </c>
      <c r="E38" s="79">
        <f ca="1"/>
        <v>0</v>
      </c>
      <c r="F38" s="79">
        <f ca="1"/>
        <v>0</v>
      </c>
      <c r="G38" s="79">
        <f ca="1"/>
        <v>0</v>
      </c>
      <c r="H38" s="83" t="str">
        <f ca="1"/>
        <v/>
      </c>
      <c r="I38" s="80" t="str">
        <f ca="1"/>
        <v/>
      </c>
      <c r="J38" s="80" t="str">
        <f ca="1"/>
        <v/>
      </c>
      <c r="K38" s="87" t="str">
        <f ca="1"/>
        <v/>
      </c>
    </row>
    <row r="39" spans="1:11" x14ac:dyDescent="0.15">
      <c r="A39">
        <v>38</v>
      </c>
      <c r="B39">
        <f>MATCH(A39,Bowling!$CS$5:$CS$44,0)</f>
        <v>31</v>
      </c>
      <c r="C39" t="str">
        <f ca="1">OFFSET(Bowling!$B$4,BowlAves!B39,0)</f>
        <v>Shewan D</v>
      </c>
      <c r="D39" s="84">
        <f t="array" aca="1" ref="D39:K39" ca="1">OFFSET(Bowling!$CG$4,BowlAves!B39,0,1,8)</f>
        <v>0</v>
      </c>
      <c r="E39" s="79">
        <f ca="1"/>
        <v>0</v>
      </c>
      <c r="F39" s="79">
        <f ca="1"/>
        <v>0</v>
      </c>
      <c r="G39" s="79">
        <f ca="1"/>
        <v>0</v>
      </c>
      <c r="H39" s="83" t="str">
        <f ca="1"/>
        <v/>
      </c>
      <c r="I39" s="80" t="str">
        <f ca="1"/>
        <v/>
      </c>
      <c r="J39" s="80" t="str">
        <f ca="1"/>
        <v/>
      </c>
      <c r="K39" s="87" t="str">
        <f ca="1"/>
        <v/>
      </c>
    </row>
    <row r="40" spans="1:11" x14ac:dyDescent="0.15">
      <c r="A40">
        <v>39</v>
      </c>
      <c r="B40">
        <f>MATCH(A40,Bowling!$CS$5:$CS$44,0)</f>
        <v>39</v>
      </c>
      <c r="C40">
        <f ca="1">OFFSET(Bowling!$B$4,BowlAves!B40,0)</f>
        <v>0</v>
      </c>
      <c r="D40" s="84">
        <f t="array" aca="1" ref="D40:K40" ca="1">OFFSET(Bowling!$CG$4,BowlAves!B40,0,1,8)</f>
        <v>0</v>
      </c>
      <c r="E40" s="79">
        <f ca="1"/>
        <v>0</v>
      </c>
      <c r="F40" s="79">
        <f ca="1"/>
        <v>0</v>
      </c>
      <c r="G40" s="79">
        <f ca="1"/>
        <v>0</v>
      </c>
      <c r="H40" s="83" t="str">
        <f ca="1"/>
        <v/>
      </c>
      <c r="I40" s="80" t="str">
        <f ca="1"/>
        <v/>
      </c>
      <c r="J40" s="80" t="str">
        <f ca="1"/>
        <v/>
      </c>
      <c r="K40" s="87" t="str">
        <f ca="1"/>
        <v/>
      </c>
    </row>
    <row r="41" spans="1:11" x14ac:dyDescent="0.15">
      <c r="A41">
        <v>40</v>
      </c>
      <c r="B41">
        <f>MATCH(A41,Bowling!$CS$5:$CS$44,0)</f>
        <v>40</v>
      </c>
      <c r="C41">
        <f ca="1">OFFSET(Bowling!$B$4,BowlAves!B41,0)</f>
        <v>0</v>
      </c>
      <c r="D41" s="84">
        <f t="array" aca="1" ref="D41:K41" ca="1">OFFSET(Bowling!$CG$4,BowlAves!B41,0,1,8)</f>
        <v>0</v>
      </c>
      <c r="E41" s="79">
        <f ca="1"/>
        <v>0</v>
      </c>
      <c r="F41" s="79">
        <f ca="1"/>
        <v>0</v>
      </c>
      <c r="G41" s="79">
        <f ca="1"/>
        <v>0</v>
      </c>
      <c r="H41" s="83" t="str">
        <f ca="1"/>
        <v/>
      </c>
      <c r="I41" s="80" t="str">
        <f ca="1"/>
        <v/>
      </c>
      <c r="J41" s="80" t="str">
        <f ca="1"/>
        <v/>
      </c>
      <c r="K41" s="87" t="str">
        <f ca="1"/>
        <v/>
      </c>
    </row>
    <row r="42" spans="1:11" x14ac:dyDescent="0.15">
      <c r="A42">
        <v>41</v>
      </c>
      <c r="B42" t="e">
        <f>MATCH(A42,Bowling!$CS$5:$CS$44,0)</f>
        <v>#N/A</v>
      </c>
      <c r="C42" t="e">
        <f ca="1">OFFSET(Bowling!$B$4,BowlAves!B42,0)</f>
        <v>#N/A</v>
      </c>
      <c r="D42" s="84" t="e">
        <f t="array" aca="1" ref="D42:K42" ca="1">OFFSET(Bowling!$CG$4,BowlAves!B42,0,1,8)</f>
        <v>#N/A</v>
      </c>
      <c r="E42" s="79" t="e">
        <f ca="1"/>
        <v>#N/A</v>
      </c>
      <c r="F42" s="79" t="e">
        <f ca="1"/>
        <v>#N/A</v>
      </c>
      <c r="G42" s="79" t="e">
        <f ca="1"/>
        <v>#N/A</v>
      </c>
      <c r="H42" s="83" t="e">
        <f ca="1"/>
        <v>#N/A</v>
      </c>
      <c r="I42" s="80" t="e">
        <f ca="1"/>
        <v>#N/A</v>
      </c>
      <c r="J42" s="80" t="e">
        <f ca="1"/>
        <v>#N/A</v>
      </c>
      <c r="K42" s="87" t="e">
        <f ca="1"/>
        <v>#N/A</v>
      </c>
    </row>
    <row r="43" spans="1:11" x14ac:dyDescent="0.15">
      <c r="A43">
        <v>42</v>
      </c>
      <c r="B43" t="e">
        <f>MATCH(A43,Bowling!$CS$5:$CS$44,0)</f>
        <v>#N/A</v>
      </c>
      <c r="C43" t="e">
        <f ca="1">OFFSET(Bowling!$B$4,BowlAves!B43,0)</f>
        <v>#N/A</v>
      </c>
      <c r="D43" s="84" t="e">
        <f t="array" aca="1" ref="D43:K43" ca="1">OFFSET(Bowling!$CG$4,BowlAves!B43,0,1,8)</f>
        <v>#N/A</v>
      </c>
      <c r="E43" s="79" t="e">
        <f ca="1"/>
        <v>#N/A</v>
      </c>
      <c r="F43" s="79" t="e">
        <f ca="1"/>
        <v>#N/A</v>
      </c>
      <c r="G43" s="79" t="e">
        <f ca="1"/>
        <v>#N/A</v>
      </c>
      <c r="H43" s="83" t="e">
        <f ca="1"/>
        <v>#N/A</v>
      </c>
      <c r="I43" s="80" t="e">
        <f ca="1"/>
        <v>#N/A</v>
      </c>
      <c r="J43" s="80" t="e">
        <f ca="1"/>
        <v>#N/A</v>
      </c>
      <c r="K43" s="87" t="e">
        <f ca="1"/>
        <v>#N/A</v>
      </c>
    </row>
    <row r="44" spans="1:11" x14ac:dyDescent="0.15">
      <c r="A44">
        <v>43</v>
      </c>
      <c r="B44" t="e">
        <f>MATCH(A44,Bowling!$CS$5:$CS$44,0)</f>
        <v>#N/A</v>
      </c>
      <c r="C44" t="e">
        <f ca="1">OFFSET(Bowling!$B$4,BowlAves!B44,0)</f>
        <v>#N/A</v>
      </c>
      <c r="D44" s="84" t="e">
        <f t="array" aca="1" ref="D44:K44" ca="1">OFFSET(Bowling!$CG$4,BowlAves!B44,0,1,8)</f>
        <v>#N/A</v>
      </c>
      <c r="E44" s="79" t="e">
        <f ca="1"/>
        <v>#N/A</v>
      </c>
      <c r="F44" s="79" t="e">
        <f ca="1"/>
        <v>#N/A</v>
      </c>
      <c r="G44" s="79" t="e">
        <f ca="1"/>
        <v>#N/A</v>
      </c>
      <c r="H44" s="83" t="e">
        <f ca="1"/>
        <v>#N/A</v>
      </c>
      <c r="I44" s="80" t="e">
        <f ca="1"/>
        <v>#N/A</v>
      </c>
      <c r="J44" s="80" t="e">
        <f ca="1"/>
        <v>#N/A</v>
      </c>
      <c r="K44" s="87" t="e">
        <f ca="1"/>
        <v>#N/A</v>
      </c>
    </row>
    <row r="45" spans="1:11" x14ac:dyDescent="0.15">
      <c r="A45">
        <v>44</v>
      </c>
      <c r="B45" t="e">
        <f>MATCH(A45,Bowling!$CS$5:$CS$44,0)</f>
        <v>#N/A</v>
      </c>
      <c r="C45" t="e">
        <f ca="1">OFFSET(Bowling!$B$4,BowlAves!B45,0)</f>
        <v>#N/A</v>
      </c>
      <c r="D45" s="84" t="e">
        <f t="array" aca="1" ref="D45:K45" ca="1">OFFSET(Bowling!$CG$4,BowlAves!B45,0,1,8)</f>
        <v>#N/A</v>
      </c>
      <c r="E45" s="79" t="e">
        <f ca="1"/>
        <v>#N/A</v>
      </c>
      <c r="F45" s="79" t="e">
        <f ca="1"/>
        <v>#N/A</v>
      </c>
      <c r="G45" s="79" t="e">
        <f ca="1"/>
        <v>#N/A</v>
      </c>
      <c r="H45" s="83" t="e">
        <f ca="1"/>
        <v>#N/A</v>
      </c>
      <c r="I45" s="80" t="e">
        <f ca="1"/>
        <v>#N/A</v>
      </c>
      <c r="J45" s="80" t="e">
        <f ca="1"/>
        <v>#N/A</v>
      </c>
      <c r="K45" s="87" t="e">
        <f ca="1"/>
        <v>#N/A</v>
      </c>
    </row>
    <row r="46" spans="1:11" x14ac:dyDescent="0.15">
      <c r="A46">
        <v>45</v>
      </c>
      <c r="B46" t="e">
        <f>MATCH(A46,Bowling!$CS$5:$CS$44,0)</f>
        <v>#N/A</v>
      </c>
      <c r="C46" t="e">
        <f ca="1">OFFSET(Bowling!$B$4,BowlAves!B46,0)</f>
        <v>#N/A</v>
      </c>
      <c r="D46" s="84" t="e">
        <f t="array" aca="1" ref="D46:K46" ca="1">OFFSET(Bowling!$CG$4,BowlAves!B46,0,1,8)</f>
        <v>#N/A</v>
      </c>
      <c r="E46" s="79" t="e">
        <f ca="1"/>
        <v>#N/A</v>
      </c>
      <c r="F46" s="79" t="e">
        <f ca="1"/>
        <v>#N/A</v>
      </c>
      <c r="G46" s="79" t="e">
        <f ca="1"/>
        <v>#N/A</v>
      </c>
      <c r="H46" s="83" t="e">
        <f ca="1"/>
        <v>#N/A</v>
      </c>
      <c r="I46" s="80" t="e">
        <f ca="1"/>
        <v>#N/A</v>
      </c>
      <c r="J46" s="80" t="e">
        <f ca="1"/>
        <v>#N/A</v>
      </c>
      <c r="K46" s="87" t="e">
        <f ca="1"/>
        <v>#N/A</v>
      </c>
    </row>
    <row r="47" spans="1:11" x14ac:dyDescent="0.15">
      <c r="A47">
        <v>46</v>
      </c>
      <c r="B47" t="e">
        <f>MATCH(A47,Bowling!$CS$5:$CS$44,0)</f>
        <v>#N/A</v>
      </c>
      <c r="C47" t="e">
        <f ca="1">OFFSET(Bowling!$B$4,BowlAves!B47,0)</f>
        <v>#N/A</v>
      </c>
      <c r="D47" s="84" t="e">
        <f t="array" aca="1" ref="D47:K47" ca="1">OFFSET(Bowling!$CG$4,BowlAves!B47,0,1,8)</f>
        <v>#N/A</v>
      </c>
      <c r="E47" s="79" t="e">
        <f ca="1"/>
        <v>#N/A</v>
      </c>
      <c r="F47" s="79" t="e">
        <f ca="1"/>
        <v>#N/A</v>
      </c>
      <c r="G47" s="79" t="e">
        <f ca="1"/>
        <v>#N/A</v>
      </c>
      <c r="H47" s="83" t="e">
        <f ca="1"/>
        <v>#N/A</v>
      </c>
      <c r="I47" s="80" t="e">
        <f ca="1"/>
        <v>#N/A</v>
      </c>
      <c r="J47" s="80" t="e">
        <f ca="1"/>
        <v>#N/A</v>
      </c>
      <c r="K47" s="87" t="e">
        <f ca="1"/>
        <v>#N/A</v>
      </c>
    </row>
    <row r="48" spans="1:11" x14ac:dyDescent="0.15">
      <c r="A48">
        <v>47</v>
      </c>
      <c r="B48" t="e">
        <f>MATCH(A48,Bowling!$CS$5:$CS$44,0)</f>
        <v>#N/A</v>
      </c>
      <c r="C48" t="e">
        <f ca="1">OFFSET(Bowling!$B$4,BowlAves!B48,0)</f>
        <v>#N/A</v>
      </c>
      <c r="D48" s="84" t="e">
        <f t="array" aca="1" ref="D48:K48" ca="1">OFFSET(Bowling!$CG$4,BowlAves!B48,0,1,8)</f>
        <v>#N/A</v>
      </c>
      <c r="E48" s="79" t="e">
        <f ca="1"/>
        <v>#N/A</v>
      </c>
      <c r="F48" s="79" t="e">
        <f ca="1"/>
        <v>#N/A</v>
      </c>
      <c r="G48" s="79" t="e">
        <f ca="1"/>
        <v>#N/A</v>
      </c>
      <c r="H48" s="83" t="e">
        <f ca="1"/>
        <v>#N/A</v>
      </c>
      <c r="I48" s="80" t="e">
        <f ca="1"/>
        <v>#N/A</v>
      </c>
      <c r="J48" s="80" t="e">
        <f ca="1"/>
        <v>#N/A</v>
      </c>
      <c r="K48" s="87" t="e">
        <f ca="1"/>
        <v>#N/A</v>
      </c>
    </row>
    <row r="49" spans="1:11" x14ac:dyDescent="0.15">
      <c r="A49">
        <v>48</v>
      </c>
      <c r="B49" t="e">
        <f>MATCH(A49,Bowling!$CS$5:$CS$44,0)</f>
        <v>#N/A</v>
      </c>
      <c r="C49" t="e">
        <f ca="1">OFFSET(Bowling!$B$4,BowlAves!B49,0)</f>
        <v>#N/A</v>
      </c>
      <c r="D49" s="84" t="e">
        <f t="array" aca="1" ref="D49:K49" ca="1">OFFSET(Bowling!$CG$4,BowlAves!B49,0,1,8)</f>
        <v>#N/A</v>
      </c>
      <c r="E49" s="79" t="e">
        <f ca="1"/>
        <v>#N/A</v>
      </c>
      <c r="F49" s="79" t="e">
        <f ca="1"/>
        <v>#N/A</v>
      </c>
      <c r="G49" s="79" t="e">
        <f ca="1"/>
        <v>#N/A</v>
      </c>
      <c r="H49" s="83" t="e">
        <f ca="1"/>
        <v>#N/A</v>
      </c>
      <c r="I49" s="80" t="e">
        <f ca="1"/>
        <v>#N/A</v>
      </c>
      <c r="J49" s="80" t="e">
        <f ca="1"/>
        <v>#N/A</v>
      </c>
      <c r="K49" s="87" t="e">
        <f ca="1"/>
        <v>#N/A</v>
      </c>
    </row>
    <row r="50" spans="1:11" x14ac:dyDescent="0.15">
      <c r="A50">
        <v>49</v>
      </c>
      <c r="B50" t="e">
        <f>MATCH(A50,Bowling!$CS$5:$CS$44,0)</f>
        <v>#N/A</v>
      </c>
      <c r="C50" t="e">
        <f ca="1">OFFSET(Bowling!$B$4,BowlAves!B50,0)</f>
        <v>#N/A</v>
      </c>
      <c r="D50" s="84" t="e">
        <f t="array" aca="1" ref="D50:K50" ca="1">OFFSET(Bowling!$CG$4,BowlAves!B50,0,1,8)</f>
        <v>#N/A</v>
      </c>
      <c r="E50" s="79" t="e">
        <f ca="1"/>
        <v>#N/A</v>
      </c>
      <c r="F50" s="79" t="e">
        <f ca="1"/>
        <v>#N/A</v>
      </c>
      <c r="G50" s="79" t="e">
        <f ca="1"/>
        <v>#N/A</v>
      </c>
      <c r="H50" s="83" t="e">
        <f ca="1"/>
        <v>#N/A</v>
      </c>
      <c r="I50" s="80" t="e">
        <f ca="1"/>
        <v>#N/A</v>
      </c>
      <c r="J50" s="80" t="e">
        <f ca="1"/>
        <v>#N/A</v>
      </c>
      <c r="K50" s="87" t="e">
        <f ca="1"/>
        <v>#N/A</v>
      </c>
    </row>
    <row r="51" spans="1:11" x14ac:dyDescent="0.15">
      <c r="A51">
        <v>50</v>
      </c>
      <c r="B51" t="e">
        <f>MATCH(A51,Bowling!$CS$5:$CS$44,0)</f>
        <v>#N/A</v>
      </c>
      <c r="C51" t="e">
        <f ca="1">OFFSET(Bowling!$B$4,BowlAves!B51,0)</f>
        <v>#N/A</v>
      </c>
      <c r="D51" s="84" t="e">
        <f t="array" aca="1" ref="D51:K51" ca="1">OFFSET(Bowling!$CG$4,BowlAves!B51,0,1,8)</f>
        <v>#N/A</v>
      </c>
      <c r="E51" s="79" t="e">
        <f ca="1"/>
        <v>#N/A</v>
      </c>
      <c r="F51" s="79" t="e">
        <f ca="1"/>
        <v>#N/A</v>
      </c>
      <c r="G51" s="79" t="e">
        <f ca="1"/>
        <v>#N/A</v>
      </c>
      <c r="H51" s="83" t="e">
        <f ca="1"/>
        <v>#N/A</v>
      </c>
      <c r="I51" s="80" t="e">
        <f ca="1"/>
        <v>#N/A</v>
      </c>
      <c r="J51" s="80" t="e">
        <f ca="1"/>
        <v>#N/A</v>
      </c>
      <c r="K51" s="87" t="e">
        <f ca="1"/>
        <v>#N/A</v>
      </c>
    </row>
    <row r="52" spans="1:11" x14ac:dyDescent="0.15">
      <c r="A52">
        <v>51</v>
      </c>
      <c r="B52" t="e">
        <f>MATCH(A52,Bowling!$CS$5:$CS$44,0)</f>
        <v>#N/A</v>
      </c>
      <c r="C52" t="e">
        <f ca="1">OFFSET(Bowling!$B$4,BowlAves!B52,0)</f>
        <v>#N/A</v>
      </c>
      <c r="D52" s="84" t="e">
        <f t="array" aca="1" ref="D52:K52" ca="1">OFFSET(Bowling!$CG$4,BowlAves!B52,0,1,8)</f>
        <v>#N/A</v>
      </c>
      <c r="E52" s="79" t="e">
        <f ca="1"/>
        <v>#N/A</v>
      </c>
      <c r="F52" s="79" t="e">
        <f ca="1"/>
        <v>#N/A</v>
      </c>
      <c r="G52" s="79" t="e">
        <f ca="1"/>
        <v>#N/A</v>
      </c>
      <c r="H52" s="83" t="e">
        <f ca="1"/>
        <v>#N/A</v>
      </c>
      <c r="I52" s="80" t="e">
        <f ca="1"/>
        <v>#N/A</v>
      </c>
      <c r="J52" s="80" t="e">
        <f ca="1"/>
        <v>#N/A</v>
      </c>
      <c r="K52" s="87" t="e">
        <f ca="1"/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93" customFormat="1" x14ac:dyDescent="0.15"/>
    <row r="2" spans="1:41" s="94" customFormat="1" x14ac:dyDescent="0.15"/>
    <row r="13" spans="1:41" s="6" customFormat="1" x14ac:dyDescent="0.15"/>
    <row r="14" spans="1:41" s="118" customFormat="1" x14ac:dyDescent="0.15">
      <c r="K14" s="122"/>
    </row>
    <row r="15" spans="1:41" x14ac:dyDescent="0.15">
      <c r="A15" s="92">
        <f t="array" ref="A15">SUM(IF(ISNA(A16:A26),0,A16:A26))</f>
        <v>0</v>
      </c>
      <c r="B15" s="92" t="e">
        <f t="shared" ref="B15:Q15" si="0">SUM(B16:B26)</f>
        <v>#N/A</v>
      </c>
      <c r="C15" s="92" t="e">
        <f t="shared" si="0"/>
        <v>#N/A</v>
      </c>
      <c r="D15" s="92" t="e">
        <f t="shared" si="0"/>
        <v>#N/A</v>
      </c>
      <c r="E15" s="92" t="e">
        <f t="shared" si="0"/>
        <v>#N/A</v>
      </c>
      <c r="F15" s="92" t="e">
        <f t="shared" si="0"/>
        <v>#N/A</v>
      </c>
      <c r="G15" s="92" t="e">
        <f t="shared" si="0"/>
        <v>#N/A</v>
      </c>
      <c r="H15" s="92" t="e">
        <f t="shared" si="0"/>
        <v>#N/A</v>
      </c>
      <c r="I15" s="92" t="e">
        <f t="shared" si="0"/>
        <v>#N/A</v>
      </c>
      <c r="J15" s="92" t="e">
        <f t="shared" si="0"/>
        <v>#N/A</v>
      </c>
      <c r="K15" s="92" t="e">
        <f t="shared" si="0"/>
        <v>#N/A</v>
      </c>
      <c r="L15" s="92" t="e">
        <f t="shared" si="0"/>
        <v>#N/A</v>
      </c>
      <c r="M15" s="92" t="e">
        <f t="shared" si="0"/>
        <v>#N/A</v>
      </c>
      <c r="N15" s="92" t="e">
        <f t="shared" si="0"/>
        <v>#N/A</v>
      </c>
      <c r="O15" s="92" t="e">
        <f t="shared" si="0"/>
        <v>#N/A</v>
      </c>
      <c r="P15" s="92" t="e">
        <f t="shared" si="0"/>
        <v>#N/A</v>
      </c>
      <c r="Q15" s="92" t="e">
        <f t="shared" si="0"/>
        <v>#N/A</v>
      </c>
      <c r="R15" s="92" t="e">
        <f t="shared" ref="R15:AG15" si="1">SUM(R16:R26)</f>
        <v>#N/A</v>
      </c>
      <c r="S15" s="92" t="e">
        <f t="shared" si="1"/>
        <v>#N/A</v>
      </c>
      <c r="T15" s="92" t="e">
        <f t="shared" si="1"/>
        <v>#N/A</v>
      </c>
      <c r="U15" s="92" t="e">
        <f t="shared" si="1"/>
        <v>#N/A</v>
      </c>
      <c r="V15" s="92" t="e">
        <f t="shared" si="1"/>
        <v>#N/A</v>
      </c>
      <c r="W15" s="92" t="e">
        <f t="shared" si="1"/>
        <v>#N/A</v>
      </c>
      <c r="X15" s="92" t="e">
        <f t="shared" si="1"/>
        <v>#N/A</v>
      </c>
      <c r="Y15" s="92" t="e">
        <f t="shared" si="1"/>
        <v>#N/A</v>
      </c>
      <c r="Z15" s="92" t="e">
        <f t="shared" si="1"/>
        <v>#N/A</v>
      </c>
      <c r="AA15" s="92" t="e">
        <f t="shared" si="1"/>
        <v>#N/A</v>
      </c>
      <c r="AB15" s="92" t="e">
        <f t="shared" si="1"/>
        <v>#N/A</v>
      </c>
      <c r="AC15" s="92" t="e">
        <f t="shared" si="1"/>
        <v>#N/A</v>
      </c>
      <c r="AD15" s="92" t="e">
        <f t="shared" si="1"/>
        <v>#N/A</v>
      </c>
      <c r="AE15" s="92" t="e">
        <f t="shared" si="1"/>
        <v>#N/A</v>
      </c>
      <c r="AF15" s="92" t="e">
        <f t="shared" si="1"/>
        <v>#N/A</v>
      </c>
      <c r="AG15" s="92" t="e">
        <f t="shared" si="1"/>
        <v>#N/A</v>
      </c>
      <c r="AH15" s="92" t="e">
        <f t="shared" ref="AH15:AO15" si="2">SUM(AH16:AH26)</f>
        <v>#N/A</v>
      </c>
      <c r="AI15" s="92" t="e">
        <f t="shared" si="2"/>
        <v>#N/A</v>
      </c>
      <c r="AJ15" s="92" t="e">
        <f t="shared" si="2"/>
        <v>#N/A</v>
      </c>
      <c r="AK15" s="92" t="e">
        <f t="shared" si="2"/>
        <v>#N/A</v>
      </c>
      <c r="AL15" s="92" t="e">
        <f t="shared" si="2"/>
        <v>#N/A</v>
      </c>
      <c r="AM15" s="92" t="e">
        <f t="shared" si="2"/>
        <v>#N/A</v>
      </c>
      <c r="AN15" s="92" t="e">
        <f t="shared" si="2"/>
        <v>#N/A</v>
      </c>
      <c r="AO15" s="92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P16" t="e">
        <f t="shared" si="3"/>
        <v>#N/A</v>
      </c>
      <c r="Q16" t="e">
        <f t="shared" si="3"/>
        <v>#N/A</v>
      </c>
      <c r="R16" t="e">
        <f t="shared" si="3"/>
        <v>#N/A</v>
      </c>
      <c r="S16" t="e">
        <f t="shared" si="3"/>
        <v>#N/A</v>
      </c>
      <c r="T16" t="e">
        <f t="shared" si="3"/>
        <v>#N/A</v>
      </c>
      <c r="U16" t="e">
        <f t="shared" si="3"/>
        <v>#N/A</v>
      </c>
      <c r="V16" t="e">
        <f t="shared" si="3"/>
        <v>#N/A</v>
      </c>
      <c r="W16" t="e">
        <f t="shared" si="3"/>
        <v>#N/A</v>
      </c>
      <c r="X16" t="e">
        <f t="shared" si="3"/>
        <v>#N/A</v>
      </c>
      <c r="Y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P17" t="e">
        <f t="shared" si="4"/>
        <v>#N/A</v>
      </c>
      <c r="Q17" t="e">
        <f t="shared" si="4"/>
        <v>#N/A</v>
      </c>
      <c r="R17" t="e">
        <f t="shared" si="4"/>
        <v>#N/A</v>
      </c>
      <c r="S17" t="e">
        <f t="shared" si="4"/>
        <v>#N/A</v>
      </c>
      <c r="T17" t="e">
        <f t="shared" si="4"/>
        <v>#N/A</v>
      </c>
      <c r="U17" t="e">
        <f t="shared" si="4"/>
        <v>#N/A</v>
      </c>
      <c r="V17" t="e">
        <f t="shared" si="4"/>
        <v>#N/A</v>
      </c>
      <c r="W17" t="e">
        <f t="shared" si="4"/>
        <v>#N/A</v>
      </c>
      <c r="X17" t="e">
        <f t="shared" si="4"/>
        <v>#N/A</v>
      </c>
      <c r="Y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P18" t="e">
        <f t="shared" si="5"/>
        <v>#N/A</v>
      </c>
      <c r="Q18" t="e">
        <f t="shared" si="5"/>
        <v>#N/A</v>
      </c>
      <c r="R18" t="e">
        <f t="shared" si="5"/>
        <v>#N/A</v>
      </c>
      <c r="S18" t="e">
        <f t="shared" si="5"/>
        <v>#N/A</v>
      </c>
      <c r="T18" t="e">
        <f t="shared" si="5"/>
        <v>#N/A</v>
      </c>
      <c r="U18" t="e">
        <f t="shared" si="5"/>
        <v>#N/A</v>
      </c>
      <c r="V18" t="e">
        <f t="shared" si="5"/>
        <v>#N/A</v>
      </c>
      <c r="W18" t="e">
        <f t="shared" si="5"/>
        <v>#N/A</v>
      </c>
      <c r="X18" t="e">
        <f t="shared" si="5"/>
        <v>#N/A</v>
      </c>
      <c r="Y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P19" t="e">
        <f t="shared" si="6"/>
        <v>#N/A</v>
      </c>
      <c r="Q19" t="e">
        <f t="shared" si="6"/>
        <v>#N/A</v>
      </c>
      <c r="R19" t="e">
        <f t="shared" si="6"/>
        <v>#N/A</v>
      </c>
      <c r="S19" t="e">
        <f t="shared" si="6"/>
        <v>#N/A</v>
      </c>
      <c r="T19" t="e">
        <f t="shared" si="6"/>
        <v>#N/A</v>
      </c>
      <c r="U19" t="e">
        <f t="shared" si="6"/>
        <v>#N/A</v>
      </c>
      <c r="V19" t="e">
        <f t="shared" si="6"/>
        <v>#N/A</v>
      </c>
      <c r="W19" t="e">
        <f t="shared" si="6"/>
        <v>#N/A</v>
      </c>
      <c r="X19" t="e">
        <f t="shared" si="6"/>
        <v>#N/A</v>
      </c>
      <c r="Y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P20" t="e">
        <f t="shared" si="7"/>
        <v>#N/A</v>
      </c>
      <c r="Q20" t="e">
        <f t="shared" si="7"/>
        <v>#N/A</v>
      </c>
      <c r="R20" t="e">
        <f t="shared" si="7"/>
        <v>#N/A</v>
      </c>
      <c r="S20" t="e">
        <f t="shared" si="7"/>
        <v>#N/A</v>
      </c>
      <c r="T20" t="e">
        <f t="shared" si="7"/>
        <v>#N/A</v>
      </c>
      <c r="U20" t="e">
        <f t="shared" si="7"/>
        <v>#N/A</v>
      </c>
      <c r="V20" t="e">
        <f t="shared" si="7"/>
        <v>#N/A</v>
      </c>
      <c r="W20" t="e">
        <f t="shared" si="7"/>
        <v>#N/A</v>
      </c>
      <c r="X20" t="e">
        <f t="shared" si="7"/>
        <v>#N/A</v>
      </c>
      <c r="Y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P21" t="e">
        <f t="shared" si="8"/>
        <v>#N/A</v>
      </c>
      <c r="Q21" t="e">
        <f t="shared" si="8"/>
        <v>#N/A</v>
      </c>
      <c r="R21" t="e">
        <f t="shared" si="8"/>
        <v>#N/A</v>
      </c>
      <c r="S21" t="e">
        <f t="shared" si="8"/>
        <v>#N/A</v>
      </c>
      <c r="T21" t="e">
        <f t="shared" si="8"/>
        <v>#N/A</v>
      </c>
      <c r="U21" t="e">
        <f t="shared" si="8"/>
        <v>#N/A</v>
      </c>
      <c r="V21" t="e">
        <f t="shared" si="8"/>
        <v>#N/A</v>
      </c>
      <c r="W21" t="e">
        <f t="shared" si="8"/>
        <v>#N/A</v>
      </c>
      <c r="X21" t="e">
        <f t="shared" si="8"/>
        <v>#N/A</v>
      </c>
      <c r="Y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P22" t="e">
        <f t="shared" si="9"/>
        <v>#N/A</v>
      </c>
      <c r="Q22" t="e">
        <f t="shared" si="9"/>
        <v>#N/A</v>
      </c>
      <c r="R22" t="e">
        <f t="shared" si="9"/>
        <v>#N/A</v>
      </c>
      <c r="S22" t="e">
        <f t="shared" si="9"/>
        <v>#N/A</v>
      </c>
      <c r="T22" t="e">
        <f t="shared" si="9"/>
        <v>#N/A</v>
      </c>
      <c r="U22" t="e">
        <f t="shared" si="9"/>
        <v>#N/A</v>
      </c>
      <c r="V22" t="e">
        <f t="shared" si="9"/>
        <v>#N/A</v>
      </c>
      <c r="W22" t="e">
        <f t="shared" si="9"/>
        <v>#N/A</v>
      </c>
      <c r="X22" t="e">
        <f t="shared" si="9"/>
        <v>#N/A</v>
      </c>
      <c r="Y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P23" t="e">
        <f t="shared" si="10"/>
        <v>#N/A</v>
      </c>
      <c r="Q23" t="e">
        <f t="shared" si="10"/>
        <v>#N/A</v>
      </c>
      <c r="R23" t="e">
        <f t="shared" si="10"/>
        <v>#N/A</v>
      </c>
      <c r="S23" t="e">
        <f t="shared" si="10"/>
        <v>#N/A</v>
      </c>
      <c r="T23" t="e">
        <f t="shared" si="10"/>
        <v>#N/A</v>
      </c>
      <c r="U23" t="e">
        <f t="shared" si="10"/>
        <v>#N/A</v>
      </c>
      <c r="V23" t="e">
        <f t="shared" si="10"/>
        <v>#N/A</v>
      </c>
      <c r="W23" t="e">
        <f t="shared" si="10"/>
        <v>#N/A</v>
      </c>
      <c r="X23" t="e">
        <f t="shared" si="10"/>
        <v>#N/A</v>
      </c>
      <c r="Y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P24" t="e">
        <f t="shared" si="11"/>
        <v>#N/A</v>
      </c>
      <c r="Q24" t="e">
        <f t="shared" si="11"/>
        <v>#N/A</v>
      </c>
      <c r="R24" t="e">
        <f t="shared" si="11"/>
        <v>#N/A</v>
      </c>
      <c r="S24" t="e">
        <f t="shared" si="11"/>
        <v>#N/A</v>
      </c>
      <c r="T24" t="e">
        <f t="shared" si="11"/>
        <v>#N/A</v>
      </c>
      <c r="U24" t="e">
        <f t="shared" si="11"/>
        <v>#N/A</v>
      </c>
      <c r="V24" t="e">
        <f t="shared" si="11"/>
        <v>#N/A</v>
      </c>
      <c r="W24" t="e">
        <f t="shared" si="11"/>
        <v>#N/A</v>
      </c>
      <c r="X24" t="e">
        <f t="shared" si="11"/>
        <v>#N/A</v>
      </c>
      <c r="Y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P25" t="e">
        <f t="shared" si="12"/>
        <v>#N/A</v>
      </c>
      <c r="Q25" t="e">
        <f t="shared" si="12"/>
        <v>#N/A</v>
      </c>
      <c r="R25" t="e">
        <f t="shared" si="12"/>
        <v>#N/A</v>
      </c>
      <c r="S25" t="e">
        <f t="shared" si="12"/>
        <v>#N/A</v>
      </c>
      <c r="T25" t="e">
        <f t="shared" si="12"/>
        <v>#N/A</v>
      </c>
      <c r="U25" t="e">
        <f t="shared" si="12"/>
        <v>#N/A</v>
      </c>
      <c r="V25" t="e">
        <f t="shared" si="12"/>
        <v>#N/A</v>
      </c>
      <c r="W25" t="e">
        <f t="shared" si="12"/>
        <v>#N/A</v>
      </c>
      <c r="X25" t="e">
        <f t="shared" si="12"/>
        <v>#N/A</v>
      </c>
      <c r="Y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P26" t="e">
        <f t="shared" si="13"/>
        <v>#N/A</v>
      </c>
      <c r="Q26" t="e">
        <f t="shared" si="13"/>
        <v>#N/A</v>
      </c>
      <c r="R26" t="e">
        <f t="shared" si="13"/>
        <v>#N/A</v>
      </c>
      <c r="S26" t="e">
        <f t="shared" si="13"/>
        <v>#N/A</v>
      </c>
      <c r="T26" t="e">
        <f t="shared" si="13"/>
        <v>#N/A</v>
      </c>
      <c r="U26" t="e">
        <f t="shared" si="13"/>
        <v>#N/A</v>
      </c>
      <c r="V26" t="e">
        <f t="shared" si="13"/>
        <v>#N/A</v>
      </c>
      <c r="W26" t="e">
        <f t="shared" si="13"/>
        <v>#N/A</v>
      </c>
      <c r="X26" t="e">
        <f t="shared" si="13"/>
        <v>#N/A</v>
      </c>
      <c r="Y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5" customFormat="1" x14ac:dyDescent="0.15">
      <c r="A28" s="96">
        <f>83-166</f>
        <v>-83</v>
      </c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96"/>
      <c r="AF28" s="96">
        <v>-51</v>
      </c>
      <c r="AG28" s="96"/>
      <c r="AH28" s="96"/>
      <c r="AI28" s="96"/>
      <c r="AJ28" s="96"/>
      <c r="AK28" s="96"/>
      <c r="AL28" s="96"/>
      <c r="AM28" s="96"/>
      <c r="AN28" s="96"/>
      <c r="AO28" s="96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P29" t="e">
        <f t="shared" si="14"/>
        <v>#N/A</v>
      </c>
      <c r="Q29" t="e">
        <f t="shared" si="14"/>
        <v>#N/A</v>
      </c>
      <c r="R29" t="e">
        <f t="shared" si="14"/>
        <v>#N/A</v>
      </c>
      <c r="S29" t="e">
        <f t="shared" si="14"/>
        <v>#N/A</v>
      </c>
      <c r="T29" t="e">
        <f t="shared" si="14"/>
        <v>#N/A</v>
      </c>
      <c r="U29" t="e">
        <f t="shared" si="14"/>
        <v>#N/A</v>
      </c>
      <c r="V29" t="e">
        <f t="shared" si="14"/>
        <v>#N/A</v>
      </c>
      <c r="W29" t="e">
        <f t="shared" si="14"/>
        <v>#N/A</v>
      </c>
      <c r="X29" t="e">
        <f t="shared" si="14"/>
        <v>#N/A</v>
      </c>
      <c r="Y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P30" t="e">
        <f t="shared" si="15"/>
        <v>#N/A</v>
      </c>
      <c r="Q30" t="e">
        <f t="shared" si="15"/>
        <v>#N/A</v>
      </c>
      <c r="R30" t="e">
        <f t="shared" si="15"/>
        <v>#N/A</v>
      </c>
      <c r="S30" t="e">
        <f t="shared" si="15"/>
        <v>#N/A</v>
      </c>
      <c r="T30" t="e">
        <f t="shared" si="15"/>
        <v>#N/A</v>
      </c>
      <c r="U30" t="e">
        <f t="shared" si="15"/>
        <v>#N/A</v>
      </c>
      <c r="V30" t="e">
        <f t="shared" si="15"/>
        <v>#N/A</v>
      </c>
      <c r="W30" t="e">
        <f t="shared" si="15"/>
        <v>#N/A</v>
      </c>
      <c r="X30" t="e">
        <f t="shared" si="15"/>
        <v>#N/A</v>
      </c>
      <c r="Y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P31" t="e">
        <f t="shared" si="16"/>
        <v>#N/A</v>
      </c>
      <c r="Q31" t="e">
        <f t="shared" si="16"/>
        <v>#N/A</v>
      </c>
      <c r="R31" t="e">
        <f t="shared" si="16"/>
        <v>#N/A</v>
      </c>
      <c r="S31" t="e">
        <f t="shared" si="16"/>
        <v>#N/A</v>
      </c>
      <c r="T31" t="e">
        <f t="shared" si="16"/>
        <v>#N/A</v>
      </c>
      <c r="U31" t="e">
        <f t="shared" si="16"/>
        <v>#N/A</v>
      </c>
      <c r="V31" t="e">
        <f t="shared" si="16"/>
        <v>#N/A</v>
      </c>
      <c r="W31" t="e">
        <f t="shared" si="16"/>
        <v>#N/A</v>
      </c>
      <c r="X31" t="e">
        <f t="shared" si="16"/>
        <v>#N/A</v>
      </c>
      <c r="Y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P32" t="e">
        <f t="shared" si="17"/>
        <v>#N/A</v>
      </c>
      <c r="Q32" t="e">
        <f t="shared" si="17"/>
        <v>#N/A</v>
      </c>
      <c r="R32" t="e">
        <f t="shared" si="17"/>
        <v>#N/A</v>
      </c>
      <c r="S32" t="e">
        <f t="shared" si="17"/>
        <v>#N/A</v>
      </c>
      <c r="T32" t="e">
        <f t="shared" si="17"/>
        <v>#N/A</v>
      </c>
      <c r="U32" t="e">
        <f t="shared" si="17"/>
        <v>#N/A</v>
      </c>
      <c r="V32" t="e">
        <f t="shared" si="17"/>
        <v>#N/A</v>
      </c>
      <c r="W32" t="e">
        <f t="shared" si="17"/>
        <v>#N/A</v>
      </c>
      <c r="X32" t="e">
        <f t="shared" si="17"/>
        <v>#N/A</v>
      </c>
      <c r="Y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P33" t="e">
        <f t="shared" si="18"/>
        <v>#N/A</v>
      </c>
      <c r="Q33" t="e">
        <f t="shared" si="18"/>
        <v>#N/A</v>
      </c>
      <c r="R33" t="e">
        <f t="shared" si="18"/>
        <v>#N/A</v>
      </c>
      <c r="S33" t="e">
        <f t="shared" si="18"/>
        <v>#N/A</v>
      </c>
      <c r="T33" t="e">
        <f t="shared" si="18"/>
        <v>#N/A</v>
      </c>
      <c r="U33" t="e">
        <f t="shared" si="18"/>
        <v>#N/A</v>
      </c>
      <c r="V33" t="e">
        <f t="shared" si="18"/>
        <v>#N/A</v>
      </c>
      <c r="W33" t="e">
        <f t="shared" si="18"/>
        <v>#N/A</v>
      </c>
      <c r="X33" t="e">
        <f t="shared" si="18"/>
        <v>#N/A</v>
      </c>
      <c r="Y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P34" t="e">
        <f t="shared" si="19"/>
        <v>#N/A</v>
      </c>
      <c r="Q34" t="e">
        <f t="shared" si="19"/>
        <v>#N/A</v>
      </c>
      <c r="R34" t="e">
        <f t="shared" si="19"/>
        <v>#N/A</v>
      </c>
      <c r="S34" t="e">
        <f t="shared" si="19"/>
        <v>#N/A</v>
      </c>
      <c r="T34" t="e">
        <f t="shared" si="19"/>
        <v>#N/A</v>
      </c>
      <c r="U34" t="e">
        <f t="shared" si="19"/>
        <v>#N/A</v>
      </c>
      <c r="V34" t="e">
        <f t="shared" si="19"/>
        <v>#N/A</v>
      </c>
      <c r="W34" t="e">
        <f t="shared" si="19"/>
        <v>#N/A</v>
      </c>
      <c r="X34" t="e">
        <f t="shared" si="19"/>
        <v>#N/A</v>
      </c>
      <c r="Y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P35" t="e">
        <f t="shared" si="20"/>
        <v>#N/A</v>
      </c>
      <c r="Q35" t="e">
        <f t="shared" si="20"/>
        <v>#N/A</v>
      </c>
      <c r="R35" t="e">
        <f t="shared" si="20"/>
        <v>#N/A</v>
      </c>
      <c r="S35" t="e">
        <f t="shared" si="20"/>
        <v>#N/A</v>
      </c>
      <c r="T35" t="e">
        <f t="shared" si="20"/>
        <v>#N/A</v>
      </c>
      <c r="U35" t="e">
        <f t="shared" si="20"/>
        <v>#N/A</v>
      </c>
      <c r="V35" t="e">
        <f t="shared" si="20"/>
        <v>#N/A</v>
      </c>
      <c r="W35" t="e">
        <f t="shared" si="20"/>
        <v>#N/A</v>
      </c>
      <c r="X35" t="e">
        <f t="shared" si="20"/>
        <v>#N/A</v>
      </c>
      <c r="Y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P36" t="e">
        <f t="shared" si="21"/>
        <v>#N/A</v>
      </c>
      <c r="Q36" t="e">
        <f t="shared" si="21"/>
        <v>#N/A</v>
      </c>
      <c r="R36" t="e">
        <f t="shared" si="21"/>
        <v>#N/A</v>
      </c>
      <c r="S36" t="e">
        <f t="shared" si="21"/>
        <v>#N/A</v>
      </c>
      <c r="T36" t="e">
        <f t="shared" si="21"/>
        <v>#N/A</v>
      </c>
      <c r="U36" t="e">
        <f t="shared" si="21"/>
        <v>#N/A</v>
      </c>
      <c r="V36" t="e">
        <f t="shared" si="21"/>
        <v>#N/A</v>
      </c>
      <c r="W36" t="e">
        <f t="shared" si="21"/>
        <v>#N/A</v>
      </c>
      <c r="X36" t="e">
        <f t="shared" si="21"/>
        <v>#N/A</v>
      </c>
      <c r="Y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P37" t="e">
        <f t="shared" si="22"/>
        <v>#N/A</v>
      </c>
      <c r="Q37" t="e">
        <f t="shared" si="22"/>
        <v>#N/A</v>
      </c>
      <c r="R37" t="e">
        <f t="shared" si="22"/>
        <v>#N/A</v>
      </c>
      <c r="S37" t="e">
        <f t="shared" si="22"/>
        <v>#N/A</v>
      </c>
      <c r="T37" t="e">
        <f t="shared" si="22"/>
        <v>#N/A</v>
      </c>
      <c r="U37" t="e">
        <f t="shared" si="22"/>
        <v>#N/A</v>
      </c>
      <c r="V37" t="e">
        <f t="shared" si="22"/>
        <v>#N/A</v>
      </c>
      <c r="W37" t="e">
        <f t="shared" si="22"/>
        <v>#N/A</v>
      </c>
      <c r="X37" t="e">
        <f t="shared" si="22"/>
        <v>#N/A</v>
      </c>
      <c r="Y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P38" t="e">
        <f t="shared" si="23"/>
        <v>#N/A</v>
      </c>
      <c r="Q38" t="e">
        <f t="shared" si="23"/>
        <v>#N/A</v>
      </c>
      <c r="R38" t="e">
        <f t="shared" si="23"/>
        <v>#N/A</v>
      </c>
      <c r="S38" t="e">
        <f t="shared" si="23"/>
        <v>#N/A</v>
      </c>
      <c r="T38" t="e">
        <f t="shared" si="23"/>
        <v>#N/A</v>
      </c>
      <c r="U38" t="e">
        <f t="shared" si="23"/>
        <v>#N/A</v>
      </c>
      <c r="V38" t="e">
        <f t="shared" si="23"/>
        <v>#N/A</v>
      </c>
      <c r="W38" t="e">
        <f t="shared" si="23"/>
        <v>#N/A</v>
      </c>
      <c r="X38" t="e">
        <f t="shared" si="23"/>
        <v>#N/A</v>
      </c>
      <c r="Y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P39" t="e">
        <f t="shared" si="24"/>
        <v>#N/A</v>
      </c>
      <c r="Q39" t="e">
        <f t="shared" si="24"/>
        <v>#N/A</v>
      </c>
      <c r="R39" t="e">
        <f t="shared" si="24"/>
        <v>#N/A</v>
      </c>
      <c r="S39" t="e">
        <f t="shared" si="24"/>
        <v>#N/A</v>
      </c>
      <c r="T39" t="e">
        <f t="shared" si="24"/>
        <v>#N/A</v>
      </c>
      <c r="U39" t="e">
        <f t="shared" si="24"/>
        <v>#N/A</v>
      </c>
      <c r="V39" t="e">
        <f t="shared" si="24"/>
        <v>#N/A</v>
      </c>
      <c r="W39" t="e">
        <f t="shared" si="24"/>
        <v>#N/A</v>
      </c>
      <c r="X39" t="e">
        <f t="shared" si="24"/>
        <v>#N/A</v>
      </c>
      <c r="Y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P41" t="e">
        <f t="shared" si="25"/>
        <v>#N/A</v>
      </c>
      <c r="Q41" t="e">
        <f t="shared" si="25"/>
        <v>#N/A</v>
      </c>
      <c r="R41" t="e">
        <f t="shared" si="25"/>
        <v>#N/A</v>
      </c>
      <c r="S41" t="e">
        <f t="shared" si="25"/>
        <v>#N/A</v>
      </c>
      <c r="T41" t="e">
        <f t="shared" si="25"/>
        <v>#N/A</v>
      </c>
      <c r="U41" t="e">
        <f t="shared" si="25"/>
        <v>#N/A</v>
      </c>
      <c r="V41" t="e">
        <f t="shared" si="25"/>
        <v>#N/A</v>
      </c>
      <c r="W41" t="e">
        <f t="shared" si="25"/>
        <v>#N/A</v>
      </c>
      <c r="X41" t="e">
        <f t="shared" si="25"/>
        <v>#N/A</v>
      </c>
      <c r="Y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P42" t="e">
        <f t="shared" si="26"/>
        <v>#N/A</v>
      </c>
      <c r="Q42" t="e">
        <f t="shared" si="26"/>
        <v>#N/A</v>
      </c>
      <c r="R42" t="e">
        <f t="shared" si="26"/>
        <v>#N/A</v>
      </c>
      <c r="S42" t="e">
        <f t="shared" si="26"/>
        <v>#N/A</v>
      </c>
      <c r="T42" t="e">
        <f t="shared" si="26"/>
        <v>#N/A</v>
      </c>
      <c r="U42" t="e">
        <f t="shared" si="26"/>
        <v>#N/A</v>
      </c>
      <c r="V42" t="e">
        <f t="shared" si="26"/>
        <v>#N/A</v>
      </c>
      <c r="W42" t="e">
        <f t="shared" si="26"/>
        <v>#N/A</v>
      </c>
      <c r="X42" t="e">
        <f t="shared" si="26"/>
        <v>#N/A</v>
      </c>
      <c r="Y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P43" t="e">
        <f t="shared" ca="1" si="27"/>
        <v>#N/A</v>
      </c>
      <c r="Q43" t="e">
        <f t="shared" ca="1" si="27"/>
        <v>#N/A</v>
      </c>
      <c r="R43" t="e">
        <f t="shared" ca="1" si="27"/>
        <v>#N/A</v>
      </c>
      <c r="S43" t="e">
        <f t="shared" ca="1" si="27"/>
        <v>#N/A</v>
      </c>
      <c r="T43" t="e">
        <f t="shared" ca="1" si="27"/>
        <v>#N/A</v>
      </c>
      <c r="U43" t="e">
        <f t="shared" ca="1" si="27"/>
        <v>#N/A</v>
      </c>
      <c r="V43" t="e">
        <f t="shared" ca="1" si="27"/>
        <v>#N/A</v>
      </c>
      <c r="W43" t="e">
        <f t="shared" ca="1" si="27"/>
        <v>#N/A</v>
      </c>
      <c r="X43" t="e">
        <f t="shared" ca="1" si="27"/>
        <v>#N/A</v>
      </c>
      <c r="Y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99" t="s">
        <v>86</v>
      </c>
      <c r="D44" s="99" t="s">
        <v>176</v>
      </c>
      <c r="E44" s="99" t="s">
        <v>87</v>
      </c>
      <c r="F44" s="99" t="s">
        <v>88</v>
      </c>
      <c r="G44" s="97" t="s">
        <v>89</v>
      </c>
      <c r="H44" s="98">
        <f>COUNTA(1:1)</f>
        <v>0</v>
      </c>
    </row>
    <row r="45" spans="1:41" x14ac:dyDescent="0.15">
      <c r="A45" s="71" t="s">
        <v>216</v>
      </c>
      <c r="B45" t="s">
        <v>219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144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71" t="s">
        <v>217</v>
      </c>
      <c r="B46" t="s">
        <v>225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211</v>
      </c>
      <c r="G46" t="s">
        <v>145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71" t="s">
        <v>141</v>
      </c>
      <c r="B47" t="s">
        <v>208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162</v>
      </c>
      <c r="G47" t="s">
        <v>144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71" t="s">
        <v>53</v>
      </c>
      <c r="B48" t="s">
        <v>80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452</v>
      </c>
      <c r="G48" t="s">
        <v>145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71" t="s">
        <v>67</v>
      </c>
      <c r="B49" t="s">
        <v>79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224</v>
      </c>
      <c r="G49" t="s">
        <v>145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71" t="s">
        <v>107</v>
      </c>
      <c r="B50" t="s">
        <v>180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473</v>
      </c>
      <c r="G50" t="s">
        <v>145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71" t="s">
        <v>215</v>
      </c>
      <c r="B51" t="s">
        <v>220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95</v>
      </c>
      <c r="G51" t="s">
        <v>144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71" t="s">
        <v>55</v>
      </c>
      <c r="B52" t="s">
        <v>108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247</v>
      </c>
      <c r="G52" t="s">
        <v>146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71" t="s">
        <v>174</v>
      </c>
      <c r="B53" t="s">
        <v>202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145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71" t="s">
        <v>57</v>
      </c>
      <c r="B54" t="s">
        <v>78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145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71" t="s">
        <v>46</v>
      </c>
      <c r="B55" t="s">
        <v>109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68</v>
      </c>
      <c r="G55" t="s">
        <v>146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71" t="s">
        <v>60</v>
      </c>
      <c r="B56" t="s">
        <v>81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146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71" t="s">
        <v>62</v>
      </c>
      <c r="B57" t="s">
        <v>74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144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71" t="s">
        <v>61</v>
      </c>
      <c r="B58" t="s">
        <v>76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146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71" t="s">
        <v>47</v>
      </c>
      <c r="B59" t="s">
        <v>75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990</v>
      </c>
      <c r="G59" t="s">
        <v>146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71" t="s">
        <v>201</v>
      </c>
      <c r="B60" t="s">
        <v>221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144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71" t="s">
        <v>83</v>
      </c>
      <c r="B61" t="s">
        <v>110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144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71" t="s">
        <v>196</v>
      </c>
      <c r="B62" t="s">
        <v>195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21</v>
      </c>
      <c r="G62" t="s">
        <v>144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71" t="s">
        <v>147</v>
      </c>
      <c r="B63" t="s">
        <v>148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420</v>
      </c>
      <c r="G63" t="s">
        <v>144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71" t="s">
        <v>50</v>
      </c>
      <c r="B64" t="s">
        <v>111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303</v>
      </c>
      <c r="G64" t="s">
        <v>145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71" t="s">
        <v>51</v>
      </c>
      <c r="B65" t="s">
        <v>73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119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71" t="s">
        <v>65</v>
      </c>
      <c r="B66" t="s">
        <v>112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325</v>
      </c>
      <c r="G66" t="s">
        <v>145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71" t="s">
        <v>218</v>
      </c>
      <c r="B67" t="s">
        <v>222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71" t="s">
        <v>193</v>
      </c>
      <c r="B68" t="s">
        <v>194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145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71" t="s">
        <v>69</v>
      </c>
      <c r="B69" t="s">
        <v>72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210</v>
      </c>
      <c r="G69" t="s">
        <v>145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71" t="s">
        <v>85</v>
      </c>
      <c r="B70" t="s">
        <v>82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71" t="s">
        <v>68</v>
      </c>
      <c r="B71" t="s">
        <v>77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229</v>
      </c>
      <c r="G71" t="s">
        <v>144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71" t="s">
        <v>84</v>
      </c>
      <c r="B72" t="s">
        <v>203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55</v>
      </c>
      <c r="G72" t="s">
        <v>144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71" t="s">
        <v>142</v>
      </c>
      <c r="B73" t="s">
        <v>143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553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71" t="s">
        <v>64</v>
      </c>
      <c r="B74" t="s">
        <v>113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324</v>
      </c>
      <c r="G74" t="s">
        <v>144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71" t="s">
        <v>206</v>
      </c>
      <c r="B75" t="s">
        <v>223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145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71" t="s">
        <v>191</v>
      </c>
      <c r="B76" t="s">
        <v>204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74</v>
      </c>
      <c r="G76" t="s">
        <v>144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71" t="s">
        <v>205</v>
      </c>
      <c r="B77" t="s">
        <v>224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144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71" t="s">
        <v>49</v>
      </c>
      <c r="B78" t="s">
        <v>70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71" t="s">
        <v>63</v>
      </c>
      <c r="B79" t="s">
        <v>114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1415</v>
      </c>
      <c r="G79" t="s">
        <v>146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71" t="s">
        <v>59</v>
      </c>
      <c r="B80" t="s">
        <v>71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144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71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71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71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71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71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71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1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146</v>
      </c>
      <c r="H89">
        <f t="array" ref="H89">SUM(IF($G$45:$G$87=G89,1,0))</f>
        <v>6</v>
      </c>
    </row>
    <row r="90" spans="1:15" x14ac:dyDescent="0.15">
      <c r="G90" t="s">
        <v>144</v>
      </c>
      <c r="H90">
        <f t="array" ref="H90">SUM(IF($G$45:$G$87=G90,1,0))</f>
        <v>14</v>
      </c>
    </row>
    <row r="91" spans="1:15" x14ac:dyDescent="0.15">
      <c r="G91" t="s">
        <v>145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175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C8" sqref="C8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90</v>
      </c>
      <c r="C1" s="9">
        <v>89</v>
      </c>
    </row>
    <row r="2" spans="1:20" x14ac:dyDescent="0.2">
      <c r="A2" s="5" t="s">
        <v>91</v>
      </c>
      <c r="C2" s="9">
        <v>91</v>
      </c>
    </row>
    <row r="4" spans="1:20" ht="22.5" x14ac:dyDescent="0.2">
      <c r="A4" s="8"/>
      <c r="B4" s="8" t="s">
        <v>92</v>
      </c>
      <c r="C4" s="8" t="s">
        <v>93</v>
      </c>
      <c r="D4" s="8" t="s">
        <v>199</v>
      </c>
      <c r="E4" s="8" t="s">
        <v>94</v>
      </c>
      <c r="F4" s="8" t="s">
        <v>95</v>
      </c>
      <c r="G4" s="8" t="s">
        <v>96</v>
      </c>
      <c r="H4" s="8" t="s">
        <v>97</v>
      </c>
      <c r="I4" s="8" t="s">
        <v>98</v>
      </c>
      <c r="J4" s="8" t="s">
        <v>86</v>
      </c>
      <c r="K4" s="8" t="s">
        <v>259</v>
      </c>
      <c r="M4" s="8" t="s">
        <v>99</v>
      </c>
    </row>
    <row r="5" spans="1:20" x14ac:dyDescent="0.2">
      <c r="A5" s="71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>
        <f ca="1">MATCH(A5,Batting!$A$5:$A$62,0)</f>
        <v>18</v>
      </c>
      <c r="F5" s="9">
        <f ca="1">IF(NOT(ISNA(E5)),OFFSET(Batting!$B$4,E5,$C$1,1,1),0)</f>
        <v>0</v>
      </c>
      <c r="G5" s="9">
        <f ca="1">MATCH(A5,Bowling!$A$5:$A$48,0)</f>
        <v>12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15</v>
      </c>
      <c r="O5" s="5">
        <v>1</v>
      </c>
      <c r="P5" s="5" t="str">
        <f t="shared" ref="P5:P31" ca="1" si="1">OFFSET($B$4,N5,0)</f>
        <v>Geoff Cooper</v>
      </c>
      <c r="Q5" s="7">
        <f t="shared" ref="Q5:Q31" ca="1" si="2">OFFSET($K$4,N5,0)</f>
        <v>165</v>
      </c>
      <c r="R5" s="5">
        <f t="shared" ref="R5:R46" ca="1" si="3">OFFSET($J$4,N5,0)</f>
        <v>6</v>
      </c>
    </row>
    <row r="6" spans="1:20" x14ac:dyDescent="0.2">
      <c r="A6" s="71" t="str">
        <f ca="1"/>
        <v>ADLE</v>
      </c>
      <c r="B6" t="str">
        <f ca="1"/>
        <v>Adam Lestrelle</v>
      </c>
      <c r="C6" s="9">
        <f t="shared" ca="1" si="0"/>
        <v>211</v>
      </c>
      <c r="D6" s="9">
        <f ca="1">IF(NOT(ISNA(E6)),5*OFFSET(Batting!$CE$4,E6,0,1,1),0)</f>
        <v>95</v>
      </c>
      <c r="E6" s="9">
        <f ca="1">MATCH(A6,Batting!$A$5:$A$62,0)</f>
        <v>22</v>
      </c>
      <c r="F6" s="9">
        <f ca="1">IF(NOT(ISNA(E6)),OFFSET(Batting!$B$4,E6,$C$1,1,1),0)</f>
        <v>33</v>
      </c>
      <c r="G6" s="9">
        <f ca="1">MATCH(A6,Bowling!$A$5:$A$48,0)</f>
        <v>17</v>
      </c>
      <c r="H6" s="9">
        <f ca="1">IF(NOT(ISNA(G6)),OFFSET(Bowling!$CO$4,G6,0,1,1),0)</f>
        <v>68</v>
      </c>
      <c r="I6" s="9">
        <f ca="1">IF(NOT(ISNA(E6)),OFFSET(Batting!$B$4,E6,$C$1+1,1,1),0)</f>
        <v>15</v>
      </c>
      <c r="J6" s="9">
        <f ca="1">VLOOKUP(A6,'Fantasy Teams'!$A$45:$C$87,3,FALSE)</f>
        <v>2</v>
      </c>
      <c r="K6" s="10">
        <f t="shared" ref="K6:K46" ca="1" si="4">INT(C6*1000/J6)/1000</f>
        <v>105.5</v>
      </c>
      <c r="L6" s="5">
        <f t="shared" ref="L6:L46" ca="1" si="5">K6+ROW(K6)/100000</f>
        <v>105.50006</v>
      </c>
      <c r="M6" s="5">
        <f t="shared" ref="M6:M46" ca="1" si="6">RANK(L6,$L$5:$L$40)</f>
        <v>3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108.846</v>
      </c>
      <c r="R6" s="5">
        <f t="shared" ca="1" si="3"/>
        <v>13</v>
      </c>
    </row>
    <row r="7" spans="1:20" x14ac:dyDescent="0.2">
      <c r="A7" s="71" t="str">
        <f ca="1"/>
        <v>AICO</v>
      </c>
      <c r="B7" t="str">
        <f ca="1"/>
        <v>Aiden Coloe</v>
      </c>
      <c r="C7" s="9">
        <f t="shared" ca="1" si="0"/>
        <v>162</v>
      </c>
      <c r="D7" s="9">
        <f ca="1">IF(NOT(ISNA(E7)),5*OFFSET(Batting!$CE$4,E7,0,1,1),0)</f>
        <v>55</v>
      </c>
      <c r="E7" s="9">
        <f ca="1">MATCH(A7,Batting!$A$5:$A$62,0)</f>
        <v>6</v>
      </c>
      <c r="F7" s="9">
        <f ca="1">IF(NOT(ISNA(E7)),OFFSET(Batting!$B$4,E7,$C$1,1,1),0)</f>
        <v>106</v>
      </c>
      <c r="G7" s="9">
        <f ca="1">MATCH(A7,Bowling!$A$5:$A$48,0)</f>
        <v>4</v>
      </c>
      <c r="H7" s="9">
        <f ca="1">IF(NOT(ISNA(G7)),OFFSET(Bowling!$CO$4,G7,0,1,1),0)</f>
        <v>1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54</v>
      </c>
      <c r="L7" s="5">
        <f t="shared" ca="1" si="5"/>
        <v>54.000070000000001</v>
      </c>
      <c r="M7" s="5">
        <f t="shared" ca="1" si="6"/>
        <v>13</v>
      </c>
      <c r="N7" s="5">
        <f t="shared" ca="1" si="7"/>
        <v>2</v>
      </c>
      <c r="O7" s="5">
        <f t="shared" ref="O7:O46" si="8">O6+1</f>
        <v>3</v>
      </c>
      <c r="P7" s="5" t="str">
        <f t="shared" ca="1" si="1"/>
        <v>Adam Lestrelle</v>
      </c>
      <c r="Q7" s="7">
        <f t="shared" ca="1" si="2"/>
        <v>105.5</v>
      </c>
      <c r="R7" s="5">
        <f t="shared" ca="1" si="3"/>
        <v>2</v>
      </c>
    </row>
    <row r="8" spans="1:20" x14ac:dyDescent="0.2">
      <c r="A8" s="71" t="str">
        <f ca="1"/>
        <v>ANMA</v>
      </c>
      <c r="B8" t="str">
        <f ca="1"/>
        <v>Andy Mander</v>
      </c>
      <c r="C8" s="9">
        <f t="shared" ca="1" si="0"/>
        <v>452</v>
      </c>
      <c r="D8" s="9">
        <f ca="1">IF(NOT(ISNA(E8)),5*OFFSET(Batting!$CE$4,E8,0,1,1),0)</f>
        <v>70</v>
      </c>
      <c r="E8" s="9">
        <f ca="1">MATCH(A8,Batting!$A$5:$A$62,0)</f>
        <v>25</v>
      </c>
      <c r="F8" s="9">
        <f ca="1">IF(NOT(ISNA(E8)),OFFSET(Batting!$B$4,E8,$C$1,1,1),0)</f>
        <v>87</v>
      </c>
      <c r="G8" s="9">
        <f ca="1">MATCH(A8,Bowling!$A$5:$A$48,0)</f>
        <v>19</v>
      </c>
      <c r="H8" s="9">
        <f ca="1">IF(NOT(ISNA(G8)),OFFSET(Bowling!$CO$4,G8,0,1,1),0)</f>
        <v>285</v>
      </c>
      <c r="I8" s="9">
        <f ca="1">IF(NOT(ISNA(E8)),OFFSET(Batting!$B$4,E8,$C$1+1,1,1),0)</f>
        <v>10</v>
      </c>
      <c r="J8" s="9">
        <f ca="1">VLOOKUP(A8,'Fantasy Teams'!$A$45:$C$87,3,FALSE)</f>
        <v>6</v>
      </c>
      <c r="K8" s="10">
        <f t="shared" ca="1" si="4"/>
        <v>75.332999999999998</v>
      </c>
      <c r="L8" s="5">
        <f t="shared" ca="1" si="5"/>
        <v>75.333079999999995</v>
      </c>
      <c r="M8" s="5">
        <f t="shared" ca="1" si="6"/>
        <v>7</v>
      </c>
      <c r="N8" s="5">
        <f t="shared" ca="1" si="7"/>
        <v>19</v>
      </c>
      <c r="O8" s="5">
        <f t="shared" si="8"/>
        <v>4</v>
      </c>
      <c r="P8" s="5" t="str">
        <f t="shared" ca="1" si="1"/>
        <v>Jeff Lestrelle</v>
      </c>
      <c r="Q8" s="7">
        <f t="shared" ca="1" si="2"/>
        <v>105</v>
      </c>
      <c r="R8" s="5">
        <f t="shared" ca="1" si="3"/>
        <v>4</v>
      </c>
    </row>
    <row r="9" spans="1:20" x14ac:dyDescent="0.2">
      <c r="A9" s="71" t="str">
        <f ca="1"/>
        <v>BOYO</v>
      </c>
      <c r="B9" t="str">
        <f ca="1"/>
        <v>Bob Young</v>
      </c>
      <c r="C9" s="9">
        <f t="shared" ca="1" si="0"/>
        <v>224</v>
      </c>
      <c r="D9" s="9">
        <f ca="1">IF(NOT(ISNA(E9)),5*OFFSET(Batting!$CE$4,E9,0,1,1),0)</f>
        <v>55</v>
      </c>
      <c r="E9" s="9">
        <f ca="1">MATCH(A9,Batting!$A$5:$A$62,0)</f>
        <v>46</v>
      </c>
      <c r="F9" s="9">
        <f ca="1">IF(NOT(ISNA(E9)),OFFSET(Batting!$B$4,E9,$C$1,1,1),0)</f>
        <v>23</v>
      </c>
      <c r="G9" s="9">
        <f ca="1">MATCH(A9,Bowling!$A$5:$A$48,0)</f>
        <v>38</v>
      </c>
      <c r="H9" s="9">
        <f ca="1">IF(NOT(ISNA(G9)),OFFSET(Bowling!$CO$4,G9,0,1,1),0)</f>
        <v>116</v>
      </c>
      <c r="I9" s="9">
        <f ca="1">IF(NOT(ISNA(E9)),OFFSET(Batting!$B$4,E9,$C$1+1,1,1),0)</f>
        <v>30</v>
      </c>
      <c r="J9" s="9">
        <f ca="1">VLOOKUP(A9,'Fantasy Teams'!$A$45:$C$87,3,FALSE)</f>
        <v>4</v>
      </c>
      <c r="K9" s="10">
        <f t="shared" ca="1" si="4"/>
        <v>56</v>
      </c>
      <c r="L9" s="5">
        <f t="shared" ca="1" si="5"/>
        <v>56.00009</v>
      </c>
      <c r="M9" s="5">
        <f t="shared" ca="1" si="6"/>
        <v>12</v>
      </c>
      <c r="N9" s="5">
        <f t="shared" ca="1" si="7"/>
        <v>30</v>
      </c>
      <c r="O9" s="5">
        <f t="shared" si="8"/>
        <v>5</v>
      </c>
      <c r="P9" s="5" t="str">
        <f t="shared" ca="1" si="1"/>
        <v>Rick Worthington</v>
      </c>
      <c r="Q9" s="7">
        <f t="shared" ca="1" si="2"/>
        <v>81</v>
      </c>
      <c r="R9" s="5">
        <f t="shared" ca="1" si="3"/>
        <v>4</v>
      </c>
    </row>
    <row r="10" spans="1:20" x14ac:dyDescent="0.2">
      <c r="A10" s="71" t="str">
        <f ca="1"/>
        <v>CHCL</v>
      </c>
      <c r="B10" t="str">
        <f ca="1"/>
        <v>Chris Clark</v>
      </c>
      <c r="C10" s="9">
        <f t="shared" ca="1" si="0"/>
        <v>473</v>
      </c>
      <c r="D10" s="9">
        <f ca="1">IF(NOT(ISNA(E10)),5*OFFSET(Batting!$CE$4,E10,0,1,1),0)</f>
        <v>90</v>
      </c>
      <c r="E10" s="9">
        <f ca="1">MATCH(A10,Batting!$A$5:$A$62,0)</f>
        <v>5</v>
      </c>
      <c r="F10" s="9">
        <f ca="1">IF(NOT(ISNA(E10)),OFFSET(Batting!$B$4,E10,$C$1,1,1),0)</f>
        <v>51</v>
      </c>
      <c r="G10" s="9">
        <f ca="1">MATCH(A10,Bowling!$A$5:$A$48,0)</f>
        <v>3</v>
      </c>
      <c r="H10" s="9">
        <f ca="1">IF(NOT(ISNA(G10)),OFFSET(Bowling!$CO$4,G10,0,1,1),0)</f>
        <v>332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78.832999999999998</v>
      </c>
      <c r="L10" s="5">
        <f t="shared" ca="1" si="5"/>
        <v>78.833100000000002</v>
      </c>
      <c r="M10" s="5">
        <f t="shared" ca="1" si="6"/>
        <v>6</v>
      </c>
      <c r="N10" s="5">
        <f t="shared" ca="1" si="7"/>
        <v>6</v>
      </c>
      <c r="O10" s="5">
        <f t="shared" si="8"/>
        <v>6</v>
      </c>
      <c r="P10" s="5" t="str">
        <f t="shared" ca="1" si="1"/>
        <v>Chris Clark</v>
      </c>
      <c r="Q10" s="7">
        <f t="shared" ca="1" si="2"/>
        <v>78.832999999999998</v>
      </c>
      <c r="R10" s="5">
        <f t="shared" ca="1" si="3"/>
        <v>6</v>
      </c>
    </row>
    <row r="11" spans="1:20" x14ac:dyDescent="0.2">
      <c r="A11" s="71" t="str">
        <f ca="1"/>
        <v>CLED</v>
      </c>
      <c r="B11" t="str">
        <f ca="1"/>
        <v>Clive Edghill</v>
      </c>
      <c r="C11" s="9">
        <f t="shared" ca="1" si="0"/>
        <v>95</v>
      </c>
      <c r="D11" s="9">
        <f ca="1">IF(NOT(ISNA(E11)),5*OFFSET(Batting!$CE$4,E11,0,1,1),0)</f>
        <v>35</v>
      </c>
      <c r="E11" s="9">
        <f ca="1">MATCH(A11,Batting!$A$5:$A$62,0)</f>
        <v>12</v>
      </c>
      <c r="F11" s="9">
        <f ca="1">IF(NOT(ISNA(E11)),OFFSET(Batting!$B$4,E11,$C$1,1,1),0)</f>
        <v>45</v>
      </c>
      <c r="G11" s="9" t="e">
        <f ca="1">MATCH(A11,Bowling!$A$5:$A$48,0)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15</v>
      </c>
      <c r="J11" s="9">
        <f ca="1">VLOOKUP(A11,'Fantasy Teams'!$A$45:$C$87,3,FALSE)</f>
        <v>2</v>
      </c>
      <c r="K11" s="10">
        <f t="shared" ca="1" si="4"/>
        <v>47.5</v>
      </c>
      <c r="L11" s="5">
        <f t="shared" ca="1" si="5"/>
        <v>47.500109999999999</v>
      </c>
      <c r="M11" s="5">
        <f t="shared" ca="1" si="6"/>
        <v>14</v>
      </c>
      <c r="N11" s="5">
        <f t="shared" ca="1" si="7"/>
        <v>4</v>
      </c>
      <c r="O11" s="5">
        <f t="shared" si="8"/>
        <v>7</v>
      </c>
      <c r="P11" s="5" t="str">
        <f t="shared" ca="1" si="1"/>
        <v>Andy Mander</v>
      </c>
      <c r="Q11" s="7">
        <f t="shared" ca="1" si="2"/>
        <v>75.332999999999998</v>
      </c>
      <c r="R11" s="5">
        <f t="shared" ca="1" si="3"/>
        <v>6</v>
      </c>
    </row>
    <row r="12" spans="1:20" x14ac:dyDescent="0.2">
      <c r="A12" s="71" t="str">
        <f ca="1"/>
        <v>COMA</v>
      </c>
      <c r="B12" t="str">
        <f ca="1"/>
        <v>Colin Mander</v>
      </c>
      <c r="C12" s="9">
        <f t="shared" ca="1" si="0"/>
        <v>247</v>
      </c>
      <c r="D12" s="9">
        <f ca="1">IF(NOT(ISNA(E12)),5*OFFSET(Batting!$CE$4,E12,0,1,1),0)</f>
        <v>45</v>
      </c>
      <c r="E12" s="9">
        <f ca="1">MATCH(A12,Batting!$A$5:$A$62,0)</f>
        <v>26</v>
      </c>
      <c r="F12" s="9">
        <f ca="1">IF(NOT(ISNA(E12)),OFFSET(Batting!$B$4,E12,$C$1,1,1),0)</f>
        <v>117</v>
      </c>
      <c r="G12" s="9">
        <f ca="1">MATCH(A12,Bowling!$A$5:$A$48,0)</f>
        <v>20</v>
      </c>
      <c r="H12" s="9">
        <f ca="1">IF(NOT(ISNA(G12)),OFFSET(Bowling!$CO$4,G12,0,1,1),0)</f>
        <v>17</v>
      </c>
      <c r="I12" s="9">
        <f ca="1">IF(NOT(ISNA(E12)),OFFSET(Batting!$B$4,E12,$C$1+1,1,1),0)</f>
        <v>68</v>
      </c>
      <c r="J12" s="9">
        <f ca="1">VLOOKUP(A12,'Fantasy Teams'!$A$45:$C$87,3,FALSE)</f>
        <v>9</v>
      </c>
      <c r="K12" s="10">
        <f t="shared" ca="1" si="4"/>
        <v>27.443999999999999</v>
      </c>
      <c r="L12" s="5">
        <f t="shared" ca="1" si="5"/>
        <v>27.444119999999998</v>
      </c>
      <c r="M12" s="5">
        <f t="shared" ca="1" si="6"/>
        <v>17</v>
      </c>
      <c r="N12" s="5">
        <f t="shared" ca="1" si="7"/>
        <v>25</v>
      </c>
      <c r="O12" s="5">
        <f t="shared" si="8"/>
        <v>8</v>
      </c>
      <c r="P12" s="5" t="str">
        <f t="shared" ca="1" si="1"/>
        <v>Mike Bowers</v>
      </c>
      <c r="Q12" s="7">
        <f t="shared" ca="1" si="2"/>
        <v>70</v>
      </c>
      <c r="R12" s="5">
        <f t="shared" ca="1" si="3"/>
        <v>3</v>
      </c>
    </row>
    <row r="13" spans="1:20" x14ac:dyDescent="0.2">
      <c r="A13" s="71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MATCH(A13,Batting!$A$5:$A$62,0)</f>
        <v>#N/A</v>
      </c>
      <c r="F13" s="9">
        <f ca="1">IF(NOT(ISNA(E13)),OFFSET(Batting!$B$4,E13,$C$1,1,1),0)</f>
        <v>0</v>
      </c>
      <c r="G13" s="9" t="e">
        <f ca="1">MATCH(A13,Bowling!$A$5:$A$48,0)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35</v>
      </c>
      <c r="N13" s="5">
        <f t="shared" ca="1" si="7"/>
        <v>22</v>
      </c>
      <c r="O13" s="5">
        <f t="shared" si="8"/>
        <v>9</v>
      </c>
      <c r="P13" s="5" t="str">
        <f t="shared" ca="1" si="1"/>
        <v>Jon Worthy</v>
      </c>
      <c r="Q13" s="7">
        <f t="shared" ca="1" si="2"/>
        <v>65</v>
      </c>
      <c r="R13" s="5">
        <f t="shared" ca="1" si="3"/>
        <v>5</v>
      </c>
    </row>
    <row r="14" spans="1:20" x14ac:dyDescent="0.2">
      <c r="A14" s="71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MATCH(A14,Batting!$A$5:$A$62,0)</f>
        <v>#N/A</v>
      </c>
      <c r="F14" s="9">
        <f ca="1">IF(NOT(ISNA(E14)),OFFSET(Batting!$B$4,E14,$C$1,1,1),0)</f>
        <v>0</v>
      </c>
      <c r="G14" s="9">
        <f ca="1">MATCH(A14,Bowling!$A$5:$A$48,0)</f>
        <v>23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34</v>
      </c>
      <c r="N14" s="5">
        <f t="shared" ca="1" si="7"/>
        <v>29</v>
      </c>
      <c r="O14" s="5">
        <f t="shared" si="8"/>
        <v>10</v>
      </c>
      <c r="P14" s="5" t="str">
        <f t="shared" ca="1" si="1"/>
        <v>Neil Mander</v>
      </c>
      <c r="Q14" s="7">
        <f t="shared" ca="1" si="2"/>
        <v>61.444000000000003</v>
      </c>
      <c r="R14" s="5">
        <f t="shared" ca="1" si="3"/>
        <v>9</v>
      </c>
    </row>
    <row r="15" spans="1:20" x14ac:dyDescent="0.2">
      <c r="A15" s="71" t="str">
        <f ca="1"/>
        <v>DABR</v>
      </c>
      <c r="B15" t="str">
        <f ca="1"/>
        <v>David Brocks</v>
      </c>
      <c r="C15" s="9">
        <f t="shared" ca="1" si="0"/>
        <v>68</v>
      </c>
      <c r="D15" s="9">
        <f ca="1">IF(NOT(ISNA(E15)),5*OFFSET(Batting!$CE$4,E15,0,1,1),0)</f>
        <v>15</v>
      </c>
      <c r="E15" s="9">
        <f ca="1">MATCH(A15,Batting!$A$5:$A$62,0)</f>
        <v>4</v>
      </c>
      <c r="F15" s="9">
        <f ca="1">IF(NOT(ISNA(E15)),OFFSET(Batting!$B$4,E15,$C$1,1,1),0)</f>
        <v>43</v>
      </c>
      <c r="G15" s="9">
        <f ca="1">MATCH(A15,Bowling!$A$5:$A$48,0)</f>
        <v>2</v>
      </c>
      <c r="H15" s="9">
        <f ca="1">IF(NOT(ISNA(G15)),OFFSET(Bowling!$CO$4,G15,0,1,1),0)</f>
        <v>5</v>
      </c>
      <c r="I15" s="9">
        <f ca="1">IF(NOT(ISNA(E15)),OFFSET(Batting!$B$4,E15,$C$1+1,1,1),0)</f>
        <v>5</v>
      </c>
      <c r="J15" s="9">
        <f ca="1">VLOOKUP(A15,'Fantasy Teams'!$A$45:$C$87,3,FALSE)</f>
        <v>4</v>
      </c>
      <c r="K15" s="10">
        <f t="shared" ca="1" si="4"/>
        <v>17</v>
      </c>
      <c r="L15" s="5">
        <f t="shared" ca="1" si="5"/>
        <v>17.000150000000001</v>
      </c>
      <c r="M15" s="5">
        <f t="shared" ca="1" si="6"/>
        <v>19</v>
      </c>
      <c r="N15" s="5">
        <f t="shared" ca="1" si="7"/>
        <v>20</v>
      </c>
      <c r="O15" s="5">
        <f t="shared" si="8"/>
        <v>11</v>
      </c>
      <c r="P15" s="5" t="str">
        <f t="shared" ca="1" si="1"/>
        <v>John Elliston</v>
      </c>
      <c r="Q15" s="7">
        <f t="shared" ca="1" si="2"/>
        <v>60.6</v>
      </c>
      <c r="R15" s="5">
        <f t="shared" ca="1" si="3"/>
        <v>5</v>
      </c>
      <c r="S15" s="5">
        <f ca="1">SUM(R5:R15)</f>
        <v>63</v>
      </c>
      <c r="T15" s="125">
        <f t="array" aca="1" ref="T15" ca="1">SUM(Q5:Q15*R5:R15)</f>
        <v>5675.99</v>
      </c>
    </row>
    <row r="16" spans="1:20" x14ac:dyDescent="0.2">
      <c r="A16" s="71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IF(NOT(ISNA(E16)),5*OFFSET(Batting!$CE$4,E16,0,1,1),0)</f>
        <v>0</v>
      </c>
      <c r="E16" s="9">
        <f ca="1">MATCH(A16,Batting!$A$5:$A$62,0)</f>
        <v>36</v>
      </c>
      <c r="F16" s="9">
        <f ca="1">IF(NOT(ISNA(E16)),OFFSET(Batting!$B$4,E16,$C$1,1,1),0)</f>
        <v>0</v>
      </c>
      <c r="G16" s="9">
        <f ca="1">MATCH(A16,Bowling!$A$5:$A$48,0)</f>
        <v>30</v>
      </c>
      <c r="H16" s="9">
        <f ca="1">IF(NOT(ISNA(G16)),OFFSET(Bowling!$CO$4,G16,0,1,1),0)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33</v>
      </c>
      <c r="N16" s="5">
        <f t="shared" ca="1" si="7"/>
        <v>5</v>
      </c>
      <c r="O16" s="5">
        <f t="shared" si="8"/>
        <v>12</v>
      </c>
      <c r="P16" s="5" t="str">
        <f t="shared" ca="1" si="1"/>
        <v>Bob Young</v>
      </c>
      <c r="Q16" s="7">
        <f t="shared" ca="1" si="2"/>
        <v>56</v>
      </c>
      <c r="R16" s="5">
        <f t="shared" ca="1" si="3"/>
        <v>4</v>
      </c>
    </row>
    <row r="17" spans="1:18" x14ac:dyDescent="0.2">
      <c r="A17" s="71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>
        <f ca="1">MATCH(A17,Batting!$A$5:$A$62,0)</f>
        <v>39</v>
      </c>
      <c r="F17" s="9">
        <f ca="1">IF(NOT(ISNA(E17)),OFFSET(Batting!$B$4,E17,$C$1,1,1),0)</f>
        <v>0</v>
      </c>
      <c r="G17" s="9" t="e">
        <f ca="1">MATCH(A17,Bowling!$A$5:$A$48,0)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32</v>
      </c>
      <c r="N17" s="5">
        <f t="shared" ca="1" si="7"/>
        <v>3</v>
      </c>
      <c r="O17" s="5">
        <f t="shared" si="8"/>
        <v>13</v>
      </c>
      <c r="P17" s="5" t="str">
        <f t="shared" ca="1" si="1"/>
        <v>Aiden Coloe</v>
      </c>
      <c r="Q17" s="7">
        <f t="shared" ca="1" si="2"/>
        <v>54</v>
      </c>
      <c r="R17" s="5">
        <f t="shared" ca="1" si="3"/>
        <v>3</v>
      </c>
    </row>
    <row r="18" spans="1:18" x14ac:dyDescent="0.2">
      <c r="A18" s="71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>
        <f ca="1">MATCH(A18,Batting!$A$5:$A$62,0)</f>
        <v>37</v>
      </c>
      <c r="F18" s="9">
        <f ca="1">IF(NOT(ISNA(E18)),OFFSET(Batting!$B$4,E18,$C$1,1,1),0)</f>
        <v>0</v>
      </c>
      <c r="G18" s="9">
        <f ca="1">MATCH(A18,Bowling!$A$5:$A$48,0)</f>
        <v>31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31</v>
      </c>
      <c r="N18" s="5">
        <f t="shared" ca="1" si="7"/>
        <v>7</v>
      </c>
      <c r="O18" s="5">
        <f t="shared" si="8"/>
        <v>14</v>
      </c>
      <c r="P18" s="5" t="str">
        <f t="shared" ca="1" si="1"/>
        <v>Clive Edghill</v>
      </c>
      <c r="Q18" s="7">
        <f t="shared" ca="1" si="2"/>
        <v>47.5</v>
      </c>
      <c r="R18" s="5">
        <f t="shared" ca="1" si="3"/>
        <v>2</v>
      </c>
    </row>
    <row r="19" spans="1:18" x14ac:dyDescent="0.2">
      <c r="A19" s="71" t="str">
        <f ca="1"/>
        <v>GECO</v>
      </c>
      <c r="B19" t="str">
        <f ca="1"/>
        <v>Geoff Cooper</v>
      </c>
      <c r="C19" s="9">
        <f t="shared" ca="1" si="9"/>
        <v>990</v>
      </c>
      <c r="D19" s="9">
        <f ca="1">IF(NOT(ISNA(E19)),5*OFFSET(Batting!$CE$4,E19,0,1,1),0)</f>
        <v>150</v>
      </c>
      <c r="E19" s="9">
        <f ca="1">MATCH(A19,Batting!$A$5:$A$62,0)</f>
        <v>7</v>
      </c>
      <c r="F19" s="9">
        <f ca="1">IF(NOT(ISNA(E19)),OFFSET(Batting!$B$4,E19,$C$1,1,1),0)</f>
        <v>242</v>
      </c>
      <c r="G19" s="9">
        <f ca="1">MATCH(A19,Bowling!$A$5:$A$48,0)</f>
        <v>5</v>
      </c>
      <c r="H19" s="9">
        <f ca="1">IF(NOT(ISNA(G19)),OFFSET(Bowling!$CO$4,G19,0,1,1),0)</f>
        <v>553</v>
      </c>
      <c r="I19" s="9">
        <f ca="1">IF(NOT(ISNA(E19)),OFFSET(Batting!$B$4,E19,$C$1+1,1,1),0)</f>
        <v>45</v>
      </c>
      <c r="J19" s="9">
        <f ca="1">VLOOKUP(A19,'Fantasy Teams'!$A$45:$C$87,3,FALSE)</f>
        <v>6</v>
      </c>
      <c r="K19" s="10">
        <f t="shared" ca="1" si="4"/>
        <v>165</v>
      </c>
      <c r="L19" s="5">
        <f t="shared" ca="1" si="5"/>
        <v>165.00019</v>
      </c>
      <c r="M19" s="5">
        <f t="shared" ca="1" si="6"/>
        <v>1</v>
      </c>
      <c r="N19" s="5">
        <f t="shared" ca="1" si="7"/>
        <v>27</v>
      </c>
      <c r="O19" s="5">
        <f t="shared" si="8"/>
        <v>15</v>
      </c>
      <c r="P19" s="5" t="str">
        <f t="shared" ca="1" si="1"/>
        <v>Mike Woodhouse</v>
      </c>
      <c r="Q19" s="7">
        <f t="shared" ca="1" si="2"/>
        <v>45.8</v>
      </c>
      <c r="R19" s="5">
        <f t="shared" ca="1" si="3"/>
        <v>5</v>
      </c>
    </row>
    <row r="20" spans="1:18" x14ac:dyDescent="0.2">
      <c r="A20" s="71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MATCH(A20,Batting!$A$5:$A$62,0)</f>
        <v>#N/A</v>
      </c>
      <c r="F20" s="9">
        <f ca="1">IF(NOT(ISNA(E20)),OFFSET(Batting!$B$4,E20,$C$1,1,1),0)</f>
        <v>0</v>
      </c>
      <c r="G20" s="9" t="e">
        <f ca="1">MATCH(A20,Bowling!$A$5:$A$48,0)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30</v>
      </c>
      <c r="N20" s="5">
        <f t="shared" ca="1" si="7"/>
        <v>32</v>
      </c>
      <c r="O20" s="5">
        <f t="shared" si="8"/>
        <v>16</v>
      </c>
      <c r="P20" s="5" t="str">
        <f t="shared" ca="1" si="1"/>
        <v>Roy Odeneal</v>
      </c>
      <c r="Q20" s="7">
        <f t="shared" ca="1" si="2"/>
        <v>37</v>
      </c>
      <c r="R20" s="5">
        <f t="shared" ca="1" si="3"/>
        <v>2</v>
      </c>
    </row>
    <row r="21" spans="1:18" x14ac:dyDescent="0.2">
      <c r="A21" s="71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MATCH(A21,Batting!$A$5:$A$62,0)</f>
        <v>#N/A</v>
      </c>
      <c r="F21" s="9">
        <f ca="1">IF(NOT(ISNA(E21)),OFFSET(Batting!$B$4,E21,$C$1,1,1),0)</f>
        <v>0</v>
      </c>
      <c r="G21" s="9" t="e">
        <f ca="1">MATCH(A21,Bowling!$A$5:$A$48,0)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29</v>
      </c>
      <c r="N21" s="5">
        <f t="shared" ca="1" si="7"/>
        <v>8</v>
      </c>
      <c r="O21" s="5">
        <f t="shared" si="8"/>
        <v>17</v>
      </c>
      <c r="P21" s="5" t="str">
        <f t="shared" ca="1" si="1"/>
        <v>Colin Mander</v>
      </c>
      <c r="Q21" s="7">
        <f t="shared" ca="1" si="2"/>
        <v>27.443999999999999</v>
      </c>
      <c r="R21" s="5">
        <f t="shared" ca="1" si="3"/>
        <v>9</v>
      </c>
    </row>
    <row r="22" spans="1:18" x14ac:dyDescent="0.2">
      <c r="A22" s="71" t="str">
        <f ca="1"/>
        <v>JACR</v>
      </c>
      <c r="B22" t="str">
        <f ca="1"/>
        <v>Jason Crisford</v>
      </c>
      <c r="C22" s="9">
        <f t="shared" ca="1" si="9"/>
        <v>21</v>
      </c>
      <c r="D22" s="9">
        <f ca="1">IF(NOT(ISNA(E22)),5*OFFSET(Batting!$CE$4,E22,0,1,1),0)</f>
        <v>5</v>
      </c>
      <c r="E22" s="9">
        <f ca="1">MATCH(A22,Batting!$A$5:$A$62,0)</f>
        <v>9</v>
      </c>
      <c r="F22" s="9">
        <f ca="1">IF(NOT(ISNA(E22)),OFFSET(Batting!$B$4,E22,$C$1,1,1),0)</f>
        <v>6</v>
      </c>
      <c r="G22" s="9" t="e">
        <f ca="1">MATCH(A22,Bowling!$A$5:$A$48,0)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10</v>
      </c>
      <c r="J22" s="9">
        <f ca="1">VLOOKUP(A22,'Fantasy Teams'!$A$45:$C$87,3,FALSE)</f>
        <v>2</v>
      </c>
      <c r="K22" s="10">
        <f t="shared" ca="1" si="4"/>
        <v>10.5</v>
      </c>
      <c r="L22" s="5">
        <f t="shared" ca="1" si="5"/>
        <v>10.500220000000001</v>
      </c>
      <c r="M22" s="5">
        <f t="shared" ca="1" si="6"/>
        <v>21</v>
      </c>
      <c r="N22" s="5">
        <f t="shared" ca="1" si="7"/>
        <v>28</v>
      </c>
      <c r="O22" s="5">
        <f t="shared" si="8"/>
        <v>18</v>
      </c>
      <c r="P22" s="5" t="str">
        <f t="shared" ca="1" si="1"/>
        <v>Naimish Patel</v>
      </c>
      <c r="Q22" s="7">
        <f t="shared" ca="1" si="2"/>
        <v>18.332999999999998</v>
      </c>
      <c r="R22" s="5">
        <f t="shared" ca="1" si="3"/>
        <v>3</v>
      </c>
    </row>
    <row r="23" spans="1:18" x14ac:dyDescent="0.2">
      <c r="A23" s="71" t="str">
        <f ca="1"/>
        <v>JELE</v>
      </c>
      <c r="B23" t="str">
        <f ca="1"/>
        <v>Jeff Lestrelle</v>
      </c>
      <c r="C23" s="9">
        <f t="shared" ca="1" si="9"/>
        <v>420</v>
      </c>
      <c r="D23" s="9">
        <f ca="1">IF(NOT(ISNA(E23)),5*OFFSET(Batting!$CE$4,E23,0,1,1),0)</f>
        <v>105</v>
      </c>
      <c r="E23" s="9">
        <f ca="1">MATCH(A23,Batting!$A$5:$A$62,0)</f>
        <v>23</v>
      </c>
      <c r="F23" s="9">
        <f ca="1">IF(NOT(ISNA(E23)),OFFSET(Batting!$B$4,E23,$C$1,1,1),0)</f>
        <v>198</v>
      </c>
      <c r="G23" s="9">
        <f ca="1">MATCH(A23,Bowling!$A$5:$A$48,0)</f>
        <v>18</v>
      </c>
      <c r="H23" s="9">
        <f ca="1">IF(NOT(ISNA(G23)),OFFSET(Bowling!$CO$4,G23,0,1,1),0)</f>
        <v>53</v>
      </c>
      <c r="I23" s="9">
        <f ca="1">IF(NOT(ISNA(E23)),OFFSET(Batting!$B$4,E23,$C$1+1,1,1),0)</f>
        <v>64</v>
      </c>
      <c r="J23" s="9">
        <f ca="1">VLOOKUP(A23,'Fantasy Teams'!$A$45:$C$87,3,FALSE)</f>
        <v>4</v>
      </c>
      <c r="K23" s="10">
        <f t="shared" ca="1" si="4"/>
        <v>105</v>
      </c>
      <c r="L23" s="5">
        <f t="shared" ca="1" si="5"/>
        <v>105.00023</v>
      </c>
      <c r="M23" s="5">
        <f t="shared" ca="1" si="6"/>
        <v>4</v>
      </c>
      <c r="N23" s="5">
        <f t="shared" ca="1" si="7"/>
        <v>11</v>
      </c>
      <c r="O23" s="5">
        <f t="shared" si="8"/>
        <v>19</v>
      </c>
      <c r="P23" s="5" t="str">
        <f t="shared" ca="1" si="1"/>
        <v>David Brocks</v>
      </c>
      <c r="Q23" s="7">
        <f t="shared" ca="1" si="2"/>
        <v>17</v>
      </c>
      <c r="R23" s="5">
        <f t="shared" ca="1" si="3"/>
        <v>4</v>
      </c>
    </row>
    <row r="24" spans="1:18" x14ac:dyDescent="0.2">
      <c r="A24" s="71" t="str">
        <f ca="1"/>
        <v>JOEL</v>
      </c>
      <c r="B24" t="str">
        <f ca="1"/>
        <v>John Elliston</v>
      </c>
      <c r="C24" s="9">
        <f t="shared" ca="1" si="9"/>
        <v>303</v>
      </c>
      <c r="D24" s="9">
        <f ca="1">IF(NOT(ISNA(E24)),5*OFFSET(Batting!$CE$4,E24,0,1,1),0)</f>
        <v>60</v>
      </c>
      <c r="E24" s="9">
        <f ca="1">MATCH(A24,Batting!$A$5:$A$62,0)</f>
        <v>13</v>
      </c>
      <c r="F24" s="9">
        <f ca="1">IF(NOT(ISNA(E24)),OFFSET(Batting!$B$4,E24,$C$1,1,1),0)</f>
        <v>58</v>
      </c>
      <c r="G24" s="9">
        <f ca="1">MATCH(A24,Bowling!$A$5:$A$48,0)</f>
        <v>9</v>
      </c>
      <c r="H24" s="9">
        <f ca="1">IF(NOT(ISNA(G24)),OFFSET(Bowling!$CO$4,G24,0,1,1),0)</f>
        <v>180</v>
      </c>
      <c r="I24" s="9">
        <f ca="1">IF(NOT(ISNA(E24)),OFFSET(Batting!$B$4,E24,$C$1+1,1,1),0)</f>
        <v>5</v>
      </c>
      <c r="J24" s="9">
        <f ca="1">VLOOKUP(A24,'Fantasy Teams'!$A$45:$C$87,3,FALSE)</f>
        <v>5</v>
      </c>
      <c r="K24" s="10">
        <f t="shared" ca="1" si="4"/>
        <v>60.6</v>
      </c>
      <c r="L24" s="5">
        <f t="shared" ca="1" si="5"/>
        <v>60.600239999999999</v>
      </c>
      <c r="M24" s="5">
        <f t="shared" ca="1" si="6"/>
        <v>11</v>
      </c>
      <c r="N24" s="5">
        <f t="shared" ca="1" si="7"/>
        <v>21</v>
      </c>
      <c r="O24" s="5">
        <f t="shared" si="8"/>
        <v>20</v>
      </c>
      <c r="P24" s="5" t="str">
        <f t="shared" ca="1" si="1"/>
        <v>John Leadley</v>
      </c>
      <c r="Q24" s="7">
        <f t="shared" ca="1" si="2"/>
        <v>10.818</v>
      </c>
      <c r="R24" s="5">
        <f t="shared" ca="1" si="3"/>
        <v>11</v>
      </c>
    </row>
    <row r="25" spans="1:18" x14ac:dyDescent="0.2">
      <c r="A25" s="71" t="str">
        <f ca="1"/>
        <v>JOLE</v>
      </c>
      <c r="B25" t="str">
        <f ca="1"/>
        <v>John Leadley</v>
      </c>
      <c r="C25" s="9">
        <f t="shared" ca="1" si="9"/>
        <v>119</v>
      </c>
      <c r="D25" s="9">
        <f ca="1">IF(NOT(ISNA(E25)),5*OFFSET(Batting!$CE$4,E25,0,1,1),0)</f>
        <v>15</v>
      </c>
      <c r="E25" s="9">
        <f ca="1">MATCH(A25,Batting!$A$5:$A$62,0)</f>
        <v>21</v>
      </c>
      <c r="F25" s="9">
        <f ca="1">IF(NOT(ISNA(E25)),OFFSET(Batting!$B$4,E25,$C$1,1,1),0)</f>
        <v>82</v>
      </c>
      <c r="G25" s="9">
        <f ca="1">MATCH(A25,Bowling!$A$5:$A$48,0)</f>
        <v>16</v>
      </c>
      <c r="H25" s="9">
        <f ca="1">IF(NOT(ISNA(G25)),OFFSET(Bowling!$CO$4,G25,0,1,1),0)</f>
        <v>0</v>
      </c>
      <c r="I25" s="9">
        <f ca="1">IF(NOT(ISNA(E25)),OFFSET(Batting!$B$4,E25,$C$1+1,1,1),0)</f>
        <v>22</v>
      </c>
      <c r="J25" s="9">
        <f ca="1">VLOOKUP(A25,'Fantasy Teams'!$A$45:$C$87,3,FALSE)</f>
        <v>11</v>
      </c>
      <c r="K25" s="10">
        <f t="shared" ca="1" si="4"/>
        <v>10.818</v>
      </c>
      <c r="L25" s="5">
        <f t="shared" ca="1" si="5"/>
        <v>10.818249999999999</v>
      </c>
      <c r="M25" s="5">
        <f t="shared" ca="1" si="6"/>
        <v>20</v>
      </c>
      <c r="N25" s="5">
        <f t="shared" ca="1" si="7"/>
        <v>18</v>
      </c>
      <c r="O25" s="5">
        <f t="shared" si="8"/>
        <v>21</v>
      </c>
      <c r="P25" s="5" t="str">
        <f t="shared" ca="1" si="1"/>
        <v>Jason Crisford</v>
      </c>
      <c r="Q25" s="7">
        <f t="shared" ca="1" si="2"/>
        <v>10.5</v>
      </c>
      <c r="R25" s="5">
        <f t="shared" ca="1" si="3"/>
        <v>2</v>
      </c>
    </row>
    <row r="26" spans="1:18" x14ac:dyDescent="0.2">
      <c r="A26" s="71" t="str">
        <f ca="1"/>
        <v>JOWO</v>
      </c>
      <c r="B26" t="str">
        <f ca="1"/>
        <v>Jon Worthy</v>
      </c>
      <c r="C26" s="9">
        <f t="shared" ca="1" si="9"/>
        <v>325</v>
      </c>
      <c r="D26" s="9">
        <f ca="1">IF(NOT(ISNA(E26)),5*OFFSET(Batting!$CE$4,E26,0,1,1),0)</f>
        <v>55</v>
      </c>
      <c r="E26" s="9">
        <f ca="1">MATCH(A26,Batting!$A$5:$A$62,0)</f>
        <v>44</v>
      </c>
      <c r="F26" s="9">
        <f ca="1">IF(NOT(ISNA(E26)),OFFSET(Batting!$B$4,E26,$C$1,1,1),0)</f>
        <v>75</v>
      </c>
      <c r="G26" s="9">
        <f ca="1">MATCH(A26,Bowling!$A$5:$A$48,0)</f>
        <v>37</v>
      </c>
      <c r="H26" s="9">
        <f ca="1">IF(NOT(ISNA(G26)),OFFSET(Bowling!$CO$4,G26,0,1,1),0)</f>
        <v>190</v>
      </c>
      <c r="I26" s="9">
        <f ca="1">IF(NOT(ISNA(E26)),OFFSET(Batting!$B$4,E26,$C$1+1,1,1),0)</f>
        <v>5</v>
      </c>
      <c r="J26" s="9">
        <f ca="1">VLOOKUP(A26,'Fantasy Teams'!$A$45:$C$87,3,FALSE)</f>
        <v>5</v>
      </c>
      <c r="K26" s="10">
        <f t="shared" ca="1" si="4"/>
        <v>65</v>
      </c>
      <c r="L26" s="5">
        <f t="shared" ca="1" si="5"/>
        <v>65.000259999999997</v>
      </c>
      <c r="M26" s="5">
        <f t="shared" ca="1" si="6"/>
        <v>9</v>
      </c>
      <c r="N26" s="5">
        <f t="shared" ca="1" si="7"/>
        <v>36</v>
      </c>
      <c r="O26" s="5">
        <f t="shared" si="8"/>
        <v>22</v>
      </c>
      <c r="P26" s="5" t="str">
        <f t="shared" ca="1" si="1"/>
        <v>Vince Reid</v>
      </c>
      <c r="Q26" s="7">
        <f t="shared" ca="1" si="2"/>
        <v>0</v>
      </c>
      <c r="R26" s="5">
        <f t="shared" ca="1" si="3"/>
        <v>4</v>
      </c>
    </row>
    <row r="27" spans="1:18" x14ac:dyDescent="0.2">
      <c r="A27" s="71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MATCH(A27,Batting!$A$5:$A$62,0)</f>
        <v>#N/A</v>
      </c>
      <c r="F27" s="9">
        <f ca="1">IF(NOT(ISNA(E27)),OFFSET(Batting!$B$4,E27,$C$1,1,1),0)</f>
        <v>0</v>
      </c>
      <c r="G27" s="9" t="e">
        <f ca="1">MATCH(A27,Bowling!$A$5:$A$48,0)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28</v>
      </c>
      <c r="N27" s="5">
        <f t="shared" ca="1" si="7"/>
        <v>34</v>
      </c>
      <c r="O27" s="5">
        <f t="shared" si="8"/>
        <v>23</v>
      </c>
      <c r="P27" s="5" t="str">
        <f t="shared" ca="1" si="1"/>
        <v>Ted Dugdale</v>
      </c>
      <c r="Q27" s="7">
        <f t="shared" ca="1" si="2"/>
        <v>0</v>
      </c>
      <c r="R27" s="5">
        <f t="shared" ca="1" si="3"/>
        <v>3</v>
      </c>
    </row>
    <row r="28" spans="1:18" x14ac:dyDescent="0.2">
      <c r="A28" s="71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MATCH(A28,Batting!$A$5:$A$62,0)</f>
        <v>#N/A</v>
      </c>
      <c r="F28" s="9">
        <f ca="1">IF(NOT(ISNA(E28)),OFFSET(Batting!$B$4,E28,$C$1,1,1),0)</f>
        <v>0</v>
      </c>
      <c r="G28" s="9" t="e">
        <f ca="1">MATCH(A28,Bowling!$A$5:$A$48,0)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27</v>
      </c>
      <c r="N28" s="5">
        <f t="shared" ca="1" si="7"/>
        <v>33</v>
      </c>
      <c r="O28" s="5">
        <f t="shared" si="8"/>
        <v>24</v>
      </c>
      <c r="P28" s="5" t="str">
        <f t="shared" ca="1" si="1"/>
        <v>Steve Barry</v>
      </c>
      <c r="Q28" s="7">
        <f t="shared" ca="1" si="2"/>
        <v>0</v>
      </c>
      <c r="R28" s="5">
        <f t="shared" ca="1" si="3"/>
        <v>2</v>
      </c>
    </row>
    <row r="29" spans="1:18" x14ac:dyDescent="0.2">
      <c r="A29" s="71" t="str">
        <f ca="1"/>
        <v>MIBO</v>
      </c>
      <c r="B29" t="str">
        <f ca="1"/>
        <v>Mike Bowers</v>
      </c>
      <c r="C29" s="9">
        <f t="shared" ca="1" si="9"/>
        <v>210</v>
      </c>
      <c r="D29" s="9">
        <f ca="1">IF(NOT(ISNA(E29)),5*OFFSET(Batting!$CE$4,E29,0,1,1),0)</f>
        <v>55</v>
      </c>
      <c r="E29" s="9">
        <f ca="1">MATCH(A29,Batting!$A$5:$A$62,0)</f>
        <v>3</v>
      </c>
      <c r="F29" s="9">
        <f ca="1">IF(NOT(ISNA(E29)),OFFSET(Batting!$B$4,E29,$C$1,1,1),0)</f>
        <v>9</v>
      </c>
      <c r="G29" s="9">
        <f ca="1">MATCH(A29,Bowling!$A$5:$A$48,0)</f>
        <v>1</v>
      </c>
      <c r="H29" s="9">
        <f ca="1">IF(NOT(ISNA(G29)),OFFSET(Bowling!$CO$4,G29,0,1,1),0)</f>
        <v>141</v>
      </c>
      <c r="I29" s="9">
        <f ca="1">IF(NOT(ISNA(E29)),OFFSET(Batting!$B$4,E29,$C$1+1,1,1),0)</f>
        <v>5</v>
      </c>
      <c r="J29" s="9">
        <f ca="1">VLOOKUP(A29,'Fantasy Teams'!$A$45:$C$87,3,FALSE)</f>
        <v>3</v>
      </c>
      <c r="K29" s="10">
        <f t="shared" ca="1" si="4"/>
        <v>70</v>
      </c>
      <c r="L29" s="5">
        <f t="shared" ca="1" si="5"/>
        <v>70.000290000000007</v>
      </c>
      <c r="M29" s="5">
        <f t="shared" ca="1" si="6"/>
        <v>8</v>
      </c>
      <c r="N29" s="5">
        <f t="shared" ca="1" si="7"/>
        <v>31</v>
      </c>
      <c r="O29" s="5">
        <f t="shared" si="8"/>
        <v>25</v>
      </c>
      <c r="P29" s="5" t="str">
        <f t="shared" ca="1" si="1"/>
        <v>Ron Morris</v>
      </c>
      <c r="Q29" s="7">
        <f t="shared" ca="1" si="2"/>
        <v>0</v>
      </c>
      <c r="R29" s="5">
        <f t="shared" ca="1" si="3"/>
        <v>2</v>
      </c>
    </row>
    <row r="30" spans="1:18" x14ac:dyDescent="0.2">
      <c r="A30" s="71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MATCH(A30,Batting!$A$5:$A$62,0)</f>
        <v>#N/A</v>
      </c>
      <c r="F30" s="9">
        <f ca="1">IF(NOT(ISNA(E30)),OFFSET(Batting!$B$4,E30,$C$1,1,1),0)</f>
        <v>0</v>
      </c>
      <c r="G30" s="9" t="e">
        <f ca="1">MATCH(A30,Bowling!$A$5:$A$48,0)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26</v>
      </c>
      <c r="N30" s="5">
        <f t="shared" ca="1" si="7"/>
        <v>26</v>
      </c>
      <c r="O30" s="5">
        <f t="shared" si="8"/>
        <v>26</v>
      </c>
      <c r="P30" s="5" t="str">
        <f t="shared" ca="1" si="1"/>
        <v>Mike Hosking</v>
      </c>
      <c r="Q30" s="7">
        <f t="shared" ca="1" si="2"/>
        <v>0</v>
      </c>
      <c r="R30" s="5">
        <f t="shared" ca="1" si="3"/>
        <v>3</v>
      </c>
    </row>
    <row r="31" spans="1:18" x14ac:dyDescent="0.2">
      <c r="A31" s="71" t="str">
        <f ca="1"/>
        <v>MIWO</v>
      </c>
      <c r="B31" t="str">
        <f ca="1"/>
        <v>Mike Woodhouse</v>
      </c>
      <c r="C31" s="9">
        <f t="shared" ca="1" si="9"/>
        <v>229</v>
      </c>
      <c r="D31" s="9">
        <f ca="1">IF(NOT(ISNA(E31)),5*OFFSET(Batting!$CE$4,E31,0,1,1),0)</f>
        <v>90</v>
      </c>
      <c r="E31" s="9">
        <f ca="1">MATCH(A31,Batting!$A$5:$A$62,0)</f>
        <v>42</v>
      </c>
      <c r="F31" s="9">
        <f ca="1">IF(NOT(ISNA(E31)),OFFSET(Batting!$B$4,E31,$C$1,1,1),0)</f>
        <v>96</v>
      </c>
      <c r="G31" s="9">
        <f ca="1">MATCH(A31,Bowling!$A$5:$A$48,0)</f>
        <v>35</v>
      </c>
      <c r="H31" s="9">
        <f ca="1">IF(NOT(ISNA(G31)),OFFSET(Bowling!$CO$4,G31,0,1,1),0)</f>
        <v>27</v>
      </c>
      <c r="I31" s="9">
        <f ca="1">IF(NOT(ISNA(E31)),OFFSET(Batting!$B$4,E31,$C$1+1,1,1),0)</f>
        <v>16</v>
      </c>
      <c r="J31" s="9">
        <f ca="1">VLOOKUP(A31,'Fantasy Teams'!$A$45:$C$87,3,FALSE)</f>
        <v>5</v>
      </c>
      <c r="K31" s="10">
        <f t="shared" ca="1" si="4"/>
        <v>45.8</v>
      </c>
      <c r="L31" s="5">
        <f t="shared" ca="1" si="5"/>
        <v>45.800309999999996</v>
      </c>
      <c r="M31" s="5">
        <f t="shared" ca="1" si="6"/>
        <v>15</v>
      </c>
      <c r="N31" s="5">
        <f t="shared" ca="1" si="7"/>
        <v>24</v>
      </c>
      <c r="O31" s="5">
        <f t="shared" si="8"/>
        <v>27</v>
      </c>
      <c r="P31" s="5" t="str">
        <f t="shared" ca="1" si="1"/>
        <v>Mick Clark</v>
      </c>
      <c r="Q31" s="7">
        <f t="shared" ca="1" si="2"/>
        <v>0</v>
      </c>
      <c r="R31" s="5">
        <f t="shared" ca="1" si="3"/>
        <v>2</v>
      </c>
    </row>
    <row r="32" spans="1:18" x14ac:dyDescent="0.2">
      <c r="A32" s="71" t="str">
        <f ca="1"/>
        <v>NAPA</v>
      </c>
      <c r="B32" t="str">
        <f ca="1"/>
        <v>Naimish Patel</v>
      </c>
      <c r="C32" s="9">
        <f t="shared" ca="1" si="9"/>
        <v>55</v>
      </c>
      <c r="D32" s="9">
        <f ca="1">IF(NOT(ISNA(E32)),5*OFFSET(Batting!$CE$4,E32,0,1,1),0)</f>
        <v>15</v>
      </c>
      <c r="E32" s="9">
        <f ca="1">MATCH(A32,Batting!$A$5:$A$62,0)</f>
        <v>33</v>
      </c>
      <c r="F32" s="9">
        <f ca="1">IF(NOT(ISNA(E32)),OFFSET(Batting!$B$4,E32,$C$1,1,1),0)</f>
        <v>40</v>
      </c>
      <c r="G32" s="9">
        <f ca="1">MATCH(A32,Bowling!$A$5:$A$48,0)</f>
        <v>28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18.332999999999998</v>
      </c>
      <c r="L32" s="5">
        <f t="shared" ca="1" si="5"/>
        <v>18.333319999999997</v>
      </c>
      <c r="M32" s="5">
        <f t="shared" ca="1" si="6"/>
        <v>18</v>
      </c>
      <c r="N32" s="5">
        <f t="shared" ca="1" si="7"/>
        <v>23</v>
      </c>
      <c r="O32" s="5">
        <f t="shared" si="8"/>
        <v>28</v>
      </c>
      <c r="P32" s="5" t="str">
        <f t="shared" ref="P32:P46" ca="1" si="10">OFFSET($B$4,N32,0)</f>
        <v>Kieran Moore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71" t="str">
        <f ca="1"/>
        <v>NEMA</v>
      </c>
      <c r="B33" t="str">
        <f ca="1"/>
        <v>Neil Mander</v>
      </c>
      <c r="C33" s="9">
        <f t="shared" ref="C33:C43" ca="1" si="12">F33+H33+I33+D33</f>
        <v>553</v>
      </c>
      <c r="D33" s="9">
        <f ca="1">IF(NOT(ISNA(E33)),5*OFFSET(Batting!$CE$4,E33,0,1,1),0)</f>
        <v>50</v>
      </c>
      <c r="E33" s="9">
        <f ca="1">MATCH(A33,Batting!$A$5:$A$62,0)</f>
        <v>27</v>
      </c>
      <c r="F33" s="9">
        <f ca="1">IF(NOT(ISNA(E33)),OFFSET(Batting!$B$4,E33,$C$1,1,1),0)</f>
        <v>478</v>
      </c>
      <c r="G33" s="9" t="e">
        <f ca="1">MATCH(A33,Bowling!$A$5:$A$48,0)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25</v>
      </c>
      <c r="J33" s="9">
        <f ca="1">VLOOKUP(A33,'Fantasy Teams'!$A$45:$C$87,3,FALSE)</f>
        <v>9</v>
      </c>
      <c r="K33" s="10">
        <f t="shared" ca="1" si="4"/>
        <v>61.444000000000003</v>
      </c>
      <c r="L33" s="5">
        <f t="shared" ca="1" si="5"/>
        <v>61.444330000000001</v>
      </c>
      <c r="M33" s="5">
        <f t="shared" ca="1" si="6"/>
        <v>10</v>
      </c>
      <c r="N33" s="5">
        <f t="shared" ca="1" si="7"/>
        <v>17</v>
      </c>
      <c r="O33" s="5">
        <f t="shared" si="8"/>
        <v>29</v>
      </c>
      <c r="P33" s="5" t="str">
        <f t="shared" ca="1" si="10"/>
        <v>Glyn Angell</v>
      </c>
      <c r="Q33" s="7">
        <f t="shared" ca="1" si="11"/>
        <v>0</v>
      </c>
      <c r="R33" s="5">
        <f t="shared" ca="1" si="3"/>
        <v>1</v>
      </c>
    </row>
    <row r="34" spans="1:18" x14ac:dyDescent="0.2">
      <c r="A34" s="71" t="str">
        <f ca="1"/>
        <v>RIWO</v>
      </c>
      <c r="B34" t="str">
        <f ca="1"/>
        <v>Rick Worthington</v>
      </c>
      <c r="C34" s="9">
        <f t="shared" ca="1" si="12"/>
        <v>324</v>
      </c>
      <c r="D34" s="9">
        <f ca="1">IF(NOT(ISNA(E34)),5*OFFSET(Batting!$CE$4,E34,0,1,1),0)</f>
        <v>65</v>
      </c>
      <c r="E34" s="9">
        <f ca="1">MATCH(A34,Batting!$A$5:$A$62,0)</f>
        <v>43</v>
      </c>
      <c r="F34" s="9">
        <f ca="1">IF(NOT(ISNA(E34)),OFFSET(Batting!$B$4,E34,$C$1,1,1),0)</f>
        <v>244</v>
      </c>
      <c r="G34" s="9">
        <f ca="1">MATCH(A34,Bowling!$A$5:$A$48,0)</f>
        <v>36</v>
      </c>
      <c r="H34" s="9">
        <f ca="1">IF(NOT(ISNA(G34)),OFFSET(Bowling!$CO$4,G34,0,1,1),0)</f>
        <v>-5</v>
      </c>
      <c r="I34" s="9">
        <f ca="1">IF(NOT(ISNA(E34)),OFFSET(Batting!$B$4,E34,$C$1+1,1,1),0)</f>
        <v>20</v>
      </c>
      <c r="J34" s="9">
        <f ca="1">VLOOKUP(A34,'Fantasy Teams'!$A$45:$C$87,3,FALSE)</f>
        <v>4</v>
      </c>
      <c r="K34" s="10">
        <f t="shared" ca="1" si="4"/>
        <v>81</v>
      </c>
      <c r="L34" s="5">
        <f t="shared" ca="1" si="5"/>
        <v>81.000339999999994</v>
      </c>
      <c r="M34" s="5">
        <f t="shared" ca="1" si="6"/>
        <v>5</v>
      </c>
      <c r="N34" s="5">
        <f t="shared" ca="1" si="7"/>
        <v>16</v>
      </c>
      <c r="O34" s="5">
        <f t="shared" si="8"/>
        <v>30</v>
      </c>
      <c r="P34" s="5" t="str">
        <f t="shared" ca="1" si="10"/>
        <v>Glen Lilley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71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MATCH(A35,Batting!$A$5:$A$62,0)</f>
        <v>#N/A</v>
      </c>
      <c r="F35" s="9">
        <f ca="1">IF(NOT(ISNA(E35)),OFFSET(Batting!$B$4,E35,$C$1,1,1),0)</f>
        <v>0</v>
      </c>
      <c r="G35" s="9" t="e">
        <f ca="1">MATCH(A35,Bowling!$A$5:$A$48,0)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25</v>
      </c>
      <c r="N35" s="5">
        <f t="shared" ca="1" si="7"/>
        <v>14</v>
      </c>
      <c r="O35" s="5">
        <f t="shared" si="8"/>
        <v>31</v>
      </c>
      <c r="P35" s="5" t="str">
        <f t="shared" ca="1" si="10"/>
        <v>Del Shewan</v>
      </c>
      <c r="Q35" s="7">
        <f t="shared" ca="1" si="11"/>
        <v>0</v>
      </c>
      <c r="R35" s="5">
        <f t="shared" ca="1" si="3"/>
        <v>3</v>
      </c>
    </row>
    <row r="36" spans="1:18" x14ac:dyDescent="0.2">
      <c r="A36" s="71" t="str">
        <f ca="1"/>
        <v>ROOD</v>
      </c>
      <c r="B36" t="str">
        <f ca="1"/>
        <v>Roy Odeneal</v>
      </c>
      <c r="C36" s="9">
        <f t="shared" ca="1" si="12"/>
        <v>74</v>
      </c>
      <c r="D36" s="9">
        <f ca="1">IF(NOT(ISNA(E36)),5*OFFSET(Batting!$CE$4,E36,0,1,1),0)</f>
        <v>50</v>
      </c>
      <c r="E36" s="9">
        <f ca="1">MATCH(A36,Batting!$A$5:$A$62,0)</f>
        <v>31</v>
      </c>
      <c r="F36" s="9">
        <f ca="1">IF(NOT(ISNA(E36)),OFFSET(Batting!$B$4,E36,$C$1,1,1),0)</f>
        <v>14</v>
      </c>
      <c r="G36" s="9" t="e">
        <f ca="1">MATCH(A36,Bowling!$A$5:$A$48,0)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10</v>
      </c>
      <c r="J36" s="9">
        <f ca="1">VLOOKUP(A36,'Fantasy Teams'!$A$45:$C$87,3,FALSE)</f>
        <v>2</v>
      </c>
      <c r="K36" s="10">
        <f t="shared" ca="1" si="4"/>
        <v>37</v>
      </c>
      <c r="L36" s="5">
        <f t="shared" ca="1" si="5"/>
        <v>37.000360000000001</v>
      </c>
      <c r="M36" s="5">
        <f t="shared" ca="1" si="6"/>
        <v>16</v>
      </c>
      <c r="N36" s="5">
        <f t="shared" ca="1" si="7"/>
        <v>13</v>
      </c>
      <c r="O36" s="5">
        <f t="shared" si="8"/>
        <v>32</v>
      </c>
      <c r="P36" s="5" t="str">
        <f t="shared" ca="1" si="10"/>
        <v>David Snow</v>
      </c>
      <c r="Q36" s="7">
        <f t="shared" ca="1" si="11"/>
        <v>0</v>
      </c>
      <c r="R36" s="5">
        <f t="shared" ca="1" si="3"/>
        <v>3</v>
      </c>
    </row>
    <row r="37" spans="1:18" x14ac:dyDescent="0.2">
      <c r="A37" s="71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MATCH(A37,Batting!$A$5:$A$62,0)</f>
        <v>#N/A</v>
      </c>
      <c r="F37" s="9">
        <f ca="1">IF(NOT(ISNA(E37)),OFFSET(Batting!$B$4,E37,$C$1,1,1),0)</f>
        <v>0</v>
      </c>
      <c r="G37" s="9" t="e">
        <f ca="1">MATCH(A37,Bowling!$A$5:$A$48,0)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24</v>
      </c>
      <c r="N37" s="5">
        <f t="shared" ca="1" si="7"/>
        <v>12</v>
      </c>
      <c r="O37" s="5">
        <f t="shared" si="8"/>
        <v>33</v>
      </c>
      <c r="P37" s="5" t="str">
        <f t="shared" ca="1" si="10"/>
        <v>David Sharpe</v>
      </c>
      <c r="Q37" s="7">
        <f t="shared" ca="1" si="11"/>
        <v>0</v>
      </c>
      <c r="R37" s="5">
        <f t="shared" ca="1" si="3"/>
        <v>3</v>
      </c>
    </row>
    <row r="38" spans="1:18" x14ac:dyDescent="0.2">
      <c r="A38" s="71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MATCH(A38,Batting!$A$5:$A$62,0)</f>
        <v>#N/A</v>
      </c>
      <c r="F38" s="9">
        <f ca="1">IF(NOT(ISNA(E38)),OFFSET(Batting!$B$4,E38,$C$1,1,1),0)</f>
        <v>0</v>
      </c>
      <c r="G38" s="9" t="e">
        <f ca="1">MATCH(A38,Bowling!$A$5:$A$48,0)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23</v>
      </c>
      <c r="N38" s="5">
        <f t="shared" ca="1" si="7"/>
        <v>10</v>
      </c>
      <c r="O38" s="5">
        <f t="shared" si="8"/>
        <v>34</v>
      </c>
      <c r="P38" s="5" t="str">
        <f t="shared" ca="1" si="10"/>
        <v>Dave Morris</v>
      </c>
      <c r="Q38" s="7">
        <f t="shared" ca="1" si="11"/>
        <v>0</v>
      </c>
      <c r="R38" s="5">
        <f t="shared" ca="1" si="3"/>
        <v>5</v>
      </c>
    </row>
    <row r="39" spans="1:18" x14ac:dyDescent="0.2">
      <c r="A39" s="71" t="str">
        <f ca="1"/>
        <v>TOSP</v>
      </c>
      <c r="B39" t="str">
        <f ca="1"/>
        <v>Tony Springer</v>
      </c>
      <c r="C39" s="9">
        <f t="shared" ca="1" si="12"/>
        <v>1415</v>
      </c>
      <c r="D39" s="9">
        <f ca="1">IF(NOT(ISNA(E39)),5*OFFSET(Batting!$CE$4,E39,0,1,1),0)</f>
        <v>110</v>
      </c>
      <c r="E39" s="9">
        <f ca="1">MATCH(A39,Batting!$A$5:$A$62,0)</f>
        <v>40</v>
      </c>
      <c r="F39" s="9">
        <f ca="1">IF(NOT(ISNA(E39)),OFFSET(Batting!$B$4,E39,$C$1,1,1),0)</f>
        <v>773</v>
      </c>
      <c r="G39" s="9">
        <f ca="1">MATCH(A39,Bowling!$A$5:$A$48,0)</f>
        <v>33</v>
      </c>
      <c r="H39" s="9">
        <f ca="1">IF(NOT(ISNA(G39)),OFFSET(Bowling!$CO$4,G39,0,1,1),0)</f>
        <v>481</v>
      </c>
      <c r="I39" s="9">
        <f ca="1">IF(NOT(ISNA(E39)),OFFSET(Batting!$B$4,E39,$C$1+1,1,1),0)</f>
        <v>51</v>
      </c>
      <c r="J39" s="9">
        <f ca="1">VLOOKUP(A39,'Fantasy Teams'!$A$45:$C$87,3,FALSE)</f>
        <v>13</v>
      </c>
      <c r="K39" s="10">
        <f t="shared" ca="1" si="4"/>
        <v>108.846</v>
      </c>
      <c r="L39" s="5">
        <f t="shared" ca="1" si="5"/>
        <v>108.84639</v>
      </c>
      <c r="M39" s="5">
        <f t="shared" ca="1" si="6"/>
        <v>2</v>
      </c>
      <c r="N39" s="5">
        <f t="shared" ca="1" si="7"/>
        <v>9</v>
      </c>
      <c r="O39" s="5">
        <f t="shared" si="8"/>
        <v>35</v>
      </c>
      <c r="P39" s="5" t="str">
        <f t="shared" ca="1" si="10"/>
        <v>Daragh Corrigan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71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MATCH(A40,Batting!$A$5:$A$62,0)</f>
        <v>#N/A</v>
      </c>
      <c r="F40" s="9">
        <f ca="1">IF(NOT(ISNA(E40)),OFFSET(Batting!$B$4,E40,$C$1,1,1),0)</f>
        <v>0</v>
      </c>
      <c r="G40" s="9" t="e">
        <f ca="1">MATCH(A40,Bowling!$A$5:$A$48,0)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22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71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MATCH(A41,Batting!$A$5:$A$62,0)</f>
        <v>#N/A</v>
      </c>
      <c r="F41" s="9">
        <f ca="1">IF(NOT(ISNA(E41)),OFFSET(Batting!$B$4,E41,$C$1,1,1),0)</f>
        <v>0</v>
      </c>
      <c r="G41" s="9" t="e">
        <f ca="1">MATCH(A41,Bowling!$A$5:$A$48,0)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1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MATCH(A42,Batting!$A$5:$A$62,0)</f>
        <v>#N/A</v>
      </c>
      <c r="F42" s="9">
        <f ca="1">IF(NOT(ISNA(E42)),OFFSET(Batting!$B$4,E42,$C$1,1,1),0)</f>
        <v>0</v>
      </c>
      <c r="G42" s="9" t="e">
        <f ca="1">MATCH(A42,Bowling!$A$5:$A$48,0)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1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MATCH(A43,Batting!$A$5:$A$62,0)</f>
        <v>#N/A</v>
      </c>
      <c r="F43" s="9">
        <f ca="1">IF(NOT(ISNA(E43)),OFFSET(Batting!$B$4,E43,$C$1,1,1),0)</f>
        <v>0</v>
      </c>
      <c r="G43" s="9" t="e">
        <f ca="1">MATCH(A43,Bowling!$A$5:$A$48,0)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1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MATCH(A44,Batting!$A$5:$A$62,0)</f>
        <v>#N/A</v>
      </c>
      <c r="F44" s="9">
        <f ca="1">IF(NOT(ISNA(E44)),OFFSET(Batting!$B$4,E44,$C$1,1,1),0)</f>
        <v>0</v>
      </c>
      <c r="G44" s="9" t="e">
        <f ca="1">MATCH(A44,Bowling!$A$5:$A$48,0)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1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MATCH(A45,Batting!$A$5:$A$62,0)</f>
        <v>#N/A</v>
      </c>
      <c r="F45" s="9">
        <f ca="1">IF(NOT(ISNA(E45)),OFFSET(Batting!$B$4,E45,$C$1,1,1),0)</f>
        <v>0</v>
      </c>
      <c r="G45" s="9" t="e">
        <f ca="1">MATCH(A45,Bowling!$A$5:$A$48,0)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1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MATCH(A46,Batting!$A$5:$A$62,0)</f>
        <v>#N/A</v>
      </c>
      <c r="F46" s="9">
        <f ca="1">IF(NOT(ISNA(E46)),OFFSET(Batting!$B$4,E46,$C$1,1,1),0)</f>
        <v>0</v>
      </c>
      <c r="G46" s="9" t="e">
        <f ca="1">MATCH(A46,Bowling!$A$5:$A$48,0)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activeCell="Q6" sqref="Q6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21"/>
    <col min="11" max="16384" width="9.140625" style="16"/>
  </cols>
  <sheetData>
    <row r="1" spans="1:10" ht="12.75" customHeight="1" x14ac:dyDescent="0.25">
      <c r="A1" s="13" t="s">
        <v>92</v>
      </c>
      <c r="B1" s="14" t="s">
        <v>100</v>
      </c>
      <c r="C1" s="14" t="s">
        <v>101</v>
      </c>
      <c r="D1" s="14" t="s">
        <v>95</v>
      </c>
      <c r="E1" s="14" t="s">
        <v>97</v>
      </c>
      <c r="F1" s="14" t="s">
        <v>98</v>
      </c>
      <c r="G1" s="14" t="s">
        <v>86</v>
      </c>
      <c r="H1" s="15" t="s">
        <v>102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26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211</v>
      </c>
      <c r="C3" s="18">
        <f ca="1">FantasyPts!D6</f>
        <v>95</v>
      </c>
      <c r="D3" s="18">
        <f ca="1">FantasyPts!F6</f>
        <v>33</v>
      </c>
      <c r="E3" s="18">
        <f ca="1">FantasyPts!H6</f>
        <v>68</v>
      </c>
      <c r="F3" s="18">
        <f ca="1">FantasyPts!I6</f>
        <v>15</v>
      </c>
      <c r="G3" s="18">
        <f ca="1">FantasyPts!J6</f>
        <v>2</v>
      </c>
      <c r="H3" s="19">
        <f ca="1">FantasyPts!K6</f>
        <v>105.5</v>
      </c>
      <c r="I3" s="16">
        <f t="shared" ref="I3:I38" ca="1" si="0">INT(B3/100+0.5)</f>
        <v>2</v>
      </c>
      <c r="J3" s="126">
        <f t="shared" ref="J3:J42" ca="1" si="1">I3-G3</f>
        <v>0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162</v>
      </c>
      <c r="C4" s="18">
        <f ca="1">FantasyPts!D7</f>
        <v>55</v>
      </c>
      <c r="D4" s="18">
        <f ca="1">FantasyPts!F7</f>
        <v>106</v>
      </c>
      <c r="E4" s="18">
        <f ca="1">FantasyPts!H7</f>
        <v>1</v>
      </c>
      <c r="F4" s="18">
        <f ca="1">FantasyPts!I7</f>
        <v>0</v>
      </c>
      <c r="G4" s="18">
        <f ca="1">FantasyPts!J7</f>
        <v>3</v>
      </c>
      <c r="H4" s="19">
        <f ca="1">FantasyPts!K7</f>
        <v>54</v>
      </c>
      <c r="I4" s="16">
        <f t="shared" ca="1" si="0"/>
        <v>2</v>
      </c>
      <c r="J4" s="126">
        <f t="shared" ca="1" si="1"/>
        <v>-1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452</v>
      </c>
      <c r="C5" s="18">
        <f ca="1">FantasyPts!D8</f>
        <v>70</v>
      </c>
      <c r="D5" s="18">
        <f ca="1">FantasyPts!F8</f>
        <v>87</v>
      </c>
      <c r="E5" s="18">
        <f ca="1">FantasyPts!H8</f>
        <v>285</v>
      </c>
      <c r="F5" s="18">
        <f ca="1">FantasyPts!I8</f>
        <v>10</v>
      </c>
      <c r="G5" s="18">
        <f ca="1">FantasyPts!J8</f>
        <v>6</v>
      </c>
      <c r="H5" s="19">
        <f ca="1">FantasyPts!K8</f>
        <v>75.332999999999998</v>
      </c>
      <c r="I5" s="16">
        <f t="shared" ca="1" si="0"/>
        <v>5</v>
      </c>
      <c r="J5" s="126">
        <f t="shared" ca="1" si="1"/>
        <v>-1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224</v>
      </c>
      <c r="C6" s="18">
        <f ca="1">FantasyPts!D9</f>
        <v>55</v>
      </c>
      <c r="D6" s="18">
        <f ca="1">FantasyPts!F9</f>
        <v>23</v>
      </c>
      <c r="E6" s="18">
        <f ca="1">FantasyPts!H9</f>
        <v>116</v>
      </c>
      <c r="F6" s="18">
        <f ca="1">FantasyPts!I9</f>
        <v>30</v>
      </c>
      <c r="G6" s="18">
        <f ca="1">FantasyPts!J9</f>
        <v>4</v>
      </c>
      <c r="H6" s="19">
        <f ca="1">FantasyPts!K9</f>
        <v>56</v>
      </c>
      <c r="I6" s="16">
        <f t="shared" ca="1" si="0"/>
        <v>2</v>
      </c>
      <c r="J6" s="126">
        <f t="shared" ca="1" si="1"/>
        <v>-2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473</v>
      </c>
      <c r="C7" s="18">
        <f ca="1">FantasyPts!D10</f>
        <v>90</v>
      </c>
      <c r="D7" s="18">
        <f ca="1">FantasyPts!F10</f>
        <v>51</v>
      </c>
      <c r="E7" s="18">
        <f ca="1">FantasyPts!H10</f>
        <v>332</v>
      </c>
      <c r="F7" s="18">
        <f ca="1">FantasyPts!I10</f>
        <v>0</v>
      </c>
      <c r="G7" s="18">
        <f ca="1">FantasyPts!J10</f>
        <v>6</v>
      </c>
      <c r="H7" s="19">
        <f ca="1">FantasyPts!K10</f>
        <v>78.832999999999998</v>
      </c>
      <c r="I7" s="16">
        <f t="shared" ca="1" si="0"/>
        <v>5</v>
      </c>
      <c r="J7" s="126">
        <f t="shared" ca="1" si="1"/>
        <v>-1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95</v>
      </c>
      <c r="C8" s="18">
        <f ca="1">FantasyPts!D11</f>
        <v>35</v>
      </c>
      <c r="D8" s="18">
        <f ca="1">FantasyPts!F11</f>
        <v>45</v>
      </c>
      <c r="E8" s="18">
        <f ca="1">FantasyPts!H11</f>
        <v>0</v>
      </c>
      <c r="F8" s="18">
        <f ca="1">FantasyPts!I11</f>
        <v>15</v>
      </c>
      <c r="G8" s="18">
        <f ca="1">FantasyPts!J11</f>
        <v>2</v>
      </c>
      <c r="H8" s="19">
        <f ca="1">FantasyPts!K11</f>
        <v>47.5</v>
      </c>
      <c r="I8" s="16">
        <f t="shared" ca="1" si="0"/>
        <v>1</v>
      </c>
      <c r="J8" s="126">
        <f t="shared" ca="1" si="1"/>
        <v>-1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247</v>
      </c>
      <c r="C9" s="18">
        <f ca="1">FantasyPts!D12</f>
        <v>45</v>
      </c>
      <c r="D9" s="18">
        <f ca="1">FantasyPts!F12</f>
        <v>117</v>
      </c>
      <c r="E9" s="18">
        <f ca="1">FantasyPts!H12</f>
        <v>17</v>
      </c>
      <c r="F9" s="18">
        <f ca="1">FantasyPts!I12</f>
        <v>68</v>
      </c>
      <c r="G9" s="18">
        <f ca="1">FantasyPts!J12</f>
        <v>9</v>
      </c>
      <c r="H9" s="19">
        <f ca="1">FantasyPts!K12</f>
        <v>27.443999999999999</v>
      </c>
      <c r="I9" s="16">
        <f t="shared" ca="1" si="0"/>
        <v>2</v>
      </c>
      <c r="J9" s="126">
        <f t="shared" ca="1" si="1"/>
        <v>-7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26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26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68</v>
      </c>
      <c r="C12" s="18">
        <f ca="1">FantasyPts!D15</f>
        <v>15</v>
      </c>
      <c r="D12" s="18">
        <f ca="1">FantasyPts!F15</f>
        <v>43</v>
      </c>
      <c r="E12" s="18">
        <f ca="1">FantasyPts!H15</f>
        <v>5</v>
      </c>
      <c r="F12" s="18">
        <f ca="1">FantasyPts!I15</f>
        <v>5</v>
      </c>
      <c r="G12" s="18">
        <f ca="1">FantasyPts!J15</f>
        <v>4</v>
      </c>
      <c r="H12" s="19">
        <f ca="1">FantasyPts!K15</f>
        <v>17</v>
      </c>
      <c r="I12" s="16">
        <f t="shared" ca="1" si="0"/>
        <v>1</v>
      </c>
      <c r="J12" s="126">
        <f t="shared" ca="1" si="1"/>
        <v>-3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26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26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26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990</v>
      </c>
      <c r="C16" s="18">
        <f ca="1">FantasyPts!D19</f>
        <v>150</v>
      </c>
      <c r="D16" s="18">
        <f ca="1">FantasyPts!F19</f>
        <v>242</v>
      </c>
      <c r="E16" s="18">
        <f ca="1">FantasyPts!H19</f>
        <v>553</v>
      </c>
      <c r="F16" s="18">
        <f ca="1">FantasyPts!I19</f>
        <v>45</v>
      </c>
      <c r="G16" s="18">
        <f ca="1">FantasyPts!J19</f>
        <v>6</v>
      </c>
      <c r="H16" s="19">
        <f ca="1">FantasyPts!K19</f>
        <v>165</v>
      </c>
      <c r="I16" s="16">
        <f t="shared" ca="1" si="0"/>
        <v>10</v>
      </c>
      <c r="J16" s="126">
        <f t="shared" ca="1" si="1"/>
        <v>4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26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26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21</v>
      </c>
      <c r="C19" s="18">
        <f ca="1">FantasyPts!D22</f>
        <v>5</v>
      </c>
      <c r="D19" s="18">
        <f ca="1">FantasyPts!F22</f>
        <v>6</v>
      </c>
      <c r="E19" s="18">
        <f ca="1">FantasyPts!H22</f>
        <v>0</v>
      </c>
      <c r="F19" s="18">
        <f ca="1">FantasyPts!I22</f>
        <v>10</v>
      </c>
      <c r="G19" s="18">
        <f ca="1">FantasyPts!J22</f>
        <v>2</v>
      </c>
      <c r="H19" s="19">
        <f ca="1">FantasyPts!K22</f>
        <v>10.5</v>
      </c>
      <c r="I19" s="16">
        <f t="shared" ca="1" si="0"/>
        <v>0</v>
      </c>
      <c r="J19" s="126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420</v>
      </c>
      <c r="C20" s="18">
        <f ca="1">FantasyPts!D23</f>
        <v>105</v>
      </c>
      <c r="D20" s="18">
        <f ca="1">FantasyPts!F23</f>
        <v>198</v>
      </c>
      <c r="E20" s="18">
        <f ca="1">FantasyPts!H23</f>
        <v>53</v>
      </c>
      <c r="F20" s="18">
        <f ca="1">FantasyPts!I23</f>
        <v>64</v>
      </c>
      <c r="G20" s="18">
        <f ca="1">FantasyPts!J23</f>
        <v>4</v>
      </c>
      <c r="H20" s="19">
        <f ca="1">FantasyPts!K23</f>
        <v>105</v>
      </c>
      <c r="I20" s="16">
        <f t="shared" ca="1" si="0"/>
        <v>4</v>
      </c>
      <c r="J20" s="126">
        <f t="shared" ca="1" si="1"/>
        <v>0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303</v>
      </c>
      <c r="C21" s="18">
        <f ca="1">FantasyPts!D24</f>
        <v>60</v>
      </c>
      <c r="D21" s="18">
        <f ca="1">FantasyPts!F24</f>
        <v>58</v>
      </c>
      <c r="E21" s="18">
        <f ca="1">FantasyPts!H24</f>
        <v>180</v>
      </c>
      <c r="F21" s="18">
        <f ca="1">FantasyPts!I24</f>
        <v>5</v>
      </c>
      <c r="G21" s="18">
        <f ca="1">FantasyPts!J24</f>
        <v>5</v>
      </c>
      <c r="H21" s="19">
        <f ca="1">FantasyPts!K24</f>
        <v>60.6</v>
      </c>
      <c r="I21" s="16">
        <f t="shared" ca="1" si="0"/>
        <v>3</v>
      </c>
      <c r="J21" s="126">
        <f t="shared" ca="1" si="1"/>
        <v>-2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119</v>
      </c>
      <c r="C22" s="18">
        <f ca="1">FantasyPts!D25</f>
        <v>15</v>
      </c>
      <c r="D22" s="18">
        <f ca="1">FantasyPts!F25</f>
        <v>82</v>
      </c>
      <c r="E22" s="18">
        <f ca="1">FantasyPts!H25</f>
        <v>0</v>
      </c>
      <c r="F22" s="18">
        <f ca="1">FantasyPts!I25</f>
        <v>22</v>
      </c>
      <c r="G22" s="18">
        <f ca="1">FantasyPts!J25</f>
        <v>11</v>
      </c>
      <c r="H22" s="19">
        <f ca="1">FantasyPts!K25</f>
        <v>10.818</v>
      </c>
      <c r="I22" s="16">
        <f t="shared" ca="1" si="0"/>
        <v>1</v>
      </c>
      <c r="J22" s="126">
        <f t="shared" ca="1" si="1"/>
        <v>-10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325</v>
      </c>
      <c r="C23" s="18">
        <f ca="1">FantasyPts!D26</f>
        <v>55</v>
      </c>
      <c r="D23" s="18">
        <f ca="1">FantasyPts!F26</f>
        <v>75</v>
      </c>
      <c r="E23" s="18">
        <f ca="1">FantasyPts!H26</f>
        <v>190</v>
      </c>
      <c r="F23" s="18">
        <f ca="1">FantasyPts!I26</f>
        <v>5</v>
      </c>
      <c r="G23" s="18">
        <f ca="1">FantasyPts!J26</f>
        <v>5</v>
      </c>
      <c r="H23" s="19">
        <f ca="1">FantasyPts!K26</f>
        <v>65</v>
      </c>
      <c r="I23" s="16">
        <f t="shared" ca="1" si="0"/>
        <v>3</v>
      </c>
      <c r="J23" s="126">
        <f t="shared" ca="1" si="1"/>
        <v>-2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26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26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210</v>
      </c>
      <c r="C26" s="18">
        <f ca="1">FantasyPts!D29</f>
        <v>55</v>
      </c>
      <c r="D26" s="18">
        <f ca="1">FantasyPts!F29</f>
        <v>9</v>
      </c>
      <c r="E26" s="18">
        <f ca="1">FantasyPts!H29</f>
        <v>141</v>
      </c>
      <c r="F26" s="18">
        <f ca="1">FantasyPts!I29</f>
        <v>5</v>
      </c>
      <c r="G26" s="18">
        <f ca="1">FantasyPts!J29</f>
        <v>3</v>
      </c>
      <c r="H26" s="19">
        <f ca="1">FantasyPts!K29</f>
        <v>70</v>
      </c>
      <c r="I26" s="16">
        <f t="shared" ca="1" si="0"/>
        <v>2</v>
      </c>
      <c r="J26" s="126">
        <f t="shared" ca="1" si="1"/>
        <v>-1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26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229</v>
      </c>
      <c r="C28" s="18">
        <f ca="1">FantasyPts!D31</f>
        <v>90</v>
      </c>
      <c r="D28" s="18">
        <f ca="1">FantasyPts!F31</f>
        <v>96</v>
      </c>
      <c r="E28" s="18">
        <f ca="1">FantasyPts!H31</f>
        <v>27</v>
      </c>
      <c r="F28" s="18">
        <f ca="1">FantasyPts!I31</f>
        <v>16</v>
      </c>
      <c r="G28" s="18">
        <f ca="1">FantasyPts!J31</f>
        <v>5</v>
      </c>
      <c r="H28" s="19">
        <f ca="1">FantasyPts!K31</f>
        <v>45.8</v>
      </c>
      <c r="I28" s="16">
        <f t="shared" ca="1" si="0"/>
        <v>2</v>
      </c>
      <c r="J28" s="126">
        <f t="shared" ca="1" si="1"/>
        <v>-3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55</v>
      </c>
      <c r="C29" s="18">
        <f ca="1">FantasyPts!D32</f>
        <v>15</v>
      </c>
      <c r="D29" s="18">
        <f ca="1">FantasyPts!F32</f>
        <v>40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18.332999999999998</v>
      </c>
      <c r="I29" s="16">
        <f t="shared" ca="1" si="0"/>
        <v>1</v>
      </c>
      <c r="J29" s="126">
        <f t="shared" ca="1" si="1"/>
        <v>-2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553</v>
      </c>
      <c r="C30" s="18">
        <f ca="1">FantasyPts!D33</f>
        <v>50</v>
      </c>
      <c r="D30" s="18">
        <f ca="1">FantasyPts!F33</f>
        <v>478</v>
      </c>
      <c r="E30" s="18">
        <f ca="1">FantasyPts!H33</f>
        <v>0</v>
      </c>
      <c r="F30" s="18">
        <f ca="1">FantasyPts!I33</f>
        <v>25</v>
      </c>
      <c r="G30" s="18">
        <f ca="1">FantasyPts!J33</f>
        <v>9</v>
      </c>
      <c r="H30" s="19">
        <f ca="1">FantasyPts!K33</f>
        <v>61.444000000000003</v>
      </c>
      <c r="I30" s="16">
        <f t="shared" ca="1" si="0"/>
        <v>6</v>
      </c>
      <c r="J30" s="126">
        <f t="shared" ca="1" si="1"/>
        <v>-3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324</v>
      </c>
      <c r="C31" s="18">
        <f ca="1">FantasyPts!D34</f>
        <v>65</v>
      </c>
      <c r="D31" s="18">
        <f ca="1">FantasyPts!F34</f>
        <v>244</v>
      </c>
      <c r="E31" s="18">
        <f ca="1">FantasyPts!H34</f>
        <v>-5</v>
      </c>
      <c r="F31" s="18">
        <f ca="1">FantasyPts!I34</f>
        <v>20</v>
      </c>
      <c r="G31" s="18">
        <f ca="1">FantasyPts!J34</f>
        <v>4</v>
      </c>
      <c r="H31" s="19">
        <f ca="1">FantasyPts!K34</f>
        <v>81</v>
      </c>
      <c r="I31" s="16">
        <f t="shared" ca="1" si="0"/>
        <v>3</v>
      </c>
      <c r="J31" s="126">
        <f t="shared" ca="1" si="1"/>
        <v>-1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26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74</v>
      </c>
      <c r="C33" s="18">
        <f ca="1">FantasyPts!D36</f>
        <v>50</v>
      </c>
      <c r="D33" s="18">
        <f ca="1">FantasyPts!F36</f>
        <v>14</v>
      </c>
      <c r="E33" s="18">
        <f ca="1">FantasyPts!H36</f>
        <v>0</v>
      </c>
      <c r="F33" s="18">
        <f ca="1">FantasyPts!I36</f>
        <v>10</v>
      </c>
      <c r="G33" s="18">
        <f ca="1">FantasyPts!J36</f>
        <v>2</v>
      </c>
      <c r="H33" s="19">
        <f ca="1">FantasyPts!K36</f>
        <v>37</v>
      </c>
      <c r="I33" s="16">
        <f t="shared" ca="1" si="0"/>
        <v>1</v>
      </c>
      <c r="J33" s="126">
        <f t="shared" ca="1" si="1"/>
        <v>-1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26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26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1415</v>
      </c>
      <c r="C36" s="18">
        <f ca="1">FantasyPts!D39</f>
        <v>110</v>
      </c>
      <c r="D36" s="18">
        <f ca="1">FantasyPts!F39</f>
        <v>773</v>
      </c>
      <c r="E36" s="18">
        <f ca="1">FantasyPts!H39</f>
        <v>481</v>
      </c>
      <c r="F36" s="18">
        <f ca="1">FantasyPts!I39</f>
        <v>51</v>
      </c>
      <c r="G36" s="18">
        <f ca="1">FantasyPts!J39</f>
        <v>13</v>
      </c>
      <c r="H36" s="19">
        <f ca="1">FantasyPts!K39</f>
        <v>108.846</v>
      </c>
      <c r="I36" s="16">
        <f t="shared" ca="1" si="0"/>
        <v>14</v>
      </c>
      <c r="J36" s="126">
        <f t="shared" ca="1" si="1"/>
        <v>1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26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26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26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26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26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26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>
      <selection activeCell="A3" sqref="A3:D40"/>
    </sheetView>
  </sheetViews>
  <sheetFormatPr defaultColWidth="9" defaultRowHeight="12.75" x14ac:dyDescent="0.25"/>
  <cols>
    <col min="1" max="1" width="9.5703125" style="90" customWidth="1"/>
    <col min="2" max="2" width="18" style="89" customWidth="1"/>
    <col min="3" max="3" width="40.5703125" style="89" bestFit="1" customWidth="1"/>
    <col min="4" max="4" width="9.7109375" style="90" customWidth="1"/>
    <col min="5" max="8" width="9" style="89" customWidth="1"/>
    <col min="9" max="9" width="12.28515625" style="89" customWidth="1"/>
    <col min="10" max="10" width="9.140625" customWidth="1"/>
    <col min="11" max="15" width="5.85546875" style="89" customWidth="1"/>
    <col min="16" max="16" width="10.5703125" style="89" customWidth="1"/>
    <col min="17" max="17" width="9" style="89" customWidth="1"/>
    <col min="18" max="18" width="11.5703125" style="89" customWidth="1"/>
    <col min="19" max="16384" width="9" style="89"/>
  </cols>
  <sheetData>
    <row r="1" spans="1:27" x14ac:dyDescent="0.25">
      <c r="A1" s="88" t="s">
        <v>258</v>
      </c>
    </row>
    <row r="2" spans="1:27" x14ac:dyDescent="0.25">
      <c r="A2" s="88"/>
    </row>
    <row r="3" spans="1:27" ht="15" x14ac:dyDescent="0.3">
      <c r="A3" s="11" t="s">
        <v>243</v>
      </c>
      <c r="B3" s="12" t="s">
        <v>103</v>
      </c>
      <c r="C3" s="12" t="s">
        <v>104</v>
      </c>
      <c r="D3" s="11" t="s">
        <v>105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89"/>
      <c r="D43" s="8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2003-01-26T19:55:40Z</cp:lastPrinted>
  <dcterms:created xsi:type="dcterms:W3CDTF">1995-07-17T18:41:11Z</dcterms:created>
  <dcterms:modified xsi:type="dcterms:W3CDTF">2025-02-15T16:01:18Z</dcterms:modified>
</cp:coreProperties>
</file>
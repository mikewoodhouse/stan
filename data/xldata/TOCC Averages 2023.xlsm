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work\Repos\stan\data\xldata\"/>
    </mc:Choice>
  </mc:AlternateContent>
  <xr:revisionPtr revIDLastSave="0" documentId="13_ncr:1_{181501B1-24F9-4CAD-BAA5-F70611E6EEC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9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Batting!$D$85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Batting!$E$85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Bowling!$A$1:$AH$48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91029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" i="18" l="1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AT10" i="2" a="1"/>
  <c r="AT10" i="2" s="1"/>
  <c r="AU10" i="2" a="1"/>
  <c r="AU10" i="2" s="1"/>
  <c r="AW10" i="2" a="1"/>
  <c r="AW10" i="2" s="1"/>
  <c r="AX10" i="2" a="1"/>
  <c r="AX10" i="2" s="1"/>
  <c r="AY10" i="2" a="1"/>
  <c r="AY10" i="2" s="1"/>
  <c r="AZ10" i="2" a="1"/>
  <c r="AZ10" i="2" s="1"/>
  <c r="BA10" i="2" a="1"/>
  <c r="BA10" i="2"/>
  <c r="BB10" i="2" a="1"/>
  <c r="BB10" i="2" s="1"/>
  <c r="BC10" i="2" a="1"/>
  <c r="BC10" i="2"/>
  <c r="AT11" i="2" a="1"/>
  <c r="AT11" i="2" s="1"/>
  <c r="AU11" i="2" a="1"/>
  <c r="AU11" i="2" s="1"/>
  <c r="AW11" i="2" a="1"/>
  <c r="AW11" i="2" s="1"/>
  <c r="AX11" i="2" a="1"/>
  <c r="AX11" i="2" s="1"/>
  <c r="AY11" i="2" a="1"/>
  <c r="AY11" i="2" s="1"/>
  <c r="AZ11" i="2" a="1"/>
  <c r="AZ11" i="2" s="1"/>
  <c r="BA11" i="2" a="1"/>
  <c r="BA11" i="2" s="1"/>
  <c r="BB11" i="2" a="1"/>
  <c r="BB11" i="2"/>
  <c r="BC11" i="2" a="1"/>
  <c r="BC11" i="2" s="1"/>
  <c r="AT12" i="2" a="1"/>
  <c r="AT12" i="2" s="1"/>
  <c r="AU12" i="2" a="1"/>
  <c r="AU12" i="2" s="1"/>
  <c r="AW12" i="2" a="1"/>
  <c r="AW12" i="2" s="1"/>
  <c r="AX12" i="2" a="1"/>
  <c r="AX12" i="2"/>
  <c r="AY12" i="2" a="1"/>
  <c r="AY12" i="2" s="1"/>
  <c r="AZ12" i="2" a="1"/>
  <c r="AZ12" i="2"/>
  <c r="BA12" i="2" a="1"/>
  <c r="BA12" i="2" s="1"/>
  <c r="BB12" i="2" a="1"/>
  <c r="BB12" i="2" s="1"/>
  <c r="BC12" i="2" a="1"/>
  <c r="BC12" i="2" s="1"/>
  <c r="AT13" i="2" a="1"/>
  <c r="AT13" i="2" s="1"/>
  <c r="AU13" i="2" a="1"/>
  <c r="AU13" i="2" s="1"/>
  <c r="AW13" i="2" a="1"/>
  <c r="AW13" i="2" s="1"/>
  <c r="AX13" i="2" a="1"/>
  <c r="AX13" i="2" s="1"/>
  <c r="AY13" i="2" a="1"/>
  <c r="AY13" i="2"/>
  <c r="AZ13" i="2" a="1"/>
  <c r="AZ13" i="2" s="1"/>
  <c r="BA13" i="2" a="1"/>
  <c r="BA13" i="2" s="1"/>
  <c r="BB13" i="2" a="1"/>
  <c r="BB13" i="2" s="1"/>
  <c r="BC13" i="2" a="1"/>
  <c r="BC13" i="2" s="1"/>
  <c r="AT14" i="2" a="1"/>
  <c r="AT14" i="2" s="1"/>
  <c r="AU14" i="2" a="1"/>
  <c r="AU14" i="2" s="1"/>
  <c r="AW14" i="2" a="1"/>
  <c r="AW14" i="2" s="1"/>
  <c r="AX14" i="2" a="1"/>
  <c r="AX14" i="2" s="1"/>
  <c r="AY14" i="2" a="1"/>
  <c r="AY14" i="2" s="1"/>
  <c r="AZ14" i="2" a="1"/>
  <c r="AZ14" i="2" s="1"/>
  <c r="BA14" i="2" a="1"/>
  <c r="BA14" i="2" s="1"/>
  <c r="BB14" i="2" a="1"/>
  <c r="BB14" i="2" s="1"/>
  <c r="BC14" i="2" a="1"/>
  <c r="BC14" i="2" s="1"/>
  <c r="AT15" i="2" a="1"/>
  <c r="AT15" i="2" s="1"/>
  <c r="AU15" i="2" a="1"/>
  <c r="AU15" i="2" s="1"/>
  <c r="AW15" i="2" a="1"/>
  <c r="AW15" i="2" s="1"/>
  <c r="AX15" i="2" a="1"/>
  <c r="AX15" i="2" s="1"/>
  <c r="AY15" i="2" a="1"/>
  <c r="AY15" i="2" s="1"/>
  <c r="AZ15" i="2" a="1"/>
  <c r="AZ15" i="2"/>
  <c r="BA15" i="2" a="1"/>
  <c r="BA15" i="2" s="1"/>
  <c r="BB15" i="2" a="1"/>
  <c r="BB15" i="2" s="1"/>
  <c r="BC15" i="2" a="1"/>
  <c r="BC15" i="2" s="1"/>
  <c r="AT16" i="2" a="1"/>
  <c r="AT16" i="2" s="1"/>
  <c r="AU16" i="2" a="1"/>
  <c r="AU16" i="2" s="1"/>
  <c r="AW16" i="2" a="1"/>
  <c r="AW16" i="2" s="1"/>
  <c r="AX16" i="2" a="1"/>
  <c r="AX16" i="2" s="1"/>
  <c r="AY16" i="2" a="1"/>
  <c r="AY16" i="2" s="1"/>
  <c r="AZ16" i="2" a="1"/>
  <c r="AZ16" i="2" s="1"/>
  <c r="BA16" i="2" a="1"/>
  <c r="BA16" i="2" s="1"/>
  <c r="BB16" i="2" a="1"/>
  <c r="BB16" i="2" s="1"/>
  <c r="BC16" i="2" a="1"/>
  <c r="BC16" i="2" s="1"/>
  <c r="AT17" i="2" a="1"/>
  <c r="AT17" i="2" s="1"/>
  <c r="AU17" i="2" a="1"/>
  <c r="AU17" i="2"/>
  <c r="AW17" i="2" a="1"/>
  <c r="AW17" i="2" s="1"/>
  <c r="AX17" i="2" a="1"/>
  <c r="AX17" i="2" s="1"/>
  <c r="AY17" i="2" a="1"/>
  <c r="AY17" i="2"/>
  <c r="AZ17" i="2" a="1"/>
  <c r="AZ17" i="2" s="1"/>
  <c r="BA17" i="2" a="1"/>
  <c r="BA17" i="2" s="1"/>
  <c r="BB17" i="2" a="1"/>
  <c r="BB17" i="2" s="1"/>
  <c r="BC17" i="2" a="1"/>
  <c r="BC17" i="2" s="1"/>
  <c r="AT18" i="2" a="1"/>
  <c r="AT18" i="2" s="1"/>
  <c r="AU18" i="2" a="1"/>
  <c r="AU18" i="2" s="1"/>
  <c r="AW18" i="2" a="1"/>
  <c r="AW18" i="2"/>
  <c r="AX18" i="2" a="1"/>
  <c r="AX18" i="2"/>
  <c r="AY18" i="2" a="1"/>
  <c r="AY18" i="2" s="1"/>
  <c r="AZ18" i="2" a="1"/>
  <c r="AZ18" i="2" s="1"/>
  <c r="BA18" i="2" a="1"/>
  <c r="BA18" i="2" s="1"/>
  <c r="BB18" i="2" a="1"/>
  <c r="BB18" i="2" s="1"/>
  <c r="BC18" i="2" a="1"/>
  <c r="BC18" i="2"/>
  <c r="AT19" i="2" a="1"/>
  <c r="AT19" i="2" s="1"/>
  <c r="AU19" i="2" a="1"/>
  <c r="AU19" i="2" s="1"/>
  <c r="AW19" i="2" a="1"/>
  <c r="AW19" i="2" s="1"/>
  <c r="AX19" i="2" a="1"/>
  <c r="AX19" i="2" s="1"/>
  <c r="AY19" i="2" a="1"/>
  <c r="AY19" i="2" s="1"/>
  <c r="AZ19" i="2" a="1"/>
  <c r="AZ19" i="2" s="1"/>
  <c r="BA19" i="2" a="1"/>
  <c r="BA19" i="2" s="1"/>
  <c r="BB19" i="2" a="1"/>
  <c r="BB19" i="2"/>
  <c r="BC19" i="2" a="1"/>
  <c r="BC19" i="2" s="1"/>
  <c r="AT20" i="2" a="1"/>
  <c r="AT20" i="2" s="1"/>
  <c r="AU20" i="2" a="1"/>
  <c r="AU20" i="2" s="1"/>
  <c r="AW20" i="2" a="1"/>
  <c r="AW20" i="2" s="1"/>
  <c r="AX20" i="2" a="1"/>
  <c r="AX20" i="2" s="1"/>
  <c r="AY20" i="2" a="1"/>
  <c r="AY20" i="2" s="1"/>
  <c r="AZ20" i="2" a="1"/>
  <c r="AZ20" i="2" s="1"/>
  <c r="BA20" i="2" a="1"/>
  <c r="BA20" i="2" s="1"/>
  <c r="BB20" i="2" a="1"/>
  <c r="BB20" i="2" s="1"/>
  <c r="BC20" i="2" a="1"/>
  <c r="BC20" i="2" s="1"/>
  <c r="AT21" i="2" a="1"/>
  <c r="AT21" i="2" s="1"/>
  <c r="AU21" i="2" a="1"/>
  <c r="AU21" i="2" s="1"/>
  <c r="AW21" i="2" a="1"/>
  <c r="AW21" i="2" s="1"/>
  <c r="AX21" i="2" a="1"/>
  <c r="AX21" i="2"/>
  <c r="AY21" i="2" a="1"/>
  <c r="AY21" i="2" s="1"/>
  <c r="AZ21" i="2" a="1"/>
  <c r="AZ21" i="2"/>
  <c r="BA21" i="2" a="1"/>
  <c r="BA21" i="2" s="1"/>
  <c r="BB21" i="2" a="1"/>
  <c r="BB21" i="2" s="1"/>
  <c r="BC21" i="2" a="1"/>
  <c r="BC21" i="2" s="1"/>
  <c r="AT22" i="2" a="1"/>
  <c r="AT22" i="2" s="1"/>
  <c r="AU22" i="2" a="1"/>
  <c r="AU22" i="2" s="1"/>
  <c r="AW22" i="2" a="1"/>
  <c r="AW22" i="2" s="1"/>
  <c r="AX22" i="2" a="1"/>
  <c r="AX22" i="2" s="1"/>
  <c r="AY22" i="2" a="1"/>
  <c r="AY22" i="2" s="1"/>
  <c r="AZ22" i="2" a="1"/>
  <c r="AZ22" i="2" s="1"/>
  <c r="BA22" i="2" a="1"/>
  <c r="BA22" i="2" s="1"/>
  <c r="BB22" i="2" a="1"/>
  <c r="BB22" i="2" s="1"/>
  <c r="BC22" i="2" a="1"/>
  <c r="BC22" i="2" s="1"/>
  <c r="AT23" i="2" a="1"/>
  <c r="AT23" i="2" s="1"/>
  <c r="AU23" i="2" a="1"/>
  <c r="AU23" i="2" s="1"/>
  <c r="AW23" i="2" a="1"/>
  <c r="AW23" i="2" s="1"/>
  <c r="AX23" i="2" a="1"/>
  <c r="AX23" i="2" s="1"/>
  <c r="AY23" i="2" a="1"/>
  <c r="AY23" i="2" s="1"/>
  <c r="AZ23" i="2" a="1"/>
  <c r="AZ23" i="2" s="1"/>
  <c r="BA23" i="2" a="1"/>
  <c r="BA23" i="2" s="1"/>
  <c r="BB23" i="2" a="1"/>
  <c r="BB23" i="2" s="1"/>
  <c r="BC23" i="2" a="1"/>
  <c r="BC23" i="2" s="1"/>
  <c r="AT24" i="2" a="1"/>
  <c r="AT24" i="2" s="1"/>
  <c r="AU24" i="2" a="1"/>
  <c r="AU24" i="2" s="1"/>
  <c r="AW24" i="2" a="1"/>
  <c r="AW24" i="2" s="1"/>
  <c r="AX24" i="2" a="1"/>
  <c r="AX24" i="2" s="1"/>
  <c r="AY24" i="2" a="1"/>
  <c r="AY24" i="2" s="1"/>
  <c r="AZ24" i="2" a="1"/>
  <c r="AZ24" i="2" s="1"/>
  <c r="BA24" i="2" a="1"/>
  <c r="BA24" i="2" s="1"/>
  <c r="BB24" i="2" a="1"/>
  <c r="BB24" i="2" s="1"/>
  <c r="BC24" i="2" a="1"/>
  <c r="BC24" i="2" s="1"/>
  <c r="AT25" i="2" a="1"/>
  <c r="AT25" i="2" s="1"/>
  <c r="AU25" i="2" a="1"/>
  <c r="AU25" i="2" s="1"/>
  <c r="AW25" i="2" a="1"/>
  <c r="AW25" i="2" s="1"/>
  <c r="AX25" i="2" a="1"/>
  <c r="AX25" i="2" s="1"/>
  <c r="AY25" i="2" a="1"/>
  <c r="AY25" i="2" s="1"/>
  <c r="AZ25" i="2" a="1"/>
  <c r="AZ25" i="2" s="1"/>
  <c r="BA25" i="2" a="1"/>
  <c r="BA25" i="2" s="1"/>
  <c r="BB25" i="2" a="1"/>
  <c r="BB25" i="2"/>
  <c r="BC25" i="2" a="1"/>
  <c r="BC25" i="2" s="1"/>
  <c r="AT26" i="2" a="1"/>
  <c r="AT26" i="2" s="1"/>
  <c r="AU26" i="2" a="1"/>
  <c r="AU26" i="2"/>
  <c r="AW26" i="2" a="1"/>
  <c r="AW26" i="2" s="1"/>
  <c r="AX26" i="2" a="1"/>
  <c r="AX26" i="2" s="1"/>
  <c r="AY26" i="2" a="1"/>
  <c r="AY26" i="2" s="1"/>
  <c r="AZ26" i="2" a="1"/>
  <c r="AZ26" i="2" s="1"/>
  <c r="BA26" i="2" a="1"/>
  <c r="BA26" i="2" s="1"/>
  <c r="BB26" i="2" a="1"/>
  <c r="BB26" i="2"/>
  <c r="BC26" i="2" a="1"/>
  <c r="BC26" i="2" s="1"/>
  <c r="AT27" i="2" a="1"/>
  <c r="AT27" i="2" s="1"/>
  <c r="AU27" i="2" a="1"/>
  <c r="AU27" i="2" s="1"/>
  <c r="AW27" i="2" a="1"/>
  <c r="AW27" i="2"/>
  <c r="AX27" i="2" a="1"/>
  <c r="AX27" i="2" s="1"/>
  <c r="AY27" i="2" a="1"/>
  <c r="AY27" i="2" s="1"/>
  <c r="AZ27" i="2" a="1"/>
  <c r="AZ27" i="2"/>
  <c r="BA27" i="2" a="1"/>
  <c r="BA27" i="2" s="1"/>
  <c r="BB27" i="2" a="1"/>
  <c r="BB27" i="2"/>
  <c r="BC27" i="2" a="1"/>
  <c r="BC27" i="2" s="1"/>
  <c r="AT28" i="2" a="1"/>
  <c r="AT28" i="2" s="1"/>
  <c r="AU28" i="2" a="1"/>
  <c r="AU28" i="2" s="1"/>
  <c r="AW28" i="2" a="1"/>
  <c r="AW28" i="2" s="1"/>
  <c r="AX28" i="2" a="1"/>
  <c r="AX28" i="2" s="1"/>
  <c r="AY28" i="2" a="1"/>
  <c r="AY28" i="2" s="1"/>
  <c r="AZ28" i="2" a="1"/>
  <c r="AZ28" i="2" s="1"/>
  <c r="BA28" i="2" a="1"/>
  <c r="BA28" i="2" s="1"/>
  <c r="BB28" i="2" a="1"/>
  <c r="BB28" i="2" s="1"/>
  <c r="BC28" i="2" a="1"/>
  <c r="BC28" i="2" s="1"/>
  <c r="AT29" i="2" a="1"/>
  <c r="AT29" i="2" s="1"/>
  <c r="AU29" i="2" a="1"/>
  <c r="AU29" i="2" s="1"/>
  <c r="AW29" i="2" a="1"/>
  <c r="AW29" i="2" s="1"/>
  <c r="AX29" i="2" a="1"/>
  <c r="AX29" i="2" s="1"/>
  <c r="AY29" i="2" a="1"/>
  <c r="AY29" i="2" s="1"/>
  <c r="AZ29" i="2" a="1"/>
  <c r="AZ29" i="2" s="1"/>
  <c r="BA29" i="2" a="1"/>
  <c r="BA29" i="2"/>
  <c r="BB29" i="2" a="1"/>
  <c r="BB29" i="2" s="1"/>
  <c r="BC29" i="2" a="1"/>
  <c r="BC29" i="2" s="1"/>
  <c r="AT30" i="2" a="1"/>
  <c r="AT30" i="2"/>
  <c r="AU30" i="2" a="1"/>
  <c r="AU30" i="2" s="1"/>
  <c r="AW30" i="2" a="1"/>
  <c r="AW30" i="2" s="1"/>
  <c r="AX30" i="2" a="1"/>
  <c r="AX30" i="2" s="1"/>
  <c r="AY30" i="2" a="1"/>
  <c r="AY30" i="2" s="1"/>
  <c r="AZ30" i="2" a="1"/>
  <c r="AZ30" i="2" s="1"/>
  <c r="BA30" i="2" a="1"/>
  <c r="BA30" i="2" s="1"/>
  <c r="BB30" i="2" a="1"/>
  <c r="BB30" i="2" s="1"/>
  <c r="BC30" i="2" a="1"/>
  <c r="BC30" i="2" s="1"/>
  <c r="AT31" i="2" a="1"/>
  <c r="AT31" i="2" s="1"/>
  <c r="AU31" i="2" a="1"/>
  <c r="AU31" i="2" s="1"/>
  <c r="AW31" i="2" a="1"/>
  <c r="AW31" i="2"/>
  <c r="AX31" i="2" a="1"/>
  <c r="AX31" i="2"/>
  <c r="AY31" i="2" a="1"/>
  <c r="AY31" i="2" s="1"/>
  <c r="AZ31" i="2" a="1"/>
  <c r="AZ31" i="2"/>
  <c r="BA31" i="2" a="1"/>
  <c r="BA31" i="2" s="1"/>
  <c r="BB31" i="2" a="1"/>
  <c r="BB31" i="2" s="1"/>
  <c r="BC31" i="2" a="1"/>
  <c r="BC31" i="2" s="1"/>
  <c r="AT32" i="2" a="1"/>
  <c r="AT32" i="2" s="1"/>
  <c r="AU32" i="2" a="1"/>
  <c r="AU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AT33" i="2" a="1"/>
  <c r="AT33" i="2" s="1"/>
  <c r="AU33" i="2" a="1"/>
  <c r="AU33" i="2" s="1"/>
  <c r="AW33" i="2" a="1"/>
  <c r="AW33" i="2" s="1"/>
  <c r="AX33" i="2" a="1"/>
  <c r="AX33" i="2" s="1"/>
  <c r="AY33" i="2" a="1"/>
  <c r="AY33" i="2"/>
  <c r="AZ33" i="2" a="1"/>
  <c r="AZ33" i="2" s="1"/>
  <c r="BA33" i="2" a="1"/>
  <c r="BA33" i="2"/>
  <c r="BB33" i="2" a="1"/>
  <c r="BB33" i="2" s="1"/>
  <c r="BC33" i="2" a="1"/>
  <c r="BC33" i="2" s="1"/>
  <c r="AT34" i="2" a="1"/>
  <c r="AT34" i="2"/>
  <c r="AU34" i="2" a="1"/>
  <c r="AU34" i="2" s="1"/>
  <c r="AW34" i="2" a="1"/>
  <c r="AW34" i="2" s="1"/>
  <c r="AX34" i="2" a="1"/>
  <c r="AX34" i="2" s="1"/>
  <c r="AY34" i="2" a="1"/>
  <c r="AY34" i="2" s="1"/>
  <c r="AZ34" i="2" a="1"/>
  <c r="AZ34" i="2" s="1"/>
  <c r="BA34" i="2" a="1"/>
  <c r="BA34" i="2" s="1"/>
  <c r="BB34" i="2" a="1"/>
  <c r="BB34" i="2" s="1"/>
  <c r="BC34" i="2" a="1"/>
  <c r="BC34" i="2" s="1"/>
  <c r="AT35" i="2" a="1"/>
  <c r="AT35" i="2" s="1"/>
  <c r="AU35" i="2" a="1"/>
  <c r="AU35" i="2" s="1"/>
  <c r="AW35" i="2" a="1"/>
  <c r="AW35" i="2" s="1"/>
  <c r="AX35" i="2" a="1"/>
  <c r="AX35" i="2" s="1"/>
  <c r="AY35" i="2" a="1"/>
  <c r="AY35" i="2" s="1"/>
  <c r="AZ35" i="2" a="1"/>
  <c r="AZ35" i="2"/>
  <c r="BA35" i="2" a="1"/>
  <c r="BA35" i="2" s="1"/>
  <c r="BB35" i="2" a="1"/>
  <c r="BB35" i="2" s="1"/>
  <c r="BC35" i="2" a="1"/>
  <c r="BC35" i="2" s="1"/>
  <c r="AT36" i="2" a="1"/>
  <c r="AT36" i="2" s="1"/>
  <c r="AU36" i="2" a="1"/>
  <c r="AU36" i="2" s="1"/>
  <c r="AW36" i="2" a="1"/>
  <c r="AW36" i="2" s="1"/>
  <c r="AX36" i="2" a="1"/>
  <c r="AX36" i="2" s="1"/>
  <c r="AY36" i="2" a="1"/>
  <c r="AY36" i="2" s="1"/>
  <c r="AZ36" i="2" a="1"/>
  <c r="AZ36" i="2" s="1"/>
  <c r="BA36" i="2" a="1"/>
  <c r="BA36" i="2" s="1"/>
  <c r="BB36" i="2" a="1"/>
  <c r="BB36" i="2" s="1"/>
  <c r="BC36" i="2" a="1"/>
  <c r="BC36" i="2" s="1"/>
  <c r="AT37" i="2" a="1"/>
  <c r="AT37" i="2" s="1"/>
  <c r="AU37" i="2" a="1"/>
  <c r="AU37" i="2"/>
  <c r="AW37" i="2" a="1"/>
  <c r="AW37" i="2"/>
  <c r="AX37" i="2" a="1"/>
  <c r="AX37" i="2" s="1"/>
  <c r="AY37" i="2" a="1"/>
  <c r="AY37" i="2" s="1"/>
  <c r="AZ37" i="2" a="1"/>
  <c r="AZ37" i="2" s="1"/>
  <c r="BA37" i="2" a="1"/>
  <c r="BA37" i="2"/>
  <c r="BB37" i="2" a="1"/>
  <c r="BB37" i="2" s="1"/>
  <c r="BC37" i="2" a="1"/>
  <c r="BC37" i="2" s="1"/>
  <c r="AT38" i="2" a="1"/>
  <c r="AT38" i="2" s="1"/>
  <c r="AU38" i="2" a="1"/>
  <c r="AU38" i="2" s="1"/>
  <c r="AW38" i="2" a="1"/>
  <c r="AW38" i="2" s="1"/>
  <c r="AX38" i="2" a="1"/>
  <c r="AX38" i="2" s="1"/>
  <c r="AY38" i="2" a="1"/>
  <c r="AY38" i="2" s="1"/>
  <c r="AZ38" i="2" a="1"/>
  <c r="AZ38" i="2" s="1"/>
  <c r="BA38" i="2" a="1"/>
  <c r="BA38" i="2" s="1"/>
  <c r="BB38" i="2" a="1"/>
  <c r="BB38" i="2" s="1"/>
  <c r="BC38" i="2" a="1"/>
  <c r="BC38" i="2" s="1"/>
  <c r="AT39" i="2" a="1"/>
  <c r="AT39" i="2" s="1"/>
  <c r="AU39" i="2" a="1"/>
  <c r="AU39" i="2" s="1"/>
  <c r="AW39" i="2" a="1"/>
  <c r="AW39" i="2" s="1"/>
  <c r="AX39" i="2" a="1"/>
  <c r="AX39" i="2" s="1"/>
  <c r="AY39" i="2" a="1"/>
  <c r="AY39" i="2" s="1"/>
  <c r="AZ39" i="2" a="1"/>
  <c r="AZ39" i="2" s="1"/>
  <c r="BA39" i="2" a="1"/>
  <c r="BA39" i="2" s="1"/>
  <c r="BB39" i="2" a="1"/>
  <c r="BB39" i="2" s="1"/>
  <c r="BC39" i="2" a="1"/>
  <c r="BC39" i="2" s="1"/>
  <c r="AT40" i="2" a="1"/>
  <c r="AT40" i="2" s="1"/>
  <c r="AU40" i="2" a="1"/>
  <c r="AU40" i="2" s="1"/>
  <c r="AW40" i="2" a="1"/>
  <c r="AW40" i="2" s="1"/>
  <c r="AX40" i="2" a="1"/>
  <c r="AX40" i="2" s="1"/>
  <c r="AY40" i="2" a="1"/>
  <c r="AY40" i="2" s="1"/>
  <c r="AZ40" i="2" a="1"/>
  <c r="AZ40" i="2" s="1"/>
  <c r="BA40" i="2" a="1"/>
  <c r="BA40" i="2" s="1"/>
  <c r="BB40" i="2" a="1"/>
  <c r="BB40" i="2"/>
  <c r="BC40" i="2" a="1"/>
  <c r="BC40" i="2" s="1"/>
  <c r="AT41" i="2" a="1"/>
  <c r="AT41" i="2" s="1"/>
  <c r="AU41" i="2" a="1"/>
  <c r="AU41" i="2" s="1"/>
  <c r="AW41" i="2" a="1"/>
  <c r="AW41" i="2" s="1"/>
  <c r="AX41" i="2" a="1"/>
  <c r="AX41" i="2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AT42" i="2" a="1"/>
  <c r="AT42" i="2" s="1"/>
  <c r="AU42" i="2" a="1"/>
  <c r="AU42" i="2" s="1"/>
  <c r="AW42" i="2" a="1"/>
  <c r="AW42" i="2" s="1"/>
  <c r="AX42" i="2" a="1"/>
  <c r="AX42" i="2"/>
  <c r="AY42" i="2" a="1"/>
  <c r="AY42" i="2" s="1"/>
  <c r="AZ42" i="2" a="1"/>
  <c r="AZ42" i="2"/>
  <c r="BA42" i="2" a="1"/>
  <c r="BA42" i="2" s="1"/>
  <c r="BB42" i="2" a="1"/>
  <c r="BB42" i="2"/>
  <c r="BC42" i="2" a="1"/>
  <c r="BC42" i="2" s="1"/>
  <c r="AT43" i="2" a="1"/>
  <c r="AT43" i="2"/>
  <c r="AU43" i="2" a="1"/>
  <c r="AU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AT44" i="2" a="1"/>
  <c r="AT44" i="2" s="1"/>
  <c r="AU44" i="2" a="1"/>
  <c r="AU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AT45" i="2" a="1"/>
  <c r="AT45" i="2" s="1"/>
  <c r="AU45" i="2" a="1"/>
  <c r="AU45" i="2" s="1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AT46" i="2" a="1"/>
  <c r="AT46" i="2" s="1"/>
  <c r="AU46" i="2" a="1"/>
  <c r="AU46" i="2" s="1"/>
  <c r="AW46" i="2" a="1"/>
  <c r="AW46" i="2"/>
  <c r="AX46" i="2" a="1"/>
  <c r="AX46" i="2"/>
  <c r="AY46" i="2" a="1"/>
  <c r="AY46" i="2" s="1"/>
  <c r="AZ46" i="2" a="1"/>
  <c r="AZ46" i="2"/>
  <c r="BA46" i="2" a="1"/>
  <c r="BA46" i="2"/>
  <c r="BB46" i="2" a="1"/>
  <c r="BB46" i="2" s="1"/>
  <c r="BC46" i="2" a="1"/>
  <c r="BC46" i="2"/>
  <c r="AT47" i="2" a="1"/>
  <c r="AT47" i="2" s="1"/>
  <c r="AU47" i="2" a="1"/>
  <c r="AU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AT48" i="2" a="1"/>
  <c r="AT48" i="2" s="1"/>
  <c r="AU48" i="2" a="1"/>
  <c r="AU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AT49" i="2" a="1"/>
  <c r="AT49" i="2" s="1"/>
  <c r="AU49" i="2" a="1"/>
  <c r="AU49" i="2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AT50" i="2" a="1"/>
  <c r="AT50" i="2" s="1"/>
  <c r="AU50" i="2" a="1"/>
  <c r="AU50" i="2" s="1"/>
  <c r="AW50" i="2" a="1"/>
  <c r="AW50" i="2"/>
  <c r="AX50" i="2" a="1"/>
  <c r="AX50" i="2" s="1"/>
  <c r="AY50" i="2" a="1"/>
  <c r="AY50" i="2"/>
  <c r="AZ50" i="2" a="1"/>
  <c r="AZ50" i="2" s="1"/>
  <c r="BA50" i="2" a="1"/>
  <c r="BA50" i="2"/>
  <c r="BB50" i="2" a="1"/>
  <c r="BB50" i="2" s="1"/>
  <c r="BC50" i="2" a="1"/>
  <c r="BC50" i="2" s="1"/>
  <c r="AT51" i="2" a="1"/>
  <c r="AT51" i="2"/>
  <c r="AU51" i="2" a="1"/>
  <c r="AU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/>
  <c r="BB51" i="2" a="1"/>
  <c r="BB51" i="2" s="1"/>
  <c r="BC51" i="2" a="1"/>
  <c r="BC51" i="2" s="1"/>
  <c r="AT52" i="2" a="1"/>
  <c r="AT52" i="2" s="1"/>
  <c r="AU52" i="2" a="1"/>
  <c r="AU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AT53" i="2" a="1"/>
  <c r="AT53" i="2" s="1"/>
  <c r="AU53" i="2" a="1"/>
  <c r="AU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AT54" i="2" a="1"/>
  <c r="AT54" i="2" s="1"/>
  <c r="AU54" i="2" a="1"/>
  <c r="AU54" i="2" s="1"/>
  <c r="AW54" i="2" a="1"/>
  <c r="AW54" i="2" s="1"/>
  <c r="AX54" i="2" a="1"/>
  <c r="AX54" i="2" s="1"/>
  <c r="AY54" i="2" a="1"/>
  <c r="AY54" i="2" s="1"/>
  <c r="AZ54" i="2" a="1"/>
  <c r="AZ54" i="2" s="1"/>
  <c r="BA54" i="2" a="1"/>
  <c r="BA54" i="2" s="1"/>
  <c r="BB54" i="2" a="1"/>
  <c r="BB54" i="2" s="1"/>
  <c r="BC54" i="2" a="1"/>
  <c r="BC54" i="2" s="1"/>
  <c r="AT55" i="2" a="1"/>
  <c r="AT55" i="2" s="1"/>
  <c r="AU55" i="2" a="1"/>
  <c r="AU55" i="2" s="1"/>
  <c r="AW55" i="2" a="1"/>
  <c r="AW55" i="2"/>
  <c r="AX55" i="2" a="1"/>
  <c r="AX55" i="2" s="1"/>
  <c r="AY55" i="2" a="1"/>
  <c r="AY55" i="2"/>
  <c r="AZ55" i="2" a="1"/>
  <c r="AZ55" i="2" s="1"/>
  <c r="BA55" i="2" a="1"/>
  <c r="BA55" i="2"/>
  <c r="BB55" i="2" a="1"/>
  <c r="BB55" i="2" s="1"/>
  <c r="BC55" i="2" a="1"/>
  <c r="BC55" i="2" s="1"/>
  <c r="AT56" i="2" a="1"/>
  <c r="AT56" i="2"/>
  <c r="AU56" i="2" a="1"/>
  <c r="AU56" i="2" s="1"/>
  <c r="AW56" i="2" a="1"/>
  <c r="AW56" i="2" s="1"/>
  <c r="AX56" i="2" a="1"/>
  <c r="AX56" i="2" s="1"/>
  <c r="AY56" i="2" a="1"/>
  <c r="AY56" i="2" s="1"/>
  <c r="AZ56" i="2" a="1"/>
  <c r="AZ56" i="2" s="1"/>
  <c r="BA56" i="2" a="1"/>
  <c r="BA56" i="2" s="1"/>
  <c r="BB56" i="2" a="1"/>
  <c r="BB56" i="2" s="1"/>
  <c r="BC56" i="2" a="1"/>
  <c r="BC56" i="2" s="1"/>
  <c r="AT57" i="2" a="1"/>
  <c r="AT57" i="2" s="1"/>
  <c r="AU57" i="2" a="1"/>
  <c r="AU57" i="2" s="1"/>
  <c r="AW57" i="2" a="1"/>
  <c r="AW57" i="2" s="1"/>
  <c r="AX57" i="2" a="1"/>
  <c r="AX57" i="2" s="1"/>
  <c r="AY57" i="2" a="1"/>
  <c r="AY57" i="2" s="1"/>
  <c r="AZ57" i="2" a="1"/>
  <c r="AZ57" i="2" s="1"/>
  <c r="BA57" i="2" a="1"/>
  <c r="BA57" i="2" s="1"/>
  <c r="BB57" i="2" a="1"/>
  <c r="BB57" i="2" s="1"/>
  <c r="BC57" i="2" a="1"/>
  <c r="BC57" i="2" s="1"/>
  <c r="AT58" i="2" a="1"/>
  <c r="AT58" i="2" s="1"/>
  <c r="AU58" i="2" a="1"/>
  <c r="AU58" i="2"/>
  <c r="AW58" i="2" a="1"/>
  <c r="AW58" i="2"/>
  <c r="AX58" i="2" a="1"/>
  <c r="AX58" i="2" s="1"/>
  <c r="AY58" i="2" a="1"/>
  <c r="AY58" i="2"/>
  <c r="AZ58" i="2" a="1"/>
  <c r="AZ58" i="2" s="1"/>
  <c r="BA58" i="2" a="1"/>
  <c r="BA58" i="2"/>
  <c r="BB58" i="2" a="1"/>
  <c r="BB58" i="2" s="1"/>
  <c r="BC58" i="2" a="1"/>
  <c r="BC58" i="2" s="1"/>
  <c r="AT59" i="2" a="1"/>
  <c r="AT59" i="2" s="1"/>
  <c r="AU59" i="2" a="1"/>
  <c r="AU59" i="2" s="1"/>
  <c r="AW59" i="2" a="1"/>
  <c r="AW59" i="2" s="1"/>
  <c r="AX59" i="2" a="1"/>
  <c r="AX59" i="2"/>
  <c r="AY59" i="2" a="1"/>
  <c r="AY59" i="2"/>
  <c r="AZ59" i="2" a="1"/>
  <c r="AZ59" i="2" s="1"/>
  <c r="BA59" i="2" a="1"/>
  <c r="BA59" i="2" s="1"/>
  <c r="BB59" i="2" a="1"/>
  <c r="BB59" i="2" s="1"/>
  <c r="BC59" i="2" a="1"/>
  <c r="BC59" i="2" s="1"/>
  <c r="AT60" i="2" a="1"/>
  <c r="AT60" i="2" s="1"/>
  <c r="AU60" i="2" a="1"/>
  <c r="AU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AT61" i="2" a="1"/>
  <c r="AT61" i="2" s="1"/>
  <c r="AU61" i="2" a="1"/>
  <c r="AU61" i="2" s="1"/>
  <c r="AW61" i="2" a="1"/>
  <c r="AW61" i="2" s="1"/>
  <c r="AX61" i="2" a="1"/>
  <c r="AX61" i="2"/>
  <c r="AY61" i="2" a="1"/>
  <c r="AY61" i="2"/>
  <c r="AZ61" i="2" a="1"/>
  <c r="AZ61" i="2" s="1"/>
  <c r="BA61" i="2" a="1"/>
  <c r="BA61" i="2" s="1"/>
  <c r="BB61" i="2" a="1"/>
  <c r="BB61" i="2"/>
  <c r="BC61" i="2" a="1"/>
  <c r="BC61" i="2" s="1"/>
  <c r="AT62" i="2" a="1"/>
  <c r="AT62" i="2" s="1"/>
  <c r="AU62" i="2" a="1"/>
  <c r="AU62" i="2" s="1"/>
  <c r="AW62" i="2" a="1"/>
  <c r="AW62" i="2" s="1"/>
  <c r="AX62" i="2" a="1"/>
  <c r="AX62" i="2" s="1"/>
  <c r="AY62" i="2" a="1"/>
  <c r="AY62" i="2" s="1"/>
  <c r="AZ62" i="2" a="1"/>
  <c r="AZ62" i="2" s="1"/>
  <c r="BA62" i="2" a="1"/>
  <c r="BA62" i="2" s="1"/>
  <c r="BB62" i="2" a="1"/>
  <c r="BB62" i="2" s="1"/>
  <c r="BC62" i="2" a="1"/>
  <c r="BC62" i="2" s="1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/>
  <c r="AU8" i="2" a="1"/>
  <c r="AT8" i="2" a="1"/>
  <c r="AT8" i="2" s="1"/>
  <c r="AJ8" i="2"/>
  <c r="CA8" i="2" s="1"/>
  <c r="AJ17" i="2"/>
  <c r="CA17" i="2" s="1"/>
  <c r="AJ30" i="2"/>
  <c r="CC30" i="2" s="1"/>
  <c r="AJ21" i="2"/>
  <c r="CA21" i="2" s="1"/>
  <c r="AJ11" i="2"/>
  <c r="CC11" i="2" s="1"/>
  <c r="E129" i="2"/>
  <c r="D128" i="2"/>
  <c r="E117" i="2"/>
  <c r="E130" i="2"/>
  <c r="F119" i="2"/>
  <c r="E131" i="2"/>
  <c r="F120" i="2"/>
  <c r="F133" i="2"/>
  <c r="F121" i="2"/>
  <c r="R138" i="2"/>
  <c r="Z136" i="2"/>
  <c r="N135" i="2"/>
  <c r="V133" i="2"/>
  <c r="J131" i="2"/>
  <c r="R129" i="2"/>
  <c r="Z127" i="2"/>
  <c r="N126" i="2"/>
  <c r="V124" i="2"/>
  <c r="J123" i="2"/>
  <c r="R121" i="2"/>
  <c r="Z119" i="2"/>
  <c r="N118" i="2"/>
  <c r="V116" i="2"/>
  <c r="J115" i="2"/>
  <c r="Q137" i="2"/>
  <c r="Y135" i="2"/>
  <c r="M134" i="2"/>
  <c r="U131" i="2"/>
  <c r="I130" i="2"/>
  <c r="Q128" i="2"/>
  <c r="Y126" i="2"/>
  <c r="M125" i="2"/>
  <c r="U123" i="2"/>
  <c r="I122" i="2"/>
  <c r="Q120" i="2"/>
  <c r="Y118" i="2"/>
  <c r="M117" i="2"/>
  <c r="U115" i="2"/>
  <c r="H138" i="2"/>
  <c r="P136" i="2"/>
  <c r="X134" i="2"/>
  <c r="L133" i="2"/>
  <c r="T130" i="2"/>
  <c r="H129" i="2"/>
  <c r="P127" i="2"/>
  <c r="X125" i="2"/>
  <c r="L124" i="2"/>
  <c r="T122" i="2"/>
  <c r="H121" i="2"/>
  <c r="P119" i="2"/>
  <c r="X117" i="2"/>
  <c r="L116" i="2"/>
  <c r="S120" i="2"/>
  <c r="K133" i="2"/>
  <c r="G126" i="2"/>
  <c r="S119" i="2"/>
  <c r="G136" i="2"/>
  <c r="S125" i="2"/>
  <c r="O137" i="2"/>
  <c r="G123" i="2"/>
  <c r="K136" i="2"/>
  <c r="G129" i="2"/>
  <c r="S122" i="2"/>
  <c r="K116" i="2"/>
  <c r="W120" i="2"/>
  <c r="G131" i="2"/>
  <c r="S116" i="2"/>
  <c r="X113" i="2"/>
  <c r="N112" i="2"/>
  <c r="Z110" i="2"/>
  <c r="P109" i="2"/>
  <c r="F108" i="2"/>
  <c r="R106" i="2"/>
  <c r="H105" i="2"/>
  <c r="T103" i="2"/>
  <c r="J102" i="2"/>
  <c r="V100" i="2"/>
  <c r="L99" i="2"/>
  <c r="X97" i="2"/>
  <c r="N96" i="2"/>
  <c r="Z94" i="2"/>
  <c r="P93" i="2"/>
  <c r="F92" i="2"/>
  <c r="S113" i="2"/>
  <c r="I112" i="2"/>
  <c r="U110" i="2"/>
  <c r="K109" i="2"/>
  <c r="W107" i="2"/>
  <c r="M106" i="2"/>
  <c r="Y104" i="2"/>
  <c r="O103" i="2"/>
  <c r="E102" i="2"/>
  <c r="Q100" i="2"/>
  <c r="G99" i="2"/>
  <c r="S97" i="2"/>
  <c r="I96" i="2"/>
  <c r="U94" i="2"/>
  <c r="K93" i="2"/>
  <c r="X114" i="2"/>
  <c r="Z111" i="2"/>
  <c r="F109" i="2"/>
  <c r="H106" i="2"/>
  <c r="J103" i="2"/>
  <c r="L100" i="2"/>
  <c r="N97" i="2"/>
  <c r="P94" i="2"/>
  <c r="V91" i="2"/>
  <c r="L90" i="2"/>
  <c r="X88" i="2"/>
  <c r="N87" i="2"/>
  <c r="Z85" i="2"/>
  <c r="P84" i="2"/>
  <c r="F83" i="2"/>
  <c r="R81" i="2"/>
  <c r="O114" i="2"/>
  <c r="Q111" i="2"/>
  <c r="S108" i="2"/>
  <c r="U105" i="2"/>
  <c r="W102" i="2"/>
  <c r="Y99" i="2"/>
  <c r="E97" i="2"/>
  <c r="G94" i="2"/>
  <c r="Q91" i="2"/>
  <c r="G90" i="2"/>
  <c r="S88" i="2"/>
  <c r="I87" i="2"/>
  <c r="U85" i="2"/>
  <c r="K84" i="2"/>
  <c r="F138" i="2"/>
  <c r="F126" i="2"/>
  <c r="D116" i="2"/>
  <c r="D129" i="2"/>
  <c r="E118" i="2"/>
  <c r="D130" i="2"/>
  <c r="E119" i="2"/>
  <c r="D131" i="2"/>
  <c r="E120" i="2"/>
  <c r="N138" i="2"/>
  <c r="V136" i="2"/>
  <c r="J135" i="2"/>
  <c r="R133" i="2"/>
  <c r="Z130" i="2"/>
  <c r="N129" i="2"/>
  <c r="V127" i="2"/>
  <c r="J126" i="2"/>
  <c r="R124" i="2"/>
  <c r="Z122" i="2"/>
  <c r="N121" i="2"/>
  <c r="V119" i="2"/>
  <c r="J118" i="2"/>
  <c r="R116" i="2"/>
  <c r="Y138" i="2"/>
  <c r="M137" i="2"/>
  <c r="U135" i="2"/>
  <c r="I134" i="2"/>
  <c r="Q131" i="2"/>
  <c r="Y129" i="2"/>
  <c r="M128" i="2"/>
  <c r="U126" i="2"/>
  <c r="I125" i="2"/>
  <c r="Q123" i="2"/>
  <c r="Y121" i="2"/>
  <c r="M120" i="2"/>
  <c r="U118" i="2"/>
  <c r="I117" i="2"/>
  <c r="Q115" i="2"/>
  <c r="X137" i="2"/>
  <c r="L136" i="2"/>
  <c r="T134" i="2"/>
  <c r="H133" i="2"/>
  <c r="P130" i="2"/>
  <c r="X128" i="2"/>
  <c r="L127" i="2"/>
  <c r="T125" i="2"/>
  <c r="H124" i="2"/>
  <c r="P122" i="2"/>
  <c r="X120" i="2"/>
  <c r="L119" i="2"/>
  <c r="T117" i="2"/>
  <c r="H116" i="2"/>
  <c r="W138" i="2"/>
  <c r="S131" i="2"/>
  <c r="K125" i="2"/>
  <c r="W118" i="2"/>
  <c r="K135" i="2"/>
  <c r="W124" i="2"/>
  <c r="G135" i="2"/>
  <c r="K122" i="2"/>
  <c r="O135" i="2"/>
  <c r="K128" i="2"/>
  <c r="W121" i="2"/>
  <c r="O115" i="2"/>
  <c r="K119" i="2"/>
  <c r="O129" i="2"/>
  <c r="G115" i="2"/>
  <c r="T113" i="2"/>
  <c r="J112" i="2"/>
  <c r="V110" i="2"/>
  <c r="L109" i="2"/>
  <c r="X107" i="2"/>
  <c r="N106" i="2"/>
  <c r="Z104" i="2"/>
  <c r="P103" i="2"/>
  <c r="F102" i="2"/>
  <c r="R100" i="2"/>
  <c r="H99" i="2"/>
  <c r="T97" i="2"/>
  <c r="J96" i="2"/>
  <c r="V94" i="2"/>
  <c r="L93" i="2"/>
  <c r="Y114" i="2"/>
  <c r="O113" i="2"/>
  <c r="E112" i="2"/>
  <c r="Q110" i="2"/>
  <c r="G109" i="2"/>
  <c r="S107" i="2"/>
  <c r="I106" i="2"/>
  <c r="U104" i="2"/>
  <c r="K103" i="2"/>
  <c r="W101" i="2"/>
  <c r="M100" i="2"/>
  <c r="Y98" i="2"/>
  <c r="O97" i="2"/>
  <c r="E96" i="2"/>
  <c r="Q94" i="2"/>
  <c r="G93" i="2"/>
  <c r="P114" i="2"/>
  <c r="R111" i="2"/>
  <c r="T108" i="2"/>
  <c r="V105" i="2"/>
  <c r="X102" i="2"/>
  <c r="Z99" i="2"/>
  <c r="F97" i="2"/>
  <c r="H94" i="2"/>
  <c r="R91" i="2"/>
  <c r="H90" i="2"/>
  <c r="T88" i="2"/>
  <c r="J87" i="2"/>
  <c r="V85" i="2"/>
  <c r="L84" i="2"/>
  <c r="X82" i="2"/>
  <c r="N81" i="2"/>
  <c r="G114" i="2"/>
  <c r="I111" i="2"/>
  <c r="K108" i="2"/>
  <c r="M105" i="2"/>
  <c r="O102" i="2"/>
  <c r="Q99" i="2"/>
  <c r="S96" i="2"/>
  <c r="U93" i="2"/>
  <c r="M91" i="2"/>
  <c r="Y89" i="2"/>
  <c r="O88" i="2"/>
  <c r="E87" i="2"/>
  <c r="Q85" i="2"/>
  <c r="E137" i="2"/>
  <c r="E125" i="2"/>
  <c r="E138" i="2"/>
  <c r="F127" i="2"/>
  <c r="D117" i="2"/>
  <c r="D118" i="2"/>
  <c r="F129" i="2"/>
  <c r="D119" i="2"/>
  <c r="J138" i="2"/>
  <c r="R136" i="2"/>
  <c r="Z134" i="2"/>
  <c r="N133" i="2"/>
  <c r="V130" i="2"/>
  <c r="J129" i="2"/>
  <c r="R127" i="2"/>
  <c r="Z125" i="2"/>
  <c r="N124" i="2"/>
  <c r="V122" i="2"/>
  <c r="J121" i="2"/>
  <c r="R119" i="2"/>
  <c r="Z117" i="2"/>
  <c r="N116" i="2"/>
  <c r="U138" i="2"/>
  <c r="I137" i="2"/>
  <c r="Q135" i="2"/>
  <c r="Y133" i="2"/>
  <c r="M131" i="2"/>
  <c r="U129" i="2"/>
  <c r="I128" i="2"/>
  <c r="Q126" i="2"/>
  <c r="Y124" i="2"/>
  <c r="M123" i="2"/>
  <c r="U121" i="2"/>
  <c r="I120" i="2"/>
  <c r="Q118" i="2"/>
  <c r="Y116" i="2"/>
  <c r="M115" i="2"/>
  <c r="T137" i="2"/>
  <c r="H136" i="2"/>
  <c r="P134" i="2"/>
  <c r="X131" i="2"/>
  <c r="L130" i="2"/>
  <c r="T128" i="2"/>
  <c r="H127" i="2"/>
  <c r="P125" i="2"/>
  <c r="X123" i="2"/>
  <c r="T120" i="2"/>
  <c r="H119" i="2"/>
  <c r="P117" i="2"/>
  <c r="X115" i="2"/>
  <c r="G138" i="2"/>
  <c r="W130" i="2"/>
  <c r="G118" i="2"/>
  <c r="O134" i="2"/>
  <c r="K123" i="2"/>
  <c r="W131" i="2"/>
  <c r="W119" i="2"/>
  <c r="S134" i="2"/>
  <c r="O127" i="2"/>
  <c r="G121" i="2"/>
  <c r="S137" i="2"/>
  <c r="S117" i="2"/>
  <c r="W127" i="2"/>
  <c r="Z114" i="2"/>
  <c r="P113" i="2"/>
  <c r="F112" i="2"/>
  <c r="R110" i="2"/>
  <c r="H109" i="2"/>
  <c r="T107" i="2"/>
  <c r="J106" i="2"/>
  <c r="V104" i="2"/>
  <c r="L103" i="2"/>
  <c r="X101" i="2"/>
  <c r="N100" i="2"/>
  <c r="Z98" i="2"/>
  <c r="P97" i="2"/>
  <c r="F96" i="2"/>
  <c r="R94" i="2"/>
  <c r="H93" i="2"/>
  <c r="U114" i="2"/>
  <c r="K113" i="2"/>
  <c r="W111" i="2"/>
  <c r="M110" i="2"/>
  <c r="Y108" i="2"/>
  <c r="O107" i="2"/>
  <c r="E106" i="2"/>
  <c r="Q104" i="2"/>
  <c r="G103" i="2"/>
  <c r="S101" i="2"/>
  <c r="I100" i="2"/>
  <c r="U98" i="2"/>
  <c r="K97" i="2"/>
  <c r="W95" i="2"/>
  <c r="M94" i="2"/>
  <c r="Y92" i="2"/>
  <c r="H114" i="2"/>
  <c r="J111" i="2"/>
  <c r="L108" i="2"/>
  <c r="N105" i="2"/>
  <c r="P102" i="2"/>
  <c r="R99" i="2"/>
  <c r="T96" i="2"/>
  <c r="V93" i="2"/>
  <c r="N91" i="2"/>
  <c r="Z89" i="2"/>
  <c r="P88" i="2"/>
  <c r="F87" i="2"/>
  <c r="R85" i="2"/>
  <c r="H84" i="2"/>
  <c r="T82" i="2"/>
  <c r="J81" i="2"/>
  <c r="U113" i="2"/>
  <c r="W110" i="2"/>
  <c r="Y107" i="2"/>
  <c r="E105" i="2"/>
  <c r="G102" i="2"/>
  <c r="I99" i="2"/>
  <c r="K96" i="2"/>
  <c r="M93" i="2"/>
  <c r="I91" i="2"/>
  <c r="U89" i="2"/>
  <c r="K88" i="2"/>
  <c r="W86" i="2"/>
  <c r="M85" i="2"/>
  <c r="D136" i="2"/>
  <c r="F134" i="2"/>
  <c r="F122" i="2"/>
  <c r="F135" i="2"/>
  <c r="D125" i="2"/>
  <c r="D138" i="2"/>
  <c r="D126" i="2"/>
  <c r="E115" i="2"/>
  <c r="D127" i="2"/>
  <c r="E116" i="2"/>
  <c r="V137" i="2"/>
  <c r="J136" i="2"/>
  <c r="R134" i="2"/>
  <c r="Z131" i="2"/>
  <c r="N130" i="2"/>
  <c r="V128" i="2"/>
  <c r="J127" i="2"/>
  <c r="R125" i="2"/>
  <c r="Z123" i="2"/>
  <c r="N122" i="2"/>
  <c r="V120" i="2"/>
  <c r="J119" i="2"/>
  <c r="R117" i="2"/>
  <c r="Z115" i="2"/>
  <c r="M138" i="2"/>
  <c r="U136" i="2"/>
  <c r="I135" i="2"/>
  <c r="Q133" i="2"/>
  <c r="Y130" i="2"/>
  <c r="M129" i="2"/>
  <c r="U127" i="2"/>
  <c r="I126" i="2"/>
  <c r="Q124" i="2"/>
  <c r="Y122" i="2"/>
  <c r="M121" i="2"/>
  <c r="U119" i="2"/>
  <c r="I118" i="2"/>
  <c r="Q116" i="2"/>
  <c r="X138" i="2"/>
  <c r="L137" i="2"/>
  <c r="T135" i="2"/>
  <c r="H134" i="2"/>
  <c r="P131" i="2"/>
  <c r="X129" i="2"/>
  <c r="L128" i="2"/>
  <c r="T126" i="2"/>
  <c r="H125" i="2"/>
  <c r="P123" i="2"/>
  <c r="X121" i="2"/>
  <c r="L120" i="2"/>
  <c r="T118" i="2"/>
  <c r="H117" i="2"/>
  <c r="P115" i="2"/>
  <c r="O136" i="2"/>
  <c r="K129" i="2"/>
  <c r="W122" i="2"/>
  <c r="O116" i="2"/>
  <c r="K131" i="2"/>
  <c r="G120" i="2"/>
  <c r="S128" i="2"/>
  <c r="W115" i="2"/>
  <c r="G133" i="2"/>
  <c r="W125" i="2"/>
  <c r="O119" i="2"/>
  <c r="G128" i="2"/>
  <c r="K138" i="2"/>
  <c r="S124" i="2"/>
  <c r="R114" i="2"/>
  <c r="H113" i="2"/>
  <c r="T111" i="2"/>
  <c r="J110" i="2"/>
  <c r="V108" i="2"/>
  <c r="L107" i="2"/>
  <c r="X105" i="2"/>
  <c r="N104" i="2"/>
  <c r="Z102" i="2"/>
  <c r="P101" i="2"/>
  <c r="F100" i="2"/>
  <c r="R98" i="2"/>
  <c r="H97" i="2"/>
  <c r="T95" i="2"/>
  <c r="J94" i="2"/>
  <c r="V92" i="2"/>
  <c r="M114" i="2"/>
  <c r="Y112" i="2"/>
  <c r="O111" i="2"/>
  <c r="E110" i="2"/>
  <c r="Q108" i="2"/>
  <c r="G107" i="2"/>
  <c r="S105" i="2"/>
  <c r="I104" i="2"/>
  <c r="U102" i="2"/>
  <c r="K101" i="2"/>
  <c r="W99" i="2"/>
  <c r="M98" i="2"/>
  <c r="Y96" i="2"/>
  <c r="O95" i="2"/>
  <c r="E94" i="2"/>
  <c r="Q92" i="2"/>
  <c r="N113" i="2"/>
  <c r="P110" i="2"/>
  <c r="R107" i="2"/>
  <c r="T104" i="2"/>
  <c r="V101" i="2"/>
  <c r="X98" i="2"/>
  <c r="Z95" i="2"/>
  <c r="F93" i="2"/>
  <c r="F91" i="2"/>
  <c r="R89" i="2"/>
  <c r="H88" i="2"/>
  <c r="T86" i="2"/>
  <c r="J85" i="2"/>
  <c r="V83" i="2"/>
  <c r="L82" i="2"/>
  <c r="X80" i="2"/>
  <c r="E113" i="2"/>
  <c r="G110" i="2"/>
  <c r="I107" i="2"/>
  <c r="K104" i="2"/>
  <c r="M101" i="2"/>
  <c r="O98" i="2"/>
  <c r="Q95" i="2"/>
  <c r="S92" i="2"/>
  <c r="W90" i="2"/>
  <c r="M89" i="2"/>
  <c r="Y87" i="2"/>
  <c r="O86" i="2"/>
  <c r="E85" i="2"/>
  <c r="E133" i="2"/>
  <c r="E121" i="2"/>
  <c r="E134" i="2"/>
  <c r="F123" i="2"/>
  <c r="F136" i="2"/>
  <c r="F124" i="2"/>
  <c r="F137" i="2"/>
  <c r="F125" i="2"/>
  <c r="D115" i="2"/>
  <c r="R137" i="2"/>
  <c r="Z135" i="2"/>
  <c r="N134" i="2"/>
  <c r="V131" i="2"/>
  <c r="J130" i="2"/>
  <c r="R128" i="2"/>
  <c r="Z126" i="2"/>
  <c r="N125" i="2"/>
  <c r="V123" i="2"/>
  <c r="J122" i="2"/>
  <c r="R120" i="2"/>
  <c r="Z118" i="2"/>
  <c r="N117" i="2"/>
  <c r="V115" i="2"/>
  <c r="I138" i="2"/>
  <c r="Q136" i="2"/>
  <c r="Y134" i="2"/>
  <c r="M133" i="2"/>
  <c r="D133" i="2"/>
  <c r="E127" i="2"/>
  <c r="D123" i="2"/>
  <c r="V135" i="2"/>
  <c r="R130" i="2"/>
  <c r="R126" i="2"/>
  <c r="Z121" i="2"/>
  <c r="V117" i="2"/>
  <c r="U137" i="2"/>
  <c r="I133" i="2"/>
  <c r="Y128" i="2"/>
  <c r="U125" i="2"/>
  <c r="Q122" i="2"/>
  <c r="M119" i="2"/>
  <c r="I116" i="2"/>
  <c r="X136" i="2"/>
  <c r="T133" i="2"/>
  <c r="P129" i="2"/>
  <c r="L126" i="2"/>
  <c r="H123" i="2"/>
  <c r="X119" i="2"/>
  <c r="T116" i="2"/>
  <c r="W134" i="2"/>
  <c r="K121" i="2"/>
  <c r="W128" i="2"/>
  <c r="O125" i="2"/>
  <c r="S130" i="2"/>
  <c r="W117" i="2"/>
  <c r="K134" i="2"/>
  <c r="J114" i="2"/>
  <c r="L111" i="2"/>
  <c r="N108" i="2"/>
  <c r="P105" i="2"/>
  <c r="R102" i="2"/>
  <c r="T99" i="2"/>
  <c r="V96" i="2"/>
  <c r="X93" i="2"/>
  <c r="E114" i="2"/>
  <c r="G111" i="2"/>
  <c r="I108" i="2"/>
  <c r="K105" i="2"/>
  <c r="M102" i="2"/>
  <c r="O99" i="2"/>
  <c r="Q96" i="2"/>
  <c r="S93" i="2"/>
  <c r="T112" i="2"/>
  <c r="X106" i="2"/>
  <c r="F101" i="2"/>
  <c r="J95" i="2"/>
  <c r="T90" i="2"/>
  <c r="V87" i="2"/>
  <c r="X84" i="2"/>
  <c r="Z81" i="2"/>
  <c r="K112" i="2"/>
  <c r="O106" i="2"/>
  <c r="S100" i="2"/>
  <c r="W94" i="2"/>
  <c r="O90" i="2"/>
  <c r="Q87" i="2"/>
  <c r="S84" i="2"/>
  <c r="E83" i="2"/>
  <c r="Z109" i="2"/>
  <c r="F107" i="2"/>
  <c r="H104" i="2"/>
  <c r="J101" i="2"/>
  <c r="L98" i="2"/>
  <c r="N95" i="2"/>
  <c r="P92" i="2"/>
  <c r="V90" i="2"/>
  <c r="L89" i="2"/>
  <c r="X87" i="2"/>
  <c r="N86" i="2"/>
  <c r="Z84" i="2"/>
  <c r="P83" i="2"/>
  <c r="U111" i="2"/>
  <c r="G100" i="2"/>
  <c r="I90" i="2"/>
  <c r="M84" i="2"/>
  <c r="I81" i="2"/>
  <c r="Q79" i="2"/>
  <c r="Y88" i="2"/>
  <c r="K114" i="2"/>
  <c r="S102" i="2"/>
  <c r="O91" i="2"/>
  <c r="S85" i="2"/>
  <c r="S81" i="2"/>
  <c r="X79" i="2"/>
  <c r="M90" i="2"/>
  <c r="R79" i="2"/>
  <c r="I105" i="2"/>
  <c r="Q93" i="2"/>
  <c r="Y86" i="2"/>
  <c r="F82" i="2"/>
  <c r="I80" i="2"/>
  <c r="I109" i="2"/>
  <c r="W91" i="2"/>
  <c r="Q80" i="2"/>
  <c r="D100" i="2"/>
  <c r="D97" i="2"/>
  <c r="D86" i="2"/>
  <c r="D83" i="2"/>
  <c r="AO38" i="3"/>
  <c r="AM41" i="3"/>
  <c r="AJ39" i="3"/>
  <c r="AL41" i="3"/>
  <c r="AK39" i="3"/>
  <c r="AO45" i="3"/>
  <c r="AS41" i="3"/>
  <c r="AL43" i="3"/>
  <c r="AK41" i="3"/>
  <c r="AO10" i="2"/>
  <c r="AQ12" i="2"/>
  <c r="AS14" i="2"/>
  <c r="BF16" i="2"/>
  <c r="BD18" i="2"/>
  <c r="AO11" i="2"/>
  <c r="AQ13" i="2"/>
  <c r="AS15" i="2"/>
  <c r="BF17" i="2"/>
  <c r="AM10" i="2"/>
  <c r="AO12" i="2"/>
  <c r="AQ14" i="2"/>
  <c r="AS16" i="2"/>
  <c r="BF18" i="2"/>
  <c r="AK13" i="2"/>
  <c r="BG20" i="2"/>
  <c r="F131" i="2"/>
  <c r="F117" i="2"/>
  <c r="R135" i="2"/>
  <c r="Z129" i="2"/>
  <c r="V125" i="2"/>
  <c r="V121" i="2"/>
  <c r="J117" i="2"/>
  <c r="Y136" i="2"/>
  <c r="Y131" i="2"/>
  <c r="U128" i="2"/>
  <c r="Q125" i="2"/>
  <c r="M122" i="2"/>
  <c r="I119" i="2"/>
  <c r="Y115" i="2"/>
  <c r="T136" i="2"/>
  <c r="P133" i="2"/>
  <c r="H126" i="2"/>
  <c r="X122" i="2"/>
  <c r="T119" i="2"/>
  <c r="P116" i="2"/>
  <c r="G134" i="2"/>
  <c r="O120" i="2"/>
  <c r="K127" i="2"/>
  <c r="W123" i="2"/>
  <c r="W129" i="2"/>
  <c r="G117" i="2"/>
  <c r="O133" i="2"/>
  <c r="F114" i="2"/>
  <c r="H111" i="2"/>
  <c r="J108" i="2"/>
  <c r="L105" i="2"/>
  <c r="N102" i="2"/>
  <c r="P99" i="2"/>
  <c r="R96" i="2"/>
  <c r="T93" i="2"/>
  <c r="W113" i="2"/>
  <c r="Y110" i="2"/>
  <c r="E108" i="2"/>
  <c r="G105" i="2"/>
  <c r="I102" i="2"/>
  <c r="K99" i="2"/>
  <c r="M96" i="2"/>
  <c r="O93" i="2"/>
  <c r="L112" i="2"/>
  <c r="P106" i="2"/>
  <c r="T100" i="2"/>
  <c r="X94" i="2"/>
  <c r="P90" i="2"/>
  <c r="R87" i="2"/>
  <c r="T84" i="2"/>
  <c r="V81" i="2"/>
  <c r="Y111" i="2"/>
  <c r="G106" i="2"/>
  <c r="K100" i="2"/>
  <c r="O94" i="2"/>
  <c r="K90" i="2"/>
  <c r="M87" i="2"/>
  <c r="O84" i="2"/>
  <c r="W82" i="2"/>
  <c r="P112" i="2"/>
  <c r="R109" i="2"/>
  <c r="T106" i="2"/>
  <c r="V103" i="2"/>
  <c r="X100" i="2"/>
  <c r="Z97" i="2"/>
  <c r="F95" i="2"/>
  <c r="H92" i="2"/>
  <c r="R90" i="2"/>
  <c r="H89" i="2"/>
  <c r="T87" i="2"/>
  <c r="J86" i="2"/>
  <c r="V84" i="2"/>
  <c r="L83" i="2"/>
  <c r="K110" i="2"/>
  <c r="S98" i="2"/>
  <c r="O89" i="2"/>
  <c r="S83" i="2"/>
  <c r="Z80" i="2"/>
  <c r="M79" i="2"/>
  <c r="U86" i="2"/>
  <c r="W112" i="2"/>
  <c r="I101" i="2"/>
  <c r="U90" i="2"/>
  <c r="Y84" i="2"/>
  <c r="M81" i="2"/>
  <c r="T79" i="2"/>
  <c r="I88" i="2"/>
  <c r="F79" i="2"/>
  <c r="U103" i="2"/>
  <c r="G92" i="2"/>
  <c r="I86" i="2"/>
  <c r="W81" i="2"/>
  <c r="E80" i="2"/>
  <c r="U107" i="2"/>
  <c r="S89" i="2"/>
  <c r="Z79" i="2"/>
  <c r="D104" i="2"/>
  <c r="D101" i="2"/>
  <c r="D90" i="2"/>
  <c r="D91" i="2"/>
  <c r="AS38" i="3"/>
  <c r="AM43" i="3"/>
  <c r="AN39" i="3"/>
  <c r="AO43" i="3"/>
  <c r="AS39" i="3"/>
  <c r="AM47" i="3"/>
  <c r="AS43" i="3"/>
  <c r="AW43" i="3"/>
  <c r="AN43" i="3"/>
  <c r="AS10" i="2"/>
  <c r="BF12" i="2"/>
  <c r="BD14" i="2"/>
  <c r="BJ16" i="2"/>
  <c r="BH18" i="2"/>
  <c r="AS11" i="2"/>
  <c r="BF13" i="2"/>
  <c r="BD15" i="2"/>
  <c r="BJ17" i="2"/>
  <c r="AQ10" i="2"/>
  <c r="AS12" i="2"/>
  <c r="BF14" i="2"/>
  <c r="BD16" i="2"/>
  <c r="BJ18" i="2"/>
  <c r="BD13" i="2"/>
  <c r="E126" i="2"/>
  <c r="D122" i="2"/>
  <c r="Z138" i="2"/>
  <c r="V134" i="2"/>
  <c r="V129" i="2"/>
  <c r="J125" i="2"/>
  <c r="Z120" i="2"/>
  <c r="Z116" i="2"/>
  <c r="M136" i="2"/>
  <c r="I131" i="2"/>
  <c r="Y127" i="2"/>
  <c r="U124" i="2"/>
  <c r="Q121" i="2"/>
  <c r="M118" i="2"/>
  <c r="I115" i="2"/>
  <c r="X135" i="2"/>
  <c r="T131" i="2"/>
  <c r="P128" i="2"/>
  <c r="L125" i="2"/>
  <c r="H122" i="2"/>
  <c r="X118" i="2"/>
  <c r="T115" i="2"/>
  <c r="G130" i="2"/>
  <c r="K117" i="2"/>
  <c r="S121" i="2"/>
  <c r="K118" i="2"/>
  <c r="S126" i="2"/>
  <c r="O130" i="2"/>
  <c r="K126" i="2"/>
  <c r="L113" i="2"/>
  <c r="N110" i="2"/>
  <c r="P107" i="2"/>
  <c r="R104" i="2"/>
  <c r="T101" i="2"/>
  <c r="V98" i="2"/>
  <c r="X95" i="2"/>
  <c r="Z92" i="2"/>
  <c r="G113" i="2"/>
  <c r="I110" i="2"/>
  <c r="K107" i="2"/>
  <c r="M104" i="2"/>
  <c r="O101" i="2"/>
  <c r="Q98" i="2"/>
  <c r="S95" i="2"/>
  <c r="U92" i="2"/>
  <c r="X110" i="2"/>
  <c r="F105" i="2"/>
  <c r="J99" i="2"/>
  <c r="N93" i="2"/>
  <c r="V89" i="2"/>
  <c r="X86" i="2"/>
  <c r="Z83" i="2"/>
  <c r="F81" i="2"/>
  <c r="O110" i="2"/>
  <c r="S104" i="2"/>
  <c r="W98" i="2"/>
  <c r="E93" i="2"/>
  <c r="Q89" i="2"/>
  <c r="S86" i="2"/>
  <c r="G84" i="2"/>
  <c r="S82" i="2"/>
  <c r="J109" i="2"/>
  <c r="L106" i="2"/>
  <c r="N103" i="2"/>
  <c r="P100" i="2"/>
  <c r="R97" i="2"/>
  <c r="T94" i="2"/>
  <c r="X91" i="2"/>
  <c r="N90" i="2"/>
  <c r="Z88" i="2"/>
  <c r="P87" i="2"/>
  <c r="F86" i="2"/>
  <c r="R84" i="2"/>
  <c r="H83" i="2"/>
  <c r="W108" i="2"/>
  <c r="I97" i="2"/>
  <c r="U88" i="2"/>
  <c r="Y82" i="2"/>
  <c r="U80" i="2"/>
  <c r="I79" i="2"/>
  <c r="Q84" i="2"/>
  <c r="M111" i="2"/>
  <c r="U99" i="2"/>
  <c r="E90" i="2"/>
  <c r="I84" i="2"/>
  <c r="H81" i="2"/>
  <c r="P79" i="2"/>
  <c r="E86" i="2"/>
  <c r="Y113" i="2"/>
  <c r="K102" i="2"/>
  <c r="K91" i="2"/>
  <c r="O85" i="2"/>
  <c r="Q81" i="2"/>
  <c r="W79" i="2"/>
  <c r="K106" i="2"/>
  <c r="O87" i="2"/>
  <c r="N79" i="2"/>
  <c r="D108" i="2"/>
  <c r="D105" i="2"/>
  <c r="D94" i="2"/>
  <c r="D95" i="2"/>
  <c r="AW38" i="3"/>
  <c r="AK44" i="3"/>
  <c r="AL40" i="3"/>
  <c r="AL44" i="3"/>
  <c r="AM40" i="3"/>
  <c r="AK48" i="3"/>
  <c r="AL45" i="3"/>
  <c r="AN44" i="3"/>
  <c r="AJ44" i="3"/>
  <c r="BD10" i="2"/>
  <c r="BJ12" i="2"/>
  <c r="BH14" i="2"/>
  <c r="AV17" i="2"/>
  <c r="AN19" i="2"/>
  <c r="BD11" i="2"/>
  <c r="BJ13" i="2"/>
  <c r="BH15" i="2"/>
  <c r="AV18" i="2"/>
  <c r="BF10" i="2"/>
  <c r="BD12" i="2"/>
  <c r="BJ14" i="2"/>
  <c r="BH16" i="2"/>
  <c r="AN10" i="2"/>
  <c r="AQ15" i="2"/>
  <c r="AM21" i="2"/>
  <c r="F130" i="2"/>
  <c r="E122" i="2"/>
  <c r="F116" i="2"/>
  <c r="V138" i="2"/>
  <c r="J134" i="2"/>
  <c r="Z128" i="2"/>
  <c r="Z124" i="2"/>
  <c r="N120" i="2"/>
  <c r="J116" i="2"/>
  <c r="I136" i="2"/>
  <c r="U130" i="2"/>
  <c r="Q127" i="2"/>
  <c r="I121" i="2"/>
  <c r="Y117" i="2"/>
  <c r="T138" i="2"/>
  <c r="P135" i="2"/>
  <c r="L131" i="2"/>
  <c r="H128" i="2"/>
  <c r="X124" i="2"/>
  <c r="T121" i="2"/>
  <c r="P118" i="2"/>
  <c r="L115" i="2"/>
  <c r="O128" i="2"/>
  <c r="S115" i="2"/>
  <c r="O118" i="2"/>
  <c r="S138" i="2"/>
  <c r="G125" i="2"/>
  <c r="O126" i="2"/>
  <c r="O121" i="2"/>
  <c r="Z112" i="2"/>
  <c r="F110" i="2"/>
  <c r="H107" i="2"/>
  <c r="J104" i="2"/>
  <c r="L101" i="2"/>
  <c r="N98" i="2"/>
  <c r="P95" i="2"/>
  <c r="R92" i="2"/>
  <c r="U112" i="2"/>
  <c r="W109" i="2"/>
  <c r="Y106" i="2"/>
  <c r="E104" i="2"/>
  <c r="G101" i="2"/>
  <c r="I98" i="2"/>
  <c r="K95" i="2"/>
  <c r="M92" i="2"/>
  <c r="H110" i="2"/>
  <c r="L104" i="2"/>
  <c r="P98" i="2"/>
  <c r="T92" i="2"/>
  <c r="N89" i="2"/>
  <c r="P86" i="2"/>
  <c r="R83" i="2"/>
  <c r="T80" i="2"/>
  <c r="U109" i="2"/>
  <c r="Y103" i="2"/>
  <c r="G98" i="2"/>
  <c r="K92" i="2"/>
  <c r="I89" i="2"/>
  <c r="K86" i="2"/>
  <c r="Y83" i="2"/>
  <c r="T114" i="2"/>
  <c r="V111" i="2"/>
  <c r="X108" i="2"/>
  <c r="Z105" i="2"/>
  <c r="F103" i="2"/>
  <c r="H100" i="2"/>
  <c r="J97" i="2"/>
  <c r="L94" i="2"/>
  <c r="T91" i="2"/>
  <c r="J90" i="2"/>
  <c r="V88" i="2"/>
  <c r="L87" i="2"/>
  <c r="X85" i="2"/>
  <c r="N84" i="2"/>
  <c r="Z82" i="2"/>
  <c r="M107" i="2"/>
  <c r="U95" i="2"/>
  <c r="E88" i="2"/>
  <c r="N82" i="2"/>
  <c r="O80" i="2"/>
  <c r="E79" i="2"/>
  <c r="J82" i="2"/>
  <c r="Y109" i="2"/>
  <c r="K98" i="2"/>
  <c r="K89" i="2"/>
  <c r="O83" i="2"/>
  <c r="Y80" i="2"/>
  <c r="L79" i="2"/>
  <c r="G83" i="2"/>
  <c r="O112" i="2"/>
  <c r="W100" i="2"/>
  <c r="Q90" i="2"/>
  <c r="U84" i="2"/>
  <c r="L81" i="2"/>
  <c r="S79" i="2"/>
  <c r="W104" i="2"/>
  <c r="K85" i="2"/>
  <c r="D80" i="2"/>
  <c r="D112" i="2"/>
  <c r="D109" i="2"/>
  <c r="D98" i="2"/>
  <c r="D99" i="2"/>
  <c r="AM39" i="3"/>
  <c r="AO44" i="3"/>
  <c r="AJ41" i="3"/>
  <c r="AN45" i="3"/>
  <c r="AO41" i="3"/>
  <c r="AO48" i="3"/>
  <c r="AO47" i="3"/>
  <c r="AK45" i="3"/>
  <c r="AW45" i="3"/>
  <c r="BH10" i="2"/>
  <c r="AV13" i="2"/>
  <c r="AN15" i="2"/>
  <c r="BE17" i="2"/>
  <c r="BG19" i="2"/>
  <c r="BH11" i="2"/>
  <c r="AV14" i="2"/>
  <c r="AN16" i="2"/>
  <c r="BE18" i="2"/>
  <c r="BJ10" i="2"/>
  <c r="BH12" i="2"/>
  <c r="AV15" i="2"/>
  <c r="AN17" i="2"/>
  <c r="BK10" i="2"/>
  <c r="AO17" i="2"/>
  <c r="D124" i="2"/>
  <c r="D121" i="2"/>
  <c r="E136" i="2"/>
  <c r="Z137" i="2"/>
  <c r="Z133" i="2"/>
  <c r="N128" i="2"/>
  <c r="J124" i="2"/>
  <c r="J120" i="2"/>
  <c r="R115" i="2"/>
  <c r="M135" i="2"/>
  <c r="Q130" i="2"/>
  <c r="M127" i="2"/>
  <c r="I124" i="2"/>
  <c r="Y120" i="2"/>
  <c r="U117" i="2"/>
  <c r="P138" i="2"/>
  <c r="L135" i="2"/>
  <c r="H131" i="2"/>
  <c r="X127" i="2"/>
  <c r="T124" i="2"/>
  <c r="P121" i="2"/>
  <c r="L118" i="2"/>
  <c r="H115" i="2"/>
  <c r="S127" i="2"/>
  <c r="O138" i="2"/>
  <c r="W116" i="2"/>
  <c r="W137" i="2"/>
  <c r="K124" i="2"/>
  <c r="G124" i="2"/>
  <c r="G119" i="2"/>
  <c r="V112" i="2"/>
  <c r="X109" i="2"/>
  <c r="Z106" i="2"/>
  <c r="F104" i="2"/>
  <c r="H101" i="2"/>
  <c r="J98" i="2"/>
  <c r="L95" i="2"/>
  <c r="N92" i="2"/>
  <c r="Q112" i="2"/>
  <c r="S109" i="2"/>
  <c r="U106" i="2"/>
  <c r="W103" i="2"/>
  <c r="Y100" i="2"/>
  <c r="E98" i="2"/>
  <c r="G95" i="2"/>
  <c r="I92" i="2"/>
  <c r="V109" i="2"/>
  <c r="Z103" i="2"/>
  <c r="H98" i="2"/>
  <c r="L92" i="2"/>
  <c r="J89" i="2"/>
  <c r="L86" i="2"/>
  <c r="N83" i="2"/>
  <c r="P80" i="2"/>
  <c r="M109" i="2"/>
  <c r="Q103" i="2"/>
  <c r="U97" i="2"/>
  <c r="Y91" i="2"/>
  <c r="E89" i="2"/>
  <c r="G86" i="2"/>
  <c r="U83" i="2"/>
  <c r="L114" i="2"/>
  <c r="N111" i="2"/>
  <c r="P108" i="2"/>
  <c r="R105" i="2"/>
  <c r="T102" i="2"/>
  <c r="V99" i="2"/>
  <c r="X96" i="2"/>
  <c r="Z93" i="2"/>
  <c r="P91" i="2"/>
  <c r="F90" i="2"/>
  <c r="R88" i="2"/>
  <c r="H87" i="2"/>
  <c r="T85" i="2"/>
  <c r="J84" i="2"/>
  <c r="V82" i="2"/>
  <c r="Y105" i="2"/>
  <c r="K94" i="2"/>
  <c r="K87" i="2"/>
  <c r="I82" i="2"/>
  <c r="K80" i="2"/>
  <c r="S110" i="2"/>
  <c r="E81" i="2"/>
  <c r="O108" i="2"/>
  <c r="W96" i="2"/>
  <c r="Q88" i="2"/>
  <c r="U82" i="2"/>
  <c r="S80" i="2"/>
  <c r="H79" i="2"/>
  <c r="E82" i="2"/>
  <c r="E111" i="2"/>
  <c r="M99" i="2"/>
  <c r="W89" i="2"/>
  <c r="E84" i="2"/>
  <c r="G81" i="2"/>
  <c r="O79" i="2"/>
  <c r="M103" i="2"/>
  <c r="W83" i="2"/>
  <c r="D84" i="2"/>
  <c r="D81" i="2"/>
  <c r="D113" i="2"/>
  <c r="D102" i="2"/>
  <c r="D103" i="2"/>
  <c r="AK40" i="3"/>
  <c r="AS44" i="3"/>
  <c r="AN41" i="3"/>
  <c r="AS45" i="3"/>
  <c r="AW41" i="3"/>
  <c r="AS48" i="3"/>
  <c r="AM48" i="3"/>
  <c r="AJ47" i="3"/>
  <c r="AK47" i="3"/>
  <c r="AN11" i="2"/>
  <c r="BE13" i="2"/>
  <c r="BG15" i="2"/>
  <c r="BI17" i="2"/>
  <c r="AV10" i="2"/>
  <c r="AN12" i="2"/>
  <c r="BE14" i="2"/>
  <c r="BG16" i="2"/>
  <c r="BI18" i="2"/>
  <c r="AV11" i="2"/>
  <c r="AN13" i="2"/>
  <c r="BE15" i="2"/>
  <c r="BG17" i="2"/>
  <c r="AM11" i="2"/>
  <c r="AN18" i="2"/>
  <c r="F118" i="2"/>
  <c r="E135" i="2"/>
  <c r="E128" i="2"/>
  <c r="J137" i="2"/>
  <c r="R131" i="2"/>
  <c r="N127" i="2"/>
  <c r="N123" i="2"/>
  <c r="V118" i="2"/>
  <c r="Q138" i="2"/>
  <c r="Q134" i="2"/>
  <c r="Q129" i="2"/>
  <c r="M126" i="2"/>
  <c r="I123" i="2"/>
  <c r="Y119" i="2"/>
  <c r="U116" i="2"/>
  <c r="P137" i="2"/>
  <c r="L134" i="2"/>
  <c r="H130" i="2"/>
  <c r="X126" i="2"/>
  <c r="T123" i="2"/>
  <c r="P120" i="2"/>
  <c r="L117" i="2"/>
  <c r="K137" i="2"/>
  <c r="S123" i="2"/>
  <c r="S133" i="2"/>
  <c r="K130" i="2"/>
  <c r="W133" i="2"/>
  <c r="K120" i="2"/>
  <c r="G116" i="2"/>
  <c r="V114" i="2"/>
  <c r="X111" i="2"/>
  <c r="Z108" i="2"/>
  <c r="F106" i="2"/>
  <c r="H103" i="2"/>
  <c r="J100" i="2"/>
  <c r="L97" i="2"/>
  <c r="N94" i="2"/>
  <c r="Q114" i="2"/>
  <c r="S111" i="2"/>
  <c r="U108" i="2"/>
  <c r="W105" i="2"/>
  <c r="Y102" i="2"/>
  <c r="E100" i="2"/>
  <c r="G97" i="2"/>
  <c r="I94" i="2"/>
  <c r="V113" i="2"/>
  <c r="Z107" i="2"/>
  <c r="H102" i="2"/>
  <c r="L96" i="2"/>
  <c r="J91" i="2"/>
  <c r="L88" i="2"/>
  <c r="N85" i="2"/>
  <c r="P82" i="2"/>
  <c r="M113" i="2"/>
  <c r="Q107" i="2"/>
  <c r="U101" i="2"/>
  <c r="Y95" i="2"/>
  <c r="E91" i="2"/>
  <c r="F115" i="2"/>
  <c r="J128" i="2"/>
  <c r="U134" i="2"/>
  <c r="U120" i="2"/>
  <c r="X130" i="2"/>
  <c r="H118" i="2"/>
  <c r="K115" i="2"/>
  <c r="O117" i="2"/>
  <c r="X103" i="2"/>
  <c r="J92" i="2"/>
  <c r="S103" i="2"/>
  <c r="E92" i="2"/>
  <c r="Z91" i="2"/>
  <c r="W114" i="2"/>
  <c r="U91" i="2"/>
  <c r="Q83" i="2"/>
  <c r="L110" i="2"/>
  <c r="Z101" i="2"/>
  <c r="R93" i="2"/>
  <c r="P89" i="2"/>
  <c r="L85" i="2"/>
  <c r="O104" i="2"/>
  <c r="G85" i="2"/>
  <c r="I93" i="2"/>
  <c r="M95" i="2"/>
  <c r="X81" i="2"/>
  <c r="V80" i="2"/>
  <c r="G89" i="2"/>
  <c r="M80" i="2"/>
  <c r="U81" i="2"/>
  <c r="AK38" i="3"/>
  <c r="AN38" i="3"/>
  <c r="AW48" i="3"/>
  <c r="D134" i="2"/>
  <c r="V126" i="2"/>
  <c r="U133" i="2"/>
  <c r="Q119" i="2"/>
  <c r="T129" i="2"/>
  <c r="X116" i="2"/>
  <c r="G127" i="2"/>
  <c r="N114" i="2"/>
  <c r="V102" i="2"/>
  <c r="I114" i="2"/>
  <c r="Q102" i="2"/>
  <c r="F113" i="2"/>
  <c r="X90" i="2"/>
  <c r="S112" i="2"/>
  <c r="S90" i="2"/>
  <c r="M83" i="2"/>
  <c r="H108" i="2"/>
  <c r="R101" i="2"/>
  <c r="J93" i="2"/>
  <c r="N88" i="2"/>
  <c r="H85" i="2"/>
  <c r="E103" i="2"/>
  <c r="Y81" i="2"/>
  <c r="G91" i="2"/>
  <c r="Y93" i="2"/>
  <c r="N80" i="2"/>
  <c r="M88" i="2"/>
  <c r="K79" i="2"/>
  <c r="K81" i="2"/>
  <c r="D107" i="2"/>
  <c r="AO40" i="3"/>
  <c r="AJ40" i="3"/>
  <c r="AM38" i="3"/>
  <c r="AS47" i="3"/>
  <c r="AO14" i="2"/>
  <c r="BI10" i="2"/>
  <c r="BK16" i="2"/>
  <c r="AK12" i="2"/>
  <c r="AM18" i="2"/>
  <c r="BK20" i="2"/>
  <c r="AO23" i="2"/>
  <c r="AQ25" i="2"/>
  <c r="BD19" i="2"/>
  <c r="BG21" i="2"/>
  <c r="BI23" i="2"/>
  <c r="BK25" i="2"/>
  <c r="BE16" i="2"/>
  <c r="BI20" i="2"/>
  <c r="BK22" i="2"/>
  <c r="AK25" i="2"/>
  <c r="AM27" i="2"/>
  <c r="AN23" i="2"/>
  <c r="BF27" i="2"/>
  <c r="BD29" i="2"/>
  <c r="BJ31" i="2"/>
  <c r="BH33" i="2"/>
  <c r="BI21" i="2"/>
  <c r="AK27" i="2"/>
  <c r="BE29" i="2"/>
  <c r="BG31" i="2"/>
  <c r="BI33" i="2"/>
  <c r="BI16" i="2"/>
  <c r="BE26" i="2"/>
  <c r="AQ29" i="2"/>
  <c r="AS31" i="2"/>
  <c r="BF33" i="2"/>
  <c r="BD35" i="2"/>
  <c r="BK19" i="2"/>
  <c r="BE31" i="2"/>
  <c r="BD37" i="2"/>
  <c r="BK33" i="2"/>
  <c r="AV37" i="2"/>
  <c r="AN39" i="2"/>
  <c r="AV27" i="2"/>
  <c r="AN35" i="2"/>
  <c r="AV38" i="2"/>
  <c r="AN40" i="2"/>
  <c r="BJ25" i="2"/>
  <c r="BH32" i="2"/>
  <c r="AK37" i="2"/>
  <c r="BE39" i="2"/>
  <c r="BG41" i="2"/>
  <c r="BI43" i="2"/>
  <c r="BK42" i="2"/>
  <c r="AS45" i="2"/>
  <c r="BF47" i="2"/>
  <c r="BD49" i="2"/>
  <c r="BJ51" i="2"/>
  <c r="BH53" i="2"/>
  <c r="AV56" i="2"/>
  <c r="AN58" i="2"/>
  <c r="BE60" i="2"/>
  <c r="BE40" i="2"/>
  <c r="BJ43" i="2"/>
  <c r="AK46" i="2"/>
  <c r="AM48" i="2"/>
  <c r="AO50" i="2"/>
  <c r="AQ52" i="2"/>
  <c r="AS54" i="2"/>
  <c r="BF56" i="2"/>
  <c r="BD58" i="2"/>
  <c r="BJ39" i="2"/>
  <c r="BK43" i="2"/>
  <c r="AV46" i="2"/>
  <c r="AN48" i="2"/>
  <c r="BE50" i="2"/>
  <c r="BG52" i="2"/>
  <c r="BI54" i="2"/>
  <c r="BK56" i="2"/>
  <c r="AK59" i="2"/>
  <c r="AM61" i="2"/>
  <c r="BI42" i="2"/>
  <c r="BH44" i="2"/>
  <c r="AV47" i="2"/>
  <c r="AN49" i="2"/>
  <c r="BE51" i="2"/>
  <c r="BG53" i="2"/>
  <c r="BI55" i="2"/>
  <c r="BK57" i="2"/>
  <c r="AK60" i="2"/>
  <c r="BD62" i="2"/>
  <c r="BJ61" i="2"/>
  <c r="BF62" i="2"/>
  <c r="BH8" i="2"/>
  <c r="AQ8" i="2"/>
  <c r="AL46" i="3"/>
  <c r="D135" i="2"/>
  <c r="R123" i="2"/>
  <c r="M130" i="2"/>
  <c r="Q117" i="2"/>
  <c r="T127" i="2"/>
  <c r="W135" i="2"/>
  <c r="G137" i="2"/>
  <c r="R112" i="2"/>
  <c r="Z100" i="2"/>
  <c r="M112" i="2"/>
  <c r="U100" i="2"/>
  <c r="N109" i="2"/>
  <c r="F89" i="2"/>
  <c r="E109" i="2"/>
  <c r="W88" i="2"/>
  <c r="I83" i="2"/>
  <c r="V107" i="2"/>
  <c r="N99" i="2"/>
  <c r="X92" i="2"/>
  <c r="J88" i="2"/>
  <c r="F84" i="2"/>
  <c r="Q101" i="2"/>
  <c r="T81" i="2"/>
  <c r="O92" i="2"/>
  <c r="J80" i="2"/>
  <c r="Q109" i="2"/>
  <c r="G79" i="2"/>
  <c r="D88" i="2"/>
  <c r="D82" i="2"/>
  <c r="AS40" i="3"/>
  <c r="AL47" i="3"/>
  <c r="E124" i="2"/>
  <c r="R122" i="2"/>
  <c r="I129" i="2"/>
  <c r="M116" i="2"/>
  <c r="P126" i="2"/>
  <c r="S135" i="2"/>
  <c r="O131" i="2"/>
  <c r="P111" i="2"/>
  <c r="X99" i="2"/>
  <c r="K111" i="2"/>
  <c r="S99" i="2"/>
  <c r="J107" i="2"/>
  <c r="Z87" i="2"/>
  <c r="W106" i="2"/>
  <c r="G88" i="2"/>
  <c r="Z113" i="2"/>
  <c r="N107" i="2"/>
  <c r="F99" i="2"/>
  <c r="L91" i="2"/>
  <c r="F88" i="2"/>
  <c r="X83" i="2"/>
  <c r="W92" i="2"/>
  <c r="O81" i="2"/>
  <c r="V79" i="2"/>
  <c r="W87" i="2"/>
  <c r="F80" i="2"/>
  <c r="G108" i="2"/>
  <c r="K83" i="2"/>
  <c r="Q113" i="2"/>
  <c r="D92" i="2"/>
  <c r="D106" i="2"/>
  <c r="AW40" i="3"/>
  <c r="AJ48" i="3"/>
  <c r="AJ38" i="3"/>
  <c r="AK10" i="2"/>
  <c r="AM16" i="2"/>
  <c r="BG12" i="2"/>
  <c r="AQ17" i="2"/>
  <c r="BK13" i="2"/>
  <c r="BJ11" i="2"/>
  <c r="BF21" i="2"/>
  <c r="BD23" i="2"/>
  <c r="AO13" i="2"/>
  <c r="AK20" i="2"/>
  <c r="AM22" i="2"/>
  <c r="AO24" i="2"/>
  <c r="AQ26" i="2"/>
  <c r="AQ19" i="2"/>
  <c r="AO21" i="2"/>
  <c r="AQ23" i="2"/>
  <c r="AS25" i="2"/>
  <c r="BF11" i="2"/>
  <c r="AM24" i="2"/>
  <c r="AV28" i="2"/>
  <c r="AN30" i="2"/>
  <c r="BE32" i="2"/>
  <c r="BG34" i="2"/>
  <c r="AQ24" i="2"/>
  <c r="BK27" i="2"/>
  <c r="AK30" i="2"/>
  <c r="AM32" i="2"/>
  <c r="AO34" i="2"/>
  <c r="AO22" i="2"/>
  <c r="BD27" i="2"/>
  <c r="BJ29" i="2"/>
  <c r="BH31" i="2"/>
  <c r="AV34" i="2"/>
  <c r="AN36" i="2"/>
  <c r="AS22" i="2"/>
  <c r="BG33" i="2"/>
  <c r="AN38" i="2"/>
  <c r="BF34" i="2"/>
  <c r="BI37" i="2"/>
  <c r="BK39" i="2"/>
  <c r="AN29" i="2"/>
  <c r="BJ35" i="2"/>
  <c r="BI38" i="2"/>
  <c r="BK40" i="2"/>
  <c r="BI27" i="2"/>
  <c r="BF35" i="2"/>
  <c r="BK37" i="2"/>
  <c r="AK40" i="2"/>
  <c r="AM42" i="2"/>
  <c r="BJ40" i="2"/>
  <c r="BH43" i="2"/>
  <c r="BH45" i="2"/>
  <c r="AV48" i="2"/>
  <c r="AN50" i="2"/>
  <c r="BE52" i="2"/>
  <c r="BG54" i="2"/>
  <c r="BI56" i="2"/>
  <c r="BK58" i="2"/>
  <c r="AK61" i="2"/>
  <c r="BI41" i="2"/>
  <c r="AQ44" i="2"/>
  <c r="AS46" i="2"/>
  <c r="BF48" i="2"/>
  <c r="BD50" i="2"/>
  <c r="BJ52" i="2"/>
  <c r="BH54" i="2"/>
  <c r="AV57" i="2"/>
  <c r="AN59" i="2"/>
  <c r="BF40" i="2"/>
  <c r="BG44" i="2"/>
  <c r="BI46" i="2"/>
  <c r="BK48" i="2"/>
  <c r="AK51" i="2"/>
  <c r="AM53" i="2"/>
  <c r="AO55" i="2"/>
  <c r="AQ57" i="2"/>
  <c r="AS59" i="2"/>
  <c r="BI40" i="2"/>
  <c r="AQ43" i="2"/>
  <c r="BG45" i="2"/>
  <c r="BI47" i="2"/>
  <c r="BK49" i="2"/>
  <c r="AK52" i="2"/>
  <c r="AM54" i="2"/>
  <c r="AO56" i="2"/>
  <c r="AQ58" i="2"/>
  <c r="AS60" i="2"/>
  <c r="BF60" i="2"/>
  <c r="BE62" i="2"/>
  <c r="AN62" i="2"/>
  <c r="AS8" i="2"/>
  <c r="BE8" i="2"/>
  <c r="AM46" i="3"/>
  <c r="D120" i="2"/>
  <c r="J133" i="2"/>
  <c r="N115" i="2"/>
  <c r="Y123" i="2"/>
  <c r="H135" i="2"/>
  <c r="L121" i="2"/>
  <c r="W136" i="2"/>
  <c r="O122" i="2"/>
  <c r="V106" i="2"/>
  <c r="H95" i="2"/>
  <c r="Q106" i="2"/>
  <c r="Y94" i="2"/>
  <c r="V97" i="2"/>
  <c r="J83" i="2"/>
  <c r="M97" i="2"/>
  <c r="I85" i="2"/>
  <c r="F111" i="2"/>
  <c r="P104" i="2"/>
  <c r="H96" i="2"/>
  <c r="X89" i="2"/>
  <c r="R86" i="2"/>
  <c r="S114" i="2"/>
  <c r="Q86" i="2"/>
  <c r="U79" i="2"/>
  <c r="Q105" i="2"/>
  <c r="M82" i="2"/>
  <c r="S94" i="2"/>
  <c r="O96" i="2"/>
  <c r="W80" i="2"/>
  <c r="G96" i="2"/>
  <c r="D89" i="2"/>
  <c r="D111" i="2"/>
  <c r="AL38" i="3"/>
  <c r="AM44" i="3"/>
  <c r="AN47" i="3"/>
  <c r="AM12" i="2"/>
  <c r="AO18" i="2"/>
  <c r="BI14" i="2"/>
  <c r="AS19" i="2"/>
  <c r="AK16" i="2"/>
  <c r="BG18" i="2"/>
  <c r="BE22" i="2"/>
  <c r="BG24" i="2"/>
  <c r="AS17" i="2"/>
  <c r="BD20" i="2"/>
  <c r="BJ22" i="2"/>
  <c r="BH24" i="2"/>
  <c r="BG14" i="2"/>
  <c r="BJ19" i="2"/>
  <c r="BH21" i="2"/>
  <c r="AV24" i="2"/>
  <c r="AN26" i="2"/>
  <c r="BJ20" i="2"/>
  <c r="AO26" i="2"/>
  <c r="AK29" i="2"/>
  <c r="AM31" i="2"/>
  <c r="AO33" i="2"/>
  <c r="AQ35" i="2"/>
  <c r="BF25" i="2"/>
  <c r="BF28" i="2"/>
  <c r="BD30" i="2"/>
  <c r="BJ32" i="2"/>
  <c r="BH34" i="2"/>
  <c r="AK26" i="2"/>
  <c r="BG28" i="2"/>
  <c r="BI30" i="2"/>
  <c r="BK32" i="2"/>
  <c r="AK35" i="2"/>
  <c r="AM37" i="2"/>
  <c r="AQ30" i="2"/>
  <c r="AV36" i="2"/>
  <c r="BH28" i="2"/>
  <c r="BF36" i="2"/>
  <c r="AS38" i="2"/>
  <c r="BG23" i="2"/>
  <c r="BD32" i="2"/>
  <c r="AO37" i="2"/>
  <c r="AS39" i="2"/>
  <c r="BF41" i="2"/>
  <c r="AM30" i="2"/>
  <c r="AS36" i="2"/>
  <c r="BF38" i="2"/>
  <c r="BD40" i="2"/>
  <c r="BJ42" i="2"/>
  <c r="AS42" i="2"/>
  <c r="BI44" i="2"/>
  <c r="BK46" i="2"/>
  <c r="AK49" i="2"/>
  <c r="AM51" i="2"/>
  <c r="AO53" i="2"/>
  <c r="AQ55" i="2"/>
  <c r="AS57" i="2"/>
  <c r="BF59" i="2"/>
  <c r="BK38" i="2"/>
  <c r="AN43" i="2"/>
  <c r="AV45" i="2"/>
  <c r="AN47" i="2"/>
  <c r="BE49" i="2"/>
  <c r="BG51" i="2"/>
  <c r="BI53" i="2"/>
  <c r="BK55" i="2"/>
  <c r="AK58" i="2"/>
  <c r="AM60" i="2"/>
  <c r="BH42" i="2"/>
  <c r="AQ45" i="2"/>
  <c r="AS47" i="2"/>
  <c r="BF49" i="2"/>
  <c r="BD51" i="2"/>
  <c r="BJ53" i="2"/>
  <c r="BH55" i="2"/>
  <c r="AV58" i="2"/>
  <c r="AN60" i="2"/>
  <c r="AV41" i="2"/>
  <c r="AO44" i="2"/>
  <c r="AQ46" i="2"/>
  <c r="AS48" i="2"/>
  <c r="BF50" i="2"/>
  <c r="BD52" i="2"/>
  <c r="BJ54" i="2"/>
  <c r="BH56" i="2"/>
  <c r="AV59" i="2"/>
  <c r="AN61" i="2"/>
  <c r="BJ60" i="2"/>
  <c r="BK61" i="2"/>
  <c r="BI61" i="2"/>
  <c r="BK8" i="2"/>
  <c r="BF8" i="2"/>
  <c r="D137" i="2"/>
  <c r="N131" i="2"/>
  <c r="Y137" i="2"/>
  <c r="U122" i="2"/>
  <c r="X133" i="2"/>
  <c r="H120" i="2"/>
  <c r="S129" i="2"/>
  <c r="S136" i="2"/>
  <c r="T105" i="2"/>
  <c r="F94" i="2"/>
  <c r="O105" i="2"/>
  <c r="W93" i="2"/>
  <c r="R95" i="2"/>
  <c r="H82" i="2"/>
  <c r="I95" i="2"/>
  <c r="W84" i="2"/>
  <c r="T110" i="2"/>
  <c r="L102" i="2"/>
  <c r="V95" i="2"/>
  <c r="T89" i="2"/>
  <c r="P85" i="2"/>
  <c r="I113" i="2"/>
  <c r="W85" i="2"/>
  <c r="O100" i="2"/>
  <c r="G104" i="2"/>
  <c r="G82" i="2"/>
  <c r="P81" i="2"/>
  <c r="E95" i="2"/>
  <c r="R80" i="2"/>
  <c r="O82" i="2"/>
  <c r="D93" i="2"/>
  <c r="D79" i="2"/>
  <c r="AJ43" i="3"/>
  <c r="AJ45" i="3"/>
  <c r="AL48" i="3"/>
  <c r="BI13" i="2"/>
  <c r="AS18" i="2"/>
  <c r="AK15" i="2"/>
  <c r="BE11" i="2"/>
  <c r="AO16" i="2"/>
  <c r="BH19" i="2"/>
  <c r="BI22" i="2"/>
  <c r="BK24" i="2"/>
  <c r="BK18" i="2"/>
  <c r="BH20" i="2"/>
  <c r="AV23" i="2"/>
  <c r="AN25" i="2"/>
  <c r="BJ15" i="2"/>
  <c r="AV20" i="2"/>
  <c r="AN22" i="2"/>
  <c r="BE24" i="2"/>
  <c r="BG26" i="2"/>
  <c r="AV21" i="2"/>
  <c r="BH26" i="2"/>
  <c r="AO29" i="2"/>
  <c r="AQ31" i="2"/>
  <c r="AS33" i="2"/>
  <c r="BG10" i="2"/>
  <c r="BD26" i="2"/>
  <c r="BJ28" i="2"/>
  <c r="BH30" i="2"/>
  <c r="AV33" i="2"/>
  <c r="BE12" i="2"/>
  <c r="AS26" i="2"/>
  <c r="BK28" i="2"/>
  <c r="AK31" i="2"/>
  <c r="AM33" i="2"/>
  <c r="AO35" i="2"/>
  <c r="AQ37" i="2"/>
  <c r="BJ30" i="2"/>
  <c r="BE36" i="2"/>
  <c r="BI31" i="2"/>
  <c r="AN37" i="2"/>
  <c r="BD38" i="2"/>
  <c r="BF26" i="2"/>
  <c r="AQ34" i="2"/>
  <c r="BF37" i="2"/>
  <c r="BD39" i="2"/>
  <c r="BJ41" i="2"/>
  <c r="BF30" i="2"/>
  <c r="BD36" i="2"/>
  <c r="BJ38" i="2"/>
  <c r="BH40" i="2"/>
  <c r="AV43" i="2"/>
  <c r="AV42" i="2"/>
  <c r="AK45" i="2"/>
  <c r="AM47" i="2"/>
  <c r="AO49" i="2"/>
  <c r="AQ51" i="2"/>
  <c r="AS53" i="2"/>
  <c r="BF55" i="2"/>
  <c r="BD57" i="2"/>
  <c r="BJ59" i="2"/>
  <c r="AM39" i="2"/>
  <c r="AS43" i="2"/>
  <c r="BE45" i="2"/>
  <c r="BG47" i="2"/>
  <c r="BI49" i="2"/>
  <c r="BK51" i="2"/>
  <c r="AK54" i="2"/>
  <c r="AM56" i="2"/>
  <c r="AO58" i="2"/>
  <c r="AQ60" i="2"/>
  <c r="AO43" i="2"/>
  <c r="BF45" i="2"/>
  <c r="BD47" i="2"/>
  <c r="BJ49" i="2"/>
  <c r="BH51" i="2"/>
  <c r="AV54" i="2"/>
  <c r="AN56" i="2"/>
  <c r="BE58" i="2"/>
  <c r="BG60" i="2"/>
  <c r="BE41" i="2"/>
  <c r="AS44" i="2"/>
  <c r="BF46" i="2"/>
  <c r="BD48" i="2"/>
  <c r="BJ50" i="2"/>
  <c r="BH52" i="2"/>
  <c r="AV55" i="2"/>
  <c r="AN57" i="2"/>
  <c r="BE59" i="2"/>
  <c r="BD61" i="2"/>
  <c r="AV61" i="2"/>
  <c r="AM62" i="2"/>
  <c r="AK62" i="2"/>
  <c r="BG8" i="2"/>
  <c r="BI8" i="2"/>
  <c r="L138" i="2"/>
  <c r="T109" i="2"/>
  <c r="R103" i="2"/>
  <c r="R113" i="2"/>
  <c r="Z86" i="2"/>
  <c r="J79" i="2"/>
  <c r="Q82" i="2"/>
  <c r="AW44" i="3"/>
  <c r="AW47" i="3"/>
  <c r="AK11" i="2"/>
  <c r="BG13" i="2"/>
  <c r="AQ21" i="2"/>
  <c r="AQ11" i="2"/>
  <c r="BK21" i="2"/>
  <c r="AM26" i="2"/>
  <c r="AK21" i="2"/>
  <c r="AO25" i="2"/>
  <c r="BK23" i="2"/>
  <c r="BH29" i="2"/>
  <c r="AN34" i="2"/>
  <c r="BK31" i="2"/>
  <c r="BF19" i="2"/>
  <c r="BF29" i="2"/>
  <c r="BJ33" i="2"/>
  <c r="BF20" i="2"/>
  <c r="BH37" i="2"/>
  <c r="BE37" i="2"/>
  <c r="BE27" i="2"/>
  <c r="BE38" i="2"/>
  <c r="BG37" i="2"/>
  <c r="AM43" i="2"/>
  <c r="AV52" i="2"/>
  <c r="BI60" i="2"/>
  <c r="AQ48" i="2"/>
  <c r="BJ56" i="2"/>
  <c r="BE46" i="2"/>
  <c r="AK55" i="2"/>
  <c r="AK43" i="2"/>
  <c r="BI51" i="2"/>
  <c r="AO60" i="2"/>
  <c r="BD8" i="2"/>
  <c r="AS42" i="3"/>
  <c r="AW26" i="3"/>
  <c r="AS23" i="3"/>
  <c r="AM8" i="3"/>
  <c r="AM19" i="3"/>
  <c r="AL14" i="3"/>
  <c r="AS19" i="3"/>
  <c r="AL7" i="3"/>
  <c r="AN9" i="3"/>
  <c r="AM29" i="3"/>
  <c r="AJ24" i="3"/>
  <c r="AN11" i="3"/>
  <c r="AN32" i="3"/>
  <c r="AO8" i="3"/>
  <c r="AM28" i="3"/>
  <c r="AO25" i="3"/>
  <c r="G132" i="2"/>
  <c r="L132" i="2"/>
  <c r="O109" i="2"/>
  <c r="D96" i="2"/>
  <c r="AM17" i="2"/>
  <c r="AK24" i="2"/>
  <c r="AM23" i="2"/>
  <c r="AK22" i="2"/>
  <c r="BD31" i="2"/>
  <c r="BG39" i="2"/>
  <c r="BG38" i="2"/>
  <c r="BG58" i="2"/>
  <c r="BD54" i="2"/>
  <c r="AM57" i="2"/>
  <c r="AM58" i="2"/>
  <c r="AM8" i="2"/>
  <c r="AW9" i="3"/>
  <c r="AN10" i="3"/>
  <c r="AS29" i="3"/>
  <c r="AL34" i="3"/>
  <c r="E101" i="2"/>
  <c r="AL39" i="3"/>
  <c r="AS24" i="2"/>
  <c r="AS34" i="2"/>
  <c r="BI35" i="2"/>
  <c r="BH41" i="2"/>
  <c r="AO42" i="2"/>
  <c r="BK44" i="2"/>
  <c r="BK45" i="2"/>
  <c r="BG62" i="2"/>
  <c r="AW7" i="3"/>
  <c r="AO37" i="3"/>
  <c r="AS31" i="3"/>
  <c r="AN8" i="3"/>
  <c r="AK21" i="3"/>
  <c r="AW22" i="3"/>
  <c r="V132" i="2"/>
  <c r="BJ8" i="2"/>
  <c r="AN12" i="3"/>
  <c r="AL8" i="3"/>
  <c r="AK24" i="3"/>
  <c r="AO31" i="3"/>
  <c r="AL22" i="3"/>
  <c r="N132" i="2"/>
  <c r="H137" i="2"/>
  <c r="R108" i="2"/>
  <c r="N101" i="2"/>
  <c r="J113" i="2"/>
  <c r="V86" i="2"/>
  <c r="E107" i="2"/>
  <c r="K82" i="2"/>
  <c r="AM45" i="3"/>
  <c r="BG11" i="2"/>
  <c r="BK12" i="2"/>
  <c r="AM14" i="2"/>
  <c r="BJ21" i="2"/>
  <c r="BH13" i="2"/>
  <c r="AQ22" i="2"/>
  <c r="AS13" i="2"/>
  <c r="AS21" i="2"/>
  <c r="BD25" i="2"/>
  <c r="BF24" i="2"/>
  <c r="BG30" i="2"/>
  <c r="BK34" i="2"/>
  <c r="AM28" i="2"/>
  <c r="AQ32" i="2"/>
  <c r="BD22" i="2"/>
  <c r="AV30" i="2"/>
  <c r="BE34" i="2"/>
  <c r="AO28" i="2"/>
  <c r="AM20" i="2"/>
  <c r="AK38" i="2"/>
  <c r="BG29" i="2"/>
  <c r="AK39" i="2"/>
  <c r="AK28" i="2"/>
  <c r="AM38" i="2"/>
  <c r="AQ42" i="2"/>
  <c r="AV44" i="2"/>
  <c r="BE48" i="2"/>
  <c r="BI52" i="2"/>
  <c r="AK57" i="2"/>
  <c r="AO61" i="2"/>
  <c r="BF44" i="2"/>
  <c r="BJ48" i="2"/>
  <c r="AV53" i="2"/>
  <c r="BE57" i="2"/>
  <c r="BD41" i="2"/>
  <c r="AK47" i="2"/>
  <c r="AO51" i="2"/>
  <c r="AS55" i="2"/>
  <c r="BD59" i="2"/>
  <c r="BG43" i="2"/>
  <c r="AK48" i="2"/>
  <c r="AO52" i="2"/>
  <c r="AS56" i="2"/>
  <c r="BD60" i="2"/>
  <c r="BI62" i="2"/>
  <c r="AO8" i="2"/>
  <c r="AN46" i="3"/>
  <c r="AL42" i="3"/>
  <c r="AM13" i="3"/>
  <c r="AS30" i="3"/>
  <c r="AL20" i="3"/>
  <c r="AO29" i="3"/>
  <c r="AO23" i="3"/>
  <c r="AN30" i="3"/>
  <c r="AO6" i="3"/>
  <c r="AW20" i="3"/>
  <c r="AK9" i="3"/>
  <c r="AN18" i="3"/>
  <c r="AJ26" i="3"/>
  <c r="AS6" i="3"/>
  <c r="AM21" i="3"/>
  <c r="AM10" i="3"/>
  <c r="AN15" i="3"/>
  <c r="AW11" i="3"/>
  <c r="AK14" i="3"/>
  <c r="AW30" i="3"/>
  <c r="AN21" i="3"/>
  <c r="AL30" i="3"/>
  <c r="AL24" i="3"/>
  <c r="AK31" i="3"/>
  <c r="AO14" i="3"/>
  <c r="AO33" i="3"/>
  <c r="AL21" i="3"/>
  <c r="AN37" i="3"/>
  <c r="AM17" i="3"/>
  <c r="AK28" i="3"/>
  <c r="AS22" i="3"/>
  <c r="AJ25" i="3"/>
  <c r="AO34" i="3"/>
  <c r="AW27" i="3"/>
  <c r="J132" i="2"/>
  <c r="E132" i="2"/>
  <c r="Z132" i="2"/>
  <c r="AV29" i="2"/>
  <c r="BE43" i="2"/>
  <c r="BF39" i="2"/>
  <c r="AS58" i="2"/>
  <c r="BH47" i="2"/>
  <c r="BK60" i="2"/>
  <c r="AN53" i="2"/>
  <c r="BG57" i="2"/>
  <c r="AN8" i="2"/>
  <c r="AM42" i="3"/>
  <c r="AN7" i="3"/>
  <c r="AJ9" i="3"/>
  <c r="AM9" i="3"/>
  <c r="AN26" i="3"/>
  <c r="AM11" i="3"/>
  <c r="AN23" i="3"/>
  <c r="AK36" i="3"/>
  <c r="AJ37" i="3"/>
  <c r="AW33" i="3"/>
  <c r="AK33" i="3"/>
  <c r="AJ22" i="3"/>
  <c r="AO27" i="3"/>
  <c r="W132" i="2"/>
  <c r="S91" i="2"/>
  <c r="BG40" i="2"/>
  <c r="AQ61" i="2"/>
  <c r="AW36" i="3"/>
  <c r="AO30" i="3"/>
  <c r="AK7" i="3"/>
  <c r="AL28" i="3"/>
  <c r="S132" i="2"/>
  <c r="AK19" i="2"/>
  <c r="BE28" i="2"/>
  <c r="BH27" i="2"/>
  <c r="AM40" i="2"/>
  <c r="AO40" i="2"/>
  <c r="BK54" i="2"/>
  <c r="AN55" i="2"/>
  <c r="BF57" i="2"/>
  <c r="BF58" i="2"/>
  <c r="AW6" i="3"/>
  <c r="AN14" i="3"/>
  <c r="AO13" i="3"/>
  <c r="AL17" i="3"/>
  <c r="AM27" i="3"/>
  <c r="BK62" i="2"/>
  <c r="AK16" i="3"/>
  <c r="AK35" i="3"/>
  <c r="AJ30" i="3"/>
  <c r="AS17" i="3"/>
  <c r="AK27" i="3"/>
  <c r="N137" i="2"/>
  <c r="P124" i="2"/>
  <c r="F98" i="2"/>
  <c r="H86" i="2"/>
  <c r="J105" i="2"/>
  <c r="T83" i="2"/>
  <c r="G87" i="2"/>
  <c r="E99" i="2"/>
  <c r="AN48" i="3"/>
  <c r="BK11" i="2"/>
  <c r="AM13" i="2"/>
  <c r="BI15" i="2"/>
  <c r="AV22" i="2"/>
  <c r="BF15" i="2"/>
  <c r="BF22" i="2"/>
  <c r="AN14" i="2"/>
  <c r="BD21" i="2"/>
  <c r="BH25" i="2"/>
  <c r="BE25" i="2"/>
  <c r="BK30" i="2"/>
  <c r="AM35" i="2"/>
  <c r="AQ28" i="2"/>
  <c r="BF32" i="2"/>
  <c r="BI25" i="2"/>
  <c r="BE30" i="2"/>
  <c r="BI34" i="2"/>
  <c r="BD28" i="2"/>
  <c r="AS28" i="2"/>
  <c r="AO38" i="2"/>
  <c r="AO32" i="2"/>
  <c r="AO39" i="2"/>
  <c r="BK29" i="2"/>
  <c r="AQ38" i="2"/>
  <c r="BF42" i="2"/>
  <c r="BE44" i="2"/>
  <c r="BI48" i="2"/>
  <c r="AK53" i="2"/>
  <c r="AO57" i="2"/>
  <c r="AS61" i="2"/>
  <c r="BJ44" i="2"/>
  <c r="AV49" i="2"/>
  <c r="BE53" i="2"/>
  <c r="BI57" i="2"/>
  <c r="AK42" i="2"/>
  <c r="AO47" i="2"/>
  <c r="AS51" i="2"/>
  <c r="BD55" i="2"/>
  <c r="BH59" i="2"/>
  <c r="AK44" i="2"/>
  <c r="AO48" i="2"/>
  <c r="AS52" i="2"/>
  <c r="BD56" i="2"/>
  <c r="BH60" i="2"/>
  <c r="BG61" i="2"/>
  <c r="AK8" i="2"/>
  <c r="AO46" i="3"/>
  <c r="AW42" i="3"/>
  <c r="AW14" i="3"/>
  <c r="AO32" i="3"/>
  <c r="AW23" i="3"/>
  <c r="AJ32" i="3"/>
  <c r="AM30" i="3"/>
  <c r="AL37" i="3"/>
  <c r="AK8" i="3"/>
  <c r="AO24" i="3"/>
  <c r="AL12" i="3"/>
  <c r="AO21" i="3"/>
  <c r="AL35" i="3"/>
  <c r="AK10" i="3"/>
  <c r="AS24" i="3"/>
  <c r="AN13" i="3"/>
  <c r="AK19" i="3"/>
  <c r="AJ15" i="3"/>
  <c r="AM15" i="3"/>
  <c r="AS32" i="3"/>
  <c r="AN24" i="3"/>
  <c r="AL33" i="3"/>
  <c r="AJ31" i="3"/>
  <c r="AW37" i="3"/>
  <c r="AJ8" i="3"/>
  <c r="AL10" i="3"/>
  <c r="AW35" i="3"/>
  <c r="AL32" i="3"/>
  <c r="AK17" i="3"/>
  <c r="AN28" i="3"/>
  <c r="AK22" i="3"/>
  <c r="AM25" i="3"/>
  <c r="AK34" i="3"/>
  <c r="AN27" i="3"/>
  <c r="I132" i="2"/>
  <c r="Y132" i="2"/>
  <c r="H132" i="2"/>
  <c r="BF31" i="2"/>
  <c r="AS32" i="2"/>
  <c r="AS49" i="2"/>
  <c r="BD53" i="2"/>
  <c r="BI45" i="2"/>
  <c r="AO54" i="2"/>
  <c r="BF43" i="2"/>
  <c r="BG56" i="2"/>
  <c r="BH48" i="2"/>
  <c r="BH61" i="2"/>
  <c r="AJ46" i="3"/>
  <c r="AM35" i="3"/>
  <c r="AN33" i="3"/>
  <c r="AO26" i="3"/>
  <c r="AK23" i="3"/>
  <c r="AW15" i="3"/>
  <c r="AL19" i="3"/>
  <c r="AS7" i="3"/>
  <c r="AL18" i="3"/>
  <c r="AK29" i="3"/>
  <c r="AJ28" i="3"/>
  <c r="AN34" i="3"/>
  <c r="X132" i="2"/>
  <c r="I103" i="2"/>
  <c r="AO39" i="3"/>
  <c r="AS23" i="2"/>
  <c r="BJ27" i="2"/>
  <c r="AK34" i="2"/>
  <c r="AN33" i="2"/>
  <c r="AV35" i="2"/>
  <c r="BH49" i="2"/>
  <c r="AO46" i="2"/>
  <c r="AN44" i="2"/>
  <c r="AN45" i="2"/>
  <c r="BH62" i="2"/>
  <c r="AJ42" i="3"/>
  <c r="AN36" i="3"/>
  <c r="AW10" i="3"/>
  <c r="AJ19" i="3"/>
  <c r="AO19" i="3"/>
  <c r="AW18" i="3"/>
  <c r="AK37" i="3"/>
  <c r="AL26" i="3"/>
  <c r="AL25" i="3"/>
  <c r="M108" i="2"/>
  <c r="AV12" i="2"/>
  <c r="AV19" i="2"/>
  <c r="BI32" i="2"/>
  <c r="AN32" i="2"/>
  <c r="AQ36" i="2"/>
  <c r="AN46" i="2"/>
  <c r="BD46" i="2"/>
  <c r="AM49" i="2"/>
  <c r="AM50" i="2"/>
  <c r="AV8" i="2"/>
  <c r="AJ13" i="3"/>
  <c r="AL23" i="3"/>
  <c r="AJ10" i="3"/>
  <c r="AJ23" i="3"/>
  <c r="AN25" i="3"/>
  <c r="D132" i="2"/>
  <c r="AS8" i="3"/>
  <c r="AL31" i="3"/>
  <c r="AM26" i="3"/>
  <c r="AO16" i="3"/>
  <c r="AL6" i="3"/>
  <c r="AO11" i="3"/>
  <c r="AS11" i="3"/>
  <c r="AJ34" i="3"/>
  <c r="N136" i="2"/>
  <c r="L123" i="2"/>
  <c r="Z96" i="2"/>
  <c r="F85" i="2"/>
  <c r="X104" i="2"/>
  <c r="R82" i="2"/>
  <c r="M86" i="2"/>
  <c r="Q97" i="2"/>
  <c r="AK43" i="3"/>
  <c r="AK14" i="2"/>
  <c r="AO15" i="2"/>
  <c r="BK17" i="2"/>
  <c r="AK23" i="2"/>
  <c r="AM19" i="2"/>
  <c r="BE23" i="2"/>
  <c r="AV16" i="2"/>
  <c r="BG22" i="2"/>
  <c r="BK26" i="2"/>
  <c r="AO27" i="2"/>
  <c r="BK14" i="2"/>
  <c r="BE33" i="2"/>
  <c r="AV26" i="2"/>
  <c r="AO31" i="2"/>
  <c r="AS35" i="2"/>
  <c r="AV31" i="2"/>
  <c r="AK32" i="2"/>
  <c r="BH38" i="2"/>
  <c r="BJ34" i="2"/>
  <c r="BH39" i="2"/>
  <c r="AV39" i="2"/>
  <c r="AO45" i="2"/>
  <c r="BH57" i="2"/>
  <c r="AK50" i="2"/>
  <c r="AN52" i="2"/>
  <c r="BD44" i="2"/>
  <c r="AQ62" i="2"/>
  <c r="AS16" i="3"/>
  <c r="AM36" i="3"/>
  <c r="AL15" i="3"/>
  <c r="AS26" i="3"/>
  <c r="AW16" i="3"/>
  <c r="AS33" i="3"/>
  <c r="AJ35" i="3"/>
  <c r="AN17" i="3"/>
  <c r="AK25" i="3"/>
  <c r="O132" i="2"/>
  <c r="W126" i="2"/>
  <c r="T98" i="2"/>
  <c r="BK15" i="2"/>
  <c r="BI19" i="2"/>
  <c r="AQ27" i="2"/>
  <c r="BI29" i="2"/>
  <c r="BH35" i="2"/>
  <c r="BE35" i="2"/>
  <c r="BD45" i="2"/>
  <c r="AO41" i="2"/>
  <c r="BH58" i="2"/>
  <c r="BK52" i="2"/>
  <c r="BK53" i="2"/>
  <c r="AW46" i="3"/>
  <c r="AJ7" i="3"/>
  <c r="AN35" i="3"/>
  <c r="AK30" i="3"/>
  <c r="AN31" i="3"/>
  <c r="AW12" i="3"/>
  <c r="AJ29" i="3"/>
  <c r="AM37" i="3"/>
  <c r="AL11" i="3"/>
  <c r="AO17" i="3"/>
  <c r="AS27" i="3"/>
  <c r="R118" i="2"/>
  <c r="D85" i="2"/>
  <c r="BH23" i="2"/>
  <c r="BH17" i="2"/>
  <c r="AO30" i="2"/>
  <c r="BG35" i="2"/>
  <c r="BK35" i="2"/>
  <c r="AM59" i="2"/>
  <c r="BG59" i="2"/>
  <c r="AK41" i="2"/>
  <c r="BE61" i="2"/>
  <c r="AO20" i="3"/>
  <c r="AM31" i="3"/>
  <c r="AK32" i="3"/>
  <c r="AS20" i="3"/>
  <c r="AM16" i="3"/>
  <c r="AS28" i="3"/>
  <c r="F132" i="2"/>
  <c r="AM23" i="3"/>
  <c r="AM33" i="3"/>
  <c r="AJ16" i="3"/>
  <c r="AO9" i="3"/>
  <c r="AW25" i="3"/>
  <c r="R132" i="2"/>
  <c r="I127" i="2"/>
  <c r="O123" i="2"/>
  <c r="W97" i="2"/>
  <c r="U87" i="2"/>
  <c r="H91" i="2"/>
  <c r="G80" i="2"/>
  <c r="S106" i="2"/>
  <c r="D110" i="2"/>
  <c r="AN40" i="3"/>
  <c r="AK18" i="2"/>
  <c r="AO19" i="2"/>
  <c r="BI12" i="2"/>
  <c r="AN24" i="2"/>
  <c r="AS20" i="2"/>
  <c r="BD24" i="2"/>
  <c r="BE19" i="2"/>
  <c r="BJ23" i="2"/>
  <c r="AQ20" i="2"/>
  <c r="BI28" i="2"/>
  <c r="AK33" i="2"/>
  <c r="AV25" i="2"/>
  <c r="AS30" i="2"/>
  <c r="BD34" i="2"/>
  <c r="AN28" i="2"/>
  <c r="BG32" i="2"/>
  <c r="BK36" i="2"/>
  <c r="AO36" i="2"/>
  <c r="AK36" i="2"/>
  <c r="AQ40" i="2"/>
  <c r="BH36" i="2"/>
  <c r="AQ41" i="2"/>
  <c r="AM36" i="2"/>
  <c r="AS40" i="2"/>
  <c r="AN42" i="2"/>
  <c r="BG46" i="2"/>
  <c r="BK50" i="2"/>
  <c r="AM55" i="2"/>
  <c r="AQ59" i="2"/>
  <c r="BG42" i="2"/>
  <c r="BH46" i="2"/>
  <c r="AN51" i="2"/>
  <c r="BG55" i="2"/>
  <c r="BK59" i="2"/>
  <c r="AM45" i="2"/>
  <c r="AQ49" i="2"/>
  <c r="BF53" i="2"/>
  <c r="BJ57" i="2"/>
  <c r="AS41" i="2"/>
  <c r="AM46" i="2"/>
  <c r="AQ50" i="2"/>
  <c r="BF54" i="2"/>
  <c r="AO62" i="2"/>
  <c r="AN42" i="3"/>
  <c r="AJ11" i="3"/>
  <c r="AS15" i="3"/>
  <c r="AN29" i="3"/>
  <c r="AW32" i="3"/>
  <c r="AL29" i="3"/>
  <c r="AW8" i="3"/>
  <c r="AW31" i="3"/>
  <c r="AO28" i="3"/>
  <c r="U132" i="2"/>
  <c r="Y125" i="2"/>
  <c r="S118" i="2"/>
  <c r="U96" i="2"/>
  <c r="Y85" i="2"/>
  <c r="Z90" i="2"/>
  <c r="Y79" i="2"/>
  <c r="Y97" i="2"/>
  <c r="D114" i="2"/>
  <c r="AW39" i="3"/>
  <c r="BE10" i="2"/>
  <c r="BI11" i="2"/>
  <c r="AN20" i="2"/>
  <c r="AM25" i="2"/>
  <c r="AN21" i="2"/>
  <c r="BG25" i="2"/>
  <c r="BE20" i="2"/>
  <c r="BI24" i="2"/>
  <c r="BE21" i="2"/>
  <c r="AS29" i="2"/>
  <c r="BD33" i="2"/>
  <c r="BI26" i="2"/>
  <c r="AN31" i="2"/>
  <c r="AM15" i="2"/>
  <c r="AM29" i="2"/>
  <c r="AQ33" i="2"/>
  <c r="AK17" i="2"/>
  <c r="BJ36" i="2"/>
  <c r="AS37" i="2"/>
  <c r="AN27" i="2"/>
  <c r="BJ37" i="2"/>
  <c r="BH22" i="2"/>
  <c r="BI36" i="2"/>
  <c r="AN41" i="2"/>
  <c r="BE42" i="2"/>
  <c r="AQ47" i="2"/>
  <c r="BF51" i="2"/>
  <c r="BJ55" i="2"/>
  <c r="AV60" i="2"/>
  <c r="BD43" i="2"/>
  <c r="BK47" i="2"/>
  <c r="AM52" i="2"/>
  <c r="AQ56" i="2"/>
  <c r="AQ39" i="2"/>
  <c r="BJ45" i="2"/>
  <c r="AV50" i="2"/>
  <c r="BE54" i="2"/>
  <c r="BI58" i="2"/>
  <c r="BD42" i="2"/>
  <c r="BJ46" i="2"/>
  <c r="AV51" i="2"/>
  <c r="BE55" i="2"/>
  <c r="BI59" i="2"/>
  <c r="BF61" i="2"/>
  <c r="AS62" i="2"/>
  <c r="AK46" i="3"/>
  <c r="AK42" i="3"/>
  <c r="AO10" i="3"/>
  <c r="AW24" i="3"/>
  <c r="AS13" i="3"/>
  <c r="AM20" i="3"/>
  <c r="AO15" i="3"/>
  <c r="AO35" i="3"/>
  <c r="AJ12" i="3"/>
  <c r="AK18" i="3"/>
  <c r="AO36" i="3"/>
  <c r="AK11" i="3"/>
  <c r="AM14" i="3"/>
  <c r="AN19" i="3"/>
  <c r="AO18" i="3"/>
  <c r="AS36" i="3"/>
  <c r="AL9" i="3"/>
  <c r="AM6" i="3"/>
  <c r="AS10" i="3"/>
  <c r="AK26" i="3"/>
  <c r="AJ14" i="3"/>
  <c r="AJ21" i="3"/>
  <c r="AL16" i="3"/>
  <c r="AL36" i="3"/>
  <c r="AK15" i="3"/>
  <c r="AN6" i="3"/>
  <c r="AW21" i="3"/>
  <c r="AJ36" i="3"/>
  <c r="AW17" i="3"/>
  <c r="AW28" i="3"/>
  <c r="AM22" i="3"/>
  <c r="AS25" i="3"/>
  <c r="AW34" i="3"/>
  <c r="AL27" i="3"/>
  <c r="T132" i="2"/>
  <c r="Q132" i="2"/>
  <c r="M132" i="2"/>
  <c r="BG27" i="2"/>
  <c r="AS27" i="2"/>
  <c r="BK41" i="2"/>
  <c r="BJ47" i="2"/>
  <c r="BE56" i="2"/>
  <c r="AM44" i="2"/>
  <c r="BF52" i="2"/>
  <c r="AV40" i="2"/>
  <c r="BI50" i="2"/>
  <c r="AO59" i="2"/>
  <c r="BE47" i="2"/>
  <c r="AK56" i="2"/>
  <c r="AV62" i="2"/>
  <c r="AS46" i="3"/>
  <c r="AK12" i="3"/>
  <c r="AN16" i="3"/>
  <c r="AW19" i="3"/>
  <c r="AM24" i="3"/>
  <c r="AJ6" i="3"/>
  <c r="AJ18" i="3"/>
  <c r="AK20" i="3"/>
  <c r="AM12" i="3"/>
  <c r="AO12" i="3"/>
  <c r="AM18" i="3"/>
  <c r="AN20" i="3"/>
  <c r="AW29" i="3"/>
  <c r="AM32" i="3"/>
  <c r="AJ17" i="3"/>
  <c r="AO22" i="3"/>
  <c r="AM34" i="3"/>
  <c r="AJ27" i="3"/>
  <c r="P132" i="2"/>
  <c r="N119" i="2"/>
  <c r="G112" i="2"/>
  <c r="AQ18" i="2"/>
  <c r="BD17" i="2"/>
  <c r="AV32" i="2"/>
  <c r="BJ26" i="2"/>
  <c r="AM34" i="2"/>
  <c r="BI39" i="2"/>
  <c r="AN54" i="2"/>
  <c r="AS50" i="2"/>
  <c r="BG48" i="2"/>
  <c r="BG49" i="2"/>
  <c r="BJ62" i="2"/>
  <c r="AS18" i="3"/>
  <c r="AS37" i="3"/>
  <c r="AK6" i="3"/>
  <c r="AO7" i="3"/>
  <c r="AJ33" i="3"/>
  <c r="AN22" i="3"/>
  <c r="K132" i="2"/>
  <c r="P96" i="2"/>
  <c r="Y90" i="2"/>
  <c r="Y101" i="2"/>
  <c r="AQ16" i="2"/>
  <c r="AO20" i="2"/>
  <c r="BF23" i="2"/>
  <c r="BJ24" i="2"/>
  <c r="BG36" i="2"/>
  <c r="AM41" i="2"/>
  <c r="BG50" i="2"/>
  <c r="BH50" i="2"/>
  <c r="AQ53" i="2"/>
  <c r="AQ54" i="2"/>
  <c r="AO42" i="3"/>
  <c r="AS9" i="3"/>
  <c r="AW13" i="3"/>
  <c r="AL13" i="3"/>
  <c r="AS12" i="3"/>
  <c r="AS21" i="3"/>
  <c r="AS14" i="3"/>
  <c r="AM7" i="3"/>
  <c r="AJ20" i="3"/>
  <c r="AS35" i="3"/>
  <c r="AS34" i="3"/>
  <c r="BJ58" i="2"/>
  <c r="AK13" i="3"/>
  <c r="CB32" i="2" l="1"/>
  <c r="CB62" i="2"/>
  <c r="BZ56" i="2"/>
  <c r="CB40" i="2"/>
  <c r="CB51" i="2"/>
  <c r="CB50" i="2"/>
  <c r="CB60" i="2"/>
  <c r="BZ17" i="2"/>
  <c r="BZ36" i="2"/>
  <c r="CB25" i="2"/>
  <c r="BZ33" i="2"/>
  <c r="BZ18" i="2"/>
  <c r="BZ41" i="2"/>
  <c r="BZ50" i="2"/>
  <c r="CB39" i="2"/>
  <c r="BZ32" i="2"/>
  <c r="CB31" i="2"/>
  <c r="CB26" i="2"/>
  <c r="CB16" i="2"/>
  <c r="BZ23" i="2"/>
  <c r="BZ14" i="2"/>
  <c r="CB8" i="2"/>
  <c r="CB19" i="2"/>
  <c r="CB12" i="2"/>
  <c r="CB35" i="2"/>
  <c r="BZ34" i="2"/>
  <c r="BZ8" i="2"/>
  <c r="BZ44" i="2"/>
  <c r="BZ42" i="2"/>
  <c r="CB49" i="2"/>
  <c r="BZ53" i="2"/>
  <c r="CB22" i="2"/>
  <c r="BZ19" i="2"/>
  <c r="CB29" i="2"/>
  <c r="BZ48" i="2"/>
  <c r="BZ47" i="2"/>
  <c r="CB53" i="2"/>
  <c r="BZ57" i="2"/>
  <c r="CB44" i="2"/>
  <c r="BZ28" i="2"/>
  <c r="BZ39" i="2"/>
  <c r="BZ38" i="2"/>
  <c r="CB30" i="2"/>
  <c r="BZ22" i="2"/>
  <c r="BZ24" i="2"/>
  <c r="BZ43" i="2"/>
  <c r="BZ55" i="2"/>
  <c r="CB52" i="2"/>
  <c r="BZ21" i="2"/>
  <c r="BZ11" i="2"/>
  <c r="BZ62" i="2"/>
  <c r="CB61" i="2"/>
  <c r="CB55" i="2"/>
  <c r="CB54" i="2"/>
  <c r="BZ54" i="2"/>
  <c r="BZ45" i="2"/>
  <c r="CB42" i="2"/>
  <c r="CB43" i="2"/>
  <c r="BZ31" i="2"/>
  <c r="CB33" i="2"/>
  <c r="CB21" i="2"/>
  <c r="CB20" i="2"/>
  <c r="CB23" i="2"/>
  <c r="BZ15" i="2"/>
  <c r="CB59" i="2"/>
  <c r="CB41" i="2"/>
  <c r="CB58" i="2"/>
  <c r="BZ58" i="2"/>
  <c r="CB45" i="2"/>
  <c r="BZ49" i="2"/>
  <c r="CB36" i="2"/>
  <c r="BZ35" i="2"/>
  <c r="BZ26" i="2"/>
  <c r="BZ29" i="2"/>
  <c r="CB24" i="2"/>
  <c r="BZ16" i="2"/>
  <c r="BZ52" i="2"/>
  <c r="BZ51" i="2"/>
  <c r="CB57" i="2"/>
  <c r="BZ61" i="2"/>
  <c r="CB48" i="2"/>
  <c r="BZ40" i="2"/>
  <c r="CB34" i="2"/>
  <c r="BZ30" i="2"/>
  <c r="CB28" i="2"/>
  <c r="BZ20" i="2"/>
  <c r="BZ10" i="2"/>
  <c r="BZ60" i="2"/>
  <c r="CB47" i="2"/>
  <c r="BZ59" i="2"/>
  <c r="CB46" i="2"/>
  <c r="BZ46" i="2"/>
  <c r="CB56" i="2"/>
  <c r="BZ37" i="2"/>
  <c r="CB38" i="2"/>
  <c r="CB27" i="2"/>
  <c r="CB37" i="2"/>
  <c r="BZ27" i="2"/>
  <c r="BZ25" i="2"/>
  <c r="BZ12" i="2"/>
  <c r="CB11" i="2"/>
  <c r="CB10" i="2"/>
  <c r="CB15" i="2"/>
  <c r="CB14" i="2"/>
  <c r="CB13" i="2"/>
  <c r="CB18" i="2"/>
  <c r="CB17" i="2"/>
  <c r="BZ13" i="2"/>
  <c r="CC21" i="2"/>
  <c r="CC17" i="2"/>
  <c r="CA11" i="2"/>
  <c r="CC8" i="2"/>
  <c r="CA30" i="2"/>
  <c r="AR47" i="3"/>
  <c r="AV47" i="3"/>
  <c r="AR41" i="3"/>
  <c r="AV41" i="3"/>
  <c r="AR15" i="3"/>
  <c r="AV15" i="3"/>
  <c r="AR45" i="3"/>
  <c r="AV45" i="3"/>
  <c r="AQ25" i="3"/>
  <c r="AP25" i="3"/>
  <c r="AT25" i="3" s="1"/>
  <c r="AR7" i="3"/>
  <c r="AV7" i="3"/>
  <c r="AP47" i="3"/>
  <c r="AT47" i="3"/>
  <c r="AQ47" i="3"/>
  <c r="AQ39" i="3"/>
  <c r="AP39" i="3"/>
  <c r="AT39" i="3"/>
  <c r="AP48" i="3"/>
  <c r="AT48" i="3"/>
  <c r="AQ48" i="3"/>
  <c r="AR48" i="3"/>
  <c r="AV48" i="3"/>
  <c r="AP46" i="3"/>
  <c r="AT46" i="3" s="1"/>
  <c r="AQ46" i="3"/>
  <c r="AR46" i="3"/>
  <c r="AV46" i="3"/>
  <c r="AQ45" i="3"/>
  <c r="AT45" i="3"/>
  <c r="AP45" i="3"/>
  <c r="AV43" i="3"/>
  <c r="AR43" i="3"/>
  <c r="AQ41" i="3"/>
  <c r="AT41" i="3"/>
  <c r="AP41" i="3"/>
  <c r="AR39" i="3"/>
  <c r="AV39" i="3"/>
  <c r="AQ33" i="3"/>
  <c r="AT33" i="3"/>
  <c r="AP33" i="3"/>
  <c r="AR31" i="3"/>
  <c r="AV31" i="3"/>
  <c r="AQ17" i="3"/>
  <c r="AP17" i="3"/>
  <c r="AT17" i="3"/>
  <c r="AQ43" i="3"/>
  <c r="AT43" i="3"/>
  <c r="AP43" i="3"/>
  <c r="AQ35" i="3"/>
  <c r="AP35" i="3"/>
  <c r="AT35" i="3"/>
  <c r="AR33" i="3"/>
  <c r="AV33" i="3"/>
  <c r="AR23" i="3"/>
  <c r="AV23" i="3"/>
  <c r="AQ9" i="3"/>
  <c r="AP9" i="3"/>
  <c r="AT9" i="3"/>
  <c r="AV37" i="3"/>
  <c r="AR37" i="3"/>
  <c r="AQ31" i="3"/>
  <c r="AP31" i="3"/>
  <c r="AT31" i="3" s="1"/>
  <c r="AV29" i="3"/>
  <c r="AR29" i="3"/>
  <c r="AQ23" i="3"/>
  <c r="AP23" i="3"/>
  <c r="AT23" i="3" s="1"/>
  <c r="AV21" i="3"/>
  <c r="AR21" i="3"/>
  <c r="AQ15" i="3"/>
  <c r="AP15" i="3"/>
  <c r="AT15" i="3" s="1"/>
  <c r="AV13" i="3"/>
  <c r="AR13" i="3"/>
  <c r="AQ7" i="3"/>
  <c r="AT7" i="3"/>
  <c r="AP7" i="3"/>
  <c r="AQ44" i="3"/>
  <c r="AP44" i="3"/>
  <c r="AT44" i="3"/>
  <c r="AV44" i="3"/>
  <c r="AR44" i="3"/>
  <c r="AP42" i="3"/>
  <c r="AT42" i="3" s="1"/>
  <c r="AQ42" i="3"/>
  <c r="AV42" i="3"/>
  <c r="AR42" i="3"/>
  <c r="AP40" i="3"/>
  <c r="AT40" i="3"/>
  <c r="AQ40" i="3"/>
  <c r="AR40" i="3"/>
  <c r="AV40" i="3"/>
  <c r="AP38" i="3"/>
  <c r="AT38" i="3"/>
  <c r="AQ38" i="3"/>
  <c r="AV38" i="3"/>
  <c r="AR38" i="3"/>
  <c r="AQ37" i="3"/>
  <c r="AP37" i="3"/>
  <c r="AT37" i="3" s="1"/>
  <c r="AV35" i="3"/>
  <c r="AR35" i="3"/>
  <c r="AQ29" i="3"/>
  <c r="AP29" i="3"/>
  <c r="AT29" i="3" s="1"/>
  <c r="AV27" i="3"/>
  <c r="AR27" i="3"/>
  <c r="AQ21" i="3"/>
  <c r="AP21" i="3"/>
  <c r="AT21" i="3" s="1"/>
  <c r="AV19" i="3"/>
  <c r="AR19" i="3"/>
  <c r="AQ13" i="3"/>
  <c r="AT13" i="3"/>
  <c r="AP13" i="3"/>
  <c r="AV11" i="3"/>
  <c r="AR11" i="3"/>
  <c r="AQ27" i="3"/>
  <c r="AP27" i="3"/>
  <c r="AT27" i="3" s="1"/>
  <c r="AV25" i="3"/>
  <c r="AR25" i="3"/>
  <c r="AQ19" i="3"/>
  <c r="AT19" i="3"/>
  <c r="AP19" i="3"/>
  <c r="AV17" i="3"/>
  <c r="AR17" i="3"/>
  <c r="AQ11" i="3"/>
  <c r="AP11" i="3"/>
  <c r="AT11" i="3" s="1"/>
  <c r="AV9" i="3"/>
  <c r="AR9" i="3"/>
  <c r="AP36" i="3"/>
  <c r="AT36" i="3" s="1"/>
  <c r="AQ36" i="3"/>
  <c r="AR36" i="3"/>
  <c r="AV36" i="3"/>
  <c r="AP34" i="3"/>
  <c r="AT34" i="3" s="1"/>
  <c r="AQ34" i="3"/>
  <c r="AR34" i="3"/>
  <c r="AV34" i="3"/>
  <c r="AP32" i="3"/>
  <c r="AT32" i="3" s="1"/>
  <c r="AQ32" i="3"/>
  <c r="AV32" i="3"/>
  <c r="AR32" i="3"/>
  <c r="AQ30" i="3"/>
  <c r="AT30" i="3"/>
  <c r="AP30" i="3"/>
  <c r="AV30" i="3"/>
  <c r="AR30" i="3"/>
  <c r="AQ28" i="3"/>
  <c r="AP28" i="3"/>
  <c r="AT28" i="3" s="1"/>
  <c r="AR28" i="3"/>
  <c r="AV28" i="3"/>
  <c r="AT26" i="3"/>
  <c r="AP26" i="3"/>
  <c r="AQ26" i="3"/>
  <c r="AR26" i="3"/>
  <c r="AV26" i="3"/>
  <c r="AP24" i="3"/>
  <c r="AT24" i="3" s="1"/>
  <c r="AQ24" i="3"/>
  <c r="AV24" i="3"/>
  <c r="AR24" i="3"/>
  <c r="AP22" i="3"/>
  <c r="AT22" i="3" s="1"/>
  <c r="AQ22" i="3"/>
  <c r="AV22" i="3"/>
  <c r="AR22" i="3"/>
  <c r="AQ20" i="3"/>
  <c r="AT20" i="3"/>
  <c r="AP20" i="3"/>
  <c r="AV20" i="3"/>
  <c r="AR20" i="3"/>
  <c r="AT18" i="3"/>
  <c r="AP18" i="3"/>
  <c r="AQ18" i="3"/>
  <c r="AR18" i="3"/>
  <c r="AV18" i="3"/>
  <c r="AT16" i="3"/>
  <c r="AP16" i="3"/>
  <c r="AQ16" i="3"/>
  <c r="AV16" i="3"/>
  <c r="AR16" i="3"/>
  <c r="AP14" i="3"/>
  <c r="AQ14" i="3"/>
  <c r="AT14" i="3"/>
  <c r="AV14" i="3"/>
  <c r="AR14" i="3"/>
  <c r="AQ12" i="3"/>
  <c r="AT12" i="3"/>
  <c r="AP12" i="3"/>
  <c r="AV12" i="3"/>
  <c r="AR12" i="3"/>
  <c r="AT10" i="3"/>
  <c r="AP10" i="3"/>
  <c r="AQ10" i="3"/>
  <c r="AR10" i="3"/>
  <c r="AV10" i="3"/>
  <c r="AT8" i="3"/>
  <c r="AP8" i="3"/>
  <c r="AQ8" i="3"/>
  <c r="AV8" i="3"/>
  <c r="AR8" i="3"/>
  <c r="AP6" i="3"/>
  <c r="AT6" i="3" s="1"/>
  <c r="AQ6" i="3"/>
  <c r="AV6" i="3"/>
  <c r="AR6" i="3"/>
  <c r="AL62" i="2"/>
  <c r="BX62" i="2"/>
  <c r="BY62" i="2" s="1"/>
  <c r="BV62" i="2"/>
  <c r="BW62" i="2" s="1"/>
  <c r="BQ62" i="2"/>
  <c r="BR62" i="2"/>
  <c r="BS62" i="2"/>
  <c r="BO62" i="2"/>
  <c r="AR62" i="2"/>
  <c r="BL62" i="2" s="1"/>
  <c r="BX61" i="2"/>
  <c r="BY61" i="2" s="1"/>
  <c r="BV61" i="2"/>
  <c r="BW61" i="2" s="1"/>
  <c r="BP62" i="2"/>
  <c r="BR61" i="2"/>
  <c r="BS61" i="2"/>
  <c r="BQ61" i="2"/>
  <c r="BP61" i="2"/>
  <c r="AP62" i="2"/>
  <c r="BR60" i="2"/>
  <c r="BQ60" i="2"/>
  <c r="BS60" i="2"/>
  <c r="BT62" i="2"/>
  <c r="BU62" i="2" s="1"/>
  <c r="BT61" i="2"/>
  <c r="BU61" i="2" s="1"/>
  <c r="BT60" i="2"/>
  <c r="BU60" i="2" s="1"/>
  <c r="AP60" i="2"/>
  <c r="AL60" i="2"/>
  <c r="BP59" i="2"/>
  <c r="BQ58" i="2"/>
  <c r="BR58" i="2"/>
  <c r="BS58" i="2"/>
  <c r="BO58" i="2"/>
  <c r="AR58" i="2"/>
  <c r="BL58" i="2" s="1"/>
  <c r="BX57" i="2"/>
  <c r="BY57" i="2" s="1"/>
  <c r="BV57" i="2"/>
  <c r="BW57" i="2" s="1"/>
  <c r="BT56" i="2"/>
  <c r="BU56" i="2" s="1"/>
  <c r="AP56" i="2"/>
  <c r="AL56" i="2"/>
  <c r="BP55" i="2"/>
  <c r="BQ54" i="2"/>
  <c r="BR54" i="2"/>
  <c r="BS54" i="2"/>
  <c r="BO54" i="2"/>
  <c r="AR54" i="2"/>
  <c r="BL54" i="2" s="1"/>
  <c r="BX53" i="2"/>
  <c r="BY53" i="2" s="1"/>
  <c r="BV53" i="2"/>
  <c r="BW53" i="2" s="1"/>
  <c r="BT52" i="2"/>
  <c r="BU52" i="2" s="1"/>
  <c r="AP52" i="2"/>
  <c r="AL52" i="2"/>
  <c r="BP51" i="2"/>
  <c r="BQ50" i="2"/>
  <c r="BR50" i="2"/>
  <c r="BS50" i="2"/>
  <c r="BO50" i="2"/>
  <c r="AR50" i="2"/>
  <c r="BL50" i="2" s="1"/>
  <c r="BX49" i="2"/>
  <c r="BY49" i="2" s="1"/>
  <c r="BV49" i="2"/>
  <c r="BW49" i="2" s="1"/>
  <c r="BT48" i="2"/>
  <c r="BU48" i="2" s="1"/>
  <c r="AP48" i="2"/>
  <c r="AL48" i="2"/>
  <c r="BP47" i="2"/>
  <c r="BQ46" i="2"/>
  <c r="BR46" i="2"/>
  <c r="BS46" i="2"/>
  <c r="BO46" i="2"/>
  <c r="AR46" i="2"/>
  <c r="BL46" i="2" s="1"/>
  <c r="BX45" i="2"/>
  <c r="BY45" i="2" s="1"/>
  <c r="BV45" i="2"/>
  <c r="BW45" i="2" s="1"/>
  <c r="BT44" i="2"/>
  <c r="BU44" i="2" s="1"/>
  <c r="AP44" i="2"/>
  <c r="AL44" i="2"/>
  <c r="BV43" i="2"/>
  <c r="BW43" i="2" s="1"/>
  <c r="BO43" i="2"/>
  <c r="AL43" i="2"/>
  <c r="BP41" i="2"/>
  <c r="AL41" i="2"/>
  <c r="BO61" i="2"/>
  <c r="AR61" i="2"/>
  <c r="BL61" i="2" s="1"/>
  <c r="BX60" i="2"/>
  <c r="BY60" i="2" s="1"/>
  <c r="BV60" i="2"/>
  <c r="BW60" i="2" s="1"/>
  <c r="BT59" i="2"/>
  <c r="BU59" i="2" s="1"/>
  <c r="AP59" i="2"/>
  <c r="AL59" i="2"/>
  <c r="BP58" i="2"/>
  <c r="BQ57" i="2"/>
  <c r="BR57" i="2"/>
  <c r="BS57" i="2"/>
  <c r="BO57" i="2"/>
  <c r="AR57" i="2"/>
  <c r="BL57" i="2" s="1"/>
  <c r="BX56" i="2"/>
  <c r="BY56" i="2" s="1"/>
  <c r="BV56" i="2"/>
  <c r="BW56" i="2" s="1"/>
  <c r="BT55" i="2"/>
  <c r="BU55" i="2" s="1"/>
  <c r="AP55" i="2"/>
  <c r="AL55" i="2"/>
  <c r="BP54" i="2"/>
  <c r="BQ53" i="2"/>
  <c r="BR53" i="2"/>
  <c r="BS53" i="2"/>
  <c r="BO53" i="2"/>
  <c r="AR53" i="2"/>
  <c r="BL53" i="2" s="1"/>
  <c r="BX52" i="2"/>
  <c r="BY52" i="2" s="1"/>
  <c r="BV52" i="2"/>
  <c r="BW52" i="2" s="1"/>
  <c r="BT51" i="2"/>
  <c r="BU51" i="2" s="1"/>
  <c r="AP51" i="2"/>
  <c r="AL51" i="2"/>
  <c r="BP50" i="2"/>
  <c r="BQ49" i="2"/>
  <c r="BR49" i="2"/>
  <c r="BS49" i="2"/>
  <c r="BO49" i="2"/>
  <c r="AR49" i="2"/>
  <c r="BL49" i="2" s="1"/>
  <c r="BX48" i="2"/>
  <c r="BY48" i="2" s="1"/>
  <c r="BV48" i="2"/>
  <c r="BW48" i="2" s="1"/>
  <c r="BT47" i="2"/>
  <c r="BU47" i="2" s="1"/>
  <c r="AP47" i="2"/>
  <c r="AL47" i="2"/>
  <c r="BP46" i="2"/>
  <c r="BQ45" i="2"/>
  <c r="BR45" i="2"/>
  <c r="BS45" i="2"/>
  <c r="BO45" i="2"/>
  <c r="AR45" i="2"/>
  <c r="BL45" i="2" s="1"/>
  <c r="BX44" i="2"/>
  <c r="BY44" i="2" s="1"/>
  <c r="BV44" i="2"/>
  <c r="BW44" i="2" s="1"/>
  <c r="BX43" i="2"/>
  <c r="BY43" i="2" s="1"/>
  <c r="BS43" i="2"/>
  <c r="BQ43" i="2"/>
  <c r="BR43" i="2"/>
  <c r="AP43" i="2"/>
  <c r="BT42" i="2"/>
  <c r="BU42" i="2" s="1"/>
  <c r="AL42" i="2"/>
  <c r="BQ40" i="2"/>
  <c r="BS40" i="2"/>
  <c r="BR40" i="2"/>
  <c r="BP40" i="2"/>
  <c r="BO39" i="2"/>
  <c r="BO60" i="2"/>
  <c r="AR60" i="2"/>
  <c r="BL60" i="2" s="1"/>
  <c r="BX59" i="2"/>
  <c r="BY59" i="2" s="1"/>
  <c r="BV59" i="2"/>
  <c r="BW59" i="2" s="1"/>
  <c r="BT58" i="2"/>
  <c r="BU58" i="2" s="1"/>
  <c r="AP58" i="2"/>
  <c r="AL58" i="2"/>
  <c r="BP57" i="2"/>
  <c r="BR56" i="2"/>
  <c r="BS56" i="2"/>
  <c r="BQ56" i="2"/>
  <c r="BO56" i="2"/>
  <c r="AR56" i="2"/>
  <c r="BL56" i="2" s="1"/>
  <c r="BX55" i="2"/>
  <c r="BY55" i="2" s="1"/>
  <c r="BV55" i="2"/>
  <c r="BW55" i="2" s="1"/>
  <c r="BT54" i="2"/>
  <c r="BU54" i="2" s="1"/>
  <c r="AP54" i="2"/>
  <c r="AL54" i="2"/>
  <c r="BP53" i="2"/>
  <c r="BR52" i="2"/>
  <c r="BS52" i="2"/>
  <c r="BQ52" i="2"/>
  <c r="BO52" i="2"/>
  <c r="AR52" i="2"/>
  <c r="BL52" i="2" s="1"/>
  <c r="BX51" i="2"/>
  <c r="BY51" i="2" s="1"/>
  <c r="BV51" i="2"/>
  <c r="BW51" i="2" s="1"/>
  <c r="BT50" i="2"/>
  <c r="BU50" i="2" s="1"/>
  <c r="AP50" i="2"/>
  <c r="AL50" i="2"/>
  <c r="BP49" i="2"/>
  <c r="BR48" i="2"/>
  <c r="BS48" i="2"/>
  <c r="BQ48" i="2"/>
  <c r="BO48" i="2"/>
  <c r="AR48" i="2"/>
  <c r="BL48" i="2" s="1"/>
  <c r="BX47" i="2"/>
  <c r="BY47" i="2" s="1"/>
  <c r="BV47" i="2"/>
  <c r="BW47" i="2" s="1"/>
  <c r="BT46" i="2"/>
  <c r="BU46" i="2" s="1"/>
  <c r="AP46" i="2"/>
  <c r="AL46" i="2"/>
  <c r="BP45" i="2"/>
  <c r="BR44" i="2"/>
  <c r="BS44" i="2"/>
  <c r="BQ44" i="2"/>
  <c r="BO44" i="2"/>
  <c r="AR44" i="2"/>
  <c r="BL44" i="2" s="1"/>
  <c r="BV42" i="2"/>
  <c r="BW42" i="2" s="1"/>
  <c r="AP42" i="2"/>
  <c r="AP41" i="2"/>
  <c r="BQ39" i="2"/>
  <c r="BR39" i="2"/>
  <c r="BS39" i="2"/>
  <c r="AR39" i="2"/>
  <c r="BL39" i="2" s="1"/>
  <c r="BX38" i="2"/>
  <c r="BY38" i="2" s="1"/>
  <c r="AP61" i="2"/>
  <c r="AL61" i="2"/>
  <c r="BP60" i="2"/>
  <c r="BS59" i="2"/>
  <c r="BQ59" i="2"/>
  <c r="BR59" i="2"/>
  <c r="BO59" i="2"/>
  <c r="AR59" i="2"/>
  <c r="BL59" i="2" s="1"/>
  <c r="BX58" i="2"/>
  <c r="BY58" i="2" s="1"/>
  <c r="BV58" i="2"/>
  <c r="BW58" i="2" s="1"/>
  <c r="BT57" i="2"/>
  <c r="BU57" i="2" s="1"/>
  <c r="AP57" i="2"/>
  <c r="AL57" i="2"/>
  <c r="BP56" i="2"/>
  <c r="BS55" i="2"/>
  <c r="BQ55" i="2"/>
  <c r="BR55" i="2"/>
  <c r="BO55" i="2"/>
  <c r="AR55" i="2"/>
  <c r="BL55" i="2" s="1"/>
  <c r="BX54" i="2"/>
  <c r="BY54" i="2" s="1"/>
  <c r="BV54" i="2"/>
  <c r="BW54" i="2" s="1"/>
  <c r="BT53" i="2"/>
  <c r="BU53" i="2" s="1"/>
  <c r="AP53" i="2"/>
  <c r="AL53" i="2"/>
  <c r="BP52" i="2"/>
  <c r="BS51" i="2"/>
  <c r="BQ51" i="2"/>
  <c r="BR51" i="2"/>
  <c r="BO51" i="2"/>
  <c r="AR51" i="2"/>
  <c r="BL51" i="2" s="1"/>
  <c r="BX50" i="2"/>
  <c r="BY50" i="2" s="1"/>
  <c r="BV50" i="2"/>
  <c r="BW50" i="2" s="1"/>
  <c r="BT49" i="2"/>
  <c r="BU49" i="2" s="1"/>
  <c r="AP49" i="2"/>
  <c r="AL49" i="2"/>
  <c r="BP48" i="2"/>
  <c r="BS47" i="2"/>
  <c r="BQ47" i="2"/>
  <c r="BR47" i="2"/>
  <c r="BO47" i="2"/>
  <c r="AR47" i="2"/>
  <c r="BL47" i="2" s="1"/>
  <c r="BX46" i="2"/>
  <c r="BY46" i="2" s="1"/>
  <c r="BV46" i="2"/>
  <c r="BW46" i="2" s="1"/>
  <c r="BT45" i="2"/>
  <c r="BU45" i="2" s="1"/>
  <c r="AP45" i="2"/>
  <c r="AL45" i="2"/>
  <c r="BP44" i="2"/>
  <c r="BT43" i="2"/>
  <c r="BU43" i="2" s="1"/>
  <c r="AR43" i="2"/>
  <c r="BL43" i="2" s="1"/>
  <c r="BX42" i="2"/>
  <c r="BY42" i="2" s="1"/>
  <c r="BP42" i="2"/>
  <c r="BT41" i="2"/>
  <c r="BU41" i="2" s="1"/>
  <c r="BV38" i="2"/>
  <c r="BW38" i="2" s="1"/>
  <c r="BP43" i="2"/>
  <c r="BS42" i="2"/>
  <c r="BQ42" i="2"/>
  <c r="BR42" i="2"/>
  <c r="BO42" i="2"/>
  <c r="AR42" i="2"/>
  <c r="BL42" i="2" s="1"/>
  <c r="BX41" i="2"/>
  <c r="BY41" i="2" s="1"/>
  <c r="BV41" i="2"/>
  <c r="BW41" i="2" s="1"/>
  <c r="BT40" i="2"/>
  <c r="BU40" i="2" s="1"/>
  <c r="AP40" i="2"/>
  <c r="AL40" i="2"/>
  <c r="BP39" i="2"/>
  <c r="BQ38" i="2"/>
  <c r="BR38" i="2"/>
  <c r="BS38" i="2"/>
  <c r="BO38" i="2"/>
  <c r="AR38" i="2"/>
  <c r="BL38" i="2" s="1"/>
  <c r="BX37" i="2"/>
  <c r="BY37" i="2" s="1"/>
  <c r="BV37" i="2"/>
  <c r="BW37" i="2" s="1"/>
  <c r="AL37" i="2"/>
  <c r="AR36" i="2"/>
  <c r="BL36" i="2" s="1"/>
  <c r="BX35" i="2"/>
  <c r="BY35" i="2" s="1"/>
  <c r="BQ35" i="2"/>
  <c r="BS35" i="2"/>
  <c r="BR35" i="2"/>
  <c r="BP35" i="2"/>
  <c r="BT32" i="2"/>
  <c r="BU32" i="2" s="1"/>
  <c r="BQ30" i="2"/>
  <c r="BR30" i="2"/>
  <c r="BS30" i="2"/>
  <c r="AR30" i="2"/>
  <c r="BL30" i="2" s="1"/>
  <c r="BX29" i="2"/>
  <c r="BY29" i="2" s="1"/>
  <c r="AL28" i="2"/>
  <c r="BT22" i="2"/>
  <c r="BU22" i="2" s="1"/>
  <c r="BS41" i="2"/>
  <c r="BQ41" i="2"/>
  <c r="BR41" i="2"/>
  <c r="BO41" i="2"/>
  <c r="AR41" i="2"/>
  <c r="BL41" i="2" s="1"/>
  <c r="BX40" i="2"/>
  <c r="BY40" i="2" s="1"/>
  <c r="BV40" i="2"/>
  <c r="BW40" i="2" s="1"/>
  <c r="BT39" i="2"/>
  <c r="BU39" i="2" s="1"/>
  <c r="AP39" i="2"/>
  <c r="AL39" i="2"/>
  <c r="BP38" i="2"/>
  <c r="BQ37" i="2"/>
  <c r="BR37" i="2"/>
  <c r="BS37" i="2"/>
  <c r="AP37" i="2"/>
  <c r="BT36" i="2"/>
  <c r="BU36" i="2" s="1"/>
  <c r="BO36" i="2"/>
  <c r="BO34" i="2"/>
  <c r="AP32" i="2"/>
  <c r="BV29" i="2"/>
  <c r="BW29" i="2" s="1"/>
  <c r="BP27" i="2"/>
  <c r="BS26" i="2"/>
  <c r="BQ26" i="2"/>
  <c r="BR26" i="2"/>
  <c r="BV23" i="2"/>
  <c r="BW23" i="2" s="1"/>
  <c r="BO40" i="2"/>
  <c r="AR40" i="2"/>
  <c r="BL40" i="2" s="1"/>
  <c r="BX39" i="2"/>
  <c r="BY39" i="2" s="1"/>
  <c r="BV39" i="2"/>
  <c r="BW39" i="2" s="1"/>
  <c r="BT38" i="2"/>
  <c r="BU38" i="2" s="1"/>
  <c r="AP38" i="2"/>
  <c r="AL38" i="2"/>
  <c r="BP37" i="2"/>
  <c r="BQ36" i="2"/>
  <c r="BR36" i="2"/>
  <c r="BS36" i="2"/>
  <c r="AL36" i="2"/>
  <c r="BR34" i="2"/>
  <c r="BQ34" i="2"/>
  <c r="BS34" i="2"/>
  <c r="AR34" i="2"/>
  <c r="BL34" i="2" s="1"/>
  <c r="BX33" i="2"/>
  <c r="BY33" i="2" s="1"/>
  <c r="AL32" i="2"/>
  <c r="BT28" i="2"/>
  <c r="BU28" i="2" s="1"/>
  <c r="AR20" i="2"/>
  <c r="BL20" i="2" s="1"/>
  <c r="BT37" i="2"/>
  <c r="BU37" i="2" s="1"/>
  <c r="BP36" i="2"/>
  <c r="AP36" i="2"/>
  <c r="BV35" i="2"/>
  <c r="BW35" i="2" s="1"/>
  <c r="BV33" i="2"/>
  <c r="BW33" i="2" s="1"/>
  <c r="BP31" i="2"/>
  <c r="BO30" i="2"/>
  <c r="AP28" i="2"/>
  <c r="BQ20" i="2"/>
  <c r="BR20" i="2"/>
  <c r="BS20" i="2"/>
  <c r="BX19" i="2"/>
  <c r="BY19" i="2" s="1"/>
  <c r="AL17" i="2"/>
  <c r="BO37" i="2"/>
  <c r="AR37" i="2"/>
  <c r="BL37" i="2" s="1"/>
  <c r="BX36" i="2"/>
  <c r="BY36" i="2" s="1"/>
  <c r="BV36" i="2"/>
  <c r="BW36" i="2" s="1"/>
  <c r="BT35" i="2"/>
  <c r="BU35" i="2" s="1"/>
  <c r="AP35" i="2"/>
  <c r="AL35" i="2"/>
  <c r="BP34" i="2"/>
  <c r="BQ33" i="2"/>
  <c r="BR33" i="2"/>
  <c r="BS33" i="2"/>
  <c r="BO33" i="2"/>
  <c r="AR33" i="2"/>
  <c r="BL33" i="2" s="1"/>
  <c r="BX32" i="2"/>
  <c r="BY32" i="2" s="1"/>
  <c r="BV32" i="2"/>
  <c r="BW32" i="2" s="1"/>
  <c r="BT31" i="2"/>
  <c r="BU31" i="2" s="1"/>
  <c r="AP31" i="2"/>
  <c r="AL31" i="2"/>
  <c r="BP30" i="2"/>
  <c r="BQ29" i="2"/>
  <c r="BR29" i="2"/>
  <c r="BS29" i="2"/>
  <c r="BO29" i="2"/>
  <c r="AR29" i="2"/>
  <c r="BL29" i="2" s="1"/>
  <c r="BX28" i="2"/>
  <c r="BY28" i="2" s="1"/>
  <c r="BV28" i="2"/>
  <c r="BW28" i="2" s="1"/>
  <c r="BT27" i="2"/>
  <c r="BU27" i="2" s="1"/>
  <c r="BP26" i="2"/>
  <c r="AL26" i="2"/>
  <c r="AP22" i="2"/>
  <c r="BQ19" i="2"/>
  <c r="BR19" i="2"/>
  <c r="BS19" i="2"/>
  <c r="AR15" i="2"/>
  <c r="BL15" i="2" s="1"/>
  <c r="BT34" i="2"/>
  <c r="BU34" i="2" s="1"/>
  <c r="AP34" i="2"/>
  <c r="AL34" i="2"/>
  <c r="BP33" i="2"/>
  <c r="BR32" i="2"/>
  <c r="BS32" i="2"/>
  <c r="BQ32" i="2"/>
  <c r="BO32" i="2"/>
  <c r="AR32" i="2"/>
  <c r="BL32" i="2" s="1"/>
  <c r="BX31" i="2"/>
  <c r="BY31" i="2" s="1"/>
  <c r="BV31" i="2"/>
  <c r="BW31" i="2" s="1"/>
  <c r="BT30" i="2"/>
  <c r="BU30" i="2" s="1"/>
  <c r="AP30" i="2"/>
  <c r="AL30" i="2"/>
  <c r="BP29" i="2"/>
  <c r="BR28" i="2"/>
  <c r="BS28" i="2"/>
  <c r="BQ28" i="2"/>
  <c r="BO28" i="2"/>
  <c r="AR28" i="2"/>
  <c r="BL28" i="2" s="1"/>
  <c r="BX27" i="2"/>
  <c r="BY27" i="2" s="1"/>
  <c r="BV27" i="2"/>
  <c r="BW27" i="2" s="1"/>
  <c r="AL27" i="2"/>
  <c r="BQ25" i="2"/>
  <c r="BR25" i="2"/>
  <c r="BS25" i="2"/>
  <c r="BP25" i="2"/>
  <c r="BO24" i="2"/>
  <c r="AL22" i="2"/>
  <c r="BX14" i="2"/>
  <c r="BY14" i="2" s="1"/>
  <c r="BV10" i="2"/>
  <c r="BW10" i="2" s="1"/>
  <c r="BO35" i="2"/>
  <c r="AR35" i="2"/>
  <c r="BL35" i="2" s="1"/>
  <c r="BX34" i="2"/>
  <c r="BY34" i="2" s="1"/>
  <c r="BV34" i="2"/>
  <c r="BW34" i="2" s="1"/>
  <c r="BT33" i="2"/>
  <c r="BU33" i="2" s="1"/>
  <c r="AP33" i="2"/>
  <c r="AL33" i="2"/>
  <c r="BP32" i="2"/>
  <c r="BS31" i="2"/>
  <c r="BQ31" i="2"/>
  <c r="BR31" i="2"/>
  <c r="BO31" i="2"/>
  <c r="AR31" i="2"/>
  <c r="BL31" i="2" s="1"/>
  <c r="BX30" i="2"/>
  <c r="BY30" i="2" s="1"/>
  <c r="BV30" i="2"/>
  <c r="BW30" i="2" s="1"/>
  <c r="BT29" i="2"/>
  <c r="BU29" i="2" s="1"/>
  <c r="AP29" i="2"/>
  <c r="AL29" i="2"/>
  <c r="BP28" i="2"/>
  <c r="BS27" i="2"/>
  <c r="BQ27" i="2"/>
  <c r="BR27" i="2"/>
  <c r="AP27" i="2"/>
  <c r="BT26" i="2"/>
  <c r="BU26" i="2" s="1"/>
  <c r="AP26" i="2"/>
  <c r="BQ24" i="2"/>
  <c r="BR24" i="2"/>
  <c r="BS24" i="2"/>
  <c r="AR24" i="2"/>
  <c r="BL24" i="2" s="1"/>
  <c r="BX23" i="2"/>
  <c r="BY23" i="2" s="1"/>
  <c r="BP21" i="2"/>
  <c r="BO20" i="2"/>
  <c r="BT17" i="2"/>
  <c r="BU17" i="2" s="1"/>
  <c r="BQ11" i="2"/>
  <c r="BR11" i="2"/>
  <c r="BS11" i="2"/>
  <c r="BO27" i="2"/>
  <c r="AR27" i="2"/>
  <c r="BL27" i="2" s="1"/>
  <c r="BX26" i="2"/>
  <c r="BY26" i="2" s="1"/>
  <c r="BV26" i="2"/>
  <c r="BW26" i="2" s="1"/>
  <c r="BT25" i="2"/>
  <c r="BU25" i="2" s="1"/>
  <c r="AP25" i="2"/>
  <c r="AL25" i="2"/>
  <c r="BP24" i="2"/>
  <c r="BQ23" i="2"/>
  <c r="BR23" i="2"/>
  <c r="BS23" i="2"/>
  <c r="BO23" i="2"/>
  <c r="AR23" i="2"/>
  <c r="BL23" i="2" s="1"/>
  <c r="BX22" i="2"/>
  <c r="BY22" i="2" s="1"/>
  <c r="BV22" i="2"/>
  <c r="BW22" i="2" s="1"/>
  <c r="BT21" i="2"/>
  <c r="BU21" i="2" s="1"/>
  <c r="AP21" i="2"/>
  <c r="AL21" i="2"/>
  <c r="BP20" i="2"/>
  <c r="BP19" i="2"/>
  <c r="BO19" i="2"/>
  <c r="BP16" i="2"/>
  <c r="BV14" i="2"/>
  <c r="BW14" i="2" s="1"/>
  <c r="BO26" i="2"/>
  <c r="AR26" i="2"/>
  <c r="BL26" i="2" s="1"/>
  <c r="BX25" i="2"/>
  <c r="BY25" i="2" s="1"/>
  <c r="BV25" i="2"/>
  <c r="BW25" i="2" s="1"/>
  <c r="BT24" i="2"/>
  <c r="BU24" i="2" s="1"/>
  <c r="AP24" i="2"/>
  <c r="AL24" i="2"/>
  <c r="BP23" i="2"/>
  <c r="BR22" i="2"/>
  <c r="BS22" i="2"/>
  <c r="BQ22" i="2"/>
  <c r="BO22" i="2"/>
  <c r="AR22" i="2"/>
  <c r="BL22" i="2" s="1"/>
  <c r="BX21" i="2"/>
  <c r="BY21" i="2" s="1"/>
  <c r="BV21" i="2"/>
  <c r="BW21" i="2" s="1"/>
  <c r="BT20" i="2"/>
  <c r="BU20" i="2" s="1"/>
  <c r="AP20" i="2"/>
  <c r="AL20" i="2"/>
  <c r="AR19" i="2"/>
  <c r="BL19" i="2" s="1"/>
  <c r="BX18" i="2"/>
  <c r="BY18" i="2" s="1"/>
  <c r="BQ15" i="2"/>
  <c r="BR15" i="2"/>
  <c r="BS15" i="2"/>
  <c r="BT13" i="2"/>
  <c r="BU13" i="2" s="1"/>
  <c r="AP13" i="2"/>
  <c r="BO11" i="2"/>
  <c r="BO25" i="2"/>
  <c r="AR25" i="2"/>
  <c r="BL25" i="2" s="1"/>
  <c r="BX24" i="2"/>
  <c r="BY24" i="2" s="1"/>
  <c r="BV24" i="2"/>
  <c r="BW24" i="2" s="1"/>
  <c r="BT23" i="2"/>
  <c r="BU23" i="2" s="1"/>
  <c r="AP23" i="2"/>
  <c r="AL23" i="2"/>
  <c r="BP22" i="2"/>
  <c r="BS21" i="2"/>
  <c r="BQ21" i="2"/>
  <c r="BR21" i="2"/>
  <c r="BO21" i="2"/>
  <c r="AR21" i="2"/>
  <c r="BL21" i="2" s="1"/>
  <c r="BX20" i="2"/>
  <c r="BY20" i="2" s="1"/>
  <c r="BV20" i="2"/>
  <c r="BW20" i="2" s="1"/>
  <c r="BT19" i="2"/>
  <c r="BU19" i="2" s="1"/>
  <c r="BV18" i="2"/>
  <c r="BW18" i="2" s="1"/>
  <c r="AP17" i="2"/>
  <c r="BO15" i="2"/>
  <c r="AL13" i="2"/>
  <c r="BP12" i="2"/>
  <c r="AR11" i="2"/>
  <c r="BL11" i="2" s="1"/>
  <c r="BX10" i="2"/>
  <c r="BY10" i="2" s="1"/>
  <c r="BQ18" i="2"/>
  <c r="BR18" i="2"/>
  <c r="BS18" i="2"/>
  <c r="BO18" i="2"/>
  <c r="AR18" i="2"/>
  <c r="BL18" i="2" s="1"/>
  <c r="BX17" i="2"/>
  <c r="BY17" i="2" s="1"/>
  <c r="BV17" i="2"/>
  <c r="BW17" i="2" s="1"/>
  <c r="BT16" i="2"/>
  <c r="BU16" i="2" s="1"/>
  <c r="AP16" i="2"/>
  <c r="AL16" i="2"/>
  <c r="BP15" i="2"/>
  <c r="BQ14" i="2"/>
  <c r="BR14" i="2"/>
  <c r="BS14" i="2"/>
  <c r="BO14" i="2"/>
  <c r="AR14" i="2"/>
  <c r="BL14" i="2" s="1"/>
  <c r="BX13" i="2"/>
  <c r="BY13" i="2" s="1"/>
  <c r="BV13" i="2"/>
  <c r="BW13" i="2" s="1"/>
  <c r="BT12" i="2"/>
  <c r="BU12" i="2" s="1"/>
  <c r="AP12" i="2"/>
  <c r="AL12" i="2"/>
  <c r="BP11" i="2"/>
  <c r="BQ10" i="2"/>
  <c r="BR10" i="2"/>
  <c r="BS10" i="2"/>
  <c r="BO10" i="2"/>
  <c r="AR10" i="2"/>
  <c r="BL10" i="2" s="1"/>
  <c r="AP19" i="2"/>
  <c r="AL19" i="2"/>
  <c r="BP18" i="2"/>
  <c r="BR17" i="2"/>
  <c r="BS17" i="2"/>
  <c r="BQ17" i="2"/>
  <c r="BO17" i="2"/>
  <c r="AR17" i="2"/>
  <c r="BL17" i="2" s="1"/>
  <c r="BX16" i="2"/>
  <c r="BY16" i="2" s="1"/>
  <c r="BV16" i="2"/>
  <c r="BW16" i="2" s="1"/>
  <c r="BT15" i="2"/>
  <c r="BU15" i="2" s="1"/>
  <c r="AP15" i="2"/>
  <c r="AL15" i="2"/>
  <c r="BP14" i="2"/>
  <c r="BR13" i="2"/>
  <c r="BS13" i="2"/>
  <c r="BQ13" i="2"/>
  <c r="BO13" i="2"/>
  <c r="AR13" i="2"/>
  <c r="BL13" i="2" s="1"/>
  <c r="BX12" i="2"/>
  <c r="BY12" i="2" s="1"/>
  <c r="BV12" i="2"/>
  <c r="BW12" i="2" s="1"/>
  <c r="BT11" i="2"/>
  <c r="BU11" i="2" s="1"/>
  <c r="AP11" i="2"/>
  <c r="AL11" i="2"/>
  <c r="BP10" i="2"/>
  <c r="BV19" i="2"/>
  <c r="BW19" i="2" s="1"/>
  <c r="BT18" i="2"/>
  <c r="BU18" i="2" s="1"/>
  <c r="AP18" i="2"/>
  <c r="AL18" i="2"/>
  <c r="BP17" i="2"/>
  <c r="BS16" i="2"/>
  <c r="BQ16" i="2"/>
  <c r="BR16" i="2"/>
  <c r="BO16" i="2"/>
  <c r="AR16" i="2"/>
  <c r="BL16" i="2" s="1"/>
  <c r="BX15" i="2"/>
  <c r="BY15" i="2" s="1"/>
  <c r="BV15" i="2"/>
  <c r="BW15" i="2" s="1"/>
  <c r="BT14" i="2"/>
  <c r="BU14" i="2" s="1"/>
  <c r="AP14" i="2"/>
  <c r="AL14" i="2"/>
  <c r="BP13" i="2"/>
  <c r="BS12" i="2"/>
  <c r="BQ12" i="2"/>
  <c r="BR12" i="2"/>
  <c r="BO12" i="2"/>
  <c r="AR12" i="2"/>
  <c r="BL12" i="2" s="1"/>
  <c r="BX11" i="2"/>
  <c r="BY11" i="2" s="1"/>
  <c r="BV11" i="2"/>
  <c r="BW11" i="2" s="1"/>
  <c r="BT10" i="2"/>
  <c r="BU10" i="2" s="1"/>
  <c r="AP10" i="2"/>
  <c r="AL10" i="2"/>
  <c r="BQ8" i="2"/>
  <c r="BS8" i="2"/>
  <c r="BR8" i="2"/>
  <c r="BP8" i="2"/>
  <c r="AR8" i="2"/>
  <c r="BL8" i="2" s="1"/>
  <c r="BO8" i="2"/>
  <c r="BV8" i="2"/>
  <c r="BW8" i="2" s="1"/>
  <c r="BX8" i="2"/>
  <c r="BY8" i="2" s="1"/>
  <c r="AL8" i="2"/>
  <c r="AP8" i="2"/>
  <c r="BT8" i="2"/>
  <c r="BU8" i="2" s="1"/>
  <c r="AJ40" i="2"/>
  <c r="AJ28" i="2"/>
  <c r="AJ34" i="2"/>
  <c r="AJ43" i="2"/>
  <c r="AJ58" i="2"/>
  <c r="CC34" i="2" l="1"/>
  <c r="CA34" i="2"/>
  <c r="CA28" i="2"/>
  <c r="CC28" i="2"/>
  <c r="CA40" i="2"/>
  <c r="CC40" i="2"/>
  <c r="CC43" i="2"/>
  <c r="CA43" i="2"/>
  <c r="CC58" i="2"/>
  <c r="CA58" i="2"/>
  <c r="AJ25" i="2"/>
  <c r="AJ62" i="2"/>
  <c r="AJ61" i="2"/>
  <c r="AJ60" i="2"/>
  <c r="AJ59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2" i="2"/>
  <c r="AJ41" i="2"/>
  <c r="AJ39" i="2"/>
  <c r="AJ38" i="2"/>
  <c r="AJ37" i="2"/>
  <c r="AJ36" i="2"/>
  <c r="AJ35" i="2"/>
  <c r="AJ33" i="2"/>
  <c r="AJ32" i="2"/>
  <c r="AJ31" i="2"/>
  <c r="AJ29" i="2"/>
  <c r="AJ27" i="2"/>
  <c r="AJ26" i="2"/>
  <c r="AJ24" i="2"/>
  <c r="AJ23" i="2"/>
  <c r="AJ22" i="2"/>
  <c r="AJ20" i="2"/>
  <c r="AJ19" i="2"/>
  <c r="AJ18" i="2"/>
  <c r="AJ16" i="2"/>
  <c r="AJ15" i="2"/>
  <c r="AJ14" i="2"/>
  <c r="AJ13" i="2"/>
  <c r="AJ12" i="2"/>
  <c r="AJ10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Y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Z6" i="1"/>
  <c r="Y6" i="1"/>
  <c r="Z5" i="1"/>
  <c r="Y5" i="1"/>
  <c r="I89" i="3"/>
  <c r="I82" i="3"/>
  <c r="I67" i="3"/>
  <c r="I62" i="3"/>
  <c r="AS9" i="2"/>
  <c r="BI6" i="2"/>
  <c r="BF6" i="2"/>
  <c r="AK9" i="2"/>
  <c r="BD7" i="2"/>
  <c r="BF7" i="2"/>
  <c r="I88" i="3"/>
  <c r="I75" i="3"/>
  <c r="I58" i="3"/>
  <c r="AK6" i="2"/>
  <c r="I86" i="3"/>
  <c r="AN9" i="2"/>
  <c r="I84" i="3"/>
  <c r="I81" i="3"/>
  <c r="I69" i="3"/>
  <c r="I72" i="3"/>
  <c r="BD6" i="2"/>
  <c r="BF9" i="2"/>
  <c r="BD9" i="2"/>
  <c r="AQ6" i="2"/>
  <c r="BJ7" i="2"/>
  <c r="AV9" i="2"/>
  <c r="I85" i="3"/>
  <c r="AV6" i="2"/>
  <c r="AN6" i="2"/>
  <c r="AQ7" i="2"/>
  <c r="AN7" i="2"/>
  <c r="BE7" i="2"/>
  <c r="BI7" i="2"/>
  <c r="I60" i="3"/>
  <c r="AQ9" i="2"/>
  <c r="AM7" i="2"/>
  <c r="AO7" i="2"/>
  <c r="I83" i="3"/>
  <c r="I70" i="3"/>
  <c r="I66" i="3"/>
  <c r="I76" i="3"/>
  <c r="AM6" i="2"/>
  <c r="BK9" i="2"/>
  <c r="BG9" i="2"/>
  <c r="BH7" i="2"/>
  <c r="AM9" i="2"/>
  <c r="BG7" i="2"/>
  <c r="I80" i="3"/>
  <c r="I59" i="3"/>
  <c r="I71" i="3"/>
  <c r="I74" i="3"/>
  <c r="BE6" i="2"/>
  <c r="BJ9" i="2"/>
  <c r="AO9" i="2"/>
  <c r="AS7" i="2"/>
  <c r="AV7" i="2"/>
  <c r="I79" i="3"/>
  <c r="BK6" i="2"/>
  <c r="BH6" i="2"/>
  <c r="I78" i="3"/>
  <c r="I68" i="3"/>
  <c r="I77" i="3"/>
  <c r="I65" i="3"/>
  <c r="AS6" i="2"/>
  <c r="BJ6" i="2"/>
  <c r="BG6" i="2"/>
  <c r="AK7" i="2"/>
  <c r="BK7" i="2"/>
  <c r="I90" i="3"/>
  <c r="I87" i="3"/>
  <c r="I61" i="3"/>
  <c r="I64" i="3"/>
  <c r="I63" i="3"/>
  <c r="BE9" i="2"/>
  <c r="BH9" i="2"/>
  <c r="BI9" i="2"/>
  <c r="AO6" i="2"/>
  <c r="I73" i="3"/>
  <c r="BZ7" i="2" l="1"/>
  <c r="CB7" i="2"/>
  <c r="CB6" i="2"/>
  <c r="CB9" i="2"/>
  <c r="BZ6" i="2"/>
  <c r="BZ9" i="2"/>
  <c r="CC18" i="2"/>
  <c r="CA18" i="2"/>
  <c r="CA29" i="2"/>
  <c r="CC29" i="2"/>
  <c r="CC39" i="2"/>
  <c r="CA39" i="2"/>
  <c r="CA49" i="2"/>
  <c r="CC49" i="2"/>
  <c r="CA57" i="2"/>
  <c r="CC57" i="2"/>
  <c r="CC19" i="2"/>
  <c r="CA19" i="2"/>
  <c r="CC31" i="2"/>
  <c r="CA31" i="2"/>
  <c r="CA41" i="2"/>
  <c r="CC41" i="2"/>
  <c r="CC50" i="2"/>
  <c r="CA50" i="2"/>
  <c r="CC59" i="2"/>
  <c r="CA59" i="2"/>
  <c r="CC6" i="2"/>
  <c r="CA6" i="2"/>
  <c r="CA12" i="2"/>
  <c r="CC12" i="2"/>
  <c r="CC22" i="2"/>
  <c r="CA22" i="2"/>
  <c r="CA33" i="2"/>
  <c r="CC33" i="2"/>
  <c r="CA44" i="2"/>
  <c r="CC44" i="2"/>
  <c r="CA52" i="2"/>
  <c r="CC52" i="2"/>
  <c r="CA61" i="2"/>
  <c r="CC61" i="2"/>
  <c r="CC10" i="2"/>
  <c r="CA10" i="2"/>
  <c r="CC42" i="2"/>
  <c r="CA42" i="2"/>
  <c r="CA13" i="2"/>
  <c r="CC13" i="2"/>
  <c r="CC23" i="2"/>
  <c r="CA23" i="2"/>
  <c r="CC35" i="2"/>
  <c r="CA35" i="2"/>
  <c r="CA45" i="2"/>
  <c r="CC45" i="2"/>
  <c r="CA53" i="2"/>
  <c r="CC53" i="2"/>
  <c r="CC62" i="2"/>
  <c r="CA62" i="2"/>
  <c r="CA20" i="2"/>
  <c r="CC20" i="2"/>
  <c r="CC51" i="2"/>
  <c r="CA51" i="2"/>
  <c r="CC7" i="2"/>
  <c r="CA7" i="2"/>
  <c r="CC14" i="2"/>
  <c r="CA14" i="2"/>
  <c r="CA24" i="2"/>
  <c r="CC24" i="2"/>
  <c r="CA36" i="2"/>
  <c r="CC36" i="2"/>
  <c r="CC46" i="2"/>
  <c r="CA46" i="2"/>
  <c r="CC54" i="2"/>
  <c r="CA54" i="2"/>
  <c r="CA25" i="2"/>
  <c r="CC25" i="2"/>
  <c r="CA32" i="2"/>
  <c r="CC32" i="2"/>
  <c r="CC15" i="2"/>
  <c r="CA15" i="2"/>
  <c r="CC26" i="2"/>
  <c r="CA26" i="2"/>
  <c r="CA37" i="2"/>
  <c r="CC37" i="2"/>
  <c r="CC47" i="2"/>
  <c r="CA47" i="2"/>
  <c r="CC55" i="2"/>
  <c r="CA55" i="2"/>
  <c r="CC60" i="2"/>
  <c r="CA60" i="2"/>
  <c r="CA9" i="2"/>
  <c r="CC9" i="2"/>
  <c r="CA16" i="2"/>
  <c r="CC16" i="2"/>
  <c r="CC27" i="2"/>
  <c r="CA27" i="2"/>
  <c r="CC38" i="2"/>
  <c r="CA38" i="2"/>
  <c r="CA48" i="2"/>
  <c r="CC48" i="2"/>
  <c r="CA56" i="2"/>
  <c r="CC56" i="2"/>
  <c r="BR6" i="2"/>
  <c r="BQ6" i="2"/>
  <c r="BS6" i="2"/>
  <c r="BV6" i="2"/>
  <c r="BW6" i="2" s="1"/>
  <c r="BX6" i="2"/>
  <c r="BY6" i="2" s="1"/>
  <c r="BP7" i="2"/>
  <c r="AR6" i="2"/>
  <c r="BL6" i="2" s="1"/>
  <c r="AL7" i="2"/>
  <c r="AP7" i="2"/>
  <c r="AL6" i="2"/>
  <c r="AP6" i="2"/>
  <c r="BO7" i="2"/>
  <c r="BQ7" i="2"/>
  <c r="BS7" i="2"/>
  <c r="BR7" i="2"/>
  <c r="AL9" i="2"/>
  <c r="AP9" i="2"/>
  <c r="BO6" i="2"/>
  <c r="BV9" i="2"/>
  <c r="BW9" i="2" s="1"/>
  <c r="BX9" i="2"/>
  <c r="BY9" i="2" s="1"/>
  <c r="BT6" i="2"/>
  <c r="BU6" i="2" s="1"/>
  <c r="AR7" i="2"/>
  <c r="BL7" i="2" s="1"/>
  <c r="BT9" i="2"/>
  <c r="BU9" i="2" s="1"/>
  <c r="BP6" i="2"/>
  <c r="BV7" i="2"/>
  <c r="BW7" i="2" s="1"/>
  <c r="BX7" i="2"/>
  <c r="BY7" i="2" s="1"/>
  <c r="BP9" i="2"/>
  <c r="BT7" i="2"/>
  <c r="BU7" i="2" s="1"/>
  <c r="AR9" i="2"/>
  <c r="BL9" i="2" s="1"/>
  <c r="BO9" i="2"/>
  <c r="BS9" i="2"/>
  <c r="BR9" i="2"/>
  <c r="BQ9" i="2"/>
  <c r="AC5" i="1"/>
  <c r="B59" i="3"/>
  <c r="G1" i="1" a="1"/>
  <c r="G1" i="1" s="1"/>
  <c r="F1" i="1" a="1"/>
  <c r="F1" i="1" s="1"/>
  <c r="E1" i="1" a="1"/>
  <c r="E1" i="1" s="1"/>
  <c r="D1" i="1" a="1"/>
  <c r="D1" i="1" s="1"/>
  <c r="C1" i="1" a="1"/>
  <c r="C1" i="1" s="1"/>
  <c r="C71" i="3"/>
  <c r="Y77" i="3"/>
  <c r="W69" i="3"/>
  <c r="E78" i="3"/>
  <c r="F65" i="3"/>
  <c r="C68" i="3"/>
  <c r="Q77" i="3"/>
  <c r="V70" i="3"/>
  <c r="D81" i="3"/>
  <c r="R65" i="3"/>
  <c r="R68" i="3"/>
  <c r="U75" i="3"/>
  <c r="C61" i="3"/>
  <c r="Q62" i="3"/>
  <c r="G65" i="3"/>
  <c r="U70" i="3"/>
  <c r="D90" i="3"/>
  <c r="S60" i="3"/>
  <c r="Y62" i="3"/>
  <c r="H90" i="3"/>
  <c r="J71" i="3"/>
  <c r="U67" i="3"/>
  <c r="N88" i="3"/>
  <c r="S69" i="3"/>
  <c r="Y75" i="3"/>
  <c r="E58" i="3"/>
  <c r="D60" i="3"/>
  <c r="V67" i="3"/>
  <c r="K69" i="3"/>
  <c r="M80" i="3"/>
  <c r="F67" i="3"/>
  <c r="W71" i="3"/>
  <c r="C62" i="3"/>
  <c r="N63" i="3"/>
  <c r="F59" i="3"/>
  <c r="Y90" i="3"/>
  <c r="C84" i="3"/>
  <c r="M58" i="3"/>
  <c r="U87" i="3"/>
  <c r="Y86" i="3"/>
  <c r="W76" i="3"/>
  <c r="R77" i="3"/>
  <c r="Z77" i="3"/>
  <c r="H80" i="3"/>
  <c r="R82" i="3"/>
  <c r="H63" i="3"/>
  <c r="O83" i="3"/>
  <c r="T64" i="3"/>
  <c r="S73" i="3"/>
  <c r="L62" i="3"/>
  <c r="G75" i="3"/>
  <c r="D68" i="3"/>
  <c r="N70" i="3"/>
  <c r="S70" i="3"/>
  <c r="D63" i="3"/>
  <c r="F76" i="3"/>
  <c r="X89" i="3"/>
  <c r="J76" i="3"/>
  <c r="Z78" i="3"/>
  <c r="D74" i="3"/>
  <c r="S63" i="3"/>
  <c r="Q66" i="3"/>
  <c r="W67" i="3"/>
  <c r="M73" i="3"/>
  <c r="F61" i="3"/>
  <c r="K63" i="3"/>
  <c r="Y66" i="3"/>
  <c r="N61" i="3"/>
  <c r="L67" i="3"/>
  <c r="J68" i="3"/>
  <c r="K80" i="3"/>
  <c r="D58" i="3"/>
  <c r="J66" i="3"/>
  <c r="K72" i="3"/>
  <c r="D65" i="3"/>
  <c r="U60" i="3"/>
  <c r="L65" i="3"/>
  <c r="F73" i="3"/>
  <c r="C72" i="3"/>
  <c r="L76" i="3"/>
  <c r="E84" i="3"/>
  <c r="Q85" i="3"/>
  <c r="Z88" i="3"/>
  <c r="N82" i="3"/>
  <c r="Y84" i="3"/>
  <c r="C73" i="3"/>
  <c r="D61" i="3"/>
  <c r="G77" i="3"/>
  <c r="M77" i="3"/>
  <c r="V63" i="3"/>
  <c r="K67" i="3"/>
  <c r="Y76" i="3"/>
  <c r="E82" i="3"/>
  <c r="F74" i="3"/>
  <c r="Z84" i="3"/>
  <c r="F87" i="3"/>
  <c r="V69" i="3"/>
  <c r="S90" i="3"/>
  <c r="R90" i="3"/>
  <c r="Y78" i="3"/>
  <c r="J62" i="3"/>
  <c r="T85" i="3"/>
  <c r="V87" i="3"/>
  <c r="G66" i="3"/>
  <c r="J74" i="3"/>
  <c r="K83" i="3"/>
  <c r="T89" i="3"/>
  <c r="N85" i="3"/>
  <c r="Z81" i="3"/>
  <c r="F86" i="3"/>
  <c r="G79" i="3"/>
  <c r="F62" i="3"/>
  <c r="V82" i="3"/>
  <c r="N68" i="3"/>
  <c r="F71" i="3"/>
  <c r="F63" i="3"/>
  <c r="Z87" i="3"/>
  <c r="W70" i="3"/>
  <c r="W88" i="3"/>
  <c r="Y88" i="3"/>
  <c r="L71" i="3"/>
  <c r="C89" i="3"/>
  <c r="J70" i="3"/>
  <c r="H89" i="3"/>
  <c r="H87" i="3"/>
  <c r="L58" i="3"/>
  <c r="S72" i="3"/>
  <c r="R58" i="3"/>
  <c r="H64" i="3"/>
  <c r="H72" i="3"/>
  <c r="H73" i="3"/>
  <c r="O63" i="3"/>
  <c r="O69" i="3"/>
  <c r="O79" i="3"/>
  <c r="P68" i="3"/>
  <c r="P63" i="3"/>
  <c r="P85" i="3"/>
  <c r="O82" i="3"/>
  <c r="W73" i="3"/>
  <c r="T80" i="3"/>
  <c r="T79" i="3"/>
  <c r="T72" i="3"/>
  <c r="V77" i="3"/>
  <c r="G76" i="3"/>
  <c r="F68" i="3"/>
  <c r="K62" i="3"/>
  <c r="L83" i="3"/>
  <c r="Z62" i="3"/>
  <c r="F81" i="3"/>
  <c r="J85" i="3"/>
  <c r="L88" i="3"/>
  <c r="J88" i="3"/>
  <c r="J87" i="3"/>
  <c r="M59" i="3"/>
  <c r="H65" i="3"/>
  <c r="P66" i="3"/>
  <c r="T69" i="3"/>
  <c r="P79" i="3"/>
  <c r="K76" i="3"/>
  <c r="D73" i="3"/>
  <c r="W77" i="3"/>
  <c r="L73" i="3"/>
  <c r="Q80" i="3"/>
  <c r="K73" i="3"/>
  <c r="L68" i="3"/>
  <c r="E80" i="3"/>
  <c r="F66" i="3"/>
  <c r="W82" i="3"/>
  <c r="K84" i="3"/>
  <c r="D87" i="3"/>
  <c r="K66" i="3"/>
  <c r="Q70" i="3"/>
  <c r="G73" i="3"/>
  <c r="E76" i="3"/>
  <c r="N66" i="3"/>
  <c r="C66" i="3"/>
  <c r="Y70" i="3"/>
  <c r="V66" i="3"/>
  <c r="T83" i="3"/>
  <c r="U78" i="3"/>
  <c r="S85" i="3"/>
  <c r="D79" i="3"/>
  <c r="Z76" i="3"/>
  <c r="C75" i="3"/>
  <c r="L70" i="3"/>
  <c r="M63" i="3"/>
  <c r="D76" i="3"/>
  <c r="M78" i="3"/>
  <c r="S74" i="3"/>
  <c r="X82" i="3"/>
  <c r="G64" i="3"/>
  <c r="X58" i="3"/>
  <c r="J63" i="3"/>
  <c r="V64" i="3"/>
  <c r="M88" i="3"/>
  <c r="S75" i="3"/>
  <c r="L66" i="3"/>
  <c r="U58" i="3"/>
  <c r="L61" i="3"/>
  <c r="F69" i="3"/>
  <c r="C70" i="3"/>
  <c r="D67" i="3"/>
  <c r="U84" i="3"/>
  <c r="U81" i="3"/>
  <c r="E90" i="3"/>
  <c r="D85" i="3"/>
  <c r="Q79" i="3"/>
  <c r="X67" i="3"/>
  <c r="W62" i="3"/>
  <c r="R89" i="3"/>
  <c r="G81" i="3"/>
  <c r="E86" i="3"/>
  <c r="E81" i="3"/>
  <c r="R75" i="3"/>
  <c r="G87" i="3"/>
  <c r="S88" i="3"/>
  <c r="E85" i="3"/>
  <c r="E61" i="3"/>
  <c r="Z59" i="3"/>
  <c r="Z74" i="3"/>
  <c r="O88" i="3"/>
  <c r="G68" i="3"/>
  <c r="J72" i="3"/>
  <c r="E87" i="3"/>
  <c r="Q89" i="3"/>
  <c r="J83" i="3"/>
  <c r="J61" i="3"/>
  <c r="U65" i="3"/>
  <c r="X73" i="3"/>
  <c r="G90" i="3"/>
  <c r="U83" i="3"/>
  <c r="F83" i="3"/>
  <c r="F88" i="3"/>
  <c r="H79" i="3"/>
  <c r="H82" i="3"/>
  <c r="L72" i="3"/>
  <c r="S80" i="3"/>
  <c r="R73" i="3"/>
  <c r="H77" i="3"/>
  <c r="H66" i="3"/>
  <c r="O78" i="3"/>
  <c r="O76" i="3"/>
  <c r="O61" i="3"/>
  <c r="P84" i="3"/>
  <c r="P74" i="3"/>
  <c r="P72" i="3"/>
  <c r="P75" i="3"/>
  <c r="O58" i="3"/>
  <c r="W64" i="3"/>
  <c r="T77" i="3"/>
  <c r="T75" i="3"/>
  <c r="T82" i="3"/>
  <c r="J82" i="3"/>
  <c r="G80" i="3"/>
  <c r="Q64" i="3"/>
  <c r="Y60" i="3"/>
  <c r="C83" i="3"/>
  <c r="Q81" i="3"/>
  <c r="E88" i="3"/>
  <c r="X70" i="3"/>
  <c r="R64" i="3"/>
  <c r="N76" i="3"/>
  <c r="N80" i="3"/>
  <c r="Q82" i="3"/>
  <c r="O84" i="3"/>
  <c r="O64" i="3"/>
  <c r="P62" i="3"/>
  <c r="C79" i="3"/>
  <c r="L78" i="3"/>
  <c r="E62" i="3"/>
  <c r="L81" i="3"/>
  <c r="Q84" i="3"/>
  <c r="C76" i="3"/>
  <c r="V78" i="3"/>
  <c r="U82" i="3"/>
  <c r="V76" i="3"/>
  <c r="G88" i="3"/>
  <c r="S89" i="3"/>
  <c r="V61" i="3"/>
  <c r="C69" i="3"/>
  <c r="Q74" i="3"/>
  <c r="W75" i="3"/>
  <c r="D64" i="3"/>
  <c r="V71" i="3"/>
  <c r="S68" i="3"/>
  <c r="Y74" i="3"/>
  <c r="F72" i="3"/>
  <c r="F58" i="3"/>
  <c r="G84" i="3"/>
  <c r="Q90" i="3"/>
  <c r="D89" i="3"/>
  <c r="G83" i="3"/>
  <c r="S77" i="3"/>
  <c r="X79" i="3"/>
  <c r="E66" i="3"/>
  <c r="D80" i="3"/>
  <c r="Q86" i="3"/>
  <c r="K77" i="3"/>
  <c r="X90" i="3"/>
  <c r="W74" i="3"/>
  <c r="J60" i="3"/>
  <c r="Z73" i="3"/>
  <c r="G70" i="3"/>
  <c r="J58" i="3"/>
  <c r="K78" i="3"/>
  <c r="D77" i="3"/>
  <c r="M61" i="3"/>
  <c r="D72" i="3"/>
  <c r="N74" i="3"/>
  <c r="K75" i="3"/>
  <c r="X80" i="3"/>
  <c r="W66" i="3"/>
  <c r="M86" i="3"/>
  <c r="Z65" i="3"/>
  <c r="F70" i="3"/>
  <c r="U85" i="3"/>
  <c r="Z83" i="3"/>
  <c r="M68" i="3"/>
  <c r="J75" i="3"/>
  <c r="J79" i="3"/>
  <c r="R69" i="3"/>
  <c r="Z64" i="3"/>
  <c r="J73" i="3"/>
  <c r="X59" i="3"/>
  <c r="M60" i="3"/>
  <c r="X68" i="3"/>
  <c r="M89" i="3"/>
  <c r="C80" i="3"/>
  <c r="R85" i="3"/>
  <c r="J81" i="3"/>
  <c r="E63" i="3"/>
  <c r="G86" i="3"/>
  <c r="N83" i="3"/>
  <c r="Z58" i="3"/>
  <c r="K81" i="3"/>
  <c r="Z71" i="3"/>
  <c r="M76" i="3"/>
  <c r="Z86" i="3"/>
  <c r="J78" i="3"/>
  <c r="X62" i="3"/>
  <c r="M66" i="3"/>
  <c r="N59" i="3"/>
  <c r="H85" i="3"/>
  <c r="H78" i="3"/>
  <c r="L82" i="3"/>
  <c r="S59" i="3"/>
  <c r="Q75" i="3"/>
  <c r="H59" i="3"/>
  <c r="H60" i="3"/>
  <c r="O72" i="3"/>
  <c r="O62" i="3"/>
  <c r="O85" i="3"/>
  <c r="P83" i="3"/>
  <c r="P86" i="3"/>
  <c r="P65" i="3"/>
  <c r="P80" i="3"/>
  <c r="O80" i="3"/>
  <c r="T87" i="3"/>
  <c r="T66" i="3"/>
  <c r="T67" i="3"/>
  <c r="T61" i="3"/>
  <c r="E79" i="3"/>
  <c r="L86" i="3"/>
  <c r="G61" i="3"/>
  <c r="F64" i="3"/>
  <c r="M62" i="3"/>
  <c r="Z75" i="3"/>
  <c r="U79" i="3"/>
  <c r="J69" i="3"/>
  <c r="F85" i="3"/>
  <c r="G82" i="3"/>
  <c r="L80" i="3"/>
  <c r="O67" i="3"/>
  <c r="P76" i="3"/>
  <c r="T74" i="3"/>
  <c r="W87" i="3"/>
  <c r="K60" i="3"/>
  <c r="Y61" i="3"/>
  <c r="X83" i="3"/>
  <c r="U64" i="3"/>
  <c r="D84" i="3"/>
  <c r="Q88" i="3"/>
  <c r="Q61" i="3"/>
  <c r="X86" i="3"/>
  <c r="W58" i="3"/>
  <c r="E83" i="3"/>
  <c r="X61" i="3"/>
  <c r="F84" i="3"/>
  <c r="N72" i="3"/>
  <c r="S71" i="3"/>
  <c r="D69" i="3"/>
  <c r="E60" i="3"/>
  <c r="L69" i="3"/>
  <c r="F77" i="3"/>
  <c r="K71" i="3"/>
  <c r="D59" i="3"/>
  <c r="N77" i="3"/>
  <c r="V68" i="3"/>
  <c r="O89" i="3"/>
  <c r="N86" i="3"/>
  <c r="N64" i="3"/>
  <c r="C59" i="3"/>
  <c r="Y59" i="3"/>
  <c r="X87" i="3"/>
  <c r="U68" i="3"/>
  <c r="L85" i="3"/>
  <c r="S58" i="3"/>
  <c r="Q63" i="3"/>
  <c r="V62" i="3"/>
  <c r="E75" i="3"/>
  <c r="Z70" i="3"/>
  <c r="S81" i="3"/>
  <c r="U59" i="3"/>
  <c r="Z68" i="3"/>
  <c r="Q60" i="3"/>
  <c r="X85" i="3"/>
  <c r="E64" i="3"/>
  <c r="L77" i="3"/>
  <c r="Y79" i="3"/>
  <c r="C78" i="3"/>
  <c r="X88" i="3"/>
  <c r="E67" i="3"/>
  <c r="N84" i="3"/>
  <c r="R76" i="3"/>
  <c r="G62" i="3"/>
  <c r="V81" i="3"/>
  <c r="J89" i="3"/>
  <c r="W68" i="3"/>
  <c r="S87" i="3"/>
  <c r="W89" i="3"/>
  <c r="W84" i="3"/>
  <c r="R62" i="3"/>
  <c r="G85" i="3"/>
  <c r="Z79" i="3"/>
  <c r="P90" i="3"/>
  <c r="Z66" i="3"/>
  <c r="M85" i="3"/>
  <c r="K90" i="3"/>
  <c r="J67" i="3"/>
  <c r="R86" i="3"/>
  <c r="U73" i="3"/>
  <c r="J84" i="3"/>
  <c r="Z72" i="3"/>
  <c r="C90" i="3"/>
  <c r="R59" i="3"/>
  <c r="C86" i="3"/>
  <c r="G58" i="3"/>
  <c r="Z69" i="3"/>
  <c r="G89" i="3"/>
  <c r="J64" i="3"/>
  <c r="V73" i="3"/>
  <c r="N75" i="3"/>
  <c r="H88" i="3"/>
  <c r="M72" i="3"/>
  <c r="L75" i="3"/>
  <c r="S82" i="3"/>
  <c r="Q59" i="3"/>
  <c r="H58" i="3"/>
  <c r="H69" i="3"/>
  <c r="O70" i="3"/>
  <c r="O60" i="3"/>
  <c r="O66" i="3"/>
  <c r="P59" i="3"/>
  <c r="P87" i="3"/>
  <c r="P69" i="3"/>
  <c r="P61" i="3"/>
  <c r="O75" i="3"/>
  <c r="T63" i="3"/>
  <c r="T73" i="3"/>
  <c r="T62" i="3"/>
  <c r="T76" i="3"/>
  <c r="U80" i="3"/>
  <c r="C87" i="3"/>
  <c r="U66" i="3"/>
  <c r="U77" i="3"/>
  <c r="Z60" i="3"/>
  <c r="X65" i="3"/>
  <c r="R81" i="3"/>
  <c r="D70" i="3"/>
  <c r="V90" i="3"/>
  <c r="V86" i="3"/>
  <c r="S78" i="3"/>
  <c r="O59" i="3"/>
  <c r="P67" i="3"/>
  <c r="V58" i="3"/>
  <c r="T78" i="3"/>
  <c r="C63" i="3"/>
  <c r="Y65" i="3"/>
  <c r="G59" i="3"/>
  <c r="M67" i="3"/>
  <c r="T86" i="3"/>
  <c r="C60" i="3"/>
  <c r="Q65" i="3"/>
  <c r="P89" i="3"/>
  <c r="E59" i="3"/>
  <c r="M87" i="3"/>
  <c r="Z80" i="3"/>
  <c r="X74" i="3"/>
  <c r="Y80" i="3"/>
  <c r="K74" i="3"/>
  <c r="L74" i="3"/>
  <c r="U62" i="3"/>
  <c r="L79" i="3"/>
  <c r="Y81" i="3"/>
  <c r="C74" i="3"/>
  <c r="L64" i="3"/>
  <c r="F75" i="3"/>
  <c r="S61" i="3"/>
  <c r="Y63" i="3"/>
  <c r="G63" i="3"/>
  <c r="M71" i="3"/>
  <c r="D88" i="3"/>
  <c r="K61" i="3"/>
  <c r="Q67" i="3"/>
  <c r="M70" i="3"/>
  <c r="Y83" i="3"/>
  <c r="Z63" i="3"/>
  <c r="U90" i="3"/>
  <c r="V85" i="3"/>
  <c r="R84" i="3"/>
  <c r="C85" i="3"/>
  <c r="H86" i="3"/>
  <c r="H75" i="3"/>
  <c r="P64" i="3"/>
  <c r="T59" i="3"/>
  <c r="O87" i="3"/>
  <c r="S65" i="3"/>
  <c r="Y69" i="3"/>
  <c r="W61" i="3"/>
  <c r="E70" i="3"/>
  <c r="L89" i="3"/>
  <c r="S62" i="3"/>
  <c r="Q69" i="3"/>
  <c r="F60" i="3"/>
  <c r="U69" i="3"/>
  <c r="X64" i="3"/>
  <c r="J86" i="3"/>
  <c r="F89" i="3"/>
  <c r="U86" i="3"/>
  <c r="C77" i="3"/>
  <c r="X81" i="3"/>
  <c r="M65" i="3"/>
  <c r="D82" i="3"/>
  <c r="Y85" i="3"/>
  <c r="S76" i="3"/>
  <c r="D75" i="3"/>
  <c r="M83" i="3"/>
  <c r="M84" i="3"/>
  <c r="R87" i="3"/>
  <c r="F78" i="3"/>
  <c r="Q83" i="3"/>
  <c r="K64" i="3"/>
  <c r="Y67" i="3"/>
  <c r="W65" i="3"/>
  <c r="E74" i="3"/>
  <c r="T90" i="3"/>
  <c r="C64" i="3"/>
  <c r="Q71" i="3"/>
  <c r="N73" i="3"/>
  <c r="V60" i="3"/>
  <c r="N90" i="3"/>
  <c r="X66" i="3"/>
  <c r="L63" i="3"/>
  <c r="C65" i="3"/>
  <c r="Q68" i="3"/>
  <c r="W63" i="3"/>
  <c r="M69" i="3"/>
  <c r="D86" i="3"/>
  <c r="Y87" i="3"/>
  <c r="Y64" i="3"/>
  <c r="N69" i="3"/>
  <c r="D78" i="3"/>
  <c r="W86" i="3"/>
  <c r="K88" i="3"/>
  <c r="E73" i="3"/>
  <c r="R71" i="3"/>
  <c r="R74" i="3"/>
  <c r="R61" i="3"/>
  <c r="D83" i="3"/>
  <c r="C88" i="3"/>
  <c r="Z82" i="3"/>
  <c r="W79" i="3"/>
  <c r="V83" i="3"/>
  <c r="J90" i="3"/>
  <c r="W78" i="3"/>
  <c r="J59" i="3"/>
  <c r="R67" i="3"/>
  <c r="U63" i="3"/>
  <c r="V79" i="3"/>
  <c r="K79" i="3"/>
  <c r="E69" i="3"/>
  <c r="K82" i="3"/>
  <c r="J65" i="3"/>
  <c r="K86" i="3"/>
  <c r="W81" i="3"/>
  <c r="V84" i="3"/>
  <c r="U88" i="3"/>
  <c r="W60" i="3"/>
  <c r="R70" i="3"/>
  <c r="J80" i="3"/>
  <c r="R88" i="3"/>
  <c r="N78" i="3"/>
  <c r="H83" i="3"/>
  <c r="M75" i="3"/>
  <c r="L59" i="3"/>
  <c r="R72" i="3"/>
  <c r="Q78" i="3"/>
  <c r="H71" i="3"/>
  <c r="H74" i="3"/>
  <c r="O68" i="3"/>
  <c r="O74" i="3"/>
  <c r="O73" i="3"/>
  <c r="P70" i="3"/>
  <c r="P77" i="3"/>
  <c r="P78" i="3"/>
  <c r="P73" i="3"/>
  <c r="W90" i="3"/>
  <c r="T70" i="3"/>
  <c r="T81" i="3"/>
  <c r="T71" i="3"/>
  <c r="V72" i="3"/>
  <c r="X72" i="3"/>
  <c r="M81" i="3"/>
  <c r="R83" i="3"/>
  <c r="K70" i="3"/>
  <c r="U74" i="3"/>
  <c r="Y72" i="3"/>
  <c r="R79" i="3"/>
  <c r="R63" i="3"/>
  <c r="X60" i="3"/>
  <c r="C81" i="3"/>
  <c r="J77" i="3"/>
  <c r="X63" i="3"/>
  <c r="Y89" i="3"/>
  <c r="M74" i="3"/>
  <c r="G60" i="3"/>
  <c r="X76" i="3"/>
  <c r="H81" i="3"/>
  <c r="S64" i="3"/>
  <c r="H68" i="3"/>
  <c r="O86" i="3"/>
  <c r="T58" i="3"/>
  <c r="K68" i="3"/>
  <c r="Y73" i="3"/>
  <c r="G67" i="3"/>
  <c r="U72" i="3"/>
  <c r="V59" i="3"/>
  <c r="K65" i="3"/>
  <c r="Q73" i="3"/>
  <c r="N65" i="3"/>
  <c r="D62" i="3"/>
  <c r="N87" i="3"/>
  <c r="Z90" i="3"/>
  <c r="E65" i="3"/>
  <c r="K58" i="3"/>
  <c r="Q58" i="3"/>
  <c r="W59" i="3"/>
  <c r="E68" i="3"/>
  <c r="T84" i="3"/>
  <c r="C58" i="3"/>
  <c r="Y58" i="3"/>
  <c r="X84" i="3"/>
  <c r="G72" i="3"/>
  <c r="E89" i="3"/>
  <c r="R60" i="3"/>
  <c r="G78" i="3"/>
  <c r="Q87" i="3"/>
  <c r="C67" i="3"/>
  <c r="Y71" i="3"/>
  <c r="G71" i="3"/>
  <c r="U76" i="3"/>
  <c r="N62" i="3"/>
  <c r="S66" i="3"/>
  <c r="L60" i="3"/>
  <c r="R78" i="3"/>
  <c r="N71" i="3"/>
  <c r="X77" i="3"/>
  <c r="F80" i="3"/>
  <c r="L90" i="3"/>
  <c r="S67" i="3"/>
  <c r="Q72" i="3"/>
  <c r="G69" i="3"/>
  <c r="E72" i="3"/>
  <c r="T88" i="3"/>
  <c r="K59" i="3"/>
  <c r="Y68" i="3"/>
  <c r="V74" i="3"/>
  <c r="P88" i="3"/>
  <c r="X69" i="3"/>
  <c r="F82" i="3"/>
  <c r="L84" i="3"/>
  <c r="W85" i="3"/>
  <c r="C82" i="3"/>
  <c r="W80" i="3"/>
  <c r="Y82" i="3"/>
  <c r="N81" i="3"/>
  <c r="Z61" i="3"/>
  <c r="Z85" i="3"/>
  <c r="X71" i="3"/>
  <c r="R66" i="3"/>
  <c r="E71" i="3"/>
  <c r="S79" i="3"/>
  <c r="W83" i="3"/>
  <c r="N60" i="3"/>
  <c r="K89" i="3"/>
  <c r="S84" i="3"/>
  <c r="V65" i="3"/>
  <c r="U89" i="3"/>
  <c r="Z89" i="3"/>
  <c r="F79" i="3"/>
  <c r="V89" i="3"/>
  <c r="N67" i="3"/>
  <c r="N89" i="3"/>
  <c r="D66" i="3"/>
  <c r="K85" i="3"/>
  <c r="O90" i="3"/>
  <c r="S86" i="3"/>
  <c r="M82" i="3"/>
  <c r="H84" i="3"/>
  <c r="M64" i="3"/>
  <c r="S83" i="3"/>
  <c r="R80" i="3"/>
  <c r="H70" i="3"/>
  <c r="H76" i="3"/>
  <c r="H67" i="3"/>
  <c r="O77" i="3"/>
  <c r="O65" i="3"/>
  <c r="O71" i="3"/>
  <c r="P71" i="3"/>
  <c r="P82" i="3"/>
  <c r="P81" i="3"/>
  <c r="P60" i="3"/>
  <c r="W72" i="3"/>
  <c r="T65" i="3"/>
  <c r="T60" i="3"/>
  <c r="T68" i="3"/>
  <c r="V75" i="3"/>
  <c r="U61" i="3"/>
  <c r="D71" i="3"/>
  <c r="V88" i="3"/>
  <c r="Q76" i="3"/>
  <c r="N58" i="3"/>
  <c r="M79" i="3"/>
  <c r="M90" i="3"/>
  <c r="K87" i="3"/>
  <c r="G74" i="3"/>
  <c r="N79" i="3"/>
  <c r="F90" i="3"/>
  <c r="Z67" i="3"/>
  <c r="U71" i="3"/>
  <c r="X75" i="3"/>
  <c r="X78" i="3"/>
  <c r="E77" i="3"/>
  <c r="L87" i="3"/>
  <c r="H62" i="3"/>
  <c r="O81" i="3"/>
  <c r="P58" i="3"/>
  <c r="V80" i="3"/>
  <c r="AE2" i="16" l="1"/>
  <c r="H61" i="3"/>
  <c r="C56" i="3" l="1" a="1"/>
  <c r="C56" i="3" s="1"/>
  <c r="K27" i="1"/>
  <c r="AA27" i="1" s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1" i="3" a="1"/>
  <c r="D51" i="3" s="1"/>
  <c r="B1" i="3" a="1"/>
  <c r="B1" i="3" s="1"/>
  <c r="C1" i="2" a="1"/>
  <c r="F1" i="2" s="1"/>
  <c r="BE5" i="2"/>
  <c r="BH5" i="2"/>
  <c r="BJ5" i="2"/>
  <c r="BK5" i="2"/>
  <c r="AK5" i="2"/>
  <c r="AV5" i="2"/>
  <c r="BG5" i="2"/>
  <c r="J50" i="3"/>
  <c r="BI5" i="2"/>
  <c r="AO5" i="2"/>
  <c r="AM5" i="2"/>
  <c r="BD5" i="2"/>
  <c r="AQ5" i="2"/>
  <c r="BF5" i="2"/>
  <c r="AN5" i="2"/>
  <c r="AS5" i="2"/>
  <c r="CB5" i="2" l="1"/>
  <c r="BZ5" i="2"/>
  <c r="CC5" i="2"/>
  <c r="CA5" i="2"/>
  <c r="Z56" i="3"/>
  <c r="R56" i="3"/>
  <c r="J56" i="3"/>
  <c r="Y56" i="3"/>
  <c r="Q56" i="3"/>
  <c r="I56" i="3"/>
  <c r="AD56" i="3"/>
  <c r="V56" i="3"/>
  <c r="N56" i="3"/>
  <c r="F56" i="3"/>
  <c r="AC56" i="3"/>
  <c r="U56" i="3"/>
  <c r="M56" i="3"/>
  <c r="E56" i="3"/>
  <c r="AF56" i="3"/>
  <c r="AB56" i="3"/>
  <c r="X56" i="3"/>
  <c r="T56" i="3"/>
  <c r="P56" i="3"/>
  <c r="L56" i="3"/>
  <c r="H56" i="3"/>
  <c r="D56" i="3"/>
  <c r="AE56" i="3"/>
  <c r="AA56" i="3"/>
  <c r="W56" i="3"/>
  <c r="S56" i="3"/>
  <c r="O56" i="3"/>
  <c r="K56" i="3"/>
  <c r="G56" i="3"/>
  <c r="AA36" i="1" a="1"/>
  <c r="AA36" i="1" s="1"/>
  <c r="BE3" i="18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2" i="3"/>
  <c r="T52" i="3"/>
  <c r="L52" i="3"/>
  <c r="D52" i="3"/>
  <c r="Z51" i="3"/>
  <c r="R51" i="3"/>
  <c r="J51" i="3"/>
  <c r="Y52" i="3"/>
  <c r="Q52" i="3"/>
  <c r="I52" i="3"/>
  <c r="AE51" i="3"/>
  <c r="W51" i="3"/>
  <c r="O51" i="3"/>
  <c r="G51" i="3"/>
  <c r="AF52" i="3"/>
  <c r="X52" i="3"/>
  <c r="P52" i="3"/>
  <c r="H52" i="3"/>
  <c r="AD51" i="3"/>
  <c r="V51" i="3"/>
  <c r="N51" i="3"/>
  <c r="F51" i="3"/>
  <c r="AC52" i="3"/>
  <c r="U52" i="3"/>
  <c r="M52" i="3"/>
  <c r="E52" i="3"/>
  <c r="AA51" i="3"/>
  <c r="S51" i="3"/>
  <c r="K51" i="3"/>
  <c r="C51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2" i="3"/>
  <c r="AA52" i="3"/>
  <c r="W52" i="3"/>
  <c r="S52" i="3"/>
  <c r="O52" i="3"/>
  <c r="K52" i="3"/>
  <c r="G52" i="3"/>
  <c r="C52" i="3"/>
  <c r="AC51" i="3"/>
  <c r="Y51" i="3"/>
  <c r="U51" i="3"/>
  <c r="Q51" i="3"/>
  <c r="M51" i="3"/>
  <c r="I51" i="3"/>
  <c r="E51" i="3"/>
  <c r="AD52" i="3"/>
  <c r="Z52" i="3"/>
  <c r="V52" i="3"/>
  <c r="R52" i="3"/>
  <c r="N52" i="3"/>
  <c r="J52" i="3"/>
  <c r="F52" i="3"/>
  <c r="AF51" i="3"/>
  <c r="AB51" i="3"/>
  <c r="X51" i="3"/>
  <c r="T51" i="3"/>
  <c r="P51" i="3"/>
  <c r="L51" i="3"/>
  <c r="H51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E123" i="2"/>
  <c r="F128" i="2"/>
  <c r="X112" i="2"/>
  <c r="O124" i="2"/>
  <c r="S87" i="2"/>
  <c r="G122" i="2"/>
  <c r="D87" i="2"/>
  <c r="L80" i="2"/>
  <c r="L129" i="2"/>
  <c r="L122" i="2"/>
  <c r="M124" i="2"/>
  <c r="H80" i="2"/>
  <c r="H112" i="2"/>
  <c r="O2" i="16" l="1" a="1"/>
  <c r="O25" i="16" s="1"/>
  <c r="BM62" i="2"/>
  <c r="BM46" i="2"/>
  <c r="BM14" i="2"/>
  <c r="BM25" i="2"/>
  <c r="BM41" i="2"/>
  <c r="BM42" i="2"/>
  <c r="BM54" i="2"/>
  <c r="BM21" i="2"/>
  <c r="BM26" i="2"/>
  <c r="BM33" i="2"/>
  <c r="BM50" i="2"/>
  <c r="BM61" i="2"/>
  <c r="BM12" i="2"/>
  <c r="BM16" i="2"/>
  <c r="BM27" i="2"/>
  <c r="BM24" i="2"/>
  <c r="BM36" i="2"/>
  <c r="BM48" i="2"/>
  <c r="BM60" i="2"/>
  <c r="BM57" i="2"/>
  <c r="BM17" i="2"/>
  <c r="BM32" i="2"/>
  <c r="BM28" i="2"/>
  <c r="BM51" i="2"/>
  <c r="BM19" i="2"/>
  <c r="BM23" i="2"/>
  <c r="BM40" i="2"/>
  <c r="BM11" i="2"/>
  <c r="BM34" i="2"/>
  <c r="BM37" i="2"/>
  <c r="BM53" i="2"/>
  <c r="BM13" i="2"/>
  <c r="BM18" i="2"/>
  <c r="BM22" i="2"/>
  <c r="BM29" i="2"/>
  <c r="BM30" i="2"/>
  <c r="BM55" i="2"/>
  <c r="BM10" i="2"/>
  <c r="BM20" i="2"/>
  <c r="BM15" i="2"/>
  <c r="BM52" i="2"/>
  <c r="BM47" i="2"/>
  <c r="BM44" i="2"/>
  <c r="BM56" i="2"/>
  <c r="BM8" i="2"/>
  <c r="BM35" i="2"/>
  <c r="BM31" i="2"/>
  <c r="BM38" i="2"/>
  <c r="BM49" i="2"/>
  <c r="BM45" i="2"/>
  <c r="BM58" i="2"/>
  <c r="BM43" i="2"/>
  <c r="BM59" i="2"/>
  <c r="BM39" i="2"/>
  <c r="BM7" i="2"/>
  <c r="BM6" i="2"/>
  <c r="BM9" i="2"/>
  <c r="AJ52" i="3" a="1"/>
  <c r="AJ52" i="3" s="1"/>
  <c r="AJ51" i="3" a="1"/>
  <c r="AJ51" i="3" s="1"/>
  <c r="BM5" i="2"/>
  <c r="O4" i="16" l="1"/>
  <c r="O33" i="16"/>
  <c r="O5" i="16"/>
  <c r="O2" i="16"/>
  <c r="O13" i="16"/>
  <c r="O18" i="16"/>
  <c r="O29" i="16"/>
  <c r="O22" i="16"/>
  <c r="O40" i="16"/>
  <c r="O26" i="16"/>
  <c r="O12" i="16"/>
  <c r="O37" i="16"/>
  <c r="O30" i="16"/>
  <c r="O23" i="16"/>
  <c r="O16" i="16"/>
  <c r="O9" i="16"/>
  <c r="O34" i="16"/>
  <c r="O27" i="16"/>
  <c r="O20" i="16"/>
  <c r="O6" i="16"/>
  <c r="O38" i="16"/>
  <c r="O31" i="16"/>
  <c r="O24" i="16"/>
  <c r="O17" i="16"/>
  <c r="O36" i="16"/>
  <c r="O8" i="16"/>
  <c r="O11" i="16"/>
  <c r="O15" i="16"/>
  <c r="O19" i="16"/>
  <c r="O10" i="16"/>
  <c r="O3" i="16"/>
  <c r="O35" i="16"/>
  <c r="O28" i="16"/>
  <c r="O21" i="16"/>
  <c r="O14" i="16"/>
  <c r="O7" i="16"/>
  <c r="O39" i="16"/>
  <c r="O32" i="16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65" i="3" l="1"/>
  <c r="AQ64" i="3"/>
  <c r="O37" i="1" l="1" a="1"/>
  <c r="O37" i="1" s="1"/>
  <c r="P37" i="1" a="1"/>
  <c r="P37" i="1" s="1"/>
  <c r="K2" i="16"/>
  <c r="V95" i="3" l="1"/>
  <c r="J95" i="3"/>
  <c r="E95" i="3"/>
  <c r="X95" i="3"/>
  <c r="I95" i="3"/>
  <c r="K95" i="3"/>
  <c r="F95" i="3"/>
  <c r="T95" i="3"/>
  <c r="M95" i="3"/>
  <c r="H95" i="3"/>
  <c r="P95" i="3"/>
  <c r="S95" i="3"/>
  <c r="R95" i="3"/>
  <c r="G95" i="3"/>
  <c r="L95" i="3"/>
  <c r="U95" i="3"/>
  <c r="Q95" i="3"/>
  <c r="W95" i="3"/>
  <c r="N95" i="3"/>
  <c r="O95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U21" i="16" l="1"/>
  <c r="R19" i="16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0" i="3"/>
  <c r="T3" i="18" l="1" a="1"/>
  <c r="B58" i="3"/>
  <c r="A15" i="1"/>
  <c r="S76" i="2"/>
  <c r="O76" i="2"/>
  <c r="V76" i="2"/>
  <c r="T76" i="2"/>
  <c r="G76" i="2"/>
  <c r="Q76" i="2"/>
  <c r="E68" i="2"/>
  <c r="I76" i="2"/>
  <c r="W76" i="2"/>
  <c r="C95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Y76" i="2"/>
  <c r="H76" i="2"/>
  <c r="P76" i="2"/>
  <c r="X76" i="2"/>
  <c r="F76" i="2"/>
  <c r="N76" i="2"/>
  <c r="M76" i="2"/>
  <c r="E76" i="2"/>
  <c r="L76" i="2"/>
  <c r="J76" i="2"/>
  <c r="D76" i="2"/>
  <c r="Z76" i="2"/>
  <c r="U76" i="2"/>
  <c r="K76" i="2"/>
  <c r="R76" i="2"/>
  <c r="BB64" i="2" l="1"/>
  <c r="AM5" i="3"/>
  <c r="AO5" i="3"/>
  <c r="AN5" i="3"/>
  <c r="AJ5" i="3"/>
  <c r="AW5" i="3"/>
  <c r="AK5" i="3"/>
  <c r="AS5" i="3"/>
  <c r="AL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32" i="3" l="1"/>
  <c r="AU42" i="3"/>
  <c r="AU24" i="3"/>
  <c r="AU12" i="3"/>
  <c r="AU9" i="3"/>
  <c r="AU44" i="3"/>
  <c r="AU39" i="3"/>
  <c r="AU15" i="3"/>
  <c r="AU20" i="3"/>
  <c r="AU35" i="3"/>
  <c r="AU21" i="3"/>
  <c r="AU34" i="3"/>
  <c r="AU23" i="3"/>
  <c r="AU28" i="3"/>
  <c r="AU18" i="3"/>
  <c r="AU41" i="3"/>
  <c r="AU7" i="3"/>
  <c r="AU47" i="3"/>
  <c r="AU46" i="3"/>
  <c r="AU26" i="3"/>
  <c r="AU43" i="3"/>
  <c r="AU11" i="3"/>
  <c r="AU36" i="3"/>
  <c r="AU31" i="3"/>
  <c r="AU37" i="3"/>
  <c r="AU30" i="3"/>
  <c r="AU19" i="3"/>
  <c r="AU17" i="3"/>
  <c r="AU8" i="3"/>
  <c r="AU10" i="3"/>
  <c r="AU13" i="3"/>
  <c r="AU33" i="3"/>
  <c r="AU6" i="3"/>
  <c r="AU27" i="3"/>
  <c r="AU22" i="3"/>
  <c r="AU25" i="3"/>
  <c r="AU40" i="3"/>
  <c r="AU29" i="3"/>
  <c r="AU45" i="3"/>
  <c r="AU16" i="3"/>
  <c r="AU14" i="3"/>
  <c r="AU38" i="3"/>
  <c r="AU48" i="3"/>
  <c r="O3" i="1"/>
  <c r="P3" i="1"/>
  <c r="Z27" i="1" l="1"/>
  <c r="Z28" i="1"/>
  <c r="Z29" i="1"/>
  <c r="Z30" i="1"/>
  <c r="Z31" i="1"/>
  <c r="Z32" i="1"/>
  <c r="Y27" i="1"/>
  <c r="Y28" i="1"/>
  <c r="Y29" i="1"/>
  <c r="Y30" i="1"/>
  <c r="Y31" i="1"/>
  <c r="Y32" i="1"/>
  <c r="D69" i="2" l="1" a="1"/>
  <c r="AG3" i="1"/>
  <c r="AF3" i="1"/>
  <c r="Y77" i="2"/>
  <c r="N77" i="2"/>
  <c r="R77" i="2"/>
  <c r="H77" i="2"/>
  <c r="M77" i="2"/>
  <c r="Q77" i="2"/>
  <c r="W77" i="2"/>
  <c r="V77" i="2"/>
  <c r="G77" i="2"/>
  <c r="P77" i="2"/>
  <c r="J77" i="2"/>
  <c r="L77" i="2"/>
  <c r="E77" i="2"/>
  <c r="X77" i="2"/>
  <c r="I77" i="2"/>
  <c r="F77" i="2"/>
  <c r="U77" i="2"/>
  <c r="Z77" i="2"/>
  <c r="T77" i="2"/>
  <c r="S77" i="2"/>
  <c r="K77" i="2"/>
  <c r="D77" i="2"/>
  <c r="O77" i="2"/>
  <c r="E69" i="2" l="1"/>
  <c r="H69" i="2"/>
  <c r="P69" i="2"/>
  <c r="X69" i="2"/>
  <c r="AF69" i="2"/>
  <c r="K69" i="2"/>
  <c r="S69" i="2"/>
  <c r="AA69" i="2"/>
  <c r="D69" i="2"/>
  <c r="L69" i="2"/>
  <c r="T69" i="2"/>
  <c r="AB69" i="2"/>
  <c r="G69" i="2"/>
  <c r="O69" i="2"/>
  <c r="W69" i="2"/>
  <c r="AE69" i="2"/>
  <c r="R69" i="2"/>
  <c r="AC69" i="2"/>
  <c r="M69" i="2"/>
  <c r="AD69" i="2"/>
  <c r="N69" i="2"/>
  <c r="Y69" i="2"/>
  <c r="I69" i="2"/>
  <c r="Z69" i="2"/>
  <c r="J69" i="2"/>
  <c r="U69" i="2"/>
  <c r="V69" i="2"/>
  <c r="F69" i="2"/>
  <c r="Q69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 a="1"/>
  <c r="O65" i="2" s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 a="1"/>
  <c r="AE65" i="2" s="1"/>
  <c r="AF65" i="2" a="1"/>
  <c r="AF65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N66" i="2" a="1"/>
  <c r="N66" i="2" s="1"/>
  <c r="O66" i="2" a="1"/>
  <c r="O66" i="2" s="1"/>
  <c r="P66" i="2" a="1"/>
  <c r="P66" i="2" s="1"/>
  <c r="Q66" i="2" a="1"/>
  <c r="Q66" i="2" s="1"/>
  <c r="R66" i="2" a="1"/>
  <c r="R66" i="2" s="1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Y66" i="2" a="1"/>
  <c r="Y66" i="2" s="1"/>
  <c r="Z66" i="2" a="1"/>
  <c r="Z66" i="2" s="1"/>
  <c r="AA66" i="2" a="1"/>
  <c r="AA66" i="2" s="1"/>
  <c r="AB66" i="2" a="1"/>
  <c r="AB66" i="2" s="1"/>
  <c r="AC66" i="2" a="1"/>
  <c r="AC66" i="2" s="1"/>
  <c r="AD66" i="2" a="1"/>
  <c r="AD66" i="2" s="1"/>
  <c r="AE66" i="2" a="1"/>
  <c r="AE66" i="2" s="1"/>
  <c r="AF66" i="2" a="1"/>
  <c r="AF66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D55" i="3"/>
  <c r="H54" i="3"/>
  <c r="L75" i="2"/>
  <c r="E55" i="3"/>
  <c r="P55" i="3"/>
  <c r="S72" i="2"/>
  <c r="AA74" i="2"/>
  <c r="Z54" i="3"/>
  <c r="H55" i="3"/>
  <c r="AE54" i="3"/>
  <c r="Y55" i="3"/>
  <c r="C54" i="3"/>
  <c r="K75" i="2"/>
  <c r="H74" i="2"/>
  <c r="K74" i="2"/>
  <c r="AA54" i="3"/>
  <c r="Y75" i="2"/>
  <c r="AD54" i="3"/>
  <c r="AF68" i="2"/>
  <c r="O75" i="2"/>
  <c r="L55" i="3"/>
  <c r="W68" i="2"/>
  <c r="S55" i="3"/>
  <c r="R54" i="3"/>
  <c r="R75" i="2"/>
  <c r="O50" i="3"/>
  <c r="T55" i="3"/>
  <c r="T72" i="2"/>
  <c r="AD72" i="2"/>
  <c r="K72" i="2"/>
  <c r="Y72" i="2"/>
  <c r="S75" i="2"/>
  <c r="R74" i="2"/>
  <c r="O55" i="3"/>
  <c r="G72" i="2"/>
  <c r="AC72" i="2"/>
  <c r="AD74" i="2"/>
  <c r="E50" i="3"/>
  <c r="F74" i="2"/>
  <c r="M68" i="2"/>
  <c r="V75" i="2"/>
  <c r="S54" i="3"/>
  <c r="I54" i="3"/>
  <c r="Q68" i="2"/>
  <c r="T50" i="3"/>
  <c r="J72" i="2"/>
  <c r="V55" i="3"/>
  <c r="U74" i="2"/>
  <c r="AA72" i="2"/>
  <c r="C55" i="3"/>
  <c r="AC50" i="3"/>
  <c r="AC68" i="2"/>
  <c r="K55" i="3"/>
  <c r="AC74" i="2"/>
  <c r="X54" i="3"/>
  <c r="Y54" i="3"/>
  <c r="AA68" i="2"/>
  <c r="J75" i="2"/>
  <c r="J74" i="2"/>
  <c r="Z75" i="2"/>
  <c r="E75" i="2"/>
  <c r="P68" i="2"/>
  <c r="O74" i="2"/>
  <c r="L50" i="3"/>
  <c r="W75" i="2"/>
  <c r="S50" i="3"/>
  <c r="O54" i="3"/>
  <c r="V72" i="2"/>
  <c r="O72" i="2"/>
  <c r="J55" i="3"/>
  <c r="Y50" i="3"/>
  <c r="AD55" i="3"/>
  <c r="D50" i="3"/>
  <c r="AE75" i="2"/>
  <c r="D74" i="2"/>
  <c r="I74" i="2"/>
  <c r="AD68" i="2"/>
  <c r="P74" i="2"/>
  <c r="M55" i="3"/>
  <c r="K54" i="3"/>
  <c r="S74" i="2"/>
  <c r="R72" i="2"/>
  <c r="P72" i="2"/>
  <c r="E72" i="2"/>
  <c r="Q74" i="2"/>
  <c r="W72" i="2"/>
  <c r="N72" i="2"/>
  <c r="L74" i="2"/>
  <c r="O68" i="2"/>
  <c r="R50" i="3"/>
  <c r="Q72" i="2"/>
  <c r="AD75" i="2"/>
  <c r="AB50" i="3"/>
  <c r="F55" i="3"/>
  <c r="G50" i="3"/>
  <c r="K50" i="3"/>
  <c r="AB75" i="2"/>
  <c r="F68" i="2"/>
  <c r="Y74" i="2"/>
  <c r="D68" i="2"/>
  <c r="D54" i="3"/>
  <c r="AA55" i="3"/>
  <c r="E54" i="3"/>
  <c r="P75" i="2"/>
  <c r="M54" i="3"/>
  <c r="M74" i="2"/>
  <c r="V74" i="2"/>
  <c r="T75" i="2"/>
  <c r="S68" i="2"/>
  <c r="I55" i="3"/>
  <c r="Q75" i="2"/>
  <c r="T54" i="3"/>
  <c r="F72" i="2"/>
  <c r="L72" i="2"/>
  <c r="I72" i="2"/>
  <c r="F54" i="3"/>
  <c r="G55" i="3"/>
  <c r="Y68" i="2"/>
  <c r="AB74" i="2"/>
  <c r="G68" i="2"/>
  <c r="E74" i="2"/>
  <c r="U55" i="3"/>
  <c r="V68" i="2"/>
  <c r="T74" i="2"/>
  <c r="I50" i="3"/>
  <c r="AA50" i="3"/>
  <c r="L54" i="3"/>
  <c r="R68" i="2"/>
  <c r="AF55" i="3"/>
  <c r="AD50" i="3"/>
  <c r="AB54" i="3"/>
  <c r="G74" i="2"/>
  <c r="I75" i="2"/>
  <c r="N50" i="3"/>
  <c r="M50" i="3"/>
  <c r="X75" i="2"/>
  <c r="Q54" i="3"/>
  <c r="H72" i="2"/>
  <c r="L68" i="2"/>
  <c r="J54" i="3"/>
  <c r="U54" i="3"/>
  <c r="I68" i="2"/>
  <c r="AE68" i="2"/>
  <c r="AE74" i="2"/>
  <c r="Z68" i="2"/>
  <c r="Z50" i="3"/>
  <c r="AE50" i="3"/>
  <c r="X55" i="3"/>
  <c r="AC75" i="2"/>
  <c r="AF50" i="3"/>
  <c r="N55" i="3"/>
  <c r="N68" i="2"/>
  <c r="X74" i="2"/>
  <c r="U75" i="2"/>
  <c r="T68" i="2"/>
  <c r="Q50" i="3"/>
  <c r="P54" i="3"/>
  <c r="W54" i="3"/>
  <c r="V50" i="3"/>
  <c r="U72" i="2"/>
  <c r="AE72" i="2"/>
  <c r="Z72" i="2"/>
  <c r="X68" i="2"/>
  <c r="R55" i="3"/>
  <c r="P50" i="3"/>
  <c r="W55" i="3"/>
  <c r="V54" i="3"/>
  <c r="D72" i="2"/>
  <c r="M72" i="2"/>
  <c r="H50" i="3"/>
  <c r="H75" i="2"/>
  <c r="AB68" i="2"/>
  <c r="Z55" i="3"/>
  <c r="W50" i="3"/>
  <c r="X72" i="2"/>
  <c r="AE55" i="3"/>
  <c r="AA75" i="2"/>
  <c r="H68" i="2"/>
  <c r="X50" i="3"/>
  <c r="Z74" i="2"/>
  <c r="AF54" i="3"/>
  <c r="G54" i="3"/>
  <c r="G75" i="2"/>
  <c r="F50" i="3"/>
  <c r="AC54" i="3"/>
  <c r="AB55" i="3"/>
  <c r="J68" i="2"/>
  <c r="N54" i="3"/>
  <c r="N75" i="2"/>
  <c r="U68" i="2"/>
  <c r="Q55" i="3"/>
  <c r="AB72" i="2"/>
  <c r="U50" i="3"/>
  <c r="F75" i="2"/>
  <c r="AC55" i="3"/>
  <c r="W74" i="2"/>
  <c r="BF9" i="18" l="1" a="1"/>
  <c r="BF9" i="18" s="1"/>
  <c r="BE9" i="18" a="1"/>
  <c r="AK69" i="2"/>
  <c r="AT69" i="2"/>
  <c r="AB36" i="1" a="1"/>
  <c r="AB36" i="1" s="1"/>
  <c r="BF3" i="18" s="1"/>
  <c r="B2" i="17" a="1"/>
  <c r="L47" i="4"/>
  <c r="AI43" i="4"/>
  <c r="AE43" i="4"/>
  <c r="AA43" i="4"/>
  <c r="I43" i="4"/>
  <c r="E43" i="4"/>
  <c r="A41" i="4"/>
  <c r="A42" i="4" s="1"/>
  <c r="Y36" i="1"/>
  <c r="BE8" i="18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64" i="2"/>
  <c r="AK66" i="2"/>
  <c r="AB3" i="1" a="1"/>
  <c r="AB3" i="1" s="1"/>
  <c r="AC36" i="1"/>
  <c r="BE4" i="18" s="1"/>
  <c r="BE5" i="18" s="1"/>
  <c r="K46" i="4"/>
  <c r="N46" i="4" s="1"/>
  <c r="C5" i="7" s="1"/>
  <c r="O39" i="1"/>
  <c r="BF7" i="18" s="1"/>
  <c r="O46" i="4"/>
  <c r="D5" i="7" s="1"/>
  <c r="AZ64" i="2"/>
  <c r="AX64" i="2"/>
  <c r="AU64" i="2"/>
  <c r="AK65" i="2"/>
  <c r="BA64" i="2"/>
  <c r="AY64" i="2"/>
  <c r="AT64" i="2"/>
  <c r="O45" i="4"/>
  <c r="D4" i="7" s="1"/>
  <c r="M45" i="4"/>
  <c r="B4" i="7" s="1"/>
  <c r="BF64" i="2"/>
  <c r="AJ55" i="3"/>
  <c r="AJ54" i="3"/>
  <c r="AJ50" i="3"/>
  <c r="BJ64" i="2"/>
  <c r="AO68" i="2"/>
  <c r="BH64" i="2"/>
  <c r="BK64" i="2"/>
  <c r="BI64" i="2"/>
  <c r="BG64" i="2"/>
  <c r="AV64" i="2"/>
  <c r="AK50" i="3"/>
  <c r="AO50" i="3"/>
  <c r="AQ68" i="2"/>
  <c r="AM68" i="2"/>
  <c r="AN68" i="2"/>
  <c r="O17" i="5"/>
  <c r="Z36" i="1"/>
  <c r="BF8" i="18" s="1"/>
  <c r="AA2" i="1"/>
  <c r="AA3" i="1" a="1"/>
  <c r="AA3" i="1" s="1"/>
  <c r="AD36" i="1"/>
  <c r="BF4" i="18" s="1"/>
  <c r="AT66" i="2"/>
  <c r="P39" i="1"/>
  <c r="BE7" i="18" s="1"/>
  <c r="H93" i="4"/>
  <c r="A5" i="5" s="1" a="1"/>
  <c r="AT65" i="2"/>
  <c r="K68" i="2"/>
  <c r="BF10" i="18" l="1"/>
  <c r="BF11" i="18"/>
  <c r="BF12" i="18"/>
  <c r="BF5" i="18"/>
  <c r="BE12" i="18"/>
  <c r="BE9" i="18"/>
  <c r="BE10" i="18"/>
  <c r="BE11" i="18"/>
  <c r="D95" i="3"/>
  <c r="AT68" i="2"/>
  <c r="AK68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75" i="2"/>
  <c r="M75" i="2"/>
  <c r="N74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5" i="2"/>
  <c r="B74" i="2"/>
  <c r="H47" i="4"/>
  <c r="A6" i="7"/>
  <c r="L48" i="4"/>
  <c r="AW65" i="2"/>
  <c r="BB66" i="2" s="1"/>
  <c r="AU5" i="3"/>
  <c r="T41" i="1"/>
  <c r="R41" i="1"/>
  <c r="S41" i="1"/>
  <c r="Q41" i="1"/>
  <c r="G53" i="3"/>
  <c r="W53" i="3"/>
  <c r="AA53" i="3"/>
  <c r="E53" i="3"/>
  <c r="M53" i="3"/>
  <c r="U53" i="3"/>
  <c r="AC53" i="3"/>
  <c r="C53" i="3"/>
  <c r="I53" i="3"/>
  <c r="AB53" i="3"/>
  <c r="L53" i="3"/>
  <c r="Y53" i="3"/>
  <c r="D53" i="3"/>
  <c r="T53" i="3"/>
  <c r="S53" i="3"/>
  <c r="H53" i="3"/>
  <c r="P53" i="3"/>
  <c r="X53" i="3"/>
  <c r="AF53" i="3"/>
  <c r="Q53" i="3"/>
  <c r="N53" i="3"/>
  <c r="R53" i="3"/>
  <c r="Z53" i="3"/>
  <c r="AD53" i="3"/>
  <c r="O53" i="3"/>
  <c r="AE53" i="3"/>
  <c r="K53" i="3"/>
  <c r="F53" i="3"/>
  <c r="V53" i="3"/>
  <c r="J53" i="3"/>
  <c r="O40" i="1"/>
  <c r="BE6" i="18" s="1"/>
  <c r="E70" i="2"/>
  <c r="G70" i="2"/>
  <c r="I70" i="2"/>
  <c r="K70" i="2"/>
  <c r="M70" i="2"/>
  <c r="O70" i="2"/>
  <c r="Q70" i="2"/>
  <c r="S70" i="2"/>
  <c r="U70" i="2"/>
  <c r="W70" i="2"/>
  <c r="Y70" i="2"/>
  <c r="AA70" i="2"/>
  <c r="AC70" i="2"/>
  <c r="AE70" i="2"/>
  <c r="H70" i="2"/>
  <c r="L70" i="2"/>
  <c r="P70" i="2"/>
  <c r="T70" i="2"/>
  <c r="X70" i="2"/>
  <c r="AB70" i="2"/>
  <c r="AF70" i="2"/>
  <c r="F70" i="2"/>
  <c r="J70" i="2"/>
  <c r="N70" i="2"/>
  <c r="R70" i="2"/>
  <c r="V70" i="2"/>
  <c r="Z70" i="2"/>
  <c r="AD70" i="2"/>
  <c r="AK55" i="3"/>
  <c r="AL55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F6" i="18" s="1"/>
  <c r="O18" i="5"/>
  <c r="AN70" i="2"/>
  <c r="AJ53" i="3" l="1" a="1"/>
  <c r="AJ53" i="3" s="1"/>
  <c r="AM53" i="3" a="1"/>
  <c r="AM53" i="3" s="1"/>
  <c r="AL53" i="3" a="1"/>
  <c r="AL53" i="3" s="1"/>
  <c r="H48" i="4"/>
  <c r="L49" i="4"/>
  <c r="A7" i="7"/>
  <c r="K47" i="4"/>
  <c r="N47" i="4" s="1"/>
  <c r="C6" i="7" s="1"/>
  <c r="O47" i="4"/>
  <c r="D6" i="7" s="1"/>
  <c r="M47" i="4"/>
  <c r="B6" i="7" s="1"/>
  <c r="AW66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66" i="2"/>
  <c r="AY66" i="2"/>
  <c r="BA66" i="2"/>
  <c r="AZ66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70" i="2"/>
  <c r="AM55" i="3"/>
  <c r="AK70" i="2" l="1"/>
  <c r="AT70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71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" i="10" l="1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N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N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11" i="10" l="1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M50" i="10" s="1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<sst xmlns="http://schemas.openxmlformats.org/spreadsheetml/2006/main" count="2910" uniqueCount="756">
  <si>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</si>
  <si>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</si>
  <si>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</si>
  <si>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</si>
  <si>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</si>
  <si>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</si>
  <si>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</si>
  <si>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</si>
  <si>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</si>
  <si>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</si>
  <si>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</si>
  <si>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</si>
  <si>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</si>
  <si>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</si>
  <si>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</si>
  <si>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</si>
  <si>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</si>
  <si>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</si>
  <si>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</si>
  <si>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</si>
  <si>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</si>
  <si>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</si>
  <si>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</si>
  <si>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</si>
  <si>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</si>
  <si>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</si>
  <si>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</si>
  <si>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</si>
  <si>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</si>
  <si>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</si>
  <si>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</si>
  <si>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</si>
  <si>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</si>
  <si>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</si>
  <si>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</si>
  <si>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</si>
  <si>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</si>
  <si>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</si>
  <si>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</si>
  <si>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</si>
  <si>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</si>
  <si>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</si>
  <si>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</si>
  <si>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</si>
  <si>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</si>
  <si>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</si>
  <si>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</si>
  <si>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</si>
  <si>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</si>
  <si>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</si>
  <si>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</si>
  <si>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</si>
  <si>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</si>
  <si>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</si>
  <si>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</si>
  <si>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</si>
  <si>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</si>
  <si>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</si>
  <si>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</si>
  <si>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</si>
  <si>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</si>
  <si>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</si>
  <si>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</si>
  <si>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</si>
  <si>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</si>
  <si>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</si>
  <si>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</si>
  <si>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</si>
  <si>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</si>
  <si>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</si>
  <si>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</si>
  <si>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</si>
  <si>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</si>
  <si>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</si>
  <si>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</si>
  <si>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</si>
  <si>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</si>
  <si>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</si>
  <si>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</si>
  <si>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</si>
  <si>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</si>
  <si>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</si>
  <si>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</si>
  <si>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</si>
  <si>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</si>
  <si>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</si>
  <si>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</si>
  <si>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</si>
  <si>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</si>
  <si>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</si>
  <si>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</si>
  <si>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</si>
  <si>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</si>
  <si>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</si>
  <si>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</si>
  <si>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</si>
  <si>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</si>
  <si>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</si>
  <si>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</si>
  <si>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</si>
  <si>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</si>
  <si>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</si>
  <si>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</si>
  <si>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</si>
  <si>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</si>
  <si>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</si>
  <si>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</si>
  <si>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</si>
  <si>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</si>
  <si>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</si>
  <si>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</si>
  <si>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</si>
  <si>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</si>
  <si>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</si>
  <si>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</si>
  <si>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</si>
  <si>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</si>
  <si>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</si>
  <si>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</si>
  <si>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</si>
  <si>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</si>
  <si>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</si>
  <si>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</si>
  <si>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</si>
  <si>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</si>
  <si>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</si>
  <si>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</si>
  <si>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</si>
  <si>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</si>
  <si>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</si>
  <si>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</si>
  <si>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</si>
  <si>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</si>
  <si>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</si>
  <si>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</si>
  <si>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</si>
  <si>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</si>
  <si>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</si>
  <si>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</si>
  <si>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</si>
  <si>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</si>
  <si>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</si>
  <si>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</si>
  <si>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</si>
  <si>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</si>
  <si>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</si>
  <si>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</si>
  <si>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</si>
  <si>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</si>
  <si>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</si>
  <si>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</si>
  <si>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</si>
  <si>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</si>
  <si>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</si>
  <si>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</si>
  <si>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</si>
  <si>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</si>
  <si>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</si>
  <si>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</si>
  <si>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</si>
  <si>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</si>
  <si>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</si>
  <si>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</si>
  <si>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</si>
  <si>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</si>
  <si>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</si>
  <si>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</si>
  <si>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</si>
  <si>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</si>
  <si>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</si>
  <si>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</si>
  <si>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</si>
  <si>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</si>
  <si>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</si>
  <si>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</si>
  <si>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</si>
  <si>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</si>
  <si>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</si>
  <si>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</si>
  <si>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</si>
  <si>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</si>
  <si>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</si>
  <si>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</si>
  <si>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</si>
  <si>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</si>
  <si>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</si>
  <si>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</si>
  <si>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</si>
  <si>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</si>
  <si>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</si>
  <si>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</si>
  <si>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</si>
  <si>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</si>
  <si>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</si>
  <si>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</si>
  <si>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</si>
  <si>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</si>
  <si>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</si>
  <si>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</si>
  <si>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</si>
  <si>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</si>
  <si>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</si>
  <si>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</si>
  <si>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</si>
  <si>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</si>
  <si>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</si>
  <si>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</si>
  <si>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</si>
  <si>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</si>
  <si>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</si>
  <si>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</si>
  <si>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</si>
  <si>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</si>
  <si>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</si>
  <si>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</si>
  <si>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</si>
  <si>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</si>
  <si>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</si>
  <si>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</si>
  <si>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</si>
  <si>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</si>
  <si>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</si>
  <si>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</si>
  <si>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</si>
  <si>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</si>
  <si>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</si>
  <si>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</si>
  <si>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</si>
  <si>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</si>
  <si>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</si>
  <si>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</si>
  <si>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</si>
  <si>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</si>
  <si>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</si>
  <si>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</si>
  <si>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</si>
  <si>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</si>
  <si>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</si>
  <si>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Steeple Langford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</si>
  <si>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</si>
  <si>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</si>
  <si>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</si>
  <si>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</si>
  <si>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</si>
  <si>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</si>
  <si>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</si>
  <si>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</si>
  <si>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</si>
  <si>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</si>
  <si>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</si>
  <si>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</si>
  <si>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</si>
  <si>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</si>
  <si>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</si>
  <si>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</si>
  <si>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</si>
  <si>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</si>
  <si>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</si>
  <si>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</si>
  <si>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</si>
  <si>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</si>
  <si>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</si>
  <si>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</si>
  <si>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</si>
  <si>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</si>
  <si>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</si>
  <si>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</si>
  <si>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</si>
  <si>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</si>
  <si>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</si>
  <si>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</si>
  <si>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</si>
  <si>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</si>
  <si>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</si>
  <si>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</si>
  <si>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</si>
  <si>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</si>
  <si>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</si>
  <si>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</si>
  <si>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</si>
  <si>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</si>
  <si>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</si>
  <si>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</si>
  <si>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</si>
  <si>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</si>
  <si>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</si>
  <si>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</si>
  <si>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</si>
  <si>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</si>
  <si>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</si>
  <si>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Beddington</t>
  </si>
  <si>
    <t>Riverside</t>
  </si>
  <si>
    <t>H</t>
  </si>
  <si>
    <t>A</t>
  </si>
  <si>
    <t>Aleem</t>
  </si>
  <si>
    <t>Kaleem</t>
  </si>
  <si>
    <t>Sajjid A</t>
  </si>
  <si>
    <t>Sajjid K</t>
  </si>
  <si>
    <t>Lance</t>
  </si>
  <si>
    <t>Curling L</t>
  </si>
  <si>
    <t>Madu</t>
  </si>
  <si>
    <t>Hemasinghe M</t>
  </si>
  <si>
    <t>Kogulathasan D</t>
  </si>
  <si>
    <t>Roland ???</t>
  </si>
  <si>
    <t>Rob</t>
  </si>
  <si>
    <t>9/0/c/0/0</t>
  </si>
  <si>
    <t>11/0/dnb/0/0</t>
  </si>
  <si>
    <t>Stevenson R</t>
  </si>
  <si>
    <t>ND</t>
  </si>
  <si>
    <t>6/0/dnb/0/0</t>
  </si>
  <si>
    <t>8/0/dnb/0/0</t>
  </si>
  <si>
    <t>9/0/dnb/0/0</t>
  </si>
  <si>
    <t>10/0/dnb/0/0</t>
  </si>
  <si>
    <t>6/0/b/0/0</t>
  </si>
  <si>
    <t>Rugg D</t>
  </si>
  <si>
    <t>8/0/c/0/0</t>
  </si>
  <si>
    <t>7/0/dnb/1/0</t>
  </si>
  <si>
    <t>4/0/15/0</t>
  </si>
  <si>
    <t>Fleming N</t>
  </si>
  <si>
    <t>Norman</t>
  </si>
  <si>
    <t>10/4/no/0/1.0</t>
  </si>
  <si>
    <t>4/0/20/0</t>
  </si>
  <si>
    <t>9/0/no/0/0</t>
  </si>
  <si>
    <t>Soham</t>
  </si>
  <si>
    <t>De S</t>
  </si>
  <si>
    <t>1/0/c/0/0</t>
  </si>
  <si>
    <t>3/0/18/1</t>
  </si>
  <si>
    <t>2/0/16/0</t>
  </si>
  <si>
    <t>5/0/b/0/0</t>
  </si>
  <si>
    <t>7/0/20/1</t>
  </si>
  <si>
    <t>2/6/c/0/1.0</t>
  </si>
  <si>
    <t>Qualifiers</t>
  </si>
  <si>
    <t>In Table</t>
  </si>
  <si>
    <t>In Avgs</t>
  </si>
  <si>
    <t>#N/A</t>
  </si>
  <si>
    <t>Bowled</t>
  </si>
  <si>
    <t>3/8/b/0/2.0</t>
  </si>
  <si>
    <t>Low-Hughes A</t>
  </si>
  <si>
    <t>Alfie</t>
  </si>
  <si>
    <t>7/19/b/0/2.0</t>
  </si>
  <si>
    <t>Ffrench R</t>
  </si>
  <si>
    <t>Ray</t>
  </si>
  <si>
    <t>"Luca"</t>
  </si>
  <si>
    <t>8/10/c/0/2.0</t>
  </si>
  <si>
    <t>Taylor C</t>
  </si>
  <si>
    <t>Entries</t>
  </si>
  <si>
    <t>6 (3)</t>
  </si>
  <si>
    <t>Also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</si>
  <si>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</si>
  <si>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</si>
  <si>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</si>
  <si>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</si>
  <si>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</si>
  <si>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</si>
  <si>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</si>
  <si>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</si>
  <si>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</si>
  <si>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</si>
  <si>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</si>
  <si>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</si>
  <si>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</si>
  <si>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</si>
  <si>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</si>
  <si>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5/0/33/0</t>
  </si>
  <si>
    <t>8/0/23/2</t>
  </si>
  <si>
    <t>8/2/15/0</t>
  </si>
  <si>
    <t>8/1/23/3</t>
  </si>
  <si>
    <t>7/0/26/2</t>
  </si>
  <si>
    <t>Jain A</t>
  </si>
  <si>
    <t>2/0/19/0</t>
  </si>
  <si>
    <t>2/0/6/0</t>
  </si>
  <si>
    <t>Ashish</t>
  </si>
  <si>
    <t>1/2/b+/1.0/0</t>
  </si>
  <si>
    <t>Patel M</t>
  </si>
  <si>
    <t>4/9/b/0/1.0</t>
  </si>
  <si>
    <t>5/3/b/0/0</t>
  </si>
  <si>
    <t>6/4/b/0/1</t>
  </si>
  <si>
    <t>7/16/b/0/1.0</t>
  </si>
  <si>
    <t>8/50/no/0/3.1</t>
  </si>
  <si>
    <t>9/5/c/0/1</t>
  </si>
  <si>
    <t>10/9/no/1/1</t>
  </si>
  <si>
    <t>3/36/c*/0/5.0</t>
  </si>
  <si>
    <t>YRG Eagles</t>
  </si>
  <si>
    <t>Patel J</t>
  </si>
  <si>
    <t>1/3/c/0/0</t>
  </si>
  <si>
    <t>2/70/ro/0/8.0</t>
  </si>
  <si>
    <t>3/31/b*/0/6.0</t>
  </si>
  <si>
    <t>5/43/no/0/4.0</t>
  </si>
  <si>
    <t>Warlingham</t>
  </si>
  <si>
    <t>Merton Bears</t>
  </si>
  <si>
    <t>7/0/18/2</t>
  </si>
  <si>
    <t>7/2/24/2</t>
  </si>
  <si>
    <t>6/0/49/0</t>
  </si>
  <si>
    <t>7/0/41/0</t>
  </si>
  <si>
    <t>3/0/36/0</t>
  </si>
  <si>
    <t>3/0/12/1</t>
  </si>
  <si>
    <t>1.4/0/10/0</t>
  </si>
  <si>
    <t>8/0/dnb/1/0</t>
  </si>
  <si>
    <t>4/29/c+/1.0/3.0</t>
  </si>
  <si>
    <t>3/6/c*/0/1.0</t>
  </si>
  <si>
    <t>5/13/c/0/1.1</t>
  </si>
  <si>
    <t>7/26/ro/0/6.0</t>
  </si>
  <si>
    <t>9/0/lb/0/0</t>
  </si>
  <si>
    <t>11/4/no/0/1</t>
  </si>
  <si>
    <t>10/11/ro/0/1.0</t>
  </si>
  <si>
    <t>2/16/b/0/3.0</t>
  </si>
  <si>
    <t>4/25/c/0/4.0</t>
  </si>
  <si>
    <t>5/18/b/0/3.0</t>
  </si>
  <si>
    <t>Umar S</t>
  </si>
  <si>
    <t>6/13/c/0/1.0</t>
  </si>
  <si>
    <t>4/14/b/0/2.0</t>
  </si>
  <si>
    <t>10/6/no/0/0</t>
  </si>
  <si>
    <t>9/20/no/1/4.0</t>
  </si>
  <si>
    <t>1/41/b/1/6.0</t>
  </si>
  <si>
    <t>3/64/b*+/0.1/13.0</t>
  </si>
  <si>
    <t>7/0/52/0</t>
  </si>
  <si>
    <t>9/0/26/2</t>
  </si>
  <si>
    <t>8/1/18/1</t>
  </si>
  <si>
    <t>5/1/16/1</t>
  </si>
  <si>
    <t>4/0/16/0</t>
  </si>
  <si>
    <t>3/0/15/0</t>
  </si>
  <si>
    <t>2/0/11/0</t>
  </si>
  <si>
    <t>D</t>
  </si>
  <si>
    <t>1/4/c/0/0</t>
  </si>
  <si>
    <t>3/0/c*/0/0</t>
  </si>
  <si>
    <t>Ahmed R</t>
  </si>
  <si>
    <t>4/90/c/0/14.0</t>
  </si>
  <si>
    <t>6/24/c/0/5.0</t>
  </si>
  <si>
    <t>7/12/b/0/1.0</t>
  </si>
  <si>
    <t>8/5/c/0/0</t>
  </si>
  <si>
    <t>7/4/5/3</t>
  </si>
  <si>
    <t>6/5/1/2</t>
  </si>
  <si>
    <t>8/5/6/1</t>
  </si>
  <si>
    <t>7/0/13/1</t>
  </si>
  <si>
    <t>6/1/23/1</t>
  </si>
  <si>
    <t>2/0/7/1</t>
  </si>
  <si>
    <t>2/66/b/2/2.0</t>
  </si>
  <si>
    <t>5/2/lb/1/0</t>
  </si>
  <si>
    <t>7/1/21/2</t>
  </si>
  <si>
    <t>7/1/46/1</t>
  </si>
  <si>
    <t>7/0/40/3</t>
  </si>
  <si>
    <t>7/1/46/0</t>
  </si>
  <si>
    <t>4/0/30/0</t>
  </si>
  <si>
    <t>2/0/10/1</t>
  </si>
  <si>
    <t>1/0/5/1</t>
  </si>
  <si>
    <t>Mayur</t>
  </si>
  <si>
    <t>Soham De</t>
  </si>
  <si>
    <t>2/114/no+/1.1/11.1</t>
  </si>
  <si>
    <t>4/0/c/2/0</t>
  </si>
  <si>
    <t>2/25/b+/0/3.0</t>
  </si>
  <si>
    <t>1/2/b/0/0</t>
  </si>
  <si>
    <t>4/4/c/0/0</t>
  </si>
  <si>
    <t>5/33/st/0/6.0</t>
  </si>
  <si>
    <t>6/14/b/0/2.0</t>
  </si>
  <si>
    <t>7/28/no/0/4.0</t>
  </si>
  <si>
    <t>8/15/b/0/3.0</t>
  </si>
  <si>
    <t>9/12/no/0/2.0</t>
  </si>
  <si>
    <t>11/0/dnb*/0/0</t>
  </si>
  <si>
    <t>1/15/b/0/3.0</t>
  </si>
  <si>
    <t>2/43/c/0/10.0</t>
  </si>
  <si>
    <t>3/33/c+/0/6.0</t>
  </si>
  <si>
    <t>Ben</t>
  </si>
  <si>
    <t>Lindsay B</t>
  </si>
  <si>
    <t>4/11/b/0/1.0</t>
  </si>
  <si>
    <t>5/0/lb/0/0</t>
  </si>
  <si>
    <t>7/13/c/0/2.0</t>
  </si>
  <si>
    <t>8/22/no/0/2.0</t>
  </si>
  <si>
    <t>8/31/ro/0/4.1</t>
  </si>
  <si>
    <t>6/4/lb/1/1.0</t>
  </si>
  <si>
    <t>10/0/dnb*/1/0</t>
  </si>
  <si>
    <t>7/1/18/1</t>
  </si>
  <si>
    <t>7/1/18/3</t>
  </si>
  <si>
    <t>7/0/38/1</t>
  </si>
  <si>
    <t>7/0/34/0</t>
  </si>
  <si>
    <t>1/0/11/0</t>
  </si>
  <si>
    <t>1/18/lb/0/1.0</t>
  </si>
  <si>
    <t>2/21/lb+/0/4.0</t>
  </si>
  <si>
    <t>3/7/c*/0/1.0</t>
  </si>
  <si>
    <t>4/7/c/0/1.0</t>
  </si>
  <si>
    <t>8/4/no/0/0</t>
  </si>
  <si>
    <t>6/37/c/0/3.0</t>
  </si>
  <si>
    <t>4/1/17/0</t>
  </si>
  <si>
    <t>3.5/0/27/0</t>
  </si>
  <si>
    <t>7/2/26/4</t>
  </si>
  <si>
    <t>7/0/22/2</t>
  </si>
  <si>
    <t>1/0/2/0</t>
  </si>
  <si>
    <t>1/52/ro/0/5.0</t>
  </si>
  <si>
    <t>4/30/b+/0/4.0</t>
  </si>
  <si>
    <t>5/8/no/0/1.0</t>
  </si>
  <si>
    <t>6/2/no*/0/0</t>
  </si>
  <si>
    <t>7/1/28/1</t>
  </si>
  <si>
    <t>6/1/14/2</t>
  </si>
  <si>
    <t>5/1/6/2</t>
  </si>
  <si>
    <t>2/0/36/0</t>
  </si>
  <si>
    <t>5/0/10/0</t>
  </si>
  <si>
    <t>3/1/9/1</t>
  </si>
  <si>
    <t>2/86/c/3/15.0</t>
  </si>
  <si>
    <t>11/0/dnb/1/0</t>
  </si>
  <si>
    <t>3/67/c/1/8.1</t>
  </si>
  <si>
    <t>Richmond Legbreakers</t>
  </si>
  <si>
    <t>1/8/b/0/1/0</t>
  </si>
  <si>
    <t>3/0/b/0/0</t>
  </si>
  <si>
    <t>4/0/b*/0/0</t>
  </si>
  <si>
    <t>2/86/b+/0/13.2</t>
  </si>
  <si>
    <t>5/9/c/0/2.0</t>
  </si>
  <si>
    <t>6/14/lb/0/3.0</t>
  </si>
  <si>
    <t>7/0/b/0/0</t>
  </si>
  <si>
    <t>8/2/c/0/0</t>
  </si>
  <si>
    <t>Robert</t>
  </si>
  <si>
    <t>Turner</t>
  </si>
  <si>
    <t>11/0/no/0/0</t>
  </si>
  <si>
    <t>10/16/no/0/1.0</t>
  </si>
  <si>
    <t>3/0/b/1/0</t>
  </si>
  <si>
    <t>9/8/c/1/0</t>
  </si>
  <si>
    <t>6/0/55/1</t>
  </si>
  <si>
    <t>6/1/29/0</t>
  </si>
  <si>
    <t>8/2/23/4</t>
  </si>
  <si>
    <t>8/1/35/0</t>
  </si>
  <si>
    <t>7/0/21/3</t>
  </si>
  <si>
    <t>4/0/17/0</t>
  </si>
  <si>
    <t>0.5/0/2/0</t>
  </si>
  <si>
    <t>Turner R</t>
  </si>
  <si>
    <t>Norwood Exiles</t>
  </si>
  <si>
    <t>1/25/c/0/5.0</t>
  </si>
  <si>
    <t>2/14/b+/0/3.0</t>
  </si>
  <si>
    <t>3/13/no/1/3.0</t>
  </si>
  <si>
    <t>4/27/no*/1/6.0</t>
  </si>
  <si>
    <t>5/0/dnb/0/0</t>
  </si>
  <si>
    <t>Abhy</t>
  </si>
  <si>
    <t>Roy A</t>
  </si>
  <si>
    <t>7/0/dnb/0/0</t>
  </si>
  <si>
    <t>8/3/18/1</t>
  </si>
  <si>
    <t>6/1/8/2</t>
  </si>
  <si>
    <t>3/0/12/2</t>
  </si>
  <si>
    <t>5/3/5/1</t>
  </si>
  <si>
    <t>4/0/29/2</t>
  </si>
  <si>
    <t>3.3/1/5/1</t>
  </si>
  <si>
    <t>2/0/13/1</t>
  </si>
  <si>
    <t>London Leopards</t>
  </si>
  <si>
    <t>1/14/lb/1/1.0</t>
  </si>
  <si>
    <t>2/69/no+/0/11.1</t>
  </si>
  <si>
    <t>3/12/c*/2/2.0</t>
  </si>
  <si>
    <t>4/0/lb/0/0</t>
  </si>
  <si>
    <t>5/1/b/0/0</t>
  </si>
  <si>
    <t>6/6/no/1/1.0</t>
  </si>
  <si>
    <t>10/0/dnb/1/0</t>
  </si>
  <si>
    <t>Chaitanya</t>
  </si>
  <si>
    <t>"Naveed"</t>
  </si>
  <si>
    <t>6/0/23/3</t>
  </si>
  <si>
    <t>5/0/29/3</t>
  </si>
  <si>
    <t>3.4/0/20/4</t>
  </si>
  <si>
    <t>Morden</t>
  </si>
  <si>
    <t>1/8/c*/0/1.0</t>
  </si>
  <si>
    <t>2/4/c/0/0</t>
  </si>
  <si>
    <t>Anurag</t>
  </si>
  <si>
    <t>Biswas A</t>
  </si>
  <si>
    <t>4/4/b/0/1.0</t>
  </si>
  <si>
    <t>5/1/lb/1/0</t>
  </si>
  <si>
    <t>6/37/b/0/4.1</t>
  </si>
  <si>
    <t>Shaz</t>
  </si>
  <si>
    <t>Mahmood S</t>
  </si>
  <si>
    <t>7/47/c/1/6.2</t>
  </si>
  <si>
    <t>8/35/no/0/5.0</t>
  </si>
  <si>
    <t>Sanket</t>
  </si>
  <si>
    <t>Patel S</t>
  </si>
  <si>
    <t>9/9/ro/0/1.0</t>
  </si>
  <si>
    <t>10/36/no/0/7.0</t>
  </si>
  <si>
    <t>Sanket Patel</t>
  </si>
  <si>
    <t>Sanderstead</t>
  </si>
  <si>
    <t>Sundip Nair</t>
  </si>
  <si>
    <t>1/9/c/0/1.0</t>
  </si>
  <si>
    <t>Billy</t>
  </si>
  <si>
    <t>Crone W</t>
  </si>
  <si>
    <t>2/45/c/0/3.0</t>
  </si>
  <si>
    <t>3/49/b/0/7.0</t>
  </si>
  <si>
    <t>4/36/lb+/0.1/5.0</t>
  </si>
  <si>
    <t>5/3/b*/0/0</t>
  </si>
  <si>
    <t>6/1/c/0/0</t>
  </si>
  <si>
    <t>7/2/st/0/0</t>
  </si>
  <si>
    <t>8/1/no/0/0</t>
  </si>
  <si>
    <t>9/0/b/0/0</t>
  </si>
  <si>
    <t>10/1/ro/0/0</t>
  </si>
  <si>
    <t>4/0/24/0</t>
  </si>
  <si>
    <t>5/1/23/1</t>
  </si>
  <si>
    <t>7/0/19/0</t>
  </si>
  <si>
    <t>3/0/25/0</t>
  </si>
  <si>
    <t>5/0/28/1</t>
  </si>
  <si>
    <t>4/0/44/1</t>
  </si>
  <si>
    <t>8/0/36/1</t>
  </si>
  <si>
    <t>8/0/29/1</t>
  </si>
  <si>
    <t>8/2/15/2</t>
  </si>
  <si>
    <t>8/0/52/0</t>
  </si>
  <si>
    <t>4/0/26/2</t>
  </si>
  <si>
    <t>4/0/31/1</t>
  </si>
  <si>
    <t>Prash Bhatt</t>
  </si>
  <si>
    <t>Jay</t>
  </si>
  <si>
    <t>1/45/b/0/8.0</t>
  </si>
  <si>
    <t>2/9/c/0/1.0</t>
  </si>
  <si>
    <t>3/21/b/0/3.0</t>
  </si>
  <si>
    <t>4/2/b/1/0</t>
  </si>
  <si>
    <t>5/28/c*/0/5.0</t>
  </si>
  <si>
    <t>6/36/no/1/4.0</t>
  </si>
  <si>
    <t>7/20/ro/0/2.0</t>
  </si>
  <si>
    <t>Afroz</t>
  </si>
  <si>
    <t>Khan A</t>
  </si>
  <si>
    <t>8/0/lb/0/0</t>
  </si>
  <si>
    <t>9/5/no/0/0</t>
  </si>
  <si>
    <t>7/2/15/1</t>
  </si>
  <si>
    <t>7/0/33/2</t>
  </si>
  <si>
    <t>7/2/17/3</t>
  </si>
  <si>
    <t>7/0/34/2</t>
  </si>
  <si>
    <t>0.2/0/0/1</t>
  </si>
  <si>
    <t>2/0/c+/3.0/0</t>
  </si>
  <si>
    <t>3/84/c/0/14.0</t>
  </si>
  <si>
    <t>4/32/c/0/3.0</t>
  </si>
  <si>
    <t>5/3/c/0/0</t>
  </si>
  <si>
    <t>Mander C</t>
  </si>
  <si>
    <t>6/6/b/1/1.0</t>
  </si>
  <si>
    <t>7/29/no/0/6.0</t>
  </si>
  <si>
    <t>8/0/b/0/0</t>
  </si>
  <si>
    <t>Gardezi S</t>
  </si>
  <si>
    <t>6.2/2/24/1</t>
  </si>
  <si>
    <t>7/1/15/2</t>
  </si>
  <si>
    <t>8/0/35/1</t>
  </si>
  <si>
    <t>6/0/21/0</t>
  </si>
  <si>
    <t>8/0/34/2</t>
  </si>
  <si>
    <t>4/0/24/1</t>
  </si>
  <si>
    <t>0.4/0/6/0</t>
  </si>
  <si>
    <t>Syed</t>
  </si>
  <si>
    <t>Mitcham</t>
  </si>
  <si>
    <t>Kaleem Sajjid</t>
  </si>
  <si>
    <t>2/29/c/1/5.0</t>
  </si>
  <si>
    <t>3/27/st+/1.1/2.0</t>
  </si>
  <si>
    <t>4/6/c/0/2.0</t>
  </si>
  <si>
    <t>5/17/c/0/2.0</t>
  </si>
  <si>
    <t>7/3/c/0/0</t>
  </si>
  <si>
    <t>8/13/no/0/1.0</t>
  </si>
  <si>
    <t>9/5/c/0/1.0</t>
  </si>
  <si>
    <t>10/0/ro/0/0</t>
  </si>
  <si>
    <t>11/1/b/0/0</t>
  </si>
  <si>
    <t>7/0/32/3</t>
  </si>
  <si>
    <t>7/1/34/2</t>
  </si>
  <si>
    <t>3/0/24/0</t>
  </si>
  <si>
    <t>5/1/37/0</t>
  </si>
  <si>
    <t>5/0/40/0</t>
  </si>
  <si>
    <t>5/0/24/0</t>
  </si>
  <si>
    <t>1/0/20/0</t>
  </si>
  <si>
    <t>2/0/28/0</t>
  </si>
  <si>
    <t>1/15/c/0/3.0</t>
  </si>
  <si>
    <t>2/5/lb/0/1.0</t>
  </si>
  <si>
    <t>3/3/b*/0/0</t>
  </si>
  <si>
    <t>6/8/lb/0/1.0</t>
  </si>
  <si>
    <t>8/8/lb/1/2.0</t>
  </si>
  <si>
    <t>10/0/no/0/0</t>
  </si>
  <si>
    <t>1/35/ro/0/2.0</t>
  </si>
  <si>
    <t>2/19/c/0/1.1</t>
  </si>
  <si>
    <t>3/6/b*/0/1.0</t>
  </si>
  <si>
    <t>4/2/c/0/0</t>
  </si>
  <si>
    <t>5/14/c/0/2.0</t>
  </si>
  <si>
    <t>6/16/c/0/1.0</t>
  </si>
  <si>
    <t>7/13/b/0/0.0</t>
  </si>
  <si>
    <t>9/3/b/0/0</t>
  </si>
  <si>
    <t>1/36/b/1/7.0</t>
  </si>
  <si>
    <t>2/9/b/0/1.0</t>
  </si>
  <si>
    <t>3/34/b*/0/6.0</t>
  </si>
  <si>
    <t>4/2/b/0/0</t>
  </si>
  <si>
    <t>5/4/c/0/0</t>
  </si>
  <si>
    <t>6/10/b/0/1.0</t>
  </si>
  <si>
    <t>7/3/b/0/0</t>
  </si>
  <si>
    <t>8/4/lb/0/0</t>
  </si>
  <si>
    <t>8/1/25/2</t>
  </si>
  <si>
    <t>5/1/18/0</t>
  </si>
  <si>
    <t>7/0/31/1</t>
  </si>
  <si>
    <t>6/1/21/0</t>
  </si>
  <si>
    <t>1/0/16/0</t>
  </si>
  <si>
    <t>0.3/0/5/0</t>
  </si>
  <si>
    <t>1/52/st/0/7.1</t>
  </si>
  <si>
    <t>2/7/lb/0/1.0</t>
  </si>
  <si>
    <t>3/45/c/0/7.1</t>
  </si>
  <si>
    <t>4/17/b/1/3.0</t>
  </si>
  <si>
    <t>6/4/b/0/1.0</t>
  </si>
  <si>
    <t>7/19/b*/0/3.0</t>
  </si>
  <si>
    <t>10/5/no/0/1.0</t>
  </si>
  <si>
    <t>11/4/no/0/0</t>
  </si>
  <si>
    <t>11/4/no/0/1.0</t>
  </si>
  <si>
    <t>10/5/b/0/1.0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</si>
  <si>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</si>
  <si>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</si>
  <si>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</si>
  <si>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</si>
  <si>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</si>
  <si>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</si>
  <si>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</si>
  <si>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</si>
  <si>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</si>
  <si>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</si>
  <si>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</si>
  <si>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</si>
  <si>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</si>
  <si>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</si>
  <si>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</si>
  <si>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</si>
  <si>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</si>
  <si>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</si>
  <si>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</si>
  <si>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</si>
  <si>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</si>
  <si>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x</t>
  </si>
  <si>
    <t>50*</t>
  </si>
  <si>
    <t>69*</t>
  </si>
  <si>
    <t>114*</t>
  </si>
  <si>
    <t xml:space="preserve">Roy A 3-0-12-2, </t>
  </si>
  <si>
    <t xml:space="preserve">Khan A 13.2-4-41-4, </t>
  </si>
  <si>
    <t xml:space="preserve">Parboo R 8-1-25-2, </t>
  </si>
  <si>
    <t xml:space="preserve">Seymour D 2-0-13-1, </t>
  </si>
  <si>
    <t xml:space="preserve">Kogulathasan D 39.3-3-153-9, </t>
  </si>
  <si>
    <t xml:space="preserve">Viveganandan M 3-0-18-1, </t>
  </si>
  <si>
    <t xml:space="preserve">Rugg D 34-3-150-8, </t>
  </si>
  <si>
    <t xml:space="preserve">Middleton J 8-0-41-2, </t>
  </si>
  <si>
    <t xml:space="preserve">Sajjid K 53-11-210-9, </t>
  </si>
  <si>
    <t xml:space="preserve">Ahmed M 35-1-151-6, </t>
  </si>
  <si>
    <t xml:space="preserve">Patel J 12.4-1-51-2, </t>
  </si>
  <si>
    <t xml:space="preserve">Mander A 65-5-208-8, </t>
  </si>
  <si>
    <t xml:space="preserve">Patel M 10-0-90-3, </t>
  </si>
  <si>
    <t xml:space="preserve">Springer T 28.5-3-158-5, </t>
  </si>
  <si>
    <t xml:space="preserve">De S 55-5-235-7, </t>
  </si>
  <si>
    <t xml:space="preserve">Gardezi S 0.4-0-6-0, </t>
  </si>
  <si>
    <t xml:space="preserve">Sharpe D 2-0-28-0, </t>
  </si>
  <si>
    <t xml:space="preserve">Smith C 2-0-36-0, </t>
  </si>
  <si>
    <t xml:space="preserve">Umar S 2-0-16-0, </t>
  </si>
  <si>
    <t xml:space="preserve">Jain A 2.3-0-24-0, </t>
  </si>
  <si>
    <t xml:space="preserve">Lestrelle A 3-0-36-0, </t>
  </si>
  <si>
    <t xml:space="preserve">Brocks D 4-0-30-0, </t>
  </si>
  <si>
    <t xml:space="preserve">Patel S 8-0-52-0, </t>
  </si>
  <si>
    <t>1 (1)</t>
  </si>
  <si>
    <t>4 (3)</t>
  </si>
  <si>
    <t>5/0/18/0</t>
  </si>
  <si>
    <t>6/0/36/0</t>
  </si>
  <si>
    <t>2/0/12/0</t>
  </si>
  <si>
    <t>3/0/9/2</t>
  </si>
  <si>
    <t>7/1/32/2</t>
  </si>
  <si>
    <t>7/1/24/2</t>
  </si>
  <si>
    <t>4/0/23/1</t>
  </si>
  <si>
    <t>1/0/7/0</t>
  </si>
  <si>
    <t>8/2/17/2</t>
  </si>
  <si>
    <t>8/0/44/0</t>
  </si>
  <si>
    <t>8/2/27/4</t>
  </si>
  <si>
    <t>8/1/27/0</t>
  </si>
  <si>
    <t>4/0/25/0</t>
  </si>
  <si>
    <t>Croydon Royals</t>
  </si>
  <si>
    <t>Richmond Leg Breakers</t>
  </si>
  <si>
    <t>Catford Cyphers</t>
  </si>
  <si>
    <t>Croydon CC</t>
  </si>
  <si>
    <t>Verdayne green</t>
  </si>
  <si>
    <t>S Nair 3-22</t>
  </si>
  <si>
    <t>S Singh 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</si>
</sst>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sz val="9"/>
      <color rgb="FF9C0006"/>
      <name val="Times New Roman"/>
      <family val="2"/>
      <scheme val="minor"/>
    </font>
    <font>
      <i/>
      <sz val="8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  <xf numFmtId="0" fontId="27" fillId="13" borderId="0" applyNumberFormat="0" applyBorder="0" applyAlignment="0" applyProtection="0"/>
  </cellStyleXfs>
  <cellXfs count="19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3" xfId="0" applyFont="1" applyBorder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164" fontId="7" fillId="0" borderId="3" xfId="0" applyNumberFormat="1" applyFont="1" applyBorder="1">
      <alignment vertical="top"/>
    </xf>
    <xf numFmtId="0" fontId="8" fillId="0" borderId="2" xfId="0" applyFont="1" applyBorder="1">
      <alignment vertical="top"/>
    </xf>
    <xf numFmtId="0" fontId="7" fillId="0" borderId="0" xfId="0" applyFont="1">
      <alignment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2" fontId="10" fillId="0" borderId="0" xfId="0" applyNumberFormat="1" applyFont="1">
      <alignment vertical="top"/>
    </xf>
    <xf numFmtId="0" fontId="13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Border="1" applyAlignment="1">
      <alignment vertical="top" wrapText="1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Alignment="1">
      <alignment horizontal="left" vertical="top"/>
    </xf>
    <xf numFmtId="0" fontId="24" fillId="0" borderId="0" xfId="0" applyFont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Font="1">
      <alignment vertical="top"/>
    </xf>
    <xf numFmtId="166" fontId="25" fillId="0" borderId="0" xfId="0" applyNumberFormat="1" applyFont="1">
      <alignment vertical="top"/>
    </xf>
    <xf numFmtId="0" fontId="25" fillId="0" borderId="0" xfId="0" applyFont="1" applyAlignment="1">
      <alignment horizontal="left" vertical="top"/>
    </xf>
    <xf numFmtId="0" fontId="25" fillId="0" borderId="0" xfId="0" applyFont="1" applyAlignment="1">
      <alignment horizontal="center" vertical="top"/>
    </xf>
    <xf numFmtId="2" fontId="24" fillId="0" borderId="0" xfId="0" applyNumberFormat="1" applyFont="1" applyAlignment="1">
      <alignment horizontal="center" vertical="top"/>
    </xf>
    <xf numFmtId="2" fontId="25" fillId="0" borderId="0" xfId="0" applyNumberFormat="1" applyFont="1" applyAlignment="1">
      <alignment horizontal="center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16" fontId="25" fillId="0" borderId="0" xfId="0" applyNumberFormat="1" applyFont="1" applyAlignment="1">
      <alignment horizontal="center" vertical="top"/>
    </xf>
    <xf numFmtId="0" fontId="25" fillId="0" borderId="0" xfId="0" applyFont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27" fillId="13" borderId="0" xfId="4" applyAlignment="1"/>
    <xf numFmtId="16" fontId="0" fillId="0" borderId="0" xfId="0" applyNumberFormat="1">
      <alignment vertical="top"/>
    </xf>
    <xf numFmtId="165" fontId="28" fillId="12" borderId="2" xfId="0" applyNumberFormat="1" applyFont="1" applyFill="1" applyBorder="1" applyAlignment="1">
      <alignment vertical="top" wrapText="1"/>
    </xf>
    <xf numFmtId="0" fontId="28" fillId="12" borderId="2" xfId="0" applyFont="1" applyFill="1" applyBorder="1">
      <alignment vertical="top"/>
    </xf>
    <xf numFmtId="0" fontId="23" fillId="9" borderId="0" xfId="0" applyFont="1" applyFill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top"/>
    </xf>
    <xf numFmtId="0" fontId="10" fillId="18" borderId="0" xfId="0" applyFont="1" applyFill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5" borderId="0" xfId="0" applyFill="1" applyAlignment="1">
      <alignment horizontal="center" vertical="top"/>
    </xf>
    <xf numFmtId="0" fontId="0" fillId="14" borderId="0" xfId="0" applyFill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17" borderId="0" xfId="0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24" fillId="9" borderId="0" xfId="0" applyFont="1" applyFill="1" applyAlignment="1">
      <alignment horizontal="center" vertical="top"/>
    </xf>
  </cellXfs>
  <cellStyles count="5">
    <cellStyle name="Bad" xfId="4" builtinId="27"/>
    <cellStyle name="Calculation" xfId="2" builtinId="22"/>
    <cellStyle name="Normal" xfId="0" builtinId="0"/>
    <cellStyle name="Note" xfId="3" builtinId="10"/>
    <cellStyle name="Percent" xfId="1" builtinId="5"/>
  </cellStyles>
  <dxfs count="17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T$1:$AD$26" spid="_x0000_s132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1:$AJ$9" spid="_x0000_s1320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L$1:$AM$27" spid="_x0000_s1320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F$1:$AG$21" spid="_x0000_s1321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R$1:$AS$5" spid="_x0000_s1321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U$1:$AZ$16" spid="_x0000_s1321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Woodhouse" refreshedDate="45254.434310879631" createdVersion="5" refreshedVersion="5" minRefreshableVersion="3" recordCount="17" xr:uid="{00000000-000A-0000-FFFF-FFFF06000000}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5">
        <s v="W"/>
        <s v="D"/>
        <s v="ND"/>
        <s v="L"/>
        <n v="0" u="1"/>
      </sharedItems>
    </cacheField>
    <cacheField name="Capt" numFmtId="0">
      <sharedItems count="8">
        <s v="Springer T"/>
        <s v="Seymour C"/>
        <s v="Nair S"/>
        <s v="Bhatt P"/>
        <e v="#N/A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0"/>
    <x v="0"/>
  </r>
  <r>
    <x v="0"/>
    <x v="0"/>
  </r>
  <r>
    <x v="2"/>
    <x v="1"/>
  </r>
  <r>
    <x v="0"/>
    <x v="2"/>
  </r>
  <r>
    <x v="3"/>
    <x v="3"/>
  </r>
  <r>
    <x v="0"/>
    <x v="0"/>
  </r>
  <r>
    <x v="3"/>
    <x v="0"/>
  </r>
  <r>
    <x v="0"/>
    <x v="0"/>
  </r>
  <r>
    <x v="0"/>
    <x v="0"/>
  </r>
  <r>
    <x v="0"/>
    <x v="1"/>
  </r>
  <r>
    <x v="3"/>
    <x v="0"/>
  </r>
  <r>
    <x v="0"/>
    <x v="0"/>
  </r>
  <r>
    <x v="0"/>
    <x v="4"/>
  </r>
  <r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I16" firstHeaderRow="1" firstDataRow="2" firstDataCol="1"/>
  <pivotFields count="2">
    <pivotField axis="axisCol" dataField="1" showAll="0">
      <items count="6">
        <item m="1" x="4"/>
        <item x="0"/>
        <item x="1"/>
        <item x="2"/>
        <item x="3"/>
        <item t="default"/>
      </items>
    </pivotField>
    <pivotField axis="axisRow" showAll="0">
      <items count="9">
        <item m="1" x="5"/>
        <item m="1" x="7"/>
        <item x="0"/>
        <item x="4"/>
        <item m="1" x="6"/>
        <item x="1"/>
        <item x="2"/>
        <item x="3"/>
        <item t="default"/>
      </items>
    </pivotField>
  </pivotFields>
  <rowFields count="1">
    <field x="1"/>
  </rowFields>
  <rowItems count="6">
    <i>
      <x v="2"/>
    </i>
    <i>
      <x v="3"/>
    </i>
    <i>
      <x v="5"/>
    </i>
    <i>
      <x v="6"/>
    </i>
    <i>
      <x v="7"/>
    </i>
    <i t="grand">
      <x/>
    </i>
  </rowItems>
  <colFields count="1">
    <field x="0"/>
  </colFields>
  <colItems count="5">
    <i>
      <x v="1"/>
    </i>
    <i>
      <x v="2"/>
    </i>
    <i>
      <x v="3"/>
    </i>
    <i>
      <x v="4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58"/>
  <sheetViews>
    <sheetView tabSelected="1" topLeftCell="A3" workbookViewId="0">
      <selection activeCell="T5" sqref="T5"/>
    </sheetView>
  </sheetViews>
  <sheetFormatPr defaultRowHeight="11.25" x14ac:dyDescent="0.15"/>
  <cols>
    <col min="1" max="1" width="7" style="23" bestFit="1" customWidth="1"/>
    <col min="2" max="2" width="11.7109375" style="26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85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3" bestFit="1" customWidth="1"/>
    <col min="18" max="24" width="5.7109375" style="23" customWidth="1"/>
    <col min="25" max="26" width="6" style="23" customWidth="1"/>
    <col min="27" max="30" width="9.140625" style="23"/>
    <col min="31" max="31" width="14.7109375" style="23" bestFit="1" customWidth="1"/>
    <col min="32" max="16384" width="9.140625" style="23"/>
  </cols>
  <sheetData>
    <row r="1" spans="1:34" s="22" customFormat="1" ht="12.75" customHeight="1" x14ac:dyDescent="0.15">
      <c r="A1" s="188">
        <v>2023</v>
      </c>
      <c r="B1" s="188"/>
      <c r="C1" s="35" t="str">
        <f t="array" ref="C1">"Won :"&amp;SUM(IF($E$5:$E$40="W",1,0))</f>
        <v>Won :7</v>
      </c>
      <c r="D1" s="35" t="str">
        <f t="array" ref="D1">"Lost: "&amp;SUM(IF($E$5:$E$40="L",1,0))</f>
        <v>Lost: 8</v>
      </c>
      <c r="E1" s="35" t="str">
        <f t="array" ref="E1">"Drawn: "&amp;SUM(IF($E$5:$E$40="D",1,0))</f>
        <v>Drawn: 0</v>
      </c>
      <c r="F1" s="54" t="str">
        <f t="array" ref="F1">"Tied: "&amp;SUM(IF($E$5:$E$40="T",1,0))</f>
        <v>Tied: 0</v>
      </c>
      <c r="G1" s="90" t="str">
        <f t="array" ref="G1">"N/D: "&amp;SUM(IF($E$5:$E$40="ND",1,0))</f>
        <v>N/D: 2</v>
      </c>
      <c r="H1" s="53"/>
      <c r="J1" s="86"/>
      <c r="K1" s="27"/>
      <c r="L1" s="28"/>
      <c r="M1" s="28"/>
      <c r="N1" s="29"/>
      <c r="O1" s="29"/>
      <c r="P1" s="29"/>
      <c r="Q1" s="27"/>
      <c r="R1" s="27"/>
      <c r="S1" s="27"/>
      <c r="T1" s="27"/>
      <c r="U1" s="27"/>
      <c r="V1" s="27"/>
      <c r="W1" s="27"/>
      <c r="X1" s="27"/>
    </row>
    <row r="2" spans="1:34" s="5" customFormat="1" x14ac:dyDescent="0.15">
      <c r="A2" s="188"/>
      <c r="B2" s="188"/>
      <c r="E2" s="37"/>
      <c r="F2" s="37"/>
      <c r="H2" s="54"/>
      <c r="J2" s="87"/>
      <c r="K2" s="36"/>
      <c r="L2" s="37"/>
      <c r="M2" s="37"/>
      <c r="N2" s="38" t="s">
        <v>190</v>
      </c>
      <c r="O2" s="38"/>
      <c r="P2" s="38"/>
      <c r="Q2" s="36"/>
      <c r="R2" s="36"/>
      <c r="S2" s="36"/>
      <c r="T2" s="36"/>
      <c r="U2" s="36"/>
      <c r="V2" s="36"/>
      <c r="W2" s="36"/>
      <c r="X2" s="36"/>
      <c r="Z2" s="5" t="s">
        <v>181</v>
      </c>
      <c r="AA2" s="5" t="e">
        <f>MAX(AA5:AA32)</f>
        <v>#N/A</v>
      </c>
      <c r="AB2" s="5" t="e">
        <f>MAX(AB5:AB32)</f>
        <v>#N/A</v>
      </c>
    </row>
    <row r="3" spans="1:34" s="5" customFormat="1" ht="12" thickBot="1" x14ac:dyDescent="0.2">
      <c r="A3" s="189"/>
      <c r="B3" s="189"/>
      <c r="D3" s="37"/>
      <c r="E3" s="37"/>
      <c r="F3" s="37"/>
      <c r="G3" s="36"/>
      <c r="H3" s="37"/>
      <c r="I3" s="36"/>
      <c r="J3" s="83"/>
      <c r="K3" s="36"/>
      <c r="L3" s="37"/>
      <c r="M3" s="37"/>
      <c r="N3" s="38" t="s">
        <v>191</v>
      </c>
      <c r="O3" s="143">
        <f>MAX(O5:O23)</f>
        <v>27.4</v>
      </c>
      <c r="P3" s="143">
        <f>MAX(P5:P23)</f>
        <v>40</v>
      </c>
      <c r="Q3" s="36"/>
      <c r="R3" s="36"/>
      <c r="S3" s="36"/>
      <c r="T3" s="36"/>
      <c r="U3" s="36"/>
      <c r="V3" s="36"/>
      <c r="W3" s="36"/>
      <c r="X3" s="36"/>
      <c r="Z3" s="5" t="s">
        <v>182</v>
      </c>
      <c r="AA3" s="5" t="e">
        <f t="array" ref="AA3">MIN(IF(AA5:AA32=0,99999,AA5:AA32))</f>
        <v>#N/A</v>
      </c>
      <c r="AB3" s="5" t="e">
        <f t="array" ref="AB3">MIN(IF(AB5:AB32&lt;=0,99999,AB5:AB32))</f>
        <v>#N/A</v>
      </c>
      <c r="AF3" s="5">
        <f>SUM(AF5:AF32)</f>
        <v>10</v>
      </c>
      <c r="AG3" s="5">
        <f>SUM(AG5:AG32)</f>
        <v>3</v>
      </c>
    </row>
    <row r="4" spans="1:34" s="123" customFormat="1" ht="31.5" x14ac:dyDescent="0.15">
      <c r="A4" s="117" t="s">
        <v>118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141</v>
      </c>
      <c r="G4" s="119" t="s">
        <v>9</v>
      </c>
      <c r="H4" s="117" t="s">
        <v>32</v>
      </c>
      <c r="I4" s="117" t="s">
        <v>99</v>
      </c>
      <c r="J4" s="120"/>
      <c r="K4" s="119" t="s">
        <v>9</v>
      </c>
      <c r="L4" s="117" t="s">
        <v>32</v>
      </c>
      <c r="M4" s="117" t="s">
        <v>99</v>
      </c>
      <c r="N4" s="119"/>
      <c r="O4" s="119" t="s">
        <v>162</v>
      </c>
      <c r="P4" s="119" t="s">
        <v>163</v>
      </c>
      <c r="Q4" s="119" t="s">
        <v>100</v>
      </c>
      <c r="R4" s="121" t="s">
        <v>101</v>
      </c>
      <c r="S4" s="121" t="s">
        <v>102</v>
      </c>
      <c r="T4" s="121" t="s">
        <v>103</v>
      </c>
      <c r="U4" s="121" t="s">
        <v>104</v>
      </c>
      <c r="V4" s="121" t="s">
        <v>105</v>
      </c>
      <c r="W4" s="121" t="s">
        <v>106</v>
      </c>
      <c r="X4" s="121" t="s">
        <v>107</v>
      </c>
      <c r="Y4" s="121" t="s">
        <v>108</v>
      </c>
      <c r="Z4" s="121" t="s">
        <v>109</v>
      </c>
      <c r="AA4" s="122" t="s">
        <v>175</v>
      </c>
      <c r="AB4" s="122" t="s">
        <v>176</v>
      </c>
      <c r="AC4" s="122" t="s">
        <v>177</v>
      </c>
      <c r="AD4" s="122" t="s">
        <v>178</v>
      </c>
      <c r="AE4" s="123" t="s">
        <v>197</v>
      </c>
      <c r="AF4" s="123" t="s">
        <v>207</v>
      </c>
      <c r="AG4" s="123" t="s">
        <v>208</v>
      </c>
    </row>
    <row r="5" spans="1:34" s="22" customFormat="1" x14ac:dyDescent="0.15">
      <c r="A5" s="98" t="str">
        <f t="shared" ref="A5:A32" si="0">TEXT(WEEKDAY(B5),"ddd")</f>
        <v>Sun</v>
      </c>
      <c r="B5" s="99">
        <v>45053</v>
      </c>
      <c r="C5" s="100" t="s">
        <v>291</v>
      </c>
      <c r="D5" s="101" t="s">
        <v>292</v>
      </c>
      <c r="E5" s="101" t="s">
        <v>199</v>
      </c>
      <c r="F5" s="101" t="s">
        <v>1</v>
      </c>
      <c r="G5" s="102">
        <v>202</v>
      </c>
      <c r="H5" s="101">
        <v>8</v>
      </c>
      <c r="I5" s="101"/>
      <c r="J5" s="103" t="s">
        <v>754</v>
      </c>
      <c r="K5" s="102">
        <v>88</v>
      </c>
      <c r="L5" s="101">
        <v>10</v>
      </c>
      <c r="M5" s="101"/>
      <c r="N5" s="100" t="s">
        <v>755</v>
      </c>
      <c r="O5" s="104">
        <v>27.4</v>
      </c>
      <c r="P5" s="173">
        <v>40</v>
      </c>
      <c r="Q5" s="174">
        <v>14</v>
      </c>
      <c r="R5" s="174">
        <v>1</v>
      </c>
      <c r="S5" s="174">
        <v>6</v>
      </c>
      <c r="T5" s="174">
        <v>5</v>
      </c>
      <c r="U5" s="102">
        <v>1</v>
      </c>
      <c r="V5" s="102"/>
      <c r="W5" s="102">
        <v>9</v>
      </c>
      <c r="X5" s="102">
        <v>1</v>
      </c>
      <c r="Y5" s="102">
        <f>SUM(Q5:T5)</f>
        <v>26</v>
      </c>
      <c r="Z5" s="102">
        <f>SUM(U5:X5)</f>
        <v>11</v>
      </c>
      <c r="AA5" s="102">
        <f t="shared" ref="AA5:AA19" si="1">IF(F5="TOCC",G5,K5)</f>
        <v>88</v>
      </c>
      <c r="AB5" s="102">
        <f t="shared" ref="AB5:AB19" si="2">IF(F5&lt;&gt;"TOCC",G5,K5)</f>
        <v>202</v>
      </c>
      <c r="AC5" s="127">
        <f t="shared" ref="AC5:AC19" si="3">IF(F5="TOCC",H5,L5)</f>
        <v>10</v>
      </c>
      <c r="AD5" s="102">
        <f t="shared" ref="AD5:AD19" si="4">IF(F5&lt;&gt;"TOCC",H5,L5)</f>
        <v>8</v>
      </c>
      <c r="AE5" s="145"/>
      <c r="AF5" s="22">
        <v>0</v>
      </c>
      <c r="AG5" s="22">
        <v>0</v>
      </c>
    </row>
    <row r="6" spans="1:34" x14ac:dyDescent="0.15">
      <c r="A6" s="98" t="str">
        <f t="shared" si="0"/>
        <v>Sun</v>
      </c>
      <c r="B6" s="124">
        <v>45060</v>
      </c>
      <c r="C6" s="125" t="s">
        <v>290</v>
      </c>
      <c r="D6" s="126" t="s">
        <v>293</v>
      </c>
      <c r="E6" s="126" t="s">
        <v>199</v>
      </c>
      <c r="F6" s="126" t="s">
        <v>198</v>
      </c>
      <c r="G6" s="127"/>
      <c r="H6" s="126"/>
      <c r="I6" s="126"/>
      <c r="J6" s="128"/>
      <c r="K6" s="127"/>
      <c r="L6" s="126"/>
      <c r="M6" s="126"/>
      <c r="N6" s="125"/>
      <c r="O6" s="129"/>
      <c r="P6" s="175"/>
      <c r="Q6" s="176"/>
      <c r="R6" s="176"/>
      <c r="S6" s="176"/>
      <c r="T6" s="176"/>
      <c r="U6" s="127"/>
      <c r="V6" s="127"/>
      <c r="W6" s="127"/>
      <c r="X6" s="127"/>
      <c r="Y6" s="102">
        <f t="shared" ref="Y6:Y26" si="5">SUM(Q6:T6)</f>
        <v>0</v>
      </c>
      <c r="Z6" s="102">
        <f t="shared" ref="Z6:Z26" si="6">SUM(U6:X6)</f>
        <v>0</v>
      </c>
      <c r="AA6" s="127">
        <f t="shared" si="1"/>
        <v>0</v>
      </c>
      <c r="AB6" s="127">
        <f t="shared" si="2"/>
        <v>0</v>
      </c>
      <c r="AC6" s="127">
        <f t="shared" si="3"/>
        <v>0</v>
      </c>
      <c r="AD6" s="127">
        <f t="shared" si="4"/>
        <v>0</v>
      </c>
      <c r="AE6" s="145"/>
      <c r="AF6" s="23">
        <v>2</v>
      </c>
      <c r="AG6" s="23">
        <v>1</v>
      </c>
      <c r="AH6" s="23" t="s">
        <v>446</v>
      </c>
    </row>
    <row r="7" spans="1:34" x14ac:dyDescent="0.15">
      <c r="A7" s="98" t="str">
        <f t="shared" si="0"/>
        <v>Sun</v>
      </c>
      <c r="B7" s="124">
        <v>45067</v>
      </c>
      <c r="C7" s="125" t="s">
        <v>382</v>
      </c>
      <c r="D7" s="126" t="s">
        <v>292</v>
      </c>
      <c r="E7" s="126" t="s">
        <v>200</v>
      </c>
      <c r="F7" s="126"/>
      <c r="G7" s="127"/>
      <c r="H7" s="126"/>
      <c r="I7" s="126"/>
      <c r="J7" s="128"/>
      <c r="K7" s="127"/>
      <c r="L7" s="126"/>
      <c r="M7" s="126"/>
      <c r="N7" s="125"/>
      <c r="O7" s="129"/>
      <c r="P7" s="175"/>
      <c r="Q7" s="176"/>
      <c r="R7" s="176"/>
      <c r="S7" s="176"/>
      <c r="T7" s="176"/>
      <c r="U7" s="127"/>
      <c r="V7" s="127"/>
      <c r="W7" s="127"/>
      <c r="X7" s="127"/>
      <c r="Y7" s="102">
        <f>SUM(Q7:X7)</f>
        <v>0</v>
      </c>
      <c r="Z7" s="102">
        <f t="shared" si="6"/>
        <v>0</v>
      </c>
      <c r="AA7" s="127">
        <f t="shared" si="1"/>
        <v>0</v>
      </c>
      <c r="AB7" s="127">
        <f t="shared" si="2"/>
        <v>0</v>
      </c>
      <c r="AC7" s="127">
        <f t="shared" si="3"/>
        <v>0</v>
      </c>
      <c r="AD7" s="127">
        <f t="shared" si="4"/>
        <v>0</v>
      </c>
      <c r="AE7" s="145"/>
      <c r="AF7" s="23">
        <v>0</v>
      </c>
      <c r="AG7" s="23">
        <v>0</v>
      </c>
    </row>
    <row r="8" spans="1:34" x14ac:dyDescent="0.15">
      <c r="A8" s="98" t="str">
        <f t="shared" si="0"/>
        <v>Sat</v>
      </c>
      <c r="B8" s="124">
        <v>45073</v>
      </c>
      <c r="C8" s="125" t="s">
        <v>270</v>
      </c>
      <c r="D8" s="126" t="s">
        <v>293</v>
      </c>
      <c r="E8" s="126" t="s">
        <v>200</v>
      </c>
      <c r="F8" s="126"/>
      <c r="G8" s="127"/>
      <c r="H8" s="126"/>
      <c r="I8" s="126"/>
      <c r="J8" s="128"/>
      <c r="K8" s="127"/>
      <c r="L8" s="126"/>
      <c r="M8" s="126"/>
      <c r="N8" s="125"/>
      <c r="O8" s="129"/>
      <c r="P8" s="175"/>
      <c r="Q8" s="176"/>
      <c r="R8" s="176"/>
      <c r="S8" s="176"/>
      <c r="T8" s="176"/>
      <c r="U8" s="127"/>
      <c r="V8" s="127"/>
      <c r="W8" s="127"/>
      <c r="X8" s="127"/>
      <c r="Y8" s="102">
        <f t="shared" si="5"/>
        <v>0</v>
      </c>
      <c r="Z8" s="102">
        <f t="shared" si="6"/>
        <v>0</v>
      </c>
      <c r="AA8" s="127">
        <f t="shared" si="1"/>
        <v>0</v>
      </c>
      <c r="AB8" s="127">
        <f t="shared" si="2"/>
        <v>0</v>
      </c>
      <c r="AC8" s="127">
        <f t="shared" si="3"/>
        <v>0</v>
      </c>
      <c r="AD8" s="127">
        <f t="shared" si="4"/>
        <v>0</v>
      </c>
      <c r="AE8" s="145"/>
      <c r="AF8" s="23">
        <v>1</v>
      </c>
      <c r="AG8" s="23">
        <v>0</v>
      </c>
      <c r="AH8" s="23" t="s">
        <v>196</v>
      </c>
    </row>
    <row r="9" spans="1:34" x14ac:dyDescent="0.15">
      <c r="A9" s="98" t="str">
        <f t="shared" si="0"/>
        <v>Sun</v>
      </c>
      <c r="B9" s="124">
        <v>45074</v>
      </c>
      <c r="C9" s="125" t="s">
        <v>219</v>
      </c>
      <c r="D9" s="126" t="s">
        <v>293</v>
      </c>
      <c r="E9" s="126" t="s">
        <v>200</v>
      </c>
      <c r="F9" s="126"/>
      <c r="G9" s="127"/>
      <c r="H9" s="126"/>
      <c r="I9" s="126"/>
      <c r="J9" s="128"/>
      <c r="K9" s="127"/>
      <c r="L9" s="126"/>
      <c r="M9" s="126"/>
      <c r="N9" s="125"/>
      <c r="O9" s="129"/>
      <c r="P9" s="175"/>
      <c r="Q9" s="176"/>
      <c r="R9" s="176"/>
      <c r="S9" s="176"/>
      <c r="T9" s="176"/>
      <c r="U9" s="127"/>
      <c r="V9" s="127"/>
      <c r="W9" s="127"/>
      <c r="X9" s="127"/>
      <c r="Y9" s="102">
        <f t="shared" si="5"/>
        <v>0</v>
      </c>
      <c r="Z9" s="102">
        <f t="shared" si="6"/>
        <v>0</v>
      </c>
      <c r="AA9" s="127">
        <f t="shared" si="1"/>
        <v>0</v>
      </c>
      <c r="AB9" s="127">
        <f t="shared" si="2"/>
        <v>0</v>
      </c>
      <c r="AC9" s="127">
        <f t="shared" si="3"/>
        <v>0</v>
      </c>
      <c r="AD9" s="127">
        <f t="shared" si="4"/>
        <v>0</v>
      </c>
      <c r="AE9" s="145"/>
      <c r="AF9" s="23">
        <v>0</v>
      </c>
      <c r="AG9" s="23">
        <v>0</v>
      </c>
    </row>
    <row r="10" spans="1:34" x14ac:dyDescent="0.15">
      <c r="A10" s="98" t="str">
        <f t="shared" si="0"/>
        <v>Mon</v>
      </c>
      <c r="B10" s="124">
        <v>45075</v>
      </c>
      <c r="C10" s="125" t="s">
        <v>238</v>
      </c>
      <c r="D10" s="126" t="s">
        <v>293</v>
      </c>
      <c r="E10" s="126" t="s">
        <v>200</v>
      </c>
      <c r="F10" s="126"/>
      <c r="G10" s="127"/>
      <c r="H10" s="126"/>
      <c r="I10" s="126"/>
      <c r="J10" s="128"/>
      <c r="K10" s="127"/>
      <c r="L10" s="126"/>
      <c r="M10" s="126"/>
      <c r="N10" s="125"/>
      <c r="O10" s="129"/>
      <c r="P10" s="175"/>
      <c r="Q10" s="176"/>
      <c r="R10" s="176"/>
      <c r="S10" s="176"/>
      <c r="T10" s="176"/>
      <c r="U10" s="127"/>
      <c r="V10" s="127"/>
      <c r="W10" s="127"/>
      <c r="X10" s="127"/>
      <c r="Y10" s="102">
        <f t="shared" si="5"/>
        <v>0</v>
      </c>
      <c r="Z10" s="102">
        <f t="shared" si="6"/>
        <v>0</v>
      </c>
      <c r="AA10" s="127">
        <f t="shared" si="1"/>
        <v>0</v>
      </c>
      <c r="AB10" s="127">
        <f t="shared" si="2"/>
        <v>0</v>
      </c>
      <c r="AC10" s="127">
        <f t="shared" si="3"/>
        <v>0</v>
      </c>
      <c r="AD10" s="127">
        <f t="shared" si="4"/>
        <v>0</v>
      </c>
      <c r="AE10" s="145"/>
      <c r="AF10" s="23">
        <v>0</v>
      </c>
      <c r="AG10" s="23">
        <v>0</v>
      </c>
    </row>
    <row r="11" spans="1:34" x14ac:dyDescent="0.15">
      <c r="A11" s="98" t="str">
        <f t="shared" si="0"/>
        <v>Sun</v>
      </c>
      <c r="B11" s="124">
        <v>45081</v>
      </c>
      <c r="C11" s="125" t="s">
        <v>382</v>
      </c>
      <c r="D11" s="126" t="s">
        <v>293</v>
      </c>
      <c r="E11" s="126" t="s">
        <v>200</v>
      </c>
      <c r="F11" s="126"/>
      <c r="G11" s="127"/>
      <c r="H11" s="126"/>
      <c r="I11" s="126"/>
      <c r="J11" s="128"/>
      <c r="K11" s="127"/>
      <c r="L11" s="126"/>
      <c r="M11" s="126"/>
      <c r="N11" s="125"/>
      <c r="O11" s="129"/>
      <c r="P11" s="175"/>
      <c r="Q11" s="176"/>
      <c r="R11" s="176"/>
      <c r="S11" s="176"/>
      <c r="T11" s="176"/>
      <c r="U11" s="127"/>
      <c r="V11" s="127"/>
      <c r="W11" s="127"/>
      <c r="X11" s="127"/>
      <c r="Y11" s="102">
        <f t="shared" si="5"/>
        <v>0</v>
      </c>
      <c r="Z11" s="102">
        <f t="shared" si="6"/>
        <v>0</v>
      </c>
      <c r="AA11" s="127">
        <f t="shared" si="1"/>
        <v>0</v>
      </c>
      <c r="AB11" s="127">
        <f t="shared" si="2"/>
        <v>0</v>
      </c>
      <c r="AC11" s="127">
        <f t="shared" si="3"/>
        <v>0</v>
      </c>
      <c r="AD11" s="127">
        <f t="shared" si="4"/>
        <v>0</v>
      </c>
      <c r="AE11" s="145"/>
      <c r="AF11" s="23">
        <v>1</v>
      </c>
      <c r="AG11" s="23">
        <v>0</v>
      </c>
      <c r="AH11" s="23" t="s">
        <v>446</v>
      </c>
    </row>
    <row r="12" spans="1:34" x14ac:dyDescent="0.15">
      <c r="A12" s="98" t="str">
        <f t="shared" si="0"/>
        <v>Sun</v>
      </c>
      <c r="B12" s="124">
        <v>45088</v>
      </c>
      <c r="C12" s="125" t="s">
        <v>749</v>
      </c>
      <c r="D12" s="126" t="s">
        <v>293</v>
      </c>
      <c r="E12" s="126" t="s">
        <v>199</v>
      </c>
      <c r="F12" s="126"/>
      <c r="G12" s="127"/>
      <c r="H12" s="126"/>
      <c r="I12" s="126"/>
      <c r="J12" s="128"/>
      <c r="K12" s="127"/>
      <c r="L12" s="126"/>
      <c r="M12" s="126"/>
      <c r="N12" s="128"/>
      <c r="O12" s="129"/>
      <c r="P12" s="175"/>
      <c r="Q12" s="176"/>
      <c r="R12" s="176"/>
      <c r="S12" s="176"/>
      <c r="T12" s="176"/>
      <c r="U12" s="127"/>
      <c r="V12" s="127"/>
      <c r="W12" s="127"/>
      <c r="X12" s="127"/>
      <c r="Y12" s="102">
        <f t="shared" si="5"/>
        <v>0</v>
      </c>
      <c r="Z12" s="102">
        <f t="shared" si="6"/>
        <v>0</v>
      </c>
      <c r="AA12" s="127">
        <f t="shared" si="1"/>
        <v>0</v>
      </c>
      <c r="AB12" s="127">
        <f t="shared" si="2"/>
        <v>0</v>
      </c>
      <c r="AC12" s="127">
        <f t="shared" si="3"/>
        <v>0</v>
      </c>
      <c r="AD12" s="127">
        <f t="shared" si="4"/>
        <v>0</v>
      </c>
      <c r="AE12" s="145"/>
      <c r="AF12" s="23">
        <v>0</v>
      </c>
      <c r="AG12" s="23">
        <v>0</v>
      </c>
    </row>
    <row r="13" spans="1:34" x14ac:dyDescent="0.15">
      <c r="A13" s="98" t="str">
        <f t="shared" si="0"/>
        <v>Sun</v>
      </c>
      <c r="B13" s="124">
        <v>45095</v>
      </c>
      <c r="C13" s="125" t="s">
        <v>750</v>
      </c>
      <c r="D13" s="126" t="s">
        <v>292</v>
      </c>
      <c r="E13" s="126" t="s">
        <v>308</v>
      </c>
      <c r="F13" s="126"/>
      <c r="G13" s="127"/>
      <c r="H13" s="126"/>
      <c r="I13" s="126"/>
      <c r="J13" s="128"/>
      <c r="K13" s="127"/>
      <c r="L13" s="126"/>
      <c r="M13" s="126"/>
      <c r="N13" s="125"/>
      <c r="O13" s="129"/>
      <c r="P13" s="175"/>
      <c r="Q13" s="176"/>
      <c r="R13" s="176"/>
      <c r="S13" s="176"/>
      <c r="T13" s="176"/>
      <c r="U13" s="127"/>
      <c r="V13" s="127"/>
      <c r="W13" s="127"/>
      <c r="X13" s="127"/>
      <c r="Y13" s="102">
        <f t="shared" si="5"/>
        <v>0</v>
      </c>
      <c r="Z13" s="102">
        <f t="shared" si="6"/>
        <v>0</v>
      </c>
      <c r="AA13" s="127">
        <f t="shared" si="1"/>
        <v>0</v>
      </c>
      <c r="AB13" s="127">
        <f t="shared" si="2"/>
        <v>0</v>
      </c>
      <c r="AC13" s="127">
        <f t="shared" si="3"/>
        <v>0</v>
      </c>
      <c r="AD13" s="127">
        <f t="shared" si="4"/>
        <v>0</v>
      </c>
      <c r="AE13" s="145"/>
      <c r="AF13" s="23">
        <v>1</v>
      </c>
      <c r="AG13" s="23">
        <v>0</v>
      </c>
      <c r="AH13" s="23" t="s">
        <v>196</v>
      </c>
    </row>
    <row r="14" spans="1:34" x14ac:dyDescent="0.15">
      <c r="A14" s="98" t="str">
        <f t="shared" si="0"/>
        <v>Sun</v>
      </c>
      <c r="B14" s="124">
        <v>45116</v>
      </c>
      <c r="C14" s="125" t="s">
        <v>551</v>
      </c>
      <c r="D14" s="126" t="s">
        <v>293</v>
      </c>
      <c r="E14" s="126" t="s">
        <v>199</v>
      </c>
      <c r="F14" s="126"/>
      <c r="G14" s="127"/>
      <c r="H14" s="126"/>
      <c r="I14" s="126"/>
      <c r="J14" s="128"/>
      <c r="K14" s="127"/>
      <c r="L14" s="126"/>
      <c r="M14" s="126"/>
      <c r="N14" s="125"/>
      <c r="O14" s="129"/>
      <c r="P14" s="175"/>
      <c r="Q14" s="176"/>
      <c r="R14" s="176"/>
      <c r="S14" s="176"/>
      <c r="T14" s="176"/>
      <c r="U14" s="127"/>
      <c r="V14" s="127"/>
      <c r="W14" s="127"/>
      <c r="X14" s="127"/>
      <c r="Y14" s="102">
        <f t="shared" si="5"/>
        <v>0</v>
      </c>
      <c r="Z14" s="102">
        <f t="shared" si="6"/>
        <v>0</v>
      </c>
      <c r="AA14" s="127">
        <f t="shared" si="1"/>
        <v>0</v>
      </c>
      <c r="AB14" s="127">
        <f t="shared" si="2"/>
        <v>0</v>
      </c>
      <c r="AC14" s="127">
        <f t="shared" si="3"/>
        <v>0</v>
      </c>
      <c r="AD14" s="127">
        <f t="shared" si="4"/>
        <v>0</v>
      </c>
      <c r="AE14" s="145"/>
      <c r="AF14" s="23">
        <v>0</v>
      </c>
      <c r="AG14" s="23">
        <v>1</v>
      </c>
    </row>
    <row r="15" spans="1:34" x14ac:dyDescent="0.15">
      <c r="A15" s="98" t="str">
        <f t="shared" si="0"/>
        <v>Sun</v>
      </c>
      <c r="B15" s="124">
        <v>45137</v>
      </c>
      <c r="C15" s="125" t="s">
        <v>291</v>
      </c>
      <c r="D15" s="126" t="s">
        <v>293</v>
      </c>
      <c r="E15" s="126" t="s">
        <v>308</v>
      </c>
      <c r="F15" s="126"/>
      <c r="G15" s="127"/>
      <c r="H15" s="126"/>
      <c r="I15" s="126"/>
      <c r="J15" s="128"/>
      <c r="K15" s="127"/>
      <c r="L15" s="126"/>
      <c r="M15" s="126"/>
      <c r="N15" s="125"/>
      <c r="O15" s="129"/>
      <c r="P15" s="175"/>
      <c r="Q15" s="176"/>
      <c r="R15" s="176"/>
      <c r="S15" s="176"/>
      <c r="T15" s="176"/>
      <c r="U15" s="127"/>
      <c r="V15" s="127"/>
      <c r="W15" s="127"/>
      <c r="X15" s="127"/>
      <c r="Y15" s="102">
        <f t="shared" si="5"/>
        <v>0</v>
      </c>
      <c r="Z15" s="102">
        <f t="shared" si="6"/>
        <v>0</v>
      </c>
      <c r="AA15" s="127">
        <f>IF(F15="TOCC",G15,K15)</f>
        <v>0</v>
      </c>
      <c r="AB15" s="127">
        <f>IF(F15&lt;&gt;"TOCC",G15,K15)</f>
        <v>0</v>
      </c>
      <c r="AC15" s="127">
        <f t="shared" si="3"/>
        <v>0</v>
      </c>
      <c r="AD15" s="127">
        <f t="shared" si="4"/>
        <v>0</v>
      </c>
      <c r="AE15" s="145"/>
      <c r="AF15" s="23">
        <v>0</v>
      </c>
      <c r="AG15" s="23">
        <v>0</v>
      </c>
    </row>
    <row r="16" spans="1:34" s="22" customFormat="1" x14ac:dyDescent="0.15">
      <c r="A16" s="98" t="str">
        <f t="shared" si="0"/>
        <v>Sun</v>
      </c>
      <c r="B16" s="99">
        <v>45151</v>
      </c>
      <c r="C16" s="100" t="s">
        <v>522</v>
      </c>
      <c r="D16" s="101" t="s">
        <v>293</v>
      </c>
      <c r="E16" s="101" t="s">
        <v>199</v>
      </c>
      <c r="F16" s="101"/>
      <c r="G16" s="102"/>
      <c r="H16" s="101"/>
      <c r="I16" s="101"/>
      <c r="J16" s="103"/>
      <c r="K16" s="127"/>
      <c r="L16" s="101"/>
      <c r="M16" s="101"/>
      <c r="N16" s="100"/>
      <c r="O16" s="104"/>
      <c r="P16" s="173"/>
      <c r="Q16" s="174"/>
      <c r="R16" s="174"/>
      <c r="S16" s="174"/>
      <c r="T16" s="174"/>
      <c r="U16" s="102"/>
      <c r="V16" s="102"/>
      <c r="W16" s="102"/>
      <c r="X16" s="102"/>
      <c r="Y16" s="102">
        <f t="shared" si="5"/>
        <v>0</v>
      </c>
      <c r="Z16" s="102">
        <f t="shared" si="6"/>
        <v>0</v>
      </c>
      <c r="AA16" s="102">
        <f t="shared" si="1"/>
        <v>0</v>
      </c>
      <c r="AB16" s="102">
        <f t="shared" si="2"/>
        <v>0</v>
      </c>
      <c r="AC16" s="102">
        <f t="shared" si="3"/>
        <v>0</v>
      </c>
      <c r="AD16" s="102">
        <f t="shared" si="4"/>
        <v>0</v>
      </c>
      <c r="AE16" s="145"/>
      <c r="AF16" s="22">
        <v>0</v>
      </c>
      <c r="AG16" s="22">
        <v>0</v>
      </c>
    </row>
    <row r="17" spans="1:34" x14ac:dyDescent="0.15">
      <c r="A17" s="98" t="str">
        <f t="shared" si="0"/>
        <v>Sun</v>
      </c>
      <c r="B17" s="99">
        <v>45158</v>
      </c>
      <c r="C17" s="125" t="s">
        <v>751</v>
      </c>
      <c r="D17" s="101" t="s">
        <v>293</v>
      </c>
      <c r="E17" s="101" t="s">
        <v>199</v>
      </c>
      <c r="F17" s="101"/>
      <c r="G17" s="102"/>
      <c r="H17" s="101"/>
      <c r="I17" s="101"/>
      <c r="J17" s="103"/>
      <c r="K17" s="127"/>
      <c r="L17" s="101"/>
      <c r="M17" s="101"/>
      <c r="N17" s="100"/>
      <c r="O17" s="104"/>
      <c r="P17" s="173"/>
      <c r="Q17" s="174"/>
      <c r="R17" s="174"/>
      <c r="S17" s="174"/>
      <c r="T17" s="174"/>
      <c r="U17" s="102"/>
      <c r="V17" s="102"/>
      <c r="W17" s="102"/>
      <c r="X17" s="102"/>
      <c r="Y17" s="102">
        <f t="shared" si="5"/>
        <v>0</v>
      </c>
      <c r="Z17" s="102">
        <f t="shared" si="6"/>
        <v>0</v>
      </c>
      <c r="AA17" s="102">
        <f t="shared" si="1"/>
        <v>0</v>
      </c>
      <c r="AB17" s="102">
        <f t="shared" si="2"/>
        <v>0</v>
      </c>
      <c r="AC17" s="102">
        <f t="shared" si="3"/>
        <v>0</v>
      </c>
      <c r="AD17" s="102">
        <f t="shared" si="4"/>
        <v>0</v>
      </c>
      <c r="AE17" s="145"/>
      <c r="AF17" s="23">
        <v>1</v>
      </c>
      <c r="AG17" s="23">
        <v>0</v>
      </c>
      <c r="AH17" s="23" t="s">
        <v>567</v>
      </c>
    </row>
    <row r="18" spans="1:34" x14ac:dyDescent="0.15">
      <c r="A18" s="98" t="str">
        <f t="shared" si="0"/>
        <v>Sun</v>
      </c>
      <c r="B18" s="99">
        <v>45165</v>
      </c>
      <c r="C18" s="125" t="s">
        <v>629</v>
      </c>
      <c r="D18" s="101" t="s">
        <v>293</v>
      </c>
      <c r="E18" s="101" t="s">
        <v>200</v>
      </c>
      <c r="F18" s="101"/>
      <c r="G18" s="102"/>
      <c r="H18" s="101"/>
      <c r="I18" s="101"/>
      <c r="J18" s="103"/>
      <c r="K18" s="127"/>
      <c r="L18" s="101"/>
      <c r="M18" s="101"/>
      <c r="N18" s="100"/>
      <c r="O18" s="104"/>
      <c r="P18" s="173"/>
      <c r="Q18" s="174"/>
      <c r="R18" s="174"/>
      <c r="S18" s="174"/>
      <c r="T18" s="174"/>
      <c r="U18" s="102"/>
      <c r="V18" s="102"/>
      <c r="W18" s="102"/>
      <c r="X18" s="102"/>
      <c r="Y18" s="102">
        <f t="shared" si="5"/>
        <v>0</v>
      </c>
      <c r="Z18" s="102">
        <f t="shared" si="6"/>
        <v>0</v>
      </c>
      <c r="AA18" s="102">
        <f t="shared" si="1"/>
        <v>0</v>
      </c>
      <c r="AB18" s="102">
        <f t="shared" si="2"/>
        <v>0</v>
      </c>
      <c r="AC18" s="102">
        <f t="shared" si="3"/>
        <v>0</v>
      </c>
      <c r="AD18" s="102">
        <f t="shared" si="4"/>
        <v>0</v>
      </c>
      <c r="AE18" s="145"/>
      <c r="AF18" s="23">
        <v>1</v>
      </c>
      <c r="AG18" s="23">
        <v>0</v>
      </c>
      <c r="AH18" s="23" t="s">
        <v>569</v>
      </c>
    </row>
    <row r="19" spans="1:34" x14ac:dyDescent="0.15">
      <c r="A19" s="98" t="str">
        <f t="shared" si="0"/>
        <v>Sun</v>
      </c>
      <c r="B19" s="99">
        <v>45179</v>
      </c>
      <c r="C19" s="142" t="s">
        <v>752</v>
      </c>
      <c r="D19" s="101" t="s">
        <v>293</v>
      </c>
      <c r="E19" s="101" t="s">
        <v>199</v>
      </c>
      <c r="F19" s="101"/>
      <c r="G19" s="102"/>
      <c r="H19" s="101"/>
      <c r="I19" s="101"/>
      <c r="J19" s="103"/>
      <c r="K19" s="127"/>
      <c r="L19" s="101"/>
      <c r="M19" s="101"/>
      <c r="N19" s="100"/>
      <c r="O19" s="104"/>
      <c r="P19" s="173"/>
      <c r="Q19" s="174"/>
      <c r="R19" s="174"/>
      <c r="S19" s="174"/>
      <c r="T19" s="174"/>
      <c r="U19" s="102"/>
      <c r="V19" s="102"/>
      <c r="W19" s="102"/>
      <c r="X19" s="102"/>
      <c r="Y19" s="102">
        <f t="shared" si="5"/>
        <v>0</v>
      </c>
      <c r="Z19" s="102">
        <f t="shared" si="6"/>
        <v>0</v>
      </c>
      <c r="AA19" s="102">
        <f t="shared" si="1"/>
        <v>0</v>
      </c>
      <c r="AB19" s="102">
        <f t="shared" si="2"/>
        <v>0</v>
      </c>
      <c r="AC19" s="102">
        <f t="shared" si="3"/>
        <v>0</v>
      </c>
      <c r="AD19" s="102">
        <f t="shared" si="4"/>
        <v>0</v>
      </c>
      <c r="AE19" s="145"/>
      <c r="AF19" s="23">
        <v>1</v>
      </c>
      <c r="AG19" s="23">
        <v>0</v>
      </c>
      <c r="AH19" s="23" t="s">
        <v>594</v>
      </c>
    </row>
    <row r="20" spans="1:34" x14ac:dyDescent="0.15">
      <c r="A20" s="98" t="str">
        <f t="shared" si="0"/>
        <v>Sun</v>
      </c>
      <c r="B20" s="99">
        <v>45186</v>
      </c>
      <c r="C20" s="100" t="s">
        <v>753</v>
      </c>
      <c r="D20" s="101" t="s">
        <v>292</v>
      </c>
      <c r="E20" s="101" t="s">
        <v>200</v>
      </c>
      <c r="F20" s="101"/>
      <c r="G20" s="102"/>
      <c r="H20" s="101"/>
      <c r="I20" s="101"/>
      <c r="J20" s="100"/>
      <c r="K20" s="127"/>
      <c r="L20" s="101"/>
      <c r="M20" s="101"/>
      <c r="N20" s="100"/>
      <c r="O20" s="104"/>
      <c r="P20" s="173"/>
      <c r="Q20" s="174"/>
      <c r="R20" s="174"/>
      <c r="S20" s="174"/>
      <c r="T20" s="174"/>
      <c r="U20" s="102"/>
      <c r="V20" s="102"/>
      <c r="W20" s="102"/>
      <c r="X20" s="102"/>
      <c r="Y20" s="102">
        <f t="shared" si="5"/>
        <v>0</v>
      </c>
      <c r="Z20" s="102">
        <f t="shared" si="6"/>
        <v>0</v>
      </c>
      <c r="AA20" s="102">
        <f t="shared" ref="AA20:AA32" si="7">IF(F20="TOCC",G20,K20)</f>
        <v>0</v>
      </c>
      <c r="AB20" s="102">
        <f t="shared" ref="AB20:AB32" si="8">IF(F20&lt;&gt;"TOCC",G20,K20)</f>
        <v>0</v>
      </c>
      <c r="AC20" s="102">
        <f t="shared" ref="AC20:AC32" si="9">IF(F20="TOCC",H20,L20)</f>
        <v>0</v>
      </c>
      <c r="AD20" s="102">
        <f t="shared" ref="AD20:AD32" si="10">IF(F20&lt;&gt;"TOCC",H20,L20)</f>
        <v>0</v>
      </c>
      <c r="AE20" s="145"/>
      <c r="AF20" s="23">
        <v>0</v>
      </c>
      <c r="AG20" s="23">
        <v>1</v>
      </c>
    </row>
    <row r="21" spans="1:34" x14ac:dyDescent="0.15">
      <c r="A21" s="98" t="str">
        <f t="shared" si="0"/>
        <v>Sun</v>
      </c>
      <c r="B21" s="99">
        <v>45193</v>
      </c>
      <c r="C21" s="100" t="s">
        <v>568</v>
      </c>
      <c r="D21" s="101" t="s">
        <v>293</v>
      </c>
      <c r="E21" s="101" t="s">
        <v>199</v>
      </c>
      <c r="F21" s="101"/>
      <c r="G21" s="102"/>
      <c r="H21" s="101"/>
      <c r="I21" s="101"/>
      <c r="J21" s="103"/>
      <c r="K21" s="127"/>
      <c r="L21" s="101"/>
      <c r="M21" s="101"/>
      <c r="N21" s="100"/>
      <c r="O21" s="104"/>
      <c r="P21" s="173"/>
      <c r="Q21" s="174"/>
      <c r="R21" s="174"/>
      <c r="S21" s="174"/>
      <c r="T21" s="174"/>
      <c r="U21" s="102"/>
      <c r="V21" s="102"/>
      <c r="W21" s="102"/>
      <c r="X21" s="102"/>
      <c r="Y21" s="102">
        <f t="shared" si="5"/>
        <v>0</v>
      </c>
      <c r="Z21" s="102">
        <f t="shared" si="6"/>
        <v>0</v>
      </c>
      <c r="AA21" s="102">
        <f t="shared" si="7"/>
        <v>0</v>
      </c>
      <c r="AB21" s="102">
        <f t="shared" si="8"/>
        <v>0</v>
      </c>
      <c r="AC21" s="102">
        <f t="shared" si="9"/>
        <v>0</v>
      </c>
      <c r="AD21" s="102">
        <f t="shared" si="10"/>
        <v>0</v>
      </c>
      <c r="AE21" s="145"/>
      <c r="AF21" s="23">
        <v>1</v>
      </c>
      <c r="AG21" s="23">
        <v>0</v>
      </c>
      <c r="AH21" s="23" t="s">
        <v>630</v>
      </c>
    </row>
    <row r="22" spans="1:34" x14ac:dyDescent="0.15">
      <c r="A22" s="98" t="str">
        <f t="shared" si="0"/>
        <v>Sat</v>
      </c>
      <c r="B22" s="99"/>
      <c r="C22" s="100"/>
      <c r="D22" s="101" t="s">
        <v>292</v>
      </c>
      <c r="E22" s="101"/>
      <c r="F22" s="101"/>
      <c r="G22" s="102"/>
      <c r="H22" s="101"/>
      <c r="I22" s="101"/>
      <c r="J22" s="103"/>
      <c r="K22" s="127"/>
      <c r="L22" s="101"/>
      <c r="M22" s="101"/>
      <c r="N22" s="100"/>
      <c r="O22" s="104"/>
      <c r="P22" s="173"/>
      <c r="Q22" s="174"/>
      <c r="R22" s="174"/>
      <c r="S22" s="174"/>
      <c r="T22" s="174"/>
      <c r="U22" s="102"/>
      <c r="V22" s="102"/>
      <c r="W22" s="102"/>
      <c r="X22" s="102"/>
      <c r="Y22" s="102">
        <f t="shared" si="5"/>
        <v>0</v>
      </c>
      <c r="Z22" s="102">
        <f t="shared" si="6"/>
        <v>0</v>
      </c>
      <c r="AA22" s="102">
        <f t="shared" si="7"/>
        <v>0</v>
      </c>
      <c r="AB22" s="102">
        <f t="shared" si="8"/>
        <v>0</v>
      </c>
      <c r="AC22" s="102">
        <f t="shared" si="9"/>
        <v>0</v>
      </c>
      <c r="AD22" s="102">
        <f t="shared" si="10"/>
        <v>0</v>
      </c>
      <c r="AE22" s="145"/>
      <c r="AF22" s="23">
        <v>1</v>
      </c>
      <c r="AG22" s="23">
        <v>0</v>
      </c>
      <c r="AH22" s="23" t="s">
        <v>196</v>
      </c>
    </row>
    <row r="23" spans="1:34" x14ac:dyDescent="0.15">
      <c r="A23" s="98" t="str">
        <f t="shared" si="0"/>
        <v>Sat</v>
      </c>
      <c r="B23" s="99"/>
      <c r="C23" s="100"/>
      <c r="D23" s="101" t="s">
        <v>293</v>
      </c>
      <c r="E23" s="101"/>
      <c r="F23" s="101"/>
      <c r="G23" s="102"/>
      <c r="H23" s="101"/>
      <c r="I23" s="101"/>
      <c r="J23" s="103"/>
      <c r="K23" s="127"/>
      <c r="L23" s="101"/>
      <c r="M23" s="101"/>
      <c r="N23" s="100"/>
      <c r="O23" s="104"/>
      <c r="P23" s="186"/>
      <c r="Q23" s="187"/>
      <c r="R23" s="187"/>
      <c r="S23" s="187"/>
      <c r="T23" s="187"/>
      <c r="U23" s="102"/>
      <c r="V23" s="102"/>
      <c r="W23" s="102"/>
      <c r="X23" s="102"/>
      <c r="Y23" s="102">
        <f t="shared" si="5"/>
        <v>0</v>
      </c>
      <c r="Z23" s="102">
        <f t="shared" si="6"/>
        <v>0</v>
      </c>
      <c r="AA23" s="102">
        <f t="shared" si="7"/>
        <v>0</v>
      </c>
      <c r="AB23" s="102">
        <f t="shared" si="8"/>
        <v>0</v>
      </c>
      <c r="AC23" s="102">
        <f t="shared" si="9"/>
        <v>0</v>
      </c>
      <c r="AD23" s="102">
        <f t="shared" si="10"/>
        <v>0</v>
      </c>
      <c r="AE23" s="145"/>
      <c r="AF23" s="23">
        <v>0</v>
      </c>
      <c r="AG23" s="23">
        <v>0</v>
      </c>
    </row>
    <row r="24" spans="1:34" x14ac:dyDescent="0.15">
      <c r="A24" s="98" t="str">
        <f t="shared" si="0"/>
        <v>Sat</v>
      </c>
      <c r="B24" s="99"/>
      <c r="C24" s="100"/>
      <c r="D24" s="101" t="s">
        <v>292</v>
      </c>
      <c r="E24" s="101"/>
      <c r="F24" s="101"/>
      <c r="G24" s="102"/>
      <c r="H24" s="101"/>
      <c r="I24" s="101"/>
      <c r="J24" s="103"/>
      <c r="K24" s="127"/>
      <c r="L24" s="101"/>
      <c r="M24" s="101"/>
      <c r="N24" s="100"/>
      <c r="O24" s="104"/>
      <c r="P24" s="173"/>
      <c r="Q24" s="174"/>
      <c r="R24" s="174"/>
      <c r="S24" s="174"/>
      <c r="T24" s="174"/>
      <c r="U24" s="102"/>
      <c r="V24" s="102"/>
      <c r="W24" s="102"/>
      <c r="X24" s="102"/>
      <c r="Y24" s="102">
        <f t="shared" si="5"/>
        <v>0</v>
      </c>
      <c r="Z24" s="102">
        <f t="shared" si="6"/>
        <v>0</v>
      </c>
      <c r="AA24" s="102">
        <f t="shared" si="7"/>
        <v>0</v>
      </c>
      <c r="AB24" s="102">
        <f t="shared" si="8"/>
        <v>0</v>
      </c>
      <c r="AC24" s="102">
        <f t="shared" si="9"/>
        <v>0</v>
      </c>
      <c r="AD24" s="102">
        <f t="shared" si="10"/>
        <v>0</v>
      </c>
      <c r="AE24" s="145"/>
      <c r="AF24" s="23">
        <v>0</v>
      </c>
      <c r="AG24" s="23">
        <v>0</v>
      </c>
    </row>
    <row r="25" spans="1:34" x14ac:dyDescent="0.15">
      <c r="A25" s="98" t="str">
        <f t="shared" si="0"/>
        <v>Sat</v>
      </c>
      <c r="B25" s="99"/>
      <c r="C25" s="100"/>
      <c r="D25" s="101" t="s">
        <v>293</v>
      </c>
      <c r="E25" s="101"/>
      <c r="F25" s="101"/>
      <c r="G25" s="102"/>
      <c r="H25" s="101"/>
      <c r="I25" s="101"/>
      <c r="J25" s="144"/>
      <c r="K25" s="127"/>
      <c r="L25" s="101"/>
      <c r="M25" s="101"/>
      <c r="N25" s="103"/>
      <c r="O25" s="104"/>
      <c r="P25" s="173"/>
      <c r="Q25" s="174"/>
      <c r="R25" s="174"/>
      <c r="S25" s="174"/>
      <c r="T25" s="174"/>
      <c r="U25" s="102"/>
      <c r="V25" s="102"/>
      <c r="W25" s="102"/>
      <c r="X25" s="102"/>
      <c r="Y25" s="102">
        <f t="shared" si="5"/>
        <v>0</v>
      </c>
      <c r="Z25" s="102">
        <f t="shared" si="6"/>
        <v>0</v>
      </c>
      <c r="AA25" s="102">
        <f t="shared" si="7"/>
        <v>0</v>
      </c>
      <c r="AB25" s="102">
        <f t="shared" si="8"/>
        <v>0</v>
      </c>
      <c r="AC25" s="102">
        <f t="shared" si="9"/>
        <v>0</v>
      </c>
      <c r="AD25" s="102">
        <f t="shared" si="10"/>
        <v>0</v>
      </c>
      <c r="AF25" s="23">
        <v>0</v>
      </c>
      <c r="AG25" s="23">
        <v>0</v>
      </c>
    </row>
    <row r="26" spans="1:34" x14ac:dyDescent="0.15">
      <c r="A26" s="98" t="str">
        <f t="shared" si="0"/>
        <v>Sat</v>
      </c>
      <c r="B26" s="99"/>
      <c r="C26" s="100"/>
      <c r="D26" s="101"/>
      <c r="E26" s="101"/>
      <c r="F26" s="101"/>
      <c r="G26" s="102"/>
      <c r="H26" s="101"/>
      <c r="I26" s="101"/>
      <c r="J26" s="103"/>
      <c r="K26" s="127"/>
      <c r="L26" s="101"/>
      <c r="M26" s="101"/>
      <c r="N26" s="100"/>
      <c r="O26" s="104"/>
      <c r="P26" s="173"/>
      <c r="Q26" s="174"/>
      <c r="R26" s="174"/>
      <c r="S26" s="174"/>
      <c r="T26" s="174"/>
      <c r="U26" s="102"/>
      <c r="V26" s="102"/>
      <c r="W26" s="102"/>
      <c r="X26" s="102"/>
      <c r="Y26" s="102">
        <f t="shared" si="5"/>
        <v>0</v>
      </c>
      <c r="Z26" s="102">
        <f t="shared" si="6"/>
        <v>0</v>
      </c>
      <c r="AA26" s="102">
        <f t="shared" si="7"/>
        <v>0</v>
      </c>
      <c r="AB26" s="102">
        <f t="shared" si="8"/>
        <v>0</v>
      </c>
      <c r="AC26" s="102">
        <f t="shared" si="9"/>
        <v>0</v>
      </c>
      <c r="AD26" s="102">
        <f t="shared" si="10"/>
        <v>0</v>
      </c>
      <c r="AF26" s="23">
        <v>0</v>
      </c>
      <c r="AG26" s="23">
        <v>0</v>
      </c>
    </row>
    <row r="27" spans="1:34" x14ac:dyDescent="0.15">
      <c r="A27" s="98" t="str">
        <f t="shared" si="0"/>
        <v>Sat</v>
      </c>
      <c r="B27" s="99"/>
      <c r="C27" s="100"/>
      <c r="D27" s="101"/>
      <c r="E27" s="101"/>
      <c r="F27" s="101"/>
      <c r="G27" s="102" t="e">
        <f>NA()</f>
        <v>#N/A</v>
      </c>
      <c r="H27" s="101"/>
      <c r="I27" s="101"/>
      <c r="J27" s="103"/>
      <c r="K27" s="127" t="e">
        <f>NA()</f>
        <v>#N/A</v>
      </c>
      <c r="L27" s="101"/>
      <c r="M27" s="101"/>
      <c r="N27" s="100"/>
      <c r="O27" s="104"/>
      <c r="P27" s="173"/>
      <c r="Q27" s="174"/>
      <c r="R27" s="174"/>
      <c r="S27" s="174"/>
      <c r="T27" s="174"/>
      <c r="U27" s="102"/>
      <c r="V27" s="102"/>
      <c r="W27" s="102"/>
      <c r="X27" s="102"/>
      <c r="Y27" s="102">
        <f t="shared" ref="Y27:Y32" si="11">SUM(Q27:T27)</f>
        <v>0</v>
      </c>
      <c r="Z27" s="102">
        <f t="shared" ref="Z27:Z32" si="12">SUM(U27:X27)</f>
        <v>0</v>
      </c>
      <c r="AA27" s="102" t="e">
        <f t="shared" si="7"/>
        <v>#N/A</v>
      </c>
      <c r="AB27" s="102" t="e">
        <f t="shared" si="8"/>
        <v>#N/A</v>
      </c>
      <c r="AC27" s="102">
        <f t="shared" si="9"/>
        <v>0</v>
      </c>
      <c r="AD27" s="102">
        <f t="shared" si="10"/>
        <v>0</v>
      </c>
      <c r="AF27" s="23">
        <v>0</v>
      </c>
      <c r="AG27" s="23">
        <v>0</v>
      </c>
    </row>
    <row r="28" spans="1:34" x14ac:dyDescent="0.15">
      <c r="A28" s="98" t="str">
        <f t="shared" si="0"/>
        <v>Sat</v>
      </c>
      <c r="B28" s="99"/>
      <c r="C28" s="100"/>
      <c r="D28" s="101"/>
      <c r="E28" s="101"/>
      <c r="F28" s="101"/>
      <c r="G28" s="102" t="e">
        <f>NA()</f>
        <v>#N/A</v>
      </c>
      <c r="H28" s="101"/>
      <c r="I28" s="101"/>
      <c r="J28" s="103"/>
      <c r="K28" s="127" t="e">
        <f>NA()</f>
        <v>#N/A</v>
      </c>
      <c r="L28" s="101"/>
      <c r="M28" s="101"/>
      <c r="N28" s="100"/>
      <c r="O28" s="104"/>
      <c r="P28" s="173"/>
      <c r="Q28" s="174"/>
      <c r="R28" s="174"/>
      <c r="S28" s="174"/>
      <c r="T28" s="174"/>
      <c r="U28" s="102"/>
      <c r="V28" s="102"/>
      <c r="W28" s="102"/>
      <c r="X28" s="102"/>
      <c r="Y28" s="102">
        <f t="shared" si="11"/>
        <v>0</v>
      </c>
      <c r="Z28" s="102">
        <f t="shared" si="12"/>
        <v>0</v>
      </c>
      <c r="AA28" s="102" t="e">
        <f t="shared" si="7"/>
        <v>#N/A</v>
      </c>
      <c r="AB28" s="102" t="e">
        <f t="shared" si="8"/>
        <v>#N/A</v>
      </c>
      <c r="AC28" s="102">
        <f t="shared" si="9"/>
        <v>0</v>
      </c>
      <c r="AD28" s="102">
        <f t="shared" si="10"/>
        <v>0</v>
      </c>
      <c r="AF28" s="23">
        <v>0</v>
      </c>
      <c r="AG28" s="23">
        <v>0</v>
      </c>
    </row>
    <row r="29" spans="1:34" x14ac:dyDescent="0.15">
      <c r="A29" s="98" t="str">
        <f t="shared" si="0"/>
        <v>Sat</v>
      </c>
      <c r="B29" s="99"/>
      <c r="C29" s="100"/>
      <c r="D29" s="101"/>
      <c r="E29" s="101"/>
      <c r="F29" s="101"/>
      <c r="G29" s="102" t="e">
        <f>NA()</f>
        <v>#N/A</v>
      </c>
      <c r="H29" s="101"/>
      <c r="I29" s="101"/>
      <c r="J29" s="103"/>
      <c r="K29" s="127" t="e">
        <f>NA()</f>
        <v>#N/A</v>
      </c>
      <c r="L29" s="101"/>
      <c r="M29" s="101"/>
      <c r="N29" s="100"/>
      <c r="O29" s="104"/>
      <c r="P29" s="173"/>
      <c r="Q29" s="174"/>
      <c r="R29" s="174"/>
      <c r="S29" s="174"/>
      <c r="T29" s="174"/>
      <c r="U29" s="102"/>
      <c r="V29" s="102"/>
      <c r="W29" s="102"/>
      <c r="X29" s="102"/>
      <c r="Y29" s="102">
        <f t="shared" si="11"/>
        <v>0</v>
      </c>
      <c r="Z29" s="102">
        <f t="shared" si="12"/>
        <v>0</v>
      </c>
      <c r="AA29" s="102" t="e">
        <f t="shared" si="7"/>
        <v>#N/A</v>
      </c>
      <c r="AB29" s="102" t="e">
        <f t="shared" si="8"/>
        <v>#N/A</v>
      </c>
      <c r="AC29" s="102">
        <f t="shared" si="9"/>
        <v>0</v>
      </c>
      <c r="AD29" s="102">
        <f t="shared" si="10"/>
        <v>0</v>
      </c>
      <c r="AF29" s="23">
        <v>0</v>
      </c>
      <c r="AG29" s="23">
        <v>0</v>
      </c>
    </row>
    <row r="30" spans="1:34" x14ac:dyDescent="0.15">
      <c r="A30" s="98" t="str">
        <f t="shared" si="0"/>
        <v>Sat</v>
      </c>
      <c r="B30" s="99"/>
      <c r="C30" s="100"/>
      <c r="D30" s="101"/>
      <c r="E30" s="101"/>
      <c r="F30" s="101"/>
      <c r="G30" s="102" t="e">
        <f>NA()</f>
        <v>#N/A</v>
      </c>
      <c r="H30" s="101"/>
      <c r="I30" s="101"/>
      <c r="J30" s="103"/>
      <c r="K30" s="127" t="e">
        <f>NA()</f>
        <v>#N/A</v>
      </c>
      <c r="L30" s="101"/>
      <c r="M30" s="101"/>
      <c r="N30" s="100"/>
      <c r="O30" s="104"/>
      <c r="P30" s="173"/>
      <c r="Q30" s="174"/>
      <c r="R30" s="174"/>
      <c r="S30" s="174"/>
      <c r="T30" s="174"/>
      <c r="U30" s="102"/>
      <c r="V30" s="102"/>
      <c r="W30" s="102"/>
      <c r="X30" s="102"/>
      <c r="Y30" s="102">
        <f t="shared" si="11"/>
        <v>0</v>
      </c>
      <c r="Z30" s="102">
        <f t="shared" si="12"/>
        <v>0</v>
      </c>
      <c r="AA30" s="102" t="e">
        <f t="shared" si="7"/>
        <v>#N/A</v>
      </c>
      <c r="AB30" s="102" t="e">
        <f t="shared" si="8"/>
        <v>#N/A</v>
      </c>
      <c r="AC30" s="102">
        <f t="shared" si="9"/>
        <v>0</v>
      </c>
      <c r="AD30" s="102">
        <f t="shared" si="10"/>
        <v>0</v>
      </c>
      <c r="AF30" s="23">
        <v>0</v>
      </c>
      <c r="AG30" s="23">
        <v>0</v>
      </c>
    </row>
    <row r="31" spans="1:34" x14ac:dyDescent="0.15">
      <c r="A31" s="98" t="str">
        <f t="shared" si="0"/>
        <v>Sat</v>
      </c>
      <c r="B31" s="99"/>
      <c r="C31" s="142"/>
      <c r="D31" s="101"/>
      <c r="E31" s="101"/>
      <c r="F31" s="101"/>
      <c r="G31" s="102" t="e">
        <f>NA()</f>
        <v>#N/A</v>
      </c>
      <c r="H31" s="101"/>
      <c r="I31" s="101"/>
      <c r="J31" s="103"/>
      <c r="K31" s="127" t="e">
        <f>NA()</f>
        <v>#N/A</v>
      </c>
      <c r="L31" s="101"/>
      <c r="M31" s="101"/>
      <c r="N31" s="100"/>
      <c r="O31" s="104"/>
      <c r="P31" s="173"/>
      <c r="Q31" s="174"/>
      <c r="R31" s="174"/>
      <c r="S31" s="174"/>
      <c r="T31" s="174"/>
      <c r="U31" s="102"/>
      <c r="V31" s="102"/>
      <c r="W31" s="102"/>
      <c r="X31" s="102"/>
      <c r="Y31" s="102">
        <f t="shared" si="11"/>
        <v>0</v>
      </c>
      <c r="Z31" s="102">
        <f t="shared" si="12"/>
        <v>0</v>
      </c>
      <c r="AA31" s="102" t="e">
        <f t="shared" si="7"/>
        <v>#N/A</v>
      </c>
      <c r="AB31" s="102" t="e">
        <f t="shared" si="8"/>
        <v>#N/A</v>
      </c>
      <c r="AC31" s="102">
        <f t="shared" si="9"/>
        <v>0</v>
      </c>
      <c r="AD31" s="102">
        <f t="shared" si="10"/>
        <v>0</v>
      </c>
      <c r="AF31" s="23">
        <v>0</v>
      </c>
      <c r="AG31" s="23">
        <v>0</v>
      </c>
    </row>
    <row r="32" spans="1:34" x14ac:dyDescent="0.15">
      <c r="A32" s="98" t="str">
        <f t="shared" si="0"/>
        <v>Sat</v>
      </c>
      <c r="B32" s="99"/>
      <c r="C32" s="100"/>
      <c r="D32" s="101"/>
      <c r="E32" s="101"/>
      <c r="F32" s="101"/>
      <c r="G32" s="102" t="e">
        <f>NA()</f>
        <v>#N/A</v>
      </c>
      <c r="H32" s="101"/>
      <c r="I32" s="101"/>
      <c r="J32" s="103"/>
      <c r="K32" s="127" t="e">
        <f>NA()</f>
        <v>#N/A</v>
      </c>
      <c r="L32" s="101"/>
      <c r="M32" s="101"/>
      <c r="N32" s="100"/>
      <c r="O32" s="104"/>
      <c r="P32" s="173"/>
      <c r="Q32" s="174"/>
      <c r="R32" s="174"/>
      <c r="S32" s="174"/>
      <c r="T32" s="174"/>
      <c r="U32" s="102"/>
      <c r="V32" s="102"/>
      <c r="W32" s="102"/>
      <c r="X32" s="102"/>
      <c r="Y32" s="102">
        <f t="shared" si="11"/>
        <v>0</v>
      </c>
      <c r="Z32" s="102">
        <f t="shared" si="12"/>
        <v>0</v>
      </c>
      <c r="AA32" s="102" t="e">
        <f t="shared" si="7"/>
        <v>#N/A</v>
      </c>
      <c r="AB32" s="102" t="e">
        <f t="shared" si="8"/>
        <v>#N/A</v>
      </c>
      <c r="AC32" s="102">
        <f t="shared" si="9"/>
        <v>0</v>
      </c>
      <c r="AD32" s="102">
        <f t="shared" si="10"/>
        <v>0</v>
      </c>
      <c r="AF32" s="23">
        <v>0</v>
      </c>
      <c r="AG32" s="23">
        <v>0</v>
      </c>
    </row>
    <row r="33" spans="1:30" ht="12" thickBot="1" x14ac:dyDescent="0.2">
      <c r="A33" s="34"/>
      <c r="B33" s="31"/>
      <c r="C33" s="33"/>
      <c r="D33" s="32"/>
      <c r="E33" s="32"/>
      <c r="F33" s="32"/>
      <c r="G33" s="30"/>
      <c r="H33" s="32"/>
      <c r="I33" s="32"/>
      <c r="J33" s="84"/>
      <c r="K33" s="30"/>
      <c r="L33" s="32"/>
      <c r="M33" s="32"/>
      <c r="N33" s="33"/>
      <c r="O33" s="33"/>
      <c r="P33" s="33"/>
    </row>
    <row r="34" spans="1:30" ht="21" x14ac:dyDescent="0.15">
      <c r="A34" s="34"/>
      <c r="B34" s="31"/>
      <c r="C34" s="33"/>
      <c r="D34" s="32"/>
      <c r="E34" s="32"/>
      <c r="F34" s="32"/>
      <c r="G34" s="30"/>
      <c r="H34" s="32"/>
      <c r="I34" s="32"/>
      <c r="J34" s="84"/>
      <c r="K34" s="30"/>
      <c r="L34" s="32"/>
      <c r="M34" s="32"/>
      <c r="N34" s="33" t="s">
        <v>137</v>
      </c>
      <c r="O34" s="33">
        <f>MAX(O5:O32)</f>
        <v>27.4</v>
      </c>
      <c r="P34" s="33">
        <f>MAX(P5:P32)</f>
        <v>40</v>
      </c>
      <c r="Q34" s="119" t="s">
        <v>100</v>
      </c>
      <c r="R34" s="121" t="s">
        <v>101</v>
      </c>
      <c r="S34" s="121" t="s">
        <v>102</v>
      </c>
      <c r="T34" s="121" t="s">
        <v>103</v>
      </c>
      <c r="U34" s="121" t="s">
        <v>104</v>
      </c>
      <c r="V34" s="121" t="s">
        <v>105</v>
      </c>
      <c r="W34" s="121" t="s">
        <v>106</v>
      </c>
      <c r="X34" s="121" t="s">
        <v>107</v>
      </c>
    </row>
    <row r="35" spans="1:30" x14ac:dyDescent="0.15">
      <c r="A35" s="34"/>
      <c r="B35" s="31"/>
      <c r="C35" s="33"/>
      <c r="D35" s="32"/>
      <c r="E35" s="32"/>
      <c r="F35" s="32"/>
      <c r="G35" s="30"/>
      <c r="H35" s="32"/>
      <c r="I35" s="32"/>
      <c r="J35" s="84"/>
      <c r="K35" s="30"/>
      <c r="L35" s="32"/>
      <c r="M35" s="32"/>
      <c r="N35" s="33"/>
      <c r="O35" s="148" t="s">
        <v>198</v>
      </c>
      <c r="P35" s="148" t="s">
        <v>1</v>
      </c>
      <c r="Q35" s="30"/>
      <c r="R35" s="30"/>
      <c r="S35" s="30"/>
      <c r="T35" s="30"/>
      <c r="U35" s="30"/>
      <c r="V35" s="30"/>
      <c r="W35" s="30"/>
      <c r="X35" s="30"/>
    </row>
    <row r="36" spans="1:30" x14ac:dyDescent="0.15">
      <c r="A36" s="34"/>
      <c r="B36" s="31"/>
      <c r="C36" s="33"/>
      <c r="D36" s="32"/>
      <c r="E36" s="32"/>
      <c r="F36" s="32"/>
      <c r="G36" s="30"/>
      <c r="H36" s="32"/>
      <c r="I36" s="32"/>
      <c r="J36" s="84"/>
      <c r="K36" s="30"/>
      <c r="L36" s="32"/>
      <c r="M36" s="32"/>
      <c r="N36" s="33"/>
      <c r="O36" s="33">
        <f t="array" ref="O36">SUM(FLOOR(O5:O32,1))</f>
        <v>27</v>
      </c>
      <c r="P36" s="33">
        <f t="array" ref="P36">SUM(FLOOR(P5:P32,1))</f>
        <v>40</v>
      </c>
      <c r="Q36" s="30">
        <f t="shared" ref="Q36:Z36" si="13">SUM(Q5:Q32)</f>
        <v>14</v>
      </c>
      <c r="R36" s="30">
        <f t="shared" si="13"/>
        <v>1</v>
      </c>
      <c r="S36" s="30">
        <f t="shared" si="13"/>
        <v>6</v>
      </c>
      <c r="T36" s="30">
        <f t="shared" si="13"/>
        <v>5</v>
      </c>
      <c r="U36" s="30">
        <f t="shared" si="13"/>
        <v>1</v>
      </c>
      <c r="V36" s="30">
        <f t="shared" si="13"/>
        <v>0</v>
      </c>
      <c r="W36" s="30">
        <f t="shared" si="13"/>
        <v>9</v>
      </c>
      <c r="X36" s="30">
        <f t="shared" si="13"/>
        <v>1</v>
      </c>
      <c r="Y36" s="30">
        <f t="shared" si="13"/>
        <v>26</v>
      </c>
      <c r="Z36" s="30">
        <f t="shared" si="13"/>
        <v>11</v>
      </c>
      <c r="AA36" s="23">
        <f t="array" ref="AA36">SUM(_xlfn.IFNA(AA5:AA32,0))</f>
        <v>88</v>
      </c>
      <c r="AB36" s="23">
        <f t="array" ref="AB36">SUM(_xlfn.IFNA(AB5:AB32,0))</f>
        <v>202</v>
      </c>
      <c r="AC36" s="23">
        <f>SUM(AC5:AC32)</f>
        <v>10</v>
      </c>
      <c r="AD36" s="23">
        <f>SUM(AD5:AD32)</f>
        <v>8</v>
      </c>
    </row>
    <row r="37" spans="1:30" x14ac:dyDescent="0.15">
      <c r="A37" s="34"/>
      <c r="B37" s="31"/>
      <c r="C37" s="33"/>
      <c r="D37" s="32"/>
      <c r="E37" s="32"/>
      <c r="I37" s="32"/>
      <c r="J37" s="84"/>
      <c r="K37" s="30"/>
      <c r="L37" s="32"/>
      <c r="M37" s="32"/>
      <c r="N37" s="33"/>
      <c r="O37" s="33">
        <f t="array" ref="O37">SUM(O5:O32-FLOOR(O5:O32,1))*10</f>
        <v>3.9999999999999858</v>
      </c>
      <c r="P37" s="33">
        <f t="array" ref="P37">SUM(P5:P32-FLOOR(P5:P32,1))*10</f>
        <v>0</v>
      </c>
      <c r="Q37" s="30"/>
      <c r="R37" s="30"/>
      <c r="S37" s="30"/>
      <c r="T37" s="30"/>
      <c r="U37" s="30"/>
      <c r="V37" s="30"/>
      <c r="W37" s="30"/>
      <c r="X37" s="30"/>
    </row>
    <row r="38" spans="1:30" x14ac:dyDescent="0.15">
      <c r="A38" s="34"/>
      <c r="B38" s="31"/>
      <c r="C38" s="33"/>
      <c r="D38" s="32"/>
      <c r="E38" s="32"/>
      <c r="I38" s="32"/>
      <c r="J38" s="84"/>
      <c r="K38" s="30"/>
      <c r="L38" s="32"/>
      <c r="M38" s="32"/>
      <c r="N38" s="148" t="s">
        <v>227</v>
      </c>
      <c r="O38" s="33">
        <f>O36*6+O37</f>
        <v>166</v>
      </c>
      <c r="P38" s="33">
        <f>P36*6+P37</f>
        <v>240</v>
      </c>
      <c r="Q38" s="30"/>
      <c r="R38" s="30"/>
      <c r="S38" s="30">
        <f>MAX(S5:S32)</f>
        <v>6</v>
      </c>
      <c r="T38" s="30"/>
      <c r="U38" s="30"/>
      <c r="V38" s="30"/>
      <c r="W38" s="30">
        <f>MAX(W5:W32)</f>
        <v>9</v>
      </c>
      <c r="X38" s="30"/>
      <c r="Z38" s="23" t="s">
        <v>33</v>
      </c>
      <c r="AA38" s="178">
        <f>AA36/AC36</f>
        <v>8.8000000000000007</v>
      </c>
      <c r="AB38" s="178">
        <f>AB36/AD36</f>
        <v>25.25</v>
      </c>
    </row>
    <row r="39" spans="1:30" x14ac:dyDescent="0.15">
      <c r="A39" s="34"/>
      <c r="B39" s="31"/>
      <c r="C39" s="33"/>
      <c r="D39" s="32"/>
      <c r="E39" s="32"/>
      <c r="F39" s="32"/>
      <c r="G39" s="30"/>
      <c r="H39" s="32"/>
      <c r="I39" s="32"/>
      <c r="J39" s="84"/>
      <c r="K39" s="30"/>
      <c r="L39" s="32"/>
      <c r="M39" s="32"/>
      <c r="N39" s="148" t="s">
        <v>228</v>
      </c>
      <c r="O39" s="33">
        <f>INT(O38/6)+(O38-INT(O38/6)*6)/10</f>
        <v>27.4</v>
      </c>
      <c r="P39" s="33">
        <f>INT(P38/6)+(P38-INT(P38/6)*6)/10</f>
        <v>40</v>
      </c>
      <c r="Q39" s="30"/>
      <c r="R39" s="30"/>
      <c r="S39" s="30"/>
      <c r="T39" s="30"/>
      <c r="U39" s="30"/>
      <c r="V39" s="30"/>
      <c r="W39" s="30"/>
      <c r="X39" s="30"/>
    </row>
    <row r="40" spans="1:30" x14ac:dyDescent="0.15">
      <c r="A40" s="34"/>
      <c r="B40" s="31"/>
      <c r="C40" s="33"/>
      <c r="D40" s="32"/>
      <c r="E40" s="32"/>
      <c r="I40" s="32"/>
      <c r="J40" s="84"/>
      <c r="K40" s="30"/>
      <c r="L40" s="32"/>
      <c r="M40" s="32"/>
      <c r="N40" s="33" t="s">
        <v>180</v>
      </c>
      <c r="O40" s="33">
        <f>AA36/O38*100</f>
        <v>53.01204819277109</v>
      </c>
      <c r="P40" s="33">
        <f>AB36/P38*100</f>
        <v>84.166666666666671</v>
      </c>
      <c r="Q40" s="30"/>
      <c r="R40" s="30"/>
      <c r="S40" s="30"/>
      <c r="T40" s="30"/>
      <c r="U40" s="30"/>
      <c r="V40" s="30"/>
      <c r="W40" s="30"/>
      <c r="X40" s="30"/>
    </row>
    <row r="41" spans="1:30" x14ac:dyDescent="0.15">
      <c r="F41" s="32"/>
      <c r="G41" s="30"/>
      <c r="H41" s="32"/>
      <c r="Q41" s="23">
        <f>$Y$36*Q36/SUM($Q$36:$T$36)</f>
        <v>14</v>
      </c>
      <c r="R41" s="23">
        <f t="shared" ref="R41:T41" si="14">$Y$36*R36/SUM($Q$36:$T$36)</f>
        <v>1</v>
      </c>
      <c r="S41" s="23">
        <f t="shared" si="14"/>
        <v>6</v>
      </c>
      <c r="T41" s="23">
        <f t="shared" si="14"/>
        <v>5</v>
      </c>
    </row>
    <row r="42" spans="1:30" x14ac:dyDescent="0.15">
      <c r="Q42" s="23">
        <v>150</v>
      </c>
      <c r="R42" s="23">
        <v>40</v>
      </c>
      <c r="S42" s="23">
        <v>129</v>
      </c>
      <c r="T42" s="23">
        <v>60</v>
      </c>
    </row>
    <row r="46" spans="1:30" x14ac:dyDescent="0.15">
      <c r="F46" s="32"/>
      <c r="G46" s="30"/>
      <c r="H46" s="32"/>
    </row>
    <row r="58" spans="6:8" x14ac:dyDescent="0.15">
      <c r="F58" s="32"/>
      <c r="G58" s="30"/>
      <c r="H58" s="32"/>
    </row>
  </sheetData>
  <sortState xmlns:xlrd2="http://schemas.microsoft.com/office/spreadsheetml/2017/richdata2"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6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5" priority="2" stopIfTrue="1" operator="equal">
      <formula>"TOCC"</formula>
    </cfRule>
  </conditionalFormatting>
  <conditionalFormatting sqref="F8:F9">
    <cfRule type="cellIs" dxfId="1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E1566"/>
  <sheetViews>
    <sheetView topLeftCell="B1" zoomScale="89" zoomScaleNormal="89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C7" sqref="C7"/>
    </sheetView>
  </sheetViews>
  <sheetFormatPr defaultRowHeight="10.5" x14ac:dyDescent="0.15"/>
  <cols>
    <col min="1" max="1" width="2" style="59" bestFit="1" customWidth="1"/>
    <col min="2" max="2" width="9.28515625" style="59" bestFit="1" customWidth="1"/>
    <col min="3" max="3" width="14.5703125" style="59" bestFit="1" customWidth="1"/>
    <col min="4" max="24" width="13.28515625" style="59" customWidth="1"/>
    <col min="25" max="31" width="5.28515625" style="59" bestFit="1" customWidth="1"/>
    <col min="32" max="32" width="6" style="59" bestFit="1" customWidth="1"/>
    <col min="33" max="33" width="5.28515625" style="59" bestFit="1" customWidth="1"/>
    <col min="34" max="35" width="2.7109375" style="59" customWidth="1"/>
    <col min="36" max="36" width="14.5703125" style="59" bestFit="1" customWidth="1"/>
    <col min="37" max="37" width="7.5703125" style="59" bestFit="1" customWidth="1"/>
    <col min="38" max="38" width="4.5703125" style="59" bestFit="1" customWidth="1"/>
    <col min="39" max="39" width="5" style="59" bestFit="1" customWidth="1"/>
    <col min="40" max="40" width="12" style="59" bestFit="1" customWidth="1"/>
    <col min="41" max="41" width="8" style="59" bestFit="1" customWidth="1"/>
    <col min="42" max="43" width="5" style="59" bestFit="1" customWidth="1"/>
    <col min="44" max="44" width="6.140625" style="52" bestFit="1" customWidth="1"/>
    <col min="45" max="45" width="5.7109375" style="59" bestFit="1" customWidth="1"/>
    <col min="46" max="46" width="5.5703125" style="59" bestFit="1" customWidth="1"/>
    <col min="47" max="47" width="4.140625" style="59" bestFit="1" customWidth="1"/>
    <col min="48" max="48" width="6" style="59" bestFit="1" customWidth="1"/>
    <col min="49" max="51" width="5.28515625" style="59" bestFit="1" customWidth="1"/>
    <col min="52" max="54" width="4.140625" style="59" bestFit="1" customWidth="1"/>
    <col min="55" max="55" width="4" style="59" bestFit="1" customWidth="1"/>
    <col min="56" max="56" width="5.7109375" style="59" bestFit="1" customWidth="1"/>
    <col min="57" max="57" width="8.7109375" style="59" bestFit="1" customWidth="1"/>
    <col min="58" max="58" width="7.5703125" style="59" bestFit="1" customWidth="1"/>
    <col min="59" max="60" width="5.42578125" style="59" bestFit="1" customWidth="1"/>
    <col min="61" max="61" width="9.5703125" style="59" bestFit="1" customWidth="1"/>
    <col min="62" max="62" width="6.5703125" style="59" bestFit="1" customWidth="1"/>
    <col min="63" max="63" width="5.140625" style="59" bestFit="1" customWidth="1"/>
    <col min="64" max="64" width="12" style="59" bestFit="1" customWidth="1"/>
    <col min="65" max="66" width="5.140625" style="59" bestFit="1" customWidth="1"/>
    <col min="67" max="67" width="10.28515625" style="59" bestFit="1" customWidth="1"/>
    <col min="68" max="68" width="7.7109375" style="59" bestFit="1" customWidth="1"/>
    <col min="69" max="69" width="2" style="59" bestFit="1" customWidth="1"/>
    <col min="70" max="70" width="5" style="59" bestFit="1" customWidth="1"/>
    <col min="71" max="71" width="11.28515625" style="59" bestFit="1" customWidth="1"/>
    <col min="72" max="72" width="2" style="59" bestFit="1" customWidth="1"/>
    <col min="73" max="73" width="11.28515625" style="59" bestFit="1" customWidth="1"/>
    <col min="74" max="74" width="3" style="59" bestFit="1" customWidth="1"/>
    <col min="75" max="75" width="14.5703125" style="59" bestFit="1" customWidth="1"/>
    <col min="76" max="76" width="2" style="59" bestFit="1" customWidth="1"/>
    <col min="77" max="77" width="14.5703125" style="59" bestFit="1" customWidth="1"/>
    <col min="78" max="78" width="3" style="59" bestFit="1" customWidth="1"/>
    <col min="79" max="79" width="14.5703125" style="59" bestFit="1" customWidth="1"/>
    <col min="80" max="80" width="2" style="59" bestFit="1" customWidth="1"/>
    <col min="81" max="81" width="14.5703125" style="59" bestFit="1" customWidth="1"/>
    <col min="82" max="16384" width="9.140625" style="59"/>
  </cols>
  <sheetData>
    <row r="1" spans="1:81" s="58" customFormat="1" ht="50.25" customHeight="1" x14ac:dyDescent="0.15">
      <c r="A1" s="55"/>
      <c r="B1" s="55"/>
      <c r="C1" s="43" t="str">
        <f t="array" ref="C1:AG4">TRANSPOSE(Matches!B4:E32)</f>
        <v>Date</v>
      </c>
      <c r="D1" s="56">
        <v>45053</v>
      </c>
      <c r="E1" s="56">
        <v>45060</v>
      </c>
      <c r="F1" s="56">
        <v>45067</v>
      </c>
      <c r="G1" s="56">
        <v>45073</v>
      </c>
      <c r="H1" s="56">
        <v>45074</v>
      </c>
      <c r="I1" s="56">
        <v>45075</v>
      </c>
      <c r="J1" s="56">
        <v>45081</v>
      </c>
      <c r="K1" s="56">
        <v>45088</v>
      </c>
      <c r="L1" s="56">
        <v>45095</v>
      </c>
      <c r="M1" s="56">
        <v>45116</v>
      </c>
      <c r="N1" s="56">
        <v>45137</v>
      </c>
      <c r="O1" s="56">
        <v>45151</v>
      </c>
      <c r="P1" s="56">
        <v>45158</v>
      </c>
      <c r="Q1" s="56">
        <v>45165</v>
      </c>
      <c r="R1" s="56">
        <v>45179</v>
      </c>
      <c r="S1" s="56">
        <v>45186</v>
      </c>
      <c r="T1" s="56">
        <v>45193</v>
      </c>
      <c r="U1" s="56">
        <v>0</v>
      </c>
      <c r="V1" s="56">
        <v>0</v>
      </c>
      <c r="W1" s="56">
        <v>0</v>
      </c>
      <c r="X1" s="56">
        <v>0</v>
      </c>
      <c r="Y1" s="56">
        <v>0</v>
      </c>
      <c r="Z1" s="56">
        <v>0</v>
      </c>
      <c r="AA1" s="56">
        <v>0</v>
      </c>
      <c r="AB1" s="56">
        <v>0</v>
      </c>
      <c r="AC1" s="56">
        <v>0</v>
      </c>
      <c r="AD1" s="56">
        <v>0</v>
      </c>
      <c r="AE1" s="56">
        <v>0</v>
      </c>
      <c r="AF1" s="56" t="e">
        <v>#N/A</v>
      </c>
      <c r="AG1" s="56" t="e">
        <v>#N/A</v>
      </c>
      <c r="AH1" s="56"/>
      <c r="AI1" s="56"/>
      <c r="AJ1" s="56"/>
      <c r="AK1" s="55"/>
      <c r="AL1" s="55"/>
      <c r="AM1" s="55"/>
      <c r="AN1" s="55"/>
      <c r="AO1" s="55"/>
      <c r="AP1" s="55"/>
      <c r="AQ1" s="55"/>
      <c r="AR1" s="57"/>
    </row>
    <row r="2" spans="1:81" ht="83.25" customHeight="1" x14ac:dyDescent="0.15">
      <c r="C2" s="46" t="str">
        <v>Opp</v>
      </c>
      <c r="D2" s="60" t="str">
        <v>Riverside</v>
      </c>
      <c r="E2" s="60" t="str">
        <v>Beddington</v>
      </c>
      <c r="F2" s="60" t="str">
        <v>YRG Eagles</v>
      </c>
      <c r="G2" s="60" t="str">
        <v>Fonthill Park</v>
      </c>
      <c r="H2" s="60" t="str">
        <v>Woodgreen</v>
      </c>
      <c r="I2" s="60" t="str">
        <v>Steeple Langford</v>
      </c>
      <c r="J2" s="60" t="str">
        <v>YRG Eagles</v>
      </c>
      <c r="K2" s="60" t="str">
        <v>Croydon Royals</v>
      </c>
      <c r="L2" s="60" t="str">
        <v>Richmond Leg Breakers</v>
      </c>
      <c r="M2" s="60" t="str">
        <v>Morden</v>
      </c>
      <c r="N2" s="60" t="str">
        <v>Riverside</v>
      </c>
      <c r="O2" s="60" t="str">
        <v>Norwood Exiles</v>
      </c>
      <c r="P2" s="60" t="str">
        <v>Catford Cyphers</v>
      </c>
      <c r="Q2" s="60" t="str">
        <v>Mitcham</v>
      </c>
      <c r="R2" s="60" t="str">
        <v>Croydon CC</v>
      </c>
      <c r="S2" s="60" t="str">
        <v>Verdayne green</v>
      </c>
      <c r="T2" s="60" t="str">
        <v>Sanderstead</v>
      </c>
      <c r="U2" s="60">
        <v>0</v>
      </c>
      <c r="V2" s="60">
        <v>0</v>
      </c>
      <c r="W2" s="60">
        <v>0</v>
      </c>
      <c r="X2" s="60">
        <v>0</v>
      </c>
      <c r="Y2" s="60">
        <v>0</v>
      </c>
      <c r="Z2" s="60">
        <v>0</v>
      </c>
      <c r="AA2" s="60">
        <v>0</v>
      </c>
      <c r="AB2" s="60">
        <v>0</v>
      </c>
      <c r="AC2" s="60">
        <v>0</v>
      </c>
      <c r="AD2" s="60">
        <v>0</v>
      </c>
      <c r="AE2" s="60">
        <v>0</v>
      </c>
      <c r="AF2" s="60" t="e">
        <v>#N/A</v>
      </c>
      <c r="AG2" s="60" t="e">
        <v>#N/A</v>
      </c>
      <c r="AH2" s="60"/>
      <c r="AI2" s="60"/>
      <c r="AJ2" s="60"/>
      <c r="AT2" s="59" t="s">
        <v>4</v>
      </c>
    </row>
    <row r="3" spans="1:81" x14ac:dyDescent="0.15">
      <c r="C3" s="46" t="str">
        <v>Venue</v>
      </c>
      <c r="D3" s="46" t="str">
        <v>H</v>
      </c>
      <c r="E3" s="46" t="str">
        <v>A</v>
      </c>
      <c r="F3" s="46" t="str">
        <v>H</v>
      </c>
      <c r="G3" s="46" t="str">
        <v>A</v>
      </c>
      <c r="H3" s="46" t="str">
        <v>A</v>
      </c>
      <c r="I3" s="46" t="str">
        <v>A</v>
      </c>
      <c r="J3" s="46" t="str">
        <v>A</v>
      </c>
      <c r="K3" s="46" t="str">
        <v>A</v>
      </c>
      <c r="L3" s="46" t="str">
        <v>H</v>
      </c>
      <c r="M3" s="46" t="str">
        <v>A</v>
      </c>
      <c r="N3" s="46" t="str">
        <v>A</v>
      </c>
      <c r="O3" s="46" t="str">
        <v>A</v>
      </c>
      <c r="P3" s="46" t="str">
        <v>A</v>
      </c>
      <c r="Q3" s="46" t="str">
        <v>A</v>
      </c>
      <c r="R3" s="46" t="str">
        <v>A</v>
      </c>
      <c r="S3" s="46" t="str">
        <v>H</v>
      </c>
      <c r="T3" s="46" t="str">
        <v>A</v>
      </c>
      <c r="U3" s="46" t="str">
        <v>H</v>
      </c>
      <c r="V3" s="46" t="str">
        <v>A</v>
      </c>
      <c r="W3" s="46" t="str">
        <v>H</v>
      </c>
      <c r="X3" s="46" t="str">
        <v>A</v>
      </c>
      <c r="Y3" s="46">
        <v>0</v>
      </c>
      <c r="Z3" s="46">
        <v>0</v>
      </c>
      <c r="AA3" s="46">
        <v>0</v>
      </c>
      <c r="AB3" s="46">
        <v>0</v>
      </c>
      <c r="AC3" s="46">
        <v>0</v>
      </c>
      <c r="AD3" s="46">
        <v>0</v>
      </c>
      <c r="AE3" s="46">
        <v>0</v>
      </c>
      <c r="AF3" s="46" t="e">
        <v>#N/A</v>
      </c>
      <c r="AG3" s="46" t="e">
        <v>#N/A</v>
      </c>
      <c r="AH3" s="46"/>
      <c r="AI3" s="46"/>
      <c r="AJ3" s="46"/>
    </row>
    <row r="4" spans="1:81" x14ac:dyDescent="0.15">
      <c r="C4" s="46" t="str">
        <v>Result</v>
      </c>
      <c r="D4" s="59" t="str">
        <v>L</v>
      </c>
      <c r="E4" s="46" t="str">
        <v>L</v>
      </c>
      <c r="F4" s="46" t="str">
        <v>W</v>
      </c>
      <c r="G4" s="46" t="str">
        <v>W</v>
      </c>
      <c r="H4" s="46" t="str">
        <v>W</v>
      </c>
      <c r="I4" s="46" t="str">
        <v>W</v>
      </c>
      <c r="J4" s="46" t="str">
        <v>W</v>
      </c>
      <c r="K4" s="46" t="str">
        <v>L</v>
      </c>
      <c r="L4" s="46" t="str">
        <v>ND</v>
      </c>
      <c r="M4" s="46" t="str">
        <v>L</v>
      </c>
      <c r="N4" s="46" t="str">
        <v>ND</v>
      </c>
      <c r="O4" s="46" t="str">
        <v>L</v>
      </c>
      <c r="P4" s="46" t="str">
        <v>L</v>
      </c>
      <c r="Q4" s="46" t="str">
        <v>W</v>
      </c>
      <c r="R4" s="46" t="str">
        <v>L</v>
      </c>
      <c r="S4" s="46" t="str">
        <v>W</v>
      </c>
      <c r="T4" s="46" t="str">
        <v>L</v>
      </c>
      <c r="U4" s="46">
        <v>0</v>
      </c>
      <c r="V4" s="46">
        <v>0</v>
      </c>
      <c r="W4" s="46">
        <v>0</v>
      </c>
      <c r="X4" s="46">
        <v>0</v>
      </c>
      <c r="Y4" s="46">
        <v>0</v>
      </c>
      <c r="Z4" s="46">
        <v>0</v>
      </c>
      <c r="AA4" s="46">
        <v>0</v>
      </c>
      <c r="AB4" s="46">
        <v>0</v>
      </c>
      <c r="AC4" s="46">
        <v>0</v>
      </c>
      <c r="AD4" s="46">
        <v>0</v>
      </c>
      <c r="AE4" s="46">
        <v>0</v>
      </c>
      <c r="AF4" s="46" t="e">
        <v>#N/A</v>
      </c>
      <c r="AG4" s="46" t="e">
        <v>#N/A</v>
      </c>
      <c r="AH4" s="46"/>
      <c r="AI4" s="46"/>
      <c r="AJ4" s="46"/>
      <c r="AK4" s="42" t="s">
        <v>5</v>
      </c>
      <c r="AL4" s="42" t="s">
        <v>6</v>
      </c>
      <c r="AM4" s="42" t="s">
        <v>7</v>
      </c>
      <c r="AN4" s="42" t="s">
        <v>8</v>
      </c>
      <c r="AO4" s="42" t="s">
        <v>115</v>
      </c>
      <c r="AP4" s="42" t="s">
        <v>131</v>
      </c>
      <c r="AQ4" s="42" t="s">
        <v>9</v>
      </c>
      <c r="AR4" s="39" t="s">
        <v>33</v>
      </c>
      <c r="AS4" s="59" t="s">
        <v>11</v>
      </c>
      <c r="AT4" s="42" t="s">
        <v>12</v>
      </c>
      <c r="AU4" s="42" t="s">
        <v>13</v>
      </c>
      <c r="AV4" s="42" t="s">
        <v>14</v>
      </c>
      <c r="AW4" s="42" t="s">
        <v>15</v>
      </c>
      <c r="AX4" s="42" t="s">
        <v>16</v>
      </c>
      <c r="AY4" s="42" t="s">
        <v>17</v>
      </c>
      <c r="AZ4" s="42" t="s">
        <v>18</v>
      </c>
      <c r="BA4" s="42" t="s">
        <v>19</v>
      </c>
      <c r="BB4" s="42" t="s">
        <v>186</v>
      </c>
      <c r="BC4" s="65" t="s">
        <v>225</v>
      </c>
      <c r="BD4" s="65" t="s">
        <v>216</v>
      </c>
      <c r="BE4" s="65" t="s">
        <v>289</v>
      </c>
      <c r="BF4" s="42" t="s">
        <v>20</v>
      </c>
      <c r="BG4" s="42" t="s">
        <v>21</v>
      </c>
      <c r="BH4" s="42" t="s">
        <v>22</v>
      </c>
      <c r="BI4" s="42" t="s">
        <v>23</v>
      </c>
      <c r="BJ4" s="59" t="s">
        <v>116</v>
      </c>
      <c r="BK4" s="59" t="s">
        <v>117</v>
      </c>
      <c r="BL4" s="59" t="s">
        <v>129</v>
      </c>
      <c r="BM4" s="59" t="s">
        <v>128</v>
      </c>
      <c r="BN4" s="59" t="s">
        <v>135</v>
      </c>
      <c r="BO4" s="59" t="s">
        <v>142</v>
      </c>
      <c r="BP4" s="59" t="s">
        <v>144</v>
      </c>
      <c r="BR4" s="195" t="s">
        <v>240</v>
      </c>
      <c r="BS4" s="195"/>
      <c r="BT4" s="194" t="s">
        <v>22</v>
      </c>
      <c r="BU4" s="194"/>
      <c r="BV4" s="193" t="s">
        <v>21</v>
      </c>
      <c r="BW4" s="193"/>
      <c r="BX4" s="192" t="s">
        <v>243</v>
      </c>
      <c r="BY4" s="192"/>
      <c r="BZ4" s="196" t="s">
        <v>152</v>
      </c>
      <c r="CA4" s="197"/>
      <c r="CB4" s="190" t="s">
        <v>14</v>
      </c>
      <c r="CC4" s="191"/>
    </row>
    <row r="5" spans="1:81" x14ac:dyDescent="0.15">
      <c r="B5" t="s">
        <v>262</v>
      </c>
      <c r="C5" t="s">
        <v>263</v>
      </c>
      <c r="D5" t="s">
        <v>376</v>
      </c>
      <c r="E5"/>
      <c r="F5"/>
      <c r="G5"/>
      <c r="H5"/>
      <c r="I5"/>
      <c r="J5" t="s">
        <v>466</v>
      </c>
      <c r="K5"/>
      <c r="L5"/>
      <c r="M5" t="s">
        <v>507</v>
      </c>
      <c r="N5"/>
      <c r="O5"/>
      <c r="P5"/>
      <c r="Q5" t="s">
        <v>579</v>
      </c>
      <c r="R5"/>
      <c r="S5" t="s">
        <v>615</v>
      </c>
      <c r="T5"/>
      <c r="U5"/>
      <c r="V5" t="s">
        <v>660</v>
      </c>
      <c r="W5" t="s">
        <v>685</v>
      </c>
      <c r="X5"/>
      <c r="Y5"/>
      <c r="Z5"/>
      <c r="AJ5" s="59" t="str">
        <f t="shared" ref="AJ5" si="0">C5</f>
        <v>Ahmed M</v>
      </c>
      <c r="AK5" s="59">
        <f t="shared" ref="AK5" si="1">BatSplit(D5:AI5,MatchesPlayed)</f>
        <v>7</v>
      </c>
      <c r="AL5" s="59">
        <f t="shared" ref="AL5" si="2">AK5-AM5</f>
        <v>0</v>
      </c>
      <c r="AM5" s="59">
        <f t="shared" ref="AM5" si="3">BatSplit(D5:AI5,InnsBattedIn)</f>
        <v>7</v>
      </c>
      <c r="AN5" s="59">
        <f t="shared" ref="AN5" si="4">BatSplit(D5:AI5,NotOuts)</f>
        <v>2</v>
      </c>
      <c r="AO5" s="59">
        <f t="shared" ref="AO5" si="5">BatSplit(D5:AI5,HighestScore)</f>
        <v>-22</v>
      </c>
      <c r="AP5" s="63" t="str">
        <f t="shared" ref="AP5" si="6">IF(AO5&lt;0,-AO5&amp;"*",AO5)</f>
        <v>22*</v>
      </c>
      <c r="AQ5" s="59">
        <f t="shared" ref="AQ5" si="7">BatSplit(D5:AI5,RunsScored)</f>
        <v>50</v>
      </c>
      <c r="AR5" s="61">
        <f t="shared" ref="AR5" si="8">IF(AM5=AN5,0,AQ5/(AM5-AN5))</f>
        <v>10</v>
      </c>
      <c r="AS5" s="59">
        <f t="shared" ref="AS5" si="9">BatSplit(D5:AI5,FldPts)</f>
        <v>0</v>
      </c>
      <c r="AT5" s="62">
        <f t="array" ref="AT5">SUM(IF(ISERR(FIND("*",D5:AI5)),0,1))</f>
        <v>0</v>
      </c>
      <c r="AU5" s="62">
        <f t="array" ref="AU5">SUM(IF(ISERR(FIND("+",D5:AI5)),0,1))</f>
        <v>0</v>
      </c>
      <c r="AV5" s="59">
        <f t="shared" ref="AV5" si="10">BatSplit(D5:AI5,Ducks)</f>
        <v>0</v>
      </c>
      <c r="AW5" s="62">
        <f t="array" ref="AW5">SUM(IF(ISERR(FIND(AW$4,$D5:$AI5)),0,1))</f>
        <v>3</v>
      </c>
      <c r="AX5" s="62">
        <f t="array" ref="AX5">SUM(IF(ISERR(FIND(AX$4,$D5:$AI5)),0,1))</f>
        <v>2</v>
      </c>
      <c r="AY5" s="62">
        <f t="array" ref="AY5">SUM(IF(ISERR(FIND(AY$4,$D5:$AI5)),0,1))</f>
        <v>0</v>
      </c>
      <c r="AZ5" s="62">
        <f t="array" ref="AZ5">SUM(IF(ISERR(FIND(AZ$4,$D5:$AI5)),0,1))</f>
        <v>0</v>
      </c>
      <c r="BA5" s="62">
        <f t="array" ref="BA5">SUM(IF(ISERR(FIND(BA$4,$D5:$AI5)),0,1))</f>
        <v>0</v>
      </c>
      <c r="BB5" s="62">
        <f t="array" ref="BB5">SUM(IF(ISERR(FIND(BB$4,$D5:$AI5)),0,1))</f>
        <v>0</v>
      </c>
      <c r="BC5" s="62">
        <f t="array" ref="BC5">SUM(IF(ISERR(FIND(BC$4,$D5:$AI5)),0,1))</f>
        <v>0</v>
      </c>
      <c r="BD5" s="62">
        <f t="shared" ref="BD5" si="11">BatSplit(D5:AI5,Fifties)</f>
        <v>0</v>
      </c>
      <c r="BE5" s="62">
        <f t="shared" ref="BE5" si="12">BatSplit(D5:AI5,Hundreds)</f>
        <v>0</v>
      </c>
      <c r="BF5" s="62">
        <f t="shared" ref="BF5" si="13">BatSplit(D5:AI5,Catches)</f>
        <v>0</v>
      </c>
      <c r="BG5" s="62">
        <f t="shared" ref="BG5" si="14">BatSplit(D5:AI5,Fours)</f>
        <v>4</v>
      </c>
      <c r="BH5" s="62">
        <f t="shared" ref="BH5" si="15">BatSplit(D5:AI5,Sixes)</f>
        <v>0</v>
      </c>
      <c r="BI5" s="62">
        <f t="shared" ref="BI5" si="16">BatSplit(D5:AI5,Stumpings)</f>
        <v>0</v>
      </c>
      <c r="BJ5" s="62">
        <f t="shared" ref="BJ5" si="17">BatSplit(D5:AI5,CaughtWkt)</f>
        <v>0</v>
      </c>
      <c r="BK5" s="62">
        <f t="shared" ref="BK5" si="18">BatSplit(D5:AI5,TwentyFives)</f>
        <v>0</v>
      </c>
      <c r="BL5" s="59">
        <f t="shared" ref="BL5" si="19">ROUND(IF(ISERROR(AR5),0,AR5),2)*100000+AM5*100+AK5+AQ5/100+ROW()/100000</f>
        <v>1000707.50005</v>
      </c>
      <c r="BM5" s="59">
        <f>RANK(BL5,$BL$5:$BL$62)</f>
        <v>21</v>
      </c>
      <c r="BN5" s="59">
        <v>0</v>
      </c>
      <c r="BO5" s="80">
        <f t="shared" ref="BO5" si="20">IF(AQ5&gt;=50,(BG5*4+BH5*6+BN5*5)/AQ5,"")</f>
        <v>0.32</v>
      </c>
      <c r="BP5" s="88">
        <f t="shared" ref="BP5" si="21">AV5/(AM5-AN5)</f>
        <v>0</v>
      </c>
      <c r="BQ5" s="151">
        <f t="shared" ref="BQ5" si="22">BF5</f>
        <v>0</v>
      </c>
      <c r="BR5" s="59" t="str">
        <f t="shared" ref="BR5" si="23">IF(BF5=0,"",BF5&amp;IF(BJ5=0,""," ("&amp;BJ5&amp;")"))</f>
        <v/>
      </c>
      <c r="BS5" s="59" t="str">
        <f t="shared" ref="BS5" si="24">IF(BF5=0,"",C5)</f>
        <v/>
      </c>
      <c r="BT5" s="62">
        <f t="shared" ref="BT5" si="25">BH5</f>
        <v>0</v>
      </c>
      <c r="BU5" s="59" t="str">
        <f t="shared" ref="BU5" si="26">IF(BT5=0,"",C5)</f>
        <v/>
      </c>
      <c r="BV5" s="62">
        <f t="shared" ref="BV5" si="27">BG5</f>
        <v>4</v>
      </c>
      <c r="BW5" s="59" t="str">
        <f t="shared" ref="BW5" si="28">IF(BV5=0,"",C5)</f>
        <v>Ahmed M</v>
      </c>
      <c r="BX5" s="62">
        <f t="shared" ref="BX5" si="29">BK5</f>
        <v>0</v>
      </c>
      <c r="BY5" s="59" t="str">
        <f t="shared" ref="BY5" si="30">IF(BX5=0,"",C5)</f>
        <v/>
      </c>
      <c r="BZ5" s="59">
        <f>AK5</f>
        <v>7</v>
      </c>
      <c r="CA5" s="59" t="str">
        <f>AJ5</f>
        <v>Ahmed M</v>
      </c>
      <c r="CB5" s="59">
        <f>AV5</f>
        <v>0</v>
      </c>
      <c r="CC5" s="59" t="str">
        <f>AJ5</f>
        <v>Ahmed M</v>
      </c>
    </row>
    <row r="6" spans="1:81" x14ac:dyDescent="0.15">
      <c r="B6"/>
      <c r="C6" t="s">
        <v>425</v>
      </c>
      <c r="D6"/>
      <c r="E6"/>
      <c r="F6"/>
      <c r="G6"/>
      <c r="H6" t="s">
        <v>426</v>
      </c>
      <c r="I6"/>
      <c r="J6"/>
      <c r="K6"/>
      <c r="L6" t="s">
        <v>496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J6" s="59" t="str">
        <f t="shared" ref="AJ6:AJ62" si="31">C6</f>
        <v>Ahmed R</v>
      </c>
      <c r="AK6" s="59">
        <f t="shared" ref="AK6:AK9" si="32">BatSplit(D6:AI6,MatchesPlayed)</f>
        <v>2</v>
      </c>
      <c r="AL6" s="59">
        <f t="shared" ref="AL6:AL9" si="33">AK6-AM6</f>
        <v>0</v>
      </c>
      <c r="AM6" s="59">
        <f t="shared" ref="AM6:AM9" si="34">BatSplit(D6:AI6,InnsBattedIn)</f>
        <v>2</v>
      </c>
      <c r="AN6" s="59">
        <f t="shared" ref="AN6:AN9" si="35">BatSplit(D6:AI6,NotOuts)</f>
        <v>0</v>
      </c>
      <c r="AO6" s="59">
        <f t="shared" ref="AO6:AO9" si="36">BatSplit(D6:AI6,HighestScore)</f>
        <v>90</v>
      </c>
      <c r="AP6" s="63">
        <f t="shared" ref="AP6:AP9" si="37">IF(AO6&lt;0,-AO6&amp;"*",AO6)</f>
        <v>90</v>
      </c>
      <c r="AQ6" s="59">
        <f t="shared" ref="AQ6:AQ9" si="38">BatSplit(D6:AI6,RunsScored)</f>
        <v>176</v>
      </c>
      <c r="AR6" s="61">
        <f t="shared" ref="AR6:AR9" si="39">IF(AM6=AN6,0,AQ6/(AM6-AN6))</f>
        <v>88</v>
      </c>
      <c r="AS6" s="59">
        <f t="shared" ref="AS6:AS9" si="40">BatSplit(D6:AI6,FldPts)</f>
        <v>15</v>
      </c>
      <c r="AT6" s="62">
        <f t="array" ref="AT6">SUM(IF(ISERR(FIND("*",D6:AI6)),0,1))</f>
        <v>0</v>
      </c>
      <c r="AU6" s="62">
        <f t="array" ref="AU6">SUM(IF(ISERR(FIND("+",D6:AI6)),0,1))</f>
        <v>0</v>
      </c>
      <c r="AV6" s="59">
        <f t="shared" ref="AV6:AV9" si="41">BatSplit(D6:AI6,Ducks)</f>
        <v>0</v>
      </c>
      <c r="AW6" s="62">
        <f t="array" ref="AW6">SUM(IF(ISERR(FIND(AW$4,$D6:$AI6)),0,1))</f>
        <v>0</v>
      </c>
      <c r="AX6" s="62">
        <f t="array" ref="AX6">SUM(IF(ISERR(FIND(AX$4,$D6:$AI6)),0,1))</f>
        <v>2</v>
      </c>
      <c r="AY6" s="62">
        <f t="array" ref="AY6">SUM(IF(ISERR(FIND(AY$4,$D6:$AI6)),0,1))</f>
        <v>0</v>
      </c>
      <c r="AZ6" s="62">
        <f t="array" ref="AZ6">SUM(IF(ISERR(FIND(AZ$4,$D6:$AI6)),0,1))</f>
        <v>0</v>
      </c>
      <c r="BA6" s="62">
        <f t="array" ref="BA6">SUM(IF(ISERR(FIND(BA$4,$D6:$AI6)),0,1))</f>
        <v>0</v>
      </c>
      <c r="BB6" s="62">
        <f t="array" ref="BB6">SUM(IF(ISERR(FIND(BB$4,$D6:$AI6)),0,1))</f>
        <v>0</v>
      </c>
      <c r="BC6" s="62">
        <f t="array" ref="BC6">SUM(IF(ISERR(FIND(BC$4,$D6:$AI6)),0,1))</f>
        <v>0</v>
      </c>
      <c r="BD6" s="62">
        <f t="shared" ref="BD6:BD9" si="42">BatSplit(D6:AI6,Fifties)</f>
        <v>2</v>
      </c>
      <c r="BE6" s="62">
        <f t="shared" ref="BE6:BE9" si="43">BatSplit(D6:AI6,Hundreds)</f>
        <v>0</v>
      </c>
      <c r="BF6" s="62">
        <f t="shared" ref="BF6:BF9" si="44">BatSplit(D6:AI6,Catches)</f>
        <v>3</v>
      </c>
      <c r="BG6" s="62">
        <f t="shared" ref="BG6:BG9" si="45">BatSplit(D6:AI6,Fours)</f>
        <v>29</v>
      </c>
      <c r="BH6" s="62">
        <f t="shared" ref="BH6:BH9" si="46">BatSplit(D6:AI6,Sixes)</f>
        <v>0</v>
      </c>
      <c r="BI6" s="62">
        <f t="shared" ref="BI6:BI9" si="47">BatSplit(D6:AI6,Stumpings)</f>
        <v>0</v>
      </c>
      <c r="BJ6" s="62">
        <f t="shared" ref="BJ6:BJ9" si="48">BatSplit(D6:AI6,CaughtWkt)</f>
        <v>0</v>
      </c>
      <c r="BK6" s="62">
        <f t="shared" ref="BK6:BK9" si="49">BatSplit(D6:AI6,TwentyFives)</f>
        <v>2</v>
      </c>
      <c r="BL6" s="59">
        <f t="shared" ref="BL6:BL9" si="50">ROUND(IF(ISERROR(AR6),0,AR6),2)*100000+AM6*100+AK6+AQ6/100+ROW()/100000</f>
        <v>8800203.7600599993</v>
      </c>
      <c r="BM6" s="59">
        <f>RANK(BL6,$BL$5:$BL$62)</f>
        <v>1</v>
      </c>
      <c r="BN6" s="59">
        <v>0</v>
      </c>
      <c r="BO6" s="80">
        <f t="shared" ref="BO6:BO9" si="51">IF(AQ6&gt;=50,(BG6*4+BH6*6+BN6*5)/AQ6,"")</f>
        <v>0.65909090909090906</v>
      </c>
      <c r="BP6" s="88">
        <f t="shared" ref="BP6:BP9" si="52">AV6/(AM6-AN6)</f>
        <v>0</v>
      </c>
      <c r="BQ6" s="151">
        <f t="shared" ref="BQ6:BQ9" si="53">BF6</f>
        <v>3</v>
      </c>
      <c r="BR6" s="59" t="str">
        <f t="shared" ref="BR6:BR9" si="54">IF(BF6=0,"",BF6&amp;IF(BJ6=0,""," ("&amp;BJ6&amp;")"))</f>
        <v>3</v>
      </c>
      <c r="BS6" s="59" t="str">
        <f t="shared" ref="BS6:BS9" si="55">IF(BF6=0,"",C6)</f>
        <v>Ahmed R</v>
      </c>
      <c r="BT6" s="62">
        <f t="shared" ref="BT6:BT9" si="56">BH6</f>
        <v>0</v>
      </c>
      <c r="BU6" s="59" t="str">
        <f t="shared" ref="BU6:BU9" si="57">IF(BT6=0,"",C6)</f>
        <v/>
      </c>
      <c r="BV6" s="62">
        <f t="shared" ref="BV6:BV9" si="58">BG6</f>
        <v>29</v>
      </c>
      <c r="BW6" s="59" t="str">
        <f t="shared" ref="BW6:BW9" si="59">IF(BV6=0,"",C6)</f>
        <v>Ahmed R</v>
      </c>
      <c r="BX6" s="62">
        <f t="shared" ref="BX6:BX9" si="60">BK6</f>
        <v>2</v>
      </c>
      <c r="BY6" s="59" t="str">
        <f t="shared" ref="BY6:BY9" si="61">IF(BX6=0,"",C6)</f>
        <v>Ahmed R</v>
      </c>
      <c r="BZ6" s="59">
        <f t="shared" ref="BZ6:BZ62" si="62">AK6</f>
        <v>2</v>
      </c>
      <c r="CA6" s="59" t="str">
        <f t="shared" ref="CA6:CA62" si="63">AJ6</f>
        <v>Ahmed R</v>
      </c>
      <c r="CB6" s="59">
        <f t="shared" ref="CB6:CB62" si="64">AV6</f>
        <v>0</v>
      </c>
      <c r="CC6" s="59" t="str">
        <f t="shared" ref="CC6:CC62" si="65">AJ6</f>
        <v>Ahmed R</v>
      </c>
    </row>
    <row r="7" spans="1:81" x14ac:dyDescent="0.15">
      <c r="B7" t="s">
        <v>255</v>
      </c>
      <c r="C7" t="s">
        <v>235</v>
      </c>
      <c r="D7"/>
      <c r="E7" t="s">
        <v>404</v>
      </c>
      <c r="F7" t="s">
        <v>315</v>
      </c>
      <c r="G7" t="s">
        <v>387</v>
      </c>
      <c r="H7" t="s">
        <v>429</v>
      </c>
      <c r="I7" t="s">
        <v>312</v>
      </c>
      <c r="J7" t="s">
        <v>465</v>
      </c>
      <c r="K7" t="s">
        <v>477</v>
      </c>
      <c r="L7" t="s">
        <v>311</v>
      </c>
      <c r="M7" t="s">
        <v>513</v>
      </c>
      <c r="N7" t="s">
        <v>311</v>
      </c>
      <c r="O7" t="s">
        <v>530</v>
      </c>
      <c r="P7" t="s">
        <v>562</v>
      </c>
      <c r="Q7"/>
      <c r="R7" t="s">
        <v>602</v>
      </c>
      <c r="S7" t="s">
        <v>614</v>
      </c>
      <c r="T7" t="s">
        <v>577</v>
      </c>
      <c r="U7"/>
      <c r="V7" t="s">
        <v>658</v>
      </c>
      <c r="W7"/>
      <c r="X7"/>
      <c r="Y7"/>
      <c r="Z7"/>
      <c r="AJ7" s="59" t="str">
        <f t="shared" si="31"/>
        <v>Bhatt P</v>
      </c>
      <c r="AK7" s="59">
        <f t="shared" si="32"/>
        <v>16</v>
      </c>
      <c r="AL7" s="59">
        <f t="shared" si="33"/>
        <v>4</v>
      </c>
      <c r="AM7" s="59">
        <f t="shared" si="34"/>
        <v>12</v>
      </c>
      <c r="AN7" s="59">
        <f t="shared" si="35"/>
        <v>2</v>
      </c>
      <c r="AO7" s="59">
        <f t="shared" si="36"/>
        <v>-43</v>
      </c>
      <c r="AP7" s="63" t="str">
        <f t="shared" si="37"/>
        <v>43*</v>
      </c>
      <c r="AQ7" s="59">
        <f t="shared" si="38"/>
        <v>189</v>
      </c>
      <c r="AR7" s="61">
        <f t="shared" si="39"/>
        <v>18.899999999999999</v>
      </c>
      <c r="AS7" s="59">
        <f t="shared" si="40"/>
        <v>5</v>
      </c>
      <c r="AT7" s="62">
        <f t="array" ref="AT7">SUM(IF(ISERR(FIND("*",D7:AI7)),0,1))</f>
        <v>1</v>
      </c>
      <c r="AU7" s="62">
        <f t="array" ref="AU7">SUM(IF(ISERR(FIND("+",D7:AI7)),0,1))</f>
        <v>0</v>
      </c>
      <c r="AV7" s="59">
        <f t="shared" si="41"/>
        <v>1</v>
      </c>
      <c r="AW7" s="62">
        <f t="array" ref="AW7">SUM(IF(ISERR(FIND(AW$4,$D7:$AI7)),0,1))</f>
        <v>0</v>
      </c>
      <c r="AX7" s="62">
        <f t="array" ref="AX7">SUM(IF(ISERR(FIND(AX$4,$D7:$AI7)),0,1))</f>
        <v>8</v>
      </c>
      <c r="AY7" s="62">
        <f t="array" ref="AY7">SUM(IF(ISERR(FIND(AY$4,$D7:$AI7)),0,1))</f>
        <v>0</v>
      </c>
      <c r="AZ7" s="62">
        <f t="array" ref="AZ7">SUM(IF(ISERR(FIND(AZ$4,$D7:$AI7)),0,1))</f>
        <v>0</v>
      </c>
      <c r="BA7" s="62">
        <f t="array" ref="BA7">SUM(IF(ISERR(FIND(BA$4,$D7:$AI7)),0,1))</f>
        <v>2</v>
      </c>
      <c r="BB7" s="62">
        <f t="array" ref="BB7">SUM(IF(ISERR(FIND(BB$4,$D7:$AI7)),0,1))</f>
        <v>0</v>
      </c>
      <c r="BC7" s="62">
        <f t="array" ref="BC7">SUM(IF(ISERR(FIND(BC$4,$D7:$AI7)),0,1))</f>
        <v>0</v>
      </c>
      <c r="BD7" s="62">
        <f t="shared" si="42"/>
        <v>0</v>
      </c>
      <c r="BE7" s="62">
        <f t="shared" si="43"/>
        <v>0</v>
      </c>
      <c r="BF7" s="62">
        <f t="shared" si="44"/>
        <v>1</v>
      </c>
      <c r="BG7" s="62">
        <f t="shared" si="45"/>
        <v>20</v>
      </c>
      <c r="BH7" s="62">
        <f t="shared" si="46"/>
        <v>0</v>
      </c>
      <c r="BI7" s="62">
        <f t="shared" si="47"/>
        <v>0</v>
      </c>
      <c r="BJ7" s="62">
        <f t="shared" si="48"/>
        <v>0</v>
      </c>
      <c r="BK7" s="62">
        <f t="shared" si="49"/>
        <v>3</v>
      </c>
      <c r="BL7" s="59">
        <f t="shared" si="50"/>
        <v>1891217.8900699997</v>
      </c>
      <c r="BM7" s="59">
        <f>RANK(BL7,$BL$5:$BL$62)</f>
        <v>15</v>
      </c>
      <c r="BN7" s="59">
        <v>0</v>
      </c>
      <c r="BO7" s="80">
        <f t="shared" si="51"/>
        <v>0.42328042328042326</v>
      </c>
      <c r="BP7" s="88">
        <f t="shared" si="52"/>
        <v>0.1</v>
      </c>
      <c r="BQ7" s="151">
        <f t="shared" si="53"/>
        <v>1</v>
      </c>
      <c r="BR7" s="59" t="str">
        <f t="shared" si="54"/>
        <v>1</v>
      </c>
      <c r="BS7" s="59" t="str">
        <f t="shared" si="55"/>
        <v>Bhatt P</v>
      </c>
      <c r="BT7" s="62">
        <f t="shared" si="56"/>
        <v>0</v>
      </c>
      <c r="BU7" s="59" t="str">
        <f t="shared" si="57"/>
        <v/>
      </c>
      <c r="BV7" s="62">
        <f t="shared" si="58"/>
        <v>20</v>
      </c>
      <c r="BW7" s="59" t="str">
        <f t="shared" si="59"/>
        <v>Bhatt P</v>
      </c>
      <c r="BX7" s="62">
        <f t="shared" si="60"/>
        <v>3</v>
      </c>
      <c r="BY7" s="59" t="str">
        <f t="shared" si="61"/>
        <v>Bhatt P</v>
      </c>
      <c r="BZ7" s="59">
        <f t="shared" si="62"/>
        <v>16</v>
      </c>
      <c r="CA7" s="59" t="str">
        <f t="shared" si="63"/>
        <v>Bhatt P</v>
      </c>
      <c r="CB7" s="59">
        <f t="shared" si="64"/>
        <v>1</v>
      </c>
      <c r="CC7" s="59" t="str">
        <f t="shared" si="65"/>
        <v>Bhatt P</v>
      </c>
    </row>
    <row r="8" spans="1:81" x14ac:dyDescent="0.15">
      <c r="B8" t="s">
        <v>554</v>
      </c>
      <c r="C8" t="s">
        <v>555</v>
      </c>
      <c r="D8"/>
      <c r="E8"/>
      <c r="F8"/>
      <c r="G8"/>
      <c r="H8"/>
      <c r="I8"/>
      <c r="J8"/>
      <c r="K8"/>
      <c r="L8"/>
      <c r="M8"/>
      <c r="N8"/>
      <c r="O8"/>
      <c r="P8" t="s">
        <v>556</v>
      </c>
      <c r="Q8"/>
      <c r="R8"/>
      <c r="S8"/>
      <c r="T8"/>
      <c r="U8"/>
      <c r="V8"/>
      <c r="W8"/>
      <c r="X8"/>
      <c r="Y8"/>
      <c r="Z8"/>
      <c r="AJ8" s="59" t="str">
        <f t="shared" ref="AJ8" si="66">C8</f>
        <v>Biswas A</v>
      </c>
      <c r="AK8" s="59">
        <f t="shared" ref="AK8" si="67">BatSplit(D8:AI8,MatchesPlayed)</f>
        <v>1</v>
      </c>
      <c r="AL8" s="59">
        <f t="shared" ref="AL8" si="68">AK8-AM8</f>
        <v>0</v>
      </c>
      <c r="AM8" s="59">
        <f t="shared" ref="AM8" si="69">BatSplit(D8:AI8,InnsBattedIn)</f>
        <v>1</v>
      </c>
      <c r="AN8" s="59">
        <f t="shared" ref="AN8" si="70">BatSplit(D8:AI8,NotOuts)</f>
        <v>0</v>
      </c>
      <c r="AO8" s="59">
        <f t="shared" ref="AO8" si="71">BatSplit(D8:AI8,HighestScore)</f>
        <v>4</v>
      </c>
      <c r="AP8" s="63">
        <f t="shared" ref="AP8" si="72">IF(AO8&lt;0,-AO8&amp;"*",AO8)</f>
        <v>4</v>
      </c>
      <c r="AQ8" s="59">
        <f t="shared" ref="AQ8" si="73">BatSplit(D8:AI8,RunsScored)</f>
        <v>4</v>
      </c>
      <c r="AR8" s="61">
        <f t="shared" ref="AR8" si="74">IF(AM8=AN8,0,AQ8/(AM8-AN8))</f>
        <v>4</v>
      </c>
      <c r="AS8" s="59">
        <f t="shared" ref="AS8" si="75">BatSplit(D8:AI8,FldPts)</f>
        <v>0</v>
      </c>
      <c r="AT8" s="62">
        <f t="array" ref="AT8">SUM(IF(ISERR(FIND("*",D8:AI8)),0,1))</f>
        <v>0</v>
      </c>
      <c r="AU8" s="62">
        <f t="array" ref="AU8">SUM(IF(ISERR(FIND("+",D8:AI8)),0,1))</f>
        <v>0</v>
      </c>
      <c r="AV8" s="59">
        <f t="shared" ref="AV8" si="76">BatSplit(D8:AI8,Ducks)</f>
        <v>0</v>
      </c>
      <c r="AW8" s="62">
        <f t="array" ref="AW8">SUM(IF(ISERR(FIND(AW$4,$D8:$AI8)),0,1))</f>
        <v>1</v>
      </c>
      <c r="AX8" s="62">
        <f t="array" ref="AX8">SUM(IF(ISERR(FIND(AX$4,$D8:$AI8)),0,1))</f>
        <v>0</v>
      </c>
      <c r="AY8" s="62">
        <f t="array" ref="AY8">SUM(IF(ISERR(FIND(AY$4,$D8:$AI8)),0,1))</f>
        <v>0</v>
      </c>
      <c r="AZ8" s="62">
        <f t="array" ref="AZ8">SUM(IF(ISERR(FIND(AZ$4,$D8:$AI8)),0,1))</f>
        <v>0</v>
      </c>
      <c r="BA8" s="62">
        <f t="array" ref="BA8">SUM(IF(ISERR(FIND(BA$4,$D8:$AI8)),0,1))</f>
        <v>0</v>
      </c>
      <c r="BB8" s="62">
        <f t="array" ref="BB8">SUM(IF(ISERR(FIND(BB$4,$D8:$AI8)),0,1))</f>
        <v>0</v>
      </c>
      <c r="BC8" s="62">
        <f t="array" ref="BC8">SUM(IF(ISERR(FIND(BC$4,$D8:$AI8)),0,1))</f>
        <v>0</v>
      </c>
      <c r="BD8" s="62">
        <f t="shared" ref="BD8" si="77">BatSplit(D8:AI8,Fifties)</f>
        <v>0</v>
      </c>
      <c r="BE8" s="62">
        <f t="shared" ref="BE8" si="78">BatSplit(D8:AI8,Hundreds)</f>
        <v>0</v>
      </c>
      <c r="BF8" s="62">
        <f t="shared" ref="BF8" si="79">BatSplit(D8:AI8,Catches)</f>
        <v>0</v>
      </c>
      <c r="BG8" s="62">
        <f t="shared" ref="BG8" si="80">BatSplit(D8:AI8,Fours)</f>
        <v>1</v>
      </c>
      <c r="BH8" s="62">
        <f t="shared" ref="BH8" si="81">BatSplit(D8:AI8,Sixes)</f>
        <v>0</v>
      </c>
      <c r="BI8" s="62">
        <f t="shared" ref="BI8" si="82">BatSplit(D8:AI8,Stumpings)</f>
        <v>0</v>
      </c>
      <c r="BJ8" s="62">
        <f t="shared" ref="BJ8" si="83">BatSplit(D8:AI8,CaughtWkt)</f>
        <v>0</v>
      </c>
      <c r="BK8" s="62">
        <f t="shared" ref="BK8" si="84">BatSplit(D8:AI8,TwentyFives)</f>
        <v>0</v>
      </c>
      <c r="BL8" s="59">
        <f t="shared" ref="BL8" si="85">ROUND(IF(ISERROR(AR8),0,AR8),2)*100000+AM8*100+AK8+AQ8/100+ROW()/100000</f>
        <v>400101.04008000001</v>
      </c>
      <c r="BM8" s="59">
        <f t="shared" ref="BM8:BM62" si="86">RANK(BL8,$BL$5:$BL$62)</f>
        <v>30</v>
      </c>
      <c r="BN8" s="59">
        <v>0</v>
      </c>
      <c r="BO8" s="80" t="str">
        <f t="shared" ref="BO8" si="87">IF(AQ8&gt;=50,(BG8*4+BH8*6+BN8*5)/AQ8,"")</f>
        <v/>
      </c>
      <c r="BP8" s="88">
        <f t="shared" ref="BP8" si="88">AV8/(AM8-AN8)</f>
        <v>0</v>
      </c>
      <c r="BQ8" s="151">
        <f t="shared" ref="BQ8" si="89">BF8</f>
        <v>0</v>
      </c>
      <c r="BR8" s="59" t="str">
        <f t="shared" ref="BR8" si="90">IF(BF8=0,"",BF8&amp;IF(BJ8=0,""," ("&amp;BJ8&amp;")"))</f>
        <v/>
      </c>
      <c r="BS8" s="59" t="str">
        <f t="shared" ref="BS8" si="91">IF(BF8=0,"",C8)</f>
        <v/>
      </c>
      <c r="BT8" s="62">
        <f t="shared" ref="BT8" si="92">BH8</f>
        <v>0</v>
      </c>
      <c r="BU8" s="59" t="str">
        <f t="shared" ref="BU8" si="93">IF(BT8=0,"",C8)</f>
        <v/>
      </c>
      <c r="BV8" s="62">
        <f t="shared" ref="BV8" si="94">BG8</f>
        <v>1</v>
      </c>
      <c r="BW8" s="59" t="str">
        <f t="shared" ref="BW8" si="95">IF(BV8=0,"",C8)</f>
        <v>Biswas A</v>
      </c>
      <c r="BX8" s="62">
        <f t="shared" ref="BX8" si="96">BK8</f>
        <v>0</v>
      </c>
      <c r="BY8" s="59" t="str">
        <f t="shared" ref="BY8" si="97">IF(BX8=0,"",C8)</f>
        <v/>
      </c>
      <c r="BZ8" s="59">
        <f t="shared" si="62"/>
        <v>1</v>
      </c>
      <c r="CA8" s="59" t="str">
        <f t="shared" si="63"/>
        <v>Biswas A</v>
      </c>
      <c r="CB8" s="59">
        <f t="shared" si="64"/>
        <v>0</v>
      </c>
      <c r="CC8" s="59" t="str">
        <f t="shared" si="65"/>
        <v>Biswas A</v>
      </c>
    </row>
    <row r="9" spans="1:81" x14ac:dyDescent="0.15">
      <c r="B9" t="s">
        <v>24</v>
      </c>
      <c r="C9" t="s">
        <v>224</v>
      </c>
      <c r="D9"/>
      <c r="E9" t="s">
        <v>448</v>
      </c>
      <c r="F9" t="s">
        <v>407</v>
      </c>
      <c r="G9"/>
      <c r="H9"/>
      <c r="I9" t="s">
        <v>451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J9" s="59" t="str">
        <f t="shared" si="31"/>
        <v>Brocks D</v>
      </c>
      <c r="AK9" s="59">
        <f t="shared" si="32"/>
        <v>3</v>
      </c>
      <c r="AL9" s="59">
        <f t="shared" si="33"/>
        <v>0</v>
      </c>
      <c r="AM9" s="59">
        <f t="shared" si="34"/>
        <v>3</v>
      </c>
      <c r="AN9" s="59">
        <f t="shared" si="35"/>
        <v>0</v>
      </c>
      <c r="AO9" s="59">
        <f t="shared" si="36"/>
        <v>18</v>
      </c>
      <c r="AP9" s="63">
        <f t="shared" si="37"/>
        <v>18</v>
      </c>
      <c r="AQ9" s="59">
        <f t="shared" si="38"/>
        <v>22</v>
      </c>
      <c r="AR9" s="61">
        <f t="shared" si="39"/>
        <v>7.333333333333333</v>
      </c>
      <c r="AS9" s="59">
        <f t="shared" si="40"/>
        <v>10</v>
      </c>
      <c r="AT9" s="62">
        <f t="array" ref="AT9">SUM(IF(ISERR(FIND("*",D9:AI9)),0,1))</f>
        <v>0</v>
      </c>
      <c r="AU9" s="62">
        <f t="array" ref="AU9">SUM(IF(ISERR(FIND("+",D9:AI9)),0,1))</f>
        <v>0</v>
      </c>
      <c r="AV9" s="59">
        <f t="shared" si="41"/>
        <v>1</v>
      </c>
      <c r="AW9" s="62">
        <f t="array" ref="AW9">SUM(IF(ISERR(FIND(AW$4,$D9:$AI9)),0,1))</f>
        <v>1</v>
      </c>
      <c r="AX9" s="62">
        <f t="array" ref="AX9">SUM(IF(ISERR(FIND(AX$4,$D9:$AI9)),0,1))</f>
        <v>2</v>
      </c>
      <c r="AY9" s="62">
        <f t="array" ref="AY9">SUM(IF(ISERR(FIND(AY$4,$D9:$AI9)),0,1))</f>
        <v>0</v>
      </c>
      <c r="AZ9" s="62">
        <f t="array" ref="AZ9">SUM(IF(ISERR(FIND(AZ$4,$D9:$AI9)),0,1))</f>
        <v>0</v>
      </c>
      <c r="BA9" s="62">
        <f t="array" ref="BA9">SUM(IF(ISERR(FIND(BA$4,$D9:$AI9)),0,1))</f>
        <v>0</v>
      </c>
      <c r="BB9" s="62">
        <f t="array" ref="BB9">SUM(IF(ISERR(FIND(BB$4,$D9:$AI9)),0,1))</f>
        <v>0</v>
      </c>
      <c r="BC9" s="62">
        <f t="array" ref="BC9">SUM(IF(ISERR(FIND(BC$4,$D9:$AI9)),0,1))</f>
        <v>0</v>
      </c>
      <c r="BD9" s="62">
        <f t="shared" si="42"/>
        <v>0</v>
      </c>
      <c r="BE9" s="62">
        <f t="shared" si="43"/>
        <v>0</v>
      </c>
      <c r="BF9" s="62">
        <f t="shared" si="44"/>
        <v>2</v>
      </c>
      <c r="BG9" s="62">
        <f t="shared" si="45"/>
        <v>3</v>
      </c>
      <c r="BH9" s="62">
        <f t="shared" si="46"/>
        <v>0</v>
      </c>
      <c r="BI9" s="62">
        <f t="shared" si="47"/>
        <v>0</v>
      </c>
      <c r="BJ9" s="62">
        <f t="shared" si="48"/>
        <v>0</v>
      </c>
      <c r="BK9" s="62">
        <f t="shared" si="49"/>
        <v>0</v>
      </c>
      <c r="BL9" s="59">
        <f t="shared" si="50"/>
        <v>733303.22008999996</v>
      </c>
      <c r="BM9" s="59">
        <f t="shared" si="86"/>
        <v>23</v>
      </c>
      <c r="BN9" s="59">
        <v>0</v>
      </c>
      <c r="BO9" s="80" t="str">
        <f t="shared" si="51"/>
        <v/>
      </c>
      <c r="BP9" s="88">
        <f t="shared" si="52"/>
        <v>0.33333333333333331</v>
      </c>
      <c r="BQ9" s="151">
        <f t="shared" si="53"/>
        <v>2</v>
      </c>
      <c r="BR9" s="59" t="str">
        <f t="shared" si="54"/>
        <v>2</v>
      </c>
      <c r="BS9" s="59" t="str">
        <f t="shared" si="55"/>
        <v>Brocks D</v>
      </c>
      <c r="BT9" s="62">
        <f t="shared" si="56"/>
        <v>0</v>
      </c>
      <c r="BU9" s="59" t="str">
        <f t="shared" si="57"/>
        <v/>
      </c>
      <c r="BV9" s="62">
        <f t="shared" si="58"/>
        <v>3</v>
      </c>
      <c r="BW9" s="59" t="str">
        <f t="shared" si="59"/>
        <v>Brocks D</v>
      </c>
      <c r="BX9" s="62">
        <f t="shared" si="60"/>
        <v>0</v>
      </c>
      <c r="BY9" s="59" t="str">
        <f t="shared" si="61"/>
        <v/>
      </c>
      <c r="BZ9" s="59">
        <f t="shared" si="62"/>
        <v>3</v>
      </c>
      <c r="CA9" s="59" t="str">
        <f t="shared" si="63"/>
        <v>Brocks D</v>
      </c>
      <c r="CB9" s="59">
        <f t="shared" si="64"/>
        <v>1</v>
      </c>
      <c r="CC9" s="59" t="str">
        <f t="shared" si="65"/>
        <v>Brocks D</v>
      </c>
    </row>
    <row r="10" spans="1:81" x14ac:dyDescent="0.15">
      <c r="B10" t="s">
        <v>203</v>
      </c>
      <c r="C10" t="s">
        <v>204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J10" s="59" t="str">
        <f t="shared" si="31"/>
        <v>Clarkson M</v>
      </c>
      <c r="AK10" s="59">
        <f t="shared" ref="AK10:AK62" si="98">BatSplit(D10:AI10,MatchesPlayed)</f>
        <v>0</v>
      </c>
      <c r="AL10" s="59">
        <f t="shared" ref="AL10:AL62" si="99">AK10-AM10</f>
        <v>0</v>
      </c>
      <c r="AM10" s="59">
        <f t="shared" ref="AM10:AM62" si="100">BatSplit(D10:AI10,InnsBattedIn)</f>
        <v>0</v>
      </c>
      <c r="AN10" s="59">
        <f t="shared" ref="AN10:AN62" si="101">BatSplit(D10:AI10,NotOuts)</f>
        <v>0</v>
      </c>
      <c r="AO10" s="59">
        <f t="shared" ref="AO10:AO62" si="102">BatSplit(D10:AI10,HighestScore)</f>
        <v>0</v>
      </c>
      <c r="AP10" s="63">
        <f t="shared" ref="AP10:AP62" si="103">IF(AO10&lt;0,-AO10&amp;"*",AO10)</f>
        <v>0</v>
      </c>
      <c r="AQ10" s="59">
        <f t="shared" ref="AQ10:AQ62" si="104">BatSplit(D10:AI10,RunsScored)</f>
        <v>0</v>
      </c>
      <c r="AR10" s="61">
        <f t="shared" ref="AR10:AR62" si="105">IF(AM10=AN10,0,AQ10/(AM10-AN10))</f>
        <v>0</v>
      </c>
      <c r="AS10" s="59">
        <f t="shared" ref="AS10:AS62" si="106">BatSplit(D10:AI10,FldPts)</f>
        <v>0</v>
      </c>
      <c r="AT10" s="62">
        <f t="array" ref="AT10">SUM(IF(ISERR(FIND("*",D10:AI10)),0,1))</f>
        <v>0</v>
      </c>
      <c r="AU10" s="62">
        <f t="array" ref="AU10">SUM(IF(ISERR(FIND("+",D10:AI10)),0,1))</f>
        <v>0</v>
      </c>
      <c r="AV10" s="59">
        <f t="shared" ref="AV10:AV62" si="107">BatSplit(D10:AI10,Ducks)</f>
        <v>0</v>
      </c>
      <c r="AW10" s="62">
        <f t="array" ref="AW10">SUM(IF(ISERR(FIND(AW$4,$D10:$AI10)),0,1))</f>
        <v>0</v>
      </c>
      <c r="AX10" s="62">
        <f t="array" ref="AX10">SUM(IF(ISERR(FIND(AX$4,$D10:$AI10)),0,1))</f>
        <v>0</v>
      </c>
      <c r="AY10" s="62">
        <f t="array" ref="AY10">SUM(IF(ISERR(FIND(AY$4,$D10:$AI10)),0,1))</f>
        <v>0</v>
      </c>
      <c r="AZ10" s="62">
        <f t="array" ref="AZ10">SUM(IF(ISERR(FIND(AZ$4,$D10:$AI10)),0,1))</f>
        <v>0</v>
      </c>
      <c r="BA10" s="62">
        <f t="array" ref="BA10">SUM(IF(ISERR(FIND(BA$4,$D10:$AI10)),0,1))</f>
        <v>0</v>
      </c>
      <c r="BB10" s="62">
        <f t="array" ref="BB10">SUM(IF(ISERR(FIND(BB$4,$D10:$AI10)),0,1))</f>
        <v>0</v>
      </c>
      <c r="BC10" s="62">
        <f t="array" ref="BC10">SUM(IF(ISERR(FIND(BC$4,$D10:$AI10)),0,1))</f>
        <v>0</v>
      </c>
      <c r="BD10" s="62">
        <f t="shared" ref="BD10:BD62" si="108">BatSplit(D10:AI10,Fifties)</f>
        <v>0</v>
      </c>
      <c r="BE10" s="62">
        <f t="shared" ref="BE10:BE62" si="109">BatSplit(D10:AI10,Hundreds)</f>
        <v>0</v>
      </c>
      <c r="BF10" s="62">
        <f t="shared" ref="BF10:BF62" si="110">BatSplit(D10:AI10,Catches)</f>
        <v>0</v>
      </c>
      <c r="BG10" s="62">
        <f t="shared" ref="BG10:BG62" si="111">BatSplit(D10:AI10,Fours)</f>
        <v>0</v>
      </c>
      <c r="BH10" s="62">
        <f t="shared" ref="BH10:BH62" si="112">BatSplit(D10:AI10,Sixes)</f>
        <v>0</v>
      </c>
      <c r="BI10" s="62">
        <f t="shared" ref="BI10:BI62" si="113">BatSplit(D10:AI10,Stumpings)</f>
        <v>0</v>
      </c>
      <c r="BJ10" s="62">
        <f t="shared" ref="BJ10:BJ62" si="114">BatSplit(D10:AI10,CaughtWkt)</f>
        <v>0</v>
      </c>
      <c r="BK10" s="62">
        <f t="shared" ref="BK10:BK62" si="115">BatSplit(D10:AI10,TwentyFives)</f>
        <v>0</v>
      </c>
      <c r="BL10" s="59">
        <f t="shared" ref="BL10:BL62" si="116">ROUND(IF(ISERROR(AR10),0,AR10),2)*100000+AM10*100+AK10+AQ10/100+ROW()/100000</f>
        <v>1E-4</v>
      </c>
      <c r="BM10" s="59">
        <f t="shared" si="86"/>
        <v>58</v>
      </c>
      <c r="BN10" s="59">
        <v>1</v>
      </c>
      <c r="BO10" s="80" t="str">
        <f t="shared" ref="BO10:BO62" si="117">IF(AQ10&gt;=50,(BG10*4+BH10*6+BN10*5)/AQ10,"")</f>
        <v/>
      </c>
      <c r="BP10" s="88" t="e">
        <f t="shared" ref="BP10:BP62" si="118">AV10/(AM10-AN10)</f>
        <v>#DIV/0!</v>
      </c>
      <c r="BQ10" s="151">
        <f t="shared" ref="BQ10:BQ62" si="119">BF10</f>
        <v>0</v>
      </c>
      <c r="BR10" s="59" t="str">
        <f t="shared" ref="BR10:BR62" si="120">IF(BF10=0,"",BF10&amp;IF(BJ10=0,""," ("&amp;BJ10&amp;")"))</f>
        <v/>
      </c>
      <c r="BS10" s="59" t="str">
        <f t="shared" ref="BS10:BS62" si="121">IF(BF10=0,"",C10)</f>
        <v/>
      </c>
      <c r="BT10" s="62">
        <f t="shared" ref="BT10:BT62" si="122">BH10</f>
        <v>0</v>
      </c>
      <c r="BU10" s="59" t="str">
        <f t="shared" ref="BU10:BU62" si="123">IF(BT10=0,"",C10)</f>
        <v/>
      </c>
      <c r="BV10" s="62">
        <f t="shared" ref="BV10:BV62" si="124">BG10</f>
        <v>0</v>
      </c>
      <c r="BW10" s="59" t="str">
        <f t="shared" ref="BW10:BW62" si="125">IF(BV10=0,"",C10)</f>
        <v/>
      </c>
      <c r="BX10" s="62">
        <f t="shared" ref="BX10:BX62" si="126">BK10</f>
        <v>0</v>
      </c>
      <c r="BY10" s="59" t="str">
        <f t="shared" ref="BY10:BY62" si="127">IF(BX10=0,"",C10)</f>
        <v/>
      </c>
      <c r="BZ10" s="59">
        <f t="shared" si="62"/>
        <v>0</v>
      </c>
      <c r="CA10" s="59" t="str">
        <f t="shared" si="63"/>
        <v>Clarkson M</v>
      </c>
      <c r="CB10" s="59">
        <f t="shared" si="64"/>
        <v>0</v>
      </c>
      <c r="CC10" s="59" t="str">
        <f t="shared" si="65"/>
        <v>Clarkson M</v>
      </c>
    </row>
    <row r="11" spans="1:81" x14ac:dyDescent="0.15">
      <c r="B11" t="s">
        <v>571</v>
      </c>
      <c r="C11" t="s">
        <v>572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 t="s">
        <v>573</v>
      </c>
      <c r="R11"/>
      <c r="S11"/>
      <c r="T11" t="s">
        <v>634</v>
      </c>
      <c r="U11"/>
      <c r="V11"/>
      <c r="W11"/>
      <c r="X11"/>
      <c r="Y11"/>
      <c r="Z11"/>
      <c r="AJ11" t="str">
        <f t="shared" si="31"/>
        <v>Crone W</v>
      </c>
      <c r="AK11" s="59">
        <f t="shared" si="98"/>
        <v>2</v>
      </c>
      <c r="AL11" s="59">
        <f t="shared" si="99"/>
        <v>0</v>
      </c>
      <c r="AM11" s="59">
        <f t="shared" si="100"/>
        <v>2</v>
      </c>
      <c r="AN11" s="59">
        <f t="shared" si="101"/>
        <v>0</v>
      </c>
      <c r="AO11" s="59">
        <f t="shared" si="102"/>
        <v>45</v>
      </c>
      <c r="AP11" s="63">
        <f t="shared" si="103"/>
        <v>45</v>
      </c>
      <c r="AQ11" s="59">
        <f t="shared" si="104"/>
        <v>62</v>
      </c>
      <c r="AR11" s="61">
        <f t="shared" si="105"/>
        <v>31</v>
      </c>
      <c r="AS11" s="59">
        <f t="shared" si="106"/>
        <v>0</v>
      </c>
      <c r="AT11" s="62">
        <f t="array" ref="AT11">SUM(IF(ISERR(FIND("*",D11:AI11)),0,1))</f>
        <v>0</v>
      </c>
      <c r="AU11" s="62">
        <f t="array" ref="AU11">SUM(IF(ISERR(FIND("+",D11:AI11)),0,1))</f>
        <v>0</v>
      </c>
      <c r="AV11" s="59">
        <f t="shared" si="107"/>
        <v>0</v>
      </c>
      <c r="AW11" s="62">
        <f t="array" ref="AW11">SUM(IF(ISERR(FIND(AW$4,$D11:$AI11)),0,1))</f>
        <v>0</v>
      </c>
      <c r="AX11" s="62">
        <f t="array" ref="AX11">SUM(IF(ISERR(FIND(AX$4,$D11:$AI11)),0,1))</f>
        <v>2</v>
      </c>
      <c r="AY11" s="62">
        <f t="array" ref="AY11">SUM(IF(ISERR(FIND(AY$4,$D11:$AI11)),0,1))</f>
        <v>0</v>
      </c>
      <c r="AZ11" s="62">
        <f t="array" ref="AZ11">SUM(IF(ISERR(FIND(AZ$4,$D11:$AI11)),0,1))</f>
        <v>0</v>
      </c>
      <c r="BA11" s="62">
        <f t="array" ref="BA11">SUM(IF(ISERR(FIND(BA$4,$D11:$AI11)),0,1))</f>
        <v>0</v>
      </c>
      <c r="BB11" s="62">
        <f t="array" ref="BB11">SUM(IF(ISERR(FIND(BB$4,$D11:$AI11)),0,1))</f>
        <v>0</v>
      </c>
      <c r="BC11" s="62">
        <f t="array" ref="BC11">SUM(IF(ISERR(FIND(BC$4,$D11:$AI11)),0,1))</f>
        <v>0</v>
      </c>
      <c r="BD11" s="62">
        <f t="shared" si="108"/>
        <v>0</v>
      </c>
      <c r="BE11" s="62">
        <f t="shared" si="109"/>
        <v>0</v>
      </c>
      <c r="BF11" s="62">
        <f t="shared" si="110"/>
        <v>0</v>
      </c>
      <c r="BG11" s="62">
        <f t="shared" si="111"/>
        <v>5</v>
      </c>
      <c r="BH11" s="62">
        <f t="shared" si="112"/>
        <v>0</v>
      </c>
      <c r="BI11" s="62">
        <f t="shared" si="113"/>
        <v>0</v>
      </c>
      <c r="BJ11" s="62">
        <f t="shared" si="114"/>
        <v>0</v>
      </c>
      <c r="BK11" s="62">
        <f t="shared" si="115"/>
        <v>1</v>
      </c>
      <c r="BL11" s="59">
        <f t="shared" si="116"/>
        <v>3100202.62011</v>
      </c>
      <c r="BM11" s="59">
        <f t="shared" si="86"/>
        <v>8</v>
      </c>
      <c r="BN11" s="59">
        <v>2</v>
      </c>
      <c r="BO11" s="80">
        <f t="shared" si="117"/>
        <v>0.4838709677419355</v>
      </c>
      <c r="BP11" s="88">
        <f t="shared" si="118"/>
        <v>0</v>
      </c>
      <c r="BQ11" s="151">
        <f t="shared" si="119"/>
        <v>0</v>
      </c>
      <c r="BR11" s="59" t="str">
        <f t="shared" si="120"/>
        <v/>
      </c>
      <c r="BS11" s="59" t="str">
        <f t="shared" si="121"/>
        <v/>
      </c>
      <c r="BT11" s="62">
        <f t="shared" si="122"/>
        <v>0</v>
      </c>
      <c r="BU11" s="59" t="str">
        <f t="shared" si="123"/>
        <v/>
      </c>
      <c r="BV11" s="62">
        <f t="shared" si="124"/>
        <v>5</v>
      </c>
      <c r="BW11" s="59" t="str">
        <f t="shared" si="125"/>
        <v>Crone W</v>
      </c>
      <c r="BX11" s="62">
        <f t="shared" si="126"/>
        <v>1</v>
      </c>
      <c r="BY11" s="59" t="str">
        <f t="shared" si="127"/>
        <v>Crone W</v>
      </c>
      <c r="BZ11" s="59">
        <f t="shared" si="62"/>
        <v>2</v>
      </c>
      <c r="CA11" s="59" t="str">
        <f t="shared" si="63"/>
        <v>Crone W</v>
      </c>
      <c r="CB11" s="59">
        <f t="shared" si="64"/>
        <v>0</v>
      </c>
      <c r="CC11" s="59" t="str">
        <f t="shared" si="65"/>
        <v>Crone W</v>
      </c>
    </row>
    <row r="12" spans="1:81" x14ac:dyDescent="0.15">
      <c r="B12" t="s">
        <v>298</v>
      </c>
      <c r="C12" t="s">
        <v>299</v>
      </c>
      <c r="D12"/>
      <c r="E12"/>
      <c r="F12"/>
      <c r="G12"/>
      <c r="H12"/>
      <c r="I12" t="s">
        <v>452</v>
      </c>
      <c r="J12"/>
      <c r="K12" t="s">
        <v>478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AJ12" s="59" t="str">
        <f t="shared" si="31"/>
        <v>Curling L</v>
      </c>
      <c r="AK12" s="59">
        <f t="shared" si="98"/>
        <v>2</v>
      </c>
      <c r="AL12" s="59">
        <f t="shared" si="99"/>
        <v>0</v>
      </c>
      <c r="AM12" s="59">
        <f t="shared" si="100"/>
        <v>2</v>
      </c>
      <c r="AN12" s="59">
        <f t="shared" si="101"/>
        <v>0</v>
      </c>
      <c r="AO12" s="59">
        <f t="shared" si="102"/>
        <v>33</v>
      </c>
      <c r="AP12" s="63">
        <f t="shared" si="103"/>
        <v>33</v>
      </c>
      <c r="AQ12" s="59">
        <f t="shared" si="104"/>
        <v>40</v>
      </c>
      <c r="AR12" s="61">
        <f t="shared" si="105"/>
        <v>20</v>
      </c>
      <c r="AS12" s="59">
        <f t="shared" si="106"/>
        <v>0</v>
      </c>
      <c r="AT12" s="62">
        <f t="array" ref="AT12">SUM(IF(ISERR(FIND("*",D12:AI12)),0,1))</f>
        <v>0</v>
      </c>
      <c r="AU12" s="62">
        <f t="array" ref="AU12">SUM(IF(ISERR(FIND("+",D12:AI12)),0,1))</f>
        <v>0</v>
      </c>
      <c r="AV12" s="59">
        <f t="shared" si="107"/>
        <v>0</v>
      </c>
      <c r="AW12" s="62">
        <f t="array" ref="AW12">SUM(IF(ISERR(FIND(AW$4,$D12:$AI12)),0,1))</f>
        <v>0</v>
      </c>
      <c r="AX12" s="62">
        <f t="array" ref="AX12">SUM(IF(ISERR(FIND(AX$4,$D12:$AI12)),0,1))</f>
        <v>1</v>
      </c>
      <c r="AY12" s="62">
        <f t="array" ref="AY12">SUM(IF(ISERR(FIND(AY$4,$D12:$AI12)),0,1))</f>
        <v>0</v>
      </c>
      <c r="AZ12" s="62">
        <f t="array" ref="AZ12">SUM(IF(ISERR(FIND(AZ$4,$D12:$AI12)),0,1))</f>
        <v>1</v>
      </c>
      <c r="BA12" s="62">
        <f t="array" ref="BA12">SUM(IF(ISERR(FIND(BA$4,$D12:$AI12)),0,1))</f>
        <v>0</v>
      </c>
      <c r="BB12" s="62">
        <f t="array" ref="BB12">SUM(IF(ISERR(FIND(BB$4,$D12:$AI12)),0,1))</f>
        <v>0</v>
      </c>
      <c r="BC12" s="62">
        <f t="array" ref="BC12">SUM(IF(ISERR(FIND(BC$4,$D12:$AI12)),0,1))</f>
        <v>0</v>
      </c>
      <c r="BD12" s="62">
        <f t="shared" si="108"/>
        <v>0</v>
      </c>
      <c r="BE12" s="62">
        <f t="shared" si="109"/>
        <v>0</v>
      </c>
      <c r="BF12" s="62">
        <f t="shared" si="110"/>
        <v>0</v>
      </c>
      <c r="BG12" s="62">
        <f t="shared" si="111"/>
        <v>7</v>
      </c>
      <c r="BH12" s="62">
        <f t="shared" si="112"/>
        <v>0</v>
      </c>
      <c r="BI12" s="62">
        <f t="shared" si="113"/>
        <v>0</v>
      </c>
      <c r="BJ12" s="62">
        <f t="shared" si="114"/>
        <v>0</v>
      </c>
      <c r="BK12" s="62">
        <f t="shared" si="115"/>
        <v>1</v>
      </c>
      <c r="BL12" s="59">
        <f t="shared" si="116"/>
        <v>2000202.4001199999</v>
      </c>
      <c r="BM12" s="59">
        <f t="shared" si="86"/>
        <v>14</v>
      </c>
      <c r="BN12" s="59">
        <v>3</v>
      </c>
      <c r="BO12" s="80" t="str">
        <f t="shared" si="117"/>
        <v/>
      </c>
      <c r="BP12" s="88">
        <f t="shared" si="118"/>
        <v>0</v>
      </c>
      <c r="BQ12" s="151">
        <f t="shared" si="119"/>
        <v>0</v>
      </c>
      <c r="BR12" s="59" t="str">
        <f t="shared" si="120"/>
        <v/>
      </c>
      <c r="BS12" s="59" t="str">
        <f t="shared" si="121"/>
        <v/>
      </c>
      <c r="BT12" s="62">
        <f t="shared" si="122"/>
        <v>0</v>
      </c>
      <c r="BU12" s="59" t="str">
        <f t="shared" si="123"/>
        <v/>
      </c>
      <c r="BV12" s="62">
        <f t="shared" si="124"/>
        <v>7</v>
      </c>
      <c r="BW12" s="59" t="str">
        <f t="shared" si="125"/>
        <v>Curling L</v>
      </c>
      <c r="BX12" s="62">
        <f t="shared" si="126"/>
        <v>1</v>
      </c>
      <c r="BY12" s="59" t="str">
        <f t="shared" si="127"/>
        <v>Curling L</v>
      </c>
      <c r="BZ12" s="59">
        <f t="shared" si="62"/>
        <v>2</v>
      </c>
      <c r="CA12" s="59" t="str">
        <f t="shared" si="63"/>
        <v>Curling L</v>
      </c>
      <c r="CB12" s="59">
        <f t="shared" si="64"/>
        <v>0</v>
      </c>
      <c r="CC12" s="59" t="str">
        <f t="shared" si="65"/>
        <v>Curling L</v>
      </c>
    </row>
    <row r="13" spans="1:81" x14ac:dyDescent="0.15">
      <c r="B13" t="s">
        <v>323</v>
      </c>
      <c r="C13" t="s">
        <v>324</v>
      </c>
      <c r="D13" t="s">
        <v>378</v>
      </c>
      <c r="E13" t="s">
        <v>313</v>
      </c>
      <c r="F13"/>
      <c r="G13" t="s">
        <v>397</v>
      </c>
      <c r="H13"/>
      <c r="I13" t="s">
        <v>454</v>
      </c>
      <c r="J13" t="s">
        <v>467</v>
      </c>
      <c r="K13" t="s">
        <v>305</v>
      </c>
      <c r="L13"/>
      <c r="M13"/>
      <c r="N13" t="s">
        <v>312</v>
      </c>
      <c r="O13"/>
      <c r="P13" t="s">
        <v>558</v>
      </c>
      <c r="Q13" t="s">
        <v>577</v>
      </c>
      <c r="R13"/>
      <c r="S13" t="s">
        <v>613</v>
      </c>
      <c r="T13" t="s">
        <v>633</v>
      </c>
      <c r="U13"/>
      <c r="V13"/>
      <c r="W13"/>
      <c r="X13" t="s">
        <v>328</v>
      </c>
      <c r="Y13"/>
      <c r="AJ13" s="59" t="str">
        <f t="shared" si="31"/>
        <v>De S</v>
      </c>
      <c r="AK13" s="59">
        <f t="shared" si="98"/>
        <v>12</v>
      </c>
      <c r="AL13" s="59">
        <f t="shared" si="99"/>
        <v>2</v>
      </c>
      <c r="AM13" s="59">
        <f t="shared" si="100"/>
        <v>10</v>
      </c>
      <c r="AN13" s="59">
        <f t="shared" si="101"/>
        <v>2</v>
      </c>
      <c r="AO13" s="59">
        <f t="shared" si="102"/>
        <v>84</v>
      </c>
      <c r="AP13" s="63">
        <f t="shared" si="103"/>
        <v>84</v>
      </c>
      <c r="AQ13" s="59">
        <f t="shared" si="104"/>
        <v>237</v>
      </c>
      <c r="AR13" s="61">
        <f t="shared" si="105"/>
        <v>29.625</v>
      </c>
      <c r="AS13" s="59">
        <f t="shared" si="106"/>
        <v>5</v>
      </c>
      <c r="AT13" s="62">
        <f t="array" ref="AT13">SUM(IF(ISERR(FIND("*",D13:AI13)),0,1))</f>
        <v>0</v>
      </c>
      <c r="AU13" s="62">
        <f t="array" ref="AU13">SUM(IF(ISERR(FIND("+",D13:AI13)),0,1))</f>
        <v>0</v>
      </c>
      <c r="AV13" s="59">
        <f t="shared" si="107"/>
        <v>3</v>
      </c>
      <c r="AW13" s="62">
        <f t="array" ref="AW13">SUM(IF(ISERR(FIND(AW$4,$D13:$AI13)),0,1))</f>
        <v>3</v>
      </c>
      <c r="AX13" s="62">
        <f t="array" ref="AX13">SUM(IF(ISERR(FIND(AX$4,$D13:$AI13)),0,1))</f>
        <v>4</v>
      </c>
      <c r="AY13" s="62">
        <f t="array" ref="AY13">SUM(IF(ISERR(FIND(AY$4,$D13:$AI13)),0,1))</f>
        <v>0</v>
      </c>
      <c r="AZ13" s="62">
        <f t="array" ref="AZ13">SUM(IF(ISERR(FIND(AZ$4,$D13:$AI13)),0,1))</f>
        <v>0</v>
      </c>
      <c r="BA13" s="62">
        <f t="array" ref="BA13">SUM(IF(ISERR(FIND(BA$4,$D13:$AI13)),0,1))</f>
        <v>1</v>
      </c>
      <c r="BB13" s="62">
        <f t="array" ref="BB13">SUM(IF(ISERR(FIND(BB$4,$D13:$AI13)),0,1))</f>
        <v>0</v>
      </c>
      <c r="BC13" s="62">
        <f t="array" ref="BC13">SUM(IF(ISERR(FIND(BC$4,$D13:$AI13)),0,1))</f>
        <v>0</v>
      </c>
      <c r="BD13" s="62">
        <f t="shared" si="108"/>
        <v>2</v>
      </c>
      <c r="BE13" s="62">
        <f t="shared" si="109"/>
        <v>0</v>
      </c>
      <c r="BF13" s="62">
        <f t="shared" si="110"/>
        <v>1</v>
      </c>
      <c r="BG13" s="62">
        <f t="shared" si="111"/>
        <v>31</v>
      </c>
      <c r="BH13" s="62">
        <f t="shared" si="112"/>
        <v>3</v>
      </c>
      <c r="BI13" s="62">
        <f t="shared" si="113"/>
        <v>0</v>
      </c>
      <c r="BJ13" s="62">
        <f t="shared" si="114"/>
        <v>0</v>
      </c>
      <c r="BK13" s="62">
        <f t="shared" si="115"/>
        <v>5</v>
      </c>
      <c r="BL13" s="59">
        <f t="shared" si="116"/>
        <v>2964014.3701300002</v>
      </c>
      <c r="BM13" s="59">
        <f t="shared" si="86"/>
        <v>9</v>
      </c>
      <c r="BN13" s="59">
        <v>4</v>
      </c>
      <c r="BO13" s="80">
        <f t="shared" si="117"/>
        <v>0.68354430379746833</v>
      </c>
      <c r="BP13" s="88">
        <f t="shared" si="118"/>
        <v>0.375</v>
      </c>
      <c r="BQ13" s="151">
        <f t="shared" si="119"/>
        <v>1</v>
      </c>
      <c r="BR13" s="59" t="str">
        <f t="shared" si="120"/>
        <v>1</v>
      </c>
      <c r="BS13" s="59" t="str">
        <f t="shared" si="121"/>
        <v>De S</v>
      </c>
      <c r="BT13" s="62">
        <f t="shared" si="122"/>
        <v>3</v>
      </c>
      <c r="BU13" s="59" t="str">
        <f t="shared" si="123"/>
        <v>De S</v>
      </c>
      <c r="BV13" s="62">
        <f t="shared" si="124"/>
        <v>31</v>
      </c>
      <c r="BW13" s="59" t="str">
        <f t="shared" si="125"/>
        <v>De S</v>
      </c>
      <c r="BX13" s="62">
        <f t="shared" si="126"/>
        <v>5</v>
      </c>
      <c r="BY13" s="59" t="str">
        <f t="shared" si="127"/>
        <v>De S</v>
      </c>
      <c r="BZ13" s="59">
        <f t="shared" si="62"/>
        <v>12</v>
      </c>
      <c r="CA13" s="59" t="str">
        <f t="shared" si="63"/>
        <v>De S</v>
      </c>
      <c r="CB13" s="59">
        <f t="shared" si="64"/>
        <v>3</v>
      </c>
      <c r="CC13" s="59" t="str">
        <f t="shared" si="65"/>
        <v>De S</v>
      </c>
    </row>
    <row r="14" spans="1:81" x14ac:dyDescent="0.15">
      <c r="B14" t="s">
        <v>231</v>
      </c>
      <c r="C14" t="s">
        <v>273</v>
      </c>
      <c r="E14"/>
      <c r="G14"/>
      <c r="J14"/>
      <c r="K14"/>
      <c r="L14"/>
      <c r="M14"/>
      <c r="N14"/>
      <c r="O14"/>
      <c r="P14"/>
      <c r="Q14"/>
      <c r="R14"/>
      <c r="S14"/>
      <c r="T14"/>
      <c r="U14" t="s">
        <v>649</v>
      </c>
      <c r="V14"/>
      <c r="W14"/>
      <c r="X14"/>
      <c r="Y14"/>
      <c r="Z14"/>
      <c r="AJ14" s="59" t="str">
        <f t="shared" si="31"/>
        <v>Deol R</v>
      </c>
      <c r="AK14" s="59">
        <f t="shared" si="98"/>
        <v>1</v>
      </c>
      <c r="AL14" s="59">
        <f t="shared" si="99"/>
        <v>0</v>
      </c>
      <c r="AM14" s="59">
        <f t="shared" si="100"/>
        <v>1</v>
      </c>
      <c r="AN14" s="59">
        <f t="shared" si="101"/>
        <v>0</v>
      </c>
      <c r="AO14" s="59">
        <f t="shared" si="102"/>
        <v>5</v>
      </c>
      <c r="AP14" s="63">
        <f t="shared" si="103"/>
        <v>5</v>
      </c>
      <c r="AQ14" s="59">
        <f t="shared" si="104"/>
        <v>5</v>
      </c>
      <c r="AR14" s="61">
        <f t="shared" si="105"/>
        <v>5</v>
      </c>
      <c r="AS14" s="59">
        <f t="shared" si="106"/>
        <v>0</v>
      </c>
      <c r="AT14" s="62">
        <f t="array" ref="AT14">SUM(IF(ISERR(FIND("*",D14:AI14)),0,1))</f>
        <v>0</v>
      </c>
      <c r="AU14" s="62">
        <f t="array" ref="AU14">SUM(IF(ISERR(FIND("+",D14:AI14)),0,1))</f>
        <v>0</v>
      </c>
      <c r="AV14" s="59">
        <f t="shared" si="107"/>
        <v>0</v>
      </c>
      <c r="AW14" s="62">
        <f t="array" ref="AW14">SUM(IF(ISERR(FIND(AW$4,$D14:$AI14)),0,1))</f>
        <v>0</v>
      </c>
      <c r="AX14" s="62">
        <f t="array" ref="AX14">SUM(IF(ISERR(FIND(AX$4,$D14:$AI14)),0,1))</f>
        <v>0</v>
      </c>
      <c r="AY14" s="62">
        <f t="array" ref="AY14">SUM(IF(ISERR(FIND(AY$4,$D14:$AI14)),0,1))</f>
        <v>1</v>
      </c>
      <c r="AZ14" s="62">
        <f t="array" ref="AZ14">SUM(IF(ISERR(FIND(AZ$4,$D14:$AI14)),0,1))</f>
        <v>0</v>
      </c>
      <c r="BA14" s="62">
        <f t="array" ref="BA14">SUM(IF(ISERR(FIND(BA$4,$D14:$AI14)),0,1))</f>
        <v>0</v>
      </c>
      <c r="BB14" s="62">
        <f t="array" ref="BB14">SUM(IF(ISERR(FIND(BB$4,$D14:$AI14)),0,1))</f>
        <v>0</v>
      </c>
      <c r="BC14" s="62">
        <f t="array" ref="BC14">SUM(IF(ISERR(FIND(BC$4,$D14:$AI14)),0,1))</f>
        <v>0</v>
      </c>
      <c r="BD14" s="62">
        <f t="shared" si="108"/>
        <v>0</v>
      </c>
      <c r="BE14" s="62">
        <f t="shared" si="109"/>
        <v>0</v>
      </c>
      <c r="BF14" s="62">
        <f t="shared" si="110"/>
        <v>0</v>
      </c>
      <c r="BG14" s="62">
        <f t="shared" si="111"/>
        <v>1</v>
      </c>
      <c r="BH14" s="62">
        <f t="shared" si="112"/>
        <v>0</v>
      </c>
      <c r="BI14" s="62">
        <f t="shared" si="113"/>
        <v>0</v>
      </c>
      <c r="BJ14" s="62">
        <f t="shared" si="114"/>
        <v>0</v>
      </c>
      <c r="BK14" s="62">
        <f t="shared" si="115"/>
        <v>0</v>
      </c>
      <c r="BL14" s="59">
        <f t="shared" si="116"/>
        <v>500101.05014000001</v>
      </c>
      <c r="BM14" s="59">
        <f t="shared" si="86"/>
        <v>28</v>
      </c>
      <c r="BN14" s="59">
        <v>5</v>
      </c>
      <c r="BO14" s="80" t="str">
        <f t="shared" si="117"/>
        <v/>
      </c>
      <c r="BP14" s="88">
        <f t="shared" si="118"/>
        <v>0</v>
      </c>
      <c r="BQ14" s="151">
        <f t="shared" si="119"/>
        <v>0</v>
      </c>
      <c r="BR14" s="59" t="str">
        <f t="shared" si="120"/>
        <v/>
      </c>
      <c r="BS14" s="59" t="str">
        <f t="shared" si="121"/>
        <v/>
      </c>
      <c r="BT14" s="62">
        <f t="shared" si="122"/>
        <v>0</v>
      </c>
      <c r="BU14" s="59" t="str">
        <f t="shared" si="123"/>
        <v/>
      </c>
      <c r="BV14" s="62">
        <f t="shared" si="124"/>
        <v>1</v>
      </c>
      <c r="BW14" s="59" t="str">
        <f t="shared" si="125"/>
        <v>Deol R</v>
      </c>
      <c r="BX14" s="62">
        <f t="shared" si="126"/>
        <v>0</v>
      </c>
      <c r="BY14" s="59" t="str">
        <f t="shared" si="127"/>
        <v/>
      </c>
      <c r="BZ14" s="59">
        <f t="shared" si="62"/>
        <v>1</v>
      </c>
      <c r="CA14" s="59" t="str">
        <f t="shared" si="63"/>
        <v>Deol R</v>
      </c>
      <c r="CB14" s="59">
        <f t="shared" si="64"/>
        <v>0</v>
      </c>
      <c r="CC14" s="59" t="str">
        <f t="shared" si="65"/>
        <v>Deol R</v>
      </c>
    </row>
    <row r="15" spans="1:81" x14ac:dyDescent="0.15">
      <c r="B15" t="s">
        <v>319</v>
      </c>
      <c r="C15" t="s">
        <v>318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J15" s="59" t="str">
        <f t="shared" si="31"/>
        <v>Fleming N</v>
      </c>
      <c r="AK15" s="59">
        <f t="shared" si="98"/>
        <v>0</v>
      </c>
      <c r="AL15" s="59">
        <f t="shared" si="99"/>
        <v>0</v>
      </c>
      <c r="AM15" s="59">
        <f t="shared" si="100"/>
        <v>0</v>
      </c>
      <c r="AN15" s="59">
        <f t="shared" si="101"/>
        <v>0</v>
      </c>
      <c r="AO15" s="59">
        <f t="shared" si="102"/>
        <v>0</v>
      </c>
      <c r="AP15" s="63">
        <f t="shared" si="103"/>
        <v>0</v>
      </c>
      <c r="AQ15" s="59">
        <f t="shared" si="104"/>
        <v>0</v>
      </c>
      <c r="AR15" s="61">
        <f t="shared" si="105"/>
        <v>0</v>
      </c>
      <c r="AS15" s="59">
        <f t="shared" si="106"/>
        <v>0</v>
      </c>
      <c r="AT15" s="62">
        <f t="array" ref="AT15">SUM(IF(ISERR(FIND("*",D15:AI15)),0,1))</f>
        <v>0</v>
      </c>
      <c r="AU15" s="62">
        <f t="array" ref="AU15">SUM(IF(ISERR(FIND("+",D15:AI15)),0,1))</f>
        <v>0</v>
      </c>
      <c r="AV15" s="59">
        <f t="shared" si="107"/>
        <v>0</v>
      </c>
      <c r="AW15" s="62">
        <f t="array" ref="AW15">SUM(IF(ISERR(FIND(AW$4,$D15:$AI15)),0,1))</f>
        <v>0</v>
      </c>
      <c r="AX15" s="62">
        <f t="array" ref="AX15">SUM(IF(ISERR(FIND(AX$4,$D15:$AI15)),0,1))</f>
        <v>0</v>
      </c>
      <c r="AY15" s="62">
        <f t="array" ref="AY15">SUM(IF(ISERR(FIND(AY$4,$D15:$AI15)),0,1))</f>
        <v>0</v>
      </c>
      <c r="AZ15" s="62">
        <f t="array" ref="AZ15">SUM(IF(ISERR(FIND(AZ$4,$D15:$AI15)),0,1))</f>
        <v>0</v>
      </c>
      <c r="BA15" s="62">
        <f t="array" ref="BA15">SUM(IF(ISERR(FIND(BA$4,$D15:$AI15)),0,1))</f>
        <v>0</v>
      </c>
      <c r="BB15" s="62">
        <f t="array" ref="BB15">SUM(IF(ISERR(FIND(BB$4,$D15:$AI15)),0,1))</f>
        <v>0</v>
      </c>
      <c r="BC15" s="62">
        <f t="array" ref="BC15">SUM(IF(ISERR(FIND(BC$4,$D15:$AI15)),0,1))</f>
        <v>0</v>
      </c>
      <c r="BD15" s="62">
        <f t="shared" si="108"/>
        <v>0</v>
      </c>
      <c r="BE15" s="62">
        <f t="shared" si="109"/>
        <v>0</v>
      </c>
      <c r="BF15" s="62">
        <f t="shared" si="110"/>
        <v>0</v>
      </c>
      <c r="BG15" s="62">
        <f t="shared" si="111"/>
        <v>0</v>
      </c>
      <c r="BH15" s="62">
        <f t="shared" si="112"/>
        <v>0</v>
      </c>
      <c r="BI15" s="62">
        <f t="shared" si="113"/>
        <v>0</v>
      </c>
      <c r="BJ15" s="62">
        <f t="shared" si="114"/>
        <v>0</v>
      </c>
      <c r="BK15" s="62">
        <f t="shared" si="115"/>
        <v>0</v>
      </c>
      <c r="BL15" s="59">
        <f t="shared" si="116"/>
        <v>1.4999999999999999E-4</v>
      </c>
      <c r="BM15" s="59">
        <f t="shared" si="86"/>
        <v>57</v>
      </c>
      <c r="BN15" s="59">
        <v>6</v>
      </c>
      <c r="BO15" s="80" t="str">
        <f t="shared" si="117"/>
        <v/>
      </c>
      <c r="BP15" s="88" t="e">
        <f t="shared" si="118"/>
        <v>#DIV/0!</v>
      </c>
      <c r="BQ15" s="151">
        <f t="shared" si="119"/>
        <v>0</v>
      </c>
      <c r="BR15" s="59" t="str">
        <f t="shared" si="120"/>
        <v/>
      </c>
      <c r="BS15" s="59" t="str">
        <f t="shared" si="121"/>
        <v/>
      </c>
      <c r="BT15" s="62">
        <f t="shared" si="122"/>
        <v>0</v>
      </c>
      <c r="BU15" s="59" t="str">
        <f t="shared" si="123"/>
        <v/>
      </c>
      <c r="BV15" s="62">
        <f t="shared" si="124"/>
        <v>0</v>
      </c>
      <c r="BW15" s="59" t="str">
        <f t="shared" si="125"/>
        <v/>
      </c>
      <c r="BX15" s="62">
        <f t="shared" si="126"/>
        <v>0</v>
      </c>
      <c r="BY15" s="59" t="str">
        <f t="shared" si="127"/>
        <v/>
      </c>
      <c r="BZ15" s="59">
        <f t="shared" si="62"/>
        <v>0</v>
      </c>
      <c r="CA15" s="59" t="str">
        <f t="shared" si="63"/>
        <v>Fleming N</v>
      </c>
      <c r="CB15" s="59">
        <f t="shared" si="64"/>
        <v>0</v>
      </c>
      <c r="CC15" s="59" t="str">
        <f t="shared" si="65"/>
        <v>Fleming N</v>
      </c>
    </row>
    <row r="16" spans="1:81" x14ac:dyDescent="0.15">
      <c r="B16" t="s">
        <v>341</v>
      </c>
      <c r="C16" t="s">
        <v>340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J16" s="59" t="str">
        <f t="shared" si="31"/>
        <v>Ffrench R</v>
      </c>
      <c r="AK16" s="59">
        <f t="shared" si="98"/>
        <v>0</v>
      </c>
      <c r="AL16" s="59">
        <f t="shared" si="99"/>
        <v>0</v>
      </c>
      <c r="AM16" s="59">
        <f t="shared" si="100"/>
        <v>0</v>
      </c>
      <c r="AN16" s="59">
        <f t="shared" si="101"/>
        <v>0</v>
      </c>
      <c r="AO16" s="59">
        <f t="shared" si="102"/>
        <v>0</v>
      </c>
      <c r="AP16" s="63">
        <f t="shared" si="103"/>
        <v>0</v>
      </c>
      <c r="AQ16" s="59">
        <f t="shared" si="104"/>
        <v>0</v>
      </c>
      <c r="AR16" s="61">
        <f t="shared" si="105"/>
        <v>0</v>
      </c>
      <c r="AS16" s="59">
        <f t="shared" si="106"/>
        <v>0</v>
      </c>
      <c r="AT16" s="62">
        <f t="array" ref="AT16">SUM(IF(ISERR(FIND("*",D16:AI16)),0,1))</f>
        <v>0</v>
      </c>
      <c r="AU16" s="62">
        <f t="array" ref="AU16">SUM(IF(ISERR(FIND("+",D16:AI16)),0,1))</f>
        <v>0</v>
      </c>
      <c r="AV16" s="59">
        <f t="shared" si="107"/>
        <v>0</v>
      </c>
      <c r="AW16" s="62">
        <f t="array" ref="AW16">SUM(IF(ISERR(FIND(AW$4,$D16:$AI16)),0,1))</f>
        <v>0</v>
      </c>
      <c r="AX16" s="62">
        <f t="array" ref="AX16">SUM(IF(ISERR(FIND(AX$4,$D16:$AI16)),0,1))</f>
        <v>0</v>
      </c>
      <c r="AY16" s="62">
        <f t="array" ref="AY16">SUM(IF(ISERR(FIND(AY$4,$D16:$AI16)),0,1))</f>
        <v>0</v>
      </c>
      <c r="AZ16" s="62">
        <f t="array" ref="AZ16">SUM(IF(ISERR(FIND(AZ$4,$D16:$AI16)),0,1))</f>
        <v>0</v>
      </c>
      <c r="BA16" s="62">
        <f t="array" ref="BA16">SUM(IF(ISERR(FIND(BA$4,$D16:$AI16)),0,1))</f>
        <v>0</v>
      </c>
      <c r="BB16" s="62">
        <f t="array" ref="BB16">SUM(IF(ISERR(FIND(BB$4,$D16:$AI16)),0,1))</f>
        <v>0</v>
      </c>
      <c r="BC16" s="62">
        <f t="array" ref="BC16">SUM(IF(ISERR(FIND(BC$4,$D16:$AI16)),0,1))</f>
        <v>0</v>
      </c>
      <c r="BD16" s="62">
        <f t="shared" si="108"/>
        <v>0</v>
      </c>
      <c r="BE16" s="62">
        <f t="shared" si="109"/>
        <v>0</v>
      </c>
      <c r="BF16" s="62">
        <f t="shared" si="110"/>
        <v>0</v>
      </c>
      <c r="BG16" s="62">
        <f t="shared" si="111"/>
        <v>0</v>
      </c>
      <c r="BH16" s="62">
        <f t="shared" si="112"/>
        <v>0</v>
      </c>
      <c r="BI16" s="62">
        <f t="shared" si="113"/>
        <v>0</v>
      </c>
      <c r="BJ16" s="62">
        <f t="shared" si="114"/>
        <v>0</v>
      </c>
      <c r="BK16" s="62">
        <f t="shared" si="115"/>
        <v>0</v>
      </c>
      <c r="BL16" s="59">
        <f t="shared" si="116"/>
        <v>1.6000000000000001E-4</v>
      </c>
      <c r="BM16" s="59">
        <f t="shared" si="86"/>
        <v>56</v>
      </c>
      <c r="BN16" s="59">
        <v>7</v>
      </c>
      <c r="BO16" s="80" t="str">
        <f t="shared" si="117"/>
        <v/>
      </c>
      <c r="BP16" s="88" t="e">
        <f t="shared" si="118"/>
        <v>#DIV/0!</v>
      </c>
      <c r="BQ16" s="151">
        <f t="shared" si="119"/>
        <v>0</v>
      </c>
      <c r="BR16" s="59" t="str">
        <f t="shared" si="120"/>
        <v/>
      </c>
      <c r="BS16" s="59" t="str">
        <f t="shared" si="121"/>
        <v/>
      </c>
      <c r="BT16" s="62">
        <f t="shared" si="122"/>
        <v>0</v>
      </c>
      <c r="BU16" s="59" t="str">
        <f t="shared" si="123"/>
        <v/>
      </c>
      <c r="BV16" s="62">
        <f t="shared" si="124"/>
        <v>0</v>
      </c>
      <c r="BW16" s="59" t="str">
        <f t="shared" si="125"/>
        <v/>
      </c>
      <c r="BX16" s="62">
        <f t="shared" si="126"/>
        <v>0</v>
      </c>
      <c r="BY16" s="59" t="str">
        <f t="shared" si="127"/>
        <v/>
      </c>
      <c r="BZ16" s="59">
        <f t="shared" si="62"/>
        <v>0</v>
      </c>
      <c r="CA16" s="59" t="str">
        <f t="shared" si="63"/>
        <v>Ffrench R</v>
      </c>
      <c r="CB16" s="59">
        <f t="shared" si="64"/>
        <v>0</v>
      </c>
      <c r="CC16" s="59" t="str">
        <f t="shared" si="65"/>
        <v>Ffrench R</v>
      </c>
    </row>
    <row r="17" spans="2:81" x14ac:dyDescent="0.15">
      <c r="B17" t="s">
        <v>628</v>
      </c>
      <c r="C17" t="s">
        <v>620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t="s">
        <v>306</v>
      </c>
      <c r="T17"/>
      <c r="U17" t="s">
        <v>506</v>
      </c>
      <c r="V17"/>
      <c r="W17"/>
      <c r="X17"/>
      <c r="Y17"/>
      <c r="Z17"/>
      <c r="AJ17" t="str">
        <f t="shared" si="31"/>
        <v>Gardezi S</v>
      </c>
      <c r="AK17" s="59">
        <f t="shared" si="98"/>
        <v>2</v>
      </c>
      <c r="AL17" s="59">
        <f t="shared" si="99"/>
        <v>1</v>
      </c>
      <c r="AM17" s="59">
        <f t="shared" si="100"/>
        <v>1</v>
      </c>
      <c r="AN17" s="59">
        <f t="shared" si="101"/>
        <v>0</v>
      </c>
      <c r="AO17" s="59">
        <f t="shared" si="102"/>
        <v>0</v>
      </c>
      <c r="AP17" s="63">
        <f t="shared" si="103"/>
        <v>0</v>
      </c>
      <c r="AQ17" s="59">
        <f t="shared" si="104"/>
        <v>0</v>
      </c>
      <c r="AR17" s="61">
        <f t="shared" si="105"/>
        <v>0</v>
      </c>
      <c r="AS17" s="59">
        <f t="shared" si="106"/>
        <v>0</v>
      </c>
      <c r="AT17" s="62">
        <f t="array" ref="AT17">SUM(IF(ISERR(FIND("*",D17:AI17)),0,1))</f>
        <v>0</v>
      </c>
      <c r="AU17" s="62">
        <f t="array" ref="AU17">SUM(IF(ISERR(FIND("+",D17:AI17)),0,1))</f>
        <v>0</v>
      </c>
      <c r="AV17" s="59">
        <f t="shared" si="107"/>
        <v>1</v>
      </c>
      <c r="AW17" s="62">
        <f t="array" ref="AW17">SUM(IF(ISERR(FIND(AW$4,$D17:$AI17)),0,1))</f>
        <v>1</v>
      </c>
      <c r="AX17" s="62">
        <f t="array" ref="AX17">SUM(IF(ISERR(FIND(AX$4,$D17:$AI17)),0,1))</f>
        <v>0</v>
      </c>
      <c r="AY17" s="62">
        <f t="array" ref="AY17">SUM(IF(ISERR(FIND(AY$4,$D17:$AI17)),0,1))</f>
        <v>0</v>
      </c>
      <c r="AZ17" s="62">
        <f t="array" ref="AZ17">SUM(IF(ISERR(FIND(AZ$4,$D17:$AI17)),0,1))</f>
        <v>0</v>
      </c>
      <c r="BA17" s="62">
        <f t="array" ref="BA17">SUM(IF(ISERR(FIND(BA$4,$D17:$AI17)),0,1))</f>
        <v>0</v>
      </c>
      <c r="BB17" s="62">
        <f t="array" ref="BB17">SUM(IF(ISERR(FIND(BB$4,$D17:$AI17)),0,1))</f>
        <v>0</v>
      </c>
      <c r="BC17" s="62">
        <f t="array" ref="BC17">SUM(IF(ISERR(FIND(BC$4,$D17:$AI17)),0,1))</f>
        <v>0</v>
      </c>
      <c r="BD17" s="62">
        <f t="shared" si="108"/>
        <v>0</v>
      </c>
      <c r="BE17" s="62">
        <f t="shared" si="109"/>
        <v>0</v>
      </c>
      <c r="BF17" s="62">
        <f t="shared" si="110"/>
        <v>0</v>
      </c>
      <c r="BG17" s="62">
        <f t="shared" si="111"/>
        <v>0</v>
      </c>
      <c r="BH17" s="62">
        <f t="shared" si="112"/>
        <v>0</v>
      </c>
      <c r="BI17" s="62">
        <f t="shared" si="113"/>
        <v>0</v>
      </c>
      <c r="BJ17" s="62">
        <f t="shared" si="114"/>
        <v>0</v>
      </c>
      <c r="BK17" s="62">
        <f t="shared" si="115"/>
        <v>0</v>
      </c>
      <c r="BL17" s="59">
        <f t="shared" si="116"/>
        <v>102.00017</v>
      </c>
      <c r="BM17" s="59">
        <f t="shared" si="86"/>
        <v>33</v>
      </c>
      <c r="BN17" s="59">
        <v>8</v>
      </c>
      <c r="BO17" s="80" t="str">
        <f t="shared" si="117"/>
        <v/>
      </c>
      <c r="BP17" s="88">
        <f t="shared" si="118"/>
        <v>1</v>
      </c>
      <c r="BQ17" s="151">
        <f t="shared" si="119"/>
        <v>0</v>
      </c>
      <c r="BR17" s="59" t="str">
        <f t="shared" si="120"/>
        <v/>
      </c>
      <c r="BS17" s="59" t="str">
        <f t="shared" si="121"/>
        <v/>
      </c>
      <c r="BT17" s="62">
        <f t="shared" si="122"/>
        <v>0</v>
      </c>
      <c r="BU17" s="59" t="str">
        <f t="shared" si="123"/>
        <v/>
      </c>
      <c r="BV17" s="62">
        <f t="shared" si="124"/>
        <v>0</v>
      </c>
      <c r="BW17" s="59" t="str">
        <f t="shared" si="125"/>
        <v/>
      </c>
      <c r="BX17" s="62">
        <f t="shared" si="126"/>
        <v>0</v>
      </c>
      <c r="BY17" s="59" t="str">
        <f t="shared" si="127"/>
        <v/>
      </c>
      <c r="BZ17" s="59">
        <f t="shared" si="62"/>
        <v>2</v>
      </c>
      <c r="CA17" s="59" t="str">
        <f t="shared" si="63"/>
        <v>Gardezi S</v>
      </c>
      <c r="CB17" s="59">
        <f t="shared" si="64"/>
        <v>1</v>
      </c>
      <c r="CC17" s="59" t="str">
        <f t="shared" si="65"/>
        <v>Gardezi S</v>
      </c>
    </row>
    <row r="18" spans="2:81" x14ac:dyDescent="0.15">
      <c r="B18" t="s">
        <v>300</v>
      </c>
      <c r="C18" t="s">
        <v>301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S18"/>
      <c r="T18"/>
      <c r="U18"/>
      <c r="V18"/>
      <c r="W18"/>
      <c r="X18"/>
      <c r="Y18"/>
      <c r="Z18"/>
      <c r="AJ18" s="59" t="str">
        <f t="shared" si="31"/>
        <v>Hemasinghe M</v>
      </c>
      <c r="AK18" s="59">
        <f t="shared" si="98"/>
        <v>0</v>
      </c>
      <c r="AL18" s="59">
        <f t="shared" si="99"/>
        <v>0</v>
      </c>
      <c r="AM18" s="59">
        <f t="shared" si="100"/>
        <v>0</v>
      </c>
      <c r="AN18" s="59">
        <f t="shared" si="101"/>
        <v>0</v>
      </c>
      <c r="AO18" s="59">
        <f t="shared" si="102"/>
        <v>0</v>
      </c>
      <c r="AP18" s="63">
        <f t="shared" si="103"/>
        <v>0</v>
      </c>
      <c r="AQ18" s="59">
        <f t="shared" si="104"/>
        <v>0</v>
      </c>
      <c r="AR18" s="61">
        <f t="shared" si="105"/>
        <v>0</v>
      </c>
      <c r="AS18" s="59">
        <f t="shared" si="106"/>
        <v>0</v>
      </c>
      <c r="AT18" s="62">
        <f t="array" ref="AT18">SUM(IF(ISERR(FIND("*",D18:AI18)),0,1))</f>
        <v>0</v>
      </c>
      <c r="AU18" s="62">
        <f t="array" ref="AU18">SUM(IF(ISERR(FIND("+",D18:AI18)),0,1))</f>
        <v>0</v>
      </c>
      <c r="AV18" s="59">
        <f t="shared" si="107"/>
        <v>0</v>
      </c>
      <c r="AW18" s="62">
        <f t="array" ref="AW18">SUM(IF(ISERR(FIND(AW$4,$D18:$AI18)),0,1))</f>
        <v>0</v>
      </c>
      <c r="AX18" s="62">
        <f t="array" ref="AX18">SUM(IF(ISERR(FIND(AX$4,$D18:$AI18)),0,1))</f>
        <v>0</v>
      </c>
      <c r="AY18" s="62">
        <f t="array" ref="AY18">SUM(IF(ISERR(FIND(AY$4,$D18:$AI18)),0,1))</f>
        <v>0</v>
      </c>
      <c r="AZ18" s="62">
        <f t="array" ref="AZ18">SUM(IF(ISERR(FIND(AZ$4,$D18:$AI18)),0,1))</f>
        <v>0</v>
      </c>
      <c r="BA18" s="62">
        <f t="array" ref="BA18">SUM(IF(ISERR(FIND(BA$4,$D18:$AI18)),0,1))</f>
        <v>0</v>
      </c>
      <c r="BB18" s="62">
        <f t="array" ref="BB18">SUM(IF(ISERR(FIND(BB$4,$D18:$AI18)),0,1))</f>
        <v>0</v>
      </c>
      <c r="BC18" s="62">
        <f t="array" ref="BC18">SUM(IF(ISERR(FIND(BC$4,$D18:$AI18)),0,1))</f>
        <v>0</v>
      </c>
      <c r="BD18" s="62">
        <f t="shared" si="108"/>
        <v>0</v>
      </c>
      <c r="BE18" s="62">
        <f t="shared" si="109"/>
        <v>0</v>
      </c>
      <c r="BF18" s="62">
        <f t="shared" si="110"/>
        <v>0</v>
      </c>
      <c r="BG18" s="62">
        <f t="shared" si="111"/>
        <v>0</v>
      </c>
      <c r="BH18" s="62">
        <f t="shared" si="112"/>
        <v>0</v>
      </c>
      <c r="BI18" s="62">
        <f t="shared" si="113"/>
        <v>0</v>
      </c>
      <c r="BJ18" s="62">
        <f t="shared" si="114"/>
        <v>0</v>
      </c>
      <c r="BK18" s="62">
        <f t="shared" si="115"/>
        <v>0</v>
      </c>
      <c r="BL18" s="59">
        <f t="shared" si="116"/>
        <v>1.8000000000000001E-4</v>
      </c>
      <c r="BM18" s="59">
        <f t="shared" si="86"/>
        <v>55</v>
      </c>
      <c r="BN18" s="59">
        <v>9</v>
      </c>
      <c r="BO18" s="80" t="str">
        <f t="shared" si="117"/>
        <v/>
      </c>
      <c r="BP18" s="88" t="e">
        <f t="shared" si="118"/>
        <v>#DIV/0!</v>
      </c>
      <c r="BQ18" s="151">
        <f t="shared" si="119"/>
        <v>0</v>
      </c>
      <c r="BR18" s="59" t="str">
        <f t="shared" si="120"/>
        <v/>
      </c>
      <c r="BS18" s="59" t="str">
        <f t="shared" si="121"/>
        <v/>
      </c>
      <c r="BT18" s="62">
        <f t="shared" si="122"/>
        <v>0</v>
      </c>
      <c r="BU18" s="59" t="str">
        <f t="shared" si="123"/>
        <v/>
      </c>
      <c r="BV18" s="62">
        <f t="shared" si="124"/>
        <v>0</v>
      </c>
      <c r="BW18" s="59" t="str">
        <f t="shared" si="125"/>
        <v/>
      </c>
      <c r="BX18" s="62">
        <f t="shared" si="126"/>
        <v>0</v>
      </c>
      <c r="BY18" s="59" t="str">
        <f t="shared" si="127"/>
        <v/>
      </c>
      <c r="BZ18" s="59">
        <f t="shared" si="62"/>
        <v>0</v>
      </c>
      <c r="CA18" s="59" t="str">
        <f t="shared" si="63"/>
        <v>Hemasinghe M</v>
      </c>
      <c r="CB18" s="59">
        <f t="shared" si="64"/>
        <v>0</v>
      </c>
      <c r="CC18" s="59" t="str">
        <f t="shared" si="65"/>
        <v>Hemasinghe M</v>
      </c>
    </row>
    <row r="19" spans="2:81" x14ac:dyDescent="0.15">
      <c r="B19" t="s">
        <v>371</v>
      </c>
      <c r="C19" t="s">
        <v>368</v>
      </c>
      <c r="D19" t="s">
        <v>380</v>
      </c>
      <c r="E19" t="s">
        <v>402</v>
      </c>
      <c r="F19"/>
      <c r="G19" t="s">
        <v>309</v>
      </c>
      <c r="H19"/>
      <c r="I19"/>
      <c r="J19"/>
      <c r="K19"/>
      <c r="L19"/>
      <c r="M19"/>
      <c r="N19"/>
      <c r="O19" t="s">
        <v>542</v>
      </c>
      <c r="P19" t="s">
        <v>557</v>
      </c>
      <c r="Q19"/>
      <c r="S19"/>
      <c r="T19"/>
      <c r="U19" t="s">
        <v>651</v>
      </c>
      <c r="V19"/>
      <c r="W19" t="s">
        <v>669</v>
      </c>
      <c r="X19"/>
      <c r="Y19"/>
      <c r="Z19"/>
      <c r="AJ19" s="59" t="str">
        <f t="shared" si="31"/>
        <v>Jain A</v>
      </c>
      <c r="AK19" s="59">
        <f t="shared" si="98"/>
        <v>7</v>
      </c>
      <c r="AL19" s="59">
        <f t="shared" si="99"/>
        <v>1</v>
      </c>
      <c r="AM19" s="59">
        <f t="shared" si="100"/>
        <v>6</v>
      </c>
      <c r="AN19" s="59">
        <f t="shared" si="101"/>
        <v>1</v>
      </c>
      <c r="AO19" s="59">
        <f t="shared" si="102"/>
        <v>-9</v>
      </c>
      <c r="AP19" s="63" t="str">
        <f t="shared" si="103"/>
        <v>9*</v>
      </c>
      <c r="AQ19" s="59">
        <f t="shared" si="104"/>
        <v>22</v>
      </c>
      <c r="AR19" s="61">
        <f t="shared" si="105"/>
        <v>4.4000000000000004</v>
      </c>
      <c r="AS19" s="59">
        <f t="shared" si="106"/>
        <v>10</v>
      </c>
      <c r="AT19" s="62">
        <f t="array" ref="AT19">SUM(IF(ISERR(FIND("*",D19:AI19)),0,1))</f>
        <v>0</v>
      </c>
      <c r="AU19" s="62">
        <f t="array" ref="AU19">SUM(IF(ISERR(FIND("+",D19:AI19)),0,1))</f>
        <v>0</v>
      </c>
      <c r="AV19" s="59">
        <f t="shared" si="107"/>
        <v>2</v>
      </c>
      <c r="AW19" s="62">
        <f t="array" ref="AW19">SUM(IF(ISERR(FIND(AW$4,$D19:$AI19)),0,1))</f>
        <v>0</v>
      </c>
      <c r="AX19" s="62">
        <f t="array" ref="AX19">SUM(IF(ISERR(FIND(AX$4,$D19:$AI19)),0,1))</f>
        <v>0</v>
      </c>
      <c r="AY19" s="62">
        <f t="array" ref="AY19">SUM(IF(ISERR(FIND(AY$4,$D19:$AI19)),0,1))</f>
        <v>5</v>
      </c>
      <c r="AZ19" s="62">
        <f t="array" ref="AZ19">SUM(IF(ISERR(FIND(AZ$4,$D19:$AI19)),0,1))</f>
        <v>0</v>
      </c>
      <c r="BA19" s="62">
        <f t="array" ref="BA19">SUM(IF(ISERR(FIND(BA$4,$D19:$AI19)),0,1))</f>
        <v>0</v>
      </c>
      <c r="BB19" s="62">
        <f t="array" ref="BB19">SUM(IF(ISERR(FIND(BB$4,$D19:$AI19)),0,1))</f>
        <v>0</v>
      </c>
      <c r="BC19" s="62">
        <f t="array" ref="BC19">SUM(IF(ISERR(FIND(BC$4,$D19:$AI19)),0,1))</f>
        <v>0</v>
      </c>
      <c r="BD19" s="62">
        <f t="shared" si="108"/>
        <v>0</v>
      </c>
      <c r="BE19" s="62">
        <f t="shared" si="109"/>
        <v>0</v>
      </c>
      <c r="BF19" s="62">
        <f t="shared" si="110"/>
        <v>2</v>
      </c>
      <c r="BG19" s="62">
        <f t="shared" si="111"/>
        <v>2</v>
      </c>
      <c r="BH19" s="62">
        <f t="shared" si="112"/>
        <v>0</v>
      </c>
      <c r="BI19" s="62">
        <f t="shared" si="113"/>
        <v>0</v>
      </c>
      <c r="BJ19" s="62">
        <f t="shared" si="114"/>
        <v>0</v>
      </c>
      <c r="BK19" s="62">
        <f t="shared" si="115"/>
        <v>0</v>
      </c>
      <c r="BL19" s="59">
        <f t="shared" si="116"/>
        <v>440607.22019000002</v>
      </c>
      <c r="BM19" s="59">
        <f t="shared" si="86"/>
        <v>29</v>
      </c>
      <c r="BN19" s="59">
        <v>10</v>
      </c>
      <c r="BO19" s="80" t="str">
        <f t="shared" si="117"/>
        <v/>
      </c>
      <c r="BP19" s="88">
        <f t="shared" si="118"/>
        <v>0.4</v>
      </c>
      <c r="BQ19" s="151">
        <f t="shared" si="119"/>
        <v>2</v>
      </c>
      <c r="BR19" s="59" t="str">
        <f t="shared" si="120"/>
        <v>2</v>
      </c>
      <c r="BS19" s="59" t="str">
        <f t="shared" si="121"/>
        <v>Jain A</v>
      </c>
      <c r="BT19" s="62">
        <f t="shared" si="122"/>
        <v>0</v>
      </c>
      <c r="BU19" s="59" t="str">
        <f t="shared" si="123"/>
        <v/>
      </c>
      <c r="BV19" s="62">
        <f t="shared" si="124"/>
        <v>2</v>
      </c>
      <c r="BW19" s="59" t="str">
        <f t="shared" si="125"/>
        <v>Jain A</v>
      </c>
      <c r="BX19" s="62">
        <f t="shared" si="126"/>
        <v>0</v>
      </c>
      <c r="BY19" s="59" t="str">
        <f t="shared" si="127"/>
        <v/>
      </c>
      <c r="BZ19" s="59">
        <f t="shared" si="62"/>
        <v>7</v>
      </c>
      <c r="CA19" s="59" t="str">
        <f t="shared" si="63"/>
        <v>Jain A</v>
      </c>
      <c r="CB19" s="59">
        <f t="shared" si="64"/>
        <v>2</v>
      </c>
      <c r="CC19" s="59" t="str">
        <f t="shared" si="65"/>
        <v>Jain A</v>
      </c>
    </row>
    <row r="20" spans="2:81" x14ac:dyDescent="0.15">
      <c r="B20" t="s">
        <v>250</v>
      </c>
      <c r="C20" t="s">
        <v>251</v>
      </c>
      <c r="D20" t="s">
        <v>377</v>
      </c>
      <c r="E20" t="s">
        <v>343</v>
      </c>
      <c r="F20" t="s">
        <v>410</v>
      </c>
      <c r="G20" t="s">
        <v>316</v>
      </c>
      <c r="H20" t="s">
        <v>428</v>
      </c>
      <c r="I20" t="s">
        <v>455</v>
      </c>
      <c r="J20" t="s">
        <v>464</v>
      </c>
      <c r="K20" t="s">
        <v>480</v>
      </c>
      <c r="L20"/>
      <c r="M20"/>
      <c r="N20"/>
      <c r="O20" t="s">
        <v>544</v>
      </c>
      <c r="P20" t="s">
        <v>501</v>
      </c>
      <c r="Q20" t="s">
        <v>578</v>
      </c>
      <c r="R20"/>
      <c r="S20"/>
      <c r="T20" t="s">
        <v>636</v>
      </c>
      <c r="U20"/>
      <c r="V20" t="s">
        <v>661</v>
      </c>
      <c r="W20" t="s">
        <v>668</v>
      </c>
      <c r="X20"/>
      <c r="Y20"/>
      <c r="Z20"/>
      <c r="AJ20" s="59" t="str">
        <f t="shared" si="31"/>
        <v>Jenkins D</v>
      </c>
      <c r="AK20" s="59">
        <f t="shared" si="98"/>
        <v>14</v>
      </c>
      <c r="AL20" s="59">
        <f t="shared" si="99"/>
        <v>1</v>
      </c>
      <c r="AM20" s="59">
        <f t="shared" si="100"/>
        <v>13</v>
      </c>
      <c r="AN20" s="59">
        <f t="shared" si="101"/>
        <v>2</v>
      </c>
      <c r="AO20" s="59">
        <f t="shared" si="102"/>
        <v>37</v>
      </c>
      <c r="AP20" s="63">
        <f t="shared" si="103"/>
        <v>37</v>
      </c>
      <c r="AQ20" s="59">
        <f t="shared" si="104"/>
        <v>131</v>
      </c>
      <c r="AR20" s="61">
        <f t="shared" si="105"/>
        <v>11.909090909090908</v>
      </c>
      <c r="AS20" s="59">
        <f t="shared" si="106"/>
        <v>10</v>
      </c>
      <c r="AT20" s="62">
        <f t="array" ref="AT20">SUM(IF(ISERR(FIND("*",D20:AI20)),0,1))</f>
        <v>0</v>
      </c>
      <c r="AU20" s="62">
        <f t="array" ref="AU20">SUM(IF(ISERR(FIND("+",D20:AI20)),0,1))</f>
        <v>0</v>
      </c>
      <c r="AV20" s="59">
        <f t="shared" si="107"/>
        <v>2</v>
      </c>
      <c r="AW20" s="62">
        <f t="array" ref="AW20">SUM(IF(ISERR(FIND(AW$4,$D20:$AI20)),0,1))</f>
        <v>7</v>
      </c>
      <c r="AX20" s="62">
        <f t="array" ref="AX20">SUM(IF(ISERR(FIND(AX$4,$D20:$AI20)),0,1))</f>
        <v>2</v>
      </c>
      <c r="AY20" s="62">
        <f t="array" ref="AY20">SUM(IF(ISERR(FIND(AY$4,$D20:$AI20)),0,1))</f>
        <v>1</v>
      </c>
      <c r="AZ20" s="62">
        <f t="array" ref="AZ20">SUM(IF(ISERR(FIND(AZ$4,$D20:$AI20)),0,1))</f>
        <v>1</v>
      </c>
      <c r="BA20" s="62">
        <f t="array" ref="BA20">SUM(IF(ISERR(FIND(BA$4,$D20:$AI20)),0,1))</f>
        <v>0</v>
      </c>
      <c r="BB20" s="62">
        <f t="array" ref="BB20">SUM(IF(ISERR(FIND(BB$4,$D20:$AI20)),0,1))</f>
        <v>0</v>
      </c>
      <c r="BC20" s="62">
        <f t="array" ref="BC20">SUM(IF(ISERR(FIND(BC$4,$D20:$AI20)),0,1))</f>
        <v>0</v>
      </c>
      <c r="BD20" s="62">
        <f t="shared" si="108"/>
        <v>0</v>
      </c>
      <c r="BE20" s="62">
        <f t="shared" si="109"/>
        <v>0</v>
      </c>
      <c r="BF20" s="62">
        <f t="shared" si="110"/>
        <v>2</v>
      </c>
      <c r="BG20" s="62">
        <f t="shared" si="111"/>
        <v>14</v>
      </c>
      <c r="BH20" s="62">
        <f t="shared" si="112"/>
        <v>0</v>
      </c>
      <c r="BI20" s="62">
        <f t="shared" si="113"/>
        <v>0</v>
      </c>
      <c r="BJ20" s="62">
        <f t="shared" si="114"/>
        <v>0</v>
      </c>
      <c r="BK20" s="62">
        <f t="shared" si="115"/>
        <v>1</v>
      </c>
      <c r="BL20" s="59">
        <f t="shared" si="116"/>
        <v>1192315.3101999999</v>
      </c>
      <c r="BM20" s="59">
        <f t="shared" si="86"/>
        <v>19</v>
      </c>
      <c r="BN20" s="59">
        <v>11</v>
      </c>
      <c r="BO20" s="80">
        <f t="shared" si="117"/>
        <v>0.84732824427480913</v>
      </c>
      <c r="BP20" s="88">
        <f t="shared" si="118"/>
        <v>0.18181818181818182</v>
      </c>
      <c r="BQ20" s="151">
        <f t="shared" si="119"/>
        <v>2</v>
      </c>
      <c r="BR20" s="59" t="str">
        <f t="shared" si="120"/>
        <v>2</v>
      </c>
      <c r="BS20" s="59" t="str">
        <f t="shared" si="121"/>
        <v>Jenkins D</v>
      </c>
      <c r="BT20" s="62">
        <f t="shared" si="122"/>
        <v>0</v>
      </c>
      <c r="BU20" s="59" t="str">
        <f t="shared" si="123"/>
        <v/>
      </c>
      <c r="BV20" s="62">
        <f t="shared" si="124"/>
        <v>14</v>
      </c>
      <c r="BW20" s="59" t="str">
        <f t="shared" si="125"/>
        <v>Jenkins D</v>
      </c>
      <c r="BX20" s="62">
        <f t="shared" si="126"/>
        <v>1</v>
      </c>
      <c r="BY20" s="59" t="str">
        <f t="shared" si="127"/>
        <v>Jenkins D</v>
      </c>
      <c r="BZ20" s="59">
        <f t="shared" si="62"/>
        <v>14</v>
      </c>
      <c r="CA20" s="59" t="str">
        <f t="shared" si="63"/>
        <v>Jenkins D</v>
      </c>
      <c r="CB20" s="59">
        <f t="shared" si="64"/>
        <v>2</v>
      </c>
      <c r="CC20" s="59" t="str">
        <f t="shared" si="65"/>
        <v>Jenkins D</v>
      </c>
    </row>
    <row r="21" spans="2:81" x14ac:dyDescent="0.15">
      <c r="B21" t="s">
        <v>603</v>
      </c>
      <c r="C21" t="s">
        <v>604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 t="s">
        <v>605</v>
      </c>
      <c r="S21" t="s">
        <v>312</v>
      </c>
      <c r="T21"/>
      <c r="U21"/>
      <c r="V21"/>
      <c r="W21"/>
      <c r="X21"/>
      <c r="Y21"/>
      <c r="Z21"/>
      <c r="AJ21" t="str">
        <f t="shared" si="31"/>
        <v>Khan A</v>
      </c>
      <c r="AK21" s="59">
        <f t="shared" si="98"/>
        <v>2</v>
      </c>
      <c r="AL21" s="59">
        <f t="shared" si="99"/>
        <v>1</v>
      </c>
      <c r="AM21" s="59">
        <f t="shared" si="100"/>
        <v>1</v>
      </c>
      <c r="AN21" s="59">
        <f t="shared" si="101"/>
        <v>0</v>
      </c>
      <c r="AO21" s="59">
        <f t="shared" si="102"/>
        <v>0</v>
      </c>
      <c r="AP21" s="63">
        <f t="shared" si="103"/>
        <v>0</v>
      </c>
      <c r="AQ21" s="59">
        <f t="shared" si="104"/>
        <v>0</v>
      </c>
      <c r="AR21" s="61">
        <f t="shared" si="105"/>
        <v>0</v>
      </c>
      <c r="AS21" s="59">
        <f t="shared" si="106"/>
        <v>0</v>
      </c>
      <c r="AT21" s="62">
        <f t="array" ref="AT21">SUM(IF(ISERR(FIND("*",D21:AI21)),0,1))</f>
        <v>0</v>
      </c>
      <c r="AU21" s="62">
        <f t="array" ref="AU21">SUM(IF(ISERR(FIND("+",D21:AI21)),0,1))</f>
        <v>0</v>
      </c>
      <c r="AV21" s="59">
        <f t="shared" si="107"/>
        <v>1</v>
      </c>
      <c r="AW21" s="62">
        <f t="array" ref="AW21">SUM(IF(ISERR(FIND(AW$4,$D21:$AI21)),0,1))</f>
        <v>0</v>
      </c>
      <c r="AX21" s="62">
        <f t="array" ref="AX21">SUM(IF(ISERR(FIND(AX$4,$D21:$AI21)),0,1))</f>
        <v>0</v>
      </c>
      <c r="AY21" s="62">
        <f t="array" ref="AY21">SUM(IF(ISERR(FIND(AY$4,$D21:$AI21)),0,1))</f>
        <v>1</v>
      </c>
      <c r="AZ21" s="62">
        <f t="array" ref="AZ21">SUM(IF(ISERR(FIND(AZ$4,$D21:$AI21)),0,1))</f>
        <v>0</v>
      </c>
      <c r="BA21" s="62">
        <f t="array" ref="BA21">SUM(IF(ISERR(FIND(BA$4,$D21:$AI21)),0,1))</f>
        <v>0</v>
      </c>
      <c r="BB21" s="62">
        <f t="array" ref="BB21">SUM(IF(ISERR(FIND(BB$4,$D21:$AI21)),0,1))</f>
        <v>0</v>
      </c>
      <c r="BC21" s="62">
        <f t="array" ref="BC21">SUM(IF(ISERR(FIND(BC$4,$D21:$AI21)),0,1))</f>
        <v>0</v>
      </c>
      <c r="BD21" s="62">
        <f t="shared" si="108"/>
        <v>0</v>
      </c>
      <c r="BE21" s="62">
        <f t="shared" si="109"/>
        <v>0</v>
      </c>
      <c r="BF21" s="62">
        <f t="shared" si="110"/>
        <v>0</v>
      </c>
      <c r="BG21" s="62">
        <f t="shared" si="111"/>
        <v>0</v>
      </c>
      <c r="BH21" s="62">
        <f t="shared" si="112"/>
        <v>0</v>
      </c>
      <c r="BI21" s="62">
        <f t="shared" si="113"/>
        <v>0</v>
      </c>
      <c r="BJ21" s="62">
        <f t="shared" si="114"/>
        <v>0</v>
      </c>
      <c r="BK21" s="62">
        <f t="shared" si="115"/>
        <v>0</v>
      </c>
      <c r="BL21" s="59">
        <f t="shared" si="116"/>
        <v>102.00021</v>
      </c>
      <c r="BM21" s="59">
        <f t="shared" si="86"/>
        <v>32</v>
      </c>
      <c r="BN21" s="59">
        <v>12</v>
      </c>
      <c r="BO21" s="80" t="str">
        <f t="shared" si="117"/>
        <v/>
      </c>
      <c r="BP21" s="88">
        <f t="shared" si="118"/>
        <v>1</v>
      </c>
      <c r="BQ21" s="151">
        <f t="shared" si="119"/>
        <v>0</v>
      </c>
      <c r="BR21" s="59" t="str">
        <f t="shared" si="120"/>
        <v/>
      </c>
      <c r="BS21" s="59" t="str">
        <f t="shared" si="121"/>
        <v/>
      </c>
      <c r="BT21" s="62">
        <f t="shared" si="122"/>
        <v>0</v>
      </c>
      <c r="BU21" s="59" t="str">
        <f t="shared" si="123"/>
        <v/>
      </c>
      <c r="BV21" s="62">
        <f t="shared" si="124"/>
        <v>0</v>
      </c>
      <c r="BW21" s="59" t="str">
        <f t="shared" si="125"/>
        <v/>
      </c>
      <c r="BX21" s="62">
        <f t="shared" si="126"/>
        <v>0</v>
      </c>
      <c r="BY21" s="59" t="str">
        <f t="shared" si="127"/>
        <v/>
      </c>
      <c r="BZ21" s="59">
        <f t="shared" si="62"/>
        <v>2</v>
      </c>
      <c r="CA21" s="59" t="str">
        <f t="shared" si="63"/>
        <v>Khan A</v>
      </c>
      <c r="CB21" s="59">
        <f t="shared" si="64"/>
        <v>1</v>
      </c>
      <c r="CC21" s="59" t="str">
        <f t="shared" si="65"/>
        <v>Khan A</v>
      </c>
    </row>
    <row r="22" spans="2:81" x14ac:dyDescent="0.15">
      <c r="B22" s="59" t="s">
        <v>188</v>
      </c>
      <c r="C22" s="59" t="s">
        <v>187</v>
      </c>
      <c r="D22"/>
      <c r="F22"/>
      <c r="H22"/>
      <c r="I22"/>
      <c r="J22"/>
      <c r="K22"/>
      <c r="L22"/>
      <c r="M22"/>
      <c r="N22"/>
      <c r="O22"/>
      <c r="P22"/>
      <c r="Q22"/>
      <c r="R22"/>
      <c r="S22"/>
      <c r="T22"/>
      <c r="U22" t="s">
        <v>305</v>
      </c>
      <c r="V22"/>
      <c r="W22"/>
      <c r="X22"/>
      <c r="AJ22" s="59" t="str">
        <f t="shared" si="31"/>
        <v>Kiernan M</v>
      </c>
      <c r="AK22" s="59">
        <f t="shared" si="98"/>
        <v>1</v>
      </c>
      <c r="AL22" s="59">
        <f t="shared" si="99"/>
        <v>0</v>
      </c>
      <c r="AM22" s="59">
        <f t="shared" si="100"/>
        <v>1</v>
      </c>
      <c r="AN22" s="59">
        <f t="shared" si="101"/>
        <v>0</v>
      </c>
      <c r="AO22" s="59">
        <f t="shared" si="102"/>
        <v>0</v>
      </c>
      <c r="AP22" s="63">
        <f t="shared" si="103"/>
        <v>0</v>
      </c>
      <c r="AQ22" s="59">
        <f t="shared" si="104"/>
        <v>0</v>
      </c>
      <c r="AR22" s="61">
        <f t="shared" si="105"/>
        <v>0</v>
      </c>
      <c r="AS22" s="59">
        <f t="shared" si="106"/>
        <v>0</v>
      </c>
      <c r="AT22" s="62">
        <f t="array" ref="AT22">SUM(IF(ISERR(FIND("*",D22:AI22)),0,1))</f>
        <v>0</v>
      </c>
      <c r="AU22" s="62">
        <f t="array" ref="AU22">SUM(IF(ISERR(FIND("+",D22:AI22)),0,1))</f>
        <v>0</v>
      </c>
      <c r="AV22" s="59">
        <f t="shared" si="107"/>
        <v>1</v>
      </c>
      <c r="AW22" s="62">
        <f t="array" ref="AW22">SUM(IF(ISERR(FIND(AW$4,$D22:$AI22)),0,1))</f>
        <v>0</v>
      </c>
      <c r="AX22" s="62">
        <f t="array" ref="AX22">SUM(IF(ISERR(FIND(AX$4,$D22:$AI22)),0,1))</f>
        <v>1</v>
      </c>
      <c r="AY22" s="62">
        <f t="array" ref="AY22">SUM(IF(ISERR(FIND(AY$4,$D22:$AI22)),0,1))</f>
        <v>0</v>
      </c>
      <c r="AZ22" s="62">
        <f t="array" ref="AZ22">SUM(IF(ISERR(FIND(AZ$4,$D22:$AI22)),0,1))</f>
        <v>0</v>
      </c>
      <c r="BA22" s="62">
        <f t="array" ref="BA22">SUM(IF(ISERR(FIND(BA$4,$D22:$AI22)),0,1))</f>
        <v>0</v>
      </c>
      <c r="BB22" s="62">
        <f t="array" ref="BB22">SUM(IF(ISERR(FIND(BB$4,$D22:$AI22)),0,1))</f>
        <v>0</v>
      </c>
      <c r="BC22" s="62">
        <f t="array" ref="BC22">SUM(IF(ISERR(FIND(BC$4,$D22:$AI22)),0,1))</f>
        <v>0</v>
      </c>
      <c r="BD22" s="62">
        <f t="shared" si="108"/>
        <v>0</v>
      </c>
      <c r="BE22" s="62">
        <f t="shared" si="109"/>
        <v>0</v>
      </c>
      <c r="BF22" s="62">
        <f t="shared" si="110"/>
        <v>0</v>
      </c>
      <c r="BG22" s="62">
        <f t="shared" si="111"/>
        <v>0</v>
      </c>
      <c r="BH22" s="62">
        <f t="shared" si="112"/>
        <v>0</v>
      </c>
      <c r="BI22" s="62">
        <f t="shared" si="113"/>
        <v>0</v>
      </c>
      <c r="BJ22" s="62">
        <f t="shared" si="114"/>
        <v>0</v>
      </c>
      <c r="BK22" s="62">
        <f t="shared" si="115"/>
        <v>0</v>
      </c>
      <c r="BL22" s="59">
        <f t="shared" si="116"/>
        <v>101.00022</v>
      </c>
      <c r="BM22" s="59">
        <f t="shared" si="86"/>
        <v>36</v>
      </c>
      <c r="BN22" s="59">
        <v>13</v>
      </c>
      <c r="BO22" s="80" t="str">
        <f t="shared" si="117"/>
        <v/>
      </c>
      <c r="BP22" s="88">
        <f t="shared" si="118"/>
        <v>1</v>
      </c>
      <c r="BQ22" s="151">
        <f t="shared" si="119"/>
        <v>0</v>
      </c>
      <c r="BR22" s="59" t="str">
        <f t="shared" si="120"/>
        <v/>
      </c>
      <c r="BS22" s="59" t="str">
        <f t="shared" si="121"/>
        <v/>
      </c>
      <c r="BT22" s="62">
        <f t="shared" si="122"/>
        <v>0</v>
      </c>
      <c r="BU22" s="59" t="str">
        <f t="shared" si="123"/>
        <v/>
      </c>
      <c r="BV22" s="62">
        <f t="shared" si="124"/>
        <v>0</v>
      </c>
      <c r="BW22" s="59" t="str">
        <f t="shared" si="125"/>
        <v/>
      </c>
      <c r="BX22" s="62">
        <f t="shared" si="126"/>
        <v>0</v>
      </c>
      <c r="BY22" s="59" t="str">
        <f t="shared" si="127"/>
        <v/>
      </c>
      <c r="BZ22" s="59">
        <f t="shared" si="62"/>
        <v>1</v>
      </c>
      <c r="CA22" s="59" t="str">
        <f t="shared" si="63"/>
        <v>Kiernan M</v>
      </c>
      <c r="CB22" s="59">
        <f t="shared" si="64"/>
        <v>1</v>
      </c>
      <c r="CC22" s="59" t="str">
        <f t="shared" si="65"/>
        <v>Kiernan M</v>
      </c>
    </row>
    <row r="23" spans="2:81" x14ac:dyDescent="0.15">
      <c r="B23" t="s">
        <v>250</v>
      </c>
      <c r="C23" t="s">
        <v>302</v>
      </c>
      <c r="D23" t="s">
        <v>379</v>
      </c>
      <c r="E23"/>
      <c r="F23" t="s">
        <v>406</v>
      </c>
      <c r="G23"/>
      <c r="H23" t="s">
        <v>427</v>
      </c>
      <c r="I23" t="s">
        <v>456</v>
      </c>
      <c r="J23"/>
      <c r="K23" t="s">
        <v>479</v>
      </c>
      <c r="L23" t="s">
        <v>488</v>
      </c>
      <c r="M23" t="s">
        <v>506</v>
      </c>
      <c r="N23" t="s">
        <v>530</v>
      </c>
      <c r="O23"/>
      <c r="P23"/>
      <c r="Q23"/>
      <c r="R23"/>
      <c r="S23" t="s">
        <v>618</v>
      </c>
      <c r="T23" t="s">
        <v>637</v>
      </c>
      <c r="U23" t="s">
        <v>542</v>
      </c>
      <c r="V23" t="s">
        <v>659</v>
      </c>
      <c r="W23" t="s">
        <v>667</v>
      </c>
      <c r="X23" t="s">
        <v>619</v>
      </c>
      <c r="Y23"/>
      <c r="AJ23" s="59" t="str">
        <f t="shared" si="31"/>
        <v>Kogulathasan D</v>
      </c>
      <c r="AK23" s="59">
        <f t="shared" si="98"/>
        <v>14</v>
      </c>
      <c r="AL23" s="59">
        <f t="shared" si="99"/>
        <v>1</v>
      </c>
      <c r="AM23" s="59">
        <f t="shared" si="100"/>
        <v>13</v>
      </c>
      <c r="AN23" s="59">
        <f t="shared" si="101"/>
        <v>4</v>
      </c>
      <c r="AO23" s="59">
        <f t="shared" si="102"/>
        <v>-29</v>
      </c>
      <c r="AP23" s="63" t="str">
        <f t="shared" si="103"/>
        <v>29*</v>
      </c>
      <c r="AQ23" s="59">
        <f t="shared" si="104"/>
        <v>138</v>
      </c>
      <c r="AR23" s="61">
        <f t="shared" si="105"/>
        <v>15.333333333333334</v>
      </c>
      <c r="AS23" s="59">
        <f t="shared" si="106"/>
        <v>0</v>
      </c>
      <c r="AT23" s="62">
        <f t="array" ref="AT23">SUM(IF(ISERR(FIND("*",D23:AI23)),0,1))</f>
        <v>0</v>
      </c>
      <c r="AU23" s="62">
        <f t="array" ref="AU23">SUM(IF(ISERR(FIND("+",D23:AI23)),0,1))</f>
        <v>0</v>
      </c>
      <c r="AV23" s="59">
        <f t="shared" si="107"/>
        <v>3</v>
      </c>
      <c r="AW23" s="62">
        <f t="array" ref="AW23">SUM(IF(ISERR(FIND(AW$4,$D23:$AI23)),0,1))</f>
        <v>3</v>
      </c>
      <c r="AX23" s="62">
        <f t="array" ref="AX23">SUM(IF(ISERR(FIND(AX$4,$D23:$AI23)),0,1))</f>
        <v>5</v>
      </c>
      <c r="AY23" s="62">
        <f t="array" ref="AY23">SUM(IF(ISERR(FIND(AY$4,$D23:$AI23)),0,1))</f>
        <v>1</v>
      </c>
      <c r="AZ23" s="62">
        <f t="array" ref="AZ23">SUM(IF(ISERR(FIND(AZ$4,$D23:$AI23)),0,1))</f>
        <v>0</v>
      </c>
      <c r="BA23" s="62">
        <f t="array" ref="BA23">SUM(IF(ISERR(FIND(BA$4,$D23:$AI23)),0,1))</f>
        <v>0</v>
      </c>
      <c r="BB23" s="62">
        <f t="array" ref="BB23">SUM(IF(ISERR(FIND(BB$4,$D23:$AI23)),0,1))</f>
        <v>0</v>
      </c>
      <c r="BC23" s="62">
        <f t="array" ref="BC23">SUM(IF(ISERR(FIND(BC$4,$D23:$AI23)),0,1))</f>
        <v>0</v>
      </c>
      <c r="BD23" s="62">
        <f t="shared" si="108"/>
        <v>0</v>
      </c>
      <c r="BE23" s="62">
        <f t="shared" si="109"/>
        <v>0</v>
      </c>
      <c r="BF23" s="62">
        <f t="shared" si="110"/>
        <v>0</v>
      </c>
      <c r="BG23" s="62">
        <f t="shared" si="111"/>
        <v>22</v>
      </c>
      <c r="BH23" s="62">
        <f t="shared" si="112"/>
        <v>0</v>
      </c>
      <c r="BI23" s="62">
        <f t="shared" si="113"/>
        <v>0</v>
      </c>
      <c r="BJ23" s="62">
        <f t="shared" si="114"/>
        <v>0</v>
      </c>
      <c r="BK23" s="62">
        <f t="shared" si="115"/>
        <v>2</v>
      </c>
      <c r="BL23" s="59">
        <f t="shared" si="116"/>
        <v>1534315.3802299998</v>
      </c>
      <c r="BM23" s="59">
        <f t="shared" si="86"/>
        <v>17</v>
      </c>
      <c r="BN23" s="59">
        <v>14</v>
      </c>
      <c r="BO23" s="80">
        <f t="shared" si="117"/>
        <v>1.144927536231884</v>
      </c>
      <c r="BP23" s="88">
        <f t="shared" si="118"/>
        <v>0.33333333333333331</v>
      </c>
      <c r="BQ23" s="151">
        <f t="shared" si="119"/>
        <v>0</v>
      </c>
      <c r="BR23" s="59" t="str">
        <f t="shared" si="120"/>
        <v/>
      </c>
      <c r="BS23" s="59" t="str">
        <f t="shared" si="121"/>
        <v/>
      </c>
      <c r="BT23" s="62">
        <f t="shared" si="122"/>
        <v>0</v>
      </c>
      <c r="BU23" s="59" t="str">
        <f t="shared" si="123"/>
        <v/>
      </c>
      <c r="BV23" s="62">
        <f t="shared" si="124"/>
        <v>22</v>
      </c>
      <c r="BW23" s="59" t="str">
        <f t="shared" si="125"/>
        <v>Kogulathasan D</v>
      </c>
      <c r="BX23" s="62">
        <f t="shared" si="126"/>
        <v>2</v>
      </c>
      <c r="BY23" s="59" t="str">
        <f t="shared" si="127"/>
        <v>Kogulathasan D</v>
      </c>
      <c r="BZ23" s="59">
        <f t="shared" si="62"/>
        <v>14</v>
      </c>
      <c r="CA23" s="59" t="str">
        <f t="shared" si="63"/>
        <v>Kogulathasan D</v>
      </c>
      <c r="CB23" s="59">
        <f t="shared" si="64"/>
        <v>3</v>
      </c>
      <c r="CC23" s="59" t="str">
        <f t="shared" si="65"/>
        <v>Kogulathasan D</v>
      </c>
    </row>
    <row r="24" spans="2:81" x14ac:dyDescent="0.15">
      <c r="B24" t="s">
        <v>248</v>
      </c>
      <c r="C24" t="s">
        <v>161</v>
      </c>
      <c r="D24"/>
      <c r="E24"/>
      <c r="F24"/>
      <c r="G24" t="s">
        <v>312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AJ24" s="59" t="str">
        <f t="shared" si="31"/>
        <v>Lestrelle A</v>
      </c>
      <c r="AK24" s="59">
        <f t="shared" si="98"/>
        <v>1</v>
      </c>
      <c r="AL24" s="59">
        <f t="shared" si="99"/>
        <v>1</v>
      </c>
      <c r="AM24" s="59">
        <f t="shared" si="100"/>
        <v>0</v>
      </c>
      <c r="AN24" s="59">
        <f t="shared" si="101"/>
        <v>0</v>
      </c>
      <c r="AO24" s="59">
        <f t="shared" si="102"/>
        <v>0</v>
      </c>
      <c r="AP24" s="63">
        <f t="shared" si="103"/>
        <v>0</v>
      </c>
      <c r="AQ24" s="59">
        <f t="shared" si="104"/>
        <v>0</v>
      </c>
      <c r="AR24" s="61">
        <f t="shared" si="105"/>
        <v>0</v>
      </c>
      <c r="AS24" s="59">
        <f t="shared" si="106"/>
        <v>0</v>
      </c>
      <c r="AT24" s="62">
        <f t="array" ref="AT24">SUM(IF(ISERR(FIND("*",D24:AI24)),0,1))</f>
        <v>0</v>
      </c>
      <c r="AU24" s="62">
        <f t="array" ref="AU24">SUM(IF(ISERR(FIND("+",D24:AI24)),0,1))</f>
        <v>0</v>
      </c>
      <c r="AV24" s="59">
        <f t="shared" si="107"/>
        <v>0</v>
      </c>
      <c r="AW24" s="62">
        <f t="array" ref="AW24">SUM(IF(ISERR(FIND(AW$4,$D24:$AI24)),0,1))</f>
        <v>0</v>
      </c>
      <c r="AX24" s="62">
        <f t="array" ref="AX24">SUM(IF(ISERR(FIND(AX$4,$D24:$AI24)),0,1))</f>
        <v>0</v>
      </c>
      <c r="AY24" s="62">
        <f t="array" ref="AY24">SUM(IF(ISERR(FIND(AY$4,$D24:$AI24)),0,1))</f>
        <v>0</v>
      </c>
      <c r="AZ24" s="62">
        <f t="array" ref="AZ24">SUM(IF(ISERR(FIND(AZ$4,$D24:$AI24)),0,1))</f>
        <v>0</v>
      </c>
      <c r="BA24" s="62">
        <f t="array" ref="BA24">SUM(IF(ISERR(FIND(BA$4,$D24:$AI24)),0,1))</f>
        <v>0</v>
      </c>
      <c r="BB24" s="62">
        <f t="array" ref="BB24">SUM(IF(ISERR(FIND(BB$4,$D24:$AI24)),0,1))</f>
        <v>0</v>
      </c>
      <c r="BC24" s="62">
        <f t="array" ref="BC24">SUM(IF(ISERR(FIND(BC$4,$D24:$AI24)),0,1))</f>
        <v>0</v>
      </c>
      <c r="BD24" s="62">
        <f t="shared" si="108"/>
        <v>0</v>
      </c>
      <c r="BE24" s="62">
        <f t="shared" si="109"/>
        <v>0</v>
      </c>
      <c r="BF24" s="62">
        <f t="shared" si="110"/>
        <v>0</v>
      </c>
      <c r="BG24" s="62">
        <f t="shared" si="111"/>
        <v>0</v>
      </c>
      <c r="BH24" s="62">
        <f t="shared" si="112"/>
        <v>0</v>
      </c>
      <c r="BI24" s="62">
        <f t="shared" si="113"/>
        <v>0</v>
      </c>
      <c r="BJ24" s="62">
        <f t="shared" si="114"/>
        <v>0</v>
      </c>
      <c r="BK24" s="62">
        <f t="shared" si="115"/>
        <v>0</v>
      </c>
      <c r="BL24" s="59">
        <f t="shared" si="116"/>
        <v>1.00024</v>
      </c>
      <c r="BM24" s="59">
        <f t="shared" si="86"/>
        <v>40</v>
      </c>
      <c r="BN24" s="59">
        <v>15</v>
      </c>
      <c r="BO24" s="80" t="str">
        <f t="shared" si="117"/>
        <v/>
      </c>
      <c r="BP24" s="88" t="e">
        <f t="shared" si="118"/>
        <v>#DIV/0!</v>
      </c>
      <c r="BQ24" s="151">
        <f t="shared" si="119"/>
        <v>0</v>
      </c>
      <c r="BR24" s="59" t="str">
        <f t="shared" si="120"/>
        <v/>
      </c>
      <c r="BS24" s="59" t="str">
        <f t="shared" si="121"/>
        <v/>
      </c>
      <c r="BT24" s="62">
        <f t="shared" si="122"/>
        <v>0</v>
      </c>
      <c r="BU24" s="59" t="str">
        <f t="shared" si="123"/>
        <v/>
      </c>
      <c r="BV24" s="62">
        <f t="shared" si="124"/>
        <v>0</v>
      </c>
      <c r="BW24" s="59" t="str">
        <f t="shared" si="125"/>
        <v/>
      </c>
      <c r="BX24" s="62">
        <f t="shared" si="126"/>
        <v>0</v>
      </c>
      <c r="BY24" s="59" t="str">
        <f t="shared" si="127"/>
        <v/>
      </c>
      <c r="BZ24" s="59">
        <f t="shared" si="62"/>
        <v>1</v>
      </c>
      <c r="CA24" s="59" t="str">
        <f t="shared" si="63"/>
        <v>Lestrelle A</v>
      </c>
      <c r="CB24" s="59">
        <f t="shared" si="64"/>
        <v>0</v>
      </c>
      <c r="CC24" s="59" t="str">
        <f t="shared" si="65"/>
        <v>Lestrelle A</v>
      </c>
    </row>
    <row r="25" spans="2:81" x14ac:dyDescent="0.15">
      <c r="B25" t="s">
        <v>461</v>
      </c>
      <c r="C25" t="s">
        <v>462</v>
      </c>
      <c r="D25"/>
      <c r="E25"/>
      <c r="F25"/>
      <c r="G25"/>
      <c r="H25"/>
      <c r="I25"/>
      <c r="J25" t="s">
        <v>463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AJ25" t="str">
        <f t="shared" si="31"/>
        <v>Lindsay B</v>
      </c>
      <c r="AK25" s="59">
        <f t="shared" si="98"/>
        <v>1</v>
      </c>
      <c r="AL25" s="59">
        <f t="shared" si="99"/>
        <v>0</v>
      </c>
      <c r="AM25" s="59">
        <f t="shared" si="100"/>
        <v>1</v>
      </c>
      <c r="AN25" s="59">
        <f t="shared" si="101"/>
        <v>0</v>
      </c>
      <c r="AO25" s="59">
        <f t="shared" si="102"/>
        <v>11</v>
      </c>
      <c r="AP25" s="63">
        <f t="shared" si="103"/>
        <v>11</v>
      </c>
      <c r="AQ25" s="59">
        <f t="shared" si="104"/>
        <v>11</v>
      </c>
      <c r="AR25" s="61">
        <f t="shared" si="105"/>
        <v>11</v>
      </c>
      <c r="AS25" s="59">
        <f t="shared" si="106"/>
        <v>0</v>
      </c>
      <c r="AT25" s="62">
        <f t="array" ref="AT25">SUM(IF(ISERR(FIND("*",D25:AI25)),0,1))</f>
        <v>0</v>
      </c>
      <c r="AU25" s="62">
        <f t="array" ref="AU25">SUM(IF(ISERR(FIND("+",D25:AI25)),0,1))</f>
        <v>0</v>
      </c>
      <c r="AV25" s="59">
        <f t="shared" si="107"/>
        <v>0</v>
      </c>
      <c r="AW25" s="62">
        <f t="array" ref="AW25">SUM(IF(ISERR(FIND(AW$4,$D25:$AI25)),0,1))</f>
        <v>1</v>
      </c>
      <c r="AX25" s="62">
        <f t="array" ref="AX25">SUM(IF(ISERR(FIND(AX$4,$D25:$AI25)),0,1))</f>
        <v>0</v>
      </c>
      <c r="AY25" s="62">
        <f t="array" ref="AY25">SUM(IF(ISERR(FIND(AY$4,$D25:$AI25)),0,1))</f>
        <v>0</v>
      </c>
      <c r="AZ25" s="62">
        <f t="array" ref="AZ25">SUM(IF(ISERR(FIND(AZ$4,$D25:$AI25)),0,1))</f>
        <v>0</v>
      </c>
      <c r="BA25" s="62">
        <f t="array" ref="BA25">SUM(IF(ISERR(FIND(BA$4,$D25:$AI25)),0,1))</f>
        <v>0</v>
      </c>
      <c r="BB25" s="62">
        <f t="array" ref="BB25">SUM(IF(ISERR(FIND(BB$4,$D25:$AI25)),0,1))</f>
        <v>0</v>
      </c>
      <c r="BC25" s="62">
        <f t="array" ref="BC25">SUM(IF(ISERR(FIND(BC$4,$D25:$AI25)),0,1))</f>
        <v>0</v>
      </c>
      <c r="BD25" s="62">
        <f t="shared" si="108"/>
        <v>0</v>
      </c>
      <c r="BE25" s="62">
        <f t="shared" si="109"/>
        <v>0</v>
      </c>
      <c r="BF25" s="62">
        <f t="shared" si="110"/>
        <v>0</v>
      </c>
      <c r="BG25" s="62">
        <f t="shared" si="111"/>
        <v>1</v>
      </c>
      <c r="BH25" s="62">
        <f t="shared" si="112"/>
        <v>0</v>
      </c>
      <c r="BI25" s="62">
        <f t="shared" si="113"/>
        <v>0</v>
      </c>
      <c r="BJ25" s="62">
        <f t="shared" si="114"/>
        <v>0</v>
      </c>
      <c r="BK25" s="62">
        <f t="shared" si="115"/>
        <v>0</v>
      </c>
      <c r="BL25" s="59">
        <f t="shared" si="116"/>
        <v>1100101.1102500001</v>
      </c>
      <c r="BM25" s="59">
        <f t="shared" si="86"/>
        <v>20</v>
      </c>
      <c r="BN25" s="59">
        <v>16</v>
      </c>
      <c r="BO25" s="80" t="str">
        <f t="shared" si="117"/>
        <v/>
      </c>
      <c r="BP25" s="88">
        <f t="shared" si="118"/>
        <v>0</v>
      </c>
      <c r="BQ25" s="151">
        <f t="shared" si="119"/>
        <v>0</v>
      </c>
      <c r="BR25" s="59" t="str">
        <f t="shared" si="120"/>
        <v/>
      </c>
      <c r="BS25" s="59" t="str">
        <f t="shared" si="121"/>
        <v/>
      </c>
      <c r="BT25" s="62">
        <f t="shared" si="122"/>
        <v>0</v>
      </c>
      <c r="BU25" s="59" t="str">
        <f t="shared" si="123"/>
        <v/>
      </c>
      <c r="BV25" s="62">
        <f t="shared" si="124"/>
        <v>1</v>
      </c>
      <c r="BW25" s="59" t="str">
        <f t="shared" si="125"/>
        <v>Lindsay B</v>
      </c>
      <c r="BX25" s="62">
        <f t="shared" si="126"/>
        <v>0</v>
      </c>
      <c r="BY25" s="59" t="str">
        <f t="shared" si="127"/>
        <v/>
      </c>
      <c r="BZ25" s="59">
        <f t="shared" si="62"/>
        <v>1</v>
      </c>
      <c r="CA25" s="59" t="str">
        <f t="shared" si="63"/>
        <v>Lindsay B</v>
      </c>
      <c r="CB25" s="59">
        <f t="shared" si="64"/>
        <v>0</v>
      </c>
      <c r="CC25" s="59" t="str">
        <f t="shared" si="65"/>
        <v>Lindsay B</v>
      </c>
    </row>
    <row r="26" spans="2:81" x14ac:dyDescent="0.15">
      <c r="B26" t="s">
        <v>338</v>
      </c>
      <c r="C26" t="s">
        <v>337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AJ26" s="59" t="str">
        <f t="shared" si="31"/>
        <v>Low-Hughes A</v>
      </c>
      <c r="AK26" s="59">
        <f t="shared" si="98"/>
        <v>0</v>
      </c>
      <c r="AL26" s="59">
        <f t="shared" si="99"/>
        <v>0</v>
      </c>
      <c r="AM26" s="59">
        <f t="shared" si="100"/>
        <v>0</v>
      </c>
      <c r="AN26" s="59">
        <f t="shared" si="101"/>
        <v>0</v>
      </c>
      <c r="AO26" s="59">
        <f t="shared" si="102"/>
        <v>0</v>
      </c>
      <c r="AP26" s="63">
        <f t="shared" si="103"/>
        <v>0</v>
      </c>
      <c r="AQ26" s="59">
        <f t="shared" si="104"/>
        <v>0</v>
      </c>
      <c r="AR26" s="61">
        <f t="shared" si="105"/>
        <v>0</v>
      </c>
      <c r="AS26" s="59">
        <f t="shared" si="106"/>
        <v>0</v>
      </c>
      <c r="AT26" s="62">
        <f t="array" ref="AT26">SUM(IF(ISERR(FIND("*",D26:AI26)),0,1))</f>
        <v>0</v>
      </c>
      <c r="AU26" s="62">
        <f t="array" ref="AU26">SUM(IF(ISERR(FIND("+",D26:AI26)),0,1))</f>
        <v>0</v>
      </c>
      <c r="AV26" s="59">
        <f t="shared" si="107"/>
        <v>0</v>
      </c>
      <c r="AW26" s="62">
        <f t="array" ref="AW26">SUM(IF(ISERR(FIND(AW$4,$D26:$AI26)),0,1))</f>
        <v>0</v>
      </c>
      <c r="AX26" s="62">
        <f t="array" ref="AX26">SUM(IF(ISERR(FIND(AX$4,$D26:$AI26)),0,1))</f>
        <v>0</v>
      </c>
      <c r="AY26" s="62">
        <f t="array" ref="AY26">SUM(IF(ISERR(FIND(AY$4,$D26:$AI26)),0,1))</f>
        <v>0</v>
      </c>
      <c r="AZ26" s="62">
        <f t="array" ref="AZ26">SUM(IF(ISERR(FIND(AZ$4,$D26:$AI26)),0,1))</f>
        <v>0</v>
      </c>
      <c r="BA26" s="62">
        <f t="array" ref="BA26">SUM(IF(ISERR(FIND(BA$4,$D26:$AI26)),0,1))</f>
        <v>0</v>
      </c>
      <c r="BB26" s="62">
        <f t="array" ref="BB26">SUM(IF(ISERR(FIND(BB$4,$D26:$AI26)),0,1))</f>
        <v>0</v>
      </c>
      <c r="BC26" s="62">
        <f t="array" ref="BC26">SUM(IF(ISERR(FIND(BC$4,$D26:$AI26)),0,1))</f>
        <v>0</v>
      </c>
      <c r="BD26" s="62">
        <f t="shared" si="108"/>
        <v>0</v>
      </c>
      <c r="BE26" s="62">
        <f t="shared" si="109"/>
        <v>0</v>
      </c>
      <c r="BF26" s="62">
        <f t="shared" si="110"/>
        <v>0</v>
      </c>
      <c r="BG26" s="62">
        <f t="shared" si="111"/>
        <v>0</v>
      </c>
      <c r="BH26" s="62">
        <f t="shared" si="112"/>
        <v>0</v>
      </c>
      <c r="BI26" s="62">
        <f t="shared" si="113"/>
        <v>0</v>
      </c>
      <c r="BJ26" s="62">
        <f t="shared" si="114"/>
        <v>0</v>
      </c>
      <c r="BK26" s="62">
        <f t="shared" si="115"/>
        <v>0</v>
      </c>
      <c r="BL26" s="59">
        <f t="shared" si="116"/>
        <v>2.5999999999999998E-4</v>
      </c>
      <c r="BM26" s="59">
        <f t="shared" si="86"/>
        <v>54</v>
      </c>
      <c r="BN26" s="59">
        <v>17</v>
      </c>
      <c r="BO26" s="80" t="str">
        <f t="shared" si="117"/>
        <v/>
      </c>
      <c r="BP26" s="88" t="e">
        <f t="shared" si="118"/>
        <v>#DIV/0!</v>
      </c>
      <c r="BQ26" s="151">
        <f t="shared" si="119"/>
        <v>0</v>
      </c>
      <c r="BR26" s="59" t="str">
        <f t="shared" si="120"/>
        <v/>
      </c>
      <c r="BS26" s="59" t="str">
        <f t="shared" si="121"/>
        <v/>
      </c>
      <c r="BT26" s="62">
        <f t="shared" si="122"/>
        <v>0</v>
      </c>
      <c r="BU26" s="59" t="str">
        <f t="shared" si="123"/>
        <v/>
      </c>
      <c r="BV26" s="62">
        <f t="shared" si="124"/>
        <v>0</v>
      </c>
      <c r="BW26" s="59" t="str">
        <f t="shared" si="125"/>
        <v/>
      </c>
      <c r="BX26" s="62">
        <f t="shared" si="126"/>
        <v>0</v>
      </c>
      <c r="BY26" s="59" t="str">
        <f t="shared" si="127"/>
        <v/>
      </c>
      <c r="BZ26" s="59">
        <f t="shared" si="62"/>
        <v>0</v>
      </c>
      <c r="CA26" s="59" t="str">
        <f t="shared" si="63"/>
        <v>Low-Hughes A</v>
      </c>
      <c r="CB26" s="59">
        <f t="shared" si="64"/>
        <v>0</v>
      </c>
      <c r="CC26" s="59" t="str">
        <f t="shared" si="65"/>
        <v>Low-Hughes A</v>
      </c>
    </row>
    <row r="27" spans="2:81" x14ac:dyDescent="0.15">
      <c r="B27"/>
      <c r="C27" t="s">
        <v>342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AJ27" s="59" t="str">
        <f t="shared" si="31"/>
        <v>"Luca"</v>
      </c>
      <c r="AK27" s="59">
        <f t="shared" si="98"/>
        <v>0</v>
      </c>
      <c r="AL27" s="59">
        <f t="shared" si="99"/>
        <v>0</v>
      </c>
      <c r="AM27" s="59">
        <f t="shared" si="100"/>
        <v>0</v>
      </c>
      <c r="AN27" s="59">
        <f t="shared" si="101"/>
        <v>0</v>
      </c>
      <c r="AO27" s="59">
        <f t="shared" si="102"/>
        <v>0</v>
      </c>
      <c r="AP27" s="63">
        <f t="shared" si="103"/>
        <v>0</v>
      </c>
      <c r="AQ27" s="59">
        <f t="shared" si="104"/>
        <v>0</v>
      </c>
      <c r="AR27" s="61">
        <f t="shared" si="105"/>
        <v>0</v>
      </c>
      <c r="AS27" s="59">
        <f t="shared" si="106"/>
        <v>0</v>
      </c>
      <c r="AT27" s="62">
        <f t="array" ref="AT27">SUM(IF(ISERR(FIND("*",D27:AI27)),0,1))</f>
        <v>0</v>
      </c>
      <c r="AU27" s="62">
        <f t="array" ref="AU27">SUM(IF(ISERR(FIND("+",D27:AI27)),0,1))</f>
        <v>0</v>
      </c>
      <c r="AV27" s="59">
        <f t="shared" si="107"/>
        <v>0</v>
      </c>
      <c r="AW27" s="62">
        <f t="array" ref="AW27">SUM(IF(ISERR(FIND(AW$4,$D27:$AI27)),0,1))</f>
        <v>0</v>
      </c>
      <c r="AX27" s="62">
        <f t="array" ref="AX27">SUM(IF(ISERR(FIND(AX$4,$D27:$AI27)),0,1))</f>
        <v>0</v>
      </c>
      <c r="AY27" s="62">
        <f t="array" ref="AY27">SUM(IF(ISERR(FIND(AY$4,$D27:$AI27)),0,1))</f>
        <v>0</v>
      </c>
      <c r="AZ27" s="62">
        <f t="array" ref="AZ27">SUM(IF(ISERR(FIND(AZ$4,$D27:$AI27)),0,1))</f>
        <v>0</v>
      </c>
      <c r="BA27" s="62">
        <f t="array" ref="BA27">SUM(IF(ISERR(FIND(BA$4,$D27:$AI27)),0,1))</f>
        <v>0</v>
      </c>
      <c r="BB27" s="62">
        <f t="array" ref="BB27">SUM(IF(ISERR(FIND(BB$4,$D27:$AI27)),0,1))</f>
        <v>0</v>
      </c>
      <c r="BC27" s="62">
        <f t="array" ref="BC27">SUM(IF(ISERR(FIND(BC$4,$D27:$AI27)),0,1))</f>
        <v>0</v>
      </c>
      <c r="BD27" s="62">
        <f t="shared" si="108"/>
        <v>0</v>
      </c>
      <c r="BE27" s="62">
        <f t="shared" si="109"/>
        <v>0</v>
      </c>
      <c r="BF27" s="62">
        <f t="shared" si="110"/>
        <v>0</v>
      </c>
      <c r="BG27" s="62">
        <f t="shared" si="111"/>
        <v>0</v>
      </c>
      <c r="BH27" s="62">
        <f t="shared" si="112"/>
        <v>0</v>
      </c>
      <c r="BI27" s="62">
        <f t="shared" si="113"/>
        <v>0</v>
      </c>
      <c r="BJ27" s="62">
        <f t="shared" si="114"/>
        <v>0</v>
      </c>
      <c r="BK27" s="62">
        <f t="shared" si="115"/>
        <v>0</v>
      </c>
      <c r="BL27" s="59">
        <f t="shared" si="116"/>
        <v>2.7E-4</v>
      </c>
      <c r="BM27" s="59">
        <f t="shared" si="86"/>
        <v>53</v>
      </c>
      <c r="BN27" s="59">
        <v>18</v>
      </c>
      <c r="BO27" s="80" t="str">
        <f t="shared" si="117"/>
        <v/>
      </c>
      <c r="BP27" s="88" t="e">
        <f t="shared" si="118"/>
        <v>#DIV/0!</v>
      </c>
      <c r="BQ27" s="151">
        <f t="shared" si="119"/>
        <v>0</v>
      </c>
      <c r="BR27" s="59" t="str">
        <f t="shared" si="120"/>
        <v/>
      </c>
      <c r="BS27" s="59" t="str">
        <f t="shared" si="121"/>
        <v/>
      </c>
      <c r="BT27" s="62">
        <f t="shared" si="122"/>
        <v>0</v>
      </c>
      <c r="BU27" s="59" t="str">
        <f t="shared" si="123"/>
        <v/>
      </c>
      <c r="BV27" s="62">
        <f t="shared" si="124"/>
        <v>0</v>
      </c>
      <c r="BW27" s="59" t="str">
        <f t="shared" si="125"/>
        <v/>
      </c>
      <c r="BX27" s="62">
        <f t="shared" si="126"/>
        <v>0</v>
      </c>
      <c r="BY27" s="59" t="str">
        <f t="shared" si="127"/>
        <v/>
      </c>
      <c r="BZ27" s="59">
        <f t="shared" si="62"/>
        <v>0</v>
      </c>
      <c r="CA27" s="59" t="str">
        <f t="shared" si="63"/>
        <v>"Luca"</v>
      </c>
      <c r="CB27" s="59">
        <f t="shared" si="64"/>
        <v>0</v>
      </c>
      <c r="CC27" s="59" t="str">
        <f t="shared" si="65"/>
        <v>"Luca"</v>
      </c>
    </row>
    <row r="28" spans="2:81" x14ac:dyDescent="0.15">
      <c r="B28" t="s">
        <v>559</v>
      </c>
      <c r="C28" t="s">
        <v>560</v>
      </c>
      <c r="D28"/>
      <c r="E28"/>
      <c r="F28"/>
      <c r="G28"/>
      <c r="H28"/>
      <c r="I28"/>
      <c r="J28"/>
      <c r="K28"/>
      <c r="L28"/>
      <c r="M28"/>
      <c r="N28"/>
      <c r="O28"/>
      <c r="P28" t="s">
        <v>561</v>
      </c>
      <c r="Q28"/>
      <c r="R28"/>
      <c r="S28"/>
      <c r="T28"/>
      <c r="U28"/>
      <c r="V28"/>
      <c r="W28"/>
      <c r="X28"/>
      <c r="AJ28" t="str">
        <f t="shared" si="31"/>
        <v>Mahmood S</v>
      </c>
      <c r="AK28" s="59">
        <f t="shared" si="98"/>
        <v>1</v>
      </c>
      <c r="AL28" s="59">
        <f t="shared" si="99"/>
        <v>0</v>
      </c>
      <c r="AM28" s="59">
        <f t="shared" si="100"/>
        <v>1</v>
      </c>
      <c r="AN28" s="59">
        <f t="shared" si="101"/>
        <v>0</v>
      </c>
      <c r="AO28" s="59">
        <f t="shared" si="102"/>
        <v>47</v>
      </c>
      <c r="AP28" s="63">
        <f t="shared" si="103"/>
        <v>47</v>
      </c>
      <c r="AQ28" s="59">
        <f t="shared" si="104"/>
        <v>47</v>
      </c>
      <c r="AR28" s="61">
        <f t="shared" si="105"/>
        <v>47</v>
      </c>
      <c r="AS28" s="59">
        <f t="shared" si="106"/>
        <v>5</v>
      </c>
      <c r="AT28" s="62">
        <f t="array" ref="AT28">SUM(IF(ISERR(FIND("*",D28:AI28)),0,1))</f>
        <v>0</v>
      </c>
      <c r="AU28" s="62">
        <f t="array" ref="AU28">SUM(IF(ISERR(FIND("+",D28:AI28)),0,1))</f>
        <v>0</v>
      </c>
      <c r="AV28" s="59">
        <f t="shared" si="107"/>
        <v>0</v>
      </c>
      <c r="AW28" s="62">
        <f t="array" ref="AW28">SUM(IF(ISERR(FIND(AW$4,$D28:$AI28)),0,1))</f>
        <v>0</v>
      </c>
      <c r="AX28" s="62">
        <f t="array" ref="AX28">SUM(IF(ISERR(FIND(AX$4,$D28:$AI28)),0,1))</f>
        <v>1</v>
      </c>
      <c r="AY28" s="62">
        <f t="array" ref="AY28">SUM(IF(ISERR(FIND(AY$4,$D28:$AI28)),0,1))</f>
        <v>0</v>
      </c>
      <c r="AZ28" s="62">
        <f t="array" ref="AZ28">SUM(IF(ISERR(FIND(AZ$4,$D28:$AI28)),0,1))</f>
        <v>0</v>
      </c>
      <c r="BA28" s="62">
        <f t="array" ref="BA28">SUM(IF(ISERR(FIND(BA$4,$D28:$AI28)),0,1))</f>
        <v>0</v>
      </c>
      <c r="BB28" s="62">
        <f t="array" ref="BB28">SUM(IF(ISERR(FIND(BB$4,$D28:$AI28)),0,1))</f>
        <v>0</v>
      </c>
      <c r="BC28" s="62">
        <f t="array" ref="BC28">SUM(IF(ISERR(FIND(BC$4,$D28:$AI28)),0,1))</f>
        <v>0</v>
      </c>
      <c r="BD28" s="62">
        <f t="shared" si="108"/>
        <v>0</v>
      </c>
      <c r="BE28" s="62">
        <f t="shared" si="109"/>
        <v>0</v>
      </c>
      <c r="BF28" s="62">
        <f t="shared" si="110"/>
        <v>1</v>
      </c>
      <c r="BG28" s="62">
        <f t="shared" si="111"/>
        <v>6</v>
      </c>
      <c r="BH28" s="62">
        <f t="shared" si="112"/>
        <v>2</v>
      </c>
      <c r="BI28" s="62">
        <f t="shared" si="113"/>
        <v>0</v>
      </c>
      <c r="BJ28" s="62">
        <f t="shared" si="114"/>
        <v>0</v>
      </c>
      <c r="BK28" s="62">
        <f t="shared" si="115"/>
        <v>1</v>
      </c>
      <c r="BL28" s="59">
        <f t="shared" si="116"/>
        <v>4700101.47028</v>
      </c>
      <c r="BM28" s="59">
        <f t="shared" si="86"/>
        <v>3</v>
      </c>
      <c r="BN28" s="59">
        <v>19</v>
      </c>
      <c r="BO28" s="80" t="str">
        <f t="shared" si="117"/>
        <v/>
      </c>
      <c r="BP28" s="88">
        <f t="shared" si="118"/>
        <v>0</v>
      </c>
      <c r="BQ28" s="151">
        <f t="shared" si="119"/>
        <v>1</v>
      </c>
      <c r="BR28" s="59" t="str">
        <f t="shared" si="120"/>
        <v>1</v>
      </c>
      <c r="BS28" s="59" t="str">
        <f t="shared" si="121"/>
        <v>Mahmood S</v>
      </c>
      <c r="BT28" s="62">
        <f t="shared" si="122"/>
        <v>2</v>
      </c>
      <c r="BU28" s="59" t="str">
        <f t="shared" si="123"/>
        <v>Mahmood S</v>
      </c>
      <c r="BV28" s="62">
        <f t="shared" si="124"/>
        <v>6</v>
      </c>
      <c r="BW28" s="59" t="str">
        <f t="shared" si="125"/>
        <v>Mahmood S</v>
      </c>
      <c r="BX28" s="62">
        <f t="shared" si="126"/>
        <v>1</v>
      </c>
      <c r="BY28" s="59" t="str">
        <f t="shared" si="127"/>
        <v>Mahmood S</v>
      </c>
      <c r="BZ28" s="59">
        <f t="shared" si="62"/>
        <v>1</v>
      </c>
      <c r="CA28" s="59" t="str">
        <f t="shared" si="63"/>
        <v>Mahmood S</v>
      </c>
      <c r="CB28" s="59">
        <f t="shared" si="64"/>
        <v>0</v>
      </c>
      <c r="CC28" s="59" t="str">
        <f t="shared" si="65"/>
        <v>Mahmood S</v>
      </c>
    </row>
    <row r="29" spans="2:81" x14ac:dyDescent="0.15">
      <c r="B29" t="s">
        <v>25</v>
      </c>
      <c r="C29" t="s">
        <v>218</v>
      </c>
      <c r="D29" t="s">
        <v>306</v>
      </c>
      <c r="E29" t="s">
        <v>403</v>
      </c>
      <c r="F29"/>
      <c r="G29" t="s">
        <v>306</v>
      </c>
      <c r="H29" t="s">
        <v>320</v>
      </c>
      <c r="I29" t="s">
        <v>453</v>
      </c>
      <c r="J29" t="s">
        <v>306</v>
      </c>
      <c r="K29" t="s">
        <v>306</v>
      </c>
      <c r="L29" t="s">
        <v>497</v>
      </c>
      <c r="M29"/>
      <c r="N29"/>
      <c r="O29"/>
      <c r="P29" t="s">
        <v>306</v>
      </c>
      <c r="Q29"/>
      <c r="R29"/>
      <c r="S29" t="s">
        <v>322</v>
      </c>
      <c r="T29"/>
      <c r="U29" t="s">
        <v>653</v>
      </c>
      <c r="V29"/>
      <c r="W29"/>
      <c r="X29" t="s">
        <v>683</v>
      </c>
      <c r="AJ29" s="59" t="str">
        <f t="shared" si="31"/>
        <v>Mander A</v>
      </c>
      <c r="AK29" s="59">
        <f t="shared" si="98"/>
        <v>12</v>
      </c>
      <c r="AL29" s="59">
        <f t="shared" si="99"/>
        <v>6</v>
      </c>
      <c r="AM29" s="59">
        <f t="shared" si="100"/>
        <v>6</v>
      </c>
      <c r="AN29" s="59">
        <f t="shared" si="101"/>
        <v>5</v>
      </c>
      <c r="AO29" s="59">
        <f t="shared" si="102"/>
        <v>14</v>
      </c>
      <c r="AP29" s="63">
        <f t="shared" si="103"/>
        <v>14</v>
      </c>
      <c r="AQ29" s="59">
        <f t="shared" si="104"/>
        <v>26</v>
      </c>
      <c r="AR29" s="61">
        <f t="shared" si="105"/>
        <v>26</v>
      </c>
      <c r="AS29" s="59">
        <f t="shared" si="106"/>
        <v>5</v>
      </c>
      <c r="AT29" s="62">
        <f t="array" ref="AT29">SUM(IF(ISERR(FIND("*",D29:AI29)),0,1))</f>
        <v>0</v>
      </c>
      <c r="AU29" s="62">
        <f t="array" ref="AU29">SUM(IF(ISERR(FIND("+",D29:AI29)),0,1))</f>
        <v>0</v>
      </c>
      <c r="AV29" s="59">
        <f t="shared" si="107"/>
        <v>0</v>
      </c>
      <c r="AW29" s="62">
        <f t="array" ref="AW29">SUM(IF(ISERR(FIND(AW$4,$D29:$AI29)),0,1))</f>
        <v>1</v>
      </c>
      <c r="AX29" s="62">
        <f t="array" ref="AX29">SUM(IF(ISERR(FIND(AX$4,$D29:$AI29)),0,1))</f>
        <v>0</v>
      </c>
      <c r="AY29" s="62">
        <f t="array" ref="AY29">SUM(IF(ISERR(FIND(AY$4,$D29:$AI29)),0,1))</f>
        <v>0</v>
      </c>
      <c r="AZ29" s="62">
        <f t="array" ref="AZ29">SUM(IF(ISERR(FIND(AZ$4,$D29:$AI29)),0,1))</f>
        <v>0</v>
      </c>
      <c r="BA29" s="62">
        <f t="array" ref="BA29">SUM(IF(ISERR(FIND(BA$4,$D29:$AI29)),0,1))</f>
        <v>0</v>
      </c>
      <c r="BB29" s="62">
        <f t="array" ref="BB29">SUM(IF(ISERR(FIND(BB$4,$D29:$AI29)),0,1))</f>
        <v>0</v>
      </c>
      <c r="BC29" s="62">
        <f t="array" ref="BC29">SUM(IF(ISERR(FIND(BC$4,$D29:$AI29)),0,1))</f>
        <v>0</v>
      </c>
      <c r="BD29" s="62">
        <f t="shared" si="108"/>
        <v>0</v>
      </c>
      <c r="BE29" s="62">
        <f t="shared" si="109"/>
        <v>0</v>
      </c>
      <c r="BF29" s="62">
        <f t="shared" si="110"/>
        <v>1</v>
      </c>
      <c r="BG29" s="62">
        <f t="shared" si="111"/>
        <v>4</v>
      </c>
      <c r="BH29" s="62">
        <f t="shared" si="112"/>
        <v>0</v>
      </c>
      <c r="BI29" s="62">
        <f t="shared" si="113"/>
        <v>0</v>
      </c>
      <c r="BJ29" s="62">
        <f t="shared" si="114"/>
        <v>0</v>
      </c>
      <c r="BK29" s="62">
        <f t="shared" si="115"/>
        <v>0</v>
      </c>
      <c r="BL29" s="59">
        <f t="shared" si="116"/>
        <v>2600612.2602899997</v>
      </c>
      <c r="BM29" s="59">
        <f t="shared" si="86"/>
        <v>10</v>
      </c>
      <c r="BN29" s="59">
        <v>20</v>
      </c>
      <c r="BO29" s="80" t="str">
        <f t="shared" si="117"/>
        <v/>
      </c>
      <c r="BP29" s="88">
        <f t="shared" si="118"/>
        <v>0</v>
      </c>
      <c r="BQ29" s="151">
        <f t="shared" si="119"/>
        <v>1</v>
      </c>
      <c r="BR29" s="59" t="str">
        <f t="shared" si="120"/>
        <v>1</v>
      </c>
      <c r="BS29" s="59" t="str">
        <f t="shared" si="121"/>
        <v>Mander A</v>
      </c>
      <c r="BT29" s="62">
        <f t="shared" si="122"/>
        <v>0</v>
      </c>
      <c r="BU29" s="59" t="str">
        <f t="shared" si="123"/>
        <v/>
      </c>
      <c r="BV29" s="62">
        <f t="shared" si="124"/>
        <v>4</v>
      </c>
      <c r="BW29" s="59" t="str">
        <f t="shared" si="125"/>
        <v>Mander A</v>
      </c>
      <c r="BX29" s="62">
        <f t="shared" si="126"/>
        <v>0</v>
      </c>
      <c r="BY29" s="59" t="str">
        <f t="shared" si="127"/>
        <v/>
      </c>
      <c r="BZ29" s="59">
        <f t="shared" si="62"/>
        <v>12</v>
      </c>
      <c r="CA29" s="59" t="str">
        <f t="shared" si="63"/>
        <v>Mander A</v>
      </c>
      <c r="CB29" s="59">
        <f t="shared" si="64"/>
        <v>0</v>
      </c>
      <c r="CC29" s="59" t="str">
        <f t="shared" si="65"/>
        <v>Mander A</v>
      </c>
    </row>
    <row r="30" spans="2:81" x14ac:dyDescent="0.15">
      <c r="B30" t="s">
        <v>26</v>
      </c>
      <c r="C30" t="s">
        <v>616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t="s">
        <v>617</v>
      </c>
      <c r="T30"/>
      <c r="U30"/>
      <c r="V30"/>
      <c r="W30"/>
      <c r="X30"/>
      <c r="AJ30" t="str">
        <f t="shared" si="31"/>
        <v>Mander C</v>
      </c>
      <c r="AK30" s="59">
        <f t="shared" si="98"/>
        <v>1</v>
      </c>
      <c r="AL30" s="59">
        <f t="shared" si="99"/>
        <v>0</v>
      </c>
      <c r="AM30" s="59">
        <f t="shared" si="100"/>
        <v>1</v>
      </c>
      <c r="AN30" s="59">
        <f t="shared" si="101"/>
        <v>0</v>
      </c>
      <c r="AO30" s="59">
        <f t="shared" si="102"/>
        <v>6</v>
      </c>
      <c r="AP30" s="63">
        <f t="shared" si="103"/>
        <v>6</v>
      </c>
      <c r="AQ30" s="59">
        <f t="shared" si="104"/>
        <v>6</v>
      </c>
      <c r="AR30" s="61">
        <f t="shared" si="105"/>
        <v>6</v>
      </c>
      <c r="AS30" s="59">
        <f t="shared" si="106"/>
        <v>5</v>
      </c>
      <c r="AT30" s="62">
        <f t="array" ref="AT30">SUM(IF(ISERR(FIND("*",D30:AI30)),0,1))</f>
        <v>0</v>
      </c>
      <c r="AU30" s="62">
        <f t="array" ref="AU30">SUM(IF(ISERR(FIND("+",D30:AI30)),0,1))</f>
        <v>0</v>
      </c>
      <c r="AV30" s="59">
        <f t="shared" si="107"/>
        <v>0</v>
      </c>
      <c r="AW30" s="62">
        <f t="array" ref="AW30">SUM(IF(ISERR(FIND(AW$4,$D30:$AI30)),0,1))</f>
        <v>1</v>
      </c>
      <c r="AX30" s="62">
        <f t="array" ref="AX30">SUM(IF(ISERR(FIND(AX$4,$D30:$AI30)),0,1))</f>
        <v>0</v>
      </c>
      <c r="AY30" s="62">
        <f t="array" ref="AY30">SUM(IF(ISERR(FIND(AY$4,$D30:$AI30)),0,1))</f>
        <v>0</v>
      </c>
      <c r="AZ30" s="62">
        <f t="array" ref="AZ30">SUM(IF(ISERR(FIND(AZ$4,$D30:$AI30)),0,1))</f>
        <v>0</v>
      </c>
      <c r="BA30" s="62">
        <f t="array" ref="BA30">SUM(IF(ISERR(FIND(BA$4,$D30:$AI30)),0,1))</f>
        <v>0</v>
      </c>
      <c r="BB30" s="62">
        <f t="array" ref="BB30">SUM(IF(ISERR(FIND(BB$4,$D30:$AI30)),0,1))</f>
        <v>0</v>
      </c>
      <c r="BC30" s="62">
        <f t="array" ref="BC30">SUM(IF(ISERR(FIND(BC$4,$D30:$AI30)),0,1))</f>
        <v>0</v>
      </c>
      <c r="BD30" s="62">
        <f t="shared" si="108"/>
        <v>0</v>
      </c>
      <c r="BE30" s="62">
        <f t="shared" si="109"/>
        <v>0</v>
      </c>
      <c r="BF30" s="62">
        <f t="shared" si="110"/>
        <v>1</v>
      </c>
      <c r="BG30" s="62">
        <f t="shared" si="111"/>
        <v>1</v>
      </c>
      <c r="BH30" s="62">
        <f t="shared" si="112"/>
        <v>0</v>
      </c>
      <c r="BI30" s="62">
        <f t="shared" si="113"/>
        <v>0</v>
      </c>
      <c r="BJ30" s="62">
        <f t="shared" si="114"/>
        <v>0</v>
      </c>
      <c r="BK30" s="62">
        <f t="shared" si="115"/>
        <v>0</v>
      </c>
      <c r="BL30" s="59">
        <f t="shared" si="116"/>
        <v>600101.06030000001</v>
      </c>
      <c r="BM30" s="59">
        <f t="shared" si="86"/>
        <v>26</v>
      </c>
      <c r="BN30" s="59">
        <v>21</v>
      </c>
      <c r="BO30" s="80" t="str">
        <f t="shared" si="117"/>
        <v/>
      </c>
      <c r="BP30" s="88">
        <f t="shared" si="118"/>
        <v>0</v>
      </c>
      <c r="BQ30" s="151">
        <f t="shared" si="119"/>
        <v>1</v>
      </c>
      <c r="BR30" s="59" t="str">
        <f t="shared" si="120"/>
        <v>1</v>
      </c>
      <c r="BS30" s="59" t="str">
        <f t="shared" si="121"/>
        <v>Mander C</v>
      </c>
      <c r="BT30" s="62">
        <f t="shared" si="122"/>
        <v>0</v>
      </c>
      <c r="BU30" s="59" t="str">
        <f t="shared" si="123"/>
        <v/>
      </c>
      <c r="BV30" s="62">
        <f t="shared" si="124"/>
        <v>1</v>
      </c>
      <c r="BW30" s="59" t="str">
        <f t="shared" si="125"/>
        <v>Mander C</v>
      </c>
      <c r="BX30" s="62">
        <f t="shared" si="126"/>
        <v>0</v>
      </c>
      <c r="BY30" s="59" t="str">
        <f t="shared" si="127"/>
        <v/>
      </c>
      <c r="BZ30" s="59">
        <f t="shared" si="62"/>
        <v>1</v>
      </c>
      <c r="CA30" s="59" t="str">
        <f t="shared" si="63"/>
        <v>Mander C</v>
      </c>
      <c r="CB30" s="59">
        <f t="shared" si="64"/>
        <v>0</v>
      </c>
      <c r="CC30" s="59" t="str">
        <f t="shared" si="65"/>
        <v>Mander C</v>
      </c>
    </row>
    <row r="31" spans="2:81" x14ac:dyDescent="0.15">
      <c r="B31" s="59" t="s">
        <v>27</v>
      </c>
      <c r="C31" s="59" t="s">
        <v>201</v>
      </c>
      <c r="D31"/>
      <c r="E31"/>
      <c r="F31"/>
      <c r="G31"/>
      <c r="H31" t="s">
        <v>437</v>
      </c>
      <c r="I31"/>
      <c r="J31"/>
      <c r="K31"/>
      <c r="L31"/>
      <c r="M31" t="s">
        <v>505</v>
      </c>
      <c r="N31"/>
      <c r="O31" t="s">
        <v>543</v>
      </c>
      <c r="P31" t="s">
        <v>566</v>
      </c>
      <c r="Q31"/>
      <c r="R31"/>
      <c r="S31"/>
      <c r="T31"/>
      <c r="U31"/>
      <c r="V31"/>
      <c r="W31"/>
      <c r="X31"/>
      <c r="Y31"/>
      <c r="Z31"/>
      <c r="AJ31" s="59" t="str">
        <f t="shared" si="31"/>
        <v>Middleton J</v>
      </c>
      <c r="AK31" s="59">
        <f t="shared" si="98"/>
        <v>4</v>
      </c>
      <c r="AL31" s="59">
        <f t="shared" si="99"/>
        <v>0</v>
      </c>
      <c r="AM31" s="59">
        <f t="shared" si="100"/>
        <v>4</v>
      </c>
      <c r="AN31" s="59">
        <f t="shared" si="101"/>
        <v>1</v>
      </c>
      <c r="AO31" s="59">
        <f t="shared" si="102"/>
        <v>-36</v>
      </c>
      <c r="AP31" s="63" t="str">
        <f t="shared" si="103"/>
        <v>36*</v>
      </c>
      <c r="AQ31" s="59">
        <f t="shared" si="104"/>
        <v>53</v>
      </c>
      <c r="AR31" s="61">
        <f t="shared" si="105"/>
        <v>17.666666666666668</v>
      </c>
      <c r="AS31" s="59">
        <f t="shared" si="106"/>
        <v>5</v>
      </c>
      <c r="AT31" s="62">
        <f t="array" ref="AT31">SUM(IF(ISERR(FIND("*",D31:AI31)),0,1))</f>
        <v>0</v>
      </c>
      <c r="AU31" s="62">
        <f t="array" ref="AU31">SUM(IF(ISERR(FIND("+",D31:AI31)),0,1))</f>
        <v>0</v>
      </c>
      <c r="AV31" s="59">
        <f t="shared" si="107"/>
        <v>0</v>
      </c>
      <c r="AW31" s="62">
        <f t="array" ref="AW31">SUM(IF(ISERR(FIND(AW$4,$D31:$AI31)),0,1))</f>
        <v>1</v>
      </c>
      <c r="AX31" s="62">
        <f t="array" ref="AX31">SUM(IF(ISERR(FIND(AX$4,$D31:$AI31)),0,1))</f>
        <v>0</v>
      </c>
      <c r="AY31" s="62">
        <f t="array" ref="AY31">SUM(IF(ISERR(FIND(AY$4,$D31:$AI31)),0,1))</f>
        <v>2</v>
      </c>
      <c r="AZ31" s="62">
        <f t="array" ref="AZ31">SUM(IF(ISERR(FIND(AZ$4,$D31:$AI31)),0,1))</f>
        <v>0</v>
      </c>
      <c r="BA31" s="62">
        <f t="array" ref="BA31">SUM(IF(ISERR(FIND(BA$4,$D31:$AI31)),0,1))</f>
        <v>0</v>
      </c>
      <c r="BB31" s="62">
        <f t="array" ref="BB31">SUM(IF(ISERR(FIND(BB$4,$D31:$AI31)),0,1))</f>
        <v>0</v>
      </c>
      <c r="BC31" s="62">
        <f t="array" ref="BC31">SUM(IF(ISERR(FIND(BC$4,$D31:$AI31)),0,1))</f>
        <v>0</v>
      </c>
      <c r="BD31" s="62">
        <f t="shared" si="108"/>
        <v>0</v>
      </c>
      <c r="BE31" s="62">
        <f t="shared" si="109"/>
        <v>0</v>
      </c>
      <c r="BF31" s="62">
        <f t="shared" si="110"/>
        <v>1</v>
      </c>
      <c r="BG31" s="62">
        <f t="shared" si="111"/>
        <v>10</v>
      </c>
      <c r="BH31" s="62">
        <f t="shared" si="112"/>
        <v>0</v>
      </c>
      <c r="BI31" s="62">
        <f t="shared" si="113"/>
        <v>0</v>
      </c>
      <c r="BJ31" s="62">
        <f t="shared" si="114"/>
        <v>0</v>
      </c>
      <c r="BK31" s="62">
        <f t="shared" si="115"/>
        <v>1</v>
      </c>
      <c r="BL31" s="59">
        <f t="shared" si="116"/>
        <v>1767404.5303100003</v>
      </c>
      <c r="BM31" s="59">
        <f t="shared" si="86"/>
        <v>16</v>
      </c>
      <c r="BN31" s="59">
        <v>22</v>
      </c>
      <c r="BO31" s="80">
        <f t="shared" si="117"/>
        <v>2.8301886792452828</v>
      </c>
      <c r="BP31" s="88">
        <f t="shared" si="118"/>
        <v>0</v>
      </c>
      <c r="BQ31" s="151">
        <f t="shared" si="119"/>
        <v>1</v>
      </c>
      <c r="BR31" s="59" t="str">
        <f t="shared" si="120"/>
        <v>1</v>
      </c>
      <c r="BS31" s="59" t="str">
        <f t="shared" si="121"/>
        <v>Middleton J</v>
      </c>
      <c r="BT31" s="62">
        <f t="shared" si="122"/>
        <v>0</v>
      </c>
      <c r="BU31" s="59" t="str">
        <f t="shared" si="123"/>
        <v/>
      </c>
      <c r="BV31" s="62">
        <f t="shared" si="124"/>
        <v>10</v>
      </c>
      <c r="BW31" s="59" t="str">
        <f t="shared" si="125"/>
        <v>Middleton J</v>
      </c>
      <c r="BX31" s="62">
        <f t="shared" si="126"/>
        <v>1</v>
      </c>
      <c r="BY31" s="59" t="str">
        <f t="shared" si="127"/>
        <v>Middleton J</v>
      </c>
      <c r="BZ31" s="59">
        <f t="shared" si="62"/>
        <v>4</v>
      </c>
      <c r="CA31" s="59" t="str">
        <f t="shared" si="63"/>
        <v>Middleton J</v>
      </c>
      <c r="CB31" s="59">
        <f t="shared" si="64"/>
        <v>0</v>
      </c>
      <c r="CC31" s="59" t="str">
        <f t="shared" si="65"/>
        <v>Middleton J</v>
      </c>
    </row>
    <row r="32" spans="2:81" x14ac:dyDescent="0.15">
      <c r="B32" t="s">
        <v>205</v>
      </c>
      <c r="C32" t="s">
        <v>206</v>
      </c>
      <c r="D32" t="s">
        <v>375</v>
      </c>
      <c r="E32"/>
      <c r="F32" t="s">
        <v>412</v>
      </c>
      <c r="G32" t="s">
        <v>311</v>
      </c>
      <c r="H32" t="s">
        <v>306</v>
      </c>
      <c r="I32"/>
      <c r="J32" t="s">
        <v>469</v>
      </c>
      <c r="K32"/>
      <c r="L32"/>
      <c r="M32" t="s">
        <v>512</v>
      </c>
      <c r="N32" t="s">
        <v>306</v>
      </c>
      <c r="O32"/>
      <c r="P32"/>
      <c r="Q32" t="s">
        <v>581</v>
      </c>
      <c r="R32" t="s">
        <v>606</v>
      </c>
      <c r="S32"/>
      <c r="T32"/>
      <c r="U32"/>
      <c r="V32" t="s">
        <v>315</v>
      </c>
      <c r="W32" t="s">
        <v>665</v>
      </c>
      <c r="X32"/>
      <c r="Y32"/>
      <c r="AJ32" s="59" t="str">
        <f t="shared" si="31"/>
        <v>Nair S</v>
      </c>
      <c r="AK32" s="59">
        <f t="shared" si="98"/>
        <v>11</v>
      </c>
      <c r="AL32" s="59">
        <f t="shared" si="99"/>
        <v>4</v>
      </c>
      <c r="AM32" s="59">
        <f t="shared" si="100"/>
        <v>7</v>
      </c>
      <c r="AN32" s="59">
        <f t="shared" si="101"/>
        <v>2</v>
      </c>
      <c r="AO32" s="59">
        <f t="shared" si="102"/>
        <v>-20</v>
      </c>
      <c r="AP32" s="63" t="str">
        <f t="shared" si="103"/>
        <v>20*</v>
      </c>
      <c r="AQ32" s="59">
        <f t="shared" si="104"/>
        <v>31</v>
      </c>
      <c r="AR32" s="61">
        <f t="shared" si="105"/>
        <v>6.2</v>
      </c>
      <c r="AS32" s="59">
        <f t="shared" si="106"/>
        <v>15</v>
      </c>
      <c r="AT32" s="62">
        <f t="array" ref="AT32">SUM(IF(ISERR(FIND("*",D32:AI32)),0,1))</f>
        <v>1</v>
      </c>
      <c r="AU32" s="62">
        <f t="array" ref="AU32">SUM(IF(ISERR(FIND("+",D32:AI32)),0,1))</f>
        <v>0</v>
      </c>
      <c r="AV32" s="59">
        <f t="shared" si="107"/>
        <v>2</v>
      </c>
      <c r="AW32" s="62">
        <f t="array" ref="AW32">SUM(IF(ISERR(FIND(AW$4,$D32:$AI32)),0,1))</f>
        <v>3</v>
      </c>
      <c r="AX32" s="62">
        <f t="array" ref="AX32">SUM(IF(ISERR(FIND(AX$4,$D32:$AI32)),0,1))</f>
        <v>1</v>
      </c>
      <c r="AY32" s="62">
        <f t="array" ref="AY32">SUM(IF(ISERR(FIND(AY$4,$D32:$AI32)),0,1))</f>
        <v>0</v>
      </c>
      <c r="AZ32" s="62">
        <f t="array" ref="AZ32">SUM(IF(ISERR(FIND(AZ$4,$D32:$AI32)),0,1))</f>
        <v>0</v>
      </c>
      <c r="BA32" s="62">
        <f t="array" ref="BA32">SUM(IF(ISERR(FIND(BA$4,$D32:$AI32)),0,1))</f>
        <v>1</v>
      </c>
      <c r="BB32" s="62">
        <f t="array" ref="BB32">SUM(IF(ISERR(FIND(BB$4,$D32:$AI32)),0,1))</f>
        <v>0</v>
      </c>
      <c r="BC32" s="62">
        <f t="array" ref="BC32">SUM(IF(ISERR(FIND(BC$4,$D32:$AI32)),0,1))</f>
        <v>0</v>
      </c>
      <c r="BD32" s="62">
        <f t="shared" si="108"/>
        <v>0</v>
      </c>
      <c r="BE32" s="62">
        <f t="shared" si="109"/>
        <v>0</v>
      </c>
      <c r="BF32" s="62">
        <f t="shared" si="110"/>
        <v>3</v>
      </c>
      <c r="BG32" s="62">
        <f t="shared" si="111"/>
        <v>4</v>
      </c>
      <c r="BH32" s="62">
        <f t="shared" si="112"/>
        <v>0</v>
      </c>
      <c r="BI32" s="62">
        <f t="shared" si="113"/>
        <v>0</v>
      </c>
      <c r="BJ32" s="62">
        <f t="shared" si="114"/>
        <v>0</v>
      </c>
      <c r="BK32" s="62">
        <f t="shared" si="115"/>
        <v>0</v>
      </c>
      <c r="BL32" s="59">
        <f t="shared" si="116"/>
        <v>620711.31032000005</v>
      </c>
      <c r="BM32" s="59">
        <f t="shared" si="86"/>
        <v>25</v>
      </c>
      <c r="BN32" s="59">
        <v>23</v>
      </c>
      <c r="BO32" s="80" t="str">
        <f t="shared" si="117"/>
        <v/>
      </c>
      <c r="BP32" s="88">
        <f t="shared" si="118"/>
        <v>0.4</v>
      </c>
      <c r="BQ32" s="151">
        <f t="shared" si="119"/>
        <v>3</v>
      </c>
      <c r="BR32" s="59" t="str">
        <f t="shared" si="120"/>
        <v>3</v>
      </c>
      <c r="BS32" s="59" t="str">
        <f t="shared" si="121"/>
        <v>Nair S</v>
      </c>
      <c r="BT32" s="62">
        <f t="shared" si="122"/>
        <v>0</v>
      </c>
      <c r="BU32" s="59" t="str">
        <f t="shared" si="123"/>
        <v/>
      </c>
      <c r="BV32" s="62">
        <f t="shared" si="124"/>
        <v>4</v>
      </c>
      <c r="BW32" s="59" t="str">
        <f t="shared" si="125"/>
        <v>Nair S</v>
      </c>
      <c r="BX32" s="62">
        <f t="shared" si="126"/>
        <v>0</v>
      </c>
      <c r="BY32" s="59" t="str">
        <f t="shared" si="127"/>
        <v/>
      </c>
      <c r="BZ32" s="59">
        <f t="shared" si="62"/>
        <v>11</v>
      </c>
      <c r="CA32" s="59" t="str">
        <f t="shared" si="63"/>
        <v>Nair S</v>
      </c>
      <c r="CB32" s="59">
        <f t="shared" si="64"/>
        <v>2</v>
      </c>
      <c r="CC32" s="59" t="str">
        <f t="shared" si="65"/>
        <v>Nair S</v>
      </c>
    </row>
    <row r="33" spans="1:81" x14ac:dyDescent="0.15">
      <c r="B33" t="s">
        <v>257</v>
      </c>
      <c r="C33" t="s">
        <v>258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AJ33" s="59" t="str">
        <f t="shared" si="31"/>
        <v>Naish J</v>
      </c>
      <c r="AK33" s="59">
        <f t="shared" si="98"/>
        <v>0</v>
      </c>
      <c r="AL33" s="59">
        <f t="shared" si="99"/>
        <v>0</v>
      </c>
      <c r="AM33" s="59">
        <f t="shared" si="100"/>
        <v>0</v>
      </c>
      <c r="AN33" s="59">
        <f t="shared" si="101"/>
        <v>0</v>
      </c>
      <c r="AO33" s="59">
        <f t="shared" si="102"/>
        <v>0</v>
      </c>
      <c r="AP33" s="63">
        <f t="shared" si="103"/>
        <v>0</v>
      </c>
      <c r="AQ33" s="59">
        <f t="shared" si="104"/>
        <v>0</v>
      </c>
      <c r="AR33" s="61">
        <f t="shared" si="105"/>
        <v>0</v>
      </c>
      <c r="AS33" s="59">
        <f t="shared" si="106"/>
        <v>0</v>
      </c>
      <c r="AT33" s="62">
        <f t="array" ref="AT33">SUM(IF(ISERR(FIND("*",D33:AI33)),0,1))</f>
        <v>0</v>
      </c>
      <c r="AU33" s="62">
        <f t="array" ref="AU33">SUM(IF(ISERR(FIND("+",D33:AI33)),0,1))</f>
        <v>0</v>
      </c>
      <c r="AV33" s="59">
        <f t="shared" si="107"/>
        <v>0</v>
      </c>
      <c r="AW33" s="62">
        <f t="array" ref="AW33">SUM(IF(ISERR(FIND(AW$4,$D33:$AI33)),0,1))</f>
        <v>0</v>
      </c>
      <c r="AX33" s="62">
        <f t="array" ref="AX33">SUM(IF(ISERR(FIND(AX$4,$D33:$AI33)),0,1))</f>
        <v>0</v>
      </c>
      <c r="AY33" s="62">
        <f t="array" ref="AY33">SUM(IF(ISERR(FIND(AY$4,$D33:$AI33)),0,1))</f>
        <v>0</v>
      </c>
      <c r="AZ33" s="62">
        <f t="array" ref="AZ33">SUM(IF(ISERR(FIND(AZ$4,$D33:$AI33)),0,1))</f>
        <v>0</v>
      </c>
      <c r="BA33" s="62">
        <f t="array" ref="BA33">SUM(IF(ISERR(FIND(BA$4,$D33:$AI33)),0,1))</f>
        <v>0</v>
      </c>
      <c r="BB33" s="62">
        <f t="array" ref="BB33">SUM(IF(ISERR(FIND(BB$4,$D33:$AI33)),0,1))</f>
        <v>0</v>
      </c>
      <c r="BC33" s="62">
        <f t="array" ref="BC33">SUM(IF(ISERR(FIND(BC$4,$D33:$AI33)),0,1))</f>
        <v>0</v>
      </c>
      <c r="BD33" s="62">
        <f t="shared" si="108"/>
        <v>0</v>
      </c>
      <c r="BE33" s="62">
        <f t="shared" si="109"/>
        <v>0</v>
      </c>
      <c r="BF33" s="62">
        <f t="shared" si="110"/>
        <v>0</v>
      </c>
      <c r="BG33" s="62">
        <f t="shared" si="111"/>
        <v>0</v>
      </c>
      <c r="BH33" s="62">
        <f t="shared" si="112"/>
        <v>0</v>
      </c>
      <c r="BI33" s="62">
        <f t="shared" si="113"/>
        <v>0</v>
      </c>
      <c r="BJ33" s="62">
        <f t="shared" si="114"/>
        <v>0</v>
      </c>
      <c r="BK33" s="62">
        <f t="shared" si="115"/>
        <v>0</v>
      </c>
      <c r="BL33" s="59">
        <f t="shared" si="116"/>
        <v>3.3E-4</v>
      </c>
      <c r="BM33" s="59">
        <f t="shared" si="86"/>
        <v>52</v>
      </c>
      <c r="BN33" s="59">
        <v>24</v>
      </c>
      <c r="BO33" s="80" t="str">
        <f t="shared" si="117"/>
        <v/>
      </c>
      <c r="BP33" s="88" t="e">
        <f t="shared" si="118"/>
        <v>#DIV/0!</v>
      </c>
      <c r="BQ33" s="151">
        <f t="shared" si="119"/>
        <v>0</v>
      </c>
      <c r="BR33" s="59" t="str">
        <f t="shared" si="120"/>
        <v/>
      </c>
      <c r="BS33" s="59" t="str">
        <f t="shared" si="121"/>
        <v/>
      </c>
      <c r="BT33" s="62">
        <f t="shared" si="122"/>
        <v>0</v>
      </c>
      <c r="BU33" s="59" t="str">
        <f t="shared" si="123"/>
        <v/>
      </c>
      <c r="BV33" s="62">
        <f t="shared" si="124"/>
        <v>0</v>
      </c>
      <c r="BW33" s="59" t="str">
        <f t="shared" si="125"/>
        <v/>
      </c>
      <c r="BX33" s="62">
        <f t="shared" si="126"/>
        <v>0</v>
      </c>
      <c r="BY33" s="59" t="str">
        <f t="shared" si="127"/>
        <v/>
      </c>
      <c r="BZ33" s="59">
        <f t="shared" si="62"/>
        <v>0</v>
      </c>
      <c r="CA33" s="59" t="str">
        <f t="shared" si="63"/>
        <v>Naish J</v>
      </c>
      <c r="CB33" s="59">
        <f t="shared" si="64"/>
        <v>0</v>
      </c>
      <c r="CC33" s="59" t="str">
        <f t="shared" si="65"/>
        <v>Naish J</v>
      </c>
    </row>
    <row r="34" spans="1:81" x14ac:dyDescent="0.15">
      <c r="B34"/>
      <c r="C34" t="s">
        <v>547</v>
      </c>
      <c r="D34"/>
      <c r="E34"/>
      <c r="F34"/>
      <c r="G34"/>
      <c r="H34"/>
      <c r="I34"/>
      <c r="J34"/>
      <c r="K34"/>
      <c r="L34"/>
      <c r="M34"/>
      <c r="N34"/>
      <c r="O34" t="s">
        <v>306</v>
      </c>
      <c r="P34"/>
      <c r="Q34"/>
      <c r="R34"/>
      <c r="S34"/>
      <c r="T34"/>
      <c r="U34"/>
      <c r="V34"/>
      <c r="W34"/>
      <c r="X34"/>
      <c r="Y34"/>
      <c r="AJ34" t="str">
        <f t="shared" si="31"/>
        <v>"Naveed"</v>
      </c>
      <c r="AK34" s="59">
        <f t="shared" si="98"/>
        <v>1</v>
      </c>
      <c r="AL34" s="59">
        <f t="shared" si="99"/>
        <v>1</v>
      </c>
      <c r="AM34" s="59">
        <f t="shared" si="100"/>
        <v>0</v>
      </c>
      <c r="AN34" s="59">
        <f t="shared" si="101"/>
        <v>0</v>
      </c>
      <c r="AO34" s="59">
        <f t="shared" si="102"/>
        <v>0</v>
      </c>
      <c r="AP34" s="63">
        <f t="shared" si="103"/>
        <v>0</v>
      </c>
      <c r="AQ34" s="59">
        <f t="shared" si="104"/>
        <v>0</v>
      </c>
      <c r="AR34" s="61">
        <f t="shared" si="105"/>
        <v>0</v>
      </c>
      <c r="AS34" s="59">
        <f t="shared" si="106"/>
        <v>0</v>
      </c>
      <c r="AT34" s="62">
        <f t="array" ref="AT34">SUM(IF(ISERR(FIND("*",D34:AI34)),0,1))</f>
        <v>0</v>
      </c>
      <c r="AU34" s="62">
        <f t="array" ref="AU34">SUM(IF(ISERR(FIND("+",D34:AI34)),0,1))</f>
        <v>0</v>
      </c>
      <c r="AV34" s="59">
        <f t="shared" si="107"/>
        <v>0</v>
      </c>
      <c r="AW34" s="62">
        <f t="array" ref="AW34">SUM(IF(ISERR(FIND(AW$4,$D34:$AI34)),0,1))</f>
        <v>0</v>
      </c>
      <c r="AX34" s="62">
        <f t="array" ref="AX34">SUM(IF(ISERR(FIND(AX$4,$D34:$AI34)),0,1))</f>
        <v>0</v>
      </c>
      <c r="AY34" s="62">
        <f t="array" ref="AY34">SUM(IF(ISERR(FIND(AY$4,$D34:$AI34)),0,1))</f>
        <v>0</v>
      </c>
      <c r="AZ34" s="62">
        <f t="array" ref="AZ34">SUM(IF(ISERR(FIND(AZ$4,$D34:$AI34)),0,1))</f>
        <v>0</v>
      </c>
      <c r="BA34" s="62">
        <f t="array" ref="BA34">SUM(IF(ISERR(FIND(BA$4,$D34:$AI34)),0,1))</f>
        <v>0</v>
      </c>
      <c r="BB34" s="62">
        <f t="array" ref="BB34">SUM(IF(ISERR(FIND(BB$4,$D34:$AI34)),0,1))</f>
        <v>0</v>
      </c>
      <c r="BC34" s="62">
        <f t="array" ref="BC34">SUM(IF(ISERR(FIND(BC$4,$D34:$AI34)),0,1))</f>
        <v>0</v>
      </c>
      <c r="BD34" s="62">
        <f t="shared" si="108"/>
        <v>0</v>
      </c>
      <c r="BE34" s="62">
        <f t="shared" si="109"/>
        <v>0</v>
      </c>
      <c r="BF34" s="62">
        <f t="shared" si="110"/>
        <v>0</v>
      </c>
      <c r="BG34" s="62">
        <f t="shared" si="111"/>
        <v>0</v>
      </c>
      <c r="BH34" s="62">
        <f t="shared" si="112"/>
        <v>0</v>
      </c>
      <c r="BI34" s="62">
        <f t="shared" si="113"/>
        <v>0</v>
      </c>
      <c r="BJ34" s="62">
        <f t="shared" si="114"/>
        <v>0</v>
      </c>
      <c r="BK34" s="62">
        <f t="shared" si="115"/>
        <v>0</v>
      </c>
      <c r="BL34" s="59">
        <f t="shared" si="116"/>
        <v>1.00034</v>
      </c>
      <c r="BM34" s="59">
        <f t="shared" si="86"/>
        <v>39</v>
      </c>
      <c r="BN34" s="59">
        <v>25</v>
      </c>
      <c r="BO34" s="80" t="str">
        <f t="shared" si="117"/>
        <v/>
      </c>
      <c r="BP34" s="88" t="e">
        <f t="shared" si="118"/>
        <v>#DIV/0!</v>
      </c>
      <c r="BQ34" s="151">
        <f t="shared" si="119"/>
        <v>0</v>
      </c>
      <c r="BR34" s="59" t="str">
        <f t="shared" si="120"/>
        <v/>
      </c>
      <c r="BS34" s="59" t="str">
        <f t="shared" si="121"/>
        <v/>
      </c>
      <c r="BT34" s="62">
        <f t="shared" si="122"/>
        <v>0</v>
      </c>
      <c r="BU34" s="59" t="str">
        <f t="shared" si="123"/>
        <v/>
      </c>
      <c r="BV34" s="62">
        <f t="shared" si="124"/>
        <v>0</v>
      </c>
      <c r="BW34" s="59" t="str">
        <f t="shared" si="125"/>
        <v/>
      </c>
      <c r="BX34" s="62">
        <f t="shared" si="126"/>
        <v>0</v>
      </c>
      <c r="BY34" s="59" t="str">
        <f t="shared" si="127"/>
        <v/>
      </c>
      <c r="BZ34" s="59">
        <f t="shared" si="62"/>
        <v>1</v>
      </c>
      <c r="CA34" s="59" t="str">
        <f t="shared" si="63"/>
        <v>"Naveed"</v>
      </c>
      <c r="CB34" s="59">
        <f t="shared" si="64"/>
        <v>0</v>
      </c>
      <c r="CC34" s="59" t="str">
        <f t="shared" si="65"/>
        <v>"Naveed"</v>
      </c>
    </row>
    <row r="35" spans="1:81" x14ac:dyDescent="0.15">
      <c r="B35" t="s">
        <v>275</v>
      </c>
      <c r="C35" t="s">
        <v>245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 t="s">
        <v>574</v>
      </c>
      <c r="R35" t="s">
        <v>598</v>
      </c>
      <c r="S35"/>
      <c r="T35" t="s">
        <v>632</v>
      </c>
      <c r="U35"/>
      <c r="V35"/>
      <c r="W35"/>
      <c r="X35" t="s">
        <v>678</v>
      </c>
      <c r="Y35"/>
      <c r="Z35"/>
      <c r="AJ35" s="59" t="str">
        <f t="shared" si="31"/>
        <v>Niran S</v>
      </c>
      <c r="AK35" s="59">
        <f t="shared" si="98"/>
        <v>4</v>
      </c>
      <c r="AL35" s="59">
        <f t="shared" si="99"/>
        <v>0</v>
      </c>
      <c r="AM35" s="59">
        <f t="shared" si="100"/>
        <v>4</v>
      </c>
      <c r="AN35" s="59">
        <f t="shared" si="101"/>
        <v>0</v>
      </c>
      <c r="AO35" s="59">
        <f t="shared" si="102"/>
        <v>49</v>
      </c>
      <c r="AP35" s="63">
        <f t="shared" si="103"/>
        <v>49</v>
      </c>
      <c r="AQ35" s="59">
        <f t="shared" si="104"/>
        <v>142</v>
      </c>
      <c r="AR35" s="61">
        <f t="shared" si="105"/>
        <v>35.5</v>
      </c>
      <c r="AS35" s="59">
        <f t="shared" si="106"/>
        <v>0</v>
      </c>
      <c r="AT35" s="62">
        <f t="array" ref="AT35">SUM(IF(ISERR(FIND("*",D35:AI35)),0,1))</f>
        <v>0</v>
      </c>
      <c r="AU35" s="62">
        <f t="array" ref="AU35">SUM(IF(ISERR(FIND("+",D35:AI35)),0,1))</f>
        <v>1</v>
      </c>
      <c r="AV35" s="59">
        <f t="shared" si="107"/>
        <v>0</v>
      </c>
      <c r="AW35" s="62">
        <f t="array" ref="AW35">SUM(IF(ISERR(FIND(AW$4,$D35:$AI35)),0,1))</f>
        <v>2</v>
      </c>
      <c r="AX35" s="62">
        <f t="array" ref="AX35">SUM(IF(ISERR(FIND(AX$4,$D35:$AI35)),0,1))</f>
        <v>1</v>
      </c>
      <c r="AY35" s="62">
        <f t="array" ref="AY35">SUM(IF(ISERR(FIND(AY$4,$D35:$AI35)),0,1))</f>
        <v>0</v>
      </c>
      <c r="AZ35" s="62">
        <f t="array" ref="AZ35">SUM(IF(ISERR(FIND(AZ$4,$D35:$AI35)),0,1))</f>
        <v>1</v>
      </c>
      <c r="BA35" s="62">
        <f t="array" ref="BA35">SUM(IF(ISERR(FIND(BA$4,$D35:$AI35)),0,1))</f>
        <v>0</v>
      </c>
      <c r="BB35" s="62">
        <f t="array" ref="BB35">SUM(IF(ISERR(FIND(BB$4,$D35:$AI35)),0,1))</f>
        <v>0</v>
      </c>
      <c r="BC35" s="62">
        <f t="array" ref="BC35">SUM(IF(ISERR(FIND(BC$4,$D35:$AI35)),0,1))</f>
        <v>0</v>
      </c>
      <c r="BD35" s="62">
        <f t="shared" si="108"/>
        <v>0</v>
      </c>
      <c r="BE35" s="62">
        <f t="shared" si="109"/>
        <v>0</v>
      </c>
      <c r="BF35" s="62">
        <f t="shared" si="110"/>
        <v>1</v>
      </c>
      <c r="BG35" s="62">
        <f t="shared" si="111"/>
        <v>19</v>
      </c>
      <c r="BH35" s="62">
        <f t="shared" si="112"/>
        <v>1</v>
      </c>
      <c r="BI35" s="62">
        <f t="shared" si="113"/>
        <v>1</v>
      </c>
      <c r="BJ35" s="62">
        <f t="shared" si="114"/>
        <v>1</v>
      </c>
      <c r="BK35" s="62">
        <f t="shared" si="115"/>
        <v>3</v>
      </c>
      <c r="BL35" s="59">
        <f t="shared" si="116"/>
        <v>3550405.4203499998</v>
      </c>
      <c r="BM35" s="59">
        <f t="shared" si="86"/>
        <v>5</v>
      </c>
      <c r="BN35" s="59">
        <v>26</v>
      </c>
      <c r="BO35" s="80">
        <f t="shared" si="117"/>
        <v>1.4929577464788732</v>
      </c>
      <c r="BP35" s="88">
        <f t="shared" si="118"/>
        <v>0</v>
      </c>
      <c r="BQ35" s="151">
        <f t="shared" si="119"/>
        <v>1</v>
      </c>
      <c r="BR35" s="59" t="str">
        <f t="shared" si="120"/>
        <v>1 (1)</v>
      </c>
      <c r="BS35" s="59" t="str">
        <f t="shared" si="121"/>
        <v>Niran S</v>
      </c>
      <c r="BT35" s="62">
        <f t="shared" si="122"/>
        <v>1</v>
      </c>
      <c r="BU35" s="59" t="str">
        <f t="shared" si="123"/>
        <v>Niran S</v>
      </c>
      <c r="BV35" s="62">
        <f t="shared" si="124"/>
        <v>19</v>
      </c>
      <c r="BW35" s="59" t="str">
        <f t="shared" si="125"/>
        <v>Niran S</v>
      </c>
      <c r="BX35" s="62">
        <f t="shared" si="126"/>
        <v>3</v>
      </c>
      <c r="BY35" s="59" t="str">
        <f t="shared" si="127"/>
        <v>Niran S</v>
      </c>
      <c r="BZ35" s="59">
        <f t="shared" si="62"/>
        <v>4</v>
      </c>
      <c r="CA35" s="59" t="str">
        <f t="shared" si="63"/>
        <v>Niran S</v>
      </c>
      <c r="CB35" s="59">
        <f t="shared" si="64"/>
        <v>0</v>
      </c>
      <c r="CC35" s="59" t="str">
        <f t="shared" si="65"/>
        <v>Niran S</v>
      </c>
    </row>
    <row r="36" spans="1:81" x14ac:dyDescent="0.15">
      <c r="B36" t="s">
        <v>264</v>
      </c>
      <c r="C36" t="s">
        <v>265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J36" s="59" t="str">
        <f t="shared" si="31"/>
        <v>O'Rourke</v>
      </c>
      <c r="AK36" s="59">
        <f t="shared" si="98"/>
        <v>0</v>
      </c>
      <c r="AL36" s="59">
        <f t="shared" si="99"/>
        <v>0</v>
      </c>
      <c r="AM36" s="59">
        <f t="shared" si="100"/>
        <v>0</v>
      </c>
      <c r="AN36" s="59">
        <f t="shared" si="101"/>
        <v>0</v>
      </c>
      <c r="AO36" s="59">
        <f t="shared" si="102"/>
        <v>0</v>
      </c>
      <c r="AP36" s="63">
        <f t="shared" si="103"/>
        <v>0</v>
      </c>
      <c r="AQ36" s="59">
        <f t="shared" si="104"/>
        <v>0</v>
      </c>
      <c r="AR36" s="61">
        <f t="shared" si="105"/>
        <v>0</v>
      </c>
      <c r="AS36" s="59">
        <f t="shared" si="106"/>
        <v>0</v>
      </c>
      <c r="AT36" s="62">
        <f t="array" ref="AT36">SUM(IF(ISERR(FIND("*",D36:AI36)),0,1))</f>
        <v>0</v>
      </c>
      <c r="AU36" s="62">
        <f t="array" ref="AU36">SUM(IF(ISERR(FIND("+",D36:AI36)),0,1))</f>
        <v>0</v>
      </c>
      <c r="AV36" s="59">
        <f t="shared" si="107"/>
        <v>0</v>
      </c>
      <c r="AW36" s="62">
        <f t="array" ref="AW36">SUM(IF(ISERR(FIND(AW$4,$D36:$AI36)),0,1))</f>
        <v>0</v>
      </c>
      <c r="AX36" s="62">
        <f t="array" ref="AX36">SUM(IF(ISERR(FIND(AX$4,$D36:$AI36)),0,1))</f>
        <v>0</v>
      </c>
      <c r="AY36" s="62">
        <f t="array" ref="AY36">SUM(IF(ISERR(FIND(AY$4,$D36:$AI36)),0,1))</f>
        <v>0</v>
      </c>
      <c r="AZ36" s="62">
        <f t="array" ref="AZ36">SUM(IF(ISERR(FIND(AZ$4,$D36:$AI36)),0,1))</f>
        <v>0</v>
      </c>
      <c r="BA36" s="62">
        <f t="array" ref="BA36">SUM(IF(ISERR(FIND(BA$4,$D36:$AI36)),0,1))</f>
        <v>0</v>
      </c>
      <c r="BB36" s="62">
        <f t="array" ref="BB36">SUM(IF(ISERR(FIND(BB$4,$D36:$AI36)),0,1))</f>
        <v>0</v>
      </c>
      <c r="BC36" s="62">
        <f t="array" ref="BC36">SUM(IF(ISERR(FIND(BC$4,$D36:$AI36)),0,1))</f>
        <v>0</v>
      </c>
      <c r="BD36" s="62">
        <f t="shared" si="108"/>
        <v>0</v>
      </c>
      <c r="BE36" s="62">
        <f t="shared" si="109"/>
        <v>0</v>
      </c>
      <c r="BF36" s="62">
        <f t="shared" si="110"/>
        <v>0</v>
      </c>
      <c r="BG36" s="62">
        <f t="shared" si="111"/>
        <v>0</v>
      </c>
      <c r="BH36" s="62">
        <f t="shared" si="112"/>
        <v>0</v>
      </c>
      <c r="BI36" s="62">
        <f t="shared" si="113"/>
        <v>0</v>
      </c>
      <c r="BJ36" s="62">
        <f t="shared" si="114"/>
        <v>0</v>
      </c>
      <c r="BK36" s="62">
        <f t="shared" si="115"/>
        <v>0</v>
      </c>
      <c r="BL36" s="59">
        <f t="shared" si="116"/>
        <v>3.6000000000000002E-4</v>
      </c>
      <c r="BM36" s="59">
        <f t="shared" si="86"/>
        <v>51</v>
      </c>
      <c r="BN36" s="59">
        <v>27</v>
      </c>
      <c r="BO36" s="80" t="str">
        <f t="shared" si="117"/>
        <v/>
      </c>
      <c r="BP36" s="88" t="e">
        <f t="shared" si="118"/>
        <v>#DIV/0!</v>
      </c>
      <c r="BQ36" s="151">
        <f t="shared" si="119"/>
        <v>0</v>
      </c>
      <c r="BR36" s="59" t="str">
        <f t="shared" si="120"/>
        <v/>
      </c>
      <c r="BS36" s="59" t="str">
        <f t="shared" si="121"/>
        <v/>
      </c>
      <c r="BT36" s="62">
        <f t="shared" si="122"/>
        <v>0</v>
      </c>
      <c r="BU36" s="59" t="str">
        <f t="shared" si="123"/>
        <v/>
      </c>
      <c r="BV36" s="62">
        <f t="shared" si="124"/>
        <v>0</v>
      </c>
      <c r="BW36" s="59" t="str">
        <f t="shared" si="125"/>
        <v/>
      </c>
      <c r="BX36" s="62">
        <f t="shared" si="126"/>
        <v>0</v>
      </c>
      <c r="BY36" s="59" t="str">
        <f t="shared" si="127"/>
        <v/>
      </c>
      <c r="BZ36" s="59">
        <f t="shared" si="62"/>
        <v>0</v>
      </c>
      <c r="CA36" s="59" t="str">
        <f t="shared" si="63"/>
        <v>O'Rourke</v>
      </c>
      <c r="CB36" s="59">
        <f t="shared" si="64"/>
        <v>0</v>
      </c>
      <c r="CC36" s="59" t="str">
        <f t="shared" si="65"/>
        <v>O'Rourke</v>
      </c>
    </row>
    <row r="37" spans="1:81" x14ac:dyDescent="0.15">
      <c r="B37"/>
      <c r="C37" t="s">
        <v>234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t="s">
        <v>580</v>
      </c>
      <c r="X37"/>
      <c r="Y37"/>
      <c r="Z37"/>
      <c r="AJ37" s="59" t="str">
        <f t="shared" si="31"/>
        <v>Parboo R</v>
      </c>
      <c r="AK37" s="59">
        <f t="shared" si="98"/>
        <v>1</v>
      </c>
      <c r="AL37" s="59">
        <f t="shared" si="99"/>
        <v>0</v>
      </c>
      <c r="AM37" s="59">
        <f t="shared" si="100"/>
        <v>1</v>
      </c>
      <c r="AN37" s="59">
        <f t="shared" si="101"/>
        <v>0</v>
      </c>
      <c r="AO37" s="59">
        <f t="shared" si="102"/>
        <v>0</v>
      </c>
      <c r="AP37" s="63">
        <f t="shared" si="103"/>
        <v>0</v>
      </c>
      <c r="AQ37" s="59">
        <f t="shared" si="104"/>
        <v>0</v>
      </c>
      <c r="AR37" s="61">
        <f t="shared" si="105"/>
        <v>0</v>
      </c>
      <c r="AS37" s="59">
        <f t="shared" si="106"/>
        <v>0</v>
      </c>
      <c r="AT37" s="62">
        <f t="array" ref="AT37">SUM(IF(ISERR(FIND("*",D37:AI37)),0,1))</f>
        <v>0</v>
      </c>
      <c r="AU37" s="62">
        <f t="array" ref="AU37">SUM(IF(ISERR(FIND("+",D37:AI37)),0,1))</f>
        <v>0</v>
      </c>
      <c r="AV37" s="59">
        <f t="shared" si="107"/>
        <v>1</v>
      </c>
      <c r="AW37" s="62">
        <f t="array" ref="AW37">SUM(IF(ISERR(FIND(AW$4,$D37:$AI37)),0,1))</f>
        <v>1</v>
      </c>
      <c r="AX37" s="62">
        <f t="array" ref="AX37">SUM(IF(ISERR(FIND(AX$4,$D37:$AI37)),0,1))</f>
        <v>0</v>
      </c>
      <c r="AY37" s="62">
        <f t="array" ref="AY37">SUM(IF(ISERR(FIND(AY$4,$D37:$AI37)),0,1))</f>
        <v>0</v>
      </c>
      <c r="AZ37" s="62">
        <f t="array" ref="AZ37">SUM(IF(ISERR(FIND(AZ$4,$D37:$AI37)),0,1))</f>
        <v>0</v>
      </c>
      <c r="BA37" s="62">
        <f t="array" ref="BA37">SUM(IF(ISERR(FIND(BA$4,$D37:$AI37)),0,1))</f>
        <v>0</v>
      </c>
      <c r="BB37" s="62">
        <f t="array" ref="BB37">SUM(IF(ISERR(FIND(BB$4,$D37:$AI37)),0,1))</f>
        <v>0</v>
      </c>
      <c r="BC37" s="62">
        <f t="array" ref="BC37">SUM(IF(ISERR(FIND(BC$4,$D37:$AI37)),0,1))</f>
        <v>0</v>
      </c>
      <c r="BD37" s="62">
        <f t="shared" si="108"/>
        <v>0</v>
      </c>
      <c r="BE37" s="62">
        <f t="shared" si="109"/>
        <v>0</v>
      </c>
      <c r="BF37" s="62">
        <f t="shared" si="110"/>
        <v>0</v>
      </c>
      <c r="BG37" s="62">
        <f t="shared" si="111"/>
        <v>0</v>
      </c>
      <c r="BH37" s="62">
        <f t="shared" si="112"/>
        <v>0</v>
      </c>
      <c r="BI37" s="62">
        <f t="shared" si="113"/>
        <v>0</v>
      </c>
      <c r="BJ37" s="62">
        <f t="shared" si="114"/>
        <v>0</v>
      </c>
      <c r="BK37" s="62">
        <f t="shared" si="115"/>
        <v>0</v>
      </c>
      <c r="BL37" s="59">
        <f t="shared" si="116"/>
        <v>101.00037</v>
      </c>
      <c r="BM37" s="59">
        <f t="shared" si="86"/>
        <v>35</v>
      </c>
      <c r="BN37" s="59">
        <v>28</v>
      </c>
      <c r="BO37" s="80" t="str">
        <f t="shared" si="117"/>
        <v/>
      </c>
      <c r="BP37" s="88">
        <f t="shared" si="118"/>
        <v>1</v>
      </c>
      <c r="BQ37" s="151">
        <f t="shared" si="119"/>
        <v>0</v>
      </c>
      <c r="BR37" s="59" t="str">
        <f t="shared" si="120"/>
        <v/>
      </c>
      <c r="BS37" s="59" t="str">
        <f t="shared" si="121"/>
        <v/>
      </c>
      <c r="BT37" s="62">
        <f t="shared" si="122"/>
        <v>0</v>
      </c>
      <c r="BU37" s="59" t="str">
        <f t="shared" si="123"/>
        <v/>
      </c>
      <c r="BV37" s="62">
        <f t="shared" si="124"/>
        <v>0</v>
      </c>
      <c r="BW37" s="59" t="str">
        <f t="shared" si="125"/>
        <v/>
      </c>
      <c r="BX37" s="62">
        <f t="shared" si="126"/>
        <v>0</v>
      </c>
      <c r="BY37" s="59" t="str">
        <f t="shared" si="127"/>
        <v/>
      </c>
      <c r="BZ37" s="59">
        <f t="shared" si="62"/>
        <v>1</v>
      </c>
      <c r="CA37" s="59" t="str">
        <f t="shared" si="63"/>
        <v>Parboo R</v>
      </c>
      <c r="CB37" s="59">
        <f t="shared" si="64"/>
        <v>1</v>
      </c>
      <c r="CC37" s="59" t="str">
        <f t="shared" si="65"/>
        <v>Parboo R</v>
      </c>
    </row>
    <row r="38" spans="1:81" x14ac:dyDescent="0.15">
      <c r="B38" t="s">
        <v>595</v>
      </c>
      <c r="C38" t="s">
        <v>383</v>
      </c>
      <c r="D38"/>
      <c r="E38"/>
      <c r="F38" t="s">
        <v>405</v>
      </c>
      <c r="G38" t="s">
        <v>384</v>
      </c>
      <c r="H38" t="s">
        <v>436</v>
      </c>
      <c r="I38"/>
      <c r="J38"/>
      <c r="K38"/>
      <c r="L38" t="s">
        <v>316</v>
      </c>
      <c r="M38"/>
      <c r="N38"/>
      <c r="O38"/>
      <c r="P38"/>
      <c r="Q38"/>
      <c r="R38" t="s">
        <v>596</v>
      </c>
      <c r="S38"/>
      <c r="T38"/>
      <c r="U38"/>
      <c r="V38" t="s">
        <v>655</v>
      </c>
      <c r="W38" t="s">
        <v>662</v>
      </c>
      <c r="X38" t="s">
        <v>676</v>
      </c>
      <c r="Y38"/>
      <c r="Z38"/>
      <c r="AJ38" s="59" t="str">
        <f t="shared" si="31"/>
        <v>Patel J</v>
      </c>
      <c r="AK38" s="59">
        <f t="shared" si="98"/>
        <v>8</v>
      </c>
      <c r="AL38" s="59">
        <f t="shared" si="99"/>
        <v>1</v>
      </c>
      <c r="AM38" s="59">
        <f t="shared" si="100"/>
        <v>7</v>
      </c>
      <c r="AN38" s="59">
        <f t="shared" si="101"/>
        <v>0</v>
      </c>
      <c r="AO38" s="59">
        <f t="shared" si="102"/>
        <v>66</v>
      </c>
      <c r="AP38" s="63">
        <f t="shared" si="103"/>
        <v>66</v>
      </c>
      <c r="AQ38" s="59">
        <f t="shared" si="104"/>
        <v>237</v>
      </c>
      <c r="AR38" s="61">
        <f t="shared" si="105"/>
        <v>33.857142857142854</v>
      </c>
      <c r="AS38" s="59">
        <f t="shared" si="106"/>
        <v>20</v>
      </c>
      <c r="AT38" s="62">
        <f t="array" ref="AT38">SUM(IF(ISERR(FIND("*",D38:AI38)),0,1))</f>
        <v>0</v>
      </c>
      <c r="AU38" s="62">
        <f t="array" ref="AU38">SUM(IF(ISERR(FIND("+",D38:AI38)),0,1))</f>
        <v>0</v>
      </c>
      <c r="AV38" s="59">
        <f t="shared" si="107"/>
        <v>0</v>
      </c>
      <c r="AW38" s="62">
        <f t="array" ref="AW38">SUM(IF(ISERR(FIND(AW$4,$D38:$AI38)),0,1))</f>
        <v>4</v>
      </c>
      <c r="AX38" s="62">
        <f t="array" ref="AX38">SUM(IF(ISERR(FIND(AX$4,$D38:$AI38)),0,1))</f>
        <v>2</v>
      </c>
      <c r="AY38" s="62">
        <f t="array" ref="AY38">SUM(IF(ISERR(FIND(AY$4,$D38:$AI38)),0,1))</f>
        <v>0</v>
      </c>
      <c r="AZ38" s="62">
        <f t="array" ref="AZ38">SUM(IF(ISERR(FIND(AZ$4,$D38:$AI38)),0,1))</f>
        <v>1</v>
      </c>
      <c r="BA38" s="62">
        <f t="array" ref="BA38">SUM(IF(ISERR(FIND(BA$4,$D38:$AI38)),0,1))</f>
        <v>0</v>
      </c>
      <c r="BB38" s="62">
        <f t="array" ref="BB38">SUM(IF(ISERR(FIND(BB$4,$D38:$AI38)),0,1))</f>
        <v>0</v>
      </c>
      <c r="BC38" s="62">
        <f t="array" ref="BC38">SUM(IF(ISERR(FIND(BC$4,$D38:$AI38)),0,1))</f>
        <v>0</v>
      </c>
      <c r="BD38" s="62">
        <f t="shared" si="108"/>
        <v>2</v>
      </c>
      <c r="BE38" s="62">
        <f t="shared" si="109"/>
        <v>0</v>
      </c>
      <c r="BF38" s="62">
        <f t="shared" si="110"/>
        <v>4</v>
      </c>
      <c r="BG38" s="62">
        <f t="shared" si="111"/>
        <v>28</v>
      </c>
      <c r="BH38" s="62">
        <f t="shared" si="112"/>
        <v>2</v>
      </c>
      <c r="BI38" s="62">
        <f t="shared" si="113"/>
        <v>0</v>
      </c>
      <c r="BJ38" s="62">
        <f t="shared" si="114"/>
        <v>0</v>
      </c>
      <c r="BK38" s="62">
        <f t="shared" si="115"/>
        <v>4</v>
      </c>
      <c r="BL38" s="59">
        <f t="shared" si="116"/>
        <v>3386710.3703800002</v>
      </c>
      <c r="BM38" s="59">
        <f t="shared" si="86"/>
        <v>7</v>
      </c>
      <c r="BN38" s="59">
        <v>29</v>
      </c>
      <c r="BO38" s="80">
        <f t="shared" si="117"/>
        <v>1.1350210970464134</v>
      </c>
      <c r="BP38" s="88">
        <f t="shared" si="118"/>
        <v>0</v>
      </c>
      <c r="BQ38" s="151">
        <f t="shared" si="119"/>
        <v>4</v>
      </c>
      <c r="BR38" s="59" t="str">
        <f t="shared" si="120"/>
        <v>4</v>
      </c>
      <c r="BS38" s="59" t="str">
        <f t="shared" si="121"/>
        <v>Patel J</v>
      </c>
      <c r="BT38" s="62">
        <f t="shared" si="122"/>
        <v>2</v>
      </c>
      <c r="BU38" s="59" t="str">
        <f t="shared" si="123"/>
        <v>Patel J</v>
      </c>
      <c r="BV38" s="62">
        <f t="shared" si="124"/>
        <v>28</v>
      </c>
      <c r="BW38" s="59" t="str">
        <f t="shared" si="125"/>
        <v>Patel J</v>
      </c>
      <c r="BX38" s="62">
        <f t="shared" si="126"/>
        <v>4</v>
      </c>
      <c r="BY38" s="59" t="str">
        <f t="shared" si="127"/>
        <v>Patel J</v>
      </c>
      <c r="BZ38" s="59">
        <f t="shared" si="62"/>
        <v>8</v>
      </c>
      <c r="CA38" s="59" t="str">
        <f t="shared" si="63"/>
        <v>Patel J</v>
      </c>
      <c r="CB38" s="59">
        <f t="shared" si="64"/>
        <v>0</v>
      </c>
      <c r="CC38" s="59" t="str">
        <f t="shared" si="65"/>
        <v>Patel J</v>
      </c>
    </row>
    <row r="39" spans="1:81" x14ac:dyDescent="0.15">
      <c r="B39" t="s">
        <v>445</v>
      </c>
      <c r="C39" t="s">
        <v>373</v>
      </c>
      <c r="D39" t="s">
        <v>374</v>
      </c>
      <c r="E39" t="s">
        <v>400</v>
      </c>
      <c r="F39"/>
      <c r="G39"/>
      <c r="H39"/>
      <c r="I39" t="s">
        <v>336</v>
      </c>
      <c r="J39" t="s">
        <v>468</v>
      </c>
      <c r="K39" t="s">
        <v>339</v>
      </c>
      <c r="L39"/>
      <c r="M39" t="s">
        <v>504</v>
      </c>
      <c r="N39" t="s">
        <v>527</v>
      </c>
      <c r="O39" t="s">
        <v>397</v>
      </c>
      <c r="P39" t="s">
        <v>553</v>
      </c>
      <c r="Q39"/>
      <c r="R39"/>
      <c r="S39"/>
      <c r="T39" t="s">
        <v>635</v>
      </c>
      <c r="U39" t="s">
        <v>375</v>
      </c>
      <c r="V39" t="s">
        <v>657</v>
      </c>
      <c r="W39" t="s">
        <v>666</v>
      </c>
      <c r="X39" t="s">
        <v>680</v>
      </c>
      <c r="Y39"/>
      <c r="Z39"/>
      <c r="AJ39" s="59" t="str">
        <f t="shared" si="31"/>
        <v>Patel M</v>
      </c>
      <c r="AK39" s="59">
        <f t="shared" si="98"/>
        <v>14</v>
      </c>
      <c r="AL39" s="59">
        <f t="shared" si="99"/>
        <v>2</v>
      </c>
      <c r="AM39" s="59">
        <f t="shared" si="100"/>
        <v>12</v>
      </c>
      <c r="AN39" s="59">
        <f t="shared" si="101"/>
        <v>0</v>
      </c>
      <c r="AO39" s="59">
        <f t="shared" si="102"/>
        <v>19</v>
      </c>
      <c r="AP39" s="63">
        <f t="shared" si="103"/>
        <v>19</v>
      </c>
      <c r="AQ39" s="59">
        <f t="shared" si="104"/>
        <v>82</v>
      </c>
      <c r="AR39" s="61">
        <f t="shared" si="105"/>
        <v>6.833333333333333</v>
      </c>
      <c r="AS39" s="59">
        <f t="shared" si="106"/>
        <v>10</v>
      </c>
      <c r="AT39" s="62">
        <f t="array" ref="AT39">SUM(IF(ISERR(FIND("*",D39:AI39)),0,1))</f>
        <v>0</v>
      </c>
      <c r="AU39" s="62">
        <f t="array" ref="AU39">SUM(IF(ISERR(FIND("+",D39:AI39)),0,1))</f>
        <v>0</v>
      </c>
      <c r="AV39" s="59">
        <f t="shared" si="107"/>
        <v>0</v>
      </c>
      <c r="AW39" s="62">
        <f t="array" ref="AW39">SUM(IF(ISERR(FIND(AW$4,$D39:$AI39)),0,1))</f>
        <v>5</v>
      </c>
      <c r="AX39" s="62">
        <f t="array" ref="AX39">SUM(IF(ISERR(FIND(AX$4,$D39:$AI39)),0,1))</f>
        <v>6</v>
      </c>
      <c r="AY39" s="62">
        <f t="array" ref="AY39">SUM(IF(ISERR(FIND(AY$4,$D39:$AI39)),0,1))</f>
        <v>1</v>
      </c>
      <c r="AZ39" s="62">
        <f t="array" ref="AZ39">SUM(IF(ISERR(FIND(AZ$4,$D39:$AI39)),0,1))</f>
        <v>0</v>
      </c>
      <c r="BA39" s="62">
        <f t="array" ref="BA39">SUM(IF(ISERR(FIND(BA$4,$D39:$AI39)),0,1))</f>
        <v>0</v>
      </c>
      <c r="BB39" s="62">
        <f t="array" ref="BB39">SUM(IF(ISERR(FIND(BB$4,$D39:$AI39)),0,1))</f>
        <v>0</v>
      </c>
      <c r="BC39" s="62">
        <f t="array" ref="BC39">SUM(IF(ISERR(FIND(BC$4,$D39:$AI39)),0,1))</f>
        <v>0</v>
      </c>
      <c r="BD39" s="62">
        <f t="shared" si="108"/>
        <v>0</v>
      </c>
      <c r="BE39" s="62">
        <f t="shared" si="109"/>
        <v>0</v>
      </c>
      <c r="BF39" s="62">
        <f t="shared" si="110"/>
        <v>2</v>
      </c>
      <c r="BG39" s="62">
        <f t="shared" si="111"/>
        <v>10</v>
      </c>
      <c r="BH39" s="62">
        <f t="shared" si="112"/>
        <v>1</v>
      </c>
      <c r="BI39" s="62">
        <f t="shared" si="113"/>
        <v>0</v>
      </c>
      <c r="BJ39" s="62">
        <f t="shared" si="114"/>
        <v>0</v>
      </c>
      <c r="BK39" s="62">
        <f t="shared" si="115"/>
        <v>0</v>
      </c>
      <c r="BL39" s="59">
        <f t="shared" si="116"/>
        <v>684214.82038999989</v>
      </c>
      <c r="BM39" s="59">
        <f t="shared" si="86"/>
        <v>24</v>
      </c>
      <c r="BN39" s="59">
        <v>30</v>
      </c>
      <c r="BO39" s="80">
        <f t="shared" si="117"/>
        <v>2.3902439024390243</v>
      </c>
      <c r="BP39" s="88">
        <f t="shared" si="118"/>
        <v>0</v>
      </c>
      <c r="BQ39" s="151">
        <f t="shared" si="119"/>
        <v>2</v>
      </c>
      <c r="BR39" s="59" t="str">
        <f t="shared" si="120"/>
        <v>2</v>
      </c>
      <c r="BS39" s="59" t="str">
        <f t="shared" si="121"/>
        <v>Patel M</v>
      </c>
      <c r="BT39" s="62">
        <f t="shared" si="122"/>
        <v>1</v>
      </c>
      <c r="BU39" s="59" t="str">
        <f t="shared" si="123"/>
        <v>Patel M</v>
      </c>
      <c r="BV39" s="62">
        <f t="shared" si="124"/>
        <v>10</v>
      </c>
      <c r="BW39" s="59" t="str">
        <f t="shared" si="125"/>
        <v>Patel M</v>
      </c>
      <c r="BX39" s="62">
        <f t="shared" si="126"/>
        <v>0</v>
      </c>
      <c r="BY39" s="59" t="str">
        <f t="shared" si="127"/>
        <v/>
      </c>
      <c r="BZ39" s="59">
        <f t="shared" si="62"/>
        <v>14</v>
      </c>
      <c r="CA39" s="59" t="str">
        <f t="shared" si="63"/>
        <v>Patel M</v>
      </c>
      <c r="CB39" s="59">
        <f t="shared" si="64"/>
        <v>0</v>
      </c>
      <c r="CC39" s="59" t="str">
        <f t="shared" si="65"/>
        <v>Patel M</v>
      </c>
    </row>
    <row r="40" spans="1:81" x14ac:dyDescent="0.15">
      <c r="A40" s="59">
        <v>0</v>
      </c>
      <c r="B40" t="s">
        <v>563</v>
      </c>
      <c r="C40" t="s">
        <v>564</v>
      </c>
      <c r="D40"/>
      <c r="E40"/>
      <c r="F40"/>
      <c r="G40"/>
      <c r="H40"/>
      <c r="I40"/>
      <c r="J40"/>
      <c r="K40"/>
      <c r="L40"/>
      <c r="M40"/>
      <c r="N40"/>
      <c r="O40"/>
      <c r="P40" t="s">
        <v>565</v>
      </c>
      <c r="Q40"/>
      <c r="R40"/>
      <c r="S40"/>
      <c r="T40"/>
      <c r="U40"/>
      <c r="V40"/>
      <c r="W40"/>
      <c r="X40"/>
      <c r="Y40"/>
      <c r="Z40"/>
      <c r="AJ40" t="str">
        <f t="shared" si="31"/>
        <v>Patel S</v>
      </c>
      <c r="AK40" s="59">
        <f t="shared" si="98"/>
        <v>1</v>
      </c>
      <c r="AL40" s="59">
        <f t="shared" si="99"/>
        <v>0</v>
      </c>
      <c r="AM40" s="59">
        <f t="shared" si="100"/>
        <v>1</v>
      </c>
      <c r="AN40" s="59">
        <f t="shared" si="101"/>
        <v>0</v>
      </c>
      <c r="AO40" s="59">
        <f t="shared" si="102"/>
        <v>9</v>
      </c>
      <c r="AP40" s="63">
        <f t="shared" si="103"/>
        <v>9</v>
      </c>
      <c r="AQ40" s="59">
        <f t="shared" si="104"/>
        <v>9</v>
      </c>
      <c r="AR40" s="61">
        <f t="shared" si="105"/>
        <v>9</v>
      </c>
      <c r="AS40" s="59">
        <f t="shared" si="106"/>
        <v>0</v>
      </c>
      <c r="AT40" s="62">
        <f t="array" ref="AT40">SUM(IF(ISERR(FIND("*",D40:AI40)),0,1))</f>
        <v>0</v>
      </c>
      <c r="AU40" s="62">
        <f t="array" ref="AU40">SUM(IF(ISERR(FIND("+",D40:AI40)),0,1))</f>
        <v>0</v>
      </c>
      <c r="AV40" s="59">
        <f t="shared" si="107"/>
        <v>0</v>
      </c>
      <c r="AW40" s="62">
        <f t="array" ref="AW40">SUM(IF(ISERR(FIND(AW$4,$D40:$AI40)),0,1))</f>
        <v>0</v>
      </c>
      <c r="AX40" s="62">
        <f t="array" ref="AX40">SUM(IF(ISERR(FIND(AX$4,$D40:$AI40)),0,1))</f>
        <v>0</v>
      </c>
      <c r="AY40" s="62">
        <f t="array" ref="AY40">SUM(IF(ISERR(FIND(AY$4,$D40:$AI40)),0,1))</f>
        <v>0</v>
      </c>
      <c r="AZ40" s="62">
        <f t="array" ref="AZ40">SUM(IF(ISERR(FIND(AZ$4,$D40:$AI40)),0,1))</f>
        <v>0</v>
      </c>
      <c r="BA40" s="62">
        <f t="array" ref="BA40">SUM(IF(ISERR(FIND(BA$4,$D40:$AI40)),0,1))</f>
        <v>1</v>
      </c>
      <c r="BB40" s="62">
        <f t="array" ref="BB40">SUM(IF(ISERR(FIND(BB$4,$D40:$AI40)),0,1))</f>
        <v>0</v>
      </c>
      <c r="BC40" s="62">
        <f t="array" ref="BC40">SUM(IF(ISERR(FIND(BC$4,$D40:$AI40)),0,1))</f>
        <v>0</v>
      </c>
      <c r="BD40" s="62">
        <f t="shared" si="108"/>
        <v>0</v>
      </c>
      <c r="BE40" s="62">
        <f t="shared" si="109"/>
        <v>0</v>
      </c>
      <c r="BF40" s="62">
        <f t="shared" si="110"/>
        <v>0</v>
      </c>
      <c r="BG40" s="62">
        <f t="shared" si="111"/>
        <v>1</v>
      </c>
      <c r="BH40" s="62">
        <f t="shared" si="112"/>
        <v>0</v>
      </c>
      <c r="BI40" s="62">
        <f t="shared" si="113"/>
        <v>0</v>
      </c>
      <c r="BJ40" s="62">
        <f t="shared" si="114"/>
        <v>0</v>
      </c>
      <c r="BK40" s="62">
        <f t="shared" si="115"/>
        <v>0</v>
      </c>
      <c r="BL40" s="59">
        <f t="shared" si="116"/>
        <v>900101.09039999999</v>
      </c>
      <c r="BM40" s="59">
        <f t="shared" si="86"/>
        <v>22</v>
      </c>
      <c r="BN40" s="59">
        <v>31</v>
      </c>
      <c r="BO40" s="80" t="str">
        <f t="shared" si="117"/>
        <v/>
      </c>
      <c r="BP40" s="88">
        <f t="shared" si="118"/>
        <v>0</v>
      </c>
      <c r="BQ40" s="151">
        <f t="shared" si="119"/>
        <v>0</v>
      </c>
      <c r="BR40" s="59" t="str">
        <f t="shared" si="120"/>
        <v/>
      </c>
      <c r="BS40" s="59" t="str">
        <f t="shared" si="121"/>
        <v/>
      </c>
      <c r="BT40" s="62">
        <f t="shared" si="122"/>
        <v>0</v>
      </c>
      <c r="BU40" s="59" t="str">
        <f t="shared" si="123"/>
        <v/>
      </c>
      <c r="BV40" s="62">
        <f t="shared" si="124"/>
        <v>1</v>
      </c>
      <c r="BW40" s="59" t="str">
        <f t="shared" si="125"/>
        <v>Patel S</v>
      </c>
      <c r="BX40" s="62">
        <f t="shared" si="126"/>
        <v>0</v>
      </c>
      <c r="BY40" s="59" t="str">
        <f t="shared" si="127"/>
        <v/>
      </c>
      <c r="BZ40" s="59">
        <f t="shared" si="62"/>
        <v>1</v>
      </c>
      <c r="CA40" s="59" t="str">
        <f t="shared" si="63"/>
        <v>Patel S</v>
      </c>
      <c r="CB40" s="59">
        <f t="shared" si="64"/>
        <v>0</v>
      </c>
      <c r="CC40" s="59" t="str">
        <f t="shared" si="65"/>
        <v>Patel S</v>
      </c>
    </row>
    <row r="41" spans="1:81" x14ac:dyDescent="0.15">
      <c r="B41" t="s">
        <v>229</v>
      </c>
      <c r="C41" t="s">
        <v>230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J41" s="59" t="str">
        <f t="shared" si="31"/>
        <v>Rathi N</v>
      </c>
      <c r="AK41" s="59">
        <f t="shared" si="98"/>
        <v>0</v>
      </c>
      <c r="AL41" s="59">
        <f t="shared" si="99"/>
        <v>0</v>
      </c>
      <c r="AM41" s="59">
        <f t="shared" si="100"/>
        <v>0</v>
      </c>
      <c r="AN41" s="59">
        <f t="shared" si="101"/>
        <v>0</v>
      </c>
      <c r="AO41" s="59">
        <f t="shared" si="102"/>
        <v>0</v>
      </c>
      <c r="AP41" s="63">
        <f t="shared" si="103"/>
        <v>0</v>
      </c>
      <c r="AQ41" s="59">
        <f t="shared" si="104"/>
        <v>0</v>
      </c>
      <c r="AR41" s="61">
        <f t="shared" si="105"/>
        <v>0</v>
      </c>
      <c r="AS41" s="59">
        <f t="shared" si="106"/>
        <v>0</v>
      </c>
      <c r="AT41" s="62">
        <f t="array" ref="AT41">SUM(IF(ISERR(FIND("*",D41:AI41)),0,1))</f>
        <v>0</v>
      </c>
      <c r="AU41" s="62">
        <f t="array" ref="AU41">SUM(IF(ISERR(FIND("+",D41:AI41)),0,1))</f>
        <v>0</v>
      </c>
      <c r="AV41" s="59">
        <f t="shared" si="107"/>
        <v>0</v>
      </c>
      <c r="AW41" s="62">
        <f t="array" ref="AW41">SUM(IF(ISERR(FIND(AW$4,$D41:$AI41)),0,1))</f>
        <v>0</v>
      </c>
      <c r="AX41" s="62">
        <f t="array" ref="AX41">SUM(IF(ISERR(FIND(AX$4,$D41:$AI41)),0,1))</f>
        <v>0</v>
      </c>
      <c r="AY41" s="62">
        <f t="array" ref="AY41">SUM(IF(ISERR(FIND(AY$4,$D41:$AI41)),0,1))</f>
        <v>0</v>
      </c>
      <c r="AZ41" s="62">
        <f t="array" ref="AZ41">SUM(IF(ISERR(FIND(AZ$4,$D41:$AI41)),0,1))</f>
        <v>0</v>
      </c>
      <c r="BA41" s="62">
        <f t="array" ref="BA41">SUM(IF(ISERR(FIND(BA$4,$D41:$AI41)),0,1))</f>
        <v>0</v>
      </c>
      <c r="BB41" s="62">
        <f t="array" ref="BB41">SUM(IF(ISERR(FIND(BB$4,$D41:$AI41)),0,1))</f>
        <v>0</v>
      </c>
      <c r="BC41" s="62">
        <f t="array" ref="BC41">SUM(IF(ISERR(FIND(BC$4,$D41:$AI41)),0,1))</f>
        <v>0</v>
      </c>
      <c r="BD41" s="62">
        <f t="shared" si="108"/>
        <v>0</v>
      </c>
      <c r="BE41" s="62">
        <f t="shared" si="109"/>
        <v>0</v>
      </c>
      <c r="BF41" s="62">
        <f t="shared" si="110"/>
        <v>0</v>
      </c>
      <c r="BG41" s="62">
        <f t="shared" si="111"/>
        <v>0</v>
      </c>
      <c r="BH41" s="62">
        <f t="shared" si="112"/>
        <v>0</v>
      </c>
      <c r="BI41" s="62">
        <f t="shared" si="113"/>
        <v>0</v>
      </c>
      <c r="BJ41" s="62">
        <f t="shared" si="114"/>
        <v>0</v>
      </c>
      <c r="BK41" s="62">
        <f t="shared" si="115"/>
        <v>0</v>
      </c>
      <c r="BL41" s="59">
        <f t="shared" si="116"/>
        <v>4.0999999999999999E-4</v>
      </c>
      <c r="BM41" s="59">
        <f t="shared" si="86"/>
        <v>50</v>
      </c>
      <c r="BN41" s="59">
        <v>32</v>
      </c>
      <c r="BO41" s="80" t="str">
        <f t="shared" si="117"/>
        <v/>
      </c>
      <c r="BP41" s="88" t="e">
        <f t="shared" si="118"/>
        <v>#DIV/0!</v>
      </c>
      <c r="BQ41" s="151">
        <f t="shared" si="119"/>
        <v>0</v>
      </c>
      <c r="BR41" s="59" t="str">
        <f t="shared" si="120"/>
        <v/>
      </c>
      <c r="BS41" s="59" t="str">
        <f t="shared" si="121"/>
        <v/>
      </c>
      <c r="BT41" s="62">
        <f t="shared" si="122"/>
        <v>0</v>
      </c>
      <c r="BU41" s="59" t="str">
        <f t="shared" si="123"/>
        <v/>
      </c>
      <c r="BV41" s="62">
        <f t="shared" si="124"/>
        <v>0</v>
      </c>
      <c r="BW41" s="59" t="str">
        <f t="shared" si="125"/>
        <v/>
      </c>
      <c r="BX41" s="62">
        <f t="shared" si="126"/>
        <v>0</v>
      </c>
      <c r="BY41" s="59" t="str">
        <f t="shared" si="127"/>
        <v/>
      </c>
      <c r="BZ41" s="59">
        <f t="shared" si="62"/>
        <v>0</v>
      </c>
      <c r="CA41" s="59" t="str">
        <f t="shared" si="63"/>
        <v>Rathi N</v>
      </c>
      <c r="CB41" s="59">
        <f t="shared" si="64"/>
        <v>0</v>
      </c>
      <c r="CC41" s="59" t="str">
        <f t="shared" si="65"/>
        <v>Rathi N</v>
      </c>
    </row>
    <row r="42" spans="1:81" x14ac:dyDescent="0.15">
      <c r="B42"/>
      <c r="C42" t="s">
        <v>303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J42" s="59" t="str">
        <f t="shared" si="31"/>
        <v>Roland ???</v>
      </c>
      <c r="AK42" s="59">
        <f t="shared" si="98"/>
        <v>0</v>
      </c>
      <c r="AL42" s="59">
        <f t="shared" si="99"/>
        <v>0</v>
      </c>
      <c r="AM42" s="59">
        <f t="shared" si="100"/>
        <v>0</v>
      </c>
      <c r="AN42" s="59">
        <f t="shared" si="101"/>
        <v>0</v>
      </c>
      <c r="AO42" s="59">
        <f t="shared" si="102"/>
        <v>0</v>
      </c>
      <c r="AP42" s="63">
        <f t="shared" si="103"/>
        <v>0</v>
      </c>
      <c r="AQ42" s="59">
        <f t="shared" si="104"/>
        <v>0</v>
      </c>
      <c r="AR42" s="61">
        <f t="shared" si="105"/>
        <v>0</v>
      </c>
      <c r="AS42" s="59">
        <f t="shared" si="106"/>
        <v>0</v>
      </c>
      <c r="AT42" s="62">
        <f t="array" ref="AT42">SUM(IF(ISERR(FIND("*",D42:AI42)),0,1))</f>
        <v>0</v>
      </c>
      <c r="AU42" s="62">
        <f t="array" ref="AU42">SUM(IF(ISERR(FIND("+",D42:AI42)),0,1))</f>
        <v>0</v>
      </c>
      <c r="AV42" s="59">
        <f t="shared" si="107"/>
        <v>0</v>
      </c>
      <c r="AW42" s="62">
        <f t="array" ref="AW42">SUM(IF(ISERR(FIND(AW$4,$D42:$AI42)),0,1))</f>
        <v>0</v>
      </c>
      <c r="AX42" s="62">
        <f t="array" ref="AX42">SUM(IF(ISERR(FIND(AX$4,$D42:$AI42)),0,1))</f>
        <v>0</v>
      </c>
      <c r="AY42" s="62">
        <f t="array" ref="AY42">SUM(IF(ISERR(FIND(AY$4,$D42:$AI42)),0,1))</f>
        <v>0</v>
      </c>
      <c r="AZ42" s="62">
        <f t="array" ref="AZ42">SUM(IF(ISERR(FIND(AZ$4,$D42:$AI42)),0,1))</f>
        <v>0</v>
      </c>
      <c r="BA42" s="62">
        <f t="array" ref="BA42">SUM(IF(ISERR(FIND(BA$4,$D42:$AI42)),0,1))</f>
        <v>0</v>
      </c>
      <c r="BB42" s="62">
        <f t="array" ref="BB42">SUM(IF(ISERR(FIND(BB$4,$D42:$AI42)),0,1))</f>
        <v>0</v>
      </c>
      <c r="BC42" s="62">
        <f t="array" ref="BC42">SUM(IF(ISERR(FIND(BC$4,$D42:$AI42)),0,1))</f>
        <v>0</v>
      </c>
      <c r="BD42" s="62">
        <f t="shared" si="108"/>
        <v>0</v>
      </c>
      <c r="BE42" s="62">
        <f t="shared" si="109"/>
        <v>0</v>
      </c>
      <c r="BF42" s="62">
        <f t="shared" si="110"/>
        <v>0</v>
      </c>
      <c r="BG42" s="62">
        <f t="shared" si="111"/>
        <v>0</v>
      </c>
      <c r="BH42" s="62">
        <f t="shared" si="112"/>
        <v>0</v>
      </c>
      <c r="BI42" s="62">
        <f t="shared" si="113"/>
        <v>0</v>
      </c>
      <c r="BJ42" s="62">
        <f t="shared" si="114"/>
        <v>0</v>
      </c>
      <c r="BK42" s="62">
        <f t="shared" si="115"/>
        <v>0</v>
      </c>
      <c r="BL42" s="59">
        <f t="shared" si="116"/>
        <v>4.2000000000000002E-4</v>
      </c>
      <c r="BM42" s="59">
        <f t="shared" si="86"/>
        <v>49</v>
      </c>
      <c r="BN42" s="59">
        <v>33</v>
      </c>
      <c r="BO42" s="80" t="str">
        <f t="shared" si="117"/>
        <v/>
      </c>
      <c r="BP42" s="88" t="e">
        <f t="shared" si="118"/>
        <v>#DIV/0!</v>
      </c>
      <c r="BQ42" s="151">
        <f t="shared" si="119"/>
        <v>0</v>
      </c>
      <c r="BR42" s="59" t="str">
        <f t="shared" si="120"/>
        <v/>
      </c>
      <c r="BS42" s="59" t="str">
        <f t="shared" si="121"/>
        <v/>
      </c>
      <c r="BT42" s="62">
        <f t="shared" si="122"/>
        <v>0</v>
      </c>
      <c r="BU42" s="59" t="str">
        <f t="shared" si="123"/>
        <v/>
      </c>
      <c r="BV42" s="62">
        <f t="shared" si="124"/>
        <v>0</v>
      </c>
      <c r="BW42" s="59" t="str">
        <f t="shared" si="125"/>
        <v/>
      </c>
      <c r="BX42" s="62">
        <f t="shared" si="126"/>
        <v>0</v>
      </c>
      <c r="BY42" s="59" t="str">
        <f t="shared" si="127"/>
        <v/>
      </c>
      <c r="BZ42" s="59">
        <f t="shared" si="62"/>
        <v>0</v>
      </c>
      <c r="CA42" s="59" t="str">
        <f t="shared" si="63"/>
        <v>Roland ???</v>
      </c>
      <c r="CB42" s="59">
        <f t="shared" si="64"/>
        <v>0</v>
      </c>
      <c r="CC42" s="59" t="str">
        <f t="shared" si="65"/>
        <v>Roland ???</v>
      </c>
    </row>
    <row r="43" spans="1:81" x14ac:dyDescent="0.15">
      <c r="B43" t="s">
        <v>528</v>
      </c>
      <c r="C43" t="s">
        <v>529</v>
      </c>
      <c r="D43"/>
      <c r="E43"/>
      <c r="F43"/>
      <c r="G43"/>
      <c r="H43"/>
      <c r="I43"/>
      <c r="J43"/>
      <c r="K43"/>
      <c r="L43"/>
      <c r="M43"/>
      <c r="N43" t="s">
        <v>309</v>
      </c>
      <c r="O43"/>
      <c r="P43"/>
      <c r="Q43"/>
      <c r="R43"/>
      <c r="S43"/>
      <c r="T43"/>
      <c r="U43"/>
      <c r="V43"/>
      <c r="W43"/>
      <c r="X43"/>
      <c r="Y43"/>
      <c r="Z43"/>
      <c r="AJ43" t="str">
        <f t="shared" si="31"/>
        <v>Roy A</v>
      </c>
      <c r="AK43" s="59">
        <f t="shared" si="98"/>
        <v>1</v>
      </c>
      <c r="AL43" s="59">
        <f t="shared" si="99"/>
        <v>1</v>
      </c>
      <c r="AM43" s="59">
        <f t="shared" si="100"/>
        <v>0</v>
      </c>
      <c r="AN43" s="59">
        <f t="shared" si="101"/>
        <v>0</v>
      </c>
      <c r="AO43" s="59">
        <f t="shared" si="102"/>
        <v>0</v>
      </c>
      <c r="AP43" s="63">
        <f t="shared" si="103"/>
        <v>0</v>
      </c>
      <c r="AQ43" s="59">
        <f t="shared" si="104"/>
        <v>0</v>
      </c>
      <c r="AR43" s="61">
        <f t="shared" si="105"/>
        <v>0</v>
      </c>
      <c r="AS43" s="59">
        <f t="shared" si="106"/>
        <v>0</v>
      </c>
      <c r="AT43" s="62">
        <f t="array" ref="AT43">SUM(IF(ISERR(FIND("*",D43:AI43)),0,1))</f>
        <v>0</v>
      </c>
      <c r="AU43" s="62">
        <f t="array" ref="AU43">SUM(IF(ISERR(FIND("+",D43:AI43)),0,1))</f>
        <v>0</v>
      </c>
      <c r="AV43" s="59">
        <f t="shared" si="107"/>
        <v>0</v>
      </c>
      <c r="AW43" s="62">
        <f t="array" ref="AW43">SUM(IF(ISERR(FIND(AW$4,$D43:$AI43)),0,1))</f>
        <v>0</v>
      </c>
      <c r="AX43" s="62">
        <f t="array" ref="AX43">SUM(IF(ISERR(FIND(AX$4,$D43:$AI43)),0,1))</f>
        <v>0</v>
      </c>
      <c r="AY43" s="62">
        <f t="array" ref="AY43">SUM(IF(ISERR(FIND(AY$4,$D43:$AI43)),0,1))</f>
        <v>0</v>
      </c>
      <c r="AZ43" s="62">
        <f t="array" ref="AZ43">SUM(IF(ISERR(FIND(AZ$4,$D43:$AI43)),0,1))</f>
        <v>0</v>
      </c>
      <c r="BA43" s="62">
        <f t="array" ref="BA43">SUM(IF(ISERR(FIND(BA$4,$D43:$AI43)),0,1))</f>
        <v>0</v>
      </c>
      <c r="BB43" s="62">
        <f t="array" ref="BB43">SUM(IF(ISERR(FIND(BB$4,$D43:$AI43)),0,1))</f>
        <v>0</v>
      </c>
      <c r="BC43" s="62">
        <f t="array" ref="BC43">SUM(IF(ISERR(FIND(BC$4,$D43:$AI43)),0,1))</f>
        <v>0</v>
      </c>
      <c r="BD43" s="62">
        <f t="shared" si="108"/>
        <v>0</v>
      </c>
      <c r="BE43" s="62">
        <f t="shared" si="109"/>
        <v>0</v>
      </c>
      <c r="BF43" s="62">
        <f t="shared" si="110"/>
        <v>0</v>
      </c>
      <c r="BG43" s="62">
        <f t="shared" si="111"/>
        <v>0</v>
      </c>
      <c r="BH43" s="62">
        <f t="shared" si="112"/>
        <v>0</v>
      </c>
      <c r="BI43" s="62">
        <f t="shared" si="113"/>
        <v>0</v>
      </c>
      <c r="BJ43" s="62">
        <f t="shared" si="114"/>
        <v>0</v>
      </c>
      <c r="BK43" s="62">
        <f t="shared" si="115"/>
        <v>0</v>
      </c>
      <c r="BL43" s="59">
        <f t="shared" si="116"/>
        <v>1.0004299999999999</v>
      </c>
      <c r="BM43" s="59">
        <f t="shared" si="86"/>
        <v>38</v>
      </c>
      <c r="BN43" s="59">
        <v>34</v>
      </c>
      <c r="BO43" s="80" t="str">
        <f t="shared" si="117"/>
        <v/>
      </c>
      <c r="BP43" s="88" t="e">
        <f t="shared" si="118"/>
        <v>#DIV/0!</v>
      </c>
      <c r="BQ43" s="151">
        <f t="shared" si="119"/>
        <v>0</v>
      </c>
      <c r="BR43" s="59" t="str">
        <f t="shared" si="120"/>
        <v/>
      </c>
      <c r="BS43" s="59" t="str">
        <f t="shared" si="121"/>
        <v/>
      </c>
      <c r="BT43" s="62">
        <f t="shared" si="122"/>
        <v>0</v>
      </c>
      <c r="BU43" s="59" t="str">
        <f t="shared" si="123"/>
        <v/>
      </c>
      <c r="BV43" s="62">
        <f t="shared" si="124"/>
        <v>0</v>
      </c>
      <c r="BW43" s="59" t="str">
        <f t="shared" si="125"/>
        <v/>
      </c>
      <c r="BX43" s="62">
        <f t="shared" si="126"/>
        <v>0</v>
      </c>
      <c r="BY43" s="59" t="str">
        <f t="shared" si="127"/>
        <v/>
      </c>
      <c r="BZ43" s="59">
        <f t="shared" si="62"/>
        <v>1</v>
      </c>
      <c r="CA43" s="59" t="str">
        <f t="shared" si="63"/>
        <v>Roy A</v>
      </c>
      <c r="CB43" s="59">
        <f t="shared" si="64"/>
        <v>0</v>
      </c>
      <c r="CC43" s="59" t="str">
        <f t="shared" si="65"/>
        <v>Roy A</v>
      </c>
    </row>
    <row r="44" spans="1:81" x14ac:dyDescent="0.15">
      <c r="B44" t="s">
        <v>250</v>
      </c>
      <c r="C44" t="s">
        <v>314</v>
      </c>
      <c r="D44"/>
      <c r="E44"/>
      <c r="F44" t="s">
        <v>306</v>
      </c>
      <c r="G44"/>
      <c r="H44"/>
      <c r="I44"/>
      <c r="J44"/>
      <c r="K44"/>
      <c r="L44" t="s">
        <v>310</v>
      </c>
      <c r="M44"/>
      <c r="N44"/>
      <c r="O44" t="s">
        <v>545</v>
      </c>
      <c r="P44"/>
      <c r="Q44"/>
      <c r="R44" t="s">
        <v>312</v>
      </c>
      <c r="S44"/>
      <c r="T44" t="s">
        <v>639</v>
      </c>
      <c r="U44" t="s">
        <v>652</v>
      </c>
      <c r="V44" t="s">
        <v>653</v>
      </c>
      <c r="W44"/>
      <c r="X44" t="s">
        <v>580</v>
      </c>
      <c r="Y44"/>
      <c r="Z44"/>
      <c r="AJ44" s="59" t="str">
        <f t="shared" si="31"/>
        <v>Rugg D</v>
      </c>
      <c r="AK44" s="59">
        <f t="shared" si="98"/>
        <v>8</v>
      </c>
      <c r="AL44" s="59">
        <f t="shared" si="99"/>
        <v>4</v>
      </c>
      <c r="AM44" s="59">
        <f t="shared" si="100"/>
        <v>4</v>
      </c>
      <c r="AN44" s="59">
        <f t="shared" si="101"/>
        <v>1</v>
      </c>
      <c r="AO44" s="59">
        <f t="shared" si="102"/>
        <v>8</v>
      </c>
      <c r="AP44" s="63">
        <f t="shared" si="103"/>
        <v>8</v>
      </c>
      <c r="AQ44" s="59">
        <f t="shared" si="104"/>
        <v>9</v>
      </c>
      <c r="AR44" s="61">
        <f t="shared" si="105"/>
        <v>3</v>
      </c>
      <c r="AS44" s="59">
        <f t="shared" si="106"/>
        <v>10</v>
      </c>
      <c r="AT44" s="62">
        <f t="array" ref="AT44">SUM(IF(ISERR(FIND("*",D44:AI44)),0,1))</f>
        <v>0</v>
      </c>
      <c r="AU44" s="62">
        <f t="array" ref="AU44">SUM(IF(ISERR(FIND("+",D44:AI44)),0,1))</f>
        <v>0</v>
      </c>
      <c r="AV44" s="59">
        <f t="shared" si="107"/>
        <v>1</v>
      </c>
      <c r="AW44" s="62">
        <f t="array" ref="AW44">SUM(IF(ISERR(FIND(AW$4,$D44:$AI44)),0,1))</f>
        <v>2</v>
      </c>
      <c r="AX44" s="62">
        <f t="array" ref="AX44">SUM(IF(ISERR(FIND(AX$4,$D44:$AI44)),0,1))</f>
        <v>0</v>
      </c>
      <c r="AY44" s="62">
        <f t="array" ref="AY44">SUM(IF(ISERR(FIND(AY$4,$D44:$AI44)),0,1))</f>
        <v>1</v>
      </c>
      <c r="AZ44" s="62">
        <f t="array" ref="AZ44">SUM(IF(ISERR(FIND(AZ$4,$D44:$AI44)),0,1))</f>
        <v>0</v>
      </c>
      <c r="BA44" s="62">
        <f t="array" ref="BA44">SUM(IF(ISERR(FIND(BA$4,$D44:$AI44)),0,1))</f>
        <v>0</v>
      </c>
      <c r="BB44" s="62">
        <f t="array" ref="BB44">SUM(IF(ISERR(FIND(BB$4,$D44:$AI44)),0,1))</f>
        <v>0</v>
      </c>
      <c r="BC44" s="62">
        <f t="array" ref="BC44">SUM(IF(ISERR(FIND(BC$4,$D44:$AI44)),0,1))</f>
        <v>0</v>
      </c>
      <c r="BD44" s="62">
        <f t="shared" si="108"/>
        <v>0</v>
      </c>
      <c r="BE44" s="62">
        <f t="shared" si="109"/>
        <v>0</v>
      </c>
      <c r="BF44" s="62">
        <f t="shared" si="110"/>
        <v>2</v>
      </c>
      <c r="BG44" s="62">
        <f t="shared" si="111"/>
        <v>2</v>
      </c>
      <c r="BH44" s="62">
        <f t="shared" si="112"/>
        <v>0</v>
      </c>
      <c r="BI44" s="62">
        <f t="shared" si="113"/>
        <v>0</v>
      </c>
      <c r="BJ44" s="62">
        <f t="shared" si="114"/>
        <v>0</v>
      </c>
      <c r="BK44" s="62">
        <f t="shared" si="115"/>
        <v>0</v>
      </c>
      <c r="BL44" s="59">
        <f t="shared" si="116"/>
        <v>300408.09044</v>
      </c>
      <c r="BM44" s="59">
        <f t="shared" si="86"/>
        <v>31</v>
      </c>
      <c r="BN44" s="59">
        <v>35</v>
      </c>
      <c r="BO44" s="80" t="str">
        <f t="shared" si="117"/>
        <v/>
      </c>
      <c r="BP44" s="88">
        <f t="shared" si="118"/>
        <v>0.33333333333333331</v>
      </c>
      <c r="BQ44" s="151">
        <f t="shared" si="119"/>
        <v>2</v>
      </c>
      <c r="BR44" s="59" t="str">
        <f t="shared" si="120"/>
        <v>2</v>
      </c>
      <c r="BS44" s="59" t="str">
        <f t="shared" si="121"/>
        <v>Rugg D</v>
      </c>
      <c r="BT44" s="62">
        <f t="shared" si="122"/>
        <v>0</v>
      </c>
      <c r="BU44" s="59" t="str">
        <f t="shared" si="123"/>
        <v/>
      </c>
      <c r="BV44" s="62">
        <f t="shared" si="124"/>
        <v>2</v>
      </c>
      <c r="BW44" s="59" t="str">
        <f t="shared" si="125"/>
        <v>Rugg D</v>
      </c>
      <c r="BX44" s="62">
        <f t="shared" si="126"/>
        <v>0</v>
      </c>
      <c r="BY44" s="59" t="str">
        <f t="shared" si="127"/>
        <v/>
      </c>
      <c r="BZ44" s="59">
        <f t="shared" si="62"/>
        <v>8</v>
      </c>
      <c r="CA44" s="59" t="str">
        <f t="shared" si="63"/>
        <v>Rugg D</v>
      </c>
      <c r="CB44" s="59">
        <f t="shared" si="64"/>
        <v>1</v>
      </c>
      <c r="CC44" s="59" t="str">
        <f t="shared" si="65"/>
        <v>Rugg D</v>
      </c>
    </row>
    <row r="45" spans="1:81" x14ac:dyDescent="0.15">
      <c r="B45" t="s">
        <v>253</v>
      </c>
      <c r="C45" t="s">
        <v>254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J45" s="59" t="str">
        <f t="shared" si="31"/>
        <v>Seev J</v>
      </c>
      <c r="AK45" s="59">
        <f t="shared" si="98"/>
        <v>0</v>
      </c>
      <c r="AL45" s="59">
        <f t="shared" si="99"/>
        <v>0</v>
      </c>
      <c r="AM45" s="59">
        <f t="shared" si="100"/>
        <v>0</v>
      </c>
      <c r="AN45" s="59">
        <f t="shared" si="101"/>
        <v>0</v>
      </c>
      <c r="AO45" s="59">
        <f t="shared" si="102"/>
        <v>0</v>
      </c>
      <c r="AP45" s="63">
        <f t="shared" si="103"/>
        <v>0</v>
      </c>
      <c r="AQ45" s="59">
        <f t="shared" si="104"/>
        <v>0</v>
      </c>
      <c r="AR45" s="61">
        <f t="shared" si="105"/>
        <v>0</v>
      </c>
      <c r="AS45" s="59">
        <f t="shared" si="106"/>
        <v>0</v>
      </c>
      <c r="AT45" s="62">
        <f t="array" ref="AT45">SUM(IF(ISERR(FIND("*",D45:AI45)),0,1))</f>
        <v>0</v>
      </c>
      <c r="AU45" s="62">
        <f t="array" ref="AU45">SUM(IF(ISERR(FIND("+",D45:AI45)),0,1))</f>
        <v>0</v>
      </c>
      <c r="AV45" s="59">
        <f t="shared" si="107"/>
        <v>0</v>
      </c>
      <c r="AW45" s="62">
        <f t="array" ref="AW45">SUM(IF(ISERR(FIND(AW$4,$D45:$AI45)),0,1))</f>
        <v>0</v>
      </c>
      <c r="AX45" s="62">
        <f t="array" ref="AX45">SUM(IF(ISERR(FIND(AX$4,$D45:$AI45)),0,1))</f>
        <v>0</v>
      </c>
      <c r="AY45" s="62">
        <f t="array" ref="AY45">SUM(IF(ISERR(FIND(AY$4,$D45:$AI45)),0,1))</f>
        <v>0</v>
      </c>
      <c r="AZ45" s="62">
        <f t="array" ref="AZ45">SUM(IF(ISERR(FIND(AZ$4,$D45:$AI45)),0,1))</f>
        <v>0</v>
      </c>
      <c r="BA45" s="62">
        <f t="array" ref="BA45">SUM(IF(ISERR(FIND(BA$4,$D45:$AI45)),0,1))</f>
        <v>0</v>
      </c>
      <c r="BB45" s="62">
        <f t="array" ref="BB45">SUM(IF(ISERR(FIND(BB$4,$D45:$AI45)),0,1))</f>
        <v>0</v>
      </c>
      <c r="BC45" s="62">
        <f t="array" ref="BC45">SUM(IF(ISERR(FIND(BC$4,$D45:$AI45)),0,1))</f>
        <v>0</v>
      </c>
      <c r="BD45" s="62">
        <f t="shared" si="108"/>
        <v>0</v>
      </c>
      <c r="BE45" s="62">
        <f t="shared" si="109"/>
        <v>0</v>
      </c>
      <c r="BF45" s="62">
        <f t="shared" si="110"/>
        <v>0</v>
      </c>
      <c r="BG45" s="62">
        <f t="shared" si="111"/>
        <v>0</v>
      </c>
      <c r="BH45" s="62">
        <f t="shared" si="112"/>
        <v>0</v>
      </c>
      <c r="BI45" s="62">
        <f t="shared" si="113"/>
        <v>0</v>
      </c>
      <c r="BJ45" s="62">
        <f t="shared" si="114"/>
        <v>0</v>
      </c>
      <c r="BK45" s="62">
        <f t="shared" si="115"/>
        <v>0</v>
      </c>
      <c r="BL45" s="59">
        <f t="shared" si="116"/>
        <v>4.4999999999999999E-4</v>
      </c>
      <c r="BM45" s="59">
        <f t="shared" si="86"/>
        <v>48</v>
      </c>
      <c r="BN45" s="59">
        <v>36</v>
      </c>
      <c r="BO45" s="80" t="str">
        <f t="shared" si="117"/>
        <v/>
      </c>
      <c r="BP45" s="88" t="e">
        <f t="shared" si="118"/>
        <v>#DIV/0!</v>
      </c>
      <c r="BQ45" s="151">
        <f t="shared" si="119"/>
        <v>0</v>
      </c>
      <c r="BR45" s="59" t="str">
        <f t="shared" si="120"/>
        <v/>
      </c>
      <c r="BS45" s="59" t="str">
        <f t="shared" si="121"/>
        <v/>
      </c>
      <c r="BT45" s="62">
        <f t="shared" si="122"/>
        <v>0</v>
      </c>
      <c r="BU45" s="59" t="str">
        <f t="shared" si="123"/>
        <v/>
      </c>
      <c r="BV45" s="62">
        <f t="shared" si="124"/>
        <v>0</v>
      </c>
      <c r="BW45" s="59" t="str">
        <f t="shared" si="125"/>
        <v/>
      </c>
      <c r="BX45" s="62">
        <f t="shared" si="126"/>
        <v>0</v>
      </c>
      <c r="BY45" s="59" t="str">
        <f t="shared" si="127"/>
        <v/>
      </c>
      <c r="BZ45" s="59">
        <f t="shared" si="62"/>
        <v>0</v>
      </c>
      <c r="CA45" s="59" t="str">
        <f t="shared" si="63"/>
        <v>Seev J</v>
      </c>
      <c r="CB45" s="59">
        <f t="shared" si="64"/>
        <v>0</v>
      </c>
      <c r="CC45" s="59" t="str">
        <f t="shared" si="65"/>
        <v>Seev J</v>
      </c>
    </row>
    <row r="46" spans="1:81" x14ac:dyDescent="0.15">
      <c r="B46" t="s">
        <v>294</v>
      </c>
      <c r="C46" t="s">
        <v>296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J46" s="59" t="str">
        <f t="shared" si="31"/>
        <v>Sajjid A</v>
      </c>
      <c r="AK46" s="59">
        <f t="shared" si="98"/>
        <v>0</v>
      </c>
      <c r="AL46" s="59">
        <f t="shared" si="99"/>
        <v>0</v>
      </c>
      <c r="AM46" s="59">
        <f t="shared" si="100"/>
        <v>0</v>
      </c>
      <c r="AN46" s="59">
        <f t="shared" si="101"/>
        <v>0</v>
      </c>
      <c r="AO46" s="59">
        <f t="shared" si="102"/>
        <v>0</v>
      </c>
      <c r="AP46" s="63">
        <f t="shared" si="103"/>
        <v>0</v>
      </c>
      <c r="AQ46" s="59">
        <f t="shared" si="104"/>
        <v>0</v>
      </c>
      <c r="AR46" s="61">
        <f t="shared" si="105"/>
        <v>0</v>
      </c>
      <c r="AS46" s="59">
        <f t="shared" si="106"/>
        <v>0</v>
      </c>
      <c r="AT46" s="62">
        <f t="array" ref="AT46">SUM(IF(ISERR(FIND("*",D46:AI46)),0,1))</f>
        <v>0</v>
      </c>
      <c r="AU46" s="62">
        <f t="array" ref="AU46">SUM(IF(ISERR(FIND("+",D46:AI46)),0,1))</f>
        <v>0</v>
      </c>
      <c r="AV46" s="59">
        <f t="shared" si="107"/>
        <v>0</v>
      </c>
      <c r="AW46" s="62">
        <f t="array" ref="AW46">SUM(IF(ISERR(FIND(AW$4,$D46:$AI46)),0,1))</f>
        <v>0</v>
      </c>
      <c r="AX46" s="62">
        <f t="array" ref="AX46">SUM(IF(ISERR(FIND(AX$4,$D46:$AI46)),0,1))</f>
        <v>0</v>
      </c>
      <c r="AY46" s="62">
        <f t="array" ref="AY46">SUM(IF(ISERR(FIND(AY$4,$D46:$AI46)),0,1))</f>
        <v>0</v>
      </c>
      <c r="AZ46" s="62">
        <f t="array" ref="AZ46">SUM(IF(ISERR(FIND(AZ$4,$D46:$AI46)),0,1))</f>
        <v>0</v>
      </c>
      <c r="BA46" s="62">
        <f t="array" ref="BA46">SUM(IF(ISERR(FIND(BA$4,$D46:$AI46)),0,1))</f>
        <v>0</v>
      </c>
      <c r="BB46" s="62">
        <f t="array" ref="BB46">SUM(IF(ISERR(FIND(BB$4,$D46:$AI46)),0,1))</f>
        <v>0</v>
      </c>
      <c r="BC46" s="62">
        <f t="array" ref="BC46">SUM(IF(ISERR(FIND(BC$4,$D46:$AI46)),0,1))</f>
        <v>0</v>
      </c>
      <c r="BD46" s="62">
        <f t="shared" si="108"/>
        <v>0</v>
      </c>
      <c r="BE46" s="62">
        <f t="shared" si="109"/>
        <v>0</v>
      </c>
      <c r="BF46" s="62">
        <f t="shared" si="110"/>
        <v>0</v>
      </c>
      <c r="BG46" s="62">
        <f t="shared" si="111"/>
        <v>0</v>
      </c>
      <c r="BH46" s="62">
        <f t="shared" si="112"/>
        <v>0</v>
      </c>
      <c r="BI46" s="62">
        <f t="shared" si="113"/>
        <v>0</v>
      </c>
      <c r="BJ46" s="62">
        <f t="shared" si="114"/>
        <v>0</v>
      </c>
      <c r="BK46" s="62">
        <f t="shared" si="115"/>
        <v>0</v>
      </c>
      <c r="BL46" s="59">
        <f t="shared" si="116"/>
        <v>4.6000000000000001E-4</v>
      </c>
      <c r="BM46" s="59">
        <f t="shared" si="86"/>
        <v>47</v>
      </c>
      <c r="BN46" s="59">
        <v>37</v>
      </c>
      <c r="BO46" s="80" t="str">
        <f t="shared" si="117"/>
        <v/>
      </c>
      <c r="BP46" s="88" t="e">
        <f t="shared" si="118"/>
        <v>#DIV/0!</v>
      </c>
      <c r="BQ46" s="151">
        <f t="shared" si="119"/>
        <v>0</v>
      </c>
      <c r="BR46" s="59" t="str">
        <f t="shared" si="120"/>
        <v/>
      </c>
      <c r="BS46" s="59" t="str">
        <f t="shared" si="121"/>
        <v/>
      </c>
      <c r="BT46" s="62">
        <f t="shared" si="122"/>
        <v>0</v>
      </c>
      <c r="BU46" s="59" t="str">
        <f t="shared" si="123"/>
        <v/>
      </c>
      <c r="BV46" s="62">
        <f t="shared" si="124"/>
        <v>0</v>
      </c>
      <c r="BW46" s="59" t="str">
        <f t="shared" si="125"/>
        <v/>
      </c>
      <c r="BX46" s="62">
        <f t="shared" si="126"/>
        <v>0</v>
      </c>
      <c r="BY46" s="59" t="str">
        <f t="shared" si="127"/>
        <v/>
      </c>
      <c r="BZ46" s="59">
        <f t="shared" si="62"/>
        <v>0</v>
      </c>
      <c r="CA46" s="59" t="str">
        <f t="shared" si="63"/>
        <v>Sajjid A</v>
      </c>
      <c r="CB46" s="59">
        <f t="shared" si="64"/>
        <v>0</v>
      </c>
      <c r="CC46" s="59" t="str">
        <f t="shared" si="65"/>
        <v>Sajjid A</v>
      </c>
    </row>
    <row r="47" spans="1:81" x14ac:dyDescent="0.15">
      <c r="B47" t="s">
        <v>295</v>
      </c>
      <c r="C47" t="s">
        <v>297</v>
      </c>
      <c r="D47"/>
      <c r="E47"/>
      <c r="F47" t="s">
        <v>411</v>
      </c>
      <c r="G47"/>
      <c r="H47" t="s">
        <v>322</v>
      </c>
      <c r="I47"/>
      <c r="J47"/>
      <c r="K47" t="s">
        <v>411</v>
      </c>
      <c r="L47"/>
      <c r="M47" t="s">
        <v>510</v>
      </c>
      <c r="N47"/>
      <c r="O47" t="s">
        <v>311</v>
      </c>
      <c r="P47"/>
      <c r="Q47" t="s">
        <v>580</v>
      </c>
      <c r="R47"/>
      <c r="S47" t="s">
        <v>619</v>
      </c>
      <c r="T47" t="s">
        <v>638</v>
      </c>
      <c r="U47"/>
      <c r="V47" t="s">
        <v>510</v>
      </c>
      <c r="W47" t="s">
        <v>684</v>
      </c>
      <c r="X47"/>
      <c r="Y47"/>
      <c r="Z47"/>
      <c r="AJ47" s="59" t="str">
        <f t="shared" si="31"/>
        <v>Sajjid K</v>
      </c>
      <c r="AK47" s="59">
        <f t="shared" si="98"/>
        <v>10</v>
      </c>
      <c r="AL47" s="59">
        <f t="shared" si="99"/>
        <v>1</v>
      </c>
      <c r="AM47" s="59">
        <f t="shared" si="100"/>
        <v>9</v>
      </c>
      <c r="AN47" s="59">
        <f t="shared" si="101"/>
        <v>6</v>
      </c>
      <c r="AO47" s="59">
        <f t="shared" si="102"/>
        <v>-6</v>
      </c>
      <c r="AP47" s="63" t="str">
        <f t="shared" si="103"/>
        <v>6*</v>
      </c>
      <c r="AQ47" s="59">
        <f t="shared" si="104"/>
        <v>16</v>
      </c>
      <c r="AR47" s="61">
        <f t="shared" si="105"/>
        <v>5.333333333333333</v>
      </c>
      <c r="AS47" s="59">
        <f t="shared" si="106"/>
        <v>0</v>
      </c>
      <c r="AT47" s="62">
        <f t="array" ref="AT47">SUM(IF(ISERR(FIND("*",D47:AI47)),0,1))</f>
        <v>0</v>
      </c>
      <c r="AU47" s="62">
        <f t="array" ref="AU47">SUM(IF(ISERR(FIND("+",D47:AI47)),0,1))</f>
        <v>0</v>
      </c>
      <c r="AV47" s="59">
        <f t="shared" si="107"/>
        <v>3</v>
      </c>
      <c r="AW47" s="62">
        <f t="array" ref="AW47">SUM(IF(ISERR(FIND(AW$4,$D47:$AI47)),0,1))</f>
        <v>2</v>
      </c>
      <c r="AX47" s="62">
        <f t="array" ref="AX47">SUM(IF(ISERR(FIND(AX$4,$D47:$AI47)),0,1))</f>
        <v>0</v>
      </c>
      <c r="AY47" s="62">
        <f t="array" ref="AY47">SUM(IF(ISERR(FIND(AY$4,$D47:$AI47)),0,1))</f>
        <v>0</v>
      </c>
      <c r="AZ47" s="62">
        <f t="array" ref="AZ47">SUM(IF(ISERR(FIND(AZ$4,$D47:$AI47)),0,1))</f>
        <v>0</v>
      </c>
      <c r="BA47" s="62">
        <f t="array" ref="BA47">SUM(IF(ISERR(FIND(BA$4,$D47:$AI47)),0,1))</f>
        <v>1</v>
      </c>
      <c r="BB47" s="62">
        <f t="array" ref="BB47">SUM(IF(ISERR(FIND(BB$4,$D47:$AI47)),0,1))</f>
        <v>0</v>
      </c>
      <c r="BC47" s="62">
        <f t="array" ref="BC47">SUM(IF(ISERR(FIND(BC$4,$D47:$AI47)),0,1))</f>
        <v>0</v>
      </c>
      <c r="BD47" s="62">
        <f t="shared" si="108"/>
        <v>0</v>
      </c>
      <c r="BE47" s="62">
        <f t="shared" si="109"/>
        <v>0</v>
      </c>
      <c r="BF47" s="62">
        <f t="shared" si="110"/>
        <v>0</v>
      </c>
      <c r="BG47" s="62">
        <f t="shared" si="111"/>
        <v>1</v>
      </c>
      <c r="BH47" s="62">
        <f t="shared" si="112"/>
        <v>0</v>
      </c>
      <c r="BI47" s="62">
        <f t="shared" si="113"/>
        <v>0</v>
      </c>
      <c r="BJ47" s="62">
        <f t="shared" si="114"/>
        <v>0</v>
      </c>
      <c r="BK47" s="62">
        <f t="shared" si="115"/>
        <v>0</v>
      </c>
      <c r="BL47" s="59">
        <f t="shared" si="116"/>
        <v>533910.16047</v>
      </c>
      <c r="BM47" s="59">
        <f t="shared" si="86"/>
        <v>27</v>
      </c>
      <c r="BN47" s="59">
        <v>38</v>
      </c>
      <c r="BO47" s="80" t="str">
        <f t="shared" si="117"/>
        <v/>
      </c>
      <c r="BP47" s="88">
        <f t="shared" si="118"/>
        <v>1</v>
      </c>
      <c r="BQ47" s="151">
        <f t="shared" si="119"/>
        <v>0</v>
      </c>
      <c r="BR47" s="59" t="str">
        <f t="shared" si="120"/>
        <v/>
      </c>
      <c r="BS47" s="59" t="str">
        <f t="shared" si="121"/>
        <v/>
      </c>
      <c r="BT47" s="62">
        <f t="shared" si="122"/>
        <v>0</v>
      </c>
      <c r="BU47" s="59" t="str">
        <f t="shared" si="123"/>
        <v/>
      </c>
      <c r="BV47" s="62">
        <f t="shared" si="124"/>
        <v>1</v>
      </c>
      <c r="BW47" s="59" t="str">
        <f t="shared" si="125"/>
        <v>Sajjid K</v>
      </c>
      <c r="BX47" s="62">
        <f t="shared" si="126"/>
        <v>0</v>
      </c>
      <c r="BY47" s="59" t="str">
        <f t="shared" si="127"/>
        <v/>
      </c>
      <c r="BZ47" s="59">
        <f t="shared" si="62"/>
        <v>10</v>
      </c>
      <c r="CA47" s="59" t="str">
        <f t="shared" si="63"/>
        <v>Sajjid K</v>
      </c>
      <c r="CB47" s="59">
        <f t="shared" si="64"/>
        <v>3</v>
      </c>
      <c r="CC47" s="59" t="str">
        <f t="shared" si="65"/>
        <v>Sajjid K</v>
      </c>
    </row>
    <row r="48" spans="1:81" x14ac:dyDescent="0.15">
      <c r="B48" s="59" t="s">
        <v>28</v>
      </c>
      <c r="C48" s="59" t="s">
        <v>196</v>
      </c>
      <c r="D48" t="s">
        <v>330</v>
      </c>
      <c r="E48" t="s">
        <v>325</v>
      </c>
      <c r="F48" t="s">
        <v>413</v>
      </c>
      <c r="G48" t="s">
        <v>385</v>
      </c>
      <c r="H48" t="s">
        <v>423</v>
      </c>
      <c r="I48" t="s">
        <v>457</v>
      </c>
      <c r="J48" t="s">
        <v>458</v>
      </c>
      <c r="K48" t="s">
        <v>475</v>
      </c>
      <c r="L48" t="s">
        <v>486</v>
      </c>
      <c r="M48" t="s">
        <v>500</v>
      </c>
      <c r="N48" t="s">
        <v>523</v>
      </c>
      <c r="O48" t="s">
        <v>539</v>
      </c>
      <c r="P48" t="s">
        <v>552</v>
      </c>
      <c r="Q48" t="s">
        <v>570</v>
      </c>
      <c r="R48" t="s">
        <v>601</v>
      </c>
      <c r="S48" t="s">
        <v>325</v>
      </c>
      <c r="T48" t="s">
        <v>523</v>
      </c>
      <c r="U48" t="s">
        <v>648</v>
      </c>
      <c r="V48" t="s">
        <v>654</v>
      </c>
      <c r="W48" t="s">
        <v>663</v>
      </c>
      <c r="X48" t="s">
        <v>677</v>
      </c>
      <c r="Y48"/>
      <c r="Z48"/>
      <c r="AJ48" s="59" t="str">
        <f t="shared" si="31"/>
        <v>Seymour C</v>
      </c>
      <c r="AK48" s="59">
        <f t="shared" si="98"/>
        <v>21</v>
      </c>
      <c r="AL48" s="59">
        <f t="shared" si="99"/>
        <v>1</v>
      </c>
      <c r="AM48" s="59">
        <f t="shared" si="100"/>
        <v>20</v>
      </c>
      <c r="AN48" s="59">
        <f t="shared" si="101"/>
        <v>1</v>
      </c>
      <c r="AO48" s="59">
        <f t="shared" si="102"/>
        <v>70</v>
      </c>
      <c r="AP48" s="63">
        <f t="shared" si="103"/>
        <v>70</v>
      </c>
      <c r="AQ48" s="59">
        <f t="shared" si="104"/>
        <v>397</v>
      </c>
      <c r="AR48" s="61">
        <f t="shared" si="105"/>
        <v>20.894736842105264</v>
      </c>
      <c r="AS48" s="59">
        <f t="shared" si="106"/>
        <v>15</v>
      </c>
      <c r="AT48" s="62">
        <f t="array" ref="AT48">SUM(IF(ISERR(FIND("*",D48:AI48)),0,1))</f>
        <v>2</v>
      </c>
      <c r="AU48" s="62">
        <f t="array" ref="AU48">SUM(IF(ISERR(FIND("+",D48:AI48)),0,1))</f>
        <v>0</v>
      </c>
      <c r="AV48" s="59">
        <f t="shared" si="107"/>
        <v>2</v>
      </c>
      <c r="AW48" s="62">
        <f t="array" ref="AW48">SUM(IF(ISERR(FIND(AW$4,$D48:$AI48)),0,1))</f>
        <v>4</v>
      </c>
      <c r="AX48" s="62">
        <f t="array" ref="AX48">SUM(IF(ISERR(FIND(AX$4,$D48:$AI48)),0,1))</f>
        <v>9</v>
      </c>
      <c r="AY48" s="62">
        <f t="array" ref="AY48">SUM(IF(ISERR(FIND(AY$4,$D48:$AI48)),0,1))</f>
        <v>3</v>
      </c>
      <c r="AZ48" s="62">
        <f t="array" ref="AZ48">SUM(IF(ISERR(FIND(AZ$4,$D48:$AI48)),0,1))</f>
        <v>0</v>
      </c>
      <c r="BA48" s="62">
        <f t="array" ref="BA48">SUM(IF(ISERR(FIND(BA$4,$D48:$AI48)),0,1))</f>
        <v>3</v>
      </c>
      <c r="BB48" s="62">
        <f t="array" ref="BB48">SUM(IF(ISERR(FIND(BB$4,$D48:$AI48)),0,1))</f>
        <v>0</v>
      </c>
      <c r="BC48" s="62">
        <f t="array" ref="BC48">SUM(IF(ISERR(FIND(BC$4,$D48:$AI48)),0,1))</f>
        <v>0</v>
      </c>
      <c r="BD48" s="62">
        <f t="shared" si="108"/>
        <v>2</v>
      </c>
      <c r="BE48" s="62">
        <f t="shared" si="109"/>
        <v>0</v>
      </c>
      <c r="BF48" s="62">
        <f t="shared" si="110"/>
        <v>3</v>
      </c>
      <c r="BG48" s="62">
        <f t="shared" si="111"/>
        <v>49</v>
      </c>
      <c r="BH48" s="62">
        <f t="shared" si="112"/>
        <v>0</v>
      </c>
      <c r="BI48" s="62">
        <f t="shared" si="113"/>
        <v>0</v>
      </c>
      <c r="BJ48" s="62">
        <f t="shared" si="114"/>
        <v>0</v>
      </c>
      <c r="BK48" s="62">
        <f t="shared" si="115"/>
        <v>7</v>
      </c>
      <c r="BL48" s="59">
        <f t="shared" si="116"/>
        <v>2091024.9704799999</v>
      </c>
      <c r="BM48" s="59">
        <f t="shared" si="86"/>
        <v>12</v>
      </c>
      <c r="BN48" s="59">
        <v>39</v>
      </c>
      <c r="BO48" s="80">
        <f t="shared" si="117"/>
        <v>0.98488664987405539</v>
      </c>
      <c r="BP48" s="88">
        <f t="shared" si="118"/>
        <v>0.10526315789473684</v>
      </c>
      <c r="BQ48" s="151">
        <f t="shared" si="119"/>
        <v>3</v>
      </c>
      <c r="BR48" s="59" t="str">
        <f t="shared" si="120"/>
        <v>3</v>
      </c>
      <c r="BS48" s="59" t="str">
        <f t="shared" si="121"/>
        <v>Seymour C</v>
      </c>
      <c r="BT48" s="62">
        <f t="shared" si="122"/>
        <v>0</v>
      </c>
      <c r="BU48" s="59" t="str">
        <f t="shared" si="123"/>
        <v/>
      </c>
      <c r="BV48" s="62">
        <f t="shared" si="124"/>
        <v>49</v>
      </c>
      <c r="BW48" s="59" t="str">
        <f t="shared" si="125"/>
        <v>Seymour C</v>
      </c>
      <c r="BX48" s="62">
        <f t="shared" si="126"/>
        <v>7</v>
      </c>
      <c r="BY48" s="59" t="str">
        <f t="shared" si="127"/>
        <v>Seymour C</v>
      </c>
      <c r="BZ48" s="59">
        <f t="shared" si="62"/>
        <v>21</v>
      </c>
      <c r="CA48" s="59" t="str">
        <f t="shared" si="63"/>
        <v>Seymour C</v>
      </c>
      <c r="CB48" s="59">
        <f t="shared" si="64"/>
        <v>2</v>
      </c>
      <c r="CC48" s="59" t="str">
        <f t="shared" si="65"/>
        <v>Seymour C</v>
      </c>
    </row>
    <row r="49" spans="2:81" x14ac:dyDescent="0.15">
      <c r="B49" t="s">
        <v>256</v>
      </c>
      <c r="C49" t="s">
        <v>259</v>
      </c>
      <c r="D49" t="s">
        <v>372</v>
      </c>
      <c r="E49" t="s">
        <v>447</v>
      </c>
      <c r="F49"/>
      <c r="G49" t="s">
        <v>398</v>
      </c>
      <c r="H49"/>
      <c r="I49"/>
      <c r="J49"/>
      <c r="K49"/>
      <c r="L49"/>
      <c r="M49"/>
      <c r="N49" t="s">
        <v>525</v>
      </c>
      <c r="O49"/>
      <c r="P49"/>
      <c r="Q49" t="s">
        <v>575</v>
      </c>
      <c r="R49" t="s">
        <v>599</v>
      </c>
      <c r="S49"/>
      <c r="T49"/>
      <c r="U49"/>
      <c r="V49"/>
      <c r="W49"/>
      <c r="X49" t="s">
        <v>679</v>
      </c>
      <c r="Y49"/>
      <c r="Z49"/>
      <c r="AJ49" s="59" t="str">
        <f t="shared" si="31"/>
        <v>Seymour D</v>
      </c>
      <c r="AK49" s="59">
        <f t="shared" si="98"/>
        <v>7</v>
      </c>
      <c r="AL49" s="59">
        <f t="shared" si="99"/>
        <v>0</v>
      </c>
      <c r="AM49" s="59">
        <f t="shared" si="100"/>
        <v>7</v>
      </c>
      <c r="AN49" s="59">
        <f t="shared" si="101"/>
        <v>2</v>
      </c>
      <c r="AO49" s="59">
        <f t="shared" si="102"/>
        <v>-114</v>
      </c>
      <c r="AP49" s="63" t="str">
        <f t="shared" si="103"/>
        <v>114*</v>
      </c>
      <c r="AQ49" s="59">
        <f t="shared" si="104"/>
        <v>213</v>
      </c>
      <c r="AR49" s="61">
        <f t="shared" si="105"/>
        <v>42.6</v>
      </c>
      <c r="AS49" s="59">
        <f t="shared" si="106"/>
        <v>15</v>
      </c>
      <c r="AT49" s="62">
        <f t="array" ref="AT49">SUM(IF(ISERR(FIND("*",D49:AI49)),0,1))</f>
        <v>0</v>
      </c>
      <c r="AU49" s="62">
        <f t="array" ref="AU49">SUM(IF(ISERR(FIND("+",D49:AI49)),0,1))</f>
        <v>4</v>
      </c>
      <c r="AV49" s="59">
        <f t="shared" si="107"/>
        <v>0</v>
      </c>
      <c r="AW49" s="62">
        <f t="array" ref="AW49">SUM(IF(ISERR(FIND(AW$4,$D49:$AI49)),0,1))</f>
        <v>3</v>
      </c>
      <c r="AX49" s="62">
        <f t="array" ref="AX49">SUM(IF(ISERR(FIND(AX$4,$D49:$AI49)),0,1))</f>
        <v>1</v>
      </c>
      <c r="AY49" s="62">
        <f t="array" ref="AY49">SUM(IF(ISERR(FIND(AY$4,$D49:$AI49)),0,1))</f>
        <v>1</v>
      </c>
      <c r="AZ49" s="62">
        <f t="array" ref="AZ49">SUM(IF(ISERR(FIND(AZ$4,$D49:$AI49)),0,1))</f>
        <v>0</v>
      </c>
      <c r="BA49" s="62">
        <f t="array" ref="BA49">SUM(IF(ISERR(FIND(BA$4,$D49:$AI49)),0,1))</f>
        <v>0</v>
      </c>
      <c r="BB49" s="62">
        <f t="array" ref="BB49">SUM(IF(ISERR(FIND(BB$4,$D49:$AI49)),0,1))</f>
        <v>0</v>
      </c>
      <c r="BC49" s="62">
        <f t="array" ref="BC49">SUM(IF(ISERR(FIND(BC$4,$D49:$AI49)),0,1))</f>
        <v>0</v>
      </c>
      <c r="BD49" s="62">
        <f t="shared" si="108"/>
        <v>1</v>
      </c>
      <c r="BE49" s="62">
        <f t="shared" si="109"/>
        <v>1</v>
      </c>
      <c r="BF49" s="62">
        <f t="shared" si="110"/>
        <v>6</v>
      </c>
      <c r="BG49" s="62">
        <f t="shared" si="111"/>
        <v>25</v>
      </c>
      <c r="BH49" s="62">
        <f t="shared" si="112"/>
        <v>1</v>
      </c>
      <c r="BI49" s="62">
        <f t="shared" si="113"/>
        <v>2</v>
      </c>
      <c r="BJ49" s="62">
        <f t="shared" si="114"/>
        <v>3</v>
      </c>
      <c r="BK49" s="62">
        <f t="shared" si="115"/>
        <v>3</v>
      </c>
      <c r="BL49" s="59">
        <f t="shared" si="116"/>
        <v>4260709.1304899994</v>
      </c>
      <c r="BM49" s="59">
        <f t="shared" si="86"/>
        <v>4</v>
      </c>
      <c r="BN49" s="59">
        <v>40</v>
      </c>
      <c r="BO49" s="80">
        <f t="shared" si="117"/>
        <v>1.4366197183098592</v>
      </c>
      <c r="BP49" s="88">
        <f t="shared" si="118"/>
        <v>0</v>
      </c>
      <c r="BQ49" s="151">
        <f t="shared" si="119"/>
        <v>6</v>
      </c>
      <c r="BR49" s="59" t="str">
        <f t="shared" si="120"/>
        <v>6 (3)</v>
      </c>
      <c r="BS49" s="59" t="str">
        <f t="shared" si="121"/>
        <v>Seymour D</v>
      </c>
      <c r="BT49" s="62">
        <f t="shared" si="122"/>
        <v>1</v>
      </c>
      <c r="BU49" s="59" t="str">
        <f t="shared" si="123"/>
        <v>Seymour D</v>
      </c>
      <c r="BV49" s="62">
        <f t="shared" si="124"/>
        <v>25</v>
      </c>
      <c r="BW49" s="59" t="str">
        <f t="shared" si="125"/>
        <v>Seymour D</v>
      </c>
      <c r="BX49" s="62">
        <f t="shared" si="126"/>
        <v>3</v>
      </c>
      <c r="BY49" s="59" t="str">
        <f t="shared" si="127"/>
        <v>Seymour D</v>
      </c>
      <c r="BZ49" s="59">
        <f t="shared" si="62"/>
        <v>7</v>
      </c>
      <c r="CA49" s="59" t="str">
        <f t="shared" si="63"/>
        <v>Seymour D</v>
      </c>
      <c r="CB49" s="59">
        <f t="shared" si="64"/>
        <v>0</v>
      </c>
      <c r="CC49" s="59" t="str">
        <f t="shared" si="65"/>
        <v>Seymour D</v>
      </c>
    </row>
    <row r="50" spans="2:81" x14ac:dyDescent="0.15">
      <c r="B50" s="59" t="s">
        <v>24</v>
      </c>
      <c r="C50" s="59" t="s">
        <v>136</v>
      </c>
      <c r="D50"/>
      <c r="E50" t="s">
        <v>401</v>
      </c>
      <c r="F50"/>
      <c r="G50"/>
      <c r="H50"/>
      <c r="I50" t="s">
        <v>449</v>
      </c>
      <c r="J50"/>
      <c r="K50" t="s">
        <v>476</v>
      </c>
      <c r="L50" t="s">
        <v>487</v>
      </c>
      <c r="M50" t="s">
        <v>503</v>
      </c>
      <c r="N50" t="s">
        <v>524</v>
      </c>
      <c r="O50" t="s">
        <v>540</v>
      </c>
      <c r="P50"/>
      <c r="Q50"/>
      <c r="R50" t="s">
        <v>597</v>
      </c>
      <c r="S50" t="s">
        <v>612</v>
      </c>
      <c r="T50" t="s">
        <v>631</v>
      </c>
      <c r="U50"/>
      <c r="V50"/>
      <c r="W50"/>
      <c r="X50"/>
      <c r="Y50"/>
      <c r="Z50"/>
      <c r="AJ50" s="59" t="str">
        <f t="shared" si="31"/>
        <v>Sharpe D</v>
      </c>
      <c r="AK50" s="59">
        <f t="shared" si="98"/>
        <v>10</v>
      </c>
      <c r="AL50" s="59">
        <f t="shared" si="99"/>
        <v>0</v>
      </c>
      <c r="AM50" s="59">
        <f t="shared" si="100"/>
        <v>10</v>
      </c>
      <c r="AN50" s="59">
        <f t="shared" si="101"/>
        <v>1</v>
      </c>
      <c r="AO50" s="59">
        <f t="shared" si="102"/>
        <v>86</v>
      </c>
      <c r="AP50" s="63">
        <f t="shared" si="103"/>
        <v>86</v>
      </c>
      <c r="AQ50" s="59">
        <f t="shared" si="104"/>
        <v>309</v>
      </c>
      <c r="AR50" s="61">
        <f t="shared" si="105"/>
        <v>34.333333333333336</v>
      </c>
      <c r="AS50" s="59">
        <f t="shared" si="106"/>
        <v>5</v>
      </c>
      <c r="AT50" s="62">
        <f t="array" ref="AT50">SUM(IF(ISERR(FIND("*",D50:AI50)),0,1))</f>
        <v>0</v>
      </c>
      <c r="AU50" s="62">
        <f t="array" ref="AU50">SUM(IF(ISERR(FIND("+",D50:AI50)),0,1))</f>
        <v>7</v>
      </c>
      <c r="AV50" s="59">
        <f t="shared" si="107"/>
        <v>1</v>
      </c>
      <c r="AW50" s="62">
        <f t="array" ref="AW50">SUM(IF(ISERR(FIND(AW$4,$D50:$AI50)),0,1))</f>
        <v>4</v>
      </c>
      <c r="AX50" s="62">
        <f t="array" ref="AX50">SUM(IF(ISERR(FIND(AX$4,$D50:$AI50)),0,1))</f>
        <v>3</v>
      </c>
      <c r="AY50" s="62">
        <f t="array" ref="AY50">SUM(IF(ISERR(FIND(AY$4,$D50:$AI50)),0,1))</f>
        <v>1</v>
      </c>
      <c r="AZ50" s="62">
        <f t="array" ref="AZ50">SUM(IF(ISERR(FIND(AZ$4,$D50:$AI50)),0,1))</f>
        <v>0</v>
      </c>
      <c r="BA50" s="62">
        <f t="array" ref="BA50">SUM(IF(ISERR(FIND(BA$4,$D50:$AI50)),0,1))</f>
        <v>1</v>
      </c>
      <c r="BB50" s="62">
        <f t="array" ref="BB50">SUM(IF(ISERR(FIND(BB$4,$D50:$AI50)),0,1))</f>
        <v>0</v>
      </c>
      <c r="BC50" s="62">
        <f t="array" ref="BC50">SUM(IF(ISERR(FIND(BC$4,$D50:$AI50)),0,1))</f>
        <v>0</v>
      </c>
      <c r="BD50" s="62">
        <f t="shared" si="108"/>
        <v>2</v>
      </c>
      <c r="BE50" s="62">
        <f t="shared" si="109"/>
        <v>0</v>
      </c>
      <c r="BF50" s="62">
        <f t="shared" si="110"/>
        <v>4</v>
      </c>
      <c r="BG50" s="62">
        <f t="shared" si="111"/>
        <v>50</v>
      </c>
      <c r="BH50" s="62">
        <f t="shared" si="112"/>
        <v>3</v>
      </c>
      <c r="BI50" s="62">
        <f t="shared" si="113"/>
        <v>0</v>
      </c>
      <c r="BJ50" s="62">
        <f t="shared" si="114"/>
        <v>3</v>
      </c>
      <c r="BK50" s="62">
        <f t="shared" si="115"/>
        <v>6</v>
      </c>
      <c r="BL50" s="59">
        <f t="shared" si="116"/>
        <v>3434013.0904999999</v>
      </c>
      <c r="BM50" s="59">
        <f t="shared" si="86"/>
        <v>6</v>
      </c>
      <c r="BN50" s="59">
        <v>41</v>
      </c>
      <c r="BO50" s="80">
        <f t="shared" si="117"/>
        <v>1.3689320388349515</v>
      </c>
      <c r="BP50" s="88">
        <f t="shared" si="118"/>
        <v>0.1111111111111111</v>
      </c>
      <c r="BQ50" s="151">
        <f t="shared" si="119"/>
        <v>4</v>
      </c>
      <c r="BR50" s="59" t="str">
        <f t="shared" si="120"/>
        <v>4 (3)</v>
      </c>
      <c r="BS50" s="59" t="str">
        <f t="shared" si="121"/>
        <v>Sharpe D</v>
      </c>
      <c r="BT50" s="62">
        <f t="shared" si="122"/>
        <v>3</v>
      </c>
      <c r="BU50" s="59" t="str">
        <f t="shared" si="123"/>
        <v>Sharpe D</v>
      </c>
      <c r="BV50" s="62">
        <f t="shared" si="124"/>
        <v>50</v>
      </c>
      <c r="BW50" s="59" t="str">
        <f t="shared" si="125"/>
        <v>Sharpe D</v>
      </c>
      <c r="BX50" s="62">
        <f t="shared" si="126"/>
        <v>6</v>
      </c>
      <c r="BY50" s="59" t="str">
        <f t="shared" si="127"/>
        <v>Sharpe D</v>
      </c>
      <c r="BZ50" s="59">
        <f t="shared" si="62"/>
        <v>10</v>
      </c>
      <c r="CA50" s="59" t="str">
        <f t="shared" si="63"/>
        <v>Sharpe D</v>
      </c>
      <c r="CB50" s="59">
        <f t="shared" si="64"/>
        <v>1</v>
      </c>
      <c r="CC50" s="59" t="str">
        <f t="shared" si="65"/>
        <v>Sharpe D</v>
      </c>
    </row>
    <row r="51" spans="2:81" x14ac:dyDescent="0.15">
      <c r="B51" t="s">
        <v>271</v>
      </c>
      <c r="C51" t="s">
        <v>272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J51" s="59" t="str">
        <f t="shared" si="31"/>
        <v>Sharpe H</v>
      </c>
      <c r="AK51" s="59">
        <f t="shared" si="98"/>
        <v>0</v>
      </c>
      <c r="AL51" s="59">
        <f t="shared" si="99"/>
        <v>0</v>
      </c>
      <c r="AM51" s="59">
        <f t="shared" si="100"/>
        <v>0</v>
      </c>
      <c r="AN51" s="59">
        <f t="shared" si="101"/>
        <v>0</v>
      </c>
      <c r="AO51" s="59">
        <f t="shared" si="102"/>
        <v>0</v>
      </c>
      <c r="AP51" s="63">
        <f t="shared" si="103"/>
        <v>0</v>
      </c>
      <c r="AQ51" s="59">
        <f t="shared" si="104"/>
        <v>0</v>
      </c>
      <c r="AR51" s="61">
        <f t="shared" si="105"/>
        <v>0</v>
      </c>
      <c r="AS51" s="59">
        <f t="shared" si="106"/>
        <v>0</v>
      </c>
      <c r="AT51" s="62">
        <f t="array" ref="AT51">SUM(IF(ISERR(FIND("*",D51:AI51)),0,1))</f>
        <v>0</v>
      </c>
      <c r="AU51" s="62">
        <f t="array" ref="AU51">SUM(IF(ISERR(FIND("+",D51:AI51)),0,1))</f>
        <v>0</v>
      </c>
      <c r="AV51" s="59">
        <f t="shared" si="107"/>
        <v>0</v>
      </c>
      <c r="AW51" s="62">
        <f t="array" ref="AW51">SUM(IF(ISERR(FIND(AW$4,$D51:$AI51)),0,1))</f>
        <v>0</v>
      </c>
      <c r="AX51" s="62">
        <f t="array" ref="AX51">SUM(IF(ISERR(FIND(AX$4,$D51:$AI51)),0,1))</f>
        <v>0</v>
      </c>
      <c r="AY51" s="62">
        <f t="array" ref="AY51">SUM(IF(ISERR(FIND(AY$4,$D51:$AI51)),0,1))</f>
        <v>0</v>
      </c>
      <c r="AZ51" s="62">
        <f t="array" ref="AZ51">SUM(IF(ISERR(FIND(AZ$4,$D51:$AI51)),0,1))</f>
        <v>0</v>
      </c>
      <c r="BA51" s="62">
        <f t="array" ref="BA51">SUM(IF(ISERR(FIND(BA$4,$D51:$AI51)),0,1))</f>
        <v>0</v>
      </c>
      <c r="BB51" s="62">
        <f t="array" ref="BB51">SUM(IF(ISERR(FIND(BB$4,$D51:$AI51)),0,1))</f>
        <v>0</v>
      </c>
      <c r="BC51" s="62">
        <f t="array" ref="BC51">SUM(IF(ISERR(FIND(BC$4,$D51:$AI51)),0,1))</f>
        <v>0</v>
      </c>
      <c r="BD51" s="62">
        <f t="shared" si="108"/>
        <v>0</v>
      </c>
      <c r="BE51" s="62">
        <f t="shared" si="109"/>
        <v>0</v>
      </c>
      <c r="BF51" s="62">
        <f t="shared" si="110"/>
        <v>0</v>
      </c>
      <c r="BG51" s="62">
        <f t="shared" si="111"/>
        <v>0</v>
      </c>
      <c r="BH51" s="62">
        <f t="shared" si="112"/>
        <v>0</v>
      </c>
      <c r="BI51" s="62">
        <f t="shared" si="113"/>
        <v>0</v>
      </c>
      <c r="BJ51" s="62">
        <f t="shared" si="114"/>
        <v>0</v>
      </c>
      <c r="BK51" s="62">
        <f t="shared" si="115"/>
        <v>0</v>
      </c>
      <c r="BL51" s="59">
        <f t="shared" si="116"/>
        <v>5.1000000000000004E-4</v>
      </c>
      <c r="BM51" s="59">
        <f t="shared" si="86"/>
        <v>46</v>
      </c>
      <c r="BN51" s="59">
        <v>42</v>
      </c>
      <c r="BO51" s="80" t="str">
        <f t="shared" si="117"/>
        <v/>
      </c>
      <c r="BP51" s="88" t="e">
        <f t="shared" si="118"/>
        <v>#DIV/0!</v>
      </c>
      <c r="BQ51" s="151">
        <f t="shared" si="119"/>
        <v>0</v>
      </c>
      <c r="BR51" s="59" t="str">
        <f t="shared" si="120"/>
        <v/>
      </c>
      <c r="BS51" s="59" t="str">
        <f t="shared" si="121"/>
        <v/>
      </c>
      <c r="BT51" s="62">
        <f t="shared" si="122"/>
        <v>0</v>
      </c>
      <c r="BU51" s="59" t="str">
        <f t="shared" si="123"/>
        <v/>
      </c>
      <c r="BV51" s="62">
        <f t="shared" si="124"/>
        <v>0</v>
      </c>
      <c r="BW51" s="59" t="str">
        <f t="shared" si="125"/>
        <v/>
      </c>
      <c r="BX51" s="62">
        <f t="shared" si="126"/>
        <v>0</v>
      </c>
      <c r="BY51" s="59" t="str">
        <f t="shared" si="127"/>
        <v/>
      </c>
      <c r="BZ51" s="59">
        <f t="shared" si="62"/>
        <v>0</v>
      </c>
      <c r="CA51" s="59" t="str">
        <f t="shared" si="63"/>
        <v>Sharpe H</v>
      </c>
      <c r="CB51" s="59">
        <f t="shared" si="64"/>
        <v>0</v>
      </c>
      <c r="CC51" s="59" t="str">
        <f t="shared" si="65"/>
        <v>Sharpe H</v>
      </c>
    </row>
    <row r="52" spans="2:81" x14ac:dyDescent="0.15">
      <c r="B52" t="s">
        <v>260</v>
      </c>
      <c r="C52" t="s">
        <v>244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J52" s="59" t="str">
        <f t="shared" si="31"/>
        <v>Shome G</v>
      </c>
      <c r="AK52" s="59">
        <f t="shared" si="98"/>
        <v>0</v>
      </c>
      <c r="AL52" s="59">
        <f t="shared" si="99"/>
        <v>0</v>
      </c>
      <c r="AM52" s="59">
        <f t="shared" si="100"/>
        <v>0</v>
      </c>
      <c r="AN52" s="59">
        <f t="shared" si="101"/>
        <v>0</v>
      </c>
      <c r="AO52" s="59">
        <f t="shared" si="102"/>
        <v>0</v>
      </c>
      <c r="AP52" s="63">
        <f t="shared" si="103"/>
        <v>0</v>
      </c>
      <c r="AQ52" s="59">
        <f t="shared" si="104"/>
        <v>0</v>
      </c>
      <c r="AR52" s="61">
        <f t="shared" si="105"/>
        <v>0</v>
      </c>
      <c r="AS52" s="59">
        <f t="shared" si="106"/>
        <v>0</v>
      </c>
      <c r="AT52" s="62">
        <f t="array" ref="AT52">SUM(IF(ISERR(FIND("*",D52:AI52)),0,1))</f>
        <v>0</v>
      </c>
      <c r="AU52" s="62">
        <f t="array" ref="AU52">SUM(IF(ISERR(FIND("+",D52:AI52)),0,1))</f>
        <v>0</v>
      </c>
      <c r="AV52" s="59">
        <f t="shared" si="107"/>
        <v>0</v>
      </c>
      <c r="AW52" s="62">
        <f t="array" ref="AW52">SUM(IF(ISERR(FIND(AW$4,$D52:$AI52)),0,1))</f>
        <v>0</v>
      </c>
      <c r="AX52" s="62">
        <f t="array" ref="AX52">SUM(IF(ISERR(FIND(AX$4,$D52:$AI52)),0,1))</f>
        <v>0</v>
      </c>
      <c r="AY52" s="62">
        <f t="array" ref="AY52">SUM(IF(ISERR(FIND(AY$4,$D52:$AI52)),0,1))</f>
        <v>0</v>
      </c>
      <c r="AZ52" s="62">
        <f t="array" ref="AZ52">SUM(IF(ISERR(FIND(AZ$4,$D52:$AI52)),0,1))</f>
        <v>0</v>
      </c>
      <c r="BA52" s="62">
        <f t="array" ref="BA52">SUM(IF(ISERR(FIND(BA$4,$D52:$AI52)),0,1))</f>
        <v>0</v>
      </c>
      <c r="BB52" s="62">
        <f t="array" ref="BB52">SUM(IF(ISERR(FIND(BB$4,$D52:$AI52)),0,1))</f>
        <v>0</v>
      </c>
      <c r="BC52" s="62">
        <f t="array" ref="BC52">SUM(IF(ISERR(FIND(BC$4,$D52:$AI52)),0,1))</f>
        <v>0</v>
      </c>
      <c r="BD52" s="62">
        <f t="shared" si="108"/>
        <v>0</v>
      </c>
      <c r="BE52" s="62">
        <f t="shared" si="109"/>
        <v>0</v>
      </c>
      <c r="BF52" s="62">
        <f t="shared" si="110"/>
        <v>0</v>
      </c>
      <c r="BG52" s="62">
        <f t="shared" si="111"/>
        <v>0</v>
      </c>
      <c r="BH52" s="62">
        <f t="shared" si="112"/>
        <v>0</v>
      </c>
      <c r="BI52" s="62">
        <f t="shared" si="113"/>
        <v>0</v>
      </c>
      <c r="BJ52" s="62">
        <f t="shared" si="114"/>
        <v>0</v>
      </c>
      <c r="BK52" s="62">
        <f t="shared" si="115"/>
        <v>0</v>
      </c>
      <c r="BL52" s="59">
        <f t="shared" si="116"/>
        <v>5.1999999999999995E-4</v>
      </c>
      <c r="BM52" s="59">
        <f t="shared" si="86"/>
        <v>45</v>
      </c>
      <c r="BN52" s="59">
        <v>43</v>
      </c>
      <c r="BO52" s="80" t="str">
        <f t="shared" si="117"/>
        <v/>
      </c>
      <c r="BP52" s="88" t="e">
        <f t="shared" si="118"/>
        <v>#DIV/0!</v>
      </c>
      <c r="BQ52" s="151">
        <f t="shared" si="119"/>
        <v>0</v>
      </c>
      <c r="BR52" s="59" t="str">
        <f t="shared" si="120"/>
        <v/>
      </c>
      <c r="BS52" s="59" t="str">
        <f t="shared" si="121"/>
        <v/>
      </c>
      <c r="BT52" s="62">
        <f t="shared" si="122"/>
        <v>0</v>
      </c>
      <c r="BU52" s="59" t="str">
        <f t="shared" si="123"/>
        <v/>
      </c>
      <c r="BV52" s="62">
        <f t="shared" si="124"/>
        <v>0</v>
      </c>
      <c r="BW52" s="59" t="str">
        <f t="shared" si="125"/>
        <v/>
      </c>
      <c r="BX52" s="62">
        <f t="shared" si="126"/>
        <v>0</v>
      </c>
      <c r="BY52" s="59" t="str">
        <f t="shared" si="127"/>
        <v/>
      </c>
      <c r="BZ52" s="59">
        <f t="shared" si="62"/>
        <v>0</v>
      </c>
      <c r="CA52" s="59" t="str">
        <f t="shared" si="63"/>
        <v>Shome G</v>
      </c>
      <c r="CB52" s="59">
        <f t="shared" si="64"/>
        <v>0</v>
      </c>
      <c r="CC52" s="59" t="str">
        <f t="shared" si="65"/>
        <v>Shome G</v>
      </c>
    </row>
    <row r="53" spans="2:81" x14ac:dyDescent="0.15">
      <c r="B53" s="59" t="s">
        <v>26</v>
      </c>
      <c r="C53" s="59" t="s">
        <v>189</v>
      </c>
      <c r="D53"/>
      <c r="E53"/>
      <c r="F53"/>
      <c r="G53"/>
      <c r="H53"/>
      <c r="I53"/>
      <c r="J53"/>
      <c r="K53"/>
      <c r="L53" t="s">
        <v>312</v>
      </c>
      <c r="M53"/>
      <c r="N53" t="s">
        <v>310</v>
      </c>
      <c r="O53"/>
      <c r="P53"/>
      <c r="Q53"/>
      <c r="R53"/>
      <c r="S53"/>
      <c r="T53"/>
      <c r="U53"/>
      <c r="V53"/>
      <c r="W53"/>
      <c r="X53"/>
      <c r="Y53"/>
      <c r="Z53"/>
      <c r="AJ53" s="59" t="str">
        <f t="shared" si="31"/>
        <v>Smith C</v>
      </c>
      <c r="AK53" s="59">
        <f t="shared" si="98"/>
        <v>2</v>
      </c>
      <c r="AL53" s="59">
        <f t="shared" si="99"/>
        <v>2</v>
      </c>
      <c r="AM53" s="59">
        <f t="shared" si="100"/>
        <v>0</v>
      </c>
      <c r="AN53" s="59">
        <f t="shared" si="101"/>
        <v>0</v>
      </c>
      <c r="AO53" s="59">
        <f t="shared" si="102"/>
        <v>0</v>
      </c>
      <c r="AP53" s="63">
        <f t="shared" si="103"/>
        <v>0</v>
      </c>
      <c r="AQ53" s="59">
        <f t="shared" si="104"/>
        <v>0</v>
      </c>
      <c r="AR53" s="61">
        <f t="shared" si="105"/>
        <v>0</v>
      </c>
      <c r="AS53" s="59">
        <f t="shared" si="106"/>
        <v>0</v>
      </c>
      <c r="AT53" s="62">
        <f t="array" ref="AT53">SUM(IF(ISERR(FIND("*",D53:AI53)),0,1))</f>
        <v>0</v>
      </c>
      <c r="AU53" s="62">
        <f t="array" ref="AU53">SUM(IF(ISERR(FIND("+",D53:AI53)),0,1))</f>
        <v>0</v>
      </c>
      <c r="AV53" s="59">
        <f t="shared" si="107"/>
        <v>0</v>
      </c>
      <c r="AW53" s="62">
        <f t="array" ref="AW53">SUM(IF(ISERR(FIND(AW$4,$D53:$AI53)),0,1))</f>
        <v>0</v>
      </c>
      <c r="AX53" s="62">
        <f t="array" ref="AX53">SUM(IF(ISERR(FIND(AX$4,$D53:$AI53)),0,1))</f>
        <v>0</v>
      </c>
      <c r="AY53" s="62">
        <f t="array" ref="AY53">SUM(IF(ISERR(FIND(AY$4,$D53:$AI53)),0,1))</f>
        <v>0</v>
      </c>
      <c r="AZ53" s="62">
        <f t="array" ref="AZ53">SUM(IF(ISERR(FIND(AZ$4,$D53:$AI53)),0,1))</f>
        <v>0</v>
      </c>
      <c r="BA53" s="62">
        <f t="array" ref="BA53">SUM(IF(ISERR(FIND(BA$4,$D53:$AI53)),0,1))</f>
        <v>0</v>
      </c>
      <c r="BB53" s="62">
        <f t="array" ref="BB53">SUM(IF(ISERR(FIND(BB$4,$D53:$AI53)),0,1))</f>
        <v>0</v>
      </c>
      <c r="BC53" s="62">
        <f t="array" ref="BC53">SUM(IF(ISERR(FIND(BC$4,$D53:$AI53)),0,1))</f>
        <v>0</v>
      </c>
      <c r="BD53" s="62">
        <f t="shared" si="108"/>
        <v>0</v>
      </c>
      <c r="BE53" s="62">
        <f t="shared" si="109"/>
        <v>0</v>
      </c>
      <c r="BF53" s="62">
        <f t="shared" si="110"/>
        <v>0</v>
      </c>
      <c r="BG53" s="62">
        <f t="shared" si="111"/>
        <v>0</v>
      </c>
      <c r="BH53" s="62">
        <f t="shared" si="112"/>
        <v>0</v>
      </c>
      <c r="BI53" s="62">
        <f t="shared" si="113"/>
        <v>0</v>
      </c>
      <c r="BJ53" s="62">
        <f t="shared" si="114"/>
        <v>0</v>
      </c>
      <c r="BK53" s="62">
        <f t="shared" si="115"/>
        <v>0</v>
      </c>
      <c r="BL53" s="59">
        <f t="shared" si="116"/>
        <v>2.0005299999999999</v>
      </c>
      <c r="BM53" s="59">
        <f t="shared" si="86"/>
        <v>37</v>
      </c>
      <c r="BN53" s="59">
        <v>44</v>
      </c>
      <c r="BO53" s="80" t="str">
        <f t="shared" si="117"/>
        <v/>
      </c>
      <c r="BP53" s="88" t="e">
        <f t="shared" si="118"/>
        <v>#DIV/0!</v>
      </c>
      <c r="BQ53" s="151">
        <f t="shared" si="119"/>
        <v>0</v>
      </c>
      <c r="BR53" s="59" t="str">
        <f t="shared" si="120"/>
        <v/>
      </c>
      <c r="BS53" s="59" t="str">
        <f t="shared" si="121"/>
        <v/>
      </c>
      <c r="BT53" s="62">
        <f t="shared" si="122"/>
        <v>0</v>
      </c>
      <c r="BU53" s="59" t="str">
        <f t="shared" si="123"/>
        <v/>
      </c>
      <c r="BV53" s="62">
        <f t="shared" si="124"/>
        <v>0</v>
      </c>
      <c r="BW53" s="59" t="str">
        <f t="shared" si="125"/>
        <v/>
      </c>
      <c r="BX53" s="62">
        <f t="shared" si="126"/>
        <v>0</v>
      </c>
      <c r="BY53" s="59" t="str">
        <f t="shared" si="127"/>
        <v/>
      </c>
      <c r="BZ53" s="59">
        <f t="shared" si="62"/>
        <v>2</v>
      </c>
      <c r="CA53" s="59" t="str">
        <f t="shared" si="63"/>
        <v>Smith C</v>
      </c>
      <c r="CB53" s="59">
        <f t="shared" si="64"/>
        <v>0</v>
      </c>
      <c r="CC53" s="59" t="str">
        <f t="shared" si="65"/>
        <v>Smith C</v>
      </c>
    </row>
    <row r="54" spans="2:81" x14ac:dyDescent="0.15">
      <c r="B54" t="s">
        <v>221</v>
      </c>
      <c r="C54" t="s">
        <v>222</v>
      </c>
      <c r="D54" t="s">
        <v>381</v>
      </c>
      <c r="E54" t="s">
        <v>399</v>
      </c>
      <c r="F54" t="s">
        <v>414</v>
      </c>
      <c r="G54" t="s">
        <v>386</v>
      </c>
      <c r="H54" t="s">
        <v>424</v>
      </c>
      <c r="I54"/>
      <c r="J54" t="s">
        <v>460</v>
      </c>
      <c r="K54" t="s">
        <v>328</v>
      </c>
      <c r="L54" t="s">
        <v>489</v>
      </c>
      <c r="M54" t="s">
        <v>502</v>
      </c>
      <c r="N54" t="s">
        <v>526</v>
      </c>
      <c r="O54" t="s">
        <v>541</v>
      </c>
      <c r="P54"/>
      <c r="Q54" t="s">
        <v>576</v>
      </c>
      <c r="R54" t="s">
        <v>600</v>
      </c>
      <c r="S54"/>
      <c r="T54"/>
      <c r="U54" t="s">
        <v>650</v>
      </c>
      <c r="V54" t="s">
        <v>656</v>
      </c>
      <c r="W54" t="s">
        <v>664</v>
      </c>
      <c r="X54" t="s">
        <v>681</v>
      </c>
      <c r="Y54"/>
      <c r="Z54"/>
      <c r="AJ54" s="59" t="str">
        <f t="shared" si="31"/>
        <v>Springer T</v>
      </c>
      <c r="AK54" s="59">
        <f t="shared" si="98"/>
        <v>17</v>
      </c>
      <c r="AL54" s="59">
        <f t="shared" si="99"/>
        <v>0</v>
      </c>
      <c r="AM54" s="59">
        <f t="shared" si="100"/>
        <v>17</v>
      </c>
      <c r="AN54" s="59">
        <f t="shared" si="101"/>
        <v>2</v>
      </c>
      <c r="AO54" s="59">
        <f t="shared" si="102"/>
        <v>64</v>
      </c>
      <c r="AP54" s="63">
        <f t="shared" si="103"/>
        <v>64</v>
      </c>
      <c r="AQ54" s="59">
        <f t="shared" si="104"/>
        <v>304</v>
      </c>
      <c r="AR54" s="61">
        <f t="shared" si="105"/>
        <v>20.266666666666666</v>
      </c>
      <c r="AS54" s="59">
        <f t="shared" si="106"/>
        <v>15</v>
      </c>
      <c r="AT54" s="62">
        <f t="array" ref="AT54">SUM(IF(ISERR(FIND("*",D54:AI54)),0,1))</f>
        <v>15</v>
      </c>
      <c r="AU54" s="62">
        <f t="array" ref="AU54">SUM(IF(ISERR(FIND("+",D54:AI54)),0,1))</f>
        <v>2</v>
      </c>
      <c r="AV54" s="59">
        <f t="shared" si="107"/>
        <v>3</v>
      </c>
      <c r="AW54" s="62">
        <f t="array" ref="AW54">SUM(IF(ISERR(FIND(AW$4,$D54:$AI54)),0,1))</f>
        <v>9</v>
      </c>
      <c r="AX54" s="62">
        <f t="array" ref="AX54">SUM(IF(ISERR(FIND(AX$4,$D54:$AI54)),0,1))</f>
        <v>6</v>
      </c>
      <c r="AY54" s="62">
        <f t="array" ref="AY54">SUM(IF(ISERR(FIND(AY$4,$D54:$AI54)),0,1))</f>
        <v>0</v>
      </c>
      <c r="AZ54" s="62">
        <f t="array" ref="AZ54">SUM(IF(ISERR(FIND(AZ$4,$D54:$AI54)),0,1))</f>
        <v>0</v>
      </c>
      <c r="BA54" s="62">
        <f t="array" ref="BA54">SUM(IF(ISERR(FIND(BA$4,$D54:$AI54)),0,1))</f>
        <v>0</v>
      </c>
      <c r="BB54" s="62">
        <f t="array" ref="BB54">SUM(IF(ISERR(FIND(BB$4,$D54:$AI54)),0,1))</f>
        <v>0</v>
      </c>
      <c r="BC54" s="62">
        <f t="array" ref="BC54">SUM(IF(ISERR(FIND(BC$4,$D54:$AI54)),0,1))</f>
        <v>0</v>
      </c>
      <c r="BD54" s="62">
        <f t="shared" si="108"/>
        <v>1</v>
      </c>
      <c r="BE54" s="62">
        <f t="shared" si="109"/>
        <v>0</v>
      </c>
      <c r="BF54" s="62">
        <f t="shared" si="110"/>
        <v>3</v>
      </c>
      <c r="BG54" s="62">
        <f t="shared" si="111"/>
        <v>54</v>
      </c>
      <c r="BH54" s="62">
        <f t="shared" si="112"/>
        <v>0</v>
      </c>
      <c r="BI54" s="62">
        <f t="shared" si="113"/>
        <v>1</v>
      </c>
      <c r="BJ54" s="62">
        <f t="shared" si="114"/>
        <v>0</v>
      </c>
      <c r="BK54" s="62">
        <f t="shared" si="115"/>
        <v>7</v>
      </c>
      <c r="BL54" s="59">
        <f t="shared" si="116"/>
        <v>2028720.04054</v>
      </c>
      <c r="BM54" s="59">
        <f t="shared" si="86"/>
        <v>13</v>
      </c>
      <c r="BN54" s="59">
        <v>45</v>
      </c>
      <c r="BO54" s="80">
        <f t="shared" si="117"/>
        <v>1.450657894736842</v>
      </c>
      <c r="BP54" s="88">
        <f t="shared" si="118"/>
        <v>0.2</v>
      </c>
      <c r="BQ54" s="151">
        <f t="shared" si="119"/>
        <v>3</v>
      </c>
      <c r="BR54" s="59" t="str">
        <f t="shared" si="120"/>
        <v>3</v>
      </c>
      <c r="BS54" s="59" t="str">
        <f t="shared" si="121"/>
        <v>Springer T</v>
      </c>
      <c r="BT54" s="62">
        <f t="shared" si="122"/>
        <v>0</v>
      </c>
      <c r="BU54" s="59" t="str">
        <f t="shared" si="123"/>
        <v/>
      </c>
      <c r="BV54" s="62">
        <f t="shared" si="124"/>
        <v>54</v>
      </c>
      <c r="BW54" s="59" t="str">
        <f t="shared" si="125"/>
        <v>Springer T</v>
      </c>
      <c r="BX54" s="62">
        <f t="shared" si="126"/>
        <v>7</v>
      </c>
      <c r="BY54" s="59" t="str">
        <f t="shared" si="127"/>
        <v>Springer T</v>
      </c>
      <c r="BZ54" s="59">
        <f t="shared" si="62"/>
        <v>17</v>
      </c>
      <c r="CA54" s="59" t="str">
        <f t="shared" si="63"/>
        <v>Springer T</v>
      </c>
      <c r="CB54" s="59">
        <f t="shared" si="64"/>
        <v>3</v>
      </c>
      <c r="CC54" s="59" t="str">
        <f t="shared" si="65"/>
        <v>Springer T</v>
      </c>
    </row>
    <row r="55" spans="2:81" x14ac:dyDescent="0.15">
      <c r="B55" t="s">
        <v>304</v>
      </c>
      <c r="C55" t="s">
        <v>307</v>
      </c>
      <c r="D55"/>
      <c r="E55"/>
      <c r="F55"/>
      <c r="G55"/>
      <c r="H55"/>
      <c r="I55"/>
      <c r="J55"/>
      <c r="K55"/>
      <c r="L55" t="s">
        <v>498</v>
      </c>
      <c r="M55"/>
      <c r="N55"/>
      <c r="O55"/>
      <c r="P55"/>
      <c r="Q55"/>
      <c r="R55"/>
      <c r="S55"/>
      <c r="T55"/>
      <c r="U55"/>
      <c r="V55"/>
      <c r="W55"/>
      <c r="X55"/>
      <c r="Z55"/>
      <c r="AJ55" s="59" t="str">
        <f t="shared" si="31"/>
        <v>Stevenson R</v>
      </c>
      <c r="AK55" s="59">
        <f t="shared" si="98"/>
        <v>1</v>
      </c>
      <c r="AL55" s="59">
        <f t="shared" si="99"/>
        <v>0</v>
      </c>
      <c r="AM55" s="59">
        <f t="shared" si="100"/>
        <v>1</v>
      </c>
      <c r="AN55" s="59">
        <f t="shared" si="101"/>
        <v>0</v>
      </c>
      <c r="AO55" s="59">
        <f t="shared" si="102"/>
        <v>67</v>
      </c>
      <c r="AP55" s="63">
        <f t="shared" si="103"/>
        <v>67</v>
      </c>
      <c r="AQ55" s="59">
        <f t="shared" si="104"/>
        <v>67</v>
      </c>
      <c r="AR55" s="61">
        <f t="shared" si="105"/>
        <v>67</v>
      </c>
      <c r="AS55" s="59">
        <f t="shared" si="106"/>
        <v>5</v>
      </c>
      <c r="AT55" s="62">
        <f t="array" ref="AT55">SUM(IF(ISERR(FIND("*",D55:AI55)),0,1))</f>
        <v>0</v>
      </c>
      <c r="AU55" s="62">
        <f t="array" ref="AU55">SUM(IF(ISERR(FIND("+",D55:AI55)),0,1))</f>
        <v>0</v>
      </c>
      <c r="AV55" s="59">
        <f t="shared" si="107"/>
        <v>0</v>
      </c>
      <c r="AW55" s="62">
        <f t="array" ref="AW55">SUM(IF(ISERR(FIND(AW$4,$D55:$AI55)),0,1))</f>
        <v>0</v>
      </c>
      <c r="AX55" s="62">
        <f t="array" ref="AX55">SUM(IF(ISERR(FIND(AX$4,$D55:$AI55)),0,1))</f>
        <v>1</v>
      </c>
      <c r="AY55" s="62">
        <f t="array" ref="AY55">SUM(IF(ISERR(FIND(AY$4,$D55:$AI55)),0,1))</f>
        <v>0</v>
      </c>
      <c r="AZ55" s="62">
        <f t="array" ref="AZ55">SUM(IF(ISERR(FIND(AZ$4,$D55:$AI55)),0,1))</f>
        <v>0</v>
      </c>
      <c r="BA55" s="62">
        <f t="array" ref="BA55">SUM(IF(ISERR(FIND(BA$4,$D55:$AI55)),0,1))</f>
        <v>0</v>
      </c>
      <c r="BB55" s="62">
        <f t="array" ref="BB55">SUM(IF(ISERR(FIND(BB$4,$D55:$AI55)),0,1))</f>
        <v>0</v>
      </c>
      <c r="BC55" s="62">
        <f t="array" ref="BC55">SUM(IF(ISERR(FIND(BC$4,$D55:$AI55)),0,1))</f>
        <v>0</v>
      </c>
      <c r="BD55" s="62">
        <f t="shared" si="108"/>
        <v>1</v>
      </c>
      <c r="BE55" s="62">
        <f t="shared" si="109"/>
        <v>0</v>
      </c>
      <c r="BF55" s="62">
        <f t="shared" si="110"/>
        <v>1</v>
      </c>
      <c r="BG55" s="62">
        <f t="shared" si="111"/>
        <v>8</v>
      </c>
      <c r="BH55" s="62">
        <f t="shared" si="112"/>
        <v>1</v>
      </c>
      <c r="BI55" s="62">
        <f t="shared" si="113"/>
        <v>0</v>
      </c>
      <c r="BJ55" s="62">
        <f t="shared" si="114"/>
        <v>0</v>
      </c>
      <c r="BK55" s="62">
        <f t="shared" si="115"/>
        <v>1</v>
      </c>
      <c r="BL55" s="59">
        <f t="shared" si="116"/>
        <v>6700101.6705499999</v>
      </c>
      <c r="BM55" s="59">
        <f t="shared" si="86"/>
        <v>2</v>
      </c>
      <c r="BN55" s="59">
        <v>46</v>
      </c>
      <c r="BO55" s="80">
        <f t="shared" si="117"/>
        <v>4</v>
      </c>
      <c r="BP55" s="88">
        <f t="shared" si="118"/>
        <v>0</v>
      </c>
      <c r="BQ55" s="151">
        <f t="shared" si="119"/>
        <v>1</v>
      </c>
      <c r="BR55" s="59" t="str">
        <f t="shared" si="120"/>
        <v>1</v>
      </c>
      <c r="BS55" s="59" t="str">
        <f t="shared" si="121"/>
        <v>Stevenson R</v>
      </c>
      <c r="BT55" s="62">
        <f t="shared" si="122"/>
        <v>1</v>
      </c>
      <c r="BU55" s="59" t="str">
        <f t="shared" si="123"/>
        <v>Stevenson R</v>
      </c>
      <c r="BV55" s="62">
        <f t="shared" si="124"/>
        <v>8</v>
      </c>
      <c r="BW55" s="59" t="str">
        <f t="shared" si="125"/>
        <v>Stevenson R</v>
      </c>
      <c r="BX55" s="62">
        <f t="shared" si="126"/>
        <v>1</v>
      </c>
      <c r="BY55" s="59" t="str">
        <f t="shared" si="127"/>
        <v>Stevenson R</v>
      </c>
      <c r="BZ55" s="59">
        <f t="shared" si="62"/>
        <v>1</v>
      </c>
      <c r="CA55" s="59" t="str">
        <f t="shared" si="63"/>
        <v>Stevenson R</v>
      </c>
      <c r="CB55" s="59">
        <f t="shared" si="64"/>
        <v>0</v>
      </c>
      <c r="CC55" s="59" t="str">
        <f t="shared" si="65"/>
        <v>Stevenson R</v>
      </c>
    </row>
    <row r="56" spans="2:81" x14ac:dyDescent="0.15">
      <c r="B56" t="s">
        <v>546</v>
      </c>
      <c r="C56" t="s">
        <v>249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Z56"/>
      <c r="AJ56" s="59" t="str">
        <f t="shared" si="31"/>
        <v>Sunkara C</v>
      </c>
      <c r="AK56" s="59">
        <f t="shared" si="98"/>
        <v>0</v>
      </c>
      <c r="AL56" s="59">
        <f t="shared" si="99"/>
        <v>0</v>
      </c>
      <c r="AM56" s="59">
        <f t="shared" si="100"/>
        <v>0</v>
      </c>
      <c r="AN56" s="59">
        <f t="shared" si="101"/>
        <v>0</v>
      </c>
      <c r="AO56" s="59">
        <f t="shared" si="102"/>
        <v>0</v>
      </c>
      <c r="AP56" s="63">
        <f t="shared" si="103"/>
        <v>0</v>
      </c>
      <c r="AQ56" s="59">
        <f t="shared" si="104"/>
        <v>0</v>
      </c>
      <c r="AR56" s="61">
        <f t="shared" si="105"/>
        <v>0</v>
      </c>
      <c r="AS56" s="59">
        <f t="shared" si="106"/>
        <v>0</v>
      </c>
      <c r="AT56" s="62">
        <f t="array" ref="AT56">SUM(IF(ISERR(FIND("*",D56:AI56)),0,1))</f>
        <v>0</v>
      </c>
      <c r="AU56" s="62">
        <f t="array" ref="AU56">SUM(IF(ISERR(FIND("+",D56:AI56)),0,1))</f>
        <v>0</v>
      </c>
      <c r="AV56" s="59">
        <f t="shared" si="107"/>
        <v>0</v>
      </c>
      <c r="AW56" s="62">
        <f t="array" ref="AW56">SUM(IF(ISERR(FIND(AW$4,$D56:$AI56)),0,1))</f>
        <v>0</v>
      </c>
      <c r="AX56" s="62">
        <f t="array" ref="AX56">SUM(IF(ISERR(FIND(AX$4,$D56:$AI56)),0,1))</f>
        <v>0</v>
      </c>
      <c r="AY56" s="62">
        <f t="array" ref="AY56">SUM(IF(ISERR(FIND(AY$4,$D56:$AI56)),0,1))</f>
        <v>0</v>
      </c>
      <c r="AZ56" s="62">
        <f t="array" ref="AZ56">SUM(IF(ISERR(FIND(AZ$4,$D56:$AI56)),0,1))</f>
        <v>0</v>
      </c>
      <c r="BA56" s="62">
        <f t="array" ref="BA56">SUM(IF(ISERR(FIND(BA$4,$D56:$AI56)),0,1))</f>
        <v>0</v>
      </c>
      <c r="BB56" s="62">
        <f t="array" ref="BB56">SUM(IF(ISERR(FIND(BB$4,$D56:$AI56)),0,1))</f>
        <v>0</v>
      </c>
      <c r="BC56" s="62">
        <f t="array" ref="BC56">SUM(IF(ISERR(FIND(BC$4,$D56:$AI56)),0,1))</f>
        <v>0</v>
      </c>
      <c r="BD56" s="62">
        <f t="shared" si="108"/>
        <v>0</v>
      </c>
      <c r="BE56" s="62">
        <f t="shared" si="109"/>
        <v>0</v>
      </c>
      <c r="BF56" s="62">
        <f t="shared" si="110"/>
        <v>0</v>
      </c>
      <c r="BG56" s="62">
        <f t="shared" si="111"/>
        <v>0</v>
      </c>
      <c r="BH56" s="62">
        <f t="shared" si="112"/>
        <v>0</v>
      </c>
      <c r="BI56" s="62">
        <f t="shared" si="113"/>
        <v>0</v>
      </c>
      <c r="BJ56" s="62">
        <f t="shared" si="114"/>
        <v>0</v>
      </c>
      <c r="BK56" s="62">
        <f t="shared" si="115"/>
        <v>0</v>
      </c>
      <c r="BL56" s="59">
        <f t="shared" si="116"/>
        <v>5.5999999999999995E-4</v>
      </c>
      <c r="BM56" s="59">
        <f t="shared" si="86"/>
        <v>44</v>
      </c>
      <c r="BN56" s="59">
        <v>47</v>
      </c>
      <c r="BO56" s="80" t="str">
        <f t="shared" si="117"/>
        <v/>
      </c>
      <c r="BP56" s="88" t="e">
        <f t="shared" si="118"/>
        <v>#DIV/0!</v>
      </c>
      <c r="BQ56" s="151">
        <f t="shared" si="119"/>
        <v>0</v>
      </c>
      <c r="BR56" s="59" t="str">
        <f t="shared" si="120"/>
        <v/>
      </c>
      <c r="BS56" s="59" t="str">
        <f t="shared" si="121"/>
        <v/>
      </c>
      <c r="BT56" s="62">
        <f t="shared" si="122"/>
        <v>0</v>
      </c>
      <c r="BU56" s="59" t="str">
        <f t="shared" si="123"/>
        <v/>
      </c>
      <c r="BV56" s="62">
        <f t="shared" si="124"/>
        <v>0</v>
      </c>
      <c r="BW56" s="59" t="str">
        <f t="shared" si="125"/>
        <v/>
      </c>
      <c r="BX56" s="62">
        <f t="shared" si="126"/>
        <v>0</v>
      </c>
      <c r="BY56" s="59" t="str">
        <f t="shared" si="127"/>
        <v/>
      </c>
      <c r="BZ56" s="59">
        <f t="shared" si="62"/>
        <v>0</v>
      </c>
      <c r="CA56" s="59" t="str">
        <f t="shared" si="63"/>
        <v>Sunkara C</v>
      </c>
      <c r="CB56" s="59">
        <f t="shared" si="64"/>
        <v>0</v>
      </c>
      <c r="CC56" s="59" t="str">
        <f t="shared" si="65"/>
        <v>Sunkara C</v>
      </c>
    </row>
    <row r="57" spans="2:81" x14ac:dyDescent="0.15">
      <c r="B57"/>
      <c r="C57" t="s">
        <v>344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Z57"/>
      <c r="AJ57" s="59" t="str">
        <f t="shared" si="31"/>
        <v>Taylor C</v>
      </c>
      <c r="AK57" s="59">
        <f t="shared" si="98"/>
        <v>0</v>
      </c>
      <c r="AL57" s="59">
        <f t="shared" si="99"/>
        <v>0</v>
      </c>
      <c r="AM57" s="59">
        <f t="shared" si="100"/>
        <v>0</v>
      </c>
      <c r="AN57" s="59">
        <f t="shared" si="101"/>
        <v>0</v>
      </c>
      <c r="AO57" s="59">
        <f t="shared" si="102"/>
        <v>0</v>
      </c>
      <c r="AP57" s="63">
        <f t="shared" si="103"/>
        <v>0</v>
      </c>
      <c r="AQ57" s="59">
        <f t="shared" si="104"/>
        <v>0</v>
      </c>
      <c r="AR57" s="61">
        <f t="shared" si="105"/>
        <v>0</v>
      </c>
      <c r="AS57" s="59">
        <f t="shared" si="106"/>
        <v>0</v>
      </c>
      <c r="AT57" s="62">
        <f t="array" ref="AT57">SUM(IF(ISERR(FIND("*",D57:AI57)),0,1))</f>
        <v>0</v>
      </c>
      <c r="AU57" s="62">
        <f t="array" ref="AU57">SUM(IF(ISERR(FIND("+",D57:AI57)),0,1))</f>
        <v>0</v>
      </c>
      <c r="AV57" s="59">
        <f t="shared" si="107"/>
        <v>0</v>
      </c>
      <c r="AW57" s="62">
        <f t="array" ref="AW57">SUM(IF(ISERR(FIND(AW$4,$D57:$AI57)),0,1))</f>
        <v>0</v>
      </c>
      <c r="AX57" s="62">
        <f t="array" ref="AX57">SUM(IF(ISERR(FIND(AX$4,$D57:$AI57)),0,1))</f>
        <v>0</v>
      </c>
      <c r="AY57" s="62">
        <f t="array" ref="AY57">SUM(IF(ISERR(FIND(AY$4,$D57:$AI57)),0,1))</f>
        <v>0</v>
      </c>
      <c r="AZ57" s="62">
        <f t="array" ref="AZ57">SUM(IF(ISERR(FIND(AZ$4,$D57:$AI57)),0,1))</f>
        <v>0</v>
      </c>
      <c r="BA57" s="62">
        <f t="array" ref="BA57">SUM(IF(ISERR(FIND(BA$4,$D57:$AI57)),0,1))</f>
        <v>0</v>
      </c>
      <c r="BB57" s="62">
        <f t="array" ref="BB57">SUM(IF(ISERR(FIND(BB$4,$D57:$AI57)),0,1))</f>
        <v>0</v>
      </c>
      <c r="BC57" s="62">
        <f t="array" ref="BC57">SUM(IF(ISERR(FIND(BC$4,$D57:$AI57)),0,1))</f>
        <v>0</v>
      </c>
      <c r="BD57" s="62">
        <f t="shared" si="108"/>
        <v>0</v>
      </c>
      <c r="BE57" s="62">
        <f t="shared" si="109"/>
        <v>0</v>
      </c>
      <c r="BF57" s="62">
        <f t="shared" si="110"/>
        <v>0</v>
      </c>
      <c r="BG57" s="62">
        <f t="shared" si="111"/>
        <v>0</v>
      </c>
      <c r="BH57" s="62">
        <f t="shared" si="112"/>
        <v>0</v>
      </c>
      <c r="BI57" s="62">
        <f t="shared" si="113"/>
        <v>0</v>
      </c>
      <c r="BJ57" s="62">
        <f t="shared" si="114"/>
        <v>0</v>
      </c>
      <c r="BK57" s="62">
        <f t="shared" si="115"/>
        <v>0</v>
      </c>
      <c r="BL57" s="59">
        <f t="shared" si="116"/>
        <v>5.6999999999999998E-4</v>
      </c>
      <c r="BM57" s="59">
        <f t="shared" si="86"/>
        <v>43</v>
      </c>
      <c r="BN57" s="59">
        <v>48</v>
      </c>
      <c r="BO57" s="80" t="str">
        <f t="shared" si="117"/>
        <v/>
      </c>
      <c r="BP57" s="88" t="e">
        <f t="shared" si="118"/>
        <v>#DIV/0!</v>
      </c>
      <c r="BQ57" s="151">
        <f t="shared" si="119"/>
        <v>0</v>
      </c>
      <c r="BR57" s="59" t="str">
        <f t="shared" si="120"/>
        <v/>
      </c>
      <c r="BS57" s="59" t="str">
        <f t="shared" si="121"/>
        <v/>
      </c>
      <c r="BT57" s="62">
        <f t="shared" si="122"/>
        <v>0</v>
      </c>
      <c r="BU57" s="59" t="str">
        <f t="shared" si="123"/>
        <v/>
      </c>
      <c r="BV57" s="62">
        <f t="shared" si="124"/>
        <v>0</v>
      </c>
      <c r="BW57" s="59" t="str">
        <f t="shared" si="125"/>
        <v/>
      </c>
      <c r="BX57" s="62">
        <f t="shared" si="126"/>
        <v>0</v>
      </c>
      <c r="BY57" s="59" t="str">
        <f t="shared" si="127"/>
        <v/>
      </c>
      <c r="BZ57" s="59">
        <f t="shared" si="62"/>
        <v>0</v>
      </c>
      <c r="CA57" s="59" t="str">
        <f t="shared" si="63"/>
        <v>Taylor C</v>
      </c>
      <c r="CB57" s="59">
        <f t="shared" si="64"/>
        <v>0</v>
      </c>
      <c r="CC57" s="59" t="str">
        <f t="shared" si="65"/>
        <v>Taylor C</v>
      </c>
    </row>
    <row r="58" spans="2:81" x14ac:dyDescent="0.15">
      <c r="B58" t="s">
        <v>508</v>
      </c>
      <c r="C58" t="s">
        <v>521</v>
      </c>
      <c r="D58"/>
      <c r="E58"/>
      <c r="F58"/>
      <c r="G58"/>
      <c r="H58"/>
      <c r="I58"/>
      <c r="J58"/>
      <c r="K58"/>
      <c r="L58"/>
      <c r="M58" t="s">
        <v>511</v>
      </c>
      <c r="N58"/>
      <c r="O58"/>
      <c r="P58"/>
      <c r="Q58"/>
      <c r="R58"/>
      <c r="S58"/>
      <c r="T58"/>
      <c r="U58"/>
      <c r="V58"/>
      <c r="W58"/>
      <c r="X58"/>
      <c r="Z58"/>
      <c r="AJ58" t="str">
        <f t="shared" si="31"/>
        <v>Turner R</v>
      </c>
      <c r="AK58" s="59">
        <f t="shared" si="98"/>
        <v>1</v>
      </c>
      <c r="AL58" s="59">
        <f t="shared" si="99"/>
        <v>0</v>
      </c>
      <c r="AM58" s="59">
        <f t="shared" si="100"/>
        <v>1</v>
      </c>
      <c r="AN58" s="59">
        <f t="shared" si="101"/>
        <v>1</v>
      </c>
      <c r="AO58" s="59">
        <f t="shared" si="102"/>
        <v>-16</v>
      </c>
      <c r="AP58" s="63" t="str">
        <f t="shared" si="103"/>
        <v>16*</v>
      </c>
      <c r="AQ58" s="59">
        <f t="shared" si="104"/>
        <v>16</v>
      </c>
      <c r="AR58" s="61">
        <f t="shared" si="105"/>
        <v>0</v>
      </c>
      <c r="AS58" s="59">
        <f t="shared" si="106"/>
        <v>0</v>
      </c>
      <c r="AT58" s="62">
        <f t="array" ref="AT58">SUM(IF(ISERR(FIND("*",D58:AI58)),0,1))</f>
        <v>0</v>
      </c>
      <c r="AU58" s="62">
        <f t="array" ref="AU58">SUM(IF(ISERR(FIND("+",D58:AI58)),0,1))</f>
        <v>0</v>
      </c>
      <c r="AV58" s="59">
        <f t="shared" si="107"/>
        <v>0</v>
      </c>
      <c r="AW58" s="62">
        <f t="array" ref="AW58">SUM(IF(ISERR(FIND(AW$4,$D58:$AI58)),0,1))</f>
        <v>0</v>
      </c>
      <c r="AX58" s="62">
        <f t="array" ref="AX58">SUM(IF(ISERR(FIND(AX$4,$D58:$AI58)),0,1))</f>
        <v>0</v>
      </c>
      <c r="AY58" s="62">
        <f t="array" ref="AY58">SUM(IF(ISERR(FIND(AY$4,$D58:$AI58)),0,1))</f>
        <v>0</v>
      </c>
      <c r="AZ58" s="62">
        <f t="array" ref="AZ58">SUM(IF(ISERR(FIND(AZ$4,$D58:$AI58)),0,1))</f>
        <v>0</v>
      </c>
      <c r="BA58" s="62">
        <f t="array" ref="BA58">SUM(IF(ISERR(FIND(BA$4,$D58:$AI58)),0,1))</f>
        <v>0</v>
      </c>
      <c r="BB58" s="62">
        <f t="array" ref="BB58">SUM(IF(ISERR(FIND(BB$4,$D58:$AI58)),0,1))</f>
        <v>0</v>
      </c>
      <c r="BC58" s="62">
        <f t="array" ref="BC58">SUM(IF(ISERR(FIND(BC$4,$D58:$AI58)),0,1))</f>
        <v>0</v>
      </c>
      <c r="BD58" s="62">
        <f t="shared" si="108"/>
        <v>0</v>
      </c>
      <c r="BE58" s="62">
        <f t="shared" si="109"/>
        <v>0</v>
      </c>
      <c r="BF58" s="62">
        <f t="shared" si="110"/>
        <v>0</v>
      </c>
      <c r="BG58" s="62">
        <f t="shared" si="111"/>
        <v>1</v>
      </c>
      <c r="BH58" s="62">
        <f t="shared" si="112"/>
        <v>0</v>
      </c>
      <c r="BI58" s="62">
        <f t="shared" si="113"/>
        <v>0</v>
      </c>
      <c r="BJ58" s="62">
        <f t="shared" si="114"/>
        <v>0</v>
      </c>
      <c r="BK58" s="62">
        <f t="shared" si="115"/>
        <v>0</v>
      </c>
      <c r="BL58" s="59">
        <f t="shared" si="116"/>
        <v>101.16058</v>
      </c>
      <c r="BM58" s="59">
        <f t="shared" si="86"/>
        <v>34</v>
      </c>
      <c r="BN58" s="59">
        <v>49</v>
      </c>
      <c r="BO58" s="80" t="str">
        <f t="shared" si="117"/>
        <v/>
      </c>
      <c r="BP58" s="88" t="e">
        <f t="shared" si="118"/>
        <v>#DIV/0!</v>
      </c>
      <c r="BQ58" s="151">
        <f t="shared" si="119"/>
        <v>0</v>
      </c>
      <c r="BR58" s="59" t="str">
        <f t="shared" si="120"/>
        <v/>
      </c>
      <c r="BS58" s="59" t="str">
        <f t="shared" si="121"/>
        <v/>
      </c>
      <c r="BT58" s="62">
        <f t="shared" si="122"/>
        <v>0</v>
      </c>
      <c r="BU58" s="59" t="str">
        <f t="shared" si="123"/>
        <v/>
      </c>
      <c r="BV58" s="62">
        <f t="shared" si="124"/>
        <v>1</v>
      </c>
      <c r="BW58" s="59" t="str">
        <f t="shared" si="125"/>
        <v>Turner R</v>
      </c>
      <c r="BX58" s="62">
        <f t="shared" si="126"/>
        <v>0</v>
      </c>
      <c r="BY58" s="59" t="str">
        <f t="shared" si="127"/>
        <v/>
      </c>
      <c r="BZ58" s="59">
        <f t="shared" si="62"/>
        <v>1</v>
      </c>
      <c r="CA58" s="59" t="str">
        <f t="shared" si="63"/>
        <v>Turner R</v>
      </c>
      <c r="CB58" s="59">
        <f t="shared" si="64"/>
        <v>0</v>
      </c>
      <c r="CC58" s="59" t="str">
        <f t="shared" si="65"/>
        <v>Turner R</v>
      </c>
    </row>
    <row r="59" spans="2:81" x14ac:dyDescent="0.15">
      <c r="B59"/>
      <c r="C59" t="s">
        <v>408</v>
      </c>
      <c r="D59"/>
      <c r="E59"/>
      <c r="F59" t="s">
        <v>409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Z59"/>
      <c r="AJ59" s="59" t="str">
        <f t="shared" si="31"/>
        <v>Umar S</v>
      </c>
      <c r="AK59" s="59">
        <f t="shared" si="98"/>
        <v>1</v>
      </c>
      <c r="AL59" s="59">
        <f t="shared" si="99"/>
        <v>0</v>
      </c>
      <c r="AM59" s="59">
        <f t="shared" si="100"/>
        <v>1</v>
      </c>
      <c r="AN59" s="59">
        <f t="shared" si="101"/>
        <v>0</v>
      </c>
      <c r="AO59" s="59">
        <f t="shared" si="102"/>
        <v>13</v>
      </c>
      <c r="AP59" s="63">
        <f t="shared" si="103"/>
        <v>13</v>
      </c>
      <c r="AQ59" s="59">
        <f t="shared" si="104"/>
        <v>13</v>
      </c>
      <c r="AR59" s="61">
        <f t="shared" si="105"/>
        <v>13</v>
      </c>
      <c r="AS59" s="59">
        <f t="shared" si="106"/>
        <v>0</v>
      </c>
      <c r="AT59" s="62">
        <f t="array" ref="AT59">SUM(IF(ISERR(FIND("*",D59:AI59)),0,1))</f>
        <v>0</v>
      </c>
      <c r="AU59" s="62">
        <f t="array" ref="AU59">SUM(IF(ISERR(FIND("+",D59:AI59)),0,1))</f>
        <v>0</v>
      </c>
      <c r="AV59" s="59">
        <f t="shared" si="107"/>
        <v>0</v>
      </c>
      <c r="AW59" s="62">
        <f t="array" ref="AW59">SUM(IF(ISERR(FIND(AW$4,$D59:$AI59)),0,1))</f>
        <v>0</v>
      </c>
      <c r="AX59" s="62">
        <f t="array" ref="AX59">SUM(IF(ISERR(FIND(AX$4,$D59:$AI59)),0,1))</f>
        <v>1</v>
      </c>
      <c r="AY59" s="62">
        <f t="array" ref="AY59">SUM(IF(ISERR(FIND(AY$4,$D59:$AI59)),0,1))</f>
        <v>0</v>
      </c>
      <c r="AZ59" s="62">
        <f t="array" ref="AZ59">SUM(IF(ISERR(FIND(AZ$4,$D59:$AI59)),0,1))</f>
        <v>0</v>
      </c>
      <c r="BA59" s="62">
        <f t="array" ref="BA59">SUM(IF(ISERR(FIND(BA$4,$D59:$AI59)),0,1))</f>
        <v>0</v>
      </c>
      <c r="BB59" s="62">
        <f t="array" ref="BB59">SUM(IF(ISERR(FIND(BB$4,$D59:$AI59)),0,1))</f>
        <v>0</v>
      </c>
      <c r="BC59" s="62">
        <f t="array" ref="BC59">SUM(IF(ISERR(FIND(BC$4,$D59:$AI59)),0,1))</f>
        <v>0</v>
      </c>
      <c r="BD59" s="62">
        <f t="shared" si="108"/>
        <v>0</v>
      </c>
      <c r="BE59" s="62">
        <f t="shared" si="109"/>
        <v>0</v>
      </c>
      <c r="BF59" s="62">
        <f t="shared" si="110"/>
        <v>0</v>
      </c>
      <c r="BG59" s="62">
        <f t="shared" si="111"/>
        <v>1</v>
      </c>
      <c r="BH59" s="62">
        <f t="shared" si="112"/>
        <v>0</v>
      </c>
      <c r="BI59" s="62">
        <f t="shared" si="113"/>
        <v>0</v>
      </c>
      <c r="BJ59" s="62">
        <f t="shared" si="114"/>
        <v>0</v>
      </c>
      <c r="BK59" s="62">
        <f t="shared" si="115"/>
        <v>0</v>
      </c>
      <c r="BL59" s="59">
        <f t="shared" si="116"/>
        <v>1300101.13059</v>
      </c>
      <c r="BM59" s="59">
        <f t="shared" si="86"/>
        <v>18</v>
      </c>
      <c r="BN59" s="59">
        <v>50</v>
      </c>
      <c r="BO59" s="80" t="str">
        <f t="shared" si="117"/>
        <v/>
      </c>
      <c r="BP59" s="88">
        <f t="shared" si="118"/>
        <v>0</v>
      </c>
      <c r="BQ59" s="151">
        <f t="shared" si="119"/>
        <v>0</v>
      </c>
      <c r="BR59" s="59" t="str">
        <f t="shared" si="120"/>
        <v/>
      </c>
      <c r="BS59" s="59" t="str">
        <f t="shared" si="121"/>
        <v/>
      </c>
      <c r="BT59" s="62">
        <f t="shared" si="122"/>
        <v>0</v>
      </c>
      <c r="BU59" s="59" t="str">
        <f t="shared" si="123"/>
        <v/>
      </c>
      <c r="BV59" s="62">
        <f t="shared" si="124"/>
        <v>1</v>
      </c>
      <c r="BW59" s="59" t="str">
        <f t="shared" si="125"/>
        <v>Umar S</v>
      </c>
      <c r="BX59" s="62">
        <f t="shared" si="126"/>
        <v>0</v>
      </c>
      <c r="BY59" s="59" t="str">
        <f t="shared" si="127"/>
        <v/>
      </c>
      <c r="BZ59" s="59">
        <f t="shared" si="62"/>
        <v>1</v>
      </c>
      <c r="CA59" s="59" t="str">
        <f t="shared" si="63"/>
        <v>Umar S</v>
      </c>
      <c r="CB59" s="59">
        <f t="shared" si="64"/>
        <v>0</v>
      </c>
      <c r="CC59" s="59" t="str">
        <f t="shared" si="65"/>
        <v>Umar S</v>
      </c>
    </row>
    <row r="60" spans="2:81" x14ac:dyDescent="0.15">
      <c r="B60" t="s">
        <v>231</v>
      </c>
      <c r="C60" t="s">
        <v>236</v>
      </c>
      <c r="D60"/>
      <c r="E60"/>
      <c r="F60"/>
      <c r="G60"/>
      <c r="H60"/>
      <c r="I60" t="s">
        <v>450</v>
      </c>
      <c r="J60" t="s">
        <v>459</v>
      </c>
      <c r="K60"/>
      <c r="L60"/>
      <c r="M60"/>
      <c r="N60"/>
      <c r="O60"/>
      <c r="P60"/>
      <c r="Q60"/>
      <c r="R60"/>
      <c r="S60"/>
      <c r="T60"/>
      <c r="U60"/>
      <c r="V60"/>
      <c r="W60"/>
      <c r="X60" t="s">
        <v>682</v>
      </c>
      <c r="Y60"/>
      <c r="Z60"/>
      <c r="AJ60" s="59" t="str">
        <f t="shared" si="31"/>
        <v>Viveganandan M</v>
      </c>
      <c r="AK60" s="59">
        <f t="shared" si="98"/>
        <v>3</v>
      </c>
      <c r="AL60" s="59">
        <f t="shared" si="99"/>
        <v>0</v>
      </c>
      <c r="AM60" s="59">
        <f t="shared" si="100"/>
        <v>3</v>
      </c>
      <c r="AN60" s="59">
        <f t="shared" si="101"/>
        <v>1</v>
      </c>
      <c r="AO60" s="59">
        <f t="shared" si="102"/>
        <v>43</v>
      </c>
      <c r="AP60" s="63">
        <f t="shared" si="103"/>
        <v>43</v>
      </c>
      <c r="AQ60" s="59">
        <f t="shared" si="104"/>
        <v>50</v>
      </c>
      <c r="AR60" s="61">
        <f t="shared" si="105"/>
        <v>25</v>
      </c>
      <c r="AS60" s="59">
        <f t="shared" si="106"/>
        <v>0</v>
      </c>
      <c r="AT60" s="62">
        <f t="array" ref="AT60">SUM(IF(ISERR(FIND("*",D60:AI60)),0,1))</f>
        <v>0</v>
      </c>
      <c r="AU60" s="62">
        <f t="array" ref="AU60">SUM(IF(ISERR(FIND("+",D60:AI60)),0,1))</f>
        <v>0</v>
      </c>
      <c r="AV60" s="59">
        <f t="shared" si="107"/>
        <v>0</v>
      </c>
      <c r="AW60" s="62">
        <f t="array" ref="AW60">SUM(IF(ISERR(FIND(AW$4,$D60:$AI60)),0,1))</f>
        <v>1</v>
      </c>
      <c r="AX60" s="62">
        <f t="array" ref="AX60">SUM(IF(ISERR(FIND(AX$4,$D60:$AI60)),0,1))</f>
        <v>1</v>
      </c>
      <c r="AY60" s="62">
        <f t="array" ref="AY60">SUM(IF(ISERR(FIND(AY$4,$D60:$AI60)),0,1))</f>
        <v>0</v>
      </c>
      <c r="AZ60" s="62">
        <f t="array" ref="AZ60">SUM(IF(ISERR(FIND(AZ$4,$D60:$AI60)),0,1))</f>
        <v>0</v>
      </c>
      <c r="BA60" s="62">
        <f t="array" ref="BA60">SUM(IF(ISERR(FIND(BA$4,$D60:$AI60)),0,1))</f>
        <v>0</v>
      </c>
      <c r="BB60" s="62">
        <f t="array" ref="BB60">SUM(IF(ISERR(FIND(BB$4,$D60:$AI60)),0,1))</f>
        <v>0</v>
      </c>
      <c r="BC60" s="62">
        <f t="array" ref="BC60">SUM(IF(ISERR(FIND(BC$4,$D60:$AI60)),0,1))</f>
        <v>0</v>
      </c>
      <c r="BD60" s="62">
        <f t="shared" si="108"/>
        <v>0</v>
      </c>
      <c r="BE60" s="62">
        <f t="shared" si="109"/>
        <v>0</v>
      </c>
      <c r="BF60" s="62">
        <f t="shared" si="110"/>
        <v>0</v>
      </c>
      <c r="BG60" s="62">
        <f t="shared" si="111"/>
        <v>11</v>
      </c>
      <c r="BH60" s="62">
        <f t="shared" si="112"/>
        <v>0</v>
      </c>
      <c r="BI60" s="62">
        <f t="shared" si="113"/>
        <v>0</v>
      </c>
      <c r="BJ60" s="62">
        <f t="shared" si="114"/>
        <v>0</v>
      </c>
      <c r="BK60" s="62">
        <f t="shared" si="115"/>
        <v>1</v>
      </c>
      <c r="BL60" s="59">
        <f t="shared" si="116"/>
        <v>2500303.5005999999</v>
      </c>
      <c r="BM60" s="59">
        <f t="shared" si="86"/>
        <v>11</v>
      </c>
      <c r="BN60" s="59">
        <v>51</v>
      </c>
      <c r="BO60" s="80">
        <f t="shared" si="117"/>
        <v>5.98</v>
      </c>
      <c r="BP60" s="88">
        <f t="shared" si="118"/>
        <v>0</v>
      </c>
      <c r="BQ60" s="151">
        <f t="shared" si="119"/>
        <v>0</v>
      </c>
      <c r="BR60" s="59" t="str">
        <f t="shared" si="120"/>
        <v/>
      </c>
      <c r="BS60" s="59" t="str">
        <f t="shared" si="121"/>
        <v/>
      </c>
      <c r="BT60" s="62">
        <f t="shared" si="122"/>
        <v>0</v>
      </c>
      <c r="BU60" s="59" t="str">
        <f t="shared" si="123"/>
        <v/>
      </c>
      <c r="BV60" s="62">
        <f t="shared" si="124"/>
        <v>11</v>
      </c>
      <c r="BW60" s="59" t="str">
        <f t="shared" si="125"/>
        <v>Viveganandan M</v>
      </c>
      <c r="BX60" s="62">
        <f t="shared" si="126"/>
        <v>1</v>
      </c>
      <c r="BY60" s="59" t="str">
        <f t="shared" si="127"/>
        <v>Viveganandan M</v>
      </c>
      <c r="BZ60" s="59">
        <f t="shared" si="62"/>
        <v>3</v>
      </c>
      <c r="CA60" s="59" t="str">
        <f t="shared" si="63"/>
        <v>Viveganandan M</v>
      </c>
      <c r="CB60" s="59">
        <f t="shared" si="64"/>
        <v>0</v>
      </c>
      <c r="CC60" s="59" t="str">
        <f t="shared" si="65"/>
        <v>Viveganandan M</v>
      </c>
    </row>
    <row r="61" spans="2:81" x14ac:dyDescent="0.15">
      <c r="B61" t="s">
        <v>261</v>
      </c>
      <c r="C61" t="s">
        <v>233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J61" s="59" t="str">
        <f t="shared" si="31"/>
        <v>Wilson A</v>
      </c>
      <c r="AK61" s="59">
        <f t="shared" si="98"/>
        <v>0</v>
      </c>
      <c r="AL61" s="59">
        <f t="shared" si="99"/>
        <v>0</v>
      </c>
      <c r="AM61" s="59">
        <f t="shared" si="100"/>
        <v>0</v>
      </c>
      <c r="AN61" s="59">
        <f t="shared" si="101"/>
        <v>0</v>
      </c>
      <c r="AO61" s="59">
        <f t="shared" si="102"/>
        <v>0</v>
      </c>
      <c r="AP61" s="63">
        <f t="shared" si="103"/>
        <v>0</v>
      </c>
      <c r="AQ61" s="59">
        <f t="shared" si="104"/>
        <v>0</v>
      </c>
      <c r="AR61" s="61">
        <f t="shared" si="105"/>
        <v>0</v>
      </c>
      <c r="AS61" s="59">
        <f t="shared" si="106"/>
        <v>0</v>
      </c>
      <c r="AT61" s="62">
        <f t="array" ref="AT61">SUM(IF(ISERR(FIND("*",D61:AI61)),0,1))</f>
        <v>0</v>
      </c>
      <c r="AU61" s="62">
        <f t="array" ref="AU61">SUM(IF(ISERR(FIND("+",D61:AI61)),0,1))</f>
        <v>0</v>
      </c>
      <c r="AV61" s="59">
        <f t="shared" si="107"/>
        <v>0</v>
      </c>
      <c r="AW61" s="62">
        <f t="array" ref="AW61">SUM(IF(ISERR(FIND(AW$4,$D61:$AI61)),0,1))</f>
        <v>0</v>
      </c>
      <c r="AX61" s="62">
        <f t="array" ref="AX61">SUM(IF(ISERR(FIND(AX$4,$D61:$AI61)),0,1))</f>
        <v>0</v>
      </c>
      <c r="AY61" s="62">
        <f t="array" ref="AY61">SUM(IF(ISERR(FIND(AY$4,$D61:$AI61)),0,1))</f>
        <v>0</v>
      </c>
      <c r="AZ61" s="62">
        <f t="array" ref="AZ61">SUM(IF(ISERR(FIND(AZ$4,$D61:$AI61)),0,1))</f>
        <v>0</v>
      </c>
      <c r="BA61" s="62">
        <f t="array" ref="BA61">SUM(IF(ISERR(FIND(BA$4,$D61:$AI61)),0,1))</f>
        <v>0</v>
      </c>
      <c r="BB61" s="62">
        <f t="array" ref="BB61">SUM(IF(ISERR(FIND(BB$4,$D61:$AI61)),0,1))</f>
        <v>0</v>
      </c>
      <c r="BC61" s="62">
        <f t="array" ref="BC61">SUM(IF(ISERR(FIND(BC$4,$D61:$AI61)),0,1))</f>
        <v>0</v>
      </c>
      <c r="BD61" s="62">
        <f t="shared" si="108"/>
        <v>0</v>
      </c>
      <c r="BE61" s="62">
        <f t="shared" si="109"/>
        <v>0</v>
      </c>
      <c r="BF61" s="62">
        <f t="shared" si="110"/>
        <v>0</v>
      </c>
      <c r="BG61" s="62">
        <f t="shared" si="111"/>
        <v>0</v>
      </c>
      <c r="BH61" s="62">
        <f t="shared" si="112"/>
        <v>0</v>
      </c>
      <c r="BI61" s="62">
        <f t="shared" si="113"/>
        <v>0</v>
      </c>
      <c r="BJ61" s="62">
        <f t="shared" si="114"/>
        <v>0</v>
      </c>
      <c r="BK61" s="62">
        <f t="shared" si="115"/>
        <v>0</v>
      </c>
      <c r="BL61" s="59">
        <f t="shared" si="116"/>
        <v>6.0999999999999997E-4</v>
      </c>
      <c r="BM61" s="59">
        <f t="shared" si="86"/>
        <v>42</v>
      </c>
      <c r="BN61" s="59">
        <v>52</v>
      </c>
      <c r="BO61" s="80" t="str">
        <f t="shared" si="117"/>
        <v/>
      </c>
      <c r="BP61" s="88" t="e">
        <f t="shared" si="118"/>
        <v>#DIV/0!</v>
      </c>
      <c r="BQ61" s="151">
        <f t="shared" si="119"/>
        <v>0</v>
      </c>
      <c r="BR61" s="59" t="str">
        <f t="shared" si="120"/>
        <v/>
      </c>
      <c r="BS61" s="59" t="str">
        <f t="shared" si="121"/>
        <v/>
      </c>
      <c r="BT61" s="62">
        <f t="shared" si="122"/>
        <v>0</v>
      </c>
      <c r="BU61" s="59" t="str">
        <f t="shared" si="123"/>
        <v/>
      </c>
      <c r="BV61" s="62">
        <f t="shared" si="124"/>
        <v>0</v>
      </c>
      <c r="BW61" s="59" t="str">
        <f t="shared" si="125"/>
        <v/>
      </c>
      <c r="BX61" s="62">
        <f t="shared" si="126"/>
        <v>0</v>
      </c>
      <c r="BY61" s="59" t="str">
        <f t="shared" si="127"/>
        <v/>
      </c>
      <c r="BZ61" s="59">
        <f t="shared" si="62"/>
        <v>0</v>
      </c>
      <c r="CA61" s="59" t="str">
        <f t="shared" si="63"/>
        <v>Wilson A</v>
      </c>
      <c r="CB61" s="59">
        <f t="shared" si="64"/>
        <v>0</v>
      </c>
      <c r="CC61" s="59" t="str">
        <f t="shared" si="65"/>
        <v>Wilson A</v>
      </c>
    </row>
    <row r="62" spans="2:81" x14ac:dyDescent="0.15">
      <c r="B62" t="s">
        <v>247</v>
      </c>
      <c r="C62" t="s">
        <v>252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J62" s="59" t="str">
        <f t="shared" si="31"/>
        <v>Woodhouse M</v>
      </c>
      <c r="AK62" s="59">
        <f t="shared" si="98"/>
        <v>0</v>
      </c>
      <c r="AL62" s="59">
        <f t="shared" si="99"/>
        <v>0</v>
      </c>
      <c r="AM62" s="59">
        <f t="shared" si="100"/>
        <v>0</v>
      </c>
      <c r="AN62" s="59">
        <f t="shared" si="101"/>
        <v>0</v>
      </c>
      <c r="AO62" s="59">
        <f t="shared" si="102"/>
        <v>0</v>
      </c>
      <c r="AP62" s="63">
        <f t="shared" si="103"/>
        <v>0</v>
      </c>
      <c r="AQ62" s="59">
        <f t="shared" si="104"/>
        <v>0</v>
      </c>
      <c r="AR62" s="61">
        <f t="shared" si="105"/>
        <v>0</v>
      </c>
      <c r="AS62" s="59">
        <f t="shared" si="106"/>
        <v>0</v>
      </c>
      <c r="AT62" s="62">
        <f t="array" ref="AT62">SUM(IF(ISERR(FIND("*",D62:AI62)),0,1))</f>
        <v>0</v>
      </c>
      <c r="AU62" s="62">
        <f t="array" ref="AU62">SUM(IF(ISERR(FIND("+",D62:AI62)),0,1))</f>
        <v>0</v>
      </c>
      <c r="AV62" s="59">
        <f t="shared" si="107"/>
        <v>0</v>
      </c>
      <c r="AW62" s="62">
        <f t="array" ref="AW62">SUM(IF(ISERR(FIND(AW$4,$D62:$AI62)),0,1))</f>
        <v>0</v>
      </c>
      <c r="AX62" s="62">
        <f t="array" ref="AX62">SUM(IF(ISERR(FIND(AX$4,$D62:$AI62)),0,1))</f>
        <v>0</v>
      </c>
      <c r="AY62" s="62">
        <f t="array" ref="AY62">SUM(IF(ISERR(FIND(AY$4,$D62:$AI62)),0,1))</f>
        <v>0</v>
      </c>
      <c r="AZ62" s="62">
        <f t="array" ref="AZ62">SUM(IF(ISERR(FIND(AZ$4,$D62:$AI62)),0,1))</f>
        <v>0</v>
      </c>
      <c r="BA62" s="62">
        <f t="array" ref="BA62">SUM(IF(ISERR(FIND(BA$4,$D62:$AI62)),0,1))</f>
        <v>0</v>
      </c>
      <c r="BB62" s="62">
        <f t="array" ref="BB62">SUM(IF(ISERR(FIND(BB$4,$D62:$AI62)),0,1))</f>
        <v>0</v>
      </c>
      <c r="BC62" s="62">
        <f t="array" ref="BC62">SUM(IF(ISERR(FIND(BC$4,$D62:$AI62)),0,1))</f>
        <v>0</v>
      </c>
      <c r="BD62" s="62">
        <f t="shared" si="108"/>
        <v>0</v>
      </c>
      <c r="BE62" s="62">
        <f t="shared" si="109"/>
        <v>0</v>
      </c>
      <c r="BF62" s="62">
        <f t="shared" si="110"/>
        <v>0</v>
      </c>
      <c r="BG62" s="62">
        <f t="shared" si="111"/>
        <v>0</v>
      </c>
      <c r="BH62" s="62">
        <f t="shared" si="112"/>
        <v>0</v>
      </c>
      <c r="BI62" s="62">
        <f t="shared" si="113"/>
        <v>0</v>
      </c>
      <c r="BJ62" s="62">
        <f t="shared" si="114"/>
        <v>0</v>
      </c>
      <c r="BK62" s="62">
        <f t="shared" si="115"/>
        <v>0</v>
      </c>
      <c r="BL62" s="59">
        <f t="shared" si="116"/>
        <v>6.2E-4</v>
      </c>
      <c r="BM62" s="59">
        <f t="shared" si="86"/>
        <v>41</v>
      </c>
      <c r="BN62" s="59">
        <v>53</v>
      </c>
      <c r="BO62" s="80" t="str">
        <f t="shared" si="117"/>
        <v/>
      </c>
      <c r="BP62" s="88" t="e">
        <f t="shared" si="118"/>
        <v>#DIV/0!</v>
      </c>
      <c r="BQ62" s="151">
        <f t="shared" si="119"/>
        <v>0</v>
      </c>
      <c r="BR62" s="59" t="str">
        <f t="shared" si="120"/>
        <v/>
      </c>
      <c r="BS62" s="59" t="str">
        <f t="shared" si="121"/>
        <v/>
      </c>
      <c r="BT62" s="62">
        <f t="shared" si="122"/>
        <v>0</v>
      </c>
      <c r="BU62" s="59" t="str">
        <f t="shared" si="123"/>
        <v/>
      </c>
      <c r="BV62" s="62">
        <f t="shared" si="124"/>
        <v>0</v>
      </c>
      <c r="BW62" s="59" t="str">
        <f t="shared" si="125"/>
        <v/>
      </c>
      <c r="BX62" s="62">
        <f t="shared" si="126"/>
        <v>0</v>
      </c>
      <c r="BY62" s="59" t="str">
        <f t="shared" si="127"/>
        <v/>
      </c>
      <c r="BZ62" s="59">
        <f t="shared" si="62"/>
        <v>0</v>
      </c>
      <c r="CA62" s="59" t="str">
        <f t="shared" si="63"/>
        <v>Woodhouse M</v>
      </c>
      <c r="CB62" s="59">
        <f t="shared" si="64"/>
        <v>0</v>
      </c>
      <c r="CC62" s="59" t="str">
        <f t="shared" si="65"/>
        <v>Woodhouse M</v>
      </c>
    </row>
    <row r="63" spans="2:81" x14ac:dyDescent="0.15">
      <c r="AP63" s="63"/>
      <c r="AR63" s="61"/>
      <c r="AT63" s="62"/>
      <c r="AU63" s="62"/>
      <c r="AW63" s="62"/>
      <c r="AX63" s="62"/>
      <c r="AY63" s="62"/>
      <c r="AZ63" s="62"/>
      <c r="BA63" s="62"/>
      <c r="BB63" s="62"/>
      <c r="BC63" s="62"/>
      <c r="BD63" s="62"/>
      <c r="BE63" s="62"/>
    </row>
    <row r="64" spans="2:81" x14ac:dyDescent="0.15">
      <c r="AT64" s="81">
        <f t="shared" ref="AT64:BB64" si="128">SUM(AT5:AT63)</f>
        <v>19</v>
      </c>
      <c r="AU64" s="81">
        <f t="shared" si="128"/>
        <v>14</v>
      </c>
      <c r="AV64" s="52">
        <f t="shared" si="128"/>
        <v>28</v>
      </c>
      <c r="AW64" s="64">
        <f t="shared" si="128"/>
        <v>63</v>
      </c>
      <c r="AX64" s="64">
        <f t="shared" si="128"/>
        <v>62</v>
      </c>
      <c r="AY64" s="64">
        <f t="shared" si="128"/>
        <v>18</v>
      </c>
      <c r="AZ64" s="64">
        <f t="shared" si="128"/>
        <v>4</v>
      </c>
      <c r="BA64" s="64">
        <f t="shared" si="128"/>
        <v>10</v>
      </c>
      <c r="BB64" s="64">
        <f t="shared" si="128"/>
        <v>0</v>
      </c>
      <c r="BC64" s="64"/>
      <c r="BD64" s="64"/>
      <c r="BE64" s="64"/>
      <c r="BF64" s="52">
        <f t="shared" ref="BF64:BK64" si="129">SUM(BF5:BF63)</f>
        <v>44</v>
      </c>
      <c r="BG64" s="52">
        <f t="shared" si="129"/>
        <v>425</v>
      </c>
      <c r="BH64" s="52">
        <f t="shared" si="129"/>
        <v>14</v>
      </c>
      <c r="BI64" s="52">
        <f t="shared" si="129"/>
        <v>4</v>
      </c>
      <c r="BJ64" s="52">
        <f t="shared" si="129"/>
        <v>7</v>
      </c>
      <c r="BK64" s="52">
        <f t="shared" si="129"/>
        <v>49</v>
      </c>
    </row>
    <row r="65" spans="2:83" x14ac:dyDescent="0.15">
      <c r="C65" s="59" t="s">
        <v>119</v>
      </c>
      <c r="D65" s="59">
        <f t="array" ref="D65">SUM(IF(NOT(ISERR(FIND("*",D5:D62))),1,0))</f>
        <v>1</v>
      </c>
      <c r="E65" s="59">
        <f t="array" ref="E65">SUM(IF(NOT(ISERR(FIND("*",E5:E62))),1,0))</f>
        <v>1</v>
      </c>
      <c r="F65" s="59">
        <f t="array" ref="F65">SUM(IF(NOT(ISERR(FIND("*",F5:F62))),1,0))</f>
        <v>1</v>
      </c>
      <c r="G65" s="59">
        <f t="array" ref="G65">SUM(IF(NOT(ISERR(FIND("*",G5:G62))),1,0))</f>
        <v>1</v>
      </c>
      <c r="H65" s="59">
        <f t="array" ref="H65">SUM(IF(NOT(ISERR(FIND("*",H5:H62))),1,0))</f>
        <v>1</v>
      </c>
      <c r="I65" s="59">
        <f t="array" ref="I65">SUM(IF(NOT(ISERR(FIND("*",I5:I62))),1,0))</f>
        <v>1</v>
      </c>
      <c r="J65" s="59">
        <f t="array" ref="J65">SUM(IF(NOT(ISERR(FIND("*",J5:J62))),1,0))</f>
        <v>1</v>
      </c>
      <c r="K65" s="59">
        <f t="array" ref="K65">SUM(IF(NOT(ISERR(FIND("*",K5:K62))),1,0))</f>
        <v>1</v>
      </c>
      <c r="L65" s="59">
        <f t="array" ref="L65">SUM(IF(NOT(ISERR(FIND("*",L5:L62))),1,0))</f>
        <v>1</v>
      </c>
      <c r="M65" s="59">
        <f t="array" ref="M65">SUM(IF(NOT(ISERR(FIND("*",M5:M62))),1,0))</f>
        <v>1</v>
      </c>
      <c r="N65" s="59">
        <f t="array" ref="N65">SUM(IF(NOT(ISERR(FIND("*",N5:N62))),1,0))</f>
        <v>1</v>
      </c>
      <c r="O65" s="59">
        <f t="array" ref="O65">SUM(IF(NOT(ISERR(FIND("*",O5:O62))),1,0))</f>
        <v>1</v>
      </c>
      <c r="P65" s="59">
        <f t="array" ref="P65">SUM(IF(NOT(ISERR(FIND("*",P5:P62))),1,0))</f>
        <v>1</v>
      </c>
      <c r="Q65" s="59">
        <f t="array" ref="Q65">SUM(IF(NOT(ISERR(FIND("*",Q5:Q62))),1,0))</f>
        <v>1</v>
      </c>
      <c r="R65" s="59">
        <f t="array" ref="R65">SUM(IF(NOT(ISERR(FIND("*",R5:R62))),1,0))</f>
        <v>1</v>
      </c>
      <c r="S65" s="59">
        <f t="array" ref="S65">SUM(IF(NOT(ISERR(FIND("*",S5:S62))),1,0))</f>
        <v>0</v>
      </c>
      <c r="T65" s="59">
        <f t="array" ref="T65">SUM(IF(NOT(ISERR(FIND("*",T5:T62))),1,0))</f>
        <v>0</v>
      </c>
      <c r="U65" s="59">
        <f t="array" ref="U65">SUM(IF(NOT(ISERR(FIND("*",U5:U62))),1,0))</f>
        <v>1</v>
      </c>
      <c r="V65" s="59">
        <f t="array" ref="V65">SUM(IF(NOT(ISERR(FIND("*",V5:V62))),1,0))</f>
        <v>1</v>
      </c>
      <c r="W65" s="59">
        <f t="array" ref="W65">SUM(IF(NOT(ISERR(FIND("*",W5:W62))),1,0))</f>
        <v>1</v>
      </c>
      <c r="X65" s="59">
        <f t="array" ref="X65">SUM(IF(NOT(ISERR(FIND("*",X5:X62))),1,0))</f>
        <v>1</v>
      </c>
      <c r="Y65" s="59">
        <f t="array" ref="Y65">SUM(IF(NOT(ISERR(FIND("*",Y5:Y62))),1,0))</f>
        <v>0</v>
      </c>
      <c r="Z65" s="59">
        <f t="array" ref="Z65">SUM(IF(NOT(ISERR(FIND("*",Z5:Z62))),1,0))</f>
        <v>0</v>
      </c>
      <c r="AA65" s="59">
        <f t="array" ref="AA65">SUM(IF(NOT(ISERR(FIND("*",AA5:AA62))),1,0))</f>
        <v>0</v>
      </c>
      <c r="AB65" s="59">
        <f t="array" ref="AB65">SUM(IF(NOT(ISERR(FIND("*",AB5:AB62))),1,0))</f>
        <v>0</v>
      </c>
      <c r="AC65" s="59">
        <f t="array" ref="AC65">SUM(IF(NOT(ISERR(FIND("*",AC5:AC62))),1,0))</f>
        <v>0</v>
      </c>
      <c r="AD65" s="59">
        <f t="array" ref="AD65">SUM(IF(NOT(ISERR(FIND("*",AD5:AD62))),1,0))</f>
        <v>0</v>
      </c>
      <c r="AE65" s="59">
        <f t="array" ref="AE65">SUM(IF(NOT(ISERR(FIND("*",AE5:AE62))),1,0))</f>
        <v>0</v>
      </c>
      <c r="AF65" s="59">
        <f t="array" ref="AF65">SUM(IF(NOT(ISERR(FIND("*",AF5:AF62))),1,0))</f>
        <v>0</v>
      </c>
      <c r="AK65" s="59">
        <f>SUM(D65:AG65)</f>
        <v>19</v>
      </c>
      <c r="AT65" s="82">
        <f>SUM(D65:AG65)</f>
        <v>19</v>
      </c>
      <c r="AU65" s="52"/>
      <c r="AV65" s="52"/>
      <c r="AW65" s="64">
        <f>SUM(AW64:BB64)</f>
        <v>157</v>
      </c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Q65"/>
      <c r="BR65"/>
    </row>
    <row r="66" spans="2:83" x14ac:dyDescent="0.15">
      <c r="C66" s="59" t="s">
        <v>13</v>
      </c>
      <c r="D66" s="59">
        <f t="array" ref="D66">SUM(IF(NOT(ISERR(FIND("+",D5:D62))),1,0))</f>
        <v>1</v>
      </c>
      <c r="E66" s="59">
        <f t="array" ref="E66">SUM(IF(NOT(ISERR(FIND("+",E5:E62))),1,0))</f>
        <v>1</v>
      </c>
      <c r="F66" s="59">
        <f t="array" ref="F66">SUM(IF(NOT(ISERR(FIND("+",F5:F62))),1,0))</f>
        <v>1</v>
      </c>
      <c r="G66" s="59">
        <f t="array" ref="G66">SUM(IF(NOT(ISERR(FIND("+",G5:G62))),1,0))</f>
        <v>1</v>
      </c>
      <c r="H66" s="59">
        <f t="array" ref="H66">SUM(IF(NOT(ISERR(FIND("+",H5:H62))),1,0))</f>
        <v>0</v>
      </c>
      <c r="I66" s="59">
        <f t="array" ref="I66">SUM(IF(NOT(ISERR(FIND("+",I5:I62))),1,0))</f>
        <v>1</v>
      </c>
      <c r="J66" s="59">
        <f t="array" ref="J66">SUM(IF(NOT(ISERR(FIND("+",J5:J62))),1,0))</f>
        <v>1</v>
      </c>
      <c r="K66" s="59">
        <f t="array" ref="K66">SUM(IF(NOT(ISERR(FIND("+",K5:K62))),1,0))</f>
        <v>1</v>
      </c>
      <c r="L66" s="59">
        <f t="array" ref="L66">SUM(IF(NOT(ISERR(FIND("+",L5:L62))),1,0))</f>
        <v>1</v>
      </c>
      <c r="M66" s="59">
        <f t="array" ref="M66">SUM(IF(NOT(ISERR(FIND("+",M5:M62))),1,0))</f>
        <v>1</v>
      </c>
      <c r="N66" s="59">
        <f t="array" ref="N66">SUM(IF(NOT(ISERR(FIND("+",N5:N62))),1,0))</f>
        <v>1</v>
      </c>
      <c r="O66" s="59">
        <f t="array" ref="O66">SUM(IF(NOT(ISERR(FIND("+",O5:O62))),1,0))</f>
        <v>1</v>
      </c>
      <c r="P66" s="59">
        <f t="array" ref="P66">SUM(IF(NOT(ISERR(FIND("+",P5:P62))),1,0))</f>
        <v>0</v>
      </c>
      <c r="Q66" s="59">
        <f t="array" ref="Q66">SUM(IF(NOT(ISERR(FIND("+",Q5:Q62))),1,0))</f>
        <v>1</v>
      </c>
      <c r="R66" s="59">
        <f t="array" ref="R66">SUM(IF(NOT(ISERR(FIND("+",R5:R62))),1,0))</f>
        <v>0</v>
      </c>
      <c r="S66" s="59">
        <f t="array" ref="S66">SUM(IF(NOT(ISERR(FIND("+",S5:S62))),1,0))</f>
        <v>1</v>
      </c>
      <c r="T66" s="59">
        <f t="array" ref="T66">SUM(IF(NOT(ISERR(FIND("+",T5:T62))),1,0))</f>
        <v>1</v>
      </c>
      <c r="U66" s="59">
        <f t="array" ref="U66">SUM(IF(NOT(ISERR(FIND("+",U5:U62))),1,0))</f>
        <v>0</v>
      </c>
      <c r="V66" s="59">
        <f t="array" ref="V66">SUM(IF(NOT(ISERR(FIND("+",V5:V62))),1,0))</f>
        <v>0</v>
      </c>
      <c r="W66" s="59">
        <f t="array" ref="W66">SUM(IF(NOT(ISERR(FIND("+",W5:W62))),1,0))</f>
        <v>0</v>
      </c>
      <c r="X66" s="59">
        <f t="array" ref="X66">SUM(IF(NOT(ISERR(FIND("+",X5:X62))),1,0))</f>
        <v>0</v>
      </c>
      <c r="Y66" s="59">
        <f t="array" ref="Y66">SUM(IF(NOT(ISERR(FIND("+",Y5:Y62))),1,0))</f>
        <v>0</v>
      </c>
      <c r="Z66" s="59">
        <f t="array" ref="Z66">SUM(IF(NOT(ISERR(FIND("+",Z5:Z62))),1,0))</f>
        <v>0</v>
      </c>
      <c r="AA66" s="59">
        <f t="array" ref="AA66">SUM(IF(NOT(ISERR(FIND("+",AA5:AA62))),1,0))</f>
        <v>0</v>
      </c>
      <c r="AB66" s="59">
        <f t="array" ref="AB66">SUM(IF(NOT(ISERR(FIND("+",AB5:AB62))),1,0))</f>
        <v>0</v>
      </c>
      <c r="AC66" s="59">
        <f t="array" ref="AC66">SUM(IF(NOT(ISERR(FIND("+",AC5:AC62))),1,0))</f>
        <v>0</v>
      </c>
      <c r="AD66" s="59">
        <f t="array" ref="AD66">SUM(IF(NOT(ISERR(FIND("+",AD5:AD62))),1,0))</f>
        <v>0</v>
      </c>
      <c r="AE66" s="59">
        <f t="array" ref="AE66">SUM(IF(NOT(ISERR(FIND("+",AE5:AE62))),1,0))</f>
        <v>0</v>
      </c>
      <c r="AF66" s="59">
        <f t="array" ref="AF66">SUM(IF(NOT(ISERR(FIND("+",AF5:AF62))),1,0))</f>
        <v>0</v>
      </c>
      <c r="AK66" s="59">
        <f>SUM(D66:AG66)</f>
        <v>14</v>
      </c>
      <c r="AT66" s="82">
        <f>SUM(D66:AG66)</f>
        <v>14</v>
      </c>
      <c r="AU66" s="52"/>
      <c r="AV66" s="52"/>
      <c r="AW66" s="97">
        <f t="shared" ref="AW66:BB66" si="130">AW64/$AW$65</f>
        <v>0.40127388535031849</v>
      </c>
      <c r="AX66" s="97">
        <f t="shared" si="130"/>
        <v>0.39490445859872614</v>
      </c>
      <c r="AY66" s="97">
        <f t="shared" si="130"/>
        <v>0.11464968152866242</v>
      </c>
      <c r="AZ66" s="97">
        <f t="shared" si="130"/>
        <v>2.5477707006369428E-2</v>
      </c>
      <c r="BA66" s="97">
        <f t="shared" si="130"/>
        <v>6.3694267515923567E-2</v>
      </c>
      <c r="BB66" s="97">
        <f t="shared" si="130"/>
        <v>0</v>
      </c>
      <c r="BC66" s="97"/>
      <c r="BD66" s="97"/>
      <c r="BE66" s="97"/>
      <c r="BF66" s="52"/>
      <c r="BG66" s="52"/>
      <c r="BH66" s="52"/>
      <c r="BI66" s="52"/>
      <c r="BJ66" s="52"/>
      <c r="BK66" s="52"/>
      <c r="BQ66"/>
      <c r="BR66"/>
    </row>
    <row r="67" spans="2:83" x14ac:dyDescent="0.15">
      <c r="BQ67"/>
      <c r="BR67"/>
    </row>
    <row r="68" spans="2:83" x14ac:dyDescent="0.15">
      <c r="C68" s="59" t="s">
        <v>110</v>
      </c>
      <c r="D68" s="59">
        <f t="shared" ref="D68:AF68" si="131">BatSplit(D5:D62,RunsScored)</f>
        <v>140</v>
      </c>
      <c r="E68" s="59">
        <f t="shared" si="131"/>
        <v>184</v>
      </c>
      <c r="F68" s="59">
        <f t="shared" si="131"/>
        <v>217</v>
      </c>
      <c r="G68" s="59">
        <f t="shared" si="131"/>
        <v>176</v>
      </c>
      <c r="H68" s="59">
        <f t="shared" si="131"/>
        <v>207</v>
      </c>
      <c r="I68" s="59">
        <f t="shared" si="131"/>
        <v>141</v>
      </c>
      <c r="J68" s="59">
        <f t="shared" si="131"/>
        <v>172</v>
      </c>
      <c r="K68" s="59">
        <f t="shared" si="131"/>
        <v>119</v>
      </c>
      <c r="L68" s="59">
        <f t="shared" si="131"/>
        <v>245</v>
      </c>
      <c r="M68" s="59">
        <f t="shared" si="131"/>
        <v>143</v>
      </c>
      <c r="N68" s="59">
        <f t="shared" si="131"/>
        <v>79</v>
      </c>
      <c r="O68" s="59">
        <f t="shared" si="131"/>
        <v>102</v>
      </c>
      <c r="P68" s="59">
        <f t="shared" si="131"/>
        <v>181</v>
      </c>
      <c r="Q68" s="59">
        <f t="shared" si="131"/>
        <v>147</v>
      </c>
      <c r="R68" s="59">
        <f t="shared" si="131"/>
        <v>166</v>
      </c>
      <c r="S68" s="59">
        <f t="shared" si="131"/>
        <v>154</v>
      </c>
      <c r="T68" s="59">
        <f t="shared" si="131"/>
        <v>127</v>
      </c>
      <c r="U68" s="59">
        <f t="shared" si="131"/>
        <v>42</v>
      </c>
      <c r="V68" s="59">
        <f t="shared" si="131"/>
        <v>108</v>
      </c>
      <c r="W68" s="59">
        <f t="shared" si="131"/>
        <v>111</v>
      </c>
      <c r="X68" s="59">
        <f t="shared" si="131"/>
        <v>153</v>
      </c>
      <c r="Y68" s="59">
        <f t="shared" si="131"/>
        <v>0</v>
      </c>
      <c r="Z68" s="59">
        <f t="shared" si="131"/>
        <v>0</v>
      </c>
      <c r="AA68" s="59">
        <f t="shared" si="131"/>
        <v>0</v>
      </c>
      <c r="AB68" s="59">
        <f t="shared" si="131"/>
        <v>0</v>
      </c>
      <c r="AC68" s="59">
        <f t="shared" si="131"/>
        <v>0</v>
      </c>
      <c r="AD68" s="59">
        <f t="shared" si="131"/>
        <v>0</v>
      </c>
      <c r="AE68" s="59">
        <f t="shared" si="131"/>
        <v>0</v>
      </c>
      <c r="AF68" s="59">
        <f t="shared" si="131"/>
        <v>0</v>
      </c>
      <c r="AK68" s="59">
        <f>SUM(D68:AG68)</f>
        <v>3114</v>
      </c>
      <c r="AM68" s="59">
        <f>SUM(AM5:AM63)</f>
        <v>193</v>
      </c>
      <c r="AN68" s="59">
        <f>SUM(AN5:AN63)</f>
        <v>36</v>
      </c>
      <c r="AO68" s="59">
        <f>SUM(AO5:AO62)</f>
        <v>593</v>
      </c>
      <c r="AQ68" s="59">
        <f>SUM(AQ5:AQ63)</f>
        <v>3114</v>
      </c>
      <c r="AT68" s="59">
        <f>SUM(D68:AG68)</f>
        <v>3114</v>
      </c>
      <c r="BQ68"/>
      <c r="BR68"/>
      <c r="BV68"/>
    </row>
    <row r="69" spans="2:83" x14ac:dyDescent="0.15">
      <c r="C69" s="59" t="s">
        <v>109</v>
      </c>
      <c r="D69" s="59">
        <f t="array" ref="D69:AF69">TRANSPOSE(Matches!Z5:Z32)</f>
        <v>11</v>
      </c>
      <c r="E69" s="59">
        <v>0</v>
      </c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  <c r="R69" s="59">
        <v>0</v>
      </c>
      <c r="S69" s="59">
        <v>0</v>
      </c>
      <c r="T69" s="59">
        <v>0</v>
      </c>
      <c r="U69" s="59">
        <v>0</v>
      </c>
      <c r="V69" s="59">
        <v>0</v>
      </c>
      <c r="W69" s="59">
        <v>0</v>
      </c>
      <c r="X69" s="59">
        <v>0</v>
      </c>
      <c r="Y69" s="59">
        <v>0</v>
      </c>
      <c r="Z69" s="59">
        <v>0</v>
      </c>
      <c r="AA69" s="59">
        <v>0</v>
      </c>
      <c r="AB69" s="59">
        <v>0</v>
      </c>
      <c r="AC69" s="59">
        <v>0</v>
      </c>
      <c r="AD69" s="59">
        <v>0</v>
      </c>
      <c r="AE69" s="59">
        <v>0</v>
      </c>
      <c r="AF69" s="59" t="e">
        <v>#N/A</v>
      </c>
      <c r="AK69" s="59">
        <f>SUM(D69:AE69)</f>
        <v>11</v>
      </c>
      <c r="AT69" s="59">
        <f>SUM(D69:AE69)</f>
        <v>11</v>
      </c>
      <c r="BS69"/>
      <c r="BT69"/>
    </row>
    <row r="70" spans="2:83" s="52" customFormat="1" x14ac:dyDescent="0.15">
      <c r="C70" s="52" t="s">
        <v>111</v>
      </c>
      <c r="D70" s="52">
        <f>D69+D68</f>
        <v>151</v>
      </c>
      <c r="E70" s="52">
        <f t="shared" ref="E70:AF70" si="132">E69+E68</f>
        <v>184</v>
      </c>
      <c r="F70" s="52">
        <f t="shared" si="132"/>
        <v>217</v>
      </c>
      <c r="G70" s="52">
        <f t="shared" si="132"/>
        <v>176</v>
      </c>
      <c r="H70" s="52">
        <f t="shared" si="132"/>
        <v>207</v>
      </c>
      <c r="I70" s="52">
        <f t="shared" si="132"/>
        <v>141</v>
      </c>
      <c r="J70" s="52">
        <f t="shared" si="132"/>
        <v>172</v>
      </c>
      <c r="K70" s="52">
        <f t="shared" si="132"/>
        <v>119</v>
      </c>
      <c r="L70" s="52">
        <f t="shared" si="132"/>
        <v>245</v>
      </c>
      <c r="M70" s="52">
        <f t="shared" si="132"/>
        <v>143</v>
      </c>
      <c r="N70" s="52">
        <f t="shared" si="132"/>
        <v>79</v>
      </c>
      <c r="O70" s="52">
        <f t="shared" si="132"/>
        <v>102</v>
      </c>
      <c r="P70" s="52">
        <f t="shared" si="132"/>
        <v>181</v>
      </c>
      <c r="Q70" s="52">
        <f t="shared" si="132"/>
        <v>147</v>
      </c>
      <c r="R70" s="52">
        <f t="shared" si="132"/>
        <v>166</v>
      </c>
      <c r="S70" s="52">
        <f t="shared" si="132"/>
        <v>154</v>
      </c>
      <c r="T70" s="52">
        <f t="shared" si="132"/>
        <v>127</v>
      </c>
      <c r="U70" s="52">
        <f t="shared" si="132"/>
        <v>42</v>
      </c>
      <c r="V70" s="52">
        <f t="shared" si="132"/>
        <v>108</v>
      </c>
      <c r="W70" s="52">
        <f t="shared" si="132"/>
        <v>111</v>
      </c>
      <c r="X70" s="52">
        <f t="shared" si="132"/>
        <v>153</v>
      </c>
      <c r="Y70" s="52">
        <f t="shared" si="132"/>
        <v>0</v>
      </c>
      <c r="Z70" s="52">
        <f t="shared" si="132"/>
        <v>0</v>
      </c>
      <c r="AA70" s="52">
        <f t="shared" si="132"/>
        <v>0</v>
      </c>
      <c r="AB70" s="52">
        <f t="shared" si="132"/>
        <v>0</v>
      </c>
      <c r="AC70" s="52">
        <f t="shared" si="132"/>
        <v>0</v>
      </c>
      <c r="AD70" s="52">
        <f t="shared" si="132"/>
        <v>0</v>
      </c>
      <c r="AE70" s="52">
        <f t="shared" si="132"/>
        <v>0</v>
      </c>
      <c r="AF70" s="52" t="e">
        <f t="shared" si="132"/>
        <v>#N/A</v>
      </c>
      <c r="AK70" s="59">
        <f>SUM(D70:AE70)</f>
        <v>3125</v>
      </c>
      <c r="AM70" s="59" t="s">
        <v>32</v>
      </c>
      <c r="AN70" s="59">
        <f>AM68-AN68</f>
        <v>157</v>
      </c>
      <c r="AO70" s="59"/>
      <c r="AP70" s="59"/>
      <c r="AQ70" s="59"/>
      <c r="AT70" s="52">
        <f>SUM(D70:AE70)</f>
        <v>3125</v>
      </c>
      <c r="BQ70" s="59"/>
      <c r="BR70" s="59"/>
      <c r="BS70"/>
      <c r="BT70" s="59"/>
      <c r="BU70" s="59"/>
      <c r="BV70"/>
      <c r="BW70" s="59"/>
    </row>
    <row r="71" spans="2:83" x14ac:dyDescent="0.15">
      <c r="D71" s="46"/>
      <c r="AM71" s="59" t="s">
        <v>33</v>
      </c>
      <c r="AN71" s="59">
        <f>AK70/AN70</f>
        <v>19.904458598726116</v>
      </c>
      <c r="BS71"/>
      <c r="BV71"/>
    </row>
    <row r="72" spans="2:83" x14ac:dyDescent="0.15">
      <c r="C72" s="59" t="s">
        <v>195</v>
      </c>
      <c r="D72" s="46" t="str">
        <f>INDEX($C$5:$C$62,findcellcontaining("*",D5:D62))</f>
        <v>Springer T</v>
      </c>
      <c r="E72" s="46" t="str">
        <f>INDEX($C$5:$C$62,findcellcontaining("*",E5:E62))</f>
        <v>Springer T</v>
      </c>
      <c r="F72" s="46" t="str">
        <f>INDEX($C$5:$C$62,findcellcontaining("*",F5:F62))</f>
        <v>Springer T</v>
      </c>
      <c r="G72" s="46" t="str">
        <f>INDEX($C$5:$C$62,findcellcontaining("*",G5:G62))</f>
        <v>Springer T</v>
      </c>
      <c r="H72" s="46" t="str">
        <f>INDEX($C$5:$C$62,findcellcontaining("*",H5:H62))</f>
        <v>Springer T</v>
      </c>
      <c r="I72" s="46" t="str">
        <f>INDEX($C$5:$C$62,findcellcontaining("*",I5:I62))</f>
        <v>Seymour C</v>
      </c>
      <c r="J72" s="46" t="str">
        <f>INDEX($C$5:$C$62,findcellcontaining("*",J5:J62))</f>
        <v>Nair S</v>
      </c>
      <c r="K72" s="46" t="str">
        <f>INDEX($C$5:$C$62,findcellcontaining("*",K5:K62))</f>
        <v>Bhatt P</v>
      </c>
      <c r="L72" s="46" t="str">
        <f>INDEX($C$5:$C$62,findcellcontaining("*",L5:L62))</f>
        <v>Springer T</v>
      </c>
      <c r="M72" s="46" t="str">
        <f>INDEX($C$5:$C$62,findcellcontaining("*",M5:M62))</f>
        <v>Springer T</v>
      </c>
      <c r="N72" s="46" t="str">
        <f>INDEX($C$5:$C$62,findcellcontaining("*",N5:N62))</f>
        <v>Springer T</v>
      </c>
      <c r="O72" s="46" t="str">
        <f>INDEX($C$5:$C$62,findcellcontaining("*",O5:O62))</f>
        <v>Springer T</v>
      </c>
      <c r="P72" s="46" t="str">
        <f>INDEX($C$5:$C$62,findcellcontaining("*",P5:P62))</f>
        <v>Seymour C</v>
      </c>
      <c r="Q72" s="46" t="str">
        <f>INDEX($C$5:$C$62,findcellcontaining("*",Q5:Q62))</f>
        <v>Springer T</v>
      </c>
      <c r="R72" s="46" t="str">
        <f>INDEX($C$5:$C$62,findcellcontaining("*",R5:R62))</f>
        <v>Springer T</v>
      </c>
      <c r="S72" s="46" t="e">
        <f>INDEX($C$5:$C$62,findcellcontaining("*",S5:S62))</f>
        <v>#N/A</v>
      </c>
      <c r="T72" s="46" t="e">
        <f>INDEX($C$5:$C$62,findcellcontaining("*",T5:T62))</f>
        <v>#N/A</v>
      </c>
      <c r="U72" s="46" t="str">
        <f>INDEX($C$5:$C$62,findcellcontaining("*",U5:U62))</f>
        <v>Springer T</v>
      </c>
      <c r="V72" s="46" t="str">
        <f>INDEX($C$5:$C$62,findcellcontaining("*",V5:V62))</f>
        <v>Springer T</v>
      </c>
      <c r="W72" s="46" t="str">
        <f>INDEX($C$5:$C$62,findcellcontaining("*",W5:W62))</f>
        <v>Springer T</v>
      </c>
      <c r="X72" s="46" t="str">
        <f>INDEX($C$5:$C$62,findcellcontaining("*",X5:X62))</f>
        <v>Springer T</v>
      </c>
      <c r="Y72" s="46" t="e">
        <f>INDEX($C$5:$C$62,findcellcontaining("*",Y5:Y62))</f>
        <v>#N/A</v>
      </c>
      <c r="Z72" s="46" t="e">
        <f>INDEX($C$5:$C$62,findcellcontaining("*",Z5:Z62))</f>
        <v>#N/A</v>
      </c>
      <c r="AA72" s="46" t="e">
        <f>INDEX($C$5:$C$62,findcellcontaining("*",AA5:AA62))</f>
        <v>#N/A</v>
      </c>
      <c r="AB72" s="46" t="e">
        <f>INDEX($C$5:$C$62,findcellcontaining("*",AB5:AB62))</f>
        <v>#N/A</v>
      </c>
      <c r="AC72" s="46" t="e">
        <f>INDEX($C$5:$C$62,findcellcontaining("*",AC5:AC62))</f>
        <v>#N/A</v>
      </c>
      <c r="AD72" s="46" t="e">
        <f>INDEX($C$5:$C$62,findcellcontaining("*",AD5:AD62))</f>
        <v>#N/A</v>
      </c>
      <c r="AE72" s="46" t="e">
        <f>INDEX($C$5:$C$62,findcellcontaining("*",AE5:AE62))</f>
        <v>#N/A</v>
      </c>
      <c r="AF72" s="46"/>
      <c r="AG72" s="46"/>
      <c r="AH72" s="46"/>
      <c r="AI72" s="46"/>
      <c r="AJ72" s="46"/>
      <c r="BS72"/>
    </row>
    <row r="73" spans="2:83" x14ac:dyDescent="0.15">
      <c r="C73" s="106"/>
      <c r="AT73" s="105"/>
      <c r="BS73"/>
      <c r="BW73"/>
    </row>
    <row r="74" spans="2:83" x14ac:dyDescent="0.15">
      <c r="B74" s="59">
        <f>MAX(D74:AE74)</f>
        <v>3</v>
      </c>
      <c r="C74" s="59" t="s">
        <v>22</v>
      </c>
      <c r="D74" s="59">
        <f t="shared" ref="D74:AE74" si="133">BatSplit(D5:D62,Sixes)</f>
        <v>1</v>
      </c>
      <c r="E74" s="59">
        <f t="shared" si="133"/>
        <v>2</v>
      </c>
      <c r="F74" s="59">
        <f t="shared" si="133"/>
        <v>0</v>
      </c>
      <c r="G74" s="59">
        <f t="shared" si="133"/>
        <v>0</v>
      </c>
      <c r="H74" s="59">
        <f t="shared" si="133"/>
        <v>0</v>
      </c>
      <c r="I74" s="59">
        <f t="shared" si="133"/>
        <v>0</v>
      </c>
      <c r="J74" s="59">
        <f t="shared" si="133"/>
        <v>1</v>
      </c>
      <c r="K74" s="59">
        <f t="shared" si="133"/>
        <v>0</v>
      </c>
      <c r="L74" s="59">
        <f t="shared" si="133"/>
        <v>1</v>
      </c>
      <c r="M74" s="59">
        <f t="shared" si="133"/>
        <v>2</v>
      </c>
      <c r="N74" s="59">
        <f t="shared" si="133"/>
        <v>0</v>
      </c>
      <c r="O74" s="59">
        <f t="shared" si="133"/>
        <v>1</v>
      </c>
      <c r="P74" s="59">
        <f t="shared" si="133"/>
        <v>3</v>
      </c>
      <c r="Q74" s="59">
        <f t="shared" si="133"/>
        <v>0</v>
      </c>
      <c r="R74" s="59">
        <f t="shared" si="133"/>
        <v>0</v>
      </c>
      <c r="S74" s="59">
        <f t="shared" si="133"/>
        <v>0</v>
      </c>
      <c r="T74" s="59">
        <f t="shared" si="133"/>
        <v>0</v>
      </c>
      <c r="U74" s="59">
        <f t="shared" si="133"/>
        <v>0</v>
      </c>
      <c r="V74" s="59">
        <f t="shared" si="133"/>
        <v>1</v>
      </c>
      <c r="W74" s="59">
        <f t="shared" si="133"/>
        <v>0</v>
      </c>
      <c r="X74" s="59">
        <f t="shared" si="133"/>
        <v>2</v>
      </c>
      <c r="Y74" s="59">
        <f t="shared" si="133"/>
        <v>0</v>
      </c>
      <c r="Z74" s="59">
        <f t="shared" si="133"/>
        <v>0</v>
      </c>
      <c r="AA74" s="59">
        <f t="shared" si="133"/>
        <v>0</v>
      </c>
      <c r="AB74" s="59">
        <f t="shared" si="133"/>
        <v>0</v>
      </c>
      <c r="AC74" s="59">
        <f t="shared" si="133"/>
        <v>0</v>
      </c>
      <c r="AD74" s="59">
        <f t="shared" si="133"/>
        <v>0</v>
      </c>
      <c r="AE74" s="59">
        <f t="shared" si="133"/>
        <v>0</v>
      </c>
      <c r="BQ74"/>
      <c r="BR74"/>
      <c r="BS74"/>
      <c r="BU74"/>
      <c r="BV74"/>
      <c r="BW74"/>
      <c r="BX74"/>
      <c r="BY74"/>
      <c r="BZ74"/>
      <c r="CA74"/>
      <c r="CB74"/>
      <c r="CC74"/>
      <c r="CD74"/>
      <c r="CE74"/>
    </row>
    <row r="75" spans="2:83" x14ac:dyDescent="0.15">
      <c r="B75" s="59">
        <f>MAX(D75:AE75)</f>
        <v>36</v>
      </c>
      <c r="C75" s="59" t="s">
        <v>21</v>
      </c>
      <c r="D75" s="59">
        <f t="shared" ref="D75:AE75" si="134">BatSplit(D5:D62,Fours)</f>
        <v>14</v>
      </c>
      <c r="E75" s="59">
        <f t="shared" si="134"/>
        <v>23</v>
      </c>
      <c r="F75" s="59">
        <f t="shared" si="134"/>
        <v>36</v>
      </c>
      <c r="G75" s="59">
        <f t="shared" si="134"/>
        <v>21</v>
      </c>
      <c r="H75" s="59">
        <f t="shared" si="134"/>
        <v>23</v>
      </c>
      <c r="I75" s="59">
        <f t="shared" si="134"/>
        <v>22</v>
      </c>
      <c r="J75" s="59">
        <f t="shared" si="134"/>
        <v>29</v>
      </c>
      <c r="K75" s="59">
        <f t="shared" si="134"/>
        <v>12</v>
      </c>
      <c r="L75" s="59">
        <f t="shared" si="134"/>
        <v>33</v>
      </c>
      <c r="M75" s="59">
        <f t="shared" si="134"/>
        <v>20</v>
      </c>
      <c r="N75" s="59">
        <f t="shared" si="134"/>
        <v>17</v>
      </c>
      <c r="O75" s="59">
        <f t="shared" si="134"/>
        <v>15</v>
      </c>
      <c r="P75" s="59">
        <f t="shared" si="134"/>
        <v>25</v>
      </c>
      <c r="Q75" s="59">
        <f t="shared" si="134"/>
        <v>16</v>
      </c>
      <c r="R75" s="59">
        <f t="shared" si="134"/>
        <v>23</v>
      </c>
      <c r="S75" s="59">
        <f t="shared" si="134"/>
        <v>24</v>
      </c>
      <c r="T75" s="59">
        <f t="shared" si="134"/>
        <v>18</v>
      </c>
      <c r="U75" s="59">
        <f t="shared" si="134"/>
        <v>7</v>
      </c>
      <c r="V75" s="59">
        <f t="shared" si="134"/>
        <v>7</v>
      </c>
      <c r="W75" s="59">
        <f t="shared" si="134"/>
        <v>17</v>
      </c>
      <c r="X75" s="59">
        <f t="shared" si="134"/>
        <v>23</v>
      </c>
      <c r="Y75" s="59">
        <f t="shared" si="134"/>
        <v>0</v>
      </c>
      <c r="Z75" s="59">
        <f t="shared" si="134"/>
        <v>0</v>
      </c>
      <c r="AA75" s="59">
        <f t="shared" si="134"/>
        <v>0</v>
      </c>
      <c r="AB75" s="59">
        <f t="shared" si="134"/>
        <v>0</v>
      </c>
      <c r="AC75" s="59">
        <f t="shared" si="134"/>
        <v>0</v>
      </c>
      <c r="AD75" s="59">
        <f t="shared" si="134"/>
        <v>0</v>
      </c>
      <c r="AE75" s="59">
        <f t="shared" si="134"/>
        <v>0</v>
      </c>
      <c r="BD75"/>
      <c r="BE75"/>
      <c r="BF75"/>
      <c r="BQ75"/>
      <c r="BR75"/>
      <c r="BS75"/>
      <c r="BT75"/>
      <c r="BU75" s="52"/>
      <c r="BV75"/>
      <c r="BW75"/>
      <c r="BX75"/>
      <c r="BY75"/>
    </row>
    <row r="76" spans="2:83" x14ac:dyDescent="0.15">
      <c r="C76" t="s">
        <v>20</v>
      </c>
      <c r="D76" s="59">
        <f t="shared" ref="D76:Z76" si="135">BatSplit(D5:D62,Catches)</f>
        <v>2</v>
      </c>
      <c r="E76">
        <f t="shared" si="135"/>
        <v>3</v>
      </c>
      <c r="F76" s="59">
        <f t="shared" si="135"/>
        <v>2</v>
      </c>
      <c r="G76" s="59">
        <f t="shared" si="135"/>
        <v>3</v>
      </c>
      <c r="H76">
        <f t="shared" si="135"/>
        <v>3</v>
      </c>
      <c r="I76" s="59">
        <f t="shared" si="135"/>
        <v>0</v>
      </c>
      <c r="J76" s="59">
        <f t="shared" si="135"/>
        <v>2</v>
      </c>
      <c r="K76" s="59">
        <f t="shared" si="135"/>
        <v>0</v>
      </c>
      <c r="L76" s="59">
        <f t="shared" si="135"/>
        <v>6</v>
      </c>
      <c r="M76" s="59">
        <f t="shared" si="135"/>
        <v>2</v>
      </c>
      <c r="N76" s="59">
        <f t="shared" si="135"/>
        <v>2</v>
      </c>
      <c r="O76" s="59">
        <f t="shared" si="135"/>
        <v>6</v>
      </c>
      <c r="P76" s="59">
        <f t="shared" si="135"/>
        <v>2</v>
      </c>
      <c r="Q76" s="59">
        <f t="shared" si="135"/>
        <v>0</v>
      </c>
      <c r="R76" s="59">
        <f t="shared" si="135"/>
        <v>2</v>
      </c>
      <c r="S76" s="59">
        <f t="shared" si="135"/>
        <v>4</v>
      </c>
      <c r="T76" s="59">
        <f t="shared" si="135"/>
        <v>2</v>
      </c>
      <c r="U76" s="59">
        <f t="shared" si="135"/>
        <v>1</v>
      </c>
      <c r="V76" s="59">
        <f t="shared" si="135"/>
        <v>0</v>
      </c>
      <c r="W76" s="59">
        <f t="shared" si="135"/>
        <v>1</v>
      </c>
      <c r="X76" s="59">
        <f t="shared" si="135"/>
        <v>1</v>
      </c>
      <c r="Y76" s="59">
        <f t="shared" si="135"/>
        <v>0</v>
      </c>
      <c r="Z76" s="59">
        <f t="shared" si="135"/>
        <v>0</v>
      </c>
      <c r="BQ76"/>
      <c r="BR76"/>
      <c r="BX76"/>
      <c r="BY76"/>
      <c r="CB76"/>
      <c r="CC76"/>
    </row>
    <row r="77" spans="2:83" x14ac:dyDescent="0.15">
      <c r="C77" t="s">
        <v>215</v>
      </c>
      <c r="D77" s="59">
        <f t="shared" ref="D77:Z77" si="136">BatSplit(D5:D62,HighestScore)</f>
        <v>-50</v>
      </c>
      <c r="E77" s="59">
        <f t="shared" si="136"/>
        <v>-114</v>
      </c>
      <c r="F77" s="59">
        <f t="shared" si="136"/>
        <v>64</v>
      </c>
      <c r="G77" s="59">
        <f t="shared" si="136"/>
        <v>70</v>
      </c>
      <c r="H77" s="59">
        <f t="shared" si="136"/>
        <v>90</v>
      </c>
      <c r="I77" s="59">
        <f t="shared" si="136"/>
        <v>33</v>
      </c>
      <c r="J77" s="59">
        <f t="shared" si="136"/>
        <v>43</v>
      </c>
      <c r="K77" s="59">
        <f t="shared" si="136"/>
        <v>37</v>
      </c>
      <c r="L77" s="59">
        <f t="shared" si="136"/>
        <v>86</v>
      </c>
      <c r="M77" s="59">
        <f t="shared" si="136"/>
        <v>86</v>
      </c>
      <c r="N77" s="59">
        <f t="shared" si="136"/>
        <v>-27</v>
      </c>
      <c r="O77" s="59">
        <f t="shared" si="136"/>
        <v>-69</v>
      </c>
      <c r="P77" s="59">
        <f t="shared" si="136"/>
        <v>47</v>
      </c>
      <c r="Q77" s="59">
        <f t="shared" si="136"/>
        <v>49</v>
      </c>
      <c r="R77" s="59">
        <f t="shared" si="136"/>
        <v>45</v>
      </c>
      <c r="S77" s="59">
        <f t="shared" si="136"/>
        <v>84</v>
      </c>
      <c r="T77" s="59">
        <f t="shared" si="136"/>
        <v>29</v>
      </c>
      <c r="U77" s="59">
        <f t="shared" si="136"/>
        <v>15</v>
      </c>
      <c r="V77" s="59">
        <f t="shared" si="136"/>
        <v>35</v>
      </c>
      <c r="W77" s="59">
        <f t="shared" si="136"/>
        <v>36</v>
      </c>
      <c r="X77" s="59">
        <f t="shared" si="136"/>
        <v>52</v>
      </c>
      <c r="Y77" s="59">
        <f t="shared" si="136"/>
        <v>0</v>
      </c>
      <c r="Z77" s="59">
        <f t="shared" si="136"/>
        <v>0</v>
      </c>
      <c r="BD77"/>
      <c r="BE77"/>
      <c r="BF77"/>
      <c r="BX77"/>
      <c r="BY77"/>
      <c r="CB77"/>
      <c r="CC77"/>
    </row>
    <row r="78" spans="2:83" x14ac:dyDescent="0.15">
      <c r="C78"/>
      <c r="AI78"/>
      <c r="AJ78"/>
      <c r="AK78"/>
      <c r="AL78"/>
      <c r="AM78"/>
      <c r="AN78"/>
      <c r="BD78"/>
      <c r="BE78"/>
      <c r="BF78"/>
    </row>
    <row r="79" spans="2:83" x14ac:dyDescent="0.15">
      <c r="C79" t="s">
        <v>216</v>
      </c>
      <c r="D79" s="59" t="str">
        <f t="shared" ref="D79:Z79" si="137">IF(BatSplit(D5,RunsScored)&gt;=50,BatSplit(D5,RunsScored)&amp;IF(BatSplit(D5,NotOuts)=1,"*","")&amp;"|"&amp;$C5&amp;"|"&amp;D$2&amp;"|"&amp;TEXT(D$1,"dd-mmm"),"x")</f>
        <v>x</v>
      </c>
      <c r="E79" s="59" t="str">
        <f t="shared" si="137"/>
        <v>x</v>
      </c>
      <c r="F79" s="59" t="str">
        <f t="shared" si="137"/>
        <v>x</v>
      </c>
      <c r="G79" s="59" t="str">
        <f t="shared" si="137"/>
        <v>x</v>
      </c>
      <c r="H79" s="59" t="str">
        <f t="shared" si="137"/>
        <v>x</v>
      </c>
      <c r="I79" s="59" t="str">
        <f t="shared" si="137"/>
        <v>x</v>
      </c>
      <c r="J79" s="59" t="str">
        <f t="shared" si="137"/>
        <v>x</v>
      </c>
      <c r="K79" s="59" t="str">
        <f t="shared" si="137"/>
        <v>x</v>
      </c>
      <c r="L79" s="59" t="str">
        <f t="shared" si="137"/>
        <v>x</v>
      </c>
      <c r="M79" s="59" t="str">
        <f t="shared" si="137"/>
        <v>x</v>
      </c>
      <c r="N79" s="59" t="str">
        <f t="shared" si="137"/>
        <v>x</v>
      </c>
      <c r="O79" s="59" t="str">
        <f t="shared" si="137"/>
        <v>x</v>
      </c>
      <c r="P79" s="59" t="str">
        <f t="shared" si="137"/>
        <v>x</v>
      </c>
      <c r="Q79" s="59" t="str">
        <f t="shared" si="137"/>
        <v>x</v>
      </c>
      <c r="R79" s="59" t="str">
        <f t="shared" si="137"/>
        <v>x</v>
      </c>
      <c r="S79" s="59" t="str">
        <f t="shared" si="137"/>
        <v>x</v>
      </c>
      <c r="T79" s="59" t="str">
        <f t="shared" si="137"/>
        <v>x</v>
      </c>
      <c r="U79" s="59" t="str">
        <f t="shared" si="137"/>
        <v>x</v>
      </c>
      <c r="V79" s="59" t="str">
        <f t="shared" si="137"/>
        <v>x</v>
      </c>
      <c r="W79" s="59" t="str">
        <f t="shared" si="137"/>
        <v>x</v>
      </c>
      <c r="X79" s="59" t="str">
        <f t="shared" si="137"/>
        <v>x</v>
      </c>
      <c r="Y79" s="59" t="str">
        <f t="shared" si="137"/>
        <v>x</v>
      </c>
      <c r="Z79" s="59" t="str">
        <f t="shared" si="137"/>
        <v>x</v>
      </c>
      <c r="AI79"/>
      <c r="AJ79"/>
      <c r="AK79"/>
      <c r="AL79"/>
      <c r="AM79"/>
      <c r="AN79"/>
      <c r="BD79"/>
      <c r="BE79"/>
      <c r="BF79"/>
      <c r="BV79"/>
      <c r="BW79"/>
    </row>
    <row r="80" spans="2:83" x14ac:dyDescent="0.15">
      <c r="D80" s="59" t="str">
        <f t="shared" ref="D80:Z80" si="138">IF(BatSplit(D6,RunsScored)&gt;=50,BatSplit(D6,RunsScored)&amp;IF(BatSplit(D6,NotOuts)=1,"*","")&amp;"|"&amp;$C6&amp;"|"&amp;D$2&amp;"|"&amp;TEXT(D$1,"dd-mmm"),"x")</f>
        <v>x</v>
      </c>
      <c r="E80" s="59" t="str">
        <f t="shared" si="138"/>
        <v>x</v>
      </c>
      <c r="F80" s="59" t="str">
        <f t="shared" si="138"/>
        <v>x</v>
      </c>
      <c r="G80" s="59" t="str">
        <f t="shared" si="138"/>
        <v>x</v>
      </c>
      <c r="H80" s="59" t="str">
        <f t="shared" si="138"/>
        <v>90|Ahmed R|Woodgreen|28-May</v>
      </c>
      <c r="I80" s="59" t="str">
        <f t="shared" si="138"/>
        <v>x</v>
      </c>
      <c r="J80" s="59" t="str">
        <f t="shared" si="138"/>
        <v>x</v>
      </c>
      <c r="K80" s="59" t="str">
        <f t="shared" si="138"/>
        <v>x</v>
      </c>
      <c r="L80" s="59" t="str">
        <f t="shared" si="138"/>
        <v>86|Ahmed R|Richmond Leg Breakers|18-Jun</v>
      </c>
      <c r="M80" s="59" t="str">
        <f t="shared" si="138"/>
        <v>x</v>
      </c>
      <c r="N80" s="59" t="str">
        <f t="shared" si="138"/>
        <v>x</v>
      </c>
      <c r="O80" s="59" t="str">
        <f t="shared" si="138"/>
        <v>x</v>
      </c>
      <c r="P80" s="59" t="str">
        <f t="shared" si="138"/>
        <v>x</v>
      </c>
      <c r="Q80" s="59" t="str">
        <f t="shared" si="138"/>
        <v>x</v>
      </c>
      <c r="R80" s="59" t="str">
        <f t="shared" si="138"/>
        <v>x</v>
      </c>
      <c r="S80" s="59" t="str">
        <f t="shared" si="138"/>
        <v>x</v>
      </c>
      <c r="T80" s="59" t="str">
        <f t="shared" si="138"/>
        <v>x</v>
      </c>
      <c r="U80" s="59" t="str">
        <f t="shared" si="138"/>
        <v>x</v>
      </c>
      <c r="V80" s="59" t="str">
        <f t="shared" si="138"/>
        <v>x</v>
      </c>
      <c r="W80" s="59" t="str">
        <f t="shared" si="138"/>
        <v>x</v>
      </c>
      <c r="X80" s="59" t="str">
        <f t="shared" si="138"/>
        <v>x</v>
      </c>
      <c r="Y80" s="59" t="str">
        <f t="shared" si="138"/>
        <v>x</v>
      </c>
      <c r="Z80" s="59" t="str">
        <f t="shared" si="138"/>
        <v>x</v>
      </c>
      <c r="AI80"/>
      <c r="AJ80"/>
      <c r="AK80"/>
      <c r="AL80"/>
      <c r="AM80"/>
      <c r="AN80"/>
      <c r="BV80"/>
      <c r="BW80"/>
    </row>
    <row r="81" spans="4:79" x14ac:dyDescent="0.15">
      <c r="D81" s="59" t="str">
        <f t="shared" ref="D81:Z81" si="139">IF(BatSplit(D7,RunsScored)&gt;=50,BatSplit(D7,RunsScored)&amp;IF(BatSplit(D7,NotOuts)=1,"*","")&amp;"|"&amp;$C7&amp;"|"&amp;D$2&amp;"|"&amp;TEXT(D$1,"dd-mmm"),"x")</f>
        <v>x</v>
      </c>
      <c r="E81" s="59" t="str">
        <f t="shared" si="139"/>
        <v>x</v>
      </c>
      <c r="F81" s="59" t="str">
        <f t="shared" si="139"/>
        <v>x</v>
      </c>
      <c r="G81" s="59" t="str">
        <f t="shared" si="139"/>
        <v>x</v>
      </c>
      <c r="H81" s="59" t="str">
        <f t="shared" si="139"/>
        <v>x</v>
      </c>
      <c r="I81" s="59" t="str">
        <f t="shared" si="139"/>
        <v>x</v>
      </c>
      <c r="J81" s="59" t="str">
        <f t="shared" si="139"/>
        <v>x</v>
      </c>
      <c r="K81" s="59" t="str">
        <f t="shared" si="139"/>
        <v>x</v>
      </c>
      <c r="L81" s="59" t="str">
        <f t="shared" si="139"/>
        <v>x</v>
      </c>
      <c r="M81" s="59" t="str">
        <f t="shared" si="139"/>
        <v>x</v>
      </c>
      <c r="N81" s="59" t="str">
        <f t="shared" si="139"/>
        <v>x</v>
      </c>
      <c r="O81" s="59" t="str">
        <f t="shared" si="139"/>
        <v>x</v>
      </c>
      <c r="P81" s="59" t="str">
        <f t="shared" si="139"/>
        <v>x</v>
      </c>
      <c r="Q81" s="59" t="str">
        <f t="shared" si="139"/>
        <v>x</v>
      </c>
      <c r="R81" s="59" t="str">
        <f t="shared" si="139"/>
        <v>x</v>
      </c>
      <c r="S81" s="59" t="str">
        <f t="shared" si="139"/>
        <v>x</v>
      </c>
      <c r="T81" s="59" t="str">
        <f t="shared" si="139"/>
        <v>x</v>
      </c>
      <c r="U81" s="59" t="str">
        <f t="shared" si="139"/>
        <v>x</v>
      </c>
      <c r="V81" s="59" t="str">
        <f t="shared" si="139"/>
        <v>x</v>
      </c>
      <c r="W81" s="59" t="str">
        <f t="shared" si="139"/>
        <v>x</v>
      </c>
      <c r="X81" s="59" t="str">
        <f t="shared" si="139"/>
        <v>x</v>
      </c>
      <c r="Y81" s="59" t="str">
        <f t="shared" si="139"/>
        <v>x</v>
      </c>
      <c r="Z81" s="59" t="str">
        <f t="shared" si="139"/>
        <v>x</v>
      </c>
      <c r="AI81"/>
      <c r="AJ81"/>
      <c r="AM81"/>
      <c r="AN81"/>
      <c r="BS81"/>
      <c r="BV81"/>
      <c r="BW81"/>
    </row>
    <row r="82" spans="4:79" x14ac:dyDescent="0.15">
      <c r="D82" s="59" t="str">
        <f t="shared" ref="D82:Z82" si="140">IF(BatSplit(D8,RunsScored)&gt;=50,BatSplit(D8,RunsScored)&amp;IF(BatSplit(D8,NotOuts)=1,"*","")&amp;"|"&amp;$C8&amp;"|"&amp;D$2&amp;"|"&amp;TEXT(D$1,"dd-mmm"),"x")</f>
        <v>x</v>
      </c>
      <c r="E82" s="59" t="str">
        <f t="shared" si="140"/>
        <v>x</v>
      </c>
      <c r="F82" s="59" t="str">
        <f t="shared" si="140"/>
        <v>x</v>
      </c>
      <c r="G82" s="59" t="str">
        <f t="shared" si="140"/>
        <v>x</v>
      </c>
      <c r="H82" s="59" t="str">
        <f t="shared" si="140"/>
        <v>x</v>
      </c>
      <c r="I82" s="59" t="str">
        <f t="shared" si="140"/>
        <v>x</v>
      </c>
      <c r="J82" s="59" t="str">
        <f t="shared" si="140"/>
        <v>x</v>
      </c>
      <c r="K82" s="59" t="str">
        <f t="shared" si="140"/>
        <v>x</v>
      </c>
      <c r="L82" s="59" t="str">
        <f t="shared" si="140"/>
        <v>x</v>
      </c>
      <c r="M82" s="59" t="str">
        <f t="shared" si="140"/>
        <v>x</v>
      </c>
      <c r="N82" s="59" t="str">
        <f t="shared" si="140"/>
        <v>x</v>
      </c>
      <c r="O82" s="59" t="str">
        <f t="shared" si="140"/>
        <v>x</v>
      </c>
      <c r="P82" s="59" t="str">
        <f t="shared" si="140"/>
        <v>x</v>
      </c>
      <c r="Q82" s="59" t="str">
        <f t="shared" si="140"/>
        <v>x</v>
      </c>
      <c r="R82" s="59" t="str">
        <f t="shared" si="140"/>
        <v>x</v>
      </c>
      <c r="S82" s="59" t="str">
        <f t="shared" si="140"/>
        <v>x</v>
      </c>
      <c r="T82" s="59" t="str">
        <f t="shared" si="140"/>
        <v>x</v>
      </c>
      <c r="U82" s="59" t="str">
        <f t="shared" si="140"/>
        <v>x</v>
      </c>
      <c r="V82" s="59" t="str">
        <f t="shared" si="140"/>
        <v>x</v>
      </c>
      <c r="W82" s="59" t="str">
        <f t="shared" si="140"/>
        <v>x</v>
      </c>
      <c r="X82" s="59" t="str">
        <f t="shared" si="140"/>
        <v>x</v>
      </c>
      <c r="Y82" s="59" t="str">
        <f t="shared" si="140"/>
        <v>x</v>
      </c>
      <c r="Z82" s="59" t="str">
        <f t="shared" si="140"/>
        <v>x</v>
      </c>
      <c r="AI82"/>
      <c r="AJ82"/>
      <c r="AK82"/>
      <c r="AL82"/>
      <c r="BQ82"/>
      <c r="BR82"/>
      <c r="BS82" s="52"/>
      <c r="BV82"/>
      <c r="BW82"/>
    </row>
    <row r="83" spans="4:79" x14ac:dyDescent="0.15">
      <c r="D83" s="59" t="str">
        <f t="shared" ref="D83:Z83" si="141">IF(BatSplit(D9,RunsScored)&gt;=50,BatSplit(D9,RunsScored)&amp;IF(BatSplit(D9,NotOuts)=1,"*","")&amp;"|"&amp;$C9&amp;"|"&amp;D$2&amp;"|"&amp;TEXT(D$1,"dd-mmm"),"x")</f>
        <v>x</v>
      </c>
      <c r="E83" s="59" t="str">
        <f t="shared" si="141"/>
        <v>x</v>
      </c>
      <c r="F83" s="59" t="str">
        <f t="shared" si="141"/>
        <v>x</v>
      </c>
      <c r="G83" s="59" t="str">
        <f t="shared" si="141"/>
        <v>x</v>
      </c>
      <c r="H83" s="59" t="str">
        <f t="shared" si="141"/>
        <v>x</v>
      </c>
      <c r="I83" s="59" t="str">
        <f t="shared" si="141"/>
        <v>x</v>
      </c>
      <c r="J83" s="59" t="str">
        <f t="shared" si="141"/>
        <v>x</v>
      </c>
      <c r="K83" s="59" t="str">
        <f t="shared" si="141"/>
        <v>x</v>
      </c>
      <c r="L83" s="59" t="str">
        <f t="shared" si="141"/>
        <v>x</v>
      </c>
      <c r="M83" s="59" t="str">
        <f t="shared" si="141"/>
        <v>x</v>
      </c>
      <c r="N83" s="59" t="str">
        <f t="shared" si="141"/>
        <v>x</v>
      </c>
      <c r="O83" s="59" t="str">
        <f t="shared" si="141"/>
        <v>x</v>
      </c>
      <c r="P83" s="59" t="str">
        <f t="shared" si="141"/>
        <v>x</v>
      </c>
      <c r="Q83" s="59" t="str">
        <f t="shared" si="141"/>
        <v>x</v>
      </c>
      <c r="R83" s="59" t="str">
        <f t="shared" si="141"/>
        <v>x</v>
      </c>
      <c r="S83" s="59" t="str">
        <f t="shared" si="141"/>
        <v>x</v>
      </c>
      <c r="T83" s="59" t="str">
        <f t="shared" si="141"/>
        <v>x</v>
      </c>
      <c r="U83" s="59" t="str">
        <f t="shared" si="141"/>
        <v>x</v>
      </c>
      <c r="V83" s="59" t="str">
        <f t="shared" si="141"/>
        <v>x</v>
      </c>
      <c r="W83" s="59" t="str">
        <f t="shared" si="141"/>
        <v>x</v>
      </c>
      <c r="X83" s="59" t="str">
        <f t="shared" si="141"/>
        <v>x</v>
      </c>
      <c r="Y83" s="59" t="str">
        <f t="shared" si="141"/>
        <v>x</v>
      </c>
      <c r="Z83" s="59" t="str">
        <f t="shared" si="141"/>
        <v>x</v>
      </c>
      <c r="AK83"/>
      <c r="AL83"/>
      <c r="BV83"/>
      <c r="BW83"/>
    </row>
    <row r="84" spans="4:79" customFormat="1" x14ac:dyDescent="0.15">
      <c r="D84" s="59" t="str">
        <f t="shared" ref="D84:Z84" si="142">IF(BatSplit(D10,RunsScored)&gt;=50,BatSplit(D10,RunsScored)&amp;IF(BatSplit(D10,NotOuts)=1,"*","")&amp;"|"&amp;$C10&amp;"|"&amp;D$2&amp;"|"&amp;TEXT(D$1,"dd-mmm"),"x")</f>
        <v>x</v>
      </c>
      <c r="E84" s="59" t="str">
        <f t="shared" si="142"/>
        <v>x</v>
      </c>
      <c r="F84" s="59" t="str">
        <f t="shared" si="142"/>
        <v>x</v>
      </c>
      <c r="G84" s="59" t="str">
        <f t="shared" si="142"/>
        <v>x</v>
      </c>
      <c r="H84" s="59" t="str">
        <f t="shared" si="142"/>
        <v>x</v>
      </c>
      <c r="I84" s="59" t="str">
        <f t="shared" si="142"/>
        <v>x</v>
      </c>
      <c r="J84" s="59" t="str">
        <f t="shared" si="142"/>
        <v>x</v>
      </c>
      <c r="K84" s="59" t="str">
        <f t="shared" si="142"/>
        <v>x</v>
      </c>
      <c r="L84" s="59" t="str">
        <f t="shared" si="142"/>
        <v>x</v>
      </c>
      <c r="M84" s="59" t="str">
        <f t="shared" si="142"/>
        <v>x</v>
      </c>
      <c r="N84" s="59" t="str">
        <f t="shared" si="142"/>
        <v>x</v>
      </c>
      <c r="O84" s="59" t="str">
        <f t="shared" si="142"/>
        <v>x</v>
      </c>
      <c r="P84" s="59" t="str">
        <f t="shared" si="142"/>
        <v>x</v>
      </c>
      <c r="Q84" s="59" t="str">
        <f t="shared" si="142"/>
        <v>x</v>
      </c>
      <c r="R84" s="59" t="str">
        <f t="shared" si="142"/>
        <v>x</v>
      </c>
      <c r="S84" s="59" t="str">
        <f t="shared" si="142"/>
        <v>x</v>
      </c>
      <c r="T84" s="59" t="str">
        <f t="shared" si="142"/>
        <v>x</v>
      </c>
      <c r="U84" s="59" t="str">
        <f t="shared" si="142"/>
        <v>x</v>
      </c>
      <c r="V84" s="59" t="str">
        <f t="shared" si="142"/>
        <v>x</v>
      </c>
      <c r="W84" s="59" t="str">
        <f t="shared" si="142"/>
        <v>x</v>
      </c>
      <c r="X84" s="59" t="str">
        <f t="shared" si="142"/>
        <v>x</v>
      </c>
      <c r="Y84" s="59" t="str">
        <f t="shared" si="142"/>
        <v>x</v>
      </c>
      <c r="Z84" s="59" t="str">
        <f t="shared" si="142"/>
        <v>x</v>
      </c>
      <c r="BD84" s="59"/>
      <c r="BE84" s="59"/>
      <c r="BF84" s="59"/>
      <c r="BG84" s="59"/>
      <c r="BS84" s="59"/>
      <c r="BT84" s="59"/>
      <c r="BV84" s="59"/>
      <c r="BW84" s="59"/>
      <c r="BX84" s="59"/>
      <c r="BY84" s="59"/>
      <c r="BZ84" s="59"/>
      <c r="CA84" s="59"/>
    </row>
    <row r="85" spans="4:79" customFormat="1" x14ac:dyDescent="0.15">
      <c r="D85" s="59" t="str">
        <f t="shared" ref="D85:Z85" si="143">IF(BatSplit(D11,RunsScored)&gt;=50,BatSplit(D11,RunsScored)&amp;IF(BatSplit(D11,NotOuts)=1,"*","")&amp;"|"&amp;$C11&amp;"|"&amp;D$2&amp;"|"&amp;TEXT(D$1,"dd-mmm"),"x")</f>
        <v>x</v>
      </c>
      <c r="E85" s="59" t="str">
        <f t="shared" si="143"/>
        <v>x</v>
      </c>
      <c r="F85" s="59" t="str">
        <f t="shared" si="143"/>
        <v>x</v>
      </c>
      <c r="G85" s="59" t="str">
        <f t="shared" si="143"/>
        <v>x</v>
      </c>
      <c r="H85" s="59" t="str">
        <f t="shared" si="143"/>
        <v>x</v>
      </c>
      <c r="I85" s="59" t="str">
        <f t="shared" si="143"/>
        <v>x</v>
      </c>
      <c r="J85" s="59" t="str">
        <f t="shared" si="143"/>
        <v>x</v>
      </c>
      <c r="K85" s="59" t="str">
        <f t="shared" si="143"/>
        <v>x</v>
      </c>
      <c r="L85" s="59" t="str">
        <f t="shared" si="143"/>
        <v>x</v>
      </c>
      <c r="M85" s="59" t="str">
        <f t="shared" si="143"/>
        <v>x</v>
      </c>
      <c r="N85" s="59" t="str">
        <f t="shared" si="143"/>
        <v>x</v>
      </c>
      <c r="O85" s="59" t="str">
        <f t="shared" si="143"/>
        <v>x</v>
      </c>
      <c r="P85" s="59" t="str">
        <f t="shared" si="143"/>
        <v>x</v>
      </c>
      <c r="Q85" s="59" t="str">
        <f t="shared" si="143"/>
        <v>x</v>
      </c>
      <c r="R85" s="59" t="str">
        <f t="shared" si="143"/>
        <v>x</v>
      </c>
      <c r="S85" s="59" t="str">
        <f t="shared" si="143"/>
        <v>x</v>
      </c>
      <c r="T85" s="59" t="str">
        <f t="shared" si="143"/>
        <v>x</v>
      </c>
      <c r="U85" s="59" t="str">
        <f t="shared" si="143"/>
        <v>x</v>
      </c>
      <c r="V85" s="59" t="str">
        <f t="shared" si="143"/>
        <v>x</v>
      </c>
      <c r="W85" s="59" t="str">
        <f t="shared" si="143"/>
        <v>x</v>
      </c>
      <c r="X85" s="59" t="str">
        <f t="shared" si="143"/>
        <v>x</v>
      </c>
      <c r="Y85" s="59" t="str">
        <f t="shared" si="143"/>
        <v>x</v>
      </c>
      <c r="Z85" s="59" t="str">
        <f t="shared" si="143"/>
        <v>x</v>
      </c>
      <c r="BG85" s="59"/>
      <c r="BS85" s="59"/>
      <c r="BT85" s="59"/>
      <c r="BX85" s="59"/>
      <c r="BY85" s="59"/>
    </row>
    <row r="86" spans="4:79" customFormat="1" x14ac:dyDescent="0.15">
      <c r="D86" s="59" t="str">
        <f t="shared" ref="D86:Z86" si="144">IF(BatSplit(D12,RunsScored)&gt;=50,BatSplit(D12,RunsScored)&amp;IF(BatSplit(D12,NotOuts)=1,"*","")&amp;"|"&amp;$C12&amp;"|"&amp;D$2&amp;"|"&amp;TEXT(D$1,"dd-mmm"),"x")</f>
        <v>x</v>
      </c>
      <c r="E86" s="59" t="str">
        <f t="shared" si="144"/>
        <v>x</v>
      </c>
      <c r="F86" s="59" t="str">
        <f t="shared" si="144"/>
        <v>x</v>
      </c>
      <c r="G86" s="59" t="str">
        <f t="shared" si="144"/>
        <v>x</v>
      </c>
      <c r="H86" s="59" t="str">
        <f t="shared" si="144"/>
        <v>x</v>
      </c>
      <c r="I86" s="59" t="str">
        <f t="shared" si="144"/>
        <v>x</v>
      </c>
      <c r="J86" s="59" t="str">
        <f t="shared" si="144"/>
        <v>x</v>
      </c>
      <c r="K86" s="59" t="str">
        <f t="shared" si="144"/>
        <v>x</v>
      </c>
      <c r="L86" s="59" t="str">
        <f t="shared" si="144"/>
        <v>x</v>
      </c>
      <c r="M86" s="59" t="str">
        <f t="shared" si="144"/>
        <v>x</v>
      </c>
      <c r="N86" s="59" t="str">
        <f t="shared" si="144"/>
        <v>x</v>
      </c>
      <c r="O86" s="59" t="str">
        <f t="shared" si="144"/>
        <v>x</v>
      </c>
      <c r="P86" s="59" t="str">
        <f t="shared" si="144"/>
        <v>x</v>
      </c>
      <c r="Q86" s="59" t="str">
        <f t="shared" si="144"/>
        <v>x</v>
      </c>
      <c r="R86" s="59" t="str">
        <f t="shared" si="144"/>
        <v>x</v>
      </c>
      <c r="S86" s="59" t="str">
        <f t="shared" si="144"/>
        <v>x</v>
      </c>
      <c r="T86" s="59" t="str">
        <f t="shared" si="144"/>
        <v>x</v>
      </c>
      <c r="U86" s="59" t="str">
        <f t="shared" si="144"/>
        <v>x</v>
      </c>
      <c r="V86" s="59" t="str">
        <f t="shared" si="144"/>
        <v>x</v>
      </c>
      <c r="W86" s="59" t="str">
        <f t="shared" si="144"/>
        <v>x</v>
      </c>
      <c r="X86" s="59" t="str">
        <f t="shared" si="144"/>
        <v>x</v>
      </c>
      <c r="Y86" s="59" t="str">
        <f t="shared" si="144"/>
        <v>x</v>
      </c>
      <c r="Z86" s="59" t="str">
        <f t="shared" si="144"/>
        <v>x</v>
      </c>
      <c r="BG86" s="59"/>
      <c r="BQ86" s="59"/>
      <c r="BR86" s="59"/>
      <c r="BS86" s="59"/>
      <c r="BT86" s="59"/>
      <c r="BV86" s="59"/>
      <c r="BW86" s="59"/>
      <c r="BX86" s="59"/>
      <c r="BY86" s="59"/>
    </row>
    <row r="87" spans="4:79" customFormat="1" x14ac:dyDescent="0.15">
      <c r="D87" s="59" t="str">
        <f t="shared" ref="D87:Z87" si="145">IF(BatSplit(D13,RunsScored)&gt;=50,BatSplit(D13,RunsScored)&amp;IF(BatSplit(D13,NotOuts)=1,"*","")&amp;"|"&amp;$C13&amp;"|"&amp;D$2&amp;"|"&amp;TEXT(D$1,"dd-mmm"),"x")</f>
        <v>50*|De S|Riverside|07-May</v>
      </c>
      <c r="E87" s="59" t="str">
        <f t="shared" si="145"/>
        <v>x</v>
      </c>
      <c r="F87" s="59" t="str">
        <f t="shared" si="145"/>
        <v>x</v>
      </c>
      <c r="G87" s="59" t="str">
        <f t="shared" si="145"/>
        <v>x</v>
      </c>
      <c r="H87" s="59" t="str">
        <f t="shared" si="145"/>
        <v>x</v>
      </c>
      <c r="I87" s="59" t="str">
        <f t="shared" si="145"/>
        <v>x</v>
      </c>
      <c r="J87" s="59" t="str">
        <f t="shared" si="145"/>
        <v>x</v>
      </c>
      <c r="K87" s="59" t="str">
        <f t="shared" si="145"/>
        <v>x</v>
      </c>
      <c r="L87" s="59" t="str">
        <f t="shared" si="145"/>
        <v>x</v>
      </c>
      <c r="M87" s="59" t="str">
        <f t="shared" si="145"/>
        <v>x</v>
      </c>
      <c r="N87" s="59" t="str">
        <f t="shared" si="145"/>
        <v>x</v>
      </c>
      <c r="O87" s="59" t="str">
        <f t="shared" si="145"/>
        <v>x</v>
      </c>
      <c r="P87" s="59" t="str">
        <f t="shared" si="145"/>
        <v>x</v>
      </c>
      <c r="Q87" s="59" t="str">
        <f t="shared" si="145"/>
        <v>x</v>
      </c>
      <c r="R87" s="59" t="str">
        <f t="shared" si="145"/>
        <v>x</v>
      </c>
      <c r="S87" s="59" t="str">
        <f t="shared" si="145"/>
        <v>84|De S|Verdayne green|17-Sep</v>
      </c>
      <c r="T87" s="59" t="str">
        <f t="shared" si="145"/>
        <v>x</v>
      </c>
      <c r="U87" s="59" t="str">
        <f t="shared" si="145"/>
        <v>x</v>
      </c>
      <c r="V87" s="59" t="str">
        <f t="shared" si="145"/>
        <v>x</v>
      </c>
      <c r="W87" s="59" t="str">
        <f t="shared" si="145"/>
        <v>x</v>
      </c>
      <c r="X87" s="59" t="str">
        <f t="shared" si="145"/>
        <v>x</v>
      </c>
      <c r="Y87" s="59" t="str">
        <f t="shared" si="145"/>
        <v>x</v>
      </c>
      <c r="Z87" s="59" t="str">
        <f t="shared" si="145"/>
        <v>x</v>
      </c>
      <c r="AK87" s="59"/>
      <c r="AL87" s="59"/>
      <c r="BG87" s="59"/>
      <c r="BQ87" s="59"/>
      <c r="BR87" s="59"/>
      <c r="BT87" s="59"/>
      <c r="BV87" s="59"/>
      <c r="BW87" s="59"/>
      <c r="BX87" s="59"/>
      <c r="BY87" s="59"/>
    </row>
    <row r="88" spans="4:79" customFormat="1" x14ac:dyDescent="0.15">
      <c r="D88" s="59" t="str">
        <f t="shared" ref="D88:Z88" si="146">IF(BatSplit(D14,RunsScored)&gt;=50,BatSplit(D14,RunsScored)&amp;IF(BatSplit(D14,NotOuts)=1,"*","")&amp;"|"&amp;$C14&amp;"|"&amp;D$2&amp;"|"&amp;TEXT(D$1,"dd-mmm"),"x")</f>
        <v>x</v>
      </c>
      <c r="E88" s="59" t="str">
        <f t="shared" si="146"/>
        <v>x</v>
      </c>
      <c r="F88" s="59" t="str">
        <f t="shared" si="146"/>
        <v>x</v>
      </c>
      <c r="G88" s="59" t="str">
        <f t="shared" si="146"/>
        <v>x</v>
      </c>
      <c r="H88" s="59" t="str">
        <f t="shared" si="146"/>
        <v>x</v>
      </c>
      <c r="I88" s="59" t="str">
        <f t="shared" si="146"/>
        <v>x</v>
      </c>
      <c r="J88" s="59" t="str">
        <f t="shared" si="146"/>
        <v>x</v>
      </c>
      <c r="K88" s="59" t="str">
        <f t="shared" si="146"/>
        <v>x</v>
      </c>
      <c r="L88" s="59" t="str">
        <f t="shared" si="146"/>
        <v>x</v>
      </c>
      <c r="M88" s="59" t="str">
        <f t="shared" si="146"/>
        <v>x</v>
      </c>
      <c r="N88" s="59" t="str">
        <f t="shared" si="146"/>
        <v>x</v>
      </c>
      <c r="O88" s="59" t="str">
        <f t="shared" si="146"/>
        <v>x</v>
      </c>
      <c r="P88" s="59" t="str">
        <f t="shared" si="146"/>
        <v>x</v>
      </c>
      <c r="Q88" s="59" t="str">
        <f t="shared" si="146"/>
        <v>x</v>
      </c>
      <c r="R88" s="59" t="str">
        <f t="shared" si="146"/>
        <v>x</v>
      </c>
      <c r="S88" s="59" t="str">
        <f t="shared" si="146"/>
        <v>x</v>
      </c>
      <c r="T88" s="59" t="str">
        <f t="shared" si="146"/>
        <v>x</v>
      </c>
      <c r="U88" s="59" t="str">
        <f t="shared" si="146"/>
        <v>x</v>
      </c>
      <c r="V88" s="59" t="str">
        <f t="shared" si="146"/>
        <v>x</v>
      </c>
      <c r="W88" s="59" t="str">
        <f t="shared" si="146"/>
        <v>x</v>
      </c>
      <c r="X88" s="59" t="str">
        <f t="shared" si="146"/>
        <v>x</v>
      </c>
      <c r="Y88" s="59" t="str">
        <f t="shared" si="146"/>
        <v>x</v>
      </c>
      <c r="Z88" s="59" t="str">
        <f t="shared" si="146"/>
        <v>x</v>
      </c>
      <c r="BG88" s="59"/>
      <c r="BT88" s="59"/>
      <c r="BV88" s="59"/>
      <c r="BW88" s="59"/>
      <c r="BX88" s="59"/>
      <c r="BY88" s="59"/>
    </row>
    <row r="89" spans="4:79" customFormat="1" x14ac:dyDescent="0.15">
      <c r="D89" s="59" t="str">
        <f t="shared" ref="D89:Z89" si="147">IF(BatSplit(D15,RunsScored)&gt;=50,BatSplit(D15,RunsScored)&amp;IF(BatSplit(D15,NotOuts)=1,"*","")&amp;"|"&amp;$C15&amp;"|"&amp;D$2&amp;"|"&amp;TEXT(D$1,"dd-mmm"),"x")</f>
        <v>x</v>
      </c>
      <c r="E89" s="59" t="str">
        <f t="shared" si="147"/>
        <v>x</v>
      </c>
      <c r="F89" s="59" t="str">
        <f t="shared" si="147"/>
        <v>x</v>
      </c>
      <c r="G89" s="59" t="str">
        <f t="shared" si="147"/>
        <v>x</v>
      </c>
      <c r="H89" s="59" t="str">
        <f t="shared" si="147"/>
        <v>x</v>
      </c>
      <c r="I89" s="59" t="str">
        <f t="shared" si="147"/>
        <v>x</v>
      </c>
      <c r="J89" s="59" t="str">
        <f t="shared" si="147"/>
        <v>x</v>
      </c>
      <c r="K89" s="59" t="str">
        <f t="shared" si="147"/>
        <v>x</v>
      </c>
      <c r="L89" s="59" t="str">
        <f t="shared" si="147"/>
        <v>x</v>
      </c>
      <c r="M89" s="59" t="str">
        <f t="shared" si="147"/>
        <v>x</v>
      </c>
      <c r="N89" s="59" t="str">
        <f t="shared" si="147"/>
        <v>x</v>
      </c>
      <c r="O89" s="59" t="str">
        <f t="shared" si="147"/>
        <v>x</v>
      </c>
      <c r="P89" s="59" t="str">
        <f t="shared" si="147"/>
        <v>x</v>
      </c>
      <c r="Q89" s="59" t="str">
        <f t="shared" si="147"/>
        <v>x</v>
      </c>
      <c r="R89" s="59" t="str">
        <f t="shared" si="147"/>
        <v>x</v>
      </c>
      <c r="S89" s="59" t="str">
        <f t="shared" si="147"/>
        <v>x</v>
      </c>
      <c r="T89" s="59" t="str">
        <f t="shared" si="147"/>
        <v>x</v>
      </c>
      <c r="U89" s="59" t="str">
        <f t="shared" si="147"/>
        <v>x</v>
      </c>
      <c r="V89" s="59" t="str">
        <f t="shared" si="147"/>
        <v>x</v>
      </c>
      <c r="W89" s="59" t="str">
        <f t="shared" si="147"/>
        <v>x</v>
      </c>
      <c r="X89" s="59" t="str">
        <f t="shared" si="147"/>
        <v>x</v>
      </c>
      <c r="Y89" s="59" t="str">
        <f t="shared" si="147"/>
        <v>x</v>
      </c>
      <c r="Z89" s="59" t="str">
        <f t="shared" si="147"/>
        <v>x</v>
      </c>
      <c r="AI89" s="59"/>
      <c r="AJ89" s="59"/>
      <c r="BG89" s="59"/>
      <c r="BV89" s="59"/>
      <c r="BW89" s="59"/>
      <c r="BX89" s="59"/>
      <c r="BY89" s="59"/>
    </row>
    <row r="90" spans="4:79" customFormat="1" x14ac:dyDescent="0.15">
      <c r="D90" s="59" t="str">
        <f t="shared" ref="D90:Z90" si="148">IF(BatSplit(D16,RunsScored)&gt;=50,BatSplit(D16,RunsScored)&amp;IF(BatSplit(D16,NotOuts)=1,"*","")&amp;"|"&amp;$C16&amp;"|"&amp;D$2&amp;"|"&amp;TEXT(D$1,"dd-mmm"),"x")</f>
        <v>x</v>
      </c>
      <c r="E90" s="59" t="str">
        <f t="shared" si="148"/>
        <v>x</v>
      </c>
      <c r="F90" s="59" t="str">
        <f t="shared" si="148"/>
        <v>x</v>
      </c>
      <c r="G90" s="59" t="str">
        <f t="shared" si="148"/>
        <v>x</v>
      </c>
      <c r="H90" s="59" t="str">
        <f t="shared" si="148"/>
        <v>x</v>
      </c>
      <c r="I90" s="59" t="str">
        <f t="shared" si="148"/>
        <v>x</v>
      </c>
      <c r="J90" s="59" t="str">
        <f t="shared" si="148"/>
        <v>x</v>
      </c>
      <c r="K90" s="59" t="str">
        <f t="shared" si="148"/>
        <v>x</v>
      </c>
      <c r="L90" s="59" t="str">
        <f t="shared" si="148"/>
        <v>x</v>
      </c>
      <c r="M90" s="59" t="str">
        <f t="shared" si="148"/>
        <v>x</v>
      </c>
      <c r="N90" s="59" t="str">
        <f t="shared" si="148"/>
        <v>x</v>
      </c>
      <c r="O90" s="59" t="str">
        <f t="shared" si="148"/>
        <v>x</v>
      </c>
      <c r="P90" s="59" t="str">
        <f t="shared" si="148"/>
        <v>x</v>
      </c>
      <c r="Q90" s="59" t="str">
        <f t="shared" si="148"/>
        <v>x</v>
      </c>
      <c r="R90" s="59" t="str">
        <f t="shared" si="148"/>
        <v>x</v>
      </c>
      <c r="S90" s="59" t="str">
        <f t="shared" si="148"/>
        <v>x</v>
      </c>
      <c r="T90" s="59" t="str">
        <f t="shared" si="148"/>
        <v>x</v>
      </c>
      <c r="U90" s="59" t="str">
        <f t="shared" si="148"/>
        <v>x</v>
      </c>
      <c r="V90" s="59" t="str">
        <f t="shared" si="148"/>
        <v>x</v>
      </c>
      <c r="W90" s="59" t="str">
        <f t="shared" si="148"/>
        <v>x</v>
      </c>
      <c r="X90" s="59" t="str">
        <f t="shared" si="148"/>
        <v>x</v>
      </c>
      <c r="Y90" s="59" t="str">
        <f t="shared" si="148"/>
        <v>x</v>
      </c>
      <c r="Z90" s="59" t="str">
        <f t="shared" si="148"/>
        <v>x</v>
      </c>
      <c r="AI90" s="59"/>
      <c r="AJ90" s="59"/>
      <c r="AK90" s="59"/>
      <c r="AL90" s="59"/>
      <c r="BG90" s="59"/>
      <c r="BQ90" s="59"/>
      <c r="BR90" s="59"/>
      <c r="BS90" s="59"/>
      <c r="BV90" s="59"/>
      <c r="BW90" s="59"/>
    </row>
    <row r="91" spans="4:79" customFormat="1" x14ac:dyDescent="0.15">
      <c r="D91" s="59" t="str">
        <f t="shared" ref="D91:Z91" si="149">IF(BatSplit(D17,RunsScored)&gt;=50,BatSplit(D17,RunsScored)&amp;IF(BatSplit(D17,NotOuts)=1,"*","")&amp;"|"&amp;$C17&amp;"|"&amp;D$2&amp;"|"&amp;TEXT(D$1,"dd-mmm"),"x")</f>
        <v>x</v>
      </c>
      <c r="E91" s="59" t="str">
        <f t="shared" si="149"/>
        <v>x</v>
      </c>
      <c r="F91" s="59" t="str">
        <f t="shared" si="149"/>
        <v>x</v>
      </c>
      <c r="G91" s="59" t="str">
        <f t="shared" si="149"/>
        <v>x</v>
      </c>
      <c r="H91" s="59" t="str">
        <f t="shared" si="149"/>
        <v>x</v>
      </c>
      <c r="I91" s="59" t="str">
        <f t="shared" si="149"/>
        <v>x</v>
      </c>
      <c r="J91" s="59" t="str">
        <f t="shared" si="149"/>
        <v>x</v>
      </c>
      <c r="K91" s="59" t="str">
        <f t="shared" si="149"/>
        <v>x</v>
      </c>
      <c r="L91" s="59" t="str">
        <f t="shared" si="149"/>
        <v>x</v>
      </c>
      <c r="M91" s="59" t="str">
        <f t="shared" si="149"/>
        <v>x</v>
      </c>
      <c r="N91" s="59" t="str">
        <f t="shared" si="149"/>
        <v>x</v>
      </c>
      <c r="O91" s="59" t="str">
        <f t="shared" si="149"/>
        <v>x</v>
      </c>
      <c r="P91" s="59" t="str">
        <f t="shared" si="149"/>
        <v>x</v>
      </c>
      <c r="Q91" s="59" t="str">
        <f t="shared" si="149"/>
        <v>x</v>
      </c>
      <c r="R91" s="59" t="str">
        <f t="shared" si="149"/>
        <v>x</v>
      </c>
      <c r="S91" s="59" t="str">
        <f t="shared" si="149"/>
        <v>x</v>
      </c>
      <c r="T91" s="59" t="str">
        <f t="shared" si="149"/>
        <v>x</v>
      </c>
      <c r="U91" s="59" t="str">
        <f t="shared" si="149"/>
        <v>x</v>
      </c>
      <c r="V91" s="59" t="str">
        <f t="shared" si="149"/>
        <v>x</v>
      </c>
      <c r="W91" s="59" t="str">
        <f t="shared" si="149"/>
        <v>x</v>
      </c>
      <c r="X91" s="59" t="str">
        <f t="shared" si="149"/>
        <v>x</v>
      </c>
      <c r="Y91" s="59" t="str">
        <f t="shared" si="149"/>
        <v>x</v>
      </c>
      <c r="Z91" s="59" t="str">
        <f t="shared" si="149"/>
        <v>x</v>
      </c>
      <c r="AI91" s="59"/>
      <c r="AJ91" s="59"/>
      <c r="AK91" s="59"/>
      <c r="AL91" s="59"/>
      <c r="BG91" s="59"/>
      <c r="BS91" s="59"/>
      <c r="BV91" s="59"/>
      <c r="BW91" s="59"/>
    </row>
    <row r="92" spans="4:79" customFormat="1" x14ac:dyDescent="0.15">
      <c r="D92" s="59" t="str">
        <f t="shared" ref="D92:Z92" si="150">IF(BatSplit(D18,RunsScored)&gt;=50,BatSplit(D18,RunsScored)&amp;IF(BatSplit(D18,NotOuts)=1,"*","")&amp;"|"&amp;$C18&amp;"|"&amp;D$2&amp;"|"&amp;TEXT(D$1,"dd-mmm"),"x")</f>
        <v>x</v>
      </c>
      <c r="E92" s="59" t="str">
        <f t="shared" si="150"/>
        <v>x</v>
      </c>
      <c r="F92" s="59" t="str">
        <f t="shared" si="150"/>
        <v>x</v>
      </c>
      <c r="G92" s="59" t="str">
        <f t="shared" si="150"/>
        <v>x</v>
      </c>
      <c r="H92" s="59" t="str">
        <f t="shared" si="150"/>
        <v>x</v>
      </c>
      <c r="I92" s="59" t="str">
        <f t="shared" si="150"/>
        <v>x</v>
      </c>
      <c r="J92" s="59" t="str">
        <f t="shared" si="150"/>
        <v>x</v>
      </c>
      <c r="K92" s="59" t="str">
        <f t="shared" si="150"/>
        <v>x</v>
      </c>
      <c r="L92" s="59" t="str">
        <f t="shared" si="150"/>
        <v>x</v>
      </c>
      <c r="M92" s="59" t="str">
        <f t="shared" si="150"/>
        <v>x</v>
      </c>
      <c r="N92" s="59" t="str">
        <f t="shared" si="150"/>
        <v>x</v>
      </c>
      <c r="O92" s="59" t="str">
        <f t="shared" si="150"/>
        <v>x</v>
      </c>
      <c r="P92" s="59" t="str">
        <f t="shared" si="150"/>
        <v>x</v>
      </c>
      <c r="Q92" s="59" t="str">
        <f t="shared" si="150"/>
        <v>x</v>
      </c>
      <c r="R92" s="59" t="str">
        <f t="shared" si="150"/>
        <v>x</v>
      </c>
      <c r="S92" s="59" t="str">
        <f t="shared" si="150"/>
        <v>x</v>
      </c>
      <c r="T92" s="59" t="str">
        <f t="shared" si="150"/>
        <v>x</v>
      </c>
      <c r="U92" s="59" t="str">
        <f t="shared" si="150"/>
        <v>x</v>
      </c>
      <c r="V92" s="59" t="str">
        <f t="shared" si="150"/>
        <v>x</v>
      </c>
      <c r="W92" s="59" t="str">
        <f t="shared" si="150"/>
        <v>x</v>
      </c>
      <c r="X92" s="59" t="str">
        <f t="shared" si="150"/>
        <v>x</v>
      </c>
      <c r="Y92" s="59" t="str">
        <f t="shared" si="150"/>
        <v>x</v>
      </c>
      <c r="Z92" s="59" t="str">
        <f t="shared" si="150"/>
        <v>x</v>
      </c>
      <c r="AI92" s="59"/>
      <c r="AJ92" s="59"/>
      <c r="AK92" s="59"/>
      <c r="AL92" s="59"/>
      <c r="BG92" s="59"/>
      <c r="BQ92" s="59"/>
      <c r="BR92" s="59"/>
      <c r="BS92" s="59"/>
      <c r="BV92" s="59"/>
      <c r="BW92" s="59"/>
      <c r="BX92" s="59"/>
      <c r="BY92" s="59"/>
    </row>
    <row r="93" spans="4:79" customFormat="1" x14ac:dyDescent="0.15">
      <c r="D93" s="59" t="str">
        <f t="shared" ref="D93:Z93" si="151">IF(BatSplit(D19,RunsScored)&gt;=50,BatSplit(D19,RunsScored)&amp;IF(BatSplit(D19,NotOuts)=1,"*","")&amp;"|"&amp;$C19&amp;"|"&amp;D$2&amp;"|"&amp;TEXT(D$1,"dd-mmm"),"x")</f>
        <v>x</v>
      </c>
      <c r="E93" s="59" t="str">
        <f t="shared" si="151"/>
        <v>x</v>
      </c>
      <c r="F93" s="59" t="str">
        <f t="shared" si="151"/>
        <v>x</v>
      </c>
      <c r="G93" s="59" t="str">
        <f t="shared" si="151"/>
        <v>x</v>
      </c>
      <c r="H93" s="59" t="str">
        <f t="shared" si="151"/>
        <v>x</v>
      </c>
      <c r="I93" s="59" t="str">
        <f t="shared" si="151"/>
        <v>x</v>
      </c>
      <c r="J93" s="59" t="str">
        <f t="shared" si="151"/>
        <v>x</v>
      </c>
      <c r="K93" s="59" t="str">
        <f t="shared" si="151"/>
        <v>x</v>
      </c>
      <c r="L93" s="59" t="str">
        <f t="shared" si="151"/>
        <v>x</v>
      </c>
      <c r="M93" s="59" t="str">
        <f t="shared" si="151"/>
        <v>x</v>
      </c>
      <c r="N93" s="59" t="str">
        <f t="shared" si="151"/>
        <v>x</v>
      </c>
      <c r="O93" s="59" t="str">
        <f t="shared" si="151"/>
        <v>x</v>
      </c>
      <c r="P93" s="59" t="str">
        <f t="shared" si="151"/>
        <v>x</v>
      </c>
      <c r="Q93" s="59" t="str">
        <f t="shared" si="151"/>
        <v>x</v>
      </c>
      <c r="R93" s="59" t="str">
        <f t="shared" si="151"/>
        <v>x</v>
      </c>
      <c r="S93" s="59" t="str">
        <f t="shared" si="151"/>
        <v>x</v>
      </c>
      <c r="T93" s="59" t="str">
        <f t="shared" si="151"/>
        <v>x</v>
      </c>
      <c r="U93" s="59" t="str">
        <f t="shared" si="151"/>
        <v>x</v>
      </c>
      <c r="V93" s="59" t="str">
        <f t="shared" si="151"/>
        <v>x</v>
      </c>
      <c r="W93" s="59" t="str">
        <f t="shared" si="151"/>
        <v>x</v>
      </c>
      <c r="X93" s="59" t="str">
        <f t="shared" si="151"/>
        <v>x</v>
      </c>
      <c r="Y93" s="59" t="str">
        <f t="shared" si="151"/>
        <v>x</v>
      </c>
      <c r="Z93" s="59" t="str">
        <f t="shared" si="151"/>
        <v>x</v>
      </c>
      <c r="AI93" s="59"/>
      <c r="AJ93" s="59"/>
      <c r="AK93" s="59"/>
      <c r="AL93" s="59"/>
      <c r="BG93" s="59"/>
      <c r="BQ93" s="59"/>
      <c r="BR93" s="59"/>
      <c r="BS93" s="59"/>
      <c r="BV93" s="59"/>
      <c r="BW93" s="59"/>
    </row>
    <row r="94" spans="4:79" customFormat="1" x14ac:dyDescent="0.15">
      <c r="D94" s="59" t="str">
        <f t="shared" ref="D94:Z94" si="152">IF(BatSplit(D20,RunsScored)&gt;=50,BatSplit(D20,RunsScored)&amp;IF(BatSplit(D20,NotOuts)=1,"*","")&amp;"|"&amp;$C20&amp;"|"&amp;D$2&amp;"|"&amp;TEXT(D$1,"dd-mmm"),"x")</f>
        <v>x</v>
      </c>
      <c r="E94" s="59" t="str">
        <f t="shared" si="152"/>
        <v>x</v>
      </c>
      <c r="F94" s="59" t="str">
        <f t="shared" si="152"/>
        <v>x</v>
      </c>
      <c r="G94" s="59" t="str">
        <f t="shared" si="152"/>
        <v>x</v>
      </c>
      <c r="H94" s="59" t="str">
        <f t="shared" si="152"/>
        <v>x</v>
      </c>
      <c r="I94" s="59" t="str">
        <f t="shared" si="152"/>
        <v>x</v>
      </c>
      <c r="J94" s="59" t="str">
        <f t="shared" si="152"/>
        <v>x</v>
      </c>
      <c r="K94" s="59" t="str">
        <f t="shared" si="152"/>
        <v>x</v>
      </c>
      <c r="L94" s="59" t="str">
        <f t="shared" si="152"/>
        <v>x</v>
      </c>
      <c r="M94" s="59" t="str">
        <f t="shared" si="152"/>
        <v>x</v>
      </c>
      <c r="N94" s="59" t="str">
        <f t="shared" si="152"/>
        <v>x</v>
      </c>
      <c r="O94" s="59" t="str">
        <f t="shared" si="152"/>
        <v>x</v>
      </c>
      <c r="P94" s="59" t="str">
        <f t="shared" si="152"/>
        <v>x</v>
      </c>
      <c r="Q94" s="59" t="str">
        <f t="shared" si="152"/>
        <v>x</v>
      </c>
      <c r="R94" s="59" t="str">
        <f t="shared" si="152"/>
        <v>x</v>
      </c>
      <c r="S94" s="59" t="str">
        <f t="shared" si="152"/>
        <v>x</v>
      </c>
      <c r="T94" s="59" t="str">
        <f t="shared" si="152"/>
        <v>x</v>
      </c>
      <c r="U94" s="59" t="str">
        <f t="shared" si="152"/>
        <v>x</v>
      </c>
      <c r="V94" s="59" t="str">
        <f t="shared" si="152"/>
        <v>x</v>
      </c>
      <c r="W94" s="59" t="str">
        <f t="shared" si="152"/>
        <v>x</v>
      </c>
      <c r="X94" s="59" t="str">
        <f t="shared" si="152"/>
        <v>x</v>
      </c>
      <c r="Y94" s="59" t="str">
        <f t="shared" si="152"/>
        <v>x</v>
      </c>
      <c r="Z94" s="59" t="str">
        <f t="shared" si="152"/>
        <v>x</v>
      </c>
      <c r="AI94" s="59"/>
      <c r="AJ94" s="59"/>
      <c r="AK94" s="59"/>
      <c r="AL94" s="59"/>
      <c r="BG94" s="59"/>
      <c r="BS94" s="59"/>
      <c r="BV94" s="59"/>
      <c r="BW94" s="59"/>
    </row>
    <row r="95" spans="4:79" customFormat="1" x14ac:dyDescent="0.15">
      <c r="D95" s="59" t="str">
        <f t="shared" ref="D95:Z95" si="153">IF(BatSplit(D21,RunsScored)&gt;=50,BatSplit(D21,RunsScored)&amp;IF(BatSplit(D21,NotOuts)=1,"*","")&amp;"|"&amp;$C21&amp;"|"&amp;D$2&amp;"|"&amp;TEXT(D$1,"dd-mmm"),"x")</f>
        <v>x</v>
      </c>
      <c r="E95" s="59" t="str">
        <f t="shared" si="153"/>
        <v>x</v>
      </c>
      <c r="F95" s="59" t="str">
        <f t="shared" si="153"/>
        <v>x</v>
      </c>
      <c r="G95" s="59" t="str">
        <f t="shared" si="153"/>
        <v>x</v>
      </c>
      <c r="H95" s="59" t="str">
        <f t="shared" si="153"/>
        <v>x</v>
      </c>
      <c r="I95" s="59" t="str">
        <f t="shared" si="153"/>
        <v>x</v>
      </c>
      <c r="J95" s="59" t="str">
        <f t="shared" si="153"/>
        <v>x</v>
      </c>
      <c r="K95" s="59" t="str">
        <f t="shared" si="153"/>
        <v>x</v>
      </c>
      <c r="L95" s="59" t="str">
        <f t="shared" si="153"/>
        <v>x</v>
      </c>
      <c r="M95" s="59" t="str">
        <f t="shared" si="153"/>
        <v>x</v>
      </c>
      <c r="N95" s="59" t="str">
        <f t="shared" si="153"/>
        <v>x</v>
      </c>
      <c r="O95" s="59" t="str">
        <f t="shared" si="153"/>
        <v>x</v>
      </c>
      <c r="P95" s="59" t="str">
        <f t="shared" si="153"/>
        <v>x</v>
      </c>
      <c r="Q95" s="59" t="str">
        <f t="shared" si="153"/>
        <v>x</v>
      </c>
      <c r="R95" s="59" t="str">
        <f t="shared" si="153"/>
        <v>x</v>
      </c>
      <c r="S95" s="59" t="str">
        <f t="shared" si="153"/>
        <v>x</v>
      </c>
      <c r="T95" s="59" t="str">
        <f t="shared" si="153"/>
        <v>x</v>
      </c>
      <c r="U95" s="59" t="str">
        <f t="shared" si="153"/>
        <v>x</v>
      </c>
      <c r="V95" s="59" t="str">
        <f t="shared" si="153"/>
        <v>x</v>
      </c>
      <c r="W95" s="59" t="str">
        <f t="shared" si="153"/>
        <v>x</v>
      </c>
      <c r="X95" s="59" t="str">
        <f t="shared" si="153"/>
        <v>x</v>
      </c>
      <c r="Y95" s="59" t="str">
        <f t="shared" si="153"/>
        <v>x</v>
      </c>
      <c r="Z95" s="59" t="str">
        <f t="shared" si="153"/>
        <v>x</v>
      </c>
      <c r="AI95" s="59"/>
      <c r="AJ95" s="59"/>
      <c r="AK95" s="59"/>
      <c r="AL95" s="59"/>
      <c r="BD95" s="59"/>
      <c r="BE95" s="59"/>
      <c r="BF95" s="59"/>
      <c r="BG95" s="59"/>
      <c r="BV95" s="59"/>
      <c r="BW95" s="59"/>
      <c r="BX95" s="59"/>
      <c r="BY95" s="59"/>
    </row>
    <row r="96" spans="4:79" customFormat="1" x14ac:dyDescent="0.15">
      <c r="D96" s="59" t="str">
        <f t="shared" ref="D96:Z96" si="154">IF(BatSplit(D22,RunsScored)&gt;=50,BatSplit(D22,RunsScored)&amp;IF(BatSplit(D22,NotOuts)=1,"*","")&amp;"|"&amp;$C22&amp;"|"&amp;D$2&amp;"|"&amp;TEXT(D$1,"dd-mmm"),"x")</f>
        <v>x</v>
      </c>
      <c r="E96" s="59" t="str">
        <f t="shared" si="154"/>
        <v>x</v>
      </c>
      <c r="F96" s="59" t="str">
        <f t="shared" si="154"/>
        <v>x</v>
      </c>
      <c r="G96" s="59" t="str">
        <f t="shared" si="154"/>
        <v>x</v>
      </c>
      <c r="H96" s="59" t="str">
        <f t="shared" si="154"/>
        <v>x</v>
      </c>
      <c r="I96" s="59" t="str">
        <f t="shared" si="154"/>
        <v>x</v>
      </c>
      <c r="J96" s="59" t="str">
        <f t="shared" si="154"/>
        <v>x</v>
      </c>
      <c r="K96" s="59" t="str">
        <f t="shared" si="154"/>
        <v>x</v>
      </c>
      <c r="L96" s="59" t="str">
        <f t="shared" si="154"/>
        <v>x</v>
      </c>
      <c r="M96" s="59" t="str">
        <f t="shared" si="154"/>
        <v>x</v>
      </c>
      <c r="N96" s="59" t="str">
        <f t="shared" si="154"/>
        <v>x</v>
      </c>
      <c r="O96" s="59" t="str">
        <f t="shared" si="154"/>
        <v>x</v>
      </c>
      <c r="P96" s="59" t="str">
        <f t="shared" si="154"/>
        <v>x</v>
      </c>
      <c r="Q96" s="59" t="str">
        <f t="shared" si="154"/>
        <v>x</v>
      </c>
      <c r="R96" s="59" t="str">
        <f t="shared" si="154"/>
        <v>x</v>
      </c>
      <c r="S96" s="59" t="str">
        <f t="shared" si="154"/>
        <v>x</v>
      </c>
      <c r="T96" s="59" t="str">
        <f t="shared" si="154"/>
        <v>x</v>
      </c>
      <c r="U96" s="59" t="str">
        <f t="shared" si="154"/>
        <v>x</v>
      </c>
      <c r="V96" s="59" t="str">
        <f t="shared" si="154"/>
        <v>x</v>
      </c>
      <c r="W96" s="59" t="str">
        <f t="shared" si="154"/>
        <v>x</v>
      </c>
      <c r="X96" s="59" t="str">
        <f t="shared" si="154"/>
        <v>x</v>
      </c>
      <c r="Y96" s="59" t="str">
        <f t="shared" si="154"/>
        <v>x</v>
      </c>
      <c r="Z96" s="59" t="str">
        <f t="shared" si="154"/>
        <v>x</v>
      </c>
      <c r="AI96" s="59"/>
      <c r="AJ96" s="59"/>
      <c r="AK96" s="59"/>
      <c r="AL96" s="59"/>
      <c r="BD96" s="59"/>
      <c r="BE96" s="59"/>
      <c r="BF96" s="59"/>
      <c r="BG96" s="59"/>
      <c r="BQ96" s="59"/>
      <c r="BR96" s="59"/>
      <c r="BV96" s="59"/>
      <c r="BW96" s="59"/>
      <c r="BX96" s="59"/>
      <c r="BY96" s="59"/>
    </row>
    <row r="97" spans="4:77" customFormat="1" x14ac:dyDescent="0.15">
      <c r="D97" s="59" t="str">
        <f t="shared" ref="D97:Z97" si="155">IF(BatSplit(D23,RunsScored)&gt;=50,BatSplit(D23,RunsScored)&amp;IF(BatSplit(D23,NotOuts)=1,"*","")&amp;"|"&amp;$C23&amp;"|"&amp;D$2&amp;"|"&amp;TEXT(D$1,"dd-mmm"),"x")</f>
        <v>x</v>
      </c>
      <c r="E97" s="59" t="str">
        <f t="shared" si="155"/>
        <v>x</v>
      </c>
      <c r="F97" s="59" t="str">
        <f t="shared" si="155"/>
        <v>x</v>
      </c>
      <c r="G97" s="59" t="str">
        <f t="shared" si="155"/>
        <v>x</v>
      </c>
      <c r="H97" s="59" t="str">
        <f t="shared" si="155"/>
        <v>x</v>
      </c>
      <c r="I97" s="59" t="str">
        <f t="shared" si="155"/>
        <v>x</v>
      </c>
      <c r="J97" s="59" t="str">
        <f t="shared" si="155"/>
        <v>x</v>
      </c>
      <c r="K97" s="59" t="str">
        <f t="shared" si="155"/>
        <v>x</v>
      </c>
      <c r="L97" s="59" t="str">
        <f t="shared" si="155"/>
        <v>x</v>
      </c>
      <c r="M97" s="59" t="str">
        <f t="shared" si="155"/>
        <v>x</v>
      </c>
      <c r="N97" s="59" t="str">
        <f t="shared" si="155"/>
        <v>x</v>
      </c>
      <c r="O97" s="59" t="str">
        <f t="shared" si="155"/>
        <v>x</v>
      </c>
      <c r="P97" s="59" t="str">
        <f t="shared" si="155"/>
        <v>x</v>
      </c>
      <c r="Q97" s="59" t="str">
        <f t="shared" si="155"/>
        <v>x</v>
      </c>
      <c r="R97" s="59" t="str">
        <f t="shared" si="155"/>
        <v>x</v>
      </c>
      <c r="S97" s="59" t="str">
        <f t="shared" si="155"/>
        <v>x</v>
      </c>
      <c r="T97" s="59" t="str">
        <f t="shared" si="155"/>
        <v>x</v>
      </c>
      <c r="U97" s="59" t="str">
        <f t="shared" si="155"/>
        <v>x</v>
      </c>
      <c r="V97" s="59" t="str">
        <f t="shared" si="155"/>
        <v>x</v>
      </c>
      <c r="W97" s="59" t="str">
        <f t="shared" si="155"/>
        <v>x</v>
      </c>
      <c r="X97" s="59" t="str">
        <f t="shared" si="155"/>
        <v>x</v>
      </c>
      <c r="Y97" s="59" t="str">
        <f t="shared" si="155"/>
        <v>x</v>
      </c>
      <c r="Z97" s="59" t="str">
        <f t="shared" si="155"/>
        <v>x</v>
      </c>
      <c r="AI97" s="59"/>
      <c r="AJ97" s="59"/>
      <c r="AK97" s="59"/>
      <c r="AL97" s="59"/>
      <c r="BD97" s="59"/>
      <c r="BE97" s="59"/>
      <c r="BF97" s="59"/>
      <c r="BG97" s="59"/>
      <c r="BQ97" s="59"/>
      <c r="BR97" s="59"/>
      <c r="BV97" s="59"/>
      <c r="BW97" s="59"/>
      <c r="BX97" s="59"/>
      <c r="BY97" s="59"/>
    </row>
    <row r="98" spans="4:77" customFormat="1" x14ac:dyDescent="0.15">
      <c r="D98" s="59" t="str">
        <f t="shared" ref="D98:Z98" si="156">IF(BatSplit(D24,RunsScored)&gt;=50,BatSplit(D24,RunsScored)&amp;IF(BatSplit(D24,NotOuts)=1,"*","")&amp;"|"&amp;$C24&amp;"|"&amp;D$2&amp;"|"&amp;TEXT(D$1,"dd-mmm"),"x")</f>
        <v>x</v>
      </c>
      <c r="E98" s="59" t="str">
        <f t="shared" si="156"/>
        <v>x</v>
      </c>
      <c r="F98" s="59" t="str">
        <f t="shared" si="156"/>
        <v>x</v>
      </c>
      <c r="G98" s="59" t="str">
        <f t="shared" si="156"/>
        <v>x</v>
      </c>
      <c r="H98" s="59" t="str">
        <f t="shared" si="156"/>
        <v>x</v>
      </c>
      <c r="I98" s="59" t="str">
        <f t="shared" si="156"/>
        <v>x</v>
      </c>
      <c r="J98" s="59" t="str">
        <f t="shared" si="156"/>
        <v>x</v>
      </c>
      <c r="K98" s="59" t="str">
        <f t="shared" si="156"/>
        <v>x</v>
      </c>
      <c r="L98" s="59" t="str">
        <f t="shared" si="156"/>
        <v>x</v>
      </c>
      <c r="M98" s="59" t="str">
        <f t="shared" si="156"/>
        <v>x</v>
      </c>
      <c r="N98" s="59" t="str">
        <f t="shared" si="156"/>
        <v>x</v>
      </c>
      <c r="O98" s="59" t="str">
        <f t="shared" si="156"/>
        <v>x</v>
      </c>
      <c r="P98" s="59" t="str">
        <f t="shared" si="156"/>
        <v>x</v>
      </c>
      <c r="Q98" s="59" t="str">
        <f t="shared" si="156"/>
        <v>x</v>
      </c>
      <c r="R98" s="59" t="str">
        <f t="shared" si="156"/>
        <v>x</v>
      </c>
      <c r="S98" s="59" t="str">
        <f t="shared" si="156"/>
        <v>x</v>
      </c>
      <c r="T98" s="59" t="str">
        <f t="shared" si="156"/>
        <v>x</v>
      </c>
      <c r="U98" s="59" t="str">
        <f t="shared" si="156"/>
        <v>x</v>
      </c>
      <c r="V98" s="59" t="str">
        <f t="shared" si="156"/>
        <v>x</v>
      </c>
      <c r="W98" s="59" t="str">
        <f t="shared" si="156"/>
        <v>x</v>
      </c>
      <c r="X98" s="59" t="str">
        <f t="shared" si="156"/>
        <v>x</v>
      </c>
      <c r="Y98" s="59" t="str">
        <f t="shared" si="156"/>
        <v>x</v>
      </c>
      <c r="Z98" s="59" t="str">
        <f t="shared" si="156"/>
        <v>x</v>
      </c>
      <c r="AI98" s="59"/>
      <c r="AJ98" s="59"/>
      <c r="AK98" s="59"/>
      <c r="BG98" s="59"/>
      <c r="BV98" s="59"/>
      <c r="BW98" s="59"/>
      <c r="BX98" s="59"/>
      <c r="BY98" s="59"/>
    </row>
    <row r="99" spans="4:77" customFormat="1" x14ac:dyDescent="0.15">
      <c r="D99" s="59" t="str">
        <f t="shared" ref="D99:Z99" si="157">IF(BatSplit(D25,RunsScored)&gt;=50,BatSplit(D25,RunsScored)&amp;IF(BatSplit(D25,NotOuts)=1,"*","")&amp;"|"&amp;$C25&amp;"|"&amp;D$2&amp;"|"&amp;TEXT(D$1,"dd-mmm"),"x")</f>
        <v>x</v>
      </c>
      <c r="E99" s="59" t="str">
        <f t="shared" si="157"/>
        <v>x</v>
      </c>
      <c r="F99" s="59" t="str">
        <f t="shared" si="157"/>
        <v>x</v>
      </c>
      <c r="G99" s="59" t="str">
        <f t="shared" si="157"/>
        <v>x</v>
      </c>
      <c r="H99" s="59" t="str">
        <f t="shared" si="157"/>
        <v>x</v>
      </c>
      <c r="I99" s="59" t="str">
        <f t="shared" si="157"/>
        <v>x</v>
      </c>
      <c r="J99" s="59" t="str">
        <f t="shared" si="157"/>
        <v>x</v>
      </c>
      <c r="K99" s="59" t="str">
        <f t="shared" si="157"/>
        <v>x</v>
      </c>
      <c r="L99" s="59" t="str">
        <f t="shared" si="157"/>
        <v>x</v>
      </c>
      <c r="M99" s="59" t="str">
        <f t="shared" si="157"/>
        <v>x</v>
      </c>
      <c r="N99" s="59" t="str">
        <f t="shared" si="157"/>
        <v>x</v>
      </c>
      <c r="O99" s="59" t="str">
        <f t="shared" si="157"/>
        <v>x</v>
      </c>
      <c r="P99" s="59" t="str">
        <f t="shared" si="157"/>
        <v>x</v>
      </c>
      <c r="Q99" s="59" t="str">
        <f t="shared" si="157"/>
        <v>x</v>
      </c>
      <c r="R99" s="59" t="str">
        <f t="shared" si="157"/>
        <v>x</v>
      </c>
      <c r="S99" s="59" t="str">
        <f t="shared" si="157"/>
        <v>x</v>
      </c>
      <c r="T99" s="59" t="str">
        <f t="shared" si="157"/>
        <v>x</v>
      </c>
      <c r="U99" s="59" t="str">
        <f t="shared" si="157"/>
        <v>x</v>
      </c>
      <c r="V99" s="59" t="str">
        <f t="shared" si="157"/>
        <v>x</v>
      </c>
      <c r="W99" s="59" t="str">
        <f t="shared" si="157"/>
        <v>x</v>
      </c>
      <c r="X99" s="59" t="str">
        <f t="shared" si="157"/>
        <v>x</v>
      </c>
      <c r="Y99" s="59" t="str">
        <f t="shared" si="157"/>
        <v>x</v>
      </c>
      <c r="Z99" s="59" t="str">
        <f t="shared" si="157"/>
        <v>x</v>
      </c>
      <c r="AI99" s="59"/>
      <c r="AJ99" s="59"/>
      <c r="AK99" s="59"/>
      <c r="BG99" s="59"/>
      <c r="BV99" s="59"/>
      <c r="BW99" s="59"/>
      <c r="BX99" s="59"/>
      <c r="BY99" s="59"/>
    </row>
    <row r="100" spans="4:77" customFormat="1" x14ac:dyDescent="0.15">
      <c r="D100" s="59" t="str">
        <f t="shared" ref="D100:Z100" si="158">IF(BatSplit(D26,RunsScored)&gt;=50,BatSplit(D26,RunsScored)&amp;IF(BatSplit(D26,NotOuts)=1,"*","")&amp;"|"&amp;$C26&amp;"|"&amp;D$2&amp;"|"&amp;TEXT(D$1,"dd-mmm"),"x")</f>
        <v>x</v>
      </c>
      <c r="E100" s="59" t="str">
        <f t="shared" si="158"/>
        <v>x</v>
      </c>
      <c r="F100" s="59" t="str">
        <f t="shared" si="158"/>
        <v>x</v>
      </c>
      <c r="G100" s="59" t="str">
        <f t="shared" si="158"/>
        <v>x</v>
      </c>
      <c r="H100" s="59" t="str">
        <f t="shared" si="158"/>
        <v>x</v>
      </c>
      <c r="I100" s="59" t="str">
        <f t="shared" si="158"/>
        <v>x</v>
      </c>
      <c r="J100" s="59" t="str">
        <f t="shared" si="158"/>
        <v>x</v>
      </c>
      <c r="K100" s="59" t="str">
        <f t="shared" si="158"/>
        <v>x</v>
      </c>
      <c r="L100" s="59" t="str">
        <f t="shared" si="158"/>
        <v>x</v>
      </c>
      <c r="M100" s="59" t="str">
        <f t="shared" si="158"/>
        <v>x</v>
      </c>
      <c r="N100" s="59" t="str">
        <f t="shared" si="158"/>
        <v>x</v>
      </c>
      <c r="O100" s="59" t="str">
        <f t="shared" si="158"/>
        <v>x</v>
      </c>
      <c r="P100" s="59" t="str">
        <f t="shared" si="158"/>
        <v>x</v>
      </c>
      <c r="Q100" s="59" t="str">
        <f t="shared" si="158"/>
        <v>x</v>
      </c>
      <c r="R100" s="59" t="str">
        <f t="shared" si="158"/>
        <v>x</v>
      </c>
      <c r="S100" s="59" t="str">
        <f t="shared" si="158"/>
        <v>x</v>
      </c>
      <c r="T100" s="59" t="str">
        <f t="shared" si="158"/>
        <v>x</v>
      </c>
      <c r="U100" s="59" t="str">
        <f t="shared" si="158"/>
        <v>x</v>
      </c>
      <c r="V100" s="59" t="str">
        <f t="shared" si="158"/>
        <v>x</v>
      </c>
      <c r="W100" s="59" t="str">
        <f t="shared" si="158"/>
        <v>x</v>
      </c>
      <c r="X100" s="59" t="str">
        <f t="shared" si="158"/>
        <v>x</v>
      </c>
      <c r="Y100" s="59" t="str">
        <f t="shared" si="158"/>
        <v>x</v>
      </c>
      <c r="Z100" s="59" t="str">
        <f t="shared" si="158"/>
        <v>x</v>
      </c>
      <c r="AI100" s="59"/>
      <c r="AJ100" s="59"/>
      <c r="AK100" s="59"/>
      <c r="BG100" s="59"/>
      <c r="BV100" s="59"/>
      <c r="BW100" s="59"/>
      <c r="BX100" s="59"/>
      <c r="BY100" s="59"/>
    </row>
    <row r="101" spans="4:77" customFormat="1" x14ac:dyDescent="0.15">
      <c r="D101" s="59" t="str">
        <f t="shared" ref="D101:Z101" si="159">IF(BatSplit(D27,RunsScored)&gt;=50,BatSplit(D27,RunsScored)&amp;IF(BatSplit(D27,NotOuts)=1,"*","")&amp;"|"&amp;$C27&amp;"|"&amp;D$2&amp;"|"&amp;TEXT(D$1,"dd-mmm"),"x")</f>
        <v>x</v>
      </c>
      <c r="E101" s="59" t="str">
        <f t="shared" si="159"/>
        <v>x</v>
      </c>
      <c r="F101" s="59" t="str">
        <f t="shared" si="159"/>
        <v>x</v>
      </c>
      <c r="G101" s="59" t="str">
        <f t="shared" si="159"/>
        <v>x</v>
      </c>
      <c r="H101" s="59" t="str">
        <f t="shared" si="159"/>
        <v>x</v>
      </c>
      <c r="I101" s="59" t="str">
        <f t="shared" si="159"/>
        <v>x</v>
      </c>
      <c r="J101" s="59" t="str">
        <f t="shared" si="159"/>
        <v>x</v>
      </c>
      <c r="K101" s="59" t="str">
        <f t="shared" si="159"/>
        <v>x</v>
      </c>
      <c r="L101" s="59" t="str">
        <f t="shared" si="159"/>
        <v>x</v>
      </c>
      <c r="M101" s="59" t="str">
        <f t="shared" si="159"/>
        <v>x</v>
      </c>
      <c r="N101" s="59" t="str">
        <f t="shared" si="159"/>
        <v>x</v>
      </c>
      <c r="O101" s="59" t="str">
        <f t="shared" si="159"/>
        <v>x</v>
      </c>
      <c r="P101" s="59" t="str">
        <f t="shared" si="159"/>
        <v>x</v>
      </c>
      <c r="Q101" s="59" t="str">
        <f t="shared" si="159"/>
        <v>x</v>
      </c>
      <c r="R101" s="59" t="str">
        <f t="shared" si="159"/>
        <v>x</v>
      </c>
      <c r="S101" s="59" t="str">
        <f t="shared" si="159"/>
        <v>x</v>
      </c>
      <c r="T101" s="59" t="str">
        <f t="shared" si="159"/>
        <v>x</v>
      </c>
      <c r="U101" s="59" t="str">
        <f t="shared" si="159"/>
        <v>x</v>
      </c>
      <c r="V101" s="59" t="str">
        <f t="shared" si="159"/>
        <v>x</v>
      </c>
      <c r="W101" s="59" t="str">
        <f t="shared" si="159"/>
        <v>x</v>
      </c>
      <c r="X101" s="59" t="str">
        <f t="shared" si="159"/>
        <v>x</v>
      </c>
      <c r="Y101" s="59" t="str">
        <f t="shared" si="159"/>
        <v>x</v>
      </c>
      <c r="Z101" s="59" t="str">
        <f t="shared" si="159"/>
        <v>x</v>
      </c>
      <c r="AI101" s="59"/>
      <c r="AJ101" s="59"/>
      <c r="AK101" s="59"/>
      <c r="BG101" s="59"/>
      <c r="BV101" s="59"/>
      <c r="BW101" s="59"/>
    </row>
    <row r="102" spans="4:77" customFormat="1" x14ac:dyDescent="0.15">
      <c r="D102" s="59" t="str">
        <f t="shared" ref="D102:Z102" si="160">IF(BatSplit(D28,RunsScored)&gt;=50,BatSplit(D28,RunsScored)&amp;IF(BatSplit(D28,NotOuts)=1,"*","")&amp;"|"&amp;$C28&amp;"|"&amp;D$2&amp;"|"&amp;TEXT(D$1,"dd-mmm"),"x")</f>
        <v>x</v>
      </c>
      <c r="E102" s="59" t="str">
        <f t="shared" si="160"/>
        <v>x</v>
      </c>
      <c r="F102" s="59" t="str">
        <f t="shared" si="160"/>
        <v>x</v>
      </c>
      <c r="G102" s="59" t="str">
        <f t="shared" si="160"/>
        <v>x</v>
      </c>
      <c r="H102" s="59" t="str">
        <f t="shared" si="160"/>
        <v>x</v>
      </c>
      <c r="I102" s="59" t="str">
        <f t="shared" si="160"/>
        <v>x</v>
      </c>
      <c r="J102" s="59" t="str">
        <f t="shared" si="160"/>
        <v>x</v>
      </c>
      <c r="K102" s="59" t="str">
        <f t="shared" si="160"/>
        <v>x</v>
      </c>
      <c r="L102" s="59" t="str">
        <f t="shared" si="160"/>
        <v>x</v>
      </c>
      <c r="M102" s="59" t="str">
        <f t="shared" si="160"/>
        <v>x</v>
      </c>
      <c r="N102" s="59" t="str">
        <f t="shared" si="160"/>
        <v>x</v>
      </c>
      <c r="O102" s="59" t="str">
        <f t="shared" si="160"/>
        <v>x</v>
      </c>
      <c r="P102" s="59" t="str">
        <f t="shared" si="160"/>
        <v>x</v>
      </c>
      <c r="Q102" s="59" t="str">
        <f t="shared" si="160"/>
        <v>x</v>
      </c>
      <c r="R102" s="59" t="str">
        <f t="shared" si="160"/>
        <v>x</v>
      </c>
      <c r="S102" s="59" t="str">
        <f t="shared" si="160"/>
        <v>x</v>
      </c>
      <c r="T102" s="59" t="str">
        <f t="shared" si="160"/>
        <v>x</v>
      </c>
      <c r="U102" s="59" t="str">
        <f t="shared" si="160"/>
        <v>x</v>
      </c>
      <c r="V102" s="59" t="str">
        <f t="shared" si="160"/>
        <v>x</v>
      </c>
      <c r="W102" s="59" t="str">
        <f t="shared" si="160"/>
        <v>x</v>
      </c>
      <c r="X102" s="59" t="str">
        <f t="shared" si="160"/>
        <v>x</v>
      </c>
      <c r="Y102" s="59" t="str">
        <f t="shared" si="160"/>
        <v>x</v>
      </c>
      <c r="Z102" s="59" t="str">
        <f t="shared" si="160"/>
        <v>x</v>
      </c>
      <c r="AI102" s="59"/>
      <c r="AJ102" s="59"/>
      <c r="AK102" s="59"/>
      <c r="BG102" s="59"/>
      <c r="BV102" s="59"/>
      <c r="BW102" s="59"/>
    </row>
    <row r="103" spans="4:77" customFormat="1" x14ac:dyDescent="0.15">
      <c r="D103" s="59" t="str">
        <f t="shared" ref="D103:Z103" si="161">IF(BatSplit(D29,RunsScored)&gt;=50,BatSplit(D29,RunsScored)&amp;IF(BatSplit(D29,NotOuts)=1,"*","")&amp;"|"&amp;$C29&amp;"|"&amp;D$2&amp;"|"&amp;TEXT(D$1,"dd-mmm"),"x")</f>
        <v>x</v>
      </c>
      <c r="E103" s="59" t="str">
        <f t="shared" si="161"/>
        <v>x</v>
      </c>
      <c r="F103" s="59" t="str">
        <f t="shared" si="161"/>
        <v>x</v>
      </c>
      <c r="G103" s="59" t="str">
        <f t="shared" si="161"/>
        <v>x</v>
      </c>
      <c r="H103" s="59" t="str">
        <f t="shared" si="161"/>
        <v>x</v>
      </c>
      <c r="I103" s="59" t="str">
        <f t="shared" si="161"/>
        <v>x</v>
      </c>
      <c r="J103" s="59" t="str">
        <f t="shared" si="161"/>
        <v>x</v>
      </c>
      <c r="K103" s="59" t="str">
        <f t="shared" si="161"/>
        <v>x</v>
      </c>
      <c r="L103" s="59" t="str">
        <f t="shared" si="161"/>
        <v>x</v>
      </c>
      <c r="M103" s="59" t="str">
        <f t="shared" si="161"/>
        <v>x</v>
      </c>
      <c r="N103" s="59" t="str">
        <f t="shared" si="161"/>
        <v>x</v>
      </c>
      <c r="O103" s="59" t="str">
        <f t="shared" si="161"/>
        <v>x</v>
      </c>
      <c r="P103" s="59" t="str">
        <f t="shared" si="161"/>
        <v>x</v>
      </c>
      <c r="Q103" s="59" t="str">
        <f t="shared" si="161"/>
        <v>x</v>
      </c>
      <c r="R103" s="59" t="str">
        <f t="shared" si="161"/>
        <v>x</v>
      </c>
      <c r="S103" s="59" t="str">
        <f t="shared" si="161"/>
        <v>x</v>
      </c>
      <c r="T103" s="59" t="str">
        <f t="shared" si="161"/>
        <v>x</v>
      </c>
      <c r="U103" s="59" t="str">
        <f t="shared" si="161"/>
        <v>x</v>
      </c>
      <c r="V103" s="59" t="str">
        <f t="shared" si="161"/>
        <v>x</v>
      </c>
      <c r="W103" s="59" t="str">
        <f t="shared" si="161"/>
        <v>x</v>
      </c>
      <c r="X103" s="59" t="str">
        <f t="shared" si="161"/>
        <v>x</v>
      </c>
      <c r="Y103" s="59" t="str">
        <f t="shared" si="161"/>
        <v>x</v>
      </c>
      <c r="Z103" s="59" t="str">
        <f t="shared" si="161"/>
        <v>x</v>
      </c>
      <c r="AI103" s="59"/>
      <c r="AJ103" s="59"/>
      <c r="AK103" s="59"/>
      <c r="BG103" s="59"/>
      <c r="BV103" s="59"/>
      <c r="BW103" s="59"/>
    </row>
    <row r="104" spans="4:77" customFormat="1" x14ac:dyDescent="0.15">
      <c r="D104" s="59" t="str">
        <f t="shared" ref="D104:Z104" si="162">IF(BatSplit(D30,RunsScored)&gt;=50,BatSplit(D30,RunsScored)&amp;IF(BatSplit(D30,NotOuts)=1,"*","")&amp;"|"&amp;$C30&amp;"|"&amp;D$2&amp;"|"&amp;TEXT(D$1,"dd-mmm"),"x")</f>
        <v>x</v>
      </c>
      <c r="E104" s="59" t="str">
        <f t="shared" si="162"/>
        <v>x</v>
      </c>
      <c r="F104" s="59" t="str">
        <f t="shared" si="162"/>
        <v>x</v>
      </c>
      <c r="G104" s="59" t="str">
        <f t="shared" si="162"/>
        <v>x</v>
      </c>
      <c r="H104" s="59" t="str">
        <f t="shared" si="162"/>
        <v>x</v>
      </c>
      <c r="I104" s="59" t="str">
        <f t="shared" si="162"/>
        <v>x</v>
      </c>
      <c r="J104" s="59" t="str">
        <f t="shared" si="162"/>
        <v>x</v>
      </c>
      <c r="K104" s="59" t="str">
        <f t="shared" si="162"/>
        <v>x</v>
      </c>
      <c r="L104" s="59" t="str">
        <f t="shared" si="162"/>
        <v>x</v>
      </c>
      <c r="M104" s="59" t="str">
        <f t="shared" si="162"/>
        <v>x</v>
      </c>
      <c r="N104" s="59" t="str">
        <f t="shared" si="162"/>
        <v>x</v>
      </c>
      <c r="O104" s="59" t="str">
        <f t="shared" si="162"/>
        <v>x</v>
      </c>
      <c r="P104" s="59" t="str">
        <f t="shared" si="162"/>
        <v>x</v>
      </c>
      <c r="Q104" s="59" t="str">
        <f t="shared" si="162"/>
        <v>x</v>
      </c>
      <c r="R104" s="59" t="str">
        <f t="shared" si="162"/>
        <v>x</v>
      </c>
      <c r="S104" s="59" t="str">
        <f t="shared" si="162"/>
        <v>x</v>
      </c>
      <c r="T104" s="59" t="str">
        <f t="shared" si="162"/>
        <v>x</v>
      </c>
      <c r="U104" s="59" t="str">
        <f t="shared" si="162"/>
        <v>x</v>
      </c>
      <c r="V104" s="59" t="str">
        <f t="shared" si="162"/>
        <v>x</v>
      </c>
      <c r="W104" s="59" t="str">
        <f t="shared" si="162"/>
        <v>x</v>
      </c>
      <c r="X104" s="59" t="str">
        <f t="shared" si="162"/>
        <v>x</v>
      </c>
      <c r="Y104" s="59" t="str">
        <f t="shared" si="162"/>
        <v>x</v>
      </c>
      <c r="Z104" s="59" t="str">
        <f t="shared" si="162"/>
        <v>x</v>
      </c>
      <c r="AI104" s="59"/>
      <c r="AJ104" s="59"/>
      <c r="AK104" s="59"/>
      <c r="BG104" s="59"/>
      <c r="BV104" s="59"/>
      <c r="BW104" s="59"/>
    </row>
    <row r="105" spans="4:77" customFormat="1" x14ac:dyDescent="0.15">
      <c r="D105" s="59" t="str">
        <f t="shared" ref="D105:Z105" si="163">IF(BatSplit(D31,RunsScored)&gt;=50,BatSplit(D31,RunsScored)&amp;IF(BatSplit(D31,NotOuts)=1,"*","")&amp;"|"&amp;$C31&amp;"|"&amp;D$2&amp;"|"&amp;TEXT(D$1,"dd-mmm"),"x")</f>
        <v>x</v>
      </c>
      <c r="E105" s="59" t="str">
        <f t="shared" si="163"/>
        <v>x</v>
      </c>
      <c r="F105" s="59" t="str">
        <f t="shared" si="163"/>
        <v>x</v>
      </c>
      <c r="G105" s="59" t="str">
        <f t="shared" si="163"/>
        <v>x</v>
      </c>
      <c r="H105" s="59" t="str">
        <f t="shared" si="163"/>
        <v>x</v>
      </c>
      <c r="I105" s="59" t="str">
        <f t="shared" si="163"/>
        <v>x</v>
      </c>
      <c r="J105" s="59" t="str">
        <f t="shared" si="163"/>
        <v>x</v>
      </c>
      <c r="K105" s="59" t="str">
        <f t="shared" si="163"/>
        <v>x</v>
      </c>
      <c r="L105" s="59" t="str">
        <f t="shared" si="163"/>
        <v>x</v>
      </c>
      <c r="M105" s="59" t="str">
        <f t="shared" si="163"/>
        <v>x</v>
      </c>
      <c r="N105" s="59" t="str">
        <f t="shared" si="163"/>
        <v>x</v>
      </c>
      <c r="O105" s="59" t="str">
        <f t="shared" si="163"/>
        <v>x</v>
      </c>
      <c r="P105" s="59" t="str">
        <f t="shared" si="163"/>
        <v>x</v>
      </c>
      <c r="Q105" s="59" t="str">
        <f t="shared" si="163"/>
        <v>x</v>
      </c>
      <c r="R105" s="59" t="str">
        <f t="shared" si="163"/>
        <v>x</v>
      </c>
      <c r="S105" s="59" t="str">
        <f t="shared" si="163"/>
        <v>x</v>
      </c>
      <c r="T105" s="59" t="str">
        <f t="shared" si="163"/>
        <v>x</v>
      </c>
      <c r="U105" s="59" t="str">
        <f t="shared" si="163"/>
        <v>x</v>
      </c>
      <c r="V105" s="59" t="str">
        <f t="shared" si="163"/>
        <v>x</v>
      </c>
      <c r="W105" s="59" t="str">
        <f t="shared" si="163"/>
        <v>x</v>
      </c>
      <c r="X105" s="59" t="str">
        <f t="shared" si="163"/>
        <v>x</v>
      </c>
      <c r="Y105" s="59" t="str">
        <f t="shared" si="163"/>
        <v>x</v>
      </c>
      <c r="Z105" s="59" t="str">
        <f t="shared" si="163"/>
        <v>x</v>
      </c>
      <c r="AI105" s="59"/>
      <c r="AJ105" s="59"/>
      <c r="AK105" s="59"/>
      <c r="BG105" s="59"/>
    </row>
    <row r="106" spans="4:77" customFormat="1" x14ac:dyDescent="0.15">
      <c r="D106" s="59" t="str">
        <f t="shared" ref="D106:Z106" si="164">IF(BatSplit(D32,RunsScored)&gt;=50,BatSplit(D32,RunsScored)&amp;IF(BatSplit(D32,NotOuts)=1,"*","")&amp;"|"&amp;$C32&amp;"|"&amp;D$2&amp;"|"&amp;TEXT(D$1,"dd-mmm"),"x")</f>
        <v>x</v>
      </c>
      <c r="E106" s="59" t="str">
        <f t="shared" si="164"/>
        <v>x</v>
      </c>
      <c r="F106" s="59" t="str">
        <f t="shared" si="164"/>
        <v>x</v>
      </c>
      <c r="G106" s="59" t="str">
        <f t="shared" si="164"/>
        <v>x</v>
      </c>
      <c r="H106" s="59" t="str">
        <f t="shared" si="164"/>
        <v>x</v>
      </c>
      <c r="I106" s="59" t="str">
        <f t="shared" si="164"/>
        <v>x</v>
      </c>
      <c r="J106" s="59" t="str">
        <f t="shared" si="164"/>
        <v>x</v>
      </c>
      <c r="K106" s="59" t="str">
        <f t="shared" si="164"/>
        <v>x</v>
      </c>
      <c r="L106" s="59" t="str">
        <f t="shared" si="164"/>
        <v>x</v>
      </c>
      <c r="M106" s="59" t="str">
        <f t="shared" si="164"/>
        <v>x</v>
      </c>
      <c r="N106" s="59" t="str">
        <f t="shared" si="164"/>
        <v>x</v>
      </c>
      <c r="O106" s="59" t="str">
        <f t="shared" si="164"/>
        <v>x</v>
      </c>
      <c r="P106" s="59" t="str">
        <f t="shared" si="164"/>
        <v>x</v>
      </c>
      <c r="Q106" s="59" t="str">
        <f t="shared" si="164"/>
        <v>x</v>
      </c>
      <c r="R106" s="59" t="str">
        <f t="shared" si="164"/>
        <v>x</v>
      </c>
      <c r="S106" s="59" t="str">
        <f t="shared" si="164"/>
        <v>x</v>
      </c>
      <c r="T106" s="59" t="str">
        <f t="shared" si="164"/>
        <v>x</v>
      </c>
      <c r="U106" s="59" t="str">
        <f t="shared" si="164"/>
        <v>x</v>
      </c>
      <c r="V106" s="59" t="str">
        <f t="shared" si="164"/>
        <v>x</v>
      </c>
      <c r="W106" s="59" t="str">
        <f t="shared" si="164"/>
        <v>x</v>
      </c>
      <c r="X106" s="59" t="str">
        <f t="shared" si="164"/>
        <v>x</v>
      </c>
      <c r="Y106" s="59" t="str">
        <f t="shared" si="164"/>
        <v>x</v>
      </c>
      <c r="Z106" s="59" t="str">
        <f t="shared" si="164"/>
        <v>x</v>
      </c>
      <c r="AI106" s="59"/>
      <c r="AJ106" s="59"/>
      <c r="AK106" s="59"/>
      <c r="BG106" s="59"/>
    </row>
    <row r="107" spans="4:77" customFormat="1" x14ac:dyDescent="0.15">
      <c r="D107" s="59" t="str">
        <f t="shared" ref="D107:Z107" si="165">IF(BatSplit(D33,RunsScored)&gt;=50,BatSplit(D33,RunsScored)&amp;IF(BatSplit(D33,NotOuts)=1,"*","")&amp;"|"&amp;$C33&amp;"|"&amp;D$2&amp;"|"&amp;TEXT(D$1,"dd-mmm"),"x")</f>
        <v>x</v>
      </c>
      <c r="E107" s="59" t="str">
        <f t="shared" si="165"/>
        <v>x</v>
      </c>
      <c r="F107" s="59" t="str">
        <f t="shared" si="165"/>
        <v>x</v>
      </c>
      <c r="G107" s="59" t="str">
        <f t="shared" si="165"/>
        <v>x</v>
      </c>
      <c r="H107" s="59" t="str">
        <f t="shared" si="165"/>
        <v>x</v>
      </c>
      <c r="I107" s="59" t="str">
        <f t="shared" si="165"/>
        <v>x</v>
      </c>
      <c r="J107" s="59" t="str">
        <f t="shared" si="165"/>
        <v>x</v>
      </c>
      <c r="K107" s="59" t="str">
        <f t="shared" si="165"/>
        <v>x</v>
      </c>
      <c r="L107" s="59" t="str">
        <f t="shared" si="165"/>
        <v>x</v>
      </c>
      <c r="M107" s="59" t="str">
        <f t="shared" si="165"/>
        <v>x</v>
      </c>
      <c r="N107" s="59" t="str">
        <f t="shared" si="165"/>
        <v>x</v>
      </c>
      <c r="O107" s="59" t="str">
        <f t="shared" si="165"/>
        <v>x</v>
      </c>
      <c r="P107" s="59" t="str">
        <f t="shared" si="165"/>
        <v>x</v>
      </c>
      <c r="Q107" s="59" t="str">
        <f t="shared" si="165"/>
        <v>x</v>
      </c>
      <c r="R107" s="59" t="str">
        <f t="shared" si="165"/>
        <v>x</v>
      </c>
      <c r="S107" s="59" t="str">
        <f t="shared" si="165"/>
        <v>x</v>
      </c>
      <c r="T107" s="59" t="str">
        <f t="shared" si="165"/>
        <v>x</v>
      </c>
      <c r="U107" s="59" t="str">
        <f t="shared" si="165"/>
        <v>x</v>
      </c>
      <c r="V107" s="59" t="str">
        <f t="shared" si="165"/>
        <v>x</v>
      </c>
      <c r="W107" s="59" t="str">
        <f t="shared" si="165"/>
        <v>x</v>
      </c>
      <c r="X107" s="59" t="str">
        <f t="shared" si="165"/>
        <v>x</v>
      </c>
      <c r="Y107" s="59" t="str">
        <f t="shared" si="165"/>
        <v>x</v>
      </c>
      <c r="Z107" s="59" t="str">
        <f t="shared" si="165"/>
        <v>x</v>
      </c>
      <c r="AI107" s="59"/>
      <c r="AJ107" s="59"/>
      <c r="AK107" s="59"/>
      <c r="BG107" s="59"/>
    </row>
    <row r="108" spans="4:77" customFormat="1" x14ac:dyDescent="0.15">
      <c r="D108" s="59" t="str">
        <f t="shared" ref="D108:Z108" si="166">IF(BatSplit(D34,RunsScored)&gt;=50,BatSplit(D34,RunsScored)&amp;IF(BatSplit(D34,NotOuts)=1,"*","")&amp;"|"&amp;$C34&amp;"|"&amp;D$2&amp;"|"&amp;TEXT(D$1,"dd-mmm"),"x")</f>
        <v>x</v>
      </c>
      <c r="E108" s="59" t="str">
        <f t="shared" si="166"/>
        <v>x</v>
      </c>
      <c r="F108" s="59" t="str">
        <f t="shared" si="166"/>
        <v>x</v>
      </c>
      <c r="G108" s="59" t="str">
        <f t="shared" si="166"/>
        <v>x</v>
      </c>
      <c r="H108" s="59" t="str">
        <f t="shared" si="166"/>
        <v>x</v>
      </c>
      <c r="I108" s="59" t="str">
        <f t="shared" si="166"/>
        <v>x</v>
      </c>
      <c r="J108" s="59" t="str">
        <f t="shared" si="166"/>
        <v>x</v>
      </c>
      <c r="K108" s="59" t="str">
        <f t="shared" si="166"/>
        <v>x</v>
      </c>
      <c r="L108" s="59" t="str">
        <f t="shared" si="166"/>
        <v>x</v>
      </c>
      <c r="M108" s="59" t="str">
        <f t="shared" si="166"/>
        <v>x</v>
      </c>
      <c r="N108" s="59" t="str">
        <f t="shared" si="166"/>
        <v>x</v>
      </c>
      <c r="O108" s="59" t="str">
        <f t="shared" si="166"/>
        <v>x</v>
      </c>
      <c r="P108" s="59" t="str">
        <f t="shared" si="166"/>
        <v>x</v>
      </c>
      <c r="Q108" s="59" t="str">
        <f t="shared" si="166"/>
        <v>x</v>
      </c>
      <c r="R108" s="59" t="str">
        <f t="shared" si="166"/>
        <v>x</v>
      </c>
      <c r="S108" s="59" t="str">
        <f t="shared" si="166"/>
        <v>x</v>
      </c>
      <c r="T108" s="59" t="str">
        <f t="shared" si="166"/>
        <v>x</v>
      </c>
      <c r="U108" s="59" t="str">
        <f t="shared" si="166"/>
        <v>x</v>
      </c>
      <c r="V108" s="59" t="str">
        <f t="shared" si="166"/>
        <v>x</v>
      </c>
      <c r="W108" s="59" t="str">
        <f t="shared" si="166"/>
        <v>x</v>
      </c>
      <c r="X108" s="59" t="str">
        <f t="shared" si="166"/>
        <v>x</v>
      </c>
      <c r="Y108" s="59" t="str">
        <f t="shared" si="166"/>
        <v>x</v>
      </c>
      <c r="Z108" s="59" t="str">
        <f t="shared" si="166"/>
        <v>x</v>
      </c>
      <c r="AI108" s="59"/>
      <c r="AJ108" s="59"/>
      <c r="AK108" s="59"/>
      <c r="BG108" s="59"/>
    </row>
    <row r="109" spans="4:77" customFormat="1" x14ac:dyDescent="0.15">
      <c r="D109" s="59" t="str">
        <f t="shared" ref="D109:Z109" si="167">IF(BatSplit(D35,RunsScored)&gt;=50,BatSplit(D35,RunsScored)&amp;IF(BatSplit(D35,NotOuts)=1,"*","")&amp;"|"&amp;$C35&amp;"|"&amp;D$2&amp;"|"&amp;TEXT(D$1,"dd-mmm"),"x")</f>
        <v>x</v>
      </c>
      <c r="E109" s="59" t="str">
        <f t="shared" si="167"/>
        <v>x</v>
      </c>
      <c r="F109" s="59" t="str">
        <f t="shared" si="167"/>
        <v>x</v>
      </c>
      <c r="G109" s="59" t="str">
        <f t="shared" si="167"/>
        <v>x</v>
      </c>
      <c r="H109" s="59" t="str">
        <f t="shared" si="167"/>
        <v>x</v>
      </c>
      <c r="I109" s="59" t="str">
        <f t="shared" si="167"/>
        <v>x</v>
      </c>
      <c r="J109" s="59" t="str">
        <f t="shared" si="167"/>
        <v>x</v>
      </c>
      <c r="K109" s="59" t="str">
        <f t="shared" si="167"/>
        <v>x</v>
      </c>
      <c r="L109" s="59" t="str">
        <f t="shared" si="167"/>
        <v>x</v>
      </c>
      <c r="M109" s="59" t="str">
        <f t="shared" si="167"/>
        <v>x</v>
      </c>
      <c r="N109" s="59" t="str">
        <f t="shared" si="167"/>
        <v>x</v>
      </c>
      <c r="O109" s="59" t="str">
        <f t="shared" si="167"/>
        <v>x</v>
      </c>
      <c r="P109" s="59" t="str">
        <f t="shared" si="167"/>
        <v>x</v>
      </c>
      <c r="Q109" s="59" t="str">
        <f t="shared" si="167"/>
        <v>x</v>
      </c>
      <c r="R109" s="59" t="str">
        <f t="shared" si="167"/>
        <v>x</v>
      </c>
      <c r="S109" s="59" t="str">
        <f t="shared" si="167"/>
        <v>x</v>
      </c>
      <c r="T109" s="59" t="str">
        <f t="shared" si="167"/>
        <v>x</v>
      </c>
      <c r="U109" s="59" t="str">
        <f t="shared" si="167"/>
        <v>x</v>
      </c>
      <c r="V109" s="59" t="str">
        <f t="shared" si="167"/>
        <v>x</v>
      </c>
      <c r="W109" s="59" t="str">
        <f t="shared" si="167"/>
        <v>x</v>
      </c>
      <c r="X109" s="59" t="str">
        <f t="shared" si="167"/>
        <v>x</v>
      </c>
      <c r="Y109" s="59" t="str">
        <f t="shared" si="167"/>
        <v>x</v>
      </c>
      <c r="Z109" s="59" t="str">
        <f t="shared" si="167"/>
        <v>x</v>
      </c>
      <c r="AI109" s="59"/>
      <c r="AJ109" s="59"/>
      <c r="AK109" s="59"/>
      <c r="BG109" s="59"/>
    </row>
    <row r="110" spans="4:77" customFormat="1" x14ac:dyDescent="0.15">
      <c r="D110" s="59" t="str">
        <f t="shared" ref="D110:Z110" si="168">IF(BatSplit(D36,RunsScored)&gt;=50,BatSplit(D36,RunsScored)&amp;IF(BatSplit(D36,NotOuts)=1,"*","")&amp;"|"&amp;$C36&amp;"|"&amp;D$2&amp;"|"&amp;TEXT(D$1,"dd-mmm"),"x")</f>
        <v>x</v>
      </c>
      <c r="E110" s="59" t="str">
        <f t="shared" si="168"/>
        <v>x</v>
      </c>
      <c r="F110" s="59" t="str">
        <f t="shared" si="168"/>
        <v>x</v>
      </c>
      <c r="G110" s="59" t="str">
        <f t="shared" si="168"/>
        <v>x</v>
      </c>
      <c r="H110" s="59" t="str">
        <f t="shared" si="168"/>
        <v>x</v>
      </c>
      <c r="I110" s="59" t="str">
        <f t="shared" si="168"/>
        <v>x</v>
      </c>
      <c r="J110" s="59" t="str">
        <f t="shared" si="168"/>
        <v>x</v>
      </c>
      <c r="K110" s="59" t="str">
        <f t="shared" si="168"/>
        <v>x</v>
      </c>
      <c r="L110" s="59" t="str">
        <f t="shared" si="168"/>
        <v>x</v>
      </c>
      <c r="M110" s="59" t="str">
        <f t="shared" si="168"/>
        <v>x</v>
      </c>
      <c r="N110" s="59" t="str">
        <f t="shared" si="168"/>
        <v>x</v>
      </c>
      <c r="O110" s="59" t="str">
        <f t="shared" si="168"/>
        <v>x</v>
      </c>
      <c r="P110" s="59" t="str">
        <f t="shared" si="168"/>
        <v>x</v>
      </c>
      <c r="Q110" s="59" t="str">
        <f t="shared" si="168"/>
        <v>x</v>
      </c>
      <c r="R110" s="59" t="str">
        <f t="shared" si="168"/>
        <v>x</v>
      </c>
      <c r="S110" s="59" t="str">
        <f t="shared" si="168"/>
        <v>x</v>
      </c>
      <c r="T110" s="59" t="str">
        <f t="shared" si="168"/>
        <v>x</v>
      </c>
      <c r="U110" s="59" t="str">
        <f t="shared" si="168"/>
        <v>x</v>
      </c>
      <c r="V110" s="59" t="str">
        <f t="shared" si="168"/>
        <v>x</v>
      </c>
      <c r="W110" s="59" t="str">
        <f t="shared" si="168"/>
        <v>x</v>
      </c>
      <c r="X110" s="59" t="str">
        <f t="shared" si="168"/>
        <v>x</v>
      </c>
      <c r="Y110" s="59" t="str">
        <f t="shared" si="168"/>
        <v>x</v>
      </c>
      <c r="Z110" s="59" t="str">
        <f t="shared" si="168"/>
        <v>x</v>
      </c>
      <c r="AI110" s="59"/>
      <c r="AJ110" s="59"/>
      <c r="AK110" s="59"/>
    </row>
    <row r="111" spans="4:77" customFormat="1" x14ac:dyDescent="0.15">
      <c r="D111" s="59" t="str">
        <f t="shared" ref="D111:Z111" si="169">IF(BatSplit(D37,RunsScored)&gt;=50,BatSplit(D37,RunsScored)&amp;IF(BatSplit(D37,NotOuts)=1,"*","")&amp;"|"&amp;$C37&amp;"|"&amp;D$2&amp;"|"&amp;TEXT(D$1,"dd-mmm"),"x")</f>
        <v>x</v>
      </c>
      <c r="E111" s="59" t="str">
        <f t="shared" si="169"/>
        <v>x</v>
      </c>
      <c r="F111" s="59" t="str">
        <f t="shared" si="169"/>
        <v>x</v>
      </c>
      <c r="G111" s="59" t="str">
        <f t="shared" si="169"/>
        <v>x</v>
      </c>
      <c r="H111" s="59" t="str">
        <f t="shared" si="169"/>
        <v>x</v>
      </c>
      <c r="I111" s="59" t="str">
        <f t="shared" si="169"/>
        <v>x</v>
      </c>
      <c r="J111" s="59" t="str">
        <f t="shared" si="169"/>
        <v>x</v>
      </c>
      <c r="K111" s="59" t="str">
        <f t="shared" si="169"/>
        <v>x</v>
      </c>
      <c r="L111" s="59" t="str">
        <f t="shared" si="169"/>
        <v>x</v>
      </c>
      <c r="M111" s="59" t="str">
        <f t="shared" si="169"/>
        <v>x</v>
      </c>
      <c r="N111" s="59" t="str">
        <f t="shared" si="169"/>
        <v>x</v>
      </c>
      <c r="O111" s="59" t="str">
        <f t="shared" si="169"/>
        <v>x</v>
      </c>
      <c r="P111" s="59" t="str">
        <f t="shared" si="169"/>
        <v>x</v>
      </c>
      <c r="Q111" s="59" t="str">
        <f t="shared" si="169"/>
        <v>x</v>
      </c>
      <c r="R111" s="59" t="str">
        <f t="shared" si="169"/>
        <v>x</v>
      </c>
      <c r="S111" s="59" t="str">
        <f t="shared" si="169"/>
        <v>x</v>
      </c>
      <c r="T111" s="59" t="str">
        <f t="shared" si="169"/>
        <v>x</v>
      </c>
      <c r="U111" s="59" t="str">
        <f t="shared" si="169"/>
        <v>x</v>
      </c>
      <c r="V111" s="59" t="str">
        <f t="shared" si="169"/>
        <v>x</v>
      </c>
      <c r="W111" s="59" t="str">
        <f t="shared" si="169"/>
        <v>x</v>
      </c>
      <c r="X111" s="59" t="str">
        <f t="shared" si="169"/>
        <v>x</v>
      </c>
      <c r="Y111" s="59" t="str">
        <f t="shared" si="169"/>
        <v>x</v>
      </c>
      <c r="Z111" s="59" t="str">
        <f t="shared" si="169"/>
        <v>x</v>
      </c>
      <c r="AI111" s="59"/>
      <c r="AJ111" s="59"/>
      <c r="AK111" s="59"/>
    </row>
    <row r="112" spans="4:77" customFormat="1" x14ac:dyDescent="0.15">
      <c r="D112" s="59" t="str">
        <f t="shared" ref="D112:Z112" si="170">IF(BatSplit(D38,RunsScored)&gt;=50,BatSplit(D38,RunsScored)&amp;IF(BatSplit(D38,NotOuts)=1,"*","")&amp;"|"&amp;$C38&amp;"|"&amp;D$2&amp;"|"&amp;TEXT(D$1,"dd-mmm"),"x")</f>
        <v>x</v>
      </c>
      <c r="E112" s="59" t="str">
        <f t="shared" si="170"/>
        <v>x</v>
      </c>
      <c r="F112" s="59" t="str">
        <f t="shared" si="170"/>
        <v>x</v>
      </c>
      <c r="G112" s="59" t="str">
        <f t="shared" si="170"/>
        <v>x</v>
      </c>
      <c r="H112" s="59" t="str">
        <f t="shared" si="170"/>
        <v>66|Patel J|Woodgreen|28-May</v>
      </c>
      <c r="I112" s="59" t="str">
        <f t="shared" si="170"/>
        <v>x</v>
      </c>
      <c r="J112" s="59" t="str">
        <f t="shared" si="170"/>
        <v>x</v>
      </c>
      <c r="K112" s="59" t="str">
        <f t="shared" si="170"/>
        <v>x</v>
      </c>
      <c r="L112" s="59" t="str">
        <f t="shared" si="170"/>
        <v>x</v>
      </c>
      <c r="M112" s="59" t="str">
        <f t="shared" si="170"/>
        <v>x</v>
      </c>
      <c r="N112" s="59" t="str">
        <f t="shared" si="170"/>
        <v>x</v>
      </c>
      <c r="O112" s="59" t="str">
        <f t="shared" si="170"/>
        <v>x</v>
      </c>
      <c r="P112" s="59" t="str">
        <f t="shared" si="170"/>
        <v>x</v>
      </c>
      <c r="Q112" s="59" t="str">
        <f t="shared" si="170"/>
        <v>x</v>
      </c>
      <c r="R112" s="59" t="str">
        <f t="shared" si="170"/>
        <v>x</v>
      </c>
      <c r="S112" s="59" t="str">
        <f t="shared" si="170"/>
        <v>x</v>
      </c>
      <c r="T112" s="59" t="str">
        <f t="shared" si="170"/>
        <v>x</v>
      </c>
      <c r="U112" s="59" t="str">
        <f t="shared" si="170"/>
        <v>x</v>
      </c>
      <c r="V112" s="59" t="str">
        <f t="shared" si="170"/>
        <v>x</v>
      </c>
      <c r="W112" s="59" t="str">
        <f t="shared" si="170"/>
        <v>x</v>
      </c>
      <c r="X112" s="59" t="str">
        <f t="shared" si="170"/>
        <v>52|Patel J|0|00-Jan</v>
      </c>
      <c r="Y112" s="59" t="str">
        <f t="shared" si="170"/>
        <v>x</v>
      </c>
      <c r="Z112" s="59" t="str">
        <f t="shared" si="170"/>
        <v>x</v>
      </c>
      <c r="AK112" s="59"/>
    </row>
    <row r="113" spans="4:26" customFormat="1" x14ac:dyDescent="0.15">
      <c r="D113" s="59" t="str">
        <f t="shared" ref="D113:Z113" si="171">IF(BatSplit(D39,RunsScored)&gt;=50,BatSplit(D39,RunsScored)&amp;IF(BatSplit(D39,NotOuts)=1,"*","")&amp;"|"&amp;$C39&amp;"|"&amp;D$2&amp;"|"&amp;TEXT(D$1,"dd-mmm"),"x")</f>
        <v>x</v>
      </c>
      <c r="E113" s="59" t="str">
        <f t="shared" si="171"/>
        <v>x</v>
      </c>
      <c r="F113" s="59" t="str">
        <f t="shared" si="171"/>
        <v>x</v>
      </c>
      <c r="G113" s="59" t="str">
        <f t="shared" si="171"/>
        <v>x</v>
      </c>
      <c r="H113" s="59" t="str">
        <f t="shared" si="171"/>
        <v>x</v>
      </c>
      <c r="I113" s="59" t="str">
        <f t="shared" si="171"/>
        <v>x</v>
      </c>
      <c r="J113" s="59" t="str">
        <f t="shared" si="171"/>
        <v>x</v>
      </c>
      <c r="K113" s="59" t="str">
        <f t="shared" si="171"/>
        <v>x</v>
      </c>
      <c r="L113" s="59" t="str">
        <f t="shared" si="171"/>
        <v>x</v>
      </c>
      <c r="M113" s="59" t="str">
        <f t="shared" si="171"/>
        <v>x</v>
      </c>
      <c r="N113" s="59" t="str">
        <f t="shared" si="171"/>
        <v>x</v>
      </c>
      <c r="O113" s="59" t="str">
        <f t="shared" si="171"/>
        <v>x</v>
      </c>
      <c r="P113" s="59" t="str">
        <f t="shared" si="171"/>
        <v>x</v>
      </c>
      <c r="Q113" s="59" t="str">
        <f t="shared" si="171"/>
        <v>x</v>
      </c>
      <c r="R113" s="59" t="str">
        <f t="shared" si="171"/>
        <v>x</v>
      </c>
      <c r="S113" s="59" t="str">
        <f t="shared" si="171"/>
        <v>x</v>
      </c>
      <c r="T113" s="59" t="str">
        <f t="shared" si="171"/>
        <v>x</v>
      </c>
      <c r="U113" s="59" t="str">
        <f t="shared" si="171"/>
        <v>x</v>
      </c>
      <c r="V113" s="59" t="str">
        <f t="shared" si="171"/>
        <v>x</v>
      </c>
      <c r="W113" s="59" t="str">
        <f t="shared" si="171"/>
        <v>x</v>
      </c>
      <c r="X113" s="59" t="str">
        <f t="shared" si="171"/>
        <v>x</v>
      </c>
      <c r="Y113" s="59" t="str">
        <f t="shared" si="171"/>
        <v>x</v>
      </c>
      <c r="Z113" s="59" t="str">
        <f t="shared" si="171"/>
        <v>x</v>
      </c>
    </row>
    <row r="114" spans="4:26" customFormat="1" x14ac:dyDescent="0.15">
      <c r="D114" s="59" t="str">
        <f t="shared" ref="D114:Z114" si="172">IF(BatSplit(D40,RunsScored)&gt;=50,BatSplit(D40,RunsScored)&amp;IF(BatSplit(D40,NotOuts)=1,"*","")&amp;"|"&amp;$C40&amp;"|"&amp;D$2&amp;"|"&amp;TEXT(D$1,"dd-mmm"),"x")</f>
        <v>x</v>
      </c>
      <c r="E114" s="59" t="str">
        <f t="shared" si="172"/>
        <v>x</v>
      </c>
      <c r="F114" s="59" t="str">
        <f t="shared" si="172"/>
        <v>x</v>
      </c>
      <c r="G114" s="59" t="str">
        <f t="shared" si="172"/>
        <v>x</v>
      </c>
      <c r="H114" s="59" t="str">
        <f t="shared" si="172"/>
        <v>x</v>
      </c>
      <c r="I114" s="59" t="str">
        <f t="shared" si="172"/>
        <v>x</v>
      </c>
      <c r="J114" s="59" t="str">
        <f t="shared" si="172"/>
        <v>x</v>
      </c>
      <c r="K114" s="59" t="str">
        <f t="shared" si="172"/>
        <v>x</v>
      </c>
      <c r="L114" s="59" t="str">
        <f t="shared" si="172"/>
        <v>x</v>
      </c>
      <c r="M114" s="59" t="str">
        <f t="shared" si="172"/>
        <v>x</v>
      </c>
      <c r="N114" s="59" t="str">
        <f t="shared" si="172"/>
        <v>x</v>
      </c>
      <c r="O114" s="59" t="str">
        <f t="shared" si="172"/>
        <v>x</v>
      </c>
      <c r="P114" s="59" t="str">
        <f t="shared" si="172"/>
        <v>x</v>
      </c>
      <c r="Q114" s="59" t="str">
        <f t="shared" si="172"/>
        <v>x</v>
      </c>
      <c r="R114" s="59" t="str">
        <f t="shared" si="172"/>
        <v>x</v>
      </c>
      <c r="S114" s="59" t="str">
        <f t="shared" si="172"/>
        <v>x</v>
      </c>
      <c r="T114" s="59" t="str">
        <f t="shared" si="172"/>
        <v>x</v>
      </c>
      <c r="U114" s="59" t="str">
        <f t="shared" si="172"/>
        <v>x</v>
      </c>
      <c r="V114" s="59" t="str">
        <f t="shared" si="172"/>
        <v>x</v>
      </c>
      <c r="W114" s="59" t="str">
        <f t="shared" si="172"/>
        <v>x</v>
      </c>
      <c r="X114" s="59" t="str">
        <f t="shared" si="172"/>
        <v>x</v>
      </c>
      <c r="Y114" s="59" t="str">
        <f t="shared" si="172"/>
        <v>x</v>
      </c>
      <c r="Z114" s="59" t="str">
        <f t="shared" si="172"/>
        <v>x</v>
      </c>
    </row>
    <row r="115" spans="4:26" customFormat="1" x14ac:dyDescent="0.15">
      <c r="D115" s="59" t="str">
        <f t="shared" ref="D115:Z115" si="173">IF(BatSplit(D41,RunsScored)&gt;=50,BatSplit(D41,RunsScored)&amp;IF(BatSplit(D41,NotOuts)=1,"*","")&amp;"|"&amp;$C41&amp;"|"&amp;D$2&amp;"|"&amp;TEXT(D$1,"dd-mmm"),"x")</f>
        <v>x</v>
      </c>
      <c r="E115" s="59" t="str">
        <f t="shared" si="173"/>
        <v>x</v>
      </c>
      <c r="F115" s="59" t="str">
        <f t="shared" si="173"/>
        <v>x</v>
      </c>
      <c r="G115" s="59" t="str">
        <f t="shared" si="173"/>
        <v>x</v>
      </c>
      <c r="H115" s="59" t="str">
        <f t="shared" si="173"/>
        <v>x</v>
      </c>
      <c r="I115" s="59" t="str">
        <f t="shared" si="173"/>
        <v>x</v>
      </c>
      <c r="J115" s="59" t="str">
        <f t="shared" si="173"/>
        <v>x</v>
      </c>
      <c r="K115" s="59" t="str">
        <f t="shared" si="173"/>
        <v>x</v>
      </c>
      <c r="L115" s="59" t="str">
        <f t="shared" si="173"/>
        <v>x</v>
      </c>
      <c r="M115" s="59" t="str">
        <f t="shared" si="173"/>
        <v>x</v>
      </c>
      <c r="N115" s="59" t="str">
        <f t="shared" si="173"/>
        <v>x</v>
      </c>
      <c r="O115" s="59" t="str">
        <f t="shared" si="173"/>
        <v>x</v>
      </c>
      <c r="P115" s="59" t="str">
        <f t="shared" si="173"/>
        <v>x</v>
      </c>
      <c r="Q115" s="59" t="str">
        <f t="shared" si="173"/>
        <v>x</v>
      </c>
      <c r="R115" s="59" t="str">
        <f t="shared" si="173"/>
        <v>x</v>
      </c>
      <c r="S115" s="59" t="str">
        <f t="shared" si="173"/>
        <v>x</v>
      </c>
      <c r="T115" s="59" t="str">
        <f t="shared" si="173"/>
        <v>x</v>
      </c>
      <c r="U115" s="59" t="str">
        <f t="shared" si="173"/>
        <v>x</v>
      </c>
      <c r="V115" s="59" t="str">
        <f t="shared" si="173"/>
        <v>x</v>
      </c>
      <c r="W115" s="59" t="str">
        <f t="shared" si="173"/>
        <v>x</v>
      </c>
      <c r="X115" s="59" t="str">
        <f t="shared" si="173"/>
        <v>x</v>
      </c>
      <c r="Y115" s="59" t="str">
        <f t="shared" si="173"/>
        <v>x</v>
      </c>
      <c r="Z115" s="59" t="str">
        <f t="shared" si="173"/>
        <v>x</v>
      </c>
    </row>
    <row r="116" spans="4:26" customFormat="1" x14ac:dyDescent="0.15">
      <c r="D116" s="59" t="str">
        <f t="shared" ref="D116:Z116" si="174">IF(BatSplit(D42,RunsScored)&gt;=50,BatSplit(D42,RunsScored)&amp;IF(BatSplit(D42,NotOuts)=1,"*","")&amp;"|"&amp;$C42&amp;"|"&amp;D$2&amp;"|"&amp;TEXT(D$1,"dd-mmm"),"x")</f>
        <v>x</v>
      </c>
      <c r="E116" s="59" t="str">
        <f t="shared" si="174"/>
        <v>x</v>
      </c>
      <c r="F116" s="59" t="str">
        <f t="shared" si="174"/>
        <v>x</v>
      </c>
      <c r="G116" s="59" t="str">
        <f t="shared" si="174"/>
        <v>x</v>
      </c>
      <c r="H116" s="59" t="str">
        <f t="shared" si="174"/>
        <v>x</v>
      </c>
      <c r="I116" s="59" t="str">
        <f t="shared" si="174"/>
        <v>x</v>
      </c>
      <c r="J116" s="59" t="str">
        <f t="shared" si="174"/>
        <v>x</v>
      </c>
      <c r="K116" s="59" t="str">
        <f t="shared" si="174"/>
        <v>x</v>
      </c>
      <c r="L116" s="59" t="str">
        <f t="shared" si="174"/>
        <v>x</v>
      </c>
      <c r="M116" s="59" t="str">
        <f t="shared" si="174"/>
        <v>x</v>
      </c>
      <c r="N116" s="59" t="str">
        <f t="shared" si="174"/>
        <v>x</v>
      </c>
      <c r="O116" s="59" t="str">
        <f t="shared" si="174"/>
        <v>x</v>
      </c>
      <c r="P116" s="59" t="str">
        <f t="shared" si="174"/>
        <v>x</v>
      </c>
      <c r="Q116" s="59" t="str">
        <f t="shared" si="174"/>
        <v>x</v>
      </c>
      <c r="R116" s="59" t="str">
        <f t="shared" si="174"/>
        <v>x</v>
      </c>
      <c r="S116" s="59" t="str">
        <f t="shared" si="174"/>
        <v>x</v>
      </c>
      <c r="T116" s="59" t="str">
        <f t="shared" si="174"/>
        <v>x</v>
      </c>
      <c r="U116" s="59" t="str">
        <f t="shared" si="174"/>
        <v>x</v>
      </c>
      <c r="V116" s="59" t="str">
        <f t="shared" si="174"/>
        <v>x</v>
      </c>
      <c r="W116" s="59" t="str">
        <f t="shared" si="174"/>
        <v>x</v>
      </c>
      <c r="X116" s="59" t="str">
        <f t="shared" si="174"/>
        <v>x</v>
      </c>
      <c r="Y116" s="59" t="str">
        <f t="shared" si="174"/>
        <v>x</v>
      </c>
      <c r="Z116" s="59" t="str">
        <f t="shared" si="174"/>
        <v>x</v>
      </c>
    </row>
    <row r="117" spans="4:26" customFormat="1" x14ac:dyDescent="0.15">
      <c r="D117" s="59" t="str">
        <f t="shared" ref="D117:Z117" si="175">IF(BatSplit(D43,RunsScored)&gt;=50,BatSplit(D43,RunsScored)&amp;IF(BatSplit(D43,NotOuts)=1,"*","")&amp;"|"&amp;$C43&amp;"|"&amp;D$2&amp;"|"&amp;TEXT(D$1,"dd-mmm"),"x")</f>
        <v>x</v>
      </c>
      <c r="E117" s="59" t="str">
        <f t="shared" si="175"/>
        <v>x</v>
      </c>
      <c r="F117" s="59" t="str">
        <f t="shared" si="175"/>
        <v>x</v>
      </c>
      <c r="G117" s="59" t="str">
        <f t="shared" si="175"/>
        <v>x</v>
      </c>
      <c r="H117" s="59" t="str">
        <f t="shared" si="175"/>
        <v>x</v>
      </c>
      <c r="I117" s="59" t="str">
        <f t="shared" si="175"/>
        <v>x</v>
      </c>
      <c r="J117" s="59" t="str">
        <f t="shared" si="175"/>
        <v>x</v>
      </c>
      <c r="K117" s="59" t="str">
        <f t="shared" si="175"/>
        <v>x</v>
      </c>
      <c r="L117" s="59" t="str">
        <f t="shared" si="175"/>
        <v>x</v>
      </c>
      <c r="M117" s="59" t="str">
        <f t="shared" si="175"/>
        <v>x</v>
      </c>
      <c r="N117" s="59" t="str">
        <f t="shared" si="175"/>
        <v>x</v>
      </c>
      <c r="O117" s="59" t="str">
        <f t="shared" si="175"/>
        <v>x</v>
      </c>
      <c r="P117" s="59" t="str">
        <f t="shared" si="175"/>
        <v>x</v>
      </c>
      <c r="Q117" s="59" t="str">
        <f t="shared" si="175"/>
        <v>x</v>
      </c>
      <c r="R117" s="59" t="str">
        <f t="shared" si="175"/>
        <v>x</v>
      </c>
      <c r="S117" s="59" t="str">
        <f t="shared" si="175"/>
        <v>x</v>
      </c>
      <c r="T117" s="59" t="str">
        <f t="shared" si="175"/>
        <v>x</v>
      </c>
      <c r="U117" s="59" t="str">
        <f t="shared" si="175"/>
        <v>x</v>
      </c>
      <c r="V117" s="59" t="str">
        <f t="shared" si="175"/>
        <v>x</v>
      </c>
      <c r="W117" s="59" t="str">
        <f t="shared" si="175"/>
        <v>x</v>
      </c>
      <c r="X117" s="59" t="str">
        <f t="shared" si="175"/>
        <v>x</v>
      </c>
      <c r="Y117" s="59" t="str">
        <f t="shared" si="175"/>
        <v>x</v>
      </c>
      <c r="Z117" s="59" t="str">
        <f t="shared" si="175"/>
        <v>x</v>
      </c>
    </row>
    <row r="118" spans="4:26" customFormat="1" x14ac:dyDescent="0.15">
      <c r="D118" s="59" t="str">
        <f t="shared" ref="D118:Z118" si="176">IF(BatSplit(D44,RunsScored)&gt;=50,BatSplit(D44,RunsScored)&amp;IF(BatSplit(D44,NotOuts)=1,"*","")&amp;"|"&amp;$C44&amp;"|"&amp;D$2&amp;"|"&amp;TEXT(D$1,"dd-mmm"),"x")</f>
        <v>x</v>
      </c>
      <c r="E118" s="59" t="str">
        <f t="shared" si="176"/>
        <v>x</v>
      </c>
      <c r="F118" s="59" t="str">
        <f t="shared" si="176"/>
        <v>x</v>
      </c>
      <c r="G118" s="59" t="str">
        <f t="shared" si="176"/>
        <v>x</v>
      </c>
      <c r="H118" s="59" t="str">
        <f t="shared" si="176"/>
        <v>x</v>
      </c>
      <c r="I118" s="59" t="str">
        <f t="shared" si="176"/>
        <v>x</v>
      </c>
      <c r="J118" s="59" t="str">
        <f t="shared" si="176"/>
        <v>x</v>
      </c>
      <c r="K118" s="59" t="str">
        <f t="shared" si="176"/>
        <v>x</v>
      </c>
      <c r="L118" s="59" t="str">
        <f t="shared" si="176"/>
        <v>x</v>
      </c>
      <c r="M118" s="59" t="str">
        <f t="shared" si="176"/>
        <v>x</v>
      </c>
      <c r="N118" s="59" t="str">
        <f t="shared" si="176"/>
        <v>x</v>
      </c>
      <c r="O118" s="59" t="str">
        <f t="shared" si="176"/>
        <v>x</v>
      </c>
      <c r="P118" s="59" t="str">
        <f t="shared" si="176"/>
        <v>x</v>
      </c>
      <c r="Q118" s="59" t="str">
        <f t="shared" si="176"/>
        <v>x</v>
      </c>
      <c r="R118" s="59" t="str">
        <f t="shared" si="176"/>
        <v>x</v>
      </c>
      <c r="S118" s="59" t="str">
        <f t="shared" si="176"/>
        <v>x</v>
      </c>
      <c r="T118" s="59" t="str">
        <f t="shared" si="176"/>
        <v>x</v>
      </c>
      <c r="U118" s="59" t="str">
        <f t="shared" si="176"/>
        <v>x</v>
      </c>
      <c r="V118" s="59" t="str">
        <f t="shared" si="176"/>
        <v>x</v>
      </c>
      <c r="W118" s="59" t="str">
        <f t="shared" si="176"/>
        <v>x</v>
      </c>
      <c r="X118" s="59" t="str">
        <f t="shared" si="176"/>
        <v>x</v>
      </c>
      <c r="Y118" s="59" t="str">
        <f t="shared" si="176"/>
        <v>x</v>
      </c>
      <c r="Z118" s="59" t="str">
        <f t="shared" si="176"/>
        <v>x</v>
      </c>
    </row>
    <row r="119" spans="4:26" customFormat="1" x14ac:dyDescent="0.15">
      <c r="D119" s="59" t="str">
        <f t="shared" ref="D119:Z119" si="177">IF(BatSplit(D45,RunsScored)&gt;=50,BatSplit(D45,RunsScored)&amp;IF(BatSplit(D45,NotOuts)=1,"*","")&amp;"|"&amp;$C45&amp;"|"&amp;D$2&amp;"|"&amp;TEXT(D$1,"dd-mmm"),"x")</f>
        <v>x</v>
      </c>
      <c r="E119" s="59" t="str">
        <f t="shared" si="177"/>
        <v>x</v>
      </c>
      <c r="F119" s="59" t="str">
        <f t="shared" si="177"/>
        <v>x</v>
      </c>
      <c r="G119" s="59" t="str">
        <f t="shared" si="177"/>
        <v>x</v>
      </c>
      <c r="H119" s="59" t="str">
        <f t="shared" si="177"/>
        <v>x</v>
      </c>
      <c r="I119" s="59" t="str">
        <f t="shared" si="177"/>
        <v>x</v>
      </c>
      <c r="J119" s="59" t="str">
        <f t="shared" si="177"/>
        <v>x</v>
      </c>
      <c r="K119" s="59" t="str">
        <f t="shared" si="177"/>
        <v>x</v>
      </c>
      <c r="L119" s="59" t="str">
        <f t="shared" si="177"/>
        <v>x</v>
      </c>
      <c r="M119" s="59" t="str">
        <f t="shared" si="177"/>
        <v>x</v>
      </c>
      <c r="N119" s="59" t="str">
        <f t="shared" si="177"/>
        <v>x</v>
      </c>
      <c r="O119" s="59" t="str">
        <f t="shared" si="177"/>
        <v>x</v>
      </c>
      <c r="P119" s="59" t="str">
        <f t="shared" si="177"/>
        <v>x</v>
      </c>
      <c r="Q119" s="59" t="str">
        <f t="shared" si="177"/>
        <v>x</v>
      </c>
      <c r="R119" s="59" t="str">
        <f t="shared" si="177"/>
        <v>x</v>
      </c>
      <c r="S119" s="59" t="str">
        <f t="shared" si="177"/>
        <v>x</v>
      </c>
      <c r="T119" s="59" t="str">
        <f t="shared" si="177"/>
        <v>x</v>
      </c>
      <c r="U119" s="59" t="str">
        <f t="shared" si="177"/>
        <v>x</v>
      </c>
      <c r="V119" s="59" t="str">
        <f t="shared" si="177"/>
        <v>x</v>
      </c>
      <c r="W119" s="59" t="str">
        <f t="shared" si="177"/>
        <v>x</v>
      </c>
      <c r="X119" s="59" t="str">
        <f t="shared" si="177"/>
        <v>x</v>
      </c>
      <c r="Y119" s="59" t="str">
        <f t="shared" si="177"/>
        <v>x</v>
      </c>
      <c r="Z119" s="59" t="str">
        <f t="shared" si="177"/>
        <v>x</v>
      </c>
    </row>
    <row r="120" spans="4:26" customFormat="1" x14ac:dyDescent="0.15">
      <c r="D120" s="59" t="str">
        <f t="shared" ref="D120:Z120" si="178">IF(BatSplit(D46,RunsScored)&gt;=50,BatSplit(D46,RunsScored)&amp;IF(BatSplit(D46,NotOuts)=1,"*","")&amp;"|"&amp;$C46&amp;"|"&amp;D$2&amp;"|"&amp;TEXT(D$1,"dd-mmm"),"x")</f>
        <v>x</v>
      </c>
      <c r="E120" s="59" t="str">
        <f t="shared" si="178"/>
        <v>x</v>
      </c>
      <c r="F120" s="59" t="str">
        <f t="shared" si="178"/>
        <v>x</v>
      </c>
      <c r="G120" s="59" t="str">
        <f t="shared" si="178"/>
        <v>x</v>
      </c>
      <c r="H120" s="59" t="str">
        <f t="shared" si="178"/>
        <v>x</v>
      </c>
      <c r="I120" s="59" t="str">
        <f t="shared" si="178"/>
        <v>x</v>
      </c>
      <c r="J120" s="59" t="str">
        <f t="shared" si="178"/>
        <v>x</v>
      </c>
      <c r="K120" s="59" t="str">
        <f t="shared" si="178"/>
        <v>x</v>
      </c>
      <c r="L120" s="59" t="str">
        <f t="shared" si="178"/>
        <v>x</v>
      </c>
      <c r="M120" s="59" t="str">
        <f t="shared" si="178"/>
        <v>x</v>
      </c>
      <c r="N120" s="59" t="str">
        <f t="shared" si="178"/>
        <v>x</v>
      </c>
      <c r="O120" s="59" t="str">
        <f t="shared" si="178"/>
        <v>x</v>
      </c>
      <c r="P120" s="59" t="str">
        <f t="shared" si="178"/>
        <v>x</v>
      </c>
      <c r="Q120" s="59" t="str">
        <f t="shared" si="178"/>
        <v>x</v>
      </c>
      <c r="R120" s="59" t="str">
        <f t="shared" si="178"/>
        <v>x</v>
      </c>
      <c r="S120" s="59" t="str">
        <f t="shared" si="178"/>
        <v>x</v>
      </c>
      <c r="T120" s="59" t="str">
        <f t="shared" si="178"/>
        <v>x</v>
      </c>
      <c r="U120" s="59" t="str">
        <f t="shared" si="178"/>
        <v>x</v>
      </c>
      <c r="V120" s="59" t="str">
        <f t="shared" si="178"/>
        <v>x</v>
      </c>
      <c r="W120" s="59" t="str">
        <f t="shared" si="178"/>
        <v>x</v>
      </c>
      <c r="X120" s="59" t="str">
        <f t="shared" si="178"/>
        <v>x</v>
      </c>
      <c r="Y120" s="59" t="str">
        <f t="shared" si="178"/>
        <v>x</v>
      </c>
      <c r="Z120" s="59" t="str">
        <f t="shared" si="178"/>
        <v>x</v>
      </c>
    </row>
    <row r="121" spans="4:26" customFormat="1" x14ac:dyDescent="0.15">
      <c r="D121" s="59" t="str">
        <f t="shared" ref="D121:Z121" si="179">IF(BatSplit(D47,RunsScored)&gt;=50,BatSplit(D47,RunsScored)&amp;IF(BatSplit(D47,NotOuts)=1,"*","")&amp;"|"&amp;$C47&amp;"|"&amp;D$2&amp;"|"&amp;TEXT(D$1,"dd-mmm"),"x")</f>
        <v>x</v>
      </c>
      <c r="E121" s="59" t="str">
        <f t="shared" si="179"/>
        <v>x</v>
      </c>
      <c r="F121" s="59" t="str">
        <f t="shared" si="179"/>
        <v>x</v>
      </c>
      <c r="G121" s="59" t="str">
        <f t="shared" si="179"/>
        <v>x</v>
      </c>
      <c r="H121" s="59" t="str">
        <f t="shared" si="179"/>
        <v>x</v>
      </c>
      <c r="I121" s="59" t="str">
        <f t="shared" si="179"/>
        <v>x</v>
      </c>
      <c r="J121" s="59" t="str">
        <f t="shared" si="179"/>
        <v>x</v>
      </c>
      <c r="K121" s="59" t="str">
        <f t="shared" si="179"/>
        <v>x</v>
      </c>
      <c r="L121" s="59" t="str">
        <f t="shared" si="179"/>
        <v>x</v>
      </c>
      <c r="M121" s="59" t="str">
        <f t="shared" si="179"/>
        <v>x</v>
      </c>
      <c r="N121" s="59" t="str">
        <f t="shared" si="179"/>
        <v>x</v>
      </c>
      <c r="O121" s="59" t="str">
        <f t="shared" si="179"/>
        <v>x</v>
      </c>
      <c r="P121" s="59" t="str">
        <f t="shared" si="179"/>
        <v>x</v>
      </c>
      <c r="Q121" s="59" t="str">
        <f t="shared" si="179"/>
        <v>x</v>
      </c>
      <c r="R121" s="59" t="str">
        <f t="shared" si="179"/>
        <v>x</v>
      </c>
      <c r="S121" s="59" t="str">
        <f t="shared" si="179"/>
        <v>x</v>
      </c>
      <c r="T121" s="59" t="str">
        <f t="shared" si="179"/>
        <v>x</v>
      </c>
      <c r="U121" s="59" t="str">
        <f t="shared" si="179"/>
        <v>x</v>
      </c>
      <c r="V121" s="59" t="str">
        <f t="shared" si="179"/>
        <v>x</v>
      </c>
      <c r="W121" s="59" t="str">
        <f t="shared" si="179"/>
        <v>x</v>
      </c>
      <c r="X121" s="59" t="str">
        <f t="shared" si="179"/>
        <v>x</v>
      </c>
      <c r="Y121" s="59" t="str">
        <f t="shared" si="179"/>
        <v>x</v>
      </c>
      <c r="Z121" s="59" t="str">
        <f t="shared" si="179"/>
        <v>x</v>
      </c>
    </row>
    <row r="122" spans="4:26" customFormat="1" x14ac:dyDescent="0.15">
      <c r="D122" s="59" t="str">
        <f t="shared" ref="D122:Z122" si="180">IF(BatSplit(D48,RunsScored)&gt;=50,BatSplit(D48,RunsScored)&amp;IF(BatSplit(D48,NotOuts)=1,"*","")&amp;"|"&amp;$C48&amp;"|"&amp;D$2&amp;"|"&amp;TEXT(D$1,"dd-mmm"),"x")</f>
        <v>x</v>
      </c>
      <c r="E122" s="59" t="str">
        <f t="shared" si="180"/>
        <v>x</v>
      </c>
      <c r="F122" s="59" t="str">
        <f t="shared" si="180"/>
        <v>x</v>
      </c>
      <c r="G122" s="59" t="str">
        <f t="shared" si="180"/>
        <v>70|Seymour C|Fonthill Park|27-May</v>
      </c>
      <c r="H122" s="59" t="str">
        <f t="shared" si="180"/>
        <v>x</v>
      </c>
      <c r="I122" s="59" t="str">
        <f t="shared" si="180"/>
        <v>x</v>
      </c>
      <c r="J122" s="59" t="str">
        <f t="shared" si="180"/>
        <v>x</v>
      </c>
      <c r="K122" s="59" t="str">
        <f t="shared" si="180"/>
        <v>x</v>
      </c>
      <c r="L122" s="59" t="str">
        <f t="shared" si="180"/>
        <v>52|Seymour C|Richmond Leg Breakers|18-Jun</v>
      </c>
      <c r="M122" s="59" t="str">
        <f t="shared" si="180"/>
        <v>x</v>
      </c>
      <c r="N122" s="59" t="str">
        <f t="shared" si="180"/>
        <v>x</v>
      </c>
      <c r="O122" s="59" t="str">
        <f t="shared" si="180"/>
        <v>x</v>
      </c>
      <c r="P122" s="59" t="str">
        <f t="shared" si="180"/>
        <v>x</v>
      </c>
      <c r="Q122" s="59" t="str">
        <f t="shared" si="180"/>
        <v>x</v>
      </c>
      <c r="R122" s="59" t="str">
        <f t="shared" si="180"/>
        <v>x</v>
      </c>
      <c r="S122" s="59" t="str">
        <f t="shared" si="180"/>
        <v>x</v>
      </c>
      <c r="T122" s="59" t="str">
        <f t="shared" si="180"/>
        <v>x</v>
      </c>
      <c r="U122" s="59" t="str">
        <f t="shared" si="180"/>
        <v>x</v>
      </c>
      <c r="V122" s="59" t="str">
        <f t="shared" si="180"/>
        <v>x</v>
      </c>
      <c r="W122" s="59" t="str">
        <f t="shared" si="180"/>
        <v>x</v>
      </c>
      <c r="X122" s="59" t="str">
        <f t="shared" si="180"/>
        <v>x</v>
      </c>
      <c r="Y122" s="59" t="str">
        <f t="shared" si="180"/>
        <v>x</v>
      </c>
      <c r="Z122" s="59" t="str">
        <f t="shared" si="180"/>
        <v>x</v>
      </c>
    </row>
    <row r="123" spans="4:26" customFormat="1" x14ac:dyDescent="0.15">
      <c r="D123" s="59" t="str">
        <f t="shared" ref="D123:Z123" si="181">IF(BatSplit(D49,RunsScored)&gt;=50,BatSplit(D49,RunsScored)&amp;IF(BatSplit(D49,NotOuts)=1,"*","")&amp;"|"&amp;$C49&amp;"|"&amp;D$2&amp;"|"&amp;TEXT(D$1,"dd-mmm"),"x")</f>
        <v>x</v>
      </c>
      <c r="E123" s="59" t="str">
        <f t="shared" si="181"/>
        <v>114*|Seymour D|Beddington|14-May</v>
      </c>
      <c r="F123" s="59" t="str">
        <f t="shared" si="181"/>
        <v>x</v>
      </c>
      <c r="G123" s="59" t="str">
        <f t="shared" si="181"/>
        <v>x</v>
      </c>
      <c r="H123" s="59" t="str">
        <f t="shared" si="181"/>
        <v>x</v>
      </c>
      <c r="I123" s="59" t="str">
        <f t="shared" si="181"/>
        <v>x</v>
      </c>
      <c r="J123" s="59" t="str">
        <f t="shared" si="181"/>
        <v>x</v>
      </c>
      <c r="K123" s="59" t="str">
        <f t="shared" si="181"/>
        <v>x</v>
      </c>
      <c r="L123" s="59" t="str">
        <f t="shared" si="181"/>
        <v>x</v>
      </c>
      <c r="M123" s="59" t="str">
        <f t="shared" si="181"/>
        <v>x</v>
      </c>
      <c r="N123" s="59" t="str">
        <f t="shared" si="181"/>
        <v>x</v>
      </c>
      <c r="O123" s="59" t="str">
        <f t="shared" si="181"/>
        <v>x</v>
      </c>
      <c r="P123" s="59" t="str">
        <f t="shared" si="181"/>
        <v>x</v>
      </c>
      <c r="Q123" s="59" t="str">
        <f t="shared" si="181"/>
        <v>x</v>
      </c>
      <c r="R123" s="59" t="str">
        <f t="shared" si="181"/>
        <v>x</v>
      </c>
      <c r="S123" s="59" t="str">
        <f t="shared" si="181"/>
        <v>x</v>
      </c>
      <c r="T123" s="59" t="str">
        <f t="shared" si="181"/>
        <v>x</v>
      </c>
      <c r="U123" s="59" t="str">
        <f t="shared" si="181"/>
        <v>x</v>
      </c>
      <c r="V123" s="59" t="str">
        <f t="shared" si="181"/>
        <v>x</v>
      </c>
      <c r="W123" s="59" t="str">
        <f t="shared" si="181"/>
        <v>x</v>
      </c>
      <c r="X123" s="59" t="str">
        <f t="shared" si="181"/>
        <v>x</v>
      </c>
      <c r="Y123" s="59" t="str">
        <f t="shared" si="181"/>
        <v>x</v>
      </c>
      <c r="Z123" s="59" t="str">
        <f t="shared" si="181"/>
        <v>x</v>
      </c>
    </row>
    <row r="124" spans="4:26" customFormat="1" x14ac:dyDescent="0.15">
      <c r="D124" s="59" t="str">
        <f t="shared" ref="D124:Z124" si="182">IF(BatSplit(D50,RunsScored)&gt;=50,BatSplit(D50,RunsScored)&amp;IF(BatSplit(D50,NotOuts)=1,"*","")&amp;"|"&amp;$C50&amp;"|"&amp;D$2&amp;"|"&amp;TEXT(D$1,"dd-mmm"),"x")</f>
        <v>x</v>
      </c>
      <c r="E124" s="59" t="str">
        <f t="shared" si="182"/>
        <v>x</v>
      </c>
      <c r="F124" s="59" t="str">
        <f t="shared" si="182"/>
        <v>x</v>
      </c>
      <c r="G124" s="59" t="str">
        <f t="shared" si="182"/>
        <v>x</v>
      </c>
      <c r="H124" s="59" t="str">
        <f t="shared" si="182"/>
        <v>x</v>
      </c>
      <c r="I124" s="59" t="str">
        <f t="shared" si="182"/>
        <v>x</v>
      </c>
      <c r="J124" s="59" t="str">
        <f t="shared" si="182"/>
        <v>x</v>
      </c>
      <c r="K124" s="59" t="str">
        <f t="shared" si="182"/>
        <v>x</v>
      </c>
      <c r="L124" s="59" t="str">
        <f t="shared" si="182"/>
        <v>x</v>
      </c>
      <c r="M124" s="59" t="str">
        <f t="shared" si="182"/>
        <v>86|Sharpe D|Morden|09-Jul</v>
      </c>
      <c r="N124" s="59" t="str">
        <f t="shared" si="182"/>
        <v>x</v>
      </c>
      <c r="O124" s="59" t="str">
        <f t="shared" si="182"/>
        <v>69*|Sharpe D|Norwood Exiles|13-Aug</v>
      </c>
      <c r="P124" s="59" t="str">
        <f t="shared" si="182"/>
        <v>x</v>
      </c>
      <c r="Q124" s="59" t="str">
        <f t="shared" si="182"/>
        <v>x</v>
      </c>
      <c r="R124" s="59" t="str">
        <f t="shared" si="182"/>
        <v>x</v>
      </c>
      <c r="S124" s="59" t="str">
        <f t="shared" si="182"/>
        <v>x</v>
      </c>
      <c r="T124" s="59" t="str">
        <f t="shared" si="182"/>
        <v>x</v>
      </c>
      <c r="U124" s="59" t="str">
        <f t="shared" si="182"/>
        <v>x</v>
      </c>
      <c r="V124" s="59" t="str">
        <f t="shared" si="182"/>
        <v>x</v>
      </c>
      <c r="W124" s="59" t="str">
        <f t="shared" si="182"/>
        <v>x</v>
      </c>
      <c r="X124" s="59" t="str">
        <f t="shared" si="182"/>
        <v>x</v>
      </c>
      <c r="Y124" s="59" t="str">
        <f t="shared" si="182"/>
        <v>x</v>
      </c>
      <c r="Z124" s="59" t="str">
        <f t="shared" si="182"/>
        <v>x</v>
      </c>
    </row>
    <row r="125" spans="4:26" customFormat="1" x14ac:dyDescent="0.15">
      <c r="D125" s="59" t="str">
        <f t="shared" ref="D125:Z125" si="183">IF(BatSplit(D51,RunsScored)&gt;=50,BatSplit(D51,RunsScored)&amp;IF(BatSplit(D51,NotOuts)=1,"*","")&amp;"|"&amp;$C51&amp;"|"&amp;D$2&amp;"|"&amp;TEXT(D$1,"dd-mmm"),"x")</f>
        <v>x</v>
      </c>
      <c r="E125" s="59" t="str">
        <f t="shared" si="183"/>
        <v>x</v>
      </c>
      <c r="F125" s="59" t="str">
        <f t="shared" si="183"/>
        <v>x</v>
      </c>
      <c r="G125" s="59" t="str">
        <f t="shared" si="183"/>
        <v>x</v>
      </c>
      <c r="H125" s="59" t="str">
        <f t="shared" si="183"/>
        <v>x</v>
      </c>
      <c r="I125" s="59" t="str">
        <f t="shared" si="183"/>
        <v>x</v>
      </c>
      <c r="J125" s="59" t="str">
        <f t="shared" si="183"/>
        <v>x</v>
      </c>
      <c r="K125" s="59" t="str">
        <f t="shared" si="183"/>
        <v>x</v>
      </c>
      <c r="L125" s="59" t="str">
        <f t="shared" si="183"/>
        <v>x</v>
      </c>
      <c r="M125" s="59" t="str">
        <f t="shared" si="183"/>
        <v>x</v>
      </c>
      <c r="N125" s="59" t="str">
        <f t="shared" si="183"/>
        <v>x</v>
      </c>
      <c r="O125" s="59" t="str">
        <f t="shared" si="183"/>
        <v>x</v>
      </c>
      <c r="P125" s="59" t="str">
        <f t="shared" si="183"/>
        <v>x</v>
      </c>
      <c r="Q125" s="59" t="str">
        <f t="shared" si="183"/>
        <v>x</v>
      </c>
      <c r="R125" s="59" t="str">
        <f t="shared" si="183"/>
        <v>x</v>
      </c>
      <c r="S125" s="59" t="str">
        <f t="shared" si="183"/>
        <v>x</v>
      </c>
      <c r="T125" s="59" t="str">
        <f t="shared" si="183"/>
        <v>x</v>
      </c>
      <c r="U125" s="59" t="str">
        <f t="shared" si="183"/>
        <v>x</v>
      </c>
      <c r="V125" s="59" t="str">
        <f t="shared" si="183"/>
        <v>x</v>
      </c>
      <c r="W125" s="59" t="str">
        <f t="shared" si="183"/>
        <v>x</v>
      </c>
      <c r="X125" s="59" t="str">
        <f t="shared" si="183"/>
        <v>x</v>
      </c>
      <c r="Y125" s="59" t="str">
        <f t="shared" si="183"/>
        <v>x</v>
      </c>
      <c r="Z125" s="59" t="str">
        <f t="shared" si="183"/>
        <v>x</v>
      </c>
    </row>
    <row r="126" spans="4:26" customFormat="1" x14ac:dyDescent="0.15">
      <c r="D126" s="59" t="str">
        <f t="shared" ref="D126:Z126" si="184">IF(BatSplit(D52,RunsScored)&gt;=50,BatSplit(D52,RunsScored)&amp;IF(BatSplit(D52,NotOuts)=1,"*","")&amp;"|"&amp;$C52&amp;"|"&amp;D$2&amp;"|"&amp;TEXT(D$1,"dd-mmm"),"x")</f>
        <v>x</v>
      </c>
      <c r="E126" s="59" t="str">
        <f t="shared" si="184"/>
        <v>x</v>
      </c>
      <c r="F126" s="59" t="str">
        <f t="shared" si="184"/>
        <v>x</v>
      </c>
      <c r="G126" s="59" t="str">
        <f t="shared" si="184"/>
        <v>x</v>
      </c>
      <c r="H126" s="59" t="str">
        <f t="shared" si="184"/>
        <v>x</v>
      </c>
      <c r="I126" s="59" t="str">
        <f t="shared" si="184"/>
        <v>x</v>
      </c>
      <c r="J126" s="59" t="str">
        <f t="shared" si="184"/>
        <v>x</v>
      </c>
      <c r="K126" s="59" t="str">
        <f t="shared" si="184"/>
        <v>x</v>
      </c>
      <c r="L126" s="59" t="str">
        <f t="shared" si="184"/>
        <v>x</v>
      </c>
      <c r="M126" s="59" t="str">
        <f t="shared" si="184"/>
        <v>x</v>
      </c>
      <c r="N126" s="59" t="str">
        <f t="shared" si="184"/>
        <v>x</v>
      </c>
      <c r="O126" s="59" t="str">
        <f t="shared" si="184"/>
        <v>x</v>
      </c>
      <c r="P126" s="59" t="str">
        <f t="shared" si="184"/>
        <v>x</v>
      </c>
      <c r="Q126" s="59" t="str">
        <f t="shared" si="184"/>
        <v>x</v>
      </c>
      <c r="R126" s="59" t="str">
        <f t="shared" si="184"/>
        <v>x</v>
      </c>
      <c r="S126" s="59" t="str">
        <f t="shared" si="184"/>
        <v>x</v>
      </c>
      <c r="T126" s="59" t="str">
        <f t="shared" si="184"/>
        <v>x</v>
      </c>
      <c r="U126" s="59" t="str">
        <f t="shared" si="184"/>
        <v>x</v>
      </c>
      <c r="V126" s="59" t="str">
        <f t="shared" si="184"/>
        <v>x</v>
      </c>
      <c r="W126" s="59" t="str">
        <f t="shared" si="184"/>
        <v>x</v>
      </c>
      <c r="X126" s="59" t="str">
        <f t="shared" si="184"/>
        <v>x</v>
      </c>
      <c r="Y126" s="59" t="str">
        <f t="shared" si="184"/>
        <v>x</v>
      </c>
      <c r="Z126" s="59" t="str">
        <f t="shared" si="184"/>
        <v>x</v>
      </c>
    </row>
    <row r="127" spans="4:26" customFormat="1" x14ac:dyDescent="0.15">
      <c r="D127" s="59" t="str">
        <f t="shared" ref="D127:Z127" si="185">IF(BatSplit(D53,RunsScored)&gt;=50,BatSplit(D53,RunsScored)&amp;IF(BatSplit(D53,NotOuts)=1,"*","")&amp;"|"&amp;$C53&amp;"|"&amp;D$2&amp;"|"&amp;TEXT(D$1,"dd-mmm"),"x")</f>
        <v>x</v>
      </c>
      <c r="E127" s="59" t="str">
        <f t="shared" si="185"/>
        <v>x</v>
      </c>
      <c r="F127" s="59" t="str">
        <f t="shared" si="185"/>
        <v>x</v>
      </c>
      <c r="G127" s="59" t="str">
        <f t="shared" si="185"/>
        <v>x</v>
      </c>
      <c r="H127" s="59" t="str">
        <f t="shared" si="185"/>
        <v>x</v>
      </c>
      <c r="I127" s="59" t="str">
        <f t="shared" si="185"/>
        <v>x</v>
      </c>
      <c r="J127" s="59" t="str">
        <f t="shared" si="185"/>
        <v>x</v>
      </c>
      <c r="K127" s="59" t="str">
        <f t="shared" si="185"/>
        <v>x</v>
      </c>
      <c r="L127" s="59" t="str">
        <f t="shared" si="185"/>
        <v>x</v>
      </c>
      <c r="M127" s="59" t="str">
        <f t="shared" si="185"/>
        <v>x</v>
      </c>
      <c r="N127" s="59" t="str">
        <f t="shared" si="185"/>
        <v>x</v>
      </c>
      <c r="O127" s="59" t="str">
        <f t="shared" si="185"/>
        <v>x</v>
      </c>
      <c r="P127" s="59" t="str">
        <f t="shared" si="185"/>
        <v>x</v>
      </c>
      <c r="Q127" s="59" t="str">
        <f t="shared" si="185"/>
        <v>x</v>
      </c>
      <c r="R127" s="59" t="str">
        <f t="shared" si="185"/>
        <v>x</v>
      </c>
      <c r="S127" s="59" t="str">
        <f t="shared" si="185"/>
        <v>x</v>
      </c>
      <c r="T127" s="59" t="str">
        <f t="shared" si="185"/>
        <v>x</v>
      </c>
      <c r="U127" s="59" t="str">
        <f t="shared" si="185"/>
        <v>x</v>
      </c>
      <c r="V127" s="59" t="str">
        <f t="shared" si="185"/>
        <v>x</v>
      </c>
      <c r="W127" s="59" t="str">
        <f t="shared" si="185"/>
        <v>x</v>
      </c>
      <c r="X127" s="59" t="str">
        <f t="shared" si="185"/>
        <v>x</v>
      </c>
      <c r="Y127" s="59" t="str">
        <f t="shared" si="185"/>
        <v>x</v>
      </c>
      <c r="Z127" s="59" t="str">
        <f t="shared" si="185"/>
        <v>x</v>
      </c>
    </row>
    <row r="128" spans="4:26" customFormat="1" x14ac:dyDescent="0.15">
      <c r="D128" s="59" t="str">
        <f t="shared" ref="D128:Z128" si="186">IF(BatSplit(D54,RunsScored)&gt;=50,BatSplit(D54,RunsScored)&amp;IF(BatSplit(D54,NotOuts)=1,"*","")&amp;"|"&amp;$C54&amp;"|"&amp;D$2&amp;"|"&amp;TEXT(D$1,"dd-mmm"),"x")</f>
        <v>x</v>
      </c>
      <c r="E128" s="59" t="str">
        <f t="shared" si="186"/>
        <v>x</v>
      </c>
      <c r="F128" s="59" t="str">
        <f t="shared" si="186"/>
        <v>64|Springer T|YRG Eagles|21-May</v>
      </c>
      <c r="G128" s="59" t="str">
        <f t="shared" si="186"/>
        <v>x</v>
      </c>
      <c r="H128" s="59" t="str">
        <f t="shared" si="186"/>
        <v>x</v>
      </c>
      <c r="I128" s="59" t="str">
        <f t="shared" si="186"/>
        <v>x</v>
      </c>
      <c r="J128" s="59" t="str">
        <f t="shared" si="186"/>
        <v>x</v>
      </c>
      <c r="K128" s="59" t="str">
        <f t="shared" si="186"/>
        <v>x</v>
      </c>
      <c r="L128" s="59" t="str">
        <f t="shared" si="186"/>
        <v>x</v>
      </c>
      <c r="M128" s="59" t="str">
        <f t="shared" si="186"/>
        <v>x</v>
      </c>
      <c r="N128" s="59" t="str">
        <f t="shared" si="186"/>
        <v>x</v>
      </c>
      <c r="O128" s="59" t="str">
        <f t="shared" si="186"/>
        <v>x</v>
      </c>
      <c r="P128" s="59" t="str">
        <f t="shared" si="186"/>
        <v>x</v>
      </c>
      <c r="Q128" s="59" t="str">
        <f t="shared" si="186"/>
        <v>x</v>
      </c>
      <c r="R128" s="59" t="str">
        <f t="shared" si="186"/>
        <v>x</v>
      </c>
      <c r="S128" s="59" t="str">
        <f t="shared" si="186"/>
        <v>x</v>
      </c>
      <c r="T128" s="59" t="str">
        <f t="shared" si="186"/>
        <v>x</v>
      </c>
      <c r="U128" s="59" t="str">
        <f t="shared" si="186"/>
        <v>x</v>
      </c>
      <c r="V128" s="59" t="str">
        <f t="shared" si="186"/>
        <v>x</v>
      </c>
      <c r="W128" s="59" t="str">
        <f t="shared" si="186"/>
        <v>x</v>
      </c>
      <c r="X128" s="59" t="str">
        <f t="shared" si="186"/>
        <v>x</v>
      </c>
      <c r="Y128" s="59" t="str">
        <f t="shared" si="186"/>
        <v>x</v>
      </c>
      <c r="Z128" s="59" t="str">
        <f t="shared" si="186"/>
        <v>x</v>
      </c>
    </row>
    <row r="129" spans="4:26" customFormat="1" x14ac:dyDescent="0.15">
      <c r="D129" s="59" t="str">
        <f t="shared" ref="D129:Z129" si="187">IF(BatSplit(D55,RunsScored)&gt;=50,BatSplit(D55,RunsScored)&amp;IF(BatSplit(D55,NotOuts)=1,"*","")&amp;"|"&amp;$C55&amp;"|"&amp;D$2&amp;"|"&amp;TEXT(D$1,"dd-mmm"),"x")</f>
        <v>x</v>
      </c>
      <c r="E129" s="59" t="str">
        <f t="shared" si="187"/>
        <v>x</v>
      </c>
      <c r="F129" s="59" t="str">
        <f t="shared" si="187"/>
        <v>x</v>
      </c>
      <c r="G129" s="59" t="str">
        <f t="shared" si="187"/>
        <v>x</v>
      </c>
      <c r="H129" s="59" t="str">
        <f t="shared" si="187"/>
        <v>x</v>
      </c>
      <c r="I129" s="59" t="str">
        <f t="shared" si="187"/>
        <v>x</v>
      </c>
      <c r="J129" s="59" t="str">
        <f t="shared" si="187"/>
        <v>x</v>
      </c>
      <c r="K129" s="59" t="str">
        <f t="shared" si="187"/>
        <v>x</v>
      </c>
      <c r="L129" s="59" t="str">
        <f t="shared" si="187"/>
        <v>67|Stevenson R|Richmond Leg Breakers|18-Jun</v>
      </c>
      <c r="M129" s="59" t="str">
        <f t="shared" si="187"/>
        <v>x</v>
      </c>
      <c r="N129" s="59" t="str">
        <f t="shared" si="187"/>
        <v>x</v>
      </c>
      <c r="O129" s="59" t="str">
        <f t="shared" si="187"/>
        <v>x</v>
      </c>
      <c r="P129" s="59" t="str">
        <f t="shared" si="187"/>
        <v>x</v>
      </c>
      <c r="Q129" s="59" t="str">
        <f t="shared" si="187"/>
        <v>x</v>
      </c>
      <c r="R129" s="59" t="str">
        <f t="shared" si="187"/>
        <v>x</v>
      </c>
      <c r="S129" s="59" t="str">
        <f t="shared" si="187"/>
        <v>x</v>
      </c>
      <c r="T129" s="59" t="str">
        <f t="shared" si="187"/>
        <v>x</v>
      </c>
      <c r="U129" s="59" t="str">
        <f t="shared" si="187"/>
        <v>x</v>
      </c>
      <c r="V129" s="59" t="str">
        <f t="shared" si="187"/>
        <v>x</v>
      </c>
      <c r="W129" s="59" t="str">
        <f t="shared" si="187"/>
        <v>x</v>
      </c>
      <c r="X129" s="59" t="str">
        <f t="shared" si="187"/>
        <v>x</v>
      </c>
      <c r="Y129" s="59" t="str">
        <f t="shared" si="187"/>
        <v>x</v>
      </c>
      <c r="Z129" s="59" t="str">
        <f t="shared" si="187"/>
        <v>x</v>
      </c>
    </row>
    <row r="130" spans="4:26" customFormat="1" x14ac:dyDescent="0.15">
      <c r="D130" s="59" t="str">
        <f t="shared" ref="D130:Z130" si="188">IF(BatSplit(D56,RunsScored)&gt;=50,BatSplit(D56,RunsScored)&amp;IF(BatSplit(D56,NotOuts)=1,"*","")&amp;"|"&amp;$C56&amp;"|"&amp;D$2&amp;"|"&amp;TEXT(D$1,"dd-mmm"),"x")</f>
        <v>x</v>
      </c>
      <c r="E130" s="59" t="str">
        <f t="shared" si="188"/>
        <v>x</v>
      </c>
      <c r="F130" s="59" t="str">
        <f t="shared" si="188"/>
        <v>x</v>
      </c>
      <c r="G130" s="59" t="str">
        <f t="shared" si="188"/>
        <v>x</v>
      </c>
      <c r="H130" s="59" t="str">
        <f t="shared" si="188"/>
        <v>x</v>
      </c>
      <c r="I130" s="59" t="str">
        <f t="shared" si="188"/>
        <v>x</v>
      </c>
      <c r="J130" s="59" t="str">
        <f t="shared" si="188"/>
        <v>x</v>
      </c>
      <c r="K130" s="59" t="str">
        <f t="shared" si="188"/>
        <v>x</v>
      </c>
      <c r="L130" s="59" t="str">
        <f t="shared" si="188"/>
        <v>x</v>
      </c>
      <c r="M130" s="59" t="str">
        <f t="shared" si="188"/>
        <v>x</v>
      </c>
      <c r="N130" s="59" t="str">
        <f t="shared" si="188"/>
        <v>x</v>
      </c>
      <c r="O130" s="59" t="str">
        <f t="shared" si="188"/>
        <v>x</v>
      </c>
      <c r="P130" s="59" t="str">
        <f t="shared" si="188"/>
        <v>x</v>
      </c>
      <c r="Q130" s="59" t="str">
        <f t="shared" si="188"/>
        <v>x</v>
      </c>
      <c r="R130" s="59" t="str">
        <f t="shared" si="188"/>
        <v>x</v>
      </c>
      <c r="S130" s="59" t="str">
        <f t="shared" si="188"/>
        <v>x</v>
      </c>
      <c r="T130" s="59" t="str">
        <f t="shared" si="188"/>
        <v>x</v>
      </c>
      <c r="U130" s="59" t="str">
        <f t="shared" si="188"/>
        <v>x</v>
      </c>
      <c r="V130" s="59" t="str">
        <f t="shared" si="188"/>
        <v>x</v>
      </c>
      <c r="W130" s="59" t="str">
        <f t="shared" si="188"/>
        <v>x</v>
      </c>
      <c r="X130" s="59" t="str">
        <f t="shared" si="188"/>
        <v>x</v>
      </c>
      <c r="Y130" s="59" t="str">
        <f t="shared" si="188"/>
        <v>x</v>
      </c>
      <c r="Z130" s="59" t="str">
        <f t="shared" si="188"/>
        <v>x</v>
      </c>
    </row>
    <row r="131" spans="4:26" customFormat="1" x14ac:dyDescent="0.15">
      <c r="D131" s="59" t="str">
        <f t="shared" ref="D131:Z131" si="189">IF(BatSplit(D57,RunsScored)&gt;=50,BatSplit(D57,RunsScored)&amp;IF(BatSplit(D57,NotOuts)=1,"*","")&amp;"|"&amp;$C57&amp;"|"&amp;D$2&amp;"|"&amp;TEXT(D$1,"dd-mmm"),"x")</f>
        <v>x</v>
      </c>
      <c r="E131" s="59" t="str">
        <f t="shared" si="189"/>
        <v>x</v>
      </c>
      <c r="F131" s="59" t="str">
        <f t="shared" si="189"/>
        <v>x</v>
      </c>
      <c r="G131" s="59" t="str">
        <f t="shared" si="189"/>
        <v>x</v>
      </c>
      <c r="H131" s="59" t="str">
        <f t="shared" si="189"/>
        <v>x</v>
      </c>
      <c r="I131" s="59" t="str">
        <f t="shared" si="189"/>
        <v>x</v>
      </c>
      <c r="J131" s="59" t="str">
        <f t="shared" si="189"/>
        <v>x</v>
      </c>
      <c r="K131" s="59" t="str">
        <f t="shared" si="189"/>
        <v>x</v>
      </c>
      <c r="L131" s="59" t="str">
        <f t="shared" si="189"/>
        <v>x</v>
      </c>
      <c r="M131" s="59" t="str">
        <f t="shared" si="189"/>
        <v>x</v>
      </c>
      <c r="N131" s="59" t="str">
        <f t="shared" si="189"/>
        <v>x</v>
      </c>
      <c r="O131" s="59" t="str">
        <f t="shared" si="189"/>
        <v>x</v>
      </c>
      <c r="P131" s="59" t="str">
        <f t="shared" si="189"/>
        <v>x</v>
      </c>
      <c r="Q131" s="59" t="str">
        <f t="shared" si="189"/>
        <v>x</v>
      </c>
      <c r="R131" s="59" t="str">
        <f t="shared" si="189"/>
        <v>x</v>
      </c>
      <c r="S131" s="59" t="str">
        <f t="shared" si="189"/>
        <v>x</v>
      </c>
      <c r="T131" s="59" t="str">
        <f t="shared" si="189"/>
        <v>x</v>
      </c>
      <c r="U131" s="59" t="str">
        <f t="shared" si="189"/>
        <v>x</v>
      </c>
      <c r="V131" s="59" t="str">
        <f t="shared" si="189"/>
        <v>x</v>
      </c>
      <c r="W131" s="59" t="str">
        <f t="shared" si="189"/>
        <v>x</v>
      </c>
      <c r="X131" s="59" t="str">
        <f t="shared" si="189"/>
        <v>x</v>
      </c>
      <c r="Y131" s="59" t="str">
        <f t="shared" si="189"/>
        <v>x</v>
      </c>
      <c r="Z131" s="59" t="str">
        <f t="shared" si="189"/>
        <v>x</v>
      </c>
    </row>
    <row r="132" spans="4:26" customFormat="1" x14ac:dyDescent="0.15">
      <c r="D132" s="59" t="str">
        <f t="shared" ref="D132:Z132" si="190">IF(BatSplit(D58,RunsScored)&gt;=50,BatSplit(D58,RunsScored)&amp;IF(BatSplit(D58,NotOuts)=1,"*","")&amp;"|"&amp;$C58&amp;"|"&amp;D$2&amp;"|"&amp;TEXT(D$1,"dd-mmm"),"x")</f>
        <v>x</v>
      </c>
      <c r="E132" s="59" t="str">
        <f t="shared" si="190"/>
        <v>x</v>
      </c>
      <c r="F132" s="59" t="str">
        <f t="shared" si="190"/>
        <v>x</v>
      </c>
      <c r="G132" s="59" t="str">
        <f t="shared" si="190"/>
        <v>x</v>
      </c>
      <c r="H132" s="59" t="str">
        <f t="shared" si="190"/>
        <v>x</v>
      </c>
      <c r="I132" s="59" t="str">
        <f t="shared" si="190"/>
        <v>x</v>
      </c>
      <c r="J132" s="59" t="str">
        <f t="shared" si="190"/>
        <v>x</v>
      </c>
      <c r="K132" s="59" t="str">
        <f t="shared" si="190"/>
        <v>x</v>
      </c>
      <c r="L132" s="59" t="str">
        <f t="shared" si="190"/>
        <v>x</v>
      </c>
      <c r="M132" s="59" t="str">
        <f t="shared" si="190"/>
        <v>x</v>
      </c>
      <c r="N132" s="59" t="str">
        <f t="shared" si="190"/>
        <v>x</v>
      </c>
      <c r="O132" s="59" t="str">
        <f t="shared" si="190"/>
        <v>x</v>
      </c>
      <c r="P132" s="59" t="str">
        <f t="shared" si="190"/>
        <v>x</v>
      </c>
      <c r="Q132" s="59" t="str">
        <f t="shared" si="190"/>
        <v>x</v>
      </c>
      <c r="R132" s="59" t="str">
        <f t="shared" si="190"/>
        <v>x</v>
      </c>
      <c r="S132" s="59" t="str">
        <f t="shared" si="190"/>
        <v>x</v>
      </c>
      <c r="T132" s="59" t="str">
        <f t="shared" si="190"/>
        <v>x</v>
      </c>
      <c r="U132" s="59" t="str">
        <f t="shared" si="190"/>
        <v>x</v>
      </c>
      <c r="V132" s="59" t="str">
        <f t="shared" si="190"/>
        <v>x</v>
      </c>
      <c r="W132" s="59" t="str">
        <f t="shared" si="190"/>
        <v>x</v>
      </c>
      <c r="X132" s="59" t="str">
        <f t="shared" si="190"/>
        <v>x</v>
      </c>
      <c r="Y132" s="59" t="str">
        <f t="shared" si="190"/>
        <v>x</v>
      </c>
      <c r="Z132" s="59" t="str">
        <f t="shared" si="190"/>
        <v>x</v>
      </c>
    </row>
    <row r="133" spans="4:26" customFormat="1" x14ac:dyDescent="0.15">
      <c r="D133" s="59" t="str">
        <f t="shared" ref="D133:Z133" si="191">IF(BatSplit(D59,RunsScored)&gt;=50,BatSplit(D59,RunsScored)&amp;IF(BatSplit(D59,NotOuts)=1,"*","")&amp;"|"&amp;$C59&amp;"|"&amp;D$2&amp;"|"&amp;TEXT(D$1,"dd-mmm"),"x")</f>
        <v>x</v>
      </c>
      <c r="E133" s="59" t="str">
        <f t="shared" si="191"/>
        <v>x</v>
      </c>
      <c r="F133" s="59" t="str">
        <f t="shared" si="191"/>
        <v>x</v>
      </c>
      <c r="G133" s="59" t="str">
        <f t="shared" si="191"/>
        <v>x</v>
      </c>
      <c r="H133" s="59" t="str">
        <f t="shared" si="191"/>
        <v>x</v>
      </c>
      <c r="I133" s="59" t="str">
        <f t="shared" si="191"/>
        <v>x</v>
      </c>
      <c r="J133" s="59" t="str">
        <f t="shared" si="191"/>
        <v>x</v>
      </c>
      <c r="K133" s="59" t="str">
        <f t="shared" si="191"/>
        <v>x</v>
      </c>
      <c r="L133" s="59" t="str">
        <f t="shared" si="191"/>
        <v>x</v>
      </c>
      <c r="M133" s="59" t="str">
        <f t="shared" si="191"/>
        <v>x</v>
      </c>
      <c r="N133" s="59" t="str">
        <f t="shared" si="191"/>
        <v>x</v>
      </c>
      <c r="O133" s="59" t="str">
        <f t="shared" si="191"/>
        <v>x</v>
      </c>
      <c r="P133" s="59" t="str">
        <f t="shared" si="191"/>
        <v>x</v>
      </c>
      <c r="Q133" s="59" t="str">
        <f t="shared" si="191"/>
        <v>x</v>
      </c>
      <c r="R133" s="59" t="str">
        <f t="shared" si="191"/>
        <v>x</v>
      </c>
      <c r="S133" s="59" t="str">
        <f t="shared" si="191"/>
        <v>x</v>
      </c>
      <c r="T133" s="59" t="str">
        <f t="shared" si="191"/>
        <v>x</v>
      </c>
      <c r="U133" s="59" t="str">
        <f t="shared" si="191"/>
        <v>x</v>
      </c>
      <c r="V133" s="59" t="str">
        <f t="shared" si="191"/>
        <v>x</v>
      </c>
      <c r="W133" s="59" t="str">
        <f t="shared" si="191"/>
        <v>x</v>
      </c>
      <c r="X133" s="59" t="str">
        <f t="shared" si="191"/>
        <v>x</v>
      </c>
      <c r="Y133" s="59" t="str">
        <f t="shared" si="191"/>
        <v>x</v>
      </c>
      <c r="Z133" s="59" t="str">
        <f t="shared" si="191"/>
        <v>x</v>
      </c>
    </row>
    <row r="134" spans="4:26" customFormat="1" x14ac:dyDescent="0.15">
      <c r="D134" s="59" t="str">
        <f t="shared" ref="D134:Z134" si="192">IF(BatSplit(D60,RunsScored)&gt;=50,BatSplit(D60,RunsScored)&amp;IF(BatSplit(D60,NotOuts)=1,"*","")&amp;"|"&amp;$C60&amp;"|"&amp;D$2&amp;"|"&amp;TEXT(D$1,"dd-mmm"),"x")</f>
        <v>x</v>
      </c>
      <c r="E134" s="59" t="str">
        <f t="shared" si="192"/>
        <v>x</v>
      </c>
      <c r="F134" s="59" t="str">
        <f t="shared" si="192"/>
        <v>x</v>
      </c>
      <c r="G134" s="59" t="str">
        <f t="shared" si="192"/>
        <v>x</v>
      </c>
      <c r="H134" s="59" t="str">
        <f t="shared" si="192"/>
        <v>x</v>
      </c>
      <c r="I134" s="59" t="str">
        <f t="shared" si="192"/>
        <v>x</v>
      </c>
      <c r="J134" s="59" t="str">
        <f t="shared" si="192"/>
        <v>x</v>
      </c>
      <c r="K134" s="59" t="str">
        <f t="shared" si="192"/>
        <v>x</v>
      </c>
      <c r="L134" s="59" t="str">
        <f t="shared" si="192"/>
        <v>x</v>
      </c>
      <c r="M134" s="59" t="str">
        <f t="shared" si="192"/>
        <v>x</v>
      </c>
      <c r="N134" s="59" t="str">
        <f t="shared" si="192"/>
        <v>x</v>
      </c>
      <c r="O134" s="59" t="str">
        <f t="shared" si="192"/>
        <v>x</v>
      </c>
      <c r="P134" s="59" t="str">
        <f t="shared" si="192"/>
        <v>x</v>
      </c>
      <c r="Q134" s="59" t="str">
        <f t="shared" si="192"/>
        <v>x</v>
      </c>
      <c r="R134" s="59" t="str">
        <f t="shared" si="192"/>
        <v>x</v>
      </c>
      <c r="S134" s="59" t="str">
        <f t="shared" si="192"/>
        <v>x</v>
      </c>
      <c r="T134" s="59" t="str">
        <f t="shared" si="192"/>
        <v>x</v>
      </c>
      <c r="U134" s="59" t="str">
        <f t="shared" si="192"/>
        <v>x</v>
      </c>
      <c r="V134" s="59" t="str">
        <f t="shared" si="192"/>
        <v>x</v>
      </c>
      <c r="W134" s="59" t="str">
        <f t="shared" si="192"/>
        <v>x</v>
      </c>
      <c r="X134" s="59" t="str">
        <f t="shared" si="192"/>
        <v>x</v>
      </c>
      <c r="Y134" s="59" t="str">
        <f t="shared" si="192"/>
        <v>x</v>
      </c>
      <c r="Z134" s="59" t="str">
        <f t="shared" si="192"/>
        <v>x</v>
      </c>
    </row>
    <row r="135" spans="4:26" customFormat="1" x14ac:dyDescent="0.15">
      <c r="D135" s="59" t="str">
        <f t="shared" ref="D135:Z135" si="193">IF(BatSplit(D61,RunsScored)&gt;=50,BatSplit(D61,RunsScored)&amp;IF(BatSplit(D61,NotOuts)=1,"*","")&amp;"|"&amp;$C61&amp;"|"&amp;D$2&amp;"|"&amp;TEXT(D$1,"dd-mmm"),"x")</f>
        <v>x</v>
      </c>
      <c r="E135" s="59" t="str">
        <f t="shared" si="193"/>
        <v>x</v>
      </c>
      <c r="F135" s="59" t="str">
        <f t="shared" si="193"/>
        <v>x</v>
      </c>
      <c r="G135" s="59" t="str">
        <f t="shared" si="193"/>
        <v>x</v>
      </c>
      <c r="H135" s="59" t="str">
        <f t="shared" si="193"/>
        <v>x</v>
      </c>
      <c r="I135" s="59" t="str">
        <f t="shared" si="193"/>
        <v>x</v>
      </c>
      <c r="J135" s="59" t="str">
        <f t="shared" si="193"/>
        <v>x</v>
      </c>
      <c r="K135" s="59" t="str">
        <f t="shared" si="193"/>
        <v>x</v>
      </c>
      <c r="L135" s="59" t="str">
        <f t="shared" si="193"/>
        <v>x</v>
      </c>
      <c r="M135" s="59" t="str">
        <f t="shared" si="193"/>
        <v>x</v>
      </c>
      <c r="N135" s="59" t="str">
        <f t="shared" si="193"/>
        <v>x</v>
      </c>
      <c r="O135" s="59" t="str">
        <f t="shared" si="193"/>
        <v>x</v>
      </c>
      <c r="P135" s="59" t="str">
        <f t="shared" si="193"/>
        <v>x</v>
      </c>
      <c r="Q135" s="59" t="str">
        <f t="shared" si="193"/>
        <v>x</v>
      </c>
      <c r="R135" s="59" t="str">
        <f t="shared" si="193"/>
        <v>x</v>
      </c>
      <c r="S135" s="59" t="str">
        <f t="shared" si="193"/>
        <v>x</v>
      </c>
      <c r="T135" s="59" t="str">
        <f t="shared" si="193"/>
        <v>x</v>
      </c>
      <c r="U135" s="59" t="str">
        <f t="shared" si="193"/>
        <v>x</v>
      </c>
      <c r="V135" s="59" t="str">
        <f t="shared" si="193"/>
        <v>x</v>
      </c>
      <c r="W135" s="59" t="str">
        <f t="shared" si="193"/>
        <v>x</v>
      </c>
      <c r="X135" s="59" t="str">
        <f t="shared" si="193"/>
        <v>x</v>
      </c>
      <c r="Y135" s="59" t="str">
        <f t="shared" si="193"/>
        <v>x</v>
      </c>
      <c r="Z135" s="59" t="str">
        <f t="shared" si="193"/>
        <v>x</v>
      </c>
    </row>
    <row r="136" spans="4:26" customFormat="1" x14ac:dyDescent="0.15">
      <c r="D136" s="59" t="str">
        <f t="shared" ref="D136:Z136" si="194">IF(BatSplit(D62,RunsScored)&gt;=50,BatSplit(D62,RunsScored)&amp;IF(BatSplit(D62,NotOuts)=1,"*","")&amp;"|"&amp;$C62&amp;"|"&amp;D$2&amp;"|"&amp;TEXT(D$1,"dd-mmm"),"x")</f>
        <v>x</v>
      </c>
      <c r="E136" s="59" t="str">
        <f t="shared" si="194"/>
        <v>x</v>
      </c>
      <c r="F136" s="59" t="str">
        <f t="shared" si="194"/>
        <v>x</v>
      </c>
      <c r="G136" s="59" t="str">
        <f t="shared" si="194"/>
        <v>x</v>
      </c>
      <c r="H136" s="59" t="str">
        <f t="shared" si="194"/>
        <v>x</v>
      </c>
      <c r="I136" s="59" t="str">
        <f t="shared" si="194"/>
        <v>x</v>
      </c>
      <c r="J136" s="59" t="str">
        <f t="shared" si="194"/>
        <v>x</v>
      </c>
      <c r="K136" s="59" t="str">
        <f t="shared" si="194"/>
        <v>x</v>
      </c>
      <c r="L136" s="59" t="str">
        <f t="shared" si="194"/>
        <v>x</v>
      </c>
      <c r="M136" s="59" t="str">
        <f t="shared" si="194"/>
        <v>x</v>
      </c>
      <c r="N136" s="59" t="str">
        <f t="shared" si="194"/>
        <v>x</v>
      </c>
      <c r="O136" s="59" t="str">
        <f t="shared" si="194"/>
        <v>x</v>
      </c>
      <c r="P136" s="59" t="str">
        <f t="shared" si="194"/>
        <v>x</v>
      </c>
      <c r="Q136" s="59" t="str">
        <f t="shared" si="194"/>
        <v>x</v>
      </c>
      <c r="R136" s="59" t="str">
        <f t="shared" si="194"/>
        <v>x</v>
      </c>
      <c r="S136" s="59" t="str">
        <f t="shared" si="194"/>
        <v>x</v>
      </c>
      <c r="T136" s="59" t="str">
        <f t="shared" si="194"/>
        <v>x</v>
      </c>
      <c r="U136" s="59" t="str">
        <f t="shared" si="194"/>
        <v>x</v>
      </c>
      <c r="V136" s="59" t="str">
        <f t="shared" si="194"/>
        <v>x</v>
      </c>
      <c r="W136" s="59" t="str">
        <f t="shared" si="194"/>
        <v>x</v>
      </c>
      <c r="X136" s="59" t="str">
        <f t="shared" si="194"/>
        <v>x</v>
      </c>
      <c r="Y136" s="59" t="str">
        <f t="shared" si="194"/>
        <v>x</v>
      </c>
      <c r="Z136" s="59" t="str">
        <f t="shared" si="194"/>
        <v>x</v>
      </c>
    </row>
    <row r="137" spans="4:26" customFormat="1" x14ac:dyDescent="0.15">
      <c r="D137" s="59" t="str">
        <f t="shared" ref="D137:Z137" si="195">IF(BatSplit(D63,RunsScored)&gt;=50,BatSplit(D63,RunsScored)&amp;IF(BatSplit(D63,NotOuts)=1,"*","")&amp;"|"&amp;$C63&amp;"|"&amp;D$2&amp;"|"&amp;TEXT(D$1,"dd-mmm"),"x")</f>
        <v>x</v>
      </c>
      <c r="E137" s="59" t="str">
        <f t="shared" si="195"/>
        <v>x</v>
      </c>
      <c r="F137" s="59" t="str">
        <f t="shared" si="195"/>
        <v>x</v>
      </c>
      <c r="G137" s="59" t="str">
        <f t="shared" si="195"/>
        <v>x</v>
      </c>
      <c r="H137" s="59" t="str">
        <f t="shared" si="195"/>
        <v>x</v>
      </c>
      <c r="I137" s="59" t="str">
        <f t="shared" si="195"/>
        <v>x</v>
      </c>
      <c r="J137" s="59" t="str">
        <f t="shared" si="195"/>
        <v>x</v>
      </c>
      <c r="K137" s="59" t="str">
        <f t="shared" si="195"/>
        <v>x</v>
      </c>
      <c r="L137" s="59" t="str">
        <f t="shared" si="195"/>
        <v>x</v>
      </c>
      <c r="M137" s="59" t="str">
        <f t="shared" si="195"/>
        <v>x</v>
      </c>
      <c r="N137" s="59" t="str">
        <f t="shared" si="195"/>
        <v>x</v>
      </c>
      <c r="O137" s="59" t="str">
        <f t="shared" si="195"/>
        <v>x</v>
      </c>
      <c r="P137" s="59" t="str">
        <f t="shared" si="195"/>
        <v>x</v>
      </c>
      <c r="Q137" s="59" t="str">
        <f t="shared" si="195"/>
        <v>x</v>
      </c>
      <c r="R137" s="59" t="str">
        <f t="shared" si="195"/>
        <v>x</v>
      </c>
      <c r="S137" s="59" t="str">
        <f t="shared" si="195"/>
        <v>x</v>
      </c>
      <c r="T137" s="59" t="str">
        <f t="shared" si="195"/>
        <v>x</v>
      </c>
      <c r="U137" s="59" t="str">
        <f t="shared" si="195"/>
        <v>x</v>
      </c>
      <c r="V137" s="59" t="str">
        <f t="shared" si="195"/>
        <v>x</v>
      </c>
      <c r="W137" s="59" t="str">
        <f t="shared" si="195"/>
        <v>x</v>
      </c>
      <c r="X137" s="59" t="str">
        <f t="shared" si="195"/>
        <v>x</v>
      </c>
      <c r="Y137" s="59" t="str">
        <f t="shared" si="195"/>
        <v>x</v>
      </c>
      <c r="Z137" s="59" t="str">
        <f t="shared" si="195"/>
        <v>x</v>
      </c>
    </row>
    <row r="138" spans="4:26" customFormat="1" x14ac:dyDescent="0.15">
      <c r="D138" s="59" t="str">
        <f t="shared" ref="D138:Z138" si="196">IF(BatSplit(D64,RunsScored)&gt;=50,BatSplit(D64,RunsScored)&amp;IF(BatSplit(D64,NotOuts)=1,"*","")&amp;"|"&amp;$C64&amp;"|"&amp;D$2&amp;"|"&amp;TEXT(D$1,"dd-mmm"),"x")</f>
        <v>x</v>
      </c>
      <c r="E138" s="59" t="str">
        <f t="shared" si="196"/>
        <v>x</v>
      </c>
      <c r="F138" s="59" t="str">
        <f t="shared" si="196"/>
        <v>x</v>
      </c>
      <c r="G138" s="59" t="str">
        <f t="shared" si="196"/>
        <v>x</v>
      </c>
      <c r="H138" s="59" t="str">
        <f t="shared" si="196"/>
        <v>x</v>
      </c>
      <c r="I138" s="59" t="str">
        <f t="shared" si="196"/>
        <v>x</v>
      </c>
      <c r="J138" s="59" t="str">
        <f t="shared" si="196"/>
        <v>x</v>
      </c>
      <c r="K138" s="59" t="str">
        <f t="shared" si="196"/>
        <v>x</v>
      </c>
      <c r="L138" s="59" t="str">
        <f t="shared" si="196"/>
        <v>x</v>
      </c>
      <c r="M138" s="59" t="str">
        <f t="shared" si="196"/>
        <v>x</v>
      </c>
      <c r="N138" s="59" t="str">
        <f t="shared" si="196"/>
        <v>x</v>
      </c>
      <c r="O138" s="59" t="str">
        <f t="shared" si="196"/>
        <v>x</v>
      </c>
      <c r="P138" s="59" t="str">
        <f t="shared" si="196"/>
        <v>x</v>
      </c>
      <c r="Q138" s="59" t="str">
        <f t="shared" si="196"/>
        <v>x</v>
      </c>
      <c r="R138" s="59" t="str">
        <f t="shared" si="196"/>
        <v>x</v>
      </c>
      <c r="S138" s="59" t="str">
        <f t="shared" si="196"/>
        <v>x</v>
      </c>
      <c r="T138" s="59" t="str">
        <f t="shared" si="196"/>
        <v>x</v>
      </c>
      <c r="U138" s="59" t="str">
        <f t="shared" si="196"/>
        <v>x</v>
      </c>
      <c r="V138" s="59" t="str">
        <f t="shared" si="196"/>
        <v>x</v>
      </c>
      <c r="W138" s="59" t="str">
        <f t="shared" si="196"/>
        <v>x</v>
      </c>
      <c r="X138" s="59" t="str">
        <f t="shared" si="196"/>
        <v>x</v>
      </c>
      <c r="Y138" s="59" t="str">
        <f t="shared" si="196"/>
        <v>x</v>
      </c>
      <c r="Z138" s="59" t="str">
        <f t="shared" si="196"/>
        <v>x</v>
      </c>
    </row>
    <row r="139" spans="4:26" customFormat="1" x14ac:dyDescent="0.15"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</row>
    <row r="140" spans="4:26" customFormat="1" x14ac:dyDescent="0.15"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</row>
    <row r="141" spans="4:26" customFormat="1" x14ac:dyDescent="0.15"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</row>
    <row r="142" spans="4:26" customFormat="1" x14ac:dyDescent="0.15"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</row>
    <row r="143" spans="4:26" customFormat="1" x14ac:dyDescent="0.15"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</row>
    <row r="144" spans="4:26" customFormat="1" x14ac:dyDescent="0.15"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</row>
    <row r="145" spans="4:26" customFormat="1" x14ac:dyDescent="0.15"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</row>
    <row r="146" spans="4:26" customFormat="1" x14ac:dyDescent="0.15"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</row>
    <row r="147" spans="4:26" customFormat="1" x14ac:dyDescent="0.15"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</row>
    <row r="148" spans="4:26" customFormat="1" x14ac:dyDescent="0.15"/>
    <row r="149" spans="4:26" customFormat="1" x14ac:dyDescent="0.15"/>
    <row r="150" spans="4:26" customFormat="1" x14ac:dyDescent="0.15"/>
    <row r="151" spans="4:26" customFormat="1" x14ac:dyDescent="0.15"/>
    <row r="152" spans="4:26" customFormat="1" x14ac:dyDescent="0.15"/>
    <row r="153" spans="4:26" customFormat="1" x14ac:dyDescent="0.15"/>
    <row r="154" spans="4:26" customFormat="1" x14ac:dyDescent="0.15"/>
    <row r="155" spans="4:26" customFormat="1" x14ac:dyDescent="0.15"/>
    <row r="156" spans="4:26" customFormat="1" x14ac:dyDescent="0.15"/>
    <row r="157" spans="4:26" customFormat="1" x14ac:dyDescent="0.15"/>
    <row r="158" spans="4:26" customFormat="1" x14ac:dyDescent="0.15"/>
    <row r="159" spans="4:26" customFormat="1" x14ac:dyDescent="0.15"/>
    <row r="160" spans="4:26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</sheetData>
  <sortState xmlns:xlrd2="http://schemas.microsoft.com/office/spreadsheetml/2017/richdata2"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74:AK77 AI78:AI83">
    <cfRule type="cellIs" dxfId="13" priority="6" stopIfTrue="1" operator="greaterThanOrEqual">
      <formula>75</formula>
    </cfRule>
  </conditionalFormatting>
  <conditionalFormatting sqref="A5:XFD62">
    <cfRule type="expression" dxfId="12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DF95"/>
  <sheetViews>
    <sheetView zoomScale="85" zoomScaleNormal="85"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B48" sqref="B4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46" bestFit="1" customWidth="1"/>
    <col min="37" max="37" width="5" style="46" bestFit="1" customWidth="1"/>
    <col min="38" max="38" width="5.85546875" style="155" bestFit="1" customWidth="1"/>
    <col min="39" max="39" width="7" style="155" bestFit="1" customWidth="1"/>
    <col min="40" max="41" width="5" style="155" bestFit="1" customWidth="1"/>
    <col min="42" max="42" width="7.28515625" style="47" bestFit="1" customWidth="1"/>
    <col min="43" max="43" width="7" style="46" customWidth="1"/>
    <col min="44" max="44" width="5.5703125" style="46" bestFit="1" customWidth="1"/>
    <col min="45" max="45" width="4.7109375" style="41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45053</v>
      </c>
      <c r="D1" s="4">
        <v>45060</v>
      </c>
      <c r="E1" s="4">
        <v>45067</v>
      </c>
      <c r="F1" s="4">
        <v>45073</v>
      </c>
      <c r="G1" s="4">
        <v>45074</v>
      </c>
      <c r="H1" s="4">
        <v>45075</v>
      </c>
      <c r="I1" s="4">
        <v>45081</v>
      </c>
      <c r="J1" s="4">
        <v>45088</v>
      </c>
      <c r="K1" s="4">
        <v>45095</v>
      </c>
      <c r="L1" s="4">
        <v>45116</v>
      </c>
      <c r="M1" s="4">
        <v>45137</v>
      </c>
      <c r="N1" s="4">
        <v>45151</v>
      </c>
      <c r="O1" s="4">
        <v>45158</v>
      </c>
      <c r="P1" s="4">
        <v>45165</v>
      </c>
      <c r="Q1" s="4">
        <v>45179</v>
      </c>
      <c r="R1" s="4">
        <v>45186</v>
      </c>
      <c r="S1" s="4">
        <v>45193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3"/>
      <c r="AK1" s="43"/>
      <c r="AL1" s="154"/>
      <c r="AM1" s="154"/>
      <c r="AN1" s="154"/>
      <c r="AO1" s="154"/>
      <c r="AP1" s="44"/>
      <c r="AQ1" s="45"/>
      <c r="AR1" s="45"/>
      <c r="AS1" s="40"/>
    </row>
    <row r="2" spans="2:49" ht="108.75" x14ac:dyDescent="0.15">
      <c r="B2" s="2" t="str">
        <v>Opp</v>
      </c>
      <c r="C2" s="1" t="str">
        <v>Riverside</v>
      </c>
      <c r="D2" s="1" t="str">
        <v>Beddington</v>
      </c>
      <c r="E2" s="1" t="str">
        <v>YRG Eagles</v>
      </c>
      <c r="F2" s="1" t="str">
        <v>Fonthill Park</v>
      </c>
      <c r="G2" s="1" t="str">
        <v>Woodgreen</v>
      </c>
      <c r="H2" s="1" t="str">
        <v>Steeple Langford</v>
      </c>
      <c r="I2" s="1" t="str">
        <v>YRG Eagles</v>
      </c>
      <c r="J2" s="1" t="str">
        <v>Croydon Royals</v>
      </c>
      <c r="K2" s="1" t="str">
        <v>Richmond Leg Breakers</v>
      </c>
      <c r="L2" s="1" t="str">
        <v>Morden</v>
      </c>
      <c r="M2" s="1" t="str">
        <v>Riverside</v>
      </c>
      <c r="N2" s="1" t="str">
        <v>Norwood Exiles</v>
      </c>
      <c r="O2" s="1" t="str">
        <v>Catford Cyphers</v>
      </c>
      <c r="P2" s="1" t="str">
        <v>Mitcham</v>
      </c>
      <c r="Q2" s="1" t="str">
        <v>Croydon CC</v>
      </c>
      <c r="R2" s="1" t="str">
        <v>Verdayne green</v>
      </c>
      <c r="S2" s="1" t="str">
        <v>Sanderstead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ND</v>
      </c>
      <c r="L4" s="1" t="str">
        <v>L</v>
      </c>
      <c r="M4" s="1" t="str">
        <v>ND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L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2" t="s">
        <v>7</v>
      </c>
      <c r="AK4" s="42" t="s">
        <v>29</v>
      </c>
      <c r="AL4" s="156" t="s">
        <v>30</v>
      </c>
      <c r="AM4" s="156" t="s">
        <v>31</v>
      </c>
      <c r="AN4" s="156" t="s">
        <v>9</v>
      </c>
      <c r="AO4" s="156" t="s">
        <v>32</v>
      </c>
      <c r="AP4" s="39" t="s">
        <v>33</v>
      </c>
      <c r="AQ4" s="42" t="s">
        <v>34</v>
      </c>
      <c r="AR4" s="42" t="s">
        <v>35</v>
      </c>
      <c r="AS4" s="41" t="s">
        <v>90</v>
      </c>
      <c r="AT4" s="65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263</v>
      </c>
      <c r="C5" s="2" t="s">
        <v>366</v>
      </c>
      <c r="I5" s="2" t="s">
        <v>473</v>
      </c>
      <c r="L5" s="2" t="s">
        <v>519</v>
      </c>
      <c r="P5" s="2" t="s">
        <v>367</v>
      </c>
      <c r="R5" s="2" t="s">
        <v>623</v>
      </c>
      <c r="V5" s="2" t="s">
        <v>674</v>
      </c>
      <c r="AJ5" s="46">
        <f t="shared" ref="AJ5" si="0">BowlSplit(C5:AH5,InnsBowledIn)</f>
        <v>6</v>
      </c>
      <c r="AK5" s="46">
        <f t="shared" ref="AK5" si="1">BowlSplit(C5:AH5,BallsBowled)</f>
        <v>210</v>
      </c>
      <c r="AL5" s="157">
        <f t="shared" ref="AL5" si="2">BowlSplit(C5:AH5,OversBowled)</f>
        <v>35</v>
      </c>
      <c r="AM5" s="155">
        <f t="shared" ref="AM5" si="3">BowlSplit(C5:AH5,Maidens)</f>
        <v>1</v>
      </c>
      <c r="AN5" s="155">
        <f t="shared" ref="AN5" si="4">BowlSplit(C5:AH5,RunsConceded)</f>
        <v>151</v>
      </c>
      <c r="AO5" s="155">
        <f t="shared" ref="AO5" si="5">BowlSplit(C5:AH5,WicketsTaken)</f>
        <v>6</v>
      </c>
      <c r="AP5" s="48">
        <f t="shared" ref="AP5" si="6">IF(AO5&gt;0,ROUND(AN5/AO5,2),"")</f>
        <v>25.17</v>
      </c>
      <c r="AQ5" s="49">
        <f t="shared" ref="AQ5" si="7">IF(AO5&gt;0,AK5/AO5,"")</f>
        <v>35</v>
      </c>
      <c r="AR5" s="49">
        <f t="shared" ref="AR5" si="8">IF(AK5&gt;0,6*AN5/AK5,"")</f>
        <v>4.3142857142857141</v>
      </c>
      <c r="AS5" s="41" t="str">
        <f t="shared" ref="AS5" si="9">BowlSplit(C5:AH5,BestBowling)</f>
        <v>3-23</v>
      </c>
      <c r="AT5" s="50">
        <f t="shared" ref="AT5" si="10">IF(AO5&gt;0,AP5,IF(AK5&gt;0,AK5+1000,99999))+ROW(AL5)/10000</f>
        <v>25.170500000000001</v>
      </c>
      <c r="AU5" s="2">
        <f>RANK(AT5,$AT$5:$AT$48,1)</f>
        <v>13</v>
      </c>
      <c r="AV5" s="96">
        <f t="shared" ref="AV5" si="11">IF(AK5&gt;=120,AM5/AK5*6,"")</f>
        <v>2.8571428571428574E-2</v>
      </c>
      <c r="AW5" s="2">
        <f t="shared" ref="AW5" si="12">BowlSplit(C5:AH5,FiveFors)</f>
        <v>0</v>
      </c>
    </row>
    <row r="6" spans="2:49" x14ac:dyDescent="0.15">
      <c r="B6" s="2" t="s">
        <v>235</v>
      </c>
      <c r="D6" s="2" t="s">
        <v>440</v>
      </c>
      <c r="E6" s="2" t="s">
        <v>417</v>
      </c>
      <c r="F6" s="2" t="s">
        <v>392</v>
      </c>
      <c r="G6" s="2" t="s">
        <v>432</v>
      </c>
      <c r="I6" s="2" t="s">
        <v>472</v>
      </c>
      <c r="J6" s="2" t="s">
        <v>482</v>
      </c>
      <c r="K6" s="2" t="s">
        <v>494</v>
      </c>
      <c r="L6" s="2" t="s">
        <v>514</v>
      </c>
      <c r="M6" s="2" t="s">
        <v>534</v>
      </c>
      <c r="N6" s="2" t="s">
        <v>550</v>
      </c>
      <c r="O6" s="2" t="s">
        <v>590</v>
      </c>
      <c r="Q6" s="2" t="s">
        <v>610</v>
      </c>
      <c r="S6" s="2" t="s">
        <v>642</v>
      </c>
      <c r="AJ6" s="46">
        <f t="shared" ref="AJ6:AJ48" si="13">BowlSplit(C6:AH6,InnsBowledIn)</f>
        <v>13</v>
      </c>
      <c r="AK6" s="46">
        <f t="shared" ref="AK6:AK48" si="14">BowlSplit(C6:AH6,BallsBowled)</f>
        <v>465</v>
      </c>
      <c r="AL6" s="157">
        <f t="shared" ref="AL6:AL48" si="15">BowlSplit(C6:AH6,OversBowled)</f>
        <v>77.3</v>
      </c>
      <c r="AM6" s="155">
        <f t="shared" ref="AM6:AM48" si="16">BowlSplit(C6:AH6,Maidens)</f>
        <v>11</v>
      </c>
      <c r="AN6" s="155">
        <f t="shared" ref="AN6:AN48" si="17">BowlSplit(C6:AH6,RunsConceded)</f>
        <v>341</v>
      </c>
      <c r="AO6" s="155">
        <f t="shared" ref="AO6:AO48" si="18">BowlSplit(C6:AH6,WicketsTaken)</f>
        <v>16</v>
      </c>
      <c r="AP6" s="48">
        <f t="shared" ref="AP6:AP48" si="19">IF(AO6&gt;0,ROUND(AN6/AO6,2),"")</f>
        <v>21.31</v>
      </c>
      <c r="AQ6" s="49">
        <f t="shared" ref="AQ6:AQ48" si="20">IF(AO6&gt;0,AK6/AO6,"")</f>
        <v>29.0625</v>
      </c>
      <c r="AR6" s="49">
        <f t="shared" ref="AR6:AR48" si="21">IF(AK6&gt;0,6*AN6/AK6,"")</f>
        <v>4.4000000000000004</v>
      </c>
      <c r="AS6" s="41" t="str">
        <f t="shared" ref="AS6:AS48" si="22">BowlSplit(C6:AH6,BestBowling)</f>
        <v>4-20</v>
      </c>
      <c r="AT6" s="50">
        <f t="shared" ref="AT6:AT48" si="23">IF(AO6&gt;0,AP6,IF(AK6&gt;0,AK6+1000,99999))+ROW(AL6)/10000</f>
        <v>21.310599999999997</v>
      </c>
      <c r="AU6" s="2">
        <f t="shared" ref="AU6:AU48" si="24">RANK(AT6,$AT$5:$AT$48,1)</f>
        <v>10</v>
      </c>
      <c r="AV6" s="96">
        <f t="shared" ref="AV6:AV48" si="25">IF(AK6&gt;=120,AM6/AK6*6,"")</f>
        <v>0.14193548387096774</v>
      </c>
      <c r="AW6" s="2">
        <f t="shared" ref="AW6:AW48" si="26">BowlSplit(C6:AH6,FiveFors)</f>
        <v>0</v>
      </c>
    </row>
    <row r="7" spans="2:49" x14ac:dyDescent="0.15">
      <c r="B7" s="2" t="s">
        <v>224</v>
      </c>
      <c r="D7" s="2" t="s">
        <v>442</v>
      </c>
      <c r="AJ7" s="46">
        <f t="shared" si="13"/>
        <v>1</v>
      </c>
      <c r="AK7" s="46">
        <f t="shared" si="14"/>
        <v>24</v>
      </c>
      <c r="AL7" s="157">
        <f t="shared" si="15"/>
        <v>4</v>
      </c>
      <c r="AM7" s="155">
        <f t="shared" si="16"/>
        <v>0</v>
      </c>
      <c r="AN7" s="155">
        <f t="shared" si="17"/>
        <v>30</v>
      </c>
      <c r="AO7" s="155">
        <f t="shared" si="18"/>
        <v>0</v>
      </c>
      <c r="AP7" s="48" t="str">
        <f t="shared" si="19"/>
        <v/>
      </c>
      <c r="AQ7" s="49" t="str">
        <f t="shared" si="20"/>
        <v/>
      </c>
      <c r="AR7" s="49">
        <f t="shared" si="21"/>
        <v>7.5</v>
      </c>
      <c r="AS7" s="41" t="str">
        <f t="shared" si="22"/>
        <v>0-30</v>
      </c>
      <c r="AT7" s="50">
        <f t="shared" si="23"/>
        <v>1024.0007000000001</v>
      </c>
      <c r="AU7" s="2">
        <f t="shared" si="24"/>
        <v>24</v>
      </c>
      <c r="AV7" s="96" t="str">
        <f t="shared" si="25"/>
        <v/>
      </c>
      <c r="AW7" s="2">
        <f t="shared" si="26"/>
        <v>0</v>
      </c>
    </row>
    <row r="8" spans="2:49" x14ac:dyDescent="0.15">
      <c r="B8" s="2" t="s">
        <v>246</v>
      </c>
      <c r="AJ8" s="46">
        <f t="shared" si="13"/>
        <v>0</v>
      </c>
      <c r="AK8" s="46">
        <f t="shared" si="14"/>
        <v>0</v>
      </c>
      <c r="AL8" s="157">
        <f t="shared" si="15"/>
        <v>0</v>
      </c>
      <c r="AM8" s="155">
        <f t="shared" si="16"/>
        <v>0</v>
      </c>
      <c r="AN8" s="155">
        <f t="shared" si="17"/>
        <v>0</v>
      </c>
      <c r="AO8" s="155">
        <f t="shared" si="18"/>
        <v>0</v>
      </c>
      <c r="AP8" s="48" t="str">
        <f t="shared" si="19"/>
        <v/>
      </c>
      <c r="AQ8" s="49" t="str">
        <f t="shared" si="20"/>
        <v/>
      </c>
      <c r="AR8" s="49" t="str">
        <f t="shared" si="21"/>
        <v/>
      </c>
      <c r="AS8" s="41" t="str">
        <f t="shared" si="22"/>
        <v/>
      </c>
      <c r="AT8" s="50">
        <f t="shared" si="23"/>
        <v>99999.000799999994</v>
      </c>
      <c r="AU8" s="2">
        <f t="shared" si="24"/>
        <v>28</v>
      </c>
      <c r="AV8" s="96" t="str">
        <f t="shared" si="25"/>
        <v/>
      </c>
      <c r="AW8" s="2">
        <f t="shared" si="26"/>
        <v>0</v>
      </c>
    </row>
    <row r="9" spans="2:49" x14ac:dyDescent="0.15">
      <c r="B9" s="2" t="s">
        <v>204</v>
      </c>
      <c r="D9" s="107"/>
      <c r="M9" s="50"/>
      <c r="AJ9" s="46">
        <f t="shared" si="13"/>
        <v>0</v>
      </c>
      <c r="AK9" s="46">
        <f t="shared" si="14"/>
        <v>0</v>
      </c>
      <c r="AL9" s="157">
        <f t="shared" si="15"/>
        <v>0</v>
      </c>
      <c r="AM9" s="155">
        <f t="shared" si="16"/>
        <v>0</v>
      </c>
      <c r="AN9" s="155">
        <f t="shared" si="17"/>
        <v>0</v>
      </c>
      <c r="AO9" s="155">
        <f t="shared" si="18"/>
        <v>0</v>
      </c>
      <c r="AP9" s="48" t="str">
        <f t="shared" si="19"/>
        <v/>
      </c>
      <c r="AQ9" s="49" t="str">
        <f t="shared" si="20"/>
        <v/>
      </c>
      <c r="AR9" s="49" t="str">
        <f t="shared" si="21"/>
        <v/>
      </c>
      <c r="AS9" s="41" t="str">
        <f t="shared" si="22"/>
        <v/>
      </c>
      <c r="AT9" s="50">
        <f t="shared" si="23"/>
        <v>99999.000899999999</v>
      </c>
      <c r="AU9" s="2">
        <f t="shared" si="24"/>
        <v>29</v>
      </c>
      <c r="AV9" s="96" t="str">
        <f t="shared" si="25"/>
        <v/>
      </c>
      <c r="AW9" s="2">
        <f t="shared" si="26"/>
        <v>0</v>
      </c>
    </row>
    <row r="10" spans="2:49" x14ac:dyDescent="0.15">
      <c r="B10" s="2" t="s">
        <v>299</v>
      </c>
      <c r="D10" s="107"/>
      <c r="M10" s="50"/>
      <c r="AJ10" s="46">
        <f t="shared" si="13"/>
        <v>0</v>
      </c>
      <c r="AK10" s="46">
        <f t="shared" si="14"/>
        <v>0</v>
      </c>
      <c r="AL10" s="157">
        <f t="shared" si="15"/>
        <v>0</v>
      </c>
      <c r="AM10" s="155">
        <f t="shared" si="16"/>
        <v>0</v>
      </c>
      <c r="AN10" s="155">
        <f t="shared" si="17"/>
        <v>0</v>
      </c>
      <c r="AO10" s="155">
        <f t="shared" si="18"/>
        <v>0</v>
      </c>
      <c r="AP10" s="48" t="str">
        <f t="shared" si="19"/>
        <v/>
      </c>
      <c r="AQ10" s="49" t="str">
        <f t="shared" si="20"/>
        <v/>
      </c>
      <c r="AR10" s="49" t="str">
        <f t="shared" si="21"/>
        <v/>
      </c>
      <c r="AS10" s="41" t="str">
        <f t="shared" si="22"/>
        <v/>
      </c>
      <c r="AT10" s="50">
        <f t="shared" si="23"/>
        <v>99999.001000000004</v>
      </c>
      <c r="AU10" s="2">
        <f t="shared" si="24"/>
        <v>30</v>
      </c>
      <c r="AV10" s="96" t="str">
        <f t="shared" si="25"/>
        <v/>
      </c>
      <c r="AW10" s="2">
        <f t="shared" si="26"/>
        <v>0</v>
      </c>
    </row>
    <row r="11" spans="2:49" x14ac:dyDescent="0.15">
      <c r="B11" s="2" t="s">
        <v>324</v>
      </c>
      <c r="C11" s="2" t="s">
        <v>363</v>
      </c>
      <c r="D11" s="107" t="s">
        <v>438</v>
      </c>
      <c r="F11" s="2" t="s">
        <v>393</v>
      </c>
      <c r="I11" s="2" t="s">
        <v>471</v>
      </c>
      <c r="J11" s="2" t="s">
        <v>321</v>
      </c>
      <c r="M11" s="50" t="s">
        <v>531</v>
      </c>
      <c r="O11" s="2" t="s">
        <v>588</v>
      </c>
      <c r="P11" s="2" t="s">
        <v>582</v>
      </c>
      <c r="S11" s="2" t="s">
        <v>645</v>
      </c>
      <c r="W11" s="2" t="s">
        <v>744</v>
      </c>
      <c r="AJ11" s="46">
        <f t="shared" si="13"/>
        <v>10</v>
      </c>
      <c r="AK11" s="46">
        <f t="shared" si="14"/>
        <v>378</v>
      </c>
      <c r="AL11" s="157">
        <f t="shared" si="15"/>
        <v>63</v>
      </c>
      <c r="AM11" s="155">
        <f t="shared" si="16"/>
        <v>7</v>
      </c>
      <c r="AN11" s="155">
        <f t="shared" si="17"/>
        <v>252</v>
      </c>
      <c r="AO11" s="155">
        <f t="shared" si="18"/>
        <v>9</v>
      </c>
      <c r="AP11" s="48">
        <f t="shared" si="19"/>
        <v>28</v>
      </c>
      <c r="AQ11" s="49">
        <f t="shared" si="20"/>
        <v>42</v>
      </c>
      <c r="AR11" s="49">
        <f t="shared" si="21"/>
        <v>4</v>
      </c>
      <c r="AS11" s="41" t="str">
        <f t="shared" si="22"/>
        <v>3-18</v>
      </c>
      <c r="AT11" s="50">
        <f t="shared" si="23"/>
        <v>28.001100000000001</v>
      </c>
      <c r="AU11" s="2">
        <f t="shared" si="24"/>
        <v>14</v>
      </c>
      <c r="AV11" s="96">
        <f t="shared" si="25"/>
        <v>0.1111111111111111</v>
      </c>
      <c r="AW11" s="2">
        <f t="shared" si="26"/>
        <v>0</v>
      </c>
    </row>
    <row r="12" spans="2:49" x14ac:dyDescent="0.15">
      <c r="B12" s="2" t="s">
        <v>273</v>
      </c>
      <c r="M12" s="50"/>
      <c r="T12" s="2" t="s">
        <v>737</v>
      </c>
      <c r="AJ12" s="46">
        <f t="shared" si="13"/>
        <v>1</v>
      </c>
      <c r="AK12" s="46">
        <f t="shared" si="14"/>
        <v>36</v>
      </c>
      <c r="AL12" s="157">
        <f t="shared" si="15"/>
        <v>6</v>
      </c>
      <c r="AM12" s="155">
        <f t="shared" si="16"/>
        <v>0</v>
      </c>
      <c r="AN12" s="155">
        <f t="shared" si="17"/>
        <v>36</v>
      </c>
      <c r="AO12" s="155">
        <f t="shared" si="18"/>
        <v>0</v>
      </c>
      <c r="AP12" s="48" t="str">
        <f t="shared" si="19"/>
        <v/>
      </c>
      <c r="AQ12" s="49" t="str">
        <f t="shared" si="20"/>
        <v/>
      </c>
      <c r="AR12" s="49">
        <f t="shared" si="21"/>
        <v>6</v>
      </c>
      <c r="AS12" s="41" t="str">
        <f t="shared" si="22"/>
        <v>0-36</v>
      </c>
      <c r="AT12" s="50">
        <f t="shared" si="23"/>
        <v>1036.0011999999999</v>
      </c>
      <c r="AU12" s="2">
        <f t="shared" si="24"/>
        <v>26</v>
      </c>
      <c r="AV12" s="96" t="str">
        <f t="shared" si="25"/>
        <v/>
      </c>
      <c r="AW12" s="2">
        <f t="shared" si="26"/>
        <v>0</v>
      </c>
    </row>
    <row r="13" spans="2:49" x14ac:dyDescent="0.15">
      <c r="B13" s="2" t="s">
        <v>232</v>
      </c>
      <c r="M13" s="50"/>
      <c r="AJ13" s="46">
        <f t="shared" si="13"/>
        <v>0</v>
      </c>
      <c r="AK13" s="46">
        <f t="shared" si="14"/>
        <v>0</v>
      </c>
      <c r="AL13" s="157">
        <f t="shared" si="15"/>
        <v>0</v>
      </c>
      <c r="AM13" s="155">
        <f t="shared" si="16"/>
        <v>0</v>
      </c>
      <c r="AN13" s="155">
        <f t="shared" si="17"/>
        <v>0</v>
      </c>
      <c r="AO13" s="155">
        <f t="shared" si="18"/>
        <v>0</v>
      </c>
      <c r="AP13" s="48" t="str">
        <f t="shared" si="19"/>
        <v/>
      </c>
      <c r="AQ13" s="49" t="str">
        <f t="shared" si="20"/>
        <v/>
      </c>
      <c r="AR13" s="49" t="str">
        <f t="shared" si="21"/>
        <v/>
      </c>
      <c r="AS13" s="41" t="str">
        <f t="shared" si="22"/>
        <v/>
      </c>
      <c r="AT13" s="50">
        <f t="shared" si="23"/>
        <v>99999.001300000004</v>
      </c>
      <c r="AU13" s="2">
        <f t="shared" si="24"/>
        <v>31</v>
      </c>
      <c r="AV13" s="96" t="str">
        <f t="shared" si="25"/>
        <v/>
      </c>
      <c r="AW13" s="2">
        <f t="shared" si="26"/>
        <v>0</v>
      </c>
    </row>
    <row r="14" spans="2:49" x14ac:dyDescent="0.15">
      <c r="B14" s="2" t="s">
        <v>340</v>
      </c>
      <c r="M14" s="50"/>
      <c r="AJ14" s="46">
        <f t="shared" si="13"/>
        <v>0</v>
      </c>
      <c r="AK14" s="46">
        <f t="shared" si="14"/>
        <v>0</v>
      </c>
      <c r="AL14" s="157">
        <f t="shared" si="15"/>
        <v>0</v>
      </c>
      <c r="AM14" s="155">
        <f t="shared" si="16"/>
        <v>0</v>
      </c>
      <c r="AN14" s="155">
        <f t="shared" si="17"/>
        <v>0</v>
      </c>
      <c r="AO14" s="155">
        <f t="shared" si="18"/>
        <v>0</v>
      </c>
      <c r="AP14" s="48" t="str">
        <f t="shared" si="19"/>
        <v/>
      </c>
      <c r="AQ14" s="49" t="str">
        <f t="shared" si="20"/>
        <v/>
      </c>
      <c r="AR14" s="49" t="str">
        <f t="shared" si="21"/>
        <v/>
      </c>
      <c r="AS14" s="41" t="str">
        <f t="shared" si="22"/>
        <v/>
      </c>
      <c r="AT14" s="50">
        <f t="shared" si="23"/>
        <v>99999.001399999994</v>
      </c>
      <c r="AU14" s="2">
        <f t="shared" si="24"/>
        <v>32</v>
      </c>
      <c r="AV14" s="96" t="str">
        <f t="shared" si="25"/>
        <v/>
      </c>
      <c r="AW14" s="2">
        <f t="shared" si="26"/>
        <v>0</v>
      </c>
    </row>
    <row r="15" spans="2:49" x14ac:dyDescent="0.15">
      <c r="B15" s="2" t="s">
        <v>620</v>
      </c>
      <c r="M15" s="50"/>
      <c r="R15" s="2" t="s">
        <v>627</v>
      </c>
      <c r="T15" s="2" t="s">
        <v>742</v>
      </c>
      <c r="AJ15" s="46">
        <f t="shared" si="13"/>
        <v>2</v>
      </c>
      <c r="AK15" s="46">
        <f t="shared" si="14"/>
        <v>28</v>
      </c>
      <c r="AL15" s="157">
        <f t="shared" si="15"/>
        <v>4.4000000000000004</v>
      </c>
      <c r="AM15" s="155">
        <f t="shared" si="16"/>
        <v>0</v>
      </c>
      <c r="AN15" s="155">
        <f t="shared" si="17"/>
        <v>29</v>
      </c>
      <c r="AO15" s="155">
        <f t="shared" si="18"/>
        <v>1</v>
      </c>
      <c r="AP15" s="48">
        <f t="shared" si="19"/>
        <v>29</v>
      </c>
      <c r="AQ15" s="49">
        <f t="shared" si="20"/>
        <v>28</v>
      </c>
      <c r="AR15" s="49">
        <f t="shared" si="21"/>
        <v>6.2142857142857144</v>
      </c>
      <c r="AS15" s="41" t="str">
        <f t="shared" si="22"/>
        <v>1-23</v>
      </c>
      <c r="AT15" s="50">
        <f t="shared" si="23"/>
        <v>29.0015</v>
      </c>
      <c r="AU15" s="2">
        <f t="shared" si="24"/>
        <v>15</v>
      </c>
      <c r="AV15" s="96" t="str">
        <f t="shared" si="25"/>
        <v/>
      </c>
      <c r="AW15" s="2">
        <f t="shared" si="26"/>
        <v>0</v>
      </c>
    </row>
    <row r="16" spans="2:49" x14ac:dyDescent="0.15">
      <c r="B16" s="2" t="s">
        <v>301</v>
      </c>
      <c r="M16" s="50"/>
      <c r="AJ16" s="46">
        <f t="shared" si="13"/>
        <v>0</v>
      </c>
      <c r="AK16" s="46">
        <f t="shared" si="14"/>
        <v>0</v>
      </c>
      <c r="AL16" s="157">
        <f t="shared" si="15"/>
        <v>0</v>
      </c>
      <c r="AM16" s="155">
        <f t="shared" si="16"/>
        <v>0</v>
      </c>
      <c r="AN16" s="155">
        <f t="shared" si="17"/>
        <v>0</v>
      </c>
      <c r="AO16" s="155">
        <f t="shared" si="18"/>
        <v>0</v>
      </c>
      <c r="AP16" s="48" t="str">
        <f t="shared" si="19"/>
        <v/>
      </c>
      <c r="AQ16" s="49" t="str">
        <f t="shared" si="20"/>
        <v/>
      </c>
      <c r="AR16" s="49" t="str">
        <f t="shared" si="21"/>
        <v/>
      </c>
      <c r="AS16" s="41" t="str">
        <f t="shared" si="22"/>
        <v/>
      </c>
      <c r="AT16" s="50">
        <f t="shared" si="23"/>
        <v>99999.001600000003</v>
      </c>
      <c r="AU16" s="2">
        <f t="shared" si="24"/>
        <v>33</v>
      </c>
      <c r="AV16" s="96" t="str">
        <f t="shared" si="25"/>
        <v/>
      </c>
      <c r="AW16" s="2">
        <f t="shared" si="26"/>
        <v>0</v>
      </c>
    </row>
    <row r="17" spans="2:49" x14ac:dyDescent="0.15">
      <c r="B17" s="2" t="s">
        <v>368</v>
      </c>
      <c r="C17" s="2" t="s">
        <v>369</v>
      </c>
      <c r="M17" s="50"/>
      <c r="T17" s="2" t="s">
        <v>738</v>
      </c>
      <c r="V17" s="2" t="s">
        <v>675</v>
      </c>
      <c r="AJ17" s="46">
        <f t="shared" si="13"/>
        <v>3</v>
      </c>
      <c r="AK17" s="46">
        <f t="shared" si="14"/>
        <v>27</v>
      </c>
      <c r="AL17" s="157">
        <f t="shared" si="15"/>
        <v>4.3</v>
      </c>
      <c r="AM17" s="155">
        <f t="shared" si="16"/>
        <v>0</v>
      </c>
      <c r="AN17" s="155">
        <f t="shared" si="17"/>
        <v>36</v>
      </c>
      <c r="AO17" s="155">
        <f t="shared" si="18"/>
        <v>0</v>
      </c>
      <c r="AP17" s="48" t="str">
        <f t="shared" si="19"/>
        <v/>
      </c>
      <c r="AQ17" s="49" t="str">
        <f t="shared" si="20"/>
        <v/>
      </c>
      <c r="AR17" s="49">
        <f t="shared" si="21"/>
        <v>8</v>
      </c>
      <c r="AS17" s="41" t="str">
        <f t="shared" si="22"/>
        <v>0-5</v>
      </c>
      <c r="AT17" s="50">
        <f t="shared" si="23"/>
        <v>1027.0017</v>
      </c>
      <c r="AU17" s="2">
        <f t="shared" si="24"/>
        <v>25</v>
      </c>
      <c r="AV17" s="96" t="str">
        <f t="shared" si="25"/>
        <v/>
      </c>
      <c r="AW17" s="2">
        <f t="shared" si="26"/>
        <v>0</v>
      </c>
    </row>
    <row r="18" spans="2:49" x14ac:dyDescent="0.15">
      <c r="B18" s="2" t="s">
        <v>251</v>
      </c>
      <c r="M18" s="50"/>
      <c r="AJ18" s="46">
        <f t="shared" si="13"/>
        <v>0</v>
      </c>
      <c r="AK18" s="46">
        <f t="shared" si="14"/>
        <v>0</v>
      </c>
      <c r="AL18" s="157">
        <f t="shared" si="15"/>
        <v>0</v>
      </c>
      <c r="AM18" s="155">
        <f t="shared" si="16"/>
        <v>0</v>
      </c>
      <c r="AN18" s="155">
        <f t="shared" si="17"/>
        <v>0</v>
      </c>
      <c r="AO18" s="155">
        <f t="shared" si="18"/>
        <v>0</v>
      </c>
      <c r="AP18" s="48" t="str">
        <f t="shared" si="19"/>
        <v/>
      </c>
      <c r="AQ18" s="49" t="str">
        <f t="shared" si="20"/>
        <v/>
      </c>
      <c r="AR18" s="49" t="str">
        <f t="shared" si="21"/>
        <v/>
      </c>
      <c r="AS18" s="41" t="str">
        <f t="shared" si="22"/>
        <v/>
      </c>
      <c r="AT18" s="50">
        <f t="shared" si="23"/>
        <v>99999.001799999998</v>
      </c>
      <c r="AU18" s="2">
        <f t="shared" si="24"/>
        <v>34</v>
      </c>
      <c r="AV18" s="96" t="str">
        <f t="shared" si="25"/>
        <v/>
      </c>
      <c r="AW18" s="2">
        <f t="shared" si="26"/>
        <v>0</v>
      </c>
    </row>
    <row r="19" spans="2:49" x14ac:dyDescent="0.15">
      <c r="B19" s="2" t="s">
        <v>161</v>
      </c>
      <c r="F19" s="2" t="s">
        <v>394</v>
      </c>
      <c r="M19" s="50"/>
      <c r="AJ19" s="46">
        <f t="shared" si="13"/>
        <v>1</v>
      </c>
      <c r="AK19" s="46">
        <f t="shared" si="14"/>
        <v>18</v>
      </c>
      <c r="AL19" s="157">
        <f t="shared" si="15"/>
        <v>3</v>
      </c>
      <c r="AM19" s="155">
        <f t="shared" si="16"/>
        <v>0</v>
      </c>
      <c r="AN19" s="155">
        <f t="shared" si="17"/>
        <v>36</v>
      </c>
      <c r="AO19" s="155">
        <f t="shared" si="18"/>
        <v>0</v>
      </c>
      <c r="AP19" s="48" t="str">
        <f t="shared" si="19"/>
        <v/>
      </c>
      <c r="AQ19" s="49" t="str">
        <f t="shared" si="20"/>
        <v/>
      </c>
      <c r="AR19" s="49">
        <f t="shared" si="21"/>
        <v>12</v>
      </c>
      <c r="AS19" s="41" t="str">
        <f t="shared" si="22"/>
        <v>0-36</v>
      </c>
      <c r="AT19" s="50">
        <f t="shared" si="23"/>
        <v>1018.0019</v>
      </c>
      <c r="AU19" s="2">
        <f t="shared" si="24"/>
        <v>23</v>
      </c>
      <c r="AV19" s="96" t="str">
        <f t="shared" si="25"/>
        <v/>
      </c>
      <c r="AW19" s="2">
        <f t="shared" si="26"/>
        <v>0</v>
      </c>
    </row>
    <row r="20" spans="2:49" x14ac:dyDescent="0.15">
      <c r="B20" s="2" t="s">
        <v>342</v>
      </c>
      <c r="M20" s="50"/>
      <c r="AJ20" s="46">
        <f t="shared" si="13"/>
        <v>0</v>
      </c>
      <c r="AK20" s="46">
        <f t="shared" si="14"/>
        <v>0</v>
      </c>
      <c r="AL20" s="157">
        <f t="shared" si="15"/>
        <v>0</v>
      </c>
      <c r="AM20" s="155">
        <f t="shared" si="16"/>
        <v>0</v>
      </c>
      <c r="AN20" s="155">
        <f t="shared" si="17"/>
        <v>0</v>
      </c>
      <c r="AO20" s="155">
        <f t="shared" si="18"/>
        <v>0</v>
      </c>
      <c r="AP20" s="48" t="str">
        <f t="shared" si="19"/>
        <v/>
      </c>
      <c r="AQ20" s="49" t="str">
        <f t="shared" si="20"/>
        <v/>
      </c>
      <c r="AR20" s="49" t="str">
        <f t="shared" si="21"/>
        <v/>
      </c>
      <c r="AS20" s="41" t="str">
        <f t="shared" si="22"/>
        <v/>
      </c>
      <c r="AT20" s="50">
        <f t="shared" si="23"/>
        <v>99999.001999999993</v>
      </c>
      <c r="AU20" s="2">
        <f t="shared" si="24"/>
        <v>35</v>
      </c>
      <c r="AV20" s="96" t="str">
        <f t="shared" si="25"/>
        <v/>
      </c>
      <c r="AW20" s="2">
        <f t="shared" si="26"/>
        <v>0</v>
      </c>
    </row>
    <row r="21" spans="2:49" x14ac:dyDescent="0.15">
      <c r="B21" s="2" t="s">
        <v>604</v>
      </c>
      <c r="M21" s="50"/>
      <c r="Q21" s="2" t="s">
        <v>609</v>
      </c>
      <c r="R21" s="2" t="s">
        <v>621</v>
      </c>
      <c r="AJ21" s="46">
        <f t="shared" si="13"/>
        <v>2</v>
      </c>
      <c r="AK21" s="46">
        <f t="shared" si="14"/>
        <v>80</v>
      </c>
      <c r="AL21" s="157">
        <f t="shared" si="15"/>
        <v>13.2</v>
      </c>
      <c r="AM21" s="155">
        <f t="shared" si="16"/>
        <v>4</v>
      </c>
      <c r="AN21" s="155">
        <f t="shared" si="17"/>
        <v>41</v>
      </c>
      <c r="AO21" s="155">
        <f t="shared" si="18"/>
        <v>4</v>
      </c>
      <c r="AP21" s="48">
        <f t="shared" si="19"/>
        <v>10.25</v>
      </c>
      <c r="AQ21" s="49">
        <f t="shared" si="20"/>
        <v>20</v>
      </c>
      <c r="AR21" s="49">
        <f t="shared" si="21"/>
        <v>3.0750000000000002</v>
      </c>
      <c r="AS21" s="41" t="str">
        <f t="shared" si="22"/>
        <v>3-17</v>
      </c>
      <c r="AT21" s="50">
        <f t="shared" si="23"/>
        <v>10.2521</v>
      </c>
      <c r="AU21" s="2">
        <f t="shared" si="24"/>
        <v>3</v>
      </c>
      <c r="AV21" s="96" t="str">
        <f t="shared" si="25"/>
        <v/>
      </c>
      <c r="AW21" s="2">
        <f t="shared" si="26"/>
        <v>0</v>
      </c>
    </row>
    <row r="22" spans="2:49" x14ac:dyDescent="0.15">
      <c r="B22" s="2" t="s">
        <v>302</v>
      </c>
      <c r="C22" s="2" t="s">
        <v>367</v>
      </c>
      <c r="J22" s="2" t="s">
        <v>485</v>
      </c>
      <c r="K22" s="2" t="s">
        <v>491</v>
      </c>
      <c r="L22" s="2" t="s">
        <v>518</v>
      </c>
      <c r="M22" s="50" t="s">
        <v>536</v>
      </c>
      <c r="R22" s="2" t="s">
        <v>626</v>
      </c>
      <c r="S22" s="2" t="s">
        <v>644</v>
      </c>
      <c r="T22" s="2" t="s">
        <v>739</v>
      </c>
      <c r="V22" s="2" t="s">
        <v>673</v>
      </c>
      <c r="W22" s="2" t="s">
        <v>747</v>
      </c>
      <c r="AJ22" s="46">
        <f t="shared" si="13"/>
        <v>10</v>
      </c>
      <c r="AK22" s="46">
        <f t="shared" si="14"/>
        <v>303</v>
      </c>
      <c r="AL22" s="157">
        <f t="shared" si="15"/>
        <v>50.3</v>
      </c>
      <c r="AM22" s="155">
        <f t="shared" si="16"/>
        <v>4</v>
      </c>
      <c r="AN22" s="155">
        <f t="shared" si="17"/>
        <v>189</v>
      </c>
      <c r="AO22" s="155">
        <f t="shared" si="18"/>
        <v>11</v>
      </c>
      <c r="AP22" s="48">
        <f t="shared" si="19"/>
        <v>17.18</v>
      </c>
      <c r="AQ22" s="49">
        <f t="shared" si="20"/>
        <v>27.545454545454547</v>
      </c>
      <c r="AR22" s="49">
        <f t="shared" si="21"/>
        <v>3.7425742574257428</v>
      </c>
      <c r="AS22" s="41" t="str">
        <f t="shared" si="22"/>
        <v>3-21</v>
      </c>
      <c r="AT22" s="50">
        <f t="shared" si="23"/>
        <v>17.182199999999998</v>
      </c>
      <c r="AU22" s="2">
        <f t="shared" si="24"/>
        <v>6</v>
      </c>
      <c r="AV22" s="96">
        <f t="shared" si="25"/>
        <v>7.9207920792079209E-2</v>
      </c>
      <c r="AW22" s="2">
        <f t="shared" si="26"/>
        <v>0</v>
      </c>
    </row>
    <row r="23" spans="2:49" x14ac:dyDescent="0.15">
      <c r="B23" s="2" t="s">
        <v>218</v>
      </c>
      <c r="C23" s="2" t="s">
        <v>365</v>
      </c>
      <c r="D23" s="2" t="s">
        <v>441</v>
      </c>
      <c r="F23" s="2" t="s">
        <v>390</v>
      </c>
      <c r="G23" s="2" t="s">
        <v>433</v>
      </c>
      <c r="I23" s="2" t="s">
        <v>470</v>
      </c>
      <c r="J23" s="2" t="s">
        <v>473</v>
      </c>
      <c r="K23" s="2" t="s">
        <v>329</v>
      </c>
      <c r="O23" s="2" t="s">
        <v>589</v>
      </c>
      <c r="R23" s="2" t="s">
        <v>622</v>
      </c>
      <c r="T23" s="2" t="s">
        <v>736</v>
      </c>
      <c r="W23" s="2" t="s">
        <v>745</v>
      </c>
      <c r="AJ23" s="46">
        <f t="shared" si="13"/>
        <v>11</v>
      </c>
      <c r="AK23" s="46">
        <f t="shared" si="14"/>
        <v>468</v>
      </c>
      <c r="AL23" s="157">
        <f t="shared" si="15"/>
        <v>78</v>
      </c>
      <c r="AM23" s="155">
        <f t="shared" si="16"/>
        <v>5</v>
      </c>
      <c r="AN23" s="155">
        <f t="shared" si="17"/>
        <v>270</v>
      </c>
      <c r="AO23" s="155">
        <f t="shared" si="18"/>
        <v>8</v>
      </c>
      <c r="AP23" s="48">
        <f t="shared" si="19"/>
        <v>33.75</v>
      </c>
      <c r="AQ23" s="49">
        <f t="shared" si="20"/>
        <v>58.5</v>
      </c>
      <c r="AR23" s="49">
        <f t="shared" si="21"/>
        <v>3.4615384615384617</v>
      </c>
      <c r="AS23" s="41" t="str">
        <f t="shared" si="22"/>
        <v>2-15</v>
      </c>
      <c r="AT23" s="50">
        <f t="shared" si="23"/>
        <v>33.752299999999998</v>
      </c>
      <c r="AU23" s="2">
        <f t="shared" si="24"/>
        <v>17</v>
      </c>
      <c r="AV23" s="96">
        <f t="shared" si="25"/>
        <v>6.4102564102564097E-2</v>
      </c>
      <c r="AW23" s="2">
        <f t="shared" si="26"/>
        <v>0</v>
      </c>
    </row>
    <row r="24" spans="2:49" x14ac:dyDescent="0.15">
      <c r="B24" s="2" t="s">
        <v>201</v>
      </c>
      <c r="G24" s="2" t="s">
        <v>317</v>
      </c>
      <c r="M24" s="50"/>
      <c r="O24" s="2" t="s">
        <v>592</v>
      </c>
      <c r="AJ24" s="46">
        <f t="shared" si="13"/>
        <v>2</v>
      </c>
      <c r="AK24" s="46">
        <f t="shared" si="14"/>
        <v>48</v>
      </c>
      <c r="AL24" s="157">
        <f t="shared" si="15"/>
        <v>8</v>
      </c>
      <c r="AM24" s="155">
        <f t="shared" si="16"/>
        <v>0</v>
      </c>
      <c r="AN24" s="155">
        <f t="shared" si="17"/>
        <v>41</v>
      </c>
      <c r="AO24" s="155">
        <f t="shared" si="18"/>
        <v>2</v>
      </c>
      <c r="AP24" s="48">
        <f t="shared" si="19"/>
        <v>20.5</v>
      </c>
      <c r="AQ24" s="49">
        <f t="shared" si="20"/>
        <v>24</v>
      </c>
      <c r="AR24" s="49">
        <f t="shared" si="21"/>
        <v>5.125</v>
      </c>
      <c r="AS24" s="41" t="str">
        <f t="shared" si="22"/>
        <v>2-26</v>
      </c>
      <c r="AT24" s="50">
        <f t="shared" si="23"/>
        <v>20.502400000000002</v>
      </c>
      <c r="AU24" s="2">
        <f t="shared" si="24"/>
        <v>9</v>
      </c>
      <c r="AV24" s="96" t="str">
        <f t="shared" si="25"/>
        <v/>
      </c>
      <c r="AW24" s="2">
        <f t="shared" si="26"/>
        <v>0</v>
      </c>
    </row>
    <row r="25" spans="2:49" x14ac:dyDescent="0.15">
      <c r="B25" s="2" t="s">
        <v>206</v>
      </c>
      <c r="C25" s="2" t="s">
        <v>364</v>
      </c>
      <c r="E25" s="2" t="s">
        <v>416</v>
      </c>
      <c r="F25" s="2" t="s">
        <v>391</v>
      </c>
      <c r="G25" s="2" t="s">
        <v>430</v>
      </c>
      <c r="I25" s="2" t="s">
        <v>326</v>
      </c>
      <c r="L25" s="2" t="s">
        <v>516</v>
      </c>
      <c r="M25" s="50" t="s">
        <v>532</v>
      </c>
      <c r="N25" s="2" t="s">
        <v>549</v>
      </c>
      <c r="P25" s="2" t="s">
        <v>583</v>
      </c>
      <c r="Q25" s="2" t="s">
        <v>611</v>
      </c>
      <c r="V25" s="2" t="s">
        <v>672</v>
      </c>
      <c r="AJ25" s="46">
        <f t="shared" si="13"/>
        <v>11</v>
      </c>
      <c r="AK25" s="46">
        <f t="shared" si="14"/>
        <v>392</v>
      </c>
      <c r="AL25" s="157">
        <f t="shared" si="15"/>
        <v>65.2</v>
      </c>
      <c r="AM25" s="155">
        <f t="shared" si="16"/>
        <v>10</v>
      </c>
      <c r="AN25" s="155">
        <f t="shared" si="17"/>
        <v>210</v>
      </c>
      <c r="AO25" s="155">
        <f t="shared" si="18"/>
        <v>22</v>
      </c>
      <c r="AP25" s="48">
        <f t="shared" si="19"/>
        <v>9.5500000000000007</v>
      </c>
      <c r="AQ25" s="49">
        <f t="shared" si="20"/>
        <v>17.818181818181817</v>
      </c>
      <c r="AR25" s="49">
        <f t="shared" si="21"/>
        <v>3.2142857142857144</v>
      </c>
      <c r="AS25" s="41" t="str">
        <f t="shared" si="22"/>
        <v>4-23</v>
      </c>
      <c r="AT25" s="50">
        <f t="shared" si="23"/>
        <v>9.5525000000000002</v>
      </c>
      <c r="AU25" s="2">
        <f t="shared" si="24"/>
        <v>2</v>
      </c>
      <c r="AV25" s="96">
        <f t="shared" si="25"/>
        <v>0.15306122448979592</v>
      </c>
      <c r="AW25" s="2">
        <f t="shared" si="26"/>
        <v>0</v>
      </c>
    </row>
    <row r="26" spans="2:49" x14ac:dyDescent="0.15">
      <c r="B26" s="2" t="s">
        <v>245</v>
      </c>
      <c r="M26" s="50"/>
      <c r="AJ26" s="46">
        <f t="shared" si="13"/>
        <v>0</v>
      </c>
      <c r="AK26" s="46">
        <f t="shared" si="14"/>
        <v>0</v>
      </c>
      <c r="AL26" s="157">
        <f t="shared" si="15"/>
        <v>0</v>
      </c>
      <c r="AM26" s="155">
        <f t="shared" si="16"/>
        <v>0</v>
      </c>
      <c r="AN26" s="155">
        <f t="shared" si="17"/>
        <v>0</v>
      </c>
      <c r="AO26" s="155">
        <f t="shared" si="18"/>
        <v>0</v>
      </c>
      <c r="AP26" s="48" t="str">
        <f t="shared" si="19"/>
        <v/>
      </c>
      <c r="AQ26" s="49" t="str">
        <f t="shared" si="20"/>
        <v/>
      </c>
      <c r="AR26" s="49" t="str">
        <f t="shared" si="21"/>
        <v/>
      </c>
      <c r="AS26" s="41" t="str">
        <f t="shared" si="22"/>
        <v/>
      </c>
      <c r="AT26" s="50">
        <f t="shared" si="23"/>
        <v>99999.002600000007</v>
      </c>
      <c r="AU26" s="2">
        <f t="shared" si="24"/>
        <v>36</v>
      </c>
      <c r="AV26" s="96" t="str">
        <f t="shared" si="25"/>
        <v/>
      </c>
      <c r="AW26" s="2">
        <f t="shared" si="26"/>
        <v>0</v>
      </c>
    </row>
    <row r="27" spans="2:49" x14ac:dyDescent="0.15">
      <c r="B27" s="2" t="s">
        <v>234</v>
      </c>
      <c r="M27" s="50"/>
      <c r="V27" s="2" t="s">
        <v>670</v>
      </c>
      <c r="AJ27" s="46">
        <f t="shared" si="13"/>
        <v>1</v>
      </c>
      <c r="AK27" s="46">
        <f t="shared" si="14"/>
        <v>48</v>
      </c>
      <c r="AL27" s="157">
        <f t="shared" si="15"/>
        <v>8</v>
      </c>
      <c r="AM27" s="155">
        <f t="shared" si="16"/>
        <v>1</v>
      </c>
      <c r="AN27" s="155">
        <f t="shared" si="17"/>
        <v>25</v>
      </c>
      <c r="AO27" s="155">
        <f t="shared" si="18"/>
        <v>2</v>
      </c>
      <c r="AP27" s="48">
        <f t="shared" si="19"/>
        <v>12.5</v>
      </c>
      <c r="AQ27" s="49">
        <f t="shared" si="20"/>
        <v>24</v>
      </c>
      <c r="AR27" s="49">
        <f t="shared" si="21"/>
        <v>3.125</v>
      </c>
      <c r="AS27" s="41" t="str">
        <f t="shared" si="22"/>
        <v>2-25</v>
      </c>
      <c r="AT27" s="50">
        <f t="shared" si="23"/>
        <v>12.502700000000001</v>
      </c>
      <c r="AU27" s="2">
        <f t="shared" si="24"/>
        <v>4</v>
      </c>
      <c r="AV27" s="96" t="str">
        <f t="shared" si="25"/>
        <v/>
      </c>
      <c r="AW27" s="2">
        <f t="shared" si="26"/>
        <v>0</v>
      </c>
    </row>
    <row r="28" spans="2:49" x14ac:dyDescent="0.15">
      <c r="B28" s="2" t="s">
        <v>383</v>
      </c>
      <c r="E28" s="2" t="s">
        <v>419</v>
      </c>
      <c r="F28" s="2" t="s">
        <v>396</v>
      </c>
      <c r="K28" s="2" t="s">
        <v>492</v>
      </c>
      <c r="M28" s="50"/>
      <c r="V28" s="2" t="s">
        <v>369</v>
      </c>
      <c r="W28" s="2" t="s">
        <v>369</v>
      </c>
      <c r="AJ28" s="46">
        <f t="shared" si="13"/>
        <v>5</v>
      </c>
      <c r="AK28" s="46">
        <f t="shared" si="14"/>
        <v>88</v>
      </c>
      <c r="AL28" s="157">
        <f t="shared" si="15"/>
        <v>14.4</v>
      </c>
      <c r="AM28" s="155">
        <f t="shared" si="16"/>
        <v>1</v>
      </c>
      <c r="AN28" s="155">
        <f t="shared" si="17"/>
        <v>70</v>
      </c>
      <c r="AO28" s="155">
        <f t="shared" si="18"/>
        <v>2</v>
      </c>
      <c r="AP28" s="48">
        <f t="shared" si="19"/>
        <v>35</v>
      </c>
      <c r="AQ28" s="49">
        <f t="shared" si="20"/>
        <v>44</v>
      </c>
      <c r="AR28" s="49">
        <f t="shared" si="21"/>
        <v>4.7727272727272725</v>
      </c>
      <c r="AS28" s="41" t="str">
        <f t="shared" si="22"/>
        <v>2-6</v>
      </c>
      <c r="AT28" s="50">
        <f t="shared" si="23"/>
        <v>35.002800000000001</v>
      </c>
      <c r="AU28" s="2">
        <f t="shared" si="24"/>
        <v>18</v>
      </c>
      <c r="AV28" s="96" t="str">
        <f t="shared" si="25"/>
        <v/>
      </c>
      <c r="AW28" s="2">
        <f t="shared" si="26"/>
        <v>0</v>
      </c>
    </row>
    <row r="29" spans="2:49" ht="12" x14ac:dyDescent="0.2">
      <c r="B29" s="2" t="s">
        <v>373</v>
      </c>
      <c r="D29" s="2" t="s">
        <v>444</v>
      </c>
      <c r="I29" s="2" t="s">
        <v>474</v>
      </c>
      <c r="M29" s="50" t="s">
        <v>535</v>
      </c>
      <c r="P29" s="2" t="s">
        <v>585</v>
      </c>
      <c r="S29" s="184" t="s">
        <v>646</v>
      </c>
      <c r="T29" s="2" t="s">
        <v>743</v>
      </c>
      <c r="W29" s="2" t="s">
        <v>748</v>
      </c>
      <c r="AJ29" s="46">
        <f t="shared" si="13"/>
        <v>7</v>
      </c>
      <c r="AK29" s="46">
        <f t="shared" si="14"/>
        <v>90</v>
      </c>
      <c r="AL29" s="157">
        <f t="shared" si="15"/>
        <v>15</v>
      </c>
      <c r="AM29" s="155">
        <f t="shared" si="16"/>
        <v>0</v>
      </c>
      <c r="AN29" s="155">
        <f t="shared" si="17"/>
        <v>122</v>
      </c>
      <c r="AO29" s="155">
        <f t="shared" si="18"/>
        <v>3</v>
      </c>
      <c r="AP29" s="48">
        <f t="shared" si="19"/>
        <v>40.67</v>
      </c>
      <c r="AQ29" s="49">
        <f t="shared" si="20"/>
        <v>30</v>
      </c>
      <c r="AR29" s="49">
        <f t="shared" si="21"/>
        <v>8.1333333333333329</v>
      </c>
      <c r="AS29" s="41" t="str">
        <f t="shared" si="22"/>
        <v>2-29</v>
      </c>
      <c r="AT29" s="50">
        <f t="shared" si="23"/>
        <v>40.672899999999998</v>
      </c>
      <c r="AU29" s="2">
        <f t="shared" si="24"/>
        <v>19</v>
      </c>
      <c r="AV29" s="96" t="str">
        <f t="shared" si="25"/>
        <v/>
      </c>
      <c r="AW29" s="2">
        <f t="shared" si="26"/>
        <v>0</v>
      </c>
    </row>
    <row r="30" spans="2:49" x14ac:dyDescent="0.15">
      <c r="B30" s="2" t="s">
        <v>564</v>
      </c>
      <c r="M30" s="50"/>
      <c r="O30" s="2" t="s">
        <v>591</v>
      </c>
      <c r="AJ30" s="46">
        <f t="shared" si="13"/>
        <v>1</v>
      </c>
      <c r="AK30" s="46">
        <f t="shared" si="14"/>
        <v>48</v>
      </c>
      <c r="AL30" s="157">
        <f t="shared" si="15"/>
        <v>8</v>
      </c>
      <c r="AM30" s="155">
        <f t="shared" si="16"/>
        <v>0</v>
      </c>
      <c r="AN30" s="155">
        <f t="shared" si="17"/>
        <v>52</v>
      </c>
      <c r="AO30" s="155">
        <f t="shared" si="18"/>
        <v>0</v>
      </c>
      <c r="AP30" s="48" t="str">
        <f t="shared" si="19"/>
        <v/>
      </c>
      <c r="AQ30" s="49" t="str">
        <f t="shared" si="20"/>
        <v/>
      </c>
      <c r="AR30" s="49">
        <f t="shared" si="21"/>
        <v>6.5</v>
      </c>
      <c r="AS30" s="41" t="str">
        <f t="shared" si="22"/>
        <v>0-52</v>
      </c>
      <c r="AT30" s="50">
        <f t="shared" si="23"/>
        <v>1048.0029999999999</v>
      </c>
      <c r="AU30" s="2">
        <f t="shared" si="24"/>
        <v>27</v>
      </c>
      <c r="AV30" s="96" t="str">
        <f t="shared" si="25"/>
        <v/>
      </c>
      <c r="AW30" s="2">
        <f t="shared" si="26"/>
        <v>0</v>
      </c>
    </row>
    <row r="31" spans="2:49" x14ac:dyDescent="0.15">
      <c r="B31" s="2" t="s">
        <v>529</v>
      </c>
      <c r="M31" s="50" t="s">
        <v>533</v>
      </c>
      <c r="AJ31" s="46">
        <f t="shared" si="13"/>
        <v>1</v>
      </c>
      <c r="AK31" s="46">
        <f t="shared" si="14"/>
        <v>18</v>
      </c>
      <c r="AL31" s="157">
        <f t="shared" si="15"/>
        <v>3</v>
      </c>
      <c r="AM31" s="155">
        <f t="shared" si="16"/>
        <v>0</v>
      </c>
      <c r="AN31" s="155">
        <f t="shared" si="17"/>
        <v>12</v>
      </c>
      <c r="AO31" s="155">
        <f t="shared" si="18"/>
        <v>2</v>
      </c>
      <c r="AP31" s="48">
        <f t="shared" si="19"/>
        <v>6</v>
      </c>
      <c r="AQ31" s="49">
        <f t="shared" si="20"/>
        <v>9</v>
      </c>
      <c r="AR31" s="49">
        <f t="shared" si="21"/>
        <v>4</v>
      </c>
      <c r="AS31" s="41" t="str">
        <f t="shared" si="22"/>
        <v>2-12</v>
      </c>
      <c r="AT31" s="50">
        <f t="shared" si="23"/>
        <v>6.0030999999999999</v>
      </c>
      <c r="AU31" s="2">
        <f t="shared" si="24"/>
        <v>1</v>
      </c>
      <c r="AV31" s="96" t="str">
        <f t="shared" si="25"/>
        <v/>
      </c>
      <c r="AW31" s="2">
        <f t="shared" si="26"/>
        <v>0</v>
      </c>
    </row>
    <row r="32" spans="2:49" x14ac:dyDescent="0.15">
      <c r="B32" s="2" t="s">
        <v>314</v>
      </c>
      <c r="E32" s="2" t="s">
        <v>415</v>
      </c>
      <c r="K32" s="2" t="s">
        <v>490</v>
      </c>
      <c r="M32" s="50"/>
      <c r="N32" s="2" t="s">
        <v>548</v>
      </c>
      <c r="Q32" s="2" t="s">
        <v>607</v>
      </c>
      <c r="S32" s="2" t="s">
        <v>640</v>
      </c>
      <c r="AJ32" s="46">
        <f t="shared" si="13"/>
        <v>5</v>
      </c>
      <c r="AK32" s="46">
        <f t="shared" si="14"/>
        <v>204</v>
      </c>
      <c r="AL32" s="157">
        <f t="shared" si="15"/>
        <v>34</v>
      </c>
      <c r="AM32" s="155">
        <f t="shared" si="16"/>
        <v>3</v>
      </c>
      <c r="AN32" s="155">
        <f t="shared" si="17"/>
        <v>150</v>
      </c>
      <c r="AO32" s="155">
        <f t="shared" si="18"/>
        <v>8</v>
      </c>
      <c r="AP32" s="48">
        <f t="shared" si="19"/>
        <v>18.75</v>
      </c>
      <c r="AQ32" s="49">
        <f t="shared" si="20"/>
        <v>25.5</v>
      </c>
      <c r="AR32" s="49">
        <f t="shared" si="21"/>
        <v>4.4117647058823533</v>
      </c>
      <c r="AS32" s="41" t="str">
        <f t="shared" si="22"/>
        <v>3-23</v>
      </c>
      <c r="AT32" s="50">
        <f t="shared" si="23"/>
        <v>18.7532</v>
      </c>
      <c r="AU32" s="2">
        <f t="shared" si="24"/>
        <v>7</v>
      </c>
      <c r="AV32" s="96">
        <f t="shared" si="25"/>
        <v>8.8235294117647051E-2</v>
      </c>
      <c r="AW32" s="2">
        <f t="shared" si="26"/>
        <v>0</v>
      </c>
    </row>
    <row r="33" spans="1:16334" x14ac:dyDescent="0.15">
      <c r="B33" s="2" t="s">
        <v>296</v>
      </c>
      <c r="M33" s="50"/>
      <c r="AJ33" s="46">
        <f t="shared" si="13"/>
        <v>0</v>
      </c>
      <c r="AK33" s="46">
        <f t="shared" si="14"/>
        <v>0</v>
      </c>
      <c r="AL33" s="157">
        <f t="shared" si="15"/>
        <v>0</v>
      </c>
      <c r="AM33" s="155">
        <f t="shared" si="16"/>
        <v>0</v>
      </c>
      <c r="AN33" s="155">
        <f t="shared" si="17"/>
        <v>0</v>
      </c>
      <c r="AO33" s="155">
        <f t="shared" si="18"/>
        <v>0</v>
      </c>
      <c r="AP33" s="48" t="str">
        <f t="shared" si="19"/>
        <v/>
      </c>
      <c r="AQ33" s="49" t="str">
        <f t="shared" si="20"/>
        <v/>
      </c>
      <c r="AR33" s="49" t="str">
        <f t="shared" si="21"/>
        <v/>
      </c>
      <c r="AS33" s="41" t="str">
        <f t="shared" si="22"/>
        <v/>
      </c>
      <c r="AT33" s="50">
        <f t="shared" si="23"/>
        <v>99999.003299999997</v>
      </c>
      <c r="AU33" s="2">
        <f t="shared" si="24"/>
        <v>37</v>
      </c>
      <c r="AV33" s="96" t="str">
        <f t="shared" si="25"/>
        <v/>
      </c>
      <c r="AW33" s="2">
        <f t="shared" si="26"/>
        <v>0</v>
      </c>
    </row>
    <row r="34" spans="1:16334" x14ac:dyDescent="0.15">
      <c r="B34" s="2" t="s">
        <v>297</v>
      </c>
      <c r="E34" s="2" t="s">
        <v>418</v>
      </c>
      <c r="G34" s="2" t="s">
        <v>431</v>
      </c>
      <c r="J34" s="2" t="s">
        <v>483</v>
      </c>
      <c r="L34" s="2" t="s">
        <v>515</v>
      </c>
      <c r="M34" s="50"/>
      <c r="N34" s="2" t="s">
        <v>442</v>
      </c>
      <c r="P34" s="2" t="s">
        <v>584</v>
      </c>
      <c r="R34" s="2" t="s">
        <v>625</v>
      </c>
      <c r="S34" s="2" t="s">
        <v>643</v>
      </c>
      <c r="V34" s="2" t="s">
        <v>671</v>
      </c>
      <c r="AJ34" s="46">
        <f t="shared" si="13"/>
        <v>9</v>
      </c>
      <c r="AK34" s="46">
        <f t="shared" si="14"/>
        <v>318</v>
      </c>
      <c r="AL34" s="157">
        <f t="shared" si="15"/>
        <v>53</v>
      </c>
      <c r="AM34" s="155">
        <f t="shared" si="16"/>
        <v>11</v>
      </c>
      <c r="AN34" s="155">
        <f t="shared" si="17"/>
        <v>210</v>
      </c>
      <c r="AO34" s="155">
        <f t="shared" si="18"/>
        <v>9</v>
      </c>
      <c r="AP34" s="48">
        <f t="shared" si="19"/>
        <v>23.33</v>
      </c>
      <c r="AQ34" s="49">
        <f t="shared" si="20"/>
        <v>35.333333333333336</v>
      </c>
      <c r="AR34" s="49">
        <f t="shared" si="21"/>
        <v>3.9622641509433962</v>
      </c>
      <c r="AS34" s="41" t="str">
        <f t="shared" si="22"/>
        <v>4-26</v>
      </c>
      <c r="AT34" s="50">
        <f t="shared" si="23"/>
        <v>23.333399999999997</v>
      </c>
      <c r="AU34" s="2">
        <f t="shared" si="24"/>
        <v>11</v>
      </c>
      <c r="AV34" s="96">
        <f t="shared" si="25"/>
        <v>0.20754716981132076</v>
      </c>
      <c r="AW34" s="2">
        <f t="shared" si="26"/>
        <v>0</v>
      </c>
    </row>
    <row r="35" spans="1:16334" x14ac:dyDescent="0.15">
      <c r="B35" s="2" t="s">
        <v>254</v>
      </c>
      <c r="M35" s="50"/>
      <c r="AJ35" s="46">
        <f t="shared" si="13"/>
        <v>0</v>
      </c>
      <c r="AK35" s="46">
        <f t="shared" si="14"/>
        <v>0</v>
      </c>
      <c r="AL35" s="157">
        <f t="shared" si="15"/>
        <v>0</v>
      </c>
      <c r="AM35" s="155">
        <f t="shared" si="16"/>
        <v>0</v>
      </c>
      <c r="AN35" s="155">
        <f t="shared" si="17"/>
        <v>0</v>
      </c>
      <c r="AO35" s="155">
        <f t="shared" si="18"/>
        <v>0</v>
      </c>
      <c r="AP35" s="48" t="str">
        <f t="shared" si="19"/>
        <v/>
      </c>
      <c r="AQ35" s="49" t="str">
        <f t="shared" si="20"/>
        <v/>
      </c>
      <c r="AR35" s="49" t="str">
        <f t="shared" si="21"/>
        <v/>
      </c>
      <c r="AS35" s="41" t="str">
        <f t="shared" si="22"/>
        <v/>
      </c>
      <c r="AT35" s="50">
        <f t="shared" si="23"/>
        <v>99999.003500000006</v>
      </c>
      <c r="AU35" s="2">
        <f t="shared" si="24"/>
        <v>38</v>
      </c>
      <c r="AV35" s="96" t="str">
        <f t="shared" si="25"/>
        <v/>
      </c>
      <c r="AW35" s="2">
        <f t="shared" si="26"/>
        <v>0</v>
      </c>
    </row>
    <row r="36" spans="1:16334" x14ac:dyDescent="0.15">
      <c r="B36" s="2" t="s">
        <v>196</v>
      </c>
      <c r="D36" s="2" t="s">
        <v>443</v>
      </c>
      <c r="E36" s="2" t="s">
        <v>421</v>
      </c>
      <c r="G36" s="2" t="s">
        <v>434</v>
      </c>
      <c r="J36" s="2" t="s">
        <v>484</v>
      </c>
      <c r="L36" s="160" t="s">
        <v>517</v>
      </c>
      <c r="M36" s="50" t="s">
        <v>485</v>
      </c>
      <c r="O36" s="2" t="s">
        <v>593</v>
      </c>
      <c r="P36" s="2" t="s">
        <v>586</v>
      </c>
      <c r="Q36" s="2" t="s">
        <v>608</v>
      </c>
      <c r="R36" s="2" t="s">
        <v>624</v>
      </c>
      <c r="S36" s="2" t="s">
        <v>641</v>
      </c>
      <c r="T36" s="2" t="s">
        <v>740</v>
      </c>
      <c r="AJ36" s="46">
        <f t="shared" si="13"/>
        <v>12</v>
      </c>
      <c r="AK36" s="46">
        <f t="shared" si="14"/>
        <v>372</v>
      </c>
      <c r="AL36" s="157">
        <f t="shared" si="15"/>
        <v>62</v>
      </c>
      <c r="AM36" s="155">
        <f t="shared" si="16"/>
        <v>4</v>
      </c>
      <c r="AN36" s="155">
        <f t="shared" si="17"/>
        <v>282</v>
      </c>
      <c r="AO36" s="155">
        <f t="shared" si="18"/>
        <v>12</v>
      </c>
      <c r="AP36" s="48">
        <f t="shared" si="19"/>
        <v>23.5</v>
      </c>
      <c r="AQ36" s="49">
        <f t="shared" si="20"/>
        <v>31</v>
      </c>
      <c r="AR36" s="49">
        <f t="shared" si="21"/>
        <v>4.5483870967741939</v>
      </c>
      <c r="AS36" s="41" t="str">
        <f t="shared" si="22"/>
        <v>2-22</v>
      </c>
      <c r="AT36" s="50">
        <f t="shared" si="23"/>
        <v>23.503599999999999</v>
      </c>
      <c r="AU36" s="2">
        <f t="shared" si="24"/>
        <v>12</v>
      </c>
      <c r="AV36" s="96">
        <f t="shared" si="25"/>
        <v>6.4516129032258063E-2</v>
      </c>
      <c r="AW36" s="2">
        <f t="shared" si="26"/>
        <v>0</v>
      </c>
    </row>
    <row r="37" spans="1:16334" x14ac:dyDescent="0.15">
      <c r="B37" s="2" t="s">
        <v>259</v>
      </c>
      <c r="L37" s="160"/>
      <c r="M37" s="50" t="s">
        <v>537</v>
      </c>
      <c r="AJ37" s="46">
        <f t="shared" si="13"/>
        <v>1</v>
      </c>
      <c r="AK37" s="46">
        <f t="shared" si="14"/>
        <v>12</v>
      </c>
      <c r="AL37" s="157">
        <f t="shared" si="15"/>
        <v>2</v>
      </c>
      <c r="AM37" s="155">
        <f t="shared" si="16"/>
        <v>0</v>
      </c>
      <c r="AN37" s="155">
        <f t="shared" si="17"/>
        <v>13</v>
      </c>
      <c r="AO37" s="155">
        <f t="shared" si="18"/>
        <v>1</v>
      </c>
      <c r="AP37" s="48">
        <f t="shared" si="19"/>
        <v>13</v>
      </c>
      <c r="AQ37" s="49">
        <f t="shared" si="20"/>
        <v>12</v>
      </c>
      <c r="AR37" s="49">
        <f t="shared" si="21"/>
        <v>6.5</v>
      </c>
      <c r="AS37" s="41" t="str">
        <f t="shared" si="22"/>
        <v>1-13</v>
      </c>
      <c r="AT37" s="50">
        <f t="shared" si="23"/>
        <v>13.0037</v>
      </c>
      <c r="AU37" s="2">
        <f t="shared" si="24"/>
        <v>5</v>
      </c>
      <c r="AV37" s="96" t="str">
        <f t="shared" si="25"/>
        <v/>
      </c>
      <c r="AW37" s="2">
        <f t="shared" si="26"/>
        <v>0</v>
      </c>
    </row>
    <row r="38" spans="1:16334" x14ac:dyDescent="0.15">
      <c r="B38" s="2" t="s">
        <v>136</v>
      </c>
      <c r="C38" s="50"/>
      <c r="M38" s="50"/>
      <c r="S38" s="2" t="s">
        <v>647</v>
      </c>
      <c r="AJ38" s="46">
        <f t="shared" si="13"/>
        <v>1</v>
      </c>
      <c r="AK38" s="46">
        <f t="shared" si="14"/>
        <v>12</v>
      </c>
      <c r="AL38" s="157">
        <f t="shared" si="15"/>
        <v>2</v>
      </c>
      <c r="AM38" s="155">
        <f t="shared" si="16"/>
        <v>0</v>
      </c>
      <c r="AN38" s="155">
        <f t="shared" si="17"/>
        <v>28</v>
      </c>
      <c r="AO38" s="155">
        <f t="shared" si="18"/>
        <v>0</v>
      </c>
      <c r="AP38" s="48" t="str">
        <f t="shared" si="19"/>
        <v/>
      </c>
      <c r="AQ38" s="49" t="str">
        <f t="shared" si="20"/>
        <v/>
      </c>
      <c r="AR38" s="49">
        <f t="shared" si="21"/>
        <v>14</v>
      </c>
      <c r="AS38" s="41" t="str">
        <f t="shared" si="22"/>
        <v>0-28</v>
      </c>
      <c r="AT38" s="50">
        <f t="shared" si="23"/>
        <v>1012.0038</v>
      </c>
      <c r="AU38" s="2">
        <f t="shared" si="24"/>
        <v>20</v>
      </c>
      <c r="AV38" s="96" t="str">
        <f t="shared" si="25"/>
        <v/>
      </c>
      <c r="AW38" s="2">
        <f t="shared" si="26"/>
        <v>0</v>
      </c>
    </row>
    <row r="39" spans="1:16334" x14ac:dyDescent="0.15">
      <c r="B39" s="2" t="s">
        <v>272</v>
      </c>
      <c r="C39" s="50"/>
      <c r="M39" s="50"/>
      <c r="AJ39" s="46">
        <f t="shared" si="13"/>
        <v>0</v>
      </c>
      <c r="AK39" s="46">
        <f t="shared" si="14"/>
        <v>0</v>
      </c>
      <c r="AL39" s="157">
        <f t="shared" si="15"/>
        <v>0</v>
      </c>
      <c r="AM39" s="155">
        <f t="shared" si="16"/>
        <v>0</v>
      </c>
      <c r="AN39" s="155">
        <f t="shared" si="17"/>
        <v>0</v>
      </c>
      <c r="AO39" s="155">
        <f t="shared" si="18"/>
        <v>0</v>
      </c>
      <c r="AP39" s="48" t="str">
        <f t="shared" si="19"/>
        <v/>
      </c>
      <c r="AQ39" s="49" t="str">
        <f t="shared" si="20"/>
        <v/>
      </c>
      <c r="AR39" s="49" t="str">
        <f t="shared" si="21"/>
        <v/>
      </c>
      <c r="AS39" s="41" t="str">
        <f t="shared" si="22"/>
        <v/>
      </c>
      <c r="AT39" s="50">
        <f t="shared" si="23"/>
        <v>99999.003899999996</v>
      </c>
      <c r="AU39" s="2">
        <f t="shared" si="24"/>
        <v>39</v>
      </c>
      <c r="AV39" s="96" t="str">
        <f t="shared" si="25"/>
        <v/>
      </c>
      <c r="AW39" s="2">
        <f t="shared" si="26"/>
        <v>0</v>
      </c>
    </row>
    <row r="40" spans="1:16334" x14ac:dyDescent="0.15">
      <c r="B40" s="2" t="s">
        <v>189</v>
      </c>
      <c r="K40" s="2" t="s">
        <v>493</v>
      </c>
      <c r="M40" s="50"/>
      <c r="AJ40" s="46">
        <f t="shared" si="13"/>
        <v>1</v>
      </c>
      <c r="AK40" s="46">
        <f t="shared" si="14"/>
        <v>12</v>
      </c>
      <c r="AL40" s="157">
        <f t="shared" si="15"/>
        <v>2</v>
      </c>
      <c r="AM40" s="155">
        <f t="shared" si="16"/>
        <v>0</v>
      </c>
      <c r="AN40" s="155">
        <f t="shared" si="17"/>
        <v>36</v>
      </c>
      <c r="AO40" s="155">
        <f t="shared" si="18"/>
        <v>0</v>
      </c>
      <c r="AP40" s="48" t="str">
        <f t="shared" si="19"/>
        <v/>
      </c>
      <c r="AQ40" s="49" t="str">
        <f t="shared" si="20"/>
        <v/>
      </c>
      <c r="AR40" s="49">
        <f t="shared" si="21"/>
        <v>18</v>
      </c>
      <c r="AS40" s="41" t="str">
        <f t="shared" si="22"/>
        <v>0-36</v>
      </c>
      <c r="AT40" s="50">
        <f t="shared" si="23"/>
        <v>1012.004</v>
      </c>
      <c r="AU40" s="2">
        <f t="shared" si="24"/>
        <v>21</v>
      </c>
      <c r="AV40" s="96" t="str">
        <f t="shared" si="25"/>
        <v/>
      </c>
      <c r="AW40" s="2">
        <f t="shared" si="26"/>
        <v>0</v>
      </c>
    </row>
    <row r="41" spans="1:16334" x14ac:dyDescent="0.15">
      <c r="B41" s="2" t="s">
        <v>249</v>
      </c>
      <c r="M41" s="50"/>
      <c r="AJ41" s="46">
        <f t="shared" si="13"/>
        <v>0</v>
      </c>
      <c r="AK41" s="46">
        <f t="shared" si="14"/>
        <v>0</v>
      </c>
      <c r="AL41" s="157">
        <f t="shared" si="15"/>
        <v>0</v>
      </c>
      <c r="AM41" s="155">
        <f t="shared" si="16"/>
        <v>0</v>
      </c>
      <c r="AN41" s="155">
        <f t="shared" si="17"/>
        <v>0</v>
      </c>
      <c r="AO41" s="155">
        <f t="shared" si="18"/>
        <v>0</v>
      </c>
      <c r="AP41" s="48" t="str">
        <f t="shared" si="19"/>
        <v/>
      </c>
      <c r="AQ41" s="49" t="str">
        <f t="shared" si="20"/>
        <v/>
      </c>
      <c r="AR41" s="49" t="str">
        <f t="shared" si="21"/>
        <v/>
      </c>
      <c r="AS41" s="41" t="str">
        <f t="shared" si="22"/>
        <v/>
      </c>
      <c r="AT41" s="50">
        <f t="shared" si="23"/>
        <v>99999.004100000006</v>
      </c>
      <c r="AU41" s="2">
        <f t="shared" si="24"/>
        <v>40</v>
      </c>
      <c r="AV41" s="96" t="str">
        <f t="shared" si="25"/>
        <v/>
      </c>
      <c r="AW41" s="2">
        <f t="shared" si="26"/>
        <v>0</v>
      </c>
    </row>
    <row r="42" spans="1:16334" x14ac:dyDescent="0.15">
      <c r="B42" s="2" t="s">
        <v>222</v>
      </c>
      <c r="C42" s="2" t="s">
        <v>370</v>
      </c>
      <c r="D42" s="2" t="s">
        <v>439</v>
      </c>
      <c r="E42" s="2" t="s">
        <v>420</v>
      </c>
      <c r="F42" s="2" t="s">
        <v>395</v>
      </c>
      <c r="G42" s="2" t="s">
        <v>435</v>
      </c>
      <c r="J42" s="2" t="s">
        <v>481</v>
      </c>
      <c r="K42" s="2" t="s">
        <v>495</v>
      </c>
      <c r="L42" s="2" t="s">
        <v>520</v>
      </c>
      <c r="M42" s="50"/>
      <c r="P42" s="2" t="s">
        <v>587</v>
      </c>
      <c r="T42" s="2" t="s">
        <v>741</v>
      </c>
      <c r="W42" s="2" t="s">
        <v>746</v>
      </c>
      <c r="AJ42" s="46">
        <f t="shared" si="13"/>
        <v>11</v>
      </c>
      <c r="AK42" s="46">
        <f t="shared" si="14"/>
        <v>263</v>
      </c>
      <c r="AL42" s="157">
        <f t="shared" si="15"/>
        <v>43.5</v>
      </c>
      <c r="AM42" s="155">
        <f t="shared" si="16"/>
        <v>6</v>
      </c>
      <c r="AN42" s="155">
        <f t="shared" si="17"/>
        <v>209</v>
      </c>
      <c r="AO42" s="155">
        <f t="shared" si="18"/>
        <v>11</v>
      </c>
      <c r="AP42" s="48">
        <f t="shared" si="19"/>
        <v>19</v>
      </c>
      <c r="AQ42" s="49">
        <f t="shared" si="20"/>
        <v>23.90909090909091</v>
      </c>
      <c r="AR42" s="49">
        <f t="shared" si="21"/>
        <v>4.7680608365019008</v>
      </c>
      <c r="AS42" s="41" t="str">
        <f t="shared" si="22"/>
        <v>4-27</v>
      </c>
      <c r="AT42" s="50">
        <f t="shared" si="23"/>
        <v>19.004200000000001</v>
      </c>
      <c r="AU42" s="2">
        <f t="shared" si="24"/>
        <v>8</v>
      </c>
      <c r="AV42" s="96">
        <f t="shared" si="25"/>
        <v>0.13688212927756654</v>
      </c>
      <c r="AW42" s="2">
        <f t="shared" si="26"/>
        <v>0</v>
      </c>
    </row>
    <row r="43" spans="1:16334" x14ac:dyDescent="0.15">
      <c r="B43" s="2" t="s">
        <v>307</v>
      </c>
      <c r="M43" s="50"/>
      <c r="AJ43" s="46">
        <f t="shared" si="13"/>
        <v>0</v>
      </c>
      <c r="AK43" s="46">
        <f t="shared" si="14"/>
        <v>0</v>
      </c>
      <c r="AL43" s="157">
        <f t="shared" si="15"/>
        <v>0</v>
      </c>
      <c r="AM43" s="155">
        <f t="shared" si="16"/>
        <v>0</v>
      </c>
      <c r="AN43" s="155">
        <f t="shared" si="17"/>
        <v>0</v>
      </c>
      <c r="AO43" s="155">
        <f t="shared" si="18"/>
        <v>0</v>
      </c>
      <c r="AP43" s="48" t="str">
        <f t="shared" si="19"/>
        <v/>
      </c>
      <c r="AQ43" s="49" t="str">
        <f t="shared" si="20"/>
        <v/>
      </c>
      <c r="AR43" s="49" t="str">
        <f t="shared" si="21"/>
        <v/>
      </c>
      <c r="AS43" s="41" t="str">
        <f t="shared" si="22"/>
        <v/>
      </c>
      <c r="AT43" s="50">
        <f t="shared" si="23"/>
        <v>99999.004300000001</v>
      </c>
      <c r="AU43" s="2">
        <f t="shared" si="24"/>
        <v>41</v>
      </c>
      <c r="AV43" s="96" t="str">
        <f t="shared" si="25"/>
        <v/>
      </c>
      <c r="AW43" s="2">
        <f t="shared" si="26"/>
        <v>0</v>
      </c>
    </row>
    <row r="44" spans="1:16334" x14ac:dyDescent="0.15">
      <c r="B44" s="2" t="s">
        <v>344</v>
      </c>
      <c r="M44" s="50"/>
      <c r="AJ44" s="46">
        <f t="shared" si="13"/>
        <v>0</v>
      </c>
      <c r="AK44" s="46">
        <f t="shared" si="14"/>
        <v>0</v>
      </c>
      <c r="AL44" s="157">
        <f t="shared" si="15"/>
        <v>0</v>
      </c>
      <c r="AM44" s="155">
        <f t="shared" si="16"/>
        <v>0</v>
      </c>
      <c r="AN44" s="155">
        <f t="shared" si="17"/>
        <v>0</v>
      </c>
      <c r="AO44" s="155">
        <f t="shared" si="18"/>
        <v>0</v>
      </c>
      <c r="AP44" s="48" t="str">
        <f t="shared" si="19"/>
        <v/>
      </c>
      <c r="AQ44" s="49" t="str">
        <f t="shared" si="20"/>
        <v/>
      </c>
      <c r="AR44" s="49" t="str">
        <f t="shared" si="21"/>
        <v/>
      </c>
      <c r="AS44" s="41" t="str">
        <f t="shared" si="22"/>
        <v/>
      </c>
      <c r="AT44" s="50">
        <f t="shared" si="23"/>
        <v>99999.004400000005</v>
      </c>
      <c r="AU44" s="2">
        <f t="shared" si="24"/>
        <v>42</v>
      </c>
      <c r="AV44" s="96" t="str">
        <f t="shared" si="25"/>
        <v/>
      </c>
      <c r="AW44" s="2">
        <f t="shared" si="26"/>
        <v>0</v>
      </c>
    </row>
    <row r="45" spans="1:16334" x14ac:dyDescent="0.15">
      <c r="B45" s="2" t="s">
        <v>408</v>
      </c>
      <c r="E45" s="2" t="s">
        <v>327</v>
      </c>
      <c r="M45" s="50"/>
      <c r="AJ45" s="46">
        <f t="shared" si="13"/>
        <v>1</v>
      </c>
      <c r="AK45" s="46">
        <f t="shared" si="14"/>
        <v>12</v>
      </c>
      <c r="AL45" s="157">
        <f t="shared" si="15"/>
        <v>2</v>
      </c>
      <c r="AM45" s="155">
        <f t="shared" si="16"/>
        <v>0</v>
      </c>
      <c r="AN45" s="155">
        <f t="shared" si="17"/>
        <v>16</v>
      </c>
      <c r="AO45" s="155">
        <f t="shared" si="18"/>
        <v>0</v>
      </c>
      <c r="AP45" s="48" t="str">
        <f t="shared" si="19"/>
        <v/>
      </c>
      <c r="AQ45" s="49" t="str">
        <f t="shared" si="20"/>
        <v/>
      </c>
      <c r="AR45" s="49">
        <f t="shared" si="21"/>
        <v>8</v>
      </c>
      <c r="AS45" s="41" t="str">
        <f t="shared" si="22"/>
        <v>0-16</v>
      </c>
      <c r="AT45" s="50">
        <f t="shared" si="23"/>
        <v>1012.0045</v>
      </c>
      <c r="AU45" s="2">
        <f t="shared" si="24"/>
        <v>22</v>
      </c>
      <c r="AV45" s="96" t="str">
        <f t="shared" si="25"/>
        <v/>
      </c>
      <c r="AW45" s="2">
        <f t="shared" si="26"/>
        <v>0</v>
      </c>
    </row>
    <row r="46" spans="1:16334" x14ac:dyDescent="0.15">
      <c r="B46" t="s">
        <v>236</v>
      </c>
      <c r="I46" s="2" t="s">
        <v>326</v>
      </c>
      <c r="M46" s="50"/>
      <c r="W46" s="2" t="s">
        <v>738</v>
      </c>
      <c r="AJ46" s="46">
        <f t="shared" si="13"/>
        <v>2</v>
      </c>
      <c r="AK46" s="46">
        <f t="shared" si="14"/>
        <v>30</v>
      </c>
      <c r="AL46" s="157">
        <f t="shared" si="15"/>
        <v>5</v>
      </c>
      <c r="AM46" s="155">
        <f t="shared" si="16"/>
        <v>0</v>
      </c>
      <c r="AN46" s="155">
        <f t="shared" si="17"/>
        <v>30</v>
      </c>
      <c r="AO46" s="155">
        <f t="shared" si="18"/>
        <v>1</v>
      </c>
      <c r="AP46" s="48">
        <f t="shared" si="19"/>
        <v>30</v>
      </c>
      <c r="AQ46" s="49">
        <f t="shared" si="20"/>
        <v>30</v>
      </c>
      <c r="AR46" s="49">
        <f t="shared" si="21"/>
        <v>6</v>
      </c>
      <c r="AS46" s="41" t="str">
        <f t="shared" si="22"/>
        <v>1-18</v>
      </c>
      <c r="AT46" s="50">
        <f t="shared" si="23"/>
        <v>30.0046</v>
      </c>
      <c r="AU46" s="2">
        <f t="shared" si="24"/>
        <v>16</v>
      </c>
      <c r="AV46" s="96" t="str">
        <f t="shared" si="25"/>
        <v/>
      </c>
      <c r="AW46" s="2">
        <f t="shared" si="26"/>
        <v>0</v>
      </c>
    </row>
    <row r="47" spans="1:16334" x14ac:dyDescent="0.15">
      <c r="A47"/>
      <c r="B47" t="s">
        <v>233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 s="46">
        <f t="shared" si="13"/>
        <v>0</v>
      </c>
      <c r="AK47" s="46">
        <f t="shared" si="14"/>
        <v>0</v>
      </c>
      <c r="AL47" s="157">
        <f t="shared" si="15"/>
        <v>0</v>
      </c>
      <c r="AM47" s="155">
        <f t="shared" si="16"/>
        <v>0</v>
      </c>
      <c r="AN47" s="155">
        <f t="shared" si="17"/>
        <v>0</v>
      </c>
      <c r="AO47" s="155">
        <f t="shared" si="18"/>
        <v>0</v>
      </c>
      <c r="AP47" s="48" t="str">
        <f t="shared" si="19"/>
        <v/>
      </c>
      <c r="AQ47" s="49" t="str">
        <f t="shared" si="20"/>
        <v/>
      </c>
      <c r="AR47" s="49" t="str">
        <f t="shared" si="21"/>
        <v/>
      </c>
      <c r="AS47" s="41" t="str">
        <f t="shared" si="22"/>
        <v/>
      </c>
      <c r="AT47" s="50">
        <f t="shared" si="23"/>
        <v>99999.004700000005</v>
      </c>
      <c r="AU47" s="2">
        <f t="shared" si="24"/>
        <v>43</v>
      </c>
      <c r="AV47" s="96" t="str">
        <f t="shared" si="25"/>
        <v/>
      </c>
      <c r="AW47" s="2">
        <f t="shared" si="26"/>
        <v>0</v>
      </c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  <c r="AQB47"/>
      <c r="AQC47"/>
      <c r="AQD47"/>
      <c r="AQE47"/>
      <c r="AQF47"/>
      <c r="AQG47"/>
      <c r="AQH47"/>
      <c r="AQI47"/>
      <c r="AQJ47"/>
      <c r="AQK47"/>
      <c r="AQL47"/>
      <c r="AQM47"/>
      <c r="AQN47"/>
      <c r="AQO47"/>
      <c r="AQP47"/>
      <c r="AQQ47"/>
      <c r="AQR47"/>
      <c r="AQS47"/>
      <c r="AQT47"/>
      <c r="AQU47"/>
      <c r="AQV47"/>
      <c r="AQW47"/>
      <c r="AQX47"/>
      <c r="AQY47"/>
      <c r="AQZ47"/>
      <c r="ARA47"/>
      <c r="ARB47"/>
      <c r="ARC47"/>
      <c r="ARD47"/>
      <c r="ARE47"/>
      <c r="ARF47"/>
      <c r="ARG47"/>
      <c r="ARH47"/>
      <c r="ARI47"/>
      <c r="ARJ47"/>
      <c r="ARK47"/>
      <c r="ARL47"/>
      <c r="ARM47"/>
      <c r="ARN47"/>
      <c r="ARO47"/>
      <c r="ARP47"/>
      <c r="ARQ47"/>
      <c r="ARR47"/>
      <c r="ARS47"/>
      <c r="ART47"/>
      <c r="ARU47"/>
      <c r="ARV47"/>
      <c r="ARW47"/>
      <c r="ARX47"/>
      <c r="ARY47"/>
      <c r="ARZ47"/>
      <c r="ASA47"/>
      <c r="ASB47"/>
      <c r="ASC47"/>
      <c r="ASD47"/>
      <c r="ASE47"/>
      <c r="ASF47"/>
      <c r="ASG47"/>
      <c r="ASH47"/>
      <c r="ASI47"/>
      <c r="ASJ47"/>
      <c r="ASK47"/>
      <c r="ASL47"/>
      <c r="ASM47"/>
      <c r="ASN47"/>
      <c r="ASO47"/>
      <c r="ASP47"/>
      <c r="ASQ47"/>
      <c r="ASR47"/>
      <c r="ASS47"/>
      <c r="AST47"/>
      <c r="ASU47"/>
      <c r="ASV47"/>
      <c r="ASW47"/>
      <c r="ASX47"/>
      <c r="ASY47"/>
      <c r="ASZ47"/>
      <c r="ATA47"/>
      <c r="ATB47"/>
      <c r="ATC47"/>
      <c r="ATD47"/>
      <c r="ATE47"/>
      <c r="ATF47"/>
      <c r="ATG47"/>
      <c r="ATH47"/>
      <c r="ATI47"/>
      <c r="ATJ47"/>
      <c r="ATK47"/>
      <c r="ATL47"/>
      <c r="ATM47"/>
      <c r="ATN47"/>
      <c r="ATO47"/>
      <c r="ATP47"/>
      <c r="ATQ47"/>
      <c r="ATR47"/>
      <c r="ATS47"/>
      <c r="ATT47"/>
      <c r="ATU47"/>
      <c r="ATV47"/>
      <c r="ATW47"/>
      <c r="ATX47"/>
      <c r="ATY47"/>
      <c r="ATZ47"/>
      <c r="AUA47"/>
      <c r="AUB47"/>
      <c r="AUC47"/>
      <c r="AUD47"/>
      <c r="AUE47"/>
      <c r="AUF47"/>
      <c r="AUG47"/>
      <c r="AUH47"/>
      <c r="AUI47"/>
      <c r="AUJ47"/>
      <c r="AUK47"/>
      <c r="AUL47"/>
      <c r="AUM47"/>
      <c r="AUN47"/>
      <c r="AUO47"/>
      <c r="AUP47"/>
      <c r="AUQ47"/>
      <c r="AUR47"/>
      <c r="AUS47"/>
      <c r="AUT47"/>
      <c r="AUU47"/>
      <c r="AUV47"/>
      <c r="AUW47"/>
      <c r="AUX47"/>
      <c r="AUY47"/>
      <c r="AUZ47"/>
      <c r="AVA47"/>
      <c r="AVB47"/>
      <c r="AVC47"/>
      <c r="AVD47"/>
      <c r="AVE47"/>
      <c r="AVF47"/>
      <c r="AVG47"/>
      <c r="AVH47"/>
      <c r="AVI47"/>
      <c r="AVJ47"/>
      <c r="AVK47"/>
      <c r="AVL47"/>
      <c r="AVM47"/>
      <c r="AVN47"/>
      <c r="AVO47"/>
      <c r="AVP47"/>
      <c r="AVQ47"/>
      <c r="AVR47"/>
      <c r="AVS47"/>
      <c r="AVT47"/>
      <c r="AVU47"/>
      <c r="AVV47"/>
      <c r="AVW47"/>
      <c r="AVX47"/>
      <c r="AVY47"/>
      <c r="AVZ47"/>
      <c r="AWA47"/>
      <c r="AWB47"/>
      <c r="AWC47"/>
      <c r="AWD47"/>
      <c r="AWE47"/>
      <c r="AWF47"/>
      <c r="AWG47"/>
      <c r="AWH47"/>
      <c r="AWI47"/>
      <c r="AWJ47"/>
      <c r="AWK47"/>
      <c r="AWL47"/>
      <c r="AWM47"/>
      <c r="AWN47"/>
      <c r="AWO47"/>
      <c r="AWP47"/>
      <c r="AWQ47"/>
      <c r="AWR47"/>
      <c r="AWS47"/>
      <c r="AWT47"/>
      <c r="AWU47"/>
      <c r="AWV47"/>
      <c r="AWW47"/>
      <c r="AWX47"/>
      <c r="AWY47"/>
      <c r="AWZ47"/>
      <c r="AXA47"/>
      <c r="AXB47"/>
      <c r="AXC47"/>
      <c r="AXD47"/>
      <c r="AXE47"/>
      <c r="AXF47"/>
      <c r="AXG47"/>
      <c r="AXH47"/>
      <c r="AXI47"/>
      <c r="AXJ47"/>
      <c r="AXK47"/>
      <c r="AXL47"/>
      <c r="AXM47"/>
      <c r="AXN47"/>
      <c r="AXO47"/>
      <c r="AXP47"/>
      <c r="AXQ47"/>
      <c r="AXR47"/>
      <c r="AXS47"/>
      <c r="AXT47"/>
      <c r="AXU47"/>
      <c r="AXV47"/>
      <c r="AXW47"/>
      <c r="AXX47"/>
      <c r="AXY47"/>
      <c r="AXZ47"/>
      <c r="AYA47"/>
      <c r="AYB47"/>
      <c r="AYC47"/>
      <c r="AYD47"/>
      <c r="AYE47"/>
      <c r="AYF47"/>
      <c r="AYG47"/>
      <c r="AYH47"/>
      <c r="AYI47"/>
      <c r="AYJ47"/>
      <c r="AYK47"/>
      <c r="AYL47"/>
      <c r="AYM47"/>
      <c r="AYN47"/>
      <c r="AYO47"/>
      <c r="AYP47"/>
      <c r="AYQ47"/>
      <c r="AYR47"/>
      <c r="AYS47"/>
      <c r="AYT47"/>
      <c r="AYU47"/>
      <c r="AYV47"/>
      <c r="AYW47"/>
      <c r="AYX47"/>
      <c r="AYY47"/>
      <c r="AYZ47"/>
      <c r="AZA47"/>
      <c r="AZB47"/>
      <c r="AZC47"/>
      <c r="AZD47"/>
      <c r="AZE47"/>
      <c r="AZF47"/>
      <c r="AZG47"/>
      <c r="AZH47"/>
      <c r="AZI47"/>
      <c r="AZJ47"/>
      <c r="AZK47"/>
      <c r="AZL47"/>
      <c r="AZM47"/>
      <c r="AZN47"/>
      <c r="AZO47"/>
      <c r="AZP47"/>
      <c r="AZQ47"/>
      <c r="AZR47"/>
      <c r="AZS47"/>
      <c r="AZT47"/>
      <c r="AZU47"/>
      <c r="AZV47"/>
      <c r="AZW47"/>
      <c r="AZX47"/>
      <c r="AZY47"/>
      <c r="AZZ47"/>
      <c r="BAA47"/>
      <c r="BAB47"/>
      <c r="BAC47"/>
      <c r="BAD47"/>
      <c r="BAE47"/>
      <c r="BAF47"/>
      <c r="BAG47"/>
      <c r="BAH47"/>
      <c r="BAI47"/>
      <c r="BAJ47"/>
      <c r="BAK47"/>
      <c r="BAL47"/>
      <c r="BAM47"/>
      <c r="BAN47"/>
      <c r="BAO47"/>
      <c r="BAP47"/>
      <c r="BAQ47"/>
      <c r="BAR47"/>
      <c r="BAS47"/>
      <c r="BAT47"/>
      <c r="BAU47"/>
      <c r="BAV47"/>
      <c r="BAW47"/>
      <c r="BAX47"/>
      <c r="BAY47"/>
      <c r="BAZ47"/>
      <c r="BBA47"/>
      <c r="BBB47"/>
      <c r="BBC47"/>
      <c r="BBD47"/>
      <c r="BBE47"/>
      <c r="BBF47"/>
      <c r="BBG47"/>
      <c r="BBH47"/>
      <c r="BBI47"/>
      <c r="BBJ47"/>
      <c r="BBK47"/>
      <c r="BBL47"/>
      <c r="BBM47"/>
      <c r="BBN47"/>
      <c r="BBO47"/>
      <c r="BBP47"/>
      <c r="BBQ47"/>
      <c r="BBR47"/>
      <c r="BBS47"/>
      <c r="BBT47"/>
      <c r="BBU47"/>
      <c r="BBV47"/>
      <c r="BBW47"/>
      <c r="BBX47"/>
      <c r="BBY47"/>
      <c r="BBZ47"/>
      <c r="BCA47"/>
      <c r="BCB47"/>
      <c r="BCC47"/>
      <c r="BCD47"/>
      <c r="BCE47"/>
      <c r="BCF47"/>
      <c r="BCG47"/>
      <c r="BCH47"/>
      <c r="BCI47"/>
      <c r="BCJ47"/>
      <c r="BCK47"/>
      <c r="BCL47"/>
      <c r="BCM47"/>
      <c r="BCN47"/>
      <c r="BCO47"/>
      <c r="BCP47"/>
      <c r="BCQ47"/>
      <c r="BCR47"/>
      <c r="BCS47"/>
      <c r="BCT47"/>
      <c r="BCU47"/>
      <c r="BCV47"/>
      <c r="BCW47"/>
      <c r="BCX47"/>
      <c r="BCY47"/>
      <c r="BCZ47"/>
      <c r="BDA47"/>
      <c r="BDB47"/>
      <c r="BDC47"/>
      <c r="BDD47"/>
      <c r="BDE47"/>
      <c r="BDF47"/>
      <c r="BDG47"/>
      <c r="BDH47"/>
      <c r="BDI47"/>
      <c r="BDJ47"/>
      <c r="BDK47"/>
      <c r="BDL47"/>
      <c r="BDM47"/>
      <c r="BDN47"/>
      <c r="BDO47"/>
      <c r="BDP47"/>
      <c r="BDQ47"/>
      <c r="BDR47"/>
      <c r="BDS47"/>
      <c r="BDT47"/>
      <c r="BDU47"/>
      <c r="BDV47"/>
      <c r="BDW47"/>
      <c r="BDX47"/>
      <c r="BDY47"/>
      <c r="BDZ47"/>
      <c r="BEA47"/>
      <c r="BEB47"/>
      <c r="BEC47"/>
      <c r="BED47"/>
      <c r="BEE47"/>
      <c r="BEF47"/>
      <c r="BEG47"/>
      <c r="BEH47"/>
      <c r="BEI47"/>
      <c r="BEJ47"/>
      <c r="BEK47"/>
      <c r="BEL47"/>
      <c r="BEM47"/>
      <c r="BEN47"/>
      <c r="BEO47"/>
      <c r="BEP47"/>
      <c r="BEQ47"/>
      <c r="BER47"/>
      <c r="BES47"/>
      <c r="BET47"/>
      <c r="BEU47"/>
      <c r="BEV47"/>
      <c r="BEW47"/>
      <c r="BEX47"/>
      <c r="BEY47"/>
      <c r="BEZ47"/>
      <c r="BFA47"/>
      <c r="BFB47"/>
      <c r="BFC47"/>
      <c r="BFD47"/>
      <c r="BFE47"/>
      <c r="BFF47"/>
      <c r="BFG47"/>
      <c r="BFH47"/>
      <c r="BFI47"/>
      <c r="BFJ47"/>
      <c r="BFK47"/>
      <c r="BFL47"/>
      <c r="BFM47"/>
      <c r="BFN47"/>
      <c r="BFO47"/>
      <c r="BFP47"/>
      <c r="BFQ47"/>
      <c r="BFR47"/>
      <c r="BFS47"/>
      <c r="BFT47"/>
      <c r="BFU47"/>
      <c r="BFV47"/>
      <c r="BFW47"/>
      <c r="BFX47"/>
      <c r="BFY47"/>
      <c r="BFZ47"/>
      <c r="BGA47"/>
      <c r="BGB47"/>
      <c r="BGC47"/>
      <c r="BGD47"/>
      <c r="BGE47"/>
      <c r="BGF47"/>
      <c r="BGG47"/>
      <c r="BGH47"/>
      <c r="BGI47"/>
      <c r="BGJ47"/>
      <c r="BGK47"/>
      <c r="BGL47"/>
      <c r="BGM47"/>
      <c r="BGN47"/>
      <c r="BGO47"/>
      <c r="BGP47"/>
      <c r="BGQ47"/>
      <c r="BGR47"/>
      <c r="BGS47"/>
      <c r="BGT47"/>
      <c r="BGU47"/>
      <c r="BGV47"/>
      <c r="BGW47"/>
      <c r="BGX47"/>
      <c r="BGY47"/>
      <c r="BGZ47"/>
      <c r="BHA47"/>
      <c r="BHB47"/>
      <c r="BHC47"/>
      <c r="BHD47"/>
      <c r="BHE47"/>
      <c r="BHF47"/>
      <c r="BHG47"/>
      <c r="BHH47"/>
      <c r="BHI47"/>
      <c r="BHJ47"/>
      <c r="BHK47"/>
      <c r="BHL47"/>
      <c r="BHM47"/>
      <c r="BHN47"/>
      <c r="BHO47"/>
      <c r="BHP47"/>
      <c r="BHQ47"/>
      <c r="BHR47"/>
      <c r="BHS47"/>
      <c r="BHT47"/>
      <c r="BHU47"/>
      <c r="BHV47"/>
      <c r="BHW47"/>
      <c r="BHX47"/>
      <c r="BHY47"/>
      <c r="BHZ47"/>
      <c r="BIA47"/>
      <c r="BIB47"/>
      <c r="BIC47"/>
      <c r="BID47"/>
      <c r="BIE47"/>
      <c r="BIF47"/>
      <c r="BIG47"/>
      <c r="BIH47"/>
      <c r="BII47"/>
      <c r="BIJ47"/>
      <c r="BIK47"/>
      <c r="BIL47"/>
      <c r="BIM47"/>
      <c r="BIN47"/>
      <c r="BIO47"/>
      <c r="BIP47"/>
      <c r="BIQ47"/>
      <c r="BIR47"/>
      <c r="BIS47"/>
      <c r="BIT47"/>
      <c r="BIU47"/>
      <c r="BIV47"/>
      <c r="BIW47"/>
      <c r="BIX47"/>
      <c r="BIY47"/>
      <c r="BIZ47"/>
      <c r="BJA47"/>
      <c r="BJB47"/>
      <c r="BJC47"/>
      <c r="BJD47"/>
      <c r="BJE47"/>
      <c r="BJF47"/>
      <c r="BJG47"/>
      <c r="BJH47"/>
      <c r="BJI47"/>
      <c r="BJJ47"/>
      <c r="BJK47"/>
      <c r="BJL47"/>
      <c r="BJM47"/>
      <c r="BJN47"/>
      <c r="BJO47"/>
      <c r="BJP47"/>
      <c r="BJQ47"/>
      <c r="BJR47"/>
      <c r="BJS47"/>
      <c r="BJT47"/>
      <c r="BJU47"/>
      <c r="BJV47"/>
      <c r="BJW47"/>
      <c r="BJX47"/>
      <c r="BJY47"/>
      <c r="BJZ47"/>
      <c r="BKA47"/>
      <c r="BKB47"/>
      <c r="BKC47"/>
      <c r="BKD47"/>
      <c r="BKE47"/>
      <c r="BKF47"/>
      <c r="BKG47"/>
      <c r="BKH47"/>
      <c r="BKI47"/>
      <c r="BKJ47"/>
      <c r="BKK47"/>
      <c r="BKL47"/>
      <c r="BKM47"/>
      <c r="BKN47"/>
      <c r="BKO47"/>
      <c r="BKP47"/>
      <c r="BKQ47"/>
      <c r="BKR47"/>
      <c r="BKS47"/>
      <c r="BKT47"/>
      <c r="BKU47"/>
      <c r="BKV47"/>
      <c r="BKW47"/>
      <c r="BKX47"/>
      <c r="BKY47"/>
      <c r="BKZ47"/>
      <c r="BLA47"/>
      <c r="BLB47"/>
      <c r="BLC47"/>
      <c r="BLD47"/>
      <c r="BLE47"/>
      <c r="BLF47"/>
      <c r="BLG47"/>
      <c r="BLH47"/>
      <c r="BLI47"/>
      <c r="BLJ47"/>
      <c r="BLK47"/>
      <c r="BLL47"/>
      <c r="BLM47"/>
      <c r="BLN47"/>
      <c r="BLO47"/>
      <c r="BLP47"/>
      <c r="BLQ47"/>
      <c r="BLR47"/>
      <c r="BLS47"/>
      <c r="BLT47"/>
      <c r="BLU47"/>
      <c r="BLV47"/>
      <c r="BLW47"/>
      <c r="BLX47"/>
      <c r="BLY47"/>
      <c r="BLZ47"/>
      <c r="BMA47"/>
      <c r="BMB47"/>
      <c r="BMC47"/>
      <c r="BMD47"/>
      <c r="BME47"/>
      <c r="BMF47"/>
      <c r="BMG47"/>
      <c r="BMH47"/>
      <c r="BMI47"/>
      <c r="BMJ47"/>
      <c r="BMK47"/>
      <c r="BML47"/>
      <c r="BMM47"/>
      <c r="BMN47"/>
      <c r="BMO47"/>
      <c r="BMP47"/>
      <c r="BMQ47"/>
      <c r="BMR47"/>
      <c r="BMS47"/>
      <c r="BMT47"/>
      <c r="BMU47"/>
      <c r="BMV47"/>
      <c r="BMW47"/>
      <c r="BMX47"/>
      <c r="BMY47"/>
      <c r="BMZ47"/>
      <c r="BNA47"/>
      <c r="BNB47"/>
      <c r="BNC47"/>
      <c r="BND47"/>
      <c r="BNE47"/>
      <c r="BNF47"/>
      <c r="BNG47"/>
      <c r="BNH47"/>
      <c r="BNI47"/>
      <c r="BNJ47"/>
      <c r="BNK47"/>
      <c r="BNL47"/>
      <c r="BNM47"/>
      <c r="BNN47"/>
      <c r="BNO47"/>
      <c r="BNP47"/>
      <c r="BNQ47"/>
      <c r="BNR47"/>
      <c r="BNS47"/>
      <c r="BNT47"/>
      <c r="BNU47"/>
      <c r="BNV47"/>
      <c r="BNW47"/>
      <c r="BNX47"/>
      <c r="BNY47"/>
      <c r="BNZ47"/>
      <c r="BOA47"/>
      <c r="BOB47"/>
      <c r="BOC47"/>
      <c r="BOD47"/>
      <c r="BOE47"/>
      <c r="BOF47"/>
      <c r="BOG47"/>
      <c r="BOH47"/>
      <c r="BOI47"/>
      <c r="BOJ47"/>
      <c r="BOK47"/>
      <c r="BOL47"/>
      <c r="BOM47"/>
      <c r="BON47"/>
      <c r="BOO47"/>
      <c r="BOP47"/>
      <c r="BOQ47"/>
      <c r="BOR47"/>
      <c r="BOS47"/>
      <c r="BOT47"/>
      <c r="BOU47"/>
      <c r="BOV47"/>
      <c r="BOW47"/>
      <c r="BOX47"/>
      <c r="BOY47"/>
      <c r="BOZ47"/>
      <c r="BPA47"/>
      <c r="BPB47"/>
      <c r="BPC47"/>
      <c r="BPD47"/>
      <c r="BPE47"/>
      <c r="BPF47"/>
      <c r="BPG47"/>
      <c r="BPH47"/>
      <c r="BPI47"/>
      <c r="BPJ47"/>
      <c r="BPK47"/>
      <c r="BPL47"/>
      <c r="BPM47"/>
      <c r="BPN47"/>
      <c r="BPO47"/>
      <c r="BPP47"/>
      <c r="BPQ47"/>
      <c r="BPR47"/>
      <c r="BPS47"/>
      <c r="BPT47"/>
      <c r="BPU47"/>
      <c r="BPV47"/>
      <c r="BPW47"/>
      <c r="BPX47"/>
      <c r="BPY47"/>
      <c r="BPZ47"/>
      <c r="BQA47"/>
      <c r="BQB47"/>
      <c r="BQC47"/>
      <c r="BQD47"/>
      <c r="BQE47"/>
      <c r="BQF47"/>
      <c r="BQG47"/>
      <c r="BQH47"/>
      <c r="BQI47"/>
      <c r="BQJ47"/>
      <c r="BQK47"/>
      <c r="BQL47"/>
      <c r="BQM47"/>
      <c r="BQN47"/>
      <c r="BQO47"/>
      <c r="BQP47"/>
      <c r="BQQ47"/>
      <c r="BQR47"/>
      <c r="BQS47"/>
      <c r="BQT47"/>
      <c r="BQU47"/>
      <c r="BQV47"/>
      <c r="BQW47"/>
      <c r="BQX47"/>
      <c r="BQY47"/>
      <c r="BQZ47"/>
      <c r="BRA47"/>
      <c r="BRB47"/>
      <c r="BRC47"/>
      <c r="BRD47"/>
      <c r="BRE47"/>
      <c r="BRF47"/>
      <c r="BRG47"/>
      <c r="BRH47"/>
      <c r="BRI47"/>
      <c r="BRJ47"/>
      <c r="BRK47"/>
      <c r="BRL47"/>
      <c r="BRM47"/>
      <c r="BRN47"/>
      <c r="BRO47"/>
      <c r="BRP47"/>
      <c r="BRQ47"/>
      <c r="BRR47"/>
      <c r="BRS47"/>
      <c r="BRT47"/>
      <c r="BRU47"/>
      <c r="BRV47"/>
      <c r="BRW47"/>
      <c r="BRX47"/>
      <c r="BRY47"/>
      <c r="BRZ47"/>
      <c r="BSA47"/>
      <c r="BSB47"/>
      <c r="BSC47"/>
      <c r="BSD47"/>
      <c r="BSE47"/>
      <c r="BSF47"/>
      <c r="BSG47"/>
      <c r="BSH47"/>
      <c r="BSI47"/>
      <c r="BSJ47"/>
      <c r="BSK47"/>
      <c r="BSL47"/>
      <c r="BSM47"/>
      <c r="BSN47"/>
      <c r="BSO47"/>
      <c r="BSP47"/>
      <c r="BSQ47"/>
      <c r="BSR47"/>
      <c r="BSS47"/>
      <c r="BST47"/>
      <c r="BSU47"/>
      <c r="BSV47"/>
      <c r="BSW47"/>
      <c r="BSX47"/>
      <c r="BSY47"/>
      <c r="BSZ47"/>
      <c r="BTA47"/>
      <c r="BTB47"/>
      <c r="BTC47"/>
      <c r="BTD47"/>
      <c r="BTE47"/>
      <c r="BTF47"/>
      <c r="BTG47"/>
      <c r="BTH47"/>
      <c r="BTI47"/>
      <c r="BTJ47"/>
      <c r="BTK47"/>
      <c r="BTL47"/>
      <c r="BTM47"/>
      <c r="BTN47"/>
      <c r="BTO47"/>
      <c r="BTP47"/>
      <c r="BTQ47"/>
      <c r="BTR47"/>
      <c r="BTS47"/>
      <c r="BTT47"/>
      <c r="BTU47"/>
      <c r="BTV47"/>
      <c r="BTW47"/>
      <c r="BTX47"/>
      <c r="BTY47"/>
      <c r="BTZ47"/>
      <c r="BUA47"/>
      <c r="BUB47"/>
      <c r="BUC47"/>
      <c r="BUD47"/>
      <c r="BUE47"/>
      <c r="BUF47"/>
      <c r="BUG47"/>
      <c r="BUH47"/>
      <c r="BUI47"/>
      <c r="BUJ47"/>
      <c r="BUK47"/>
      <c r="BUL47"/>
      <c r="BUM47"/>
      <c r="BUN47"/>
      <c r="BUO47"/>
      <c r="BUP47"/>
      <c r="BUQ47"/>
      <c r="BUR47"/>
      <c r="BUS47"/>
      <c r="BUT47"/>
      <c r="BUU47"/>
      <c r="BUV47"/>
      <c r="BUW47"/>
      <c r="BUX47"/>
      <c r="BUY47"/>
      <c r="BUZ47"/>
      <c r="BVA47"/>
      <c r="BVB47"/>
      <c r="BVC47"/>
      <c r="BVD47"/>
      <c r="BVE47"/>
      <c r="BVF47"/>
      <c r="BVG47"/>
      <c r="BVH47"/>
      <c r="BVI47"/>
      <c r="BVJ47"/>
      <c r="BVK47"/>
      <c r="BVL47"/>
      <c r="BVM47"/>
      <c r="BVN47"/>
      <c r="BVO47"/>
      <c r="BVP47"/>
      <c r="BVQ47"/>
      <c r="BVR47"/>
      <c r="BVS47"/>
      <c r="BVT47"/>
      <c r="BVU47"/>
      <c r="BVV47"/>
      <c r="BVW47"/>
      <c r="BVX47"/>
      <c r="BVY47"/>
      <c r="BVZ47"/>
      <c r="BWA47"/>
      <c r="BWB47"/>
      <c r="BWC47"/>
      <c r="BWD47"/>
      <c r="BWE47"/>
      <c r="BWF47"/>
      <c r="BWG47"/>
      <c r="BWH47"/>
      <c r="BWI47"/>
      <c r="BWJ47"/>
      <c r="BWK47"/>
      <c r="BWL47"/>
      <c r="BWM47"/>
      <c r="BWN47"/>
      <c r="BWO47"/>
      <c r="BWP47"/>
      <c r="BWQ47"/>
      <c r="BWR47"/>
      <c r="BWS47"/>
      <c r="BWT47"/>
      <c r="BWU47"/>
      <c r="BWV47"/>
      <c r="BWW47"/>
      <c r="BWX47"/>
      <c r="BWY47"/>
      <c r="BWZ47"/>
      <c r="BXA47"/>
      <c r="BXB47"/>
      <c r="BXC47"/>
      <c r="BXD47"/>
      <c r="BXE47"/>
      <c r="BXF47"/>
      <c r="BXG47"/>
      <c r="BXH47"/>
      <c r="BXI47"/>
      <c r="BXJ47"/>
      <c r="BXK47"/>
      <c r="BXL47"/>
      <c r="BXM47"/>
      <c r="BXN47"/>
      <c r="BXO47"/>
      <c r="BXP47"/>
      <c r="BXQ47"/>
      <c r="BXR47"/>
      <c r="BXS47"/>
      <c r="BXT47"/>
      <c r="BXU47"/>
      <c r="BXV47"/>
      <c r="BXW47"/>
      <c r="BXX47"/>
      <c r="BXY47"/>
      <c r="BXZ47"/>
      <c r="BYA47"/>
      <c r="BYB47"/>
      <c r="BYC47"/>
      <c r="BYD47"/>
      <c r="BYE47"/>
      <c r="BYF47"/>
      <c r="BYG47"/>
      <c r="BYH47"/>
      <c r="BYI47"/>
      <c r="BYJ47"/>
      <c r="BYK47"/>
      <c r="BYL47"/>
      <c r="BYM47"/>
      <c r="BYN47"/>
      <c r="BYO47"/>
      <c r="BYP47"/>
      <c r="BYQ47"/>
      <c r="BYR47"/>
      <c r="BYS47"/>
      <c r="BYT47"/>
      <c r="BYU47"/>
      <c r="BYV47"/>
      <c r="BYW47"/>
      <c r="BYX47"/>
      <c r="BYY47"/>
      <c r="BYZ47"/>
      <c r="BZA47"/>
      <c r="BZB47"/>
      <c r="BZC47"/>
      <c r="BZD47"/>
      <c r="BZE47"/>
      <c r="BZF47"/>
      <c r="BZG47"/>
      <c r="BZH47"/>
      <c r="BZI47"/>
      <c r="BZJ47"/>
      <c r="BZK47"/>
      <c r="BZL47"/>
      <c r="BZM47"/>
      <c r="BZN47"/>
      <c r="BZO47"/>
      <c r="BZP47"/>
      <c r="BZQ47"/>
      <c r="BZR47"/>
      <c r="BZS47"/>
      <c r="BZT47"/>
      <c r="BZU47"/>
      <c r="BZV47"/>
      <c r="BZW47"/>
      <c r="BZX47"/>
      <c r="BZY47"/>
      <c r="BZZ47"/>
      <c r="CAA47"/>
      <c r="CAB47"/>
      <c r="CAC47"/>
      <c r="CAD47"/>
      <c r="CAE47"/>
      <c r="CAF47"/>
      <c r="CAG47"/>
      <c r="CAH47"/>
      <c r="CAI47"/>
      <c r="CAJ47"/>
      <c r="CAK47"/>
      <c r="CAL47"/>
      <c r="CAM47"/>
      <c r="CAN47"/>
      <c r="CAO47"/>
      <c r="CAP47"/>
      <c r="CAQ47"/>
      <c r="CAR47"/>
      <c r="CAS47"/>
      <c r="CAT47"/>
      <c r="CAU47"/>
      <c r="CAV47"/>
      <c r="CAW47"/>
      <c r="CAX47"/>
      <c r="CAY47"/>
      <c r="CAZ47"/>
      <c r="CBA47"/>
      <c r="CBB47"/>
      <c r="CBC47"/>
      <c r="CBD47"/>
      <c r="CBE47"/>
      <c r="CBF47"/>
      <c r="CBG47"/>
      <c r="CBH47"/>
      <c r="CBI47"/>
      <c r="CBJ47"/>
      <c r="CBK47"/>
      <c r="CBL47"/>
      <c r="CBM47"/>
      <c r="CBN47"/>
      <c r="CBO47"/>
      <c r="CBP47"/>
      <c r="CBQ47"/>
      <c r="CBR47"/>
      <c r="CBS47"/>
      <c r="CBT47"/>
      <c r="CBU47"/>
      <c r="CBV47"/>
      <c r="CBW47"/>
      <c r="CBX47"/>
      <c r="CBY47"/>
      <c r="CBZ47"/>
      <c r="CCA47"/>
      <c r="CCB47"/>
      <c r="CCC47"/>
      <c r="CCD47"/>
      <c r="CCE47"/>
      <c r="CCF47"/>
      <c r="CCG47"/>
      <c r="CCH47"/>
      <c r="CCI47"/>
      <c r="CCJ47"/>
      <c r="CCK47"/>
      <c r="CCL47"/>
      <c r="CCM47"/>
      <c r="CCN47"/>
      <c r="CCO47"/>
      <c r="CCP47"/>
      <c r="CCQ47"/>
      <c r="CCR47"/>
      <c r="CCS47"/>
      <c r="CCT47"/>
      <c r="CCU47"/>
      <c r="CCV47"/>
      <c r="CCW47"/>
      <c r="CCX47"/>
      <c r="CCY47"/>
      <c r="CCZ47"/>
      <c r="CDA47"/>
      <c r="CDB47"/>
      <c r="CDC47"/>
      <c r="CDD47"/>
      <c r="CDE47"/>
      <c r="CDF47"/>
      <c r="CDG47"/>
      <c r="CDH47"/>
      <c r="CDI47"/>
      <c r="CDJ47"/>
      <c r="CDK47"/>
      <c r="CDL47"/>
      <c r="CDM47"/>
      <c r="CDN47"/>
      <c r="CDO47"/>
      <c r="CDP47"/>
      <c r="CDQ47"/>
      <c r="CDR47"/>
      <c r="CDS47"/>
      <c r="CDT47"/>
      <c r="CDU47"/>
      <c r="CDV47"/>
      <c r="CDW47"/>
      <c r="CDX47"/>
      <c r="CDY47"/>
      <c r="CDZ47"/>
      <c r="CEA47"/>
      <c r="CEB47"/>
      <c r="CEC47"/>
      <c r="CED47"/>
      <c r="CEE47"/>
      <c r="CEF47"/>
      <c r="CEG47"/>
      <c r="CEH47"/>
      <c r="CEI47"/>
      <c r="CEJ47"/>
      <c r="CEK47"/>
      <c r="CEL47"/>
      <c r="CEM47"/>
      <c r="CEN47"/>
      <c r="CEO47"/>
      <c r="CEP47"/>
      <c r="CEQ47"/>
      <c r="CER47"/>
      <c r="CES47"/>
      <c r="CET47"/>
      <c r="CEU47"/>
      <c r="CEV47"/>
      <c r="CEW47"/>
      <c r="CEX47"/>
      <c r="CEY47"/>
      <c r="CEZ47"/>
      <c r="CFA47"/>
      <c r="CFB47"/>
      <c r="CFC47"/>
      <c r="CFD47"/>
      <c r="CFE47"/>
      <c r="CFF47"/>
      <c r="CFG47"/>
      <c r="CFH47"/>
      <c r="CFI47"/>
      <c r="CFJ47"/>
      <c r="CFK47"/>
      <c r="CFL47"/>
      <c r="CFM47"/>
      <c r="CFN47"/>
      <c r="CFO47"/>
      <c r="CFP47"/>
      <c r="CFQ47"/>
      <c r="CFR47"/>
      <c r="CFS47"/>
      <c r="CFT47"/>
      <c r="CFU47"/>
      <c r="CFV47"/>
      <c r="CFW47"/>
      <c r="CFX47"/>
      <c r="CFY47"/>
      <c r="CFZ47"/>
      <c r="CGA47"/>
      <c r="CGB47"/>
      <c r="CGC47"/>
      <c r="CGD47"/>
      <c r="CGE47"/>
      <c r="CGF47"/>
      <c r="CGG47"/>
      <c r="CGH47"/>
      <c r="CGI47"/>
      <c r="CGJ47"/>
      <c r="CGK47"/>
      <c r="CGL47"/>
      <c r="CGM47"/>
      <c r="CGN47"/>
      <c r="CGO47"/>
      <c r="CGP47"/>
      <c r="CGQ47"/>
      <c r="CGR47"/>
      <c r="CGS47"/>
      <c r="CGT47"/>
      <c r="CGU47"/>
      <c r="CGV47"/>
      <c r="CGW47"/>
      <c r="CGX47"/>
      <c r="CGY47"/>
      <c r="CGZ47"/>
      <c r="CHA47"/>
      <c r="CHB47"/>
      <c r="CHC47"/>
      <c r="CHD47"/>
      <c r="CHE47"/>
      <c r="CHF47"/>
      <c r="CHG47"/>
      <c r="CHH47"/>
      <c r="CHI47"/>
      <c r="CHJ47"/>
      <c r="CHK47"/>
      <c r="CHL47"/>
      <c r="CHM47"/>
      <c r="CHN47"/>
      <c r="CHO47"/>
      <c r="CHP47"/>
      <c r="CHQ47"/>
      <c r="CHR47"/>
      <c r="CHS47"/>
      <c r="CHT47"/>
      <c r="CHU47"/>
      <c r="CHV47"/>
      <c r="CHW47"/>
      <c r="CHX47"/>
      <c r="CHY47"/>
      <c r="CHZ47"/>
      <c r="CIA47"/>
      <c r="CIB47"/>
      <c r="CIC47"/>
      <c r="CID47"/>
      <c r="CIE47"/>
      <c r="CIF47"/>
      <c r="CIG47"/>
      <c r="CIH47"/>
      <c r="CII47"/>
      <c r="CIJ47"/>
      <c r="CIK47"/>
      <c r="CIL47"/>
      <c r="CIM47"/>
      <c r="CIN47"/>
      <c r="CIO47"/>
      <c r="CIP47"/>
      <c r="CIQ47"/>
      <c r="CIR47"/>
      <c r="CIS47"/>
      <c r="CIT47"/>
      <c r="CIU47"/>
      <c r="CIV47"/>
      <c r="CIW47"/>
      <c r="CIX47"/>
      <c r="CIY47"/>
      <c r="CIZ47"/>
      <c r="CJA47"/>
      <c r="CJB47"/>
      <c r="CJC47"/>
      <c r="CJD47"/>
      <c r="CJE47"/>
      <c r="CJF47"/>
      <c r="CJG47"/>
      <c r="CJH47"/>
      <c r="CJI47"/>
      <c r="CJJ47"/>
      <c r="CJK47"/>
      <c r="CJL47"/>
      <c r="CJM47"/>
      <c r="CJN47"/>
      <c r="CJO47"/>
      <c r="CJP47"/>
      <c r="CJQ47"/>
      <c r="CJR47"/>
      <c r="CJS47"/>
      <c r="CJT47"/>
      <c r="CJU47"/>
      <c r="CJV47"/>
      <c r="CJW47"/>
      <c r="CJX47"/>
      <c r="CJY47"/>
      <c r="CJZ47"/>
      <c r="CKA47"/>
      <c r="CKB47"/>
      <c r="CKC47"/>
      <c r="CKD47"/>
      <c r="CKE47"/>
      <c r="CKF47"/>
      <c r="CKG47"/>
      <c r="CKH47"/>
      <c r="CKI47"/>
      <c r="CKJ47"/>
      <c r="CKK47"/>
      <c r="CKL47"/>
      <c r="CKM47"/>
      <c r="CKN47"/>
      <c r="CKO47"/>
      <c r="CKP47"/>
      <c r="CKQ47"/>
      <c r="CKR47"/>
      <c r="CKS47"/>
      <c r="CKT47"/>
      <c r="CKU47"/>
      <c r="CKV47"/>
      <c r="CKW47"/>
      <c r="CKX47"/>
      <c r="CKY47"/>
      <c r="CKZ47"/>
      <c r="CLA47"/>
      <c r="CLB47"/>
      <c r="CLC47"/>
      <c r="CLD47"/>
      <c r="CLE47"/>
      <c r="CLF47"/>
      <c r="CLG47"/>
      <c r="CLH47"/>
      <c r="CLI47"/>
      <c r="CLJ47"/>
      <c r="CLK47"/>
      <c r="CLL47"/>
      <c r="CLM47"/>
      <c r="CLN47"/>
      <c r="CLO47"/>
      <c r="CLP47"/>
      <c r="CLQ47"/>
      <c r="CLR47"/>
      <c r="CLS47"/>
      <c r="CLT47"/>
      <c r="CLU47"/>
      <c r="CLV47"/>
      <c r="CLW47"/>
      <c r="CLX47"/>
      <c r="CLY47"/>
      <c r="CLZ47"/>
      <c r="CMA47"/>
      <c r="CMB47"/>
      <c r="CMC47"/>
      <c r="CMD47"/>
      <c r="CME47"/>
      <c r="CMF47"/>
      <c r="CMG47"/>
      <c r="CMH47"/>
      <c r="CMI47"/>
      <c r="CMJ47"/>
      <c r="CMK47"/>
      <c r="CML47"/>
      <c r="CMM47"/>
      <c r="CMN47"/>
      <c r="CMO47"/>
      <c r="CMP47"/>
      <c r="CMQ47"/>
      <c r="CMR47"/>
      <c r="CMS47"/>
      <c r="CMT47"/>
      <c r="CMU47"/>
      <c r="CMV47"/>
      <c r="CMW47"/>
      <c r="CMX47"/>
      <c r="CMY47"/>
      <c r="CMZ47"/>
      <c r="CNA47"/>
      <c r="CNB47"/>
      <c r="CNC47"/>
      <c r="CND47"/>
      <c r="CNE47"/>
      <c r="CNF47"/>
      <c r="CNG47"/>
      <c r="CNH47"/>
      <c r="CNI47"/>
      <c r="CNJ47"/>
      <c r="CNK47"/>
      <c r="CNL47"/>
      <c r="CNM47"/>
      <c r="CNN47"/>
      <c r="CNO47"/>
      <c r="CNP47"/>
      <c r="CNQ47"/>
      <c r="CNR47"/>
      <c r="CNS47"/>
      <c r="CNT47"/>
      <c r="CNU47"/>
      <c r="CNV47"/>
      <c r="CNW47"/>
      <c r="CNX47"/>
      <c r="CNY47"/>
      <c r="CNZ47"/>
      <c r="COA47"/>
      <c r="COB47"/>
      <c r="COC47"/>
      <c r="COD47"/>
      <c r="COE47"/>
      <c r="COF47"/>
      <c r="COG47"/>
      <c r="COH47"/>
      <c r="COI47"/>
      <c r="COJ47"/>
      <c r="COK47"/>
      <c r="COL47"/>
      <c r="COM47"/>
      <c r="CON47"/>
      <c r="COO47"/>
      <c r="COP47"/>
      <c r="COQ47"/>
      <c r="COR47"/>
      <c r="COS47"/>
      <c r="COT47"/>
      <c r="COU47"/>
      <c r="COV47"/>
      <c r="COW47"/>
      <c r="COX47"/>
      <c r="COY47"/>
      <c r="COZ47"/>
      <c r="CPA47"/>
      <c r="CPB47"/>
      <c r="CPC47"/>
      <c r="CPD47"/>
      <c r="CPE47"/>
      <c r="CPF47"/>
      <c r="CPG47"/>
      <c r="CPH47"/>
      <c r="CPI47"/>
      <c r="CPJ47"/>
      <c r="CPK47"/>
      <c r="CPL47"/>
      <c r="CPM47"/>
      <c r="CPN47"/>
      <c r="CPO47"/>
      <c r="CPP47"/>
      <c r="CPQ47"/>
      <c r="CPR47"/>
      <c r="CPS47"/>
      <c r="CPT47"/>
      <c r="CPU47"/>
      <c r="CPV47"/>
      <c r="CPW47"/>
      <c r="CPX47"/>
      <c r="CPY47"/>
      <c r="CPZ47"/>
      <c r="CQA47"/>
      <c r="CQB47"/>
      <c r="CQC47"/>
      <c r="CQD47"/>
      <c r="CQE47"/>
      <c r="CQF47"/>
      <c r="CQG47"/>
      <c r="CQH47"/>
      <c r="CQI47"/>
      <c r="CQJ47"/>
      <c r="CQK47"/>
      <c r="CQL47"/>
      <c r="CQM47"/>
      <c r="CQN47"/>
      <c r="CQO47"/>
      <c r="CQP47"/>
      <c r="CQQ47"/>
      <c r="CQR47"/>
      <c r="CQS47"/>
      <c r="CQT47"/>
      <c r="CQU47"/>
      <c r="CQV47"/>
      <c r="CQW47"/>
      <c r="CQX47"/>
      <c r="CQY47"/>
      <c r="CQZ47"/>
      <c r="CRA47"/>
      <c r="CRB47"/>
      <c r="CRC47"/>
      <c r="CRD47"/>
      <c r="CRE47"/>
      <c r="CRF47"/>
      <c r="CRG47"/>
      <c r="CRH47"/>
      <c r="CRI47"/>
      <c r="CRJ47"/>
      <c r="CRK47"/>
      <c r="CRL47"/>
      <c r="CRM47"/>
      <c r="CRN47"/>
      <c r="CRO47"/>
      <c r="CRP47"/>
      <c r="CRQ47"/>
      <c r="CRR47"/>
      <c r="CRS47"/>
      <c r="CRT47"/>
      <c r="CRU47"/>
      <c r="CRV47"/>
      <c r="CRW47"/>
      <c r="CRX47"/>
      <c r="CRY47"/>
      <c r="CRZ47"/>
      <c r="CSA47"/>
      <c r="CSB47"/>
      <c r="CSC47"/>
      <c r="CSD47"/>
      <c r="CSE47"/>
      <c r="CSF47"/>
      <c r="CSG47"/>
      <c r="CSH47"/>
      <c r="CSI47"/>
      <c r="CSJ47"/>
      <c r="CSK47"/>
      <c r="CSL47"/>
      <c r="CSM47"/>
      <c r="CSN47"/>
      <c r="CSO47"/>
      <c r="CSP47"/>
      <c r="CSQ47"/>
      <c r="CSR47"/>
      <c r="CSS47"/>
      <c r="CST47"/>
      <c r="CSU47"/>
      <c r="CSV47"/>
      <c r="CSW47"/>
      <c r="CSX47"/>
      <c r="CSY47"/>
      <c r="CSZ47"/>
      <c r="CTA47"/>
      <c r="CTB47"/>
      <c r="CTC47"/>
      <c r="CTD47"/>
      <c r="CTE47"/>
      <c r="CTF47"/>
      <c r="CTG47"/>
      <c r="CTH47"/>
      <c r="CTI47"/>
      <c r="CTJ47"/>
      <c r="CTK47"/>
      <c r="CTL47"/>
      <c r="CTM47"/>
      <c r="CTN47"/>
      <c r="CTO47"/>
      <c r="CTP47"/>
      <c r="CTQ47"/>
      <c r="CTR47"/>
      <c r="CTS47"/>
      <c r="CTT47"/>
      <c r="CTU47"/>
      <c r="CTV47"/>
      <c r="CTW47"/>
      <c r="CTX47"/>
      <c r="CTY47"/>
      <c r="CTZ47"/>
      <c r="CUA47"/>
      <c r="CUB47"/>
      <c r="CUC47"/>
      <c r="CUD47"/>
      <c r="CUE47"/>
      <c r="CUF47"/>
      <c r="CUG47"/>
      <c r="CUH47"/>
      <c r="CUI47"/>
      <c r="CUJ47"/>
      <c r="CUK47"/>
      <c r="CUL47"/>
      <c r="CUM47"/>
      <c r="CUN47"/>
      <c r="CUO47"/>
      <c r="CUP47"/>
      <c r="CUQ47"/>
      <c r="CUR47"/>
      <c r="CUS47"/>
      <c r="CUT47"/>
      <c r="CUU47"/>
      <c r="CUV47"/>
      <c r="CUW47"/>
      <c r="CUX47"/>
      <c r="CUY47"/>
      <c r="CUZ47"/>
      <c r="CVA47"/>
      <c r="CVB47"/>
      <c r="CVC47"/>
      <c r="CVD47"/>
      <c r="CVE47"/>
      <c r="CVF47"/>
      <c r="CVG47"/>
      <c r="CVH47"/>
      <c r="CVI47"/>
      <c r="CVJ47"/>
      <c r="CVK47"/>
      <c r="CVL47"/>
      <c r="CVM47"/>
      <c r="CVN47"/>
      <c r="CVO47"/>
      <c r="CVP47"/>
      <c r="CVQ47"/>
      <c r="CVR47"/>
      <c r="CVS47"/>
      <c r="CVT47"/>
      <c r="CVU47"/>
      <c r="CVV47"/>
      <c r="CVW47"/>
      <c r="CVX47"/>
      <c r="CVY47"/>
      <c r="CVZ47"/>
      <c r="CWA47"/>
      <c r="CWB47"/>
      <c r="CWC47"/>
      <c r="CWD47"/>
      <c r="CWE47"/>
      <c r="CWF47"/>
      <c r="CWG47"/>
      <c r="CWH47"/>
      <c r="CWI47"/>
      <c r="CWJ47"/>
      <c r="CWK47"/>
      <c r="CWL47"/>
      <c r="CWM47"/>
      <c r="CWN47"/>
      <c r="CWO47"/>
      <c r="CWP47"/>
      <c r="CWQ47"/>
      <c r="CWR47"/>
      <c r="CWS47"/>
      <c r="CWT47"/>
      <c r="CWU47"/>
      <c r="CWV47"/>
      <c r="CWW47"/>
      <c r="CWX47"/>
      <c r="CWY47"/>
      <c r="CWZ47"/>
      <c r="CXA47"/>
      <c r="CXB47"/>
      <c r="CXC47"/>
      <c r="CXD47"/>
      <c r="CXE47"/>
      <c r="CXF47"/>
      <c r="CXG47"/>
      <c r="CXH47"/>
      <c r="CXI47"/>
      <c r="CXJ47"/>
      <c r="CXK47"/>
      <c r="CXL47"/>
      <c r="CXM47"/>
      <c r="CXN47"/>
      <c r="CXO47"/>
      <c r="CXP47"/>
      <c r="CXQ47"/>
      <c r="CXR47"/>
      <c r="CXS47"/>
      <c r="CXT47"/>
      <c r="CXU47"/>
      <c r="CXV47"/>
      <c r="CXW47"/>
      <c r="CXX47"/>
      <c r="CXY47"/>
      <c r="CXZ47"/>
      <c r="CYA47"/>
      <c r="CYB47"/>
      <c r="CYC47"/>
      <c r="CYD47"/>
      <c r="CYE47"/>
      <c r="CYF47"/>
      <c r="CYG47"/>
      <c r="CYH47"/>
      <c r="CYI47"/>
      <c r="CYJ47"/>
      <c r="CYK47"/>
      <c r="CYL47"/>
      <c r="CYM47"/>
      <c r="CYN47"/>
      <c r="CYO47"/>
      <c r="CYP47"/>
      <c r="CYQ47"/>
      <c r="CYR47"/>
      <c r="CYS47"/>
      <c r="CYT47"/>
      <c r="CYU47"/>
      <c r="CYV47"/>
      <c r="CYW47"/>
      <c r="CYX47"/>
      <c r="CYY47"/>
      <c r="CYZ47"/>
      <c r="CZA47"/>
      <c r="CZB47"/>
      <c r="CZC47"/>
      <c r="CZD47"/>
      <c r="CZE47"/>
      <c r="CZF47"/>
      <c r="CZG47"/>
      <c r="CZH47"/>
      <c r="CZI47"/>
      <c r="CZJ47"/>
      <c r="CZK47"/>
      <c r="CZL47"/>
      <c r="CZM47"/>
      <c r="CZN47"/>
      <c r="CZO47"/>
      <c r="CZP47"/>
      <c r="CZQ47"/>
      <c r="CZR47"/>
      <c r="CZS47"/>
      <c r="CZT47"/>
      <c r="CZU47"/>
      <c r="CZV47"/>
      <c r="CZW47"/>
      <c r="CZX47"/>
      <c r="CZY47"/>
      <c r="CZZ47"/>
      <c r="DAA47"/>
      <c r="DAB47"/>
      <c r="DAC47"/>
      <c r="DAD47"/>
      <c r="DAE47"/>
      <c r="DAF47"/>
      <c r="DAG47"/>
      <c r="DAH47"/>
      <c r="DAI47"/>
      <c r="DAJ47"/>
      <c r="DAK47"/>
      <c r="DAL47"/>
      <c r="DAM47"/>
      <c r="DAN47"/>
      <c r="DAO47"/>
      <c r="DAP47"/>
      <c r="DAQ47"/>
      <c r="DAR47"/>
      <c r="DAS47"/>
      <c r="DAT47"/>
      <c r="DAU47"/>
      <c r="DAV47"/>
      <c r="DAW47"/>
      <c r="DAX47"/>
      <c r="DAY47"/>
      <c r="DAZ47"/>
      <c r="DBA47"/>
      <c r="DBB47"/>
      <c r="DBC47"/>
      <c r="DBD47"/>
      <c r="DBE47"/>
      <c r="DBF47"/>
      <c r="DBG47"/>
      <c r="DBH47"/>
      <c r="DBI47"/>
      <c r="DBJ47"/>
      <c r="DBK47"/>
      <c r="DBL47"/>
      <c r="DBM47"/>
      <c r="DBN47"/>
      <c r="DBO47"/>
      <c r="DBP47"/>
      <c r="DBQ47"/>
      <c r="DBR47"/>
      <c r="DBS47"/>
      <c r="DBT47"/>
      <c r="DBU47"/>
      <c r="DBV47"/>
      <c r="DBW47"/>
      <c r="DBX47"/>
      <c r="DBY47"/>
      <c r="DBZ47"/>
      <c r="DCA47"/>
      <c r="DCB47"/>
      <c r="DCC47"/>
      <c r="DCD47"/>
      <c r="DCE47"/>
      <c r="DCF47"/>
      <c r="DCG47"/>
      <c r="DCH47"/>
      <c r="DCI47"/>
      <c r="DCJ47"/>
      <c r="DCK47"/>
      <c r="DCL47"/>
      <c r="DCM47"/>
      <c r="DCN47"/>
      <c r="DCO47"/>
      <c r="DCP47"/>
      <c r="DCQ47"/>
      <c r="DCR47"/>
      <c r="DCS47"/>
      <c r="DCT47"/>
      <c r="DCU47"/>
      <c r="DCV47"/>
      <c r="DCW47"/>
      <c r="DCX47"/>
      <c r="DCY47"/>
      <c r="DCZ47"/>
      <c r="DDA47"/>
      <c r="DDB47"/>
      <c r="DDC47"/>
      <c r="DDD47"/>
      <c r="DDE47"/>
      <c r="DDF47"/>
      <c r="DDG47"/>
      <c r="DDH47"/>
      <c r="DDI47"/>
      <c r="DDJ47"/>
      <c r="DDK47"/>
      <c r="DDL47"/>
      <c r="DDM47"/>
      <c r="DDN47"/>
      <c r="DDO47"/>
      <c r="DDP47"/>
      <c r="DDQ47"/>
      <c r="DDR47"/>
      <c r="DDS47"/>
      <c r="DDT47"/>
      <c r="DDU47"/>
      <c r="DDV47"/>
      <c r="DDW47"/>
      <c r="DDX47"/>
      <c r="DDY47"/>
      <c r="DDZ47"/>
      <c r="DEA47"/>
      <c r="DEB47"/>
      <c r="DEC47"/>
      <c r="DED47"/>
      <c r="DEE47"/>
      <c r="DEF47"/>
      <c r="DEG47"/>
      <c r="DEH47"/>
      <c r="DEI47"/>
      <c r="DEJ47"/>
      <c r="DEK47"/>
      <c r="DEL47"/>
      <c r="DEM47"/>
      <c r="DEN47"/>
      <c r="DEO47"/>
      <c r="DEP47"/>
      <c r="DEQ47"/>
      <c r="DER47"/>
      <c r="DES47"/>
      <c r="DET47"/>
      <c r="DEU47"/>
      <c r="DEV47"/>
      <c r="DEW47"/>
      <c r="DEX47"/>
      <c r="DEY47"/>
      <c r="DEZ47"/>
      <c r="DFA47"/>
      <c r="DFB47"/>
      <c r="DFC47"/>
      <c r="DFD47"/>
      <c r="DFE47"/>
      <c r="DFF47"/>
      <c r="DFG47"/>
      <c r="DFH47"/>
      <c r="DFI47"/>
      <c r="DFJ47"/>
      <c r="DFK47"/>
      <c r="DFL47"/>
      <c r="DFM47"/>
      <c r="DFN47"/>
      <c r="DFO47"/>
      <c r="DFP47"/>
      <c r="DFQ47"/>
      <c r="DFR47"/>
      <c r="DFS47"/>
      <c r="DFT47"/>
      <c r="DFU47"/>
      <c r="DFV47"/>
      <c r="DFW47"/>
      <c r="DFX47"/>
      <c r="DFY47"/>
      <c r="DFZ47"/>
      <c r="DGA47"/>
      <c r="DGB47"/>
      <c r="DGC47"/>
      <c r="DGD47"/>
      <c r="DGE47"/>
      <c r="DGF47"/>
      <c r="DGG47"/>
      <c r="DGH47"/>
      <c r="DGI47"/>
      <c r="DGJ47"/>
      <c r="DGK47"/>
      <c r="DGL47"/>
      <c r="DGM47"/>
      <c r="DGN47"/>
      <c r="DGO47"/>
      <c r="DGP47"/>
      <c r="DGQ47"/>
      <c r="DGR47"/>
      <c r="DGS47"/>
      <c r="DGT47"/>
      <c r="DGU47"/>
      <c r="DGV47"/>
      <c r="DGW47"/>
      <c r="DGX47"/>
      <c r="DGY47"/>
      <c r="DGZ47"/>
      <c r="DHA47"/>
      <c r="DHB47"/>
      <c r="DHC47"/>
      <c r="DHD47"/>
      <c r="DHE47"/>
      <c r="DHF47"/>
      <c r="DHG47"/>
      <c r="DHH47"/>
      <c r="DHI47"/>
      <c r="DHJ47"/>
      <c r="DHK47"/>
      <c r="DHL47"/>
      <c r="DHM47"/>
      <c r="DHN47"/>
      <c r="DHO47"/>
      <c r="DHP47"/>
      <c r="DHQ47"/>
      <c r="DHR47"/>
      <c r="DHS47"/>
      <c r="DHT47"/>
      <c r="DHU47"/>
      <c r="DHV47"/>
      <c r="DHW47"/>
      <c r="DHX47"/>
      <c r="DHY47"/>
      <c r="DHZ47"/>
      <c r="DIA47"/>
      <c r="DIB47"/>
      <c r="DIC47"/>
      <c r="DID47"/>
      <c r="DIE47"/>
      <c r="DIF47"/>
      <c r="DIG47"/>
      <c r="DIH47"/>
      <c r="DII47"/>
      <c r="DIJ47"/>
      <c r="DIK47"/>
      <c r="DIL47"/>
      <c r="DIM47"/>
      <c r="DIN47"/>
      <c r="DIO47"/>
      <c r="DIP47"/>
      <c r="DIQ47"/>
      <c r="DIR47"/>
      <c r="DIS47"/>
      <c r="DIT47"/>
      <c r="DIU47"/>
      <c r="DIV47"/>
      <c r="DIW47"/>
      <c r="DIX47"/>
      <c r="DIY47"/>
      <c r="DIZ47"/>
      <c r="DJA47"/>
      <c r="DJB47"/>
      <c r="DJC47"/>
      <c r="DJD47"/>
      <c r="DJE47"/>
      <c r="DJF47"/>
      <c r="DJG47"/>
      <c r="DJH47"/>
      <c r="DJI47"/>
      <c r="DJJ47"/>
      <c r="DJK47"/>
      <c r="DJL47"/>
      <c r="DJM47"/>
      <c r="DJN47"/>
      <c r="DJO47"/>
      <c r="DJP47"/>
      <c r="DJQ47"/>
      <c r="DJR47"/>
      <c r="DJS47"/>
      <c r="DJT47"/>
      <c r="DJU47"/>
      <c r="DJV47"/>
      <c r="DJW47"/>
      <c r="DJX47"/>
      <c r="DJY47"/>
      <c r="DJZ47"/>
      <c r="DKA47"/>
      <c r="DKB47"/>
      <c r="DKC47"/>
      <c r="DKD47"/>
      <c r="DKE47"/>
      <c r="DKF47"/>
      <c r="DKG47"/>
      <c r="DKH47"/>
      <c r="DKI47"/>
      <c r="DKJ47"/>
      <c r="DKK47"/>
      <c r="DKL47"/>
      <c r="DKM47"/>
      <c r="DKN47"/>
      <c r="DKO47"/>
      <c r="DKP47"/>
      <c r="DKQ47"/>
      <c r="DKR47"/>
      <c r="DKS47"/>
      <c r="DKT47"/>
      <c r="DKU47"/>
      <c r="DKV47"/>
      <c r="DKW47"/>
      <c r="DKX47"/>
      <c r="DKY47"/>
      <c r="DKZ47"/>
      <c r="DLA47"/>
      <c r="DLB47"/>
      <c r="DLC47"/>
      <c r="DLD47"/>
      <c r="DLE47"/>
      <c r="DLF47"/>
      <c r="DLG47"/>
      <c r="DLH47"/>
      <c r="DLI47"/>
      <c r="DLJ47"/>
      <c r="DLK47"/>
      <c r="DLL47"/>
      <c r="DLM47"/>
      <c r="DLN47"/>
      <c r="DLO47"/>
      <c r="DLP47"/>
      <c r="DLQ47"/>
      <c r="DLR47"/>
      <c r="DLS47"/>
      <c r="DLT47"/>
      <c r="DLU47"/>
      <c r="DLV47"/>
      <c r="DLW47"/>
      <c r="DLX47"/>
      <c r="DLY47"/>
      <c r="DLZ47"/>
      <c r="DMA47"/>
      <c r="DMB47"/>
      <c r="DMC47"/>
      <c r="DMD47"/>
      <c r="DME47"/>
      <c r="DMF47"/>
      <c r="DMG47"/>
      <c r="DMH47"/>
      <c r="DMI47"/>
      <c r="DMJ47"/>
      <c r="DMK47"/>
      <c r="DML47"/>
      <c r="DMM47"/>
      <c r="DMN47"/>
      <c r="DMO47"/>
      <c r="DMP47"/>
      <c r="DMQ47"/>
      <c r="DMR47"/>
      <c r="DMS47"/>
      <c r="DMT47"/>
      <c r="DMU47"/>
      <c r="DMV47"/>
      <c r="DMW47"/>
      <c r="DMX47"/>
      <c r="DMY47"/>
      <c r="DMZ47"/>
      <c r="DNA47"/>
      <c r="DNB47"/>
      <c r="DNC47"/>
      <c r="DND47"/>
      <c r="DNE47"/>
      <c r="DNF47"/>
      <c r="DNG47"/>
      <c r="DNH47"/>
      <c r="DNI47"/>
      <c r="DNJ47"/>
      <c r="DNK47"/>
      <c r="DNL47"/>
      <c r="DNM47"/>
      <c r="DNN47"/>
      <c r="DNO47"/>
      <c r="DNP47"/>
      <c r="DNQ47"/>
      <c r="DNR47"/>
      <c r="DNS47"/>
      <c r="DNT47"/>
      <c r="DNU47"/>
      <c r="DNV47"/>
      <c r="DNW47"/>
      <c r="DNX47"/>
      <c r="DNY47"/>
      <c r="DNZ47"/>
      <c r="DOA47"/>
      <c r="DOB47"/>
      <c r="DOC47"/>
      <c r="DOD47"/>
      <c r="DOE47"/>
      <c r="DOF47"/>
      <c r="DOG47"/>
      <c r="DOH47"/>
      <c r="DOI47"/>
      <c r="DOJ47"/>
      <c r="DOK47"/>
      <c r="DOL47"/>
      <c r="DOM47"/>
      <c r="DON47"/>
      <c r="DOO47"/>
      <c r="DOP47"/>
      <c r="DOQ47"/>
      <c r="DOR47"/>
      <c r="DOS47"/>
      <c r="DOT47"/>
      <c r="DOU47"/>
      <c r="DOV47"/>
      <c r="DOW47"/>
      <c r="DOX47"/>
      <c r="DOY47"/>
      <c r="DOZ47"/>
      <c r="DPA47"/>
      <c r="DPB47"/>
      <c r="DPC47"/>
      <c r="DPD47"/>
      <c r="DPE47"/>
      <c r="DPF47"/>
      <c r="DPG47"/>
      <c r="DPH47"/>
      <c r="DPI47"/>
      <c r="DPJ47"/>
      <c r="DPK47"/>
      <c r="DPL47"/>
      <c r="DPM47"/>
      <c r="DPN47"/>
      <c r="DPO47"/>
      <c r="DPP47"/>
      <c r="DPQ47"/>
      <c r="DPR47"/>
      <c r="DPS47"/>
      <c r="DPT47"/>
      <c r="DPU47"/>
      <c r="DPV47"/>
      <c r="DPW47"/>
      <c r="DPX47"/>
      <c r="DPY47"/>
      <c r="DPZ47"/>
      <c r="DQA47"/>
      <c r="DQB47"/>
      <c r="DQC47"/>
      <c r="DQD47"/>
      <c r="DQE47"/>
      <c r="DQF47"/>
      <c r="DQG47"/>
      <c r="DQH47"/>
      <c r="DQI47"/>
      <c r="DQJ47"/>
      <c r="DQK47"/>
      <c r="DQL47"/>
      <c r="DQM47"/>
      <c r="DQN47"/>
      <c r="DQO47"/>
      <c r="DQP47"/>
      <c r="DQQ47"/>
      <c r="DQR47"/>
      <c r="DQS47"/>
      <c r="DQT47"/>
      <c r="DQU47"/>
      <c r="DQV47"/>
      <c r="DQW47"/>
      <c r="DQX47"/>
      <c r="DQY47"/>
      <c r="DQZ47"/>
      <c r="DRA47"/>
      <c r="DRB47"/>
      <c r="DRC47"/>
      <c r="DRD47"/>
      <c r="DRE47"/>
      <c r="DRF47"/>
      <c r="DRG47"/>
      <c r="DRH47"/>
      <c r="DRI47"/>
      <c r="DRJ47"/>
      <c r="DRK47"/>
      <c r="DRL47"/>
      <c r="DRM47"/>
      <c r="DRN47"/>
      <c r="DRO47"/>
      <c r="DRP47"/>
      <c r="DRQ47"/>
      <c r="DRR47"/>
      <c r="DRS47"/>
      <c r="DRT47"/>
      <c r="DRU47"/>
      <c r="DRV47"/>
      <c r="DRW47"/>
      <c r="DRX47"/>
      <c r="DRY47"/>
      <c r="DRZ47"/>
      <c r="DSA47"/>
      <c r="DSB47"/>
      <c r="DSC47"/>
      <c r="DSD47"/>
      <c r="DSE47"/>
      <c r="DSF47"/>
      <c r="DSG47"/>
      <c r="DSH47"/>
      <c r="DSI47"/>
      <c r="DSJ47"/>
      <c r="DSK47"/>
      <c r="DSL47"/>
      <c r="DSM47"/>
      <c r="DSN47"/>
      <c r="DSO47"/>
      <c r="DSP47"/>
      <c r="DSQ47"/>
      <c r="DSR47"/>
      <c r="DSS47"/>
      <c r="DST47"/>
      <c r="DSU47"/>
      <c r="DSV47"/>
      <c r="DSW47"/>
      <c r="DSX47"/>
      <c r="DSY47"/>
      <c r="DSZ47"/>
      <c r="DTA47"/>
      <c r="DTB47"/>
      <c r="DTC47"/>
      <c r="DTD47"/>
      <c r="DTE47"/>
      <c r="DTF47"/>
      <c r="DTG47"/>
      <c r="DTH47"/>
      <c r="DTI47"/>
      <c r="DTJ47"/>
      <c r="DTK47"/>
      <c r="DTL47"/>
      <c r="DTM47"/>
      <c r="DTN47"/>
      <c r="DTO47"/>
      <c r="DTP47"/>
      <c r="DTQ47"/>
      <c r="DTR47"/>
      <c r="DTS47"/>
      <c r="DTT47"/>
      <c r="DTU47"/>
      <c r="DTV47"/>
      <c r="DTW47"/>
      <c r="DTX47"/>
      <c r="DTY47"/>
      <c r="DTZ47"/>
      <c r="DUA47"/>
      <c r="DUB47"/>
      <c r="DUC47"/>
      <c r="DUD47"/>
      <c r="DUE47"/>
      <c r="DUF47"/>
      <c r="DUG47"/>
      <c r="DUH47"/>
      <c r="DUI47"/>
      <c r="DUJ47"/>
      <c r="DUK47"/>
      <c r="DUL47"/>
      <c r="DUM47"/>
      <c r="DUN47"/>
      <c r="DUO47"/>
      <c r="DUP47"/>
      <c r="DUQ47"/>
      <c r="DUR47"/>
      <c r="DUS47"/>
      <c r="DUT47"/>
      <c r="DUU47"/>
      <c r="DUV47"/>
      <c r="DUW47"/>
      <c r="DUX47"/>
      <c r="DUY47"/>
      <c r="DUZ47"/>
      <c r="DVA47"/>
      <c r="DVB47"/>
      <c r="DVC47"/>
      <c r="DVD47"/>
      <c r="DVE47"/>
      <c r="DVF47"/>
      <c r="DVG47"/>
      <c r="DVH47"/>
      <c r="DVI47"/>
      <c r="DVJ47"/>
      <c r="DVK47"/>
      <c r="DVL47"/>
      <c r="DVM47"/>
      <c r="DVN47"/>
      <c r="DVO47"/>
      <c r="DVP47"/>
      <c r="DVQ47"/>
      <c r="DVR47"/>
      <c r="DVS47"/>
      <c r="DVT47"/>
      <c r="DVU47"/>
      <c r="DVV47"/>
      <c r="DVW47"/>
      <c r="DVX47"/>
      <c r="DVY47"/>
      <c r="DVZ47"/>
      <c r="DWA47"/>
      <c r="DWB47"/>
      <c r="DWC47"/>
      <c r="DWD47"/>
      <c r="DWE47"/>
      <c r="DWF47"/>
      <c r="DWG47"/>
      <c r="DWH47"/>
      <c r="DWI47"/>
      <c r="DWJ47"/>
      <c r="DWK47"/>
      <c r="DWL47"/>
      <c r="DWM47"/>
      <c r="DWN47"/>
      <c r="DWO47"/>
      <c r="DWP47"/>
      <c r="DWQ47"/>
      <c r="DWR47"/>
      <c r="DWS47"/>
      <c r="DWT47"/>
      <c r="DWU47"/>
      <c r="DWV47"/>
      <c r="DWW47"/>
      <c r="DWX47"/>
      <c r="DWY47"/>
      <c r="DWZ47"/>
      <c r="DXA47"/>
      <c r="DXB47"/>
      <c r="DXC47"/>
      <c r="DXD47"/>
      <c r="DXE47"/>
      <c r="DXF47"/>
      <c r="DXG47"/>
      <c r="DXH47"/>
      <c r="DXI47"/>
      <c r="DXJ47"/>
      <c r="DXK47"/>
      <c r="DXL47"/>
      <c r="DXM47"/>
      <c r="DXN47"/>
      <c r="DXO47"/>
      <c r="DXP47"/>
      <c r="DXQ47"/>
      <c r="DXR47"/>
      <c r="DXS47"/>
      <c r="DXT47"/>
      <c r="DXU47"/>
      <c r="DXV47"/>
      <c r="DXW47"/>
      <c r="DXX47"/>
      <c r="DXY47"/>
      <c r="DXZ47"/>
      <c r="DYA47"/>
      <c r="DYB47"/>
      <c r="DYC47"/>
      <c r="DYD47"/>
      <c r="DYE47"/>
      <c r="DYF47"/>
      <c r="DYG47"/>
      <c r="DYH47"/>
      <c r="DYI47"/>
      <c r="DYJ47"/>
      <c r="DYK47"/>
      <c r="DYL47"/>
      <c r="DYM47"/>
      <c r="DYN47"/>
      <c r="DYO47"/>
      <c r="DYP47"/>
      <c r="DYQ47"/>
      <c r="DYR47"/>
      <c r="DYS47"/>
      <c r="DYT47"/>
      <c r="DYU47"/>
      <c r="DYV47"/>
      <c r="DYW47"/>
      <c r="DYX47"/>
      <c r="DYY47"/>
      <c r="DYZ47"/>
      <c r="DZA47"/>
      <c r="DZB47"/>
      <c r="DZC47"/>
      <c r="DZD47"/>
      <c r="DZE47"/>
      <c r="DZF47"/>
      <c r="DZG47"/>
      <c r="DZH47"/>
      <c r="DZI47"/>
      <c r="DZJ47"/>
      <c r="DZK47"/>
      <c r="DZL47"/>
      <c r="DZM47"/>
      <c r="DZN47"/>
      <c r="DZO47"/>
      <c r="DZP47"/>
      <c r="DZQ47"/>
      <c r="DZR47"/>
      <c r="DZS47"/>
      <c r="DZT47"/>
      <c r="DZU47"/>
      <c r="DZV47"/>
      <c r="DZW47"/>
      <c r="DZX47"/>
      <c r="DZY47"/>
      <c r="DZZ47"/>
      <c r="EAA47"/>
      <c r="EAB47"/>
      <c r="EAC47"/>
      <c r="EAD47"/>
      <c r="EAE47"/>
      <c r="EAF47"/>
      <c r="EAG47"/>
      <c r="EAH47"/>
      <c r="EAI47"/>
      <c r="EAJ47"/>
      <c r="EAK47"/>
      <c r="EAL47"/>
      <c r="EAM47"/>
      <c r="EAN47"/>
      <c r="EAO47"/>
      <c r="EAP47"/>
      <c r="EAQ47"/>
      <c r="EAR47"/>
      <c r="EAS47"/>
      <c r="EAT47"/>
      <c r="EAU47"/>
      <c r="EAV47"/>
      <c r="EAW47"/>
      <c r="EAX47"/>
      <c r="EAY47"/>
      <c r="EAZ47"/>
      <c r="EBA47"/>
      <c r="EBB47"/>
      <c r="EBC47"/>
      <c r="EBD47"/>
      <c r="EBE47"/>
      <c r="EBF47"/>
      <c r="EBG47"/>
      <c r="EBH47"/>
      <c r="EBI47"/>
      <c r="EBJ47"/>
      <c r="EBK47"/>
      <c r="EBL47"/>
      <c r="EBM47"/>
      <c r="EBN47"/>
      <c r="EBO47"/>
      <c r="EBP47"/>
      <c r="EBQ47"/>
      <c r="EBR47"/>
      <c r="EBS47"/>
      <c r="EBT47"/>
      <c r="EBU47"/>
      <c r="EBV47"/>
      <c r="EBW47"/>
      <c r="EBX47"/>
      <c r="EBY47"/>
      <c r="EBZ47"/>
      <c r="ECA47"/>
      <c r="ECB47"/>
      <c r="ECC47"/>
      <c r="ECD47"/>
      <c r="ECE47"/>
      <c r="ECF47"/>
      <c r="ECG47"/>
      <c r="ECH47"/>
      <c r="ECI47"/>
      <c r="ECJ47"/>
      <c r="ECK47"/>
      <c r="ECL47"/>
      <c r="ECM47"/>
      <c r="ECN47"/>
      <c r="ECO47"/>
      <c r="ECP47"/>
      <c r="ECQ47"/>
      <c r="ECR47"/>
      <c r="ECS47"/>
      <c r="ECT47"/>
      <c r="ECU47"/>
      <c r="ECV47"/>
      <c r="ECW47"/>
      <c r="ECX47"/>
      <c r="ECY47"/>
      <c r="ECZ47"/>
      <c r="EDA47"/>
      <c r="EDB47"/>
      <c r="EDC47"/>
      <c r="EDD47"/>
      <c r="EDE47"/>
      <c r="EDF47"/>
      <c r="EDG47"/>
      <c r="EDH47"/>
      <c r="EDI47"/>
      <c r="EDJ47"/>
      <c r="EDK47"/>
      <c r="EDL47"/>
      <c r="EDM47"/>
      <c r="EDN47"/>
      <c r="EDO47"/>
      <c r="EDP47"/>
      <c r="EDQ47"/>
      <c r="EDR47"/>
      <c r="EDS47"/>
      <c r="EDT47"/>
      <c r="EDU47"/>
      <c r="EDV47"/>
      <c r="EDW47"/>
      <c r="EDX47"/>
      <c r="EDY47"/>
      <c r="EDZ47"/>
      <c r="EEA47"/>
      <c r="EEB47"/>
      <c r="EEC47"/>
      <c r="EED47"/>
      <c r="EEE47"/>
      <c r="EEF47"/>
      <c r="EEG47"/>
      <c r="EEH47"/>
      <c r="EEI47"/>
      <c r="EEJ47"/>
      <c r="EEK47"/>
      <c r="EEL47"/>
      <c r="EEM47"/>
      <c r="EEN47"/>
      <c r="EEO47"/>
      <c r="EEP47"/>
      <c r="EEQ47"/>
      <c r="EER47"/>
      <c r="EES47"/>
      <c r="EET47"/>
      <c r="EEU47"/>
      <c r="EEV47"/>
      <c r="EEW47"/>
      <c r="EEX47"/>
      <c r="EEY47"/>
      <c r="EEZ47"/>
      <c r="EFA47"/>
      <c r="EFB47"/>
      <c r="EFC47"/>
      <c r="EFD47"/>
      <c r="EFE47"/>
      <c r="EFF47"/>
      <c r="EFG47"/>
      <c r="EFH47"/>
      <c r="EFI47"/>
      <c r="EFJ47"/>
      <c r="EFK47"/>
      <c r="EFL47"/>
      <c r="EFM47"/>
      <c r="EFN47"/>
      <c r="EFO47"/>
      <c r="EFP47"/>
      <c r="EFQ47"/>
      <c r="EFR47"/>
      <c r="EFS47"/>
      <c r="EFT47"/>
      <c r="EFU47"/>
      <c r="EFV47"/>
      <c r="EFW47"/>
      <c r="EFX47"/>
      <c r="EFY47"/>
      <c r="EFZ47"/>
      <c r="EGA47"/>
      <c r="EGB47"/>
      <c r="EGC47"/>
      <c r="EGD47"/>
      <c r="EGE47"/>
      <c r="EGF47"/>
      <c r="EGG47"/>
      <c r="EGH47"/>
      <c r="EGI47"/>
      <c r="EGJ47"/>
      <c r="EGK47"/>
      <c r="EGL47"/>
      <c r="EGM47"/>
      <c r="EGN47"/>
      <c r="EGO47"/>
      <c r="EGP47"/>
      <c r="EGQ47"/>
      <c r="EGR47"/>
      <c r="EGS47"/>
      <c r="EGT47"/>
      <c r="EGU47"/>
      <c r="EGV47"/>
      <c r="EGW47"/>
      <c r="EGX47"/>
      <c r="EGY47"/>
      <c r="EGZ47"/>
      <c r="EHA47"/>
      <c r="EHB47"/>
      <c r="EHC47"/>
      <c r="EHD47"/>
      <c r="EHE47"/>
      <c r="EHF47"/>
      <c r="EHG47"/>
      <c r="EHH47"/>
      <c r="EHI47"/>
      <c r="EHJ47"/>
      <c r="EHK47"/>
      <c r="EHL47"/>
      <c r="EHM47"/>
      <c r="EHN47"/>
      <c r="EHO47"/>
      <c r="EHP47"/>
      <c r="EHQ47"/>
      <c r="EHR47"/>
      <c r="EHS47"/>
      <c r="EHT47"/>
      <c r="EHU47"/>
      <c r="EHV47"/>
      <c r="EHW47"/>
      <c r="EHX47"/>
      <c r="EHY47"/>
      <c r="EHZ47"/>
      <c r="EIA47"/>
      <c r="EIB47"/>
      <c r="EIC47"/>
      <c r="EID47"/>
      <c r="EIE47"/>
      <c r="EIF47"/>
      <c r="EIG47"/>
      <c r="EIH47"/>
      <c r="EII47"/>
      <c r="EIJ47"/>
      <c r="EIK47"/>
      <c r="EIL47"/>
      <c r="EIM47"/>
      <c r="EIN47"/>
      <c r="EIO47"/>
      <c r="EIP47"/>
      <c r="EIQ47"/>
      <c r="EIR47"/>
      <c r="EIS47"/>
      <c r="EIT47"/>
      <c r="EIU47"/>
      <c r="EIV47"/>
      <c r="EIW47"/>
      <c r="EIX47"/>
      <c r="EIY47"/>
      <c r="EIZ47"/>
      <c r="EJA47"/>
      <c r="EJB47"/>
      <c r="EJC47"/>
      <c r="EJD47"/>
      <c r="EJE47"/>
      <c r="EJF47"/>
      <c r="EJG47"/>
      <c r="EJH47"/>
      <c r="EJI47"/>
      <c r="EJJ47"/>
      <c r="EJK47"/>
      <c r="EJL47"/>
      <c r="EJM47"/>
      <c r="EJN47"/>
      <c r="EJO47"/>
      <c r="EJP47"/>
      <c r="EJQ47"/>
      <c r="EJR47"/>
      <c r="EJS47"/>
      <c r="EJT47"/>
      <c r="EJU47"/>
      <c r="EJV47"/>
      <c r="EJW47"/>
      <c r="EJX47"/>
      <c r="EJY47"/>
      <c r="EJZ47"/>
      <c r="EKA47"/>
      <c r="EKB47"/>
      <c r="EKC47"/>
      <c r="EKD47"/>
      <c r="EKE47"/>
      <c r="EKF47"/>
      <c r="EKG47"/>
      <c r="EKH47"/>
      <c r="EKI47"/>
      <c r="EKJ47"/>
      <c r="EKK47"/>
      <c r="EKL47"/>
      <c r="EKM47"/>
      <c r="EKN47"/>
      <c r="EKO47"/>
      <c r="EKP47"/>
      <c r="EKQ47"/>
      <c r="EKR47"/>
      <c r="EKS47"/>
      <c r="EKT47"/>
      <c r="EKU47"/>
      <c r="EKV47"/>
      <c r="EKW47"/>
      <c r="EKX47"/>
      <c r="EKY47"/>
      <c r="EKZ47"/>
      <c r="ELA47"/>
      <c r="ELB47"/>
      <c r="ELC47"/>
      <c r="ELD47"/>
      <c r="ELE47"/>
      <c r="ELF47"/>
      <c r="ELG47"/>
      <c r="ELH47"/>
      <c r="ELI47"/>
      <c r="ELJ47"/>
      <c r="ELK47"/>
      <c r="ELL47"/>
      <c r="ELM47"/>
      <c r="ELN47"/>
      <c r="ELO47"/>
      <c r="ELP47"/>
      <c r="ELQ47"/>
      <c r="ELR47"/>
      <c r="ELS47"/>
      <c r="ELT47"/>
      <c r="ELU47"/>
      <c r="ELV47"/>
      <c r="ELW47"/>
      <c r="ELX47"/>
      <c r="ELY47"/>
      <c r="ELZ47"/>
      <c r="EMA47"/>
      <c r="EMB47"/>
      <c r="EMC47"/>
      <c r="EMD47"/>
      <c r="EME47"/>
      <c r="EMF47"/>
      <c r="EMG47"/>
      <c r="EMH47"/>
      <c r="EMI47"/>
      <c r="EMJ47"/>
      <c r="EMK47"/>
      <c r="EML47"/>
      <c r="EMM47"/>
      <c r="EMN47"/>
      <c r="EMO47"/>
      <c r="EMP47"/>
      <c r="EMQ47"/>
      <c r="EMR47"/>
      <c r="EMS47"/>
      <c r="EMT47"/>
      <c r="EMU47"/>
      <c r="EMV47"/>
      <c r="EMW47"/>
      <c r="EMX47"/>
      <c r="EMY47"/>
      <c r="EMZ47"/>
      <c r="ENA47"/>
      <c r="ENB47"/>
      <c r="ENC47"/>
      <c r="END47"/>
      <c r="ENE47"/>
      <c r="ENF47"/>
      <c r="ENG47"/>
      <c r="ENH47"/>
      <c r="ENI47"/>
      <c r="ENJ47"/>
      <c r="ENK47"/>
      <c r="ENL47"/>
      <c r="ENM47"/>
      <c r="ENN47"/>
      <c r="ENO47"/>
      <c r="ENP47"/>
      <c r="ENQ47"/>
      <c r="ENR47"/>
      <c r="ENS47"/>
      <c r="ENT47"/>
      <c r="ENU47"/>
      <c r="ENV47"/>
      <c r="ENW47"/>
      <c r="ENX47"/>
      <c r="ENY47"/>
      <c r="ENZ47"/>
      <c r="EOA47"/>
      <c r="EOB47"/>
      <c r="EOC47"/>
      <c r="EOD47"/>
      <c r="EOE47"/>
      <c r="EOF47"/>
      <c r="EOG47"/>
      <c r="EOH47"/>
      <c r="EOI47"/>
      <c r="EOJ47"/>
      <c r="EOK47"/>
      <c r="EOL47"/>
      <c r="EOM47"/>
      <c r="EON47"/>
      <c r="EOO47"/>
      <c r="EOP47"/>
      <c r="EOQ47"/>
      <c r="EOR47"/>
      <c r="EOS47"/>
      <c r="EOT47"/>
      <c r="EOU47"/>
      <c r="EOV47"/>
      <c r="EOW47"/>
      <c r="EOX47"/>
      <c r="EOY47"/>
      <c r="EOZ47"/>
      <c r="EPA47"/>
      <c r="EPB47"/>
      <c r="EPC47"/>
      <c r="EPD47"/>
      <c r="EPE47"/>
      <c r="EPF47"/>
      <c r="EPG47"/>
      <c r="EPH47"/>
      <c r="EPI47"/>
      <c r="EPJ47"/>
      <c r="EPK47"/>
      <c r="EPL47"/>
      <c r="EPM47"/>
      <c r="EPN47"/>
      <c r="EPO47"/>
      <c r="EPP47"/>
      <c r="EPQ47"/>
      <c r="EPR47"/>
      <c r="EPS47"/>
      <c r="EPT47"/>
      <c r="EPU47"/>
      <c r="EPV47"/>
      <c r="EPW47"/>
      <c r="EPX47"/>
      <c r="EPY47"/>
      <c r="EPZ47"/>
      <c r="EQA47"/>
      <c r="EQB47"/>
      <c r="EQC47"/>
      <c r="EQD47"/>
      <c r="EQE47"/>
      <c r="EQF47"/>
      <c r="EQG47"/>
      <c r="EQH47"/>
      <c r="EQI47"/>
      <c r="EQJ47"/>
      <c r="EQK47"/>
      <c r="EQL47"/>
      <c r="EQM47"/>
      <c r="EQN47"/>
      <c r="EQO47"/>
      <c r="EQP47"/>
      <c r="EQQ47"/>
      <c r="EQR47"/>
      <c r="EQS47"/>
      <c r="EQT47"/>
      <c r="EQU47"/>
      <c r="EQV47"/>
      <c r="EQW47"/>
      <c r="EQX47"/>
      <c r="EQY47"/>
      <c r="EQZ47"/>
      <c r="ERA47"/>
      <c r="ERB47"/>
      <c r="ERC47"/>
      <c r="ERD47"/>
      <c r="ERE47"/>
      <c r="ERF47"/>
      <c r="ERG47"/>
      <c r="ERH47"/>
      <c r="ERI47"/>
      <c r="ERJ47"/>
      <c r="ERK47"/>
      <c r="ERL47"/>
      <c r="ERM47"/>
      <c r="ERN47"/>
      <c r="ERO47"/>
      <c r="ERP47"/>
      <c r="ERQ47"/>
      <c r="ERR47"/>
      <c r="ERS47"/>
      <c r="ERT47"/>
      <c r="ERU47"/>
      <c r="ERV47"/>
      <c r="ERW47"/>
      <c r="ERX47"/>
      <c r="ERY47"/>
      <c r="ERZ47"/>
      <c r="ESA47"/>
      <c r="ESB47"/>
      <c r="ESC47"/>
      <c r="ESD47"/>
      <c r="ESE47"/>
      <c r="ESF47"/>
      <c r="ESG47"/>
      <c r="ESH47"/>
      <c r="ESI47"/>
      <c r="ESJ47"/>
      <c r="ESK47"/>
      <c r="ESL47"/>
      <c r="ESM47"/>
      <c r="ESN47"/>
      <c r="ESO47"/>
      <c r="ESP47"/>
      <c r="ESQ47"/>
      <c r="ESR47"/>
      <c r="ESS47"/>
      <c r="EST47"/>
      <c r="ESU47"/>
      <c r="ESV47"/>
      <c r="ESW47"/>
      <c r="ESX47"/>
      <c r="ESY47"/>
      <c r="ESZ47"/>
      <c r="ETA47"/>
      <c r="ETB47"/>
      <c r="ETC47"/>
      <c r="ETD47"/>
      <c r="ETE47"/>
      <c r="ETF47"/>
      <c r="ETG47"/>
      <c r="ETH47"/>
      <c r="ETI47"/>
      <c r="ETJ47"/>
      <c r="ETK47"/>
      <c r="ETL47"/>
      <c r="ETM47"/>
      <c r="ETN47"/>
      <c r="ETO47"/>
      <c r="ETP47"/>
      <c r="ETQ47"/>
      <c r="ETR47"/>
      <c r="ETS47"/>
      <c r="ETT47"/>
      <c r="ETU47"/>
      <c r="ETV47"/>
      <c r="ETW47"/>
      <c r="ETX47"/>
      <c r="ETY47"/>
      <c r="ETZ47"/>
      <c r="EUA47"/>
      <c r="EUB47"/>
      <c r="EUC47"/>
      <c r="EUD47"/>
      <c r="EUE47"/>
      <c r="EUF47"/>
      <c r="EUG47"/>
      <c r="EUH47"/>
      <c r="EUI47"/>
      <c r="EUJ47"/>
      <c r="EUK47"/>
      <c r="EUL47"/>
      <c r="EUM47"/>
      <c r="EUN47"/>
      <c r="EUO47"/>
      <c r="EUP47"/>
      <c r="EUQ47"/>
      <c r="EUR47"/>
      <c r="EUS47"/>
      <c r="EUT47"/>
      <c r="EUU47"/>
      <c r="EUV47"/>
      <c r="EUW47"/>
      <c r="EUX47"/>
      <c r="EUY47"/>
      <c r="EUZ47"/>
      <c r="EVA47"/>
      <c r="EVB47"/>
      <c r="EVC47"/>
      <c r="EVD47"/>
      <c r="EVE47"/>
      <c r="EVF47"/>
      <c r="EVG47"/>
      <c r="EVH47"/>
      <c r="EVI47"/>
      <c r="EVJ47"/>
      <c r="EVK47"/>
      <c r="EVL47"/>
      <c r="EVM47"/>
      <c r="EVN47"/>
      <c r="EVO47"/>
      <c r="EVP47"/>
      <c r="EVQ47"/>
      <c r="EVR47"/>
      <c r="EVS47"/>
      <c r="EVT47"/>
      <c r="EVU47"/>
      <c r="EVV47"/>
      <c r="EVW47"/>
      <c r="EVX47"/>
      <c r="EVY47"/>
      <c r="EVZ47"/>
      <c r="EWA47"/>
      <c r="EWB47"/>
      <c r="EWC47"/>
      <c r="EWD47"/>
      <c r="EWE47"/>
      <c r="EWF47"/>
      <c r="EWG47"/>
      <c r="EWH47"/>
      <c r="EWI47"/>
      <c r="EWJ47"/>
      <c r="EWK47"/>
      <c r="EWL47"/>
      <c r="EWM47"/>
      <c r="EWN47"/>
      <c r="EWO47"/>
      <c r="EWP47"/>
      <c r="EWQ47"/>
      <c r="EWR47"/>
      <c r="EWS47"/>
      <c r="EWT47"/>
      <c r="EWU47"/>
      <c r="EWV47"/>
      <c r="EWW47"/>
      <c r="EWX47"/>
      <c r="EWY47"/>
      <c r="EWZ47"/>
      <c r="EXA47"/>
      <c r="EXB47"/>
      <c r="EXC47"/>
      <c r="EXD47"/>
      <c r="EXE47"/>
      <c r="EXF47"/>
      <c r="EXG47"/>
      <c r="EXH47"/>
      <c r="EXI47"/>
      <c r="EXJ47"/>
      <c r="EXK47"/>
      <c r="EXL47"/>
      <c r="EXM47"/>
      <c r="EXN47"/>
      <c r="EXO47"/>
      <c r="EXP47"/>
      <c r="EXQ47"/>
      <c r="EXR47"/>
      <c r="EXS47"/>
      <c r="EXT47"/>
      <c r="EXU47"/>
      <c r="EXV47"/>
      <c r="EXW47"/>
      <c r="EXX47"/>
      <c r="EXY47"/>
      <c r="EXZ47"/>
      <c r="EYA47"/>
      <c r="EYB47"/>
      <c r="EYC47"/>
      <c r="EYD47"/>
      <c r="EYE47"/>
      <c r="EYF47"/>
      <c r="EYG47"/>
      <c r="EYH47"/>
      <c r="EYI47"/>
      <c r="EYJ47"/>
      <c r="EYK47"/>
      <c r="EYL47"/>
      <c r="EYM47"/>
      <c r="EYN47"/>
      <c r="EYO47"/>
      <c r="EYP47"/>
      <c r="EYQ47"/>
      <c r="EYR47"/>
      <c r="EYS47"/>
      <c r="EYT47"/>
      <c r="EYU47"/>
      <c r="EYV47"/>
      <c r="EYW47"/>
      <c r="EYX47"/>
      <c r="EYY47"/>
      <c r="EYZ47"/>
      <c r="EZA47"/>
      <c r="EZB47"/>
      <c r="EZC47"/>
      <c r="EZD47"/>
      <c r="EZE47"/>
      <c r="EZF47"/>
      <c r="EZG47"/>
      <c r="EZH47"/>
      <c r="EZI47"/>
      <c r="EZJ47"/>
      <c r="EZK47"/>
      <c r="EZL47"/>
      <c r="EZM47"/>
      <c r="EZN47"/>
      <c r="EZO47"/>
      <c r="EZP47"/>
      <c r="EZQ47"/>
      <c r="EZR47"/>
      <c r="EZS47"/>
      <c r="EZT47"/>
      <c r="EZU47"/>
      <c r="EZV47"/>
      <c r="EZW47"/>
      <c r="EZX47"/>
      <c r="EZY47"/>
      <c r="EZZ47"/>
      <c r="FAA47"/>
      <c r="FAB47"/>
      <c r="FAC47"/>
      <c r="FAD47"/>
      <c r="FAE47"/>
      <c r="FAF47"/>
      <c r="FAG47"/>
      <c r="FAH47"/>
      <c r="FAI47"/>
      <c r="FAJ47"/>
      <c r="FAK47"/>
      <c r="FAL47"/>
      <c r="FAM47"/>
      <c r="FAN47"/>
      <c r="FAO47"/>
      <c r="FAP47"/>
      <c r="FAQ47"/>
      <c r="FAR47"/>
      <c r="FAS47"/>
      <c r="FAT47"/>
      <c r="FAU47"/>
      <c r="FAV47"/>
      <c r="FAW47"/>
      <c r="FAX47"/>
      <c r="FAY47"/>
      <c r="FAZ47"/>
      <c r="FBA47"/>
      <c r="FBB47"/>
      <c r="FBC47"/>
      <c r="FBD47"/>
      <c r="FBE47"/>
      <c r="FBF47"/>
      <c r="FBG47"/>
      <c r="FBH47"/>
      <c r="FBI47"/>
      <c r="FBJ47"/>
      <c r="FBK47"/>
      <c r="FBL47"/>
      <c r="FBM47"/>
      <c r="FBN47"/>
      <c r="FBO47"/>
      <c r="FBP47"/>
      <c r="FBQ47"/>
      <c r="FBR47"/>
      <c r="FBS47"/>
      <c r="FBT47"/>
      <c r="FBU47"/>
      <c r="FBV47"/>
      <c r="FBW47"/>
      <c r="FBX47"/>
      <c r="FBY47"/>
      <c r="FBZ47"/>
      <c r="FCA47"/>
      <c r="FCB47"/>
      <c r="FCC47"/>
      <c r="FCD47"/>
      <c r="FCE47"/>
      <c r="FCF47"/>
      <c r="FCG47"/>
      <c r="FCH47"/>
      <c r="FCI47"/>
      <c r="FCJ47"/>
      <c r="FCK47"/>
      <c r="FCL47"/>
      <c r="FCM47"/>
      <c r="FCN47"/>
      <c r="FCO47"/>
      <c r="FCP47"/>
      <c r="FCQ47"/>
      <c r="FCR47"/>
      <c r="FCS47"/>
      <c r="FCT47"/>
      <c r="FCU47"/>
      <c r="FCV47"/>
      <c r="FCW47"/>
      <c r="FCX47"/>
      <c r="FCY47"/>
      <c r="FCZ47"/>
      <c r="FDA47"/>
      <c r="FDB47"/>
      <c r="FDC47"/>
      <c r="FDD47"/>
      <c r="FDE47"/>
      <c r="FDF47"/>
      <c r="FDG47"/>
      <c r="FDH47"/>
      <c r="FDI47"/>
      <c r="FDJ47"/>
      <c r="FDK47"/>
      <c r="FDL47"/>
      <c r="FDM47"/>
      <c r="FDN47"/>
      <c r="FDO47"/>
      <c r="FDP47"/>
      <c r="FDQ47"/>
      <c r="FDR47"/>
      <c r="FDS47"/>
      <c r="FDT47"/>
      <c r="FDU47"/>
      <c r="FDV47"/>
      <c r="FDW47"/>
      <c r="FDX47"/>
      <c r="FDY47"/>
      <c r="FDZ47"/>
      <c r="FEA47"/>
      <c r="FEB47"/>
      <c r="FEC47"/>
      <c r="FED47"/>
      <c r="FEE47"/>
      <c r="FEF47"/>
      <c r="FEG47"/>
      <c r="FEH47"/>
      <c r="FEI47"/>
      <c r="FEJ47"/>
      <c r="FEK47"/>
      <c r="FEL47"/>
      <c r="FEM47"/>
      <c r="FEN47"/>
      <c r="FEO47"/>
      <c r="FEP47"/>
      <c r="FEQ47"/>
      <c r="FER47"/>
      <c r="FES47"/>
      <c r="FET47"/>
      <c r="FEU47"/>
      <c r="FEV47"/>
      <c r="FEW47"/>
      <c r="FEX47"/>
      <c r="FEY47"/>
      <c r="FEZ47"/>
      <c r="FFA47"/>
      <c r="FFB47"/>
      <c r="FFC47"/>
      <c r="FFD47"/>
      <c r="FFE47"/>
      <c r="FFF47"/>
      <c r="FFG47"/>
      <c r="FFH47"/>
      <c r="FFI47"/>
      <c r="FFJ47"/>
      <c r="FFK47"/>
      <c r="FFL47"/>
      <c r="FFM47"/>
      <c r="FFN47"/>
      <c r="FFO47"/>
      <c r="FFP47"/>
      <c r="FFQ47"/>
      <c r="FFR47"/>
      <c r="FFS47"/>
      <c r="FFT47"/>
      <c r="FFU47"/>
      <c r="FFV47"/>
      <c r="FFW47"/>
      <c r="FFX47"/>
      <c r="FFY47"/>
      <c r="FFZ47"/>
      <c r="FGA47"/>
      <c r="FGB47"/>
      <c r="FGC47"/>
      <c r="FGD47"/>
      <c r="FGE47"/>
      <c r="FGF47"/>
      <c r="FGG47"/>
      <c r="FGH47"/>
      <c r="FGI47"/>
      <c r="FGJ47"/>
      <c r="FGK47"/>
      <c r="FGL47"/>
      <c r="FGM47"/>
      <c r="FGN47"/>
      <c r="FGO47"/>
      <c r="FGP47"/>
      <c r="FGQ47"/>
      <c r="FGR47"/>
      <c r="FGS47"/>
      <c r="FGT47"/>
      <c r="FGU47"/>
      <c r="FGV47"/>
      <c r="FGW47"/>
      <c r="FGX47"/>
      <c r="FGY47"/>
      <c r="FGZ47"/>
      <c r="FHA47"/>
      <c r="FHB47"/>
      <c r="FHC47"/>
      <c r="FHD47"/>
      <c r="FHE47"/>
      <c r="FHF47"/>
      <c r="FHG47"/>
      <c r="FHH47"/>
      <c r="FHI47"/>
      <c r="FHJ47"/>
      <c r="FHK47"/>
      <c r="FHL47"/>
      <c r="FHM47"/>
      <c r="FHN47"/>
      <c r="FHO47"/>
      <c r="FHP47"/>
      <c r="FHQ47"/>
      <c r="FHR47"/>
      <c r="FHS47"/>
      <c r="FHT47"/>
      <c r="FHU47"/>
      <c r="FHV47"/>
      <c r="FHW47"/>
      <c r="FHX47"/>
      <c r="FHY47"/>
      <c r="FHZ47"/>
      <c r="FIA47"/>
      <c r="FIB47"/>
      <c r="FIC47"/>
      <c r="FID47"/>
      <c r="FIE47"/>
      <c r="FIF47"/>
      <c r="FIG47"/>
      <c r="FIH47"/>
      <c r="FII47"/>
      <c r="FIJ47"/>
      <c r="FIK47"/>
      <c r="FIL47"/>
      <c r="FIM47"/>
      <c r="FIN47"/>
      <c r="FIO47"/>
      <c r="FIP47"/>
      <c r="FIQ47"/>
      <c r="FIR47"/>
      <c r="FIS47"/>
      <c r="FIT47"/>
      <c r="FIU47"/>
      <c r="FIV47"/>
      <c r="FIW47"/>
      <c r="FIX47"/>
      <c r="FIY47"/>
      <c r="FIZ47"/>
      <c r="FJA47"/>
      <c r="FJB47"/>
      <c r="FJC47"/>
      <c r="FJD47"/>
      <c r="FJE47"/>
      <c r="FJF47"/>
      <c r="FJG47"/>
      <c r="FJH47"/>
      <c r="FJI47"/>
      <c r="FJJ47"/>
      <c r="FJK47"/>
      <c r="FJL47"/>
      <c r="FJM47"/>
      <c r="FJN47"/>
      <c r="FJO47"/>
      <c r="FJP47"/>
      <c r="FJQ47"/>
      <c r="FJR47"/>
      <c r="FJS47"/>
      <c r="FJT47"/>
      <c r="FJU47"/>
      <c r="FJV47"/>
      <c r="FJW47"/>
      <c r="FJX47"/>
      <c r="FJY47"/>
      <c r="FJZ47"/>
      <c r="FKA47"/>
      <c r="FKB47"/>
      <c r="FKC47"/>
      <c r="FKD47"/>
      <c r="FKE47"/>
      <c r="FKF47"/>
      <c r="FKG47"/>
      <c r="FKH47"/>
      <c r="FKI47"/>
      <c r="FKJ47"/>
      <c r="FKK47"/>
      <c r="FKL47"/>
      <c r="FKM47"/>
      <c r="FKN47"/>
      <c r="FKO47"/>
      <c r="FKP47"/>
      <c r="FKQ47"/>
      <c r="FKR47"/>
      <c r="FKS47"/>
      <c r="FKT47"/>
      <c r="FKU47"/>
      <c r="FKV47"/>
      <c r="FKW47"/>
      <c r="FKX47"/>
      <c r="FKY47"/>
      <c r="FKZ47"/>
      <c r="FLA47"/>
      <c r="FLB47"/>
      <c r="FLC47"/>
      <c r="FLD47"/>
      <c r="FLE47"/>
      <c r="FLF47"/>
      <c r="FLG47"/>
      <c r="FLH47"/>
      <c r="FLI47"/>
      <c r="FLJ47"/>
      <c r="FLK47"/>
      <c r="FLL47"/>
      <c r="FLM47"/>
      <c r="FLN47"/>
      <c r="FLO47"/>
      <c r="FLP47"/>
      <c r="FLQ47"/>
      <c r="FLR47"/>
      <c r="FLS47"/>
      <c r="FLT47"/>
      <c r="FLU47"/>
      <c r="FLV47"/>
      <c r="FLW47"/>
      <c r="FLX47"/>
      <c r="FLY47"/>
      <c r="FLZ47"/>
      <c r="FMA47"/>
      <c r="FMB47"/>
      <c r="FMC47"/>
      <c r="FMD47"/>
      <c r="FME47"/>
      <c r="FMF47"/>
      <c r="FMG47"/>
      <c r="FMH47"/>
      <c r="FMI47"/>
      <c r="FMJ47"/>
      <c r="FMK47"/>
      <c r="FML47"/>
      <c r="FMM47"/>
      <c r="FMN47"/>
      <c r="FMO47"/>
      <c r="FMP47"/>
      <c r="FMQ47"/>
      <c r="FMR47"/>
      <c r="FMS47"/>
      <c r="FMT47"/>
      <c r="FMU47"/>
      <c r="FMV47"/>
      <c r="FMW47"/>
      <c r="FMX47"/>
      <c r="FMY47"/>
      <c r="FMZ47"/>
      <c r="FNA47"/>
      <c r="FNB47"/>
      <c r="FNC47"/>
      <c r="FND47"/>
      <c r="FNE47"/>
      <c r="FNF47"/>
      <c r="FNG47"/>
      <c r="FNH47"/>
      <c r="FNI47"/>
      <c r="FNJ47"/>
      <c r="FNK47"/>
      <c r="FNL47"/>
      <c r="FNM47"/>
      <c r="FNN47"/>
      <c r="FNO47"/>
      <c r="FNP47"/>
      <c r="FNQ47"/>
      <c r="FNR47"/>
      <c r="FNS47"/>
      <c r="FNT47"/>
      <c r="FNU47"/>
      <c r="FNV47"/>
      <c r="FNW47"/>
      <c r="FNX47"/>
      <c r="FNY47"/>
      <c r="FNZ47"/>
      <c r="FOA47"/>
      <c r="FOB47"/>
      <c r="FOC47"/>
      <c r="FOD47"/>
      <c r="FOE47"/>
      <c r="FOF47"/>
      <c r="FOG47"/>
      <c r="FOH47"/>
      <c r="FOI47"/>
      <c r="FOJ47"/>
      <c r="FOK47"/>
      <c r="FOL47"/>
      <c r="FOM47"/>
      <c r="FON47"/>
      <c r="FOO47"/>
      <c r="FOP47"/>
      <c r="FOQ47"/>
      <c r="FOR47"/>
      <c r="FOS47"/>
      <c r="FOT47"/>
      <c r="FOU47"/>
      <c r="FOV47"/>
      <c r="FOW47"/>
      <c r="FOX47"/>
      <c r="FOY47"/>
      <c r="FOZ47"/>
      <c r="FPA47"/>
      <c r="FPB47"/>
      <c r="FPC47"/>
      <c r="FPD47"/>
      <c r="FPE47"/>
      <c r="FPF47"/>
      <c r="FPG47"/>
      <c r="FPH47"/>
      <c r="FPI47"/>
      <c r="FPJ47"/>
      <c r="FPK47"/>
      <c r="FPL47"/>
      <c r="FPM47"/>
      <c r="FPN47"/>
      <c r="FPO47"/>
      <c r="FPP47"/>
      <c r="FPQ47"/>
      <c r="FPR47"/>
      <c r="FPS47"/>
      <c r="FPT47"/>
      <c r="FPU47"/>
      <c r="FPV47"/>
      <c r="FPW47"/>
      <c r="FPX47"/>
      <c r="FPY47"/>
      <c r="FPZ47"/>
      <c r="FQA47"/>
      <c r="FQB47"/>
      <c r="FQC47"/>
      <c r="FQD47"/>
      <c r="FQE47"/>
      <c r="FQF47"/>
      <c r="FQG47"/>
      <c r="FQH47"/>
      <c r="FQI47"/>
      <c r="FQJ47"/>
      <c r="FQK47"/>
      <c r="FQL47"/>
      <c r="FQM47"/>
      <c r="FQN47"/>
      <c r="FQO47"/>
      <c r="FQP47"/>
      <c r="FQQ47"/>
      <c r="FQR47"/>
      <c r="FQS47"/>
      <c r="FQT47"/>
      <c r="FQU47"/>
      <c r="FQV47"/>
      <c r="FQW47"/>
      <c r="FQX47"/>
      <c r="FQY47"/>
      <c r="FQZ47"/>
      <c r="FRA47"/>
      <c r="FRB47"/>
      <c r="FRC47"/>
      <c r="FRD47"/>
      <c r="FRE47"/>
      <c r="FRF47"/>
      <c r="FRG47"/>
      <c r="FRH47"/>
      <c r="FRI47"/>
      <c r="FRJ47"/>
      <c r="FRK47"/>
      <c r="FRL47"/>
      <c r="FRM47"/>
      <c r="FRN47"/>
      <c r="FRO47"/>
      <c r="FRP47"/>
      <c r="FRQ47"/>
      <c r="FRR47"/>
      <c r="FRS47"/>
      <c r="FRT47"/>
      <c r="FRU47"/>
      <c r="FRV47"/>
      <c r="FRW47"/>
      <c r="FRX47"/>
      <c r="FRY47"/>
      <c r="FRZ47"/>
      <c r="FSA47"/>
      <c r="FSB47"/>
      <c r="FSC47"/>
      <c r="FSD47"/>
      <c r="FSE47"/>
      <c r="FSF47"/>
      <c r="FSG47"/>
      <c r="FSH47"/>
      <c r="FSI47"/>
      <c r="FSJ47"/>
      <c r="FSK47"/>
      <c r="FSL47"/>
      <c r="FSM47"/>
      <c r="FSN47"/>
      <c r="FSO47"/>
      <c r="FSP47"/>
      <c r="FSQ47"/>
      <c r="FSR47"/>
      <c r="FSS47"/>
      <c r="FST47"/>
      <c r="FSU47"/>
      <c r="FSV47"/>
      <c r="FSW47"/>
      <c r="FSX47"/>
      <c r="FSY47"/>
      <c r="FSZ47"/>
      <c r="FTA47"/>
      <c r="FTB47"/>
      <c r="FTC47"/>
      <c r="FTD47"/>
      <c r="FTE47"/>
      <c r="FTF47"/>
      <c r="FTG47"/>
      <c r="FTH47"/>
      <c r="FTI47"/>
      <c r="FTJ47"/>
      <c r="FTK47"/>
      <c r="FTL47"/>
      <c r="FTM47"/>
      <c r="FTN47"/>
      <c r="FTO47"/>
      <c r="FTP47"/>
      <c r="FTQ47"/>
      <c r="FTR47"/>
      <c r="FTS47"/>
      <c r="FTT47"/>
      <c r="FTU47"/>
      <c r="FTV47"/>
      <c r="FTW47"/>
      <c r="FTX47"/>
      <c r="FTY47"/>
      <c r="FTZ47"/>
      <c r="FUA47"/>
      <c r="FUB47"/>
      <c r="FUC47"/>
      <c r="FUD47"/>
      <c r="FUE47"/>
      <c r="FUF47"/>
      <c r="FUG47"/>
      <c r="FUH47"/>
      <c r="FUI47"/>
      <c r="FUJ47"/>
      <c r="FUK47"/>
      <c r="FUL47"/>
      <c r="FUM47"/>
      <c r="FUN47"/>
      <c r="FUO47"/>
      <c r="FUP47"/>
      <c r="FUQ47"/>
      <c r="FUR47"/>
      <c r="FUS47"/>
      <c r="FUT47"/>
      <c r="FUU47"/>
      <c r="FUV47"/>
      <c r="FUW47"/>
      <c r="FUX47"/>
      <c r="FUY47"/>
      <c r="FUZ47"/>
      <c r="FVA47"/>
      <c r="FVB47"/>
      <c r="FVC47"/>
      <c r="FVD47"/>
      <c r="FVE47"/>
      <c r="FVF47"/>
      <c r="FVG47"/>
      <c r="FVH47"/>
      <c r="FVI47"/>
      <c r="FVJ47"/>
      <c r="FVK47"/>
      <c r="FVL47"/>
      <c r="FVM47"/>
      <c r="FVN47"/>
      <c r="FVO47"/>
      <c r="FVP47"/>
      <c r="FVQ47"/>
      <c r="FVR47"/>
      <c r="FVS47"/>
      <c r="FVT47"/>
      <c r="FVU47"/>
      <c r="FVV47"/>
      <c r="FVW47"/>
      <c r="FVX47"/>
      <c r="FVY47"/>
      <c r="FVZ47"/>
      <c r="FWA47"/>
      <c r="FWB47"/>
      <c r="FWC47"/>
      <c r="FWD47"/>
      <c r="FWE47"/>
      <c r="FWF47"/>
      <c r="FWG47"/>
      <c r="FWH47"/>
      <c r="FWI47"/>
      <c r="FWJ47"/>
      <c r="FWK47"/>
      <c r="FWL47"/>
      <c r="FWM47"/>
      <c r="FWN47"/>
      <c r="FWO47"/>
      <c r="FWP47"/>
      <c r="FWQ47"/>
      <c r="FWR47"/>
      <c r="FWS47"/>
      <c r="FWT47"/>
      <c r="FWU47"/>
      <c r="FWV47"/>
      <c r="FWW47"/>
      <c r="FWX47"/>
      <c r="FWY47"/>
      <c r="FWZ47"/>
      <c r="FXA47"/>
      <c r="FXB47"/>
      <c r="FXC47"/>
      <c r="FXD47"/>
      <c r="FXE47"/>
      <c r="FXF47"/>
      <c r="FXG47"/>
      <c r="FXH47"/>
      <c r="FXI47"/>
      <c r="FXJ47"/>
      <c r="FXK47"/>
      <c r="FXL47"/>
      <c r="FXM47"/>
      <c r="FXN47"/>
      <c r="FXO47"/>
      <c r="FXP47"/>
      <c r="FXQ47"/>
      <c r="FXR47"/>
      <c r="FXS47"/>
      <c r="FXT47"/>
      <c r="FXU47"/>
      <c r="FXV47"/>
      <c r="FXW47"/>
      <c r="FXX47"/>
      <c r="FXY47"/>
      <c r="FXZ47"/>
      <c r="FYA47"/>
      <c r="FYB47"/>
      <c r="FYC47"/>
      <c r="FYD47"/>
      <c r="FYE47"/>
      <c r="FYF47"/>
      <c r="FYG47"/>
      <c r="FYH47"/>
      <c r="FYI47"/>
      <c r="FYJ47"/>
      <c r="FYK47"/>
      <c r="FYL47"/>
      <c r="FYM47"/>
      <c r="FYN47"/>
      <c r="FYO47"/>
      <c r="FYP47"/>
      <c r="FYQ47"/>
      <c r="FYR47"/>
      <c r="FYS47"/>
      <c r="FYT47"/>
      <c r="FYU47"/>
      <c r="FYV47"/>
      <c r="FYW47"/>
      <c r="FYX47"/>
      <c r="FYY47"/>
      <c r="FYZ47"/>
      <c r="FZA47"/>
      <c r="FZB47"/>
      <c r="FZC47"/>
      <c r="FZD47"/>
      <c r="FZE47"/>
      <c r="FZF47"/>
      <c r="FZG47"/>
      <c r="FZH47"/>
      <c r="FZI47"/>
      <c r="FZJ47"/>
      <c r="FZK47"/>
      <c r="FZL47"/>
      <c r="FZM47"/>
      <c r="FZN47"/>
      <c r="FZO47"/>
      <c r="FZP47"/>
      <c r="FZQ47"/>
      <c r="FZR47"/>
      <c r="FZS47"/>
      <c r="FZT47"/>
      <c r="FZU47"/>
      <c r="FZV47"/>
      <c r="FZW47"/>
      <c r="FZX47"/>
      <c r="FZY47"/>
      <c r="FZZ47"/>
      <c r="GAA47"/>
      <c r="GAB47"/>
      <c r="GAC47"/>
      <c r="GAD47"/>
      <c r="GAE47"/>
      <c r="GAF47"/>
      <c r="GAG47"/>
      <c r="GAH47"/>
      <c r="GAI47"/>
      <c r="GAJ47"/>
      <c r="GAK47"/>
      <c r="GAL47"/>
      <c r="GAM47"/>
      <c r="GAN47"/>
      <c r="GAO47"/>
      <c r="GAP47"/>
      <c r="GAQ47"/>
      <c r="GAR47"/>
      <c r="GAS47"/>
      <c r="GAT47"/>
      <c r="GAU47"/>
      <c r="GAV47"/>
      <c r="GAW47"/>
      <c r="GAX47"/>
      <c r="GAY47"/>
      <c r="GAZ47"/>
      <c r="GBA47"/>
      <c r="GBB47"/>
      <c r="GBC47"/>
      <c r="GBD47"/>
      <c r="GBE47"/>
      <c r="GBF47"/>
      <c r="GBG47"/>
      <c r="GBH47"/>
      <c r="GBI47"/>
      <c r="GBJ47"/>
      <c r="GBK47"/>
      <c r="GBL47"/>
      <c r="GBM47"/>
      <c r="GBN47"/>
      <c r="GBO47"/>
      <c r="GBP47"/>
      <c r="GBQ47"/>
      <c r="GBR47"/>
      <c r="GBS47"/>
      <c r="GBT47"/>
      <c r="GBU47"/>
      <c r="GBV47"/>
      <c r="GBW47"/>
      <c r="GBX47"/>
      <c r="GBY47"/>
      <c r="GBZ47"/>
      <c r="GCA47"/>
      <c r="GCB47"/>
      <c r="GCC47"/>
      <c r="GCD47"/>
      <c r="GCE47"/>
      <c r="GCF47"/>
      <c r="GCG47"/>
      <c r="GCH47"/>
      <c r="GCI47"/>
      <c r="GCJ47"/>
      <c r="GCK47"/>
      <c r="GCL47"/>
      <c r="GCM47"/>
      <c r="GCN47"/>
      <c r="GCO47"/>
      <c r="GCP47"/>
      <c r="GCQ47"/>
      <c r="GCR47"/>
      <c r="GCS47"/>
      <c r="GCT47"/>
      <c r="GCU47"/>
      <c r="GCV47"/>
      <c r="GCW47"/>
      <c r="GCX47"/>
      <c r="GCY47"/>
      <c r="GCZ47"/>
      <c r="GDA47"/>
      <c r="GDB47"/>
      <c r="GDC47"/>
      <c r="GDD47"/>
      <c r="GDE47"/>
      <c r="GDF47"/>
      <c r="GDG47"/>
      <c r="GDH47"/>
      <c r="GDI47"/>
      <c r="GDJ47"/>
      <c r="GDK47"/>
      <c r="GDL47"/>
      <c r="GDM47"/>
      <c r="GDN47"/>
      <c r="GDO47"/>
      <c r="GDP47"/>
      <c r="GDQ47"/>
      <c r="GDR47"/>
      <c r="GDS47"/>
      <c r="GDT47"/>
      <c r="GDU47"/>
      <c r="GDV47"/>
      <c r="GDW47"/>
      <c r="GDX47"/>
      <c r="GDY47"/>
      <c r="GDZ47"/>
      <c r="GEA47"/>
      <c r="GEB47"/>
      <c r="GEC47"/>
      <c r="GED47"/>
      <c r="GEE47"/>
      <c r="GEF47"/>
      <c r="GEG47"/>
      <c r="GEH47"/>
      <c r="GEI47"/>
      <c r="GEJ47"/>
      <c r="GEK47"/>
      <c r="GEL47"/>
      <c r="GEM47"/>
      <c r="GEN47"/>
      <c r="GEO47"/>
      <c r="GEP47"/>
      <c r="GEQ47"/>
      <c r="GER47"/>
      <c r="GES47"/>
      <c r="GET47"/>
      <c r="GEU47"/>
      <c r="GEV47"/>
      <c r="GEW47"/>
      <c r="GEX47"/>
      <c r="GEY47"/>
      <c r="GEZ47"/>
      <c r="GFA47"/>
      <c r="GFB47"/>
      <c r="GFC47"/>
      <c r="GFD47"/>
      <c r="GFE47"/>
      <c r="GFF47"/>
      <c r="GFG47"/>
      <c r="GFH47"/>
      <c r="GFI47"/>
      <c r="GFJ47"/>
      <c r="GFK47"/>
      <c r="GFL47"/>
      <c r="GFM47"/>
      <c r="GFN47"/>
      <c r="GFO47"/>
      <c r="GFP47"/>
      <c r="GFQ47"/>
      <c r="GFR47"/>
      <c r="GFS47"/>
      <c r="GFT47"/>
      <c r="GFU47"/>
      <c r="GFV47"/>
      <c r="GFW47"/>
      <c r="GFX47"/>
      <c r="GFY47"/>
      <c r="GFZ47"/>
      <c r="GGA47"/>
      <c r="GGB47"/>
      <c r="GGC47"/>
      <c r="GGD47"/>
      <c r="GGE47"/>
      <c r="GGF47"/>
      <c r="GGG47"/>
      <c r="GGH47"/>
      <c r="GGI47"/>
      <c r="GGJ47"/>
      <c r="GGK47"/>
      <c r="GGL47"/>
      <c r="GGM47"/>
      <c r="GGN47"/>
      <c r="GGO47"/>
      <c r="GGP47"/>
      <c r="GGQ47"/>
      <c r="GGR47"/>
      <c r="GGS47"/>
      <c r="GGT47"/>
      <c r="GGU47"/>
      <c r="GGV47"/>
      <c r="GGW47"/>
      <c r="GGX47"/>
      <c r="GGY47"/>
      <c r="GGZ47"/>
      <c r="GHA47"/>
      <c r="GHB47"/>
      <c r="GHC47"/>
      <c r="GHD47"/>
      <c r="GHE47"/>
      <c r="GHF47"/>
      <c r="GHG47"/>
      <c r="GHH47"/>
      <c r="GHI47"/>
      <c r="GHJ47"/>
      <c r="GHK47"/>
      <c r="GHL47"/>
      <c r="GHM47"/>
      <c r="GHN47"/>
      <c r="GHO47"/>
      <c r="GHP47"/>
      <c r="GHQ47"/>
      <c r="GHR47"/>
      <c r="GHS47"/>
      <c r="GHT47"/>
      <c r="GHU47"/>
      <c r="GHV47"/>
      <c r="GHW47"/>
      <c r="GHX47"/>
      <c r="GHY47"/>
      <c r="GHZ47"/>
      <c r="GIA47"/>
      <c r="GIB47"/>
      <c r="GIC47"/>
      <c r="GID47"/>
      <c r="GIE47"/>
      <c r="GIF47"/>
      <c r="GIG47"/>
      <c r="GIH47"/>
      <c r="GII47"/>
      <c r="GIJ47"/>
      <c r="GIK47"/>
      <c r="GIL47"/>
      <c r="GIM47"/>
      <c r="GIN47"/>
      <c r="GIO47"/>
      <c r="GIP47"/>
      <c r="GIQ47"/>
      <c r="GIR47"/>
      <c r="GIS47"/>
      <c r="GIT47"/>
      <c r="GIU47"/>
      <c r="GIV47"/>
      <c r="GIW47"/>
      <c r="GIX47"/>
      <c r="GIY47"/>
      <c r="GIZ47"/>
      <c r="GJA47"/>
      <c r="GJB47"/>
      <c r="GJC47"/>
      <c r="GJD47"/>
      <c r="GJE47"/>
      <c r="GJF47"/>
      <c r="GJG47"/>
      <c r="GJH47"/>
      <c r="GJI47"/>
      <c r="GJJ47"/>
      <c r="GJK47"/>
      <c r="GJL47"/>
      <c r="GJM47"/>
      <c r="GJN47"/>
      <c r="GJO47"/>
      <c r="GJP47"/>
      <c r="GJQ47"/>
      <c r="GJR47"/>
      <c r="GJS47"/>
      <c r="GJT47"/>
      <c r="GJU47"/>
      <c r="GJV47"/>
      <c r="GJW47"/>
      <c r="GJX47"/>
      <c r="GJY47"/>
      <c r="GJZ47"/>
      <c r="GKA47"/>
      <c r="GKB47"/>
      <c r="GKC47"/>
      <c r="GKD47"/>
      <c r="GKE47"/>
      <c r="GKF47"/>
      <c r="GKG47"/>
      <c r="GKH47"/>
      <c r="GKI47"/>
      <c r="GKJ47"/>
      <c r="GKK47"/>
      <c r="GKL47"/>
      <c r="GKM47"/>
      <c r="GKN47"/>
      <c r="GKO47"/>
      <c r="GKP47"/>
      <c r="GKQ47"/>
      <c r="GKR47"/>
      <c r="GKS47"/>
      <c r="GKT47"/>
      <c r="GKU47"/>
      <c r="GKV47"/>
      <c r="GKW47"/>
      <c r="GKX47"/>
      <c r="GKY47"/>
      <c r="GKZ47"/>
      <c r="GLA47"/>
      <c r="GLB47"/>
      <c r="GLC47"/>
      <c r="GLD47"/>
      <c r="GLE47"/>
      <c r="GLF47"/>
      <c r="GLG47"/>
      <c r="GLH47"/>
      <c r="GLI47"/>
      <c r="GLJ47"/>
      <c r="GLK47"/>
      <c r="GLL47"/>
      <c r="GLM47"/>
      <c r="GLN47"/>
      <c r="GLO47"/>
      <c r="GLP47"/>
      <c r="GLQ47"/>
      <c r="GLR47"/>
      <c r="GLS47"/>
      <c r="GLT47"/>
      <c r="GLU47"/>
      <c r="GLV47"/>
      <c r="GLW47"/>
      <c r="GLX47"/>
      <c r="GLY47"/>
      <c r="GLZ47"/>
      <c r="GMA47"/>
      <c r="GMB47"/>
      <c r="GMC47"/>
      <c r="GMD47"/>
      <c r="GME47"/>
      <c r="GMF47"/>
      <c r="GMG47"/>
      <c r="GMH47"/>
      <c r="GMI47"/>
      <c r="GMJ47"/>
      <c r="GMK47"/>
      <c r="GML47"/>
      <c r="GMM47"/>
      <c r="GMN47"/>
      <c r="GMO47"/>
      <c r="GMP47"/>
      <c r="GMQ47"/>
      <c r="GMR47"/>
      <c r="GMS47"/>
      <c r="GMT47"/>
      <c r="GMU47"/>
      <c r="GMV47"/>
      <c r="GMW47"/>
      <c r="GMX47"/>
      <c r="GMY47"/>
      <c r="GMZ47"/>
      <c r="GNA47"/>
      <c r="GNB47"/>
      <c r="GNC47"/>
      <c r="GND47"/>
      <c r="GNE47"/>
      <c r="GNF47"/>
      <c r="GNG47"/>
      <c r="GNH47"/>
      <c r="GNI47"/>
      <c r="GNJ47"/>
      <c r="GNK47"/>
      <c r="GNL47"/>
      <c r="GNM47"/>
      <c r="GNN47"/>
      <c r="GNO47"/>
      <c r="GNP47"/>
      <c r="GNQ47"/>
      <c r="GNR47"/>
      <c r="GNS47"/>
      <c r="GNT47"/>
      <c r="GNU47"/>
      <c r="GNV47"/>
      <c r="GNW47"/>
      <c r="GNX47"/>
      <c r="GNY47"/>
      <c r="GNZ47"/>
      <c r="GOA47"/>
      <c r="GOB47"/>
      <c r="GOC47"/>
      <c r="GOD47"/>
      <c r="GOE47"/>
      <c r="GOF47"/>
      <c r="GOG47"/>
      <c r="GOH47"/>
      <c r="GOI47"/>
      <c r="GOJ47"/>
      <c r="GOK47"/>
      <c r="GOL47"/>
      <c r="GOM47"/>
      <c r="GON47"/>
      <c r="GOO47"/>
      <c r="GOP47"/>
      <c r="GOQ47"/>
      <c r="GOR47"/>
      <c r="GOS47"/>
      <c r="GOT47"/>
      <c r="GOU47"/>
      <c r="GOV47"/>
      <c r="GOW47"/>
      <c r="GOX47"/>
      <c r="GOY47"/>
      <c r="GOZ47"/>
      <c r="GPA47"/>
      <c r="GPB47"/>
      <c r="GPC47"/>
      <c r="GPD47"/>
      <c r="GPE47"/>
      <c r="GPF47"/>
      <c r="GPG47"/>
      <c r="GPH47"/>
      <c r="GPI47"/>
      <c r="GPJ47"/>
      <c r="GPK47"/>
      <c r="GPL47"/>
      <c r="GPM47"/>
      <c r="GPN47"/>
      <c r="GPO47"/>
      <c r="GPP47"/>
      <c r="GPQ47"/>
      <c r="GPR47"/>
      <c r="GPS47"/>
      <c r="GPT47"/>
      <c r="GPU47"/>
      <c r="GPV47"/>
      <c r="GPW47"/>
      <c r="GPX47"/>
      <c r="GPY47"/>
      <c r="GPZ47"/>
      <c r="GQA47"/>
      <c r="GQB47"/>
      <c r="GQC47"/>
      <c r="GQD47"/>
      <c r="GQE47"/>
      <c r="GQF47"/>
      <c r="GQG47"/>
      <c r="GQH47"/>
      <c r="GQI47"/>
      <c r="GQJ47"/>
      <c r="GQK47"/>
      <c r="GQL47"/>
      <c r="GQM47"/>
      <c r="GQN47"/>
      <c r="GQO47"/>
      <c r="GQP47"/>
      <c r="GQQ47"/>
      <c r="GQR47"/>
      <c r="GQS47"/>
      <c r="GQT47"/>
      <c r="GQU47"/>
      <c r="GQV47"/>
      <c r="GQW47"/>
      <c r="GQX47"/>
      <c r="GQY47"/>
      <c r="GQZ47"/>
      <c r="GRA47"/>
      <c r="GRB47"/>
      <c r="GRC47"/>
      <c r="GRD47"/>
      <c r="GRE47"/>
      <c r="GRF47"/>
      <c r="GRG47"/>
      <c r="GRH47"/>
      <c r="GRI47"/>
      <c r="GRJ47"/>
      <c r="GRK47"/>
      <c r="GRL47"/>
      <c r="GRM47"/>
      <c r="GRN47"/>
      <c r="GRO47"/>
      <c r="GRP47"/>
      <c r="GRQ47"/>
      <c r="GRR47"/>
      <c r="GRS47"/>
      <c r="GRT47"/>
      <c r="GRU47"/>
      <c r="GRV47"/>
      <c r="GRW47"/>
      <c r="GRX47"/>
      <c r="GRY47"/>
      <c r="GRZ47"/>
      <c r="GSA47"/>
      <c r="GSB47"/>
      <c r="GSC47"/>
      <c r="GSD47"/>
      <c r="GSE47"/>
      <c r="GSF47"/>
      <c r="GSG47"/>
      <c r="GSH47"/>
      <c r="GSI47"/>
      <c r="GSJ47"/>
      <c r="GSK47"/>
      <c r="GSL47"/>
      <c r="GSM47"/>
      <c r="GSN47"/>
      <c r="GSO47"/>
      <c r="GSP47"/>
      <c r="GSQ47"/>
      <c r="GSR47"/>
      <c r="GSS47"/>
      <c r="GST47"/>
      <c r="GSU47"/>
      <c r="GSV47"/>
      <c r="GSW47"/>
      <c r="GSX47"/>
      <c r="GSY47"/>
      <c r="GSZ47"/>
      <c r="GTA47"/>
      <c r="GTB47"/>
      <c r="GTC47"/>
      <c r="GTD47"/>
      <c r="GTE47"/>
      <c r="GTF47"/>
      <c r="GTG47"/>
      <c r="GTH47"/>
      <c r="GTI47"/>
      <c r="GTJ47"/>
      <c r="GTK47"/>
      <c r="GTL47"/>
      <c r="GTM47"/>
      <c r="GTN47"/>
      <c r="GTO47"/>
      <c r="GTP47"/>
      <c r="GTQ47"/>
      <c r="GTR47"/>
      <c r="GTS47"/>
      <c r="GTT47"/>
      <c r="GTU47"/>
      <c r="GTV47"/>
      <c r="GTW47"/>
      <c r="GTX47"/>
      <c r="GTY47"/>
      <c r="GTZ47"/>
      <c r="GUA47"/>
      <c r="GUB47"/>
      <c r="GUC47"/>
      <c r="GUD47"/>
      <c r="GUE47"/>
      <c r="GUF47"/>
      <c r="GUG47"/>
      <c r="GUH47"/>
      <c r="GUI47"/>
      <c r="GUJ47"/>
      <c r="GUK47"/>
      <c r="GUL47"/>
      <c r="GUM47"/>
      <c r="GUN47"/>
      <c r="GUO47"/>
      <c r="GUP47"/>
      <c r="GUQ47"/>
      <c r="GUR47"/>
      <c r="GUS47"/>
      <c r="GUT47"/>
      <c r="GUU47"/>
      <c r="GUV47"/>
      <c r="GUW47"/>
      <c r="GUX47"/>
      <c r="GUY47"/>
      <c r="GUZ47"/>
      <c r="GVA47"/>
      <c r="GVB47"/>
      <c r="GVC47"/>
      <c r="GVD47"/>
      <c r="GVE47"/>
      <c r="GVF47"/>
      <c r="GVG47"/>
      <c r="GVH47"/>
      <c r="GVI47"/>
      <c r="GVJ47"/>
      <c r="GVK47"/>
      <c r="GVL47"/>
      <c r="GVM47"/>
      <c r="GVN47"/>
      <c r="GVO47"/>
      <c r="GVP47"/>
      <c r="GVQ47"/>
      <c r="GVR47"/>
      <c r="GVS47"/>
      <c r="GVT47"/>
      <c r="GVU47"/>
      <c r="GVV47"/>
      <c r="GVW47"/>
      <c r="GVX47"/>
      <c r="GVY47"/>
      <c r="GVZ47"/>
      <c r="GWA47"/>
      <c r="GWB47"/>
      <c r="GWC47"/>
      <c r="GWD47"/>
      <c r="GWE47"/>
      <c r="GWF47"/>
      <c r="GWG47"/>
      <c r="GWH47"/>
      <c r="GWI47"/>
      <c r="GWJ47"/>
      <c r="GWK47"/>
      <c r="GWL47"/>
      <c r="GWM47"/>
      <c r="GWN47"/>
      <c r="GWO47"/>
      <c r="GWP47"/>
      <c r="GWQ47"/>
      <c r="GWR47"/>
      <c r="GWS47"/>
      <c r="GWT47"/>
      <c r="GWU47"/>
      <c r="GWV47"/>
      <c r="GWW47"/>
      <c r="GWX47"/>
      <c r="GWY47"/>
      <c r="GWZ47"/>
      <c r="GXA47"/>
      <c r="GXB47"/>
      <c r="GXC47"/>
      <c r="GXD47"/>
      <c r="GXE47"/>
      <c r="GXF47"/>
      <c r="GXG47"/>
      <c r="GXH47"/>
      <c r="GXI47"/>
      <c r="GXJ47"/>
      <c r="GXK47"/>
      <c r="GXL47"/>
      <c r="GXM47"/>
      <c r="GXN47"/>
      <c r="GXO47"/>
      <c r="GXP47"/>
      <c r="GXQ47"/>
      <c r="GXR47"/>
      <c r="GXS47"/>
      <c r="GXT47"/>
      <c r="GXU47"/>
      <c r="GXV47"/>
      <c r="GXW47"/>
      <c r="GXX47"/>
      <c r="GXY47"/>
      <c r="GXZ47"/>
      <c r="GYA47"/>
      <c r="GYB47"/>
      <c r="GYC47"/>
      <c r="GYD47"/>
      <c r="GYE47"/>
      <c r="GYF47"/>
      <c r="GYG47"/>
      <c r="GYH47"/>
      <c r="GYI47"/>
      <c r="GYJ47"/>
      <c r="GYK47"/>
      <c r="GYL47"/>
      <c r="GYM47"/>
      <c r="GYN47"/>
      <c r="GYO47"/>
      <c r="GYP47"/>
      <c r="GYQ47"/>
      <c r="GYR47"/>
      <c r="GYS47"/>
      <c r="GYT47"/>
      <c r="GYU47"/>
      <c r="GYV47"/>
      <c r="GYW47"/>
      <c r="GYX47"/>
      <c r="GYY47"/>
      <c r="GYZ47"/>
      <c r="GZA47"/>
      <c r="GZB47"/>
      <c r="GZC47"/>
      <c r="GZD47"/>
      <c r="GZE47"/>
      <c r="GZF47"/>
      <c r="GZG47"/>
      <c r="GZH47"/>
      <c r="GZI47"/>
      <c r="GZJ47"/>
      <c r="GZK47"/>
      <c r="GZL47"/>
      <c r="GZM47"/>
      <c r="GZN47"/>
      <c r="GZO47"/>
      <c r="GZP47"/>
      <c r="GZQ47"/>
      <c r="GZR47"/>
      <c r="GZS47"/>
      <c r="GZT47"/>
      <c r="GZU47"/>
      <c r="GZV47"/>
      <c r="GZW47"/>
      <c r="GZX47"/>
      <c r="GZY47"/>
      <c r="GZZ47"/>
      <c r="HAA47"/>
      <c r="HAB47"/>
      <c r="HAC47"/>
      <c r="HAD47"/>
      <c r="HAE47"/>
      <c r="HAF47"/>
      <c r="HAG47"/>
      <c r="HAH47"/>
      <c r="HAI47"/>
      <c r="HAJ47"/>
      <c r="HAK47"/>
      <c r="HAL47"/>
      <c r="HAM47"/>
      <c r="HAN47"/>
      <c r="HAO47"/>
      <c r="HAP47"/>
      <c r="HAQ47"/>
      <c r="HAR47"/>
      <c r="HAS47"/>
      <c r="HAT47"/>
      <c r="HAU47"/>
      <c r="HAV47"/>
      <c r="HAW47"/>
      <c r="HAX47"/>
      <c r="HAY47"/>
      <c r="HAZ47"/>
      <c r="HBA47"/>
      <c r="HBB47"/>
      <c r="HBC47"/>
      <c r="HBD47"/>
      <c r="HBE47"/>
      <c r="HBF47"/>
      <c r="HBG47"/>
      <c r="HBH47"/>
      <c r="HBI47"/>
      <c r="HBJ47"/>
      <c r="HBK47"/>
      <c r="HBL47"/>
      <c r="HBM47"/>
      <c r="HBN47"/>
      <c r="HBO47"/>
      <c r="HBP47"/>
      <c r="HBQ47"/>
      <c r="HBR47"/>
      <c r="HBS47"/>
      <c r="HBT47"/>
      <c r="HBU47"/>
      <c r="HBV47"/>
      <c r="HBW47"/>
      <c r="HBX47"/>
      <c r="HBY47"/>
      <c r="HBZ47"/>
      <c r="HCA47"/>
      <c r="HCB47"/>
      <c r="HCC47"/>
      <c r="HCD47"/>
      <c r="HCE47"/>
      <c r="HCF47"/>
      <c r="HCG47"/>
      <c r="HCH47"/>
      <c r="HCI47"/>
      <c r="HCJ47"/>
      <c r="HCK47"/>
      <c r="HCL47"/>
      <c r="HCM47"/>
      <c r="HCN47"/>
      <c r="HCO47"/>
      <c r="HCP47"/>
      <c r="HCQ47"/>
      <c r="HCR47"/>
      <c r="HCS47"/>
      <c r="HCT47"/>
      <c r="HCU47"/>
      <c r="HCV47"/>
      <c r="HCW47"/>
      <c r="HCX47"/>
      <c r="HCY47"/>
      <c r="HCZ47"/>
      <c r="HDA47"/>
      <c r="HDB47"/>
      <c r="HDC47"/>
      <c r="HDD47"/>
      <c r="HDE47"/>
      <c r="HDF47"/>
      <c r="HDG47"/>
      <c r="HDH47"/>
      <c r="HDI47"/>
      <c r="HDJ47"/>
      <c r="HDK47"/>
      <c r="HDL47"/>
      <c r="HDM47"/>
      <c r="HDN47"/>
      <c r="HDO47"/>
      <c r="HDP47"/>
      <c r="HDQ47"/>
      <c r="HDR47"/>
      <c r="HDS47"/>
      <c r="HDT47"/>
      <c r="HDU47"/>
      <c r="HDV47"/>
      <c r="HDW47"/>
      <c r="HDX47"/>
      <c r="HDY47"/>
      <c r="HDZ47"/>
      <c r="HEA47"/>
      <c r="HEB47"/>
      <c r="HEC47"/>
      <c r="HED47"/>
      <c r="HEE47"/>
      <c r="HEF47"/>
      <c r="HEG47"/>
      <c r="HEH47"/>
      <c r="HEI47"/>
      <c r="HEJ47"/>
      <c r="HEK47"/>
      <c r="HEL47"/>
      <c r="HEM47"/>
      <c r="HEN47"/>
      <c r="HEO47"/>
      <c r="HEP47"/>
      <c r="HEQ47"/>
      <c r="HER47"/>
      <c r="HES47"/>
      <c r="HET47"/>
      <c r="HEU47"/>
      <c r="HEV47"/>
      <c r="HEW47"/>
      <c r="HEX47"/>
      <c r="HEY47"/>
      <c r="HEZ47"/>
      <c r="HFA47"/>
      <c r="HFB47"/>
      <c r="HFC47"/>
      <c r="HFD47"/>
      <c r="HFE47"/>
      <c r="HFF47"/>
      <c r="HFG47"/>
      <c r="HFH47"/>
      <c r="HFI47"/>
      <c r="HFJ47"/>
      <c r="HFK47"/>
      <c r="HFL47"/>
      <c r="HFM47"/>
      <c r="HFN47"/>
      <c r="HFO47"/>
      <c r="HFP47"/>
      <c r="HFQ47"/>
      <c r="HFR47"/>
      <c r="HFS47"/>
      <c r="HFT47"/>
      <c r="HFU47"/>
      <c r="HFV47"/>
      <c r="HFW47"/>
      <c r="HFX47"/>
      <c r="HFY47"/>
      <c r="HFZ47"/>
      <c r="HGA47"/>
      <c r="HGB47"/>
      <c r="HGC47"/>
      <c r="HGD47"/>
      <c r="HGE47"/>
      <c r="HGF47"/>
      <c r="HGG47"/>
      <c r="HGH47"/>
      <c r="HGI47"/>
      <c r="HGJ47"/>
      <c r="HGK47"/>
      <c r="HGL47"/>
      <c r="HGM47"/>
      <c r="HGN47"/>
      <c r="HGO47"/>
      <c r="HGP47"/>
      <c r="HGQ47"/>
      <c r="HGR47"/>
      <c r="HGS47"/>
      <c r="HGT47"/>
      <c r="HGU47"/>
      <c r="HGV47"/>
      <c r="HGW47"/>
      <c r="HGX47"/>
      <c r="HGY47"/>
      <c r="HGZ47"/>
      <c r="HHA47"/>
      <c r="HHB47"/>
      <c r="HHC47"/>
      <c r="HHD47"/>
      <c r="HHE47"/>
      <c r="HHF47"/>
      <c r="HHG47"/>
      <c r="HHH47"/>
      <c r="HHI47"/>
      <c r="HHJ47"/>
      <c r="HHK47"/>
      <c r="HHL47"/>
      <c r="HHM47"/>
      <c r="HHN47"/>
      <c r="HHO47"/>
      <c r="HHP47"/>
      <c r="HHQ47"/>
      <c r="HHR47"/>
      <c r="HHS47"/>
      <c r="HHT47"/>
      <c r="HHU47"/>
      <c r="HHV47"/>
      <c r="HHW47"/>
      <c r="HHX47"/>
      <c r="HHY47"/>
      <c r="HHZ47"/>
      <c r="HIA47"/>
      <c r="HIB47"/>
      <c r="HIC47"/>
      <c r="HID47"/>
      <c r="HIE47"/>
      <c r="HIF47"/>
      <c r="HIG47"/>
      <c r="HIH47"/>
      <c r="HII47"/>
      <c r="HIJ47"/>
      <c r="HIK47"/>
      <c r="HIL47"/>
      <c r="HIM47"/>
      <c r="HIN47"/>
      <c r="HIO47"/>
      <c r="HIP47"/>
      <c r="HIQ47"/>
      <c r="HIR47"/>
      <c r="HIS47"/>
      <c r="HIT47"/>
      <c r="HIU47"/>
      <c r="HIV47"/>
      <c r="HIW47"/>
      <c r="HIX47"/>
      <c r="HIY47"/>
      <c r="HIZ47"/>
      <c r="HJA47"/>
      <c r="HJB47"/>
      <c r="HJC47"/>
      <c r="HJD47"/>
      <c r="HJE47"/>
      <c r="HJF47"/>
      <c r="HJG47"/>
      <c r="HJH47"/>
      <c r="HJI47"/>
      <c r="HJJ47"/>
      <c r="HJK47"/>
      <c r="HJL47"/>
      <c r="HJM47"/>
      <c r="HJN47"/>
      <c r="HJO47"/>
      <c r="HJP47"/>
      <c r="HJQ47"/>
      <c r="HJR47"/>
      <c r="HJS47"/>
      <c r="HJT47"/>
      <c r="HJU47"/>
      <c r="HJV47"/>
      <c r="HJW47"/>
      <c r="HJX47"/>
      <c r="HJY47"/>
      <c r="HJZ47"/>
      <c r="HKA47"/>
      <c r="HKB47"/>
      <c r="HKC47"/>
      <c r="HKD47"/>
      <c r="HKE47"/>
      <c r="HKF47"/>
      <c r="HKG47"/>
      <c r="HKH47"/>
      <c r="HKI47"/>
      <c r="HKJ47"/>
      <c r="HKK47"/>
      <c r="HKL47"/>
      <c r="HKM47"/>
      <c r="HKN47"/>
      <c r="HKO47"/>
      <c r="HKP47"/>
      <c r="HKQ47"/>
      <c r="HKR47"/>
      <c r="HKS47"/>
      <c r="HKT47"/>
      <c r="HKU47"/>
      <c r="HKV47"/>
      <c r="HKW47"/>
      <c r="HKX47"/>
      <c r="HKY47"/>
      <c r="HKZ47"/>
      <c r="HLA47"/>
      <c r="HLB47"/>
      <c r="HLC47"/>
      <c r="HLD47"/>
      <c r="HLE47"/>
      <c r="HLF47"/>
      <c r="HLG47"/>
      <c r="HLH47"/>
      <c r="HLI47"/>
      <c r="HLJ47"/>
      <c r="HLK47"/>
      <c r="HLL47"/>
      <c r="HLM47"/>
      <c r="HLN47"/>
      <c r="HLO47"/>
      <c r="HLP47"/>
      <c r="HLQ47"/>
      <c r="HLR47"/>
      <c r="HLS47"/>
      <c r="HLT47"/>
      <c r="HLU47"/>
      <c r="HLV47"/>
      <c r="HLW47"/>
      <c r="HLX47"/>
      <c r="HLY47"/>
      <c r="HLZ47"/>
      <c r="HMA47"/>
      <c r="HMB47"/>
      <c r="HMC47"/>
      <c r="HMD47"/>
      <c r="HME47"/>
      <c r="HMF47"/>
      <c r="HMG47"/>
      <c r="HMH47"/>
      <c r="HMI47"/>
      <c r="HMJ47"/>
      <c r="HMK47"/>
      <c r="HML47"/>
      <c r="HMM47"/>
      <c r="HMN47"/>
      <c r="HMO47"/>
      <c r="HMP47"/>
      <c r="HMQ47"/>
      <c r="HMR47"/>
      <c r="HMS47"/>
      <c r="HMT47"/>
      <c r="HMU47"/>
      <c r="HMV47"/>
      <c r="HMW47"/>
      <c r="HMX47"/>
      <c r="HMY47"/>
      <c r="HMZ47"/>
      <c r="HNA47"/>
      <c r="HNB47"/>
      <c r="HNC47"/>
      <c r="HND47"/>
      <c r="HNE47"/>
      <c r="HNF47"/>
      <c r="HNG47"/>
      <c r="HNH47"/>
      <c r="HNI47"/>
      <c r="HNJ47"/>
      <c r="HNK47"/>
      <c r="HNL47"/>
      <c r="HNM47"/>
      <c r="HNN47"/>
      <c r="HNO47"/>
      <c r="HNP47"/>
      <c r="HNQ47"/>
      <c r="HNR47"/>
      <c r="HNS47"/>
      <c r="HNT47"/>
      <c r="HNU47"/>
      <c r="HNV47"/>
      <c r="HNW47"/>
      <c r="HNX47"/>
      <c r="HNY47"/>
      <c r="HNZ47"/>
      <c r="HOA47"/>
      <c r="HOB47"/>
      <c r="HOC47"/>
      <c r="HOD47"/>
      <c r="HOE47"/>
      <c r="HOF47"/>
      <c r="HOG47"/>
      <c r="HOH47"/>
      <c r="HOI47"/>
      <c r="HOJ47"/>
      <c r="HOK47"/>
      <c r="HOL47"/>
      <c r="HOM47"/>
      <c r="HON47"/>
      <c r="HOO47"/>
      <c r="HOP47"/>
      <c r="HOQ47"/>
      <c r="HOR47"/>
      <c r="HOS47"/>
      <c r="HOT47"/>
      <c r="HOU47"/>
      <c r="HOV47"/>
      <c r="HOW47"/>
      <c r="HOX47"/>
      <c r="HOY47"/>
      <c r="HOZ47"/>
      <c r="HPA47"/>
      <c r="HPB47"/>
      <c r="HPC47"/>
      <c r="HPD47"/>
      <c r="HPE47"/>
      <c r="HPF47"/>
      <c r="HPG47"/>
      <c r="HPH47"/>
      <c r="HPI47"/>
      <c r="HPJ47"/>
      <c r="HPK47"/>
      <c r="HPL47"/>
      <c r="HPM47"/>
      <c r="HPN47"/>
      <c r="HPO47"/>
      <c r="HPP47"/>
      <c r="HPQ47"/>
      <c r="HPR47"/>
      <c r="HPS47"/>
      <c r="HPT47"/>
      <c r="HPU47"/>
      <c r="HPV47"/>
      <c r="HPW47"/>
      <c r="HPX47"/>
      <c r="HPY47"/>
      <c r="HPZ47"/>
      <c r="HQA47"/>
      <c r="HQB47"/>
      <c r="HQC47"/>
      <c r="HQD47"/>
      <c r="HQE47"/>
      <c r="HQF47"/>
      <c r="HQG47"/>
      <c r="HQH47"/>
      <c r="HQI47"/>
      <c r="HQJ47"/>
      <c r="HQK47"/>
      <c r="HQL47"/>
      <c r="HQM47"/>
      <c r="HQN47"/>
      <c r="HQO47"/>
      <c r="HQP47"/>
      <c r="HQQ47"/>
      <c r="HQR47"/>
      <c r="HQS47"/>
      <c r="HQT47"/>
      <c r="HQU47"/>
      <c r="HQV47"/>
      <c r="HQW47"/>
      <c r="HQX47"/>
      <c r="HQY47"/>
      <c r="HQZ47"/>
      <c r="HRA47"/>
      <c r="HRB47"/>
      <c r="HRC47"/>
      <c r="HRD47"/>
      <c r="HRE47"/>
      <c r="HRF47"/>
      <c r="HRG47"/>
      <c r="HRH47"/>
      <c r="HRI47"/>
      <c r="HRJ47"/>
      <c r="HRK47"/>
      <c r="HRL47"/>
      <c r="HRM47"/>
      <c r="HRN47"/>
      <c r="HRO47"/>
      <c r="HRP47"/>
      <c r="HRQ47"/>
      <c r="HRR47"/>
      <c r="HRS47"/>
      <c r="HRT47"/>
      <c r="HRU47"/>
      <c r="HRV47"/>
      <c r="HRW47"/>
      <c r="HRX47"/>
      <c r="HRY47"/>
      <c r="HRZ47"/>
      <c r="HSA47"/>
      <c r="HSB47"/>
      <c r="HSC47"/>
      <c r="HSD47"/>
      <c r="HSE47"/>
      <c r="HSF47"/>
      <c r="HSG47"/>
      <c r="HSH47"/>
      <c r="HSI47"/>
      <c r="HSJ47"/>
      <c r="HSK47"/>
      <c r="HSL47"/>
      <c r="HSM47"/>
      <c r="HSN47"/>
      <c r="HSO47"/>
      <c r="HSP47"/>
      <c r="HSQ47"/>
      <c r="HSR47"/>
      <c r="HSS47"/>
      <c r="HST47"/>
      <c r="HSU47"/>
      <c r="HSV47"/>
      <c r="HSW47"/>
      <c r="HSX47"/>
      <c r="HSY47"/>
      <c r="HSZ47"/>
      <c r="HTA47"/>
      <c r="HTB47"/>
      <c r="HTC47"/>
      <c r="HTD47"/>
      <c r="HTE47"/>
      <c r="HTF47"/>
      <c r="HTG47"/>
      <c r="HTH47"/>
      <c r="HTI47"/>
      <c r="HTJ47"/>
      <c r="HTK47"/>
      <c r="HTL47"/>
      <c r="HTM47"/>
      <c r="HTN47"/>
      <c r="HTO47"/>
      <c r="HTP47"/>
      <c r="HTQ47"/>
      <c r="HTR47"/>
      <c r="HTS47"/>
      <c r="HTT47"/>
      <c r="HTU47"/>
      <c r="HTV47"/>
      <c r="HTW47"/>
      <c r="HTX47"/>
      <c r="HTY47"/>
      <c r="HTZ47"/>
      <c r="HUA47"/>
      <c r="HUB47"/>
      <c r="HUC47"/>
      <c r="HUD47"/>
      <c r="HUE47"/>
      <c r="HUF47"/>
      <c r="HUG47"/>
      <c r="HUH47"/>
      <c r="HUI47"/>
      <c r="HUJ47"/>
      <c r="HUK47"/>
      <c r="HUL47"/>
      <c r="HUM47"/>
      <c r="HUN47"/>
      <c r="HUO47"/>
      <c r="HUP47"/>
      <c r="HUQ47"/>
      <c r="HUR47"/>
      <c r="HUS47"/>
      <c r="HUT47"/>
      <c r="HUU47"/>
      <c r="HUV47"/>
      <c r="HUW47"/>
      <c r="HUX47"/>
      <c r="HUY47"/>
      <c r="HUZ47"/>
      <c r="HVA47"/>
      <c r="HVB47"/>
      <c r="HVC47"/>
      <c r="HVD47"/>
      <c r="HVE47"/>
      <c r="HVF47"/>
      <c r="HVG47"/>
      <c r="HVH47"/>
      <c r="HVI47"/>
      <c r="HVJ47"/>
      <c r="HVK47"/>
      <c r="HVL47"/>
      <c r="HVM47"/>
      <c r="HVN47"/>
      <c r="HVO47"/>
      <c r="HVP47"/>
      <c r="HVQ47"/>
      <c r="HVR47"/>
      <c r="HVS47"/>
      <c r="HVT47"/>
      <c r="HVU47"/>
      <c r="HVV47"/>
      <c r="HVW47"/>
      <c r="HVX47"/>
      <c r="HVY47"/>
      <c r="HVZ47"/>
      <c r="HWA47"/>
      <c r="HWB47"/>
      <c r="HWC47"/>
      <c r="HWD47"/>
      <c r="HWE47"/>
      <c r="HWF47"/>
      <c r="HWG47"/>
      <c r="HWH47"/>
      <c r="HWI47"/>
      <c r="HWJ47"/>
      <c r="HWK47"/>
      <c r="HWL47"/>
      <c r="HWM47"/>
      <c r="HWN47"/>
      <c r="HWO47"/>
      <c r="HWP47"/>
      <c r="HWQ47"/>
      <c r="HWR47"/>
      <c r="HWS47"/>
      <c r="HWT47"/>
      <c r="HWU47"/>
      <c r="HWV47"/>
      <c r="HWW47"/>
      <c r="HWX47"/>
      <c r="HWY47"/>
      <c r="HWZ47"/>
      <c r="HXA47"/>
      <c r="HXB47"/>
      <c r="HXC47"/>
      <c r="HXD47"/>
      <c r="HXE47"/>
      <c r="HXF47"/>
      <c r="HXG47"/>
      <c r="HXH47"/>
      <c r="HXI47"/>
      <c r="HXJ47"/>
      <c r="HXK47"/>
      <c r="HXL47"/>
      <c r="HXM47"/>
      <c r="HXN47"/>
      <c r="HXO47"/>
      <c r="HXP47"/>
      <c r="HXQ47"/>
      <c r="HXR47"/>
      <c r="HXS47"/>
      <c r="HXT47"/>
      <c r="HXU47"/>
      <c r="HXV47"/>
      <c r="HXW47"/>
      <c r="HXX47"/>
      <c r="HXY47"/>
      <c r="HXZ47"/>
      <c r="HYA47"/>
      <c r="HYB47"/>
      <c r="HYC47"/>
      <c r="HYD47"/>
      <c r="HYE47"/>
      <c r="HYF47"/>
      <c r="HYG47"/>
      <c r="HYH47"/>
      <c r="HYI47"/>
      <c r="HYJ47"/>
      <c r="HYK47"/>
      <c r="HYL47"/>
      <c r="HYM47"/>
      <c r="HYN47"/>
      <c r="HYO47"/>
      <c r="HYP47"/>
      <c r="HYQ47"/>
      <c r="HYR47"/>
      <c r="HYS47"/>
      <c r="HYT47"/>
      <c r="HYU47"/>
      <c r="HYV47"/>
      <c r="HYW47"/>
      <c r="HYX47"/>
      <c r="HYY47"/>
      <c r="HYZ47"/>
      <c r="HZA47"/>
      <c r="HZB47"/>
      <c r="HZC47"/>
      <c r="HZD47"/>
      <c r="HZE47"/>
      <c r="HZF47"/>
      <c r="HZG47"/>
      <c r="HZH47"/>
      <c r="HZI47"/>
      <c r="HZJ47"/>
      <c r="HZK47"/>
      <c r="HZL47"/>
      <c r="HZM47"/>
      <c r="HZN47"/>
      <c r="HZO47"/>
      <c r="HZP47"/>
      <c r="HZQ47"/>
      <c r="HZR47"/>
      <c r="HZS47"/>
      <c r="HZT47"/>
      <c r="HZU47"/>
      <c r="HZV47"/>
      <c r="HZW47"/>
      <c r="HZX47"/>
      <c r="HZY47"/>
      <c r="HZZ47"/>
      <c r="IAA47"/>
      <c r="IAB47"/>
      <c r="IAC47"/>
      <c r="IAD47"/>
      <c r="IAE47"/>
      <c r="IAF47"/>
      <c r="IAG47"/>
      <c r="IAH47"/>
      <c r="IAI47"/>
      <c r="IAJ47"/>
      <c r="IAK47"/>
      <c r="IAL47"/>
      <c r="IAM47"/>
      <c r="IAN47"/>
      <c r="IAO47"/>
      <c r="IAP47"/>
      <c r="IAQ47"/>
      <c r="IAR47"/>
      <c r="IAS47"/>
      <c r="IAT47"/>
      <c r="IAU47"/>
      <c r="IAV47"/>
      <c r="IAW47"/>
      <c r="IAX47"/>
      <c r="IAY47"/>
      <c r="IAZ47"/>
      <c r="IBA47"/>
      <c r="IBB47"/>
      <c r="IBC47"/>
      <c r="IBD47"/>
      <c r="IBE47"/>
      <c r="IBF47"/>
      <c r="IBG47"/>
      <c r="IBH47"/>
      <c r="IBI47"/>
      <c r="IBJ47"/>
      <c r="IBK47"/>
      <c r="IBL47"/>
      <c r="IBM47"/>
      <c r="IBN47"/>
      <c r="IBO47"/>
      <c r="IBP47"/>
      <c r="IBQ47"/>
      <c r="IBR47"/>
      <c r="IBS47"/>
      <c r="IBT47"/>
      <c r="IBU47"/>
      <c r="IBV47"/>
      <c r="IBW47"/>
      <c r="IBX47"/>
      <c r="IBY47"/>
      <c r="IBZ47"/>
      <c r="ICA47"/>
      <c r="ICB47"/>
      <c r="ICC47"/>
      <c r="ICD47"/>
      <c r="ICE47"/>
      <c r="ICF47"/>
      <c r="ICG47"/>
      <c r="ICH47"/>
      <c r="ICI47"/>
      <c r="ICJ47"/>
      <c r="ICK47"/>
      <c r="ICL47"/>
      <c r="ICM47"/>
      <c r="ICN47"/>
      <c r="ICO47"/>
      <c r="ICP47"/>
      <c r="ICQ47"/>
      <c r="ICR47"/>
      <c r="ICS47"/>
      <c r="ICT47"/>
      <c r="ICU47"/>
      <c r="ICV47"/>
      <c r="ICW47"/>
      <c r="ICX47"/>
      <c r="ICY47"/>
      <c r="ICZ47"/>
      <c r="IDA47"/>
      <c r="IDB47"/>
      <c r="IDC47"/>
      <c r="IDD47"/>
      <c r="IDE47"/>
      <c r="IDF47"/>
      <c r="IDG47"/>
      <c r="IDH47"/>
      <c r="IDI47"/>
      <c r="IDJ47"/>
      <c r="IDK47"/>
      <c r="IDL47"/>
      <c r="IDM47"/>
      <c r="IDN47"/>
      <c r="IDO47"/>
      <c r="IDP47"/>
      <c r="IDQ47"/>
      <c r="IDR47"/>
      <c r="IDS47"/>
      <c r="IDT47"/>
      <c r="IDU47"/>
      <c r="IDV47"/>
      <c r="IDW47"/>
      <c r="IDX47"/>
      <c r="IDY47"/>
      <c r="IDZ47"/>
      <c r="IEA47"/>
      <c r="IEB47"/>
      <c r="IEC47"/>
      <c r="IED47"/>
      <c r="IEE47"/>
      <c r="IEF47"/>
      <c r="IEG47"/>
      <c r="IEH47"/>
      <c r="IEI47"/>
      <c r="IEJ47"/>
      <c r="IEK47"/>
      <c r="IEL47"/>
      <c r="IEM47"/>
      <c r="IEN47"/>
      <c r="IEO47"/>
      <c r="IEP47"/>
      <c r="IEQ47"/>
      <c r="IER47"/>
      <c r="IES47"/>
      <c r="IET47"/>
      <c r="IEU47"/>
      <c r="IEV47"/>
      <c r="IEW47"/>
      <c r="IEX47"/>
      <c r="IEY47"/>
      <c r="IEZ47"/>
      <c r="IFA47"/>
      <c r="IFB47"/>
      <c r="IFC47"/>
      <c r="IFD47"/>
      <c r="IFE47"/>
      <c r="IFF47"/>
      <c r="IFG47"/>
      <c r="IFH47"/>
      <c r="IFI47"/>
      <c r="IFJ47"/>
      <c r="IFK47"/>
      <c r="IFL47"/>
      <c r="IFM47"/>
      <c r="IFN47"/>
      <c r="IFO47"/>
      <c r="IFP47"/>
      <c r="IFQ47"/>
      <c r="IFR47"/>
      <c r="IFS47"/>
      <c r="IFT47"/>
      <c r="IFU47"/>
      <c r="IFV47"/>
      <c r="IFW47"/>
      <c r="IFX47"/>
      <c r="IFY47"/>
      <c r="IFZ47"/>
      <c r="IGA47"/>
      <c r="IGB47"/>
      <c r="IGC47"/>
      <c r="IGD47"/>
      <c r="IGE47"/>
      <c r="IGF47"/>
      <c r="IGG47"/>
      <c r="IGH47"/>
      <c r="IGI47"/>
      <c r="IGJ47"/>
      <c r="IGK47"/>
      <c r="IGL47"/>
      <c r="IGM47"/>
      <c r="IGN47"/>
      <c r="IGO47"/>
      <c r="IGP47"/>
      <c r="IGQ47"/>
      <c r="IGR47"/>
      <c r="IGS47"/>
      <c r="IGT47"/>
      <c r="IGU47"/>
      <c r="IGV47"/>
      <c r="IGW47"/>
      <c r="IGX47"/>
      <c r="IGY47"/>
      <c r="IGZ47"/>
      <c r="IHA47"/>
      <c r="IHB47"/>
      <c r="IHC47"/>
      <c r="IHD47"/>
      <c r="IHE47"/>
      <c r="IHF47"/>
      <c r="IHG47"/>
      <c r="IHH47"/>
      <c r="IHI47"/>
      <c r="IHJ47"/>
      <c r="IHK47"/>
      <c r="IHL47"/>
      <c r="IHM47"/>
      <c r="IHN47"/>
      <c r="IHO47"/>
      <c r="IHP47"/>
      <c r="IHQ47"/>
      <c r="IHR47"/>
      <c r="IHS47"/>
      <c r="IHT47"/>
      <c r="IHU47"/>
      <c r="IHV47"/>
      <c r="IHW47"/>
      <c r="IHX47"/>
      <c r="IHY47"/>
      <c r="IHZ47"/>
      <c r="IIA47"/>
      <c r="IIB47"/>
      <c r="IIC47"/>
      <c r="IID47"/>
      <c r="IIE47"/>
      <c r="IIF47"/>
      <c r="IIG47"/>
      <c r="IIH47"/>
      <c r="III47"/>
      <c r="IIJ47"/>
      <c r="IIK47"/>
      <c r="IIL47"/>
      <c r="IIM47"/>
      <c r="IIN47"/>
      <c r="IIO47"/>
      <c r="IIP47"/>
      <c r="IIQ47"/>
      <c r="IIR47"/>
      <c r="IIS47"/>
      <c r="IIT47"/>
      <c r="IIU47"/>
      <c r="IIV47"/>
      <c r="IIW47"/>
      <c r="IIX47"/>
      <c r="IIY47"/>
      <c r="IIZ47"/>
      <c r="IJA47"/>
      <c r="IJB47"/>
      <c r="IJC47"/>
      <c r="IJD47"/>
      <c r="IJE47"/>
      <c r="IJF47"/>
      <c r="IJG47"/>
      <c r="IJH47"/>
      <c r="IJI47"/>
      <c r="IJJ47"/>
      <c r="IJK47"/>
      <c r="IJL47"/>
      <c r="IJM47"/>
      <c r="IJN47"/>
      <c r="IJO47"/>
      <c r="IJP47"/>
      <c r="IJQ47"/>
      <c r="IJR47"/>
      <c r="IJS47"/>
      <c r="IJT47"/>
      <c r="IJU47"/>
      <c r="IJV47"/>
      <c r="IJW47"/>
      <c r="IJX47"/>
      <c r="IJY47"/>
      <c r="IJZ47"/>
      <c r="IKA47"/>
      <c r="IKB47"/>
      <c r="IKC47"/>
      <c r="IKD47"/>
      <c r="IKE47"/>
      <c r="IKF47"/>
      <c r="IKG47"/>
      <c r="IKH47"/>
      <c r="IKI47"/>
      <c r="IKJ47"/>
      <c r="IKK47"/>
      <c r="IKL47"/>
      <c r="IKM47"/>
      <c r="IKN47"/>
      <c r="IKO47"/>
      <c r="IKP47"/>
      <c r="IKQ47"/>
      <c r="IKR47"/>
      <c r="IKS47"/>
      <c r="IKT47"/>
      <c r="IKU47"/>
      <c r="IKV47"/>
      <c r="IKW47"/>
      <c r="IKX47"/>
      <c r="IKY47"/>
      <c r="IKZ47"/>
      <c r="ILA47"/>
      <c r="ILB47"/>
      <c r="ILC47"/>
      <c r="ILD47"/>
      <c r="ILE47"/>
      <c r="ILF47"/>
      <c r="ILG47"/>
      <c r="ILH47"/>
      <c r="ILI47"/>
      <c r="ILJ47"/>
      <c r="ILK47"/>
      <c r="ILL47"/>
      <c r="ILM47"/>
      <c r="ILN47"/>
      <c r="ILO47"/>
      <c r="ILP47"/>
      <c r="ILQ47"/>
      <c r="ILR47"/>
      <c r="ILS47"/>
      <c r="ILT47"/>
      <c r="ILU47"/>
      <c r="ILV47"/>
      <c r="ILW47"/>
      <c r="ILX47"/>
      <c r="ILY47"/>
      <c r="ILZ47"/>
      <c r="IMA47"/>
      <c r="IMB47"/>
      <c r="IMC47"/>
      <c r="IMD47"/>
      <c r="IME47"/>
      <c r="IMF47"/>
      <c r="IMG47"/>
      <c r="IMH47"/>
      <c r="IMI47"/>
      <c r="IMJ47"/>
      <c r="IMK47"/>
      <c r="IML47"/>
      <c r="IMM47"/>
      <c r="IMN47"/>
      <c r="IMO47"/>
      <c r="IMP47"/>
      <c r="IMQ47"/>
      <c r="IMR47"/>
      <c r="IMS47"/>
      <c r="IMT47"/>
      <c r="IMU47"/>
      <c r="IMV47"/>
      <c r="IMW47"/>
      <c r="IMX47"/>
      <c r="IMY47"/>
      <c r="IMZ47"/>
      <c r="INA47"/>
      <c r="INB47"/>
      <c r="INC47"/>
      <c r="IND47"/>
      <c r="INE47"/>
      <c r="INF47"/>
      <c r="ING47"/>
      <c r="INH47"/>
      <c r="INI47"/>
      <c r="INJ47"/>
      <c r="INK47"/>
      <c r="INL47"/>
      <c r="INM47"/>
      <c r="INN47"/>
      <c r="INO47"/>
      <c r="INP47"/>
      <c r="INQ47"/>
      <c r="INR47"/>
      <c r="INS47"/>
      <c r="INT47"/>
      <c r="INU47"/>
      <c r="INV47"/>
      <c r="INW47"/>
      <c r="INX47"/>
      <c r="INY47"/>
      <c r="INZ47"/>
      <c r="IOA47"/>
      <c r="IOB47"/>
      <c r="IOC47"/>
      <c r="IOD47"/>
      <c r="IOE47"/>
      <c r="IOF47"/>
      <c r="IOG47"/>
      <c r="IOH47"/>
      <c r="IOI47"/>
      <c r="IOJ47"/>
      <c r="IOK47"/>
      <c r="IOL47"/>
      <c r="IOM47"/>
      <c r="ION47"/>
      <c r="IOO47"/>
      <c r="IOP47"/>
      <c r="IOQ47"/>
      <c r="IOR47"/>
      <c r="IOS47"/>
      <c r="IOT47"/>
      <c r="IOU47"/>
      <c r="IOV47"/>
      <c r="IOW47"/>
      <c r="IOX47"/>
      <c r="IOY47"/>
      <c r="IOZ47"/>
      <c r="IPA47"/>
      <c r="IPB47"/>
      <c r="IPC47"/>
      <c r="IPD47"/>
      <c r="IPE47"/>
      <c r="IPF47"/>
      <c r="IPG47"/>
      <c r="IPH47"/>
      <c r="IPI47"/>
      <c r="IPJ47"/>
      <c r="IPK47"/>
      <c r="IPL47"/>
      <c r="IPM47"/>
      <c r="IPN47"/>
      <c r="IPO47"/>
      <c r="IPP47"/>
      <c r="IPQ47"/>
      <c r="IPR47"/>
      <c r="IPS47"/>
      <c r="IPT47"/>
      <c r="IPU47"/>
      <c r="IPV47"/>
      <c r="IPW47"/>
      <c r="IPX47"/>
      <c r="IPY47"/>
      <c r="IPZ47"/>
      <c r="IQA47"/>
      <c r="IQB47"/>
      <c r="IQC47"/>
      <c r="IQD47"/>
      <c r="IQE47"/>
      <c r="IQF47"/>
      <c r="IQG47"/>
      <c r="IQH47"/>
      <c r="IQI47"/>
      <c r="IQJ47"/>
      <c r="IQK47"/>
      <c r="IQL47"/>
      <c r="IQM47"/>
      <c r="IQN47"/>
      <c r="IQO47"/>
      <c r="IQP47"/>
      <c r="IQQ47"/>
      <c r="IQR47"/>
      <c r="IQS47"/>
      <c r="IQT47"/>
      <c r="IQU47"/>
      <c r="IQV47"/>
      <c r="IQW47"/>
      <c r="IQX47"/>
      <c r="IQY47"/>
      <c r="IQZ47"/>
      <c r="IRA47"/>
      <c r="IRB47"/>
      <c r="IRC47"/>
      <c r="IRD47"/>
      <c r="IRE47"/>
      <c r="IRF47"/>
      <c r="IRG47"/>
      <c r="IRH47"/>
      <c r="IRI47"/>
      <c r="IRJ47"/>
      <c r="IRK47"/>
      <c r="IRL47"/>
      <c r="IRM47"/>
      <c r="IRN47"/>
      <c r="IRO47"/>
      <c r="IRP47"/>
      <c r="IRQ47"/>
      <c r="IRR47"/>
      <c r="IRS47"/>
      <c r="IRT47"/>
      <c r="IRU47"/>
      <c r="IRV47"/>
      <c r="IRW47"/>
      <c r="IRX47"/>
      <c r="IRY47"/>
      <c r="IRZ47"/>
      <c r="ISA47"/>
      <c r="ISB47"/>
      <c r="ISC47"/>
      <c r="ISD47"/>
      <c r="ISE47"/>
      <c r="ISF47"/>
      <c r="ISG47"/>
      <c r="ISH47"/>
      <c r="ISI47"/>
      <c r="ISJ47"/>
      <c r="ISK47"/>
      <c r="ISL47"/>
      <c r="ISM47"/>
      <c r="ISN47"/>
      <c r="ISO47"/>
      <c r="ISP47"/>
      <c r="ISQ47"/>
      <c r="ISR47"/>
      <c r="ISS47"/>
      <c r="IST47"/>
      <c r="ISU47"/>
      <c r="ISV47"/>
      <c r="ISW47"/>
      <c r="ISX47"/>
      <c r="ISY47"/>
      <c r="ISZ47"/>
      <c r="ITA47"/>
      <c r="ITB47"/>
      <c r="ITC47"/>
      <c r="ITD47"/>
      <c r="ITE47"/>
      <c r="ITF47"/>
      <c r="ITG47"/>
      <c r="ITH47"/>
      <c r="ITI47"/>
      <c r="ITJ47"/>
      <c r="ITK47"/>
      <c r="ITL47"/>
      <c r="ITM47"/>
      <c r="ITN47"/>
      <c r="ITO47"/>
      <c r="ITP47"/>
      <c r="ITQ47"/>
      <c r="ITR47"/>
      <c r="ITS47"/>
      <c r="ITT47"/>
      <c r="ITU47"/>
      <c r="ITV47"/>
      <c r="ITW47"/>
      <c r="ITX47"/>
      <c r="ITY47"/>
      <c r="ITZ47"/>
      <c r="IUA47"/>
      <c r="IUB47"/>
      <c r="IUC47"/>
      <c r="IUD47"/>
      <c r="IUE47"/>
      <c r="IUF47"/>
      <c r="IUG47"/>
      <c r="IUH47"/>
      <c r="IUI47"/>
      <c r="IUJ47"/>
      <c r="IUK47"/>
      <c r="IUL47"/>
      <c r="IUM47"/>
      <c r="IUN47"/>
      <c r="IUO47"/>
      <c r="IUP47"/>
      <c r="IUQ47"/>
      <c r="IUR47"/>
      <c r="IUS47"/>
      <c r="IUT47"/>
      <c r="IUU47"/>
      <c r="IUV47"/>
      <c r="IUW47"/>
      <c r="IUX47"/>
      <c r="IUY47"/>
      <c r="IUZ47"/>
      <c r="IVA47"/>
      <c r="IVB47"/>
      <c r="IVC47"/>
      <c r="IVD47"/>
      <c r="IVE47"/>
      <c r="IVF47"/>
      <c r="IVG47"/>
      <c r="IVH47"/>
      <c r="IVI47"/>
      <c r="IVJ47"/>
      <c r="IVK47"/>
      <c r="IVL47"/>
      <c r="IVM47"/>
      <c r="IVN47"/>
      <c r="IVO47"/>
      <c r="IVP47"/>
      <c r="IVQ47"/>
      <c r="IVR47"/>
      <c r="IVS47"/>
      <c r="IVT47"/>
      <c r="IVU47"/>
      <c r="IVV47"/>
      <c r="IVW47"/>
      <c r="IVX47"/>
      <c r="IVY47"/>
      <c r="IVZ47"/>
      <c r="IWA47"/>
      <c r="IWB47"/>
      <c r="IWC47"/>
      <c r="IWD47"/>
      <c r="IWE47"/>
      <c r="IWF47"/>
      <c r="IWG47"/>
      <c r="IWH47"/>
      <c r="IWI47"/>
      <c r="IWJ47"/>
      <c r="IWK47"/>
      <c r="IWL47"/>
      <c r="IWM47"/>
      <c r="IWN47"/>
      <c r="IWO47"/>
      <c r="IWP47"/>
      <c r="IWQ47"/>
      <c r="IWR47"/>
      <c r="IWS47"/>
      <c r="IWT47"/>
      <c r="IWU47"/>
      <c r="IWV47"/>
      <c r="IWW47"/>
      <c r="IWX47"/>
      <c r="IWY47"/>
      <c r="IWZ47"/>
      <c r="IXA47"/>
      <c r="IXB47"/>
      <c r="IXC47"/>
      <c r="IXD47"/>
      <c r="IXE47"/>
      <c r="IXF47"/>
      <c r="IXG47"/>
      <c r="IXH47"/>
      <c r="IXI47"/>
      <c r="IXJ47"/>
      <c r="IXK47"/>
      <c r="IXL47"/>
      <c r="IXM47"/>
      <c r="IXN47"/>
      <c r="IXO47"/>
      <c r="IXP47"/>
      <c r="IXQ47"/>
      <c r="IXR47"/>
      <c r="IXS47"/>
      <c r="IXT47"/>
      <c r="IXU47"/>
      <c r="IXV47"/>
      <c r="IXW47"/>
      <c r="IXX47"/>
      <c r="IXY47"/>
      <c r="IXZ47"/>
      <c r="IYA47"/>
      <c r="IYB47"/>
      <c r="IYC47"/>
      <c r="IYD47"/>
      <c r="IYE47"/>
      <c r="IYF47"/>
      <c r="IYG47"/>
      <c r="IYH47"/>
      <c r="IYI47"/>
      <c r="IYJ47"/>
      <c r="IYK47"/>
      <c r="IYL47"/>
      <c r="IYM47"/>
      <c r="IYN47"/>
      <c r="IYO47"/>
      <c r="IYP47"/>
      <c r="IYQ47"/>
      <c r="IYR47"/>
      <c r="IYS47"/>
      <c r="IYT47"/>
      <c r="IYU47"/>
      <c r="IYV47"/>
      <c r="IYW47"/>
      <c r="IYX47"/>
      <c r="IYY47"/>
      <c r="IYZ47"/>
      <c r="IZA47"/>
      <c r="IZB47"/>
      <c r="IZC47"/>
      <c r="IZD47"/>
      <c r="IZE47"/>
      <c r="IZF47"/>
      <c r="IZG47"/>
      <c r="IZH47"/>
      <c r="IZI47"/>
      <c r="IZJ47"/>
      <c r="IZK47"/>
      <c r="IZL47"/>
      <c r="IZM47"/>
      <c r="IZN47"/>
      <c r="IZO47"/>
      <c r="IZP47"/>
      <c r="IZQ47"/>
      <c r="IZR47"/>
      <c r="IZS47"/>
      <c r="IZT47"/>
      <c r="IZU47"/>
      <c r="IZV47"/>
      <c r="IZW47"/>
      <c r="IZX47"/>
      <c r="IZY47"/>
      <c r="IZZ47"/>
      <c r="JAA47"/>
      <c r="JAB47"/>
      <c r="JAC47"/>
      <c r="JAD47"/>
      <c r="JAE47"/>
      <c r="JAF47"/>
      <c r="JAG47"/>
      <c r="JAH47"/>
      <c r="JAI47"/>
      <c r="JAJ47"/>
      <c r="JAK47"/>
      <c r="JAL47"/>
      <c r="JAM47"/>
      <c r="JAN47"/>
      <c r="JAO47"/>
      <c r="JAP47"/>
      <c r="JAQ47"/>
      <c r="JAR47"/>
      <c r="JAS47"/>
      <c r="JAT47"/>
      <c r="JAU47"/>
      <c r="JAV47"/>
      <c r="JAW47"/>
      <c r="JAX47"/>
      <c r="JAY47"/>
      <c r="JAZ47"/>
      <c r="JBA47"/>
      <c r="JBB47"/>
      <c r="JBC47"/>
      <c r="JBD47"/>
      <c r="JBE47"/>
      <c r="JBF47"/>
      <c r="JBG47"/>
      <c r="JBH47"/>
      <c r="JBI47"/>
      <c r="JBJ47"/>
      <c r="JBK47"/>
      <c r="JBL47"/>
      <c r="JBM47"/>
      <c r="JBN47"/>
      <c r="JBO47"/>
      <c r="JBP47"/>
      <c r="JBQ47"/>
      <c r="JBR47"/>
      <c r="JBS47"/>
      <c r="JBT47"/>
      <c r="JBU47"/>
      <c r="JBV47"/>
      <c r="JBW47"/>
      <c r="JBX47"/>
      <c r="JBY47"/>
      <c r="JBZ47"/>
      <c r="JCA47"/>
      <c r="JCB47"/>
      <c r="JCC47"/>
      <c r="JCD47"/>
      <c r="JCE47"/>
      <c r="JCF47"/>
      <c r="JCG47"/>
      <c r="JCH47"/>
      <c r="JCI47"/>
      <c r="JCJ47"/>
      <c r="JCK47"/>
      <c r="JCL47"/>
      <c r="JCM47"/>
      <c r="JCN47"/>
      <c r="JCO47"/>
      <c r="JCP47"/>
      <c r="JCQ47"/>
      <c r="JCR47"/>
      <c r="JCS47"/>
      <c r="JCT47"/>
      <c r="JCU47"/>
      <c r="JCV47"/>
      <c r="JCW47"/>
      <c r="JCX47"/>
      <c r="JCY47"/>
      <c r="JCZ47"/>
      <c r="JDA47"/>
      <c r="JDB47"/>
      <c r="JDC47"/>
      <c r="JDD47"/>
      <c r="JDE47"/>
      <c r="JDF47"/>
      <c r="JDG47"/>
      <c r="JDH47"/>
      <c r="JDI47"/>
      <c r="JDJ47"/>
      <c r="JDK47"/>
      <c r="JDL47"/>
      <c r="JDM47"/>
      <c r="JDN47"/>
      <c r="JDO47"/>
      <c r="JDP47"/>
      <c r="JDQ47"/>
      <c r="JDR47"/>
      <c r="JDS47"/>
      <c r="JDT47"/>
      <c r="JDU47"/>
      <c r="JDV47"/>
      <c r="JDW47"/>
      <c r="JDX47"/>
      <c r="JDY47"/>
      <c r="JDZ47"/>
      <c r="JEA47"/>
      <c r="JEB47"/>
      <c r="JEC47"/>
      <c r="JED47"/>
      <c r="JEE47"/>
      <c r="JEF47"/>
      <c r="JEG47"/>
      <c r="JEH47"/>
      <c r="JEI47"/>
      <c r="JEJ47"/>
      <c r="JEK47"/>
      <c r="JEL47"/>
      <c r="JEM47"/>
      <c r="JEN47"/>
      <c r="JEO47"/>
      <c r="JEP47"/>
      <c r="JEQ47"/>
      <c r="JER47"/>
      <c r="JES47"/>
      <c r="JET47"/>
      <c r="JEU47"/>
      <c r="JEV47"/>
      <c r="JEW47"/>
      <c r="JEX47"/>
      <c r="JEY47"/>
      <c r="JEZ47"/>
      <c r="JFA47"/>
      <c r="JFB47"/>
      <c r="JFC47"/>
      <c r="JFD47"/>
      <c r="JFE47"/>
      <c r="JFF47"/>
      <c r="JFG47"/>
      <c r="JFH47"/>
      <c r="JFI47"/>
      <c r="JFJ47"/>
      <c r="JFK47"/>
      <c r="JFL47"/>
      <c r="JFM47"/>
      <c r="JFN47"/>
      <c r="JFO47"/>
      <c r="JFP47"/>
      <c r="JFQ47"/>
      <c r="JFR47"/>
      <c r="JFS47"/>
      <c r="JFT47"/>
      <c r="JFU47"/>
      <c r="JFV47"/>
      <c r="JFW47"/>
      <c r="JFX47"/>
      <c r="JFY47"/>
      <c r="JFZ47"/>
      <c r="JGA47"/>
      <c r="JGB47"/>
      <c r="JGC47"/>
      <c r="JGD47"/>
      <c r="JGE47"/>
      <c r="JGF47"/>
      <c r="JGG47"/>
      <c r="JGH47"/>
      <c r="JGI47"/>
      <c r="JGJ47"/>
      <c r="JGK47"/>
      <c r="JGL47"/>
      <c r="JGM47"/>
      <c r="JGN47"/>
      <c r="JGO47"/>
      <c r="JGP47"/>
      <c r="JGQ47"/>
      <c r="JGR47"/>
      <c r="JGS47"/>
      <c r="JGT47"/>
      <c r="JGU47"/>
      <c r="JGV47"/>
      <c r="JGW47"/>
      <c r="JGX47"/>
      <c r="JGY47"/>
      <c r="JGZ47"/>
      <c r="JHA47"/>
      <c r="JHB47"/>
      <c r="JHC47"/>
      <c r="JHD47"/>
      <c r="JHE47"/>
      <c r="JHF47"/>
      <c r="JHG47"/>
      <c r="JHH47"/>
      <c r="JHI47"/>
      <c r="JHJ47"/>
      <c r="JHK47"/>
      <c r="JHL47"/>
      <c r="JHM47"/>
      <c r="JHN47"/>
      <c r="JHO47"/>
      <c r="JHP47"/>
      <c r="JHQ47"/>
      <c r="JHR47"/>
      <c r="JHS47"/>
      <c r="JHT47"/>
      <c r="JHU47"/>
      <c r="JHV47"/>
      <c r="JHW47"/>
      <c r="JHX47"/>
      <c r="JHY47"/>
      <c r="JHZ47"/>
      <c r="JIA47"/>
      <c r="JIB47"/>
      <c r="JIC47"/>
      <c r="JID47"/>
      <c r="JIE47"/>
      <c r="JIF47"/>
      <c r="JIG47"/>
      <c r="JIH47"/>
      <c r="JII47"/>
      <c r="JIJ47"/>
      <c r="JIK47"/>
      <c r="JIL47"/>
      <c r="JIM47"/>
      <c r="JIN47"/>
      <c r="JIO47"/>
      <c r="JIP47"/>
      <c r="JIQ47"/>
      <c r="JIR47"/>
      <c r="JIS47"/>
      <c r="JIT47"/>
      <c r="JIU47"/>
      <c r="JIV47"/>
      <c r="JIW47"/>
      <c r="JIX47"/>
      <c r="JIY47"/>
      <c r="JIZ47"/>
      <c r="JJA47"/>
      <c r="JJB47"/>
      <c r="JJC47"/>
      <c r="JJD47"/>
      <c r="JJE47"/>
      <c r="JJF47"/>
      <c r="JJG47"/>
      <c r="JJH47"/>
      <c r="JJI47"/>
      <c r="JJJ47"/>
      <c r="JJK47"/>
      <c r="JJL47"/>
      <c r="JJM47"/>
      <c r="JJN47"/>
      <c r="JJO47"/>
      <c r="JJP47"/>
      <c r="JJQ47"/>
      <c r="JJR47"/>
      <c r="JJS47"/>
      <c r="JJT47"/>
      <c r="JJU47"/>
      <c r="JJV47"/>
      <c r="JJW47"/>
      <c r="JJX47"/>
      <c r="JJY47"/>
      <c r="JJZ47"/>
      <c r="JKA47"/>
      <c r="JKB47"/>
      <c r="JKC47"/>
      <c r="JKD47"/>
      <c r="JKE47"/>
      <c r="JKF47"/>
      <c r="JKG47"/>
      <c r="JKH47"/>
      <c r="JKI47"/>
      <c r="JKJ47"/>
      <c r="JKK47"/>
      <c r="JKL47"/>
      <c r="JKM47"/>
      <c r="JKN47"/>
      <c r="JKO47"/>
      <c r="JKP47"/>
      <c r="JKQ47"/>
      <c r="JKR47"/>
      <c r="JKS47"/>
      <c r="JKT47"/>
      <c r="JKU47"/>
      <c r="JKV47"/>
      <c r="JKW47"/>
      <c r="JKX47"/>
      <c r="JKY47"/>
      <c r="JKZ47"/>
      <c r="JLA47"/>
      <c r="JLB47"/>
      <c r="JLC47"/>
      <c r="JLD47"/>
      <c r="JLE47"/>
      <c r="JLF47"/>
      <c r="JLG47"/>
      <c r="JLH47"/>
      <c r="JLI47"/>
      <c r="JLJ47"/>
      <c r="JLK47"/>
      <c r="JLL47"/>
      <c r="JLM47"/>
      <c r="JLN47"/>
      <c r="JLO47"/>
      <c r="JLP47"/>
      <c r="JLQ47"/>
      <c r="JLR47"/>
      <c r="JLS47"/>
      <c r="JLT47"/>
      <c r="JLU47"/>
      <c r="JLV47"/>
      <c r="JLW47"/>
      <c r="JLX47"/>
      <c r="JLY47"/>
      <c r="JLZ47"/>
      <c r="JMA47"/>
      <c r="JMB47"/>
      <c r="JMC47"/>
      <c r="JMD47"/>
      <c r="JME47"/>
      <c r="JMF47"/>
      <c r="JMG47"/>
      <c r="JMH47"/>
      <c r="JMI47"/>
      <c r="JMJ47"/>
      <c r="JMK47"/>
      <c r="JML47"/>
      <c r="JMM47"/>
      <c r="JMN47"/>
      <c r="JMO47"/>
      <c r="JMP47"/>
      <c r="JMQ47"/>
      <c r="JMR47"/>
      <c r="JMS47"/>
      <c r="JMT47"/>
      <c r="JMU47"/>
      <c r="JMV47"/>
      <c r="JMW47"/>
      <c r="JMX47"/>
      <c r="JMY47"/>
      <c r="JMZ47"/>
      <c r="JNA47"/>
      <c r="JNB47"/>
      <c r="JNC47"/>
      <c r="JND47"/>
      <c r="JNE47"/>
      <c r="JNF47"/>
      <c r="JNG47"/>
      <c r="JNH47"/>
      <c r="JNI47"/>
      <c r="JNJ47"/>
      <c r="JNK47"/>
      <c r="JNL47"/>
      <c r="JNM47"/>
      <c r="JNN47"/>
      <c r="JNO47"/>
      <c r="JNP47"/>
      <c r="JNQ47"/>
      <c r="JNR47"/>
      <c r="JNS47"/>
      <c r="JNT47"/>
      <c r="JNU47"/>
      <c r="JNV47"/>
      <c r="JNW47"/>
      <c r="JNX47"/>
      <c r="JNY47"/>
      <c r="JNZ47"/>
      <c r="JOA47"/>
      <c r="JOB47"/>
      <c r="JOC47"/>
      <c r="JOD47"/>
      <c r="JOE47"/>
      <c r="JOF47"/>
      <c r="JOG47"/>
      <c r="JOH47"/>
      <c r="JOI47"/>
      <c r="JOJ47"/>
      <c r="JOK47"/>
      <c r="JOL47"/>
      <c r="JOM47"/>
      <c r="JON47"/>
      <c r="JOO47"/>
      <c r="JOP47"/>
      <c r="JOQ47"/>
      <c r="JOR47"/>
      <c r="JOS47"/>
      <c r="JOT47"/>
      <c r="JOU47"/>
      <c r="JOV47"/>
      <c r="JOW47"/>
      <c r="JOX47"/>
      <c r="JOY47"/>
      <c r="JOZ47"/>
      <c r="JPA47"/>
      <c r="JPB47"/>
      <c r="JPC47"/>
      <c r="JPD47"/>
      <c r="JPE47"/>
      <c r="JPF47"/>
      <c r="JPG47"/>
      <c r="JPH47"/>
      <c r="JPI47"/>
      <c r="JPJ47"/>
      <c r="JPK47"/>
      <c r="JPL47"/>
      <c r="JPM47"/>
      <c r="JPN47"/>
      <c r="JPO47"/>
      <c r="JPP47"/>
      <c r="JPQ47"/>
      <c r="JPR47"/>
      <c r="JPS47"/>
      <c r="JPT47"/>
      <c r="JPU47"/>
      <c r="JPV47"/>
      <c r="JPW47"/>
      <c r="JPX47"/>
      <c r="JPY47"/>
      <c r="JPZ47"/>
      <c r="JQA47"/>
      <c r="JQB47"/>
      <c r="JQC47"/>
      <c r="JQD47"/>
      <c r="JQE47"/>
      <c r="JQF47"/>
      <c r="JQG47"/>
      <c r="JQH47"/>
      <c r="JQI47"/>
      <c r="JQJ47"/>
      <c r="JQK47"/>
      <c r="JQL47"/>
      <c r="JQM47"/>
      <c r="JQN47"/>
      <c r="JQO47"/>
      <c r="JQP47"/>
      <c r="JQQ47"/>
      <c r="JQR47"/>
      <c r="JQS47"/>
      <c r="JQT47"/>
      <c r="JQU47"/>
      <c r="JQV47"/>
      <c r="JQW47"/>
      <c r="JQX47"/>
      <c r="JQY47"/>
      <c r="JQZ47"/>
      <c r="JRA47"/>
      <c r="JRB47"/>
      <c r="JRC47"/>
      <c r="JRD47"/>
      <c r="JRE47"/>
      <c r="JRF47"/>
      <c r="JRG47"/>
      <c r="JRH47"/>
      <c r="JRI47"/>
      <c r="JRJ47"/>
      <c r="JRK47"/>
      <c r="JRL47"/>
      <c r="JRM47"/>
      <c r="JRN47"/>
      <c r="JRO47"/>
      <c r="JRP47"/>
      <c r="JRQ47"/>
      <c r="JRR47"/>
      <c r="JRS47"/>
      <c r="JRT47"/>
      <c r="JRU47"/>
      <c r="JRV47"/>
      <c r="JRW47"/>
      <c r="JRX47"/>
      <c r="JRY47"/>
      <c r="JRZ47"/>
      <c r="JSA47"/>
      <c r="JSB47"/>
      <c r="JSC47"/>
      <c r="JSD47"/>
      <c r="JSE47"/>
      <c r="JSF47"/>
      <c r="JSG47"/>
      <c r="JSH47"/>
      <c r="JSI47"/>
      <c r="JSJ47"/>
      <c r="JSK47"/>
      <c r="JSL47"/>
      <c r="JSM47"/>
      <c r="JSN47"/>
      <c r="JSO47"/>
      <c r="JSP47"/>
      <c r="JSQ47"/>
      <c r="JSR47"/>
      <c r="JSS47"/>
      <c r="JST47"/>
      <c r="JSU47"/>
      <c r="JSV47"/>
      <c r="JSW47"/>
      <c r="JSX47"/>
      <c r="JSY47"/>
      <c r="JSZ47"/>
      <c r="JTA47"/>
      <c r="JTB47"/>
      <c r="JTC47"/>
      <c r="JTD47"/>
      <c r="JTE47"/>
      <c r="JTF47"/>
      <c r="JTG47"/>
      <c r="JTH47"/>
      <c r="JTI47"/>
      <c r="JTJ47"/>
      <c r="JTK47"/>
      <c r="JTL47"/>
      <c r="JTM47"/>
      <c r="JTN47"/>
      <c r="JTO47"/>
      <c r="JTP47"/>
      <c r="JTQ47"/>
      <c r="JTR47"/>
      <c r="JTS47"/>
      <c r="JTT47"/>
      <c r="JTU47"/>
      <c r="JTV47"/>
      <c r="JTW47"/>
      <c r="JTX47"/>
      <c r="JTY47"/>
      <c r="JTZ47"/>
      <c r="JUA47"/>
      <c r="JUB47"/>
      <c r="JUC47"/>
      <c r="JUD47"/>
      <c r="JUE47"/>
      <c r="JUF47"/>
      <c r="JUG47"/>
      <c r="JUH47"/>
      <c r="JUI47"/>
      <c r="JUJ47"/>
      <c r="JUK47"/>
      <c r="JUL47"/>
      <c r="JUM47"/>
      <c r="JUN47"/>
      <c r="JUO47"/>
      <c r="JUP47"/>
      <c r="JUQ47"/>
      <c r="JUR47"/>
      <c r="JUS47"/>
      <c r="JUT47"/>
      <c r="JUU47"/>
      <c r="JUV47"/>
      <c r="JUW47"/>
      <c r="JUX47"/>
      <c r="JUY47"/>
      <c r="JUZ47"/>
      <c r="JVA47"/>
      <c r="JVB47"/>
      <c r="JVC47"/>
      <c r="JVD47"/>
      <c r="JVE47"/>
      <c r="JVF47"/>
      <c r="JVG47"/>
      <c r="JVH47"/>
      <c r="JVI47"/>
      <c r="JVJ47"/>
      <c r="JVK47"/>
      <c r="JVL47"/>
      <c r="JVM47"/>
      <c r="JVN47"/>
      <c r="JVO47"/>
      <c r="JVP47"/>
      <c r="JVQ47"/>
      <c r="JVR47"/>
      <c r="JVS47"/>
      <c r="JVT47"/>
      <c r="JVU47"/>
      <c r="JVV47"/>
      <c r="JVW47"/>
      <c r="JVX47"/>
      <c r="JVY47"/>
      <c r="JVZ47"/>
      <c r="JWA47"/>
      <c r="JWB47"/>
      <c r="JWC47"/>
      <c r="JWD47"/>
      <c r="JWE47"/>
      <c r="JWF47"/>
      <c r="JWG47"/>
      <c r="JWH47"/>
      <c r="JWI47"/>
      <c r="JWJ47"/>
      <c r="JWK47"/>
      <c r="JWL47"/>
      <c r="JWM47"/>
      <c r="JWN47"/>
      <c r="JWO47"/>
      <c r="JWP47"/>
      <c r="JWQ47"/>
      <c r="JWR47"/>
      <c r="JWS47"/>
      <c r="JWT47"/>
      <c r="JWU47"/>
      <c r="JWV47"/>
      <c r="JWW47"/>
      <c r="JWX47"/>
      <c r="JWY47"/>
      <c r="JWZ47"/>
      <c r="JXA47"/>
      <c r="JXB47"/>
      <c r="JXC47"/>
      <c r="JXD47"/>
      <c r="JXE47"/>
      <c r="JXF47"/>
      <c r="JXG47"/>
      <c r="JXH47"/>
      <c r="JXI47"/>
      <c r="JXJ47"/>
      <c r="JXK47"/>
      <c r="JXL47"/>
      <c r="JXM47"/>
      <c r="JXN47"/>
      <c r="JXO47"/>
      <c r="JXP47"/>
      <c r="JXQ47"/>
      <c r="JXR47"/>
      <c r="JXS47"/>
      <c r="JXT47"/>
      <c r="JXU47"/>
      <c r="JXV47"/>
      <c r="JXW47"/>
      <c r="JXX47"/>
      <c r="JXY47"/>
      <c r="JXZ47"/>
      <c r="JYA47"/>
      <c r="JYB47"/>
      <c r="JYC47"/>
      <c r="JYD47"/>
      <c r="JYE47"/>
      <c r="JYF47"/>
      <c r="JYG47"/>
      <c r="JYH47"/>
      <c r="JYI47"/>
      <c r="JYJ47"/>
      <c r="JYK47"/>
      <c r="JYL47"/>
      <c r="JYM47"/>
      <c r="JYN47"/>
      <c r="JYO47"/>
      <c r="JYP47"/>
      <c r="JYQ47"/>
      <c r="JYR47"/>
      <c r="JYS47"/>
      <c r="JYT47"/>
      <c r="JYU47"/>
      <c r="JYV47"/>
      <c r="JYW47"/>
      <c r="JYX47"/>
      <c r="JYY47"/>
      <c r="JYZ47"/>
      <c r="JZA47"/>
      <c r="JZB47"/>
      <c r="JZC47"/>
      <c r="JZD47"/>
      <c r="JZE47"/>
      <c r="JZF47"/>
      <c r="JZG47"/>
      <c r="JZH47"/>
      <c r="JZI47"/>
      <c r="JZJ47"/>
      <c r="JZK47"/>
      <c r="JZL47"/>
      <c r="JZM47"/>
      <c r="JZN47"/>
      <c r="JZO47"/>
      <c r="JZP47"/>
      <c r="JZQ47"/>
      <c r="JZR47"/>
      <c r="JZS47"/>
      <c r="JZT47"/>
      <c r="JZU47"/>
      <c r="JZV47"/>
      <c r="JZW47"/>
      <c r="JZX47"/>
      <c r="JZY47"/>
      <c r="JZZ47"/>
      <c r="KAA47"/>
      <c r="KAB47"/>
      <c r="KAC47"/>
      <c r="KAD47"/>
      <c r="KAE47"/>
      <c r="KAF47"/>
      <c r="KAG47"/>
      <c r="KAH47"/>
      <c r="KAI47"/>
      <c r="KAJ47"/>
      <c r="KAK47"/>
      <c r="KAL47"/>
      <c r="KAM47"/>
      <c r="KAN47"/>
      <c r="KAO47"/>
      <c r="KAP47"/>
      <c r="KAQ47"/>
      <c r="KAR47"/>
      <c r="KAS47"/>
      <c r="KAT47"/>
      <c r="KAU47"/>
      <c r="KAV47"/>
      <c r="KAW47"/>
      <c r="KAX47"/>
      <c r="KAY47"/>
      <c r="KAZ47"/>
      <c r="KBA47"/>
      <c r="KBB47"/>
      <c r="KBC47"/>
      <c r="KBD47"/>
      <c r="KBE47"/>
      <c r="KBF47"/>
      <c r="KBG47"/>
      <c r="KBH47"/>
      <c r="KBI47"/>
      <c r="KBJ47"/>
      <c r="KBK47"/>
      <c r="KBL47"/>
      <c r="KBM47"/>
      <c r="KBN47"/>
      <c r="KBO47"/>
      <c r="KBP47"/>
      <c r="KBQ47"/>
      <c r="KBR47"/>
      <c r="KBS47"/>
      <c r="KBT47"/>
      <c r="KBU47"/>
      <c r="KBV47"/>
      <c r="KBW47"/>
      <c r="KBX47"/>
      <c r="KBY47"/>
      <c r="KBZ47"/>
      <c r="KCA47"/>
      <c r="KCB47"/>
      <c r="KCC47"/>
      <c r="KCD47"/>
      <c r="KCE47"/>
      <c r="KCF47"/>
      <c r="KCG47"/>
      <c r="KCH47"/>
      <c r="KCI47"/>
      <c r="KCJ47"/>
      <c r="KCK47"/>
      <c r="KCL47"/>
      <c r="KCM47"/>
      <c r="KCN47"/>
      <c r="KCO47"/>
      <c r="KCP47"/>
      <c r="KCQ47"/>
      <c r="KCR47"/>
      <c r="KCS47"/>
      <c r="KCT47"/>
      <c r="KCU47"/>
      <c r="KCV47"/>
      <c r="KCW47"/>
      <c r="KCX47"/>
      <c r="KCY47"/>
      <c r="KCZ47"/>
      <c r="KDA47"/>
      <c r="KDB47"/>
      <c r="KDC47"/>
      <c r="KDD47"/>
      <c r="KDE47"/>
      <c r="KDF47"/>
      <c r="KDG47"/>
      <c r="KDH47"/>
      <c r="KDI47"/>
      <c r="KDJ47"/>
      <c r="KDK47"/>
      <c r="KDL47"/>
      <c r="KDM47"/>
      <c r="KDN47"/>
      <c r="KDO47"/>
      <c r="KDP47"/>
      <c r="KDQ47"/>
      <c r="KDR47"/>
      <c r="KDS47"/>
      <c r="KDT47"/>
      <c r="KDU47"/>
      <c r="KDV47"/>
      <c r="KDW47"/>
      <c r="KDX47"/>
      <c r="KDY47"/>
      <c r="KDZ47"/>
      <c r="KEA47"/>
      <c r="KEB47"/>
      <c r="KEC47"/>
      <c r="KED47"/>
      <c r="KEE47"/>
      <c r="KEF47"/>
      <c r="KEG47"/>
      <c r="KEH47"/>
      <c r="KEI47"/>
      <c r="KEJ47"/>
      <c r="KEK47"/>
      <c r="KEL47"/>
      <c r="KEM47"/>
      <c r="KEN47"/>
      <c r="KEO47"/>
      <c r="KEP47"/>
      <c r="KEQ47"/>
      <c r="KER47"/>
      <c r="KES47"/>
      <c r="KET47"/>
      <c r="KEU47"/>
      <c r="KEV47"/>
      <c r="KEW47"/>
      <c r="KEX47"/>
      <c r="KEY47"/>
      <c r="KEZ47"/>
      <c r="KFA47"/>
      <c r="KFB47"/>
      <c r="KFC47"/>
      <c r="KFD47"/>
      <c r="KFE47"/>
      <c r="KFF47"/>
      <c r="KFG47"/>
      <c r="KFH47"/>
      <c r="KFI47"/>
      <c r="KFJ47"/>
      <c r="KFK47"/>
      <c r="KFL47"/>
      <c r="KFM47"/>
      <c r="KFN47"/>
      <c r="KFO47"/>
      <c r="KFP47"/>
      <c r="KFQ47"/>
      <c r="KFR47"/>
      <c r="KFS47"/>
      <c r="KFT47"/>
      <c r="KFU47"/>
      <c r="KFV47"/>
      <c r="KFW47"/>
      <c r="KFX47"/>
      <c r="KFY47"/>
      <c r="KFZ47"/>
      <c r="KGA47"/>
      <c r="KGB47"/>
      <c r="KGC47"/>
      <c r="KGD47"/>
      <c r="KGE47"/>
      <c r="KGF47"/>
      <c r="KGG47"/>
      <c r="KGH47"/>
      <c r="KGI47"/>
      <c r="KGJ47"/>
      <c r="KGK47"/>
      <c r="KGL47"/>
      <c r="KGM47"/>
      <c r="KGN47"/>
      <c r="KGO47"/>
      <c r="KGP47"/>
      <c r="KGQ47"/>
      <c r="KGR47"/>
      <c r="KGS47"/>
      <c r="KGT47"/>
      <c r="KGU47"/>
      <c r="KGV47"/>
      <c r="KGW47"/>
      <c r="KGX47"/>
      <c r="KGY47"/>
      <c r="KGZ47"/>
      <c r="KHA47"/>
      <c r="KHB47"/>
      <c r="KHC47"/>
      <c r="KHD47"/>
      <c r="KHE47"/>
      <c r="KHF47"/>
      <c r="KHG47"/>
      <c r="KHH47"/>
      <c r="KHI47"/>
      <c r="KHJ47"/>
      <c r="KHK47"/>
      <c r="KHL47"/>
      <c r="KHM47"/>
      <c r="KHN47"/>
      <c r="KHO47"/>
      <c r="KHP47"/>
      <c r="KHQ47"/>
      <c r="KHR47"/>
      <c r="KHS47"/>
      <c r="KHT47"/>
      <c r="KHU47"/>
      <c r="KHV47"/>
      <c r="KHW47"/>
      <c r="KHX47"/>
      <c r="KHY47"/>
      <c r="KHZ47"/>
      <c r="KIA47"/>
      <c r="KIB47"/>
      <c r="KIC47"/>
      <c r="KID47"/>
      <c r="KIE47"/>
      <c r="KIF47"/>
      <c r="KIG47"/>
      <c r="KIH47"/>
      <c r="KII47"/>
      <c r="KIJ47"/>
      <c r="KIK47"/>
      <c r="KIL47"/>
      <c r="KIM47"/>
      <c r="KIN47"/>
      <c r="KIO47"/>
      <c r="KIP47"/>
      <c r="KIQ47"/>
      <c r="KIR47"/>
      <c r="KIS47"/>
      <c r="KIT47"/>
      <c r="KIU47"/>
      <c r="KIV47"/>
      <c r="KIW47"/>
      <c r="KIX47"/>
      <c r="KIY47"/>
      <c r="KIZ47"/>
      <c r="KJA47"/>
      <c r="KJB47"/>
      <c r="KJC47"/>
      <c r="KJD47"/>
      <c r="KJE47"/>
      <c r="KJF47"/>
      <c r="KJG47"/>
      <c r="KJH47"/>
      <c r="KJI47"/>
      <c r="KJJ47"/>
      <c r="KJK47"/>
      <c r="KJL47"/>
      <c r="KJM47"/>
      <c r="KJN47"/>
      <c r="KJO47"/>
      <c r="KJP47"/>
      <c r="KJQ47"/>
      <c r="KJR47"/>
      <c r="KJS47"/>
      <c r="KJT47"/>
      <c r="KJU47"/>
      <c r="KJV47"/>
      <c r="KJW47"/>
      <c r="KJX47"/>
      <c r="KJY47"/>
      <c r="KJZ47"/>
      <c r="KKA47"/>
      <c r="KKB47"/>
      <c r="KKC47"/>
      <c r="KKD47"/>
      <c r="KKE47"/>
      <c r="KKF47"/>
      <c r="KKG47"/>
      <c r="KKH47"/>
      <c r="KKI47"/>
      <c r="KKJ47"/>
      <c r="KKK47"/>
      <c r="KKL47"/>
      <c r="KKM47"/>
      <c r="KKN47"/>
      <c r="KKO47"/>
      <c r="KKP47"/>
      <c r="KKQ47"/>
      <c r="KKR47"/>
      <c r="KKS47"/>
      <c r="KKT47"/>
      <c r="KKU47"/>
      <c r="KKV47"/>
      <c r="KKW47"/>
      <c r="KKX47"/>
      <c r="KKY47"/>
      <c r="KKZ47"/>
      <c r="KLA47"/>
      <c r="KLB47"/>
      <c r="KLC47"/>
      <c r="KLD47"/>
      <c r="KLE47"/>
      <c r="KLF47"/>
      <c r="KLG47"/>
      <c r="KLH47"/>
      <c r="KLI47"/>
      <c r="KLJ47"/>
      <c r="KLK47"/>
      <c r="KLL47"/>
      <c r="KLM47"/>
      <c r="KLN47"/>
      <c r="KLO47"/>
      <c r="KLP47"/>
      <c r="KLQ47"/>
      <c r="KLR47"/>
      <c r="KLS47"/>
      <c r="KLT47"/>
      <c r="KLU47"/>
      <c r="KLV47"/>
      <c r="KLW47"/>
      <c r="KLX47"/>
      <c r="KLY47"/>
      <c r="KLZ47"/>
      <c r="KMA47"/>
      <c r="KMB47"/>
      <c r="KMC47"/>
      <c r="KMD47"/>
      <c r="KME47"/>
      <c r="KMF47"/>
      <c r="KMG47"/>
      <c r="KMH47"/>
      <c r="KMI47"/>
      <c r="KMJ47"/>
      <c r="KMK47"/>
      <c r="KML47"/>
      <c r="KMM47"/>
      <c r="KMN47"/>
      <c r="KMO47"/>
      <c r="KMP47"/>
      <c r="KMQ47"/>
      <c r="KMR47"/>
      <c r="KMS47"/>
      <c r="KMT47"/>
      <c r="KMU47"/>
      <c r="KMV47"/>
      <c r="KMW47"/>
      <c r="KMX47"/>
      <c r="KMY47"/>
      <c r="KMZ47"/>
      <c r="KNA47"/>
      <c r="KNB47"/>
      <c r="KNC47"/>
      <c r="KND47"/>
      <c r="KNE47"/>
      <c r="KNF47"/>
      <c r="KNG47"/>
      <c r="KNH47"/>
      <c r="KNI47"/>
      <c r="KNJ47"/>
      <c r="KNK47"/>
      <c r="KNL47"/>
      <c r="KNM47"/>
      <c r="KNN47"/>
      <c r="KNO47"/>
      <c r="KNP47"/>
      <c r="KNQ47"/>
      <c r="KNR47"/>
      <c r="KNS47"/>
      <c r="KNT47"/>
      <c r="KNU47"/>
      <c r="KNV47"/>
      <c r="KNW47"/>
      <c r="KNX47"/>
      <c r="KNY47"/>
      <c r="KNZ47"/>
      <c r="KOA47"/>
      <c r="KOB47"/>
      <c r="KOC47"/>
      <c r="KOD47"/>
      <c r="KOE47"/>
      <c r="KOF47"/>
      <c r="KOG47"/>
      <c r="KOH47"/>
      <c r="KOI47"/>
      <c r="KOJ47"/>
      <c r="KOK47"/>
      <c r="KOL47"/>
      <c r="KOM47"/>
      <c r="KON47"/>
      <c r="KOO47"/>
      <c r="KOP47"/>
      <c r="KOQ47"/>
      <c r="KOR47"/>
      <c r="KOS47"/>
      <c r="KOT47"/>
      <c r="KOU47"/>
      <c r="KOV47"/>
      <c r="KOW47"/>
      <c r="KOX47"/>
      <c r="KOY47"/>
      <c r="KOZ47"/>
      <c r="KPA47"/>
      <c r="KPB47"/>
      <c r="KPC47"/>
      <c r="KPD47"/>
      <c r="KPE47"/>
      <c r="KPF47"/>
      <c r="KPG47"/>
      <c r="KPH47"/>
      <c r="KPI47"/>
      <c r="KPJ47"/>
      <c r="KPK47"/>
      <c r="KPL47"/>
      <c r="KPM47"/>
      <c r="KPN47"/>
      <c r="KPO47"/>
      <c r="KPP47"/>
      <c r="KPQ47"/>
      <c r="KPR47"/>
      <c r="KPS47"/>
      <c r="KPT47"/>
      <c r="KPU47"/>
      <c r="KPV47"/>
      <c r="KPW47"/>
      <c r="KPX47"/>
      <c r="KPY47"/>
      <c r="KPZ47"/>
      <c r="KQA47"/>
      <c r="KQB47"/>
      <c r="KQC47"/>
      <c r="KQD47"/>
      <c r="KQE47"/>
      <c r="KQF47"/>
      <c r="KQG47"/>
      <c r="KQH47"/>
      <c r="KQI47"/>
      <c r="KQJ47"/>
      <c r="KQK47"/>
      <c r="KQL47"/>
      <c r="KQM47"/>
      <c r="KQN47"/>
      <c r="KQO47"/>
      <c r="KQP47"/>
      <c r="KQQ47"/>
      <c r="KQR47"/>
      <c r="KQS47"/>
      <c r="KQT47"/>
      <c r="KQU47"/>
      <c r="KQV47"/>
      <c r="KQW47"/>
      <c r="KQX47"/>
      <c r="KQY47"/>
      <c r="KQZ47"/>
      <c r="KRA47"/>
      <c r="KRB47"/>
      <c r="KRC47"/>
      <c r="KRD47"/>
      <c r="KRE47"/>
      <c r="KRF47"/>
      <c r="KRG47"/>
      <c r="KRH47"/>
      <c r="KRI47"/>
      <c r="KRJ47"/>
      <c r="KRK47"/>
      <c r="KRL47"/>
      <c r="KRM47"/>
      <c r="KRN47"/>
      <c r="KRO47"/>
      <c r="KRP47"/>
      <c r="KRQ47"/>
      <c r="KRR47"/>
      <c r="KRS47"/>
      <c r="KRT47"/>
      <c r="KRU47"/>
      <c r="KRV47"/>
      <c r="KRW47"/>
      <c r="KRX47"/>
      <c r="KRY47"/>
      <c r="KRZ47"/>
      <c r="KSA47"/>
      <c r="KSB47"/>
      <c r="KSC47"/>
      <c r="KSD47"/>
      <c r="KSE47"/>
      <c r="KSF47"/>
      <c r="KSG47"/>
      <c r="KSH47"/>
      <c r="KSI47"/>
      <c r="KSJ47"/>
      <c r="KSK47"/>
      <c r="KSL47"/>
      <c r="KSM47"/>
      <c r="KSN47"/>
      <c r="KSO47"/>
      <c r="KSP47"/>
      <c r="KSQ47"/>
      <c r="KSR47"/>
      <c r="KSS47"/>
      <c r="KST47"/>
      <c r="KSU47"/>
      <c r="KSV47"/>
      <c r="KSW47"/>
      <c r="KSX47"/>
      <c r="KSY47"/>
      <c r="KSZ47"/>
      <c r="KTA47"/>
      <c r="KTB47"/>
      <c r="KTC47"/>
      <c r="KTD47"/>
      <c r="KTE47"/>
      <c r="KTF47"/>
      <c r="KTG47"/>
      <c r="KTH47"/>
      <c r="KTI47"/>
      <c r="KTJ47"/>
      <c r="KTK47"/>
      <c r="KTL47"/>
      <c r="KTM47"/>
      <c r="KTN47"/>
      <c r="KTO47"/>
      <c r="KTP47"/>
      <c r="KTQ47"/>
      <c r="KTR47"/>
      <c r="KTS47"/>
      <c r="KTT47"/>
      <c r="KTU47"/>
      <c r="KTV47"/>
      <c r="KTW47"/>
      <c r="KTX47"/>
      <c r="KTY47"/>
      <c r="KTZ47"/>
      <c r="KUA47"/>
      <c r="KUB47"/>
      <c r="KUC47"/>
      <c r="KUD47"/>
      <c r="KUE47"/>
      <c r="KUF47"/>
      <c r="KUG47"/>
      <c r="KUH47"/>
      <c r="KUI47"/>
      <c r="KUJ47"/>
      <c r="KUK47"/>
      <c r="KUL47"/>
      <c r="KUM47"/>
      <c r="KUN47"/>
      <c r="KUO47"/>
      <c r="KUP47"/>
      <c r="KUQ47"/>
      <c r="KUR47"/>
      <c r="KUS47"/>
      <c r="KUT47"/>
      <c r="KUU47"/>
      <c r="KUV47"/>
      <c r="KUW47"/>
      <c r="KUX47"/>
      <c r="KUY47"/>
      <c r="KUZ47"/>
      <c r="KVA47"/>
      <c r="KVB47"/>
      <c r="KVC47"/>
      <c r="KVD47"/>
      <c r="KVE47"/>
      <c r="KVF47"/>
      <c r="KVG47"/>
      <c r="KVH47"/>
      <c r="KVI47"/>
      <c r="KVJ47"/>
      <c r="KVK47"/>
      <c r="KVL47"/>
      <c r="KVM47"/>
      <c r="KVN47"/>
      <c r="KVO47"/>
      <c r="KVP47"/>
      <c r="KVQ47"/>
      <c r="KVR47"/>
      <c r="KVS47"/>
      <c r="KVT47"/>
      <c r="KVU47"/>
      <c r="KVV47"/>
      <c r="KVW47"/>
      <c r="KVX47"/>
      <c r="KVY47"/>
      <c r="KVZ47"/>
      <c r="KWA47"/>
      <c r="KWB47"/>
      <c r="KWC47"/>
      <c r="KWD47"/>
      <c r="KWE47"/>
      <c r="KWF47"/>
      <c r="KWG47"/>
      <c r="KWH47"/>
      <c r="KWI47"/>
      <c r="KWJ47"/>
      <c r="KWK47"/>
      <c r="KWL47"/>
      <c r="KWM47"/>
      <c r="KWN47"/>
      <c r="KWO47"/>
      <c r="KWP47"/>
      <c r="KWQ47"/>
      <c r="KWR47"/>
      <c r="KWS47"/>
      <c r="KWT47"/>
      <c r="KWU47"/>
      <c r="KWV47"/>
      <c r="KWW47"/>
      <c r="KWX47"/>
      <c r="KWY47"/>
      <c r="KWZ47"/>
      <c r="KXA47"/>
      <c r="KXB47"/>
      <c r="KXC47"/>
      <c r="KXD47"/>
      <c r="KXE47"/>
      <c r="KXF47"/>
      <c r="KXG47"/>
      <c r="KXH47"/>
      <c r="KXI47"/>
      <c r="KXJ47"/>
      <c r="KXK47"/>
      <c r="KXL47"/>
      <c r="KXM47"/>
      <c r="KXN47"/>
      <c r="KXO47"/>
      <c r="KXP47"/>
      <c r="KXQ47"/>
      <c r="KXR47"/>
      <c r="KXS47"/>
      <c r="KXT47"/>
      <c r="KXU47"/>
      <c r="KXV47"/>
      <c r="KXW47"/>
      <c r="KXX47"/>
      <c r="KXY47"/>
      <c r="KXZ47"/>
      <c r="KYA47"/>
      <c r="KYB47"/>
      <c r="KYC47"/>
      <c r="KYD47"/>
      <c r="KYE47"/>
      <c r="KYF47"/>
      <c r="KYG47"/>
      <c r="KYH47"/>
      <c r="KYI47"/>
      <c r="KYJ47"/>
      <c r="KYK47"/>
      <c r="KYL47"/>
      <c r="KYM47"/>
      <c r="KYN47"/>
      <c r="KYO47"/>
      <c r="KYP47"/>
      <c r="KYQ47"/>
      <c r="KYR47"/>
      <c r="KYS47"/>
      <c r="KYT47"/>
      <c r="KYU47"/>
      <c r="KYV47"/>
      <c r="KYW47"/>
      <c r="KYX47"/>
      <c r="KYY47"/>
      <c r="KYZ47"/>
      <c r="KZA47"/>
      <c r="KZB47"/>
      <c r="KZC47"/>
      <c r="KZD47"/>
      <c r="KZE47"/>
      <c r="KZF47"/>
      <c r="KZG47"/>
      <c r="KZH47"/>
      <c r="KZI47"/>
      <c r="KZJ47"/>
      <c r="KZK47"/>
      <c r="KZL47"/>
      <c r="KZM47"/>
      <c r="KZN47"/>
      <c r="KZO47"/>
      <c r="KZP47"/>
      <c r="KZQ47"/>
      <c r="KZR47"/>
      <c r="KZS47"/>
      <c r="KZT47"/>
      <c r="KZU47"/>
      <c r="KZV47"/>
      <c r="KZW47"/>
      <c r="KZX47"/>
      <c r="KZY47"/>
      <c r="KZZ47"/>
      <c r="LAA47"/>
      <c r="LAB47"/>
      <c r="LAC47"/>
      <c r="LAD47"/>
      <c r="LAE47"/>
      <c r="LAF47"/>
      <c r="LAG47"/>
      <c r="LAH47"/>
      <c r="LAI47"/>
      <c r="LAJ47"/>
      <c r="LAK47"/>
      <c r="LAL47"/>
      <c r="LAM47"/>
      <c r="LAN47"/>
      <c r="LAO47"/>
      <c r="LAP47"/>
      <c r="LAQ47"/>
      <c r="LAR47"/>
      <c r="LAS47"/>
      <c r="LAT47"/>
      <c r="LAU47"/>
      <c r="LAV47"/>
      <c r="LAW47"/>
      <c r="LAX47"/>
      <c r="LAY47"/>
      <c r="LAZ47"/>
      <c r="LBA47"/>
      <c r="LBB47"/>
      <c r="LBC47"/>
      <c r="LBD47"/>
      <c r="LBE47"/>
      <c r="LBF47"/>
      <c r="LBG47"/>
      <c r="LBH47"/>
      <c r="LBI47"/>
      <c r="LBJ47"/>
      <c r="LBK47"/>
      <c r="LBL47"/>
      <c r="LBM47"/>
      <c r="LBN47"/>
      <c r="LBO47"/>
      <c r="LBP47"/>
      <c r="LBQ47"/>
      <c r="LBR47"/>
      <c r="LBS47"/>
      <c r="LBT47"/>
      <c r="LBU47"/>
      <c r="LBV47"/>
      <c r="LBW47"/>
      <c r="LBX47"/>
      <c r="LBY47"/>
      <c r="LBZ47"/>
      <c r="LCA47"/>
      <c r="LCB47"/>
      <c r="LCC47"/>
      <c r="LCD47"/>
      <c r="LCE47"/>
      <c r="LCF47"/>
      <c r="LCG47"/>
      <c r="LCH47"/>
      <c r="LCI47"/>
      <c r="LCJ47"/>
      <c r="LCK47"/>
      <c r="LCL47"/>
      <c r="LCM47"/>
      <c r="LCN47"/>
      <c r="LCO47"/>
      <c r="LCP47"/>
      <c r="LCQ47"/>
      <c r="LCR47"/>
      <c r="LCS47"/>
      <c r="LCT47"/>
      <c r="LCU47"/>
      <c r="LCV47"/>
      <c r="LCW47"/>
      <c r="LCX47"/>
      <c r="LCY47"/>
      <c r="LCZ47"/>
      <c r="LDA47"/>
      <c r="LDB47"/>
      <c r="LDC47"/>
      <c r="LDD47"/>
      <c r="LDE47"/>
      <c r="LDF47"/>
      <c r="LDG47"/>
      <c r="LDH47"/>
      <c r="LDI47"/>
      <c r="LDJ47"/>
      <c r="LDK47"/>
      <c r="LDL47"/>
      <c r="LDM47"/>
      <c r="LDN47"/>
      <c r="LDO47"/>
      <c r="LDP47"/>
      <c r="LDQ47"/>
      <c r="LDR47"/>
      <c r="LDS47"/>
      <c r="LDT47"/>
      <c r="LDU47"/>
      <c r="LDV47"/>
      <c r="LDW47"/>
      <c r="LDX47"/>
      <c r="LDY47"/>
      <c r="LDZ47"/>
      <c r="LEA47"/>
      <c r="LEB47"/>
      <c r="LEC47"/>
      <c r="LED47"/>
      <c r="LEE47"/>
      <c r="LEF47"/>
      <c r="LEG47"/>
      <c r="LEH47"/>
      <c r="LEI47"/>
      <c r="LEJ47"/>
      <c r="LEK47"/>
      <c r="LEL47"/>
      <c r="LEM47"/>
      <c r="LEN47"/>
      <c r="LEO47"/>
      <c r="LEP47"/>
      <c r="LEQ47"/>
      <c r="LER47"/>
      <c r="LES47"/>
      <c r="LET47"/>
      <c r="LEU47"/>
      <c r="LEV47"/>
      <c r="LEW47"/>
      <c r="LEX47"/>
      <c r="LEY47"/>
      <c r="LEZ47"/>
      <c r="LFA47"/>
      <c r="LFB47"/>
      <c r="LFC47"/>
      <c r="LFD47"/>
      <c r="LFE47"/>
      <c r="LFF47"/>
      <c r="LFG47"/>
      <c r="LFH47"/>
      <c r="LFI47"/>
      <c r="LFJ47"/>
      <c r="LFK47"/>
      <c r="LFL47"/>
      <c r="LFM47"/>
      <c r="LFN47"/>
      <c r="LFO47"/>
      <c r="LFP47"/>
      <c r="LFQ47"/>
      <c r="LFR47"/>
      <c r="LFS47"/>
      <c r="LFT47"/>
      <c r="LFU47"/>
      <c r="LFV47"/>
      <c r="LFW47"/>
      <c r="LFX47"/>
      <c r="LFY47"/>
      <c r="LFZ47"/>
      <c r="LGA47"/>
      <c r="LGB47"/>
      <c r="LGC47"/>
      <c r="LGD47"/>
      <c r="LGE47"/>
      <c r="LGF47"/>
      <c r="LGG47"/>
      <c r="LGH47"/>
      <c r="LGI47"/>
      <c r="LGJ47"/>
      <c r="LGK47"/>
      <c r="LGL47"/>
      <c r="LGM47"/>
      <c r="LGN47"/>
      <c r="LGO47"/>
      <c r="LGP47"/>
      <c r="LGQ47"/>
      <c r="LGR47"/>
      <c r="LGS47"/>
      <c r="LGT47"/>
      <c r="LGU47"/>
      <c r="LGV47"/>
      <c r="LGW47"/>
      <c r="LGX47"/>
      <c r="LGY47"/>
      <c r="LGZ47"/>
      <c r="LHA47"/>
      <c r="LHB47"/>
      <c r="LHC47"/>
      <c r="LHD47"/>
      <c r="LHE47"/>
      <c r="LHF47"/>
      <c r="LHG47"/>
      <c r="LHH47"/>
      <c r="LHI47"/>
      <c r="LHJ47"/>
      <c r="LHK47"/>
      <c r="LHL47"/>
      <c r="LHM47"/>
      <c r="LHN47"/>
      <c r="LHO47"/>
      <c r="LHP47"/>
      <c r="LHQ47"/>
      <c r="LHR47"/>
      <c r="LHS47"/>
      <c r="LHT47"/>
      <c r="LHU47"/>
      <c r="LHV47"/>
      <c r="LHW47"/>
      <c r="LHX47"/>
      <c r="LHY47"/>
      <c r="LHZ47"/>
      <c r="LIA47"/>
      <c r="LIB47"/>
      <c r="LIC47"/>
      <c r="LID47"/>
      <c r="LIE47"/>
      <c r="LIF47"/>
      <c r="LIG47"/>
      <c r="LIH47"/>
      <c r="LII47"/>
      <c r="LIJ47"/>
      <c r="LIK47"/>
      <c r="LIL47"/>
      <c r="LIM47"/>
      <c r="LIN47"/>
      <c r="LIO47"/>
      <c r="LIP47"/>
      <c r="LIQ47"/>
      <c r="LIR47"/>
      <c r="LIS47"/>
      <c r="LIT47"/>
      <c r="LIU47"/>
      <c r="LIV47"/>
      <c r="LIW47"/>
      <c r="LIX47"/>
      <c r="LIY47"/>
      <c r="LIZ47"/>
      <c r="LJA47"/>
      <c r="LJB47"/>
      <c r="LJC47"/>
      <c r="LJD47"/>
      <c r="LJE47"/>
      <c r="LJF47"/>
      <c r="LJG47"/>
      <c r="LJH47"/>
      <c r="LJI47"/>
      <c r="LJJ47"/>
      <c r="LJK47"/>
      <c r="LJL47"/>
      <c r="LJM47"/>
      <c r="LJN47"/>
      <c r="LJO47"/>
      <c r="LJP47"/>
      <c r="LJQ47"/>
      <c r="LJR47"/>
      <c r="LJS47"/>
      <c r="LJT47"/>
      <c r="LJU47"/>
      <c r="LJV47"/>
      <c r="LJW47"/>
      <c r="LJX47"/>
      <c r="LJY47"/>
      <c r="LJZ47"/>
      <c r="LKA47"/>
      <c r="LKB47"/>
      <c r="LKC47"/>
      <c r="LKD47"/>
      <c r="LKE47"/>
      <c r="LKF47"/>
      <c r="LKG47"/>
      <c r="LKH47"/>
      <c r="LKI47"/>
      <c r="LKJ47"/>
      <c r="LKK47"/>
      <c r="LKL47"/>
      <c r="LKM47"/>
      <c r="LKN47"/>
      <c r="LKO47"/>
      <c r="LKP47"/>
      <c r="LKQ47"/>
      <c r="LKR47"/>
      <c r="LKS47"/>
      <c r="LKT47"/>
      <c r="LKU47"/>
      <c r="LKV47"/>
      <c r="LKW47"/>
      <c r="LKX47"/>
      <c r="LKY47"/>
      <c r="LKZ47"/>
      <c r="LLA47"/>
      <c r="LLB47"/>
      <c r="LLC47"/>
      <c r="LLD47"/>
      <c r="LLE47"/>
      <c r="LLF47"/>
      <c r="LLG47"/>
      <c r="LLH47"/>
      <c r="LLI47"/>
      <c r="LLJ47"/>
      <c r="LLK47"/>
      <c r="LLL47"/>
      <c r="LLM47"/>
      <c r="LLN47"/>
      <c r="LLO47"/>
      <c r="LLP47"/>
      <c r="LLQ47"/>
      <c r="LLR47"/>
      <c r="LLS47"/>
      <c r="LLT47"/>
      <c r="LLU47"/>
      <c r="LLV47"/>
      <c r="LLW47"/>
      <c r="LLX47"/>
      <c r="LLY47"/>
      <c r="LLZ47"/>
      <c r="LMA47"/>
      <c r="LMB47"/>
      <c r="LMC47"/>
      <c r="LMD47"/>
      <c r="LME47"/>
      <c r="LMF47"/>
      <c r="LMG47"/>
      <c r="LMH47"/>
      <c r="LMI47"/>
      <c r="LMJ47"/>
      <c r="LMK47"/>
      <c r="LML47"/>
      <c r="LMM47"/>
      <c r="LMN47"/>
      <c r="LMO47"/>
      <c r="LMP47"/>
      <c r="LMQ47"/>
      <c r="LMR47"/>
      <c r="LMS47"/>
      <c r="LMT47"/>
      <c r="LMU47"/>
      <c r="LMV47"/>
      <c r="LMW47"/>
      <c r="LMX47"/>
      <c r="LMY47"/>
      <c r="LMZ47"/>
      <c r="LNA47"/>
      <c r="LNB47"/>
      <c r="LNC47"/>
      <c r="LND47"/>
      <c r="LNE47"/>
      <c r="LNF47"/>
      <c r="LNG47"/>
      <c r="LNH47"/>
      <c r="LNI47"/>
      <c r="LNJ47"/>
      <c r="LNK47"/>
      <c r="LNL47"/>
      <c r="LNM47"/>
      <c r="LNN47"/>
      <c r="LNO47"/>
      <c r="LNP47"/>
      <c r="LNQ47"/>
      <c r="LNR47"/>
      <c r="LNS47"/>
      <c r="LNT47"/>
      <c r="LNU47"/>
      <c r="LNV47"/>
      <c r="LNW47"/>
      <c r="LNX47"/>
      <c r="LNY47"/>
      <c r="LNZ47"/>
      <c r="LOA47"/>
      <c r="LOB47"/>
      <c r="LOC47"/>
      <c r="LOD47"/>
      <c r="LOE47"/>
      <c r="LOF47"/>
      <c r="LOG47"/>
      <c r="LOH47"/>
      <c r="LOI47"/>
      <c r="LOJ47"/>
      <c r="LOK47"/>
      <c r="LOL47"/>
      <c r="LOM47"/>
      <c r="LON47"/>
      <c r="LOO47"/>
      <c r="LOP47"/>
      <c r="LOQ47"/>
      <c r="LOR47"/>
      <c r="LOS47"/>
      <c r="LOT47"/>
      <c r="LOU47"/>
      <c r="LOV47"/>
      <c r="LOW47"/>
      <c r="LOX47"/>
      <c r="LOY47"/>
      <c r="LOZ47"/>
      <c r="LPA47"/>
      <c r="LPB47"/>
      <c r="LPC47"/>
      <c r="LPD47"/>
      <c r="LPE47"/>
      <c r="LPF47"/>
      <c r="LPG47"/>
      <c r="LPH47"/>
      <c r="LPI47"/>
      <c r="LPJ47"/>
      <c r="LPK47"/>
      <c r="LPL47"/>
      <c r="LPM47"/>
      <c r="LPN47"/>
      <c r="LPO47"/>
      <c r="LPP47"/>
      <c r="LPQ47"/>
      <c r="LPR47"/>
      <c r="LPS47"/>
      <c r="LPT47"/>
      <c r="LPU47"/>
      <c r="LPV47"/>
      <c r="LPW47"/>
      <c r="LPX47"/>
      <c r="LPY47"/>
      <c r="LPZ47"/>
      <c r="LQA47"/>
      <c r="LQB47"/>
      <c r="LQC47"/>
      <c r="LQD47"/>
      <c r="LQE47"/>
      <c r="LQF47"/>
      <c r="LQG47"/>
      <c r="LQH47"/>
      <c r="LQI47"/>
      <c r="LQJ47"/>
      <c r="LQK47"/>
      <c r="LQL47"/>
      <c r="LQM47"/>
      <c r="LQN47"/>
      <c r="LQO47"/>
      <c r="LQP47"/>
      <c r="LQQ47"/>
      <c r="LQR47"/>
      <c r="LQS47"/>
      <c r="LQT47"/>
      <c r="LQU47"/>
      <c r="LQV47"/>
      <c r="LQW47"/>
      <c r="LQX47"/>
      <c r="LQY47"/>
      <c r="LQZ47"/>
      <c r="LRA47"/>
      <c r="LRB47"/>
      <c r="LRC47"/>
      <c r="LRD47"/>
      <c r="LRE47"/>
      <c r="LRF47"/>
      <c r="LRG47"/>
      <c r="LRH47"/>
      <c r="LRI47"/>
      <c r="LRJ47"/>
      <c r="LRK47"/>
      <c r="LRL47"/>
      <c r="LRM47"/>
      <c r="LRN47"/>
      <c r="LRO47"/>
      <c r="LRP47"/>
      <c r="LRQ47"/>
      <c r="LRR47"/>
      <c r="LRS47"/>
      <c r="LRT47"/>
      <c r="LRU47"/>
      <c r="LRV47"/>
      <c r="LRW47"/>
      <c r="LRX47"/>
      <c r="LRY47"/>
      <c r="LRZ47"/>
      <c r="LSA47"/>
      <c r="LSB47"/>
      <c r="LSC47"/>
      <c r="LSD47"/>
      <c r="LSE47"/>
      <c r="LSF47"/>
      <c r="LSG47"/>
      <c r="LSH47"/>
      <c r="LSI47"/>
      <c r="LSJ47"/>
      <c r="LSK47"/>
      <c r="LSL47"/>
      <c r="LSM47"/>
      <c r="LSN47"/>
      <c r="LSO47"/>
      <c r="LSP47"/>
      <c r="LSQ47"/>
      <c r="LSR47"/>
      <c r="LSS47"/>
      <c r="LST47"/>
      <c r="LSU47"/>
      <c r="LSV47"/>
      <c r="LSW47"/>
      <c r="LSX47"/>
      <c r="LSY47"/>
      <c r="LSZ47"/>
      <c r="LTA47"/>
      <c r="LTB47"/>
      <c r="LTC47"/>
      <c r="LTD47"/>
      <c r="LTE47"/>
      <c r="LTF47"/>
      <c r="LTG47"/>
      <c r="LTH47"/>
      <c r="LTI47"/>
      <c r="LTJ47"/>
      <c r="LTK47"/>
      <c r="LTL47"/>
      <c r="LTM47"/>
      <c r="LTN47"/>
      <c r="LTO47"/>
      <c r="LTP47"/>
      <c r="LTQ47"/>
      <c r="LTR47"/>
      <c r="LTS47"/>
      <c r="LTT47"/>
      <c r="LTU47"/>
      <c r="LTV47"/>
      <c r="LTW47"/>
      <c r="LTX47"/>
      <c r="LTY47"/>
      <c r="LTZ47"/>
      <c r="LUA47"/>
      <c r="LUB47"/>
      <c r="LUC47"/>
      <c r="LUD47"/>
      <c r="LUE47"/>
      <c r="LUF47"/>
      <c r="LUG47"/>
      <c r="LUH47"/>
      <c r="LUI47"/>
      <c r="LUJ47"/>
      <c r="LUK47"/>
      <c r="LUL47"/>
      <c r="LUM47"/>
      <c r="LUN47"/>
      <c r="LUO47"/>
      <c r="LUP47"/>
      <c r="LUQ47"/>
      <c r="LUR47"/>
      <c r="LUS47"/>
      <c r="LUT47"/>
      <c r="LUU47"/>
      <c r="LUV47"/>
      <c r="LUW47"/>
      <c r="LUX47"/>
      <c r="LUY47"/>
      <c r="LUZ47"/>
      <c r="LVA47"/>
      <c r="LVB47"/>
      <c r="LVC47"/>
      <c r="LVD47"/>
      <c r="LVE47"/>
      <c r="LVF47"/>
      <c r="LVG47"/>
      <c r="LVH47"/>
      <c r="LVI47"/>
      <c r="LVJ47"/>
      <c r="LVK47"/>
      <c r="LVL47"/>
      <c r="LVM47"/>
      <c r="LVN47"/>
      <c r="LVO47"/>
      <c r="LVP47"/>
      <c r="LVQ47"/>
      <c r="LVR47"/>
      <c r="LVS47"/>
      <c r="LVT47"/>
      <c r="LVU47"/>
      <c r="LVV47"/>
      <c r="LVW47"/>
      <c r="LVX47"/>
      <c r="LVY47"/>
      <c r="LVZ47"/>
      <c r="LWA47"/>
      <c r="LWB47"/>
      <c r="LWC47"/>
      <c r="LWD47"/>
      <c r="LWE47"/>
      <c r="LWF47"/>
      <c r="LWG47"/>
      <c r="LWH47"/>
      <c r="LWI47"/>
      <c r="LWJ47"/>
      <c r="LWK47"/>
      <c r="LWL47"/>
      <c r="LWM47"/>
      <c r="LWN47"/>
      <c r="LWO47"/>
      <c r="LWP47"/>
      <c r="LWQ47"/>
      <c r="LWR47"/>
      <c r="LWS47"/>
      <c r="LWT47"/>
      <c r="LWU47"/>
      <c r="LWV47"/>
      <c r="LWW47"/>
      <c r="LWX47"/>
      <c r="LWY47"/>
      <c r="LWZ47"/>
      <c r="LXA47"/>
      <c r="LXB47"/>
      <c r="LXC47"/>
      <c r="LXD47"/>
      <c r="LXE47"/>
      <c r="LXF47"/>
      <c r="LXG47"/>
      <c r="LXH47"/>
      <c r="LXI47"/>
      <c r="LXJ47"/>
      <c r="LXK47"/>
      <c r="LXL47"/>
      <c r="LXM47"/>
      <c r="LXN47"/>
      <c r="LXO47"/>
      <c r="LXP47"/>
      <c r="LXQ47"/>
      <c r="LXR47"/>
      <c r="LXS47"/>
      <c r="LXT47"/>
      <c r="LXU47"/>
      <c r="LXV47"/>
      <c r="LXW47"/>
      <c r="LXX47"/>
      <c r="LXY47"/>
      <c r="LXZ47"/>
      <c r="LYA47"/>
      <c r="LYB47"/>
      <c r="LYC47"/>
      <c r="LYD47"/>
      <c r="LYE47"/>
      <c r="LYF47"/>
      <c r="LYG47"/>
      <c r="LYH47"/>
      <c r="LYI47"/>
      <c r="LYJ47"/>
      <c r="LYK47"/>
      <c r="LYL47"/>
      <c r="LYM47"/>
      <c r="LYN47"/>
      <c r="LYO47"/>
      <c r="LYP47"/>
      <c r="LYQ47"/>
      <c r="LYR47"/>
      <c r="LYS47"/>
      <c r="LYT47"/>
      <c r="LYU47"/>
      <c r="LYV47"/>
      <c r="LYW47"/>
      <c r="LYX47"/>
      <c r="LYY47"/>
      <c r="LYZ47"/>
      <c r="LZA47"/>
      <c r="LZB47"/>
      <c r="LZC47"/>
      <c r="LZD47"/>
      <c r="LZE47"/>
      <c r="LZF47"/>
      <c r="LZG47"/>
      <c r="LZH47"/>
      <c r="LZI47"/>
      <c r="LZJ47"/>
      <c r="LZK47"/>
      <c r="LZL47"/>
      <c r="LZM47"/>
      <c r="LZN47"/>
      <c r="LZO47"/>
      <c r="LZP47"/>
      <c r="LZQ47"/>
      <c r="LZR47"/>
      <c r="LZS47"/>
      <c r="LZT47"/>
      <c r="LZU47"/>
      <c r="LZV47"/>
      <c r="LZW47"/>
      <c r="LZX47"/>
      <c r="LZY47"/>
      <c r="LZZ47"/>
      <c r="MAA47"/>
      <c r="MAB47"/>
      <c r="MAC47"/>
      <c r="MAD47"/>
      <c r="MAE47"/>
      <c r="MAF47"/>
      <c r="MAG47"/>
      <c r="MAH47"/>
      <c r="MAI47"/>
      <c r="MAJ47"/>
      <c r="MAK47"/>
      <c r="MAL47"/>
      <c r="MAM47"/>
      <c r="MAN47"/>
      <c r="MAO47"/>
      <c r="MAP47"/>
      <c r="MAQ47"/>
      <c r="MAR47"/>
      <c r="MAS47"/>
      <c r="MAT47"/>
      <c r="MAU47"/>
      <c r="MAV47"/>
      <c r="MAW47"/>
      <c r="MAX47"/>
      <c r="MAY47"/>
      <c r="MAZ47"/>
      <c r="MBA47"/>
      <c r="MBB47"/>
      <c r="MBC47"/>
      <c r="MBD47"/>
      <c r="MBE47"/>
      <c r="MBF47"/>
      <c r="MBG47"/>
      <c r="MBH47"/>
      <c r="MBI47"/>
      <c r="MBJ47"/>
      <c r="MBK47"/>
      <c r="MBL47"/>
      <c r="MBM47"/>
      <c r="MBN47"/>
      <c r="MBO47"/>
      <c r="MBP47"/>
      <c r="MBQ47"/>
      <c r="MBR47"/>
      <c r="MBS47"/>
      <c r="MBT47"/>
      <c r="MBU47"/>
      <c r="MBV47"/>
      <c r="MBW47"/>
      <c r="MBX47"/>
      <c r="MBY47"/>
      <c r="MBZ47"/>
      <c r="MCA47"/>
      <c r="MCB47"/>
      <c r="MCC47"/>
      <c r="MCD47"/>
      <c r="MCE47"/>
      <c r="MCF47"/>
      <c r="MCG47"/>
      <c r="MCH47"/>
      <c r="MCI47"/>
      <c r="MCJ47"/>
      <c r="MCK47"/>
      <c r="MCL47"/>
      <c r="MCM47"/>
      <c r="MCN47"/>
      <c r="MCO47"/>
      <c r="MCP47"/>
      <c r="MCQ47"/>
      <c r="MCR47"/>
      <c r="MCS47"/>
      <c r="MCT47"/>
      <c r="MCU47"/>
      <c r="MCV47"/>
      <c r="MCW47"/>
      <c r="MCX47"/>
      <c r="MCY47"/>
      <c r="MCZ47"/>
      <c r="MDA47"/>
      <c r="MDB47"/>
      <c r="MDC47"/>
      <c r="MDD47"/>
      <c r="MDE47"/>
      <c r="MDF47"/>
      <c r="MDG47"/>
      <c r="MDH47"/>
      <c r="MDI47"/>
      <c r="MDJ47"/>
      <c r="MDK47"/>
      <c r="MDL47"/>
      <c r="MDM47"/>
      <c r="MDN47"/>
      <c r="MDO47"/>
      <c r="MDP47"/>
      <c r="MDQ47"/>
      <c r="MDR47"/>
      <c r="MDS47"/>
      <c r="MDT47"/>
      <c r="MDU47"/>
      <c r="MDV47"/>
      <c r="MDW47"/>
      <c r="MDX47"/>
      <c r="MDY47"/>
      <c r="MDZ47"/>
      <c r="MEA47"/>
      <c r="MEB47"/>
      <c r="MEC47"/>
      <c r="MED47"/>
      <c r="MEE47"/>
      <c r="MEF47"/>
      <c r="MEG47"/>
      <c r="MEH47"/>
      <c r="MEI47"/>
      <c r="MEJ47"/>
      <c r="MEK47"/>
      <c r="MEL47"/>
      <c r="MEM47"/>
      <c r="MEN47"/>
      <c r="MEO47"/>
      <c r="MEP47"/>
      <c r="MEQ47"/>
      <c r="MER47"/>
      <c r="MES47"/>
      <c r="MET47"/>
      <c r="MEU47"/>
      <c r="MEV47"/>
      <c r="MEW47"/>
      <c r="MEX47"/>
      <c r="MEY47"/>
      <c r="MEZ47"/>
      <c r="MFA47"/>
      <c r="MFB47"/>
      <c r="MFC47"/>
      <c r="MFD47"/>
      <c r="MFE47"/>
      <c r="MFF47"/>
      <c r="MFG47"/>
      <c r="MFH47"/>
      <c r="MFI47"/>
      <c r="MFJ47"/>
      <c r="MFK47"/>
      <c r="MFL47"/>
      <c r="MFM47"/>
      <c r="MFN47"/>
      <c r="MFO47"/>
      <c r="MFP47"/>
      <c r="MFQ47"/>
      <c r="MFR47"/>
      <c r="MFS47"/>
      <c r="MFT47"/>
      <c r="MFU47"/>
      <c r="MFV47"/>
      <c r="MFW47"/>
      <c r="MFX47"/>
      <c r="MFY47"/>
      <c r="MFZ47"/>
      <c r="MGA47"/>
      <c r="MGB47"/>
      <c r="MGC47"/>
      <c r="MGD47"/>
      <c r="MGE47"/>
      <c r="MGF47"/>
      <c r="MGG47"/>
      <c r="MGH47"/>
      <c r="MGI47"/>
      <c r="MGJ47"/>
      <c r="MGK47"/>
      <c r="MGL47"/>
      <c r="MGM47"/>
      <c r="MGN47"/>
      <c r="MGO47"/>
      <c r="MGP47"/>
      <c r="MGQ47"/>
      <c r="MGR47"/>
      <c r="MGS47"/>
      <c r="MGT47"/>
      <c r="MGU47"/>
      <c r="MGV47"/>
      <c r="MGW47"/>
      <c r="MGX47"/>
      <c r="MGY47"/>
      <c r="MGZ47"/>
      <c r="MHA47"/>
      <c r="MHB47"/>
      <c r="MHC47"/>
      <c r="MHD47"/>
      <c r="MHE47"/>
      <c r="MHF47"/>
      <c r="MHG47"/>
      <c r="MHH47"/>
      <c r="MHI47"/>
      <c r="MHJ47"/>
      <c r="MHK47"/>
      <c r="MHL47"/>
      <c r="MHM47"/>
      <c r="MHN47"/>
      <c r="MHO47"/>
      <c r="MHP47"/>
      <c r="MHQ47"/>
      <c r="MHR47"/>
      <c r="MHS47"/>
      <c r="MHT47"/>
      <c r="MHU47"/>
      <c r="MHV47"/>
      <c r="MHW47"/>
      <c r="MHX47"/>
      <c r="MHY47"/>
      <c r="MHZ47"/>
      <c r="MIA47"/>
      <c r="MIB47"/>
      <c r="MIC47"/>
      <c r="MID47"/>
      <c r="MIE47"/>
      <c r="MIF47"/>
      <c r="MIG47"/>
      <c r="MIH47"/>
      <c r="MII47"/>
      <c r="MIJ47"/>
      <c r="MIK47"/>
      <c r="MIL47"/>
      <c r="MIM47"/>
      <c r="MIN47"/>
      <c r="MIO47"/>
      <c r="MIP47"/>
      <c r="MIQ47"/>
      <c r="MIR47"/>
      <c r="MIS47"/>
      <c r="MIT47"/>
      <c r="MIU47"/>
      <c r="MIV47"/>
      <c r="MIW47"/>
      <c r="MIX47"/>
      <c r="MIY47"/>
      <c r="MIZ47"/>
      <c r="MJA47"/>
      <c r="MJB47"/>
      <c r="MJC47"/>
      <c r="MJD47"/>
      <c r="MJE47"/>
      <c r="MJF47"/>
      <c r="MJG47"/>
      <c r="MJH47"/>
      <c r="MJI47"/>
      <c r="MJJ47"/>
      <c r="MJK47"/>
      <c r="MJL47"/>
      <c r="MJM47"/>
      <c r="MJN47"/>
      <c r="MJO47"/>
      <c r="MJP47"/>
      <c r="MJQ47"/>
      <c r="MJR47"/>
      <c r="MJS47"/>
      <c r="MJT47"/>
      <c r="MJU47"/>
      <c r="MJV47"/>
      <c r="MJW47"/>
      <c r="MJX47"/>
      <c r="MJY47"/>
      <c r="MJZ47"/>
      <c r="MKA47"/>
      <c r="MKB47"/>
      <c r="MKC47"/>
      <c r="MKD47"/>
      <c r="MKE47"/>
      <c r="MKF47"/>
      <c r="MKG47"/>
      <c r="MKH47"/>
      <c r="MKI47"/>
      <c r="MKJ47"/>
      <c r="MKK47"/>
      <c r="MKL47"/>
      <c r="MKM47"/>
      <c r="MKN47"/>
      <c r="MKO47"/>
      <c r="MKP47"/>
      <c r="MKQ47"/>
      <c r="MKR47"/>
      <c r="MKS47"/>
      <c r="MKT47"/>
      <c r="MKU47"/>
      <c r="MKV47"/>
      <c r="MKW47"/>
      <c r="MKX47"/>
      <c r="MKY47"/>
      <c r="MKZ47"/>
      <c r="MLA47"/>
      <c r="MLB47"/>
      <c r="MLC47"/>
      <c r="MLD47"/>
      <c r="MLE47"/>
      <c r="MLF47"/>
      <c r="MLG47"/>
      <c r="MLH47"/>
      <c r="MLI47"/>
      <c r="MLJ47"/>
      <c r="MLK47"/>
      <c r="MLL47"/>
      <c r="MLM47"/>
      <c r="MLN47"/>
      <c r="MLO47"/>
      <c r="MLP47"/>
      <c r="MLQ47"/>
      <c r="MLR47"/>
      <c r="MLS47"/>
      <c r="MLT47"/>
      <c r="MLU47"/>
      <c r="MLV47"/>
      <c r="MLW47"/>
      <c r="MLX47"/>
      <c r="MLY47"/>
      <c r="MLZ47"/>
      <c r="MMA47"/>
      <c r="MMB47"/>
      <c r="MMC47"/>
      <c r="MMD47"/>
      <c r="MME47"/>
      <c r="MMF47"/>
      <c r="MMG47"/>
      <c r="MMH47"/>
      <c r="MMI47"/>
      <c r="MMJ47"/>
      <c r="MMK47"/>
      <c r="MML47"/>
      <c r="MMM47"/>
      <c r="MMN47"/>
      <c r="MMO47"/>
      <c r="MMP47"/>
      <c r="MMQ47"/>
      <c r="MMR47"/>
      <c r="MMS47"/>
      <c r="MMT47"/>
      <c r="MMU47"/>
      <c r="MMV47"/>
      <c r="MMW47"/>
      <c r="MMX47"/>
      <c r="MMY47"/>
      <c r="MMZ47"/>
      <c r="MNA47"/>
      <c r="MNB47"/>
      <c r="MNC47"/>
      <c r="MND47"/>
      <c r="MNE47"/>
      <c r="MNF47"/>
      <c r="MNG47"/>
      <c r="MNH47"/>
      <c r="MNI47"/>
      <c r="MNJ47"/>
      <c r="MNK47"/>
      <c r="MNL47"/>
      <c r="MNM47"/>
      <c r="MNN47"/>
      <c r="MNO47"/>
      <c r="MNP47"/>
      <c r="MNQ47"/>
      <c r="MNR47"/>
      <c r="MNS47"/>
      <c r="MNT47"/>
      <c r="MNU47"/>
      <c r="MNV47"/>
      <c r="MNW47"/>
      <c r="MNX47"/>
      <c r="MNY47"/>
      <c r="MNZ47"/>
      <c r="MOA47"/>
      <c r="MOB47"/>
      <c r="MOC47"/>
      <c r="MOD47"/>
      <c r="MOE47"/>
      <c r="MOF47"/>
      <c r="MOG47"/>
      <c r="MOH47"/>
      <c r="MOI47"/>
      <c r="MOJ47"/>
      <c r="MOK47"/>
      <c r="MOL47"/>
      <c r="MOM47"/>
      <c r="MON47"/>
      <c r="MOO47"/>
      <c r="MOP47"/>
      <c r="MOQ47"/>
      <c r="MOR47"/>
      <c r="MOS47"/>
      <c r="MOT47"/>
      <c r="MOU47"/>
      <c r="MOV47"/>
      <c r="MOW47"/>
      <c r="MOX47"/>
      <c r="MOY47"/>
      <c r="MOZ47"/>
      <c r="MPA47"/>
      <c r="MPB47"/>
      <c r="MPC47"/>
      <c r="MPD47"/>
      <c r="MPE47"/>
      <c r="MPF47"/>
      <c r="MPG47"/>
      <c r="MPH47"/>
      <c r="MPI47"/>
      <c r="MPJ47"/>
      <c r="MPK47"/>
      <c r="MPL47"/>
      <c r="MPM47"/>
      <c r="MPN47"/>
      <c r="MPO47"/>
      <c r="MPP47"/>
      <c r="MPQ47"/>
      <c r="MPR47"/>
      <c r="MPS47"/>
      <c r="MPT47"/>
      <c r="MPU47"/>
      <c r="MPV47"/>
      <c r="MPW47"/>
      <c r="MPX47"/>
      <c r="MPY47"/>
      <c r="MPZ47"/>
      <c r="MQA47"/>
      <c r="MQB47"/>
      <c r="MQC47"/>
      <c r="MQD47"/>
      <c r="MQE47"/>
      <c r="MQF47"/>
      <c r="MQG47"/>
      <c r="MQH47"/>
      <c r="MQI47"/>
      <c r="MQJ47"/>
      <c r="MQK47"/>
      <c r="MQL47"/>
      <c r="MQM47"/>
      <c r="MQN47"/>
      <c r="MQO47"/>
      <c r="MQP47"/>
      <c r="MQQ47"/>
      <c r="MQR47"/>
      <c r="MQS47"/>
      <c r="MQT47"/>
      <c r="MQU47"/>
      <c r="MQV47"/>
      <c r="MQW47"/>
      <c r="MQX47"/>
      <c r="MQY47"/>
      <c r="MQZ47"/>
      <c r="MRA47"/>
      <c r="MRB47"/>
      <c r="MRC47"/>
      <c r="MRD47"/>
      <c r="MRE47"/>
      <c r="MRF47"/>
      <c r="MRG47"/>
      <c r="MRH47"/>
      <c r="MRI47"/>
      <c r="MRJ47"/>
      <c r="MRK47"/>
      <c r="MRL47"/>
      <c r="MRM47"/>
      <c r="MRN47"/>
      <c r="MRO47"/>
      <c r="MRP47"/>
      <c r="MRQ47"/>
      <c r="MRR47"/>
      <c r="MRS47"/>
      <c r="MRT47"/>
      <c r="MRU47"/>
      <c r="MRV47"/>
      <c r="MRW47"/>
      <c r="MRX47"/>
      <c r="MRY47"/>
      <c r="MRZ47"/>
      <c r="MSA47"/>
      <c r="MSB47"/>
      <c r="MSC47"/>
      <c r="MSD47"/>
      <c r="MSE47"/>
      <c r="MSF47"/>
      <c r="MSG47"/>
      <c r="MSH47"/>
      <c r="MSI47"/>
      <c r="MSJ47"/>
      <c r="MSK47"/>
      <c r="MSL47"/>
      <c r="MSM47"/>
      <c r="MSN47"/>
      <c r="MSO47"/>
      <c r="MSP47"/>
      <c r="MSQ47"/>
      <c r="MSR47"/>
      <c r="MSS47"/>
      <c r="MST47"/>
      <c r="MSU47"/>
      <c r="MSV47"/>
      <c r="MSW47"/>
      <c r="MSX47"/>
      <c r="MSY47"/>
      <c r="MSZ47"/>
      <c r="MTA47"/>
      <c r="MTB47"/>
      <c r="MTC47"/>
      <c r="MTD47"/>
      <c r="MTE47"/>
      <c r="MTF47"/>
      <c r="MTG47"/>
      <c r="MTH47"/>
      <c r="MTI47"/>
      <c r="MTJ47"/>
      <c r="MTK47"/>
      <c r="MTL47"/>
      <c r="MTM47"/>
      <c r="MTN47"/>
      <c r="MTO47"/>
      <c r="MTP47"/>
      <c r="MTQ47"/>
      <c r="MTR47"/>
      <c r="MTS47"/>
      <c r="MTT47"/>
      <c r="MTU47"/>
      <c r="MTV47"/>
      <c r="MTW47"/>
      <c r="MTX47"/>
      <c r="MTY47"/>
      <c r="MTZ47"/>
      <c r="MUA47"/>
      <c r="MUB47"/>
      <c r="MUC47"/>
      <c r="MUD47"/>
      <c r="MUE47"/>
      <c r="MUF47"/>
      <c r="MUG47"/>
      <c r="MUH47"/>
      <c r="MUI47"/>
      <c r="MUJ47"/>
      <c r="MUK47"/>
      <c r="MUL47"/>
      <c r="MUM47"/>
      <c r="MUN47"/>
      <c r="MUO47"/>
      <c r="MUP47"/>
      <c r="MUQ47"/>
      <c r="MUR47"/>
      <c r="MUS47"/>
      <c r="MUT47"/>
      <c r="MUU47"/>
      <c r="MUV47"/>
      <c r="MUW47"/>
      <c r="MUX47"/>
      <c r="MUY47"/>
      <c r="MUZ47"/>
      <c r="MVA47"/>
      <c r="MVB47"/>
      <c r="MVC47"/>
      <c r="MVD47"/>
      <c r="MVE47"/>
      <c r="MVF47"/>
      <c r="MVG47"/>
      <c r="MVH47"/>
      <c r="MVI47"/>
      <c r="MVJ47"/>
      <c r="MVK47"/>
      <c r="MVL47"/>
      <c r="MVM47"/>
      <c r="MVN47"/>
      <c r="MVO47"/>
      <c r="MVP47"/>
      <c r="MVQ47"/>
      <c r="MVR47"/>
      <c r="MVS47"/>
      <c r="MVT47"/>
      <c r="MVU47"/>
      <c r="MVV47"/>
      <c r="MVW47"/>
      <c r="MVX47"/>
      <c r="MVY47"/>
      <c r="MVZ47"/>
      <c r="MWA47"/>
      <c r="MWB47"/>
      <c r="MWC47"/>
      <c r="MWD47"/>
      <c r="MWE47"/>
      <c r="MWF47"/>
      <c r="MWG47"/>
      <c r="MWH47"/>
      <c r="MWI47"/>
      <c r="MWJ47"/>
      <c r="MWK47"/>
      <c r="MWL47"/>
      <c r="MWM47"/>
      <c r="MWN47"/>
      <c r="MWO47"/>
      <c r="MWP47"/>
      <c r="MWQ47"/>
      <c r="MWR47"/>
      <c r="MWS47"/>
      <c r="MWT47"/>
      <c r="MWU47"/>
      <c r="MWV47"/>
      <c r="MWW47"/>
      <c r="MWX47"/>
      <c r="MWY47"/>
      <c r="MWZ47"/>
      <c r="MXA47"/>
      <c r="MXB47"/>
      <c r="MXC47"/>
      <c r="MXD47"/>
      <c r="MXE47"/>
      <c r="MXF47"/>
      <c r="MXG47"/>
      <c r="MXH47"/>
      <c r="MXI47"/>
      <c r="MXJ47"/>
      <c r="MXK47"/>
      <c r="MXL47"/>
      <c r="MXM47"/>
      <c r="MXN47"/>
      <c r="MXO47"/>
      <c r="MXP47"/>
      <c r="MXQ47"/>
      <c r="MXR47"/>
      <c r="MXS47"/>
      <c r="MXT47"/>
      <c r="MXU47"/>
      <c r="MXV47"/>
      <c r="MXW47"/>
      <c r="MXX47"/>
      <c r="MXY47"/>
      <c r="MXZ47"/>
      <c r="MYA47"/>
      <c r="MYB47"/>
      <c r="MYC47"/>
      <c r="MYD47"/>
      <c r="MYE47"/>
      <c r="MYF47"/>
      <c r="MYG47"/>
      <c r="MYH47"/>
      <c r="MYI47"/>
      <c r="MYJ47"/>
      <c r="MYK47"/>
      <c r="MYL47"/>
      <c r="MYM47"/>
      <c r="MYN47"/>
      <c r="MYO47"/>
      <c r="MYP47"/>
      <c r="MYQ47"/>
      <c r="MYR47"/>
      <c r="MYS47"/>
      <c r="MYT47"/>
      <c r="MYU47"/>
      <c r="MYV47"/>
      <c r="MYW47"/>
      <c r="MYX47"/>
      <c r="MYY47"/>
      <c r="MYZ47"/>
      <c r="MZA47"/>
      <c r="MZB47"/>
      <c r="MZC47"/>
      <c r="MZD47"/>
      <c r="MZE47"/>
      <c r="MZF47"/>
      <c r="MZG47"/>
      <c r="MZH47"/>
      <c r="MZI47"/>
      <c r="MZJ47"/>
      <c r="MZK47"/>
      <c r="MZL47"/>
      <c r="MZM47"/>
      <c r="MZN47"/>
      <c r="MZO47"/>
      <c r="MZP47"/>
      <c r="MZQ47"/>
      <c r="MZR47"/>
      <c r="MZS47"/>
      <c r="MZT47"/>
      <c r="MZU47"/>
      <c r="MZV47"/>
      <c r="MZW47"/>
      <c r="MZX47"/>
      <c r="MZY47"/>
      <c r="MZZ47"/>
      <c r="NAA47"/>
      <c r="NAB47"/>
      <c r="NAC47"/>
      <c r="NAD47"/>
      <c r="NAE47"/>
      <c r="NAF47"/>
      <c r="NAG47"/>
      <c r="NAH47"/>
      <c r="NAI47"/>
      <c r="NAJ47"/>
      <c r="NAK47"/>
      <c r="NAL47"/>
      <c r="NAM47"/>
      <c r="NAN47"/>
      <c r="NAO47"/>
      <c r="NAP47"/>
      <c r="NAQ47"/>
      <c r="NAR47"/>
      <c r="NAS47"/>
      <c r="NAT47"/>
      <c r="NAU47"/>
      <c r="NAV47"/>
      <c r="NAW47"/>
      <c r="NAX47"/>
      <c r="NAY47"/>
      <c r="NAZ47"/>
      <c r="NBA47"/>
      <c r="NBB47"/>
      <c r="NBC47"/>
      <c r="NBD47"/>
      <c r="NBE47"/>
      <c r="NBF47"/>
      <c r="NBG47"/>
      <c r="NBH47"/>
      <c r="NBI47"/>
      <c r="NBJ47"/>
      <c r="NBK47"/>
      <c r="NBL47"/>
      <c r="NBM47"/>
      <c r="NBN47"/>
      <c r="NBO47"/>
      <c r="NBP47"/>
      <c r="NBQ47"/>
      <c r="NBR47"/>
      <c r="NBS47"/>
      <c r="NBT47"/>
      <c r="NBU47"/>
      <c r="NBV47"/>
      <c r="NBW47"/>
      <c r="NBX47"/>
      <c r="NBY47"/>
      <c r="NBZ47"/>
      <c r="NCA47"/>
      <c r="NCB47"/>
      <c r="NCC47"/>
      <c r="NCD47"/>
      <c r="NCE47"/>
      <c r="NCF47"/>
      <c r="NCG47"/>
      <c r="NCH47"/>
      <c r="NCI47"/>
      <c r="NCJ47"/>
      <c r="NCK47"/>
      <c r="NCL47"/>
      <c r="NCM47"/>
      <c r="NCN47"/>
      <c r="NCO47"/>
      <c r="NCP47"/>
      <c r="NCQ47"/>
      <c r="NCR47"/>
      <c r="NCS47"/>
      <c r="NCT47"/>
      <c r="NCU47"/>
      <c r="NCV47"/>
      <c r="NCW47"/>
      <c r="NCX47"/>
      <c r="NCY47"/>
      <c r="NCZ47"/>
      <c r="NDA47"/>
      <c r="NDB47"/>
      <c r="NDC47"/>
      <c r="NDD47"/>
      <c r="NDE47"/>
      <c r="NDF47"/>
      <c r="NDG47"/>
      <c r="NDH47"/>
      <c r="NDI47"/>
      <c r="NDJ47"/>
      <c r="NDK47"/>
      <c r="NDL47"/>
      <c r="NDM47"/>
      <c r="NDN47"/>
      <c r="NDO47"/>
      <c r="NDP47"/>
      <c r="NDQ47"/>
      <c r="NDR47"/>
      <c r="NDS47"/>
      <c r="NDT47"/>
      <c r="NDU47"/>
      <c r="NDV47"/>
      <c r="NDW47"/>
      <c r="NDX47"/>
      <c r="NDY47"/>
      <c r="NDZ47"/>
      <c r="NEA47"/>
      <c r="NEB47"/>
      <c r="NEC47"/>
      <c r="NED47"/>
      <c r="NEE47"/>
      <c r="NEF47"/>
      <c r="NEG47"/>
      <c r="NEH47"/>
      <c r="NEI47"/>
      <c r="NEJ47"/>
      <c r="NEK47"/>
      <c r="NEL47"/>
      <c r="NEM47"/>
      <c r="NEN47"/>
      <c r="NEO47"/>
      <c r="NEP47"/>
      <c r="NEQ47"/>
      <c r="NER47"/>
      <c r="NES47"/>
      <c r="NET47"/>
      <c r="NEU47"/>
      <c r="NEV47"/>
      <c r="NEW47"/>
      <c r="NEX47"/>
      <c r="NEY47"/>
      <c r="NEZ47"/>
      <c r="NFA47"/>
      <c r="NFB47"/>
      <c r="NFC47"/>
      <c r="NFD47"/>
      <c r="NFE47"/>
      <c r="NFF47"/>
      <c r="NFG47"/>
      <c r="NFH47"/>
      <c r="NFI47"/>
      <c r="NFJ47"/>
      <c r="NFK47"/>
      <c r="NFL47"/>
      <c r="NFM47"/>
      <c r="NFN47"/>
      <c r="NFO47"/>
      <c r="NFP47"/>
      <c r="NFQ47"/>
      <c r="NFR47"/>
      <c r="NFS47"/>
      <c r="NFT47"/>
      <c r="NFU47"/>
      <c r="NFV47"/>
      <c r="NFW47"/>
      <c r="NFX47"/>
      <c r="NFY47"/>
      <c r="NFZ47"/>
      <c r="NGA47"/>
      <c r="NGB47"/>
      <c r="NGC47"/>
      <c r="NGD47"/>
      <c r="NGE47"/>
      <c r="NGF47"/>
      <c r="NGG47"/>
      <c r="NGH47"/>
      <c r="NGI47"/>
      <c r="NGJ47"/>
      <c r="NGK47"/>
      <c r="NGL47"/>
      <c r="NGM47"/>
      <c r="NGN47"/>
      <c r="NGO47"/>
      <c r="NGP47"/>
      <c r="NGQ47"/>
      <c r="NGR47"/>
      <c r="NGS47"/>
      <c r="NGT47"/>
      <c r="NGU47"/>
      <c r="NGV47"/>
      <c r="NGW47"/>
      <c r="NGX47"/>
      <c r="NGY47"/>
      <c r="NGZ47"/>
      <c r="NHA47"/>
      <c r="NHB47"/>
      <c r="NHC47"/>
      <c r="NHD47"/>
      <c r="NHE47"/>
      <c r="NHF47"/>
      <c r="NHG47"/>
      <c r="NHH47"/>
      <c r="NHI47"/>
      <c r="NHJ47"/>
      <c r="NHK47"/>
      <c r="NHL47"/>
      <c r="NHM47"/>
      <c r="NHN47"/>
      <c r="NHO47"/>
      <c r="NHP47"/>
      <c r="NHQ47"/>
      <c r="NHR47"/>
      <c r="NHS47"/>
      <c r="NHT47"/>
      <c r="NHU47"/>
      <c r="NHV47"/>
      <c r="NHW47"/>
      <c r="NHX47"/>
      <c r="NHY47"/>
      <c r="NHZ47"/>
      <c r="NIA47"/>
      <c r="NIB47"/>
      <c r="NIC47"/>
      <c r="NID47"/>
      <c r="NIE47"/>
      <c r="NIF47"/>
      <c r="NIG47"/>
      <c r="NIH47"/>
      <c r="NII47"/>
      <c r="NIJ47"/>
      <c r="NIK47"/>
      <c r="NIL47"/>
      <c r="NIM47"/>
      <c r="NIN47"/>
      <c r="NIO47"/>
      <c r="NIP47"/>
      <c r="NIQ47"/>
      <c r="NIR47"/>
      <c r="NIS47"/>
      <c r="NIT47"/>
      <c r="NIU47"/>
      <c r="NIV47"/>
      <c r="NIW47"/>
      <c r="NIX47"/>
      <c r="NIY47"/>
      <c r="NIZ47"/>
      <c r="NJA47"/>
      <c r="NJB47"/>
      <c r="NJC47"/>
      <c r="NJD47"/>
      <c r="NJE47"/>
      <c r="NJF47"/>
      <c r="NJG47"/>
      <c r="NJH47"/>
      <c r="NJI47"/>
      <c r="NJJ47"/>
      <c r="NJK47"/>
      <c r="NJL47"/>
      <c r="NJM47"/>
      <c r="NJN47"/>
      <c r="NJO47"/>
      <c r="NJP47"/>
      <c r="NJQ47"/>
      <c r="NJR47"/>
      <c r="NJS47"/>
      <c r="NJT47"/>
      <c r="NJU47"/>
      <c r="NJV47"/>
      <c r="NJW47"/>
      <c r="NJX47"/>
      <c r="NJY47"/>
      <c r="NJZ47"/>
      <c r="NKA47"/>
      <c r="NKB47"/>
      <c r="NKC47"/>
      <c r="NKD47"/>
      <c r="NKE47"/>
      <c r="NKF47"/>
      <c r="NKG47"/>
      <c r="NKH47"/>
      <c r="NKI47"/>
      <c r="NKJ47"/>
      <c r="NKK47"/>
      <c r="NKL47"/>
      <c r="NKM47"/>
      <c r="NKN47"/>
      <c r="NKO47"/>
      <c r="NKP47"/>
      <c r="NKQ47"/>
      <c r="NKR47"/>
      <c r="NKS47"/>
      <c r="NKT47"/>
      <c r="NKU47"/>
      <c r="NKV47"/>
      <c r="NKW47"/>
      <c r="NKX47"/>
      <c r="NKY47"/>
      <c r="NKZ47"/>
      <c r="NLA47"/>
      <c r="NLB47"/>
      <c r="NLC47"/>
      <c r="NLD47"/>
      <c r="NLE47"/>
      <c r="NLF47"/>
      <c r="NLG47"/>
      <c r="NLH47"/>
      <c r="NLI47"/>
      <c r="NLJ47"/>
      <c r="NLK47"/>
      <c r="NLL47"/>
      <c r="NLM47"/>
      <c r="NLN47"/>
      <c r="NLO47"/>
      <c r="NLP47"/>
      <c r="NLQ47"/>
      <c r="NLR47"/>
      <c r="NLS47"/>
      <c r="NLT47"/>
      <c r="NLU47"/>
      <c r="NLV47"/>
      <c r="NLW47"/>
      <c r="NLX47"/>
      <c r="NLY47"/>
      <c r="NLZ47"/>
      <c r="NMA47"/>
      <c r="NMB47"/>
      <c r="NMC47"/>
      <c r="NMD47"/>
      <c r="NME47"/>
      <c r="NMF47"/>
      <c r="NMG47"/>
      <c r="NMH47"/>
      <c r="NMI47"/>
      <c r="NMJ47"/>
      <c r="NMK47"/>
      <c r="NML47"/>
      <c r="NMM47"/>
      <c r="NMN47"/>
      <c r="NMO47"/>
      <c r="NMP47"/>
      <c r="NMQ47"/>
      <c r="NMR47"/>
      <c r="NMS47"/>
      <c r="NMT47"/>
      <c r="NMU47"/>
      <c r="NMV47"/>
      <c r="NMW47"/>
      <c r="NMX47"/>
      <c r="NMY47"/>
      <c r="NMZ47"/>
      <c r="NNA47"/>
      <c r="NNB47"/>
      <c r="NNC47"/>
      <c r="NND47"/>
      <c r="NNE47"/>
      <c r="NNF47"/>
      <c r="NNG47"/>
      <c r="NNH47"/>
      <c r="NNI47"/>
      <c r="NNJ47"/>
      <c r="NNK47"/>
      <c r="NNL47"/>
      <c r="NNM47"/>
      <c r="NNN47"/>
      <c r="NNO47"/>
      <c r="NNP47"/>
      <c r="NNQ47"/>
      <c r="NNR47"/>
      <c r="NNS47"/>
      <c r="NNT47"/>
      <c r="NNU47"/>
      <c r="NNV47"/>
      <c r="NNW47"/>
      <c r="NNX47"/>
      <c r="NNY47"/>
      <c r="NNZ47"/>
      <c r="NOA47"/>
      <c r="NOB47"/>
      <c r="NOC47"/>
      <c r="NOD47"/>
      <c r="NOE47"/>
      <c r="NOF47"/>
      <c r="NOG47"/>
      <c r="NOH47"/>
      <c r="NOI47"/>
      <c r="NOJ47"/>
      <c r="NOK47"/>
      <c r="NOL47"/>
      <c r="NOM47"/>
      <c r="NON47"/>
      <c r="NOO47"/>
      <c r="NOP47"/>
      <c r="NOQ47"/>
      <c r="NOR47"/>
      <c r="NOS47"/>
      <c r="NOT47"/>
      <c r="NOU47"/>
      <c r="NOV47"/>
      <c r="NOW47"/>
      <c r="NOX47"/>
      <c r="NOY47"/>
      <c r="NOZ47"/>
      <c r="NPA47"/>
      <c r="NPB47"/>
      <c r="NPC47"/>
      <c r="NPD47"/>
      <c r="NPE47"/>
      <c r="NPF47"/>
      <c r="NPG47"/>
      <c r="NPH47"/>
      <c r="NPI47"/>
      <c r="NPJ47"/>
      <c r="NPK47"/>
      <c r="NPL47"/>
      <c r="NPM47"/>
      <c r="NPN47"/>
      <c r="NPO47"/>
      <c r="NPP47"/>
      <c r="NPQ47"/>
      <c r="NPR47"/>
      <c r="NPS47"/>
      <c r="NPT47"/>
      <c r="NPU47"/>
      <c r="NPV47"/>
      <c r="NPW47"/>
      <c r="NPX47"/>
      <c r="NPY47"/>
      <c r="NPZ47"/>
      <c r="NQA47"/>
      <c r="NQB47"/>
      <c r="NQC47"/>
      <c r="NQD47"/>
      <c r="NQE47"/>
      <c r="NQF47"/>
      <c r="NQG47"/>
      <c r="NQH47"/>
      <c r="NQI47"/>
      <c r="NQJ47"/>
      <c r="NQK47"/>
      <c r="NQL47"/>
      <c r="NQM47"/>
      <c r="NQN47"/>
      <c r="NQO47"/>
      <c r="NQP47"/>
      <c r="NQQ47"/>
      <c r="NQR47"/>
      <c r="NQS47"/>
      <c r="NQT47"/>
      <c r="NQU47"/>
      <c r="NQV47"/>
      <c r="NQW47"/>
      <c r="NQX47"/>
      <c r="NQY47"/>
      <c r="NQZ47"/>
      <c r="NRA47"/>
      <c r="NRB47"/>
      <c r="NRC47"/>
      <c r="NRD47"/>
      <c r="NRE47"/>
      <c r="NRF47"/>
      <c r="NRG47"/>
      <c r="NRH47"/>
      <c r="NRI47"/>
      <c r="NRJ47"/>
      <c r="NRK47"/>
      <c r="NRL47"/>
      <c r="NRM47"/>
      <c r="NRN47"/>
      <c r="NRO47"/>
      <c r="NRP47"/>
      <c r="NRQ47"/>
      <c r="NRR47"/>
      <c r="NRS47"/>
      <c r="NRT47"/>
      <c r="NRU47"/>
      <c r="NRV47"/>
      <c r="NRW47"/>
      <c r="NRX47"/>
      <c r="NRY47"/>
      <c r="NRZ47"/>
      <c r="NSA47"/>
      <c r="NSB47"/>
      <c r="NSC47"/>
      <c r="NSD47"/>
      <c r="NSE47"/>
      <c r="NSF47"/>
      <c r="NSG47"/>
      <c r="NSH47"/>
      <c r="NSI47"/>
      <c r="NSJ47"/>
      <c r="NSK47"/>
      <c r="NSL47"/>
      <c r="NSM47"/>
      <c r="NSN47"/>
      <c r="NSO47"/>
      <c r="NSP47"/>
      <c r="NSQ47"/>
      <c r="NSR47"/>
      <c r="NSS47"/>
      <c r="NST47"/>
      <c r="NSU47"/>
      <c r="NSV47"/>
      <c r="NSW47"/>
      <c r="NSX47"/>
      <c r="NSY47"/>
      <c r="NSZ47"/>
      <c r="NTA47"/>
      <c r="NTB47"/>
      <c r="NTC47"/>
      <c r="NTD47"/>
      <c r="NTE47"/>
      <c r="NTF47"/>
      <c r="NTG47"/>
      <c r="NTH47"/>
      <c r="NTI47"/>
      <c r="NTJ47"/>
      <c r="NTK47"/>
      <c r="NTL47"/>
      <c r="NTM47"/>
      <c r="NTN47"/>
      <c r="NTO47"/>
      <c r="NTP47"/>
      <c r="NTQ47"/>
      <c r="NTR47"/>
      <c r="NTS47"/>
      <c r="NTT47"/>
      <c r="NTU47"/>
      <c r="NTV47"/>
      <c r="NTW47"/>
      <c r="NTX47"/>
      <c r="NTY47"/>
      <c r="NTZ47"/>
      <c r="NUA47"/>
      <c r="NUB47"/>
      <c r="NUC47"/>
      <c r="NUD47"/>
      <c r="NUE47"/>
      <c r="NUF47"/>
      <c r="NUG47"/>
      <c r="NUH47"/>
      <c r="NUI47"/>
      <c r="NUJ47"/>
      <c r="NUK47"/>
      <c r="NUL47"/>
      <c r="NUM47"/>
      <c r="NUN47"/>
      <c r="NUO47"/>
      <c r="NUP47"/>
      <c r="NUQ47"/>
      <c r="NUR47"/>
      <c r="NUS47"/>
      <c r="NUT47"/>
      <c r="NUU47"/>
      <c r="NUV47"/>
      <c r="NUW47"/>
      <c r="NUX47"/>
      <c r="NUY47"/>
      <c r="NUZ47"/>
      <c r="NVA47"/>
      <c r="NVB47"/>
      <c r="NVC47"/>
      <c r="NVD47"/>
      <c r="NVE47"/>
      <c r="NVF47"/>
      <c r="NVG47"/>
      <c r="NVH47"/>
      <c r="NVI47"/>
      <c r="NVJ47"/>
      <c r="NVK47"/>
      <c r="NVL47"/>
      <c r="NVM47"/>
      <c r="NVN47"/>
      <c r="NVO47"/>
      <c r="NVP47"/>
      <c r="NVQ47"/>
      <c r="NVR47"/>
      <c r="NVS47"/>
      <c r="NVT47"/>
      <c r="NVU47"/>
      <c r="NVV47"/>
      <c r="NVW47"/>
      <c r="NVX47"/>
      <c r="NVY47"/>
      <c r="NVZ47"/>
      <c r="NWA47"/>
      <c r="NWB47"/>
      <c r="NWC47"/>
      <c r="NWD47"/>
      <c r="NWE47"/>
      <c r="NWF47"/>
      <c r="NWG47"/>
      <c r="NWH47"/>
      <c r="NWI47"/>
      <c r="NWJ47"/>
      <c r="NWK47"/>
      <c r="NWL47"/>
      <c r="NWM47"/>
      <c r="NWN47"/>
      <c r="NWO47"/>
      <c r="NWP47"/>
      <c r="NWQ47"/>
      <c r="NWR47"/>
      <c r="NWS47"/>
      <c r="NWT47"/>
      <c r="NWU47"/>
      <c r="NWV47"/>
      <c r="NWW47"/>
      <c r="NWX47"/>
      <c r="NWY47"/>
      <c r="NWZ47"/>
      <c r="NXA47"/>
      <c r="NXB47"/>
      <c r="NXC47"/>
      <c r="NXD47"/>
      <c r="NXE47"/>
      <c r="NXF47"/>
      <c r="NXG47"/>
      <c r="NXH47"/>
      <c r="NXI47"/>
      <c r="NXJ47"/>
      <c r="NXK47"/>
      <c r="NXL47"/>
      <c r="NXM47"/>
      <c r="NXN47"/>
      <c r="NXO47"/>
      <c r="NXP47"/>
      <c r="NXQ47"/>
      <c r="NXR47"/>
      <c r="NXS47"/>
      <c r="NXT47"/>
      <c r="NXU47"/>
      <c r="NXV47"/>
      <c r="NXW47"/>
      <c r="NXX47"/>
      <c r="NXY47"/>
      <c r="NXZ47"/>
      <c r="NYA47"/>
      <c r="NYB47"/>
      <c r="NYC47"/>
      <c r="NYD47"/>
      <c r="NYE47"/>
      <c r="NYF47"/>
      <c r="NYG47"/>
      <c r="NYH47"/>
      <c r="NYI47"/>
      <c r="NYJ47"/>
      <c r="NYK47"/>
      <c r="NYL47"/>
      <c r="NYM47"/>
      <c r="NYN47"/>
      <c r="NYO47"/>
      <c r="NYP47"/>
      <c r="NYQ47"/>
      <c r="NYR47"/>
      <c r="NYS47"/>
      <c r="NYT47"/>
      <c r="NYU47"/>
      <c r="NYV47"/>
      <c r="NYW47"/>
      <c r="NYX47"/>
      <c r="NYY47"/>
      <c r="NYZ47"/>
      <c r="NZA47"/>
      <c r="NZB47"/>
      <c r="NZC47"/>
      <c r="NZD47"/>
      <c r="NZE47"/>
      <c r="NZF47"/>
      <c r="NZG47"/>
      <c r="NZH47"/>
      <c r="NZI47"/>
      <c r="NZJ47"/>
      <c r="NZK47"/>
      <c r="NZL47"/>
      <c r="NZM47"/>
      <c r="NZN47"/>
      <c r="NZO47"/>
      <c r="NZP47"/>
      <c r="NZQ47"/>
      <c r="NZR47"/>
      <c r="NZS47"/>
      <c r="NZT47"/>
      <c r="NZU47"/>
      <c r="NZV47"/>
      <c r="NZW47"/>
      <c r="NZX47"/>
      <c r="NZY47"/>
      <c r="NZZ47"/>
      <c r="OAA47"/>
      <c r="OAB47"/>
      <c r="OAC47"/>
      <c r="OAD47"/>
      <c r="OAE47"/>
      <c r="OAF47"/>
      <c r="OAG47"/>
      <c r="OAH47"/>
      <c r="OAI47"/>
      <c r="OAJ47"/>
      <c r="OAK47"/>
      <c r="OAL47"/>
      <c r="OAM47"/>
      <c r="OAN47"/>
      <c r="OAO47"/>
      <c r="OAP47"/>
      <c r="OAQ47"/>
      <c r="OAR47"/>
      <c r="OAS47"/>
      <c r="OAT47"/>
      <c r="OAU47"/>
      <c r="OAV47"/>
      <c r="OAW47"/>
      <c r="OAX47"/>
      <c r="OAY47"/>
      <c r="OAZ47"/>
      <c r="OBA47"/>
      <c r="OBB47"/>
      <c r="OBC47"/>
      <c r="OBD47"/>
      <c r="OBE47"/>
      <c r="OBF47"/>
      <c r="OBG47"/>
      <c r="OBH47"/>
      <c r="OBI47"/>
      <c r="OBJ47"/>
      <c r="OBK47"/>
      <c r="OBL47"/>
      <c r="OBM47"/>
      <c r="OBN47"/>
      <c r="OBO47"/>
      <c r="OBP47"/>
      <c r="OBQ47"/>
      <c r="OBR47"/>
      <c r="OBS47"/>
      <c r="OBT47"/>
      <c r="OBU47"/>
      <c r="OBV47"/>
      <c r="OBW47"/>
      <c r="OBX47"/>
      <c r="OBY47"/>
      <c r="OBZ47"/>
      <c r="OCA47"/>
      <c r="OCB47"/>
      <c r="OCC47"/>
      <c r="OCD47"/>
      <c r="OCE47"/>
      <c r="OCF47"/>
      <c r="OCG47"/>
      <c r="OCH47"/>
      <c r="OCI47"/>
      <c r="OCJ47"/>
      <c r="OCK47"/>
      <c r="OCL47"/>
      <c r="OCM47"/>
      <c r="OCN47"/>
      <c r="OCO47"/>
      <c r="OCP47"/>
      <c r="OCQ47"/>
      <c r="OCR47"/>
      <c r="OCS47"/>
      <c r="OCT47"/>
      <c r="OCU47"/>
      <c r="OCV47"/>
      <c r="OCW47"/>
      <c r="OCX47"/>
      <c r="OCY47"/>
      <c r="OCZ47"/>
      <c r="ODA47"/>
      <c r="ODB47"/>
      <c r="ODC47"/>
      <c r="ODD47"/>
      <c r="ODE47"/>
      <c r="ODF47"/>
      <c r="ODG47"/>
      <c r="ODH47"/>
      <c r="ODI47"/>
      <c r="ODJ47"/>
      <c r="ODK47"/>
      <c r="ODL47"/>
      <c r="ODM47"/>
      <c r="ODN47"/>
      <c r="ODO47"/>
      <c r="ODP47"/>
      <c r="ODQ47"/>
      <c r="ODR47"/>
      <c r="ODS47"/>
      <c r="ODT47"/>
      <c r="ODU47"/>
      <c r="ODV47"/>
      <c r="ODW47"/>
      <c r="ODX47"/>
      <c r="ODY47"/>
      <c r="ODZ47"/>
      <c r="OEA47"/>
      <c r="OEB47"/>
      <c r="OEC47"/>
      <c r="OED47"/>
      <c r="OEE47"/>
      <c r="OEF47"/>
      <c r="OEG47"/>
      <c r="OEH47"/>
      <c r="OEI47"/>
      <c r="OEJ47"/>
      <c r="OEK47"/>
      <c r="OEL47"/>
      <c r="OEM47"/>
      <c r="OEN47"/>
      <c r="OEO47"/>
      <c r="OEP47"/>
      <c r="OEQ47"/>
      <c r="OER47"/>
      <c r="OES47"/>
      <c r="OET47"/>
      <c r="OEU47"/>
      <c r="OEV47"/>
      <c r="OEW47"/>
      <c r="OEX47"/>
      <c r="OEY47"/>
      <c r="OEZ47"/>
      <c r="OFA47"/>
      <c r="OFB47"/>
      <c r="OFC47"/>
      <c r="OFD47"/>
      <c r="OFE47"/>
      <c r="OFF47"/>
      <c r="OFG47"/>
      <c r="OFH47"/>
      <c r="OFI47"/>
      <c r="OFJ47"/>
      <c r="OFK47"/>
      <c r="OFL47"/>
      <c r="OFM47"/>
      <c r="OFN47"/>
      <c r="OFO47"/>
      <c r="OFP47"/>
      <c r="OFQ47"/>
      <c r="OFR47"/>
      <c r="OFS47"/>
      <c r="OFT47"/>
      <c r="OFU47"/>
      <c r="OFV47"/>
      <c r="OFW47"/>
      <c r="OFX47"/>
      <c r="OFY47"/>
      <c r="OFZ47"/>
      <c r="OGA47"/>
      <c r="OGB47"/>
      <c r="OGC47"/>
      <c r="OGD47"/>
      <c r="OGE47"/>
      <c r="OGF47"/>
      <c r="OGG47"/>
      <c r="OGH47"/>
      <c r="OGI47"/>
      <c r="OGJ47"/>
      <c r="OGK47"/>
      <c r="OGL47"/>
      <c r="OGM47"/>
      <c r="OGN47"/>
      <c r="OGO47"/>
      <c r="OGP47"/>
      <c r="OGQ47"/>
      <c r="OGR47"/>
      <c r="OGS47"/>
      <c r="OGT47"/>
      <c r="OGU47"/>
      <c r="OGV47"/>
      <c r="OGW47"/>
      <c r="OGX47"/>
      <c r="OGY47"/>
      <c r="OGZ47"/>
      <c r="OHA47"/>
      <c r="OHB47"/>
      <c r="OHC47"/>
      <c r="OHD47"/>
      <c r="OHE47"/>
      <c r="OHF47"/>
      <c r="OHG47"/>
      <c r="OHH47"/>
      <c r="OHI47"/>
      <c r="OHJ47"/>
      <c r="OHK47"/>
      <c r="OHL47"/>
      <c r="OHM47"/>
      <c r="OHN47"/>
      <c r="OHO47"/>
      <c r="OHP47"/>
      <c r="OHQ47"/>
      <c r="OHR47"/>
      <c r="OHS47"/>
      <c r="OHT47"/>
      <c r="OHU47"/>
      <c r="OHV47"/>
      <c r="OHW47"/>
      <c r="OHX47"/>
      <c r="OHY47"/>
      <c r="OHZ47"/>
      <c r="OIA47"/>
      <c r="OIB47"/>
      <c r="OIC47"/>
      <c r="OID47"/>
      <c r="OIE47"/>
      <c r="OIF47"/>
      <c r="OIG47"/>
      <c r="OIH47"/>
      <c r="OII47"/>
      <c r="OIJ47"/>
      <c r="OIK47"/>
      <c r="OIL47"/>
      <c r="OIM47"/>
      <c r="OIN47"/>
      <c r="OIO47"/>
      <c r="OIP47"/>
      <c r="OIQ47"/>
      <c r="OIR47"/>
      <c r="OIS47"/>
      <c r="OIT47"/>
      <c r="OIU47"/>
      <c r="OIV47"/>
      <c r="OIW47"/>
      <c r="OIX47"/>
      <c r="OIY47"/>
      <c r="OIZ47"/>
      <c r="OJA47"/>
      <c r="OJB47"/>
      <c r="OJC47"/>
      <c r="OJD47"/>
      <c r="OJE47"/>
      <c r="OJF47"/>
      <c r="OJG47"/>
      <c r="OJH47"/>
      <c r="OJI47"/>
      <c r="OJJ47"/>
      <c r="OJK47"/>
      <c r="OJL47"/>
      <c r="OJM47"/>
      <c r="OJN47"/>
      <c r="OJO47"/>
      <c r="OJP47"/>
      <c r="OJQ47"/>
      <c r="OJR47"/>
      <c r="OJS47"/>
      <c r="OJT47"/>
      <c r="OJU47"/>
      <c r="OJV47"/>
      <c r="OJW47"/>
      <c r="OJX47"/>
      <c r="OJY47"/>
      <c r="OJZ47"/>
      <c r="OKA47"/>
      <c r="OKB47"/>
      <c r="OKC47"/>
      <c r="OKD47"/>
      <c r="OKE47"/>
      <c r="OKF47"/>
      <c r="OKG47"/>
      <c r="OKH47"/>
      <c r="OKI47"/>
      <c r="OKJ47"/>
      <c r="OKK47"/>
      <c r="OKL47"/>
      <c r="OKM47"/>
      <c r="OKN47"/>
      <c r="OKO47"/>
      <c r="OKP47"/>
      <c r="OKQ47"/>
      <c r="OKR47"/>
      <c r="OKS47"/>
      <c r="OKT47"/>
      <c r="OKU47"/>
      <c r="OKV47"/>
      <c r="OKW47"/>
      <c r="OKX47"/>
      <c r="OKY47"/>
      <c r="OKZ47"/>
      <c r="OLA47"/>
      <c r="OLB47"/>
      <c r="OLC47"/>
      <c r="OLD47"/>
      <c r="OLE47"/>
      <c r="OLF47"/>
      <c r="OLG47"/>
      <c r="OLH47"/>
      <c r="OLI47"/>
      <c r="OLJ47"/>
      <c r="OLK47"/>
      <c r="OLL47"/>
      <c r="OLM47"/>
      <c r="OLN47"/>
      <c r="OLO47"/>
      <c r="OLP47"/>
      <c r="OLQ47"/>
      <c r="OLR47"/>
      <c r="OLS47"/>
      <c r="OLT47"/>
      <c r="OLU47"/>
      <c r="OLV47"/>
      <c r="OLW47"/>
      <c r="OLX47"/>
      <c r="OLY47"/>
      <c r="OLZ47"/>
      <c r="OMA47"/>
      <c r="OMB47"/>
      <c r="OMC47"/>
      <c r="OMD47"/>
      <c r="OME47"/>
      <c r="OMF47"/>
      <c r="OMG47"/>
      <c r="OMH47"/>
      <c r="OMI47"/>
      <c r="OMJ47"/>
      <c r="OMK47"/>
      <c r="OML47"/>
      <c r="OMM47"/>
      <c r="OMN47"/>
      <c r="OMO47"/>
      <c r="OMP47"/>
      <c r="OMQ47"/>
      <c r="OMR47"/>
      <c r="OMS47"/>
      <c r="OMT47"/>
      <c r="OMU47"/>
      <c r="OMV47"/>
      <c r="OMW47"/>
      <c r="OMX47"/>
      <c r="OMY47"/>
      <c r="OMZ47"/>
      <c r="ONA47"/>
      <c r="ONB47"/>
      <c r="ONC47"/>
      <c r="OND47"/>
      <c r="ONE47"/>
      <c r="ONF47"/>
      <c r="ONG47"/>
      <c r="ONH47"/>
      <c r="ONI47"/>
      <c r="ONJ47"/>
      <c r="ONK47"/>
      <c r="ONL47"/>
      <c r="ONM47"/>
      <c r="ONN47"/>
      <c r="ONO47"/>
      <c r="ONP47"/>
      <c r="ONQ47"/>
      <c r="ONR47"/>
      <c r="ONS47"/>
      <c r="ONT47"/>
      <c r="ONU47"/>
      <c r="ONV47"/>
      <c r="ONW47"/>
      <c r="ONX47"/>
      <c r="ONY47"/>
      <c r="ONZ47"/>
      <c r="OOA47"/>
      <c r="OOB47"/>
      <c r="OOC47"/>
      <c r="OOD47"/>
      <c r="OOE47"/>
      <c r="OOF47"/>
      <c r="OOG47"/>
      <c r="OOH47"/>
      <c r="OOI47"/>
      <c r="OOJ47"/>
      <c r="OOK47"/>
      <c r="OOL47"/>
      <c r="OOM47"/>
      <c r="OON47"/>
      <c r="OOO47"/>
      <c r="OOP47"/>
      <c r="OOQ47"/>
      <c r="OOR47"/>
      <c r="OOS47"/>
      <c r="OOT47"/>
      <c r="OOU47"/>
      <c r="OOV47"/>
      <c r="OOW47"/>
      <c r="OOX47"/>
      <c r="OOY47"/>
      <c r="OOZ47"/>
      <c r="OPA47"/>
      <c r="OPB47"/>
      <c r="OPC47"/>
      <c r="OPD47"/>
      <c r="OPE47"/>
      <c r="OPF47"/>
      <c r="OPG47"/>
      <c r="OPH47"/>
      <c r="OPI47"/>
      <c r="OPJ47"/>
      <c r="OPK47"/>
      <c r="OPL47"/>
      <c r="OPM47"/>
      <c r="OPN47"/>
      <c r="OPO47"/>
      <c r="OPP47"/>
      <c r="OPQ47"/>
      <c r="OPR47"/>
      <c r="OPS47"/>
      <c r="OPT47"/>
      <c r="OPU47"/>
      <c r="OPV47"/>
      <c r="OPW47"/>
      <c r="OPX47"/>
      <c r="OPY47"/>
      <c r="OPZ47"/>
      <c r="OQA47"/>
      <c r="OQB47"/>
      <c r="OQC47"/>
      <c r="OQD47"/>
      <c r="OQE47"/>
      <c r="OQF47"/>
      <c r="OQG47"/>
      <c r="OQH47"/>
      <c r="OQI47"/>
      <c r="OQJ47"/>
      <c r="OQK47"/>
      <c r="OQL47"/>
      <c r="OQM47"/>
      <c r="OQN47"/>
      <c r="OQO47"/>
      <c r="OQP47"/>
      <c r="OQQ47"/>
      <c r="OQR47"/>
      <c r="OQS47"/>
      <c r="OQT47"/>
      <c r="OQU47"/>
      <c r="OQV47"/>
      <c r="OQW47"/>
      <c r="OQX47"/>
      <c r="OQY47"/>
      <c r="OQZ47"/>
      <c r="ORA47"/>
      <c r="ORB47"/>
      <c r="ORC47"/>
      <c r="ORD47"/>
      <c r="ORE47"/>
      <c r="ORF47"/>
      <c r="ORG47"/>
      <c r="ORH47"/>
      <c r="ORI47"/>
      <c r="ORJ47"/>
      <c r="ORK47"/>
      <c r="ORL47"/>
      <c r="ORM47"/>
      <c r="ORN47"/>
      <c r="ORO47"/>
      <c r="ORP47"/>
      <c r="ORQ47"/>
      <c r="ORR47"/>
      <c r="ORS47"/>
      <c r="ORT47"/>
      <c r="ORU47"/>
      <c r="ORV47"/>
      <c r="ORW47"/>
      <c r="ORX47"/>
      <c r="ORY47"/>
      <c r="ORZ47"/>
      <c r="OSA47"/>
      <c r="OSB47"/>
      <c r="OSC47"/>
      <c r="OSD47"/>
      <c r="OSE47"/>
      <c r="OSF47"/>
      <c r="OSG47"/>
      <c r="OSH47"/>
      <c r="OSI47"/>
      <c r="OSJ47"/>
      <c r="OSK47"/>
      <c r="OSL47"/>
      <c r="OSM47"/>
      <c r="OSN47"/>
      <c r="OSO47"/>
      <c r="OSP47"/>
      <c r="OSQ47"/>
      <c r="OSR47"/>
      <c r="OSS47"/>
      <c r="OST47"/>
      <c r="OSU47"/>
      <c r="OSV47"/>
      <c r="OSW47"/>
      <c r="OSX47"/>
      <c r="OSY47"/>
      <c r="OSZ47"/>
      <c r="OTA47"/>
      <c r="OTB47"/>
      <c r="OTC47"/>
      <c r="OTD47"/>
      <c r="OTE47"/>
      <c r="OTF47"/>
      <c r="OTG47"/>
      <c r="OTH47"/>
      <c r="OTI47"/>
      <c r="OTJ47"/>
      <c r="OTK47"/>
      <c r="OTL47"/>
      <c r="OTM47"/>
      <c r="OTN47"/>
      <c r="OTO47"/>
      <c r="OTP47"/>
      <c r="OTQ47"/>
      <c r="OTR47"/>
      <c r="OTS47"/>
      <c r="OTT47"/>
      <c r="OTU47"/>
      <c r="OTV47"/>
      <c r="OTW47"/>
      <c r="OTX47"/>
      <c r="OTY47"/>
      <c r="OTZ47"/>
      <c r="OUA47"/>
      <c r="OUB47"/>
      <c r="OUC47"/>
      <c r="OUD47"/>
      <c r="OUE47"/>
      <c r="OUF47"/>
      <c r="OUG47"/>
      <c r="OUH47"/>
      <c r="OUI47"/>
      <c r="OUJ47"/>
      <c r="OUK47"/>
      <c r="OUL47"/>
      <c r="OUM47"/>
      <c r="OUN47"/>
      <c r="OUO47"/>
      <c r="OUP47"/>
      <c r="OUQ47"/>
      <c r="OUR47"/>
      <c r="OUS47"/>
      <c r="OUT47"/>
      <c r="OUU47"/>
      <c r="OUV47"/>
      <c r="OUW47"/>
      <c r="OUX47"/>
      <c r="OUY47"/>
      <c r="OUZ47"/>
      <c r="OVA47"/>
      <c r="OVB47"/>
      <c r="OVC47"/>
      <c r="OVD47"/>
      <c r="OVE47"/>
      <c r="OVF47"/>
      <c r="OVG47"/>
      <c r="OVH47"/>
      <c r="OVI47"/>
      <c r="OVJ47"/>
      <c r="OVK47"/>
      <c r="OVL47"/>
      <c r="OVM47"/>
      <c r="OVN47"/>
      <c r="OVO47"/>
      <c r="OVP47"/>
      <c r="OVQ47"/>
      <c r="OVR47"/>
      <c r="OVS47"/>
      <c r="OVT47"/>
      <c r="OVU47"/>
      <c r="OVV47"/>
      <c r="OVW47"/>
      <c r="OVX47"/>
      <c r="OVY47"/>
      <c r="OVZ47"/>
      <c r="OWA47"/>
      <c r="OWB47"/>
      <c r="OWC47"/>
      <c r="OWD47"/>
      <c r="OWE47"/>
      <c r="OWF47"/>
      <c r="OWG47"/>
      <c r="OWH47"/>
      <c r="OWI47"/>
      <c r="OWJ47"/>
      <c r="OWK47"/>
      <c r="OWL47"/>
      <c r="OWM47"/>
      <c r="OWN47"/>
      <c r="OWO47"/>
      <c r="OWP47"/>
      <c r="OWQ47"/>
      <c r="OWR47"/>
      <c r="OWS47"/>
      <c r="OWT47"/>
      <c r="OWU47"/>
      <c r="OWV47"/>
      <c r="OWW47"/>
      <c r="OWX47"/>
      <c r="OWY47"/>
      <c r="OWZ47"/>
      <c r="OXA47"/>
      <c r="OXB47"/>
      <c r="OXC47"/>
      <c r="OXD47"/>
      <c r="OXE47"/>
      <c r="OXF47"/>
      <c r="OXG47"/>
      <c r="OXH47"/>
      <c r="OXI47"/>
      <c r="OXJ47"/>
      <c r="OXK47"/>
      <c r="OXL47"/>
      <c r="OXM47"/>
      <c r="OXN47"/>
      <c r="OXO47"/>
      <c r="OXP47"/>
      <c r="OXQ47"/>
      <c r="OXR47"/>
      <c r="OXS47"/>
      <c r="OXT47"/>
      <c r="OXU47"/>
      <c r="OXV47"/>
      <c r="OXW47"/>
      <c r="OXX47"/>
      <c r="OXY47"/>
      <c r="OXZ47"/>
      <c r="OYA47"/>
      <c r="OYB47"/>
      <c r="OYC47"/>
      <c r="OYD47"/>
      <c r="OYE47"/>
      <c r="OYF47"/>
      <c r="OYG47"/>
      <c r="OYH47"/>
      <c r="OYI47"/>
      <c r="OYJ47"/>
      <c r="OYK47"/>
      <c r="OYL47"/>
      <c r="OYM47"/>
      <c r="OYN47"/>
      <c r="OYO47"/>
      <c r="OYP47"/>
      <c r="OYQ47"/>
      <c r="OYR47"/>
      <c r="OYS47"/>
      <c r="OYT47"/>
      <c r="OYU47"/>
      <c r="OYV47"/>
      <c r="OYW47"/>
      <c r="OYX47"/>
      <c r="OYY47"/>
      <c r="OYZ47"/>
      <c r="OZA47"/>
      <c r="OZB47"/>
      <c r="OZC47"/>
      <c r="OZD47"/>
      <c r="OZE47"/>
      <c r="OZF47"/>
      <c r="OZG47"/>
      <c r="OZH47"/>
      <c r="OZI47"/>
      <c r="OZJ47"/>
      <c r="OZK47"/>
      <c r="OZL47"/>
      <c r="OZM47"/>
      <c r="OZN47"/>
      <c r="OZO47"/>
      <c r="OZP47"/>
      <c r="OZQ47"/>
      <c r="OZR47"/>
      <c r="OZS47"/>
      <c r="OZT47"/>
      <c r="OZU47"/>
      <c r="OZV47"/>
      <c r="OZW47"/>
      <c r="OZX47"/>
      <c r="OZY47"/>
      <c r="OZZ47"/>
      <c r="PAA47"/>
      <c r="PAB47"/>
      <c r="PAC47"/>
      <c r="PAD47"/>
      <c r="PAE47"/>
      <c r="PAF47"/>
      <c r="PAG47"/>
      <c r="PAH47"/>
      <c r="PAI47"/>
      <c r="PAJ47"/>
      <c r="PAK47"/>
      <c r="PAL47"/>
      <c r="PAM47"/>
      <c r="PAN47"/>
      <c r="PAO47"/>
      <c r="PAP47"/>
      <c r="PAQ47"/>
      <c r="PAR47"/>
      <c r="PAS47"/>
      <c r="PAT47"/>
      <c r="PAU47"/>
      <c r="PAV47"/>
      <c r="PAW47"/>
      <c r="PAX47"/>
      <c r="PAY47"/>
      <c r="PAZ47"/>
      <c r="PBA47"/>
      <c r="PBB47"/>
      <c r="PBC47"/>
      <c r="PBD47"/>
      <c r="PBE47"/>
      <c r="PBF47"/>
      <c r="PBG47"/>
      <c r="PBH47"/>
      <c r="PBI47"/>
      <c r="PBJ47"/>
      <c r="PBK47"/>
      <c r="PBL47"/>
      <c r="PBM47"/>
      <c r="PBN47"/>
      <c r="PBO47"/>
      <c r="PBP47"/>
      <c r="PBQ47"/>
      <c r="PBR47"/>
      <c r="PBS47"/>
      <c r="PBT47"/>
      <c r="PBU47"/>
      <c r="PBV47"/>
      <c r="PBW47"/>
      <c r="PBX47"/>
      <c r="PBY47"/>
      <c r="PBZ47"/>
      <c r="PCA47"/>
      <c r="PCB47"/>
      <c r="PCC47"/>
      <c r="PCD47"/>
      <c r="PCE47"/>
      <c r="PCF47"/>
      <c r="PCG47"/>
      <c r="PCH47"/>
      <c r="PCI47"/>
      <c r="PCJ47"/>
      <c r="PCK47"/>
      <c r="PCL47"/>
      <c r="PCM47"/>
      <c r="PCN47"/>
      <c r="PCO47"/>
      <c r="PCP47"/>
      <c r="PCQ47"/>
      <c r="PCR47"/>
      <c r="PCS47"/>
      <c r="PCT47"/>
      <c r="PCU47"/>
      <c r="PCV47"/>
      <c r="PCW47"/>
      <c r="PCX47"/>
      <c r="PCY47"/>
      <c r="PCZ47"/>
      <c r="PDA47"/>
      <c r="PDB47"/>
      <c r="PDC47"/>
      <c r="PDD47"/>
      <c r="PDE47"/>
      <c r="PDF47"/>
      <c r="PDG47"/>
      <c r="PDH47"/>
      <c r="PDI47"/>
      <c r="PDJ47"/>
      <c r="PDK47"/>
      <c r="PDL47"/>
      <c r="PDM47"/>
      <c r="PDN47"/>
      <c r="PDO47"/>
      <c r="PDP47"/>
      <c r="PDQ47"/>
      <c r="PDR47"/>
      <c r="PDS47"/>
      <c r="PDT47"/>
      <c r="PDU47"/>
      <c r="PDV47"/>
      <c r="PDW47"/>
      <c r="PDX47"/>
      <c r="PDY47"/>
      <c r="PDZ47"/>
      <c r="PEA47"/>
      <c r="PEB47"/>
      <c r="PEC47"/>
      <c r="PED47"/>
      <c r="PEE47"/>
      <c r="PEF47"/>
      <c r="PEG47"/>
      <c r="PEH47"/>
      <c r="PEI47"/>
      <c r="PEJ47"/>
      <c r="PEK47"/>
      <c r="PEL47"/>
      <c r="PEM47"/>
      <c r="PEN47"/>
      <c r="PEO47"/>
      <c r="PEP47"/>
      <c r="PEQ47"/>
      <c r="PER47"/>
      <c r="PES47"/>
      <c r="PET47"/>
      <c r="PEU47"/>
      <c r="PEV47"/>
      <c r="PEW47"/>
      <c r="PEX47"/>
      <c r="PEY47"/>
      <c r="PEZ47"/>
      <c r="PFA47"/>
      <c r="PFB47"/>
      <c r="PFC47"/>
      <c r="PFD47"/>
      <c r="PFE47"/>
      <c r="PFF47"/>
      <c r="PFG47"/>
      <c r="PFH47"/>
      <c r="PFI47"/>
      <c r="PFJ47"/>
      <c r="PFK47"/>
      <c r="PFL47"/>
      <c r="PFM47"/>
      <c r="PFN47"/>
      <c r="PFO47"/>
      <c r="PFP47"/>
      <c r="PFQ47"/>
      <c r="PFR47"/>
      <c r="PFS47"/>
      <c r="PFT47"/>
      <c r="PFU47"/>
      <c r="PFV47"/>
      <c r="PFW47"/>
      <c r="PFX47"/>
      <c r="PFY47"/>
      <c r="PFZ47"/>
      <c r="PGA47"/>
      <c r="PGB47"/>
      <c r="PGC47"/>
      <c r="PGD47"/>
      <c r="PGE47"/>
      <c r="PGF47"/>
      <c r="PGG47"/>
      <c r="PGH47"/>
      <c r="PGI47"/>
      <c r="PGJ47"/>
      <c r="PGK47"/>
      <c r="PGL47"/>
      <c r="PGM47"/>
      <c r="PGN47"/>
      <c r="PGO47"/>
      <c r="PGP47"/>
      <c r="PGQ47"/>
      <c r="PGR47"/>
      <c r="PGS47"/>
      <c r="PGT47"/>
      <c r="PGU47"/>
      <c r="PGV47"/>
      <c r="PGW47"/>
      <c r="PGX47"/>
      <c r="PGY47"/>
      <c r="PGZ47"/>
      <c r="PHA47"/>
      <c r="PHB47"/>
      <c r="PHC47"/>
      <c r="PHD47"/>
      <c r="PHE47"/>
      <c r="PHF47"/>
      <c r="PHG47"/>
      <c r="PHH47"/>
      <c r="PHI47"/>
      <c r="PHJ47"/>
      <c r="PHK47"/>
      <c r="PHL47"/>
      <c r="PHM47"/>
      <c r="PHN47"/>
      <c r="PHO47"/>
      <c r="PHP47"/>
      <c r="PHQ47"/>
      <c r="PHR47"/>
      <c r="PHS47"/>
      <c r="PHT47"/>
      <c r="PHU47"/>
      <c r="PHV47"/>
      <c r="PHW47"/>
      <c r="PHX47"/>
      <c r="PHY47"/>
      <c r="PHZ47"/>
      <c r="PIA47"/>
      <c r="PIB47"/>
      <c r="PIC47"/>
      <c r="PID47"/>
      <c r="PIE47"/>
      <c r="PIF47"/>
      <c r="PIG47"/>
      <c r="PIH47"/>
      <c r="PII47"/>
      <c r="PIJ47"/>
      <c r="PIK47"/>
      <c r="PIL47"/>
      <c r="PIM47"/>
      <c r="PIN47"/>
      <c r="PIO47"/>
      <c r="PIP47"/>
      <c r="PIQ47"/>
      <c r="PIR47"/>
      <c r="PIS47"/>
      <c r="PIT47"/>
      <c r="PIU47"/>
      <c r="PIV47"/>
      <c r="PIW47"/>
      <c r="PIX47"/>
      <c r="PIY47"/>
      <c r="PIZ47"/>
      <c r="PJA47"/>
      <c r="PJB47"/>
      <c r="PJC47"/>
      <c r="PJD47"/>
      <c r="PJE47"/>
      <c r="PJF47"/>
      <c r="PJG47"/>
      <c r="PJH47"/>
      <c r="PJI47"/>
      <c r="PJJ47"/>
      <c r="PJK47"/>
      <c r="PJL47"/>
      <c r="PJM47"/>
      <c r="PJN47"/>
      <c r="PJO47"/>
      <c r="PJP47"/>
      <c r="PJQ47"/>
      <c r="PJR47"/>
      <c r="PJS47"/>
      <c r="PJT47"/>
      <c r="PJU47"/>
      <c r="PJV47"/>
      <c r="PJW47"/>
      <c r="PJX47"/>
      <c r="PJY47"/>
      <c r="PJZ47"/>
      <c r="PKA47"/>
      <c r="PKB47"/>
      <c r="PKC47"/>
      <c r="PKD47"/>
      <c r="PKE47"/>
      <c r="PKF47"/>
      <c r="PKG47"/>
      <c r="PKH47"/>
      <c r="PKI47"/>
      <c r="PKJ47"/>
      <c r="PKK47"/>
      <c r="PKL47"/>
      <c r="PKM47"/>
      <c r="PKN47"/>
      <c r="PKO47"/>
      <c r="PKP47"/>
      <c r="PKQ47"/>
      <c r="PKR47"/>
      <c r="PKS47"/>
      <c r="PKT47"/>
      <c r="PKU47"/>
      <c r="PKV47"/>
      <c r="PKW47"/>
      <c r="PKX47"/>
      <c r="PKY47"/>
      <c r="PKZ47"/>
      <c r="PLA47"/>
      <c r="PLB47"/>
      <c r="PLC47"/>
      <c r="PLD47"/>
      <c r="PLE47"/>
      <c r="PLF47"/>
      <c r="PLG47"/>
      <c r="PLH47"/>
      <c r="PLI47"/>
      <c r="PLJ47"/>
      <c r="PLK47"/>
      <c r="PLL47"/>
      <c r="PLM47"/>
      <c r="PLN47"/>
      <c r="PLO47"/>
      <c r="PLP47"/>
      <c r="PLQ47"/>
      <c r="PLR47"/>
      <c r="PLS47"/>
      <c r="PLT47"/>
      <c r="PLU47"/>
      <c r="PLV47"/>
      <c r="PLW47"/>
      <c r="PLX47"/>
      <c r="PLY47"/>
      <c r="PLZ47"/>
      <c r="PMA47"/>
      <c r="PMB47"/>
      <c r="PMC47"/>
      <c r="PMD47"/>
      <c r="PME47"/>
      <c r="PMF47"/>
      <c r="PMG47"/>
      <c r="PMH47"/>
      <c r="PMI47"/>
      <c r="PMJ47"/>
      <c r="PMK47"/>
      <c r="PML47"/>
      <c r="PMM47"/>
      <c r="PMN47"/>
      <c r="PMO47"/>
      <c r="PMP47"/>
      <c r="PMQ47"/>
      <c r="PMR47"/>
      <c r="PMS47"/>
      <c r="PMT47"/>
      <c r="PMU47"/>
      <c r="PMV47"/>
      <c r="PMW47"/>
      <c r="PMX47"/>
      <c r="PMY47"/>
      <c r="PMZ47"/>
      <c r="PNA47"/>
      <c r="PNB47"/>
      <c r="PNC47"/>
      <c r="PND47"/>
      <c r="PNE47"/>
      <c r="PNF47"/>
      <c r="PNG47"/>
      <c r="PNH47"/>
      <c r="PNI47"/>
      <c r="PNJ47"/>
      <c r="PNK47"/>
      <c r="PNL47"/>
      <c r="PNM47"/>
      <c r="PNN47"/>
      <c r="PNO47"/>
      <c r="PNP47"/>
      <c r="PNQ47"/>
      <c r="PNR47"/>
      <c r="PNS47"/>
      <c r="PNT47"/>
      <c r="PNU47"/>
      <c r="PNV47"/>
      <c r="PNW47"/>
      <c r="PNX47"/>
      <c r="PNY47"/>
      <c r="PNZ47"/>
      <c r="POA47"/>
      <c r="POB47"/>
      <c r="POC47"/>
      <c r="POD47"/>
      <c r="POE47"/>
      <c r="POF47"/>
      <c r="POG47"/>
      <c r="POH47"/>
      <c r="POI47"/>
      <c r="POJ47"/>
      <c r="POK47"/>
      <c r="POL47"/>
      <c r="POM47"/>
      <c r="PON47"/>
      <c r="POO47"/>
      <c r="POP47"/>
      <c r="POQ47"/>
      <c r="POR47"/>
      <c r="POS47"/>
      <c r="POT47"/>
      <c r="POU47"/>
      <c r="POV47"/>
      <c r="POW47"/>
      <c r="POX47"/>
      <c r="POY47"/>
      <c r="POZ47"/>
      <c r="PPA47"/>
      <c r="PPB47"/>
      <c r="PPC47"/>
      <c r="PPD47"/>
      <c r="PPE47"/>
      <c r="PPF47"/>
      <c r="PPG47"/>
      <c r="PPH47"/>
      <c r="PPI47"/>
      <c r="PPJ47"/>
      <c r="PPK47"/>
      <c r="PPL47"/>
      <c r="PPM47"/>
      <c r="PPN47"/>
      <c r="PPO47"/>
      <c r="PPP47"/>
      <c r="PPQ47"/>
      <c r="PPR47"/>
      <c r="PPS47"/>
      <c r="PPT47"/>
      <c r="PPU47"/>
      <c r="PPV47"/>
      <c r="PPW47"/>
      <c r="PPX47"/>
      <c r="PPY47"/>
      <c r="PPZ47"/>
      <c r="PQA47"/>
      <c r="PQB47"/>
      <c r="PQC47"/>
      <c r="PQD47"/>
      <c r="PQE47"/>
      <c r="PQF47"/>
      <c r="PQG47"/>
      <c r="PQH47"/>
      <c r="PQI47"/>
      <c r="PQJ47"/>
      <c r="PQK47"/>
      <c r="PQL47"/>
      <c r="PQM47"/>
      <c r="PQN47"/>
      <c r="PQO47"/>
      <c r="PQP47"/>
      <c r="PQQ47"/>
      <c r="PQR47"/>
      <c r="PQS47"/>
      <c r="PQT47"/>
      <c r="PQU47"/>
      <c r="PQV47"/>
      <c r="PQW47"/>
      <c r="PQX47"/>
      <c r="PQY47"/>
      <c r="PQZ47"/>
      <c r="PRA47"/>
      <c r="PRB47"/>
      <c r="PRC47"/>
      <c r="PRD47"/>
      <c r="PRE47"/>
      <c r="PRF47"/>
      <c r="PRG47"/>
      <c r="PRH47"/>
      <c r="PRI47"/>
      <c r="PRJ47"/>
      <c r="PRK47"/>
      <c r="PRL47"/>
      <c r="PRM47"/>
      <c r="PRN47"/>
      <c r="PRO47"/>
      <c r="PRP47"/>
      <c r="PRQ47"/>
      <c r="PRR47"/>
      <c r="PRS47"/>
      <c r="PRT47"/>
      <c r="PRU47"/>
      <c r="PRV47"/>
      <c r="PRW47"/>
      <c r="PRX47"/>
      <c r="PRY47"/>
      <c r="PRZ47"/>
      <c r="PSA47"/>
      <c r="PSB47"/>
      <c r="PSC47"/>
      <c r="PSD47"/>
      <c r="PSE47"/>
      <c r="PSF47"/>
      <c r="PSG47"/>
      <c r="PSH47"/>
      <c r="PSI47"/>
      <c r="PSJ47"/>
      <c r="PSK47"/>
      <c r="PSL47"/>
      <c r="PSM47"/>
      <c r="PSN47"/>
      <c r="PSO47"/>
      <c r="PSP47"/>
      <c r="PSQ47"/>
      <c r="PSR47"/>
      <c r="PSS47"/>
      <c r="PST47"/>
      <c r="PSU47"/>
      <c r="PSV47"/>
      <c r="PSW47"/>
      <c r="PSX47"/>
      <c r="PSY47"/>
      <c r="PSZ47"/>
      <c r="PTA47"/>
      <c r="PTB47"/>
      <c r="PTC47"/>
      <c r="PTD47"/>
      <c r="PTE47"/>
      <c r="PTF47"/>
      <c r="PTG47"/>
      <c r="PTH47"/>
      <c r="PTI47"/>
      <c r="PTJ47"/>
      <c r="PTK47"/>
      <c r="PTL47"/>
      <c r="PTM47"/>
      <c r="PTN47"/>
      <c r="PTO47"/>
      <c r="PTP47"/>
      <c r="PTQ47"/>
      <c r="PTR47"/>
      <c r="PTS47"/>
      <c r="PTT47"/>
      <c r="PTU47"/>
      <c r="PTV47"/>
      <c r="PTW47"/>
      <c r="PTX47"/>
      <c r="PTY47"/>
      <c r="PTZ47"/>
      <c r="PUA47"/>
      <c r="PUB47"/>
      <c r="PUC47"/>
      <c r="PUD47"/>
      <c r="PUE47"/>
      <c r="PUF47"/>
      <c r="PUG47"/>
      <c r="PUH47"/>
      <c r="PUI47"/>
      <c r="PUJ47"/>
      <c r="PUK47"/>
      <c r="PUL47"/>
      <c r="PUM47"/>
      <c r="PUN47"/>
      <c r="PUO47"/>
      <c r="PUP47"/>
      <c r="PUQ47"/>
      <c r="PUR47"/>
      <c r="PUS47"/>
      <c r="PUT47"/>
      <c r="PUU47"/>
      <c r="PUV47"/>
      <c r="PUW47"/>
      <c r="PUX47"/>
      <c r="PUY47"/>
      <c r="PUZ47"/>
      <c r="PVA47"/>
      <c r="PVB47"/>
      <c r="PVC47"/>
      <c r="PVD47"/>
      <c r="PVE47"/>
      <c r="PVF47"/>
      <c r="PVG47"/>
      <c r="PVH47"/>
      <c r="PVI47"/>
      <c r="PVJ47"/>
      <c r="PVK47"/>
      <c r="PVL47"/>
      <c r="PVM47"/>
      <c r="PVN47"/>
      <c r="PVO47"/>
      <c r="PVP47"/>
      <c r="PVQ47"/>
      <c r="PVR47"/>
      <c r="PVS47"/>
      <c r="PVT47"/>
      <c r="PVU47"/>
      <c r="PVV47"/>
      <c r="PVW47"/>
      <c r="PVX47"/>
      <c r="PVY47"/>
      <c r="PVZ47"/>
      <c r="PWA47"/>
      <c r="PWB47"/>
      <c r="PWC47"/>
      <c r="PWD47"/>
      <c r="PWE47"/>
      <c r="PWF47"/>
      <c r="PWG47"/>
      <c r="PWH47"/>
      <c r="PWI47"/>
      <c r="PWJ47"/>
      <c r="PWK47"/>
      <c r="PWL47"/>
      <c r="PWM47"/>
      <c r="PWN47"/>
      <c r="PWO47"/>
      <c r="PWP47"/>
      <c r="PWQ47"/>
      <c r="PWR47"/>
      <c r="PWS47"/>
      <c r="PWT47"/>
      <c r="PWU47"/>
      <c r="PWV47"/>
      <c r="PWW47"/>
      <c r="PWX47"/>
      <c r="PWY47"/>
      <c r="PWZ47"/>
      <c r="PXA47"/>
      <c r="PXB47"/>
      <c r="PXC47"/>
      <c r="PXD47"/>
      <c r="PXE47"/>
      <c r="PXF47"/>
      <c r="PXG47"/>
      <c r="PXH47"/>
      <c r="PXI47"/>
      <c r="PXJ47"/>
      <c r="PXK47"/>
      <c r="PXL47"/>
      <c r="PXM47"/>
      <c r="PXN47"/>
      <c r="PXO47"/>
      <c r="PXP47"/>
      <c r="PXQ47"/>
      <c r="PXR47"/>
      <c r="PXS47"/>
      <c r="PXT47"/>
      <c r="PXU47"/>
      <c r="PXV47"/>
      <c r="PXW47"/>
      <c r="PXX47"/>
      <c r="PXY47"/>
      <c r="PXZ47"/>
      <c r="PYA47"/>
      <c r="PYB47"/>
      <c r="PYC47"/>
      <c r="PYD47"/>
      <c r="PYE47"/>
      <c r="PYF47"/>
      <c r="PYG47"/>
      <c r="PYH47"/>
      <c r="PYI47"/>
      <c r="PYJ47"/>
      <c r="PYK47"/>
      <c r="PYL47"/>
      <c r="PYM47"/>
      <c r="PYN47"/>
      <c r="PYO47"/>
      <c r="PYP47"/>
      <c r="PYQ47"/>
      <c r="PYR47"/>
      <c r="PYS47"/>
      <c r="PYT47"/>
      <c r="PYU47"/>
      <c r="PYV47"/>
      <c r="PYW47"/>
      <c r="PYX47"/>
      <c r="PYY47"/>
      <c r="PYZ47"/>
      <c r="PZA47"/>
      <c r="PZB47"/>
      <c r="PZC47"/>
      <c r="PZD47"/>
      <c r="PZE47"/>
      <c r="PZF47"/>
      <c r="PZG47"/>
      <c r="PZH47"/>
      <c r="PZI47"/>
      <c r="PZJ47"/>
      <c r="PZK47"/>
      <c r="PZL47"/>
      <c r="PZM47"/>
      <c r="PZN47"/>
      <c r="PZO47"/>
      <c r="PZP47"/>
      <c r="PZQ47"/>
      <c r="PZR47"/>
      <c r="PZS47"/>
      <c r="PZT47"/>
      <c r="PZU47"/>
      <c r="PZV47"/>
      <c r="PZW47"/>
      <c r="PZX47"/>
      <c r="PZY47"/>
      <c r="PZZ47"/>
      <c r="QAA47"/>
      <c r="QAB47"/>
      <c r="QAC47"/>
      <c r="QAD47"/>
      <c r="QAE47"/>
      <c r="QAF47"/>
      <c r="QAG47"/>
      <c r="QAH47"/>
      <c r="QAI47"/>
      <c r="QAJ47"/>
      <c r="QAK47"/>
      <c r="QAL47"/>
      <c r="QAM47"/>
      <c r="QAN47"/>
      <c r="QAO47"/>
      <c r="QAP47"/>
      <c r="QAQ47"/>
      <c r="QAR47"/>
      <c r="QAS47"/>
      <c r="QAT47"/>
      <c r="QAU47"/>
      <c r="QAV47"/>
      <c r="QAW47"/>
      <c r="QAX47"/>
      <c r="QAY47"/>
      <c r="QAZ47"/>
      <c r="QBA47"/>
      <c r="QBB47"/>
      <c r="QBC47"/>
      <c r="QBD47"/>
      <c r="QBE47"/>
      <c r="QBF47"/>
      <c r="QBG47"/>
      <c r="QBH47"/>
      <c r="QBI47"/>
      <c r="QBJ47"/>
      <c r="QBK47"/>
      <c r="QBL47"/>
      <c r="QBM47"/>
      <c r="QBN47"/>
      <c r="QBO47"/>
      <c r="QBP47"/>
      <c r="QBQ47"/>
      <c r="QBR47"/>
      <c r="QBS47"/>
      <c r="QBT47"/>
      <c r="QBU47"/>
      <c r="QBV47"/>
      <c r="QBW47"/>
      <c r="QBX47"/>
      <c r="QBY47"/>
      <c r="QBZ47"/>
      <c r="QCA47"/>
      <c r="QCB47"/>
      <c r="QCC47"/>
      <c r="QCD47"/>
      <c r="QCE47"/>
      <c r="QCF47"/>
      <c r="QCG47"/>
      <c r="QCH47"/>
      <c r="QCI47"/>
      <c r="QCJ47"/>
      <c r="QCK47"/>
      <c r="QCL47"/>
      <c r="QCM47"/>
      <c r="QCN47"/>
      <c r="QCO47"/>
      <c r="QCP47"/>
      <c r="QCQ47"/>
      <c r="QCR47"/>
      <c r="QCS47"/>
      <c r="QCT47"/>
      <c r="QCU47"/>
      <c r="QCV47"/>
      <c r="QCW47"/>
      <c r="QCX47"/>
      <c r="QCY47"/>
      <c r="QCZ47"/>
      <c r="QDA47"/>
      <c r="QDB47"/>
      <c r="QDC47"/>
      <c r="QDD47"/>
      <c r="QDE47"/>
      <c r="QDF47"/>
      <c r="QDG47"/>
      <c r="QDH47"/>
      <c r="QDI47"/>
      <c r="QDJ47"/>
      <c r="QDK47"/>
      <c r="QDL47"/>
      <c r="QDM47"/>
      <c r="QDN47"/>
      <c r="QDO47"/>
      <c r="QDP47"/>
      <c r="QDQ47"/>
      <c r="QDR47"/>
      <c r="QDS47"/>
      <c r="QDT47"/>
      <c r="QDU47"/>
      <c r="QDV47"/>
      <c r="QDW47"/>
      <c r="QDX47"/>
      <c r="QDY47"/>
      <c r="QDZ47"/>
      <c r="QEA47"/>
      <c r="QEB47"/>
      <c r="QEC47"/>
      <c r="QED47"/>
      <c r="QEE47"/>
      <c r="QEF47"/>
      <c r="QEG47"/>
      <c r="QEH47"/>
      <c r="QEI47"/>
      <c r="QEJ47"/>
      <c r="QEK47"/>
      <c r="QEL47"/>
      <c r="QEM47"/>
      <c r="QEN47"/>
      <c r="QEO47"/>
      <c r="QEP47"/>
      <c r="QEQ47"/>
      <c r="QER47"/>
      <c r="QES47"/>
      <c r="QET47"/>
      <c r="QEU47"/>
      <c r="QEV47"/>
      <c r="QEW47"/>
      <c r="QEX47"/>
      <c r="QEY47"/>
      <c r="QEZ47"/>
      <c r="QFA47"/>
      <c r="QFB47"/>
      <c r="QFC47"/>
      <c r="QFD47"/>
      <c r="QFE47"/>
      <c r="QFF47"/>
      <c r="QFG47"/>
      <c r="QFH47"/>
      <c r="QFI47"/>
      <c r="QFJ47"/>
      <c r="QFK47"/>
      <c r="QFL47"/>
      <c r="QFM47"/>
      <c r="QFN47"/>
      <c r="QFO47"/>
      <c r="QFP47"/>
      <c r="QFQ47"/>
      <c r="QFR47"/>
      <c r="QFS47"/>
      <c r="QFT47"/>
      <c r="QFU47"/>
      <c r="QFV47"/>
      <c r="QFW47"/>
      <c r="QFX47"/>
      <c r="QFY47"/>
      <c r="QFZ47"/>
      <c r="QGA47"/>
      <c r="QGB47"/>
      <c r="QGC47"/>
      <c r="QGD47"/>
      <c r="QGE47"/>
      <c r="QGF47"/>
      <c r="QGG47"/>
      <c r="QGH47"/>
      <c r="QGI47"/>
      <c r="QGJ47"/>
      <c r="QGK47"/>
      <c r="QGL47"/>
      <c r="QGM47"/>
      <c r="QGN47"/>
      <c r="QGO47"/>
      <c r="QGP47"/>
      <c r="QGQ47"/>
      <c r="QGR47"/>
      <c r="QGS47"/>
      <c r="QGT47"/>
      <c r="QGU47"/>
      <c r="QGV47"/>
      <c r="QGW47"/>
      <c r="QGX47"/>
      <c r="QGY47"/>
      <c r="QGZ47"/>
      <c r="QHA47"/>
      <c r="QHB47"/>
      <c r="QHC47"/>
      <c r="QHD47"/>
      <c r="QHE47"/>
      <c r="QHF47"/>
      <c r="QHG47"/>
      <c r="QHH47"/>
      <c r="QHI47"/>
      <c r="QHJ47"/>
      <c r="QHK47"/>
      <c r="QHL47"/>
      <c r="QHM47"/>
      <c r="QHN47"/>
      <c r="QHO47"/>
      <c r="QHP47"/>
      <c r="QHQ47"/>
      <c r="QHR47"/>
      <c r="QHS47"/>
      <c r="QHT47"/>
      <c r="QHU47"/>
      <c r="QHV47"/>
      <c r="QHW47"/>
      <c r="QHX47"/>
      <c r="QHY47"/>
      <c r="QHZ47"/>
      <c r="QIA47"/>
      <c r="QIB47"/>
      <c r="QIC47"/>
      <c r="QID47"/>
      <c r="QIE47"/>
      <c r="QIF47"/>
      <c r="QIG47"/>
      <c r="QIH47"/>
      <c r="QII47"/>
      <c r="QIJ47"/>
      <c r="QIK47"/>
      <c r="QIL47"/>
      <c r="QIM47"/>
      <c r="QIN47"/>
      <c r="QIO47"/>
      <c r="QIP47"/>
      <c r="QIQ47"/>
      <c r="QIR47"/>
      <c r="QIS47"/>
      <c r="QIT47"/>
      <c r="QIU47"/>
      <c r="QIV47"/>
      <c r="QIW47"/>
      <c r="QIX47"/>
      <c r="QIY47"/>
      <c r="QIZ47"/>
      <c r="QJA47"/>
      <c r="QJB47"/>
      <c r="QJC47"/>
      <c r="QJD47"/>
      <c r="QJE47"/>
      <c r="QJF47"/>
      <c r="QJG47"/>
      <c r="QJH47"/>
      <c r="QJI47"/>
      <c r="QJJ47"/>
      <c r="QJK47"/>
      <c r="QJL47"/>
      <c r="QJM47"/>
      <c r="QJN47"/>
      <c r="QJO47"/>
      <c r="QJP47"/>
      <c r="QJQ47"/>
      <c r="QJR47"/>
      <c r="QJS47"/>
      <c r="QJT47"/>
      <c r="QJU47"/>
      <c r="QJV47"/>
      <c r="QJW47"/>
      <c r="QJX47"/>
      <c r="QJY47"/>
      <c r="QJZ47"/>
      <c r="QKA47"/>
      <c r="QKB47"/>
      <c r="QKC47"/>
      <c r="QKD47"/>
      <c r="QKE47"/>
      <c r="QKF47"/>
      <c r="QKG47"/>
      <c r="QKH47"/>
      <c r="QKI47"/>
      <c r="QKJ47"/>
      <c r="QKK47"/>
      <c r="QKL47"/>
      <c r="QKM47"/>
      <c r="QKN47"/>
      <c r="QKO47"/>
      <c r="QKP47"/>
      <c r="QKQ47"/>
      <c r="QKR47"/>
      <c r="QKS47"/>
      <c r="QKT47"/>
      <c r="QKU47"/>
      <c r="QKV47"/>
      <c r="QKW47"/>
      <c r="QKX47"/>
      <c r="QKY47"/>
      <c r="QKZ47"/>
      <c r="QLA47"/>
      <c r="QLB47"/>
      <c r="QLC47"/>
      <c r="QLD47"/>
      <c r="QLE47"/>
      <c r="QLF47"/>
      <c r="QLG47"/>
      <c r="QLH47"/>
      <c r="QLI47"/>
      <c r="QLJ47"/>
      <c r="QLK47"/>
      <c r="QLL47"/>
      <c r="QLM47"/>
      <c r="QLN47"/>
      <c r="QLO47"/>
      <c r="QLP47"/>
      <c r="QLQ47"/>
      <c r="QLR47"/>
      <c r="QLS47"/>
      <c r="QLT47"/>
      <c r="QLU47"/>
      <c r="QLV47"/>
      <c r="QLW47"/>
      <c r="QLX47"/>
      <c r="QLY47"/>
      <c r="QLZ47"/>
      <c r="QMA47"/>
      <c r="QMB47"/>
      <c r="QMC47"/>
      <c r="QMD47"/>
      <c r="QME47"/>
      <c r="QMF47"/>
      <c r="QMG47"/>
      <c r="QMH47"/>
      <c r="QMI47"/>
      <c r="QMJ47"/>
      <c r="QMK47"/>
      <c r="QML47"/>
      <c r="QMM47"/>
      <c r="QMN47"/>
      <c r="QMO47"/>
      <c r="QMP47"/>
      <c r="QMQ47"/>
      <c r="QMR47"/>
      <c r="QMS47"/>
      <c r="QMT47"/>
      <c r="QMU47"/>
      <c r="QMV47"/>
      <c r="QMW47"/>
      <c r="QMX47"/>
      <c r="QMY47"/>
      <c r="QMZ47"/>
      <c r="QNA47"/>
      <c r="QNB47"/>
      <c r="QNC47"/>
      <c r="QND47"/>
      <c r="QNE47"/>
      <c r="QNF47"/>
      <c r="QNG47"/>
      <c r="QNH47"/>
      <c r="QNI47"/>
      <c r="QNJ47"/>
      <c r="QNK47"/>
      <c r="QNL47"/>
      <c r="QNM47"/>
      <c r="QNN47"/>
      <c r="QNO47"/>
      <c r="QNP47"/>
      <c r="QNQ47"/>
      <c r="QNR47"/>
      <c r="QNS47"/>
      <c r="QNT47"/>
      <c r="QNU47"/>
      <c r="QNV47"/>
      <c r="QNW47"/>
      <c r="QNX47"/>
      <c r="QNY47"/>
      <c r="QNZ47"/>
      <c r="QOA47"/>
      <c r="QOB47"/>
      <c r="QOC47"/>
      <c r="QOD47"/>
      <c r="QOE47"/>
      <c r="QOF47"/>
      <c r="QOG47"/>
      <c r="QOH47"/>
      <c r="QOI47"/>
      <c r="QOJ47"/>
      <c r="QOK47"/>
      <c r="QOL47"/>
      <c r="QOM47"/>
      <c r="QON47"/>
      <c r="QOO47"/>
      <c r="QOP47"/>
      <c r="QOQ47"/>
      <c r="QOR47"/>
      <c r="QOS47"/>
      <c r="QOT47"/>
      <c r="QOU47"/>
      <c r="QOV47"/>
      <c r="QOW47"/>
      <c r="QOX47"/>
      <c r="QOY47"/>
      <c r="QOZ47"/>
      <c r="QPA47"/>
      <c r="QPB47"/>
      <c r="QPC47"/>
      <c r="QPD47"/>
      <c r="QPE47"/>
      <c r="QPF47"/>
      <c r="QPG47"/>
      <c r="QPH47"/>
      <c r="QPI47"/>
      <c r="QPJ47"/>
      <c r="QPK47"/>
      <c r="QPL47"/>
      <c r="QPM47"/>
      <c r="QPN47"/>
      <c r="QPO47"/>
      <c r="QPP47"/>
      <c r="QPQ47"/>
      <c r="QPR47"/>
      <c r="QPS47"/>
      <c r="QPT47"/>
      <c r="QPU47"/>
      <c r="QPV47"/>
      <c r="QPW47"/>
      <c r="QPX47"/>
      <c r="QPY47"/>
      <c r="QPZ47"/>
      <c r="QQA47"/>
      <c r="QQB47"/>
      <c r="QQC47"/>
      <c r="QQD47"/>
      <c r="QQE47"/>
      <c r="QQF47"/>
      <c r="QQG47"/>
      <c r="QQH47"/>
      <c r="QQI47"/>
      <c r="QQJ47"/>
      <c r="QQK47"/>
      <c r="QQL47"/>
      <c r="QQM47"/>
      <c r="QQN47"/>
      <c r="QQO47"/>
      <c r="QQP47"/>
      <c r="QQQ47"/>
      <c r="QQR47"/>
      <c r="QQS47"/>
      <c r="QQT47"/>
      <c r="QQU47"/>
      <c r="QQV47"/>
      <c r="QQW47"/>
      <c r="QQX47"/>
      <c r="QQY47"/>
      <c r="QQZ47"/>
      <c r="QRA47"/>
      <c r="QRB47"/>
      <c r="QRC47"/>
      <c r="QRD47"/>
      <c r="QRE47"/>
      <c r="QRF47"/>
      <c r="QRG47"/>
      <c r="QRH47"/>
      <c r="QRI47"/>
      <c r="QRJ47"/>
      <c r="QRK47"/>
      <c r="QRL47"/>
      <c r="QRM47"/>
      <c r="QRN47"/>
      <c r="QRO47"/>
      <c r="QRP47"/>
      <c r="QRQ47"/>
      <c r="QRR47"/>
      <c r="QRS47"/>
      <c r="QRT47"/>
      <c r="QRU47"/>
      <c r="QRV47"/>
      <c r="QRW47"/>
      <c r="QRX47"/>
      <c r="QRY47"/>
      <c r="QRZ47"/>
      <c r="QSA47"/>
      <c r="QSB47"/>
      <c r="QSC47"/>
      <c r="QSD47"/>
      <c r="QSE47"/>
      <c r="QSF47"/>
      <c r="QSG47"/>
      <c r="QSH47"/>
      <c r="QSI47"/>
      <c r="QSJ47"/>
      <c r="QSK47"/>
      <c r="QSL47"/>
      <c r="QSM47"/>
      <c r="QSN47"/>
      <c r="QSO47"/>
      <c r="QSP47"/>
      <c r="QSQ47"/>
      <c r="QSR47"/>
      <c r="QSS47"/>
      <c r="QST47"/>
      <c r="QSU47"/>
      <c r="QSV47"/>
      <c r="QSW47"/>
      <c r="QSX47"/>
      <c r="QSY47"/>
      <c r="QSZ47"/>
      <c r="QTA47"/>
      <c r="QTB47"/>
      <c r="QTC47"/>
      <c r="QTD47"/>
      <c r="QTE47"/>
      <c r="QTF47"/>
      <c r="QTG47"/>
      <c r="QTH47"/>
      <c r="QTI47"/>
      <c r="QTJ47"/>
      <c r="QTK47"/>
      <c r="QTL47"/>
      <c r="QTM47"/>
      <c r="QTN47"/>
      <c r="QTO47"/>
      <c r="QTP47"/>
      <c r="QTQ47"/>
      <c r="QTR47"/>
      <c r="QTS47"/>
      <c r="QTT47"/>
      <c r="QTU47"/>
      <c r="QTV47"/>
      <c r="QTW47"/>
      <c r="QTX47"/>
      <c r="QTY47"/>
      <c r="QTZ47"/>
      <c r="QUA47"/>
      <c r="QUB47"/>
      <c r="QUC47"/>
      <c r="QUD47"/>
      <c r="QUE47"/>
      <c r="QUF47"/>
      <c r="QUG47"/>
      <c r="QUH47"/>
      <c r="QUI47"/>
      <c r="QUJ47"/>
      <c r="QUK47"/>
      <c r="QUL47"/>
      <c r="QUM47"/>
      <c r="QUN47"/>
      <c r="QUO47"/>
      <c r="QUP47"/>
      <c r="QUQ47"/>
      <c r="QUR47"/>
      <c r="QUS47"/>
      <c r="QUT47"/>
      <c r="QUU47"/>
      <c r="QUV47"/>
      <c r="QUW47"/>
      <c r="QUX47"/>
      <c r="QUY47"/>
      <c r="QUZ47"/>
      <c r="QVA47"/>
      <c r="QVB47"/>
      <c r="QVC47"/>
      <c r="QVD47"/>
      <c r="QVE47"/>
      <c r="QVF47"/>
      <c r="QVG47"/>
      <c r="QVH47"/>
      <c r="QVI47"/>
      <c r="QVJ47"/>
      <c r="QVK47"/>
      <c r="QVL47"/>
      <c r="QVM47"/>
      <c r="QVN47"/>
      <c r="QVO47"/>
      <c r="QVP47"/>
      <c r="QVQ47"/>
      <c r="QVR47"/>
      <c r="QVS47"/>
      <c r="QVT47"/>
      <c r="QVU47"/>
      <c r="QVV47"/>
      <c r="QVW47"/>
      <c r="QVX47"/>
      <c r="QVY47"/>
      <c r="QVZ47"/>
      <c r="QWA47"/>
      <c r="QWB47"/>
      <c r="QWC47"/>
      <c r="QWD47"/>
      <c r="QWE47"/>
      <c r="QWF47"/>
      <c r="QWG47"/>
      <c r="QWH47"/>
      <c r="QWI47"/>
      <c r="QWJ47"/>
      <c r="QWK47"/>
      <c r="QWL47"/>
      <c r="QWM47"/>
      <c r="QWN47"/>
      <c r="QWO47"/>
      <c r="QWP47"/>
      <c r="QWQ47"/>
      <c r="QWR47"/>
      <c r="QWS47"/>
      <c r="QWT47"/>
      <c r="QWU47"/>
      <c r="QWV47"/>
      <c r="QWW47"/>
      <c r="QWX47"/>
      <c r="QWY47"/>
      <c r="QWZ47"/>
      <c r="QXA47"/>
      <c r="QXB47"/>
      <c r="QXC47"/>
      <c r="QXD47"/>
      <c r="QXE47"/>
      <c r="QXF47"/>
      <c r="QXG47"/>
      <c r="QXH47"/>
      <c r="QXI47"/>
      <c r="QXJ47"/>
      <c r="QXK47"/>
      <c r="QXL47"/>
      <c r="QXM47"/>
      <c r="QXN47"/>
      <c r="QXO47"/>
      <c r="QXP47"/>
      <c r="QXQ47"/>
      <c r="QXR47"/>
      <c r="QXS47"/>
      <c r="QXT47"/>
      <c r="QXU47"/>
      <c r="QXV47"/>
      <c r="QXW47"/>
      <c r="QXX47"/>
      <c r="QXY47"/>
      <c r="QXZ47"/>
      <c r="QYA47"/>
      <c r="QYB47"/>
      <c r="QYC47"/>
      <c r="QYD47"/>
      <c r="QYE47"/>
      <c r="QYF47"/>
      <c r="QYG47"/>
      <c r="QYH47"/>
      <c r="QYI47"/>
      <c r="QYJ47"/>
      <c r="QYK47"/>
      <c r="QYL47"/>
      <c r="QYM47"/>
      <c r="QYN47"/>
      <c r="QYO47"/>
      <c r="QYP47"/>
      <c r="QYQ47"/>
      <c r="QYR47"/>
      <c r="QYS47"/>
      <c r="QYT47"/>
      <c r="QYU47"/>
      <c r="QYV47"/>
      <c r="QYW47"/>
      <c r="QYX47"/>
      <c r="QYY47"/>
      <c r="QYZ47"/>
      <c r="QZA47"/>
      <c r="QZB47"/>
      <c r="QZC47"/>
      <c r="QZD47"/>
      <c r="QZE47"/>
      <c r="QZF47"/>
      <c r="QZG47"/>
      <c r="QZH47"/>
      <c r="QZI47"/>
      <c r="QZJ47"/>
      <c r="QZK47"/>
      <c r="QZL47"/>
      <c r="QZM47"/>
      <c r="QZN47"/>
      <c r="QZO47"/>
      <c r="QZP47"/>
      <c r="QZQ47"/>
      <c r="QZR47"/>
      <c r="QZS47"/>
      <c r="QZT47"/>
      <c r="QZU47"/>
      <c r="QZV47"/>
      <c r="QZW47"/>
      <c r="QZX47"/>
      <c r="QZY47"/>
      <c r="QZZ47"/>
      <c r="RAA47"/>
      <c r="RAB47"/>
      <c r="RAC47"/>
      <c r="RAD47"/>
      <c r="RAE47"/>
      <c r="RAF47"/>
      <c r="RAG47"/>
      <c r="RAH47"/>
      <c r="RAI47"/>
      <c r="RAJ47"/>
      <c r="RAK47"/>
      <c r="RAL47"/>
      <c r="RAM47"/>
      <c r="RAN47"/>
      <c r="RAO47"/>
      <c r="RAP47"/>
      <c r="RAQ47"/>
      <c r="RAR47"/>
      <c r="RAS47"/>
      <c r="RAT47"/>
      <c r="RAU47"/>
      <c r="RAV47"/>
      <c r="RAW47"/>
      <c r="RAX47"/>
      <c r="RAY47"/>
      <c r="RAZ47"/>
      <c r="RBA47"/>
      <c r="RBB47"/>
      <c r="RBC47"/>
      <c r="RBD47"/>
      <c r="RBE47"/>
      <c r="RBF47"/>
      <c r="RBG47"/>
      <c r="RBH47"/>
      <c r="RBI47"/>
      <c r="RBJ47"/>
      <c r="RBK47"/>
      <c r="RBL47"/>
      <c r="RBM47"/>
      <c r="RBN47"/>
      <c r="RBO47"/>
      <c r="RBP47"/>
      <c r="RBQ47"/>
      <c r="RBR47"/>
      <c r="RBS47"/>
      <c r="RBT47"/>
      <c r="RBU47"/>
      <c r="RBV47"/>
      <c r="RBW47"/>
      <c r="RBX47"/>
      <c r="RBY47"/>
      <c r="RBZ47"/>
      <c r="RCA47"/>
      <c r="RCB47"/>
      <c r="RCC47"/>
      <c r="RCD47"/>
      <c r="RCE47"/>
      <c r="RCF47"/>
      <c r="RCG47"/>
      <c r="RCH47"/>
      <c r="RCI47"/>
      <c r="RCJ47"/>
      <c r="RCK47"/>
      <c r="RCL47"/>
      <c r="RCM47"/>
      <c r="RCN47"/>
      <c r="RCO47"/>
      <c r="RCP47"/>
      <c r="RCQ47"/>
      <c r="RCR47"/>
      <c r="RCS47"/>
      <c r="RCT47"/>
      <c r="RCU47"/>
      <c r="RCV47"/>
      <c r="RCW47"/>
      <c r="RCX47"/>
      <c r="RCY47"/>
      <c r="RCZ47"/>
      <c r="RDA47"/>
      <c r="RDB47"/>
      <c r="RDC47"/>
      <c r="RDD47"/>
      <c r="RDE47"/>
      <c r="RDF47"/>
      <c r="RDG47"/>
      <c r="RDH47"/>
      <c r="RDI47"/>
      <c r="RDJ47"/>
      <c r="RDK47"/>
      <c r="RDL47"/>
      <c r="RDM47"/>
      <c r="RDN47"/>
      <c r="RDO47"/>
      <c r="RDP47"/>
      <c r="RDQ47"/>
      <c r="RDR47"/>
      <c r="RDS47"/>
      <c r="RDT47"/>
      <c r="RDU47"/>
      <c r="RDV47"/>
      <c r="RDW47"/>
      <c r="RDX47"/>
      <c r="RDY47"/>
      <c r="RDZ47"/>
      <c r="REA47"/>
      <c r="REB47"/>
      <c r="REC47"/>
      <c r="RED47"/>
      <c r="REE47"/>
      <c r="REF47"/>
      <c r="REG47"/>
      <c r="REH47"/>
      <c r="REI47"/>
      <c r="REJ47"/>
      <c r="REK47"/>
      <c r="REL47"/>
      <c r="REM47"/>
      <c r="REN47"/>
      <c r="REO47"/>
      <c r="REP47"/>
      <c r="REQ47"/>
      <c r="RER47"/>
      <c r="RES47"/>
      <c r="RET47"/>
      <c r="REU47"/>
      <c r="REV47"/>
      <c r="REW47"/>
      <c r="REX47"/>
      <c r="REY47"/>
      <c r="REZ47"/>
      <c r="RFA47"/>
      <c r="RFB47"/>
      <c r="RFC47"/>
      <c r="RFD47"/>
      <c r="RFE47"/>
      <c r="RFF47"/>
      <c r="RFG47"/>
      <c r="RFH47"/>
      <c r="RFI47"/>
      <c r="RFJ47"/>
      <c r="RFK47"/>
      <c r="RFL47"/>
      <c r="RFM47"/>
      <c r="RFN47"/>
      <c r="RFO47"/>
      <c r="RFP47"/>
      <c r="RFQ47"/>
      <c r="RFR47"/>
      <c r="RFS47"/>
      <c r="RFT47"/>
      <c r="RFU47"/>
      <c r="RFV47"/>
      <c r="RFW47"/>
      <c r="RFX47"/>
      <c r="RFY47"/>
      <c r="RFZ47"/>
      <c r="RGA47"/>
      <c r="RGB47"/>
      <c r="RGC47"/>
      <c r="RGD47"/>
      <c r="RGE47"/>
      <c r="RGF47"/>
      <c r="RGG47"/>
      <c r="RGH47"/>
      <c r="RGI47"/>
      <c r="RGJ47"/>
      <c r="RGK47"/>
      <c r="RGL47"/>
      <c r="RGM47"/>
      <c r="RGN47"/>
      <c r="RGO47"/>
      <c r="RGP47"/>
      <c r="RGQ47"/>
      <c r="RGR47"/>
      <c r="RGS47"/>
      <c r="RGT47"/>
      <c r="RGU47"/>
      <c r="RGV47"/>
      <c r="RGW47"/>
      <c r="RGX47"/>
      <c r="RGY47"/>
      <c r="RGZ47"/>
      <c r="RHA47"/>
      <c r="RHB47"/>
      <c r="RHC47"/>
      <c r="RHD47"/>
      <c r="RHE47"/>
      <c r="RHF47"/>
      <c r="RHG47"/>
      <c r="RHH47"/>
      <c r="RHI47"/>
      <c r="RHJ47"/>
      <c r="RHK47"/>
      <c r="RHL47"/>
      <c r="RHM47"/>
      <c r="RHN47"/>
      <c r="RHO47"/>
      <c r="RHP47"/>
      <c r="RHQ47"/>
      <c r="RHR47"/>
      <c r="RHS47"/>
      <c r="RHT47"/>
      <c r="RHU47"/>
      <c r="RHV47"/>
      <c r="RHW47"/>
      <c r="RHX47"/>
      <c r="RHY47"/>
      <c r="RHZ47"/>
      <c r="RIA47"/>
      <c r="RIB47"/>
      <c r="RIC47"/>
      <c r="RID47"/>
      <c r="RIE47"/>
      <c r="RIF47"/>
      <c r="RIG47"/>
      <c r="RIH47"/>
      <c r="RII47"/>
      <c r="RIJ47"/>
      <c r="RIK47"/>
      <c r="RIL47"/>
      <c r="RIM47"/>
      <c r="RIN47"/>
      <c r="RIO47"/>
      <c r="RIP47"/>
      <c r="RIQ47"/>
      <c r="RIR47"/>
      <c r="RIS47"/>
      <c r="RIT47"/>
      <c r="RIU47"/>
      <c r="RIV47"/>
      <c r="RIW47"/>
      <c r="RIX47"/>
      <c r="RIY47"/>
      <c r="RIZ47"/>
      <c r="RJA47"/>
      <c r="RJB47"/>
      <c r="RJC47"/>
      <c r="RJD47"/>
      <c r="RJE47"/>
      <c r="RJF47"/>
      <c r="RJG47"/>
      <c r="RJH47"/>
      <c r="RJI47"/>
      <c r="RJJ47"/>
      <c r="RJK47"/>
      <c r="RJL47"/>
      <c r="RJM47"/>
      <c r="RJN47"/>
      <c r="RJO47"/>
      <c r="RJP47"/>
      <c r="RJQ47"/>
      <c r="RJR47"/>
      <c r="RJS47"/>
      <c r="RJT47"/>
      <c r="RJU47"/>
      <c r="RJV47"/>
      <c r="RJW47"/>
      <c r="RJX47"/>
      <c r="RJY47"/>
      <c r="RJZ47"/>
      <c r="RKA47"/>
      <c r="RKB47"/>
      <c r="RKC47"/>
      <c r="RKD47"/>
      <c r="RKE47"/>
      <c r="RKF47"/>
      <c r="RKG47"/>
      <c r="RKH47"/>
      <c r="RKI47"/>
      <c r="RKJ47"/>
      <c r="RKK47"/>
      <c r="RKL47"/>
      <c r="RKM47"/>
      <c r="RKN47"/>
      <c r="RKO47"/>
      <c r="RKP47"/>
      <c r="RKQ47"/>
      <c r="RKR47"/>
      <c r="RKS47"/>
      <c r="RKT47"/>
      <c r="RKU47"/>
      <c r="RKV47"/>
      <c r="RKW47"/>
      <c r="RKX47"/>
      <c r="RKY47"/>
      <c r="RKZ47"/>
      <c r="RLA47"/>
      <c r="RLB47"/>
      <c r="RLC47"/>
      <c r="RLD47"/>
      <c r="RLE47"/>
      <c r="RLF47"/>
      <c r="RLG47"/>
      <c r="RLH47"/>
      <c r="RLI47"/>
      <c r="RLJ47"/>
      <c r="RLK47"/>
      <c r="RLL47"/>
      <c r="RLM47"/>
      <c r="RLN47"/>
      <c r="RLO47"/>
      <c r="RLP47"/>
      <c r="RLQ47"/>
      <c r="RLR47"/>
      <c r="RLS47"/>
      <c r="RLT47"/>
      <c r="RLU47"/>
      <c r="RLV47"/>
      <c r="RLW47"/>
      <c r="RLX47"/>
      <c r="RLY47"/>
      <c r="RLZ47"/>
      <c r="RMA47"/>
      <c r="RMB47"/>
      <c r="RMC47"/>
      <c r="RMD47"/>
      <c r="RME47"/>
      <c r="RMF47"/>
      <c r="RMG47"/>
      <c r="RMH47"/>
      <c r="RMI47"/>
      <c r="RMJ47"/>
      <c r="RMK47"/>
      <c r="RML47"/>
      <c r="RMM47"/>
      <c r="RMN47"/>
      <c r="RMO47"/>
      <c r="RMP47"/>
      <c r="RMQ47"/>
      <c r="RMR47"/>
      <c r="RMS47"/>
      <c r="RMT47"/>
      <c r="RMU47"/>
      <c r="RMV47"/>
      <c r="RMW47"/>
      <c r="RMX47"/>
      <c r="RMY47"/>
      <c r="RMZ47"/>
      <c r="RNA47"/>
      <c r="RNB47"/>
      <c r="RNC47"/>
      <c r="RND47"/>
      <c r="RNE47"/>
      <c r="RNF47"/>
      <c r="RNG47"/>
      <c r="RNH47"/>
      <c r="RNI47"/>
      <c r="RNJ47"/>
      <c r="RNK47"/>
      <c r="RNL47"/>
      <c r="RNM47"/>
      <c r="RNN47"/>
      <c r="RNO47"/>
      <c r="RNP47"/>
      <c r="RNQ47"/>
      <c r="RNR47"/>
      <c r="RNS47"/>
      <c r="RNT47"/>
      <c r="RNU47"/>
      <c r="RNV47"/>
      <c r="RNW47"/>
      <c r="RNX47"/>
      <c r="RNY47"/>
      <c r="RNZ47"/>
      <c r="ROA47"/>
      <c r="ROB47"/>
      <c r="ROC47"/>
      <c r="ROD47"/>
      <c r="ROE47"/>
      <c r="ROF47"/>
      <c r="ROG47"/>
      <c r="ROH47"/>
      <c r="ROI47"/>
      <c r="ROJ47"/>
      <c r="ROK47"/>
      <c r="ROL47"/>
      <c r="ROM47"/>
      <c r="RON47"/>
      <c r="ROO47"/>
      <c r="ROP47"/>
      <c r="ROQ47"/>
      <c r="ROR47"/>
      <c r="ROS47"/>
      <c r="ROT47"/>
      <c r="ROU47"/>
      <c r="ROV47"/>
      <c r="ROW47"/>
      <c r="ROX47"/>
      <c r="ROY47"/>
      <c r="ROZ47"/>
      <c r="RPA47"/>
      <c r="RPB47"/>
      <c r="RPC47"/>
      <c r="RPD47"/>
      <c r="RPE47"/>
      <c r="RPF47"/>
      <c r="RPG47"/>
      <c r="RPH47"/>
      <c r="RPI47"/>
      <c r="RPJ47"/>
      <c r="RPK47"/>
      <c r="RPL47"/>
      <c r="RPM47"/>
      <c r="RPN47"/>
      <c r="RPO47"/>
      <c r="RPP47"/>
      <c r="RPQ47"/>
      <c r="RPR47"/>
      <c r="RPS47"/>
      <c r="RPT47"/>
      <c r="RPU47"/>
      <c r="RPV47"/>
      <c r="RPW47"/>
      <c r="RPX47"/>
      <c r="RPY47"/>
      <c r="RPZ47"/>
      <c r="RQA47"/>
      <c r="RQB47"/>
      <c r="RQC47"/>
      <c r="RQD47"/>
      <c r="RQE47"/>
      <c r="RQF47"/>
      <c r="RQG47"/>
      <c r="RQH47"/>
      <c r="RQI47"/>
      <c r="RQJ47"/>
      <c r="RQK47"/>
      <c r="RQL47"/>
      <c r="RQM47"/>
      <c r="RQN47"/>
      <c r="RQO47"/>
      <c r="RQP47"/>
      <c r="RQQ47"/>
      <c r="RQR47"/>
      <c r="RQS47"/>
      <c r="RQT47"/>
      <c r="RQU47"/>
      <c r="RQV47"/>
      <c r="RQW47"/>
      <c r="RQX47"/>
      <c r="RQY47"/>
      <c r="RQZ47"/>
      <c r="RRA47"/>
      <c r="RRB47"/>
      <c r="RRC47"/>
      <c r="RRD47"/>
      <c r="RRE47"/>
      <c r="RRF47"/>
      <c r="RRG47"/>
      <c r="RRH47"/>
      <c r="RRI47"/>
      <c r="RRJ47"/>
      <c r="RRK47"/>
      <c r="RRL47"/>
      <c r="RRM47"/>
      <c r="RRN47"/>
      <c r="RRO47"/>
      <c r="RRP47"/>
      <c r="RRQ47"/>
      <c r="RRR47"/>
      <c r="RRS47"/>
      <c r="RRT47"/>
      <c r="RRU47"/>
      <c r="RRV47"/>
      <c r="RRW47"/>
      <c r="RRX47"/>
      <c r="RRY47"/>
      <c r="RRZ47"/>
      <c r="RSA47"/>
      <c r="RSB47"/>
      <c r="RSC47"/>
      <c r="RSD47"/>
      <c r="RSE47"/>
      <c r="RSF47"/>
      <c r="RSG47"/>
      <c r="RSH47"/>
      <c r="RSI47"/>
      <c r="RSJ47"/>
      <c r="RSK47"/>
      <c r="RSL47"/>
      <c r="RSM47"/>
      <c r="RSN47"/>
      <c r="RSO47"/>
      <c r="RSP47"/>
      <c r="RSQ47"/>
      <c r="RSR47"/>
      <c r="RSS47"/>
      <c r="RST47"/>
      <c r="RSU47"/>
      <c r="RSV47"/>
      <c r="RSW47"/>
      <c r="RSX47"/>
      <c r="RSY47"/>
      <c r="RSZ47"/>
      <c r="RTA47"/>
      <c r="RTB47"/>
      <c r="RTC47"/>
      <c r="RTD47"/>
      <c r="RTE47"/>
      <c r="RTF47"/>
      <c r="RTG47"/>
      <c r="RTH47"/>
      <c r="RTI47"/>
      <c r="RTJ47"/>
      <c r="RTK47"/>
      <c r="RTL47"/>
      <c r="RTM47"/>
      <c r="RTN47"/>
      <c r="RTO47"/>
      <c r="RTP47"/>
      <c r="RTQ47"/>
      <c r="RTR47"/>
      <c r="RTS47"/>
      <c r="RTT47"/>
      <c r="RTU47"/>
      <c r="RTV47"/>
      <c r="RTW47"/>
      <c r="RTX47"/>
      <c r="RTY47"/>
      <c r="RTZ47"/>
      <c r="RUA47"/>
      <c r="RUB47"/>
      <c r="RUC47"/>
      <c r="RUD47"/>
      <c r="RUE47"/>
      <c r="RUF47"/>
      <c r="RUG47"/>
      <c r="RUH47"/>
      <c r="RUI47"/>
      <c r="RUJ47"/>
      <c r="RUK47"/>
      <c r="RUL47"/>
      <c r="RUM47"/>
      <c r="RUN47"/>
      <c r="RUO47"/>
      <c r="RUP47"/>
      <c r="RUQ47"/>
      <c r="RUR47"/>
      <c r="RUS47"/>
      <c r="RUT47"/>
      <c r="RUU47"/>
      <c r="RUV47"/>
      <c r="RUW47"/>
      <c r="RUX47"/>
      <c r="RUY47"/>
      <c r="RUZ47"/>
      <c r="RVA47"/>
      <c r="RVB47"/>
      <c r="RVC47"/>
      <c r="RVD47"/>
      <c r="RVE47"/>
      <c r="RVF47"/>
      <c r="RVG47"/>
      <c r="RVH47"/>
      <c r="RVI47"/>
      <c r="RVJ47"/>
      <c r="RVK47"/>
      <c r="RVL47"/>
      <c r="RVM47"/>
      <c r="RVN47"/>
      <c r="RVO47"/>
      <c r="RVP47"/>
      <c r="RVQ47"/>
      <c r="RVR47"/>
      <c r="RVS47"/>
      <c r="RVT47"/>
      <c r="RVU47"/>
      <c r="RVV47"/>
      <c r="RVW47"/>
      <c r="RVX47"/>
      <c r="RVY47"/>
      <c r="RVZ47"/>
      <c r="RWA47"/>
      <c r="RWB47"/>
      <c r="RWC47"/>
      <c r="RWD47"/>
      <c r="RWE47"/>
      <c r="RWF47"/>
      <c r="RWG47"/>
      <c r="RWH47"/>
      <c r="RWI47"/>
      <c r="RWJ47"/>
      <c r="RWK47"/>
      <c r="RWL47"/>
      <c r="RWM47"/>
      <c r="RWN47"/>
      <c r="RWO47"/>
      <c r="RWP47"/>
      <c r="RWQ47"/>
      <c r="RWR47"/>
      <c r="RWS47"/>
      <c r="RWT47"/>
      <c r="RWU47"/>
      <c r="RWV47"/>
      <c r="RWW47"/>
      <c r="RWX47"/>
      <c r="RWY47"/>
      <c r="RWZ47"/>
      <c r="RXA47"/>
      <c r="RXB47"/>
      <c r="RXC47"/>
      <c r="RXD47"/>
      <c r="RXE47"/>
      <c r="RXF47"/>
      <c r="RXG47"/>
      <c r="RXH47"/>
      <c r="RXI47"/>
      <c r="RXJ47"/>
      <c r="RXK47"/>
      <c r="RXL47"/>
      <c r="RXM47"/>
      <c r="RXN47"/>
      <c r="RXO47"/>
      <c r="RXP47"/>
      <c r="RXQ47"/>
      <c r="RXR47"/>
      <c r="RXS47"/>
      <c r="RXT47"/>
      <c r="RXU47"/>
      <c r="RXV47"/>
      <c r="RXW47"/>
      <c r="RXX47"/>
      <c r="RXY47"/>
      <c r="RXZ47"/>
      <c r="RYA47"/>
      <c r="RYB47"/>
      <c r="RYC47"/>
      <c r="RYD47"/>
      <c r="RYE47"/>
      <c r="RYF47"/>
      <c r="RYG47"/>
      <c r="RYH47"/>
      <c r="RYI47"/>
      <c r="RYJ47"/>
      <c r="RYK47"/>
      <c r="RYL47"/>
      <c r="RYM47"/>
      <c r="RYN47"/>
      <c r="RYO47"/>
      <c r="RYP47"/>
      <c r="RYQ47"/>
      <c r="RYR47"/>
      <c r="RYS47"/>
      <c r="RYT47"/>
      <c r="RYU47"/>
      <c r="RYV47"/>
      <c r="RYW47"/>
      <c r="RYX47"/>
      <c r="RYY47"/>
      <c r="RYZ47"/>
      <c r="RZA47"/>
      <c r="RZB47"/>
      <c r="RZC47"/>
      <c r="RZD47"/>
      <c r="RZE47"/>
      <c r="RZF47"/>
      <c r="RZG47"/>
      <c r="RZH47"/>
      <c r="RZI47"/>
      <c r="RZJ47"/>
      <c r="RZK47"/>
      <c r="RZL47"/>
      <c r="RZM47"/>
      <c r="RZN47"/>
      <c r="RZO47"/>
      <c r="RZP47"/>
      <c r="RZQ47"/>
      <c r="RZR47"/>
      <c r="RZS47"/>
      <c r="RZT47"/>
      <c r="RZU47"/>
      <c r="RZV47"/>
      <c r="RZW47"/>
      <c r="RZX47"/>
      <c r="RZY47"/>
      <c r="RZZ47"/>
      <c r="SAA47"/>
      <c r="SAB47"/>
      <c r="SAC47"/>
      <c r="SAD47"/>
      <c r="SAE47"/>
      <c r="SAF47"/>
      <c r="SAG47"/>
      <c r="SAH47"/>
      <c r="SAI47"/>
      <c r="SAJ47"/>
      <c r="SAK47"/>
      <c r="SAL47"/>
      <c r="SAM47"/>
      <c r="SAN47"/>
      <c r="SAO47"/>
      <c r="SAP47"/>
      <c r="SAQ47"/>
      <c r="SAR47"/>
      <c r="SAS47"/>
      <c r="SAT47"/>
      <c r="SAU47"/>
      <c r="SAV47"/>
      <c r="SAW47"/>
      <c r="SAX47"/>
      <c r="SAY47"/>
      <c r="SAZ47"/>
      <c r="SBA47"/>
      <c r="SBB47"/>
      <c r="SBC47"/>
      <c r="SBD47"/>
      <c r="SBE47"/>
      <c r="SBF47"/>
      <c r="SBG47"/>
      <c r="SBH47"/>
      <c r="SBI47"/>
      <c r="SBJ47"/>
      <c r="SBK47"/>
      <c r="SBL47"/>
      <c r="SBM47"/>
      <c r="SBN47"/>
      <c r="SBO47"/>
      <c r="SBP47"/>
      <c r="SBQ47"/>
      <c r="SBR47"/>
      <c r="SBS47"/>
      <c r="SBT47"/>
      <c r="SBU47"/>
      <c r="SBV47"/>
      <c r="SBW47"/>
      <c r="SBX47"/>
      <c r="SBY47"/>
      <c r="SBZ47"/>
      <c r="SCA47"/>
      <c r="SCB47"/>
      <c r="SCC47"/>
      <c r="SCD47"/>
      <c r="SCE47"/>
      <c r="SCF47"/>
      <c r="SCG47"/>
      <c r="SCH47"/>
      <c r="SCI47"/>
      <c r="SCJ47"/>
      <c r="SCK47"/>
      <c r="SCL47"/>
      <c r="SCM47"/>
      <c r="SCN47"/>
      <c r="SCO47"/>
      <c r="SCP47"/>
      <c r="SCQ47"/>
      <c r="SCR47"/>
      <c r="SCS47"/>
      <c r="SCT47"/>
      <c r="SCU47"/>
      <c r="SCV47"/>
      <c r="SCW47"/>
      <c r="SCX47"/>
      <c r="SCY47"/>
      <c r="SCZ47"/>
      <c r="SDA47"/>
      <c r="SDB47"/>
      <c r="SDC47"/>
      <c r="SDD47"/>
      <c r="SDE47"/>
      <c r="SDF47"/>
      <c r="SDG47"/>
      <c r="SDH47"/>
      <c r="SDI47"/>
      <c r="SDJ47"/>
      <c r="SDK47"/>
      <c r="SDL47"/>
      <c r="SDM47"/>
      <c r="SDN47"/>
      <c r="SDO47"/>
      <c r="SDP47"/>
      <c r="SDQ47"/>
      <c r="SDR47"/>
      <c r="SDS47"/>
      <c r="SDT47"/>
      <c r="SDU47"/>
      <c r="SDV47"/>
      <c r="SDW47"/>
      <c r="SDX47"/>
      <c r="SDY47"/>
      <c r="SDZ47"/>
      <c r="SEA47"/>
      <c r="SEB47"/>
      <c r="SEC47"/>
      <c r="SED47"/>
      <c r="SEE47"/>
      <c r="SEF47"/>
      <c r="SEG47"/>
      <c r="SEH47"/>
      <c r="SEI47"/>
      <c r="SEJ47"/>
      <c r="SEK47"/>
      <c r="SEL47"/>
      <c r="SEM47"/>
      <c r="SEN47"/>
      <c r="SEO47"/>
      <c r="SEP47"/>
      <c r="SEQ47"/>
      <c r="SER47"/>
      <c r="SES47"/>
      <c r="SET47"/>
      <c r="SEU47"/>
      <c r="SEV47"/>
      <c r="SEW47"/>
      <c r="SEX47"/>
      <c r="SEY47"/>
      <c r="SEZ47"/>
      <c r="SFA47"/>
      <c r="SFB47"/>
      <c r="SFC47"/>
      <c r="SFD47"/>
      <c r="SFE47"/>
      <c r="SFF47"/>
      <c r="SFG47"/>
      <c r="SFH47"/>
      <c r="SFI47"/>
      <c r="SFJ47"/>
      <c r="SFK47"/>
      <c r="SFL47"/>
      <c r="SFM47"/>
      <c r="SFN47"/>
      <c r="SFO47"/>
      <c r="SFP47"/>
      <c r="SFQ47"/>
      <c r="SFR47"/>
      <c r="SFS47"/>
      <c r="SFT47"/>
      <c r="SFU47"/>
      <c r="SFV47"/>
      <c r="SFW47"/>
      <c r="SFX47"/>
      <c r="SFY47"/>
      <c r="SFZ47"/>
      <c r="SGA47"/>
      <c r="SGB47"/>
      <c r="SGC47"/>
      <c r="SGD47"/>
      <c r="SGE47"/>
      <c r="SGF47"/>
      <c r="SGG47"/>
      <c r="SGH47"/>
      <c r="SGI47"/>
      <c r="SGJ47"/>
      <c r="SGK47"/>
      <c r="SGL47"/>
      <c r="SGM47"/>
      <c r="SGN47"/>
      <c r="SGO47"/>
      <c r="SGP47"/>
      <c r="SGQ47"/>
      <c r="SGR47"/>
      <c r="SGS47"/>
      <c r="SGT47"/>
      <c r="SGU47"/>
      <c r="SGV47"/>
      <c r="SGW47"/>
      <c r="SGX47"/>
      <c r="SGY47"/>
      <c r="SGZ47"/>
      <c r="SHA47"/>
      <c r="SHB47"/>
      <c r="SHC47"/>
      <c r="SHD47"/>
      <c r="SHE47"/>
      <c r="SHF47"/>
      <c r="SHG47"/>
      <c r="SHH47"/>
      <c r="SHI47"/>
      <c r="SHJ47"/>
      <c r="SHK47"/>
      <c r="SHL47"/>
      <c r="SHM47"/>
      <c r="SHN47"/>
      <c r="SHO47"/>
      <c r="SHP47"/>
      <c r="SHQ47"/>
      <c r="SHR47"/>
      <c r="SHS47"/>
      <c r="SHT47"/>
      <c r="SHU47"/>
      <c r="SHV47"/>
      <c r="SHW47"/>
      <c r="SHX47"/>
      <c r="SHY47"/>
      <c r="SHZ47"/>
      <c r="SIA47"/>
      <c r="SIB47"/>
      <c r="SIC47"/>
      <c r="SID47"/>
      <c r="SIE47"/>
      <c r="SIF47"/>
      <c r="SIG47"/>
      <c r="SIH47"/>
      <c r="SII47"/>
      <c r="SIJ47"/>
      <c r="SIK47"/>
      <c r="SIL47"/>
      <c r="SIM47"/>
      <c r="SIN47"/>
      <c r="SIO47"/>
      <c r="SIP47"/>
      <c r="SIQ47"/>
      <c r="SIR47"/>
      <c r="SIS47"/>
      <c r="SIT47"/>
      <c r="SIU47"/>
      <c r="SIV47"/>
      <c r="SIW47"/>
      <c r="SIX47"/>
      <c r="SIY47"/>
      <c r="SIZ47"/>
      <c r="SJA47"/>
      <c r="SJB47"/>
      <c r="SJC47"/>
      <c r="SJD47"/>
      <c r="SJE47"/>
      <c r="SJF47"/>
      <c r="SJG47"/>
      <c r="SJH47"/>
      <c r="SJI47"/>
      <c r="SJJ47"/>
      <c r="SJK47"/>
      <c r="SJL47"/>
      <c r="SJM47"/>
      <c r="SJN47"/>
      <c r="SJO47"/>
      <c r="SJP47"/>
      <c r="SJQ47"/>
      <c r="SJR47"/>
      <c r="SJS47"/>
      <c r="SJT47"/>
      <c r="SJU47"/>
      <c r="SJV47"/>
      <c r="SJW47"/>
      <c r="SJX47"/>
      <c r="SJY47"/>
      <c r="SJZ47"/>
      <c r="SKA47"/>
      <c r="SKB47"/>
      <c r="SKC47"/>
      <c r="SKD47"/>
      <c r="SKE47"/>
      <c r="SKF47"/>
      <c r="SKG47"/>
      <c r="SKH47"/>
      <c r="SKI47"/>
      <c r="SKJ47"/>
      <c r="SKK47"/>
      <c r="SKL47"/>
      <c r="SKM47"/>
      <c r="SKN47"/>
      <c r="SKO47"/>
      <c r="SKP47"/>
      <c r="SKQ47"/>
      <c r="SKR47"/>
      <c r="SKS47"/>
      <c r="SKT47"/>
      <c r="SKU47"/>
      <c r="SKV47"/>
      <c r="SKW47"/>
      <c r="SKX47"/>
      <c r="SKY47"/>
      <c r="SKZ47"/>
      <c r="SLA47"/>
      <c r="SLB47"/>
      <c r="SLC47"/>
      <c r="SLD47"/>
      <c r="SLE47"/>
      <c r="SLF47"/>
      <c r="SLG47"/>
      <c r="SLH47"/>
      <c r="SLI47"/>
      <c r="SLJ47"/>
      <c r="SLK47"/>
      <c r="SLL47"/>
      <c r="SLM47"/>
      <c r="SLN47"/>
      <c r="SLO47"/>
      <c r="SLP47"/>
      <c r="SLQ47"/>
      <c r="SLR47"/>
      <c r="SLS47"/>
      <c r="SLT47"/>
      <c r="SLU47"/>
      <c r="SLV47"/>
      <c r="SLW47"/>
      <c r="SLX47"/>
      <c r="SLY47"/>
      <c r="SLZ47"/>
      <c r="SMA47"/>
      <c r="SMB47"/>
      <c r="SMC47"/>
      <c r="SMD47"/>
      <c r="SME47"/>
      <c r="SMF47"/>
      <c r="SMG47"/>
      <c r="SMH47"/>
      <c r="SMI47"/>
      <c r="SMJ47"/>
      <c r="SMK47"/>
      <c r="SML47"/>
      <c r="SMM47"/>
      <c r="SMN47"/>
      <c r="SMO47"/>
      <c r="SMP47"/>
      <c r="SMQ47"/>
      <c r="SMR47"/>
      <c r="SMS47"/>
      <c r="SMT47"/>
      <c r="SMU47"/>
      <c r="SMV47"/>
      <c r="SMW47"/>
      <c r="SMX47"/>
      <c r="SMY47"/>
      <c r="SMZ47"/>
      <c r="SNA47"/>
      <c r="SNB47"/>
      <c r="SNC47"/>
      <c r="SND47"/>
      <c r="SNE47"/>
      <c r="SNF47"/>
      <c r="SNG47"/>
      <c r="SNH47"/>
      <c r="SNI47"/>
      <c r="SNJ47"/>
      <c r="SNK47"/>
      <c r="SNL47"/>
      <c r="SNM47"/>
      <c r="SNN47"/>
      <c r="SNO47"/>
      <c r="SNP47"/>
      <c r="SNQ47"/>
      <c r="SNR47"/>
      <c r="SNS47"/>
      <c r="SNT47"/>
      <c r="SNU47"/>
      <c r="SNV47"/>
      <c r="SNW47"/>
      <c r="SNX47"/>
      <c r="SNY47"/>
      <c r="SNZ47"/>
      <c r="SOA47"/>
      <c r="SOB47"/>
      <c r="SOC47"/>
      <c r="SOD47"/>
      <c r="SOE47"/>
      <c r="SOF47"/>
      <c r="SOG47"/>
      <c r="SOH47"/>
      <c r="SOI47"/>
      <c r="SOJ47"/>
      <c r="SOK47"/>
      <c r="SOL47"/>
      <c r="SOM47"/>
      <c r="SON47"/>
      <c r="SOO47"/>
      <c r="SOP47"/>
      <c r="SOQ47"/>
      <c r="SOR47"/>
      <c r="SOS47"/>
      <c r="SOT47"/>
      <c r="SOU47"/>
      <c r="SOV47"/>
      <c r="SOW47"/>
      <c r="SOX47"/>
      <c r="SOY47"/>
      <c r="SOZ47"/>
      <c r="SPA47"/>
      <c r="SPB47"/>
      <c r="SPC47"/>
      <c r="SPD47"/>
      <c r="SPE47"/>
      <c r="SPF47"/>
      <c r="SPG47"/>
      <c r="SPH47"/>
      <c r="SPI47"/>
      <c r="SPJ47"/>
      <c r="SPK47"/>
      <c r="SPL47"/>
      <c r="SPM47"/>
      <c r="SPN47"/>
      <c r="SPO47"/>
      <c r="SPP47"/>
      <c r="SPQ47"/>
      <c r="SPR47"/>
      <c r="SPS47"/>
      <c r="SPT47"/>
      <c r="SPU47"/>
      <c r="SPV47"/>
      <c r="SPW47"/>
      <c r="SPX47"/>
      <c r="SPY47"/>
      <c r="SPZ47"/>
      <c r="SQA47"/>
      <c r="SQB47"/>
      <c r="SQC47"/>
      <c r="SQD47"/>
      <c r="SQE47"/>
      <c r="SQF47"/>
      <c r="SQG47"/>
      <c r="SQH47"/>
      <c r="SQI47"/>
      <c r="SQJ47"/>
      <c r="SQK47"/>
      <c r="SQL47"/>
      <c r="SQM47"/>
      <c r="SQN47"/>
      <c r="SQO47"/>
      <c r="SQP47"/>
      <c r="SQQ47"/>
      <c r="SQR47"/>
      <c r="SQS47"/>
      <c r="SQT47"/>
      <c r="SQU47"/>
      <c r="SQV47"/>
      <c r="SQW47"/>
      <c r="SQX47"/>
      <c r="SQY47"/>
      <c r="SQZ47"/>
      <c r="SRA47"/>
      <c r="SRB47"/>
      <c r="SRC47"/>
      <c r="SRD47"/>
      <c r="SRE47"/>
      <c r="SRF47"/>
      <c r="SRG47"/>
      <c r="SRH47"/>
      <c r="SRI47"/>
      <c r="SRJ47"/>
      <c r="SRK47"/>
      <c r="SRL47"/>
      <c r="SRM47"/>
      <c r="SRN47"/>
      <c r="SRO47"/>
      <c r="SRP47"/>
      <c r="SRQ47"/>
      <c r="SRR47"/>
      <c r="SRS47"/>
      <c r="SRT47"/>
      <c r="SRU47"/>
      <c r="SRV47"/>
      <c r="SRW47"/>
      <c r="SRX47"/>
      <c r="SRY47"/>
      <c r="SRZ47"/>
      <c r="SSA47"/>
      <c r="SSB47"/>
      <c r="SSC47"/>
      <c r="SSD47"/>
      <c r="SSE47"/>
      <c r="SSF47"/>
      <c r="SSG47"/>
      <c r="SSH47"/>
      <c r="SSI47"/>
      <c r="SSJ47"/>
      <c r="SSK47"/>
      <c r="SSL47"/>
      <c r="SSM47"/>
      <c r="SSN47"/>
      <c r="SSO47"/>
      <c r="SSP47"/>
      <c r="SSQ47"/>
      <c r="SSR47"/>
      <c r="SSS47"/>
      <c r="SST47"/>
      <c r="SSU47"/>
      <c r="SSV47"/>
      <c r="SSW47"/>
      <c r="SSX47"/>
      <c r="SSY47"/>
      <c r="SSZ47"/>
      <c r="STA47"/>
      <c r="STB47"/>
      <c r="STC47"/>
      <c r="STD47"/>
      <c r="STE47"/>
      <c r="STF47"/>
      <c r="STG47"/>
      <c r="STH47"/>
      <c r="STI47"/>
      <c r="STJ47"/>
      <c r="STK47"/>
      <c r="STL47"/>
      <c r="STM47"/>
      <c r="STN47"/>
      <c r="STO47"/>
      <c r="STP47"/>
      <c r="STQ47"/>
      <c r="STR47"/>
      <c r="STS47"/>
      <c r="STT47"/>
      <c r="STU47"/>
      <c r="STV47"/>
      <c r="STW47"/>
      <c r="STX47"/>
      <c r="STY47"/>
      <c r="STZ47"/>
      <c r="SUA47"/>
      <c r="SUB47"/>
      <c r="SUC47"/>
      <c r="SUD47"/>
      <c r="SUE47"/>
      <c r="SUF47"/>
      <c r="SUG47"/>
      <c r="SUH47"/>
      <c r="SUI47"/>
      <c r="SUJ47"/>
      <c r="SUK47"/>
      <c r="SUL47"/>
      <c r="SUM47"/>
      <c r="SUN47"/>
      <c r="SUO47"/>
      <c r="SUP47"/>
      <c r="SUQ47"/>
      <c r="SUR47"/>
      <c r="SUS47"/>
      <c r="SUT47"/>
      <c r="SUU47"/>
      <c r="SUV47"/>
      <c r="SUW47"/>
      <c r="SUX47"/>
      <c r="SUY47"/>
      <c r="SUZ47"/>
      <c r="SVA47"/>
      <c r="SVB47"/>
      <c r="SVC47"/>
      <c r="SVD47"/>
      <c r="SVE47"/>
      <c r="SVF47"/>
      <c r="SVG47"/>
      <c r="SVH47"/>
      <c r="SVI47"/>
      <c r="SVJ47"/>
      <c r="SVK47"/>
      <c r="SVL47"/>
      <c r="SVM47"/>
      <c r="SVN47"/>
      <c r="SVO47"/>
      <c r="SVP47"/>
      <c r="SVQ47"/>
      <c r="SVR47"/>
      <c r="SVS47"/>
      <c r="SVT47"/>
      <c r="SVU47"/>
      <c r="SVV47"/>
      <c r="SVW47"/>
      <c r="SVX47"/>
      <c r="SVY47"/>
      <c r="SVZ47"/>
      <c r="SWA47"/>
      <c r="SWB47"/>
      <c r="SWC47"/>
      <c r="SWD47"/>
      <c r="SWE47"/>
      <c r="SWF47"/>
      <c r="SWG47"/>
      <c r="SWH47"/>
      <c r="SWI47"/>
      <c r="SWJ47"/>
      <c r="SWK47"/>
      <c r="SWL47"/>
      <c r="SWM47"/>
      <c r="SWN47"/>
      <c r="SWO47"/>
      <c r="SWP47"/>
      <c r="SWQ47"/>
      <c r="SWR47"/>
      <c r="SWS47"/>
      <c r="SWT47"/>
      <c r="SWU47"/>
      <c r="SWV47"/>
      <c r="SWW47"/>
      <c r="SWX47"/>
      <c r="SWY47"/>
      <c r="SWZ47"/>
      <c r="SXA47"/>
      <c r="SXB47"/>
      <c r="SXC47"/>
      <c r="SXD47"/>
      <c r="SXE47"/>
      <c r="SXF47"/>
      <c r="SXG47"/>
      <c r="SXH47"/>
      <c r="SXI47"/>
      <c r="SXJ47"/>
      <c r="SXK47"/>
      <c r="SXL47"/>
      <c r="SXM47"/>
      <c r="SXN47"/>
      <c r="SXO47"/>
      <c r="SXP47"/>
      <c r="SXQ47"/>
      <c r="SXR47"/>
      <c r="SXS47"/>
      <c r="SXT47"/>
      <c r="SXU47"/>
      <c r="SXV47"/>
      <c r="SXW47"/>
      <c r="SXX47"/>
      <c r="SXY47"/>
      <c r="SXZ47"/>
      <c r="SYA47"/>
      <c r="SYB47"/>
      <c r="SYC47"/>
      <c r="SYD47"/>
      <c r="SYE47"/>
      <c r="SYF47"/>
      <c r="SYG47"/>
      <c r="SYH47"/>
      <c r="SYI47"/>
      <c r="SYJ47"/>
      <c r="SYK47"/>
      <c r="SYL47"/>
      <c r="SYM47"/>
      <c r="SYN47"/>
      <c r="SYO47"/>
      <c r="SYP47"/>
      <c r="SYQ47"/>
      <c r="SYR47"/>
      <c r="SYS47"/>
      <c r="SYT47"/>
      <c r="SYU47"/>
      <c r="SYV47"/>
      <c r="SYW47"/>
      <c r="SYX47"/>
      <c r="SYY47"/>
      <c r="SYZ47"/>
      <c r="SZA47"/>
      <c r="SZB47"/>
      <c r="SZC47"/>
      <c r="SZD47"/>
      <c r="SZE47"/>
      <c r="SZF47"/>
      <c r="SZG47"/>
      <c r="SZH47"/>
      <c r="SZI47"/>
      <c r="SZJ47"/>
      <c r="SZK47"/>
      <c r="SZL47"/>
      <c r="SZM47"/>
      <c r="SZN47"/>
      <c r="SZO47"/>
      <c r="SZP47"/>
      <c r="SZQ47"/>
      <c r="SZR47"/>
      <c r="SZS47"/>
      <c r="SZT47"/>
      <c r="SZU47"/>
      <c r="SZV47"/>
      <c r="SZW47"/>
      <c r="SZX47"/>
      <c r="SZY47"/>
      <c r="SZZ47"/>
      <c r="TAA47"/>
      <c r="TAB47"/>
      <c r="TAC47"/>
      <c r="TAD47"/>
      <c r="TAE47"/>
      <c r="TAF47"/>
      <c r="TAG47"/>
      <c r="TAH47"/>
      <c r="TAI47"/>
      <c r="TAJ47"/>
      <c r="TAK47"/>
      <c r="TAL47"/>
      <c r="TAM47"/>
      <c r="TAN47"/>
      <c r="TAO47"/>
      <c r="TAP47"/>
      <c r="TAQ47"/>
      <c r="TAR47"/>
      <c r="TAS47"/>
      <c r="TAT47"/>
      <c r="TAU47"/>
      <c r="TAV47"/>
      <c r="TAW47"/>
      <c r="TAX47"/>
      <c r="TAY47"/>
      <c r="TAZ47"/>
      <c r="TBA47"/>
      <c r="TBB47"/>
      <c r="TBC47"/>
      <c r="TBD47"/>
      <c r="TBE47"/>
      <c r="TBF47"/>
      <c r="TBG47"/>
      <c r="TBH47"/>
      <c r="TBI47"/>
      <c r="TBJ47"/>
      <c r="TBK47"/>
      <c r="TBL47"/>
      <c r="TBM47"/>
      <c r="TBN47"/>
      <c r="TBO47"/>
      <c r="TBP47"/>
      <c r="TBQ47"/>
      <c r="TBR47"/>
      <c r="TBS47"/>
      <c r="TBT47"/>
      <c r="TBU47"/>
      <c r="TBV47"/>
      <c r="TBW47"/>
      <c r="TBX47"/>
      <c r="TBY47"/>
      <c r="TBZ47"/>
      <c r="TCA47"/>
      <c r="TCB47"/>
      <c r="TCC47"/>
      <c r="TCD47"/>
      <c r="TCE47"/>
      <c r="TCF47"/>
      <c r="TCG47"/>
      <c r="TCH47"/>
      <c r="TCI47"/>
      <c r="TCJ47"/>
      <c r="TCK47"/>
      <c r="TCL47"/>
      <c r="TCM47"/>
      <c r="TCN47"/>
      <c r="TCO47"/>
      <c r="TCP47"/>
      <c r="TCQ47"/>
      <c r="TCR47"/>
      <c r="TCS47"/>
      <c r="TCT47"/>
      <c r="TCU47"/>
      <c r="TCV47"/>
      <c r="TCW47"/>
      <c r="TCX47"/>
      <c r="TCY47"/>
      <c r="TCZ47"/>
      <c r="TDA47"/>
      <c r="TDB47"/>
      <c r="TDC47"/>
      <c r="TDD47"/>
      <c r="TDE47"/>
      <c r="TDF47"/>
      <c r="TDG47"/>
      <c r="TDH47"/>
      <c r="TDI47"/>
      <c r="TDJ47"/>
      <c r="TDK47"/>
      <c r="TDL47"/>
      <c r="TDM47"/>
      <c r="TDN47"/>
      <c r="TDO47"/>
      <c r="TDP47"/>
      <c r="TDQ47"/>
      <c r="TDR47"/>
      <c r="TDS47"/>
      <c r="TDT47"/>
      <c r="TDU47"/>
      <c r="TDV47"/>
      <c r="TDW47"/>
      <c r="TDX47"/>
      <c r="TDY47"/>
      <c r="TDZ47"/>
      <c r="TEA47"/>
      <c r="TEB47"/>
      <c r="TEC47"/>
      <c r="TED47"/>
      <c r="TEE47"/>
      <c r="TEF47"/>
      <c r="TEG47"/>
      <c r="TEH47"/>
      <c r="TEI47"/>
      <c r="TEJ47"/>
      <c r="TEK47"/>
      <c r="TEL47"/>
      <c r="TEM47"/>
      <c r="TEN47"/>
      <c r="TEO47"/>
      <c r="TEP47"/>
      <c r="TEQ47"/>
      <c r="TER47"/>
      <c r="TES47"/>
      <c r="TET47"/>
      <c r="TEU47"/>
      <c r="TEV47"/>
      <c r="TEW47"/>
      <c r="TEX47"/>
      <c r="TEY47"/>
      <c r="TEZ47"/>
      <c r="TFA47"/>
      <c r="TFB47"/>
      <c r="TFC47"/>
      <c r="TFD47"/>
      <c r="TFE47"/>
      <c r="TFF47"/>
      <c r="TFG47"/>
      <c r="TFH47"/>
      <c r="TFI47"/>
      <c r="TFJ47"/>
      <c r="TFK47"/>
      <c r="TFL47"/>
      <c r="TFM47"/>
      <c r="TFN47"/>
      <c r="TFO47"/>
      <c r="TFP47"/>
      <c r="TFQ47"/>
      <c r="TFR47"/>
      <c r="TFS47"/>
      <c r="TFT47"/>
      <c r="TFU47"/>
      <c r="TFV47"/>
      <c r="TFW47"/>
      <c r="TFX47"/>
      <c r="TFY47"/>
      <c r="TFZ47"/>
      <c r="TGA47"/>
      <c r="TGB47"/>
      <c r="TGC47"/>
      <c r="TGD47"/>
      <c r="TGE47"/>
      <c r="TGF47"/>
      <c r="TGG47"/>
      <c r="TGH47"/>
      <c r="TGI47"/>
      <c r="TGJ47"/>
      <c r="TGK47"/>
      <c r="TGL47"/>
      <c r="TGM47"/>
      <c r="TGN47"/>
      <c r="TGO47"/>
      <c r="TGP47"/>
      <c r="TGQ47"/>
      <c r="TGR47"/>
      <c r="TGS47"/>
      <c r="TGT47"/>
      <c r="TGU47"/>
      <c r="TGV47"/>
      <c r="TGW47"/>
      <c r="TGX47"/>
      <c r="TGY47"/>
      <c r="TGZ47"/>
      <c r="THA47"/>
      <c r="THB47"/>
      <c r="THC47"/>
      <c r="THD47"/>
      <c r="THE47"/>
      <c r="THF47"/>
      <c r="THG47"/>
      <c r="THH47"/>
      <c r="THI47"/>
      <c r="THJ47"/>
      <c r="THK47"/>
      <c r="THL47"/>
      <c r="THM47"/>
      <c r="THN47"/>
      <c r="THO47"/>
      <c r="THP47"/>
      <c r="THQ47"/>
      <c r="THR47"/>
      <c r="THS47"/>
      <c r="THT47"/>
      <c r="THU47"/>
      <c r="THV47"/>
      <c r="THW47"/>
      <c r="THX47"/>
      <c r="THY47"/>
      <c r="THZ47"/>
      <c r="TIA47"/>
      <c r="TIB47"/>
      <c r="TIC47"/>
      <c r="TID47"/>
      <c r="TIE47"/>
      <c r="TIF47"/>
      <c r="TIG47"/>
      <c r="TIH47"/>
      <c r="TII47"/>
      <c r="TIJ47"/>
      <c r="TIK47"/>
      <c r="TIL47"/>
      <c r="TIM47"/>
      <c r="TIN47"/>
      <c r="TIO47"/>
      <c r="TIP47"/>
      <c r="TIQ47"/>
      <c r="TIR47"/>
      <c r="TIS47"/>
      <c r="TIT47"/>
      <c r="TIU47"/>
      <c r="TIV47"/>
      <c r="TIW47"/>
      <c r="TIX47"/>
      <c r="TIY47"/>
      <c r="TIZ47"/>
      <c r="TJA47"/>
      <c r="TJB47"/>
      <c r="TJC47"/>
      <c r="TJD47"/>
      <c r="TJE47"/>
      <c r="TJF47"/>
      <c r="TJG47"/>
      <c r="TJH47"/>
      <c r="TJI47"/>
      <c r="TJJ47"/>
      <c r="TJK47"/>
      <c r="TJL47"/>
      <c r="TJM47"/>
      <c r="TJN47"/>
      <c r="TJO47"/>
      <c r="TJP47"/>
      <c r="TJQ47"/>
      <c r="TJR47"/>
      <c r="TJS47"/>
      <c r="TJT47"/>
      <c r="TJU47"/>
      <c r="TJV47"/>
      <c r="TJW47"/>
      <c r="TJX47"/>
      <c r="TJY47"/>
      <c r="TJZ47"/>
      <c r="TKA47"/>
      <c r="TKB47"/>
      <c r="TKC47"/>
      <c r="TKD47"/>
      <c r="TKE47"/>
      <c r="TKF47"/>
      <c r="TKG47"/>
      <c r="TKH47"/>
      <c r="TKI47"/>
      <c r="TKJ47"/>
      <c r="TKK47"/>
      <c r="TKL47"/>
      <c r="TKM47"/>
      <c r="TKN47"/>
      <c r="TKO47"/>
      <c r="TKP47"/>
      <c r="TKQ47"/>
      <c r="TKR47"/>
      <c r="TKS47"/>
      <c r="TKT47"/>
      <c r="TKU47"/>
      <c r="TKV47"/>
      <c r="TKW47"/>
      <c r="TKX47"/>
      <c r="TKY47"/>
      <c r="TKZ47"/>
      <c r="TLA47"/>
      <c r="TLB47"/>
      <c r="TLC47"/>
      <c r="TLD47"/>
      <c r="TLE47"/>
      <c r="TLF47"/>
      <c r="TLG47"/>
      <c r="TLH47"/>
      <c r="TLI47"/>
      <c r="TLJ47"/>
      <c r="TLK47"/>
      <c r="TLL47"/>
      <c r="TLM47"/>
      <c r="TLN47"/>
      <c r="TLO47"/>
      <c r="TLP47"/>
      <c r="TLQ47"/>
      <c r="TLR47"/>
      <c r="TLS47"/>
      <c r="TLT47"/>
      <c r="TLU47"/>
      <c r="TLV47"/>
      <c r="TLW47"/>
      <c r="TLX47"/>
      <c r="TLY47"/>
      <c r="TLZ47"/>
      <c r="TMA47"/>
      <c r="TMB47"/>
      <c r="TMC47"/>
      <c r="TMD47"/>
      <c r="TME47"/>
      <c r="TMF47"/>
      <c r="TMG47"/>
      <c r="TMH47"/>
      <c r="TMI47"/>
      <c r="TMJ47"/>
      <c r="TMK47"/>
      <c r="TML47"/>
      <c r="TMM47"/>
      <c r="TMN47"/>
      <c r="TMO47"/>
      <c r="TMP47"/>
      <c r="TMQ47"/>
      <c r="TMR47"/>
      <c r="TMS47"/>
      <c r="TMT47"/>
      <c r="TMU47"/>
      <c r="TMV47"/>
      <c r="TMW47"/>
      <c r="TMX47"/>
      <c r="TMY47"/>
      <c r="TMZ47"/>
      <c r="TNA47"/>
      <c r="TNB47"/>
      <c r="TNC47"/>
      <c r="TND47"/>
      <c r="TNE47"/>
      <c r="TNF47"/>
      <c r="TNG47"/>
      <c r="TNH47"/>
      <c r="TNI47"/>
      <c r="TNJ47"/>
      <c r="TNK47"/>
      <c r="TNL47"/>
      <c r="TNM47"/>
      <c r="TNN47"/>
      <c r="TNO47"/>
      <c r="TNP47"/>
      <c r="TNQ47"/>
      <c r="TNR47"/>
      <c r="TNS47"/>
      <c r="TNT47"/>
      <c r="TNU47"/>
      <c r="TNV47"/>
      <c r="TNW47"/>
      <c r="TNX47"/>
      <c r="TNY47"/>
      <c r="TNZ47"/>
      <c r="TOA47"/>
      <c r="TOB47"/>
      <c r="TOC47"/>
      <c r="TOD47"/>
      <c r="TOE47"/>
      <c r="TOF47"/>
      <c r="TOG47"/>
      <c r="TOH47"/>
      <c r="TOI47"/>
      <c r="TOJ47"/>
      <c r="TOK47"/>
      <c r="TOL47"/>
      <c r="TOM47"/>
      <c r="TON47"/>
      <c r="TOO47"/>
      <c r="TOP47"/>
      <c r="TOQ47"/>
      <c r="TOR47"/>
      <c r="TOS47"/>
      <c r="TOT47"/>
      <c r="TOU47"/>
      <c r="TOV47"/>
      <c r="TOW47"/>
      <c r="TOX47"/>
      <c r="TOY47"/>
      <c r="TOZ47"/>
      <c r="TPA47"/>
      <c r="TPB47"/>
      <c r="TPC47"/>
      <c r="TPD47"/>
      <c r="TPE47"/>
      <c r="TPF47"/>
      <c r="TPG47"/>
      <c r="TPH47"/>
      <c r="TPI47"/>
      <c r="TPJ47"/>
      <c r="TPK47"/>
      <c r="TPL47"/>
      <c r="TPM47"/>
      <c r="TPN47"/>
      <c r="TPO47"/>
      <c r="TPP47"/>
      <c r="TPQ47"/>
      <c r="TPR47"/>
      <c r="TPS47"/>
      <c r="TPT47"/>
      <c r="TPU47"/>
      <c r="TPV47"/>
      <c r="TPW47"/>
      <c r="TPX47"/>
      <c r="TPY47"/>
      <c r="TPZ47"/>
      <c r="TQA47"/>
      <c r="TQB47"/>
      <c r="TQC47"/>
      <c r="TQD47"/>
      <c r="TQE47"/>
      <c r="TQF47"/>
      <c r="TQG47"/>
      <c r="TQH47"/>
      <c r="TQI47"/>
      <c r="TQJ47"/>
      <c r="TQK47"/>
      <c r="TQL47"/>
      <c r="TQM47"/>
      <c r="TQN47"/>
      <c r="TQO47"/>
      <c r="TQP47"/>
      <c r="TQQ47"/>
      <c r="TQR47"/>
      <c r="TQS47"/>
      <c r="TQT47"/>
      <c r="TQU47"/>
      <c r="TQV47"/>
      <c r="TQW47"/>
      <c r="TQX47"/>
      <c r="TQY47"/>
      <c r="TQZ47"/>
      <c r="TRA47"/>
      <c r="TRB47"/>
      <c r="TRC47"/>
      <c r="TRD47"/>
      <c r="TRE47"/>
      <c r="TRF47"/>
      <c r="TRG47"/>
      <c r="TRH47"/>
      <c r="TRI47"/>
      <c r="TRJ47"/>
      <c r="TRK47"/>
      <c r="TRL47"/>
      <c r="TRM47"/>
      <c r="TRN47"/>
      <c r="TRO47"/>
      <c r="TRP47"/>
      <c r="TRQ47"/>
      <c r="TRR47"/>
      <c r="TRS47"/>
      <c r="TRT47"/>
      <c r="TRU47"/>
      <c r="TRV47"/>
      <c r="TRW47"/>
      <c r="TRX47"/>
      <c r="TRY47"/>
      <c r="TRZ47"/>
      <c r="TSA47"/>
      <c r="TSB47"/>
      <c r="TSC47"/>
      <c r="TSD47"/>
      <c r="TSE47"/>
      <c r="TSF47"/>
      <c r="TSG47"/>
      <c r="TSH47"/>
      <c r="TSI47"/>
      <c r="TSJ47"/>
      <c r="TSK47"/>
      <c r="TSL47"/>
      <c r="TSM47"/>
      <c r="TSN47"/>
      <c r="TSO47"/>
      <c r="TSP47"/>
      <c r="TSQ47"/>
      <c r="TSR47"/>
      <c r="TSS47"/>
      <c r="TST47"/>
      <c r="TSU47"/>
      <c r="TSV47"/>
      <c r="TSW47"/>
      <c r="TSX47"/>
      <c r="TSY47"/>
      <c r="TSZ47"/>
      <c r="TTA47"/>
      <c r="TTB47"/>
      <c r="TTC47"/>
      <c r="TTD47"/>
      <c r="TTE47"/>
      <c r="TTF47"/>
      <c r="TTG47"/>
      <c r="TTH47"/>
      <c r="TTI47"/>
      <c r="TTJ47"/>
      <c r="TTK47"/>
      <c r="TTL47"/>
      <c r="TTM47"/>
      <c r="TTN47"/>
      <c r="TTO47"/>
      <c r="TTP47"/>
      <c r="TTQ47"/>
      <c r="TTR47"/>
      <c r="TTS47"/>
      <c r="TTT47"/>
      <c r="TTU47"/>
      <c r="TTV47"/>
      <c r="TTW47"/>
      <c r="TTX47"/>
      <c r="TTY47"/>
      <c r="TTZ47"/>
      <c r="TUA47"/>
      <c r="TUB47"/>
      <c r="TUC47"/>
      <c r="TUD47"/>
      <c r="TUE47"/>
      <c r="TUF47"/>
      <c r="TUG47"/>
      <c r="TUH47"/>
      <c r="TUI47"/>
      <c r="TUJ47"/>
      <c r="TUK47"/>
      <c r="TUL47"/>
      <c r="TUM47"/>
      <c r="TUN47"/>
      <c r="TUO47"/>
      <c r="TUP47"/>
      <c r="TUQ47"/>
      <c r="TUR47"/>
      <c r="TUS47"/>
      <c r="TUT47"/>
      <c r="TUU47"/>
      <c r="TUV47"/>
      <c r="TUW47"/>
      <c r="TUX47"/>
      <c r="TUY47"/>
      <c r="TUZ47"/>
      <c r="TVA47"/>
      <c r="TVB47"/>
      <c r="TVC47"/>
      <c r="TVD47"/>
      <c r="TVE47"/>
      <c r="TVF47"/>
      <c r="TVG47"/>
      <c r="TVH47"/>
      <c r="TVI47"/>
      <c r="TVJ47"/>
      <c r="TVK47"/>
      <c r="TVL47"/>
      <c r="TVM47"/>
      <c r="TVN47"/>
      <c r="TVO47"/>
      <c r="TVP47"/>
      <c r="TVQ47"/>
      <c r="TVR47"/>
      <c r="TVS47"/>
      <c r="TVT47"/>
      <c r="TVU47"/>
      <c r="TVV47"/>
      <c r="TVW47"/>
      <c r="TVX47"/>
      <c r="TVY47"/>
      <c r="TVZ47"/>
      <c r="TWA47"/>
      <c r="TWB47"/>
      <c r="TWC47"/>
      <c r="TWD47"/>
      <c r="TWE47"/>
      <c r="TWF47"/>
      <c r="TWG47"/>
      <c r="TWH47"/>
      <c r="TWI47"/>
      <c r="TWJ47"/>
      <c r="TWK47"/>
      <c r="TWL47"/>
      <c r="TWM47"/>
      <c r="TWN47"/>
      <c r="TWO47"/>
      <c r="TWP47"/>
      <c r="TWQ47"/>
      <c r="TWR47"/>
      <c r="TWS47"/>
      <c r="TWT47"/>
      <c r="TWU47"/>
      <c r="TWV47"/>
      <c r="TWW47"/>
      <c r="TWX47"/>
      <c r="TWY47"/>
      <c r="TWZ47"/>
      <c r="TXA47"/>
      <c r="TXB47"/>
      <c r="TXC47"/>
      <c r="TXD47"/>
      <c r="TXE47"/>
      <c r="TXF47"/>
      <c r="TXG47"/>
      <c r="TXH47"/>
      <c r="TXI47"/>
      <c r="TXJ47"/>
      <c r="TXK47"/>
      <c r="TXL47"/>
      <c r="TXM47"/>
      <c r="TXN47"/>
      <c r="TXO47"/>
      <c r="TXP47"/>
      <c r="TXQ47"/>
      <c r="TXR47"/>
      <c r="TXS47"/>
      <c r="TXT47"/>
      <c r="TXU47"/>
      <c r="TXV47"/>
      <c r="TXW47"/>
      <c r="TXX47"/>
      <c r="TXY47"/>
      <c r="TXZ47"/>
      <c r="TYA47"/>
      <c r="TYB47"/>
      <c r="TYC47"/>
      <c r="TYD47"/>
      <c r="TYE47"/>
      <c r="TYF47"/>
      <c r="TYG47"/>
      <c r="TYH47"/>
      <c r="TYI47"/>
      <c r="TYJ47"/>
      <c r="TYK47"/>
      <c r="TYL47"/>
      <c r="TYM47"/>
      <c r="TYN47"/>
      <c r="TYO47"/>
      <c r="TYP47"/>
      <c r="TYQ47"/>
      <c r="TYR47"/>
      <c r="TYS47"/>
      <c r="TYT47"/>
      <c r="TYU47"/>
      <c r="TYV47"/>
      <c r="TYW47"/>
      <c r="TYX47"/>
      <c r="TYY47"/>
      <c r="TYZ47"/>
      <c r="TZA47"/>
      <c r="TZB47"/>
      <c r="TZC47"/>
      <c r="TZD47"/>
      <c r="TZE47"/>
      <c r="TZF47"/>
      <c r="TZG47"/>
      <c r="TZH47"/>
      <c r="TZI47"/>
      <c r="TZJ47"/>
      <c r="TZK47"/>
      <c r="TZL47"/>
      <c r="TZM47"/>
      <c r="TZN47"/>
      <c r="TZO47"/>
      <c r="TZP47"/>
      <c r="TZQ47"/>
      <c r="TZR47"/>
      <c r="TZS47"/>
      <c r="TZT47"/>
      <c r="TZU47"/>
      <c r="TZV47"/>
      <c r="TZW47"/>
      <c r="TZX47"/>
      <c r="TZY47"/>
      <c r="TZZ47"/>
      <c r="UAA47"/>
      <c r="UAB47"/>
      <c r="UAC47"/>
      <c r="UAD47"/>
      <c r="UAE47"/>
      <c r="UAF47"/>
      <c r="UAG47"/>
      <c r="UAH47"/>
      <c r="UAI47"/>
      <c r="UAJ47"/>
      <c r="UAK47"/>
      <c r="UAL47"/>
      <c r="UAM47"/>
      <c r="UAN47"/>
      <c r="UAO47"/>
      <c r="UAP47"/>
      <c r="UAQ47"/>
      <c r="UAR47"/>
      <c r="UAS47"/>
      <c r="UAT47"/>
      <c r="UAU47"/>
      <c r="UAV47"/>
      <c r="UAW47"/>
      <c r="UAX47"/>
      <c r="UAY47"/>
      <c r="UAZ47"/>
      <c r="UBA47"/>
      <c r="UBB47"/>
      <c r="UBC47"/>
      <c r="UBD47"/>
      <c r="UBE47"/>
      <c r="UBF47"/>
      <c r="UBG47"/>
      <c r="UBH47"/>
      <c r="UBI47"/>
      <c r="UBJ47"/>
      <c r="UBK47"/>
      <c r="UBL47"/>
      <c r="UBM47"/>
      <c r="UBN47"/>
      <c r="UBO47"/>
      <c r="UBP47"/>
      <c r="UBQ47"/>
      <c r="UBR47"/>
      <c r="UBS47"/>
      <c r="UBT47"/>
      <c r="UBU47"/>
      <c r="UBV47"/>
      <c r="UBW47"/>
      <c r="UBX47"/>
      <c r="UBY47"/>
      <c r="UBZ47"/>
      <c r="UCA47"/>
      <c r="UCB47"/>
      <c r="UCC47"/>
      <c r="UCD47"/>
      <c r="UCE47"/>
      <c r="UCF47"/>
      <c r="UCG47"/>
      <c r="UCH47"/>
      <c r="UCI47"/>
      <c r="UCJ47"/>
      <c r="UCK47"/>
      <c r="UCL47"/>
      <c r="UCM47"/>
      <c r="UCN47"/>
      <c r="UCO47"/>
      <c r="UCP47"/>
      <c r="UCQ47"/>
      <c r="UCR47"/>
      <c r="UCS47"/>
      <c r="UCT47"/>
      <c r="UCU47"/>
      <c r="UCV47"/>
      <c r="UCW47"/>
      <c r="UCX47"/>
      <c r="UCY47"/>
      <c r="UCZ47"/>
      <c r="UDA47"/>
      <c r="UDB47"/>
      <c r="UDC47"/>
      <c r="UDD47"/>
      <c r="UDE47"/>
      <c r="UDF47"/>
      <c r="UDG47"/>
      <c r="UDH47"/>
      <c r="UDI47"/>
      <c r="UDJ47"/>
      <c r="UDK47"/>
      <c r="UDL47"/>
      <c r="UDM47"/>
      <c r="UDN47"/>
      <c r="UDO47"/>
      <c r="UDP47"/>
      <c r="UDQ47"/>
      <c r="UDR47"/>
      <c r="UDS47"/>
      <c r="UDT47"/>
      <c r="UDU47"/>
      <c r="UDV47"/>
      <c r="UDW47"/>
      <c r="UDX47"/>
      <c r="UDY47"/>
      <c r="UDZ47"/>
      <c r="UEA47"/>
      <c r="UEB47"/>
      <c r="UEC47"/>
      <c r="UED47"/>
      <c r="UEE47"/>
      <c r="UEF47"/>
      <c r="UEG47"/>
      <c r="UEH47"/>
      <c r="UEI47"/>
      <c r="UEJ47"/>
      <c r="UEK47"/>
      <c r="UEL47"/>
      <c r="UEM47"/>
      <c r="UEN47"/>
      <c r="UEO47"/>
      <c r="UEP47"/>
      <c r="UEQ47"/>
      <c r="UER47"/>
      <c r="UES47"/>
      <c r="UET47"/>
      <c r="UEU47"/>
      <c r="UEV47"/>
      <c r="UEW47"/>
      <c r="UEX47"/>
      <c r="UEY47"/>
      <c r="UEZ47"/>
      <c r="UFA47"/>
      <c r="UFB47"/>
      <c r="UFC47"/>
      <c r="UFD47"/>
      <c r="UFE47"/>
      <c r="UFF47"/>
      <c r="UFG47"/>
      <c r="UFH47"/>
      <c r="UFI47"/>
      <c r="UFJ47"/>
      <c r="UFK47"/>
      <c r="UFL47"/>
      <c r="UFM47"/>
      <c r="UFN47"/>
      <c r="UFO47"/>
      <c r="UFP47"/>
      <c r="UFQ47"/>
      <c r="UFR47"/>
      <c r="UFS47"/>
      <c r="UFT47"/>
      <c r="UFU47"/>
      <c r="UFV47"/>
      <c r="UFW47"/>
      <c r="UFX47"/>
      <c r="UFY47"/>
      <c r="UFZ47"/>
      <c r="UGA47"/>
      <c r="UGB47"/>
      <c r="UGC47"/>
      <c r="UGD47"/>
      <c r="UGE47"/>
      <c r="UGF47"/>
      <c r="UGG47"/>
      <c r="UGH47"/>
      <c r="UGI47"/>
      <c r="UGJ47"/>
      <c r="UGK47"/>
      <c r="UGL47"/>
      <c r="UGM47"/>
      <c r="UGN47"/>
      <c r="UGO47"/>
      <c r="UGP47"/>
      <c r="UGQ47"/>
      <c r="UGR47"/>
      <c r="UGS47"/>
      <c r="UGT47"/>
      <c r="UGU47"/>
      <c r="UGV47"/>
      <c r="UGW47"/>
      <c r="UGX47"/>
      <c r="UGY47"/>
      <c r="UGZ47"/>
      <c r="UHA47"/>
      <c r="UHB47"/>
      <c r="UHC47"/>
      <c r="UHD47"/>
      <c r="UHE47"/>
      <c r="UHF47"/>
      <c r="UHG47"/>
      <c r="UHH47"/>
      <c r="UHI47"/>
      <c r="UHJ47"/>
      <c r="UHK47"/>
      <c r="UHL47"/>
      <c r="UHM47"/>
      <c r="UHN47"/>
      <c r="UHO47"/>
      <c r="UHP47"/>
      <c r="UHQ47"/>
      <c r="UHR47"/>
      <c r="UHS47"/>
      <c r="UHT47"/>
      <c r="UHU47"/>
      <c r="UHV47"/>
      <c r="UHW47"/>
      <c r="UHX47"/>
      <c r="UHY47"/>
      <c r="UHZ47"/>
      <c r="UIA47"/>
      <c r="UIB47"/>
      <c r="UIC47"/>
      <c r="UID47"/>
      <c r="UIE47"/>
      <c r="UIF47"/>
      <c r="UIG47"/>
      <c r="UIH47"/>
      <c r="UII47"/>
      <c r="UIJ47"/>
      <c r="UIK47"/>
      <c r="UIL47"/>
      <c r="UIM47"/>
      <c r="UIN47"/>
      <c r="UIO47"/>
      <c r="UIP47"/>
      <c r="UIQ47"/>
      <c r="UIR47"/>
      <c r="UIS47"/>
      <c r="UIT47"/>
      <c r="UIU47"/>
      <c r="UIV47"/>
      <c r="UIW47"/>
      <c r="UIX47"/>
      <c r="UIY47"/>
      <c r="UIZ47"/>
      <c r="UJA47"/>
      <c r="UJB47"/>
      <c r="UJC47"/>
      <c r="UJD47"/>
      <c r="UJE47"/>
      <c r="UJF47"/>
      <c r="UJG47"/>
      <c r="UJH47"/>
      <c r="UJI47"/>
      <c r="UJJ47"/>
      <c r="UJK47"/>
      <c r="UJL47"/>
      <c r="UJM47"/>
      <c r="UJN47"/>
      <c r="UJO47"/>
      <c r="UJP47"/>
      <c r="UJQ47"/>
      <c r="UJR47"/>
      <c r="UJS47"/>
      <c r="UJT47"/>
      <c r="UJU47"/>
      <c r="UJV47"/>
      <c r="UJW47"/>
      <c r="UJX47"/>
      <c r="UJY47"/>
      <c r="UJZ47"/>
      <c r="UKA47"/>
      <c r="UKB47"/>
      <c r="UKC47"/>
      <c r="UKD47"/>
      <c r="UKE47"/>
      <c r="UKF47"/>
      <c r="UKG47"/>
      <c r="UKH47"/>
      <c r="UKI47"/>
      <c r="UKJ47"/>
      <c r="UKK47"/>
      <c r="UKL47"/>
      <c r="UKM47"/>
      <c r="UKN47"/>
      <c r="UKO47"/>
      <c r="UKP47"/>
      <c r="UKQ47"/>
      <c r="UKR47"/>
      <c r="UKS47"/>
      <c r="UKT47"/>
      <c r="UKU47"/>
      <c r="UKV47"/>
      <c r="UKW47"/>
      <c r="UKX47"/>
      <c r="UKY47"/>
      <c r="UKZ47"/>
      <c r="ULA47"/>
      <c r="ULB47"/>
      <c r="ULC47"/>
      <c r="ULD47"/>
      <c r="ULE47"/>
      <c r="ULF47"/>
      <c r="ULG47"/>
      <c r="ULH47"/>
      <c r="ULI47"/>
      <c r="ULJ47"/>
      <c r="ULK47"/>
      <c r="ULL47"/>
      <c r="ULM47"/>
      <c r="ULN47"/>
      <c r="ULO47"/>
      <c r="ULP47"/>
      <c r="ULQ47"/>
      <c r="ULR47"/>
      <c r="ULS47"/>
      <c r="ULT47"/>
      <c r="ULU47"/>
      <c r="ULV47"/>
      <c r="ULW47"/>
      <c r="ULX47"/>
      <c r="ULY47"/>
      <c r="ULZ47"/>
      <c r="UMA47"/>
      <c r="UMB47"/>
      <c r="UMC47"/>
      <c r="UMD47"/>
      <c r="UME47"/>
      <c r="UMF47"/>
      <c r="UMG47"/>
      <c r="UMH47"/>
      <c r="UMI47"/>
      <c r="UMJ47"/>
      <c r="UMK47"/>
      <c r="UML47"/>
      <c r="UMM47"/>
      <c r="UMN47"/>
      <c r="UMO47"/>
      <c r="UMP47"/>
      <c r="UMQ47"/>
      <c r="UMR47"/>
      <c r="UMS47"/>
      <c r="UMT47"/>
      <c r="UMU47"/>
      <c r="UMV47"/>
      <c r="UMW47"/>
      <c r="UMX47"/>
      <c r="UMY47"/>
      <c r="UMZ47"/>
      <c r="UNA47"/>
      <c r="UNB47"/>
      <c r="UNC47"/>
      <c r="UND47"/>
      <c r="UNE47"/>
      <c r="UNF47"/>
      <c r="UNG47"/>
      <c r="UNH47"/>
      <c r="UNI47"/>
      <c r="UNJ47"/>
      <c r="UNK47"/>
      <c r="UNL47"/>
      <c r="UNM47"/>
      <c r="UNN47"/>
      <c r="UNO47"/>
      <c r="UNP47"/>
      <c r="UNQ47"/>
      <c r="UNR47"/>
      <c r="UNS47"/>
      <c r="UNT47"/>
      <c r="UNU47"/>
      <c r="UNV47"/>
      <c r="UNW47"/>
      <c r="UNX47"/>
      <c r="UNY47"/>
      <c r="UNZ47"/>
      <c r="UOA47"/>
      <c r="UOB47"/>
      <c r="UOC47"/>
      <c r="UOD47"/>
      <c r="UOE47"/>
      <c r="UOF47"/>
      <c r="UOG47"/>
      <c r="UOH47"/>
      <c r="UOI47"/>
      <c r="UOJ47"/>
      <c r="UOK47"/>
      <c r="UOL47"/>
      <c r="UOM47"/>
      <c r="UON47"/>
      <c r="UOO47"/>
      <c r="UOP47"/>
      <c r="UOQ47"/>
      <c r="UOR47"/>
      <c r="UOS47"/>
      <c r="UOT47"/>
      <c r="UOU47"/>
      <c r="UOV47"/>
      <c r="UOW47"/>
      <c r="UOX47"/>
      <c r="UOY47"/>
      <c r="UOZ47"/>
      <c r="UPA47"/>
      <c r="UPB47"/>
      <c r="UPC47"/>
      <c r="UPD47"/>
      <c r="UPE47"/>
      <c r="UPF47"/>
      <c r="UPG47"/>
      <c r="UPH47"/>
      <c r="UPI47"/>
      <c r="UPJ47"/>
      <c r="UPK47"/>
      <c r="UPL47"/>
      <c r="UPM47"/>
      <c r="UPN47"/>
      <c r="UPO47"/>
      <c r="UPP47"/>
      <c r="UPQ47"/>
      <c r="UPR47"/>
      <c r="UPS47"/>
      <c r="UPT47"/>
      <c r="UPU47"/>
      <c r="UPV47"/>
      <c r="UPW47"/>
      <c r="UPX47"/>
      <c r="UPY47"/>
      <c r="UPZ47"/>
      <c r="UQA47"/>
      <c r="UQB47"/>
      <c r="UQC47"/>
      <c r="UQD47"/>
      <c r="UQE47"/>
      <c r="UQF47"/>
      <c r="UQG47"/>
      <c r="UQH47"/>
      <c r="UQI47"/>
      <c r="UQJ47"/>
      <c r="UQK47"/>
      <c r="UQL47"/>
      <c r="UQM47"/>
      <c r="UQN47"/>
      <c r="UQO47"/>
      <c r="UQP47"/>
      <c r="UQQ47"/>
      <c r="UQR47"/>
      <c r="UQS47"/>
      <c r="UQT47"/>
      <c r="UQU47"/>
      <c r="UQV47"/>
      <c r="UQW47"/>
      <c r="UQX47"/>
      <c r="UQY47"/>
      <c r="UQZ47"/>
      <c r="URA47"/>
      <c r="URB47"/>
      <c r="URC47"/>
      <c r="URD47"/>
      <c r="URE47"/>
      <c r="URF47"/>
      <c r="URG47"/>
      <c r="URH47"/>
      <c r="URI47"/>
      <c r="URJ47"/>
      <c r="URK47"/>
      <c r="URL47"/>
      <c r="URM47"/>
      <c r="URN47"/>
      <c r="URO47"/>
      <c r="URP47"/>
      <c r="URQ47"/>
      <c r="URR47"/>
      <c r="URS47"/>
      <c r="URT47"/>
      <c r="URU47"/>
      <c r="URV47"/>
      <c r="URW47"/>
      <c r="URX47"/>
      <c r="URY47"/>
      <c r="URZ47"/>
      <c r="USA47"/>
      <c r="USB47"/>
      <c r="USC47"/>
      <c r="USD47"/>
      <c r="USE47"/>
      <c r="USF47"/>
      <c r="USG47"/>
      <c r="USH47"/>
      <c r="USI47"/>
      <c r="USJ47"/>
      <c r="USK47"/>
      <c r="USL47"/>
      <c r="USM47"/>
      <c r="USN47"/>
      <c r="USO47"/>
      <c r="USP47"/>
      <c r="USQ47"/>
      <c r="USR47"/>
      <c r="USS47"/>
      <c r="UST47"/>
      <c r="USU47"/>
      <c r="USV47"/>
      <c r="USW47"/>
      <c r="USX47"/>
      <c r="USY47"/>
      <c r="USZ47"/>
      <c r="UTA47"/>
      <c r="UTB47"/>
      <c r="UTC47"/>
      <c r="UTD47"/>
      <c r="UTE47"/>
      <c r="UTF47"/>
      <c r="UTG47"/>
      <c r="UTH47"/>
      <c r="UTI47"/>
      <c r="UTJ47"/>
      <c r="UTK47"/>
      <c r="UTL47"/>
      <c r="UTM47"/>
      <c r="UTN47"/>
      <c r="UTO47"/>
      <c r="UTP47"/>
      <c r="UTQ47"/>
      <c r="UTR47"/>
      <c r="UTS47"/>
      <c r="UTT47"/>
      <c r="UTU47"/>
      <c r="UTV47"/>
      <c r="UTW47"/>
      <c r="UTX47"/>
      <c r="UTY47"/>
      <c r="UTZ47"/>
      <c r="UUA47"/>
      <c r="UUB47"/>
      <c r="UUC47"/>
      <c r="UUD47"/>
      <c r="UUE47"/>
      <c r="UUF47"/>
      <c r="UUG47"/>
      <c r="UUH47"/>
      <c r="UUI47"/>
      <c r="UUJ47"/>
      <c r="UUK47"/>
      <c r="UUL47"/>
      <c r="UUM47"/>
      <c r="UUN47"/>
      <c r="UUO47"/>
      <c r="UUP47"/>
      <c r="UUQ47"/>
      <c r="UUR47"/>
      <c r="UUS47"/>
      <c r="UUT47"/>
      <c r="UUU47"/>
      <c r="UUV47"/>
      <c r="UUW47"/>
      <c r="UUX47"/>
      <c r="UUY47"/>
      <c r="UUZ47"/>
      <c r="UVA47"/>
      <c r="UVB47"/>
      <c r="UVC47"/>
      <c r="UVD47"/>
      <c r="UVE47"/>
      <c r="UVF47"/>
      <c r="UVG47"/>
      <c r="UVH47"/>
      <c r="UVI47"/>
      <c r="UVJ47"/>
      <c r="UVK47"/>
      <c r="UVL47"/>
      <c r="UVM47"/>
      <c r="UVN47"/>
      <c r="UVO47"/>
      <c r="UVP47"/>
      <c r="UVQ47"/>
      <c r="UVR47"/>
      <c r="UVS47"/>
      <c r="UVT47"/>
      <c r="UVU47"/>
      <c r="UVV47"/>
      <c r="UVW47"/>
      <c r="UVX47"/>
      <c r="UVY47"/>
      <c r="UVZ47"/>
      <c r="UWA47"/>
      <c r="UWB47"/>
      <c r="UWC47"/>
      <c r="UWD47"/>
      <c r="UWE47"/>
      <c r="UWF47"/>
      <c r="UWG47"/>
      <c r="UWH47"/>
      <c r="UWI47"/>
      <c r="UWJ47"/>
      <c r="UWK47"/>
      <c r="UWL47"/>
      <c r="UWM47"/>
      <c r="UWN47"/>
      <c r="UWO47"/>
      <c r="UWP47"/>
      <c r="UWQ47"/>
      <c r="UWR47"/>
      <c r="UWS47"/>
      <c r="UWT47"/>
      <c r="UWU47"/>
      <c r="UWV47"/>
      <c r="UWW47"/>
      <c r="UWX47"/>
      <c r="UWY47"/>
      <c r="UWZ47"/>
      <c r="UXA47"/>
      <c r="UXB47"/>
      <c r="UXC47"/>
      <c r="UXD47"/>
      <c r="UXE47"/>
      <c r="UXF47"/>
      <c r="UXG47"/>
      <c r="UXH47"/>
      <c r="UXI47"/>
      <c r="UXJ47"/>
      <c r="UXK47"/>
      <c r="UXL47"/>
      <c r="UXM47"/>
      <c r="UXN47"/>
      <c r="UXO47"/>
      <c r="UXP47"/>
      <c r="UXQ47"/>
      <c r="UXR47"/>
      <c r="UXS47"/>
      <c r="UXT47"/>
      <c r="UXU47"/>
      <c r="UXV47"/>
      <c r="UXW47"/>
      <c r="UXX47"/>
      <c r="UXY47"/>
      <c r="UXZ47"/>
      <c r="UYA47"/>
      <c r="UYB47"/>
      <c r="UYC47"/>
      <c r="UYD47"/>
      <c r="UYE47"/>
      <c r="UYF47"/>
      <c r="UYG47"/>
      <c r="UYH47"/>
      <c r="UYI47"/>
      <c r="UYJ47"/>
      <c r="UYK47"/>
      <c r="UYL47"/>
      <c r="UYM47"/>
      <c r="UYN47"/>
      <c r="UYO47"/>
      <c r="UYP47"/>
      <c r="UYQ47"/>
      <c r="UYR47"/>
      <c r="UYS47"/>
      <c r="UYT47"/>
      <c r="UYU47"/>
      <c r="UYV47"/>
      <c r="UYW47"/>
      <c r="UYX47"/>
      <c r="UYY47"/>
      <c r="UYZ47"/>
      <c r="UZA47"/>
      <c r="UZB47"/>
      <c r="UZC47"/>
      <c r="UZD47"/>
      <c r="UZE47"/>
      <c r="UZF47"/>
      <c r="UZG47"/>
      <c r="UZH47"/>
      <c r="UZI47"/>
      <c r="UZJ47"/>
      <c r="UZK47"/>
      <c r="UZL47"/>
      <c r="UZM47"/>
      <c r="UZN47"/>
      <c r="UZO47"/>
      <c r="UZP47"/>
      <c r="UZQ47"/>
      <c r="UZR47"/>
      <c r="UZS47"/>
      <c r="UZT47"/>
      <c r="UZU47"/>
      <c r="UZV47"/>
      <c r="UZW47"/>
      <c r="UZX47"/>
      <c r="UZY47"/>
      <c r="UZZ47"/>
      <c r="VAA47"/>
      <c r="VAB47"/>
      <c r="VAC47"/>
      <c r="VAD47"/>
      <c r="VAE47"/>
      <c r="VAF47"/>
      <c r="VAG47"/>
      <c r="VAH47"/>
      <c r="VAI47"/>
      <c r="VAJ47"/>
      <c r="VAK47"/>
      <c r="VAL47"/>
      <c r="VAM47"/>
      <c r="VAN47"/>
      <c r="VAO47"/>
      <c r="VAP47"/>
      <c r="VAQ47"/>
      <c r="VAR47"/>
      <c r="VAS47"/>
      <c r="VAT47"/>
      <c r="VAU47"/>
      <c r="VAV47"/>
      <c r="VAW47"/>
      <c r="VAX47"/>
      <c r="VAY47"/>
      <c r="VAZ47"/>
      <c r="VBA47"/>
      <c r="VBB47"/>
      <c r="VBC47"/>
      <c r="VBD47"/>
      <c r="VBE47"/>
      <c r="VBF47"/>
      <c r="VBG47"/>
      <c r="VBH47"/>
      <c r="VBI47"/>
      <c r="VBJ47"/>
      <c r="VBK47"/>
      <c r="VBL47"/>
      <c r="VBM47"/>
      <c r="VBN47"/>
      <c r="VBO47"/>
      <c r="VBP47"/>
      <c r="VBQ47"/>
      <c r="VBR47"/>
      <c r="VBS47"/>
      <c r="VBT47"/>
      <c r="VBU47"/>
      <c r="VBV47"/>
      <c r="VBW47"/>
      <c r="VBX47"/>
      <c r="VBY47"/>
      <c r="VBZ47"/>
      <c r="VCA47"/>
      <c r="VCB47"/>
      <c r="VCC47"/>
      <c r="VCD47"/>
      <c r="VCE47"/>
      <c r="VCF47"/>
      <c r="VCG47"/>
      <c r="VCH47"/>
      <c r="VCI47"/>
      <c r="VCJ47"/>
      <c r="VCK47"/>
      <c r="VCL47"/>
      <c r="VCM47"/>
      <c r="VCN47"/>
      <c r="VCO47"/>
      <c r="VCP47"/>
      <c r="VCQ47"/>
      <c r="VCR47"/>
      <c r="VCS47"/>
      <c r="VCT47"/>
      <c r="VCU47"/>
      <c r="VCV47"/>
      <c r="VCW47"/>
      <c r="VCX47"/>
      <c r="VCY47"/>
      <c r="VCZ47"/>
      <c r="VDA47"/>
      <c r="VDB47"/>
      <c r="VDC47"/>
      <c r="VDD47"/>
      <c r="VDE47"/>
      <c r="VDF47"/>
      <c r="VDG47"/>
      <c r="VDH47"/>
      <c r="VDI47"/>
      <c r="VDJ47"/>
      <c r="VDK47"/>
      <c r="VDL47"/>
      <c r="VDM47"/>
      <c r="VDN47"/>
      <c r="VDO47"/>
      <c r="VDP47"/>
      <c r="VDQ47"/>
      <c r="VDR47"/>
      <c r="VDS47"/>
      <c r="VDT47"/>
      <c r="VDU47"/>
      <c r="VDV47"/>
      <c r="VDW47"/>
      <c r="VDX47"/>
      <c r="VDY47"/>
      <c r="VDZ47"/>
      <c r="VEA47"/>
      <c r="VEB47"/>
      <c r="VEC47"/>
      <c r="VED47"/>
      <c r="VEE47"/>
      <c r="VEF47"/>
      <c r="VEG47"/>
      <c r="VEH47"/>
      <c r="VEI47"/>
      <c r="VEJ47"/>
      <c r="VEK47"/>
      <c r="VEL47"/>
      <c r="VEM47"/>
      <c r="VEN47"/>
      <c r="VEO47"/>
      <c r="VEP47"/>
      <c r="VEQ47"/>
      <c r="VER47"/>
      <c r="VES47"/>
      <c r="VET47"/>
      <c r="VEU47"/>
      <c r="VEV47"/>
      <c r="VEW47"/>
      <c r="VEX47"/>
      <c r="VEY47"/>
      <c r="VEZ47"/>
      <c r="VFA47"/>
      <c r="VFB47"/>
      <c r="VFC47"/>
      <c r="VFD47"/>
      <c r="VFE47"/>
      <c r="VFF47"/>
      <c r="VFG47"/>
      <c r="VFH47"/>
      <c r="VFI47"/>
      <c r="VFJ47"/>
      <c r="VFK47"/>
      <c r="VFL47"/>
      <c r="VFM47"/>
      <c r="VFN47"/>
      <c r="VFO47"/>
      <c r="VFP47"/>
      <c r="VFQ47"/>
      <c r="VFR47"/>
      <c r="VFS47"/>
      <c r="VFT47"/>
      <c r="VFU47"/>
      <c r="VFV47"/>
      <c r="VFW47"/>
      <c r="VFX47"/>
      <c r="VFY47"/>
      <c r="VFZ47"/>
      <c r="VGA47"/>
      <c r="VGB47"/>
      <c r="VGC47"/>
      <c r="VGD47"/>
      <c r="VGE47"/>
      <c r="VGF47"/>
      <c r="VGG47"/>
      <c r="VGH47"/>
      <c r="VGI47"/>
      <c r="VGJ47"/>
      <c r="VGK47"/>
      <c r="VGL47"/>
      <c r="VGM47"/>
      <c r="VGN47"/>
      <c r="VGO47"/>
      <c r="VGP47"/>
      <c r="VGQ47"/>
      <c r="VGR47"/>
      <c r="VGS47"/>
      <c r="VGT47"/>
      <c r="VGU47"/>
      <c r="VGV47"/>
      <c r="VGW47"/>
      <c r="VGX47"/>
      <c r="VGY47"/>
      <c r="VGZ47"/>
      <c r="VHA47"/>
      <c r="VHB47"/>
      <c r="VHC47"/>
      <c r="VHD47"/>
      <c r="VHE47"/>
      <c r="VHF47"/>
      <c r="VHG47"/>
      <c r="VHH47"/>
      <c r="VHI47"/>
      <c r="VHJ47"/>
      <c r="VHK47"/>
      <c r="VHL47"/>
      <c r="VHM47"/>
      <c r="VHN47"/>
      <c r="VHO47"/>
      <c r="VHP47"/>
      <c r="VHQ47"/>
      <c r="VHR47"/>
      <c r="VHS47"/>
      <c r="VHT47"/>
      <c r="VHU47"/>
      <c r="VHV47"/>
      <c r="VHW47"/>
      <c r="VHX47"/>
      <c r="VHY47"/>
      <c r="VHZ47"/>
      <c r="VIA47"/>
      <c r="VIB47"/>
      <c r="VIC47"/>
      <c r="VID47"/>
      <c r="VIE47"/>
      <c r="VIF47"/>
      <c r="VIG47"/>
      <c r="VIH47"/>
      <c r="VII47"/>
      <c r="VIJ47"/>
      <c r="VIK47"/>
      <c r="VIL47"/>
      <c r="VIM47"/>
      <c r="VIN47"/>
      <c r="VIO47"/>
      <c r="VIP47"/>
      <c r="VIQ47"/>
      <c r="VIR47"/>
      <c r="VIS47"/>
      <c r="VIT47"/>
      <c r="VIU47"/>
      <c r="VIV47"/>
      <c r="VIW47"/>
      <c r="VIX47"/>
      <c r="VIY47"/>
      <c r="VIZ47"/>
      <c r="VJA47"/>
      <c r="VJB47"/>
      <c r="VJC47"/>
      <c r="VJD47"/>
      <c r="VJE47"/>
      <c r="VJF47"/>
      <c r="VJG47"/>
      <c r="VJH47"/>
      <c r="VJI47"/>
      <c r="VJJ47"/>
      <c r="VJK47"/>
      <c r="VJL47"/>
      <c r="VJM47"/>
      <c r="VJN47"/>
      <c r="VJO47"/>
      <c r="VJP47"/>
      <c r="VJQ47"/>
      <c r="VJR47"/>
      <c r="VJS47"/>
      <c r="VJT47"/>
      <c r="VJU47"/>
      <c r="VJV47"/>
      <c r="VJW47"/>
      <c r="VJX47"/>
      <c r="VJY47"/>
      <c r="VJZ47"/>
      <c r="VKA47"/>
      <c r="VKB47"/>
      <c r="VKC47"/>
      <c r="VKD47"/>
      <c r="VKE47"/>
      <c r="VKF47"/>
      <c r="VKG47"/>
      <c r="VKH47"/>
      <c r="VKI47"/>
      <c r="VKJ47"/>
      <c r="VKK47"/>
      <c r="VKL47"/>
      <c r="VKM47"/>
      <c r="VKN47"/>
      <c r="VKO47"/>
      <c r="VKP47"/>
      <c r="VKQ47"/>
      <c r="VKR47"/>
      <c r="VKS47"/>
      <c r="VKT47"/>
      <c r="VKU47"/>
      <c r="VKV47"/>
      <c r="VKW47"/>
      <c r="VKX47"/>
      <c r="VKY47"/>
      <c r="VKZ47"/>
      <c r="VLA47"/>
      <c r="VLB47"/>
      <c r="VLC47"/>
      <c r="VLD47"/>
      <c r="VLE47"/>
      <c r="VLF47"/>
      <c r="VLG47"/>
      <c r="VLH47"/>
      <c r="VLI47"/>
      <c r="VLJ47"/>
      <c r="VLK47"/>
      <c r="VLL47"/>
      <c r="VLM47"/>
      <c r="VLN47"/>
      <c r="VLO47"/>
      <c r="VLP47"/>
      <c r="VLQ47"/>
      <c r="VLR47"/>
      <c r="VLS47"/>
      <c r="VLT47"/>
      <c r="VLU47"/>
      <c r="VLV47"/>
      <c r="VLW47"/>
      <c r="VLX47"/>
      <c r="VLY47"/>
      <c r="VLZ47"/>
      <c r="VMA47"/>
      <c r="VMB47"/>
      <c r="VMC47"/>
      <c r="VMD47"/>
      <c r="VME47"/>
      <c r="VMF47"/>
      <c r="VMG47"/>
      <c r="VMH47"/>
      <c r="VMI47"/>
      <c r="VMJ47"/>
      <c r="VMK47"/>
      <c r="VML47"/>
      <c r="VMM47"/>
      <c r="VMN47"/>
      <c r="VMO47"/>
      <c r="VMP47"/>
      <c r="VMQ47"/>
      <c r="VMR47"/>
      <c r="VMS47"/>
      <c r="VMT47"/>
      <c r="VMU47"/>
      <c r="VMV47"/>
      <c r="VMW47"/>
      <c r="VMX47"/>
      <c r="VMY47"/>
      <c r="VMZ47"/>
      <c r="VNA47"/>
      <c r="VNB47"/>
      <c r="VNC47"/>
      <c r="VND47"/>
      <c r="VNE47"/>
      <c r="VNF47"/>
      <c r="VNG47"/>
      <c r="VNH47"/>
      <c r="VNI47"/>
      <c r="VNJ47"/>
      <c r="VNK47"/>
      <c r="VNL47"/>
      <c r="VNM47"/>
      <c r="VNN47"/>
      <c r="VNO47"/>
      <c r="VNP47"/>
      <c r="VNQ47"/>
      <c r="VNR47"/>
      <c r="VNS47"/>
      <c r="VNT47"/>
      <c r="VNU47"/>
      <c r="VNV47"/>
      <c r="VNW47"/>
      <c r="VNX47"/>
      <c r="VNY47"/>
      <c r="VNZ47"/>
      <c r="VOA47"/>
      <c r="VOB47"/>
      <c r="VOC47"/>
      <c r="VOD47"/>
      <c r="VOE47"/>
      <c r="VOF47"/>
      <c r="VOG47"/>
      <c r="VOH47"/>
      <c r="VOI47"/>
      <c r="VOJ47"/>
      <c r="VOK47"/>
      <c r="VOL47"/>
      <c r="VOM47"/>
      <c r="VON47"/>
      <c r="VOO47"/>
      <c r="VOP47"/>
      <c r="VOQ47"/>
      <c r="VOR47"/>
      <c r="VOS47"/>
      <c r="VOT47"/>
      <c r="VOU47"/>
      <c r="VOV47"/>
      <c r="VOW47"/>
      <c r="VOX47"/>
      <c r="VOY47"/>
      <c r="VOZ47"/>
      <c r="VPA47"/>
      <c r="VPB47"/>
      <c r="VPC47"/>
      <c r="VPD47"/>
      <c r="VPE47"/>
      <c r="VPF47"/>
      <c r="VPG47"/>
      <c r="VPH47"/>
      <c r="VPI47"/>
      <c r="VPJ47"/>
      <c r="VPK47"/>
      <c r="VPL47"/>
      <c r="VPM47"/>
      <c r="VPN47"/>
      <c r="VPO47"/>
      <c r="VPP47"/>
      <c r="VPQ47"/>
      <c r="VPR47"/>
      <c r="VPS47"/>
      <c r="VPT47"/>
      <c r="VPU47"/>
      <c r="VPV47"/>
      <c r="VPW47"/>
      <c r="VPX47"/>
      <c r="VPY47"/>
      <c r="VPZ47"/>
      <c r="VQA47"/>
      <c r="VQB47"/>
      <c r="VQC47"/>
      <c r="VQD47"/>
      <c r="VQE47"/>
      <c r="VQF47"/>
      <c r="VQG47"/>
      <c r="VQH47"/>
      <c r="VQI47"/>
      <c r="VQJ47"/>
      <c r="VQK47"/>
      <c r="VQL47"/>
      <c r="VQM47"/>
      <c r="VQN47"/>
      <c r="VQO47"/>
      <c r="VQP47"/>
      <c r="VQQ47"/>
      <c r="VQR47"/>
      <c r="VQS47"/>
      <c r="VQT47"/>
      <c r="VQU47"/>
      <c r="VQV47"/>
      <c r="VQW47"/>
      <c r="VQX47"/>
      <c r="VQY47"/>
      <c r="VQZ47"/>
      <c r="VRA47"/>
      <c r="VRB47"/>
      <c r="VRC47"/>
      <c r="VRD47"/>
      <c r="VRE47"/>
      <c r="VRF47"/>
      <c r="VRG47"/>
      <c r="VRH47"/>
      <c r="VRI47"/>
      <c r="VRJ47"/>
      <c r="VRK47"/>
      <c r="VRL47"/>
      <c r="VRM47"/>
      <c r="VRN47"/>
      <c r="VRO47"/>
      <c r="VRP47"/>
      <c r="VRQ47"/>
      <c r="VRR47"/>
      <c r="VRS47"/>
      <c r="VRT47"/>
      <c r="VRU47"/>
      <c r="VRV47"/>
      <c r="VRW47"/>
      <c r="VRX47"/>
      <c r="VRY47"/>
      <c r="VRZ47"/>
      <c r="VSA47"/>
      <c r="VSB47"/>
      <c r="VSC47"/>
      <c r="VSD47"/>
      <c r="VSE47"/>
      <c r="VSF47"/>
      <c r="VSG47"/>
      <c r="VSH47"/>
      <c r="VSI47"/>
      <c r="VSJ47"/>
      <c r="VSK47"/>
      <c r="VSL47"/>
      <c r="VSM47"/>
      <c r="VSN47"/>
      <c r="VSO47"/>
      <c r="VSP47"/>
      <c r="VSQ47"/>
      <c r="VSR47"/>
      <c r="VSS47"/>
      <c r="VST47"/>
      <c r="VSU47"/>
      <c r="VSV47"/>
      <c r="VSW47"/>
      <c r="VSX47"/>
      <c r="VSY47"/>
      <c r="VSZ47"/>
      <c r="VTA47"/>
      <c r="VTB47"/>
      <c r="VTC47"/>
      <c r="VTD47"/>
      <c r="VTE47"/>
      <c r="VTF47"/>
      <c r="VTG47"/>
      <c r="VTH47"/>
      <c r="VTI47"/>
      <c r="VTJ47"/>
      <c r="VTK47"/>
      <c r="VTL47"/>
      <c r="VTM47"/>
      <c r="VTN47"/>
      <c r="VTO47"/>
      <c r="VTP47"/>
      <c r="VTQ47"/>
      <c r="VTR47"/>
      <c r="VTS47"/>
      <c r="VTT47"/>
      <c r="VTU47"/>
      <c r="VTV47"/>
      <c r="VTW47"/>
      <c r="VTX47"/>
      <c r="VTY47"/>
      <c r="VTZ47"/>
      <c r="VUA47"/>
      <c r="VUB47"/>
      <c r="VUC47"/>
      <c r="VUD47"/>
      <c r="VUE47"/>
      <c r="VUF47"/>
      <c r="VUG47"/>
      <c r="VUH47"/>
      <c r="VUI47"/>
      <c r="VUJ47"/>
      <c r="VUK47"/>
      <c r="VUL47"/>
      <c r="VUM47"/>
      <c r="VUN47"/>
      <c r="VUO47"/>
      <c r="VUP47"/>
      <c r="VUQ47"/>
      <c r="VUR47"/>
      <c r="VUS47"/>
      <c r="VUT47"/>
      <c r="VUU47"/>
      <c r="VUV47"/>
      <c r="VUW47"/>
      <c r="VUX47"/>
      <c r="VUY47"/>
      <c r="VUZ47"/>
      <c r="VVA47"/>
      <c r="VVB47"/>
      <c r="VVC47"/>
      <c r="VVD47"/>
      <c r="VVE47"/>
      <c r="VVF47"/>
      <c r="VVG47"/>
      <c r="VVH47"/>
      <c r="VVI47"/>
      <c r="VVJ47"/>
      <c r="VVK47"/>
      <c r="VVL47"/>
      <c r="VVM47"/>
      <c r="VVN47"/>
      <c r="VVO47"/>
      <c r="VVP47"/>
      <c r="VVQ47"/>
      <c r="VVR47"/>
      <c r="VVS47"/>
      <c r="VVT47"/>
      <c r="VVU47"/>
      <c r="VVV47"/>
      <c r="VVW47"/>
      <c r="VVX47"/>
      <c r="VVY47"/>
      <c r="VVZ47"/>
      <c r="VWA47"/>
      <c r="VWB47"/>
      <c r="VWC47"/>
      <c r="VWD47"/>
      <c r="VWE47"/>
      <c r="VWF47"/>
      <c r="VWG47"/>
      <c r="VWH47"/>
      <c r="VWI47"/>
      <c r="VWJ47"/>
      <c r="VWK47"/>
      <c r="VWL47"/>
      <c r="VWM47"/>
      <c r="VWN47"/>
      <c r="VWO47"/>
      <c r="VWP47"/>
      <c r="VWQ47"/>
      <c r="VWR47"/>
      <c r="VWS47"/>
      <c r="VWT47"/>
      <c r="VWU47"/>
      <c r="VWV47"/>
      <c r="VWW47"/>
      <c r="VWX47"/>
      <c r="VWY47"/>
      <c r="VWZ47"/>
      <c r="VXA47"/>
      <c r="VXB47"/>
      <c r="VXC47"/>
      <c r="VXD47"/>
      <c r="VXE47"/>
      <c r="VXF47"/>
      <c r="VXG47"/>
      <c r="VXH47"/>
      <c r="VXI47"/>
      <c r="VXJ47"/>
      <c r="VXK47"/>
      <c r="VXL47"/>
      <c r="VXM47"/>
      <c r="VXN47"/>
      <c r="VXO47"/>
      <c r="VXP47"/>
      <c r="VXQ47"/>
      <c r="VXR47"/>
      <c r="VXS47"/>
      <c r="VXT47"/>
      <c r="VXU47"/>
      <c r="VXV47"/>
      <c r="VXW47"/>
      <c r="VXX47"/>
      <c r="VXY47"/>
      <c r="VXZ47"/>
      <c r="VYA47"/>
      <c r="VYB47"/>
      <c r="VYC47"/>
      <c r="VYD47"/>
      <c r="VYE47"/>
      <c r="VYF47"/>
      <c r="VYG47"/>
      <c r="VYH47"/>
      <c r="VYI47"/>
      <c r="VYJ47"/>
      <c r="VYK47"/>
      <c r="VYL47"/>
      <c r="VYM47"/>
      <c r="VYN47"/>
      <c r="VYO47"/>
      <c r="VYP47"/>
      <c r="VYQ47"/>
      <c r="VYR47"/>
      <c r="VYS47"/>
      <c r="VYT47"/>
      <c r="VYU47"/>
      <c r="VYV47"/>
      <c r="VYW47"/>
      <c r="VYX47"/>
      <c r="VYY47"/>
      <c r="VYZ47"/>
      <c r="VZA47"/>
      <c r="VZB47"/>
      <c r="VZC47"/>
      <c r="VZD47"/>
      <c r="VZE47"/>
      <c r="VZF47"/>
      <c r="VZG47"/>
      <c r="VZH47"/>
      <c r="VZI47"/>
      <c r="VZJ47"/>
      <c r="VZK47"/>
      <c r="VZL47"/>
      <c r="VZM47"/>
      <c r="VZN47"/>
      <c r="VZO47"/>
      <c r="VZP47"/>
      <c r="VZQ47"/>
      <c r="VZR47"/>
      <c r="VZS47"/>
      <c r="VZT47"/>
      <c r="VZU47"/>
      <c r="VZV47"/>
      <c r="VZW47"/>
      <c r="VZX47"/>
      <c r="VZY47"/>
      <c r="VZZ47"/>
      <c r="WAA47"/>
      <c r="WAB47"/>
      <c r="WAC47"/>
      <c r="WAD47"/>
      <c r="WAE47"/>
      <c r="WAF47"/>
      <c r="WAG47"/>
      <c r="WAH47"/>
      <c r="WAI47"/>
      <c r="WAJ47"/>
      <c r="WAK47"/>
      <c r="WAL47"/>
      <c r="WAM47"/>
      <c r="WAN47"/>
      <c r="WAO47"/>
      <c r="WAP47"/>
      <c r="WAQ47"/>
      <c r="WAR47"/>
      <c r="WAS47"/>
      <c r="WAT47"/>
      <c r="WAU47"/>
      <c r="WAV47"/>
      <c r="WAW47"/>
      <c r="WAX47"/>
      <c r="WAY47"/>
      <c r="WAZ47"/>
      <c r="WBA47"/>
      <c r="WBB47"/>
      <c r="WBC47"/>
      <c r="WBD47"/>
      <c r="WBE47"/>
      <c r="WBF47"/>
      <c r="WBG47"/>
      <c r="WBH47"/>
      <c r="WBI47"/>
      <c r="WBJ47"/>
      <c r="WBK47"/>
      <c r="WBL47"/>
      <c r="WBM47"/>
      <c r="WBN47"/>
      <c r="WBO47"/>
      <c r="WBP47"/>
      <c r="WBQ47"/>
      <c r="WBR47"/>
      <c r="WBS47"/>
      <c r="WBT47"/>
      <c r="WBU47"/>
      <c r="WBV47"/>
      <c r="WBW47"/>
      <c r="WBX47"/>
      <c r="WBY47"/>
      <c r="WBZ47"/>
      <c r="WCA47"/>
      <c r="WCB47"/>
      <c r="WCC47"/>
      <c r="WCD47"/>
      <c r="WCE47"/>
      <c r="WCF47"/>
      <c r="WCG47"/>
      <c r="WCH47"/>
      <c r="WCI47"/>
      <c r="WCJ47"/>
      <c r="WCK47"/>
      <c r="WCL47"/>
      <c r="WCM47"/>
      <c r="WCN47"/>
      <c r="WCO47"/>
      <c r="WCP47"/>
      <c r="WCQ47"/>
      <c r="WCR47"/>
      <c r="WCS47"/>
      <c r="WCT47"/>
      <c r="WCU47"/>
      <c r="WCV47"/>
      <c r="WCW47"/>
      <c r="WCX47"/>
      <c r="WCY47"/>
      <c r="WCZ47"/>
      <c r="WDA47"/>
      <c r="WDB47"/>
      <c r="WDC47"/>
      <c r="WDD47"/>
      <c r="WDE47"/>
      <c r="WDF47"/>
      <c r="WDG47"/>
      <c r="WDH47"/>
      <c r="WDI47"/>
      <c r="WDJ47"/>
      <c r="WDK47"/>
      <c r="WDL47"/>
      <c r="WDM47"/>
      <c r="WDN47"/>
      <c r="WDO47"/>
      <c r="WDP47"/>
      <c r="WDQ47"/>
      <c r="WDR47"/>
      <c r="WDS47"/>
      <c r="WDT47"/>
      <c r="WDU47"/>
      <c r="WDV47"/>
      <c r="WDW47"/>
      <c r="WDX47"/>
      <c r="WDY47"/>
      <c r="WDZ47"/>
      <c r="WEA47"/>
      <c r="WEB47"/>
      <c r="WEC47"/>
      <c r="WED47"/>
      <c r="WEE47"/>
      <c r="WEF47"/>
      <c r="WEG47"/>
      <c r="WEH47"/>
      <c r="WEI47"/>
      <c r="WEJ47"/>
      <c r="WEK47"/>
      <c r="WEL47"/>
      <c r="WEM47"/>
      <c r="WEN47"/>
      <c r="WEO47"/>
      <c r="WEP47"/>
      <c r="WEQ47"/>
      <c r="WER47"/>
      <c r="WES47"/>
      <c r="WET47"/>
      <c r="WEU47"/>
      <c r="WEV47"/>
      <c r="WEW47"/>
      <c r="WEX47"/>
      <c r="WEY47"/>
      <c r="WEZ47"/>
      <c r="WFA47"/>
      <c r="WFB47"/>
      <c r="WFC47"/>
      <c r="WFD47"/>
      <c r="WFE47"/>
      <c r="WFF47"/>
      <c r="WFG47"/>
      <c r="WFH47"/>
      <c r="WFI47"/>
      <c r="WFJ47"/>
      <c r="WFK47"/>
      <c r="WFL47"/>
      <c r="WFM47"/>
      <c r="WFN47"/>
      <c r="WFO47"/>
      <c r="WFP47"/>
      <c r="WFQ47"/>
      <c r="WFR47"/>
      <c r="WFS47"/>
      <c r="WFT47"/>
      <c r="WFU47"/>
      <c r="WFV47"/>
      <c r="WFW47"/>
      <c r="WFX47"/>
      <c r="WFY47"/>
      <c r="WFZ47"/>
      <c r="WGA47"/>
      <c r="WGB47"/>
      <c r="WGC47"/>
      <c r="WGD47"/>
      <c r="WGE47"/>
      <c r="WGF47"/>
      <c r="WGG47"/>
      <c r="WGH47"/>
      <c r="WGI47"/>
      <c r="WGJ47"/>
      <c r="WGK47"/>
      <c r="WGL47"/>
      <c r="WGM47"/>
      <c r="WGN47"/>
      <c r="WGO47"/>
      <c r="WGP47"/>
      <c r="WGQ47"/>
      <c r="WGR47"/>
      <c r="WGS47"/>
      <c r="WGT47"/>
      <c r="WGU47"/>
      <c r="WGV47"/>
      <c r="WGW47"/>
      <c r="WGX47"/>
      <c r="WGY47"/>
      <c r="WGZ47"/>
      <c r="WHA47"/>
      <c r="WHB47"/>
      <c r="WHC47"/>
      <c r="WHD47"/>
      <c r="WHE47"/>
      <c r="WHF47"/>
      <c r="WHG47"/>
      <c r="WHH47"/>
      <c r="WHI47"/>
      <c r="WHJ47"/>
      <c r="WHK47"/>
      <c r="WHL47"/>
      <c r="WHM47"/>
      <c r="WHN47"/>
      <c r="WHO47"/>
      <c r="WHP47"/>
      <c r="WHQ47"/>
      <c r="WHR47"/>
      <c r="WHS47"/>
      <c r="WHT47"/>
      <c r="WHU47"/>
      <c r="WHV47"/>
      <c r="WHW47"/>
      <c r="WHX47"/>
      <c r="WHY47"/>
      <c r="WHZ47"/>
      <c r="WIA47"/>
      <c r="WIB47"/>
      <c r="WIC47"/>
      <c r="WID47"/>
      <c r="WIE47"/>
      <c r="WIF47"/>
      <c r="WIG47"/>
      <c r="WIH47"/>
      <c r="WII47"/>
      <c r="WIJ47"/>
      <c r="WIK47"/>
      <c r="WIL47"/>
      <c r="WIM47"/>
      <c r="WIN47"/>
      <c r="WIO47"/>
      <c r="WIP47"/>
      <c r="WIQ47"/>
      <c r="WIR47"/>
      <c r="WIS47"/>
      <c r="WIT47"/>
      <c r="WIU47"/>
      <c r="WIV47"/>
      <c r="WIW47"/>
      <c r="WIX47"/>
      <c r="WIY47"/>
      <c r="WIZ47"/>
      <c r="WJA47"/>
      <c r="WJB47"/>
      <c r="WJC47"/>
      <c r="WJD47"/>
      <c r="WJE47"/>
      <c r="WJF47"/>
      <c r="WJG47"/>
      <c r="WJH47"/>
      <c r="WJI47"/>
      <c r="WJJ47"/>
      <c r="WJK47"/>
      <c r="WJL47"/>
      <c r="WJM47"/>
      <c r="WJN47"/>
      <c r="WJO47"/>
      <c r="WJP47"/>
      <c r="WJQ47"/>
      <c r="WJR47"/>
      <c r="WJS47"/>
      <c r="WJT47"/>
      <c r="WJU47"/>
      <c r="WJV47"/>
      <c r="WJW47"/>
      <c r="WJX47"/>
      <c r="WJY47"/>
      <c r="WJZ47"/>
      <c r="WKA47"/>
      <c r="WKB47"/>
      <c r="WKC47"/>
      <c r="WKD47"/>
      <c r="WKE47"/>
      <c r="WKF47"/>
      <c r="WKG47"/>
      <c r="WKH47"/>
      <c r="WKI47"/>
      <c r="WKJ47"/>
      <c r="WKK47"/>
      <c r="WKL47"/>
      <c r="WKM47"/>
      <c r="WKN47"/>
      <c r="WKO47"/>
      <c r="WKP47"/>
      <c r="WKQ47"/>
      <c r="WKR47"/>
      <c r="WKS47"/>
      <c r="WKT47"/>
      <c r="WKU47"/>
      <c r="WKV47"/>
      <c r="WKW47"/>
      <c r="WKX47"/>
      <c r="WKY47"/>
      <c r="WKZ47"/>
      <c r="WLA47"/>
      <c r="WLB47"/>
      <c r="WLC47"/>
      <c r="WLD47"/>
      <c r="WLE47"/>
      <c r="WLF47"/>
      <c r="WLG47"/>
      <c r="WLH47"/>
      <c r="WLI47"/>
      <c r="WLJ47"/>
      <c r="WLK47"/>
      <c r="WLL47"/>
      <c r="WLM47"/>
      <c r="WLN47"/>
      <c r="WLO47"/>
      <c r="WLP47"/>
      <c r="WLQ47"/>
      <c r="WLR47"/>
      <c r="WLS47"/>
      <c r="WLT47"/>
      <c r="WLU47"/>
      <c r="WLV47"/>
      <c r="WLW47"/>
      <c r="WLX47"/>
      <c r="WLY47"/>
      <c r="WLZ47"/>
      <c r="WMA47"/>
      <c r="WMB47"/>
      <c r="WMC47"/>
      <c r="WMD47"/>
      <c r="WME47"/>
      <c r="WMF47"/>
      <c r="WMG47"/>
      <c r="WMH47"/>
      <c r="WMI47"/>
      <c r="WMJ47"/>
      <c r="WMK47"/>
      <c r="WML47"/>
      <c r="WMM47"/>
      <c r="WMN47"/>
      <c r="WMO47"/>
      <c r="WMP47"/>
      <c r="WMQ47"/>
      <c r="WMR47"/>
      <c r="WMS47"/>
      <c r="WMT47"/>
      <c r="WMU47"/>
      <c r="WMV47"/>
      <c r="WMW47"/>
      <c r="WMX47"/>
      <c r="WMY47"/>
      <c r="WMZ47"/>
      <c r="WNA47"/>
      <c r="WNB47"/>
      <c r="WNC47"/>
      <c r="WND47"/>
      <c r="WNE47"/>
      <c r="WNF47"/>
      <c r="WNG47"/>
      <c r="WNH47"/>
      <c r="WNI47"/>
      <c r="WNJ47"/>
      <c r="WNK47"/>
      <c r="WNL47"/>
      <c r="WNM47"/>
      <c r="WNN47"/>
      <c r="WNO47"/>
      <c r="WNP47"/>
      <c r="WNQ47"/>
      <c r="WNR47"/>
      <c r="WNS47"/>
      <c r="WNT47"/>
      <c r="WNU47"/>
      <c r="WNV47"/>
      <c r="WNW47"/>
      <c r="WNX47"/>
      <c r="WNY47"/>
      <c r="WNZ47"/>
      <c r="WOA47"/>
      <c r="WOB47"/>
      <c r="WOC47"/>
      <c r="WOD47"/>
      <c r="WOE47"/>
      <c r="WOF47"/>
      <c r="WOG47"/>
      <c r="WOH47"/>
      <c r="WOI47"/>
      <c r="WOJ47"/>
      <c r="WOK47"/>
      <c r="WOL47"/>
      <c r="WOM47"/>
      <c r="WON47"/>
      <c r="WOO47"/>
      <c r="WOP47"/>
      <c r="WOQ47"/>
      <c r="WOR47"/>
      <c r="WOS47"/>
      <c r="WOT47"/>
      <c r="WOU47"/>
      <c r="WOV47"/>
      <c r="WOW47"/>
      <c r="WOX47"/>
      <c r="WOY47"/>
      <c r="WOZ47"/>
      <c r="WPA47"/>
      <c r="WPB47"/>
      <c r="WPC47"/>
      <c r="WPD47"/>
      <c r="WPE47"/>
      <c r="WPF47"/>
      <c r="WPG47"/>
      <c r="WPH47"/>
      <c r="WPI47"/>
      <c r="WPJ47"/>
      <c r="WPK47"/>
      <c r="WPL47"/>
      <c r="WPM47"/>
      <c r="WPN47"/>
      <c r="WPO47"/>
      <c r="WPP47"/>
      <c r="WPQ47"/>
      <c r="WPR47"/>
      <c r="WPS47"/>
      <c r="WPT47"/>
      <c r="WPU47"/>
      <c r="WPV47"/>
      <c r="WPW47"/>
      <c r="WPX47"/>
      <c r="WPY47"/>
      <c r="WPZ47"/>
      <c r="WQA47"/>
      <c r="WQB47"/>
      <c r="WQC47"/>
      <c r="WQD47"/>
      <c r="WQE47"/>
      <c r="WQF47"/>
      <c r="WQG47"/>
      <c r="WQH47"/>
      <c r="WQI47"/>
      <c r="WQJ47"/>
      <c r="WQK47"/>
      <c r="WQL47"/>
      <c r="WQM47"/>
      <c r="WQN47"/>
      <c r="WQO47"/>
      <c r="WQP47"/>
      <c r="WQQ47"/>
      <c r="WQR47"/>
      <c r="WQS47"/>
      <c r="WQT47"/>
      <c r="WQU47"/>
      <c r="WQV47"/>
      <c r="WQW47"/>
      <c r="WQX47"/>
      <c r="WQY47"/>
      <c r="WQZ47"/>
      <c r="WRA47"/>
      <c r="WRB47"/>
      <c r="WRC47"/>
      <c r="WRD47"/>
      <c r="WRE47"/>
      <c r="WRF47"/>
      <c r="WRG47"/>
      <c r="WRH47"/>
      <c r="WRI47"/>
      <c r="WRJ47"/>
      <c r="WRK47"/>
      <c r="WRL47"/>
      <c r="WRM47"/>
      <c r="WRN47"/>
      <c r="WRO47"/>
      <c r="WRP47"/>
      <c r="WRQ47"/>
      <c r="WRR47"/>
      <c r="WRS47"/>
      <c r="WRT47"/>
      <c r="WRU47"/>
      <c r="WRV47"/>
      <c r="WRW47"/>
      <c r="WRX47"/>
      <c r="WRY47"/>
      <c r="WRZ47"/>
      <c r="WSA47"/>
      <c r="WSB47"/>
      <c r="WSC47"/>
      <c r="WSD47"/>
      <c r="WSE47"/>
      <c r="WSF47"/>
      <c r="WSG47"/>
      <c r="WSH47"/>
      <c r="WSI47"/>
      <c r="WSJ47"/>
      <c r="WSK47"/>
      <c r="WSL47"/>
      <c r="WSM47"/>
      <c r="WSN47"/>
      <c r="WSO47"/>
      <c r="WSP47"/>
      <c r="WSQ47"/>
      <c r="WSR47"/>
      <c r="WSS47"/>
      <c r="WST47"/>
      <c r="WSU47"/>
      <c r="WSV47"/>
      <c r="WSW47"/>
      <c r="WSX47"/>
      <c r="WSY47"/>
      <c r="WSZ47"/>
      <c r="WTA47"/>
      <c r="WTB47"/>
      <c r="WTC47"/>
      <c r="WTD47"/>
      <c r="WTE47"/>
      <c r="WTF47"/>
      <c r="WTG47"/>
      <c r="WTH47"/>
      <c r="WTI47"/>
      <c r="WTJ47"/>
      <c r="WTK47"/>
      <c r="WTL47"/>
      <c r="WTM47"/>
      <c r="WTN47"/>
      <c r="WTO47"/>
      <c r="WTP47"/>
      <c r="WTQ47"/>
      <c r="WTR47"/>
      <c r="WTS47"/>
      <c r="WTT47"/>
      <c r="WTU47"/>
      <c r="WTV47"/>
      <c r="WTW47"/>
      <c r="WTX47"/>
      <c r="WTY47"/>
      <c r="WTZ47"/>
      <c r="WUA47"/>
      <c r="WUB47"/>
      <c r="WUC47"/>
      <c r="WUD47"/>
      <c r="WUE47"/>
      <c r="WUF47"/>
      <c r="WUG47"/>
      <c r="WUH47"/>
      <c r="WUI47"/>
      <c r="WUJ47"/>
      <c r="WUK47"/>
      <c r="WUL47"/>
      <c r="WUM47"/>
      <c r="WUN47"/>
      <c r="WUO47"/>
      <c r="WUP47"/>
      <c r="WUQ47"/>
      <c r="WUR47"/>
      <c r="WUS47"/>
      <c r="WUT47"/>
      <c r="WUU47"/>
      <c r="WUV47"/>
      <c r="WUW47"/>
      <c r="WUX47"/>
      <c r="WUY47"/>
      <c r="WUZ47"/>
      <c r="WVA47"/>
      <c r="WVB47"/>
      <c r="WVC47"/>
      <c r="WVD47"/>
      <c r="WVE47"/>
      <c r="WVF47"/>
      <c r="WVG47"/>
      <c r="WVH47"/>
      <c r="WVI47"/>
      <c r="WVJ47"/>
      <c r="WVK47"/>
      <c r="WVL47"/>
      <c r="WVM47"/>
      <c r="WVN47"/>
      <c r="WVO47"/>
      <c r="WVP47"/>
      <c r="WVQ47"/>
      <c r="WVR47"/>
      <c r="WVS47"/>
      <c r="WVT47"/>
      <c r="WVU47"/>
      <c r="WVV47"/>
      <c r="WVW47"/>
      <c r="WVX47"/>
      <c r="WVY47"/>
      <c r="WVZ47"/>
      <c r="WWA47"/>
      <c r="WWB47"/>
      <c r="WWC47"/>
      <c r="WWD47"/>
      <c r="WWE47"/>
      <c r="WWF47"/>
      <c r="WWG47"/>
      <c r="WWH47"/>
      <c r="WWI47"/>
      <c r="WWJ47"/>
      <c r="WWK47"/>
      <c r="WWL47"/>
      <c r="WWM47"/>
      <c r="WWN47"/>
      <c r="WWO47"/>
      <c r="WWP47"/>
      <c r="WWQ47"/>
      <c r="WWR47"/>
      <c r="WWS47"/>
      <c r="WWT47"/>
      <c r="WWU47"/>
      <c r="WWV47"/>
      <c r="WWW47"/>
      <c r="WWX47"/>
      <c r="WWY47"/>
      <c r="WWZ47"/>
      <c r="WXA47"/>
      <c r="WXB47"/>
      <c r="WXC47"/>
      <c r="WXD47"/>
      <c r="WXE47"/>
      <c r="WXF47"/>
      <c r="WXG47"/>
      <c r="WXH47"/>
      <c r="WXI47"/>
      <c r="WXJ47"/>
      <c r="WXK47"/>
      <c r="WXL47"/>
      <c r="WXM47"/>
      <c r="WXN47"/>
      <c r="WXO47"/>
      <c r="WXP47"/>
      <c r="WXQ47"/>
      <c r="WXR47"/>
      <c r="WXS47"/>
      <c r="WXT47"/>
      <c r="WXU47"/>
      <c r="WXV47"/>
      <c r="WXW47"/>
      <c r="WXX47"/>
      <c r="WXY47"/>
      <c r="WXZ47"/>
      <c r="WYA47"/>
      <c r="WYB47"/>
      <c r="WYC47"/>
      <c r="WYD47"/>
      <c r="WYE47"/>
      <c r="WYF47"/>
      <c r="WYG47"/>
      <c r="WYH47"/>
      <c r="WYI47"/>
      <c r="WYJ47"/>
      <c r="WYK47"/>
      <c r="WYL47"/>
      <c r="WYM47"/>
      <c r="WYN47"/>
      <c r="WYO47"/>
      <c r="WYP47"/>
      <c r="WYQ47"/>
      <c r="WYR47"/>
      <c r="WYS47"/>
      <c r="WYT47"/>
      <c r="WYU47"/>
      <c r="WYV47"/>
      <c r="WYW47"/>
      <c r="WYX47"/>
      <c r="WYY47"/>
      <c r="WYZ47"/>
      <c r="WZA47"/>
      <c r="WZB47"/>
      <c r="WZC47"/>
      <c r="WZD47"/>
      <c r="WZE47"/>
      <c r="WZF47"/>
      <c r="WZG47"/>
      <c r="WZH47"/>
      <c r="WZI47"/>
      <c r="WZJ47"/>
      <c r="WZK47"/>
      <c r="WZL47"/>
      <c r="WZM47"/>
      <c r="WZN47"/>
      <c r="WZO47"/>
      <c r="WZP47"/>
      <c r="WZQ47"/>
      <c r="WZR47"/>
      <c r="WZS47"/>
      <c r="WZT47"/>
      <c r="WZU47"/>
      <c r="WZV47"/>
      <c r="WZW47"/>
      <c r="WZX47"/>
      <c r="WZY47"/>
      <c r="WZZ47"/>
      <c r="XAA47"/>
      <c r="XAB47"/>
      <c r="XAC47"/>
      <c r="XAD47"/>
      <c r="XAE47"/>
      <c r="XAF47"/>
      <c r="XAG47"/>
      <c r="XAH47"/>
      <c r="XAI47"/>
      <c r="XAJ47"/>
      <c r="XAK47"/>
      <c r="XAL47"/>
      <c r="XAM47"/>
      <c r="XAN47"/>
      <c r="XAO47"/>
      <c r="XAP47"/>
      <c r="XAQ47"/>
      <c r="XAR47"/>
      <c r="XAS47"/>
      <c r="XAT47"/>
      <c r="XAU47"/>
      <c r="XAV47"/>
      <c r="XAW47"/>
      <c r="XAX47"/>
      <c r="XAY47"/>
      <c r="XAZ47"/>
      <c r="XBA47"/>
      <c r="XBB47"/>
      <c r="XBC47"/>
      <c r="XBD47"/>
      <c r="XBE47"/>
      <c r="XBF47"/>
      <c r="XBG47"/>
      <c r="XBH47"/>
      <c r="XBI47"/>
      <c r="XBJ47"/>
      <c r="XBK47"/>
      <c r="XBL47"/>
      <c r="XBM47"/>
      <c r="XBN47"/>
      <c r="XBO47"/>
      <c r="XBP47"/>
      <c r="XBQ47"/>
      <c r="XBR47"/>
      <c r="XBS47"/>
      <c r="XBT47"/>
      <c r="XBU47"/>
      <c r="XBV47"/>
      <c r="XBW47"/>
      <c r="XBX47"/>
      <c r="XBY47"/>
      <c r="XBZ47"/>
      <c r="XCA47"/>
      <c r="XCB47"/>
      <c r="XCC47"/>
      <c r="XCD47"/>
      <c r="XCE47"/>
      <c r="XCF47"/>
      <c r="XCG47"/>
      <c r="XCH47"/>
      <c r="XCI47"/>
      <c r="XCJ47"/>
      <c r="XCK47"/>
      <c r="XCL47"/>
      <c r="XCM47"/>
      <c r="XCN47"/>
      <c r="XCO47"/>
      <c r="XCP47"/>
      <c r="XCQ47"/>
      <c r="XCR47"/>
      <c r="XCS47"/>
      <c r="XCT47"/>
      <c r="XCU47"/>
      <c r="XCV47"/>
      <c r="XCW47"/>
      <c r="XCX47"/>
      <c r="XCY47"/>
      <c r="XCZ47"/>
      <c r="XDA47"/>
      <c r="XDB47"/>
      <c r="XDC47"/>
      <c r="XDD47"/>
      <c r="XDE47"/>
      <c r="XDF47"/>
    </row>
    <row r="48" spans="1:16334" x14ac:dyDescent="0.1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 s="46">
        <f t="shared" si="13"/>
        <v>0</v>
      </c>
      <c r="AK48" s="46">
        <f t="shared" si="14"/>
        <v>0</v>
      </c>
      <c r="AL48" s="157">
        <f t="shared" si="15"/>
        <v>0</v>
      </c>
      <c r="AM48" s="155">
        <f t="shared" si="16"/>
        <v>0</v>
      </c>
      <c r="AN48" s="155">
        <f t="shared" si="17"/>
        <v>0</v>
      </c>
      <c r="AO48" s="155">
        <f t="shared" si="18"/>
        <v>0</v>
      </c>
      <c r="AP48" s="48" t="str">
        <f t="shared" si="19"/>
        <v/>
      </c>
      <c r="AQ48" s="49" t="str">
        <f t="shared" si="20"/>
        <v/>
      </c>
      <c r="AR48" s="49" t="str">
        <f t="shared" si="21"/>
        <v/>
      </c>
      <c r="AS48" s="41" t="str">
        <f t="shared" si="22"/>
        <v/>
      </c>
      <c r="AT48" s="50">
        <f t="shared" si="23"/>
        <v>99999.004799999995</v>
      </c>
      <c r="AU48" s="2">
        <f t="shared" si="24"/>
        <v>44</v>
      </c>
      <c r="AV48" s="96" t="str">
        <f t="shared" si="25"/>
        <v/>
      </c>
      <c r="AW48" s="2">
        <f t="shared" si="26"/>
        <v>0</v>
      </c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  <c r="AQB48"/>
      <c r="AQC48"/>
      <c r="AQD48"/>
      <c r="AQE48"/>
      <c r="AQF48"/>
      <c r="AQG48"/>
      <c r="AQH48"/>
      <c r="AQI48"/>
      <c r="AQJ48"/>
      <c r="AQK48"/>
      <c r="AQL48"/>
      <c r="AQM48"/>
      <c r="AQN48"/>
      <c r="AQO48"/>
      <c r="AQP48"/>
      <c r="AQQ48"/>
      <c r="AQR48"/>
      <c r="AQS48"/>
      <c r="AQT48"/>
      <c r="AQU48"/>
      <c r="AQV48"/>
      <c r="AQW48"/>
      <c r="AQX48"/>
      <c r="AQY48"/>
      <c r="AQZ48"/>
      <c r="ARA48"/>
      <c r="ARB48"/>
      <c r="ARC48"/>
      <c r="ARD48"/>
      <c r="ARE48"/>
      <c r="ARF48"/>
      <c r="ARG48"/>
      <c r="ARH48"/>
      <c r="ARI48"/>
      <c r="ARJ48"/>
      <c r="ARK48"/>
      <c r="ARL48"/>
      <c r="ARM48"/>
      <c r="ARN48"/>
      <c r="ARO48"/>
      <c r="ARP48"/>
      <c r="ARQ48"/>
      <c r="ARR48"/>
      <c r="ARS48"/>
      <c r="ART48"/>
      <c r="ARU48"/>
      <c r="ARV48"/>
      <c r="ARW48"/>
      <c r="ARX48"/>
      <c r="ARY48"/>
      <c r="ARZ48"/>
      <c r="ASA48"/>
      <c r="ASB48"/>
      <c r="ASC48"/>
      <c r="ASD48"/>
      <c r="ASE48"/>
      <c r="ASF48"/>
      <c r="ASG48"/>
      <c r="ASH48"/>
      <c r="ASI48"/>
      <c r="ASJ48"/>
      <c r="ASK48"/>
      <c r="ASL48"/>
      <c r="ASM48"/>
      <c r="ASN48"/>
      <c r="ASO48"/>
      <c r="ASP48"/>
      <c r="ASQ48"/>
      <c r="ASR48"/>
      <c r="ASS48"/>
      <c r="AST48"/>
      <c r="ASU48"/>
      <c r="ASV48"/>
      <c r="ASW48"/>
      <c r="ASX48"/>
      <c r="ASY48"/>
      <c r="ASZ48"/>
      <c r="ATA48"/>
      <c r="ATB48"/>
      <c r="ATC48"/>
      <c r="ATD48"/>
      <c r="ATE48"/>
      <c r="ATF48"/>
      <c r="ATG48"/>
      <c r="ATH48"/>
      <c r="ATI48"/>
      <c r="ATJ48"/>
      <c r="ATK48"/>
      <c r="ATL48"/>
      <c r="ATM48"/>
      <c r="ATN48"/>
      <c r="ATO48"/>
      <c r="ATP48"/>
      <c r="ATQ48"/>
      <c r="ATR48"/>
      <c r="ATS48"/>
      <c r="ATT48"/>
      <c r="ATU48"/>
      <c r="ATV48"/>
      <c r="ATW48"/>
      <c r="ATX48"/>
      <c r="ATY48"/>
      <c r="ATZ48"/>
      <c r="AUA48"/>
      <c r="AUB48"/>
      <c r="AUC48"/>
      <c r="AUD48"/>
      <c r="AUE48"/>
      <c r="AUF48"/>
      <c r="AUG48"/>
      <c r="AUH48"/>
      <c r="AUI48"/>
      <c r="AUJ48"/>
      <c r="AUK48"/>
      <c r="AUL48"/>
      <c r="AUM48"/>
      <c r="AUN48"/>
      <c r="AUO48"/>
      <c r="AUP48"/>
      <c r="AUQ48"/>
      <c r="AUR48"/>
      <c r="AUS48"/>
      <c r="AUT48"/>
      <c r="AUU48"/>
      <c r="AUV48"/>
      <c r="AUW48"/>
      <c r="AUX48"/>
      <c r="AUY48"/>
      <c r="AUZ48"/>
      <c r="AVA48"/>
      <c r="AVB48"/>
      <c r="AVC48"/>
      <c r="AVD48"/>
      <c r="AVE48"/>
      <c r="AVF48"/>
      <c r="AVG48"/>
      <c r="AVH48"/>
      <c r="AVI48"/>
      <c r="AVJ48"/>
      <c r="AVK48"/>
      <c r="AVL48"/>
      <c r="AVM48"/>
      <c r="AVN48"/>
      <c r="AVO48"/>
      <c r="AVP48"/>
      <c r="AVQ48"/>
      <c r="AVR48"/>
      <c r="AVS48"/>
      <c r="AVT48"/>
      <c r="AVU48"/>
      <c r="AVV48"/>
      <c r="AVW48"/>
      <c r="AVX48"/>
      <c r="AVY48"/>
      <c r="AVZ48"/>
      <c r="AWA48"/>
      <c r="AWB48"/>
      <c r="AWC48"/>
      <c r="AWD48"/>
      <c r="AWE48"/>
      <c r="AWF48"/>
      <c r="AWG48"/>
      <c r="AWH48"/>
      <c r="AWI48"/>
      <c r="AWJ48"/>
      <c r="AWK48"/>
      <c r="AWL48"/>
      <c r="AWM48"/>
      <c r="AWN48"/>
      <c r="AWO48"/>
      <c r="AWP48"/>
      <c r="AWQ48"/>
      <c r="AWR48"/>
      <c r="AWS48"/>
      <c r="AWT48"/>
      <c r="AWU48"/>
      <c r="AWV48"/>
      <c r="AWW48"/>
      <c r="AWX48"/>
      <c r="AWY48"/>
      <c r="AWZ48"/>
      <c r="AXA48"/>
      <c r="AXB48"/>
      <c r="AXC48"/>
      <c r="AXD48"/>
      <c r="AXE48"/>
      <c r="AXF48"/>
      <c r="AXG48"/>
      <c r="AXH48"/>
      <c r="AXI48"/>
      <c r="AXJ48"/>
      <c r="AXK48"/>
      <c r="AXL48"/>
      <c r="AXM48"/>
      <c r="AXN48"/>
      <c r="AXO48"/>
      <c r="AXP48"/>
      <c r="AXQ48"/>
      <c r="AXR48"/>
      <c r="AXS48"/>
      <c r="AXT48"/>
      <c r="AXU48"/>
      <c r="AXV48"/>
      <c r="AXW48"/>
      <c r="AXX48"/>
      <c r="AXY48"/>
      <c r="AXZ48"/>
      <c r="AYA48"/>
      <c r="AYB48"/>
      <c r="AYC48"/>
      <c r="AYD48"/>
      <c r="AYE48"/>
      <c r="AYF48"/>
      <c r="AYG48"/>
      <c r="AYH48"/>
      <c r="AYI48"/>
      <c r="AYJ48"/>
      <c r="AYK48"/>
      <c r="AYL48"/>
      <c r="AYM48"/>
      <c r="AYN48"/>
      <c r="AYO48"/>
      <c r="AYP48"/>
      <c r="AYQ48"/>
      <c r="AYR48"/>
      <c r="AYS48"/>
      <c r="AYT48"/>
      <c r="AYU48"/>
      <c r="AYV48"/>
      <c r="AYW48"/>
      <c r="AYX48"/>
      <c r="AYY48"/>
      <c r="AYZ48"/>
      <c r="AZA48"/>
      <c r="AZB48"/>
      <c r="AZC48"/>
      <c r="AZD48"/>
      <c r="AZE48"/>
      <c r="AZF48"/>
      <c r="AZG48"/>
      <c r="AZH48"/>
      <c r="AZI48"/>
      <c r="AZJ48"/>
      <c r="AZK48"/>
      <c r="AZL48"/>
      <c r="AZM48"/>
      <c r="AZN48"/>
      <c r="AZO48"/>
      <c r="AZP48"/>
      <c r="AZQ48"/>
      <c r="AZR48"/>
      <c r="AZS48"/>
      <c r="AZT48"/>
      <c r="AZU48"/>
      <c r="AZV48"/>
      <c r="AZW48"/>
      <c r="AZX48"/>
      <c r="AZY48"/>
      <c r="AZZ48"/>
      <c r="BAA48"/>
      <c r="BAB48"/>
      <c r="BAC48"/>
      <c r="BAD48"/>
      <c r="BAE48"/>
      <c r="BAF48"/>
      <c r="BAG48"/>
      <c r="BAH48"/>
      <c r="BAI48"/>
      <c r="BAJ48"/>
      <c r="BAK48"/>
      <c r="BAL48"/>
      <c r="BAM48"/>
      <c r="BAN48"/>
      <c r="BAO48"/>
      <c r="BAP48"/>
      <c r="BAQ48"/>
      <c r="BAR48"/>
      <c r="BAS48"/>
      <c r="BAT48"/>
      <c r="BAU48"/>
      <c r="BAV48"/>
      <c r="BAW48"/>
      <c r="BAX48"/>
      <c r="BAY48"/>
      <c r="BAZ48"/>
      <c r="BBA48"/>
      <c r="BBB48"/>
      <c r="BBC48"/>
      <c r="BBD48"/>
      <c r="BBE48"/>
      <c r="BBF48"/>
      <c r="BBG48"/>
      <c r="BBH48"/>
      <c r="BBI48"/>
      <c r="BBJ48"/>
      <c r="BBK48"/>
      <c r="BBL48"/>
      <c r="BBM48"/>
      <c r="BBN48"/>
      <c r="BBO48"/>
      <c r="BBP48"/>
      <c r="BBQ48"/>
      <c r="BBR48"/>
      <c r="BBS48"/>
      <c r="BBT48"/>
      <c r="BBU48"/>
      <c r="BBV48"/>
      <c r="BBW48"/>
      <c r="BBX48"/>
      <c r="BBY48"/>
      <c r="BBZ48"/>
      <c r="BCA48"/>
      <c r="BCB48"/>
      <c r="BCC48"/>
      <c r="BCD48"/>
      <c r="BCE48"/>
      <c r="BCF48"/>
      <c r="BCG48"/>
      <c r="BCH48"/>
      <c r="BCI48"/>
      <c r="BCJ48"/>
      <c r="BCK48"/>
      <c r="BCL48"/>
      <c r="BCM48"/>
      <c r="BCN48"/>
      <c r="BCO48"/>
      <c r="BCP48"/>
      <c r="BCQ48"/>
      <c r="BCR48"/>
      <c r="BCS48"/>
      <c r="BCT48"/>
      <c r="BCU48"/>
      <c r="BCV48"/>
      <c r="BCW48"/>
      <c r="BCX48"/>
      <c r="BCY48"/>
      <c r="BCZ48"/>
      <c r="BDA48"/>
      <c r="BDB48"/>
      <c r="BDC48"/>
      <c r="BDD48"/>
      <c r="BDE48"/>
      <c r="BDF48"/>
      <c r="BDG48"/>
      <c r="BDH48"/>
      <c r="BDI48"/>
      <c r="BDJ48"/>
      <c r="BDK48"/>
      <c r="BDL48"/>
      <c r="BDM48"/>
      <c r="BDN48"/>
      <c r="BDO48"/>
      <c r="BDP48"/>
      <c r="BDQ48"/>
      <c r="BDR48"/>
      <c r="BDS48"/>
      <c r="BDT48"/>
      <c r="BDU48"/>
      <c r="BDV48"/>
      <c r="BDW48"/>
      <c r="BDX48"/>
      <c r="BDY48"/>
      <c r="BDZ48"/>
      <c r="BEA48"/>
      <c r="BEB48"/>
      <c r="BEC48"/>
      <c r="BED48"/>
      <c r="BEE48"/>
      <c r="BEF48"/>
      <c r="BEG48"/>
      <c r="BEH48"/>
      <c r="BEI48"/>
      <c r="BEJ48"/>
      <c r="BEK48"/>
      <c r="BEL48"/>
      <c r="BEM48"/>
      <c r="BEN48"/>
      <c r="BEO48"/>
      <c r="BEP48"/>
      <c r="BEQ48"/>
      <c r="BER48"/>
      <c r="BES48"/>
      <c r="BET48"/>
      <c r="BEU48"/>
      <c r="BEV48"/>
      <c r="BEW48"/>
      <c r="BEX48"/>
      <c r="BEY48"/>
      <c r="BEZ48"/>
      <c r="BFA48"/>
      <c r="BFB48"/>
      <c r="BFC48"/>
      <c r="BFD48"/>
      <c r="BFE48"/>
      <c r="BFF48"/>
      <c r="BFG48"/>
      <c r="BFH48"/>
      <c r="BFI48"/>
      <c r="BFJ48"/>
      <c r="BFK48"/>
      <c r="BFL48"/>
      <c r="BFM48"/>
      <c r="BFN48"/>
      <c r="BFO48"/>
      <c r="BFP48"/>
      <c r="BFQ48"/>
      <c r="BFR48"/>
      <c r="BFS48"/>
      <c r="BFT48"/>
      <c r="BFU48"/>
      <c r="BFV48"/>
      <c r="BFW48"/>
      <c r="BFX48"/>
      <c r="BFY48"/>
      <c r="BFZ48"/>
      <c r="BGA48"/>
      <c r="BGB48"/>
      <c r="BGC48"/>
      <c r="BGD48"/>
      <c r="BGE48"/>
      <c r="BGF48"/>
      <c r="BGG48"/>
      <c r="BGH48"/>
      <c r="BGI48"/>
      <c r="BGJ48"/>
      <c r="BGK48"/>
      <c r="BGL48"/>
      <c r="BGM48"/>
      <c r="BGN48"/>
      <c r="BGO48"/>
      <c r="BGP48"/>
      <c r="BGQ48"/>
      <c r="BGR48"/>
      <c r="BGS48"/>
      <c r="BGT48"/>
      <c r="BGU48"/>
      <c r="BGV48"/>
      <c r="BGW48"/>
      <c r="BGX48"/>
      <c r="BGY48"/>
      <c r="BGZ48"/>
      <c r="BHA48"/>
      <c r="BHB48"/>
      <c r="BHC48"/>
      <c r="BHD48"/>
      <c r="BHE48"/>
      <c r="BHF48"/>
      <c r="BHG48"/>
      <c r="BHH48"/>
      <c r="BHI48"/>
      <c r="BHJ48"/>
      <c r="BHK48"/>
      <c r="BHL48"/>
      <c r="BHM48"/>
      <c r="BHN48"/>
      <c r="BHO48"/>
      <c r="BHP48"/>
      <c r="BHQ48"/>
      <c r="BHR48"/>
      <c r="BHS48"/>
      <c r="BHT48"/>
      <c r="BHU48"/>
      <c r="BHV48"/>
      <c r="BHW48"/>
      <c r="BHX48"/>
      <c r="BHY48"/>
      <c r="BHZ48"/>
      <c r="BIA48"/>
      <c r="BIB48"/>
      <c r="BIC48"/>
      <c r="BID48"/>
      <c r="BIE48"/>
      <c r="BIF48"/>
      <c r="BIG48"/>
      <c r="BIH48"/>
      <c r="BII48"/>
      <c r="BIJ48"/>
      <c r="BIK48"/>
      <c r="BIL48"/>
      <c r="BIM48"/>
      <c r="BIN48"/>
      <c r="BIO48"/>
      <c r="BIP48"/>
      <c r="BIQ48"/>
      <c r="BIR48"/>
      <c r="BIS48"/>
      <c r="BIT48"/>
      <c r="BIU48"/>
      <c r="BIV48"/>
      <c r="BIW48"/>
      <c r="BIX48"/>
      <c r="BIY48"/>
      <c r="BIZ48"/>
      <c r="BJA48"/>
      <c r="BJB48"/>
      <c r="BJC48"/>
      <c r="BJD48"/>
      <c r="BJE48"/>
      <c r="BJF48"/>
      <c r="BJG48"/>
      <c r="BJH48"/>
      <c r="BJI48"/>
      <c r="BJJ48"/>
      <c r="BJK48"/>
      <c r="BJL48"/>
      <c r="BJM48"/>
      <c r="BJN48"/>
      <c r="BJO48"/>
      <c r="BJP48"/>
      <c r="BJQ48"/>
      <c r="BJR48"/>
      <c r="BJS48"/>
      <c r="BJT48"/>
      <c r="BJU48"/>
      <c r="BJV48"/>
      <c r="BJW48"/>
      <c r="BJX48"/>
      <c r="BJY48"/>
      <c r="BJZ48"/>
      <c r="BKA48"/>
      <c r="BKB48"/>
      <c r="BKC48"/>
      <c r="BKD48"/>
      <c r="BKE48"/>
      <c r="BKF48"/>
      <c r="BKG48"/>
      <c r="BKH48"/>
      <c r="BKI48"/>
      <c r="BKJ48"/>
      <c r="BKK48"/>
      <c r="BKL48"/>
      <c r="BKM48"/>
      <c r="BKN48"/>
      <c r="BKO48"/>
      <c r="BKP48"/>
      <c r="BKQ48"/>
      <c r="BKR48"/>
      <c r="BKS48"/>
      <c r="BKT48"/>
      <c r="BKU48"/>
      <c r="BKV48"/>
      <c r="BKW48"/>
      <c r="BKX48"/>
      <c r="BKY48"/>
      <c r="BKZ48"/>
      <c r="BLA48"/>
      <c r="BLB48"/>
      <c r="BLC48"/>
      <c r="BLD48"/>
      <c r="BLE48"/>
      <c r="BLF48"/>
      <c r="BLG48"/>
      <c r="BLH48"/>
      <c r="BLI48"/>
      <c r="BLJ48"/>
      <c r="BLK48"/>
      <c r="BLL48"/>
      <c r="BLM48"/>
      <c r="BLN48"/>
      <c r="BLO48"/>
      <c r="BLP48"/>
      <c r="BLQ48"/>
      <c r="BLR48"/>
      <c r="BLS48"/>
      <c r="BLT48"/>
      <c r="BLU48"/>
      <c r="BLV48"/>
      <c r="BLW48"/>
      <c r="BLX48"/>
      <c r="BLY48"/>
      <c r="BLZ48"/>
      <c r="BMA48"/>
      <c r="BMB48"/>
      <c r="BMC48"/>
      <c r="BMD48"/>
      <c r="BME48"/>
      <c r="BMF48"/>
      <c r="BMG48"/>
      <c r="BMH48"/>
      <c r="BMI48"/>
      <c r="BMJ48"/>
      <c r="BMK48"/>
      <c r="BML48"/>
      <c r="BMM48"/>
      <c r="BMN48"/>
      <c r="BMO48"/>
      <c r="BMP48"/>
      <c r="BMQ48"/>
      <c r="BMR48"/>
      <c r="BMS48"/>
      <c r="BMT48"/>
      <c r="BMU48"/>
      <c r="BMV48"/>
      <c r="BMW48"/>
      <c r="BMX48"/>
      <c r="BMY48"/>
      <c r="BMZ48"/>
      <c r="BNA48"/>
      <c r="BNB48"/>
      <c r="BNC48"/>
      <c r="BND48"/>
      <c r="BNE48"/>
      <c r="BNF48"/>
      <c r="BNG48"/>
      <c r="BNH48"/>
      <c r="BNI48"/>
      <c r="BNJ48"/>
      <c r="BNK48"/>
      <c r="BNL48"/>
      <c r="BNM48"/>
      <c r="BNN48"/>
      <c r="BNO48"/>
      <c r="BNP48"/>
      <c r="BNQ48"/>
      <c r="BNR48"/>
      <c r="BNS48"/>
      <c r="BNT48"/>
      <c r="BNU48"/>
      <c r="BNV48"/>
      <c r="BNW48"/>
      <c r="BNX48"/>
      <c r="BNY48"/>
      <c r="BNZ48"/>
      <c r="BOA48"/>
      <c r="BOB48"/>
      <c r="BOC48"/>
      <c r="BOD48"/>
      <c r="BOE48"/>
      <c r="BOF48"/>
      <c r="BOG48"/>
      <c r="BOH48"/>
      <c r="BOI48"/>
      <c r="BOJ48"/>
      <c r="BOK48"/>
      <c r="BOL48"/>
      <c r="BOM48"/>
      <c r="BON48"/>
      <c r="BOO48"/>
      <c r="BOP48"/>
      <c r="BOQ48"/>
      <c r="BOR48"/>
      <c r="BOS48"/>
      <c r="BOT48"/>
      <c r="BOU48"/>
      <c r="BOV48"/>
      <c r="BOW48"/>
      <c r="BOX48"/>
      <c r="BOY48"/>
      <c r="BOZ48"/>
      <c r="BPA48"/>
      <c r="BPB48"/>
      <c r="BPC48"/>
      <c r="BPD48"/>
      <c r="BPE48"/>
      <c r="BPF48"/>
      <c r="BPG48"/>
      <c r="BPH48"/>
      <c r="BPI48"/>
      <c r="BPJ48"/>
      <c r="BPK48"/>
      <c r="BPL48"/>
      <c r="BPM48"/>
      <c r="BPN48"/>
      <c r="BPO48"/>
      <c r="BPP48"/>
      <c r="BPQ48"/>
      <c r="BPR48"/>
      <c r="BPS48"/>
      <c r="BPT48"/>
      <c r="BPU48"/>
      <c r="BPV48"/>
      <c r="BPW48"/>
      <c r="BPX48"/>
      <c r="BPY48"/>
      <c r="BPZ48"/>
      <c r="BQA48"/>
      <c r="BQB48"/>
      <c r="BQC48"/>
      <c r="BQD48"/>
      <c r="BQE48"/>
      <c r="BQF48"/>
      <c r="BQG48"/>
      <c r="BQH48"/>
      <c r="BQI48"/>
      <c r="BQJ48"/>
      <c r="BQK48"/>
      <c r="BQL48"/>
      <c r="BQM48"/>
      <c r="BQN48"/>
      <c r="BQO48"/>
      <c r="BQP48"/>
      <c r="BQQ48"/>
      <c r="BQR48"/>
      <c r="BQS48"/>
      <c r="BQT48"/>
      <c r="BQU48"/>
      <c r="BQV48"/>
      <c r="BQW48"/>
      <c r="BQX48"/>
      <c r="BQY48"/>
      <c r="BQZ48"/>
      <c r="BRA48"/>
      <c r="BRB48"/>
      <c r="BRC48"/>
      <c r="BRD48"/>
      <c r="BRE48"/>
      <c r="BRF48"/>
      <c r="BRG48"/>
      <c r="BRH48"/>
      <c r="BRI48"/>
      <c r="BRJ48"/>
      <c r="BRK48"/>
      <c r="BRL48"/>
      <c r="BRM48"/>
      <c r="BRN48"/>
      <c r="BRO48"/>
      <c r="BRP48"/>
      <c r="BRQ48"/>
      <c r="BRR48"/>
      <c r="BRS48"/>
      <c r="BRT48"/>
      <c r="BRU48"/>
      <c r="BRV48"/>
      <c r="BRW48"/>
      <c r="BRX48"/>
      <c r="BRY48"/>
      <c r="BRZ48"/>
      <c r="BSA48"/>
      <c r="BSB48"/>
      <c r="BSC48"/>
      <c r="BSD48"/>
      <c r="BSE48"/>
      <c r="BSF48"/>
      <c r="BSG48"/>
      <c r="BSH48"/>
      <c r="BSI48"/>
      <c r="BSJ48"/>
      <c r="BSK48"/>
      <c r="BSL48"/>
      <c r="BSM48"/>
      <c r="BSN48"/>
      <c r="BSO48"/>
      <c r="BSP48"/>
      <c r="BSQ48"/>
      <c r="BSR48"/>
      <c r="BSS48"/>
      <c r="BST48"/>
      <c r="BSU48"/>
      <c r="BSV48"/>
      <c r="BSW48"/>
      <c r="BSX48"/>
      <c r="BSY48"/>
      <c r="BSZ48"/>
      <c r="BTA48"/>
      <c r="BTB48"/>
      <c r="BTC48"/>
      <c r="BTD48"/>
      <c r="BTE48"/>
      <c r="BTF48"/>
      <c r="BTG48"/>
      <c r="BTH48"/>
      <c r="BTI48"/>
      <c r="BTJ48"/>
      <c r="BTK48"/>
      <c r="BTL48"/>
      <c r="BTM48"/>
      <c r="BTN48"/>
      <c r="BTO48"/>
      <c r="BTP48"/>
      <c r="BTQ48"/>
      <c r="BTR48"/>
      <c r="BTS48"/>
      <c r="BTT48"/>
      <c r="BTU48"/>
      <c r="BTV48"/>
      <c r="BTW48"/>
      <c r="BTX48"/>
      <c r="BTY48"/>
      <c r="BTZ48"/>
      <c r="BUA48"/>
      <c r="BUB48"/>
      <c r="BUC48"/>
      <c r="BUD48"/>
      <c r="BUE48"/>
      <c r="BUF48"/>
      <c r="BUG48"/>
      <c r="BUH48"/>
      <c r="BUI48"/>
      <c r="BUJ48"/>
      <c r="BUK48"/>
      <c r="BUL48"/>
      <c r="BUM48"/>
      <c r="BUN48"/>
      <c r="BUO48"/>
      <c r="BUP48"/>
      <c r="BUQ48"/>
      <c r="BUR48"/>
      <c r="BUS48"/>
      <c r="BUT48"/>
      <c r="BUU48"/>
      <c r="BUV48"/>
      <c r="BUW48"/>
      <c r="BUX48"/>
      <c r="BUY48"/>
      <c r="BUZ48"/>
      <c r="BVA48"/>
      <c r="BVB48"/>
      <c r="BVC48"/>
      <c r="BVD48"/>
      <c r="BVE48"/>
      <c r="BVF48"/>
      <c r="BVG48"/>
      <c r="BVH48"/>
      <c r="BVI48"/>
      <c r="BVJ48"/>
      <c r="BVK48"/>
      <c r="BVL48"/>
      <c r="BVM48"/>
      <c r="BVN48"/>
      <c r="BVO48"/>
      <c r="BVP48"/>
      <c r="BVQ48"/>
      <c r="BVR48"/>
      <c r="BVS48"/>
      <c r="BVT48"/>
      <c r="BVU48"/>
      <c r="BVV48"/>
      <c r="BVW48"/>
      <c r="BVX48"/>
      <c r="BVY48"/>
      <c r="BVZ48"/>
      <c r="BWA48"/>
      <c r="BWB48"/>
      <c r="BWC48"/>
      <c r="BWD48"/>
      <c r="BWE48"/>
      <c r="BWF48"/>
      <c r="BWG48"/>
      <c r="BWH48"/>
      <c r="BWI48"/>
      <c r="BWJ48"/>
      <c r="BWK48"/>
      <c r="BWL48"/>
      <c r="BWM48"/>
      <c r="BWN48"/>
      <c r="BWO48"/>
      <c r="BWP48"/>
      <c r="BWQ48"/>
      <c r="BWR48"/>
      <c r="BWS48"/>
      <c r="BWT48"/>
      <c r="BWU48"/>
      <c r="BWV48"/>
      <c r="BWW48"/>
      <c r="BWX48"/>
      <c r="BWY48"/>
      <c r="BWZ48"/>
      <c r="BXA48"/>
      <c r="BXB48"/>
      <c r="BXC48"/>
      <c r="BXD48"/>
      <c r="BXE48"/>
      <c r="BXF48"/>
      <c r="BXG48"/>
      <c r="BXH48"/>
      <c r="BXI48"/>
      <c r="BXJ48"/>
      <c r="BXK48"/>
      <c r="BXL48"/>
      <c r="BXM48"/>
      <c r="BXN48"/>
      <c r="BXO48"/>
      <c r="BXP48"/>
      <c r="BXQ48"/>
      <c r="BXR48"/>
      <c r="BXS48"/>
      <c r="BXT48"/>
      <c r="BXU48"/>
      <c r="BXV48"/>
      <c r="BXW48"/>
      <c r="BXX48"/>
      <c r="BXY48"/>
      <c r="BXZ48"/>
      <c r="BYA48"/>
      <c r="BYB48"/>
      <c r="BYC48"/>
      <c r="BYD48"/>
      <c r="BYE48"/>
      <c r="BYF48"/>
      <c r="BYG48"/>
      <c r="BYH48"/>
      <c r="BYI48"/>
      <c r="BYJ48"/>
      <c r="BYK48"/>
      <c r="BYL48"/>
      <c r="BYM48"/>
      <c r="BYN48"/>
      <c r="BYO48"/>
      <c r="BYP48"/>
      <c r="BYQ48"/>
      <c r="BYR48"/>
      <c r="BYS48"/>
      <c r="BYT48"/>
      <c r="BYU48"/>
      <c r="BYV48"/>
      <c r="BYW48"/>
      <c r="BYX48"/>
      <c r="BYY48"/>
      <c r="BYZ48"/>
      <c r="BZA48"/>
      <c r="BZB48"/>
      <c r="BZC48"/>
      <c r="BZD48"/>
      <c r="BZE48"/>
      <c r="BZF48"/>
      <c r="BZG48"/>
      <c r="BZH48"/>
      <c r="BZI48"/>
      <c r="BZJ48"/>
      <c r="BZK48"/>
      <c r="BZL48"/>
      <c r="BZM48"/>
      <c r="BZN48"/>
      <c r="BZO48"/>
      <c r="BZP48"/>
      <c r="BZQ48"/>
      <c r="BZR48"/>
      <c r="BZS48"/>
      <c r="BZT48"/>
      <c r="BZU48"/>
      <c r="BZV48"/>
      <c r="BZW48"/>
      <c r="BZX48"/>
      <c r="BZY48"/>
      <c r="BZZ48"/>
      <c r="CAA48"/>
      <c r="CAB48"/>
      <c r="CAC48"/>
      <c r="CAD48"/>
      <c r="CAE48"/>
      <c r="CAF48"/>
      <c r="CAG48"/>
      <c r="CAH48"/>
      <c r="CAI48"/>
      <c r="CAJ48"/>
      <c r="CAK48"/>
      <c r="CAL48"/>
      <c r="CAM48"/>
      <c r="CAN48"/>
      <c r="CAO48"/>
      <c r="CAP48"/>
      <c r="CAQ48"/>
      <c r="CAR48"/>
      <c r="CAS48"/>
      <c r="CAT48"/>
      <c r="CAU48"/>
      <c r="CAV48"/>
      <c r="CAW48"/>
      <c r="CAX48"/>
      <c r="CAY48"/>
      <c r="CAZ48"/>
      <c r="CBA48"/>
      <c r="CBB48"/>
      <c r="CBC48"/>
      <c r="CBD48"/>
      <c r="CBE48"/>
      <c r="CBF48"/>
      <c r="CBG48"/>
      <c r="CBH48"/>
      <c r="CBI48"/>
      <c r="CBJ48"/>
      <c r="CBK48"/>
      <c r="CBL48"/>
      <c r="CBM48"/>
      <c r="CBN48"/>
      <c r="CBO48"/>
      <c r="CBP48"/>
      <c r="CBQ48"/>
      <c r="CBR48"/>
      <c r="CBS48"/>
      <c r="CBT48"/>
      <c r="CBU48"/>
      <c r="CBV48"/>
      <c r="CBW48"/>
      <c r="CBX48"/>
      <c r="CBY48"/>
      <c r="CBZ48"/>
      <c r="CCA48"/>
      <c r="CCB48"/>
      <c r="CCC48"/>
      <c r="CCD48"/>
      <c r="CCE48"/>
      <c r="CCF48"/>
      <c r="CCG48"/>
      <c r="CCH48"/>
      <c r="CCI48"/>
      <c r="CCJ48"/>
      <c r="CCK48"/>
      <c r="CCL48"/>
      <c r="CCM48"/>
      <c r="CCN48"/>
      <c r="CCO48"/>
      <c r="CCP48"/>
      <c r="CCQ48"/>
      <c r="CCR48"/>
      <c r="CCS48"/>
      <c r="CCT48"/>
      <c r="CCU48"/>
      <c r="CCV48"/>
      <c r="CCW48"/>
      <c r="CCX48"/>
      <c r="CCY48"/>
      <c r="CCZ48"/>
      <c r="CDA48"/>
      <c r="CDB48"/>
      <c r="CDC48"/>
      <c r="CDD48"/>
      <c r="CDE48"/>
      <c r="CDF48"/>
      <c r="CDG48"/>
      <c r="CDH48"/>
      <c r="CDI48"/>
      <c r="CDJ48"/>
      <c r="CDK48"/>
      <c r="CDL48"/>
      <c r="CDM48"/>
      <c r="CDN48"/>
      <c r="CDO48"/>
      <c r="CDP48"/>
      <c r="CDQ48"/>
      <c r="CDR48"/>
      <c r="CDS48"/>
      <c r="CDT48"/>
      <c r="CDU48"/>
      <c r="CDV48"/>
      <c r="CDW48"/>
      <c r="CDX48"/>
      <c r="CDY48"/>
      <c r="CDZ48"/>
      <c r="CEA48"/>
      <c r="CEB48"/>
      <c r="CEC48"/>
      <c r="CED48"/>
      <c r="CEE48"/>
      <c r="CEF48"/>
      <c r="CEG48"/>
      <c r="CEH48"/>
      <c r="CEI48"/>
      <c r="CEJ48"/>
      <c r="CEK48"/>
      <c r="CEL48"/>
      <c r="CEM48"/>
      <c r="CEN48"/>
      <c r="CEO48"/>
      <c r="CEP48"/>
      <c r="CEQ48"/>
      <c r="CER48"/>
      <c r="CES48"/>
      <c r="CET48"/>
      <c r="CEU48"/>
      <c r="CEV48"/>
      <c r="CEW48"/>
      <c r="CEX48"/>
      <c r="CEY48"/>
      <c r="CEZ48"/>
      <c r="CFA48"/>
      <c r="CFB48"/>
      <c r="CFC48"/>
      <c r="CFD48"/>
      <c r="CFE48"/>
      <c r="CFF48"/>
      <c r="CFG48"/>
      <c r="CFH48"/>
      <c r="CFI48"/>
      <c r="CFJ48"/>
      <c r="CFK48"/>
      <c r="CFL48"/>
      <c r="CFM48"/>
      <c r="CFN48"/>
      <c r="CFO48"/>
      <c r="CFP48"/>
      <c r="CFQ48"/>
      <c r="CFR48"/>
      <c r="CFS48"/>
      <c r="CFT48"/>
      <c r="CFU48"/>
      <c r="CFV48"/>
      <c r="CFW48"/>
      <c r="CFX48"/>
      <c r="CFY48"/>
      <c r="CFZ48"/>
      <c r="CGA48"/>
      <c r="CGB48"/>
      <c r="CGC48"/>
      <c r="CGD48"/>
      <c r="CGE48"/>
      <c r="CGF48"/>
      <c r="CGG48"/>
      <c r="CGH48"/>
      <c r="CGI48"/>
      <c r="CGJ48"/>
      <c r="CGK48"/>
      <c r="CGL48"/>
      <c r="CGM48"/>
      <c r="CGN48"/>
      <c r="CGO48"/>
      <c r="CGP48"/>
      <c r="CGQ48"/>
      <c r="CGR48"/>
      <c r="CGS48"/>
      <c r="CGT48"/>
      <c r="CGU48"/>
      <c r="CGV48"/>
      <c r="CGW48"/>
      <c r="CGX48"/>
      <c r="CGY48"/>
      <c r="CGZ48"/>
      <c r="CHA48"/>
      <c r="CHB48"/>
      <c r="CHC48"/>
      <c r="CHD48"/>
      <c r="CHE48"/>
      <c r="CHF48"/>
      <c r="CHG48"/>
      <c r="CHH48"/>
      <c r="CHI48"/>
      <c r="CHJ48"/>
      <c r="CHK48"/>
      <c r="CHL48"/>
      <c r="CHM48"/>
      <c r="CHN48"/>
      <c r="CHO48"/>
      <c r="CHP48"/>
      <c r="CHQ48"/>
      <c r="CHR48"/>
      <c r="CHS48"/>
      <c r="CHT48"/>
      <c r="CHU48"/>
      <c r="CHV48"/>
      <c r="CHW48"/>
      <c r="CHX48"/>
      <c r="CHY48"/>
      <c r="CHZ48"/>
      <c r="CIA48"/>
      <c r="CIB48"/>
      <c r="CIC48"/>
      <c r="CID48"/>
      <c r="CIE48"/>
      <c r="CIF48"/>
      <c r="CIG48"/>
      <c r="CIH48"/>
      <c r="CII48"/>
      <c r="CIJ48"/>
      <c r="CIK48"/>
      <c r="CIL48"/>
      <c r="CIM48"/>
      <c r="CIN48"/>
      <c r="CIO48"/>
      <c r="CIP48"/>
      <c r="CIQ48"/>
      <c r="CIR48"/>
      <c r="CIS48"/>
      <c r="CIT48"/>
      <c r="CIU48"/>
      <c r="CIV48"/>
      <c r="CIW48"/>
      <c r="CIX48"/>
      <c r="CIY48"/>
      <c r="CIZ48"/>
      <c r="CJA48"/>
      <c r="CJB48"/>
      <c r="CJC48"/>
      <c r="CJD48"/>
      <c r="CJE48"/>
      <c r="CJF48"/>
      <c r="CJG48"/>
      <c r="CJH48"/>
      <c r="CJI48"/>
      <c r="CJJ48"/>
      <c r="CJK48"/>
      <c r="CJL48"/>
      <c r="CJM48"/>
      <c r="CJN48"/>
      <c r="CJO48"/>
      <c r="CJP48"/>
      <c r="CJQ48"/>
      <c r="CJR48"/>
      <c r="CJS48"/>
      <c r="CJT48"/>
      <c r="CJU48"/>
      <c r="CJV48"/>
      <c r="CJW48"/>
      <c r="CJX48"/>
      <c r="CJY48"/>
      <c r="CJZ48"/>
      <c r="CKA48"/>
      <c r="CKB48"/>
      <c r="CKC48"/>
      <c r="CKD48"/>
      <c r="CKE48"/>
      <c r="CKF48"/>
      <c r="CKG48"/>
      <c r="CKH48"/>
      <c r="CKI48"/>
      <c r="CKJ48"/>
      <c r="CKK48"/>
      <c r="CKL48"/>
      <c r="CKM48"/>
      <c r="CKN48"/>
      <c r="CKO48"/>
      <c r="CKP48"/>
      <c r="CKQ48"/>
      <c r="CKR48"/>
      <c r="CKS48"/>
      <c r="CKT48"/>
      <c r="CKU48"/>
      <c r="CKV48"/>
      <c r="CKW48"/>
      <c r="CKX48"/>
      <c r="CKY48"/>
      <c r="CKZ48"/>
      <c r="CLA48"/>
      <c r="CLB48"/>
      <c r="CLC48"/>
      <c r="CLD48"/>
      <c r="CLE48"/>
      <c r="CLF48"/>
      <c r="CLG48"/>
      <c r="CLH48"/>
      <c r="CLI48"/>
      <c r="CLJ48"/>
      <c r="CLK48"/>
      <c r="CLL48"/>
      <c r="CLM48"/>
      <c r="CLN48"/>
      <c r="CLO48"/>
      <c r="CLP48"/>
      <c r="CLQ48"/>
      <c r="CLR48"/>
      <c r="CLS48"/>
      <c r="CLT48"/>
      <c r="CLU48"/>
      <c r="CLV48"/>
      <c r="CLW48"/>
      <c r="CLX48"/>
      <c r="CLY48"/>
      <c r="CLZ48"/>
      <c r="CMA48"/>
      <c r="CMB48"/>
      <c r="CMC48"/>
      <c r="CMD48"/>
      <c r="CME48"/>
      <c r="CMF48"/>
      <c r="CMG48"/>
      <c r="CMH48"/>
      <c r="CMI48"/>
      <c r="CMJ48"/>
      <c r="CMK48"/>
      <c r="CML48"/>
      <c r="CMM48"/>
      <c r="CMN48"/>
      <c r="CMO48"/>
      <c r="CMP48"/>
      <c r="CMQ48"/>
      <c r="CMR48"/>
      <c r="CMS48"/>
      <c r="CMT48"/>
      <c r="CMU48"/>
      <c r="CMV48"/>
      <c r="CMW48"/>
      <c r="CMX48"/>
      <c r="CMY48"/>
      <c r="CMZ48"/>
      <c r="CNA48"/>
      <c r="CNB48"/>
      <c r="CNC48"/>
      <c r="CND48"/>
      <c r="CNE48"/>
      <c r="CNF48"/>
      <c r="CNG48"/>
      <c r="CNH48"/>
      <c r="CNI48"/>
      <c r="CNJ48"/>
      <c r="CNK48"/>
      <c r="CNL48"/>
      <c r="CNM48"/>
      <c r="CNN48"/>
      <c r="CNO48"/>
      <c r="CNP48"/>
      <c r="CNQ48"/>
      <c r="CNR48"/>
      <c r="CNS48"/>
      <c r="CNT48"/>
      <c r="CNU48"/>
      <c r="CNV48"/>
      <c r="CNW48"/>
      <c r="CNX48"/>
      <c r="CNY48"/>
      <c r="CNZ48"/>
      <c r="COA48"/>
      <c r="COB48"/>
      <c r="COC48"/>
      <c r="COD48"/>
      <c r="COE48"/>
      <c r="COF48"/>
      <c r="COG48"/>
      <c r="COH48"/>
      <c r="COI48"/>
      <c r="COJ48"/>
      <c r="COK48"/>
      <c r="COL48"/>
      <c r="COM48"/>
      <c r="CON48"/>
      <c r="COO48"/>
      <c r="COP48"/>
      <c r="COQ48"/>
      <c r="COR48"/>
      <c r="COS48"/>
      <c r="COT48"/>
      <c r="COU48"/>
      <c r="COV48"/>
      <c r="COW48"/>
      <c r="COX48"/>
      <c r="COY48"/>
      <c r="COZ48"/>
      <c r="CPA48"/>
      <c r="CPB48"/>
      <c r="CPC48"/>
      <c r="CPD48"/>
      <c r="CPE48"/>
      <c r="CPF48"/>
      <c r="CPG48"/>
      <c r="CPH48"/>
      <c r="CPI48"/>
      <c r="CPJ48"/>
      <c r="CPK48"/>
      <c r="CPL48"/>
      <c r="CPM48"/>
      <c r="CPN48"/>
      <c r="CPO48"/>
      <c r="CPP48"/>
      <c r="CPQ48"/>
      <c r="CPR48"/>
      <c r="CPS48"/>
      <c r="CPT48"/>
      <c r="CPU48"/>
      <c r="CPV48"/>
      <c r="CPW48"/>
      <c r="CPX48"/>
      <c r="CPY48"/>
      <c r="CPZ48"/>
      <c r="CQA48"/>
      <c r="CQB48"/>
      <c r="CQC48"/>
      <c r="CQD48"/>
      <c r="CQE48"/>
      <c r="CQF48"/>
      <c r="CQG48"/>
      <c r="CQH48"/>
      <c r="CQI48"/>
      <c r="CQJ48"/>
      <c r="CQK48"/>
      <c r="CQL48"/>
      <c r="CQM48"/>
      <c r="CQN48"/>
      <c r="CQO48"/>
      <c r="CQP48"/>
      <c r="CQQ48"/>
      <c r="CQR48"/>
      <c r="CQS48"/>
      <c r="CQT48"/>
      <c r="CQU48"/>
      <c r="CQV48"/>
      <c r="CQW48"/>
      <c r="CQX48"/>
      <c r="CQY48"/>
      <c r="CQZ48"/>
      <c r="CRA48"/>
      <c r="CRB48"/>
      <c r="CRC48"/>
      <c r="CRD48"/>
      <c r="CRE48"/>
      <c r="CRF48"/>
      <c r="CRG48"/>
      <c r="CRH48"/>
      <c r="CRI48"/>
      <c r="CRJ48"/>
      <c r="CRK48"/>
      <c r="CRL48"/>
      <c r="CRM48"/>
      <c r="CRN48"/>
      <c r="CRO48"/>
      <c r="CRP48"/>
      <c r="CRQ48"/>
      <c r="CRR48"/>
      <c r="CRS48"/>
      <c r="CRT48"/>
      <c r="CRU48"/>
      <c r="CRV48"/>
      <c r="CRW48"/>
      <c r="CRX48"/>
      <c r="CRY48"/>
      <c r="CRZ48"/>
      <c r="CSA48"/>
      <c r="CSB48"/>
      <c r="CSC48"/>
      <c r="CSD48"/>
      <c r="CSE48"/>
      <c r="CSF48"/>
      <c r="CSG48"/>
      <c r="CSH48"/>
      <c r="CSI48"/>
      <c r="CSJ48"/>
      <c r="CSK48"/>
      <c r="CSL48"/>
      <c r="CSM48"/>
      <c r="CSN48"/>
      <c r="CSO48"/>
      <c r="CSP48"/>
      <c r="CSQ48"/>
      <c r="CSR48"/>
      <c r="CSS48"/>
      <c r="CST48"/>
      <c r="CSU48"/>
      <c r="CSV48"/>
      <c r="CSW48"/>
      <c r="CSX48"/>
      <c r="CSY48"/>
      <c r="CSZ48"/>
      <c r="CTA48"/>
      <c r="CTB48"/>
      <c r="CTC48"/>
      <c r="CTD48"/>
      <c r="CTE48"/>
      <c r="CTF48"/>
      <c r="CTG48"/>
      <c r="CTH48"/>
      <c r="CTI48"/>
      <c r="CTJ48"/>
      <c r="CTK48"/>
      <c r="CTL48"/>
      <c r="CTM48"/>
      <c r="CTN48"/>
      <c r="CTO48"/>
      <c r="CTP48"/>
      <c r="CTQ48"/>
      <c r="CTR48"/>
      <c r="CTS48"/>
      <c r="CTT48"/>
      <c r="CTU48"/>
      <c r="CTV48"/>
      <c r="CTW48"/>
      <c r="CTX48"/>
      <c r="CTY48"/>
      <c r="CTZ48"/>
      <c r="CUA48"/>
      <c r="CUB48"/>
      <c r="CUC48"/>
      <c r="CUD48"/>
      <c r="CUE48"/>
      <c r="CUF48"/>
      <c r="CUG48"/>
      <c r="CUH48"/>
      <c r="CUI48"/>
      <c r="CUJ48"/>
      <c r="CUK48"/>
      <c r="CUL48"/>
      <c r="CUM48"/>
      <c r="CUN48"/>
      <c r="CUO48"/>
      <c r="CUP48"/>
      <c r="CUQ48"/>
      <c r="CUR48"/>
      <c r="CUS48"/>
      <c r="CUT48"/>
      <c r="CUU48"/>
      <c r="CUV48"/>
      <c r="CUW48"/>
      <c r="CUX48"/>
      <c r="CUY48"/>
      <c r="CUZ48"/>
      <c r="CVA48"/>
      <c r="CVB48"/>
      <c r="CVC48"/>
      <c r="CVD48"/>
      <c r="CVE48"/>
      <c r="CVF48"/>
      <c r="CVG48"/>
      <c r="CVH48"/>
      <c r="CVI48"/>
      <c r="CVJ48"/>
      <c r="CVK48"/>
      <c r="CVL48"/>
      <c r="CVM48"/>
      <c r="CVN48"/>
      <c r="CVO48"/>
      <c r="CVP48"/>
      <c r="CVQ48"/>
      <c r="CVR48"/>
      <c r="CVS48"/>
      <c r="CVT48"/>
      <c r="CVU48"/>
      <c r="CVV48"/>
      <c r="CVW48"/>
      <c r="CVX48"/>
      <c r="CVY48"/>
      <c r="CVZ48"/>
      <c r="CWA48"/>
      <c r="CWB48"/>
      <c r="CWC48"/>
      <c r="CWD48"/>
      <c r="CWE48"/>
      <c r="CWF48"/>
      <c r="CWG48"/>
      <c r="CWH48"/>
      <c r="CWI48"/>
      <c r="CWJ48"/>
      <c r="CWK48"/>
      <c r="CWL48"/>
      <c r="CWM48"/>
      <c r="CWN48"/>
      <c r="CWO48"/>
      <c r="CWP48"/>
      <c r="CWQ48"/>
      <c r="CWR48"/>
      <c r="CWS48"/>
      <c r="CWT48"/>
      <c r="CWU48"/>
      <c r="CWV48"/>
      <c r="CWW48"/>
      <c r="CWX48"/>
      <c r="CWY48"/>
      <c r="CWZ48"/>
      <c r="CXA48"/>
      <c r="CXB48"/>
      <c r="CXC48"/>
      <c r="CXD48"/>
      <c r="CXE48"/>
      <c r="CXF48"/>
      <c r="CXG48"/>
      <c r="CXH48"/>
      <c r="CXI48"/>
      <c r="CXJ48"/>
      <c r="CXK48"/>
      <c r="CXL48"/>
      <c r="CXM48"/>
      <c r="CXN48"/>
      <c r="CXO48"/>
      <c r="CXP48"/>
      <c r="CXQ48"/>
      <c r="CXR48"/>
      <c r="CXS48"/>
      <c r="CXT48"/>
      <c r="CXU48"/>
      <c r="CXV48"/>
      <c r="CXW48"/>
      <c r="CXX48"/>
      <c r="CXY48"/>
      <c r="CXZ48"/>
      <c r="CYA48"/>
      <c r="CYB48"/>
      <c r="CYC48"/>
      <c r="CYD48"/>
      <c r="CYE48"/>
      <c r="CYF48"/>
      <c r="CYG48"/>
      <c r="CYH48"/>
      <c r="CYI48"/>
      <c r="CYJ48"/>
      <c r="CYK48"/>
      <c r="CYL48"/>
      <c r="CYM48"/>
      <c r="CYN48"/>
      <c r="CYO48"/>
      <c r="CYP48"/>
      <c r="CYQ48"/>
      <c r="CYR48"/>
      <c r="CYS48"/>
      <c r="CYT48"/>
      <c r="CYU48"/>
      <c r="CYV48"/>
      <c r="CYW48"/>
      <c r="CYX48"/>
      <c r="CYY48"/>
      <c r="CYZ48"/>
      <c r="CZA48"/>
      <c r="CZB48"/>
      <c r="CZC48"/>
      <c r="CZD48"/>
      <c r="CZE48"/>
      <c r="CZF48"/>
      <c r="CZG48"/>
      <c r="CZH48"/>
      <c r="CZI48"/>
      <c r="CZJ48"/>
      <c r="CZK48"/>
      <c r="CZL48"/>
      <c r="CZM48"/>
      <c r="CZN48"/>
      <c r="CZO48"/>
      <c r="CZP48"/>
      <c r="CZQ48"/>
      <c r="CZR48"/>
      <c r="CZS48"/>
      <c r="CZT48"/>
      <c r="CZU48"/>
      <c r="CZV48"/>
      <c r="CZW48"/>
      <c r="CZX48"/>
      <c r="CZY48"/>
      <c r="CZZ48"/>
      <c r="DAA48"/>
      <c r="DAB48"/>
      <c r="DAC48"/>
      <c r="DAD48"/>
      <c r="DAE48"/>
      <c r="DAF48"/>
      <c r="DAG48"/>
      <c r="DAH48"/>
      <c r="DAI48"/>
      <c r="DAJ48"/>
      <c r="DAK48"/>
      <c r="DAL48"/>
      <c r="DAM48"/>
      <c r="DAN48"/>
      <c r="DAO48"/>
      <c r="DAP48"/>
      <c r="DAQ48"/>
      <c r="DAR48"/>
      <c r="DAS48"/>
      <c r="DAT48"/>
      <c r="DAU48"/>
      <c r="DAV48"/>
      <c r="DAW48"/>
      <c r="DAX48"/>
      <c r="DAY48"/>
      <c r="DAZ48"/>
      <c r="DBA48"/>
      <c r="DBB48"/>
      <c r="DBC48"/>
      <c r="DBD48"/>
      <c r="DBE48"/>
      <c r="DBF48"/>
      <c r="DBG48"/>
      <c r="DBH48"/>
      <c r="DBI48"/>
      <c r="DBJ48"/>
      <c r="DBK48"/>
      <c r="DBL48"/>
      <c r="DBM48"/>
      <c r="DBN48"/>
      <c r="DBO48"/>
      <c r="DBP48"/>
      <c r="DBQ48"/>
      <c r="DBR48"/>
      <c r="DBS48"/>
      <c r="DBT48"/>
      <c r="DBU48"/>
      <c r="DBV48"/>
      <c r="DBW48"/>
      <c r="DBX48"/>
      <c r="DBY48"/>
      <c r="DBZ48"/>
      <c r="DCA48"/>
      <c r="DCB48"/>
      <c r="DCC48"/>
      <c r="DCD48"/>
      <c r="DCE48"/>
      <c r="DCF48"/>
      <c r="DCG48"/>
      <c r="DCH48"/>
      <c r="DCI48"/>
      <c r="DCJ48"/>
      <c r="DCK48"/>
      <c r="DCL48"/>
      <c r="DCM48"/>
      <c r="DCN48"/>
      <c r="DCO48"/>
      <c r="DCP48"/>
      <c r="DCQ48"/>
      <c r="DCR48"/>
      <c r="DCS48"/>
      <c r="DCT48"/>
      <c r="DCU48"/>
      <c r="DCV48"/>
      <c r="DCW48"/>
      <c r="DCX48"/>
      <c r="DCY48"/>
      <c r="DCZ48"/>
      <c r="DDA48"/>
      <c r="DDB48"/>
      <c r="DDC48"/>
      <c r="DDD48"/>
      <c r="DDE48"/>
      <c r="DDF48"/>
      <c r="DDG48"/>
      <c r="DDH48"/>
      <c r="DDI48"/>
      <c r="DDJ48"/>
      <c r="DDK48"/>
      <c r="DDL48"/>
      <c r="DDM48"/>
      <c r="DDN48"/>
      <c r="DDO48"/>
      <c r="DDP48"/>
      <c r="DDQ48"/>
      <c r="DDR48"/>
      <c r="DDS48"/>
      <c r="DDT48"/>
      <c r="DDU48"/>
      <c r="DDV48"/>
      <c r="DDW48"/>
      <c r="DDX48"/>
      <c r="DDY48"/>
      <c r="DDZ48"/>
      <c r="DEA48"/>
      <c r="DEB48"/>
      <c r="DEC48"/>
      <c r="DED48"/>
      <c r="DEE48"/>
      <c r="DEF48"/>
      <c r="DEG48"/>
      <c r="DEH48"/>
      <c r="DEI48"/>
      <c r="DEJ48"/>
      <c r="DEK48"/>
      <c r="DEL48"/>
      <c r="DEM48"/>
      <c r="DEN48"/>
      <c r="DEO48"/>
      <c r="DEP48"/>
      <c r="DEQ48"/>
      <c r="DER48"/>
      <c r="DES48"/>
      <c r="DET48"/>
      <c r="DEU48"/>
      <c r="DEV48"/>
      <c r="DEW48"/>
      <c r="DEX48"/>
      <c r="DEY48"/>
      <c r="DEZ48"/>
      <c r="DFA48"/>
      <c r="DFB48"/>
      <c r="DFC48"/>
      <c r="DFD48"/>
      <c r="DFE48"/>
      <c r="DFF48"/>
      <c r="DFG48"/>
      <c r="DFH48"/>
      <c r="DFI48"/>
      <c r="DFJ48"/>
      <c r="DFK48"/>
      <c r="DFL48"/>
      <c r="DFM48"/>
      <c r="DFN48"/>
      <c r="DFO48"/>
      <c r="DFP48"/>
      <c r="DFQ48"/>
      <c r="DFR48"/>
      <c r="DFS48"/>
      <c r="DFT48"/>
      <c r="DFU48"/>
      <c r="DFV48"/>
      <c r="DFW48"/>
      <c r="DFX48"/>
      <c r="DFY48"/>
      <c r="DFZ48"/>
      <c r="DGA48"/>
      <c r="DGB48"/>
      <c r="DGC48"/>
      <c r="DGD48"/>
      <c r="DGE48"/>
      <c r="DGF48"/>
      <c r="DGG48"/>
      <c r="DGH48"/>
      <c r="DGI48"/>
      <c r="DGJ48"/>
      <c r="DGK48"/>
      <c r="DGL48"/>
      <c r="DGM48"/>
      <c r="DGN48"/>
      <c r="DGO48"/>
      <c r="DGP48"/>
      <c r="DGQ48"/>
      <c r="DGR48"/>
      <c r="DGS48"/>
      <c r="DGT48"/>
      <c r="DGU48"/>
      <c r="DGV48"/>
      <c r="DGW48"/>
      <c r="DGX48"/>
      <c r="DGY48"/>
      <c r="DGZ48"/>
      <c r="DHA48"/>
      <c r="DHB48"/>
      <c r="DHC48"/>
      <c r="DHD48"/>
      <c r="DHE48"/>
      <c r="DHF48"/>
      <c r="DHG48"/>
      <c r="DHH48"/>
      <c r="DHI48"/>
      <c r="DHJ48"/>
      <c r="DHK48"/>
      <c r="DHL48"/>
      <c r="DHM48"/>
      <c r="DHN48"/>
      <c r="DHO48"/>
      <c r="DHP48"/>
      <c r="DHQ48"/>
      <c r="DHR48"/>
      <c r="DHS48"/>
      <c r="DHT48"/>
      <c r="DHU48"/>
      <c r="DHV48"/>
      <c r="DHW48"/>
      <c r="DHX48"/>
      <c r="DHY48"/>
      <c r="DHZ48"/>
      <c r="DIA48"/>
      <c r="DIB48"/>
      <c r="DIC48"/>
      <c r="DID48"/>
      <c r="DIE48"/>
      <c r="DIF48"/>
      <c r="DIG48"/>
      <c r="DIH48"/>
      <c r="DII48"/>
      <c r="DIJ48"/>
      <c r="DIK48"/>
      <c r="DIL48"/>
      <c r="DIM48"/>
      <c r="DIN48"/>
      <c r="DIO48"/>
      <c r="DIP48"/>
      <c r="DIQ48"/>
      <c r="DIR48"/>
      <c r="DIS48"/>
      <c r="DIT48"/>
      <c r="DIU48"/>
      <c r="DIV48"/>
      <c r="DIW48"/>
      <c r="DIX48"/>
      <c r="DIY48"/>
      <c r="DIZ48"/>
      <c r="DJA48"/>
      <c r="DJB48"/>
      <c r="DJC48"/>
      <c r="DJD48"/>
      <c r="DJE48"/>
      <c r="DJF48"/>
      <c r="DJG48"/>
      <c r="DJH48"/>
      <c r="DJI48"/>
      <c r="DJJ48"/>
      <c r="DJK48"/>
      <c r="DJL48"/>
      <c r="DJM48"/>
      <c r="DJN48"/>
      <c r="DJO48"/>
      <c r="DJP48"/>
      <c r="DJQ48"/>
      <c r="DJR48"/>
      <c r="DJS48"/>
      <c r="DJT48"/>
      <c r="DJU48"/>
      <c r="DJV48"/>
      <c r="DJW48"/>
      <c r="DJX48"/>
      <c r="DJY48"/>
      <c r="DJZ48"/>
      <c r="DKA48"/>
      <c r="DKB48"/>
      <c r="DKC48"/>
      <c r="DKD48"/>
      <c r="DKE48"/>
      <c r="DKF48"/>
      <c r="DKG48"/>
      <c r="DKH48"/>
      <c r="DKI48"/>
      <c r="DKJ48"/>
      <c r="DKK48"/>
      <c r="DKL48"/>
      <c r="DKM48"/>
      <c r="DKN48"/>
      <c r="DKO48"/>
      <c r="DKP48"/>
      <c r="DKQ48"/>
      <c r="DKR48"/>
      <c r="DKS48"/>
      <c r="DKT48"/>
      <c r="DKU48"/>
      <c r="DKV48"/>
      <c r="DKW48"/>
      <c r="DKX48"/>
      <c r="DKY48"/>
      <c r="DKZ48"/>
      <c r="DLA48"/>
      <c r="DLB48"/>
      <c r="DLC48"/>
      <c r="DLD48"/>
      <c r="DLE48"/>
      <c r="DLF48"/>
      <c r="DLG48"/>
      <c r="DLH48"/>
      <c r="DLI48"/>
      <c r="DLJ48"/>
      <c r="DLK48"/>
      <c r="DLL48"/>
      <c r="DLM48"/>
      <c r="DLN48"/>
      <c r="DLO48"/>
      <c r="DLP48"/>
      <c r="DLQ48"/>
      <c r="DLR48"/>
      <c r="DLS48"/>
      <c r="DLT48"/>
      <c r="DLU48"/>
      <c r="DLV48"/>
      <c r="DLW48"/>
      <c r="DLX48"/>
      <c r="DLY48"/>
      <c r="DLZ48"/>
      <c r="DMA48"/>
      <c r="DMB48"/>
      <c r="DMC48"/>
      <c r="DMD48"/>
      <c r="DME48"/>
      <c r="DMF48"/>
      <c r="DMG48"/>
      <c r="DMH48"/>
      <c r="DMI48"/>
      <c r="DMJ48"/>
      <c r="DMK48"/>
      <c r="DML48"/>
      <c r="DMM48"/>
      <c r="DMN48"/>
      <c r="DMO48"/>
      <c r="DMP48"/>
      <c r="DMQ48"/>
      <c r="DMR48"/>
      <c r="DMS48"/>
      <c r="DMT48"/>
      <c r="DMU48"/>
      <c r="DMV48"/>
      <c r="DMW48"/>
      <c r="DMX48"/>
      <c r="DMY48"/>
      <c r="DMZ48"/>
      <c r="DNA48"/>
      <c r="DNB48"/>
      <c r="DNC48"/>
      <c r="DND48"/>
      <c r="DNE48"/>
      <c r="DNF48"/>
      <c r="DNG48"/>
      <c r="DNH48"/>
      <c r="DNI48"/>
      <c r="DNJ48"/>
      <c r="DNK48"/>
      <c r="DNL48"/>
      <c r="DNM48"/>
      <c r="DNN48"/>
      <c r="DNO48"/>
      <c r="DNP48"/>
      <c r="DNQ48"/>
      <c r="DNR48"/>
      <c r="DNS48"/>
      <c r="DNT48"/>
      <c r="DNU48"/>
      <c r="DNV48"/>
      <c r="DNW48"/>
      <c r="DNX48"/>
      <c r="DNY48"/>
      <c r="DNZ48"/>
      <c r="DOA48"/>
      <c r="DOB48"/>
      <c r="DOC48"/>
      <c r="DOD48"/>
      <c r="DOE48"/>
      <c r="DOF48"/>
      <c r="DOG48"/>
      <c r="DOH48"/>
      <c r="DOI48"/>
      <c r="DOJ48"/>
      <c r="DOK48"/>
      <c r="DOL48"/>
      <c r="DOM48"/>
      <c r="DON48"/>
      <c r="DOO48"/>
      <c r="DOP48"/>
      <c r="DOQ48"/>
      <c r="DOR48"/>
      <c r="DOS48"/>
      <c r="DOT48"/>
      <c r="DOU48"/>
      <c r="DOV48"/>
      <c r="DOW48"/>
      <c r="DOX48"/>
      <c r="DOY48"/>
      <c r="DOZ48"/>
      <c r="DPA48"/>
      <c r="DPB48"/>
      <c r="DPC48"/>
      <c r="DPD48"/>
      <c r="DPE48"/>
      <c r="DPF48"/>
      <c r="DPG48"/>
      <c r="DPH48"/>
      <c r="DPI48"/>
      <c r="DPJ48"/>
      <c r="DPK48"/>
      <c r="DPL48"/>
      <c r="DPM48"/>
      <c r="DPN48"/>
      <c r="DPO48"/>
      <c r="DPP48"/>
      <c r="DPQ48"/>
      <c r="DPR48"/>
      <c r="DPS48"/>
      <c r="DPT48"/>
      <c r="DPU48"/>
      <c r="DPV48"/>
      <c r="DPW48"/>
      <c r="DPX48"/>
      <c r="DPY48"/>
      <c r="DPZ48"/>
      <c r="DQA48"/>
      <c r="DQB48"/>
      <c r="DQC48"/>
      <c r="DQD48"/>
      <c r="DQE48"/>
      <c r="DQF48"/>
      <c r="DQG48"/>
      <c r="DQH48"/>
      <c r="DQI48"/>
      <c r="DQJ48"/>
      <c r="DQK48"/>
      <c r="DQL48"/>
      <c r="DQM48"/>
      <c r="DQN48"/>
      <c r="DQO48"/>
      <c r="DQP48"/>
      <c r="DQQ48"/>
      <c r="DQR48"/>
      <c r="DQS48"/>
      <c r="DQT48"/>
      <c r="DQU48"/>
      <c r="DQV48"/>
      <c r="DQW48"/>
      <c r="DQX48"/>
      <c r="DQY48"/>
      <c r="DQZ48"/>
      <c r="DRA48"/>
      <c r="DRB48"/>
      <c r="DRC48"/>
      <c r="DRD48"/>
      <c r="DRE48"/>
      <c r="DRF48"/>
      <c r="DRG48"/>
      <c r="DRH48"/>
      <c r="DRI48"/>
      <c r="DRJ48"/>
      <c r="DRK48"/>
      <c r="DRL48"/>
      <c r="DRM48"/>
      <c r="DRN48"/>
      <c r="DRO48"/>
      <c r="DRP48"/>
      <c r="DRQ48"/>
      <c r="DRR48"/>
      <c r="DRS48"/>
      <c r="DRT48"/>
      <c r="DRU48"/>
      <c r="DRV48"/>
      <c r="DRW48"/>
      <c r="DRX48"/>
      <c r="DRY48"/>
      <c r="DRZ48"/>
      <c r="DSA48"/>
      <c r="DSB48"/>
      <c r="DSC48"/>
      <c r="DSD48"/>
      <c r="DSE48"/>
      <c r="DSF48"/>
      <c r="DSG48"/>
      <c r="DSH48"/>
      <c r="DSI48"/>
      <c r="DSJ48"/>
      <c r="DSK48"/>
      <c r="DSL48"/>
      <c r="DSM48"/>
      <c r="DSN48"/>
      <c r="DSO48"/>
      <c r="DSP48"/>
      <c r="DSQ48"/>
      <c r="DSR48"/>
      <c r="DSS48"/>
      <c r="DST48"/>
      <c r="DSU48"/>
      <c r="DSV48"/>
      <c r="DSW48"/>
      <c r="DSX48"/>
      <c r="DSY48"/>
      <c r="DSZ48"/>
      <c r="DTA48"/>
      <c r="DTB48"/>
      <c r="DTC48"/>
      <c r="DTD48"/>
      <c r="DTE48"/>
      <c r="DTF48"/>
      <c r="DTG48"/>
      <c r="DTH48"/>
      <c r="DTI48"/>
      <c r="DTJ48"/>
      <c r="DTK48"/>
      <c r="DTL48"/>
      <c r="DTM48"/>
      <c r="DTN48"/>
      <c r="DTO48"/>
      <c r="DTP48"/>
      <c r="DTQ48"/>
      <c r="DTR48"/>
      <c r="DTS48"/>
      <c r="DTT48"/>
      <c r="DTU48"/>
      <c r="DTV48"/>
      <c r="DTW48"/>
      <c r="DTX48"/>
      <c r="DTY48"/>
      <c r="DTZ48"/>
      <c r="DUA48"/>
      <c r="DUB48"/>
      <c r="DUC48"/>
      <c r="DUD48"/>
      <c r="DUE48"/>
      <c r="DUF48"/>
      <c r="DUG48"/>
      <c r="DUH48"/>
      <c r="DUI48"/>
      <c r="DUJ48"/>
      <c r="DUK48"/>
      <c r="DUL48"/>
      <c r="DUM48"/>
      <c r="DUN48"/>
      <c r="DUO48"/>
      <c r="DUP48"/>
      <c r="DUQ48"/>
      <c r="DUR48"/>
      <c r="DUS48"/>
      <c r="DUT48"/>
      <c r="DUU48"/>
      <c r="DUV48"/>
      <c r="DUW48"/>
      <c r="DUX48"/>
      <c r="DUY48"/>
      <c r="DUZ48"/>
      <c r="DVA48"/>
      <c r="DVB48"/>
      <c r="DVC48"/>
      <c r="DVD48"/>
      <c r="DVE48"/>
      <c r="DVF48"/>
      <c r="DVG48"/>
      <c r="DVH48"/>
      <c r="DVI48"/>
      <c r="DVJ48"/>
      <c r="DVK48"/>
      <c r="DVL48"/>
      <c r="DVM48"/>
      <c r="DVN48"/>
      <c r="DVO48"/>
      <c r="DVP48"/>
      <c r="DVQ48"/>
      <c r="DVR48"/>
      <c r="DVS48"/>
      <c r="DVT48"/>
      <c r="DVU48"/>
      <c r="DVV48"/>
      <c r="DVW48"/>
      <c r="DVX48"/>
      <c r="DVY48"/>
      <c r="DVZ48"/>
      <c r="DWA48"/>
      <c r="DWB48"/>
      <c r="DWC48"/>
      <c r="DWD48"/>
      <c r="DWE48"/>
      <c r="DWF48"/>
      <c r="DWG48"/>
      <c r="DWH48"/>
      <c r="DWI48"/>
      <c r="DWJ48"/>
      <c r="DWK48"/>
      <c r="DWL48"/>
      <c r="DWM48"/>
      <c r="DWN48"/>
      <c r="DWO48"/>
      <c r="DWP48"/>
      <c r="DWQ48"/>
      <c r="DWR48"/>
      <c r="DWS48"/>
      <c r="DWT48"/>
      <c r="DWU48"/>
      <c r="DWV48"/>
      <c r="DWW48"/>
      <c r="DWX48"/>
      <c r="DWY48"/>
      <c r="DWZ48"/>
      <c r="DXA48"/>
      <c r="DXB48"/>
      <c r="DXC48"/>
      <c r="DXD48"/>
      <c r="DXE48"/>
      <c r="DXF48"/>
      <c r="DXG48"/>
      <c r="DXH48"/>
      <c r="DXI48"/>
      <c r="DXJ48"/>
      <c r="DXK48"/>
      <c r="DXL48"/>
      <c r="DXM48"/>
      <c r="DXN48"/>
      <c r="DXO48"/>
      <c r="DXP48"/>
      <c r="DXQ48"/>
      <c r="DXR48"/>
      <c r="DXS48"/>
      <c r="DXT48"/>
      <c r="DXU48"/>
      <c r="DXV48"/>
      <c r="DXW48"/>
      <c r="DXX48"/>
      <c r="DXY48"/>
      <c r="DXZ48"/>
      <c r="DYA48"/>
      <c r="DYB48"/>
      <c r="DYC48"/>
      <c r="DYD48"/>
      <c r="DYE48"/>
      <c r="DYF48"/>
      <c r="DYG48"/>
      <c r="DYH48"/>
      <c r="DYI48"/>
      <c r="DYJ48"/>
      <c r="DYK48"/>
      <c r="DYL48"/>
      <c r="DYM48"/>
      <c r="DYN48"/>
      <c r="DYO48"/>
      <c r="DYP48"/>
      <c r="DYQ48"/>
      <c r="DYR48"/>
      <c r="DYS48"/>
      <c r="DYT48"/>
      <c r="DYU48"/>
      <c r="DYV48"/>
      <c r="DYW48"/>
      <c r="DYX48"/>
      <c r="DYY48"/>
      <c r="DYZ48"/>
      <c r="DZA48"/>
      <c r="DZB48"/>
      <c r="DZC48"/>
      <c r="DZD48"/>
      <c r="DZE48"/>
      <c r="DZF48"/>
      <c r="DZG48"/>
      <c r="DZH48"/>
      <c r="DZI48"/>
      <c r="DZJ48"/>
      <c r="DZK48"/>
      <c r="DZL48"/>
      <c r="DZM48"/>
      <c r="DZN48"/>
      <c r="DZO48"/>
      <c r="DZP48"/>
      <c r="DZQ48"/>
      <c r="DZR48"/>
      <c r="DZS48"/>
      <c r="DZT48"/>
      <c r="DZU48"/>
      <c r="DZV48"/>
      <c r="DZW48"/>
      <c r="DZX48"/>
      <c r="DZY48"/>
      <c r="DZZ48"/>
      <c r="EAA48"/>
      <c r="EAB48"/>
      <c r="EAC48"/>
      <c r="EAD48"/>
      <c r="EAE48"/>
      <c r="EAF48"/>
      <c r="EAG48"/>
      <c r="EAH48"/>
      <c r="EAI48"/>
      <c r="EAJ48"/>
      <c r="EAK48"/>
      <c r="EAL48"/>
      <c r="EAM48"/>
      <c r="EAN48"/>
      <c r="EAO48"/>
      <c r="EAP48"/>
      <c r="EAQ48"/>
      <c r="EAR48"/>
      <c r="EAS48"/>
      <c r="EAT48"/>
      <c r="EAU48"/>
      <c r="EAV48"/>
      <c r="EAW48"/>
      <c r="EAX48"/>
      <c r="EAY48"/>
      <c r="EAZ48"/>
      <c r="EBA48"/>
      <c r="EBB48"/>
      <c r="EBC48"/>
      <c r="EBD48"/>
      <c r="EBE48"/>
      <c r="EBF48"/>
      <c r="EBG48"/>
      <c r="EBH48"/>
      <c r="EBI48"/>
      <c r="EBJ48"/>
      <c r="EBK48"/>
      <c r="EBL48"/>
      <c r="EBM48"/>
      <c r="EBN48"/>
      <c r="EBO48"/>
      <c r="EBP48"/>
      <c r="EBQ48"/>
      <c r="EBR48"/>
      <c r="EBS48"/>
      <c r="EBT48"/>
      <c r="EBU48"/>
      <c r="EBV48"/>
      <c r="EBW48"/>
      <c r="EBX48"/>
      <c r="EBY48"/>
      <c r="EBZ48"/>
      <c r="ECA48"/>
      <c r="ECB48"/>
      <c r="ECC48"/>
      <c r="ECD48"/>
      <c r="ECE48"/>
      <c r="ECF48"/>
      <c r="ECG48"/>
      <c r="ECH48"/>
      <c r="ECI48"/>
      <c r="ECJ48"/>
      <c r="ECK48"/>
      <c r="ECL48"/>
      <c r="ECM48"/>
      <c r="ECN48"/>
      <c r="ECO48"/>
      <c r="ECP48"/>
      <c r="ECQ48"/>
      <c r="ECR48"/>
      <c r="ECS48"/>
      <c r="ECT48"/>
      <c r="ECU48"/>
      <c r="ECV48"/>
      <c r="ECW48"/>
      <c r="ECX48"/>
      <c r="ECY48"/>
      <c r="ECZ48"/>
      <c r="EDA48"/>
      <c r="EDB48"/>
      <c r="EDC48"/>
      <c r="EDD48"/>
      <c r="EDE48"/>
      <c r="EDF48"/>
      <c r="EDG48"/>
      <c r="EDH48"/>
      <c r="EDI48"/>
      <c r="EDJ48"/>
      <c r="EDK48"/>
      <c r="EDL48"/>
      <c r="EDM48"/>
      <c r="EDN48"/>
      <c r="EDO48"/>
      <c r="EDP48"/>
      <c r="EDQ48"/>
      <c r="EDR48"/>
      <c r="EDS48"/>
      <c r="EDT48"/>
      <c r="EDU48"/>
      <c r="EDV48"/>
      <c r="EDW48"/>
      <c r="EDX48"/>
      <c r="EDY48"/>
      <c r="EDZ48"/>
      <c r="EEA48"/>
      <c r="EEB48"/>
      <c r="EEC48"/>
      <c r="EED48"/>
      <c r="EEE48"/>
      <c r="EEF48"/>
      <c r="EEG48"/>
      <c r="EEH48"/>
      <c r="EEI48"/>
      <c r="EEJ48"/>
      <c r="EEK48"/>
      <c r="EEL48"/>
      <c r="EEM48"/>
      <c r="EEN48"/>
      <c r="EEO48"/>
      <c r="EEP48"/>
      <c r="EEQ48"/>
      <c r="EER48"/>
      <c r="EES48"/>
      <c r="EET48"/>
      <c r="EEU48"/>
      <c r="EEV48"/>
      <c r="EEW48"/>
      <c r="EEX48"/>
      <c r="EEY48"/>
      <c r="EEZ48"/>
      <c r="EFA48"/>
      <c r="EFB48"/>
      <c r="EFC48"/>
      <c r="EFD48"/>
      <c r="EFE48"/>
      <c r="EFF48"/>
      <c r="EFG48"/>
      <c r="EFH48"/>
      <c r="EFI48"/>
      <c r="EFJ48"/>
      <c r="EFK48"/>
      <c r="EFL48"/>
      <c r="EFM48"/>
      <c r="EFN48"/>
      <c r="EFO48"/>
      <c r="EFP48"/>
      <c r="EFQ48"/>
      <c r="EFR48"/>
      <c r="EFS48"/>
      <c r="EFT48"/>
      <c r="EFU48"/>
      <c r="EFV48"/>
      <c r="EFW48"/>
      <c r="EFX48"/>
      <c r="EFY48"/>
      <c r="EFZ48"/>
      <c r="EGA48"/>
      <c r="EGB48"/>
      <c r="EGC48"/>
      <c r="EGD48"/>
      <c r="EGE48"/>
      <c r="EGF48"/>
      <c r="EGG48"/>
      <c r="EGH48"/>
      <c r="EGI48"/>
      <c r="EGJ48"/>
      <c r="EGK48"/>
      <c r="EGL48"/>
      <c r="EGM48"/>
      <c r="EGN48"/>
      <c r="EGO48"/>
      <c r="EGP48"/>
      <c r="EGQ48"/>
      <c r="EGR48"/>
      <c r="EGS48"/>
      <c r="EGT48"/>
      <c r="EGU48"/>
      <c r="EGV48"/>
      <c r="EGW48"/>
      <c r="EGX48"/>
      <c r="EGY48"/>
      <c r="EGZ48"/>
      <c r="EHA48"/>
      <c r="EHB48"/>
      <c r="EHC48"/>
      <c r="EHD48"/>
      <c r="EHE48"/>
      <c r="EHF48"/>
      <c r="EHG48"/>
      <c r="EHH48"/>
      <c r="EHI48"/>
      <c r="EHJ48"/>
      <c r="EHK48"/>
      <c r="EHL48"/>
      <c r="EHM48"/>
      <c r="EHN48"/>
      <c r="EHO48"/>
      <c r="EHP48"/>
      <c r="EHQ48"/>
      <c r="EHR48"/>
      <c r="EHS48"/>
      <c r="EHT48"/>
      <c r="EHU48"/>
      <c r="EHV48"/>
      <c r="EHW48"/>
      <c r="EHX48"/>
      <c r="EHY48"/>
      <c r="EHZ48"/>
      <c r="EIA48"/>
      <c r="EIB48"/>
      <c r="EIC48"/>
      <c r="EID48"/>
      <c r="EIE48"/>
      <c r="EIF48"/>
      <c r="EIG48"/>
      <c r="EIH48"/>
      <c r="EII48"/>
      <c r="EIJ48"/>
      <c r="EIK48"/>
      <c r="EIL48"/>
      <c r="EIM48"/>
      <c r="EIN48"/>
      <c r="EIO48"/>
      <c r="EIP48"/>
      <c r="EIQ48"/>
      <c r="EIR48"/>
      <c r="EIS48"/>
      <c r="EIT48"/>
      <c r="EIU48"/>
      <c r="EIV48"/>
      <c r="EIW48"/>
      <c r="EIX48"/>
      <c r="EIY48"/>
      <c r="EIZ48"/>
      <c r="EJA48"/>
      <c r="EJB48"/>
      <c r="EJC48"/>
      <c r="EJD48"/>
      <c r="EJE48"/>
      <c r="EJF48"/>
      <c r="EJG48"/>
      <c r="EJH48"/>
      <c r="EJI48"/>
      <c r="EJJ48"/>
      <c r="EJK48"/>
      <c r="EJL48"/>
      <c r="EJM48"/>
      <c r="EJN48"/>
      <c r="EJO48"/>
      <c r="EJP48"/>
      <c r="EJQ48"/>
      <c r="EJR48"/>
      <c r="EJS48"/>
      <c r="EJT48"/>
      <c r="EJU48"/>
      <c r="EJV48"/>
      <c r="EJW48"/>
      <c r="EJX48"/>
      <c r="EJY48"/>
      <c r="EJZ48"/>
      <c r="EKA48"/>
      <c r="EKB48"/>
      <c r="EKC48"/>
      <c r="EKD48"/>
      <c r="EKE48"/>
      <c r="EKF48"/>
      <c r="EKG48"/>
      <c r="EKH48"/>
      <c r="EKI48"/>
      <c r="EKJ48"/>
      <c r="EKK48"/>
      <c r="EKL48"/>
      <c r="EKM48"/>
      <c r="EKN48"/>
      <c r="EKO48"/>
      <c r="EKP48"/>
      <c r="EKQ48"/>
      <c r="EKR48"/>
      <c r="EKS48"/>
      <c r="EKT48"/>
      <c r="EKU48"/>
      <c r="EKV48"/>
      <c r="EKW48"/>
      <c r="EKX48"/>
      <c r="EKY48"/>
      <c r="EKZ48"/>
      <c r="ELA48"/>
      <c r="ELB48"/>
      <c r="ELC48"/>
      <c r="ELD48"/>
      <c r="ELE48"/>
      <c r="ELF48"/>
      <c r="ELG48"/>
      <c r="ELH48"/>
      <c r="ELI48"/>
      <c r="ELJ48"/>
      <c r="ELK48"/>
      <c r="ELL48"/>
      <c r="ELM48"/>
      <c r="ELN48"/>
      <c r="ELO48"/>
      <c r="ELP48"/>
      <c r="ELQ48"/>
      <c r="ELR48"/>
      <c r="ELS48"/>
      <c r="ELT48"/>
      <c r="ELU48"/>
      <c r="ELV48"/>
      <c r="ELW48"/>
      <c r="ELX48"/>
      <c r="ELY48"/>
      <c r="ELZ48"/>
      <c r="EMA48"/>
      <c r="EMB48"/>
      <c r="EMC48"/>
      <c r="EMD48"/>
      <c r="EME48"/>
      <c r="EMF48"/>
      <c r="EMG48"/>
      <c r="EMH48"/>
      <c r="EMI48"/>
      <c r="EMJ48"/>
      <c r="EMK48"/>
      <c r="EML48"/>
      <c r="EMM48"/>
      <c r="EMN48"/>
      <c r="EMO48"/>
      <c r="EMP48"/>
      <c r="EMQ48"/>
      <c r="EMR48"/>
      <c r="EMS48"/>
      <c r="EMT48"/>
      <c r="EMU48"/>
      <c r="EMV48"/>
      <c r="EMW48"/>
      <c r="EMX48"/>
      <c r="EMY48"/>
      <c r="EMZ48"/>
      <c r="ENA48"/>
      <c r="ENB48"/>
      <c r="ENC48"/>
      <c r="END48"/>
      <c r="ENE48"/>
      <c r="ENF48"/>
      <c r="ENG48"/>
      <c r="ENH48"/>
      <c r="ENI48"/>
      <c r="ENJ48"/>
      <c r="ENK48"/>
      <c r="ENL48"/>
      <c r="ENM48"/>
      <c r="ENN48"/>
      <c r="ENO48"/>
      <c r="ENP48"/>
      <c r="ENQ48"/>
      <c r="ENR48"/>
      <c r="ENS48"/>
      <c r="ENT48"/>
      <c r="ENU48"/>
      <c r="ENV48"/>
      <c r="ENW48"/>
      <c r="ENX48"/>
      <c r="ENY48"/>
      <c r="ENZ48"/>
      <c r="EOA48"/>
      <c r="EOB48"/>
      <c r="EOC48"/>
      <c r="EOD48"/>
      <c r="EOE48"/>
      <c r="EOF48"/>
      <c r="EOG48"/>
      <c r="EOH48"/>
      <c r="EOI48"/>
      <c r="EOJ48"/>
      <c r="EOK48"/>
      <c r="EOL48"/>
      <c r="EOM48"/>
      <c r="EON48"/>
      <c r="EOO48"/>
      <c r="EOP48"/>
      <c r="EOQ48"/>
      <c r="EOR48"/>
      <c r="EOS48"/>
      <c r="EOT48"/>
      <c r="EOU48"/>
      <c r="EOV48"/>
      <c r="EOW48"/>
      <c r="EOX48"/>
      <c r="EOY48"/>
      <c r="EOZ48"/>
      <c r="EPA48"/>
      <c r="EPB48"/>
      <c r="EPC48"/>
      <c r="EPD48"/>
      <c r="EPE48"/>
      <c r="EPF48"/>
      <c r="EPG48"/>
      <c r="EPH48"/>
      <c r="EPI48"/>
      <c r="EPJ48"/>
      <c r="EPK48"/>
      <c r="EPL48"/>
      <c r="EPM48"/>
      <c r="EPN48"/>
      <c r="EPO48"/>
      <c r="EPP48"/>
      <c r="EPQ48"/>
      <c r="EPR48"/>
      <c r="EPS48"/>
      <c r="EPT48"/>
      <c r="EPU48"/>
      <c r="EPV48"/>
      <c r="EPW48"/>
      <c r="EPX48"/>
      <c r="EPY48"/>
      <c r="EPZ48"/>
      <c r="EQA48"/>
      <c r="EQB48"/>
      <c r="EQC48"/>
      <c r="EQD48"/>
      <c r="EQE48"/>
      <c r="EQF48"/>
      <c r="EQG48"/>
      <c r="EQH48"/>
      <c r="EQI48"/>
      <c r="EQJ48"/>
      <c r="EQK48"/>
      <c r="EQL48"/>
      <c r="EQM48"/>
      <c r="EQN48"/>
      <c r="EQO48"/>
      <c r="EQP48"/>
      <c r="EQQ48"/>
      <c r="EQR48"/>
      <c r="EQS48"/>
      <c r="EQT48"/>
      <c r="EQU48"/>
      <c r="EQV48"/>
      <c r="EQW48"/>
      <c r="EQX48"/>
      <c r="EQY48"/>
      <c r="EQZ48"/>
      <c r="ERA48"/>
      <c r="ERB48"/>
      <c r="ERC48"/>
      <c r="ERD48"/>
      <c r="ERE48"/>
      <c r="ERF48"/>
      <c r="ERG48"/>
      <c r="ERH48"/>
      <c r="ERI48"/>
      <c r="ERJ48"/>
      <c r="ERK48"/>
      <c r="ERL48"/>
      <c r="ERM48"/>
      <c r="ERN48"/>
      <c r="ERO48"/>
      <c r="ERP48"/>
      <c r="ERQ48"/>
      <c r="ERR48"/>
      <c r="ERS48"/>
      <c r="ERT48"/>
      <c r="ERU48"/>
      <c r="ERV48"/>
      <c r="ERW48"/>
      <c r="ERX48"/>
      <c r="ERY48"/>
      <c r="ERZ48"/>
      <c r="ESA48"/>
      <c r="ESB48"/>
      <c r="ESC48"/>
      <c r="ESD48"/>
      <c r="ESE48"/>
      <c r="ESF48"/>
      <c r="ESG48"/>
      <c r="ESH48"/>
      <c r="ESI48"/>
      <c r="ESJ48"/>
      <c r="ESK48"/>
      <c r="ESL48"/>
      <c r="ESM48"/>
      <c r="ESN48"/>
      <c r="ESO48"/>
      <c r="ESP48"/>
      <c r="ESQ48"/>
      <c r="ESR48"/>
      <c r="ESS48"/>
      <c r="EST48"/>
      <c r="ESU48"/>
      <c r="ESV48"/>
      <c r="ESW48"/>
      <c r="ESX48"/>
      <c r="ESY48"/>
      <c r="ESZ48"/>
      <c r="ETA48"/>
      <c r="ETB48"/>
      <c r="ETC48"/>
      <c r="ETD48"/>
      <c r="ETE48"/>
      <c r="ETF48"/>
      <c r="ETG48"/>
      <c r="ETH48"/>
      <c r="ETI48"/>
      <c r="ETJ48"/>
      <c r="ETK48"/>
      <c r="ETL48"/>
      <c r="ETM48"/>
      <c r="ETN48"/>
      <c r="ETO48"/>
      <c r="ETP48"/>
      <c r="ETQ48"/>
      <c r="ETR48"/>
      <c r="ETS48"/>
      <c r="ETT48"/>
      <c r="ETU48"/>
      <c r="ETV48"/>
      <c r="ETW48"/>
      <c r="ETX48"/>
      <c r="ETY48"/>
      <c r="ETZ48"/>
      <c r="EUA48"/>
      <c r="EUB48"/>
      <c r="EUC48"/>
      <c r="EUD48"/>
      <c r="EUE48"/>
      <c r="EUF48"/>
      <c r="EUG48"/>
      <c r="EUH48"/>
      <c r="EUI48"/>
      <c r="EUJ48"/>
      <c r="EUK48"/>
      <c r="EUL48"/>
      <c r="EUM48"/>
      <c r="EUN48"/>
      <c r="EUO48"/>
      <c r="EUP48"/>
      <c r="EUQ48"/>
      <c r="EUR48"/>
      <c r="EUS48"/>
      <c r="EUT48"/>
      <c r="EUU48"/>
      <c r="EUV48"/>
      <c r="EUW48"/>
      <c r="EUX48"/>
      <c r="EUY48"/>
      <c r="EUZ48"/>
      <c r="EVA48"/>
      <c r="EVB48"/>
      <c r="EVC48"/>
      <c r="EVD48"/>
      <c r="EVE48"/>
      <c r="EVF48"/>
      <c r="EVG48"/>
      <c r="EVH48"/>
      <c r="EVI48"/>
      <c r="EVJ48"/>
      <c r="EVK48"/>
      <c r="EVL48"/>
      <c r="EVM48"/>
      <c r="EVN48"/>
      <c r="EVO48"/>
      <c r="EVP48"/>
      <c r="EVQ48"/>
      <c r="EVR48"/>
      <c r="EVS48"/>
      <c r="EVT48"/>
      <c r="EVU48"/>
      <c r="EVV48"/>
      <c r="EVW48"/>
      <c r="EVX48"/>
      <c r="EVY48"/>
      <c r="EVZ48"/>
      <c r="EWA48"/>
      <c r="EWB48"/>
      <c r="EWC48"/>
      <c r="EWD48"/>
      <c r="EWE48"/>
      <c r="EWF48"/>
      <c r="EWG48"/>
      <c r="EWH48"/>
      <c r="EWI48"/>
      <c r="EWJ48"/>
      <c r="EWK48"/>
      <c r="EWL48"/>
      <c r="EWM48"/>
      <c r="EWN48"/>
      <c r="EWO48"/>
      <c r="EWP48"/>
      <c r="EWQ48"/>
      <c r="EWR48"/>
      <c r="EWS48"/>
      <c r="EWT48"/>
      <c r="EWU48"/>
      <c r="EWV48"/>
      <c r="EWW48"/>
      <c r="EWX48"/>
      <c r="EWY48"/>
      <c r="EWZ48"/>
      <c r="EXA48"/>
      <c r="EXB48"/>
      <c r="EXC48"/>
      <c r="EXD48"/>
      <c r="EXE48"/>
      <c r="EXF48"/>
      <c r="EXG48"/>
      <c r="EXH48"/>
      <c r="EXI48"/>
      <c r="EXJ48"/>
      <c r="EXK48"/>
      <c r="EXL48"/>
      <c r="EXM48"/>
      <c r="EXN48"/>
      <c r="EXO48"/>
      <c r="EXP48"/>
      <c r="EXQ48"/>
      <c r="EXR48"/>
      <c r="EXS48"/>
      <c r="EXT48"/>
      <c r="EXU48"/>
      <c r="EXV48"/>
      <c r="EXW48"/>
      <c r="EXX48"/>
      <c r="EXY48"/>
      <c r="EXZ48"/>
      <c r="EYA48"/>
      <c r="EYB48"/>
      <c r="EYC48"/>
      <c r="EYD48"/>
      <c r="EYE48"/>
      <c r="EYF48"/>
      <c r="EYG48"/>
      <c r="EYH48"/>
      <c r="EYI48"/>
      <c r="EYJ48"/>
      <c r="EYK48"/>
      <c r="EYL48"/>
      <c r="EYM48"/>
      <c r="EYN48"/>
      <c r="EYO48"/>
      <c r="EYP48"/>
      <c r="EYQ48"/>
      <c r="EYR48"/>
      <c r="EYS48"/>
      <c r="EYT48"/>
      <c r="EYU48"/>
      <c r="EYV48"/>
      <c r="EYW48"/>
      <c r="EYX48"/>
      <c r="EYY48"/>
      <c r="EYZ48"/>
      <c r="EZA48"/>
      <c r="EZB48"/>
      <c r="EZC48"/>
      <c r="EZD48"/>
      <c r="EZE48"/>
      <c r="EZF48"/>
      <c r="EZG48"/>
      <c r="EZH48"/>
      <c r="EZI48"/>
      <c r="EZJ48"/>
      <c r="EZK48"/>
      <c r="EZL48"/>
      <c r="EZM48"/>
      <c r="EZN48"/>
      <c r="EZO48"/>
      <c r="EZP48"/>
      <c r="EZQ48"/>
      <c r="EZR48"/>
      <c r="EZS48"/>
      <c r="EZT48"/>
      <c r="EZU48"/>
      <c r="EZV48"/>
      <c r="EZW48"/>
      <c r="EZX48"/>
      <c r="EZY48"/>
      <c r="EZZ48"/>
      <c r="FAA48"/>
      <c r="FAB48"/>
      <c r="FAC48"/>
      <c r="FAD48"/>
      <c r="FAE48"/>
      <c r="FAF48"/>
      <c r="FAG48"/>
      <c r="FAH48"/>
      <c r="FAI48"/>
      <c r="FAJ48"/>
      <c r="FAK48"/>
      <c r="FAL48"/>
      <c r="FAM48"/>
      <c r="FAN48"/>
      <c r="FAO48"/>
      <c r="FAP48"/>
      <c r="FAQ48"/>
      <c r="FAR48"/>
      <c r="FAS48"/>
      <c r="FAT48"/>
      <c r="FAU48"/>
      <c r="FAV48"/>
      <c r="FAW48"/>
      <c r="FAX48"/>
      <c r="FAY48"/>
      <c r="FAZ48"/>
      <c r="FBA48"/>
      <c r="FBB48"/>
      <c r="FBC48"/>
      <c r="FBD48"/>
      <c r="FBE48"/>
      <c r="FBF48"/>
      <c r="FBG48"/>
      <c r="FBH48"/>
      <c r="FBI48"/>
      <c r="FBJ48"/>
      <c r="FBK48"/>
      <c r="FBL48"/>
      <c r="FBM48"/>
      <c r="FBN48"/>
      <c r="FBO48"/>
      <c r="FBP48"/>
      <c r="FBQ48"/>
      <c r="FBR48"/>
      <c r="FBS48"/>
      <c r="FBT48"/>
      <c r="FBU48"/>
      <c r="FBV48"/>
      <c r="FBW48"/>
      <c r="FBX48"/>
      <c r="FBY48"/>
      <c r="FBZ48"/>
      <c r="FCA48"/>
      <c r="FCB48"/>
      <c r="FCC48"/>
      <c r="FCD48"/>
      <c r="FCE48"/>
      <c r="FCF48"/>
      <c r="FCG48"/>
      <c r="FCH48"/>
      <c r="FCI48"/>
      <c r="FCJ48"/>
      <c r="FCK48"/>
      <c r="FCL48"/>
      <c r="FCM48"/>
      <c r="FCN48"/>
      <c r="FCO48"/>
      <c r="FCP48"/>
      <c r="FCQ48"/>
      <c r="FCR48"/>
      <c r="FCS48"/>
      <c r="FCT48"/>
      <c r="FCU48"/>
      <c r="FCV48"/>
      <c r="FCW48"/>
      <c r="FCX48"/>
      <c r="FCY48"/>
      <c r="FCZ48"/>
      <c r="FDA48"/>
      <c r="FDB48"/>
      <c r="FDC48"/>
      <c r="FDD48"/>
      <c r="FDE48"/>
      <c r="FDF48"/>
      <c r="FDG48"/>
      <c r="FDH48"/>
      <c r="FDI48"/>
      <c r="FDJ48"/>
      <c r="FDK48"/>
      <c r="FDL48"/>
      <c r="FDM48"/>
      <c r="FDN48"/>
      <c r="FDO48"/>
      <c r="FDP48"/>
      <c r="FDQ48"/>
      <c r="FDR48"/>
      <c r="FDS48"/>
      <c r="FDT48"/>
      <c r="FDU48"/>
      <c r="FDV48"/>
      <c r="FDW48"/>
      <c r="FDX48"/>
      <c r="FDY48"/>
      <c r="FDZ48"/>
      <c r="FEA48"/>
      <c r="FEB48"/>
      <c r="FEC48"/>
      <c r="FED48"/>
      <c r="FEE48"/>
      <c r="FEF48"/>
      <c r="FEG48"/>
      <c r="FEH48"/>
      <c r="FEI48"/>
      <c r="FEJ48"/>
      <c r="FEK48"/>
      <c r="FEL48"/>
      <c r="FEM48"/>
      <c r="FEN48"/>
      <c r="FEO48"/>
      <c r="FEP48"/>
      <c r="FEQ48"/>
      <c r="FER48"/>
      <c r="FES48"/>
      <c r="FET48"/>
      <c r="FEU48"/>
      <c r="FEV48"/>
      <c r="FEW48"/>
      <c r="FEX48"/>
      <c r="FEY48"/>
      <c r="FEZ48"/>
      <c r="FFA48"/>
      <c r="FFB48"/>
      <c r="FFC48"/>
      <c r="FFD48"/>
      <c r="FFE48"/>
      <c r="FFF48"/>
      <c r="FFG48"/>
      <c r="FFH48"/>
      <c r="FFI48"/>
      <c r="FFJ48"/>
      <c r="FFK48"/>
      <c r="FFL48"/>
      <c r="FFM48"/>
      <c r="FFN48"/>
      <c r="FFO48"/>
      <c r="FFP48"/>
      <c r="FFQ48"/>
      <c r="FFR48"/>
      <c r="FFS48"/>
      <c r="FFT48"/>
      <c r="FFU48"/>
      <c r="FFV48"/>
      <c r="FFW48"/>
      <c r="FFX48"/>
      <c r="FFY48"/>
      <c r="FFZ48"/>
      <c r="FGA48"/>
      <c r="FGB48"/>
      <c r="FGC48"/>
      <c r="FGD48"/>
      <c r="FGE48"/>
      <c r="FGF48"/>
      <c r="FGG48"/>
      <c r="FGH48"/>
      <c r="FGI48"/>
      <c r="FGJ48"/>
      <c r="FGK48"/>
      <c r="FGL48"/>
      <c r="FGM48"/>
      <c r="FGN48"/>
      <c r="FGO48"/>
      <c r="FGP48"/>
      <c r="FGQ48"/>
      <c r="FGR48"/>
      <c r="FGS48"/>
      <c r="FGT48"/>
      <c r="FGU48"/>
      <c r="FGV48"/>
      <c r="FGW48"/>
      <c r="FGX48"/>
      <c r="FGY48"/>
      <c r="FGZ48"/>
      <c r="FHA48"/>
      <c r="FHB48"/>
      <c r="FHC48"/>
      <c r="FHD48"/>
      <c r="FHE48"/>
      <c r="FHF48"/>
      <c r="FHG48"/>
      <c r="FHH48"/>
      <c r="FHI48"/>
      <c r="FHJ48"/>
      <c r="FHK48"/>
      <c r="FHL48"/>
      <c r="FHM48"/>
      <c r="FHN48"/>
      <c r="FHO48"/>
      <c r="FHP48"/>
      <c r="FHQ48"/>
      <c r="FHR48"/>
      <c r="FHS48"/>
      <c r="FHT48"/>
      <c r="FHU48"/>
      <c r="FHV48"/>
      <c r="FHW48"/>
      <c r="FHX48"/>
      <c r="FHY48"/>
      <c r="FHZ48"/>
      <c r="FIA48"/>
      <c r="FIB48"/>
      <c r="FIC48"/>
      <c r="FID48"/>
      <c r="FIE48"/>
      <c r="FIF48"/>
      <c r="FIG48"/>
      <c r="FIH48"/>
      <c r="FII48"/>
      <c r="FIJ48"/>
      <c r="FIK48"/>
      <c r="FIL48"/>
      <c r="FIM48"/>
      <c r="FIN48"/>
      <c r="FIO48"/>
      <c r="FIP48"/>
      <c r="FIQ48"/>
      <c r="FIR48"/>
      <c r="FIS48"/>
      <c r="FIT48"/>
      <c r="FIU48"/>
      <c r="FIV48"/>
      <c r="FIW48"/>
      <c r="FIX48"/>
      <c r="FIY48"/>
      <c r="FIZ48"/>
      <c r="FJA48"/>
      <c r="FJB48"/>
      <c r="FJC48"/>
      <c r="FJD48"/>
      <c r="FJE48"/>
      <c r="FJF48"/>
      <c r="FJG48"/>
      <c r="FJH48"/>
      <c r="FJI48"/>
      <c r="FJJ48"/>
      <c r="FJK48"/>
      <c r="FJL48"/>
      <c r="FJM48"/>
      <c r="FJN48"/>
      <c r="FJO48"/>
      <c r="FJP48"/>
      <c r="FJQ48"/>
      <c r="FJR48"/>
      <c r="FJS48"/>
      <c r="FJT48"/>
      <c r="FJU48"/>
      <c r="FJV48"/>
      <c r="FJW48"/>
      <c r="FJX48"/>
      <c r="FJY48"/>
      <c r="FJZ48"/>
      <c r="FKA48"/>
      <c r="FKB48"/>
      <c r="FKC48"/>
      <c r="FKD48"/>
      <c r="FKE48"/>
      <c r="FKF48"/>
      <c r="FKG48"/>
      <c r="FKH48"/>
      <c r="FKI48"/>
      <c r="FKJ48"/>
      <c r="FKK48"/>
      <c r="FKL48"/>
      <c r="FKM48"/>
      <c r="FKN48"/>
      <c r="FKO48"/>
      <c r="FKP48"/>
      <c r="FKQ48"/>
      <c r="FKR48"/>
      <c r="FKS48"/>
      <c r="FKT48"/>
      <c r="FKU48"/>
      <c r="FKV48"/>
      <c r="FKW48"/>
      <c r="FKX48"/>
      <c r="FKY48"/>
      <c r="FKZ48"/>
      <c r="FLA48"/>
      <c r="FLB48"/>
      <c r="FLC48"/>
      <c r="FLD48"/>
      <c r="FLE48"/>
      <c r="FLF48"/>
      <c r="FLG48"/>
      <c r="FLH48"/>
      <c r="FLI48"/>
      <c r="FLJ48"/>
      <c r="FLK48"/>
      <c r="FLL48"/>
      <c r="FLM48"/>
      <c r="FLN48"/>
      <c r="FLO48"/>
      <c r="FLP48"/>
      <c r="FLQ48"/>
      <c r="FLR48"/>
      <c r="FLS48"/>
      <c r="FLT48"/>
      <c r="FLU48"/>
      <c r="FLV48"/>
      <c r="FLW48"/>
      <c r="FLX48"/>
      <c r="FLY48"/>
      <c r="FLZ48"/>
      <c r="FMA48"/>
      <c r="FMB48"/>
      <c r="FMC48"/>
      <c r="FMD48"/>
      <c r="FME48"/>
      <c r="FMF48"/>
      <c r="FMG48"/>
      <c r="FMH48"/>
      <c r="FMI48"/>
      <c r="FMJ48"/>
      <c r="FMK48"/>
      <c r="FML48"/>
      <c r="FMM48"/>
      <c r="FMN48"/>
      <c r="FMO48"/>
      <c r="FMP48"/>
      <c r="FMQ48"/>
      <c r="FMR48"/>
      <c r="FMS48"/>
      <c r="FMT48"/>
      <c r="FMU48"/>
      <c r="FMV48"/>
      <c r="FMW48"/>
      <c r="FMX48"/>
      <c r="FMY48"/>
      <c r="FMZ48"/>
      <c r="FNA48"/>
      <c r="FNB48"/>
      <c r="FNC48"/>
      <c r="FND48"/>
      <c r="FNE48"/>
      <c r="FNF48"/>
      <c r="FNG48"/>
      <c r="FNH48"/>
      <c r="FNI48"/>
      <c r="FNJ48"/>
      <c r="FNK48"/>
      <c r="FNL48"/>
      <c r="FNM48"/>
      <c r="FNN48"/>
      <c r="FNO48"/>
      <c r="FNP48"/>
      <c r="FNQ48"/>
      <c r="FNR48"/>
      <c r="FNS48"/>
      <c r="FNT48"/>
      <c r="FNU48"/>
      <c r="FNV48"/>
      <c r="FNW48"/>
      <c r="FNX48"/>
      <c r="FNY48"/>
      <c r="FNZ48"/>
      <c r="FOA48"/>
      <c r="FOB48"/>
      <c r="FOC48"/>
      <c r="FOD48"/>
      <c r="FOE48"/>
      <c r="FOF48"/>
      <c r="FOG48"/>
      <c r="FOH48"/>
      <c r="FOI48"/>
      <c r="FOJ48"/>
      <c r="FOK48"/>
      <c r="FOL48"/>
      <c r="FOM48"/>
      <c r="FON48"/>
      <c r="FOO48"/>
      <c r="FOP48"/>
      <c r="FOQ48"/>
      <c r="FOR48"/>
      <c r="FOS48"/>
      <c r="FOT48"/>
      <c r="FOU48"/>
      <c r="FOV48"/>
      <c r="FOW48"/>
      <c r="FOX48"/>
      <c r="FOY48"/>
      <c r="FOZ48"/>
      <c r="FPA48"/>
      <c r="FPB48"/>
      <c r="FPC48"/>
      <c r="FPD48"/>
      <c r="FPE48"/>
      <c r="FPF48"/>
      <c r="FPG48"/>
      <c r="FPH48"/>
      <c r="FPI48"/>
      <c r="FPJ48"/>
      <c r="FPK48"/>
      <c r="FPL48"/>
      <c r="FPM48"/>
      <c r="FPN48"/>
      <c r="FPO48"/>
      <c r="FPP48"/>
      <c r="FPQ48"/>
      <c r="FPR48"/>
      <c r="FPS48"/>
      <c r="FPT48"/>
      <c r="FPU48"/>
      <c r="FPV48"/>
      <c r="FPW48"/>
      <c r="FPX48"/>
      <c r="FPY48"/>
      <c r="FPZ48"/>
      <c r="FQA48"/>
      <c r="FQB48"/>
      <c r="FQC48"/>
      <c r="FQD48"/>
      <c r="FQE48"/>
      <c r="FQF48"/>
      <c r="FQG48"/>
      <c r="FQH48"/>
      <c r="FQI48"/>
      <c r="FQJ48"/>
      <c r="FQK48"/>
      <c r="FQL48"/>
      <c r="FQM48"/>
      <c r="FQN48"/>
      <c r="FQO48"/>
      <c r="FQP48"/>
      <c r="FQQ48"/>
      <c r="FQR48"/>
      <c r="FQS48"/>
      <c r="FQT48"/>
      <c r="FQU48"/>
      <c r="FQV48"/>
      <c r="FQW48"/>
      <c r="FQX48"/>
      <c r="FQY48"/>
      <c r="FQZ48"/>
      <c r="FRA48"/>
      <c r="FRB48"/>
      <c r="FRC48"/>
      <c r="FRD48"/>
      <c r="FRE48"/>
      <c r="FRF48"/>
      <c r="FRG48"/>
      <c r="FRH48"/>
      <c r="FRI48"/>
      <c r="FRJ48"/>
      <c r="FRK48"/>
      <c r="FRL48"/>
      <c r="FRM48"/>
      <c r="FRN48"/>
      <c r="FRO48"/>
      <c r="FRP48"/>
      <c r="FRQ48"/>
      <c r="FRR48"/>
      <c r="FRS48"/>
      <c r="FRT48"/>
      <c r="FRU48"/>
      <c r="FRV48"/>
      <c r="FRW48"/>
      <c r="FRX48"/>
      <c r="FRY48"/>
      <c r="FRZ48"/>
      <c r="FSA48"/>
      <c r="FSB48"/>
      <c r="FSC48"/>
      <c r="FSD48"/>
      <c r="FSE48"/>
      <c r="FSF48"/>
      <c r="FSG48"/>
      <c r="FSH48"/>
      <c r="FSI48"/>
      <c r="FSJ48"/>
      <c r="FSK48"/>
      <c r="FSL48"/>
      <c r="FSM48"/>
      <c r="FSN48"/>
      <c r="FSO48"/>
      <c r="FSP48"/>
      <c r="FSQ48"/>
      <c r="FSR48"/>
      <c r="FSS48"/>
      <c r="FST48"/>
      <c r="FSU48"/>
      <c r="FSV48"/>
      <c r="FSW48"/>
      <c r="FSX48"/>
      <c r="FSY48"/>
      <c r="FSZ48"/>
      <c r="FTA48"/>
      <c r="FTB48"/>
      <c r="FTC48"/>
      <c r="FTD48"/>
      <c r="FTE48"/>
      <c r="FTF48"/>
      <c r="FTG48"/>
      <c r="FTH48"/>
      <c r="FTI48"/>
      <c r="FTJ48"/>
      <c r="FTK48"/>
      <c r="FTL48"/>
      <c r="FTM48"/>
      <c r="FTN48"/>
      <c r="FTO48"/>
      <c r="FTP48"/>
      <c r="FTQ48"/>
      <c r="FTR48"/>
      <c r="FTS48"/>
      <c r="FTT48"/>
      <c r="FTU48"/>
      <c r="FTV48"/>
      <c r="FTW48"/>
      <c r="FTX48"/>
      <c r="FTY48"/>
      <c r="FTZ48"/>
      <c r="FUA48"/>
      <c r="FUB48"/>
      <c r="FUC48"/>
      <c r="FUD48"/>
      <c r="FUE48"/>
      <c r="FUF48"/>
      <c r="FUG48"/>
      <c r="FUH48"/>
      <c r="FUI48"/>
      <c r="FUJ48"/>
      <c r="FUK48"/>
      <c r="FUL48"/>
      <c r="FUM48"/>
      <c r="FUN48"/>
      <c r="FUO48"/>
      <c r="FUP48"/>
      <c r="FUQ48"/>
      <c r="FUR48"/>
      <c r="FUS48"/>
      <c r="FUT48"/>
      <c r="FUU48"/>
      <c r="FUV48"/>
      <c r="FUW48"/>
      <c r="FUX48"/>
      <c r="FUY48"/>
      <c r="FUZ48"/>
      <c r="FVA48"/>
      <c r="FVB48"/>
      <c r="FVC48"/>
      <c r="FVD48"/>
      <c r="FVE48"/>
      <c r="FVF48"/>
      <c r="FVG48"/>
      <c r="FVH48"/>
      <c r="FVI48"/>
      <c r="FVJ48"/>
      <c r="FVK48"/>
      <c r="FVL48"/>
      <c r="FVM48"/>
      <c r="FVN48"/>
      <c r="FVO48"/>
      <c r="FVP48"/>
      <c r="FVQ48"/>
      <c r="FVR48"/>
      <c r="FVS48"/>
      <c r="FVT48"/>
      <c r="FVU48"/>
      <c r="FVV48"/>
      <c r="FVW48"/>
      <c r="FVX48"/>
      <c r="FVY48"/>
      <c r="FVZ48"/>
      <c r="FWA48"/>
      <c r="FWB48"/>
      <c r="FWC48"/>
      <c r="FWD48"/>
      <c r="FWE48"/>
      <c r="FWF48"/>
      <c r="FWG48"/>
      <c r="FWH48"/>
      <c r="FWI48"/>
      <c r="FWJ48"/>
      <c r="FWK48"/>
      <c r="FWL48"/>
      <c r="FWM48"/>
      <c r="FWN48"/>
      <c r="FWO48"/>
      <c r="FWP48"/>
      <c r="FWQ48"/>
      <c r="FWR48"/>
      <c r="FWS48"/>
      <c r="FWT48"/>
      <c r="FWU48"/>
      <c r="FWV48"/>
      <c r="FWW48"/>
      <c r="FWX48"/>
      <c r="FWY48"/>
      <c r="FWZ48"/>
      <c r="FXA48"/>
      <c r="FXB48"/>
      <c r="FXC48"/>
      <c r="FXD48"/>
      <c r="FXE48"/>
      <c r="FXF48"/>
      <c r="FXG48"/>
      <c r="FXH48"/>
      <c r="FXI48"/>
      <c r="FXJ48"/>
      <c r="FXK48"/>
      <c r="FXL48"/>
      <c r="FXM48"/>
      <c r="FXN48"/>
      <c r="FXO48"/>
      <c r="FXP48"/>
      <c r="FXQ48"/>
      <c r="FXR48"/>
      <c r="FXS48"/>
      <c r="FXT48"/>
      <c r="FXU48"/>
      <c r="FXV48"/>
      <c r="FXW48"/>
      <c r="FXX48"/>
      <c r="FXY48"/>
      <c r="FXZ48"/>
      <c r="FYA48"/>
      <c r="FYB48"/>
      <c r="FYC48"/>
      <c r="FYD48"/>
      <c r="FYE48"/>
      <c r="FYF48"/>
      <c r="FYG48"/>
      <c r="FYH48"/>
      <c r="FYI48"/>
      <c r="FYJ48"/>
      <c r="FYK48"/>
      <c r="FYL48"/>
      <c r="FYM48"/>
      <c r="FYN48"/>
      <c r="FYO48"/>
      <c r="FYP48"/>
      <c r="FYQ48"/>
      <c r="FYR48"/>
      <c r="FYS48"/>
      <c r="FYT48"/>
      <c r="FYU48"/>
      <c r="FYV48"/>
      <c r="FYW48"/>
      <c r="FYX48"/>
      <c r="FYY48"/>
      <c r="FYZ48"/>
      <c r="FZA48"/>
      <c r="FZB48"/>
      <c r="FZC48"/>
      <c r="FZD48"/>
      <c r="FZE48"/>
      <c r="FZF48"/>
      <c r="FZG48"/>
      <c r="FZH48"/>
      <c r="FZI48"/>
      <c r="FZJ48"/>
      <c r="FZK48"/>
      <c r="FZL48"/>
      <c r="FZM48"/>
      <c r="FZN48"/>
      <c r="FZO48"/>
      <c r="FZP48"/>
      <c r="FZQ48"/>
      <c r="FZR48"/>
      <c r="FZS48"/>
      <c r="FZT48"/>
      <c r="FZU48"/>
      <c r="FZV48"/>
      <c r="FZW48"/>
      <c r="FZX48"/>
      <c r="FZY48"/>
      <c r="FZZ48"/>
      <c r="GAA48"/>
      <c r="GAB48"/>
      <c r="GAC48"/>
      <c r="GAD48"/>
      <c r="GAE48"/>
      <c r="GAF48"/>
      <c r="GAG48"/>
      <c r="GAH48"/>
      <c r="GAI48"/>
      <c r="GAJ48"/>
      <c r="GAK48"/>
      <c r="GAL48"/>
      <c r="GAM48"/>
      <c r="GAN48"/>
      <c r="GAO48"/>
      <c r="GAP48"/>
      <c r="GAQ48"/>
      <c r="GAR48"/>
      <c r="GAS48"/>
      <c r="GAT48"/>
      <c r="GAU48"/>
      <c r="GAV48"/>
      <c r="GAW48"/>
      <c r="GAX48"/>
      <c r="GAY48"/>
      <c r="GAZ48"/>
      <c r="GBA48"/>
      <c r="GBB48"/>
      <c r="GBC48"/>
      <c r="GBD48"/>
      <c r="GBE48"/>
      <c r="GBF48"/>
      <c r="GBG48"/>
      <c r="GBH48"/>
      <c r="GBI48"/>
      <c r="GBJ48"/>
      <c r="GBK48"/>
      <c r="GBL48"/>
      <c r="GBM48"/>
      <c r="GBN48"/>
      <c r="GBO48"/>
      <c r="GBP48"/>
      <c r="GBQ48"/>
      <c r="GBR48"/>
      <c r="GBS48"/>
      <c r="GBT48"/>
      <c r="GBU48"/>
      <c r="GBV48"/>
      <c r="GBW48"/>
      <c r="GBX48"/>
      <c r="GBY48"/>
      <c r="GBZ48"/>
      <c r="GCA48"/>
      <c r="GCB48"/>
      <c r="GCC48"/>
      <c r="GCD48"/>
      <c r="GCE48"/>
      <c r="GCF48"/>
      <c r="GCG48"/>
      <c r="GCH48"/>
      <c r="GCI48"/>
      <c r="GCJ48"/>
      <c r="GCK48"/>
      <c r="GCL48"/>
      <c r="GCM48"/>
      <c r="GCN48"/>
      <c r="GCO48"/>
      <c r="GCP48"/>
      <c r="GCQ48"/>
      <c r="GCR48"/>
      <c r="GCS48"/>
      <c r="GCT48"/>
      <c r="GCU48"/>
      <c r="GCV48"/>
      <c r="GCW48"/>
      <c r="GCX48"/>
      <c r="GCY48"/>
      <c r="GCZ48"/>
      <c r="GDA48"/>
      <c r="GDB48"/>
      <c r="GDC48"/>
      <c r="GDD48"/>
      <c r="GDE48"/>
      <c r="GDF48"/>
      <c r="GDG48"/>
      <c r="GDH48"/>
      <c r="GDI48"/>
      <c r="GDJ48"/>
      <c r="GDK48"/>
      <c r="GDL48"/>
      <c r="GDM48"/>
      <c r="GDN48"/>
      <c r="GDO48"/>
      <c r="GDP48"/>
      <c r="GDQ48"/>
      <c r="GDR48"/>
      <c r="GDS48"/>
      <c r="GDT48"/>
      <c r="GDU48"/>
      <c r="GDV48"/>
      <c r="GDW48"/>
      <c r="GDX48"/>
      <c r="GDY48"/>
      <c r="GDZ48"/>
      <c r="GEA48"/>
      <c r="GEB48"/>
      <c r="GEC48"/>
      <c r="GED48"/>
      <c r="GEE48"/>
      <c r="GEF48"/>
      <c r="GEG48"/>
      <c r="GEH48"/>
      <c r="GEI48"/>
      <c r="GEJ48"/>
      <c r="GEK48"/>
      <c r="GEL48"/>
      <c r="GEM48"/>
      <c r="GEN48"/>
      <c r="GEO48"/>
      <c r="GEP48"/>
      <c r="GEQ48"/>
      <c r="GER48"/>
      <c r="GES48"/>
      <c r="GET48"/>
      <c r="GEU48"/>
      <c r="GEV48"/>
      <c r="GEW48"/>
      <c r="GEX48"/>
      <c r="GEY48"/>
      <c r="GEZ48"/>
      <c r="GFA48"/>
      <c r="GFB48"/>
      <c r="GFC48"/>
      <c r="GFD48"/>
      <c r="GFE48"/>
      <c r="GFF48"/>
      <c r="GFG48"/>
      <c r="GFH48"/>
      <c r="GFI48"/>
      <c r="GFJ48"/>
      <c r="GFK48"/>
      <c r="GFL48"/>
      <c r="GFM48"/>
      <c r="GFN48"/>
      <c r="GFO48"/>
      <c r="GFP48"/>
      <c r="GFQ48"/>
      <c r="GFR48"/>
      <c r="GFS48"/>
      <c r="GFT48"/>
      <c r="GFU48"/>
      <c r="GFV48"/>
      <c r="GFW48"/>
      <c r="GFX48"/>
      <c r="GFY48"/>
      <c r="GFZ48"/>
      <c r="GGA48"/>
      <c r="GGB48"/>
      <c r="GGC48"/>
      <c r="GGD48"/>
      <c r="GGE48"/>
      <c r="GGF48"/>
      <c r="GGG48"/>
      <c r="GGH48"/>
      <c r="GGI48"/>
      <c r="GGJ48"/>
      <c r="GGK48"/>
      <c r="GGL48"/>
      <c r="GGM48"/>
      <c r="GGN48"/>
      <c r="GGO48"/>
      <c r="GGP48"/>
      <c r="GGQ48"/>
      <c r="GGR48"/>
      <c r="GGS48"/>
      <c r="GGT48"/>
      <c r="GGU48"/>
      <c r="GGV48"/>
      <c r="GGW48"/>
      <c r="GGX48"/>
      <c r="GGY48"/>
      <c r="GGZ48"/>
      <c r="GHA48"/>
      <c r="GHB48"/>
      <c r="GHC48"/>
      <c r="GHD48"/>
      <c r="GHE48"/>
      <c r="GHF48"/>
      <c r="GHG48"/>
      <c r="GHH48"/>
      <c r="GHI48"/>
      <c r="GHJ48"/>
      <c r="GHK48"/>
      <c r="GHL48"/>
      <c r="GHM48"/>
      <c r="GHN48"/>
      <c r="GHO48"/>
      <c r="GHP48"/>
      <c r="GHQ48"/>
      <c r="GHR48"/>
      <c r="GHS48"/>
      <c r="GHT48"/>
      <c r="GHU48"/>
      <c r="GHV48"/>
      <c r="GHW48"/>
      <c r="GHX48"/>
      <c r="GHY48"/>
      <c r="GHZ48"/>
      <c r="GIA48"/>
      <c r="GIB48"/>
      <c r="GIC48"/>
      <c r="GID48"/>
      <c r="GIE48"/>
      <c r="GIF48"/>
      <c r="GIG48"/>
      <c r="GIH48"/>
      <c r="GII48"/>
      <c r="GIJ48"/>
      <c r="GIK48"/>
      <c r="GIL48"/>
      <c r="GIM48"/>
      <c r="GIN48"/>
      <c r="GIO48"/>
      <c r="GIP48"/>
      <c r="GIQ48"/>
      <c r="GIR48"/>
      <c r="GIS48"/>
      <c r="GIT48"/>
      <c r="GIU48"/>
      <c r="GIV48"/>
      <c r="GIW48"/>
      <c r="GIX48"/>
      <c r="GIY48"/>
      <c r="GIZ48"/>
      <c r="GJA48"/>
      <c r="GJB48"/>
      <c r="GJC48"/>
      <c r="GJD48"/>
      <c r="GJE48"/>
      <c r="GJF48"/>
      <c r="GJG48"/>
      <c r="GJH48"/>
      <c r="GJI48"/>
      <c r="GJJ48"/>
      <c r="GJK48"/>
      <c r="GJL48"/>
      <c r="GJM48"/>
      <c r="GJN48"/>
      <c r="GJO48"/>
      <c r="GJP48"/>
      <c r="GJQ48"/>
      <c r="GJR48"/>
      <c r="GJS48"/>
      <c r="GJT48"/>
      <c r="GJU48"/>
      <c r="GJV48"/>
      <c r="GJW48"/>
      <c r="GJX48"/>
      <c r="GJY48"/>
      <c r="GJZ48"/>
      <c r="GKA48"/>
      <c r="GKB48"/>
      <c r="GKC48"/>
      <c r="GKD48"/>
      <c r="GKE48"/>
      <c r="GKF48"/>
      <c r="GKG48"/>
      <c r="GKH48"/>
      <c r="GKI48"/>
      <c r="GKJ48"/>
      <c r="GKK48"/>
      <c r="GKL48"/>
      <c r="GKM48"/>
      <c r="GKN48"/>
      <c r="GKO48"/>
      <c r="GKP48"/>
      <c r="GKQ48"/>
      <c r="GKR48"/>
      <c r="GKS48"/>
      <c r="GKT48"/>
      <c r="GKU48"/>
      <c r="GKV48"/>
      <c r="GKW48"/>
      <c r="GKX48"/>
      <c r="GKY48"/>
      <c r="GKZ48"/>
      <c r="GLA48"/>
      <c r="GLB48"/>
      <c r="GLC48"/>
      <c r="GLD48"/>
      <c r="GLE48"/>
      <c r="GLF48"/>
      <c r="GLG48"/>
      <c r="GLH48"/>
      <c r="GLI48"/>
      <c r="GLJ48"/>
      <c r="GLK48"/>
      <c r="GLL48"/>
      <c r="GLM48"/>
      <c r="GLN48"/>
      <c r="GLO48"/>
      <c r="GLP48"/>
      <c r="GLQ48"/>
      <c r="GLR48"/>
      <c r="GLS48"/>
      <c r="GLT48"/>
      <c r="GLU48"/>
      <c r="GLV48"/>
      <c r="GLW48"/>
      <c r="GLX48"/>
      <c r="GLY48"/>
      <c r="GLZ48"/>
      <c r="GMA48"/>
      <c r="GMB48"/>
      <c r="GMC48"/>
      <c r="GMD48"/>
      <c r="GME48"/>
      <c r="GMF48"/>
      <c r="GMG48"/>
      <c r="GMH48"/>
      <c r="GMI48"/>
      <c r="GMJ48"/>
      <c r="GMK48"/>
      <c r="GML48"/>
      <c r="GMM48"/>
      <c r="GMN48"/>
      <c r="GMO48"/>
      <c r="GMP48"/>
      <c r="GMQ48"/>
      <c r="GMR48"/>
      <c r="GMS48"/>
      <c r="GMT48"/>
      <c r="GMU48"/>
      <c r="GMV48"/>
      <c r="GMW48"/>
      <c r="GMX48"/>
      <c r="GMY48"/>
      <c r="GMZ48"/>
      <c r="GNA48"/>
      <c r="GNB48"/>
      <c r="GNC48"/>
      <c r="GND48"/>
      <c r="GNE48"/>
      <c r="GNF48"/>
      <c r="GNG48"/>
      <c r="GNH48"/>
      <c r="GNI48"/>
      <c r="GNJ48"/>
      <c r="GNK48"/>
      <c r="GNL48"/>
      <c r="GNM48"/>
      <c r="GNN48"/>
      <c r="GNO48"/>
      <c r="GNP48"/>
      <c r="GNQ48"/>
      <c r="GNR48"/>
      <c r="GNS48"/>
      <c r="GNT48"/>
      <c r="GNU48"/>
      <c r="GNV48"/>
      <c r="GNW48"/>
      <c r="GNX48"/>
      <c r="GNY48"/>
      <c r="GNZ48"/>
      <c r="GOA48"/>
      <c r="GOB48"/>
      <c r="GOC48"/>
      <c r="GOD48"/>
      <c r="GOE48"/>
      <c r="GOF48"/>
      <c r="GOG48"/>
      <c r="GOH48"/>
      <c r="GOI48"/>
      <c r="GOJ48"/>
      <c r="GOK48"/>
      <c r="GOL48"/>
      <c r="GOM48"/>
      <c r="GON48"/>
      <c r="GOO48"/>
      <c r="GOP48"/>
      <c r="GOQ48"/>
      <c r="GOR48"/>
      <c r="GOS48"/>
      <c r="GOT48"/>
      <c r="GOU48"/>
      <c r="GOV48"/>
      <c r="GOW48"/>
      <c r="GOX48"/>
      <c r="GOY48"/>
      <c r="GOZ48"/>
      <c r="GPA48"/>
      <c r="GPB48"/>
      <c r="GPC48"/>
      <c r="GPD48"/>
      <c r="GPE48"/>
      <c r="GPF48"/>
      <c r="GPG48"/>
      <c r="GPH48"/>
      <c r="GPI48"/>
      <c r="GPJ48"/>
      <c r="GPK48"/>
      <c r="GPL48"/>
      <c r="GPM48"/>
      <c r="GPN48"/>
      <c r="GPO48"/>
      <c r="GPP48"/>
      <c r="GPQ48"/>
      <c r="GPR48"/>
      <c r="GPS48"/>
      <c r="GPT48"/>
      <c r="GPU48"/>
      <c r="GPV48"/>
      <c r="GPW48"/>
      <c r="GPX48"/>
      <c r="GPY48"/>
      <c r="GPZ48"/>
      <c r="GQA48"/>
      <c r="GQB48"/>
      <c r="GQC48"/>
      <c r="GQD48"/>
      <c r="GQE48"/>
      <c r="GQF48"/>
      <c r="GQG48"/>
      <c r="GQH48"/>
      <c r="GQI48"/>
      <c r="GQJ48"/>
      <c r="GQK48"/>
      <c r="GQL48"/>
      <c r="GQM48"/>
      <c r="GQN48"/>
      <c r="GQO48"/>
      <c r="GQP48"/>
      <c r="GQQ48"/>
      <c r="GQR48"/>
      <c r="GQS48"/>
      <c r="GQT48"/>
      <c r="GQU48"/>
      <c r="GQV48"/>
      <c r="GQW48"/>
      <c r="GQX48"/>
      <c r="GQY48"/>
      <c r="GQZ48"/>
      <c r="GRA48"/>
      <c r="GRB48"/>
      <c r="GRC48"/>
      <c r="GRD48"/>
      <c r="GRE48"/>
      <c r="GRF48"/>
      <c r="GRG48"/>
      <c r="GRH48"/>
      <c r="GRI48"/>
      <c r="GRJ48"/>
      <c r="GRK48"/>
      <c r="GRL48"/>
      <c r="GRM48"/>
      <c r="GRN48"/>
      <c r="GRO48"/>
      <c r="GRP48"/>
      <c r="GRQ48"/>
      <c r="GRR48"/>
      <c r="GRS48"/>
      <c r="GRT48"/>
      <c r="GRU48"/>
      <c r="GRV48"/>
      <c r="GRW48"/>
      <c r="GRX48"/>
      <c r="GRY48"/>
      <c r="GRZ48"/>
      <c r="GSA48"/>
      <c r="GSB48"/>
      <c r="GSC48"/>
      <c r="GSD48"/>
      <c r="GSE48"/>
      <c r="GSF48"/>
      <c r="GSG48"/>
      <c r="GSH48"/>
      <c r="GSI48"/>
      <c r="GSJ48"/>
      <c r="GSK48"/>
      <c r="GSL48"/>
      <c r="GSM48"/>
      <c r="GSN48"/>
      <c r="GSO48"/>
      <c r="GSP48"/>
      <c r="GSQ48"/>
      <c r="GSR48"/>
      <c r="GSS48"/>
      <c r="GST48"/>
      <c r="GSU48"/>
      <c r="GSV48"/>
      <c r="GSW48"/>
      <c r="GSX48"/>
      <c r="GSY48"/>
      <c r="GSZ48"/>
      <c r="GTA48"/>
      <c r="GTB48"/>
      <c r="GTC48"/>
      <c r="GTD48"/>
      <c r="GTE48"/>
      <c r="GTF48"/>
      <c r="GTG48"/>
      <c r="GTH48"/>
      <c r="GTI48"/>
      <c r="GTJ48"/>
      <c r="GTK48"/>
      <c r="GTL48"/>
      <c r="GTM48"/>
      <c r="GTN48"/>
      <c r="GTO48"/>
      <c r="GTP48"/>
      <c r="GTQ48"/>
      <c r="GTR48"/>
      <c r="GTS48"/>
      <c r="GTT48"/>
      <c r="GTU48"/>
      <c r="GTV48"/>
      <c r="GTW48"/>
      <c r="GTX48"/>
      <c r="GTY48"/>
      <c r="GTZ48"/>
      <c r="GUA48"/>
      <c r="GUB48"/>
      <c r="GUC48"/>
      <c r="GUD48"/>
      <c r="GUE48"/>
      <c r="GUF48"/>
      <c r="GUG48"/>
      <c r="GUH48"/>
      <c r="GUI48"/>
      <c r="GUJ48"/>
      <c r="GUK48"/>
      <c r="GUL48"/>
      <c r="GUM48"/>
      <c r="GUN48"/>
      <c r="GUO48"/>
      <c r="GUP48"/>
      <c r="GUQ48"/>
      <c r="GUR48"/>
      <c r="GUS48"/>
      <c r="GUT48"/>
      <c r="GUU48"/>
      <c r="GUV48"/>
      <c r="GUW48"/>
      <c r="GUX48"/>
      <c r="GUY48"/>
      <c r="GUZ48"/>
      <c r="GVA48"/>
      <c r="GVB48"/>
      <c r="GVC48"/>
      <c r="GVD48"/>
      <c r="GVE48"/>
      <c r="GVF48"/>
      <c r="GVG48"/>
      <c r="GVH48"/>
      <c r="GVI48"/>
      <c r="GVJ48"/>
      <c r="GVK48"/>
      <c r="GVL48"/>
      <c r="GVM48"/>
      <c r="GVN48"/>
      <c r="GVO48"/>
      <c r="GVP48"/>
      <c r="GVQ48"/>
      <c r="GVR48"/>
      <c r="GVS48"/>
      <c r="GVT48"/>
      <c r="GVU48"/>
      <c r="GVV48"/>
      <c r="GVW48"/>
      <c r="GVX48"/>
      <c r="GVY48"/>
      <c r="GVZ48"/>
      <c r="GWA48"/>
      <c r="GWB48"/>
      <c r="GWC48"/>
      <c r="GWD48"/>
      <c r="GWE48"/>
      <c r="GWF48"/>
      <c r="GWG48"/>
      <c r="GWH48"/>
      <c r="GWI48"/>
      <c r="GWJ48"/>
      <c r="GWK48"/>
      <c r="GWL48"/>
      <c r="GWM48"/>
      <c r="GWN48"/>
      <c r="GWO48"/>
      <c r="GWP48"/>
      <c r="GWQ48"/>
      <c r="GWR48"/>
      <c r="GWS48"/>
      <c r="GWT48"/>
      <c r="GWU48"/>
      <c r="GWV48"/>
      <c r="GWW48"/>
      <c r="GWX48"/>
      <c r="GWY48"/>
      <c r="GWZ48"/>
      <c r="GXA48"/>
      <c r="GXB48"/>
      <c r="GXC48"/>
      <c r="GXD48"/>
      <c r="GXE48"/>
      <c r="GXF48"/>
      <c r="GXG48"/>
      <c r="GXH48"/>
      <c r="GXI48"/>
      <c r="GXJ48"/>
      <c r="GXK48"/>
      <c r="GXL48"/>
      <c r="GXM48"/>
      <c r="GXN48"/>
      <c r="GXO48"/>
      <c r="GXP48"/>
      <c r="GXQ48"/>
      <c r="GXR48"/>
      <c r="GXS48"/>
      <c r="GXT48"/>
      <c r="GXU48"/>
      <c r="GXV48"/>
      <c r="GXW48"/>
      <c r="GXX48"/>
      <c r="GXY48"/>
      <c r="GXZ48"/>
      <c r="GYA48"/>
      <c r="GYB48"/>
      <c r="GYC48"/>
      <c r="GYD48"/>
      <c r="GYE48"/>
      <c r="GYF48"/>
      <c r="GYG48"/>
      <c r="GYH48"/>
      <c r="GYI48"/>
      <c r="GYJ48"/>
      <c r="GYK48"/>
      <c r="GYL48"/>
      <c r="GYM48"/>
      <c r="GYN48"/>
      <c r="GYO48"/>
      <c r="GYP48"/>
      <c r="GYQ48"/>
      <c r="GYR48"/>
      <c r="GYS48"/>
      <c r="GYT48"/>
      <c r="GYU48"/>
      <c r="GYV48"/>
      <c r="GYW48"/>
      <c r="GYX48"/>
      <c r="GYY48"/>
      <c r="GYZ48"/>
      <c r="GZA48"/>
      <c r="GZB48"/>
      <c r="GZC48"/>
      <c r="GZD48"/>
      <c r="GZE48"/>
      <c r="GZF48"/>
      <c r="GZG48"/>
      <c r="GZH48"/>
      <c r="GZI48"/>
      <c r="GZJ48"/>
      <c r="GZK48"/>
      <c r="GZL48"/>
      <c r="GZM48"/>
      <c r="GZN48"/>
      <c r="GZO48"/>
      <c r="GZP48"/>
      <c r="GZQ48"/>
      <c r="GZR48"/>
      <c r="GZS48"/>
      <c r="GZT48"/>
      <c r="GZU48"/>
      <c r="GZV48"/>
      <c r="GZW48"/>
      <c r="GZX48"/>
      <c r="GZY48"/>
      <c r="GZZ48"/>
      <c r="HAA48"/>
      <c r="HAB48"/>
      <c r="HAC48"/>
      <c r="HAD48"/>
      <c r="HAE48"/>
      <c r="HAF48"/>
      <c r="HAG48"/>
      <c r="HAH48"/>
      <c r="HAI48"/>
      <c r="HAJ48"/>
      <c r="HAK48"/>
      <c r="HAL48"/>
      <c r="HAM48"/>
      <c r="HAN48"/>
      <c r="HAO48"/>
      <c r="HAP48"/>
      <c r="HAQ48"/>
      <c r="HAR48"/>
      <c r="HAS48"/>
      <c r="HAT48"/>
      <c r="HAU48"/>
      <c r="HAV48"/>
      <c r="HAW48"/>
      <c r="HAX48"/>
      <c r="HAY48"/>
      <c r="HAZ48"/>
      <c r="HBA48"/>
      <c r="HBB48"/>
      <c r="HBC48"/>
      <c r="HBD48"/>
      <c r="HBE48"/>
      <c r="HBF48"/>
      <c r="HBG48"/>
      <c r="HBH48"/>
      <c r="HBI48"/>
      <c r="HBJ48"/>
      <c r="HBK48"/>
      <c r="HBL48"/>
      <c r="HBM48"/>
      <c r="HBN48"/>
      <c r="HBO48"/>
      <c r="HBP48"/>
      <c r="HBQ48"/>
      <c r="HBR48"/>
      <c r="HBS48"/>
      <c r="HBT48"/>
      <c r="HBU48"/>
      <c r="HBV48"/>
      <c r="HBW48"/>
      <c r="HBX48"/>
      <c r="HBY48"/>
      <c r="HBZ48"/>
      <c r="HCA48"/>
      <c r="HCB48"/>
      <c r="HCC48"/>
      <c r="HCD48"/>
      <c r="HCE48"/>
      <c r="HCF48"/>
      <c r="HCG48"/>
      <c r="HCH48"/>
      <c r="HCI48"/>
      <c r="HCJ48"/>
      <c r="HCK48"/>
      <c r="HCL48"/>
      <c r="HCM48"/>
      <c r="HCN48"/>
      <c r="HCO48"/>
      <c r="HCP48"/>
      <c r="HCQ48"/>
      <c r="HCR48"/>
      <c r="HCS48"/>
      <c r="HCT48"/>
      <c r="HCU48"/>
      <c r="HCV48"/>
      <c r="HCW48"/>
      <c r="HCX48"/>
      <c r="HCY48"/>
      <c r="HCZ48"/>
      <c r="HDA48"/>
      <c r="HDB48"/>
      <c r="HDC48"/>
      <c r="HDD48"/>
      <c r="HDE48"/>
      <c r="HDF48"/>
      <c r="HDG48"/>
      <c r="HDH48"/>
      <c r="HDI48"/>
      <c r="HDJ48"/>
      <c r="HDK48"/>
      <c r="HDL48"/>
      <c r="HDM48"/>
      <c r="HDN48"/>
      <c r="HDO48"/>
      <c r="HDP48"/>
      <c r="HDQ48"/>
      <c r="HDR48"/>
      <c r="HDS48"/>
      <c r="HDT48"/>
      <c r="HDU48"/>
      <c r="HDV48"/>
      <c r="HDW48"/>
      <c r="HDX48"/>
      <c r="HDY48"/>
      <c r="HDZ48"/>
      <c r="HEA48"/>
      <c r="HEB48"/>
      <c r="HEC48"/>
      <c r="HED48"/>
      <c r="HEE48"/>
      <c r="HEF48"/>
      <c r="HEG48"/>
      <c r="HEH48"/>
      <c r="HEI48"/>
      <c r="HEJ48"/>
      <c r="HEK48"/>
      <c r="HEL48"/>
      <c r="HEM48"/>
      <c r="HEN48"/>
      <c r="HEO48"/>
      <c r="HEP48"/>
      <c r="HEQ48"/>
      <c r="HER48"/>
      <c r="HES48"/>
      <c r="HET48"/>
      <c r="HEU48"/>
      <c r="HEV48"/>
      <c r="HEW48"/>
      <c r="HEX48"/>
      <c r="HEY48"/>
      <c r="HEZ48"/>
      <c r="HFA48"/>
      <c r="HFB48"/>
      <c r="HFC48"/>
      <c r="HFD48"/>
      <c r="HFE48"/>
      <c r="HFF48"/>
      <c r="HFG48"/>
      <c r="HFH48"/>
      <c r="HFI48"/>
      <c r="HFJ48"/>
      <c r="HFK48"/>
      <c r="HFL48"/>
      <c r="HFM48"/>
      <c r="HFN48"/>
      <c r="HFO48"/>
      <c r="HFP48"/>
      <c r="HFQ48"/>
      <c r="HFR48"/>
      <c r="HFS48"/>
      <c r="HFT48"/>
      <c r="HFU48"/>
      <c r="HFV48"/>
      <c r="HFW48"/>
      <c r="HFX48"/>
      <c r="HFY48"/>
      <c r="HFZ48"/>
      <c r="HGA48"/>
      <c r="HGB48"/>
      <c r="HGC48"/>
      <c r="HGD48"/>
      <c r="HGE48"/>
      <c r="HGF48"/>
      <c r="HGG48"/>
      <c r="HGH48"/>
      <c r="HGI48"/>
      <c r="HGJ48"/>
      <c r="HGK48"/>
      <c r="HGL48"/>
      <c r="HGM48"/>
      <c r="HGN48"/>
      <c r="HGO48"/>
      <c r="HGP48"/>
      <c r="HGQ48"/>
      <c r="HGR48"/>
      <c r="HGS48"/>
      <c r="HGT48"/>
      <c r="HGU48"/>
      <c r="HGV48"/>
      <c r="HGW48"/>
      <c r="HGX48"/>
      <c r="HGY48"/>
      <c r="HGZ48"/>
      <c r="HHA48"/>
      <c r="HHB48"/>
      <c r="HHC48"/>
      <c r="HHD48"/>
      <c r="HHE48"/>
      <c r="HHF48"/>
      <c r="HHG48"/>
      <c r="HHH48"/>
      <c r="HHI48"/>
      <c r="HHJ48"/>
      <c r="HHK48"/>
      <c r="HHL48"/>
      <c r="HHM48"/>
      <c r="HHN48"/>
      <c r="HHO48"/>
      <c r="HHP48"/>
      <c r="HHQ48"/>
      <c r="HHR48"/>
      <c r="HHS48"/>
      <c r="HHT48"/>
      <c r="HHU48"/>
      <c r="HHV48"/>
      <c r="HHW48"/>
      <c r="HHX48"/>
      <c r="HHY48"/>
      <c r="HHZ48"/>
      <c r="HIA48"/>
      <c r="HIB48"/>
      <c r="HIC48"/>
      <c r="HID48"/>
      <c r="HIE48"/>
      <c r="HIF48"/>
      <c r="HIG48"/>
      <c r="HIH48"/>
      <c r="HII48"/>
      <c r="HIJ48"/>
      <c r="HIK48"/>
      <c r="HIL48"/>
      <c r="HIM48"/>
      <c r="HIN48"/>
      <c r="HIO48"/>
      <c r="HIP48"/>
      <c r="HIQ48"/>
      <c r="HIR48"/>
      <c r="HIS48"/>
      <c r="HIT48"/>
      <c r="HIU48"/>
      <c r="HIV48"/>
      <c r="HIW48"/>
      <c r="HIX48"/>
      <c r="HIY48"/>
      <c r="HIZ48"/>
      <c r="HJA48"/>
      <c r="HJB48"/>
      <c r="HJC48"/>
      <c r="HJD48"/>
      <c r="HJE48"/>
      <c r="HJF48"/>
      <c r="HJG48"/>
      <c r="HJH48"/>
      <c r="HJI48"/>
      <c r="HJJ48"/>
      <c r="HJK48"/>
      <c r="HJL48"/>
      <c r="HJM48"/>
      <c r="HJN48"/>
      <c r="HJO48"/>
      <c r="HJP48"/>
      <c r="HJQ48"/>
      <c r="HJR48"/>
      <c r="HJS48"/>
      <c r="HJT48"/>
      <c r="HJU48"/>
      <c r="HJV48"/>
      <c r="HJW48"/>
      <c r="HJX48"/>
      <c r="HJY48"/>
      <c r="HJZ48"/>
      <c r="HKA48"/>
      <c r="HKB48"/>
      <c r="HKC48"/>
      <c r="HKD48"/>
      <c r="HKE48"/>
      <c r="HKF48"/>
      <c r="HKG48"/>
      <c r="HKH48"/>
      <c r="HKI48"/>
      <c r="HKJ48"/>
      <c r="HKK48"/>
      <c r="HKL48"/>
      <c r="HKM48"/>
      <c r="HKN48"/>
      <c r="HKO48"/>
      <c r="HKP48"/>
      <c r="HKQ48"/>
      <c r="HKR48"/>
      <c r="HKS48"/>
      <c r="HKT48"/>
      <c r="HKU48"/>
      <c r="HKV48"/>
      <c r="HKW48"/>
      <c r="HKX48"/>
      <c r="HKY48"/>
      <c r="HKZ48"/>
      <c r="HLA48"/>
      <c r="HLB48"/>
      <c r="HLC48"/>
      <c r="HLD48"/>
      <c r="HLE48"/>
      <c r="HLF48"/>
      <c r="HLG48"/>
      <c r="HLH48"/>
      <c r="HLI48"/>
      <c r="HLJ48"/>
      <c r="HLK48"/>
      <c r="HLL48"/>
      <c r="HLM48"/>
      <c r="HLN48"/>
      <c r="HLO48"/>
      <c r="HLP48"/>
      <c r="HLQ48"/>
      <c r="HLR48"/>
      <c r="HLS48"/>
      <c r="HLT48"/>
      <c r="HLU48"/>
      <c r="HLV48"/>
      <c r="HLW48"/>
      <c r="HLX48"/>
      <c r="HLY48"/>
      <c r="HLZ48"/>
      <c r="HMA48"/>
      <c r="HMB48"/>
      <c r="HMC48"/>
      <c r="HMD48"/>
      <c r="HME48"/>
      <c r="HMF48"/>
      <c r="HMG48"/>
      <c r="HMH48"/>
      <c r="HMI48"/>
      <c r="HMJ48"/>
      <c r="HMK48"/>
      <c r="HML48"/>
      <c r="HMM48"/>
      <c r="HMN48"/>
      <c r="HMO48"/>
      <c r="HMP48"/>
      <c r="HMQ48"/>
      <c r="HMR48"/>
      <c r="HMS48"/>
      <c r="HMT48"/>
      <c r="HMU48"/>
      <c r="HMV48"/>
      <c r="HMW48"/>
      <c r="HMX48"/>
      <c r="HMY48"/>
      <c r="HMZ48"/>
      <c r="HNA48"/>
      <c r="HNB48"/>
      <c r="HNC48"/>
      <c r="HND48"/>
      <c r="HNE48"/>
      <c r="HNF48"/>
      <c r="HNG48"/>
      <c r="HNH48"/>
      <c r="HNI48"/>
      <c r="HNJ48"/>
      <c r="HNK48"/>
      <c r="HNL48"/>
      <c r="HNM48"/>
      <c r="HNN48"/>
      <c r="HNO48"/>
      <c r="HNP48"/>
      <c r="HNQ48"/>
      <c r="HNR48"/>
      <c r="HNS48"/>
      <c r="HNT48"/>
      <c r="HNU48"/>
      <c r="HNV48"/>
      <c r="HNW48"/>
      <c r="HNX48"/>
      <c r="HNY48"/>
      <c r="HNZ48"/>
      <c r="HOA48"/>
      <c r="HOB48"/>
      <c r="HOC48"/>
      <c r="HOD48"/>
      <c r="HOE48"/>
      <c r="HOF48"/>
      <c r="HOG48"/>
      <c r="HOH48"/>
      <c r="HOI48"/>
      <c r="HOJ48"/>
      <c r="HOK48"/>
      <c r="HOL48"/>
      <c r="HOM48"/>
      <c r="HON48"/>
      <c r="HOO48"/>
      <c r="HOP48"/>
      <c r="HOQ48"/>
      <c r="HOR48"/>
      <c r="HOS48"/>
      <c r="HOT48"/>
      <c r="HOU48"/>
      <c r="HOV48"/>
      <c r="HOW48"/>
      <c r="HOX48"/>
      <c r="HOY48"/>
      <c r="HOZ48"/>
      <c r="HPA48"/>
      <c r="HPB48"/>
      <c r="HPC48"/>
      <c r="HPD48"/>
      <c r="HPE48"/>
      <c r="HPF48"/>
      <c r="HPG48"/>
      <c r="HPH48"/>
      <c r="HPI48"/>
      <c r="HPJ48"/>
      <c r="HPK48"/>
      <c r="HPL48"/>
      <c r="HPM48"/>
      <c r="HPN48"/>
      <c r="HPO48"/>
      <c r="HPP48"/>
      <c r="HPQ48"/>
      <c r="HPR48"/>
      <c r="HPS48"/>
      <c r="HPT48"/>
      <c r="HPU48"/>
      <c r="HPV48"/>
      <c r="HPW48"/>
      <c r="HPX48"/>
      <c r="HPY48"/>
      <c r="HPZ48"/>
      <c r="HQA48"/>
      <c r="HQB48"/>
      <c r="HQC48"/>
      <c r="HQD48"/>
      <c r="HQE48"/>
      <c r="HQF48"/>
      <c r="HQG48"/>
      <c r="HQH48"/>
      <c r="HQI48"/>
      <c r="HQJ48"/>
      <c r="HQK48"/>
      <c r="HQL48"/>
      <c r="HQM48"/>
      <c r="HQN48"/>
      <c r="HQO48"/>
      <c r="HQP48"/>
      <c r="HQQ48"/>
      <c r="HQR48"/>
      <c r="HQS48"/>
      <c r="HQT48"/>
      <c r="HQU48"/>
      <c r="HQV48"/>
      <c r="HQW48"/>
      <c r="HQX48"/>
      <c r="HQY48"/>
      <c r="HQZ48"/>
      <c r="HRA48"/>
      <c r="HRB48"/>
      <c r="HRC48"/>
      <c r="HRD48"/>
      <c r="HRE48"/>
      <c r="HRF48"/>
      <c r="HRG48"/>
      <c r="HRH48"/>
      <c r="HRI48"/>
      <c r="HRJ48"/>
      <c r="HRK48"/>
      <c r="HRL48"/>
      <c r="HRM48"/>
      <c r="HRN48"/>
      <c r="HRO48"/>
      <c r="HRP48"/>
      <c r="HRQ48"/>
      <c r="HRR48"/>
      <c r="HRS48"/>
      <c r="HRT48"/>
      <c r="HRU48"/>
      <c r="HRV48"/>
      <c r="HRW48"/>
      <c r="HRX48"/>
      <c r="HRY48"/>
      <c r="HRZ48"/>
      <c r="HSA48"/>
      <c r="HSB48"/>
      <c r="HSC48"/>
      <c r="HSD48"/>
      <c r="HSE48"/>
      <c r="HSF48"/>
      <c r="HSG48"/>
      <c r="HSH48"/>
      <c r="HSI48"/>
      <c r="HSJ48"/>
      <c r="HSK48"/>
      <c r="HSL48"/>
      <c r="HSM48"/>
      <c r="HSN48"/>
      <c r="HSO48"/>
      <c r="HSP48"/>
      <c r="HSQ48"/>
      <c r="HSR48"/>
      <c r="HSS48"/>
      <c r="HST48"/>
      <c r="HSU48"/>
      <c r="HSV48"/>
      <c r="HSW48"/>
      <c r="HSX48"/>
      <c r="HSY48"/>
      <c r="HSZ48"/>
      <c r="HTA48"/>
      <c r="HTB48"/>
      <c r="HTC48"/>
      <c r="HTD48"/>
      <c r="HTE48"/>
      <c r="HTF48"/>
      <c r="HTG48"/>
      <c r="HTH48"/>
      <c r="HTI48"/>
      <c r="HTJ48"/>
      <c r="HTK48"/>
      <c r="HTL48"/>
      <c r="HTM48"/>
      <c r="HTN48"/>
      <c r="HTO48"/>
      <c r="HTP48"/>
      <c r="HTQ48"/>
      <c r="HTR48"/>
      <c r="HTS48"/>
      <c r="HTT48"/>
      <c r="HTU48"/>
      <c r="HTV48"/>
      <c r="HTW48"/>
      <c r="HTX48"/>
      <c r="HTY48"/>
      <c r="HTZ48"/>
      <c r="HUA48"/>
      <c r="HUB48"/>
      <c r="HUC48"/>
      <c r="HUD48"/>
      <c r="HUE48"/>
      <c r="HUF48"/>
      <c r="HUG48"/>
      <c r="HUH48"/>
      <c r="HUI48"/>
      <c r="HUJ48"/>
      <c r="HUK48"/>
      <c r="HUL48"/>
      <c r="HUM48"/>
      <c r="HUN48"/>
      <c r="HUO48"/>
      <c r="HUP48"/>
      <c r="HUQ48"/>
      <c r="HUR48"/>
      <c r="HUS48"/>
      <c r="HUT48"/>
      <c r="HUU48"/>
      <c r="HUV48"/>
      <c r="HUW48"/>
      <c r="HUX48"/>
      <c r="HUY48"/>
      <c r="HUZ48"/>
      <c r="HVA48"/>
      <c r="HVB48"/>
      <c r="HVC48"/>
      <c r="HVD48"/>
      <c r="HVE48"/>
      <c r="HVF48"/>
      <c r="HVG48"/>
      <c r="HVH48"/>
      <c r="HVI48"/>
      <c r="HVJ48"/>
      <c r="HVK48"/>
      <c r="HVL48"/>
      <c r="HVM48"/>
      <c r="HVN48"/>
      <c r="HVO48"/>
      <c r="HVP48"/>
      <c r="HVQ48"/>
      <c r="HVR48"/>
      <c r="HVS48"/>
      <c r="HVT48"/>
      <c r="HVU48"/>
      <c r="HVV48"/>
      <c r="HVW48"/>
      <c r="HVX48"/>
      <c r="HVY48"/>
      <c r="HVZ48"/>
      <c r="HWA48"/>
      <c r="HWB48"/>
      <c r="HWC48"/>
      <c r="HWD48"/>
      <c r="HWE48"/>
      <c r="HWF48"/>
      <c r="HWG48"/>
      <c r="HWH48"/>
      <c r="HWI48"/>
      <c r="HWJ48"/>
      <c r="HWK48"/>
      <c r="HWL48"/>
      <c r="HWM48"/>
      <c r="HWN48"/>
      <c r="HWO48"/>
      <c r="HWP48"/>
      <c r="HWQ48"/>
      <c r="HWR48"/>
      <c r="HWS48"/>
      <c r="HWT48"/>
      <c r="HWU48"/>
      <c r="HWV48"/>
      <c r="HWW48"/>
      <c r="HWX48"/>
      <c r="HWY48"/>
      <c r="HWZ48"/>
      <c r="HXA48"/>
      <c r="HXB48"/>
      <c r="HXC48"/>
      <c r="HXD48"/>
      <c r="HXE48"/>
      <c r="HXF48"/>
      <c r="HXG48"/>
      <c r="HXH48"/>
      <c r="HXI48"/>
      <c r="HXJ48"/>
      <c r="HXK48"/>
      <c r="HXL48"/>
      <c r="HXM48"/>
      <c r="HXN48"/>
      <c r="HXO48"/>
      <c r="HXP48"/>
      <c r="HXQ48"/>
      <c r="HXR48"/>
      <c r="HXS48"/>
      <c r="HXT48"/>
      <c r="HXU48"/>
      <c r="HXV48"/>
      <c r="HXW48"/>
      <c r="HXX48"/>
      <c r="HXY48"/>
      <c r="HXZ48"/>
      <c r="HYA48"/>
      <c r="HYB48"/>
      <c r="HYC48"/>
      <c r="HYD48"/>
      <c r="HYE48"/>
      <c r="HYF48"/>
      <c r="HYG48"/>
      <c r="HYH48"/>
      <c r="HYI48"/>
      <c r="HYJ48"/>
      <c r="HYK48"/>
      <c r="HYL48"/>
      <c r="HYM48"/>
      <c r="HYN48"/>
      <c r="HYO48"/>
      <c r="HYP48"/>
      <c r="HYQ48"/>
      <c r="HYR48"/>
      <c r="HYS48"/>
      <c r="HYT48"/>
      <c r="HYU48"/>
      <c r="HYV48"/>
      <c r="HYW48"/>
      <c r="HYX48"/>
      <c r="HYY48"/>
      <c r="HYZ48"/>
      <c r="HZA48"/>
      <c r="HZB48"/>
      <c r="HZC48"/>
      <c r="HZD48"/>
      <c r="HZE48"/>
      <c r="HZF48"/>
      <c r="HZG48"/>
      <c r="HZH48"/>
      <c r="HZI48"/>
      <c r="HZJ48"/>
      <c r="HZK48"/>
      <c r="HZL48"/>
      <c r="HZM48"/>
      <c r="HZN48"/>
      <c r="HZO48"/>
      <c r="HZP48"/>
      <c r="HZQ48"/>
      <c r="HZR48"/>
      <c r="HZS48"/>
      <c r="HZT48"/>
      <c r="HZU48"/>
      <c r="HZV48"/>
      <c r="HZW48"/>
      <c r="HZX48"/>
      <c r="HZY48"/>
      <c r="HZZ48"/>
      <c r="IAA48"/>
      <c r="IAB48"/>
      <c r="IAC48"/>
      <c r="IAD48"/>
      <c r="IAE48"/>
      <c r="IAF48"/>
      <c r="IAG48"/>
      <c r="IAH48"/>
      <c r="IAI48"/>
      <c r="IAJ48"/>
      <c r="IAK48"/>
      <c r="IAL48"/>
      <c r="IAM48"/>
      <c r="IAN48"/>
      <c r="IAO48"/>
      <c r="IAP48"/>
      <c r="IAQ48"/>
      <c r="IAR48"/>
      <c r="IAS48"/>
      <c r="IAT48"/>
      <c r="IAU48"/>
      <c r="IAV48"/>
      <c r="IAW48"/>
      <c r="IAX48"/>
      <c r="IAY48"/>
      <c r="IAZ48"/>
      <c r="IBA48"/>
      <c r="IBB48"/>
      <c r="IBC48"/>
      <c r="IBD48"/>
      <c r="IBE48"/>
      <c r="IBF48"/>
      <c r="IBG48"/>
      <c r="IBH48"/>
      <c r="IBI48"/>
      <c r="IBJ48"/>
      <c r="IBK48"/>
      <c r="IBL48"/>
      <c r="IBM48"/>
      <c r="IBN48"/>
      <c r="IBO48"/>
      <c r="IBP48"/>
      <c r="IBQ48"/>
      <c r="IBR48"/>
      <c r="IBS48"/>
      <c r="IBT48"/>
      <c r="IBU48"/>
      <c r="IBV48"/>
      <c r="IBW48"/>
      <c r="IBX48"/>
      <c r="IBY48"/>
      <c r="IBZ48"/>
      <c r="ICA48"/>
      <c r="ICB48"/>
      <c r="ICC48"/>
      <c r="ICD48"/>
      <c r="ICE48"/>
      <c r="ICF48"/>
      <c r="ICG48"/>
      <c r="ICH48"/>
      <c r="ICI48"/>
      <c r="ICJ48"/>
      <c r="ICK48"/>
      <c r="ICL48"/>
      <c r="ICM48"/>
      <c r="ICN48"/>
      <c r="ICO48"/>
      <c r="ICP48"/>
      <c r="ICQ48"/>
      <c r="ICR48"/>
      <c r="ICS48"/>
      <c r="ICT48"/>
      <c r="ICU48"/>
      <c r="ICV48"/>
      <c r="ICW48"/>
      <c r="ICX48"/>
      <c r="ICY48"/>
      <c r="ICZ48"/>
      <c r="IDA48"/>
      <c r="IDB48"/>
      <c r="IDC48"/>
      <c r="IDD48"/>
      <c r="IDE48"/>
      <c r="IDF48"/>
      <c r="IDG48"/>
      <c r="IDH48"/>
      <c r="IDI48"/>
      <c r="IDJ48"/>
      <c r="IDK48"/>
      <c r="IDL48"/>
      <c r="IDM48"/>
      <c r="IDN48"/>
      <c r="IDO48"/>
      <c r="IDP48"/>
      <c r="IDQ48"/>
      <c r="IDR48"/>
      <c r="IDS48"/>
      <c r="IDT48"/>
      <c r="IDU48"/>
      <c r="IDV48"/>
      <c r="IDW48"/>
      <c r="IDX48"/>
      <c r="IDY48"/>
      <c r="IDZ48"/>
      <c r="IEA48"/>
      <c r="IEB48"/>
      <c r="IEC48"/>
      <c r="IED48"/>
      <c r="IEE48"/>
      <c r="IEF48"/>
      <c r="IEG48"/>
      <c r="IEH48"/>
      <c r="IEI48"/>
      <c r="IEJ48"/>
      <c r="IEK48"/>
      <c r="IEL48"/>
      <c r="IEM48"/>
      <c r="IEN48"/>
      <c r="IEO48"/>
      <c r="IEP48"/>
      <c r="IEQ48"/>
      <c r="IER48"/>
      <c r="IES48"/>
      <c r="IET48"/>
      <c r="IEU48"/>
      <c r="IEV48"/>
      <c r="IEW48"/>
      <c r="IEX48"/>
      <c r="IEY48"/>
      <c r="IEZ48"/>
      <c r="IFA48"/>
      <c r="IFB48"/>
      <c r="IFC48"/>
      <c r="IFD48"/>
      <c r="IFE48"/>
      <c r="IFF48"/>
      <c r="IFG48"/>
      <c r="IFH48"/>
      <c r="IFI48"/>
      <c r="IFJ48"/>
      <c r="IFK48"/>
      <c r="IFL48"/>
      <c r="IFM48"/>
      <c r="IFN48"/>
      <c r="IFO48"/>
      <c r="IFP48"/>
      <c r="IFQ48"/>
      <c r="IFR48"/>
      <c r="IFS48"/>
      <c r="IFT48"/>
      <c r="IFU48"/>
      <c r="IFV48"/>
      <c r="IFW48"/>
      <c r="IFX48"/>
      <c r="IFY48"/>
      <c r="IFZ48"/>
      <c r="IGA48"/>
      <c r="IGB48"/>
      <c r="IGC48"/>
      <c r="IGD48"/>
      <c r="IGE48"/>
      <c r="IGF48"/>
      <c r="IGG48"/>
      <c r="IGH48"/>
      <c r="IGI48"/>
      <c r="IGJ48"/>
      <c r="IGK48"/>
      <c r="IGL48"/>
      <c r="IGM48"/>
      <c r="IGN48"/>
      <c r="IGO48"/>
      <c r="IGP48"/>
      <c r="IGQ48"/>
      <c r="IGR48"/>
      <c r="IGS48"/>
      <c r="IGT48"/>
      <c r="IGU48"/>
      <c r="IGV48"/>
      <c r="IGW48"/>
      <c r="IGX48"/>
      <c r="IGY48"/>
      <c r="IGZ48"/>
      <c r="IHA48"/>
      <c r="IHB48"/>
      <c r="IHC48"/>
      <c r="IHD48"/>
      <c r="IHE48"/>
      <c r="IHF48"/>
      <c r="IHG48"/>
      <c r="IHH48"/>
      <c r="IHI48"/>
      <c r="IHJ48"/>
      <c r="IHK48"/>
      <c r="IHL48"/>
      <c r="IHM48"/>
      <c r="IHN48"/>
      <c r="IHO48"/>
      <c r="IHP48"/>
      <c r="IHQ48"/>
      <c r="IHR48"/>
      <c r="IHS48"/>
      <c r="IHT48"/>
      <c r="IHU48"/>
      <c r="IHV48"/>
      <c r="IHW48"/>
      <c r="IHX48"/>
      <c r="IHY48"/>
      <c r="IHZ48"/>
      <c r="IIA48"/>
      <c r="IIB48"/>
      <c r="IIC48"/>
      <c r="IID48"/>
      <c r="IIE48"/>
      <c r="IIF48"/>
      <c r="IIG48"/>
      <c r="IIH48"/>
      <c r="III48"/>
      <c r="IIJ48"/>
      <c r="IIK48"/>
      <c r="IIL48"/>
      <c r="IIM48"/>
      <c r="IIN48"/>
      <c r="IIO48"/>
      <c r="IIP48"/>
      <c r="IIQ48"/>
      <c r="IIR48"/>
      <c r="IIS48"/>
      <c r="IIT48"/>
      <c r="IIU48"/>
      <c r="IIV48"/>
      <c r="IIW48"/>
      <c r="IIX48"/>
      <c r="IIY48"/>
      <c r="IIZ48"/>
      <c r="IJA48"/>
      <c r="IJB48"/>
      <c r="IJC48"/>
      <c r="IJD48"/>
      <c r="IJE48"/>
      <c r="IJF48"/>
      <c r="IJG48"/>
      <c r="IJH48"/>
      <c r="IJI48"/>
      <c r="IJJ48"/>
      <c r="IJK48"/>
      <c r="IJL48"/>
      <c r="IJM48"/>
      <c r="IJN48"/>
      <c r="IJO48"/>
      <c r="IJP48"/>
      <c r="IJQ48"/>
      <c r="IJR48"/>
      <c r="IJS48"/>
      <c r="IJT48"/>
      <c r="IJU48"/>
      <c r="IJV48"/>
      <c r="IJW48"/>
      <c r="IJX48"/>
      <c r="IJY48"/>
      <c r="IJZ48"/>
      <c r="IKA48"/>
      <c r="IKB48"/>
      <c r="IKC48"/>
      <c r="IKD48"/>
      <c r="IKE48"/>
      <c r="IKF48"/>
      <c r="IKG48"/>
      <c r="IKH48"/>
      <c r="IKI48"/>
      <c r="IKJ48"/>
      <c r="IKK48"/>
      <c r="IKL48"/>
      <c r="IKM48"/>
      <c r="IKN48"/>
      <c r="IKO48"/>
      <c r="IKP48"/>
      <c r="IKQ48"/>
      <c r="IKR48"/>
      <c r="IKS48"/>
      <c r="IKT48"/>
      <c r="IKU48"/>
      <c r="IKV48"/>
      <c r="IKW48"/>
      <c r="IKX48"/>
      <c r="IKY48"/>
      <c r="IKZ48"/>
      <c r="ILA48"/>
      <c r="ILB48"/>
      <c r="ILC48"/>
      <c r="ILD48"/>
      <c r="ILE48"/>
      <c r="ILF48"/>
      <c r="ILG48"/>
      <c r="ILH48"/>
      <c r="ILI48"/>
      <c r="ILJ48"/>
      <c r="ILK48"/>
      <c r="ILL48"/>
      <c r="ILM48"/>
      <c r="ILN48"/>
      <c r="ILO48"/>
      <c r="ILP48"/>
      <c r="ILQ48"/>
      <c r="ILR48"/>
      <c r="ILS48"/>
      <c r="ILT48"/>
      <c r="ILU48"/>
      <c r="ILV48"/>
      <c r="ILW48"/>
      <c r="ILX48"/>
      <c r="ILY48"/>
      <c r="ILZ48"/>
      <c r="IMA48"/>
      <c r="IMB48"/>
      <c r="IMC48"/>
      <c r="IMD48"/>
      <c r="IME48"/>
      <c r="IMF48"/>
      <c r="IMG48"/>
      <c r="IMH48"/>
      <c r="IMI48"/>
      <c r="IMJ48"/>
      <c r="IMK48"/>
      <c r="IML48"/>
      <c r="IMM48"/>
      <c r="IMN48"/>
      <c r="IMO48"/>
      <c r="IMP48"/>
      <c r="IMQ48"/>
      <c r="IMR48"/>
      <c r="IMS48"/>
      <c r="IMT48"/>
      <c r="IMU48"/>
      <c r="IMV48"/>
      <c r="IMW48"/>
      <c r="IMX48"/>
      <c r="IMY48"/>
      <c r="IMZ48"/>
      <c r="INA48"/>
      <c r="INB48"/>
      <c r="INC48"/>
      <c r="IND48"/>
      <c r="INE48"/>
      <c r="INF48"/>
      <c r="ING48"/>
      <c r="INH48"/>
      <c r="INI48"/>
      <c r="INJ48"/>
      <c r="INK48"/>
      <c r="INL48"/>
      <c r="INM48"/>
      <c r="INN48"/>
      <c r="INO48"/>
      <c r="INP48"/>
      <c r="INQ48"/>
      <c r="INR48"/>
      <c r="INS48"/>
      <c r="INT48"/>
      <c r="INU48"/>
      <c r="INV48"/>
      <c r="INW48"/>
      <c r="INX48"/>
      <c r="INY48"/>
      <c r="INZ48"/>
      <c r="IOA48"/>
      <c r="IOB48"/>
      <c r="IOC48"/>
      <c r="IOD48"/>
      <c r="IOE48"/>
      <c r="IOF48"/>
      <c r="IOG48"/>
      <c r="IOH48"/>
      <c r="IOI48"/>
      <c r="IOJ48"/>
      <c r="IOK48"/>
      <c r="IOL48"/>
      <c r="IOM48"/>
      <c r="ION48"/>
      <c r="IOO48"/>
      <c r="IOP48"/>
      <c r="IOQ48"/>
      <c r="IOR48"/>
      <c r="IOS48"/>
      <c r="IOT48"/>
      <c r="IOU48"/>
      <c r="IOV48"/>
      <c r="IOW48"/>
      <c r="IOX48"/>
      <c r="IOY48"/>
      <c r="IOZ48"/>
      <c r="IPA48"/>
      <c r="IPB48"/>
      <c r="IPC48"/>
      <c r="IPD48"/>
      <c r="IPE48"/>
      <c r="IPF48"/>
      <c r="IPG48"/>
      <c r="IPH48"/>
      <c r="IPI48"/>
      <c r="IPJ48"/>
      <c r="IPK48"/>
      <c r="IPL48"/>
      <c r="IPM48"/>
      <c r="IPN48"/>
      <c r="IPO48"/>
      <c r="IPP48"/>
      <c r="IPQ48"/>
      <c r="IPR48"/>
      <c r="IPS48"/>
      <c r="IPT48"/>
      <c r="IPU48"/>
      <c r="IPV48"/>
      <c r="IPW48"/>
      <c r="IPX48"/>
      <c r="IPY48"/>
      <c r="IPZ48"/>
      <c r="IQA48"/>
      <c r="IQB48"/>
      <c r="IQC48"/>
      <c r="IQD48"/>
      <c r="IQE48"/>
      <c r="IQF48"/>
      <c r="IQG48"/>
      <c r="IQH48"/>
      <c r="IQI48"/>
      <c r="IQJ48"/>
      <c r="IQK48"/>
      <c r="IQL48"/>
      <c r="IQM48"/>
      <c r="IQN48"/>
      <c r="IQO48"/>
      <c r="IQP48"/>
      <c r="IQQ48"/>
      <c r="IQR48"/>
      <c r="IQS48"/>
      <c r="IQT48"/>
      <c r="IQU48"/>
      <c r="IQV48"/>
      <c r="IQW48"/>
      <c r="IQX48"/>
      <c r="IQY48"/>
      <c r="IQZ48"/>
      <c r="IRA48"/>
      <c r="IRB48"/>
      <c r="IRC48"/>
      <c r="IRD48"/>
      <c r="IRE48"/>
      <c r="IRF48"/>
      <c r="IRG48"/>
      <c r="IRH48"/>
      <c r="IRI48"/>
      <c r="IRJ48"/>
      <c r="IRK48"/>
      <c r="IRL48"/>
      <c r="IRM48"/>
      <c r="IRN48"/>
      <c r="IRO48"/>
      <c r="IRP48"/>
      <c r="IRQ48"/>
      <c r="IRR48"/>
      <c r="IRS48"/>
      <c r="IRT48"/>
      <c r="IRU48"/>
      <c r="IRV48"/>
      <c r="IRW48"/>
      <c r="IRX48"/>
      <c r="IRY48"/>
      <c r="IRZ48"/>
      <c r="ISA48"/>
      <c r="ISB48"/>
      <c r="ISC48"/>
      <c r="ISD48"/>
      <c r="ISE48"/>
      <c r="ISF48"/>
      <c r="ISG48"/>
      <c r="ISH48"/>
      <c r="ISI48"/>
      <c r="ISJ48"/>
      <c r="ISK48"/>
      <c r="ISL48"/>
      <c r="ISM48"/>
      <c r="ISN48"/>
      <c r="ISO48"/>
      <c r="ISP48"/>
      <c r="ISQ48"/>
      <c r="ISR48"/>
      <c r="ISS48"/>
      <c r="IST48"/>
      <c r="ISU48"/>
      <c r="ISV48"/>
      <c r="ISW48"/>
      <c r="ISX48"/>
      <c r="ISY48"/>
      <c r="ISZ48"/>
      <c r="ITA48"/>
      <c r="ITB48"/>
      <c r="ITC48"/>
      <c r="ITD48"/>
      <c r="ITE48"/>
      <c r="ITF48"/>
      <c r="ITG48"/>
      <c r="ITH48"/>
      <c r="ITI48"/>
      <c r="ITJ48"/>
      <c r="ITK48"/>
      <c r="ITL48"/>
      <c r="ITM48"/>
      <c r="ITN48"/>
      <c r="ITO48"/>
      <c r="ITP48"/>
      <c r="ITQ48"/>
      <c r="ITR48"/>
      <c r="ITS48"/>
      <c r="ITT48"/>
      <c r="ITU48"/>
      <c r="ITV48"/>
      <c r="ITW48"/>
      <c r="ITX48"/>
      <c r="ITY48"/>
      <c r="ITZ48"/>
      <c r="IUA48"/>
      <c r="IUB48"/>
      <c r="IUC48"/>
      <c r="IUD48"/>
      <c r="IUE48"/>
      <c r="IUF48"/>
      <c r="IUG48"/>
      <c r="IUH48"/>
      <c r="IUI48"/>
      <c r="IUJ48"/>
      <c r="IUK48"/>
      <c r="IUL48"/>
      <c r="IUM48"/>
      <c r="IUN48"/>
      <c r="IUO48"/>
      <c r="IUP48"/>
      <c r="IUQ48"/>
      <c r="IUR48"/>
      <c r="IUS48"/>
      <c r="IUT48"/>
      <c r="IUU48"/>
      <c r="IUV48"/>
      <c r="IUW48"/>
      <c r="IUX48"/>
      <c r="IUY48"/>
      <c r="IUZ48"/>
      <c r="IVA48"/>
      <c r="IVB48"/>
      <c r="IVC48"/>
      <c r="IVD48"/>
      <c r="IVE48"/>
      <c r="IVF48"/>
      <c r="IVG48"/>
      <c r="IVH48"/>
      <c r="IVI48"/>
      <c r="IVJ48"/>
      <c r="IVK48"/>
      <c r="IVL48"/>
      <c r="IVM48"/>
      <c r="IVN48"/>
      <c r="IVO48"/>
      <c r="IVP48"/>
      <c r="IVQ48"/>
      <c r="IVR48"/>
      <c r="IVS48"/>
      <c r="IVT48"/>
      <c r="IVU48"/>
      <c r="IVV48"/>
      <c r="IVW48"/>
      <c r="IVX48"/>
      <c r="IVY48"/>
      <c r="IVZ48"/>
      <c r="IWA48"/>
      <c r="IWB48"/>
      <c r="IWC48"/>
      <c r="IWD48"/>
      <c r="IWE48"/>
      <c r="IWF48"/>
      <c r="IWG48"/>
      <c r="IWH48"/>
      <c r="IWI48"/>
      <c r="IWJ48"/>
      <c r="IWK48"/>
      <c r="IWL48"/>
      <c r="IWM48"/>
      <c r="IWN48"/>
      <c r="IWO48"/>
      <c r="IWP48"/>
      <c r="IWQ48"/>
      <c r="IWR48"/>
      <c r="IWS48"/>
      <c r="IWT48"/>
      <c r="IWU48"/>
      <c r="IWV48"/>
      <c r="IWW48"/>
      <c r="IWX48"/>
      <c r="IWY48"/>
      <c r="IWZ48"/>
      <c r="IXA48"/>
      <c r="IXB48"/>
      <c r="IXC48"/>
      <c r="IXD48"/>
      <c r="IXE48"/>
      <c r="IXF48"/>
      <c r="IXG48"/>
      <c r="IXH48"/>
      <c r="IXI48"/>
      <c r="IXJ48"/>
      <c r="IXK48"/>
      <c r="IXL48"/>
      <c r="IXM48"/>
      <c r="IXN48"/>
      <c r="IXO48"/>
      <c r="IXP48"/>
      <c r="IXQ48"/>
      <c r="IXR48"/>
      <c r="IXS48"/>
      <c r="IXT48"/>
      <c r="IXU48"/>
      <c r="IXV48"/>
      <c r="IXW48"/>
      <c r="IXX48"/>
      <c r="IXY48"/>
      <c r="IXZ48"/>
      <c r="IYA48"/>
      <c r="IYB48"/>
      <c r="IYC48"/>
      <c r="IYD48"/>
      <c r="IYE48"/>
      <c r="IYF48"/>
      <c r="IYG48"/>
      <c r="IYH48"/>
      <c r="IYI48"/>
      <c r="IYJ48"/>
      <c r="IYK48"/>
      <c r="IYL48"/>
      <c r="IYM48"/>
      <c r="IYN48"/>
      <c r="IYO48"/>
      <c r="IYP48"/>
      <c r="IYQ48"/>
      <c r="IYR48"/>
      <c r="IYS48"/>
      <c r="IYT48"/>
      <c r="IYU48"/>
      <c r="IYV48"/>
      <c r="IYW48"/>
      <c r="IYX48"/>
      <c r="IYY48"/>
      <c r="IYZ48"/>
      <c r="IZA48"/>
      <c r="IZB48"/>
      <c r="IZC48"/>
      <c r="IZD48"/>
      <c r="IZE48"/>
      <c r="IZF48"/>
      <c r="IZG48"/>
      <c r="IZH48"/>
      <c r="IZI48"/>
      <c r="IZJ48"/>
      <c r="IZK48"/>
      <c r="IZL48"/>
      <c r="IZM48"/>
      <c r="IZN48"/>
      <c r="IZO48"/>
      <c r="IZP48"/>
      <c r="IZQ48"/>
      <c r="IZR48"/>
      <c r="IZS48"/>
      <c r="IZT48"/>
      <c r="IZU48"/>
      <c r="IZV48"/>
      <c r="IZW48"/>
      <c r="IZX48"/>
      <c r="IZY48"/>
      <c r="IZZ48"/>
      <c r="JAA48"/>
      <c r="JAB48"/>
      <c r="JAC48"/>
      <c r="JAD48"/>
      <c r="JAE48"/>
      <c r="JAF48"/>
      <c r="JAG48"/>
      <c r="JAH48"/>
      <c r="JAI48"/>
      <c r="JAJ48"/>
      <c r="JAK48"/>
      <c r="JAL48"/>
      <c r="JAM48"/>
      <c r="JAN48"/>
      <c r="JAO48"/>
      <c r="JAP48"/>
      <c r="JAQ48"/>
      <c r="JAR48"/>
      <c r="JAS48"/>
      <c r="JAT48"/>
      <c r="JAU48"/>
      <c r="JAV48"/>
      <c r="JAW48"/>
      <c r="JAX48"/>
      <c r="JAY48"/>
      <c r="JAZ48"/>
      <c r="JBA48"/>
      <c r="JBB48"/>
      <c r="JBC48"/>
      <c r="JBD48"/>
      <c r="JBE48"/>
      <c r="JBF48"/>
      <c r="JBG48"/>
      <c r="JBH48"/>
      <c r="JBI48"/>
      <c r="JBJ48"/>
      <c r="JBK48"/>
      <c r="JBL48"/>
      <c r="JBM48"/>
      <c r="JBN48"/>
      <c r="JBO48"/>
      <c r="JBP48"/>
      <c r="JBQ48"/>
      <c r="JBR48"/>
      <c r="JBS48"/>
      <c r="JBT48"/>
      <c r="JBU48"/>
      <c r="JBV48"/>
      <c r="JBW48"/>
      <c r="JBX48"/>
      <c r="JBY48"/>
      <c r="JBZ48"/>
      <c r="JCA48"/>
      <c r="JCB48"/>
      <c r="JCC48"/>
      <c r="JCD48"/>
      <c r="JCE48"/>
      <c r="JCF48"/>
      <c r="JCG48"/>
      <c r="JCH48"/>
      <c r="JCI48"/>
      <c r="JCJ48"/>
      <c r="JCK48"/>
      <c r="JCL48"/>
      <c r="JCM48"/>
      <c r="JCN48"/>
      <c r="JCO48"/>
      <c r="JCP48"/>
      <c r="JCQ48"/>
      <c r="JCR48"/>
      <c r="JCS48"/>
      <c r="JCT48"/>
      <c r="JCU48"/>
      <c r="JCV48"/>
      <c r="JCW48"/>
      <c r="JCX48"/>
      <c r="JCY48"/>
      <c r="JCZ48"/>
      <c r="JDA48"/>
      <c r="JDB48"/>
      <c r="JDC48"/>
      <c r="JDD48"/>
      <c r="JDE48"/>
      <c r="JDF48"/>
      <c r="JDG48"/>
      <c r="JDH48"/>
      <c r="JDI48"/>
      <c r="JDJ48"/>
      <c r="JDK48"/>
      <c r="JDL48"/>
      <c r="JDM48"/>
      <c r="JDN48"/>
      <c r="JDO48"/>
      <c r="JDP48"/>
      <c r="JDQ48"/>
      <c r="JDR48"/>
      <c r="JDS48"/>
      <c r="JDT48"/>
      <c r="JDU48"/>
      <c r="JDV48"/>
      <c r="JDW48"/>
      <c r="JDX48"/>
      <c r="JDY48"/>
      <c r="JDZ48"/>
      <c r="JEA48"/>
      <c r="JEB48"/>
      <c r="JEC48"/>
      <c r="JED48"/>
      <c r="JEE48"/>
      <c r="JEF48"/>
      <c r="JEG48"/>
      <c r="JEH48"/>
      <c r="JEI48"/>
      <c r="JEJ48"/>
      <c r="JEK48"/>
      <c r="JEL48"/>
      <c r="JEM48"/>
      <c r="JEN48"/>
      <c r="JEO48"/>
      <c r="JEP48"/>
      <c r="JEQ48"/>
      <c r="JER48"/>
      <c r="JES48"/>
      <c r="JET48"/>
      <c r="JEU48"/>
      <c r="JEV48"/>
      <c r="JEW48"/>
      <c r="JEX48"/>
      <c r="JEY48"/>
      <c r="JEZ48"/>
      <c r="JFA48"/>
      <c r="JFB48"/>
      <c r="JFC48"/>
      <c r="JFD48"/>
      <c r="JFE48"/>
      <c r="JFF48"/>
      <c r="JFG48"/>
      <c r="JFH48"/>
      <c r="JFI48"/>
      <c r="JFJ48"/>
      <c r="JFK48"/>
      <c r="JFL48"/>
      <c r="JFM48"/>
      <c r="JFN48"/>
      <c r="JFO48"/>
      <c r="JFP48"/>
      <c r="JFQ48"/>
      <c r="JFR48"/>
      <c r="JFS48"/>
      <c r="JFT48"/>
      <c r="JFU48"/>
      <c r="JFV48"/>
      <c r="JFW48"/>
      <c r="JFX48"/>
      <c r="JFY48"/>
      <c r="JFZ48"/>
      <c r="JGA48"/>
      <c r="JGB48"/>
      <c r="JGC48"/>
      <c r="JGD48"/>
      <c r="JGE48"/>
      <c r="JGF48"/>
      <c r="JGG48"/>
      <c r="JGH48"/>
      <c r="JGI48"/>
      <c r="JGJ48"/>
      <c r="JGK48"/>
      <c r="JGL48"/>
      <c r="JGM48"/>
      <c r="JGN48"/>
      <c r="JGO48"/>
      <c r="JGP48"/>
      <c r="JGQ48"/>
      <c r="JGR48"/>
      <c r="JGS48"/>
      <c r="JGT48"/>
      <c r="JGU48"/>
      <c r="JGV48"/>
      <c r="JGW48"/>
      <c r="JGX48"/>
      <c r="JGY48"/>
      <c r="JGZ48"/>
      <c r="JHA48"/>
      <c r="JHB48"/>
      <c r="JHC48"/>
      <c r="JHD48"/>
      <c r="JHE48"/>
      <c r="JHF48"/>
      <c r="JHG48"/>
      <c r="JHH48"/>
      <c r="JHI48"/>
      <c r="JHJ48"/>
      <c r="JHK48"/>
      <c r="JHL48"/>
      <c r="JHM48"/>
      <c r="JHN48"/>
      <c r="JHO48"/>
      <c r="JHP48"/>
      <c r="JHQ48"/>
      <c r="JHR48"/>
      <c r="JHS48"/>
      <c r="JHT48"/>
      <c r="JHU48"/>
      <c r="JHV48"/>
      <c r="JHW48"/>
      <c r="JHX48"/>
      <c r="JHY48"/>
      <c r="JHZ48"/>
      <c r="JIA48"/>
      <c r="JIB48"/>
      <c r="JIC48"/>
      <c r="JID48"/>
      <c r="JIE48"/>
      <c r="JIF48"/>
      <c r="JIG48"/>
      <c r="JIH48"/>
      <c r="JII48"/>
      <c r="JIJ48"/>
      <c r="JIK48"/>
      <c r="JIL48"/>
      <c r="JIM48"/>
      <c r="JIN48"/>
      <c r="JIO48"/>
      <c r="JIP48"/>
      <c r="JIQ48"/>
      <c r="JIR48"/>
      <c r="JIS48"/>
      <c r="JIT48"/>
      <c r="JIU48"/>
      <c r="JIV48"/>
      <c r="JIW48"/>
      <c r="JIX48"/>
      <c r="JIY48"/>
      <c r="JIZ48"/>
      <c r="JJA48"/>
      <c r="JJB48"/>
      <c r="JJC48"/>
      <c r="JJD48"/>
      <c r="JJE48"/>
      <c r="JJF48"/>
      <c r="JJG48"/>
      <c r="JJH48"/>
      <c r="JJI48"/>
      <c r="JJJ48"/>
      <c r="JJK48"/>
      <c r="JJL48"/>
      <c r="JJM48"/>
      <c r="JJN48"/>
      <c r="JJO48"/>
      <c r="JJP48"/>
      <c r="JJQ48"/>
      <c r="JJR48"/>
      <c r="JJS48"/>
      <c r="JJT48"/>
      <c r="JJU48"/>
      <c r="JJV48"/>
      <c r="JJW48"/>
      <c r="JJX48"/>
      <c r="JJY48"/>
      <c r="JJZ48"/>
      <c r="JKA48"/>
      <c r="JKB48"/>
      <c r="JKC48"/>
      <c r="JKD48"/>
      <c r="JKE48"/>
      <c r="JKF48"/>
      <c r="JKG48"/>
      <c r="JKH48"/>
      <c r="JKI48"/>
      <c r="JKJ48"/>
      <c r="JKK48"/>
      <c r="JKL48"/>
      <c r="JKM48"/>
      <c r="JKN48"/>
      <c r="JKO48"/>
      <c r="JKP48"/>
      <c r="JKQ48"/>
      <c r="JKR48"/>
      <c r="JKS48"/>
      <c r="JKT48"/>
      <c r="JKU48"/>
      <c r="JKV48"/>
      <c r="JKW48"/>
      <c r="JKX48"/>
      <c r="JKY48"/>
      <c r="JKZ48"/>
      <c r="JLA48"/>
      <c r="JLB48"/>
      <c r="JLC48"/>
      <c r="JLD48"/>
      <c r="JLE48"/>
      <c r="JLF48"/>
      <c r="JLG48"/>
      <c r="JLH48"/>
      <c r="JLI48"/>
      <c r="JLJ48"/>
      <c r="JLK48"/>
      <c r="JLL48"/>
      <c r="JLM48"/>
      <c r="JLN48"/>
      <c r="JLO48"/>
      <c r="JLP48"/>
      <c r="JLQ48"/>
      <c r="JLR48"/>
      <c r="JLS48"/>
      <c r="JLT48"/>
      <c r="JLU48"/>
      <c r="JLV48"/>
      <c r="JLW48"/>
      <c r="JLX48"/>
      <c r="JLY48"/>
      <c r="JLZ48"/>
      <c r="JMA48"/>
      <c r="JMB48"/>
      <c r="JMC48"/>
      <c r="JMD48"/>
      <c r="JME48"/>
      <c r="JMF48"/>
      <c r="JMG48"/>
      <c r="JMH48"/>
      <c r="JMI48"/>
      <c r="JMJ48"/>
      <c r="JMK48"/>
      <c r="JML48"/>
      <c r="JMM48"/>
      <c r="JMN48"/>
      <c r="JMO48"/>
      <c r="JMP48"/>
      <c r="JMQ48"/>
      <c r="JMR48"/>
      <c r="JMS48"/>
      <c r="JMT48"/>
      <c r="JMU48"/>
      <c r="JMV48"/>
      <c r="JMW48"/>
      <c r="JMX48"/>
      <c r="JMY48"/>
      <c r="JMZ48"/>
      <c r="JNA48"/>
      <c r="JNB48"/>
      <c r="JNC48"/>
      <c r="JND48"/>
      <c r="JNE48"/>
      <c r="JNF48"/>
      <c r="JNG48"/>
      <c r="JNH48"/>
      <c r="JNI48"/>
      <c r="JNJ48"/>
      <c r="JNK48"/>
      <c r="JNL48"/>
      <c r="JNM48"/>
      <c r="JNN48"/>
      <c r="JNO48"/>
      <c r="JNP48"/>
      <c r="JNQ48"/>
      <c r="JNR48"/>
      <c r="JNS48"/>
      <c r="JNT48"/>
      <c r="JNU48"/>
      <c r="JNV48"/>
      <c r="JNW48"/>
      <c r="JNX48"/>
      <c r="JNY48"/>
      <c r="JNZ48"/>
      <c r="JOA48"/>
      <c r="JOB48"/>
      <c r="JOC48"/>
      <c r="JOD48"/>
      <c r="JOE48"/>
      <c r="JOF48"/>
      <c r="JOG48"/>
      <c r="JOH48"/>
      <c r="JOI48"/>
      <c r="JOJ48"/>
      <c r="JOK48"/>
      <c r="JOL48"/>
      <c r="JOM48"/>
      <c r="JON48"/>
      <c r="JOO48"/>
      <c r="JOP48"/>
      <c r="JOQ48"/>
      <c r="JOR48"/>
      <c r="JOS48"/>
      <c r="JOT48"/>
      <c r="JOU48"/>
      <c r="JOV48"/>
      <c r="JOW48"/>
      <c r="JOX48"/>
      <c r="JOY48"/>
      <c r="JOZ48"/>
      <c r="JPA48"/>
      <c r="JPB48"/>
      <c r="JPC48"/>
      <c r="JPD48"/>
      <c r="JPE48"/>
      <c r="JPF48"/>
      <c r="JPG48"/>
      <c r="JPH48"/>
      <c r="JPI48"/>
      <c r="JPJ48"/>
      <c r="JPK48"/>
      <c r="JPL48"/>
      <c r="JPM48"/>
      <c r="JPN48"/>
      <c r="JPO48"/>
      <c r="JPP48"/>
      <c r="JPQ48"/>
      <c r="JPR48"/>
      <c r="JPS48"/>
      <c r="JPT48"/>
      <c r="JPU48"/>
      <c r="JPV48"/>
      <c r="JPW48"/>
      <c r="JPX48"/>
      <c r="JPY48"/>
      <c r="JPZ48"/>
      <c r="JQA48"/>
      <c r="JQB48"/>
      <c r="JQC48"/>
      <c r="JQD48"/>
      <c r="JQE48"/>
      <c r="JQF48"/>
      <c r="JQG48"/>
      <c r="JQH48"/>
      <c r="JQI48"/>
      <c r="JQJ48"/>
      <c r="JQK48"/>
      <c r="JQL48"/>
      <c r="JQM48"/>
      <c r="JQN48"/>
      <c r="JQO48"/>
      <c r="JQP48"/>
      <c r="JQQ48"/>
      <c r="JQR48"/>
      <c r="JQS48"/>
      <c r="JQT48"/>
      <c r="JQU48"/>
      <c r="JQV48"/>
      <c r="JQW48"/>
      <c r="JQX48"/>
      <c r="JQY48"/>
      <c r="JQZ48"/>
      <c r="JRA48"/>
      <c r="JRB48"/>
      <c r="JRC48"/>
      <c r="JRD48"/>
      <c r="JRE48"/>
      <c r="JRF48"/>
      <c r="JRG48"/>
      <c r="JRH48"/>
      <c r="JRI48"/>
      <c r="JRJ48"/>
      <c r="JRK48"/>
      <c r="JRL48"/>
      <c r="JRM48"/>
      <c r="JRN48"/>
      <c r="JRO48"/>
      <c r="JRP48"/>
      <c r="JRQ48"/>
      <c r="JRR48"/>
      <c r="JRS48"/>
      <c r="JRT48"/>
      <c r="JRU48"/>
      <c r="JRV48"/>
      <c r="JRW48"/>
      <c r="JRX48"/>
      <c r="JRY48"/>
      <c r="JRZ48"/>
      <c r="JSA48"/>
      <c r="JSB48"/>
      <c r="JSC48"/>
      <c r="JSD48"/>
      <c r="JSE48"/>
      <c r="JSF48"/>
      <c r="JSG48"/>
      <c r="JSH48"/>
      <c r="JSI48"/>
      <c r="JSJ48"/>
      <c r="JSK48"/>
      <c r="JSL48"/>
      <c r="JSM48"/>
      <c r="JSN48"/>
      <c r="JSO48"/>
      <c r="JSP48"/>
      <c r="JSQ48"/>
      <c r="JSR48"/>
      <c r="JSS48"/>
      <c r="JST48"/>
      <c r="JSU48"/>
      <c r="JSV48"/>
      <c r="JSW48"/>
      <c r="JSX48"/>
      <c r="JSY48"/>
      <c r="JSZ48"/>
      <c r="JTA48"/>
      <c r="JTB48"/>
      <c r="JTC48"/>
      <c r="JTD48"/>
      <c r="JTE48"/>
      <c r="JTF48"/>
      <c r="JTG48"/>
      <c r="JTH48"/>
      <c r="JTI48"/>
      <c r="JTJ48"/>
      <c r="JTK48"/>
      <c r="JTL48"/>
      <c r="JTM48"/>
      <c r="JTN48"/>
      <c r="JTO48"/>
      <c r="JTP48"/>
      <c r="JTQ48"/>
      <c r="JTR48"/>
      <c r="JTS48"/>
      <c r="JTT48"/>
      <c r="JTU48"/>
      <c r="JTV48"/>
      <c r="JTW48"/>
      <c r="JTX48"/>
      <c r="JTY48"/>
      <c r="JTZ48"/>
      <c r="JUA48"/>
      <c r="JUB48"/>
      <c r="JUC48"/>
      <c r="JUD48"/>
      <c r="JUE48"/>
      <c r="JUF48"/>
      <c r="JUG48"/>
      <c r="JUH48"/>
      <c r="JUI48"/>
      <c r="JUJ48"/>
      <c r="JUK48"/>
      <c r="JUL48"/>
      <c r="JUM48"/>
      <c r="JUN48"/>
      <c r="JUO48"/>
      <c r="JUP48"/>
      <c r="JUQ48"/>
      <c r="JUR48"/>
      <c r="JUS48"/>
      <c r="JUT48"/>
      <c r="JUU48"/>
      <c r="JUV48"/>
      <c r="JUW48"/>
      <c r="JUX48"/>
      <c r="JUY48"/>
      <c r="JUZ48"/>
      <c r="JVA48"/>
      <c r="JVB48"/>
      <c r="JVC48"/>
      <c r="JVD48"/>
      <c r="JVE48"/>
      <c r="JVF48"/>
      <c r="JVG48"/>
      <c r="JVH48"/>
      <c r="JVI48"/>
      <c r="JVJ48"/>
      <c r="JVK48"/>
      <c r="JVL48"/>
      <c r="JVM48"/>
      <c r="JVN48"/>
      <c r="JVO48"/>
      <c r="JVP48"/>
      <c r="JVQ48"/>
      <c r="JVR48"/>
      <c r="JVS48"/>
      <c r="JVT48"/>
      <c r="JVU48"/>
      <c r="JVV48"/>
      <c r="JVW48"/>
      <c r="JVX48"/>
      <c r="JVY48"/>
      <c r="JVZ48"/>
      <c r="JWA48"/>
      <c r="JWB48"/>
      <c r="JWC48"/>
      <c r="JWD48"/>
      <c r="JWE48"/>
      <c r="JWF48"/>
      <c r="JWG48"/>
      <c r="JWH48"/>
      <c r="JWI48"/>
      <c r="JWJ48"/>
      <c r="JWK48"/>
      <c r="JWL48"/>
      <c r="JWM48"/>
      <c r="JWN48"/>
      <c r="JWO48"/>
      <c r="JWP48"/>
      <c r="JWQ48"/>
      <c r="JWR48"/>
      <c r="JWS48"/>
      <c r="JWT48"/>
      <c r="JWU48"/>
      <c r="JWV48"/>
      <c r="JWW48"/>
      <c r="JWX48"/>
      <c r="JWY48"/>
      <c r="JWZ48"/>
      <c r="JXA48"/>
      <c r="JXB48"/>
      <c r="JXC48"/>
      <c r="JXD48"/>
      <c r="JXE48"/>
      <c r="JXF48"/>
      <c r="JXG48"/>
      <c r="JXH48"/>
      <c r="JXI48"/>
      <c r="JXJ48"/>
      <c r="JXK48"/>
      <c r="JXL48"/>
      <c r="JXM48"/>
      <c r="JXN48"/>
      <c r="JXO48"/>
      <c r="JXP48"/>
      <c r="JXQ48"/>
      <c r="JXR48"/>
      <c r="JXS48"/>
      <c r="JXT48"/>
      <c r="JXU48"/>
      <c r="JXV48"/>
      <c r="JXW48"/>
      <c r="JXX48"/>
      <c r="JXY48"/>
      <c r="JXZ48"/>
      <c r="JYA48"/>
      <c r="JYB48"/>
      <c r="JYC48"/>
      <c r="JYD48"/>
      <c r="JYE48"/>
      <c r="JYF48"/>
      <c r="JYG48"/>
      <c r="JYH48"/>
      <c r="JYI48"/>
      <c r="JYJ48"/>
      <c r="JYK48"/>
      <c r="JYL48"/>
      <c r="JYM48"/>
      <c r="JYN48"/>
      <c r="JYO48"/>
      <c r="JYP48"/>
      <c r="JYQ48"/>
      <c r="JYR48"/>
      <c r="JYS48"/>
      <c r="JYT48"/>
      <c r="JYU48"/>
      <c r="JYV48"/>
      <c r="JYW48"/>
      <c r="JYX48"/>
      <c r="JYY48"/>
      <c r="JYZ48"/>
      <c r="JZA48"/>
      <c r="JZB48"/>
      <c r="JZC48"/>
      <c r="JZD48"/>
      <c r="JZE48"/>
      <c r="JZF48"/>
      <c r="JZG48"/>
      <c r="JZH48"/>
      <c r="JZI48"/>
      <c r="JZJ48"/>
      <c r="JZK48"/>
      <c r="JZL48"/>
      <c r="JZM48"/>
      <c r="JZN48"/>
      <c r="JZO48"/>
      <c r="JZP48"/>
      <c r="JZQ48"/>
      <c r="JZR48"/>
      <c r="JZS48"/>
      <c r="JZT48"/>
      <c r="JZU48"/>
      <c r="JZV48"/>
      <c r="JZW48"/>
      <c r="JZX48"/>
      <c r="JZY48"/>
      <c r="JZZ48"/>
      <c r="KAA48"/>
      <c r="KAB48"/>
      <c r="KAC48"/>
      <c r="KAD48"/>
      <c r="KAE48"/>
      <c r="KAF48"/>
      <c r="KAG48"/>
      <c r="KAH48"/>
      <c r="KAI48"/>
      <c r="KAJ48"/>
      <c r="KAK48"/>
      <c r="KAL48"/>
      <c r="KAM48"/>
      <c r="KAN48"/>
      <c r="KAO48"/>
      <c r="KAP48"/>
      <c r="KAQ48"/>
      <c r="KAR48"/>
      <c r="KAS48"/>
      <c r="KAT48"/>
      <c r="KAU48"/>
      <c r="KAV48"/>
      <c r="KAW48"/>
      <c r="KAX48"/>
      <c r="KAY48"/>
      <c r="KAZ48"/>
      <c r="KBA48"/>
      <c r="KBB48"/>
      <c r="KBC48"/>
      <c r="KBD48"/>
      <c r="KBE48"/>
      <c r="KBF48"/>
      <c r="KBG48"/>
      <c r="KBH48"/>
      <c r="KBI48"/>
      <c r="KBJ48"/>
      <c r="KBK48"/>
      <c r="KBL48"/>
      <c r="KBM48"/>
      <c r="KBN48"/>
      <c r="KBO48"/>
      <c r="KBP48"/>
      <c r="KBQ48"/>
      <c r="KBR48"/>
      <c r="KBS48"/>
      <c r="KBT48"/>
      <c r="KBU48"/>
      <c r="KBV48"/>
      <c r="KBW48"/>
      <c r="KBX48"/>
      <c r="KBY48"/>
      <c r="KBZ48"/>
      <c r="KCA48"/>
      <c r="KCB48"/>
      <c r="KCC48"/>
      <c r="KCD48"/>
      <c r="KCE48"/>
      <c r="KCF48"/>
      <c r="KCG48"/>
      <c r="KCH48"/>
      <c r="KCI48"/>
      <c r="KCJ48"/>
      <c r="KCK48"/>
      <c r="KCL48"/>
      <c r="KCM48"/>
      <c r="KCN48"/>
      <c r="KCO48"/>
      <c r="KCP48"/>
      <c r="KCQ48"/>
      <c r="KCR48"/>
      <c r="KCS48"/>
      <c r="KCT48"/>
      <c r="KCU48"/>
      <c r="KCV48"/>
      <c r="KCW48"/>
      <c r="KCX48"/>
      <c r="KCY48"/>
      <c r="KCZ48"/>
      <c r="KDA48"/>
      <c r="KDB48"/>
      <c r="KDC48"/>
      <c r="KDD48"/>
      <c r="KDE48"/>
      <c r="KDF48"/>
      <c r="KDG48"/>
      <c r="KDH48"/>
      <c r="KDI48"/>
      <c r="KDJ48"/>
      <c r="KDK48"/>
      <c r="KDL48"/>
      <c r="KDM48"/>
      <c r="KDN48"/>
      <c r="KDO48"/>
      <c r="KDP48"/>
      <c r="KDQ48"/>
      <c r="KDR48"/>
      <c r="KDS48"/>
      <c r="KDT48"/>
      <c r="KDU48"/>
      <c r="KDV48"/>
      <c r="KDW48"/>
      <c r="KDX48"/>
      <c r="KDY48"/>
      <c r="KDZ48"/>
      <c r="KEA48"/>
      <c r="KEB48"/>
      <c r="KEC48"/>
      <c r="KED48"/>
      <c r="KEE48"/>
      <c r="KEF48"/>
      <c r="KEG48"/>
      <c r="KEH48"/>
      <c r="KEI48"/>
      <c r="KEJ48"/>
      <c r="KEK48"/>
      <c r="KEL48"/>
      <c r="KEM48"/>
      <c r="KEN48"/>
      <c r="KEO48"/>
      <c r="KEP48"/>
      <c r="KEQ48"/>
      <c r="KER48"/>
      <c r="KES48"/>
      <c r="KET48"/>
      <c r="KEU48"/>
      <c r="KEV48"/>
      <c r="KEW48"/>
      <c r="KEX48"/>
      <c r="KEY48"/>
      <c r="KEZ48"/>
      <c r="KFA48"/>
      <c r="KFB48"/>
      <c r="KFC48"/>
      <c r="KFD48"/>
      <c r="KFE48"/>
      <c r="KFF48"/>
      <c r="KFG48"/>
      <c r="KFH48"/>
      <c r="KFI48"/>
      <c r="KFJ48"/>
      <c r="KFK48"/>
      <c r="KFL48"/>
      <c r="KFM48"/>
      <c r="KFN48"/>
      <c r="KFO48"/>
      <c r="KFP48"/>
      <c r="KFQ48"/>
      <c r="KFR48"/>
      <c r="KFS48"/>
      <c r="KFT48"/>
      <c r="KFU48"/>
      <c r="KFV48"/>
      <c r="KFW48"/>
      <c r="KFX48"/>
      <c r="KFY48"/>
      <c r="KFZ48"/>
      <c r="KGA48"/>
      <c r="KGB48"/>
      <c r="KGC48"/>
      <c r="KGD48"/>
      <c r="KGE48"/>
      <c r="KGF48"/>
      <c r="KGG48"/>
      <c r="KGH48"/>
      <c r="KGI48"/>
      <c r="KGJ48"/>
      <c r="KGK48"/>
      <c r="KGL48"/>
      <c r="KGM48"/>
      <c r="KGN48"/>
      <c r="KGO48"/>
      <c r="KGP48"/>
      <c r="KGQ48"/>
      <c r="KGR48"/>
      <c r="KGS48"/>
      <c r="KGT48"/>
      <c r="KGU48"/>
      <c r="KGV48"/>
      <c r="KGW48"/>
      <c r="KGX48"/>
      <c r="KGY48"/>
      <c r="KGZ48"/>
      <c r="KHA48"/>
      <c r="KHB48"/>
      <c r="KHC48"/>
      <c r="KHD48"/>
      <c r="KHE48"/>
      <c r="KHF48"/>
      <c r="KHG48"/>
      <c r="KHH48"/>
      <c r="KHI48"/>
      <c r="KHJ48"/>
      <c r="KHK48"/>
      <c r="KHL48"/>
      <c r="KHM48"/>
      <c r="KHN48"/>
      <c r="KHO48"/>
      <c r="KHP48"/>
      <c r="KHQ48"/>
      <c r="KHR48"/>
      <c r="KHS48"/>
      <c r="KHT48"/>
      <c r="KHU48"/>
      <c r="KHV48"/>
      <c r="KHW48"/>
      <c r="KHX48"/>
      <c r="KHY48"/>
      <c r="KHZ48"/>
      <c r="KIA48"/>
      <c r="KIB48"/>
      <c r="KIC48"/>
      <c r="KID48"/>
      <c r="KIE48"/>
      <c r="KIF48"/>
      <c r="KIG48"/>
      <c r="KIH48"/>
      <c r="KII48"/>
      <c r="KIJ48"/>
      <c r="KIK48"/>
      <c r="KIL48"/>
      <c r="KIM48"/>
      <c r="KIN48"/>
      <c r="KIO48"/>
      <c r="KIP48"/>
      <c r="KIQ48"/>
      <c r="KIR48"/>
      <c r="KIS48"/>
      <c r="KIT48"/>
      <c r="KIU48"/>
      <c r="KIV48"/>
      <c r="KIW48"/>
      <c r="KIX48"/>
      <c r="KIY48"/>
      <c r="KIZ48"/>
      <c r="KJA48"/>
      <c r="KJB48"/>
      <c r="KJC48"/>
      <c r="KJD48"/>
      <c r="KJE48"/>
      <c r="KJF48"/>
      <c r="KJG48"/>
      <c r="KJH48"/>
      <c r="KJI48"/>
      <c r="KJJ48"/>
      <c r="KJK48"/>
      <c r="KJL48"/>
      <c r="KJM48"/>
      <c r="KJN48"/>
      <c r="KJO48"/>
      <c r="KJP48"/>
      <c r="KJQ48"/>
      <c r="KJR48"/>
      <c r="KJS48"/>
      <c r="KJT48"/>
      <c r="KJU48"/>
      <c r="KJV48"/>
      <c r="KJW48"/>
      <c r="KJX48"/>
      <c r="KJY48"/>
      <c r="KJZ48"/>
      <c r="KKA48"/>
      <c r="KKB48"/>
      <c r="KKC48"/>
      <c r="KKD48"/>
      <c r="KKE48"/>
      <c r="KKF48"/>
      <c r="KKG48"/>
      <c r="KKH48"/>
      <c r="KKI48"/>
      <c r="KKJ48"/>
      <c r="KKK48"/>
      <c r="KKL48"/>
      <c r="KKM48"/>
      <c r="KKN48"/>
      <c r="KKO48"/>
      <c r="KKP48"/>
      <c r="KKQ48"/>
      <c r="KKR48"/>
      <c r="KKS48"/>
      <c r="KKT48"/>
      <c r="KKU48"/>
      <c r="KKV48"/>
      <c r="KKW48"/>
      <c r="KKX48"/>
      <c r="KKY48"/>
      <c r="KKZ48"/>
      <c r="KLA48"/>
      <c r="KLB48"/>
      <c r="KLC48"/>
      <c r="KLD48"/>
      <c r="KLE48"/>
      <c r="KLF48"/>
      <c r="KLG48"/>
      <c r="KLH48"/>
      <c r="KLI48"/>
      <c r="KLJ48"/>
      <c r="KLK48"/>
      <c r="KLL48"/>
      <c r="KLM48"/>
      <c r="KLN48"/>
      <c r="KLO48"/>
      <c r="KLP48"/>
      <c r="KLQ48"/>
      <c r="KLR48"/>
      <c r="KLS48"/>
      <c r="KLT48"/>
      <c r="KLU48"/>
      <c r="KLV48"/>
      <c r="KLW48"/>
      <c r="KLX48"/>
      <c r="KLY48"/>
      <c r="KLZ48"/>
      <c r="KMA48"/>
      <c r="KMB48"/>
      <c r="KMC48"/>
      <c r="KMD48"/>
      <c r="KME48"/>
      <c r="KMF48"/>
      <c r="KMG48"/>
      <c r="KMH48"/>
      <c r="KMI48"/>
      <c r="KMJ48"/>
      <c r="KMK48"/>
      <c r="KML48"/>
      <c r="KMM48"/>
      <c r="KMN48"/>
      <c r="KMO48"/>
      <c r="KMP48"/>
      <c r="KMQ48"/>
      <c r="KMR48"/>
      <c r="KMS48"/>
      <c r="KMT48"/>
      <c r="KMU48"/>
      <c r="KMV48"/>
      <c r="KMW48"/>
      <c r="KMX48"/>
      <c r="KMY48"/>
      <c r="KMZ48"/>
      <c r="KNA48"/>
      <c r="KNB48"/>
      <c r="KNC48"/>
      <c r="KND48"/>
      <c r="KNE48"/>
      <c r="KNF48"/>
      <c r="KNG48"/>
      <c r="KNH48"/>
      <c r="KNI48"/>
      <c r="KNJ48"/>
      <c r="KNK48"/>
      <c r="KNL48"/>
      <c r="KNM48"/>
      <c r="KNN48"/>
      <c r="KNO48"/>
      <c r="KNP48"/>
      <c r="KNQ48"/>
      <c r="KNR48"/>
      <c r="KNS48"/>
      <c r="KNT48"/>
      <c r="KNU48"/>
      <c r="KNV48"/>
      <c r="KNW48"/>
      <c r="KNX48"/>
      <c r="KNY48"/>
      <c r="KNZ48"/>
      <c r="KOA48"/>
      <c r="KOB48"/>
      <c r="KOC48"/>
      <c r="KOD48"/>
      <c r="KOE48"/>
      <c r="KOF48"/>
      <c r="KOG48"/>
      <c r="KOH48"/>
      <c r="KOI48"/>
      <c r="KOJ48"/>
      <c r="KOK48"/>
      <c r="KOL48"/>
      <c r="KOM48"/>
      <c r="KON48"/>
      <c r="KOO48"/>
      <c r="KOP48"/>
      <c r="KOQ48"/>
      <c r="KOR48"/>
      <c r="KOS48"/>
      <c r="KOT48"/>
      <c r="KOU48"/>
      <c r="KOV48"/>
      <c r="KOW48"/>
      <c r="KOX48"/>
      <c r="KOY48"/>
      <c r="KOZ48"/>
      <c r="KPA48"/>
      <c r="KPB48"/>
      <c r="KPC48"/>
      <c r="KPD48"/>
      <c r="KPE48"/>
      <c r="KPF48"/>
      <c r="KPG48"/>
      <c r="KPH48"/>
      <c r="KPI48"/>
      <c r="KPJ48"/>
      <c r="KPK48"/>
      <c r="KPL48"/>
      <c r="KPM48"/>
      <c r="KPN48"/>
      <c r="KPO48"/>
      <c r="KPP48"/>
      <c r="KPQ48"/>
      <c r="KPR48"/>
      <c r="KPS48"/>
      <c r="KPT48"/>
      <c r="KPU48"/>
      <c r="KPV48"/>
      <c r="KPW48"/>
      <c r="KPX48"/>
      <c r="KPY48"/>
      <c r="KPZ48"/>
      <c r="KQA48"/>
      <c r="KQB48"/>
      <c r="KQC48"/>
      <c r="KQD48"/>
      <c r="KQE48"/>
      <c r="KQF48"/>
      <c r="KQG48"/>
      <c r="KQH48"/>
      <c r="KQI48"/>
      <c r="KQJ48"/>
      <c r="KQK48"/>
      <c r="KQL48"/>
      <c r="KQM48"/>
      <c r="KQN48"/>
      <c r="KQO48"/>
      <c r="KQP48"/>
      <c r="KQQ48"/>
      <c r="KQR48"/>
      <c r="KQS48"/>
      <c r="KQT48"/>
      <c r="KQU48"/>
      <c r="KQV48"/>
      <c r="KQW48"/>
      <c r="KQX48"/>
      <c r="KQY48"/>
      <c r="KQZ48"/>
      <c r="KRA48"/>
      <c r="KRB48"/>
      <c r="KRC48"/>
      <c r="KRD48"/>
      <c r="KRE48"/>
      <c r="KRF48"/>
      <c r="KRG48"/>
      <c r="KRH48"/>
      <c r="KRI48"/>
      <c r="KRJ48"/>
      <c r="KRK48"/>
      <c r="KRL48"/>
      <c r="KRM48"/>
      <c r="KRN48"/>
      <c r="KRO48"/>
      <c r="KRP48"/>
      <c r="KRQ48"/>
      <c r="KRR48"/>
      <c r="KRS48"/>
      <c r="KRT48"/>
      <c r="KRU48"/>
      <c r="KRV48"/>
      <c r="KRW48"/>
      <c r="KRX48"/>
      <c r="KRY48"/>
      <c r="KRZ48"/>
      <c r="KSA48"/>
      <c r="KSB48"/>
      <c r="KSC48"/>
      <c r="KSD48"/>
      <c r="KSE48"/>
      <c r="KSF48"/>
      <c r="KSG48"/>
      <c r="KSH48"/>
      <c r="KSI48"/>
      <c r="KSJ48"/>
      <c r="KSK48"/>
      <c r="KSL48"/>
      <c r="KSM48"/>
      <c r="KSN48"/>
      <c r="KSO48"/>
      <c r="KSP48"/>
      <c r="KSQ48"/>
      <c r="KSR48"/>
      <c r="KSS48"/>
      <c r="KST48"/>
      <c r="KSU48"/>
      <c r="KSV48"/>
      <c r="KSW48"/>
      <c r="KSX48"/>
      <c r="KSY48"/>
      <c r="KSZ48"/>
      <c r="KTA48"/>
      <c r="KTB48"/>
      <c r="KTC48"/>
      <c r="KTD48"/>
      <c r="KTE48"/>
      <c r="KTF48"/>
      <c r="KTG48"/>
      <c r="KTH48"/>
      <c r="KTI48"/>
      <c r="KTJ48"/>
      <c r="KTK48"/>
      <c r="KTL48"/>
      <c r="KTM48"/>
      <c r="KTN48"/>
      <c r="KTO48"/>
      <c r="KTP48"/>
      <c r="KTQ48"/>
      <c r="KTR48"/>
      <c r="KTS48"/>
      <c r="KTT48"/>
      <c r="KTU48"/>
      <c r="KTV48"/>
      <c r="KTW48"/>
      <c r="KTX48"/>
      <c r="KTY48"/>
      <c r="KTZ48"/>
      <c r="KUA48"/>
      <c r="KUB48"/>
      <c r="KUC48"/>
      <c r="KUD48"/>
      <c r="KUE48"/>
      <c r="KUF48"/>
      <c r="KUG48"/>
      <c r="KUH48"/>
      <c r="KUI48"/>
      <c r="KUJ48"/>
      <c r="KUK48"/>
      <c r="KUL48"/>
      <c r="KUM48"/>
      <c r="KUN48"/>
      <c r="KUO48"/>
      <c r="KUP48"/>
      <c r="KUQ48"/>
      <c r="KUR48"/>
      <c r="KUS48"/>
      <c r="KUT48"/>
      <c r="KUU48"/>
      <c r="KUV48"/>
      <c r="KUW48"/>
      <c r="KUX48"/>
      <c r="KUY48"/>
      <c r="KUZ48"/>
      <c r="KVA48"/>
      <c r="KVB48"/>
      <c r="KVC48"/>
      <c r="KVD48"/>
      <c r="KVE48"/>
      <c r="KVF48"/>
      <c r="KVG48"/>
      <c r="KVH48"/>
      <c r="KVI48"/>
      <c r="KVJ48"/>
      <c r="KVK48"/>
      <c r="KVL48"/>
      <c r="KVM48"/>
      <c r="KVN48"/>
      <c r="KVO48"/>
      <c r="KVP48"/>
      <c r="KVQ48"/>
      <c r="KVR48"/>
      <c r="KVS48"/>
      <c r="KVT48"/>
      <c r="KVU48"/>
      <c r="KVV48"/>
      <c r="KVW48"/>
      <c r="KVX48"/>
      <c r="KVY48"/>
      <c r="KVZ48"/>
      <c r="KWA48"/>
      <c r="KWB48"/>
      <c r="KWC48"/>
      <c r="KWD48"/>
      <c r="KWE48"/>
      <c r="KWF48"/>
      <c r="KWG48"/>
      <c r="KWH48"/>
      <c r="KWI48"/>
      <c r="KWJ48"/>
      <c r="KWK48"/>
      <c r="KWL48"/>
      <c r="KWM48"/>
      <c r="KWN48"/>
      <c r="KWO48"/>
      <c r="KWP48"/>
      <c r="KWQ48"/>
      <c r="KWR48"/>
      <c r="KWS48"/>
      <c r="KWT48"/>
      <c r="KWU48"/>
      <c r="KWV48"/>
      <c r="KWW48"/>
      <c r="KWX48"/>
      <c r="KWY48"/>
      <c r="KWZ48"/>
      <c r="KXA48"/>
      <c r="KXB48"/>
      <c r="KXC48"/>
      <c r="KXD48"/>
      <c r="KXE48"/>
      <c r="KXF48"/>
      <c r="KXG48"/>
      <c r="KXH48"/>
      <c r="KXI48"/>
      <c r="KXJ48"/>
      <c r="KXK48"/>
      <c r="KXL48"/>
      <c r="KXM48"/>
      <c r="KXN48"/>
      <c r="KXO48"/>
      <c r="KXP48"/>
      <c r="KXQ48"/>
      <c r="KXR48"/>
      <c r="KXS48"/>
      <c r="KXT48"/>
      <c r="KXU48"/>
      <c r="KXV48"/>
      <c r="KXW48"/>
      <c r="KXX48"/>
      <c r="KXY48"/>
      <c r="KXZ48"/>
      <c r="KYA48"/>
      <c r="KYB48"/>
      <c r="KYC48"/>
      <c r="KYD48"/>
      <c r="KYE48"/>
      <c r="KYF48"/>
      <c r="KYG48"/>
      <c r="KYH48"/>
      <c r="KYI48"/>
      <c r="KYJ48"/>
      <c r="KYK48"/>
      <c r="KYL48"/>
      <c r="KYM48"/>
      <c r="KYN48"/>
      <c r="KYO48"/>
      <c r="KYP48"/>
      <c r="KYQ48"/>
      <c r="KYR48"/>
      <c r="KYS48"/>
      <c r="KYT48"/>
      <c r="KYU48"/>
      <c r="KYV48"/>
      <c r="KYW48"/>
      <c r="KYX48"/>
      <c r="KYY48"/>
      <c r="KYZ48"/>
      <c r="KZA48"/>
      <c r="KZB48"/>
      <c r="KZC48"/>
      <c r="KZD48"/>
      <c r="KZE48"/>
      <c r="KZF48"/>
      <c r="KZG48"/>
      <c r="KZH48"/>
      <c r="KZI48"/>
      <c r="KZJ48"/>
      <c r="KZK48"/>
      <c r="KZL48"/>
      <c r="KZM48"/>
      <c r="KZN48"/>
      <c r="KZO48"/>
      <c r="KZP48"/>
      <c r="KZQ48"/>
      <c r="KZR48"/>
      <c r="KZS48"/>
      <c r="KZT48"/>
      <c r="KZU48"/>
      <c r="KZV48"/>
      <c r="KZW48"/>
      <c r="KZX48"/>
      <c r="KZY48"/>
      <c r="KZZ48"/>
      <c r="LAA48"/>
      <c r="LAB48"/>
      <c r="LAC48"/>
      <c r="LAD48"/>
      <c r="LAE48"/>
      <c r="LAF48"/>
      <c r="LAG48"/>
      <c r="LAH48"/>
      <c r="LAI48"/>
      <c r="LAJ48"/>
      <c r="LAK48"/>
      <c r="LAL48"/>
      <c r="LAM48"/>
      <c r="LAN48"/>
      <c r="LAO48"/>
      <c r="LAP48"/>
      <c r="LAQ48"/>
      <c r="LAR48"/>
      <c r="LAS48"/>
      <c r="LAT48"/>
      <c r="LAU48"/>
      <c r="LAV48"/>
      <c r="LAW48"/>
      <c r="LAX48"/>
      <c r="LAY48"/>
      <c r="LAZ48"/>
      <c r="LBA48"/>
      <c r="LBB48"/>
      <c r="LBC48"/>
      <c r="LBD48"/>
      <c r="LBE48"/>
      <c r="LBF48"/>
      <c r="LBG48"/>
      <c r="LBH48"/>
      <c r="LBI48"/>
      <c r="LBJ48"/>
      <c r="LBK48"/>
      <c r="LBL48"/>
      <c r="LBM48"/>
      <c r="LBN48"/>
      <c r="LBO48"/>
      <c r="LBP48"/>
      <c r="LBQ48"/>
      <c r="LBR48"/>
      <c r="LBS48"/>
      <c r="LBT48"/>
      <c r="LBU48"/>
      <c r="LBV48"/>
      <c r="LBW48"/>
      <c r="LBX48"/>
      <c r="LBY48"/>
      <c r="LBZ48"/>
      <c r="LCA48"/>
      <c r="LCB48"/>
      <c r="LCC48"/>
      <c r="LCD48"/>
      <c r="LCE48"/>
      <c r="LCF48"/>
      <c r="LCG48"/>
      <c r="LCH48"/>
      <c r="LCI48"/>
      <c r="LCJ48"/>
      <c r="LCK48"/>
      <c r="LCL48"/>
      <c r="LCM48"/>
      <c r="LCN48"/>
      <c r="LCO48"/>
      <c r="LCP48"/>
      <c r="LCQ48"/>
      <c r="LCR48"/>
      <c r="LCS48"/>
      <c r="LCT48"/>
      <c r="LCU48"/>
      <c r="LCV48"/>
      <c r="LCW48"/>
      <c r="LCX48"/>
      <c r="LCY48"/>
      <c r="LCZ48"/>
      <c r="LDA48"/>
      <c r="LDB48"/>
      <c r="LDC48"/>
      <c r="LDD48"/>
      <c r="LDE48"/>
      <c r="LDF48"/>
      <c r="LDG48"/>
      <c r="LDH48"/>
      <c r="LDI48"/>
      <c r="LDJ48"/>
      <c r="LDK48"/>
      <c r="LDL48"/>
      <c r="LDM48"/>
      <c r="LDN48"/>
      <c r="LDO48"/>
      <c r="LDP48"/>
      <c r="LDQ48"/>
      <c r="LDR48"/>
      <c r="LDS48"/>
      <c r="LDT48"/>
      <c r="LDU48"/>
      <c r="LDV48"/>
      <c r="LDW48"/>
      <c r="LDX48"/>
      <c r="LDY48"/>
      <c r="LDZ48"/>
      <c r="LEA48"/>
      <c r="LEB48"/>
      <c r="LEC48"/>
      <c r="LED48"/>
      <c r="LEE48"/>
      <c r="LEF48"/>
      <c r="LEG48"/>
      <c r="LEH48"/>
      <c r="LEI48"/>
      <c r="LEJ48"/>
      <c r="LEK48"/>
      <c r="LEL48"/>
      <c r="LEM48"/>
      <c r="LEN48"/>
      <c r="LEO48"/>
      <c r="LEP48"/>
      <c r="LEQ48"/>
      <c r="LER48"/>
      <c r="LES48"/>
      <c r="LET48"/>
      <c r="LEU48"/>
      <c r="LEV48"/>
      <c r="LEW48"/>
      <c r="LEX48"/>
      <c r="LEY48"/>
      <c r="LEZ48"/>
      <c r="LFA48"/>
      <c r="LFB48"/>
      <c r="LFC48"/>
      <c r="LFD48"/>
      <c r="LFE48"/>
      <c r="LFF48"/>
      <c r="LFG48"/>
      <c r="LFH48"/>
      <c r="LFI48"/>
      <c r="LFJ48"/>
      <c r="LFK48"/>
      <c r="LFL48"/>
      <c r="LFM48"/>
      <c r="LFN48"/>
      <c r="LFO48"/>
      <c r="LFP48"/>
      <c r="LFQ48"/>
      <c r="LFR48"/>
      <c r="LFS48"/>
      <c r="LFT48"/>
      <c r="LFU48"/>
      <c r="LFV48"/>
      <c r="LFW48"/>
      <c r="LFX48"/>
      <c r="LFY48"/>
      <c r="LFZ48"/>
      <c r="LGA48"/>
      <c r="LGB48"/>
      <c r="LGC48"/>
      <c r="LGD48"/>
      <c r="LGE48"/>
      <c r="LGF48"/>
      <c r="LGG48"/>
      <c r="LGH48"/>
      <c r="LGI48"/>
      <c r="LGJ48"/>
      <c r="LGK48"/>
      <c r="LGL48"/>
      <c r="LGM48"/>
      <c r="LGN48"/>
      <c r="LGO48"/>
      <c r="LGP48"/>
      <c r="LGQ48"/>
      <c r="LGR48"/>
      <c r="LGS48"/>
      <c r="LGT48"/>
      <c r="LGU48"/>
      <c r="LGV48"/>
      <c r="LGW48"/>
      <c r="LGX48"/>
      <c r="LGY48"/>
      <c r="LGZ48"/>
      <c r="LHA48"/>
      <c r="LHB48"/>
      <c r="LHC48"/>
      <c r="LHD48"/>
      <c r="LHE48"/>
      <c r="LHF48"/>
      <c r="LHG48"/>
      <c r="LHH48"/>
      <c r="LHI48"/>
      <c r="LHJ48"/>
      <c r="LHK48"/>
      <c r="LHL48"/>
      <c r="LHM48"/>
      <c r="LHN48"/>
      <c r="LHO48"/>
      <c r="LHP48"/>
      <c r="LHQ48"/>
      <c r="LHR48"/>
      <c r="LHS48"/>
      <c r="LHT48"/>
      <c r="LHU48"/>
      <c r="LHV48"/>
      <c r="LHW48"/>
      <c r="LHX48"/>
      <c r="LHY48"/>
      <c r="LHZ48"/>
      <c r="LIA48"/>
      <c r="LIB48"/>
      <c r="LIC48"/>
      <c r="LID48"/>
      <c r="LIE48"/>
      <c r="LIF48"/>
      <c r="LIG48"/>
      <c r="LIH48"/>
      <c r="LII48"/>
      <c r="LIJ48"/>
      <c r="LIK48"/>
      <c r="LIL48"/>
      <c r="LIM48"/>
      <c r="LIN48"/>
      <c r="LIO48"/>
      <c r="LIP48"/>
      <c r="LIQ48"/>
      <c r="LIR48"/>
      <c r="LIS48"/>
      <c r="LIT48"/>
      <c r="LIU48"/>
      <c r="LIV48"/>
      <c r="LIW48"/>
      <c r="LIX48"/>
      <c r="LIY48"/>
      <c r="LIZ48"/>
      <c r="LJA48"/>
      <c r="LJB48"/>
      <c r="LJC48"/>
      <c r="LJD48"/>
      <c r="LJE48"/>
      <c r="LJF48"/>
      <c r="LJG48"/>
      <c r="LJH48"/>
      <c r="LJI48"/>
      <c r="LJJ48"/>
      <c r="LJK48"/>
      <c r="LJL48"/>
      <c r="LJM48"/>
      <c r="LJN48"/>
      <c r="LJO48"/>
      <c r="LJP48"/>
      <c r="LJQ48"/>
      <c r="LJR48"/>
      <c r="LJS48"/>
      <c r="LJT48"/>
      <c r="LJU48"/>
      <c r="LJV48"/>
      <c r="LJW48"/>
      <c r="LJX48"/>
      <c r="LJY48"/>
      <c r="LJZ48"/>
      <c r="LKA48"/>
      <c r="LKB48"/>
      <c r="LKC48"/>
      <c r="LKD48"/>
      <c r="LKE48"/>
      <c r="LKF48"/>
      <c r="LKG48"/>
      <c r="LKH48"/>
      <c r="LKI48"/>
      <c r="LKJ48"/>
      <c r="LKK48"/>
      <c r="LKL48"/>
      <c r="LKM48"/>
      <c r="LKN48"/>
      <c r="LKO48"/>
      <c r="LKP48"/>
      <c r="LKQ48"/>
      <c r="LKR48"/>
      <c r="LKS48"/>
      <c r="LKT48"/>
      <c r="LKU48"/>
      <c r="LKV48"/>
      <c r="LKW48"/>
      <c r="LKX48"/>
      <c r="LKY48"/>
      <c r="LKZ48"/>
      <c r="LLA48"/>
      <c r="LLB48"/>
      <c r="LLC48"/>
      <c r="LLD48"/>
      <c r="LLE48"/>
      <c r="LLF48"/>
      <c r="LLG48"/>
      <c r="LLH48"/>
      <c r="LLI48"/>
      <c r="LLJ48"/>
      <c r="LLK48"/>
      <c r="LLL48"/>
      <c r="LLM48"/>
      <c r="LLN48"/>
      <c r="LLO48"/>
      <c r="LLP48"/>
      <c r="LLQ48"/>
      <c r="LLR48"/>
      <c r="LLS48"/>
      <c r="LLT48"/>
      <c r="LLU48"/>
      <c r="LLV48"/>
      <c r="LLW48"/>
      <c r="LLX48"/>
      <c r="LLY48"/>
      <c r="LLZ48"/>
      <c r="LMA48"/>
      <c r="LMB48"/>
      <c r="LMC48"/>
      <c r="LMD48"/>
      <c r="LME48"/>
      <c r="LMF48"/>
      <c r="LMG48"/>
      <c r="LMH48"/>
      <c r="LMI48"/>
      <c r="LMJ48"/>
      <c r="LMK48"/>
      <c r="LML48"/>
      <c r="LMM48"/>
      <c r="LMN48"/>
      <c r="LMO48"/>
      <c r="LMP48"/>
      <c r="LMQ48"/>
      <c r="LMR48"/>
      <c r="LMS48"/>
      <c r="LMT48"/>
      <c r="LMU48"/>
      <c r="LMV48"/>
      <c r="LMW48"/>
      <c r="LMX48"/>
      <c r="LMY48"/>
      <c r="LMZ48"/>
      <c r="LNA48"/>
      <c r="LNB48"/>
      <c r="LNC48"/>
      <c r="LND48"/>
      <c r="LNE48"/>
      <c r="LNF48"/>
      <c r="LNG48"/>
      <c r="LNH48"/>
      <c r="LNI48"/>
      <c r="LNJ48"/>
      <c r="LNK48"/>
      <c r="LNL48"/>
      <c r="LNM48"/>
      <c r="LNN48"/>
      <c r="LNO48"/>
      <c r="LNP48"/>
      <c r="LNQ48"/>
      <c r="LNR48"/>
      <c r="LNS48"/>
      <c r="LNT48"/>
      <c r="LNU48"/>
      <c r="LNV48"/>
      <c r="LNW48"/>
      <c r="LNX48"/>
      <c r="LNY48"/>
      <c r="LNZ48"/>
      <c r="LOA48"/>
      <c r="LOB48"/>
      <c r="LOC48"/>
      <c r="LOD48"/>
      <c r="LOE48"/>
      <c r="LOF48"/>
      <c r="LOG48"/>
      <c r="LOH48"/>
      <c r="LOI48"/>
      <c r="LOJ48"/>
      <c r="LOK48"/>
      <c r="LOL48"/>
      <c r="LOM48"/>
      <c r="LON48"/>
      <c r="LOO48"/>
      <c r="LOP48"/>
      <c r="LOQ48"/>
      <c r="LOR48"/>
      <c r="LOS48"/>
      <c r="LOT48"/>
      <c r="LOU48"/>
      <c r="LOV48"/>
      <c r="LOW48"/>
      <c r="LOX48"/>
      <c r="LOY48"/>
      <c r="LOZ48"/>
      <c r="LPA48"/>
      <c r="LPB48"/>
      <c r="LPC48"/>
      <c r="LPD48"/>
      <c r="LPE48"/>
      <c r="LPF48"/>
      <c r="LPG48"/>
      <c r="LPH48"/>
      <c r="LPI48"/>
      <c r="LPJ48"/>
      <c r="LPK48"/>
      <c r="LPL48"/>
      <c r="LPM48"/>
      <c r="LPN48"/>
      <c r="LPO48"/>
      <c r="LPP48"/>
      <c r="LPQ48"/>
      <c r="LPR48"/>
      <c r="LPS48"/>
      <c r="LPT48"/>
      <c r="LPU48"/>
      <c r="LPV48"/>
      <c r="LPW48"/>
      <c r="LPX48"/>
      <c r="LPY48"/>
      <c r="LPZ48"/>
      <c r="LQA48"/>
      <c r="LQB48"/>
      <c r="LQC48"/>
      <c r="LQD48"/>
      <c r="LQE48"/>
      <c r="LQF48"/>
      <c r="LQG48"/>
      <c r="LQH48"/>
      <c r="LQI48"/>
      <c r="LQJ48"/>
      <c r="LQK48"/>
      <c r="LQL48"/>
      <c r="LQM48"/>
      <c r="LQN48"/>
      <c r="LQO48"/>
      <c r="LQP48"/>
      <c r="LQQ48"/>
      <c r="LQR48"/>
      <c r="LQS48"/>
      <c r="LQT48"/>
      <c r="LQU48"/>
      <c r="LQV48"/>
      <c r="LQW48"/>
      <c r="LQX48"/>
      <c r="LQY48"/>
      <c r="LQZ48"/>
      <c r="LRA48"/>
      <c r="LRB48"/>
      <c r="LRC48"/>
      <c r="LRD48"/>
      <c r="LRE48"/>
      <c r="LRF48"/>
      <c r="LRG48"/>
      <c r="LRH48"/>
      <c r="LRI48"/>
      <c r="LRJ48"/>
      <c r="LRK48"/>
      <c r="LRL48"/>
      <c r="LRM48"/>
      <c r="LRN48"/>
      <c r="LRO48"/>
      <c r="LRP48"/>
      <c r="LRQ48"/>
      <c r="LRR48"/>
      <c r="LRS48"/>
      <c r="LRT48"/>
      <c r="LRU48"/>
      <c r="LRV48"/>
      <c r="LRW48"/>
      <c r="LRX48"/>
      <c r="LRY48"/>
      <c r="LRZ48"/>
      <c r="LSA48"/>
      <c r="LSB48"/>
      <c r="LSC48"/>
      <c r="LSD48"/>
      <c r="LSE48"/>
      <c r="LSF48"/>
      <c r="LSG48"/>
      <c r="LSH48"/>
      <c r="LSI48"/>
      <c r="LSJ48"/>
      <c r="LSK48"/>
      <c r="LSL48"/>
      <c r="LSM48"/>
      <c r="LSN48"/>
      <c r="LSO48"/>
      <c r="LSP48"/>
      <c r="LSQ48"/>
      <c r="LSR48"/>
      <c r="LSS48"/>
      <c r="LST48"/>
      <c r="LSU48"/>
      <c r="LSV48"/>
      <c r="LSW48"/>
      <c r="LSX48"/>
      <c r="LSY48"/>
      <c r="LSZ48"/>
      <c r="LTA48"/>
      <c r="LTB48"/>
      <c r="LTC48"/>
      <c r="LTD48"/>
      <c r="LTE48"/>
      <c r="LTF48"/>
      <c r="LTG48"/>
      <c r="LTH48"/>
      <c r="LTI48"/>
      <c r="LTJ48"/>
      <c r="LTK48"/>
      <c r="LTL48"/>
      <c r="LTM48"/>
      <c r="LTN48"/>
      <c r="LTO48"/>
      <c r="LTP48"/>
      <c r="LTQ48"/>
      <c r="LTR48"/>
      <c r="LTS48"/>
      <c r="LTT48"/>
      <c r="LTU48"/>
      <c r="LTV48"/>
      <c r="LTW48"/>
      <c r="LTX48"/>
      <c r="LTY48"/>
      <c r="LTZ48"/>
      <c r="LUA48"/>
      <c r="LUB48"/>
      <c r="LUC48"/>
      <c r="LUD48"/>
      <c r="LUE48"/>
      <c r="LUF48"/>
      <c r="LUG48"/>
      <c r="LUH48"/>
      <c r="LUI48"/>
      <c r="LUJ48"/>
      <c r="LUK48"/>
      <c r="LUL48"/>
      <c r="LUM48"/>
      <c r="LUN48"/>
      <c r="LUO48"/>
      <c r="LUP48"/>
      <c r="LUQ48"/>
      <c r="LUR48"/>
      <c r="LUS48"/>
      <c r="LUT48"/>
      <c r="LUU48"/>
      <c r="LUV48"/>
      <c r="LUW48"/>
      <c r="LUX48"/>
      <c r="LUY48"/>
      <c r="LUZ48"/>
      <c r="LVA48"/>
      <c r="LVB48"/>
      <c r="LVC48"/>
      <c r="LVD48"/>
      <c r="LVE48"/>
      <c r="LVF48"/>
      <c r="LVG48"/>
      <c r="LVH48"/>
      <c r="LVI48"/>
      <c r="LVJ48"/>
      <c r="LVK48"/>
      <c r="LVL48"/>
      <c r="LVM48"/>
      <c r="LVN48"/>
      <c r="LVO48"/>
      <c r="LVP48"/>
      <c r="LVQ48"/>
      <c r="LVR48"/>
      <c r="LVS48"/>
      <c r="LVT48"/>
      <c r="LVU48"/>
      <c r="LVV48"/>
      <c r="LVW48"/>
      <c r="LVX48"/>
      <c r="LVY48"/>
      <c r="LVZ48"/>
      <c r="LWA48"/>
      <c r="LWB48"/>
      <c r="LWC48"/>
      <c r="LWD48"/>
      <c r="LWE48"/>
      <c r="LWF48"/>
      <c r="LWG48"/>
      <c r="LWH48"/>
      <c r="LWI48"/>
      <c r="LWJ48"/>
      <c r="LWK48"/>
      <c r="LWL48"/>
      <c r="LWM48"/>
      <c r="LWN48"/>
      <c r="LWO48"/>
      <c r="LWP48"/>
      <c r="LWQ48"/>
      <c r="LWR48"/>
      <c r="LWS48"/>
      <c r="LWT48"/>
      <c r="LWU48"/>
      <c r="LWV48"/>
      <c r="LWW48"/>
      <c r="LWX48"/>
      <c r="LWY48"/>
      <c r="LWZ48"/>
      <c r="LXA48"/>
      <c r="LXB48"/>
      <c r="LXC48"/>
      <c r="LXD48"/>
      <c r="LXE48"/>
      <c r="LXF48"/>
      <c r="LXG48"/>
      <c r="LXH48"/>
      <c r="LXI48"/>
      <c r="LXJ48"/>
      <c r="LXK48"/>
      <c r="LXL48"/>
      <c r="LXM48"/>
      <c r="LXN48"/>
      <c r="LXO48"/>
      <c r="LXP48"/>
      <c r="LXQ48"/>
      <c r="LXR48"/>
      <c r="LXS48"/>
      <c r="LXT48"/>
      <c r="LXU48"/>
      <c r="LXV48"/>
      <c r="LXW48"/>
      <c r="LXX48"/>
      <c r="LXY48"/>
      <c r="LXZ48"/>
      <c r="LYA48"/>
      <c r="LYB48"/>
      <c r="LYC48"/>
      <c r="LYD48"/>
      <c r="LYE48"/>
      <c r="LYF48"/>
      <c r="LYG48"/>
      <c r="LYH48"/>
      <c r="LYI48"/>
      <c r="LYJ48"/>
      <c r="LYK48"/>
      <c r="LYL48"/>
      <c r="LYM48"/>
      <c r="LYN48"/>
      <c r="LYO48"/>
      <c r="LYP48"/>
      <c r="LYQ48"/>
      <c r="LYR48"/>
      <c r="LYS48"/>
      <c r="LYT48"/>
      <c r="LYU48"/>
      <c r="LYV48"/>
      <c r="LYW48"/>
      <c r="LYX48"/>
      <c r="LYY48"/>
      <c r="LYZ48"/>
      <c r="LZA48"/>
      <c r="LZB48"/>
      <c r="LZC48"/>
      <c r="LZD48"/>
      <c r="LZE48"/>
      <c r="LZF48"/>
      <c r="LZG48"/>
      <c r="LZH48"/>
      <c r="LZI48"/>
      <c r="LZJ48"/>
      <c r="LZK48"/>
      <c r="LZL48"/>
      <c r="LZM48"/>
      <c r="LZN48"/>
      <c r="LZO48"/>
      <c r="LZP48"/>
      <c r="LZQ48"/>
      <c r="LZR48"/>
      <c r="LZS48"/>
      <c r="LZT48"/>
      <c r="LZU48"/>
      <c r="LZV48"/>
      <c r="LZW48"/>
      <c r="LZX48"/>
      <c r="LZY48"/>
      <c r="LZZ48"/>
      <c r="MAA48"/>
      <c r="MAB48"/>
      <c r="MAC48"/>
      <c r="MAD48"/>
      <c r="MAE48"/>
      <c r="MAF48"/>
      <c r="MAG48"/>
      <c r="MAH48"/>
      <c r="MAI48"/>
      <c r="MAJ48"/>
      <c r="MAK48"/>
      <c r="MAL48"/>
      <c r="MAM48"/>
      <c r="MAN48"/>
      <c r="MAO48"/>
      <c r="MAP48"/>
      <c r="MAQ48"/>
      <c r="MAR48"/>
      <c r="MAS48"/>
      <c r="MAT48"/>
      <c r="MAU48"/>
      <c r="MAV48"/>
      <c r="MAW48"/>
      <c r="MAX48"/>
      <c r="MAY48"/>
      <c r="MAZ48"/>
      <c r="MBA48"/>
      <c r="MBB48"/>
      <c r="MBC48"/>
      <c r="MBD48"/>
      <c r="MBE48"/>
      <c r="MBF48"/>
      <c r="MBG48"/>
      <c r="MBH48"/>
      <c r="MBI48"/>
      <c r="MBJ48"/>
      <c r="MBK48"/>
      <c r="MBL48"/>
      <c r="MBM48"/>
      <c r="MBN48"/>
      <c r="MBO48"/>
      <c r="MBP48"/>
      <c r="MBQ48"/>
      <c r="MBR48"/>
      <c r="MBS48"/>
      <c r="MBT48"/>
      <c r="MBU48"/>
      <c r="MBV48"/>
      <c r="MBW48"/>
      <c r="MBX48"/>
      <c r="MBY48"/>
      <c r="MBZ48"/>
      <c r="MCA48"/>
      <c r="MCB48"/>
      <c r="MCC48"/>
      <c r="MCD48"/>
      <c r="MCE48"/>
      <c r="MCF48"/>
      <c r="MCG48"/>
      <c r="MCH48"/>
      <c r="MCI48"/>
      <c r="MCJ48"/>
      <c r="MCK48"/>
      <c r="MCL48"/>
      <c r="MCM48"/>
      <c r="MCN48"/>
      <c r="MCO48"/>
      <c r="MCP48"/>
      <c r="MCQ48"/>
      <c r="MCR48"/>
      <c r="MCS48"/>
      <c r="MCT48"/>
      <c r="MCU48"/>
      <c r="MCV48"/>
      <c r="MCW48"/>
      <c r="MCX48"/>
      <c r="MCY48"/>
      <c r="MCZ48"/>
      <c r="MDA48"/>
      <c r="MDB48"/>
      <c r="MDC48"/>
      <c r="MDD48"/>
      <c r="MDE48"/>
      <c r="MDF48"/>
      <c r="MDG48"/>
      <c r="MDH48"/>
      <c r="MDI48"/>
      <c r="MDJ48"/>
      <c r="MDK48"/>
      <c r="MDL48"/>
      <c r="MDM48"/>
      <c r="MDN48"/>
      <c r="MDO48"/>
      <c r="MDP48"/>
      <c r="MDQ48"/>
      <c r="MDR48"/>
      <c r="MDS48"/>
      <c r="MDT48"/>
      <c r="MDU48"/>
      <c r="MDV48"/>
      <c r="MDW48"/>
      <c r="MDX48"/>
      <c r="MDY48"/>
      <c r="MDZ48"/>
      <c r="MEA48"/>
      <c r="MEB48"/>
      <c r="MEC48"/>
      <c r="MED48"/>
      <c r="MEE48"/>
      <c r="MEF48"/>
      <c r="MEG48"/>
      <c r="MEH48"/>
      <c r="MEI48"/>
      <c r="MEJ48"/>
      <c r="MEK48"/>
      <c r="MEL48"/>
      <c r="MEM48"/>
      <c r="MEN48"/>
      <c r="MEO48"/>
      <c r="MEP48"/>
      <c r="MEQ48"/>
      <c r="MER48"/>
      <c r="MES48"/>
      <c r="MET48"/>
      <c r="MEU48"/>
      <c r="MEV48"/>
      <c r="MEW48"/>
      <c r="MEX48"/>
      <c r="MEY48"/>
      <c r="MEZ48"/>
      <c r="MFA48"/>
      <c r="MFB48"/>
      <c r="MFC48"/>
      <c r="MFD48"/>
      <c r="MFE48"/>
      <c r="MFF48"/>
      <c r="MFG48"/>
      <c r="MFH48"/>
      <c r="MFI48"/>
      <c r="MFJ48"/>
      <c r="MFK48"/>
      <c r="MFL48"/>
      <c r="MFM48"/>
      <c r="MFN48"/>
      <c r="MFO48"/>
      <c r="MFP48"/>
      <c r="MFQ48"/>
      <c r="MFR48"/>
      <c r="MFS48"/>
      <c r="MFT48"/>
      <c r="MFU48"/>
      <c r="MFV48"/>
      <c r="MFW48"/>
      <c r="MFX48"/>
      <c r="MFY48"/>
      <c r="MFZ48"/>
      <c r="MGA48"/>
      <c r="MGB48"/>
      <c r="MGC48"/>
      <c r="MGD48"/>
      <c r="MGE48"/>
      <c r="MGF48"/>
      <c r="MGG48"/>
      <c r="MGH48"/>
      <c r="MGI48"/>
      <c r="MGJ48"/>
      <c r="MGK48"/>
      <c r="MGL48"/>
      <c r="MGM48"/>
      <c r="MGN48"/>
      <c r="MGO48"/>
      <c r="MGP48"/>
      <c r="MGQ48"/>
      <c r="MGR48"/>
      <c r="MGS48"/>
      <c r="MGT48"/>
      <c r="MGU48"/>
      <c r="MGV48"/>
      <c r="MGW48"/>
      <c r="MGX48"/>
      <c r="MGY48"/>
      <c r="MGZ48"/>
      <c r="MHA48"/>
      <c r="MHB48"/>
      <c r="MHC48"/>
      <c r="MHD48"/>
      <c r="MHE48"/>
      <c r="MHF48"/>
      <c r="MHG48"/>
      <c r="MHH48"/>
      <c r="MHI48"/>
      <c r="MHJ48"/>
      <c r="MHK48"/>
      <c r="MHL48"/>
      <c r="MHM48"/>
      <c r="MHN48"/>
      <c r="MHO48"/>
      <c r="MHP48"/>
      <c r="MHQ48"/>
      <c r="MHR48"/>
      <c r="MHS48"/>
      <c r="MHT48"/>
      <c r="MHU48"/>
      <c r="MHV48"/>
      <c r="MHW48"/>
      <c r="MHX48"/>
      <c r="MHY48"/>
      <c r="MHZ48"/>
      <c r="MIA48"/>
      <c r="MIB48"/>
      <c r="MIC48"/>
      <c r="MID48"/>
      <c r="MIE48"/>
      <c r="MIF48"/>
      <c r="MIG48"/>
      <c r="MIH48"/>
      <c r="MII48"/>
      <c r="MIJ48"/>
      <c r="MIK48"/>
      <c r="MIL48"/>
      <c r="MIM48"/>
      <c r="MIN48"/>
      <c r="MIO48"/>
      <c r="MIP48"/>
      <c r="MIQ48"/>
      <c r="MIR48"/>
      <c r="MIS48"/>
      <c r="MIT48"/>
      <c r="MIU48"/>
      <c r="MIV48"/>
      <c r="MIW48"/>
      <c r="MIX48"/>
      <c r="MIY48"/>
      <c r="MIZ48"/>
      <c r="MJA48"/>
      <c r="MJB48"/>
      <c r="MJC48"/>
      <c r="MJD48"/>
      <c r="MJE48"/>
      <c r="MJF48"/>
      <c r="MJG48"/>
      <c r="MJH48"/>
      <c r="MJI48"/>
      <c r="MJJ48"/>
      <c r="MJK48"/>
      <c r="MJL48"/>
      <c r="MJM48"/>
      <c r="MJN48"/>
      <c r="MJO48"/>
      <c r="MJP48"/>
      <c r="MJQ48"/>
      <c r="MJR48"/>
      <c r="MJS48"/>
      <c r="MJT48"/>
      <c r="MJU48"/>
      <c r="MJV48"/>
      <c r="MJW48"/>
      <c r="MJX48"/>
      <c r="MJY48"/>
      <c r="MJZ48"/>
      <c r="MKA48"/>
      <c r="MKB48"/>
      <c r="MKC48"/>
      <c r="MKD48"/>
      <c r="MKE48"/>
      <c r="MKF48"/>
      <c r="MKG48"/>
      <c r="MKH48"/>
      <c r="MKI48"/>
      <c r="MKJ48"/>
      <c r="MKK48"/>
      <c r="MKL48"/>
      <c r="MKM48"/>
      <c r="MKN48"/>
      <c r="MKO48"/>
      <c r="MKP48"/>
      <c r="MKQ48"/>
      <c r="MKR48"/>
      <c r="MKS48"/>
      <c r="MKT48"/>
      <c r="MKU48"/>
      <c r="MKV48"/>
      <c r="MKW48"/>
      <c r="MKX48"/>
      <c r="MKY48"/>
      <c r="MKZ48"/>
      <c r="MLA48"/>
      <c r="MLB48"/>
      <c r="MLC48"/>
      <c r="MLD48"/>
      <c r="MLE48"/>
      <c r="MLF48"/>
      <c r="MLG48"/>
      <c r="MLH48"/>
      <c r="MLI48"/>
      <c r="MLJ48"/>
      <c r="MLK48"/>
      <c r="MLL48"/>
      <c r="MLM48"/>
      <c r="MLN48"/>
      <c r="MLO48"/>
      <c r="MLP48"/>
      <c r="MLQ48"/>
      <c r="MLR48"/>
      <c r="MLS48"/>
      <c r="MLT48"/>
      <c r="MLU48"/>
      <c r="MLV48"/>
      <c r="MLW48"/>
      <c r="MLX48"/>
      <c r="MLY48"/>
      <c r="MLZ48"/>
      <c r="MMA48"/>
      <c r="MMB48"/>
      <c r="MMC48"/>
      <c r="MMD48"/>
      <c r="MME48"/>
      <c r="MMF48"/>
      <c r="MMG48"/>
      <c r="MMH48"/>
      <c r="MMI48"/>
      <c r="MMJ48"/>
      <c r="MMK48"/>
      <c r="MML48"/>
      <c r="MMM48"/>
      <c r="MMN48"/>
      <c r="MMO48"/>
      <c r="MMP48"/>
      <c r="MMQ48"/>
      <c r="MMR48"/>
      <c r="MMS48"/>
      <c r="MMT48"/>
      <c r="MMU48"/>
      <c r="MMV48"/>
      <c r="MMW48"/>
      <c r="MMX48"/>
      <c r="MMY48"/>
      <c r="MMZ48"/>
      <c r="MNA48"/>
      <c r="MNB48"/>
      <c r="MNC48"/>
      <c r="MND48"/>
      <c r="MNE48"/>
      <c r="MNF48"/>
      <c r="MNG48"/>
      <c r="MNH48"/>
      <c r="MNI48"/>
      <c r="MNJ48"/>
      <c r="MNK48"/>
      <c r="MNL48"/>
      <c r="MNM48"/>
      <c r="MNN48"/>
      <c r="MNO48"/>
      <c r="MNP48"/>
      <c r="MNQ48"/>
      <c r="MNR48"/>
      <c r="MNS48"/>
      <c r="MNT48"/>
      <c r="MNU48"/>
      <c r="MNV48"/>
      <c r="MNW48"/>
      <c r="MNX48"/>
      <c r="MNY48"/>
      <c r="MNZ48"/>
      <c r="MOA48"/>
      <c r="MOB48"/>
      <c r="MOC48"/>
      <c r="MOD48"/>
      <c r="MOE48"/>
      <c r="MOF48"/>
      <c r="MOG48"/>
      <c r="MOH48"/>
      <c r="MOI48"/>
      <c r="MOJ48"/>
      <c r="MOK48"/>
      <c r="MOL48"/>
      <c r="MOM48"/>
      <c r="MON48"/>
      <c r="MOO48"/>
      <c r="MOP48"/>
      <c r="MOQ48"/>
      <c r="MOR48"/>
      <c r="MOS48"/>
      <c r="MOT48"/>
      <c r="MOU48"/>
      <c r="MOV48"/>
      <c r="MOW48"/>
      <c r="MOX48"/>
      <c r="MOY48"/>
      <c r="MOZ48"/>
      <c r="MPA48"/>
      <c r="MPB48"/>
      <c r="MPC48"/>
      <c r="MPD48"/>
      <c r="MPE48"/>
      <c r="MPF48"/>
      <c r="MPG48"/>
      <c r="MPH48"/>
      <c r="MPI48"/>
      <c r="MPJ48"/>
      <c r="MPK48"/>
      <c r="MPL48"/>
      <c r="MPM48"/>
      <c r="MPN48"/>
      <c r="MPO48"/>
      <c r="MPP48"/>
      <c r="MPQ48"/>
      <c r="MPR48"/>
      <c r="MPS48"/>
      <c r="MPT48"/>
      <c r="MPU48"/>
      <c r="MPV48"/>
      <c r="MPW48"/>
      <c r="MPX48"/>
      <c r="MPY48"/>
      <c r="MPZ48"/>
      <c r="MQA48"/>
      <c r="MQB48"/>
      <c r="MQC48"/>
      <c r="MQD48"/>
      <c r="MQE48"/>
      <c r="MQF48"/>
      <c r="MQG48"/>
      <c r="MQH48"/>
      <c r="MQI48"/>
      <c r="MQJ48"/>
      <c r="MQK48"/>
      <c r="MQL48"/>
      <c r="MQM48"/>
      <c r="MQN48"/>
      <c r="MQO48"/>
      <c r="MQP48"/>
      <c r="MQQ48"/>
      <c r="MQR48"/>
      <c r="MQS48"/>
      <c r="MQT48"/>
      <c r="MQU48"/>
      <c r="MQV48"/>
      <c r="MQW48"/>
      <c r="MQX48"/>
      <c r="MQY48"/>
      <c r="MQZ48"/>
      <c r="MRA48"/>
      <c r="MRB48"/>
      <c r="MRC48"/>
      <c r="MRD48"/>
      <c r="MRE48"/>
      <c r="MRF48"/>
      <c r="MRG48"/>
      <c r="MRH48"/>
      <c r="MRI48"/>
      <c r="MRJ48"/>
      <c r="MRK48"/>
      <c r="MRL48"/>
      <c r="MRM48"/>
      <c r="MRN48"/>
      <c r="MRO48"/>
      <c r="MRP48"/>
      <c r="MRQ48"/>
      <c r="MRR48"/>
      <c r="MRS48"/>
      <c r="MRT48"/>
      <c r="MRU48"/>
      <c r="MRV48"/>
      <c r="MRW48"/>
      <c r="MRX48"/>
      <c r="MRY48"/>
      <c r="MRZ48"/>
      <c r="MSA48"/>
      <c r="MSB48"/>
      <c r="MSC48"/>
      <c r="MSD48"/>
      <c r="MSE48"/>
      <c r="MSF48"/>
      <c r="MSG48"/>
      <c r="MSH48"/>
      <c r="MSI48"/>
      <c r="MSJ48"/>
      <c r="MSK48"/>
      <c r="MSL48"/>
      <c r="MSM48"/>
      <c r="MSN48"/>
      <c r="MSO48"/>
      <c r="MSP48"/>
      <c r="MSQ48"/>
      <c r="MSR48"/>
      <c r="MSS48"/>
      <c r="MST48"/>
      <c r="MSU48"/>
      <c r="MSV48"/>
      <c r="MSW48"/>
      <c r="MSX48"/>
      <c r="MSY48"/>
      <c r="MSZ48"/>
      <c r="MTA48"/>
      <c r="MTB48"/>
      <c r="MTC48"/>
      <c r="MTD48"/>
      <c r="MTE48"/>
      <c r="MTF48"/>
      <c r="MTG48"/>
      <c r="MTH48"/>
      <c r="MTI48"/>
      <c r="MTJ48"/>
      <c r="MTK48"/>
      <c r="MTL48"/>
      <c r="MTM48"/>
      <c r="MTN48"/>
      <c r="MTO48"/>
      <c r="MTP48"/>
      <c r="MTQ48"/>
      <c r="MTR48"/>
      <c r="MTS48"/>
      <c r="MTT48"/>
      <c r="MTU48"/>
      <c r="MTV48"/>
      <c r="MTW48"/>
      <c r="MTX48"/>
      <c r="MTY48"/>
      <c r="MTZ48"/>
      <c r="MUA48"/>
      <c r="MUB48"/>
      <c r="MUC48"/>
      <c r="MUD48"/>
      <c r="MUE48"/>
      <c r="MUF48"/>
      <c r="MUG48"/>
      <c r="MUH48"/>
      <c r="MUI48"/>
      <c r="MUJ48"/>
      <c r="MUK48"/>
      <c r="MUL48"/>
      <c r="MUM48"/>
      <c r="MUN48"/>
      <c r="MUO48"/>
      <c r="MUP48"/>
      <c r="MUQ48"/>
      <c r="MUR48"/>
      <c r="MUS48"/>
      <c r="MUT48"/>
      <c r="MUU48"/>
      <c r="MUV48"/>
      <c r="MUW48"/>
      <c r="MUX48"/>
      <c r="MUY48"/>
      <c r="MUZ48"/>
      <c r="MVA48"/>
      <c r="MVB48"/>
      <c r="MVC48"/>
      <c r="MVD48"/>
      <c r="MVE48"/>
      <c r="MVF48"/>
      <c r="MVG48"/>
      <c r="MVH48"/>
      <c r="MVI48"/>
      <c r="MVJ48"/>
      <c r="MVK48"/>
      <c r="MVL48"/>
      <c r="MVM48"/>
      <c r="MVN48"/>
      <c r="MVO48"/>
      <c r="MVP48"/>
      <c r="MVQ48"/>
      <c r="MVR48"/>
      <c r="MVS48"/>
      <c r="MVT48"/>
      <c r="MVU48"/>
      <c r="MVV48"/>
      <c r="MVW48"/>
      <c r="MVX48"/>
      <c r="MVY48"/>
      <c r="MVZ48"/>
      <c r="MWA48"/>
      <c r="MWB48"/>
      <c r="MWC48"/>
      <c r="MWD48"/>
      <c r="MWE48"/>
      <c r="MWF48"/>
      <c r="MWG48"/>
      <c r="MWH48"/>
      <c r="MWI48"/>
      <c r="MWJ48"/>
      <c r="MWK48"/>
      <c r="MWL48"/>
      <c r="MWM48"/>
      <c r="MWN48"/>
      <c r="MWO48"/>
      <c r="MWP48"/>
      <c r="MWQ48"/>
      <c r="MWR48"/>
      <c r="MWS48"/>
      <c r="MWT48"/>
      <c r="MWU48"/>
      <c r="MWV48"/>
      <c r="MWW48"/>
      <c r="MWX48"/>
      <c r="MWY48"/>
      <c r="MWZ48"/>
      <c r="MXA48"/>
      <c r="MXB48"/>
      <c r="MXC48"/>
      <c r="MXD48"/>
      <c r="MXE48"/>
      <c r="MXF48"/>
      <c r="MXG48"/>
      <c r="MXH48"/>
      <c r="MXI48"/>
      <c r="MXJ48"/>
      <c r="MXK48"/>
      <c r="MXL48"/>
      <c r="MXM48"/>
      <c r="MXN48"/>
      <c r="MXO48"/>
      <c r="MXP48"/>
      <c r="MXQ48"/>
      <c r="MXR48"/>
      <c r="MXS48"/>
      <c r="MXT48"/>
      <c r="MXU48"/>
      <c r="MXV48"/>
      <c r="MXW48"/>
      <c r="MXX48"/>
      <c r="MXY48"/>
      <c r="MXZ48"/>
      <c r="MYA48"/>
      <c r="MYB48"/>
      <c r="MYC48"/>
      <c r="MYD48"/>
      <c r="MYE48"/>
      <c r="MYF48"/>
      <c r="MYG48"/>
      <c r="MYH48"/>
      <c r="MYI48"/>
      <c r="MYJ48"/>
      <c r="MYK48"/>
      <c r="MYL48"/>
      <c r="MYM48"/>
      <c r="MYN48"/>
      <c r="MYO48"/>
      <c r="MYP48"/>
      <c r="MYQ48"/>
      <c r="MYR48"/>
      <c r="MYS48"/>
      <c r="MYT48"/>
      <c r="MYU48"/>
      <c r="MYV48"/>
      <c r="MYW48"/>
      <c r="MYX48"/>
      <c r="MYY48"/>
      <c r="MYZ48"/>
      <c r="MZA48"/>
      <c r="MZB48"/>
      <c r="MZC48"/>
      <c r="MZD48"/>
      <c r="MZE48"/>
      <c r="MZF48"/>
      <c r="MZG48"/>
      <c r="MZH48"/>
      <c r="MZI48"/>
      <c r="MZJ48"/>
      <c r="MZK48"/>
      <c r="MZL48"/>
      <c r="MZM48"/>
      <c r="MZN48"/>
      <c r="MZO48"/>
      <c r="MZP48"/>
      <c r="MZQ48"/>
      <c r="MZR48"/>
      <c r="MZS48"/>
      <c r="MZT48"/>
      <c r="MZU48"/>
      <c r="MZV48"/>
      <c r="MZW48"/>
      <c r="MZX48"/>
      <c r="MZY48"/>
      <c r="MZZ48"/>
      <c r="NAA48"/>
      <c r="NAB48"/>
      <c r="NAC48"/>
      <c r="NAD48"/>
      <c r="NAE48"/>
      <c r="NAF48"/>
      <c r="NAG48"/>
      <c r="NAH48"/>
      <c r="NAI48"/>
      <c r="NAJ48"/>
      <c r="NAK48"/>
      <c r="NAL48"/>
      <c r="NAM48"/>
      <c r="NAN48"/>
      <c r="NAO48"/>
      <c r="NAP48"/>
      <c r="NAQ48"/>
      <c r="NAR48"/>
      <c r="NAS48"/>
      <c r="NAT48"/>
      <c r="NAU48"/>
      <c r="NAV48"/>
      <c r="NAW48"/>
      <c r="NAX48"/>
      <c r="NAY48"/>
      <c r="NAZ48"/>
      <c r="NBA48"/>
      <c r="NBB48"/>
      <c r="NBC48"/>
      <c r="NBD48"/>
      <c r="NBE48"/>
      <c r="NBF48"/>
      <c r="NBG48"/>
      <c r="NBH48"/>
      <c r="NBI48"/>
      <c r="NBJ48"/>
      <c r="NBK48"/>
      <c r="NBL48"/>
      <c r="NBM48"/>
      <c r="NBN48"/>
      <c r="NBO48"/>
      <c r="NBP48"/>
      <c r="NBQ48"/>
      <c r="NBR48"/>
      <c r="NBS48"/>
      <c r="NBT48"/>
      <c r="NBU48"/>
      <c r="NBV48"/>
      <c r="NBW48"/>
      <c r="NBX48"/>
      <c r="NBY48"/>
      <c r="NBZ48"/>
      <c r="NCA48"/>
      <c r="NCB48"/>
      <c r="NCC48"/>
      <c r="NCD48"/>
      <c r="NCE48"/>
      <c r="NCF48"/>
      <c r="NCG48"/>
      <c r="NCH48"/>
      <c r="NCI48"/>
      <c r="NCJ48"/>
      <c r="NCK48"/>
      <c r="NCL48"/>
      <c r="NCM48"/>
      <c r="NCN48"/>
      <c r="NCO48"/>
      <c r="NCP48"/>
      <c r="NCQ48"/>
      <c r="NCR48"/>
      <c r="NCS48"/>
      <c r="NCT48"/>
      <c r="NCU48"/>
      <c r="NCV48"/>
      <c r="NCW48"/>
      <c r="NCX48"/>
      <c r="NCY48"/>
      <c r="NCZ48"/>
      <c r="NDA48"/>
      <c r="NDB48"/>
      <c r="NDC48"/>
      <c r="NDD48"/>
      <c r="NDE48"/>
      <c r="NDF48"/>
      <c r="NDG48"/>
      <c r="NDH48"/>
      <c r="NDI48"/>
      <c r="NDJ48"/>
      <c r="NDK48"/>
      <c r="NDL48"/>
      <c r="NDM48"/>
      <c r="NDN48"/>
      <c r="NDO48"/>
      <c r="NDP48"/>
      <c r="NDQ48"/>
      <c r="NDR48"/>
      <c r="NDS48"/>
      <c r="NDT48"/>
      <c r="NDU48"/>
      <c r="NDV48"/>
      <c r="NDW48"/>
      <c r="NDX48"/>
      <c r="NDY48"/>
      <c r="NDZ48"/>
      <c r="NEA48"/>
      <c r="NEB48"/>
      <c r="NEC48"/>
      <c r="NED48"/>
      <c r="NEE48"/>
      <c r="NEF48"/>
      <c r="NEG48"/>
      <c r="NEH48"/>
      <c r="NEI48"/>
      <c r="NEJ48"/>
      <c r="NEK48"/>
      <c r="NEL48"/>
      <c r="NEM48"/>
      <c r="NEN48"/>
      <c r="NEO48"/>
      <c r="NEP48"/>
      <c r="NEQ48"/>
      <c r="NER48"/>
      <c r="NES48"/>
      <c r="NET48"/>
      <c r="NEU48"/>
      <c r="NEV48"/>
      <c r="NEW48"/>
      <c r="NEX48"/>
      <c r="NEY48"/>
      <c r="NEZ48"/>
      <c r="NFA48"/>
      <c r="NFB48"/>
      <c r="NFC48"/>
      <c r="NFD48"/>
      <c r="NFE48"/>
      <c r="NFF48"/>
      <c r="NFG48"/>
      <c r="NFH48"/>
      <c r="NFI48"/>
      <c r="NFJ48"/>
      <c r="NFK48"/>
      <c r="NFL48"/>
      <c r="NFM48"/>
      <c r="NFN48"/>
      <c r="NFO48"/>
      <c r="NFP48"/>
      <c r="NFQ48"/>
      <c r="NFR48"/>
      <c r="NFS48"/>
      <c r="NFT48"/>
      <c r="NFU48"/>
      <c r="NFV48"/>
      <c r="NFW48"/>
      <c r="NFX48"/>
      <c r="NFY48"/>
      <c r="NFZ48"/>
      <c r="NGA48"/>
      <c r="NGB48"/>
      <c r="NGC48"/>
      <c r="NGD48"/>
      <c r="NGE48"/>
      <c r="NGF48"/>
      <c r="NGG48"/>
      <c r="NGH48"/>
      <c r="NGI48"/>
      <c r="NGJ48"/>
      <c r="NGK48"/>
      <c r="NGL48"/>
      <c r="NGM48"/>
      <c r="NGN48"/>
      <c r="NGO48"/>
      <c r="NGP48"/>
      <c r="NGQ48"/>
      <c r="NGR48"/>
      <c r="NGS48"/>
      <c r="NGT48"/>
      <c r="NGU48"/>
      <c r="NGV48"/>
      <c r="NGW48"/>
      <c r="NGX48"/>
      <c r="NGY48"/>
      <c r="NGZ48"/>
      <c r="NHA48"/>
      <c r="NHB48"/>
      <c r="NHC48"/>
      <c r="NHD48"/>
      <c r="NHE48"/>
      <c r="NHF48"/>
      <c r="NHG48"/>
      <c r="NHH48"/>
      <c r="NHI48"/>
      <c r="NHJ48"/>
      <c r="NHK48"/>
      <c r="NHL48"/>
      <c r="NHM48"/>
      <c r="NHN48"/>
      <c r="NHO48"/>
      <c r="NHP48"/>
      <c r="NHQ48"/>
      <c r="NHR48"/>
      <c r="NHS48"/>
      <c r="NHT48"/>
      <c r="NHU48"/>
      <c r="NHV48"/>
      <c r="NHW48"/>
      <c r="NHX48"/>
      <c r="NHY48"/>
      <c r="NHZ48"/>
      <c r="NIA48"/>
      <c r="NIB48"/>
      <c r="NIC48"/>
      <c r="NID48"/>
      <c r="NIE48"/>
      <c r="NIF48"/>
      <c r="NIG48"/>
      <c r="NIH48"/>
      <c r="NII48"/>
      <c r="NIJ48"/>
      <c r="NIK48"/>
      <c r="NIL48"/>
      <c r="NIM48"/>
      <c r="NIN48"/>
      <c r="NIO48"/>
      <c r="NIP48"/>
      <c r="NIQ48"/>
      <c r="NIR48"/>
      <c r="NIS48"/>
      <c r="NIT48"/>
      <c r="NIU48"/>
      <c r="NIV48"/>
      <c r="NIW48"/>
      <c r="NIX48"/>
      <c r="NIY48"/>
      <c r="NIZ48"/>
      <c r="NJA48"/>
      <c r="NJB48"/>
      <c r="NJC48"/>
      <c r="NJD48"/>
      <c r="NJE48"/>
      <c r="NJF48"/>
      <c r="NJG48"/>
      <c r="NJH48"/>
      <c r="NJI48"/>
      <c r="NJJ48"/>
      <c r="NJK48"/>
      <c r="NJL48"/>
      <c r="NJM48"/>
      <c r="NJN48"/>
      <c r="NJO48"/>
      <c r="NJP48"/>
      <c r="NJQ48"/>
      <c r="NJR48"/>
      <c r="NJS48"/>
      <c r="NJT48"/>
      <c r="NJU48"/>
      <c r="NJV48"/>
      <c r="NJW48"/>
      <c r="NJX48"/>
      <c r="NJY48"/>
      <c r="NJZ48"/>
      <c r="NKA48"/>
      <c r="NKB48"/>
      <c r="NKC48"/>
      <c r="NKD48"/>
      <c r="NKE48"/>
      <c r="NKF48"/>
      <c r="NKG48"/>
      <c r="NKH48"/>
      <c r="NKI48"/>
      <c r="NKJ48"/>
      <c r="NKK48"/>
      <c r="NKL48"/>
      <c r="NKM48"/>
      <c r="NKN48"/>
      <c r="NKO48"/>
      <c r="NKP48"/>
      <c r="NKQ48"/>
      <c r="NKR48"/>
      <c r="NKS48"/>
      <c r="NKT48"/>
      <c r="NKU48"/>
      <c r="NKV48"/>
      <c r="NKW48"/>
      <c r="NKX48"/>
      <c r="NKY48"/>
      <c r="NKZ48"/>
      <c r="NLA48"/>
      <c r="NLB48"/>
      <c r="NLC48"/>
      <c r="NLD48"/>
      <c r="NLE48"/>
      <c r="NLF48"/>
      <c r="NLG48"/>
      <c r="NLH48"/>
      <c r="NLI48"/>
      <c r="NLJ48"/>
      <c r="NLK48"/>
      <c r="NLL48"/>
      <c r="NLM48"/>
      <c r="NLN48"/>
      <c r="NLO48"/>
      <c r="NLP48"/>
      <c r="NLQ48"/>
      <c r="NLR48"/>
      <c r="NLS48"/>
      <c r="NLT48"/>
      <c r="NLU48"/>
      <c r="NLV48"/>
      <c r="NLW48"/>
      <c r="NLX48"/>
      <c r="NLY48"/>
      <c r="NLZ48"/>
      <c r="NMA48"/>
      <c r="NMB48"/>
      <c r="NMC48"/>
      <c r="NMD48"/>
      <c r="NME48"/>
      <c r="NMF48"/>
      <c r="NMG48"/>
      <c r="NMH48"/>
      <c r="NMI48"/>
      <c r="NMJ48"/>
      <c r="NMK48"/>
      <c r="NML48"/>
      <c r="NMM48"/>
      <c r="NMN48"/>
      <c r="NMO48"/>
      <c r="NMP48"/>
      <c r="NMQ48"/>
      <c r="NMR48"/>
      <c r="NMS48"/>
      <c r="NMT48"/>
      <c r="NMU48"/>
      <c r="NMV48"/>
      <c r="NMW48"/>
      <c r="NMX48"/>
      <c r="NMY48"/>
      <c r="NMZ48"/>
      <c r="NNA48"/>
      <c r="NNB48"/>
      <c r="NNC48"/>
      <c r="NND48"/>
      <c r="NNE48"/>
      <c r="NNF48"/>
      <c r="NNG48"/>
      <c r="NNH48"/>
      <c r="NNI48"/>
      <c r="NNJ48"/>
      <c r="NNK48"/>
      <c r="NNL48"/>
      <c r="NNM48"/>
      <c r="NNN48"/>
      <c r="NNO48"/>
      <c r="NNP48"/>
      <c r="NNQ48"/>
      <c r="NNR48"/>
      <c r="NNS48"/>
      <c r="NNT48"/>
      <c r="NNU48"/>
      <c r="NNV48"/>
      <c r="NNW48"/>
      <c r="NNX48"/>
      <c r="NNY48"/>
      <c r="NNZ48"/>
      <c r="NOA48"/>
      <c r="NOB48"/>
      <c r="NOC48"/>
      <c r="NOD48"/>
      <c r="NOE48"/>
      <c r="NOF48"/>
      <c r="NOG48"/>
      <c r="NOH48"/>
      <c r="NOI48"/>
      <c r="NOJ48"/>
      <c r="NOK48"/>
      <c r="NOL48"/>
      <c r="NOM48"/>
      <c r="NON48"/>
      <c r="NOO48"/>
      <c r="NOP48"/>
      <c r="NOQ48"/>
      <c r="NOR48"/>
      <c r="NOS48"/>
      <c r="NOT48"/>
      <c r="NOU48"/>
      <c r="NOV48"/>
      <c r="NOW48"/>
      <c r="NOX48"/>
      <c r="NOY48"/>
      <c r="NOZ48"/>
      <c r="NPA48"/>
      <c r="NPB48"/>
      <c r="NPC48"/>
      <c r="NPD48"/>
      <c r="NPE48"/>
      <c r="NPF48"/>
      <c r="NPG48"/>
      <c r="NPH48"/>
      <c r="NPI48"/>
      <c r="NPJ48"/>
      <c r="NPK48"/>
      <c r="NPL48"/>
      <c r="NPM48"/>
      <c r="NPN48"/>
      <c r="NPO48"/>
      <c r="NPP48"/>
      <c r="NPQ48"/>
      <c r="NPR48"/>
      <c r="NPS48"/>
      <c r="NPT48"/>
      <c r="NPU48"/>
      <c r="NPV48"/>
      <c r="NPW48"/>
      <c r="NPX48"/>
      <c r="NPY48"/>
      <c r="NPZ48"/>
      <c r="NQA48"/>
      <c r="NQB48"/>
      <c r="NQC48"/>
      <c r="NQD48"/>
      <c r="NQE48"/>
      <c r="NQF48"/>
      <c r="NQG48"/>
      <c r="NQH48"/>
      <c r="NQI48"/>
      <c r="NQJ48"/>
      <c r="NQK48"/>
      <c r="NQL48"/>
      <c r="NQM48"/>
      <c r="NQN48"/>
      <c r="NQO48"/>
      <c r="NQP48"/>
      <c r="NQQ48"/>
      <c r="NQR48"/>
      <c r="NQS48"/>
      <c r="NQT48"/>
      <c r="NQU48"/>
      <c r="NQV48"/>
      <c r="NQW48"/>
      <c r="NQX48"/>
      <c r="NQY48"/>
      <c r="NQZ48"/>
      <c r="NRA48"/>
      <c r="NRB48"/>
      <c r="NRC48"/>
      <c r="NRD48"/>
      <c r="NRE48"/>
      <c r="NRF48"/>
      <c r="NRG48"/>
      <c r="NRH48"/>
      <c r="NRI48"/>
      <c r="NRJ48"/>
      <c r="NRK48"/>
      <c r="NRL48"/>
      <c r="NRM48"/>
      <c r="NRN48"/>
      <c r="NRO48"/>
      <c r="NRP48"/>
      <c r="NRQ48"/>
      <c r="NRR48"/>
      <c r="NRS48"/>
      <c r="NRT48"/>
      <c r="NRU48"/>
      <c r="NRV48"/>
      <c r="NRW48"/>
      <c r="NRX48"/>
      <c r="NRY48"/>
      <c r="NRZ48"/>
      <c r="NSA48"/>
      <c r="NSB48"/>
      <c r="NSC48"/>
      <c r="NSD48"/>
      <c r="NSE48"/>
      <c r="NSF48"/>
      <c r="NSG48"/>
      <c r="NSH48"/>
      <c r="NSI48"/>
      <c r="NSJ48"/>
      <c r="NSK48"/>
      <c r="NSL48"/>
      <c r="NSM48"/>
      <c r="NSN48"/>
      <c r="NSO48"/>
      <c r="NSP48"/>
      <c r="NSQ48"/>
      <c r="NSR48"/>
      <c r="NSS48"/>
      <c r="NST48"/>
      <c r="NSU48"/>
      <c r="NSV48"/>
      <c r="NSW48"/>
      <c r="NSX48"/>
      <c r="NSY48"/>
      <c r="NSZ48"/>
      <c r="NTA48"/>
      <c r="NTB48"/>
      <c r="NTC48"/>
      <c r="NTD48"/>
      <c r="NTE48"/>
      <c r="NTF48"/>
      <c r="NTG48"/>
      <c r="NTH48"/>
      <c r="NTI48"/>
      <c r="NTJ48"/>
      <c r="NTK48"/>
      <c r="NTL48"/>
      <c r="NTM48"/>
      <c r="NTN48"/>
      <c r="NTO48"/>
      <c r="NTP48"/>
      <c r="NTQ48"/>
      <c r="NTR48"/>
      <c r="NTS48"/>
      <c r="NTT48"/>
      <c r="NTU48"/>
      <c r="NTV48"/>
      <c r="NTW48"/>
      <c r="NTX48"/>
      <c r="NTY48"/>
      <c r="NTZ48"/>
      <c r="NUA48"/>
      <c r="NUB48"/>
      <c r="NUC48"/>
      <c r="NUD48"/>
      <c r="NUE48"/>
      <c r="NUF48"/>
      <c r="NUG48"/>
      <c r="NUH48"/>
      <c r="NUI48"/>
      <c r="NUJ48"/>
      <c r="NUK48"/>
      <c r="NUL48"/>
      <c r="NUM48"/>
      <c r="NUN48"/>
      <c r="NUO48"/>
      <c r="NUP48"/>
      <c r="NUQ48"/>
      <c r="NUR48"/>
      <c r="NUS48"/>
      <c r="NUT48"/>
      <c r="NUU48"/>
      <c r="NUV48"/>
      <c r="NUW48"/>
      <c r="NUX48"/>
      <c r="NUY48"/>
      <c r="NUZ48"/>
      <c r="NVA48"/>
      <c r="NVB48"/>
      <c r="NVC48"/>
      <c r="NVD48"/>
      <c r="NVE48"/>
      <c r="NVF48"/>
      <c r="NVG48"/>
      <c r="NVH48"/>
      <c r="NVI48"/>
      <c r="NVJ48"/>
      <c r="NVK48"/>
      <c r="NVL48"/>
      <c r="NVM48"/>
      <c r="NVN48"/>
      <c r="NVO48"/>
      <c r="NVP48"/>
      <c r="NVQ48"/>
      <c r="NVR48"/>
      <c r="NVS48"/>
      <c r="NVT48"/>
      <c r="NVU48"/>
      <c r="NVV48"/>
      <c r="NVW48"/>
      <c r="NVX48"/>
      <c r="NVY48"/>
      <c r="NVZ48"/>
      <c r="NWA48"/>
      <c r="NWB48"/>
      <c r="NWC48"/>
      <c r="NWD48"/>
      <c r="NWE48"/>
      <c r="NWF48"/>
      <c r="NWG48"/>
      <c r="NWH48"/>
      <c r="NWI48"/>
      <c r="NWJ48"/>
      <c r="NWK48"/>
      <c r="NWL48"/>
      <c r="NWM48"/>
      <c r="NWN48"/>
      <c r="NWO48"/>
      <c r="NWP48"/>
      <c r="NWQ48"/>
      <c r="NWR48"/>
      <c r="NWS48"/>
      <c r="NWT48"/>
      <c r="NWU48"/>
      <c r="NWV48"/>
      <c r="NWW48"/>
      <c r="NWX48"/>
      <c r="NWY48"/>
      <c r="NWZ48"/>
      <c r="NXA48"/>
      <c r="NXB48"/>
      <c r="NXC48"/>
      <c r="NXD48"/>
      <c r="NXE48"/>
      <c r="NXF48"/>
      <c r="NXG48"/>
      <c r="NXH48"/>
      <c r="NXI48"/>
      <c r="NXJ48"/>
      <c r="NXK48"/>
      <c r="NXL48"/>
      <c r="NXM48"/>
      <c r="NXN48"/>
      <c r="NXO48"/>
      <c r="NXP48"/>
      <c r="NXQ48"/>
      <c r="NXR48"/>
      <c r="NXS48"/>
      <c r="NXT48"/>
      <c r="NXU48"/>
      <c r="NXV48"/>
      <c r="NXW48"/>
      <c r="NXX48"/>
      <c r="NXY48"/>
      <c r="NXZ48"/>
      <c r="NYA48"/>
      <c r="NYB48"/>
      <c r="NYC48"/>
      <c r="NYD48"/>
      <c r="NYE48"/>
      <c r="NYF48"/>
      <c r="NYG48"/>
      <c r="NYH48"/>
      <c r="NYI48"/>
      <c r="NYJ48"/>
      <c r="NYK48"/>
      <c r="NYL48"/>
      <c r="NYM48"/>
      <c r="NYN48"/>
      <c r="NYO48"/>
      <c r="NYP48"/>
      <c r="NYQ48"/>
      <c r="NYR48"/>
      <c r="NYS48"/>
      <c r="NYT48"/>
      <c r="NYU48"/>
      <c r="NYV48"/>
      <c r="NYW48"/>
      <c r="NYX48"/>
      <c r="NYY48"/>
      <c r="NYZ48"/>
      <c r="NZA48"/>
      <c r="NZB48"/>
      <c r="NZC48"/>
      <c r="NZD48"/>
      <c r="NZE48"/>
      <c r="NZF48"/>
      <c r="NZG48"/>
      <c r="NZH48"/>
      <c r="NZI48"/>
      <c r="NZJ48"/>
      <c r="NZK48"/>
      <c r="NZL48"/>
      <c r="NZM48"/>
      <c r="NZN48"/>
      <c r="NZO48"/>
      <c r="NZP48"/>
      <c r="NZQ48"/>
      <c r="NZR48"/>
      <c r="NZS48"/>
      <c r="NZT48"/>
      <c r="NZU48"/>
      <c r="NZV48"/>
      <c r="NZW48"/>
      <c r="NZX48"/>
      <c r="NZY48"/>
      <c r="NZZ48"/>
      <c r="OAA48"/>
      <c r="OAB48"/>
      <c r="OAC48"/>
      <c r="OAD48"/>
      <c r="OAE48"/>
      <c r="OAF48"/>
      <c r="OAG48"/>
      <c r="OAH48"/>
      <c r="OAI48"/>
      <c r="OAJ48"/>
      <c r="OAK48"/>
      <c r="OAL48"/>
      <c r="OAM48"/>
      <c r="OAN48"/>
      <c r="OAO48"/>
      <c r="OAP48"/>
      <c r="OAQ48"/>
      <c r="OAR48"/>
      <c r="OAS48"/>
      <c r="OAT48"/>
      <c r="OAU48"/>
      <c r="OAV48"/>
      <c r="OAW48"/>
      <c r="OAX48"/>
      <c r="OAY48"/>
      <c r="OAZ48"/>
      <c r="OBA48"/>
      <c r="OBB48"/>
      <c r="OBC48"/>
      <c r="OBD48"/>
      <c r="OBE48"/>
      <c r="OBF48"/>
      <c r="OBG48"/>
      <c r="OBH48"/>
      <c r="OBI48"/>
      <c r="OBJ48"/>
      <c r="OBK48"/>
      <c r="OBL48"/>
      <c r="OBM48"/>
      <c r="OBN48"/>
      <c r="OBO48"/>
      <c r="OBP48"/>
      <c r="OBQ48"/>
      <c r="OBR48"/>
      <c r="OBS48"/>
      <c r="OBT48"/>
      <c r="OBU48"/>
      <c r="OBV48"/>
      <c r="OBW48"/>
      <c r="OBX48"/>
      <c r="OBY48"/>
      <c r="OBZ48"/>
      <c r="OCA48"/>
      <c r="OCB48"/>
      <c r="OCC48"/>
      <c r="OCD48"/>
      <c r="OCE48"/>
      <c r="OCF48"/>
      <c r="OCG48"/>
      <c r="OCH48"/>
      <c r="OCI48"/>
      <c r="OCJ48"/>
      <c r="OCK48"/>
      <c r="OCL48"/>
      <c r="OCM48"/>
      <c r="OCN48"/>
      <c r="OCO48"/>
      <c r="OCP48"/>
      <c r="OCQ48"/>
      <c r="OCR48"/>
      <c r="OCS48"/>
      <c r="OCT48"/>
      <c r="OCU48"/>
      <c r="OCV48"/>
      <c r="OCW48"/>
      <c r="OCX48"/>
      <c r="OCY48"/>
      <c r="OCZ48"/>
      <c r="ODA48"/>
      <c r="ODB48"/>
      <c r="ODC48"/>
      <c r="ODD48"/>
      <c r="ODE48"/>
      <c r="ODF48"/>
      <c r="ODG48"/>
      <c r="ODH48"/>
      <c r="ODI48"/>
      <c r="ODJ48"/>
      <c r="ODK48"/>
      <c r="ODL48"/>
      <c r="ODM48"/>
      <c r="ODN48"/>
      <c r="ODO48"/>
      <c r="ODP48"/>
      <c r="ODQ48"/>
      <c r="ODR48"/>
      <c r="ODS48"/>
      <c r="ODT48"/>
      <c r="ODU48"/>
      <c r="ODV48"/>
      <c r="ODW48"/>
      <c r="ODX48"/>
      <c r="ODY48"/>
      <c r="ODZ48"/>
      <c r="OEA48"/>
      <c r="OEB48"/>
      <c r="OEC48"/>
      <c r="OED48"/>
      <c r="OEE48"/>
      <c r="OEF48"/>
      <c r="OEG48"/>
      <c r="OEH48"/>
      <c r="OEI48"/>
      <c r="OEJ48"/>
      <c r="OEK48"/>
      <c r="OEL48"/>
      <c r="OEM48"/>
      <c r="OEN48"/>
      <c r="OEO48"/>
      <c r="OEP48"/>
      <c r="OEQ48"/>
      <c r="OER48"/>
      <c r="OES48"/>
      <c r="OET48"/>
      <c r="OEU48"/>
      <c r="OEV48"/>
      <c r="OEW48"/>
      <c r="OEX48"/>
      <c r="OEY48"/>
      <c r="OEZ48"/>
      <c r="OFA48"/>
      <c r="OFB48"/>
      <c r="OFC48"/>
      <c r="OFD48"/>
      <c r="OFE48"/>
      <c r="OFF48"/>
      <c r="OFG48"/>
      <c r="OFH48"/>
      <c r="OFI48"/>
      <c r="OFJ48"/>
      <c r="OFK48"/>
      <c r="OFL48"/>
      <c r="OFM48"/>
      <c r="OFN48"/>
      <c r="OFO48"/>
      <c r="OFP48"/>
      <c r="OFQ48"/>
      <c r="OFR48"/>
      <c r="OFS48"/>
      <c r="OFT48"/>
      <c r="OFU48"/>
      <c r="OFV48"/>
      <c r="OFW48"/>
      <c r="OFX48"/>
      <c r="OFY48"/>
      <c r="OFZ48"/>
      <c r="OGA48"/>
      <c r="OGB48"/>
      <c r="OGC48"/>
      <c r="OGD48"/>
      <c r="OGE48"/>
      <c r="OGF48"/>
      <c r="OGG48"/>
      <c r="OGH48"/>
      <c r="OGI48"/>
      <c r="OGJ48"/>
      <c r="OGK48"/>
      <c r="OGL48"/>
      <c r="OGM48"/>
      <c r="OGN48"/>
      <c r="OGO48"/>
      <c r="OGP48"/>
      <c r="OGQ48"/>
      <c r="OGR48"/>
      <c r="OGS48"/>
      <c r="OGT48"/>
      <c r="OGU48"/>
      <c r="OGV48"/>
      <c r="OGW48"/>
      <c r="OGX48"/>
      <c r="OGY48"/>
      <c r="OGZ48"/>
      <c r="OHA48"/>
      <c r="OHB48"/>
      <c r="OHC48"/>
      <c r="OHD48"/>
      <c r="OHE48"/>
      <c r="OHF48"/>
      <c r="OHG48"/>
      <c r="OHH48"/>
      <c r="OHI48"/>
      <c r="OHJ48"/>
      <c r="OHK48"/>
      <c r="OHL48"/>
      <c r="OHM48"/>
      <c r="OHN48"/>
      <c r="OHO48"/>
      <c r="OHP48"/>
      <c r="OHQ48"/>
      <c r="OHR48"/>
      <c r="OHS48"/>
      <c r="OHT48"/>
      <c r="OHU48"/>
      <c r="OHV48"/>
      <c r="OHW48"/>
      <c r="OHX48"/>
      <c r="OHY48"/>
      <c r="OHZ48"/>
      <c r="OIA48"/>
      <c r="OIB48"/>
      <c r="OIC48"/>
      <c r="OID48"/>
      <c r="OIE48"/>
      <c r="OIF48"/>
      <c r="OIG48"/>
      <c r="OIH48"/>
      <c r="OII48"/>
      <c r="OIJ48"/>
      <c r="OIK48"/>
      <c r="OIL48"/>
      <c r="OIM48"/>
      <c r="OIN48"/>
      <c r="OIO48"/>
      <c r="OIP48"/>
      <c r="OIQ48"/>
      <c r="OIR48"/>
      <c r="OIS48"/>
      <c r="OIT48"/>
      <c r="OIU48"/>
      <c r="OIV48"/>
      <c r="OIW48"/>
      <c r="OIX48"/>
      <c r="OIY48"/>
      <c r="OIZ48"/>
      <c r="OJA48"/>
      <c r="OJB48"/>
      <c r="OJC48"/>
      <c r="OJD48"/>
      <c r="OJE48"/>
      <c r="OJF48"/>
      <c r="OJG48"/>
      <c r="OJH48"/>
      <c r="OJI48"/>
      <c r="OJJ48"/>
      <c r="OJK48"/>
      <c r="OJL48"/>
      <c r="OJM48"/>
      <c r="OJN48"/>
      <c r="OJO48"/>
      <c r="OJP48"/>
      <c r="OJQ48"/>
      <c r="OJR48"/>
      <c r="OJS48"/>
      <c r="OJT48"/>
      <c r="OJU48"/>
      <c r="OJV48"/>
      <c r="OJW48"/>
      <c r="OJX48"/>
      <c r="OJY48"/>
      <c r="OJZ48"/>
      <c r="OKA48"/>
      <c r="OKB48"/>
      <c r="OKC48"/>
      <c r="OKD48"/>
      <c r="OKE48"/>
      <c r="OKF48"/>
      <c r="OKG48"/>
      <c r="OKH48"/>
      <c r="OKI48"/>
      <c r="OKJ48"/>
      <c r="OKK48"/>
      <c r="OKL48"/>
      <c r="OKM48"/>
      <c r="OKN48"/>
      <c r="OKO48"/>
      <c r="OKP48"/>
      <c r="OKQ48"/>
      <c r="OKR48"/>
      <c r="OKS48"/>
      <c r="OKT48"/>
      <c r="OKU48"/>
      <c r="OKV48"/>
      <c r="OKW48"/>
      <c r="OKX48"/>
      <c r="OKY48"/>
      <c r="OKZ48"/>
      <c r="OLA48"/>
      <c r="OLB48"/>
      <c r="OLC48"/>
      <c r="OLD48"/>
      <c r="OLE48"/>
      <c r="OLF48"/>
      <c r="OLG48"/>
      <c r="OLH48"/>
      <c r="OLI48"/>
      <c r="OLJ48"/>
      <c r="OLK48"/>
      <c r="OLL48"/>
      <c r="OLM48"/>
      <c r="OLN48"/>
      <c r="OLO48"/>
      <c r="OLP48"/>
      <c r="OLQ48"/>
      <c r="OLR48"/>
      <c r="OLS48"/>
      <c r="OLT48"/>
      <c r="OLU48"/>
      <c r="OLV48"/>
      <c r="OLW48"/>
      <c r="OLX48"/>
      <c r="OLY48"/>
      <c r="OLZ48"/>
      <c r="OMA48"/>
      <c r="OMB48"/>
      <c r="OMC48"/>
      <c r="OMD48"/>
      <c r="OME48"/>
      <c r="OMF48"/>
      <c r="OMG48"/>
      <c r="OMH48"/>
      <c r="OMI48"/>
      <c r="OMJ48"/>
      <c r="OMK48"/>
      <c r="OML48"/>
      <c r="OMM48"/>
      <c r="OMN48"/>
      <c r="OMO48"/>
      <c r="OMP48"/>
      <c r="OMQ48"/>
      <c r="OMR48"/>
      <c r="OMS48"/>
      <c r="OMT48"/>
      <c r="OMU48"/>
      <c r="OMV48"/>
      <c r="OMW48"/>
      <c r="OMX48"/>
      <c r="OMY48"/>
      <c r="OMZ48"/>
      <c r="ONA48"/>
      <c r="ONB48"/>
      <c r="ONC48"/>
      <c r="OND48"/>
      <c r="ONE48"/>
      <c r="ONF48"/>
      <c r="ONG48"/>
      <c r="ONH48"/>
      <c r="ONI48"/>
      <c r="ONJ48"/>
      <c r="ONK48"/>
      <c r="ONL48"/>
      <c r="ONM48"/>
      <c r="ONN48"/>
      <c r="ONO48"/>
      <c r="ONP48"/>
      <c r="ONQ48"/>
      <c r="ONR48"/>
      <c r="ONS48"/>
      <c r="ONT48"/>
      <c r="ONU48"/>
      <c r="ONV48"/>
      <c r="ONW48"/>
      <c r="ONX48"/>
      <c r="ONY48"/>
      <c r="ONZ48"/>
      <c r="OOA48"/>
      <c r="OOB48"/>
      <c r="OOC48"/>
      <c r="OOD48"/>
      <c r="OOE48"/>
      <c r="OOF48"/>
      <c r="OOG48"/>
      <c r="OOH48"/>
      <c r="OOI48"/>
      <c r="OOJ48"/>
      <c r="OOK48"/>
      <c r="OOL48"/>
      <c r="OOM48"/>
      <c r="OON48"/>
      <c r="OOO48"/>
      <c r="OOP48"/>
      <c r="OOQ48"/>
      <c r="OOR48"/>
      <c r="OOS48"/>
      <c r="OOT48"/>
      <c r="OOU48"/>
      <c r="OOV48"/>
      <c r="OOW48"/>
      <c r="OOX48"/>
      <c r="OOY48"/>
      <c r="OOZ48"/>
      <c r="OPA48"/>
      <c r="OPB48"/>
      <c r="OPC48"/>
      <c r="OPD48"/>
      <c r="OPE48"/>
      <c r="OPF48"/>
      <c r="OPG48"/>
      <c r="OPH48"/>
      <c r="OPI48"/>
      <c r="OPJ48"/>
      <c r="OPK48"/>
      <c r="OPL48"/>
      <c r="OPM48"/>
      <c r="OPN48"/>
      <c r="OPO48"/>
      <c r="OPP48"/>
      <c r="OPQ48"/>
      <c r="OPR48"/>
      <c r="OPS48"/>
      <c r="OPT48"/>
      <c r="OPU48"/>
      <c r="OPV48"/>
      <c r="OPW48"/>
      <c r="OPX48"/>
      <c r="OPY48"/>
      <c r="OPZ48"/>
      <c r="OQA48"/>
      <c r="OQB48"/>
      <c r="OQC48"/>
      <c r="OQD48"/>
      <c r="OQE48"/>
      <c r="OQF48"/>
      <c r="OQG48"/>
      <c r="OQH48"/>
      <c r="OQI48"/>
      <c r="OQJ48"/>
      <c r="OQK48"/>
      <c r="OQL48"/>
      <c r="OQM48"/>
      <c r="OQN48"/>
      <c r="OQO48"/>
      <c r="OQP48"/>
      <c r="OQQ48"/>
      <c r="OQR48"/>
      <c r="OQS48"/>
      <c r="OQT48"/>
      <c r="OQU48"/>
      <c r="OQV48"/>
      <c r="OQW48"/>
      <c r="OQX48"/>
      <c r="OQY48"/>
      <c r="OQZ48"/>
      <c r="ORA48"/>
      <c r="ORB48"/>
      <c r="ORC48"/>
      <c r="ORD48"/>
      <c r="ORE48"/>
      <c r="ORF48"/>
      <c r="ORG48"/>
      <c r="ORH48"/>
      <c r="ORI48"/>
      <c r="ORJ48"/>
      <c r="ORK48"/>
      <c r="ORL48"/>
      <c r="ORM48"/>
      <c r="ORN48"/>
      <c r="ORO48"/>
      <c r="ORP48"/>
      <c r="ORQ48"/>
      <c r="ORR48"/>
      <c r="ORS48"/>
      <c r="ORT48"/>
      <c r="ORU48"/>
      <c r="ORV48"/>
      <c r="ORW48"/>
      <c r="ORX48"/>
      <c r="ORY48"/>
      <c r="ORZ48"/>
      <c r="OSA48"/>
      <c r="OSB48"/>
      <c r="OSC48"/>
      <c r="OSD48"/>
      <c r="OSE48"/>
      <c r="OSF48"/>
      <c r="OSG48"/>
      <c r="OSH48"/>
      <c r="OSI48"/>
      <c r="OSJ48"/>
      <c r="OSK48"/>
      <c r="OSL48"/>
      <c r="OSM48"/>
      <c r="OSN48"/>
      <c r="OSO48"/>
      <c r="OSP48"/>
      <c r="OSQ48"/>
      <c r="OSR48"/>
      <c r="OSS48"/>
      <c r="OST48"/>
      <c r="OSU48"/>
      <c r="OSV48"/>
      <c r="OSW48"/>
      <c r="OSX48"/>
      <c r="OSY48"/>
      <c r="OSZ48"/>
      <c r="OTA48"/>
      <c r="OTB48"/>
      <c r="OTC48"/>
      <c r="OTD48"/>
      <c r="OTE48"/>
      <c r="OTF48"/>
      <c r="OTG48"/>
      <c r="OTH48"/>
      <c r="OTI48"/>
      <c r="OTJ48"/>
      <c r="OTK48"/>
      <c r="OTL48"/>
      <c r="OTM48"/>
      <c r="OTN48"/>
      <c r="OTO48"/>
      <c r="OTP48"/>
      <c r="OTQ48"/>
      <c r="OTR48"/>
      <c r="OTS48"/>
      <c r="OTT48"/>
      <c r="OTU48"/>
      <c r="OTV48"/>
      <c r="OTW48"/>
      <c r="OTX48"/>
      <c r="OTY48"/>
      <c r="OTZ48"/>
      <c r="OUA48"/>
      <c r="OUB48"/>
      <c r="OUC48"/>
      <c r="OUD48"/>
      <c r="OUE48"/>
      <c r="OUF48"/>
      <c r="OUG48"/>
      <c r="OUH48"/>
      <c r="OUI48"/>
      <c r="OUJ48"/>
      <c r="OUK48"/>
      <c r="OUL48"/>
      <c r="OUM48"/>
      <c r="OUN48"/>
      <c r="OUO48"/>
      <c r="OUP48"/>
      <c r="OUQ48"/>
      <c r="OUR48"/>
      <c r="OUS48"/>
      <c r="OUT48"/>
      <c r="OUU48"/>
      <c r="OUV48"/>
      <c r="OUW48"/>
      <c r="OUX48"/>
      <c r="OUY48"/>
      <c r="OUZ48"/>
      <c r="OVA48"/>
      <c r="OVB48"/>
      <c r="OVC48"/>
      <c r="OVD48"/>
      <c r="OVE48"/>
      <c r="OVF48"/>
      <c r="OVG48"/>
      <c r="OVH48"/>
      <c r="OVI48"/>
      <c r="OVJ48"/>
      <c r="OVK48"/>
      <c r="OVL48"/>
      <c r="OVM48"/>
      <c r="OVN48"/>
      <c r="OVO48"/>
      <c r="OVP48"/>
      <c r="OVQ48"/>
      <c r="OVR48"/>
      <c r="OVS48"/>
      <c r="OVT48"/>
      <c r="OVU48"/>
      <c r="OVV48"/>
      <c r="OVW48"/>
      <c r="OVX48"/>
      <c r="OVY48"/>
      <c r="OVZ48"/>
      <c r="OWA48"/>
      <c r="OWB48"/>
      <c r="OWC48"/>
      <c r="OWD48"/>
      <c r="OWE48"/>
      <c r="OWF48"/>
      <c r="OWG48"/>
      <c r="OWH48"/>
      <c r="OWI48"/>
      <c r="OWJ48"/>
      <c r="OWK48"/>
      <c r="OWL48"/>
      <c r="OWM48"/>
      <c r="OWN48"/>
      <c r="OWO48"/>
      <c r="OWP48"/>
      <c r="OWQ48"/>
      <c r="OWR48"/>
      <c r="OWS48"/>
      <c r="OWT48"/>
      <c r="OWU48"/>
      <c r="OWV48"/>
      <c r="OWW48"/>
      <c r="OWX48"/>
      <c r="OWY48"/>
      <c r="OWZ48"/>
      <c r="OXA48"/>
      <c r="OXB48"/>
      <c r="OXC48"/>
      <c r="OXD48"/>
      <c r="OXE48"/>
      <c r="OXF48"/>
      <c r="OXG48"/>
      <c r="OXH48"/>
      <c r="OXI48"/>
      <c r="OXJ48"/>
      <c r="OXK48"/>
      <c r="OXL48"/>
      <c r="OXM48"/>
      <c r="OXN48"/>
      <c r="OXO48"/>
      <c r="OXP48"/>
      <c r="OXQ48"/>
      <c r="OXR48"/>
      <c r="OXS48"/>
      <c r="OXT48"/>
      <c r="OXU48"/>
      <c r="OXV48"/>
      <c r="OXW48"/>
      <c r="OXX48"/>
      <c r="OXY48"/>
      <c r="OXZ48"/>
      <c r="OYA48"/>
      <c r="OYB48"/>
      <c r="OYC48"/>
      <c r="OYD48"/>
      <c r="OYE48"/>
      <c r="OYF48"/>
      <c r="OYG48"/>
      <c r="OYH48"/>
      <c r="OYI48"/>
      <c r="OYJ48"/>
      <c r="OYK48"/>
      <c r="OYL48"/>
      <c r="OYM48"/>
      <c r="OYN48"/>
      <c r="OYO48"/>
      <c r="OYP48"/>
      <c r="OYQ48"/>
      <c r="OYR48"/>
      <c r="OYS48"/>
      <c r="OYT48"/>
      <c r="OYU48"/>
      <c r="OYV48"/>
      <c r="OYW48"/>
      <c r="OYX48"/>
      <c r="OYY48"/>
      <c r="OYZ48"/>
      <c r="OZA48"/>
      <c r="OZB48"/>
      <c r="OZC48"/>
      <c r="OZD48"/>
      <c r="OZE48"/>
      <c r="OZF48"/>
      <c r="OZG48"/>
      <c r="OZH48"/>
      <c r="OZI48"/>
      <c r="OZJ48"/>
      <c r="OZK48"/>
      <c r="OZL48"/>
      <c r="OZM48"/>
      <c r="OZN48"/>
      <c r="OZO48"/>
      <c r="OZP48"/>
      <c r="OZQ48"/>
      <c r="OZR48"/>
      <c r="OZS48"/>
      <c r="OZT48"/>
      <c r="OZU48"/>
      <c r="OZV48"/>
      <c r="OZW48"/>
      <c r="OZX48"/>
      <c r="OZY48"/>
      <c r="OZZ48"/>
      <c r="PAA48"/>
      <c r="PAB48"/>
      <c r="PAC48"/>
      <c r="PAD48"/>
      <c r="PAE48"/>
      <c r="PAF48"/>
      <c r="PAG48"/>
      <c r="PAH48"/>
      <c r="PAI48"/>
      <c r="PAJ48"/>
      <c r="PAK48"/>
      <c r="PAL48"/>
      <c r="PAM48"/>
      <c r="PAN48"/>
      <c r="PAO48"/>
      <c r="PAP48"/>
      <c r="PAQ48"/>
      <c r="PAR48"/>
      <c r="PAS48"/>
      <c r="PAT48"/>
      <c r="PAU48"/>
      <c r="PAV48"/>
      <c r="PAW48"/>
      <c r="PAX48"/>
      <c r="PAY48"/>
      <c r="PAZ48"/>
      <c r="PBA48"/>
      <c r="PBB48"/>
      <c r="PBC48"/>
      <c r="PBD48"/>
      <c r="PBE48"/>
      <c r="PBF48"/>
      <c r="PBG48"/>
      <c r="PBH48"/>
      <c r="PBI48"/>
      <c r="PBJ48"/>
      <c r="PBK48"/>
      <c r="PBL48"/>
      <c r="PBM48"/>
      <c r="PBN48"/>
      <c r="PBO48"/>
      <c r="PBP48"/>
      <c r="PBQ48"/>
      <c r="PBR48"/>
      <c r="PBS48"/>
      <c r="PBT48"/>
      <c r="PBU48"/>
      <c r="PBV48"/>
      <c r="PBW48"/>
      <c r="PBX48"/>
      <c r="PBY48"/>
      <c r="PBZ48"/>
      <c r="PCA48"/>
      <c r="PCB48"/>
      <c r="PCC48"/>
      <c r="PCD48"/>
      <c r="PCE48"/>
      <c r="PCF48"/>
      <c r="PCG48"/>
      <c r="PCH48"/>
      <c r="PCI48"/>
      <c r="PCJ48"/>
      <c r="PCK48"/>
      <c r="PCL48"/>
      <c r="PCM48"/>
      <c r="PCN48"/>
      <c r="PCO48"/>
      <c r="PCP48"/>
      <c r="PCQ48"/>
      <c r="PCR48"/>
      <c r="PCS48"/>
      <c r="PCT48"/>
      <c r="PCU48"/>
      <c r="PCV48"/>
      <c r="PCW48"/>
      <c r="PCX48"/>
      <c r="PCY48"/>
      <c r="PCZ48"/>
      <c r="PDA48"/>
      <c r="PDB48"/>
      <c r="PDC48"/>
      <c r="PDD48"/>
      <c r="PDE48"/>
      <c r="PDF48"/>
      <c r="PDG48"/>
      <c r="PDH48"/>
      <c r="PDI48"/>
      <c r="PDJ48"/>
      <c r="PDK48"/>
      <c r="PDL48"/>
      <c r="PDM48"/>
      <c r="PDN48"/>
      <c r="PDO48"/>
      <c r="PDP48"/>
      <c r="PDQ48"/>
      <c r="PDR48"/>
      <c r="PDS48"/>
      <c r="PDT48"/>
      <c r="PDU48"/>
      <c r="PDV48"/>
      <c r="PDW48"/>
      <c r="PDX48"/>
      <c r="PDY48"/>
      <c r="PDZ48"/>
      <c r="PEA48"/>
      <c r="PEB48"/>
      <c r="PEC48"/>
      <c r="PED48"/>
      <c r="PEE48"/>
      <c r="PEF48"/>
      <c r="PEG48"/>
      <c r="PEH48"/>
      <c r="PEI48"/>
      <c r="PEJ48"/>
      <c r="PEK48"/>
      <c r="PEL48"/>
      <c r="PEM48"/>
      <c r="PEN48"/>
      <c r="PEO48"/>
      <c r="PEP48"/>
      <c r="PEQ48"/>
      <c r="PER48"/>
      <c r="PES48"/>
      <c r="PET48"/>
      <c r="PEU48"/>
      <c r="PEV48"/>
      <c r="PEW48"/>
      <c r="PEX48"/>
      <c r="PEY48"/>
      <c r="PEZ48"/>
      <c r="PFA48"/>
      <c r="PFB48"/>
      <c r="PFC48"/>
      <c r="PFD48"/>
      <c r="PFE48"/>
      <c r="PFF48"/>
      <c r="PFG48"/>
      <c r="PFH48"/>
      <c r="PFI48"/>
      <c r="PFJ48"/>
      <c r="PFK48"/>
      <c r="PFL48"/>
      <c r="PFM48"/>
      <c r="PFN48"/>
      <c r="PFO48"/>
      <c r="PFP48"/>
      <c r="PFQ48"/>
      <c r="PFR48"/>
      <c r="PFS48"/>
      <c r="PFT48"/>
      <c r="PFU48"/>
      <c r="PFV48"/>
      <c r="PFW48"/>
      <c r="PFX48"/>
      <c r="PFY48"/>
      <c r="PFZ48"/>
      <c r="PGA48"/>
      <c r="PGB48"/>
      <c r="PGC48"/>
      <c r="PGD48"/>
      <c r="PGE48"/>
      <c r="PGF48"/>
      <c r="PGG48"/>
      <c r="PGH48"/>
      <c r="PGI48"/>
      <c r="PGJ48"/>
      <c r="PGK48"/>
      <c r="PGL48"/>
      <c r="PGM48"/>
      <c r="PGN48"/>
      <c r="PGO48"/>
      <c r="PGP48"/>
      <c r="PGQ48"/>
      <c r="PGR48"/>
      <c r="PGS48"/>
      <c r="PGT48"/>
      <c r="PGU48"/>
      <c r="PGV48"/>
      <c r="PGW48"/>
      <c r="PGX48"/>
      <c r="PGY48"/>
      <c r="PGZ48"/>
      <c r="PHA48"/>
      <c r="PHB48"/>
      <c r="PHC48"/>
      <c r="PHD48"/>
      <c r="PHE48"/>
      <c r="PHF48"/>
      <c r="PHG48"/>
      <c r="PHH48"/>
      <c r="PHI48"/>
      <c r="PHJ48"/>
      <c r="PHK48"/>
      <c r="PHL48"/>
      <c r="PHM48"/>
      <c r="PHN48"/>
      <c r="PHO48"/>
      <c r="PHP48"/>
      <c r="PHQ48"/>
      <c r="PHR48"/>
      <c r="PHS48"/>
      <c r="PHT48"/>
      <c r="PHU48"/>
      <c r="PHV48"/>
      <c r="PHW48"/>
      <c r="PHX48"/>
      <c r="PHY48"/>
      <c r="PHZ48"/>
      <c r="PIA48"/>
      <c r="PIB48"/>
      <c r="PIC48"/>
      <c r="PID48"/>
      <c r="PIE48"/>
      <c r="PIF48"/>
      <c r="PIG48"/>
      <c r="PIH48"/>
      <c r="PII48"/>
      <c r="PIJ48"/>
      <c r="PIK48"/>
      <c r="PIL48"/>
      <c r="PIM48"/>
      <c r="PIN48"/>
      <c r="PIO48"/>
      <c r="PIP48"/>
      <c r="PIQ48"/>
      <c r="PIR48"/>
      <c r="PIS48"/>
      <c r="PIT48"/>
      <c r="PIU48"/>
      <c r="PIV48"/>
      <c r="PIW48"/>
      <c r="PIX48"/>
      <c r="PIY48"/>
      <c r="PIZ48"/>
      <c r="PJA48"/>
      <c r="PJB48"/>
      <c r="PJC48"/>
      <c r="PJD48"/>
      <c r="PJE48"/>
      <c r="PJF48"/>
      <c r="PJG48"/>
      <c r="PJH48"/>
      <c r="PJI48"/>
      <c r="PJJ48"/>
      <c r="PJK48"/>
      <c r="PJL48"/>
      <c r="PJM48"/>
      <c r="PJN48"/>
      <c r="PJO48"/>
      <c r="PJP48"/>
      <c r="PJQ48"/>
      <c r="PJR48"/>
      <c r="PJS48"/>
      <c r="PJT48"/>
      <c r="PJU48"/>
      <c r="PJV48"/>
      <c r="PJW48"/>
      <c r="PJX48"/>
      <c r="PJY48"/>
      <c r="PJZ48"/>
      <c r="PKA48"/>
      <c r="PKB48"/>
      <c r="PKC48"/>
      <c r="PKD48"/>
      <c r="PKE48"/>
      <c r="PKF48"/>
      <c r="PKG48"/>
      <c r="PKH48"/>
      <c r="PKI48"/>
      <c r="PKJ48"/>
      <c r="PKK48"/>
      <c r="PKL48"/>
      <c r="PKM48"/>
      <c r="PKN48"/>
      <c r="PKO48"/>
      <c r="PKP48"/>
      <c r="PKQ48"/>
      <c r="PKR48"/>
      <c r="PKS48"/>
      <c r="PKT48"/>
      <c r="PKU48"/>
      <c r="PKV48"/>
      <c r="PKW48"/>
      <c r="PKX48"/>
      <c r="PKY48"/>
      <c r="PKZ48"/>
      <c r="PLA48"/>
      <c r="PLB48"/>
      <c r="PLC48"/>
      <c r="PLD48"/>
      <c r="PLE48"/>
      <c r="PLF48"/>
      <c r="PLG48"/>
      <c r="PLH48"/>
      <c r="PLI48"/>
      <c r="PLJ48"/>
      <c r="PLK48"/>
      <c r="PLL48"/>
      <c r="PLM48"/>
      <c r="PLN48"/>
      <c r="PLO48"/>
      <c r="PLP48"/>
      <c r="PLQ48"/>
      <c r="PLR48"/>
      <c r="PLS48"/>
      <c r="PLT48"/>
      <c r="PLU48"/>
      <c r="PLV48"/>
      <c r="PLW48"/>
      <c r="PLX48"/>
      <c r="PLY48"/>
      <c r="PLZ48"/>
      <c r="PMA48"/>
      <c r="PMB48"/>
      <c r="PMC48"/>
      <c r="PMD48"/>
      <c r="PME48"/>
      <c r="PMF48"/>
      <c r="PMG48"/>
      <c r="PMH48"/>
      <c r="PMI48"/>
      <c r="PMJ48"/>
      <c r="PMK48"/>
      <c r="PML48"/>
      <c r="PMM48"/>
      <c r="PMN48"/>
      <c r="PMO48"/>
      <c r="PMP48"/>
      <c r="PMQ48"/>
      <c r="PMR48"/>
      <c r="PMS48"/>
      <c r="PMT48"/>
      <c r="PMU48"/>
      <c r="PMV48"/>
      <c r="PMW48"/>
      <c r="PMX48"/>
      <c r="PMY48"/>
      <c r="PMZ48"/>
      <c r="PNA48"/>
      <c r="PNB48"/>
      <c r="PNC48"/>
      <c r="PND48"/>
      <c r="PNE48"/>
      <c r="PNF48"/>
      <c r="PNG48"/>
      <c r="PNH48"/>
      <c r="PNI48"/>
      <c r="PNJ48"/>
      <c r="PNK48"/>
      <c r="PNL48"/>
      <c r="PNM48"/>
      <c r="PNN48"/>
      <c r="PNO48"/>
      <c r="PNP48"/>
      <c r="PNQ48"/>
      <c r="PNR48"/>
      <c r="PNS48"/>
      <c r="PNT48"/>
      <c r="PNU48"/>
      <c r="PNV48"/>
      <c r="PNW48"/>
      <c r="PNX48"/>
      <c r="PNY48"/>
      <c r="PNZ48"/>
      <c r="POA48"/>
      <c r="POB48"/>
      <c r="POC48"/>
      <c r="POD48"/>
      <c r="POE48"/>
      <c r="POF48"/>
      <c r="POG48"/>
      <c r="POH48"/>
      <c r="POI48"/>
      <c r="POJ48"/>
      <c r="POK48"/>
      <c r="POL48"/>
      <c r="POM48"/>
      <c r="PON48"/>
      <c r="POO48"/>
      <c r="POP48"/>
      <c r="POQ48"/>
      <c r="POR48"/>
      <c r="POS48"/>
      <c r="POT48"/>
      <c r="POU48"/>
      <c r="POV48"/>
      <c r="POW48"/>
      <c r="POX48"/>
      <c r="POY48"/>
      <c r="POZ48"/>
      <c r="PPA48"/>
      <c r="PPB48"/>
      <c r="PPC48"/>
      <c r="PPD48"/>
      <c r="PPE48"/>
      <c r="PPF48"/>
      <c r="PPG48"/>
      <c r="PPH48"/>
      <c r="PPI48"/>
      <c r="PPJ48"/>
      <c r="PPK48"/>
      <c r="PPL48"/>
      <c r="PPM48"/>
      <c r="PPN48"/>
      <c r="PPO48"/>
      <c r="PPP48"/>
      <c r="PPQ48"/>
      <c r="PPR48"/>
      <c r="PPS48"/>
      <c r="PPT48"/>
      <c r="PPU48"/>
      <c r="PPV48"/>
      <c r="PPW48"/>
      <c r="PPX48"/>
      <c r="PPY48"/>
      <c r="PPZ48"/>
      <c r="PQA48"/>
      <c r="PQB48"/>
      <c r="PQC48"/>
      <c r="PQD48"/>
      <c r="PQE48"/>
      <c r="PQF48"/>
      <c r="PQG48"/>
      <c r="PQH48"/>
      <c r="PQI48"/>
      <c r="PQJ48"/>
      <c r="PQK48"/>
      <c r="PQL48"/>
      <c r="PQM48"/>
      <c r="PQN48"/>
      <c r="PQO48"/>
      <c r="PQP48"/>
      <c r="PQQ48"/>
      <c r="PQR48"/>
      <c r="PQS48"/>
      <c r="PQT48"/>
      <c r="PQU48"/>
      <c r="PQV48"/>
      <c r="PQW48"/>
      <c r="PQX48"/>
      <c r="PQY48"/>
      <c r="PQZ48"/>
      <c r="PRA48"/>
      <c r="PRB48"/>
      <c r="PRC48"/>
      <c r="PRD48"/>
      <c r="PRE48"/>
      <c r="PRF48"/>
      <c r="PRG48"/>
      <c r="PRH48"/>
      <c r="PRI48"/>
      <c r="PRJ48"/>
      <c r="PRK48"/>
      <c r="PRL48"/>
      <c r="PRM48"/>
      <c r="PRN48"/>
      <c r="PRO48"/>
      <c r="PRP48"/>
      <c r="PRQ48"/>
      <c r="PRR48"/>
      <c r="PRS48"/>
      <c r="PRT48"/>
      <c r="PRU48"/>
      <c r="PRV48"/>
      <c r="PRW48"/>
      <c r="PRX48"/>
      <c r="PRY48"/>
      <c r="PRZ48"/>
      <c r="PSA48"/>
      <c r="PSB48"/>
      <c r="PSC48"/>
      <c r="PSD48"/>
      <c r="PSE48"/>
      <c r="PSF48"/>
      <c r="PSG48"/>
      <c r="PSH48"/>
      <c r="PSI48"/>
      <c r="PSJ48"/>
      <c r="PSK48"/>
      <c r="PSL48"/>
      <c r="PSM48"/>
      <c r="PSN48"/>
      <c r="PSO48"/>
      <c r="PSP48"/>
      <c r="PSQ48"/>
      <c r="PSR48"/>
      <c r="PSS48"/>
      <c r="PST48"/>
      <c r="PSU48"/>
      <c r="PSV48"/>
      <c r="PSW48"/>
      <c r="PSX48"/>
      <c r="PSY48"/>
      <c r="PSZ48"/>
      <c r="PTA48"/>
      <c r="PTB48"/>
      <c r="PTC48"/>
      <c r="PTD48"/>
      <c r="PTE48"/>
      <c r="PTF48"/>
      <c r="PTG48"/>
      <c r="PTH48"/>
      <c r="PTI48"/>
      <c r="PTJ48"/>
      <c r="PTK48"/>
      <c r="PTL48"/>
      <c r="PTM48"/>
      <c r="PTN48"/>
      <c r="PTO48"/>
      <c r="PTP48"/>
      <c r="PTQ48"/>
      <c r="PTR48"/>
      <c r="PTS48"/>
      <c r="PTT48"/>
      <c r="PTU48"/>
      <c r="PTV48"/>
      <c r="PTW48"/>
      <c r="PTX48"/>
      <c r="PTY48"/>
      <c r="PTZ48"/>
      <c r="PUA48"/>
      <c r="PUB48"/>
      <c r="PUC48"/>
      <c r="PUD48"/>
      <c r="PUE48"/>
      <c r="PUF48"/>
      <c r="PUG48"/>
      <c r="PUH48"/>
      <c r="PUI48"/>
      <c r="PUJ48"/>
      <c r="PUK48"/>
      <c r="PUL48"/>
      <c r="PUM48"/>
      <c r="PUN48"/>
      <c r="PUO48"/>
      <c r="PUP48"/>
      <c r="PUQ48"/>
      <c r="PUR48"/>
      <c r="PUS48"/>
      <c r="PUT48"/>
      <c r="PUU48"/>
      <c r="PUV48"/>
      <c r="PUW48"/>
      <c r="PUX48"/>
      <c r="PUY48"/>
      <c r="PUZ48"/>
      <c r="PVA48"/>
      <c r="PVB48"/>
      <c r="PVC48"/>
      <c r="PVD48"/>
      <c r="PVE48"/>
      <c r="PVF48"/>
      <c r="PVG48"/>
      <c r="PVH48"/>
      <c r="PVI48"/>
      <c r="PVJ48"/>
      <c r="PVK48"/>
      <c r="PVL48"/>
      <c r="PVM48"/>
      <c r="PVN48"/>
      <c r="PVO48"/>
      <c r="PVP48"/>
      <c r="PVQ48"/>
      <c r="PVR48"/>
      <c r="PVS48"/>
      <c r="PVT48"/>
      <c r="PVU48"/>
      <c r="PVV48"/>
      <c r="PVW48"/>
      <c r="PVX48"/>
      <c r="PVY48"/>
      <c r="PVZ48"/>
      <c r="PWA48"/>
      <c r="PWB48"/>
      <c r="PWC48"/>
      <c r="PWD48"/>
      <c r="PWE48"/>
      <c r="PWF48"/>
      <c r="PWG48"/>
      <c r="PWH48"/>
      <c r="PWI48"/>
      <c r="PWJ48"/>
      <c r="PWK48"/>
      <c r="PWL48"/>
      <c r="PWM48"/>
      <c r="PWN48"/>
      <c r="PWO48"/>
      <c r="PWP48"/>
      <c r="PWQ48"/>
      <c r="PWR48"/>
      <c r="PWS48"/>
      <c r="PWT48"/>
      <c r="PWU48"/>
      <c r="PWV48"/>
      <c r="PWW48"/>
      <c r="PWX48"/>
      <c r="PWY48"/>
      <c r="PWZ48"/>
      <c r="PXA48"/>
      <c r="PXB48"/>
      <c r="PXC48"/>
      <c r="PXD48"/>
      <c r="PXE48"/>
      <c r="PXF48"/>
      <c r="PXG48"/>
      <c r="PXH48"/>
      <c r="PXI48"/>
      <c r="PXJ48"/>
      <c r="PXK48"/>
      <c r="PXL48"/>
      <c r="PXM48"/>
      <c r="PXN48"/>
      <c r="PXO48"/>
      <c r="PXP48"/>
      <c r="PXQ48"/>
      <c r="PXR48"/>
      <c r="PXS48"/>
      <c r="PXT48"/>
      <c r="PXU48"/>
      <c r="PXV48"/>
      <c r="PXW48"/>
      <c r="PXX48"/>
      <c r="PXY48"/>
      <c r="PXZ48"/>
      <c r="PYA48"/>
      <c r="PYB48"/>
      <c r="PYC48"/>
      <c r="PYD48"/>
      <c r="PYE48"/>
      <c r="PYF48"/>
      <c r="PYG48"/>
      <c r="PYH48"/>
      <c r="PYI48"/>
      <c r="PYJ48"/>
      <c r="PYK48"/>
      <c r="PYL48"/>
      <c r="PYM48"/>
      <c r="PYN48"/>
      <c r="PYO48"/>
      <c r="PYP48"/>
      <c r="PYQ48"/>
      <c r="PYR48"/>
      <c r="PYS48"/>
      <c r="PYT48"/>
      <c r="PYU48"/>
      <c r="PYV48"/>
      <c r="PYW48"/>
      <c r="PYX48"/>
      <c r="PYY48"/>
      <c r="PYZ48"/>
      <c r="PZA48"/>
      <c r="PZB48"/>
      <c r="PZC48"/>
      <c r="PZD48"/>
      <c r="PZE48"/>
      <c r="PZF48"/>
      <c r="PZG48"/>
      <c r="PZH48"/>
      <c r="PZI48"/>
      <c r="PZJ48"/>
      <c r="PZK48"/>
      <c r="PZL48"/>
      <c r="PZM48"/>
      <c r="PZN48"/>
      <c r="PZO48"/>
      <c r="PZP48"/>
      <c r="PZQ48"/>
      <c r="PZR48"/>
      <c r="PZS48"/>
      <c r="PZT48"/>
      <c r="PZU48"/>
      <c r="PZV48"/>
      <c r="PZW48"/>
      <c r="PZX48"/>
      <c r="PZY48"/>
      <c r="PZZ48"/>
      <c r="QAA48"/>
      <c r="QAB48"/>
      <c r="QAC48"/>
      <c r="QAD48"/>
      <c r="QAE48"/>
      <c r="QAF48"/>
      <c r="QAG48"/>
      <c r="QAH48"/>
      <c r="QAI48"/>
      <c r="QAJ48"/>
      <c r="QAK48"/>
      <c r="QAL48"/>
      <c r="QAM48"/>
      <c r="QAN48"/>
      <c r="QAO48"/>
      <c r="QAP48"/>
      <c r="QAQ48"/>
      <c r="QAR48"/>
      <c r="QAS48"/>
      <c r="QAT48"/>
      <c r="QAU48"/>
      <c r="QAV48"/>
      <c r="QAW48"/>
      <c r="QAX48"/>
      <c r="QAY48"/>
      <c r="QAZ48"/>
      <c r="QBA48"/>
      <c r="QBB48"/>
      <c r="QBC48"/>
      <c r="QBD48"/>
      <c r="QBE48"/>
      <c r="QBF48"/>
      <c r="QBG48"/>
      <c r="QBH48"/>
      <c r="QBI48"/>
      <c r="QBJ48"/>
      <c r="QBK48"/>
      <c r="QBL48"/>
      <c r="QBM48"/>
      <c r="QBN48"/>
      <c r="QBO48"/>
      <c r="QBP48"/>
      <c r="QBQ48"/>
      <c r="QBR48"/>
      <c r="QBS48"/>
      <c r="QBT48"/>
      <c r="QBU48"/>
      <c r="QBV48"/>
      <c r="QBW48"/>
      <c r="QBX48"/>
      <c r="QBY48"/>
      <c r="QBZ48"/>
      <c r="QCA48"/>
      <c r="QCB48"/>
      <c r="QCC48"/>
      <c r="QCD48"/>
      <c r="QCE48"/>
      <c r="QCF48"/>
      <c r="QCG48"/>
      <c r="QCH48"/>
      <c r="QCI48"/>
      <c r="QCJ48"/>
      <c r="QCK48"/>
      <c r="QCL48"/>
      <c r="QCM48"/>
      <c r="QCN48"/>
      <c r="QCO48"/>
      <c r="QCP48"/>
      <c r="QCQ48"/>
      <c r="QCR48"/>
      <c r="QCS48"/>
      <c r="QCT48"/>
      <c r="QCU48"/>
      <c r="QCV48"/>
      <c r="QCW48"/>
      <c r="QCX48"/>
      <c r="QCY48"/>
      <c r="QCZ48"/>
      <c r="QDA48"/>
      <c r="QDB48"/>
      <c r="QDC48"/>
      <c r="QDD48"/>
      <c r="QDE48"/>
      <c r="QDF48"/>
      <c r="QDG48"/>
      <c r="QDH48"/>
      <c r="QDI48"/>
      <c r="QDJ48"/>
      <c r="QDK48"/>
      <c r="QDL48"/>
      <c r="QDM48"/>
      <c r="QDN48"/>
      <c r="QDO48"/>
      <c r="QDP48"/>
      <c r="QDQ48"/>
      <c r="QDR48"/>
      <c r="QDS48"/>
      <c r="QDT48"/>
      <c r="QDU48"/>
      <c r="QDV48"/>
      <c r="QDW48"/>
      <c r="QDX48"/>
      <c r="QDY48"/>
      <c r="QDZ48"/>
      <c r="QEA48"/>
      <c r="QEB48"/>
      <c r="QEC48"/>
      <c r="QED48"/>
      <c r="QEE48"/>
      <c r="QEF48"/>
      <c r="QEG48"/>
      <c r="QEH48"/>
      <c r="QEI48"/>
      <c r="QEJ48"/>
      <c r="QEK48"/>
      <c r="QEL48"/>
      <c r="QEM48"/>
      <c r="QEN48"/>
      <c r="QEO48"/>
      <c r="QEP48"/>
      <c r="QEQ48"/>
      <c r="QER48"/>
      <c r="QES48"/>
      <c r="QET48"/>
      <c r="QEU48"/>
      <c r="QEV48"/>
      <c r="QEW48"/>
      <c r="QEX48"/>
      <c r="QEY48"/>
      <c r="QEZ48"/>
      <c r="QFA48"/>
      <c r="QFB48"/>
      <c r="QFC48"/>
      <c r="QFD48"/>
      <c r="QFE48"/>
      <c r="QFF48"/>
      <c r="QFG48"/>
      <c r="QFH48"/>
      <c r="QFI48"/>
      <c r="QFJ48"/>
      <c r="QFK48"/>
      <c r="QFL48"/>
      <c r="QFM48"/>
      <c r="QFN48"/>
      <c r="QFO48"/>
      <c r="QFP48"/>
      <c r="QFQ48"/>
      <c r="QFR48"/>
      <c r="QFS48"/>
      <c r="QFT48"/>
      <c r="QFU48"/>
      <c r="QFV48"/>
      <c r="QFW48"/>
      <c r="QFX48"/>
      <c r="QFY48"/>
      <c r="QFZ48"/>
      <c r="QGA48"/>
      <c r="QGB48"/>
      <c r="QGC48"/>
      <c r="QGD48"/>
      <c r="QGE48"/>
      <c r="QGF48"/>
      <c r="QGG48"/>
      <c r="QGH48"/>
      <c r="QGI48"/>
      <c r="QGJ48"/>
      <c r="QGK48"/>
      <c r="QGL48"/>
      <c r="QGM48"/>
      <c r="QGN48"/>
      <c r="QGO48"/>
      <c r="QGP48"/>
      <c r="QGQ48"/>
      <c r="QGR48"/>
      <c r="QGS48"/>
      <c r="QGT48"/>
      <c r="QGU48"/>
      <c r="QGV48"/>
      <c r="QGW48"/>
      <c r="QGX48"/>
      <c r="QGY48"/>
      <c r="QGZ48"/>
      <c r="QHA48"/>
      <c r="QHB48"/>
      <c r="QHC48"/>
      <c r="QHD48"/>
      <c r="QHE48"/>
      <c r="QHF48"/>
      <c r="QHG48"/>
      <c r="QHH48"/>
      <c r="QHI48"/>
      <c r="QHJ48"/>
      <c r="QHK48"/>
      <c r="QHL48"/>
      <c r="QHM48"/>
      <c r="QHN48"/>
      <c r="QHO48"/>
      <c r="QHP48"/>
      <c r="QHQ48"/>
      <c r="QHR48"/>
      <c r="QHS48"/>
      <c r="QHT48"/>
      <c r="QHU48"/>
      <c r="QHV48"/>
      <c r="QHW48"/>
      <c r="QHX48"/>
      <c r="QHY48"/>
      <c r="QHZ48"/>
      <c r="QIA48"/>
      <c r="QIB48"/>
      <c r="QIC48"/>
      <c r="QID48"/>
      <c r="QIE48"/>
      <c r="QIF48"/>
      <c r="QIG48"/>
      <c r="QIH48"/>
      <c r="QII48"/>
      <c r="QIJ48"/>
      <c r="QIK48"/>
      <c r="QIL48"/>
      <c r="QIM48"/>
      <c r="QIN48"/>
      <c r="QIO48"/>
      <c r="QIP48"/>
      <c r="QIQ48"/>
      <c r="QIR48"/>
      <c r="QIS48"/>
      <c r="QIT48"/>
      <c r="QIU48"/>
      <c r="QIV48"/>
      <c r="QIW48"/>
      <c r="QIX48"/>
      <c r="QIY48"/>
      <c r="QIZ48"/>
      <c r="QJA48"/>
      <c r="QJB48"/>
      <c r="QJC48"/>
      <c r="QJD48"/>
      <c r="QJE48"/>
      <c r="QJF48"/>
      <c r="QJG48"/>
      <c r="QJH48"/>
      <c r="QJI48"/>
      <c r="QJJ48"/>
      <c r="QJK48"/>
      <c r="QJL48"/>
      <c r="QJM48"/>
      <c r="QJN48"/>
      <c r="QJO48"/>
      <c r="QJP48"/>
      <c r="QJQ48"/>
      <c r="QJR48"/>
      <c r="QJS48"/>
      <c r="QJT48"/>
      <c r="QJU48"/>
      <c r="QJV48"/>
      <c r="QJW48"/>
      <c r="QJX48"/>
      <c r="QJY48"/>
      <c r="QJZ48"/>
      <c r="QKA48"/>
      <c r="QKB48"/>
      <c r="QKC48"/>
      <c r="QKD48"/>
      <c r="QKE48"/>
      <c r="QKF48"/>
      <c r="QKG48"/>
      <c r="QKH48"/>
      <c r="QKI48"/>
      <c r="QKJ48"/>
      <c r="QKK48"/>
      <c r="QKL48"/>
      <c r="QKM48"/>
      <c r="QKN48"/>
      <c r="QKO48"/>
      <c r="QKP48"/>
      <c r="QKQ48"/>
      <c r="QKR48"/>
      <c r="QKS48"/>
      <c r="QKT48"/>
      <c r="QKU48"/>
      <c r="QKV48"/>
      <c r="QKW48"/>
      <c r="QKX48"/>
      <c r="QKY48"/>
      <c r="QKZ48"/>
      <c r="QLA48"/>
      <c r="QLB48"/>
      <c r="QLC48"/>
      <c r="QLD48"/>
      <c r="QLE48"/>
      <c r="QLF48"/>
      <c r="QLG48"/>
      <c r="QLH48"/>
      <c r="QLI48"/>
      <c r="QLJ48"/>
      <c r="QLK48"/>
      <c r="QLL48"/>
      <c r="QLM48"/>
      <c r="QLN48"/>
      <c r="QLO48"/>
      <c r="QLP48"/>
      <c r="QLQ48"/>
      <c r="QLR48"/>
      <c r="QLS48"/>
      <c r="QLT48"/>
      <c r="QLU48"/>
      <c r="QLV48"/>
      <c r="QLW48"/>
      <c r="QLX48"/>
      <c r="QLY48"/>
      <c r="QLZ48"/>
      <c r="QMA48"/>
      <c r="QMB48"/>
      <c r="QMC48"/>
      <c r="QMD48"/>
      <c r="QME48"/>
      <c r="QMF48"/>
      <c r="QMG48"/>
      <c r="QMH48"/>
      <c r="QMI48"/>
      <c r="QMJ48"/>
      <c r="QMK48"/>
      <c r="QML48"/>
      <c r="QMM48"/>
      <c r="QMN48"/>
      <c r="QMO48"/>
      <c r="QMP48"/>
      <c r="QMQ48"/>
      <c r="QMR48"/>
      <c r="QMS48"/>
      <c r="QMT48"/>
      <c r="QMU48"/>
      <c r="QMV48"/>
      <c r="QMW48"/>
      <c r="QMX48"/>
      <c r="QMY48"/>
      <c r="QMZ48"/>
      <c r="QNA48"/>
      <c r="QNB48"/>
      <c r="QNC48"/>
      <c r="QND48"/>
      <c r="QNE48"/>
      <c r="QNF48"/>
      <c r="QNG48"/>
      <c r="QNH48"/>
      <c r="QNI48"/>
      <c r="QNJ48"/>
      <c r="QNK48"/>
      <c r="QNL48"/>
      <c r="QNM48"/>
      <c r="QNN48"/>
      <c r="QNO48"/>
      <c r="QNP48"/>
      <c r="QNQ48"/>
      <c r="QNR48"/>
      <c r="QNS48"/>
      <c r="QNT48"/>
      <c r="QNU48"/>
      <c r="QNV48"/>
      <c r="QNW48"/>
      <c r="QNX48"/>
      <c r="QNY48"/>
      <c r="QNZ48"/>
      <c r="QOA48"/>
      <c r="QOB48"/>
      <c r="QOC48"/>
      <c r="QOD48"/>
      <c r="QOE48"/>
      <c r="QOF48"/>
      <c r="QOG48"/>
      <c r="QOH48"/>
      <c r="QOI48"/>
      <c r="QOJ48"/>
      <c r="QOK48"/>
      <c r="QOL48"/>
      <c r="QOM48"/>
      <c r="QON48"/>
      <c r="QOO48"/>
      <c r="QOP48"/>
      <c r="QOQ48"/>
      <c r="QOR48"/>
      <c r="QOS48"/>
      <c r="QOT48"/>
      <c r="QOU48"/>
      <c r="QOV48"/>
      <c r="QOW48"/>
      <c r="QOX48"/>
      <c r="QOY48"/>
      <c r="QOZ48"/>
      <c r="QPA48"/>
      <c r="QPB48"/>
      <c r="QPC48"/>
      <c r="QPD48"/>
      <c r="QPE48"/>
      <c r="QPF48"/>
      <c r="QPG48"/>
      <c r="QPH48"/>
      <c r="QPI48"/>
      <c r="QPJ48"/>
      <c r="QPK48"/>
      <c r="QPL48"/>
      <c r="QPM48"/>
      <c r="QPN48"/>
      <c r="QPO48"/>
      <c r="QPP48"/>
      <c r="QPQ48"/>
      <c r="QPR48"/>
      <c r="QPS48"/>
      <c r="QPT48"/>
      <c r="QPU48"/>
      <c r="QPV48"/>
      <c r="QPW48"/>
      <c r="QPX48"/>
      <c r="QPY48"/>
      <c r="QPZ48"/>
      <c r="QQA48"/>
      <c r="QQB48"/>
      <c r="QQC48"/>
      <c r="QQD48"/>
      <c r="QQE48"/>
      <c r="QQF48"/>
      <c r="QQG48"/>
      <c r="QQH48"/>
      <c r="QQI48"/>
      <c r="QQJ48"/>
      <c r="QQK48"/>
      <c r="QQL48"/>
      <c r="QQM48"/>
      <c r="QQN48"/>
      <c r="QQO48"/>
      <c r="QQP48"/>
      <c r="QQQ48"/>
      <c r="QQR48"/>
      <c r="QQS48"/>
      <c r="QQT48"/>
      <c r="QQU48"/>
      <c r="QQV48"/>
      <c r="QQW48"/>
      <c r="QQX48"/>
      <c r="QQY48"/>
      <c r="QQZ48"/>
      <c r="QRA48"/>
      <c r="QRB48"/>
      <c r="QRC48"/>
      <c r="QRD48"/>
      <c r="QRE48"/>
      <c r="QRF48"/>
      <c r="QRG48"/>
      <c r="QRH48"/>
      <c r="QRI48"/>
      <c r="QRJ48"/>
      <c r="QRK48"/>
      <c r="QRL48"/>
      <c r="QRM48"/>
      <c r="QRN48"/>
      <c r="QRO48"/>
      <c r="QRP48"/>
      <c r="QRQ48"/>
      <c r="QRR48"/>
      <c r="QRS48"/>
      <c r="QRT48"/>
      <c r="QRU48"/>
      <c r="QRV48"/>
      <c r="QRW48"/>
      <c r="QRX48"/>
      <c r="QRY48"/>
      <c r="QRZ48"/>
      <c r="QSA48"/>
      <c r="QSB48"/>
      <c r="QSC48"/>
      <c r="QSD48"/>
      <c r="QSE48"/>
      <c r="QSF48"/>
      <c r="QSG48"/>
      <c r="QSH48"/>
      <c r="QSI48"/>
      <c r="QSJ48"/>
      <c r="QSK48"/>
      <c r="QSL48"/>
      <c r="QSM48"/>
      <c r="QSN48"/>
      <c r="QSO48"/>
      <c r="QSP48"/>
      <c r="QSQ48"/>
      <c r="QSR48"/>
      <c r="QSS48"/>
      <c r="QST48"/>
      <c r="QSU48"/>
      <c r="QSV48"/>
      <c r="QSW48"/>
      <c r="QSX48"/>
      <c r="QSY48"/>
      <c r="QSZ48"/>
      <c r="QTA48"/>
      <c r="QTB48"/>
      <c r="QTC48"/>
      <c r="QTD48"/>
      <c r="QTE48"/>
      <c r="QTF48"/>
      <c r="QTG48"/>
      <c r="QTH48"/>
      <c r="QTI48"/>
      <c r="QTJ48"/>
      <c r="QTK48"/>
      <c r="QTL48"/>
      <c r="QTM48"/>
      <c r="QTN48"/>
      <c r="QTO48"/>
      <c r="QTP48"/>
      <c r="QTQ48"/>
      <c r="QTR48"/>
      <c r="QTS48"/>
      <c r="QTT48"/>
      <c r="QTU48"/>
      <c r="QTV48"/>
      <c r="QTW48"/>
      <c r="QTX48"/>
      <c r="QTY48"/>
      <c r="QTZ48"/>
      <c r="QUA48"/>
      <c r="QUB48"/>
      <c r="QUC48"/>
      <c r="QUD48"/>
      <c r="QUE48"/>
      <c r="QUF48"/>
      <c r="QUG48"/>
      <c r="QUH48"/>
      <c r="QUI48"/>
      <c r="QUJ48"/>
      <c r="QUK48"/>
      <c r="QUL48"/>
      <c r="QUM48"/>
      <c r="QUN48"/>
      <c r="QUO48"/>
      <c r="QUP48"/>
      <c r="QUQ48"/>
      <c r="QUR48"/>
      <c r="QUS48"/>
      <c r="QUT48"/>
      <c r="QUU48"/>
      <c r="QUV48"/>
      <c r="QUW48"/>
      <c r="QUX48"/>
      <c r="QUY48"/>
      <c r="QUZ48"/>
      <c r="QVA48"/>
      <c r="QVB48"/>
      <c r="QVC48"/>
      <c r="QVD48"/>
      <c r="QVE48"/>
      <c r="QVF48"/>
      <c r="QVG48"/>
      <c r="QVH48"/>
      <c r="QVI48"/>
      <c r="QVJ48"/>
      <c r="QVK48"/>
      <c r="QVL48"/>
      <c r="QVM48"/>
      <c r="QVN48"/>
      <c r="QVO48"/>
      <c r="QVP48"/>
      <c r="QVQ48"/>
      <c r="QVR48"/>
      <c r="QVS48"/>
      <c r="QVT48"/>
      <c r="QVU48"/>
      <c r="QVV48"/>
      <c r="QVW48"/>
      <c r="QVX48"/>
      <c r="QVY48"/>
      <c r="QVZ48"/>
      <c r="QWA48"/>
      <c r="QWB48"/>
      <c r="QWC48"/>
      <c r="QWD48"/>
      <c r="QWE48"/>
      <c r="QWF48"/>
      <c r="QWG48"/>
      <c r="QWH48"/>
      <c r="QWI48"/>
      <c r="QWJ48"/>
      <c r="QWK48"/>
      <c r="QWL48"/>
      <c r="QWM48"/>
      <c r="QWN48"/>
      <c r="QWO48"/>
      <c r="QWP48"/>
      <c r="QWQ48"/>
      <c r="QWR48"/>
      <c r="QWS48"/>
      <c r="QWT48"/>
      <c r="QWU48"/>
      <c r="QWV48"/>
      <c r="QWW48"/>
      <c r="QWX48"/>
      <c r="QWY48"/>
      <c r="QWZ48"/>
      <c r="QXA48"/>
      <c r="QXB48"/>
      <c r="QXC48"/>
      <c r="QXD48"/>
      <c r="QXE48"/>
      <c r="QXF48"/>
      <c r="QXG48"/>
      <c r="QXH48"/>
      <c r="QXI48"/>
      <c r="QXJ48"/>
      <c r="QXK48"/>
      <c r="QXL48"/>
      <c r="QXM48"/>
      <c r="QXN48"/>
      <c r="QXO48"/>
      <c r="QXP48"/>
      <c r="QXQ48"/>
      <c r="QXR48"/>
      <c r="QXS48"/>
      <c r="QXT48"/>
      <c r="QXU48"/>
      <c r="QXV48"/>
      <c r="QXW48"/>
      <c r="QXX48"/>
      <c r="QXY48"/>
      <c r="QXZ48"/>
      <c r="QYA48"/>
      <c r="QYB48"/>
      <c r="QYC48"/>
      <c r="QYD48"/>
      <c r="QYE48"/>
      <c r="QYF48"/>
      <c r="QYG48"/>
      <c r="QYH48"/>
      <c r="QYI48"/>
      <c r="QYJ48"/>
      <c r="QYK48"/>
      <c r="QYL48"/>
      <c r="QYM48"/>
      <c r="QYN48"/>
      <c r="QYO48"/>
      <c r="QYP48"/>
      <c r="QYQ48"/>
      <c r="QYR48"/>
      <c r="QYS48"/>
      <c r="QYT48"/>
      <c r="QYU48"/>
      <c r="QYV48"/>
      <c r="QYW48"/>
      <c r="QYX48"/>
      <c r="QYY48"/>
      <c r="QYZ48"/>
      <c r="QZA48"/>
      <c r="QZB48"/>
      <c r="QZC48"/>
      <c r="QZD48"/>
      <c r="QZE48"/>
      <c r="QZF48"/>
      <c r="QZG48"/>
      <c r="QZH48"/>
      <c r="QZI48"/>
      <c r="QZJ48"/>
      <c r="QZK48"/>
      <c r="QZL48"/>
      <c r="QZM48"/>
      <c r="QZN48"/>
      <c r="QZO48"/>
      <c r="QZP48"/>
      <c r="QZQ48"/>
      <c r="QZR48"/>
      <c r="QZS48"/>
      <c r="QZT48"/>
      <c r="QZU48"/>
      <c r="QZV48"/>
      <c r="QZW48"/>
      <c r="QZX48"/>
      <c r="QZY48"/>
      <c r="QZZ48"/>
      <c r="RAA48"/>
      <c r="RAB48"/>
      <c r="RAC48"/>
      <c r="RAD48"/>
      <c r="RAE48"/>
      <c r="RAF48"/>
      <c r="RAG48"/>
      <c r="RAH48"/>
      <c r="RAI48"/>
      <c r="RAJ48"/>
      <c r="RAK48"/>
      <c r="RAL48"/>
      <c r="RAM48"/>
      <c r="RAN48"/>
      <c r="RAO48"/>
      <c r="RAP48"/>
      <c r="RAQ48"/>
      <c r="RAR48"/>
      <c r="RAS48"/>
      <c r="RAT48"/>
      <c r="RAU48"/>
      <c r="RAV48"/>
      <c r="RAW48"/>
      <c r="RAX48"/>
      <c r="RAY48"/>
      <c r="RAZ48"/>
      <c r="RBA48"/>
      <c r="RBB48"/>
      <c r="RBC48"/>
      <c r="RBD48"/>
      <c r="RBE48"/>
      <c r="RBF48"/>
      <c r="RBG48"/>
      <c r="RBH48"/>
      <c r="RBI48"/>
      <c r="RBJ48"/>
      <c r="RBK48"/>
      <c r="RBL48"/>
      <c r="RBM48"/>
      <c r="RBN48"/>
      <c r="RBO48"/>
      <c r="RBP48"/>
      <c r="RBQ48"/>
      <c r="RBR48"/>
      <c r="RBS48"/>
      <c r="RBT48"/>
      <c r="RBU48"/>
      <c r="RBV48"/>
      <c r="RBW48"/>
      <c r="RBX48"/>
      <c r="RBY48"/>
      <c r="RBZ48"/>
      <c r="RCA48"/>
      <c r="RCB48"/>
      <c r="RCC48"/>
      <c r="RCD48"/>
      <c r="RCE48"/>
      <c r="RCF48"/>
      <c r="RCG48"/>
      <c r="RCH48"/>
      <c r="RCI48"/>
      <c r="RCJ48"/>
      <c r="RCK48"/>
      <c r="RCL48"/>
      <c r="RCM48"/>
      <c r="RCN48"/>
      <c r="RCO48"/>
      <c r="RCP48"/>
      <c r="RCQ48"/>
      <c r="RCR48"/>
      <c r="RCS48"/>
      <c r="RCT48"/>
      <c r="RCU48"/>
      <c r="RCV48"/>
      <c r="RCW48"/>
      <c r="RCX48"/>
      <c r="RCY48"/>
      <c r="RCZ48"/>
      <c r="RDA48"/>
      <c r="RDB48"/>
      <c r="RDC48"/>
      <c r="RDD48"/>
      <c r="RDE48"/>
      <c r="RDF48"/>
      <c r="RDG48"/>
      <c r="RDH48"/>
      <c r="RDI48"/>
      <c r="RDJ48"/>
      <c r="RDK48"/>
      <c r="RDL48"/>
      <c r="RDM48"/>
      <c r="RDN48"/>
      <c r="RDO48"/>
      <c r="RDP48"/>
      <c r="RDQ48"/>
      <c r="RDR48"/>
      <c r="RDS48"/>
      <c r="RDT48"/>
      <c r="RDU48"/>
      <c r="RDV48"/>
      <c r="RDW48"/>
      <c r="RDX48"/>
      <c r="RDY48"/>
      <c r="RDZ48"/>
      <c r="REA48"/>
      <c r="REB48"/>
      <c r="REC48"/>
      <c r="RED48"/>
      <c r="REE48"/>
      <c r="REF48"/>
      <c r="REG48"/>
      <c r="REH48"/>
      <c r="REI48"/>
      <c r="REJ48"/>
      <c r="REK48"/>
      <c r="REL48"/>
      <c r="REM48"/>
      <c r="REN48"/>
      <c r="REO48"/>
      <c r="REP48"/>
      <c r="REQ48"/>
      <c r="RER48"/>
      <c r="RES48"/>
      <c r="RET48"/>
      <c r="REU48"/>
      <c r="REV48"/>
      <c r="REW48"/>
      <c r="REX48"/>
      <c r="REY48"/>
      <c r="REZ48"/>
      <c r="RFA48"/>
      <c r="RFB48"/>
      <c r="RFC48"/>
      <c r="RFD48"/>
      <c r="RFE48"/>
      <c r="RFF48"/>
      <c r="RFG48"/>
      <c r="RFH48"/>
      <c r="RFI48"/>
      <c r="RFJ48"/>
      <c r="RFK48"/>
      <c r="RFL48"/>
      <c r="RFM48"/>
      <c r="RFN48"/>
      <c r="RFO48"/>
      <c r="RFP48"/>
      <c r="RFQ48"/>
      <c r="RFR48"/>
      <c r="RFS48"/>
      <c r="RFT48"/>
      <c r="RFU48"/>
      <c r="RFV48"/>
      <c r="RFW48"/>
      <c r="RFX48"/>
      <c r="RFY48"/>
      <c r="RFZ48"/>
      <c r="RGA48"/>
      <c r="RGB48"/>
      <c r="RGC48"/>
      <c r="RGD48"/>
      <c r="RGE48"/>
      <c r="RGF48"/>
      <c r="RGG48"/>
      <c r="RGH48"/>
      <c r="RGI48"/>
      <c r="RGJ48"/>
      <c r="RGK48"/>
      <c r="RGL48"/>
      <c r="RGM48"/>
      <c r="RGN48"/>
      <c r="RGO48"/>
      <c r="RGP48"/>
      <c r="RGQ48"/>
      <c r="RGR48"/>
      <c r="RGS48"/>
      <c r="RGT48"/>
      <c r="RGU48"/>
      <c r="RGV48"/>
      <c r="RGW48"/>
      <c r="RGX48"/>
      <c r="RGY48"/>
      <c r="RGZ48"/>
      <c r="RHA48"/>
      <c r="RHB48"/>
      <c r="RHC48"/>
      <c r="RHD48"/>
      <c r="RHE48"/>
      <c r="RHF48"/>
      <c r="RHG48"/>
      <c r="RHH48"/>
      <c r="RHI48"/>
      <c r="RHJ48"/>
      <c r="RHK48"/>
      <c r="RHL48"/>
      <c r="RHM48"/>
      <c r="RHN48"/>
      <c r="RHO48"/>
      <c r="RHP48"/>
      <c r="RHQ48"/>
      <c r="RHR48"/>
      <c r="RHS48"/>
      <c r="RHT48"/>
      <c r="RHU48"/>
      <c r="RHV48"/>
      <c r="RHW48"/>
      <c r="RHX48"/>
      <c r="RHY48"/>
      <c r="RHZ48"/>
      <c r="RIA48"/>
      <c r="RIB48"/>
      <c r="RIC48"/>
      <c r="RID48"/>
      <c r="RIE48"/>
      <c r="RIF48"/>
      <c r="RIG48"/>
      <c r="RIH48"/>
      <c r="RII48"/>
      <c r="RIJ48"/>
      <c r="RIK48"/>
      <c r="RIL48"/>
      <c r="RIM48"/>
      <c r="RIN48"/>
      <c r="RIO48"/>
      <c r="RIP48"/>
      <c r="RIQ48"/>
      <c r="RIR48"/>
      <c r="RIS48"/>
      <c r="RIT48"/>
      <c r="RIU48"/>
      <c r="RIV48"/>
      <c r="RIW48"/>
      <c r="RIX48"/>
      <c r="RIY48"/>
      <c r="RIZ48"/>
      <c r="RJA48"/>
      <c r="RJB48"/>
      <c r="RJC48"/>
      <c r="RJD48"/>
      <c r="RJE48"/>
      <c r="RJF48"/>
      <c r="RJG48"/>
      <c r="RJH48"/>
      <c r="RJI48"/>
      <c r="RJJ48"/>
      <c r="RJK48"/>
      <c r="RJL48"/>
      <c r="RJM48"/>
      <c r="RJN48"/>
      <c r="RJO48"/>
      <c r="RJP48"/>
      <c r="RJQ48"/>
      <c r="RJR48"/>
      <c r="RJS48"/>
      <c r="RJT48"/>
      <c r="RJU48"/>
      <c r="RJV48"/>
      <c r="RJW48"/>
      <c r="RJX48"/>
      <c r="RJY48"/>
      <c r="RJZ48"/>
      <c r="RKA48"/>
      <c r="RKB48"/>
      <c r="RKC48"/>
      <c r="RKD48"/>
      <c r="RKE48"/>
      <c r="RKF48"/>
      <c r="RKG48"/>
      <c r="RKH48"/>
      <c r="RKI48"/>
      <c r="RKJ48"/>
      <c r="RKK48"/>
      <c r="RKL48"/>
      <c r="RKM48"/>
      <c r="RKN48"/>
      <c r="RKO48"/>
      <c r="RKP48"/>
      <c r="RKQ48"/>
      <c r="RKR48"/>
      <c r="RKS48"/>
      <c r="RKT48"/>
      <c r="RKU48"/>
      <c r="RKV48"/>
      <c r="RKW48"/>
      <c r="RKX48"/>
      <c r="RKY48"/>
      <c r="RKZ48"/>
      <c r="RLA48"/>
      <c r="RLB48"/>
      <c r="RLC48"/>
      <c r="RLD48"/>
      <c r="RLE48"/>
      <c r="RLF48"/>
      <c r="RLG48"/>
      <c r="RLH48"/>
      <c r="RLI48"/>
      <c r="RLJ48"/>
      <c r="RLK48"/>
      <c r="RLL48"/>
      <c r="RLM48"/>
      <c r="RLN48"/>
      <c r="RLO48"/>
      <c r="RLP48"/>
      <c r="RLQ48"/>
      <c r="RLR48"/>
      <c r="RLS48"/>
      <c r="RLT48"/>
      <c r="RLU48"/>
      <c r="RLV48"/>
      <c r="RLW48"/>
      <c r="RLX48"/>
      <c r="RLY48"/>
      <c r="RLZ48"/>
      <c r="RMA48"/>
      <c r="RMB48"/>
      <c r="RMC48"/>
      <c r="RMD48"/>
      <c r="RME48"/>
      <c r="RMF48"/>
      <c r="RMG48"/>
      <c r="RMH48"/>
      <c r="RMI48"/>
      <c r="RMJ48"/>
      <c r="RMK48"/>
      <c r="RML48"/>
      <c r="RMM48"/>
      <c r="RMN48"/>
      <c r="RMO48"/>
      <c r="RMP48"/>
      <c r="RMQ48"/>
      <c r="RMR48"/>
      <c r="RMS48"/>
      <c r="RMT48"/>
      <c r="RMU48"/>
      <c r="RMV48"/>
      <c r="RMW48"/>
      <c r="RMX48"/>
      <c r="RMY48"/>
      <c r="RMZ48"/>
      <c r="RNA48"/>
      <c r="RNB48"/>
      <c r="RNC48"/>
      <c r="RND48"/>
      <c r="RNE48"/>
      <c r="RNF48"/>
      <c r="RNG48"/>
      <c r="RNH48"/>
      <c r="RNI48"/>
      <c r="RNJ48"/>
      <c r="RNK48"/>
      <c r="RNL48"/>
      <c r="RNM48"/>
      <c r="RNN48"/>
      <c r="RNO48"/>
      <c r="RNP48"/>
      <c r="RNQ48"/>
      <c r="RNR48"/>
      <c r="RNS48"/>
      <c r="RNT48"/>
      <c r="RNU48"/>
      <c r="RNV48"/>
      <c r="RNW48"/>
      <c r="RNX48"/>
      <c r="RNY48"/>
      <c r="RNZ48"/>
      <c r="ROA48"/>
      <c r="ROB48"/>
      <c r="ROC48"/>
      <c r="ROD48"/>
      <c r="ROE48"/>
      <c r="ROF48"/>
      <c r="ROG48"/>
      <c r="ROH48"/>
      <c r="ROI48"/>
      <c r="ROJ48"/>
      <c r="ROK48"/>
      <c r="ROL48"/>
      <c r="ROM48"/>
      <c r="RON48"/>
      <c r="ROO48"/>
      <c r="ROP48"/>
      <c r="ROQ48"/>
      <c r="ROR48"/>
      <c r="ROS48"/>
      <c r="ROT48"/>
      <c r="ROU48"/>
      <c r="ROV48"/>
      <c r="ROW48"/>
      <c r="ROX48"/>
      <c r="ROY48"/>
      <c r="ROZ48"/>
      <c r="RPA48"/>
      <c r="RPB48"/>
      <c r="RPC48"/>
      <c r="RPD48"/>
      <c r="RPE48"/>
      <c r="RPF48"/>
      <c r="RPG48"/>
      <c r="RPH48"/>
      <c r="RPI48"/>
      <c r="RPJ48"/>
      <c r="RPK48"/>
      <c r="RPL48"/>
      <c r="RPM48"/>
      <c r="RPN48"/>
      <c r="RPO48"/>
      <c r="RPP48"/>
      <c r="RPQ48"/>
      <c r="RPR48"/>
      <c r="RPS48"/>
      <c r="RPT48"/>
      <c r="RPU48"/>
      <c r="RPV48"/>
      <c r="RPW48"/>
      <c r="RPX48"/>
      <c r="RPY48"/>
      <c r="RPZ48"/>
      <c r="RQA48"/>
      <c r="RQB48"/>
      <c r="RQC48"/>
      <c r="RQD48"/>
      <c r="RQE48"/>
      <c r="RQF48"/>
      <c r="RQG48"/>
      <c r="RQH48"/>
      <c r="RQI48"/>
      <c r="RQJ48"/>
      <c r="RQK48"/>
      <c r="RQL48"/>
      <c r="RQM48"/>
      <c r="RQN48"/>
      <c r="RQO48"/>
      <c r="RQP48"/>
      <c r="RQQ48"/>
      <c r="RQR48"/>
      <c r="RQS48"/>
      <c r="RQT48"/>
      <c r="RQU48"/>
      <c r="RQV48"/>
      <c r="RQW48"/>
      <c r="RQX48"/>
      <c r="RQY48"/>
      <c r="RQZ48"/>
      <c r="RRA48"/>
      <c r="RRB48"/>
      <c r="RRC48"/>
      <c r="RRD48"/>
      <c r="RRE48"/>
      <c r="RRF48"/>
      <c r="RRG48"/>
      <c r="RRH48"/>
      <c r="RRI48"/>
      <c r="RRJ48"/>
      <c r="RRK48"/>
      <c r="RRL48"/>
      <c r="RRM48"/>
      <c r="RRN48"/>
      <c r="RRO48"/>
      <c r="RRP48"/>
      <c r="RRQ48"/>
      <c r="RRR48"/>
      <c r="RRS48"/>
      <c r="RRT48"/>
      <c r="RRU48"/>
      <c r="RRV48"/>
      <c r="RRW48"/>
      <c r="RRX48"/>
      <c r="RRY48"/>
      <c r="RRZ48"/>
      <c r="RSA48"/>
      <c r="RSB48"/>
      <c r="RSC48"/>
      <c r="RSD48"/>
      <c r="RSE48"/>
      <c r="RSF48"/>
      <c r="RSG48"/>
      <c r="RSH48"/>
      <c r="RSI48"/>
      <c r="RSJ48"/>
      <c r="RSK48"/>
      <c r="RSL48"/>
      <c r="RSM48"/>
      <c r="RSN48"/>
      <c r="RSO48"/>
      <c r="RSP48"/>
      <c r="RSQ48"/>
      <c r="RSR48"/>
      <c r="RSS48"/>
      <c r="RST48"/>
      <c r="RSU48"/>
      <c r="RSV48"/>
      <c r="RSW48"/>
      <c r="RSX48"/>
      <c r="RSY48"/>
      <c r="RSZ48"/>
      <c r="RTA48"/>
      <c r="RTB48"/>
      <c r="RTC48"/>
      <c r="RTD48"/>
      <c r="RTE48"/>
      <c r="RTF48"/>
      <c r="RTG48"/>
      <c r="RTH48"/>
      <c r="RTI48"/>
      <c r="RTJ48"/>
      <c r="RTK48"/>
      <c r="RTL48"/>
      <c r="RTM48"/>
      <c r="RTN48"/>
      <c r="RTO48"/>
      <c r="RTP48"/>
      <c r="RTQ48"/>
      <c r="RTR48"/>
      <c r="RTS48"/>
      <c r="RTT48"/>
      <c r="RTU48"/>
      <c r="RTV48"/>
      <c r="RTW48"/>
      <c r="RTX48"/>
      <c r="RTY48"/>
      <c r="RTZ48"/>
      <c r="RUA48"/>
      <c r="RUB48"/>
      <c r="RUC48"/>
      <c r="RUD48"/>
      <c r="RUE48"/>
      <c r="RUF48"/>
      <c r="RUG48"/>
      <c r="RUH48"/>
      <c r="RUI48"/>
      <c r="RUJ48"/>
      <c r="RUK48"/>
      <c r="RUL48"/>
      <c r="RUM48"/>
      <c r="RUN48"/>
      <c r="RUO48"/>
      <c r="RUP48"/>
      <c r="RUQ48"/>
      <c r="RUR48"/>
      <c r="RUS48"/>
      <c r="RUT48"/>
      <c r="RUU48"/>
      <c r="RUV48"/>
      <c r="RUW48"/>
      <c r="RUX48"/>
      <c r="RUY48"/>
      <c r="RUZ48"/>
      <c r="RVA48"/>
      <c r="RVB48"/>
      <c r="RVC48"/>
      <c r="RVD48"/>
      <c r="RVE48"/>
      <c r="RVF48"/>
      <c r="RVG48"/>
      <c r="RVH48"/>
      <c r="RVI48"/>
      <c r="RVJ48"/>
      <c r="RVK48"/>
      <c r="RVL48"/>
      <c r="RVM48"/>
      <c r="RVN48"/>
      <c r="RVO48"/>
      <c r="RVP48"/>
      <c r="RVQ48"/>
      <c r="RVR48"/>
      <c r="RVS48"/>
      <c r="RVT48"/>
      <c r="RVU48"/>
      <c r="RVV48"/>
      <c r="RVW48"/>
      <c r="RVX48"/>
      <c r="RVY48"/>
      <c r="RVZ48"/>
      <c r="RWA48"/>
      <c r="RWB48"/>
      <c r="RWC48"/>
      <c r="RWD48"/>
      <c r="RWE48"/>
      <c r="RWF48"/>
      <c r="RWG48"/>
      <c r="RWH48"/>
      <c r="RWI48"/>
      <c r="RWJ48"/>
      <c r="RWK48"/>
      <c r="RWL48"/>
      <c r="RWM48"/>
      <c r="RWN48"/>
      <c r="RWO48"/>
      <c r="RWP48"/>
      <c r="RWQ48"/>
      <c r="RWR48"/>
      <c r="RWS48"/>
      <c r="RWT48"/>
      <c r="RWU48"/>
      <c r="RWV48"/>
      <c r="RWW48"/>
      <c r="RWX48"/>
      <c r="RWY48"/>
      <c r="RWZ48"/>
      <c r="RXA48"/>
      <c r="RXB48"/>
      <c r="RXC48"/>
      <c r="RXD48"/>
      <c r="RXE48"/>
      <c r="RXF48"/>
      <c r="RXG48"/>
      <c r="RXH48"/>
      <c r="RXI48"/>
      <c r="RXJ48"/>
      <c r="RXK48"/>
      <c r="RXL48"/>
      <c r="RXM48"/>
      <c r="RXN48"/>
      <c r="RXO48"/>
      <c r="RXP48"/>
      <c r="RXQ48"/>
      <c r="RXR48"/>
      <c r="RXS48"/>
      <c r="RXT48"/>
      <c r="RXU48"/>
      <c r="RXV48"/>
      <c r="RXW48"/>
      <c r="RXX48"/>
      <c r="RXY48"/>
      <c r="RXZ48"/>
      <c r="RYA48"/>
      <c r="RYB48"/>
      <c r="RYC48"/>
      <c r="RYD48"/>
      <c r="RYE48"/>
      <c r="RYF48"/>
      <c r="RYG48"/>
      <c r="RYH48"/>
      <c r="RYI48"/>
      <c r="RYJ48"/>
      <c r="RYK48"/>
      <c r="RYL48"/>
      <c r="RYM48"/>
      <c r="RYN48"/>
      <c r="RYO48"/>
      <c r="RYP48"/>
      <c r="RYQ48"/>
      <c r="RYR48"/>
      <c r="RYS48"/>
      <c r="RYT48"/>
      <c r="RYU48"/>
      <c r="RYV48"/>
      <c r="RYW48"/>
      <c r="RYX48"/>
      <c r="RYY48"/>
      <c r="RYZ48"/>
      <c r="RZA48"/>
      <c r="RZB48"/>
      <c r="RZC48"/>
      <c r="RZD48"/>
      <c r="RZE48"/>
      <c r="RZF48"/>
      <c r="RZG48"/>
      <c r="RZH48"/>
      <c r="RZI48"/>
      <c r="RZJ48"/>
      <c r="RZK48"/>
      <c r="RZL48"/>
      <c r="RZM48"/>
      <c r="RZN48"/>
      <c r="RZO48"/>
      <c r="RZP48"/>
      <c r="RZQ48"/>
      <c r="RZR48"/>
      <c r="RZS48"/>
      <c r="RZT48"/>
      <c r="RZU48"/>
      <c r="RZV48"/>
      <c r="RZW48"/>
      <c r="RZX48"/>
      <c r="RZY48"/>
      <c r="RZZ48"/>
      <c r="SAA48"/>
      <c r="SAB48"/>
      <c r="SAC48"/>
      <c r="SAD48"/>
      <c r="SAE48"/>
      <c r="SAF48"/>
      <c r="SAG48"/>
      <c r="SAH48"/>
      <c r="SAI48"/>
      <c r="SAJ48"/>
      <c r="SAK48"/>
      <c r="SAL48"/>
      <c r="SAM48"/>
      <c r="SAN48"/>
      <c r="SAO48"/>
      <c r="SAP48"/>
      <c r="SAQ48"/>
      <c r="SAR48"/>
      <c r="SAS48"/>
      <c r="SAT48"/>
      <c r="SAU48"/>
      <c r="SAV48"/>
      <c r="SAW48"/>
      <c r="SAX48"/>
      <c r="SAY48"/>
      <c r="SAZ48"/>
      <c r="SBA48"/>
      <c r="SBB48"/>
      <c r="SBC48"/>
      <c r="SBD48"/>
      <c r="SBE48"/>
      <c r="SBF48"/>
      <c r="SBG48"/>
      <c r="SBH48"/>
      <c r="SBI48"/>
      <c r="SBJ48"/>
      <c r="SBK48"/>
      <c r="SBL48"/>
      <c r="SBM48"/>
      <c r="SBN48"/>
      <c r="SBO48"/>
      <c r="SBP48"/>
      <c r="SBQ48"/>
      <c r="SBR48"/>
      <c r="SBS48"/>
      <c r="SBT48"/>
      <c r="SBU48"/>
      <c r="SBV48"/>
      <c r="SBW48"/>
      <c r="SBX48"/>
      <c r="SBY48"/>
      <c r="SBZ48"/>
      <c r="SCA48"/>
      <c r="SCB48"/>
      <c r="SCC48"/>
      <c r="SCD48"/>
      <c r="SCE48"/>
      <c r="SCF48"/>
      <c r="SCG48"/>
      <c r="SCH48"/>
      <c r="SCI48"/>
      <c r="SCJ48"/>
      <c r="SCK48"/>
      <c r="SCL48"/>
      <c r="SCM48"/>
      <c r="SCN48"/>
      <c r="SCO48"/>
      <c r="SCP48"/>
      <c r="SCQ48"/>
      <c r="SCR48"/>
      <c r="SCS48"/>
      <c r="SCT48"/>
      <c r="SCU48"/>
      <c r="SCV48"/>
      <c r="SCW48"/>
      <c r="SCX48"/>
      <c r="SCY48"/>
      <c r="SCZ48"/>
      <c r="SDA48"/>
      <c r="SDB48"/>
      <c r="SDC48"/>
      <c r="SDD48"/>
      <c r="SDE48"/>
      <c r="SDF48"/>
      <c r="SDG48"/>
      <c r="SDH48"/>
      <c r="SDI48"/>
      <c r="SDJ48"/>
      <c r="SDK48"/>
      <c r="SDL48"/>
      <c r="SDM48"/>
      <c r="SDN48"/>
      <c r="SDO48"/>
      <c r="SDP48"/>
      <c r="SDQ48"/>
      <c r="SDR48"/>
      <c r="SDS48"/>
      <c r="SDT48"/>
      <c r="SDU48"/>
      <c r="SDV48"/>
      <c r="SDW48"/>
      <c r="SDX48"/>
      <c r="SDY48"/>
      <c r="SDZ48"/>
      <c r="SEA48"/>
      <c r="SEB48"/>
      <c r="SEC48"/>
      <c r="SED48"/>
      <c r="SEE48"/>
      <c r="SEF48"/>
      <c r="SEG48"/>
      <c r="SEH48"/>
      <c r="SEI48"/>
      <c r="SEJ48"/>
      <c r="SEK48"/>
      <c r="SEL48"/>
      <c r="SEM48"/>
      <c r="SEN48"/>
      <c r="SEO48"/>
      <c r="SEP48"/>
      <c r="SEQ48"/>
      <c r="SER48"/>
      <c r="SES48"/>
      <c r="SET48"/>
      <c r="SEU48"/>
      <c r="SEV48"/>
      <c r="SEW48"/>
      <c r="SEX48"/>
      <c r="SEY48"/>
      <c r="SEZ48"/>
      <c r="SFA48"/>
      <c r="SFB48"/>
      <c r="SFC48"/>
      <c r="SFD48"/>
      <c r="SFE48"/>
      <c r="SFF48"/>
      <c r="SFG48"/>
      <c r="SFH48"/>
      <c r="SFI48"/>
      <c r="SFJ48"/>
      <c r="SFK48"/>
      <c r="SFL48"/>
      <c r="SFM48"/>
      <c r="SFN48"/>
      <c r="SFO48"/>
      <c r="SFP48"/>
      <c r="SFQ48"/>
      <c r="SFR48"/>
      <c r="SFS48"/>
      <c r="SFT48"/>
      <c r="SFU48"/>
      <c r="SFV48"/>
      <c r="SFW48"/>
      <c r="SFX48"/>
      <c r="SFY48"/>
      <c r="SFZ48"/>
      <c r="SGA48"/>
      <c r="SGB48"/>
      <c r="SGC48"/>
      <c r="SGD48"/>
      <c r="SGE48"/>
      <c r="SGF48"/>
      <c r="SGG48"/>
      <c r="SGH48"/>
      <c r="SGI48"/>
      <c r="SGJ48"/>
      <c r="SGK48"/>
      <c r="SGL48"/>
      <c r="SGM48"/>
      <c r="SGN48"/>
      <c r="SGO48"/>
      <c r="SGP48"/>
      <c r="SGQ48"/>
      <c r="SGR48"/>
      <c r="SGS48"/>
      <c r="SGT48"/>
      <c r="SGU48"/>
      <c r="SGV48"/>
      <c r="SGW48"/>
      <c r="SGX48"/>
      <c r="SGY48"/>
      <c r="SGZ48"/>
      <c r="SHA48"/>
      <c r="SHB48"/>
      <c r="SHC48"/>
      <c r="SHD48"/>
      <c r="SHE48"/>
      <c r="SHF48"/>
      <c r="SHG48"/>
      <c r="SHH48"/>
      <c r="SHI48"/>
      <c r="SHJ48"/>
      <c r="SHK48"/>
      <c r="SHL48"/>
      <c r="SHM48"/>
      <c r="SHN48"/>
      <c r="SHO48"/>
      <c r="SHP48"/>
      <c r="SHQ48"/>
      <c r="SHR48"/>
      <c r="SHS48"/>
      <c r="SHT48"/>
      <c r="SHU48"/>
      <c r="SHV48"/>
      <c r="SHW48"/>
      <c r="SHX48"/>
      <c r="SHY48"/>
      <c r="SHZ48"/>
      <c r="SIA48"/>
      <c r="SIB48"/>
      <c r="SIC48"/>
      <c r="SID48"/>
      <c r="SIE48"/>
      <c r="SIF48"/>
      <c r="SIG48"/>
      <c r="SIH48"/>
      <c r="SII48"/>
      <c r="SIJ48"/>
      <c r="SIK48"/>
      <c r="SIL48"/>
      <c r="SIM48"/>
      <c r="SIN48"/>
      <c r="SIO48"/>
      <c r="SIP48"/>
      <c r="SIQ48"/>
      <c r="SIR48"/>
      <c r="SIS48"/>
      <c r="SIT48"/>
      <c r="SIU48"/>
      <c r="SIV48"/>
      <c r="SIW48"/>
      <c r="SIX48"/>
      <c r="SIY48"/>
      <c r="SIZ48"/>
      <c r="SJA48"/>
      <c r="SJB48"/>
      <c r="SJC48"/>
      <c r="SJD48"/>
      <c r="SJE48"/>
      <c r="SJF48"/>
      <c r="SJG48"/>
      <c r="SJH48"/>
      <c r="SJI48"/>
      <c r="SJJ48"/>
      <c r="SJK48"/>
      <c r="SJL48"/>
      <c r="SJM48"/>
      <c r="SJN48"/>
      <c r="SJO48"/>
      <c r="SJP48"/>
      <c r="SJQ48"/>
      <c r="SJR48"/>
      <c r="SJS48"/>
      <c r="SJT48"/>
      <c r="SJU48"/>
      <c r="SJV48"/>
      <c r="SJW48"/>
      <c r="SJX48"/>
      <c r="SJY48"/>
      <c r="SJZ48"/>
      <c r="SKA48"/>
      <c r="SKB48"/>
      <c r="SKC48"/>
      <c r="SKD48"/>
      <c r="SKE48"/>
      <c r="SKF48"/>
      <c r="SKG48"/>
      <c r="SKH48"/>
      <c r="SKI48"/>
      <c r="SKJ48"/>
      <c r="SKK48"/>
      <c r="SKL48"/>
      <c r="SKM48"/>
      <c r="SKN48"/>
      <c r="SKO48"/>
      <c r="SKP48"/>
      <c r="SKQ48"/>
      <c r="SKR48"/>
      <c r="SKS48"/>
      <c r="SKT48"/>
      <c r="SKU48"/>
      <c r="SKV48"/>
      <c r="SKW48"/>
      <c r="SKX48"/>
      <c r="SKY48"/>
      <c r="SKZ48"/>
      <c r="SLA48"/>
      <c r="SLB48"/>
      <c r="SLC48"/>
      <c r="SLD48"/>
      <c r="SLE48"/>
      <c r="SLF48"/>
      <c r="SLG48"/>
      <c r="SLH48"/>
      <c r="SLI48"/>
      <c r="SLJ48"/>
      <c r="SLK48"/>
      <c r="SLL48"/>
      <c r="SLM48"/>
      <c r="SLN48"/>
      <c r="SLO48"/>
      <c r="SLP48"/>
      <c r="SLQ48"/>
      <c r="SLR48"/>
      <c r="SLS48"/>
      <c r="SLT48"/>
      <c r="SLU48"/>
      <c r="SLV48"/>
      <c r="SLW48"/>
      <c r="SLX48"/>
      <c r="SLY48"/>
      <c r="SLZ48"/>
      <c r="SMA48"/>
      <c r="SMB48"/>
      <c r="SMC48"/>
      <c r="SMD48"/>
      <c r="SME48"/>
      <c r="SMF48"/>
      <c r="SMG48"/>
      <c r="SMH48"/>
      <c r="SMI48"/>
      <c r="SMJ48"/>
      <c r="SMK48"/>
      <c r="SML48"/>
      <c r="SMM48"/>
      <c r="SMN48"/>
      <c r="SMO48"/>
      <c r="SMP48"/>
      <c r="SMQ48"/>
      <c r="SMR48"/>
      <c r="SMS48"/>
      <c r="SMT48"/>
      <c r="SMU48"/>
      <c r="SMV48"/>
      <c r="SMW48"/>
      <c r="SMX48"/>
      <c r="SMY48"/>
      <c r="SMZ48"/>
      <c r="SNA48"/>
      <c r="SNB48"/>
      <c r="SNC48"/>
      <c r="SND48"/>
      <c r="SNE48"/>
      <c r="SNF48"/>
      <c r="SNG48"/>
      <c r="SNH48"/>
      <c r="SNI48"/>
      <c r="SNJ48"/>
      <c r="SNK48"/>
      <c r="SNL48"/>
      <c r="SNM48"/>
      <c r="SNN48"/>
      <c r="SNO48"/>
      <c r="SNP48"/>
      <c r="SNQ48"/>
      <c r="SNR48"/>
      <c r="SNS48"/>
      <c r="SNT48"/>
      <c r="SNU48"/>
      <c r="SNV48"/>
      <c r="SNW48"/>
      <c r="SNX48"/>
      <c r="SNY48"/>
      <c r="SNZ48"/>
      <c r="SOA48"/>
      <c r="SOB48"/>
      <c r="SOC48"/>
      <c r="SOD48"/>
      <c r="SOE48"/>
      <c r="SOF48"/>
      <c r="SOG48"/>
      <c r="SOH48"/>
      <c r="SOI48"/>
      <c r="SOJ48"/>
      <c r="SOK48"/>
      <c r="SOL48"/>
      <c r="SOM48"/>
      <c r="SON48"/>
      <c r="SOO48"/>
      <c r="SOP48"/>
      <c r="SOQ48"/>
      <c r="SOR48"/>
      <c r="SOS48"/>
      <c r="SOT48"/>
      <c r="SOU48"/>
      <c r="SOV48"/>
      <c r="SOW48"/>
      <c r="SOX48"/>
      <c r="SOY48"/>
      <c r="SOZ48"/>
      <c r="SPA48"/>
      <c r="SPB48"/>
      <c r="SPC48"/>
      <c r="SPD48"/>
      <c r="SPE48"/>
      <c r="SPF48"/>
      <c r="SPG48"/>
      <c r="SPH48"/>
      <c r="SPI48"/>
      <c r="SPJ48"/>
      <c r="SPK48"/>
      <c r="SPL48"/>
      <c r="SPM48"/>
      <c r="SPN48"/>
      <c r="SPO48"/>
      <c r="SPP48"/>
      <c r="SPQ48"/>
      <c r="SPR48"/>
      <c r="SPS48"/>
      <c r="SPT48"/>
      <c r="SPU48"/>
      <c r="SPV48"/>
      <c r="SPW48"/>
      <c r="SPX48"/>
      <c r="SPY48"/>
      <c r="SPZ48"/>
      <c r="SQA48"/>
      <c r="SQB48"/>
      <c r="SQC48"/>
      <c r="SQD48"/>
      <c r="SQE48"/>
      <c r="SQF48"/>
      <c r="SQG48"/>
      <c r="SQH48"/>
      <c r="SQI48"/>
      <c r="SQJ48"/>
      <c r="SQK48"/>
      <c r="SQL48"/>
      <c r="SQM48"/>
      <c r="SQN48"/>
      <c r="SQO48"/>
      <c r="SQP48"/>
      <c r="SQQ48"/>
      <c r="SQR48"/>
      <c r="SQS48"/>
      <c r="SQT48"/>
      <c r="SQU48"/>
      <c r="SQV48"/>
      <c r="SQW48"/>
      <c r="SQX48"/>
      <c r="SQY48"/>
      <c r="SQZ48"/>
      <c r="SRA48"/>
      <c r="SRB48"/>
      <c r="SRC48"/>
      <c r="SRD48"/>
      <c r="SRE48"/>
      <c r="SRF48"/>
      <c r="SRG48"/>
      <c r="SRH48"/>
      <c r="SRI48"/>
      <c r="SRJ48"/>
      <c r="SRK48"/>
      <c r="SRL48"/>
      <c r="SRM48"/>
      <c r="SRN48"/>
      <c r="SRO48"/>
      <c r="SRP48"/>
      <c r="SRQ48"/>
      <c r="SRR48"/>
      <c r="SRS48"/>
      <c r="SRT48"/>
      <c r="SRU48"/>
      <c r="SRV48"/>
      <c r="SRW48"/>
      <c r="SRX48"/>
      <c r="SRY48"/>
      <c r="SRZ48"/>
      <c r="SSA48"/>
      <c r="SSB48"/>
      <c r="SSC48"/>
      <c r="SSD48"/>
      <c r="SSE48"/>
      <c r="SSF48"/>
      <c r="SSG48"/>
      <c r="SSH48"/>
      <c r="SSI48"/>
      <c r="SSJ48"/>
      <c r="SSK48"/>
      <c r="SSL48"/>
      <c r="SSM48"/>
      <c r="SSN48"/>
      <c r="SSO48"/>
      <c r="SSP48"/>
      <c r="SSQ48"/>
      <c r="SSR48"/>
      <c r="SSS48"/>
      <c r="SST48"/>
      <c r="SSU48"/>
      <c r="SSV48"/>
      <c r="SSW48"/>
      <c r="SSX48"/>
      <c r="SSY48"/>
      <c r="SSZ48"/>
      <c r="STA48"/>
      <c r="STB48"/>
      <c r="STC48"/>
      <c r="STD48"/>
      <c r="STE48"/>
      <c r="STF48"/>
      <c r="STG48"/>
      <c r="STH48"/>
      <c r="STI48"/>
      <c r="STJ48"/>
      <c r="STK48"/>
      <c r="STL48"/>
      <c r="STM48"/>
      <c r="STN48"/>
      <c r="STO48"/>
      <c r="STP48"/>
      <c r="STQ48"/>
      <c r="STR48"/>
      <c r="STS48"/>
      <c r="STT48"/>
      <c r="STU48"/>
      <c r="STV48"/>
      <c r="STW48"/>
      <c r="STX48"/>
      <c r="STY48"/>
      <c r="STZ48"/>
      <c r="SUA48"/>
      <c r="SUB48"/>
      <c r="SUC48"/>
      <c r="SUD48"/>
      <c r="SUE48"/>
      <c r="SUF48"/>
      <c r="SUG48"/>
      <c r="SUH48"/>
      <c r="SUI48"/>
      <c r="SUJ48"/>
      <c r="SUK48"/>
      <c r="SUL48"/>
      <c r="SUM48"/>
      <c r="SUN48"/>
      <c r="SUO48"/>
      <c r="SUP48"/>
      <c r="SUQ48"/>
      <c r="SUR48"/>
      <c r="SUS48"/>
      <c r="SUT48"/>
      <c r="SUU48"/>
      <c r="SUV48"/>
      <c r="SUW48"/>
      <c r="SUX48"/>
      <c r="SUY48"/>
      <c r="SUZ48"/>
      <c r="SVA48"/>
      <c r="SVB48"/>
      <c r="SVC48"/>
      <c r="SVD48"/>
      <c r="SVE48"/>
      <c r="SVF48"/>
      <c r="SVG48"/>
      <c r="SVH48"/>
      <c r="SVI48"/>
      <c r="SVJ48"/>
      <c r="SVK48"/>
      <c r="SVL48"/>
      <c r="SVM48"/>
      <c r="SVN48"/>
      <c r="SVO48"/>
      <c r="SVP48"/>
      <c r="SVQ48"/>
      <c r="SVR48"/>
      <c r="SVS48"/>
      <c r="SVT48"/>
      <c r="SVU48"/>
      <c r="SVV48"/>
      <c r="SVW48"/>
      <c r="SVX48"/>
      <c r="SVY48"/>
      <c r="SVZ48"/>
      <c r="SWA48"/>
      <c r="SWB48"/>
      <c r="SWC48"/>
      <c r="SWD48"/>
      <c r="SWE48"/>
      <c r="SWF48"/>
      <c r="SWG48"/>
      <c r="SWH48"/>
      <c r="SWI48"/>
      <c r="SWJ48"/>
      <c r="SWK48"/>
      <c r="SWL48"/>
      <c r="SWM48"/>
      <c r="SWN48"/>
      <c r="SWO48"/>
      <c r="SWP48"/>
      <c r="SWQ48"/>
      <c r="SWR48"/>
      <c r="SWS48"/>
      <c r="SWT48"/>
      <c r="SWU48"/>
      <c r="SWV48"/>
      <c r="SWW48"/>
      <c r="SWX48"/>
      <c r="SWY48"/>
      <c r="SWZ48"/>
      <c r="SXA48"/>
      <c r="SXB48"/>
      <c r="SXC48"/>
      <c r="SXD48"/>
      <c r="SXE48"/>
      <c r="SXF48"/>
      <c r="SXG48"/>
      <c r="SXH48"/>
      <c r="SXI48"/>
      <c r="SXJ48"/>
      <c r="SXK48"/>
      <c r="SXL48"/>
      <c r="SXM48"/>
      <c r="SXN48"/>
      <c r="SXO48"/>
      <c r="SXP48"/>
      <c r="SXQ48"/>
      <c r="SXR48"/>
      <c r="SXS48"/>
      <c r="SXT48"/>
      <c r="SXU48"/>
      <c r="SXV48"/>
      <c r="SXW48"/>
      <c r="SXX48"/>
      <c r="SXY48"/>
      <c r="SXZ48"/>
      <c r="SYA48"/>
      <c r="SYB48"/>
      <c r="SYC48"/>
      <c r="SYD48"/>
      <c r="SYE48"/>
      <c r="SYF48"/>
      <c r="SYG48"/>
      <c r="SYH48"/>
      <c r="SYI48"/>
      <c r="SYJ48"/>
      <c r="SYK48"/>
      <c r="SYL48"/>
      <c r="SYM48"/>
      <c r="SYN48"/>
      <c r="SYO48"/>
      <c r="SYP48"/>
      <c r="SYQ48"/>
      <c r="SYR48"/>
      <c r="SYS48"/>
      <c r="SYT48"/>
      <c r="SYU48"/>
      <c r="SYV48"/>
      <c r="SYW48"/>
      <c r="SYX48"/>
      <c r="SYY48"/>
      <c r="SYZ48"/>
      <c r="SZA48"/>
      <c r="SZB48"/>
      <c r="SZC48"/>
      <c r="SZD48"/>
      <c r="SZE48"/>
      <c r="SZF48"/>
      <c r="SZG48"/>
      <c r="SZH48"/>
      <c r="SZI48"/>
      <c r="SZJ48"/>
      <c r="SZK48"/>
      <c r="SZL48"/>
      <c r="SZM48"/>
      <c r="SZN48"/>
      <c r="SZO48"/>
      <c r="SZP48"/>
      <c r="SZQ48"/>
      <c r="SZR48"/>
      <c r="SZS48"/>
      <c r="SZT48"/>
      <c r="SZU48"/>
      <c r="SZV48"/>
      <c r="SZW48"/>
      <c r="SZX48"/>
      <c r="SZY48"/>
      <c r="SZZ48"/>
      <c r="TAA48"/>
      <c r="TAB48"/>
      <c r="TAC48"/>
      <c r="TAD48"/>
      <c r="TAE48"/>
      <c r="TAF48"/>
      <c r="TAG48"/>
      <c r="TAH48"/>
      <c r="TAI48"/>
      <c r="TAJ48"/>
      <c r="TAK48"/>
      <c r="TAL48"/>
      <c r="TAM48"/>
      <c r="TAN48"/>
      <c r="TAO48"/>
      <c r="TAP48"/>
      <c r="TAQ48"/>
      <c r="TAR48"/>
      <c r="TAS48"/>
      <c r="TAT48"/>
      <c r="TAU48"/>
      <c r="TAV48"/>
      <c r="TAW48"/>
      <c r="TAX48"/>
      <c r="TAY48"/>
      <c r="TAZ48"/>
      <c r="TBA48"/>
      <c r="TBB48"/>
      <c r="TBC48"/>
      <c r="TBD48"/>
      <c r="TBE48"/>
      <c r="TBF48"/>
      <c r="TBG48"/>
      <c r="TBH48"/>
      <c r="TBI48"/>
      <c r="TBJ48"/>
      <c r="TBK48"/>
      <c r="TBL48"/>
      <c r="TBM48"/>
      <c r="TBN48"/>
      <c r="TBO48"/>
      <c r="TBP48"/>
      <c r="TBQ48"/>
      <c r="TBR48"/>
      <c r="TBS48"/>
      <c r="TBT48"/>
      <c r="TBU48"/>
      <c r="TBV48"/>
      <c r="TBW48"/>
      <c r="TBX48"/>
      <c r="TBY48"/>
      <c r="TBZ48"/>
      <c r="TCA48"/>
      <c r="TCB48"/>
      <c r="TCC48"/>
      <c r="TCD48"/>
      <c r="TCE48"/>
      <c r="TCF48"/>
      <c r="TCG48"/>
      <c r="TCH48"/>
      <c r="TCI48"/>
      <c r="TCJ48"/>
      <c r="TCK48"/>
      <c r="TCL48"/>
      <c r="TCM48"/>
      <c r="TCN48"/>
      <c r="TCO48"/>
      <c r="TCP48"/>
      <c r="TCQ48"/>
      <c r="TCR48"/>
      <c r="TCS48"/>
      <c r="TCT48"/>
      <c r="TCU48"/>
      <c r="TCV48"/>
      <c r="TCW48"/>
      <c r="TCX48"/>
      <c r="TCY48"/>
      <c r="TCZ48"/>
      <c r="TDA48"/>
      <c r="TDB48"/>
      <c r="TDC48"/>
      <c r="TDD48"/>
      <c r="TDE48"/>
      <c r="TDF48"/>
      <c r="TDG48"/>
      <c r="TDH48"/>
      <c r="TDI48"/>
      <c r="TDJ48"/>
      <c r="TDK48"/>
      <c r="TDL48"/>
      <c r="TDM48"/>
      <c r="TDN48"/>
      <c r="TDO48"/>
      <c r="TDP48"/>
      <c r="TDQ48"/>
      <c r="TDR48"/>
      <c r="TDS48"/>
      <c r="TDT48"/>
      <c r="TDU48"/>
      <c r="TDV48"/>
      <c r="TDW48"/>
      <c r="TDX48"/>
      <c r="TDY48"/>
      <c r="TDZ48"/>
      <c r="TEA48"/>
      <c r="TEB48"/>
      <c r="TEC48"/>
      <c r="TED48"/>
      <c r="TEE48"/>
      <c r="TEF48"/>
      <c r="TEG48"/>
      <c r="TEH48"/>
      <c r="TEI48"/>
      <c r="TEJ48"/>
      <c r="TEK48"/>
      <c r="TEL48"/>
      <c r="TEM48"/>
      <c r="TEN48"/>
      <c r="TEO48"/>
      <c r="TEP48"/>
      <c r="TEQ48"/>
      <c r="TER48"/>
      <c r="TES48"/>
      <c r="TET48"/>
      <c r="TEU48"/>
      <c r="TEV48"/>
      <c r="TEW48"/>
      <c r="TEX48"/>
      <c r="TEY48"/>
      <c r="TEZ48"/>
      <c r="TFA48"/>
      <c r="TFB48"/>
      <c r="TFC48"/>
      <c r="TFD48"/>
      <c r="TFE48"/>
      <c r="TFF48"/>
      <c r="TFG48"/>
      <c r="TFH48"/>
      <c r="TFI48"/>
      <c r="TFJ48"/>
      <c r="TFK48"/>
      <c r="TFL48"/>
      <c r="TFM48"/>
      <c r="TFN48"/>
      <c r="TFO48"/>
      <c r="TFP48"/>
      <c r="TFQ48"/>
      <c r="TFR48"/>
      <c r="TFS48"/>
      <c r="TFT48"/>
      <c r="TFU48"/>
      <c r="TFV48"/>
      <c r="TFW48"/>
      <c r="TFX48"/>
      <c r="TFY48"/>
      <c r="TFZ48"/>
      <c r="TGA48"/>
      <c r="TGB48"/>
      <c r="TGC48"/>
      <c r="TGD48"/>
      <c r="TGE48"/>
      <c r="TGF48"/>
      <c r="TGG48"/>
      <c r="TGH48"/>
      <c r="TGI48"/>
      <c r="TGJ48"/>
      <c r="TGK48"/>
      <c r="TGL48"/>
      <c r="TGM48"/>
      <c r="TGN48"/>
      <c r="TGO48"/>
      <c r="TGP48"/>
      <c r="TGQ48"/>
      <c r="TGR48"/>
      <c r="TGS48"/>
      <c r="TGT48"/>
      <c r="TGU48"/>
      <c r="TGV48"/>
      <c r="TGW48"/>
      <c r="TGX48"/>
      <c r="TGY48"/>
      <c r="TGZ48"/>
      <c r="THA48"/>
      <c r="THB48"/>
      <c r="THC48"/>
      <c r="THD48"/>
      <c r="THE48"/>
      <c r="THF48"/>
      <c r="THG48"/>
      <c r="THH48"/>
      <c r="THI48"/>
      <c r="THJ48"/>
      <c r="THK48"/>
      <c r="THL48"/>
      <c r="THM48"/>
      <c r="THN48"/>
      <c r="THO48"/>
      <c r="THP48"/>
      <c r="THQ48"/>
      <c r="THR48"/>
      <c r="THS48"/>
      <c r="THT48"/>
      <c r="THU48"/>
      <c r="THV48"/>
      <c r="THW48"/>
      <c r="THX48"/>
      <c r="THY48"/>
      <c r="THZ48"/>
      <c r="TIA48"/>
      <c r="TIB48"/>
      <c r="TIC48"/>
      <c r="TID48"/>
      <c r="TIE48"/>
      <c r="TIF48"/>
      <c r="TIG48"/>
      <c r="TIH48"/>
      <c r="TII48"/>
      <c r="TIJ48"/>
      <c r="TIK48"/>
      <c r="TIL48"/>
      <c r="TIM48"/>
      <c r="TIN48"/>
      <c r="TIO48"/>
      <c r="TIP48"/>
      <c r="TIQ48"/>
      <c r="TIR48"/>
      <c r="TIS48"/>
      <c r="TIT48"/>
      <c r="TIU48"/>
      <c r="TIV48"/>
      <c r="TIW48"/>
      <c r="TIX48"/>
      <c r="TIY48"/>
      <c r="TIZ48"/>
      <c r="TJA48"/>
      <c r="TJB48"/>
      <c r="TJC48"/>
      <c r="TJD48"/>
      <c r="TJE48"/>
      <c r="TJF48"/>
      <c r="TJG48"/>
      <c r="TJH48"/>
      <c r="TJI48"/>
      <c r="TJJ48"/>
      <c r="TJK48"/>
      <c r="TJL48"/>
      <c r="TJM48"/>
      <c r="TJN48"/>
      <c r="TJO48"/>
      <c r="TJP48"/>
      <c r="TJQ48"/>
      <c r="TJR48"/>
      <c r="TJS48"/>
      <c r="TJT48"/>
      <c r="TJU48"/>
      <c r="TJV48"/>
      <c r="TJW48"/>
      <c r="TJX48"/>
      <c r="TJY48"/>
      <c r="TJZ48"/>
      <c r="TKA48"/>
      <c r="TKB48"/>
      <c r="TKC48"/>
      <c r="TKD48"/>
      <c r="TKE48"/>
      <c r="TKF48"/>
      <c r="TKG48"/>
      <c r="TKH48"/>
      <c r="TKI48"/>
      <c r="TKJ48"/>
      <c r="TKK48"/>
      <c r="TKL48"/>
      <c r="TKM48"/>
      <c r="TKN48"/>
      <c r="TKO48"/>
      <c r="TKP48"/>
      <c r="TKQ48"/>
      <c r="TKR48"/>
      <c r="TKS48"/>
      <c r="TKT48"/>
      <c r="TKU48"/>
      <c r="TKV48"/>
      <c r="TKW48"/>
      <c r="TKX48"/>
      <c r="TKY48"/>
      <c r="TKZ48"/>
      <c r="TLA48"/>
      <c r="TLB48"/>
      <c r="TLC48"/>
      <c r="TLD48"/>
      <c r="TLE48"/>
      <c r="TLF48"/>
      <c r="TLG48"/>
      <c r="TLH48"/>
      <c r="TLI48"/>
      <c r="TLJ48"/>
      <c r="TLK48"/>
      <c r="TLL48"/>
      <c r="TLM48"/>
      <c r="TLN48"/>
      <c r="TLO48"/>
      <c r="TLP48"/>
      <c r="TLQ48"/>
      <c r="TLR48"/>
      <c r="TLS48"/>
      <c r="TLT48"/>
      <c r="TLU48"/>
      <c r="TLV48"/>
      <c r="TLW48"/>
      <c r="TLX48"/>
      <c r="TLY48"/>
      <c r="TLZ48"/>
      <c r="TMA48"/>
      <c r="TMB48"/>
      <c r="TMC48"/>
      <c r="TMD48"/>
      <c r="TME48"/>
      <c r="TMF48"/>
      <c r="TMG48"/>
      <c r="TMH48"/>
      <c r="TMI48"/>
      <c r="TMJ48"/>
      <c r="TMK48"/>
      <c r="TML48"/>
      <c r="TMM48"/>
      <c r="TMN48"/>
      <c r="TMO48"/>
      <c r="TMP48"/>
      <c r="TMQ48"/>
      <c r="TMR48"/>
      <c r="TMS48"/>
      <c r="TMT48"/>
      <c r="TMU48"/>
      <c r="TMV48"/>
      <c r="TMW48"/>
      <c r="TMX48"/>
      <c r="TMY48"/>
      <c r="TMZ48"/>
      <c r="TNA48"/>
      <c r="TNB48"/>
      <c r="TNC48"/>
      <c r="TND48"/>
      <c r="TNE48"/>
      <c r="TNF48"/>
      <c r="TNG48"/>
      <c r="TNH48"/>
      <c r="TNI48"/>
      <c r="TNJ48"/>
      <c r="TNK48"/>
      <c r="TNL48"/>
      <c r="TNM48"/>
      <c r="TNN48"/>
      <c r="TNO48"/>
      <c r="TNP48"/>
      <c r="TNQ48"/>
      <c r="TNR48"/>
      <c r="TNS48"/>
      <c r="TNT48"/>
      <c r="TNU48"/>
      <c r="TNV48"/>
      <c r="TNW48"/>
      <c r="TNX48"/>
      <c r="TNY48"/>
      <c r="TNZ48"/>
      <c r="TOA48"/>
      <c r="TOB48"/>
      <c r="TOC48"/>
      <c r="TOD48"/>
      <c r="TOE48"/>
      <c r="TOF48"/>
      <c r="TOG48"/>
      <c r="TOH48"/>
      <c r="TOI48"/>
      <c r="TOJ48"/>
      <c r="TOK48"/>
      <c r="TOL48"/>
      <c r="TOM48"/>
      <c r="TON48"/>
      <c r="TOO48"/>
      <c r="TOP48"/>
      <c r="TOQ48"/>
      <c r="TOR48"/>
      <c r="TOS48"/>
      <c r="TOT48"/>
      <c r="TOU48"/>
      <c r="TOV48"/>
      <c r="TOW48"/>
      <c r="TOX48"/>
      <c r="TOY48"/>
      <c r="TOZ48"/>
      <c r="TPA48"/>
      <c r="TPB48"/>
      <c r="TPC48"/>
      <c r="TPD48"/>
      <c r="TPE48"/>
      <c r="TPF48"/>
      <c r="TPG48"/>
      <c r="TPH48"/>
      <c r="TPI48"/>
      <c r="TPJ48"/>
      <c r="TPK48"/>
      <c r="TPL48"/>
      <c r="TPM48"/>
      <c r="TPN48"/>
      <c r="TPO48"/>
      <c r="TPP48"/>
      <c r="TPQ48"/>
      <c r="TPR48"/>
      <c r="TPS48"/>
      <c r="TPT48"/>
      <c r="TPU48"/>
      <c r="TPV48"/>
      <c r="TPW48"/>
      <c r="TPX48"/>
      <c r="TPY48"/>
      <c r="TPZ48"/>
      <c r="TQA48"/>
      <c r="TQB48"/>
      <c r="TQC48"/>
      <c r="TQD48"/>
      <c r="TQE48"/>
      <c r="TQF48"/>
      <c r="TQG48"/>
      <c r="TQH48"/>
      <c r="TQI48"/>
      <c r="TQJ48"/>
      <c r="TQK48"/>
      <c r="TQL48"/>
      <c r="TQM48"/>
      <c r="TQN48"/>
      <c r="TQO48"/>
      <c r="TQP48"/>
      <c r="TQQ48"/>
      <c r="TQR48"/>
      <c r="TQS48"/>
      <c r="TQT48"/>
      <c r="TQU48"/>
      <c r="TQV48"/>
      <c r="TQW48"/>
      <c r="TQX48"/>
      <c r="TQY48"/>
      <c r="TQZ48"/>
      <c r="TRA48"/>
      <c r="TRB48"/>
      <c r="TRC48"/>
      <c r="TRD48"/>
      <c r="TRE48"/>
      <c r="TRF48"/>
      <c r="TRG48"/>
      <c r="TRH48"/>
      <c r="TRI48"/>
      <c r="TRJ48"/>
      <c r="TRK48"/>
      <c r="TRL48"/>
      <c r="TRM48"/>
      <c r="TRN48"/>
      <c r="TRO48"/>
      <c r="TRP48"/>
      <c r="TRQ48"/>
      <c r="TRR48"/>
      <c r="TRS48"/>
      <c r="TRT48"/>
      <c r="TRU48"/>
      <c r="TRV48"/>
      <c r="TRW48"/>
      <c r="TRX48"/>
      <c r="TRY48"/>
      <c r="TRZ48"/>
      <c r="TSA48"/>
      <c r="TSB48"/>
      <c r="TSC48"/>
      <c r="TSD48"/>
      <c r="TSE48"/>
      <c r="TSF48"/>
      <c r="TSG48"/>
      <c r="TSH48"/>
      <c r="TSI48"/>
      <c r="TSJ48"/>
      <c r="TSK48"/>
      <c r="TSL48"/>
      <c r="TSM48"/>
      <c r="TSN48"/>
      <c r="TSO48"/>
      <c r="TSP48"/>
      <c r="TSQ48"/>
      <c r="TSR48"/>
      <c r="TSS48"/>
      <c r="TST48"/>
      <c r="TSU48"/>
      <c r="TSV48"/>
      <c r="TSW48"/>
      <c r="TSX48"/>
      <c r="TSY48"/>
      <c r="TSZ48"/>
      <c r="TTA48"/>
      <c r="TTB48"/>
      <c r="TTC48"/>
      <c r="TTD48"/>
      <c r="TTE48"/>
      <c r="TTF48"/>
      <c r="TTG48"/>
      <c r="TTH48"/>
      <c r="TTI48"/>
      <c r="TTJ48"/>
      <c r="TTK48"/>
      <c r="TTL48"/>
      <c r="TTM48"/>
      <c r="TTN48"/>
      <c r="TTO48"/>
      <c r="TTP48"/>
      <c r="TTQ48"/>
      <c r="TTR48"/>
      <c r="TTS48"/>
      <c r="TTT48"/>
      <c r="TTU48"/>
      <c r="TTV48"/>
      <c r="TTW48"/>
      <c r="TTX48"/>
      <c r="TTY48"/>
      <c r="TTZ48"/>
      <c r="TUA48"/>
      <c r="TUB48"/>
      <c r="TUC48"/>
      <c r="TUD48"/>
      <c r="TUE48"/>
      <c r="TUF48"/>
      <c r="TUG48"/>
      <c r="TUH48"/>
      <c r="TUI48"/>
      <c r="TUJ48"/>
      <c r="TUK48"/>
      <c r="TUL48"/>
      <c r="TUM48"/>
      <c r="TUN48"/>
      <c r="TUO48"/>
      <c r="TUP48"/>
      <c r="TUQ48"/>
      <c r="TUR48"/>
      <c r="TUS48"/>
      <c r="TUT48"/>
      <c r="TUU48"/>
      <c r="TUV48"/>
      <c r="TUW48"/>
      <c r="TUX48"/>
      <c r="TUY48"/>
      <c r="TUZ48"/>
      <c r="TVA48"/>
      <c r="TVB48"/>
      <c r="TVC48"/>
      <c r="TVD48"/>
      <c r="TVE48"/>
      <c r="TVF48"/>
      <c r="TVG48"/>
      <c r="TVH48"/>
      <c r="TVI48"/>
      <c r="TVJ48"/>
      <c r="TVK48"/>
      <c r="TVL48"/>
      <c r="TVM48"/>
      <c r="TVN48"/>
      <c r="TVO48"/>
      <c r="TVP48"/>
      <c r="TVQ48"/>
      <c r="TVR48"/>
      <c r="TVS48"/>
      <c r="TVT48"/>
      <c r="TVU48"/>
      <c r="TVV48"/>
      <c r="TVW48"/>
      <c r="TVX48"/>
      <c r="TVY48"/>
      <c r="TVZ48"/>
      <c r="TWA48"/>
      <c r="TWB48"/>
      <c r="TWC48"/>
      <c r="TWD48"/>
      <c r="TWE48"/>
      <c r="TWF48"/>
      <c r="TWG48"/>
      <c r="TWH48"/>
      <c r="TWI48"/>
      <c r="TWJ48"/>
      <c r="TWK48"/>
      <c r="TWL48"/>
      <c r="TWM48"/>
      <c r="TWN48"/>
      <c r="TWO48"/>
      <c r="TWP48"/>
      <c r="TWQ48"/>
      <c r="TWR48"/>
      <c r="TWS48"/>
      <c r="TWT48"/>
      <c r="TWU48"/>
      <c r="TWV48"/>
      <c r="TWW48"/>
      <c r="TWX48"/>
      <c r="TWY48"/>
      <c r="TWZ48"/>
      <c r="TXA48"/>
      <c r="TXB48"/>
      <c r="TXC48"/>
      <c r="TXD48"/>
      <c r="TXE48"/>
      <c r="TXF48"/>
      <c r="TXG48"/>
      <c r="TXH48"/>
      <c r="TXI48"/>
      <c r="TXJ48"/>
      <c r="TXK48"/>
      <c r="TXL48"/>
      <c r="TXM48"/>
      <c r="TXN48"/>
      <c r="TXO48"/>
      <c r="TXP48"/>
      <c r="TXQ48"/>
      <c r="TXR48"/>
      <c r="TXS48"/>
      <c r="TXT48"/>
      <c r="TXU48"/>
      <c r="TXV48"/>
      <c r="TXW48"/>
      <c r="TXX48"/>
      <c r="TXY48"/>
      <c r="TXZ48"/>
      <c r="TYA48"/>
      <c r="TYB48"/>
      <c r="TYC48"/>
      <c r="TYD48"/>
      <c r="TYE48"/>
      <c r="TYF48"/>
      <c r="TYG48"/>
      <c r="TYH48"/>
      <c r="TYI48"/>
      <c r="TYJ48"/>
      <c r="TYK48"/>
      <c r="TYL48"/>
      <c r="TYM48"/>
      <c r="TYN48"/>
      <c r="TYO48"/>
      <c r="TYP48"/>
      <c r="TYQ48"/>
      <c r="TYR48"/>
      <c r="TYS48"/>
      <c r="TYT48"/>
      <c r="TYU48"/>
      <c r="TYV48"/>
      <c r="TYW48"/>
      <c r="TYX48"/>
      <c r="TYY48"/>
      <c r="TYZ48"/>
      <c r="TZA48"/>
      <c r="TZB48"/>
      <c r="TZC48"/>
      <c r="TZD48"/>
      <c r="TZE48"/>
      <c r="TZF48"/>
      <c r="TZG48"/>
      <c r="TZH48"/>
      <c r="TZI48"/>
      <c r="TZJ48"/>
      <c r="TZK48"/>
      <c r="TZL48"/>
      <c r="TZM48"/>
      <c r="TZN48"/>
      <c r="TZO48"/>
      <c r="TZP48"/>
      <c r="TZQ48"/>
      <c r="TZR48"/>
      <c r="TZS48"/>
      <c r="TZT48"/>
      <c r="TZU48"/>
      <c r="TZV48"/>
      <c r="TZW48"/>
      <c r="TZX48"/>
      <c r="TZY48"/>
      <c r="TZZ48"/>
      <c r="UAA48"/>
      <c r="UAB48"/>
      <c r="UAC48"/>
      <c r="UAD48"/>
      <c r="UAE48"/>
      <c r="UAF48"/>
      <c r="UAG48"/>
      <c r="UAH48"/>
      <c r="UAI48"/>
      <c r="UAJ48"/>
      <c r="UAK48"/>
      <c r="UAL48"/>
      <c r="UAM48"/>
      <c r="UAN48"/>
      <c r="UAO48"/>
      <c r="UAP48"/>
      <c r="UAQ48"/>
      <c r="UAR48"/>
      <c r="UAS48"/>
      <c r="UAT48"/>
      <c r="UAU48"/>
      <c r="UAV48"/>
      <c r="UAW48"/>
      <c r="UAX48"/>
      <c r="UAY48"/>
      <c r="UAZ48"/>
      <c r="UBA48"/>
      <c r="UBB48"/>
      <c r="UBC48"/>
      <c r="UBD48"/>
      <c r="UBE48"/>
      <c r="UBF48"/>
      <c r="UBG48"/>
      <c r="UBH48"/>
      <c r="UBI48"/>
      <c r="UBJ48"/>
      <c r="UBK48"/>
      <c r="UBL48"/>
      <c r="UBM48"/>
      <c r="UBN48"/>
      <c r="UBO48"/>
      <c r="UBP48"/>
      <c r="UBQ48"/>
      <c r="UBR48"/>
      <c r="UBS48"/>
      <c r="UBT48"/>
      <c r="UBU48"/>
      <c r="UBV48"/>
      <c r="UBW48"/>
      <c r="UBX48"/>
      <c r="UBY48"/>
      <c r="UBZ48"/>
      <c r="UCA48"/>
      <c r="UCB48"/>
      <c r="UCC48"/>
      <c r="UCD48"/>
      <c r="UCE48"/>
      <c r="UCF48"/>
      <c r="UCG48"/>
      <c r="UCH48"/>
      <c r="UCI48"/>
      <c r="UCJ48"/>
      <c r="UCK48"/>
      <c r="UCL48"/>
      <c r="UCM48"/>
      <c r="UCN48"/>
      <c r="UCO48"/>
      <c r="UCP48"/>
      <c r="UCQ48"/>
      <c r="UCR48"/>
      <c r="UCS48"/>
      <c r="UCT48"/>
      <c r="UCU48"/>
      <c r="UCV48"/>
      <c r="UCW48"/>
      <c r="UCX48"/>
      <c r="UCY48"/>
      <c r="UCZ48"/>
      <c r="UDA48"/>
      <c r="UDB48"/>
      <c r="UDC48"/>
      <c r="UDD48"/>
      <c r="UDE48"/>
      <c r="UDF48"/>
      <c r="UDG48"/>
      <c r="UDH48"/>
      <c r="UDI48"/>
      <c r="UDJ48"/>
      <c r="UDK48"/>
      <c r="UDL48"/>
      <c r="UDM48"/>
      <c r="UDN48"/>
      <c r="UDO48"/>
      <c r="UDP48"/>
      <c r="UDQ48"/>
      <c r="UDR48"/>
      <c r="UDS48"/>
      <c r="UDT48"/>
      <c r="UDU48"/>
      <c r="UDV48"/>
      <c r="UDW48"/>
      <c r="UDX48"/>
      <c r="UDY48"/>
      <c r="UDZ48"/>
      <c r="UEA48"/>
      <c r="UEB48"/>
      <c r="UEC48"/>
      <c r="UED48"/>
      <c r="UEE48"/>
      <c r="UEF48"/>
      <c r="UEG48"/>
      <c r="UEH48"/>
      <c r="UEI48"/>
      <c r="UEJ48"/>
      <c r="UEK48"/>
      <c r="UEL48"/>
      <c r="UEM48"/>
      <c r="UEN48"/>
      <c r="UEO48"/>
      <c r="UEP48"/>
      <c r="UEQ48"/>
      <c r="UER48"/>
      <c r="UES48"/>
      <c r="UET48"/>
      <c r="UEU48"/>
      <c r="UEV48"/>
      <c r="UEW48"/>
      <c r="UEX48"/>
      <c r="UEY48"/>
      <c r="UEZ48"/>
      <c r="UFA48"/>
      <c r="UFB48"/>
      <c r="UFC48"/>
      <c r="UFD48"/>
      <c r="UFE48"/>
      <c r="UFF48"/>
      <c r="UFG48"/>
      <c r="UFH48"/>
      <c r="UFI48"/>
      <c r="UFJ48"/>
      <c r="UFK48"/>
      <c r="UFL48"/>
      <c r="UFM48"/>
      <c r="UFN48"/>
      <c r="UFO48"/>
      <c r="UFP48"/>
      <c r="UFQ48"/>
      <c r="UFR48"/>
      <c r="UFS48"/>
      <c r="UFT48"/>
      <c r="UFU48"/>
      <c r="UFV48"/>
      <c r="UFW48"/>
      <c r="UFX48"/>
      <c r="UFY48"/>
      <c r="UFZ48"/>
      <c r="UGA48"/>
      <c r="UGB48"/>
      <c r="UGC48"/>
      <c r="UGD48"/>
      <c r="UGE48"/>
      <c r="UGF48"/>
      <c r="UGG48"/>
      <c r="UGH48"/>
      <c r="UGI48"/>
      <c r="UGJ48"/>
      <c r="UGK48"/>
      <c r="UGL48"/>
      <c r="UGM48"/>
      <c r="UGN48"/>
      <c r="UGO48"/>
      <c r="UGP48"/>
      <c r="UGQ48"/>
      <c r="UGR48"/>
      <c r="UGS48"/>
      <c r="UGT48"/>
      <c r="UGU48"/>
      <c r="UGV48"/>
      <c r="UGW48"/>
      <c r="UGX48"/>
      <c r="UGY48"/>
      <c r="UGZ48"/>
      <c r="UHA48"/>
      <c r="UHB48"/>
      <c r="UHC48"/>
      <c r="UHD48"/>
      <c r="UHE48"/>
      <c r="UHF48"/>
      <c r="UHG48"/>
      <c r="UHH48"/>
      <c r="UHI48"/>
      <c r="UHJ48"/>
      <c r="UHK48"/>
      <c r="UHL48"/>
      <c r="UHM48"/>
      <c r="UHN48"/>
      <c r="UHO48"/>
      <c r="UHP48"/>
      <c r="UHQ48"/>
      <c r="UHR48"/>
      <c r="UHS48"/>
      <c r="UHT48"/>
      <c r="UHU48"/>
      <c r="UHV48"/>
      <c r="UHW48"/>
      <c r="UHX48"/>
      <c r="UHY48"/>
      <c r="UHZ48"/>
      <c r="UIA48"/>
      <c r="UIB48"/>
      <c r="UIC48"/>
      <c r="UID48"/>
      <c r="UIE48"/>
      <c r="UIF48"/>
      <c r="UIG48"/>
      <c r="UIH48"/>
      <c r="UII48"/>
      <c r="UIJ48"/>
      <c r="UIK48"/>
      <c r="UIL48"/>
      <c r="UIM48"/>
      <c r="UIN48"/>
      <c r="UIO48"/>
      <c r="UIP48"/>
      <c r="UIQ48"/>
      <c r="UIR48"/>
      <c r="UIS48"/>
      <c r="UIT48"/>
      <c r="UIU48"/>
      <c r="UIV48"/>
      <c r="UIW48"/>
      <c r="UIX48"/>
      <c r="UIY48"/>
      <c r="UIZ48"/>
      <c r="UJA48"/>
      <c r="UJB48"/>
      <c r="UJC48"/>
      <c r="UJD48"/>
      <c r="UJE48"/>
      <c r="UJF48"/>
      <c r="UJG48"/>
      <c r="UJH48"/>
      <c r="UJI48"/>
      <c r="UJJ48"/>
      <c r="UJK48"/>
      <c r="UJL48"/>
      <c r="UJM48"/>
      <c r="UJN48"/>
      <c r="UJO48"/>
      <c r="UJP48"/>
      <c r="UJQ48"/>
      <c r="UJR48"/>
      <c r="UJS48"/>
      <c r="UJT48"/>
      <c r="UJU48"/>
      <c r="UJV48"/>
      <c r="UJW48"/>
      <c r="UJX48"/>
      <c r="UJY48"/>
      <c r="UJZ48"/>
      <c r="UKA48"/>
      <c r="UKB48"/>
      <c r="UKC48"/>
      <c r="UKD48"/>
      <c r="UKE48"/>
      <c r="UKF48"/>
      <c r="UKG48"/>
      <c r="UKH48"/>
      <c r="UKI48"/>
      <c r="UKJ48"/>
      <c r="UKK48"/>
      <c r="UKL48"/>
      <c r="UKM48"/>
      <c r="UKN48"/>
      <c r="UKO48"/>
      <c r="UKP48"/>
      <c r="UKQ48"/>
      <c r="UKR48"/>
      <c r="UKS48"/>
      <c r="UKT48"/>
      <c r="UKU48"/>
      <c r="UKV48"/>
      <c r="UKW48"/>
      <c r="UKX48"/>
      <c r="UKY48"/>
      <c r="UKZ48"/>
      <c r="ULA48"/>
      <c r="ULB48"/>
      <c r="ULC48"/>
      <c r="ULD48"/>
      <c r="ULE48"/>
      <c r="ULF48"/>
      <c r="ULG48"/>
      <c r="ULH48"/>
      <c r="ULI48"/>
      <c r="ULJ48"/>
      <c r="ULK48"/>
      <c r="ULL48"/>
      <c r="ULM48"/>
      <c r="ULN48"/>
      <c r="ULO48"/>
      <c r="ULP48"/>
      <c r="ULQ48"/>
      <c r="ULR48"/>
      <c r="ULS48"/>
      <c r="ULT48"/>
      <c r="ULU48"/>
      <c r="ULV48"/>
      <c r="ULW48"/>
      <c r="ULX48"/>
      <c r="ULY48"/>
      <c r="ULZ48"/>
      <c r="UMA48"/>
      <c r="UMB48"/>
      <c r="UMC48"/>
      <c r="UMD48"/>
      <c r="UME48"/>
      <c r="UMF48"/>
      <c r="UMG48"/>
      <c r="UMH48"/>
      <c r="UMI48"/>
      <c r="UMJ48"/>
      <c r="UMK48"/>
      <c r="UML48"/>
      <c r="UMM48"/>
      <c r="UMN48"/>
      <c r="UMO48"/>
      <c r="UMP48"/>
      <c r="UMQ48"/>
      <c r="UMR48"/>
      <c r="UMS48"/>
      <c r="UMT48"/>
      <c r="UMU48"/>
      <c r="UMV48"/>
      <c r="UMW48"/>
      <c r="UMX48"/>
      <c r="UMY48"/>
      <c r="UMZ48"/>
      <c r="UNA48"/>
      <c r="UNB48"/>
      <c r="UNC48"/>
      <c r="UND48"/>
      <c r="UNE48"/>
      <c r="UNF48"/>
      <c r="UNG48"/>
      <c r="UNH48"/>
      <c r="UNI48"/>
      <c r="UNJ48"/>
      <c r="UNK48"/>
      <c r="UNL48"/>
      <c r="UNM48"/>
      <c r="UNN48"/>
      <c r="UNO48"/>
      <c r="UNP48"/>
      <c r="UNQ48"/>
      <c r="UNR48"/>
      <c r="UNS48"/>
      <c r="UNT48"/>
      <c r="UNU48"/>
      <c r="UNV48"/>
      <c r="UNW48"/>
      <c r="UNX48"/>
      <c r="UNY48"/>
      <c r="UNZ48"/>
      <c r="UOA48"/>
      <c r="UOB48"/>
      <c r="UOC48"/>
      <c r="UOD48"/>
      <c r="UOE48"/>
      <c r="UOF48"/>
      <c r="UOG48"/>
      <c r="UOH48"/>
      <c r="UOI48"/>
      <c r="UOJ48"/>
      <c r="UOK48"/>
      <c r="UOL48"/>
      <c r="UOM48"/>
      <c r="UON48"/>
      <c r="UOO48"/>
      <c r="UOP48"/>
      <c r="UOQ48"/>
      <c r="UOR48"/>
      <c r="UOS48"/>
      <c r="UOT48"/>
      <c r="UOU48"/>
      <c r="UOV48"/>
      <c r="UOW48"/>
      <c r="UOX48"/>
      <c r="UOY48"/>
      <c r="UOZ48"/>
      <c r="UPA48"/>
      <c r="UPB48"/>
      <c r="UPC48"/>
      <c r="UPD48"/>
      <c r="UPE48"/>
      <c r="UPF48"/>
      <c r="UPG48"/>
      <c r="UPH48"/>
      <c r="UPI48"/>
      <c r="UPJ48"/>
      <c r="UPK48"/>
      <c r="UPL48"/>
      <c r="UPM48"/>
      <c r="UPN48"/>
      <c r="UPO48"/>
      <c r="UPP48"/>
      <c r="UPQ48"/>
      <c r="UPR48"/>
      <c r="UPS48"/>
      <c r="UPT48"/>
      <c r="UPU48"/>
      <c r="UPV48"/>
      <c r="UPW48"/>
      <c r="UPX48"/>
      <c r="UPY48"/>
      <c r="UPZ48"/>
      <c r="UQA48"/>
      <c r="UQB48"/>
      <c r="UQC48"/>
      <c r="UQD48"/>
      <c r="UQE48"/>
      <c r="UQF48"/>
      <c r="UQG48"/>
      <c r="UQH48"/>
      <c r="UQI48"/>
      <c r="UQJ48"/>
      <c r="UQK48"/>
      <c r="UQL48"/>
      <c r="UQM48"/>
      <c r="UQN48"/>
      <c r="UQO48"/>
      <c r="UQP48"/>
      <c r="UQQ48"/>
      <c r="UQR48"/>
      <c r="UQS48"/>
      <c r="UQT48"/>
      <c r="UQU48"/>
      <c r="UQV48"/>
      <c r="UQW48"/>
      <c r="UQX48"/>
      <c r="UQY48"/>
      <c r="UQZ48"/>
      <c r="URA48"/>
      <c r="URB48"/>
      <c r="URC48"/>
      <c r="URD48"/>
      <c r="URE48"/>
      <c r="URF48"/>
      <c r="URG48"/>
      <c r="URH48"/>
      <c r="URI48"/>
      <c r="URJ48"/>
      <c r="URK48"/>
      <c r="URL48"/>
      <c r="URM48"/>
      <c r="URN48"/>
      <c r="URO48"/>
      <c r="URP48"/>
      <c r="URQ48"/>
      <c r="URR48"/>
      <c r="URS48"/>
      <c r="URT48"/>
      <c r="URU48"/>
      <c r="URV48"/>
      <c r="URW48"/>
      <c r="URX48"/>
      <c r="URY48"/>
      <c r="URZ48"/>
      <c r="USA48"/>
      <c r="USB48"/>
      <c r="USC48"/>
      <c r="USD48"/>
      <c r="USE48"/>
      <c r="USF48"/>
      <c r="USG48"/>
      <c r="USH48"/>
      <c r="USI48"/>
      <c r="USJ48"/>
      <c r="USK48"/>
      <c r="USL48"/>
      <c r="USM48"/>
      <c r="USN48"/>
      <c r="USO48"/>
      <c r="USP48"/>
      <c r="USQ48"/>
      <c r="USR48"/>
      <c r="USS48"/>
      <c r="UST48"/>
      <c r="USU48"/>
      <c r="USV48"/>
      <c r="USW48"/>
      <c r="USX48"/>
      <c r="USY48"/>
      <c r="USZ48"/>
      <c r="UTA48"/>
      <c r="UTB48"/>
      <c r="UTC48"/>
      <c r="UTD48"/>
      <c r="UTE48"/>
      <c r="UTF48"/>
      <c r="UTG48"/>
      <c r="UTH48"/>
      <c r="UTI48"/>
      <c r="UTJ48"/>
      <c r="UTK48"/>
      <c r="UTL48"/>
      <c r="UTM48"/>
      <c r="UTN48"/>
      <c r="UTO48"/>
      <c r="UTP48"/>
      <c r="UTQ48"/>
      <c r="UTR48"/>
      <c r="UTS48"/>
      <c r="UTT48"/>
      <c r="UTU48"/>
      <c r="UTV48"/>
      <c r="UTW48"/>
      <c r="UTX48"/>
      <c r="UTY48"/>
      <c r="UTZ48"/>
      <c r="UUA48"/>
      <c r="UUB48"/>
      <c r="UUC48"/>
      <c r="UUD48"/>
      <c r="UUE48"/>
      <c r="UUF48"/>
      <c r="UUG48"/>
      <c r="UUH48"/>
      <c r="UUI48"/>
      <c r="UUJ48"/>
      <c r="UUK48"/>
      <c r="UUL48"/>
      <c r="UUM48"/>
      <c r="UUN48"/>
      <c r="UUO48"/>
      <c r="UUP48"/>
      <c r="UUQ48"/>
      <c r="UUR48"/>
      <c r="UUS48"/>
      <c r="UUT48"/>
      <c r="UUU48"/>
      <c r="UUV48"/>
      <c r="UUW48"/>
      <c r="UUX48"/>
      <c r="UUY48"/>
      <c r="UUZ48"/>
      <c r="UVA48"/>
      <c r="UVB48"/>
      <c r="UVC48"/>
      <c r="UVD48"/>
      <c r="UVE48"/>
      <c r="UVF48"/>
      <c r="UVG48"/>
      <c r="UVH48"/>
      <c r="UVI48"/>
      <c r="UVJ48"/>
      <c r="UVK48"/>
      <c r="UVL48"/>
      <c r="UVM48"/>
      <c r="UVN48"/>
      <c r="UVO48"/>
      <c r="UVP48"/>
      <c r="UVQ48"/>
      <c r="UVR48"/>
      <c r="UVS48"/>
      <c r="UVT48"/>
      <c r="UVU48"/>
      <c r="UVV48"/>
      <c r="UVW48"/>
      <c r="UVX48"/>
      <c r="UVY48"/>
      <c r="UVZ48"/>
      <c r="UWA48"/>
      <c r="UWB48"/>
      <c r="UWC48"/>
      <c r="UWD48"/>
      <c r="UWE48"/>
      <c r="UWF48"/>
      <c r="UWG48"/>
      <c r="UWH48"/>
      <c r="UWI48"/>
      <c r="UWJ48"/>
      <c r="UWK48"/>
      <c r="UWL48"/>
      <c r="UWM48"/>
      <c r="UWN48"/>
      <c r="UWO48"/>
      <c r="UWP48"/>
      <c r="UWQ48"/>
      <c r="UWR48"/>
      <c r="UWS48"/>
      <c r="UWT48"/>
      <c r="UWU48"/>
      <c r="UWV48"/>
      <c r="UWW48"/>
      <c r="UWX48"/>
      <c r="UWY48"/>
      <c r="UWZ48"/>
      <c r="UXA48"/>
      <c r="UXB48"/>
      <c r="UXC48"/>
      <c r="UXD48"/>
      <c r="UXE48"/>
      <c r="UXF48"/>
      <c r="UXG48"/>
      <c r="UXH48"/>
      <c r="UXI48"/>
      <c r="UXJ48"/>
      <c r="UXK48"/>
      <c r="UXL48"/>
      <c r="UXM48"/>
      <c r="UXN48"/>
      <c r="UXO48"/>
      <c r="UXP48"/>
      <c r="UXQ48"/>
      <c r="UXR48"/>
      <c r="UXS48"/>
      <c r="UXT48"/>
      <c r="UXU48"/>
      <c r="UXV48"/>
      <c r="UXW48"/>
      <c r="UXX48"/>
      <c r="UXY48"/>
      <c r="UXZ48"/>
      <c r="UYA48"/>
      <c r="UYB48"/>
      <c r="UYC48"/>
      <c r="UYD48"/>
      <c r="UYE48"/>
      <c r="UYF48"/>
      <c r="UYG48"/>
      <c r="UYH48"/>
      <c r="UYI48"/>
      <c r="UYJ48"/>
      <c r="UYK48"/>
      <c r="UYL48"/>
      <c r="UYM48"/>
      <c r="UYN48"/>
      <c r="UYO48"/>
      <c r="UYP48"/>
      <c r="UYQ48"/>
      <c r="UYR48"/>
      <c r="UYS48"/>
      <c r="UYT48"/>
      <c r="UYU48"/>
      <c r="UYV48"/>
      <c r="UYW48"/>
      <c r="UYX48"/>
      <c r="UYY48"/>
      <c r="UYZ48"/>
      <c r="UZA48"/>
      <c r="UZB48"/>
      <c r="UZC48"/>
      <c r="UZD48"/>
      <c r="UZE48"/>
      <c r="UZF48"/>
      <c r="UZG48"/>
      <c r="UZH48"/>
      <c r="UZI48"/>
      <c r="UZJ48"/>
      <c r="UZK48"/>
      <c r="UZL48"/>
      <c r="UZM48"/>
      <c r="UZN48"/>
      <c r="UZO48"/>
      <c r="UZP48"/>
      <c r="UZQ48"/>
      <c r="UZR48"/>
      <c r="UZS48"/>
      <c r="UZT48"/>
      <c r="UZU48"/>
      <c r="UZV48"/>
      <c r="UZW48"/>
      <c r="UZX48"/>
      <c r="UZY48"/>
      <c r="UZZ48"/>
      <c r="VAA48"/>
      <c r="VAB48"/>
      <c r="VAC48"/>
      <c r="VAD48"/>
      <c r="VAE48"/>
      <c r="VAF48"/>
      <c r="VAG48"/>
      <c r="VAH48"/>
      <c r="VAI48"/>
      <c r="VAJ48"/>
      <c r="VAK48"/>
      <c r="VAL48"/>
      <c r="VAM48"/>
      <c r="VAN48"/>
      <c r="VAO48"/>
      <c r="VAP48"/>
      <c r="VAQ48"/>
      <c r="VAR48"/>
      <c r="VAS48"/>
      <c r="VAT48"/>
      <c r="VAU48"/>
      <c r="VAV48"/>
      <c r="VAW48"/>
      <c r="VAX48"/>
      <c r="VAY48"/>
      <c r="VAZ48"/>
      <c r="VBA48"/>
      <c r="VBB48"/>
      <c r="VBC48"/>
      <c r="VBD48"/>
      <c r="VBE48"/>
      <c r="VBF48"/>
      <c r="VBG48"/>
      <c r="VBH48"/>
      <c r="VBI48"/>
      <c r="VBJ48"/>
      <c r="VBK48"/>
      <c r="VBL48"/>
      <c r="VBM48"/>
      <c r="VBN48"/>
      <c r="VBO48"/>
      <c r="VBP48"/>
      <c r="VBQ48"/>
      <c r="VBR48"/>
      <c r="VBS48"/>
      <c r="VBT48"/>
      <c r="VBU48"/>
      <c r="VBV48"/>
      <c r="VBW48"/>
      <c r="VBX48"/>
      <c r="VBY48"/>
      <c r="VBZ48"/>
      <c r="VCA48"/>
      <c r="VCB48"/>
      <c r="VCC48"/>
      <c r="VCD48"/>
      <c r="VCE48"/>
      <c r="VCF48"/>
      <c r="VCG48"/>
      <c r="VCH48"/>
      <c r="VCI48"/>
      <c r="VCJ48"/>
      <c r="VCK48"/>
      <c r="VCL48"/>
      <c r="VCM48"/>
      <c r="VCN48"/>
      <c r="VCO48"/>
      <c r="VCP48"/>
      <c r="VCQ48"/>
      <c r="VCR48"/>
      <c r="VCS48"/>
      <c r="VCT48"/>
      <c r="VCU48"/>
      <c r="VCV48"/>
      <c r="VCW48"/>
      <c r="VCX48"/>
      <c r="VCY48"/>
      <c r="VCZ48"/>
      <c r="VDA48"/>
      <c r="VDB48"/>
      <c r="VDC48"/>
      <c r="VDD48"/>
      <c r="VDE48"/>
      <c r="VDF48"/>
      <c r="VDG48"/>
      <c r="VDH48"/>
      <c r="VDI48"/>
      <c r="VDJ48"/>
      <c r="VDK48"/>
      <c r="VDL48"/>
      <c r="VDM48"/>
      <c r="VDN48"/>
      <c r="VDO48"/>
      <c r="VDP48"/>
      <c r="VDQ48"/>
      <c r="VDR48"/>
      <c r="VDS48"/>
      <c r="VDT48"/>
      <c r="VDU48"/>
      <c r="VDV48"/>
      <c r="VDW48"/>
      <c r="VDX48"/>
      <c r="VDY48"/>
      <c r="VDZ48"/>
      <c r="VEA48"/>
      <c r="VEB48"/>
      <c r="VEC48"/>
      <c r="VED48"/>
      <c r="VEE48"/>
      <c r="VEF48"/>
      <c r="VEG48"/>
      <c r="VEH48"/>
      <c r="VEI48"/>
      <c r="VEJ48"/>
      <c r="VEK48"/>
      <c r="VEL48"/>
      <c r="VEM48"/>
      <c r="VEN48"/>
      <c r="VEO48"/>
      <c r="VEP48"/>
      <c r="VEQ48"/>
      <c r="VER48"/>
      <c r="VES48"/>
      <c r="VET48"/>
      <c r="VEU48"/>
      <c r="VEV48"/>
      <c r="VEW48"/>
      <c r="VEX48"/>
      <c r="VEY48"/>
      <c r="VEZ48"/>
      <c r="VFA48"/>
      <c r="VFB48"/>
      <c r="VFC48"/>
      <c r="VFD48"/>
      <c r="VFE48"/>
      <c r="VFF48"/>
      <c r="VFG48"/>
      <c r="VFH48"/>
      <c r="VFI48"/>
      <c r="VFJ48"/>
      <c r="VFK48"/>
      <c r="VFL48"/>
      <c r="VFM48"/>
      <c r="VFN48"/>
      <c r="VFO48"/>
      <c r="VFP48"/>
      <c r="VFQ48"/>
      <c r="VFR48"/>
      <c r="VFS48"/>
      <c r="VFT48"/>
      <c r="VFU48"/>
      <c r="VFV48"/>
      <c r="VFW48"/>
      <c r="VFX48"/>
      <c r="VFY48"/>
      <c r="VFZ48"/>
      <c r="VGA48"/>
      <c r="VGB48"/>
      <c r="VGC48"/>
      <c r="VGD48"/>
      <c r="VGE48"/>
      <c r="VGF48"/>
      <c r="VGG48"/>
      <c r="VGH48"/>
      <c r="VGI48"/>
      <c r="VGJ48"/>
      <c r="VGK48"/>
      <c r="VGL48"/>
      <c r="VGM48"/>
      <c r="VGN48"/>
      <c r="VGO48"/>
      <c r="VGP48"/>
      <c r="VGQ48"/>
      <c r="VGR48"/>
      <c r="VGS48"/>
      <c r="VGT48"/>
      <c r="VGU48"/>
      <c r="VGV48"/>
      <c r="VGW48"/>
      <c r="VGX48"/>
      <c r="VGY48"/>
      <c r="VGZ48"/>
      <c r="VHA48"/>
      <c r="VHB48"/>
      <c r="VHC48"/>
      <c r="VHD48"/>
      <c r="VHE48"/>
      <c r="VHF48"/>
      <c r="VHG48"/>
      <c r="VHH48"/>
      <c r="VHI48"/>
      <c r="VHJ48"/>
      <c r="VHK48"/>
      <c r="VHL48"/>
      <c r="VHM48"/>
      <c r="VHN48"/>
      <c r="VHO48"/>
      <c r="VHP48"/>
      <c r="VHQ48"/>
      <c r="VHR48"/>
      <c r="VHS48"/>
      <c r="VHT48"/>
      <c r="VHU48"/>
      <c r="VHV48"/>
      <c r="VHW48"/>
      <c r="VHX48"/>
      <c r="VHY48"/>
      <c r="VHZ48"/>
      <c r="VIA48"/>
      <c r="VIB48"/>
      <c r="VIC48"/>
      <c r="VID48"/>
      <c r="VIE48"/>
      <c r="VIF48"/>
      <c r="VIG48"/>
      <c r="VIH48"/>
      <c r="VII48"/>
      <c r="VIJ48"/>
      <c r="VIK48"/>
      <c r="VIL48"/>
      <c r="VIM48"/>
      <c r="VIN48"/>
      <c r="VIO48"/>
      <c r="VIP48"/>
      <c r="VIQ48"/>
      <c r="VIR48"/>
      <c r="VIS48"/>
      <c r="VIT48"/>
      <c r="VIU48"/>
      <c r="VIV48"/>
      <c r="VIW48"/>
      <c r="VIX48"/>
      <c r="VIY48"/>
      <c r="VIZ48"/>
      <c r="VJA48"/>
      <c r="VJB48"/>
      <c r="VJC48"/>
      <c r="VJD48"/>
      <c r="VJE48"/>
      <c r="VJF48"/>
      <c r="VJG48"/>
      <c r="VJH48"/>
      <c r="VJI48"/>
      <c r="VJJ48"/>
      <c r="VJK48"/>
      <c r="VJL48"/>
      <c r="VJM48"/>
      <c r="VJN48"/>
      <c r="VJO48"/>
      <c r="VJP48"/>
      <c r="VJQ48"/>
      <c r="VJR48"/>
      <c r="VJS48"/>
      <c r="VJT48"/>
      <c r="VJU48"/>
      <c r="VJV48"/>
      <c r="VJW48"/>
      <c r="VJX48"/>
      <c r="VJY48"/>
      <c r="VJZ48"/>
      <c r="VKA48"/>
      <c r="VKB48"/>
      <c r="VKC48"/>
      <c r="VKD48"/>
      <c r="VKE48"/>
      <c r="VKF48"/>
      <c r="VKG48"/>
      <c r="VKH48"/>
      <c r="VKI48"/>
      <c r="VKJ48"/>
      <c r="VKK48"/>
      <c r="VKL48"/>
      <c r="VKM48"/>
      <c r="VKN48"/>
      <c r="VKO48"/>
      <c r="VKP48"/>
      <c r="VKQ48"/>
      <c r="VKR48"/>
      <c r="VKS48"/>
      <c r="VKT48"/>
      <c r="VKU48"/>
      <c r="VKV48"/>
      <c r="VKW48"/>
      <c r="VKX48"/>
      <c r="VKY48"/>
      <c r="VKZ48"/>
      <c r="VLA48"/>
      <c r="VLB48"/>
      <c r="VLC48"/>
      <c r="VLD48"/>
      <c r="VLE48"/>
      <c r="VLF48"/>
      <c r="VLG48"/>
      <c r="VLH48"/>
      <c r="VLI48"/>
      <c r="VLJ48"/>
      <c r="VLK48"/>
      <c r="VLL48"/>
      <c r="VLM48"/>
      <c r="VLN48"/>
      <c r="VLO48"/>
      <c r="VLP48"/>
      <c r="VLQ48"/>
      <c r="VLR48"/>
      <c r="VLS48"/>
      <c r="VLT48"/>
      <c r="VLU48"/>
      <c r="VLV48"/>
      <c r="VLW48"/>
      <c r="VLX48"/>
      <c r="VLY48"/>
      <c r="VLZ48"/>
      <c r="VMA48"/>
      <c r="VMB48"/>
      <c r="VMC48"/>
      <c r="VMD48"/>
      <c r="VME48"/>
      <c r="VMF48"/>
      <c r="VMG48"/>
      <c r="VMH48"/>
      <c r="VMI48"/>
      <c r="VMJ48"/>
      <c r="VMK48"/>
      <c r="VML48"/>
      <c r="VMM48"/>
      <c r="VMN48"/>
      <c r="VMO48"/>
      <c r="VMP48"/>
      <c r="VMQ48"/>
      <c r="VMR48"/>
      <c r="VMS48"/>
      <c r="VMT48"/>
      <c r="VMU48"/>
      <c r="VMV48"/>
      <c r="VMW48"/>
      <c r="VMX48"/>
      <c r="VMY48"/>
      <c r="VMZ48"/>
      <c r="VNA48"/>
      <c r="VNB48"/>
      <c r="VNC48"/>
      <c r="VND48"/>
      <c r="VNE48"/>
      <c r="VNF48"/>
      <c r="VNG48"/>
      <c r="VNH48"/>
      <c r="VNI48"/>
      <c r="VNJ48"/>
      <c r="VNK48"/>
      <c r="VNL48"/>
      <c r="VNM48"/>
      <c r="VNN48"/>
      <c r="VNO48"/>
      <c r="VNP48"/>
      <c r="VNQ48"/>
      <c r="VNR48"/>
      <c r="VNS48"/>
      <c r="VNT48"/>
      <c r="VNU48"/>
      <c r="VNV48"/>
      <c r="VNW48"/>
      <c r="VNX48"/>
      <c r="VNY48"/>
      <c r="VNZ48"/>
      <c r="VOA48"/>
      <c r="VOB48"/>
      <c r="VOC48"/>
      <c r="VOD48"/>
      <c r="VOE48"/>
      <c r="VOF48"/>
      <c r="VOG48"/>
      <c r="VOH48"/>
      <c r="VOI48"/>
      <c r="VOJ48"/>
      <c r="VOK48"/>
      <c r="VOL48"/>
      <c r="VOM48"/>
      <c r="VON48"/>
      <c r="VOO48"/>
      <c r="VOP48"/>
      <c r="VOQ48"/>
      <c r="VOR48"/>
      <c r="VOS48"/>
      <c r="VOT48"/>
      <c r="VOU48"/>
      <c r="VOV48"/>
      <c r="VOW48"/>
      <c r="VOX48"/>
      <c r="VOY48"/>
      <c r="VOZ48"/>
      <c r="VPA48"/>
      <c r="VPB48"/>
      <c r="VPC48"/>
      <c r="VPD48"/>
      <c r="VPE48"/>
      <c r="VPF48"/>
      <c r="VPG48"/>
      <c r="VPH48"/>
      <c r="VPI48"/>
      <c r="VPJ48"/>
      <c r="VPK48"/>
      <c r="VPL48"/>
      <c r="VPM48"/>
      <c r="VPN48"/>
      <c r="VPO48"/>
      <c r="VPP48"/>
      <c r="VPQ48"/>
      <c r="VPR48"/>
      <c r="VPS48"/>
      <c r="VPT48"/>
      <c r="VPU48"/>
      <c r="VPV48"/>
      <c r="VPW48"/>
      <c r="VPX48"/>
      <c r="VPY48"/>
      <c r="VPZ48"/>
      <c r="VQA48"/>
      <c r="VQB48"/>
      <c r="VQC48"/>
      <c r="VQD48"/>
      <c r="VQE48"/>
      <c r="VQF48"/>
      <c r="VQG48"/>
      <c r="VQH48"/>
      <c r="VQI48"/>
      <c r="VQJ48"/>
      <c r="VQK48"/>
      <c r="VQL48"/>
      <c r="VQM48"/>
      <c r="VQN48"/>
      <c r="VQO48"/>
      <c r="VQP48"/>
      <c r="VQQ48"/>
      <c r="VQR48"/>
      <c r="VQS48"/>
      <c r="VQT48"/>
      <c r="VQU48"/>
      <c r="VQV48"/>
      <c r="VQW48"/>
      <c r="VQX48"/>
      <c r="VQY48"/>
      <c r="VQZ48"/>
      <c r="VRA48"/>
      <c r="VRB48"/>
      <c r="VRC48"/>
      <c r="VRD48"/>
      <c r="VRE48"/>
      <c r="VRF48"/>
      <c r="VRG48"/>
      <c r="VRH48"/>
      <c r="VRI48"/>
      <c r="VRJ48"/>
      <c r="VRK48"/>
      <c r="VRL48"/>
      <c r="VRM48"/>
      <c r="VRN48"/>
      <c r="VRO48"/>
      <c r="VRP48"/>
      <c r="VRQ48"/>
      <c r="VRR48"/>
      <c r="VRS48"/>
      <c r="VRT48"/>
      <c r="VRU48"/>
      <c r="VRV48"/>
      <c r="VRW48"/>
      <c r="VRX48"/>
      <c r="VRY48"/>
      <c r="VRZ48"/>
      <c r="VSA48"/>
      <c r="VSB48"/>
      <c r="VSC48"/>
      <c r="VSD48"/>
      <c r="VSE48"/>
      <c r="VSF48"/>
      <c r="VSG48"/>
      <c r="VSH48"/>
      <c r="VSI48"/>
      <c r="VSJ48"/>
      <c r="VSK48"/>
      <c r="VSL48"/>
      <c r="VSM48"/>
      <c r="VSN48"/>
      <c r="VSO48"/>
      <c r="VSP48"/>
      <c r="VSQ48"/>
      <c r="VSR48"/>
      <c r="VSS48"/>
      <c r="VST48"/>
      <c r="VSU48"/>
      <c r="VSV48"/>
      <c r="VSW48"/>
      <c r="VSX48"/>
      <c r="VSY48"/>
      <c r="VSZ48"/>
      <c r="VTA48"/>
      <c r="VTB48"/>
      <c r="VTC48"/>
      <c r="VTD48"/>
      <c r="VTE48"/>
      <c r="VTF48"/>
      <c r="VTG48"/>
      <c r="VTH48"/>
      <c r="VTI48"/>
      <c r="VTJ48"/>
      <c r="VTK48"/>
      <c r="VTL48"/>
      <c r="VTM48"/>
      <c r="VTN48"/>
      <c r="VTO48"/>
      <c r="VTP48"/>
      <c r="VTQ48"/>
      <c r="VTR48"/>
      <c r="VTS48"/>
      <c r="VTT48"/>
      <c r="VTU48"/>
      <c r="VTV48"/>
      <c r="VTW48"/>
      <c r="VTX48"/>
      <c r="VTY48"/>
      <c r="VTZ48"/>
      <c r="VUA48"/>
      <c r="VUB48"/>
      <c r="VUC48"/>
      <c r="VUD48"/>
      <c r="VUE48"/>
      <c r="VUF48"/>
      <c r="VUG48"/>
      <c r="VUH48"/>
      <c r="VUI48"/>
      <c r="VUJ48"/>
      <c r="VUK48"/>
      <c r="VUL48"/>
      <c r="VUM48"/>
      <c r="VUN48"/>
      <c r="VUO48"/>
      <c r="VUP48"/>
      <c r="VUQ48"/>
      <c r="VUR48"/>
      <c r="VUS48"/>
      <c r="VUT48"/>
      <c r="VUU48"/>
      <c r="VUV48"/>
      <c r="VUW48"/>
      <c r="VUX48"/>
      <c r="VUY48"/>
      <c r="VUZ48"/>
      <c r="VVA48"/>
      <c r="VVB48"/>
      <c r="VVC48"/>
      <c r="VVD48"/>
      <c r="VVE48"/>
      <c r="VVF48"/>
      <c r="VVG48"/>
      <c r="VVH48"/>
      <c r="VVI48"/>
      <c r="VVJ48"/>
      <c r="VVK48"/>
      <c r="VVL48"/>
      <c r="VVM48"/>
      <c r="VVN48"/>
      <c r="VVO48"/>
      <c r="VVP48"/>
      <c r="VVQ48"/>
      <c r="VVR48"/>
      <c r="VVS48"/>
      <c r="VVT48"/>
      <c r="VVU48"/>
      <c r="VVV48"/>
      <c r="VVW48"/>
      <c r="VVX48"/>
      <c r="VVY48"/>
      <c r="VVZ48"/>
      <c r="VWA48"/>
      <c r="VWB48"/>
      <c r="VWC48"/>
      <c r="VWD48"/>
      <c r="VWE48"/>
      <c r="VWF48"/>
      <c r="VWG48"/>
      <c r="VWH48"/>
      <c r="VWI48"/>
      <c r="VWJ48"/>
      <c r="VWK48"/>
      <c r="VWL48"/>
      <c r="VWM48"/>
      <c r="VWN48"/>
      <c r="VWO48"/>
      <c r="VWP48"/>
      <c r="VWQ48"/>
      <c r="VWR48"/>
      <c r="VWS48"/>
      <c r="VWT48"/>
      <c r="VWU48"/>
      <c r="VWV48"/>
      <c r="VWW48"/>
      <c r="VWX48"/>
      <c r="VWY48"/>
      <c r="VWZ48"/>
      <c r="VXA48"/>
      <c r="VXB48"/>
      <c r="VXC48"/>
      <c r="VXD48"/>
      <c r="VXE48"/>
      <c r="VXF48"/>
      <c r="VXG48"/>
      <c r="VXH48"/>
      <c r="VXI48"/>
      <c r="VXJ48"/>
      <c r="VXK48"/>
      <c r="VXL48"/>
      <c r="VXM48"/>
      <c r="VXN48"/>
      <c r="VXO48"/>
      <c r="VXP48"/>
      <c r="VXQ48"/>
      <c r="VXR48"/>
      <c r="VXS48"/>
      <c r="VXT48"/>
      <c r="VXU48"/>
      <c r="VXV48"/>
      <c r="VXW48"/>
      <c r="VXX48"/>
      <c r="VXY48"/>
      <c r="VXZ48"/>
      <c r="VYA48"/>
      <c r="VYB48"/>
      <c r="VYC48"/>
      <c r="VYD48"/>
      <c r="VYE48"/>
      <c r="VYF48"/>
      <c r="VYG48"/>
      <c r="VYH48"/>
      <c r="VYI48"/>
      <c r="VYJ48"/>
      <c r="VYK48"/>
      <c r="VYL48"/>
      <c r="VYM48"/>
      <c r="VYN48"/>
      <c r="VYO48"/>
      <c r="VYP48"/>
      <c r="VYQ48"/>
      <c r="VYR48"/>
      <c r="VYS48"/>
      <c r="VYT48"/>
      <c r="VYU48"/>
      <c r="VYV48"/>
      <c r="VYW48"/>
      <c r="VYX48"/>
      <c r="VYY48"/>
      <c r="VYZ48"/>
      <c r="VZA48"/>
      <c r="VZB48"/>
      <c r="VZC48"/>
      <c r="VZD48"/>
      <c r="VZE48"/>
      <c r="VZF48"/>
      <c r="VZG48"/>
      <c r="VZH48"/>
      <c r="VZI48"/>
      <c r="VZJ48"/>
      <c r="VZK48"/>
      <c r="VZL48"/>
      <c r="VZM48"/>
      <c r="VZN48"/>
      <c r="VZO48"/>
      <c r="VZP48"/>
      <c r="VZQ48"/>
      <c r="VZR48"/>
      <c r="VZS48"/>
      <c r="VZT48"/>
      <c r="VZU48"/>
      <c r="VZV48"/>
      <c r="VZW48"/>
      <c r="VZX48"/>
      <c r="VZY48"/>
      <c r="VZZ48"/>
      <c r="WAA48"/>
      <c r="WAB48"/>
      <c r="WAC48"/>
      <c r="WAD48"/>
      <c r="WAE48"/>
      <c r="WAF48"/>
      <c r="WAG48"/>
      <c r="WAH48"/>
      <c r="WAI48"/>
      <c r="WAJ48"/>
      <c r="WAK48"/>
      <c r="WAL48"/>
      <c r="WAM48"/>
      <c r="WAN48"/>
      <c r="WAO48"/>
      <c r="WAP48"/>
      <c r="WAQ48"/>
      <c r="WAR48"/>
      <c r="WAS48"/>
      <c r="WAT48"/>
      <c r="WAU48"/>
      <c r="WAV48"/>
      <c r="WAW48"/>
      <c r="WAX48"/>
      <c r="WAY48"/>
      <c r="WAZ48"/>
      <c r="WBA48"/>
      <c r="WBB48"/>
      <c r="WBC48"/>
      <c r="WBD48"/>
      <c r="WBE48"/>
      <c r="WBF48"/>
      <c r="WBG48"/>
      <c r="WBH48"/>
      <c r="WBI48"/>
      <c r="WBJ48"/>
      <c r="WBK48"/>
      <c r="WBL48"/>
      <c r="WBM48"/>
      <c r="WBN48"/>
      <c r="WBO48"/>
      <c r="WBP48"/>
      <c r="WBQ48"/>
      <c r="WBR48"/>
      <c r="WBS48"/>
      <c r="WBT48"/>
      <c r="WBU48"/>
      <c r="WBV48"/>
      <c r="WBW48"/>
      <c r="WBX48"/>
      <c r="WBY48"/>
      <c r="WBZ48"/>
      <c r="WCA48"/>
      <c r="WCB48"/>
      <c r="WCC48"/>
      <c r="WCD48"/>
      <c r="WCE48"/>
      <c r="WCF48"/>
      <c r="WCG48"/>
      <c r="WCH48"/>
      <c r="WCI48"/>
      <c r="WCJ48"/>
      <c r="WCK48"/>
      <c r="WCL48"/>
      <c r="WCM48"/>
      <c r="WCN48"/>
      <c r="WCO48"/>
      <c r="WCP48"/>
      <c r="WCQ48"/>
      <c r="WCR48"/>
      <c r="WCS48"/>
      <c r="WCT48"/>
      <c r="WCU48"/>
      <c r="WCV48"/>
      <c r="WCW48"/>
      <c r="WCX48"/>
      <c r="WCY48"/>
      <c r="WCZ48"/>
      <c r="WDA48"/>
      <c r="WDB48"/>
      <c r="WDC48"/>
      <c r="WDD48"/>
      <c r="WDE48"/>
      <c r="WDF48"/>
      <c r="WDG48"/>
      <c r="WDH48"/>
      <c r="WDI48"/>
      <c r="WDJ48"/>
      <c r="WDK48"/>
      <c r="WDL48"/>
      <c r="WDM48"/>
      <c r="WDN48"/>
      <c r="WDO48"/>
      <c r="WDP48"/>
      <c r="WDQ48"/>
      <c r="WDR48"/>
      <c r="WDS48"/>
      <c r="WDT48"/>
      <c r="WDU48"/>
      <c r="WDV48"/>
      <c r="WDW48"/>
      <c r="WDX48"/>
      <c r="WDY48"/>
      <c r="WDZ48"/>
      <c r="WEA48"/>
      <c r="WEB48"/>
      <c r="WEC48"/>
      <c r="WED48"/>
      <c r="WEE48"/>
      <c r="WEF48"/>
      <c r="WEG48"/>
      <c r="WEH48"/>
      <c r="WEI48"/>
      <c r="WEJ48"/>
      <c r="WEK48"/>
      <c r="WEL48"/>
      <c r="WEM48"/>
      <c r="WEN48"/>
      <c r="WEO48"/>
      <c r="WEP48"/>
      <c r="WEQ48"/>
      <c r="WER48"/>
      <c r="WES48"/>
      <c r="WET48"/>
      <c r="WEU48"/>
      <c r="WEV48"/>
      <c r="WEW48"/>
      <c r="WEX48"/>
      <c r="WEY48"/>
      <c r="WEZ48"/>
      <c r="WFA48"/>
      <c r="WFB48"/>
      <c r="WFC48"/>
      <c r="WFD48"/>
      <c r="WFE48"/>
      <c r="WFF48"/>
      <c r="WFG48"/>
      <c r="WFH48"/>
      <c r="WFI48"/>
      <c r="WFJ48"/>
      <c r="WFK48"/>
      <c r="WFL48"/>
      <c r="WFM48"/>
      <c r="WFN48"/>
      <c r="WFO48"/>
      <c r="WFP48"/>
      <c r="WFQ48"/>
      <c r="WFR48"/>
      <c r="WFS48"/>
      <c r="WFT48"/>
      <c r="WFU48"/>
      <c r="WFV48"/>
      <c r="WFW48"/>
      <c r="WFX48"/>
      <c r="WFY48"/>
      <c r="WFZ48"/>
      <c r="WGA48"/>
      <c r="WGB48"/>
      <c r="WGC48"/>
      <c r="WGD48"/>
      <c r="WGE48"/>
      <c r="WGF48"/>
      <c r="WGG48"/>
      <c r="WGH48"/>
      <c r="WGI48"/>
      <c r="WGJ48"/>
      <c r="WGK48"/>
      <c r="WGL48"/>
      <c r="WGM48"/>
      <c r="WGN48"/>
      <c r="WGO48"/>
      <c r="WGP48"/>
      <c r="WGQ48"/>
      <c r="WGR48"/>
      <c r="WGS48"/>
      <c r="WGT48"/>
      <c r="WGU48"/>
      <c r="WGV48"/>
      <c r="WGW48"/>
      <c r="WGX48"/>
      <c r="WGY48"/>
      <c r="WGZ48"/>
      <c r="WHA48"/>
      <c r="WHB48"/>
      <c r="WHC48"/>
      <c r="WHD48"/>
      <c r="WHE48"/>
      <c r="WHF48"/>
      <c r="WHG48"/>
      <c r="WHH48"/>
      <c r="WHI48"/>
      <c r="WHJ48"/>
      <c r="WHK48"/>
      <c r="WHL48"/>
      <c r="WHM48"/>
      <c r="WHN48"/>
      <c r="WHO48"/>
      <c r="WHP48"/>
      <c r="WHQ48"/>
      <c r="WHR48"/>
      <c r="WHS48"/>
      <c r="WHT48"/>
      <c r="WHU48"/>
      <c r="WHV48"/>
      <c r="WHW48"/>
      <c r="WHX48"/>
      <c r="WHY48"/>
      <c r="WHZ48"/>
      <c r="WIA48"/>
      <c r="WIB48"/>
      <c r="WIC48"/>
      <c r="WID48"/>
      <c r="WIE48"/>
      <c r="WIF48"/>
      <c r="WIG48"/>
      <c r="WIH48"/>
      <c r="WII48"/>
      <c r="WIJ48"/>
      <c r="WIK48"/>
      <c r="WIL48"/>
      <c r="WIM48"/>
      <c r="WIN48"/>
      <c r="WIO48"/>
      <c r="WIP48"/>
      <c r="WIQ48"/>
      <c r="WIR48"/>
      <c r="WIS48"/>
      <c r="WIT48"/>
      <c r="WIU48"/>
      <c r="WIV48"/>
      <c r="WIW48"/>
      <c r="WIX48"/>
      <c r="WIY48"/>
      <c r="WIZ48"/>
      <c r="WJA48"/>
      <c r="WJB48"/>
      <c r="WJC48"/>
      <c r="WJD48"/>
      <c r="WJE48"/>
      <c r="WJF48"/>
      <c r="WJG48"/>
      <c r="WJH48"/>
      <c r="WJI48"/>
      <c r="WJJ48"/>
      <c r="WJK48"/>
      <c r="WJL48"/>
      <c r="WJM48"/>
      <c r="WJN48"/>
      <c r="WJO48"/>
      <c r="WJP48"/>
      <c r="WJQ48"/>
      <c r="WJR48"/>
      <c r="WJS48"/>
      <c r="WJT48"/>
      <c r="WJU48"/>
      <c r="WJV48"/>
      <c r="WJW48"/>
      <c r="WJX48"/>
      <c r="WJY48"/>
      <c r="WJZ48"/>
      <c r="WKA48"/>
      <c r="WKB48"/>
      <c r="WKC48"/>
      <c r="WKD48"/>
      <c r="WKE48"/>
      <c r="WKF48"/>
      <c r="WKG48"/>
      <c r="WKH48"/>
      <c r="WKI48"/>
      <c r="WKJ48"/>
      <c r="WKK48"/>
      <c r="WKL48"/>
      <c r="WKM48"/>
      <c r="WKN48"/>
      <c r="WKO48"/>
      <c r="WKP48"/>
      <c r="WKQ48"/>
      <c r="WKR48"/>
      <c r="WKS48"/>
      <c r="WKT48"/>
      <c r="WKU48"/>
      <c r="WKV48"/>
      <c r="WKW48"/>
      <c r="WKX48"/>
      <c r="WKY48"/>
      <c r="WKZ48"/>
      <c r="WLA48"/>
      <c r="WLB48"/>
      <c r="WLC48"/>
      <c r="WLD48"/>
      <c r="WLE48"/>
      <c r="WLF48"/>
      <c r="WLG48"/>
      <c r="WLH48"/>
      <c r="WLI48"/>
      <c r="WLJ48"/>
      <c r="WLK48"/>
      <c r="WLL48"/>
      <c r="WLM48"/>
      <c r="WLN48"/>
      <c r="WLO48"/>
      <c r="WLP48"/>
      <c r="WLQ48"/>
      <c r="WLR48"/>
      <c r="WLS48"/>
      <c r="WLT48"/>
      <c r="WLU48"/>
      <c r="WLV48"/>
      <c r="WLW48"/>
      <c r="WLX48"/>
      <c r="WLY48"/>
      <c r="WLZ48"/>
      <c r="WMA48"/>
      <c r="WMB48"/>
      <c r="WMC48"/>
      <c r="WMD48"/>
      <c r="WME48"/>
      <c r="WMF48"/>
      <c r="WMG48"/>
      <c r="WMH48"/>
      <c r="WMI48"/>
      <c r="WMJ48"/>
      <c r="WMK48"/>
      <c r="WML48"/>
      <c r="WMM48"/>
      <c r="WMN48"/>
      <c r="WMO48"/>
      <c r="WMP48"/>
      <c r="WMQ48"/>
      <c r="WMR48"/>
      <c r="WMS48"/>
      <c r="WMT48"/>
      <c r="WMU48"/>
      <c r="WMV48"/>
      <c r="WMW48"/>
      <c r="WMX48"/>
      <c r="WMY48"/>
      <c r="WMZ48"/>
      <c r="WNA48"/>
      <c r="WNB48"/>
      <c r="WNC48"/>
      <c r="WND48"/>
      <c r="WNE48"/>
      <c r="WNF48"/>
      <c r="WNG48"/>
      <c r="WNH48"/>
      <c r="WNI48"/>
      <c r="WNJ48"/>
      <c r="WNK48"/>
      <c r="WNL48"/>
      <c r="WNM48"/>
      <c r="WNN48"/>
      <c r="WNO48"/>
      <c r="WNP48"/>
      <c r="WNQ48"/>
      <c r="WNR48"/>
      <c r="WNS48"/>
      <c r="WNT48"/>
      <c r="WNU48"/>
      <c r="WNV48"/>
      <c r="WNW48"/>
      <c r="WNX48"/>
      <c r="WNY48"/>
      <c r="WNZ48"/>
      <c r="WOA48"/>
      <c r="WOB48"/>
      <c r="WOC48"/>
      <c r="WOD48"/>
      <c r="WOE48"/>
      <c r="WOF48"/>
      <c r="WOG48"/>
      <c r="WOH48"/>
      <c r="WOI48"/>
      <c r="WOJ48"/>
      <c r="WOK48"/>
      <c r="WOL48"/>
      <c r="WOM48"/>
      <c r="WON48"/>
      <c r="WOO48"/>
      <c r="WOP48"/>
      <c r="WOQ48"/>
      <c r="WOR48"/>
      <c r="WOS48"/>
      <c r="WOT48"/>
      <c r="WOU48"/>
      <c r="WOV48"/>
      <c r="WOW48"/>
      <c r="WOX48"/>
      <c r="WOY48"/>
      <c r="WOZ48"/>
      <c r="WPA48"/>
      <c r="WPB48"/>
      <c r="WPC48"/>
      <c r="WPD48"/>
      <c r="WPE48"/>
      <c r="WPF48"/>
      <c r="WPG48"/>
      <c r="WPH48"/>
      <c r="WPI48"/>
      <c r="WPJ48"/>
      <c r="WPK48"/>
      <c r="WPL48"/>
      <c r="WPM48"/>
      <c r="WPN48"/>
      <c r="WPO48"/>
      <c r="WPP48"/>
      <c r="WPQ48"/>
      <c r="WPR48"/>
      <c r="WPS48"/>
      <c r="WPT48"/>
      <c r="WPU48"/>
      <c r="WPV48"/>
      <c r="WPW48"/>
      <c r="WPX48"/>
      <c r="WPY48"/>
      <c r="WPZ48"/>
      <c r="WQA48"/>
      <c r="WQB48"/>
      <c r="WQC48"/>
      <c r="WQD48"/>
      <c r="WQE48"/>
      <c r="WQF48"/>
      <c r="WQG48"/>
      <c r="WQH48"/>
      <c r="WQI48"/>
      <c r="WQJ48"/>
      <c r="WQK48"/>
      <c r="WQL48"/>
      <c r="WQM48"/>
      <c r="WQN48"/>
      <c r="WQO48"/>
      <c r="WQP48"/>
      <c r="WQQ48"/>
      <c r="WQR48"/>
      <c r="WQS48"/>
      <c r="WQT48"/>
      <c r="WQU48"/>
      <c r="WQV48"/>
      <c r="WQW48"/>
      <c r="WQX48"/>
      <c r="WQY48"/>
      <c r="WQZ48"/>
      <c r="WRA48"/>
      <c r="WRB48"/>
      <c r="WRC48"/>
      <c r="WRD48"/>
      <c r="WRE48"/>
      <c r="WRF48"/>
      <c r="WRG48"/>
      <c r="WRH48"/>
      <c r="WRI48"/>
      <c r="WRJ48"/>
      <c r="WRK48"/>
      <c r="WRL48"/>
      <c r="WRM48"/>
      <c r="WRN48"/>
      <c r="WRO48"/>
      <c r="WRP48"/>
      <c r="WRQ48"/>
      <c r="WRR48"/>
      <c r="WRS48"/>
      <c r="WRT48"/>
      <c r="WRU48"/>
      <c r="WRV48"/>
      <c r="WRW48"/>
      <c r="WRX48"/>
      <c r="WRY48"/>
      <c r="WRZ48"/>
      <c r="WSA48"/>
      <c r="WSB48"/>
      <c r="WSC48"/>
      <c r="WSD48"/>
      <c r="WSE48"/>
      <c r="WSF48"/>
      <c r="WSG48"/>
      <c r="WSH48"/>
      <c r="WSI48"/>
      <c r="WSJ48"/>
      <c r="WSK48"/>
      <c r="WSL48"/>
      <c r="WSM48"/>
      <c r="WSN48"/>
      <c r="WSO48"/>
      <c r="WSP48"/>
      <c r="WSQ48"/>
      <c r="WSR48"/>
      <c r="WSS48"/>
      <c r="WST48"/>
      <c r="WSU48"/>
      <c r="WSV48"/>
      <c r="WSW48"/>
      <c r="WSX48"/>
      <c r="WSY48"/>
      <c r="WSZ48"/>
      <c r="WTA48"/>
      <c r="WTB48"/>
      <c r="WTC48"/>
      <c r="WTD48"/>
      <c r="WTE48"/>
      <c r="WTF48"/>
      <c r="WTG48"/>
      <c r="WTH48"/>
      <c r="WTI48"/>
      <c r="WTJ48"/>
      <c r="WTK48"/>
      <c r="WTL48"/>
      <c r="WTM48"/>
      <c r="WTN48"/>
      <c r="WTO48"/>
      <c r="WTP48"/>
      <c r="WTQ48"/>
      <c r="WTR48"/>
      <c r="WTS48"/>
      <c r="WTT48"/>
      <c r="WTU48"/>
      <c r="WTV48"/>
      <c r="WTW48"/>
      <c r="WTX48"/>
      <c r="WTY48"/>
      <c r="WTZ48"/>
      <c r="WUA48"/>
      <c r="WUB48"/>
      <c r="WUC48"/>
      <c r="WUD48"/>
      <c r="WUE48"/>
      <c r="WUF48"/>
      <c r="WUG48"/>
      <c r="WUH48"/>
      <c r="WUI48"/>
      <c r="WUJ48"/>
      <c r="WUK48"/>
      <c r="WUL48"/>
      <c r="WUM48"/>
      <c r="WUN48"/>
      <c r="WUO48"/>
      <c r="WUP48"/>
      <c r="WUQ48"/>
      <c r="WUR48"/>
      <c r="WUS48"/>
      <c r="WUT48"/>
      <c r="WUU48"/>
      <c r="WUV48"/>
      <c r="WUW48"/>
      <c r="WUX48"/>
      <c r="WUY48"/>
      <c r="WUZ48"/>
      <c r="WVA48"/>
      <c r="WVB48"/>
      <c r="WVC48"/>
      <c r="WVD48"/>
      <c r="WVE48"/>
      <c r="WVF48"/>
      <c r="WVG48"/>
      <c r="WVH48"/>
      <c r="WVI48"/>
      <c r="WVJ48"/>
      <c r="WVK48"/>
      <c r="WVL48"/>
      <c r="WVM48"/>
      <c r="WVN48"/>
      <c r="WVO48"/>
      <c r="WVP48"/>
      <c r="WVQ48"/>
      <c r="WVR48"/>
      <c r="WVS48"/>
      <c r="WVT48"/>
      <c r="WVU48"/>
      <c r="WVV48"/>
      <c r="WVW48"/>
      <c r="WVX48"/>
      <c r="WVY48"/>
      <c r="WVZ48"/>
      <c r="WWA48"/>
      <c r="WWB48"/>
      <c r="WWC48"/>
      <c r="WWD48"/>
      <c r="WWE48"/>
      <c r="WWF48"/>
      <c r="WWG48"/>
      <c r="WWH48"/>
      <c r="WWI48"/>
      <c r="WWJ48"/>
      <c r="WWK48"/>
      <c r="WWL48"/>
      <c r="WWM48"/>
      <c r="WWN48"/>
      <c r="WWO48"/>
      <c r="WWP48"/>
      <c r="WWQ48"/>
      <c r="WWR48"/>
      <c r="WWS48"/>
      <c r="WWT48"/>
      <c r="WWU48"/>
      <c r="WWV48"/>
      <c r="WWW48"/>
      <c r="WWX48"/>
      <c r="WWY48"/>
      <c r="WWZ48"/>
      <c r="WXA48"/>
      <c r="WXB48"/>
      <c r="WXC48"/>
      <c r="WXD48"/>
      <c r="WXE48"/>
      <c r="WXF48"/>
      <c r="WXG48"/>
      <c r="WXH48"/>
      <c r="WXI48"/>
      <c r="WXJ48"/>
      <c r="WXK48"/>
      <c r="WXL48"/>
      <c r="WXM48"/>
      <c r="WXN48"/>
      <c r="WXO48"/>
      <c r="WXP48"/>
      <c r="WXQ48"/>
      <c r="WXR48"/>
      <c r="WXS48"/>
      <c r="WXT48"/>
      <c r="WXU48"/>
      <c r="WXV48"/>
      <c r="WXW48"/>
      <c r="WXX48"/>
      <c r="WXY48"/>
      <c r="WXZ48"/>
      <c r="WYA48"/>
      <c r="WYB48"/>
      <c r="WYC48"/>
      <c r="WYD48"/>
      <c r="WYE48"/>
      <c r="WYF48"/>
      <c r="WYG48"/>
      <c r="WYH48"/>
      <c r="WYI48"/>
      <c r="WYJ48"/>
      <c r="WYK48"/>
      <c r="WYL48"/>
      <c r="WYM48"/>
      <c r="WYN48"/>
      <c r="WYO48"/>
      <c r="WYP48"/>
      <c r="WYQ48"/>
      <c r="WYR48"/>
      <c r="WYS48"/>
      <c r="WYT48"/>
      <c r="WYU48"/>
      <c r="WYV48"/>
      <c r="WYW48"/>
      <c r="WYX48"/>
      <c r="WYY48"/>
      <c r="WYZ48"/>
      <c r="WZA48"/>
      <c r="WZB48"/>
      <c r="WZC48"/>
      <c r="WZD48"/>
      <c r="WZE48"/>
      <c r="WZF48"/>
      <c r="WZG48"/>
      <c r="WZH48"/>
      <c r="WZI48"/>
      <c r="WZJ48"/>
      <c r="WZK48"/>
      <c r="WZL48"/>
      <c r="WZM48"/>
      <c r="WZN48"/>
      <c r="WZO48"/>
      <c r="WZP48"/>
      <c r="WZQ48"/>
      <c r="WZR48"/>
      <c r="WZS48"/>
      <c r="WZT48"/>
      <c r="WZU48"/>
      <c r="WZV48"/>
      <c r="WZW48"/>
      <c r="WZX48"/>
      <c r="WZY48"/>
      <c r="WZZ48"/>
      <c r="XAA48"/>
      <c r="XAB48"/>
      <c r="XAC48"/>
      <c r="XAD48"/>
      <c r="XAE48"/>
      <c r="XAF48"/>
      <c r="XAG48"/>
      <c r="XAH48"/>
      <c r="XAI48"/>
      <c r="XAJ48"/>
      <c r="XAK48"/>
      <c r="XAL48"/>
      <c r="XAM48"/>
      <c r="XAN48"/>
      <c r="XAO48"/>
      <c r="XAP48"/>
      <c r="XAQ48"/>
      <c r="XAR48"/>
      <c r="XAS48"/>
      <c r="XAT48"/>
      <c r="XAU48"/>
      <c r="XAV48"/>
      <c r="XAW48"/>
      <c r="XAX48"/>
      <c r="XAY48"/>
      <c r="XAZ48"/>
      <c r="XBA48"/>
      <c r="XBB48"/>
      <c r="XBC48"/>
      <c r="XBD48"/>
      <c r="XBE48"/>
      <c r="XBF48"/>
      <c r="XBG48"/>
      <c r="XBH48"/>
      <c r="XBI48"/>
      <c r="XBJ48"/>
      <c r="XBK48"/>
      <c r="XBL48"/>
      <c r="XBM48"/>
      <c r="XBN48"/>
      <c r="XBO48"/>
      <c r="XBP48"/>
      <c r="XBQ48"/>
      <c r="XBR48"/>
      <c r="XBS48"/>
      <c r="XBT48"/>
      <c r="XBU48"/>
      <c r="XBV48"/>
      <c r="XBW48"/>
      <c r="XBX48"/>
      <c r="XBY48"/>
      <c r="XBZ48"/>
      <c r="XCA48"/>
      <c r="XCB48"/>
      <c r="XCC48"/>
      <c r="XCD48"/>
      <c r="XCE48"/>
      <c r="XCF48"/>
      <c r="XCG48"/>
      <c r="XCH48"/>
      <c r="XCI48"/>
      <c r="XCJ48"/>
      <c r="XCK48"/>
      <c r="XCL48"/>
      <c r="XCM48"/>
      <c r="XCN48"/>
      <c r="XCO48"/>
      <c r="XCP48"/>
      <c r="XCQ48"/>
      <c r="XCR48"/>
      <c r="XCS48"/>
      <c r="XCT48"/>
      <c r="XCU48"/>
      <c r="XCV48"/>
      <c r="XCW48"/>
      <c r="XCX48"/>
      <c r="XCY48"/>
      <c r="XCZ48"/>
      <c r="XDA48"/>
      <c r="XDB48"/>
      <c r="XDC48"/>
      <c r="XDD48"/>
      <c r="XDE48"/>
      <c r="XDF48"/>
    </row>
    <row r="50" spans="2:45" x14ac:dyDescent="0.15">
      <c r="B50" s="2" t="s">
        <v>112</v>
      </c>
      <c r="C50" s="2">
        <f t="shared" ref="C50:AF50" si="27">BowlSplit(C5:C48,RunsConceded)</f>
        <v>145</v>
      </c>
      <c r="D50" s="2">
        <f t="shared" si="27"/>
        <v>198</v>
      </c>
      <c r="E50" s="2">
        <f t="shared" si="27"/>
        <v>170</v>
      </c>
      <c r="F50" s="2">
        <f t="shared" si="27"/>
        <v>190</v>
      </c>
      <c r="G50" s="2">
        <f t="shared" si="27"/>
        <v>70</v>
      </c>
      <c r="H50" s="2">
        <f t="shared" si="27"/>
        <v>0</v>
      </c>
      <c r="I50" s="2">
        <f>BowlSplit(I5:I48,RunsConceded)</f>
        <v>155</v>
      </c>
      <c r="J50" s="2">
        <f t="shared" si="27"/>
        <v>148</v>
      </c>
      <c r="K50" s="2">
        <f t="shared" si="27"/>
        <v>123</v>
      </c>
      <c r="L50" s="2">
        <f t="shared" si="27"/>
        <v>182</v>
      </c>
      <c r="M50" s="2">
        <f t="shared" si="27"/>
        <v>92</v>
      </c>
      <c r="N50" s="2">
        <f t="shared" si="27"/>
        <v>102</v>
      </c>
      <c r="O50" s="2">
        <f t="shared" si="27"/>
        <v>189</v>
      </c>
      <c r="P50" s="2">
        <f t="shared" si="27"/>
        <v>189</v>
      </c>
      <c r="Q50" s="2">
        <f t="shared" si="27"/>
        <v>99</v>
      </c>
      <c r="R50" s="2">
        <f t="shared" si="27"/>
        <v>159</v>
      </c>
      <c r="S50" s="2">
        <f t="shared" si="27"/>
        <v>239</v>
      </c>
      <c r="T50" s="2">
        <f t="shared" si="27"/>
        <v>161</v>
      </c>
      <c r="U50" s="2">
        <f t="shared" si="27"/>
        <v>0</v>
      </c>
      <c r="V50" s="2">
        <f t="shared" si="27"/>
        <v>135</v>
      </c>
      <c r="W50" s="2">
        <f t="shared" si="27"/>
        <v>171</v>
      </c>
      <c r="X50" s="2">
        <f t="shared" si="27"/>
        <v>0</v>
      </c>
      <c r="Y50" s="2">
        <f t="shared" si="27"/>
        <v>0</v>
      </c>
      <c r="Z50" s="2">
        <f t="shared" si="27"/>
        <v>0</v>
      </c>
      <c r="AA50" s="2">
        <f t="shared" si="27"/>
        <v>0</v>
      </c>
      <c r="AB50" s="2">
        <f t="shared" si="27"/>
        <v>0</v>
      </c>
      <c r="AC50" s="2">
        <f t="shared" si="27"/>
        <v>0</v>
      </c>
      <c r="AD50" s="2">
        <f t="shared" si="27"/>
        <v>0</v>
      </c>
      <c r="AE50" s="2">
        <f t="shared" si="27"/>
        <v>0</v>
      </c>
      <c r="AF50" s="2">
        <f t="shared" si="27"/>
        <v>0</v>
      </c>
      <c r="AJ50" s="46">
        <f>SUM(C50:AH50)</f>
        <v>2917</v>
      </c>
      <c r="AK50" s="46">
        <f>SUM(AK5:AK48)</f>
        <v>4004</v>
      </c>
      <c r="AO50" s="155">
        <f>SUM(AO5:AO48)</f>
        <v>130</v>
      </c>
    </row>
    <row r="51" spans="2:45" x14ac:dyDescent="0.15">
      <c r="B51" s="2" t="s">
        <v>113</v>
      </c>
      <c r="C51" s="2">
        <f t="array" ref="C51:AF52">TRANSPOSE(Matches!S5:T32)</f>
        <v>6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 t="e">
        <v>#N/A</v>
      </c>
      <c r="AF51" s="2" t="e">
        <v>#N/A</v>
      </c>
      <c r="AJ51" s="46">
        <f t="array" ref="AJ51">SUM(_xlfn.IFNA(C51:AH51,0))</f>
        <v>6</v>
      </c>
    </row>
    <row r="52" spans="2:45" x14ac:dyDescent="0.15">
      <c r="B52" s="2" t="s">
        <v>114</v>
      </c>
      <c r="C52" s="2">
        <v>5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 t="e">
        <v>#N/A</v>
      </c>
      <c r="AF52" s="2" t="e">
        <v>#N/A</v>
      </c>
      <c r="AJ52" s="46">
        <f t="array" ref="AJ52">SUM(_xlfn.IFNA(C52:AH52,0))</f>
        <v>5</v>
      </c>
      <c r="AL52" s="155" t="s">
        <v>145</v>
      </c>
      <c r="AM52" s="155" t="s">
        <v>146</v>
      </c>
    </row>
    <row r="53" spans="2:45" s="47" customFormat="1" x14ac:dyDescent="0.15">
      <c r="B53" s="47" t="s">
        <v>111</v>
      </c>
      <c r="C53" s="47">
        <f>SUM(C50:C52)</f>
        <v>156</v>
      </c>
      <c r="D53" s="47">
        <f t="shared" ref="D53:AF53" si="28">SUM(D50:D52)</f>
        <v>198</v>
      </c>
      <c r="E53" s="47">
        <f t="shared" si="28"/>
        <v>170</v>
      </c>
      <c r="F53" s="47">
        <f t="shared" si="28"/>
        <v>190</v>
      </c>
      <c r="G53" s="47">
        <f t="shared" si="28"/>
        <v>70</v>
      </c>
      <c r="H53" s="47">
        <f t="shared" si="28"/>
        <v>0</v>
      </c>
      <c r="I53" s="47">
        <f t="shared" si="28"/>
        <v>155</v>
      </c>
      <c r="J53" s="47">
        <f t="shared" si="28"/>
        <v>148</v>
      </c>
      <c r="K53" s="47">
        <f t="shared" si="28"/>
        <v>123</v>
      </c>
      <c r="L53" s="47">
        <f t="shared" si="28"/>
        <v>182</v>
      </c>
      <c r="M53" s="47">
        <f t="shared" si="28"/>
        <v>92</v>
      </c>
      <c r="N53" s="47">
        <f t="shared" si="28"/>
        <v>102</v>
      </c>
      <c r="O53" s="47">
        <f t="shared" si="28"/>
        <v>189</v>
      </c>
      <c r="P53" s="47">
        <f t="shared" si="28"/>
        <v>189</v>
      </c>
      <c r="Q53" s="47">
        <f t="shared" si="28"/>
        <v>99</v>
      </c>
      <c r="R53" s="47">
        <f t="shared" si="28"/>
        <v>159</v>
      </c>
      <c r="S53" s="47">
        <f t="shared" si="28"/>
        <v>239</v>
      </c>
      <c r="T53" s="47">
        <f t="shared" si="28"/>
        <v>161</v>
      </c>
      <c r="U53" s="47">
        <f t="shared" si="28"/>
        <v>0</v>
      </c>
      <c r="V53" s="47">
        <f t="shared" si="28"/>
        <v>135</v>
      </c>
      <c r="W53" s="47">
        <f t="shared" si="28"/>
        <v>171</v>
      </c>
      <c r="X53" s="47">
        <f t="shared" si="28"/>
        <v>0</v>
      </c>
      <c r="Y53" s="47">
        <f t="shared" si="28"/>
        <v>0</v>
      </c>
      <c r="Z53" s="47">
        <f t="shared" si="28"/>
        <v>0</v>
      </c>
      <c r="AA53" s="47">
        <f t="shared" si="28"/>
        <v>0</v>
      </c>
      <c r="AB53" s="47">
        <f t="shared" si="28"/>
        <v>0</v>
      </c>
      <c r="AC53" s="47">
        <f t="shared" si="28"/>
        <v>0</v>
      </c>
      <c r="AD53" s="47">
        <f t="shared" si="28"/>
        <v>0</v>
      </c>
      <c r="AE53" s="47" t="e">
        <f t="shared" si="28"/>
        <v>#N/A</v>
      </c>
      <c r="AF53" s="47" t="e">
        <f t="shared" si="28"/>
        <v>#N/A</v>
      </c>
      <c r="AJ53" s="47">
        <f t="array" ref="AJ53">SUM(_xlfn.IFNA(C53:AH53,0))</f>
        <v>2928</v>
      </c>
      <c r="AL53" s="158">
        <f t="array" ref="AL53">MAX(_xlfn.IFNA(C53:AH53,0))</f>
        <v>239</v>
      </c>
      <c r="AM53" s="158">
        <f t="array" ref="AM53">MIN(IF(_xlfn.IFNA(C53:AH53,0)&gt;0,_xlfn.IFNA(C53:AH53,0),9999))</f>
        <v>70</v>
      </c>
      <c r="AN53" s="158"/>
      <c r="AO53" s="158"/>
      <c r="AS53" s="51"/>
    </row>
    <row r="54" spans="2:45" x14ac:dyDescent="0.15">
      <c r="B54" s="2" t="s">
        <v>30</v>
      </c>
      <c r="C54" s="2">
        <f t="shared" ref="C54:AF54" si="29">BowlSplit(C5:C48,OversBowled)</f>
        <v>40</v>
      </c>
      <c r="D54" s="2">
        <f t="shared" si="29"/>
        <v>35</v>
      </c>
      <c r="E54" s="2">
        <f t="shared" si="29"/>
        <v>40</v>
      </c>
      <c r="F54" s="2">
        <f t="shared" si="29"/>
        <v>34.4</v>
      </c>
      <c r="G54" s="2">
        <f t="shared" si="29"/>
        <v>40</v>
      </c>
      <c r="H54" s="2">
        <f t="shared" si="29"/>
        <v>0</v>
      </c>
      <c r="I54" s="2">
        <f>BowlSplit(I5:I48,OversBowled)</f>
        <v>35</v>
      </c>
      <c r="J54" s="2">
        <f t="shared" si="29"/>
        <v>33.5</v>
      </c>
      <c r="K54" s="2">
        <f t="shared" si="29"/>
        <v>35</v>
      </c>
      <c r="L54" s="2">
        <f t="shared" si="29"/>
        <v>39.5</v>
      </c>
      <c r="M54" s="2">
        <f t="shared" si="29"/>
        <v>32.299999999999997</v>
      </c>
      <c r="N54" s="2">
        <f t="shared" si="29"/>
        <v>18.399999999999999</v>
      </c>
      <c r="O54" s="2">
        <f t="shared" si="29"/>
        <v>40</v>
      </c>
      <c r="P54" s="2">
        <f t="shared" si="29"/>
        <v>35</v>
      </c>
      <c r="Q54" s="2">
        <f t="shared" si="29"/>
        <v>28.2</v>
      </c>
      <c r="R54" s="2">
        <f t="shared" si="29"/>
        <v>40</v>
      </c>
      <c r="S54" s="2">
        <f t="shared" si="29"/>
        <v>35</v>
      </c>
      <c r="T54" s="2">
        <f t="shared" si="29"/>
        <v>35</v>
      </c>
      <c r="U54" s="2">
        <f t="shared" si="29"/>
        <v>0</v>
      </c>
      <c r="V54" s="2">
        <f t="shared" si="29"/>
        <v>29.3</v>
      </c>
      <c r="W54" s="2">
        <f t="shared" si="29"/>
        <v>40</v>
      </c>
      <c r="X54" s="2">
        <f t="shared" si="29"/>
        <v>0</v>
      </c>
      <c r="Y54" s="2">
        <f t="shared" si="29"/>
        <v>0</v>
      </c>
      <c r="Z54" s="2">
        <f t="shared" si="29"/>
        <v>0</v>
      </c>
      <c r="AA54" s="2">
        <f t="shared" si="29"/>
        <v>0</v>
      </c>
      <c r="AB54" s="2">
        <f t="shared" si="29"/>
        <v>0</v>
      </c>
      <c r="AC54" s="2">
        <f t="shared" si="29"/>
        <v>0</v>
      </c>
      <c r="AD54" s="2">
        <f t="shared" si="29"/>
        <v>0</v>
      </c>
      <c r="AE54" s="2">
        <f t="shared" si="29"/>
        <v>0</v>
      </c>
      <c r="AF54" s="2">
        <f t="shared" si="29"/>
        <v>0</v>
      </c>
      <c r="AJ54" s="46">
        <f>MAX(C54:AH54)</f>
        <v>40</v>
      </c>
    </row>
    <row r="55" spans="2:45" x14ac:dyDescent="0.15">
      <c r="B55" s="2" t="s">
        <v>29</v>
      </c>
      <c r="C55" s="2">
        <f t="shared" ref="C55:N55" si="30">BowlSplit(C5:C48,BallsBowled)</f>
        <v>240</v>
      </c>
      <c r="D55" s="2">
        <f t="shared" si="30"/>
        <v>210</v>
      </c>
      <c r="E55" s="2">
        <f t="shared" si="30"/>
        <v>240</v>
      </c>
      <c r="F55" s="2">
        <f t="shared" si="30"/>
        <v>208</v>
      </c>
      <c r="G55" s="2">
        <f t="shared" si="30"/>
        <v>240</v>
      </c>
      <c r="H55" s="2">
        <f t="shared" si="30"/>
        <v>0</v>
      </c>
      <c r="I55" s="2">
        <f>BowlSplit(I5:I48,BallsBowled)</f>
        <v>210</v>
      </c>
      <c r="J55" s="2">
        <f t="shared" si="30"/>
        <v>203</v>
      </c>
      <c r="K55" s="2">
        <f t="shared" si="30"/>
        <v>210</v>
      </c>
      <c r="L55" s="2">
        <f t="shared" si="30"/>
        <v>239</v>
      </c>
      <c r="M55" s="2">
        <f t="shared" si="30"/>
        <v>195</v>
      </c>
      <c r="N55" s="2">
        <f t="shared" si="30"/>
        <v>112</v>
      </c>
      <c r="O55" s="2">
        <f>BowlSplit(T5:T48,BallsBowled)</f>
        <v>210</v>
      </c>
      <c r="P55" s="2">
        <f t="shared" ref="P55:AF55" si="31">BowlSplit(P5:P48,BallsBowled)</f>
        <v>210</v>
      </c>
      <c r="Q55" s="2">
        <f t="shared" si="31"/>
        <v>170</v>
      </c>
      <c r="R55" s="2">
        <f t="shared" si="31"/>
        <v>240</v>
      </c>
      <c r="S55" s="2">
        <f t="shared" si="31"/>
        <v>210</v>
      </c>
      <c r="T55" s="2">
        <f t="shared" si="31"/>
        <v>210</v>
      </c>
      <c r="U55" s="2">
        <f t="shared" si="31"/>
        <v>0</v>
      </c>
      <c r="V55" s="2">
        <f t="shared" si="31"/>
        <v>177</v>
      </c>
      <c r="W55" s="2">
        <f t="shared" si="31"/>
        <v>240</v>
      </c>
      <c r="X55" s="2">
        <f t="shared" si="31"/>
        <v>0</v>
      </c>
      <c r="Y55" s="2">
        <f t="shared" si="31"/>
        <v>0</v>
      </c>
      <c r="Z55" s="2">
        <f t="shared" si="31"/>
        <v>0</v>
      </c>
      <c r="AA55" s="2">
        <f t="shared" si="31"/>
        <v>0</v>
      </c>
      <c r="AB55" s="2">
        <f t="shared" si="31"/>
        <v>0</v>
      </c>
      <c r="AC55" s="2">
        <f t="shared" si="31"/>
        <v>0</v>
      </c>
      <c r="AD55" s="2">
        <f t="shared" si="31"/>
        <v>0</v>
      </c>
      <c r="AE55" s="2">
        <f t="shared" si="31"/>
        <v>0</v>
      </c>
      <c r="AF55" s="2">
        <f t="shared" si="31"/>
        <v>0</v>
      </c>
      <c r="AJ55" s="46">
        <f>SUM(C55:AH55)</f>
        <v>3974</v>
      </c>
      <c r="AK55" s="46">
        <f>INT(AJ55/6)</f>
        <v>662</v>
      </c>
      <c r="AL55" s="155">
        <f>AJ55-AK55*6</f>
        <v>2</v>
      </c>
      <c r="AM55" s="155">
        <f>AK55+AL55/10</f>
        <v>662.2</v>
      </c>
    </row>
    <row r="56" spans="2:45" x14ac:dyDescent="0.15">
      <c r="B56" s="2" t="s">
        <v>153</v>
      </c>
      <c r="C56" s="2">
        <f t="array" ref="C56:AF56">TRANSPOSE(Matches!P5:P32)</f>
        <v>40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 t="e">
        <v>#N/A</v>
      </c>
      <c r="AF56" s="2" t="e">
        <v>#N/A</v>
      </c>
    </row>
    <row r="58" spans="2:45" x14ac:dyDescent="0.15">
      <c r="B58" s="2">
        <f>MAX(C58:Z93)</f>
        <v>4</v>
      </c>
      <c r="C58" s="183">
        <f t="shared" ref="C58:Z58" si="32">BowlSplit(C5,$B$59)</f>
        <v>3</v>
      </c>
      <c r="D58" s="183">
        <f t="shared" si="32"/>
        <v>0</v>
      </c>
      <c r="E58" s="183">
        <f t="shared" si="32"/>
        <v>0</v>
      </c>
      <c r="F58" s="183">
        <f t="shared" si="32"/>
        <v>0</v>
      </c>
      <c r="G58" s="183">
        <f t="shared" si="32"/>
        <v>0</v>
      </c>
      <c r="H58" s="183">
        <f t="shared" ref="H58:I67" si="33">BowlSplit(I5,$B$59)</f>
        <v>0</v>
      </c>
      <c r="I58" s="183">
        <f t="shared" si="33"/>
        <v>0</v>
      </c>
      <c r="J58" s="183">
        <f t="shared" si="32"/>
        <v>0</v>
      </c>
      <c r="K58" s="183">
        <f t="shared" si="32"/>
        <v>0</v>
      </c>
      <c r="L58" s="183">
        <f t="shared" si="32"/>
        <v>0</v>
      </c>
      <c r="M58" s="183">
        <f t="shared" si="32"/>
        <v>0</v>
      </c>
      <c r="N58" s="183">
        <f t="shared" si="32"/>
        <v>0</v>
      </c>
      <c r="O58" s="183">
        <f t="shared" si="32"/>
        <v>0</v>
      </c>
      <c r="P58" s="183">
        <f t="shared" si="32"/>
        <v>2</v>
      </c>
      <c r="Q58" s="183">
        <f t="shared" si="32"/>
        <v>0</v>
      </c>
      <c r="R58" s="183">
        <f t="shared" si="32"/>
        <v>1</v>
      </c>
      <c r="S58" s="183">
        <f t="shared" si="32"/>
        <v>0</v>
      </c>
      <c r="T58" s="183">
        <f t="shared" si="32"/>
        <v>0</v>
      </c>
      <c r="U58" s="183">
        <f t="shared" si="32"/>
        <v>0</v>
      </c>
      <c r="V58" s="183">
        <f t="shared" si="32"/>
        <v>0</v>
      </c>
      <c r="W58" s="183">
        <f t="shared" si="32"/>
        <v>0</v>
      </c>
      <c r="X58" s="183">
        <f t="shared" si="32"/>
        <v>0</v>
      </c>
      <c r="Y58" s="183">
        <f t="shared" si="32"/>
        <v>0</v>
      </c>
      <c r="Z58" s="183">
        <f t="shared" si="32"/>
        <v>0</v>
      </c>
    </row>
    <row r="59" spans="2:45" x14ac:dyDescent="0.15">
      <c r="B59" s="2">
        <f>WicketsTaken</f>
        <v>4</v>
      </c>
      <c r="C59" s="183">
        <f t="shared" ref="C59:Z59" si="34">BowlSplit(C6,$B$59)</f>
        <v>0</v>
      </c>
      <c r="D59" s="183">
        <f t="shared" si="34"/>
        <v>3</v>
      </c>
      <c r="E59" s="183">
        <f t="shared" si="34"/>
        <v>1</v>
      </c>
      <c r="F59" s="183">
        <f t="shared" si="34"/>
        <v>0</v>
      </c>
      <c r="G59" s="183">
        <f t="shared" si="34"/>
        <v>1</v>
      </c>
      <c r="H59" s="183">
        <f t="shared" si="33"/>
        <v>1</v>
      </c>
      <c r="I59" s="183">
        <f t="shared" si="33"/>
        <v>0</v>
      </c>
      <c r="J59" s="183">
        <f t="shared" si="34"/>
        <v>0</v>
      </c>
      <c r="K59" s="183">
        <f t="shared" si="34"/>
        <v>0</v>
      </c>
      <c r="L59" s="183">
        <f t="shared" si="34"/>
        <v>1</v>
      </c>
      <c r="M59" s="183">
        <f t="shared" si="34"/>
        <v>1</v>
      </c>
      <c r="N59" s="183">
        <f t="shared" si="34"/>
        <v>4</v>
      </c>
      <c r="O59" s="183">
        <f t="shared" si="34"/>
        <v>2</v>
      </c>
      <c r="P59" s="183">
        <f t="shared" si="34"/>
        <v>0</v>
      </c>
      <c r="Q59" s="183">
        <f t="shared" si="34"/>
        <v>2</v>
      </c>
      <c r="R59" s="183">
        <f t="shared" si="34"/>
        <v>0</v>
      </c>
      <c r="S59" s="183">
        <f t="shared" si="34"/>
        <v>0</v>
      </c>
      <c r="T59" s="183">
        <f t="shared" si="34"/>
        <v>0</v>
      </c>
      <c r="U59" s="183">
        <f t="shared" si="34"/>
        <v>0</v>
      </c>
      <c r="V59" s="183">
        <f t="shared" si="34"/>
        <v>0</v>
      </c>
      <c r="W59" s="183">
        <f t="shared" si="34"/>
        <v>0</v>
      </c>
      <c r="X59" s="183">
        <f t="shared" si="34"/>
        <v>0</v>
      </c>
      <c r="Y59" s="183">
        <f t="shared" si="34"/>
        <v>0</v>
      </c>
      <c r="Z59" s="183">
        <f t="shared" si="34"/>
        <v>0</v>
      </c>
    </row>
    <row r="60" spans="2:45" x14ac:dyDescent="0.15">
      <c r="C60" s="183">
        <f t="shared" ref="C60:Z60" si="35">BowlSplit(C7,$B$59)</f>
        <v>0</v>
      </c>
      <c r="D60" s="183">
        <f t="shared" si="35"/>
        <v>0</v>
      </c>
      <c r="E60" s="183">
        <f t="shared" si="35"/>
        <v>0</v>
      </c>
      <c r="F60" s="183">
        <f t="shared" si="35"/>
        <v>0</v>
      </c>
      <c r="G60" s="183">
        <f t="shared" si="35"/>
        <v>0</v>
      </c>
      <c r="H60" s="183">
        <f t="shared" si="33"/>
        <v>0</v>
      </c>
      <c r="I60" s="183">
        <f t="shared" si="33"/>
        <v>0</v>
      </c>
      <c r="J60" s="183">
        <f t="shared" si="35"/>
        <v>0</v>
      </c>
      <c r="K60" s="183">
        <f t="shared" si="35"/>
        <v>0</v>
      </c>
      <c r="L60" s="183">
        <f t="shared" si="35"/>
        <v>0</v>
      </c>
      <c r="M60" s="183">
        <f t="shared" si="35"/>
        <v>0</v>
      </c>
      <c r="N60" s="183">
        <f t="shared" si="35"/>
        <v>0</v>
      </c>
      <c r="O60" s="183">
        <f t="shared" si="35"/>
        <v>0</v>
      </c>
      <c r="P60" s="183">
        <f t="shared" si="35"/>
        <v>0</v>
      </c>
      <c r="Q60" s="183">
        <f t="shared" si="35"/>
        <v>0</v>
      </c>
      <c r="R60" s="183">
        <f t="shared" si="35"/>
        <v>0</v>
      </c>
      <c r="S60" s="183">
        <f t="shared" si="35"/>
        <v>0</v>
      </c>
      <c r="T60" s="183">
        <f t="shared" si="35"/>
        <v>0</v>
      </c>
      <c r="U60" s="183">
        <f t="shared" si="35"/>
        <v>0</v>
      </c>
      <c r="V60" s="183">
        <f t="shared" si="35"/>
        <v>0</v>
      </c>
      <c r="W60" s="183">
        <f t="shared" si="35"/>
        <v>0</v>
      </c>
      <c r="X60" s="183">
        <f t="shared" si="35"/>
        <v>0</v>
      </c>
      <c r="Y60" s="183">
        <f t="shared" si="35"/>
        <v>0</v>
      </c>
      <c r="Z60" s="183">
        <f t="shared" si="35"/>
        <v>0</v>
      </c>
    </row>
    <row r="61" spans="2:45" x14ac:dyDescent="0.15">
      <c r="C61" s="183">
        <f t="shared" ref="C61:Z61" si="36">BowlSplit(C8,$B$59)</f>
        <v>0</v>
      </c>
      <c r="D61" s="183">
        <f t="shared" si="36"/>
        <v>0</v>
      </c>
      <c r="E61" s="183">
        <f t="shared" si="36"/>
        <v>0</v>
      </c>
      <c r="F61" s="183">
        <f t="shared" si="36"/>
        <v>0</v>
      </c>
      <c r="G61" s="183">
        <f t="shared" si="36"/>
        <v>0</v>
      </c>
      <c r="H61" s="183">
        <f t="shared" si="33"/>
        <v>0</v>
      </c>
      <c r="I61" s="183">
        <f t="shared" si="33"/>
        <v>0</v>
      </c>
      <c r="J61" s="183">
        <f t="shared" si="36"/>
        <v>0</v>
      </c>
      <c r="K61" s="183">
        <f t="shared" si="36"/>
        <v>0</v>
      </c>
      <c r="L61" s="183">
        <f t="shared" si="36"/>
        <v>0</v>
      </c>
      <c r="M61" s="183">
        <f t="shared" si="36"/>
        <v>0</v>
      </c>
      <c r="N61" s="183">
        <f t="shared" si="36"/>
        <v>0</v>
      </c>
      <c r="O61" s="183">
        <f t="shared" si="36"/>
        <v>0</v>
      </c>
      <c r="P61" s="183">
        <f t="shared" si="36"/>
        <v>0</v>
      </c>
      <c r="Q61" s="183">
        <f t="shared" si="36"/>
        <v>0</v>
      </c>
      <c r="R61" s="183">
        <f t="shared" si="36"/>
        <v>0</v>
      </c>
      <c r="S61" s="183">
        <f t="shared" si="36"/>
        <v>0</v>
      </c>
      <c r="T61" s="183">
        <f t="shared" si="36"/>
        <v>0</v>
      </c>
      <c r="U61" s="183">
        <f t="shared" si="36"/>
        <v>0</v>
      </c>
      <c r="V61" s="183">
        <f t="shared" si="36"/>
        <v>0</v>
      </c>
      <c r="W61" s="183">
        <f t="shared" si="36"/>
        <v>0</v>
      </c>
      <c r="X61" s="183">
        <f t="shared" si="36"/>
        <v>0</v>
      </c>
      <c r="Y61" s="183">
        <f t="shared" si="36"/>
        <v>0</v>
      </c>
      <c r="Z61" s="183">
        <f t="shared" si="36"/>
        <v>0</v>
      </c>
    </row>
    <row r="62" spans="2:45" x14ac:dyDescent="0.15">
      <c r="C62" s="183">
        <f t="shared" ref="C62:Z62" si="37">BowlSplit(C9,$B$59)</f>
        <v>0</v>
      </c>
      <c r="D62" s="183">
        <f t="shared" si="37"/>
        <v>0</v>
      </c>
      <c r="E62" s="183">
        <f t="shared" si="37"/>
        <v>0</v>
      </c>
      <c r="F62" s="183">
        <f t="shared" si="37"/>
        <v>0</v>
      </c>
      <c r="G62" s="183">
        <f t="shared" si="37"/>
        <v>0</v>
      </c>
      <c r="H62" s="183">
        <f t="shared" si="33"/>
        <v>0</v>
      </c>
      <c r="I62" s="183">
        <f t="shared" si="33"/>
        <v>0</v>
      </c>
      <c r="J62" s="183">
        <f t="shared" si="37"/>
        <v>0</v>
      </c>
      <c r="K62" s="183">
        <f t="shared" si="37"/>
        <v>0</v>
      </c>
      <c r="L62" s="183">
        <f t="shared" si="37"/>
        <v>0</v>
      </c>
      <c r="M62" s="183">
        <f t="shared" si="37"/>
        <v>0</v>
      </c>
      <c r="N62" s="183">
        <f t="shared" si="37"/>
        <v>0</v>
      </c>
      <c r="O62" s="183">
        <f t="shared" si="37"/>
        <v>0</v>
      </c>
      <c r="P62" s="183">
        <f t="shared" si="37"/>
        <v>0</v>
      </c>
      <c r="Q62" s="183">
        <f t="shared" si="37"/>
        <v>0</v>
      </c>
      <c r="R62" s="183">
        <f t="shared" si="37"/>
        <v>0</v>
      </c>
      <c r="S62" s="183">
        <f t="shared" si="37"/>
        <v>0</v>
      </c>
      <c r="T62" s="183">
        <f t="shared" si="37"/>
        <v>0</v>
      </c>
      <c r="U62" s="183">
        <f t="shared" si="37"/>
        <v>0</v>
      </c>
      <c r="V62" s="183">
        <f t="shared" si="37"/>
        <v>0</v>
      </c>
      <c r="W62" s="183">
        <f t="shared" si="37"/>
        <v>0</v>
      </c>
      <c r="X62" s="183">
        <f t="shared" si="37"/>
        <v>0</v>
      </c>
      <c r="Y62" s="183">
        <f t="shared" si="37"/>
        <v>0</v>
      </c>
      <c r="Z62" s="183">
        <f t="shared" si="37"/>
        <v>0</v>
      </c>
    </row>
    <row r="63" spans="2:45" x14ac:dyDescent="0.15">
      <c r="C63" s="183">
        <f t="shared" ref="C63:Z63" si="38">BowlSplit(C10,$B$59)</f>
        <v>0</v>
      </c>
      <c r="D63" s="183">
        <f t="shared" si="38"/>
        <v>0</v>
      </c>
      <c r="E63" s="183">
        <f t="shared" si="38"/>
        <v>0</v>
      </c>
      <c r="F63" s="183">
        <f t="shared" si="38"/>
        <v>0</v>
      </c>
      <c r="G63" s="183">
        <f t="shared" si="38"/>
        <v>0</v>
      </c>
      <c r="H63" s="183">
        <f t="shared" si="33"/>
        <v>0</v>
      </c>
      <c r="I63" s="183">
        <f t="shared" si="33"/>
        <v>0</v>
      </c>
      <c r="J63" s="183">
        <f t="shared" si="38"/>
        <v>0</v>
      </c>
      <c r="K63" s="183">
        <f t="shared" si="38"/>
        <v>0</v>
      </c>
      <c r="L63" s="183">
        <f t="shared" si="38"/>
        <v>0</v>
      </c>
      <c r="M63" s="183">
        <f t="shared" si="38"/>
        <v>0</v>
      </c>
      <c r="N63" s="183">
        <f t="shared" si="38"/>
        <v>0</v>
      </c>
      <c r="O63" s="183">
        <f t="shared" si="38"/>
        <v>0</v>
      </c>
      <c r="P63" s="183">
        <f t="shared" si="38"/>
        <v>0</v>
      </c>
      <c r="Q63" s="183">
        <f t="shared" si="38"/>
        <v>0</v>
      </c>
      <c r="R63" s="183">
        <f t="shared" si="38"/>
        <v>0</v>
      </c>
      <c r="S63" s="183">
        <f t="shared" si="38"/>
        <v>0</v>
      </c>
      <c r="T63" s="183">
        <f t="shared" si="38"/>
        <v>0</v>
      </c>
      <c r="U63" s="183">
        <f t="shared" si="38"/>
        <v>0</v>
      </c>
      <c r="V63" s="183">
        <f t="shared" si="38"/>
        <v>0</v>
      </c>
      <c r="W63" s="183">
        <f t="shared" si="38"/>
        <v>0</v>
      </c>
      <c r="X63" s="183">
        <f t="shared" si="38"/>
        <v>0</v>
      </c>
      <c r="Y63" s="183">
        <f t="shared" si="38"/>
        <v>0</v>
      </c>
      <c r="Z63" s="183">
        <f t="shared" si="38"/>
        <v>0</v>
      </c>
    </row>
    <row r="64" spans="2:45" x14ac:dyDescent="0.15">
      <c r="C64" s="183">
        <f t="shared" ref="C64:Z64" si="39">BowlSplit(C11,$B$59)</f>
        <v>0</v>
      </c>
      <c r="D64" s="183">
        <f t="shared" si="39"/>
        <v>2</v>
      </c>
      <c r="E64" s="183">
        <f t="shared" si="39"/>
        <v>0</v>
      </c>
      <c r="F64" s="183">
        <f t="shared" si="39"/>
        <v>0</v>
      </c>
      <c r="G64" s="183">
        <f t="shared" si="39"/>
        <v>0</v>
      </c>
      <c r="H64" s="183">
        <f t="shared" si="33"/>
        <v>3</v>
      </c>
      <c r="I64" s="183">
        <f t="shared" si="33"/>
        <v>0</v>
      </c>
      <c r="J64" s="183">
        <f t="shared" si="39"/>
        <v>0</v>
      </c>
      <c r="K64" s="183">
        <f t="shared" si="39"/>
        <v>0</v>
      </c>
      <c r="L64" s="183">
        <f t="shared" si="39"/>
        <v>0</v>
      </c>
      <c r="M64" s="183">
        <f t="shared" si="39"/>
        <v>1</v>
      </c>
      <c r="N64" s="183">
        <f t="shared" si="39"/>
        <v>0</v>
      </c>
      <c r="O64" s="183">
        <f t="shared" si="39"/>
        <v>1</v>
      </c>
      <c r="P64" s="183">
        <f t="shared" si="39"/>
        <v>0</v>
      </c>
      <c r="Q64" s="183">
        <f t="shared" si="39"/>
        <v>0</v>
      </c>
      <c r="R64" s="183">
        <f t="shared" si="39"/>
        <v>0</v>
      </c>
      <c r="S64" s="183">
        <f t="shared" si="39"/>
        <v>0</v>
      </c>
      <c r="T64" s="183">
        <f t="shared" si="39"/>
        <v>0</v>
      </c>
      <c r="U64" s="183">
        <f t="shared" si="39"/>
        <v>0</v>
      </c>
      <c r="V64" s="183">
        <f t="shared" si="39"/>
        <v>0</v>
      </c>
      <c r="W64" s="183">
        <f t="shared" si="39"/>
        <v>2</v>
      </c>
      <c r="X64" s="183">
        <f t="shared" si="39"/>
        <v>0</v>
      </c>
      <c r="Y64" s="183">
        <f t="shared" si="39"/>
        <v>0</v>
      </c>
      <c r="Z64" s="183">
        <f t="shared" si="39"/>
        <v>0</v>
      </c>
      <c r="AQ64" s="46">
        <f>6/29</f>
        <v>0.20689655172413793</v>
      </c>
    </row>
    <row r="65" spans="3:43" x14ac:dyDescent="0.15">
      <c r="C65" s="183">
        <f t="shared" ref="C65:Z65" si="40">BowlSplit(C12,$B$59)</f>
        <v>0</v>
      </c>
      <c r="D65" s="183">
        <f t="shared" si="40"/>
        <v>0</v>
      </c>
      <c r="E65" s="183">
        <f t="shared" si="40"/>
        <v>0</v>
      </c>
      <c r="F65" s="183">
        <f t="shared" si="40"/>
        <v>0</v>
      </c>
      <c r="G65" s="183">
        <f t="shared" si="40"/>
        <v>0</v>
      </c>
      <c r="H65" s="183">
        <f t="shared" si="33"/>
        <v>0</v>
      </c>
      <c r="I65" s="183">
        <f t="shared" si="33"/>
        <v>0</v>
      </c>
      <c r="J65" s="183">
        <f t="shared" si="40"/>
        <v>0</v>
      </c>
      <c r="K65" s="183">
        <f t="shared" si="40"/>
        <v>0</v>
      </c>
      <c r="L65" s="183">
        <f t="shared" si="40"/>
        <v>0</v>
      </c>
      <c r="M65" s="183">
        <f t="shared" si="40"/>
        <v>0</v>
      </c>
      <c r="N65" s="183">
        <f t="shared" si="40"/>
        <v>0</v>
      </c>
      <c r="O65" s="183">
        <f t="shared" si="40"/>
        <v>0</v>
      </c>
      <c r="P65" s="183">
        <f t="shared" si="40"/>
        <v>0</v>
      </c>
      <c r="Q65" s="183">
        <f t="shared" si="40"/>
        <v>0</v>
      </c>
      <c r="R65" s="183">
        <f t="shared" si="40"/>
        <v>0</v>
      </c>
      <c r="S65" s="183">
        <f t="shared" si="40"/>
        <v>0</v>
      </c>
      <c r="T65" s="183">
        <f t="shared" si="40"/>
        <v>0</v>
      </c>
      <c r="U65" s="183">
        <f t="shared" si="40"/>
        <v>0</v>
      </c>
      <c r="V65" s="183">
        <f t="shared" si="40"/>
        <v>0</v>
      </c>
      <c r="W65" s="183">
        <f t="shared" si="40"/>
        <v>0</v>
      </c>
      <c r="X65" s="183">
        <f t="shared" si="40"/>
        <v>0</v>
      </c>
      <c r="Y65" s="183">
        <f t="shared" si="40"/>
        <v>0</v>
      </c>
      <c r="Z65" s="183">
        <f t="shared" si="40"/>
        <v>0</v>
      </c>
      <c r="AQ65" s="46">
        <f>9/44</f>
        <v>0.20454545454545456</v>
      </c>
    </row>
    <row r="66" spans="3:43" x14ac:dyDescent="0.15">
      <c r="C66" s="183">
        <f t="shared" ref="C66:Z66" si="41">BowlSplit(C13,$B$59)</f>
        <v>0</v>
      </c>
      <c r="D66" s="183">
        <f t="shared" si="41"/>
        <v>0</v>
      </c>
      <c r="E66" s="183">
        <f t="shared" si="41"/>
        <v>0</v>
      </c>
      <c r="F66" s="183">
        <f t="shared" si="41"/>
        <v>0</v>
      </c>
      <c r="G66" s="183">
        <f t="shared" si="41"/>
        <v>0</v>
      </c>
      <c r="H66" s="183">
        <f t="shared" si="33"/>
        <v>0</v>
      </c>
      <c r="I66" s="183">
        <f t="shared" si="33"/>
        <v>0</v>
      </c>
      <c r="J66" s="183">
        <f t="shared" si="41"/>
        <v>0</v>
      </c>
      <c r="K66" s="183">
        <f t="shared" si="41"/>
        <v>0</v>
      </c>
      <c r="L66" s="183">
        <f t="shared" si="41"/>
        <v>0</v>
      </c>
      <c r="M66" s="183">
        <f t="shared" si="41"/>
        <v>0</v>
      </c>
      <c r="N66" s="183">
        <f t="shared" si="41"/>
        <v>0</v>
      </c>
      <c r="O66" s="183">
        <f t="shared" si="41"/>
        <v>0</v>
      </c>
      <c r="P66" s="183">
        <f t="shared" si="41"/>
        <v>0</v>
      </c>
      <c r="Q66" s="183">
        <f t="shared" si="41"/>
        <v>0</v>
      </c>
      <c r="R66" s="183">
        <f t="shared" si="41"/>
        <v>0</v>
      </c>
      <c r="S66" s="183">
        <f t="shared" si="41"/>
        <v>0</v>
      </c>
      <c r="T66" s="183">
        <f t="shared" si="41"/>
        <v>0</v>
      </c>
      <c r="U66" s="183">
        <f t="shared" si="41"/>
        <v>0</v>
      </c>
      <c r="V66" s="183">
        <f t="shared" si="41"/>
        <v>0</v>
      </c>
      <c r="W66" s="183">
        <f t="shared" si="41"/>
        <v>0</v>
      </c>
      <c r="X66" s="183">
        <f t="shared" si="41"/>
        <v>0</v>
      </c>
      <c r="Y66" s="183">
        <f t="shared" si="41"/>
        <v>0</v>
      </c>
      <c r="Z66" s="183">
        <f t="shared" si="41"/>
        <v>0</v>
      </c>
    </row>
    <row r="67" spans="3:43" x14ac:dyDescent="0.15">
      <c r="C67" s="183">
        <f t="shared" ref="C67:Z67" si="42">BowlSplit(C14,$B$59)</f>
        <v>0</v>
      </c>
      <c r="D67" s="183">
        <f t="shared" si="42"/>
        <v>0</v>
      </c>
      <c r="E67" s="183">
        <f t="shared" si="42"/>
        <v>0</v>
      </c>
      <c r="F67" s="183">
        <f t="shared" si="42"/>
        <v>0</v>
      </c>
      <c r="G67" s="183">
        <f t="shared" si="42"/>
        <v>0</v>
      </c>
      <c r="H67" s="183">
        <f t="shared" si="33"/>
        <v>0</v>
      </c>
      <c r="I67" s="183">
        <f t="shared" si="33"/>
        <v>0</v>
      </c>
      <c r="J67" s="183">
        <f t="shared" si="42"/>
        <v>0</v>
      </c>
      <c r="K67" s="183">
        <f t="shared" si="42"/>
        <v>0</v>
      </c>
      <c r="L67" s="183">
        <f t="shared" si="42"/>
        <v>0</v>
      </c>
      <c r="M67" s="183">
        <f t="shared" si="42"/>
        <v>0</v>
      </c>
      <c r="N67" s="183">
        <f t="shared" si="42"/>
        <v>0</v>
      </c>
      <c r="O67" s="183">
        <f t="shared" si="42"/>
        <v>0</v>
      </c>
      <c r="P67" s="183">
        <f t="shared" si="42"/>
        <v>0</v>
      </c>
      <c r="Q67" s="183">
        <f t="shared" si="42"/>
        <v>0</v>
      </c>
      <c r="R67" s="183">
        <f t="shared" si="42"/>
        <v>0</v>
      </c>
      <c r="S67" s="183">
        <f t="shared" si="42"/>
        <v>0</v>
      </c>
      <c r="T67" s="183">
        <f t="shared" si="42"/>
        <v>0</v>
      </c>
      <c r="U67" s="183">
        <f t="shared" si="42"/>
        <v>0</v>
      </c>
      <c r="V67" s="183">
        <f t="shared" si="42"/>
        <v>0</v>
      </c>
      <c r="W67" s="183">
        <f t="shared" si="42"/>
        <v>0</v>
      </c>
      <c r="X67" s="183">
        <f t="shared" si="42"/>
        <v>0</v>
      </c>
      <c r="Y67" s="183">
        <f t="shared" si="42"/>
        <v>0</v>
      </c>
      <c r="Z67" s="183">
        <f t="shared" si="42"/>
        <v>0</v>
      </c>
    </row>
    <row r="68" spans="3:43" x14ac:dyDescent="0.15">
      <c r="C68" s="183">
        <f t="shared" ref="C68:Z68" si="43">BowlSplit(C16,$B$59)</f>
        <v>0</v>
      </c>
      <c r="D68" s="183">
        <f t="shared" si="43"/>
        <v>0</v>
      </c>
      <c r="E68" s="183">
        <f t="shared" si="43"/>
        <v>0</v>
      </c>
      <c r="F68" s="183">
        <f t="shared" si="43"/>
        <v>0</v>
      </c>
      <c r="G68" s="183">
        <f t="shared" si="43"/>
        <v>0</v>
      </c>
      <c r="H68" s="183">
        <f>BowlSplit(I16,$B$59)</f>
        <v>0</v>
      </c>
      <c r="I68" s="183">
        <f>BowlSplit(J16,$B$59)</f>
        <v>0</v>
      </c>
      <c r="J68" s="183">
        <f t="shared" si="43"/>
        <v>0</v>
      </c>
      <c r="K68" s="183">
        <f t="shared" si="43"/>
        <v>0</v>
      </c>
      <c r="L68" s="183">
        <f t="shared" si="43"/>
        <v>0</v>
      </c>
      <c r="M68" s="183">
        <f t="shared" si="43"/>
        <v>0</v>
      </c>
      <c r="N68" s="183">
        <f t="shared" si="43"/>
        <v>0</v>
      </c>
      <c r="O68" s="183">
        <f t="shared" si="43"/>
        <v>0</v>
      </c>
      <c r="P68" s="183">
        <f t="shared" si="43"/>
        <v>0</v>
      </c>
      <c r="Q68" s="183">
        <f t="shared" si="43"/>
        <v>0</v>
      </c>
      <c r="R68" s="183">
        <f t="shared" si="43"/>
        <v>0</v>
      </c>
      <c r="S68" s="183">
        <f t="shared" si="43"/>
        <v>0</v>
      </c>
      <c r="T68" s="183">
        <f t="shared" si="43"/>
        <v>0</v>
      </c>
      <c r="U68" s="183">
        <f t="shared" si="43"/>
        <v>0</v>
      </c>
      <c r="V68" s="183">
        <f t="shared" si="43"/>
        <v>0</v>
      </c>
      <c r="W68" s="183">
        <f t="shared" si="43"/>
        <v>0</v>
      </c>
      <c r="X68" s="183">
        <f t="shared" si="43"/>
        <v>0</v>
      </c>
      <c r="Y68" s="183">
        <f t="shared" si="43"/>
        <v>0</v>
      </c>
      <c r="Z68" s="183">
        <f t="shared" si="43"/>
        <v>0</v>
      </c>
    </row>
    <row r="69" spans="3:43" x14ac:dyDescent="0.15">
      <c r="C69" s="183">
        <f t="shared" ref="C69:Z69" si="44">BowlSplit(C18,$B$59)</f>
        <v>0</v>
      </c>
      <c r="D69" s="183">
        <f t="shared" si="44"/>
        <v>0</v>
      </c>
      <c r="E69" s="183">
        <f t="shared" si="44"/>
        <v>0</v>
      </c>
      <c r="F69" s="183">
        <f t="shared" si="44"/>
        <v>0</v>
      </c>
      <c r="G69" s="183">
        <f t="shared" si="44"/>
        <v>0</v>
      </c>
      <c r="H69" s="183">
        <f t="shared" ref="H69:I71" si="45">BowlSplit(I18,$B$59)</f>
        <v>0</v>
      </c>
      <c r="I69" s="183">
        <f t="shared" si="45"/>
        <v>0</v>
      </c>
      <c r="J69" s="183">
        <f t="shared" si="44"/>
        <v>0</v>
      </c>
      <c r="K69" s="183">
        <f t="shared" si="44"/>
        <v>0</v>
      </c>
      <c r="L69" s="183">
        <f t="shared" si="44"/>
        <v>0</v>
      </c>
      <c r="M69" s="183">
        <f t="shared" si="44"/>
        <v>0</v>
      </c>
      <c r="N69" s="183">
        <f t="shared" si="44"/>
        <v>0</v>
      </c>
      <c r="O69" s="183">
        <f t="shared" si="44"/>
        <v>0</v>
      </c>
      <c r="P69" s="183">
        <f t="shared" si="44"/>
        <v>0</v>
      </c>
      <c r="Q69" s="183">
        <f t="shared" si="44"/>
        <v>0</v>
      </c>
      <c r="R69" s="183">
        <f t="shared" si="44"/>
        <v>0</v>
      </c>
      <c r="S69" s="183">
        <f t="shared" si="44"/>
        <v>0</v>
      </c>
      <c r="T69" s="183">
        <f t="shared" si="44"/>
        <v>0</v>
      </c>
      <c r="U69" s="183">
        <f t="shared" si="44"/>
        <v>0</v>
      </c>
      <c r="V69" s="183">
        <f t="shared" si="44"/>
        <v>0</v>
      </c>
      <c r="W69" s="183">
        <f t="shared" si="44"/>
        <v>0</v>
      </c>
      <c r="X69" s="183">
        <f t="shared" si="44"/>
        <v>0</v>
      </c>
      <c r="Y69" s="183">
        <f t="shared" si="44"/>
        <v>0</v>
      </c>
      <c r="Z69" s="183">
        <f t="shared" si="44"/>
        <v>0</v>
      </c>
    </row>
    <row r="70" spans="3:43" x14ac:dyDescent="0.15">
      <c r="C70" s="183">
        <f t="shared" ref="C70:Z70" si="46">BowlSplit(C19,$B$59)</f>
        <v>0</v>
      </c>
      <c r="D70" s="183">
        <f t="shared" si="46"/>
        <v>0</v>
      </c>
      <c r="E70" s="183">
        <f t="shared" si="46"/>
        <v>0</v>
      </c>
      <c r="F70" s="183">
        <f t="shared" si="46"/>
        <v>0</v>
      </c>
      <c r="G70" s="183">
        <f t="shared" si="46"/>
        <v>0</v>
      </c>
      <c r="H70" s="183">
        <f t="shared" si="45"/>
        <v>0</v>
      </c>
      <c r="I70" s="183">
        <f t="shared" si="45"/>
        <v>0</v>
      </c>
      <c r="J70" s="183">
        <f t="shared" si="46"/>
        <v>0</v>
      </c>
      <c r="K70" s="183">
        <f t="shared" si="46"/>
        <v>0</v>
      </c>
      <c r="L70" s="183">
        <f t="shared" si="46"/>
        <v>0</v>
      </c>
      <c r="M70" s="183">
        <f t="shared" si="46"/>
        <v>0</v>
      </c>
      <c r="N70" s="183">
        <f t="shared" si="46"/>
        <v>0</v>
      </c>
      <c r="O70" s="183">
        <f t="shared" si="46"/>
        <v>0</v>
      </c>
      <c r="P70" s="183">
        <f t="shared" si="46"/>
        <v>0</v>
      </c>
      <c r="Q70" s="183">
        <f t="shared" si="46"/>
        <v>0</v>
      </c>
      <c r="R70" s="183">
        <f t="shared" si="46"/>
        <v>0</v>
      </c>
      <c r="S70" s="183">
        <f t="shared" si="46"/>
        <v>0</v>
      </c>
      <c r="T70" s="183">
        <f t="shared" si="46"/>
        <v>0</v>
      </c>
      <c r="U70" s="183">
        <f t="shared" si="46"/>
        <v>0</v>
      </c>
      <c r="V70" s="183">
        <f t="shared" si="46"/>
        <v>0</v>
      </c>
      <c r="W70" s="183">
        <f t="shared" si="46"/>
        <v>0</v>
      </c>
      <c r="X70" s="183">
        <f t="shared" si="46"/>
        <v>0</v>
      </c>
      <c r="Y70" s="183">
        <f t="shared" si="46"/>
        <v>0</v>
      </c>
      <c r="Z70" s="183">
        <f t="shared" si="46"/>
        <v>0</v>
      </c>
    </row>
    <row r="71" spans="3:43" x14ac:dyDescent="0.15">
      <c r="C71" s="183">
        <f t="shared" ref="C71:Z71" si="47">BowlSplit(C20,$B$59)</f>
        <v>0</v>
      </c>
      <c r="D71" s="183">
        <f t="shared" si="47"/>
        <v>0</v>
      </c>
      <c r="E71" s="183">
        <f t="shared" si="47"/>
        <v>0</v>
      </c>
      <c r="F71" s="183">
        <f t="shared" si="47"/>
        <v>0</v>
      </c>
      <c r="G71" s="183">
        <f t="shared" si="47"/>
        <v>0</v>
      </c>
      <c r="H71" s="183">
        <f t="shared" si="45"/>
        <v>0</v>
      </c>
      <c r="I71" s="183">
        <f t="shared" si="45"/>
        <v>0</v>
      </c>
      <c r="J71" s="183">
        <f t="shared" si="47"/>
        <v>0</v>
      </c>
      <c r="K71" s="183">
        <f t="shared" si="47"/>
        <v>0</v>
      </c>
      <c r="L71" s="183">
        <f t="shared" si="47"/>
        <v>0</v>
      </c>
      <c r="M71" s="183">
        <f t="shared" si="47"/>
        <v>0</v>
      </c>
      <c r="N71" s="183">
        <f t="shared" si="47"/>
        <v>0</v>
      </c>
      <c r="O71" s="183">
        <f t="shared" si="47"/>
        <v>0</v>
      </c>
      <c r="P71" s="183">
        <f t="shared" si="47"/>
        <v>0</v>
      </c>
      <c r="Q71" s="183">
        <f t="shared" si="47"/>
        <v>0</v>
      </c>
      <c r="R71" s="183">
        <f t="shared" si="47"/>
        <v>0</v>
      </c>
      <c r="S71" s="183">
        <f t="shared" si="47"/>
        <v>0</v>
      </c>
      <c r="T71" s="183">
        <f t="shared" si="47"/>
        <v>0</v>
      </c>
      <c r="U71" s="183">
        <f t="shared" si="47"/>
        <v>0</v>
      </c>
      <c r="V71" s="183">
        <f t="shared" si="47"/>
        <v>0</v>
      </c>
      <c r="W71" s="183">
        <f t="shared" si="47"/>
        <v>0</v>
      </c>
      <c r="X71" s="183">
        <f t="shared" si="47"/>
        <v>0</v>
      </c>
      <c r="Y71" s="183">
        <f t="shared" si="47"/>
        <v>0</v>
      </c>
      <c r="Z71" s="183">
        <f t="shared" si="47"/>
        <v>0</v>
      </c>
    </row>
    <row r="72" spans="3:43" x14ac:dyDescent="0.15">
      <c r="C72" s="183">
        <f t="shared" ref="C72:Z72" si="48">BowlSplit(C22,$B$59)</f>
        <v>2</v>
      </c>
      <c r="D72" s="183">
        <f t="shared" si="48"/>
        <v>0</v>
      </c>
      <c r="E72" s="183">
        <f t="shared" si="48"/>
        <v>0</v>
      </c>
      <c r="F72" s="183">
        <f t="shared" si="48"/>
        <v>0</v>
      </c>
      <c r="G72" s="183">
        <f t="shared" si="48"/>
        <v>0</v>
      </c>
      <c r="H72" s="183">
        <f t="shared" ref="H72:I77" si="49">BowlSplit(I22,$B$59)</f>
        <v>0</v>
      </c>
      <c r="I72" s="183">
        <f t="shared" si="49"/>
        <v>0</v>
      </c>
      <c r="J72" s="183">
        <f t="shared" si="48"/>
        <v>0</v>
      </c>
      <c r="K72" s="183">
        <f t="shared" si="48"/>
        <v>2</v>
      </c>
      <c r="L72" s="183">
        <f t="shared" si="48"/>
        <v>3</v>
      </c>
      <c r="M72" s="183">
        <f t="shared" si="48"/>
        <v>1</v>
      </c>
      <c r="N72" s="183">
        <f t="shared" si="48"/>
        <v>0</v>
      </c>
      <c r="O72" s="183">
        <f t="shared" si="48"/>
        <v>0</v>
      </c>
      <c r="P72" s="183">
        <f t="shared" si="48"/>
        <v>0</v>
      </c>
      <c r="Q72" s="183">
        <f t="shared" si="48"/>
        <v>0</v>
      </c>
      <c r="R72" s="183">
        <f t="shared" si="48"/>
        <v>1</v>
      </c>
      <c r="S72" s="183">
        <f t="shared" si="48"/>
        <v>0</v>
      </c>
      <c r="T72" s="183">
        <f t="shared" si="48"/>
        <v>2</v>
      </c>
      <c r="U72" s="183">
        <f t="shared" si="48"/>
        <v>0</v>
      </c>
      <c r="V72" s="183">
        <f t="shared" si="48"/>
        <v>0</v>
      </c>
      <c r="W72" s="183">
        <f t="shared" si="48"/>
        <v>0</v>
      </c>
      <c r="X72" s="183">
        <f t="shared" si="48"/>
        <v>0</v>
      </c>
      <c r="Y72" s="183">
        <f t="shared" si="48"/>
        <v>0</v>
      </c>
      <c r="Z72" s="183">
        <f t="shared" si="48"/>
        <v>0</v>
      </c>
    </row>
    <row r="73" spans="3:43" x14ac:dyDescent="0.15">
      <c r="C73" s="183">
        <f t="shared" ref="C73:Z73" si="50">BowlSplit(C23,$B$59)</f>
        <v>0</v>
      </c>
      <c r="D73" s="183">
        <f t="shared" si="50"/>
        <v>0</v>
      </c>
      <c r="E73" s="183">
        <f t="shared" si="50"/>
        <v>0</v>
      </c>
      <c r="F73" s="183">
        <f t="shared" si="50"/>
        <v>2</v>
      </c>
      <c r="G73" s="183">
        <f t="shared" si="50"/>
        <v>1</v>
      </c>
      <c r="H73" s="183">
        <f t="shared" si="49"/>
        <v>1</v>
      </c>
      <c r="I73" s="183">
        <f t="shared" si="49"/>
        <v>0</v>
      </c>
      <c r="J73" s="183">
        <f t="shared" si="50"/>
        <v>0</v>
      </c>
      <c r="K73" s="183">
        <f t="shared" si="50"/>
        <v>1</v>
      </c>
      <c r="L73" s="183">
        <f t="shared" si="50"/>
        <v>0</v>
      </c>
      <c r="M73" s="183">
        <f t="shared" si="50"/>
        <v>0</v>
      </c>
      <c r="N73" s="183">
        <f t="shared" si="50"/>
        <v>0</v>
      </c>
      <c r="O73" s="183">
        <f t="shared" si="50"/>
        <v>1</v>
      </c>
      <c r="P73" s="183">
        <f t="shared" si="50"/>
        <v>0</v>
      </c>
      <c r="Q73" s="183">
        <f t="shared" si="50"/>
        <v>0</v>
      </c>
      <c r="R73" s="183">
        <f t="shared" si="50"/>
        <v>2</v>
      </c>
      <c r="S73" s="183">
        <f t="shared" si="50"/>
        <v>0</v>
      </c>
      <c r="T73" s="183">
        <f t="shared" si="50"/>
        <v>0</v>
      </c>
      <c r="U73" s="183">
        <f t="shared" si="50"/>
        <v>0</v>
      </c>
      <c r="V73" s="183">
        <f t="shared" si="50"/>
        <v>0</v>
      </c>
      <c r="W73" s="183">
        <f t="shared" si="50"/>
        <v>0</v>
      </c>
      <c r="X73" s="183">
        <f t="shared" si="50"/>
        <v>0</v>
      </c>
      <c r="Y73" s="183">
        <f t="shared" si="50"/>
        <v>0</v>
      </c>
      <c r="Z73" s="183">
        <f t="shared" si="50"/>
        <v>0</v>
      </c>
    </row>
    <row r="74" spans="3:43" x14ac:dyDescent="0.15">
      <c r="C74" s="183">
        <f t="shared" ref="C74:Z74" si="51">BowlSplit(C24,$B$59)</f>
        <v>0</v>
      </c>
      <c r="D74" s="183">
        <f t="shared" si="51"/>
        <v>0</v>
      </c>
      <c r="E74" s="183">
        <f t="shared" si="51"/>
        <v>0</v>
      </c>
      <c r="F74" s="183">
        <f t="shared" si="51"/>
        <v>0</v>
      </c>
      <c r="G74" s="183">
        <f t="shared" si="51"/>
        <v>0</v>
      </c>
      <c r="H74" s="183">
        <f t="shared" si="49"/>
        <v>0</v>
      </c>
      <c r="I74" s="183">
        <f t="shared" si="49"/>
        <v>0</v>
      </c>
      <c r="J74" s="183">
        <f t="shared" si="51"/>
        <v>0</v>
      </c>
      <c r="K74" s="183">
        <f t="shared" si="51"/>
        <v>0</v>
      </c>
      <c r="L74" s="183">
        <f t="shared" si="51"/>
        <v>0</v>
      </c>
      <c r="M74" s="183">
        <f t="shared" si="51"/>
        <v>0</v>
      </c>
      <c r="N74" s="183">
        <f t="shared" si="51"/>
        <v>0</v>
      </c>
      <c r="O74" s="183">
        <f t="shared" si="51"/>
        <v>2</v>
      </c>
      <c r="P74" s="183">
        <f t="shared" si="51"/>
        <v>0</v>
      </c>
      <c r="Q74" s="183">
        <f t="shared" si="51"/>
        <v>0</v>
      </c>
      <c r="R74" s="183">
        <f t="shared" si="51"/>
        <v>0</v>
      </c>
      <c r="S74" s="183">
        <f t="shared" si="51"/>
        <v>0</v>
      </c>
      <c r="T74" s="183">
        <f t="shared" si="51"/>
        <v>0</v>
      </c>
      <c r="U74" s="183">
        <f t="shared" si="51"/>
        <v>0</v>
      </c>
      <c r="V74" s="183">
        <f t="shared" si="51"/>
        <v>0</v>
      </c>
      <c r="W74" s="183">
        <f t="shared" si="51"/>
        <v>0</v>
      </c>
      <c r="X74" s="183">
        <f t="shared" si="51"/>
        <v>0</v>
      </c>
      <c r="Y74" s="183">
        <f t="shared" si="51"/>
        <v>0</v>
      </c>
      <c r="Z74" s="183">
        <f t="shared" si="51"/>
        <v>0</v>
      </c>
    </row>
    <row r="75" spans="3:43" x14ac:dyDescent="0.15">
      <c r="C75" s="183">
        <f t="shared" ref="C75:Z75" si="52">BowlSplit(C25,$B$59)</f>
        <v>2</v>
      </c>
      <c r="D75" s="183">
        <f t="shared" si="52"/>
        <v>0</v>
      </c>
      <c r="E75" s="183">
        <f t="shared" si="52"/>
        <v>2</v>
      </c>
      <c r="F75" s="183">
        <f t="shared" si="52"/>
        <v>2</v>
      </c>
      <c r="G75" s="183">
        <f t="shared" si="52"/>
        <v>3</v>
      </c>
      <c r="H75" s="183">
        <f t="shared" si="49"/>
        <v>1</v>
      </c>
      <c r="I75" s="183">
        <f t="shared" si="49"/>
        <v>0</v>
      </c>
      <c r="J75" s="183">
        <f t="shared" si="52"/>
        <v>0</v>
      </c>
      <c r="K75" s="183">
        <f t="shared" si="52"/>
        <v>0</v>
      </c>
      <c r="L75" s="183">
        <f t="shared" si="52"/>
        <v>4</v>
      </c>
      <c r="M75" s="183">
        <f t="shared" si="52"/>
        <v>2</v>
      </c>
      <c r="N75" s="183">
        <f t="shared" si="52"/>
        <v>3</v>
      </c>
      <c r="O75" s="183">
        <f t="shared" si="52"/>
        <v>0</v>
      </c>
      <c r="P75" s="183">
        <f t="shared" si="52"/>
        <v>1</v>
      </c>
      <c r="Q75" s="183">
        <f t="shared" si="52"/>
        <v>1</v>
      </c>
      <c r="R75" s="183">
        <f t="shared" si="52"/>
        <v>0</v>
      </c>
      <c r="S75" s="183">
        <f t="shared" si="52"/>
        <v>0</v>
      </c>
      <c r="T75" s="183">
        <f t="shared" si="52"/>
        <v>0</v>
      </c>
      <c r="U75" s="183">
        <f t="shared" si="52"/>
        <v>0</v>
      </c>
      <c r="V75" s="183">
        <f t="shared" si="52"/>
        <v>1</v>
      </c>
      <c r="W75" s="183">
        <f t="shared" si="52"/>
        <v>0</v>
      </c>
      <c r="X75" s="183">
        <f t="shared" si="52"/>
        <v>0</v>
      </c>
      <c r="Y75" s="183">
        <f t="shared" si="52"/>
        <v>0</v>
      </c>
      <c r="Z75" s="183">
        <f t="shared" si="52"/>
        <v>0</v>
      </c>
    </row>
    <row r="76" spans="3:43" x14ac:dyDescent="0.15">
      <c r="C76" s="183">
        <f t="shared" ref="C76:Z76" si="53">BowlSplit(C26,$B$59)</f>
        <v>0</v>
      </c>
      <c r="D76" s="183">
        <f t="shared" si="53"/>
        <v>0</v>
      </c>
      <c r="E76" s="183">
        <f t="shared" si="53"/>
        <v>0</v>
      </c>
      <c r="F76" s="183">
        <f t="shared" si="53"/>
        <v>0</v>
      </c>
      <c r="G76" s="183">
        <f t="shared" si="53"/>
        <v>0</v>
      </c>
      <c r="H76" s="183">
        <f t="shared" si="49"/>
        <v>0</v>
      </c>
      <c r="I76" s="183">
        <f t="shared" si="49"/>
        <v>0</v>
      </c>
      <c r="J76" s="183">
        <f t="shared" si="53"/>
        <v>0</v>
      </c>
      <c r="K76" s="183">
        <f t="shared" si="53"/>
        <v>0</v>
      </c>
      <c r="L76" s="183">
        <f t="shared" si="53"/>
        <v>0</v>
      </c>
      <c r="M76" s="183">
        <f t="shared" si="53"/>
        <v>0</v>
      </c>
      <c r="N76" s="183">
        <f t="shared" si="53"/>
        <v>0</v>
      </c>
      <c r="O76" s="183">
        <f t="shared" si="53"/>
        <v>0</v>
      </c>
      <c r="P76" s="183">
        <f t="shared" si="53"/>
        <v>0</v>
      </c>
      <c r="Q76" s="183">
        <f t="shared" si="53"/>
        <v>0</v>
      </c>
      <c r="R76" s="183">
        <f t="shared" si="53"/>
        <v>0</v>
      </c>
      <c r="S76" s="183">
        <f t="shared" si="53"/>
        <v>0</v>
      </c>
      <c r="T76" s="183">
        <f t="shared" si="53"/>
        <v>0</v>
      </c>
      <c r="U76" s="183">
        <f t="shared" si="53"/>
        <v>0</v>
      </c>
      <c r="V76" s="183">
        <f t="shared" si="53"/>
        <v>0</v>
      </c>
      <c r="W76" s="183">
        <f t="shared" si="53"/>
        <v>0</v>
      </c>
      <c r="X76" s="183">
        <f t="shared" si="53"/>
        <v>0</v>
      </c>
      <c r="Y76" s="183">
        <f t="shared" si="53"/>
        <v>0</v>
      </c>
      <c r="Z76" s="183">
        <f t="shared" si="53"/>
        <v>0</v>
      </c>
    </row>
    <row r="77" spans="3:43" x14ac:dyDescent="0.15">
      <c r="C77" s="183">
        <f t="shared" ref="C77:Z77" si="54">BowlSplit(C27,$B$59)</f>
        <v>0</v>
      </c>
      <c r="D77" s="183">
        <f t="shared" si="54"/>
        <v>0</v>
      </c>
      <c r="E77" s="183">
        <f t="shared" si="54"/>
        <v>0</v>
      </c>
      <c r="F77" s="183">
        <f t="shared" si="54"/>
        <v>0</v>
      </c>
      <c r="G77" s="183">
        <f t="shared" si="54"/>
        <v>0</v>
      </c>
      <c r="H77" s="183">
        <f t="shared" si="49"/>
        <v>0</v>
      </c>
      <c r="I77" s="183">
        <f t="shared" si="49"/>
        <v>0</v>
      </c>
      <c r="J77" s="183">
        <f t="shared" si="54"/>
        <v>0</v>
      </c>
      <c r="K77" s="183">
        <f t="shared" si="54"/>
        <v>0</v>
      </c>
      <c r="L77" s="183">
        <f t="shared" si="54"/>
        <v>0</v>
      </c>
      <c r="M77" s="183">
        <f t="shared" si="54"/>
        <v>0</v>
      </c>
      <c r="N77" s="183">
        <f t="shared" si="54"/>
        <v>0</v>
      </c>
      <c r="O77" s="183">
        <f t="shared" si="54"/>
        <v>0</v>
      </c>
      <c r="P77" s="183">
        <f t="shared" si="54"/>
        <v>0</v>
      </c>
      <c r="Q77" s="183">
        <f t="shared" si="54"/>
        <v>0</v>
      </c>
      <c r="R77" s="183">
        <f t="shared" si="54"/>
        <v>0</v>
      </c>
      <c r="S77" s="183">
        <f t="shared" si="54"/>
        <v>0</v>
      </c>
      <c r="T77" s="183">
        <f t="shared" si="54"/>
        <v>0</v>
      </c>
      <c r="U77" s="183">
        <f t="shared" si="54"/>
        <v>0</v>
      </c>
      <c r="V77" s="183">
        <f t="shared" si="54"/>
        <v>2</v>
      </c>
      <c r="W77" s="183">
        <f t="shared" si="54"/>
        <v>0</v>
      </c>
      <c r="X77" s="183">
        <f t="shared" si="54"/>
        <v>0</v>
      </c>
      <c r="Y77" s="183">
        <f t="shared" si="54"/>
        <v>0</v>
      </c>
      <c r="Z77" s="183">
        <f t="shared" si="54"/>
        <v>0</v>
      </c>
    </row>
    <row r="78" spans="3:43" x14ac:dyDescent="0.15">
      <c r="C78" s="183">
        <f t="shared" ref="C78:Z78" si="55">BowlSplit(C32,$B$59)</f>
        <v>0</v>
      </c>
      <c r="D78" s="183">
        <f t="shared" si="55"/>
        <v>0</v>
      </c>
      <c r="E78" s="183">
        <f t="shared" si="55"/>
        <v>0</v>
      </c>
      <c r="F78" s="183">
        <f t="shared" si="55"/>
        <v>0</v>
      </c>
      <c r="G78" s="183">
        <f t="shared" si="55"/>
        <v>0</v>
      </c>
      <c r="H78" s="183">
        <f t="shared" ref="H78:I82" si="56">BowlSplit(I32,$B$59)</f>
        <v>0</v>
      </c>
      <c r="I78" s="183">
        <f t="shared" si="56"/>
        <v>0</v>
      </c>
      <c r="J78" s="183">
        <f t="shared" si="55"/>
        <v>0</v>
      </c>
      <c r="K78" s="183">
        <f t="shared" si="55"/>
        <v>1</v>
      </c>
      <c r="L78" s="183">
        <f t="shared" si="55"/>
        <v>0</v>
      </c>
      <c r="M78" s="183">
        <f t="shared" si="55"/>
        <v>0</v>
      </c>
      <c r="N78" s="183">
        <f t="shared" si="55"/>
        <v>3</v>
      </c>
      <c r="O78" s="183">
        <f t="shared" si="55"/>
        <v>0</v>
      </c>
      <c r="P78" s="183">
        <f t="shared" si="55"/>
        <v>0</v>
      </c>
      <c r="Q78" s="183">
        <f t="shared" si="55"/>
        <v>1</v>
      </c>
      <c r="R78" s="183">
        <f t="shared" si="55"/>
        <v>0</v>
      </c>
      <c r="S78" s="183">
        <f t="shared" si="55"/>
        <v>3</v>
      </c>
      <c r="T78" s="183">
        <f t="shared" si="55"/>
        <v>0</v>
      </c>
      <c r="U78" s="183">
        <f t="shared" si="55"/>
        <v>0</v>
      </c>
      <c r="V78" s="183">
        <f t="shared" si="55"/>
        <v>0</v>
      </c>
      <c r="W78" s="183">
        <f t="shared" si="55"/>
        <v>0</v>
      </c>
      <c r="X78" s="183">
        <f t="shared" si="55"/>
        <v>0</v>
      </c>
      <c r="Y78" s="183">
        <f t="shared" si="55"/>
        <v>0</v>
      </c>
      <c r="Z78" s="183">
        <f t="shared" si="55"/>
        <v>0</v>
      </c>
    </row>
    <row r="79" spans="3:43" x14ac:dyDescent="0.15">
      <c r="C79" s="183">
        <f t="shared" ref="C79:Z79" si="57">BowlSplit(C33,$B$59)</f>
        <v>0</v>
      </c>
      <c r="D79" s="183">
        <f t="shared" si="57"/>
        <v>0</v>
      </c>
      <c r="E79" s="183">
        <f t="shared" si="57"/>
        <v>0</v>
      </c>
      <c r="F79" s="183">
        <f t="shared" si="57"/>
        <v>0</v>
      </c>
      <c r="G79" s="183">
        <f t="shared" si="57"/>
        <v>0</v>
      </c>
      <c r="H79" s="183">
        <f t="shared" si="56"/>
        <v>0</v>
      </c>
      <c r="I79" s="183">
        <f t="shared" si="56"/>
        <v>0</v>
      </c>
      <c r="J79" s="183">
        <f t="shared" si="57"/>
        <v>0</v>
      </c>
      <c r="K79" s="183">
        <f t="shared" si="57"/>
        <v>0</v>
      </c>
      <c r="L79" s="183">
        <f t="shared" si="57"/>
        <v>0</v>
      </c>
      <c r="M79" s="183">
        <f t="shared" si="57"/>
        <v>0</v>
      </c>
      <c r="N79" s="183">
        <f t="shared" si="57"/>
        <v>0</v>
      </c>
      <c r="O79" s="183">
        <f t="shared" si="57"/>
        <v>0</v>
      </c>
      <c r="P79" s="183">
        <f t="shared" si="57"/>
        <v>0</v>
      </c>
      <c r="Q79" s="183">
        <f t="shared" si="57"/>
        <v>0</v>
      </c>
      <c r="R79" s="183">
        <f t="shared" si="57"/>
        <v>0</v>
      </c>
      <c r="S79" s="183">
        <f t="shared" si="57"/>
        <v>0</v>
      </c>
      <c r="T79" s="183">
        <f t="shared" si="57"/>
        <v>0</v>
      </c>
      <c r="U79" s="183">
        <f t="shared" si="57"/>
        <v>0</v>
      </c>
      <c r="V79" s="183">
        <f t="shared" si="57"/>
        <v>0</v>
      </c>
      <c r="W79" s="183">
        <f t="shared" si="57"/>
        <v>0</v>
      </c>
      <c r="X79" s="183">
        <f t="shared" si="57"/>
        <v>0</v>
      </c>
      <c r="Y79" s="183">
        <f t="shared" si="57"/>
        <v>0</v>
      </c>
      <c r="Z79" s="183">
        <f t="shared" si="57"/>
        <v>0</v>
      </c>
    </row>
    <row r="80" spans="3:43" x14ac:dyDescent="0.15">
      <c r="C80" s="183">
        <f t="shared" ref="C80:Z80" si="58">BowlSplit(C34,$B$59)</f>
        <v>0</v>
      </c>
      <c r="D80" s="183">
        <f t="shared" si="58"/>
        <v>0</v>
      </c>
      <c r="E80" s="183">
        <f t="shared" si="58"/>
        <v>1</v>
      </c>
      <c r="F80" s="183">
        <f t="shared" si="58"/>
        <v>0</v>
      </c>
      <c r="G80" s="183">
        <f t="shared" si="58"/>
        <v>2</v>
      </c>
      <c r="H80" s="183">
        <f t="shared" si="56"/>
        <v>0</v>
      </c>
      <c r="I80" s="183">
        <f t="shared" si="56"/>
        <v>4</v>
      </c>
      <c r="J80" s="183">
        <f t="shared" si="58"/>
        <v>4</v>
      </c>
      <c r="K80" s="183">
        <f t="shared" si="58"/>
        <v>0</v>
      </c>
      <c r="L80" s="183">
        <f t="shared" si="58"/>
        <v>0</v>
      </c>
      <c r="M80" s="183">
        <f t="shared" si="58"/>
        <v>0</v>
      </c>
      <c r="N80" s="183">
        <f t="shared" si="58"/>
        <v>0</v>
      </c>
      <c r="O80" s="183">
        <f t="shared" si="58"/>
        <v>0</v>
      </c>
      <c r="P80" s="183">
        <f t="shared" si="58"/>
        <v>0</v>
      </c>
      <c r="Q80" s="183">
        <f t="shared" si="58"/>
        <v>0</v>
      </c>
      <c r="R80" s="183">
        <f t="shared" si="58"/>
        <v>2</v>
      </c>
      <c r="S80" s="183">
        <f t="shared" si="58"/>
        <v>0</v>
      </c>
      <c r="T80" s="183">
        <f t="shared" si="58"/>
        <v>0</v>
      </c>
      <c r="U80" s="183">
        <f t="shared" si="58"/>
        <v>0</v>
      </c>
      <c r="V80" s="183">
        <f t="shared" si="58"/>
        <v>0</v>
      </c>
      <c r="W80" s="183">
        <f t="shared" si="58"/>
        <v>0</v>
      </c>
      <c r="X80" s="183">
        <f t="shared" si="58"/>
        <v>0</v>
      </c>
      <c r="Y80" s="183">
        <f t="shared" si="58"/>
        <v>0</v>
      </c>
      <c r="Z80" s="183">
        <f t="shared" si="58"/>
        <v>0</v>
      </c>
    </row>
    <row r="81" spans="3:26" x14ac:dyDescent="0.15">
      <c r="C81" s="183">
        <f t="shared" ref="C81:Z81" si="59">BowlSplit(C35,$B$59)</f>
        <v>0</v>
      </c>
      <c r="D81" s="183">
        <f t="shared" si="59"/>
        <v>0</v>
      </c>
      <c r="E81" s="183">
        <f t="shared" si="59"/>
        <v>0</v>
      </c>
      <c r="F81" s="183">
        <f t="shared" si="59"/>
        <v>0</v>
      </c>
      <c r="G81" s="183">
        <f t="shared" si="59"/>
        <v>0</v>
      </c>
      <c r="H81" s="183">
        <f t="shared" si="56"/>
        <v>0</v>
      </c>
      <c r="I81" s="183">
        <f t="shared" si="56"/>
        <v>0</v>
      </c>
      <c r="J81" s="183">
        <f t="shared" si="59"/>
        <v>0</v>
      </c>
      <c r="K81" s="183">
        <f t="shared" si="59"/>
        <v>0</v>
      </c>
      <c r="L81" s="183">
        <f t="shared" si="59"/>
        <v>0</v>
      </c>
      <c r="M81" s="183">
        <f t="shared" si="59"/>
        <v>0</v>
      </c>
      <c r="N81" s="183">
        <f t="shared" si="59"/>
        <v>0</v>
      </c>
      <c r="O81" s="183">
        <f t="shared" si="59"/>
        <v>0</v>
      </c>
      <c r="P81" s="183">
        <f t="shared" si="59"/>
        <v>0</v>
      </c>
      <c r="Q81" s="183">
        <f t="shared" si="59"/>
        <v>0</v>
      </c>
      <c r="R81" s="183">
        <f t="shared" si="59"/>
        <v>0</v>
      </c>
      <c r="S81" s="183">
        <f t="shared" si="59"/>
        <v>0</v>
      </c>
      <c r="T81" s="183">
        <f t="shared" si="59"/>
        <v>0</v>
      </c>
      <c r="U81" s="183">
        <f t="shared" si="59"/>
        <v>0</v>
      </c>
      <c r="V81" s="183">
        <f t="shared" si="59"/>
        <v>0</v>
      </c>
      <c r="W81" s="183">
        <f t="shared" si="59"/>
        <v>0</v>
      </c>
      <c r="X81" s="183">
        <f t="shared" si="59"/>
        <v>0</v>
      </c>
      <c r="Y81" s="183">
        <f t="shared" si="59"/>
        <v>0</v>
      </c>
      <c r="Z81" s="183">
        <f t="shared" si="59"/>
        <v>0</v>
      </c>
    </row>
    <row r="82" spans="3:26" x14ac:dyDescent="0.15">
      <c r="C82" s="183">
        <f t="shared" ref="C82:Z82" si="60">BowlSplit(C36,$B$59)</f>
        <v>0</v>
      </c>
      <c r="D82" s="183">
        <f t="shared" si="60"/>
        <v>1</v>
      </c>
      <c r="E82" s="183">
        <f t="shared" si="60"/>
        <v>0</v>
      </c>
      <c r="F82" s="183">
        <f t="shared" si="60"/>
        <v>0</v>
      </c>
      <c r="G82" s="183">
        <f t="shared" si="60"/>
        <v>1</v>
      </c>
      <c r="H82" s="183">
        <f t="shared" si="56"/>
        <v>0</v>
      </c>
      <c r="I82" s="183">
        <f t="shared" si="56"/>
        <v>2</v>
      </c>
      <c r="J82" s="183">
        <f t="shared" si="60"/>
        <v>2</v>
      </c>
      <c r="K82" s="183">
        <f t="shared" si="60"/>
        <v>0</v>
      </c>
      <c r="L82" s="183">
        <f t="shared" si="60"/>
        <v>0</v>
      </c>
      <c r="M82" s="183">
        <f t="shared" si="60"/>
        <v>0</v>
      </c>
      <c r="N82" s="183">
        <f t="shared" si="60"/>
        <v>0</v>
      </c>
      <c r="O82" s="183">
        <f t="shared" si="60"/>
        <v>1</v>
      </c>
      <c r="P82" s="183">
        <f t="shared" si="60"/>
        <v>1</v>
      </c>
      <c r="Q82" s="183">
        <f t="shared" si="60"/>
        <v>2</v>
      </c>
      <c r="R82" s="183">
        <f t="shared" si="60"/>
        <v>0</v>
      </c>
      <c r="S82" s="183">
        <f t="shared" si="60"/>
        <v>2</v>
      </c>
      <c r="T82" s="183">
        <f t="shared" si="60"/>
        <v>2</v>
      </c>
      <c r="U82" s="183">
        <f t="shared" si="60"/>
        <v>0</v>
      </c>
      <c r="V82" s="183">
        <f t="shared" si="60"/>
        <v>0</v>
      </c>
      <c r="W82" s="183">
        <f t="shared" si="60"/>
        <v>0</v>
      </c>
      <c r="X82" s="183">
        <f t="shared" si="60"/>
        <v>0</v>
      </c>
      <c r="Y82" s="183">
        <f t="shared" si="60"/>
        <v>0</v>
      </c>
      <c r="Z82" s="183">
        <f t="shared" si="60"/>
        <v>0</v>
      </c>
    </row>
    <row r="83" spans="3:26" x14ac:dyDescent="0.15">
      <c r="C83" s="183">
        <f t="shared" ref="C83:Z83" si="61">BowlSplit(C38,$B$59)</f>
        <v>0</v>
      </c>
      <c r="D83" s="183">
        <f t="shared" si="61"/>
        <v>0</v>
      </c>
      <c r="E83" s="183">
        <f t="shared" si="61"/>
        <v>0</v>
      </c>
      <c r="F83" s="183">
        <f t="shared" si="61"/>
        <v>0</v>
      </c>
      <c r="G83" s="183">
        <f t="shared" si="61"/>
        <v>0</v>
      </c>
      <c r="H83" s="183">
        <f t="shared" ref="H83:I89" si="62">BowlSplit(I38,$B$59)</f>
        <v>0</v>
      </c>
      <c r="I83" s="183">
        <f t="shared" si="62"/>
        <v>0</v>
      </c>
      <c r="J83" s="183">
        <f t="shared" si="61"/>
        <v>0</v>
      </c>
      <c r="K83" s="183">
        <f t="shared" si="61"/>
        <v>0</v>
      </c>
      <c r="L83" s="183">
        <f t="shared" si="61"/>
        <v>0</v>
      </c>
      <c r="M83" s="183">
        <f t="shared" si="61"/>
        <v>0</v>
      </c>
      <c r="N83" s="183">
        <f t="shared" si="61"/>
        <v>0</v>
      </c>
      <c r="O83" s="183">
        <f t="shared" si="61"/>
        <v>0</v>
      </c>
      <c r="P83" s="183">
        <f t="shared" si="61"/>
        <v>0</v>
      </c>
      <c r="Q83" s="183">
        <f t="shared" si="61"/>
        <v>0</v>
      </c>
      <c r="R83" s="183">
        <f t="shared" si="61"/>
        <v>0</v>
      </c>
      <c r="S83" s="183">
        <f t="shared" si="61"/>
        <v>0</v>
      </c>
      <c r="T83" s="183">
        <f t="shared" si="61"/>
        <v>0</v>
      </c>
      <c r="U83" s="183">
        <f t="shared" si="61"/>
        <v>0</v>
      </c>
      <c r="V83" s="183">
        <f t="shared" si="61"/>
        <v>0</v>
      </c>
      <c r="W83" s="183">
        <f t="shared" si="61"/>
        <v>0</v>
      </c>
      <c r="X83" s="183">
        <f t="shared" si="61"/>
        <v>0</v>
      </c>
      <c r="Y83" s="183">
        <f t="shared" si="61"/>
        <v>0</v>
      </c>
      <c r="Z83" s="183">
        <f t="shared" si="61"/>
        <v>0</v>
      </c>
    </row>
    <row r="84" spans="3:26" x14ac:dyDescent="0.15">
      <c r="C84" s="183">
        <f t="shared" ref="C84:Z84" si="63">BowlSplit(C39,$B$59)</f>
        <v>0</v>
      </c>
      <c r="D84" s="183">
        <f t="shared" si="63"/>
        <v>0</v>
      </c>
      <c r="E84" s="183">
        <f t="shared" si="63"/>
        <v>0</v>
      </c>
      <c r="F84" s="183">
        <f t="shared" si="63"/>
        <v>0</v>
      </c>
      <c r="G84" s="183">
        <f t="shared" si="63"/>
        <v>0</v>
      </c>
      <c r="H84" s="183">
        <f t="shared" si="62"/>
        <v>0</v>
      </c>
      <c r="I84" s="183">
        <f t="shared" si="62"/>
        <v>0</v>
      </c>
      <c r="J84" s="183">
        <f t="shared" si="63"/>
        <v>0</v>
      </c>
      <c r="K84" s="183">
        <f t="shared" si="63"/>
        <v>0</v>
      </c>
      <c r="L84" s="183">
        <f t="shared" si="63"/>
        <v>0</v>
      </c>
      <c r="M84" s="183">
        <f t="shared" si="63"/>
        <v>0</v>
      </c>
      <c r="N84" s="183">
        <f t="shared" si="63"/>
        <v>0</v>
      </c>
      <c r="O84" s="183">
        <f t="shared" si="63"/>
        <v>0</v>
      </c>
      <c r="P84" s="183">
        <f t="shared" si="63"/>
        <v>0</v>
      </c>
      <c r="Q84" s="183">
        <f t="shared" si="63"/>
        <v>0</v>
      </c>
      <c r="R84" s="183">
        <f t="shared" si="63"/>
        <v>0</v>
      </c>
      <c r="S84" s="183">
        <f t="shared" si="63"/>
        <v>0</v>
      </c>
      <c r="T84" s="183">
        <f t="shared" si="63"/>
        <v>0</v>
      </c>
      <c r="U84" s="183">
        <f t="shared" si="63"/>
        <v>0</v>
      </c>
      <c r="V84" s="183">
        <f t="shared" si="63"/>
        <v>0</v>
      </c>
      <c r="W84" s="183">
        <f t="shared" si="63"/>
        <v>0</v>
      </c>
      <c r="X84" s="183">
        <f t="shared" si="63"/>
        <v>0</v>
      </c>
      <c r="Y84" s="183">
        <f t="shared" si="63"/>
        <v>0</v>
      </c>
      <c r="Z84" s="183">
        <f t="shared" si="63"/>
        <v>0</v>
      </c>
    </row>
    <row r="85" spans="3:26" x14ac:dyDescent="0.15">
      <c r="C85" s="183">
        <f t="shared" ref="C85:Z85" si="64">BowlSplit(C40,$B$59)</f>
        <v>0</v>
      </c>
      <c r="D85" s="183">
        <f t="shared" si="64"/>
        <v>0</v>
      </c>
      <c r="E85" s="183">
        <f t="shared" si="64"/>
        <v>0</v>
      </c>
      <c r="F85" s="183">
        <f t="shared" si="64"/>
        <v>0</v>
      </c>
      <c r="G85" s="183">
        <f t="shared" si="64"/>
        <v>0</v>
      </c>
      <c r="H85" s="183">
        <f t="shared" si="62"/>
        <v>0</v>
      </c>
      <c r="I85" s="183">
        <f t="shared" si="62"/>
        <v>0</v>
      </c>
      <c r="J85" s="183">
        <f t="shared" si="64"/>
        <v>0</v>
      </c>
      <c r="K85" s="183">
        <f t="shared" si="64"/>
        <v>0</v>
      </c>
      <c r="L85" s="183">
        <f t="shared" si="64"/>
        <v>0</v>
      </c>
      <c r="M85" s="183">
        <f t="shared" si="64"/>
        <v>0</v>
      </c>
      <c r="N85" s="183">
        <f t="shared" si="64"/>
        <v>0</v>
      </c>
      <c r="O85" s="183">
        <f t="shared" si="64"/>
        <v>0</v>
      </c>
      <c r="P85" s="183">
        <f t="shared" si="64"/>
        <v>0</v>
      </c>
      <c r="Q85" s="183">
        <f t="shared" si="64"/>
        <v>0</v>
      </c>
      <c r="R85" s="183">
        <f t="shared" si="64"/>
        <v>0</v>
      </c>
      <c r="S85" s="183">
        <f t="shared" si="64"/>
        <v>0</v>
      </c>
      <c r="T85" s="183">
        <f t="shared" si="64"/>
        <v>0</v>
      </c>
      <c r="U85" s="183">
        <f t="shared" si="64"/>
        <v>0</v>
      </c>
      <c r="V85" s="183">
        <f t="shared" si="64"/>
        <v>0</v>
      </c>
      <c r="W85" s="183">
        <f t="shared" si="64"/>
        <v>0</v>
      </c>
      <c r="X85" s="183">
        <f t="shared" si="64"/>
        <v>0</v>
      </c>
      <c r="Y85" s="183">
        <f t="shared" si="64"/>
        <v>0</v>
      </c>
      <c r="Z85" s="183">
        <f t="shared" si="64"/>
        <v>0</v>
      </c>
    </row>
    <row r="86" spans="3:26" x14ac:dyDescent="0.15">
      <c r="C86" s="183">
        <f t="shared" ref="C86:Z86" si="65">BowlSplit(C41,$B$59)</f>
        <v>0</v>
      </c>
      <c r="D86" s="183">
        <f t="shared" si="65"/>
        <v>0</v>
      </c>
      <c r="E86" s="183">
        <f t="shared" si="65"/>
        <v>0</v>
      </c>
      <c r="F86" s="183">
        <f t="shared" si="65"/>
        <v>0</v>
      </c>
      <c r="G86" s="183">
        <f t="shared" si="65"/>
        <v>0</v>
      </c>
      <c r="H86" s="183">
        <f t="shared" si="62"/>
        <v>0</v>
      </c>
      <c r="I86" s="183">
        <f t="shared" si="62"/>
        <v>0</v>
      </c>
      <c r="J86" s="183">
        <f t="shared" si="65"/>
        <v>0</v>
      </c>
      <c r="K86" s="183">
        <f t="shared" si="65"/>
        <v>0</v>
      </c>
      <c r="L86" s="183">
        <f t="shared" si="65"/>
        <v>0</v>
      </c>
      <c r="M86" s="183">
        <f t="shared" si="65"/>
        <v>0</v>
      </c>
      <c r="N86" s="183">
        <f t="shared" si="65"/>
        <v>0</v>
      </c>
      <c r="O86" s="183">
        <f t="shared" si="65"/>
        <v>0</v>
      </c>
      <c r="P86" s="183">
        <f t="shared" si="65"/>
        <v>0</v>
      </c>
      <c r="Q86" s="183">
        <f t="shared" si="65"/>
        <v>0</v>
      </c>
      <c r="R86" s="183">
        <f t="shared" si="65"/>
        <v>0</v>
      </c>
      <c r="S86" s="183">
        <f t="shared" si="65"/>
        <v>0</v>
      </c>
      <c r="T86" s="183">
        <f t="shared" si="65"/>
        <v>0</v>
      </c>
      <c r="U86" s="183">
        <f t="shared" si="65"/>
        <v>0</v>
      </c>
      <c r="V86" s="183">
        <f t="shared" si="65"/>
        <v>0</v>
      </c>
      <c r="W86" s="183">
        <f t="shared" si="65"/>
        <v>0</v>
      </c>
      <c r="X86" s="183">
        <f t="shared" si="65"/>
        <v>0</v>
      </c>
      <c r="Y86" s="183">
        <f t="shared" si="65"/>
        <v>0</v>
      </c>
      <c r="Z86" s="183">
        <f t="shared" si="65"/>
        <v>0</v>
      </c>
    </row>
    <row r="87" spans="3:26" x14ac:dyDescent="0.15">
      <c r="C87" s="183">
        <f t="shared" ref="C87:Z87" si="66">BowlSplit(C42,$B$59)</f>
        <v>0</v>
      </c>
      <c r="D87" s="183">
        <f t="shared" si="66"/>
        <v>1</v>
      </c>
      <c r="E87" s="183">
        <f t="shared" si="66"/>
        <v>0</v>
      </c>
      <c r="F87" s="183">
        <f t="shared" si="66"/>
        <v>1</v>
      </c>
      <c r="G87" s="183">
        <f t="shared" si="66"/>
        <v>1</v>
      </c>
      <c r="H87" s="183">
        <f t="shared" si="62"/>
        <v>0</v>
      </c>
      <c r="I87" s="183">
        <f t="shared" si="62"/>
        <v>0</v>
      </c>
      <c r="J87" s="183">
        <f t="shared" si="66"/>
        <v>0</v>
      </c>
      <c r="K87" s="183">
        <f t="shared" si="66"/>
        <v>1</v>
      </c>
      <c r="L87" s="183">
        <f t="shared" si="66"/>
        <v>0</v>
      </c>
      <c r="M87" s="183">
        <f t="shared" si="66"/>
        <v>0</v>
      </c>
      <c r="N87" s="183">
        <f t="shared" si="66"/>
        <v>0</v>
      </c>
      <c r="O87" s="183">
        <f t="shared" si="66"/>
        <v>0</v>
      </c>
      <c r="P87" s="183">
        <f t="shared" si="66"/>
        <v>1</v>
      </c>
      <c r="Q87" s="183">
        <f t="shared" si="66"/>
        <v>0</v>
      </c>
      <c r="R87" s="183">
        <f t="shared" si="66"/>
        <v>0</v>
      </c>
      <c r="S87" s="183">
        <f t="shared" si="66"/>
        <v>0</v>
      </c>
      <c r="T87" s="183">
        <f t="shared" si="66"/>
        <v>2</v>
      </c>
      <c r="U87" s="183">
        <f t="shared" si="66"/>
        <v>0</v>
      </c>
      <c r="V87" s="183">
        <f t="shared" si="66"/>
        <v>0</v>
      </c>
      <c r="W87" s="183">
        <f t="shared" si="66"/>
        <v>4</v>
      </c>
      <c r="X87" s="183">
        <f t="shared" si="66"/>
        <v>0</v>
      </c>
      <c r="Y87" s="183">
        <f t="shared" si="66"/>
        <v>0</v>
      </c>
      <c r="Z87" s="183">
        <f t="shared" si="66"/>
        <v>0</v>
      </c>
    </row>
    <row r="88" spans="3:26" x14ac:dyDescent="0.15">
      <c r="C88" s="183">
        <f t="shared" ref="C88:Z88" si="67">BowlSplit(C43,$B$59)</f>
        <v>0</v>
      </c>
      <c r="D88" s="183">
        <f t="shared" si="67"/>
        <v>0</v>
      </c>
      <c r="E88" s="183">
        <f t="shared" si="67"/>
        <v>0</v>
      </c>
      <c r="F88" s="183">
        <f t="shared" si="67"/>
        <v>0</v>
      </c>
      <c r="G88" s="183">
        <f t="shared" si="67"/>
        <v>0</v>
      </c>
      <c r="H88" s="183">
        <f t="shared" si="62"/>
        <v>0</v>
      </c>
      <c r="I88" s="183">
        <f t="shared" si="62"/>
        <v>0</v>
      </c>
      <c r="J88" s="183">
        <f t="shared" si="67"/>
        <v>0</v>
      </c>
      <c r="K88" s="183">
        <f t="shared" si="67"/>
        <v>0</v>
      </c>
      <c r="L88" s="183">
        <f t="shared" si="67"/>
        <v>0</v>
      </c>
      <c r="M88" s="183">
        <f t="shared" si="67"/>
        <v>0</v>
      </c>
      <c r="N88" s="183">
        <f t="shared" si="67"/>
        <v>0</v>
      </c>
      <c r="O88" s="183">
        <f t="shared" si="67"/>
        <v>0</v>
      </c>
      <c r="P88" s="183">
        <f t="shared" si="67"/>
        <v>0</v>
      </c>
      <c r="Q88" s="183">
        <f t="shared" si="67"/>
        <v>0</v>
      </c>
      <c r="R88" s="183">
        <f t="shared" si="67"/>
        <v>0</v>
      </c>
      <c r="S88" s="183">
        <f t="shared" si="67"/>
        <v>0</v>
      </c>
      <c r="T88" s="183">
        <f t="shared" si="67"/>
        <v>0</v>
      </c>
      <c r="U88" s="183">
        <f t="shared" si="67"/>
        <v>0</v>
      </c>
      <c r="V88" s="183">
        <f t="shared" si="67"/>
        <v>0</v>
      </c>
      <c r="W88" s="183">
        <f t="shared" si="67"/>
        <v>0</v>
      </c>
      <c r="X88" s="183">
        <f t="shared" si="67"/>
        <v>0</v>
      </c>
      <c r="Y88" s="183">
        <f t="shared" si="67"/>
        <v>0</v>
      </c>
      <c r="Z88" s="183">
        <f t="shared" si="67"/>
        <v>0</v>
      </c>
    </row>
    <row r="89" spans="3:26" x14ac:dyDescent="0.15">
      <c r="C89" s="183">
        <f t="shared" ref="C89:Z89" si="68">BowlSplit(C44,$B$59)</f>
        <v>0</v>
      </c>
      <c r="D89" s="183">
        <f t="shared" si="68"/>
        <v>0</v>
      </c>
      <c r="E89" s="183">
        <f t="shared" si="68"/>
        <v>0</v>
      </c>
      <c r="F89" s="183">
        <f t="shared" si="68"/>
        <v>0</v>
      </c>
      <c r="G89" s="183">
        <f t="shared" si="68"/>
        <v>0</v>
      </c>
      <c r="H89" s="183">
        <f t="shared" si="62"/>
        <v>0</v>
      </c>
      <c r="I89" s="183">
        <f t="shared" si="62"/>
        <v>0</v>
      </c>
      <c r="J89" s="183">
        <f t="shared" si="68"/>
        <v>0</v>
      </c>
      <c r="K89" s="183">
        <f t="shared" si="68"/>
        <v>0</v>
      </c>
      <c r="L89" s="183">
        <f t="shared" si="68"/>
        <v>0</v>
      </c>
      <c r="M89" s="183">
        <f t="shared" si="68"/>
        <v>0</v>
      </c>
      <c r="N89" s="183">
        <f t="shared" si="68"/>
        <v>0</v>
      </c>
      <c r="O89" s="183">
        <f t="shared" si="68"/>
        <v>0</v>
      </c>
      <c r="P89" s="183">
        <f t="shared" si="68"/>
        <v>0</v>
      </c>
      <c r="Q89" s="183">
        <f t="shared" si="68"/>
        <v>0</v>
      </c>
      <c r="R89" s="183">
        <f t="shared" si="68"/>
        <v>0</v>
      </c>
      <c r="S89" s="183">
        <f t="shared" si="68"/>
        <v>0</v>
      </c>
      <c r="T89" s="183">
        <f t="shared" si="68"/>
        <v>0</v>
      </c>
      <c r="U89" s="183">
        <f t="shared" si="68"/>
        <v>0</v>
      </c>
      <c r="V89" s="183">
        <f t="shared" si="68"/>
        <v>0</v>
      </c>
      <c r="W89" s="183">
        <f t="shared" si="68"/>
        <v>0</v>
      </c>
      <c r="X89" s="183">
        <f t="shared" si="68"/>
        <v>0</v>
      </c>
      <c r="Y89" s="183">
        <f t="shared" si="68"/>
        <v>0</v>
      </c>
      <c r="Z89" s="183">
        <f t="shared" si="68"/>
        <v>0</v>
      </c>
    </row>
    <row r="90" spans="3:26" x14ac:dyDescent="0.15">
      <c r="C90" s="183">
        <f t="shared" ref="C90:Z90" si="69">BowlSplit(C46,$B$59)</f>
        <v>0</v>
      </c>
      <c r="D90" s="183">
        <f t="shared" si="69"/>
        <v>0</v>
      </c>
      <c r="E90" s="183">
        <f t="shared" si="69"/>
        <v>0</v>
      </c>
      <c r="F90" s="183">
        <f t="shared" si="69"/>
        <v>0</v>
      </c>
      <c r="G90" s="183">
        <f t="shared" si="69"/>
        <v>0</v>
      </c>
      <c r="H90" s="183">
        <f>BowlSplit(I46,$B$59)</f>
        <v>1</v>
      </c>
      <c r="I90" s="183">
        <f>BowlSplit(J46,$B$59)</f>
        <v>0</v>
      </c>
      <c r="J90" s="183">
        <f t="shared" si="69"/>
        <v>0</v>
      </c>
      <c r="K90" s="183">
        <f t="shared" si="69"/>
        <v>0</v>
      </c>
      <c r="L90" s="183">
        <f t="shared" si="69"/>
        <v>0</v>
      </c>
      <c r="M90" s="183">
        <f t="shared" si="69"/>
        <v>0</v>
      </c>
      <c r="N90" s="183">
        <f t="shared" si="69"/>
        <v>0</v>
      </c>
      <c r="O90" s="183">
        <f t="shared" si="69"/>
        <v>0</v>
      </c>
      <c r="P90" s="183">
        <f t="shared" si="69"/>
        <v>0</v>
      </c>
      <c r="Q90" s="183">
        <f t="shared" si="69"/>
        <v>0</v>
      </c>
      <c r="R90" s="183">
        <f t="shared" si="69"/>
        <v>0</v>
      </c>
      <c r="S90" s="183">
        <f t="shared" si="69"/>
        <v>0</v>
      </c>
      <c r="T90" s="183">
        <f t="shared" si="69"/>
        <v>0</v>
      </c>
      <c r="U90" s="183">
        <f t="shared" si="69"/>
        <v>0</v>
      </c>
      <c r="V90" s="183">
        <f t="shared" si="69"/>
        <v>0</v>
      </c>
      <c r="W90" s="183">
        <f t="shared" si="69"/>
        <v>0</v>
      </c>
      <c r="X90" s="183">
        <f t="shared" si="69"/>
        <v>0</v>
      </c>
      <c r="Y90" s="183">
        <f t="shared" si="69"/>
        <v>0</v>
      </c>
      <c r="Z90" s="183">
        <f t="shared" si="69"/>
        <v>0</v>
      </c>
    </row>
    <row r="95" spans="3:26" x14ac:dyDescent="0.15">
      <c r="C95" s="2">
        <f>MAX(C58:C93)</f>
        <v>3</v>
      </c>
      <c r="D95" s="2">
        <f t="shared" ref="D95:X95" si="70">MAX(D58:D93)</f>
        <v>3</v>
      </c>
      <c r="E95" s="2">
        <f t="shared" si="70"/>
        <v>2</v>
      </c>
      <c r="F95" s="2">
        <f t="shared" si="70"/>
        <v>2</v>
      </c>
      <c r="G95" s="2">
        <f t="shared" si="70"/>
        <v>3</v>
      </c>
      <c r="H95" s="2">
        <f t="shared" si="70"/>
        <v>3</v>
      </c>
      <c r="I95" s="2">
        <f t="shared" si="70"/>
        <v>4</v>
      </c>
      <c r="J95" s="2">
        <f t="shared" si="70"/>
        <v>4</v>
      </c>
      <c r="K95" s="2">
        <f t="shared" si="70"/>
        <v>2</v>
      </c>
      <c r="L95" s="2">
        <f t="shared" si="70"/>
        <v>4</v>
      </c>
      <c r="M95" s="2">
        <f t="shared" si="70"/>
        <v>2</v>
      </c>
      <c r="N95" s="2">
        <f t="shared" si="70"/>
        <v>4</v>
      </c>
      <c r="O95" s="2">
        <f t="shared" si="70"/>
        <v>2</v>
      </c>
      <c r="P95" s="2">
        <f t="shared" si="70"/>
        <v>2</v>
      </c>
      <c r="Q95" s="2">
        <f t="shared" si="70"/>
        <v>2</v>
      </c>
      <c r="R95" s="2">
        <f t="shared" si="70"/>
        <v>2</v>
      </c>
      <c r="S95" s="2">
        <f t="shared" si="70"/>
        <v>3</v>
      </c>
      <c r="T95" s="2">
        <f t="shared" si="70"/>
        <v>2</v>
      </c>
      <c r="U95" s="2">
        <f t="shared" si="70"/>
        <v>0</v>
      </c>
      <c r="V95" s="2">
        <f t="shared" si="70"/>
        <v>2</v>
      </c>
      <c r="W95" s="2">
        <f t="shared" si="70"/>
        <v>4</v>
      </c>
      <c r="X95" s="2">
        <f t="shared" si="70"/>
        <v>0</v>
      </c>
    </row>
  </sheetData>
  <sortState xmlns:xlrd2="http://schemas.microsoft.com/office/spreadsheetml/2017/richdata2" ref="B5:J40">
    <sortCondition ref="B5:B40"/>
  </sortState>
  <phoneticPr fontId="0" type="noConversion"/>
  <conditionalFormatting sqref="AG89:AG98">
    <cfRule type="cellIs" dxfId="11" priority="34" operator="greaterThan">
      <formula>5</formula>
    </cfRule>
  </conditionalFormatting>
  <conditionalFormatting sqref="C56:AH56">
    <cfRule type="cellIs" dxfId="10" priority="35" stopIfTrue="1" operator="notEqual">
      <formula>C54</formula>
    </cfRule>
  </conditionalFormatting>
  <conditionalFormatting sqref="C58:X93 C58:Z90">
    <cfRule type="cellIs" dxfId="9" priority="21" operator="greaterThan">
      <formula>50</formula>
    </cfRule>
  </conditionalFormatting>
  <conditionalFormatting sqref="B48 A47:AI47 U35:AI35 AX6:XFD47 J43:AI46 A5:G46 I5:I46 J5:O23 Q36:AI42 Q35:S35 Q5:XFD5 Q6:AI34 J37:O41 J36:N36 J31:O35 J30:N30 J42:N42 J25:O29 J24:N24 AJ6:AW48">
    <cfRule type="expression" dxfId="8" priority="11">
      <formula>MOD(ROW(),2)=0</formula>
    </cfRule>
  </conditionalFormatting>
  <conditionalFormatting sqref="Y58:Z90">
    <cfRule type="cellIs" dxfId="7" priority="10" operator="greaterThan">
      <formula>50</formula>
    </cfRule>
  </conditionalFormatting>
  <conditionalFormatting sqref="AW5:AW4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46">
    <cfRule type="expression" dxfId="6" priority="7">
      <formula>MOD(ROW(),2)=0</formula>
    </cfRule>
  </conditionalFormatting>
  <conditionalFormatting sqref="P5:P41">
    <cfRule type="expression" dxfId="5" priority="6">
      <formula>MOD(ROW(),2)=0</formula>
    </cfRule>
  </conditionalFormatting>
  <conditionalFormatting sqref="O36">
    <cfRule type="expression" dxfId="4" priority="5">
      <formula>MOD(ROW(),2)=0</formula>
    </cfRule>
  </conditionalFormatting>
  <conditionalFormatting sqref="O30">
    <cfRule type="expression" dxfId="3" priority="4">
      <formula>MOD(ROW(),2)=0</formula>
    </cfRule>
  </conditionalFormatting>
  <conditionalFormatting sqref="O42">
    <cfRule type="expression" dxfId="2" priority="3">
      <formula>MOD(ROW(),2)=0</formula>
    </cfRule>
  </conditionalFormatting>
  <conditionalFormatting sqref="O24">
    <cfRule type="expression" dxfId="1" priority="2">
      <formula>MOD(ROW(),2)=0</formula>
    </cfRule>
  </conditionalFormatting>
  <conditionalFormatting sqref="P42">
    <cfRule type="expression" dxfId="0" priority="1">
      <formula>MOD(ROW(),2)=0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N57"/>
  <sheetViews>
    <sheetView workbookViewId="0">
      <selection activeCell="R1" sqref="R1:AB17"/>
    </sheetView>
  </sheetViews>
  <sheetFormatPr defaultRowHeight="12.75" x14ac:dyDescent="0.15"/>
  <cols>
    <col min="1" max="1" width="7.7109375" style="93" customWidth="1"/>
    <col min="2" max="2" width="4.140625" style="93" bestFit="1" customWidth="1"/>
    <col min="3" max="3" width="5" style="93" bestFit="1" customWidth="1"/>
    <col min="4" max="4" width="5.7109375" style="93" bestFit="1" customWidth="1"/>
    <col min="5" max="5" width="12.7109375" style="93" bestFit="1" customWidth="1"/>
    <col min="6" max="6" width="4" style="93" bestFit="1" customWidth="1"/>
    <col min="7" max="7" width="3.42578125" style="93" bestFit="1" customWidth="1"/>
    <col min="8" max="8" width="13.5703125" style="93" bestFit="1" customWidth="1"/>
    <col min="9" max="9" width="3.7109375" style="93" bestFit="1" customWidth="1"/>
    <col min="10" max="10" width="3.42578125" style="93" bestFit="1" customWidth="1"/>
    <col min="11" max="11" width="17.28515625" style="146" bestFit="1" customWidth="1"/>
    <col min="12" max="12" width="10.42578125" style="147" bestFit="1" customWidth="1"/>
    <col min="13" max="13" width="3.85546875" customWidth="1"/>
    <col min="14" max="16" width="7.85546875" style="177" customWidth="1"/>
    <col min="17" max="17" width="6.28515625" style="93" customWidth="1"/>
    <col min="18" max="18" width="4.28515625" style="93" bestFit="1" customWidth="1"/>
    <col min="19" max="19" width="5" style="93" bestFit="1" customWidth="1"/>
    <col min="20" max="20" width="5.85546875" style="93" bestFit="1" customWidth="1"/>
    <col min="21" max="21" width="10.5703125" style="93" bestFit="1" customWidth="1"/>
    <col min="22" max="22" width="3.7109375" style="93" bestFit="1" customWidth="1"/>
    <col min="23" max="23" width="3.5703125" style="161" bestFit="1" customWidth="1"/>
    <col min="24" max="24" width="14.5703125" style="93" bestFit="1" customWidth="1"/>
    <col min="25" max="25" width="3.7109375" style="93" bestFit="1" customWidth="1"/>
    <col min="26" max="26" width="3.5703125" style="161" bestFit="1" customWidth="1"/>
    <col min="27" max="27" width="13.5703125" style="93" customWidth="1"/>
    <col min="28" max="28" width="13.140625" style="150" bestFit="1" customWidth="1"/>
    <col min="29" max="16384" width="9.140625" style="93"/>
  </cols>
  <sheetData>
    <row r="1" spans="1:40" x14ac:dyDescent="0.15">
      <c r="A1" s="93" t="s">
        <v>226</v>
      </c>
      <c r="B1" s="93" t="s">
        <v>13</v>
      </c>
      <c r="C1" s="93" t="s">
        <v>77</v>
      </c>
      <c r="D1" s="93" t="s">
        <v>209</v>
      </c>
      <c r="E1" s="93" t="s">
        <v>210</v>
      </c>
      <c r="F1" s="93" t="s">
        <v>211</v>
      </c>
      <c r="G1" s="93" t="s">
        <v>212</v>
      </c>
      <c r="H1" s="93" t="s">
        <v>213</v>
      </c>
      <c r="I1" s="93" t="s">
        <v>214</v>
      </c>
      <c r="J1" s="93" t="s">
        <v>212</v>
      </c>
      <c r="K1" s="146" t="s">
        <v>1</v>
      </c>
      <c r="L1" s="147" t="s">
        <v>0</v>
      </c>
      <c r="N1" s="177" t="s">
        <v>274</v>
      </c>
      <c r="R1" s="93" t="s">
        <v>13</v>
      </c>
      <c r="S1" s="93" t="s">
        <v>77</v>
      </c>
      <c r="T1" s="93" t="s">
        <v>209</v>
      </c>
      <c r="U1" s="93" t="s">
        <v>210</v>
      </c>
      <c r="V1" s="93" t="s">
        <v>211</v>
      </c>
      <c r="W1" s="161" t="s">
        <v>212</v>
      </c>
      <c r="X1" s="93" t="s">
        <v>213</v>
      </c>
      <c r="Y1" s="93" t="s">
        <v>214</v>
      </c>
      <c r="Z1" s="161" t="s">
        <v>212</v>
      </c>
      <c r="AA1" s="93" t="s">
        <v>239</v>
      </c>
      <c r="AB1" s="150" t="s">
        <v>0</v>
      </c>
      <c r="AN1" s="150"/>
    </row>
    <row r="2" spans="1:40" x14ac:dyDescent="0.15">
      <c r="K2" s="146" t="str">
        <f ca="1">OFFSET(Matches!$C$4,Partnerships!A2,0)</f>
        <v>Opp</v>
      </c>
      <c r="L2" s="147" t="str">
        <f ca="1">OFFSET(Matches!$B$4,Partnerships!A2,0)</f>
        <v>Date</v>
      </c>
      <c r="N2" s="177">
        <f>IF(B2=0,999999,B2)*10000+5000-C2*10+ROW()</f>
        <v>9999995002</v>
      </c>
      <c r="O2" s="177">
        <f t="array" ref="O2:O40">RANK(N2:N40,N2:N40,1)</f>
        <v>17</v>
      </c>
      <c r="P2" s="177">
        <f>MATCH(ROW()-1,$O$2:$O$40,0)</f>
        <v>20</v>
      </c>
      <c r="Q2"/>
      <c r="R2" s="93">
        <f t="array" ref="R2:AB2">INDEX($B$2:$L$40,P2,)</f>
        <v>1</v>
      </c>
      <c r="S2" s="93">
        <v>54</v>
      </c>
      <c r="T2" s="93">
        <v>0</v>
      </c>
      <c r="U2" s="93" t="str">
        <v>Patel J</v>
      </c>
      <c r="V2" s="93">
        <v>52</v>
      </c>
      <c r="W2" s="161">
        <v>0</v>
      </c>
      <c r="X2" s="93" t="str">
        <v>Seymour C</v>
      </c>
      <c r="Y2" s="93">
        <v>7</v>
      </c>
      <c r="Z2" s="161">
        <v>0</v>
      </c>
      <c r="AA2" s="93">
        <f ca="1"/>
        <v>0</v>
      </c>
      <c r="AB2" s="150">
        <f ca="1"/>
        <v>0</v>
      </c>
      <c r="AD2" s="93" t="s">
        <v>345</v>
      </c>
      <c r="AE2" s="93">
        <f>COUNT(A:A)</f>
        <v>16</v>
      </c>
      <c r="AN2" s="150"/>
    </row>
    <row r="3" spans="1:40" x14ac:dyDescent="0.15">
      <c r="A3" s="93">
        <v>1</v>
      </c>
      <c r="B3" s="93">
        <v>9</v>
      </c>
      <c r="C3" s="93">
        <v>43</v>
      </c>
      <c r="D3" s="93" t="s">
        <v>223</v>
      </c>
      <c r="E3" s="93" t="s">
        <v>324</v>
      </c>
      <c r="F3" s="93">
        <v>50</v>
      </c>
      <c r="G3" s="93" t="s">
        <v>223</v>
      </c>
      <c r="H3" s="93" t="s">
        <v>368</v>
      </c>
      <c r="I3" s="93">
        <v>9</v>
      </c>
      <c r="J3" s="93" t="s">
        <v>223</v>
      </c>
      <c r="K3" s="146" t="str">
        <f ca="1">OFFSET(Matches!$C$4,Partnerships!A3,0)</f>
        <v>Riverside</v>
      </c>
      <c r="L3" s="147">
        <f ca="1">OFFSET(Matches!$B$4,Partnerships!A3,0)</f>
        <v>45053</v>
      </c>
      <c r="N3" s="177">
        <f t="shared" ref="N3:N40" si="0">IF(B3=0,999999,B3)*10000+5000-C3*10+ROW()</f>
        <v>94573</v>
      </c>
      <c r="O3" s="177">
        <v>16</v>
      </c>
      <c r="P3" s="177">
        <f t="shared" ref="P3:P40" si="1">MATCH(ROW()-1,$O$2:$O$40,0)</f>
        <v>19</v>
      </c>
      <c r="Q3"/>
      <c r="R3" s="93">
        <f t="array" ref="R3:AB3">INDEX($B$2:$L$40,P3,)</f>
        <v>1</v>
      </c>
      <c r="S3" s="93">
        <v>53</v>
      </c>
      <c r="T3" s="93">
        <v>0</v>
      </c>
      <c r="U3" s="93" t="str">
        <v>Patel J</v>
      </c>
      <c r="V3" s="93">
        <v>36</v>
      </c>
      <c r="W3" s="161">
        <v>0</v>
      </c>
      <c r="X3" s="93" t="str">
        <v>Seymour C</v>
      </c>
      <c r="Y3" s="93">
        <v>9</v>
      </c>
      <c r="Z3" s="161">
        <v>0</v>
      </c>
      <c r="AA3" s="93">
        <f ca="1"/>
        <v>0</v>
      </c>
      <c r="AB3" s="150">
        <f ca="1"/>
        <v>0</v>
      </c>
      <c r="AN3" s="150"/>
    </row>
    <row r="4" spans="1:40" x14ac:dyDescent="0.15">
      <c r="K4" s="146" t="str">
        <f ca="1">OFFSET(Matches!$C$4,Partnerships!A4,0)</f>
        <v>Opp</v>
      </c>
      <c r="L4" s="147" t="str">
        <f ca="1">OFFSET(Matches!$B$4,Partnerships!A4,0)</f>
        <v>Date</v>
      </c>
      <c r="N4" s="177">
        <f t="shared" si="0"/>
        <v>9999995004</v>
      </c>
      <c r="O4" s="177">
        <v>18</v>
      </c>
      <c r="P4" s="177">
        <f t="shared" si="1"/>
        <v>18</v>
      </c>
      <c r="Q4"/>
      <c r="R4" s="93">
        <f t="array" ref="R4:AB4">INDEX($B$2:$L$40,P4,)</f>
        <v>1</v>
      </c>
      <c r="S4" s="93">
        <v>50</v>
      </c>
      <c r="T4" s="93">
        <v>0</v>
      </c>
      <c r="U4" s="93" t="str">
        <v>Seymour C</v>
      </c>
      <c r="V4" s="93">
        <v>35</v>
      </c>
      <c r="W4" s="161">
        <v>0</v>
      </c>
      <c r="X4" s="93" t="str">
        <v>Patel J</v>
      </c>
      <c r="Y4" s="93">
        <v>19</v>
      </c>
      <c r="Z4" s="161">
        <v>0</v>
      </c>
      <c r="AA4" s="93">
        <f ca="1"/>
        <v>0</v>
      </c>
      <c r="AB4" s="150">
        <f ca="1"/>
        <v>0</v>
      </c>
      <c r="AN4" s="150"/>
    </row>
    <row r="5" spans="1:40" x14ac:dyDescent="0.15">
      <c r="A5" s="93">
        <v>4</v>
      </c>
      <c r="B5" s="93">
        <v>3</v>
      </c>
      <c r="C5" s="93">
        <v>54</v>
      </c>
      <c r="E5" s="93" t="s">
        <v>259</v>
      </c>
      <c r="F5" s="93">
        <v>29</v>
      </c>
      <c r="H5" s="93" t="s">
        <v>196</v>
      </c>
      <c r="I5" s="93">
        <v>70</v>
      </c>
      <c r="K5" s="146" t="str">
        <f ca="1">OFFSET(Matches!$C$4,Partnerships!A5,0)</f>
        <v>Fonthill Park</v>
      </c>
      <c r="L5" s="147">
        <f ca="1">OFFSET(Matches!$B$4,Partnerships!A5,0)</f>
        <v>45073</v>
      </c>
      <c r="N5" s="177">
        <f t="shared" si="0"/>
        <v>34465</v>
      </c>
      <c r="O5" s="177">
        <v>8</v>
      </c>
      <c r="P5" s="177">
        <f t="shared" si="1"/>
        <v>8</v>
      </c>
      <c r="Q5"/>
      <c r="R5" s="93">
        <f t="array" ref="R5:AB5">INDEX($B$2:$L$40,P5,)</f>
        <v>2</v>
      </c>
      <c r="S5" s="93">
        <v>103</v>
      </c>
      <c r="T5" s="93">
        <v>0</v>
      </c>
      <c r="U5" s="93" t="str">
        <v>Seymour C</v>
      </c>
      <c r="V5" s="93">
        <v>41</v>
      </c>
      <c r="W5" s="161">
        <v>0</v>
      </c>
      <c r="X5" s="93" t="str">
        <v>Springer T</v>
      </c>
      <c r="Y5" s="93">
        <v>64</v>
      </c>
      <c r="Z5" s="161">
        <v>0</v>
      </c>
      <c r="AA5" s="93" t="str">
        <f ca="1"/>
        <v>YRG Eagles</v>
      </c>
      <c r="AB5" s="150">
        <f ca="1"/>
        <v>45067</v>
      </c>
      <c r="AN5" s="150"/>
    </row>
    <row r="6" spans="1:40" x14ac:dyDescent="0.15">
      <c r="A6" s="93">
        <v>4</v>
      </c>
      <c r="B6" s="93">
        <v>4</v>
      </c>
      <c r="C6" s="93">
        <v>85</v>
      </c>
      <c r="E6" s="93" t="s">
        <v>196</v>
      </c>
      <c r="F6" s="93">
        <v>70</v>
      </c>
      <c r="H6" s="93" t="s">
        <v>235</v>
      </c>
      <c r="I6" s="93">
        <v>43</v>
      </c>
      <c r="J6" s="93" t="s">
        <v>223</v>
      </c>
      <c r="K6" s="146" t="str">
        <f ca="1">OFFSET(Matches!$C$4,Partnerships!A6,0)</f>
        <v>Fonthill Park</v>
      </c>
      <c r="L6" s="147">
        <f ca="1">OFFSET(Matches!$B$4,Partnerships!A6,0)</f>
        <v>45073</v>
      </c>
      <c r="N6" s="177">
        <f t="shared" si="0"/>
        <v>44156</v>
      </c>
      <c r="O6" s="177">
        <v>9</v>
      </c>
      <c r="P6" s="177">
        <f t="shared" si="1"/>
        <v>14</v>
      </c>
      <c r="Q6"/>
      <c r="R6" s="93">
        <f t="array" ref="R6:AB6">INDEX($B$2:$L$40,P6,)</f>
        <v>2</v>
      </c>
      <c r="S6" s="93">
        <v>88</v>
      </c>
      <c r="T6" s="93">
        <v>0</v>
      </c>
      <c r="U6" s="93" t="str">
        <v>Crone W</v>
      </c>
      <c r="V6" s="93">
        <v>56</v>
      </c>
      <c r="W6" s="161">
        <v>0</v>
      </c>
      <c r="X6" s="93" t="str">
        <v>Niran S</v>
      </c>
      <c r="Y6" s="93">
        <v>49</v>
      </c>
      <c r="Z6" s="161">
        <v>0</v>
      </c>
      <c r="AA6" s="93" t="str">
        <f ca="1"/>
        <v>Mitcham</v>
      </c>
      <c r="AB6" s="150">
        <f ca="1"/>
        <v>45165</v>
      </c>
      <c r="AN6" s="150"/>
    </row>
    <row r="7" spans="1:40" x14ac:dyDescent="0.15">
      <c r="A7" s="93">
        <v>2</v>
      </c>
      <c r="B7" s="93">
        <v>6</v>
      </c>
      <c r="C7" s="93">
        <v>50</v>
      </c>
      <c r="E7" s="93" t="s">
        <v>259</v>
      </c>
      <c r="F7" s="93">
        <v>114</v>
      </c>
      <c r="G7" s="93" t="s">
        <v>223</v>
      </c>
      <c r="H7" s="93" t="s">
        <v>136</v>
      </c>
      <c r="I7" s="93">
        <v>26</v>
      </c>
      <c r="K7" s="146" t="str">
        <f ca="1">OFFSET(Matches!$C$4,Partnerships!A7,0)</f>
        <v>Beddington</v>
      </c>
      <c r="L7" s="147">
        <f ca="1">OFFSET(Matches!$B$4,Partnerships!A7,0)</f>
        <v>45060</v>
      </c>
      <c r="N7" s="177">
        <f t="shared" si="0"/>
        <v>64507</v>
      </c>
      <c r="O7" s="177">
        <v>12</v>
      </c>
      <c r="P7" s="177">
        <f t="shared" si="1"/>
        <v>9</v>
      </c>
      <c r="Q7"/>
      <c r="R7" s="93">
        <f t="array" ref="R7:AB7">INDEX($B$2:$L$40,P7,)</f>
        <v>3</v>
      </c>
      <c r="S7" s="93">
        <v>138</v>
      </c>
      <c r="T7" s="93">
        <v>0</v>
      </c>
      <c r="U7" s="93" t="str">
        <v>Patel J</v>
      </c>
      <c r="V7" s="93">
        <v>66</v>
      </c>
      <c r="W7" s="161">
        <v>0</v>
      </c>
      <c r="X7" s="93" t="str">
        <v>Ahmed R</v>
      </c>
      <c r="Y7" s="93">
        <v>90</v>
      </c>
      <c r="Z7" s="161">
        <v>0</v>
      </c>
      <c r="AA7" s="93" t="str">
        <f ca="1"/>
        <v>Woodgreen</v>
      </c>
      <c r="AB7" s="150">
        <f ca="1"/>
        <v>45074</v>
      </c>
      <c r="AN7" s="150"/>
    </row>
    <row r="8" spans="1:40" x14ac:dyDescent="0.15">
      <c r="A8" s="93">
        <v>2</v>
      </c>
      <c r="B8" s="93">
        <v>9</v>
      </c>
      <c r="C8" s="93">
        <v>58</v>
      </c>
      <c r="E8" s="93" t="s">
        <v>259</v>
      </c>
      <c r="F8" s="93">
        <v>114</v>
      </c>
      <c r="G8" s="93" t="s">
        <v>223</v>
      </c>
      <c r="H8" s="93" t="s">
        <v>235</v>
      </c>
      <c r="I8" s="93">
        <v>11</v>
      </c>
      <c r="K8" s="146" t="str">
        <f ca="1">OFFSET(Matches!$C$4,Partnerships!A8,0)</f>
        <v>Beddington</v>
      </c>
      <c r="L8" s="147">
        <f ca="1">OFFSET(Matches!$B$4,Partnerships!A8,0)</f>
        <v>45060</v>
      </c>
      <c r="N8" s="177">
        <f t="shared" si="0"/>
        <v>94428</v>
      </c>
      <c r="O8" s="177">
        <v>15</v>
      </c>
      <c r="P8" s="177">
        <f t="shared" si="1"/>
        <v>16</v>
      </c>
      <c r="Q8"/>
      <c r="R8" s="93">
        <f t="array" ref="R8:AB8">INDEX($B$2:$L$40,P8,)</f>
        <v>3</v>
      </c>
      <c r="S8" s="93">
        <v>110</v>
      </c>
      <c r="T8" s="93">
        <v>0</v>
      </c>
      <c r="U8" s="93" t="str">
        <v>De S</v>
      </c>
      <c r="V8" s="93">
        <v>84</v>
      </c>
      <c r="W8" s="161">
        <v>0</v>
      </c>
      <c r="X8" s="93" t="str">
        <v>Bhatt P</v>
      </c>
      <c r="Y8" s="93">
        <v>32</v>
      </c>
      <c r="Z8" s="161">
        <v>0</v>
      </c>
      <c r="AA8" s="93" t="str">
        <f ca="1"/>
        <v>Verdayne green</v>
      </c>
      <c r="AB8" s="150">
        <f ca="1"/>
        <v>45186</v>
      </c>
      <c r="AN8" s="150"/>
    </row>
    <row r="9" spans="1:40" x14ac:dyDescent="0.15">
      <c r="A9" s="93">
        <v>3</v>
      </c>
      <c r="B9" s="93">
        <v>2</v>
      </c>
      <c r="C9" s="93">
        <v>103</v>
      </c>
      <c r="E9" s="93" t="s">
        <v>196</v>
      </c>
      <c r="F9" s="93">
        <v>41</v>
      </c>
      <c r="H9" s="93" t="s">
        <v>222</v>
      </c>
      <c r="I9" s="93">
        <v>64</v>
      </c>
      <c r="K9" s="146" t="str">
        <f ca="1">OFFSET(Matches!$C$4,Partnerships!A9,0)</f>
        <v>YRG Eagles</v>
      </c>
      <c r="L9" s="147">
        <f ca="1">OFFSET(Matches!$B$4,Partnerships!A9,0)</f>
        <v>45067</v>
      </c>
      <c r="N9" s="177">
        <f t="shared" si="0"/>
        <v>23979</v>
      </c>
      <c r="O9" s="177">
        <v>4</v>
      </c>
      <c r="P9" s="177">
        <f t="shared" si="1"/>
        <v>4</v>
      </c>
      <c r="Q9"/>
      <c r="R9" s="93">
        <f t="array" ref="R9:AB9">INDEX($B$2:$L$40,P9,)</f>
        <v>3</v>
      </c>
      <c r="S9" s="93">
        <v>54</v>
      </c>
      <c r="T9" s="93">
        <v>0</v>
      </c>
      <c r="U9" s="93" t="str">
        <v>Seymour D</v>
      </c>
      <c r="V9" s="93">
        <v>29</v>
      </c>
      <c r="W9" s="161">
        <v>0</v>
      </c>
      <c r="X9" s="93" t="str">
        <v>Seymour C</v>
      </c>
      <c r="Y9" s="93">
        <v>70</v>
      </c>
      <c r="Z9" s="161">
        <v>0</v>
      </c>
      <c r="AA9" s="93" t="str">
        <f ca="1"/>
        <v>Fonthill Park</v>
      </c>
      <c r="AB9" s="150">
        <f ca="1"/>
        <v>45073</v>
      </c>
      <c r="AN9" s="150"/>
    </row>
    <row r="10" spans="1:40" x14ac:dyDescent="0.15">
      <c r="A10" s="93">
        <v>5</v>
      </c>
      <c r="B10" s="93">
        <v>3</v>
      </c>
      <c r="C10" s="93">
        <v>138</v>
      </c>
      <c r="E10" s="93" t="s">
        <v>383</v>
      </c>
      <c r="F10" s="93">
        <v>66</v>
      </c>
      <c r="H10" s="93" t="s">
        <v>425</v>
      </c>
      <c r="I10" s="93">
        <v>90</v>
      </c>
      <c r="K10" s="146" t="str">
        <f ca="1">OFFSET(Matches!$C$4,Partnerships!A10,0)</f>
        <v>Woodgreen</v>
      </c>
      <c r="L10" s="147">
        <f ca="1">OFFSET(Matches!$B$4,Partnerships!A10,0)</f>
        <v>45074</v>
      </c>
      <c r="N10" s="177">
        <f t="shared" si="0"/>
        <v>33630</v>
      </c>
      <c r="O10" s="177">
        <v>6</v>
      </c>
      <c r="P10" s="177">
        <f t="shared" si="1"/>
        <v>5</v>
      </c>
      <c r="Q10"/>
      <c r="R10" s="93">
        <f t="array" ref="R10:AB10">INDEX($B$2:$L$40,P10,)</f>
        <v>4</v>
      </c>
      <c r="S10" s="93">
        <v>85</v>
      </c>
      <c r="T10" s="93">
        <v>0</v>
      </c>
      <c r="U10" s="93" t="str">
        <v>Seymour C</v>
      </c>
      <c r="V10" s="93">
        <v>70</v>
      </c>
      <c r="W10" s="161">
        <v>0</v>
      </c>
      <c r="X10" s="93" t="str">
        <v>Bhatt P</v>
      </c>
      <c r="Y10" s="93">
        <v>43</v>
      </c>
      <c r="Z10" s="161" t="str">
        <v>*</v>
      </c>
      <c r="AA10" s="93" t="str">
        <f ca="1"/>
        <v>Fonthill Park</v>
      </c>
      <c r="AB10" s="150">
        <f ca="1"/>
        <v>45073</v>
      </c>
      <c r="AN10" s="150"/>
    </row>
    <row r="11" spans="1:40" x14ac:dyDescent="0.15">
      <c r="A11" s="93">
        <v>10</v>
      </c>
      <c r="B11" s="93">
        <v>9</v>
      </c>
      <c r="C11" s="93">
        <v>64</v>
      </c>
      <c r="E11" s="93" t="s">
        <v>136</v>
      </c>
      <c r="F11" s="93">
        <v>86</v>
      </c>
      <c r="H11" s="93" t="s">
        <v>521</v>
      </c>
      <c r="I11" s="93">
        <v>16</v>
      </c>
      <c r="J11" s="93" t="s">
        <v>223</v>
      </c>
      <c r="K11" s="146" t="str">
        <f ca="1">OFFSET(Matches!$C$4,Partnerships!A11,0)</f>
        <v>Morden</v>
      </c>
      <c r="L11" s="147">
        <f ca="1">OFFSET(Matches!$B$4,Partnerships!A11,0)</f>
        <v>45116</v>
      </c>
      <c r="N11" s="177">
        <f t="shared" si="0"/>
        <v>94371</v>
      </c>
      <c r="O11" s="177">
        <v>14</v>
      </c>
      <c r="P11" s="177">
        <f t="shared" si="1"/>
        <v>15</v>
      </c>
      <c r="Q11"/>
      <c r="R11" s="93">
        <f t="array" ref="R11:AB11">INDEX($B$2:$L$40,P11,)</f>
        <v>5</v>
      </c>
      <c r="S11" s="93">
        <v>48</v>
      </c>
      <c r="T11" s="93">
        <v>0</v>
      </c>
      <c r="U11" s="93" t="str">
        <v>Springer T</v>
      </c>
      <c r="V11" s="93">
        <v>29</v>
      </c>
      <c r="W11" s="161">
        <v>0</v>
      </c>
      <c r="X11" s="93" t="str">
        <v>Seymour C</v>
      </c>
      <c r="Y11" s="93">
        <v>36</v>
      </c>
      <c r="Z11" s="161" t="str">
        <v>*</v>
      </c>
      <c r="AA11" s="93" t="str">
        <f ca="1"/>
        <v>Croydon CC</v>
      </c>
      <c r="AB11" s="150">
        <f ca="1"/>
        <v>45179</v>
      </c>
      <c r="AN11" s="150"/>
    </row>
    <row r="12" spans="1:40" x14ac:dyDescent="0.15">
      <c r="K12" s="146" t="str">
        <f ca="1">OFFSET(Matches!$C$4,Partnerships!A12,0)</f>
        <v>Opp</v>
      </c>
      <c r="L12" s="147" t="str">
        <f ca="1">OFFSET(Matches!$B$4,Partnerships!A12,0)</f>
        <v>Date</v>
      </c>
      <c r="N12" s="177">
        <f t="shared" si="0"/>
        <v>9999995012</v>
      </c>
      <c r="O12" s="177">
        <v>19</v>
      </c>
      <c r="P12" s="177">
        <f t="shared" si="1"/>
        <v>12</v>
      </c>
      <c r="Q12"/>
      <c r="R12" s="93">
        <f t="array" ref="R12:AB12">INDEX($B$2:$L$40,P12,)</f>
        <v>6</v>
      </c>
      <c r="S12" s="93">
        <v>102</v>
      </c>
      <c r="T12" s="93">
        <v>0</v>
      </c>
      <c r="U12" s="93" t="str">
        <v>De S</v>
      </c>
      <c r="V12" s="93">
        <v>37</v>
      </c>
      <c r="W12" s="161">
        <v>0</v>
      </c>
      <c r="X12" s="93" t="str">
        <v>Mahmood S</v>
      </c>
      <c r="Y12" s="93">
        <v>47</v>
      </c>
      <c r="Z12" s="161">
        <v>0</v>
      </c>
      <c r="AA12" s="93" t="str">
        <f ca="1"/>
        <v>Catford Cyphers</v>
      </c>
      <c r="AB12" s="150">
        <f ca="1"/>
        <v>45158</v>
      </c>
      <c r="AN12" s="150"/>
    </row>
    <row r="13" spans="1:40" x14ac:dyDescent="0.15">
      <c r="A13" s="93">
        <v>13</v>
      </c>
      <c r="B13" s="93">
        <v>6</v>
      </c>
      <c r="C13" s="93">
        <v>102</v>
      </c>
      <c r="E13" s="93" t="s">
        <v>324</v>
      </c>
      <c r="F13" s="93">
        <v>37</v>
      </c>
      <c r="H13" s="93" t="s">
        <v>560</v>
      </c>
      <c r="I13" s="93">
        <v>47</v>
      </c>
      <c r="K13" s="146" t="str">
        <f ca="1">OFFSET(Matches!$C$4,Partnerships!A13,0)</f>
        <v>Catford Cyphers</v>
      </c>
      <c r="L13" s="147">
        <f ca="1">OFFSET(Matches!$B$4,Partnerships!A13,0)</f>
        <v>45158</v>
      </c>
      <c r="N13" s="177">
        <f t="shared" si="0"/>
        <v>63993</v>
      </c>
      <c r="O13" s="177">
        <v>11</v>
      </c>
      <c r="P13" s="177">
        <f t="shared" si="1"/>
        <v>6</v>
      </c>
      <c r="Q13"/>
      <c r="R13" s="93">
        <f t="array" ref="R13:AB13">INDEX($B$2:$L$40,P13,)</f>
        <v>6</v>
      </c>
      <c r="S13" s="93">
        <v>50</v>
      </c>
      <c r="T13" s="93">
        <v>0</v>
      </c>
      <c r="U13" s="93" t="str">
        <v>Seymour D</v>
      </c>
      <c r="V13" s="93">
        <v>114</v>
      </c>
      <c r="W13" s="161" t="str">
        <v>*</v>
      </c>
      <c r="X13" s="93" t="str">
        <v>Sharpe D</v>
      </c>
      <c r="Y13" s="93">
        <v>26</v>
      </c>
      <c r="Z13" s="161">
        <v>0</v>
      </c>
      <c r="AA13" s="93" t="str">
        <f ca="1"/>
        <v>Beddington</v>
      </c>
      <c r="AB13" s="150">
        <f ca="1"/>
        <v>45060</v>
      </c>
      <c r="AN13" s="150"/>
    </row>
    <row r="14" spans="1:40" x14ac:dyDescent="0.15">
      <c r="A14" s="93">
        <v>13</v>
      </c>
      <c r="B14" s="93">
        <v>9</v>
      </c>
      <c r="C14" s="93">
        <v>75</v>
      </c>
      <c r="D14" s="93" t="s">
        <v>223</v>
      </c>
      <c r="E14" s="93" t="s">
        <v>235</v>
      </c>
      <c r="F14" s="93">
        <v>35</v>
      </c>
      <c r="G14" s="93" t="s">
        <v>223</v>
      </c>
      <c r="H14" s="93" t="s">
        <v>201</v>
      </c>
      <c r="I14" s="93">
        <v>36</v>
      </c>
      <c r="J14" s="93" t="s">
        <v>223</v>
      </c>
      <c r="K14" s="146" t="str">
        <f ca="1">OFFSET(Matches!$C$4,Partnerships!A14,0)</f>
        <v>Catford Cyphers</v>
      </c>
      <c r="L14" s="147">
        <f ca="1">OFFSET(Matches!$B$4,Partnerships!A14,0)</f>
        <v>45158</v>
      </c>
      <c r="N14" s="177">
        <f t="shared" si="0"/>
        <v>94264</v>
      </c>
      <c r="O14" s="177">
        <v>13</v>
      </c>
      <c r="P14" s="177">
        <f t="shared" si="1"/>
        <v>13</v>
      </c>
      <c r="Q14"/>
      <c r="R14" s="93">
        <f t="array" ref="R14:AB14">INDEX($B$2:$L$40,P14,)</f>
        <v>9</v>
      </c>
      <c r="S14" s="93">
        <v>75</v>
      </c>
      <c r="T14" s="93" t="str">
        <v>*</v>
      </c>
      <c r="U14" s="93" t="str">
        <v>Bhatt P</v>
      </c>
      <c r="V14" s="93">
        <v>35</v>
      </c>
      <c r="W14" s="161" t="str">
        <v>*</v>
      </c>
      <c r="X14" s="93" t="str">
        <v>Middleton J</v>
      </c>
      <c r="Y14" s="93">
        <v>36</v>
      </c>
      <c r="Z14" s="161" t="str">
        <v>*</v>
      </c>
      <c r="AA14" s="93" t="str">
        <f ca="1"/>
        <v>Catford Cyphers</v>
      </c>
      <c r="AB14" s="150">
        <f ca="1"/>
        <v>45158</v>
      </c>
      <c r="AN14" s="150"/>
    </row>
    <row r="15" spans="1:40" x14ac:dyDescent="0.15">
      <c r="A15" s="93">
        <v>14</v>
      </c>
      <c r="B15" s="93">
        <v>2</v>
      </c>
      <c r="C15" s="93">
        <v>88</v>
      </c>
      <c r="E15" s="93" t="s">
        <v>572</v>
      </c>
      <c r="F15" s="93">
        <v>56</v>
      </c>
      <c r="H15" s="93" t="s">
        <v>245</v>
      </c>
      <c r="I15" s="93">
        <v>49</v>
      </c>
      <c r="K15" s="146" t="str">
        <f ca="1">OFFSET(Matches!$C$4,Partnerships!A15,0)</f>
        <v>Mitcham</v>
      </c>
      <c r="L15" s="147">
        <f ca="1">OFFSET(Matches!$B$4,Partnerships!A15,0)</f>
        <v>45165</v>
      </c>
      <c r="N15" s="177">
        <f t="shared" si="0"/>
        <v>24135</v>
      </c>
      <c r="O15" s="177">
        <v>5</v>
      </c>
      <c r="P15" s="177">
        <f t="shared" si="1"/>
        <v>10</v>
      </c>
      <c r="Q15"/>
      <c r="R15" s="93">
        <f t="array" ref="R15:AB15">INDEX($B$2:$L$40,P15,)</f>
        <v>9</v>
      </c>
      <c r="S15" s="93">
        <v>64</v>
      </c>
      <c r="T15" s="93">
        <v>0</v>
      </c>
      <c r="U15" s="93" t="str">
        <v>Sharpe D</v>
      </c>
      <c r="V15" s="93">
        <v>86</v>
      </c>
      <c r="W15" s="161">
        <v>0</v>
      </c>
      <c r="X15" s="93" t="str">
        <v>Turner R</v>
      </c>
      <c r="Y15" s="93">
        <v>16</v>
      </c>
      <c r="Z15" s="161" t="str">
        <v>*</v>
      </c>
      <c r="AA15" s="93" t="str">
        <f ca="1"/>
        <v>Morden</v>
      </c>
      <c r="AB15" s="150">
        <f ca="1"/>
        <v>45116</v>
      </c>
      <c r="AN15" s="150"/>
    </row>
    <row r="16" spans="1:40" x14ac:dyDescent="0.15">
      <c r="A16" s="93">
        <v>15</v>
      </c>
      <c r="B16" s="93">
        <v>5</v>
      </c>
      <c r="C16" s="93">
        <v>48</v>
      </c>
      <c r="E16" s="93" t="s">
        <v>222</v>
      </c>
      <c r="F16" s="93">
        <v>29</v>
      </c>
      <c r="H16" s="93" t="s">
        <v>196</v>
      </c>
      <c r="I16" s="93">
        <v>36</v>
      </c>
      <c r="J16" s="93" t="s">
        <v>223</v>
      </c>
      <c r="K16" s="146" t="str">
        <f ca="1">OFFSET(Matches!$C$4,Partnerships!A16,0)</f>
        <v>Croydon CC</v>
      </c>
      <c r="L16" s="147">
        <f ca="1">OFFSET(Matches!$B$4,Partnerships!A16,0)</f>
        <v>45179</v>
      </c>
      <c r="N16" s="177">
        <f t="shared" si="0"/>
        <v>54536</v>
      </c>
      <c r="O16" s="177">
        <v>10</v>
      </c>
      <c r="P16" s="177">
        <f t="shared" si="1"/>
        <v>7</v>
      </c>
      <c r="Q16"/>
      <c r="R16" s="93">
        <f t="array" ref="R16:AB16">INDEX($B$2:$L$40,P16,)</f>
        <v>9</v>
      </c>
      <c r="S16" s="93">
        <v>58</v>
      </c>
      <c r="T16" s="93">
        <v>0</v>
      </c>
      <c r="U16" s="93" t="str">
        <v>Seymour D</v>
      </c>
      <c r="V16" s="93">
        <v>114</v>
      </c>
      <c r="W16" s="161" t="str">
        <v>*</v>
      </c>
      <c r="X16" s="93" t="str">
        <v>Bhatt P</v>
      </c>
      <c r="Y16" s="93">
        <v>11</v>
      </c>
      <c r="Z16" s="161">
        <v>0</v>
      </c>
      <c r="AA16" s="93" t="str">
        <f ca="1"/>
        <v>Beddington</v>
      </c>
      <c r="AB16" s="150">
        <f ca="1"/>
        <v>45060</v>
      </c>
      <c r="AN16" s="150"/>
    </row>
    <row r="17" spans="1:40" x14ac:dyDescent="0.15">
      <c r="A17" s="93">
        <v>16</v>
      </c>
      <c r="B17" s="93">
        <v>3</v>
      </c>
      <c r="C17" s="93">
        <v>110</v>
      </c>
      <c r="E17" s="93" t="s">
        <v>324</v>
      </c>
      <c r="F17" s="93">
        <v>84</v>
      </c>
      <c r="H17" s="93" t="s">
        <v>235</v>
      </c>
      <c r="I17" s="93">
        <v>32</v>
      </c>
      <c r="K17" s="146" t="str">
        <f ca="1">OFFSET(Matches!$C$4,Partnerships!A17,0)</f>
        <v>Verdayne green</v>
      </c>
      <c r="L17" s="147">
        <f ca="1">OFFSET(Matches!$B$4,Partnerships!A17,0)</f>
        <v>45186</v>
      </c>
      <c r="N17" s="177">
        <f t="shared" si="0"/>
        <v>33917</v>
      </c>
      <c r="O17" s="177">
        <v>7</v>
      </c>
      <c r="P17" s="177">
        <f t="shared" si="1"/>
        <v>2</v>
      </c>
      <c r="Q17"/>
      <c r="R17" s="93">
        <f t="array" ref="R17:AB17">INDEX($B$2:$L$40,P17,)</f>
        <v>9</v>
      </c>
      <c r="S17" s="93">
        <v>43</v>
      </c>
      <c r="T17" s="93" t="str">
        <v>*</v>
      </c>
      <c r="U17" s="93" t="str">
        <v>De S</v>
      </c>
      <c r="V17" s="93">
        <v>50</v>
      </c>
      <c r="W17" s="161" t="str">
        <v>*</v>
      </c>
      <c r="X17" s="93" t="str">
        <v>Jain A</v>
      </c>
      <c r="Y17" s="93">
        <v>9</v>
      </c>
      <c r="Z17" s="161" t="str">
        <v>*</v>
      </c>
      <c r="AA17" s="93" t="str">
        <f ca="1"/>
        <v>Riverside</v>
      </c>
      <c r="AB17" s="150">
        <f ca="1"/>
        <v>45053</v>
      </c>
      <c r="AN17" s="150"/>
    </row>
    <row r="18" spans="1:40" x14ac:dyDescent="0.15">
      <c r="K18" s="146" t="str">
        <f ca="1">OFFSET(Matches!$C$4,Partnerships!A18,0)</f>
        <v>Opp</v>
      </c>
      <c r="L18" s="147" t="str">
        <f ca="1">OFFSET(Matches!$B$4,Partnerships!A18,0)</f>
        <v>Date</v>
      </c>
      <c r="N18" s="177">
        <f>IF(B18=0,999999,B18)*10000+5000-C18*10+ROW()</f>
        <v>9999995018</v>
      </c>
      <c r="O18" s="177">
        <v>20</v>
      </c>
      <c r="P18" s="177">
        <f t="shared" si="1"/>
        <v>1</v>
      </c>
      <c r="Q18"/>
      <c r="R18" s="93">
        <f t="array" ref="R18:AB18">INDEX($B$2:$L$40,P18,)</f>
        <v>0</v>
      </c>
      <c r="S18" s="93">
        <v>0</v>
      </c>
      <c r="T18" s="93">
        <v>0</v>
      </c>
      <c r="U18" s="93">
        <v>0</v>
      </c>
      <c r="V18" s="93">
        <v>0</v>
      </c>
      <c r="W18" s="161">
        <v>0</v>
      </c>
      <c r="X18" s="93">
        <v>0</v>
      </c>
      <c r="Y18" s="93">
        <v>0</v>
      </c>
      <c r="Z18" s="161">
        <v>0</v>
      </c>
      <c r="AA18" s="93" t="str">
        <f ca="1"/>
        <v>Opp</v>
      </c>
      <c r="AB18" s="150" t="str">
        <f ca="1"/>
        <v>Date</v>
      </c>
      <c r="AN18" s="150"/>
    </row>
    <row r="19" spans="1:40" x14ac:dyDescent="0.15">
      <c r="A19" s="93">
        <v>18</v>
      </c>
      <c r="B19" s="93">
        <v>1</v>
      </c>
      <c r="C19" s="93">
        <v>50</v>
      </c>
      <c r="E19" s="93" t="s">
        <v>196</v>
      </c>
      <c r="F19" s="93">
        <v>35</v>
      </c>
      <c r="H19" s="93" t="s">
        <v>383</v>
      </c>
      <c r="I19" s="93">
        <v>19</v>
      </c>
      <c r="K19" s="146">
        <f ca="1">OFFSET(Matches!$C$4,Partnerships!A19,0)</f>
        <v>0</v>
      </c>
      <c r="L19" s="147">
        <f ca="1">OFFSET(Matches!$B$4,Partnerships!A19,0)</f>
        <v>0</v>
      </c>
      <c r="N19" s="177">
        <f>IF(B19=0,999999,B19)*10000+5000-C19*10+ROW()</f>
        <v>14519</v>
      </c>
      <c r="O19" s="177">
        <v>3</v>
      </c>
      <c r="P19" s="177">
        <f t="shared" si="1"/>
        <v>3</v>
      </c>
      <c r="R19" s="93">
        <f t="array" ref="R19:AB19">INDEX($B$2:$L$40,P19,)</f>
        <v>0</v>
      </c>
      <c r="S19" s="93">
        <v>0</v>
      </c>
      <c r="T19" s="93">
        <v>0</v>
      </c>
      <c r="U19" s="93">
        <v>0</v>
      </c>
      <c r="V19" s="93">
        <v>0</v>
      </c>
      <c r="W19" s="161">
        <v>0</v>
      </c>
      <c r="X19" s="93">
        <v>0</v>
      </c>
      <c r="Y19" s="93">
        <v>0</v>
      </c>
      <c r="Z19" s="161">
        <v>0</v>
      </c>
      <c r="AA19" s="93" t="str">
        <f ca="1"/>
        <v>Opp</v>
      </c>
      <c r="AB19" s="150" t="str">
        <f ca="1"/>
        <v>Date</v>
      </c>
      <c r="AN19" s="150"/>
    </row>
    <row r="20" spans="1:40" x14ac:dyDescent="0.15">
      <c r="A20" s="93">
        <v>19</v>
      </c>
      <c r="B20" s="93">
        <v>1</v>
      </c>
      <c r="C20" s="93">
        <v>53</v>
      </c>
      <c r="E20" s="93" t="s">
        <v>383</v>
      </c>
      <c r="F20" s="93">
        <v>36</v>
      </c>
      <c r="H20" s="93" t="s">
        <v>196</v>
      </c>
      <c r="I20" s="93">
        <v>9</v>
      </c>
      <c r="K20" s="146">
        <f ca="1">OFFSET(Matches!$C$4,Partnerships!A20,0)</f>
        <v>0</v>
      </c>
      <c r="L20" s="147">
        <f ca="1">OFFSET(Matches!$B$4,Partnerships!A20,0)</f>
        <v>0</v>
      </c>
      <c r="N20" s="177">
        <f>IF(B20=0,999999,B20)*10000+5000-C20*10+ROW()</f>
        <v>14490</v>
      </c>
      <c r="O20" s="177">
        <v>2</v>
      </c>
      <c r="P20" s="177">
        <f t="shared" si="1"/>
        <v>11</v>
      </c>
      <c r="R20" s="93">
        <f t="array" ref="R20:AB20">INDEX($B$2:$L$40,P20,)</f>
        <v>0</v>
      </c>
      <c r="S20" s="93">
        <v>0</v>
      </c>
      <c r="T20" s="93">
        <v>0</v>
      </c>
      <c r="U20" s="93">
        <v>0</v>
      </c>
      <c r="V20" s="93">
        <v>0</v>
      </c>
      <c r="W20" s="161">
        <v>0</v>
      </c>
      <c r="X20" s="93">
        <v>0</v>
      </c>
      <c r="Y20" s="93">
        <v>0</v>
      </c>
      <c r="Z20" s="161">
        <v>0</v>
      </c>
      <c r="AA20" s="93" t="str">
        <f ca="1"/>
        <v>Opp</v>
      </c>
      <c r="AB20" s="150" t="str">
        <f ca="1"/>
        <v>Date</v>
      </c>
      <c r="AN20" s="150"/>
    </row>
    <row r="21" spans="1:40" x14ac:dyDescent="0.15">
      <c r="A21" s="93">
        <v>20</v>
      </c>
      <c r="B21" s="93">
        <v>1</v>
      </c>
      <c r="C21" s="93">
        <v>54</v>
      </c>
      <c r="E21" s="93" t="s">
        <v>383</v>
      </c>
      <c r="F21" s="93">
        <v>52</v>
      </c>
      <c r="H21" s="93" t="s">
        <v>196</v>
      </c>
      <c r="I21" s="93">
        <v>7</v>
      </c>
      <c r="K21" s="146">
        <f ca="1">OFFSET(Matches!$C$4,Partnerships!A21,0)</f>
        <v>0</v>
      </c>
      <c r="L21" s="147">
        <f ca="1">OFFSET(Matches!$B$4,Partnerships!A21,0)</f>
        <v>0</v>
      </c>
      <c r="N21" s="177">
        <f>IF(B21=0,999999,B21)*10000+5000-C21*10+ROW()</f>
        <v>14481</v>
      </c>
      <c r="O21" s="177">
        <v>1</v>
      </c>
      <c r="P21" s="177">
        <f t="shared" si="1"/>
        <v>17</v>
      </c>
      <c r="R21" s="93">
        <f t="array" ref="R21:AB21">INDEX($B$2:$L$40,P21,)</f>
        <v>0</v>
      </c>
      <c r="S21" s="93">
        <v>0</v>
      </c>
      <c r="T21" s="93">
        <v>0</v>
      </c>
      <c r="U21" s="93">
        <v>0</v>
      </c>
      <c r="V21" s="93">
        <v>0</v>
      </c>
      <c r="W21" s="161">
        <v>0</v>
      </c>
      <c r="X21" s="93">
        <v>0</v>
      </c>
      <c r="Y21" s="93">
        <v>0</v>
      </c>
      <c r="Z21" s="161">
        <v>0</v>
      </c>
      <c r="AA21" s="93" t="str">
        <f ca="1"/>
        <v>Opp</v>
      </c>
      <c r="AB21" s="150" t="str">
        <f ca="1"/>
        <v>Date</v>
      </c>
    </row>
    <row r="22" spans="1:40" x14ac:dyDescent="0.15">
      <c r="K22" s="146" t="str">
        <f ca="1">OFFSET(Matches!$C$4,Partnerships!A22,0)</f>
        <v>Opp</v>
      </c>
      <c r="L22" s="147" t="str">
        <f ca="1">OFFSET(Matches!$B$4,Partnerships!A22,0)</f>
        <v>Date</v>
      </c>
      <c r="N22" s="177">
        <f t="shared" si="0"/>
        <v>9999995022</v>
      </c>
      <c r="O22" s="177">
        <v>21</v>
      </c>
      <c r="P22" s="177">
        <f t="shared" si="1"/>
        <v>21</v>
      </c>
      <c r="R22" s="93">
        <f t="array" ref="R22:AB22">INDEX($B$2:$L$40,P22,)</f>
        <v>0</v>
      </c>
      <c r="S22" s="93">
        <v>0</v>
      </c>
      <c r="T22" s="93">
        <v>0</v>
      </c>
      <c r="U22" s="93">
        <v>0</v>
      </c>
      <c r="V22" s="93">
        <v>0</v>
      </c>
      <c r="W22" s="161">
        <v>0</v>
      </c>
      <c r="X22" s="93">
        <v>0</v>
      </c>
      <c r="Y22" s="93">
        <v>0</v>
      </c>
      <c r="Z22" s="161">
        <v>0</v>
      </c>
      <c r="AA22" s="93" t="str">
        <f ca="1"/>
        <v>Opp</v>
      </c>
      <c r="AB22" s="150" t="str">
        <f ca="1"/>
        <v>Date</v>
      </c>
    </row>
    <row r="23" spans="1:40" x14ac:dyDescent="0.15">
      <c r="K23" s="146" t="str">
        <f ca="1">OFFSET(Matches!$C$4,Partnerships!A23,0)</f>
        <v>Opp</v>
      </c>
      <c r="L23" s="147" t="str">
        <f ca="1">OFFSET(Matches!$B$4,Partnerships!A23,0)</f>
        <v>Date</v>
      </c>
      <c r="N23" s="177">
        <f t="shared" si="0"/>
        <v>9999995023</v>
      </c>
      <c r="O23" s="177">
        <v>22</v>
      </c>
      <c r="P23" s="177">
        <f t="shared" si="1"/>
        <v>22</v>
      </c>
      <c r="R23" s="93">
        <f t="array" ref="R23:AB23">INDEX($B$2:$L$40,P23,)</f>
        <v>0</v>
      </c>
      <c r="S23" s="93">
        <v>0</v>
      </c>
      <c r="T23" s="93">
        <v>0</v>
      </c>
      <c r="U23" s="93">
        <v>0</v>
      </c>
      <c r="V23" s="93">
        <v>0</v>
      </c>
      <c r="W23" s="161">
        <v>0</v>
      </c>
      <c r="X23" s="93">
        <v>0</v>
      </c>
      <c r="Y23" s="93">
        <v>0</v>
      </c>
      <c r="Z23" s="161">
        <v>0</v>
      </c>
      <c r="AA23" s="93" t="str">
        <f ca="1"/>
        <v>Opp</v>
      </c>
      <c r="AB23" s="150" t="str">
        <f ca="1"/>
        <v>Date</v>
      </c>
    </row>
    <row r="24" spans="1:40" x14ac:dyDescent="0.15">
      <c r="G24"/>
      <c r="J24"/>
      <c r="K24" s="146" t="str">
        <f ca="1">OFFSET(Matches!$C$4,Partnerships!A24,0)</f>
        <v>Opp</v>
      </c>
      <c r="L24" s="147" t="str">
        <f ca="1">OFFSET(Matches!$B$4,Partnerships!A24,0)</f>
        <v>Date</v>
      </c>
      <c r="N24" s="177">
        <f t="shared" si="0"/>
        <v>9999995024</v>
      </c>
      <c r="O24" s="177">
        <v>23</v>
      </c>
      <c r="P24" s="177">
        <f t="shared" si="1"/>
        <v>23</v>
      </c>
      <c r="R24" s="93">
        <f t="array" ref="R24:AB24">INDEX($B$2:$L$40,P24,)</f>
        <v>0</v>
      </c>
      <c r="S24" s="93">
        <v>0</v>
      </c>
      <c r="T24" s="93">
        <v>0</v>
      </c>
      <c r="U24" s="93">
        <v>0</v>
      </c>
      <c r="V24" s="93">
        <v>0</v>
      </c>
      <c r="W24" s="161">
        <v>0</v>
      </c>
      <c r="X24" s="93">
        <v>0</v>
      </c>
      <c r="Y24" s="93">
        <v>0</v>
      </c>
      <c r="Z24" s="161">
        <v>0</v>
      </c>
      <c r="AA24" s="93" t="str">
        <f ca="1"/>
        <v>Opp</v>
      </c>
      <c r="AB24" s="150" t="str">
        <f ca="1"/>
        <v>Date</v>
      </c>
    </row>
    <row r="25" spans="1:40" x14ac:dyDescent="0.15">
      <c r="G25"/>
      <c r="J25"/>
      <c r="K25" s="146" t="str">
        <f ca="1">OFFSET(Matches!$C$4,Partnerships!A25,0)</f>
        <v>Opp</v>
      </c>
      <c r="L25" s="147" t="str">
        <f ca="1">OFFSET(Matches!$B$4,Partnerships!A25,0)</f>
        <v>Date</v>
      </c>
      <c r="N25" s="177">
        <f t="shared" si="0"/>
        <v>9999995025</v>
      </c>
      <c r="O25" s="177">
        <v>24</v>
      </c>
      <c r="P25" s="177">
        <f t="shared" si="1"/>
        <v>24</v>
      </c>
      <c r="R25" s="93">
        <f t="array" ref="R25:AB25">INDEX($B$2:$L$40,P25,)</f>
        <v>0</v>
      </c>
      <c r="S25" s="93">
        <v>0</v>
      </c>
      <c r="T25" s="93">
        <v>0</v>
      </c>
      <c r="U25" s="93">
        <v>0</v>
      </c>
      <c r="V25" s="93">
        <v>0</v>
      </c>
      <c r="W25" s="161">
        <v>0</v>
      </c>
      <c r="X25" s="93">
        <v>0</v>
      </c>
      <c r="Y25" s="93">
        <v>0</v>
      </c>
      <c r="Z25" s="161">
        <v>0</v>
      </c>
      <c r="AA25" s="93" t="str">
        <f ca="1"/>
        <v>Opp</v>
      </c>
      <c r="AB25" s="150" t="str">
        <f ca="1"/>
        <v>Date</v>
      </c>
    </row>
    <row r="26" spans="1:40" x14ac:dyDescent="0.15">
      <c r="G26"/>
      <c r="H26"/>
      <c r="I26"/>
      <c r="J26"/>
      <c r="K26" s="146" t="str">
        <f ca="1">OFFSET(Matches!$C$4,Partnerships!A26,0)</f>
        <v>Opp</v>
      </c>
      <c r="L26" s="147" t="str">
        <f ca="1">OFFSET(Matches!$B$4,Partnerships!A26,0)</f>
        <v>Date</v>
      </c>
      <c r="N26" s="177">
        <f t="shared" si="0"/>
        <v>9999995026</v>
      </c>
      <c r="O26" s="177">
        <v>25</v>
      </c>
      <c r="P26" s="177">
        <f t="shared" si="1"/>
        <v>25</v>
      </c>
      <c r="R26" s="93">
        <f t="array" ref="R26:AB26">INDEX($B$2:$L$40,P26,)</f>
        <v>0</v>
      </c>
      <c r="S26" s="93">
        <v>0</v>
      </c>
      <c r="T26" s="93">
        <v>0</v>
      </c>
      <c r="U26" s="93">
        <v>0</v>
      </c>
      <c r="V26" s="93">
        <v>0</v>
      </c>
      <c r="W26" s="161">
        <v>0</v>
      </c>
      <c r="X26" s="93">
        <v>0</v>
      </c>
      <c r="Y26" s="93">
        <v>0</v>
      </c>
      <c r="Z26" s="161">
        <v>0</v>
      </c>
      <c r="AA26" s="93" t="str">
        <f ca="1"/>
        <v>Opp</v>
      </c>
      <c r="AB26" s="150" t="str">
        <f ca="1"/>
        <v>Date</v>
      </c>
    </row>
    <row r="27" spans="1:40" x14ac:dyDescent="0.15">
      <c r="G27"/>
      <c r="H27"/>
      <c r="I27"/>
      <c r="J27"/>
      <c r="K27" s="146" t="str">
        <f ca="1">OFFSET(Matches!$C$4,Partnerships!A27,0)</f>
        <v>Opp</v>
      </c>
      <c r="L27" s="147" t="str">
        <f ca="1">OFFSET(Matches!$B$4,Partnerships!A27,0)</f>
        <v>Date</v>
      </c>
      <c r="N27" s="177">
        <f t="shared" si="0"/>
        <v>9999995027</v>
      </c>
      <c r="O27" s="177">
        <v>26</v>
      </c>
      <c r="P27" s="177">
        <f t="shared" si="1"/>
        <v>26</v>
      </c>
      <c r="R27" s="93">
        <f t="array" ref="R27:AB27">INDEX($B$2:$L$40,P27,)</f>
        <v>0</v>
      </c>
      <c r="S27" s="93">
        <v>0</v>
      </c>
      <c r="T27" s="93">
        <v>0</v>
      </c>
      <c r="U27" s="93">
        <v>0</v>
      </c>
      <c r="V27" s="93">
        <v>0</v>
      </c>
      <c r="W27" s="161">
        <v>0</v>
      </c>
      <c r="X27" s="93">
        <v>0</v>
      </c>
      <c r="Y27" s="93">
        <v>0</v>
      </c>
      <c r="Z27" s="161">
        <v>0</v>
      </c>
      <c r="AA27" s="93" t="str">
        <f ca="1"/>
        <v>Opp</v>
      </c>
      <c r="AB27" s="150" t="str">
        <f ca="1"/>
        <v>Date</v>
      </c>
    </row>
    <row r="28" spans="1:40" x14ac:dyDescent="0.15">
      <c r="G28"/>
      <c r="H28"/>
      <c r="I28"/>
      <c r="J28"/>
      <c r="K28" s="146" t="str">
        <f ca="1">OFFSET(Matches!$C$4,Partnerships!A28,0)</f>
        <v>Opp</v>
      </c>
      <c r="L28" s="147" t="str">
        <f ca="1">OFFSET(Matches!$B$4,Partnerships!A28,0)</f>
        <v>Date</v>
      </c>
      <c r="N28" s="177">
        <f t="shared" si="0"/>
        <v>9999995028</v>
      </c>
      <c r="O28" s="177">
        <v>27</v>
      </c>
      <c r="P28" s="177">
        <f t="shared" si="1"/>
        <v>27</v>
      </c>
      <c r="R28" s="93">
        <f t="array" ref="R28:AB28">INDEX($B$2:$L$40,P28,)</f>
        <v>0</v>
      </c>
      <c r="S28" s="93">
        <v>0</v>
      </c>
      <c r="T28" s="93">
        <v>0</v>
      </c>
      <c r="U28" s="93">
        <v>0</v>
      </c>
      <c r="V28" s="93">
        <v>0</v>
      </c>
      <c r="W28" s="161">
        <v>0</v>
      </c>
      <c r="X28" s="93">
        <v>0</v>
      </c>
      <c r="Y28" s="93">
        <v>0</v>
      </c>
      <c r="Z28" s="161">
        <v>0</v>
      </c>
      <c r="AA28" s="93" t="str">
        <f ca="1"/>
        <v>Opp</v>
      </c>
      <c r="AB28" s="150" t="str">
        <f ca="1"/>
        <v>Date</v>
      </c>
      <c r="AC28"/>
    </row>
    <row r="29" spans="1:40" x14ac:dyDescent="0.15">
      <c r="G29"/>
      <c r="H29"/>
      <c r="I29"/>
      <c r="J29"/>
      <c r="K29" s="146" t="str">
        <f ca="1">OFFSET(Matches!$C$4,Partnerships!A29,0)</f>
        <v>Opp</v>
      </c>
      <c r="L29" s="147" t="str">
        <f ca="1">OFFSET(Matches!$B$4,Partnerships!A29,0)</f>
        <v>Date</v>
      </c>
      <c r="N29" s="177">
        <f t="shared" si="0"/>
        <v>9999995029</v>
      </c>
      <c r="O29" s="177">
        <v>28</v>
      </c>
      <c r="P29" s="177">
        <f t="shared" si="1"/>
        <v>28</v>
      </c>
      <c r="R29" s="93">
        <f t="array" ref="R29:AB29">INDEX($B$2:$L$40,P29,)</f>
        <v>0</v>
      </c>
      <c r="S29" s="93">
        <v>0</v>
      </c>
      <c r="T29" s="93">
        <v>0</v>
      </c>
      <c r="U29" s="93">
        <v>0</v>
      </c>
      <c r="V29" s="93">
        <v>0</v>
      </c>
      <c r="W29" s="161">
        <v>0</v>
      </c>
      <c r="X29" s="93">
        <v>0</v>
      </c>
      <c r="Y29" s="93">
        <v>0</v>
      </c>
      <c r="Z29" s="161">
        <v>0</v>
      </c>
      <c r="AA29" s="93" t="str">
        <f ca="1"/>
        <v>Opp</v>
      </c>
      <c r="AB29" s="150" t="str">
        <f ca="1"/>
        <v>Date</v>
      </c>
      <c r="AC29"/>
    </row>
    <row r="30" spans="1:40" x14ac:dyDescent="0.15">
      <c r="G30"/>
      <c r="H30"/>
      <c r="I30"/>
      <c r="J30"/>
      <c r="K30" s="146" t="str">
        <f ca="1">OFFSET(Matches!$C$4,Partnerships!A30,0)</f>
        <v>Opp</v>
      </c>
      <c r="L30" s="147" t="str">
        <f ca="1">OFFSET(Matches!$B$4,Partnerships!A30,0)</f>
        <v>Date</v>
      </c>
      <c r="N30" s="177">
        <f t="shared" si="0"/>
        <v>9999995030</v>
      </c>
      <c r="O30" s="177">
        <v>29</v>
      </c>
      <c r="P30" s="177">
        <f t="shared" si="1"/>
        <v>29</v>
      </c>
      <c r="R30" s="93">
        <f t="array" ref="R30:AB30">INDEX($B$2:$L$40,P30,)</f>
        <v>0</v>
      </c>
      <c r="S30" s="93">
        <v>0</v>
      </c>
      <c r="T30" s="93">
        <v>0</v>
      </c>
      <c r="U30" s="93">
        <v>0</v>
      </c>
      <c r="V30" s="93">
        <v>0</v>
      </c>
      <c r="W30" s="161">
        <v>0</v>
      </c>
      <c r="X30" s="93">
        <v>0</v>
      </c>
      <c r="Y30" s="93">
        <v>0</v>
      </c>
      <c r="Z30" s="161">
        <v>0</v>
      </c>
      <c r="AA30" s="93" t="str">
        <f ca="1"/>
        <v>Opp</v>
      </c>
      <c r="AB30" s="150" t="str">
        <f ca="1"/>
        <v>Date</v>
      </c>
      <c r="AC30"/>
    </row>
    <row r="31" spans="1:40" x14ac:dyDescent="0.15">
      <c r="G31"/>
      <c r="H31"/>
      <c r="I31"/>
      <c r="J31"/>
      <c r="K31" s="146" t="str">
        <f ca="1">OFFSET(Matches!$C$4,Partnerships!A31,0)</f>
        <v>Opp</v>
      </c>
      <c r="L31" s="147" t="str">
        <f ca="1">OFFSET(Matches!$B$4,Partnerships!A31,0)</f>
        <v>Date</v>
      </c>
      <c r="N31" s="177">
        <f t="shared" si="0"/>
        <v>9999995031</v>
      </c>
      <c r="O31" s="177">
        <v>30</v>
      </c>
      <c r="P31" s="177">
        <f t="shared" si="1"/>
        <v>30</v>
      </c>
      <c r="R31" s="93">
        <f t="array" ref="R31:AB31">INDEX($B$2:$L$40,P31,)</f>
        <v>0</v>
      </c>
      <c r="S31" s="93">
        <v>0</v>
      </c>
      <c r="T31" s="93">
        <v>0</v>
      </c>
      <c r="U31" s="93">
        <v>0</v>
      </c>
      <c r="V31" s="93">
        <v>0</v>
      </c>
      <c r="W31" s="161">
        <v>0</v>
      </c>
      <c r="X31" s="93">
        <v>0</v>
      </c>
      <c r="Y31" s="93">
        <v>0</v>
      </c>
      <c r="Z31" s="161">
        <v>0</v>
      </c>
      <c r="AA31" s="93" t="str">
        <f ca="1"/>
        <v>Opp</v>
      </c>
      <c r="AB31" s="150" t="str">
        <f ca="1"/>
        <v>Date</v>
      </c>
      <c r="AC31"/>
    </row>
    <row r="32" spans="1:40" x14ac:dyDescent="0.15">
      <c r="G32"/>
      <c r="H32"/>
      <c r="I32"/>
      <c r="J32"/>
      <c r="K32" s="146" t="str">
        <f ca="1">OFFSET(Matches!$C$4,Partnerships!A32,0)</f>
        <v>Opp</v>
      </c>
      <c r="L32" s="147" t="str">
        <f ca="1">OFFSET(Matches!$B$4,Partnerships!A32,0)</f>
        <v>Date</v>
      </c>
      <c r="N32" s="177">
        <f t="shared" si="0"/>
        <v>9999995032</v>
      </c>
      <c r="O32" s="177">
        <v>31</v>
      </c>
      <c r="P32" s="177">
        <f t="shared" si="1"/>
        <v>31</v>
      </c>
      <c r="R32" s="93">
        <f t="array" ref="R32:AB32">INDEX($B$2:$L$40,P32,)</f>
        <v>0</v>
      </c>
      <c r="S32" s="93">
        <v>0</v>
      </c>
      <c r="T32" s="93">
        <v>0</v>
      </c>
      <c r="U32" s="93">
        <v>0</v>
      </c>
      <c r="V32" s="93">
        <v>0</v>
      </c>
      <c r="W32" s="161">
        <v>0</v>
      </c>
      <c r="X32" s="93">
        <v>0</v>
      </c>
      <c r="Y32" s="93">
        <v>0</v>
      </c>
      <c r="Z32" s="161">
        <v>0</v>
      </c>
      <c r="AA32" s="93" t="str">
        <f ca="1"/>
        <v>Opp</v>
      </c>
      <c r="AB32" s="150" t="str">
        <f ca="1"/>
        <v>Date</v>
      </c>
      <c r="AC32"/>
    </row>
    <row r="33" spans="7:29" x14ac:dyDescent="0.15">
      <c r="G33"/>
      <c r="H33"/>
      <c r="I33"/>
      <c r="J33"/>
      <c r="K33" s="146" t="str">
        <f ca="1">OFFSET(Matches!$C$4,Partnerships!A33,0)</f>
        <v>Opp</v>
      </c>
      <c r="L33" s="147" t="str">
        <f ca="1">OFFSET(Matches!$B$4,Partnerships!A33,0)</f>
        <v>Date</v>
      </c>
      <c r="N33" s="177">
        <f t="shared" si="0"/>
        <v>9999995033</v>
      </c>
      <c r="O33" s="177">
        <v>32</v>
      </c>
      <c r="P33" s="177">
        <f t="shared" si="1"/>
        <v>32</v>
      </c>
      <c r="R33" s="93">
        <f t="array" ref="R33:AB33">INDEX($B$2:$L$40,P33,)</f>
        <v>0</v>
      </c>
      <c r="S33" s="93">
        <v>0</v>
      </c>
      <c r="T33" s="93">
        <v>0</v>
      </c>
      <c r="U33" s="93">
        <v>0</v>
      </c>
      <c r="V33" s="93">
        <v>0</v>
      </c>
      <c r="W33" s="161">
        <v>0</v>
      </c>
      <c r="X33" s="93">
        <v>0</v>
      </c>
      <c r="Y33" s="93">
        <v>0</v>
      </c>
      <c r="Z33" s="161">
        <v>0</v>
      </c>
      <c r="AA33" s="93" t="str">
        <f ca="1"/>
        <v>Opp</v>
      </c>
      <c r="AB33" s="150" t="str">
        <f ca="1"/>
        <v>Date</v>
      </c>
      <c r="AC33"/>
    </row>
    <row r="34" spans="7:29" x14ac:dyDescent="0.15">
      <c r="G34"/>
      <c r="H34"/>
      <c r="I34"/>
      <c r="J34"/>
      <c r="K34" s="146" t="str">
        <f ca="1">OFFSET(Matches!$C$4,Partnerships!A34,0)</f>
        <v>Opp</v>
      </c>
      <c r="L34" s="147" t="str">
        <f ca="1">OFFSET(Matches!$B$4,Partnerships!A34,0)</f>
        <v>Date</v>
      </c>
      <c r="N34" s="177">
        <f t="shared" si="0"/>
        <v>9999995034</v>
      </c>
      <c r="O34" s="177">
        <v>33</v>
      </c>
      <c r="P34" s="177">
        <f t="shared" si="1"/>
        <v>33</v>
      </c>
      <c r="R34" s="93">
        <f t="array" ref="R34:AB34">INDEX($B$2:$L$40,P34,)</f>
        <v>0</v>
      </c>
      <c r="S34" s="93">
        <v>0</v>
      </c>
      <c r="T34" s="93">
        <v>0</v>
      </c>
      <c r="U34" s="93">
        <v>0</v>
      </c>
      <c r="V34" s="93">
        <v>0</v>
      </c>
      <c r="W34" s="161">
        <v>0</v>
      </c>
      <c r="X34" s="93">
        <v>0</v>
      </c>
      <c r="Y34" s="93">
        <v>0</v>
      </c>
      <c r="Z34" s="161">
        <v>0</v>
      </c>
      <c r="AA34" s="93" t="str">
        <f ca="1"/>
        <v>Opp</v>
      </c>
      <c r="AB34" s="150" t="str">
        <f ca="1"/>
        <v>Date</v>
      </c>
      <c r="AC34"/>
    </row>
    <row r="35" spans="7:29" x14ac:dyDescent="0.15">
      <c r="G35"/>
      <c r="H35"/>
      <c r="I35"/>
      <c r="J35"/>
      <c r="K35" s="146" t="str">
        <f ca="1">OFFSET(Matches!$C$4,Partnerships!A35,0)</f>
        <v>Opp</v>
      </c>
      <c r="L35" s="147" t="str">
        <f ca="1">OFFSET(Matches!$B$4,Partnerships!A35,0)</f>
        <v>Date</v>
      </c>
      <c r="N35" s="177">
        <f t="shared" si="0"/>
        <v>9999995035</v>
      </c>
      <c r="O35" s="177">
        <v>34</v>
      </c>
      <c r="P35" s="177">
        <f t="shared" si="1"/>
        <v>34</v>
      </c>
      <c r="R35" s="93">
        <f t="array" ref="R35:AB35">INDEX($B$2:$L$40,P35,)</f>
        <v>0</v>
      </c>
      <c r="S35" s="93">
        <v>0</v>
      </c>
      <c r="T35" s="93">
        <v>0</v>
      </c>
      <c r="U35" s="93">
        <v>0</v>
      </c>
      <c r="V35" s="93">
        <v>0</v>
      </c>
      <c r="W35" s="161">
        <v>0</v>
      </c>
      <c r="X35" s="93">
        <v>0</v>
      </c>
      <c r="Y35" s="93">
        <v>0</v>
      </c>
      <c r="Z35" s="161">
        <v>0</v>
      </c>
      <c r="AA35" s="93" t="str">
        <f ca="1"/>
        <v>Opp</v>
      </c>
      <c r="AB35" s="150" t="str">
        <f ca="1"/>
        <v>Date</v>
      </c>
      <c r="AC35"/>
    </row>
    <row r="36" spans="7:29" x14ac:dyDescent="0.15">
      <c r="G36"/>
      <c r="H36"/>
      <c r="I36"/>
      <c r="J36"/>
      <c r="K36" s="146" t="str">
        <f ca="1">OFFSET(Matches!$C$4,Partnerships!A36,0)</f>
        <v>Opp</v>
      </c>
      <c r="L36" s="147" t="str">
        <f ca="1">OFFSET(Matches!$B$4,Partnerships!A36,0)</f>
        <v>Date</v>
      </c>
      <c r="N36" s="177">
        <f t="shared" si="0"/>
        <v>9999995036</v>
      </c>
      <c r="O36" s="177">
        <v>35</v>
      </c>
      <c r="P36" s="177">
        <f t="shared" si="1"/>
        <v>35</v>
      </c>
      <c r="R36" s="93">
        <f t="array" ref="R36:AB36">INDEX($B$2:$L$40,P36,)</f>
        <v>0</v>
      </c>
      <c r="S36" s="93">
        <v>0</v>
      </c>
      <c r="T36" s="93">
        <v>0</v>
      </c>
      <c r="U36" s="93">
        <v>0</v>
      </c>
      <c r="V36" s="93">
        <v>0</v>
      </c>
      <c r="W36" s="161">
        <v>0</v>
      </c>
      <c r="X36" s="93">
        <v>0</v>
      </c>
      <c r="Y36" s="93">
        <v>0</v>
      </c>
      <c r="Z36" s="161">
        <v>0</v>
      </c>
      <c r="AA36" s="93" t="str">
        <f ca="1"/>
        <v>Opp</v>
      </c>
      <c r="AB36" s="150" t="str">
        <f ca="1"/>
        <v>Date</v>
      </c>
      <c r="AC36"/>
    </row>
    <row r="37" spans="7:29" x14ac:dyDescent="0.15">
      <c r="G37"/>
      <c r="H37"/>
      <c r="I37"/>
      <c r="J37"/>
      <c r="K37" s="146" t="str">
        <f ca="1">OFFSET(Matches!$C$4,Partnerships!A37,0)</f>
        <v>Opp</v>
      </c>
      <c r="L37" s="147" t="str">
        <f ca="1">OFFSET(Matches!$B$4,Partnerships!A37,0)</f>
        <v>Date</v>
      </c>
      <c r="N37" s="177">
        <f t="shared" si="0"/>
        <v>9999995037</v>
      </c>
      <c r="O37" s="177">
        <v>36</v>
      </c>
      <c r="P37" s="177">
        <f t="shared" si="1"/>
        <v>36</v>
      </c>
      <c r="R37" s="93">
        <f t="array" ref="R37:AB37">INDEX($B$2:$L$40,P37,)</f>
        <v>0</v>
      </c>
      <c r="S37" s="93">
        <v>0</v>
      </c>
      <c r="T37" s="93">
        <v>0</v>
      </c>
      <c r="U37" s="93">
        <v>0</v>
      </c>
      <c r="V37" s="93">
        <v>0</v>
      </c>
      <c r="W37" s="161">
        <v>0</v>
      </c>
      <c r="X37" s="93">
        <v>0</v>
      </c>
      <c r="Y37" s="93">
        <v>0</v>
      </c>
      <c r="Z37" s="161">
        <v>0</v>
      </c>
      <c r="AA37" s="93" t="str">
        <f ca="1"/>
        <v>Opp</v>
      </c>
      <c r="AB37" s="150" t="str">
        <f ca="1"/>
        <v>Date</v>
      </c>
      <c r="AC37"/>
    </row>
    <row r="38" spans="7:29" x14ac:dyDescent="0.15">
      <c r="G38"/>
      <c r="H38"/>
      <c r="I38"/>
      <c r="J38"/>
      <c r="K38" s="146" t="str">
        <f ca="1">OFFSET(Matches!$C$4,Partnerships!A38,0)</f>
        <v>Opp</v>
      </c>
      <c r="L38" s="147" t="str">
        <f ca="1">OFFSET(Matches!$B$4,Partnerships!A38,0)</f>
        <v>Date</v>
      </c>
      <c r="N38" s="177">
        <f t="shared" si="0"/>
        <v>9999995038</v>
      </c>
      <c r="O38" s="177">
        <v>37</v>
      </c>
      <c r="P38" s="177">
        <f t="shared" si="1"/>
        <v>37</v>
      </c>
      <c r="R38" s="93">
        <f t="array" ref="R38:AB38">INDEX($B$2:$L$40,P38,)</f>
        <v>0</v>
      </c>
      <c r="S38" s="93">
        <v>0</v>
      </c>
      <c r="T38" s="93">
        <v>0</v>
      </c>
      <c r="U38" s="93">
        <v>0</v>
      </c>
      <c r="V38" s="93">
        <v>0</v>
      </c>
      <c r="W38" s="161">
        <v>0</v>
      </c>
      <c r="X38" s="93">
        <v>0</v>
      </c>
      <c r="Y38" s="93">
        <v>0</v>
      </c>
      <c r="Z38" s="161">
        <v>0</v>
      </c>
      <c r="AA38" s="93" t="str">
        <f ca="1"/>
        <v>Opp</v>
      </c>
      <c r="AB38" s="150" t="str">
        <f ca="1"/>
        <v>Date</v>
      </c>
      <c r="AC38"/>
    </row>
    <row r="39" spans="7:29" x14ac:dyDescent="0.15">
      <c r="G39"/>
      <c r="H39"/>
      <c r="I39"/>
      <c r="J39"/>
      <c r="K39" s="146" t="str">
        <f ca="1">OFFSET(Matches!$C$4,Partnerships!A39,0)</f>
        <v>Opp</v>
      </c>
      <c r="L39" s="147" t="str">
        <f ca="1">OFFSET(Matches!$B$4,Partnerships!A39,0)</f>
        <v>Date</v>
      </c>
      <c r="N39" s="177">
        <f t="shared" si="0"/>
        <v>9999995039</v>
      </c>
      <c r="O39" s="177">
        <v>38</v>
      </c>
      <c r="P39" s="177">
        <f t="shared" si="1"/>
        <v>38</v>
      </c>
      <c r="R39" s="93">
        <f t="array" ref="R39:AB39">INDEX($B$2:$L$40,P39,)</f>
        <v>0</v>
      </c>
      <c r="S39" s="93">
        <v>0</v>
      </c>
      <c r="T39" s="93">
        <v>0</v>
      </c>
      <c r="U39" s="93">
        <v>0</v>
      </c>
      <c r="V39" s="93">
        <v>0</v>
      </c>
      <c r="W39" s="161">
        <v>0</v>
      </c>
      <c r="X39" s="93">
        <v>0</v>
      </c>
      <c r="Y39" s="93">
        <v>0</v>
      </c>
      <c r="Z39" s="161">
        <v>0</v>
      </c>
      <c r="AA39" s="93" t="str">
        <f ca="1"/>
        <v>Opp</v>
      </c>
      <c r="AB39" s="150" t="str">
        <f ca="1"/>
        <v>Date</v>
      </c>
      <c r="AC39"/>
    </row>
    <row r="40" spans="7:29" x14ac:dyDescent="0.15">
      <c r="H40"/>
      <c r="I40"/>
      <c r="J40"/>
      <c r="K40" s="146" t="str">
        <f ca="1">OFFSET(Matches!$C$4,Partnerships!A40,0)</f>
        <v>Opp</v>
      </c>
      <c r="L40" s="147" t="str">
        <f ca="1">OFFSET(Matches!$B$4,Partnerships!A40,0)</f>
        <v>Date</v>
      </c>
      <c r="N40" s="177">
        <f t="shared" si="0"/>
        <v>9999995040</v>
      </c>
      <c r="O40" s="177">
        <v>39</v>
      </c>
      <c r="P40" s="177">
        <f t="shared" si="1"/>
        <v>39</v>
      </c>
      <c r="R40" s="93">
        <f t="array" ref="R40:AB40">INDEX($B$2:$L$40,P40,)</f>
        <v>0</v>
      </c>
      <c r="S40" s="93">
        <v>0</v>
      </c>
      <c r="T40" s="93">
        <v>0</v>
      </c>
      <c r="U40" s="93">
        <v>0</v>
      </c>
      <c r="V40" s="93">
        <v>0</v>
      </c>
      <c r="W40" s="161">
        <v>0</v>
      </c>
      <c r="X40" s="93">
        <v>0</v>
      </c>
      <c r="Y40" s="93">
        <v>0</v>
      </c>
      <c r="Z40" s="161">
        <v>0</v>
      </c>
      <c r="AA40" s="93" t="str">
        <f ca="1"/>
        <v>Opp</v>
      </c>
      <c r="AB40" s="150" t="str">
        <f ca="1"/>
        <v>Date</v>
      </c>
      <c r="AC40"/>
    </row>
    <row r="41" spans="7:29" x14ac:dyDescent="0.15">
      <c r="H41"/>
      <c r="I41"/>
      <c r="J41"/>
      <c r="X41"/>
      <c r="Y41"/>
      <c r="Z41" s="162"/>
      <c r="AA41" s="153"/>
      <c r="AB41"/>
      <c r="AC41"/>
    </row>
    <row r="42" spans="7:29" x14ac:dyDescent="0.15">
      <c r="H42"/>
      <c r="I42"/>
      <c r="J42"/>
      <c r="W42" s="162"/>
      <c r="X42"/>
      <c r="Y42"/>
      <c r="Z42" s="162"/>
      <c r="AA42"/>
      <c r="AB42"/>
      <c r="AC42"/>
    </row>
    <row r="43" spans="7:29" x14ac:dyDescent="0.15">
      <c r="H43"/>
      <c r="I43"/>
      <c r="J43"/>
      <c r="W43" s="162"/>
      <c r="X43"/>
      <c r="Y43"/>
      <c r="Z43" s="162"/>
      <c r="AA43"/>
      <c r="AB43"/>
      <c r="AC43"/>
    </row>
    <row r="44" spans="7:29" x14ac:dyDescent="0.15">
      <c r="H44"/>
      <c r="I44"/>
      <c r="J44"/>
      <c r="W44" s="162"/>
      <c r="X44"/>
      <c r="Y44"/>
      <c r="Z44" s="162"/>
      <c r="AA44"/>
      <c r="AB44"/>
      <c r="AC44"/>
    </row>
    <row r="45" spans="7:29" x14ac:dyDescent="0.15">
      <c r="W45" s="162"/>
      <c r="X45"/>
      <c r="Y45"/>
      <c r="Z45" s="162"/>
      <c r="AA45"/>
      <c r="AB45"/>
      <c r="AC45"/>
    </row>
    <row r="46" spans="7:29" x14ac:dyDescent="0.15">
      <c r="W46" s="162"/>
      <c r="X46"/>
      <c r="Y46"/>
      <c r="Z46" s="162"/>
    </row>
    <row r="47" spans="7:29" x14ac:dyDescent="0.15">
      <c r="W47" s="162"/>
    </row>
    <row r="48" spans="7:29" x14ac:dyDescent="0.15">
      <c r="W48" s="162"/>
    </row>
    <row r="49" spans="23:23" x14ac:dyDescent="0.15">
      <c r="W49" s="162"/>
    </row>
    <row r="50" spans="23:23" x14ac:dyDescent="0.15">
      <c r="W50" s="162"/>
    </row>
    <row r="51" spans="23:23" x14ac:dyDescent="0.15">
      <c r="W51" s="162"/>
    </row>
    <row r="52" spans="23:23" x14ac:dyDescent="0.15">
      <c r="W52" s="162"/>
    </row>
    <row r="53" spans="23:23" x14ac:dyDescent="0.15">
      <c r="W53" s="162"/>
    </row>
    <row r="54" spans="23:23" x14ac:dyDescent="0.15">
      <c r="W54" s="162"/>
    </row>
    <row r="55" spans="23:23" x14ac:dyDescent="0.15">
      <c r="W55" s="162"/>
    </row>
    <row r="56" spans="23:23" x14ac:dyDescent="0.15">
      <c r="W56" s="162"/>
    </row>
    <row r="57" spans="23:23" x14ac:dyDescent="0.15">
      <c r="W57" s="162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W82"/>
  <sheetViews>
    <sheetView workbookViewId="0">
      <selection activeCell="L2" sqref="L2:L37"/>
    </sheetView>
  </sheetViews>
  <sheetFormatPr defaultRowHeight="10.5" x14ac:dyDescent="0.15"/>
  <cols>
    <col min="1" max="1" width="17.28515625" style="59" bestFit="1" customWidth="1"/>
    <col min="2" max="2" width="15.5703125" style="59" customWidth="1"/>
    <col min="3" max="3" width="7.5703125" style="63" bestFit="1" customWidth="1"/>
    <col min="4" max="4" width="5.28515625" style="63" bestFit="1" customWidth="1"/>
    <col min="5" max="5" width="7.140625" style="63" bestFit="1" customWidth="1"/>
    <col min="6" max="7" width="5.28515625" style="63" bestFit="1" customWidth="1"/>
    <col min="8" max="8" width="8.85546875" style="68" bestFit="1" customWidth="1"/>
    <col min="9" max="9" width="5.28515625" style="59" bestFit="1" customWidth="1"/>
    <col min="10" max="11" width="9.140625" style="59"/>
    <col min="12" max="12" width="21.5703125" style="59" bestFit="1" customWidth="1"/>
    <col min="13" max="13" width="9.140625" style="59"/>
    <col min="14" max="14" width="12.7109375" style="108" bestFit="1" customWidth="1"/>
    <col min="15" max="15" width="13.140625" style="110" bestFit="1" customWidth="1"/>
    <col min="16" max="16" width="4.5703125" style="108" bestFit="1" customWidth="1"/>
    <col min="17" max="17" width="7.140625" style="108" bestFit="1" customWidth="1"/>
    <col min="18" max="18" width="5" style="111" bestFit="1" customWidth="1"/>
    <col min="19" max="19" width="5" style="108" bestFit="1" customWidth="1"/>
    <col min="20" max="20" width="8.85546875" style="109" bestFit="1" customWidth="1"/>
    <col min="21" max="21" width="9.140625" style="59"/>
    <col min="22" max="22" width="19.5703125" style="59" bestFit="1" customWidth="1"/>
    <col min="23" max="16384" width="9.140625" style="59"/>
  </cols>
  <sheetData>
    <row r="1" spans="1:23" ht="12.75" x14ac:dyDescent="0.15">
      <c r="A1" s="52" t="s">
        <v>130</v>
      </c>
      <c r="C1" s="63" t="s">
        <v>5</v>
      </c>
      <c r="D1" s="63" t="s">
        <v>7</v>
      </c>
      <c r="E1" s="63" t="s">
        <v>8</v>
      </c>
      <c r="F1" s="63" t="s">
        <v>131</v>
      </c>
      <c r="G1" s="63" t="s">
        <v>9</v>
      </c>
      <c r="H1" s="68" t="s">
        <v>10</v>
      </c>
      <c r="J1" s="63"/>
      <c r="L1" t="s">
        <v>237</v>
      </c>
      <c r="M1" s="59">
        <f t="array" aca="1" ref="M1" ca="1">SUM(IF(NOT(ISNA(B2:B60)),1,0))</f>
        <v>58</v>
      </c>
      <c r="N1" s="112"/>
      <c r="O1" s="115" t="s">
        <v>76</v>
      </c>
      <c r="P1" s="113" t="s">
        <v>7</v>
      </c>
      <c r="Q1" s="113" t="s">
        <v>202</v>
      </c>
      <c r="R1" s="113" t="s">
        <v>131</v>
      </c>
      <c r="S1" s="113" t="s">
        <v>9</v>
      </c>
      <c r="T1" s="113" t="s">
        <v>33</v>
      </c>
      <c r="V1" t="s">
        <v>332</v>
      </c>
      <c r="W1" s="59">
        <f ca="1">COUNT(C:C)</f>
        <v>58</v>
      </c>
    </row>
    <row r="2" spans="1:23" ht="12.75" x14ac:dyDescent="0.15">
      <c r="A2" s="59">
        <v>1</v>
      </c>
      <c r="B2" s="59" t="str">
        <f ca="1">OFFSET(Batting!$C$4,BatAves!$I2,0)</f>
        <v>Ahmed R</v>
      </c>
      <c r="C2" s="63">
        <f ca="1">OFFSET(Batting!$AK$4,BatAves!$I2,0)</f>
        <v>2</v>
      </c>
      <c r="D2" s="63">
        <f ca="1">OFFSET(Batting!$AM$4,BatAves!$I2,0)</f>
        <v>2</v>
      </c>
      <c r="E2" s="63">
        <f ca="1">OFFSET(Batting!$AN$4,BatAves!$I2,0)</f>
        <v>0</v>
      </c>
      <c r="F2" s="63">
        <f ca="1">OFFSET(Batting!$AP$4,BatAves!$I2,0)</f>
        <v>90</v>
      </c>
      <c r="G2" s="63">
        <f ca="1">OFFSET(Batting!$AQ$4,BatAves!$I2,0)</f>
        <v>176</v>
      </c>
      <c r="H2" s="67">
        <f ca="1">OFFSET(Batting!$AR$4,BatAves!$I2,0)</f>
        <v>88</v>
      </c>
      <c r="I2" s="59">
        <f>MATCH(A2,Batting!$BM$5:$BM$62,0)</f>
        <v>2</v>
      </c>
      <c r="J2" s="59">
        <f t="shared" ref="J2:J33" ca="1" si="0">IF(D2&gt;=5,A2,1000+A2)</f>
        <v>1001</v>
      </c>
      <c r="K2" s="59">
        <f ca="1">RANK(J2,OFFSET($J$2,0,0,$M$1,1),-1)</f>
        <v>16</v>
      </c>
      <c r="L2" s="59" t="str">
        <f t="shared" ref="L2:L33" ca="1" si="1">IF(D2&lt;5,B2&amp;" "&amp;D2&amp;"-"&amp;E2&amp;"-"&amp;F2&amp;"-"&amp;G2,"")</f>
        <v>Ahmed R 2-0-90-176</v>
      </c>
      <c r="M2" s="59">
        <f ca="1">MATCH(N2,OFFSET($K$2,0,0,$M$1,1),0)</f>
        <v>4</v>
      </c>
      <c r="N2" s="112">
        <v>1</v>
      </c>
      <c r="O2" s="112" t="str">
        <f t="shared" ref="O2:O43" ca="1" si="2">OFFSET(B$1,$M2,0)</f>
        <v>Seymour D</v>
      </c>
      <c r="P2" s="112">
        <f t="shared" ref="P2:P43" ca="1" si="3">OFFSET(D$1,$M2,0)</f>
        <v>7</v>
      </c>
      <c r="Q2" s="112">
        <f t="shared" ref="Q2:Q43" ca="1" si="4">OFFSET(E$1,$M2,0)</f>
        <v>2</v>
      </c>
      <c r="R2" s="112" t="str">
        <f t="shared" ref="R2:R43" ca="1" si="5">OFFSET(F$1,$M2,0)</f>
        <v>114*</v>
      </c>
      <c r="S2" s="112">
        <f t="shared" ref="S2:S43" ca="1" si="6">OFFSET(G$1,$M2,0)</f>
        <v>213</v>
      </c>
      <c r="T2" s="114">
        <f t="shared" ref="T2:T43" ca="1" si="7">OFFSET(H$1,$M2,0)</f>
        <v>42.6</v>
      </c>
      <c r="U2" s="63"/>
      <c r="V2" t="s">
        <v>333</v>
      </c>
      <c r="W2" s="59">
        <f ca="1">SUMPRODUCT(--(OFFSET(C2,0,0,W1,1)&gt;0))</f>
        <v>40</v>
      </c>
    </row>
    <row r="3" spans="1:23" ht="12.75" x14ac:dyDescent="0.15">
      <c r="A3" s="59">
        <v>2</v>
      </c>
      <c r="B3" s="59" t="str">
        <f ca="1">OFFSET(Batting!$C$4,BatAves!$I3,0)</f>
        <v>Stevenson R</v>
      </c>
      <c r="C3" s="63">
        <f ca="1">OFFSET(Batting!$AK$4,BatAves!$I3,0)</f>
        <v>1</v>
      </c>
      <c r="D3" s="63">
        <f ca="1">OFFSET(Batting!$AM$4,BatAves!$I3,0)</f>
        <v>1</v>
      </c>
      <c r="E3" s="63">
        <f ca="1">OFFSET(Batting!$AN$4,BatAves!$I3,0)</f>
        <v>0</v>
      </c>
      <c r="F3" s="63">
        <f ca="1">OFFSET(Batting!$AP$4,BatAves!$I3,0)</f>
        <v>67</v>
      </c>
      <c r="G3" s="63">
        <f ca="1">OFFSET(Batting!$AQ$4,BatAves!$I3,0)</f>
        <v>67</v>
      </c>
      <c r="H3" s="67">
        <f ca="1">OFFSET(Batting!$AR$4,BatAves!$I3,0)</f>
        <v>67</v>
      </c>
      <c r="I3" s="59">
        <f>MATCH(A3,Batting!$BM$5:$BM$62,0)</f>
        <v>51</v>
      </c>
      <c r="J3" s="59">
        <f t="shared" ca="1" si="0"/>
        <v>1002</v>
      </c>
      <c r="K3" s="59">
        <f t="shared" ref="K3:K60" ca="1" si="8">RANK(J3,OFFSET($J$2,0,0,$M$1,1),-1)</f>
        <v>17</v>
      </c>
      <c r="L3" s="59" t="str">
        <f t="shared" ca="1" si="1"/>
        <v>Stevenson R 1-0-67-67</v>
      </c>
      <c r="M3" s="59">
        <f ca="1">MATCH(N3,OFFSET($K$2,0,0,$M$1,1),0)</f>
        <v>6</v>
      </c>
      <c r="N3" s="112">
        <v>2</v>
      </c>
      <c r="O3" s="112" t="str">
        <f t="shared" ca="1" si="2"/>
        <v>Sharpe D</v>
      </c>
      <c r="P3" s="112">
        <f t="shared" ca="1" si="3"/>
        <v>10</v>
      </c>
      <c r="Q3" s="112">
        <f t="shared" ca="1" si="4"/>
        <v>1</v>
      </c>
      <c r="R3" s="112">
        <f t="shared" ca="1" si="5"/>
        <v>86</v>
      </c>
      <c r="S3" s="112">
        <f t="shared" ca="1" si="6"/>
        <v>309</v>
      </c>
      <c r="T3" s="114">
        <f t="shared" ca="1" si="7"/>
        <v>34.333333333333336</v>
      </c>
      <c r="V3" t="s">
        <v>331</v>
      </c>
      <c r="W3" s="59">
        <f ca="1">SUMPRODUCT(--(OFFSET(D2,0,0,W2,1)&gt;=5))</f>
        <v>15</v>
      </c>
    </row>
    <row r="4" spans="1:23" ht="12.75" x14ac:dyDescent="0.15">
      <c r="A4" s="59">
        <v>3</v>
      </c>
      <c r="B4" s="59" t="str">
        <f ca="1">OFFSET(Batting!$C$4,BatAves!$I4,0)</f>
        <v>Mahmood S</v>
      </c>
      <c r="C4" s="63">
        <f ca="1">OFFSET(Batting!$AK$4,BatAves!$I4,0)</f>
        <v>1</v>
      </c>
      <c r="D4" s="63">
        <f ca="1">OFFSET(Batting!$AM$4,BatAves!$I4,0)</f>
        <v>1</v>
      </c>
      <c r="E4" s="63">
        <f ca="1">OFFSET(Batting!$AN$4,BatAves!$I4,0)</f>
        <v>0</v>
      </c>
      <c r="F4" s="63">
        <f ca="1">OFFSET(Batting!$AP$4,BatAves!$I4,0)</f>
        <v>47</v>
      </c>
      <c r="G4" s="63">
        <f ca="1">OFFSET(Batting!$AQ$4,BatAves!$I4,0)</f>
        <v>47</v>
      </c>
      <c r="H4" s="67">
        <f ca="1">OFFSET(Batting!$AR$4,BatAves!$I4,0)</f>
        <v>47</v>
      </c>
      <c r="I4" s="59">
        <f>MATCH(A4,Batting!$BM$5:$BM$62,0)</f>
        <v>24</v>
      </c>
      <c r="J4" s="59">
        <f t="shared" ca="1" si="0"/>
        <v>1003</v>
      </c>
      <c r="K4" s="59">
        <f t="shared" ca="1" si="8"/>
        <v>18</v>
      </c>
      <c r="L4" s="59" t="str">
        <f t="shared" ca="1" si="1"/>
        <v>Mahmood S 1-0-47-47</v>
      </c>
      <c r="M4" s="59">
        <f t="shared" ref="M4:M43" ca="1" si="9">MATCH(N4,OFFSET($K$2,0,0,$M$1,1),0)</f>
        <v>7</v>
      </c>
      <c r="N4" s="112">
        <v>3</v>
      </c>
      <c r="O4" s="112" t="str">
        <f t="shared" ca="1" si="2"/>
        <v>Patel J</v>
      </c>
      <c r="P4" s="112">
        <f t="shared" ca="1" si="3"/>
        <v>7</v>
      </c>
      <c r="Q4" s="112">
        <f t="shared" ca="1" si="4"/>
        <v>0</v>
      </c>
      <c r="R4" s="112">
        <f t="shared" ca="1" si="5"/>
        <v>66</v>
      </c>
      <c r="S4" s="112">
        <f t="shared" ca="1" si="6"/>
        <v>237</v>
      </c>
      <c r="T4" s="114">
        <f t="shared" ca="1" si="7"/>
        <v>33.857142857142854</v>
      </c>
      <c r="V4" s="59" t="s">
        <v>194</v>
      </c>
      <c r="W4" s="59" t="s">
        <v>194</v>
      </c>
    </row>
    <row r="5" spans="1:23" ht="12.75" x14ac:dyDescent="0.15">
      <c r="A5" s="59">
        <v>4</v>
      </c>
      <c r="B5" s="59" t="str">
        <f ca="1">OFFSET(Batting!$C$4,BatAves!$I5,0)</f>
        <v>Seymour D</v>
      </c>
      <c r="C5" s="63">
        <f ca="1">OFFSET(Batting!$AK$4,BatAves!$I5,0)</f>
        <v>7</v>
      </c>
      <c r="D5" s="63">
        <f ca="1">OFFSET(Batting!$AM$4,BatAves!$I5,0)</f>
        <v>7</v>
      </c>
      <c r="E5" s="63">
        <f ca="1">OFFSET(Batting!$AN$4,BatAves!$I5,0)</f>
        <v>2</v>
      </c>
      <c r="F5" s="63" t="str">
        <f ca="1">OFFSET(Batting!$AP$4,BatAves!$I5,0)</f>
        <v>114*</v>
      </c>
      <c r="G5" s="63">
        <f ca="1">OFFSET(Batting!$AQ$4,BatAves!$I5,0)</f>
        <v>213</v>
      </c>
      <c r="H5" s="67">
        <f ca="1">OFFSET(Batting!$AR$4,BatAves!$I5,0)</f>
        <v>42.6</v>
      </c>
      <c r="I5" s="59">
        <f>MATCH(A5,Batting!$BM$5:$BM$62,0)</f>
        <v>45</v>
      </c>
      <c r="J5" s="59">
        <f t="shared" ca="1" si="0"/>
        <v>4</v>
      </c>
      <c r="K5" s="59">
        <f t="shared" ca="1" si="8"/>
        <v>1</v>
      </c>
      <c r="L5" s="59" t="str">
        <f t="shared" ca="1" si="1"/>
        <v/>
      </c>
      <c r="M5" s="59">
        <f t="shared" ca="1" si="9"/>
        <v>9</v>
      </c>
      <c r="N5" s="112">
        <v>4</v>
      </c>
      <c r="O5" s="112" t="str">
        <f t="shared" ca="1" si="2"/>
        <v>De S</v>
      </c>
      <c r="P5" s="112">
        <f t="shared" ca="1" si="3"/>
        <v>10</v>
      </c>
      <c r="Q5" s="112">
        <f t="shared" ca="1" si="4"/>
        <v>2</v>
      </c>
      <c r="R5" s="112">
        <f t="shared" ca="1" si="5"/>
        <v>84</v>
      </c>
      <c r="S5" s="112">
        <f t="shared" ca="1" si="6"/>
        <v>237</v>
      </c>
      <c r="T5" s="114">
        <f t="shared" ca="1" si="7"/>
        <v>29.625</v>
      </c>
      <c r="V5" s="59" t="s">
        <v>194</v>
      </c>
      <c r="W5" s="59" t="s">
        <v>194</v>
      </c>
    </row>
    <row r="6" spans="1:23" ht="12.75" x14ac:dyDescent="0.15">
      <c r="A6" s="59">
        <v>5</v>
      </c>
      <c r="B6" s="59" t="str">
        <f ca="1">OFFSET(Batting!$C$4,BatAves!$I6,0)</f>
        <v>Niran S</v>
      </c>
      <c r="C6" s="63">
        <f ca="1">OFFSET(Batting!$AK$4,BatAves!$I6,0)</f>
        <v>4</v>
      </c>
      <c r="D6" s="63">
        <f ca="1">OFFSET(Batting!$AM$4,BatAves!$I6,0)</f>
        <v>4</v>
      </c>
      <c r="E6" s="63">
        <f ca="1">OFFSET(Batting!$AN$4,BatAves!$I6,0)</f>
        <v>0</v>
      </c>
      <c r="F6" s="63">
        <f ca="1">OFFSET(Batting!$AP$4,BatAves!$I6,0)</f>
        <v>49</v>
      </c>
      <c r="G6" s="63">
        <f ca="1">OFFSET(Batting!$AQ$4,BatAves!$I6,0)</f>
        <v>142</v>
      </c>
      <c r="H6" s="67">
        <f ca="1">OFFSET(Batting!$AR$4,BatAves!$I6,0)</f>
        <v>35.5</v>
      </c>
      <c r="I6" s="59">
        <f>MATCH(A6,Batting!$BM$5:$BM$62,0)</f>
        <v>31</v>
      </c>
      <c r="J6" s="59">
        <f t="shared" ca="1" si="0"/>
        <v>1005</v>
      </c>
      <c r="K6" s="59">
        <f t="shared" ca="1" si="8"/>
        <v>19</v>
      </c>
      <c r="L6" s="59" t="str">
        <f t="shared" ca="1" si="1"/>
        <v>Niran S 4-0-49-142</v>
      </c>
      <c r="M6" s="59">
        <f t="shared" ca="1" si="9"/>
        <v>10</v>
      </c>
      <c r="N6" s="112">
        <v>5</v>
      </c>
      <c r="O6" s="112" t="str">
        <f t="shared" ca="1" si="2"/>
        <v>Mander A</v>
      </c>
      <c r="P6" s="112">
        <f t="shared" ca="1" si="3"/>
        <v>6</v>
      </c>
      <c r="Q6" s="112">
        <f t="shared" ca="1" si="4"/>
        <v>5</v>
      </c>
      <c r="R6" s="112">
        <f t="shared" ca="1" si="5"/>
        <v>14</v>
      </c>
      <c r="S6" s="112">
        <f t="shared" ca="1" si="6"/>
        <v>26</v>
      </c>
      <c r="T6" s="114">
        <f t="shared" ca="1" si="7"/>
        <v>26</v>
      </c>
      <c r="V6" s="59" t="s">
        <v>194</v>
      </c>
      <c r="W6" s="59" t="s">
        <v>194</v>
      </c>
    </row>
    <row r="7" spans="1:23" ht="12.75" x14ac:dyDescent="0.15">
      <c r="A7" s="59">
        <v>6</v>
      </c>
      <c r="B7" s="59" t="str">
        <f ca="1">OFFSET(Batting!$C$4,BatAves!$I7,0)</f>
        <v>Sharpe D</v>
      </c>
      <c r="C7" s="63">
        <f ca="1">OFFSET(Batting!$AK$4,BatAves!$I7,0)</f>
        <v>10</v>
      </c>
      <c r="D7" s="63">
        <f ca="1">OFFSET(Batting!$AM$4,BatAves!$I7,0)</f>
        <v>10</v>
      </c>
      <c r="E7" s="63">
        <f ca="1">OFFSET(Batting!$AN$4,BatAves!$I7,0)</f>
        <v>1</v>
      </c>
      <c r="F7" s="63">
        <f ca="1">OFFSET(Batting!$AP$4,BatAves!$I7,0)</f>
        <v>86</v>
      </c>
      <c r="G7" s="63">
        <f ca="1">OFFSET(Batting!$AQ$4,BatAves!$I7,0)</f>
        <v>309</v>
      </c>
      <c r="H7" s="67">
        <f ca="1">OFFSET(Batting!$AR$4,BatAves!$I7,0)</f>
        <v>34.333333333333336</v>
      </c>
      <c r="I7" s="59">
        <f>MATCH(A7,Batting!$BM$5:$BM$62,0)</f>
        <v>46</v>
      </c>
      <c r="J7" s="59">
        <f t="shared" ca="1" si="0"/>
        <v>6</v>
      </c>
      <c r="K7" s="59">
        <f t="shared" ca="1" si="8"/>
        <v>2</v>
      </c>
      <c r="L7" s="59" t="str">
        <f t="shared" ca="1" si="1"/>
        <v/>
      </c>
      <c r="M7" s="59">
        <f t="shared" ca="1" si="9"/>
        <v>12</v>
      </c>
      <c r="N7" s="112">
        <v>6</v>
      </c>
      <c r="O7" s="112" t="str">
        <f t="shared" ca="1" si="2"/>
        <v>Seymour C</v>
      </c>
      <c r="P7" s="112">
        <f t="shared" ca="1" si="3"/>
        <v>20</v>
      </c>
      <c r="Q7" s="112">
        <f t="shared" ca="1" si="4"/>
        <v>1</v>
      </c>
      <c r="R7" s="112">
        <f t="shared" ca="1" si="5"/>
        <v>70</v>
      </c>
      <c r="S7" s="112">
        <f t="shared" ca="1" si="6"/>
        <v>397</v>
      </c>
      <c r="T7" s="114">
        <f t="shared" ca="1" si="7"/>
        <v>20.894736842105264</v>
      </c>
      <c r="V7" s="59" t="s">
        <v>194</v>
      </c>
      <c r="W7" s="59" t="s">
        <v>194</v>
      </c>
    </row>
    <row r="8" spans="1:23" ht="12.75" x14ac:dyDescent="0.15">
      <c r="A8" s="59">
        <v>7</v>
      </c>
      <c r="B8" s="59" t="str">
        <f ca="1">OFFSET(Batting!$C$4,BatAves!$I8,0)</f>
        <v>Patel J</v>
      </c>
      <c r="C8" s="63">
        <f ca="1">OFFSET(Batting!$AK$4,BatAves!$I8,0)</f>
        <v>8</v>
      </c>
      <c r="D8" s="63">
        <f ca="1">OFFSET(Batting!$AM$4,BatAves!$I8,0)</f>
        <v>7</v>
      </c>
      <c r="E8" s="63">
        <f ca="1">OFFSET(Batting!$AN$4,BatAves!$I8,0)</f>
        <v>0</v>
      </c>
      <c r="F8" s="63">
        <f ca="1">OFFSET(Batting!$AP$4,BatAves!$I8,0)</f>
        <v>66</v>
      </c>
      <c r="G8" s="63">
        <f ca="1">OFFSET(Batting!$AQ$4,BatAves!$I8,0)</f>
        <v>237</v>
      </c>
      <c r="H8" s="67">
        <f ca="1">OFFSET(Batting!$AR$4,BatAves!$I8,0)</f>
        <v>33.857142857142854</v>
      </c>
      <c r="I8" s="59">
        <f>MATCH(A8,Batting!$BM$5:$BM$62,0)</f>
        <v>34</v>
      </c>
      <c r="J8" s="59">
        <f t="shared" ca="1" si="0"/>
        <v>7</v>
      </c>
      <c r="K8" s="59">
        <f t="shared" ca="1" si="8"/>
        <v>3</v>
      </c>
      <c r="L8" s="59" t="str">
        <f t="shared" ca="1" si="1"/>
        <v/>
      </c>
      <c r="M8" s="59">
        <f t="shared" ca="1" si="9"/>
        <v>13</v>
      </c>
      <c r="N8" s="112">
        <v>7</v>
      </c>
      <c r="O8" s="112" t="str">
        <f t="shared" ca="1" si="2"/>
        <v>Springer T</v>
      </c>
      <c r="P8" s="112">
        <f t="shared" ca="1" si="3"/>
        <v>17</v>
      </c>
      <c r="Q8" s="112">
        <f t="shared" ca="1" si="4"/>
        <v>2</v>
      </c>
      <c r="R8" s="112">
        <f t="shared" ca="1" si="5"/>
        <v>64</v>
      </c>
      <c r="S8" s="112">
        <f t="shared" ca="1" si="6"/>
        <v>304</v>
      </c>
      <c r="T8" s="114">
        <f t="shared" ca="1" si="7"/>
        <v>20.266666666666666</v>
      </c>
      <c r="V8" s="93" t="s">
        <v>194</v>
      </c>
      <c r="W8" s="59" t="s">
        <v>194</v>
      </c>
    </row>
    <row r="9" spans="1:23" ht="12.75" x14ac:dyDescent="0.15">
      <c r="A9" s="59">
        <v>8</v>
      </c>
      <c r="B9" s="59" t="str">
        <f ca="1">OFFSET(Batting!$C$4,BatAves!$I9,0)</f>
        <v>Crone W</v>
      </c>
      <c r="C9" s="63">
        <f ca="1">OFFSET(Batting!$AK$4,BatAves!$I9,0)</f>
        <v>2</v>
      </c>
      <c r="D9" s="63">
        <f ca="1">OFFSET(Batting!$AM$4,BatAves!$I9,0)</f>
        <v>2</v>
      </c>
      <c r="E9" s="63">
        <f ca="1">OFFSET(Batting!$AN$4,BatAves!$I9,0)</f>
        <v>0</v>
      </c>
      <c r="F9" s="63">
        <f ca="1">OFFSET(Batting!$AP$4,BatAves!$I9,0)</f>
        <v>45</v>
      </c>
      <c r="G9" s="63">
        <f ca="1">OFFSET(Batting!$AQ$4,BatAves!$I9,0)</f>
        <v>62</v>
      </c>
      <c r="H9" s="67">
        <f ca="1">OFFSET(Batting!$AR$4,BatAves!$I9,0)</f>
        <v>31</v>
      </c>
      <c r="I9" s="59">
        <f>MATCH(A9,Batting!$BM$5:$BM$62,0)</f>
        <v>7</v>
      </c>
      <c r="J9" s="59">
        <f t="shared" ca="1" si="0"/>
        <v>1008</v>
      </c>
      <c r="K9" s="59">
        <f t="shared" ca="1" si="8"/>
        <v>20</v>
      </c>
      <c r="L9" s="59" t="str">
        <f t="shared" ca="1" si="1"/>
        <v>Crone W 2-0-45-62</v>
      </c>
      <c r="M9" s="59">
        <f t="shared" ca="1" si="9"/>
        <v>15</v>
      </c>
      <c r="N9" s="112">
        <v>8</v>
      </c>
      <c r="O9" s="112" t="str">
        <f t="shared" ca="1" si="2"/>
        <v>Bhatt P</v>
      </c>
      <c r="P9" s="112">
        <f t="shared" ca="1" si="3"/>
        <v>12</v>
      </c>
      <c r="Q9" s="112">
        <f t="shared" ca="1" si="4"/>
        <v>2</v>
      </c>
      <c r="R9" s="112" t="str">
        <f t="shared" ca="1" si="5"/>
        <v>43*</v>
      </c>
      <c r="S9" s="112">
        <f t="shared" ca="1" si="6"/>
        <v>189</v>
      </c>
      <c r="T9" s="114">
        <f t="shared" ca="1" si="7"/>
        <v>18.899999999999999</v>
      </c>
      <c r="V9" s="93" t="s">
        <v>194</v>
      </c>
      <c r="W9" s="59" t="s">
        <v>194</v>
      </c>
    </row>
    <row r="10" spans="1:23" ht="12.75" x14ac:dyDescent="0.15">
      <c r="A10" s="59">
        <v>9</v>
      </c>
      <c r="B10" s="59" t="str">
        <f ca="1">OFFSET(Batting!$C$4,BatAves!$I10,0)</f>
        <v>De S</v>
      </c>
      <c r="C10" s="63">
        <f ca="1">OFFSET(Batting!$AK$4,BatAves!$I10,0)</f>
        <v>12</v>
      </c>
      <c r="D10" s="63">
        <f ca="1">OFFSET(Batting!$AM$4,BatAves!$I10,0)</f>
        <v>10</v>
      </c>
      <c r="E10" s="63">
        <f ca="1">OFFSET(Batting!$AN$4,BatAves!$I10,0)</f>
        <v>2</v>
      </c>
      <c r="F10" s="63">
        <f ca="1">OFFSET(Batting!$AP$4,BatAves!$I10,0)</f>
        <v>84</v>
      </c>
      <c r="G10" s="63">
        <f ca="1">OFFSET(Batting!$AQ$4,BatAves!$I10,0)</f>
        <v>237</v>
      </c>
      <c r="H10" s="67">
        <f ca="1">OFFSET(Batting!$AR$4,BatAves!$I10,0)</f>
        <v>29.625</v>
      </c>
      <c r="I10" s="59">
        <f>MATCH(A10,Batting!$BM$5:$BM$62,0)</f>
        <v>9</v>
      </c>
      <c r="J10" s="59">
        <f t="shared" ca="1" si="0"/>
        <v>9</v>
      </c>
      <c r="K10" s="59">
        <f t="shared" ca="1" si="8"/>
        <v>4</v>
      </c>
      <c r="L10" s="59" t="str">
        <f t="shared" ca="1" si="1"/>
        <v/>
      </c>
      <c r="M10" s="59">
        <f t="shared" ca="1" si="9"/>
        <v>17</v>
      </c>
      <c r="N10" s="112">
        <v>9</v>
      </c>
      <c r="O10" s="112" t="str">
        <f t="shared" ca="1" si="2"/>
        <v>Kogulathasan D</v>
      </c>
      <c r="P10" s="112">
        <f t="shared" ca="1" si="3"/>
        <v>13</v>
      </c>
      <c r="Q10" s="112">
        <f t="shared" ca="1" si="4"/>
        <v>4</v>
      </c>
      <c r="R10" s="112" t="str">
        <f t="shared" ca="1" si="5"/>
        <v>29*</v>
      </c>
      <c r="S10" s="112">
        <f t="shared" ca="1" si="6"/>
        <v>138</v>
      </c>
      <c r="T10" s="114">
        <f t="shared" ca="1" si="7"/>
        <v>15.333333333333334</v>
      </c>
      <c r="V10" s="93" t="s">
        <v>194</v>
      </c>
    </row>
    <row r="11" spans="1:23" ht="12.75" x14ac:dyDescent="0.15">
      <c r="A11" s="59">
        <v>10</v>
      </c>
      <c r="B11" s="59" t="str">
        <f ca="1">OFFSET(Batting!$C$4,BatAves!$I11,0)</f>
        <v>Mander A</v>
      </c>
      <c r="C11" s="63">
        <f ca="1">OFFSET(Batting!$AK$4,BatAves!$I11,0)</f>
        <v>12</v>
      </c>
      <c r="D11" s="63">
        <f ca="1">OFFSET(Batting!$AM$4,BatAves!$I11,0)</f>
        <v>6</v>
      </c>
      <c r="E11" s="63">
        <f ca="1">OFFSET(Batting!$AN$4,BatAves!$I11,0)</f>
        <v>5</v>
      </c>
      <c r="F11" s="63">
        <f ca="1">OFFSET(Batting!$AP$4,BatAves!$I11,0)</f>
        <v>14</v>
      </c>
      <c r="G11" s="63">
        <f ca="1">OFFSET(Batting!$AQ$4,BatAves!$I11,0)</f>
        <v>26</v>
      </c>
      <c r="H11" s="67">
        <f ca="1">OFFSET(Batting!$AR$4,BatAves!$I11,0)</f>
        <v>26</v>
      </c>
      <c r="I11" s="59">
        <f>MATCH(A11,Batting!$BM$5:$BM$62,0)</f>
        <v>25</v>
      </c>
      <c r="J11" s="59">
        <f t="shared" ca="1" si="0"/>
        <v>10</v>
      </c>
      <c r="K11" s="59">
        <f t="shared" ca="1" si="8"/>
        <v>5</v>
      </c>
      <c r="L11" s="59" t="str">
        <f t="shared" ca="1" si="1"/>
        <v/>
      </c>
      <c r="M11" s="59">
        <f t="shared" ca="1" si="9"/>
        <v>19</v>
      </c>
      <c r="N11" s="112">
        <v>10</v>
      </c>
      <c r="O11" s="112" t="str">
        <f t="shared" ca="1" si="2"/>
        <v>Jenkins D</v>
      </c>
      <c r="P11" s="112">
        <f t="shared" ca="1" si="3"/>
        <v>13</v>
      </c>
      <c r="Q11" s="112">
        <f t="shared" ca="1" si="4"/>
        <v>2</v>
      </c>
      <c r="R11" s="112">
        <f t="shared" ca="1" si="5"/>
        <v>37</v>
      </c>
      <c r="S11" s="112">
        <f t="shared" ca="1" si="6"/>
        <v>131</v>
      </c>
      <c r="T11" s="114">
        <f t="shared" ca="1" si="7"/>
        <v>11.909090909090908</v>
      </c>
      <c r="V11" s="93" t="s">
        <v>194</v>
      </c>
    </row>
    <row r="12" spans="1:23" ht="12.75" x14ac:dyDescent="0.15">
      <c r="A12" s="59">
        <v>11</v>
      </c>
      <c r="B12" s="59" t="str">
        <f ca="1">OFFSET(Batting!$C$4,BatAves!$I12,0)</f>
        <v>Viveganandan M</v>
      </c>
      <c r="C12" s="63">
        <f ca="1">OFFSET(Batting!$AK$4,BatAves!$I12,0)</f>
        <v>3</v>
      </c>
      <c r="D12" s="63">
        <f ca="1">OFFSET(Batting!$AM$4,BatAves!$I12,0)</f>
        <v>3</v>
      </c>
      <c r="E12" s="63">
        <f ca="1">OFFSET(Batting!$AN$4,BatAves!$I12,0)</f>
        <v>1</v>
      </c>
      <c r="F12" s="63">
        <f ca="1">OFFSET(Batting!$AP$4,BatAves!$I12,0)</f>
        <v>43</v>
      </c>
      <c r="G12" s="63">
        <f ca="1">OFFSET(Batting!$AQ$4,BatAves!$I12,0)</f>
        <v>50</v>
      </c>
      <c r="H12" s="67">
        <f ca="1">OFFSET(Batting!$AR$4,BatAves!$I12,0)</f>
        <v>25</v>
      </c>
      <c r="I12" s="59">
        <f>MATCH(A12,Batting!$BM$5:$BM$62,0)</f>
        <v>56</v>
      </c>
      <c r="J12" s="59">
        <f t="shared" ca="1" si="0"/>
        <v>1011</v>
      </c>
      <c r="K12" s="59">
        <f t="shared" ca="1" si="8"/>
        <v>21</v>
      </c>
      <c r="L12" s="59" t="str">
        <f t="shared" ca="1" si="1"/>
        <v>Viveganandan M 3-1-43-50</v>
      </c>
      <c r="M12" s="59">
        <f t="shared" ca="1" si="9"/>
        <v>21</v>
      </c>
      <c r="N12" s="112">
        <v>11</v>
      </c>
      <c r="O12" s="112" t="str">
        <f t="shared" ca="1" si="2"/>
        <v>Ahmed M</v>
      </c>
      <c r="P12" s="112">
        <f t="shared" ca="1" si="3"/>
        <v>7</v>
      </c>
      <c r="Q12" s="112">
        <f t="shared" ca="1" si="4"/>
        <v>2</v>
      </c>
      <c r="R12" s="112" t="str">
        <f t="shared" ca="1" si="5"/>
        <v>22*</v>
      </c>
      <c r="S12" s="112">
        <f t="shared" ca="1" si="6"/>
        <v>50</v>
      </c>
      <c r="T12" s="114">
        <f t="shared" ca="1" si="7"/>
        <v>10</v>
      </c>
      <c r="V12" s="93" t="s">
        <v>194</v>
      </c>
    </row>
    <row r="13" spans="1:23" ht="12.75" x14ac:dyDescent="0.15">
      <c r="A13" s="59">
        <v>12</v>
      </c>
      <c r="B13" s="59" t="str">
        <f ca="1">OFFSET(Batting!$C$4,BatAves!$I13,0)</f>
        <v>Seymour C</v>
      </c>
      <c r="C13" s="63">
        <f ca="1">OFFSET(Batting!$AK$4,BatAves!$I13,0)</f>
        <v>21</v>
      </c>
      <c r="D13" s="63">
        <f ca="1">OFFSET(Batting!$AM$4,BatAves!$I13,0)</f>
        <v>20</v>
      </c>
      <c r="E13" s="63">
        <f ca="1">OFFSET(Batting!$AN$4,BatAves!$I13,0)</f>
        <v>1</v>
      </c>
      <c r="F13" s="63">
        <f ca="1">OFFSET(Batting!$AP$4,BatAves!$I13,0)</f>
        <v>70</v>
      </c>
      <c r="G13" s="63">
        <f ca="1">OFFSET(Batting!$AQ$4,BatAves!$I13,0)</f>
        <v>397</v>
      </c>
      <c r="H13" s="67">
        <f ca="1">OFFSET(Batting!$AR$4,BatAves!$I13,0)</f>
        <v>20.894736842105264</v>
      </c>
      <c r="I13" s="59">
        <f>MATCH(A13,Batting!$BM$5:$BM$62,0)</f>
        <v>44</v>
      </c>
      <c r="J13" s="59">
        <f t="shared" ca="1" si="0"/>
        <v>12</v>
      </c>
      <c r="K13" s="59">
        <f t="shared" ca="1" si="8"/>
        <v>6</v>
      </c>
      <c r="L13" s="59" t="str">
        <f t="shared" ca="1" si="1"/>
        <v/>
      </c>
      <c r="M13" s="59">
        <f t="shared" ca="1" si="9"/>
        <v>24</v>
      </c>
      <c r="N13" s="112">
        <v>12</v>
      </c>
      <c r="O13" s="112" t="str">
        <f t="shared" ca="1" si="2"/>
        <v>Patel M</v>
      </c>
      <c r="P13" s="112">
        <f t="shared" ca="1" si="3"/>
        <v>12</v>
      </c>
      <c r="Q13" s="112">
        <f t="shared" ca="1" si="4"/>
        <v>0</v>
      </c>
      <c r="R13" s="112">
        <f t="shared" ca="1" si="5"/>
        <v>19</v>
      </c>
      <c r="S13" s="112">
        <f t="shared" ca="1" si="6"/>
        <v>82</v>
      </c>
      <c r="T13" s="114">
        <f t="shared" ca="1" si="7"/>
        <v>6.833333333333333</v>
      </c>
      <c r="V13" s="93" t="s">
        <v>194</v>
      </c>
    </row>
    <row r="14" spans="1:23" ht="12.75" x14ac:dyDescent="0.15">
      <c r="A14" s="59">
        <v>13</v>
      </c>
      <c r="B14" s="59" t="str">
        <f ca="1">OFFSET(Batting!$C$4,BatAves!$I14,0)</f>
        <v>Springer T</v>
      </c>
      <c r="C14" s="63">
        <f ca="1">OFFSET(Batting!$AK$4,BatAves!$I14,0)</f>
        <v>17</v>
      </c>
      <c r="D14" s="63">
        <f ca="1">OFFSET(Batting!$AM$4,BatAves!$I14,0)</f>
        <v>17</v>
      </c>
      <c r="E14" s="63">
        <f ca="1">OFFSET(Batting!$AN$4,BatAves!$I14,0)</f>
        <v>2</v>
      </c>
      <c r="F14" s="63">
        <f ca="1">OFFSET(Batting!$AP$4,BatAves!$I14,0)</f>
        <v>64</v>
      </c>
      <c r="G14" s="63">
        <f ca="1">OFFSET(Batting!$AQ$4,BatAves!$I14,0)</f>
        <v>304</v>
      </c>
      <c r="H14" s="67">
        <f ca="1">OFFSET(Batting!$AR$4,BatAves!$I14,0)</f>
        <v>20.266666666666666</v>
      </c>
      <c r="I14" s="59">
        <f>MATCH(A14,Batting!$BM$5:$BM$62,0)</f>
        <v>50</v>
      </c>
      <c r="J14" s="59">
        <f t="shared" ca="1" si="0"/>
        <v>13</v>
      </c>
      <c r="K14" s="59">
        <f t="shared" ca="1" si="8"/>
        <v>7</v>
      </c>
      <c r="L14" s="59" t="str">
        <f t="shared" ca="1" si="1"/>
        <v/>
      </c>
      <c r="M14" s="59">
        <f t="shared" ca="1" si="9"/>
        <v>25</v>
      </c>
      <c r="N14" s="112">
        <v>13</v>
      </c>
      <c r="O14" s="112" t="str">
        <f t="shared" ca="1" si="2"/>
        <v>Nair S</v>
      </c>
      <c r="P14" s="112">
        <f t="shared" ca="1" si="3"/>
        <v>7</v>
      </c>
      <c r="Q14" s="112">
        <f t="shared" ca="1" si="4"/>
        <v>2</v>
      </c>
      <c r="R14" s="112" t="str">
        <f t="shared" ca="1" si="5"/>
        <v>20*</v>
      </c>
      <c r="S14" s="112">
        <f t="shared" ca="1" si="6"/>
        <v>31</v>
      </c>
      <c r="T14" s="114">
        <f t="shared" ca="1" si="7"/>
        <v>6.2</v>
      </c>
      <c r="V14" s="93" t="s">
        <v>194</v>
      </c>
    </row>
    <row r="15" spans="1:23" ht="12.75" x14ac:dyDescent="0.15">
      <c r="A15" s="59">
        <v>14</v>
      </c>
      <c r="B15" s="59" t="str">
        <f ca="1">OFFSET(Batting!$C$4,BatAves!$I15,0)</f>
        <v>Curling L</v>
      </c>
      <c r="C15" s="63">
        <f ca="1">OFFSET(Batting!$AK$4,BatAves!$I15,0)</f>
        <v>2</v>
      </c>
      <c r="D15" s="63">
        <f ca="1">OFFSET(Batting!$AM$4,BatAves!$I15,0)</f>
        <v>2</v>
      </c>
      <c r="E15" s="63">
        <f ca="1">OFFSET(Batting!$AN$4,BatAves!$I15,0)</f>
        <v>0</v>
      </c>
      <c r="F15" s="63">
        <f ca="1">OFFSET(Batting!$AP$4,BatAves!$I15,0)</f>
        <v>33</v>
      </c>
      <c r="G15" s="63">
        <f ca="1">OFFSET(Batting!$AQ$4,BatAves!$I15,0)</f>
        <v>40</v>
      </c>
      <c r="H15" s="67">
        <f ca="1">OFFSET(Batting!$AR$4,BatAves!$I15,0)</f>
        <v>20</v>
      </c>
      <c r="I15" s="59">
        <f>MATCH(A15,Batting!$BM$5:$BM$62,0)</f>
        <v>8</v>
      </c>
      <c r="J15" s="59">
        <f t="shared" ca="1" si="0"/>
        <v>1014</v>
      </c>
      <c r="K15" s="59">
        <f t="shared" ca="1" si="8"/>
        <v>22</v>
      </c>
      <c r="L15" s="59" t="str">
        <f t="shared" ca="1" si="1"/>
        <v>Curling L 2-0-33-40</v>
      </c>
      <c r="M15" s="59">
        <f t="shared" ca="1" si="9"/>
        <v>27</v>
      </c>
      <c r="N15" s="112">
        <v>14</v>
      </c>
      <c r="O15" s="112" t="str">
        <f t="shared" ca="1" si="2"/>
        <v>Sajjid K</v>
      </c>
      <c r="P15" s="112">
        <f t="shared" ca="1" si="3"/>
        <v>9</v>
      </c>
      <c r="Q15" s="112">
        <f t="shared" ca="1" si="4"/>
        <v>6</v>
      </c>
      <c r="R15" s="112" t="str">
        <f t="shared" ca="1" si="5"/>
        <v>6*</v>
      </c>
      <c r="S15" s="112">
        <f t="shared" ca="1" si="6"/>
        <v>16</v>
      </c>
      <c r="T15" s="114">
        <f t="shared" ca="1" si="7"/>
        <v>5.333333333333333</v>
      </c>
      <c r="V15" s="93" t="s">
        <v>194</v>
      </c>
      <c r="W15" s="116"/>
    </row>
    <row r="16" spans="1:23" ht="12.75" x14ac:dyDescent="0.15">
      <c r="A16" s="59">
        <v>15</v>
      </c>
      <c r="B16" s="59" t="str">
        <f ca="1">OFFSET(Batting!$C$4,BatAves!$I16,0)</f>
        <v>Bhatt P</v>
      </c>
      <c r="C16" s="63">
        <f ca="1">OFFSET(Batting!$AK$4,BatAves!$I16,0)</f>
        <v>16</v>
      </c>
      <c r="D16" s="63">
        <f ca="1">OFFSET(Batting!$AM$4,BatAves!$I16,0)</f>
        <v>12</v>
      </c>
      <c r="E16" s="63">
        <f ca="1">OFFSET(Batting!$AN$4,BatAves!$I16,0)</f>
        <v>2</v>
      </c>
      <c r="F16" s="63" t="str">
        <f ca="1">OFFSET(Batting!$AP$4,BatAves!$I16,0)</f>
        <v>43*</v>
      </c>
      <c r="G16" s="63">
        <f ca="1">OFFSET(Batting!$AQ$4,BatAves!$I16,0)</f>
        <v>189</v>
      </c>
      <c r="H16" s="67">
        <f ca="1">OFFSET(Batting!$AR$4,BatAves!$I16,0)</f>
        <v>18.899999999999999</v>
      </c>
      <c r="I16" s="59">
        <f>MATCH(A16,Batting!$BM$5:$BM$62,0)</f>
        <v>3</v>
      </c>
      <c r="J16" s="59">
        <f t="shared" ca="1" si="0"/>
        <v>15</v>
      </c>
      <c r="K16" s="59">
        <f t="shared" ca="1" si="8"/>
        <v>8</v>
      </c>
      <c r="L16" s="59" t="str">
        <f t="shared" ca="1" si="1"/>
        <v/>
      </c>
      <c r="M16" s="59">
        <f t="shared" ca="1" si="9"/>
        <v>29</v>
      </c>
      <c r="N16" s="112">
        <v>15</v>
      </c>
      <c r="O16" s="112" t="str">
        <f t="shared" ca="1" si="2"/>
        <v>Jain A</v>
      </c>
      <c r="P16" s="112">
        <f t="shared" ca="1" si="3"/>
        <v>6</v>
      </c>
      <c r="Q16" s="112">
        <f t="shared" ca="1" si="4"/>
        <v>1</v>
      </c>
      <c r="R16" s="112" t="str">
        <f t="shared" ca="1" si="5"/>
        <v>9*</v>
      </c>
      <c r="S16" s="112">
        <f t="shared" ca="1" si="6"/>
        <v>22</v>
      </c>
      <c r="T16" s="114">
        <f t="shared" ca="1" si="7"/>
        <v>4.4000000000000004</v>
      </c>
      <c r="V16" s="59" t="s">
        <v>194</v>
      </c>
      <c r="W16" s="116"/>
    </row>
    <row r="17" spans="1:23" ht="12.75" x14ac:dyDescent="0.15">
      <c r="A17" s="59">
        <v>16</v>
      </c>
      <c r="B17" s="59" t="str">
        <f ca="1">OFFSET(Batting!$C$4,BatAves!$I17,0)</f>
        <v>Middleton J</v>
      </c>
      <c r="C17" s="63">
        <f ca="1">OFFSET(Batting!$AK$4,BatAves!$I17,0)</f>
        <v>4</v>
      </c>
      <c r="D17" s="63">
        <f ca="1">OFFSET(Batting!$AM$4,BatAves!$I17,0)</f>
        <v>4</v>
      </c>
      <c r="E17" s="63">
        <f ca="1">OFFSET(Batting!$AN$4,BatAves!$I17,0)</f>
        <v>1</v>
      </c>
      <c r="F17" s="63" t="str">
        <f ca="1">OFFSET(Batting!$AP$4,BatAves!$I17,0)</f>
        <v>36*</v>
      </c>
      <c r="G17" s="63">
        <f ca="1">OFFSET(Batting!$AQ$4,BatAves!$I17,0)</f>
        <v>53</v>
      </c>
      <c r="H17" s="67">
        <f ca="1">OFFSET(Batting!$AR$4,BatAves!$I17,0)</f>
        <v>17.666666666666668</v>
      </c>
      <c r="I17" s="59">
        <f>MATCH(A17,Batting!$BM$5:$BM$62,0)</f>
        <v>27</v>
      </c>
      <c r="J17" s="59">
        <f t="shared" ca="1" si="0"/>
        <v>1016</v>
      </c>
      <c r="K17" s="59">
        <f t="shared" ca="1" si="8"/>
        <v>23</v>
      </c>
      <c r="L17" s="59" t="str">
        <f t="shared" ca="1" si="1"/>
        <v>Middleton J 4-1-36*-53</v>
      </c>
      <c r="M17" s="59">
        <f t="shared" ca="1" si="9"/>
        <v>1</v>
      </c>
      <c r="N17" s="112">
        <v>16</v>
      </c>
      <c r="O17" s="112" t="str">
        <f t="shared" ca="1" si="2"/>
        <v>Ahmed R</v>
      </c>
      <c r="P17" s="112">
        <f t="shared" ca="1" si="3"/>
        <v>2</v>
      </c>
      <c r="Q17" s="112">
        <f t="shared" ca="1" si="4"/>
        <v>0</v>
      </c>
      <c r="R17" s="112">
        <f t="shared" ca="1" si="5"/>
        <v>90</v>
      </c>
      <c r="S17" s="112">
        <f t="shared" ca="1" si="6"/>
        <v>176</v>
      </c>
      <c r="T17" s="114">
        <f t="shared" ca="1" si="7"/>
        <v>88</v>
      </c>
      <c r="V17" s="59" t="s">
        <v>194</v>
      </c>
      <c r="W17" s="116"/>
    </row>
    <row r="18" spans="1:23" ht="12.75" x14ac:dyDescent="0.15">
      <c r="A18" s="59">
        <v>17</v>
      </c>
      <c r="B18" s="59" t="str">
        <f ca="1">OFFSET(Batting!$C$4,BatAves!$I18,0)</f>
        <v>Kogulathasan D</v>
      </c>
      <c r="C18" s="63">
        <f ca="1">OFFSET(Batting!$AK$4,BatAves!$I18,0)</f>
        <v>14</v>
      </c>
      <c r="D18" s="63">
        <f ca="1">OFFSET(Batting!$AM$4,BatAves!$I18,0)</f>
        <v>13</v>
      </c>
      <c r="E18" s="63">
        <f ca="1">OFFSET(Batting!$AN$4,BatAves!$I18,0)</f>
        <v>4</v>
      </c>
      <c r="F18" s="63" t="str">
        <f ca="1">OFFSET(Batting!$AP$4,BatAves!$I18,0)</f>
        <v>29*</v>
      </c>
      <c r="G18" s="63">
        <f ca="1">OFFSET(Batting!$AQ$4,BatAves!$I18,0)</f>
        <v>138</v>
      </c>
      <c r="H18" s="67">
        <f ca="1">OFFSET(Batting!$AR$4,BatAves!$I18,0)</f>
        <v>15.333333333333334</v>
      </c>
      <c r="I18" s="59">
        <f>MATCH(A18,Batting!$BM$5:$BM$62,0)</f>
        <v>19</v>
      </c>
      <c r="J18" s="59">
        <f t="shared" ca="1" si="0"/>
        <v>17</v>
      </c>
      <c r="K18" s="59">
        <f t="shared" ca="1" si="8"/>
        <v>9</v>
      </c>
      <c r="L18" s="59" t="str">
        <f t="shared" ca="1" si="1"/>
        <v/>
      </c>
      <c r="M18" s="59">
        <f t="shared" ca="1" si="9"/>
        <v>2</v>
      </c>
      <c r="N18" s="112">
        <v>17</v>
      </c>
      <c r="O18" s="112" t="str">
        <f t="shared" ca="1" si="2"/>
        <v>Stevenson R</v>
      </c>
      <c r="P18" s="112">
        <f t="shared" ca="1" si="3"/>
        <v>1</v>
      </c>
      <c r="Q18" s="112">
        <f t="shared" ca="1" si="4"/>
        <v>0</v>
      </c>
      <c r="R18" s="112">
        <f t="shared" ca="1" si="5"/>
        <v>67</v>
      </c>
      <c r="S18" s="112">
        <f t="shared" ca="1" si="6"/>
        <v>67</v>
      </c>
      <c r="T18" s="114">
        <f t="shared" ca="1" si="7"/>
        <v>67</v>
      </c>
      <c r="V18" s="137"/>
      <c r="W18" s="116"/>
    </row>
    <row r="19" spans="1:23" ht="12.75" x14ac:dyDescent="0.15">
      <c r="A19" s="59">
        <v>18</v>
      </c>
      <c r="B19" s="59" t="str">
        <f ca="1">OFFSET(Batting!$C$4,BatAves!$I19,0)</f>
        <v>Umar S</v>
      </c>
      <c r="C19" s="63">
        <f ca="1">OFFSET(Batting!$AK$4,BatAves!$I19,0)</f>
        <v>1</v>
      </c>
      <c r="D19" s="63">
        <f ca="1">OFFSET(Batting!$AM$4,BatAves!$I19,0)</f>
        <v>1</v>
      </c>
      <c r="E19" s="63">
        <f ca="1">OFFSET(Batting!$AN$4,BatAves!$I19,0)</f>
        <v>0</v>
      </c>
      <c r="F19" s="63">
        <f ca="1">OFFSET(Batting!$AP$4,BatAves!$I19,0)</f>
        <v>13</v>
      </c>
      <c r="G19" s="63">
        <f ca="1">OFFSET(Batting!$AQ$4,BatAves!$I19,0)</f>
        <v>13</v>
      </c>
      <c r="H19" s="67">
        <f ca="1">OFFSET(Batting!$AR$4,BatAves!$I19,0)</f>
        <v>13</v>
      </c>
      <c r="I19" s="59">
        <f>MATCH(A19,Batting!$BM$5:$BM$62,0)</f>
        <v>55</v>
      </c>
      <c r="J19" s="59">
        <f t="shared" ca="1" si="0"/>
        <v>1018</v>
      </c>
      <c r="K19" s="59">
        <f t="shared" ca="1" si="8"/>
        <v>24</v>
      </c>
      <c r="L19" s="59" t="str">
        <f t="shared" ca="1" si="1"/>
        <v>Umar S 1-0-13-13</v>
      </c>
      <c r="M19" s="59">
        <f t="shared" ca="1" si="9"/>
        <v>3</v>
      </c>
      <c r="N19" s="112">
        <v>18</v>
      </c>
      <c r="O19" s="112" t="str">
        <f t="shared" ca="1" si="2"/>
        <v>Mahmood S</v>
      </c>
      <c r="P19" s="112">
        <f t="shared" ca="1" si="3"/>
        <v>1</v>
      </c>
      <c r="Q19" s="112">
        <f t="shared" ca="1" si="4"/>
        <v>0</v>
      </c>
      <c r="R19" s="112">
        <f t="shared" ca="1" si="5"/>
        <v>47</v>
      </c>
      <c r="S19" s="112">
        <f t="shared" ca="1" si="6"/>
        <v>47</v>
      </c>
      <c r="T19" s="114">
        <f t="shared" ca="1" si="7"/>
        <v>47</v>
      </c>
      <c r="V19" s="137"/>
      <c r="W19" s="116" t="s">
        <v>194</v>
      </c>
    </row>
    <row r="20" spans="1:23" ht="12.75" x14ac:dyDescent="0.15">
      <c r="A20" s="59">
        <v>19</v>
      </c>
      <c r="B20" s="59" t="str">
        <f ca="1">OFFSET(Batting!$C$4,BatAves!$I20,0)</f>
        <v>Jenkins D</v>
      </c>
      <c r="C20" s="63">
        <f ca="1">OFFSET(Batting!$AK$4,BatAves!$I20,0)</f>
        <v>14</v>
      </c>
      <c r="D20" s="63">
        <f ca="1">OFFSET(Batting!$AM$4,BatAves!$I20,0)</f>
        <v>13</v>
      </c>
      <c r="E20" s="63">
        <f ca="1">OFFSET(Batting!$AN$4,BatAves!$I20,0)</f>
        <v>2</v>
      </c>
      <c r="F20" s="63">
        <f ca="1">OFFSET(Batting!$AP$4,BatAves!$I20,0)</f>
        <v>37</v>
      </c>
      <c r="G20" s="63">
        <f ca="1">OFFSET(Batting!$AQ$4,BatAves!$I20,0)</f>
        <v>131</v>
      </c>
      <c r="H20" s="67">
        <f ca="1">OFFSET(Batting!$AR$4,BatAves!$I20,0)</f>
        <v>11.909090909090908</v>
      </c>
      <c r="I20" s="59">
        <f>MATCH(A20,Batting!$BM$5:$BM$62,0)</f>
        <v>16</v>
      </c>
      <c r="J20" s="59">
        <f t="shared" ca="1" si="0"/>
        <v>19</v>
      </c>
      <c r="K20" s="59">
        <f t="shared" ca="1" si="8"/>
        <v>10</v>
      </c>
      <c r="L20" s="59" t="str">
        <f t="shared" ca="1" si="1"/>
        <v/>
      </c>
      <c r="M20" s="59">
        <f t="shared" ca="1" si="9"/>
        <v>5</v>
      </c>
      <c r="N20" s="112">
        <v>19</v>
      </c>
      <c r="O20" s="112" t="str">
        <f t="shared" ca="1" si="2"/>
        <v>Niran S</v>
      </c>
      <c r="P20" s="112">
        <f t="shared" ca="1" si="3"/>
        <v>4</v>
      </c>
      <c r="Q20" s="112">
        <f t="shared" ca="1" si="4"/>
        <v>0</v>
      </c>
      <c r="R20" s="112">
        <f t="shared" ca="1" si="5"/>
        <v>49</v>
      </c>
      <c r="S20" s="112">
        <f t="shared" ca="1" si="6"/>
        <v>142</v>
      </c>
      <c r="T20" s="114">
        <f t="shared" ca="1" si="7"/>
        <v>35.5</v>
      </c>
      <c r="V20" s="137"/>
      <c r="W20" s="59" t="s">
        <v>194</v>
      </c>
    </row>
    <row r="21" spans="1:23" ht="12.75" x14ac:dyDescent="0.15">
      <c r="A21" s="59">
        <v>20</v>
      </c>
      <c r="B21" s="59" t="str">
        <f ca="1">OFFSET(Batting!$C$4,BatAves!$I21,0)</f>
        <v>Lindsay B</v>
      </c>
      <c r="C21" s="63">
        <f ca="1">OFFSET(Batting!$AK$4,BatAves!$I21,0)</f>
        <v>1</v>
      </c>
      <c r="D21" s="63">
        <f ca="1">OFFSET(Batting!$AM$4,BatAves!$I21,0)</f>
        <v>1</v>
      </c>
      <c r="E21" s="63">
        <f ca="1">OFFSET(Batting!$AN$4,BatAves!$I21,0)</f>
        <v>0</v>
      </c>
      <c r="F21" s="63">
        <f ca="1">OFFSET(Batting!$AP$4,BatAves!$I21,0)</f>
        <v>11</v>
      </c>
      <c r="G21" s="63">
        <f ca="1">OFFSET(Batting!$AQ$4,BatAves!$I21,0)</f>
        <v>11</v>
      </c>
      <c r="H21" s="67">
        <f ca="1">OFFSET(Batting!$AR$4,BatAves!$I21,0)</f>
        <v>11</v>
      </c>
      <c r="I21" s="59">
        <f>MATCH(A21,Batting!$BM$5:$BM$62,0)</f>
        <v>21</v>
      </c>
      <c r="J21" s="59">
        <f t="shared" ca="1" si="0"/>
        <v>1020</v>
      </c>
      <c r="K21" s="59">
        <f t="shared" ca="1" si="8"/>
        <v>25</v>
      </c>
      <c r="L21" s="59" t="str">
        <f t="shared" ca="1" si="1"/>
        <v>Lindsay B 1-0-11-11</v>
      </c>
      <c r="M21" s="59">
        <f t="shared" ca="1" si="9"/>
        <v>8</v>
      </c>
      <c r="N21" s="112">
        <v>20</v>
      </c>
      <c r="O21" s="112" t="str">
        <f t="shared" ca="1" si="2"/>
        <v>Crone W</v>
      </c>
      <c r="P21" s="112">
        <f t="shared" ca="1" si="3"/>
        <v>2</v>
      </c>
      <c r="Q21" s="112">
        <f t="shared" ca="1" si="4"/>
        <v>0</v>
      </c>
      <c r="R21" s="112">
        <f t="shared" ca="1" si="5"/>
        <v>45</v>
      </c>
      <c r="S21" s="112">
        <f t="shared" ca="1" si="6"/>
        <v>62</v>
      </c>
      <c r="T21" s="114">
        <f t="shared" ca="1" si="7"/>
        <v>31</v>
      </c>
      <c r="V21" s="137"/>
      <c r="W21" s="59" t="s">
        <v>194</v>
      </c>
    </row>
    <row r="22" spans="1:23" ht="12.75" x14ac:dyDescent="0.15">
      <c r="A22" s="59">
        <v>21</v>
      </c>
      <c r="B22" s="59" t="str">
        <f ca="1">OFFSET(Batting!$C$4,BatAves!$I22,0)</f>
        <v>Ahmed M</v>
      </c>
      <c r="C22" s="63">
        <f ca="1">OFFSET(Batting!$AK$4,BatAves!$I22,0)</f>
        <v>7</v>
      </c>
      <c r="D22" s="63">
        <f ca="1">OFFSET(Batting!$AM$4,BatAves!$I22,0)</f>
        <v>7</v>
      </c>
      <c r="E22" s="63">
        <f ca="1">OFFSET(Batting!$AN$4,BatAves!$I22,0)</f>
        <v>2</v>
      </c>
      <c r="F22" s="63" t="str">
        <f ca="1">OFFSET(Batting!$AP$4,BatAves!$I22,0)</f>
        <v>22*</v>
      </c>
      <c r="G22" s="63">
        <f ca="1">OFFSET(Batting!$AQ$4,BatAves!$I22,0)</f>
        <v>50</v>
      </c>
      <c r="H22" s="67">
        <f ca="1">OFFSET(Batting!$AR$4,BatAves!$I22,0)</f>
        <v>10</v>
      </c>
      <c r="I22" s="59">
        <f>MATCH(A22,Batting!$BM$5:$BM$62,0)</f>
        <v>1</v>
      </c>
      <c r="J22" s="59">
        <f t="shared" ca="1" si="0"/>
        <v>21</v>
      </c>
      <c r="K22" s="59">
        <f t="shared" ca="1" si="8"/>
        <v>11</v>
      </c>
      <c r="L22" s="59" t="str">
        <f t="shared" ca="1" si="1"/>
        <v/>
      </c>
      <c r="M22" s="59">
        <f t="shared" ca="1" si="9"/>
        <v>11</v>
      </c>
      <c r="N22" s="112">
        <v>21</v>
      </c>
      <c r="O22" s="112" t="str">
        <f t="shared" ca="1" si="2"/>
        <v>Viveganandan M</v>
      </c>
      <c r="P22" s="112">
        <f t="shared" ca="1" si="3"/>
        <v>3</v>
      </c>
      <c r="Q22" s="112">
        <f t="shared" ca="1" si="4"/>
        <v>1</v>
      </c>
      <c r="R22" s="112">
        <f t="shared" ca="1" si="5"/>
        <v>43</v>
      </c>
      <c r="S22" s="112">
        <f t="shared" ca="1" si="6"/>
        <v>50</v>
      </c>
      <c r="T22" s="114">
        <f t="shared" ca="1" si="7"/>
        <v>25</v>
      </c>
      <c r="V22" s="137"/>
      <c r="W22" s="59" t="s">
        <v>194</v>
      </c>
    </row>
    <row r="23" spans="1:23" ht="12.75" x14ac:dyDescent="0.15">
      <c r="A23" s="59">
        <v>22</v>
      </c>
      <c r="B23" s="59" t="str">
        <f ca="1">OFFSET(Batting!$C$4,BatAves!$I23,0)</f>
        <v>Patel S</v>
      </c>
      <c r="C23" s="63">
        <f ca="1">OFFSET(Batting!$AK$4,BatAves!$I23,0)</f>
        <v>1</v>
      </c>
      <c r="D23" s="63">
        <f ca="1">OFFSET(Batting!$AM$4,BatAves!$I23,0)</f>
        <v>1</v>
      </c>
      <c r="E23" s="63">
        <f ca="1">OFFSET(Batting!$AN$4,BatAves!$I23,0)</f>
        <v>0</v>
      </c>
      <c r="F23" s="63">
        <f ca="1">OFFSET(Batting!$AP$4,BatAves!$I23,0)</f>
        <v>9</v>
      </c>
      <c r="G23" s="63">
        <f ca="1">OFFSET(Batting!$AQ$4,BatAves!$I23,0)</f>
        <v>9</v>
      </c>
      <c r="H23" s="67">
        <f ca="1">OFFSET(Batting!$AR$4,BatAves!$I23,0)</f>
        <v>9</v>
      </c>
      <c r="I23" s="59">
        <f>MATCH(A23,Batting!$BM$5:$BM$62,0)</f>
        <v>36</v>
      </c>
      <c r="J23" s="59">
        <f t="shared" ca="1" si="0"/>
        <v>1022</v>
      </c>
      <c r="K23" s="59">
        <f t="shared" ca="1" si="8"/>
        <v>26</v>
      </c>
      <c r="L23" s="59" t="str">
        <f t="shared" ca="1" si="1"/>
        <v>Patel S 1-0-9-9</v>
      </c>
      <c r="M23" s="59">
        <f t="shared" ca="1" si="9"/>
        <v>14</v>
      </c>
      <c r="N23" s="112">
        <v>22</v>
      </c>
      <c r="O23" s="112" t="str">
        <f t="shared" ca="1" si="2"/>
        <v>Curling L</v>
      </c>
      <c r="P23" s="112">
        <f t="shared" ca="1" si="3"/>
        <v>2</v>
      </c>
      <c r="Q23" s="112">
        <f t="shared" ca="1" si="4"/>
        <v>0</v>
      </c>
      <c r="R23" s="112">
        <f t="shared" ca="1" si="5"/>
        <v>33</v>
      </c>
      <c r="S23" s="112">
        <f t="shared" ca="1" si="6"/>
        <v>40</v>
      </c>
      <c r="T23" s="114">
        <f t="shared" ca="1" si="7"/>
        <v>20</v>
      </c>
      <c r="V23" s="137"/>
      <c r="W23" s="116"/>
    </row>
    <row r="24" spans="1:23" ht="12.75" x14ac:dyDescent="0.15">
      <c r="A24" s="59">
        <v>23</v>
      </c>
      <c r="B24" s="59" t="str">
        <f ca="1">OFFSET(Batting!$C$4,BatAves!$I24,0)</f>
        <v>Brocks D</v>
      </c>
      <c r="C24" s="63">
        <f ca="1">OFFSET(Batting!$AK$4,BatAves!$I24,0)</f>
        <v>3</v>
      </c>
      <c r="D24" s="63">
        <f ca="1">OFFSET(Batting!$AM$4,BatAves!$I24,0)</f>
        <v>3</v>
      </c>
      <c r="E24" s="63">
        <f ca="1">OFFSET(Batting!$AN$4,BatAves!$I24,0)</f>
        <v>0</v>
      </c>
      <c r="F24" s="63">
        <f ca="1">OFFSET(Batting!$AP$4,BatAves!$I24,0)</f>
        <v>18</v>
      </c>
      <c r="G24" s="63">
        <f ca="1">OFFSET(Batting!$AQ$4,BatAves!$I24,0)</f>
        <v>22</v>
      </c>
      <c r="H24" s="67">
        <f ca="1">OFFSET(Batting!$AR$4,BatAves!$I24,0)</f>
        <v>7.333333333333333</v>
      </c>
      <c r="I24" s="59">
        <f>MATCH(A24,Batting!$BM$5:$BM$62,0)</f>
        <v>5</v>
      </c>
      <c r="J24" s="59">
        <f t="shared" ca="1" si="0"/>
        <v>1023</v>
      </c>
      <c r="K24" s="59">
        <f t="shared" ca="1" si="8"/>
        <v>27</v>
      </c>
      <c r="L24" s="59" t="str">
        <f t="shared" ca="1" si="1"/>
        <v>Brocks D 3-0-18-22</v>
      </c>
      <c r="M24" s="59">
        <f t="shared" ca="1" si="9"/>
        <v>16</v>
      </c>
      <c r="N24" s="112">
        <v>23</v>
      </c>
      <c r="O24" s="112" t="str">
        <f t="shared" ca="1" si="2"/>
        <v>Middleton J</v>
      </c>
      <c r="P24" s="112">
        <f t="shared" ca="1" si="3"/>
        <v>4</v>
      </c>
      <c r="Q24" s="112">
        <f t="shared" ca="1" si="4"/>
        <v>1</v>
      </c>
      <c r="R24" s="112" t="str">
        <f t="shared" ca="1" si="5"/>
        <v>36*</v>
      </c>
      <c r="S24" s="112">
        <f t="shared" ca="1" si="6"/>
        <v>53</v>
      </c>
      <c r="T24" s="114">
        <f t="shared" ca="1" si="7"/>
        <v>17.666666666666668</v>
      </c>
      <c r="V24" s="137"/>
      <c r="W24" s="116"/>
    </row>
    <row r="25" spans="1:23" ht="12.75" x14ac:dyDescent="0.15">
      <c r="A25" s="59">
        <v>24</v>
      </c>
      <c r="B25" s="59" t="str">
        <f ca="1">OFFSET(Batting!$C$4,BatAves!$I25,0)</f>
        <v>Patel M</v>
      </c>
      <c r="C25" s="63">
        <f ca="1">OFFSET(Batting!$AK$4,BatAves!$I25,0)</f>
        <v>14</v>
      </c>
      <c r="D25" s="63">
        <f ca="1">OFFSET(Batting!$AM$4,BatAves!$I25,0)</f>
        <v>12</v>
      </c>
      <c r="E25" s="63">
        <f ca="1">OFFSET(Batting!$AN$4,BatAves!$I25,0)</f>
        <v>0</v>
      </c>
      <c r="F25" s="63">
        <f ca="1">OFFSET(Batting!$AP$4,BatAves!$I25,0)</f>
        <v>19</v>
      </c>
      <c r="G25" s="63">
        <f ca="1">OFFSET(Batting!$AQ$4,BatAves!$I25,0)</f>
        <v>82</v>
      </c>
      <c r="H25" s="67">
        <f ca="1">OFFSET(Batting!$AR$4,BatAves!$I25,0)</f>
        <v>6.833333333333333</v>
      </c>
      <c r="I25" s="59">
        <f>MATCH(A25,Batting!$BM$5:$BM$62,0)</f>
        <v>35</v>
      </c>
      <c r="J25" s="59">
        <f t="shared" ca="1" si="0"/>
        <v>24</v>
      </c>
      <c r="K25" s="59">
        <f t="shared" ca="1" si="8"/>
        <v>12</v>
      </c>
      <c r="L25" s="59" t="str">
        <f t="shared" ca="1" si="1"/>
        <v/>
      </c>
      <c r="M25" s="59">
        <f t="shared" ca="1" si="9"/>
        <v>18</v>
      </c>
      <c r="N25" s="112">
        <v>24</v>
      </c>
      <c r="O25" s="112" t="str">
        <f t="shared" ca="1" si="2"/>
        <v>Umar S</v>
      </c>
      <c r="P25" s="112">
        <f t="shared" ca="1" si="3"/>
        <v>1</v>
      </c>
      <c r="Q25" s="112">
        <f t="shared" ca="1" si="4"/>
        <v>0</v>
      </c>
      <c r="R25" s="112">
        <f t="shared" ca="1" si="5"/>
        <v>13</v>
      </c>
      <c r="S25" s="112">
        <f t="shared" ca="1" si="6"/>
        <v>13</v>
      </c>
      <c r="T25" s="114">
        <f t="shared" ca="1" si="7"/>
        <v>13</v>
      </c>
      <c r="V25" s="137"/>
      <c r="W25" s="59" t="s">
        <v>194</v>
      </c>
    </row>
    <row r="26" spans="1:23" ht="12.75" x14ac:dyDescent="0.15">
      <c r="A26" s="59">
        <v>25</v>
      </c>
      <c r="B26" s="59" t="str">
        <f ca="1">OFFSET(Batting!$C$4,BatAves!$I26,0)</f>
        <v>Nair S</v>
      </c>
      <c r="C26" s="63">
        <f ca="1">OFFSET(Batting!$AK$4,BatAves!$I26,0)</f>
        <v>11</v>
      </c>
      <c r="D26" s="63">
        <f ca="1">OFFSET(Batting!$AM$4,BatAves!$I26,0)</f>
        <v>7</v>
      </c>
      <c r="E26" s="63">
        <f ca="1">OFFSET(Batting!$AN$4,BatAves!$I26,0)</f>
        <v>2</v>
      </c>
      <c r="F26" s="63" t="str">
        <f ca="1">OFFSET(Batting!$AP$4,BatAves!$I26,0)</f>
        <v>20*</v>
      </c>
      <c r="G26" s="63">
        <f ca="1">OFFSET(Batting!$AQ$4,BatAves!$I26,0)</f>
        <v>31</v>
      </c>
      <c r="H26" s="67">
        <f ca="1">OFFSET(Batting!$AR$4,BatAves!$I26,0)</f>
        <v>6.2</v>
      </c>
      <c r="I26" s="59">
        <f>MATCH(A26,Batting!$BM$5:$BM$62,0)</f>
        <v>28</v>
      </c>
      <c r="J26" s="59">
        <f t="shared" ca="1" si="0"/>
        <v>25</v>
      </c>
      <c r="K26" s="59">
        <f t="shared" ca="1" si="8"/>
        <v>13</v>
      </c>
      <c r="L26" s="59" t="str">
        <f t="shared" ca="1" si="1"/>
        <v/>
      </c>
      <c r="M26" s="59">
        <f t="shared" ca="1" si="9"/>
        <v>20</v>
      </c>
      <c r="N26" s="112">
        <v>25</v>
      </c>
      <c r="O26" s="112" t="str">
        <f t="shared" ca="1" si="2"/>
        <v>Lindsay B</v>
      </c>
      <c r="P26" s="112">
        <f t="shared" ca="1" si="3"/>
        <v>1</v>
      </c>
      <c r="Q26" s="112">
        <f t="shared" ca="1" si="4"/>
        <v>0</v>
      </c>
      <c r="R26" s="112">
        <f t="shared" ca="1" si="5"/>
        <v>11</v>
      </c>
      <c r="S26" s="112">
        <f t="shared" ca="1" si="6"/>
        <v>11</v>
      </c>
      <c r="T26" s="114">
        <f t="shared" ca="1" si="7"/>
        <v>11</v>
      </c>
      <c r="V26" s="137"/>
      <c r="W26" s="116"/>
    </row>
    <row r="27" spans="1:23" ht="12.75" x14ac:dyDescent="0.15">
      <c r="A27" s="59">
        <v>26</v>
      </c>
      <c r="B27" s="59" t="str">
        <f ca="1">OFFSET(Batting!$C$4,BatAves!$I27,0)</f>
        <v>Mander C</v>
      </c>
      <c r="C27" s="63">
        <f ca="1">OFFSET(Batting!$AK$4,BatAves!$I27,0)</f>
        <v>1</v>
      </c>
      <c r="D27" s="63">
        <f ca="1">OFFSET(Batting!$AM$4,BatAves!$I27,0)</f>
        <v>1</v>
      </c>
      <c r="E27" s="63">
        <f ca="1">OFFSET(Batting!$AN$4,BatAves!$I27,0)</f>
        <v>0</v>
      </c>
      <c r="F27" s="63">
        <f ca="1">OFFSET(Batting!$AP$4,BatAves!$I27,0)</f>
        <v>6</v>
      </c>
      <c r="G27" s="63">
        <f ca="1">OFFSET(Batting!$AQ$4,BatAves!$I27,0)</f>
        <v>6</v>
      </c>
      <c r="H27" s="67">
        <f ca="1">OFFSET(Batting!$AR$4,BatAves!$I27,0)</f>
        <v>6</v>
      </c>
      <c r="I27" s="59">
        <f>MATCH(A27,Batting!$BM$5:$BM$62,0)</f>
        <v>26</v>
      </c>
      <c r="J27" s="59">
        <f t="shared" ca="1" si="0"/>
        <v>1026</v>
      </c>
      <c r="K27" s="59">
        <f t="shared" ca="1" si="8"/>
        <v>28</v>
      </c>
      <c r="L27" s="59" t="str">
        <f t="shared" ca="1" si="1"/>
        <v>Mander C 1-0-6-6</v>
      </c>
      <c r="M27" s="59">
        <f t="shared" ca="1" si="9"/>
        <v>22</v>
      </c>
      <c r="N27" s="112">
        <v>26</v>
      </c>
      <c r="O27" s="112" t="str">
        <f t="shared" ca="1" si="2"/>
        <v>Patel S</v>
      </c>
      <c r="P27" s="112">
        <f t="shared" ca="1" si="3"/>
        <v>1</v>
      </c>
      <c r="Q27" s="112">
        <f t="shared" ca="1" si="4"/>
        <v>0</v>
      </c>
      <c r="R27" s="112">
        <f t="shared" ca="1" si="5"/>
        <v>9</v>
      </c>
      <c r="S27" s="112">
        <f t="shared" ca="1" si="6"/>
        <v>9</v>
      </c>
      <c r="T27" s="114">
        <f t="shared" ca="1" si="7"/>
        <v>9</v>
      </c>
      <c r="V27" s="137"/>
      <c r="W27" s="59" t="s">
        <v>194</v>
      </c>
    </row>
    <row r="28" spans="1:23" ht="12.75" x14ac:dyDescent="0.15">
      <c r="A28" s="59">
        <v>27</v>
      </c>
      <c r="B28" s="59" t="str">
        <f ca="1">OFFSET(Batting!$C$4,BatAves!$I28,0)</f>
        <v>Sajjid K</v>
      </c>
      <c r="C28" s="63">
        <f ca="1">OFFSET(Batting!$AK$4,BatAves!$I28,0)</f>
        <v>10</v>
      </c>
      <c r="D28" s="63">
        <f ca="1">OFFSET(Batting!$AM$4,BatAves!$I28,0)</f>
        <v>9</v>
      </c>
      <c r="E28" s="63">
        <f ca="1">OFFSET(Batting!$AN$4,BatAves!$I28,0)</f>
        <v>6</v>
      </c>
      <c r="F28" s="63" t="str">
        <f ca="1">OFFSET(Batting!$AP$4,BatAves!$I28,0)</f>
        <v>6*</v>
      </c>
      <c r="G28" s="63">
        <f ca="1">OFFSET(Batting!$AQ$4,BatAves!$I28,0)</f>
        <v>16</v>
      </c>
      <c r="H28" s="67">
        <f ca="1">OFFSET(Batting!$AR$4,BatAves!$I28,0)</f>
        <v>5.333333333333333</v>
      </c>
      <c r="I28" s="59">
        <f>MATCH(A28,Batting!$BM$5:$BM$62,0)</f>
        <v>43</v>
      </c>
      <c r="J28" s="59">
        <f t="shared" ca="1" si="0"/>
        <v>27</v>
      </c>
      <c r="K28" s="59">
        <f t="shared" ca="1" si="8"/>
        <v>14</v>
      </c>
      <c r="L28" s="59" t="str">
        <f t="shared" ca="1" si="1"/>
        <v/>
      </c>
      <c r="M28" s="59">
        <f t="shared" ca="1" si="9"/>
        <v>23</v>
      </c>
      <c r="N28" s="112">
        <v>27</v>
      </c>
      <c r="O28" s="112" t="str">
        <f t="shared" ca="1" si="2"/>
        <v>Brocks D</v>
      </c>
      <c r="P28" s="112">
        <f t="shared" ca="1" si="3"/>
        <v>3</v>
      </c>
      <c r="Q28" s="112">
        <f t="shared" ca="1" si="4"/>
        <v>0</v>
      </c>
      <c r="R28" s="112">
        <f t="shared" ca="1" si="5"/>
        <v>18</v>
      </c>
      <c r="S28" s="112">
        <f t="shared" ca="1" si="6"/>
        <v>22</v>
      </c>
      <c r="T28" s="114">
        <f t="shared" ca="1" si="7"/>
        <v>7.333333333333333</v>
      </c>
      <c r="V28" s="137"/>
    </row>
    <row r="29" spans="1:23" ht="12.75" x14ac:dyDescent="0.15">
      <c r="A29" s="59">
        <v>28</v>
      </c>
      <c r="B29" s="59" t="str">
        <f ca="1">OFFSET(Batting!$C$4,BatAves!$I29,0)</f>
        <v>Deol R</v>
      </c>
      <c r="C29" s="63">
        <f ca="1">OFFSET(Batting!$AK$4,BatAves!$I29,0)</f>
        <v>1</v>
      </c>
      <c r="D29" s="63">
        <f ca="1">OFFSET(Batting!$AM$4,BatAves!$I29,0)</f>
        <v>1</v>
      </c>
      <c r="E29" s="63">
        <f ca="1">OFFSET(Batting!$AN$4,BatAves!$I29,0)</f>
        <v>0</v>
      </c>
      <c r="F29" s="63">
        <f ca="1">OFFSET(Batting!$AP$4,BatAves!$I29,0)</f>
        <v>5</v>
      </c>
      <c r="G29" s="63">
        <f ca="1">OFFSET(Batting!$AQ$4,BatAves!$I29,0)</f>
        <v>5</v>
      </c>
      <c r="H29" s="67">
        <f ca="1">OFFSET(Batting!$AR$4,BatAves!$I29,0)</f>
        <v>5</v>
      </c>
      <c r="I29" s="59">
        <f>MATCH(A29,Batting!$BM$5:$BM$62,0)</f>
        <v>10</v>
      </c>
      <c r="J29" s="59">
        <f t="shared" ca="1" si="0"/>
        <v>1028</v>
      </c>
      <c r="K29" s="59">
        <f t="shared" ca="1" si="8"/>
        <v>29</v>
      </c>
      <c r="L29" s="59" t="str">
        <f t="shared" ca="1" si="1"/>
        <v>Deol R 1-0-5-5</v>
      </c>
      <c r="M29" s="59">
        <f t="shared" ca="1" si="9"/>
        <v>26</v>
      </c>
      <c r="N29" s="112">
        <v>28</v>
      </c>
      <c r="O29" s="112" t="str">
        <f t="shared" ca="1" si="2"/>
        <v>Mander C</v>
      </c>
      <c r="P29" s="112">
        <f t="shared" ca="1" si="3"/>
        <v>1</v>
      </c>
      <c r="Q29" s="112">
        <f t="shared" ca="1" si="4"/>
        <v>0</v>
      </c>
      <c r="R29" s="112">
        <f t="shared" ca="1" si="5"/>
        <v>6</v>
      </c>
      <c r="S29" s="112">
        <f t="shared" ca="1" si="6"/>
        <v>6</v>
      </c>
      <c r="T29" s="114">
        <f t="shared" ca="1" si="7"/>
        <v>6</v>
      </c>
      <c r="V29" s="137"/>
    </row>
    <row r="30" spans="1:23" ht="12.75" x14ac:dyDescent="0.15">
      <c r="A30" s="59">
        <v>29</v>
      </c>
      <c r="B30" s="59" t="str">
        <f ca="1">OFFSET(Batting!$C$4,BatAves!$I30,0)</f>
        <v>Jain A</v>
      </c>
      <c r="C30" s="63">
        <f ca="1">OFFSET(Batting!$AK$4,BatAves!$I30,0)</f>
        <v>7</v>
      </c>
      <c r="D30" s="63">
        <f ca="1">OFFSET(Batting!$AM$4,BatAves!$I30,0)</f>
        <v>6</v>
      </c>
      <c r="E30" s="63">
        <f ca="1">OFFSET(Batting!$AN$4,BatAves!$I30,0)</f>
        <v>1</v>
      </c>
      <c r="F30" s="63" t="str">
        <f ca="1">OFFSET(Batting!$AP$4,BatAves!$I30,0)</f>
        <v>9*</v>
      </c>
      <c r="G30" s="63">
        <f ca="1">OFFSET(Batting!$AQ$4,BatAves!$I30,0)</f>
        <v>22</v>
      </c>
      <c r="H30" s="67">
        <f ca="1">OFFSET(Batting!$AR$4,BatAves!$I30,0)</f>
        <v>4.4000000000000004</v>
      </c>
      <c r="I30" s="59">
        <f>MATCH(A30,Batting!$BM$5:$BM$62,0)</f>
        <v>15</v>
      </c>
      <c r="J30" s="59">
        <f t="shared" ca="1" si="0"/>
        <v>29</v>
      </c>
      <c r="K30" s="59">
        <f t="shared" ca="1" si="8"/>
        <v>15</v>
      </c>
      <c r="L30" s="59" t="str">
        <f t="shared" ca="1" si="1"/>
        <v/>
      </c>
      <c r="M30" s="59">
        <f t="shared" ca="1" si="9"/>
        <v>28</v>
      </c>
      <c r="N30" s="112">
        <v>29</v>
      </c>
      <c r="O30" s="112" t="str">
        <f t="shared" ca="1" si="2"/>
        <v>Deol R</v>
      </c>
      <c r="P30" s="112">
        <f t="shared" ca="1" si="3"/>
        <v>1</v>
      </c>
      <c r="Q30" s="112">
        <f t="shared" ca="1" si="4"/>
        <v>0</v>
      </c>
      <c r="R30" s="112">
        <f t="shared" ca="1" si="5"/>
        <v>5</v>
      </c>
      <c r="S30" s="112">
        <f t="shared" ca="1" si="6"/>
        <v>5</v>
      </c>
      <c r="T30" s="114">
        <f t="shared" ca="1" si="7"/>
        <v>5</v>
      </c>
      <c r="V30" s="137"/>
      <c r="W30" s="59" t="s">
        <v>194</v>
      </c>
    </row>
    <row r="31" spans="1:23" ht="12.75" x14ac:dyDescent="0.15">
      <c r="A31" s="59">
        <v>30</v>
      </c>
      <c r="B31" s="59" t="str">
        <f ca="1">OFFSET(Batting!$C$4,BatAves!$I31,0)</f>
        <v>Biswas A</v>
      </c>
      <c r="C31" s="63">
        <f ca="1">OFFSET(Batting!$AK$4,BatAves!$I31,0)</f>
        <v>1</v>
      </c>
      <c r="D31" s="63">
        <f ca="1">OFFSET(Batting!$AM$4,BatAves!$I31,0)</f>
        <v>1</v>
      </c>
      <c r="E31" s="63">
        <f ca="1">OFFSET(Batting!$AN$4,BatAves!$I31,0)</f>
        <v>0</v>
      </c>
      <c r="F31" s="63">
        <f ca="1">OFFSET(Batting!$AP$4,BatAves!$I31,0)</f>
        <v>4</v>
      </c>
      <c r="G31" s="63">
        <f ca="1">OFFSET(Batting!$AQ$4,BatAves!$I31,0)</f>
        <v>4</v>
      </c>
      <c r="H31" s="67">
        <f ca="1">OFFSET(Batting!$AR$4,BatAves!$I31,0)</f>
        <v>4</v>
      </c>
      <c r="I31" s="59">
        <f>MATCH(A31,Batting!$BM$5:$BM$62,0)</f>
        <v>4</v>
      </c>
      <c r="J31" s="59">
        <f t="shared" ca="1" si="0"/>
        <v>1030</v>
      </c>
      <c r="K31" s="59">
        <f t="shared" ca="1" si="8"/>
        <v>30</v>
      </c>
      <c r="L31" s="59" t="str">
        <f t="shared" ca="1" si="1"/>
        <v>Biswas A 1-0-4-4</v>
      </c>
      <c r="M31" s="59">
        <f t="shared" ca="1" si="9"/>
        <v>30</v>
      </c>
      <c r="N31" s="112">
        <v>30</v>
      </c>
      <c r="O31" s="112" t="str">
        <f t="shared" ca="1" si="2"/>
        <v>Biswas A</v>
      </c>
      <c r="P31" s="112">
        <f t="shared" ca="1" si="3"/>
        <v>1</v>
      </c>
      <c r="Q31" s="112">
        <f t="shared" ca="1" si="4"/>
        <v>0</v>
      </c>
      <c r="R31" s="112">
        <f t="shared" ca="1" si="5"/>
        <v>4</v>
      </c>
      <c r="S31" s="112">
        <f t="shared" ca="1" si="6"/>
        <v>4</v>
      </c>
      <c r="T31" s="114">
        <f t="shared" ca="1" si="7"/>
        <v>4</v>
      </c>
      <c r="V31" s="137"/>
      <c r="W31" s="59" t="s">
        <v>194</v>
      </c>
    </row>
    <row r="32" spans="1:23" ht="12.75" x14ac:dyDescent="0.15">
      <c r="A32" s="59">
        <v>31</v>
      </c>
      <c r="B32" s="59" t="str">
        <f ca="1">OFFSET(Batting!$C$4,BatAves!$I32,0)</f>
        <v>Rugg D</v>
      </c>
      <c r="C32" s="63">
        <f ca="1">OFFSET(Batting!$AK$4,BatAves!$I32,0)</f>
        <v>8</v>
      </c>
      <c r="D32" s="63">
        <f ca="1">OFFSET(Batting!$AM$4,BatAves!$I32,0)</f>
        <v>4</v>
      </c>
      <c r="E32" s="63">
        <f ca="1">OFFSET(Batting!$AN$4,BatAves!$I32,0)</f>
        <v>1</v>
      </c>
      <c r="F32" s="63">
        <f ca="1">OFFSET(Batting!$AP$4,BatAves!$I32,0)</f>
        <v>8</v>
      </c>
      <c r="G32" s="63">
        <f ca="1">OFFSET(Batting!$AQ$4,BatAves!$I32,0)</f>
        <v>9</v>
      </c>
      <c r="H32" s="67">
        <f ca="1">OFFSET(Batting!$AR$4,BatAves!$I32,0)</f>
        <v>3</v>
      </c>
      <c r="I32" s="59">
        <f>MATCH(A32,Batting!$BM$5:$BM$62,0)</f>
        <v>40</v>
      </c>
      <c r="J32" s="59">
        <f t="shared" ca="1" si="0"/>
        <v>1031</v>
      </c>
      <c r="K32" s="59">
        <f t="shared" ca="1" si="8"/>
        <v>31</v>
      </c>
      <c r="L32" s="59" t="str">
        <f t="shared" ca="1" si="1"/>
        <v>Rugg D 4-1-8-9</v>
      </c>
      <c r="M32" s="59">
        <f t="shared" ca="1" si="9"/>
        <v>31</v>
      </c>
      <c r="N32" s="112">
        <v>31</v>
      </c>
      <c r="O32" s="112" t="str">
        <f t="shared" ca="1" si="2"/>
        <v>Rugg D</v>
      </c>
      <c r="P32" s="112">
        <f t="shared" ca="1" si="3"/>
        <v>4</v>
      </c>
      <c r="Q32" s="112">
        <f t="shared" ca="1" si="4"/>
        <v>1</v>
      </c>
      <c r="R32" s="112">
        <f t="shared" ca="1" si="5"/>
        <v>8</v>
      </c>
      <c r="S32" s="112">
        <f t="shared" ca="1" si="6"/>
        <v>9</v>
      </c>
      <c r="T32" s="114">
        <f t="shared" ca="1" si="7"/>
        <v>3</v>
      </c>
      <c r="V32" s="137"/>
    </row>
    <row r="33" spans="1:23" ht="12.75" x14ac:dyDescent="0.15">
      <c r="A33" s="59">
        <v>32</v>
      </c>
      <c r="B33" s="59" t="str">
        <f ca="1">OFFSET(Batting!$C$4,BatAves!$I33,0)</f>
        <v>Khan A</v>
      </c>
      <c r="C33" s="63">
        <f ca="1">OFFSET(Batting!$AK$4,BatAves!$I33,0)</f>
        <v>2</v>
      </c>
      <c r="D33" s="63">
        <f ca="1">OFFSET(Batting!$AM$4,BatAves!$I33,0)</f>
        <v>1</v>
      </c>
      <c r="E33" s="63">
        <f ca="1">OFFSET(Batting!$AN$4,BatAves!$I33,0)</f>
        <v>0</v>
      </c>
      <c r="F33" s="63">
        <f ca="1">OFFSET(Batting!$AP$4,BatAves!$I33,0)</f>
        <v>0</v>
      </c>
      <c r="G33" s="63">
        <f ca="1">OFFSET(Batting!$AQ$4,BatAves!$I33,0)</f>
        <v>0</v>
      </c>
      <c r="H33" s="67">
        <f ca="1">OFFSET(Batting!$AR$4,BatAves!$I33,0)</f>
        <v>0</v>
      </c>
      <c r="I33" s="59">
        <f>MATCH(A33,Batting!$BM$5:$BM$62,0)</f>
        <v>17</v>
      </c>
      <c r="J33" s="59">
        <f t="shared" ca="1" si="0"/>
        <v>1032</v>
      </c>
      <c r="K33" s="59">
        <f t="shared" ca="1" si="8"/>
        <v>32</v>
      </c>
      <c r="L33" s="59" t="str">
        <f t="shared" ca="1" si="1"/>
        <v>Khan A 1-0-0-0</v>
      </c>
      <c r="M33" s="59">
        <f t="shared" ca="1" si="9"/>
        <v>32</v>
      </c>
      <c r="N33" s="112">
        <v>32</v>
      </c>
      <c r="O33" s="112" t="str">
        <f t="shared" ca="1" si="2"/>
        <v>Khan A</v>
      </c>
      <c r="P33" s="112">
        <f t="shared" ca="1" si="3"/>
        <v>1</v>
      </c>
      <c r="Q33" s="112">
        <f t="shared" ca="1" si="4"/>
        <v>0</v>
      </c>
      <c r="R33" s="112">
        <f t="shared" ca="1" si="5"/>
        <v>0</v>
      </c>
      <c r="S33" s="112">
        <f t="shared" ca="1" si="6"/>
        <v>0</v>
      </c>
      <c r="T33" s="114">
        <f t="shared" ca="1" si="7"/>
        <v>0</v>
      </c>
      <c r="V33" s="137"/>
    </row>
    <row r="34" spans="1:23" ht="12.75" x14ac:dyDescent="0.15">
      <c r="A34" s="59">
        <v>33</v>
      </c>
      <c r="B34" s="59" t="str">
        <f ca="1">OFFSET(Batting!$C$4,BatAves!$I34,0)</f>
        <v>Gardezi S</v>
      </c>
      <c r="C34" s="63">
        <f ca="1">OFFSET(Batting!$AK$4,BatAves!$I34,0)</f>
        <v>2</v>
      </c>
      <c r="D34" s="63">
        <f ca="1">OFFSET(Batting!$AM$4,BatAves!$I34,0)</f>
        <v>1</v>
      </c>
      <c r="E34" s="63">
        <f ca="1">OFFSET(Batting!$AN$4,BatAves!$I34,0)</f>
        <v>0</v>
      </c>
      <c r="F34" s="63">
        <f ca="1">OFFSET(Batting!$AP$4,BatAves!$I34,0)</f>
        <v>0</v>
      </c>
      <c r="G34" s="63">
        <f ca="1">OFFSET(Batting!$AQ$4,BatAves!$I34,0)</f>
        <v>0</v>
      </c>
      <c r="H34" s="67">
        <f ca="1">OFFSET(Batting!$AR$4,BatAves!$I34,0)</f>
        <v>0</v>
      </c>
      <c r="I34" s="59">
        <f>MATCH(A34,Batting!$BM$5:$BM$62,0)</f>
        <v>13</v>
      </c>
      <c r="J34" s="59">
        <f t="shared" ref="J34:J60" ca="1" si="10">IF(D34&gt;=5,A34,1000+A34)</f>
        <v>1033</v>
      </c>
      <c r="K34" s="59">
        <f t="shared" ca="1" si="8"/>
        <v>33</v>
      </c>
      <c r="L34" s="59" t="str">
        <f t="shared" ref="L34:L60" ca="1" si="11">IF(D34&lt;5,B34&amp;" "&amp;D34&amp;"-"&amp;E34&amp;"-"&amp;F34&amp;"-"&amp;G34,"")</f>
        <v>Gardezi S 1-0-0-0</v>
      </c>
      <c r="M34" s="59">
        <f t="shared" ca="1" si="9"/>
        <v>33</v>
      </c>
      <c r="N34" s="112">
        <v>33</v>
      </c>
      <c r="O34" s="112" t="str">
        <f t="shared" ca="1" si="2"/>
        <v>Gardezi S</v>
      </c>
      <c r="P34" s="112">
        <f t="shared" ca="1" si="3"/>
        <v>1</v>
      </c>
      <c r="Q34" s="112">
        <f t="shared" ca="1" si="4"/>
        <v>0</v>
      </c>
      <c r="R34" s="112">
        <f t="shared" ca="1" si="5"/>
        <v>0</v>
      </c>
      <c r="S34" s="112">
        <f t="shared" ca="1" si="6"/>
        <v>0</v>
      </c>
      <c r="T34" s="114">
        <f t="shared" ca="1" si="7"/>
        <v>0</v>
      </c>
      <c r="V34" s="137"/>
    </row>
    <row r="35" spans="1:23" ht="12.75" x14ac:dyDescent="0.15">
      <c r="A35" s="59">
        <v>34</v>
      </c>
      <c r="B35" s="59" t="str">
        <f ca="1">OFFSET(Batting!$C$4,BatAves!$I35,0)</f>
        <v>Turner R</v>
      </c>
      <c r="C35" s="63">
        <f ca="1">OFFSET(Batting!$AK$4,BatAves!$I35,0)</f>
        <v>1</v>
      </c>
      <c r="D35" s="63">
        <f ca="1">OFFSET(Batting!$AM$4,BatAves!$I35,0)</f>
        <v>1</v>
      </c>
      <c r="E35" s="63">
        <f ca="1">OFFSET(Batting!$AN$4,BatAves!$I35,0)</f>
        <v>1</v>
      </c>
      <c r="F35" s="63" t="str">
        <f ca="1">OFFSET(Batting!$AP$4,BatAves!$I35,0)</f>
        <v>16*</v>
      </c>
      <c r="G35" s="63">
        <f ca="1">OFFSET(Batting!$AQ$4,BatAves!$I35,0)</f>
        <v>16</v>
      </c>
      <c r="H35" s="67">
        <f ca="1">OFFSET(Batting!$AR$4,BatAves!$I35,0)</f>
        <v>0</v>
      </c>
      <c r="I35" s="59">
        <f>MATCH(A35,Batting!$BM$5:$BM$62,0)</f>
        <v>54</v>
      </c>
      <c r="J35" s="59">
        <f t="shared" ca="1" si="10"/>
        <v>1034</v>
      </c>
      <c r="K35" s="59">
        <f t="shared" ca="1" si="8"/>
        <v>34</v>
      </c>
      <c r="L35" s="59" t="str">
        <f t="shared" ca="1" si="11"/>
        <v>Turner R 1-1-16*-16</v>
      </c>
      <c r="M35" s="59">
        <f t="shared" ca="1" si="9"/>
        <v>34</v>
      </c>
      <c r="N35" s="112">
        <v>34</v>
      </c>
      <c r="O35" s="112" t="str">
        <f t="shared" ca="1" si="2"/>
        <v>Turner R</v>
      </c>
      <c r="P35" s="112">
        <f t="shared" ca="1" si="3"/>
        <v>1</v>
      </c>
      <c r="Q35" s="112">
        <f t="shared" ca="1" si="4"/>
        <v>1</v>
      </c>
      <c r="R35" s="112" t="str">
        <f t="shared" ca="1" si="5"/>
        <v>16*</v>
      </c>
      <c r="S35" s="112">
        <f t="shared" ca="1" si="6"/>
        <v>16</v>
      </c>
      <c r="T35" s="114">
        <f t="shared" ca="1" si="7"/>
        <v>0</v>
      </c>
      <c r="V35" s="137"/>
    </row>
    <row r="36" spans="1:23" ht="12.75" x14ac:dyDescent="0.15">
      <c r="A36" s="59">
        <v>35</v>
      </c>
      <c r="B36" s="59" t="str">
        <f ca="1">OFFSET(Batting!$C$4,BatAves!$I36,0)</f>
        <v>Parboo R</v>
      </c>
      <c r="C36" s="63">
        <f ca="1">OFFSET(Batting!$AK$4,BatAves!$I36,0)</f>
        <v>1</v>
      </c>
      <c r="D36" s="63">
        <f ca="1">OFFSET(Batting!$AM$4,BatAves!$I36,0)</f>
        <v>1</v>
      </c>
      <c r="E36" s="63">
        <f ca="1">OFFSET(Batting!$AN$4,BatAves!$I36,0)</f>
        <v>0</v>
      </c>
      <c r="F36" s="63">
        <f ca="1">OFFSET(Batting!$AP$4,BatAves!$I36,0)</f>
        <v>0</v>
      </c>
      <c r="G36" s="63">
        <f ca="1">OFFSET(Batting!$AQ$4,BatAves!$I36,0)</f>
        <v>0</v>
      </c>
      <c r="H36" s="67">
        <f ca="1">OFFSET(Batting!$AR$4,BatAves!$I36,0)</f>
        <v>0</v>
      </c>
      <c r="I36" s="59">
        <f>MATCH(A36,Batting!$BM$5:$BM$62,0)</f>
        <v>33</v>
      </c>
      <c r="J36" s="59">
        <f t="shared" ca="1" si="10"/>
        <v>1035</v>
      </c>
      <c r="K36" s="59">
        <f t="shared" ca="1" si="8"/>
        <v>35</v>
      </c>
      <c r="L36" s="59" t="str">
        <f t="shared" ca="1" si="11"/>
        <v>Parboo R 1-0-0-0</v>
      </c>
      <c r="M36" s="59">
        <f t="shared" ca="1" si="9"/>
        <v>35</v>
      </c>
      <c r="N36" s="112">
        <v>35</v>
      </c>
      <c r="O36" s="112" t="str">
        <f t="shared" ca="1" si="2"/>
        <v>Parboo R</v>
      </c>
      <c r="P36" s="112">
        <f t="shared" ca="1" si="3"/>
        <v>1</v>
      </c>
      <c r="Q36" s="112">
        <f t="shared" ca="1" si="4"/>
        <v>0</v>
      </c>
      <c r="R36" s="112">
        <f t="shared" ca="1" si="5"/>
        <v>0</v>
      </c>
      <c r="S36" s="112">
        <f t="shared" ca="1" si="6"/>
        <v>0</v>
      </c>
      <c r="T36" s="114">
        <f t="shared" ca="1" si="7"/>
        <v>0</v>
      </c>
      <c r="V36" s="137"/>
      <c r="W36" s="116"/>
    </row>
    <row r="37" spans="1:23" ht="12.75" x14ac:dyDescent="0.15">
      <c r="A37" s="59">
        <v>36</v>
      </c>
      <c r="B37" s="59" t="str">
        <f ca="1">OFFSET(Batting!$C$4,BatAves!$I37,0)</f>
        <v>Kiernan M</v>
      </c>
      <c r="C37" s="63">
        <f ca="1">OFFSET(Batting!$AK$4,BatAves!$I37,0)</f>
        <v>1</v>
      </c>
      <c r="D37" s="63">
        <f ca="1">OFFSET(Batting!$AM$4,BatAves!$I37,0)</f>
        <v>1</v>
      </c>
      <c r="E37" s="63">
        <f ca="1">OFFSET(Batting!$AN$4,BatAves!$I37,0)</f>
        <v>0</v>
      </c>
      <c r="F37" s="63">
        <f ca="1">OFFSET(Batting!$AP$4,BatAves!$I37,0)</f>
        <v>0</v>
      </c>
      <c r="G37" s="63">
        <f ca="1">OFFSET(Batting!$AQ$4,BatAves!$I37,0)</f>
        <v>0</v>
      </c>
      <c r="H37" s="67">
        <f ca="1">OFFSET(Batting!$AR$4,BatAves!$I37,0)</f>
        <v>0</v>
      </c>
      <c r="I37" s="59">
        <f>MATCH(A37,Batting!$BM$5:$BM$62,0)</f>
        <v>18</v>
      </c>
      <c r="J37" s="59">
        <f t="shared" ca="1" si="10"/>
        <v>1036</v>
      </c>
      <c r="K37" s="59">
        <f t="shared" ca="1" si="8"/>
        <v>36</v>
      </c>
      <c r="L37" s="59" t="str">
        <f t="shared" ca="1" si="11"/>
        <v>Kiernan M 1-0-0-0</v>
      </c>
      <c r="M37" s="59">
        <f t="shared" ca="1" si="9"/>
        <v>36</v>
      </c>
      <c r="N37" s="112">
        <v>36</v>
      </c>
      <c r="O37" s="112" t="str">
        <f t="shared" ca="1" si="2"/>
        <v>Kiernan M</v>
      </c>
      <c r="P37" s="112">
        <f t="shared" ca="1" si="3"/>
        <v>1</v>
      </c>
      <c r="Q37" s="112">
        <f t="shared" ca="1" si="4"/>
        <v>0</v>
      </c>
      <c r="R37" s="112">
        <f t="shared" ca="1" si="5"/>
        <v>0</v>
      </c>
      <c r="S37" s="112">
        <f t="shared" ca="1" si="6"/>
        <v>0</v>
      </c>
      <c r="T37" s="114">
        <f t="shared" ca="1" si="7"/>
        <v>0</v>
      </c>
      <c r="V37" s="137"/>
      <c r="W37" s="116"/>
    </row>
    <row r="38" spans="1:23" ht="12.75" x14ac:dyDescent="0.15">
      <c r="A38" s="59">
        <v>37</v>
      </c>
      <c r="B38" s="59" t="str">
        <f ca="1">OFFSET(Batting!$C$4,BatAves!$I38,0)</f>
        <v>Smith C</v>
      </c>
      <c r="C38" s="63">
        <f ca="1">OFFSET(Batting!$AK$4,BatAves!$I38,0)</f>
        <v>2</v>
      </c>
      <c r="D38" s="63">
        <f ca="1">OFFSET(Batting!$AM$4,BatAves!$I38,0)</f>
        <v>0</v>
      </c>
      <c r="E38" s="63">
        <f ca="1">OFFSET(Batting!$AN$4,BatAves!$I38,0)</f>
        <v>0</v>
      </c>
      <c r="F38" s="63">
        <f ca="1">OFFSET(Batting!$AP$4,BatAves!$I38,0)</f>
        <v>0</v>
      </c>
      <c r="G38" s="63">
        <f ca="1">OFFSET(Batting!$AQ$4,BatAves!$I38,0)</f>
        <v>0</v>
      </c>
      <c r="H38" s="67">
        <f ca="1">OFFSET(Batting!$AR$4,BatAves!$I38,0)</f>
        <v>0</v>
      </c>
      <c r="I38" s="59">
        <f>MATCH(A38,Batting!$BM$5:$BM$62,0)</f>
        <v>49</v>
      </c>
      <c r="J38" s="59">
        <f t="shared" ca="1" si="10"/>
        <v>1037</v>
      </c>
      <c r="K38" s="59">
        <f t="shared" ca="1" si="8"/>
        <v>37</v>
      </c>
      <c r="L38" s="59" t="str">
        <f t="shared" ca="1" si="11"/>
        <v>Smith C 0-0-0-0</v>
      </c>
      <c r="M38" s="59">
        <f t="shared" ca="1" si="9"/>
        <v>37</v>
      </c>
      <c r="N38" s="112">
        <v>37</v>
      </c>
      <c r="O38" s="112" t="str">
        <f t="shared" ca="1" si="2"/>
        <v>Smith C</v>
      </c>
      <c r="P38" s="112">
        <f t="shared" ca="1" si="3"/>
        <v>0</v>
      </c>
      <c r="Q38" s="112">
        <f t="shared" ca="1" si="4"/>
        <v>0</v>
      </c>
      <c r="R38" s="112">
        <f t="shared" ca="1" si="5"/>
        <v>0</v>
      </c>
      <c r="S38" s="112">
        <f t="shared" ca="1" si="6"/>
        <v>0</v>
      </c>
      <c r="T38" s="114">
        <f t="shared" ca="1" si="7"/>
        <v>0</v>
      </c>
    </row>
    <row r="39" spans="1:23" ht="12.75" x14ac:dyDescent="0.15">
      <c r="A39" s="59">
        <v>38</v>
      </c>
      <c r="B39" s="59" t="str">
        <f ca="1">OFFSET(Batting!$C$4,BatAves!$I39,0)</f>
        <v>Roy A</v>
      </c>
      <c r="C39" s="63">
        <f ca="1">OFFSET(Batting!$AK$4,BatAves!$I39,0)</f>
        <v>1</v>
      </c>
      <c r="D39" s="63">
        <f ca="1">OFFSET(Batting!$AM$4,BatAves!$I39,0)</f>
        <v>0</v>
      </c>
      <c r="E39" s="63">
        <f ca="1">OFFSET(Batting!$AN$4,BatAves!$I39,0)</f>
        <v>0</v>
      </c>
      <c r="F39" s="63">
        <f ca="1">OFFSET(Batting!$AP$4,BatAves!$I39,0)</f>
        <v>0</v>
      </c>
      <c r="G39" s="63">
        <f ca="1">OFFSET(Batting!$AQ$4,BatAves!$I39,0)</f>
        <v>0</v>
      </c>
      <c r="H39" s="67">
        <f ca="1">OFFSET(Batting!$AR$4,BatAves!$I39,0)</f>
        <v>0</v>
      </c>
      <c r="I39" s="59">
        <f>MATCH(A39,Batting!$BM$5:$BM$62,0)</f>
        <v>39</v>
      </c>
      <c r="J39" s="59">
        <f t="shared" ca="1" si="10"/>
        <v>1038</v>
      </c>
      <c r="K39" s="59">
        <f t="shared" ca="1" si="8"/>
        <v>38</v>
      </c>
      <c r="L39" s="59" t="str">
        <f t="shared" ca="1" si="11"/>
        <v>Roy A 0-0-0-0</v>
      </c>
      <c r="M39" s="59">
        <f t="shared" ca="1" si="9"/>
        <v>38</v>
      </c>
      <c r="N39" s="112">
        <v>38</v>
      </c>
      <c r="O39" s="112" t="str">
        <f t="shared" ca="1" si="2"/>
        <v>Roy A</v>
      </c>
      <c r="P39" s="112">
        <f t="shared" ca="1" si="3"/>
        <v>0</v>
      </c>
      <c r="Q39" s="112">
        <f t="shared" ca="1" si="4"/>
        <v>0</v>
      </c>
      <c r="R39" s="112">
        <f t="shared" ca="1" si="5"/>
        <v>0</v>
      </c>
      <c r="S39" s="112">
        <f t="shared" ca="1" si="6"/>
        <v>0</v>
      </c>
      <c r="T39" s="114">
        <f t="shared" ca="1" si="7"/>
        <v>0</v>
      </c>
    </row>
    <row r="40" spans="1:23" ht="12.75" x14ac:dyDescent="0.15">
      <c r="A40" s="59">
        <v>39</v>
      </c>
      <c r="B40" s="59" t="str">
        <f ca="1">OFFSET(Batting!$C$4,BatAves!$I40,0)</f>
        <v>"Naveed"</v>
      </c>
      <c r="C40" s="63">
        <f ca="1">OFFSET(Batting!$AK$4,BatAves!$I40,0)</f>
        <v>1</v>
      </c>
      <c r="D40" s="63">
        <f ca="1">OFFSET(Batting!$AM$4,BatAves!$I40,0)</f>
        <v>0</v>
      </c>
      <c r="E40" s="63">
        <f ca="1">OFFSET(Batting!$AN$4,BatAves!$I40,0)</f>
        <v>0</v>
      </c>
      <c r="F40" s="63">
        <f ca="1">OFFSET(Batting!$AP$4,BatAves!$I40,0)</f>
        <v>0</v>
      </c>
      <c r="G40" s="63">
        <f ca="1">OFFSET(Batting!$AQ$4,BatAves!$I40,0)</f>
        <v>0</v>
      </c>
      <c r="H40" s="67">
        <f ca="1">OFFSET(Batting!$AR$4,BatAves!$I40,0)</f>
        <v>0</v>
      </c>
      <c r="I40" s="59">
        <f>MATCH(A40,Batting!$BM$5:$BM$62,0)</f>
        <v>30</v>
      </c>
      <c r="J40" s="59">
        <f t="shared" ca="1" si="10"/>
        <v>1039</v>
      </c>
      <c r="K40" s="59">
        <f t="shared" ca="1" si="8"/>
        <v>39</v>
      </c>
      <c r="L40" s="59" t="str">
        <f t="shared" ca="1" si="11"/>
        <v>"Naveed" 0-0-0-0</v>
      </c>
      <c r="M40" s="59">
        <f t="shared" ca="1" si="9"/>
        <v>39</v>
      </c>
      <c r="N40" s="112">
        <v>39</v>
      </c>
      <c r="O40" s="112" t="str">
        <f t="shared" ca="1" si="2"/>
        <v>"Naveed"</v>
      </c>
      <c r="P40" s="112">
        <f t="shared" ca="1" si="3"/>
        <v>0</v>
      </c>
      <c r="Q40" s="112">
        <f t="shared" ca="1" si="4"/>
        <v>0</v>
      </c>
      <c r="R40" s="112">
        <f t="shared" ca="1" si="5"/>
        <v>0</v>
      </c>
      <c r="S40" s="112">
        <f t="shared" ca="1" si="6"/>
        <v>0</v>
      </c>
      <c r="T40" s="114">
        <f t="shared" ca="1" si="7"/>
        <v>0</v>
      </c>
    </row>
    <row r="41" spans="1:23" ht="12.75" x14ac:dyDescent="0.15">
      <c r="A41" s="59">
        <v>40</v>
      </c>
      <c r="B41" s="59" t="str">
        <f ca="1">OFFSET(Batting!$C$4,BatAves!$I41,0)</f>
        <v>Lestrelle A</v>
      </c>
      <c r="C41" s="63">
        <f ca="1">OFFSET(Batting!$AK$4,BatAves!$I41,0)</f>
        <v>1</v>
      </c>
      <c r="D41" s="63">
        <f ca="1">OFFSET(Batting!$AM$4,BatAves!$I41,0)</f>
        <v>0</v>
      </c>
      <c r="E41" s="63">
        <f ca="1">OFFSET(Batting!$AN$4,BatAves!$I41,0)</f>
        <v>0</v>
      </c>
      <c r="F41" s="63">
        <f ca="1">OFFSET(Batting!$AP$4,BatAves!$I41,0)</f>
        <v>0</v>
      </c>
      <c r="G41" s="63">
        <f ca="1">OFFSET(Batting!$AQ$4,BatAves!$I41,0)</f>
        <v>0</v>
      </c>
      <c r="H41" s="67">
        <f ca="1">OFFSET(Batting!$AR$4,BatAves!$I41,0)</f>
        <v>0</v>
      </c>
      <c r="I41" s="59">
        <f>MATCH(A41,Batting!$BM$5:$BM$62,0)</f>
        <v>20</v>
      </c>
      <c r="J41" s="59">
        <f t="shared" ca="1" si="10"/>
        <v>1040</v>
      </c>
      <c r="K41" s="59">
        <f t="shared" ca="1" si="8"/>
        <v>40</v>
      </c>
      <c r="L41" s="59" t="str">
        <f t="shared" ca="1" si="11"/>
        <v>Lestrelle A 0-0-0-0</v>
      </c>
      <c r="M41" s="59">
        <f t="shared" ca="1" si="9"/>
        <v>40</v>
      </c>
      <c r="N41" s="112">
        <v>40</v>
      </c>
      <c r="O41" s="112" t="str">
        <f t="shared" ca="1" si="2"/>
        <v>Lestrelle A</v>
      </c>
      <c r="P41" s="112">
        <f t="shared" ca="1" si="3"/>
        <v>0</v>
      </c>
      <c r="Q41" s="112">
        <f t="shared" ca="1" si="4"/>
        <v>0</v>
      </c>
      <c r="R41" s="112">
        <f t="shared" ca="1" si="5"/>
        <v>0</v>
      </c>
      <c r="S41" s="112">
        <f t="shared" ca="1" si="6"/>
        <v>0</v>
      </c>
      <c r="T41" s="114">
        <f t="shared" ca="1" si="7"/>
        <v>0</v>
      </c>
      <c r="V41" s="59" t="s">
        <v>194</v>
      </c>
    </row>
    <row r="42" spans="1:23" x14ac:dyDescent="0.15">
      <c r="A42" s="59">
        <v>41</v>
      </c>
      <c r="B42" s="59" t="str">
        <f ca="1">OFFSET(Batting!$C$4,BatAves!$I42,0)</f>
        <v>Woodhouse M</v>
      </c>
      <c r="C42" s="63">
        <f ca="1">OFFSET(Batting!$AK$4,BatAves!$I42,0)</f>
        <v>0</v>
      </c>
      <c r="D42" s="63">
        <f ca="1">OFFSET(Batting!$AM$4,BatAves!$I42,0)</f>
        <v>0</v>
      </c>
      <c r="E42" s="63">
        <f ca="1">OFFSET(Batting!$AN$4,BatAves!$I42,0)</f>
        <v>0</v>
      </c>
      <c r="F42" s="63">
        <f ca="1">OFFSET(Batting!$AP$4,BatAves!$I42,0)</f>
        <v>0</v>
      </c>
      <c r="G42" s="63">
        <f ca="1">OFFSET(Batting!$AQ$4,BatAves!$I42,0)</f>
        <v>0</v>
      </c>
      <c r="H42" s="67">
        <f ca="1">OFFSET(Batting!$AR$4,BatAves!$I42,0)</f>
        <v>0</v>
      </c>
      <c r="I42" s="59">
        <f>MATCH(A42,Batting!$BM$5:$BM$62,0)</f>
        <v>58</v>
      </c>
      <c r="J42" s="59">
        <f t="shared" ca="1" si="10"/>
        <v>1041</v>
      </c>
      <c r="K42" s="59">
        <f t="shared" ca="1" si="8"/>
        <v>41</v>
      </c>
      <c r="L42" s="59" t="str">
        <f t="shared" ca="1" si="11"/>
        <v>Woodhouse M 0-0-0-0</v>
      </c>
      <c r="M42" s="59">
        <f t="shared" ca="1" si="9"/>
        <v>41</v>
      </c>
      <c r="N42" s="108">
        <v>41</v>
      </c>
      <c r="O42" s="108" t="str">
        <f t="shared" ca="1" si="2"/>
        <v>Woodhouse M</v>
      </c>
      <c r="P42" s="108">
        <f t="shared" ca="1" si="3"/>
        <v>0</v>
      </c>
      <c r="Q42" s="108">
        <f t="shared" ca="1" si="4"/>
        <v>0</v>
      </c>
      <c r="R42" s="108">
        <f t="shared" ca="1" si="5"/>
        <v>0</v>
      </c>
      <c r="S42" s="108">
        <f t="shared" ca="1" si="6"/>
        <v>0</v>
      </c>
      <c r="T42" s="109">
        <f t="shared" ca="1" si="7"/>
        <v>0</v>
      </c>
      <c r="V42" s="59" t="s">
        <v>194</v>
      </c>
    </row>
    <row r="43" spans="1:23" x14ac:dyDescent="0.15">
      <c r="A43" s="59">
        <v>42</v>
      </c>
      <c r="B43" s="59" t="str">
        <f ca="1">OFFSET(Batting!$C$4,BatAves!$I43,0)</f>
        <v>Wilson A</v>
      </c>
      <c r="C43" s="63">
        <f ca="1">OFFSET(Batting!$AK$4,BatAves!$I43,0)</f>
        <v>0</v>
      </c>
      <c r="D43" s="63">
        <f ca="1">OFFSET(Batting!$AM$4,BatAves!$I43,0)</f>
        <v>0</v>
      </c>
      <c r="E43" s="63">
        <f ca="1">OFFSET(Batting!$AN$4,BatAves!$I43,0)</f>
        <v>0</v>
      </c>
      <c r="F43" s="63">
        <f ca="1">OFFSET(Batting!$AP$4,BatAves!$I43,0)</f>
        <v>0</v>
      </c>
      <c r="G43" s="63">
        <f ca="1">OFFSET(Batting!$AQ$4,BatAves!$I43,0)</f>
        <v>0</v>
      </c>
      <c r="H43" s="67">
        <f ca="1">OFFSET(Batting!$AR$4,BatAves!$I43,0)</f>
        <v>0</v>
      </c>
      <c r="I43" s="59">
        <f>MATCH(A43,Batting!$BM$5:$BM$62,0)</f>
        <v>57</v>
      </c>
      <c r="J43" s="59">
        <f t="shared" ca="1" si="10"/>
        <v>1042</v>
      </c>
      <c r="K43" s="59">
        <f t="shared" ca="1" si="8"/>
        <v>42</v>
      </c>
      <c r="L43" s="59" t="str">
        <f t="shared" ca="1" si="11"/>
        <v>Wilson A 0-0-0-0</v>
      </c>
      <c r="M43" s="59">
        <f t="shared" ca="1" si="9"/>
        <v>42</v>
      </c>
      <c r="N43" s="108">
        <v>42</v>
      </c>
      <c r="O43" s="108" t="str">
        <f t="shared" ca="1" si="2"/>
        <v>Wilson A</v>
      </c>
      <c r="P43" s="108">
        <f t="shared" ca="1" si="3"/>
        <v>0</v>
      </c>
      <c r="Q43" s="108">
        <f t="shared" ca="1" si="4"/>
        <v>0</v>
      </c>
      <c r="R43" s="108">
        <f t="shared" ca="1" si="5"/>
        <v>0</v>
      </c>
      <c r="S43" s="108">
        <f t="shared" ca="1" si="6"/>
        <v>0</v>
      </c>
      <c r="T43" s="109">
        <f t="shared" ca="1" si="7"/>
        <v>0</v>
      </c>
      <c r="V43" s="59" t="s">
        <v>194</v>
      </c>
    </row>
    <row r="44" spans="1:23" x14ac:dyDescent="0.15">
      <c r="A44" s="59">
        <v>43</v>
      </c>
      <c r="B44" s="59" t="str">
        <f ca="1">OFFSET(Batting!$C$4,BatAves!$I44,0)</f>
        <v>Taylor C</v>
      </c>
      <c r="C44" s="63">
        <f ca="1">OFFSET(Batting!$AK$4,BatAves!$I44,0)</f>
        <v>0</v>
      </c>
      <c r="D44" s="63">
        <f ca="1">OFFSET(Batting!$AM$4,BatAves!$I44,0)</f>
        <v>0</v>
      </c>
      <c r="E44" s="63">
        <f ca="1">OFFSET(Batting!$AN$4,BatAves!$I44,0)</f>
        <v>0</v>
      </c>
      <c r="F44" s="63">
        <f ca="1">OFFSET(Batting!$AP$4,BatAves!$I44,0)</f>
        <v>0</v>
      </c>
      <c r="G44" s="63">
        <f ca="1">OFFSET(Batting!$AQ$4,BatAves!$I44,0)</f>
        <v>0</v>
      </c>
      <c r="H44" s="67">
        <f ca="1">OFFSET(Batting!$AR$4,BatAves!$I44,0)</f>
        <v>0</v>
      </c>
      <c r="I44" s="59">
        <f>MATCH(A44,Batting!$BM$5:$BM$62,0)</f>
        <v>53</v>
      </c>
      <c r="J44" s="59">
        <f t="shared" ca="1" si="10"/>
        <v>1043</v>
      </c>
      <c r="K44" s="59">
        <f t="shared" ca="1" si="8"/>
        <v>43</v>
      </c>
      <c r="L44" s="59" t="str">
        <f t="shared" ca="1" si="11"/>
        <v>Taylor C 0-0-0-0</v>
      </c>
      <c r="V44" s="59" t="s">
        <v>194</v>
      </c>
    </row>
    <row r="45" spans="1:23" x14ac:dyDescent="0.15">
      <c r="A45" s="59">
        <v>44</v>
      </c>
      <c r="B45" s="59" t="str">
        <f ca="1">OFFSET(Batting!$C$4,BatAves!$I45,0)</f>
        <v>Sunkara C</v>
      </c>
      <c r="C45" s="63">
        <f ca="1">OFFSET(Batting!$AK$4,BatAves!$I45,0)</f>
        <v>0</v>
      </c>
      <c r="D45" s="63">
        <f ca="1">OFFSET(Batting!$AM$4,BatAves!$I45,0)</f>
        <v>0</v>
      </c>
      <c r="E45" s="63">
        <f ca="1">OFFSET(Batting!$AN$4,BatAves!$I45,0)</f>
        <v>0</v>
      </c>
      <c r="F45" s="63">
        <f ca="1">OFFSET(Batting!$AP$4,BatAves!$I45,0)</f>
        <v>0</v>
      </c>
      <c r="G45" s="63">
        <f ca="1">OFFSET(Batting!$AQ$4,BatAves!$I45,0)</f>
        <v>0</v>
      </c>
      <c r="H45" s="67">
        <f ca="1">OFFSET(Batting!$AR$4,BatAves!$I45,0)</f>
        <v>0</v>
      </c>
      <c r="I45" s="59">
        <f>MATCH(A45,Batting!$BM$5:$BM$62,0)</f>
        <v>52</v>
      </c>
      <c r="J45" s="59">
        <f t="shared" ca="1" si="10"/>
        <v>1044</v>
      </c>
      <c r="K45" s="59">
        <f t="shared" ca="1" si="8"/>
        <v>44</v>
      </c>
      <c r="L45" s="59" t="str">
        <f t="shared" ca="1" si="11"/>
        <v>Sunkara C 0-0-0-0</v>
      </c>
      <c r="V45" s="59" t="s">
        <v>194</v>
      </c>
    </row>
    <row r="46" spans="1:23" x14ac:dyDescent="0.15">
      <c r="A46" s="59">
        <v>45</v>
      </c>
      <c r="B46" s="59" t="str">
        <f ca="1">OFFSET(Batting!$C$4,BatAves!$I46,0)</f>
        <v>Shome G</v>
      </c>
      <c r="C46" s="63">
        <f ca="1">OFFSET(Batting!$AK$4,BatAves!$I46,0)</f>
        <v>0</v>
      </c>
      <c r="D46" s="63">
        <f ca="1">OFFSET(Batting!$AM$4,BatAves!$I46,0)</f>
        <v>0</v>
      </c>
      <c r="E46" s="63">
        <f ca="1">OFFSET(Batting!$AN$4,BatAves!$I46,0)</f>
        <v>0</v>
      </c>
      <c r="F46" s="63">
        <f ca="1">OFFSET(Batting!$AP$4,BatAves!$I46,0)</f>
        <v>0</v>
      </c>
      <c r="G46" s="63">
        <f ca="1">OFFSET(Batting!$AQ$4,BatAves!$I46,0)</f>
        <v>0</v>
      </c>
      <c r="H46" s="67">
        <f ca="1">OFFSET(Batting!$AR$4,BatAves!$I46,0)</f>
        <v>0</v>
      </c>
      <c r="I46" s="59">
        <f>MATCH(A46,Batting!$BM$5:$BM$62,0)</f>
        <v>48</v>
      </c>
      <c r="J46" s="59">
        <f t="shared" ca="1" si="10"/>
        <v>1045</v>
      </c>
      <c r="K46" s="59">
        <f t="shared" ca="1" si="8"/>
        <v>45</v>
      </c>
      <c r="L46" s="59" t="str">
        <f t="shared" ca="1" si="11"/>
        <v>Shome G 0-0-0-0</v>
      </c>
      <c r="N46" s="108" t="s">
        <v>194</v>
      </c>
      <c r="V46" s="59" t="s">
        <v>194</v>
      </c>
    </row>
    <row r="47" spans="1:23" x14ac:dyDescent="0.15">
      <c r="A47" s="59">
        <v>46</v>
      </c>
      <c r="B47" s="59" t="str">
        <f ca="1">OFFSET(Batting!$C$4,BatAves!$I47,0)</f>
        <v>Sharpe H</v>
      </c>
      <c r="C47" s="63">
        <f ca="1">OFFSET(Batting!$AK$4,BatAves!$I47,0)</f>
        <v>0</v>
      </c>
      <c r="D47" s="63">
        <f ca="1">OFFSET(Batting!$AM$4,BatAves!$I47,0)</f>
        <v>0</v>
      </c>
      <c r="E47" s="63">
        <f ca="1">OFFSET(Batting!$AN$4,BatAves!$I47,0)</f>
        <v>0</v>
      </c>
      <c r="F47" s="63">
        <f ca="1">OFFSET(Batting!$AP$4,BatAves!$I47,0)</f>
        <v>0</v>
      </c>
      <c r="G47" s="63">
        <f ca="1">OFFSET(Batting!$AQ$4,BatAves!$I47,0)</f>
        <v>0</v>
      </c>
      <c r="H47" s="67">
        <f ca="1">OFFSET(Batting!$AR$4,BatAves!$I47,0)</f>
        <v>0</v>
      </c>
      <c r="I47" s="59">
        <f>MATCH(A47,Batting!$BM$5:$BM$62,0)</f>
        <v>47</v>
      </c>
      <c r="J47" s="59">
        <f t="shared" ca="1" si="10"/>
        <v>1046</v>
      </c>
      <c r="K47" s="59">
        <f t="shared" ca="1" si="8"/>
        <v>46</v>
      </c>
      <c r="L47" s="59" t="str">
        <f t="shared" ca="1" si="11"/>
        <v>Sharpe H 0-0-0-0</v>
      </c>
      <c r="N47" s="108" t="s">
        <v>194</v>
      </c>
      <c r="V47" s="59" t="s">
        <v>194</v>
      </c>
    </row>
    <row r="48" spans="1:23" x14ac:dyDescent="0.15">
      <c r="A48" s="59">
        <v>47</v>
      </c>
      <c r="B48" s="59" t="str">
        <f ca="1">OFFSET(Batting!$C$4,BatAves!$I48,0)</f>
        <v>Sajjid A</v>
      </c>
      <c r="C48" s="63">
        <f ca="1">OFFSET(Batting!$AK$4,BatAves!$I48,0)</f>
        <v>0</v>
      </c>
      <c r="D48" s="63">
        <f ca="1">OFFSET(Batting!$AM$4,BatAves!$I48,0)</f>
        <v>0</v>
      </c>
      <c r="E48" s="63">
        <f ca="1">OFFSET(Batting!$AN$4,BatAves!$I48,0)</f>
        <v>0</v>
      </c>
      <c r="F48" s="63">
        <f ca="1">OFFSET(Batting!$AP$4,BatAves!$I48,0)</f>
        <v>0</v>
      </c>
      <c r="G48" s="63">
        <f ca="1">OFFSET(Batting!$AQ$4,BatAves!$I48,0)</f>
        <v>0</v>
      </c>
      <c r="H48" s="67">
        <f ca="1">OFFSET(Batting!$AR$4,BatAves!$I48,0)</f>
        <v>0</v>
      </c>
      <c r="I48" s="59">
        <f>MATCH(A48,Batting!$BM$5:$BM$62,0)</f>
        <v>42</v>
      </c>
      <c r="J48" s="59">
        <f t="shared" ca="1" si="10"/>
        <v>1047</v>
      </c>
      <c r="K48" s="59">
        <f t="shared" ca="1" si="8"/>
        <v>47</v>
      </c>
      <c r="L48" s="59" t="str">
        <f t="shared" ca="1" si="11"/>
        <v>Sajjid A 0-0-0-0</v>
      </c>
      <c r="N48" s="108" t="s">
        <v>194</v>
      </c>
    </row>
    <row r="49" spans="1:15" x14ac:dyDescent="0.15">
      <c r="A49" s="59">
        <v>48</v>
      </c>
      <c r="B49" s="59" t="str">
        <f ca="1">OFFSET(Batting!$C$4,BatAves!$I49,0)</f>
        <v>Seev J</v>
      </c>
      <c r="C49" s="63">
        <f ca="1">OFFSET(Batting!$AK$4,BatAves!$I49,0)</f>
        <v>0</v>
      </c>
      <c r="D49" s="63">
        <f ca="1">OFFSET(Batting!$AM$4,BatAves!$I49,0)</f>
        <v>0</v>
      </c>
      <c r="E49" s="63">
        <f ca="1">OFFSET(Batting!$AN$4,BatAves!$I49,0)</f>
        <v>0</v>
      </c>
      <c r="F49" s="63">
        <f ca="1">OFFSET(Batting!$AP$4,BatAves!$I49,0)</f>
        <v>0</v>
      </c>
      <c r="G49" s="63">
        <f ca="1">OFFSET(Batting!$AQ$4,BatAves!$I49,0)</f>
        <v>0</v>
      </c>
      <c r="H49" s="67">
        <f ca="1">OFFSET(Batting!$AR$4,BatAves!$I49,0)</f>
        <v>0</v>
      </c>
      <c r="I49" s="59">
        <f>MATCH(A49,Batting!$BM$5:$BM$62,0)</f>
        <v>41</v>
      </c>
      <c r="J49" s="59">
        <f t="shared" ca="1" si="10"/>
        <v>1048</v>
      </c>
      <c r="K49" s="59">
        <f t="shared" ca="1" si="8"/>
        <v>48</v>
      </c>
      <c r="L49" s="59" t="str">
        <f t="shared" ca="1" si="11"/>
        <v>Seev J 0-0-0-0</v>
      </c>
      <c r="N49" s="108" t="s">
        <v>194</v>
      </c>
      <c r="O49" s="110" t="s">
        <v>194</v>
      </c>
    </row>
    <row r="50" spans="1:15" x14ac:dyDescent="0.15">
      <c r="A50" s="59">
        <v>49</v>
      </c>
      <c r="B50" s="59" t="str">
        <f ca="1">OFFSET(Batting!$C$4,BatAves!$I50,0)</f>
        <v>Roland ???</v>
      </c>
      <c r="C50" s="63">
        <f ca="1">OFFSET(Batting!$AK$4,BatAves!$I50,0)</f>
        <v>0</v>
      </c>
      <c r="D50" s="63">
        <f ca="1">OFFSET(Batting!$AM$4,BatAves!$I50,0)</f>
        <v>0</v>
      </c>
      <c r="E50" s="63">
        <f ca="1">OFFSET(Batting!$AN$4,BatAves!$I50,0)</f>
        <v>0</v>
      </c>
      <c r="F50" s="63">
        <f ca="1">OFFSET(Batting!$AP$4,BatAves!$I50,0)</f>
        <v>0</v>
      </c>
      <c r="G50" s="63">
        <f ca="1">OFFSET(Batting!$AQ$4,BatAves!$I50,0)</f>
        <v>0</v>
      </c>
      <c r="H50" s="67">
        <f ca="1">OFFSET(Batting!$AR$4,BatAves!$I50,0)</f>
        <v>0</v>
      </c>
      <c r="I50" s="59">
        <f>MATCH(A50,Batting!$BM$5:$BM$62,0)</f>
        <v>38</v>
      </c>
      <c r="J50" s="59">
        <f t="shared" ca="1" si="10"/>
        <v>1049</v>
      </c>
      <c r="K50" s="59">
        <f t="shared" ca="1" si="8"/>
        <v>49</v>
      </c>
      <c r="L50" s="59" t="str">
        <f t="shared" ca="1" si="11"/>
        <v>Roland ??? 0-0-0-0</v>
      </c>
      <c r="N50" s="108" t="s">
        <v>194</v>
      </c>
      <c r="O50" s="110" t="s">
        <v>194</v>
      </c>
    </row>
    <row r="51" spans="1:15" x14ac:dyDescent="0.15">
      <c r="A51" s="59">
        <v>50</v>
      </c>
      <c r="B51" s="59" t="str">
        <f ca="1">OFFSET(Batting!$C$4,BatAves!$I51,0)</f>
        <v>Rathi N</v>
      </c>
      <c r="C51" s="63">
        <f ca="1">OFFSET(Batting!$AK$4,BatAves!$I51,0)</f>
        <v>0</v>
      </c>
      <c r="D51" s="63">
        <f ca="1">OFFSET(Batting!$AM$4,BatAves!$I51,0)</f>
        <v>0</v>
      </c>
      <c r="E51" s="63">
        <f ca="1">OFFSET(Batting!$AN$4,BatAves!$I51,0)</f>
        <v>0</v>
      </c>
      <c r="F51" s="63">
        <f ca="1">OFFSET(Batting!$AP$4,BatAves!$I51,0)</f>
        <v>0</v>
      </c>
      <c r="G51" s="63">
        <f ca="1">OFFSET(Batting!$AQ$4,BatAves!$I51,0)</f>
        <v>0</v>
      </c>
      <c r="H51" s="67">
        <f ca="1">OFFSET(Batting!$AR$4,BatAves!$I51,0)</f>
        <v>0</v>
      </c>
      <c r="I51" s="59">
        <f>MATCH(A51,Batting!$BM$5:$BM$62,0)</f>
        <v>37</v>
      </c>
      <c r="J51" s="59">
        <f t="shared" ca="1" si="10"/>
        <v>1050</v>
      </c>
      <c r="K51" s="59">
        <f t="shared" ca="1" si="8"/>
        <v>50</v>
      </c>
      <c r="L51" s="59" t="str">
        <f t="shared" ca="1" si="11"/>
        <v>Rathi N 0-0-0-0</v>
      </c>
      <c r="N51" s="108" t="s">
        <v>194</v>
      </c>
      <c r="O51" s="110" t="s">
        <v>194</v>
      </c>
    </row>
    <row r="52" spans="1:15" x14ac:dyDescent="0.15">
      <c r="A52" s="59">
        <v>51</v>
      </c>
      <c r="B52" s="59" t="str">
        <f ca="1">OFFSET(Batting!$C$4,BatAves!$I52,0)</f>
        <v>O'Rourke</v>
      </c>
      <c r="C52" s="63">
        <f ca="1">OFFSET(Batting!$AK$4,BatAves!$I52,0)</f>
        <v>0</v>
      </c>
      <c r="D52" s="63">
        <f ca="1">OFFSET(Batting!$AM$4,BatAves!$I52,0)</f>
        <v>0</v>
      </c>
      <c r="E52" s="63">
        <f ca="1">OFFSET(Batting!$AN$4,BatAves!$I52,0)</f>
        <v>0</v>
      </c>
      <c r="F52" s="63">
        <f ca="1">OFFSET(Batting!$AP$4,BatAves!$I52,0)</f>
        <v>0</v>
      </c>
      <c r="G52" s="63">
        <f ca="1">OFFSET(Batting!$AQ$4,BatAves!$I52,0)</f>
        <v>0</v>
      </c>
      <c r="H52" s="67">
        <f ca="1">OFFSET(Batting!$AR$4,BatAves!$I52,0)</f>
        <v>0</v>
      </c>
      <c r="I52" s="59">
        <f>MATCH(A52,Batting!$BM$5:$BM$62,0)</f>
        <v>32</v>
      </c>
      <c r="J52" s="59">
        <f t="shared" ca="1" si="10"/>
        <v>1051</v>
      </c>
      <c r="K52" s="59">
        <f t="shared" ca="1" si="8"/>
        <v>51</v>
      </c>
      <c r="L52" s="59" t="str">
        <f t="shared" ca="1" si="11"/>
        <v>O'Rourke 0-0-0-0</v>
      </c>
      <c r="N52" s="108" t="s">
        <v>194</v>
      </c>
      <c r="O52" s="110" t="s">
        <v>194</v>
      </c>
    </row>
    <row r="53" spans="1:15" x14ac:dyDescent="0.15">
      <c r="A53" s="59">
        <v>52</v>
      </c>
      <c r="B53" s="59" t="str">
        <f ca="1">OFFSET(Batting!$C$4,BatAves!$I53,0)</f>
        <v>Naish J</v>
      </c>
      <c r="C53" s="63">
        <f ca="1">OFFSET(Batting!$AK$4,BatAves!$I53,0)</f>
        <v>0</v>
      </c>
      <c r="D53" s="63">
        <f ca="1">OFFSET(Batting!$AM$4,BatAves!$I53,0)</f>
        <v>0</v>
      </c>
      <c r="E53" s="63">
        <f ca="1">OFFSET(Batting!$AN$4,BatAves!$I53,0)</f>
        <v>0</v>
      </c>
      <c r="F53" s="63">
        <f ca="1">OFFSET(Batting!$AP$4,BatAves!$I53,0)</f>
        <v>0</v>
      </c>
      <c r="G53" s="63">
        <f ca="1">OFFSET(Batting!$AQ$4,BatAves!$I53,0)</f>
        <v>0</v>
      </c>
      <c r="H53" s="67">
        <f ca="1">OFFSET(Batting!$AR$4,BatAves!$I53,0)</f>
        <v>0</v>
      </c>
      <c r="I53" s="59">
        <f>MATCH(A53,Batting!$BM$5:$BM$62,0)</f>
        <v>29</v>
      </c>
      <c r="J53" s="59">
        <f t="shared" ca="1" si="10"/>
        <v>1052</v>
      </c>
      <c r="K53" s="59">
        <f t="shared" ca="1" si="8"/>
        <v>52</v>
      </c>
      <c r="L53" s="59" t="str">
        <f t="shared" ca="1" si="11"/>
        <v>Naish J 0-0-0-0</v>
      </c>
      <c r="N53" s="108" t="s">
        <v>194</v>
      </c>
      <c r="O53" s="110" t="s">
        <v>194</v>
      </c>
    </row>
    <row r="54" spans="1:15" x14ac:dyDescent="0.15">
      <c r="A54" s="59">
        <v>53</v>
      </c>
      <c r="B54" s="59" t="str">
        <f ca="1">OFFSET(Batting!$C$4,BatAves!$I54,0)</f>
        <v>"Luca"</v>
      </c>
      <c r="C54" s="63">
        <f ca="1">OFFSET(Batting!$AK$4,BatAves!$I54,0)</f>
        <v>0</v>
      </c>
      <c r="D54" s="63">
        <f ca="1">OFFSET(Batting!$AM$4,BatAves!$I54,0)</f>
        <v>0</v>
      </c>
      <c r="E54" s="63">
        <f ca="1">OFFSET(Batting!$AN$4,BatAves!$I54,0)</f>
        <v>0</v>
      </c>
      <c r="F54" s="63">
        <f ca="1">OFFSET(Batting!$AP$4,BatAves!$I54,0)</f>
        <v>0</v>
      </c>
      <c r="G54" s="63">
        <f ca="1">OFFSET(Batting!$AQ$4,BatAves!$I54,0)</f>
        <v>0</v>
      </c>
      <c r="H54" s="67">
        <f ca="1">OFFSET(Batting!$AR$4,BatAves!$I54,0)</f>
        <v>0</v>
      </c>
      <c r="I54" s="59">
        <f>MATCH(A54,Batting!$BM$5:$BM$62,0)</f>
        <v>23</v>
      </c>
      <c r="J54" s="59">
        <f t="shared" ca="1" si="10"/>
        <v>1053</v>
      </c>
      <c r="K54" s="59">
        <f t="shared" ca="1" si="8"/>
        <v>53</v>
      </c>
      <c r="L54" s="59" t="str">
        <f t="shared" ca="1" si="11"/>
        <v>"Luca" 0-0-0-0</v>
      </c>
      <c r="N54" s="108" t="s">
        <v>194</v>
      </c>
      <c r="O54" s="110" t="s">
        <v>194</v>
      </c>
    </row>
    <row r="55" spans="1:15" x14ac:dyDescent="0.15">
      <c r="A55" s="59">
        <v>54</v>
      </c>
      <c r="B55" s="59" t="str">
        <f ca="1">OFFSET(Batting!$C$4,BatAves!$I55,0)</f>
        <v>Low-Hughes A</v>
      </c>
      <c r="C55" s="63">
        <f ca="1">OFFSET(Batting!$AK$4,BatAves!$I55,0)</f>
        <v>0</v>
      </c>
      <c r="D55" s="63">
        <f ca="1">OFFSET(Batting!$AM$4,BatAves!$I55,0)</f>
        <v>0</v>
      </c>
      <c r="E55" s="63">
        <f ca="1">OFFSET(Batting!$AN$4,BatAves!$I55,0)</f>
        <v>0</v>
      </c>
      <c r="F55" s="63">
        <f ca="1">OFFSET(Batting!$AP$4,BatAves!$I55,0)</f>
        <v>0</v>
      </c>
      <c r="G55" s="63">
        <f ca="1">OFFSET(Batting!$AQ$4,BatAves!$I55,0)</f>
        <v>0</v>
      </c>
      <c r="H55" s="67">
        <f ca="1">OFFSET(Batting!$AR$4,BatAves!$I55,0)</f>
        <v>0</v>
      </c>
      <c r="I55" s="59">
        <f>MATCH(A55,Batting!$BM$5:$BM$62,0)</f>
        <v>22</v>
      </c>
      <c r="J55" s="59">
        <f t="shared" ca="1" si="10"/>
        <v>1054</v>
      </c>
      <c r="K55" s="59">
        <f t="shared" ca="1" si="8"/>
        <v>54</v>
      </c>
      <c r="L55" s="59" t="str">
        <f t="shared" ca="1" si="11"/>
        <v>Low-Hughes A 0-0-0-0</v>
      </c>
      <c r="N55" s="108" t="s">
        <v>194</v>
      </c>
      <c r="O55" s="110" t="s">
        <v>194</v>
      </c>
    </row>
    <row r="56" spans="1:15" x14ac:dyDescent="0.15">
      <c r="A56" s="59">
        <v>55</v>
      </c>
      <c r="B56" s="59" t="str">
        <f ca="1">OFFSET(Batting!$C$4,BatAves!$I56,0)</f>
        <v>Hemasinghe M</v>
      </c>
      <c r="C56" s="63">
        <f ca="1">OFFSET(Batting!$AK$4,BatAves!$I56,0)</f>
        <v>0</v>
      </c>
      <c r="D56" s="63">
        <f ca="1">OFFSET(Batting!$AM$4,BatAves!$I56,0)</f>
        <v>0</v>
      </c>
      <c r="E56" s="63">
        <f ca="1">OFFSET(Batting!$AN$4,BatAves!$I56,0)</f>
        <v>0</v>
      </c>
      <c r="F56" s="63">
        <f ca="1">OFFSET(Batting!$AP$4,BatAves!$I56,0)</f>
        <v>0</v>
      </c>
      <c r="G56" s="63">
        <f ca="1">OFFSET(Batting!$AQ$4,BatAves!$I56,0)</f>
        <v>0</v>
      </c>
      <c r="H56" s="67">
        <f ca="1">OFFSET(Batting!$AR$4,BatAves!$I56,0)</f>
        <v>0</v>
      </c>
      <c r="I56" s="59">
        <f>MATCH(A56,Batting!$BM$5:$BM$62,0)</f>
        <v>14</v>
      </c>
      <c r="J56" s="59">
        <f t="shared" ca="1" si="10"/>
        <v>1055</v>
      </c>
      <c r="K56" s="59">
        <f t="shared" ca="1" si="8"/>
        <v>55</v>
      </c>
      <c r="L56" s="59" t="str">
        <f t="shared" ca="1" si="11"/>
        <v>Hemasinghe M 0-0-0-0</v>
      </c>
      <c r="N56" s="108" t="s">
        <v>194</v>
      </c>
      <c r="O56" s="110" t="s">
        <v>194</v>
      </c>
    </row>
    <row r="57" spans="1:15" x14ac:dyDescent="0.15">
      <c r="A57" s="59">
        <v>56</v>
      </c>
      <c r="B57" s="59" t="str">
        <f ca="1">OFFSET(Batting!$C$4,BatAves!$I57,0)</f>
        <v>Ffrench R</v>
      </c>
      <c r="C57" s="63">
        <f ca="1">OFFSET(Batting!$AK$4,BatAves!$I57,0)</f>
        <v>0</v>
      </c>
      <c r="D57" s="63">
        <f ca="1">OFFSET(Batting!$AM$4,BatAves!$I57,0)</f>
        <v>0</v>
      </c>
      <c r="E57" s="63">
        <f ca="1">OFFSET(Batting!$AN$4,BatAves!$I57,0)</f>
        <v>0</v>
      </c>
      <c r="F57" s="63">
        <f ca="1">OFFSET(Batting!$AP$4,BatAves!$I57,0)</f>
        <v>0</v>
      </c>
      <c r="G57" s="63">
        <f ca="1">OFFSET(Batting!$AQ$4,BatAves!$I57,0)</f>
        <v>0</v>
      </c>
      <c r="H57" s="67">
        <f ca="1">OFFSET(Batting!$AR$4,BatAves!$I57,0)</f>
        <v>0</v>
      </c>
      <c r="I57" s="59">
        <f>MATCH(A57,Batting!$BM$5:$BM$62,0)</f>
        <v>12</v>
      </c>
      <c r="J57" s="59">
        <f t="shared" ca="1" si="10"/>
        <v>1056</v>
      </c>
      <c r="K57" s="59">
        <f t="shared" ca="1" si="8"/>
        <v>56</v>
      </c>
      <c r="L57" s="59" t="str">
        <f t="shared" ca="1" si="11"/>
        <v>Ffrench R 0-0-0-0</v>
      </c>
      <c r="O57" s="110" t="s">
        <v>194</v>
      </c>
    </row>
    <row r="58" spans="1:15" x14ac:dyDescent="0.15">
      <c r="A58" s="59">
        <v>57</v>
      </c>
      <c r="B58" s="59" t="str">
        <f ca="1">OFFSET(Batting!$C$4,BatAves!$I58,0)</f>
        <v>Fleming N</v>
      </c>
      <c r="C58" s="63">
        <f ca="1">OFFSET(Batting!$AK$4,BatAves!$I58,0)</f>
        <v>0</v>
      </c>
      <c r="D58" s="63">
        <f ca="1">OFFSET(Batting!$AM$4,BatAves!$I58,0)</f>
        <v>0</v>
      </c>
      <c r="E58" s="63">
        <f ca="1">OFFSET(Batting!$AN$4,BatAves!$I58,0)</f>
        <v>0</v>
      </c>
      <c r="F58" s="63">
        <f ca="1">OFFSET(Batting!$AP$4,BatAves!$I58,0)</f>
        <v>0</v>
      </c>
      <c r="G58" s="63">
        <f ca="1">OFFSET(Batting!$AQ$4,BatAves!$I58,0)</f>
        <v>0</v>
      </c>
      <c r="H58" s="67">
        <f ca="1">OFFSET(Batting!$AR$4,BatAves!$I58,0)</f>
        <v>0</v>
      </c>
      <c r="I58" s="59">
        <f>MATCH(A58,Batting!$BM$5:$BM$62,0)</f>
        <v>11</v>
      </c>
      <c r="J58" s="59">
        <f t="shared" ca="1" si="10"/>
        <v>1057</v>
      </c>
      <c r="K58" s="59">
        <f t="shared" ca="1" si="8"/>
        <v>57</v>
      </c>
      <c r="L58" s="59" t="str">
        <f t="shared" ca="1" si="11"/>
        <v>Fleming N 0-0-0-0</v>
      </c>
      <c r="O58" s="110" t="s">
        <v>194</v>
      </c>
    </row>
    <row r="59" spans="1:15" x14ac:dyDescent="0.15">
      <c r="A59" s="59">
        <v>58</v>
      </c>
      <c r="B59" s="59" t="str">
        <f ca="1">OFFSET(Batting!$C$4,BatAves!$I59,0)</f>
        <v>Clarkson M</v>
      </c>
      <c r="C59" s="63">
        <f ca="1">OFFSET(Batting!$AK$4,BatAves!$I59,0)</f>
        <v>0</v>
      </c>
      <c r="D59" s="63">
        <f ca="1">OFFSET(Batting!$AM$4,BatAves!$I59,0)</f>
        <v>0</v>
      </c>
      <c r="E59" s="63">
        <f ca="1">OFFSET(Batting!$AN$4,BatAves!$I59,0)</f>
        <v>0</v>
      </c>
      <c r="F59" s="63">
        <f ca="1">OFFSET(Batting!$AP$4,BatAves!$I59,0)</f>
        <v>0</v>
      </c>
      <c r="G59" s="63">
        <f ca="1">OFFSET(Batting!$AQ$4,BatAves!$I59,0)</f>
        <v>0</v>
      </c>
      <c r="H59" s="67">
        <f ca="1">OFFSET(Batting!$AR$4,BatAves!$I59,0)</f>
        <v>0</v>
      </c>
      <c r="I59" s="59">
        <f>MATCH(A59,Batting!$BM$5:$BM$62,0)</f>
        <v>6</v>
      </c>
      <c r="J59" s="59">
        <f t="shared" ca="1" si="10"/>
        <v>1058</v>
      </c>
      <c r="K59" s="59">
        <f t="shared" ca="1" si="8"/>
        <v>58</v>
      </c>
      <c r="L59" s="59" t="str">
        <f t="shared" ca="1" si="11"/>
        <v>Clarkson M 0-0-0-0</v>
      </c>
      <c r="O59" s="110" t="s">
        <v>194</v>
      </c>
    </row>
    <row r="60" spans="1:15" x14ac:dyDescent="0.15">
      <c r="A60" s="59">
        <v>59</v>
      </c>
      <c r="B60" s="59" t="e">
        <f ca="1">OFFSET(Batting!$C$4,BatAves!$I60,0)</f>
        <v>#N/A</v>
      </c>
      <c r="C60" s="63" t="e">
        <f ca="1">OFFSET(Batting!$AK$4,BatAves!$I60,0)</f>
        <v>#N/A</v>
      </c>
      <c r="D60" s="63" t="e">
        <f ca="1">OFFSET(Batting!$AM$4,BatAves!$I60,0)</f>
        <v>#N/A</v>
      </c>
      <c r="E60" s="63" t="e">
        <f ca="1">OFFSET(Batting!$AN$4,BatAves!$I60,0)</f>
        <v>#N/A</v>
      </c>
      <c r="F60" s="63" t="e">
        <f ca="1">OFFSET(Batting!$AP$4,BatAves!$I60,0)</f>
        <v>#N/A</v>
      </c>
      <c r="G60" s="63" t="e">
        <f ca="1">OFFSET(Batting!$AQ$4,BatAves!$I60,0)</f>
        <v>#N/A</v>
      </c>
      <c r="H60" s="67" t="e">
        <f ca="1">OFFSET(Batting!$AR$4,BatAves!$I60,0)</f>
        <v>#N/A</v>
      </c>
      <c r="I60" s="59" t="e">
        <f>MATCH(A60,Batting!$BM$5:$BM$62,0)</f>
        <v>#N/A</v>
      </c>
      <c r="J60" s="59" t="e">
        <f t="shared" ca="1" si="10"/>
        <v>#N/A</v>
      </c>
      <c r="K60" s="59" t="e">
        <f t="shared" ca="1" si="8"/>
        <v>#N/A</v>
      </c>
      <c r="L60" s="59" t="e">
        <f t="shared" ca="1" si="11"/>
        <v>#N/A</v>
      </c>
      <c r="O60" s="110" t="s">
        <v>194</v>
      </c>
    </row>
    <row r="61" spans="1:15" x14ac:dyDescent="0.15">
      <c r="O61" s="110" t="s">
        <v>194</v>
      </c>
    </row>
    <row r="66" spans="12:12" x14ac:dyDescent="0.15">
      <c r="L66" s="59" t="s">
        <v>194</v>
      </c>
    </row>
    <row r="67" spans="12:12" x14ac:dyDescent="0.15">
      <c r="L67" s="59" t="s">
        <v>194</v>
      </c>
    </row>
    <row r="68" spans="12:12" x14ac:dyDescent="0.15">
      <c r="L68" s="59" t="s">
        <v>194</v>
      </c>
    </row>
    <row r="69" spans="12:12" x14ac:dyDescent="0.15">
      <c r="L69" s="59" t="s">
        <v>194</v>
      </c>
    </row>
    <row r="70" spans="12:12" x14ac:dyDescent="0.15">
      <c r="L70" s="59" t="s">
        <v>194</v>
      </c>
    </row>
    <row r="71" spans="12:12" x14ac:dyDescent="0.15">
      <c r="L71" s="59" t="s">
        <v>194</v>
      </c>
    </row>
    <row r="72" spans="12:12" x14ac:dyDescent="0.15">
      <c r="L72" s="59" t="s">
        <v>194</v>
      </c>
    </row>
    <row r="73" spans="12:12" x14ac:dyDescent="0.15">
      <c r="L73" s="59" t="s">
        <v>194</v>
      </c>
    </row>
    <row r="74" spans="12:12" x14ac:dyDescent="0.15">
      <c r="L74" s="59" t="s">
        <v>194</v>
      </c>
    </row>
    <row r="75" spans="12:12" x14ac:dyDescent="0.15">
      <c r="L75" s="59" t="s">
        <v>194</v>
      </c>
    </row>
    <row r="76" spans="12:12" x14ac:dyDescent="0.15">
      <c r="L76" s="59" t="s">
        <v>194</v>
      </c>
    </row>
    <row r="77" spans="12:12" x14ac:dyDescent="0.15">
      <c r="L77" s="59" t="s">
        <v>194</v>
      </c>
    </row>
    <row r="78" spans="12:12" x14ac:dyDescent="0.15">
      <c r="L78" s="59" t="s">
        <v>194</v>
      </c>
    </row>
    <row r="79" spans="12:12" x14ac:dyDescent="0.15">
      <c r="L79" s="59" t="s">
        <v>194</v>
      </c>
    </row>
    <row r="80" spans="12:12" x14ac:dyDescent="0.15">
      <c r="L80" s="59" t="s">
        <v>194</v>
      </c>
    </row>
    <row r="81" spans="12:12" x14ac:dyDescent="0.15">
      <c r="L81" s="59" t="s">
        <v>194</v>
      </c>
    </row>
    <row r="82" spans="12:12" x14ac:dyDescent="0.15">
      <c r="L82" s="59" t="s">
        <v>194</v>
      </c>
    </row>
  </sheetData>
  <sortState xmlns:xlrd2="http://schemas.microsoft.com/office/spreadsheetml/2017/richdata2"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D90"/>
  <sheetViews>
    <sheetView workbookViewId="0">
      <selection activeCell="P2" sqref="P2:Y5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130" bestFit="1" customWidth="1"/>
    <col min="5" max="5" width="5.140625" style="131" bestFit="1" customWidth="1"/>
    <col min="6" max="6" width="5" style="131" bestFit="1" customWidth="1"/>
    <col min="7" max="7" width="7.28515625" style="131" bestFit="1" customWidth="1"/>
    <col min="8" max="8" width="7.28515625" style="67" bestFit="1" customWidth="1"/>
    <col min="9" max="9" width="6.5703125" style="133" bestFit="1" customWidth="1"/>
    <col min="10" max="10" width="5.5703125" style="133" bestFit="1" customWidth="1"/>
    <col min="11" max="11" width="4.7109375" style="131" bestFit="1" customWidth="1"/>
    <col min="12" max="12" width="5.28515625" style="131" bestFit="1" customWidth="1"/>
    <col min="13" max="13" width="5.85546875" style="131" bestFit="1" customWidth="1"/>
    <col min="14" max="14" width="23.5703125" bestFit="1" customWidth="1"/>
    <col min="15" max="15" width="9.85546875" bestFit="1" customWidth="1"/>
    <col min="17" max="17" width="10.85546875" bestFit="1" customWidth="1"/>
    <col min="18" max="18" width="13.140625" bestFit="1" customWidth="1"/>
    <col min="22" max="22" width="9.140625" style="52"/>
    <col min="28" max="28" width="19.7109375" customWidth="1"/>
  </cols>
  <sheetData>
    <row r="1" spans="1:30" x14ac:dyDescent="0.15">
      <c r="A1" s="52" t="s">
        <v>132</v>
      </c>
      <c r="D1" s="130" t="s">
        <v>30</v>
      </c>
      <c r="E1" s="131" t="s">
        <v>31</v>
      </c>
      <c r="F1" s="131" t="s">
        <v>9</v>
      </c>
      <c r="G1" s="131" t="s">
        <v>134</v>
      </c>
      <c r="H1" s="66" t="s">
        <v>33</v>
      </c>
      <c r="I1" s="132" t="s">
        <v>34</v>
      </c>
      <c r="J1" s="132" t="s">
        <v>35</v>
      </c>
      <c r="K1" s="65" t="s">
        <v>90</v>
      </c>
      <c r="L1" s="65"/>
      <c r="M1" s="65"/>
      <c r="O1" t="s">
        <v>192</v>
      </c>
      <c r="P1">
        <f t="array" aca="1" ref="P1" ca="1">SUM(IF(NOT(ISNA(C2:C51)),1,0))</f>
        <v>44</v>
      </c>
      <c r="Q1" t="s">
        <v>193</v>
      </c>
      <c r="R1">
        <f t="array" aca="1" ref="R1" ca="1">SUM(IF(OFFSET(G2,0,0,P1,1)&gt;=10,1,0))</f>
        <v>5</v>
      </c>
    </row>
    <row r="2" spans="1:30" x14ac:dyDescent="0.15">
      <c r="A2">
        <v>1</v>
      </c>
      <c r="B2">
        <f>MATCH(A2,Bowling!$AU$5:$AU$48,0)</f>
        <v>27</v>
      </c>
      <c r="C2" t="str">
        <f ca="1">OFFSET(Bowling!$B$4,BowlAves!B2,0)</f>
        <v>Roy A</v>
      </c>
      <c r="D2" s="130">
        <f t="array" aca="1" ref="D2:K2" ca="1">OFFSET(Bowling!$AL$4,BowlAves!B2,0,1,8)</f>
        <v>3</v>
      </c>
      <c r="E2" s="131">
        <f ca="1"/>
        <v>0</v>
      </c>
      <c r="F2" s="131">
        <f ca="1"/>
        <v>12</v>
      </c>
      <c r="G2" s="131">
        <f ca="1"/>
        <v>2</v>
      </c>
      <c r="H2" s="67">
        <f ca="1"/>
        <v>6</v>
      </c>
      <c r="I2" s="133">
        <f ca="1"/>
        <v>9</v>
      </c>
      <c r="J2" s="133">
        <f ca="1"/>
        <v>4</v>
      </c>
      <c r="K2" s="134" t="str">
        <f ca="1"/>
        <v>2-12</v>
      </c>
      <c r="L2" s="134">
        <f ca="1">IF(G2&gt;=10,A2,1000+A2)</f>
        <v>1001</v>
      </c>
      <c r="M2" s="134">
        <f ca="1">RANK(L2,OFFSET($L$2,0,0,$P$1,1),-1)</f>
        <v>6</v>
      </c>
      <c r="N2" t="str">
        <f ca="1">IF(G2&gt;=10,"",C2&amp;" "&amp;D2&amp;"-"&amp;E2&amp;"-"&amp;F2&amp;"-"&amp;G2&amp;", ")</f>
        <v xml:space="preserve">Roy A 3-0-12-2, </v>
      </c>
      <c r="Q2" s="135" t="s">
        <v>76</v>
      </c>
      <c r="R2" s="136" t="s">
        <v>30</v>
      </c>
      <c r="S2" s="136" t="s">
        <v>31</v>
      </c>
      <c r="T2" s="136" t="s">
        <v>9</v>
      </c>
      <c r="U2" s="136" t="s">
        <v>134</v>
      </c>
      <c r="V2" s="136" t="s">
        <v>33</v>
      </c>
      <c r="W2" s="136" t="s">
        <v>34</v>
      </c>
      <c r="X2" s="136" t="s">
        <v>35</v>
      </c>
      <c r="Y2" s="136" t="s">
        <v>90</v>
      </c>
      <c r="Z2" s="136" t="s">
        <v>217</v>
      </c>
      <c r="AC2" t="s">
        <v>332</v>
      </c>
      <c r="AD2">
        <f ca="1">COUNT(D:D)</f>
        <v>44</v>
      </c>
    </row>
    <row r="3" spans="1:30" ht="11.25" x14ac:dyDescent="0.2">
      <c r="A3">
        <v>2</v>
      </c>
      <c r="B3">
        <f>MATCH(A3,Bowling!$AU$5:$AU$48,0)</f>
        <v>21</v>
      </c>
      <c r="C3" t="str">
        <f ca="1">OFFSET(Bowling!$B$4,BowlAves!B3,0)</f>
        <v>Nair S</v>
      </c>
      <c r="D3" s="130">
        <f t="array" aca="1" ref="D3:K3" ca="1">OFFSET(Bowling!$AL$4,BowlAves!B3,0,1,8)</f>
        <v>65.2</v>
      </c>
      <c r="E3" s="131">
        <f ca="1"/>
        <v>10</v>
      </c>
      <c r="F3" s="131">
        <f ca="1"/>
        <v>210</v>
      </c>
      <c r="G3" s="131">
        <f ca="1"/>
        <v>22</v>
      </c>
      <c r="H3" s="67">
        <f ca="1"/>
        <v>9.5500000000000007</v>
      </c>
      <c r="I3" s="133">
        <f ca="1"/>
        <v>17.818181818181817</v>
      </c>
      <c r="J3" s="133">
        <f ca="1"/>
        <v>3.2142857142857144</v>
      </c>
      <c r="K3" s="134" t="str">
        <f ca="1"/>
        <v>4-23</v>
      </c>
      <c r="L3" s="134">
        <f t="shared" ref="L3:L51" ca="1" si="0">IF(G3&gt;=10,A3,1000+A3)</f>
        <v>2</v>
      </c>
      <c r="M3" s="134">
        <f t="shared" ref="M3:M51" ca="1" si="1">RANK(L3,OFFSET($L$2,0,0,$P$1,1),-1)</f>
        <v>1</v>
      </c>
      <c r="N3" t="str">
        <f t="shared" ref="N3:N51" ca="1" si="2">IF(G3&gt;=10,"",C3&amp;" "&amp;D3&amp;"-"&amp;E3&amp;"-"&amp;F3&amp;"-"&amp;G3&amp;", ")</f>
        <v/>
      </c>
      <c r="P3" s="137">
        <v>1</v>
      </c>
      <c r="Q3" s="138" t="str">
        <f t="array" aca="1" ref="Q3:Y3" ca="1">OFFSET($C$2,MATCH(P3,$M$2:$M$51,0)-1,0,1,9)</f>
        <v>Nair S</v>
      </c>
      <c r="R3" s="139">
        <f ca="1"/>
        <v>65.2</v>
      </c>
      <c r="S3" s="139">
        <f ca="1"/>
        <v>10</v>
      </c>
      <c r="T3" s="139">
        <f ca="1"/>
        <v>210</v>
      </c>
      <c r="U3" s="139">
        <f ca="1"/>
        <v>22</v>
      </c>
      <c r="V3" s="140">
        <f ca="1"/>
        <v>9.5500000000000007</v>
      </c>
      <c r="W3" s="141">
        <f ca="1"/>
        <v>17.818181818181817</v>
      </c>
      <c r="X3" s="141">
        <f ca="1"/>
        <v>3.2142857142857144</v>
      </c>
      <c r="Y3" s="141" t="str">
        <f ca="1"/>
        <v>4-23</v>
      </c>
      <c r="Z3" s="149">
        <f ca="1">S3/R3</f>
        <v>0.15337423312883436</v>
      </c>
      <c r="AA3" s="149">
        <f ca="1">IF(R3&gt;=20,Z3,"")</f>
        <v>0.15337423312883436</v>
      </c>
      <c r="AC3" t="s">
        <v>335</v>
      </c>
      <c r="AD3">
        <f ca="1">SUMPRODUCT(--(OFFSET(D2,0,0,AD2,1)&gt;0))</f>
        <v>27</v>
      </c>
    </row>
    <row r="4" spans="1:30" ht="11.25" x14ac:dyDescent="0.2">
      <c r="A4">
        <v>3</v>
      </c>
      <c r="B4">
        <f>MATCH(A4,Bowling!$AU$5:$AU$48,0)</f>
        <v>17</v>
      </c>
      <c r="C4" t="str">
        <f ca="1">OFFSET(Bowling!$B$4,BowlAves!B4,0)</f>
        <v>Khan A</v>
      </c>
      <c r="D4" s="130">
        <f t="array" aca="1" ref="D4:K4" ca="1">OFFSET(Bowling!$AL$4,BowlAves!B4,0,1,8)</f>
        <v>13.2</v>
      </c>
      <c r="E4" s="131">
        <f ca="1"/>
        <v>4</v>
      </c>
      <c r="F4" s="131">
        <f ca="1"/>
        <v>41</v>
      </c>
      <c r="G4" s="131">
        <f ca="1"/>
        <v>4</v>
      </c>
      <c r="H4" s="67">
        <f ca="1"/>
        <v>10.25</v>
      </c>
      <c r="I4" s="133">
        <f ca="1"/>
        <v>20</v>
      </c>
      <c r="J4" s="133">
        <f ca="1"/>
        <v>3.0750000000000002</v>
      </c>
      <c r="K4" s="134" t="str">
        <f ca="1"/>
        <v>3-17</v>
      </c>
      <c r="L4" s="134">
        <f t="shared" ca="1" si="0"/>
        <v>1003</v>
      </c>
      <c r="M4" s="134">
        <f t="shared" ca="1" si="1"/>
        <v>7</v>
      </c>
      <c r="N4" t="str">
        <f t="shared" ca="1" si="2"/>
        <v xml:space="preserve">Khan A 13.2-4-41-4, </v>
      </c>
      <c r="P4" s="137">
        <v>2</v>
      </c>
      <c r="Q4" s="138" t="str">
        <f t="array" aca="1" ref="Q4:Y4" ca="1">OFFSET($C$2,MATCH(P4,$M$2:$M$51,0)-1,0,1,9)</f>
        <v>Kogulathasan D</v>
      </c>
      <c r="R4" s="139">
        <f ca="1"/>
        <v>50.3</v>
      </c>
      <c r="S4" s="139">
        <f ca="1"/>
        <v>4</v>
      </c>
      <c r="T4" s="139">
        <f ca="1"/>
        <v>189</v>
      </c>
      <c r="U4" s="139">
        <f ca="1"/>
        <v>11</v>
      </c>
      <c r="V4" s="140">
        <f ca="1"/>
        <v>17.18</v>
      </c>
      <c r="W4" s="141">
        <f ca="1"/>
        <v>27.545454545454547</v>
      </c>
      <c r="X4" s="141">
        <f ca="1"/>
        <v>3.7425742574257428</v>
      </c>
      <c r="Y4" s="141" t="str">
        <f ca="1"/>
        <v>3-21</v>
      </c>
      <c r="Z4" s="149">
        <f t="shared" ref="Z4:Z25" ca="1" si="3">S4/R4</f>
        <v>7.9522862823061632E-2</v>
      </c>
      <c r="AA4" s="149">
        <f t="shared" ref="AA4:AA25" ca="1" si="4">IF(R4&gt;=20,Z4,"")</f>
        <v>7.9522862823061632E-2</v>
      </c>
      <c r="AC4" t="s">
        <v>331</v>
      </c>
      <c r="AD4">
        <f ca="1">SUMPRODUCT(--(OFFSET(U3,0,0,AD3,1)&gt;=10))</f>
        <v>5</v>
      </c>
    </row>
    <row r="5" spans="1:30" ht="11.25" x14ac:dyDescent="0.2">
      <c r="A5">
        <v>4</v>
      </c>
      <c r="B5">
        <f>MATCH(A5,Bowling!$AU$5:$AU$48,0)</f>
        <v>23</v>
      </c>
      <c r="C5" t="str">
        <f ca="1">OFFSET(Bowling!$B$4,BowlAves!B5,0)</f>
        <v>Parboo R</v>
      </c>
      <c r="D5" s="130">
        <f t="array" aca="1" ref="D5:K5" ca="1">OFFSET(Bowling!$AL$4,BowlAves!B5,0,1,8)</f>
        <v>8</v>
      </c>
      <c r="E5" s="131">
        <f ca="1"/>
        <v>1</v>
      </c>
      <c r="F5" s="131">
        <f ca="1"/>
        <v>25</v>
      </c>
      <c r="G5" s="131">
        <f ca="1"/>
        <v>2</v>
      </c>
      <c r="H5" s="67">
        <f ca="1"/>
        <v>12.5</v>
      </c>
      <c r="I5" s="133">
        <f ca="1"/>
        <v>24</v>
      </c>
      <c r="J5" s="133">
        <f ca="1"/>
        <v>3.125</v>
      </c>
      <c r="K5" s="134" t="str">
        <f ca="1"/>
        <v>2-25</v>
      </c>
      <c r="L5" s="134">
        <f t="shared" ca="1" si="0"/>
        <v>1004</v>
      </c>
      <c r="M5" s="134">
        <f t="shared" ca="1" si="1"/>
        <v>8</v>
      </c>
      <c r="N5" t="str">
        <f t="shared" ca="1" si="2"/>
        <v xml:space="preserve">Parboo R 8-1-25-2, </v>
      </c>
      <c r="P5" s="137">
        <v>3</v>
      </c>
      <c r="Q5" s="138" t="str">
        <f t="array" aca="1" ref="Q5:Y5" ca="1">OFFSET($C$2,MATCH(P5,$M$2:$M$51,0)-1,0,1,9)</f>
        <v>Springer T</v>
      </c>
      <c r="R5" s="139">
        <f ca="1"/>
        <v>43.5</v>
      </c>
      <c r="S5" s="139">
        <f ca="1"/>
        <v>6</v>
      </c>
      <c r="T5" s="139">
        <f ca="1"/>
        <v>209</v>
      </c>
      <c r="U5" s="139">
        <f ca="1"/>
        <v>11</v>
      </c>
      <c r="V5" s="140">
        <f ca="1"/>
        <v>19</v>
      </c>
      <c r="W5" s="141">
        <f ca="1"/>
        <v>23.90909090909091</v>
      </c>
      <c r="X5" s="141">
        <f ca="1"/>
        <v>4.7680608365019008</v>
      </c>
      <c r="Y5" s="141" t="str">
        <f ca="1"/>
        <v>4-27</v>
      </c>
      <c r="Z5" s="149">
        <f t="shared" ca="1" si="3"/>
        <v>0.13793103448275862</v>
      </c>
      <c r="AA5" s="149">
        <f t="shared" ca="1" si="4"/>
        <v>0.13793103448275862</v>
      </c>
    </row>
    <row r="6" spans="1:30" ht="11.25" x14ac:dyDescent="0.2">
      <c r="A6">
        <v>5</v>
      </c>
      <c r="B6">
        <f>MATCH(A6,Bowling!$AU$5:$AU$48,0)</f>
        <v>33</v>
      </c>
      <c r="C6" t="str">
        <f ca="1">OFFSET(Bowling!$B$4,BowlAves!B6,0)</f>
        <v>Seymour D</v>
      </c>
      <c r="D6" s="130">
        <f t="array" aca="1" ref="D6:K6" ca="1">OFFSET(Bowling!$AL$4,BowlAves!B6,0,1,8)</f>
        <v>2</v>
      </c>
      <c r="E6" s="131">
        <f ca="1"/>
        <v>0</v>
      </c>
      <c r="F6" s="131">
        <f ca="1"/>
        <v>13</v>
      </c>
      <c r="G6" s="131">
        <f ca="1"/>
        <v>1</v>
      </c>
      <c r="H6" s="67">
        <f ca="1"/>
        <v>13</v>
      </c>
      <c r="I6" s="133">
        <f ca="1"/>
        <v>12</v>
      </c>
      <c r="J6" s="133">
        <f ca="1"/>
        <v>6.5</v>
      </c>
      <c r="K6" s="134" t="str">
        <f ca="1"/>
        <v>1-13</v>
      </c>
      <c r="L6" s="134">
        <f t="shared" ca="1" si="0"/>
        <v>1005</v>
      </c>
      <c r="M6" s="134">
        <f t="shared" ca="1" si="1"/>
        <v>9</v>
      </c>
      <c r="N6" t="str">
        <f t="shared" ca="1" si="2"/>
        <v xml:space="preserve">Seymour D 2-0-13-1, </v>
      </c>
      <c r="P6" s="137">
        <v>4</v>
      </c>
      <c r="Q6" s="138" t="str">
        <f t="array" aca="1" ref="Q6:Y6" ca="1">OFFSET($C$2,MATCH(P6,$M$2:$M$51,0)-1,0,1,9)</f>
        <v>Bhatt P</v>
      </c>
      <c r="R6" s="139">
        <f ca="1"/>
        <v>77.3</v>
      </c>
      <c r="S6" s="139">
        <f ca="1"/>
        <v>11</v>
      </c>
      <c r="T6" s="139">
        <f ca="1"/>
        <v>341</v>
      </c>
      <c r="U6" s="139">
        <f ca="1"/>
        <v>16</v>
      </c>
      <c r="V6" s="140">
        <f ca="1"/>
        <v>21.31</v>
      </c>
      <c r="W6" s="141">
        <f ca="1"/>
        <v>29.0625</v>
      </c>
      <c r="X6" s="141">
        <f ca="1"/>
        <v>4.4000000000000004</v>
      </c>
      <c r="Y6" s="141" t="str">
        <f ca="1"/>
        <v>4-20</v>
      </c>
      <c r="Z6" s="149">
        <f t="shared" ca="1" si="3"/>
        <v>0.14230271668822769</v>
      </c>
      <c r="AA6" s="149">
        <f t="shared" ca="1" si="4"/>
        <v>0.14230271668822769</v>
      </c>
    </row>
    <row r="7" spans="1:30" ht="11.25" x14ac:dyDescent="0.2">
      <c r="A7">
        <v>6</v>
      </c>
      <c r="B7">
        <f>MATCH(A7,Bowling!$AU$5:$AU$48,0)</f>
        <v>18</v>
      </c>
      <c r="C7" t="str">
        <f ca="1">OFFSET(Bowling!$B$4,BowlAves!B7,0)</f>
        <v>Kogulathasan D</v>
      </c>
      <c r="D7" s="130">
        <f t="array" aca="1" ref="D7:K7" ca="1">OFFSET(Bowling!$AL$4,BowlAves!B7,0,1,8)</f>
        <v>50.3</v>
      </c>
      <c r="E7" s="131">
        <f ca="1"/>
        <v>4</v>
      </c>
      <c r="F7" s="131">
        <f ca="1"/>
        <v>189</v>
      </c>
      <c r="G7" s="131">
        <f ca="1"/>
        <v>11</v>
      </c>
      <c r="H7" s="67">
        <f ca="1"/>
        <v>17.18</v>
      </c>
      <c r="I7" s="133">
        <f ca="1"/>
        <v>27.545454545454547</v>
      </c>
      <c r="J7" s="133">
        <f ca="1"/>
        <v>3.7425742574257428</v>
      </c>
      <c r="K7" s="134" t="str">
        <f ca="1"/>
        <v>3-21</v>
      </c>
      <c r="L7" s="134">
        <f t="shared" ca="1" si="0"/>
        <v>6</v>
      </c>
      <c r="M7" s="134">
        <f t="shared" ca="1" si="1"/>
        <v>2</v>
      </c>
      <c r="N7" t="str">
        <f t="shared" ca="1" si="2"/>
        <v/>
      </c>
      <c r="P7" s="137">
        <v>5</v>
      </c>
      <c r="Q7" s="138" t="str">
        <f t="array" aca="1" ref="Q7:Y7" ca="1">OFFSET($C$2,MATCH(P7,$M$2:$M$51,0)-1,0,1,9)</f>
        <v>Seymour C</v>
      </c>
      <c r="R7" s="139">
        <f ca="1"/>
        <v>62</v>
      </c>
      <c r="S7" s="139">
        <f ca="1"/>
        <v>4</v>
      </c>
      <c r="T7" s="139">
        <f ca="1"/>
        <v>282</v>
      </c>
      <c r="U7" s="139">
        <f ca="1"/>
        <v>12</v>
      </c>
      <c r="V7" s="140">
        <f ca="1"/>
        <v>23.5</v>
      </c>
      <c r="W7" s="141">
        <f ca="1"/>
        <v>31</v>
      </c>
      <c r="X7" s="141">
        <f ca="1"/>
        <v>4.5483870967741939</v>
      </c>
      <c r="Y7" s="141" t="str">
        <f ca="1"/>
        <v>2-22</v>
      </c>
      <c r="Z7" s="149">
        <f t="shared" ca="1" si="3"/>
        <v>6.4516129032258063E-2</v>
      </c>
      <c r="AA7" s="149">
        <f t="shared" ca="1" si="4"/>
        <v>6.4516129032258063E-2</v>
      </c>
    </row>
    <row r="8" spans="1:30" ht="11.25" x14ac:dyDescent="0.2">
      <c r="A8">
        <v>7</v>
      </c>
      <c r="B8">
        <f>MATCH(A8,Bowling!$AU$5:$AU$48,0)</f>
        <v>28</v>
      </c>
      <c r="C8" t="str">
        <f ca="1">OFFSET(Bowling!$B$4,BowlAves!B8,0)</f>
        <v>Rugg D</v>
      </c>
      <c r="D8" s="130">
        <f t="array" aca="1" ref="D8:K8" ca="1">OFFSET(Bowling!$AL$4,BowlAves!B8,0,1,8)</f>
        <v>34</v>
      </c>
      <c r="E8" s="131">
        <f ca="1"/>
        <v>3</v>
      </c>
      <c r="F8" s="131">
        <f ca="1"/>
        <v>150</v>
      </c>
      <c r="G8" s="131">
        <f ca="1"/>
        <v>8</v>
      </c>
      <c r="H8" s="67">
        <f ca="1"/>
        <v>18.75</v>
      </c>
      <c r="I8" s="133">
        <f ca="1"/>
        <v>25.5</v>
      </c>
      <c r="J8" s="133">
        <f ca="1"/>
        <v>4.4117647058823533</v>
      </c>
      <c r="K8" s="134" t="str">
        <f ca="1"/>
        <v>3-23</v>
      </c>
      <c r="L8" s="134">
        <f t="shared" ca="1" si="0"/>
        <v>1007</v>
      </c>
      <c r="M8" s="134">
        <f t="shared" ca="1" si="1"/>
        <v>10</v>
      </c>
      <c r="N8" t="str">
        <f t="shared" ca="1" si="2"/>
        <v xml:space="preserve">Rugg D 34-3-150-8, </v>
      </c>
      <c r="P8" s="137">
        <v>6</v>
      </c>
      <c r="Q8" s="138" t="str">
        <f t="array" aca="1" ref="Q8:Y8" ca="1">OFFSET($C$2,MATCH(P8,$M$2:$M$51,0)-1,0,1,9)</f>
        <v>Roy A</v>
      </c>
      <c r="R8" s="139">
        <f ca="1"/>
        <v>3</v>
      </c>
      <c r="S8" s="139">
        <f ca="1"/>
        <v>0</v>
      </c>
      <c r="T8" s="139">
        <f ca="1"/>
        <v>12</v>
      </c>
      <c r="U8" s="139">
        <f ca="1"/>
        <v>2</v>
      </c>
      <c r="V8" s="140">
        <f ca="1"/>
        <v>6</v>
      </c>
      <c r="W8" s="141">
        <f ca="1"/>
        <v>9</v>
      </c>
      <c r="X8" s="141">
        <f ca="1"/>
        <v>4</v>
      </c>
      <c r="Y8" s="141" t="str">
        <f ca="1"/>
        <v>2-12</v>
      </c>
      <c r="Z8" s="149">
        <f t="shared" ca="1" si="3"/>
        <v>0</v>
      </c>
      <c r="AA8" s="149" t="str">
        <f t="shared" ca="1" si="4"/>
        <v/>
      </c>
    </row>
    <row r="9" spans="1:30" ht="11.25" x14ac:dyDescent="0.2">
      <c r="A9">
        <v>8</v>
      </c>
      <c r="B9">
        <f>MATCH(A9,Bowling!$AU$5:$AU$48,0)</f>
        <v>38</v>
      </c>
      <c r="C9" t="str">
        <f ca="1">OFFSET(Bowling!$B$4,BowlAves!B9,0)</f>
        <v>Springer T</v>
      </c>
      <c r="D9" s="130">
        <f t="array" aca="1" ref="D9:K9" ca="1">OFFSET(Bowling!$AL$4,BowlAves!B9,0,1,8)</f>
        <v>43.5</v>
      </c>
      <c r="E9" s="131">
        <f ca="1"/>
        <v>6</v>
      </c>
      <c r="F9" s="131">
        <f ca="1"/>
        <v>209</v>
      </c>
      <c r="G9" s="131">
        <f ca="1"/>
        <v>11</v>
      </c>
      <c r="H9" s="67">
        <f ca="1"/>
        <v>19</v>
      </c>
      <c r="I9" s="133">
        <f ca="1"/>
        <v>23.90909090909091</v>
      </c>
      <c r="J9" s="133">
        <f ca="1"/>
        <v>4.7680608365019008</v>
      </c>
      <c r="K9" s="134" t="str">
        <f ca="1"/>
        <v>4-27</v>
      </c>
      <c r="L9" s="134">
        <f t="shared" ca="1" si="0"/>
        <v>8</v>
      </c>
      <c r="M9" s="134">
        <f t="shared" ca="1" si="1"/>
        <v>3</v>
      </c>
      <c r="N9" t="str">
        <f t="shared" ca="1" si="2"/>
        <v/>
      </c>
      <c r="P9" s="137">
        <v>7</v>
      </c>
      <c r="Q9" s="138" t="str">
        <f t="array" aca="1" ref="Q9:Y9" ca="1">OFFSET($C$2,MATCH(P9,$M$2:$M$51,0)-1,0,1,9)</f>
        <v>Khan A</v>
      </c>
      <c r="R9" s="139">
        <f ca="1"/>
        <v>13.2</v>
      </c>
      <c r="S9" s="139">
        <f ca="1"/>
        <v>4</v>
      </c>
      <c r="T9" s="139">
        <f ca="1"/>
        <v>41</v>
      </c>
      <c r="U9" s="139">
        <f ca="1"/>
        <v>4</v>
      </c>
      <c r="V9" s="140">
        <f ca="1"/>
        <v>10.25</v>
      </c>
      <c r="W9" s="141">
        <f ca="1"/>
        <v>20</v>
      </c>
      <c r="X9" s="141">
        <f ca="1"/>
        <v>3.0750000000000002</v>
      </c>
      <c r="Y9" s="141" t="str">
        <f ca="1"/>
        <v>3-17</v>
      </c>
      <c r="Z9" s="149">
        <f t="shared" ca="1" si="3"/>
        <v>0.30303030303030304</v>
      </c>
      <c r="AA9" s="149" t="str">
        <f t="shared" ca="1" si="4"/>
        <v/>
      </c>
    </row>
    <row r="10" spans="1:30" ht="11.25" x14ac:dyDescent="0.2">
      <c r="A10">
        <v>9</v>
      </c>
      <c r="B10">
        <f>MATCH(A10,Bowling!$AU$5:$AU$48,0)</f>
        <v>20</v>
      </c>
      <c r="C10" t="str">
        <f ca="1">OFFSET(Bowling!$B$4,BowlAves!B10,0)</f>
        <v>Middleton J</v>
      </c>
      <c r="D10" s="130">
        <f t="array" aca="1" ref="D10:K10" ca="1">OFFSET(Bowling!$AL$4,BowlAves!B10,0,1,8)</f>
        <v>8</v>
      </c>
      <c r="E10" s="131">
        <f ca="1"/>
        <v>0</v>
      </c>
      <c r="F10" s="131">
        <f ca="1"/>
        <v>41</v>
      </c>
      <c r="G10" s="131">
        <f ca="1"/>
        <v>2</v>
      </c>
      <c r="H10" s="67">
        <f ca="1"/>
        <v>20.5</v>
      </c>
      <c r="I10" s="133">
        <f ca="1"/>
        <v>24</v>
      </c>
      <c r="J10" s="133">
        <f ca="1"/>
        <v>5.125</v>
      </c>
      <c r="K10" s="134" t="str">
        <f ca="1"/>
        <v>2-26</v>
      </c>
      <c r="L10" s="134">
        <f t="shared" ca="1" si="0"/>
        <v>1009</v>
      </c>
      <c r="M10" s="134">
        <f t="shared" ca="1" si="1"/>
        <v>11</v>
      </c>
      <c r="N10" t="str">
        <f t="shared" ca="1" si="2"/>
        <v xml:space="preserve">Middleton J 8-0-41-2, </v>
      </c>
      <c r="P10" s="137">
        <v>8</v>
      </c>
      <c r="Q10" s="138" t="str">
        <f t="array" aca="1" ref="Q10:Y10" ca="1">OFFSET($C$2,MATCH(P10,$M$2:$M$51,0)-1,0,1,9)</f>
        <v>Parboo R</v>
      </c>
      <c r="R10" s="139">
        <f ca="1"/>
        <v>8</v>
      </c>
      <c r="S10" s="139">
        <f ca="1"/>
        <v>1</v>
      </c>
      <c r="T10" s="139">
        <f ca="1"/>
        <v>25</v>
      </c>
      <c r="U10" s="139">
        <f ca="1"/>
        <v>2</v>
      </c>
      <c r="V10" s="140">
        <f ca="1"/>
        <v>12.5</v>
      </c>
      <c r="W10" s="141">
        <f ca="1"/>
        <v>24</v>
      </c>
      <c r="X10" s="141">
        <f ca="1"/>
        <v>3.125</v>
      </c>
      <c r="Y10" s="141" t="str">
        <f ca="1"/>
        <v>2-25</v>
      </c>
      <c r="Z10" s="149">
        <f t="shared" ca="1" si="3"/>
        <v>0.125</v>
      </c>
      <c r="AA10" s="149" t="str">
        <f t="shared" ca="1" si="4"/>
        <v/>
      </c>
    </row>
    <row r="11" spans="1:30" ht="11.25" x14ac:dyDescent="0.2">
      <c r="A11">
        <v>10</v>
      </c>
      <c r="B11">
        <f>MATCH(A11,Bowling!$AU$5:$AU$48,0)</f>
        <v>2</v>
      </c>
      <c r="C11" t="str">
        <f ca="1">OFFSET(Bowling!$B$4,BowlAves!B11,0)</f>
        <v>Bhatt P</v>
      </c>
      <c r="D11" s="130">
        <f t="array" aca="1" ref="D11:K11" ca="1">OFFSET(Bowling!$AL$4,BowlAves!B11,0,1,8)</f>
        <v>77.3</v>
      </c>
      <c r="E11" s="131">
        <f ca="1"/>
        <v>11</v>
      </c>
      <c r="F11" s="131">
        <f ca="1"/>
        <v>341</v>
      </c>
      <c r="G11" s="131">
        <f ca="1"/>
        <v>16</v>
      </c>
      <c r="H11" s="67">
        <f ca="1"/>
        <v>21.31</v>
      </c>
      <c r="I11" s="133">
        <f ca="1"/>
        <v>29.0625</v>
      </c>
      <c r="J11" s="133">
        <f ca="1"/>
        <v>4.4000000000000004</v>
      </c>
      <c r="K11" s="134" t="str">
        <f ca="1"/>
        <v>4-20</v>
      </c>
      <c r="L11" s="134">
        <f t="shared" ca="1" si="0"/>
        <v>10</v>
      </c>
      <c r="M11" s="134">
        <f t="shared" ca="1" si="1"/>
        <v>4</v>
      </c>
      <c r="N11" t="str">
        <f t="shared" ca="1" si="2"/>
        <v/>
      </c>
      <c r="P11" s="137">
        <v>9</v>
      </c>
      <c r="Q11" s="138" t="str">
        <f t="array" aca="1" ref="Q11:Y11" ca="1">OFFSET($C$2,MATCH(P11,$M$2:$M$51,0)-1,0,1,9)</f>
        <v>Seymour D</v>
      </c>
      <c r="R11" s="139">
        <f ca="1"/>
        <v>2</v>
      </c>
      <c r="S11" s="139">
        <f ca="1"/>
        <v>0</v>
      </c>
      <c r="T11" s="139">
        <f ca="1"/>
        <v>13</v>
      </c>
      <c r="U11" s="139">
        <f ca="1"/>
        <v>1</v>
      </c>
      <c r="V11" s="140">
        <f ca="1"/>
        <v>13</v>
      </c>
      <c r="W11" s="141">
        <f ca="1"/>
        <v>12</v>
      </c>
      <c r="X11" s="141">
        <f ca="1"/>
        <v>6.5</v>
      </c>
      <c r="Y11" s="141" t="str">
        <f ca="1"/>
        <v>1-13</v>
      </c>
      <c r="Z11" s="149">
        <f t="shared" ca="1" si="3"/>
        <v>0</v>
      </c>
      <c r="AA11" s="149" t="str">
        <f t="shared" ca="1" si="4"/>
        <v/>
      </c>
    </row>
    <row r="12" spans="1:30" ht="11.25" x14ac:dyDescent="0.2">
      <c r="A12">
        <v>11</v>
      </c>
      <c r="B12">
        <f>MATCH(A12,Bowling!$AU$5:$AU$48,0)</f>
        <v>30</v>
      </c>
      <c r="C12" t="str">
        <f ca="1">OFFSET(Bowling!$B$4,BowlAves!B12,0)</f>
        <v>Sajjid K</v>
      </c>
      <c r="D12" s="130">
        <f t="array" aca="1" ref="D12:K12" ca="1">OFFSET(Bowling!$AL$4,BowlAves!B12,0,1,8)</f>
        <v>53</v>
      </c>
      <c r="E12" s="131">
        <f ca="1"/>
        <v>11</v>
      </c>
      <c r="F12" s="131">
        <f ca="1"/>
        <v>210</v>
      </c>
      <c r="G12" s="131">
        <f ca="1"/>
        <v>9</v>
      </c>
      <c r="H12" s="67">
        <f ca="1"/>
        <v>23.33</v>
      </c>
      <c r="I12" s="133">
        <f ca="1"/>
        <v>35.333333333333336</v>
      </c>
      <c r="J12" s="133">
        <f ca="1"/>
        <v>3.9622641509433962</v>
      </c>
      <c r="K12" s="134" t="str">
        <f ca="1"/>
        <v>4-26</v>
      </c>
      <c r="L12" s="134">
        <f t="shared" ca="1" si="0"/>
        <v>1011</v>
      </c>
      <c r="M12" s="134">
        <f t="shared" ca="1" si="1"/>
        <v>12</v>
      </c>
      <c r="N12" t="str">
        <f t="shared" ca="1" si="2"/>
        <v xml:space="preserve">Sajjid K 53-11-210-9, </v>
      </c>
      <c r="P12" s="137">
        <v>10</v>
      </c>
      <c r="Q12" s="138" t="str">
        <f t="array" aca="1" ref="Q12:Y12" ca="1">OFFSET($C$2,MATCH(P12,$M$2:$M$51,0)-1,0,1,9)</f>
        <v>Rugg D</v>
      </c>
      <c r="R12" s="139">
        <f ca="1"/>
        <v>34</v>
      </c>
      <c r="S12" s="139">
        <f ca="1"/>
        <v>3</v>
      </c>
      <c r="T12" s="139">
        <f ca="1"/>
        <v>150</v>
      </c>
      <c r="U12" s="139">
        <f ca="1"/>
        <v>8</v>
      </c>
      <c r="V12" s="140">
        <f ca="1"/>
        <v>18.75</v>
      </c>
      <c r="W12" s="141">
        <f ca="1"/>
        <v>25.5</v>
      </c>
      <c r="X12" s="141">
        <f ca="1"/>
        <v>4.4117647058823533</v>
      </c>
      <c r="Y12" s="141" t="str">
        <f ca="1"/>
        <v>3-23</v>
      </c>
      <c r="Z12" s="149">
        <f t="shared" ca="1" si="3"/>
        <v>8.8235294117647065E-2</v>
      </c>
      <c r="AA12" s="149">
        <f t="shared" ca="1" si="4"/>
        <v>8.8235294117647065E-2</v>
      </c>
    </row>
    <row r="13" spans="1:30" ht="11.25" x14ac:dyDescent="0.2">
      <c r="A13">
        <v>12</v>
      </c>
      <c r="B13">
        <f>MATCH(A13,Bowling!$AU$5:$AU$48,0)</f>
        <v>32</v>
      </c>
      <c r="C13" t="str">
        <f ca="1">OFFSET(Bowling!$B$4,BowlAves!B13,0)</f>
        <v>Seymour C</v>
      </c>
      <c r="D13" s="130">
        <f t="array" aca="1" ref="D13:K13" ca="1">OFFSET(Bowling!$AL$4,BowlAves!B13,0,1,8)</f>
        <v>62</v>
      </c>
      <c r="E13" s="131">
        <f ca="1"/>
        <v>4</v>
      </c>
      <c r="F13" s="131">
        <f ca="1"/>
        <v>282</v>
      </c>
      <c r="G13" s="131">
        <f ca="1"/>
        <v>12</v>
      </c>
      <c r="H13" s="67">
        <f ca="1"/>
        <v>23.5</v>
      </c>
      <c r="I13" s="133">
        <f ca="1"/>
        <v>31</v>
      </c>
      <c r="J13" s="133">
        <f ca="1"/>
        <v>4.5483870967741939</v>
      </c>
      <c r="K13" s="134" t="str">
        <f ca="1"/>
        <v>2-22</v>
      </c>
      <c r="L13" s="134">
        <f t="shared" ca="1" si="0"/>
        <v>12</v>
      </c>
      <c r="M13" s="134">
        <f t="shared" ca="1" si="1"/>
        <v>5</v>
      </c>
      <c r="N13" t="str">
        <f t="shared" ca="1" si="2"/>
        <v/>
      </c>
      <c r="P13" s="137">
        <v>11</v>
      </c>
      <c r="Q13" s="138" t="str">
        <f t="array" aca="1" ref="Q13:Y13" ca="1">OFFSET($C$2,MATCH(P13,$M$2:$M$51,0)-1,0,1,9)</f>
        <v>Middleton J</v>
      </c>
      <c r="R13" s="139">
        <f ca="1"/>
        <v>8</v>
      </c>
      <c r="S13" s="139">
        <f ca="1"/>
        <v>0</v>
      </c>
      <c r="T13" s="139">
        <f ca="1"/>
        <v>41</v>
      </c>
      <c r="U13" s="139">
        <f ca="1"/>
        <v>2</v>
      </c>
      <c r="V13" s="140">
        <f ca="1"/>
        <v>20.5</v>
      </c>
      <c r="W13" s="141">
        <f ca="1"/>
        <v>24</v>
      </c>
      <c r="X13" s="141">
        <f ca="1"/>
        <v>5.125</v>
      </c>
      <c r="Y13" s="141" t="str">
        <f ca="1"/>
        <v>2-26</v>
      </c>
      <c r="Z13" s="149">
        <f t="shared" ca="1" si="3"/>
        <v>0</v>
      </c>
      <c r="AA13" s="149" t="str">
        <f t="shared" ca="1" si="4"/>
        <v/>
      </c>
    </row>
    <row r="14" spans="1:30" ht="11.25" x14ac:dyDescent="0.2">
      <c r="A14">
        <v>13</v>
      </c>
      <c r="B14">
        <f>MATCH(A14,Bowling!$AU$5:$AU$48,0)</f>
        <v>1</v>
      </c>
      <c r="C14" t="str">
        <f ca="1">OFFSET(Bowling!$B$4,BowlAves!B14,0)</f>
        <v>Ahmed M</v>
      </c>
      <c r="D14" s="130">
        <f t="array" aca="1" ref="D14:K14" ca="1">OFFSET(Bowling!$AL$4,BowlAves!B14,0,1,8)</f>
        <v>35</v>
      </c>
      <c r="E14" s="131">
        <f ca="1"/>
        <v>1</v>
      </c>
      <c r="F14" s="131">
        <f ca="1"/>
        <v>151</v>
      </c>
      <c r="G14" s="131">
        <f ca="1"/>
        <v>6</v>
      </c>
      <c r="H14" s="67">
        <f ca="1"/>
        <v>25.17</v>
      </c>
      <c r="I14" s="133">
        <f ca="1"/>
        <v>35</v>
      </c>
      <c r="J14" s="133">
        <f ca="1"/>
        <v>4.3142857142857141</v>
      </c>
      <c r="K14" s="134" t="str">
        <f ca="1"/>
        <v>3-23</v>
      </c>
      <c r="L14" s="134">
        <f t="shared" ca="1" si="0"/>
        <v>1013</v>
      </c>
      <c r="M14" s="134">
        <f t="shared" ca="1" si="1"/>
        <v>13</v>
      </c>
      <c r="N14" t="str">
        <f t="shared" ca="1" si="2"/>
        <v xml:space="preserve">Ahmed M 35-1-151-6, </v>
      </c>
      <c r="P14" s="137">
        <v>12</v>
      </c>
      <c r="Q14" s="138" t="str">
        <f t="array" aca="1" ref="Q14:Y14" ca="1">OFFSET($C$2,MATCH(P14,$M$2:$M$51,0)-1,0,1,9)</f>
        <v>Sajjid K</v>
      </c>
      <c r="R14" s="139">
        <f ca="1"/>
        <v>53</v>
      </c>
      <c r="S14" s="139">
        <f ca="1"/>
        <v>11</v>
      </c>
      <c r="T14" s="139">
        <f ca="1"/>
        <v>210</v>
      </c>
      <c r="U14" s="139">
        <f ca="1"/>
        <v>9</v>
      </c>
      <c r="V14" s="140">
        <f ca="1"/>
        <v>23.33</v>
      </c>
      <c r="W14" s="141">
        <f ca="1"/>
        <v>35.333333333333336</v>
      </c>
      <c r="X14" s="141">
        <f ca="1"/>
        <v>3.9622641509433962</v>
      </c>
      <c r="Y14" s="141" t="str">
        <f ca="1"/>
        <v>4-26</v>
      </c>
      <c r="Z14" s="149">
        <f t="shared" ca="1" si="3"/>
        <v>0.20754716981132076</v>
      </c>
      <c r="AA14" s="149">
        <f t="shared" ca="1" si="4"/>
        <v>0.20754716981132076</v>
      </c>
    </row>
    <row r="15" spans="1:30" ht="11.25" x14ac:dyDescent="0.2">
      <c r="A15">
        <v>14</v>
      </c>
      <c r="B15">
        <f>MATCH(A15,Bowling!$AU$5:$AU$48,0)</f>
        <v>7</v>
      </c>
      <c r="C15" t="str">
        <f ca="1">OFFSET(Bowling!$B$4,BowlAves!B15,0)</f>
        <v>De S</v>
      </c>
      <c r="D15" s="130">
        <f t="array" aca="1" ref="D15:K15" ca="1">OFFSET(Bowling!$AL$4,BowlAves!B15,0,1,8)</f>
        <v>63</v>
      </c>
      <c r="E15" s="131">
        <f ca="1"/>
        <v>7</v>
      </c>
      <c r="F15" s="131">
        <f ca="1"/>
        <v>252</v>
      </c>
      <c r="G15" s="131">
        <f ca="1"/>
        <v>9</v>
      </c>
      <c r="H15" s="67">
        <f ca="1"/>
        <v>28</v>
      </c>
      <c r="I15" s="133">
        <f ca="1"/>
        <v>42</v>
      </c>
      <c r="J15" s="133">
        <f ca="1"/>
        <v>4</v>
      </c>
      <c r="K15" s="134" t="str">
        <f ca="1"/>
        <v>3-18</v>
      </c>
      <c r="L15" s="134">
        <f t="shared" ca="1" si="0"/>
        <v>1014</v>
      </c>
      <c r="M15" s="134">
        <f t="shared" ca="1" si="1"/>
        <v>14</v>
      </c>
      <c r="N15" t="str">
        <f t="shared" ca="1" si="2"/>
        <v xml:space="preserve">De S 63-7-252-9, </v>
      </c>
      <c r="P15" s="137">
        <v>13</v>
      </c>
      <c r="Q15" s="138" t="str">
        <f t="array" aca="1" ref="Q15:Y15" ca="1">OFFSET($C$2,MATCH(P15,$M$2:$M$51,0)-1,0,1,9)</f>
        <v>Ahmed M</v>
      </c>
      <c r="R15" s="139">
        <f ca="1"/>
        <v>35</v>
      </c>
      <c r="S15" s="139">
        <f ca="1"/>
        <v>1</v>
      </c>
      <c r="T15" s="139">
        <f ca="1"/>
        <v>151</v>
      </c>
      <c r="U15" s="139">
        <f ca="1"/>
        <v>6</v>
      </c>
      <c r="V15" s="140">
        <f ca="1"/>
        <v>25.17</v>
      </c>
      <c r="W15" s="141">
        <f ca="1"/>
        <v>35</v>
      </c>
      <c r="X15" s="141">
        <f ca="1"/>
        <v>4.3142857142857141</v>
      </c>
      <c r="Y15" s="141" t="str">
        <f ca="1"/>
        <v>3-23</v>
      </c>
      <c r="Z15" s="149">
        <f t="shared" ca="1" si="3"/>
        <v>2.8571428571428571E-2</v>
      </c>
      <c r="AA15" s="149">
        <f t="shared" ca="1" si="4"/>
        <v>2.8571428571428571E-2</v>
      </c>
    </row>
    <row r="16" spans="1:30" ht="11.25" x14ac:dyDescent="0.2">
      <c r="A16">
        <v>15</v>
      </c>
      <c r="B16">
        <f>MATCH(A16,Bowling!$AU$5:$AU$48,0)</f>
        <v>11</v>
      </c>
      <c r="C16" t="str">
        <f ca="1">OFFSET(Bowling!$B$4,BowlAves!B16,0)</f>
        <v>Gardezi S</v>
      </c>
      <c r="D16" s="130">
        <f t="array" aca="1" ref="D16:K16" ca="1">OFFSET(Bowling!$AL$4,BowlAves!B16,0,1,8)</f>
        <v>4.4000000000000004</v>
      </c>
      <c r="E16" s="131">
        <f ca="1"/>
        <v>0</v>
      </c>
      <c r="F16" s="131">
        <f ca="1"/>
        <v>29</v>
      </c>
      <c r="G16" s="131">
        <f ca="1"/>
        <v>1</v>
      </c>
      <c r="H16" s="67">
        <f ca="1"/>
        <v>29</v>
      </c>
      <c r="I16" s="133">
        <f ca="1"/>
        <v>28</v>
      </c>
      <c r="J16" s="133">
        <f ca="1"/>
        <v>6.2142857142857144</v>
      </c>
      <c r="K16" s="134" t="str">
        <f ca="1"/>
        <v>1-23</v>
      </c>
      <c r="L16" s="134">
        <f t="shared" ca="1" si="0"/>
        <v>1015</v>
      </c>
      <c r="M16" s="134">
        <f t="shared" ca="1" si="1"/>
        <v>15</v>
      </c>
      <c r="N16" t="str">
        <f t="shared" ca="1" si="2"/>
        <v xml:space="preserve">Gardezi S 4.4-0-29-1, </v>
      </c>
      <c r="P16" s="137">
        <v>14</v>
      </c>
      <c r="Q16" s="138" t="str">
        <f t="array" aca="1" ref="Q16:Y16" ca="1">OFFSET($C$2,MATCH(P16,$M$2:$M$51,0)-1,0,1,9)</f>
        <v>De S</v>
      </c>
      <c r="R16" s="139">
        <f ca="1"/>
        <v>63</v>
      </c>
      <c r="S16" s="139">
        <f ca="1"/>
        <v>7</v>
      </c>
      <c r="T16" s="139">
        <f ca="1"/>
        <v>252</v>
      </c>
      <c r="U16" s="139">
        <f ca="1"/>
        <v>9</v>
      </c>
      <c r="V16" s="140">
        <f ca="1"/>
        <v>28</v>
      </c>
      <c r="W16" s="141">
        <f ca="1"/>
        <v>42</v>
      </c>
      <c r="X16" s="141">
        <f ca="1"/>
        <v>4</v>
      </c>
      <c r="Y16" s="141" t="str">
        <f ca="1"/>
        <v>3-18</v>
      </c>
      <c r="Z16" s="149">
        <f t="shared" ca="1" si="3"/>
        <v>0.1111111111111111</v>
      </c>
      <c r="AA16" s="149">
        <f t="shared" ca="1" si="4"/>
        <v>0.1111111111111111</v>
      </c>
    </row>
    <row r="17" spans="1:27" ht="11.25" x14ac:dyDescent="0.2">
      <c r="A17">
        <v>16</v>
      </c>
      <c r="B17">
        <f>MATCH(A17,Bowling!$AU$5:$AU$48,0)</f>
        <v>42</v>
      </c>
      <c r="C17" t="str">
        <f ca="1">OFFSET(Bowling!$B$4,BowlAves!B17,0)</f>
        <v>Viveganandan M</v>
      </c>
      <c r="D17" s="130">
        <f t="array" aca="1" ref="D17:K17" ca="1">OFFSET(Bowling!$AL$4,BowlAves!B17,0,1,8)</f>
        <v>5</v>
      </c>
      <c r="E17" s="131">
        <f ca="1"/>
        <v>0</v>
      </c>
      <c r="F17" s="131">
        <f ca="1"/>
        <v>30</v>
      </c>
      <c r="G17" s="131">
        <f ca="1"/>
        <v>1</v>
      </c>
      <c r="H17" s="67">
        <f ca="1"/>
        <v>30</v>
      </c>
      <c r="I17" s="133">
        <f ca="1"/>
        <v>30</v>
      </c>
      <c r="J17" s="133">
        <f ca="1"/>
        <v>6</v>
      </c>
      <c r="K17" s="134" t="str">
        <f ca="1"/>
        <v>1-18</v>
      </c>
      <c r="L17" s="134">
        <f t="shared" ca="1" si="0"/>
        <v>1016</v>
      </c>
      <c r="M17" s="134">
        <f t="shared" ca="1" si="1"/>
        <v>16</v>
      </c>
      <c r="N17" t="str">
        <f t="shared" ca="1" si="2"/>
        <v xml:space="preserve">Viveganandan M 5-0-30-1, </v>
      </c>
      <c r="P17" s="137">
        <v>15</v>
      </c>
      <c r="Q17" s="138" t="str">
        <f t="array" aca="1" ref="Q17:Y17" ca="1">OFFSET($C$2,MATCH(P17,$M$2:$M$51,0)-1,0,1,9)</f>
        <v>Gardezi S</v>
      </c>
      <c r="R17" s="139">
        <f ca="1"/>
        <v>4.4000000000000004</v>
      </c>
      <c r="S17" s="139">
        <f ca="1"/>
        <v>0</v>
      </c>
      <c r="T17" s="139">
        <f ca="1"/>
        <v>29</v>
      </c>
      <c r="U17" s="139">
        <f ca="1"/>
        <v>1</v>
      </c>
      <c r="V17" s="140">
        <f ca="1"/>
        <v>29</v>
      </c>
      <c r="W17" s="141">
        <f ca="1"/>
        <v>28</v>
      </c>
      <c r="X17" s="141">
        <f ca="1"/>
        <v>6.2142857142857144</v>
      </c>
      <c r="Y17" s="141" t="str">
        <f ca="1"/>
        <v>1-23</v>
      </c>
      <c r="Z17" s="149">
        <f t="shared" ca="1" si="3"/>
        <v>0</v>
      </c>
      <c r="AA17" s="149" t="str">
        <f t="shared" ca="1" si="4"/>
        <v/>
      </c>
    </row>
    <row r="18" spans="1:27" ht="11.25" x14ac:dyDescent="0.2">
      <c r="A18">
        <v>17</v>
      </c>
      <c r="B18">
        <f>MATCH(A18,Bowling!$AU$5:$AU$48,0)</f>
        <v>19</v>
      </c>
      <c r="C18" t="str">
        <f ca="1">OFFSET(Bowling!$B$4,BowlAves!B18,0)</f>
        <v>Mander A</v>
      </c>
      <c r="D18" s="130">
        <f t="array" aca="1" ref="D18:K18" ca="1">OFFSET(Bowling!$AL$4,BowlAves!B18,0,1,8)</f>
        <v>78</v>
      </c>
      <c r="E18" s="131">
        <f ca="1"/>
        <v>5</v>
      </c>
      <c r="F18" s="131">
        <f ca="1"/>
        <v>270</v>
      </c>
      <c r="G18" s="131">
        <f ca="1"/>
        <v>8</v>
      </c>
      <c r="H18" s="67">
        <f ca="1"/>
        <v>33.75</v>
      </c>
      <c r="I18" s="133">
        <f ca="1"/>
        <v>58.5</v>
      </c>
      <c r="J18" s="133">
        <f ca="1"/>
        <v>3.4615384615384617</v>
      </c>
      <c r="K18" s="134" t="str">
        <f ca="1"/>
        <v>2-15</v>
      </c>
      <c r="L18" s="134">
        <f t="shared" ca="1" si="0"/>
        <v>1017</v>
      </c>
      <c r="M18" s="134">
        <f t="shared" ca="1" si="1"/>
        <v>17</v>
      </c>
      <c r="N18" t="str">
        <f t="shared" ca="1" si="2"/>
        <v xml:space="preserve">Mander A 78-5-270-8, </v>
      </c>
      <c r="P18" s="137">
        <v>16</v>
      </c>
      <c r="Q18" s="138" t="str">
        <f t="array" aca="1" ref="Q18:Y18" ca="1">OFFSET($C$2,MATCH(P18,$M$2:$M$51,0)-1,0,1,9)</f>
        <v>Viveganandan M</v>
      </c>
      <c r="R18" s="139">
        <f ca="1"/>
        <v>5</v>
      </c>
      <c r="S18" s="139">
        <f ca="1"/>
        <v>0</v>
      </c>
      <c r="T18" s="139">
        <f ca="1"/>
        <v>30</v>
      </c>
      <c r="U18" s="139">
        <f ca="1"/>
        <v>1</v>
      </c>
      <c r="V18" s="140">
        <f ca="1"/>
        <v>30</v>
      </c>
      <c r="W18" s="141">
        <f ca="1"/>
        <v>30</v>
      </c>
      <c r="X18" s="141">
        <f ca="1"/>
        <v>6</v>
      </c>
      <c r="Y18" s="141" t="str">
        <f ca="1"/>
        <v>1-18</v>
      </c>
      <c r="Z18" s="149">
        <f t="shared" ca="1" si="3"/>
        <v>0</v>
      </c>
      <c r="AA18" s="149" t="str">
        <f t="shared" ca="1" si="4"/>
        <v/>
      </c>
    </row>
    <row r="19" spans="1:27" ht="11.25" x14ac:dyDescent="0.2">
      <c r="A19">
        <v>18</v>
      </c>
      <c r="B19">
        <f>MATCH(A19,Bowling!$AU$5:$AU$48,0)</f>
        <v>24</v>
      </c>
      <c r="C19" t="str">
        <f ca="1">OFFSET(Bowling!$B$4,BowlAves!B19,0)</f>
        <v>Patel J</v>
      </c>
      <c r="D19" s="130">
        <f t="array" aca="1" ref="D19:K19" ca="1">OFFSET(Bowling!$AL$4,BowlAves!B19,0,1,8)</f>
        <v>14.4</v>
      </c>
      <c r="E19" s="131">
        <f ca="1"/>
        <v>1</v>
      </c>
      <c r="F19" s="131">
        <f ca="1"/>
        <v>70</v>
      </c>
      <c r="G19" s="131">
        <f ca="1"/>
        <v>2</v>
      </c>
      <c r="H19" s="67">
        <f ca="1"/>
        <v>35</v>
      </c>
      <c r="I19" s="133">
        <f ca="1"/>
        <v>44</v>
      </c>
      <c r="J19" s="133">
        <f ca="1"/>
        <v>4.7727272727272725</v>
      </c>
      <c r="K19" s="134" t="str">
        <f ca="1"/>
        <v>2-6</v>
      </c>
      <c r="L19" s="134">
        <f t="shared" ca="1" si="0"/>
        <v>1018</v>
      </c>
      <c r="M19" s="134">
        <f t="shared" ca="1" si="1"/>
        <v>18</v>
      </c>
      <c r="N19" t="str">
        <f t="shared" ca="1" si="2"/>
        <v xml:space="preserve">Patel J 14.4-1-70-2, </v>
      </c>
      <c r="P19" s="137">
        <v>17</v>
      </c>
      <c r="Q19" s="138" t="str">
        <f t="array" aca="1" ref="Q19:Y19" ca="1">OFFSET($C$2,MATCH(P19,$M$2:$M$51,0)-1,0,1,9)</f>
        <v>Mander A</v>
      </c>
      <c r="R19" s="139">
        <f ca="1"/>
        <v>78</v>
      </c>
      <c r="S19" s="139">
        <f ca="1"/>
        <v>5</v>
      </c>
      <c r="T19" s="139">
        <f ca="1"/>
        <v>270</v>
      </c>
      <c r="U19" s="139">
        <f ca="1"/>
        <v>8</v>
      </c>
      <c r="V19" s="140">
        <f ca="1"/>
        <v>33.75</v>
      </c>
      <c r="W19" s="141">
        <f ca="1"/>
        <v>58.5</v>
      </c>
      <c r="X19" s="141">
        <f ca="1"/>
        <v>3.4615384615384617</v>
      </c>
      <c r="Y19" s="141" t="str">
        <f ca="1"/>
        <v>2-15</v>
      </c>
      <c r="Z19" s="149">
        <f t="shared" ca="1" si="3"/>
        <v>6.4102564102564097E-2</v>
      </c>
      <c r="AA19" s="149">
        <f t="shared" ca="1" si="4"/>
        <v>6.4102564102564097E-2</v>
      </c>
    </row>
    <row r="20" spans="1:27" ht="11.25" x14ac:dyDescent="0.2">
      <c r="A20">
        <v>19</v>
      </c>
      <c r="B20">
        <f>MATCH(A20,Bowling!$AU$5:$AU$48,0)</f>
        <v>25</v>
      </c>
      <c r="C20" t="str">
        <f ca="1">OFFSET(Bowling!$B$4,BowlAves!B20,0)</f>
        <v>Patel M</v>
      </c>
      <c r="D20" s="130">
        <f t="array" aca="1" ref="D20:K20" ca="1">OFFSET(Bowling!$AL$4,BowlAves!B20,0,1,8)</f>
        <v>15</v>
      </c>
      <c r="E20" s="131">
        <f ca="1"/>
        <v>0</v>
      </c>
      <c r="F20" s="131">
        <f ca="1"/>
        <v>122</v>
      </c>
      <c r="G20" s="131">
        <f ca="1"/>
        <v>3</v>
      </c>
      <c r="H20" s="67">
        <f ca="1"/>
        <v>40.67</v>
      </c>
      <c r="I20" s="133">
        <f ca="1"/>
        <v>30</v>
      </c>
      <c r="J20" s="133">
        <f ca="1"/>
        <v>8.1333333333333329</v>
      </c>
      <c r="K20" s="134" t="str">
        <f ca="1"/>
        <v>2-29</v>
      </c>
      <c r="L20" s="134">
        <f t="shared" ca="1" si="0"/>
        <v>1019</v>
      </c>
      <c r="M20" s="134">
        <f t="shared" ca="1" si="1"/>
        <v>19</v>
      </c>
      <c r="N20" t="str">
        <f t="shared" ca="1" si="2"/>
        <v xml:space="preserve">Patel M 15-0-122-3, </v>
      </c>
      <c r="P20" s="137">
        <v>18</v>
      </c>
      <c r="Q20" s="138" t="str">
        <f t="array" aca="1" ref="Q20:Y20" ca="1">OFFSET($C$2,MATCH(P20,$M$2:$M$51,0)-1,0,1,9)</f>
        <v>Patel J</v>
      </c>
      <c r="R20" s="139">
        <f ca="1"/>
        <v>14.4</v>
      </c>
      <c r="S20" s="139">
        <f ca="1"/>
        <v>1</v>
      </c>
      <c r="T20" s="139">
        <f ca="1"/>
        <v>70</v>
      </c>
      <c r="U20" s="139">
        <f ca="1"/>
        <v>2</v>
      </c>
      <c r="V20" s="140">
        <f ca="1"/>
        <v>35</v>
      </c>
      <c r="W20" s="141">
        <f ca="1"/>
        <v>44</v>
      </c>
      <c r="X20" s="141">
        <f ca="1"/>
        <v>4.7727272727272725</v>
      </c>
      <c r="Y20" s="141" t="str">
        <f ca="1"/>
        <v>2-6</v>
      </c>
      <c r="Z20" s="149">
        <f t="shared" ca="1" si="3"/>
        <v>6.9444444444444448E-2</v>
      </c>
      <c r="AA20" s="149" t="str">
        <f t="shared" ca="1" si="4"/>
        <v/>
      </c>
    </row>
    <row r="21" spans="1:27" ht="11.25" x14ac:dyDescent="0.2">
      <c r="A21">
        <v>20</v>
      </c>
      <c r="B21">
        <f>MATCH(A21,Bowling!$AU$5:$AU$48,0)</f>
        <v>34</v>
      </c>
      <c r="C21" t="str">
        <f ca="1">OFFSET(Bowling!$B$4,BowlAves!B21,0)</f>
        <v>Sharpe D</v>
      </c>
      <c r="D21" s="130">
        <f t="array" aca="1" ref="D21:K21" ca="1">OFFSET(Bowling!$AL$4,BowlAves!B21,0,1,8)</f>
        <v>2</v>
      </c>
      <c r="E21" s="131">
        <f ca="1"/>
        <v>0</v>
      </c>
      <c r="F21" s="131">
        <f ca="1"/>
        <v>28</v>
      </c>
      <c r="G21" s="131">
        <f ca="1"/>
        <v>0</v>
      </c>
      <c r="H21" s="67" t="str">
        <f ca="1"/>
        <v/>
      </c>
      <c r="I21" s="133" t="str">
        <f ca="1"/>
        <v/>
      </c>
      <c r="J21" s="133">
        <f ca="1"/>
        <v>14</v>
      </c>
      <c r="K21" s="134" t="str">
        <f ca="1"/>
        <v>0-28</v>
      </c>
      <c r="L21" s="134">
        <f t="shared" ca="1" si="0"/>
        <v>1020</v>
      </c>
      <c r="M21" s="134">
        <f t="shared" ca="1" si="1"/>
        <v>20</v>
      </c>
      <c r="N21" t="str">
        <f t="shared" ca="1" si="2"/>
        <v xml:space="preserve">Sharpe D 2-0-28-0, </v>
      </c>
      <c r="P21" s="137">
        <v>19</v>
      </c>
      <c r="Q21" s="138" t="str">
        <f t="array" aca="1" ref="Q21:Y21" ca="1">OFFSET($C$2,MATCH(P21,$M$2:$M$51,0)-1,0,1,9)</f>
        <v>Patel M</v>
      </c>
      <c r="R21" s="139">
        <f ca="1"/>
        <v>15</v>
      </c>
      <c r="S21" s="139">
        <f ca="1"/>
        <v>0</v>
      </c>
      <c r="T21" s="139">
        <f ca="1"/>
        <v>122</v>
      </c>
      <c r="U21" s="139">
        <f ca="1"/>
        <v>3</v>
      </c>
      <c r="V21" s="140">
        <f ca="1"/>
        <v>40.67</v>
      </c>
      <c r="W21" s="141">
        <f ca="1"/>
        <v>30</v>
      </c>
      <c r="X21" s="141">
        <f ca="1"/>
        <v>8.1333333333333329</v>
      </c>
      <c r="Y21" s="141" t="str">
        <f ca="1"/>
        <v>2-29</v>
      </c>
      <c r="Z21" s="149">
        <f t="shared" ca="1" si="3"/>
        <v>0</v>
      </c>
      <c r="AA21" s="149" t="str">
        <f t="shared" ca="1" si="4"/>
        <v/>
      </c>
    </row>
    <row r="22" spans="1:27" ht="11.25" x14ac:dyDescent="0.2">
      <c r="A22">
        <v>21</v>
      </c>
      <c r="B22">
        <f>MATCH(A22,Bowling!$AU$5:$AU$48,0)</f>
        <v>36</v>
      </c>
      <c r="C22" t="str">
        <f ca="1">OFFSET(Bowling!$B$4,BowlAves!B22,0)</f>
        <v>Smith C</v>
      </c>
      <c r="D22" s="130">
        <f t="array" aca="1" ref="D22:K22" ca="1">OFFSET(Bowling!$AL$4,BowlAves!B22,0,1,8)</f>
        <v>2</v>
      </c>
      <c r="E22" s="131">
        <f ca="1"/>
        <v>0</v>
      </c>
      <c r="F22" s="131">
        <f ca="1"/>
        <v>36</v>
      </c>
      <c r="G22" s="131">
        <f ca="1"/>
        <v>0</v>
      </c>
      <c r="H22" s="67" t="str">
        <f ca="1"/>
        <v/>
      </c>
      <c r="I22" s="133" t="str">
        <f ca="1"/>
        <v/>
      </c>
      <c r="J22" s="133">
        <f ca="1"/>
        <v>18</v>
      </c>
      <c r="K22" s="134" t="str">
        <f ca="1"/>
        <v>0-36</v>
      </c>
      <c r="L22" s="134">
        <f t="shared" ca="1" si="0"/>
        <v>1021</v>
      </c>
      <c r="M22" s="134">
        <f t="shared" ca="1" si="1"/>
        <v>21</v>
      </c>
      <c r="N22" t="str">
        <f t="shared" ca="1" si="2"/>
        <v xml:space="preserve">Smith C 2-0-36-0, </v>
      </c>
      <c r="P22" s="137">
        <v>20</v>
      </c>
      <c r="Q22" s="138" t="str">
        <f t="array" aca="1" ref="Q22:Y22" ca="1">OFFSET($C$2,MATCH(P22,$M$2:$M$51,0)-1,0,1,9)</f>
        <v>Sharpe D</v>
      </c>
      <c r="R22" s="139">
        <f ca="1"/>
        <v>2</v>
      </c>
      <c r="S22" s="139">
        <f ca="1"/>
        <v>0</v>
      </c>
      <c r="T22" s="139">
        <f ca="1"/>
        <v>28</v>
      </c>
      <c r="U22" s="139">
        <f ca="1"/>
        <v>0</v>
      </c>
      <c r="V22" s="140" t="str">
        <f ca="1"/>
        <v/>
      </c>
      <c r="W22" s="141" t="str">
        <f ca="1"/>
        <v/>
      </c>
      <c r="X22" s="141">
        <f ca="1"/>
        <v>14</v>
      </c>
      <c r="Y22" s="141" t="str">
        <f ca="1"/>
        <v>0-28</v>
      </c>
      <c r="Z22" s="149">
        <f t="shared" ca="1" si="3"/>
        <v>0</v>
      </c>
      <c r="AA22" s="149" t="str">
        <f t="shared" ca="1" si="4"/>
        <v/>
      </c>
    </row>
    <row r="23" spans="1:27" ht="11.25" x14ac:dyDescent="0.2">
      <c r="A23">
        <v>22</v>
      </c>
      <c r="B23">
        <f>MATCH(A23,Bowling!$AU$5:$AU$48,0)</f>
        <v>41</v>
      </c>
      <c r="C23" t="str">
        <f ca="1">OFFSET(Bowling!$B$4,BowlAves!B23,0)</f>
        <v>Umar S</v>
      </c>
      <c r="D23" s="130">
        <f t="array" aca="1" ref="D23:K23" ca="1">OFFSET(Bowling!$AL$4,BowlAves!B23,0,1,8)</f>
        <v>2</v>
      </c>
      <c r="E23" s="131">
        <f ca="1"/>
        <v>0</v>
      </c>
      <c r="F23" s="131">
        <f ca="1"/>
        <v>16</v>
      </c>
      <c r="G23" s="131">
        <f ca="1"/>
        <v>0</v>
      </c>
      <c r="H23" s="67" t="str">
        <f ca="1"/>
        <v/>
      </c>
      <c r="I23" s="133" t="str">
        <f ca="1"/>
        <v/>
      </c>
      <c r="J23" s="133">
        <f ca="1"/>
        <v>8</v>
      </c>
      <c r="K23" s="134" t="str">
        <f ca="1"/>
        <v>0-16</v>
      </c>
      <c r="L23" s="134">
        <f t="shared" ca="1" si="0"/>
        <v>1022</v>
      </c>
      <c r="M23" s="134">
        <f t="shared" ca="1" si="1"/>
        <v>22</v>
      </c>
      <c r="N23" t="str">
        <f t="shared" ca="1" si="2"/>
        <v xml:space="preserve">Umar S 2-0-16-0, </v>
      </c>
      <c r="P23" s="137">
        <v>21</v>
      </c>
      <c r="Q23" s="138" t="str">
        <f t="array" aca="1" ref="Q23:Y23" ca="1">OFFSET($C$2,MATCH(P23,$M$2:$M$51,0)-1,0,1,9)</f>
        <v>Smith C</v>
      </c>
      <c r="R23" s="139">
        <f ca="1"/>
        <v>2</v>
      </c>
      <c r="S23" s="139">
        <f ca="1"/>
        <v>0</v>
      </c>
      <c r="T23" s="139">
        <f ca="1"/>
        <v>36</v>
      </c>
      <c r="U23" s="139">
        <f ca="1"/>
        <v>0</v>
      </c>
      <c r="V23" s="140" t="str">
        <f ca="1"/>
        <v/>
      </c>
      <c r="W23" s="141" t="str">
        <f ca="1"/>
        <v/>
      </c>
      <c r="X23" s="141">
        <f ca="1"/>
        <v>18</v>
      </c>
      <c r="Y23" s="141" t="str">
        <f ca="1"/>
        <v>0-36</v>
      </c>
      <c r="Z23" s="149">
        <f t="shared" ca="1" si="3"/>
        <v>0</v>
      </c>
      <c r="AA23" s="149" t="str">
        <f t="shared" ca="1" si="4"/>
        <v/>
      </c>
    </row>
    <row r="24" spans="1:27" ht="11.25" x14ac:dyDescent="0.2">
      <c r="A24">
        <v>23</v>
      </c>
      <c r="B24">
        <f>MATCH(A24,Bowling!$AU$5:$AU$48,0)</f>
        <v>15</v>
      </c>
      <c r="C24" t="str">
        <f ca="1">OFFSET(Bowling!$B$4,BowlAves!B24,0)</f>
        <v>Lestrelle A</v>
      </c>
      <c r="D24" s="130">
        <f t="array" aca="1" ref="D24:K24" ca="1">OFFSET(Bowling!$AL$4,BowlAves!B24,0,1,8)</f>
        <v>3</v>
      </c>
      <c r="E24" s="131">
        <f ca="1"/>
        <v>0</v>
      </c>
      <c r="F24" s="131">
        <f ca="1"/>
        <v>36</v>
      </c>
      <c r="G24" s="131">
        <f ca="1"/>
        <v>0</v>
      </c>
      <c r="H24" s="67" t="str">
        <f ca="1"/>
        <v/>
      </c>
      <c r="I24" s="133" t="str">
        <f ca="1"/>
        <v/>
      </c>
      <c r="J24" s="133">
        <f ca="1"/>
        <v>12</v>
      </c>
      <c r="K24" s="134" t="str">
        <f ca="1"/>
        <v>0-36</v>
      </c>
      <c r="L24" s="134">
        <f t="shared" ca="1" si="0"/>
        <v>1023</v>
      </c>
      <c r="M24" s="134">
        <f t="shared" ca="1" si="1"/>
        <v>23</v>
      </c>
      <c r="N24" t="str">
        <f t="shared" ca="1" si="2"/>
        <v xml:space="preserve">Lestrelle A 3-0-36-0, </v>
      </c>
      <c r="P24" s="137">
        <v>22</v>
      </c>
      <c r="Q24" s="138" t="str">
        <f t="array" aca="1" ref="Q24:Y24" ca="1">OFFSET($C$2,MATCH(P24,$M$2:$M$51,0)-1,0,1,9)</f>
        <v>Umar S</v>
      </c>
      <c r="R24" s="139">
        <f ca="1"/>
        <v>2</v>
      </c>
      <c r="S24" s="139">
        <f ca="1"/>
        <v>0</v>
      </c>
      <c r="T24" s="139">
        <f ca="1"/>
        <v>16</v>
      </c>
      <c r="U24" s="139">
        <f ca="1"/>
        <v>0</v>
      </c>
      <c r="V24" s="140" t="str">
        <f ca="1"/>
        <v/>
      </c>
      <c r="W24" s="141" t="str">
        <f ca="1"/>
        <v/>
      </c>
      <c r="X24" s="141">
        <f ca="1"/>
        <v>8</v>
      </c>
      <c r="Y24" s="141" t="str">
        <f ca="1"/>
        <v>0-16</v>
      </c>
      <c r="Z24" s="149">
        <f t="shared" ca="1" si="3"/>
        <v>0</v>
      </c>
      <c r="AA24" s="149" t="str">
        <f t="shared" ca="1" si="4"/>
        <v/>
      </c>
    </row>
    <row r="25" spans="1:27" ht="11.25" x14ac:dyDescent="0.2">
      <c r="A25">
        <v>24</v>
      </c>
      <c r="B25">
        <f>MATCH(A25,Bowling!$AU$5:$AU$48,0)</f>
        <v>3</v>
      </c>
      <c r="C25" t="str">
        <f ca="1">OFFSET(Bowling!$B$4,BowlAves!B25,0)</f>
        <v>Brocks D</v>
      </c>
      <c r="D25" s="130">
        <f t="array" aca="1" ref="D25:K25" ca="1">OFFSET(Bowling!$AL$4,BowlAves!B25,0,1,8)</f>
        <v>4</v>
      </c>
      <c r="E25" s="131">
        <f ca="1"/>
        <v>0</v>
      </c>
      <c r="F25" s="131">
        <f ca="1"/>
        <v>30</v>
      </c>
      <c r="G25" s="131">
        <f ca="1"/>
        <v>0</v>
      </c>
      <c r="H25" s="67" t="str">
        <f ca="1"/>
        <v/>
      </c>
      <c r="I25" s="133" t="str">
        <f ca="1"/>
        <v/>
      </c>
      <c r="J25" s="133">
        <f ca="1"/>
        <v>7.5</v>
      </c>
      <c r="K25" s="134" t="str">
        <f ca="1"/>
        <v>0-30</v>
      </c>
      <c r="L25" s="134">
        <f t="shared" ca="1" si="0"/>
        <v>1024</v>
      </c>
      <c r="M25" s="134">
        <f t="shared" ca="1" si="1"/>
        <v>24</v>
      </c>
      <c r="N25" t="str">
        <f t="shared" ca="1" si="2"/>
        <v xml:space="preserve">Brocks D 4-0-30-0, </v>
      </c>
      <c r="P25" s="137">
        <v>23</v>
      </c>
      <c r="Q25" s="138" t="str">
        <f t="array" aca="1" ref="Q25:Y25" ca="1">OFFSET($C$2,MATCH(P25,$M$2:$M$51,0)-1,0,1,9)</f>
        <v>Lestrelle A</v>
      </c>
      <c r="R25" s="139">
        <f ca="1"/>
        <v>3</v>
      </c>
      <c r="S25" s="139">
        <f ca="1"/>
        <v>0</v>
      </c>
      <c r="T25" s="139">
        <f ca="1"/>
        <v>36</v>
      </c>
      <c r="U25" s="139">
        <f ca="1"/>
        <v>0</v>
      </c>
      <c r="V25" s="140" t="str">
        <f ca="1"/>
        <v/>
      </c>
      <c r="W25" s="141" t="str">
        <f ca="1"/>
        <v/>
      </c>
      <c r="X25" s="141">
        <f ca="1"/>
        <v>12</v>
      </c>
      <c r="Y25" s="141" t="str">
        <f ca="1"/>
        <v>0-36</v>
      </c>
      <c r="Z25" s="149">
        <f t="shared" ca="1" si="3"/>
        <v>0</v>
      </c>
      <c r="AA25" s="149" t="str">
        <f t="shared" ca="1" si="4"/>
        <v/>
      </c>
    </row>
    <row r="26" spans="1:27" ht="11.25" x14ac:dyDescent="0.2">
      <c r="A26">
        <v>25</v>
      </c>
      <c r="B26">
        <f>MATCH(A26,Bowling!$AU$5:$AU$48,0)</f>
        <v>13</v>
      </c>
      <c r="C26" t="str">
        <f ca="1">OFFSET(Bowling!$B$4,BowlAves!B26,0)</f>
        <v>Jain A</v>
      </c>
      <c r="D26" s="130">
        <f t="array" aca="1" ref="D26:K26" ca="1">OFFSET(Bowling!$AL$4,BowlAves!B26,0,1,8)</f>
        <v>4.3</v>
      </c>
      <c r="E26" s="131">
        <f ca="1"/>
        <v>0</v>
      </c>
      <c r="F26" s="131">
        <f ca="1"/>
        <v>36</v>
      </c>
      <c r="G26" s="131">
        <f ca="1"/>
        <v>0</v>
      </c>
      <c r="H26" s="67" t="str">
        <f ca="1"/>
        <v/>
      </c>
      <c r="I26" s="133" t="str">
        <f ca="1"/>
        <v/>
      </c>
      <c r="J26" s="133">
        <f ca="1"/>
        <v>8</v>
      </c>
      <c r="K26" s="134" t="str">
        <f ca="1"/>
        <v>0-5</v>
      </c>
      <c r="L26" s="134">
        <f t="shared" ca="1" si="0"/>
        <v>1025</v>
      </c>
      <c r="M26" s="134">
        <f t="shared" ca="1" si="1"/>
        <v>25</v>
      </c>
      <c r="N26" t="str">
        <f t="shared" ca="1" si="2"/>
        <v xml:space="preserve">Jain A 4.3-0-36-0, </v>
      </c>
      <c r="P26" s="137">
        <v>24</v>
      </c>
      <c r="Q26" s="138" t="str">
        <f t="array" aca="1" ref="Q26:Y26" ca="1">OFFSET($C$2,MATCH(P26,$M$2:$M$51,0)-1,0,1,9)</f>
        <v>Brocks D</v>
      </c>
      <c r="R26" s="139">
        <f ca="1"/>
        <v>4</v>
      </c>
      <c r="S26" s="139">
        <f ca="1"/>
        <v>0</v>
      </c>
      <c r="T26" s="139">
        <f ca="1"/>
        <v>30</v>
      </c>
      <c r="U26" s="139">
        <f ca="1"/>
        <v>0</v>
      </c>
      <c r="V26" s="140" t="str">
        <f ca="1"/>
        <v/>
      </c>
      <c r="W26" s="141" t="str">
        <f ca="1"/>
        <v/>
      </c>
      <c r="X26" s="141">
        <f ca="1"/>
        <v>7.5</v>
      </c>
      <c r="Y26" s="141" t="str">
        <f ca="1"/>
        <v>0-30</v>
      </c>
      <c r="Z26" s="149">
        <f t="shared" ref="Z26:Z31" ca="1" si="5">S26/R26</f>
        <v>0</v>
      </c>
      <c r="AA26" s="149" t="str">
        <f t="shared" ref="AA26:AA31" ca="1" si="6">IF(R26&gt;=20,Z26,"")</f>
        <v/>
      </c>
    </row>
    <row r="27" spans="1:27" ht="11.25" x14ac:dyDescent="0.2">
      <c r="A27">
        <v>26</v>
      </c>
      <c r="B27">
        <f>MATCH(A27,Bowling!$AU$5:$AU$48,0)</f>
        <v>8</v>
      </c>
      <c r="C27" t="str">
        <f ca="1">OFFSET(Bowling!$B$4,BowlAves!B27,0)</f>
        <v>Deol R</v>
      </c>
      <c r="D27" s="130">
        <f t="array" aca="1" ref="D27:K27" ca="1">OFFSET(Bowling!$AL$4,BowlAves!B27,0,1,8)</f>
        <v>6</v>
      </c>
      <c r="E27" s="131">
        <f ca="1"/>
        <v>0</v>
      </c>
      <c r="F27" s="131">
        <f ca="1"/>
        <v>36</v>
      </c>
      <c r="G27" s="131">
        <f ca="1"/>
        <v>0</v>
      </c>
      <c r="H27" s="67" t="str">
        <f ca="1"/>
        <v/>
      </c>
      <c r="I27" s="133" t="str">
        <f ca="1"/>
        <v/>
      </c>
      <c r="J27" s="133">
        <f ca="1"/>
        <v>6</v>
      </c>
      <c r="K27" s="134" t="str">
        <f ca="1"/>
        <v>0-36</v>
      </c>
      <c r="L27" s="134">
        <f t="shared" ca="1" si="0"/>
        <v>1026</v>
      </c>
      <c r="M27" s="134">
        <f t="shared" ca="1" si="1"/>
        <v>26</v>
      </c>
      <c r="N27" t="str">
        <f t="shared" ca="1" si="2"/>
        <v xml:space="preserve">Deol R 6-0-36-0, </v>
      </c>
      <c r="P27" s="137">
        <v>25</v>
      </c>
      <c r="Q27" s="138" t="str">
        <f t="array" aca="1" ref="Q27:Y27" ca="1">OFFSET($C$2,MATCH(P27,$M$2:$M$51,0)-1,0,1,9)</f>
        <v>Jain A</v>
      </c>
      <c r="R27" s="139">
        <f ca="1"/>
        <v>4.3</v>
      </c>
      <c r="S27" s="139">
        <f ca="1"/>
        <v>0</v>
      </c>
      <c r="T27" s="139">
        <f ca="1"/>
        <v>36</v>
      </c>
      <c r="U27" s="139">
        <f ca="1"/>
        <v>0</v>
      </c>
      <c r="V27" s="140" t="str">
        <f ca="1"/>
        <v/>
      </c>
      <c r="W27" s="141" t="str">
        <f ca="1"/>
        <v/>
      </c>
      <c r="X27" s="141">
        <f ca="1"/>
        <v>8</v>
      </c>
      <c r="Y27" s="141" t="str">
        <f ca="1"/>
        <v>0-5</v>
      </c>
      <c r="Z27" s="149">
        <f t="shared" ca="1" si="5"/>
        <v>0</v>
      </c>
      <c r="AA27" s="149" t="str">
        <f t="shared" ca="1" si="6"/>
        <v/>
      </c>
    </row>
    <row r="28" spans="1:27" ht="11.25" x14ac:dyDescent="0.2">
      <c r="A28">
        <v>27</v>
      </c>
      <c r="B28">
        <f>MATCH(A28,Bowling!$AU$5:$AU$48,0)</f>
        <v>26</v>
      </c>
      <c r="C28" t="str">
        <f ca="1">OFFSET(Bowling!$B$4,BowlAves!B28,0)</f>
        <v>Patel S</v>
      </c>
      <c r="D28" s="130">
        <f t="array" aca="1" ref="D28:K28" ca="1">OFFSET(Bowling!$AL$4,BowlAves!B28,0,1,8)</f>
        <v>8</v>
      </c>
      <c r="E28" s="131">
        <f ca="1"/>
        <v>0</v>
      </c>
      <c r="F28" s="131">
        <f ca="1"/>
        <v>52</v>
      </c>
      <c r="G28" s="131">
        <f ca="1"/>
        <v>0</v>
      </c>
      <c r="H28" s="67" t="str">
        <f ca="1"/>
        <v/>
      </c>
      <c r="I28" s="133" t="str">
        <f ca="1"/>
        <v/>
      </c>
      <c r="J28" s="133">
        <f ca="1"/>
        <v>6.5</v>
      </c>
      <c r="K28" s="134" t="str">
        <f ca="1"/>
        <v>0-52</v>
      </c>
      <c r="L28" s="134">
        <f t="shared" ca="1" si="0"/>
        <v>1027</v>
      </c>
      <c r="M28" s="134">
        <f t="shared" ca="1" si="1"/>
        <v>27</v>
      </c>
      <c r="N28" t="str">
        <f t="shared" ca="1" si="2"/>
        <v xml:space="preserve">Patel S 8-0-52-0, </v>
      </c>
      <c r="P28" s="137">
        <v>26</v>
      </c>
      <c r="Q28" s="138" t="str">
        <f t="array" aca="1" ref="Q28:Y28" ca="1">OFFSET($C$2,MATCH(P28,$M$2:$M$51,0)-1,0,1,9)</f>
        <v>Deol R</v>
      </c>
      <c r="R28" s="139">
        <f ca="1"/>
        <v>6</v>
      </c>
      <c r="S28" s="139">
        <f ca="1"/>
        <v>0</v>
      </c>
      <c r="T28" s="139">
        <f ca="1"/>
        <v>36</v>
      </c>
      <c r="U28" s="139">
        <f ca="1"/>
        <v>0</v>
      </c>
      <c r="V28" s="140" t="str">
        <f ca="1"/>
        <v/>
      </c>
      <c r="W28" s="141" t="str">
        <f ca="1"/>
        <v/>
      </c>
      <c r="X28" s="141">
        <f ca="1"/>
        <v>6</v>
      </c>
      <c r="Y28" s="141" t="str">
        <f ca="1"/>
        <v>0-36</v>
      </c>
      <c r="Z28" s="149">
        <f t="shared" ca="1" si="5"/>
        <v>0</v>
      </c>
      <c r="AA28" s="149" t="str">
        <f t="shared" ca="1" si="6"/>
        <v/>
      </c>
    </row>
    <row r="29" spans="1:27" ht="11.25" x14ac:dyDescent="0.2">
      <c r="A29">
        <v>28</v>
      </c>
      <c r="B29">
        <f>MATCH(A29,Bowling!$AU$5:$AU$48,0)</f>
        <v>4</v>
      </c>
      <c r="C29" t="str">
        <f ca="1">OFFSET(Bowling!$B$4,BowlAves!B29,0)</f>
        <v>Chima R</v>
      </c>
      <c r="D29" s="130">
        <f t="array" aca="1" ref="D29:K29" ca="1">OFFSET(Bowling!$AL$4,BowlAves!B29,0,1,8)</f>
        <v>0</v>
      </c>
      <c r="E29" s="131">
        <f ca="1"/>
        <v>0</v>
      </c>
      <c r="F29" s="131">
        <f ca="1"/>
        <v>0</v>
      </c>
      <c r="G29" s="131">
        <f ca="1"/>
        <v>0</v>
      </c>
      <c r="H29" s="67" t="str">
        <f ca="1"/>
        <v/>
      </c>
      <c r="I29" s="133" t="str">
        <f ca="1"/>
        <v/>
      </c>
      <c r="J29" s="133" t="str">
        <f ca="1"/>
        <v/>
      </c>
      <c r="K29" s="134" t="str">
        <f ca="1"/>
        <v/>
      </c>
      <c r="L29" s="134">
        <f t="shared" ca="1" si="0"/>
        <v>1028</v>
      </c>
      <c r="M29" s="134">
        <f t="shared" ca="1" si="1"/>
        <v>28</v>
      </c>
      <c r="N29" t="str">
        <f t="shared" ca="1" si="2"/>
        <v xml:space="preserve">Chima R 0-0-0-0, </v>
      </c>
      <c r="P29" s="137">
        <v>27</v>
      </c>
      <c r="Q29" s="138" t="str">
        <f t="array" aca="1" ref="Q29:Y29" ca="1">OFFSET($C$2,MATCH(P29,$M$2:$M$51,0)-1,0,1,9)</f>
        <v>Patel S</v>
      </c>
      <c r="R29" s="139">
        <f ca="1"/>
        <v>8</v>
      </c>
      <c r="S29" s="139">
        <f ca="1"/>
        <v>0</v>
      </c>
      <c r="T29" s="139">
        <f ca="1"/>
        <v>52</v>
      </c>
      <c r="U29" s="139">
        <f ca="1"/>
        <v>0</v>
      </c>
      <c r="V29" s="140" t="str">
        <f ca="1"/>
        <v/>
      </c>
      <c r="W29" s="141" t="str">
        <f ca="1"/>
        <v/>
      </c>
      <c r="X29" s="141">
        <f ca="1"/>
        <v>6.5</v>
      </c>
      <c r="Y29" s="141" t="str">
        <f ca="1"/>
        <v>0-52</v>
      </c>
      <c r="Z29" s="149">
        <f t="shared" ca="1" si="5"/>
        <v>0</v>
      </c>
      <c r="AA29" s="149" t="str">
        <f t="shared" ca="1" si="6"/>
        <v/>
      </c>
    </row>
    <row r="30" spans="1:27" ht="11.25" x14ac:dyDescent="0.2">
      <c r="A30">
        <v>29</v>
      </c>
      <c r="B30">
        <f>MATCH(A30,Bowling!$AU$5:$AU$48,0)</f>
        <v>5</v>
      </c>
      <c r="C30" t="str">
        <f ca="1">OFFSET(Bowling!$B$4,BowlAves!B30,0)</f>
        <v>Clarkson M</v>
      </c>
      <c r="D30" s="130">
        <f t="array" aca="1" ref="D30:K30" ca="1">OFFSET(Bowling!$AL$4,BowlAves!B30,0,1,8)</f>
        <v>0</v>
      </c>
      <c r="E30" s="131">
        <f ca="1"/>
        <v>0</v>
      </c>
      <c r="F30" s="131">
        <f ca="1"/>
        <v>0</v>
      </c>
      <c r="G30" s="131">
        <f ca="1"/>
        <v>0</v>
      </c>
      <c r="H30" s="67" t="str">
        <f ca="1"/>
        <v/>
      </c>
      <c r="I30" s="133" t="str">
        <f ca="1"/>
        <v/>
      </c>
      <c r="J30" s="133" t="str">
        <f ca="1"/>
        <v/>
      </c>
      <c r="K30" s="134" t="str">
        <f ca="1"/>
        <v/>
      </c>
      <c r="L30" s="134">
        <f t="shared" ca="1" si="0"/>
        <v>1029</v>
      </c>
      <c r="M30" s="134">
        <f t="shared" ca="1" si="1"/>
        <v>29</v>
      </c>
      <c r="N30" t="str">
        <f t="shared" ca="1" si="2"/>
        <v xml:space="preserve">Clarkson M 0-0-0-0, </v>
      </c>
      <c r="P30" s="137">
        <v>28</v>
      </c>
      <c r="Q30" s="138" t="str">
        <f t="array" aca="1" ref="Q30:Y30" ca="1">OFFSET($C$2,MATCH(P30,$M$2:$M$51,0)-1,0,1,9)</f>
        <v>Chima R</v>
      </c>
      <c r="R30" s="139">
        <f ca="1"/>
        <v>0</v>
      </c>
      <c r="S30" s="139">
        <f ca="1"/>
        <v>0</v>
      </c>
      <c r="T30" s="139">
        <f ca="1"/>
        <v>0</v>
      </c>
      <c r="U30" s="139">
        <f ca="1"/>
        <v>0</v>
      </c>
      <c r="V30" s="140" t="str">
        <f ca="1"/>
        <v/>
      </c>
      <c r="W30" s="141" t="str">
        <f ca="1"/>
        <v/>
      </c>
      <c r="X30" s="141" t="str">
        <f ca="1"/>
        <v/>
      </c>
      <c r="Y30" s="141" t="str">
        <f ca="1"/>
        <v/>
      </c>
      <c r="Z30" s="149" t="e">
        <f t="shared" ca="1" si="5"/>
        <v>#DIV/0!</v>
      </c>
      <c r="AA30" s="149" t="str">
        <f t="shared" ca="1" si="6"/>
        <v/>
      </c>
    </row>
    <row r="31" spans="1:27" ht="11.25" x14ac:dyDescent="0.2">
      <c r="A31">
        <v>30</v>
      </c>
      <c r="B31">
        <f>MATCH(A31,Bowling!$AU$5:$AU$48,0)</f>
        <v>6</v>
      </c>
      <c r="C31" t="str">
        <f ca="1">OFFSET(Bowling!$B$4,BowlAves!B31,0)</f>
        <v>Curling L</v>
      </c>
      <c r="D31" s="130">
        <f t="array" aca="1" ref="D31:K31" ca="1">OFFSET(Bowling!$AL$4,BowlAves!B31,0,1,8)</f>
        <v>0</v>
      </c>
      <c r="E31" s="131">
        <f ca="1"/>
        <v>0</v>
      </c>
      <c r="F31" s="131">
        <f ca="1"/>
        <v>0</v>
      </c>
      <c r="G31" s="131">
        <f ca="1"/>
        <v>0</v>
      </c>
      <c r="H31" s="67" t="str">
        <f ca="1"/>
        <v/>
      </c>
      <c r="I31" s="133" t="str">
        <f ca="1"/>
        <v/>
      </c>
      <c r="J31" s="133" t="str">
        <f ca="1"/>
        <v/>
      </c>
      <c r="K31" s="134" t="str">
        <f ca="1"/>
        <v/>
      </c>
      <c r="L31" s="134">
        <f t="shared" ca="1" si="0"/>
        <v>1030</v>
      </c>
      <c r="M31" s="134">
        <f t="shared" ca="1" si="1"/>
        <v>30</v>
      </c>
      <c r="N31" t="str">
        <f t="shared" ca="1" si="2"/>
        <v xml:space="preserve">Curling L 0-0-0-0, </v>
      </c>
      <c r="P31" s="137">
        <v>29</v>
      </c>
      <c r="Q31" s="138" t="str">
        <f t="array" aca="1" ref="Q31:Y31" ca="1">OFFSET($C$2,MATCH(P31,$M$2:$M$51,0)-1,0,1,9)</f>
        <v>Clarkson M</v>
      </c>
      <c r="R31" s="139">
        <f ca="1"/>
        <v>0</v>
      </c>
      <c r="S31" s="139">
        <f ca="1"/>
        <v>0</v>
      </c>
      <c r="T31" s="139">
        <f ca="1"/>
        <v>0</v>
      </c>
      <c r="U31" s="139">
        <f ca="1"/>
        <v>0</v>
      </c>
      <c r="V31" s="140" t="str">
        <f ca="1"/>
        <v/>
      </c>
      <c r="W31" s="141" t="str">
        <f ca="1"/>
        <v/>
      </c>
      <c r="X31" s="141" t="str">
        <f ca="1"/>
        <v/>
      </c>
      <c r="Y31" s="141" t="str">
        <f ca="1"/>
        <v/>
      </c>
      <c r="Z31" s="149" t="e">
        <f t="shared" ca="1" si="5"/>
        <v>#DIV/0!</v>
      </c>
      <c r="AA31" s="149" t="str">
        <f t="shared" ca="1" si="6"/>
        <v/>
      </c>
    </row>
    <row r="32" spans="1:27" ht="11.25" x14ac:dyDescent="0.2">
      <c r="A32">
        <v>31</v>
      </c>
      <c r="B32">
        <f>MATCH(A32,Bowling!$AU$5:$AU$48,0)</f>
        <v>9</v>
      </c>
      <c r="C32" t="str">
        <f ca="1">OFFSET(Bowling!$B$4,BowlAves!B32,0)</f>
        <v>Foxworthy P</v>
      </c>
      <c r="D32" s="130">
        <f t="array" aca="1" ref="D32:K32" ca="1">OFFSET(Bowling!$AL$4,BowlAves!B32,0,1,8)</f>
        <v>0</v>
      </c>
      <c r="E32" s="131">
        <f ca="1"/>
        <v>0</v>
      </c>
      <c r="F32" s="131">
        <f ca="1"/>
        <v>0</v>
      </c>
      <c r="G32" s="131">
        <f ca="1"/>
        <v>0</v>
      </c>
      <c r="H32" s="67" t="str">
        <f ca="1"/>
        <v/>
      </c>
      <c r="I32" s="133" t="str">
        <f ca="1"/>
        <v/>
      </c>
      <c r="J32" s="133" t="str">
        <f ca="1"/>
        <v/>
      </c>
      <c r="K32" s="134" t="str">
        <f ca="1"/>
        <v/>
      </c>
      <c r="L32" s="134">
        <f t="shared" ca="1" si="0"/>
        <v>1031</v>
      </c>
      <c r="M32" s="134">
        <f t="shared" ca="1" si="1"/>
        <v>31</v>
      </c>
      <c r="N32" t="str">
        <f t="shared" ca="1" si="2"/>
        <v xml:space="preserve">Foxworthy P 0-0-0-0, </v>
      </c>
      <c r="P32" s="137">
        <v>30</v>
      </c>
      <c r="Q32" s="138" t="str">
        <f t="array" aca="1" ref="Q32:Y32" ca="1">OFFSET($C$2,MATCH(P32,$M$2:$M$51,0)-1,0,1,9)</f>
        <v>Curling L</v>
      </c>
      <c r="R32" s="139">
        <f ca="1"/>
        <v>0</v>
      </c>
      <c r="S32" s="139">
        <f ca="1"/>
        <v>0</v>
      </c>
      <c r="T32" s="139">
        <f ca="1"/>
        <v>0</v>
      </c>
      <c r="U32" s="139">
        <f ca="1"/>
        <v>0</v>
      </c>
      <c r="V32" s="140" t="str">
        <f ca="1"/>
        <v/>
      </c>
      <c r="W32" s="141" t="str">
        <f ca="1"/>
        <v/>
      </c>
      <c r="X32" s="141" t="str">
        <f ca="1"/>
        <v/>
      </c>
      <c r="Y32" s="141" t="str">
        <f ca="1"/>
        <v/>
      </c>
      <c r="Z32" s="149" t="e">
        <f t="shared" ref="Z32:Z36" ca="1" si="7">S32/R32</f>
        <v>#DIV/0!</v>
      </c>
      <c r="AA32" s="149" t="str">
        <f t="shared" ref="AA32:AA36" ca="1" si="8">IF(R32&gt;=20,Z32,"")</f>
        <v/>
      </c>
    </row>
    <row r="33" spans="1:27" ht="11.25" x14ac:dyDescent="0.2">
      <c r="A33">
        <v>32</v>
      </c>
      <c r="B33">
        <f>MATCH(A33,Bowling!$AU$5:$AU$48,0)</f>
        <v>10</v>
      </c>
      <c r="C33" t="str">
        <f ca="1">OFFSET(Bowling!$B$4,BowlAves!B33,0)</f>
        <v>Ffrench R</v>
      </c>
      <c r="D33" s="130">
        <f t="array" aca="1" ref="D33:K33" ca="1">OFFSET(Bowling!$AL$4,BowlAves!B33,0,1,8)</f>
        <v>0</v>
      </c>
      <c r="E33" s="131">
        <f ca="1"/>
        <v>0</v>
      </c>
      <c r="F33" s="131">
        <f ca="1"/>
        <v>0</v>
      </c>
      <c r="G33" s="131">
        <f ca="1"/>
        <v>0</v>
      </c>
      <c r="H33" s="67" t="str">
        <f ca="1"/>
        <v/>
      </c>
      <c r="I33" s="133" t="str">
        <f ca="1"/>
        <v/>
      </c>
      <c r="J33" s="133" t="str">
        <f ca="1"/>
        <v/>
      </c>
      <c r="K33" s="134" t="str">
        <f ca="1"/>
        <v/>
      </c>
      <c r="L33" s="134">
        <f t="shared" ca="1" si="0"/>
        <v>1032</v>
      </c>
      <c r="M33" s="134">
        <f t="shared" ca="1" si="1"/>
        <v>32</v>
      </c>
      <c r="N33" t="str">
        <f t="shared" ca="1" si="2"/>
        <v xml:space="preserve">Ffrench R 0-0-0-0, </v>
      </c>
      <c r="P33" s="137">
        <v>31</v>
      </c>
      <c r="Q33" s="138" t="str">
        <f t="array" aca="1" ref="Q33:Y33" ca="1">OFFSET($C$2,MATCH(P33,$M$2:$M$51,0)-1,0,1,9)</f>
        <v>Foxworthy P</v>
      </c>
      <c r="R33" s="139">
        <f ca="1"/>
        <v>0</v>
      </c>
      <c r="S33" s="139">
        <f ca="1"/>
        <v>0</v>
      </c>
      <c r="T33" s="139">
        <f ca="1"/>
        <v>0</v>
      </c>
      <c r="U33" s="139">
        <f ca="1"/>
        <v>0</v>
      </c>
      <c r="V33" s="140" t="str">
        <f ca="1"/>
        <v/>
      </c>
      <c r="W33" s="141" t="str">
        <f ca="1"/>
        <v/>
      </c>
      <c r="X33" s="141" t="str">
        <f ca="1"/>
        <v/>
      </c>
      <c r="Y33" s="141" t="str">
        <f ca="1"/>
        <v/>
      </c>
      <c r="Z33" s="149" t="e">
        <f t="shared" ca="1" si="7"/>
        <v>#DIV/0!</v>
      </c>
      <c r="AA33" s="149" t="str">
        <f t="shared" ca="1" si="8"/>
        <v/>
      </c>
    </row>
    <row r="34" spans="1:27" ht="11.25" x14ac:dyDescent="0.2">
      <c r="A34">
        <v>33</v>
      </c>
      <c r="B34">
        <f>MATCH(A34,Bowling!$AU$5:$AU$48,0)</f>
        <v>12</v>
      </c>
      <c r="C34" t="str">
        <f ca="1">OFFSET(Bowling!$B$4,BowlAves!B34,0)</f>
        <v>Hemasinghe M</v>
      </c>
      <c r="D34" s="130">
        <f t="array" aca="1" ref="D34:K34" ca="1">OFFSET(Bowling!$AL$4,BowlAves!B34,0,1,8)</f>
        <v>0</v>
      </c>
      <c r="E34" s="131">
        <f ca="1"/>
        <v>0</v>
      </c>
      <c r="F34" s="131">
        <f ca="1"/>
        <v>0</v>
      </c>
      <c r="G34" s="131">
        <f ca="1"/>
        <v>0</v>
      </c>
      <c r="H34" s="67" t="str">
        <f ca="1"/>
        <v/>
      </c>
      <c r="I34" s="133" t="str">
        <f ca="1"/>
        <v/>
      </c>
      <c r="J34" s="133" t="str">
        <f ca="1"/>
        <v/>
      </c>
      <c r="K34" s="134" t="str">
        <f ca="1"/>
        <v/>
      </c>
      <c r="L34" s="134">
        <f t="shared" ca="1" si="0"/>
        <v>1033</v>
      </c>
      <c r="M34" s="134">
        <f t="shared" ca="1" si="1"/>
        <v>33</v>
      </c>
      <c r="N34" t="str">
        <f t="shared" ca="1" si="2"/>
        <v xml:space="preserve">Hemasinghe M 0-0-0-0, </v>
      </c>
      <c r="P34" s="137">
        <v>32</v>
      </c>
      <c r="Q34" s="138" t="str">
        <f t="array" aca="1" ref="Q34:Y34" ca="1">OFFSET($C$2,MATCH(P34,$M$2:$M$51,0)-1,0,1,9)</f>
        <v>Ffrench R</v>
      </c>
      <c r="R34" s="139">
        <f ca="1"/>
        <v>0</v>
      </c>
      <c r="S34" s="139">
        <f ca="1"/>
        <v>0</v>
      </c>
      <c r="T34" s="139">
        <f ca="1"/>
        <v>0</v>
      </c>
      <c r="U34" s="139">
        <f ca="1"/>
        <v>0</v>
      </c>
      <c r="V34" s="140" t="str">
        <f ca="1"/>
        <v/>
      </c>
      <c r="W34" s="141" t="str">
        <f ca="1"/>
        <v/>
      </c>
      <c r="X34" s="141" t="str">
        <f ca="1"/>
        <v/>
      </c>
      <c r="Y34" s="141" t="str">
        <f ca="1"/>
        <v/>
      </c>
      <c r="Z34" s="149" t="e">
        <f t="shared" ca="1" si="7"/>
        <v>#DIV/0!</v>
      </c>
      <c r="AA34" s="149" t="str">
        <f t="shared" ca="1" si="8"/>
        <v/>
      </c>
    </row>
    <row r="35" spans="1:27" ht="11.25" x14ac:dyDescent="0.2">
      <c r="A35">
        <v>34</v>
      </c>
      <c r="B35">
        <f>MATCH(A35,Bowling!$AU$5:$AU$48,0)</f>
        <v>14</v>
      </c>
      <c r="C35" t="str">
        <f ca="1">OFFSET(Bowling!$B$4,BowlAves!B35,0)</f>
        <v>Jenkins D</v>
      </c>
      <c r="D35" s="130">
        <f t="array" aca="1" ref="D35:K35" ca="1">OFFSET(Bowling!$AL$4,BowlAves!B35,0,1,8)</f>
        <v>0</v>
      </c>
      <c r="E35" s="131">
        <f ca="1"/>
        <v>0</v>
      </c>
      <c r="F35" s="131">
        <f ca="1"/>
        <v>0</v>
      </c>
      <c r="G35" s="131">
        <f ca="1"/>
        <v>0</v>
      </c>
      <c r="H35" s="67" t="str">
        <f ca="1"/>
        <v/>
      </c>
      <c r="I35" s="133" t="str">
        <f ca="1"/>
        <v/>
      </c>
      <c r="J35" s="133" t="str">
        <f ca="1"/>
        <v/>
      </c>
      <c r="K35" s="134" t="str">
        <f ca="1"/>
        <v/>
      </c>
      <c r="L35" s="134">
        <f t="shared" ca="1" si="0"/>
        <v>1034</v>
      </c>
      <c r="M35" s="134">
        <f t="shared" ca="1" si="1"/>
        <v>34</v>
      </c>
      <c r="N35" t="str">
        <f t="shared" ca="1" si="2"/>
        <v xml:space="preserve">Jenkins D 0-0-0-0, </v>
      </c>
      <c r="P35" s="137">
        <v>33</v>
      </c>
      <c r="Q35" s="138" t="str">
        <f t="array" aca="1" ref="Q35:Y35" ca="1">OFFSET($C$2,MATCH(P35,$M$2:$M$51,0)-1,0,1,9)</f>
        <v>Hemasinghe M</v>
      </c>
      <c r="R35" s="139">
        <f ca="1"/>
        <v>0</v>
      </c>
      <c r="S35" s="139">
        <f ca="1"/>
        <v>0</v>
      </c>
      <c r="T35" s="139">
        <f ca="1"/>
        <v>0</v>
      </c>
      <c r="U35" s="139">
        <f ca="1"/>
        <v>0</v>
      </c>
      <c r="V35" s="140" t="str">
        <f ca="1"/>
        <v/>
      </c>
      <c r="W35" s="141" t="str">
        <f ca="1"/>
        <v/>
      </c>
      <c r="X35" s="141" t="str">
        <f ca="1"/>
        <v/>
      </c>
      <c r="Y35" s="141" t="str">
        <f ca="1"/>
        <v/>
      </c>
      <c r="Z35" s="149" t="e">
        <f t="shared" ca="1" si="7"/>
        <v>#DIV/0!</v>
      </c>
      <c r="AA35" s="149" t="str">
        <f t="shared" ca="1" si="8"/>
        <v/>
      </c>
    </row>
    <row r="36" spans="1:27" ht="11.25" x14ac:dyDescent="0.2">
      <c r="A36">
        <v>35</v>
      </c>
      <c r="B36">
        <f>MATCH(A36,Bowling!$AU$5:$AU$48,0)</f>
        <v>16</v>
      </c>
      <c r="C36" t="str">
        <f ca="1">OFFSET(Bowling!$B$4,BowlAves!B36,0)</f>
        <v>"Luca"</v>
      </c>
      <c r="D36" s="130">
        <f t="array" aca="1" ref="D36:K36" ca="1">OFFSET(Bowling!$AL$4,BowlAves!B36,0,1,8)</f>
        <v>0</v>
      </c>
      <c r="E36" s="131">
        <f ca="1"/>
        <v>0</v>
      </c>
      <c r="F36" s="131">
        <f ca="1"/>
        <v>0</v>
      </c>
      <c r="G36" s="131">
        <f ca="1"/>
        <v>0</v>
      </c>
      <c r="H36" s="67" t="str">
        <f ca="1"/>
        <v/>
      </c>
      <c r="I36" s="133" t="str">
        <f ca="1"/>
        <v/>
      </c>
      <c r="J36" s="133" t="str">
        <f ca="1"/>
        <v/>
      </c>
      <c r="K36" s="134" t="str">
        <f ca="1"/>
        <v/>
      </c>
      <c r="L36" s="134">
        <f t="shared" ca="1" si="0"/>
        <v>1035</v>
      </c>
      <c r="M36" s="134">
        <f t="shared" ca="1" si="1"/>
        <v>35</v>
      </c>
      <c r="N36" t="str">
        <f t="shared" ca="1" si="2"/>
        <v xml:space="preserve">"Luca" 0-0-0-0, </v>
      </c>
      <c r="P36" s="137">
        <v>34</v>
      </c>
      <c r="Q36" s="138" t="str">
        <f t="array" aca="1" ref="Q36:Y36" ca="1">OFFSET($C$2,MATCH(P36,$M$2:$M$51,0)-1,0,1,9)</f>
        <v>Jenkins D</v>
      </c>
      <c r="R36" s="139">
        <f ca="1"/>
        <v>0</v>
      </c>
      <c r="S36" s="139">
        <f ca="1"/>
        <v>0</v>
      </c>
      <c r="T36" s="139">
        <f ca="1"/>
        <v>0</v>
      </c>
      <c r="U36" s="139">
        <f ca="1"/>
        <v>0</v>
      </c>
      <c r="V36" s="140" t="str">
        <f ca="1"/>
        <v/>
      </c>
      <c r="W36" s="141" t="str">
        <f ca="1"/>
        <v/>
      </c>
      <c r="X36" s="141" t="str">
        <f ca="1"/>
        <v/>
      </c>
      <c r="Y36" s="141" t="str">
        <f ca="1"/>
        <v/>
      </c>
      <c r="Z36" s="149" t="e">
        <f t="shared" ca="1" si="7"/>
        <v>#DIV/0!</v>
      </c>
      <c r="AA36" s="149" t="str">
        <f t="shared" ca="1" si="8"/>
        <v/>
      </c>
    </row>
    <row r="37" spans="1:27" ht="11.25" x14ac:dyDescent="0.2">
      <c r="A37">
        <v>36</v>
      </c>
      <c r="B37">
        <f>MATCH(A37,Bowling!$AU$5:$AU$48,0)</f>
        <v>22</v>
      </c>
      <c r="C37" t="str">
        <f ca="1">OFFSET(Bowling!$B$4,BowlAves!B37,0)</f>
        <v>Niran S</v>
      </c>
      <c r="D37" s="130">
        <f t="array" aca="1" ref="D37:K37" ca="1">OFFSET(Bowling!$AL$4,BowlAves!B37,0,1,8)</f>
        <v>0</v>
      </c>
      <c r="E37" s="131">
        <f ca="1"/>
        <v>0</v>
      </c>
      <c r="F37" s="131">
        <f ca="1"/>
        <v>0</v>
      </c>
      <c r="G37" s="131">
        <f ca="1"/>
        <v>0</v>
      </c>
      <c r="H37" s="67" t="str">
        <f ca="1"/>
        <v/>
      </c>
      <c r="I37" s="133" t="str">
        <f ca="1"/>
        <v/>
      </c>
      <c r="J37" s="133" t="str">
        <f ca="1"/>
        <v/>
      </c>
      <c r="K37" s="134" t="str">
        <f ca="1"/>
        <v/>
      </c>
      <c r="L37" s="134">
        <f t="shared" ca="1" si="0"/>
        <v>1036</v>
      </c>
      <c r="M37" s="134">
        <f t="shared" ca="1" si="1"/>
        <v>36</v>
      </c>
      <c r="N37" t="str">
        <f t="shared" ca="1" si="2"/>
        <v xml:space="preserve">Niran S 0-0-0-0, </v>
      </c>
      <c r="P37" s="137">
        <v>35</v>
      </c>
      <c r="Q37" s="138" t="str">
        <f t="array" aca="1" ref="Q37:Y37" ca="1">OFFSET($C$2,MATCH(P37,$M$2:$M$51,0)-1,0,1,9)</f>
        <v>"Luca"</v>
      </c>
      <c r="R37" s="139">
        <f ca="1"/>
        <v>0</v>
      </c>
      <c r="S37" s="139">
        <f ca="1"/>
        <v>0</v>
      </c>
      <c r="T37" s="139">
        <f ca="1"/>
        <v>0</v>
      </c>
      <c r="U37" s="139">
        <f ca="1"/>
        <v>0</v>
      </c>
      <c r="V37" s="140" t="str">
        <f ca="1"/>
        <v/>
      </c>
      <c r="W37" s="141" t="str">
        <f ca="1"/>
        <v/>
      </c>
      <c r="X37" s="141" t="str">
        <f ca="1"/>
        <v/>
      </c>
      <c r="Y37" s="141" t="str">
        <f ca="1"/>
        <v/>
      </c>
      <c r="Z37" s="149" t="e">
        <f t="shared" ref="Z37:Z38" ca="1" si="9">S37/R37</f>
        <v>#DIV/0!</v>
      </c>
      <c r="AA37" s="149" t="str">
        <f t="shared" ref="AA37:AA38" ca="1" si="10">IF(R37&gt;=20,Z37,"")</f>
        <v/>
      </c>
    </row>
    <row r="38" spans="1:27" ht="11.25" x14ac:dyDescent="0.2">
      <c r="A38">
        <v>37</v>
      </c>
      <c r="B38">
        <f>MATCH(A38,Bowling!$AU$5:$AU$48,0)</f>
        <v>29</v>
      </c>
      <c r="C38" t="str">
        <f ca="1">OFFSET(Bowling!$B$4,BowlAves!B38,0)</f>
        <v>Sajjid A</v>
      </c>
      <c r="D38" s="130">
        <f t="array" aca="1" ref="D38:K38" ca="1">OFFSET(Bowling!$AL$4,BowlAves!B38,0,1,8)</f>
        <v>0</v>
      </c>
      <c r="E38" s="131">
        <f ca="1"/>
        <v>0</v>
      </c>
      <c r="F38" s="131">
        <f ca="1"/>
        <v>0</v>
      </c>
      <c r="G38" s="131">
        <f ca="1"/>
        <v>0</v>
      </c>
      <c r="H38" s="67" t="str">
        <f ca="1"/>
        <v/>
      </c>
      <c r="I38" s="133" t="str">
        <f ca="1"/>
        <v/>
      </c>
      <c r="J38" s="133" t="str">
        <f ca="1"/>
        <v/>
      </c>
      <c r="K38" s="134" t="str">
        <f ca="1"/>
        <v/>
      </c>
      <c r="L38" s="134">
        <f t="shared" ca="1" si="0"/>
        <v>1037</v>
      </c>
      <c r="M38" s="134">
        <f t="shared" ca="1" si="1"/>
        <v>37</v>
      </c>
      <c r="N38" t="str">
        <f t="shared" ca="1" si="2"/>
        <v xml:space="preserve">Sajjid A 0-0-0-0, </v>
      </c>
      <c r="P38" s="137">
        <v>36</v>
      </c>
      <c r="Q38" s="138" t="str">
        <f t="array" aca="1" ref="Q38:Y38" ca="1">OFFSET($C$2,MATCH(P38,$M$2:$M$51,0)-1,0,1,9)</f>
        <v>Niran S</v>
      </c>
      <c r="R38" s="139">
        <f ca="1"/>
        <v>0</v>
      </c>
      <c r="S38" s="139">
        <f ca="1"/>
        <v>0</v>
      </c>
      <c r="T38" s="139">
        <f ca="1"/>
        <v>0</v>
      </c>
      <c r="U38" s="139">
        <f ca="1"/>
        <v>0</v>
      </c>
      <c r="V38" s="140" t="str">
        <f ca="1"/>
        <v/>
      </c>
      <c r="W38" s="141" t="str">
        <f ca="1"/>
        <v/>
      </c>
      <c r="X38" s="141" t="str">
        <f ca="1"/>
        <v/>
      </c>
      <c r="Y38" s="141" t="str">
        <f ca="1"/>
        <v/>
      </c>
      <c r="Z38" s="149" t="e">
        <f t="shared" ca="1" si="9"/>
        <v>#DIV/0!</v>
      </c>
      <c r="AA38" s="149" t="str">
        <f t="shared" ca="1" si="10"/>
        <v/>
      </c>
    </row>
    <row r="39" spans="1:27" ht="11.25" x14ac:dyDescent="0.15">
      <c r="A39">
        <v>38</v>
      </c>
      <c r="B39">
        <f>MATCH(A39,Bowling!$AU$5:$AU$48,0)</f>
        <v>31</v>
      </c>
      <c r="C39" t="str">
        <f ca="1">OFFSET(Bowling!$B$4,BowlAves!B39,0)</f>
        <v>Seev J</v>
      </c>
      <c r="D39" s="130">
        <f t="array" aca="1" ref="D39:K39" ca="1">OFFSET(Bowling!$AL$4,BowlAves!B39,0,1,8)</f>
        <v>0</v>
      </c>
      <c r="E39" s="131">
        <f ca="1"/>
        <v>0</v>
      </c>
      <c r="F39" s="131">
        <f ca="1"/>
        <v>0</v>
      </c>
      <c r="G39" s="131">
        <f ca="1"/>
        <v>0</v>
      </c>
      <c r="H39" s="67" t="str">
        <f ca="1"/>
        <v/>
      </c>
      <c r="I39" s="133" t="str">
        <f ca="1"/>
        <v/>
      </c>
      <c r="J39" s="133" t="str">
        <f ca="1"/>
        <v/>
      </c>
      <c r="K39" s="134" t="str">
        <f ca="1"/>
        <v/>
      </c>
      <c r="L39" s="134">
        <f t="shared" ca="1" si="0"/>
        <v>1038</v>
      </c>
      <c r="M39" s="134">
        <f t="shared" ca="1" si="1"/>
        <v>38</v>
      </c>
      <c r="N39" t="str">
        <f t="shared" ca="1" si="2"/>
        <v xml:space="preserve">Seev J 0-0-0-0, </v>
      </c>
      <c r="Q39" t="s">
        <v>194</v>
      </c>
      <c r="W39" s="137"/>
    </row>
    <row r="40" spans="1:27" ht="11.25" x14ac:dyDescent="0.15">
      <c r="A40">
        <v>39</v>
      </c>
      <c r="B40">
        <f>MATCH(A40,Bowling!$AU$5:$AU$48,0)</f>
        <v>35</v>
      </c>
      <c r="C40" t="str">
        <f ca="1">OFFSET(Bowling!$B$4,BowlAves!B40,0)</f>
        <v>Sharpe H</v>
      </c>
      <c r="D40" s="130">
        <f t="array" aca="1" ref="D40:K40" ca="1">OFFSET(Bowling!$AL$4,BowlAves!B40,0,1,8)</f>
        <v>0</v>
      </c>
      <c r="E40" s="131">
        <f ca="1"/>
        <v>0</v>
      </c>
      <c r="F40" s="131">
        <f ca="1"/>
        <v>0</v>
      </c>
      <c r="G40" s="131">
        <f ca="1"/>
        <v>0</v>
      </c>
      <c r="H40" s="67" t="str">
        <f ca="1"/>
        <v/>
      </c>
      <c r="I40" s="133" t="str">
        <f ca="1"/>
        <v/>
      </c>
      <c r="J40" s="133" t="str">
        <f ca="1"/>
        <v/>
      </c>
      <c r="K40" s="134" t="str">
        <f ca="1"/>
        <v/>
      </c>
      <c r="L40" s="134">
        <f t="shared" ca="1" si="0"/>
        <v>1039</v>
      </c>
      <c r="M40" s="134">
        <f t="shared" ca="1" si="1"/>
        <v>39</v>
      </c>
      <c r="N40" t="str">
        <f t="shared" ca="1" si="2"/>
        <v xml:space="preserve">Sharpe H 0-0-0-0, </v>
      </c>
      <c r="Q40" t="s">
        <v>194</v>
      </c>
      <c r="W40" s="137"/>
    </row>
    <row r="41" spans="1:27" ht="11.25" x14ac:dyDescent="0.15">
      <c r="A41">
        <v>40</v>
      </c>
      <c r="B41">
        <f>MATCH(A41,Bowling!$AU$5:$AU$48,0)</f>
        <v>37</v>
      </c>
      <c r="C41" t="str">
        <f ca="1">OFFSET(Bowling!$B$4,BowlAves!B41,0)</f>
        <v>Sunkara C</v>
      </c>
      <c r="D41" s="130">
        <f t="array" aca="1" ref="D41:K41" ca="1">OFFSET(Bowling!$AL$4,BowlAves!B41,0,1,8)</f>
        <v>0</v>
      </c>
      <c r="E41" s="131">
        <f ca="1"/>
        <v>0</v>
      </c>
      <c r="F41" s="131">
        <f ca="1"/>
        <v>0</v>
      </c>
      <c r="G41" s="131">
        <f ca="1"/>
        <v>0</v>
      </c>
      <c r="H41" s="67" t="str">
        <f ca="1"/>
        <v/>
      </c>
      <c r="I41" s="133" t="str">
        <f ca="1"/>
        <v/>
      </c>
      <c r="J41" s="133" t="str">
        <f ca="1"/>
        <v/>
      </c>
      <c r="K41" s="134" t="str">
        <f ca="1"/>
        <v/>
      </c>
      <c r="L41" s="134">
        <f t="shared" ca="1" si="0"/>
        <v>1040</v>
      </c>
      <c r="M41" s="134">
        <f t="shared" ca="1" si="1"/>
        <v>40</v>
      </c>
      <c r="N41" t="str">
        <f t="shared" ca="1" si="2"/>
        <v xml:space="preserve">Sunkara C 0-0-0-0, </v>
      </c>
      <c r="Q41" t="s">
        <v>194</v>
      </c>
      <c r="W41" s="137"/>
    </row>
    <row r="42" spans="1:27" ht="11.25" x14ac:dyDescent="0.15">
      <c r="A42">
        <v>41</v>
      </c>
      <c r="B42">
        <f>MATCH(A42,Bowling!$AU$5:$AU$48,0)</f>
        <v>39</v>
      </c>
      <c r="C42" t="str">
        <f ca="1">OFFSET(Bowling!$B$4,BowlAves!B42,0)</f>
        <v>Stevenson R</v>
      </c>
      <c r="D42" s="130">
        <f t="array" aca="1" ref="D42:K42" ca="1">OFFSET(Bowling!$AL$4,BowlAves!B42,0,1,8)</f>
        <v>0</v>
      </c>
      <c r="E42" s="131">
        <f ca="1"/>
        <v>0</v>
      </c>
      <c r="F42" s="131">
        <f ca="1"/>
        <v>0</v>
      </c>
      <c r="G42" s="131">
        <f ca="1"/>
        <v>0</v>
      </c>
      <c r="H42" s="67" t="str">
        <f ca="1"/>
        <v/>
      </c>
      <c r="I42" s="133" t="str">
        <f ca="1"/>
        <v/>
      </c>
      <c r="J42" s="133" t="str">
        <f ca="1"/>
        <v/>
      </c>
      <c r="K42" s="134" t="str">
        <f ca="1"/>
        <v/>
      </c>
      <c r="L42" s="134">
        <f t="shared" ca="1" si="0"/>
        <v>1041</v>
      </c>
      <c r="M42" s="134">
        <f t="shared" ca="1" si="1"/>
        <v>41</v>
      </c>
      <c r="N42" t="str">
        <f t="shared" ca="1" si="2"/>
        <v xml:space="preserve">Stevenson R 0-0-0-0, </v>
      </c>
      <c r="Q42" t="s">
        <v>194</v>
      </c>
      <c r="W42" s="137"/>
      <c r="X42" t="s">
        <v>194</v>
      </c>
    </row>
    <row r="43" spans="1:27" ht="11.25" x14ac:dyDescent="0.15">
      <c r="A43">
        <v>42</v>
      </c>
      <c r="B43">
        <f>MATCH(A43,Bowling!$AU$5:$AU$48,0)</f>
        <v>40</v>
      </c>
      <c r="C43" t="str">
        <f ca="1">OFFSET(Bowling!$B$4,BowlAves!B43,0)</f>
        <v>Taylor C</v>
      </c>
      <c r="D43" s="130">
        <f t="array" aca="1" ref="D43:K43" ca="1">OFFSET(Bowling!$AL$4,BowlAves!B43,0,1,8)</f>
        <v>0</v>
      </c>
      <c r="E43" s="131">
        <f ca="1"/>
        <v>0</v>
      </c>
      <c r="F43" s="131">
        <f ca="1"/>
        <v>0</v>
      </c>
      <c r="G43" s="131">
        <f ca="1"/>
        <v>0</v>
      </c>
      <c r="H43" s="67" t="str">
        <f ca="1"/>
        <v/>
      </c>
      <c r="I43" s="133" t="str">
        <f ca="1"/>
        <v/>
      </c>
      <c r="J43" s="133" t="str">
        <f ca="1"/>
        <v/>
      </c>
      <c r="K43" s="134" t="str">
        <f ca="1"/>
        <v/>
      </c>
      <c r="L43" s="134">
        <f t="shared" ca="1" si="0"/>
        <v>1042</v>
      </c>
      <c r="M43" s="134">
        <f t="shared" ca="1" si="1"/>
        <v>42</v>
      </c>
      <c r="N43" t="str">
        <f t="shared" ca="1" si="2"/>
        <v xml:space="preserve">Taylor C 0-0-0-0, </v>
      </c>
      <c r="Q43" t="s">
        <v>194</v>
      </c>
      <c r="W43" s="137"/>
      <c r="X43" t="s">
        <v>194</v>
      </c>
    </row>
    <row r="44" spans="1:27" ht="11.25" x14ac:dyDescent="0.15">
      <c r="A44">
        <v>43</v>
      </c>
      <c r="B44">
        <f>MATCH(A44,Bowling!$AU$5:$AU$48,0)</f>
        <v>43</v>
      </c>
      <c r="C44" t="str">
        <f ca="1">OFFSET(Bowling!$B$4,BowlAves!B44,0)</f>
        <v>Wilson A</v>
      </c>
      <c r="D44" s="130">
        <f t="array" aca="1" ref="D44:K44" ca="1">OFFSET(Bowling!$AL$4,BowlAves!B44,0,1,8)</f>
        <v>0</v>
      </c>
      <c r="E44" s="131">
        <f ca="1"/>
        <v>0</v>
      </c>
      <c r="F44" s="131">
        <f ca="1"/>
        <v>0</v>
      </c>
      <c r="G44" s="131">
        <f ca="1"/>
        <v>0</v>
      </c>
      <c r="H44" s="67" t="str">
        <f ca="1"/>
        <v/>
      </c>
      <c r="I44" s="133" t="str">
        <f ca="1"/>
        <v/>
      </c>
      <c r="J44" s="133" t="str">
        <f ca="1"/>
        <v/>
      </c>
      <c r="K44" s="134" t="str">
        <f ca="1"/>
        <v/>
      </c>
      <c r="L44" s="134">
        <f t="shared" ca="1" si="0"/>
        <v>1043</v>
      </c>
      <c r="M44" s="134">
        <f t="shared" ca="1" si="1"/>
        <v>43</v>
      </c>
      <c r="N44" t="str">
        <f t="shared" ca="1" si="2"/>
        <v xml:space="preserve">Wilson A 0-0-0-0, </v>
      </c>
      <c r="Q44" t="s">
        <v>194</v>
      </c>
      <c r="W44" s="137"/>
      <c r="X44" t="s">
        <v>194</v>
      </c>
    </row>
    <row r="45" spans="1:27" ht="11.25" x14ac:dyDescent="0.15">
      <c r="A45">
        <v>44</v>
      </c>
      <c r="B45">
        <f>MATCH(A45,Bowling!$AU$5:$AU$48,0)</f>
        <v>44</v>
      </c>
      <c r="C45">
        <f ca="1">OFFSET(Bowling!$B$4,BowlAves!B45,0)</f>
        <v>0</v>
      </c>
      <c r="D45" s="130">
        <f t="array" aca="1" ref="D45:K45" ca="1">OFFSET(Bowling!$AL$4,BowlAves!B45,0,1,8)</f>
        <v>0</v>
      </c>
      <c r="E45" s="131">
        <f ca="1"/>
        <v>0</v>
      </c>
      <c r="F45" s="131">
        <f ca="1"/>
        <v>0</v>
      </c>
      <c r="G45" s="131">
        <f ca="1"/>
        <v>0</v>
      </c>
      <c r="H45" s="67" t="str">
        <f ca="1"/>
        <v/>
      </c>
      <c r="I45" s="133" t="str">
        <f ca="1"/>
        <v/>
      </c>
      <c r="J45" s="133" t="str">
        <f ca="1"/>
        <v/>
      </c>
      <c r="K45" s="134" t="str">
        <f ca="1"/>
        <v/>
      </c>
      <c r="L45" s="134">
        <f t="shared" ca="1" si="0"/>
        <v>1044</v>
      </c>
      <c r="M45" s="134">
        <f t="shared" ca="1" si="1"/>
        <v>44</v>
      </c>
      <c r="N45" t="str">
        <f t="shared" ca="1" si="2"/>
        <v xml:space="preserve">0 0-0-0-0, </v>
      </c>
      <c r="Q45" t="s">
        <v>194</v>
      </c>
      <c r="W45" s="137"/>
    </row>
    <row r="46" spans="1:27" ht="11.25" x14ac:dyDescent="0.15">
      <c r="A46">
        <v>45</v>
      </c>
      <c r="B46" t="e">
        <f>MATCH(A46,Bowling!$AU$5:$AU$48,0)</f>
        <v>#N/A</v>
      </c>
      <c r="C46" t="e">
        <f ca="1">OFFSET(Bowling!$B$4,BowlAves!B46,0)</f>
        <v>#N/A</v>
      </c>
      <c r="D46" s="130" t="e">
        <f t="array" aca="1" ref="D46:K46" ca="1">OFFSET(Bowling!$AL$4,BowlAves!B46,0,1,8)</f>
        <v>#N/A</v>
      </c>
      <c r="E46" s="131" t="e">
        <f ca="1"/>
        <v>#N/A</v>
      </c>
      <c r="F46" s="131" t="e">
        <f ca="1"/>
        <v>#N/A</v>
      </c>
      <c r="G46" s="131" t="e">
        <f ca="1"/>
        <v>#N/A</v>
      </c>
      <c r="H46" s="67" t="e">
        <f ca="1"/>
        <v>#N/A</v>
      </c>
      <c r="I46" s="133" t="e">
        <f ca="1"/>
        <v>#N/A</v>
      </c>
      <c r="J46" s="133" t="e">
        <f ca="1"/>
        <v>#N/A</v>
      </c>
      <c r="K46" s="134" t="e">
        <f ca="1"/>
        <v>#N/A</v>
      </c>
      <c r="L46" s="134" t="e">
        <f t="shared" ca="1" si="0"/>
        <v>#N/A</v>
      </c>
      <c r="M46" s="134" t="e">
        <f t="shared" ca="1" si="1"/>
        <v>#N/A</v>
      </c>
      <c r="N46" t="e">
        <f t="shared" ca="1" si="2"/>
        <v>#N/A</v>
      </c>
      <c r="W46" s="137"/>
    </row>
    <row r="47" spans="1:27" ht="11.25" x14ac:dyDescent="0.15">
      <c r="A47">
        <v>46</v>
      </c>
      <c r="B47" t="e">
        <f>MATCH(A47,Bowling!$AU$5:$AU$48,0)</f>
        <v>#N/A</v>
      </c>
      <c r="C47" t="e">
        <f ca="1">OFFSET(Bowling!$B$4,BowlAves!B47,0)</f>
        <v>#N/A</v>
      </c>
      <c r="D47" s="130" t="e">
        <f t="array" aca="1" ref="D47:K47" ca="1">OFFSET(Bowling!$AL$4,BowlAves!B47,0,1,8)</f>
        <v>#N/A</v>
      </c>
      <c r="E47" s="131" t="e">
        <f ca="1"/>
        <v>#N/A</v>
      </c>
      <c r="F47" s="131" t="e">
        <f ca="1"/>
        <v>#N/A</v>
      </c>
      <c r="G47" s="131" t="e">
        <f ca="1"/>
        <v>#N/A</v>
      </c>
      <c r="H47" s="67" t="e">
        <f ca="1"/>
        <v>#N/A</v>
      </c>
      <c r="I47" s="133" t="e">
        <f ca="1"/>
        <v>#N/A</v>
      </c>
      <c r="J47" s="133" t="e">
        <f ca="1"/>
        <v>#N/A</v>
      </c>
      <c r="K47" s="134" t="e">
        <f ca="1"/>
        <v>#N/A</v>
      </c>
      <c r="L47" s="134" t="e">
        <f t="shared" ca="1" si="0"/>
        <v>#N/A</v>
      </c>
      <c r="M47" s="134" t="e">
        <f t="shared" ca="1" si="1"/>
        <v>#N/A</v>
      </c>
      <c r="N47" t="e">
        <f t="shared" ca="1" si="2"/>
        <v>#N/A</v>
      </c>
      <c r="W47" s="137"/>
    </row>
    <row r="48" spans="1:27" ht="11.25" x14ac:dyDescent="0.15">
      <c r="A48">
        <v>47</v>
      </c>
      <c r="B48" t="e">
        <f>MATCH(A48,Bowling!$AU$5:$AU$48,0)</f>
        <v>#N/A</v>
      </c>
      <c r="C48" t="e">
        <f ca="1">OFFSET(Bowling!$B$4,BowlAves!B48,0)</f>
        <v>#N/A</v>
      </c>
      <c r="D48" s="130" t="e">
        <f t="array" aca="1" ref="D48:K48" ca="1">OFFSET(Bowling!$AL$4,BowlAves!B48,0,1,8)</f>
        <v>#N/A</v>
      </c>
      <c r="E48" s="131" t="e">
        <f ca="1"/>
        <v>#N/A</v>
      </c>
      <c r="F48" s="131" t="e">
        <f ca="1"/>
        <v>#N/A</v>
      </c>
      <c r="G48" s="131" t="e">
        <f ca="1"/>
        <v>#N/A</v>
      </c>
      <c r="H48" s="67" t="e">
        <f ca="1"/>
        <v>#N/A</v>
      </c>
      <c r="I48" s="133" t="e">
        <f ca="1"/>
        <v>#N/A</v>
      </c>
      <c r="J48" s="133" t="e">
        <f ca="1"/>
        <v>#N/A</v>
      </c>
      <c r="K48" s="134" t="e">
        <f ca="1"/>
        <v>#N/A</v>
      </c>
      <c r="L48" s="134" t="e">
        <f t="shared" ca="1" si="0"/>
        <v>#N/A</v>
      </c>
      <c r="M48" s="134" t="e">
        <f t="shared" ca="1" si="1"/>
        <v>#N/A</v>
      </c>
      <c r="N48" t="e">
        <f t="shared" ca="1" si="2"/>
        <v>#N/A</v>
      </c>
      <c r="W48" s="137"/>
    </row>
    <row r="49" spans="1:23" ht="11.25" x14ac:dyDescent="0.15">
      <c r="A49">
        <v>48</v>
      </c>
      <c r="B49" t="e">
        <f>MATCH(A49,Bowling!$AU$5:$AU$48,0)</f>
        <v>#N/A</v>
      </c>
      <c r="C49" t="e">
        <f ca="1">OFFSET(Bowling!$B$4,BowlAves!B49,0)</f>
        <v>#N/A</v>
      </c>
      <c r="D49" s="130" t="e">
        <f t="array" aca="1" ref="D49:K49" ca="1">OFFSET(Bowling!$AL$4,BowlAves!B49,0,1,8)</f>
        <v>#N/A</v>
      </c>
      <c r="E49" s="131" t="e">
        <f ca="1"/>
        <v>#N/A</v>
      </c>
      <c r="F49" s="131" t="e">
        <f ca="1"/>
        <v>#N/A</v>
      </c>
      <c r="G49" s="131" t="e">
        <f ca="1"/>
        <v>#N/A</v>
      </c>
      <c r="H49" s="67" t="e">
        <f ca="1"/>
        <v>#N/A</v>
      </c>
      <c r="I49" s="133" t="e">
        <f ca="1"/>
        <v>#N/A</v>
      </c>
      <c r="J49" s="133" t="e">
        <f ca="1"/>
        <v>#N/A</v>
      </c>
      <c r="K49" s="134" t="e">
        <f ca="1"/>
        <v>#N/A</v>
      </c>
      <c r="L49" s="134" t="e">
        <f t="shared" ca="1" si="0"/>
        <v>#N/A</v>
      </c>
      <c r="M49" s="134" t="e">
        <f t="shared" ca="1" si="1"/>
        <v>#N/A</v>
      </c>
      <c r="N49" t="e">
        <f t="shared" ca="1" si="2"/>
        <v>#N/A</v>
      </c>
      <c r="W49" s="137"/>
    </row>
    <row r="50" spans="1:23" ht="11.25" x14ac:dyDescent="0.15">
      <c r="A50">
        <v>49</v>
      </c>
      <c r="B50" t="e">
        <f>MATCH(A50,Bowling!$AU$5:$AU$48,0)</f>
        <v>#N/A</v>
      </c>
      <c r="C50" t="e">
        <f ca="1">OFFSET(Bowling!$B$4,BowlAves!B50,0)</f>
        <v>#N/A</v>
      </c>
      <c r="D50" s="130" t="e">
        <f t="array" aca="1" ref="D50:K50" ca="1">OFFSET(Bowling!$AL$4,BowlAves!B50,0,1,8)</f>
        <v>#N/A</v>
      </c>
      <c r="E50" s="131" t="e">
        <f ca="1"/>
        <v>#N/A</v>
      </c>
      <c r="F50" s="131" t="e">
        <f ca="1"/>
        <v>#N/A</v>
      </c>
      <c r="G50" s="131" t="e">
        <f ca="1"/>
        <v>#N/A</v>
      </c>
      <c r="H50" s="67" t="e">
        <f ca="1"/>
        <v>#N/A</v>
      </c>
      <c r="I50" s="133" t="e">
        <f ca="1"/>
        <v>#N/A</v>
      </c>
      <c r="J50" s="133" t="e">
        <f ca="1"/>
        <v>#N/A</v>
      </c>
      <c r="K50" s="134" t="e">
        <f ca="1"/>
        <v>#N/A</v>
      </c>
      <c r="L50" s="134" t="e">
        <f t="shared" ca="1" si="0"/>
        <v>#N/A</v>
      </c>
      <c r="M50" s="134" t="e">
        <f t="shared" ca="1" si="1"/>
        <v>#N/A</v>
      </c>
      <c r="N50" t="e">
        <f t="shared" ca="1" si="2"/>
        <v>#N/A</v>
      </c>
      <c r="W50" s="137"/>
    </row>
    <row r="51" spans="1:23" ht="11.25" x14ac:dyDescent="0.15">
      <c r="A51">
        <v>50</v>
      </c>
      <c r="B51" t="e">
        <f>MATCH(A51,Bowling!$AU$5:$AU$48,0)</f>
        <v>#N/A</v>
      </c>
      <c r="C51" t="e">
        <f ca="1">OFFSET(Bowling!$B$4,BowlAves!B51,0)</f>
        <v>#N/A</v>
      </c>
      <c r="D51" s="130" t="e">
        <f t="array" aca="1" ref="D51:K51" ca="1">OFFSET(Bowling!$AL$4,BowlAves!B51,0,1,8)</f>
        <v>#N/A</v>
      </c>
      <c r="E51" s="131" t="e">
        <f ca="1"/>
        <v>#N/A</v>
      </c>
      <c r="F51" s="131" t="e">
        <f ca="1"/>
        <v>#N/A</v>
      </c>
      <c r="G51" s="131" t="e">
        <f ca="1"/>
        <v>#N/A</v>
      </c>
      <c r="H51" s="67" t="e">
        <f ca="1"/>
        <v>#N/A</v>
      </c>
      <c r="I51" s="133" t="e">
        <f ca="1"/>
        <v>#N/A</v>
      </c>
      <c r="J51" s="133" t="e">
        <f ca="1"/>
        <v>#N/A</v>
      </c>
      <c r="K51" s="134" t="e">
        <f ca="1"/>
        <v>#N/A</v>
      </c>
      <c r="L51" s="134" t="e">
        <f t="shared" ca="1" si="0"/>
        <v>#N/A</v>
      </c>
      <c r="M51" s="134" t="e">
        <f t="shared" ca="1" si="1"/>
        <v>#N/A</v>
      </c>
      <c r="N51" t="e">
        <f t="shared" ca="1" si="2"/>
        <v>#N/A</v>
      </c>
      <c r="W51" s="137"/>
    </row>
    <row r="52" spans="1:23" ht="11.25" x14ac:dyDescent="0.15">
      <c r="W52" s="137"/>
    </row>
    <row r="60" spans="1:23" x14ac:dyDescent="0.15">
      <c r="N60" t="s">
        <v>194</v>
      </c>
    </row>
    <row r="61" spans="1:23" x14ac:dyDescent="0.15">
      <c r="N61" t="s">
        <v>194</v>
      </c>
    </row>
    <row r="62" spans="1:23" x14ac:dyDescent="0.15">
      <c r="N62" t="s">
        <v>194</v>
      </c>
    </row>
    <row r="63" spans="1:23" x14ac:dyDescent="0.15">
      <c r="N63" t="s">
        <v>194</v>
      </c>
    </row>
    <row r="67" spans="14:15" ht="12.75" x14ac:dyDescent="0.15">
      <c r="O67" s="93"/>
    </row>
    <row r="68" spans="14:15" ht="12.75" x14ac:dyDescent="0.15">
      <c r="N68" s="93"/>
      <c r="O68" s="93"/>
    </row>
    <row r="69" spans="14:15" ht="12.75" x14ac:dyDescent="0.15">
      <c r="N69" s="93"/>
      <c r="O69" s="93"/>
    </row>
    <row r="70" spans="14:15" ht="12.75" x14ac:dyDescent="0.15">
      <c r="N70" s="93"/>
      <c r="O70" s="93"/>
    </row>
    <row r="71" spans="14:15" ht="12.75" x14ac:dyDescent="0.15">
      <c r="N71" s="93"/>
      <c r="O71" s="93"/>
    </row>
    <row r="72" spans="14:15" ht="12.75" x14ac:dyDescent="0.15">
      <c r="O72" s="93"/>
    </row>
    <row r="73" spans="14:15" ht="12.75" x14ac:dyDescent="0.15">
      <c r="O73" s="93"/>
    </row>
    <row r="74" spans="14:15" ht="12.75" x14ac:dyDescent="0.15">
      <c r="O74" s="93"/>
    </row>
    <row r="75" spans="14:15" ht="12.75" x14ac:dyDescent="0.15">
      <c r="N75" s="93"/>
      <c r="O75" s="93"/>
    </row>
    <row r="76" spans="14:15" ht="12.75" x14ac:dyDescent="0.15">
      <c r="N76" s="93"/>
      <c r="O76" s="93"/>
    </row>
    <row r="77" spans="14:15" ht="12.75" x14ac:dyDescent="0.15">
      <c r="O77" s="93"/>
    </row>
    <row r="78" spans="14:15" ht="12.75" x14ac:dyDescent="0.15">
      <c r="N78" s="93"/>
      <c r="O78" s="93"/>
    </row>
    <row r="79" spans="14:15" ht="12.75" x14ac:dyDescent="0.15">
      <c r="N79" s="93"/>
      <c r="O79" s="93"/>
    </row>
    <row r="80" spans="14:15" ht="12.75" x14ac:dyDescent="0.15">
      <c r="O80" s="93"/>
    </row>
    <row r="81" spans="14:15" ht="12.75" x14ac:dyDescent="0.15">
      <c r="N81" s="93"/>
      <c r="O81" s="93"/>
    </row>
    <row r="82" spans="14:15" ht="12.75" x14ac:dyDescent="0.15">
      <c r="N82" s="93"/>
      <c r="O82" s="93"/>
    </row>
    <row r="83" spans="14:15" ht="12.75" x14ac:dyDescent="0.15">
      <c r="O83" s="93"/>
    </row>
    <row r="84" spans="14:15" ht="12.75" x14ac:dyDescent="0.15">
      <c r="N84" s="93"/>
      <c r="O84" s="93"/>
    </row>
    <row r="85" spans="14:15" ht="12.75" x14ac:dyDescent="0.15">
      <c r="O85" s="93"/>
    </row>
    <row r="86" spans="14:15" ht="12.75" x14ac:dyDescent="0.15">
      <c r="O86" s="93"/>
    </row>
    <row r="87" spans="14:15" ht="12.75" x14ac:dyDescent="0.15">
      <c r="O87" s="93"/>
    </row>
    <row r="88" spans="14:15" ht="12.75" x14ac:dyDescent="0.15">
      <c r="O88" s="93"/>
    </row>
    <row r="89" spans="14:15" ht="12.75" x14ac:dyDescent="0.15">
      <c r="O89" s="93"/>
    </row>
    <row r="90" spans="14:15" ht="12.75" x14ac:dyDescent="0.15">
      <c r="O90" s="93"/>
    </row>
  </sheetData>
  <sortState xmlns:xlrd2="http://schemas.microsoft.com/office/spreadsheetml/2017/richdata2"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3" customFormat="1" x14ac:dyDescent="0.15"/>
    <row r="2" spans="1:41" s="74" customFormat="1" x14ac:dyDescent="0.15"/>
    <row r="13" spans="1:41" s="6" customFormat="1" x14ac:dyDescent="0.15"/>
    <row r="14" spans="1:41" s="89" customFormat="1" x14ac:dyDescent="0.15">
      <c r="K14" s="92"/>
    </row>
    <row r="15" spans="1:41" x14ac:dyDescent="0.15">
      <c r="A15" s="72">
        <f t="array" ref="A15">SUM(IF(ISNA(A16:A26),0,A16:A26))</f>
        <v>0</v>
      </c>
      <c r="B15" s="72" t="e">
        <f t="shared" ref="B15:O15" si="0">SUM(B16:B26)</f>
        <v>#N/A</v>
      </c>
      <c r="C15" s="72" t="e">
        <f t="shared" si="0"/>
        <v>#N/A</v>
      </c>
      <c r="D15" s="72" t="e">
        <f t="shared" si="0"/>
        <v>#N/A</v>
      </c>
      <c r="E15" s="72" t="e">
        <f t="shared" si="0"/>
        <v>#N/A</v>
      </c>
      <c r="F15" s="72" t="e">
        <f t="shared" si="0"/>
        <v>#N/A</v>
      </c>
      <c r="G15" s="72" t="e">
        <f t="shared" si="0"/>
        <v>#N/A</v>
      </c>
      <c r="H15" s="72" t="e">
        <f t="shared" si="0"/>
        <v>#N/A</v>
      </c>
      <c r="I15" s="72" t="e">
        <f t="shared" si="0"/>
        <v>#N/A</v>
      </c>
      <c r="J15" s="72" t="e">
        <f t="shared" si="0"/>
        <v>#N/A</v>
      </c>
      <c r="K15" s="72" t="e">
        <f t="shared" si="0"/>
        <v>#N/A</v>
      </c>
      <c r="L15" s="72" t="e">
        <f t="shared" si="0"/>
        <v>#N/A</v>
      </c>
      <c r="M15" s="72" t="e">
        <f t="shared" si="0"/>
        <v>#N/A</v>
      </c>
      <c r="N15" s="72" t="e">
        <f t="shared" si="0"/>
        <v>#N/A</v>
      </c>
      <c r="O15" s="72" t="e">
        <f t="shared" si="0"/>
        <v>#N/A</v>
      </c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 t="e">
        <f t="shared" ref="Z15:AG15" si="1">SUM(Z16:Z26)</f>
        <v>#N/A</v>
      </c>
      <c r="AA15" s="72" t="e">
        <f t="shared" si="1"/>
        <v>#N/A</v>
      </c>
      <c r="AB15" s="72" t="e">
        <f t="shared" si="1"/>
        <v>#N/A</v>
      </c>
      <c r="AC15" s="72" t="e">
        <f t="shared" si="1"/>
        <v>#N/A</v>
      </c>
      <c r="AD15" s="72" t="e">
        <f t="shared" si="1"/>
        <v>#N/A</v>
      </c>
      <c r="AE15" s="72" t="e">
        <f t="shared" si="1"/>
        <v>#N/A</v>
      </c>
      <c r="AF15" s="72" t="e">
        <f t="shared" si="1"/>
        <v>#N/A</v>
      </c>
      <c r="AG15" s="72" t="e">
        <f t="shared" si="1"/>
        <v>#N/A</v>
      </c>
      <c r="AH15" s="72" t="e">
        <f t="shared" ref="AH15:AO15" si="2">SUM(AH16:AH26)</f>
        <v>#N/A</v>
      </c>
      <c r="AI15" s="72" t="e">
        <f t="shared" si="2"/>
        <v>#N/A</v>
      </c>
      <c r="AJ15" s="72" t="e">
        <f t="shared" si="2"/>
        <v>#N/A</v>
      </c>
      <c r="AK15" s="72" t="e">
        <f t="shared" si="2"/>
        <v>#N/A</v>
      </c>
      <c r="AL15" s="72" t="e">
        <f t="shared" si="2"/>
        <v>#N/A</v>
      </c>
      <c r="AM15" s="72" t="e">
        <f t="shared" si="2"/>
        <v>#N/A</v>
      </c>
      <c r="AN15" s="72" t="e">
        <f t="shared" si="2"/>
        <v>#N/A</v>
      </c>
      <c r="AO15" s="7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75" customFormat="1" x14ac:dyDescent="0.15">
      <c r="A28" s="76">
        <f>83-166</f>
        <v>-83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>
        <v>-51</v>
      </c>
      <c r="AG28" s="76"/>
      <c r="AH28" s="76"/>
      <c r="AI28" s="76"/>
      <c r="AJ28" s="76"/>
      <c r="AK28" s="76"/>
      <c r="AL28" s="76"/>
      <c r="AM28" s="76"/>
      <c r="AN28" s="76"/>
      <c r="AO28" s="7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79" t="s">
        <v>70</v>
      </c>
      <c r="D44" s="79" t="s">
        <v>140</v>
      </c>
      <c r="E44" s="79" t="s">
        <v>71</v>
      </c>
      <c r="F44" s="79" t="s">
        <v>72</v>
      </c>
      <c r="G44" s="77" t="s">
        <v>73</v>
      </c>
      <c r="H44" s="78">
        <f>COUNTA(1:1)</f>
        <v>0</v>
      </c>
    </row>
    <row r="45" spans="1:41" x14ac:dyDescent="0.15">
      <c r="A45" s="59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59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59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59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59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59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59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59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59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59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59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59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59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59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59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59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59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59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59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59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59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59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59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59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59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59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59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59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59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59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59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59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59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59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59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59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59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59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59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59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59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59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59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59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MATCH(A5,Batting!$A$5:$A$74,0)</f>
        <v>#N/A</v>
      </c>
      <c r="F5" s="9">
        <f ca="1">IF(NOT(ISNA(E5)),OFFSET(Batting!$B$4,E5,$C$1,1,1),0)</f>
        <v>0</v>
      </c>
      <c r="G5" s="9" t="e">
        <f ca="1">MATCH(A5,Bowling!$A$5:$A$52,0)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59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MATCH(A6,Batting!$A$5:$A$74,0)</f>
        <v>#N/A</v>
      </c>
      <c r="F6" s="9">
        <f ca="1">IF(NOT(ISNA(E6)),OFFSET(Batting!$B$4,E6,$C$1,1,1),0)</f>
        <v>0</v>
      </c>
      <c r="G6" s="9" t="e">
        <f ca="1">MATCH(A6,Bowling!$A$5:$A$52,0)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59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MATCH(A7,Batting!$A$5:$A$74,0)</f>
        <v>#N/A</v>
      </c>
      <c r="F7" s="9">
        <f ca="1">IF(NOT(ISNA(E7)),OFFSET(Batting!$B$4,E7,$C$1,1,1),0)</f>
        <v>0</v>
      </c>
      <c r="G7" s="9" t="e">
        <f ca="1">MATCH(A7,Bowling!$A$5:$A$52,0)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59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MATCH(A8,Batting!$A$5:$A$74,0)</f>
        <v>#N/A</v>
      </c>
      <c r="F8" s="9">
        <f ca="1">IF(NOT(ISNA(E8)),OFFSET(Batting!$B$4,E8,$C$1,1,1),0)</f>
        <v>0</v>
      </c>
      <c r="G8" s="9" t="e">
        <f ca="1">MATCH(A8,Bowling!$A$5:$A$52,0)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59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MATCH(A9,Batting!$A$5:$A$74,0)</f>
        <v>#N/A</v>
      </c>
      <c r="F9" s="9">
        <f ca="1">IF(NOT(ISNA(E9)),OFFSET(Batting!$B$4,E9,$C$1,1,1),0)</f>
        <v>0</v>
      </c>
      <c r="G9" s="9" t="e">
        <f ca="1">MATCH(A9,Bowling!$A$5:$A$52,0)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59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MATCH(A10,Batting!$A$5:$A$74,0)</f>
        <v>#N/A</v>
      </c>
      <c r="F10" s="9">
        <f ca="1">IF(NOT(ISNA(E10)),OFFSET(Batting!$B$4,E10,$C$1,1,1),0)</f>
        <v>0</v>
      </c>
      <c r="G10" s="9" t="e">
        <f ca="1">MATCH(A10,Bowling!$A$5:$A$52,0)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59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MATCH(A11,Batting!$A$5:$A$74,0)</f>
        <v>#N/A</v>
      </c>
      <c r="F11" s="9">
        <f ca="1">IF(NOT(ISNA(E11)),OFFSET(Batting!$B$4,E11,$C$1,1,1),0)</f>
        <v>0</v>
      </c>
      <c r="G11" s="9" t="e">
        <f ca="1">MATCH(A11,Bowling!$A$5:$A$52,0)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59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MATCH(A12,Batting!$A$5:$A$74,0)</f>
        <v>#N/A</v>
      </c>
      <c r="F12" s="9">
        <f ca="1">IF(NOT(ISNA(E12)),OFFSET(Batting!$B$4,E12,$C$1,1,1),0)</f>
        <v>0</v>
      </c>
      <c r="G12" s="9" t="e">
        <f ca="1">MATCH(A12,Bowling!$A$5:$A$52,0)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59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MATCH(A13,Batting!$A$5:$A$74,0)</f>
        <v>#N/A</v>
      </c>
      <c r="F13" s="9">
        <f ca="1">IF(NOT(ISNA(E13)),OFFSET(Batting!$B$4,E13,$C$1,1,1),0)</f>
        <v>0</v>
      </c>
      <c r="G13" s="9" t="e">
        <f ca="1">MATCH(A13,Bowling!$A$5:$A$52,0)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59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MATCH(A14,Batting!$A$5:$A$74,0)</f>
        <v>#N/A</v>
      </c>
      <c r="F14" s="9">
        <f ca="1">IF(NOT(ISNA(E14)),OFFSET(Batting!$B$4,E14,$C$1,1,1),0)</f>
        <v>0</v>
      </c>
      <c r="G14" s="9" t="e">
        <f ca="1">MATCH(A14,Bowling!$A$5:$A$52,0)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59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MATCH(A15,Batting!$A$5:$A$74,0)</f>
        <v>#N/A</v>
      </c>
      <c r="F15" s="9">
        <f ca="1">IF(NOT(ISNA(E15)),OFFSET(Batting!$B$4,E15,$C$1,1,1),0)</f>
        <v>0</v>
      </c>
      <c r="G15" s="9" t="e">
        <f ca="1">MATCH(A15,Bowling!$A$5:$A$52,0)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4">
        <f t="array" aca="1" ref="T15" ca="1">SUM(Q5:Q15*R5:R15)</f>
        <v>0</v>
      </c>
    </row>
    <row r="16" spans="1:20" x14ac:dyDescent="0.2">
      <c r="A16" s="59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MATCH(A16,Batting!$A$5:$A$74,0)</f>
        <v>#N/A</v>
      </c>
      <c r="F16" s="9">
        <f ca="1">IF(NOT(ISNA(E16)),OFFSET(Batting!$B$4,E16,$C$1,1,1),0)</f>
        <v>0</v>
      </c>
      <c r="G16" s="9" t="e">
        <f ca="1">MATCH(A16,Bowling!$A$5:$A$52,0)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59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MATCH(A17,Batting!$A$5:$A$74,0)</f>
        <v>#N/A</v>
      </c>
      <c r="F17" s="9">
        <f ca="1">IF(NOT(ISNA(E17)),OFFSET(Batting!$B$4,E17,$C$1,1,1),0)</f>
        <v>0</v>
      </c>
      <c r="G17" s="9" t="e">
        <f ca="1">MATCH(A17,Bowling!$A$5:$A$52,0)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59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MATCH(A18,Batting!$A$5:$A$74,0)</f>
        <v>#N/A</v>
      </c>
      <c r="F18" s="9">
        <f ca="1">IF(NOT(ISNA(E18)),OFFSET(Batting!$B$4,E18,$C$1,1,1),0)</f>
        <v>0</v>
      </c>
      <c r="G18" s="9" t="e">
        <f ca="1">MATCH(A18,Bowling!$A$5:$A$52,0)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59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MATCH(A19,Batting!$A$5:$A$74,0)</f>
        <v>#N/A</v>
      </c>
      <c r="F19" s="9">
        <f ca="1">IF(NOT(ISNA(E19)),OFFSET(Batting!$B$4,E19,$C$1,1,1),0)</f>
        <v>0</v>
      </c>
      <c r="G19" s="9" t="e">
        <f ca="1">MATCH(A19,Bowling!$A$5:$A$52,0)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59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MATCH(A20,Batting!$A$5:$A$74,0)</f>
        <v>#N/A</v>
      </c>
      <c r="F20" s="9">
        <f ca="1">IF(NOT(ISNA(E20)),OFFSET(Batting!$B$4,E20,$C$1,1,1),0)</f>
        <v>0</v>
      </c>
      <c r="G20" s="9" t="e">
        <f ca="1">MATCH(A20,Bowling!$A$5:$A$52,0)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59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MATCH(A21,Batting!$A$5:$A$74,0)</f>
        <v>#N/A</v>
      </c>
      <c r="F21" s="9">
        <f ca="1">IF(NOT(ISNA(E21)),OFFSET(Batting!$B$4,E21,$C$1,1,1),0)</f>
        <v>0</v>
      </c>
      <c r="G21" s="9" t="e">
        <f ca="1">MATCH(A21,Bowling!$A$5:$A$52,0)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59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MATCH(A22,Batting!$A$5:$A$74,0)</f>
        <v>#N/A</v>
      </c>
      <c r="F22" s="9">
        <f ca="1">IF(NOT(ISNA(E22)),OFFSET(Batting!$B$4,E22,$C$1,1,1),0)</f>
        <v>0</v>
      </c>
      <c r="G22" s="9" t="e">
        <f ca="1">MATCH(A22,Bowling!$A$5:$A$52,0)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59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MATCH(A23,Batting!$A$5:$A$74,0)</f>
        <v>#N/A</v>
      </c>
      <c r="F23" s="9">
        <f ca="1">IF(NOT(ISNA(E23)),OFFSET(Batting!$B$4,E23,$C$1,1,1),0)</f>
        <v>0</v>
      </c>
      <c r="G23" s="9" t="e">
        <f ca="1">MATCH(A23,Bowling!$A$5:$A$52,0)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59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MATCH(A24,Batting!$A$5:$A$74,0)</f>
        <v>#N/A</v>
      </c>
      <c r="F24" s="9">
        <f ca="1">IF(NOT(ISNA(E24)),OFFSET(Batting!$B$4,E24,$C$1,1,1),0)</f>
        <v>0</v>
      </c>
      <c r="G24" s="9" t="e">
        <f ca="1">MATCH(A24,Bowling!$A$5:$A$52,0)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59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MATCH(A25,Batting!$A$5:$A$74,0)</f>
        <v>#N/A</v>
      </c>
      <c r="F25" s="9">
        <f ca="1">IF(NOT(ISNA(E25)),OFFSET(Batting!$B$4,E25,$C$1,1,1),0)</f>
        <v>0</v>
      </c>
      <c r="G25" s="9" t="e">
        <f ca="1">MATCH(A25,Bowling!$A$5:$A$52,0)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59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MATCH(A26,Batting!$A$5:$A$74,0)</f>
        <v>#N/A</v>
      </c>
      <c r="F26" s="9">
        <f ca="1">IF(NOT(ISNA(E26)),OFFSET(Batting!$B$4,E26,$C$1,1,1),0)</f>
        <v>0</v>
      </c>
      <c r="G26" s="9" t="e">
        <f ca="1">MATCH(A26,Bowling!$A$5:$A$52,0)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59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MATCH(A27,Batting!$A$5:$A$74,0)</f>
        <v>#N/A</v>
      </c>
      <c r="F27" s="9">
        <f ca="1">IF(NOT(ISNA(E27)),OFFSET(Batting!$B$4,E27,$C$1,1,1),0)</f>
        <v>0</v>
      </c>
      <c r="G27" s="9" t="e">
        <f ca="1">MATCH(A27,Bowling!$A$5:$A$52,0)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59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MATCH(A28,Batting!$A$5:$A$74,0)</f>
        <v>#N/A</v>
      </c>
      <c r="F28" s="9">
        <f ca="1">IF(NOT(ISNA(E28)),OFFSET(Batting!$B$4,E28,$C$1,1,1),0)</f>
        <v>0</v>
      </c>
      <c r="G28" s="9" t="e">
        <f ca="1">MATCH(A28,Bowling!$A$5:$A$52,0)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59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MATCH(A29,Batting!$A$5:$A$74,0)</f>
        <v>#N/A</v>
      </c>
      <c r="F29" s="9">
        <f ca="1">IF(NOT(ISNA(E29)),OFFSET(Batting!$B$4,E29,$C$1,1,1),0)</f>
        <v>0</v>
      </c>
      <c r="G29" s="9" t="e">
        <f ca="1">MATCH(A29,Bowling!$A$5:$A$52,0)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59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MATCH(A30,Batting!$A$5:$A$74,0)</f>
        <v>#N/A</v>
      </c>
      <c r="F30" s="9">
        <f ca="1">IF(NOT(ISNA(E30)),OFFSET(Batting!$B$4,E30,$C$1,1,1),0)</f>
        <v>0</v>
      </c>
      <c r="G30" s="9" t="e">
        <f ca="1">MATCH(A30,Bowling!$A$5:$A$52,0)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59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MATCH(A31,Batting!$A$5:$A$74,0)</f>
        <v>#N/A</v>
      </c>
      <c r="F31" s="9">
        <f ca="1">IF(NOT(ISNA(E31)),OFFSET(Batting!$B$4,E31,$C$1,1,1),0)</f>
        <v>0</v>
      </c>
      <c r="G31" s="9" t="e">
        <f ca="1">MATCH(A31,Bowling!$A$5:$A$52,0)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59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MATCH(A32,Batting!$A$5:$A$74,0)</f>
        <v>#N/A</v>
      </c>
      <c r="F32" s="9">
        <f ca="1">IF(NOT(ISNA(E32)),OFFSET(Batting!$B$4,E32,$C$1,1,1),0)</f>
        <v>0</v>
      </c>
      <c r="G32" s="9" t="e">
        <f ca="1">MATCH(A32,Bowling!$A$5:$A$52,0)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59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MATCH(A33,Batting!$A$5:$A$74,0)</f>
        <v>#N/A</v>
      </c>
      <c r="F33" s="9">
        <f ca="1">IF(NOT(ISNA(E33)),OFFSET(Batting!$B$4,E33,$C$1,1,1),0)</f>
        <v>0</v>
      </c>
      <c r="G33" s="9" t="e">
        <f ca="1">MATCH(A33,Bowling!$A$5:$A$52,0)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59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MATCH(A34,Batting!$A$5:$A$74,0)</f>
        <v>#N/A</v>
      </c>
      <c r="F34" s="9">
        <f ca="1">IF(NOT(ISNA(E34)),OFFSET(Batting!$B$4,E34,$C$1,1,1),0)</f>
        <v>0</v>
      </c>
      <c r="G34" s="9" t="e">
        <f ca="1">MATCH(A34,Bowling!$A$5:$A$52,0)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59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MATCH(A35,Batting!$A$5:$A$74,0)</f>
        <v>#N/A</v>
      </c>
      <c r="F35" s="9">
        <f ca="1">IF(NOT(ISNA(E35)),OFFSET(Batting!$B$4,E35,$C$1,1,1),0)</f>
        <v>0</v>
      </c>
      <c r="G35" s="9" t="e">
        <f ca="1">MATCH(A35,Bowling!$A$5:$A$52,0)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59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MATCH(A36,Batting!$A$5:$A$74,0)</f>
        <v>#N/A</v>
      </c>
      <c r="F36" s="9">
        <f ca="1">IF(NOT(ISNA(E36)),OFFSET(Batting!$B$4,E36,$C$1,1,1),0)</f>
        <v>0</v>
      </c>
      <c r="G36" s="9" t="e">
        <f ca="1">MATCH(A36,Bowling!$A$5:$A$52,0)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59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MATCH(A37,Batting!$A$5:$A$74,0)</f>
        <v>#N/A</v>
      </c>
      <c r="F37" s="9">
        <f ca="1">IF(NOT(ISNA(E37)),OFFSET(Batting!$B$4,E37,$C$1,1,1),0)</f>
        <v>0</v>
      </c>
      <c r="G37" s="9" t="e">
        <f ca="1">MATCH(A37,Bowling!$A$5:$A$52,0)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59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MATCH(A38,Batting!$A$5:$A$74,0)</f>
        <v>#N/A</v>
      </c>
      <c r="F38" s="9">
        <f ca="1">IF(NOT(ISNA(E38)),OFFSET(Batting!$B$4,E38,$C$1,1,1),0)</f>
        <v>0</v>
      </c>
      <c r="G38" s="9" t="e">
        <f ca="1">MATCH(A38,Bowling!$A$5:$A$52,0)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59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MATCH(A39,Batting!$A$5:$A$74,0)</f>
        <v>#N/A</v>
      </c>
      <c r="F39" s="9">
        <f ca="1">IF(NOT(ISNA(E39)),OFFSET(Batting!$B$4,E39,$C$1,1,1),0)</f>
        <v>0</v>
      </c>
      <c r="G39" s="9" t="e">
        <f ca="1">MATCH(A39,Bowling!$A$5:$A$52,0)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59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MATCH(A40,Batting!$A$5:$A$74,0)</f>
        <v>#N/A</v>
      </c>
      <c r="F40" s="9">
        <f ca="1">IF(NOT(ISNA(E40)),OFFSET(Batting!$B$4,E40,$C$1,1,1),0)</f>
        <v>0</v>
      </c>
      <c r="G40" s="9" t="e">
        <f ca="1">MATCH(A40,Bowling!$A$5:$A$52,0)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59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MATCH(A41,Batting!$A$5:$A$74,0)</f>
        <v>#N/A</v>
      </c>
      <c r="F41" s="9">
        <f ca="1">IF(NOT(ISNA(E41)),OFFSET(Batting!$B$4,E41,$C$1,1,1),0)</f>
        <v>0</v>
      </c>
      <c r="G41" s="9" t="e">
        <f ca="1">MATCH(A41,Bowling!$A$5:$A$52,0)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59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MATCH(A42,Batting!$A$5:$A$74,0)</f>
        <v>#N/A</v>
      </c>
      <c r="F42" s="9">
        <f ca="1">IF(NOT(ISNA(E42)),OFFSET(Batting!$B$4,E42,$C$1,1,1),0)</f>
        <v>0</v>
      </c>
      <c r="G42" s="9" t="e">
        <f ca="1">MATCH(A42,Bowling!$A$5:$A$52,0)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59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MATCH(A43,Bowling!$A$5:$A$52,0)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59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MATCH(A44,Bowling!$A$5:$A$52,0)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59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MATCH(A45,Bowling!$A$5:$A$52,0)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59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MATCH(A46,Bowling!$A$5:$A$52,0)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1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9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9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9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9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9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9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95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9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9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9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9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95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9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9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9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9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9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9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9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9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9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9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9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9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95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9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9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9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9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9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9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9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9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9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9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9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9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9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9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9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9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A70"/>
  <sheetViews>
    <sheetView workbookViewId="0"/>
  </sheetViews>
  <sheetFormatPr defaultColWidth="9" defaultRowHeight="12.75" x14ac:dyDescent="0.25"/>
  <cols>
    <col min="1" max="1" width="9.5703125" style="71" customWidth="1"/>
    <col min="2" max="2" width="18" style="70" customWidth="1"/>
    <col min="3" max="3" width="40.5703125" style="70" bestFit="1" customWidth="1"/>
    <col min="4" max="4" width="9.7109375" style="71" customWidth="1"/>
    <col min="5" max="8" width="9" style="70" customWidth="1"/>
    <col min="9" max="9" width="12.28515625" style="70" customWidth="1"/>
    <col min="10" max="10" width="9.140625" customWidth="1"/>
    <col min="11" max="15" width="5.85546875" style="70" customWidth="1"/>
    <col min="16" max="16" width="10.5703125" style="70" customWidth="1"/>
    <col min="17" max="17" width="9" style="70" customWidth="1"/>
    <col min="18" max="18" width="11.5703125" style="70" customWidth="1"/>
    <col min="19" max="16384" width="9" style="70"/>
  </cols>
  <sheetData>
    <row r="1" spans="1:27" x14ac:dyDescent="0.25">
      <c r="A1" s="69" t="s">
        <v>183</v>
      </c>
    </row>
    <row r="2" spans="1:27" x14ac:dyDescent="0.25">
      <c r="A2" s="69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0"/>
      <c r="D43" s="7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52"/>
  <sheetViews>
    <sheetView workbookViewId="0">
      <selection activeCell="E11" sqref="E11"/>
    </sheetView>
  </sheetViews>
  <sheetFormatPr defaultRowHeight="10.5" x14ac:dyDescent="0.15"/>
  <cols>
    <col min="4" max="4" width="13.42578125" customWidth="1"/>
    <col min="5" max="5" width="16.7109375" customWidth="1"/>
    <col min="6" max="6" width="2.28515625" customWidth="1"/>
    <col min="7" max="7" width="3.5703125" customWidth="1"/>
    <col min="8" max="8" width="2.140625" customWidth="1"/>
    <col min="9" max="9" width="11.85546875" bestFit="1" customWidth="1"/>
  </cols>
  <sheetData>
    <row r="1" spans="1:9" x14ac:dyDescent="0.15">
      <c r="A1" t="s">
        <v>266</v>
      </c>
      <c r="B1" t="s">
        <v>12</v>
      </c>
    </row>
    <row r="2" spans="1:9" x14ac:dyDescent="0.15">
      <c r="A2" s="159" t="str">
        <f t="array" ref="A2:A52">TRANSPOSE(Batting!D4:AI4)</f>
        <v>L</v>
      </c>
      <c r="B2" t="str">
        <f t="array" ref="B2:B52">TRANSPOSE(Batting!D72:AI72)</f>
        <v>Springer T</v>
      </c>
    </row>
    <row r="3" spans="1:9" x14ac:dyDescent="0.15">
      <c r="A3" s="159" t="str">
        <v>L</v>
      </c>
      <c r="B3" t="str">
        <v>Springer T</v>
      </c>
    </row>
    <row r="4" spans="1:9" x14ac:dyDescent="0.15">
      <c r="A4" s="159" t="str">
        <v>W</v>
      </c>
      <c r="B4" t="str">
        <v>Springer T</v>
      </c>
    </row>
    <row r="5" spans="1:9" x14ac:dyDescent="0.15">
      <c r="A5" s="159" t="str">
        <v>W</v>
      </c>
      <c r="B5" t="str">
        <v>Springer T</v>
      </c>
    </row>
    <row r="6" spans="1:9" x14ac:dyDescent="0.15">
      <c r="A6" s="159" t="str">
        <v>W</v>
      </c>
      <c r="B6" t="str">
        <v>Springer T</v>
      </c>
    </row>
    <row r="7" spans="1:9" x14ac:dyDescent="0.15">
      <c r="A7" s="159" t="str">
        <v>W</v>
      </c>
      <c r="B7" t="str">
        <v>Seymour C</v>
      </c>
    </row>
    <row r="8" spans="1:9" x14ac:dyDescent="0.15">
      <c r="A8" s="159" t="str">
        <v>W</v>
      </c>
      <c r="B8" t="str">
        <v>Nair S</v>
      </c>
    </row>
    <row r="9" spans="1:9" x14ac:dyDescent="0.15">
      <c r="A9" s="159" t="str">
        <v>L</v>
      </c>
      <c r="B9" t="str">
        <v>Bhatt P</v>
      </c>
      <c r="D9" s="152" t="s">
        <v>268</v>
      </c>
      <c r="E9" s="152" t="s">
        <v>267</v>
      </c>
    </row>
    <row r="10" spans="1:9" x14ac:dyDescent="0.15">
      <c r="A10" s="159" t="str">
        <v>ND</v>
      </c>
      <c r="B10" t="str">
        <v>Springer T</v>
      </c>
      <c r="D10" s="152" t="s">
        <v>241</v>
      </c>
      <c r="E10" t="s">
        <v>200</v>
      </c>
      <c r="F10" t="s">
        <v>422</v>
      </c>
      <c r="G10" t="s">
        <v>308</v>
      </c>
      <c r="H10" t="s">
        <v>199</v>
      </c>
      <c r="I10" t="s">
        <v>242</v>
      </c>
    </row>
    <row r="11" spans="1:9" x14ac:dyDescent="0.15">
      <c r="A11" s="159" t="str">
        <v>L</v>
      </c>
      <c r="B11" t="str">
        <v>Springer T</v>
      </c>
      <c r="D11" s="153" t="s">
        <v>222</v>
      </c>
      <c r="E11">
        <v>8</v>
      </c>
      <c r="F11">
        <v>1</v>
      </c>
      <c r="H11">
        <v>2</v>
      </c>
      <c r="I11">
        <v>11</v>
      </c>
    </row>
    <row r="12" spans="1:9" x14ac:dyDescent="0.15">
      <c r="A12" s="159" t="str">
        <v>ND</v>
      </c>
      <c r="B12" t="str">
        <v>Springer T</v>
      </c>
      <c r="D12" s="153" t="s">
        <v>334</v>
      </c>
      <c r="E12">
        <v>1</v>
      </c>
      <c r="H12">
        <v>1</v>
      </c>
      <c r="I12">
        <v>2</v>
      </c>
    </row>
    <row r="13" spans="1:9" x14ac:dyDescent="0.15">
      <c r="A13" s="159" t="str">
        <v>L</v>
      </c>
      <c r="B13" t="str">
        <v>Springer T</v>
      </c>
      <c r="D13" s="153" t="s">
        <v>196</v>
      </c>
      <c r="E13">
        <v>1</v>
      </c>
      <c r="G13">
        <v>1</v>
      </c>
      <c r="I13">
        <v>2</v>
      </c>
    </row>
    <row r="14" spans="1:9" x14ac:dyDescent="0.15">
      <c r="A14" s="159" t="str">
        <v>L</v>
      </c>
      <c r="B14" t="str">
        <v>Seymour C</v>
      </c>
      <c r="D14" s="153" t="s">
        <v>206</v>
      </c>
      <c r="E14">
        <v>1</v>
      </c>
      <c r="I14">
        <v>1</v>
      </c>
    </row>
    <row r="15" spans="1:9" x14ac:dyDescent="0.15">
      <c r="A15" s="159" t="str">
        <v>W</v>
      </c>
      <c r="B15" t="str">
        <v>Springer T</v>
      </c>
      <c r="D15" s="153" t="s">
        <v>235</v>
      </c>
      <c r="H15">
        <v>1</v>
      </c>
      <c r="I15">
        <v>1</v>
      </c>
    </row>
    <row r="16" spans="1:9" x14ac:dyDescent="0.15">
      <c r="A16" s="159" t="str">
        <v>L</v>
      </c>
      <c r="B16" t="str">
        <v>Springer T</v>
      </c>
      <c r="D16" s="153" t="s">
        <v>242</v>
      </c>
      <c r="E16">
        <v>11</v>
      </c>
      <c r="F16">
        <v>1</v>
      </c>
      <c r="G16">
        <v>1</v>
      </c>
      <c r="H16">
        <v>4</v>
      </c>
      <c r="I16">
        <v>17</v>
      </c>
    </row>
    <row r="17" spans="1:2" x14ac:dyDescent="0.15">
      <c r="A17" s="159" t="str">
        <v>W</v>
      </c>
      <c r="B17" t="e">
        <v>#N/A</v>
      </c>
    </row>
    <row r="18" spans="1:2" x14ac:dyDescent="0.15">
      <c r="A18" s="159" t="str">
        <v>L</v>
      </c>
      <c r="B18" t="e">
        <v>#N/A</v>
      </c>
    </row>
    <row r="19" spans="1:2" x14ac:dyDescent="0.15">
      <c r="A19" s="159">
        <v>0</v>
      </c>
      <c r="B19" t="str">
        <v>Springer T</v>
      </c>
    </row>
    <row r="20" spans="1:2" x14ac:dyDescent="0.15">
      <c r="A20" s="159">
        <v>0</v>
      </c>
      <c r="B20" t="str">
        <v>Springer T</v>
      </c>
    </row>
    <row r="21" spans="1:2" x14ac:dyDescent="0.15">
      <c r="A21" s="159">
        <v>0</v>
      </c>
      <c r="B21" t="str">
        <v>Springer T</v>
      </c>
    </row>
    <row r="22" spans="1:2" x14ac:dyDescent="0.15">
      <c r="A22" s="159">
        <v>0</v>
      </c>
      <c r="B22" t="str">
        <v>Springer T</v>
      </c>
    </row>
    <row r="23" spans="1:2" x14ac:dyDescent="0.15">
      <c r="A23" s="159">
        <v>0</v>
      </c>
      <c r="B23" t="e">
        <v>#N/A</v>
      </c>
    </row>
    <row r="24" spans="1:2" x14ac:dyDescent="0.15">
      <c r="A24" s="159">
        <v>0</v>
      </c>
      <c r="B24" t="e">
        <v>#N/A</v>
      </c>
    </row>
    <row r="25" spans="1:2" x14ac:dyDescent="0.15">
      <c r="A25" s="159">
        <v>0</v>
      </c>
      <c r="B25" t="e">
        <v>#N/A</v>
      </c>
    </row>
    <row r="26" spans="1:2" x14ac:dyDescent="0.15">
      <c r="A26" s="159">
        <v>0</v>
      </c>
      <c r="B26" t="e">
        <v>#N/A</v>
      </c>
    </row>
    <row r="27" spans="1:2" x14ac:dyDescent="0.15">
      <c r="A27" s="159">
        <v>0</v>
      </c>
      <c r="B27" t="e">
        <v>#N/A</v>
      </c>
    </row>
    <row r="28" spans="1:2" x14ac:dyDescent="0.15">
      <c r="A28" s="159">
        <v>0</v>
      </c>
      <c r="B28" t="e">
        <v>#N/A</v>
      </c>
    </row>
    <row r="29" spans="1:2" x14ac:dyDescent="0.15">
      <c r="A29" s="159">
        <v>0</v>
      </c>
      <c r="B29" t="e">
        <v>#N/A</v>
      </c>
    </row>
    <row r="30" spans="1:2" x14ac:dyDescent="0.15">
      <c r="A30" s="159" t="e">
        <v>#N/A</v>
      </c>
      <c r="B30">
        <v>0</v>
      </c>
    </row>
    <row r="31" spans="1:2" x14ac:dyDescent="0.15">
      <c r="A31" s="159" t="e">
        <v>#N/A</v>
      </c>
      <c r="B31">
        <v>0</v>
      </c>
    </row>
    <row r="32" spans="1:2" x14ac:dyDescent="0.15">
      <c r="A32" s="159">
        <v>0</v>
      </c>
      <c r="B32">
        <v>0</v>
      </c>
    </row>
    <row r="33" spans="1:2" x14ac:dyDescent="0.15">
      <c r="A33" s="159">
        <v>0</v>
      </c>
      <c r="B33">
        <v>0</v>
      </c>
    </row>
    <row r="34" spans="1:2" x14ac:dyDescent="0.15">
      <c r="A34" s="159" t="e">
        <v>#N/A</v>
      </c>
      <c r="B34" t="e">
        <v>#N/A</v>
      </c>
    </row>
    <row r="35" spans="1:2" x14ac:dyDescent="0.15">
      <c r="A35" s="159" t="e">
        <v>#N/A</v>
      </c>
      <c r="B35" t="e">
        <v>#N/A</v>
      </c>
    </row>
    <row r="36" spans="1:2" x14ac:dyDescent="0.15">
      <c r="A36" s="159" t="e">
        <v>#N/A</v>
      </c>
      <c r="B36" t="e">
        <v>#N/A</v>
      </c>
    </row>
    <row r="37" spans="1:2" x14ac:dyDescent="0.15">
      <c r="A37" s="159" t="e">
        <v>#N/A</v>
      </c>
      <c r="B37" t="e">
        <v>#N/A</v>
      </c>
    </row>
    <row r="38" spans="1:2" x14ac:dyDescent="0.15">
      <c r="A38" s="159" t="e">
        <v>#N/A</v>
      </c>
      <c r="B38" t="e">
        <v>#N/A</v>
      </c>
    </row>
    <row r="39" spans="1:2" x14ac:dyDescent="0.15">
      <c r="A39" s="159" t="e">
        <v>#N/A</v>
      </c>
      <c r="B39" t="e">
        <v>#N/A</v>
      </c>
    </row>
    <row r="40" spans="1:2" x14ac:dyDescent="0.15">
      <c r="A40" s="159" t="e">
        <v>#N/A</v>
      </c>
      <c r="B40" t="e">
        <v>#N/A</v>
      </c>
    </row>
    <row r="41" spans="1:2" x14ac:dyDescent="0.15">
      <c r="A41" s="159" t="e">
        <v>#N/A</v>
      </c>
      <c r="B41" t="e">
        <v>#N/A</v>
      </c>
    </row>
    <row r="42" spans="1:2" x14ac:dyDescent="0.15">
      <c r="A42" s="159" t="e">
        <v>#N/A</v>
      </c>
      <c r="B42" t="e">
        <v>#N/A</v>
      </c>
    </row>
    <row r="43" spans="1:2" x14ac:dyDescent="0.15">
      <c r="A43" s="159" t="e">
        <v>#N/A</v>
      </c>
      <c r="B43" t="e">
        <v>#N/A</v>
      </c>
    </row>
    <row r="44" spans="1:2" x14ac:dyDescent="0.15">
      <c r="A44" s="159" t="e">
        <v>#N/A</v>
      </c>
      <c r="B44" t="e">
        <v>#N/A</v>
      </c>
    </row>
    <row r="45" spans="1:2" x14ac:dyDescent="0.15">
      <c r="A45" s="159" t="e">
        <v>#N/A</v>
      </c>
      <c r="B45" t="e">
        <v>#N/A</v>
      </c>
    </row>
    <row r="46" spans="1:2" x14ac:dyDescent="0.15">
      <c r="A46" s="159" t="e">
        <v>#N/A</v>
      </c>
      <c r="B46" t="e">
        <v>#N/A</v>
      </c>
    </row>
    <row r="47" spans="1:2" x14ac:dyDescent="0.15">
      <c r="A47" s="159" t="e">
        <v>#N/A</v>
      </c>
      <c r="B47" t="e">
        <v>#N/A</v>
      </c>
    </row>
    <row r="48" spans="1:2" x14ac:dyDescent="0.15">
      <c r="A48" s="159" t="e">
        <v>#N/A</v>
      </c>
      <c r="B48" t="e">
        <v>#N/A</v>
      </c>
    </row>
    <row r="49" spans="1:2" x14ac:dyDescent="0.15">
      <c r="A49" s="159" t="e">
        <v>#N/A</v>
      </c>
      <c r="B49" t="e">
        <v>#N/A</v>
      </c>
    </row>
    <row r="50" spans="1:2" x14ac:dyDescent="0.15">
      <c r="A50" s="159" t="e">
        <v>#N/A</v>
      </c>
      <c r="B50" t="e">
        <v>#N/A</v>
      </c>
    </row>
    <row r="51" spans="1:2" x14ac:dyDescent="0.15">
      <c r="A51" s="159" t="e">
        <v>#N/A</v>
      </c>
      <c r="B51" t="e">
        <v>#N/A</v>
      </c>
    </row>
    <row r="52" spans="1:2" x14ac:dyDescent="0.15">
      <c r="A52" s="159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J80"/>
  <sheetViews>
    <sheetView showGridLines="0" zoomScaleNormal="100" workbookViewId="0">
      <selection activeCell="M5" sqref="M5"/>
    </sheetView>
  </sheetViews>
  <sheetFormatPr defaultRowHeight="11.25" x14ac:dyDescent="0.15"/>
  <cols>
    <col min="1" max="1" width="3" style="166" bestFit="1" customWidth="1"/>
    <col min="2" max="2" width="14.28515625" style="166" bestFit="1" customWidth="1"/>
    <col min="3" max="3" width="4.7109375" style="166" bestFit="1" customWidth="1"/>
    <col min="4" max="4" width="4.5703125" style="166" bestFit="1" customWidth="1"/>
    <col min="5" max="5" width="5.140625" style="166" bestFit="1" customWidth="1"/>
    <col min="6" max="6" width="5.42578125" style="166" bestFit="1" customWidth="1"/>
    <col min="7" max="7" width="5.7109375" style="166" bestFit="1" customWidth="1"/>
    <col min="8" max="8" width="2.7109375" style="166" customWidth="1"/>
    <col min="9" max="9" width="3" style="166" bestFit="1" customWidth="1"/>
    <col min="10" max="10" width="12" style="166" bestFit="1" customWidth="1"/>
    <col min="11" max="11" width="5.7109375" style="166" bestFit="1" customWidth="1"/>
    <col min="12" max="12" width="5.28515625" style="166" bestFit="1" customWidth="1"/>
    <col min="13" max="13" width="5.140625" style="166" bestFit="1" customWidth="1"/>
    <col min="14" max="14" width="7.42578125" style="166" bestFit="1" customWidth="1"/>
    <col min="15" max="15" width="5.5703125" style="166" bestFit="1" customWidth="1"/>
    <col min="16" max="17" width="5.42578125" style="166" bestFit="1" customWidth="1"/>
    <col min="18" max="18" width="4.28515625" style="166" bestFit="1" customWidth="1"/>
    <col min="19" max="19" width="2.7109375" style="166" customWidth="1"/>
    <col min="20" max="20" width="4.140625" style="166" bestFit="1" customWidth="1"/>
    <col min="21" max="21" width="4.7109375" style="166" bestFit="1" customWidth="1"/>
    <col min="22" max="22" width="5.42578125" style="166" bestFit="1" customWidth="1"/>
    <col min="23" max="23" width="10.28515625" style="166" bestFit="1" customWidth="1"/>
    <col min="24" max="25" width="4.140625" style="166" bestFit="1" customWidth="1"/>
    <col min="26" max="26" width="10.28515625" style="166" bestFit="1" customWidth="1"/>
    <col min="27" max="28" width="4.140625" style="166" bestFit="1" customWidth="1"/>
    <col min="29" max="29" width="19" style="166" bestFit="1" customWidth="1"/>
    <col min="30" max="30" width="6.5703125" style="170" bestFit="1" customWidth="1"/>
    <col min="31" max="31" width="2.7109375" style="166" customWidth="1"/>
    <col min="32" max="32" width="4.28515625" style="166" bestFit="1" customWidth="1"/>
    <col min="33" max="33" width="12.140625" style="166" bestFit="1" customWidth="1"/>
    <col min="34" max="34" width="2.7109375" style="166" customWidth="1"/>
    <col min="35" max="35" width="2.7109375" style="166" bestFit="1" customWidth="1"/>
    <col min="36" max="36" width="10.140625" style="166" bestFit="1" customWidth="1"/>
    <col min="37" max="37" width="2.7109375" style="166" customWidth="1"/>
    <col min="38" max="38" width="3.5703125" style="166" bestFit="1" customWidth="1"/>
    <col min="39" max="39" width="14.140625" style="166" bestFit="1" customWidth="1"/>
    <col min="40" max="40" width="2.7109375" style="166" customWidth="1"/>
    <col min="41" max="41" width="2.7109375" style="166" bestFit="1" customWidth="1"/>
    <col min="42" max="42" width="10.140625" style="166" bestFit="1" customWidth="1"/>
    <col min="43" max="43" width="2.7109375" style="166" customWidth="1"/>
    <col min="44" max="44" width="1.85546875" style="166" bestFit="1" customWidth="1"/>
    <col min="45" max="45" width="14.140625" style="166" bestFit="1" customWidth="1"/>
    <col min="46" max="46" width="2.7109375" style="166" customWidth="1"/>
    <col min="47" max="47" width="2.7109375" style="170" customWidth="1"/>
    <col min="48" max="48" width="13" style="166" customWidth="1"/>
    <col min="49" max="49" width="2.7109375" style="170" customWidth="1"/>
    <col min="50" max="50" width="13" style="166" customWidth="1"/>
    <col min="51" max="51" width="2.7109375" style="170" customWidth="1"/>
    <col min="52" max="52" width="13" style="166" customWidth="1"/>
    <col min="53" max="53" width="2.7109375" style="170" customWidth="1"/>
    <col min="54" max="54" width="13" style="166" customWidth="1"/>
    <col min="55" max="55" width="9.140625" style="166"/>
    <col min="56" max="56" width="18.28515625" style="166" bestFit="1" customWidth="1"/>
    <col min="57" max="58" width="27.140625" style="170" customWidth="1"/>
    <col min="59" max="59" width="9.140625" style="166"/>
    <col min="60" max="60" width="11.28515625" style="166" customWidth="1"/>
    <col min="61" max="61" width="17.28515625" style="166" customWidth="1"/>
    <col min="62" max="16384" width="9.140625" style="166"/>
  </cols>
  <sheetData>
    <row r="1" spans="1:62" s="163" customFormat="1" x14ac:dyDescent="0.15">
      <c r="A1" s="198" t="s">
        <v>276</v>
      </c>
      <c r="B1" s="198"/>
      <c r="C1" s="198"/>
      <c r="D1" s="198"/>
      <c r="E1" s="198"/>
      <c r="F1" s="198"/>
      <c r="G1" s="198"/>
      <c r="I1" s="198" t="s">
        <v>277</v>
      </c>
      <c r="J1" s="198"/>
      <c r="K1" s="198"/>
      <c r="L1" s="198"/>
      <c r="M1" s="198"/>
      <c r="N1" s="198"/>
      <c r="O1" s="198"/>
      <c r="P1" s="198"/>
      <c r="Q1" s="198"/>
      <c r="R1" s="198"/>
      <c r="T1" s="198" t="s">
        <v>278</v>
      </c>
      <c r="U1" s="198"/>
      <c r="V1" s="198"/>
      <c r="W1" s="198"/>
      <c r="X1" s="198"/>
      <c r="Y1" s="198"/>
      <c r="Z1" s="198"/>
      <c r="AA1" s="198"/>
      <c r="AB1" s="198"/>
      <c r="AC1" s="198"/>
      <c r="AD1" s="198"/>
      <c r="AF1" s="198" t="s">
        <v>283</v>
      </c>
      <c r="AG1" s="198"/>
      <c r="AI1" s="198" t="s">
        <v>284</v>
      </c>
      <c r="AJ1" s="198"/>
      <c r="AL1" s="198" t="s">
        <v>285</v>
      </c>
      <c r="AM1" s="198"/>
      <c r="AO1" s="198" t="s">
        <v>286</v>
      </c>
      <c r="AP1" s="198"/>
      <c r="AR1" s="198" t="s">
        <v>288</v>
      </c>
      <c r="AS1" s="198"/>
      <c r="AU1" s="198" t="s">
        <v>287</v>
      </c>
      <c r="AV1" s="198"/>
      <c r="AW1" s="198"/>
      <c r="AX1" s="198"/>
      <c r="AY1" s="198"/>
      <c r="AZ1" s="198"/>
      <c r="BA1" s="181"/>
      <c r="BB1" s="181"/>
      <c r="BE1" s="181"/>
      <c r="BF1" s="181"/>
    </row>
    <row r="2" spans="1:62" x14ac:dyDescent="0.15">
      <c r="A2" s="170"/>
      <c r="B2" s="164" t="s">
        <v>76</v>
      </c>
      <c r="C2" s="165" t="s">
        <v>7</v>
      </c>
      <c r="D2" s="165" t="s">
        <v>202</v>
      </c>
      <c r="E2" s="165" t="s">
        <v>131</v>
      </c>
      <c r="F2" s="165" t="s">
        <v>9</v>
      </c>
      <c r="G2" s="165" t="s">
        <v>33</v>
      </c>
      <c r="J2" s="164" t="s">
        <v>76</v>
      </c>
      <c r="K2" s="165" t="s">
        <v>30</v>
      </c>
      <c r="L2" s="165" t="s">
        <v>31</v>
      </c>
      <c r="M2" s="165" t="s">
        <v>9</v>
      </c>
      <c r="N2" s="165" t="s">
        <v>134</v>
      </c>
      <c r="O2" s="165" t="s">
        <v>33</v>
      </c>
      <c r="P2" s="165" t="s">
        <v>34</v>
      </c>
      <c r="Q2" s="165" t="s">
        <v>35</v>
      </c>
      <c r="R2" s="165" t="s">
        <v>90</v>
      </c>
      <c r="T2" s="167" t="s">
        <v>13</v>
      </c>
      <c r="U2" s="167" t="s">
        <v>77</v>
      </c>
      <c r="V2" s="167" t="s">
        <v>209</v>
      </c>
      <c r="W2" s="167" t="s">
        <v>210</v>
      </c>
      <c r="X2" s="167" t="s">
        <v>211</v>
      </c>
      <c r="Y2" s="167" t="s">
        <v>212</v>
      </c>
      <c r="Z2" s="167" t="s">
        <v>213</v>
      </c>
      <c r="AA2" s="167" t="s">
        <v>214</v>
      </c>
      <c r="AB2" s="167" t="s">
        <v>212</v>
      </c>
      <c r="AC2" s="167" t="s">
        <v>239</v>
      </c>
      <c r="AD2" s="165" t="s">
        <v>0</v>
      </c>
      <c r="AE2" s="166">
        <v>6</v>
      </c>
      <c r="AF2" s="166" t="s">
        <v>346</v>
      </c>
      <c r="AG2" s="166" t="s">
        <v>259</v>
      </c>
      <c r="AI2" s="166">
        <v>3</v>
      </c>
      <c r="AJ2" s="166" t="s">
        <v>324</v>
      </c>
      <c r="AL2" s="166">
        <v>54</v>
      </c>
      <c r="AM2" s="166" t="s">
        <v>222</v>
      </c>
      <c r="AO2" s="166">
        <v>7</v>
      </c>
      <c r="AP2" s="166" t="s">
        <v>196</v>
      </c>
      <c r="AR2" s="166">
        <v>3</v>
      </c>
      <c r="AS2" s="166" t="s">
        <v>324</v>
      </c>
      <c r="AU2" s="170">
        <v>21</v>
      </c>
      <c r="AV2" s="166" t="s">
        <v>196</v>
      </c>
      <c r="AW2" s="170">
        <v>10</v>
      </c>
      <c r="AX2" s="166" t="s">
        <v>136</v>
      </c>
      <c r="AY2" s="170">
        <v>2</v>
      </c>
      <c r="AZ2" s="166" t="s">
        <v>425</v>
      </c>
      <c r="BA2" s="170">
        <v>1</v>
      </c>
      <c r="BB2" s="166" t="s">
        <v>462</v>
      </c>
      <c r="BE2" s="170" t="s">
        <v>350</v>
      </c>
      <c r="BF2" s="170" t="s">
        <v>351</v>
      </c>
    </row>
    <row r="3" spans="1:62" x14ac:dyDescent="0.2">
      <c r="A3" s="170">
        <v>1</v>
      </c>
      <c r="B3" s="170" t="str">
        <f t="array" aca="1" ref="B3:G42" ca="1">OFFSET(BatAves!O2,0,0,batavg_qualifiers,6)</f>
        <v>Seymour D</v>
      </c>
      <c r="C3" s="170">
        <f ca="1"/>
        <v>7</v>
      </c>
      <c r="D3" s="170">
        <f ca="1"/>
        <v>2</v>
      </c>
      <c r="E3" s="170" t="str">
        <f ca="1"/>
        <v>114*</v>
      </c>
      <c r="F3" s="170">
        <f ca="1"/>
        <v>213</v>
      </c>
      <c r="G3" s="171">
        <f ca="1"/>
        <v>42.6</v>
      </c>
      <c r="I3" s="166">
        <v>1</v>
      </c>
      <c r="J3" s="169" t="str">
        <f t="array" aca="1" ref="J3:R30" ca="1">OFFSET(BowlAves!Q3,0,0,BowlAves!AD4,9)</f>
        <v>Nair S</v>
      </c>
      <c r="K3" s="170">
        <f ca="1"/>
        <v>65.2</v>
      </c>
      <c r="L3" s="170">
        <f ca="1"/>
        <v>10</v>
      </c>
      <c r="M3" s="170">
        <f ca="1"/>
        <v>210</v>
      </c>
      <c r="N3" s="170">
        <f ca="1"/>
        <v>22</v>
      </c>
      <c r="O3" s="171">
        <f ca="1"/>
        <v>9.5500000000000007</v>
      </c>
      <c r="P3" s="172">
        <f ca="1"/>
        <v>17.818181818181817</v>
      </c>
      <c r="Q3" s="172">
        <f ca="1"/>
        <v>3.2142857142857144</v>
      </c>
      <c r="R3" s="172" t="str">
        <f ca="1"/>
        <v>4-23</v>
      </c>
      <c r="T3" s="166">
        <f t="array" aca="1" ref="T3:AD26" ca="1">OFFSET(Partnerships!R2,0,0,Partnerships!AE2,11)</f>
        <v>1</v>
      </c>
      <c r="U3" s="166">
        <f ca="1"/>
        <v>54</v>
      </c>
      <c r="V3" s="168">
        <f ca="1"/>
        <v>0</v>
      </c>
      <c r="W3" s="166" t="str">
        <f ca="1"/>
        <v>Patel J</v>
      </c>
      <c r="X3" s="166">
        <f ca="1"/>
        <v>52</v>
      </c>
      <c r="Y3" s="168">
        <f ca="1"/>
        <v>0</v>
      </c>
      <c r="Z3" s="166" t="str">
        <f ca="1"/>
        <v>Seymour C</v>
      </c>
      <c r="AA3" s="166">
        <f ca="1"/>
        <v>7</v>
      </c>
      <c r="AB3" s="168">
        <f ca="1"/>
        <v>0</v>
      </c>
      <c r="AC3" s="166">
        <f ca="1"/>
        <v>0</v>
      </c>
      <c r="AD3" s="179">
        <f ca="1"/>
        <v>0</v>
      </c>
      <c r="AE3" s="166">
        <v>4</v>
      </c>
      <c r="AF3" s="166" t="s">
        <v>282</v>
      </c>
      <c r="AG3" s="166" t="s">
        <v>383</v>
      </c>
      <c r="AI3" s="166">
        <v>3</v>
      </c>
      <c r="AJ3" s="166" t="s">
        <v>136</v>
      </c>
      <c r="AL3" s="166">
        <v>50</v>
      </c>
      <c r="AM3" s="166" t="s">
        <v>136</v>
      </c>
      <c r="AO3" s="166">
        <v>7</v>
      </c>
      <c r="AP3" s="166" t="s">
        <v>222</v>
      </c>
      <c r="AR3" s="166">
        <v>3</v>
      </c>
      <c r="AS3" s="166" t="s">
        <v>302</v>
      </c>
      <c r="AU3" s="170">
        <v>17</v>
      </c>
      <c r="AV3" s="166" t="s">
        <v>222</v>
      </c>
      <c r="AW3" s="170">
        <v>8</v>
      </c>
      <c r="AX3" s="166" t="s">
        <v>383</v>
      </c>
      <c r="AY3" s="170">
        <v>2</v>
      </c>
      <c r="AZ3" s="166" t="s">
        <v>572</v>
      </c>
      <c r="BA3" s="170">
        <v>1</v>
      </c>
      <c r="BB3" s="166" t="s">
        <v>560</v>
      </c>
      <c r="BD3" s="180" t="s">
        <v>349</v>
      </c>
      <c r="BE3" s="170">
        <f>Matches!AA36</f>
        <v>88</v>
      </c>
      <c r="BF3" s="170">
        <f>Matches!AB36</f>
        <v>202</v>
      </c>
    </row>
    <row r="4" spans="1:62" x14ac:dyDescent="0.2">
      <c r="A4" s="170">
        <v>2</v>
      </c>
      <c r="B4" s="170" t="str">
        <f ca="1"/>
        <v>Sharpe D</v>
      </c>
      <c r="C4" s="170">
        <f ca="1"/>
        <v>10</v>
      </c>
      <c r="D4" s="170">
        <f ca="1"/>
        <v>1</v>
      </c>
      <c r="E4" s="170">
        <f ca="1"/>
        <v>86</v>
      </c>
      <c r="F4" s="170">
        <f ca="1"/>
        <v>309</v>
      </c>
      <c r="G4" s="171">
        <f ca="1"/>
        <v>34.333333333333336</v>
      </c>
      <c r="I4" s="166">
        <v>2</v>
      </c>
      <c r="J4" s="169" t="str">
        <f ca="1"/>
        <v>Kogulathasan D</v>
      </c>
      <c r="K4" s="170">
        <f ca="1"/>
        <v>50.3</v>
      </c>
      <c r="L4" s="170">
        <f ca="1"/>
        <v>4</v>
      </c>
      <c r="M4" s="170">
        <f ca="1"/>
        <v>189</v>
      </c>
      <c r="N4" s="170">
        <f ca="1"/>
        <v>11</v>
      </c>
      <c r="O4" s="171">
        <f ca="1"/>
        <v>17.18</v>
      </c>
      <c r="P4" s="172">
        <f ca="1"/>
        <v>27.545454545454547</v>
      </c>
      <c r="Q4" s="172">
        <f ca="1"/>
        <v>3.7425742574257428</v>
      </c>
      <c r="R4" s="172" t="str">
        <f ca="1"/>
        <v>3-21</v>
      </c>
      <c r="T4" s="166">
        <f ca="1"/>
        <v>1</v>
      </c>
      <c r="U4" s="166">
        <f ca="1"/>
        <v>53</v>
      </c>
      <c r="V4" s="168">
        <f ca="1"/>
        <v>0</v>
      </c>
      <c r="W4" s="166" t="str">
        <f ca="1"/>
        <v>Patel J</v>
      </c>
      <c r="X4" s="166">
        <f ca="1"/>
        <v>36</v>
      </c>
      <c r="Y4" s="168">
        <f ca="1"/>
        <v>0</v>
      </c>
      <c r="Z4" s="166" t="str">
        <f ca="1"/>
        <v>Seymour C</v>
      </c>
      <c r="AA4" s="166">
        <f ca="1"/>
        <v>9</v>
      </c>
      <c r="AB4" s="168">
        <f ca="1"/>
        <v>0</v>
      </c>
      <c r="AC4" s="166">
        <f ca="1"/>
        <v>0</v>
      </c>
      <c r="AD4" s="179">
        <f ca="1"/>
        <v>0</v>
      </c>
      <c r="AE4" s="166">
        <v>4</v>
      </c>
      <c r="AF4" s="166" t="s">
        <v>735</v>
      </c>
      <c r="AG4" s="166" t="s">
        <v>136</v>
      </c>
      <c r="AI4" s="166">
        <v>2</v>
      </c>
      <c r="AJ4" s="166" t="s">
        <v>560</v>
      </c>
      <c r="AL4" s="166">
        <v>49</v>
      </c>
      <c r="AM4" s="166" t="s">
        <v>196</v>
      </c>
      <c r="AO4" s="166">
        <v>6</v>
      </c>
      <c r="AP4" s="166" t="s">
        <v>136</v>
      </c>
      <c r="AR4" s="166">
        <v>3</v>
      </c>
      <c r="AS4" s="166" t="s">
        <v>297</v>
      </c>
      <c r="AU4" s="170">
        <v>16</v>
      </c>
      <c r="AV4" s="166" t="s">
        <v>235</v>
      </c>
      <c r="AW4" s="170">
        <v>8</v>
      </c>
      <c r="AX4" s="166" t="s">
        <v>314</v>
      </c>
      <c r="AY4" s="170">
        <v>2</v>
      </c>
      <c r="AZ4" s="166" t="s">
        <v>299</v>
      </c>
      <c r="BA4" s="170">
        <v>1</v>
      </c>
      <c r="BB4" s="166" t="s">
        <v>616</v>
      </c>
      <c r="BD4" s="180" t="s">
        <v>352</v>
      </c>
      <c r="BE4" s="170">
        <f>Matches!AC36</f>
        <v>10</v>
      </c>
      <c r="BF4" s="170">
        <f>Matches!AD36</f>
        <v>8</v>
      </c>
      <c r="BG4" s="170" t="s">
        <v>710</v>
      </c>
      <c r="BH4" s="166" t="s">
        <v>259</v>
      </c>
      <c r="BI4" s="166" t="s">
        <v>291</v>
      </c>
      <c r="BJ4" s="179">
        <v>45047</v>
      </c>
    </row>
    <row r="5" spans="1:62" x14ac:dyDescent="0.2">
      <c r="A5" s="170">
        <v>3</v>
      </c>
      <c r="B5" s="170" t="str">
        <f ca="1"/>
        <v>Patel J</v>
      </c>
      <c r="C5" s="170">
        <f ca="1"/>
        <v>7</v>
      </c>
      <c r="D5" s="170">
        <f ca="1"/>
        <v>0</v>
      </c>
      <c r="E5" s="170">
        <f ca="1"/>
        <v>66</v>
      </c>
      <c r="F5" s="170">
        <f ca="1"/>
        <v>237</v>
      </c>
      <c r="G5" s="171">
        <f ca="1"/>
        <v>33.857142857142854</v>
      </c>
      <c r="I5" s="166">
        <v>3</v>
      </c>
      <c r="J5" s="169" t="str">
        <f ca="1"/>
        <v>Springer T</v>
      </c>
      <c r="K5" s="170">
        <f ca="1"/>
        <v>43.5</v>
      </c>
      <c r="L5" s="170">
        <f ca="1"/>
        <v>6</v>
      </c>
      <c r="M5" s="170">
        <f ca="1"/>
        <v>209</v>
      </c>
      <c r="N5" s="170">
        <f ca="1"/>
        <v>11</v>
      </c>
      <c r="O5" s="171">
        <f ca="1"/>
        <v>19</v>
      </c>
      <c r="P5" s="172">
        <f ca="1"/>
        <v>23.90909090909091</v>
      </c>
      <c r="Q5" s="172">
        <f ca="1"/>
        <v>4.7680608365019008</v>
      </c>
      <c r="R5" s="172" t="str">
        <f ca="1"/>
        <v>4-27</v>
      </c>
      <c r="T5" s="166">
        <f ca="1"/>
        <v>1</v>
      </c>
      <c r="U5" s="166">
        <f ca="1"/>
        <v>50</v>
      </c>
      <c r="V5" s="168">
        <f ca="1"/>
        <v>0</v>
      </c>
      <c r="W5" s="166" t="str">
        <f ca="1"/>
        <v>Seymour C</v>
      </c>
      <c r="X5" s="166">
        <f ca="1"/>
        <v>35</v>
      </c>
      <c r="Y5" s="168">
        <f ca="1"/>
        <v>0</v>
      </c>
      <c r="Z5" s="166" t="str">
        <f ca="1"/>
        <v>Patel J</v>
      </c>
      <c r="AA5" s="166">
        <f ca="1"/>
        <v>19</v>
      </c>
      <c r="AB5" s="168">
        <f ca="1"/>
        <v>0</v>
      </c>
      <c r="AC5" s="166">
        <f ca="1"/>
        <v>0</v>
      </c>
      <c r="AD5" s="179">
        <f ca="1"/>
        <v>0</v>
      </c>
      <c r="AE5" s="166">
        <v>3</v>
      </c>
      <c r="AF5" s="170" t="s">
        <v>280</v>
      </c>
      <c r="AG5" s="166" t="s">
        <v>425</v>
      </c>
      <c r="AI5" s="166">
        <v>2</v>
      </c>
      <c r="AJ5" s="166" t="s">
        <v>383</v>
      </c>
      <c r="AL5" s="166">
        <v>31</v>
      </c>
      <c r="AM5" s="166" t="s">
        <v>324</v>
      </c>
      <c r="AO5" s="166">
        <v>5</v>
      </c>
      <c r="AP5" s="166" t="s">
        <v>324</v>
      </c>
      <c r="AR5" s="166">
        <v>3</v>
      </c>
      <c r="AS5" s="166" t="s">
        <v>222</v>
      </c>
      <c r="AU5" s="170">
        <v>14</v>
      </c>
      <c r="AV5" s="166" t="s">
        <v>251</v>
      </c>
      <c r="AW5" s="170">
        <v>7</v>
      </c>
      <c r="AX5" s="166" t="s">
        <v>263</v>
      </c>
      <c r="AY5" s="170">
        <v>2</v>
      </c>
      <c r="AZ5" s="166" t="s">
        <v>620</v>
      </c>
      <c r="BA5" s="170">
        <v>1</v>
      </c>
      <c r="BB5" s="166" t="s">
        <v>547</v>
      </c>
      <c r="BD5" s="180" t="s">
        <v>353</v>
      </c>
      <c r="BE5" s="182">
        <f>BE3/BE4</f>
        <v>8.8000000000000007</v>
      </c>
      <c r="BF5" s="182">
        <f>BF3/BF4</f>
        <v>25.25</v>
      </c>
      <c r="BG5" s="170">
        <v>90</v>
      </c>
      <c r="BH5" s="166" t="s">
        <v>425</v>
      </c>
      <c r="BI5" s="166" t="s">
        <v>389</v>
      </c>
      <c r="BJ5" s="179">
        <v>45068</v>
      </c>
    </row>
    <row r="6" spans="1:62" x14ac:dyDescent="0.2">
      <c r="A6" s="170">
        <v>4</v>
      </c>
      <c r="B6" s="170" t="str">
        <f ca="1"/>
        <v>De S</v>
      </c>
      <c r="C6" s="170">
        <f ca="1"/>
        <v>10</v>
      </c>
      <c r="D6" s="170">
        <f ca="1"/>
        <v>2</v>
      </c>
      <c r="E6" s="170">
        <f ca="1"/>
        <v>84</v>
      </c>
      <c r="F6" s="170">
        <f ca="1"/>
        <v>237</v>
      </c>
      <c r="G6" s="171">
        <f ca="1"/>
        <v>29.625</v>
      </c>
      <c r="I6" s="166">
        <v>4</v>
      </c>
      <c r="J6" s="169" t="str">
        <f ca="1"/>
        <v>Bhatt P</v>
      </c>
      <c r="K6" s="170">
        <f ca="1"/>
        <v>77.3</v>
      </c>
      <c r="L6" s="170">
        <f ca="1"/>
        <v>11</v>
      </c>
      <c r="M6" s="170">
        <f ca="1"/>
        <v>341</v>
      </c>
      <c r="N6" s="170">
        <f ca="1"/>
        <v>16</v>
      </c>
      <c r="O6" s="171">
        <f ca="1"/>
        <v>21.31</v>
      </c>
      <c r="P6" s="172">
        <f ca="1"/>
        <v>29.0625</v>
      </c>
      <c r="Q6" s="172">
        <f ca="1"/>
        <v>4.4000000000000004</v>
      </c>
      <c r="R6" s="172" t="str">
        <f ca="1"/>
        <v>4-20</v>
      </c>
      <c r="T6" s="166">
        <f ca="1"/>
        <v>2</v>
      </c>
      <c r="U6" s="166">
        <f ca="1"/>
        <v>103</v>
      </c>
      <c r="V6" s="168">
        <f ca="1"/>
        <v>0</v>
      </c>
      <c r="W6" s="166" t="str">
        <f ca="1"/>
        <v>Seymour C</v>
      </c>
      <c r="X6" s="166">
        <f ca="1"/>
        <v>41</v>
      </c>
      <c r="Y6" s="168">
        <f ca="1"/>
        <v>0</v>
      </c>
      <c r="Z6" s="166" t="str">
        <f ca="1"/>
        <v>Springer T</v>
      </c>
      <c r="AA6" s="166">
        <f ca="1"/>
        <v>64</v>
      </c>
      <c r="AB6" s="168">
        <f ca="1"/>
        <v>0</v>
      </c>
      <c r="AC6" s="166" t="str">
        <f ca="1"/>
        <v>YRG Eagles</v>
      </c>
      <c r="AD6" s="179">
        <f ca="1"/>
        <v>45067</v>
      </c>
      <c r="AE6" s="166">
        <v>3</v>
      </c>
      <c r="AF6" s="166" t="s">
        <v>280</v>
      </c>
      <c r="AG6" s="166" t="s">
        <v>206</v>
      </c>
      <c r="AI6" s="166">
        <v>1</v>
      </c>
      <c r="AJ6" s="166" t="s">
        <v>245</v>
      </c>
      <c r="AL6" s="166">
        <v>29</v>
      </c>
      <c r="AM6" s="166" t="s">
        <v>425</v>
      </c>
      <c r="AO6" s="166">
        <v>4</v>
      </c>
      <c r="AP6" s="166" t="s">
        <v>383</v>
      </c>
      <c r="AR6" s="166">
        <v>2</v>
      </c>
      <c r="AS6" s="166" t="s">
        <v>368</v>
      </c>
      <c r="AU6" s="170">
        <v>14</v>
      </c>
      <c r="AV6" s="166" t="s">
        <v>302</v>
      </c>
      <c r="AW6" s="170">
        <v>7</v>
      </c>
      <c r="AX6" s="166" t="s">
        <v>368</v>
      </c>
      <c r="AY6" s="170">
        <v>2</v>
      </c>
      <c r="AZ6" s="166" t="s">
        <v>604</v>
      </c>
      <c r="BA6" s="170">
        <v>1</v>
      </c>
      <c r="BB6" s="166" t="s">
        <v>234</v>
      </c>
      <c r="BD6" s="180" t="s">
        <v>354</v>
      </c>
      <c r="BE6" s="182">
        <f>Matches!O40</f>
        <v>53.01204819277109</v>
      </c>
      <c r="BF6" s="182">
        <f>Matches!P40</f>
        <v>84.166666666666671</v>
      </c>
      <c r="BG6" s="170">
        <v>86</v>
      </c>
      <c r="BH6" s="166" t="s">
        <v>425</v>
      </c>
      <c r="BI6" s="166" t="s">
        <v>290</v>
      </c>
      <c r="BJ6" s="179">
        <v>45089</v>
      </c>
    </row>
    <row r="7" spans="1:62" x14ac:dyDescent="0.2">
      <c r="A7" s="170">
        <v>5</v>
      </c>
      <c r="B7" s="170" t="str">
        <f ca="1"/>
        <v>Mander A</v>
      </c>
      <c r="C7" s="170">
        <f ca="1"/>
        <v>6</v>
      </c>
      <c r="D7" s="170">
        <f ca="1"/>
        <v>5</v>
      </c>
      <c r="E7" s="170">
        <f ca="1"/>
        <v>14</v>
      </c>
      <c r="F7" s="170">
        <f ca="1"/>
        <v>26</v>
      </c>
      <c r="G7" s="171">
        <f ca="1"/>
        <v>26</v>
      </c>
      <c r="I7" s="166">
        <v>5</v>
      </c>
      <c r="J7" s="169" t="str">
        <f ca="1"/>
        <v>Seymour C</v>
      </c>
      <c r="K7" s="170">
        <f ca="1"/>
        <v>62</v>
      </c>
      <c r="L7" s="170">
        <f ca="1"/>
        <v>4</v>
      </c>
      <c r="M7" s="170">
        <f ca="1"/>
        <v>282</v>
      </c>
      <c r="N7" s="170">
        <f ca="1"/>
        <v>12</v>
      </c>
      <c r="O7" s="171">
        <f ca="1"/>
        <v>23.5</v>
      </c>
      <c r="P7" s="172">
        <f ca="1"/>
        <v>31</v>
      </c>
      <c r="Q7" s="172">
        <f ca="1"/>
        <v>4.5483870967741939</v>
      </c>
      <c r="R7" s="172" t="str">
        <f ca="1"/>
        <v>2-22</v>
      </c>
      <c r="T7" s="166">
        <f ca="1"/>
        <v>2</v>
      </c>
      <c r="U7" s="166">
        <f ca="1"/>
        <v>88</v>
      </c>
      <c r="V7" s="168">
        <f ca="1"/>
        <v>0</v>
      </c>
      <c r="W7" s="166" t="str">
        <f ca="1"/>
        <v>Crone W</v>
      </c>
      <c r="X7" s="166">
        <f ca="1"/>
        <v>56</v>
      </c>
      <c r="Y7" s="168">
        <f ca="1"/>
        <v>0</v>
      </c>
      <c r="Z7" s="166" t="str">
        <f ca="1"/>
        <v>Niran S</v>
      </c>
      <c r="AA7" s="166">
        <f ca="1"/>
        <v>49</v>
      </c>
      <c r="AB7" s="168">
        <f ca="1"/>
        <v>0</v>
      </c>
      <c r="AC7" s="166" t="str">
        <f ca="1"/>
        <v>Mitcham</v>
      </c>
      <c r="AD7" s="179">
        <f ca="1"/>
        <v>45165</v>
      </c>
      <c r="AE7" s="166">
        <v>3</v>
      </c>
      <c r="AF7" s="166" t="s">
        <v>280</v>
      </c>
      <c r="AG7" s="166" t="s">
        <v>196</v>
      </c>
      <c r="AI7" s="166">
        <v>1</v>
      </c>
      <c r="AJ7" s="166" t="s">
        <v>373</v>
      </c>
      <c r="AL7" s="166">
        <v>28</v>
      </c>
      <c r="AM7" s="166" t="s">
        <v>383</v>
      </c>
      <c r="AO7" s="166">
        <v>3</v>
      </c>
      <c r="AP7" s="166" t="s">
        <v>235</v>
      </c>
      <c r="AR7" s="166">
        <v>2</v>
      </c>
      <c r="AS7" s="166" t="s">
        <v>251</v>
      </c>
      <c r="AU7" s="170">
        <v>14</v>
      </c>
      <c r="AV7" s="166" t="s">
        <v>373</v>
      </c>
      <c r="AW7" s="170">
        <v>7</v>
      </c>
      <c r="AX7" s="166" t="s">
        <v>259</v>
      </c>
      <c r="AY7" s="170">
        <v>2</v>
      </c>
      <c r="AZ7" s="166" t="s">
        <v>189</v>
      </c>
      <c r="BA7" s="170">
        <v>1</v>
      </c>
      <c r="BB7" s="166" t="s">
        <v>564</v>
      </c>
      <c r="BD7" s="180" t="s">
        <v>362</v>
      </c>
      <c r="BE7" s="170">
        <f>Matches!P39</f>
        <v>40</v>
      </c>
      <c r="BF7" s="170">
        <f>Matches!O39</f>
        <v>27.4</v>
      </c>
      <c r="BG7" s="170">
        <v>86</v>
      </c>
      <c r="BH7" s="166" t="s">
        <v>136</v>
      </c>
      <c r="BI7" s="166" t="s">
        <v>499</v>
      </c>
      <c r="BJ7" s="179">
        <v>45096</v>
      </c>
    </row>
    <row r="8" spans="1:62" x14ac:dyDescent="0.2">
      <c r="A8" s="170">
        <v>6</v>
      </c>
      <c r="B8" s="170" t="str">
        <f ca="1"/>
        <v>Seymour C</v>
      </c>
      <c r="C8" s="170">
        <f ca="1"/>
        <v>20</v>
      </c>
      <c r="D8" s="170">
        <f ca="1"/>
        <v>1</v>
      </c>
      <c r="E8" s="170">
        <f ca="1"/>
        <v>70</v>
      </c>
      <c r="F8" s="170">
        <f ca="1"/>
        <v>397</v>
      </c>
      <c r="G8" s="171">
        <f ca="1"/>
        <v>20.894736842105264</v>
      </c>
      <c r="I8" s="166">
        <v>6</v>
      </c>
      <c r="J8" s="169" t="e">
        <f ca="1"/>
        <v>#N/A</v>
      </c>
      <c r="K8" s="170" t="e">
        <f ca="1"/>
        <v>#N/A</v>
      </c>
      <c r="L8" s="170" t="e">
        <f ca="1"/>
        <v>#N/A</v>
      </c>
      <c r="M8" s="170" t="e">
        <f ca="1"/>
        <v>#N/A</v>
      </c>
      <c r="N8" s="170" t="e">
        <f ca="1"/>
        <v>#N/A</v>
      </c>
      <c r="O8" s="171" t="e">
        <f ca="1"/>
        <v>#N/A</v>
      </c>
      <c r="P8" s="172" t="e">
        <f ca="1"/>
        <v>#N/A</v>
      </c>
      <c r="Q8" s="172" t="e">
        <f ca="1"/>
        <v>#N/A</v>
      </c>
      <c r="R8" s="172" t="e">
        <f ca="1"/>
        <v>#N/A</v>
      </c>
      <c r="T8" s="166">
        <f ca="1"/>
        <v>3</v>
      </c>
      <c r="U8" s="166">
        <f ca="1"/>
        <v>138</v>
      </c>
      <c r="V8" s="168">
        <f ca="1"/>
        <v>0</v>
      </c>
      <c r="W8" s="166" t="str">
        <f ca="1"/>
        <v>Patel J</v>
      </c>
      <c r="X8" s="166">
        <f ca="1"/>
        <v>66</v>
      </c>
      <c r="Y8" s="168">
        <f ca="1"/>
        <v>0</v>
      </c>
      <c r="Z8" s="166" t="str">
        <f ca="1"/>
        <v>Ahmed R</v>
      </c>
      <c r="AA8" s="166">
        <f ca="1"/>
        <v>90</v>
      </c>
      <c r="AB8" s="168">
        <f ca="1"/>
        <v>0</v>
      </c>
      <c r="AC8" s="166" t="str">
        <f ca="1"/>
        <v>Woodgreen</v>
      </c>
      <c r="AD8" s="179">
        <f ca="1"/>
        <v>45074</v>
      </c>
      <c r="AE8" s="166">
        <v>3</v>
      </c>
      <c r="AF8" s="166" t="s">
        <v>280</v>
      </c>
      <c r="AG8" s="166" t="s">
        <v>222</v>
      </c>
      <c r="AI8" s="166">
        <v>1</v>
      </c>
      <c r="AJ8" s="166" t="s">
        <v>259</v>
      </c>
      <c r="AL8" s="166">
        <v>25</v>
      </c>
      <c r="AM8" s="166" t="s">
        <v>259</v>
      </c>
      <c r="AO8" s="166">
        <v>3</v>
      </c>
      <c r="AP8" s="166" t="s">
        <v>245</v>
      </c>
      <c r="AR8" s="166">
        <v>2</v>
      </c>
      <c r="AS8" s="166" t="s">
        <v>206</v>
      </c>
      <c r="AU8" s="170">
        <v>12</v>
      </c>
      <c r="AV8" s="166" t="s">
        <v>324</v>
      </c>
      <c r="AW8" s="170">
        <v>4</v>
      </c>
      <c r="AX8" s="166" t="s">
        <v>201</v>
      </c>
      <c r="AY8" s="170">
        <v>1</v>
      </c>
      <c r="AZ8" s="166" t="s">
        <v>555</v>
      </c>
      <c r="BA8" s="170">
        <v>1</v>
      </c>
      <c r="BB8" s="166" t="s">
        <v>529</v>
      </c>
      <c r="BD8" s="180" t="s">
        <v>355</v>
      </c>
      <c r="BE8" s="170">
        <f>Matches!Y36</f>
        <v>26</v>
      </c>
      <c r="BF8" s="170">
        <f>Matches!Z36</f>
        <v>11</v>
      </c>
      <c r="BG8" s="170">
        <v>84</v>
      </c>
      <c r="BH8" s="166" t="s">
        <v>324</v>
      </c>
      <c r="BI8" s="166" t="s">
        <v>522</v>
      </c>
      <c r="BJ8" s="179">
        <v>45152</v>
      </c>
    </row>
    <row r="9" spans="1:62" x14ac:dyDescent="0.2">
      <c r="A9" s="170">
        <v>7</v>
      </c>
      <c r="B9" s="170" t="str">
        <f ca="1"/>
        <v>Springer T</v>
      </c>
      <c r="C9" s="170">
        <f ca="1"/>
        <v>17</v>
      </c>
      <c r="D9" s="170">
        <f ca="1"/>
        <v>2</v>
      </c>
      <c r="E9" s="170">
        <f ca="1"/>
        <v>64</v>
      </c>
      <c r="F9" s="170">
        <f ca="1"/>
        <v>304</v>
      </c>
      <c r="G9" s="171">
        <f ca="1"/>
        <v>20.266666666666666</v>
      </c>
      <c r="I9" s="166">
        <v>7</v>
      </c>
      <c r="J9" s="169" t="e">
        <f ca="1"/>
        <v>#N/A</v>
      </c>
      <c r="K9" s="170" t="e">
        <f ca="1"/>
        <v>#N/A</v>
      </c>
      <c r="L9" s="170" t="e">
        <f ca="1"/>
        <v>#N/A</v>
      </c>
      <c r="M9" s="170" t="e">
        <f ca="1"/>
        <v>#N/A</v>
      </c>
      <c r="N9" s="170" t="e">
        <f ca="1"/>
        <v>#N/A</v>
      </c>
      <c r="O9" s="171" t="e">
        <f ca="1"/>
        <v>#N/A</v>
      </c>
      <c r="P9" s="172" t="e">
        <f ca="1"/>
        <v>#N/A</v>
      </c>
      <c r="Q9" s="172" t="e">
        <f ca="1"/>
        <v>#N/A</v>
      </c>
      <c r="R9" s="172" t="e">
        <f ca="1"/>
        <v>#N/A</v>
      </c>
      <c r="T9" s="166">
        <f ca="1"/>
        <v>3</v>
      </c>
      <c r="U9" s="166">
        <f ca="1"/>
        <v>110</v>
      </c>
      <c r="V9" s="168">
        <f ca="1"/>
        <v>0</v>
      </c>
      <c r="W9" s="166" t="str">
        <f ca="1"/>
        <v>De S</v>
      </c>
      <c r="X9" s="166">
        <f ca="1"/>
        <v>84</v>
      </c>
      <c r="Y9" s="168">
        <f ca="1"/>
        <v>0</v>
      </c>
      <c r="Z9" s="166" t="str">
        <f ca="1"/>
        <v>Bhatt P</v>
      </c>
      <c r="AA9" s="166">
        <f ca="1"/>
        <v>32</v>
      </c>
      <c r="AB9" s="168">
        <f ca="1"/>
        <v>0</v>
      </c>
      <c r="AC9" s="166" t="str">
        <f ca="1"/>
        <v>Verdayne green</v>
      </c>
      <c r="AD9" s="179">
        <f ca="1"/>
        <v>45186</v>
      </c>
      <c r="AE9" s="166">
        <v>2</v>
      </c>
      <c r="AF9" s="170" t="s">
        <v>281</v>
      </c>
      <c r="AG9" s="166" t="s">
        <v>224</v>
      </c>
      <c r="AI9" s="166">
        <v>1</v>
      </c>
      <c r="AJ9" s="166" t="s">
        <v>307</v>
      </c>
      <c r="AL9" s="166">
        <v>22</v>
      </c>
      <c r="AM9" s="166" t="s">
        <v>302</v>
      </c>
      <c r="AO9" s="166">
        <v>3</v>
      </c>
      <c r="AP9" s="166" t="s">
        <v>259</v>
      </c>
      <c r="AR9" s="166">
        <v>2</v>
      </c>
      <c r="AS9" s="166" t="s">
        <v>196</v>
      </c>
      <c r="AU9" s="170">
        <v>12</v>
      </c>
      <c r="AV9" s="166" t="s">
        <v>218</v>
      </c>
      <c r="AW9" s="170">
        <v>4</v>
      </c>
      <c r="AX9" s="166" t="s">
        <v>245</v>
      </c>
      <c r="AY9" s="170">
        <v>1</v>
      </c>
      <c r="AZ9" s="166" t="s">
        <v>273</v>
      </c>
      <c r="BA9" s="170">
        <v>1</v>
      </c>
      <c r="BB9" s="166" t="s">
        <v>307</v>
      </c>
      <c r="BD9" s="180" t="s">
        <v>359</v>
      </c>
      <c r="BE9" s="170">
        <f t="array" ref="BE9:BE12">TRANSPOSE(Matches!Q36:T36)</f>
        <v>14</v>
      </c>
      <c r="BF9" s="170">
        <f t="array" ref="BF9:BF12">TRANSPOSE(Matches!U36:X36)</f>
        <v>1</v>
      </c>
      <c r="BG9" s="170">
        <v>70</v>
      </c>
      <c r="BH9" s="166" t="s">
        <v>196</v>
      </c>
      <c r="BI9" s="166" t="s">
        <v>382</v>
      </c>
      <c r="BJ9" s="179">
        <v>45061</v>
      </c>
    </row>
    <row r="10" spans="1:62" x14ac:dyDescent="0.2">
      <c r="A10" s="170">
        <v>8</v>
      </c>
      <c r="B10" s="170" t="str">
        <f ca="1"/>
        <v>Bhatt P</v>
      </c>
      <c r="C10" s="170">
        <f ca="1"/>
        <v>12</v>
      </c>
      <c r="D10" s="170">
        <f ca="1"/>
        <v>2</v>
      </c>
      <c r="E10" s="170" t="str">
        <f ca="1"/>
        <v>43*</v>
      </c>
      <c r="F10" s="170">
        <f ca="1"/>
        <v>189</v>
      </c>
      <c r="G10" s="171">
        <f ca="1"/>
        <v>18.899999999999999</v>
      </c>
      <c r="I10" s="166">
        <v>8</v>
      </c>
      <c r="J10" s="169" t="e">
        <f ca="1"/>
        <v>#N/A</v>
      </c>
      <c r="K10" s="170" t="e">
        <f ca="1"/>
        <v>#N/A</v>
      </c>
      <c r="L10" s="170" t="e">
        <f ca="1"/>
        <v>#N/A</v>
      </c>
      <c r="M10" s="170" t="e">
        <f ca="1"/>
        <v>#N/A</v>
      </c>
      <c r="N10" s="170" t="e">
        <f ca="1"/>
        <v>#N/A</v>
      </c>
      <c r="O10" s="171" t="e">
        <f ca="1"/>
        <v>#N/A</v>
      </c>
      <c r="P10" s="172" t="e">
        <f ca="1"/>
        <v>#N/A</v>
      </c>
      <c r="Q10" s="172" t="e">
        <f ca="1"/>
        <v>#N/A</v>
      </c>
      <c r="R10" s="172" t="e">
        <f ca="1"/>
        <v>#N/A</v>
      </c>
      <c r="T10" s="166">
        <f ca="1"/>
        <v>3</v>
      </c>
      <c r="U10" s="166">
        <f ca="1"/>
        <v>54</v>
      </c>
      <c r="V10" s="168">
        <f ca="1"/>
        <v>0</v>
      </c>
      <c r="W10" s="166" t="str">
        <f ca="1"/>
        <v>Seymour D</v>
      </c>
      <c r="X10" s="166">
        <f ca="1"/>
        <v>29</v>
      </c>
      <c r="Y10" s="168">
        <f ca="1"/>
        <v>0</v>
      </c>
      <c r="Z10" s="166" t="str">
        <f ca="1"/>
        <v>Seymour C</v>
      </c>
      <c r="AA10" s="166">
        <f ca="1"/>
        <v>70</v>
      </c>
      <c r="AB10" s="168">
        <f ca="1"/>
        <v>0</v>
      </c>
      <c r="AC10" s="166" t="str">
        <f ca="1"/>
        <v>Fonthill Park</v>
      </c>
      <c r="AD10" s="179">
        <f ca="1"/>
        <v>45073</v>
      </c>
      <c r="AE10" s="166">
        <v>2</v>
      </c>
      <c r="AF10" s="170" t="s">
        <v>281</v>
      </c>
      <c r="AG10" s="166" t="s">
        <v>368</v>
      </c>
      <c r="AI10" s="166">
        <v>0</v>
      </c>
      <c r="AJ10" s="166" t="s">
        <v>194</v>
      </c>
      <c r="AL10" s="166">
        <v>20</v>
      </c>
      <c r="AM10" s="166" t="s">
        <v>235</v>
      </c>
      <c r="AO10" s="166">
        <v>2</v>
      </c>
      <c r="AP10" s="166" t="s">
        <v>425</v>
      </c>
      <c r="AU10" s="170">
        <v>11</v>
      </c>
      <c r="AV10" s="166" t="s">
        <v>206</v>
      </c>
      <c r="AW10" s="170">
        <v>3</v>
      </c>
      <c r="AX10" s="166" t="s">
        <v>224</v>
      </c>
      <c r="AY10" s="170">
        <v>1</v>
      </c>
      <c r="AZ10" s="166" t="s">
        <v>187</v>
      </c>
      <c r="BA10" s="170">
        <v>1</v>
      </c>
      <c r="BB10" s="166" t="s">
        <v>509</v>
      </c>
      <c r="BD10" s="180" t="s">
        <v>358</v>
      </c>
      <c r="BE10" s="170">
        <v>1</v>
      </c>
      <c r="BF10" s="170">
        <v>0</v>
      </c>
      <c r="BG10" s="170" t="s">
        <v>709</v>
      </c>
      <c r="BH10" s="166" t="s">
        <v>136</v>
      </c>
      <c r="BI10" s="166" t="s">
        <v>538</v>
      </c>
      <c r="BJ10" s="179">
        <v>45110</v>
      </c>
    </row>
    <row r="11" spans="1:62" x14ac:dyDescent="0.2">
      <c r="A11" s="170">
        <v>9</v>
      </c>
      <c r="B11" s="170" t="str">
        <f ca="1"/>
        <v>Kogulathasan D</v>
      </c>
      <c r="C11" s="170">
        <f ca="1"/>
        <v>13</v>
      </c>
      <c r="D11" s="170">
        <f ca="1"/>
        <v>4</v>
      </c>
      <c r="E11" s="170" t="str">
        <f ca="1"/>
        <v>29*</v>
      </c>
      <c r="F11" s="170">
        <f ca="1"/>
        <v>138</v>
      </c>
      <c r="G11" s="171">
        <f ca="1"/>
        <v>15.333333333333334</v>
      </c>
      <c r="I11" s="166">
        <v>9</v>
      </c>
      <c r="J11" s="169" t="e">
        <f ca="1"/>
        <v>#N/A</v>
      </c>
      <c r="K11" s="170" t="e">
        <f ca="1"/>
        <v>#N/A</v>
      </c>
      <c r="L11" s="170" t="e">
        <f ca="1"/>
        <v>#N/A</v>
      </c>
      <c r="M11" s="170" t="e">
        <f ca="1"/>
        <v>#N/A</v>
      </c>
      <c r="N11" s="170" t="e">
        <f ca="1"/>
        <v>#N/A</v>
      </c>
      <c r="O11" s="171" t="e">
        <f ca="1"/>
        <v>#N/A</v>
      </c>
      <c r="P11" s="172" t="e">
        <f ca="1"/>
        <v>#N/A</v>
      </c>
      <c r="Q11" s="172" t="e">
        <f ca="1"/>
        <v>#N/A</v>
      </c>
      <c r="R11" s="172" t="e">
        <f ca="1"/>
        <v>#N/A</v>
      </c>
      <c r="T11" s="166">
        <f ca="1"/>
        <v>4</v>
      </c>
      <c r="U11" s="166">
        <f ca="1"/>
        <v>85</v>
      </c>
      <c r="V11" s="168">
        <f ca="1"/>
        <v>0</v>
      </c>
      <c r="W11" s="166" t="str">
        <f ca="1"/>
        <v>Seymour C</v>
      </c>
      <c r="X11" s="166">
        <f ca="1"/>
        <v>70</v>
      </c>
      <c r="Y11" s="168">
        <f ca="1"/>
        <v>0</v>
      </c>
      <c r="Z11" s="166" t="str">
        <f ca="1"/>
        <v>Bhatt P</v>
      </c>
      <c r="AA11" s="166">
        <f ca="1"/>
        <v>43</v>
      </c>
      <c r="AB11" s="168" t="str">
        <f ca="1"/>
        <v>*</v>
      </c>
      <c r="AC11" s="166" t="str">
        <f ca="1"/>
        <v>Fonthill Park</v>
      </c>
      <c r="AD11" s="179">
        <f ca="1"/>
        <v>45073</v>
      </c>
      <c r="AE11" s="166">
        <v>2</v>
      </c>
      <c r="AF11" s="170" t="s">
        <v>281</v>
      </c>
      <c r="AG11" s="166" t="s">
        <v>251</v>
      </c>
      <c r="AI11" s="166">
        <v>0</v>
      </c>
      <c r="AJ11" s="166" t="s">
        <v>194</v>
      </c>
      <c r="AL11" s="166">
        <v>19</v>
      </c>
      <c r="AM11" s="166" t="s">
        <v>245</v>
      </c>
      <c r="AO11" s="166">
        <v>2</v>
      </c>
      <c r="AP11" s="166" t="s">
        <v>302</v>
      </c>
      <c r="AU11" s="170">
        <v>10</v>
      </c>
      <c r="AV11" s="166" t="s">
        <v>297</v>
      </c>
      <c r="AW11" s="170">
        <v>3</v>
      </c>
      <c r="AX11" s="166" t="s">
        <v>236</v>
      </c>
      <c r="AY11" s="170">
        <v>1</v>
      </c>
      <c r="AZ11" s="166" t="s">
        <v>161</v>
      </c>
      <c r="BA11" s="170">
        <v>1</v>
      </c>
      <c r="BB11" s="166" t="s">
        <v>408</v>
      </c>
      <c r="BD11" s="180" t="s">
        <v>356</v>
      </c>
      <c r="BE11" s="170">
        <v>6</v>
      </c>
      <c r="BF11" s="170">
        <v>9</v>
      </c>
      <c r="BG11" s="170">
        <v>67</v>
      </c>
      <c r="BH11" s="166" t="s">
        <v>307</v>
      </c>
      <c r="BI11" s="166" t="s">
        <v>290</v>
      </c>
      <c r="BJ11" s="179">
        <v>45089</v>
      </c>
    </row>
    <row r="12" spans="1:62" x14ac:dyDescent="0.2">
      <c r="A12" s="170">
        <v>10</v>
      </c>
      <c r="B12" s="170" t="str">
        <f ca="1"/>
        <v>Jenkins D</v>
      </c>
      <c r="C12" s="170">
        <f ca="1"/>
        <v>13</v>
      </c>
      <c r="D12" s="170">
        <f ca="1"/>
        <v>2</v>
      </c>
      <c r="E12" s="170">
        <f ca="1"/>
        <v>37</v>
      </c>
      <c r="F12" s="170">
        <f ca="1"/>
        <v>131</v>
      </c>
      <c r="G12" s="171">
        <f ca="1"/>
        <v>11.909090909090908</v>
      </c>
      <c r="I12" s="166">
        <v>10</v>
      </c>
      <c r="J12" s="169" t="e">
        <f ca="1"/>
        <v>#N/A</v>
      </c>
      <c r="K12" s="170" t="e">
        <f ca="1"/>
        <v>#N/A</v>
      </c>
      <c r="L12" s="170" t="e">
        <f ca="1"/>
        <v>#N/A</v>
      </c>
      <c r="M12" s="170" t="e">
        <f ca="1"/>
        <v>#N/A</v>
      </c>
      <c r="N12" s="170" t="e">
        <f ca="1"/>
        <v>#N/A</v>
      </c>
      <c r="O12" s="171" t="e">
        <f ca="1"/>
        <v>#N/A</v>
      </c>
      <c r="P12" s="172" t="e">
        <f ca="1"/>
        <v>#N/A</v>
      </c>
      <c r="Q12" s="172" t="e">
        <f ca="1"/>
        <v>#N/A</v>
      </c>
      <c r="R12" s="172" t="e">
        <f ca="1"/>
        <v>#N/A</v>
      </c>
      <c r="T12" s="166">
        <f ca="1"/>
        <v>5</v>
      </c>
      <c r="U12" s="166">
        <f ca="1"/>
        <v>48</v>
      </c>
      <c r="V12" s="168">
        <f ca="1"/>
        <v>0</v>
      </c>
      <c r="W12" s="166" t="str">
        <f ca="1"/>
        <v>Springer T</v>
      </c>
      <c r="X12" s="166">
        <f ca="1"/>
        <v>29</v>
      </c>
      <c r="Y12" s="168">
        <f ca="1"/>
        <v>0</v>
      </c>
      <c r="Z12" s="166" t="str">
        <f ca="1"/>
        <v>Seymour C</v>
      </c>
      <c r="AA12" s="166">
        <f ca="1"/>
        <v>36</v>
      </c>
      <c r="AB12" s="168" t="str">
        <f ca="1"/>
        <v>*</v>
      </c>
      <c r="AC12" s="166" t="str">
        <f ca="1"/>
        <v>Croydon CC</v>
      </c>
      <c r="AD12" s="179">
        <f ca="1"/>
        <v>45179</v>
      </c>
      <c r="AE12" s="166">
        <v>2</v>
      </c>
      <c r="AF12" s="166" t="s">
        <v>281</v>
      </c>
      <c r="AG12" s="166" t="s">
        <v>373</v>
      </c>
      <c r="AI12" s="166">
        <v>0</v>
      </c>
      <c r="AJ12" s="166" t="s">
        <v>194</v>
      </c>
      <c r="AL12" s="166">
        <v>14</v>
      </c>
      <c r="AM12" s="166" t="s">
        <v>251</v>
      </c>
      <c r="AO12" s="166">
        <v>1</v>
      </c>
      <c r="AP12" s="166" t="s">
        <v>572</v>
      </c>
      <c r="BD12" s="180" t="s">
        <v>357</v>
      </c>
      <c r="BE12" s="170">
        <v>5</v>
      </c>
      <c r="BF12" s="170">
        <v>1</v>
      </c>
      <c r="BG12" s="170">
        <v>66</v>
      </c>
      <c r="BH12" s="166" t="s">
        <v>383</v>
      </c>
      <c r="BI12" s="166" t="s">
        <v>389</v>
      </c>
      <c r="BJ12" s="179">
        <v>45068</v>
      </c>
    </row>
    <row r="13" spans="1:62" x14ac:dyDescent="0.2">
      <c r="A13" s="170">
        <v>11</v>
      </c>
      <c r="B13" s="170" t="str">
        <f ca="1"/>
        <v>Ahmed M</v>
      </c>
      <c r="C13" s="170">
        <f ca="1"/>
        <v>7</v>
      </c>
      <c r="D13" s="170">
        <f ca="1"/>
        <v>2</v>
      </c>
      <c r="E13" s="170" t="str">
        <f ca="1"/>
        <v>22*</v>
      </c>
      <c r="F13" s="170">
        <f ca="1"/>
        <v>50</v>
      </c>
      <c r="G13" s="171">
        <f ca="1"/>
        <v>10</v>
      </c>
      <c r="I13" s="166">
        <v>11</v>
      </c>
      <c r="J13" s="169" t="e">
        <f ca="1"/>
        <v>#N/A</v>
      </c>
      <c r="K13" s="170" t="e">
        <f ca="1"/>
        <v>#N/A</v>
      </c>
      <c r="L13" s="170" t="e">
        <f ca="1"/>
        <v>#N/A</v>
      </c>
      <c r="M13" s="170" t="e">
        <f ca="1"/>
        <v>#N/A</v>
      </c>
      <c r="N13" s="170" t="e">
        <f ca="1"/>
        <v>#N/A</v>
      </c>
      <c r="O13" s="171" t="e">
        <f ca="1"/>
        <v>#N/A</v>
      </c>
      <c r="P13" s="172" t="e">
        <f ca="1"/>
        <v>#N/A</v>
      </c>
      <c r="Q13" s="172" t="e">
        <f ca="1"/>
        <v>#N/A</v>
      </c>
      <c r="R13" s="172" t="e">
        <f ca="1"/>
        <v>#N/A</v>
      </c>
      <c r="T13" s="166">
        <f ca="1"/>
        <v>6</v>
      </c>
      <c r="U13" s="166">
        <f ca="1"/>
        <v>102</v>
      </c>
      <c r="V13" s="168">
        <f ca="1"/>
        <v>0</v>
      </c>
      <c r="W13" s="166" t="str">
        <f ca="1"/>
        <v>De S</v>
      </c>
      <c r="X13" s="166">
        <f ca="1"/>
        <v>37</v>
      </c>
      <c r="Y13" s="168">
        <f ca="1"/>
        <v>0</v>
      </c>
      <c r="Z13" s="166" t="str">
        <f ca="1"/>
        <v>Mahmood S</v>
      </c>
      <c r="AA13" s="166">
        <f ca="1"/>
        <v>47</v>
      </c>
      <c r="AB13" s="168">
        <f ca="1"/>
        <v>0</v>
      </c>
      <c r="AC13" s="166" t="str">
        <f ca="1"/>
        <v>Catford Cyphers</v>
      </c>
      <c r="AD13" s="179">
        <f ca="1"/>
        <v>45158</v>
      </c>
      <c r="AE13" s="166">
        <v>2</v>
      </c>
      <c r="AF13" s="166" t="s">
        <v>281</v>
      </c>
      <c r="AG13" s="166" t="s">
        <v>314</v>
      </c>
      <c r="AI13" s="166">
        <v>0</v>
      </c>
      <c r="AJ13" s="166" t="s">
        <v>194</v>
      </c>
      <c r="AL13" s="166">
        <v>11</v>
      </c>
      <c r="AM13" s="166" t="s">
        <v>236</v>
      </c>
      <c r="AO13" s="166">
        <v>1</v>
      </c>
      <c r="AP13" s="166" t="s">
        <v>299</v>
      </c>
      <c r="BD13" s="180" t="s">
        <v>360</v>
      </c>
      <c r="BG13" s="170">
        <v>64</v>
      </c>
      <c r="BH13" s="166" t="s">
        <v>222</v>
      </c>
      <c r="BI13" s="166" t="s">
        <v>388</v>
      </c>
      <c r="BJ13" s="179">
        <v>45054</v>
      </c>
    </row>
    <row r="14" spans="1:62" x14ac:dyDescent="0.2">
      <c r="A14" s="170">
        <v>12</v>
      </c>
      <c r="B14" s="170" t="str">
        <f ca="1"/>
        <v>Patel M</v>
      </c>
      <c r="C14" s="170">
        <f ca="1"/>
        <v>12</v>
      </c>
      <c r="D14" s="170">
        <f ca="1"/>
        <v>0</v>
      </c>
      <c r="E14" s="170">
        <f ca="1"/>
        <v>19</v>
      </c>
      <c r="F14" s="170">
        <f ca="1"/>
        <v>82</v>
      </c>
      <c r="G14" s="171">
        <f ca="1"/>
        <v>6.833333333333333</v>
      </c>
      <c r="I14" s="166">
        <v>12</v>
      </c>
      <c r="J14" s="169" t="e">
        <f ca="1"/>
        <v>#N/A</v>
      </c>
      <c r="K14" s="170" t="e">
        <f ca="1"/>
        <v>#N/A</v>
      </c>
      <c r="L14" s="170" t="e">
        <f ca="1"/>
        <v>#N/A</v>
      </c>
      <c r="M14" s="170" t="e">
        <f ca="1"/>
        <v>#N/A</v>
      </c>
      <c r="N14" s="170" t="e">
        <f ca="1"/>
        <v>#N/A</v>
      </c>
      <c r="O14" s="171" t="e">
        <f ca="1"/>
        <v>#N/A</v>
      </c>
      <c r="P14" s="172" t="e">
        <f ca="1"/>
        <v>#N/A</v>
      </c>
      <c r="Q14" s="172" t="e">
        <f ca="1"/>
        <v>#N/A</v>
      </c>
      <c r="R14" s="172" t="e">
        <f ca="1"/>
        <v>#N/A</v>
      </c>
      <c r="T14" s="166">
        <f ca="1"/>
        <v>6</v>
      </c>
      <c r="U14" s="166">
        <f ca="1"/>
        <v>50</v>
      </c>
      <c r="V14" s="168">
        <f ca="1"/>
        <v>0</v>
      </c>
      <c r="W14" s="166" t="str">
        <f ca="1"/>
        <v>Seymour D</v>
      </c>
      <c r="X14" s="166">
        <f ca="1"/>
        <v>114</v>
      </c>
      <c r="Y14" s="168" t="str">
        <f ca="1"/>
        <v>*</v>
      </c>
      <c r="Z14" s="166" t="str">
        <f ca="1"/>
        <v>Sharpe D</v>
      </c>
      <c r="AA14" s="166">
        <f ca="1"/>
        <v>26</v>
      </c>
      <c r="AB14" s="168">
        <f ca="1"/>
        <v>0</v>
      </c>
      <c r="AC14" s="166" t="str">
        <f ca="1"/>
        <v>Beddington</v>
      </c>
      <c r="AD14" s="179">
        <f ca="1"/>
        <v>45060</v>
      </c>
      <c r="AE14" s="166">
        <v>1</v>
      </c>
      <c r="AF14" s="170" t="s">
        <v>279</v>
      </c>
      <c r="AG14" s="166" t="s">
        <v>235</v>
      </c>
      <c r="AI14" s="166">
        <v>0</v>
      </c>
      <c r="AJ14" s="166" t="s">
        <v>194</v>
      </c>
      <c r="AL14" s="166">
        <v>10</v>
      </c>
      <c r="AM14" s="166" t="s">
        <v>201</v>
      </c>
      <c r="AO14" s="166">
        <v>1</v>
      </c>
      <c r="AP14" s="166" t="s">
        <v>251</v>
      </c>
      <c r="BD14" s="180" t="s">
        <v>361</v>
      </c>
      <c r="BG14" s="170">
        <v>52</v>
      </c>
      <c r="BH14" s="166" t="s">
        <v>383</v>
      </c>
      <c r="BI14" s="166" t="s">
        <v>568</v>
      </c>
      <c r="BJ14" s="179">
        <v>45194</v>
      </c>
    </row>
    <row r="15" spans="1:62" x14ac:dyDescent="0.2">
      <c r="A15" s="170">
        <v>13</v>
      </c>
      <c r="B15" s="170" t="str">
        <f ca="1"/>
        <v>Nair S</v>
      </c>
      <c r="C15" s="170">
        <f ca="1"/>
        <v>7</v>
      </c>
      <c r="D15" s="170">
        <f ca="1"/>
        <v>2</v>
      </c>
      <c r="E15" s="170" t="str">
        <f ca="1"/>
        <v>20*</v>
      </c>
      <c r="F15" s="170">
        <f ca="1"/>
        <v>31</v>
      </c>
      <c r="G15" s="171">
        <f ca="1"/>
        <v>6.2</v>
      </c>
      <c r="I15" s="166">
        <v>13</v>
      </c>
      <c r="J15" s="169" t="e">
        <f ca="1"/>
        <v>#N/A</v>
      </c>
      <c r="K15" s="170" t="e">
        <f ca="1"/>
        <v>#N/A</v>
      </c>
      <c r="L15" s="170" t="e">
        <f ca="1"/>
        <v>#N/A</v>
      </c>
      <c r="M15" s="170" t="e">
        <f ca="1"/>
        <v>#N/A</v>
      </c>
      <c r="N15" s="170" t="e">
        <f ca="1"/>
        <v>#N/A</v>
      </c>
      <c r="O15" s="171" t="e">
        <f ca="1"/>
        <v>#N/A</v>
      </c>
      <c r="P15" s="172" t="e">
        <f ca="1"/>
        <v>#N/A</v>
      </c>
      <c r="Q15" s="172" t="e">
        <f ca="1"/>
        <v>#N/A</v>
      </c>
      <c r="R15" s="172" t="e">
        <f ca="1"/>
        <v>#N/A</v>
      </c>
      <c r="T15" s="166">
        <f ca="1"/>
        <v>9</v>
      </c>
      <c r="U15" s="166">
        <f ca="1"/>
        <v>75</v>
      </c>
      <c r="V15" s="168" t="str">
        <f ca="1"/>
        <v>*</v>
      </c>
      <c r="W15" s="166" t="str">
        <f ca="1"/>
        <v>Bhatt P</v>
      </c>
      <c r="X15" s="166">
        <f ca="1"/>
        <v>35</v>
      </c>
      <c r="Y15" s="168" t="str">
        <f ca="1"/>
        <v>*</v>
      </c>
      <c r="Z15" s="166" t="str">
        <f ca="1"/>
        <v>Middleton J</v>
      </c>
      <c r="AA15" s="166">
        <f ca="1"/>
        <v>36</v>
      </c>
      <c r="AB15" s="168" t="str">
        <f ca="1"/>
        <v>*</v>
      </c>
      <c r="AC15" s="166" t="str">
        <f ca="1"/>
        <v>Catford Cyphers</v>
      </c>
      <c r="AD15" s="179">
        <f ca="1"/>
        <v>45158</v>
      </c>
      <c r="AE15" s="166">
        <v>1</v>
      </c>
      <c r="AF15" s="170" t="s">
        <v>279</v>
      </c>
      <c r="AG15" s="166" t="s">
        <v>324</v>
      </c>
      <c r="AI15" s="166">
        <v>0</v>
      </c>
      <c r="AJ15" s="166" t="s">
        <v>194</v>
      </c>
      <c r="AL15" s="166">
        <v>10</v>
      </c>
      <c r="AM15" s="166" t="s">
        <v>373</v>
      </c>
      <c r="AO15" s="166">
        <v>1</v>
      </c>
      <c r="AP15" s="166" t="s">
        <v>560</v>
      </c>
      <c r="BG15" s="170">
        <v>52</v>
      </c>
      <c r="BH15" s="166" t="s">
        <v>196</v>
      </c>
      <c r="BI15" s="166" t="s">
        <v>290</v>
      </c>
      <c r="BJ15" s="179">
        <v>45089</v>
      </c>
    </row>
    <row r="16" spans="1:62" x14ac:dyDescent="0.2">
      <c r="A16" s="170">
        <v>14</v>
      </c>
      <c r="B16" s="170" t="str">
        <f ca="1"/>
        <v>Sajjid K</v>
      </c>
      <c r="C16" s="170">
        <f ca="1"/>
        <v>9</v>
      </c>
      <c r="D16" s="170">
        <f ca="1"/>
        <v>6</v>
      </c>
      <c r="E16" s="170" t="str">
        <f ca="1"/>
        <v>6*</v>
      </c>
      <c r="F16" s="170">
        <f ca="1"/>
        <v>16</v>
      </c>
      <c r="G16" s="171">
        <f ca="1"/>
        <v>5.333333333333333</v>
      </c>
      <c r="I16" s="166">
        <v>14</v>
      </c>
      <c r="J16" s="169" t="e">
        <f ca="1"/>
        <v>#N/A</v>
      </c>
      <c r="K16" s="170" t="e">
        <f ca="1"/>
        <v>#N/A</v>
      </c>
      <c r="L16" s="170" t="e">
        <f ca="1"/>
        <v>#N/A</v>
      </c>
      <c r="M16" s="170" t="e">
        <f ca="1"/>
        <v>#N/A</v>
      </c>
      <c r="N16" s="170" t="e">
        <f ca="1"/>
        <v>#N/A</v>
      </c>
      <c r="O16" s="171" t="e">
        <f ca="1"/>
        <v>#N/A</v>
      </c>
      <c r="P16" s="172" t="e">
        <f ca="1"/>
        <v>#N/A</v>
      </c>
      <c r="Q16" s="172" t="e">
        <f ca="1"/>
        <v>#N/A</v>
      </c>
      <c r="R16" s="172" t="e">
        <f ca="1"/>
        <v>#N/A</v>
      </c>
      <c r="T16" s="166">
        <f ca="1"/>
        <v>9</v>
      </c>
      <c r="U16" s="166">
        <f ca="1"/>
        <v>64</v>
      </c>
      <c r="V16" s="168">
        <f ca="1"/>
        <v>0</v>
      </c>
      <c r="W16" s="166" t="str">
        <f ca="1"/>
        <v>Sharpe D</v>
      </c>
      <c r="X16" s="166">
        <f ca="1"/>
        <v>86</v>
      </c>
      <c r="Y16" s="168">
        <f ca="1"/>
        <v>0</v>
      </c>
      <c r="Z16" s="166" t="str">
        <f ca="1"/>
        <v>Turner R</v>
      </c>
      <c r="AA16" s="166">
        <f ca="1"/>
        <v>16</v>
      </c>
      <c r="AB16" s="168" t="str">
        <f ca="1"/>
        <v>*</v>
      </c>
      <c r="AC16" s="166" t="str">
        <f ca="1"/>
        <v>Morden</v>
      </c>
      <c r="AD16" s="179">
        <f ca="1"/>
        <v>45116</v>
      </c>
      <c r="AE16" s="166">
        <v>1</v>
      </c>
      <c r="AF16" s="166" t="s">
        <v>279</v>
      </c>
      <c r="AG16" s="166" t="s">
        <v>560</v>
      </c>
      <c r="AI16" s="166">
        <v>0</v>
      </c>
      <c r="AJ16" s="166" t="s">
        <v>194</v>
      </c>
      <c r="AL16" s="166">
        <v>8</v>
      </c>
      <c r="AM16" s="166" t="s">
        <v>307</v>
      </c>
      <c r="AO16" s="166">
        <v>1</v>
      </c>
      <c r="AP16" s="166" t="s">
        <v>201</v>
      </c>
      <c r="BG16" s="170" t="s">
        <v>708</v>
      </c>
      <c r="BH16" s="166" t="s">
        <v>324</v>
      </c>
      <c r="BI16" s="166" t="s">
        <v>269</v>
      </c>
      <c r="BJ16" s="179">
        <v>45040</v>
      </c>
    </row>
    <row r="17" spans="1:42" x14ac:dyDescent="0.2">
      <c r="A17" s="170">
        <v>15</v>
      </c>
      <c r="B17" s="170" t="str">
        <f ca="1"/>
        <v>Jain A</v>
      </c>
      <c r="C17" s="170">
        <f ca="1"/>
        <v>6</v>
      </c>
      <c r="D17" s="170">
        <f ca="1"/>
        <v>1</v>
      </c>
      <c r="E17" s="170" t="str">
        <f ca="1"/>
        <v>9*</v>
      </c>
      <c r="F17" s="170">
        <f ca="1"/>
        <v>22</v>
      </c>
      <c r="G17" s="171">
        <f ca="1"/>
        <v>4.4000000000000004</v>
      </c>
      <c r="I17" s="166">
        <v>15</v>
      </c>
      <c r="J17" s="169" t="e">
        <f ca="1"/>
        <v>#N/A</v>
      </c>
      <c r="K17" s="170" t="e">
        <f ca="1"/>
        <v>#N/A</v>
      </c>
      <c r="L17" s="170" t="e">
        <f ca="1"/>
        <v>#N/A</v>
      </c>
      <c r="M17" s="170" t="e">
        <f ca="1"/>
        <v>#N/A</v>
      </c>
      <c r="N17" s="170" t="e">
        <f ca="1"/>
        <v>#N/A</v>
      </c>
      <c r="O17" s="171" t="e">
        <f ca="1"/>
        <v>#N/A</v>
      </c>
      <c r="P17" s="172" t="e">
        <f ca="1"/>
        <v>#N/A</v>
      </c>
      <c r="Q17" s="172" t="e">
        <f ca="1"/>
        <v>#N/A</v>
      </c>
      <c r="R17" s="172" t="e">
        <f ca="1"/>
        <v>#N/A</v>
      </c>
      <c r="T17" s="166">
        <f ca="1"/>
        <v>9</v>
      </c>
      <c r="U17" s="166">
        <f ca="1"/>
        <v>58</v>
      </c>
      <c r="V17" s="168">
        <f ca="1"/>
        <v>0</v>
      </c>
      <c r="W17" s="166" t="str">
        <f ca="1"/>
        <v>Seymour D</v>
      </c>
      <c r="X17" s="166">
        <f ca="1"/>
        <v>114</v>
      </c>
      <c r="Y17" s="168" t="str">
        <f ca="1"/>
        <v>*</v>
      </c>
      <c r="Z17" s="166" t="str">
        <f ca="1"/>
        <v>Bhatt P</v>
      </c>
      <c r="AA17" s="166">
        <f ca="1"/>
        <v>11</v>
      </c>
      <c r="AB17" s="168">
        <f ca="1"/>
        <v>0</v>
      </c>
      <c r="AC17" s="166" t="str">
        <f ca="1"/>
        <v>Beddington</v>
      </c>
      <c r="AD17" s="179">
        <f ca="1"/>
        <v>45060</v>
      </c>
      <c r="AE17" s="166">
        <v>1</v>
      </c>
      <c r="AF17" s="166" t="s">
        <v>279</v>
      </c>
      <c r="AG17" s="166" t="s">
        <v>218</v>
      </c>
      <c r="AI17" s="166">
        <v>0</v>
      </c>
      <c r="AJ17" s="166" t="s">
        <v>194</v>
      </c>
      <c r="AL17" s="166">
        <v>7</v>
      </c>
      <c r="AM17" s="166" t="s">
        <v>299</v>
      </c>
      <c r="AO17" s="166">
        <v>1</v>
      </c>
      <c r="AP17" s="166" t="s">
        <v>307</v>
      </c>
    </row>
    <row r="18" spans="1:42" x14ac:dyDescent="0.2">
      <c r="A18" s="170">
        <v>16</v>
      </c>
      <c r="B18" s="170" t="e">
        <f ca="1"/>
        <v>#N/A</v>
      </c>
      <c r="C18" s="170" t="e">
        <f ca="1"/>
        <v>#N/A</v>
      </c>
      <c r="D18" s="170" t="e">
        <f ca="1"/>
        <v>#N/A</v>
      </c>
      <c r="E18" s="170" t="e">
        <f ca="1"/>
        <v>#N/A</v>
      </c>
      <c r="F18" s="170" t="e">
        <f ca="1"/>
        <v>#N/A</v>
      </c>
      <c r="G18" s="171" t="e">
        <f ca="1"/>
        <v>#N/A</v>
      </c>
      <c r="I18" s="166">
        <v>16</v>
      </c>
      <c r="J18" s="169" t="e">
        <f ca="1"/>
        <v>#N/A</v>
      </c>
      <c r="K18" s="170" t="e">
        <f ca="1"/>
        <v>#N/A</v>
      </c>
      <c r="L18" s="170" t="e">
        <f ca="1"/>
        <v>#N/A</v>
      </c>
      <c r="M18" s="170" t="e">
        <f ca="1"/>
        <v>#N/A</v>
      </c>
      <c r="N18" s="170" t="e">
        <f ca="1"/>
        <v>#N/A</v>
      </c>
      <c r="O18" s="171" t="e">
        <f ca="1"/>
        <v>#N/A</v>
      </c>
      <c r="P18" s="172" t="e">
        <f ca="1"/>
        <v>#N/A</v>
      </c>
      <c r="Q18" s="172" t="e">
        <f ca="1"/>
        <v>#N/A</v>
      </c>
      <c r="R18" s="172" t="e">
        <f ca="1"/>
        <v>#N/A</v>
      </c>
      <c r="T18" s="166">
        <f ca="1"/>
        <v>9</v>
      </c>
      <c r="U18" s="166">
        <f ca="1"/>
        <v>43</v>
      </c>
      <c r="V18" s="168" t="str">
        <f ca="1"/>
        <v>*</v>
      </c>
      <c r="W18" s="166" t="str">
        <f ca="1"/>
        <v>De S</v>
      </c>
      <c r="X18" s="166">
        <f ca="1"/>
        <v>50</v>
      </c>
      <c r="Y18" s="168" t="str">
        <f ca="1"/>
        <v>*</v>
      </c>
      <c r="Z18" s="166" t="str">
        <f ca="1"/>
        <v>Jain A</v>
      </c>
      <c r="AA18" s="166">
        <f ca="1"/>
        <v>9</v>
      </c>
      <c r="AB18" s="168" t="str">
        <f ca="1"/>
        <v>*</v>
      </c>
      <c r="AC18" s="166" t="str">
        <f ca="1"/>
        <v>Riverside</v>
      </c>
      <c r="AD18" s="179">
        <f ca="1"/>
        <v>45053</v>
      </c>
      <c r="AE18" s="166">
        <v>1</v>
      </c>
      <c r="AF18" s="166" t="s">
        <v>279</v>
      </c>
      <c r="AG18" s="166" t="s">
        <v>616</v>
      </c>
      <c r="AI18" s="166">
        <v>0</v>
      </c>
      <c r="AJ18" s="166" t="s">
        <v>194</v>
      </c>
      <c r="AL18" s="166">
        <v>6</v>
      </c>
      <c r="AM18" s="166" t="s">
        <v>560</v>
      </c>
      <c r="AO18" s="166">
        <v>1</v>
      </c>
      <c r="AP18" s="166" t="s">
        <v>236</v>
      </c>
    </row>
    <row r="19" spans="1:42" x14ac:dyDescent="0.2">
      <c r="A19" s="170">
        <v>17</v>
      </c>
      <c r="B19" s="170" t="e">
        <f ca="1"/>
        <v>#N/A</v>
      </c>
      <c r="C19" s="170" t="e">
        <f ca="1"/>
        <v>#N/A</v>
      </c>
      <c r="D19" s="170" t="e">
        <f ca="1"/>
        <v>#N/A</v>
      </c>
      <c r="E19" s="170" t="e">
        <f ca="1"/>
        <v>#N/A</v>
      </c>
      <c r="F19" s="170" t="e">
        <f ca="1"/>
        <v>#N/A</v>
      </c>
      <c r="G19" s="171" t="e">
        <f ca="1"/>
        <v>#N/A</v>
      </c>
      <c r="I19" s="166">
        <v>17</v>
      </c>
      <c r="J19" s="169" t="e">
        <f ca="1"/>
        <v>#N/A</v>
      </c>
      <c r="K19" s="170" t="e">
        <f ca="1"/>
        <v>#N/A</v>
      </c>
      <c r="L19" s="170" t="e">
        <f ca="1"/>
        <v>#N/A</v>
      </c>
      <c r="M19" s="170" t="e">
        <f ca="1"/>
        <v>#N/A</v>
      </c>
      <c r="N19" s="170" t="e">
        <f ca="1"/>
        <v>#N/A</v>
      </c>
      <c r="O19" s="171" t="e">
        <f ca="1"/>
        <v>#N/A</v>
      </c>
      <c r="P19" s="172" t="e">
        <f ca="1"/>
        <v>#N/A</v>
      </c>
      <c r="Q19" s="172" t="e">
        <f ca="1"/>
        <v>#N/A</v>
      </c>
      <c r="R19" s="172" t="e">
        <f ca="1"/>
        <v>#N/A</v>
      </c>
      <c r="T19" s="166" t="e">
        <f ca="1"/>
        <v>#N/A</v>
      </c>
      <c r="U19" s="166" t="e">
        <f ca="1"/>
        <v>#N/A</v>
      </c>
      <c r="V19" s="168" t="e">
        <f ca="1"/>
        <v>#N/A</v>
      </c>
      <c r="W19" s="166" t="e">
        <f ca="1"/>
        <v>#N/A</v>
      </c>
      <c r="X19" s="166" t="e">
        <f ca="1"/>
        <v>#N/A</v>
      </c>
      <c r="Y19" s="168" t="e">
        <f ca="1"/>
        <v>#N/A</v>
      </c>
      <c r="Z19" s="166" t="e">
        <f ca="1"/>
        <v>#N/A</v>
      </c>
      <c r="AA19" s="166" t="e">
        <f ca="1"/>
        <v>#N/A</v>
      </c>
      <c r="AB19" s="168" t="e">
        <f ca="1"/>
        <v>#N/A</v>
      </c>
      <c r="AC19" s="166" t="e">
        <f ca="1"/>
        <v>#N/A</v>
      </c>
      <c r="AD19" s="179" t="e">
        <f ca="1"/>
        <v>#N/A</v>
      </c>
      <c r="AE19" s="166">
        <v>1</v>
      </c>
      <c r="AF19" s="166" t="s">
        <v>279</v>
      </c>
      <c r="AG19" s="166" t="s">
        <v>201</v>
      </c>
      <c r="AI19" s="166">
        <v>0</v>
      </c>
      <c r="AJ19" s="166" t="s">
        <v>194</v>
      </c>
      <c r="AL19" s="166">
        <v>5</v>
      </c>
      <c r="AM19" s="166" t="s">
        <v>572</v>
      </c>
      <c r="AO19" s="166">
        <v>0</v>
      </c>
      <c r="AP19" s="166" t="s">
        <v>194</v>
      </c>
    </row>
    <row r="20" spans="1:42" x14ac:dyDescent="0.2">
      <c r="A20" s="170">
        <v>18</v>
      </c>
      <c r="B20" s="170" t="e">
        <f ca="1"/>
        <v>#N/A</v>
      </c>
      <c r="C20" s="170" t="e">
        <f ca="1"/>
        <v>#N/A</v>
      </c>
      <c r="D20" s="170" t="e">
        <f ca="1"/>
        <v>#N/A</v>
      </c>
      <c r="E20" s="170" t="e">
        <f ca="1"/>
        <v>#N/A</v>
      </c>
      <c r="F20" s="170" t="e">
        <f ca="1"/>
        <v>#N/A</v>
      </c>
      <c r="G20" s="171" t="e">
        <f ca="1"/>
        <v>#N/A</v>
      </c>
      <c r="I20" s="166">
        <v>18</v>
      </c>
      <c r="J20" s="169" t="e">
        <f ca="1"/>
        <v>#N/A</v>
      </c>
      <c r="K20" s="170" t="e">
        <f ca="1"/>
        <v>#N/A</v>
      </c>
      <c r="L20" s="170" t="e">
        <f ca="1"/>
        <v>#N/A</v>
      </c>
      <c r="M20" s="170" t="e">
        <f ca="1"/>
        <v>#N/A</v>
      </c>
      <c r="N20" s="170" t="e">
        <f ca="1"/>
        <v>#N/A</v>
      </c>
      <c r="O20" s="171" t="e">
        <f ca="1"/>
        <v>#N/A</v>
      </c>
      <c r="P20" s="172" t="e">
        <f ca="1"/>
        <v>#N/A</v>
      </c>
      <c r="Q20" s="172" t="e">
        <f ca="1"/>
        <v>#N/A</v>
      </c>
      <c r="R20" s="172" t="e">
        <f ca="1"/>
        <v>#N/A</v>
      </c>
      <c r="T20" s="166" t="e">
        <f ca="1"/>
        <v>#N/A</v>
      </c>
      <c r="U20" s="166" t="e">
        <f ca="1"/>
        <v>#N/A</v>
      </c>
      <c r="V20" s="168" t="e">
        <f ca="1"/>
        <v>#N/A</v>
      </c>
      <c r="W20" s="166" t="e">
        <f ca="1"/>
        <v>#N/A</v>
      </c>
      <c r="X20" s="166" t="e">
        <f ca="1"/>
        <v>#N/A</v>
      </c>
      <c r="Y20" s="168" t="e">
        <f ca="1"/>
        <v>#N/A</v>
      </c>
      <c r="Z20" s="166" t="e">
        <f ca="1"/>
        <v>#N/A</v>
      </c>
      <c r="AA20" s="166" t="e">
        <f ca="1"/>
        <v>#N/A</v>
      </c>
      <c r="AB20" s="168" t="e">
        <f ca="1"/>
        <v>#N/A</v>
      </c>
      <c r="AC20" s="166" t="e">
        <f ca="1"/>
        <v>#N/A</v>
      </c>
      <c r="AD20" s="179" t="e">
        <f ca="1"/>
        <v>#N/A</v>
      </c>
      <c r="AE20" s="166">
        <v>1</v>
      </c>
      <c r="AF20" s="166" t="s">
        <v>734</v>
      </c>
      <c r="AG20" s="166" t="s">
        <v>245</v>
      </c>
      <c r="AI20" s="166">
        <v>0</v>
      </c>
      <c r="AJ20" s="166" t="s">
        <v>194</v>
      </c>
      <c r="AL20" s="166">
        <v>4</v>
      </c>
      <c r="AM20" s="166" t="s">
        <v>263</v>
      </c>
      <c r="AO20" s="166">
        <v>0</v>
      </c>
      <c r="AP20" s="166" t="s">
        <v>194</v>
      </c>
    </row>
    <row r="21" spans="1:42" x14ac:dyDescent="0.2">
      <c r="A21" s="170">
        <v>19</v>
      </c>
      <c r="B21" s="170" t="e">
        <f ca="1"/>
        <v>#N/A</v>
      </c>
      <c r="C21" s="170" t="e">
        <f ca="1"/>
        <v>#N/A</v>
      </c>
      <c r="D21" s="170" t="e">
        <f ca="1"/>
        <v>#N/A</v>
      </c>
      <c r="E21" s="170" t="e">
        <f ca="1"/>
        <v>#N/A</v>
      </c>
      <c r="F21" s="170" t="e">
        <f ca="1"/>
        <v>#N/A</v>
      </c>
      <c r="G21" s="171" t="e">
        <f ca="1"/>
        <v>#N/A</v>
      </c>
      <c r="I21" s="166">
        <v>19</v>
      </c>
      <c r="J21" s="169" t="e">
        <f ca="1"/>
        <v>#N/A</v>
      </c>
      <c r="K21" s="170" t="e">
        <f ca="1"/>
        <v>#N/A</v>
      </c>
      <c r="L21" s="170" t="e">
        <f ca="1"/>
        <v>#N/A</v>
      </c>
      <c r="M21" s="170" t="e">
        <f ca="1"/>
        <v>#N/A</v>
      </c>
      <c r="N21" s="170" t="e">
        <f ca="1"/>
        <v>#N/A</v>
      </c>
      <c r="O21" s="171" t="e">
        <f ca="1"/>
        <v>#N/A</v>
      </c>
      <c r="P21" s="172" t="e">
        <f ca="1"/>
        <v>#N/A</v>
      </c>
      <c r="Q21" s="172" t="e">
        <f ca="1"/>
        <v>#N/A</v>
      </c>
      <c r="R21" s="172" t="e">
        <f ca="1"/>
        <v>#N/A</v>
      </c>
      <c r="T21" s="166" t="e">
        <f ca="1"/>
        <v>#N/A</v>
      </c>
      <c r="U21" s="166" t="e">
        <f ca="1"/>
        <v>#N/A</v>
      </c>
      <c r="V21" s="168" t="e">
        <f ca="1"/>
        <v>#N/A</v>
      </c>
      <c r="W21" s="166" t="e">
        <f ca="1"/>
        <v>#N/A</v>
      </c>
      <c r="X21" s="166" t="e">
        <f ca="1"/>
        <v>#N/A</v>
      </c>
      <c r="Y21" s="168" t="e">
        <f ca="1"/>
        <v>#N/A</v>
      </c>
      <c r="Z21" s="166" t="e">
        <f ca="1"/>
        <v>#N/A</v>
      </c>
      <c r="AA21" s="166" t="e">
        <f ca="1"/>
        <v>#N/A</v>
      </c>
      <c r="AB21" s="168" t="e">
        <f ca="1"/>
        <v>#N/A</v>
      </c>
      <c r="AC21" s="166" t="e">
        <f ca="1"/>
        <v>#N/A</v>
      </c>
      <c r="AD21" s="179" t="e">
        <f ca="1"/>
        <v>#N/A</v>
      </c>
      <c r="AE21" s="166">
        <v>1</v>
      </c>
      <c r="AF21" s="166" t="s">
        <v>279</v>
      </c>
      <c r="AG21" s="166" t="s">
        <v>307</v>
      </c>
      <c r="AI21" s="166">
        <v>0</v>
      </c>
      <c r="AJ21" s="166" t="s">
        <v>194</v>
      </c>
      <c r="AL21" s="166">
        <v>4</v>
      </c>
      <c r="AM21" s="166" t="s">
        <v>218</v>
      </c>
      <c r="AO21" s="166">
        <v>0</v>
      </c>
      <c r="AP21" s="166" t="s">
        <v>194</v>
      </c>
    </row>
    <row r="22" spans="1:42" x14ac:dyDescent="0.2">
      <c r="A22" s="170">
        <v>20</v>
      </c>
      <c r="B22" s="170" t="e">
        <f ca="1"/>
        <v>#N/A</v>
      </c>
      <c r="C22" s="170" t="e">
        <f ca="1"/>
        <v>#N/A</v>
      </c>
      <c r="D22" s="170" t="e">
        <f ca="1"/>
        <v>#N/A</v>
      </c>
      <c r="E22" s="170" t="e">
        <f ca="1"/>
        <v>#N/A</v>
      </c>
      <c r="F22" s="170" t="e">
        <f ca="1"/>
        <v>#N/A</v>
      </c>
      <c r="G22" s="171" t="e">
        <f ca="1"/>
        <v>#N/A</v>
      </c>
      <c r="I22" s="166">
        <v>20</v>
      </c>
      <c r="J22" s="169" t="e">
        <f ca="1"/>
        <v>#N/A</v>
      </c>
      <c r="K22" s="170" t="e">
        <f ca="1"/>
        <v>#N/A</v>
      </c>
      <c r="L22" s="170" t="e">
        <f ca="1"/>
        <v>#N/A</v>
      </c>
      <c r="M22" s="170" t="e">
        <f ca="1"/>
        <v>#N/A</v>
      </c>
      <c r="N22" s="170" t="e">
        <f ca="1"/>
        <v>#N/A</v>
      </c>
      <c r="O22" s="171" t="e">
        <f ca="1"/>
        <v>#N/A</v>
      </c>
      <c r="P22" s="172" t="e">
        <f ca="1"/>
        <v>#N/A</v>
      </c>
      <c r="Q22" s="172" t="e">
        <f ca="1"/>
        <v>#N/A</v>
      </c>
      <c r="R22" s="172" t="e">
        <f ca="1"/>
        <v>#N/A</v>
      </c>
      <c r="T22" s="166" t="e">
        <f ca="1"/>
        <v>#N/A</v>
      </c>
      <c r="U22" s="166" t="e">
        <f ca="1"/>
        <v>#N/A</v>
      </c>
      <c r="V22" s="168" t="e">
        <f ca="1"/>
        <v>#N/A</v>
      </c>
      <c r="W22" s="166" t="e">
        <f ca="1"/>
        <v>#N/A</v>
      </c>
      <c r="X22" s="166" t="e">
        <f ca="1"/>
        <v>#N/A</v>
      </c>
      <c r="Y22" s="168" t="e">
        <f ca="1"/>
        <v>#N/A</v>
      </c>
      <c r="Z22" s="166" t="e">
        <f ca="1"/>
        <v>#N/A</v>
      </c>
      <c r="AA22" s="166" t="e">
        <f ca="1"/>
        <v>#N/A</v>
      </c>
      <c r="AB22" s="168" t="e">
        <f ca="1"/>
        <v>#N/A</v>
      </c>
      <c r="AC22" s="166" t="e">
        <f ca="1"/>
        <v>#N/A</v>
      </c>
      <c r="AD22" s="179" t="e">
        <f ca="1"/>
        <v>#N/A</v>
      </c>
      <c r="AE22" s="166">
        <v>0</v>
      </c>
      <c r="AF22" s="170" t="s">
        <v>194</v>
      </c>
      <c r="AG22" s="166" t="s">
        <v>194</v>
      </c>
      <c r="AI22" s="166">
        <v>0</v>
      </c>
      <c r="AJ22" s="166" t="s">
        <v>194</v>
      </c>
      <c r="AL22" s="166">
        <v>4</v>
      </c>
      <c r="AM22" s="166" t="s">
        <v>206</v>
      </c>
      <c r="AO22" s="166">
        <v>0</v>
      </c>
      <c r="AP22" s="166" t="s">
        <v>194</v>
      </c>
    </row>
    <row r="23" spans="1:42" x14ac:dyDescent="0.2">
      <c r="A23" s="170">
        <v>21</v>
      </c>
      <c r="B23" s="170" t="e">
        <f ca="1"/>
        <v>#N/A</v>
      </c>
      <c r="C23" s="170" t="e">
        <f ca="1"/>
        <v>#N/A</v>
      </c>
      <c r="D23" s="170" t="e">
        <f ca="1"/>
        <v>#N/A</v>
      </c>
      <c r="E23" s="170" t="e">
        <f ca="1"/>
        <v>#N/A</v>
      </c>
      <c r="F23" s="170" t="e">
        <f ca="1"/>
        <v>#N/A</v>
      </c>
      <c r="G23" s="171" t="e">
        <f ca="1"/>
        <v>#N/A</v>
      </c>
      <c r="I23" s="166">
        <v>21</v>
      </c>
      <c r="J23" s="169" t="e">
        <f ca="1"/>
        <v>#N/A</v>
      </c>
      <c r="K23" s="170" t="e">
        <f ca="1"/>
        <v>#N/A</v>
      </c>
      <c r="L23" s="170" t="e">
        <f ca="1"/>
        <v>#N/A</v>
      </c>
      <c r="M23" s="170" t="e">
        <f ca="1"/>
        <v>#N/A</v>
      </c>
      <c r="N23" s="170" t="e">
        <f ca="1"/>
        <v>#N/A</v>
      </c>
      <c r="O23" s="171" t="e">
        <f ca="1"/>
        <v>#N/A</v>
      </c>
      <c r="P23" s="172" t="e">
        <f ca="1"/>
        <v>#N/A</v>
      </c>
      <c r="Q23" s="172" t="e">
        <f ca="1"/>
        <v>#N/A</v>
      </c>
      <c r="R23" s="172" t="e">
        <f ca="1"/>
        <v>#N/A</v>
      </c>
      <c r="T23" s="166" t="e">
        <f ca="1"/>
        <v>#N/A</v>
      </c>
      <c r="U23" s="166" t="e">
        <f ca="1"/>
        <v>#N/A</v>
      </c>
      <c r="V23" s="168" t="e">
        <f ca="1"/>
        <v>#N/A</v>
      </c>
      <c r="W23" s="166" t="e">
        <f ca="1"/>
        <v>#N/A</v>
      </c>
      <c r="X23" s="166" t="e">
        <f ca="1"/>
        <v>#N/A</v>
      </c>
      <c r="Y23" s="168" t="e">
        <f ca="1"/>
        <v>#N/A</v>
      </c>
      <c r="Z23" s="166" t="e">
        <f ca="1"/>
        <v>#N/A</v>
      </c>
      <c r="AA23" s="166" t="e">
        <f ca="1"/>
        <v>#N/A</v>
      </c>
      <c r="AB23" s="168" t="e">
        <f ca="1"/>
        <v>#N/A</v>
      </c>
      <c r="AC23" s="166" t="e">
        <f ca="1"/>
        <v>#N/A</v>
      </c>
      <c r="AD23" s="179" t="e">
        <f ca="1"/>
        <v>#N/A</v>
      </c>
      <c r="AE23" s="166">
        <v>0</v>
      </c>
      <c r="AF23" s="170" t="s">
        <v>194</v>
      </c>
      <c r="AG23" s="166" t="s">
        <v>194</v>
      </c>
      <c r="AI23" s="166">
        <v>0</v>
      </c>
      <c r="AJ23" s="166" t="s">
        <v>194</v>
      </c>
      <c r="AL23" s="166">
        <v>3</v>
      </c>
      <c r="AM23" s="166" t="s">
        <v>224</v>
      </c>
      <c r="AO23" s="166">
        <v>0</v>
      </c>
      <c r="AP23" s="166" t="s">
        <v>194</v>
      </c>
    </row>
    <row r="24" spans="1:42" x14ac:dyDescent="0.2">
      <c r="A24" s="170">
        <v>22</v>
      </c>
      <c r="B24" s="170" t="e">
        <f ca="1"/>
        <v>#N/A</v>
      </c>
      <c r="C24" s="170" t="e">
        <f ca="1"/>
        <v>#N/A</v>
      </c>
      <c r="D24" s="170" t="e">
        <f ca="1"/>
        <v>#N/A</v>
      </c>
      <c r="E24" s="170" t="e">
        <f ca="1"/>
        <v>#N/A</v>
      </c>
      <c r="F24" s="170" t="e">
        <f ca="1"/>
        <v>#N/A</v>
      </c>
      <c r="G24" s="171" t="e">
        <f ca="1"/>
        <v>#N/A</v>
      </c>
      <c r="I24" s="166">
        <v>22</v>
      </c>
      <c r="J24" s="169" t="e">
        <f ca="1"/>
        <v>#N/A</v>
      </c>
      <c r="K24" s="170" t="e">
        <f ca="1"/>
        <v>#N/A</v>
      </c>
      <c r="L24" s="170" t="e">
        <f ca="1"/>
        <v>#N/A</v>
      </c>
      <c r="M24" s="170" t="e">
        <f ca="1"/>
        <v>#N/A</v>
      </c>
      <c r="N24" s="170" t="e">
        <f ca="1"/>
        <v>#N/A</v>
      </c>
      <c r="O24" s="171" t="e">
        <f ca="1"/>
        <v>#N/A</v>
      </c>
      <c r="P24" s="172" t="e">
        <f ca="1"/>
        <v>#N/A</v>
      </c>
      <c r="Q24" s="172" t="e">
        <f ca="1"/>
        <v>#N/A</v>
      </c>
      <c r="R24" s="172" t="e">
        <f ca="1"/>
        <v>#N/A</v>
      </c>
      <c r="T24" s="166" t="e">
        <f ca="1"/>
        <v>#N/A</v>
      </c>
      <c r="U24" s="166" t="e">
        <f ca="1"/>
        <v>#N/A</v>
      </c>
      <c r="V24" s="168" t="e">
        <f ca="1"/>
        <v>#N/A</v>
      </c>
      <c r="W24" s="166" t="e">
        <f ca="1"/>
        <v>#N/A</v>
      </c>
      <c r="X24" s="166" t="e">
        <f ca="1"/>
        <v>#N/A</v>
      </c>
      <c r="Y24" s="168" t="e">
        <f ca="1"/>
        <v>#N/A</v>
      </c>
      <c r="Z24" s="166" t="e">
        <f ca="1"/>
        <v>#N/A</v>
      </c>
      <c r="AA24" s="166" t="e">
        <f ca="1"/>
        <v>#N/A</v>
      </c>
      <c r="AB24" s="168" t="e">
        <f ca="1"/>
        <v>#N/A</v>
      </c>
      <c r="AC24" s="166" t="e">
        <f ca="1"/>
        <v>#N/A</v>
      </c>
      <c r="AD24" s="179" t="e">
        <f ca="1"/>
        <v>#N/A</v>
      </c>
      <c r="AE24" s="166">
        <v>0</v>
      </c>
      <c r="AF24" s="170" t="s">
        <v>194</v>
      </c>
      <c r="AG24" s="166" t="s">
        <v>194</v>
      </c>
      <c r="AI24" s="166">
        <v>0</v>
      </c>
      <c r="AJ24" s="166" t="s">
        <v>194</v>
      </c>
      <c r="AL24" s="166">
        <v>2</v>
      </c>
      <c r="AM24" s="166" t="s">
        <v>368</v>
      </c>
      <c r="AO24" s="166">
        <v>0</v>
      </c>
      <c r="AP24" s="166" t="s">
        <v>194</v>
      </c>
    </row>
    <row r="25" spans="1:42" x14ac:dyDescent="0.2">
      <c r="A25" s="170">
        <v>23</v>
      </c>
      <c r="B25" s="170" t="e">
        <f ca="1"/>
        <v>#N/A</v>
      </c>
      <c r="C25" s="170" t="e">
        <f ca="1"/>
        <v>#N/A</v>
      </c>
      <c r="D25" s="170" t="e">
        <f ca="1"/>
        <v>#N/A</v>
      </c>
      <c r="E25" s="170" t="e">
        <f ca="1"/>
        <v>#N/A</v>
      </c>
      <c r="F25" s="170" t="e">
        <f ca="1"/>
        <v>#N/A</v>
      </c>
      <c r="G25" s="171" t="e">
        <f ca="1"/>
        <v>#N/A</v>
      </c>
      <c r="I25" s="166">
        <v>23</v>
      </c>
      <c r="J25" s="169" t="e">
        <f ca="1"/>
        <v>#N/A</v>
      </c>
      <c r="K25" s="170" t="e">
        <f ca="1"/>
        <v>#N/A</v>
      </c>
      <c r="L25" s="170" t="e">
        <f ca="1"/>
        <v>#N/A</v>
      </c>
      <c r="M25" s="170" t="e">
        <f ca="1"/>
        <v>#N/A</v>
      </c>
      <c r="N25" s="170" t="e">
        <f ca="1"/>
        <v>#N/A</v>
      </c>
      <c r="O25" s="171" t="e">
        <f ca="1"/>
        <v>#N/A</v>
      </c>
      <c r="P25" s="172" t="e">
        <f ca="1"/>
        <v>#N/A</v>
      </c>
      <c r="Q25" s="172" t="e">
        <f ca="1"/>
        <v>#N/A</v>
      </c>
      <c r="R25" s="172" t="e">
        <f ca="1"/>
        <v>#N/A</v>
      </c>
      <c r="T25" s="166" t="e">
        <f ca="1"/>
        <v>#N/A</v>
      </c>
      <c r="U25" s="166" t="e">
        <f ca="1"/>
        <v>#N/A</v>
      </c>
      <c r="V25" s="168" t="e">
        <f ca="1"/>
        <v>#N/A</v>
      </c>
      <c r="W25" s="166" t="e">
        <f ca="1"/>
        <v>#N/A</v>
      </c>
      <c r="X25" s="166" t="e">
        <f ca="1"/>
        <v>#N/A</v>
      </c>
      <c r="Y25" s="168" t="e">
        <f ca="1"/>
        <v>#N/A</v>
      </c>
      <c r="Z25" s="166" t="e">
        <f ca="1"/>
        <v>#N/A</v>
      </c>
      <c r="AA25" s="166" t="e">
        <f ca="1"/>
        <v>#N/A</v>
      </c>
      <c r="AB25" s="168" t="e">
        <f ca="1"/>
        <v>#N/A</v>
      </c>
      <c r="AC25" s="166" t="e">
        <f ca="1"/>
        <v>#N/A</v>
      </c>
      <c r="AD25" s="179" t="e">
        <f ca="1"/>
        <v>#N/A</v>
      </c>
      <c r="AE25" s="166">
        <v>0</v>
      </c>
      <c r="AF25" s="170" t="s">
        <v>194</v>
      </c>
      <c r="AG25" s="166" t="s">
        <v>194</v>
      </c>
      <c r="AI25" s="166">
        <v>0</v>
      </c>
      <c r="AJ25" s="166" t="s">
        <v>194</v>
      </c>
      <c r="AL25" s="166">
        <v>2</v>
      </c>
      <c r="AM25" s="166" t="s">
        <v>314</v>
      </c>
      <c r="AO25" s="166">
        <v>0</v>
      </c>
      <c r="AP25" s="166" t="s">
        <v>194</v>
      </c>
    </row>
    <row r="26" spans="1:42" x14ac:dyDescent="0.2">
      <c r="A26" s="170">
        <v>24</v>
      </c>
      <c r="B26" s="170" t="e">
        <f ca="1"/>
        <v>#N/A</v>
      </c>
      <c r="C26" s="170" t="e">
        <f ca="1"/>
        <v>#N/A</v>
      </c>
      <c r="D26" s="170" t="e">
        <f ca="1"/>
        <v>#N/A</v>
      </c>
      <c r="E26" s="170" t="e">
        <f ca="1"/>
        <v>#N/A</v>
      </c>
      <c r="F26" s="170" t="e">
        <f ca="1"/>
        <v>#N/A</v>
      </c>
      <c r="G26" s="171" t="e">
        <f ca="1"/>
        <v>#N/A</v>
      </c>
      <c r="I26" s="166">
        <v>24</v>
      </c>
      <c r="J26" s="169" t="e">
        <f ca="1"/>
        <v>#N/A</v>
      </c>
      <c r="K26" s="170" t="e">
        <f ca="1"/>
        <v>#N/A</v>
      </c>
      <c r="L26" s="170" t="e">
        <f ca="1"/>
        <v>#N/A</v>
      </c>
      <c r="M26" s="170" t="e">
        <f ca="1"/>
        <v>#N/A</v>
      </c>
      <c r="N26" s="170" t="e">
        <f ca="1"/>
        <v>#N/A</v>
      </c>
      <c r="O26" s="171" t="e">
        <f ca="1"/>
        <v>#N/A</v>
      </c>
      <c r="P26" s="172" t="e">
        <f ca="1"/>
        <v>#N/A</v>
      </c>
      <c r="Q26" s="172" t="e">
        <f ca="1"/>
        <v>#N/A</v>
      </c>
      <c r="R26" s="172" t="e">
        <f ca="1"/>
        <v>#N/A</v>
      </c>
      <c r="T26" s="166" t="e">
        <f ca="1"/>
        <v>#N/A</v>
      </c>
      <c r="U26" s="166" t="e">
        <f ca="1"/>
        <v>#N/A</v>
      </c>
      <c r="V26" s="168" t="e">
        <f ca="1"/>
        <v>#N/A</v>
      </c>
      <c r="W26" s="166" t="e">
        <f ca="1"/>
        <v>#N/A</v>
      </c>
      <c r="X26" s="166" t="e">
        <f ca="1"/>
        <v>#N/A</v>
      </c>
      <c r="Y26" s="168" t="e">
        <f ca="1"/>
        <v>#N/A</v>
      </c>
      <c r="Z26" s="166" t="e">
        <f ca="1"/>
        <v>#N/A</v>
      </c>
      <c r="AA26" s="166" t="e">
        <f ca="1"/>
        <v>#N/A</v>
      </c>
      <c r="AB26" s="168" t="e">
        <f ca="1"/>
        <v>#N/A</v>
      </c>
      <c r="AC26" s="166" t="e">
        <f ca="1"/>
        <v>#N/A</v>
      </c>
      <c r="AD26" s="179" t="e">
        <f ca="1"/>
        <v>#N/A</v>
      </c>
      <c r="AE26" s="166">
        <v>0</v>
      </c>
      <c r="AF26" s="170" t="s">
        <v>194</v>
      </c>
      <c r="AG26" s="166" t="s">
        <v>194</v>
      </c>
      <c r="AI26" s="166">
        <v>0</v>
      </c>
      <c r="AJ26" s="166" t="s">
        <v>194</v>
      </c>
      <c r="AL26" s="166">
        <v>1</v>
      </c>
      <c r="AM26" s="166" t="s">
        <v>555</v>
      </c>
      <c r="AO26" s="166">
        <v>0</v>
      </c>
      <c r="AP26" s="166" t="s">
        <v>194</v>
      </c>
    </row>
    <row r="27" spans="1:42" x14ac:dyDescent="0.2">
      <c r="A27" s="170">
        <v>25</v>
      </c>
      <c r="B27" s="170" t="e">
        <f ca="1"/>
        <v>#N/A</v>
      </c>
      <c r="C27" s="170" t="e">
        <f ca="1"/>
        <v>#N/A</v>
      </c>
      <c r="D27" s="170" t="e">
        <f ca="1"/>
        <v>#N/A</v>
      </c>
      <c r="E27" s="170" t="e">
        <f ca="1"/>
        <v>#N/A</v>
      </c>
      <c r="F27" s="170" t="e">
        <f ca="1"/>
        <v>#N/A</v>
      </c>
      <c r="G27" s="171" t="e">
        <f ca="1"/>
        <v>#N/A</v>
      </c>
      <c r="I27" s="166">
        <v>25</v>
      </c>
      <c r="J27" s="169" t="e">
        <f ca="1"/>
        <v>#N/A</v>
      </c>
      <c r="K27" s="170" t="e">
        <f ca="1"/>
        <v>#N/A</v>
      </c>
      <c r="L27" s="170" t="e">
        <f ca="1"/>
        <v>#N/A</v>
      </c>
      <c r="M27" s="170" t="e">
        <f ca="1"/>
        <v>#N/A</v>
      </c>
      <c r="N27" s="170" t="e">
        <f ca="1"/>
        <v>#N/A</v>
      </c>
      <c r="O27" s="171" t="e">
        <f ca="1"/>
        <v>#N/A</v>
      </c>
      <c r="P27" s="172" t="e">
        <f ca="1"/>
        <v>#N/A</v>
      </c>
      <c r="Q27" s="172" t="e">
        <f ca="1"/>
        <v>#N/A</v>
      </c>
      <c r="R27" s="172" t="e">
        <f ca="1"/>
        <v>#N/A</v>
      </c>
      <c r="AE27" s="166">
        <v>0</v>
      </c>
      <c r="AF27" s="170" t="s">
        <v>194</v>
      </c>
      <c r="AG27" s="166" t="s">
        <v>194</v>
      </c>
      <c r="AI27" s="166">
        <v>0</v>
      </c>
      <c r="AJ27" s="166" t="s">
        <v>194</v>
      </c>
      <c r="AL27" s="166">
        <v>1</v>
      </c>
      <c r="AM27" s="166" t="s">
        <v>273</v>
      </c>
      <c r="AO27" s="166">
        <v>0</v>
      </c>
      <c r="AP27" s="166" t="s">
        <v>194</v>
      </c>
    </row>
    <row r="28" spans="1:42" x14ac:dyDescent="0.2">
      <c r="A28" s="170">
        <v>26</v>
      </c>
      <c r="B28" s="170" t="e">
        <f ca="1"/>
        <v>#N/A</v>
      </c>
      <c r="C28" s="170" t="e">
        <f ca="1"/>
        <v>#N/A</v>
      </c>
      <c r="D28" s="170" t="e">
        <f ca="1"/>
        <v>#N/A</v>
      </c>
      <c r="E28" s="170" t="e">
        <f ca="1"/>
        <v>#N/A</v>
      </c>
      <c r="F28" s="170" t="e">
        <f ca="1"/>
        <v>#N/A</v>
      </c>
      <c r="G28" s="171" t="e">
        <f ca="1"/>
        <v>#N/A</v>
      </c>
      <c r="I28" s="166">
        <v>26</v>
      </c>
      <c r="J28" s="169" t="e">
        <f ca="1"/>
        <v>#N/A</v>
      </c>
      <c r="K28" s="170" t="e">
        <f ca="1"/>
        <v>#N/A</v>
      </c>
      <c r="L28" s="170" t="e">
        <f ca="1"/>
        <v>#N/A</v>
      </c>
      <c r="M28" s="170" t="e">
        <f ca="1"/>
        <v>#N/A</v>
      </c>
      <c r="N28" s="170" t="e">
        <f ca="1"/>
        <v>#N/A</v>
      </c>
      <c r="O28" s="171" t="e">
        <f ca="1"/>
        <v>#N/A</v>
      </c>
      <c r="P28" s="172" t="e">
        <f ca="1"/>
        <v>#N/A</v>
      </c>
      <c r="Q28" s="172" t="e">
        <f ca="1"/>
        <v>#N/A</v>
      </c>
      <c r="R28" s="172" t="e">
        <f ca="1"/>
        <v>#N/A</v>
      </c>
      <c r="AE28" s="166">
        <v>0</v>
      </c>
      <c r="AF28" s="170" t="s">
        <v>194</v>
      </c>
      <c r="AG28" s="166" t="s">
        <v>194</v>
      </c>
      <c r="AI28" s="166">
        <v>0</v>
      </c>
      <c r="AJ28" s="166" t="s">
        <v>194</v>
      </c>
      <c r="AL28" s="166">
        <v>1</v>
      </c>
      <c r="AM28" s="166" t="s">
        <v>462</v>
      </c>
      <c r="AO28" s="166">
        <v>0</v>
      </c>
      <c r="AP28" s="166" t="s">
        <v>194</v>
      </c>
    </row>
    <row r="29" spans="1:42" x14ac:dyDescent="0.2">
      <c r="A29" s="170">
        <v>27</v>
      </c>
      <c r="B29" s="170" t="e">
        <f ca="1"/>
        <v>#N/A</v>
      </c>
      <c r="C29" s="170" t="e">
        <f ca="1"/>
        <v>#N/A</v>
      </c>
      <c r="D29" s="170" t="e">
        <f ca="1"/>
        <v>#N/A</v>
      </c>
      <c r="E29" s="170" t="e">
        <f ca="1"/>
        <v>#N/A</v>
      </c>
      <c r="F29" s="170" t="e">
        <f ca="1"/>
        <v>#N/A</v>
      </c>
      <c r="G29" s="171" t="e">
        <f ca="1"/>
        <v>#N/A</v>
      </c>
      <c r="I29" s="166">
        <v>27</v>
      </c>
      <c r="J29" s="169" t="e">
        <f ca="1"/>
        <v>#N/A</v>
      </c>
      <c r="K29" s="170" t="e">
        <f ca="1"/>
        <v>#N/A</v>
      </c>
      <c r="L29" s="170" t="e">
        <f ca="1"/>
        <v>#N/A</v>
      </c>
      <c r="M29" s="170" t="e">
        <f ca="1"/>
        <v>#N/A</v>
      </c>
      <c r="N29" s="170" t="e">
        <f ca="1"/>
        <v>#N/A</v>
      </c>
      <c r="O29" s="171" t="e">
        <f ca="1"/>
        <v>#N/A</v>
      </c>
      <c r="P29" s="172" t="e">
        <f ca="1"/>
        <v>#N/A</v>
      </c>
      <c r="Q29" s="172" t="e">
        <f ca="1"/>
        <v>#N/A</v>
      </c>
      <c r="R29" s="172" t="e">
        <f ca="1"/>
        <v>#N/A</v>
      </c>
      <c r="AE29" s="166">
        <v>0</v>
      </c>
      <c r="AF29" s="170" t="s">
        <v>194</v>
      </c>
      <c r="AG29" s="166" t="s">
        <v>194</v>
      </c>
      <c r="AI29" s="166">
        <v>0</v>
      </c>
      <c r="AJ29" s="166" t="s">
        <v>194</v>
      </c>
      <c r="AL29" s="166">
        <v>1</v>
      </c>
      <c r="AM29" s="166" t="s">
        <v>616</v>
      </c>
      <c r="AO29" s="166">
        <v>0</v>
      </c>
      <c r="AP29" s="166" t="s">
        <v>194</v>
      </c>
    </row>
    <row r="30" spans="1:42" x14ac:dyDescent="0.2">
      <c r="A30" s="170">
        <v>28</v>
      </c>
      <c r="B30" s="170" t="e">
        <f ca="1"/>
        <v>#N/A</v>
      </c>
      <c r="C30" s="170" t="e">
        <f ca="1"/>
        <v>#N/A</v>
      </c>
      <c r="D30" s="170" t="e">
        <f ca="1"/>
        <v>#N/A</v>
      </c>
      <c r="E30" s="170" t="e">
        <f ca="1"/>
        <v>#N/A</v>
      </c>
      <c r="F30" s="170" t="e">
        <f ca="1"/>
        <v>#N/A</v>
      </c>
      <c r="G30" s="171" t="e">
        <f ca="1"/>
        <v>#N/A</v>
      </c>
      <c r="I30" s="166">
        <v>28</v>
      </c>
      <c r="J30" s="169" t="e">
        <f ca="1"/>
        <v>#N/A</v>
      </c>
      <c r="K30" s="170" t="e">
        <f ca="1"/>
        <v>#N/A</v>
      </c>
      <c r="L30" s="170" t="e">
        <f ca="1"/>
        <v>#N/A</v>
      </c>
      <c r="M30" s="170" t="e">
        <f ca="1"/>
        <v>#N/A</v>
      </c>
      <c r="N30" s="170" t="e">
        <f ca="1"/>
        <v>#N/A</v>
      </c>
      <c r="O30" s="171" t="e">
        <f ca="1"/>
        <v>#N/A</v>
      </c>
      <c r="P30" s="172" t="e">
        <f ca="1"/>
        <v>#N/A</v>
      </c>
      <c r="Q30" s="172" t="e">
        <f ca="1"/>
        <v>#N/A</v>
      </c>
      <c r="R30" s="172" t="e">
        <f ca="1"/>
        <v>#N/A</v>
      </c>
      <c r="AE30" s="166">
        <v>0</v>
      </c>
      <c r="AF30" s="170" t="s">
        <v>194</v>
      </c>
      <c r="AG30" s="166" t="s">
        <v>194</v>
      </c>
      <c r="AI30" s="166">
        <v>0</v>
      </c>
      <c r="AJ30" s="166" t="s">
        <v>194</v>
      </c>
      <c r="AL30" s="166">
        <v>1</v>
      </c>
      <c r="AM30" s="166" t="s">
        <v>564</v>
      </c>
      <c r="AO30" s="166">
        <v>0</v>
      </c>
      <c r="AP30" s="166" t="s">
        <v>194</v>
      </c>
    </row>
    <row r="31" spans="1:42" x14ac:dyDescent="0.15">
      <c r="A31" s="170">
        <v>29</v>
      </c>
      <c r="B31" s="170" t="e">
        <f ca="1"/>
        <v>#N/A</v>
      </c>
      <c r="C31" s="170" t="e">
        <f ca="1"/>
        <v>#N/A</v>
      </c>
      <c r="D31" s="170" t="e">
        <f ca="1"/>
        <v>#N/A</v>
      </c>
      <c r="E31" s="170" t="e">
        <f ca="1"/>
        <v>#N/A</v>
      </c>
      <c r="F31" s="170" t="e">
        <f ca="1"/>
        <v>#N/A</v>
      </c>
      <c r="G31" s="171" t="e">
        <f ca="1"/>
        <v>#N/A</v>
      </c>
      <c r="AE31" s="166">
        <v>0</v>
      </c>
      <c r="AF31" s="170" t="s">
        <v>194</v>
      </c>
      <c r="AG31" s="166" t="s">
        <v>194</v>
      </c>
      <c r="AI31" s="166">
        <v>0</v>
      </c>
      <c r="AJ31" s="166" t="s">
        <v>194</v>
      </c>
      <c r="AL31" s="166">
        <v>1</v>
      </c>
      <c r="AM31" s="166" t="s">
        <v>297</v>
      </c>
      <c r="AO31" s="166">
        <v>0</v>
      </c>
      <c r="AP31" s="166" t="s">
        <v>194</v>
      </c>
    </row>
    <row r="32" spans="1:42" x14ac:dyDescent="0.15">
      <c r="A32" s="170">
        <v>30</v>
      </c>
      <c r="B32" s="170" t="e">
        <f ca="1"/>
        <v>#N/A</v>
      </c>
      <c r="C32" s="170" t="e">
        <f ca="1"/>
        <v>#N/A</v>
      </c>
      <c r="D32" s="170" t="e">
        <f ca="1"/>
        <v>#N/A</v>
      </c>
      <c r="E32" s="170" t="e">
        <f ca="1"/>
        <v>#N/A</v>
      </c>
      <c r="F32" s="170" t="e">
        <f ca="1"/>
        <v>#N/A</v>
      </c>
      <c r="G32" s="171" t="e">
        <f ca="1"/>
        <v>#N/A</v>
      </c>
      <c r="AE32" s="166">
        <v>0</v>
      </c>
      <c r="AF32" s="170" t="s">
        <v>194</v>
      </c>
      <c r="AG32" s="166" t="s">
        <v>194</v>
      </c>
      <c r="AI32" s="166">
        <v>0</v>
      </c>
      <c r="AJ32" s="166" t="s">
        <v>194</v>
      </c>
      <c r="AL32" s="166">
        <v>1</v>
      </c>
      <c r="AM32" s="166" t="s">
        <v>509</v>
      </c>
      <c r="AO32" s="166">
        <v>0</v>
      </c>
      <c r="AP32" s="166" t="s">
        <v>194</v>
      </c>
    </row>
    <row r="33" spans="1:42" x14ac:dyDescent="0.15">
      <c r="A33" s="170">
        <v>31</v>
      </c>
      <c r="B33" s="170" t="e">
        <f ca="1"/>
        <v>#N/A</v>
      </c>
      <c r="C33" s="170" t="e">
        <f ca="1"/>
        <v>#N/A</v>
      </c>
      <c r="D33" s="170" t="e">
        <f ca="1"/>
        <v>#N/A</v>
      </c>
      <c r="E33" s="170" t="e">
        <f ca="1"/>
        <v>#N/A</v>
      </c>
      <c r="F33" s="170" t="e">
        <f ca="1"/>
        <v>#N/A</v>
      </c>
      <c r="G33" s="171" t="e">
        <f ca="1"/>
        <v>#N/A</v>
      </c>
      <c r="J33" s="166" t="s">
        <v>347</v>
      </c>
      <c r="AE33" s="166">
        <v>0</v>
      </c>
      <c r="AF33" s="170" t="s">
        <v>194</v>
      </c>
      <c r="AG33" s="166" t="s">
        <v>194</v>
      </c>
      <c r="AI33" s="166">
        <v>0</v>
      </c>
      <c r="AJ33" s="166" t="s">
        <v>194</v>
      </c>
      <c r="AL33" s="166">
        <v>1</v>
      </c>
      <c r="AM33" s="166" t="s">
        <v>408</v>
      </c>
      <c r="AO33" s="166">
        <v>0</v>
      </c>
      <c r="AP33" s="166" t="s">
        <v>194</v>
      </c>
    </row>
    <row r="34" spans="1:42" x14ac:dyDescent="0.15">
      <c r="A34" s="170">
        <v>32</v>
      </c>
      <c r="B34" s="170" t="e">
        <f ca="1"/>
        <v>#N/A</v>
      </c>
      <c r="C34" s="170" t="e">
        <f ca="1"/>
        <v>#N/A</v>
      </c>
      <c r="D34" s="170" t="e">
        <f ca="1"/>
        <v>#N/A</v>
      </c>
      <c r="E34" s="170" t="e">
        <f ca="1"/>
        <v>#N/A</v>
      </c>
      <c r="F34" s="170" t="e">
        <f ca="1"/>
        <v>#N/A</v>
      </c>
      <c r="G34" s="171" t="e">
        <f ca="1"/>
        <v>#N/A</v>
      </c>
      <c r="AE34" s="166">
        <v>0</v>
      </c>
      <c r="AF34" s="170" t="s">
        <v>194</v>
      </c>
      <c r="AG34" s="166" t="s">
        <v>194</v>
      </c>
      <c r="AI34" s="166">
        <v>0</v>
      </c>
      <c r="AJ34" s="166" t="s">
        <v>194</v>
      </c>
      <c r="AL34" s="166">
        <v>0</v>
      </c>
      <c r="AM34" s="166" t="s">
        <v>194</v>
      </c>
      <c r="AO34" s="166">
        <v>0</v>
      </c>
      <c r="AP34" s="166" t="s">
        <v>194</v>
      </c>
    </row>
    <row r="35" spans="1:42" x14ac:dyDescent="0.15">
      <c r="A35" s="170">
        <v>33</v>
      </c>
      <c r="B35" s="170" t="e">
        <f ca="1"/>
        <v>#N/A</v>
      </c>
      <c r="C35" s="170" t="e">
        <f ca="1"/>
        <v>#N/A</v>
      </c>
      <c r="D35" s="170" t="e">
        <f ca="1"/>
        <v>#N/A</v>
      </c>
      <c r="E35" s="170" t="e">
        <f ca="1"/>
        <v>#N/A</v>
      </c>
      <c r="F35" s="170" t="e">
        <f ca="1"/>
        <v>#N/A</v>
      </c>
      <c r="G35" s="171" t="e">
        <f ca="1"/>
        <v>#N/A</v>
      </c>
      <c r="AE35" s="166">
        <v>0</v>
      </c>
      <c r="AF35" s="170" t="s">
        <v>194</v>
      </c>
      <c r="AG35" s="166" t="s">
        <v>194</v>
      </c>
      <c r="AI35" s="166">
        <v>0</v>
      </c>
      <c r="AJ35" s="166" t="s">
        <v>194</v>
      </c>
      <c r="AL35" s="166">
        <v>0</v>
      </c>
      <c r="AM35" s="166" t="s">
        <v>194</v>
      </c>
      <c r="AO35" s="166">
        <v>0</v>
      </c>
      <c r="AP35" s="166" t="s">
        <v>194</v>
      </c>
    </row>
    <row r="36" spans="1:42" x14ac:dyDescent="0.15">
      <c r="A36" s="170">
        <v>34</v>
      </c>
      <c r="B36" s="170" t="e">
        <f ca="1"/>
        <v>#N/A</v>
      </c>
      <c r="C36" s="170" t="e">
        <f ca="1"/>
        <v>#N/A</v>
      </c>
      <c r="D36" s="170" t="e">
        <f ca="1"/>
        <v>#N/A</v>
      </c>
      <c r="E36" s="170" t="e">
        <f ca="1"/>
        <v>#N/A</v>
      </c>
      <c r="F36" s="170" t="e">
        <f ca="1"/>
        <v>#N/A</v>
      </c>
      <c r="G36" s="171" t="e">
        <f ca="1"/>
        <v>#N/A</v>
      </c>
      <c r="AE36" s="166">
        <v>0</v>
      </c>
      <c r="AF36" s="166" t="s">
        <v>194</v>
      </c>
      <c r="AG36" s="166" t="s">
        <v>194</v>
      </c>
      <c r="AI36" s="166">
        <v>0</v>
      </c>
      <c r="AJ36" s="166" t="s">
        <v>194</v>
      </c>
      <c r="AL36" s="166">
        <v>0</v>
      </c>
      <c r="AM36" s="166" t="s">
        <v>194</v>
      </c>
      <c r="AO36" s="166">
        <v>0</v>
      </c>
      <c r="AP36" s="166" t="s">
        <v>194</v>
      </c>
    </row>
    <row r="37" spans="1:42" x14ac:dyDescent="0.15">
      <c r="A37" s="170">
        <v>35</v>
      </c>
      <c r="B37" s="170" t="e">
        <f ca="1"/>
        <v>#N/A</v>
      </c>
      <c r="C37" s="170" t="e">
        <f ca="1"/>
        <v>#N/A</v>
      </c>
      <c r="D37" s="170" t="e">
        <f ca="1"/>
        <v>#N/A</v>
      </c>
      <c r="E37" s="170" t="e">
        <f ca="1"/>
        <v>#N/A</v>
      </c>
      <c r="F37" s="170" t="e">
        <f ca="1"/>
        <v>#N/A</v>
      </c>
      <c r="G37" s="171" t="e">
        <f ca="1"/>
        <v>#N/A</v>
      </c>
      <c r="AE37" s="166">
        <v>0</v>
      </c>
      <c r="AF37" s="166" t="s">
        <v>194</v>
      </c>
      <c r="AG37" s="166" t="s">
        <v>194</v>
      </c>
      <c r="AI37" s="166">
        <v>0</v>
      </c>
      <c r="AJ37" s="166" t="s">
        <v>194</v>
      </c>
      <c r="AL37" s="166">
        <v>0</v>
      </c>
      <c r="AM37" s="166" t="s">
        <v>194</v>
      </c>
      <c r="AO37" s="166">
        <v>0</v>
      </c>
      <c r="AP37" s="166" t="s">
        <v>194</v>
      </c>
    </row>
    <row r="38" spans="1:42" x14ac:dyDescent="0.15">
      <c r="A38" s="170">
        <v>36</v>
      </c>
      <c r="B38" s="170" t="e">
        <f ca="1"/>
        <v>#N/A</v>
      </c>
      <c r="C38" s="170" t="e">
        <f ca="1"/>
        <v>#N/A</v>
      </c>
      <c r="D38" s="170" t="e">
        <f ca="1"/>
        <v>#N/A</v>
      </c>
      <c r="E38" s="170" t="e">
        <f ca="1"/>
        <v>#N/A</v>
      </c>
      <c r="F38" s="170" t="e">
        <f ca="1"/>
        <v>#N/A</v>
      </c>
      <c r="G38" s="171" t="e">
        <f ca="1"/>
        <v>#N/A</v>
      </c>
      <c r="AE38" s="166">
        <v>0</v>
      </c>
      <c r="AF38" s="166" t="s">
        <v>194</v>
      </c>
      <c r="AG38" s="166" t="s">
        <v>194</v>
      </c>
      <c r="AI38" s="166">
        <v>0</v>
      </c>
      <c r="AJ38" s="166" t="s">
        <v>194</v>
      </c>
      <c r="AL38" s="166">
        <v>0</v>
      </c>
      <c r="AM38" s="166" t="s">
        <v>194</v>
      </c>
      <c r="AO38" s="166">
        <v>0</v>
      </c>
      <c r="AP38" s="166" t="s">
        <v>194</v>
      </c>
    </row>
    <row r="39" spans="1:42" x14ac:dyDescent="0.15">
      <c r="A39" s="170">
        <v>37</v>
      </c>
      <c r="B39" s="170" t="e">
        <f ca="1"/>
        <v>#N/A</v>
      </c>
      <c r="C39" s="170" t="e">
        <f ca="1"/>
        <v>#N/A</v>
      </c>
      <c r="D39" s="170" t="e">
        <f ca="1"/>
        <v>#N/A</v>
      </c>
      <c r="E39" s="170" t="e">
        <f ca="1"/>
        <v>#N/A</v>
      </c>
      <c r="F39" s="170" t="e">
        <f ca="1"/>
        <v>#N/A</v>
      </c>
      <c r="G39" s="171" t="e">
        <f ca="1"/>
        <v>#N/A</v>
      </c>
      <c r="AE39" s="166">
        <v>0</v>
      </c>
      <c r="AF39" s="166" t="s">
        <v>194</v>
      </c>
      <c r="AG39" s="166" t="s">
        <v>194</v>
      </c>
      <c r="AI39" s="166">
        <v>0</v>
      </c>
      <c r="AJ39" s="166" t="s">
        <v>194</v>
      </c>
      <c r="AL39" s="166">
        <v>0</v>
      </c>
      <c r="AM39" s="166" t="s">
        <v>194</v>
      </c>
      <c r="AO39" s="166">
        <v>0</v>
      </c>
      <c r="AP39" s="166" t="s">
        <v>194</v>
      </c>
    </row>
    <row r="40" spans="1:42" x14ac:dyDescent="0.15">
      <c r="A40" s="170">
        <v>38</v>
      </c>
      <c r="B40" s="170" t="e">
        <f ca="1"/>
        <v>#N/A</v>
      </c>
      <c r="C40" s="170" t="e">
        <f ca="1"/>
        <v>#N/A</v>
      </c>
      <c r="D40" s="170" t="e">
        <f ca="1"/>
        <v>#N/A</v>
      </c>
      <c r="E40" s="170" t="e">
        <f ca="1"/>
        <v>#N/A</v>
      </c>
      <c r="F40" s="170" t="e">
        <f ca="1"/>
        <v>#N/A</v>
      </c>
      <c r="G40" s="171" t="e">
        <f ca="1"/>
        <v>#N/A</v>
      </c>
      <c r="AE40" s="166">
        <v>0</v>
      </c>
      <c r="AF40" s="166" t="s">
        <v>194</v>
      </c>
      <c r="AG40" s="166" t="s">
        <v>194</v>
      </c>
      <c r="AI40" s="166">
        <v>0</v>
      </c>
      <c r="AJ40" s="166" t="s">
        <v>194</v>
      </c>
      <c r="AL40" s="166">
        <v>0</v>
      </c>
      <c r="AM40" s="166" t="s">
        <v>194</v>
      </c>
      <c r="AO40" s="166">
        <v>0</v>
      </c>
      <c r="AP40" s="166" t="s">
        <v>194</v>
      </c>
    </row>
    <row r="41" spans="1:42" x14ac:dyDescent="0.15">
      <c r="A41" s="170">
        <v>39</v>
      </c>
      <c r="B41" s="170" t="e">
        <f ca="1"/>
        <v>#N/A</v>
      </c>
      <c r="C41" s="170" t="e">
        <f ca="1"/>
        <v>#N/A</v>
      </c>
      <c r="D41" s="170" t="e">
        <f ca="1"/>
        <v>#N/A</v>
      </c>
      <c r="E41" s="170" t="e">
        <f ca="1"/>
        <v>#N/A</v>
      </c>
      <c r="F41" s="170" t="e">
        <f ca="1"/>
        <v>#N/A</v>
      </c>
      <c r="G41" s="171" t="e">
        <f ca="1"/>
        <v>#N/A</v>
      </c>
      <c r="AE41" s="166">
        <v>0</v>
      </c>
      <c r="AF41" s="166" t="s">
        <v>194</v>
      </c>
      <c r="AG41" s="166" t="s">
        <v>194</v>
      </c>
      <c r="AI41" s="166">
        <v>0</v>
      </c>
      <c r="AJ41" s="166" t="s">
        <v>194</v>
      </c>
      <c r="AL41" s="166">
        <v>0</v>
      </c>
      <c r="AM41" s="166" t="s">
        <v>194</v>
      </c>
      <c r="AO41" s="166">
        <v>0</v>
      </c>
      <c r="AP41" s="166" t="s">
        <v>194</v>
      </c>
    </row>
    <row r="42" spans="1:42" x14ac:dyDescent="0.15">
      <c r="A42" s="170">
        <v>40</v>
      </c>
      <c r="B42" s="170" t="e">
        <f ca="1"/>
        <v>#N/A</v>
      </c>
      <c r="C42" s="170" t="e">
        <f ca="1"/>
        <v>#N/A</v>
      </c>
      <c r="D42" s="170" t="e">
        <f ca="1"/>
        <v>#N/A</v>
      </c>
      <c r="E42" s="170" t="e">
        <f ca="1"/>
        <v>#N/A</v>
      </c>
      <c r="F42" s="170" t="e">
        <f ca="1"/>
        <v>#N/A</v>
      </c>
      <c r="G42" s="171" t="e">
        <f ca="1"/>
        <v>#N/A</v>
      </c>
      <c r="AE42" s="166">
        <v>0</v>
      </c>
      <c r="AF42" s="166" t="s">
        <v>194</v>
      </c>
      <c r="AG42" s="166" t="s">
        <v>194</v>
      </c>
      <c r="AI42" s="166">
        <v>0</v>
      </c>
      <c r="AJ42" s="166" t="s">
        <v>194</v>
      </c>
      <c r="AL42" s="166">
        <v>0</v>
      </c>
      <c r="AM42" s="166" t="s">
        <v>194</v>
      </c>
      <c r="AO42" s="166">
        <v>0</v>
      </c>
      <c r="AP42" s="166" t="s">
        <v>194</v>
      </c>
    </row>
    <row r="43" spans="1:42" x14ac:dyDescent="0.15">
      <c r="AE43" s="166">
        <v>0</v>
      </c>
      <c r="AF43" s="166" t="s">
        <v>194</v>
      </c>
      <c r="AG43" s="166" t="s">
        <v>194</v>
      </c>
      <c r="AI43" s="166">
        <v>0</v>
      </c>
      <c r="AJ43" s="166" t="s">
        <v>194</v>
      </c>
      <c r="AL43" s="166">
        <v>0</v>
      </c>
      <c r="AM43" s="166" t="s">
        <v>194</v>
      </c>
      <c r="AO43" s="166">
        <v>0</v>
      </c>
      <c r="AP43" s="166" t="s">
        <v>194</v>
      </c>
    </row>
    <row r="44" spans="1:42" x14ac:dyDescent="0.15">
      <c r="A44" s="166" t="s">
        <v>348</v>
      </c>
      <c r="AE44" s="166">
        <v>0</v>
      </c>
      <c r="AF44" s="166" t="s">
        <v>194</v>
      </c>
      <c r="AG44" s="166" t="s">
        <v>194</v>
      </c>
      <c r="AI44" s="166">
        <v>0</v>
      </c>
      <c r="AJ44" s="166" t="s">
        <v>194</v>
      </c>
      <c r="AL44" s="166">
        <v>0</v>
      </c>
      <c r="AM44" s="166" t="s">
        <v>194</v>
      </c>
      <c r="AO44" s="166">
        <v>0</v>
      </c>
      <c r="AP44" s="166" t="s">
        <v>194</v>
      </c>
    </row>
    <row r="45" spans="1:42" x14ac:dyDescent="0.15">
      <c r="B45" s="166" t="s">
        <v>194</v>
      </c>
      <c r="AE45" s="166">
        <v>0</v>
      </c>
      <c r="AF45" s="166" t="s">
        <v>194</v>
      </c>
      <c r="AG45" s="166" t="s">
        <v>194</v>
      </c>
      <c r="AL45" s="166">
        <v>0</v>
      </c>
      <c r="AM45" s="166" t="s">
        <v>194</v>
      </c>
      <c r="AO45" s="166">
        <v>0</v>
      </c>
      <c r="AP45" s="166" t="s">
        <v>194</v>
      </c>
    </row>
    <row r="46" spans="1:42" x14ac:dyDescent="0.15">
      <c r="B46" s="166" t="s">
        <v>194</v>
      </c>
      <c r="AE46" s="166">
        <v>0</v>
      </c>
      <c r="AF46" s="166" t="s">
        <v>194</v>
      </c>
      <c r="AG46" s="166" t="s">
        <v>194</v>
      </c>
      <c r="AL46" s="166">
        <v>0</v>
      </c>
      <c r="AM46" s="166" t="s">
        <v>194</v>
      </c>
      <c r="AO46" s="166">
        <v>0</v>
      </c>
      <c r="AP46" s="166" t="s">
        <v>194</v>
      </c>
    </row>
    <row r="47" spans="1:42" x14ac:dyDescent="0.15">
      <c r="B47" s="166" t="s">
        <v>194</v>
      </c>
      <c r="AE47" s="166">
        <v>0</v>
      </c>
      <c r="AF47" s="166" t="s">
        <v>194</v>
      </c>
      <c r="AG47" s="166" t="s">
        <v>194</v>
      </c>
      <c r="AL47" s="166">
        <v>0</v>
      </c>
      <c r="AM47" s="166" t="s">
        <v>194</v>
      </c>
      <c r="AO47" s="166">
        <v>0</v>
      </c>
      <c r="AP47" s="166" t="s">
        <v>194</v>
      </c>
    </row>
    <row r="48" spans="1:42" x14ac:dyDescent="0.15">
      <c r="B48" s="166" t="s">
        <v>194</v>
      </c>
      <c r="AE48" s="166">
        <v>0</v>
      </c>
      <c r="AF48" s="166" t="s">
        <v>194</v>
      </c>
      <c r="AG48" s="166" t="s">
        <v>194</v>
      </c>
      <c r="AL48" s="166">
        <v>0</v>
      </c>
      <c r="AM48" s="166" t="s">
        <v>194</v>
      </c>
      <c r="AO48" s="166">
        <v>0</v>
      </c>
      <c r="AP48" s="166" t="s">
        <v>194</v>
      </c>
    </row>
    <row r="49" spans="2:42" x14ac:dyDescent="0.15">
      <c r="B49" s="166" t="s">
        <v>194</v>
      </c>
      <c r="AE49" s="166">
        <v>0</v>
      </c>
      <c r="AF49" s="166" t="s">
        <v>194</v>
      </c>
      <c r="AG49" s="166" t="s">
        <v>194</v>
      </c>
      <c r="AL49" s="166">
        <v>0</v>
      </c>
      <c r="AM49" s="166" t="s">
        <v>194</v>
      </c>
      <c r="AO49" s="166">
        <v>0</v>
      </c>
      <c r="AP49" s="166" t="s">
        <v>194</v>
      </c>
    </row>
    <row r="50" spans="2:42" x14ac:dyDescent="0.15">
      <c r="B50" s="166" t="s">
        <v>194</v>
      </c>
      <c r="AE50" s="166">
        <v>0</v>
      </c>
      <c r="AF50" s="166" t="s">
        <v>194</v>
      </c>
      <c r="AG50" s="166" t="s">
        <v>194</v>
      </c>
      <c r="AL50" s="166">
        <v>0</v>
      </c>
      <c r="AM50" s="166" t="s">
        <v>194</v>
      </c>
      <c r="AO50" s="166">
        <v>0</v>
      </c>
      <c r="AP50" s="166" t="s">
        <v>194</v>
      </c>
    </row>
    <row r="51" spans="2:42" x14ac:dyDescent="0.15">
      <c r="B51" s="166" t="s">
        <v>194</v>
      </c>
      <c r="AE51" s="166">
        <v>0</v>
      </c>
      <c r="AF51" s="166" t="s">
        <v>194</v>
      </c>
      <c r="AG51" s="166" t="s">
        <v>194</v>
      </c>
      <c r="AL51" s="166">
        <v>0</v>
      </c>
      <c r="AM51" s="166" t="s">
        <v>194</v>
      </c>
      <c r="AO51" s="166">
        <v>0</v>
      </c>
      <c r="AP51" s="166" t="s">
        <v>194</v>
      </c>
    </row>
    <row r="52" spans="2:42" x14ac:dyDescent="0.15">
      <c r="B52" s="166" t="s">
        <v>194</v>
      </c>
      <c r="AF52" s="166" t="s">
        <v>194</v>
      </c>
      <c r="AG52" s="166" t="s">
        <v>194</v>
      </c>
      <c r="AL52" s="166">
        <v>0</v>
      </c>
      <c r="AM52" s="166" t="s">
        <v>194</v>
      </c>
      <c r="AO52" s="166">
        <v>0</v>
      </c>
      <c r="AP52" s="166" t="s">
        <v>194</v>
      </c>
    </row>
    <row r="53" spans="2:42" x14ac:dyDescent="0.15">
      <c r="B53" s="166" t="s">
        <v>194</v>
      </c>
      <c r="AL53" s="166">
        <v>0</v>
      </c>
      <c r="AM53" s="166" t="s">
        <v>194</v>
      </c>
      <c r="AO53" s="166">
        <v>0</v>
      </c>
      <c r="AP53" s="166" t="s">
        <v>194</v>
      </c>
    </row>
    <row r="54" spans="2:42" x14ac:dyDescent="0.15">
      <c r="B54" s="166" t="s">
        <v>194</v>
      </c>
      <c r="AL54" s="166">
        <v>0</v>
      </c>
      <c r="AM54" s="166" t="s">
        <v>194</v>
      </c>
      <c r="AO54" s="166">
        <v>0</v>
      </c>
      <c r="AP54" s="166" t="s">
        <v>194</v>
      </c>
    </row>
    <row r="55" spans="2:42" x14ac:dyDescent="0.15">
      <c r="B55" s="166" t="s">
        <v>194</v>
      </c>
      <c r="AL55" s="166">
        <v>0</v>
      </c>
      <c r="AM55" s="166" t="s">
        <v>194</v>
      </c>
      <c r="AO55" s="166">
        <v>0</v>
      </c>
      <c r="AP55" s="166" t="s">
        <v>194</v>
      </c>
    </row>
    <row r="56" spans="2:42" x14ac:dyDescent="0.15">
      <c r="B56" s="166" t="s">
        <v>194</v>
      </c>
      <c r="AL56" s="166">
        <v>0</v>
      </c>
      <c r="AM56" s="166" t="s">
        <v>194</v>
      </c>
      <c r="AO56" s="166">
        <v>0</v>
      </c>
      <c r="AP56" s="166" t="s">
        <v>194</v>
      </c>
    </row>
    <row r="57" spans="2:42" x14ac:dyDescent="0.15">
      <c r="B57" s="166" t="s">
        <v>194</v>
      </c>
      <c r="AL57" s="166">
        <v>0</v>
      </c>
      <c r="AM57" s="166" t="s">
        <v>194</v>
      </c>
    </row>
    <row r="59" spans="2:42" x14ac:dyDescent="0.15">
      <c r="B59" s="166" t="s">
        <v>194</v>
      </c>
    </row>
    <row r="60" spans="2:42" x14ac:dyDescent="0.15">
      <c r="B60" s="166" t="s">
        <v>686</v>
      </c>
      <c r="C60" s="166" t="str">
        <f>B60&amp;", "</f>
        <v xml:space="preserve">Ahmed R 2-0-90-176, </v>
      </c>
    </row>
    <row r="61" spans="2:42" x14ac:dyDescent="0.15">
      <c r="B61" s="166" t="s">
        <v>700</v>
      </c>
      <c r="C61" s="166" t="str">
        <f t="shared" ref="C61:C80" si="0">B61&amp;", "</f>
        <v xml:space="preserve">Biswas A 1-0-4-4, </v>
      </c>
    </row>
    <row r="62" spans="2:42" x14ac:dyDescent="0.15">
      <c r="B62" s="166" t="s">
        <v>697</v>
      </c>
      <c r="C62" s="166" t="str">
        <f t="shared" si="0"/>
        <v xml:space="preserve">Brocks D 3-0-18-22, </v>
      </c>
    </row>
    <row r="63" spans="2:42" x14ac:dyDescent="0.15">
      <c r="B63" s="166" t="s">
        <v>690</v>
      </c>
      <c r="C63" s="166" t="str">
        <f t="shared" si="0"/>
        <v xml:space="preserve">Crone W 2-0-45-62, </v>
      </c>
    </row>
    <row r="64" spans="2:42" x14ac:dyDescent="0.15">
      <c r="B64" s="166" t="s">
        <v>692</v>
      </c>
      <c r="C64" s="166" t="str">
        <f t="shared" si="0"/>
        <v xml:space="preserve">Curling L 2-0-33-40, </v>
      </c>
    </row>
    <row r="65" spans="2:3" x14ac:dyDescent="0.15">
      <c r="B65" s="166" t="s">
        <v>699</v>
      </c>
      <c r="C65" s="166" t="str">
        <f t="shared" si="0"/>
        <v xml:space="preserve">Deol R 1-0-5-5, </v>
      </c>
    </row>
    <row r="66" spans="2:3" x14ac:dyDescent="0.15">
      <c r="B66" s="166" t="s">
        <v>703</v>
      </c>
      <c r="C66" s="166" t="str">
        <f t="shared" si="0"/>
        <v xml:space="preserve">Gardezi S 1-0-0-0, </v>
      </c>
    </row>
    <row r="67" spans="2:3" x14ac:dyDescent="0.15">
      <c r="B67" s="166" t="s">
        <v>702</v>
      </c>
      <c r="C67" s="166" t="str">
        <f t="shared" si="0"/>
        <v xml:space="preserve">Khan A 1-0-0-0, </v>
      </c>
    </row>
    <row r="68" spans="2:3" x14ac:dyDescent="0.15">
      <c r="B68" s="166" t="s">
        <v>706</v>
      </c>
      <c r="C68" s="166" t="str">
        <f t="shared" si="0"/>
        <v xml:space="preserve">Kiernan M 1-0-0-0, </v>
      </c>
    </row>
    <row r="69" spans="2:3" x14ac:dyDescent="0.15">
      <c r="B69" s="166" t="s">
        <v>695</v>
      </c>
      <c r="C69" s="166" t="str">
        <f t="shared" si="0"/>
        <v xml:space="preserve">Lindsay B 1-0-11-11, </v>
      </c>
    </row>
    <row r="70" spans="2:3" x14ac:dyDescent="0.15">
      <c r="B70" s="166" t="s">
        <v>688</v>
      </c>
      <c r="C70" s="166" t="str">
        <f t="shared" si="0"/>
        <v xml:space="preserve">Mahmood S 1-0-47-47, </v>
      </c>
    </row>
    <row r="71" spans="2:3" x14ac:dyDescent="0.15">
      <c r="B71" s="166" t="s">
        <v>698</v>
      </c>
      <c r="C71" s="166" t="str">
        <f t="shared" si="0"/>
        <v xml:space="preserve">Mander C 1-0-6-6, </v>
      </c>
    </row>
    <row r="72" spans="2:3" x14ac:dyDescent="0.15">
      <c r="B72" s="166" t="s">
        <v>693</v>
      </c>
      <c r="C72" s="166" t="str">
        <f t="shared" si="0"/>
        <v xml:space="preserve">Middleton J 4-1-36*-53, </v>
      </c>
    </row>
    <row r="73" spans="2:3" x14ac:dyDescent="0.15">
      <c r="B73" s="166" t="s">
        <v>689</v>
      </c>
      <c r="C73" s="166" t="str">
        <f t="shared" si="0"/>
        <v xml:space="preserve">Niran S 4-0-49-142, </v>
      </c>
    </row>
    <row r="74" spans="2:3" x14ac:dyDescent="0.15">
      <c r="B74" s="166" t="s">
        <v>705</v>
      </c>
      <c r="C74" s="166" t="str">
        <f t="shared" si="0"/>
        <v xml:space="preserve">Parboo R 1-0-0-0, </v>
      </c>
    </row>
    <row r="75" spans="2:3" x14ac:dyDescent="0.15">
      <c r="B75" s="166" t="s">
        <v>696</v>
      </c>
      <c r="C75" s="166" t="str">
        <f t="shared" si="0"/>
        <v xml:space="preserve">Patel S 1-0-9-9, </v>
      </c>
    </row>
    <row r="76" spans="2:3" x14ac:dyDescent="0.15">
      <c r="B76" s="166" t="s">
        <v>701</v>
      </c>
      <c r="C76" s="166" t="str">
        <f t="shared" si="0"/>
        <v xml:space="preserve">Rugg D 4-1-8-9, </v>
      </c>
    </row>
    <row r="77" spans="2:3" x14ac:dyDescent="0.15">
      <c r="B77" s="166" t="s">
        <v>687</v>
      </c>
      <c r="C77" s="166" t="str">
        <f t="shared" si="0"/>
        <v xml:space="preserve">Stevenson R 1-0-67-67, </v>
      </c>
    </row>
    <row r="78" spans="2:3" x14ac:dyDescent="0.15">
      <c r="B78" s="166" t="s">
        <v>704</v>
      </c>
      <c r="C78" s="166" t="str">
        <f t="shared" si="0"/>
        <v xml:space="preserve">Turner 1-1-16*-16, </v>
      </c>
    </row>
    <row r="79" spans="2:3" x14ac:dyDescent="0.15">
      <c r="B79" s="166" t="s">
        <v>694</v>
      </c>
      <c r="C79" s="166" t="str">
        <f t="shared" si="0"/>
        <v xml:space="preserve">Umar S 1-0-13-13, </v>
      </c>
    </row>
    <row r="80" spans="2:3" x14ac:dyDescent="0.15">
      <c r="B80" s="166" t="s">
        <v>691</v>
      </c>
      <c r="C80" s="166" t="str">
        <f t="shared" si="0"/>
        <v xml:space="preserve">Viveganandan M 3-1-43-50, </v>
      </c>
    </row>
  </sheetData>
  <sortState xmlns:xlrd2="http://schemas.microsoft.com/office/spreadsheetml/2017/richdata2"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O83"/>
  <sheetViews>
    <sheetView topLeftCell="E1" workbookViewId="0">
      <selection activeCell="AC18" sqref="AC18"/>
    </sheetView>
  </sheetViews>
  <sheetFormatPr defaultRowHeight="10.5" x14ac:dyDescent="0.15"/>
  <cols>
    <col min="28" max="28" width="4.7109375" style="134" customWidth="1"/>
    <col min="29" max="29" width="19" customWidth="1"/>
    <col min="30" max="30" width="4.7109375" style="134" customWidth="1"/>
    <col min="31" max="31" width="19" customWidth="1"/>
    <col min="32" max="32" width="4.7109375" style="134" customWidth="1"/>
    <col min="33" max="33" width="19" customWidth="1"/>
    <col min="34" max="34" width="4.7109375" style="134" customWidth="1"/>
    <col min="35" max="35" width="12.7109375" customWidth="1"/>
    <col min="36" max="36" width="4.7109375" style="134" customWidth="1"/>
    <col min="37" max="37" width="12.7109375" customWidth="1"/>
    <col min="38" max="38" width="4.7109375" style="134" customWidth="1"/>
    <col min="39" max="39" width="12.7109375" customWidth="1"/>
    <col min="40" max="40" width="4.7109375" style="134" customWidth="1"/>
    <col min="41" max="41" width="12.7109375" customWidth="1"/>
  </cols>
  <sheetData>
    <row r="1" spans="1:29" x14ac:dyDescent="0.15">
      <c r="A1" t="s">
        <v>707</v>
      </c>
      <c r="B1" t="s">
        <v>707</v>
      </c>
      <c r="C1" t="s">
        <v>707</v>
      </c>
      <c r="D1" t="s">
        <v>707</v>
      </c>
      <c r="E1" t="s">
        <v>707</v>
      </c>
      <c r="F1" t="s">
        <v>707</v>
      </c>
      <c r="G1" t="s">
        <v>707</v>
      </c>
      <c r="H1" t="s">
        <v>707</v>
      </c>
      <c r="I1" t="s">
        <v>707</v>
      </c>
      <c r="J1" t="s">
        <v>707</v>
      </c>
      <c r="K1" t="s">
        <v>707</v>
      </c>
      <c r="L1" t="s">
        <v>707</v>
      </c>
      <c r="M1" t="s">
        <v>707</v>
      </c>
      <c r="N1" t="s">
        <v>707</v>
      </c>
      <c r="O1" t="s">
        <v>707</v>
      </c>
      <c r="P1" t="s">
        <v>707</v>
      </c>
      <c r="Q1" t="s">
        <v>707</v>
      </c>
      <c r="R1" t="s">
        <v>707</v>
      </c>
      <c r="S1" t="s">
        <v>707</v>
      </c>
      <c r="T1" t="s">
        <v>707</v>
      </c>
      <c r="U1" t="s">
        <v>707</v>
      </c>
      <c r="V1" t="s">
        <v>707</v>
      </c>
    </row>
    <row r="2" spans="1:29" x14ac:dyDescent="0.15">
      <c r="A2" t="s">
        <v>707</v>
      </c>
      <c r="B2" t="s">
        <v>707</v>
      </c>
      <c r="C2" t="s">
        <v>707</v>
      </c>
      <c r="D2" t="s">
        <v>707</v>
      </c>
      <c r="F2" t="s">
        <v>707</v>
      </c>
      <c r="G2" t="s">
        <v>707</v>
      </c>
      <c r="H2" t="s">
        <v>707</v>
      </c>
      <c r="J2" t="s">
        <v>707</v>
      </c>
      <c r="K2" t="s">
        <v>707</v>
      </c>
      <c r="L2" t="s">
        <v>707</v>
      </c>
      <c r="M2" t="s">
        <v>707</v>
      </c>
      <c r="N2" t="s">
        <v>707</v>
      </c>
      <c r="O2" t="s">
        <v>707</v>
      </c>
      <c r="P2" t="s">
        <v>707</v>
      </c>
      <c r="Q2" t="s">
        <v>707</v>
      </c>
      <c r="R2" t="s">
        <v>707</v>
      </c>
      <c r="S2" t="s">
        <v>707</v>
      </c>
      <c r="T2" t="s">
        <v>707</v>
      </c>
      <c r="U2" t="s">
        <v>707</v>
      </c>
      <c r="V2" t="s">
        <v>707</v>
      </c>
    </row>
    <row r="3" spans="1:29" x14ac:dyDescent="0.15">
      <c r="A3" t="s">
        <v>707</v>
      </c>
      <c r="B3" t="s">
        <v>707</v>
      </c>
      <c r="C3" t="s">
        <v>707</v>
      </c>
      <c r="D3" t="s">
        <v>707</v>
      </c>
      <c r="E3" t="s">
        <v>707</v>
      </c>
      <c r="F3" t="s">
        <v>707</v>
      </c>
      <c r="G3" t="s">
        <v>707</v>
      </c>
      <c r="H3" t="s">
        <v>707</v>
      </c>
      <c r="I3" t="s">
        <v>707</v>
      </c>
      <c r="J3" t="s">
        <v>707</v>
      </c>
      <c r="K3" t="s">
        <v>707</v>
      </c>
      <c r="L3" t="s">
        <v>707</v>
      </c>
      <c r="M3" t="s">
        <v>707</v>
      </c>
      <c r="N3" t="s">
        <v>707</v>
      </c>
      <c r="O3" t="s">
        <v>707</v>
      </c>
      <c r="P3" t="s">
        <v>707</v>
      </c>
      <c r="Q3" t="s">
        <v>707</v>
      </c>
      <c r="R3" t="s">
        <v>707</v>
      </c>
      <c r="S3" t="s">
        <v>707</v>
      </c>
      <c r="T3" t="s">
        <v>707</v>
      </c>
      <c r="U3" t="s">
        <v>707</v>
      </c>
      <c r="V3" t="s">
        <v>707</v>
      </c>
    </row>
    <row r="4" spans="1:29" x14ac:dyDescent="0.15">
      <c r="A4" t="s">
        <v>707</v>
      </c>
      <c r="B4" t="s">
        <v>707</v>
      </c>
      <c r="C4" t="s">
        <v>707</v>
      </c>
      <c r="D4" t="s">
        <v>707</v>
      </c>
      <c r="E4" t="s">
        <v>707</v>
      </c>
      <c r="F4" t="s">
        <v>707</v>
      </c>
      <c r="G4" t="s">
        <v>707</v>
      </c>
      <c r="H4" t="s">
        <v>707</v>
      </c>
      <c r="I4" t="s">
        <v>707</v>
      </c>
      <c r="J4" t="s">
        <v>707</v>
      </c>
      <c r="K4" t="s">
        <v>707</v>
      </c>
      <c r="L4" t="s">
        <v>707</v>
      </c>
      <c r="M4" t="s">
        <v>707</v>
      </c>
      <c r="N4" t="s">
        <v>707</v>
      </c>
      <c r="O4" t="s">
        <v>707</v>
      </c>
      <c r="P4" t="s">
        <v>707</v>
      </c>
      <c r="Q4" t="s">
        <v>707</v>
      </c>
      <c r="R4" t="s">
        <v>707</v>
      </c>
      <c r="S4" t="s">
        <v>707</v>
      </c>
      <c r="T4" t="s">
        <v>707</v>
      </c>
      <c r="U4" t="s">
        <v>707</v>
      </c>
      <c r="V4" t="s">
        <v>707</v>
      </c>
    </row>
    <row r="5" spans="1:29" x14ac:dyDescent="0.15">
      <c r="A5" t="s">
        <v>707</v>
      </c>
      <c r="B5" t="s">
        <v>707</v>
      </c>
      <c r="C5" t="s">
        <v>707</v>
      </c>
      <c r="D5" t="s">
        <v>707</v>
      </c>
      <c r="E5" t="s">
        <v>707</v>
      </c>
      <c r="F5" t="s">
        <v>707</v>
      </c>
      <c r="G5" t="s">
        <v>707</v>
      </c>
      <c r="H5" t="s">
        <v>707</v>
      </c>
      <c r="I5" t="s">
        <v>707</v>
      </c>
      <c r="J5" t="s">
        <v>707</v>
      </c>
      <c r="K5" t="s">
        <v>707</v>
      </c>
      <c r="L5" t="s">
        <v>707</v>
      </c>
      <c r="M5" t="s">
        <v>707</v>
      </c>
      <c r="N5" t="s">
        <v>707</v>
      </c>
      <c r="O5" t="s">
        <v>707</v>
      </c>
      <c r="P5" t="s">
        <v>707</v>
      </c>
      <c r="Q5" t="s">
        <v>707</v>
      </c>
      <c r="R5" t="s">
        <v>707</v>
      </c>
      <c r="S5" t="s">
        <v>707</v>
      </c>
      <c r="T5" t="s">
        <v>707</v>
      </c>
      <c r="U5" t="s">
        <v>707</v>
      </c>
      <c r="V5" t="s">
        <v>707</v>
      </c>
    </row>
    <row r="6" spans="1:29" x14ac:dyDescent="0.15">
      <c r="A6" t="s">
        <v>707</v>
      </c>
      <c r="B6" t="s">
        <v>707</v>
      </c>
      <c r="C6" t="s">
        <v>707</v>
      </c>
      <c r="D6" t="s">
        <v>707</v>
      </c>
      <c r="E6" t="s">
        <v>707</v>
      </c>
      <c r="F6" t="s">
        <v>707</v>
      </c>
      <c r="G6" t="s">
        <v>707</v>
      </c>
      <c r="H6" t="s">
        <v>707</v>
      </c>
      <c r="I6" t="s">
        <v>707</v>
      </c>
      <c r="J6" t="s">
        <v>707</v>
      </c>
      <c r="K6" t="s">
        <v>707</v>
      </c>
      <c r="L6" t="s">
        <v>707</v>
      </c>
      <c r="M6" t="s">
        <v>707</v>
      </c>
      <c r="N6" t="s">
        <v>707</v>
      </c>
      <c r="O6" t="s">
        <v>707</v>
      </c>
      <c r="P6" t="s">
        <v>707</v>
      </c>
      <c r="Q6" t="s">
        <v>707</v>
      </c>
      <c r="R6" t="s">
        <v>707</v>
      </c>
      <c r="S6" t="s">
        <v>707</v>
      </c>
      <c r="T6" t="s">
        <v>707</v>
      </c>
      <c r="U6" t="s">
        <v>707</v>
      </c>
      <c r="V6" t="s">
        <v>707</v>
      </c>
      <c r="W6" t="s">
        <v>708</v>
      </c>
      <c r="X6" t="s">
        <v>324</v>
      </c>
      <c r="Y6" t="s">
        <v>269</v>
      </c>
      <c r="Z6" s="185">
        <v>45040</v>
      </c>
    </row>
    <row r="7" spans="1:29" x14ac:dyDescent="0.15">
      <c r="A7" t="s">
        <v>707</v>
      </c>
      <c r="B7" t="s">
        <v>707</v>
      </c>
      <c r="C7" t="s">
        <v>707</v>
      </c>
      <c r="D7" t="s">
        <v>707</v>
      </c>
      <c r="E7" t="s">
        <v>707</v>
      </c>
      <c r="F7" t="s">
        <v>707</v>
      </c>
      <c r="G7" t="s">
        <v>707</v>
      </c>
      <c r="H7" t="s">
        <v>707</v>
      </c>
      <c r="I7" t="s">
        <v>707</v>
      </c>
      <c r="J7" t="s">
        <v>707</v>
      </c>
      <c r="K7" t="s">
        <v>707</v>
      </c>
      <c r="L7" t="s">
        <v>707</v>
      </c>
      <c r="M7" t="s">
        <v>707</v>
      </c>
      <c r="N7" t="s">
        <v>707</v>
      </c>
      <c r="O7" t="s">
        <v>707</v>
      </c>
      <c r="P7" t="s">
        <v>707</v>
      </c>
      <c r="Q7" t="s">
        <v>707</v>
      </c>
      <c r="R7" t="s">
        <v>707</v>
      </c>
      <c r="S7" t="s">
        <v>707</v>
      </c>
      <c r="T7" t="s">
        <v>707</v>
      </c>
      <c r="U7" t="s">
        <v>707</v>
      </c>
      <c r="V7" t="s">
        <v>707</v>
      </c>
      <c r="W7">
        <v>90</v>
      </c>
      <c r="X7" t="s">
        <v>425</v>
      </c>
      <c r="Y7" t="s">
        <v>389</v>
      </c>
      <c r="Z7" s="185">
        <v>45068</v>
      </c>
      <c r="AC7" t="s">
        <v>194</v>
      </c>
    </row>
    <row r="8" spans="1:29" x14ac:dyDescent="0.15">
      <c r="A8" t="s">
        <v>707</v>
      </c>
      <c r="B8" t="s">
        <v>707</v>
      </c>
      <c r="C8" t="s">
        <v>707</v>
      </c>
      <c r="D8" t="s">
        <v>707</v>
      </c>
      <c r="E8" t="s">
        <v>707</v>
      </c>
      <c r="F8" t="s">
        <v>707</v>
      </c>
      <c r="G8" t="s">
        <v>707</v>
      </c>
      <c r="H8" t="s">
        <v>707</v>
      </c>
      <c r="I8" t="s">
        <v>707</v>
      </c>
      <c r="J8" t="s">
        <v>707</v>
      </c>
      <c r="K8" t="s">
        <v>707</v>
      </c>
      <c r="L8" t="s">
        <v>707</v>
      </c>
      <c r="M8" t="s">
        <v>707</v>
      </c>
      <c r="N8" t="s">
        <v>707</v>
      </c>
      <c r="O8" t="s">
        <v>707</v>
      </c>
      <c r="P8" t="s">
        <v>707</v>
      </c>
      <c r="Q8" t="s">
        <v>707</v>
      </c>
      <c r="R8" t="s">
        <v>707</v>
      </c>
      <c r="S8" t="s">
        <v>707</v>
      </c>
      <c r="T8" t="s">
        <v>707</v>
      </c>
      <c r="U8" t="s">
        <v>707</v>
      </c>
      <c r="V8" t="s">
        <v>707</v>
      </c>
      <c r="W8">
        <v>84</v>
      </c>
      <c r="X8" t="s">
        <v>324</v>
      </c>
      <c r="Y8" t="s">
        <v>522</v>
      </c>
      <c r="Z8" s="185">
        <v>45152</v>
      </c>
      <c r="AC8" t="s">
        <v>194</v>
      </c>
    </row>
    <row r="9" spans="1:29" x14ac:dyDescent="0.15">
      <c r="B9" t="s">
        <v>707</v>
      </c>
      <c r="C9" t="s">
        <v>707</v>
      </c>
      <c r="D9" t="s">
        <v>707</v>
      </c>
      <c r="E9" t="s">
        <v>707</v>
      </c>
      <c r="F9" t="s">
        <v>707</v>
      </c>
      <c r="G9" t="s">
        <v>707</v>
      </c>
      <c r="H9" t="s">
        <v>707</v>
      </c>
      <c r="I9" t="s">
        <v>707</v>
      </c>
      <c r="J9" t="s">
        <v>707</v>
      </c>
      <c r="K9" t="s">
        <v>707</v>
      </c>
      <c r="L9" t="s">
        <v>707</v>
      </c>
      <c r="M9" t="s">
        <v>707</v>
      </c>
      <c r="N9" t="s">
        <v>707</v>
      </c>
      <c r="O9" t="s">
        <v>707</v>
      </c>
      <c r="Q9" t="s">
        <v>707</v>
      </c>
      <c r="R9" t="s">
        <v>707</v>
      </c>
      <c r="S9" t="s">
        <v>707</v>
      </c>
      <c r="T9" t="s">
        <v>707</v>
      </c>
      <c r="U9" t="s">
        <v>707</v>
      </c>
      <c r="V9" t="s">
        <v>707</v>
      </c>
      <c r="W9">
        <v>86</v>
      </c>
      <c r="X9" t="s">
        <v>425</v>
      </c>
      <c r="Y9" t="s">
        <v>290</v>
      </c>
      <c r="Z9" s="185">
        <v>45089</v>
      </c>
      <c r="AC9" t="s">
        <v>194</v>
      </c>
    </row>
    <row r="10" spans="1:29" x14ac:dyDescent="0.15">
      <c r="A10" t="s">
        <v>707</v>
      </c>
      <c r="B10" t="s">
        <v>707</v>
      </c>
      <c r="C10" t="s">
        <v>707</v>
      </c>
      <c r="D10" t="s">
        <v>707</v>
      </c>
      <c r="E10" t="s">
        <v>707</v>
      </c>
      <c r="F10" t="s">
        <v>707</v>
      </c>
      <c r="G10" t="s">
        <v>707</v>
      </c>
      <c r="H10" t="s">
        <v>707</v>
      </c>
      <c r="I10" t="s">
        <v>707</v>
      </c>
      <c r="J10" t="s">
        <v>707</v>
      </c>
      <c r="K10" t="s">
        <v>707</v>
      </c>
      <c r="L10" t="s">
        <v>707</v>
      </c>
      <c r="M10" t="s">
        <v>707</v>
      </c>
      <c r="N10" t="s">
        <v>707</v>
      </c>
      <c r="O10" t="s">
        <v>707</v>
      </c>
      <c r="P10" t="s">
        <v>707</v>
      </c>
      <c r="Q10" t="s">
        <v>707</v>
      </c>
      <c r="R10" t="s">
        <v>707</v>
      </c>
      <c r="S10" t="s">
        <v>707</v>
      </c>
      <c r="T10" t="s">
        <v>707</v>
      </c>
      <c r="U10" t="s">
        <v>707</v>
      </c>
      <c r="V10" t="s">
        <v>707</v>
      </c>
      <c r="W10">
        <v>52</v>
      </c>
      <c r="X10" t="s">
        <v>383</v>
      </c>
      <c r="Y10" t="s">
        <v>568</v>
      </c>
      <c r="Z10" s="185">
        <v>45194</v>
      </c>
      <c r="AC10" t="s">
        <v>720</v>
      </c>
    </row>
    <row r="11" spans="1:29" x14ac:dyDescent="0.15">
      <c r="A11" t="s">
        <v>707</v>
      </c>
      <c r="B11" t="s">
        <v>707</v>
      </c>
      <c r="C11" t="s">
        <v>707</v>
      </c>
      <c r="D11" t="s">
        <v>707</v>
      </c>
      <c r="E11" t="s">
        <v>707</v>
      </c>
      <c r="F11" t="s">
        <v>707</v>
      </c>
      <c r="G11" t="s">
        <v>707</v>
      </c>
      <c r="H11" t="s">
        <v>707</v>
      </c>
      <c r="I11" t="s">
        <v>707</v>
      </c>
      <c r="J11" t="s">
        <v>707</v>
      </c>
      <c r="K11" t="s">
        <v>707</v>
      </c>
      <c r="L11" t="s">
        <v>707</v>
      </c>
      <c r="M11" t="s">
        <v>707</v>
      </c>
      <c r="N11" t="s">
        <v>707</v>
      </c>
      <c r="O11" t="s">
        <v>707</v>
      </c>
      <c r="P11" t="s">
        <v>707</v>
      </c>
      <c r="Q11" t="s">
        <v>707</v>
      </c>
      <c r="R11" t="s">
        <v>707</v>
      </c>
      <c r="S11" t="s">
        <v>707</v>
      </c>
      <c r="T11" t="s">
        <v>707</v>
      </c>
      <c r="U11" t="s">
        <v>707</v>
      </c>
      <c r="V11" t="s">
        <v>707</v>
      </c>
      <c r="W11" t="s">
        <v>709</v>
      </c>
      <c r="X11" t="s">
        <v>136</v>
      </c>
      <c r="Y11" t="s">
        <v>538</v>
      </c>
      <c r="Z11" s="185">
        <v>45110</v>
      </c>
      <c r="AC11" t="s">
        <v>732</v>
      </c>
    </row>
    <row r="12" spans="1:29" x14ac:dyDescent="0.15">
      <c r="A12" t="s">
        <v>707</v>
      </c>
      <c r="B12" t="s">
        <v>707</v>
      </c>
      <c r="C12" t="s">
        <v>707</v>
      </c>
      <c r="D12" t="s">
        <v>707</v>
      </c>
      <c r="E12" t="s">
        <v>707</v>
      </c>
      <c r="F12" t="s">
        <v>707</v>
      </c>
      <c r="G12" t="s">
        <v>707</v>
      </c>
      <c r="H12" t="s">
        <v>707</v>
      </c>
      <c r="I12" t="s">
        <v>707</v>
      </c>
      <c r="J12" t="s">
        <v>707</v>
      </c>
      <c r="K12" t="s">
        <v>707</v>
      </c>
      <c r="L12" t="s">
        <v>707</v>
      </c>
      <c r="M12" t="s">
        <v>707</v>
      </c>
      <c r="N12" t="s">
        <v>707</v>
      </c>
      <c r="O12" t="s">
        <v>707</v>
      </c>
      <c r="P12" t="s">
        <v>707</v>
      </c>
      <c r="Q12" t="s">
        <v>707</v>
      </c>
      <c r="R12" t="s">
        <v>707</v>
      </c>
      <c r="S12" t="s">
        <v>707</v>
      </c>
      <c r="T12" t="s">
        <v>707</v>
      </c>
      <c r="U12" t="s">
        <v>707</v>
      </c>
      <c r="V12" t="s">
        <v>707</v>
      </c>
      <c r="W12">
        <v>86</v>
      </c>
      <c r="X12" t="s">
        <v>136</v>
      </c>
      <c r="Y12" t="s">
        <v>499</v>
      </c>
      <c r="Z12" s="185">
        <v>45096</v>
      </c>
      <c r="AC12" t="s">
        <v>725</v>
      </c>
    </row>
    <row r="13" spans="1:29" x14ac:dyDescent="0.15">
      <c r="A13" t="s">
        <v>707</v>
      </c>
      <c r="B13" t="s">
        <v>707</v>
      </c>
      <c r="C13" t="s">
        <v>707</v>
      </c>
      <c r="D13" t="s">
        <v>707</v>
      </c>
      <c r="E13" t="s">
        <v>707</v>
      </c>
      <c r="F13" t="s">
        <v>707</v>
      </c>
      <c r="G13" t="s">
        <v>707</v>
      </c>
      <c r="H13" t="s">
        <v>707</v>
      </c>
      <c r="I13" t="s">
        <v>707</v>
      </c>
      <c r="J13" t="s">
        <v>707</v>
      </c>
      <c r="K13" t="s">
        <v>707</v>
      </c>
      <c r="L13" t="s">
        <v>707</v>
      </c>
      <c r="M13" t="s">
        <v>707</v>
      </c>
      <c r="N13" t="s">
        <v>707</v>
      </c>
      <c r="O13" t="s">
        <v>707</v>
      </c>
      <c r="P13" t="s">
        <v>707</v>
      </c>
      <c r="Q13" t="s">
        <v>707</v>
      </c>
      <c r="R13" t="s">
        <v>707</v>
      </c>
      <c r="S13" t="s">
        <v>707</v>
      </c>
      <c r="T13" t="s">
        <v>707</v>
      </c>
      <c r="U13" t="s">
        <v>707</v>
      </c>
      <c r="V13" t="s">
        <v>707</v>
      </c>
      <c r="W13">
        <v>52</v>
      </c>
      <c r="X13" t="s">
        <v>196</v>
      </c>
      <c r="Y13" t="s">
        <v>290</v>
      </c>
      <c r="Z13" s="185">
        <v>45089</v>
      </c>
      <c r="AC13" t="s">
        <v>726</v>
      </c>
    </row>
    <row r="14" spans="1:29" x14ac:dyDescent="0.15">
      <c r="A14" t="s">
        <v>707</v>
      </c>
      <c r="B14" t="s">
        <v>707</v>
      </c>
      <c r="C14" t="s">
        <v>707</v>
      </c>
      <c r="D14" t="s">
        <v>707</v>
      </c>
      <c r="E14" t="s">
        <v>707</v>
      </c>
      <c r="F14" t="s">
        <v>707</v>
      </c>
      <c r="G14" t="s">
        <v>707</v>
      </c>
      <c r="H14" t="s">
        <v>707</v>
      </c>
      <c r="I14" t="s">
        <v>707</v>
      </c>
      <c r="J14" t="s">
        <v>707</v>
      </c>
      <c r="K14" t="s">
        <v>707</v>
      </c>
      <c r="L14" t="s">
        <v>707</v>
      </c>
      <c r="M14" t="s">
        <v>707</v>
      </c>
      <c r="N14" t="s">
        <v>707</v>
      </c>
      <c r="O14" t="s">
        <v>707</v>
      </c>
      <c r="P14" t="s">
        <v>707</v>
      </c>
      <c r="Q14" t="s">
        <v>707</v>
      </c>
      <c r="R14" t="s">
        <v>707</v>
      </c>
      <c r="S14" t="s">
        <v>707</v>
      </c>
      <c r="T14" t="s">
        <v>707</v>
      </c>
      <c r="U14" t="s">
        <v>707</v>
      </c>
      <c r="V14" t="s">
        <v>707</v>
      </c>
      <c r="W14">
        <v>66</v>
      </c>
      <c r="X14" t="s">
        <v>383</v>
      </c>
      <c r="Y14" t="s">
        <v>389</v>
      </c>
      <c r="Z14" s="185">
        <v>45068</v>
      </c>
      <c r="AC14" t="s">
        <v>730</v>
      </c>
    </row>
    <row r="15" spans="1:29" x14ac:dyDescent="0.15">
      <c r="A15" t="s">
        <v>707</v>
      </c>
      <c r="B15" t="s">
        <v>707</v>
      </c>
      <c r="C15" t="s">
        <v>707</v>
      </c>
      <c r="D15" t="s">
        <v>707</v>
      </c>
      <c r="E15" t="s">
        <v>707</v>
      </c>
      <c r="F15" t="s">
        <v>707</v>
      </c>
      <c r="G15" t="s">
        <v>707</v>
      </c>
      <c r="H15" t="s">
        <v>707</v>
      </c>
      <c r="I15" t="s">
        <v>707</v>
      </c>
      <c r="J15" t="s">
        <v>707</v>
      </c>
      <c r="K15" t="s">
        <v>707</v>
      </c>
      <c r="L15" t="s">
        <v>707</v>
      </c>
      <c r="M15" t="s">
        <v>707</v>
      </c>
      <c r="N15" t="s">
        <v>707</v>
      </c>
      <c r="O15" t="s">
        <v>707</v>
      </c>
      <c r="P15" t="s">
        <v>707</v>
      </c>
      <c r="Q15" t="s">
        <v>707</v>
      </c>
      <c r="R15" t="s">
        <v>707</v>
      </c>
      <c r="S15" t="s">
        <v>707</v>
      </c>
      <c r="T15" t="s">
        <v>707</v>
      </c>
      <c r="U15" t="s">
        <v>707</v>
      </c>
      <c r="V15" t="s">
        <v>707</v>
      </c>
      <c r="W15">
        <v>67</v>
      </c>
      <c r="X15" t="s">
        <v>307</v>
      </c>
      <c r="Y15" t="s">
        <v>290</v>
      </c>
      <c r="Z15" s="185">
        <v>45089</v>
      </c>
      <c r="AC15" t="s">
        <v>712</v>
      </c>
    </row>
    <row r="16" spans="1:29" x14ac:dyDescent="0.15">
      <c r="A16" t="s">
        <v>707</v>
      </c>
      <c r="B16" t="s">
        <v>707</v>
      </c>
      <c r="C16" t="s">
        <v>707</v>
      </c>
      <c r="D16" t="s">
        <v>707</v>
      </c>
      <c r="E16" t="s">
        <v>707</v>
      </c>
      <c r="F16" t="s">
        <v>707</v>
      </c>
      <c r="G16" t="s">
        <v>707</v>
      </c>
      <c r="H16" t="s">
        <v>707</v>
      </c>
      <c r="I16" t="s">
        <v>707</v>
      </c>
      <c r="J16" t="s">
        <v>707</v>
      </c>
      <c r="K16" t="s">
        <v>707</v>
      </c>
      <c r="L16" t="s">
        <v>707</v>
      </c>
      <c r="M16" t="s">
        <v>707</v>
      </c>
      <c r="N16" t="s">
        <v>707</v>
      </c>
      <c r="O16" t="s">
        <v>707</v>
      </c>
      <c r="P16" t="s">
        <v>707</v>
      </c>
      <c r="Q16" t="s">
        <v>707</v>
      </c>
      <c r="R16" t="s">
        <v>707</v>
      </c>
      <c r="S16" t="s">
        <v>707</v>
      </c>
      <c r="T16" t="s">
        <v>707</v>
      </c>
      <c r="U16" t="s">
        <v>707</v>
      </c>
      <c r="V16" t="s">
        <v>707</v>
      </c>
      <c r="W16">
        <v>70</v>
      </c>
      <c r="X16" t="s">
        <v>196</v>
      </c>
      <c r="Y16" t="s">
        <v>382</v>
      </c>
      <c r="Z16" s="185">
        <v>45061</v>
      </c>
      <c r="AC16" t="s">
        <v>715</v>
      </c>
    </row>
    <row r="17" spans="1:41" x14ac:dyDescent="0.15">
      <c r="A17" t="s">
        <v>707</v>
      </c>
      <c r="B17" t="s">
        <v>707</v>
      </c>
      <c r="C17" t="s">
        <v>707</v>
      </c>
      <c r="D17" t="s">
        <v>707</v>
      </c>
      <c r="E17" t="s">
        <v>707</v>
      </c>
      <c r="F17" t="s">
        <v>707</v>
      </c>
      <c r="G17" t="s">
        <v>707</v>
      </c>
      <c r="H17" t="s">
        <v>707</v>
      </c>
      <c r="I17" t="s">
        <v>707</v>
      </c>
      <c r="J17" t="s">
        <v>707</v>
      </c>
      <c r="K17" t="s">
        <v>707</v>
      </c>
      <c r="L17" t="s">
        <v>707</v>
      </c>
      <c r="M17" t="s">
        <v>707</v>
      </c>
      <c r="N17" t="s">
        <v>707</v>
      </c>
      <c r="O17" t="s">
        <v>707</v>
      </c>
      <c r="P17" t="s">
        <v>707</v>
      </c>
      <c r="Q17" t="s">
        <v>707</v>
      </c>
      <c r="R17" t="s">
        <v>707</v>
      </c>
      <c r="S17" t="s">
        <v>707</v>
      </c>
      <c r="T17" t="s">
        <v>707</v>
      </c>
      <c r="U17" t="s">
        <v>707</v>
      </c>
      <c r="V17" t="s">
        <v>707</v>
      </c>
      <c r="W17" t="s">
        <v>710</v>
      </c>
      <c r="X17" t="s">
        <v>259</v>
      </c>
      <c r="Y17" t="s">
        <v>291</v>
      </c>
      <c r="Z17" s="185">
        <v>45047</v>
      </c>
      <c r="AC17" t="s">
        <v>731</v>
      </c>
    </row>
    <row r="18" spans="1:41" x14ac:dyDescent="0.15">
      <c r="A18" t="s">
        <v>707</v>
      </c>
      <c r="B18" t="s">
        <v>707</v>
      </c>
      <c r="C18" t="s">
        <v>707</v>
      </c>
      <c r="D18" t="s">
        <v>707</v>
      </c>
      <c r="E18" t="s">
        <v>707</v>
      </c>
      <c r="F18" t="s">
        <v>707</v>
      </c>
      <c r="G18" t="s">
        <v>707</v>
      </c>
      <c r="H18" t="s">
        <v>707</v>
      </c>
      <c r="I18" t="s">
        <v>707</v>
      </c>
      <c r="J18" t="s">
        <v>707</v>
      </c>
      <c r="K18" t="s">
        <v>707</v>
      </c>
      <c r="L18" t="s">
        <v>707</v>
      </c>
      <c r="M18" t="s">
        <v>707</v>
      </c>
      <c r="N18" t="s">
        <v>707</v>
      </c>
      <c r="O18" t="s">
        <v>707</v>
      </c>
      <c r="P18" t="s">
        <v>707</v>
      </c>
      <c r="Q18" t="s">
        <v>707</v>
      </c>
      <c r="R18" t="s">
        <v>707</v>
      </c>
      <c r="S18" t="s">
        <v>707</v>
      </c>
      <c r="T18" t="s">
        <v>707</v>
      </c>
      <c r="U18" t="s">
        <v>707</v>
      </c>
      <c r="V18" t="s">
        <v>707</v>
      </c>
      <c r="W18">
        <v>64</v>
      </c>
      <c r="X18" t="s">
        <v>222</v>
      </c>
      <c r="Y18" t="s">
        <v>388</v>
      </c>
      <c r="Z18" s="185">
        <v>45054</v>
      </c>
      <c r="AC18" t="s">
        <v>722</v>
      </c>
    </row>
    <row r="19" spans="1:41" x14ac:dyDescent="0.15">
      <c r="A19" t="s">
        <v>707</v>
      </c>
      <c r="B19" t="s">
        <v>707</v>
      </c>
      <c r="C19" t="s">
        <v>707</v>
      </c>
      <c r="D19" t="s">
        <v>707</v>
      </c>
      <c r="E19" t="s">
        <v>707</v>
      </c>
      <c r="F19" t="s">
        <v>707</v>
      </c>
      <c r="G19" t="s">
        <v>707</v>
      </c>
      <c r="H19" t="s">
        <v>707</v>
      </c>
      <c r="I19" t="s">
        <v>707</v>
      </c>
      <c r="J19" t="s">
        <v>707</v>
      </c>
      <c r="K19" t="s">
        <v>707</v>
      </c>
      <c r="L19" t="s">
        <v>707</v>
      </c>
      <c r="M19" t="s">
        <v>707</v>
      </c>
      <c r="N19" t="s">
        <v>707</v>
      </c>
      <c r="O19" t="s">
        <v>707</v>
      </c>
      <c r="P19" t="s">
        <v>707</v>
      </c>
      <c r="Q19" t="s">
        <v>707</v>
      </c>
      <c r="R19" t="s">
        <v>707</v>
      </c>
      <c r="S19" t="s">
        <v>707</v>
      </c>
      <c r="T19" t="s">
        <v>707</v>
      </c>
      <c r="U19" t="s">
        <v>707</v>
      </c>
      <c r="V19" t="s">
        <v>707</v>
      </c>
      <c r="AC19" t="s">
        <v>718</v>
      </c>
    </row>
    <row r="20" spans="1:41" x14ac:dyDescent="0.15">
      <c r="A20" t="s">
        <v>707</v>
      </c>
      <c r="B20" t="s">
        <v>707</v>
      </c>
      <c r="C20" t="s">
        <v>707</v>
      </c>
      <c r="D20" t="s">
        <v>707</v>
      </c>
      <c r="E20" t="s">
        <v>707</v>
      </c>
      <c r="F20" t="s">
        <v>707</v>
      </c>
      <c r="G20" t="s">
        <v>707</v>
      </c>
      <c r="H20" t="s">
        <v>707</v>
      </c>
      <c r="I20" t="s">
        <v>707</v>
      </c>
      <c r="J20" t="s">
        <v>707</v>
      </c>
      <c r="K20" t="s">
        <v>707</v>
      </c>
      <c r="L20" t="s">
        <v>707</v>
      </c>
      <c r="M20" t="s">
        <v>707</v>
      </c>
      <c r="N20" t="s">
        <v>707</v>
      </c>
      <c r="O20" t="s">
        <v>707</v>
      </c>
      <c r="P20" t="s">
        <v>707</v>
      </c>
      <c r="Q20" t="s">
        <v>707</v>
      </c>
      <c r="R20" t="s">
        <v>707</v>
      </c>
      <c r="S20" t="s">
        <v>707</v>
      </c>
      <c r="T20" t="s">
        <v>707</v>
      </c>
      <c r="U20" t="s">
        <v>707</v>
      </c>
      <c r="V20" t="s">
        <v>707</v>
      </c>
      <c r="AC20" t="s">
        <v>713</v>
      </c>
    </row>
    <row r="21" spans="1:41" x14ac:dyDescent="0.15">
      <c r="A21" t="s">
        <v>707</v>
      </c>
      <c r="B21" t="s">
        <v>707</v>
      </c>
      <c r="C21" t="s">
        <v>707</v>
      </c>
      <c r="D21" t="s">
        <v>707</v>
      </c>
      <c r="E21" t="s">
        <v>707</v>
      </c>
      <c r="F21" t="s">
        <v>707</v>
      </c>
      <c r="G21" t="s">
        <v>707</v>
      </c>
      <c r="H21" t="s">
        <v>707</v>
      </c>
      <c r="I21" t="s">
        <v>707</v>
      </c>
      <c r="J21" t="s">
        <v>707</v>
      </c>
      <c r="K21" t="s">
        <v>707</v>
      </c>
      <c r="L21" t="s">
        <v>707</v>
      </c>
      <c r="M21" t="s">
        <v>707</v>
      </c>
      <c r="N21" t="s">
        <v>707</v>
      </c>
      <c r="O21" t="s">
        <v>707</v>
      </c>
      <c r="P21" t="s">
        <v>707</v>
      </c>
      <c r="Q21" t="s">
        <v>707</v>
      </c>
      <c r="R21" t="s">
        <v>707</v>
      </c>
      <c r="S21" t="s">
        <v>707</v>
      </c>
      <c r="T21" t="s">
        <v>707</v>
      </c>
      <c r="U21" t="s">
        <v>707</v>
      </c>
      <c r="V21" t="s">
        <v>707</v>
      </c>
      <c r="AC21" t="s">
        <v>721</v>
      </c>
    </row>
    <row r="22" spans="1:41" x14ac:dyDescent="0.15">
      <c r="A22" t="s">
        <v>707</v>
      </c>
      <c r="B22" t="s">
        <v>707</v>
      </c>
      <c r="C22" t="s">
        <v>707</v>
      </c>
      <c r="D22" t="s">
        <v>707</v>
      </c>
      <c r="E22" t="s">
        <v>707</v>
      </c>
      <c r="F22" t="s">
        <v>707</v>
      </c>
      <c r="G22" t="s">
        <v>707</v>
      </c>
      <c r="H22" t="s">
        <v>707</v>
      </c>
      <c r="I22" t="s">
        <v>707</v>
      </c>
      <c r="J22" t="s">
        <v>707</v>
      </c>
      <c r="K22" t="s">
        <v>707</v>
      </c>
      <c r="L22" t="s">
        <v>707</v>
      </c>
      <c r="M22" t="s">
        <v>707</v>
      </c>
      <c r="N22" t="s">
        <v>707</v>
      </c>
      <c r="O22" t="s">
        <v>707</v>
      </c>
      <c r="P22" t="s">
        <v>707</v>
      </c>
      <c r="Q22" t="s">
        <v>707</v>
      </c>
      <c r="R22" t="s">
        <v>707</v>
      </c>
      <c r="S22" t="s">
        <v>707</v>
      </c>
      <c r="T22" t="s">
        <v>707</v>
      </c>
      <c r="U22" t="s">
        <v>707</v>
      </c>
      <c r="V22" t="s">
        <v>707</v>
      </c>
      <c r="AC22" t="s">
        <v>723</v>
      </c>
    </row>
    <row r="23" spans="1:41" ht="11.25" x14ac:dyDescent="0.15">
      <c r="A23" t="s">
        <v>707</v>
      </c>
      <c r="B23" t="s">
        <v>707</v>
      </c>
      <c r="C23" t="s">
        <v>707</v>
      </c>
      <c r="D23" t="s">
        <v>707</v>
      </c>
      <c r="E23" t="s">
        <v>707</v>
      </c>
      <c r="F23" t="s">
        <v>707</v>
      </c>
      <c r="G23" t="s">
        <v>707</v>
      </c>
      <c r="H23" t="s">
        <v>707</v>
      </c>
      <c r="I23" t="s">
        <v>707</v>
      </c>
      <c r="J23" t="s">
        <v>707</v>
      </c>
      <c r="K23" t="s">
        <v>707</v>
      </c>
      <c r="L23" t="s">
        <v>707</v>
      </c>
      <c r="M23" t="s">
        <v>707</v>
      </c>
      <c r="N23" t="s">
        <v>707</v>
      </c>
      <c r="O23" t="s">
        <v>707</v>
      </c>
      <c r="P23" t="s">
        <v>707</v>
      </c>
      <c r="Q23" t="s">
        <v>707</v>
      </c>
      <c r="R23" t="s">
        <v>707</v>
      </c>
      <c r="S23" t="s">
        <v>707</v>
      </c>
      <c r="T23" t="s">
        <v>707</v>
      </c>
      <c r="U23" t="s">
        <v>707</v>
      </c>
      <c r="V23" t="s">
        <v>707</v>
      </c>
      <c r="AC23" t="s">
        <v>733</v>
      </c>
      <c r="AH23" s="170">
        <v>0</v>
      </c>
      <c r="AI23" s="166" t="s">
        <v>204</v>
      </c>
    </row>
    <row r="24" spans="1:41" ht="11.25" x14ac:dyDescent="0.15">
      <c r="A24" t="s">
        <v>707</v>
      </c>
      <c r="B24" t="s">
        <v>707</v>
      </c>
      <c r="C24" t="s">
        <v>707</v>
      </c>
      <c r="D24" t="s">
        <v>707</v>
      </c>
      <c r="E24" t="s">
        <v>707</v>
      </c>
      <c r="F24" t="s">
        <v>707</v>
      </c>
      <c r="G24" t="s">
        <v>707</v>
      </c>
      <c r="H24" t="s">
        <v>707</v>
      </c>
      <c r="I24" t="s">
        <v>707</v>
      </c>
      <c r="J24" t="s">
        <v>707</v>
      </c>
      <c r="K24" t="s">
        <v>707</v>
      </c>
      <c r="L24" t="s">
        <v>707</v>
      </c>
      <c r="M24" t="s">
        <v>707</v>
      </c>
      <c r="N24" t="s">
        <v>707</v>
      </c>
      <c r="O24" t="s">
        <v>707</v>
      </c>
      <c r="P24" t="s">
        <v>707</v>
      </c>
      <c r="Q24" t="s">
        <v>707</v>
      </c>
      <c r="R24" t="s">
        <v>707</v>
      </c>
      <c r="S24" t="s">
        <v>707</v>
      </c>
      <c r="T24" t="s">
        <v>707</v>
      </c>
      <c r="U24" t="s">
        <v>707</v>
      </c>
      <c r="V24" t="s">
        <v>707</v>
      </c>
      <c r="AC24" t="s">
        <v>711</v>
      </c>
      <c r="AH24" s="134">
        <v>0</v>
      </c>
      <c r="AI24" t="s">
        <v>318</v>
      </c>
      <c r="AJ24" s="170"/>
      <c r="AK24" s="166"/>
      <c r="AL24" s="170"/>
      <c r="AM24" s="166"/>
      <c r="AN24" s="170"/>
      <c r="AO24" s="166"/>
    </row>
    <row r="25" spans="1:41" ht="11.25" x14ac:dyDescent="0.15">
      <c r="A25" t="s">
        <v>707</v>
      </c>
      <c r="B25" t="s">
        <v>707</v>
      </c>
      <c r="C25" t="s">
        <v>707</v>
      </c>
      <c r="D25" t="s">
        <v>707</v>
      </c>
      <c r="E25" t="s">
        <v>707</v>
      </c>
      <c r="F25" t="s">
        <v>707</v>
      </c>
      <c r="G25" t="s">
        <v>707</v>
      </c>
      <c r="H25" t="s">
        <v>707</v>
      </c>
      <c r="I25" t="s">
        <v>707</v>
      </c>
      <c r="J25" t="s">
        <v>707</v>
      </c>
      <c r="K25" t="s">
        <v>707</v>
      </c>
      <c r="L25" t="s">
        <v>707</v>
      </c>
      <c r="M25" t="s">
        <v>707</v>
      </c>
      <c r="N25" t="s">
        <v>707</v>
      </c>
      <c r="O25" t="s">
        <v>707</v>
      </c>
      <c r="P25" t="s">
        <v>707</v>
      </c>
      <c r="Q25" t="s">
        <v>707</v>
      </c>
      <c r="R25" t="s">
        <v>707</v>
      </c>
      <c r="S25" t="s">
        <v>707</v>
      </c>
      <c r="T25" t="s">
        <v>707</v>
      </c>
      <c r="U25" t="s">
        <v>707</v>
      </c>
      <c r="V25" t="s">
        <v>707</v>
      </c>
      <c r="AC25" t="s">
        <v>717</v>
      </c>
      <c r="AH25" s="134">
        <v>0</v>
      </c>
      <c r="AI25" t="s">
        <v>340</v>
      </c>
      <c r="AJ25" s="170"/>
      <c r="AK25" s="166"/>
      <c r="AL25" s="170"/>
      <c r="AM25" s="166"/>
      <c r="AN25" s="170"/>
      <c r="AO25" s="166"/>
    </row>
    <row r="26" spans="1:41" ht="11.25" x14ac:dyDescent="0.15">
      <c r="A26" t="s">
        <v>707</v>
      </c>
      <c r="B26" t="s">
        <v>707</v>
      </c>
      <c r="C26" t="s">
        <v>707</v>
      </c>
      <c r="D26" t="s">
        <v>707</v>
      </c>
      <c r="E26" t="s">
        <v>707</v>
      </c>
      <c r="F26" t="s">
        <v>707</v>
      </c>
      <c r="G26" t="s">
        <v>707</v>
      </c>
      <c r="H26" t="s">
        <v>707</v>
      </c>
      <c r="I26" t="s">
        <v>707</v>
      </c>
      <c r="J26" t="s">
        <v>707</v>
      </c>
      <c r="K26" t="s">
        <v>707</v>
      </c>
      <c r="L26" t="s">
        <v>707</v>
      </c>
      <c r="M26" t="s">
        <v>707</v>
      </c>
      <c r="N26" t="s">
        <v>707</v>
      </c>
      <c r="O26" t="s">
        <v>707</v>
      </c>
      <c r="P26" t="s">
        <v>707</v>
      </c>
      <c r="Q26" t="s">
        <v>707</v>
      </c>
      <c r="R26" t="s">
        <v>707</v>
      </c>
      <c r="S26" t="s">
        <v>707</v>
      </c>
      <c r="T26" t="s">
        <v>707</v>
      </c>
      <c r="U26" t="s">
        <v>707</v>
      </c>
      <c r="V26" t="s">
        <v>707</v>
      </c>
      <c r="AC26" t="s">
        <v>719</v>
      </c>
      <c r="AH26" s="170">
        <v>0</v>
      </c>
      <c r="AI26" s="166" t="s">
        <v>301</v>
      </c>
      <c r="AJ26" s="170"/>
      <c r="AK26" s="166"/>
      <c r="AL26" s="170"/>
      <c r="AM26" s="166"/>
      <c r="AN26" s="170"/>
      <c r="AO26" s="166"/>
    </row>
    <row r="27" spans="1:41" ht="11.25" x14ac:dyDescent="0.15">
      <c r="A27" t="s">
        <v>707</v>
      </c>
      <c r="B27" t="s">
        <v>707</v>
      </c>
      <c r="C27" t="s">
        <v>707</v>
      </c>
      <c r="D27" t="s">
        <v>707</v>
      </c>
      <c r="E27" t="s">
        <v>707</v>
      </c>
      <c r="F27" t="s">
        <v>707</v>
      </c>
      <c r="G27" t="s">
        <v>707</v>
      </c>
      <c r="H27" t="s">
        <v>707</v>
      </c>
      <c r="I27" t="s">
        <v>707</v>
      </c>
      <c r="J27" t="s">
        <v>707</v>
      </c>
      <c r="K27" t="s">
        <v>707</v>
      </c>
      <c r="L27" t="s">
        <v>707</v>
      </c>
      <c r="M27" t="s">
        <v>707</v>
      </c>
      <c r="N27" t="s">
        <v>707</v>
      </c>
      <c r="O27" t="s">
        <v>707</v>
      </c>
      <c r="P27" t="s">
        <v>707</v>
      </c>
      <c r="Q27" t="s">
        <v>707</v>
      </c>
      <c r="R27" t="s">
        <v>707</v>
      </c>
      <c r="S27" t="s">
        <v>707</v>
      </c>
      <c r="T27" t="s">
        <v>707</v>
      </c>
      <c r="U27" t="s">
        <v>707</v>
      </c>
      <c r="V27" t="s">
        <v>707</v>
      </c>
      <c r="AC27" t="s">
        <v>714</v>
      </c>
      <c r="AH27" s="170">
        <v>0</v>
      </c>
      <c r="AI27" s="166" t="s">
        <v>337</v>
      </c>
      <c r="AJ27" s="170"/>
      <c r="AK27" s="166"/>
      <c r="AL27" s="170"/>
      <c r="AM27" s="166"/>
      <c r="AN27" s="170"/>
      <c r="AO27" s="166"/>
    </row>
    <row r="28" spans="1:41" ht="11.25" x14ac:dyDescent="0.15">
      <c r="A28" t="s">
        <v>707</v>
      </c>
      <c r="B28" t="s">
        <v>707</v>
      </c>
      <c r="C28" t="s">
        <v>707</v>
      </c>
      <c r="D28" t="s">
        <v>707</v>
      </c>
      <c r="E28" t="s">
        <v>707</v>
      </c>
      <c r="F28" t="s">
        <v>707</v>
      </c>
      <c r="G28" t="s">
        <v>707</v>
      </c>
      <c r="H28" t="s">
        <v>707</v>
      </c>
      <c r="I28" t="s">
        <v>707</v>
      </c>
      <c r="J28" t="s">
        <v>707</v>
      </c>
      <c r="K28" t="s">
        <v>707</v>
      </c>
      <c r="L28" t="s">
        <v>707</v>
      </c>
      <c r="M28" t="s">
        <v>707</v>
      </c>
      <c r="N28" t="s">
        <v>707</v>
      </c>
      <c r="O28" t="s">
        <v>707</v>
      </c>
      <c r="P28" t="s">
        <v>707</v>
      </c>
      <c r="Q28" t="s">
        <v>707</v>
      </c>
      <c r="R28" t="s">
        <v>707</v>
      </c>
      <c r="S28" t="s">
        <v>707</v>
      </c>
      <c r="T28" t="s">
        <v>707</v>
      </c>
      <c r="U28" t="s">
        <v>707</v>
      </c>
      <c r="V28" t="s">
        <v>707</v>
      </c>
      <c r="AC28" t="s">
        <v>727</v>
      </c>
      <c r="AH28" s="170">
        <v>0</v>
      </c>
      <c r="AI28" s="166" t="s">
        <v>342</v>
      </c>
      <c r="AJ28" s="170"/>
      <c r="AK28" s="166"/>
      <c r="AL28" s="170"/>
      <c r="AM28" s="166"/>
      <c r="AN28" s="170"/>
      <c r="AO28" s="166"/>
    </row>
    <row r="29" spans="1:41" ht="11.25" x14ac:dyDescent="0.15">
      <c r="A29" t="s">
        <v>707</v>
      </c>
      <c r="B29" t="s">
        <v>707</v>
      </c>
      <c r="C29" t="s">
        <v>707</v>
      </c>
      <c r="D29" t="s">
        <v>707</v>
      </c>
      <c r="E29" t="s">
        <v>707</v>
      </c>
      <c r="F29" t="s">
        <v>707</v>
      </c>
      <c r="G29" t="s">
        <v>707</v>
      </c>
      <c r="H29" t="s">
        <v>707</v>
      </c>
      <c r="I29" t="s">
        <v>707</v>
      </c>
      <c r="J29" t="s">
        <v>707</v>
      </c>
      <c r="K29" t="s">
        <v>707</v>
      </c>
      <c r="L29" t="s">
        <v>707</v>
      </c>
      <c r="M29" t="s">
        <v>707</v>
      </c>
      <c r="N29" t="s">
        <v>707</v>
      </c>
      <c r="O29" t="s">
        <v>707</v>
      </c>
      <c r="P29" t="s">
        <v>707</v>
      </c>
      <c r="Q29" t="s">
        <v>707</v>
      </c>
      <c r="R29" t="s">
        <v>707</v>
      </c>
      <c r="S29" t="s">
        <v>707</v>
      </c>
      <c r="T29" t="s">
        <v>707</v>
      </c>
      <c r="U29" t="s">
        <v>707</v>
      </c>
      <c r="V29" t="s">
        <v>707</v>
      </c>
      <c r="AC29" t="s">
        <v>728</v>
      </c>
      <c r="AH29" s="170">
        <v>0</v>
      </c>
      <c r="AI29" s="166" t="s">
        <v>258</v>
      </c>
    </row>
    <row r="30" spans="1:41" ht="11.25" x14ac:dyDescent="0.15">
      <c r="A30" t="s">
        <v>707</v>
      </c>
      <c r="B30" t="s">
        <v>707</v>
      </c>
      <c r="C30" t="s">
        <v>707</v>
      </c>
      <c r="D30" t="s">
        <v>707</v>
      </c>
      <c r="E30" t="s">
        <v>707</v>
      </c>
      <c r="F30" t="s">
        <v>707</v>
      </c>
      <c r="G30" t="s">
        <v>707</v>
      </c>
      <c r="H30" t="s">
        <v>707</v>
      </c>
      <c r="I30" t="s">
        <v>707</v>
      </c>
      <c r="J30" t="s">
        <v>707</v>
      </c>
      <c r="K30" t="s">
        <v>707</v>
      </c>
      <c r="L30" t="s">
        <v>707</v>
      </c>
      <c r="M30" t="s">
        <v>707</v>
      </c>
      <c r="N30" t="s">
        <v>707</v>
      </c>
      <c r="O30" t="s">
        <v>707</v>
      </c>
      <c r="P30" t="s">
        <v>707</v>
      </c>
      <c r="Q30" t="s">
        <v>707</v>
      </c>
      <c r="R30" t="s">
        <v>707</v>
      </c>
      <c r="S30" t="s">
        <v>707</v>
      </c>
      <c r="T30" t="s">
        <v>707</v>
      </c>
      <c r="U30" t="s">
        <v>707</v>
      </c>
      <c r="V30" t="s">
        <v>707</v>
      </c>
      <c r="AC30" t="s">
        <v>724</v>
      </c>
      <c r="AH30" s="170">
        <v>0</v>
      </c>
      <c r="AI30" s="166" t="s">
        <v>265</v>
      </c>
    </row>
    <row r="31" spans="1:41" x14ac:dyDescent="0.15">
      <c r="A31" t="s">
        <v>707</v>
      </c>
      <c r="B31" t="s">
        <v>707</v>
      </c>
      <c r="C31" t="s">
        <v>707</v>
      </c>
      <c r="D31" t="s">
        <v>707</v>
      </c>
      <c r="E31" t="s">
        <v>707</v>
      </c>
      <c r="F31" t="s">
        <v>707</v>
      </c>
      <c r="G31" t="s">
        <v>707</v>
      </c>
      <c r="H31" t="s">
        <v>707</v>
      </c>
      <c r="I31" t="s">
        <v>707</v>
      </c>
      <c r="J31" t="s">
        <v>707</v>
      </c>
      <c r="K31" t="s">
        <v>707</v>
      </c>
      <c r="L31" t="s">
        <v>707</v>
      </c>
      <c r="M31" t="s">
        <v>707</v>
      </c>
      <c r="N31" t="s">
        <v>707</v>
      </c>
      <c r="O31" t="s">
        <v>707</v>
      </c>
      <c r="P31" t="s">
        <v>707</v>
      </c>
      <c r="Q31" t="s">
        <v>707</v>
      </c>
      <c r="R31" t="s">
        <v>707</v>
      </c>
      <c r="S31" t="s">
        <v>707</v>
      </c>
      <c r="T31" t="s">
        <v>707</v>
      </c>
      <c r="U31" t="s">
        <v>707</v>
      </c>
      <c r="V31" t="s">
        <v>707</v>
      </c>
      <c r="AC31" t="s">
        <v>729</v>
      </c>
      <c r="AH31" s="134">
        <v>0</v>
      </c>
      <c r="AI31" t="s">
        <v>230</v>
      </c>
    </row>
    <row r="32" spans="1:41" x14ac:dyDescent="0.15">
      <c r="A32" t="s">
        <v>707</v>
      </c>
      <c r="B32" t="s">
        <v>707</v>
      </c>
      <c r="C32" t="s">
        <v>707</v>
      </c>
      <c r="D32" t="s">
        <v>707</v>
      </c>
      <c r="E32" t="s">
        <v>707</v>
      </c>
      <c r="F32" t="s">
        <v>707</v>
      </c>
      <c r="G32" t="s">
        <v>707</v>
      </c>
      <c r="H32" t="s">
        <v>707</v>
      </c>
      <c r="I32" t="s">
        <v>707</v>
      </c>
      <c r="J32" t="s">
        <v>707</v>
      </c>
      <c r="K32" t="s">
        <v>707</v>
      </c>
      <c r="L32" t="s">
        <v>707</v>
      </c>
      <c r="M32" t="s">
        <v>707</v>
      </c>
      <c r="N32" t="s">
        <v>707</v>
      </c>
      <c r="O32" t="s">
        <v>707</v>
      </c>
      <c r="P32" t="s">
        <v>707</v>
      </c>
      <c r="Q32" t="s">
        <v>707</v>
      </c>
      <c r="R32" t="s">
        <v>707</v>
      </c>
      <c r="S32" t="s">
        <v>707</v>
      </c>
      <c r="T32" t="s">
        <v>707</v>
      </c>
      <c r="U32" t="s">
        <v>707</v>
      </c>
      <c r="V32" t="s">
        <v>707</v>
      </c>
      <c r="AC32" t="s">
        <v>716</v>
      </c>
      <c r="AH32" s="134">
        <v>0</v>
      </c>
      <c r="AI32" t="s">
        <v>303</v>
      </c>
    </row>
    <row r="33" spans="1:41" x14ac:dyDescent="0.15">
      <c r="A33" t="s">
        <v>707</v>
      </c>
      <c r="B33" t="s">
        <v>707</v>
      </c>
      <c r="C33" t="s">
        <v>707</v>
      </c>
      <c r="D33" t="s">
        <v>707</v>
      </c>
      <c r="E33" t="s">
        <v>707</v>
      </c>
      <c r="F33" t="s">
        <v>707</v>
      </c>
      <c r="G33" t="s">
        <v>707</v>
      </c>
      <c r="H33" t="s">
        <v>707</v>
      </c>
      <c r="I33" t="s">
        <v>707</v>
      </c>
      <c r="J33" t="s">
        <v>707</v>
      </c>
      <c r="K33" t="s">
        <v>707</v>
      </c>
      <c r="L33" t="s">
        <v>707</v>
      </c>
      <c r="M33" t="s">
        <v>707</v>
      </c>
      <c r="N33" t="s">
        <v>707</v>
      </c>
      <c r="O33" t="s">
        <v>707</v>
      </c>
      <c r="P33" t="s">
        <v>707</v>
      </c>
      <c r="Q33" t="s">
        <v>707</v>
      </c>
      <c r="R33" t="s">
        <v>707</v>
      </c>
      <c r="S33" t="s">
        <v>707</v>
      </c>
      <c r="T33" t="s">
        <v>707</v>
      </c>
      <c r="U33" t="s">
        <v>707</v>
      </c>
      <c r="V33" t="s">
        <v>707</v>
      </c>
      <c r="AH33" s="134">
        <v>0</v>
      </c>
      <c r="AI33" t="s">
        <v>254</v>
      </c>
    </row>
    <row r="34" spans="1:41" x14ac:dyDescent="0.15">
      <c r="A34" t="s">
        <v>707</v>
      </c>
      <c r="B34" t="s">
        <v>707</v>
      </c>
      <c r="C34" t="s">
        <v>707</v>
      </c>
      <c r="D34" t="s">
        <v>707</v>
      </c>
      <c r="F34" t="s">
        <v>707</v>
      </c>
      <c r="G34" t="s">
        <v>707</v>
      </c>
      <c r="H34" t="s">
        <v>707</v>
      </c>
      <c r="I34" t="s">
        <v>707</v>
      </c>
      <c r="J34" t="s">
        <v>707</v>
      </c>
      <c r="K34" t="s">
        <v>707</v>
      </c>
      <c r="L34" t="s">
        <v>707</v>
      </c>
      <c r="M34" t="s">
        <v>707</v>
      </c>
      <c r="N34" t="s">
        <v>707</v>
      </c>
      <c r="O34" t="s">
        <v>707</v>
      </c>
      <c r="P34" t="s">
        <v>707</v>
      </c>
      <c r="Q34" t="s">
        <v>707</v>
      </c>
      <c r="R34" t="s">
        <v>707</v>
      </c>
      <c r="S34" t="s">
        <v>707</v>
      </c>
      <c r="T34" t="s">
        <v>707</v>
      </c>
      <c r="V34" t="s">
        <v>707</v>
      </c>
      <c r="AH34" s="134">
        <v>0</v>
      </c>
      <c r="AI34" t="s">
        <v>296</v>
      </c>
    </row>
    <row r="35" spans="1:41" x14ac:dyDescent="0.15">
      <c r="A35" t="s">
        <v>707</v>
      </c>
      <c r="B35" t="s">
        <v>707</v>
      </c>
      <c r="C35" t="s">
        <v>707</v>
      </c>
      <c r="D35" t="s">
        <v>707</v>
      </c>
      <c r="E35" t="s">
        <v>707</v>
      </c>
      <c r="F35" t="s">
        <v>707</v>
      </c>
      <c r="G35" t="s">
        <v>707</v>
      </c>
      <c r="H35" t="s">
        <v>707</v>
      </c>
      <c r="I35" t="s">
        <v>707</v>
      </c>
      <c r="J35" t="s">
        <v>707</v>
      </c>
      <c r="K35" t="s">
        <v>707</v>
      </c>
      <c r="L35" t="s">
        <v>707</v>
      </c>
      <c r="M35" t="s">
        <v>707</v>
      </c>
      <c r="N35" t="s">
        <v>707</v>
      </c>
      <c r="O35" t="s">
        <v>707</v>
      </c>
      <c r="P35" t="s">
        <v>707</v>
      </c>
      <c r="Q35" t="s">
        <v>707</v>
      </c>
      <c r="R35" t="s">
        <v>707</v>
      </c>
      <c r="S35" t="s">
        <v>707</v>
      </c>
      <c r="T35" t="s">
        <v>707</v>
      </c>
      <c r="U35" t="s">
        <v>707</v>
      </c>
      <c r="V35" t="s">
        <v>707</v>
      </c>
      <c r="AH35" s="134">
        <v>0</v>
      </c>
      <c r="AI35" t="s">
        <v>272</v>
      </c>
    </row>
    <row r="36" spans="1:41" ht="11.25" x14ac:dyDescent="0.15">
      <c r="A36" t="s">
        <v>707</v>
      </c>
      <c r="B36" t="s">
        <v>707</v>
      </c>
      <c r="C36" t="s">
        <v>707</v>
      </c>
      <c r="D36" t="s">
        <v>707</v>
      </c>
      <c r="E36" t="s">
        <v>707</v>
      </c>
      <c r="F36" t="s">
        <v>707</v>
      </c>
      <c r="G36" t="s">
        <v>707</v>
      </c>
      <c r="H36" t="s">
        <v>707</v>
      </c>
      <c r="I36" t="s">
        <v>707</v>
      </c>
      <c r="J36" t="s">
        <v>707</v>
      </c>
      <c r="K36" t="s">
        <v>707</v>
      </c>
      <c r="L36" t="s">
        <v>707</v>
      </c>
      <c r="M36" t="s">
        <v>707</v>
      </c>
      <c r="N36" t="s">
        <v>707</v>
      </c>
      <c r="O36" t="s">
        <v>707</v>
      </c>
      <c r="P36" t="s">
        <v>707</v>
      </c>
      <c r="Q36" t="s">
        <v>707</v>
      </c>
      <c r="R36" t="s">
        <v>707</v>
      </c>
      <c r="S36" t="s">
        <v>707</v>
      </c>
      <c r="T36" t="s">
        <v>707</v>
      </c>
      <c r="U36" t="s">
        <v>707</v>
      </c>
      <c r="V36" t="s">
        <v>707</v>
      </c>
      <c r="AH36" s="134">
        <v>0</v>
      </c>
      <c r="AI36" t="s">
        <v>244</v>
      </c>
      <c r="AJ36" s="170"/>
      <c r="AK36" s="166"/>
      <c r="AL36" s="170"/>
      <c r="AM36" s="166"/>
      <c r="AN36" s="170"/>
      <c r="AO36" s="166"/>
    </row>
    <row r="37" spans="1:41" ht="11.25" x14ac:dyDescent="0.15">
      <c r="A37" t="s">
        <v>707</v>
      </c>
      <c r="B37" t="s">
        <v>707</v>
      </c>
      <c r="C37" t="s">
        <v>707</v>
      </c>
      <c r="D37" t="s">
        <v>707</v>
      </c>
      <c r="E37" t="s">
        <v>707</v>
      </c>
      <c r="F37" t="s">
        <v>707</v>
      </c>
      <c r="G37" t="s">
        <v>707</v>
      </c>
      <c r="H37" t="s">
        <v>707</v>
      </c>
      <c r="I37" t="s">
        <v>707</v>
      </c>
      <c r="J37" t="s">
        <v>707</v>
      </c>
      <c r="K37" t="s">
        <v>707</v>
      </c>
      <c r="L37" t="s">
        <v>707</v>
      </c>
      <c r="M37" t="s">
        <v>707</v>
      </c>
      <c r="N37" t="s">
        <v>707</v>
      </c>
      <c r="O37" t="s">
        <v>707</v>
      </c>
      <c r="P37" t="s">
        <v>707</v>
      </c>
      <c r="Q37" t="s">
        <v>707</v>
      </c>
      <c r="R37" t="s">
        <v>707</v>
      </c>
      <c r="S37" t="s">
        <v>707</v>
      </c>
      <c r="T37" t="s">
        <v>707</v>
      </c>
      <c r="U37" t="s">
        <v>707</v>
      </c>
      <c r="V37" t="s">
        <v>707</v>
      </c>
      <c r="AH37" s="134">
        <v>0</v>
      </c>
      <c r="AI37" t="s">
        <v>249</v>
      </c>
      <c r="AJ37" s="170"/>
      <c r="AK37" s="166"/>
      <c r="AL37" s="170"/>
      <c r="AM37" s="166"/>
      <c r="AN37" s="170"/>
      <c r="AO37" s="166"/>
    </row>
    <row r="38" spans="1:41" x14ac:dyDescent="0.15">
      <c r="A38" t="s">
        <v>707</v>
      </c>
      <c r="B38" t="s">
        <v>707</v>
      </c>
      <c r="C38" t="s">
        <v>707</v>
      </c>
      <c r="D38" t="s">
        <v>707</v>
      </c>
      <c r="E38" t="s">
        <v>707</v>
      </c>
      <c r="F38" t="s">
        <v>707</v>
      </c>
      <c r="G38" t="s">
        <v>707</v>
      </c>
      <c r="H38" t="s">
        <v>707</v>
      </c>
      <c r="I38" t="s">
        <v>707</v>
      </c>
      <c r="J38" t="s">
        <v>707</v>
      </c>
      <c r="K38" t="s">
        <v>707</v>
      </c>
      <c r="L38" t="s">
        <v>707</v>
      </c>
      <c r="M38" t="s">
        <v>707</v>
      </c>
      <c r="N38" t="s">
        <v>707</v>
      </c>
      <c r="O38" t="s">
        <v>707</v>
      </c>
      <c r="P38" t="s">
        <v>707</v>
      </c>
      <c r="Q38" t="s">
        <v>707</v>
      </c>
      <c r="R38" t="s">
        <v>707</v>
      </c>
      <c r="S38" t="s">
        <v>707</v>
      </c>
      <c r="T38" t="s">
        <v>707</v>
      </c>
      <c r="U38" t="s">
        <v>707</v>
      </c>
      <c r="V38" t="s">
        <v>707</v>
      </c>
      <c r="AH38" s="134">
        <v>0</v>
      </c>
      <c r="AI38" t="s">
        <v>344</v>
      </c>
    </row>
    <row r="39" spans="1:41" x14ac:dyDescent="0.15">
      <c r="A39" t="s">
        <v>707</v>
      </c>
      <c r="B39" t="s">
        <v>707</v>
      </c>
      <c r="C39" t="s">
        <v>707</v>
      </c>
      <c r="D39" t="s">
        <v>707</v>
      </c>
      <c r="E39" t="s">
        <v>707</v>
      </c>
      <c r="F39" t="s">
        <v>707</v>
      </c>
      <c r="G39" t="s">
        <v>707</v>
      </c>
      <c r="H39" t="s">
        <v>707</v>
      </c>
      <c r="I39" t="s">
        <v>707</v>
      </c>
      <c r="J39" t="s">
        <v>707</v>
      </c>
      <c r="K39" t="s">
        <v>707</v>
      </c>
      <c r="L39" t="s">
        <v>707</v>
      </c>
      <c r="M39" t="s">
        <v>707</v>
      </c>
      <c r="N39" t="s">
        <v>707</v>
      </c>
      <c r="O39" t="s">
        <v>707</v>
      </c>
      <c r="P39" t="s">
        <v>707</v>
      </c>
      <c r="Q39" t="s">
        <v>707</v>
      </c>
      <c r="R39" t="s">
        <v>707</v>
      </c>
      <c r="S39" t="s">
        <v>707</v>
      </c>
      <c r="T39" t="s">
        <v>707</v>
      </c>
      <c r="U39" t="s">
        <v>707</v>
      </c>
      <c r="V39" t="s">
        <v>707</v>
      </c>
      <c r="AH39" s="134">
        <v>0</v>
      </c>
      <c r="AI39" t="s">
        <v>233</v>
      </c>
    </row>
    <row r="40" spans="1:41" x14ac:dyDescent="0.15">
      <c r="A40" t="s">
        <v>707</v>
      </c>
      <c r="B40" t="s">
        <v>707</v>
      </c>
      <c r="C40" t="s">
        <v>707</v>
      </c>
      <c r="D40" t="s">
        <v>707</v>
      </c>
      <c r="E40" t="s">
        <v>707</v>
      </c>
      <c r="F40" t="s">
        <v>707</v>
      </c>
      <c r="G40" t="s">
        <v>707</v>
      </c>
      <c r="H40" t="s">
        <v>707</v>
      </c>
      <c r="I40" t="s">
        <v>707</v>
      </c>
      <c r="J40" t="s">
        <v>707</v>
      </c>
      <c r="K40" t="s">
        <v>707</v>
      </c>
      <c r="L40" t="s">
        <v>707</v>
      </c>
      <c r="M40" t="s">
        <v>707</v>
      </c>
      <c r="N40" t="s">
        <v>707</v>
      </c>
      <c r="O40" t="s">
        <v>707</v>
      </c>
      <c r="P40" t="s">
        <v>707</v>
      </c>
      <c r="Q40" t="s">
        <v>707</v>
      </c>
      <c r="R40" t="s">
        <v>707</v>
      </c>
      <c r="S40" t="s">
        <v>707</v>
      </c>
      <c r="T40" t="s">
        <v>707</v>
      </c>
      <c r="U40" t="s">
        <v>707</v>
      </c>
      <c r="V40" t="s">
        <v>707</v>
      </c>
      <c r="AH40" s="134">
        <v>0</v>
      </c>
      <c r="AI40" t="s">
        <v>252</v>
      </c>
    </row>
    <row r="41" spans="1:41" ht="11.25" x14ac:dyDescent="0.15">
      <c r="A41" t="s">
        <v>707</v>
      </c>
      <c r="B41" t="s">
        <v>707</v>
      </c>
      <c r="C41" t="s">
        <v>707</v>
      </c>
      <c r="D41" t="s">
        <v>707</v>
      </c>
      <c r="E41" t="s">
        <v>707</v>
      </c>
      <c r="F41" t="s">
        <v>707</v>
      </c>
      <c r="G41" t="s">
        <v>707</v>
      </c>
      <c r="H41" t="s">
        <v>707</v>
      </c>
      <c r="I41" t="s">
        <v>707</v>
      </c>
      <c r="J41" t="s">
        <v>707</v>
      </c>
      <c r="K41" t="s">
        <v>707</v>
      </c>
      <c r="L41" t="s">
        <v>707</v>
      </c>
      <c r="M41" t="s">
        <v>707</v>
      </c>
      <c r="N41" t="s">
        <v>707</v>
      </c>
      <c r="O41" t="s">
        <v>707</v>
      </c>
      <c r="P41" t="s">
        <v>707</v>
      </c>
      <c r="Q41" t="s">
        <v>707</v>
      </c>
      <c r="R41" t="s">
        <v>707</v>
      </c>
      <c r="S41" t="s">
        <v>707</v>
      </c>
      <c r="T41" t="s">
        <v>707</v>
      </c>
      <c r="U41" t="s">
        <v>707</v>
      </c>
      <c r="V41" t="s">
        <v>707</v>
      </c>
      <c r="AH41" s="170">
        <v>1</v>
      </c>
      <c r="AI41" s="166" t="s">
        <v>555</v>
      </c>
      <c r="AJ41" s="170"/>
      <c r="AK41" s="166"/>
      <c r="AL41" s="170"/>
      <c r="AM41" s="166"/>
      <c r="AN41" s="170"/>
      <c r="AO41" s="166"/>
    </row>
    <row r="42" spans="1:41" ht="11.25" x14ac:dyDescent="0.15">
      <c r="A42" t="s">
        <v>707</v>
      </c>
      <c r="B42" t="s">
        <v>707</v>
      </c>
      <c r="C42" t="s">
        <v>707</v>
      </c>
      <c r="D42" t="s">
        <v>707</v>
      </c>
      <c r="E42" t="s">
        <v>707</v>
      </c>
      <c r="F42" t="s">
        <v>707</v>
      </c>
      <c r="G42" t="s">
        <v>707</v>
      </c>
      <c r="H42" t="s">
        <v>707</v>
      </c>
      <c r="I42" t="s">
        <v>707</v>
      </c>
      <c r="J42" t="s">
        <v>707</v>
      </c>
      <c r="K42" t="s">
        <v>707</v>
      </c>
      <c r="L42" t="s">
        <v>707</v>
      </c>
      <c r="M42" t="s">
        <v>707</v>
      </c>
      <c r="N42" t="s">
        <v>707</v>
      </c>
      <c r="O42" t="s">
        <v>707</v>
      </c>
      <c r="P42" t="s">
        <v>707</v>
      </c>
      <c r="Q42" t="s">
        <v>707</v>
      </c>
      <c r="R42" t="s">
        <v>707</v>
      </c>
      <c r="S42" t="s">
        <v>707</v>
      </c>
      <c r="T42" t="s">
        <v>707</v>
      </c>
      <c r="U42" t="s">
        <v>707</v>
      </c>
      <c r="V42" t="s">
        <v>707</v>
      </c>
      <c r="AH42" s="134">
        <v>1</v>
      </c>
      <c r="AI42" t="s">
        <v>273</v>
      </c>
      <c r="AJ42" s="170"/>
      <c r="AK42" s="166"/>
      <c r="AL42" s="170"/>
      <c r="AM42" s="166"/>
      <c r="AN42" s="170"/>
      <c r="AO42" s="166"/>
    </row>
    <row r="43" spans="1:41" ht="11.25" x14ac:dyDescent="0.15">
      <c r="A43" t="s">
        <v>707</v>
      </c>
      <c r="B43" t="s">
        <v>707</v>
      </c>
      <c r="C43" t="s">
        <v>707</v>
      </c>
      <c r="D43" t="s">
        <v>707</v>
      </c>
      <c r="E43" t="s">
        <v>707</v>
      </c>
      <c r="F43" t="s">
        <v>707</v>
      </c>
      <c r="G43" t="s">
        <v>707</v>
      </c>
      <c r="H43" t="s">
        <v>707</v>
      </c>
      <c r="I43" t="s">
        <v>707</v>
      </c>
      <c r="J43" t="s">
        <v>707</v>
      </c>
      <c r="K43" t="s">
        <v>707</v>
      </c>
      <c r="L43" t="s">
        <v>707</v>
      </c>
      <c r="M43" t="s">
        <v>707</v>
      </c>
      <c r="N43" t="s">
        <v>707</v>
      </c>
      <c r="O43" t="s">
        <v>707</v>
      </c>
      <c r="P43" t="s">
        <v>707</v>
      </c>
      <c r="Q43" t="s">
        <v>707</v>
      </c>
      <c r="R43" t="s">
        <v>707</v>
      </c>
      <c r="S43" t="s">
        <v>707</v>
      </c>
      <c r="T43" t="s">
        <v>707</v>
      </c>
      <c r="U43" t="s">
        <v>707</v>
      </c>
      <c r="V43" t="s">
        <v>707</v>
      </c>
      <c r="AH43" s="134">
        <v>1</v>
      </c>
      <c r="AI43" t="s">
        <v>187</v>
      </c>
      <c r="AJ43" s="170"/>
      <c r="AK43" s="166"/>
      <c r="AL43" s="170"/>
      <c r="AM43" s="166"/>
      <c r="AN43" s="170"/>
      <c r="AO43" s="166"/>
    </row>
    <row r="44" spans="1:41" ht="11.25" x14ac:dyDescent="0.15">
      <c r="A44" t="s">
        <v>707</v>
      </c>
      <c r="B44" t="s">
        <v>707</v>
      </c>
      <c r="C44" t="s">
        <v>707</v>
      </c>
      <c r="E44" t="s">
        <v>707</v>
      </c>
      <c r="F44" t="s">
        <v>707</v>
      </c>
      <c r="G44" t="s">
        <v>707</v>
      </c>
      <c r="H44" t="s">
        <v>707</v>
      </c>
      <c r="J44" t="s">
        <v>707</v>
      </c>
      <c r="K44" t="s">
        <v>707</v>
      </c>
      <c r="L44" t="s">
        <v>707</v>
      </c>
      <c r="M44" t="s">
        <v>707</v>
      </c>
      <c r="N44" t="s">
        <v>707</v>
      </c>
      <c r="O44" t="s">
        <v>707</v>
      </c>
      <c r="P44" t="s">
        <v>707</v>
      </c>
      <c r="Q44" t="s">
        <v>707</v>
      </c>
      <c r="R44" t="s">
        <v>707</v>
      </c>
      <c r="S44" t="s">
        <v>707</v>
      </c>
      <c r="T44" t="s">
        <v>707</v>
      </c>
      <c r="U44" t="s">
        <v>707</v>
      </c>
      <c r="V44" t="s">
        <v>707</v>
      </c>
      <c r="AH44" s="170">
        <v>1</v>
      </c>
      <c r="AI44" s="166" t="s">
        <v>161</v>
      </c>
      <c r="AJ44" s="170"/>
      <c r="AK44" s="166"/>
      <c r="AL44" s="170"/>
      <c r="AM44" s="166"/>
      <c r="AN44" s="170"/>
      <c r="AO44" s="166"/>
    </row>
    <row r="45" spans="1:41" ht="11.25" x14ac:dyDescent="0.15">
      <c r="A45" t="s">
        <v>707</v>
      </c>
      <c r="C45" t="s">
        <v>707</v>
      </c>
      <c r="D45" t="s">
        <v>707</v>
      </c>
      <c r="E45" t="s">
        <v>707</v>
      </c>
      <c r="F45" t="s">
        <v>707</v>
      </c>
      <c r="G45" t="s">
        <v>707</v>
      </c>
      <c r="H45" t="s">
        <v>707</v>
      </c>
      <c r="I45" t="s">
        <v>707</v>
      </c>
      <c r="J45" t="s">
        <v>707</v>
      </c>
      <c r="K45" t="s">
        <v>707</v>
      </c>
      <c r="L45" t="s">
        <v>707</v>
      </c>
      <c r="M45" t="s">
        <v>707</v>
      </c>
      <c r="N45" t="s">
        <v>707</v>
      </c>
      <c r="O45" t="s">
        <v>707</v>
      </c>
      <c r="P45" t="s">
        <v>707</v>
      </c>
      <c r="Q45" t="s">
        <v>707</v>
      </c>
      <c r="R45" t="s">
        <v>707</v>
      </c>
      <c r="S45" t="s">
        <v>707</v>
      </c>
      <c r="T45" t="s">
        <v>707</v>
      </c>
      <c r="U45" t="s">
        <v>707</v>
      </c>
      <c r="V45" t="s">
        <v>707</v>
      </c>
      <c r="AH45" s="170">
        <v>1</v>
      </c>
      <c r="AI45" s="166" t="s">
        <v>462</v>
      </c>
      <c r="AJ45" s="170"/>
      <c r="AK45" s="166"/>
      <c r="AL45" s="170"/>
      <c r="AM45" s="166"/>
      <c r="AN45" s="170"/>
      <c r="AO45" s="166"/>
    </row>
    <row r="46" spans="1:41" ht="11.25" x14ac:dyDescent="0.15">
      <c r="A46" t="s">
        <v>707</v>
      </c>
      <c r="B46" t="s">
        <v>707</v>
      </c>
      <c r="C46" t="s">
        <v>707</v>
      </c>
      <c r="D46" t="s">
        <v>707</v>
      </c>
      <c r="E46" t="s">
        <v>707</v>
      </c>
      <c r="F46" t="s">
        <v>707</v>
      </c>
      <c r="G46" t="s">
        <v>707</v>
      </c>
      <c r="H46" t="s">
        <v>707</v>
      </c>
      <c r="I46" t="s">
        <v>707</v>
      </c>
      <c r="K46" t="s">
        <v>707</v>
      </c>
      <c r="M46" t="s">
        <v>707</v>
      </c>
      <c r="N46" t="s">
        <v>707</v>
      </c>
      <c r="O46" t="s">
        <v>707</v>
      </c>
      <c r="P46" t="s">
        <v>707</v>
      </c>
      <c r="Q46" t="s">
        <v>707</v>
      </c>
      <c r="R46" t="s">
        <v>707</v>
      </c>
      <c r="S46" t="s">
        <v>707</v>
      </c>
      <c r="T46" t="s">
        <v>707</v>
      </c>
      <c r="U46" t="s">
        <v>707</v>
      </c>
      <c r="V46" t="s">
        <v>707</v>
      </c>
      <c r="AH46" s="170">
        <v>1</v>
      </c>
      <c r="AI46" s="166" t="s">
        <v>560</v>
      </c>
      <c r="AJ46" s="170"/>
      <c r="AK46" s="166"/>
      <c r="AL46" s="170"/>
      <c r="AM46" s="166"/>
      <c r="AN46" s="170"/>
      <c r="AO46" s="166"/>
    </row>
    <row r="47" spans="1:41" ht="11.25" x14ac:dyDescent="0.15">
      <c r="A47" t="s">
        <v>707</v>
      </c>
      <c r="B47" t="s">
        <v>707</v>
      </c>
      <c r="C47" t="s">
        <v>707</v>
      </c>
      <c r="D47" t="s">
        <v>707</v>
      </c>
      <c r="E47" t="s">
        <v>707</v>
      </c>
      <c r="F47" t="s">
        <v>707</v>
      </c>
      <c r="G47" t="s">
        <v>707</v>
      </c>
      <c r="H47" t="s">
        <v>707</v>
      </c>
      <c r="I47" t="s">
        <v>707</v>
      </c>
      <c r="J47" t="s">
        <v>707</v>
      </c>
      <c r="K47" t="s">
        <v>707</v>
      </c>
      <c r="L47" t="s">
        <v>707</v>
      </c>
      <c r="M47" t="s">
        <v>707</v>
      </c>
      <c r="N47" t="s">
        <v>707</v>
      </c>
      <c r="O47" t="s">
        <v>707</v>
      </c>
      <c r="P47" t="s">
        <v>707</v>
      </c>
      <c r="Q47" t="s">
        <v>707</v>
      </c>
      <c r="R47" t="s">
        <v>707</v>
      </c>
      <c r="S47" t="s">
        <v>707</v>
      </c>
      <c r="T47" t="s">
        <v>707</v>
      </c>
      <c r="U47" t="s">
        <v>707</v>
      </c>
      <c r="V47" t="s">
        <v>707</v>
      </c>
      <c r="AH47" s="170">
        <v>1</v>
      </c>
      <c r="AI47" s="166" t="s">
        <v>616</v>
      </c>
      <c r="AJ47" s="170"/>
      <c r="AK47" s="166"/>
      <c r="AL47" s="170"/>
      <c r="AM47" s="166"/>
      <c r="AN47" s="170"/>
      <c r="AO47" s="166"/>
    </row>
    <row r="48" spans="1:41" ht="11.25" x14ac:dyDescent="0.15">
      <c r="A48" t="s">
        <v>707</v>
      </c>
      <c r="B48" t="s">
        <v>707</v>
      </c>
      <c r="C48" t="s">
        <v>707</v>
      </c>
      <c r="D48" t="s">
        <v>707</v>
      </c>
      <c r="E48" t="s">
        <v>707</v>
      </c>
      <c r="F48" t="s">
        <v>707</v>
      </c>
      <c r="G48" t="s">
        <v>707</v>
      </c>
      <c r="H48" t="s">
        <v>707</v>
      </c>
      <c r="I48" t="s">
        <v>707</v>
      </c>
      <c r="J48" t="s">
        <v>707</v>
      </c>
      <c r="K48" t="s">
        <v>707</v>
      </c>
      <c r="L48" t="s">
        <v>707</v>
      </c>
      <c r="M48" t="s">
        <v>707</v>
      </c>
      <c r="N48" t="s">
        <v>707</v>
      </c>
      <c r="O48" t="s">
        <v>707</v>
      </c>
      <c r="P48" t="s">
        <v>707</v>
      </c>
      <c r="Q48" t="s">
        <v>707</v>
      </c>
      <c r="R48" t="s">
        <v>707</v>
      </c>
      <c r="S48" t="s">
        <v>707</v>
      </c>
      <c r="T48" t="s">
        <v>707</v>
      </c>
      <c r="U48" t="s">
        <v>707</v>
      </c>
      <c r="V48" t="s">
        <v>707</v>
      </c>
      <c r="AH48" s="170">
        <v>1</v>
      </c>
      <c r="AI48" s="166" t="s">
        <v>547</v>
      </c>
      <c r="AJ48" s="170"/>
      <c r="AK48" s="166"/>
      <c r="AL48" s="170"/>
      <c r="AM48" s="166"/>
      <c r="AN48" s="170"/>
      <c r="AO48" s="166"/>
    </row>
    <row r="49" spans="1:41" ht="11.25" x14ac:dyDescent="0.15">
      <c r="A49" t="s">
        <v>707</v>
      </c>
      <c r="B49" t="s">
        <v>707</v>
      </c>
      <c r="C49" t="s">
        <v>707</v>
      </c>
      <c r="D49" t="s">
        <v>707</v>
      </c>
      <c r="E49" t="s">
        <v>707</v>
      </c>
      <c r="F49" t="s">
        <v>707</v>
      </c>
      <c r="G49" t="s">
        <v>707</v>
      </c>
      <c r="H49" t="s">
        <v>707</v>
      </c>
      <c r="I49" t="s">
        <v>707</v>
      </c>
      <c r="J49" t="s">
        <v>707</v>
      </c>
      <c r="K49" t="s">
        <v>707</v>
      </c>
      <c r="L49" t="s">
        <v>707</v>
      </c>
      <c r="M49" t="s">
        <v>707</v>
      </c>
      <c r="N49" t="s">
        <v>707</v>
      </c>
      <c r="O49" t="s">
        <v>707</v>
      </c>
      <c r="P49" t="s">
        <v>707</v>
      </c>
      <c r="Q49" t="s">
        <v>707</v>
      </c>
      <c r="R49" t="s">
        <v>707</v>
      </c>
      <c r="S49" t="s">
        <v>707</v>
      </c>
      <c r="T49" t="s">
        <v>707</v>
      </c>
      <c r="U49" t="s">
        <v>707</v>
      </c>
      <c r="V49" t="s">
        <v>707</v>
      </c>
      <c r="AH49" s="170">
        <v>1</v>
      </c>
      <c r="AI49" s="166" t="s">
        <v>234</v>
      </c>
    </row>
    <row r="50" spans="1:41" x14ac:dyDescent="0.15">
      <c r="A50" t="s">
        <v>707</v>
      </c>
      <c r="B50" t="s">
        <v>707</v>
      </c>
      <c r="D50" t="s">
        <v>707</v>
      </c>
      <c r="E50" t="s">
        <v>707</v>
      </c>
      <c r="F50" t="s">
        <v>707</v>
      </c>
      <c r="G50" t="s">
        <v>707</v>
      </c>
      <c r="H50" t="s">
        <v>707</v>
      </c>
      <c r="I50" t="s">
        <v>707</v>
      </c>
      <c r="J50" t="s">
        <v>707</v>
      </c>
      <c r="K50" t="s">
        <v>707</v>
      </c>
      <c r="L50" t="s">
        <v>707</v>
      </c>
      <c r="M50" t="s">
        <v>707</v>
      </c>
      <c r="N50" t="s">
        <v>707</v>
      </c>
      <c r="O50" t="s">
        <v>707</v>
      </c>
      <c r="P50" t="s">
        <v>707</v>
      </c>
      <c r="Q50" t="s">
        <v>707</v>
      </c>
      <c r="R50" t="s">
        <v>707</v>
      </c>
      <c r="S50" t="s">
        <v>707</v>
      </c>
      <c r="T50" t="s">
        <v>707</v>
      </c>
      <c r="U50" t="s">
        <v>707</v>
      </c>
      <c r="V50" t="s">
        <v>707</v>
      </c>
      <c r="AH50" s="134">
        <v>1</v>
      </c>
      <c r="AI50" t="s">
        <v>564</v>
      </c>
    </row>
    <row r="51" spans="1:41" ht="11.25" x14ac:dyDescent="0.15">
      <c r="A51" t="s">
        <v>707</v>
      </c>
      <c r="B51" t="s">
        <v>707</v>
      </c>
      <c r="C51" t="s">
        <v>707</v>
      </c>
      <c r="D51" t="s">
        <v>707</v>
      </c>
      <c r="E51" t="s">
        <v>707</v>
      </c>
      <c r="F51" t="s">
        <v>707</v>
      </c>
      <c r="G51" t="s">
        <v>707</v>
      </c>
      <c r="H51" t="s">
        <v>707</v>
      </c>
      <c r="J51" t="s">
        <v>707</v>
      </c>
      <c r="K51" t="s">
        <v>707</v>
      </c>
      <c r="L51" t="s">
        <v>707</v>
      </c>
      <c r="M51" t="s">
        <v>707</v>
      </c>
      <c r="N51" t="s">
        <v>707</v>
      </c>
      <c r="O51" t="s">
        <v>707</v>
      </c>
      <c r="P51" t="s">
        <v>707</v>
      </c>
      <c r="Q51" t="s">
        <v>707</v>
      </c>
      <c r="R51" t="s">
        <v>707</v>
      </c>
      <c r="S51" t="s">
        <v>707</v>
      </c>
      <c r="T51" t="s">
        <v>707</v>
      </c>
      <c r="U51" t="s">
        <v>707</v>
      </c>
      <c r="V51" t="s">
        <v>707</v>
      </c>
      <c r="AH51" s="134">
        <v>1</v>
      </c>
      <c r="AI51" t="s">
        <v>529</v>
      </c>
      <c r="AJ51" s="170"/>
      <c r="AK51" s="166"/>
      <c r="AL51" s="170"/>
      <c r="AM51" s="166"/>
      <c r="AN51" s="170"/>
      <c r="AO51" s="166"/>
    </row>
    <row r="52" spans="1:41" ht="11.25" x14ac:dyDescent="0.15">
      <c r="A52" t="s">
        <v>707</v>
      </c>
      <c r="B52" t="s">
        <v>707</v>
      </c>
      <c r="C52" t="s">
        <v>707</v>
      </c>
      <c r="D52" t="s">
        <v>707</v>
      </c>
      <c r="E52" t="s">
        <v>707</v>
      </c>
      <c r="F52" t="s">
        <v>707</v>
      </c>
      <c r="G52" t="s">
        <v>707</v>
      </c>
      <c r="H52" t="s">
        <v>707</v>
      </c>
      <c r="I52" t="s">
        <v>707</v>
      </c>
      <c r="J52" t="s">
        <v>707</v>
      </c>
      <c r="K52" t="s">
        <v>707</v>
      </c>
      <c r="L52" t="s">
        <v>707</v>
      </c>
      <c r="M52" t="s">
        <v>707</v>
      </c>
      <c r="N52" t="s">
        <v>707</v>
      </c>
      <c r="O52" t="s">
        <v>707</v>
      </c>
      <c r="P52" t="s">
        <v>707</v>
      </c>
      <c r="Q52" t="s">
        <v>707</v>
      </c>
      <c r="R52" t="s">
        <v>707</v>
      </c>
      <c r="S52" t="s">
        <v>707</v>
      </c>
      <c r="T52" t="s">
        <v>707</v>
      </c>
      <c r="U52" t="s">
        <v>707</v>
      </c>
      <c r="V52" t="s">
        <v>707</v>
      </c>
      <c r="AH52" s="134">
        <v>1</v>
      </c>
      <c r="AI52" t="s">
        <v>307</v>
      </c>
      <c r="AJ52" s="170"/>
      <c r="AK52" s="166"/>
      <c r="AL52" s="170"/>
      <c r="AM52" s="166"/>
      <c r="AN52" s="170"/>
      <c r="AO52" s="166"/>
    </row>
    <row r="53" spans="1:41" ht="11.25" x14ac:dyDescent="0.15">
      <c r="A53" t="s">
        <v>707</v>
      </c>
      <c r="B53" t="s">
        <v>707</v>
      </c>
      <c r="C53" t="s">
        <v>707</v>
      </c>
      <c r="D53" t="s">
        <v>707</v>
      </c>
      <c r="E53" t="s">
        <v>707</v>
      </c>
      <c r="F53" t="s">
        <v>707</v>
      </c>
      <c r="G53" t="s">
        <v>707</v>
      </c>
      <c r="H53" t="s">
        <v>707</v>
      </c>
      <c r="I53" t="s">
        <v>707</v>
      </c>
      <c r="J53" t="s">
        <v>707</v>
      </c>
      <c r="K53" t="s">
        <v>707</v>
      </c>
      <c r="L53" t="s">
        <v>707</v>
      </c>
      <c r="M53" t="s">
        <v>707</v>
      </c>
      <c r="N53" t="s">
        <v>707</v>
      </c>
      <c r="O53" t="s">
        <v>707</v>
      </c>
      <c r="P53" t="s">
        <v>707</v>
      </c>
      <c r="Q53" t="s">
        <v>707</v>
      </c>
      <c r="R53" t="s">
        <v>707</v>
      </c>
      <c r="S53" t="s">
        <v>707</v>
      </c>
      <c r="T53" t="s">
        <v>707</v>
      </c>
      <c r="U53" t="s">
        <v>707</v>
      </c>
      <c r="V53" t="s">
        <v>707</v>
      </c>
      <c r="AH53" s="134">
        <v>1</v>
      </c>
      <c r="AI53" t="s">
        <v>509</v>
      </c>
      <c r="AJ53" s="170"/>
      <c r="AK53" s="166"/>
      <c r="AL53" s="170"/>
      <c r="AM53" s="166"/>
    </row>
    <row r="54" spans="1:41" ht="11.25" x14ac:dyDescent="0.15">
      <c r="A54" t="s">
        <v>707</v>
      </c>
      <c r="B54" t="s">
        <v>707</v>
      </c>
      <c r="C54" t="s">
        <v>707</v>
      </c>
      <c r="D54" t="s">
        <v>707</v>
      </c>
      <c r="E54" t="s">
        <v>707</v>
      </c>
      <c r="F54" t="s">
        <v>707</v>
      </c>
      <c r="G54" t="s">
        <v>707</v>
      </c>
      <c r="H54" t="s">
        <v>707</v>
      </c>
      <c r="I54" t="s">
        <v>707</v>
      </c>
      <c r="J54" t="s">
        <v>707</v>
      </c>
      <c r="K54" t="s">
        <v>707</v>
      </c>
      <c r="L54" t="s">
        <v>707</v>
      </c>
      <c r="M54" t="s">
        <v>707</v>
      </c>
      <c r="N54" t="s">
        <v>707</v>
      </c>
      <c r="O54" t="s">
        <v>707</v>
      </c>
      <c r="P54" t="s">
        <v>707</v>
      </c>
      <c r="Q54" t="s">
        <v>707</v>
      </c>
      <c r="R54" t="s">
        <v>707</v>
      </c>
      <c r="S54" t="s">
        <v>707</v>
      </c>
      <c r="T54" t="s">
        <v>707</v>
      </c>
      <c r="U54" t="s">
        <v>707</v>
      </c>
      <c r="V54" t="s">
        <v>707</v>
      </c>
      <c r="AH54" s="134">
        <v>1</v>
      </c>
      <c r="AI54" t="s">
        <v>408</v>
      </c>
      <c r="AJ54" s="170"/>
      <c r="AK54" s="166"/>
      <c r="AL54" s="170"/>
      <c r="AM54" s="166"/>
    </row>
    <row r="55" spans="1:41" ht="11.25" x14ac:dyDescent="0.15">
      <c r="A55" t="s">
        <v>707</v>
      </c>
      <c r="B55" t="s">
        <v>707</v>
      </c>
      <c r="C55" t="s">
        <v>707</v>
      </c>
      <c r="D55" t="s">
        <v>707</v>
      </c>
      <c r="E55" t="s">
        <v>707</v>
      </c>
      <c r="F55" t="s">
        <v>707</v>
      </c>
      <c r="G55" t="s">
        <v>707</v>
      </c>
      <c r="H55" t="s">
        <v>707</v>
      </c>
      <c r="I55" t="s">
        <v>707</v>
      </c>
      <c r="J55" t="s">
        <v>707</v>
      </c>
      <c r="K55" t="s">
        <v>707</v>
      </c>
      <c r="L55" t="s">
        <v>707</v>
      </c>
      <c r="M55" t="s">
        <v>707</v>
      </c>
      <c r="N55" t="s">
        <v>707</v>
      </c>
      <c r="O55" t="s">
        <v>707</v>
      </c>
      <c r="P55" t="s">
        <v>707</v>
      </c>
      <c r="Q55" t="s">
        <v>707</v>
      </c>
      <c r="R55" t="s">
        <v>707</v>
      </c>
      <c r="S55" t="s">
        <v>707</v>
      </c>
      <c r="T55" t="s">
        <v>707</v>
      </c>
      <c r="U55" t="s">
        <v>707</v>
      </c>
      <c r="V55" t="s">
        <v>707</v>
      </c>
      <c r="AH55" s="170">
        <v>2</v>
      </c>
      <c r="AI55" s="166" t="s">
        <v>425</v>
      </c>
      <c r="AJ55" s="170"/>
      <c r="AK55" s="166"/>
      <c r="AL55" s="170"/>
      <c r="AM55" s="166"/>
    </row>
    <row r="56" spans="1:41" x14ac:dyDescent="0.15">
      <c r="A56" t="s">
        <v>707</v>
      </c>
      <c r="B56" t="s">
        <v>707</v>
      </c>
      <c r="C56" t="s">
        <v>707</v>
      </c>
      <c r="D56" t="s">
        <v>707</v>
      </c>
      <c r="E56" t="s">
        <v>707</v>
      </c>
      <c r="F56" t="s">
        <v>707</v>
      </c>
      <c r="G56" t="s">
        <v>707</v>
      </c>
      <c r="H56" t="s">
        <v>707</v>
      </c>
      <c r="I56" t="s">
        <v>707</v>
      </c>
      <c r="J56" t="s">
        <v>707</v>
      </c>
      <c r="K56" t="s">
        <v>707</v>
      </c>
      <c r="L56" t="s">
        <v>707</v>
      </c>
      <c r="M56" t="s">
        <v>707</v>
      </c>
      <c r="N56" t="s">
        <v>707</v>
      </c>
      <c r="O56" t="s">
        <v>707</v>
      </c>
      <c r="P56" t="s">
        <v>707</v>
      </c>
      <c r="Q56" t="s">
        <v>707</v>
      </c>
      <c r="R56" t="s">
        <v>707</v>
      </c>
      <c r="S56" t="s">
        <v>707</v>
      </c>
      <c r="T56" t="s">
        <v>707</v>
      </c>
      <c r="U56" t="s">
        <v>707</v>
      </c>
      <c r="V56" t="s">
        <v>707</v>
      </c>
      <c r="AH56" s="134">
        <v>2</v>
      </c>
      <c r="AI56" t="s">
        <v>572</v>
      </c>
    </row>
    <row r="57" spans="1:41" x14ac:dyDescent="0.15">
      <c r="A57" t="s">
        <v>707</v>
      </c>
      <c r="B57" t="s">
        <v>707</v>
      </c>
      <c r="C57" t="s">
        <v>707</v>
      </c>
      <c r="D57" t="s">
        <v>707</v>
      </c>
      <c r="E57" t="s">
        <v>707</v>
      </c>
      <c r="F57" t="s">
        <v>707</v>
      </c>
      <c r="G57" t="s">
        <v>707</v>
      </c>
      <c r="H57" t="s">
        <v>707</v>
      </c>
      <c r="I57" t="s">
        <v>707</v>
      </c>
      <c r="J57" t="s">
        <v>707</v>
      </c>
      <c r="K57" t="s">
        <v>707</v>
      </c>
      <c r="L57" t="s">
        <v>707</v>
      </c>
      <c r="M57" t="s">
        <v>707</v>
      </c>
      <c r="N57" t="s">
        <v>707</v>
      </c>
      <c r="O57" t="s">
        <v>707</v>
      </c>
      <c r="P57" t="s">
        <v>707</v>
      </c>
      <c r="Q57" t="s">
        <v>707</v>
      </c>
      <c r="R57" t="s">
        <v>707</v>
      </c>
      <c r="S57" t="s">
        <v>707</v>
      </c>
      <c r="T57" t="s">
        <v>707</v>
      </c>
      <c r="U57" t="s">
        <v>707</v>
      </c>
      <c r="V57" t="s">
        <v>707</v>
      </c>
      <c r="AH57" s="134">
        <v>2</v>
      </c>
      <c r="AI57" t="s">
        <v>299</v>
      </c>
    </row>
    <row r="58" spans="1:41" x14ac:dyDescent="0.15">
      <c r="A58" t="s">
        <v>707</v>
      </c>
      <c r="B58" t="s">
        <v>707</v>
      </c>
      <c r="C58" t="s">
        <v>707</v>
      </c>
      <c r="D58" t="s">
        <v>707</v>
      </c>
      <c r="E58" t="s">
        <v>707</v>
      </c>
      <c r="F58" t="s">
        <v>707</v>
      </c>
      <c r="G58" t="s">
        <v>707</v>
      </c>
      <c r="H58" t="s">
        <v>707</v>
      </c>
      <c r="I58" t="s">
        <v>707</v>
      </c>
      <c r="J58" t="s">
        <v>707</v>
      </c>
      <c r="K58" t="s">
        <v>707</v>
      </c>
      <c r="L58" t="s">
        <v>707</v>
      </c>
      <c r="M58" t="s">
        <v>707</v>
      </c>
      <c r="N58" t="s">
        <v>707</v>
      </c>
      <c r="O58" t="s">
        <v>707</v>
      </c>
      <c r="P58" t="s">
        <v>707</v>
      </c>
      <c r="Q58" t="s">
        <v>707</v>
      </c>
      <c r="R58" t="s">
        <v>707</v>
      </c>
      <c r="S58" t="s">
        <v>707</v>
      </c>
      <c r="T58" t="s">
        <v>707</v>
      </c>
      <c r="U58" t="s">
        <v>707</v>
      </c>
      <c r="V58" t="s">
        <v>707</v>
      </c>
      <c r="AH58" s="134">
        <v>2</v>
      </c>
      <c r="AI58" t="s">
        <v>620</v>
      </c>
    </row>
    <row r="59" spans="1:41" ht="11.25" x14ac:dyDescent="0.15">
      <c r="A59" t="s">
        <v>707</v>
      </c>
      <c r="B59" t="s">
        <v>707</v>
      </c>
      <c r="C59" t="s">
        <v>707</v>
      </c>
      <c r="D59" t="s">
        <v>707</v>
      </c>
      <c r="E59" t="s">
        <v>707</v>
      </c>
      <c r="F59" t="s">
        <v>707</v>
      </c>
      <c r="G59" t="s">
        <v>707</v>
      </c>
      <c r="H59" t="s">
        <v>707</v>
      </c>
      <c r="I59" t="s">
        <v>707</v>
      </c>
      <c r="J59" t="s">
        <v>707</v>
      </c>
      <c r="K59" t="s">
        <v>707</v>
      </c>
      <c r="L59" t="s">
        <v>707</v>
      </c>
      <c r="M59" t="s">
        <v>707</v>
      </c>
      <c r="N59" t="s">
        <v>707</v>
      </c>
      <c r="O59" t="s">
        <v>707</v>
      </c>
      <c r="P59" t="s">
        <v>707</v>
      </c>
      <c r="Q59" t="s">
        <v>707</v>
      </c>
      <c r="R59" t="s">
        <v>707</v>
      </c>
      <c r="S59" t="s">
        <v>707</v>
      </c>
      <c r="T59" t="s">
        <v>707</v>
      </c>
      <c r="U59" t="s">
        <v>707</v>
      </c>
      <c r="V59" t="s">
        <v>707</v>
      </c>
      <c r="AB59" s="166"/>
      <c r="AC59" s="166"/>
      <c r="AD59" s="166"/>
      <c r="AE59" s="166"/>
      <c r="AF59" s="166"/>
      <c r="AG59" s="166"/>
      <c r="AH59" s="134">
        <v>2</v>
      </c>
      <c r="AI59" t="s">
        <v>604</v>
      </c>
    </row>
    <row r="60" spans="1:41" ht="11.25" x14ac:dyDescent="0.15">
      <c r="A60" t="s">
        <v>707</v>
      </c>
      <c r="B60" t="s">
        <v>707</v>
      </c>
      <c r="C60" t="s">
        <v>707</v>
      </c>
      <c r="D60" t="s">
        <v>707</v>
      </c>
      <c r="E60" t="s">
        <v>707</v>
      </c>
      <c r="F60" t="s">
        <v>707</v>
      </c>
      <c r="G60" t="s">
        <v>707</v>
      </c>
      <c r="H60" t="s">
        <v>707</v>
      </c>
      <c r="I60" t="s">
        <v>707</v>
      </c>
      <c r="J60" t="s">
        <v>707</v>
      </c>
      <c r="K60" t="s">
        <v>707</v>
      </c>
      <c r="L60" t="s">
        <v>707</v>
      </c>
      <c r="M60" t="s">
        <v>707</v>
      </c>
      <c r="N60" t="s">
        <v>707</v>
      </c>
      <c r="O60" t="s">
        <v>707</v>
      </c>
      <c r="P60" t="s">
        <v>707</v>
      </c>
      <c r="Q60" t="s">
        <v>707</v>
      </c>
      <c r="R60" t="s">
        <v>707</v>
      </c>
      <c r="S60" t="s">
        <v>707</v>
      </c>
      <c r="T60" t="s">
        <v>707</v>
      </c>
      <c r="U60" t="s">
        <v>707</v>
      </c>
      <c r="V60" t="s">
        <v>707</v>
      </c>
      <c r="AB60" s="166"/>
      <c r="AC60" s="166"/>
      <c r="AD60" s="166"/>
      <c r="AE60" s="166"/>
      <c r="AF60" s="166"/>
      <c r="AG60" s="166"/>
      <c r="AH60" s="134">
        <v>2</v>
      </c>
      <c r="AI60" t="s">
        <v>189</v>
      </c>
    </row>
    <row r="61" spans="1:41" ht="11.25" x14ac:dyDescent="0.15">
      <c r="AB61" s="166"/>
      <c r="AC61" s="166"/>
      <c r="AD61" s="166"/>
      <c r="AE61" s="166"/>
      <c r="AF61" s="166"/>
      <c r="AG61" s="166"/>
      <c r="AH61" s="170">
        <v>3</v>
      </c>
      <c r="AI61" s="166" t="s">
        <v>224</v>
      </c>
    </row>
    <row r="62" spans="1:41" x14ac:dyDescent="0.15">
      <c r="AH62" s="134">
        <v>3</v>
      </c>
      <c r="AI62" t="s">
        <v>236</v>
      </c>
    </row>
    <row r="63" spans="1:41" x14ac:dyDescent="0.15">
      <c r="AH63" s="134">
        <v>4</v>
      </c>
      <c r="AI63" t="s">
        <v>201</v>
      </c>
    </row>
    <row r="64" spans="1:41" ht="11.25" x14ac:dyDescent="0.15">
      <c r="AH64" s="170">
        <v>4</v>
      </c>
      <c r="AI64" s="166" t="s">
        <v>245</v>
      </c>
    </row>
    <row r="65" spans="34:35" x14ac:dyDescent="0.15">
      <c r="AH65" s="134">
        <v>7</v>
      </c>
      <c r="AI65" t="s">
        <v>263</v>
      </c>
    </row>
    <row r="66" spans="34:35" ht="11.25" x14ac:dyDescent="0.15">
      <c r="AH66" s="170">
        <v>7</v>
      </c>
      <c r="AI66" s="166" t="s">
        <v>368</v>
      </c>
    </row>
    <row r="67" spans="34:35" x14ac:dyDescent="0.15">
      <c r="AH67" s="134">
        <v>7</v>
      </c>
      <c r="AI67" t="s">
        <v>259</v>
      </c>
    </row>
    <row r="68" spans="34:35" x14ac:dyDescent="0.15">
      <c r="AH68" s="134">
        <v>8</v>
      </c>
      <c r="AI68" t="s">
        <v>383</v>
      </c>
    </row>
    <row r="69" spans="34:35" x14ac:dyDescent="0.15">
      <c r="AH69" s="134">
        <v>8</v>
      </c>
      <c r="AI69" t="s">
        <v>314</v>
      </c>
    </row>
    <row r="70" spans="34:35" x14ac:dyDescent="0.15">
      <c r="AH70" s="134">
        <v>10</v>
      </c>
      <c r="AI70" t="s">
        <v>297</v>
      </c>
    </row>
    <row r="71" spans="34:35" x14ac:dyDescent="0.15">
      <c r="AH71" s="134">
        <v>10</v>
      </c>
      <c r="AI71" t="s">
        <v>136</v>
      </c>
    </row>
    <row r="72" spans="34:35" x14ac:dyDescent="0.15">
      <c r="AH72" s="134">
        <v>11</v>
      </c>
      <c r="AI72" t="s">
        <v>206</v>
      </c>
    </row>
    <row r="73" spans="34:35" x14ac:dyDescent="0.15">
      <c r="AH73" s="134">
        <v>12</v>
      </c>
      <c r="AI73" t="s">
        <v>324</v>
      </c>
    </row>
    <row r="74" spans="34:35" ht="11.25" x14ac:dyDescent="0.15">
      <c r="AH74" s="170">
        <v>12</v>
      </c>
      <c r="AI74" s="166" t="s">
        <v>218</v>
      </c>
    </row>
    <row r="75" spans="34:35" x14ac:dyDescent="0.15">
      <c r="AH75" s="134">
        <v>14</v>
      </c>
      <c r="AI75" t="s">
        <v>251</v>
      </c>
    </row>
    <row r="76" spans="34:35" ht="11.25" x14ac:dyDescent="0.15">
      <c r="AH76" s="170">
        <v>14</v>
      </c>
      <c r="AI76" s="166" t="s">
        <v>302</v>
      </c>
    </row>
    <row r="77" spans="34:35" x14ac:dyDescent="0.15">
      <c r="AH77" s="134">
        <v>14</v>
      </c>
      <c r="AI77" t="s">
        <v>373</v>
      </c>
    </row>
    <row r="78" spans="34:35" ht="11.25" x14ac:dyDescent="0.15">
      <c r="AH78" s="170">
        <v>16</v>
      </c>
      <c r="AI78" s="166" t="s">
        <v>235</v>
      </c>
    </row>
    <row r="79" spans="34:35" x14ac:dyDescent="0.15">
      <c r="AH79" s="134">
        <v>17</v>
      </c>
      <c r="AI79" t="s">
        <v>222</v>
      </c>
    </row>
    <row r="80" spans="34:35" x14ac:dyDescent="0.15">
      <c r="AH80" s="134">
        <v>21</v>
      </c>
      <c r="AI80" t="s">
        <v>196</v>
      </c>
    </row>
    <row r="82" spans="34:41" ht="11.25" x14ac:dyDescent="0.15">
      <c r="AH82" s="170">
        <v>3</v>
      </c>
      <c r="AI82" s="166" t="s">
        <v>324</v>
      </c>
      <c r="AJ82" s="170">
        <v>3</v>
      </c>
      <c r="AK82" s="166" t="s">
        <v>297</v>
      </c>
      <c r="AL82" s="170">
        <v>2</v>
      </c>
      <c r="AM82" s="166" t="s">
        <v>368</v>
      </c>
      <c r="AN82" s="170">
        <v>2</v>
      </c>
      <c r="AO82" s="166" t="s">
        <v>206</v>
      </c>
    </row>
    <row r="83" spans="34:41" ht="11.25" x14ac:dyDescent="0.15">
      <c r="AH83" s="170">
        <v>3</v>
      </c>
      <c r="AI83" s="166" t="s">
        <v>302</v>
      </c>
      <c r="AJ83" s="170">
        <v>3</v>
      </c>
      <c r="AK83" s="166" t="s">
        <v>222</v>
      </c>
      <c r="AL83" s="170">
        <v>2</v>
      </c>
      <c r="AM83" s="166" t="s">
        <v>251</v>
      </c>
      <c r="AN83" s="170">
        <v>2</v>
      </c>
      <c r="AO83" s="166" t="s">
        <v>196</v>
      </c>
    </row>
  </sheetData>
  <sortState xmlns:xlrd2="http://schemas.microsoft.com/office/spreadsheetml/2017/richdata2"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Sundip Nair</cp:lastModifiedBy>
  <cp:lastPrinted>2019-10-31T16:18:17Z</cp:lastPrinted>
  <dcterms:created xsi:type="dcterms:W3CDTF">1995-07-17T18:41:11Z</dcterms:created>
  <dcterms:modified xsi:type="dcterms:W3CDTF">2024-02-19T11:33:55Z</dcterms:modified>
</cp:coreProperties>
</file>
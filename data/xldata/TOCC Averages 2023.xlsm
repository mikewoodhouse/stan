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work\Repos\stan\data\xldata\"/>
    </mc:Choice>
  </mc:AlternateContent>
  <xr:revisionPtr revIDLastSave="0" documentId="13_ncr:1_{9F6AA765-2C8D-4C9B-8327-E3D209F9A999}" xr6:coauthVersionLast="47" xr6:coauthVersionMax="47" xr10:uidLastSave="{00000000-0000-0000-0000-000000000000}"/>
  <bookViews>
    <workbookView xWindow="-120" yWindow="-120" windowWidth="29040" windowHeight="16440" activeTab="12" xr2:uid="{00000000-000D-0000-FFFF-FFFF00000000}"/>
  </bookViews>
  <sheets>
    <sheet name="Matches" sheetId="1" r:id="rId1"/>
    <sheet name="Batting" sheetId="2" r:id="rId2"/>
    <sheet name="Bowling" sheetId="3" r:id="rId3"/>
    <sheet name="Partnerships" sheetId="16" r:id="rId4"/>
    <sheet name="BatAves" sheetId="9" r:id="rId5"/>
    <sheet name="BowlAves" sheetId="10" r:id="rId6"/>
    <sheet name="Fantasy Teams" sheetId="4" state="hidden" r:id="rId7"/>
    <sheet name="FantasyPts" sheetId="5" state="hidden" r:id="rId8"/>
    <sheet name="Player Stats" sheetId="6" state="hidden" r:id="rId9"/>
    <sheet name="League Table" sheetId="7" state="hidden" r:id="rId10"/>
    <sheet name="modFuncs" sheetId="8" state="veryHidden" r:id=""/>
    <sheet name="Capts" sheetId="17" r:id="rId11"/>
    <sheet name="To_Word_Doc" sheetId="18" r:id="rId12"/>
    <sheet name="Scratchpad" sheetId="19" r:id="rId13"/>
  </sheets>
  <functionGroups builtInGroupCount="19"/>
  <definedNames>
    <definedName name="BallsBowled">1</definedName>
    <definedName name="batavg_qualifiers">BatAves!$W$3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Batting!$D$93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Hundreds">16</definedName>
    <definedName name="InnsBattedIn">1</definedName>
    <definedName name="InnsBowledIn">5</definedName>
    <definedName name="Maidens">2</definedName>
    <definedName name="MatchesPlayed">4</definedName>
    <definedName name="MinValue">Batting!$E$93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4">BatAves!$A$1:$H$45</definedName>
    <definedName name="_xlnm.Print_Area" localSheetId="5">BowlAves!$A$1:$K$31</definedName>
    <definedName name="_xlnm.Print_Area" localSheetId="2">Bowling!$A$1:$AH$54</definedName>
    <definedName name="_xlnm.Print_Area" localSheetId="9">'League Table'!$A$1:$D$36</definedName>
    <definedName name="_xlnm.Print_Area" localSheetId="0">Matches!$A$1:$AF$19</definedName>
    <definedName name="_xlnm.Print_Area" localSheetId="8">'Player Stats'!$A$1:$H$42</definedName>
    <definedName name="_xlnm.Print_Area" localSheetId="12">To_Word_Doc!$A$46:$Y$135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91029"/>
  <pivotCaches>
    <pivotCache cacheId="0" r:id="rId1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68" i="2" l="1" a="1"/>
  <c r="BC68" i="2" s="1"/>
  <c r="BB68" i="2" a="1"/>
  <c r="BB68" i="2" s="1"/>
  <c r="BA68" i="2" a="1"/>
  <c r="BA68" i="2" s="1"/>
  <c r="AZ68" i="2" a="1"/>
  <c r="AZ68" i="2" s="1"/>
  <c r="AY68" i="2" a="1"/>
  <c r="AY68" i="2" s="1"/>
  <c r="AX68" i="2" a="1"/>
  <c r="AX68" i="2" s="1"/>
  <c r="AW68" i="2" a="1"/>
  <c r="AW68" i="2" s="1"/>
  <c r="AU68" i="2" a="1"/>
  <c r="AU68" i="2" s="1"/>
  <c r="AT68" i="2" a="1"/>
  <c r="AT68" i="2" s="1"/>
  <c r="AJ68" i="2"/>
  <c r="CC68" i="2" s="1"/>
  <c r="BC30" i="2" a="1"/>
  <c r="BC30" i="2" s="1"/>
  <c r="BB30" i="2" a="1"/>
  <c r="BB30" i="2" s="1"/>
  <c r="BA30" i="2" a="1"/>
  <c r="BA30" i="2" s="1"/>
  <c r="AZ30" i="2" a="1"/>
  <c r="AZ30" i="2" s="1"/>
  <c r="AY30" i="2" a="1"/>
  <c r="AY30" i="2" s="1"/>
  <c r="AX30" i="2" a="1"/>
  <c r="AX30" i="2" s="1"/>
  <c r="AW30" i="2" a="1"/>
  <c r="AW30" i="2" s="1"/>
  <c r="AU30" i="2" a="1"/>
  <c r="AU30" i="2" s="1"/>
  <c r="AT30" i="2" a="1"/>
  <c r="AT30" i="2" s="1"/>
  <c r="AJ30" i="2"/>
  <c r="CA30" i="2" s="1"/>
  <c r="BC9" i="2" a="1"/>
  <c r="BC9" i="2" s="1"/>
  <c r="BB9" i="2" a="1"/>
  <c r="BB9" i="2" s="1"/>
  <c r="BA9" i="2" a="1"/>
  <c r="BA9" i="2" s="1"/>
  <c r="AZ9" i="2" a="1"/>
  <c r="AZ9" i="2" s="1"/>
  <c r="AY9" i="2" a="1"/>
  <c r="AY9" i="2" s="1"/>
  <c r="AX9" i="2" a="1"/>
  <c r="AX9" i="2" s="1"/>
  <c r="AW9" i="2" a="1"/>
  <c r="AW9" i="2" s="1"/>
  <c r="AU9" i="2" a="1"/>
  <c r="AU9" i="2" s="1"/>
  <c r="AT9" i="2" a="1"/>
  <c r="AT9" i="2" s="1"/>
  <c r="AJ9" i="2"/>
  <c r="CC9" i="2" s="1"/>
  <c r="BC56" i="2" a="1"/>
  <c r="BC56" i="2" s="1"/>
  <c r="BB56" i="2" a="1"/>
  <c r="BB56" i="2" s="1"/>
  <c r="BA56" i="2" a="1"/>
  <c r="BA56" i="2" s="1"/>
  <c r="AZ56" i="2" a="1"/>
  <c r="AZ56" i="2" s="1"/>
  <c r="AY56" i="2" a="1"/>
  <c r="AY56" i="2" s="1"/>
  <c r="AX56" i="2" a="1"/>
  <c r="AX56" i="2" s="1"/>
  <c r="AW56" i="2" a="1"/>
  <c r="AW56" i="2" s="1"/>
  <c r="AU56" i="2" a="1"/>
  <c r="AU56" i="2" s="1"/>
  <c r="AT56" i="2" a="1"/>
  <c r="AT56" i="2" s="1"/>
  <c r="AJ56" i="2"/>
  <c r="CC56" i="2" s="1"/>
  <c r="BC61" i="2" a="1"/>
  <c r="BC61" i="2" s="1"/>
  <c r="BB61" i="2" a="1"/>
  <c r="BB61" i="2" s="1"/>
  <c r="BA61" i="2" a="1"/>
  <c r="BA61" i="2" s="1"/>
  <c r="AZ61" i="2" a="1"/>
  <c r="AZ61" i="2" s="1"/>
  <c r="AY61" i="2" a="1"/>
  <c r="AY61" i="2" s="1"/>
  <c r="AX61" i="2" a="1"/>
  <c r="AX61" i="2" s="1"/>
  <c r="AW61" i="2" a="1"/>
  <c r="AW61" i="2" s="1"/>
  <c r="AU61" i="2" a="1"/>
  <c r="AU61" i="2" s="1"/>
  <c r="AT61" i="2" a="1"/>
  <c r="AT61" i="2" s="1"/>
  <c r="AJ61" i="2"/>
  <c r="CC61" i="2" s="1"/>
  <c r="BC66" i="2" a="1"/>
  <c r="BC66" i="2" s="1"/>
  <c r="BB66" i="2" a="1"/>
  <c r="BB66" i="2" s="1"/>
  <c r="BA66" i="2" a="1"/>
  <c r="BA66" i="2" s="1"/>
  <c r="AZ66" i="2" a="1"/>
  <c r="AZ66" i="2" s="1"/>
  <c r="AY66" i="2" a="1"/>
  <c r="AY66" i="2" s="1"/>
  <c r="AX66" i="2" a="1"/>
  <c r="AX66" i="2" s="1"/>
  <c r="AW66" i="2" a="1"/>
  <c r="AW66" i="2" s="1"/>
  <c r="AU66" i="2" a="1"/>
  <c r="AU66" i="2" s="1"/>
  <c r="AT66" i="2" a="1"/>
  <c r="AT66" i="2" s="1"/>
  <c r="AJ66" i="2"/>
  <c r="CC66" i="2" s="1"/>
  <c r="BC57" i="2" a="1"/>
  <c r="BC57" i="2" s="1"/>
  <c r="BB57" i="2" a="1"/>
  <c r="BB57" i="2" s="1"/>
  <c r="BA57" i="2" a="1"/>
  <c r="BA57" i="2" s="1"/>
  <c r="AZ57" i="2" a="1"/>
  <c r="AZ57" i="2" s="1"/>
  <c r="AY57" i="2" a="1"/>
  <c r="AY57" i="2" s="1"/>
  <c r="AX57" i="2" a="1"/>
  <c r="AX57" i="2" s="1"/>
  <c r="AW57" i="2" a="1"/>
  <c r="AW57" i="2" s="1"/>
  <c r="AU57" i="2" a="1"/>
  <c r="AU57" i="2" s="1"/>
  <c r="AT57" i="2" a="1"/>
  <c r="AT57" i="2" s="1"/>
  <c r="AJ57" i="2"/>
  <c r="CC57" i="2" s="1"/>
  <c r="BC38" i="2" a="1"/>
  <c r="BC38" i="2" s="1"/>
  <c r="BB38" i="2" a="1"/>
  <c r="BB38" i="2" s="1"/>
  <c r="BA38" i="2" a="1"/>
  <c r="BA38" i="2" s="1"/>
  <c r="AZ38" i="2" a="1"/>
  <c r="AZ38" i="2" s="1"/>
  <c r="AY38" i="2" a="1"/>
  <c r="AY38" i="2" s="1"/>
  <c r="AX38" i="2" a="1"/>
  <c r="AX38" i="2" s="1"/>
  <c r="AW38" i="2" a="1"/>
  <c r="AW38" i="2" s="1"/>
  <c r="AU38" i="2" a="1"/>
  <c r="AU38" i="2" s="1"/>
  <c r="AT38" i="2" a="1"/>
  <c r="AT38" i="2" s="1"/>
  <c r="AJ38" i="2"/>
  <c r="CC38" i="2" s="1"/>
  <c r="Y8" i="1"/>
  <c r="Y7" i="1"/>
  <c r="Y6" i="1"/>
  <c r="Y5" i="1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W38" i="1"/>
  <c r="S38" i="1"/>
  <c r="AT11" i="2" a="1"/>
  <c r="AT11" i="2" s="1"/>
  <c r="AU11" i="2" a="1"/>
  <c r="AU11" i="2" s="1"/>
  <c r="AW11" i="2" a="1"/>
  <c r="AW11" i="2" s="1"/>
  <c r="AX11" i="2" a="1"/>
  <c r="AX11" i="2" s="1"/>
  <c r="AY11" i="2" a="1"/>
  <c r="AY11" i="2" s="1"/>
  <c r="AZ11" i="2" a="1"/>
  <c r="AZ11" i="2" s="1"/>
  <c r="BA11" i="2" a="1"/>
  <c r="BA11" i="2" s="1"/>
  <c r="BB11" i="2" a="1"/>
  <c r="BB11" i="2" s="1"/>
  <c r="BC11" i="2" a="1"/>
  <c r="BC11" i="2" s="1"/>
  <c r="AT12" i="2" a="1"/>
  <c r="AT12" i="2" s="1"/>
  <c r="AU12" i="2" a="1"/>
  <c r="AU12" i="2" s="1"/>
  <c r="AW12" i="2" a="1"/>
  <c r="AW12" i="2" s="1"/>
  <c r="AX12" i="2" a="1"/>
  <c r="AX12" i="2" s="1"/>
  <c r="AY12" i="2" a="1"/>
  <c r="AY12" i="2" s="1"/>
  <c r="AZ12" i="2" a="1"/>
  <c r="AZ12" i="2" s="1"/>
  <c r="BA12" i="2" a="1"/>
  <c r="BA12" i="2" s="1"/>
  <c r="BB12" i="2" a="1"/>
  <c r="BB12" i="2" s="1"/>
  <c r="BC12" i="2" a="1"/>
  <c r="BC12" i="2" s="1"/>
  <c r="AT13" i="2" a="1"/>
  <c r="AT13" i="2" s="1"/>
  <c r="AU13" i="2" a="1"/>
  <c r="AU13" i="2" s="1"/>
  <c r="AW13" i="2" a="1"/>
  <c r="AW13" i="2" s="1"/>
  <c r="AX13" i="2" a="1"/>
  <c r="AX13" i="2" s="1"/>
  <c r="AY13" i="2" a="1"/>
  <c r="AY13" i="2" s="1"/>
  <c r="AZ13" i="2" a="1"/>
  <c r="AZ13" i="2" s="1"/>
  <c r="BA13" i="2" a="1"/>
  <c r="BA13" i="2" s="1"/>
  <c r="BB13" i="2" a="1"/>
  <c r="BB13" i="2" s="1"/>
  <c r="BC13" i="2" a="1"/>
  <c r="BC13" i="2" s="1"/>
  <c r="AT14" i="2" a="1"/>
  <c r="AT14" i="2" s="1"/>
  <c r="AU14" i="2" a="1"/>
  <c r="AU14" i="2" s="1"/>
  <c r="AW14" i="2" a="1"/>
  <c r="AW14" i="2" s="1"/>
  <c r="AX14" i="2" a="1"/>
  <c r="AX14" i="2" s="1"/>
  <c r="AY14" i="2" a="1"/>
  <c r="AY14" i="2" s="1"/>
  <c r="AZ14" i="2" a="1"/>
  <c r="AZ14" i="2" s="1"/>
  <c r="BA14" i="2" a="1"/>
  <c r="BA14" i="2" s="1"/>
  <c r="BB14" i="2" a="1"/>
  <c r="BB14" i="2" s="1"/>
  <c r="BC14" i="2" a="1"/>
  <c r="BC14" i="2" s="1"/>
  <c r="AT15" i="2" a="1"/>
  <c r="AT15" i="2" s="1"/>
  <c r="AU15" i="2" a="1"/>
  <c r="AU15" i="2" s="1"/>
  <c r="AW15" i="2" a="1"/>
  <c r="AW15" i="2" s="1"/>
  <c r="AX15" i="2" a="1"/>
  <c r="AX15" i="2" s="1"/>
  <c r="AY15" i="2" a="1"/>
  <c r="AY15" i="2" s="1"/>
  <c r="AZ15" i="2" a="1"/>
  <c r="AZ15" i="2" s="1"/>
  <c r="BA15" i="2" a="1"/>
  <c r="BA15" i="2" s="1"/>
  <c r="BB15" i="2" a="1"/>
  <c r="BB15" i="2" s="1"/>
  <c r="BC15" i="2" a="1"/>
  <c r="BC15" i="2" s="1"/>
  <c r="AT16" i="2" a="1"/>
  <c r="AT16" i="2" s="1"/>
  <c r="AU16" i="2" a="1"/>
  <c r="AU16" i="2" s="1"/>
  <c r="AW16" i="2" a="1"/>
  <c r="AW16" i="2" s="1"/>
  <c r="AX16" i="2" a="1"/>
  <c r="AX16" i="2" s="1"/>
  <c r="AY16" i="2" a="1"/>
  <c r="AY16" i="2" s="1"/>
  <c r="AZ16" i="2" a="1"/>
  <c r="AZ16" i="2" s="1"/>
  <c r="BA16" i="2" a="1"/>
  <c r="BA16" i="2" s="1"/>
  <c r="BB16" i="2" a="1"/>
  <c r="BB16" i="2" s="1"/>
  <c r="BC16" i="2" a="1"/>
  <c r="BC16" i="2" s="1"/>
  <c r="AT17" i="2" a="1"/>
  <c r="AT17" i="2" s="1"/>
  <c r="AU17" i="2" a="1"/>
  <c r="AU17" i="2" s="1"/>
  <c r="AW17" i="2" a="1"/>
  <c r="AW17" i="2" s="1"/>
  <c r="AX17" i="2" a="1"/>
  <c r="AX17" i="2" s="1"/>
  <c r="AY17" i="2" a="1"/>
  <c r="AY17" i="2" s="1"/>
  <c r="AZ17" i="2" a="1"/>
  <c r="AZ17" i="2" s="1"/>
  <c r="BA17" i="2" a="1"/>
  <c r="BA17" i="2" s="1"/>
  <c r="BB17" i="2" a="1"/>
  <c r="BB17" i="2" s="1"/>
  <c r="BC17" i="2" a="1"/>
  <c r="BC17" i="2" s="1"/>
  <c r="AT18" i="2" a="1"/>
  <c r="AT18" i="2" s="1"/>
  <c r="AU18" i="2" a="1"/>
  <c r="AU18" i="2" s="1"/>
  <c r="AW18" i="2" a="1"/>
  <c r="AW18" i="2" s="1"/>
  <c r="AX18" i="2" a="1"/>
  <c r="AX18" i="2" s="1"/>
  <c r="AY18" i="2" a="1"/>
  <c r="AY18" i="2" s="1"/>
  <c r="AZ18" i="2" a="1"/>
  <c r="AZ18" i="2" s="1"/>
  <c r="BA18" i="2" a="1"/>
  <c r="BA18" i="2" s="1"/>
  <c r="BB18" i="2" a="1"/>
  <c r="BB18" i="2" s="1"/>
  <c r="BC18" i="2" a="1"/>
  <c r="BC18" i="2" s="1"/>
  <c r="AT19" i="2" a="1"/>
  <c r="AT19" i="2" s="1"/>
  <c r="AU19" i="2" a="1"/>
  <c r="AU19" i="2" s="1"/>
  <c r="AW19" i="2" a="1"/>
  <c r="AW19" i="2" s="1"/>
  <c r="AX19" i="2" a="1"/>
  <c r="AX19" i="2" s="1"/>
  <c r="AY19" i="2" a="1"/>
  <c r="AY19" i="2" s="1"/>
  <c r="AZ19" i="2" a="1"/>
  <c r="AZ19" i="2" s="1"/>
  <c r="BA19" i="2" a="1"/>
  <c r="BA19" i="2" s="1"/>
  <c r="BB19" i="2" a="1"/>
  <c r="BB19" i="2" s="1"/>
  <c r="BC19" i="2" a="1"/>
  <c r="BC19" i="2" s="1"/>
  <c r="AT20" i="2" a="1"/>
  <c r="AT20" i="2" s="1"/>
  <c r="AU20" i="2" a="1"/>
  <c r="AU20" i="2" s="1"/>
  <c r="AW20" i="2" a="1"/>
  <c r="AW20" i="2" s="1"/>
  <c r="AX20" i="2" a="1"/>
  <c r="AX20" i="2" s="1"/>
  <c r="AY20" i="2" a="1"/>
  <c r="AY20" i="2" s="1"/>
  <c r="AZ20" i="2" a="1"/>
  <c r="AZ20" i="2" s="1"/>
  <c r="BA20" i="2" a="1"/>
  <c r="BA20" i="2" s="1"/>
  <c r="BB20" i="2" a="1"/>
  <c r="BB20" i="2" s="1"/>
  <c r="BC20" i="2" a="1"/>
  <c r="BC20" i="2" s="1"/>
  <c r="AT21" i="2" a="1"/>
  <c r="AT21" i="2" s="1"/>
  <c r="AU21" i="2" a="1"/>
  <c r="AU21" i="2" s="1"/>
  <c r="AW21" i="2" a="1"/>
  <c r="AW21" i="2" s="1"/>
  <c r="AX21" i="2" a="1"/>
  <c r="AX21" i="2" s="1"/>
  <c r="AY21" i="2" a="1"/>
  <c r="AY21" i="2" s="1"/>
  <c r="AZ21" i="2" a="1"/>
  <c r="AZ21" i="2" s="1"/>
  <c r="BA21" i="2" a="1"/>
  <c r="BA21" i="2" s="1"/>
  <c r="BB21" i="2" a="1"/>
  <c r="BB21" i="2" s="1"/>
  <c r="BC21" i="2" a="1"/>
  <c r="BC21" i="2" s="1"/>
  <c r="AT22" i="2" a="1"/>
  <c r="AT22" i="2" s="1"/>
  <c r="AU22" i="2" a="1"/>
  <c r="AU22" i="2" s="1"/>
  <c r="AW22" i="2" a="1"/>
  <c r="AW22" i="2" s="1"/>
  <c r="AX22" i="2" a="1"/>
  <c r="AX22" i="2" s="1"/>
  <c r="AY22" i="2" a="1"/>
  <c r="AY22" i="2" s="1"/>
  <c r="AZ22" i="2" a="1"/>
  <c r="AZ22" i="2" s="1"/>
  <c r="BA22" i="2" a="1"/>
  <c r="BA22" i="2" s="1"/>
  <c r="BB22" i="2" a="1"/>
  <c r="BB22" i="2" s="1"/>
  <c r="BC22" i="2" a="1"/>
  <c r="BC22" i="2" s="1"/>
  <c r="AT23" i="2" a="1"/>
  <c r="AT23" i="2" s="1"/>
  <c r="AU23" i="2" a="1"/>
  <c r="AU23" i="2" s="1"/>
  <c r="AW23" i="2" a="1"/>
  <c r="AW23" i="2" s="1"/>
  <c r="AX23" i="2" a="1"/>
  <c r="AX23" i="2" s="1"/>
  <c r="AY23" i="2" a="1"/>
  <c r="AY23" i="2" s="1"/>
  <c r="AZ23" i="2" a="1"/>
  <c r="AZ23" i="2" s="1"/>
  <c r="BA23" i="2" a="1"/>
  <c r="BA23" i="2" s="1"/>
  <c r="BB23" i="2" a="1"/>
  <c r="BB23" i="2" s="1"/>
  <c r="BC23" i="2" a="1"/>
  <c r="BC23" i="2" s="1"/>
  <c r="AT24" i="2" a="1"/>
  <c r="AT24" i="2" s="1"/>
  <c r="AU24" i="2" a="1"/>
  <c r="AU24" i="2" s="1"/>
  <c r="AW24" i="2" a="1"/>
  <c r="AW24" i="2" s="1"/>
  <c r="AX24" i="2" a="1"/>
  <c r="AX24" i="2" s="1"/>
  <c r="AY24" i="2" a="1"/>
  <c r="AY24" i="2" s="1"/>
  <c r="AZ24" i="2" a="1"/>
  <c r="AZ24" i="2" s="1"/>
  <c r="BA24" i="2" a="1"/>
  <c r="BA24" i="2" s="1"/>
  <c r="BB24" i="2" a="1"/>
  <c r="BB24" i="2" s="1"/>
  <c r="BC24" i="2" a="1"/>
  <c r="BC24" i="2" s="1"/>
  <c r="AT25" i="2" a="1"/>
  <c r="AT25" i="2" s="1"/>
  <c r="AU25" i="2" a="1"/>
  <c r="AU25" i="2" s="1"/>
  <c r="AW25" i="2" a="1"/>
  <c r="AW25" i="2" s="1"/>
  <c r="AX25" i="2" a="1"/>
  <c r="AX25" i="2" s="1"/>
  <c r="AY25" i="2" a="1"/>
  <c r="AY25" i="2" s="1"/>
  <c r="AZ25" i="2" a="1"/>
  <c r="AZ25" i="2" s="1"/>
  <c r="BA25" i="2" a="1"/>
  <c r="BA25" i="2" s="1"/>
  <c r="BB25" i="2" a="1"/>
  <c r="BB25" i="2" s="1"/>
  <c r="BC25" i="2" a="1"/>
  <c r="BC25" i="2" s="1"/>
  <c r="AT26" i="2" a="1"/>
  <c r="AT26" i="2" s="1"/>
  <c r="AU26" i="2" a="1"/>
  <c r="AU26" i="2" s="1"/>
  <c r="AW26" i="2" a="1"/>
  <c r="AW26" i="2" s="1"/>
  <c r="AX26" i="2" a="1"/>
  <c r="AX26" i="2" s="1"/>
  <c r="AY26" i="2" a="1"/>
  <c r="AY26" i="2" s="1"/>
  <c r="AZ26" i="2" a="1"/>
  <c r="AZ26" i="2" s="1"/>
  <c r="BA26" i="2" a="1"/>
  <c r="BA26" i="2" s="1"/>
  <c r="BB26" i="2" a="1"/>
  <c r="BB26" i="2" s="1"/>
  <c r="BC26" i="2" a="1"/>
  <c r="BC26" i="2" s="1"/>
  <c r="AT27" i="2" a="1"/>
  <c r="AT27" i="2" s="1"/>
  <c r="AU27" i="2" a="1"/>
  <c r="AU27" i="2" s="1"/>
  <c r="AW27" i="2" a="1"/>
  <c r="AW27" i="2" s="1"/>
  <c r="AX27" i="2" a="1"/>
  <c r="AX27" i="2" s="1"/>
  <c r="AY27" i="2" a="1"/>
  <c r="AY27" i="2" s="1"/>
  <c r="AZ27" i="2" a="1"/>
  <c r="AZ27" i="2" s="1"/>
  <c r="BA27" i="2" a="1"/>
  <c r="BA27" i="2" s="1"/>
  <c r="BB27" i="2" a="1"/>
  <c r="BB27" i="2" s="1"/>
  <c r="BC27" i="2" a="1"/>
  <c r="BC27" i="2" s="1"/>
  <c r="AT28" i="2" a="1"/>
  <c r="AT28" i="2" s="1"/>
  <c r="AU28" i="2" a="1"/>
  <c r="AU28" i="2" s="1"/>
  <c r="AW28" i="2" a="1"/>
  <c r="AW28" i="2" s="1"/>
  <c r="AX28" i="2" a="1"/>
  <c r="AX28" i="2" s="1"/>
  <c r="AY28" i="2" a="1"/>
  <c r="AY28" i="2" s="1"/>
  <c r="AZ28" i="2" a="1"/>
  <c r="AZ28" i="2" s="1"/>
  <c r="BA28" i="2" a="1"/>
  <c r="BA28" i="2" s="1"/>
  <c r="BB28" i="2" a="1"/>
  <c r="BB28" i="2" s="1"/>
  <c r="BC28" i="2" a="1"/>
  <c r="BC28" i="2" s="1"/>
  <c r="AT29" i="2" a="1"/>
  <c r="AT29" i="2" s="1"/>
  <c r="AU29" i="2" a="1"/>
  <c r="AU29" i="2" s="1"/>
  <c r="AW29" i="2" a="1"/>
  <c r="AW29" i="2" s="1"/>
  <c r="AX29" i="2" a="1"/>
  <c r="AX29" i="2" s="1"/>
  <c r="AY29" i="2" a="1"/>
  <c r="AY29" i="2" s="1"/>
  <c r="AZ29" i="2" a="1"/>
  <c r="AZ29" i="2" s="1"/>
  <c r="BA29" i="2" a="1"/>
  <c r="BA29" i="2" s="1"/>
  <c r="BB29" i="2" a="1"/>
  <c r="BB29" i="2" s="1"/>
  <c r="BC29" i="2" a="1"/>
  <c r="BC29" i="2" s="1"/>
  <c r="AT31" i="2" a="1"/>
  <c r="AT31" i="2" s="1"/>
  <c r="AU31" i="2" a="1"/>
  <c r="AU31" i="2" s="1"/>
  <c r="AW31" i="2" a="1"/>
  <c r="AW31" i="2" s="1"/>
  <c r="AX31" i="2" a="1"/>
  <c r="AX31" i="2" s="1"/>
  <c r="AY31" i="2" a="1"/>
  <c r="AY31" i="2" s="1"/>
  <c r="AZ31" i="2" a="1"/>
  <c r="AZ31" i="2" s="1"/>
  <c r="BA31" i="2" a="1"/>
  <c r="BA31" i="2" s="1"/>
  <c r="BB31" i="2" a="1"/>
  <c r="BB31" i="2" s="1"/>
  <c r="BC31" i="2" a="1"/>
  <c r="BC31" i="2" s="1"/>
  <c r="AT32" i="2" a="1"/>
  <c r="AT32" i="2" s="1"/>
  <c r="AU32" i="2" a="1"/>
  <c r="AU32" i="2" s="1"/>
  <c r="AW32" i="2" a="1"/>
  <c r="AW32" i="2" s="1"/>
  <c r="AX32" i="2" a="1"/>
  <c r="AX32" i="2" s="1"/>
  <c r="AY32" i="2" a="1"/>
  <c r="AY32" i="2" s="1"/>
  <c r="AZ32" i="2" a="1"/>
  <c r="AZ32" i="2" s="1"/>
  <c r="BA32" i="2" a="1"/>
  <c r="BA32" i="2" s="1"/>
  <c r="BB32" i="2" a="1"/>
  <c r="BB32" i="2" s="1"/>
  <c r="BC32" i="2" a="1"/>
  <c r="BC32" i="2" s="1"/>
  <c r="AT33" i="2" a="1"/>
  <c r="AT33" i="2" s="1"/>
  <c r="AU33" i="2" a="1"/>
  <c r="AU33" i="2" s="1"/>
  <c r="AW33" i="2" a="1"/>
  <c r="AW33" i="2" s="1"/>
  <c r="AX33" i="2" a="1"/>
  <c r="AX33" i="2" s="1"/>
  <c r="AY33" i="2" a="1"/>
  <c r="AY33" i="2" s="1"/>
  <c r="AZ33" i="2" a="1"/>
  <c r="AZ33" i="2" s="1"/>
  <c r="BA33" i="2" a="1"/>
  <c r="BA33" i="2" s="1"/>
  <c r="BB33" i="2" a="1"/>
  <c r="BB33" i="2" s="1"/>
  <c r="BC33" i="2" a="1"/>
  <c r="BC33" i="2" s="1"/>
  <c r="AT34" i="2" a="1"/>
  <c r="AT34" i="2" s="1"/>
  <c r="AU34" i="2" a="1"/>
  <c r="AU34" i="2" s="1"/>
  <c r="AW34" i="2" a="1"/>
  <c r="AW34" i="2" s="1"/>
  <c r="AX34" i="2" a="1"/>
  <c r="AX34" i="2" s="1"/>
  <c r="AY34" i="2" a="1"/>
  <c r="AY34" i="2" s="1"/>
  <c r="AZ34" i="2" a="1"/>
  <c r="AZ34" i="2" s="1"/>
  <c r="BA34" i="2" a="1"/>
  <c r="BA34" i="2" s="1"/>
  <c r="BB34" i="2" a="1"/>
  <c r="BB34" i="2" s="1"/>
  <c r="BC34" i="2" a="1"/>
  <c r="BC34" i="2" s="1"/>
  <c r="AT35" i="2" a="1"/>
  <c r="AT35" i="2" s="1"/>
  <c r="AU35" i="2" a="1"/>
  <c r="AU35" i="2" s="1"/>
  <c r="AW35" i="2" a="1"/>
  <c r="AW35" i="2" s="1"/>
  <c r="AX35" i="2" a="1"/>
  <c r="AX35" i="2" s="1"/>
  <c r="AY35" i="2" a="1"/>
  <c r="AY35" i="2" s="1"/>
  <c r="AZ35" i="2" a="1"/>
  <c r="AZ35" i="2" s="1"/>
  <c r="BA35" i="2" a="1"/>
  <c r="BA35" i="2" s="1"/>
  <c r="BB35" i="2" a="1"/>
  <c r="BB35" i="2" s="1"/>
  <c r="BC35" i="2" a="1"/>
  <c r="BC35" i="2" s="1"/>
  <c r="AT36" i="2" a="1"/>
  <c r="AT36" i="2" s="1"/>
  <c r="AU36" i="2" a="1"/>
  <c r="AU36" i="2" s="1"/>
  <c r="AW36" i="2" a="1"/>
  <c r="AW36" i="2" s="1"/>
  <c r="AX36" i="2" a="1"/>
  <c r="AX36" i="2" s="1"/>
  <c r="AY36" i="2" a="1"/>
  <c r="AY36" i="2" s="1"/>
  <c r="AZ36" i="2" a="1"/>
  <c r="AZ36" i="2" s="1"/>
  <c r="BA36" i="2" a="1"/>
  <c r="BA36" i="2" s="1"/>
  <c r="BB36" i="2" a="1"/>
  <c r="BB36" i="2" s="1"/>
  <c r="BC36" i="2" a="1"/>
  <c r="BC36" i="2" s="1"/>
  <c r="AT37" i="2" a="1"/>
  <c r="AT37" i="2" s="1"/>
  <c r="AU37" i="2" a="1"/>
  <c r="AU37" i="2" s="1"/>
  <c r="AW37" i="2" a="1"/>
  <c r="AW37" i="2" s="1"/>
  <c r="AX37" i="2" a="1"/>
  <c r="AX37" i="2" s="1"/>
  <c r="AY37" i="2" a="1"/>
  <c r="AY37" i="2" s="1"/>
  <c r="AZ37" i="2" a="1"/>
  <c r="AZ37" i="2" s="1"/>
  <c r="BA37" i="2" a="1"/>
  <c r="BA37" i="2" s="1"/>
  <c r="BB37" i="2" a="1"/>
  <c r="BB37" i="2" s="1"/>
  <c r="BC37" i="2" a="1"/>
  <c r="BC37" i="2" s="1"/>
  <c r="AT39" i="2" a="1"/>
  <c r="AT39" i="2" s="1"/>
  <c r="AU39" i="2" a="1"/>
  <c r="AU39" i="2" s="1"/>
  <c r="AW39" i="2" a="1"/>
  <c r="AW39" i="2" s="1"/>
  <c r="AX39" i="2" a="1"/>
  <c r="AX39" i="2" s="1"/>
  <c r="AY39" i="2" a="1"/>
  <c r="AY39" i="2" s="1"/>
  <c r="AZ39" i="2" a="1"/>
  <c r="AZ39" i="2" s="1"/>
  <c r="BA39" i="2" a="1"/>
  <c r="BA39" i="2" s="1"/>
  <c r="BB39" i="2" a="1"/>
  <c r="BB39" i="2" s="1"/>
  <c r="BC39" i="2" a="1"/>
  <c r="BC39" i="2" s="1"/>
  <c r="AT40" i="2" a="1"/>
  <c r="AT40" i="2" s="1"/>
  <c r="AU40" i="2" a="1"/>
  <c r="AU40" i="2" s="1"/>
  <c r="AW40" i="2" a="1"/>
  <c r="AW40" i="2" s="1"/>
  <c r="AX40" i="2" a="1"/>
  <c r="AX40" i="2" s="1"/>
  <c r="AY40" i="2" a="1"/>
  <c r="AY40" i="2" s="1"/>
  <c r="AZ40" i="2" a="1"/>
  <c r="AZ40" i="2" s="1"/>
  <c r="BA40" i="2" a="1"/>
  <c r="BA40" i="2" s="1"/>
  <c r="BB40" i="2" a="1"/>
  <c r="BB40" i="2" s="1"/>
  <c r="BC40" i="2" a="1"/>
  <c r="BC40" i="2" s="1"/>
  <c r="AT41" i="2" a="1"/>
  <c r="AT41" i="2" s="1"/>
  <c r="AU41" i="2" a="1"/>
  <c r="AU41" i="2" s="1"/>
  <c r="AW41" i="2" a="1"/>
  <c r="AW41" i="2" s="1"/>
  <c r="AX41" i="2" a="1"/>
  <c r="AX41" i="2" s="1"/>
  <c r="AY41" i="2" a="1"/>
  <c r="AY41" i="2" s="1"/>
  <c r="AZ41" i="2" a="1"/>
  <c r="AZ41" i="2" s="1"/>
  <c r="BA41" i="2" a="1"/>
  <c r="BA41" i="2" s="1"/>
  <c r="BB41" i="2" a="1"/>
  <c r="BB41" i="2" s="1"/>
  <c r="BC41" i="2" a="1"/>
  <c r="BC41" i="2" s="1"/>
  <c r="AT42" i="2" a="1"/>
  <c r="AT42" i="2" s="1"/>
  <c r="AU42" i="2" a="1"/>
  <c r="AU42" i="2" s="1"/>
  <c r="AW42" i="2" a="1"/>
  <c r="AW42" i="2" s="1"/>
  <c r="AX42" i="2" a="1"/>
  <c r="AX42" i="2" s="1"/>
  <c r="AY42" i="2" a="1"/>
  <c r="AY42" i="2" s="1"/>
  <c r="AZ42" i="2" a="1"/>
  <c r="AZ42" i="2" s="1"/>
  <c r="BA42" i="2" a="1"/>
  <c r="BA42" i="2" s="1"/>
  <c r="BB42" i="2" a="1"/>
  <c r="BB42" i="2" s="1"/>
  <c r="BC42" i="2" a="1"/>
  <c r="BC42" i="2" s="1"/>
  <c r="AT43" i="2" a="1"/>
  <c r="AT43" i="2" s="1"/>
  <c r="AU43" i="2" a="1"/>
  <c r="AU43" i="2" s="1"/>
  <c r="AW43" i="2" a="1"/>
  <c r="AW43" i="2" s="1"/>
  <c r="AX43" i="2" a="1"/>
  <c r="AX43" i="2" s="1"/>
  <c r="AY43" i="2" a="1"/>
  <c r="AY43" i="2" s="1"/>
  <c r="AZ43" i="2" a="1"/>
  <c r="AZ43" i="2" s="1"/>
  <c r="BA43" i="2" a="1"/>
  <c r="BA43" i="2" s="1"/>
  <c r="BB43" i="2" a="1"/>
  <c r="BB43" i="2" s="1"/>
  <c r="BC43" i="2" a="1"/>
  <c r="BC43" i="2" s="1"/>
  <c r="AT44" i="2" a="1"/>
  <c r="AT44" i="2" s="1"/>
  <c r="AU44" i="2" a="1"/>
  <c r="AU44" i="2" s="1"/>
  <c r="AW44" i="2" a="1"/>
  <c r="AW44" i="2" s="1"/>
  <c r="AX44" i="2" a="1"/>
  <c r="AX44" i="2" s="1"/>
  <c r="AY44" i="2" a="1"/>
  <c r="AY44" i="2" s="1"/>
  <c r="AZ44" i="2" a="1"/>
  <c r="AZ44" i="2" s="1"/>
  <c r="BA44" i="2" a="1"/>
  <c r="BA44" i="2" s="1"/>
  <c r="BB44" i="2" a="1"/>
  <c r="BB44" i="2" s="1"/>
  <c r="BC44" i="2" a="1"/>
  <c r="BC44" i="2" s="1"/>
  <c r="AT45" i="2" a="1"/>
  <c r="AT45" i="2" s="1"/>
  <c r="AU45" i="2" a="1"/>
  <c r="AU45" i="2" s="1"/>
  <c r="AW45" i="2" a="1"/>
  <c r="AW45" i="2" s="1"/>
  <c r="AX45" i="2" a="1"/>
  <c r="AX45" i="2" s="1"/>
  <c r="AY45" i="2" a="1"/>
  <c r="AY45" i="2" s="1"/>
  <c r="AZ45" i="2" a="1"/>
  <c r="AZ45" i="2" s="1"/>
  <c r="BA45" i="2" a="1"/>
  <c r="BA45" i="2" s="1"/>
  <c r="BB45" i="2" a="1"/>
  <c r="BB45" i="2" s="1"/>
  <c r="BC45" i="2" a="1"/>
  <c r="BC45" i="2" s="1"/>
  <c r="AT46" i="2" a="1"/>
  <c r="AT46" i="2" s="1"/>
  <c r="AU46" i="2" a="1"/>
  <c r="AU46" i="2" s="1"/>
  <c r="AW46" i="2" a="1"/>
  <c r="AW46" i="2" s="1"/>
  <c r="AX46" i="2" a="1"/>
  <c r="AX46" i="2" s="1"/>
  <c r="AY46" i="2" a="1"/>
  <c r="AY46" i="2" s="1"/>
  <c r="AZ46" i="2" a="1"/>
  <c r="AZ46" i="2" s="1"/>
  <c r="BA46" i="2" a="1"/>
  <c r="BA46" i="2" s="1"/>
  <c r="BB46" i="2" a="1"/>
  <c r="BB46" i="2" s="1"/>
  <c r="BC46" i="2" a="1"/>
  <c r="BC46" i="2" s="1"/>
  <c r="AT47" i="2" a="1"/>
  <c r="AT47" i="2" s="1"/>
  <c r="AU47" i="2" a="1"/>
  <c r="AU47" i="2" s="1"/>
  <c r="AW47" i="2" a="1"/>
  <c r="AW47" i="2" s="1"/>
  <c r="AX47" i="2" a="1"/>
  <c r="AX47" i="2" s="1"/>
  <c r="AY47" i="2" a="1"/>
  <c r="AY47" i="2" s="1"/>
  <c r="AZ47" i="2" a="1"/>
  <c r="AZ47" i="2" s="1"/>
  <c r="BA47" i="2" a="1"/>
  <c r="BA47" i="2" s="1"/>
  <c r="BB47" i="2" a="1"/>
  <c r="BB47" i="2" s="1"/>
  <c r="BC47" i="2" a="1"/>
  <c r="BC47" i="2" s="1"/>
  <c r="AT48" i="2" a="1"/>
  <c r="AT48" i="2" s="1"/>
  <c r="AU48" i="2" a="1"/>
  <c r="AU48" i="2" s="1"/>
  <c r="AW48" i="2" a="1"/>
  <c r="AW48" i="2" s="1"/>
  <c r="AX48" i="2" a="1"/>
  <c r="AX48" i="2" s="1"/>
  <c r="AY48" i="2" a="1"/>
  <c r="AY48" i="2" s="1"/>
  <c r="AZ48" i="2" a="1"/>
  <c r="AZ48" i="2" s="1"/>
  <c r="BA48" i="2" a="1"/>
  <c r="BA48" i="2" s="1"/>
  <c r="BB48" i="2" a="1"/>
  <c r="BB48" i="2" s="1"/>
  <c r="BC48" i="2" a="1"/>
  <c r="BC48" i="2" s="1"/>
  <c r="AT49" i="2" a="1"/>
  <c r="AT49" i="2" s="1"/>
  <c r="AU49" i="2" a="1"/>
  <c r="AU49" i="2" s="1"/>
  <c r="AW49" i="2" a="1"/>
  <c r="AW49" i="2" s="1"/>
  <c r="AX49" i="2" a="1"/>
  <c r="AX49" i="2" s="1"/>
  <c r="AY49" i="2" a="1"/>
  <c r="AY49" i="2" s="1"/>
  <c r="AZ49" i="2" a="1"/>
  <c r="AZ49" i="2" s="1"/>
  <c r="BA49" i="2" a="1"/>
  <c r="BA49" i="2" s="1"/>
  <c r="BB49" i="2" a="1"/>
  <c r="BB49" i="2" s="1"/>
  <c r="BC49" i="2" a="1"/>
  <c r="BC49" i="2" s="1"/>
  <c r="AT50" i="2" a="1"/>
  <c r="AT50" i="2" s="1"/>
  <c r="AU50" i="2" a="1"/>
  <c r="AU50" i="2" s="1"/>
  <c r="AW50" i="2" a="1"/>
  <c r="AW50" i="2" s="1"/>
  <c r="AX50" i="2" a="1"/>
  <c r="AX50" i="2" s="1"/>
  <c r="AY50" i="2" a="1"/>
  <c r="AY50" i="2" s="1"/>
  <c r="AZ50" i="2" a="1"/>
  <c r="AZ50" i="2" s="1"/>
  <c r="BA50" i="2" a="1"/>
  <c r="BA50" i="2" s="1"/>
  <c r="BB50" i="2" a="1"/>
  <c r="BB50" i="2" s="1"/>
  <c r="BC50" i="2" a="1"/>
  <c r="BC50" i="2" s="1"/>
  <c r="AT51" i="2" a="1"/>
  <c r="AT51" i="2" s="1"/>
  <c r="AU51" i="2" a="1"/>
  <c r="AU51" i="2" s="1"/>
  <c r="AW51" i="2" a="1"/>
  <c r="AW51" i="2" s="1"/>
  <c r="AX51" i="2" a="1"/>
  <c r="AX51" i="2" s="1"/>
  <c r="AY51" i="2" a="1"/>
  <c r="AY51" i="2" s="1"/>
  <c r="AZ51" i="2" a="1"/>
  <c r="AZ51" i="2" s="1"/>
  <c r="BA51" i="2" a="1"/>
  <c r="BA51" i="2" s="1"/>
  <c r="BB51" i="2" a="1"/>
  <c r="BB51" i="2" s="1"/>
  <c r="BC51" i="2" a="1"/>
  <c r="BC51" i="2" s="1"/>
  <c r="AT52" i="2" a="1"/>
  <c r="AT52" i="2" s="1"/>
  <c r="AU52" i="2" a="1"/>
  <c r="AU52" i="2" s="1"/>
  <c r="AW52" i="2" a="1"/>
  <c r="AW52" i="2" s="1"/>
  <c r="AX52" i="2" a="1"/>
  <c r="AX52" i="2" s="1"/>
  <c r="AY52" i="2" a="1"/>
  <c r="AY52" i="2" s="1"/>
  <c r="AZ52" i="2" a="1"/>
  <c r="AZ52" i="2" s="1"/>
  <c r="BA52" i="2" a="1"/>
  <c r="BA52" i="2" s="1"/>
  <c r="BB52" i="2" a="1"/>
  <c r="BB52" i="2" s="1"/>
  <c r="BC52" i="2" a="1"/>
  <c r="BC52" i="2" s="1"/>
  <c r="AT53" i="2" a="1"/>
  <c r="AT53" i="2" s="1"/>
  <c r="AU53" i="2" a="1"/>
  <c r="AU53" i="2" s="1"/>
  <c r="AW53" i="2" a="1"/>
  <c r="AW53" i="2" s="1"/>
  <c r="AX53" i="2" a="1"/>
  <c r="AX53" i="2" s="1"/>
  <c r="AY53" i="2" a="1"/>
  <c r="AY53" i="2" s="1"/>
  <c r="AZ53" i="2" a="1"/>
  <c r="AZ53" i="2" s="1"/>
  <c r="BA53" i="2" a="1"/>
  <c r="BA53" i="2" s="1"/>
  <c r="BB53" i="2" a="1"/>
  <c r="BB53" i="2" s="1"/>
  <c r="BC53" i="2" a="1"/>
  <c r="BC53" i="2" s="1"/>
  <c r="AT54" i="2" a="1"/>
  <c r="AT54" i="2" s="1"/>
  <c r="AU54" i="2" a="1"/>
  <c r="AU54" i="2" s="1"/>
  <c r="AW54" i="2" a="1"/>
  <c r="AW54" i="2" s="1"/>
  <c r="AX54" i="2" a="1"/>
  <c r="AX54" i="2" s="1"/>
  <c r="AY54" i="2" a="1"/>
  <c r="AY54" i="2" s="1"/>
  <c r="AZ54" i="2" a="1"/>
  <c r="AZ54" i="2" s="1"/>
  <c r="BA54" i="2" a="1"/>
  <c r="BA54" i="2" s="1"/>
  <c r="BB54" i="2" a="1"/>
  <c r="BB54" i="2" s="1"/>
  <c r="BC54" i="2" a="1"/>
  <c r="BC54" i="2" s="1"/>
  <c r="AT55" i="2" a="1"/>
  <c r="AT55" i="2" s="1"/>
  <c r="AU55" i="2" a="1"/>
  <c r="AU55" i="2" s="1"/>
  <c r="AW55" i="2" a="1"/>
  <c r="AW55" i="2" s="1"/>
  <c r="AX55" i="2" a="1"/>
  <c r="AX55" i="2" s="1"/>
  <c r="AY55" i="2" a="1"/>
  <c r="AY55" i="2" s="1"/>
  <c r="AZ55" i="2" a="1"/>
  <c r="AZ55" i="2" s="1"/>
  <c r="BA55" i="2" a="1"/>
  <c r="BA55" i="2" s="1"/>
  <c r="BB55" i="2" a="1"/>
  <c r="BB55" i="2" s="1"/>
  <c r="BC55" i="2" a="1"/>
  <c r="BC55" i="2" s="1"/>
  <c r="AT58" i="2" a="1"/>
  <c r="AT58" i="2" s="1"/>
  <c r="AU58" i="2" a="1"/>
  <c r="AU58" i="2" s="1"/>
  <c r="AW58" i="2" a="1"/>
  <c r="AW58" i="2" s="1"/>
  <c r="AX58" i="2" a="1"/>
  <c r="AX58" i="2" s="1"/>
  <c r="AY58" i="2" a="1"/>
  <c r="AY58" i="2" s="1"/>
  <c r="AZ58" i="2" a="1"/>
  <c r="AZ58" i="2" s="1"/>
  <c r="BA58" i="2" a="1"/>
  <c r="BA58" i="2" s="1"/>
  <c r="BB58" i="2" a="1"/>
  <c r="BB58" i="2" s="1"/>
  <c r="BC58" i="2" a="1"/>
  <c r="BC58" i="2" s="1"/>
  <c r="AT59" i="2" a="1"/>
  <c r="AT59" i="2" s="1"/>
  <c r="AU59" i="2" a="1"/>
  <c r="AU59" i="2" s="1"/>
  <c r="AW59" i="2" a="1"/>
  <c r="AW59" i="2" s="1"/>
  <c r="AX59" i="2" a="1"/>
  <c r="AX59" i="2" s="1"/>
  <c r="AY59" i="2" a="1"/>
  <c r="AY59" i="2" s="1"/>
  <c r="AZ59" i="2" a="1"/>
  <c r="AZ59" i="2" s="1"/>
  <c r="BA59" i="2" a="1"/>
  <c r="BA59" i="2" s="1"/>
  <c r="BB59" i="2" a="1"/>
  <c r="BB59" i="2" s="1"/>
  <c r="BC59" i="2" a="1"/>
  <c r="BC59" i="2" s="1"/>
  <c r="AT60" i="2" a="1"/>
  <c r="AT60" i="2" s="1"/>
  <c r="AU60" i="2" a="1"/>
  <c r="AU60" i="2" s="1"/>
  <c r="AW60" i="2" a="1"/>
  <c r="AW60" i="2" s="1"/>
  <c r="AX60" i="2" a="1"/>
  <c r="AX60" i="2" s="1"/>
  <c r="AY60" i="2" a="1"/>
  <c r="AY60" i="2" s="1"/>
  <c r="AZ60" i="2" a="1"/>
  <c r="AZ60" i="2" s="1"/>
  <c r="BA60" i="2" a="1"/>
  <c r="BA60" i="2" s="1"/>
  <c r="BB60" i="2" a="1"/>
  <c r="BB60" i="2" s="1"/>
  <c r="BC60" i="2" a="1"/>
  <c r="BC60" i="2" s="1"/>
  <c r="AT62" i="2" a="1"/>
  <c r="AT62" i="2" s="1"/>
  <c r="AU62" i="2" a="1"/>
  <c r="AU62" i="2" s="1"/>
  <c r="AW62" i="2" a="1"/>
  <c r="AW62" i="2" s="1"/>
  <c r="AX62" i="2" a="1"/>
  <c r="AX62" i="2" s="1"/>
  <c r="AY62" i="2" a="1"/>
  <c r="AY62" i="2" s="1"/>
  <c r="AZ62" i="2" a="1"/>
  <c r="AZ62" i="2" s="1"/>
  <c r="BA62" i="2" a="1"/>
  <c r="BA62" i="2" s="1"/>
  <c r="BB62" i="2" a="1"/>
  <c r="BB62" i="2" s="1"/>
  <c r="BC62" i="2" a="1"/>
  <c r="BC62" i="2" s="1"/>
  <c r="AT63" i="2" a="1"/>
  <c r="AT63" i="2" s="1"/>
  <c r="AU63" i="2" a="1"/>
  <c r="AU63" i="2" s="1"/>
  <c r="AW63" i="2" a="1"/>
  <c r="AW63" i="2" s="1"/>
  <c r="AX63" i="2" a="1"/>
  <c r="AX63" i="2" s="1"/>
  <c r="AY63" i="2" a="1"/>
  <c r="AY63" i="2" s="1"/>
  <c r="AZ63" i="2" a="1"/>
  <c r="AZ63" i="2" s="1"/>
  <c r="BA63" i="2" a="1"/>
  <c r="BA63" i="2" s="1"/>
  <c r="BB63" i="2" a="1"/>
  <c r="BB63" i="2" s="1"/>
  <c r="BC63" i="2" a="1"/>
  <c r="BC63" i="2" s="1"/>
  <c r="AT64" i="2" a="1"/>
  <c r="AT64" i="2" s="1"/>
  <c r="AU64" i="2" a="1"/>
  <c r="AU64" i="2" s="1"/>
  <c r="AW64" i="2" a="1"/>
  <c r="AW64" i="2" s="1"/>
  <c r="AX64" i="2" a="1"/>
  <c r="AX64" i="2" s="1"/>
  <c r="AY64" i="2" a="1"/>
  <c r="AY64" i="2" s="1"/>
  <c r="AZ64" i="2" a="1"/>
  <c r="AZ64" i="2" s="1"/>
  <c r="BA64" i="2" a="1"/>
  <c r="BA64" i="2" s="1"/>
  <c r="BB64" i="2" a="1"/>
  <c r="BB64" i="2" s="1"/>
  <c r="BC64" i="2" a="1"/>
  <c r="BC64" i="2" s="1"/>
  <c r="AT65" i="2" a="1"/>
  <c r="AT65" i="2" s="1"/>
  <c r="AU65" i="2" a="1"/>
  <c r="AU65" i="2" s="1"/>
  <c r="AW65" i="2" a="1"/>
  <c r="AW65" i="2" s="1"/>
  <c r="AX65" i="2" a="1"/>
  <c r="AX65" i="2" s="1"/>
  <c r="AY65" i="2" a="1"/>
  <c r="AY65" i="2" s="1"/>
  <c r="AZ65" i="2" a="1"/>
  <c r="AZ65" i="2" s="1"/>
  <c r="BA65" i="2" a="1"/>
  <c r="BA65" i="2" s="1"/>
  <c r="BB65" i="2" a="1"/>
  <c r="BB65" i="2" s="1"/>
  <c r="BC65" i="2" a="1"/>
  <c r="BC65" i="2" s="1"/>
  <c r="AT67" i="2" a="1"/>
  <c r="AT67" i="2" s="1"/>
  <c r="AU67" i="2" a="1"/>
  <c r="AU67" i="2" s="1"/>
  <c r="AW67" i="2" a="1"/>
  <c r="AW67" i="2" s="1"/>
  <c r="AX67" i="2" a="1"/>
  <c r="AX67" i="2" s="1"/>
  <c r="AY67" i="2" a="1"/>
  <c r="AY67" i="2" s="1"/>
  <c r="AZ67" i="2" a="1"/>
  <c r="AZ67" i="2" s="1"/>
  <c r="BA67" i="2" a="1"/>
  <c r="BA67" i="2" s="1"/>
  <c r="BB67" i="2" a="1"/>
  <c r="BB67" i="2" s="1"/>
  <c r="BC67" i="2" a="1"/>
  <c r="BC67" i="2" s="1"/>
  <c r="AT69" i="2" a="1"/>
  <c r="AT69" i="2" s="1"/>
  <c r="AU69" i="2" a="1"/>
  <c r="AU69" i="2" s="1"/>
  <c r="AW69" i="2" a="1"/>
  <c r="AW69" i="2" s="1"/>
  <c r="AX69" i="2" a="1"/>
  <c r="AX69" i="2" s="1"/>
  <c r="AY69" i="2" a="1"/>
  <c r="AY69" i="2" s="1"/>
  <c r="AZ69" i="2" a="1"/>
  <c r="AZ69" i="2" s="1"/>
  <c r="BA69" i="2" a="1"/>
  <c r="BA69" i="2" s="1"/>
  <c r="BB69" i="2" a="1"/>
  <c r="BB69" i="2" s="1"/>
  <c r="BC69" i="2" a="1"/>
  <c r="BC69" i="2" s="1"/>
  <c r="AT70" i="2" a="1"/>
  <c r="AT70" i="2" s="1"/>
  <c r="AU70" i="2" a="1"/>
  <c r="AU70" i="2" s="1"/>
  <c r="AW70" i="2" a="1"/>
  <c r="AW70" i="2" s="1"/>
  <c r="AX70" i="2" a="1"/>
  <c r="AX70" i="2" s="1"/>
  <c r="AY70" i="2" a="1"/>
  <c r="AY70" i="2" s="1"/>
  <c r="AZ70" i="2" a="1"/>
  <c r="AZ70" i="2" s="1"/>
  <c r="BA70" i="2" a="1"/>
  <c r="BA70" i="2" s="1"/>
  <c r="BB70" i="2" a="1"/>
  <c r="BB70" i="2" s="1"/>
  <c r="BC70" i="2" a="1"/>
  <c r="BC70" i="2" s="1"/>
  <c r="BC8" i="2" a="1"/>
  <c r="BC8" i="2" s="1"/>
  <c r="BB8" i="2" a="1"/>
  <c r="BB8" i="2" s="1"/>
  <c r="BA8" i="2" a="1"/>
  <c r="BA8" i="2" s="1"/>
  <c r="AZ8" i="2" a="1"/>
  <c r="AZ8" i="2" s="1"/>
  <c r="AY8" i="2" a="1"/>
  <c r="AY8" i="2" s="1"/>
  <c r="AX8" i="2" a="1"/>
  <c r="AX8" i="2" s="1"/>
  <c r="AW8" i="2" a="1"/>
  <c r="AW8" i="2" s="1"/>
  <c r="AU8" i="2" a="1"/>
  <c r="AU8" i="2" s="1"/>
  <c r="AT8" i="2" a="1"/>
  <c r="AT8" i="2" s="1"/>
  <c r="AJ8" i="2"/>
  <c r="CA8" i="2" s="1"/>
  <c r="AJ18" i="2"/>
  <c r="CA18" i="2" s="1"/>
  <c r="AJ32" i="2"/>
  <c r="CC32" i="2" s="1"/>
  <c r="AJ22" i="2"/>
  <c r="CA22" i="2" s="1"/>
  <c r="AJ12" i="2"/>
  <c r="CC12" i="2" s="1"/>
  <c r="AW24" i="3"/>
  <c r="AO24" i="3"/>
  <c r="AN24" i="3"/>
  <c r="AM24" i="3"/>
  <c r="AL24" i="3"/>
  <c r="AS24" i="3"/>
  <c r="AK24" i="3"/>
  <c r="AJ24" i="3"/>
  <c r="BD68" i="2"/>
  <c r="AO68" i="2"/>
  <c r="BK68" i="2"/>
  <c r="AN68" i="2"/>
  <c r="BJ68" i="2"/>
  <c r="AM68" i="2"/>
  <c r="BI68" i="2"/>
  <c r="AV68" i="2"/>
  <c r="BH68" i="2"/>
  <c r="AS68" i="2"/>
  <c r="AK68" i="2"/>
  <c r="BE68" i="2"/>
  <c r="BG68" i="2"/>
  <c r="BF68" i="2"/>
  <c r="AQ68" i="2"/>
  <c r="BD30" i="2"/>
  <c r="AO30" i="2"/>
  <c r="BK30" i="2"/>
  <c r="AN30" i="2"/>
  <c r="BJ30" i="2"/>
  <c r="AM30" i="2"/>
  <c r="BI30" i="2"/>
  <c r="BH30" i="2"/>
  <c r="AS30" i="2"/>
  <c r="AK30" i="2"/>
  <c r="BE30" i="2"/>
  <c r="BG30" i="2"/>
  <c r="AV30" i="2"/>
  <c r="BF30" i="2"/>
  <c r="AQ30" i="2"/>
  <c r="AW7" i="3"/>
  <c r="AO7" i="3"/>
  <c r="AN7" i="3"/>
  <c r="AM7" i="3"/>
  <c r="AL7" i="3"/>
  <c r="AS7" i="3"/>
  <c r="AK7" i="3"/>
  <c r="AJ7" i="3"/>
  <c r="BD9" i="2"/>
  <c r="AO9" i="2"/>
  <c r="BK9" i="2"/>
  <c r="AN9" i="2"/>
  <c r="BE9" i="2"/>
  <c r="BJ9" i="2"/>
  <c r="AM9" i="2"/>
  <c r="BI9" i="2"/>
  <c r="AV9" i="2"/>
  <c r="BH9" i="2"/>
  <c r="AS9" i="2"/>
  <c r="AK9" i="2"/>
  <c r="BG9" i="2"/>
  <c r="BF9" i="2"/>
  <c r="AQ9" i="2"/>
  <c r="AW42" i="3"/>
  <c r="AO42" i="3"/>
  <c r="AN42" i="3"/>
  <c r="AM42" i="3"/>
  <c r="AJ42" i="3"/>
  <c r="AL42" i="3"/>
  <c r="AS42" i="3"/>
  <c r="AK42" i="3"/>
  <c r="BD56" i="2"/>
  <c r="AO56" i="2"/>
  <c r="BK56" i="2"/>
  <c r="AN56" i="2"/>
  <c r="BJ56" i="2"/>
  <c r="AM56" i="2"/>
  <c r="BI56" i="2"/>
  <c r="BH56" i="2"/>
  <c r="AS56" i="2"/>
  <c r="AK56" i="2"/>
  <c r="BE56" i="2"/>
  <c r="AV56" i="2"/>
  <c r="BG56" i="2"/>
  <c r="BF56" i="2"/>
  <c r="AQ56" i="2"/>
  <c r="BD61" i="2"/>
  <c r="AO61" i="2"/>
  <c r="BK61" i="2"/>
  <c r="AN61" i="2"/>
  <c r="BJ61" i="2"/>
  <c r="AM61" i="2"/>
  <c r="BI61" i="2"/>
  <c r="BH61" i="2"/>
  <c r="AS61" i="2"/>
  <c r="AK61" i="2"/>
  <c r="BG61" i="2"/>
  <c r="BF61" i="2"/>
  <c r="AQ61" i="2"/>
  <c r="BE61" i="2"/>
  <c r="AV61" i="2"/>
  <c r="AW47" i="3"/>
  <c r="AM47" i="3"/>
  <c r="AK47" i="3"/>
  <c r="AL47" i="3"/>
  <c r="AS47" i="3"/>
  <c r="AJ47" i="3"/>
  <c r="AO47" i="3"/>
  <c r="AN47" i="3"/>
  <c r="AW43" i="3"/>
  <c r="AN43" i="3"/>
  <c r="AM43" i="3"/>
  <c r="AL43" i="3"/>
  <c r="AS43" i="3"/>
  <c r="AK43" i="3"/>
  <c r="AJ43" i="3"/>
  <c r="AO43" i="3"/>
  <c r="AW51" i="3"/>
  <c r="AO51" i="3"/>
  <c r="AN51" i="3"/>
  <c r="AM51" i="3"/>
  <c r="AL51" i="3"/>
  <c r="AS51" i="3"/>
  <c r="AK51" i="3"/>
  <c r="AJ51" i="3"/>
  <c r="BD66" i="2"/>
  <c r="AO66" i="2"/>
  <c r="BK66" i="2"/>
  <c r="AN66" i="2"/>
  <c r="BJ66" i="2"/>
  <c r="AM66" i="2"/>
  <c r="BI66" i="2"/>
  <c r="AV66" i="2"/>
  <c r="BH66" i="2"/>
  <c r="AS66" i="2"/>
  <c r="AK66" i="2"/>
  <c r="BE66" i="2"/>
  <c r="BG66" i="2"/>
  <c r="BF66" i="2"/>
  <c r="AQ66" i="2"/>
  <c r="BD57" i="2"/>
  <c r="AO57" i="2"/>
  <c r="BK57" i="2"/>
  <c r="AN57" i="2"/>
  <c r="BJ57" i="2"/>
  <c r="AM57" i="2"/>
  <c r="BI57" i="2"/>
  <c r="BH57" i="2"/>
  <c r="AS57" i="2"/>
  <c r="AK57" i="2"/>
  <c r="BG57" i="2"/>
  <c r="AV57" i="2"/>
  <c r="BF57" i="2"/>
  <c r="AQ57" i="2"/>
  <c r="BE57" i="2"/>
  <c r="BD38" i="2"/>
  <c r="AO38" i="2"/>
  <c r="BK38" i="2"/>
  <c r="AN38" i="2"/>
  <c r="BJ38" i="2"/>
  <c r="AM38" i="2"/>
  <c r="BI38" i="2"/>
  <c r="BH38" i="2"/>
  <c r="AS38" i="2"/>
  <c r="AK38" i="2"/>
  <c r="BG38" i="2"/>
  <c r="BE38" i="2"/>
  <c r="BF38" i="2"/>
  <c r="AQ38" i="2"/>
  <c r="AV38" i="2"/>
  <c r="D76" i="2"/>
  <c r="AV24" i="3" l="1"/>
  <c r="AR24" i="3"/>
  <c r="AP24" i="3"/>
  <c r="AT24" i="3" s="1"/>
  <c r="AQ24" i="3"/>
  <c r="BO68" i="2"/>
  <c r="BS68" i="2"/>
  <c r="BR68" i="2"/>
  <c r="BQ68" i="2"/>
  <c r="BV68" i="2"/>
  <c r="BW68" i="2" s="1"/>
  <c r="BZ68" i="2"/>
  <c r="AL68" i="2"/>
  <c r="BT68" i="2"/>
  <c r="BU68" i="2" s="1"/>
  <c r="CB68" i="2"/>
  <c r="BP68" i="2"/>
  <c r="AR68" i="2"/>
  <c r="BL68" i="2" s="1"/>
  <c r="BX68" i="2"/>
  <c r="BY68" i="2" s="1"/>
  <c r="AP68" i="2"/>
  <c r="CA68" i="2"/>
  <c r="CC30" i="2"/>
  <c r="BO30" i="2"/>
  <c r="BS30" i="2"/>
  <c r="BR30" i="2"/>
  <c r="BQ30" i="2"/>
  <c r="CB30" i="2"/>
  <c r="BP30" i="2"/>
  <c r="BV30" i="2"/>
  <c r="BW30" i="2" s="1"/>
  <c r="BZ30" i="2"/>
  <c r="AL30" i="2"/>
  <c r="BT30" i="2"/>
  <c r="BU30" i="2" s="1"/>
  <c r="AR30" i="2"/>
  <c r="BL30" i="2" s="1"/>
  <c r="BX30" i="2"/>
  <c r="BY30" i="2" s="1"/>
  <c r="AP30" i="2"/>
  <c r="AV7" i="3"/>
  <c r="AR7" i="3"/>
  <c r="AP7" i="3"/>
  <c r="AT7" i="3" s="1"/>
  <c r="AQ7" i="3"/>
  <c r="BO9" i="2"/>
  <c r="BS9" i="2"/>
  <c r="BR9" i="2"/>
  <c r="BQ9" i="2"/>
  <c r="BV9" i="2"/>
  <c r="BW9" i="2" s="1"/>
  <c r="BZ9" i="2"/>
  <c r="AL9" i="2"/>
  <c r="BT9" i="2"/>
  <c r="BU9" i="2" s="1"/>
  <c r="CB9" i="2"/>
  <c r="BP9" i="2"/>
  <c r="AR9" i="2"/>
  <c r="BL9" i="2" s="1"/>
  <c r="BX9" i="2"/>
  <c r="BY9" i="2" s="1"/>
  <c r="AP9" i="2"/>
  <c r="CA9" i="2"/>
  <c r="AV42" i="3"/>
  <c r="AR42" i="3"/>
  <c r="AQ42" i="3"/>
  <c r="AP42" i="3"/>
  <c r="AT42" i="3" s="1"/>
  <c r="BO56" i="2"/>
  <c r="BS56" i="2"/>
  <c r="BR56" i="2"/>
  <c r="BQ56" i="2"/>
  <c r="BV56" i="2"/>
  <c r="BW56" i="2" s="1"/>
  <c r="CB56" i="2"/>
  <c r="BP56" i="2"/>
  <c r="BZ56" i="2"/>
  <c r="AL56" i="2"/>
  <c r="BT56" i="2"/>
  <c r="BU56" i="2" s="1"/>
  <c r="AR56" i="2"/>
  <c r="BL56" i="2" s="1"/>
  <c r="BX56" i="2"/>
  <c r="BY56" i="2" s="1"/>
  <c r="AP56" i="2"/>
  <c r="CA56" i="2"/>
  <c r="CA61" i="2"/>
  <c r="CB61" i="2"/>
  <c r="BP61" i="2"/>
  <c r="BO61" i="2"/>
  <c r="BS61" i="2"/>
  <c r="BR61" i="2"/>
  <c r="BQ61" i="2"/>
  <c r="BV61" i="2"/>
  <c r="BW61" i="2" s="1"/>
  <c r="BZ61" i="2"/>
  <c r="AL61" i="2"/>
  <c r="BT61" i="2"/>
  <c r="BU61" i="2" s="1"/>
  <c r="AR61" i="2"/>
  <c r="BL61" i="2" s="1"/>
  <c r="BX61" i="2"/>
  <c r="BY61" i="2" s="1"/>
  <c r="AP61" i="2"/>
  <c r="AT47" i="3"/>
  <c r="AQ47" i="3"/>
  <c r="AP47" i="3"/>
  <c r="AR47" i="3"/>
  <c r="AV47" i="3"/>
  <c r="AQ43" i="3"/>
  <c r="AP43" i="3"/>
  <c r="AT43" i="3" s="1"/>
  <c r="AV43" i="3"/>
  <c r="AR43" i="3"/>
  <c r="AV51" i="3"/>
  <c r="AR51" i="3"/>
  <c r="AQ51" i="3"/>
  <c r="AP51" i="3"/>
  <c r="AT51" i="3" s="1"/>
  <c r="BO66" i="2"/>
  <c r="BS66" i="2"/>
  <c r="BR66" i="2"/>
  <c r="BQ66" i="2"/>
  <c r="BV66" i="2"/>
  <c r="BW66" i="2" s="1"/>
  <c r="BZ66" i="2"/>
  <c r="AL66" i="2"/>
  <c r="BT66" i="2"/>
  <c r="BU66" i="2" s="1"/>
  <c r="CB66" i="2"/>
  <c r="BP66" i="2"/>
  <c r="AR66" i="2"/>
  <c r="BL66" i="2" s="1"/>
  <c r="BX66" i="2"/>
  <c r="BY66" i="2" s="1"/>
  <c r="AP66" i="2"/>
  <c r="CA66" i="2"/>
  <c r="BO57" i="2"/>
  <c r="BS57" i="2"/>
  <c r="BR57" i="2"/>
  <c r="BQ57" i="2"/>
  <c r="CB57" i="2"/>
  <c r="BP57" i="2"/>
  <c r="BV57" i="2"/>
  <c r="BW57" i="2" s="1"/>
  <c r="BZ57" i="2"/>
  <c r="AL57" i="2"/>
  <c r="BT57" i="2"/>
  <c r="BU57" i="2" s="1"/>
  <c r="AR57" i="2"/>
  <c r="BL57" i="2" s="1"/>
  <c r="BX57" i="2"/>
  <c r="BY57" i="2" s="1"/>
  <c r="AP57" i="2"/>
  <c r="CA57" i="2"/>
  <c r="CB38" i="2"/>
  <c r="BP38" i="2"/>
  <c r="BO38" i="2"/>
  <c r="BS38" i="2"/>
  <c r="BR38" i="2"/>
  <c r="BQ38" i="2"/>
  <c r="BV38" i="2"/>
  <c r="BW38" i="2" s="1"/>
  <c r="BZ38" i="2"/>
  <c r="AL38" i="2"/>
  <c r="BT38" i="2"/>
  <c r="BU38" i="2" s="1"/>
  <c r="AR38" i="2"/>
  <c r="BL38" i="2" s="1"/>
  <c r="BX38" i="2"/>
  <c r="BY38" i="2" s="1"/>
  <c r="AP38" i="2"/>
  <c r="CA38" i="2"/>
  <c r="CC22" i="2"/>
  <c r="CC18" i="2"/>
  <c r="CA12" i="2"/>
  <c r="CC8" i="2"/>
  <c r="CA32" i="2"/>
  <c r="AJ43" i="2"/>
  <c r="AJ29" i="2"/>
  <c r="AJ36" i="2"/>
  <c r="AJ46" i="2"/>
  <c r="AJ64" i="2"/>
  <c r="F128" i="2"/>
  <c r="R137" i="2"/>
  <c r="V124" i="2"/>
  <c r="Y134" i="2"/>
  <c r="H146" i="2"/>
  <c r="L132" i="2"/>
  <c r="G134" i="2"/>
  <c r="S130" i="2"/>
  <c r="X105" i="2"/>
  <c r="J111" i="2"/>
  <c r="U93" i="2"/>
  <c r="K117" i="2"/>
  <c r="Z93" i="2"/>
  <c r="P117" i="2"/>
  <c r="S105" i="2"/>
  <c r="W110" i="2"/>
  <c r="E127" i="2"/>
  <c r="N137" i="2"/>
  <c r="R124" i="2"/>
  <c r="U134" i="2"/>
  <c r="X145" i="2"/>
  <c r="H132" i="2"/>
  <c r="K133" i="2"/>
  <c r="W129" i="2"/>
  <c r="O105" i="2"/>
  <c r="X110" i="2"/>
  <c r="G117" i="2"/>
  <c r="V93" i="2"/>
  <c r="O110" i="2"/>
  <c r="Q93" i="2"/>
  <c r="L117" i="2"/>
  <c r="T105" i="2"/>
  <c r="D127" i="2"/>
  <c r="Z133" i="2"/>
  <c r="I145" i="2"/>
  <c r="M131" i="2"/>
  <c r="P142" i="2"/>
  <c r="H127" i="2"/>
  <c r="W139" i="2"/>
  <c r="Z122" i="2"/>
  <c r="L111" i="2"/>
  <c r="U122" i="2"/>
  <c r="G111" i="2"/>
  <c r="H122" i="2"/>
  <c r="N99" i="2"/>
  <c r="U121" i="2"/>
  <c r="I99" i="2"/>
  <c r="F143" i="2"/>
  <c r="J144" i="2"/>
  <c r="N130" i="2"/>
  <c r="Q141" i="2"/>
  <c r="U127" i="2"/>
  <c r="X137" i="2"/>
  <c r="H125" i="2"/>
  <c r="S136" i="2"/>
  <c r="R122" i="2"/>
  <c r="Z110" i="2"/>
  <c r="M122" i="2"/>
  <c r="U110" i="2"/>
  <c r="N121" i="2"/>
  <c r="F99" i="2"/>
  <c r="E121" i="2"/>
  <c r="W98" i="2"/>
  <c r="F131" i="2"/>
  <c r="N142" i="2"/>
  <c r="R128" i="2"/>
  <c r="D141" i="2"/>
  <c r="U145" i="2"/>
  <c r="T141" i="2"/>
  <c r="W136" i="2"/>
  <c r="P113" i="2"/>
  <c r="Q88" i="2"/>
  <c r="J109" i="2"/>
  <c r="Y96" i="2"/>
  <c r="K113" i="2"/>
  <c r="J103" i="2"/>
  <c r="W102" i="2"/>
  <c r="Z92" i="2"/>
  <c r="R87" i="2"/>
  <c r="AL45" i="3"/>
  <c r="AS15" i="2"/>
  <c r="AO13" i="2"/>
  <c r="R143" i="2"/>
  <c r="Q133" i="2"/>
  <c r="T127" i="2"/>
  <c r="O141" i="2"/>
  <c r="T101" i="2"/>
  <c r="D98" i="2"/>
  <c r="W90" i="2"/>
  <c r="U98" i="2"/>
  <c r="O101" i="2"/>
  <c r="V89" i="2"/>
  <c r="S106" i="2"/>
  <c r="H100" i="2"/>
  <c r="I94" i="2"/>
  <c r="AS48" i="3"/>
  <c r="AS12" i="2"/>
  <c r="BJ19" i="2"/>
  <c r="Z128" i="2"/>
  <c r="I123" i="2"/>
  <c r="G138" i="2"/>
  <c r="N118" i="2"/>
  <c r="I118" i="2"/>
  <c r="F113" i="2"/>
  <c r="S112" i="2"/>
  <c r="L114" i="2"/>
  <c r="P87" i="2"/>
  <c r="K114" i="2"/>
  <c r="P95" i="2"/>
  <c r="U88" i="2"/>
  <c r="AK49" i="3"/>
  <c r="BD11" i="2"/>
  <c r="AV19" i="2"/>
  <c r="F138" i="2"/>
  <c r="J124" i="2"/>
  <c r="L139" i="2"/>
  <c r="O126" i="2"/>
  <c r="J112" i="2"/>
  <c r="K93" i="2"/>
  <c r="T100" i="2"/>
  <c r="K100" i="2"/>
  <c r="X93" i="2"/>
  <c r="E87" i="2"/>
  <c r="G91" i="2"/>
  <c r="E112" i="2"/>
  <c r="F111" i="2"/>
  <c r="AJ45" i="3"/>
  <c r="F141" i="2"/>
  <c r="Z135" i="2"/>
  <c r="J123" i="2"/>
  <c r="M133" i="2"/>
  <c r="P144" i="2"/>
  <c r="T130" i="2"/>
  <c r="S127" i="2"/>
  <c r="K124" i="2"/>
  <c r="F116" i="2"/>
  <c r="N104" i="2"/>
  <c r="W115" i="2"/>
  <c r="I104" i="2"/>
  <c r="P92" i="2"/>
  <c r="Y107" i="2"/>
  <c r="L108" i="2"/>
  <c r="K92" i="2"/>
  <c r="D139" i="2"/>
  <c r="V135" i="2"/>
  <c r="Y146" i="2"/>
  <c r="I133" i="2"/>
  <c r="L144" i="2"/>
  <c r="P130" i="2"/>
  <c r="W126" i="2"/>
  <c r="O123" i="2"/>
  <c r="X115" i="2"/>
  <c r="J104" i="2"/>
  <c r="S115" i="2"/>
  <c r="E104" i="2"/>
  <c r="Z107" i="2"/>
  <c r="L92" i="2"/>
  <c r="Q107" i="2"/>
  <c r="E145" i="2"/>
  <c r="J146" i="2"/>
  <c r="N132" i="2"/>
  <c r="Q143" i="2"/>
  <c r="U129" i="2"/>
  <c r="X139" i="2"/>
  <c r="P125" i="2"/>
  <c r="W127" i="2"/>
  <c r="P121" i="2"/>
  <c r="X109" i="2"/>
  <c r="K121" i="2"/>
  <c r="S109" i="2"/>
  <c r="J119" i="2"/>
  <c r="Z97" i="2"/>
  <c r="W118" i="2"/>
  <c r="U97" i="2"/>
  <c r="D133" i="2"/>
  <c r="R142" i="2"/>
  <c r="V128" i="2"/>
  <c r="Y138" i="2"/>
  <c r="I126" i="2"/>
  <c r="L136" i="2"/>
  <c r="P123" i="2"/>
  <c r="W123" i="2"/>
  <c r="H121" i="2"/>
  <c r="P109" i="2"/>
  <c r="Y120" i="2"/>
  <c r="K109" i="2"/>
  <c r="P118" i="2"/>
  <c r="R97" i="2"/>
  <c r="G118" i="2"/>
  <c r="M97" i="2"/>
  <c r="F144" i="2"/>
  <c r="V139" i="2"/>
  <c r="Z126" i="2"/>
  <c r="E135" i="2"/>
  <c r="I141" i="2"/>
  <c r="P137" i="2"/>
  <c r="O133" i="2"/>
  <c r="R110" i="2"/>
  <c r="M110" i="2"/>
  <c r="T98" i="2"/>
  <c r="O98" i="2"/>
  <c r="L106" i="2"/>
  <c r="P91" i="2"/>
  <c r="K122" i="2"/>
  <c r="I113" i="2"/>
  <c r="D108" i="2"/>
  <c r="AK41" i="3"/>
  <c r="BF17" i="2"/>
  <c r="AQ15" i="2"/>
  <c r="Z137" i="2"/>
  <c r="M130" i="2"/>
  <c r="P124" i="2"/>
  <c r="F122" i="2"/>
  <c r="W121" i="2"/>
  <c r="L120" i="2"/>
  <c r="Y119" i="2"/>
  <c r="P120" i="2"/>
  <c r="R98" i="2"/>
  <c r="W89" i="2"/>
  <c r="O97" i="2"/>
  <c r="Y92" i="2"/>
  <c r="D99" i="2"/>
  <c r="AW48" i="3"/>
  <c r="BF14" i="2"/>
  <c r="BD14" i="2"/>
  <c r="Z124" i="2"/>
  <c r="X143" i="2"/>
  <c r="K125" i="2"/>
  <c r="P115" i="2"/>
  <c r="O95" i="2"/>
  <c r="E94" i="2"/>
  <c r="K115" i="2"/>
  <c r="W106" i="2"/>
  <c r="N111" i="2"/>
  <c r="I87" i="2"/>
  <c r="J107" i="2"/>
  <c r="F94" i="2"/>
  <c r="AL44" i="3"/>
  <c r="BJ13" i="2"/>
  <c r="BF11" i="2"/>
  <c r="E130" i="2"/>
  <c r="I144" i="2"/>
  <c r="H136" i="2"/>
  <c r="S146" i="2"/>
  <c r="L109" i="2"/>
  <c r="G109" i="2"/>
  <c r="N97" i="2"/>
  <c r="I97" i="2"/>
  <c r="E137" i="2"/>
  <c r="F129" i="2"/>
  <c r="N134" i="2"/>
  <c r="Q145" i="2"/>
  <c r="U131" i="2"/>
  <c r="X142" i="2"/>
  <c r="H129" i="2"/>
  <c r="G144" i="2"/>
  <c r="W128" i="2"/>
  <c r="R114" i="2"/>
  <c r="Z102" i="2"/>
  <c r="N105" i="2"/>
  <c r="F91" i="2"/>
  <c r="E105" i="2"/>
  <c r="M114" i="2"/>
  <c r="U102" i="2"/>
  <c r="F146" i="2"/>
  <c r="E128" i="2"/>
  <c r="J134" i="2"/>
  <c r="M145" i="2"/>
  <c r="Q131" i="2"/>
  <c r="T142" i="2"/>
  <c r="X128" i="2"/>
  <c r="K143" i="2"/>
  <c r="K127" i="2"/>
  <c r="N114" i="2"/>
  <c r="V102" i="2"/>
  <c r="Q102" i="2"/>
  <c r="F105" i="2"/>
  <c r="X90" i="2"/>
  <c r="I114" i="2"/>
  <c r="S104" i="2"/>
  <c r="E133" i="2"/>
  <c r="R144" i="2"/>
  <c r="V130" i="2"/>
  <c r="Y141" i="2"/>
  <c r="I128" i="2"/>
  <c r="L138" i="2"/>
  <c r="X123" i="2"/>
  <c r="S142" i="2"/>
  <c r="F120" i="2"/>
  <c r="N108" i="2"/>
  <c r="W119" i="2"/>
  <c r="I108" i="2"/>
  <c r="L116" i="2"/>
  <c r="P96" i="2"/>
  <c r="Y115" i="2"/>
  <c r="K96" i="2"/>
  <c r="D146" i="2"/>
  <c r="Z139" i="2"/>
  <c r="J127" i="2"/>
  <c r="M137" i="2"/>
  <c r="Q124" i="2"/>
  <c r="T134" i="2"/>
  <c r="O144" i="2"/>
  <c r="G141" i="2"/>
  <c r="T119" i="2"/>
  <c r="F108" i="2"/>
  <c r="O119" i="2"/>
  <c r="W107" i="2"/>
  <c r="R115" i="2"/>
  <c r="H96" i="2"/>
  <c r="I115" i="2"/>
  <c r="Y95" i="2"/>
  <c r="F132" i="2"/>
  <c r="J138" i="2"/>
  <c r="N125" i="2"/>
  <c r="D131" i="2"/>
  <c r="Y136" i="2"/>
  <c r="L134" i="2"/>
  <c r="S138" i="2"/>
  <c r="T107" i="2"/>
  <c r="O107" i="2"/>
  <c r="N103" i="2"/>
  <c r="V95" i="2"/>
  <c r="Q95" i="2"/>
  <c r="U119" i="2"/>
  <c r="S110" i="2"/>
  <c r="Q101" i="2"/>
  <c r="D105" i="2"/>
  <c r="AO50" i="3"/>
  <c r="BD19" i="2"/>
  <c r="AS17" i="2"/>
  <c r="V133" i="2"/>
  <c r="I127" i="2"/>
  <c r="G142" i="2"/>
  <c r="H119" i="2"/>
  <c r="Y118" i="2"/>
  <c r="P114" i="2"/>
  <c r="G114" i="2"/>
  <c r="M89" i="2"/>
  <c r="E88" i="2"/>
  <c r="R117" i="2"/>
  <c r="S91" i="2"/>
  <c r="H97" i="2"/>
  <c r="AS40" i="3"/>
  <c r="AN48" i="3"/>
  <c r="BD16" i="2"/>
  <c r="E134" i="2"/>
  <c r="M144" i="2"/>
  <c r="T139" i="2"/>
  <c r="S129" i="2"/>
  <c r="R112" i="2"/>
  <c r="E101" i="2"/>
  <c r="R92" i="2"/>
  <c r="M112" i="2"/>
  <c r="N101" i="2"/>
  <c r="P108" i="2"/>
  <c r="Q92" i="2"/>
  <c r="Y121" i="2"/>
  <c r="N87" i="2"/>
  <c r="AL49" i="3"/>
  <c r="BH15" i="2"/>
  <c r="BD13" i="2"/>
  <c r="F124" i="2"/>
  <c r="U138" i="2"/>
  <c r="X132" i="2"/>
  <c r="D136" i="2"/>
  <c r="R146" i="2"/>
  <c r="V132" i="2"/>
  <c r="Y143" i="2"/>
  <c r="I130" i="2"/>
  <c r="L141" i="2"/>
  <c r="P127" i="2"/>
  <c r="S133" i="2"/>
  <c r="G139" i="2"/>
  <c r="H113" i="2"/>
  <c r="P101" i="2"/>
  <c r="Y112" i="2"/>
  <c r="K101" i="2"/>
  <c r="P102" i="2"/>
  <c r="G102" i="2"/>
  <c r="R89" i="2"/>
  <c r="F134" i="2"/>
  <c r="N146" i="2"/>
  <c r="R132" i="2"/>
  <c r="U143" i="2"/>
  <c r="Y129" i="2"/>
  <c r="H141" i="2"/>
  <c r="L127" i="2"/>
  <c r="W132" i="2"/>
  <c r="O137" i="2"/>
  <c r="Z112" i="2"/>
  <c r="L101" i="2"/>
  <c r="U112" i="2"/>
  <c r="N89" i="2"/>
  <c r="U101" i="2"/>
  <c r="H102" i="2"/>
  <c r="G101" i="2"/>
  <c r="E146" i="2"/>
  <c r="Z142" i="2"/>
  <c r="J129" i="2"/>
  <c r="M139" i="2"/>
  <c r="Q126" i="2"/>
  <c r="T136" i="2"/>
  <c r="G146" i="2"/>
  <c r="O135" i="2"/>
  <c r="R118" i="2"/>
  <c r="Z106" i="2"/>
  <c r="M118" i="2"/>
  <c r="U106" i="2"/>
  <c r="N113" i="2"/>
  <c r="W94" i="2"/>
  <c r="E113" i="2"/>
  <c r="F95" i="2"/>
  <c r="D134" i="2"/>
  <c r="N138" i="2"/>
  <c r="R125" i="2"/>
  <c r="U135" i="2"/>
  <c r="X146" i="2"/>
  <c r="H133" i="2"/>
  <c r="K137" i="2"/>
  <c r="W133" i="2"/>
  <c r="J118" i="2"/>
  <c r="R106" i="2"/>
  <c r="E118" i="2"/>
  <c r="M106" i="2"/>
  <c r="T112" i="2"/>
  <c r="T94" i="2"/>
  <c r="K112" i="2"/>
  <c r="O94" i="2"/>
  <c r="F145" i="2"/>
  <c r="R136" i="2"/>
  <c r="V123" i="2"/>
  <c r="V143" i="2"/>
  <c r="U133" i="2"/>
  <c r="H131" i="2"/>
  <c r="W125" i="2"/>
  <c r="V104" i="2"/>
  <c r="D94" i="2"/>
  <c r="P100" i="2"/>
  <c r="Y94" i="2"/>
  <c r="Q104" i="2"/>
  <c r="G108" i="2"/>
  <c r="X92" i="2"/>
  <c r="S92" i="2"/>
  <c r="O99" i="2"/>
  <c r="AS45" i="3"/>
  <c r="AO12" i="2"/>
  <c r="BF19" i="2"/>
  <c r="V129" i="2"/>
  <c r="Y123" i="2"/>
  <c r="O128" i="2"/>
  <c r="J116" i="2"/>
  <c r="U115" i="2"/>
  <c r="E116" i="2"/>
  <c r="T95" i="2"/>
  <c r="T87" i="2"/>
  <c r="T108" i="2"/>
  <c r="K108" i="2"/>
  <c r="T114" i="2"/>
  <c r="Z88" i="2"/>
  <c r="AM48" i="3"/>
  <c r="AS11" i="2"/>
  <c r="BJ18" i="2"/>
  <c r="D130" i="2"/>
  <c r="I139" i="2"/>
  <c r="P136" i="2"/>
  <c r="K126" i="2"/>
  <c r="T109" i="2"/>
  <c r="O109" i="2"/>
  <c r="R105" i="2"/>
  <c r="H91" i="2"/>
  <c r="V97" i="2"/>
  <c r="Q97" i="2"/>
  <c r="M119" i="2"/>
  <c r="K110" i="2"/>
  <c r="D116" i="2"/>
  <c r="AM44" i="3"/>
  <c r="AV18" i="2"/>
  <c r="BJ15" i="2"/>
  <c r="V146" i="2"/>
  <c r="E125" i="2"/>
  <c r="Z144" i="2"/>
  <c r="J131" i="2"/>
  <c r="M142" i="2"/>
  <c r="Q128" i="2"/>
  <c r="T138" i="2"/>
  <c r="X125" i="2"/>
  <c r="O145" i="2"/>
  <c r="S124" i="2"/>
  <c r="F100" i="2"/>
  <c r="O111" i="2"/>
  <c r="T111" i="2"/>
  <c r="X122" i="2"/>
  <c r="V99" i="2"/>
  <c r="O122" i="2"/>
  <c r="Q99" i="2"/>
  <c r="D124" i="2"/>
  <c r="V144" i="2"/>
  <c r="Z130" i="2"/>
  <c r="I142" i="2"/>
  <c r="M128" i="2"/>
  <c r="P138" i="2"/>
  <c r="T125" i="2"/>
  <c r="G143" i="2"/>
  <c r="G123" i="2"/>
  <c r="P111" i="2"/>
  <c r="Y122" i="2"/>
  <c r="K111" i="2"/>
  <c r="P122" i="2"/>
  <c r="R99" i="2"/>
  <c r="G122" i="2"/>
  <c r="M99" i="2"/>
  <c r="F135" i="2"/>
  <c r="N141" i="2"/>
  <c r="R127" i="2"/>
  <c r="U137" i="2"/>
  <c r="Y124" i="2"/>
  <c r="H135" i="2"/>
  <c r="W138" i="2"/>
  <c r="G129" i="2"/>
  <c r="H117" i="2"/>
  <c r="P110" i="2"/>
  <c r="P105" i="2"/>
  <c r="R93" i="2"/>
  <c r="G110" i="2"/>
  <c r="Y116" i="2"/>
  <c r="K105" i="2"/>
  <c r="M93" i="2"/>
  <c r="E123" i="2"/>
  <c r="V136" i="2"/>
  <c r="Z123" i="2"/>
  <c r="I134" i="2"/>
  <c r="L145" i="2"/>
  <c r="P131" i="2"/>
  <c r="W130" i="2"/>
  <c r="O127" i="2"/>
  <c r="V116" i="2"/>
  <c r="Y104" i="2"/>
  <c r="V109" i="2"/>
  <c r="J93" i="2"/>
  <c r="H105" i="2"/>
  <c r="M109" i="2"/>
  <c r="E93" i="2"/>
  <c r="Q116" i="2"/>
  <c r="F133" i="2"/>
  <c r="Z134" i="2"/>
  <c r="I146" i="2"/>
  <c r="R138" i="2"/>
  <c r="Q130" i="2"/>
  <c r="X127" i="2"/>
  <c r="K142" i="2"/>
  <c r="X101" i="2"/>
  <c r="D91" i="2"/>
  <c r="S101" i="2"/>
  <c r="Z89" i="2"/>
  <c r="V98" i="2"/>
  <c r="I98" i="2"/>
  <c r="S93" i="2"/>
  <c r="F90" i="2"/>
  <c r="E91" i="2"/>
  <c r="AL48" i="3"/>
  <c r="AQ14" i="2"/>
  <c r="AK14" i="2"/>
  <c r="J125" i="2"/>
  <c r="T144" i="2"/>
  <c r="K135" i="2"/>
  <c r="L113" i="2"/>
  <c r="S97" i="2"/>
  <c r="X102" i="2"/>
  <c r="V111" i="2"/>
  <c r="J94" i="2"/>
  <c r="I96" i="2"/>
  <c r="O102" i="2"/>
  <c r="M87" i="2"/>
  <c r="AN41" i="3"/>
  <c r="BF13" i="2"/>
  <c r="AQ11" i="2"/>
  <c r="Z146" i="2"/>
  <c r="Y135" i="2"/>
  <c r="L133" i="2"/>
  <c r="S134" i="2"/>
  <c r="V106" i="2"/>
  <c r="D113" i="2"/>
  <c r="X94" i="2"/>
  <c r="S94" i="2"/>
  <c r="T102" i="2"/>
  <c r="K99" i="2"/>
  <c r="Q106" i="2"/>
  <c r="W116" i="2"/>
  <c r="U107" i="2"/>
  <c r="AK54" i="3"/>
  <c r="AN20" i="2"/>
  <c r="BH17" i="2"/>
  <c r="J142" i="2"/>
  <c r="I129" i="2"/>
  <c r="P126" i="2"/>
  <c r="O129" i="2"/>
  <c r="R100" i="2"/>
  <c r="T88" i="2"/>
  <c r="M100" i="2"/>
  <c r="T122" i="2"/>
  <c r="T99" i="2"/>
  <c r="U103" i="2"/>
  <c r="K97" i="2"/>
  <c r="D106" i="2"/>
  <c r="U92" i="2"/>
  <c r="E138" i="2"/>
  <c r="N143" i="2"/>
  <c r="R129" i="2"/>
  <c r="U139" i="2"/>
  <c r="Y126" i="2"/>
  <c r="H137" i="2"/>
  <c r="L124" i="2"/>
  <c r="G131" i="2"/>
  <c r="X121" i="2"/>
  <c r="J110" i="2"/>
  <c r="S121" i="2"/>
  <c r="E110" i="2"/>
  <c r="Z119" i="2"/>
  <c r="L98" i="2"/>
  <c r="Q119" i="2"/>
  <c r="G98" i="2"/>
  <c r="D137" i="2"/>
  <c r="J143" i="2"/>
  <c r="N129" i="2"/>
  <c r="Q139" i="2"/>
  <c r="U126" i="2"/>
  <c r="X136" i="2"/>
  <c r="H124" i="2"/>
  <c r="K130" i="2"/>
  <c r="T121" i="2"/>
  <c r="F110" i="2"/>
  <c r="O121" i="2"/>
  <c r="W109" i="2"/>
  <c r="R119" i="2"/>
  <c r="H98" i="2"/>
  <c r="I119" i="2"/>
  <c r="Y97" i="2"/>
  <c r="D125" i="2"/>
  <c r="V138" i="2"/>
  <c r="Z125" i="2"/>
  <c r="I136" i="2"/>
  <c r="M123" i="2"/>
  <c r="P133" i="2"/>
  <c r="G126" i="2"/>
  <c r="S145" i="2"/>
  <c r="T115" i="2"/>
  <c r="F104" i="2"/>
  <c r="O115" i="2"/>
  <c r="R107" i="2"/>
  <c r="H92" i="2"/>
  <c r="W103" i="2"/>
  <c r="I107" i="2"/>
  <c r="D144" i="2"/>
  <c r="D135" i="2"/>
  <c r="J135" i="2"/>
  <c r="M146" i="2"/>
  <c r="Q132" i="2"/>
  <c r="T143" i="2"/>
  <c r="X129" i="2"/>
  <c r="O124" i="2"/>
  <c r="L115" i="2"/>
  <c r="T103" i="2"/>
  <c r="G115" i="2"/>
  <c r="O103" i="2"/>
  <c r="X106" i="2"/>
  <c r="V91" i="2"/>
  <c r="O106" i="2"/>
  <c r="E141" i="2"/>
  <c r="D123" i="2"/>
  <c r="N133" i="2"/>
  <c r="Q144" i="2"/>
  <c r="R134" i="2"/>
  <c r="M127" i="2"/>
  <c r="T124" i="2"/>
  <c r="J122" i="2"/>
  <c r="E122" i="2"/>
  <c r="T120" i="2"/>
  <c r="K120" i="2"/>
  <c r="Z117" i="2"/>
  <c r="M92" i="2"/>
  <c r="S89" i="2"/>
  <c r="I88" i="2"/>
  <c r="L97" i="2"/>
  <c r="AO40" i="3"/>
  <c r="AK45" i="3"/>
  <c r="AS16" i="2"/>
  <c r="BG21" i="2"/>
  <c r="Y144" i="2"/>
  <c r="P141" i="2"/>
  <c r="W131" i="2"/>
  <c r="N110" i="2"/>
  <c r="Z87" i="2"/>
  <c r="K98" i="2"/>
  <c r="U94" i="2"/>
  <c r="I110" i="2"/>
  <c r="P98" i="2"/>
  <c r="X108" i="2"/>
  <c r="F87" i="2"/>
  <c r="V92" i="2"/>
  <c r="AO48" i="3"/>
  <c r="BD15" i="2"/>
  <c r="AS13" i="2"/>
  <c r="V142" i="2"/>
  <c r="U132" i="2"/>
  <c r="H130" i="2"/>
  <c r="O138" i="2"/>
  <c r="X103" i="2"/>
  <c r="D102" i="2"/>
  <c r="S103" i="2"/>
  <c r="Z91" i="2"/>
  <c r="G92" i="2"/>
  <c r="I105" i="2"/>
  <c r="E98" i="2"/>
  <c r="X99" i="2"/>
  <c r="O93" i="2"/>
  <c r="AL50" i="3"/>
  <c r="BD12" i="2"/>
  <c r="AN11" i="2"/>
  <c r="Z136" i="2"/>
  <c r="Y125" i="2"/>
  <c r="L123" i="2"/>
  <c r="Z120" i="2"/>
  <c r="U120" i="2"/>
  <c r="H118" i="2"/>
  <c r="F127" i="2"/>
  <c r="E139" i="2"/>
  <c r="J139" i="2"/>
  <c r="N126" i="2"/>
  <c r="Q136" i="2"/>
  <c r="U123" i="2"/>
  <c r="X133" i="2"/>
  <c r="K141" i="2"/>
  <c r="G137" i="2"/>
  <c r="Z118" i="2"/>
  <c r="L107" i="2"/>
  <c r="U118" i="2"/>
  <c r="G107" i="2"/>
  <c r="H114" i="2"/>
  <c r="N95" i="2"/>
  <c r="U113" i="2"/>
  <c r="I95" i="2"/>
  <c r="D138" i="2"/>
  <c r="Z138" i="2"/>
  <c r="J126" i="2"/>
  <c r="M136" i="2"/>
  <c r="Q123" i="2"/>
  <c r="T133" i="2"/>
  <c r="S139" i="2"/>
  <c r="K136" i="2"/>
  <c r="V118" i="2"/>
  <c r="H107" i="2"/>
  <c r="Q118" i="2"/>
  <c r="Y106" i="2"/>
  <c r="V113" i="2"/>
  <c r="J95" i="2"/>
  <c r="M113" i="2"/>
  <c r="E95" i="2"/>
  <c r="F137" i="2"/>
  <c r="R135" i="2"/>
  <c r="U146" i="2"/>
  <c r="Y132" i="2"/>
  <c r="H144" i="2"/>
  <c r="T128" i="2"/>
  <c r="K131" i="2"/>
  <c r="W135" i="2"/>
  <c r="V112" i="2"/>
  <c r="H101" i="2"/>
  <c r="J89" i="2"/>
  <c r="V101" i="2"/>
  <c r="Q112" i="2"/>
  <c r="Y100" i="2"/>
  <c r="M101" i="2"/>
  <c r="F130" i="2"/>
  <c r="V145" i="2"/>
  <c r="Z131" i="2"/>
  <c r="I143" i="2"/>
  <c r="M129" i="2"/>
  <c r="P139" i="2"/>
  <c r="T126" i="2"/>
  <c r="G128" i="2"/>
  <c r="S132" i="2"/>
  <c r="N112" i="2"/>
  <c r="Q100" i="2"/>
  <c r="F101" i="2"/>
  <c r="S100" i="2"/>
  <c r="V100" i="2"/>
  <c r="I112" i="2"/>
  <c r="X88" i="2"/>
  <c r="E142" i="2"/>
  <c r="Z143" i="2"/>
  <c r="J130" i="2"/>
  <c r="M141" i="2"/>
  <c r="V125" i="2"/>
  <c r="X144" i="2"/>
  <c r="K129" i="2"/>
  <c r="N116" i="2"/>
  <c r="W99" i="2"/>
  <c r="S108" i="2"/>
  <c r="H112" i="2"/>
  <c r="N94" i="2"/>
  <c r="I116" i="2"/>
  <c r="M98" i="2"/>
  <c r="F109" i="2"/>
  <c r="Q87" i="2"/>
  <c r="AJ41" i="3"/>
  <c r="AQ13" i="2"/>
  <c r="AM11" i="2"/>
  <c r="F125" i="2"/>
  <c r="U136" i="2"/>
  <c r="X130" i="2"/>
  <c r="G125" i="2"/>
  <c r="R104" i="2"/>
  <c r="M104" i="2"/>
  <c r="T92" i="2"/>
  <c r="O92" i="2"/>
  <c r="F103" i="2"/>
  <c r="K118" i="2"/>
  <c r="I109" i="2"/>
  <c r="D109" i="2"/>
  <c r="G100" i="2"/>
  <c r="AM53" i="3"/>
  <c r="BH19" i="2"/>
  <c r="BD17" i="2"/>
  <c r="J133" i="2"/>
  <c r="M126" i="2"/>
  <c r="T123" i="2"/>
  <c r="L121" i="2"/>
  <c r="G121" i="2"/>
  <c r="X118" i="2"/>
  <c r="O118" i="2"/>
  <c r="J117" i="2"/>
  <c r="Z96" i="2"/>
  <c r="Y90" i="2"/>
  <c r="W87" i="2"/>
  <c r="H89" i="2"/>
  <c r="AW40" i="3"/>
  <c r="AJ49" i="3"/>
  <c r="BH16" i="2"/>
  <c r="AM22" i="2"/>
  <c r="N128" i="2"/>
  <c r="P143" i="2"/>
  <c r="V141" i="2"/>
  <c r="V108" i="2"/>
  <c r="R141" i="2"/>
  <c r="R108" i="2"/>
  <c r="J137" i="2"/>
  <c r="R102" i="2"/>
  <c r="R133" i="2"/>
  <c r="J102" i="2"/>
  <c r="V131" i="2"/>
  <c r="O114" i="2"/>
  <c r="BF18" i="2"/>
  <c r="M95" i="2"/>
  <c r="BF15" i="2"/>
  <c r="S90" i="2"/>
  <c r="AQ16" i="2"/>
  <c r="O134" i="2"/>
  <c r="K103" i="2"/>
  <c r="J98" i="2"/>
  <c r="O88" i="2"/>
  <c r="D107" i="2"/>
  <c r="K94" i="2"/>
  <c r="W108" i="2"/>
  <c r="AW50" i="3"/>
  <c r="AN17" i="2"/>
  <c r="D132" i="2"/>
  <c r="R123" i="2"/>
  <c r="L143" i="2"/>
  <c r="O146" i="2"/>
  <c r="Z114" i="2"/>
  <c r="M111" i="2"/>
  <c r="H87" i="2"/>
  <c r="U114" i="2"/>
  <c r="R113" i="2"/>
  <c r="H95" i="2"/>
  <c r="H106" i="2"/>
  <c r="U105" i="2"/>
  <c r="K88" i="2"/>
  <c r="AS49" i="3"/>
  <c r="AN12" i="2"/>
  <c r="BI19" i="2"/>
  <c r="E143" i="2"/>
  <c r="Q142" i="2"/>
  <c r="H138" i="2"/>
  <c r="K138" i="2"/>
  <c r="H111" i="2"/>
  <c r="Y110" i="2"/>
  <c r="E99" i="2"/>
  <c r="J99" i="2"/>
  <c r="O125" i="2"/>
  <c r="Q91" i="2"/>
  <c r="I101" i="2"/>
  <c r="AN40" i="3"/>
  <c r="G135" i="2"/>
  <c r="S98" i="2"/>
  <c r="Y89" i="2"/>
  <c r="AO44" i="3"/>
  <c r="AM19" i="2"/>
  <c r="BE17" i="2"/>
  <c r="BJ33" i="2"/>
  <c r="BE27" i="2"/>
  <c r="BK35" i="2"/>
  <c r="BH34" i="2"/>
  <c r="BD52" i="2"/>
  <c r="AK49" i="2"/>
  <c r="BK46" i="2"/>
  <c r="AM69" i="2"/>
  <c r="BK63" i="2"/>
  <c r="D143" i="2"/>
  <c r="Z108" i="2"/>
  <c r="V115" i="2"/>
  <c r="J88" i="2"/>
  <c r="R130" i="2"/>
  <c r="K119" i="2"/>
  <c r="F107" i="2"/>
  <c r="F88" i="2"/>
  <c r="AJ40" i="3"/>
  <c r="BD24" i="2"/>
  <c r="AQ24" i="2"/>
  <c r="AQ25" i="2"/>
  <c r="BH33" i="2"/>
  <c r="BK42" i="2"/>
  <c r="AK43" i="2"/>
  <c r="BG59" i="2"/>
  <c r="BD53" i="2"/>
  <c r="BK51" i="2"/>
  <c r="BG48" i="2"/>
  <c r="BF67" i="2"/>
  <c r="N123" i="2"/>
  <c r="Q114" i="2"/>
  <c r="S102" i="2"/>
  <c r="H104" i="2"/>
  <c r="AN53" i="3"/>
  <c r="BG25" i="2"/>
  <c r="AV25" i="2"/>
  <c r="BF26" i="2"/>
  <c r="BK34" i="2"/>
  <c r="BG24" i="2"/>
  <c r="BD43" i="2"/>
  <c r="AQ60" i="2"/>
  <c r="BG54" i="2"/>
  <c r="BF52" i="2"/>
  <c r="AQ49" i="2"/>
  <c r="BJ67" i="2"/>
  <c r="U130" i="2"/>
  <c r="W101" i="2"/>
  <c r="T97" i="2"/>
  <c r="E103" i="2"/>
  <c r="BI14" i="2"/>
  <c r="BK19" i="2"/>
  <c r="BG27" i="2"/>
  <c r="BJ29" i="2"/>
  <c r="AO37" i="2"/>
  <c r="Z127" i="2"/>
  <c r="V127" i="2"/>
  <c r="E120" i="2"/>
  <c r="N124" i="2"/>
  <c r="E114" i="2"/>
  <c r="U144" i="2"/>
  <c r="S113" i="2"/>
  <c r="Y142" i="2"/>
  <c r="F115" i="2"/>
  <c r="F139" i="2"/>
  <c r="Z105" i="2"/>
  <c r="V137" i="2"/>
  <c r="N98" i="2"/>
  <c r="Z132" i="2"/>
  <c r="F118" i="2"/>
  <c r="L112" i="2"/>
  <c r="Y91" i="2"/>
  <c r="V96" i="2"/>
  <c r="J90" i="2"/>
  <c r="Q98" i="2"/>
  <c r="AM41" i="3"/>
  <c r="BH11" i="2"/>
  <c r="BE19" i="2"/>
  <c r="D129" i="2"/>
  <c r="M143" i="2"/>
  <c r="H139" i="2"/>
  <c r="W124" i="2"/>
  <c r="F112" i="2"/>
  <c r="W111" i="2"/>
  <c r="L100" i="2"/>
  <c r="Y99" i="2"/>
  <c r="T93" i="2"/>
  <c r="T110" i="2"/>
  <c r="S118" i="2"/>
  <c r="E90" i="2"/>
  <c r="W91" i="2"/>
  <c r="AN45" i="3"/>
  <c r="BE14" i="2"/>
  <c r="AV12" i="2"/>
  <c r="E136" i="2"/>
  <c r="Q137" i="2"/>
  <c r="X134" i="2"/>
  <c r="W141" i="2"/>
  <c r="J108" i="2"/>
  <c r="L96" i="2"/>
  <c r="E108" i="2"/>
  <c r="F123" i="2"/>
  <c r="X111" i="2"/>
  <c r="L118" i="2"/>
  <c r="M103" i="2"/>
  <c r="AW54" i="3"/>
  <c r="N122" i="2"/>
  <c r="M91" i="2"/>
  <c r="G99" i="2"/>
  <c r="AJ44" i="3"/>
  <c r="BK21" i="2"/>
  <c r="BI21" i="2"/>
  <c r="BH35" i="2"/>
  <c r="AQ31" i="2"/>
  <c r="AV40" i="2"/>
  <c r="AK40" i="2"/>
  <c r="BJ54" i="2"/>
  <c r="AM51" i="2"/>
  <c r="AV49" i="2"/>
  <c r="BI45" i="2"/>
  <c r="AK67" i="2"/>
  <c r="R131" i="2"/>
  <c r="M120" i="2"/>
  <c r="Q117" i="2"/>
  <c r="N107" i="2"/>
  <c r="I137" i="2"/>
  <c r="S107" i="2"/>
  <c r="L99" i="2"/>
  <c r="G116" i="2"/>
  <c r="AK11" i="2"/>
  <c r="AO14" i="2"/>
  <c r="AS26" i="2"/>
  <c r="BK28" i="2"/>
  <c r="AV36" i="2"/>
  <c r="AN31" i="2"/>
  <c r="AM45" i="2"/>
  <c r="BI62" i="2"/>
  <c r="BJ55" i="2"/>
  <c r="AK54" i="2"/>
  <c r="BI50" i="2"/>
  <c r="BE70" i="2"/>
  <c r="Y131" i="2"/>
  <c r="Y102" i="2"/>
  <c r="X97" i="2"/>
  <c r="O104" i="2"/>
  <c r="I138" i="2"/>
  <c r="Q108" i="2"/>
  <c r="Y137" i="2"/>
  <c r="M108" i="2"/>
  <c r="Q134" i="2"/>
  <c r="M102" i="2"/>
  <c r="Y130" i="2"/>
  <c r="E102" i="2"/>
  <c r="Z129" i="2"/>
  <c r="X95" i="2"/>
  <c r="Y139" i="2"/>
  <c r="L91" i="2"/>
  <c r="Q129" i="2"/>
  <c r="U96" i="2"/>
  <c r="Q135" i="2"/>
  <c r="H115" i="2"/>
  <c r="P106" i="2"/>
  <c r="V119" i="2"/>
  <c r="L95" i="2"/>
  <c r="Y117" i="2"/>
  <c r="L89" i="2"/>
  <c r="AO49" i="3"/>
  <c r="AV14" i="2"/>
  <c r="BJ11" i="2"/>
  <c r="E144" i="2"/>
  <c r="Q138" i="2"/>
  <c r="X135" i="2"/>
  <c r="W145" i="2"/>
  <c r="H109" i="2"/>
  <c r="Y108" i="2"/>
  <c r="J97" i="2"/>
  <c r="E97" i="2"/>
  <c r="V107" i="2"/>
  <c r="E89" i="2"/>
  <c r="J92" i="2"/>
  <c r="E119" i="2"/>
  <c r="D92" i="2"/>
  <c r="AS50" i="3"/>
  <c r="BG16" i="2"/>
  <c r="AN14" i="2"/>
  <c r="J145" i="2"/>
  <c r="M134" i="2"/>
  <c r="T131" i="2"/>
  <c r="K128" i="2"/>
  <c r="L105" i="2"/>
  <c r="G105" i="2"/>
  <c r="N93" i="2"/>
  <c r="J136" i="2"/>
  <c r="J100" i="2"/>
  <c r="Z109" i="2"/>
  <c r="X89" i="2"/>
  <c r="D142" i="2"/>
  <c r="V110" i="2"/>
  <c r="Y101" i="2"/>
  <c r="H116" i="2"/>
  <c r="AM40" i="3"/>
  <c r="AO24" i="2"/>
  <c r="BK23" i="2"/>
  <c r="BI22" i="2"/>
  <c r="AS33" i="2"/>
  <c r="AN42" i="2"/>
  <c r="BE42" i="2"/>
  <c r="BH58" i="2"/>
  <c r="AO53" i="2"/>
  <c r="AN51" i="2"/>
  <c r="BH47" i="2"/>
  <c r="BD70" i="2"/>
  <c r="M138" i="2"/>
  <c r="U108" i="2"/>
  <c r="X100" i="2"/>
  <c r="G87" i="2"/>
  <c r="M124" i="2"/>
  <c r="J115" i="2"/>
  <c r="K91" i="2"/>
  <c r="F96" i="2"/>
  <c r="AM17" i="2"/>
  <c r="AK21" i="2"/>
  <c r="BF12" i="2"/>
  <c r="AK32" i="2"/>
  <c r="AN39" i="2"/>
  <c r="BJ37" i="2"/>
  <c r="BJ43" i="2"/>
  <c r="BK64" i="2"/>
  <c r="M125" i="2"/>
  <c r="F117" i="2"/>
  <c r="I125" i="2"/>
  <c r="T116" i="2"/>
  <c r="T145" i="2"/>
  <c r="T104" i="2"/>
  <c r="H142" i="2"/>
  <c r="Z103" i="2"/>
  <c r="I124" i="2"/>
  <c r="I89" i="2"/>
  <c r="H134" i="2"/>
  <c r="W120" i="2"/>
  <c r="X126" i="2"/>
  <c r="I92" i="2"/>
  <c r="T146" i="2"/>
  <c r="N106" i="2"/>
  <c r="X116" i="2"/>
  <c r="N92" i="2"/>
  <c r="K106" i="2"/>
  <c r="S87" i="2"/>
  <c r="P94" i="2"/>
  <c r="AN50" i="3"/>
  <c r="AN16" i="2"/>
  <c r="BH13" i="2"/>
  <c r="Z145" i="2"/>
  <c r="M135" i="2"/>
  <c r="T132" i="2"/>
  <c r="K132" i="2"/>
  <c r="J106" i="2"/>
  <c r="D89" i="2"/>
  <c r="E106" i="2"/>
  <c r="L94" i="2"/>
  <c r="G94" i="2"/>
  <c r="X104" i="2"/>
  <c r="O116" i="2"/>
  <c r="M107" i="2"/>
  <c r="V90" i="2"/>
  <c r="AW45" i="3"/>
  <c r="BI18" i="2"/>
  <c r="BE16" i="2"/>
  <c r="R139" i="2"/>
  <c r="I131" i="2"/>
  <c r="P128" i="2"/>
  <c r="G124" i="2"/>
  <c r="N102" i="2"/>
  <c r="P90" i="2"/>
  <c r="I102" i="2"/>
  <c r="U142" i="2"/>
  <c r="S111" i="2"/>
  <c r="V88" i="2"/>
  <c r="R101" i="2"/>
  <c r="V134" i="2"/>
  <c r="I122" i="2"/>
  <c r="R109" i="2"/>
  <c r="N88" i="2"/>
  <c r="AS53" i="3"/>
  <c r="AQ26" i="2"/>
  <c r="AK26" i="2"/>
  <c r="AK28" i="2"/>
  <c r="BF35" i="2"/>
  <c r="AV28" i="2"/>
  <c r="BG44" i="2"/>
  <c r="AV62" i="2"/>
  <c r="AQ55" i="2"/>
  <c r="BE53" i="2"/>
  <c r="AV50" i="2"/>
  <c r="BJ69" i="2"/>
  <c r="Q125" i="2"/>
  <c r="N117" i="2"/>
  <c r="D96" i="2"/>
  <c r="J96" i="2"/>
  <c r="P134" i="2"/>
  <c r="Z95" i="2"/>
  <c r="X91" i="2"/>
  <c r="Q121" i="2"/>
  <c r="BG13" i="2"/>
  <c r="AM23" i="2"/>
  <c r="AM25" i="2"/>
  <c r="AM34" i="2"/>
  <c r="AS23" i="2"/>
  <c r="BI41" i="2"/>
  <c r="P135" i="2"/>
  <c r="X96" i="2"/>
  <c r="L135" i="2"/>
  <c r="T96" i="2"/>
  <c r="X131" i="2"/>
  <c r="T90" i="2"/>
  <c r="L128" i="2"/>
  <c r="L90" i="2"/>
  <c r="W142" i="2"/>
  <c r="X87" i="2"/>
  <c r="W137" i="2"/>
  <c r="U111" i="2"/>
  <c r="K134" i="2"/>
  <c r="Q89" i="2"/>
  <c r="T129" i="2"/>
  <c r="P103" i="2"/>
  <c r="R91" i="2"/>
  <c r="Z113" i="2"/>
  <c r="Z90" i="2"/>
  <c r="W112" i="2"/>
  <c r="O91" i="2"/>
  <c r="AO45" i="3"/>
  <c r="BE18" i="2"/>
  <c r="AV16" i="2"/>
  <c r="Z141" i="2"/>
  <c r="I132" i="2"/>
  <c r="P129" i="2"/>
  <c r="G132" i="2"/>
  <c r="L103" i="2"/>
  <c r="N91" i="2"/>
  <c r="U91" i="2"/>
  <c r="Y113" i="2"/>
  <c r="W97" i="2"/>
  <c r="G103" i="2"/>
  <c r="Z101" i="2"/>
  <c r="W104" i="2"/>
  <c r="D121" i="2"/>
  <c r="AS54" i="3"/>
  <c r="AV11" i="2"/>
  <c r="BG18" i="2"/>
  <c r="N135" i="2"/>
  <c r="Y127" i="2"/>
  <c r="L125" i="2"/>
  <c r="V122" i="2"/>
  <c r="Q122" i="2"/>
  <c r="V121" i="2"/>
  <c r="M121" i="2"/>
  <c r="U128" i="2"/>
  <c r="E100" i="2"/>
  <c r="G97" i="2"/>
  <c r="P97" i="2"/>
  <c r="U141" i="2"/>
  <c r="Q110" i="2"/>
  <c r="M96" i="2"/>
  <c r="J101" i="2"/>
  <c r="AO15" i="2"/>
  <c r="BD20" i="2"/>
  <c r="AM28" i="2"/>
  <c r="BE31" i="2"/>
  <c r="BD37" i="2"/>
  <c r="AN37" i="2"/>
  <c r="BI46" i="2"/>
  <c r="AN64" i="2"/>
  <c r="AS59" i="2"/>
  <c r="BG55" i="2"/>
  <c r="AN52" i="2"/>
  <c r="BF70" i="2"/>
  <c r="T135" i="2"/>
  <c r="F97" i="2"/>
  <c r="D90" i="2"/>
  <c r="F92" i="2"/>
  <c r="S143" i="2"/>
  <c r="W114" i="2"/>
  <c r="W100" i="2"/>
  <c r="D100" i="2"/>
  <c r="AQ18" i="2"/>
  <c r="AO25" i="2"/>
  <c r="AV29" i="2"/>
  <c r="AO36" i="2"/>
  <c r="BG35" i="2"/>
  <c r="BK43" i="2"/>
  <c r="BH48" i="2"/>
  <c r="BI44" i="2"/>
  <c r="AN65" i="2"/>
  <c r="AQ63" i="2"/>
  <c r="AM59" i="2"/>
  <c r="BE8" i="2"/>
  <c r="W144" i="2"/>
  <c r="M105" i="2"/>
  <c r="Q94" i="2"/>
  <c r="D97" i="2"/>
  <c r="AS20" i="2"/>
  <c r="BH25" i="2"/>
  <c r="AK31" i="2"/>
  <c r="BH36" i="2"/>
  <c r="AV39" i="2"/>
  <c r="BF44" i="2"/>
  <c r="BK49" i="2"/>
  <c r="AN46" i="2"/>
  <c r="AM67" i="2"/>
  <c r="AV64" i="2"/>
  <c r="BJ59" i="2"/>
  <c r="BF8" i="2"/>
  <c r="S144" i="2"/>
  <c r="W92" i="2"/>
  <c r="O108" i="2"/>
  <c r="D87" i="2"/>
  <c r="AO17" i="2"/>
  <c r="BJ16" i="2"/>
  <c r="AQ33" i="2"/>
  <c r="AS27" i="2"/>
  <c r="BI33" i="2"/>
  <c r="BF32" i="2"/>
  <c r="AO52" i="2"/>
  <c r="BE48" i="2"/>
  <c r="AO46" i="2"/>
  <c r="BG67" i="2"/>
  <c r="AN63" i="2"/>
  <c r="L146" i="2"/>
  <c r="AW53" i="3"/>
  <c r="AO26" i="2"/>
  <c r="BF21" i="2"/>
  <c r="BI67" i="2"/>
  <c r="BD8" i="2"/>
  <c r="AL8" i="3"/>
  <c r="AO27" i="3"/>
  <c r="AK23" i="2"/>
  <c r="AM8" i="2"/>
  <c r="S128" i="2"/>
  <c r="S116" i="2"/>
  <c r="W146" i="2"/>
  <c r="K116" i="2"/>
  <c r="O142" i="2"/>
  <c r="K104" i="2"/>
  <c r="K139" i="2"/>
  <c r="Q103" i="2"/>
  <c r="L119" i="2"/>
  <c r="I117" i="2"/>
  <c r="P107" i="2"/>
  <c r="D112" i="2"/>
  <c r="Z100" i="2"/>
  <c r="D103" i="2"/>
  <c r="O136" i="2"/>
  <c r="W117" i="2"/>
  <c r="U117" i="2"/>
  <c r="M115" i="2"/>
  <c r="Y88" i="2"/>
  <c r="D88" i="2"/>
  <c r="H108" i="2"/>
  <c r="AO54" i="3"/>
  <c r="BG20" i="2"/>
  <c r="AN18" i="2"/>
  <c r="N136" i="2"/>
  <c r="Y128" i="2"/>
  <c r="L126" i="2"/>
  <c r="G127" i="2"/>
  <c r="N100" i="2"/>
  <c r="P88" i="2"/>
  <c r="I100" i="2"/>
  <c r="L122" i="2"/>
  <c r="P99" i="2"/>
  <c r="Q96" i="2"/>
  <c r="E92" i="2"/>
  <c r="D110" i="2"/>
  <c r="K102" i="2"/>
  <c r="AM54" i="3"/>
  <c r="AN13" i="2"/>
  <c r="AM12" i="2"/>
  <c r="N131" i="2"/>
  <c r="U124" i="2"/>
  <c r="K145" i="2"/>
  <c r="X119" i="2"/>
  <c r="S119" i="2"/>
  <c r="Z115" i="2"/>
  <c r="Q115" i="2"/>
  <c r="X138" i="2"/>
  <c r="Z99" i="2"/>
  <c r="L93" i="2"/>
  <c r="M88" i="2"/>
  <c r="Q127" i="2"/>
  <c r="F121" i="2"/>
  <c r="N96" i="2"/>
  <c r="K87" i="2"/>
  <c r="BI11" i="2"/>
  <c r="BG22" i="2"/>
  <c r="AN24" i="2"/>
  <c r="BG33" i="2"/>
  <c r="BK20" i="2"/>
  <c r="AV41" i="2"/>
  <c r="BK45" i="2"/>
  <c r="BE67" i="2"/>
  <c r="BF62" i="2"/>
  <c r="BI59" i="2"/>
  <c r="BE54" i="2"/>
  <c r="BH8" i="2"/>
  <c r="W143" i="2"/>
  <c r="E117" i="2"/>
  <c r="Q109" i="2"/>
  <c r="AS44" i="3"/>
  <c r="O139" i="2"/>
  <c r="G96" i="2"/>
  <c r="D114" i="2"/>
  <c r="O89" i="2"/>
  <c r="BK14" i="2"/>
  <c r="AQ27" i="2"/>
  <c r="AN32" i="2"/>
  <c r="AO23" i="2"/>
  <c r="AN41" i="2"/>
  <c r="BI28" i="2"/>
  <c r="AV51" i="2"/>
  <c r="AQ47" i="2"/>
  <c r="BF43" i="2"/>
  <c r="AS65" i="2"/>
  <c r="AO62" i="2"/>
  <c r="AM52" i="3"/>
  <c r="K144" i="2"/>
  <c r="S96" i="2"/>
  <c r="O143" i="2"/>
  <c r="O96" i="2"/>
  <c r="S125" i="2"/>
  <c r="F142" i="2"/>
  <c r="K146" i="2"/>
  <c r="E129" i="2"/>
  <c r="G119" i="2"/>
  <c r="AM45" i="3"/>
  <c r="K107" i="2"/>
  <c r="AS41" i="3"/>
  <c r="U100" i="2"/>
  <c r="AN49" i="3"/>
  <c r="S123" i="2"/>
  <c r="Y114" i="2"/>
  <c r="E96" i="2"/>
  <c r="Y111" i="2"/>
  <c r="L87" i="2"/>
  <c r="J105" i="2"/>
  <c r="D120" i="2"/>
  <c r="AO53" i="3"/>
  <c r="BH12" i="2"/>
  <c r="BK11" i="2"/>
  <c r="J132" i="2"/>
  <c r="U125" i="2"/>
  <c r="H123" i="2"/>
  <c r="V120" i="2"/>
  <c r="Q120" i="2"/>
  <c r="M117" i="2"/>
  <c r="V117" i="2"/>
  <c r="N119" i="2"/>
  <c r="F98" i="2"/>
  <c r="K95" i="2"/>
  <c r="U90" i="2"/>
  <c r="D111" i="2"/>
  <c r="G89" i="2"/>
  <c r="AJ53" i="3"/>
  <c r="BE15" i="2"/>
  <c r="AN19" i="2"/>
  <c r="V126" i="2"/>
  <c r="P145" i="2"/>
  <c r="S131" i="2"/>
  <c r="Z116" i="2"/>
  <c r="U116" i="2"/>
  <c r="H110" i="2"/>
  <c r="U109" i="2"/>
  <c r="H126" i="2"/>
  <c r="W122" i="2"/>
  <c r="O112" i="2"/>
  <c r="U89" i="2"/>
  <c r="T137" i="2"/>
  <c r="X98" i="2"/>
  <c r="H93" i="2"/>
  <c r="K89" i="2"/>
  <c r="BK17" i="2"/>
  <c r="BI24" i="2"/>
  <c r="BF28" i="2"/>
  <c r="BI35" i="2"/>
  <c r="BE33" i="2"/>
  <c r="AN43" i="2"/>
  <c r="AS48" i="2"/>
  <c r="BE43" i="2"/>
  <c r="BD64" i="2"/>
  <c r="BK62" i="2"/>
  <c r="BG58" i="2"/>
  <c r="AQ8" i="2"/>
  <c r="G145" i="2"/>
  <c r="W96" i="2"/>
  <c r="T89" i="2"/>
  <c r="AL53" i="3"/>
  <c r="P119" i="2"/>
  <c r="Z121" i="2"/>
  <c r="V87" i="2"/>
  <c r="AW44" i="3"/>
  <c r="BJ12" i="2"/>
  <c r="AQ20" i="2"/>
  <c r="BE34" i="2"/>
  <c r="BD28" i="2"/>
  <c r="BF36" i="2"/>
  <c r="BF37" i="2"/>
  <c r="AN53" i="2"/>
  <c r="AS49" i="2"/>
  <c r="BG47" i="2"/>
  <c r="BI43" i="2"/>
  <c r="AQ64" i="2"/>
  <c r="D128" i="2"/>
  <c r="V114" i="2"/>
  <c r="F119" i="2"/>
  <c r="Q113" i="2"/>
  <c r="AL40" i="3"/>
  <c r="BG19" i="2"/>
  <c r="BJ20" i="2"/>
  <c r="AO35" i="2"/>
  <c r="BG29" i="2"/>
  <c r="BF39" i="2"/>
  <c r="AS39" i="2"/>
  <c r="AM54" i="2"/>
  <c r="AN50" i="2"/>
  <c r="AQ48" i="2"/>
  <c r="AV44" i="2"/>
  <c r="AV65" i="2"/>
  <c r="N139" i="2"/>
  <c r="F102" i="2"/>
  <c r="L110" i="2"/>
  <c r="G90" i="2"/>
  <c r="AJ50" i="3"/>
  <c r="BI23" i="2"/>
  <c r="AN23" i="2"/>
  <c r="N120" i="2"/>
  <c r="E126" i="2"/>
  <c r="D126" i="2"/>
  <c r="J114" i="2"/>
  <c r="E124" i="2"/>
  <c r="X113" i="2"/>
  <c r="R145" i="2"/>
  <c r="X114" i="2"/>
  <c r="AO11" i="2"/>
  <c r="R95" i="2"/>
  <c r="BJ17" i="2"/>
  <c r="F89" i="2"/>
  <c r="BJ14" i="2"/>
  <c r="G133" i="2"/>
  <c r="I106" i="2"/>
  <c r="G106" i="2"/>
  <c r="L102" i="2"/>
  <c r="N90" i="2"/>
  <c r="O120" i="2"/>
  <c r="D117" i="2"/>
  <c r="AK50" i="3"/>
  <c r="AV15" i="2"/>
  <c r="AO18" i="2"/>
  <c r="J128" i="2"/>
  <c r="P146" i="2"/>
  <c r="S135" i="2"/>
  <c r="X117" i="2"/>
  <c r="O87" i="2"/>
  <c r="Z111" i="2"/>
  <c r="Q111" i="2"/>
  <c r="P116" i="2"/>
  <c r="R96" i="2"/>
  <c r="S88" i="2"/>
  <c r="S117" i="2"/>
  <c r="I90" i="2"/>
  <c r="AK44" i="3"/>
  <c r="AK53" i="3"/>
  <c r="BG17" i="2"/>
  <c r="F126" i="2"/>
  <c r="Q146" i="2"/>
  <c r="L142" i="2"/>
  <c r="S141" i="2"/>
  <c r="F114" i="2"/>
  <c r="W113" i="2"/>
  <c r="L104" i="2"/>
  <c r="Y103" i="2"/>
  <c r="K123" i="2"/>
  <c r="U99" i="2"/>
  <c r="G93" i="2"/>
  <c r="AK40" i="3"/>
  <c r="X124" i="2"/>
  <c r="S120" i="2"/>
  <c r="E111" i="2"/>
  <c r="D115" i="2"/>
  <c r="AK13" i="2"/>
  <c r="BK26" i="2"/>
  <c r="BD31" i="2"/>
  <c r="BI17" i="2"/>
  <c r="BD40" i="2"/>
  <c r="BJ26" i="2"/>
  <c r="BF50" i="2"/>
  <c r="BJ46" i="2"/>
  <c r="BJ42" i="2"/>
  <c r="AK65" i="2"/>
  <c r="BI60" i="2"/>
  <c r="AL52" i="3"/>
  <c r="R120" i="2"/>
  <c r="I91" i="2"/>
  <c r="O100" i="2"/>
  <c r="E132" i="2"/>
  <c r="X107" i="2"/>
  <c r="N115" i="2"/>
  <c r="W95" i="2"/>
  <c r="AJ54" i="3"/>
  <c r="BF22" i="2"/>
  <c r="AO22" i="2"/>
  <c r="BG36" i="2"/>
  <c r="BJ31" i="2"/>
  <c r="BI40" i="2"/>
  <c r="BK40" i="2"/>
  <c r="BE55" i="2"/>
  <c r="BF51" i="2"/>
  <c r="BI49" i="2"/>
  <c r="AQ46" i="2"/>
  <c r="AS67" i="2"/>
  <c r="J141" i="2"/>
  <c r="H103" i="2"/>
  <c r="M90" i="2"/>
  <c r="P112" i="2"/>
  <c r="AM49" i="3"/>
  <c r="BE23" i="2"/>
  <c r="BH22" i="2"/>
  <c r="AQ37" i="2"/>
  <c r="BI32" i="2"/>
  <c r="AS41" i="2"/>
  <c r="BF41" i="2"/>
  <c r="AO58" i="2"/>
  <c r="BE52" i="2"/>
  <c r="AS50" i="2"/>
  <c r="AO47" i="2"/>
  <c r="AN69" i="2"/>
  <c r="Y145" i="2"/>
  <c r="O113" i="2"/>
  <c r="V103" i="2"/>
  <c r="P89" i="2"/>
  <c r="AL54" i="3"/>
  <c r="BK25" i="2"/>
  <c r="BE25" i="2"/>
  <c r="BD27" i="2"/>
  <c r="AM35" i="2"/>
  <c r="BF27" i="2"/>
  <c r="BH43" i="2"/>
  <c r="BF60" i="2"/>
  <c r="BK54" i="2"/>
  <c r="BJ52" i="2"/>
  <c r="BF49" i="2"/>
  <c r="AV69" i="2"/>
  <c r="R121" i="2"/>
  <c r="AQ22" i="2"/>
  <c r="AN36" i="2"/>
  <c r="BE28" i="2"/>
  <c r="BE49" i="2"/>
  <c r="AS25" i="3"/>
  <c r="AJ26" i="3"/>
  <c r="O117" i="2"/>
  <c r="BG41" i="2"/>
  <c r="BH46" i="2"/>
  <c r="AN70" i="2"/>
  <c r="R94" i="2"/>
  <c r="BI15" i="2"/>
  <c r="AO27" i="2"/>
  <c r="AQ32" i="2"/>
  <c r="BI47" i="2"/>
  <c r="AK64" i="2"/>
  <c r="BD55" i="2"/>
  <c r="S137" i="2"/>
  <c r="W93" i="2"/>
  <c r="BE12" i="2"/>
  <c r="AO31" i="2"/>
  <c r="AQ40" i="2"/>
  <c r="BJ44" i="2"/>
  <c r="AS58" i="2"/>
  <c r="AM62" i="2"/>
  <c r="BE64" i="2"/>
  <c r="BD69" i="2"/>
  <c r="J87" i="2"/>
  <c r="AK22" i="2"/>
  <c r="BE40" i="2"/>
  <c r="AK46" i="2"/>
  <c r="AS20" i="3"/>
  <c r="L140" i="2"/>
  <c r="BD59" i="2"/>
  <c r="AL41" i="3"/>
  <c r="BG70" i="2"/>
  <c r="BJ8" i="2"/>
  <c r="R116" i="2"/>
  <c r="BK13" i="2"/>
  <c r="BF25" i="2"/>
  <c r="AO29" i="2"/>
  <c r="AV47" i="2"/>
  <c r="BE63" i="2"/>
  <c r="AO55" i="2"/>
  <c r="AS32" i="3"/>
  <c r="AN19" i="3"/>
  <c r="AW32" i="3"/>
  <c r="AN39" i="3"/>
  <c r="E140" i="2"/>
  <c r="AN58" i="2"/>
  <c r="AM12" i="3"/>
  <c r="W140" i="2"/>
  <c r="S140" i="2"/>
  <c r="BF63" i="2"/>
  <c r="AK17" i="3"/>
  <c r="H94" i="2"/>
  <c r="BI16" i="2"/>
  <c r="BK32" i="2"/>
  <c r="AS29" i="2"/>
  <c r="BI51" i="2"/>
  <c r="AK45" i="2"/>
  <c r="BD62" i="2"/>
  <c r="AW25" i="3"/>
  <c r="AL37" i="3"/>
  <c r="AN26" i="3"/>
  <c r="AK18" i="3"/>
  <c r="H140" i="2"/>
  <c r="BG62" i="2"/>
  <c r="AW16" i="3"/>
  <c r="I111" i="2"/>
  <c r="AO49" i="2"/>
  <c r="AO20" i="3"/>
  <c r="BI34" i="2"/>
  <c r="AJ14" i="3"/>
  <c r="AO16" i="2"/>
  <c r="AO28" i="2"/>
  <c r="BH41" i="2"/>
  <c r="BD47" i="2"/>
  <c r="AJ37" i="3"/>
  <c r="AQ28" i="2"/>
  <c r="BK58" i="2"/>
  <c r="AM39" i="3"/>
  <c r="AM33" i="3"/>
  <c r="AJ17" i="3"/>
  <c r="H99" i="2"/>
  <c r="AV26" i="2"/>
  <c r="AQ52" i="2"/>
  <c r="AO30" i="3"/>
  <c r="Y105" i="2"/>
  <c r="AM16" i="2"/>
  <c r="BH23" i="2"/>
  <c r="BD46" i="2"/>
  <c r="BI64" i="2"/>
  <c r="AK52" i="3"/>
  <c r="AL10" i="3"/>
  <c r="AK16" i="3"/>
  <c r="AW36" i="3"/>
  <c r="BJ50" i="2"/>
  <c r="AK62" i="2"/>
  <c r="AJ19" i="3"/>
  <c r="BD18" i="2"/>
  <c r="K140" i="2"/>
  <c r="AW14" i="3"/>
  <c r="AS11" i="3"/>
  <c r="AM13" i="3"/>
  <c r="BJ27" i="2"/>
  <c r="AS13" i="3"/>
  <c r="AQ62" i="2"/>
  <c r="AK69" i="2"/>
  <c r="AS8" i="2"/>
  <c r="S122" i="2"/>
  <c r="AK17" i="2"/>
  <c r="AM33" i="2"/>
  <c r="BH29" i="2"/>
  <c r="AK52" i="2"/>
  <c r="BH45" i="2"/>
  <c r="BH62" i="2"/>
  <c r="T113" i="2"/>
  <c r="G112" i="2"/>
  <c r="BH20" i="2"/>
  <c r="AS35" i="2"/>
  <c r="BJ32" i="2"/>
  <c r="BD39" i="2"/>
  <c r="BD63" i="2"/>
  <c r="AO64" i="2"/>
  <c r="BE44" i="2"/>
  <c r="AM70" i="2"/>
  <c r="Q90" i="2"/>
  <c r="BK24" i="2"/>
  <c r="BE41" i="2"/>
  <c r="BI54" i="2"/>
  <c r="AN10" i="3"/>
  <c r="D104" i="2"/>
  <c r="AM63" i="2"/>
  <c r="AS25" i="2"/>
  <c r="AW8" i="3"/>
  <c r="AN13" i="3"/>
  <c r="N109" i="2"/>
  <c r="AM15" i="2"/>
  <c r="BG32" i="2"/>
  <c r="AM21" i="2"/>
  <c r="BE51" i="2"/>
  <c r="BD44" i="2"/>
  <c r="AS62" i="2"/>
  <c r="AL21" i="3"/>
  <c r="AJ28" i="3"/>
  <c r="AN22" i="3"/>
  <c r="AM18" i="3"/>
  <c r="Z140" i="2"/>
  <c r="BG63" i="2"/>
  <c r="AN25" i="3"/>
  <c r="S99" i="2"/>
  <c r="AK20" i="2"/>
  <c r="BF64" i="2"/>
  <c r="AK37" i="3"/>
  <c r="J113" i="2"/>
  <c r="AV23" i="2"/>
  <c r="AM37" i="2"/>
  <c r="AO41" i="2"/>
  <c r="AK58" i="2"/>
  <c r="AO50" i="2"/>
  <c r="BH67" i="2"/>
  <c r="AJ34" i="3"/>
  <c r="AK11" i="3"/>
  <c r="AL35" i="3"/>
  <c r="AN30" i="3"/>
  <c r="BF33" i="2"/>
  <c r="BH51" i="2"/>
  <c r="AL20" i="3"/>
  <c r="AO41" i="3"/>
  <c r="AN47" i="2"/>
  <c r="AW19" i="3"/>
  <c r="AN34" i="2"/>
  <c r="AL25" i="3"/>
  <c r="AO17" i="3"/>
  <c r="F93" i="2"/>
  <c r="BK18" i="2"/>
  <c r="BK15" i="2"/>
  <c r="BJ36" i="2"/>
  <c r="AQ70" i="2"/>
  <c r="AN18" i="3"/>
  <c r="BI31" i="2"/>
  <c r="AW52" i="3"/>
  <c r="AL12" i="3"/>
  <c r="BG37" i="2"/>
  <c r="AK34" i="3"/>
  <c r="AO10" i="3"/>
  <c r="G88" i="2"/>
  <c r="AS21" i="2"/>
  <c r="AS32" i="2"/>
  <c r="BH39" i="2"/>
  <c r="AQ65" i="2"/>
  <c r="BF58" i="2"/>
  <c r="AJ12" i="3"/>
  <c r="U140" i="2"/>
  <c r="D122" i="2"/>
  <c r="BE21" i="2"/>
  <c r="AM31" i="2"/>
  <c r="BI39" i="2"/>
  <c r="BK50" i="2"/>
  <c r="BD45" i="2"/>
  <c r="AK46" i="3"/>
  <c r="AK19" i="3"/>
  <c r="AM6" i="3"/>
  <c r="AN6" i="3"/>
  <c r="AL29" i="3"/>
  <c r="BE62" i="2"/>
  <c r="AV70" i="2"/>
  <c r="AK21" i="3"/>
  <c r="AO23" i="3"/>
  <c r="AV34" i="2"/>
  <c r="BJ70" i="2"/>
  <c r="P104" i="2"/>
  <c r="AM44" i="2"/>
  <c r="AL14" i="3"/>
  <c r="BJ64" i="2"/>
  <c r="AJ11" i="3"/>
  <c r="AK24" i="2"/>
  <c r="BE35" i="2"/>
  <c r="AS17" i="3"/>
  <c r="AQ44" i="2"/>
  <c r="T140" i="2"/>
  <c r="AS19" i="3"/>
  <c r="AK13" i="3"/>
  <c r="AJ29" i="3"/>
  <c r="AM36" i="2"/>
  <c r="BH59" i="2"/>
  <c r="H143" i="2"/>
  <c r="U87" i="2"/>
  <c r="AS18" i="2"/>
  <c r="BF29" i="2"/>
  <c r="BD34" i="2"/>
  <c r="AS63" i="2"/>
  <c r="BD54" i="2"/>
  <c r="BK69" i="2"/>
  <c r="R103" i="2"/>
  <c r="R88" i="2"/>
  <c r="BH21" i="2"/>
  <c r="BG11" i="2"/>
  <c r="BE39" i="2"/>
  <c r="BJ41" i="2"/>
  <c r="BJ65" i="2"/>
  <c r="AQ67" i="2"/>
  <c r="AS47" i="2"/>
  <c r="AK70" i="2"/>
  <c r="AW49" i="3"/>
  <c r="BH31" i="2"/>
  <c r="BG40" i="2"/>
  <c r="AO67" i="2"/>
  <c r="AM31" i="3"/>
  <c r="AM18" i="2"/>
  <c r="AM64" i="2"/>
  <c r="AS36" i="2"/>
  <c r="AO39" i="3"/>
  <c r="AL9" i="3"/>
  <c r="J121" i="2"/>
  <c r="BJ22" i="2"/>
  <c r="BK36" i="2"/>
  <c r="AK41" i="2"/>
  <c r="BI55" i="2"/>
  <c r="AK50" i="2"/>
  <c r="BD67" i="2"/>
  <c r="AO31" i="3"/>
  <c r="AS6" i="3"/>
  <c r="AL32" i="3"/>
  <c r="AK30" i="3"/>
  <c r="AV31" i="2"/>
  <c r="AN8" i="2"/>
  <c r="AK38" i="3"/>
  <c r="BG43" i="2"/>
  <c r="BE29" i="2"/>
  <c r="AW6" i="3"/>
  <c r="AJ32" i="3"/>
  <c r="T91" i="2"/>
  <c r="BF16" i="2"/>
  <c r="AQ29" i="2"/>
  <c r="AO34" i="2"/>
  <c r="AO63" i="2"/>
  <c r="AS54" i="2"/>
  <c r="BG69" i="2"/>
  <c r="AM32" i="3"/>
  <c r="AS26" i="3"/>
  <c r="AJ33" i="3"/>
  <c r="AK23" i="3"/>
  <c r="AS34" i="2"/>
  <c r="BH69" i="2"/>
  <c r="AS8" i="3"/>
  <c r="AS24" i="2"/>
  <c r="AN48" i="2"/>
  <c r="AK39" i="3"/>
  <c r="AQ39" i="2"/>
  <c r="AL6" i="3"/>
  <c r="X112" i="2"/>
  <c r="BH42" i="2"/>
  <c r="AK27" i="3"/>
  <c r="BH37" i="2"/>
  <c r="AJ8" i="3"/>
  <c r="AO18" i="3"/>
  <c r="BK37" i="2"/>
  <c r="AS21" i="3"/>
  <c r="AW27" i="3"/>
  <c r="S114" i="2"/>
  <c r="BD25" i="2"/>
  <c r="BD36" i="2"/>
  <c r="BG45" i="2"/>
  <c r="BJ63" i="2"/>
  <c r="AS16" i="3"/>
  <c r="Y133" i="2"/>
  <c r="AW41" i="3"/>
  <c r="BI25" i="2"/>
  <c r="AQ35" i="2"/>
  <c r="AN44" i="2"/>
  <c r="AM55" i="2"/>
  <c r="BJ49" i="2"/>
  <c r="AO11" i="3"/>
  <c r="AO38" i="3"/>
  <c r="AW22" i="3"/>
  <c r="AS52" i="3"/>
  <c r="AM36" i="3"/>
  <c r="Y98" i="2"/>
  <c r="AK12" i="3"/>
  <c r="BH53" i="2"/>
  <c r="AV63" i="2"/>
  <c r="L129" i="2"/>
  <c r="W88" i="2"/>
  <c r="BD21" i="2"/>
  <c r="BD32" i="2"/>
  <c r="AO40" i="2"/>
  <c r="BF65" i="2"/>
  <c r="BJ58" i="2"/>
  <c r="BI69" i="2"/>
  <c r="H90" i="2"/>
  <c r="O90" i="2"/>
  <c r="AV24" i="2"/>
  <c r="BH32" i="2"/>
  <c r="AN40" i="2"/>
  <c r="AV46" i="2"/>
  <c r="AM42" i="2"/>
  <c r="BF48" i="2"/>
  <c r="BD51" i="2"/>
  <c r="BG8" i="2"/>
  <c r="AK12" i="2"/>
  <c r="BK33" i="2"/>
  <c r="AM46" i="2"/>
  <c r="AS46" i="3"/>
  <c r="AN12" i="3"/>
  <c r="AK25" i="2"/>
  <c r="AW10" i="3"/>
  <c r="BI37" i="2"/>
  <c r="AS33" i="3"/>
  <c r="AK26" i="3"/>
  <c r="V94" i="2"/>
  <c r="BH14" i="2"/>
  <c r="AM29" i="2"/>
  <c r="BG31" i="2"/>
  <c r="AK63" i="2"/>
  <c r="AO54" i="2"/>
  <c r="BI70" i="2"/>
  <c r="AO25" i="3"/>
  <c r="AM22" i="3"/>
  <c r="AL26" i="3"/>
  <c r="AS23" i="3"/>
  <c r="BE46" i="2"/>
  <c r="AM46" i="3"/>
  <c r="AJ39" i="3"/>
  <c r="AQ69" i="2"/>
  <c r="BH28" i="2"/>
  <c r="AN15" i="3"/>
  <c r="AS18" i="3"/>
  <c r="G95" i="2"/>
  <c r="BF23" i="2"/>
  <c r="BF34" i="2"/>
  <c r="AO42" i="2"/>
  <c r="AS69" i="2"/>
  <c r="BD60" i="2"/>
  <c r="AK8" i="2"/>
  <c r="AL39" i="3"/>
  <c r="AN14" i="3"/>
  <c r="AW39" i="3"/>
  <c r="AM27" i="3"/>
  <c r="AS52" i="2"/>
  <c r="AJ52" i="3"/>
  <c r="AL19" i="3"/>
  <c r="BJ28" i="2"/>
  <c r="BH70" i="2"/>
  <c r="AL28" i="3"/>
  <c r="AN49" i="2"/>
  <c r="AJ25" i="3"/>
  <c r="AO12" i="3"/>
  <c r="R90" i="2"/>
  <c r="AM20" i="2"/>
  <c r="AV27" i="2"/>
  <c r="AV42" i="2"/>
  <c r="AM38" i="3"/>
  <c r="O140" i="2"/>
  <c r="BE37" i="2"/>
  <c r="AN37" i="3"/>
  <c r="AS29" i="3"/>
  <c r="AM65" i="2"/>
  <c r="AM17" i="3"/>
  <c r="R140" i="2"/>
  <c r="AN29" i="2"/>
  <c r="AM39" i="2"/>
  <c r="BH49" i="2"/>
  <c r="AN31" i="3"/>
  <c r="AW26" i="3"/>
  <c r="Q140" i="2"/>
  <c r="AO13" i="3"/>
  <c r="Y109" i="2"/>
  <c r="AM58" i="2"/>
  <c r="O130" i="2"/>
  <c r="G104" i="2"/>
  <c r="BJ23" i="2"/>
  <c r="BJ34" i="2"/>
  <c r="AS42" i="2"/>
  <c r="BK41" i="2"/>
  <c r="BH60" i="2"/>
  <c r="BK8" i="2"/>
  <c r="I103" i="2"/>
  <c r="D101" i="2"/>
  <c r="AN26" i="2"/>
  <c r="AV35" i="2"/>
  <c r="BD41" i="2"/>
  <c r="AV45" i="2"/>
  <c r="AS46" i="2"/>
  <c r="BD50" i="2"/>
  <c r="BJ53" i="2"/>
  <c r="BI8" i="2"/>
  <c r="BG14" i="2"/>
  <c r="BF20" i="2"/>
  <c r="AV55" i="2"/>
  <c r="AW28" i="3"/>
  <c r="AN34" i="3"/>
  <c r="AM24" i="2"/>
  <c r="AN11" i="3"/>
  <c r="BH44" i="2"/>
  <c r="AN9" i="3"/>
  <c r="AO33" i="3"/>
  <c r="E115" i="2"/>
  <c r="AQ23" i="2"/>
  <c r="AQ34" i="2"/>
  <c r="AK42" i="2"/>
  <c r="AO69" i="2"/>
  <c r="AS60" i="2"/>
  <c r="AO8" i="2"/>
  <c r="AN32" i="3"/>
  <c r="AM11" i="3"/>
  <c r="AK33" i="3"/>
  <c r="AJ27" i="3"/>
  <c r="BF42" i="2"/>
  <c r="AN8" i="3"/>
  <c r="AW35" i="3"/>
  <c r="AW38" i="3"/>
  <c r="AM43" i="2"/>
  <c r="AO14" i="3"/>
  <c r="AK29" i="3"/>
  <c r="E107" i="2"/>
  <c r="AN15" i="2"/>
  <c r="BI26" i="2"/>
  <c r="BK31" i="2"/>
  <c r="BJ47" i="2"/>
  <c r="BH65" i="2"/>
  <c r="AO52" i="3"/>
  <c r="AK9" i="3"/>
  <c r="AK20" i="3"/>
  <c r="AJ9" i="3"/>
  <c r="AK36" i="3"/>
  <c r="BD58" i="2"/>
  <c r="AM37" i="3"/>
  <c r="AK31" i="3"/>
  <c r="AK36" i="2"/>
  <c r="AJ46" i="3"/>
  <c r="AL27" i="3"/>
  <c r="BD49" i="2"/>
  <c r="AN27" i="3"/>
  <c r="AS12" i="3"/>
  <c r="M94" i="2"/>
  <c r="BE24" i="2"/>
  <c r="AO33" i="2"/>
  <c r="AO48" i="2"/>
  <c r="AL16" i="3"/>
  <c r="W134" i="2"/>
  <c r="BD48" i="2"/>
  <c r="AK32" i="3"/>
  <c r="R126" i="2"/>
  <c r="BG65" i="2"/>
  <c r="AS30" i="3"/>
  <c r="I135" i="2"/>
  <c r="AN44" i="3"/>
  <c r="BJ24" i="2"/>
  <c r="BG34" i="2"/>
  <c r="AS43" i="2"/>
  <c r="AN54" i="2"/>
  <c r="AM49" i="2"/>
  <c r="AW34" i="3"/>
  <c r="U104" i="2"/>
  <c r="BI12" i="2"/>
  <c r="AS31" i="2"/>
  <c r="BJ39" i="2"/>
  <c r="AQ50" i="2"/>
  <c r="AQ42" i="2"/>
  <c r="BE60" i="2"/>
  <c r="AS14" i="3"/>
  <c r="AM15" i="3"/>
  <c r="AJ15" i="3"/>
  <c r="AW18" i="3"/>
  <c r="M140" i="2"/>
  <c r="AV43" i="2"/>
  <c r="AN17" i="3"/>
  <c r="AM19" i="3"/>
  <c r="P140" i="2"/>
  <c r="BI42" i="2"/>
  <c r="AK6" i="3"/>
  <c r="AQ17" i="2"/>
  <c r="AQ58" i="2"/>
  <c r="AS15" i="3"/>
  <c r="AO6" i="3"/>
  <c r="AK35" i="3"/>
  <c r="AO43" i="2"/>
  <c r="AN54" i="3"/>
  <c r="AQ41" i="2"/>
  <c r="AW46" i="3"/>
  <c r="AJ16" i="3"/>
  <c r="AL11" i="3"/>
  <c r="AN29" i="3"/>
  <c r="BI48" i="2"/>
  <c r="AN38" i="3"/>
  <c r="AM52" i="2"/>
  <c r="Q105" i="2"/>
  <c r="AS37" i="2"/>
  <c r="BH63" i="2"/>
  <c r="AS28" i="3"/>
  <c r="T106" i="2"/>
  <c r="AN33" i="3"/>
  <c r="F140" i="2"/>
  <c r="AQ21" i="2"/>
  <c r="AN45" i="2"/>
  <c r="AQ53" i="2"/>
  <c r="Y93" i="2"/>
  <c r="AN21" i="2"/>
  <c r="AS40" i="2"/>
  <c r="BF54" i="2"/>
  <c r="BJ48" i="2"/>
  <c r="BI65" i="2"/>
  <c r="AN20" i="3"/>
  <c r="AJ22" i="3"/>
  <c r="AW30" i="3"/>
  <c r="BG28" i="2"/>
  <c r="BI53" i="2"/>
  <c r="AW20" i="3"/>
  <c r="AN21" i="3"/>
  <c r="N127" i="2"/>
  <c r="AO8" i="3"/>
  <c r="D118" i="2"/>
  <c r="AS44" i="2"/>
  <c r="S126" i="2"/>
  <c r="BE11" i="2"/>
  <c r="BE22" i="2"/>
  <c r="AK18" i="2"/>
  <c r="AV54" i="2"/>
  <c r="AK28" i="3"/>
  <c r="AS22" i="3"/>
  <c r="AO60" i="2"/>
  <c r="V105" i="2"/>
  <c r="D119" i="2"/>
  <c r="BG15" i="2"/>
  <c r="AK27" i="2"/>
  <c r="AM32" i="2"/>
  <c r="AV48" i="2"/>
  <c r="AN67" i="2"/>
  <c r="D145" i="2"/>
  <c r="T118" i="2"/>
  <c r="AJ48" i="3"/>
  <c r="AV21" i="2"/>
  <c r="BE13" i="2"/>
  <c r="AQ36" i="2"/>
  <c r="AK48" i="2"/>
  <c r="BG50" i="2"/>
  <c r="BH54" i="2"/>
  <c r="BH55" i="2"/>
  <c r="T117" i="2"/>
  <c r="AQ12" i="2"/>
  <c r="BF31" i="2"/>
  <c r="AQ51" i="2"/>
  <c r="AM9" i="3"/>
  <c r="AO9" i="3"/>
  <c r="BD33" i="2"/>
  <c r="AS31" i="3"/>
  <c r="AO45" i="2"/>
  <c r="AK22" i="3"/>
  <c r="AL23" i="3"/>
  <c r="K90" i="2"/>
  <c r="AS14" i="2"/>
  <c r="BD23" i="2"/>
  <c r="AK29" i="2"/>
  <c r="BF47" i="2"/>
  <c r="BD65" i="2"/>
  <c r="AN52" i="3"/>
  <c r="AN16" i="3"/>
  <c r="AO15" i="3"/>
  <c r="AO36" i="3"/>
  <c r="AS64" i="2"/>
  <c r="AJ10" i="3"/>
  <c r="AO32" i="3"/>
  <c r="AL18" i="3"/>
  <c r="N145" i="2"/>
  <c r="BD22" i="2"/>
  <c r="BE32" i="2"/>
  <c r="AV52" i="2"/>
  <c r="AK47" i="2"/>
  <c r="AO26" i="3"/>
  <c r="AN35" i="3"/>
  <c r="AJ30" i="3"/>
  <c r="AN35" i="2"/>
  <c r="M116" i="2"/>
  <c r="D140" i="2"/>
  <c r="AJ36" i="3"/>
  <c r="AV17" i="2"/>
  <c r="AO44" i="2"/>
  <c r="D93" i="2"/>
  <c r="AK44" i="2"/>
  <c r="O131" i="2"/>
  <c r="AK19" i="2"/>
  <c r="BK39" i="2"/>
  <c r="BG60" i="2"/>
  <c r="AL31" i="3"/>
  <c r="BD35" i="2"/>
  <c r="AM21" i="3"/>
  <c r="AN59" i="2"/>
  <c r="AO21" i="2"/>
  <c r="AQ59" i="2"/>
  <c r="AM8" i="3"/>
  <c r="BE20" i="2"/>
  <c r="BE45" i="2"/>
  <c r="AJ38" i="3"/>
  <c r="BF55" i="2"/>
  <c r="BK52" i="2"/>
  <c r="J91" i="2"/>
  <c r="AM13" i="2"/>
  <c r="AN27" i="2"/>
  <c r="AK37" i="2"/>
  <c r="BJ45" i="2"/>
  <c r="BI58" i="2"/>
  <c r="AS51" i="2"/>
  <c r="X141" i="2"/>
  <c r="P93" i="2"/>
  <c r="AS19" i="2"/>
  <c r="AV22" i="2"/>
  <c r="BK29" i="2"/>
  <c r="BF40" i="2"/>
  <c r="AM50" i="2"/>
  <c r="BI52" i="2"/>
  <c r="AV59" i="2"/>
  <c r="AV60" i="2"/>
  <c r="R111" i="2"/>
  <c r="BK22" i="2"/>
  <c r="BJ35" i="2"/>
  <c r="BJ62" i="2"/>
  <c r="AM20" i="3"/>
  <c r="AM30" i="3"/>
  <c r="BG42" i="2"/>
  <c r="AL36" i="3"/>
  <c r="BK47" i="2"/>
  <c r="AW23" i="3"/>
  <c r="N140" i="2"/>
  <c r="AM50" i="3"/>
  <c r="AS22" i="2"/>
  <c r="AV32" i="2"/>
  <c r="AM41" i="2"/>
  <c r="BJ51" i="2"/>
  <c r="BG46" i="2"/>
  <c r="AL46" i="3"/>
  <c r="AW21" i="3"/>
  <c r="AW12" i="3"/>
  <c r="AO35" i="3"/>
  <c r="AW29" i="3"/>
  <c r="BH50" i="2"/>
  <c r="AM10" i="3"/>
  <c r="AJ23" i="3"/>
  <c r="AK8" i="3"/>
  <c r="BK59" i="2"/>
  <c r="AM29" i="3"/>
  <c r="P132" i="2"/>
  <c r="BK12" i="2"/>
  <c r="BH26" i="2"/>
  <c r="BI36" i="2"/>
  <c r="BF45" i="2"/>
  <c r="BE58" i="2"/>
  <c r="AO51" i="2"/>
  <c r="AW15" i="3"/>
  <c r="AL13" i="3"/>
  <c r="AM16" i="3"/>
  <c r="AW37" i="3"/>
  <c r="I140" i="2"/>
  <c r="AO59" i="2"/>
  <c r="AO28" i="3"/>
  <c r="AN36" i="3"/>
  <c r="AV37" i="2"/>
  <c r="AW11" i="3"/>
  <c r="AV13" i="2"/>
  <c r="AM53" i="2"/>
  <c r="AS9" i="3"/>
  <c r="N144" i="2"/>
  <c r="AK48" i="3"/>
  <c r="BG23" i="2"/>
  <c r="AV33" i="2"/>
  <c r="AK53" i="2"/>
  <c r="AW17" i="3"/>
  <c r="BK16" i="2"/>
  <c r="BH64" i="2"/>
  <c r="AW13" i="3"/>
  <c r="BH24" i="2"/>
  <c r="BE69" i="2"/>
  <c r="AM25" i="3"/>
  <c r="W105" i="2"/>
  <c r="AO20" i="2"/>
  <c r="BI29" i="2"/>
  <c r="AO39" i="2"/>
  <c r="BG49" i="2"/>
  <c r="BK65" i="2"/>
  <c r="BF59" i="2"/>
  <c r="AW9" i="3"/>
  <c r="Z98" i="2"/>
  <c r="AM26" i="2"/>
  <c r="BI27" i="2"/>
  <c r="AN28" i="2"/>
  <c r="BJ60" i="2"/>
  <c r="AV53" i="2"/>
  <c r="BF69" i="2"/>
  <c r="AO16" i="3"/>
  <c r="AO19" i="3"/>
  <c r="AL17" i="3"/>
  <c r="AM23" i="3"/>
  <c r="AS28" i="2"/>
  <c r="AO65" i="2"/>
  <c r="AM26" i="3"/>
  <c r="AW31" i="3"/>
  <c r="G120" i="2"/>
  <c r="AS53" i="2"/>
  <c r="AJ35" i="3"/>
  <c r="BF24" i="2"/>
  <c r="AO46" i="3"/>
  <c r="AJ21" i="3"/>
  <c r="BJ25" i="2"/>
  <c r="AM28" i="3"/>
  <c r="AO32" i="2"/>
  <c r="AN25" i="2"/>
  <c r="AQ43" i="2"/>
  <c r="AM60" i="2"/>
  <c r="AN46" i="3"/>
  <c r="BG26" i="2"/>
  <c r="AJ13" i="3"/>
  <c r="AJ18" i="3"/>
  <c r="BG52" i="2"/>
  <c r="BG39" i="2"/>
  <c r="AS36" i="3"/>
  <c r="AM47" i="2"/>
  <c r="BG53" i="2"/>
  <c r="AK14" i="3"/>
  <c r="AS39" i="3"/>
  <c r="AK55" i="2"/>
  <c r="I93" i="2"/>
  <c r="AO19" i="2"/>
  <c r="BJ21" i="2"/>
  <c r="AM40" i="2"/>
  <c r="AS45" i="2"/>
  <c r="BK60" i="2"/>
  <c r="BF53" i="2"/>
  <c r="H128" i="2"/>
  <c r="I121" i="2"/>
  <c r="AK16" i="2"/>
  <c r="BH27" i="2"/>
  <c r="AK33" i="2"/>
  <c r="BD42" i="2"/>
  <c r="AQ54" i="2"/>
  <c r="AK59" i="2"/>
  <c r="AN62" i="2"/>
  <c r="BE65" i="2"/>
  <c r="Z94" i="2"/>
  <c r="AM27" i="2"/>
  <c r="BH40" i="2"/>
  <c r="AK60" i="2"/>
  <c r="AL15" i="3"/>
  <c r="G140" i="2"/>
  <c r="BG64" i="2"/>
  <c r="E109" i="2"/>
  <c r="BK48" i="2"/>
  <c r="V140" i="2"/>
  <c r="H145" i="2"/>
  <c r="BG12" i="2"/>
  <c r="BD26" i="2"/>
  <c r="BE36" i="2"/>
  <c r="AQ45" i="2"/>
  <c r="AV58" i="2"/>
  <c r="AK51" i="2"/>
  <c r="AM14" i="3"/>
  <c r="AK10" i="3"/>
  <c r="AK15" i="3"/>
  <c r="AL22" i="3"/>
  <c r="J140" i="2"/>
  <c r="BK67" i="2"/>
  <c r="AN28" i="3"/>
  <c r="AO29" i="3"/>
  <c r="AL30" i="3"/>
  <c r="AN60" i="2"/>
  <c r="BK70" i="2"/>
  <c r="F106" i="2"/>
  <c r="AM14" i="2"/>
  <c r="BE26" i="2"/>
  <c r="BD29" i="2"/>
  <c r="BE47" i="2"/>
  <c r="BI63" i="2"/>
  <c r="AS55" i="2"/>
  <c r="AO34" i="3"/>
  <c r="AO22" i="3"/>
  <c r="AS34" i="3"/>
  <c r="AL34" i="3"/>
  <c r="Y140" i="2"/>
  <c r="BF46" i="2"/>
  <c r="AK25" i="3"/>
  <c r="X140" i="2"/>
  <c r="BH52" i="2"/>
  <c r="AJ20" i="3"/>
  <c r="AV20" i="2"/>
  <c r="AV8" i="2"/>
  <c r="AL33" i="3"/>
  <c r="L131" i="2"/>
  <c r="AK15" i="2"/>
  <c r="BK27" i="2"/>
  <c r="AK34" i="2"/>
  <c r="AN55" i="2"/>
  <c r="AS35" i="3"/>
  <c r="BI20" i="2"/>
  <c r="BK55" i="2"/>
  <c r="AJ31" i="3"/>
  <c r="BH18" i="2"/>
  <c r="AO21" i="3"/>
  <c r="AM35" i="3"/>
  <c r="U95" i="2"/>
  <c r="BI13" i="2"/>
  <c r="AK35" i="2"/>
  <c r="AK39" i="2"/>
  <c r="BK53" i="2"/>
  <c r="AM48" i="2"/>
  <c r="AO70" i="2"/>
  <c r="AW33" i="3"/>
  <c r="Y87" i="2"/>
  <c r="AN22" i="2"/>
  <c r="AN33" i="2"/>
  <c r="BJ40" i="2"/>
  <c r="AV67" i="2"/>
  <c r="BE59" i="2"/>
  <c r="AS70" i="2"/>
  <c r="AO37" i="3"/>
  <c r="AS38" i="3"/>
  <c r="AL38" i="3"/>
  <c r="AS27" i="3"/>
  <c r="BK44" i="2"/>
  <c r="BE50" i="2"/>
  <c r="AJ6" i="3"/>
  <c r="AM34" i="3"/>
  <c r="AQ19" i="2"/>
  <c r="BG51" i="2"/>
  <c r="AN23" i="3"/>
  <c r="AS10" i="3"/>
  <c r="AS37" i="3"/>
  <c r="BV51" i="2" l="1"/>
  <c r="BW51" i="2" s="1"/>
  <c r="BO19" i="2"/>
  <c r="BX44" i="2"/>
  <c r="BY44" i="2" s="1"/>
  <c r="AQ37" i="3"/>
  <c r="AP37" i="3"/>
  <c r="AT37" i="3"/>
  <c r="BP67" i="2"/>
  <c r="CB67" i="2"/>
  <c r="AP70" i="2"/>
  <c r="AR48" i="2"/>
  <c r="BL48" i="2" s="1"/>
  <c r="BX53" i="2"/>
  <c r="BY53" i="2" s="1"/>
  <c r="BZ39" i="2"/>
  <c r="AL39" i="2"/>
  <c r="BZ35" i="2"/>
  <c r="AL35" i="2"/>
  <c r="AT21" i="3"/>
  <c r="AP21" i="3"/>
  <c r="AQ21" i="3"/>
  <c r="BT18" i="2"/>
  <c r="BU18" i="2" s="1"/>
  <c r="BX55" i="2"/>
  <c r="BY55" i="2" s="1"/>
  <c r="BZ34" i="2"/>
  <c r="AL34" i="2"/>
  <c r="BX27" i="2"/>
  <c r="BY27" i="2" s="1"/>
  <c r="BZ15" i="2"/>
  <c r="AL15" i="2"/>
  <c r="CB8" i="2"/>
  <c r="BP8" i="2"/>
  <c r="CB20" i="2"/>
  <c r="BP20" i="2"/>
  <c r="BT52" i="2"/>
  <c r="BU52" i="2" s="1"/>
  <c r="AR25" i="3"/>
  <c r="AV25" i="3"/>
  <c r="BS46" i="2"/>
  <c r="BQ46" i="2"/>
  <c r="BR46" i="2"/>
  <c r="AP22" i="3"/>
  <c r="AT22" i="3" s="1"/>
  <c r="AQ22" i="3"/>
  <c r="AP34" i="3"/>
  <c r="AT34" i="3" s="1"/>
  <c r="AQ34" i="3"/>
  <c r="AR14" i="2"/>
  <c r="BL14" i="2" s="1"/>
  <c r="BX70" i="2"/>
  <c r="BY70" i="2" s="1"/>
  <c r="AQ29" i="3"/>
  <c r="AP29" i="3"/>
  <c r="AT29" i="3" s="1"/>
  <c r="BX67" i="2"/>
  <c r="BY67" i="2" s="1"/>
  <c r="AV15" i="3"/>
  <c r="AR15" i="3"/>
  <c r="AV10" i="3"/>
  <c r="AR10" i="3"/>
  <c r="BZ51" i="2"/>
  <c r="AL51" i="2"/>
  <c r="CB58" i="2"/>
  <c r="BP58" i="2"/>
  <c r="BO45" i="2"/>
  <c r="BV12" i="2"/>
  <c r="BW12" i="2" s="1"/>
  <c r="BX48" i="2"/>
  <c r="BY48" i="2" s="1"/>
  <c r="BV64" i="2"/>
  <c r="BW64" i="2" s="1"/>
  <c r="AL60" i="2"/>
  <c r="BZ60" i="2"/>
  <c r="BT40" i="2"/>
  <c r="BU40" i="2" s="1"/>
  <c r="AR27" i="2"/>
  <c r="BL27" i="2" s="1"/>
  <c r="BZ59" i="2"/>
  <c r="AL59" i="2"/>
  <c r="BO54" i="2"/>
  <c r="BZ33" i="2"/>
  <c r="AL33" i="2"/>
  <c r="BT27" i="2"/>
  <c r="BU27" i="2" s="1"/>
  <c r="BZ16" i="2"/>
  <c r="AL16" i="2"/>
  <c r="BR53" i="2"/>
  <c r="BS53" i="2"/>
  <c r="BQ53" i="2"/>
  <c r="BX60" i="2"/>
  <c r="BY60" i="2" s="1"/>
  <c r="AR40" i="2"/>
  <c r="BL40" i="2" s="1"/>
  <c r="AP19" i="2"/>
  <c r="AL55" i="2"/>
  <c r="BZ55" i="2"/>
  <c r="AR14" i="3"/>
  <c r="AV14" i="3"/>
  <c r="BV53" i="2"/>
  <c r="BW53" i="2" s="1"/>
  <c r="AR47" i="2"/>
  <c r="BL47" i="2" s="1"/>
  <c r="BV39" i="2"/>
  <c r="BW39" i="2" s="1"/>
  <c r="BV52" i="2"/>
  <c r="BW52" i="2" s="1"/>
  <c r="BV26" i="2"/>
  <c r="BW26" i="2" s="1"/>
  <c r="AR60" i="2"/>
  <c r="BL60" i="2" s="1"/>
  <c r="BO43" i="2"/>
  <c r="AP32" i="2"/>
  <c r="AP46" i="3"/>
  <c r="AT46" i="3" s="1"/>
  <c r="AQ46" i="3"/>
  <c r="BQ24" i="2"/>
  <c r="BR24" i="2"/>
  <c r="BS24" i="2"/>
  <c r="AP65" i="2"/>
  <c r="AT19" i="3"/>
  <c r="AP19" i="3"/>
  <c r="AQ19" i="3"/>
  <c r="AQ16" i="3"/>
  <c r="AP16" i="3"/>
  <c r="AT16" i="3" s="1"/>
  <c r="BQ69" i="2"/>
  <c r="BR69" i="2"/>
  <c r="BS69" i="2"/>
  <c r="CB53" i="2"/>
  <c r="BP53" i="2"/>
  <c r="AR26" i="2"/>
  <c r="BL26" i="2" s="1"/>
  <c r="BR59" i="2"/>
  <c r="BS59" i="2"/>
  <c r="BQ59" i="2"/>
  <c r="BX65" i="2"/>
  <c r="BY65" i="2" s="1"/>
  <c r="BV49" i="2"/>
  <c r="BW49" i="2" s="1"/>
  <c r="AP39" i="2"/>
  <c r="AP20" i="2"/>
  <c r="BT24" i="2"/>
  <c r="BU24" i="2" s="1"/>
  <c r="BT64" i="2"/>
  <c r="BU64" i="2" s="1"/>
  <c r="BX16" i="2"/>
  <c r="BY16" i="2" s="1"/>
  <c r="BZ53" i="2"/>
  <c r="AL53" i="2"/>
  <c r="CB33" i="2"/>
  <c r="BP33" i="2"/>
  <c r="BV23" i="2"/>
  <c r="BW23" i="2" s="1"/>
  <c r="AR48" i="3"/>
  <c r="AV48" i="3"/>
  <c r="AR53" i="2"/>
  <c r="BL53" i="2" s="1"/>
  <c r="CB13" i="2"/>
  <c r="BP13" i="2"/>
  <c r="CB37" i="2"/>
  <c r="BP37" i="2"/>
  <c r="AT28" i="3"/>
  <c r="AP28" i="3"/>
  <c r="AQ28" i="3"/>
  <c r="AP59" i="2"/>
  <c r="AP51" i="2"/>
  <c r="BQ45" i="2"/>
  <c r="BS45" i="2"/>
  <c r="BR45" i="2"/>
  <c r="BT26" i="2"/>
  <c r="BU26" i="2" s="1"/>
  <c r="BX12" i="2"/>
  <c r="BY12" i="2" s="1"/>
  <c r="BX59" i="2"/>
  <c r="BY59" i="2" s="1"/>
  <c r="AR8" i="3"/>
  <c r="AV8" i="3"/>
  <c r="BT50" i="2"/>
  <c r="BU50" i="2" s="1"/>
  <c r="AP35" i="3"/>
  <c r="AQ35" i="3"/>
  <c r="AT35" i="3"/>
  <c r="BV46" i="2"/>
  <c r="BW46" i="2" s="1"/>
  <c r="AR41" i="2"/>
  <c r="BL41" i="2" s="1"/>
  <c r="CB32" i="2"/>
  <c r="BP32" i="2"/>
  <c r="BX47" i="2"/>
  <c r="BY47" i="2" s="1"/>
  <c r="BV42" i="2"/>
  <c r="BW42" i="2" s="1"/>
  <c r="BX22" i="2"/>
  <c r="BY22" i="2" s="1"/>
  <c r="CB60" i="2"/>
  <c r="BP60" i="2"/>
  <c r="CB59" i="2"/>
  <c r="BP59" i="2"/>
  <c r="AR50" i="2"/>
  <c r="BL50" i="2" s="1"/>
  <c r="BQ40" i="2"/>
  <c r="BR40" i="2"/>
  <c r="BS40" i="2"/>
  <c r="BX29" i="2"/>
  <c r="BY29" i="2" s="1"/>
  <c r="CB22" i="2"/>
  <c r="BP22" i="2"/>
  <c r="AL37" i="2"/>
  <c r="BZ37" i="2"/>
  <c r="AR13" i="2"/>
  <c r="BL13" i="2" s="1"/>
  <c r="BX52" i="2"/>
  <c r="BY52" i="2" s="1"/>
  <c r="BQ55" i="2"/>
  <c r="BR55" i="2"/>
  <c r="BS55" i="2"/>
  <c r="BO59" i="2"/>
  <c r="AP21" i="2"/>
  <c r="BV60" i="2"/>
  <c r="BW60" i="2" s="1"/>
  <c r="BX39" i="2"/>
  <c r="BY39" i="2" s="1"/>
  <c r="BZ19" i="2"/>
  <c r="AL19" i="2"/>
  <c r="BZ44" i="2"/>
  <c r="AL44" i="2"/>
  <c r="AP44" i="2"/>
  <c r="CB17" i="2"/>
  <c r="BP17" i="2"/>
  <c r="AQ26" i="3"/>
  <c r="AP26" i="3"/>
  <c r="AT26" i="3" s="1"/>
  <c r="BZ47" i="2"/>
  <c r="AL47" i="2"/>
  <c r="BP52" i="2"/>
  <c r="CB52" i="2"/>
  <c r="AQ32" i="3"/>
  <c r="AT32" i="3"/>
  <c r="AP32" i="3"/>
  <c r="AP36" i="3"/>
  <c r="AT36" i="3" s="1"/>
  <c r="AQ36" i="3"/>
  <c r="AT15" i="3"/>
  <c r="AP15" i="3"/>
  <c r="AQ15" i="3"/>
  <c r="BQ47" i="2"/>
  <c r="BR47" i="2"/>
  <c r="BS47" i="2"/>
  <c r="AL29" i="2"/>
  <c r="BZ29" i="2"/>
  <c r="AV22" i="3"/>
  <c r="AR22" i="3"/>
  <c r="AP45" i="2"/>
  <c r="AT9" i="3"/>
  <c r="AP9" i="3"/>
  <c r="AQ9" i="3"/>
  <c r="BO51" i="2"/>
  <c r="BR31" i="2"/>
  <c r="BS31" i="2"/>
  <c r="BQ31" i="2"/>
  <c r="BO12" i="2"/>
  <c r="BT55" i="2"/>
  <c r="BU55" i="2" s="1"/>
  <c r="BT54" i="2"/>
  <c r="BU54" i="2" s="1"/>
  <c r="BV50" i="2"/>
  <c r="BW50" i="2" s="1"/>
  <c r="AL48" i="2"/>
  <c r="BZ48" i="2"/>
  <c r="BO36" i="2"/>
  <c r="CB21" i="2"/>
  <c r="BP21" i="2"/>
  <c r="BP48" i="2"/>
  <c r="CB48" i="2"/>
  <c r="AR32" i="2"/>
  <c r="BL32" i="2" s="1"/>
  <c r="BZ27" i="2"/>
  <c r="AL27" i="2"/>
  <c r="BV15" i="2"/>
  <c r="BW15" i="2" s="1"/>
  <c r="AP60" i="2"/>
  <c r="AR28" i="3"/>
  <c r="AV28" i="3"/>
  <c r="CB54" i="2"/>
  <c r="BP54" i="2"/>
  <c r="BZ18" i="2"/>
  <c r="AL18" i="2"/>
  <c r="AQ8" i="3"/>
  <c r="AT8" i="3"/>
  <c r="AP8" i="3"/>
  <c r="BV28" i="2"/>
  <c r="BW28" i="2" s="1"/>
  <c r="BQ54" i="2"/>
  <c r="BR54" i="2"/>
  <c r="BS54" i="2"/>
  <c r="BO53" i="2"/>
  <c r="BO21" i="2"/>
  <c r="BT63" i="2"/>
  <c r="BU63" i="2" s="1"/>
  <c r="AR52" i="2"/>
  <c r="BL52" i="2" s="1"/>
  <c r="BO41" i="2"/>
  <c r="AP43" i="2"/>
  <c r="AR35" i="3"/>
  <c r="AV35" i="3"/>
  <c r="AP6" i="3"/>
  <c r="AT6" i="3" s="1"/>
  <c r="AQ6" i="3"/>
  <c r="BO58" i="2"/>
  <c r="BO17" i="2"/>
  <c r="AV6" i="3"/>
  <c r="AR6" i="3"/>
  <c r="CB43" i="2"/>
  <c r="BP43" i="2"/>
  <c r="BO42" i="2"/>
  <c r="BO50" i="2"/>
  <c r="AR49" i="2"/>
  <c r="BL49" i="2" s="1"/>
  <c r="BV34" i="2"/>
  <c r="BW34" i="2" s="1"/>
  <c r="BV65" i="2"/>
  <c r="BW65" i="2" s="1"/>
  <c r="AV32" i="3"/>
  <c r="AR32" i="3"/>
  <c r="AP48" i="2"/>
  <c r="AP33" i="2"/>
  <c r="BZ36" i="2"/>
  <c r="AL36" i="2"/>
  <c r="AR31" i="3"/>
  <c r="AV31" i="3"/>
  <c r="AR36" i="3"/>
  <c r="AV36" i="3"/>
  <c r="AV20" i="3"/>
  <c r="AR20" i="3"/>
  <c r="AV9" i="3"/>
  <c r="AR9" i="3"/>
  <c r="AP52" i="3"/>
  <c r="AT52" i="3" s="1"/>
  <c r="AQ52" i="3"/>
  <c r="BT65" i="2"/>
  <c r="BU65" i="2" s="1"/>
  <c r="BX31" i="2"/>
  <c r="BY31" i="2" s="1"/>
  <c r="AV29" i="3"/>
  <c r="AR29" i="3"/>
  <c r="AQ14" i="3"/>
  <c r="AT14" i="3"/>
  <c r="AP14" i="3"/>
  <c r="AR43" i="2"/>
  <c r="BL43" i="2" s="1"/>
  <c r="BS42" i="2"/>
  <c r="BQ42" i="2"/>
  <c r="BR42" i="2"/>
  <c r="AR33" i="3"/>
  <c r="AV33" i="3"/>
  <c r="AP8" i="2"/>
  <c r="AP69" i="2"/>
  <c r="BZ42" i="2"/>
  <c r="AL42" i="2"/>
  <c r="BO34" i="2"/>
  <c r="BO23" i="2"/>
  <c r="AQ33" i="3"/>
  <c r="AP33" i="3"/>
  <c r="AT33" i="3" s="1"/>
  <c r="BT44" i="2"/>
  <c r="BU44" i="2" s="1"/>
  <c r="AR24" i="2"/>
  <c r="BL24" i="2" s="1"/>
  <c r="CB55" i="2"/>
  <c r="BP55" i="2"/>
  <c r="BQ20" i="2"/>
  <c r="BR20" i="2"/>
  <c r="BS20" i="2"/>
  <c r="BV14" i="2"/>
  <c r="BW14" i="2" s="1"/>
  <c r="CB45" i="2"/>
  <c r="BP45" i="2"/>
  <c r="CB35" i="2"/>
  <c r="BP35" i="2"/>
  <c r="BX8" i="2"/>
  <c r="BY8" i="2" s="1"/>
  <c r="BT60" i="2"/>
  <c r="BU60" i="2" s="1"/>
  <c r="BX41" i="2"/>
  <c r="BY41" i="2" s="1"/>
  <c r="AR58" i="2"/>
  <c r="BL58" i="2" s="1"/>
  <c r="AQ13" i="3"/>
  <c r="AT13" i="3"/>
  <c r="AP13" i="3"/>
  <c r="BT49" i="2"/>
  <c r="BU49" i="2" s="1"/>
  <c r="AR39" i="2"/>
  <c r="BL39" i="2" s="1"/>
  <c r="AR65" i="2"/>
  <c r="BL65" i="2" s="1"/>
  <c r="CB42" i="2"/>
  <c r="BP42" i="2"/>
  <c r="CB27" i="2"/>
  <c r="BP27" i="2"/>
  <c r="AR20" i="2"/>
  <c r="BL20" i="2" s="1"/>
  <c r="AQ12" i="3"/>
  <c r="AP12" i="3"/>
  <c r="AT12" i="3" s="1"/>
  <c r="BT70" i="2"/>
  <c r="BU70" i="2" s="1"/>
  <c r="BZ8" i="2"/>
  <c r="AL8" i="2"/>
  <c r="AP42" i="2"/>
  <c r="BR34" i="2"/>
  <c r="BS34" i="2"/>
  <c r="BQ34" i="2"/>
  <c r="BS23" i="2"/>
  <c r="BQ23" i="2"/>
  <c r="BR23" i="2"/>
  <c r="BT28" i="2"/>
  <c r="BU28" i="2" s="1"/>
  <c r="BO69" i="2"/>
  <c r="AQ25" i="3"/>
  <c r="AP25" i="3"/>
  <c r="AT25" i="3" s="1"/>
  <c r="AP54" i="2"/>
  <c r="BZ63" i="2"/>
  <c r="AL63" i="2"/>
  <c r="BV31" i="2"/>
  <c r="BW31" i="2" s="1"/>
  <c r="AR29" i="2"/>
  <c r="BL29" i="2" s="1"/>
  <c r="BT14" i="2"/>
  <c r="BU14" i="2" s="1"/>
  <c r="AV26" i="3"/>
  <c r="AR26" i="3"/>
  <c r="BZ25" i="2"/>
  <c r="AL25" i="2"/>
  <c r="AR46" i="2"/>
  <c r="BL46" i="2" s="1"/>
  <c r="BX33" i="2"/>
  <c r="BY33" i="2" s="1"/>
  <c r="BZ12" i="2"/>
  <c r="AL12" i="2"/>
  <c r="BV8" i="2"/>
  <c r="BW8" i="2" s="1"/>
  <c r="BQ48" i="2"/>
  <c r="BR48" i="2"/>
  <c r="BS48" i="2"/>
  <c r="AR42" i="2"/>
  <c r="BL42" i="2" s="1"/>
  <c r="CB46" i="2"/>
  <c r="BP46" i="2"/>
  <c r="BT32" i="2"/>
  <c r="BU32" i="2" s="1"/>
  <c r="CB24" i="2"/>
  <c r="BP24" i="2"/>
  <c r="BR65" i="2"/>
  <c r="BS65" i="2"/>
  <c r="BQ65" i="2"/>
  <c r="AP40" i="2"/>
  <c r="CB63" i="2"/>
  <c r="BP63" i="2"/>
  <c r="BT53" i="2"/>
  <c r="BU53" i="2" s="1"/>
  <c r="AV12" i="3"/>
  <c r="AR12" i="3"/>
  <c r="AP38" i="3"/>
  <c r="AT38" i="3" s="1"/>
  <c r="AQ38" i="3"/>
  <c r="AT11" i="3"/>
  <c r="AP11" i="3"/>
  <c r="AQ11" i="3"/>
  <c r="AR55" i="2"/>
  <c r="BL55" i="2" s="1"/>
  <c r="BO35" i="2"/>
  <c r="BV45" i="2"/>
  <c r="BW45" i="2" s="1"/>
  <c r="BX37" i="2"/>
  <c r="BY37" i="2" s="1"/>
  <c r="AQ18" i="3"/>
  <c r="AP18" i="3"/>
  <c r="AT18" i="3"/>
  <c r="BT37" i="2"/>
  <c r="BU37" i="2" s="1"/>
  <c r="AV27" i="3"/>
  <c r="AR27" i="3"/>
  <c r="BT42" i="2"/>
  <c r="BU42" i="2" s="1"/>
  <c r="BO39" i="2"/>
  <c r="AV39" i="3"/>
  <c r="AR39" i="3"/>
  <c r="BT69" i="2"/>
  <c r="BU69" i="2" s="1"/>
  <c r="AV23" i="3"/>
  <c r="AR23" i="3"/>
  <c r="BV69" i="2"/>
  <c r="BW69" i="2" s="1"/>
  <c r="AP63" i="2"/>
  <c r="AP34" i="2"/>
  <c r="BO29" i="2"/>
  <c r="BR16" i="2"/>
  <c r="BS16" i="2"/>
  <c r="BQ16" i="2"/>
  <c r="BV43" i="2"/>
  <c r="BW43" i="2" s="1"/>
  <c r="AV38" i="3"/>
  <c r="AR38" i="3"/>
  <c r="CB31" i="2"/>
  <c r="BP31" i="2"/>
  <c r="AR30" i="3"/>
  <c r="AV30" i="3"/>
  <c r="AQ31" i="3"/>
  <c r="AP31" i="3"/>
  <c r="AT31" i="3" s="1"/>
  <c r="BZ50" i="2"/>
  <c r="AL50" i="2"/>
  <c r="BZ41" i="2"/>
  <c r="AL41" i="2"/>
  <c r="BX36" i="2"/>
  <c r="BY36" i="2" s="1"/>
  <c r="AP39" i="3"/>
  <c r="AT39" i="3" s="1"/>
  <c r="AQ39" i="3"/>
  <c r="AR64" i="2"/>
  <c r="BL64" i="2" s="1"/>
  <c r="AR18" i="2"/>
  <c r="BL18" i="2" s="1"/>
  <c r="AP67" i="2"/>
  <c r="BV40" i="2"/>
  <c r="BW40" i="2" s="1"/>
  <c r="BT31" i="2"/>
  <c r="BU31" i="2" s="1"/>
  <c r="BZ70" i="2"/>
  <c r="AL70" i="2"/>
  <c r="BO67" i="2"/>
  <c r="BV11" i="2"/>
  <c r="BW11" i="2" s="1"/>
  <c r="BT21" i="2"/>
  <c r="BU21" i="2" s="1"/>
  <c r="BX69" i="2"/>
  <c r="BY69" i="2" s="1"/>
  <c r="BR29" i="2"/>
  <c r="BS29" i="2"/>
  <c r="BQ29" i="2"/>
  <c r="BT59" i="2"/>
  <c r="BU59" i="2" s="1"/>
  <c r="AR36" i="2"/>
  <c r="BL36" i="2" s="1"/>
  <c r="AV13" i="3"/>
  <c r="AR13" i="3"/>
  <c r="BO44" i="2"/>
  <c r="BZ24" i="2"/>
  <c r="AL24" i="2"/>
  <c r="AR44" i="2"/>
  <c r="BL44" i="2" s="1"/>
  <c r="CB34" i="2"/>
  <c r="BP34" i="2"/>
  <c r="AP23" i="3"/>
  <c r="AT23" i="3" s="1"/>
  <c r="AQ23" i="3"/>
  <c r="AV21" i="3"/>
  <c r="AR21" i="3"/>
  <c r="BP70" i="2"/>
  <c r="CB70" i="2"/>
  <c r="AV19" i="3"/>
  <c r="AR19" i="3"/>
  <c r="AV46" i="3"/>
  <c r="AR46" i="3"/>
  <c r="BX50" i="2"/>
  <c r="BY50" i="2" s="1"/>
  <c r="AR31" i="2"/>
  <c r="BL31" i="2" s="1"/>
  <c r="BR58" i="2"/>
  <c r="BQ58" i="2"/>
  <c r="BS58" i="2"/>
  <c r="BO65" i="2"/>
  <c r="BT39" i="2"/>
  <c r="BU39" i="2" s="1"/>
  <c r="AQ10" i="3"/>
  <c r="AP10" i="3"/>
  <c r="AT10" i="3"/>
  <c r="AR34" i="3"/>
  <c r="AV34" i="3"/>
  <c r="BV37" i="2"/>
  <c r="BW37" i="2" s="1"/>
  <c r="BO70" i="2"/>
  <c r="BX15" i="2"/>
  <c r="BY15" i="2" s="1"/>
  <c r="BX18" i="2"/>
  <c r="BY18" i="2" s="1"/>
  <c r="AT17" i="3"/>
  <c r="AP17" i="3"/>
  <c r="AQ17" i="3"/>
  <c r="AQ41" i="3"/>
  <c r="AP41" i="3"/>
  <c r="AT41" i="3" s="1"/>
  <c r="BT51" i="2"/>
  <c r="BU51" i="2" s="1"/>
  <c r="BS33" i="2"/>
  <c r="BQ33" i="2"/>
  <c r="BR33" i="2"/>
  <c r="AR11" i="3"/>
  <c r="AV11" i="3"/>
  <c r="BT67" i="2"/>
  <c r="BU67" i="2" s="1"/>
  <c r="AP50" i="2"/>
  <c r="AL58" i="2"/>
  <c r="BZ58" i="2"/>
  <c r="AP41" i="2"/>
  <c r="AR37" i="2"/>
  <c r="BL37" i="2" s="1"/>
  <c r="CB23" i="2"/>
  <c r="BP23" i="2"/>
  <c r="AV37" i="3"/>
  <c r="AR37" i="3"/>
  <c r="BR64" i="2"/>
  <c r="BQ64" i="2"/>
  <c r="BS64" i="2"/>
  <c r="BZ20" i="2"/>
  <c r="AL20" i="2"/>
  <c r="BV63" i="2"/>
  <c r="BW63" i="2" s="1"/>
  <c r="AR21" i="2"/>
  <c r="BL21" i="2" s="1"/>
  <c r="BV32" i="2"/>
  <c r="BW32" i="2" s="1"/>
  <c r="AR15" i="2"/>
  <c r="BL15" i="2" s="1"/>
  <c r="AR63" i="2"/>
  <c r="BL63" i="2" s="1"/>
  <c r="BX24" i="2"/>
  <c r="BY24" i="2" s="1"/>
  <c r="AR70" i="2"/>
  <c r="BL70" i="2" s="1"/>
  <c r="AP64" i="2"/>
  <c r="BT20" i="2"/>
  <c r="BU20" i="2" s="1"/>
  <c r="BT62" i="2"/>
  <c r="BU62" i="2" s="1"/>
  <c r="BT45" i="2"/>
  <c r="BU45" i="2" s="1"/>
  <c r="AL52" i="2"/>
  <c r="BZ52" i="2"/>
  <c r="BT29" i="2"/>
  <c r="BU29" i="2" s="1"/>
  <c r="AR33" i="2"/>
  <c r="BL33" i="2" s="1"/>
  <c r="BZ17" i="2"/>
  <c r="AL17" i="2"/>
  <c r="BZ69" i="2"/>
  <c r="AL69" i="2"/>
  <c r="BO62" i="2"/>
  <c r="AL62" i="2"/>
  <c r="BZ62" i="2"/>
  <c r="AR16" i="3"/>
  <c r="AV16" i="3"/>
  <c r="AR52" i="3"/>
  <c r="AV52" i="3"/>
  <c r="BT23" i="2"/>
  <c r="BU23" i="2" s="1"/>
  <c r="AR16" i="2"/>
  <c r="BL16" i="2" s="1"/>
  <c r="AQ30" i="3"/>
  <c r="AP30" i="3"/>
  <c r="AT30" i="3" s="1"/>
  <c r="BO52" i="2"/>
  <c r="CB26" i="2"/>
  <c r="BP26" i="2"/>
  <c r="BX58" i="2"/>
  <c r="BY58" i="2" s="1"/>
  <c r="BO28" i="2"/>
  <c r="BT41" i="2"/>
  <c r="BU41" i="2" s="1"/>
  <c r="AP28" i="2"/>
  <c r="AP16" i="2"/>
  <c r="AQ20" i="3"/>
  <c r="AT20" i="3"/>
  <c r="AP20" i="3"/>
  <c r="AP49" i="2"/>
  <c r="BV62" i="2"/>
  <c r="BW62" i="2" s="1"/>
  <c r="AR18" i="3"/>
  <c r="AV18" i="3"/>
  <c r="BZ45" i="2"/>
  <c r="AL45" i="2"/>
  <c r="BX32" i="2"/>
  <c r="BY32" i="2" s="1"/>
  <c r="AV17" i="3"/>
  <c r="AR17" i="3"/>
  <c r="BR63" i="2"/>
  <c r="BQ63" i="2"/>
  <c r="BS63" i="2"/>
  <c r="AP55" i="2"/>
  <c r="CB47" i="2"/>
  <c r="BP47" i="2"/>
  <c r="AP29" i="2"/>
  <c r="BQ25" i="2"/>
  <c r="BR25" i="2"/>
  <c r="BS25" i="2"/>
  <c r="BX13" i="2"/>
  <c r="BY13" i="2" s="1"/>
  <c r="BV70" i="2"/>
  <c r="BW70" i="2" s="1"/>
  <c r="BZ46" i="2"/>
  <c r="AL46" i="2"/>
  <c r="BZ22" i="2"/>
  <c r="AL22" i="2"/>
  <c r="AR62" i="2"/>
  <c r="BL62" i="2" s="1"/>
  <c r="BO40" i="2"/>
  <c r="AP31" i="2"/>
  <c r="BZ64" i="2"/>
  <c r="AL64" i="2"/>
  <c r="BO32" i="2"/>
  <c r="AP27" i="2"/>
  <c r="BT46" i="2"/>
  <c r="BU46" i="2" s="1"/>
  <c r="BV41" i="2"/>
  <c r="BW41" i="2" s="1"/>
  <c r="BO22" i="2"/>
  <c r="CB69" i="2"/>
  <c r="BP69" i="2"/>
  <c r="BQ49" i="2"/>
  <c r="BR49" i="2"/>
  <c r="BS49" i="2"/>
  <c r="BX54" i="2"/>
  <c r="BY54" i="2" s="1"/>
  <c r="BQ60" i="2"/>
  <c r="BS60" i="2"/>
  <c r="BR60" i="2"/>
  <c r="BT43" i="2"/>
  <c r="BU43" i="2" s="1"/>
  <c r="BQ27" i="2"/>
  <c r="BR27" i="2"/>
  <c r="BS27" i="2"/>
  <c r="AR35" i="2"/>
  <c r="BL35" i="2" s="1"/>
  <c r="BX25" i="2"/>
  <c r="BY25" i="2" s="1"/>
  <c r="AP47" i="2"/>
  <c r="AP58" i="2"/>
  <c r="BR41" i="2"/>
  <c r="BQ41" i="2"/>
  <c r="BS41" i="2"/>
  <c r="BO37" i="2"/>
  <c r="BT22" i="2"/>
  <c r="BU22" i="2" s="1"/>
  <c r="BO46" i="2"/>
  <c r="BQ51" i="2"/>
  <c r="BR51" i="2"/>
  <c r="BS51" i="2"/>
  <c r="BX40" i="2"/>
  <c r="BY40" i="2" s="1"/>
  <c r="BV36" i="2"/>
  <c r="BW36" i="2" s="1"/>
  <c r="AP22" i="2"/>
  <c r="BS22" i="2"/>
  <c r="BQ22" i="2"/>
  <c r="BR22" i="2"/>
  <c r="BZ65" i="2"/>
  <c r="AL65" i="2"/>
  <c r="BQ50" i="2"/>
  <c r="BR50" i="2"/>
  <c r="BS50" i="2"/>
  <c r="BX26" i="2"/>
  <c r="BY26" i="2" s="1"/>
  <c r="BZ13" i="2"/>
  <c r="AL13" i="2"/>
  <c r="AV40" i="3"/>
  <c r="AR40" i="3"/>
  <c r="BV17" i="2"/>
  <c r="BW17" i="2" s="1"/>
  <c r="AR53" i="3"/>
  <c r="AV53" i="3"/>
  <c r="AR44" i="3"/>
  <c r="AV44" i="3"/>
  <c r="AP18" i="2"/>
  <c r="CB15" i="2"/>
  <c r="BP15" i="2"/>
  <c r="AV50" i="3"/>
  <c r="AR50" i="3"/>
  <c r="AP11" i="2"/>
  <c r="CB65" i="2"/>
  <c r="BP65" i="2"/>
  <c r="CB44" i="2"/>
  <c r="BP44" i="2"/>
  <c r="BO48" i="2"/>
  <c r="AR54" i="2"/>
  <c r="BL54" i="2" s="1"/>
  <c r="BS39" i="2"/>
  <c r="BQ39" i="2"/>
  <c r="BR39" i="2"/>
  <c r="BV29" i="2"/>
  <c r="BW29" i="2" s="1"/>
  <c r="AP35" i="2"/>
  <c r="BV19" i="2"/>
  <c r="BW19" i="2" s="1"/>
  <c r="BO64" i="2"/>
  <c r="BV47" i="2"/>
  <c r="BW47" i="2" s="1"/>
  <c r="BR37" i="2"/>
  <c r="BQ37" i="2"/>
  <c r="BS37" i="2"/>
  <c r="BQ36" i="2"/>
  <c r="BS36" i="2"/>
  <c r="BR36" i="2"/>
  <c r="BO20" i="2"/>
  <c r="BO8" i="2"/>
  <c r="BV58" i="2"/>
  <c r="BW58" i="2" s="1"/>
  <c r="BX62" i="2"/>
  <c r="BY62" i="2" s="1"/>
  <c r="BQ28" i="2"/>
  <c r="BR28" i="2"/>
  <c r="BS28" i="2"/>
  <c r="BX17" i="2"/>
  <c r="BY17" i="2" s="1"/>
  <c r="BX11" i="2"/>
  <c r="BY11" i="2" s="1"/>
  <c r="BT12" i="2"/>
  <c r="BU12" i="2" s="1"/>
  <c r="AP53" i="3"/>
  <c r="AT53" i="3"/>
  <c r="AQ53" i="3"/>
  <c r="AP62" i="2"/>
  <c r="BR43" i="2"/>
  <c r="BQ43" i="2"/>
  <c r="BS43" i="2"/>
  <c r="BO47" i="2"/>
  <c r="CB51" i="2"/>
  <c r="BP51" i="2"/>
  <c r="AP23" i="2"/>
  <c r="BO27" i="2"/>
  <c r="BX14" i="2"/>
  <c r="BY14" i="2" s="1"/>
  <c r="BT8" i="2"/>
  <c r="BU8" i="2" s="1"/>
  <c r="BR62" i="2"/>
  <c r="BS62" i="2"/>
  <c r="BQ62" i="2"/>
  <c r="BX45" i="2"/>
  <c r="BY45" i="2" s="1"/>
  <c r="CB41" i="2"/>
  <c r="BP41" i="2"/>
  <c r="BX20" i="2"/>
  <c r="BY20" i="2" s="1"/>
  <c r="BV33" i="2"/>
  <c r="BW33" i="2" s="1"/>
  <c r="BV22" i="2"/>
  <c r="BW22" i="2" s="1"/>
  <c r="AR12" i="2"/>
  <c r="BL12" i="2" s="1"/>
  <c r="BV20" i="2"/>
  <c r="BW20" i="2" s="1"/>
  <c r="AP54" i="3"/>
  <c r="AT54" i="3"/>
  <c r="AQ54" i="3"/>
  <c r="AR8" i="2"/>
  <c r="BL8" i="2" s="1"/>
  <c r="BZ23" i="2"/>
  <c r="AL23" i="2"/>
  <c r="AQ27" i="3"/>
  <c r="AP27" i="3"/>
  <c r="AT27" i="3" s="1"/>
  <c r="BR21" i="2"/>
  <c r="BS21" i="2"/>
  <c r="BQ21" i="2"/>
  <c r="AP26" i="2"/>
  <c r="BV67" i="2"/>
  <c r="BW67" i="2" s="1"/>
  <c r="AP46" i="2"/>
  <c r="AP52" i="2"/>
  <c r="BS32" i="2"/>
  <c r="BQ32" i="2"/>
  <c r="BR32" i="2"/>
  <c r="BO33" i="2"/>
  <c r="AP17" i="2"/>
  <c r="BQ8" i="2"/>
  <c r="BR8" i="2"/>
  <c r="BS8" i="2"/>
  <c r="CB64" i="2"/>
  <c r="BP64" i="2"/>
  <c r="AR67" i="2"/>
  <c r="BL67" i="2" s="1"/>
  <c r="BX49" i="2"/>
  <c r="BY49" i="2" s="1"/>
  <c r="BS44" i="2"/>
  <c r="BQ44" i="2"/>
  <c r="BR44" i="2"/>
  <c r="CB39" i="2"/>
  <c r="BP39" i="2"/>
  <c r="BT36" i="2"/>
  <c r="BU36" i="2" s="1"/>
  <c r="BZ31" i="2"/>
  <c r="AL31" i="2"/>
  <c r="BT25" i="2"/>
  <c r="BU25" i="2" s="1"/>
  <c r="AR59" i="2"/>
  <c r="BL59" i="2" s="1"/>
  <c r="BO63" i="2"/>
  <c r="BT48" i="2"/>
  <c r="BU48" i="2" s="1"/>
  <c r="BX43" i="2"/>
  <c r="BY43" i="2" s="1"/>
  <c r="BV35" i="2"/>
  <c r="BW35" i="2" s="1"/>
  <c r="AP36" i="2"/>
  <c r="CB29" i="2"/>
  <c r="BP29" i="2"/>
  <c r="AP25" i="2"/>
  <c r="BO18" i="2"/>
  <c r="BQ70" i="2"/>
  <c r="BR70" i="2"/>
  <c r="BS70" i="2"/>
  <c r="BV55" i="2"/>
  <c r="BW55" i="2" s="1"/>
  <c r="AR28" i="2"/>
  <c r="BL28" i="2" s="1"/>
  <c r="AP15" i="2"/>
  <c r="BV18" i="2"/>
  <c r="BW18" i="2" s="1"/>
  <c r="CB11" i="2"/>
  <c r="BP11" i="2"/>
  <c r="CB16" i="2"/>
  <c r="BP16" i="2"/>
  <c r="AQ45" i="3"/>
  <c r="AT45" i="3"/>
  <c r="AP45" i="3"/>
  <c r="AR34" i="2"/>
  <c r="BL34" i="2" s="1"/>
  <c r="AR25" i="2"/>
  <c r="BL25" i="2" s="1"/>
  <c r="AR23" i="2"/>
  <c r="BL23" i="2" s="1"/>
  <c r="BV13" i="2"/>
  <c r="BW13" i="2" s="1"/>
  <c r="CB50" i="2"/>
  <c r="BP50" i="2"/>
  <c r="BO55" i="2"/>
  <c r="CB62" i="2"/>
  <c r="BP62" i="2"/>
  <c r="BV44" i="2"/>
  <c r="BW44" i="2" s="1"/>
  <c r="CB28" i="2"/>
  <c r="BP28" i="2"/>
  <c r="BR35" i="2"/>
  <c r="BS35" i="2"/>
  <c r="BQ35" i="2"/>
  <c r="BZ28" i="2"/>
  <c r="AL28" i="2"/>
  <c r="BZ26" i="2"/>
  <c r="AL26" i="2"/>
  <c r="BO26" i="2"/>
  <c r="BT13" i="2"/>
  <c r="BU13" i="2" s="1"/>
  <c r="BX64" i="2"/>
  <c r="BY64" i="2" s="1"/>
  <c r="BZ32" i="2"/>
  <c r="AL32" i="2"/>
  <c r="BQ12" i="2"/>
  <c r="BR12" i="2"/>
  <c r="BS12" i="2"/>
  <c r="BZ21" i="2"/>
  <c r="AL21" i="2"/>
  <c r="AR17" i="2"/>
  <c r="BL17" i="2" s="1"/>
  <c r="BT47" i="2"/>
  <c r="BU47" i="2" s="1"/>
  <c r="AP53" i="2"/>
  <c r="BT58" i="2"/>
  <c r="BU58" i="2" s="1"/>
  <c r="BX23" i="2"/>
  <c r="BY23" i="2" s="1"/>
  <c r="AP24" i="2"/>
  <c r="BV16" i="2"/>
  <c r="BW16" i="2" s="1"/>
  <c r="CB14" i="2"/>
  <c r="BP14" i="2"/>
  <c r="AQ49" i="3"/>
  <c r="AP49" i="3"/>
  <c r="AT49" i="3"/>
  <c r="AL54" i="2"/>
  <c r="BZ54" i="2"/>
  <c r="AR45" i="2"/>
  <c r="BL45" i="2" s="1"/>
  <c r="CB36" i="2"/>
  <c r="BP36" i="2"/>
  <c r="BX28" i="2"/>
  <c r="BY28" i="2" s="1"/>
  <c r="AP14" i="2"/>
  <c r="BZ11" i="2"/>
  <c r="AL11" i="2"/>
  <c r="BZ67" i="2"/>
  <c r="AL67" i="2"/>
  <c r="CB49" i="2"/>
  <c r="BP49" i="2"/>
  <c r="AR51" i="2"/>
  <c r="BL51" i="2" s="1"/>
  <c r="BZ40" i="2"/>
  <c r="AL40" i="2"/>
  <c r="CB40" i="2"/>
  <c r="BP40" i="2"/>
  <c r="BO31" i="2"/>
  <c r="BT35" i="2"/>
  <c r="BU35" i="2" s="1"/>
  <c r="BX21" i="2"/>
  <c r="BY21" i="2" s="1"/>
  <c r="CB12" i="2"/>
  <c r="BP12" i="2"/>
  <c r="BT11" i="2"/>
  <c r="BU11" i="2" s="1"/>
  <c r="AP37" i="2"/>
  <c r="BV27" i="2"/>
  <c r="BW27" i="2" s="1"/>
  <c r="BX19" i="2"/>
  <c r="BY19" i="2" s="1"/>
  <c r="BO49" i="2"/>
  <c r="BR52" i="2"/>
  <c r="BS52" i="2"/>
  <c r="BQ52" i="2"/>
  <c r="BV54" i="2"/>
  <c r="BW54" i="2" s="1"/>
  <c r="BO60" i="2"/>
  <c r="BV24" i="2"/>
  <c r="BW24" i="2" s="1"/>
  <c r="BX34" i="2"/>
  <c r="BY34" i="2" s="1"/>
  <c r="BQ26" i="2"/>
  <c r="BR26" i="2"/>
  <c r="BS26" i="2"/>
  <c r="CB25" i="2"/>
  <c r="BP25" i="2"/>
  <c r="BV25" i="2"/>
  <c r="BW25" i="2" s="1"/>
  <c r="BS67" i="2"/>
  <c r="BR67" i="2"/>
  <c r="BQ67" i="2"/>
  <c r="BV48" i="2"/>
  <c r="BW48" i="2" s="1"/>
  <c r="BX51" i="2"/>
  <c r="BY51" i="2" s="1"/>
  <c r="BV59" i="2"/>
  <c r="BW59" i="2" s="1"/>
  <c r="AL43" i="2"/>
  <c r="BZ43" i="2"/>
  <c r="BX42" i="2"/>
  <c r="BY42" i="2" s="1"/>
  <c r="BT33" i="2"/>
  <c r="BU33" i="2" s="1"/>
  <c r="BO25" i="2"/>
  <c r="BO24" i="2"/>
  <c r="BX63" i="2"/>
  <c r="BY63" i="2" s="1"/>
  <c r="AR69" i="2"/>
  <c r="BL69" i="2" s="1"/>
  <c r="BX46" i="2"/>
  <c r="BY46" i="2" s="1"/>
  <c r="BZ49" i="2"/>
  <c r="AL49" i="2"/>
  <c r="BT34" i="2"/>
  <c r="BU34" i="2" s="1"/>
  <c r="BX35" i="2"/>
  <c r="BY35" i="2" s="1"/>
  <c r="AR19" i="2"/>
  <c r="BL19" i="2" s="1"/>
  <c r="AP44" i="3"/>
  <c r="AT44" i="3"/>
  <c r="AQ44" i="3"/>
  <c r="BO16" i="2"/>
  <c r="BR15" i="2"/>
  <c r="BS15" i="2"/>
  <c r="BQ15" i="2"/>
  <c r="BR18" i="2"/>
  <c r="BQ18" i="2"/>
  <c r="BS18" i="2"/>
  <c r="AR22" i="2"/>
  <c r="BL22" i="2" s="1"/>
  <c r="BT16" i="2"/>
  <c r="BU16" i="2" s="1"/>
  <c r="BT19" i="2"/>
  <c r="BU19" i="2" s="1"/>
  <c r="AR11" i="2"/>
  <c r="BL11" i="2" s="1"/>
  <c r="BO13" i="2"/>
  <c r="AP48" i="3"/>
  <c r="AT48" i="3" s="1"/>
  <c r="AQ48" i="3"/>
  <c r="BV21" i="2"/>
  <c r="BW21" i="2" s="1"/>
  <c r="AR45" i="3"/>
  <c r="AV45" i="3"/>
  <c r="AP40" i="3"/>
  <c r="AT40" i="3"/>
  <c r="AQ40" i="3"/>
  <c r="BT17" i="2"/>
  <c r="BU17" i="2" s="1"/>
  <c r="AR54" i="3"/>
  <c r="AV54" i="3"/>
  <c r="BO11" i="2"/>
  <c r="BS13" i="2"/>
  <c r="BQ13" i="2"/>
  <c r="BR13" i="2"/>
  <c r="BZ14" i="2"/>
  <c r="AL14" i="2"/>
  <c r="BO14" i="2"/>
  <c r="CB18" i="2"/>
  <c r="BP18" i="2"/>
  <c r="BQ19" i="2"/>
  <c r="BR19" i="2"/>
  <c r="BS19" i="2"/>
  <c r="AP12" i="2"/>
  <c r="BT15" i="2"/>
  <c r="BU15" i="2" s="1"/>
  <c r="AQ50" i="3"/>
  <c r="AT50" i="3"/>
  <c r="AP50" i="3"/>
  <c r="BQ11" i="2"/>
  <c r="BS11" i="2"/>
  <c r="BR11" i="2"/>
  <c r="BR14" i="2"/>
  <c r="BS14" i="2"/>
  <c r="BQ14" i="2"/>
  <c r="BO15" i="2"/>
  <c r="BS17" i="2"/>
  <c r="BQ17" i="2"/>
  <c r="BR17" i="2"/>
  <c r="AR41" i="3"/>
  <c r="AV41" i="3"/>
  <c r="CB19" i="2"/>
  <c r="BP19" i="2"/>
  <c r="AR49" i="3"/>
  <c r="AV49" i="3"/>
  <c r="AP13" i="2"/>
  <c r="CC36" i="2"/>
  <c r="CA36" i="2"/>
  <c r="CA29" i="2"/>
  <c r="CC29" i="2"/>
  <c r="CA43" i="2"/>
  <c r="CC43" i="2"/>
  <c r="CC46" i="2"/>
  <c r="CA46" i="2"/>
  <c r="CC64" i="2"/>
  <c r="CA64" i="2"/>
  <c r="AJ26" i="2"/>
  <c r="AJ70" i="2"/>
  <c r="AJ69" i="2"/>
  <c r="AJ67" i="2"/>
  <c r="AJ65" i="2"/>
  <c r="AJ63" i="2"/>
  <c r="AJ62" i="2"/>
  <c r="AJ60" i="2"/>
  <c r="AJ59" i="2"/>
  <c r="AJ58" i="2"/>
  <c r="AJ55" i="2"/>
  <c r="AJ54" i="2"/>
  <c r="AJ53" i="2"/>
  <c r="AJ52" i="2"/>
  <c r="AJ51" i="2"/>
  <c r="AJ50" i="2"/>
  <c r="AJ49" i="2"/>
  <c r="AJ48" i="2"/>
  <c r="AJ47" i="2"/>
  <c r="AJ45" i="2"/>
  <c r="AJ44" i="2"/>
  <c r="AJ42" i="2"/>
  <c r="AJ41" i="2"/>
  <c r="AJ40" i="2"/>
  <c r="AJ39" i="2"/>
  <c r="AJ37" i="2"/>
  <c r="AJ35" i="2"/>
  <c r="AJ34" i="2"/>
  <c r="AJ33" i="2"/>
  <c r="AJ31" i="2"/>
  <c r="AJ28" i="2"/>
  <c r="AJ27" i="2"/>
  <c r="AJ25" i="2"/>
  <c r="AJ24" i="2"/>
  <c r="AJ23" i="2"/>
  <c r="AJ21" i="2"/>
  <c r="AJ20" i="2"/>
  <c r="AJ19" i="2"/>
  <c r="AJ17" i="2"/>
  <c r="AJ16" i="2"/>
  <c r="AJ15" i="2"/>
  <c r="AJ14" i="2"/>
  <c r="AJ13" i="2"/>
  <c r="AJ11" i="2"/>
  <c r="BC10" i="2" a="1"/>
  <c r="BC10" i="2" s="1"/>
  <c r="BB10" i="2" a="1"/>
  <c r="BB10" i="2" s="1"/>
  <c r="BA10" i="2" a="1"/>
  <c r="BA10" i="2" s="1"/>
  <c r="AZ10" i="2" a="1"/>
  <c r="AZ10" i="2" s="1"/>
  <c r="AY10" i="2" a="1"/>
  <c r="AY10" i="2" s="1"/>
  <c r="AX10" i="2" a="1"/>
  <c r="AX10" i="2" s="1"/>
  <c r="AW10" i="2" a="1"/>
  <c r="AW10" i="2" s="1"/>
  <c r="AU10" i="2" a="1"/>
  <c r="AU10" i="2" s="1"/>
  <c r="AT10" i="2" a="1"/>
  <c r="AT10" i="2" s="1"/>
  <c r="AJ10" i="2"/>
  <c r="BC7" i="2" a="1"/>
  <c r="BC7" i="2" s="1"/>
  <c r="BB7" i="2" a="1"/>
  <c r="BB7" i="2" s="1"/>
  <c r="BA7" i="2" a="1"/>
  <c r="BA7" i="2" s="1"/>
  <c r="AZ7" i="2" a="1"/>
  <c r="AZ7" i="2" s="1"/>
  <c r="AY7" i="2" a="1"/>
  <c r="AY7" i="2" s="1"/>
  <c r="AX7" i="2" a="1"/>
  <c r="AX7" i="2" s="1"/>
  <c r="AW7" i="2" a="1"/>
  <c r="AW7" i="2" s="1"/>
  <c r="AU7" i="2" a="1"/>
  <c r="AU7" i="2" s="1"/>
  <c r="AT7" i="2" a="1"/>
  <c r="AT7" i="2" s="1"/>
  <c r="AJ7" i="2"/>
  <c r="BC6" i="2" a="1"/>
  <c r="BC6" i="2" s="1"/>
  <c r="BB6" i="2" a="1"/>
  <c r="BB6" i="2" s="1"/>
  <c r="BA6" i="2" a="1"/>
  <c r="BA6" i="2" s="1"/>
  <c r="AZ6" i="2" a="1"/>
  <c r="AZ6" i="2" s="1"/>
  <c r="AY6" i="2" a="1"/>
  <c r="AY6" i="2" s="1"/>
  <c r="AX6" i="2" a="1"/>
  <c r="AX6" i="2" s="1"/>
  <c r="AW6" i="2" a="1"/>
  <c r="AW6" i="2" s="1"/>
  <c r="AU6" i="2" a="1"/>
  <c r="AU6" i="2" s="1"/>
  <c r="AT6" i="2" a="1"/>
  <c r="AT6" i="2" s="1"/>
  <c r="AJ6" i="2"/>
  <c r="Z26" i="1"/>
  <c r="Y26" i="1"/>
  <c r="Z25" i="1"/>
  <c r="Y25" i="1"/>
  <c r="Z24" i="1"/>
  <c r="Y24" i="1"/>
  <c r="Z23" i="1"/>
  <c r="Y23" i="1"/>
  <c r="Z22" i="1"/>
  <c r="Y22" i="1"/>
  <c r="Z21" i="1"/>
  <c r="Y21" i="1"/>
  <c r="Z20" i="1"/>
  <c r="Y20" i="1"/>
  <c r="Z19" i="1"/>
  <c r="Y19" i="1"/>
  <c r="Z18" i="1"/>
  <c r="Y18" i="1"/>
  <c r="Z17" i="1"/>
  <c r="Y17" i="1"/>
  <c r="Z16" i="1"/>
  <c r="Y16" i="1"/>
  <c r="Z15" i="1"/>
  <c r="Y15" i="1"/>
  <c r="Z14" i="1"/>
  <c r="Y14" i="1"/>
  <c r="Z13" i="1"/>
  <c r="Y13" i="1"/>
  <c r="Z12" i="1"/>
  <c r="Y12" i="1"/>
  <c r="Z11" i="1"/>
  <c r="Y11" i="1"/>
  <c r="Z10" i="1"/>
  <c r="Y10" i="1"/>
  <c r="Z9" i="1"/>
  <c r="Y9" i="1"/>
  <c r="Z8" i="1"/>
  <c r="Z7" i="1"/>
  <c r="Z6" i="1"/>
  <c r="Z5" i="1"/>
  <c r="Z104" i="2"/>
  <c r="AK6" i="2"/>
  <c r="BF6" i="2"/>
  <c r="BD10" i="2"/>
  <c r="AN7" i="2"/>
  <c r="BG7" i="2"/>
  <c r="AS7" i="2"/>
  <c r="BH10" i="2"/>
  <c r="AK10" i="2"/>
  <c r="AN10" i="2"/>
  <c r="AQ6" i="2"/>
  <c r="BE7" i="2"/>
  <c r="AV7" i="2"/>
  <c r="AS6" i="2"/>
  <c r="BJ7" i="2"/>
  <c r="BI7" i="2"/>
  <c r="BJ6" i="2"/>
  <c r="BK10" i="2"/>
  <c r="BI6" i="2"/>
  <c r="BD7" i="2"/>
  <c r="AK7" i="2"/>
  <c r="AM10" i="2"/>
  <c r="BF7" i="2"/>
  <c r="AV10" i="2"/>
  <c r="AM6" i="2"/>
  <c r="BK6" i="2"/>
  <c r="BG6" i="2"/>
  <c r="BE10" i="2"/>
  <c r="BH6" i="2"/>
  <c r="AQ7" i="2"/>
  <c r="AQ10" i="2"/>
  <c r="BF10" i="2"/>
  <c r="AV6" i="2"/>
  <c r="AM7" i="2"/>
  <c r="BG10" i="2"/>
  <c r="BE6" i="2"/>
  <c r="BK7" i="2"/>
  <c r="BI10" i="2"/>
  <c r="BD6" i="2"/>
  <c r="AO7" i="2"/>
  <c r="BH7" i="2"/>
  <c r="AO6" i="2"/>
  <c r="AS10" i="2"/>
  <c r="AN6" i="2"/>
  <c r="BJ10" i="2"/>
  <c r="AO10" i="2"/>
  <c r="BZ7" i="2" l="1"/>
  <c r="CB7" i="2"/>
  <c r="CB6" i="2"/>
  <c r="CB10" i="2"/>
  <c r="BZ6" i="2"/>
  <c r="BZ10" i="2"/>
  <c r="CC19" i="2"/>
  <c r="CA19" i="2"/>
  <c r="CA31" i="2"/>
  <c r="CC31" i="2"/>
  <c r="CC42" i="2"/>
  <c r="CA42" i="2"/>
  <c r="CA52" i="2"/>
  <c r="CC52" i="2"/>
  <c r="CA63" i="2"/>
  <c r="CC63" i="2"/>
  <c r="CC20" i="2"/>
  <c r="CA20" i="2"/>
  <c r="CC33" i="2"/>
  <c r="CA33" i="2"/>
  <c r="CA44" i="2"/>
  <c r="CC44" i="2"/>
  <c r="CC53" i="2"/>
  <c r="CA53" i="2"/>
  <c r="CC65" i="2"/>
  <c r="CA65" i="2"/>
  <c r="CC6" i="2"/>
  <c r="CA6" i="2"/>
  <c r="CA13" i="2"/>
  <c r="CC13" i="2"/>
  <c r="CC23" i="2"/>
  <c r="CA23" i="2"/>
  <c r="CA35" i="2"/>
  <c r="CC35" i="2"/>
  <c r="CA47" i="2"/>
  <c r="CC47" i="2"/>
  <c r="CA55" i="2"/>
  <c r="CC55" i="2"/>
  <c r="CA69" i="2"/>
  <c r="CC69" i="2"/>
  <c r="CC11" i="2"/>
  <c r="CA11" i="2"/>
  <c r="CC45" i="2"/>
  <c r="CA45" i="2"/>
  <c r="CA14" i="2"/>
  <c r="CC14" i="2"/>
  <c r="CC24" i="2"/>
  <c r="CA24" i="2"/>
  <c r="CC37" i="2"/>
  <c r="CA37" i="2"/>
  <c r="CA48" i="2"/>
  <c r="CC48" i="2"/>
  <c r="CA58" i="2"/>
  <c r="CC58" i="2"/>
  <c r="CC70" i="2"/>
  <c r="CA70" i="2"/>
  <c r="CA21" i="2"/>
  <c r="CC21" i="2"/>
  <c r="CC54" i="2"/>
  <c r="CA54" i="2"/>
  <c r="CC7" i="2"/>
  <c r="CA7" i="2"/>
  <c r="CC15" i="2"/>
  <c r="CA15" i="2"/>
  <c r="CA25" i="2"/>
  <c r="CC25" i="2"/>
  <c r="CA39" i="2"/>
  <c r="CC39" i="2"/>
  <c r="CC49" i="2"/>
  <c r="CA49" i="2"/>
  <c r="CC59" i="2"/>
  <c r="CA59" i="2"/>
  <c r="CA26" i="2"/>
  <c r="CC26" i="2"/>
  <c r="CA34" i="2"/>
  <c r="CC34" i="2"/>
  <c r="CC16" i="2"/>
  <c r="CA16" i="2"/>
  <c r="CC27" i="2"/>
  <c r="CA27" i="2"/>
  <c r="CA40" i="2"/>
  <c r="CC40" i="2"/>
  <c r="CC50" i="2"/>
  <c r="CA50" i="2"/>
  <c r="CC60" i="2"/>
  <c r="CA60" i="2"/>
  <c r="CC67" i="2"/>
  <c r="CA67" i="2"/>
  <c r="CA10" i="2"/>
  <c r="CC10" i="2"/>
  <c r="CA17" i="2"/>
  <c r="CC17" i="2"/>
  <c r="CC28" i="2"/>
  <c r="CA28" i="2"/>
  <c r="CC41" i="2"/>
  <c r="CA41" i="2"/>
  <c r="CA51" i="2"/>
  <c r="CC51" i="2"/>
  <c r="CA62" i="2"/>
  <c r="CC62" i="2"/>
  <c r="BR6" i="2"/>
  <c r="BQ6" i="2"/>
  <c r="BS6" i="2"/>
  <c r="BV6" i="2"/>
  <c r="BW6" i="2" s="1"/>
  <c r="BX6" i="2"/>
  <c r="BY6" i="2" s="1"/>
  <c r="BP7" i="2"/>
  <c r="AR6" i="2"/>
  <c r="BL6" i="2" s="1"/>
  <c r="AL7" i="2"/>
  <c r="AP7" i="2"/>
  <c r="AL6" i="2"/>
  <c r="AP6" i="2"/>
  <c r="BO7" i="2"/>
  <c r="BQ7" i="2"/>
  <c r="BS7" i="2"/>
  <c r="BR7" i="2"/>
  <c r="AL10" i="2"/>
  <c r="AP10" i="2"/>
  <c r="BO6" i="2"/>
  <c r="BV10" i="2"/>
  <c r="BW10" i="2" s="1"/>
  <c r="BX10" i="2"/>
  <c r="BY10" i="2" s="1"/>
  <c r="BT6" i="2"/>
  <c r="BU6" i="2" s="1"/>
  <c r="AR7" i="2"/>
  <c r="BL7" i="2" s="1"/>
  <c r="BT10" i="2"/>
  <c r="BU10" i="2" s="1"/>
  <c r="BP6" i="2"/>
  <c r="BV7" i="2"/>
  <c r="BW7" i="2" s="1"/>
  <c r="BX7" i="2"/>
  <c r="BY7" i="2" s="1"/>
  <c r="BP10" i="2"/>
  <c r="BT7" i="2"/>
  <c r="BU7" i="2" s="1"/>
  <c r="AR10" i="2"/>
  <c r="BL10" i="2" s="1"/>
  <c r="BO10" i="2"/>
  <c r="BS10" i="2"/>
  <c r="BR10" i="2"/>
  <c r="BQ10" i="2"/>
  <c r="AC5" i="1"/>
  <c r="B65" i="3"/>
  <c r="G1" i="1" a="1"/>
  <c r="G1" i="1" s="1"/>
  <c r="F1" i="1" a="1"/>
  <c r="F1" i="1" s="1"/>
  <c r="E1" i="1" a="1"/>
  <c r="E1" i="1" s="1"/>
  <c r="D1" i="1" a="1"/>
  <c r="D1" i="1" s="1"/>
  <c r="C1" i="1" a="1"/>
  <c r="C1" i="1" s="1"/>
  <c r="I96" i="3"/>
  <c r="I64" i="3"/>
  <c r="I89" i="3"/>
  <c r="I74" i="3"/>
  <c r="I84" i="3"/>
  <c r="I81" i="3"/>
  <c r="I79" i="3"/>
  <c r="I78" i="3"/>
  <c r="I68" i="3"/>
  <c r="I93" i="3"/>
  <c r="I80" i="3"/>
  <c r="I73" i="3"/>
  <c r="I77" i="3"/>
  <c r="I66" i="3"/>
  <c r="I87" i="3"/>
  <c r="I88" i="3"/>
  <c r="I91" i="3"/>
  <c r="I83" i="3"/>
  <c r="I95" i="3"/>
  <c r="I94" i="3"/>
  <c r="I69" i="3"/>
  <c r="I65" i="3"/>
  <c r="I82" i="3"/>
  <c r="I85" i="3"/>
  <c r="I90" i="3"/>
  <c r="I70" i="3"/>
  <c r="I72" i="3"/>
  <c r="I86" i="3"/>
  <c r="I71" i="3"/>
  <c r="I75" i="3"/>
  <c r="I67" i="3"/>
  <c r="I76" i="3"/>
  <c r="I92" i="3"/>
  <c r="F71" i="3"/>
  <c r="C67" i="3"/>
  <c r="J77" i="3"/>
  <c r="K75" i="3"/>
  <c r="C90" i="3"/>
  <c r="R88" i="3"/>
  <c r="N76" i="3"/>
  <c r="S69" i="3"/>
  <c r="L73" i="3"/>
  <c r="L71" i="3"/>
  <c r="Y90" i="3"/>
  <c r="E88" i="3"/>
  <c r="J68" i="3"/>
  <c r="Z87" i="3"/>
  <c r="Z93" i="3"/>
  <c r="H93" i="3"/>
  <c r="O75" i="3"/>
  <c r="T85" i="3"/>
  <c r="F87" i="3"/>
  <c r="T75" i="3"/>
  <c r="L74" i="3"/>
  <c r="G79" i="3"/>
  <c r="S91" i="3"/>
  <c r="S80" i="3"/>
  <c r="L72" i="3"/>
  <c r="E96" i="3"/>
  <c r="E87" i="3"/>
  <c r="O94" i="3"/>
  <c r="X79" i="3"/>
  <c r="S86" i="3"/>
  <c r="P80" i="3"/>
  <c r="J88" i="3"/>
  <c r="R70" i="3"/>
  <c r="L84" i="3"/>
  <c r="G94" i="3"/>
  <c r="S74" i="3"/>
  <c r="S83" i="3"/>
  <c r="J66" i="3"/>
  <c r="N80" i="3"/>
  <c r="Z89" i="3"/>
  <c r="M66" i="3"/>
  <c r="N89" i="3"/>
  <c r="M72" i="3"/>
  <c r="H66" i="3"/>
  <c r="O86" i="3"/>
  <c r="F70" i="3"/>
  <c r="O73" i="3"/>
  <c r="D90" i="3"/>
  <c r="N78" i="3"/>
  <c r="N83" i="3"/>
  <c r="U74" i="3"/>
  <c r="U65" i="3"/>
  <c r="X94" i="3"/>
  <c r="S93" i="3"/>
  <c r="M91" i="3"/>
  <c r="R65" i="3"/>
  <c r="H94" i="3"/>
  <c r="O66" i="3"/>
  <c r="T79" i="3"/>
  <c r="X71" i="3"/>
  <c r="V64" i="3"/>
  <c r="Q71" i="3"/>
  <c r="L80" i="3"/>
  <c r="Y69" i="3"/>
  <c r="Z69" i="3"/>
  <c r="T65" i="3"/>
  <c r="Q75" i="3"/>
  <c r="X87" i="3"/>
  <c r="R93" i="3"/>
  <c r="C70" i="3"/>
  <c r="Q74" i="3"/>
  <c r="W92" i="3"/>
  <c r="Z88" i="3"/>
  <c r="V85" i="3"/>
  <c r="U94" i="3"/>
  <c r="L65" i="3"/>
  <c r="P76" i="3"/>
  <c r="V78" i="3"/>
  <c r="R69" i="3"/>
  <c r="X82" i="3"/>
  <c r="G73" i="3"/>
  <c r="Z96" i="3"/>
  <c r="Y64" i="3"/>
  <c r="Y77" i="3"/>
  <c r="X83" i="3"/>
  <c r="K65" i="3"/>
  <c r="C88" i="3"/>
  <c r="E77" i="3"/>
  <c r="Z95" i="3"/>
  <c r="S92" i="3"/>
  <c r="H73" i="3"/>
  <c r="W78" i="3"/>
  <c r="Q82" i="3"/>
  <c r="Z73" i="3"/>
  <c r="P64" i="3"/>
  <c r="J74" i="3"/>
  <c r="D85" i="3"/>
  <c r="G74" i="3"/>
  <c r="R79" i="3"/>
  <c r="G86" i="3"/>
  <c r="E68" i="3"/>
  <c r="S95" i="3"/>
  <c r="X85" i="3"/>
  <c r="K81" i="3"/>
  <c r="X74" i="3"/>
  <c r="N65" i="3"/>
  <c r="P82" i="3"/>
  <c r="S77" i="3"/>
  <c r="L91" i="3"/>
  <c r="K96" i="3"/>
  <c r="T68" i="3"/>
  <c r="U68" i="3"/>
  <c r="O93" i="3"/>
  <c r="F84" i="3"/>
  <c r="K94" i="3"/>
  <c r="R78" i="3"/>
  <c r="H87" i="3"/>
  <c r="G77" i="3"/>
  <c r="S85" i="3"/>
  <c r="T71" i="3"/>
  <c r="C74" i="3"/>
  <c r="Q68" i="3"/>
  <c r="U73" i="3"/>
  <c r="M86" i="3"/>
  <c r="M64" i="3"/>
  <c r="H69" i="3"/>
  <c r="S76" i="3"/>
  <c r="Q72" i="3"/>
  <c r="F79" i="3"/>
  <c r="C79" i="3"/>
  <c r="F80" i="3"/>
  <c r="T91" i="3"/>
  <c r="F92" i="3"/>
  <c r="W76" i="3"/>
  <c r="L64" i="3"/>
  <c r="O85" i="3"/>
  <c r="T78" i="3"/>
  <c r="J91" i="3"/>
  <c r="P85" i="3"/>
  <c r="E86" i="3"/>
  <c r="E82" i="3"/>
  <c r="X88" i="3"/>
  <c r="R81" i="3"/>
  <c r="G96" i="3"/>
  <c r="P78" i="3"/>
  <c r="N82" i="3"/>
  <c r="Y80" i="3"/>
  <c r="Z79" i="3"/>
  <c r="M74" i="3"/>
  <c r="Z64" i="3"/>
  <c r="O78" i="3"/>
  <c r="Q94" i="3"/>
  <c r="V74" i="3"/>
  <c r="W95" i="3"/>
  <c r="C92" i="3"/>
  <c r="R87" i="3"/>
  <c r="G69" i="3"/>
  <c r="M71" i="3"/>
  <c r="W85" i="3"/>
  <c r="P83" i="3"/>
  <c r="U78" i="3"/>
  <c r="F86" i="3"/>
  <c r="F85" i="3"/>
  <c r="U77" i="3"/>
  <c r="Q83" i="3"/>
  <c r="G71" i="3"/>
  <c r="N94" i="3"/>
  <c r="F73" i="3"/>
  <c r="U93" i="3"/>
  <c r="O89" i="3"/>
  <c r="D69" i="3"/>
  <c r="W73" i="3"/>
  <c r="K86" i="3"/>
  <c r="C78" i="3"/>
  <c r="D67" i="3"/>
  <c r="Z90" i="3"/>
  <c r="V93" i="3"/>
  <c r="G85" i="3"/>
  <c r="W94" i="3"/>
  <c r="S78" i="3"/>
  <c r="P74" i="3"/>
  <c r="V83" i="3"/>
  <c r="L94" i="3"/>
  <c r="K82" i="3"/>
  <c r="F72" i="3"/>
  <c r="N72" i="3"/>
  <c r="Z82" i="3"/>
  <c r="G70" i="3"/>
  <c r="L67" i="3"/>
  <c r="Q85" i="3"/>
  <c r="G93" i="3"/>
  <c r="J78" i="3"/>
  <c r="U89" i="3"/>
  <c r="H83" i="3"/>
  <c r="P81" i="3"/>
  <c r="Q70" i="3"/>
  <c r="N86" i="3"/>
  <c r="L87" i="3"/>
  <c r="V67" i="3"/>
  <c r="F78" i="3"/>
  <c r="E72" i="3"/>
  <c r="G76" i="3"/>
  <c r="X86" i="3"/>
  <c r="J81" i="3"/>
  <c r="M95" i="3"/>
  <c r="K87" i="3"/>
  <c r="H91" i="3"/>
  <c r="O68" i="3"/>
  <c r="T72" i="3"/>
  <c r="Z81" i="3"/>
  <c r="T80" i="3"/>
  <c r="Q67" i="3"/>
  <c r="D75" i="3"/>
  <c r="O95" i="3"/>
  <c r="S64" i="3"/>
  <c r="Q66" i="3"/>
  <c r="N90" i="3"/>
  <c r="W90" i="3"/>
  <c r="J73" i="3"/>
  <c r="G64" i="3"/>
  <c r="L81" i="3"/>
  <c r="P65" i="3"/>
  <c r="T82" i="3"/>
  <c r="D76" i="3"/>
  <c r="C69" i="3"/>
  <c r="E65" i="3"/>
  <c r="L85" i="3"/>
  <c r="M77" i="3"/>
  <c r="V91" i="3"/>
  <c r="S71" i="3"/>
  <c r="U75" i="3"/>
  <c r="D88" i="3"/>
  <c r="Q89" i="3"/>
  <c r="N79" i="3"/>
  <c r="M75" i="3"/>
  <c r="E79" i="3"/>
  <c r="V89" i="3"/>
  <c r="E75" i="3"/>
  <c r="R76" i="3"/>
  <c r="Q84" i="3"/>
  <c r="P84" i="3"/>
  <c r="M87" i="3"/>
  <c r="C87" i="3"/>
  <c r="S70" i="3"/>
  <c r="V65" i="3"/>
  <c r="K64" i="3"/>
  <c r="G78" i="3"/>
  <c r="U82" i="3"/>
  <c r="L96" i="3"/>
  <c r="V80" i="3"/>
  <c r="Y88" i="3"/>
  <c r="W89" i="3"/>
  <c r="V95" i="3"/>
  <c r="H90" i="3"/>
  <c r="O71" i="3"/>
  <c r="T66" i="3"/>
  <c r="M85" i="3"/>
  <c r="X81" i="3"/>
  <c r="T83" i="3"/>
  <c r="E89" i="3"/>
  <c r="L83" i="3"/>
  <c r="J70" i="3"/>
  <c r="S84" i="3"/>
  <c r="Q73" i="3"/>
  <c r="D81" i="3"/>
  <c r="R67" i="3"/>
  <c r="O74" i="3"/>
  <c r="T64" i="3"/>
  <c r="L66" i="3"/>
  <c r="S90" i="3"/>
  <c r="U67" i="3"/>
  <c r="V76" i="3"/>
  <c r="U76" i="3"/>
  <c r="S75" i="3"/>
  <c r="W77" i="3"/>
  <c r="Y92" i="3"/>
  <c r="T70" i="3"/>
  <c r="F82" i="3"/>
  <c r="M79" i="3"/>
  <c r="D64" i="3"/>
  <c r="L82" i="3"/>
  <c r="G83" i="3"/>
  <c r="F93" i="3"/>
  <c r="G72" i="3"/>
  <c r="F68" i="3"/>
  <c r="Y94" i="3"/>
  <c r="R64" i="3"/>
  <c r="P69" i="3"/>
  <c r="G82" i="3"/>
  <c r="J94" i="3"/>
  <c r="D79" i="3"/>
  <c r="W88" i="3"/>
  <c r="C72" i="3"/>
  <c r="C81" i="3"/>
  <c r="X64" i="3"/>
  <c r="F75" i="3"/>
  <c r="X73" i="3"/>
  <c r="S94" i="3"/>
  <c r="E93" i="3"/>
  <c r="F89" i="3"/>
  <c r="H72" i="3"/>
  <c r="O64" i="3"/>
  <c r="Y66" i="3"/>
  <c r="Q88" i="3"/>
  <c r="Q90" i="3"/>
  <c r="C75" i="3"/>
  <c r="F64" i="3"/>
  <c r="D86" i="3"/>
  <c r="J64" i="3"/>
  <c r="W72" i="3"/>
  <c r="J85" i="3"/>
  <c r="C86" i="3"/>
  <c r="Z77" i="3"/>
  <c r="H84" i="3"/>
  <c r="O91" i="3"/>
  <c r="T73" i="3"/>
  <c r="U85" i="3"/>
  <c r="W93" i="3"/>
  <c r="X92" i="3"/>
  <c r="E66" i="3"/>
  <c r="N92" i="3"/>
  <c r="Q69" i="3"/>
  <c r="X91" i="3"/>
  <c r="R82" i="3"/>
  <c r="R68" i="3"/>
  <c r="R92" i="3"/>
  <c r="Z75" i="3"/>
  <c r="S88" i="3"/>
  <c r="P93" i="3"/>
  <c r="U86" i="3"/>
  <c r="V96" i="3"/>
  <c r="Y71" i="3"/>
  <c r="M93" i="3"/>
  <c r="Y87" i="3"/>
  <c r="D94" i="3"/>
  <c r="R90" i="3"/>
  <c r="Y75" i="3"/>
  <c r="X70" i="3"/>
  <c r="Y91" i="3"/>
  <c r="K70" i="3"/>
  <c r="V66" i="3"/>
  <c r="D92" i="3"/>
  <c r="R77" i="3"/>
  <c r="J96" i="3"/>
  <c r="K88" i="3"/>
  <c r="J86" i="3"/>
  <c r="H77" i="3"/>
  <c r="P79" i="3"/>
  <c r="R89" i="3"/>
  <c r="J83" i="3"/>
  <c r="H74" i="3"/>
  <c r="K71" i="3"/>
  <c r="Q64" i="3"/>
  <c r="E95" i="3"/>
  <c r="N68" i="3"/>
  <c r="S73" i="3"/>
  <c r="P94" i="3"/>
  <c r="N87" i="3"/>
  <c r="N66" i="3"/>
  <c r="N73" i="3"/>
  <c r="M70" i="3"/>
  <c r="O77" i="3"/>
  <c r="T74" i="3"/>
  <c r="M96" i="3"/>
  <c r="X84" i="3"/>
  <c r="O82" i="3"/>
  <c r="F91" i="3"/>
  <c r="E81" i="3"/>
  <c r="J90" i="3"/>
  <c r="U72" i="3"/>
  <c r="L70" i="3"/>
  <c r="F95" i="3"/>
  <c r="X72" i="3"/>
  <c r="K92" i="3"/>
  <c r="U80" i="3"/>
  <c r="E74" i="3"/>
  <c r="F88" i="3"/>
  <c r="R86" i="3"/>
  <c r="L93" i="3"/>
  <c r="C77" i="3"/>
  <c r="D87" i="3"/>
  <c r="D96" i="3"/>
  <c r="Y81" i="3"/>
  <c r="C68" i="3"/>
  <c r="W82" i="3"/>
  <c r="S79" i="3"/>
  <c r="X95" i="3"/>
  <c r="F67" i="3"/>
  <c r="J72" i="3"/>
  <c r="E90" i="3"/>
  <c r="M83" i="3"/>
  <c r="V75" i="3"/>
  <c r="J80" i="3"/>
  <c r="V88" i="3"/>
  <c r="L77" i="3"/>
  <c r="H70" i="3"/>
  <c r="P91" i="3"/>
  <c r="F74" i="3"/>
  <c r="J93" i="3"/>
  <c r="W83" i="3"/>
  <c r="K90" i="3"/>
  <c r="Y76" i="3"/>
  <c r="L76" i="3"/>
  <c r="J69" i="3"/>
  <c r="C76" i="3"/>
  <c r="W68" i="3"/>
  <c r="E91" i="3"/>
  <c r="Q95" i="3"/>
  <c r="F94" i="3"/>
  <c r="O84" i="3"/>
  <c r="W70" i="3"/>
  <c r="C89" i="3"/>
  <c r="O90" i="3"/>
  <c r="C82" i="3"/>
  <c r="Q80" i="3"/>
  <c r="G90" i="3"/>
  <c r="Q92" i="3"/>
  <c r="K84" i="3"/>
  <c r="M92" i="3"/>
  <c r="R75" i="3"/>
  <c r="R91" i="3"/>
  <c r="M82" i="3"/>
  <c r="L88" i="3"/>
  <c r="P89" i="3"/>
  <c r="T67" i="3"/>
  <c r="J75" i="3"/>
  <c r="K66" i="3"/>
  <c r="W64" i="3"/>
  <c r="L75" i="3"/>
  <c r="N70" i="3"/>
  <c r="V68" i="3"/>
  <c r="E70" i="3"/>
  <c r="G68" i="3"/>
  <c r="G91" i="3"/>
  <c r="U79" i="3"/>
  <c r="G95" i="3"/>
  <c r="Q65" i="3"/>
  <c r="P75" i="3"/>
  <c r="C93" i="3"/>
  <c r="V92" i="3"/>
  <c r="G65" i="3"/>
  <c r="Z86" i="3"/>
  <c r="C80" i="3"/>
  <c r="K67" i="3"/>
  <c r="C91" i="3"/>
  <c r="W67" i="3"/>
  <c r="J92" i="3"/>
  <c r="S82" i="3"/>
  <c r="Y73" i="3"/>
  <c r="N96" i="3"/>
  <c r="Y93" i="3"/>
  <c r="R80" i="3"/>
  <c r="W84" i="3"/>
  <c r="J71" i="3"/>
  <c r="R94" i="3"/>
  <c r="H80" i="3"/>
  <c r="W96" i="3"/>
  <c r="K76" i="3"/>
  <c r="X69" i="3"/>
  <c r="O92" i="3"/>
  <c r="Q79" i="3"/>
  <c r="W65" i="3"/>
  <c r="R66" i="3"/>
  <c r="S72" i="3"/>
  <c r="Q78" i="3"/>
  <c r="X75" i="3"/>
  <c r="Z67" i="3"/>
  <c r="K95" i="3"/>
  <c r="N95" i="3"/>
  <c r="S89" i="3"/>
  <c r="P77" i="3"/>
  <c r="V81" i="3"/>
  <c r="K93" i="3"/>
  <c r="E83" i="3"/>
  <c r="C95" i="3"/>
  <c r="E67" i="3"/>
  <c r="Q87" i="3"/>
  <c r="V84" i="3"/>
  <c r="Q96" i="3"/>
  <c r="D83" i="3"/>
  <c r="Z70" i="3"/>
  <c r="Z92" i="3"/>
  <c r="P92" i="3"/>
  <c r="Y67" i="3"/>
  <c r="C65" i="3"/>
  <c r="V87" i="3"/>
  <c r="H64" i="3"/>
  <c r="M73" i="3"/>
  <c r="H92" i="3"/>
  <c r="W71" i="3"/>
  <c r="J65" i="3"/>
  <c r="T76" i="3"/>
  <c r="N71" i="3"/>
  <c r="G75" i="3"/>
  <c r="D72" i="3"/>
  <c r="G80" i="3"/>
  <c r="Y83" i="3"/>
  <c r="R71" i="3"/>
  <c r="S66" i="3"/>
  <c r="E64" i="3"/>
  <c r="N69" i="3"/>
  <c r="R83" i="3"/>
  <c r="L68" i="3"/>
  <c r="J82" i="3"/>
  <c r="K69" i="3"/>
  <c r="K78" i="3"/>
  <c r="Q91" i="3"/>
  <c r="V69" i="3"/>
  <c r="S96" i="3"/>
  <c r="K89" i="3"/>
  <c r="N74" i="3"/>
  <c r="H78" i="3"/>
  <c r="O88" i="3"/>
  <c r="K68" i="3"/>
  <c r="M65" i="3"/>
  <c r="L79" i="3"/>
  <c r="D93" i="3"/>
  <c r="V72" i="3"/>
  <c r="M69" i="3"/>
  <c r="V70" i="3"/>
  <c r="D73" i="3"/>
  <c r="R95" i="3"/>
  <c r="J89" i="3"/>
  <c r="H85" i="3"/>
  <c r="O70" i="3"/>
  <c r="W81" i="3"/>
  <c r="K83" i="3"/>
  <c r="Z71" i="3"/>
  <c r="J87" i="3"/>
  <c r="S65" i="3"/>
  <c r="E85" i="3"/>
  <c r="F83" i="3"/>
  <c r="Z85" i="3"/>
  <c r="P67" i="3"/>
  <c r="X80" i="3"/>
  <c r="E76" i="3"/>
  <c r="Y70" i="3"/>
  <c r="N84" i="3"/>
  <c r="Y95" i="3"/>
  <c r="G84" i="3"/>
  <c r="Z91" i="3"/>
  <c r="P88" i="3"/>
  <c r="W75" i="3"/>
  <c r="R74" i="3"/>
  <c r="Y68" i="3"/>
  <c r="D66" i="3"/>
  <c r="F65" i="3"/>
  <c r="Z83" i="3"/>
  <c r="G81" i="3"/>
  <c r="Z84" i="3"/>
  <c r="Y72" i="3"/>
  <c r="D71" i="3"/>
  <c r="Z94" i="3"/>
  <c r="K73" i="3"/>
  <c r="R96" i="3"/>
  <c r="T95" i="3"/>
  <c r="F77" i="3"/>
  <c r="J76" i="3"/>
  <c r="H79" i="3"/>
  <c r="W79" i="3"/>
  <c r="L89" i="3"/>
  <c r="H71" i="3"/>
  <c r="Q86" i="3"/>
  <c r="K72" i="3"/>
  <c r="T89" i="3"/>
  <c r="D82" i="3"/>
  <c r="M94" i="3"/>
  <c r="U90" i="3"/>
  <c r="G87" i="3"/>
  <c r="Z65" i="3"/>
  <c r="J67" i="3"/>
  <c r="H88" i="3"/>
  <c r="O67" i="3"/>
  <c r="T81" i="3"/>
  <c r="E94" i="3"/>
  <c r="P68" i="3"/>
  <c r="U88" i="3"/>
  <c r="D70" i="3"/>
  <c r="D95" i="3"/>
  <c r="X96" i="3"/>
  <c r="M67" i="3"/>
  <c r="F76" i="3"/>
  <c r="J79" i="3"/>
  <c r="E69" i="3"/>
  <c r="J84" i="3"/>
  <c r="Q81" i="3"/>
  <c r="P71" i="3"/>
  <c r="L92" i="3"/>
  <c r="G88" i="3"/>
  <c r="X89" i="3"/>
  <c r="X67" i="3"/>
  <c r="K77" i="3"/>
  <c r="Y65" i="3"/>
  <c r="Z76" i="3"/>
  <c r="Y85" i="3"/>
  <c r="J95" i="3"/>
  <c r="P96" i="3"/>
  <c r="Z78" i="3"/>
  <c r="V79" i="3"/>
  <c r="H75" i="3"/>
  <c r="O81" i="3"/>
  <c r="U83" i="3"/>
  <c r="O65" i="3"/>
  <c r="T92" i="3"/>
  <c r="Y86" i="3"/>
  <c r="F81" i="3"/>
  <c r="M76" i="3"/>
  <c r="H81" i="3"/>
  <c r="L95" i="3"/>
  <c r="U92" i="3"/>
  <c r="M89" i="3"/>
  <c r="E80" i="3"/>
  <c r="L69" i="3"/>
  <c r="N75" i="3"/>
  <c r="D89" i="3"/>
  <c r="R73" i="3"/>
  <c r="W87" i="3"/>
  <c r="H89" i="3"/>
  <c r="O80" i="3"/>
  <c r="T87" i="3"/>
  <c r="Y78" i="3"/>
  <c r="M80" i="3"/>
  <c r="K74" i="3"/>
  <c r="D68" i="3"/>
  <c r="T90" i="3"/>
  <c r="Q93" i="3"/>
  <c r="R84" i="3"/>
  <c r="E78" i="3"/>
  <c r="L90" i="3"/>
  <c r="X77" i="3"/>
  <c r="V71" i="3"/>
  <c r="K91" i="3"/>
  <c r="H76" i="3"/>
  <c r="P87" i="3"/>
  <c r="D77" i="3"/>
  <c r="N85" i="3"/>
  <c r="H68" i="3"/>
  <c r="D91" i="3"/>
  <c r="T93" i="3"/>
  <c r="Z74" i="3"/>
  <c r="M78" i="3"/>
  <c r="P95" i="3"/>
  <c r="F66" i="3"/>
  <c r="W69" i="3"/>
  <c r="W66" i="3"/>
  <c r="X66" i="3"/>
  <c r="X90" i="3"/>
  <c r="W86" i="3"/>
  <c r="O83" i="3"/>
  <c r="V86" i="3"/>
  <c r="E84" i="3"/>
  <c r="U81" i="3"/>
  <c r="H96" i="3"/>
  <c r="V73" i="3"/>
  <c r="Y96" i="3"/>
  <c r="H86" i="3"/>
  <c r="D74" i="3"/>
  <c r="D80" i="3"/>
  <c r="N67" i="3"/>
  <c r="U66" i="3"/>
  <c r="N88" i="3"/>
  <c r="Y82" i="3"/>
  <c r="Y84" i="3"/>
  <c r="N91" i="3"/>
  <c r="F69" i="3"/>
  <c r="H95" i="3"/>
  <c r="O69" i="3"/>
  <c r="T86" i="3"/>
  <c r="Z68" i="3"/>
  <c r="P72" i="3"/>
  <c r="K79" i="3"/>
  <c r="Q76" i="3"/>
  <c r="U84" i="3"/>
  <c r="M84" i="3"/>
  <c r="S81" i="3"/>
  <c r="U87" i="3"/>
  <c r="E92" i="3"/>
  <c r="Z80" i="3"/>
  <c r="U71" i="3"/>
  <c r="L78" i="3"/>
  <c r="P90" i="3"/>
  <c r="T88" i="3"/>
  <c r="X76" i="3"/>
  <c r="C85" i="3"/>
  <c r="V82" i="3"/>
  <c r="V77" i="3"/>
  <c r="G89" i="3"/>
  <c r="W80" i="3"/>
  <c r="D78" i="3"/>
  <c r="U91" i="3"/>
  <c r="X65" i="3"/>
  <c r="G92" i="3"/>
  <c r="X68" i="3"/>
  <c r="H65" i="3"/>
  <c r="P86" i="3"/>
  <c r="G67" i="3"/>
  <c r="L86" i="3"/>
  <c r="U70" i="3"/>
  <c r="F90" i="3"/>
  <c r="D65" i="3"/>
  <c r="X93" i="3"/>
  <c r="S87" i="3"/>
  <c r="C84" i="3"/>
  <c r="W74" i="3"/>
  <c r="Z72" i="3"/>
  <c r="C96" i="3"/>
  <c r="N81" i="3"/>
  <c r="O76" i="3"/>
  <c r="T69" i="3"/>
  <c r="Z66" i="3"/>
  <c r="P73" i="3"/>
  <c r="C66" i="3"/>
  <c r="K80" i="3"/>
  <c r="S67" i="3"/>
  <c r="Y89" i="3"/>
  <c r="P70" i="3"/>
  <c r="S68" i="3"/>
  <c r="C83" i="3"/>
  <c r="M90" i="3"/>
  <c r="T96" i="3"/>
  <c r="C71" i="3"/>
  <c r="D84" i="3"/>
  <c r="C94" i="3"/>
  <c r="U69" i="3"/>
  <c r="V90" i="3"/>
  <c r="M81" i="3"/>
  <c r="O79" i="3"/>
  <c r="T77" i="3"/>
  <c r="R85" i="3"/>
  <c r="G66" i="3"/>
  <c r="Y79" i="3"/>
  <c r="N93" i="3"/>
  <c r="C64" i="3"/>
  <c r="C73" i="3"/>
  <c r="N77" i="3"/>
  <c r="T94" i="3"/>
  <c r="W91" i="3"/>
  <c r="R72" i="3"/>
  <c r="U95" i="3"/>
  <c r="O96" i="3"/>
  <c r="H82" i="3"/>
  <c r="P66" i="3"/>
  <c r="V94" i="3"/>
  <c r="F96" i="3"/>
  <c r="O87" i="3"/>
  <c r="U64" i="3"/>
  <c r="M68" i="3"/>
  <c r="E73" i="3"/>
  <c r="O72" i="3"/>
  <c r="T84" i="3"/>
  <c r="U96" i="3"/>
  <c r="Q77" i="3"/>
  <c r="K85" i="3"/>
  <c r="X78" i="3"/>
  <c r="E71" i="3"/>
  <c r="Y74" i="3"/>
  <c r="M88" i="3"/>
  <c r="N64" i="3"/>
  <c r="AE2" i="16" l="1"/>
  <c r="H67" i="3"/>
  <c r="C62" i="3" l="1" a="1"/>
  <c r="C62" i="3" s="1"/>
  <c r="K27" i="1"/>
  <c r="AA27" i="1" s="1"/>
  <c r="K28" i="1"/>
  <c r="K29" i="1"/>
  <c r="AA29" i="1" s="1"/>
  <c r="K30" i="1"/>
  <c r="AA30" i="1" s="1"/>
  <c r="K31" i="1"/>
  <c r="AA31" i="1" s="1"/>
  <c r="K32" i="1"/>
  <c r="AA32" i="1" s="1"/>
  <c r="G27" i="1"/>
  <c r="G28" i="1"/>
  <c r="G29" i="1"/>
  <c r="G30" i="1"/>
  <c r="G31" i="1"/>
  <c r="G32" i="1"/>
  <c r="AA8" i="1"/>
  <c r="AA26" i="1"/>
  <c r="AA25" i="1"/>
  <c r="AA23" i="1"/>
  <c r="AA22" i="1"/>
  <c r="AA20" i="1"/>
  <c r="AA17" i="1"/>
  <c r="AA16" i="1"/>
  <c r="AA14" i="1"/>
  <c r="AA5" i="1"/>
  <c r="AA6" i="1"/>
  <c r="AA7" i="1"/>
  <c r="AA9" i="1"/>
  <c r="AA10" i="1"/>
  <c r="AA11" i="1"/>
  <c r="AA12" i="1"/>
  <c r="AA13" i="1"/>
  <c r="AA15" i="1"/>
  <c r="AA18" i="1"/>
  <c r="AA19" i="1"/>
  <c r="AA21" i="1"/>
  <c r="AA24" i="1"/>
  <c r="AA28" i="1"/>
  <c r="BC5" i="2" a="1"/>
  <c r="BC5" i="2" s="1"/>
  <c r="BB5" i="2" a="1"/>
  <c r="BB5" i="2" s="1"/>
  <c r="BA5" i="2" a="1"/>
  <c r="BA5" i="2" s="1"/>
  <c r="AZ5" i="2" a="1"/>
  <c r="AZ5" i="2" s="1"/>
  <c r="AY5" i="2" a="1"/>
  <c r="AY5" i="2" s="1"/>
  <c r="AX5" i="2" a="1"/>
  <c r="AX5" i="2" s="1"/>
  <c r="AW5" i="2" a="1"/>
  <c r="AW5" i="2" s="1"/>
  <c r="AU5" i="2" a="1"/>
  <c r="AU5" i="2" s="1"/>
  <c r="AT5" i="2" a="1"/>
  <c r="AT5" i="2" s="1"/>
  <c r="AJ5" i="2"/>
  <c r="C57" i="3" a="1"/>
  <c r="D57" i="3" s="1"/>
  <c r="B1" i="3" a="1"/>
  <c r="B1" i="3" s="1"/>
  <c r="C1" i="2" a="1"/>
  <c r="F1" i="2" s="1"/>
  <c r="J56" i="3"/>
  <c r="AS5" i="2"/>
  <c r="BE5" i="2"/>
  <c r="BI5" i="2"/>
  <c r="BD5" i="2"/>
  <c r="AK5" i="2"/>
  <c r="BG5" i="2"/>
  <c r="BH5" i="2"/>
  <c r="AO5" i="2"/>
  <c r="AM5" i="2"/>
  <c r="BK5" i="2"/>
  <c r="AQ5" i="2"/>
  <c r="AN5" i="2"/>
  <c r="BJ5" i="2"/>
  <c r="AV5" i="2"/>
  <c r="BF5" i="2"/>
  <c r="CB5" i="2" l="1"/>
  <c r="BZ5" i="2"/>
  <c r="CC5" i="2"/>
  <c r="CA5" i="2"/>
  <c r="Z62" i="3"/>
  <c r="R62" i="3"/>
  <c r="J62" i="3"/>
  <c r="Y62" i="3"/>
  <c r="Q62" i="3"/>
  <c r="I62" i="3"/>
  <c r="AD62" i="3"/>
  <c r="V62" i="3"/>
  <c r="N62" i="3"/>
  <c r="F62" i="3"/>
  <c r="AC62" i="3"/>
  <c r="U62" i="3"/>
  <c r="M62" i="3"/>
  <c r="E62" i="3"/>
  <c r="AF62" i="3"/>
  <c r="AB62" i="3"/>
  <c r="X62" i="3"/>
  <c r="T62" i="3"/>
  <c r="P62" i="3"/>
  <c r="L62" i="3"/>
  <c r="H62" i="3"/>
  <c r="D62" i="3"/>
  <c r="AE62" i="3"/>
  <c r="AA62" i="3"/>
  <c r="W62" i="3"/>
  <c r="S62" i="3"/>
  <c r="O62" i="3"/>
  <c r="K62" i="3"/>
  <c r="G62" i="3"/>
  <c r="AA36" i="1" a="1"/>
  <c r="AA36" i="1" s="1"/>
  <c r="BE3" i="18" s="1"/>
  <c r="BT5" i="2"/>
  <c r="BU5" i="2" s="1"/>
  <c r="AL5" i="2"/>
  <c r="AP5" i="2"/>
  <c r="AR5" i="2"/>
  <c r="BL5" i="2" s="1"/>
  <c r="BO5" i="2"/>
  <c r="BR5" i="2"/>
  <c r="BS5" i="2"/>
  <c r="BQ5" i="2"/>
  <c r="BV5" i="2"/>
  <c r="BW5" i="2" s="1"/>
  <c r="BX5" i="2"/>
  <c r="BY5" i="2" s="1"/>
  <c r="BP5" i="2"/>
  <c r="AB58" i="3"/>
  <c r="T58" i="3"/>
  <c r="L58" i="3"/>
  <c r="D58" i="3"/>
  <c r="Z57" i="3"/>
  <c r="R57" i="3"/>
  <c r="J57" i="3"/>
  <c r="Y58" i="3"/>
  <c r="Q58" i="3"/>
  <c r="I58" i="3"/>
  <c r="AE57" i="3"/>
  <c r="W57" i="3"/>
  <c r="O57" i="3"/>
  <c r="G57" i="3"/>
  <c r="AF58" i="3"/>
  <c r="X58" i="3"/>
  <c r="P58" i="3"/>
  <c r="H58" i="3"/>
  <c r="AD57" i="3"/>
  <c r="V57" i="3"/>
  <c r="N57" i="3"/>
  <c r="F57" i="3"/>
  <c r="AC58" i="3"/>
  <c r="U58" i="3"/>
  <c r="M58" i="3"/>
  <c r="E58" i="3"/>
  <c r="AA57" i="3"/>
  <c r="S57" i="3"/>
  <c r="K57" i="3"/>
  <c r="C57" i="3"/>
  <c r="P4" i="3"/>
  <c r="V2" i="3"/>
  <c r="W3" i="3"/>
  <c r="U1" i="3"/>
  <c r="AA4" i="3"/>
  <c r="G3" i="3"/>
  <c r="D4" i="3"/>
  <c r="F2" i="3"/>
  <c r="X4" i="3"/>
  <c r="AC1" i="3"/>
  <c r="L4" i="3"/>
  <c r="C4" i="3"/>
  <c r="S3" i="3"/>
  <c r="C3" i="3"/>
  <c r="R2" i="3"/>
  <c r="B2" i="3"/>
  <c r="Q1" i="3"/>
  <c r="AF4" i="3"/>
  <c r="T4" i="3"/>
  <c r="K4" i="3"/>
  <c r="AE3" i="3"/>
  <c r="O3" i="3"/>
  <c r="AD2" i="3"/>
  <c r="N2" i="3"/>
  <c r="M1" i="3"/>
  <c r="AB4" i="3"/>
  <c r="S4" i="3"/>
  <c r="H4" i="3"/>
  <c r="AA3" i="3"/>
  <c r="K3" i="3"/>
  <c r="Z2" i="3"/>
  <c r="J2" i="3"/>
  <c r="Y1" i="3"/>
  <c r="E1" i="3"/>
  <c r="AE4" i="3"/>
  <c r="W4" i="3"/>
  <c r="O4" i="3"/>
  <c r="G4" i="3"/>
  <c r="I1" i="3"/>
  <c r="AE58" i="3"/>
  <c r="AA58" i="3"/>
  <c r="W58" i="3"/>
  <c r="S58" i="3"/>
  <c r="O58" i="3"/>
  <c r="K58" i="3"/>
  <c r="G58" i="3"/>
  <c r="C58" i="3"/>
  <c r="AC57" i="3"/>
  <c r="Y57" i="3"/>
  <c r="U57" i="3"/>
  <c r="Q57" i="3"/>
  <c r="M57" i="3"/>
  <c r="I57" i="3"/>
  <c r="E57" i="3"/>
  <c r="AD58" i="3"/>
  <c r="Z58" i="3"/>
  <c r="V58" i="3"/>
  <c r="R58" i="3"/>
  <c r="N58" i="3"/>
  <c r="J58" i="3"/>
  <c r="F58" i="3"/>
  <c r="AF57" i="3"/>
  <c r="AB57" i="3"/>
  <c r="X57" i="3"/>
  <c r="T57" i="3"/>
  <c r="P57" i="3"/>
  <c r="L57" i="3"/>
  <c r="H57" i="3"/>
  <c r="AD3" i="3"/>
  <c r="Z3" i="3"/>
  <c r="V3" i="3"/>
  <c r="R3" i="3"/>
  <c r="N3" i="3"/>
  <c r="J3" i="3"/>
  <c r="F3" i="3"/>
  <c r="B3" i="3"/>
  <c r="AC2" i="3"/>
  <c r="Y2" i="3"/>
  <c r="U2" i="3"/>
  <c r="Q2" i="3"/>
  <c r="M2" i="3"/>
  <c r="I2" i="3"/>
  <c r="E2" i="3"/>
  <c r="AF1" i="3"/>
  <c r="AB1" i="3"/>
  <c r="X1" i="3"/>
  <c r="T1" i="3"/>
  <c r="P1" i="3"/>
  <c r="L1" i="3"/>
  <c r="H1" i="3"/>
  <c r="D1" i="3"/>
  <c r="AD4" i="3"/>
  <c r="Z4" i="3"/>
  <c r="V4" i="3"/>
  <c r="R4" i="3"/>
  <c r="N4" i="3"/>
  <c r="J4" i="3"/>
  <c r="F4" i="3"/>
  <c r="B4" i="3"/>
  <c r="AC3" i="3"/>
  <c r="Y3" i="3"/>
  <c r="U3" i="3"/>
  <c r="Q3" i="3"/>
  <c r="M3" i="3"/>
  <c r="I3" i="3"/>
  <c r="E3" i="3"/>
  <c r="AF2" i="3"/>
  <c r="AB2" i="3"/>
  <c r="X2" i="3"/>
  <c r="T2" i="3"/>
  <c r="P2" i="3"/>
  <c r="L2" i="3"/>
  <c r="H2" i="3"/>
  <c r="D2" i="3"/>
  <c r="AE1" i="3"/>
  <c r="AA1" i="3"/>
  <c r="W1" i="3"/>
  <c r="S1" i="3"/>
  <c r="O1" i="3"/>
  <c r="K1" i="3"/>
  <c r="G1" i="3"/>
  <c r="C1" i="3"/>
  <c r="AC4" i="3"/>
  <c r="Y4" i="3"/>
  <c r="U4" i="3"/>
  <c r="Q4" i="3"/>
  <c r="M4" i="3"/>
  <c r="I4" i="3"/>
  <c r="E4" i="3"/>
  <c r="AF3" i="3"/>
  <c r="AB3" i="3"/>
  <c r="X3" i="3"/>
  <c r="T3" i="3"/>
  <c r="P3" i="3"/>
  <c r="L3" i="3"/>
  <c r="H3" i="3"/>
  <c r="D3" i="3"/>
  <c r="AE2" i="3"/>
  <c r="AA2" i="3"/>
  <c r="W2" i="3"/>
  <c r="S2" i="3"/>
  <c r="O2" i="3"/>
  <c r="K2" i="3"/>
  <c r="G2" i="3"/>
  <c r="C2" i="3"/>
  <c r="AD1" i="3"/>
  <c r="Z1" i="3"/>
  <c r="V1" i="3"/>
  <c r="R1" i="3"/>
  <c r="N1" i="3"/>
  <c r="J1" i="3"/>
  <c r="F1" i="3"/>
  <c r="AF4" i="2"/>
  <c r="AB4" i="2"/>
  <c r="X4" i="2"/>
  <c r="T4" i="2"/>
  <c r="P4" i="2"/>
  <c r="L4" i="2"/>
  <c r="H4" i="2"/>
  <c r="D4" i="2"/>
  <c r="AE3" i="2"/>
  <c r="AA3" i="2"/>
  <c r="W3" i="2"/>
  <c r="S3" i="2"/>
  <c r="O3" i="2"/>
  <c r="K3" i="2"/>
  <c r="G3" i="2"/>
  <c r="C3" i="2"/>
  <c r="AD2" i="2"/>
  <c r="Z2" i="2"/>
  <c r="V2" i="2"/>
  <c r="R2" i="2"/>
  <c r="N2" i="2"/>
  <c r="J2" i="2"/>
  <c r="F2" i="2"/>
  <c r="AG1" i="2"/>
  <c r="AC1" i="2"/>
  <c r="Y1" i="2"/>
  <c r="U1" i="2"/>
  <c r="Q1" i="2"/>
  <c r="M1" i="2"/>
  <c r="I1" i="2"/>
  <c r="E1" i="2"/>
  <c r="AE4" i="2"/>
  <c r="AA4" i="2"/>
  <c r="W4" i="2"/>
  <c r="S4" i="2"/>
  <c r="O4" i="2"/>
  <c r="K4" i="2"/>
  <c r="G4" i="2"/>
  <c r="C4" i="2"/>
  <c r="AD3" i="2"/>
  <c r="Z3" i="2"/>
  <c r="V3" i="2"/>
  <c r="R3" i="2"/>
  <c r="N3" i="2"/>
  <c r="J3" i="2"/>
  <c r="F3" i="2"/>
  <c r="AG2" i="2"/>
  <c r="AC2" i="2"/>
  <c r="Y2" i="2"/>
  <c r="U2" i="2"/>
  <c r="Q2" i="2"/>
  <c r="M2" i="2"/>
  <c r="I2" i="2"/>
  <c r="E2" i="2"/>
  <c r="AF1" i="2"/>
  <c r="AB1" i="2"/>
  <c r="X1" i="2"/>
  <c r="T1" i="2"/>
  <c r="P1" i="2"/>
  <c r="L1" i="2"/>
  <c r="H1" i="2"/>
  <c r="D1" i="2"/>
  <c r="Z4" i="2"/>
  <c r="R4" i="2"/>
  <c r="F4" i="2"/>
  <c r="Y3" i="2"/>
  <c r="Q3" i="2"/>
  <c r="M3" i="2"/>
  <c r="E3" i="2"/>
  <c r="AF2" i="2"/>
  <c r="AB2" i="2"/>
  <c r="X2" i="2"/>
  <c r="T2" i="2"/>
  <c r="P2" i="2"/>
  <c r="L2" i="2"/>
  <c r="H2" i="2"/>
  <c r="D2" i="2"/>
  <c r="AE1" i="2"/>
  <c r="AA1" i="2"/>
  <c r="W1" i="2"/>
  <c r="S1" i="2"/>
  <c r="O1" i="2"/>
  <c r="K1" i="2"/>
  <c r="G1" i="2"/>
  <c r="C1" i="2"/>
  <c r="AD4" i="2"/>
  <c r="V4" i="2"/>
  <c r="N4" i="2"/>
  <c r="J4" i="2"/>
  <c r="AG3" i="2"/>
  <c r="AC3" i="2"/>
  <c r="U3" i="2"/>
  <c r="I3" i="2"/>
  <c r="AG4" i="2"/>
  <c r="AC4" i="2"/>
  <c r="Y4" i="2"/>
  <c r="U4" i="2"/>
  <c r="Q4" i="2"/>
  <c r="M4" i="2"/>
  <c r="I4" i="2"/>
  <c r="E4" i="2"/>
  <c r="AF3" i="2"/>
  <c r="AB3" i="2"/>
  <c r="X3" i="2"/>
  <c r="T3" i="2"/>
  <c r="P3" i="2"/>
  <c r="L3" i="2"/>
  <c r="H3" i="2"/>
  <c r="D3" i="2"/>
  <c r="AE2" i="2"/>
  <c r="AA2" i="2"/>
  <c r="W2" i="2"/>
  <c r="S2" i="2"/>
  <c r="O2" i="2"/>
  <c r="K2" i="2"/>
  <c r="G2" i="2"/>
  <c r="C2" i="2"/>
  <c r="AD1" i="2"/>
  <c r="Z1" i="2"/>
  <c r="V1" i="2"/>
  <c r="R1" i="2"/>
  <c r="N1" i="2"/>
  <c r="J1" i="2"/>
  <c r="N40" i="16"/>
  <c r="N39" i="16"/>
  <c r="N38" i="16"/>
  <c r="N37" i="16"/>
  <c r="N36" i="16"/>
  <c r="N35" i="16"/>
  <c r="N34" i="16"/>
  <c r="N33" i="16"/>
  <c r="N32" i="16"/>
  <c r="N31" i="16"/>
  <c r="N30" i="16"/>
  <c r="N29" i="16"/>
  <c r="N28" i="16"/>
  <c r="N27" i="16"/>
  <c r="N26" i="16"/>
  <c r="N25" i="16"/>
  <c r="N24" i="16"/>
  <c r="N23" i="16"/>
  <c r="N22" i="16"/>
  <c r="N21" i="16"/>
  <c r="N20" i="16"/>
  <c r="N19" i="16"/>
  <c r="N18" i="16"/>
  <c r="N17" i="16"/>
  <c r="N16" i="16"/>
  <c r="N15" i="16"/>
  <c r="N14" i="16"/>
  <c r="N13" i="16"/>
  <c r="N12" i="16"/>
  <c r="N11" i="16"/>
  <c r="N10" i="16"/>
  <c r="N9" i="16"/>
  <c r="N8" i="16"/>
  <c r="N7" i="16"/>
  <c r="N6" i="16"/>
  <c r="N5" i="16"/>
  <c r="N4" i="16"/>
  <c r="N3" i="16"/>
  <c r="N2" i="16"/>
  <c r="J120" i="2"/>
  <c r="I120" i="2"/>
  <c r="G136" i="2"/>
  <c r="G113" i="2"/>
  <c r="H88" i="2"/>
  <c r="G130" i="2"/>
  <c r="E131" i="2"/>
  <c r="L130" i="2"/>
  <c r="D95" i="2"/>
  <c r="L137" i="2"/>
  <c r="L88" i="2"/>
  <c r="F136" i="2"/>
  <c r="S95" i="2"/>
  <c r="X120" i="2"/>
  <c r="M132" i="2"/>
  <c r="O132" i="2"/>
  <c r="H120" i="2"/>
  <c r="BM30" i="2" l="1"/>
  <c r="BM68" i="2"/>
  <c r="BM56" i="2"/>
  <c r="BM9" i="2"/>
  <c r="BM66" i="2"/>
  <c r="BM61" i="2"/>
  <c r="BM38" i="2"/>
  <c r="BM57" i="2"/>
  <c r="O2" i="16" a="1"/>
  <c r="O25" i="16" s="1"/>
  <c r="AJ58" i="3" a="1"/>
  <c r="AJ58" i="3" s="1"/>
  <c r="AJ57" i="3" a="1"/>
  <c r="AJ57" i="3" s="1"/>
  <c r="O4" i="16" l="1"/>
  <c r="O33" i="16"/>
  <c r="O5" i="16"/>
  <c r="O2" i="16"/>
  <c r="O13" i="16"/>
  <c r="O18" i="16"/>
  <c r="O29" i="16"/>
  <c r="O22" i="16"/>
  <c r="O40" i="16"/>
  <c r="O26" i="16"/>
  <c r="O12" i="16"/>
  <c r="O37" i="16"/>
  <c r="O30" i="16"/>
  <c r="O23" i="16"/>
  <c r="O16" i="16"/>
  <c r="O9" i="16"/>
  <c r="O34" i="16"/>
  <c r="O27" i="16"/>
  <c r="O20" i="16"/>
  <c r="O6" i="16"/>
  <c r="O38" i="16"/>
  <c r="O31" i="16"/>
  <c r="O24" i="16"/>
  <c r="O17" i="16"/>
  <c r="O36" i="16"/>
  <c r="O8" i="16"/>
  <c r="O11" i="16"/>
  <c r="O15" i="16"/>
  <c r="O19" i="16"/>
  <c r="O10" i="16"/>
  <c r="O3" i="16"/>
  <c r="O35" i="16"/>
  <c r="O28" i="16"/>
  <c r="O21" i="16"/>
  <c r="O14" i="16"/>
  <c r="O7" i="16"/>
  <c r="O39" i="16"/>
  <c r="O32" i="16"/>
  <c r="P3" i="16"/>
  <c r="P7" i="16"/>
  <c r="P11" i="16"/>
  <c r="P15" i="16"/>
  <c r="P19" i="16"/>
  <c r="P23" i="16"/>
  <c r="P27" i="16"/>
  <c r="P31" i="16"/>
  <c r="P35" i="16"/>
  <c r="P39" i="16"/>
  <c r="P8" i="16"/>
  <c r="P16" i="16"/>
  <c r="P24" i="16"/>
  <c r="P32" i="16"/>
  <c r="P40" i="16"/>
  <c r="P4" i="16"/>
  <c r="P12" i="16"/>
  <c r="P20" i="16"/>
  <c r="P28" i="16"/>
  <c r="P36" i="16"/>
  <c r="P5" i="16"/>
  <c r="P9" i="16"/>
  <c r="P13" i="16"/>
  <c r="P17" i="16"/>
  <c r="P21" i="16"/>
  <c r="P25" i="16"/>
  <c r="P29" i="16"/>
  <c r="P33" i="16"/>
  <c r="P37" i="16"/>
  <c r="P2" i="16"/>
  <c r="P6" i="16"/>
  <c r="P10" i="16"/>
  <c r="P14" i="16"/>
  <c r="P18" i="16"/>
  <c r="P22" i="16"/>
  <c r="P26" i="16"/>
  <c r="P30" i="16"/>
  <c r="P34" i="16"/>
  <c r="P38" i="16"/>
  <c r="AQ71" i="3" l="1"/>
  <c r="AQ70" i="3"/>
  <c r="O37" i="1" l="1" a="1"/>
  <c r="O37" i="1" s="1"/>
  <c r="P37" i="1" a="1"/>
  <c r="P37" i="1" s="1"/>
  <c r="K2" i="16"/>
  <c r="V101" i="3" l="1"/>
  <c r="J101" i="3"/>
  <c r="E101" i="3"/>
  <c r="X101" i="3"/>
  <c r="I101" i="3"/>
  <c r="K101" i="3"/>
  <c r="F101" i="3"/>
  <c r="T101" i="3"/>
  <c r="M101" i="3"/>
  <c r="H101" i="3"/>
  <c r="P101" i="3"/>
  <c r="S101" i="3"/>
  <c r="R101" i="3"/>
  <c r="G101" i="3"/>
  <c r="L101" i="3"/>
  <c r="U101" i="3"/>
  <c r="Q101" i="3"/>
  <c r="W101" i="3"/>
  <c r="N101" i="3"/>
  <c r="O101" i="3"/>
  <c r="L40" i="16" l="1"/>
  <c r="K40" i="16"/>
  <c r="L39" i="16"/>
  <c r="K39" i="16"/>
  <c r="L38" i="16"/>
  <c r="K38" i="16"/>
  <c r="L37" i="16"/>
  <c r="K37" i="16"/>
  <c r="L36" i="16"/>
  <c r="K36" i="16"/>
  <c r="L35" i="16"/>
  <c r="K35" i="16"/>
  <c r="L34" i="16"/>
  <c r="K34" i="16"/>
  <c r="L33" i="16"/>
  <c r="K33" i="16"/>
  <c r="L32" i="16"/>
  <c r="K32" i="16"/>
  <c r="L31" i="16"/>
  <c r="K31" i="16"/>
  <c r="L30" i="16"/>
  <c r="K30" i="16"/>
  <c r="L29" i="16"/>
  <c r="K29" i="16"/>
  <c r="L28" i="16"/>
  <c r="K28" i="16"/>
  <c r="L27" i="16"/>
  <c r="K27" i="16"/>
  <c r="L26" i="16"/>
  <c r="K26" i="16"/>
  <c r="L25" i="16"/>
  <c r="K25" i="16"/>
  <c r="L24" i="16"/>
  <c r="K24" i="16"/>
  <c r="L23" i="16"/>
  <c r="K23" i="16"/>
  <c r="L22" i="16"/>
  <c r="K22" i="16"/>
  <c r="L21" i="16"/>
  <c r="K21" i="16"/>
  <c r="L20" i="16"/>
  <c r="K20" i="16"/>
  <c r="L19" i="16"/>
  <c r="K19" i="16"/>
  <c r="L18" i="16"/>
  <c r="K18" i="16"/>
  <c r="L17" i="16"/>
  <c r="K17" i="16"/>
  <c r="L16" i="16"/>
  <c r="K16" i="16"/>
  <c r="L15" i="16"/>
  <c r="K15" i="16"/>
  <c r="L14" i="16"/>
  <c r="K14" i="16"/>
  <c r="L13" i="16"/>
  <c r="K13" i="16"/>
  <c r="L12" i="16"/>
  <c r="K12" i="16"/>
  <c r="L11" i="16"/>
  <c r="K11" i="16"/>
  <c r="L10" i="16"/>
  <c r="K10" i="16"/>
  <c r="L9" i="16"/>
  <c r="K9" i="16"/>
  <c r="L8" i="16"/>
  <c r="K8" i="16"/>
  <c r="L7" i="16"/>
  <c r="K7" i="16"/>
  <c r="R26" i="16" l="1" a="1"/>
  <c r="V26" i="16" s="1"/>
  <c r="R28" i="16" a="1"/>
  <c r="X28" i="16" s="1"/>
  <c r="R30" i="16" a="1"/>
  <c r="W30" i="16" s="1"/>
  <c r="R32" i="16" a="1"/>
  <c r="Z32" i="16" s="1"/>
  <c r="R34" i="16" a="1"/>
  <c r="R34" i="16" s="1"/>
  <c r="R36" i="16" a="1"/>
  <c r="V36" i="16" s="1"/>
  <c r="R38" i="16" a="1"/>
  <c r="T38" i="16" s="1"/>
  <c r="R40" i="16" a="1"/>
  <c r="Z40" i="16" s="1"/>
  <c r="R27" i="16" a="1"/>
  <c r="X27" i="16" s="1"/>
  <c r="R29" i="16" a="1"/>
  <c r="W29" i="16" s="1"/>
  <c r="R31" i="16" a="1"/>
  <c r="Y31" i="16" s="1"/>
  <c r="R33" i="16" a="1"/>
  <c r="U33" i="16" s="1"/>
  <c r="R35" i="16" a="1"/>
  <c r="Z35" i="16" s="1"/>
  <c r="R37" i="16" a="1"/>
  <c r="V37" i="16" s="1"/>
  <c r="R39" i="16" a="1"/>
  <c r="S39" i="16" s="1"/>
  <c r="L6" i="16"/>
  <c r="K6" i="16"/>
  <c r="L5" i="16"/>
  <c r="K5" i="16"/>
  <c r="R25" i="16" l="1" a="1"/>
  <c r="S25" i="16" s="1"/>
  <c r="U32" i="16"/>
  <c r="S40" i="16"/>
  <c r="Y32" i="16"/>
  <c r="U40" i="16"/>
  <c r="W32" i="16"/>
  <c r="V40" i="16"/>
  <c r="AA40" i="16"/>
  <c r="X32" i="16"/>
  <c r="T32" i="16"/>
  <c r="Y40" i="16"/>
  <c r="R40" i="16"/>
  <c r="S32" i="16"/>
  <c r="AA27" i="16"/>
  <c r="R24" i="16" a="1"/>
  <c r="AB24" i="16" s="1"/>
  <c r="U27" i="16"/>
  <c r="U38" i="16"/>
  <c r="R23" i="16" a="1"/>
  <c r="W23" i="16" s="1"/>
  <c r="V27" i="16"/>
  <c r="Y27" i="16"/>
  <c r="T40" i="16"/>
  <c r="AB40" i="16"/>
  <c r="AB32" i="16"/>
  <c r="R32" i="16"/>
  <c r="S27" i="16"/>
  <c r="W40" i="16"/>
  <c r="X40" i="16"/>
  <c r="AA32" i="16"/>
  <c r="V32" i="16"/>
  <c r="Y30" i="16"/>
  <c r="AB30" i="16"/>
  <c r="W38" i="16"/>
  <c r="X30" i="16"/>
  <c r="U30" i="16"/>
  <c r="S33" i="16"/>
  <c r="AA38" i="16"/>
  <c r="Y38" i="16"/>
  <c r="AA30" i="16"/>
  <c r="Z33" i="16"/>
  <c r="X38" i="16"/>
  <c r="T30" i="16"/>
  <c r="AB38" i="16"/>
  <c r="V30" i="16"/>
  <c r="S30" i="16"/>
  <c r="Y33" i="16"/>
  <c r="S38" i="16"/>
  <c r="V38" i="16"/>
  <c r="S35" i="16"/>
  <c r="R22" i="16" a="1"/>
  <c r="V22" i="16" s="1"/>
  <c r="T34" i="16"/>
  <c r="AB34" i="16"/>
  <c r="T26" i="16"/>
  <c r="U26" i="16"/>
  <c r="Z34" i="16"/>
  <c r="X35" i="16"/>
  <c r="T39" i="16"/>
  <c r="R31" i="16"/>
  <c r="Z30" i="16"/>
  <c r="R30" i="16"/>
  <c r="R38" i="16"/>
  <c r="Z38" i="16"/>
  <c r="S34" i="16"/>
  <c r="V34" i="16"/>
  <c r="R26" i="16"/>
  <c r="Z26" i="16"/>
  <c r="Z31" i="16"/>
  <c r="U34" i="16"/>
  <c r="W26" i="16"/>
  <c r="AB31" i="16"/>
  <c r="T36" i="16"/>
  <c r="T28" i="16"/>
  <c r="V29" i="16"/>
  <c r="Y36" i="16"/>
  <c r="V28" i="16"/>
  <c r="Z37" i="16"/>
  <c r="R36" i="16"/>
  <c r="S36" i="16"/>
  <c r="AB36" i="16"/>
  <c r="Z36" i="16"/>
  <c r="U28" i="16"/>
  <c r="W28" i="16"/>
  <c r="AB28" i="16"/>
  <c r="AB26" i="16"/>
  <c r="AB37" i="16"/>
  <c r="Y37" i="16"/>
  <c r="V35" i="16"/>
  <c r="AA35" i="16"/>
  <c r="AA29" i="16"/>
  <c r="T27" i="16"/>
  <c r="Z27" i="16"/>
  <c r="U36" i="16"/>
  <c r="W36" i="16"/>
  <c r="AA36" i="16"/>
  <c r="X34" i="16"/>
  <c r="AA34" i="16"/>
  <c r="Z28" i="16"/>
  <c r="S28" i="16"/>
  <c r="AA28" i="16"/>
  <c r="AA26" i="16"/>
  <c r="S26" i="16"/>
  <c r="X26" i="16"/>
  <c r="T37" i="16"/>
  <c r="Y35" i="16"/>
  <c r="T35" i="16"/>
  <c r="U29" i="16"/>
  <c r="R27" i="16"/>
  <c r="AB27" i="16"/>
  <c r="X36" i="16"/>
  <c r="Y34" i="16"/>
  <c r="W34" i="16"/>
  <c r="Y28" i="16"/>
  <c r="R28" i="16"/>
  <c r="Y26" i="16"/>
  <c r="U37" i="16"/>
  <c r="R35" i="16"/>
  <c r="U35" i="16"/>
  <c r="R29" i="16"/>
  <c r="AA33" i="16"/>
  <c r="R33" i="16"/>
  <c r="T33" i="16"/>
  <c r="AB33" i="16"/>
  <c r="V33" i="16"/>
  <c r="W33" i="16"/>
  <c r="X33" i="16"/>
  <c r="Y39" i="16"/>
  <c r="AA37" i="16"/>
  <c r="T29" i="16"/>
  <c r="W31" i="16"/>
  <c r="T31" i="16"/>
  <c r="U31" i="16"/>
  <c r="R39" i="16"/>
  <c r="U39" i="16"/>
  <c r="W39" i="16"/>
  <c r="X31" i="16"/>
  <c r="S31" i="16"/>
  <c r="V39" i="16"/>
  <c r="Z39" i="16"/>
  <c r="AA39" i="16"/>
  <c r="X37" i="16"/>
  <c r="R37" i="16"/>
  <c r="S37" i="16"/>
  <c r="Z29" i="16"/>
  <c r="Y29" i="16"/>
  <c r="S29" i="16"/>
  <c r="W27" i="16"/>
  <c r="AA31" i="16"/>
  <c r="V31" i="16"/>
  <c r="X39" i="16"/>
  <c r="AB39" i="16"/>
  <c r="W37" i="16"/>
  <c r="W35" i="16"/>
  <c r="AB35" i="16"/>
  <c r="AB29" i="16"/>
  <c r="X29" i="16"/>
  <c r="L4" i="16"/>
  <c r="K4" i="16"/>
  <c r="L3" i="16"/>
  <c r="K3" i="16"/>
  <c r="L2" i="16"/>
  <c r="R21" i="16" l="1" a="1"/>
  <c r="AA21" i="16" s="1"/>
  <c r="R19" i="16" a="1"/>
  <c r="AA19" i="16" s="1"/>
  <c r="R18" i="16" a="1"/>
  <c r="AA18" i="16" s="1"/>
  <c r="R17" i="16" a="1"/>
  <c r="T17" i="16" s="1"/>
  <c r="AB25" i="16"/>
  <c r="AA25" i="16"/>
  <c r="Y25" i="16"/>
  <c r="Z25" i="16"/>
  <c r="R4" i="16" a="1"/>
  <c r="Z4" i="16" s="1"/>
  <c r="U25" i="16"/>
  <c r="V25" i="16"/>
  <c r="W25" i="16"/>
  <c r="R25" i="16"/>
  <c r="T25" i="16"/>
  <c r="X25" i="16"/>
  <c r="R16" i="16" a="1"/>
  <c r="W16" i="16" s="1"/>
  <c r="U24" i="16"/>
  <c r="U23" i="16"/>
  <c r="R24" i="16"/>
  <c r="Z23" i="16"/>
  <c r="V23" i="16"/>
  <c r="Y23" i="16"/>
  <c r="AA24" i="16"/>
  <c r="Y24" i="16"/>
  <c r="S24" i="16"/>
  <c r="T24" i="16"/>
  <c r="V24" i="16"/>
  <c r="W24" i="16"/>
  <c r="Z24" i="16"/>
  <c r="X24" i="16"/>
  <c r="R2" i="16" a="1"/>
  <c r="S2" i="16" s="1"/>
  <c r="R3" i="16" a="1"/>
  <c r="R15" i="16" a="1"/>
  <c r="AB23" i="16"/>
  <c r="T23" i="16"/>
  <c r="S23" i="16"/>
  <c r="X23" i="16"/>
  <c r="R23" i="16"/>
  <c r="AA23" i="16"/>
  <c r="R14" i="16" a="1"/>
  <c r="X14" i="16" s="1"/>
  <c r="Y22" i="16"/>
  <c r="R22" i="16"/>
  <c r="W22" i="16"/>
  <c r="S22" i="16"/>
  <c r="Z22" i="16"/>
  <c r="U22" i="16"/>
  <c r="AB22" i="16"/>
  <c r="AA22" i="16"/>
  <c r="T22" i="16"/>
  <c r="X22" i="16"/>
  <c r="R8" i="16" a="1"/>
  <c r="W8" i="16" s="1"/>
  <c r="R13" i="16" a="1"/>
  <c r="AB13" i="16" s="1"/>
  <c r="R6" i="16" a="1"/>
  <c r="X6" i="16" s="1"/>
  <c r="R5" i="16" a="1"/>
  <c r="R20" i="16" a="1"/>
  <c r="U20" i="16" s="1"/>
  <c r="R12" i="16" a="1"/>
  <c r="R11" i="16" a="1"/>
  <c r="U11" i="16" s="1"/>
  <c r="U19" i="16"/>
  <c r="R7" i="16" a="1"/>
  <c r="R9" i="16" a="1"/>
  <c r="AA9" i="16" s="1"/>
  <c r="R10" i="16" a="1"/>
  <c r="X21" i="16" l="1"/>
  <c r="S21" i="16"/>
  <c r="T21" i="16"/>
  <c r="Y21" i="16"/>
  <c r="W21" i="16"/>
  <c r="V21" i="16"/>
  <c r="AB21" i="16"/>
  <c r="R21" i="16"/>
  <c r="Z21" i="16"/>
  <c r="U21" i="16"/>
  <c r="R19" i="16"/>
  <c r="W18" i="16"/>
  <c r="T19" i="16"/>
  <c r="AB19" i="16"/>
  <c r="Z19" i="16"/>
  <c r="S19" i="16"/>
  <c r="W19" i="16"/>
  <c r="V19" i="16"/>
  <c r="X19" i="16"/>
  <c r="Y19" i="16"/>
  <c r="U18" i="16"/>
  <c r="X18" i="16"/>
  <c r="R18" i="16"/>
  <c r="S18" i="16"/>
  <c r="Z18" i="16"/>
  <c r="AB18" i="16"/>
  <c r="V18" i="16"/>
  <c r="Y18" i="16"/>
  <c r="T18" i="16"/>
  <c r="Z17" i="16"/>
  <c r="Y17" i="16"/>
  <c r="V17" i="16"/>
  <c r="AA17" i="16"/>
  <c r="AB17" i="16"/>
  <c r="U17" i="16"/>
  <c r="X17" i="16"/>
  <c r="R17" i="16"/>
  <c r="S17" i="16"/>
  <c r="W17" i="16"/>
  <c r="W4" i="16"/>
  <c r="R4" i="16"/>
  <c r="Y4" i="16"/>
  <c r="T4" i="16"/>
  <c r="V4" i="16"/>
  <c r="AA4" i="16"/>
  <c r="S4" i="16"/>
  <c r="U4" i="16"/>
  <c r="X4" i="16"/>
  <c r="T2" i="16"/>
  <c r="AB4" i="16"/>
  <c r="T16" i="16"/>
  <c r="S16" i="16"/>
  <c r="AA16" i="16"/>
  <c r="U2" i="16"/>
  <c r="U16" i="16"/>
  <c r="Y2" i="16"/>
  <c r="Y16" i="16"/>
  <c r="AB16" i="16"/>
  <c r="X16" i="16"/>
  <c r="V16" i="16"/>
  <c r="Z16" i="16"/>
  <c r="R16" i="16"/>
  <c r="Z2" i="16"/>
  <c r="AA2" i="16"/>
  <c r="V2" i="16"/>
  <c r="AB2" i="16"/>
  <c r="W2" i="16"/>
  <c r="R2" i="16"/>
  <c r="X2" i="16"/>
  <c r="AA14" i="16"/>
  <c r="R6" i="16"/>
  <c r="T3" i="16"/>
  <c r="W3" i="16"/>
  <c r="X3" i="16"/>
  <c r="U3" i="16"/>
  <c r="Z3" i="16"/>
  <c r="R3" i="16"/>
  <c r="Y3" i="16"/>
  <c r="S3" i="16"/>
  <c r="AB3" i="16"/>
  <c r="AA3" i="16"/>
  <c r="V3" i="16"/>
  <c r="T13" i="16"/>
  <c r="AB6" i="16"/>
  <c r="Z14" i="16"/>
  <c r="V14" i="16"/>
  <c r="Y15" i="16"/>
  <c r="R15" i="16"/>
  <c r="S15" i="16"/>
  <c r="AA15" i="16"/>
  <c r="X15" i="16"/>
  <c r="W15" i="16"/>
  <c r="AB15" i="16"/>
  <c r="Z15" i="16"/>
  <c r="U15" i="16"/>
  <c r="T15" i="16"/>
  <c r="V15" i="16"/>
  <c r="R14" i="16"/>
  <c r="U8" i="16"/>
  <c r="S8" i="16"/>
  <c r="AB8" i="16"/>
  <c r="AB14" i="16"/>
  <c r="Y14" i="16"/>
  <c r="W14" i="16"/>
  <c r="S14" i="16"/>
  <c r="U14" i="16"/>
  <c r="T14" i="16"/>
  <c r="AA8" i="16"/>
  <c r="Z8" i="16"/>
  <c r="X8" i="16"/>
  <c r="V8" i="16"/>
  <c r="T8" i="16"/>
  <c r="R8" i="16"/>
  <c r="Y8" i="16"/>
  <c r="W6" i="16"/>
  <c r="Z6" i="16"/>
  <c r="AA6" i="16"/>
  <c r="AA13" i="16"/>
  <c r="X13" i="16"/>
  <c r="Y6" i="16"/>
  <c r="V6" i="16"/>
  <c r="T6" i="16"/>
  <c r="V13" i="16"/>
  <c r="Z13" i="16"/>
  <c r="U6" i="16"/>
  <c r="S6" i="16"/>
  <c r="W13" i="16"/>
  <c r="U13" i="16"/>
  <c r="S13" i="16"/>
  <c r="R13" i="16"/>
  <c r="Y13" i="16"/>
  <c r="AB20" i="16"/>
  <c r="S20" i="16"/>
  <c r="V20" i="16"/>
  <c r="W20" i="16"/>
  <c r="X20" i="16"/>
  <c r="R20" i="16"/>
  <c r="Y20" i="16"/>
  <c r="AA20" i="16"/>
  <c r="T20" i="16"/>
  <c r="T5" i="16"/>
  <c r="R5" i="16"/>
  <c r="Y5" i="16"/>
  <c r="AA5" i="16"/>
  <c r="U5" i="16"/>
  <c r="W5" i="16"/>
  <c r="Z5" i="16"/>
  <c r="X5" i="16"/>
  <c r="AB5" i="16"/>
  <c r="V5" i="16"/>
  <c r="S5" i="16"/>
  <c r="Z20" i="16"/>
  <c r="R11" i="16"/>
  <c r="V11" i="16"/>
  <c r="AA12" i="16"/>
  <c r="V12" i="16"/>
  <c r="AB12" i="16"/>
  <c r="W12" i="16"/>
  <c r="R12" i="16"/>
  <c r="X12" i="16"/>
  <c r="S12" i="16"/>
  <c r="Y12" i="16"/>
  <c r="T12" i="16"/>
  <c r="Z12" i="16"/>
  <c r="U12" i="16"/>
  <c r="AA11" i="16"/>
  <c r="S11" i="16"/>
  <c r="AB11" i="16"/>
  <c r="W11" i="16"/>
  <c r="Y11" i="16"/>
  <c r="T11" i="16"/>
  <c r="Z11" i="16"/>
  <c r="X11" i="16"/>
  <c r="Y9" i="16"/>
  <c r="S9" i="16"/>
  <c r="AB9" i="16"/>
  <c r="U9" i="16"/>
  <c r="W9" i="16"/>
  <c r="AB7" i="16"/>
  <c r="W7" i="16"/>
  <c r="R7" i="16"/>
  <c r="X7" i="16"/>
  <c r="S7" i="16"/>
  <c r="Y7" i="16"/>
  <c r="T7" i="16"/>
  <c r="Z7" i="16"/>
  <c r="U7" i="16"/>
  <c r="AA7" i="16"/>
  <c r="V7" i="16"/>
  <c r="R9" i="16"/>
  <c r="T9" i="16"/>
  <c r="Z9" i="16"/>
  <c r="X9" i="16"/>
  <c r="T10" i="16"/>
  <c r="Z10" i="16"/>
  <c r="U10" i="16"/>
  <c r="AA10" i="16"/>
  <c r="V10" i="16"/>
  <c r="AB10" i="16"/>
  <c r="W10" i="16"/>
  <c r="R10" i="16"/>
  <c r="X10" i="16"/>
  <c r="S10" i="16"/>
  <c r="Y10" i="16"/>
  <c r="V9" i="16"/>
  <c r="C56" i="3"/>
  <c r="T3" i="18" l="1" a="1"/>
  <c r="B64" i="3"/>
  <c r="A15" i="1"/>
  <c r="S84" i="2"/>
  <c r="G84" i="2"/>
  <c r="I84" i="2"/>
  <c r="V84" i="2"/>
  <c r="T84" i="2"/>
  <c r="O84" i="2"/>
  <c r="W84" i="2"/>
  <c r="E76" i="2"/>
  <c r="Q84" i="2"/>
  <c r="C101" i="3" l="1"/>
  <c r="U3" i="18"/>
  <c r="Y3" i="18"/>
  <c r="AC3" i="18"/>
  <c r="V4" i="18"/>
  <c r="Z4" i="18"/>
  <c r="AD4" i="18"/>
  <c r="W5" i="18"/>
  <c r="AA5" i="18"/>
  <c r="T6" i="18"/>
  <c r="X6" i="18"/>
  <c r="AB6" i="18"/>
  <c r="U7" i="18"/>
  <c r="Y7" i="18"/>
  <c r="AC7" i="18"/>
  <c r="V8" i="18"/>
  <c r="Z8" i="18"/>
  <c r="AD8" i="18"/>
  <c r="W9" i="18"/>
  <c r="AA9" i="18"/>
  <c r="T10" i="18"/>
  <c r="X10" i="18"/>
  <c r="AB10" i="18"/>
  <c r="U11" i="18"/>
  <c r="Y11" i="18"/>
  <c r="AC11" i="18"/>
  <c r="V12" i="18"/>
  <c r="Z12" i="18"/>
  <c r="AD12" i="18"/>
  <c r="W13" i="18"/>
  <c r="AA13" i="18"/>
  <c r="T14" i="18"/>
  <c r="X14" i="18"/>
  <c r="AB14" i="18"/>
  <c r="U15" i="18"/>
  <c r="Y15" i="18"/>
  <c r="AC15" i="18"/>
  <c r="V16" i="18"/>
  <c r="Z16" i="18"/>
  <c r="AD16" i="18"/>
  <c r="W17" i="18"/>
  <c r="AA17" i="18"/>
  <c r="T18" i="18"/>
  <c r="X18" i="18"/>
  <c r="AB18" i="18"/>
  <c r="U19" i="18"/>
  <c r="Y19" i="18"/>
  <c r="AC19" i="18"/>
  <c r="V20" i="18"/>
  <c r="Z20" i="18"/>
  <c r="AD20" i="18"/>
  <c r="W21" i="18"/>
  <c r="AA21" i="18"/>
  <c r="T22" i="18"/>
  <c r="X22" i="18"/>
  <c r="AB22" i="18"/>
  <c r="U23" i="18"/>
  <c r="Y23" i="18"/>
  <c r="AC23" i="18"/>
  <c r="V24" i="18"/>
  <c r="Z24" i="18"/>
  <c r="AD24" i="18"/>
  <c r="W25" i="18"/>
  <c r="AA25" i="18"/>
  <c r="T26" i="18"/>
  <c r="X26" i="18"/>
  <c r="AB26" i="18"/>
  <c r="V3" i="18"/>
  <c r="Z3" i="18"/>
  <c r="AD3" i="18"/>
  <c r="W4" i="18"/>
  <c r="AA4" i="18"/>
  <c r="T5" i="18"/>
  <c r="X5" i="18"/>
  <c r="AB5" i="18"/>
  <c r="U6" i="18"/>
  <c r="Y6" i="18"/>
  <c r="AC6" i="18"/>
  <c r="V7" i="18"/>
  <c r="Z7" i="18"/>
  <c r="AD7" i="18"/>
  <c r="W8" i="18"/>
  <c r="AA8" i="18"/>
  <c r="T9" i="18"/>
  <c r="X9" i="18"/>
  <c r="AB9" i="18"/>
  <c r="AA3" i="18"/>
  <c r="X4" i="18"/>
  <c r="U5" i="18"/>
  <c r="AC5" i="18"/>
  <c r="Z6" i="18"/>
  <c r="W7" i="18"/>
  <c r="T8" i="18"/>
  <c r="AB8" i="18"/>
  <c r="Y9" i="18"/>
  <c r="U10" i="18"/>
  <c r="Z10" i="18"/>
  <c r="T11" i="18"/>
  <c r="Z11" i="18"/>
  <c r="T12" i="18"/>
  <c r="Y12" i="18"/>
  <c r="T13" i="18"/>
  <c r="Y13" i="18"/>
  <c r="AD13" i="18"/>
  <c r="Y14" i="18"/>
  <c r="AD14" i="18"/>
  <c r="X15" i="18"/>
  <c r="AD15" i="18"/>
  <c r="X16" i="18"/>
  <c r="AC16" i="18"/>
  <c r="X17" i="18"/>
  <c r="AC17" i="18"/>
  <c r="W18" i="18"/>
  <c r="AC18" i="18"/>
  <c r="W19" i="18"/>
  <c r="AB19" i="18"/>
  <c r="W20" i="18"/>
  <c r="AB20" i="18"/>
  <c r="V21" i="18"/>
  <c r="AB21" i="18"/>
  <c r="V22" i="18"/>
  <c r="AA22" i="18"/>
  <c r="V23" i="18"/>
  <c r="AA23" i="18"/>
  <c r="U24" i="18"/>
  <c r="AA24" i="18"/>
  <c r="U25" i="18"/>
  <c r="Z25" i="18"/>
  <c r="U26" i="18"/>
  <c r="Z26" i="18"/>
  <c r="T3" i="18"/>
  <c r="AB3" i="18"/>
  <c r="Y4" i="18"/>
  <c r="V5" i="18"/>
  <c r="AD5" i="18"/>
  <c r="AA6" i="18"/>
  <c r="X7" i="18"/>
  <c r="U8" i="18"/>
  <c r="AC8" i="18"/>
  <c r="Z9" i="18"/>
  <c r="V10" i="18"/>
  <c r="AA10" i="18"/>
  <c r="V11" i="18"/>
  <c r="AA11" i="18"/>
  <c r="U12" i="18"/>
  <c r="AA12" i="18"/>
  <c r="U13" i="18"/>
  <c r="Z13" i="18"/>
  <c r="U14" i="18"/>
  <c r="Z14" i="18"/>
  <c r="T15" i="18"/>
  <c r="Z15" i="18"/>
  <c r="T16" i="18"/>
  <c r="T17" i="18"/>
  <c r="Y17" i="18"/>
  <c r="AD17" i="18"/>
  <c r="Y18" i="18"/>
  <c r="X19" i="18"/>
  <c r="AC20" i="18"/>
  <c r="W22" i="18"/>
  <c r="AB23" i="18"/>
  <c r="AA26" i="18"/>
  <c r="W3" i="18"/>
  <c r="T4" i="18"/>
  <c r="AB4" i="18"/>
  <c r="Y5" i="18"/>
  <c r="V6" i="18"/>
  <c r="AD6" i="18"/>
  <c r="AA7" i="18"/>
  <c r="X8" i="18"/>
  <c r="U9" i="18"/>
  <c r="AC9" i="18"/>
  <c r="W10" i="18"/>
  <c r="AC10" i="18"/>
  <c r="W11" i="18"/>
  <c r="AB11" i="18"/>
  <c r="W12" i="18"/>
  <c r="AB12" i="18"/>
  <c r="V13" i="18"/>
  <c r="AB13" i="18"/>
  <c r="V14" i="18"/>
  <c r="AA14" i="18"/>
  <c r="V15" i="18"/>
  <c r="AA15" i="18"/>
  <c r="U16" i="18"/>
  <c r="AA16" i="18"/>
  <c r="U17" i="18"/>
  <c r="Z17" i="18"/>
  <c r="U18" i="18"/>
  <c r="Z18" i="18"/>
  <c r="T19" i="18"/>
  <c r="Z19" i="18"/>
  <c r="T20" i="18"/>
  <c r="Y20" i="18"/>
  <c r="T21" i="18"/>
  <c r="Y21" i="18"/>
  <c r="AD21" i="18"/>
  <c r="Y22" i="18"/>
  <c r="AD22" i="18"/>
  <c r="X23" i="18"/>
  <c r="AD23" i="18"/>
  <c r="X24" i="18"/>
  <c r="AC24" i="18"/>
  <c r="X25" i="18"/>
  <c r="AC25" i="18"/>
  <c r="W26" i="18"/>
  <c r="AC26" i="18"/>
  <c r="X3" i="18"/>
  <c r="U4" i="18"/>
  <c r="AC4" i="18"/>
  <c r="Z5" i="18"/>
  <c r="W6" i="18"/>
  <c r="T7" i="18"/>
  <c r="AB7" i="18"/>
  <c r="Y8" i="18"/>
  <c r="V9" i="18"/>
  <c r="AD9" i="18"/>
  <c r="Y10" i="18"/>
  <c r="AD10" i="18"/>
  <c r="X11" i="18"/>
  <c r="AD11" i="18"/>
  <c r="X12" i="18"/>
  <c r="AC12" i="18"/>
  <c r="X13" i="18"/>
  <c r="AC13" i="18"/>
  <c r="W14" i="18"/>
  <c r="AC14" i="18"/>
  <c r="W15" i="18"/>
  <c r="AB15" i="18"/>
  <c r="W16" i="18"/>
  <c r="AB16" i="18"/>
  <c r="V17" i="18"/>
  <c r="AB17" i="18"/>
  <c r="V18" i="18"/>
  <c r="AA18" i="18"/>
  <c r="V19" i="18"/>
  <c r="AA19" i="18"/>
  <c r="U20" i="18"/>
  <c r="AA20" i="18"/>
  <c r="U21" i="18"/>
  <c r="Z21" i="18"/>
  <c r="U22" i="18"/>
  <c r="Z22" i="18"/>
  <c r="T23" i="18"/>
  <c r="Z23" i="18"/>
  <c r="T24" i="18"/>
  <c r="Y24" i="18"/>
  <c r="T25" i="18"/>
  <c r="Y25" i="18"/>
  <c r="AD25" i="18"/>
  <c r="Y26" i="18"/>
  <c r="AD26" i="18"/>
  <c r="Y16" i="18"/>
  <c r="AD18" i="18"/>
  <c r="AD19" i="18"/>
  <c r="X20" i="18"/>
  <c r="X21" i="18"/>
  <c r="AC21" i="18"/>
  <c r="AC22" i="18"/>
  <c r="W23" i="18"/>
  <c r="W24" i="18"/>
  <c r="AB24" i="18"/>
  <c r="V25" i="18"/>
  <c r="AB25" i="18"/>
  <c r="V26" i="18"/>
  <c r="Z84" i="2"/>
  <c r="H84" i="2"/>
  <c r="Y84" i="2"/>
  <c r="E84" i="2"/>
  <c r="M84" i="2"/>
  <c r="L84" i="2"/>
  <c r="P84" i="2"/>
  <c r="X84" i="2"/>
  <c r="F84" i="2"/>
  <c r="U84" i="2"/>
  <c r="N84" i="2"/>
  <c r="K84" i="2"/>
  <c r="J84" i="2"/>
  <c r="D84" i="2"/>
  <c r="R84" i="2"/>
  <c r="BB72" i="2" l="1"/>
  <c r="AM5" i="3"/>
  <c r="AJ5" i="3"/>
  <c r="AW5" i="3"/>
  <c r="AS5" i="3"/>
  <c r="AO5" i="3"/>
  <c r="AN5" i="3"/>
  <c r="AL5" i="3"/>
  <c r="AK5" i="3"/>
  <c r="AV5" i="3" l="1"/>
  <c r="AR5" i="3"/>
  <c r="AP5" i="3"/>
  <c r="AT5" i="3" s="1"/>
  <c r="AQ5" i="3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AU7" i="3" l="1"/>
  <c r="AU24" i="3"/>
  <c r="AU47" i="3"/>
  <c r="AU42" i="3"/>
  <c r="AU51" i="3"/>
  <c r="AU43" i="3"/>
  <c r="AU34" i="3"/>
  <c r="AU46" i="3"/>
  <c r="AU26" i="3"/>
  <c r="AU13" i="3"/>
  <c r="AU10" i="3"/>
  <c r="AU49" i="3"/>
  <c r="AU41" i="3"/>
  <c r="AU16" i="3"/>
  <c r="AU21" i="3"/>
  <c r="AU37" i="3"/>
  <c r="AU22" i="3"/>
  <c r="AU36" i="3"/>
  <c r="AU25" i="3"/>
  <c r="AU30" i="3"/>
  <c r="AU19" i="3"/>
  <c r="AU45" i="3"/>
  <c r="AU8" i="3"/>
  <c r="AU53" i="3"/>
  <c r="AU52" i="3"/>
  <c r="AU28" i="3"/>
  <c r="AU48" i="3"/>
  <c r="AU12" i="3"/>
  <c r="AU38" i="3"/>
  <c r="AU33" i="3"/>
  <c r="AU39" i="3"/>
  <c r="AU32" i="3"/>
  <c r="AU20" i="3"/>
  <c r="AU18" i="3"/>
  <c r="AU9" i="3"/>
  <c r="AU11" i="3"/>
  <c r="AU14" i="3"/>
  <c r="AU35" i="3"/>
  <c r="AU6" i="3"/>
  <c r="AU29" i="3"/>
  <c r="AU23" i="3"/>
  <c r="AU27" i="3"/>
  <c r="AU44" i="3"/>
  <c r="AU31" i="3"/>
  <c r="AU50" i="3"/>
  <c r="AU17" i="3"/>
  <c r="AU15" i="3"/>
  <c r="AU40" i="3"/>
  <c r="AU54" i="3"/>
  <c r="O3" i="1"/>
  <c r="P3" i="1"/>
  <c r="Z27" i="1" l="1"/>
  <c r="Z28" i="1"/>
  <c r="Z29" i="1"/>
  <c r="Z30" i="1"/>
  <c r="Z31" i="1"/>
  <c r="Z32" i="1"/>
  <c r="Y27" i="1"/>
  <c r="Y28" i="1"/>
  <c r="Y29" i="1"/>
  <c r="Y30" i="1"/>
  <c r="Y31" i="1"/>
  <c r="Y32" i="1"/>
  <c r="D77" i="2" l="1" a="1"/>
  <c r="AG3" i="1"/>
  <c r="AF3" i="1"/>
  <c r="O85" i="2"/>
  <c r="M85" i="2"/>
  <c r="F85" i="2"/>
  <c r="K85" i="2"/>
  <c r="T85" i="2"/>
  <c r="G85" i="2"/>
  <c r="P85" i="2"/>
  <c r="Q85" i="2"/>
  <c r="U85" i="2"/>
  <c r="V85" i="2"/>
  <c r="N85" i="2"/>
  <c r="R85" i="2"/>
  <c r="Z85" i="2"/>
  <c r="H85" i="2"/>
  <c r="J85" i="2"/>
  <c r="S85" i="2"/>
  <c r="E85" i="2"/>
  <c r="X85" i="2"/>
  <c r="Y85" i="2"/>
  <c r="D85" i="2"/>
  <c r="L85" i="2"/>
  <c r="W85" i="2"/>
  <c r="I85" i="2"/>
  <c r="E77" i="2" l="1"/>
  <c r="H77" i="2"/>
  <c r="P77" i="2"/>
  <c r="X77" i="2"/>
  <c r="AF77" i="2"/>
  <c r="K77" i="2"/>
  <c r="S77" i="2"/>
  <c r="AA77" i="2"/>
  <c r="D77" i="2"/>
  <c r="L77" i="2"/>
  <c r="T77" i="2"/>
  <c r="AB77" i="2"/>
  <c r="G77" i="2"/>
  <c r="O77" i="2"/>
  <c r="W77" i="2"/>
  <c r="AE77" i="2"/>
  <c r="R77" i="2"/>
  <c r="AC77" i="2"/>
  <c r="M77" i="2"/>
  <c r="AD77" i="2"/>
  <c r="N77" i="2"/>
  <c r="Y77" i="2"/>
  <c r="I77" i="2"/>
  <c r="Z77" i="2"/>
  <c r="J77" i="2"/>
  <c r="U77" i="2"/>
  <c r="V77" i="2"/>
  <c r="F77" i="2"/>
  <c r="Q77" i="2"/>
  <c r="AD19" i="1"/>
  <c r="AC19" i="1"/>
  <c r="AB19" i="1"/>
  <c r="AD18" i="1"/>
  <c r="AC18" i="1"/>
  <c r="AB18" i="1"/>
  <c r="AD17" i="1"/>
  <c r="AC17" i="1"/>
  <c r="AB17" i="1"/>
  <c r="AD16" i="1"/>
  <c r="AC16" i="1"/>
  <c r="AB16" i="1"/>
  <c r="AD15" i="1"/>
  <c r="AC15" i="1"/>
  <c r="AB15" i="1"/>
  <c r="AD14" i="1"/>
  <c r="AC14" i="1"/>
  <c r="AB14" i="1"/>
  <c r="AD13" i="1"/>
  <c r="AC13" i="1"/>
  <c r="AB13" i="1"/>
  <c r="AD12" i="1"/>
  <c r="AC12" i="1"/>
  <c r="AB12" i="1"/>
  <c r="AD11" i="1"/>
  <c r="AC11" i="1"/>
  <c r="AB11" i="1"/>
  <c r="AD10" i="1"/>
  <c r="AC10" i="1"/>
  <c r="AB10" i="1"/>
  <c r="AD9" i="1"/>
  <c r="AC9" i="1"/>
  <c r="AB9" i="1"/>
  <c r="AD8" i="1"/>
  <c r="AC8" i="1"/>
  <c r="AB8" i="1"/>
  <c r="AD7" i="1"/>
  <c r="AC7" i="1"/>
  <c r="AB7" i="1"/>
  <c r="AD6" i="1"/>
  <c r="AC6" i="1"/>
  <c r="AB6" i="1"/>
  <c r="AD5" i="1"/>
  <c r="AB5" i="1"/>
  <c r="D73" i="2" a="1"/>
  <c r="D73" i="2" s="1"/>
  <c r="E73" i="2" a="1"/>
  <c r="E73" i="2" s="1"/>
  <c r="F73" i="2" a="1"/>
  <c r="F73" i="2" s="1"/>
  <c r="G73" i="2" a="1"/>
  <c r="G73" i="2" s="1"/>
  <c r="H73" i="2" a="1"/>
  <c r="H73" i="2" s="1"/>
  <c r="I73" i="2" a="1"/>
  <c r="I73" i="2" s="1"/>
  <c r="J73" i="2" a="1"/>
  <c r="J73" i="2" s="1"/>
  <c r="K73" i="2" a="1"/>
  <c r="K73" i="2" s="1"/>
  <c r="L73" i="2" a="1"/>
  <c r="L73" i="2" s="1"/>
  <c r="M73" i="2" a="1"/>
  <c r="M73" i="2" s="1"/>
  <c r="N73" i="2" a="1"/>
  <c r="N73" i="2" s="1"/>
  <c r="O73" i="2" a="1"/>
  <c r="O73" i="2" s="1"/>
  <c r="P73" i="2" a="1"/>
  <c r="P73" i="2" s="1"/>
  <c r="Q73" i="2" a="1"/>
  <c r="Q73" i="2" s="1"/>
  <c r="R73" i="2" a="1"/>
  <c r="R73" i="2" s="1"/>
  <c r="S73" i="2" a="1"/>
  <c r="S73" i="2" s="1"/>
  <c r="T73" i="2" a="1"/>
  <c r="T73" i="2" s="1"/>
  <c r="U73" i="2" a="1"/>
  <c r="U73" i="2" s="1"/>
  <c r="V73" i="2" a="1"/>
  <c r="V73" i="2" s="1"/>
  <c r="W73" i="2" a="1"/>
  <c r="W73" i="2" s="1"/>
  <c r="X73" i="2" a="1"/>
  <c r="X73" i="2" s="1"/>
  <c r="Y73" i="2" a="1"/>
  <c r="Y73" i="2" s="1"/>
  <c r="Z73" i="2" a="1"/>
  <c r="Z73" i="2" s="1"/>
  <c r="AA73" i="2" a="1"/>
  <c r="AA73" i="2" s="1"/>
  <c r="AB73" i="2" a="1"/>
  <c r="AB73" i="2" s="1"/>
  <c r="AC73" i="2" a="1"/>
  <c r="AC73" i="2" s="1"/>
  <c r="AD73" i="2" a="1"/>
  <c r="AD73" i="2" s="1"/>
  <c r="AE73" i="2" a="1"/>
  <c r="AE73" i="2" s="1"/>
  <c r="AF73" i="2" a="1"/>
  <c r="AF73" i="2" s="1"/>
  <c r="D74" i="2" a="1"/>
  <c r="D74" i="2" s="1"/>
  <c r="E74" i="2" a="1"/>
  <c r="E74" i="2" s="1"/>
  <c r="F74" i="2" a="1"/>
  <c r="F74" i="2" s="1"/>
  <c r="G74" i="2" a="1"/>
  <c r="G74" i="2" s="1"/>
  <c r="H74" i="2" a="1"/>
  <c r="H74" i="2" s="1"/>
  <c r="I74" i="2" a="1"/>
  <c r="I74" i="2" s="1"/>
  <c r="J74" i="2" a="1"/>
  <c r="J74" i="2" s="1"/>
  <c r="K74" i="2" a="1"/>
  <c r="K74" i="2" s="1"/>
  <c r="L74" i="2" a="1"/>
  <c r="L74" i="2" s="1"/>
  <c r="M74" i="2" a="1"/>
  <c r="M74" i="2" s="1"/>
  <c r="N74" i="2" a="1"/>
  <c r="N74" i="2" s="1"/>
  <c r="O74" i="2" a="1"/>
  <c r="O74" i="2" s="1"/>
  <c r="P74" i="2" a="1"/>
  <c r="P74" i="2" s="1"/>
  <c r="Q74" i="2" a="1"/>
  <c r="Q74" i="2" s="1"/>
  <c r="R74" i="2" a="1"/>
  <c r="R74" i="2" s="1"/>
  <c r="S74" i="2" a="1"/>
  <c r="S74" i="2" s="1"/>
  <c r="T74" i="2" a="1"/>
  <c r="T74" i="2" s="1"/>
  <c r="U74" i="2" a="1"/>
  <c r="U74" i="2" s="1"/>
  <c r="V74" i="2" a="1"/>
  <c r="V74" i="2" s="1"/>
  <c r="W74" i="2" a="1"/>
  <c r="W74" i="2" s="1"/>
  <c r="X74" i="2" a="1"/>
  <c r="X74" i="2" s="1"/>
  <c r="Y74" i="2" a="1"/>
  <c r="Y74" i="2" s="1"/>
  <c r="Z74" i="2" a="1"/>
  <c r="Z74" i="2" s="1"/>
  <c r="AA74" i="2" a="1"/>
  <c r="AA74" i="2" s="1"/>
  <c r="AB74" i="2" a="1"/>
  <c r="AB74" i="2" s="1"/>
  <c r="AC74" i="2" a="1"/>
  <c r="AC74" i="2" s="1"/>
  <c r="AD74" i="2" a="1"/>
  <c r="AD74" i="2" s="1"/>
  <c r="AE74" i="2" a="1"/>
  <c r="AE74" i="2" s="1"/>
  <c r="AF74" i="2" a="1"/>
  <c r="AF74" i="2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A5" i="1"/>
  <c r="AB20" i="1"/>
  <c r="AC20" i="1"/>
  <c r="AD20" i="1"/>
  <c r="AB21" i="1"/>
  <c r="AC21" i="1"/>
  <c r="AD21" i="1"/>
  <c r="AB22" i="1"/>
  <c r="AC22" i="1"/>
  <c r="AD22" i="1"/>
  <c r="AB23" i="1"/>
  <c r="AC23" i="1"/>
  <c r="AD23" i="1"/>
  <c r="A24" i="1"/>
  <c r="AB24" i="1"/>
  <c r="AC24" i="1"/>
  <c r="AD24" i="1"/>
  <c r="A25" i="1"/>
  <c r="AB25" i="1"/>
  <c r="AC25" i="1"/>
  <c r="AD25" i="1"/>
  <c r="A26" i="1"/>
  <c r="AB26" i="1"/>
  <c r="AC26" i="1"/>
  <c r="AD26" i="1"/>
  <c r="A27" i="1"/>
  <c r="AB27" i="1"/>
  <c r="AC27" i="1"/>
  <c r="AD27" i="1"/>
  <c r="A28" i="1"/>
  <c r="AB28" i="1"/>
  <c r="AC28" i="1"/>
  <c r="AD28" i="1"/>
  <c r="A29" i="1"/>
  <c r="AB29" i="1"/>
  <c r="AC29" i="1"/>
  <c r="AD29" i="1"/>
  <c r="A30" i="1"/>
  <c r="AB30" i="1"/>
  <c r="AC30" i="1"/>
  <c r="AD30" i="1"/>
  <c r="A31" i="1"/>
  <c r="AB31" i="1"/>
  <c r="AC31" i="1"/>
  <c r="AD31" i="1"/>
  <c r="A32" i="1"/>
  <c r="AB32" i="1"/>
  <c r="AC32" i="1"/>
  <c r="AD32" i="1"/>
  <c r="O34" i="1"/>
  <c r="P34" i="1"/>
  <c r="O36" i="1" a="1"/>
  <c r="O36" i="1" s="1"/>
  <c r="O38" i="1" s="1"/>
  <c r="P36" i="1" a="1"/>
  <c r="P36" i="1" s="1"/>
  <c r="P38" i="1" s="1"/>
  <c r="Q36" i="1"/>
  <c r="R36" i="1"/>
  <c r="S36" i="1"/>
  <c r="T36" i="1"/>
  <c r="U36" i="1"/>
  <c r="V36" i="1"/>
  <c r="W36" i="1"/>
  <c r="X36" i="1"/>
  <c r="D61" i="3"/>
  <c r="D56" i="3"/>
  <c r="E82" i="2"/>
  <c r="U56" i="3"/>
  <c r="H60" i="3"/>
  <c r="AE60" i="3"/>
  <c r="AD60" i="3"/>
  <c r="O56" i="3"/>
  <c r="O61" i="3"/>
  <c r="S60" i="3"/>
  <c r="C61" i="3"/>
  <c r="J83" i="2"/>
  <c r="S56" i="3"/>
  <c r="AE83" i="2"/>
  <c r="R80" i="2"/>
  <c r="R56" i="3"/>
  <c r="M82" i="2"/>
  <c r="F76" i="2"/>
  <c r="L80" i="2"/>
  <c r="U61" i="3"/>
  <c r="AD56" i="3"/>
  <c r="H80" i="2"/>
  <c r="Z56" i="3"/>
  <c r="U83" i="2"/>
  <c r="Z80" i="2"/>
  <c r="H56" i="3"/>
  <c r="H76" i="2"/>
  <c r="AB61" i="3"/>
  <c r="F83" i="2"/>
  <c r="S82" i="2"/>
  <c r="Q60" i="3"/>
  <c r="L83" i="2"/>
  <c r="Y61" i="3"/>
  <c r="AF76" i="2"/>
  <c r="T61" i="3"/>
  <c r="G80" i="2"/>
  <c r="I60" i="3"/>
  <c r="AC56" i="3"/>
  <c r="J82" i="2"/>
  <c r="O60" i="3"/>
  <c r="D82" i="2"/>
  <c r="P80" i="2"/>
  <c r="Q80" i="2"/>
  <c r="Y82" i="2"/>
  <c r="V82" i="2"/>
  <c r="I80" i="2"/>
  <c r="V76" i="2"/>
  <c r="AB60" i="3"/>
  <c r="L76" i="2"/>
  <c r="AE56" i="3"/>
  <c r="T76" i="2"/>
  <c r="X76" i="2"/>
  <c r="H83" i="2"/>
  <c r="X56" i="3"/>
  <c r="J76" i="2"/>
  <c r="AC61" i="3"/>
  <c r="N60" i="3"/>
  <c r="J80" i="2"/>
  <c r="AA61" i="3"/>
  <c r="AF56" i="3"/>
  <c r="W60" i="3"/>
  <c r="W56" i="3"/>
  <c r="G60" i="3"/>
  <c r="R83" i="2"/>
  <c r="M60" i="3"/>
  <c r="M80" i="2"/>
  <c r="E61" i="3"/>
  <c r="C60" i="3"/>
  <c r="O83" i="2"/>
  <c r="T80" i="2"/>
  <c r="AC80" i="2"/>
  <c r="Q76" i="2"/>
  <c r="AC76" i="2"/>
  <c r="Z83" i="2"/>
  <c r="V80" i="2"/>
  <c r="I82" i="2"/>
  <c r="E80" i="2"/>
  <c r="AD83" i="2"/>
  <c r="T83" i="2"/>
  <c r="F60" i="3"/>
  <c r="T82" i="2"/>
  <c r="G82" i="2"/>
  <c r="J60" i="3"/>
  <c r="X61" i="3"/>
  <c r="Q56" i="3"/>
  <c r="R61" i="3"/>
  <c r="AB76" i="2"/>
  <c r="Z82" i="2"/>
  <c r="W82" i="2"/>
  <c r="AC82" i="2"/>
  <c r="J61" i="3"/>
  <c r="I61" i="3"/>
  <c r="AA56" i="3"/>
  <c r="I76" i="2"/>
  <c r="U76" i="2"/>
  <c r="AA83" i="2"/>
  <c r="P61" i="3"/>
  <c r="K83" i="2"/>
  <c r="L61" i="3"/>
  <c r="AD80" i="2"/>
  <c r="AD82" i="2"/>
  <c r="T56" i="3"/>
  <c r="K61" i="3"/>
  <c r="E83" i="2"/>
  <c r="O80" i="2"/>
  <c r="AD76" i="2"/>
  <c r="Q82" i="2"/>
  <c r="AB56" i="3"/>
  <c r="D60" i="3"/>
  <c r="S76" i="2"/>
  <c r="G61" i="3"/>
  <c r="I56" i="3"/>
  <c r="I83" i="2"/>
  <c r="U60" i="3"/>
  <c r="AC83" i="2"/>
  <c r="P60" i="3"/>
  <c r="P56" i="3"/>
  <c r="Z61" i="3"/>
  <c r="AF60" i="3"/>
  <c r="N83" i="2"/>
  <c r="S80" i="2"/>
  <c r="W76" i="2"/>
  <c r="K80" i="2"/>
  <c r="E56" i="3"/>
  <c r="P76" i="2"/>
  <c r="P82" i="2"/>
  <c r="W80" i="2"/>
  <c r="Y76" i="2"/>
  <c r="N56" i="3"/>
  <c r="Y83" i="2"/>
  <c r="W83" i="2"/>
  <c r="AB83" i="2"/>
  <c r="AF61" i="3"/>
  <c r="H82" i="2"/>
  <c r="F61" i="3"/>
  <c r="W61" i="3"/>
  <c r="V83" i="2"/>
  <c r="AA82" i="2"/>
  <c r="K82" i="2"/>
  <c r="S61" i="3"/>
  <c r="Y80" i="2"/>
  <c r="F82" i="2"/>
  <c r="V61" i="3"/>
  <c r="X60" i="3"/>
  <c r="O82" i="2"/>
  <c r="Y56" i="3"/>
  <c r="M61" i="3"/>
  <c r="N80" i="2"/>
  <c r="G56" i="3"/>
  <c r="E60" i="3"/>
  <c r="Q83" i="2"/>
  <c r="AB82" i="2"/>
  <c r="L60" i="3"/>
  <c r="M56" i="3"/>
  <c r="AE76" i="2"/>
  <c r="N61" i="3"/>
  <c r="V56" i="3"/>
  <c r="V60" i="3"/>
  <c r="X80" i="2"/>
  <c r="G83" i="2"/>
  <c r="Q61" i="3"/>
  <c r="H61" i="3"/>
  <c r="R82" i="2"/>
  <c r="Z60" i="3"/>
  <c r="AA60" i="3"/>
  <c r="R60" i="3"/>
  <c r="S83" i="2"/>
  <c r="M76" i="2"/>
  <c r="U82" i="2"/>
  <c r="Y60" i="3"/>
  <c r="L56" i="3"/>
  <c r="AD61" i="3"/>
  <c r="K60" i="3"/>
  <c r="L82" i="2"/>
  <c r="K56" i="3"/>
  <c r="P83" i="2"/>
  <c r="T60" i="3"/>
  <c r="G76" i="2"/>
  <c r="R76" i="2"/>
  <c r="AE82" i="2"/>
  <c r="N76" i="2"/>
  <c r="X83" i="2"/>
  <c r="U80" i="2"/>
  <c r="D80" i="2"/>
  <c r="AE61" i="3"/>
  <c r="F56" i="3"/>
  <c r="AB80" i="2"/>
  <c r="AA80" i="2"/>
  <c r="AA76" i="2"/>
  <c r="O76" i="2"/>
  <c r="F80" i="2"/>
  <c r="Z76" i="2"/>
  <c r="X82" i="2"/>
  <c r="AE80" i="2"/>
  <c r="AC60" i="3"/>
  <c r="BF9" i="18" l="1" a="1"/>
  <c r="BF9" i="18" s="1"/>
  <c r="BE9" i="18" a="1"/>
  <c r="AK77" i="2"/>
  <c r="AT77" i="2"/>
  <c r="AB36" i="1" a="1"/>
  <c r="AB36" i="1" s="1"/>
  <c r="BF3" i="18" s="1"/>
  <c r="B2" i="17" a="1"/>
  <c r="L47" i="4"/>
  <c r="AI43" i="4"/>
  <c r="AE43" i="4"/>
  <c r="AA43" i="4"/>
  <c r="I43" i="4"/>
  <c r="E43" i="4"/>
  <c r="A41" i="4"/>
  <c r="A42" i="4" s="1"/>
  <c r="Y36" i="1"/>
  <c r="BE8" i="18" s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AW72" i="2"/>
  <c r="AK74" i="2"/>
  <c r="AB3" i="1" a="1"/>
  <c r="AB3" i="1" s="1"/>
  <c r="AC36" i="1"/>
  <c r="BE4" i="18" s="1"/>
  <c r="BE5" i="18" s="1"/>
  <c r="K46" i="4"/>
  <c r="N46" i="4" s="1"/>
  <c r="C5" i="7" s="1"/>
  <c r="O39" i="1"/>
  <c r="BF7" i="18" s="1"/>
  <c r="O46" i="4"/>
  <c r="D5" i="7" s="1"/>
  <c r="AZ72" i="2"/>
  <c r="AX72" i="2"/>
  <c r="AU72" i="2"/>
  <c r="AK73" i="2"/>
  <c r="BA72" i="2"/>
  <c r="AY72" i="2"/>
  <c r="AT72" i="2"/>
  <c r="O45" i="4"/>
  <c r="D4" i="7" s="1"/>
  <c r="M45" i="4"/>
  <c r="B4" i="7" s="1"/>
  <c r="BF72" i="2"/>
  <c r="AJ61" i="3"/>
  <c r="AJ60" i="3"/>
  <c r="AJ56" i="3"/>
  <c r="BJ72" i="2"/>
  <c r="AO76" i="2"/>
  <c r="BH72" i="2"/>
  <c r="BK72" i="2"/>
  <c r="BI72" i="2"/>
  <c r="BG72" i="2"/>
  <c r="AV72" i="2"/>
  <c r="AK56" i="3"/>
  <c r="AO56" i="3"/>
  <c r="AQ76" i="2"/>
  <c r="AM76" i="2"/>
  <c r="AN76" i="2"/>
  <c r="O17" i="5"/>
  <c r="Z36" i="1"/>
  <c r="BF8" i="18" s="1"/>
  <c r="AA2" i="1"/>
  <c r="AA3" i="1" a="1"/>
  <c r="AA3" i="1" s="1"/>
  <c r="AD36" i="1"/>
  <c r="BF4" i="18" s="1"/>
  <c r="AT74" i="2"/>
  <c r="P39" i="1"/>
  <c r="BE7" i="18" s="1"/>
  <c r="H93" i="4"/>
  <c r="A5" i="5" s="1" a="1"/>
  <c r="AT73" i="2"/>
  <c r="K76" i="2"/>
  <c r="BF10" i="18" l="1"/>
  <c r="BF11" i="18"/>
  <c r="BF12" i="18"/>
  <c r="BF5" i="18"/>
  <c r="BE12" i="18"/>
  <c r="BE9" i="18"/>
  <c r="BE10" i="18"/>
  <c r="BE11" i="18"/>
  <c r="D101" i="3"/>
  <c r="AT76" i="2"/>
  <c r="AK76" i="2"/>
  <c r="B3" i="17"/>
  <c r="B5" i="17"/>
  <c r="B13" i="17"/>
  <c r="B21" i="17"/>
  <c r="B29" i="17"/>
  <c r="B37" i="17"/>
  <c r="B45" i="17"/>
  <c r="B6" i="17"/>
  <c r="B14" i="17"/>
  <c r="B22" i="17"/>
  <c r="B30" i="17"/>
  <c r="B38" i="17"/>
  <c r="B46" i="17"/>
  <c r="B9" i="17"/>
  <c r="B17" i="17"/>
  <c r="B25" i="17"/>
  <c r="B33" i="17"/>
  <c r="B41" i="17"/>
  <c r="B49" i="17"/>
  <c r="B2" i="17"/>
  <c r="B10" i="17"/>
  <c r="B18" i="17"/>
  <c r="B26" i="17"/>
  <c r="B34" i="17"/>
  <c r="B42" i="17"/>
  <c r="B50" i="17"/>
  <c r="B52" i="17"/>
  <c r="B36" i="17"/>
  <c r="B20" i="17"/>
  <c r="B4" i="17"/>
  <c r="B39" i="17"/>
  <c r="B23" i="17"/>
  <c r="B7" i="17"/>
  <c r="B48" i="17"/>
  <c r="B32" i="17"/>
  <c r="B16" i="17"/>
  <c r="B51" i="17"/>
  <c r="B35" i="17"/>
  <c r="B19" i="17"/>
  <c r="B44" i="17"/>
  <c r="B28" i="17"/>
  <c r="B12" i="17"/>
  <c r="B47" i="17"/>
  <c r="B31" i="17"/>
  <c r="B15" i="17"/>
  <c r="B40" i="17"/>
  <c r="B24" i="17"/>
  <c r="B8" i="17"/>
  <c r="B43" i="17"/>
  <c r="B27" i="17"/>
  <c r="B11" i="17"/>
  <c r="A2" i="17" a="1"/>
  <c r="AA38" i="1"/>
  <c r="AB38" i="1"/>
  <c r="M83" i="2"/>
  <c r="D83" i="2"/>
  <c r="N82" i="2"/>
  <c r="A2" i="17" l="1"/>
  <c r="A17" i="17"/>
  <c r="A33" i="17"/>
  <c r="A49" i="17"/>
  <c r="A5" i="17"/>
  <c r="A21" i="17"/>
  <c r="A37" i="17"/>
  <c r="A9" i="17"/>
  <c r="A25" i="17"/>
  <c r="A41" i="17"/>
  <c r="A13" i="17"/>
  <c r="A29" i="17"/>
  <c r="A45" i="17"/>
  <c r="A40" i="17"/>
  <c r="A24" i="17"/>
  <c r="A8" i="17"/>
  <c r="A43" i="17"/>
  <c r="A27" i="17"/>
  <c r="A11" i="17"/>
  <c r="A46" i="17"/>
  <c r="A30" i="17"/>
  <c r="A14" i="17"/>
  <c r="A52" i="17"/>
  <c r="A36" i="17"/>
  <c r="A20" i="17"/>
  <c r="A4" i="17"/>
  <c r="A39" i="17"/>
  <c r="A23" i="17"/>
  <c r="A7" i="17"/>
  <c r="A42" i="17"/>
  <c r="A26" i="17"/>
  <c r="A10" i="17"/>
  <c r="A48" i="17"/>
  <c r="A32" i="17"/>
  <c r="A16" i="17"/>
  <c r="A51" i="17"/>
  <c r="A35" i="17"/>
  <c r="A19" i="17"/>
  <c r="A3" i="17"/>
  <c r="A38" i="17"/>
  <c r="A22" i="17"/>
  <c r="A6" i="17"/>
  <c r="A44" i="17"/>
  <c r="A28" i="17"/>
  <c r="A12" i="17"/>
  <c r="A47" i="17"/>
  <c r="A31" i="17"/>
  <c r="A15" i="17"/>
  <c r="A50" i="17"/>
  <c r="A34" i="17"/>
  <c r="A18" i="17"/>
  <c r="B83" i="2"/>
  <c r="B82" i="2"/>
  <c r="H47" i="4"/>
  <c r="A6" i="7"/>
  <c r="L48" i="4"/>
  <c r="AW73" i="2"/>
  <c r="BB74" i="2" s="1"/>
  <c r="AU5" i="3"/>
  <c r="T41" i="1"/>
  <c r="R41" i="1"/>
  <c r="S41" i="1"/>
  <c r="Q41" i="1"/>
  <c r="G59" i="3"/>
  <c r="W59" i="3"/>
  <c r="AA59" i="3"/>
  <c r="E59" i="3"/>
  <c r="M59" i="3"/>
  <c r="U59" i="3"/>
  <c r="AC59" i="3"/>
  <c r="C59" i="3"/>
  <c r="I59" i="3"/>
  <c r="AB59" i="3"/>
  <c r="L59" i="3"/>
  <c r="Y59" i="3"/>
  <c r="D59" i="3"/>
  <c r="T59" i="3"/>
  <c r="S59" i="3"/>
  <c r="H59" i="3"/>
  <c r="P59" i="3"/>
  <c r="X59" i="3"/>
  <c r="AF59" i="3"/>
  <c r="Q59" i="3"/>
  <c r="N59" i="3"/>
  <c r="R59" i="3"/>
  <c r="Z59" i="3"/>
  <c r="AD59" i="3"/>
  <c r="O59" i="3"/>
  <c r="AE59" i="3"/>
  <c r="K59" i="3"/>
  <c r="F59" i="3"/>
  <c r="V59" i="3"/>
  <c r="J59" i="3"/>
  <c r="O40" i="1"/>
  <c r="BE6" i="18" s="1"/>
  <c r="E78" i="2"/>
  <c r="G78" i="2"/>
  <c r="I78" i="2"/>
  <c r="K78" i="2"/>
  <c r="M78" i="2"/>
  <c r="O78" i="2"/>
  <c r="Q78" i="2"/>
  <c r="S78" i="2"/>
  <c r="U78" i="2"/>
  <c r="W78" i="2"/>
  <c r="Y78" i="2"/>
  <c r="AA78" i="2"/>
  <c r="AC78" i="2"/>
  <c r="AE78" i="2"/>
  <c r="H78" i="2"/>
  <c r="L78" i="2"/>
  <c r="P78" i="2"/>
  <c r="T78" i="2"/>
  <c r="X78" i="2"/>
  <c r="AB78" i="2"/>
  <c r="AF78" i="2"/>
  <c r="F78" i="2"/>
  <c r="J78" i="2"/>
  <c r="N78" i="2"/>
  <c r="R78" i="2"/>
  <c r="V78" i="2"/>
  <c r="Z78" i="2"/>
  <c r="AD78" i="2"/>
  <c r="AK61" i="3"/>
  <c r="AL61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P40" i="1"/>
  <c r="BF6" i="18" s="1"/>
  <c r="O18" i="5"/>
  <c r="AN78" i="2"/>
  <c r="AJ59" i="3" l="1" a="1"/>
  <c r="AJ59" i="3" s="1"/>
  <c r="AM59" i="3" a="1"/>
  <c r="AM59" i="3" s="1"/>
  <c r="AL59" i="3" a="1"/>
  <c r="AL59" i="3" s="1"/>
  <c r="H48" i="4"/>
  <c r="L49" i="4"/>
  <c r="A7" i="7"/>
  <c r="K47" i="4"/>
  <c r="N47" i="4" s="1"/>
  <c r="C6" i="7" s="1"/>
  <c r="O47" i="4"/>
  <c r="D6" i="7" s="1"/>
  <c r="M47" i="4"/>
  <c r="B6" i="7" s="1"/>
  <c r="AW74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AX74" i="2"/>
  <c r="AY74" i="2"/>
  <c r="BA74" i="2"/>
  <c r="AZ74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D78" i="2"/>
  <c r="AM61" i="3"/>
  <c r="AK78" i="2" l="1"/>
  <c r="AN79" i="2" s="1"/>
  <c r="AT78" i="2"/>
  <c r="H49" i="4"/>
  <c r="A8" i="7"/>
  <c r="L50" i="4"/>
  <c r="M48" i="4"/>
  <c r="B7" i="7" s="1"/>
  <c r="O48" i="4"/>
  <c r="D7" i="7" s="1"/>
  <c r="K48" i="4"/>
  <c r="N48" i="4" s="1"/>
  <c r="C7" i="7" s="1"/>
  <c r="C41" i="10"/>
  <c r="D48" i="10" a="1"/>
  <c r="K48" i="10" s="1"/>
  <c r="C44" i="10"/>
  <c r="C51" i="10"/>
  <c r="C20" i="10"/>
  <c r="D11" i="10" a="1"/>
  <c r="G11" i="10" s="1"/>
  <c r="D30" i="10" a="1"/>
  <c r="G30" i="10" s="1"/>
  <c r="C36" i="10"/>
  <c r="C24" i="10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C10" i="10"/>
  <c r="C27" i="10"/>
  <c r="C47" i="10"/>
  <c r="C14" i="10"/>
  <c r="C4" i="10"/>
  <c r="C28" i="10"/>
  <c r="C42" i="10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D21" i="10" a="1"/>
  <c r="G21" i="10" s="1"/>
  <c r="C9" i="10"/>
  <c r="C29" i="10"/>
  <c r="D13" i="10" a="1"/>
  <c r="E13" i="10" s="1"/>
  <c r="C25" i="10"/>
  <c r="C17" i="10"/>
  <c r="C33" i="10"/>
  <c r="C49" i="10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I47" i="10"/>
  <c r="K47" i="10"/>
  <c r="F47" i="10"/>
  <c r="J47" i="10"/>
  <c r="D47" i="10"/>
  <c r="H47" i="10"/>
  <c r="E51" i="10"/>
  <c r="G51" i="10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I49" i="10"/>
  <c r="K49" i="10"/>
  <c r="F49" i="10"/>
  <c r="J49" i="10"/>
  <c r="D49" i="10"/>
  <c r="H49" i="10"/>
  <c r="I8" i="5"/>
  <c r="F5" i="6" s="1"/>
  <c r="D8" i="5"/>
  <c r="C5" i="6" s="1"/>
  <c r="F8" i="5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N51" i="10" l="1"/>
  <c r="N49" i="10"/>
  <c r="N47" i="10"/>
  <c r="N3" i="10"/>
  <c r="N41" i="10"/>
  <c r="N33" i="10"/>
  <c r="N29" i="10"/>
  <c r="N25" i="10"/>
  <c r="N17" i="10"/>
  <c r="N9" i="10"/>
  <c r="N24" i="10"/>
  <c r="N8" i="10"/>
  <c r="N42" i="10"/>
  <c r="N26" i="10"/>
  <c r="N37" i="10"/>
  <c r="N40" i="10"/>
  <c r="N44" i="10"/>
  <c r="N20" i="10"/>
  <c r="N4" i="10"/>
  <c r="N14" i="10"/>
  <c r="N43" i="10"/>
  <c r="N35" i="10"/>
  <c r="N19" i="10"/>
  <c r="N7" i="10"/>
  <c r="N10" i="10"/>
  <c r="N36" i="10"/>
  <c r="N28" i="10"/>
  <c r="N12" i="10"/>
  <c r="N22" i="10"/>
  <c r="N39" i="10"/>
  <c r="N31" i="10"/>
  <c r="N27" i="10"/>
  <c r="N23" i="10"/>
  <c r="N15" i="10"/>
  <c r="A9" i="7"/>
  <c r="L51" i="4"/>
  <c r="H50" i="4"/>
  <c r="K49" i="4"/>
  <c r="N49" i="4" s="1"/>
  <c r="C8" i="7" s="1"/>
  <c r="M49" i="4"/>
  <c r="B8" i="7" s="1"/>
  <c r="O49" i="4"/>
  <c r="D8" i="7" s="1"/>
  <c r="E48" i="10"/>
  <c r="D48" i="10"/>
  <c r="F48" i="10"/>
  <c r="I48" i="10"/>
  <c r="H48" i="10"/>
  <c r="G48" i="10"/>
  <c r="J48" i="10"/>
  <c r="E30" i="10"/>
  <c r="D30" i="10"/>
  <c r="F30" i="10"/>
  <c r="I30" i="10"/>
  <c r="E11" i="10"/>
  <c r="J30" i="10"/>
  <c r="H30" i="10"/>
  <c r="K30" i="10"/>
  <c r="F11" i="10"/>
  <c r="D11" i="10"/>
  <c r="I11" i="10"/>
  <c r="H11" i="10"/>
  <c r="J11" i="10"/>
  <c r="K11" i="10"/>
  <c r="J38" i="10"/>
  <c r="K38" i="10"/>
  <c r="H38" i="10"/>
  <c r="G38" i="10"/>
  <c r="F38" i="10"/>
  <c r="D38" i="10"/>
  <c r="I38" i="10"/>
  <c r="J6" i="10"/>
  <c r="F46" i="10"/>
  <c r="I46" i="10"/>
  <c r="D46" i="10"/>
  <c r="E46" i="10"/>
  <c r="K6" i="10"/>
  <c r="H6" i="10"/>
  <c r="G6" i="10"/>
  <c r="J46" i="10"/>
  <c r="H46" i="10"/>
  <c r="K46" i="10"/>
  <c r="G2" i="10"/>
  <c r="F6" i="10"/>
  <c r="D6" i="10"/>
  <c r="I6" i="10"/>
  <c r="J16" i="10"/>
  <c r="D18" i="10"/>
  <c r="E5" i="10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F16" i="10"/>
  <c r="D16" i="10"/>
  <c r="I16" i="10"/>
  <c r="F50" i="10"/>
  <c r="D50" i="10"/>
  <c r="I50" i="10"/>
  <c r="F32" i="10"/>
  <c r="I32" i="10"/>
  <c r="F34" i="10"/>
  <c r="I34" i="10"/>
  <c r="J45" i="10"/>
  <c r="G45" i="10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P1" i="10" a="1"/>
  <c r="P1" i="10" s="1"/>
  <c r="H13" i="10"/>
  <c r="J13" i="10"/>
  <c r="G13" i="10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N50" i="10" l="1"/>
  <c r="N48" i="10"/>
  <c r="N46" i="10"/>
  <c r="N11" i="10"/>
  <c r="N13" i="10"/>
  <c r="N21" i="10"/>
  <c r="N5" i="10"/>
  <c r="N34" i="10"/>
  <c r="N32" i="10"/>
  <c r="N30" i="10"/>
  <c r="N18" i="10"/>
  <c r="N38" i="10"/>
  <c r="N16" i="10"/>
  <c r="N6" i="10"/>
  <c r="N45" i="10"/>
  <c r="N2" i="10"/>
  <c r="AD2" i="10"/>
  <c r="AD3" i="10" s="1"/>
  <c r="L13" i="10"/>
  <c r="L16" i="10"/>
  <c r="L6" i="10"/>
  <c r="L48" i="10"/>
  <c r="L50" i="10"/>
  <c r="L2" i="10"/>
  <c r="O50" i="4"/>
  <c r="D9" i="7" s="1"/>
  <c r="M50" i="4"/>
  <c r="B9" i="7" s="1"/>
  <c r="K50" i="4"/>
  <c r="N50" i="4" s="1"/>
  <c r="C9" i="7" s="1"/>
  <c r="A10" i="7"/>
  <c r="H51" i="4"/>
  <c r="L52" i="4"/>
  <c r="L38" i="10"/>
  <c r="L45" i="10"/>
  <c r="R1" i="10" a="1"/>
  <c r="R1" i="10" s="1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51" i="10" l="1"/>
  <c r="M50" i="10"/>
  <c r="M49" i="10"/>
  <c r="M48" i="10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Q38" i="10" l="1" a="1"/>
  <c r="Q37" i="10" a="1"/>
  <c r="Q36" i="10" a="1"/>
  <c r="Q35" i="10" a="1"/>
  <c r="Q34" i="10" a="1"/>
  <c r="Q33" i="10" a="1"/>
  <c r="Q32" i="10" a="1"/>
  <c r="Q30" i="10" a="1"/>
  <c r="Q29" i="10" a="1"/>
  <c r="Q27" i="10" a="1"/>
  <c r="Q31" i="10" a="1"/>
  <c r="Q28" i="10" a="1"/>
  <c r="Q26" i="10" a="1"/>
  <c r="K52" i="4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Y37" i="10" l="1"/>
  <c r="U37" i="10"/>
  <c r="Q37" i="10"/>
  <c r="X37" i="10"/>
  <c r="T37" i="10"/>
  <c r="W37" i="10"/>
  <c r="S37" i="10"/>
  <c r="V37" i="10"/>
  <c r="R37" i="10"/>
  <c r="AA37" i="10" s="1"/>
  <c r="Y38" i="10"/>
  <c r="U38" i="10"/>
  <c r="Q38" i="10"/>
  <c r="X38" i="10"/>
  <c r="T38" i="10"/>
  <c r="W38" i="10"/>
  <c r="S38" i="10"/>
  <c r="V38" i="10"/>
  <c r="R38" i="10"/>
  <c r="AA38" i="10" s="1"/>
  <c r="W33" i="10"/>
  <c r="S33" i="10"/>
  <c r="V33" i="10"/>
  <c r="R33" i="10"/>
  <c r="AA33" i="10" s="1"/>
  <c r="Y33" i="10"/>
  <c r="U33" i="10"/>
  <c r="Q33" i="10"/>
  <c r="X33" i="10"/>
  <c r="T33" i="10"/>
  <c r="W34" i="10"/>
  <c r="S34" i="10"/>
  <c r="V34" i="10"/>
  <c r="R34" i="10"/>
  <c r="AA34" i="10" s="1"/>
  <c r="Y34" i="10"/>
  <c r="U34" i="10"/>
  <c r="Q34" i="10"/>
  <c r="X34" i="10"/>
  <c r="T34" i="10"/>
  <c r="W35" i="10"/>
  <c r="S35" i="10"/>
  <c r="V35" i="10"/>
  <c r="R35" i="10"/>
  <c r="AA35" i="10" s="1"/>
  <c r="Y35" i="10"/>
  <c r="U35" i="10"/>
  <c r="Q35" i="10"/>
  <c r="X35" i="10"/>
  <c r="T35" i="10"/>
  <c r="W32" i="10"/>
  <c r="S32" i="10"/>
  <c r="V32" i="10"/>
  <c r="R32" i="10"/>
  <c r="AA32" i="10" s="1"/>
  <c r="Y32" i="10"/>
  <c r="U32" i="10"/>
  <c r="Q32" i="10"/>
  <c r="X32" i="10"/>
  <c r="T32" i="10"/>
  <c r="W36" i="10"/>
  <c r="S36" i="10"/>
  <c r="V36" i="10"/>
  <c r="R36" i="10"/>
  <c r="AA36" i="10" s="1"/>
  <c r="Y36" i="10"/>
  <c r="U36" i="10"/>
  <c r="Q36" i="10"/>
  <c r="X36" i="10"/>
  <c r="T36" i="10"/>
  <c r="W31" i="10"/>
  <c r="S31" i="10"/>
  <c r="V31" i="10"/>
  <c r="R31" i="10"/>
  <c r="AA31" i="10" s="1"/>
  <c r="Y31" i="10"/>
  <c r="U31" i="10"/>
  <c r="Q31" i="10"/>
  <c r="X31" i="10"/>
  <c r="T31" i="10"/>
  <c r="W27" i="10"/>
  <c r="S27" i="10"/>
  <c r="X27" i="10"/>
  <c r="T27" i="10"/>
  <c r="V27" i="10"/>
  <c r="R27" i="10"/>
  <c r="AA27" i="10" s="1"/>
  <c r="Y27" i="10"/>
  <c r="U27" i="10"/>
  <c r="Q27" i="10"/>
  <c r="W26" i="10"/>
  <c r="S26" i="10"/>
  <c r="V26" i="10"/>
  <c r="R26" i="10"/>
  <c r="AA26" i="10" s="1"/>
  <c r="Y26" i="10"/>
  <c r="U26" i="10"/>
  <c r="Q26" i="10"/>
  <c r="X26" i="10"/>
  <c r="T26" i="10"/>
  <c r="W29" i="10"/>
  <c r="S29" i="10"/>
  <c r="V29" i="10"/>
  <c r="R29" i="10"/>
  <c r="AA29" i="10" s="1"/>
  <c r="Y29" i="10"/>
  <c r="U29" i="10"/>
  <c r="Q29" i="10"/>
  <c r="X29" i="10"/>
  <c r="T29" i="10"/>
  <c r="W28" i="10"/>
  <c r="S28" i="10"/>
  <c r="V28" i="10"/>
  <c r="R28" i="10"/>
  <c r="AA28" i="10" s="1"/>
  <c r="Y28" i="10"/>
  <c r="U28" i="10"/>
  <c r="Q28" i="10"/>
  <c r="X28" i="10"/>
  <c r="T28" i="10"/>
  <c r="W30" i="10"/>
  <c r="S30" i="10"/>
  <c r="X30" i="10"/>
  <c r="T30" i="10"/>
  <c r="V30" i="10"/>
  <c r="R30" i="10"/>
  <c r="AA30" i="10" s="1"/>
  <c r="Y30" i="10"/>
  <c r="U30" i="10"/>
  <c r="Q30" i="10"/>
  <c r="A13" i="7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AA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AD4" i="10" l="1"/>
  <c r="J3" i="18" s="1" a="1"/>
  <c r="Z37" i="10"/>
  <c r="Z35" i="10"/>
  <c r="Z38" i="10"/>
  <c r="Z34" i="10"/>
  <c r="Z36" i="10"/>
  <c r="Z33" i="10"/>
  <c r="Z32" i="10"/>
  <c r="Z26" i="10"/>
  <c r="Z28" i="10"/>
  <c r="Z31" i="10"/>
  <c r="Z29" i="10"/>
  <c r="Z30" i="10"/>
  <c r="Z27" i="10"/>
  <c r="Z11" i="10"/>
  <c r="AA11" i="10" s="1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AA20" i="10" s="1"/>
  <c r="Z14" i="10"/>
  <c r="AA14" i="10" s="1"/>
  <c r="Z4" i="10"/>
  <c r="AA4" i="10" s="1"/>
  <c r="Z21" i="10"/>
  <c r="AA21" i="10" s="1"/>
  <c r="Z22" i="10"/>
  <c r="AA22" i="10" s="1"/>
  <c r="Z17" i="10"/>
  <c r="AA17" i="10" s="1"/>
  <c r="Z6" i="10"/>
  <c r="AA6" i="10" s="1"/>
  <c r="Z9" i="10"/>
  <c r="AA9" i="10" s="1"/>
  <c r="Z13" i="10"/>
  <c r="AA13" i="10" s="1"/>
  <c r="Z10" i="10"/>
  <c r="AA10" i="10" s="1"/>
  <c r="Z8" i="10"/>
  <c r="AA8" i="10" s="1"/>
  <c r="Z19" i="10"/>
  <c r="AA19" i="10" s="1"/>
  <c r="Z12" i="10"/>
  <c r="AA12" i="10" s="1"/>
  <c r="Z18" i="10"/>
  <c r="AA18" i="10" s="1"/>
  <c r="Z16" i="10"/>
  <c r="AA16" i="10" s="1"/>
  <c r="Z24" i="10"/>
  <c r="Z15" i="10"/>
  <c r="AA15" i="10" s="1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M3" i="18" l="1"/>
  <c r="Q3" i="18"/>
  <c r="L4" i="18"/>
  <c r="P4" i="18"/>
  <c r="K5" i="18"/>
  <c r="O5" i="18"/>
  <c r="J6" i="18"/>
  <c r="N6" i="18"/>
  <c r="R6" i="18"/>
  <c r="M7" i="18"/>
  <c r="Q7" i="18"/>
  <c r="L8" i="18"/>
  <c r="P8" i="18"/>
  <c r="K9" i="18"/>
  <c r="O9" i="18"/>
  <c r="J10" i="18"/>
  <c r="N10" i="18"/>
  <c r="R10" i="18"/>
  <c r="M11" i="18"/>
  <c r="Q11" i="18"/>
  <c r="L12" i="18"/>
  <c r="P12" i="18"/>
  <c r="K13" i="18"/>
  <c r="O13" i="18"/>
  <c r="J14" i="18"/>
  <c r="N14" i="18"/>
  <c r="R14" i="18"/>
  <c r="J3" i="18"/>
  <c r="N3" i="18"/>
  <c r="R3" i="18"/>
  <c r="M4" i="18"/>
  <c r="Q4" i="18"/>
  <c r="L5" i="18"/>
  <c r="P5" i="18"/>
  <c r="K6" i="18"/>
  <c r="O6" i="18"/>
  <c r="J7" i="18"/>
  <c r="N7" i="18"/>
  <c r="R7" i="18"/>
  <c r="M8" i="18"/>
  <c r="Q8" i="18"/>
  <c r="L9" i="18"/>
  <c r="P9" i="18"/>
  <c r="K10" i="18"/>
  <c r="O10" i="18"/>
  <c r="J11" i="18"/>
  <c r="N11" i="18"/>
  <c r="R11" i="18"/>
  <c r="M12" i="18"/>
  <c r="Q12" i="18"/>
  <c r="L13" i="18"/>
  <c r="P13" i="18"/>
  <c r="K14" i="18"/>
  <c r="O14" i="18"/>
  <c r="K3" i="18"/>
  <c r="O3" i="18"/>
  <c r="J4" i="18"/>
  <c r="N4" i="18"/>
  <c r="R4" i="18"/>
  <c r="M5" i="18"/>
  <c r="Q5" i="18"/>
  <c r="L6" i="18"/>
  <c r="P6" i="18"/>
  <c r="K7" i="18"/>
  <c r="O7" i="18"/>
  <c r="J8" i="18"/>
  <c r="N8" i="18"/>
  <c r="R8" i="18"/>
  <c r="M9" i="18"/>
  <c r="Q9" i="18"/>
  <c r="L10" i="18"/>
  <c r="P10" i="18"/>
  <c r="K11" i="18"/>
  <c r="O11" i="18"/>
  <c r="J12" i="18"/>
  <c r="N12" i="18"/>
  <c r="R12" i="18"/>
  <c r="M13" i="18"/>
  <c r="Q13" i="18"/>
  <c r="L14" i="18"/>
  <c r="P14" i="18"/>
  <c r="K15" i="18"/>
  <c r="O15" i="18"/>
  <c r="J16" i="18"/>
  <c r="N16" i="18"/>
  <c r="R16" i="18"/>
  <c r="M17" i="18"/>
  <c r="Q17" i="18"/>
  <c r="L18" i="18"/>
  <c r="P18" i="18"/>
  <c r="K19" i="18"/>
  <c r="O19" i="18"/>
  <c r="J20" i="18"/>
  <c r="N20" i="18"/>
  <c r="R20" i="18"/>
  <c r="M21" i="18"/>
  <c r="Q21" i="18"/>
  <c r="L22" i="18"/>
  <c r="P22" i="18"/>
  <c r="K23" i="18"/>
  <c r="O23" i="18"/>
  <c r="J24" i="18"/>
  <c r="N24" i="18"/>
  <c r="R24" i="18"/>
  <c r="M25" i="18"/>
  <c r="Q25" i="18"/>
  <c r="L26" i="18"/>
  <c r="P26" i="18"/>
  <c r="K27" i="18"/>
  <c r="O27" i="18"/>
  <c r="J28" i="18"/>
  <c r="N28" i="18"/>
  <c r="R28" i="18"/>
  <c r="M29" i="18"/>
  <c r="Q29" i="18"/>
  <c r="L30" i="18"/>
  <c r="P30" i="18"/>
  <c r="L3" i="18"/>
  <c r="P3" i="18"/>
  <c r="K4" i="18"/>
  <c r="O4" i="18"/>
  <c r="J5" i="18"/>
  <c r="N5" i="18"/>
  <c r="R5" i="18"/>
  <c r="M6" i="18"/>
  <c r="Q6" i="18"/>
  <c r="L7" i="18"/>
  <c r="P7" i="18"/>
  <c r="K8" i="18"/>
  <c r="O8" i="18"/>
  <c r="J9" i="18"/>
  <c r="N9" i="18"/>
  <c r="R9" i="18"/>
  <c r="M10" i="18"/>
  <c r="Q10" i="18"/>
  <c r="L11" i="18"/>
  <c r="P11" i="18"/>
  <c r="K12" i="18"/>
  <c r="O12" i="18"/>
  <c r="Q14" i="18"/>
  <c r="N18" i="18"/>
  <c r="Q26" i="18"/>
  <c r="R13" i="18"/>
  <c r="L15" i="18"/>
  <c r="Q15" i="18"/>
  <c r="M16" i="18"/>
  <c r="J17" i="18"/>
  <c r="O17" i="18"/>
  <c r="K18" i="18"/>
  <c r="Q18" i="18"/>
  <c r="M19" i="18"/>
  <c r="R19" i="18"/>
  <c r="O20" i="18"/>
  <c r="K21" i="18"/>
  <c r="P21" i="18"/>
  <c r="M22" i="18"/>
  <c r="R22" i="18"/>
  <c r="N23" i="18"/>
  <c r="K24" i="18"/>
  <c r="P24" i="18"/>
  <c r="L25" i="18"/>
  <c r="R25" i="18"/>
  <c r="N26" i="18"/>
  <c r="J27" i="18"/>
  <c r="P27" i="18"/>
  <c r="L28" i="18"/>
  <c r="Q28" i="18"/>
  <c r="N29" i="18"/>
  <c r="J30" i="18"/>
  <c r="O30" i="18"/>
  <c r="M14" i="18"/>
  <c r="M15" i="18"/>
  <c r="R15" i="18"/>
  <c r="O16" i="18"/>
  <c r="K17" i="18"/>
  <c r="P17" i="18"/>
  <c r="M18" i="18"/>
  <c r="R18" i="18"/>
  <c r="N19" i="18"/>
  <c r="K20" i="18"/>
  <c r="P20" i="18"/>
  <c r="L21" i="18"/>
  <c r="R21" i="18"/>
  <c r="N22" i="18"/>
  <c r="J23" i="18"/>
  <c r="P23" i="18"/>
  <c r="L24" i="18"/>
  <c r="Q24" i="18"/>
  <c r="N25" i="18"/>
  <c r="J26" i="18"/>
  <c r="O26" i="18"/>
  <c r="L27" i="18"/>
  <c r="Q27" i="18"/>
  <c r="M28" i="18"/>
  <c r="J29" i="18"/>
  <c r="O29" i="18"/>
  <c r="K30" i="18"/>
  <c r="Q30" i="18"/>
  <c r="J13" i="18"/>
  <c r="N15" i="18"/>
  <c r="K16" i="18"/>
  <c r="P16" i="18"/>
  <c r="L17" i="18"/>
  <c r="R17" i="18"/>
  <c r="J19" i="18"/>
  <c r="P19" i="18"/>
  <c r="L20" i="18"/>
  <c r="Q20" i="18"/>
  <c r="N21" i="18"/>
  <c r="J22" i="18"/>
  <c r="O22" i="18"/>
  <c r="L23" i="18"/>
  <c r="Q23" i="18"/>
  <c r="M24" i="18"/>
  <c r="J25" i="18"/>
  <c r="O25" i="18"/>
  <c r="K26" i="18"/>
  <c r="M27" i="18"/>
  <c r="R27" i="18"/>
  <c r="O28" i="18"/>
  <c r="K29" i="18"/>
  <c r="P29" i="18"/>
  <c r="M30" i="18"/>
  <c r="R30" i="18"/>
  <c r="N13" i="18"/>
  <c r="J15" i="18"/>
  <c r="P15" i="18"/>
  <c r="L16" i="18"/>
  <c r="Q16" i="18"/>
  <c r="N17" i="18"/>
  <c r="J18" i="18"/>
  <c r="O18" i="18"/>
  <c r="L19" i="18"/>
  <c r="Q19" i="18"/>
  <c r="M20" i="18"/>
  <c r="J21" i="18"/>
  <c r="O21" i="18"/>
  <c r="K22" i="18"/>
  <c r="Q22" i="18"/>
  <c r="M23" i="18"/>
  <c r="R23" i="18"/>
  <c r="O24" i="18"/>
  <c r="K25" i="18"/>
  <c r="P25" i="18"/>
  <c r="M26" i="18"/>
  <c r="R26" i="18"/>
  <c r="N27" i="18"/>
  <c r="K28" i="18"/>
  <c r="P28" i="18"/>
  <c r="L29" i="18"/>
  <c r="R29" i="18"/>
  <c r="N30" i="18"/>
  <c r="L57" i="4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  <c r="BM5" i="2"/>
  <c r="BM27" i="2"/>
  <c r="BM15" i="2"/>
  <c r="BM69" i="2"/>
  <c r="BM18" i="2"/>
  <c r="BM59" i="2"/>
  <c r="BM53" i="2"/>
  <c r="BM63" i="2"/>
  <c r="BM36" i="2"/>
  <c r="BM28" i="2"/>
  <c r="BM39" i="2"/>
  <c r="BM24" i="2"/>
  <c r="BM67" i="2"/>
  <c r="BM12" i="2"/>
  <c r="BM60" i="2"/>
  <c r="BM29" i="2"/>
  <c r="BM35" i="2"/>
  <c r="BM22" i="2"/>
  <c r="BM19" i="2"/>
  <c r="BM23" i="2"/>
  <c r="BM43" i="2"/>
  <c r="BM32" i="2"/>
  <c r="BM11" i="2"/>
  <c r="BM33" i="2"/>
  <c r="BM55" i="2"/>
  <c r="BM25" i="2"/>
  <c r="BM64" i="2"/>
  <c r="BM52" i="2"/>
  <c r="BM50" i="2"/>
  <c r="BM31" i="2"/>
  <c r="BM46" i="2"/>
  <c r="BM7" i="2"/>
  <c r="BM41" i="2"/>
  <c r="BM20" i="2"/>
  <c r="BM65" i="2"/>
  <c r="BM62" i="2"/>
  <c r="BM48" i="2"/>
  <c r="BM47" i="2"/>
  <c r="BM37" i="2"/>
  <c r="BM45" i="2"/>
  <c r="BM6" i="2"/>
  <c r="BM54" i="2"/>
  <c r="BM14" i="2"/>
  <c r="BM21" i="2"/>
  <c r="BM40" i="2"/>
  <c r="BM8" i="2"/>
  <c r="BM42" i="2"/>
  <c r="BM44" i="2"/>
  <c r="BM17" i="2"/>
  <c r="BM51" i="2"/>
  <c r="BM10" i="2"/>
  <c r="BM16" i="2"/>
  <c r="BM70" i="2"/>
  <c r="BM49" i="2"/>
  <c r="BM58" i="2"/>
  <c r="BM26" i="2"/>
  <c r="BM13" i="2"/>
  <c r="BM34" i="2"/>
  <c r="I37" i="9" l="1"/>
  <c r="F37" i="9" s="1"/>
  <c r="I55" i="9"/>
  <c r="B55" i="9" s="1"/>
  <c r="I41" i="9"/>
  <c r="I20" i="9"/>
  <c r="I49" i="9"/>
  <c r="I15" i="9"/>
  <c r="I19" i="9"/>
  <c r="I52" i="9"/>
  <c r="I6" i="9"/>
  <c r="I30" i="9"/>
  <c r="I3" i="9"/>
  <c r="I25" i="9"/>
  <c r="I45" i="9"/>
  <c r="I58" i="9"/>
  <c r="I23" i="9"/>
  <c r="I34" i="9"/>
  <c r="I10" i="9"/>
  <c r="I24" i="9"/>
  <c r="I2" i="9"/>
  <c r="I43" i="9"/>
  <c r="I50" i="9"/>
  <c r="I42" i="9"/>
  <c r="I16" i="9"/>
  <c r="I35" i="9"/>
  <c r="I26" i="9"/>
  <c r="I12" i="9"/>
  <c r="I33" i="9"/>
  <c r="I7" i="9"/>
  <c r="I56" i="9"/>
  <c r="I18" i="9"/>
  <c r="I13" i="9"/>
  <c r="I4" i="9"/>
  <c r="I39" i="9"/>
  <c r="I28" i="9"/>
  <c r="I29" i="9"/>
  <c r="I47" i="9"/>
  <c r="I60" i="9"/>
  <c r="I14" i="9"/>
  <c r="I9" i="9"/>
  <c r="I11" i="9"/>
  <c r="I38" i="9"/>
  <c r="I27" i="9"/>
  <c r="I21" i="9"/>
  <c r="I53" i="9"/>
  <c r="I32" i="9"/>
  <c r="I36" i="9"/>
  <c r="I59" i="9"/>
  <c r="I48" i="9"/>
  <c r="I44" i="9"/>
  <c r="I54" i="9"/>
  <c r="I5" i="9"/>
  <c r="I40" i="9"/>
  <c r="I8" i="9"/>
  <c r="I17" i="9"/>
  <c r="I46" i="9"/>
  <c r="I57" i="9"/>
  <c r="I22" i="9"/>
  <c r="I31" i="9"/>
  <c r="I51" i="9"/>
  <c r="F55" i="9" l="1"/>
  <c r="E55" i="9"/>
  <c r="H55" i="9"/>
  <c r="G55" i="9"/>
  <c r="C55" i="9"/>
  <c r="D55" i="9"/>
  <c r="J55" i="9" s="1"/>
  <c r="B37" i="9"/>
  <c r="E37" i="9"/>
  <c r="C37" i="9"/>
  <c r="H37" i="9"/>
  <c r="D37" i="9"/>
  <c r="G37" i="9"/>
  <c r="B53" i="9"/>
  <c r="F53" i="9"/>
  <c r="D53" i="9"/>
  <c r="G53" i="9"/>
  <c r="C53" i="9"/>
  <c r="E53" i="9"/>
  <c r="H53" i="9"/>
  <c r="F25" i="9"/>
  <c r="D25" i="9"/>
  <c r="H25" i="9"/>
  <c r="C25" i="9"/>
  <c r="B25" i="9"/>
  <c r="E25" i="9"/>
  <c r="G25" i="9"/>
  <c r="D20" i="9"/>
  <c r="F20" i="9"/>
  <c r="H20" i="9"/>
  <c r="B20" i="9"/>
  <c r="G20" i="9"/>
  <c r="E20" i="9"/>
  <c r="C20" i="9"/>
  <c r="F3" i="9"/>
  <c r="E3" i="9"/>
  <c r="C3" i="9"/>
  <c r="G3" i="9"/>
  <c r="H3" i="9"/>
  <c r="D3" i="9"/>
  <c r="B3" i="9"/>
  <c r="F41" i="9"/>
  <c r="D41" i="9"/>
  <c r="H41" i="9"/>
  <c r="E41" i="9"/>
  <c r="B41" i="9"/>
  <c r="C41" i="9"/>
  <c r="G41" i="9"/>
  <c r="C47" i="9"/>
  <c r="F47" i="9"/>
  <c r="E47" i="9"/>
  <c r="D47" i="9"/>
  <c r="G47" i="9"/>
  <c r="H47" i="9"/>
  <c r="B47" i="9"/>
  <c r="D51" i="9"/>
  <c r="H51" i="9"/>
  <c r="F51" i="9"/>
  <c r="E51" i="9"/>
  <c r="C51" i="9"/>
  <c r="G51" i="9"/>
  <c r="B51" i="9"/>
  <c r="D27" i="9"/>
  <c r="G27" i="9"/>
  <c r="F27" i="9"/>
  <c r="H27" i="9"/>
  <c r="E27" i="9"/>
  <c r="B27" i="9"/>
  <c r="C27" i="9"/>
  <c r="D12" i="9"/>
  <c r="H12" i="9"/>
  <c r="G12" i="9"/>
  <c r="B12" i="9"/>
  <c r="C12" i="9"/>
  <c r="E12" i="9"/>
  <c r="F12" i="9"/>
  <c r="F24" i="9"/>
  <c r="H24" i="9"/>
  <c r="B24" i="9"/>
  <c r="G24" i="9"/>
  <c r="C24" i="9"/>
  <c r="D24" i="9"/>
  <c r="E24" i="9"/>
  <c r="D30" i="9"/>
  <c r="F30" i="9"/>
  <c r="G30" i="9"/>
  <c r="H30" i="9"/>
  <c r="E30" i="9"/>
  <c r="B30" i="9"/>
  <c r="C30" i="9"/>
  <c r="D29" i="9"/>
  <c r="G29" i="9"/>
  <c r="H29" i="9"/>
  <c r="E29" i="9"/>
  <c r="B29" i="9"/>
  <c r="F29" i="9"/>
  <c r="C29" i="9"/>
  <c r="G22" i="9"/>
  <c r="H22" i="9"/>
  <c r="B22" i="9"/>
  <c r="E22" i="9"/>
  <c r="D22" i="9"/>
  <c r="C22" i="9"/>
  <c r="F22" i="9"/>
  <c r="F26" i="9"/>
  <c r="B26" i="9"/>
  <c r="H26" i="9"/>
  <c r="C26" i="9"/>
  <c r="G26" i="9"/>
  <c r="D26" i="9"/>
  <c r="E26" i="9"/>
  <c r="E10" i="9"/>
  <c r="H10" i="9"/>
  <c r="C10" i="9"/>
  <c r="B10" i="9"/>
  <c r="F10" i="9"/>
  <c r="G10" i="9"/>
  <c r="D10" i="9"/>
  <c r="C6" i="9"/>
  <c r="B6" i="9"/>
  <c r="E6" i="9"/>
  <c r="F6" i="9"/>
  <c r="G6" i="9"/>
  <c r="D6" i="9"/>
  <c r="H6" i="9"/>
  <c r="D40" i="9"/>
  <c r="G40" i="9"/>
  <c r="F40" i="9"/>
  <c r="C40" i="9"/>
  <c r="B40" i="9"/>
  <c r="E40" i="9"/>
  <c r="H40" i="9"/>
  <c r="D21" i="9"/>
  <c r="F21" i="9"/>
  <c r="H21" i="9"/>
  <c r="C21" i="9"/>
  <c r="G21" i="9"/>
  <c r="B21" i="9"/>
  <c r="E21" i="9"/>
  <c r="D54" i="9"/>
  <c r="B54" i="9"/>
  <c r="H54" i="9"/>
  <c r="C54" i="9"/>
  <c r="G54" i="9"/>
  <c r="E54" i="9"/>
  <c r="F54" i="9"/>
  <c r="D44" i="9"/>
  <c r="B44" i="9"/>
  <c r="H44" i="9"/>
  <c r="E44" i="9"/>
  <c r="G44" i="9"/>
  <c r="C44" i="9"/>
  <c r="F44" i="9"/>
  <c r="D48" i="9"/>
  <c r="C48" i="9"/>
  <c r="H48" i="9"/>
  <c r="G48" i="9"/>
  <c r="F48" i="9"/>
  <c r="E48" i="9"/>
  <c r="B48" i="9"/>
  <c r="G11" i="9"/>
  <c r="H11" i="9"/>
  <c r="E11" i="9"/>
  <c r="B11" i="9"/>
  <c r="D11" i="9"/>
  <c r="F11" i="9"/>
  <c r="C11" i="9"/>
  <c r="D4" i="9"/>
  <c r="B4" i="9"/>
  <c r="E4" i="9"/>
  <c r="F4" i="9"/>
  <c r="H4" i="9"/>
  <c r="C4" i="9"/>
  <c r="G4" i="9"/>
  <c r="H35" i="9"/>
  <c r="F35" i="9"/>
  <c r="E35" i="9"/>
  <c r="C35" i="9"/>
  <c r="G35" i="9"/>
  <c r="D35" i="9"/>
  <c r="B35" i="9"/>
  <c r="F34" i="9"/>
  <c r="G34" i="9"/>
  <c r="H34" i="9"/>
  <c r="B34" i="9"/>
  <c r="D34" i="9"/>
  <c r="C34" i="9"/>
  <c r="E34" i="9"/>
  <c r="D52" i="9"/>
  <c r="F52" i="9"/>
  <c r="C52" i="9"/>
  <c r="E52" i="9"/>
  <c r="G52" i="9"/>
  <c r="B52" i="9"/>
  <c r="H52" i="9"/>
  <c r="D7" i="9"/>
  <c r="H7" i="9"/>
  <c r="E7" i="9"/>
  <c r="C7" i="9"/>
  <c r="F7" i="9"/>
  <c r="B7" i="9"/>
  <c r="G7" i="9"/>
  <c r="B33" i="9"/>
  <c r="C33" i="9"/>
  <c r="F33" i="9"/>
  <c r="H33" i="9"/>
  <c r="D33" i="9"/>
  <c r="E33" i="9"/>
  <c r="G33" i="9"/>
  <c r="D28" i="9"/>
  <c r="F28" i="9"/>
  <c r="C28" i="9"/>
  <c r="G28" i="9"/>
  <c r="H28" i="9"/>
  <c r="E28" i="9"/>
  <c r="B28" i="9"/>
  <c r="H13" i="9"/>
  <c r="G13" i="9"/>
  <c r="E13" i="9"/>
  <c r="F13" i="9"/>
  <c r="C13" i="9"/>
  <c r="D13" i="9"/>
  <c r="B13" i="9"/>
  <c r="D23" i="9"/>
  <c r="F23" i="9"/>
  <c r="H23" i="9"/>
  <c r="C23" i="9"/>
  <c r="B23" i="9"/>
  <c r="G23" i="9"/>
  <c r="E23" i="9"/>
  <c r="D19" i="9"/>
  <c r="B19" i="9"/>
  <c r="E19" i="9"/>
  <c r="C19" i="9"/>
  <c r="H19" i="9"/>
  <c r="F19" i="9"/>
  <c r="G19" i="9"/>
  <c r="D43" i="9"/>
  <c r="G43" i="9"/>
  <c r="H43" i="9"/>
  <c r="E43" i="9"/>
  <c r="B43" i="9"/>
  <c r="F43" i="9"/>
  <c r="C43" i="9"/>
  <c r="D2" i="9"/>
  <c r="H2" i="9"/>
  <c r="B2" i="9"/>
  <c r="C2" i="9"/>
  <c r="E2" i="9"/>
  <c r="G2" i="9"/>
  <c r="F2" i="9"/>
  <c r="C39" i="9"/>
  <c r="F39" i="9"/>
  <c r="B39" i="9"/>
  <c r="G39" i="9"/>
  <c r="D39" i="9"/>
  <c r="H39" i="9"/>
  <c r="E39" i="9"/>
  <c r="D57" i="9"/>
  <c r="F57" i="9"/>
  <c r="B57" i="9"/>
  <c r="H57" i="9"/>
  <c r="C57" i="9"/>
  <c r="E57" i="9"/>
  <c r="G57" i="9"/>
  <c r="D59" i="9"/>
  <c r="F59" i="9"/>
  <c r="G59" i="9"/>
  <c r="C59" i="9"/>
  <c r="H59" i="9"/>
  <c r="E59" i="9"/>
  <c r="B59" i="9"/>
  <c r="D17" i="9"/>
  <c r="G17" i="9"/>
  <c r="E17" i="9"/>
  <c r="H17" i="9"/>
  <c r="F17" i="9"/>
  <c r="C17" i="9"/>
  <c r="B17" i="9"/>
  <c r="D14" i="9"/>
  <c r="H14" i="9"/>
  <c r="F14" i="9"/>
  <c r="B14" i="9"/>
  <c r="G14" i="9"/>
  <c r="C14" i="9"/>
  <c r="E14" i="9"/>
  <c r="D18" i="9"/>
  <c r="G18" i="9"/>
  <c r="E18" i="9"/>
  <c r="F18" i="9"/>
  <c r="C18" i="9"/>
  <c r="B18" i="9"/>
  <c r="H18" i="9"/>
  <c r="D42" i="9"/>
  <c r="E42" i="9"/>
  <c r="F42" i="9"/>
  <c r="C42" i="9"/>
  <c r="G42" i="9"/>
  <c r="B42" i="9"/>
  <c r="H42" i="9"/>
  <c r="C58" i="9"/>
  <c r="G58" i="9"/>
  <c r="E58" i="9"/>
  <c r="D58" i="9"/>
  <c r="F58" i="9"/>
  <c r="B58" i="9"/>
  <c r="H58" i="9"/>
  <c r="C15" i="9"/>
  <c r="D15" i="9"/>
  <c r="G15" i="9"/>
  <c r="B15" i="9"/>
  <c r="F15" i="9"/>
  <c r="H15" i="9"/>
  <c r="E15" i="9"/>
  <c r="D5" i="9"/>
  <c r="F5" i="9"/>
  <c r="H5" i="9"/>
  <c r="G5" i="9"/>
  <c r="C5" i="9"/>
  <c r="E5" i="9"/>
  <c r="B5" i="9"/>
  <c r="D31" i="9"/>
  <c r="F31" i="9"/>
  <c r="G31" i="9"/>
  <c r="B31" i="9"/>
  <c r="C31" i="9"/>
  <c r="H31" i="9"/>
  <c r="E31" i="9"/>
  <c r="G38" i="9"/>
  <c r="E38" i="9"/>
  <c r="D38" i="9"/>
  <c r="H38" i="9"/>
  <c r="B38" i="9"/>
  <c r="C38" i="9"/>
  <c r="F38" i="9"/>
  <c r="C46" i="9"/>
  <c r="E46" i="9"/>
  <c r="D46" i="9"/>
  <c r="H46" i="9"/>
  <c r="F46" i="9"/>
  <c r="B46" i="9"/>
  <c r="G46" i="9"/>
  <c r="D9" i="9"/>
  <c r="F9" i="9"/>
  <c r="C9" i="9"/>
  <c r="G9" i="9"/>
  <c r="H9" i="9"/>
  <c r="E9" i="9"/>
  <c r="B9" i="9"/>
  <c r="H16" i="9"/>
  <c r="G16" i="9"/>
  <c r="E16" i="9"/>
  <c r="C16" i="9"/>
  <c r="D16" i="9"/>
  <c r="F16" i="9"/>
  <c r="B16" i="9"/>
  <c r="G36" i="9"/>
  <c r="E36" i="9"/>
  <c r="D36" i="9"/>
  <c r="H36" i="9"/>
  <c r="B36" i="9"/>
  <c r="C36" i="9"/>
  <c r="F36" i="9"/>
  <c r="F8" i="9"/>
  <c r="C8" i="9"/>
  <c r="D8" i="9"/>
  <c r="H8" i="9"/>
  <c r="B8" i="9"/>
  <c r="G8" i="9"/>
  <c r="E8" i="9"/>
  <c r="D32" i="9"/>
  <c r="B32" i="9"/>
  <c r="C32" i="9"/>
  <c r="G32" i="9"/>
  <c r="F32" i="9"/>
  <c r="H32" i="9"/>
  <c r="E32" i="9"/>
  <c r="F60" i="9"/>
  <c r="E60" i="9"/>
  <c r="C60" i="9"/>
  <c r="D60" i="9"/>
  <c r="B60" i="9"/>
  <c r="H60" i="9"/>
  <c r="G60" i="9"/>
  <c r="B56" i="9"/>
  <c r="H56" i="9"/>
  <c r="E56" i="9"/>
  <c r="G56" i="9"/>
  <c r="D56" i="9"/>
  <c r="C56" i="9"/>
  <c r="F56" i="9"/>
  <c r="B50" i="9"/>
  <c r="H50" i="9"/>
  <c r="D50" i="9"/>
  <c r="G50" i="9"/>
  <c r="F50" i="9"/>
  <c r="E50" i="9"/>
  <c r="C50" i="9"/>
  <c r="D45" i="9"/>
  <c r="H45" i="9"/>
  <c r="C45" i="9"/>
  <c r="B45" i="9"/>
  <c r="E45" i="9"/>
  <c r="F45" i="9"/>
  <c r="G45" i="9"/>
  <c r="G49" i="9"/>
  <c r="H49" i="9"/>
  <c r="C49" i="9"/>
  <c r="D49" i="9"/>
  <c r="F49" i="9"/>
  <c r="B49" i="9"/>
  <c r="E49" i="9"/>
  <c r="L55" i="9" l="1"/>
  <c r="L37" i="9"/>
  <c r="J37" i="9"/>
  <c r="L56" i="9"/>
  <c r="J56" i="9"/>
  <c r="J60" i="9"/>
  <c r="L60" i="9"/>
  <c r="J15" i="9"/>
  <c r="L15" i="9"/>
  <c r="J2" i="9"/>
  <c r="L2" i="9"/>
  <c r="J52" i="9"/>
  <c r="L52" i="9"/>
  <c r="J11" i="9"/>
  <c r="L11" i="9"/>
  <c r="J21" i="9"/>
  <c r="L21" i="9"/>
  <c r="J7" i="9"/>
  <c r="L7" i="9"/>
  <c r="J35" i="9"/>
  <c r="L35" i="9"/>
  <c r="J54" i="9"/>
  <c r="L54" i="9"/>
  <c r="J6" i="9"/>
  <c r="L6" i="9"/>
  <c r="J30" i="9"/>
  <c r="L30" i="9"/>
  <c r="J47" i="9"/>
  <c r="L47" i="9"/>
  <c r="J20" i="9"/>
  <c r="L20" i="9"/>
  <c r="J32" i="9"/>
  <c r="L32" i="9"/>
  <c r="J38" i="9"/>
  <c r="L38" i="9"/>
  <c r="J5" i="9"/>
  <c r="L5" i="9"/>
  <c r="J57" i="9"/>
  <c r="L57" i="9"/>
  <c r="J44" i="9"/>
  <c r="L44" i="9"/>
  <c r="L29" i="9"/>
  <c r="J29" i="9"/>
  <c r="J41" i="9"/>
  <c r="L41" i="9"/>
  <c r="J36" i="9"/>
  <c r="L36" i="9"/>
  <c r="J50" i="9"/>
  <c r="L50" i="9"/>
  <c r="J16" i="9"/>
  <c r="L16" i="9"/>
  <c r="J46" i="9"/>
  <c r="L46" i="9"/>
  <c r="J31" i="9"/>
  <c r="L31" i="9"/>
  <c r="L59" i="9"/>
  <c r="J59" i="9"/>
  <c r="J28" i="9"/>
  <c r="L28" i="9"/>
  <c r="J34" i="9"/>
  <c r="L34" i="9"/>
  <c r="J48" i="9"/>
  <c r="L48" i="9"/>
  <c r="J24" i="9"/>
  <c r="L24" i="9"/>
  <c r="J45" i="9"/>
  <c r="L45" i="9"/>
  <c r="J49" i="9"/>
  <c r="L49" i="9"/>
  <c r="L17" i="9"/>
  <c r="J17" i="9"/>
  <c r="J9" i="9"/>
  <c r="L9" i="9"/>
  <c r="J58" i="9"/>
  <c r="L58" i="9"/>
  <c r="J14" i="9"/>
  <c r="L14" i="9"/>
  <c r="J39" i="9"/>
  <c r="L39" i="9"/>
  <c r="W1" i="9"/>
  <c r="W2" i="9" s="1"/>
  <c r="W3" i="9" s="1"/>
  <c r="J23" i="9"/>
  <c r="L23" i="9"/>
  <c r="J4" i="9"/>
  <c r="L4" i="9"/>
  <c r="J51" i="9"/>
  <c r="L51" i="9"/>
  <c r="J3" i="9"/>
  <c r="L3" i="9"/>
  <c r="L53" i="9"/>
  <c r="J53" i="9"/>
  <c r="M1" i="9" a="1"/>
  <c r="M1" i="9" s="1"/>
  <c r="K37" i="9" s="1"/>
  <c r="L19" i="9"/>
  <c r="J19" i="9"/>
  <c r="J33" i="9"/>
  <c r="L33" i="9"/>
  <c r="J27" i="9"/>
  <c r="L27" i="9"/>
  <c r="J18" i="9"/>
  <c r="L18" i="9"/>
  <c r="J8" i="9"/>
  <c r="L8" i="9"/>
  <c r="J42" i="9"/>
  <c r="L42" i="9"/>
  <c r="L43" i="9"/>
  <c r="J43" i="9"/>
  <c r="J13" i="9"/>
  <c r="L13" i="9"/>
  <c r="J40" i="9"/>
  <c r="L40" i="9"/>
  <c r="J10" i="9"/>
  <c r="L10" i="9"/>
  <c r="J26" i="9"/>
  <c r="L26" i="9"/>
  <c r="J22" i="9"/>
  <c r="L22" i="9"/>
  <c r="L12" i="9"/>
  <c r="J12" i="9"/>
  <c r="J25" i="9"/>
  <c r="L25" i="9"/>
  <c r="K8" i="9" l="1"/>
  <c r="K22" i="9"/>
  <c r="K43" i="9"/>
  <c r="K23" i="9"/>
  <c r="K45" i="9"/>
  <c r="K28" i="9"/>
  <c r="K16" i="9"/>
  <c r="K38" i="9"/>
  <c r="K30" i="9"/>
  <c r="K7" i="9"/>
  <c r="K2" i="9"/>
  <c r="K59" i="9"/>
  <c r="K3" i="9"/>
  <c r="K9" i="9"/>
  <c r="K24" i="9"/>
  <c r="K50" i="9"/>
  <c r="K44" i="9"/>
  <c r="K32" i="9"/>
  <c r="K6" i="9"/>
  <c r="K21" i="9"/>
  <c r="K15" i="9"/>
  <c r="K10" i="9"/>
  <c r="K39" i="9"/>
  <c r="K17" i="9"/>
  <c r="K26" i="9"/>
  <c r="K27" i="9"/>
  <c r="K25" i="9"/>
  <c r="K42" i="9"/>
  <c r="K33" i="9"/>
  <c r="K12" i="9"/>
  <c r="K19" i="9"/>
  <c r="K51" i="9"/>
  <c r="K48" i="9"/>
  <c r="K31" i="9"/>
  <c r="K36" i="9"/>
  <c r="K57" i="9"/>
  <c r="K20" i="9"/>
  <c r="K54" i="9"/>
  <c r="K11" i="9"/>
  <c r="K60" i="9"/>
  <c r="K40" i="9"/>
  <c r="K14" i="9"/>
  <c r="K56" i="9"/>
  <c r="K4" i="9"/>
  <c r="K49" i="9"/>
  <c r="K34" i="9"/>
  <c r="K46" i="9"/>
  <c r="K41" i="9"/>
  <c r="K5" i="9"/>
  <c r="K47" i="9"/>
  <c r="K35" i="9"/>
  <c r="K52" i="9"/>
  <c r="K13" i="9"/>
  <c r="K18" i="9"/>
  <c r="K53" i="9"/>
  <c r="K58" i="9"/>
  <c r="K29" i="9"/>
  <c r="K55" i="9"/>
  <c r="M2" i="9" l="1"/>
  <c r="R2" i="9" s="1"/>
  <c r="M3" i="9"/>
  <c r="R3" i="9" s="1"/>
  <c r="M19" i="9"/>
  <c r="S19" i="9" s="1"/>
  <c r="M13" i="9"/>
  <c r="M14" i="9"/>
  <c r="M20" i="9"/>
  <c r="M42" i="9"/>
  <c r="M23" i="9"/>
  <c r="M7" i="9"/>
  <c r="M41" i="9"/>
  <c r="M25" i="9"/>
  <c r="M40" i="9"/>
  <c r="M15" i="9"/>
  <c r="M32" i="9"/>
  <c r="M37" i="9"/>
  <c r="M22" i="9"/>
  <c r="M35" i="9"/>
  <c r="M38" i="9"/>
  <c r="M16" i="9"/>
  <c r="M43" i="9"/>
  <c r="M27" i="9"/>
  <c r="M17" i="9"/>
  <c r="M8" i="9"/>
  <c r="M5" i="9"/>
  <c r="M24" i="9"/>
  <c r="M12" i="9"/>
  <c r="M10" i="9"/>
  <c r="M39" i="9"/>
  <c r="M26" i="9"/>
  <c r="M31" i="9"/>
  <c r="M30" i="9"/>
  <c r="M21" i="9"/>
  <c r="M29" i="9"/>
  <c r="M18" i="9"/>
  <c r="M9" i="9"/>
  <c r="M11" i="9"/>
  <c r="M34" i="9"/>
  <c r="M36" i="9"/>
  <c r="M4" i="9"/>
  <c r="S3" i="9"/>
  <c r="O3" i="9"/>
  <c r="P3" i="9"/>
  <c r="Q3" i="9"/>
  <c r="T3" i="9"/>
  <c r="M33" i="9"/>
  <c r="M28" i="9"/>
  <c r="M6" i="9"/>
  <c r="P2" i="9" l="1"/>
  <c r="O2" i="9"/>
  <c r="T2" i="9"/>
  <c r="S2" i="9"/>
  <c r="Q2" i="9"/>
  <c r="R19" i="9"/>
  <c r="T19" i="9"/>
  <c r="O19" i="9"/>
  <c r="P19" i="9"/>
  <c r="Q19" i="9"/>
  <c r="S28" i="9"/>
  <c r="T28" i="9"/>
  <c r="O28" i="9"/>
  <c r="R28" i="9"/>
  <c r="Q28" i="9"/>
  <c r="P28" i="9"/>
  <c r="R27" i="9"/>
  <c r="P27" i="9"/>
  <c r="T27" i="9"/>
  <c r="Q27" i="9"/>
  <c r="S27" i="9"/>
  <c r="O27" i="9"/>
  <c r="O15" i="9"/>
  <c r="T15" i="9"/>
  <c r="S15" i="9"/>
  <c r="Q15" i="9"/>
  <c r="P15" i="9"/>
  <c r="R15" i="9"/>
  <c r="R14" i="9"/>
  <c r="Q14" i="9"/>
  <c r="O14" i="9"/>
  <c r="S14" i="9"/>
  <c r="T14" i="9"/>
  <c r="P14" i="9"/>
  <c r="O40" i="9"/>
  <c r="T40" i="9"/>
  <c r="P40" i="9"/>
  <c r="Q40" i="9"/>
  <c r="R40" i="9"/>
  <c r="S40" i="9"/>
  <c r="Q13" i="9"/>
  <c r="S13" i="9"/>
  <c r="T13" i="9"/>
  <c r="P13" i="9"/>
  <c r="R13" i="9"/>
  <c r="O13" i="9"/>
  <c r="T31" i="9"/>
  <c r="P31" i="9"/>
  <c r="Q31" i="9"/>
  <c r="S31" i="9"/>
  <c r="O31" i="9"/>
  <c r="R31" i="9"/>
  <c r="S16" i="9"/>
  <c r="T16" i="9"/>
  <c r="Q16" i="9"/>
  <c r="R16" i="9"/>
  <c r="O16" i="9"/>
  <c r="P16" i="9"/>
  <c r="S25" i="9"/>
  <c r="O25" i="9"/>
  <c r="T25" i="9"/>
  <c r="Q25" i="9"/>
  <c r="R25" i="9"/>
  <c r="P25" i="9"/>
  <c r="R33" i="9"/>
  <c r="Q33" i="9"/>
  <c r="S33" i="9"/>
  <c r="P33" i="9"/>
  <c r="T33" i="9"/>
  <c r="O33" i="9"/>
  <c r="T41" i="9"/>
  <c r="S41" i="9"/>
  <c r="R41" i="9"/>
  <c r="Q41" i="9"/>
  <c r="O41" i="9"/>
  <c r="P41" i="9"/>
  <c r="Q30" i="9"/>
  <c r="R30" i="9"/>
  <c r="T30" i="9"/>
  <c r="P30" i="9"/>
  <c r="O30" i="9"/>
  <c r="S30" i="9"/>
  <c r="O26" i="9"/>
  <c r="S26" i="9"/>
  <c r="P26" i="9"/>
  <c r="Q26" i="9"/>
  <c r="T26" i="9"/>
  <c r="R26" i="9"/>
  <c r="P11" i="9"/>
  <c r="O11" i="9"/>
  <c r="Q11" i="9"/>
  <c r="T11" i="9"/>
  <c r="S11" i="9"/>
  <c r="R11" i="9"/>
  <c r="O9" i="9"/>
  <c r="Q9" i="9"/>
  <c r="T9" i="9"/>
  <c r="S9" i="9"/>
  <c r="P9" i="9"/>
  <c r="R9" i="9"/>
  <c r="Q35" i="9"/>
  <c r="S35" i="9"/>
  <c r="P35" i="9"/>
  <c r="R35" i="9"/>
  <c r="T35" i="9"/>
  <c r="O35" i="9"/>
  <c r="Q7" i="9"/>
  <c r="R7" i="9"/>
  <c r="S7" i="9"/>
  <c r="P7" i="9"/>
  <c r="O7" i="9"/>
  <c r="T7" i="9"/>
  <c r="Q4" i="9"/>
  <c r="P4" i="9"/>
  <c r="S4" i="9"/>
  <c r="T4" i="9"/>
  <c r="R4" i="9"/>
  <c r="O4" i="9"/>
  <c r="R34" i="9"/>
  <c r="T34" i="9"/>
  <c r="P34" i="9"/>
  <c r="Q34" i="9"/>
  <c r="O34" i="9"/>
  <c r="S34" i="9"/>
  <c r="S38" i="9"/>
  <c r="P38" i="9"/>
  <c r="Q38" i="9"/>
  <c r="R38" i="9"/>
  <c r="T38" i="9"/>
  <c r="O38" i="9"/>
  <c r="R22" i="9"/>
  <c r="T22" i="9"/>
  <c r="P22" i="9"/>
  <c r="S22" i="9"/>
  <c r="Q22" i="9"/>
  <c r="O22" i="9"/>
  <c r="Q23" i="9"/>
  <c r="P23" i="9"/>
  <c r="O23" i="9"/>
  <c r="S23" i="9"/>
  <c r="R23" i="9"/>
  <c r="T23" i="9"/>
  <c r="P36" i="9"/>
  <c r="Q36" i="9"/>
  <c r="S36" i="9"/>
  <c r="T36" i="9"/>
  <c r="R36" i="9"/>
  <c r="O36" i="9"/>
  <c r="T10" i="9"/>
  <c r="O10" i="9"/>
  <c r="Q10" i="9"/>
  <c r="P10" i="9"/>
  <c r="S10" i="9"/>
  <c r="R10" i="9"/>
  <c r="Q12" i="9"/>
  <c r="T12" i="9"/>
  <c r="O12" i="9"/>
  <c r="R12" i="9"/>
  <c r="S12" i="9"/>
  <c r="P12" i="9"/>
  <c r="Q29" i="9"/>
  <c r="P29" i="9"/>
  <c r="S29" i="9"/>
  <c r="R29" i="9"/>
  <c r="T29" i="9"/>
  <c r="O29" i="9"/>
  <c r="P8" i="9"/>
  <c r="Q8" i="9"/>
  <c r="R8" i="9"/>
  <c r="S8" i="9"/>
  <c r="O8" i="9"/>
  <c r="T8" i="9"/>
  <c r="T37" i="9"/>
  <c r="S37" i="9"/>
  <c r="Q37" i="9"/>
  <c r="R37" i="9"/>
  <c r="O37" i="9"/>
  <c r="P37" i="9"/>
  <c r="S42" i="9"/>
  <c r="Q42" i="9"/>
  <c r="R42" i="9"/>
  <c r="T42" i="9"/>
  <c r="P42" i="9"/>
  <c r="O42" i="9"/>
  <c r="S43" i="9"/>
  <c r="T43" i="9"/>
  <c r="R43" i="9"/>
  <c r="Q43" i="9"/>
  <c r="O43" i="9"/>
  <c r="P43" i="9"/>
  <c r="P39" i="9"/>
  <c r="S39" i="9"/>
  <c r="O39" i="9"/>
  <c r="Q39" i="9"/>
  <c r="T39" i="9"/>
  <c r="R39" i="9"/>
  <c r="R24" i="9"/>
  <c r="T24" i="9"/>
  <c r="O24" i="9"/>
  <c r="Q24" i="9"/>
  <c r="P24" i="9"/>
  <c r="S24" i="9"/>
  <c r="O18" i="9"/>
  <c r="S18" i="9"/>
  <c r="Q18" i="9"/>
  <c r="P18" i="9"/>
  <c r="T18" i="9"/>
  <c r="R18" i="9"/>
  <c r="R5" i="9"/>
  <c r="P5" i="9"/>
  <c r="S5" i="9"/>
  <c r="Q5" i="9"/>
  <c r="T5" i="9"/>
  <c r="O5" i="9"/>
  <c r="R6" i="9"/>
  <c r="S6" i="9"/>
  <c r="O6" i="9"/>
  <c r="T6" i="9"/>
  <c r="Q6" i="9"/>
  <c r="P6" i="9"/>
  <c r="O21" i="9"/>
  <c r="R21" i="9"/>
  <c r="P21" i="9"/>
  <c r="S21" i="9"/>
  <c r="Q21" i="9"/>
  <c r="T21" i="9"/>
  <c r="P17" i="9"/>
  <c r="R17" i="9"/>
  <c r="O17" i="9"/>
  <c r="S17" i="9"/>
  <c r="T17" i="9"/>
  <c r="Q17" i="9"/>
  <c r="Q32" i="9"/>
  <c r="P32" i="9"/>
  <c r="T32" i="9"/>
  <c r="O32" i="9"/>
  <c r="S32" i="9"/>
  <c r="R32" i="9"/>
  <c r="Q20" i="9"/>
  <c r="S20" i="9"/>
  <c r="O20" i="9"/>
  <c r="T20" i="9"/>
  <c r="P20" i="9"/>
  <c r="R20" i="9"/>
  <c r="B3" i="18" l="1" a="1"/>
  <c r="C41" i="18" s="1"/>
  <c r="F6" i="18" l="1"/>
  <c r="G42" i="18"/>
  <c r="B3" i="18"/>
  <c r="C39" i="18"/>
  <c r="G38" i="18"/>
  <c r="G35" i="18"/>
  <c r="G18" i="18"/>
  <c r="G20" i="18"/>
  <c r="E42" i="18"/>
  <c r="G23" i="18"/>
  <c r="F22" i="18"/>
  <c r="C4" i="18"/>
  <c r="F36" i="18"/>
  <c r="E8" i="18"/>
  <c r="G6" i="18"/>
  <c r="F15" i="18"/>
  <c r="D6" i="18"/>
  <c r="F11" i="18"/>
  <c r="E16" i="18"/>
  <c r="E19" i="18"/>
  <c r="B9" i="18"/>
  <c r="C19" i="18"/>
  <c r="B31" i="18"/>
  <c r="B35" i="18"/>
  <c r="D28" i="18"/>
  <c r="B37" i="18"/>
  <c r="C7" i="18"/>
  <c r="G32" i="18"/>
  <c r="G34" i="18"/>
  <c r="C27" i="18"/>
  <c r="D32" i="18"/>
  <c r="F16" i="18"/>
  <c r="E26" i="18"/>
  <c r="C21" i="18"/>
  <c r="C5" i="18"/>
  <c r="E40" i="18"/>
  <c r="C35" i="18"/>
  <c r="D41" i="18"/>
  <c r="D7" i="18"/>
  <c r="D19" i="18"/>
  <c r="E13" i="18"/>
  <c r="B4" i="18"/>
  <c r="G25" i="18"/>
  <c r="G31" i="18"/>
  <c r="D27" i="18"/>
  <c r="F28" i="18"/>
  <c r="D39" i="18"/>
  <c r="C31" i="18"/>
  <c r="B16" i="18"/>
  <c r="E21" i="18"/>
  <c r="E12" i="18"/>
  <c r="G26" i="18"/>
  <c r="F29" i="18"/>
  <c r="E11" i="18"/>
  <c r="D38" i="18"/>
  <c r="G39" i="18"/>
  <c r="G16" i="18"/>
  <c r="D25" i="18"/>
  <c r="D23" i="18"/>
  <c r="G30" i="18"/>
  <c r="E5" i="18"/>
  <c r="C29" i="18"/>
  <c r="B6" i="18"/>
  <c r="C34" i="18"/>
  <c r="F27" i="18"/>
  <c r="G24" i="18"/>
  <c r="F8" i="18"/>
  <c r="C22" i="18"/>
  <c r="F30" i="18"/>
  <c r="C18" i="18"/>
  <c r="E4" i="18"/>
  <c r="C9" i="18"/>
  <c r="G40" i="18"/>
  <c r="E27" i="18"/>
  <c r="D13" i="18"/>
  <c r="B27" i="18"/>
  <c r="C17" i="18"/>
  <c r="E6" i="18"/>
  <c r="B18" i="18"/>
  <c r="G8" i="18"/>
  <c r="F39" i="18"/>
  <c r="C40" i="18"/>
  <c r="C24" i="18"/>
  <c r="F26" i="18"/>
  <c r="B34" i="18"/>
  <c r="F17" i="18"/>
  <c r="G12" i="18"/>
  <c r="D5" i="18"/>
  <c r="B14" i="18"/>
  <c r="D24" i="18"/>
  <c r="D18" i="18"/>
  <c r="F7" i="18"/>
  <c r="C11" i="18"/>
  <c r="E35" i="18"/>
  <c r="F10" i="18"/>
  <c r="F35" i="18"/>
  <c r="B32" i="18"/>
  <c r="F37" i="18"/>
  <c r="D16" i="18"/>
  <c r="G11" i="18"/>
  <c r="E9" i="18"/>
  <c r="F5" i="18"/>
  <c r="F31" i="18"/>
  <c r="G17" i="18"/>
  <c r="E41" i="18"/>
  <c r="B29" i="18"/>
  <c r="C16" i="18"/>
  <c r="G4" i="18"/>
  <c r="E17" i="18"/>
  <c r="C23" i="18"/>
  <c r="D8" i="18"/>
  <c r="B17" i="18"/>
  <c r="B23" i="18"/>
  <c r="C30" i="18"/>
  <c r="C13" i="18"/>
  <c r="G14" i="18"/>
  <c r="B11" i="18"/>
  <c r="B25" i="18"/>
  <c r="D10" i="18"/>
  <c r="D4" i="18"/>
  <c r="D30" i="18"/>
  <c r="F4" i="18"/>
  <c r="B28" i="18"/>
  <c r="G19" i="18"/>
  <c r="B13" i="18"/>
  <c r="F23" i="18"/>
  <c r="D20" i="18"/>
  <c r="G29" i="18"/>
  <c r="E22" i="18"/>
  <c r="C33" i="18"/>
  <c r="D40" i="18"/>
  <c r="B10" i="18"/>
  <c r="G37" i="18"/>
  <c r="F13" i="18"/>
  <c r="C10" i="18"/>
  <c r="D15" i="18"/>
  <c r="F18" i="18"/>
  <c r="C8" i="18"/>
  <c r="B12" i="18"/>
  <c r="G21" i="18"/>
  <c r="C38" i="18"/>
  <c r="E30" i="18"/>
  <c r="E28" i="18"/>
  <c r="B33" i="18"/>
  <c r="G9" i="18"/>
  <c r="E32" i="18"/>
  <c r="E36" i="18"/>
  <c r="E15" i="18"/>
  <c r="D21" i="18"/>
  <c r="C32" i="18"/>
  <c r="C26" i="18"/>
  <c r="G5" i="18"/>
  <c r="C3" i="18"/>
  <c r="B39" i="18"/>
  <c r="F3" i="18"/>
  <c r="E24" i="18"/>
  <c r="D33" i="18"/>
  <c r="D3" i="18"/>
  <c r="F34" i="18"/>
  <c r="E34" i="18"/>
  <c r="G28" i="18"/>
  <c r="B22" i="18"/>
  <c r="D31" i="18"/>
  <c r="D14" i="18"/>
  <c r="D17" i="18"/>
  <c r="G15" i="18"/>
  <c r="F25" i="18"/>
  <c r="F40" i="18"/>
  <c r="F19" i="18"/>
  <c r="E31" i="18"/>
  <c r="E39" i="18"/>
  <c r="C14" i="18"/>
  <c r="E7" i="18"/>
  <c r="G27" i="18"/>
  <c r="E20" i="18"/>
  <c r="F32" i="18"/>
  <c r="G7" i="18"/>
  <c r="B41" i="18"/>
  <c r="F21" i="18"/>
  <c r="B5" i="18"/>
  <c r="D29" i="18"/>
  <c r="D11" i="18"/>
  <c r="B38" i="18"/>
  <c r="E3" i="18"/>
  <c r="D26" i="18"/>
  <c r="F41" i="18"/>
  <c r="G13" i="18"/>
  <c r="B30" i="18"/>
  <c r="D35" i="18"/>
  <c r="G10" i="18"/>
  <c r="B42" i="18"/>
  <c r="D12" i="18"/>
  <c r="F33" i="18"/>
  <c r="C25" i="18"/>
  <c r="E33" i="18"/>
  <c r="F20" i="18"/>
  <c r="G3" i="18"/>
  <c r="B7" i="18"/>
  <c r="F12" i="18"/>
  <c r="B19" i="18"/>
  <c r="F24" i="18"/>
  <c r="C28" i="18"/>
  <c r="G36" i="18"/>
  <c r="D22" i="18"/>
  <c r="D42" i="18"/>
  <c r="C37" i="18"/>
  <c r="B20" i="18"/>
  <c r="C20" i="18"/>
  <c r="D34" i="18"/>
  <c r="B15" i="18"/>
  <c r="B8" i="18"/>
  <c r="E29" i="18"/>
  <c r="E14" i="18"/>
  <c r="B40" i="18"/>
  <c r="G22" i="18"/>
  <c r="E25" i="18"/>
  <c r="F42" i="18"/>
  <c r="B36" i="18"/>
  <c r="D9" i="18"/>
  <c r="F9" i="18"/>
  <c r="D36" i="18"/>
  <c r="B26" i="18"/>
  <c r="C42" i="18"/>
  <c r="F14" i="18"/>
  <c r="C12" i="18"/>
  <c r="C15" i="18"/>
  <c r="B21" i="18"/>
  <c r="G41" i="18"/>
  <c r="E37" i="18"/>
  <c r="E18" i="18"/>
  <c r="B24" i="18"/>
  <c r="E23" i="18"/>
  <c r="D37" i="18"/>
  <c r="E10" i="18"/>
  <c r="F38" i="18"/>
  <c r="C36" i="18"/>
  <c r="E38" i="18"/>
  <c r="C6" i="18"/>
  <c r="G33" i="18"/>
</calcChain>
</file>

<file path=xl/sharedStrings.xml><?xml version="1.0" encoding="utf-8"?>
<sst xmlns="http://schemas.openxmlformats.org/spreadsheetml/2006/main" count="2745" uniqueCount="595">
  <si>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</si>
  <si>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</si>
  <si>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</si>
  <si>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</si>
  <si>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</si>
  <si>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</si>
  <si>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</si>
  <si>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</si>
  <si>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</si>
  <si>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</si>
  <si>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</si>
  <si>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</si>
  <si>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</si>
  <si>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</si>
  <si>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</si>
  <si>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</si>
  <si>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</si>
  <si>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</si>
  <si>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</si>
  <si>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</si>
  <si>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</si>
  <si>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</si>
  <si>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</si>
  <si>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</si>
  <si>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</si>
  <si>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</si>
  <si>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</si>
  <si>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</si>
  <si>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</si>
  <si>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</si>
  <si>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</si>
  <si>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</si>
  <si>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</si>
  <si>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</si>
  <si>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</si>
  <si>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</si>
  <si>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</si>
  <si>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</si>
  <si>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</si>
  <si>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</si>
  <si>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</si>
  <si>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</si>
  <si>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</si>
  <si>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</si>
  <si>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</si>
  <si>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</si>
  <si>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</si>
  <si>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</si>
  <si>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</si>
  <si>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</si>
  <si>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</si>
  <si>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</si>
  <si>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</si>
  <si>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</si>
  <si>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</si>
  <si>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</si>
  <si>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</si>
  <si>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</si>
  <si>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</si>
  <si>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</si>
  <si>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</si>
  <si>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</si>
  <si>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</si>
  <si>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</si>
  <si>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</si>
  <si>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</si>
  <si>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</si>
  <si>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</si>
  <si>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</si>
  <si>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</si>
  <si>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</si>
  <si>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</si>
  <si>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</si>
  <si>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</si>
  <si>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</si>
  <si>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</si>
  <si>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</si>
  <si>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</si>
  <si>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</si>
  <si>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</si>
  <si>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</si>
  <si>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</si>
  <si>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</si>
  <si>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</si>
  <si>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</si>
  <si>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</si>
  <si>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</si>
  <si>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</si>
  <si>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</si>
  <si>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</si>
  <si>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</si>
  <si>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</si>
  <si>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</si>
  <si>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</si>
  <si>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</si>
  <si>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</si>
  <si>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</si>
  <si>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</si>
  <si>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</si>
  <si>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</si>
  <si>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</si>
  <si>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</si>
  <si>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</si>
  <si>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</si>
  <si>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</si>
  <si>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</si>
  <si>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</si>
  <si>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</si>
  <si>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</si>
  <si>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</si>
  <si>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</si>
  <si>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</si>
  <si>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</si>
  <si>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</si>
  <si>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</si>
  <si>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</si>
  <si>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</si>
  <si>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</si>
  <si>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</si>
  <si>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</si>
  <si>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</si>
  <si>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</si>
  <si>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</si>
  <si>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</si>
  <si>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</si>
  <si>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</si>
  <si>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</si>
  <si>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</si>
  <si>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</si>
  <si>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</si>
  <si>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</si>
  <si>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</si>
  <si>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</si>
  <si>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</si>
  <si>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</si>
  <si>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</si>
  <si>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</si>
  <si>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</si>
  <si>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</si>
  <si>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</si>
  <si>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</si>
  <si>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</si>
  <si>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</si>
  <si>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</si>
  <si>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</si>
  <si>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</si>
  <si>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</si>
  <si>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</si>
  <si>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</si>
  <si>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</si>
  <si>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</si>
  <si>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</si>
  <si>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</si>
  <si>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</si>
  <si>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</si>
  <si>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</si>
  <si>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</si>
  <si>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</si>
  <si>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</si>
  <si>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</si>
  <si>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</si>
  <si>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</si>
  <si>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</si>
  <si>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</si>
  <si>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</si>
  <si>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</si>
  <si>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</si>
  <si>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</si>
  <si>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</si>
  <si>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</si>
  <si>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</si>
  <si>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</si>
  <si>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</si>
  <si>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</si>
  <si>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</si>
  <si>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</si>
  <si>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</si>
  <si>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</si>
  <si>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</si>
  <si>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</si>
  <si>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</si>
  <si>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</si>
  <si>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</si>
  <si>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</si>
  <si>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</si>
  <si>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</si>
  <si>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</si>
  <si>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</si>
  <si>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</si>
  <si>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</si>
  <si>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</si>
  <si>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</si>
  <si>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</si>
  <si>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</si>
  <si>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</si>
  <si>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Capt Name</t>
  </si>
  <si>
    <t>Seymour C</t>
  </si>
  <si>
    <t>Queries</t>
  </si>
  <si>
    <t>TOCC</t>
  </si>
  <si>
    <t>L</t>
  </si>
  <si>
    <t>W</t>
  </si>
  <si>
    <t>Middleton J</t>
  </si>
  <si>
    <t>N/O</t>
  </si>
  <si>
    <t>Mark</t>
  </si>
  <si>
    <t>Clarkson M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</si>
  <si>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</si>
  <si>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</si>
  <si>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</si>
  <si>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</si>
  <si>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</si>
  <si>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</si>
  <si>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</si>
  <si>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</si>
  <si>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</si>
  <si>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</si>
  <si>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</si>
  <si>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</si>
  <si>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</si>
  <si>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Woodgreen</t>
  </si>
  <si>
    <t>FiveFors</t>
  </si>
  <si>
    <t>Tony</t>
  </si>
  <si>
    <t>Springer T</t>
  </si>
  <si>
    <t>*</t>
  </si>
  <si>
    <t>Brocks D</t>
  </si>
  <si>
    <t>/ret</t>
  </si>
  <si>
    <t>Match</t>
  </si>
  <si>
    <t>Total balls received</t>
  </si>
  <si>
    <t>Total Overs faced</t>
  </si>
  <si>
    <t>Nilesh</t>
  </si>
  <si>
    <t>Rathi N</t>
  </si>
  <si>
    <t>Raj</t>
  </si>
  <si>
    <t>Foxworthy P</t>
  </si>
  <si>
    <t>Wilson A</t>
  </si>
  <si>
    <t>Parboo R</t>
  </si>
  <si>
    <t>Bhatt P</t>
  </si>
  <si>
    <t>Viveganandan M</t>
  </si>
  <si>
    <t>Other Batters</t>
  </si>
  <si>
    <t>Steeple Langford</t>
  </si>
  <si>
    <t>Vs</t>
  </si>
  <si>
    <t>Catch Info</t>
  </si>
  <si>
    <t>Row Labels</t>
  </si>
  <si>
    <t>Grand Total</t>
  </si>
  <si>
    <t>25s</t>
  </si>
  <si>
    <t>Shome G</t>
  </si>
  <si>
    <t>Niran S</t>
  </si>
  <si>
    <t>Chima R</t>
  </si>
  <si>
    <t>Mike</t>
  </si>
  <si>
    <t>Adam</t>
  </si>
  <si>
    <t>Sunkara C</t>
  </si>
  <si>
    <t>Dave</t>
  </si>
  <si>
    <t>Jenkins D</t>
  </si>
  <si>
    <t>Woodhouse M</t>
  </si>
  <si>
    <t>Joel</t>
  </si>
  <si>
    <t>Seev J</t>
  </si>
  <si>
    <t>Prash</t>
  </si>
  <si>
    <t>Dennis</t>
  </si>
  <si>
    <t>Jason</t>
  </si>
  <si>
    <t>Naish J</t>
  </si>
  <si>
    <t>Seymour D</t>
  </si>
  <si>
    <t>Gaurav</t>
  </si>
  <si>
    <t>Alex</t>
  </si>
  <si>
    <t>Mubin</t>
  </si>
  <si>
    <t>Ahmed M</t>
  </si>
  <si>
    <t>Pete</t>
  </si>
  <si>
    <t>O'Rourke</t>
  </si>
  <si>
    <t>Res</t>
  </si>
  <si>
    <t>Column Labels</t>
  </si>
  <si>
    <t>Count of Res</t>
  </si>
  <si>
    <t>Worcester Park</t>
  </si>
  <si>
    <t>Fonthill Park</t>
  </si>
  <si>
    <t>Harry</t>
  </si>
  <si>
    <t>Sharpe H</t>
  </si>
  <si>
    <t>Deol R</t>
  </si>
  <si>
    <t>Sort</t>
  </si>
  <si>
    <t>Selva</t>
  </si>
  <si>
    <t>BATTING</t>
  </si>
  <si>
    <t>BOWLING</t>
  </si>
  <si>
    <t>PARTNERSHIPS</t>
  </si>
  <si>
    <t>1</t>
  </si>
  <si>
    <t>3</t>
  </si>
  <si>
    <t>2</t>
  </si>
  <si>
    <t>4</t>
  </si>
  <si>
    <t>CATCHES</t>
  </si>
  <si>
    <t>SIXES</t>
  </si>
  <si>
    <t>FOURS</t>
  </si>
  <si>
    <t>25+</t>
  </si>
  <si>
    <t>APPEARANCES</t>
  </si>
  <si>
    <t>&gt;1 DUCK</t>
  </si>
  <si>
    <t>Hundreds</t>
  </si>
  <si>
    <t>Beddington</t>
  </si>
  <si>
    <t>Riverside</t>
  </si>
  <si>
    <t>H</t>
  </si>
  <si>
    <t>A</t>
  </si>
  <si>
    <t>Aleem</t>
  </si>
  <si>
    <t>Kaleem</t>
  </si>
  <si>
    <t>Sajjid A</t>
  </si>
  <si>
    <t>Sajjid K</t>
  </si>
  <si>
    <t>Lance</t>
  </si>
  <si>
    <t>Curling L</t>
  </si>
  <si>
    <t>Madu</t>
  </si>
  <si>
    <t>Hemasinghe M</t>
  </si>
  <si>
    <t>Kogulathasan D</t>
  </si>
  <si>
    <t>Roland ???</t>
  </si>
  <si>
    <t>Rob</t>
  </si>
  <si>
    <t>11/0/dnb/0/0</t>
  </si>
  <si>
    <t>Stevenson R</t>
  </si>
  <si>
    <t>ND</t>
  </si>
  <si>
    <t>6/0/dnb/0/0</t>
  </si>
  <si>
    <t>8/0/dnb/0/0</t>
  </si>
  <si>
    <t>9/0/dnb/0/0</t>
  </si>
  <si>
    <t>10/0/dnb/0/0</t>
  </si>
  <si>
    <t>Rugg D</t>
  </si>
  <si>
    <t>Fleming N</t>
  </si>
  <si>
    <t>Norman</t>
  </si>
  <si>
    <t>9/0/no/0/0</t>
  </si>
  <si>
    <t>Soham</t>
  </si>
  <si>
    <t>De S</t>
  </si>
  <si>
    <t>Qualifiers</t>
  </si>
  <si>
    <t>In Table</t>
  </si>
  <si>
    <t>In Avgs</t>
  </si>
  <si>
    <t>#N/A</t>
  </si>
  <si>
    <t>Bowled</t>
  </si>
  <si>
    <t>Low-Hughes A</t>
  </si>
  <si>
    <t>Alfie</t>
  </si>
  <si>
    <t>Ffrench R</t>
  </si>
  <si>
    <t>Ray</t>
  </si>
  <si>
    <t>"Luca"</t>
  </si>
  <si>
    <t>Taylor C</t>
  </si>
  <si>
    <t>Entries</t>
  </si>
  <si>
    <t>6 (3)</t>
  </si>
  <si>
    <t>Also</t>
  </si>
  <si>
    <t>Also:</t>
  </si>
  <si>
    <t>Runs scored</t>
  </si>
  <si>
    <t>TRINITY</t>
  </si>
  <si>
    <t>Opposition</t>
  </si>
  <si>
    <t>Wickets Lost</t>
  </si>
  <si>
    <t>Average runs/wicket</t>
  </si>
  <si>
    <t>Scoring rate per 100 balls</t>
  </si>
  <si>
    <t>Extras conceded</t>
  </si>
  <si>
    <t>Byes</t>
  </si>
  <si>
    <t>Leg byes</t>
  </si>
  <si>
    <t>No balls</t>
  </si>
  <si>
    <t>Wides</t>
  </si>
  <si>
    <t>Highest innings</t>
  </si>
  <si>
    <t>Lowest innings</t>
  </si>
  <si>
    <t>Overs bowled</t>
  </si>
  <si>
    <t>Jain A</t>
  </si>
  <si>
    <t>Ashish</t>
  </si>
  <si>
    <t>Patel M</t>
  </si>
  <si>
    <t>YRG Eagles</t>
  </si>
  <si>
    <t>Patel J</t>
  </si>
  <si>
    <t>Warlingham</t>
  </si>
  <si>
    <t>Merton Bears</t>
  </si>
  <si>
    <t>8/0/dnb/1/0</t>
  </si>
  <si>
    <t>Umar S</t>
  </si>
  <si>
    <t>D</t>
  </si>
  <si>
    <t>Ahmed R</t>
  </si>
  <si>
    <t>Mayur</t>
  </si>
  <si>
    <t>Soham De</t>
  </si>
  <si>
    <t>Ben</t>
  </si>
  <si>
    <t>Lindsay B</t>
  </si>
  <si>
    <t>Richmond Legbreakers</t>
  </si>
  <si>
    <t>7/0/b/0/0</t>
  </si>
  <si>
    <t>Robert</t>
  </si>
  <si>
    <t>Turner</t>
  </si>
  <si>
    <t>11/0/no/0/0</t>
  </si>
  <si>
    <t>Turner R</t>
  </si>
  <si>
    <t>Norwood Exiles</t>
  </si>
  <si>
    <t>5/0/dnb/0/0</t>
  </si>
  <si>
    <t>Abhy</t>
  </si>
  <si>
    <t>Roy A</t>
  </si>
  <si>
    <t>7/0/dnb/0/0</t>
  </si>
  <si>
    <t>London Leopards</t>
  </si>
  <si>
    <t>Chaitanya</t>
  </si>
  <si>
    <t>"Naveed"</t>
  </si>
  <si>
    <t>Morden</t>
  </si>
  <si>
    <t>Anurag</t>
  </si>
  <si>
    <t>Biswas A</t>
  </si>
  <si>
    <t>Shaz</t>
  </si>
  <si>
    <t>Mahmood S</t>
  </si>
  <si>
    <t>Sanket</t>
  </si>
  <si>
    <t>Patel S</t>
  </si>
  <si>
    <t>Sanket Patel</t>
  </si>
  <si>
    <t>Sanderstead</t>
  </si>
  <si>
    <t>Sundip Nair</t>
  </si>
  <si>
    <t>Billy</t>
  </si>
  <si>
    <t>Crone W</t>
  </si>
  <si>
    <t>Prash Bhatt</t>
  </si>
  <si>
    <t>Jay</t>
  </si>
  <si>
    <t>Afroz</t>
  </si>
  <si>
    <t>Khan A</t>
  </si>
  <si>
    <t>Mander C</t>
  </si>
  <si>
    <t>Gardezi S</t>
  </si>
  <si>
    <t>Syed</t>
  </si>
  <si>
    <t>Mitcham</t>
  </si>
  <si>
    <t>Kaleem Sajjid</t>
  </si>
  <si>
    <t>7/0/31/1</t>
  </si>
  <si>
    <t>Ahmed R 2-0-90-176</t>
  </si>
  <si>
    <t>Stevenson R 1-0-67-67</t>
  </si>
  <si>
    <t>Mahmood S 1-0-47-47</t>
  </si>
  <si>
    <t>Niran S 4-0-49-142</t>
  </si>
  <si>
    <t>Crone W 2-0-45-62</t>
  </si>
  <si>
    <t>Viveganandan M 3-1-43-50</t>
  </si>
  <si>
    <t>Curling L 2-0-33-40</t>
  </si>
  <si>
    <t>Middleton J 4-1-36*-53</t>
  </si>
  <si>
    <t>Umar S 1-0-13-13</t>
  </si>
  <si>
    <t>Lindsay B 1-0-11-11</t>
  </si>
  <si>
    <t>Patel S 1-0-9-9</t>
  </si>
  <si>
    <t>Brocks D 3-0-18-22</t>
  </si>
  <si>
    <t>Mander C 1-0-6-6</t>
  </si>
  <si>
    <t>Deol R 1-0-5-5</t>
  </si>
  <si>
    <t>Biswas A 1-0-4-4</t>
  </si>
  <si>
    <t>Rugg D 4-1-8-9</t>
  </si>
  <si>
    <t>Khan A 1-0-0-0</t>
  </si>
  <si>
    <t>Gardezi S 1-0-0-0</t>
  </si>
  <si>
    <t>Turner 1-1-16*-16</t>
  </si>
  <si>
    <t>Parboo R 1-0-0-0</t>
  </si>
  <si>
    <t>Kiernan M 1-0-0-0</t>
  </si>
  <si>
    <t>x</t>
  </si>
  <si>
    <t>50*</t>
  </si>
  <si>
    <t>69*</t>
  </si>
  <si>
    <t>114*</t>
  </si>
  <si>
    <t xml:space="preserve">Roy A 3-0-12-2, </t>
  </si>
  <si>
    <t xml:space="preserve">Khan A 13.2-4-41-4, </t>
  </si>
  <si>
    <t xml:space="preserve">Parboo R 8-1-25-2, </t>
  </si>
  <si>
    <t xml:space="preserve">Seymour D 2-0-13-1, </t>
  </si>
  <si>
    <t xml:space="preserve">Kogulathasan D 39.3-3-153-9, </t>
  </si>
  <si>
    <t xml:space="preserve">Viveganandan M 3-0-18-1, </t>
  </si>
  <si>
    <t xml:space="preserve">Rugg D 34-3-150-8, </t>
  </si>
  <si>
    <t xml:space="preserve">Middleton J 8-0-41-2, </t>
  </si>
  <si>
    <t xml:space="preserve">Sajjid K 53-11-210-9, </t>
  </si>
  <si>
    <t xml:space="preserve">Ahmed M 35-1-151-6, </t>
  </si>
  <si>
    <t xml:space="preserve">Patel J 12.4-1-51-2, </t>
  </si>
  <si>
    <t xml:space="preserve">Mander A 65-5-208-8, </t>
  </si>
  <si>
    <t xml:space="preserve">Patel M 10-0-90-3, </t>
  </si>
  <si>
    <t xml:space="preserve">Springer T 28.5-3-158-5, </t>
  </si>
  <si>
    <t xml:space="preserve">De S 55-5-235-7, </t>
  </si>
  <si>
    <t xml:space="preserve">Gardezi S 0.4-0-6-0, </t>
  </si>
  <si>
    <t xml:space="preserve">Sharpe D 2-0-28-0, </t>
  </si>
  <si>
    <t xml:space="preserve">Smith C 2-0-36-0, </t>
  </si>
  <si>
    <t xml:space="preserve">Umar S 2-0-16-0, </t>
  </si>
  <si>
    <t xml:space="preserve">Jain A 2.3-0-24-0, </t>
  </si>
  <si>
    <t xml:space="preserve">Lestrelle A 3-0-36-0, </t>
  </si>
  <si>
    <t xml:space="preserve">Brocks D 4-0-30-0, </t>
  </si>
  <si>
    <t xml:space="preserve">Patel S 8-0-52-0, </t>
  </si>
  <si>
    <t>1 (1)</t>
  </si>
  <si>
    <t>4 (3)</t>
  </si>
  <si>
    <t>7/1/32/2</t>
  </si>
  <si>
    <t>Croydon Royals</t>
  </si>
  <si>
    <t>Richmond Leg Breakers</t>
  </si>
  <si>
    <t>Catford Cyphers</t>
  </si>
  <si>
    <t>Croydon CC</t>
  </si>
  <si>
    <t>Verdayne green</t>
  </si>
  <si>
    <t>S Nair 3-22</t>
  </si>
  <si>
    <t>S Singh 45</t>
  </si>
  <si>
    <t>6/0/ct/0/0</t>
  </si>
  <si>
    <t>9/7/ct/0/0</t>
  </si>
  <si>
    <t>Richard</t>
  </si>
  <si>
    <t>3/12/lb/0/2</t>
  </si>
  <si>
    <t>Niran M</t>
  </si>
  <si>
    <t>Satpal</t>
  </si>
  <si>
    <t>Singh S</t>
  </si>
  <si>
    <t>1/9/lb*/0/0</t>
  </si>
  <si>
    <t>Vignesh M</t>
  </si>
  <si>
    <t>Muthu</t>
  </si>
  <si>
    <t>8/0/ct/0/0</t>
  </si>
  <si>
    <t>5/0/22/0</t>
  </si>
  <si>
    <t>8/0/22/2</t>
  </si>
  <si>
    <t>5/0/27/1</t>
  </si>
  <si>
    <t>8/1/22/3</t>
  </si>
  <si>
    <t>5/0/37/0</t>
  </si>
  <si>
    <t>5/0/32/0</t>
  </si>
  <si>
    <t>4/0/25/1</t>
  </si>
  <si>
    <t>5/0/21/0</t>
  </si>
  <si>
    <t>8/0/28/0</t>
  </si>
  <si>
    <t>8/1/26/1</t>
  </si>
  <si>
    <t>7/0/32/1</t>
  </si>
  <si>
    <t>"Suthan"</t>
  </si>
  <si>
    <t>10/0/b/1/0</t>
  </si>
  <si>
    <t>2/4/c+/0.1/0</t>
  </si>
  <si>
    <t>5/45/st/1/0</t>
  </si>
  <si>
    <t>4/0/b+/0.1/0</t>
  </si>
  <si>
    <t>1/19/lb+/0/1</t>
  </si>
  <si>
    <t>2/0/c/0/0</t>
  </si>
  <si>
    <t>3/17/c/0/1</t>
  </si>
  <si>
    <t>4/1/c/0/0</t>
  </si>
  <si>
    <t>5/0/b*/0/0</t>
  </si>
  <si>
    <t>6/0/c/1/0</t>
  </si>
  <si>
    <t>Suthan</t>
  </si>
  <si>
    <t>7/16/c/0/0</t>
  </si>
  <si>
    <t>8/9/ro/0/1</t>
  </si>
  <si>
    <t>9/14/no/0/1</t>
  </si>
  <si>
    <t>11/11/c/0/1</t>
  </si>
  <si>
    <t>8/3/21/1</t>
  </si>
  <si>
    <t>8/0/27/0</t>
  </si>
  <si>
    <t>8/2/41/0</t>
  </si>
  <si>
    <t>8/3/15/3</t>
  </si>
  <si>
    <t>2/0/2/1</t>
  </si>
  <si>
    <t>1.4/0/4/3</t>
  </si>
  <si>
    <t>1/13/c/0/2</t>
  </si>
  <si>
    <t>2/12/c/0/1</t>
  </si>
  <si>
    <t>3/4/c/0/1</t>
  </si>
  <si>
    <t>4/46/no/0/6</t>
  </si>
  <si>
    <t>5/6/b+/1/4</t>
  </si>
  <si>
    <t>6/27/no*/2/3</t>
  </si>
  <si>
    <t>Meena</t>
  </si>
  <si>
    <t>9/0/dnb/1/0</t>
  </si>
  <si>
    <t>10/7/ro/0/0</t>
  </si>
  <si>
    <t>1/55/l/0/8</t>
  </si>
  <si>
    <t>2/17/c/0/3</t>
  </si>
  <si>
    <t>3/9/c/1/1</t>
  </si>
  <si>
    <t>Singh R</t>
  </si>
  <si>
    <t>5/1/no/0/0</t>
  </si>
  <si>
    <t>7/0/26/1</t>
  </si>
  <si>
    <t>5/0/19/0</t>
  </si>
  <si>
    <t>7/2/23/2</t>
  </si>
  <si>
    <t>7/1/24/3</t>
  </si>
  <si>
    <t>2.5/1/3/1</t>
  </si>
  <si>
    <t>1/0/8/2</t>
  </si>
  <si>
    <t>4/82/b+/0.1/14</t>
  </si>
  <si>
    <t>10/0/dnb*/0/0</t>
  </si>
  <si>
    <t>1/21/l/0/2</t>
  </si>
  <si>
    <t>2/35/l/0/6</t>
  </si>
  <si>
    <t>3/5/b/0/1</t>
  </si>
  <si>
    <t>4/21/l+/1/1.2</t>
  </si>
  <si>
    <t>5/15/c/0/2</t>
  </si>
  <si>
    <t>6/6/b/0/1</t>
  </si>
  <si>
    <t>7/6/b/0/1</t>
  </si>
  <si>
    <t>8/14/b*/1/3</t>
  </si>
  <si>
    <t>9/2/c/1/0</t>
  </si>
  <si>
    <t>10/3/no/0/0</t>
  </si>
  <si>
    <t>11/12/no/0/2</t>
  </si>
  <si>
    <t>12/0/dnb/0/0</t>
  </si>
  <si>
    <t>5/0/15/0</t>
  </si>
  <si>
    <t>7/1/14/0</t>
  </si>
  <si>
    <t>7/2/30/0</t>
  </si>
  <si>
    <t>7/1/29/3</t>
  </si>
  <si>
    <t>2/0/30/0</t>
  </si>
  <si>
    <t>4/0/20/3</t>
  </si>
  <si>
    <t>3/0/18/0</t>
  </si>
  <si>
    <t>1/98/no/2/11.2</t>
  </si>
  <si>
    <t>2/61/c/0/8.3</t>
  </si>
  <si>
    <t>3/36/b+/0/5.1</t>
  </si>
  <si>
    <t>4/3/b/1/0</t>
  </si>
  <si>
    <t>5/26/no/0/3</t>
  </si>
  <si>
    <t>6/0/dnb/1/0</t>
  </si>
  <si>
    <t>9/0/dnb*/0/0</t>
  </si>
  <si>
    <t>Bowers M</t>
  </si>
  <si>
    <t>6/1/24/0</t>
  </si>
  <si>
    <t>4/2/9/1</t>
  </si>
  <si>
    <t>5/0/22/1</t>
  </si>
  <si>
    <t>6/0/39/2</t>
  </si>
  <si>
    <t>4/0/25/2</t>
  </si>
  <si>
    <t>5/0/12/0</t>
  </si>
  <si>
    <t>1/0/10/0</t>
  </si>
  <si>
    <t>1/87/c/0/12.1</t>
  </si>
  <si>
    <t>2/7/c/0/0</t>
  </si>
  <si>
    <t>3/18/b/0/3</t>
  </si>
  <si>
    <t>4/12/c+/1/1</t>
  </si>
  <si>
    <t>5/4/b/1/0</t>
  </si>
  <si>
    <t>6/44/no*/0/8</t>
  </si>
  <si>
    <t>7/12/b/0/1</t>
  </si>
  <si>
    <t>8/2/no/0/0</t>
  </si>
  <si>
    <t>5/1/14/3</t>
  </si>
  <si>
    <t>7/0/54/1</t>
  </si>
  <si>
    <t>7/0/39/1</t>
  </si>
  <si>
    <t>7/1/28/2</t>
  </si>
  <si>
    <t>4/1/17/3</t>
  </si>
  <si>
    <t>1/0/3/0</t>
  </si>
  <si>
    <t>Mickey</t>
  </si>
  <si>
    <t>1/10/c/0/1</t>
  </si>
  <si>
    <t>2/20/c/1/2.1</t>
  </si>
  <si>
    <t>3/12/b/0/1</t>
  </si>
  <si>
    <t>4/0/c/1/0</t>
  </si>
  <si>
    <t>5/25/c*+/0/5</t>
  </si>
  <si>
    <t>6/0/b/1/0</t>
  </si>
  <si>
    <t>8/8/b/0/1</t>
  </si>
  <si>
    <t>10/0/l/1/0</t>
  </si>
  <si>
    <t>6/1/14/0</t>
  </si>
  <si>
    <t>6.4/2/29/3</t>
  </si>
  <si>
    <t>4/0/19/1</t>
  </si>
  <si>
    <t>Nitish</t>
  </si>
  <si>
    <t>Madan N</t>
  </si>
  <si>
    <t>2/0/dnb/0/0</t>
  </si>
  <si>
    <t>4/0/dnb/0/0</t>
  </si>
  <si>
    <t>Fred</t>
  </si>
  <si>
    <t>Walsh F</t>
  </si>
  <si>
    <t>1/0/dnb*/1/0</t>
  </si>
  <si>
    <t>3/0/dnb/1/0</t>
  </si>
  <si>
    <t>8/0/dnb+/1/0</t>
  </si>
  <si>
    <t>7/1/31/3</t>
  </si>
  <si>
    <t>7/3/22/0</t>
  </si>
  <si>
    <t>7/1/13/3</t>
  </si>
  <si>
    <t>2.4/0/5/1</t>
  </si>
  <si>
    <t>2/0/10/0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</si>
</sst>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  <numFmt numFmtId="170" formatCode="[Red]#0;[Red]\-#0;[Black]0"/>
  </numFmts>
  <fonts count="29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  <font>
      <b/>
      <i/>
      <sz val="22"/>
      <color theme="5" tint="-0.249977111117893"/>
      <name val="Verdana"/>
      <family val="2"/>
    </font>
    <font>
      <b/>
      <sz val="8"/>
      <name val="Calibri"/>
      <family val="2"/>
    </font>
    <font>
      <sz val="8"/>
      <name val="Calibri"/>
      <family val="2"/>
    </font>
    <font>
      <sz val="10"/>
      <color theme="0" tint="-0.499984740745262"/>
      <name val="Times New Roman"/>
      <family val="1"/>
    </font>
    <font>
      <sz val="9"/>
      <color rgb="FF9C0006"/>
      <name val="Times New Roman"/>
      <family val="2"/>
      <scheme val="minor"/>
    </font>
    <font>
      <i/>
      <sz val="8"/>
      <color rgb="FFFF0000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>
      <alignment vertical="top"/>
    </xf>
    <xf numFmtId="9" fontId="1" fillId="0" borderId="0" applyFont="0" applyFill="0" applyBorder="0" applyAlignment="0" applyProtection="0"/>
    <xf numFmtId="0" fontId="22" fillId="7" borderId="7" applyNumberFormat="0" applyAlignment="0" applyProtection="0"/>
    <xf numFmtId="0" fontId="7" fillId="10" borderId="9" applyNumberFormat="0" applyFont="0" applyAlignment="0" applyProtection="0"/>
    <xf numFmtId="0" fontId="27" fillId="12" borderId="0" applyNumberFormat="0" applyBorder="0" applyAlignment="0" applyProtection="0"/>
  </cellStyleXfs>
  <cellXfs count="188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1" xfId="0" applyFont="1" applyBorder="1">
      <alignment vertical="top"/>
    </xf>
    <xf numFmtId="0" fontId="2" fillId="0" borderId="2" xfId="0" applyFont="1" applyBorder="1">
      <alignment vertical="top"/>
    </xf>
    <xf numFmtId="0" fontId="2" fillId="0" borderId="2" xfId="0" applyFont="1" applyBorder="1" applyAlignment="1">
      <alignment horizontal="center" vertical="top"/>
    </xf>
    <xf numFmtId="0" fontId="2" fillId="0" borderId="2" xfId="0" applyFont="1" applyBorder="1" applyAlignment="1">
      <alignment vertical="top" wrapText="1"/>
    </xf>
    <xf numFmtId="15" fontId="2" fillId="0" borderId="2" xfId="0" applyNumberFormat="1" applyFont="1" applyBorder="1" applyAlignment="1">
      <alignment horizontal="center" vertical="top"/>
    </xf>
    <xf numFmtId="0" fontId="7" fillId="0" borderId="1" xfId="0" applyFont="1" applyBorder="1">
      <alignment vertical="top"/>
    </xf>
    <xf numFmtId="0" fontId="7" fillId="0" borderId="1" xfId="0" applyFont="1" applyBorder="1" applyAlignment="1">
      <alignment horizontal="center" vertical="top"/>
    </xf>
    <xf numFmtId="0" fontId="7" fillId="0" borderId="1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2" xfId="0" applyFont="1" applyBorder="1" applyAlignment="1">
      <alignment vertical="top" wrapText="1"/>
    </xf>
    <xf numFmtId="0" fontId="8" fillId="0" borderId="1" xfId="0" applyFont="1" applyBorder="1">
      <alignment vertical="top"/>
    </xf>
    <xf numFmtId="0" fontId="7" fillId="0" borderId="0" xfId="0" applyFont="1">
      <alignment vertical="top"/>
    </xf>
    <xf numFmtId="0" fontId="7" fillId="0" borderId="0" xfId="0" applyFont="1" applyAlignment="1">
      <alignment horizontal="center" vertical="top"/>
    </xf>
    <xf numFmtId="0" fontId="7" fillId="0" borderId="0" xfId="0" applyFont="1" applyAlignment="1">
      <alignment vertical="top" wrapText="1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>
      <alignment vertical="top"/>
    </xf>
    <xf numFmtId="0" fontId="2" fillId="0" borderId="1" xfId="0" applyFont="1" applyBorder="1" applyAlignment="1">
      <alignment horizontal="center" vertical="top"/>
    </xf>
    <xf numFmtId="0" fontId="8" fillId="0" borderId="0" xfId="0" applyFont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3" xfId="0" applyFont="1" applyFill="1" applyBorder="1">
      <alignment vertical="top"/>
    </xf>
    <xf numFmtId="0" fontId="12" fillId="0" borderId="0" xfId="0" applyFont="1">
      <alignment vertical="top"/>
    </xf>
    <xf numFmtId="167" fontId="12" fillId="4" borderId="0" xfId="0" applyNumberFormat="1" applyFont="1" applyFill="1">
      <alignment vertical="top"/>
    </xf>
    <xf numFmtId="0" fontId="7" fillId="3" borderId="4" xfId="0" applyFont="1" applyFill="1" applyBorder="1">
      <alignment vertical="top"/>
    </xf>
    <xf numFmtId="0" fontId="7" fillId="3" borderId="5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5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9" fontId="10" fillId="0" borderId="0" xfId="1" applyFont="1" applyAlignment="1">
      <alignment vertical="top"/>
    </xf>
    <xf numFmtId="0" fontId="8" fillId="0" borderId="1" xfId="0" applyFont="1" applyBorder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14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7" fillId="0" borderId="1" xfId="0" applyNumberFormat="1" applyFont="1" applyBorder="1" applyAlignment="1">
      <alignment horizontal="center" vertical="top"/>
    </xf>
    <xf numFmtId="15" fontId="17" fillId="0" borderId="1" xfId="0" applyNumberFormat="1" applyFont="1" applyBorder="1" applyAlignment="1">
      <alignment horizontal="center" vertical="top"/>
    </xf>
    <xf numFmtId="0" fontId="17" fillId="0" borderId="1" xfId="0" applyFont="1" applyBorder="1" applyAlignment="1">
      <alignment vertical="top" wrapText="1"/>
    </xf>
    <xf numFmtId="0" fontId="17" fillId="0" borderId="1" xfId="0" applyFont="1" applyBorder="1" applyAlignment="1">
      <alignment horizontal="center" vertical="top"/>
    </xf>
    <xf numFmtId="0" fontId="17" fillId="0" borderId="1" xfId="0" applyFont="1" applyBorder="1">
      <alignment vertical="top"/>
    </xf>
    <xf numFmtId="0" fontId="17" fillId="0" borderId="1" xfId="0" applyFont="1" applyBorder="1" applyAlignment="1">
      <alignment horizontal="left" vertical="top" wrapText="1"/>
    </xf>
    <xf numFmtId="165" fontId="17" fillId="0" borderId="1" xfId="0" applyNumberFormat="1" applyFont="1" applyBorder="1" applyAlignment="1">
      <alignment vertical="top" wrapText="1"/>
    </xf>
    <xf numFmtId="2" fontId="10" fillId="0" borderId="0" xfId="0" applyNumberFormat="1" applyFont="1">
      <alignment vertical="top"/>
    </xf>
    <xf numFmtId="0" fontId="13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2" fontId="18" fillId="0" borderId="0" xfId="0" applyNumberFormat="1" applyFont="1" applyAlignment="1">
      <alignment horizontal="center" vertical="top"/>
    </xf>
    <xf numFmtId="0" fontId="18" fillId="0" borderId="0" xfId="0" applyFont="1" applyAlignment="1">
      <alignment horizontal="left" vertical="top"/>
    </xf>
    <xf numFmtId="0" fontId="19" fillId="0" borderId="0" xfId="0" applyFont="1">
      <alignment vertical="top"/>
    </xf>
    <xf numFmtId="0" fontId="15" fillId="6" borderId="6" xfId="0" applyFont="1" applyFill="1" applyBorder="1" applyAlignment="1">
      <alignment horizontal="center" vertical="top" wrapText="1"/>
    </xf>
    <xf numFmtId="15" fontId="15" fillId="6" borderId="6" xfId="0" applyNumberFormat="1" applyFont="1" applyFill="1" applyBorder="1" applyAlignment="1">
      <alignment horizontal="center" vertical="top" wrapText="1"/>
    </xf>
    <xf numFmtId="0" fontId="15" fillId="6" borderId="6" xfId="0" applyFont="1" applyFill="1" applyBorder="1" applyAlignment="1">
      <alignment vertical="top" wrapText="1"/>
    </xf>
    <xf numFmtId="0" fontId="15" fillId="6" borderId="6" xfId="0" applyFont="1" applyFill="1" applyBorder="1" applyAlignment="1">
      <alignment horizontal="left" vertical="top" wrapText="1"/>
    </xf>
    <xf numFmtId="0" fontId="15" fillId="6" borderId="6" xfId="0" applyFont="1" applyFill="1" applyBorder="1" applyAlignment="1">
      <alignment horizontal="right" vertical="top" wrapText="1"/>
    </xf>
    <xf numFmtId="0" fontId="16" fillId="0" borderId="6" xfId="0" applyFont="1" applyBorder="1">
      <alignment vertical="top"/>
    </xf>
    <xf numFmtId="0" fontId="9" fillId="0" borderId="6" xfId="0" applyFont="1" applyBorder="1">
      <alignment vertical="top"/>
    </xf>
    <xf numFmtId="15" fontId="17" fillId="0" borderId="2" xfId="0" applyNumberFormat="1" applyFont="1" applyBorder="1" applyAlignment="1">
      <alignment horizontal="center" vertical="top"/>
    </xf>
    <xf numFmtId="0" fontId="17" fillId="0" borderId="2" xfId="0" applyFont="1" applyBorder="1" applyAlignment="1">
      <alignment vertical="top" wrapText="1"/>
    </xf>
    <xf numFmtId="0" fontId="17" fillId="0" borderId="2" xfId="0" applyFont="1" applyBorder="1" applyAlignment="1">
      <alignment horizontal="center" vertical="top"/>
    </xf>
    <xf numFmtId="0" fontId="17" fillId="0" borderId="2" xfId="0" applyFont="1" applyBorder="1">
      <alignment vertical="top"/>
    </xf>
    <xf numFmtId="0" fontId="17" fillId="0" borderId="2" xfId="0" applyFont="1" applyBorder="1" applyAlignment="1">
      <alignment horizontal="left" vertical="top" wrapText="1"/>
    </xf>
    <xf numFmtId="165" fontId="17" fillId="0" borderId="2" xfId="0" applyNumberFormat="1" applyFont="1" applyBorder="1" applyAlignment="1">
      <alignment vertical="top" wrapText="1"/>
    </xf>
    <xf numFmtId="165" fontId="0" fillId="0" borderId="0" xfId="0" applyNumberFormat="1" applyAlignment="1">
      <alignment horizontal="right"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right" vertical="top"/>
    </xf>
    <xf numFmtId="0" fontId="0" fillId="0" borderId="0" xfId="0" applyAlignment="1">
      <alignment horizontal="center" vertical="top"/>
    </xf>
    <xf numFmtId="0" fontId="20" fillId="0" borderId="0" xfId="0" applyFont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21" fillId="0" borderId="0" xfId="0" applyFont="1">
      <alignment vertical="top"/>
    </xf>
    <xf numFmtId="0" fontId="21" fillId="0" borderId="0" xfId="0" applyFont="1" applyAlignment="1">
      <alignment horizontal="left" vertical="top"/>
    </xf>
    <xf numFmtId="0" fontId="21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2" fontId="21" fillId="0" borderId="0" xfId="0" applyNumberFormat="1" applyFont="1" applyAlignment="1">
      <alignment horizontal="center"/>
    </xf>
    <xf numFmtId="14" fontId="17" fillId="0" borderId="1" xfId="0" applyNumberFormat="1" applyFont="1" applyBorder="1" applyAlignment="1">
      <alignment vertical="top" wrapText="1"/>
    </xf>
    <xf numFmtId="165" fontId="7" fillId="0" borderId="0" xfId="0" applyNumberFormat="1" applyFont="1" applyAlignment="1">
      <alignment vertical="top" wrapText="1"/>
    </xf>
    <xf numFmtId="0" fontId="16" fillId="0" borderId="1" xfId="0" applyFont="1" applyBorder="1" applyAlignment="1">
      <alignment horizontal="left" vertical="top" wrapText="1"/>
    </xf>
    <xf numFmtId="169" fontId="2" fillId="0" borderId="2" xfId="1" applyNumberFormat="1" applyFont="1" applyBorder="1" applyAlignment="1">
      <alignment vertical="top"/>
    </xf>
    <xf numFmtId="0" fontId="22" fillId="7" borderId="7" xfId="2" applyAlignment="1">
      <alignment vertical="top"/>
    </xf>
    <xf numFmtId="16" fontId="22" fillId="7" borderId="7" xfId="2" applyNumberFormat="1" applyAlignment="1">
      <alignment horizontal="center" vertical="top"/>
    </xf>
    <xf numFmtId="0" fontId="0" fillId="0" borderId="2" xfId="0" applyBorder="1" applyAlignment="1">
      <alignment vertical="top" wrapText="1"/>
    </xf>
    <xf numFmtId="169" fontId="0" fillId="0" borderId="0" xfId="1" applyNumberFormat="1" applyFont="1" applyAlignment="1">
      <alignment horizontal="center"/>
    </xf>
    <xf numFmtId="16" fontId="14" fillId="0" borderId="0" xfId="0" applyNumberFormat="1" applyFont="1">
      <alignment vertical="top"/>
    </xf>
    <xf numFmtId="166" fontId="10" fillId="0" borderId="0" xfId="1" applyNumberFormat="1" applyFont="1" applyAlignme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15" fontId="7" fillId="9" borderId="0" xfId="0" applyNumberFormat="1" applyFont="1" applyFill="1" applyAlignment="1"/>
    <xf numFmtId="0" fontId="10" fillId="9" borderId="0" xfId="0" applyFont="1" applyFill="1" applyAlignment="1"/>
    <xf numFmtId="0" fontId="10" fillId="9" borderId="0" xfId="0" applyFont="1" applyFill="1" applyAlignment="1">
      <alignment horizontal="right"/>
    </xf>
    <xf numFmtId="165" fontId="10" fillId="9" borderId="0" xfId="0" applyNumberFormat="1" applyFont="1" applyFill="1" applyAlignment="1"/>
    <xf numFmtId="0" fontId="8" fillId="9" borderId="0" xfId="0" applyFont="1" applyFill="1" applyAlignment="1"/>
    <xf numFmtId="0" fontId="0" fillId="10" borderId="9" xfId="3" applyFont="1" applyAlignment="1">
      <alignment vertical="top"/>
    </xf>
    <xf numFmtId="16" fontId="0" fillId="0" borderId="0" xfId="0" applyNumberFormat="1" applyAlignment="1"/>
    <xf numFmtId="166" fontId="14" fillId="0" borderId="0" xfId="0" applyNumberFormat="1" applyFont="1">
      <alignment vertical="top"/>
    </xf>
    <xf numFmtId="0" fontId="24" fillId="8" borderId="0" xfId="0" applyFont="1" applyFill="1">
      <alignment vertical="top"/>
    </xf>
    <xf numFmtId="0" fontId="24" fillId="0" borderId="0" xfId="0" applyFont="1" applyAlignment="1">
      <alignment horizontal="left" vertical="top"/>
    </xf>
    <xf numFmtId="0" fontId="24" fillId="0" borderId="0" xfId="0" applyFont="1" applyAlignment="1">
      <alignment horizontal="center" vertical="top"/>
    </xf>
    <xf numFmtId="0" fontId="25" fillId="0" borderId="0" xfId="0" applyFont="1">
      <alignment vertical="top"/>
    </xf>
    <xf numFmtId="0" fontId="24" fillId="0" borderId="0" xfId="0" applyFont="1">
      <alignment vertical="top"/>
    </xf>
    <xf numFmtId="166" fontId="25" fillId="0" borderId="0" xfId="0" applyNumberFormat="1" applyFont="1">
      <alignment vertical="top"/>
    </xf>
    <xf numFmtId="0" fontId="25" fillId="0" borderId="0" xfId="0" applyFont="1" applyAlignment="1">
      <alignment horizontal="left" vertical="top"/>
    </xf>
    <xf numFmtId="0" fontId="25" fillId="0" borderId="0" xfId="0" applyFont="1" applyAlignment="1">
      <alignment horizontal="center" vertical="top"/>
    </xf>
    <xf numFmtId="2" fontId="24" fillId="0" borderId="0" xfId="0" applyNumberFormat="1" applyFont="1" applyAlignment="1">
      <alignment horizontal="center" vertical="top"/>
    </xf>
    <xf numFmtId="2" fontId="25" fillId="0" borderId="0" xfId="0" applyNumberFormat="1" applyFont="1" applyAlignment="1">
      <alignment horizontal="center"/>
    </xf>
    <xf numFmtId="165" fontId="17" fillId="11" borderId="1" xfId="0" applyNumberFormat="1" applyFont="1" applyFill="1" applyBorder="1" applyAlignment="1">
      <alignment vertical="top" wrapText="1"/>
    </xf>
    <xf numFmtId="0" fontId="17" fillId="11" borderId="1" xfId="0" applyFont="1" applyFill="1" applyBorder="1">
      <alignment vertical="top"/>
    </xf>
    <xf numFmtId="165" fontId="17" fillId="11" borderId="2" xfId="0" applyNumberFormat="1" applyFont="1" applyFill="1" applyBorder="1" applyAlignment="1">
      <alignment vertical="top" wrapText="1"/>
    </xf>
    <xf numFmtId="0" fontId="17" fillId="11" borderId="2" xfId="0" applyFont="1" applyFill="1" applyBorder="1">
      <alignment vertical="top"/>
    </xf>
    <xf numFmtId="0" fontId="26" fillId="0" borderId="0" xfId="0" applyFont="1">
      <alignment vertical="top"/>
    </xf>
    <xf numFmtId="2" fontId="2" fillId="0" borderId="2" xfId="0" applyNumberFormat="1" applyFont="1" applyBorder="1">
      <alignment vertical="top"/>
    </xf>
    <xf numFmtId="16" fontId="25" fillId="0" borderId="0" xfId="0" applyNumberFormat="1" applyFont="1" applyAlignment="1">
      <alignment horizontal="center" vertical="top"/>
    </xf>
    <xf numFmtId="0" fontId="25" fillId="0" borderId="0" xfId="0" applyFont="1" applyAlignment="1">
      <alignment horizontal="right" vertical="top"/>
    </xf>
    <xf numFmtId="0" fontId="24" fillId="8" borderId="0" xfId="0" applyFont="1" applyFill="1" applyAlignment="1">
      <alignment horizontal="center" vertical="top"/>
    </xf>
    <xf numFmtId="2" fontId="25" fillId="0" borderId="0" xfId="0" applyNumberFormat="1" applyFont="1" applyAlignment="1">
      <alignment horizontal="center" vertical="top"/>
    </xf>
    <xf numFmtId="170" fontId="0" fillId="0" borderId="0" xfId="0" applyNumberFormat="1" applyAlignment="1"/>
    <xf numFmtId="0" fontId="27" fillId="12" borderId="0" xfId="4" applyAlignment="1"/>
    <xf numFmtId="16" fontId="0" fillId="0" borderId="0" xfId="0" applyNumberFormat="1">
      <alignment vertical="top"/>
    </xf>
    <xf numFmtId="165" fontId="28" fillId="11" borderId="1" xfId="0" applyNumberFormat="1" applyFont="1" applyFill="1" applyBorder="1" applyAlignment="1">
      <alignment vertical="top" wrapText="1"/>
    </xf>
    <xf numFmtId="0" fontId="28" fillId="11" borderId="1" xfId="0" applyFont="1" applyFill="1" applyBorder="1">
      <alignment vertical="top"/>
    </xf>
    <xf numFmtId="0" fontId="23" fillId="8" borderId="0" xfId="0" applyFont="1" applyFill="1" applyAlignment="1">
      <alignment horizontal="center" vertical="center"/>
    </xf>
    <xf numFmtId="0" fontId="23" fillId="8" borderId="8" xfId="0" applyFont="1" applyFill="1" applyBorder="1" applyAlignment="1">
      <alignment horizontal="center" vertical="center"/>
    </xf>
    <xf numFmtId="0" fontId="0" fillId="17" borderId="0" xfId="0" applyFill="1" applyAlignment="1">
      <alignment horizontal="center" vertical="top"/>
    </xf>
    <xf numFmtId="0" fontId="10" fillId="17" borderId="0" xfId="0" applyFont="1" applyFill="1" applyAlignment="1">
      <alignment horizontal="center" vertical="top"/>
    </xf>
    <xf numFmtId="0" fontId="0" fillId="15" borderId="0" xfId="0" applyFill="1" applyAlignment="1">
      <alignment horizontal="center" vertical="top"/>
    </xf>
    <xf numFmtId="0" fontId="0" fillId="14" borderId="0" xfId="0" applyFill="1" applyAlignment="1">
      <alignment horizontal="center" vertical="top"/>
    </xf>
    <xf numFmtId="0" fontId="0" fillId="13" borderId="0" xfId="0" applyFill="1" applyAlignment="1">
      <alignment horizontal="center" vertical="top"/>
    </xf>
    <xf numFmtId="0" fontId="0" fillId="8" borderId="0" xfId="0" applyFill="1" applyAlignment="1">
      <alignment horizontal="center" vertical="top"/>
    </xf>
    <xf numFmtId="0" fontId="0" fillId="16" borderId="0" xfId="0" applyFill="1" applyAlignment="1">
      <alignment horizontal="center" vertical="top"/>
    </xf>
    <xf numFmtId="0" fontId="10" fillId="16" borderId="0" xfId="0" applyFont="1" applyFill="1" applyAlignment="1">
      <alignment horizontal="center" vertical="top"/>
    </xf>
    <xf numFmtId="0" fontId="24" fillId="8" borderId="0" xfId="0" applyFont="1" applyFill="1" applyAlignment="1">
      <alignment horizontal="center" vertical="top"/>
    </xf>
  </cellXfs>
  <cellStyles count="5">
    <cellStyle name="Bad" xfId="4" builtinId="27"/>
    <cellStyle name="Calculation" xfId="2" builtinId="22"/>
    <cellStyle name="Normal" xfId="0" builtinId="0"/>
    <cellStyle name="Note" xfId="3" builtinId="10"/>
    <cellStyle name="Percent" xfId="1" builtinId="5"/>
  </cellStyles>
  <dxfs count="17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  <dxf>
      <font>
        <condense val="0"/>
        <extend val="0"/>
        <color indexed="60"/>
      </font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91</xdr:row>
          <xdr:rowOff>47625</xdr:rowOff>
        </xdr:from>
        <xdr:to>
          <xdr:col>13</xdr:col>
          <xdr:colOff>209550</xdr:colOff>
          <xdr:row>117</xdr:row>
          <xdr:rowOff>47625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00000000-0008-0000-0C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T$1:$AD$26" spid="_x0000_s259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0" y="13049250"/>
              <a:ext cx="5133975" cy="37147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91</xdr:row>
          <xdr:rowOff>47625</xdr:rowOff>
        </xdr:from>
        <xdr:to>
          <xdr:col>15</xdr:col>
          <xdr:colOff>104775</xdr:colOff>
          <xdr:row>100</xdr:row>
          <xdr:rowOff>57150</xdr:rowOff>
        </xdr:to>
        <xdr:pic>
          <xdr:nvPicPr>
            <xdr:cNvPr id="5" name="Picture 4">
              <a:extLst>
                <a:ext uri="{FF2B5EF4-FFF2-40B4-BE49-F238E27FC236}">
                  <a16:creationId xmlns:a16="http://schemas.microsoft.com/office/drawing/2014/main" id="{00000000-0008-0000-0C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I$1:$AJ$9" spid="_x0000_s2594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219700" y="13049250"/>
              <a:ext cx="866775" cy="12954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285750</xdr:colOff>
          <xdr:row>91</xdr:row>
          <xdr:rowOff>47625</xdr:rowOff>
        </xdr:from>
        <xdr:to>
          <xdr:col>20</xdr:col>
          <xdr:colOff>9525</xdr:colOff>
          <xdr:row>118</xdr:row>
          <xdr:rowOff>57150</xdr:rowOff>
        </xdr:to>
        <xdr:pic>
          <xdr:nvPicPr>
            <xdr:cNvPr id="6" name="Picture 5">
              <a:extLst>
                <a:ext uri="{FF2B5EF4-FFF2-40B4-BE49-F238E27FC236}">
                  <a16:creationId xmlns:a16="http://schemas.microsoft.com/office/drawing/2014/main" id="{00000000-0008-0000-0C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L$1:$AM$27" spid="_x0000_s2594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267450" y="13049250"/>
              <a:ext cx="1190625" cy="38671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190500</xdr:colOff>
          <xdr:row>91</xdr:row>
          <xdr:rowOff>47625</xdr:rowOff>
        </xdr:from>
        <xdr:to>
          <xdr:col>22</xdr:col>
          <xdr:colOff>609600</xdr:colOff>
          <xdr:row>112</xdr:row>
          <xdr:rowOff>47625</xdr:rowOff>
        </xdr:to>
        <xdr:pic>
          <xdr:nvPicPr>
            <xdr:cNvPr id="7" name="Picture 6">
              <a:extLst>
                <a:ext uri="{FF2B5EF4-FFF2-40B4-BE49-F238E27FC236}">
                  <a16:creationId xmlns:a16="http://schemas.microsoft.com/office/drawing/2014/main" id="{00000000-0008-0000-0C00-00000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F$1:$AG$21" spid="_x0000_s2594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639050" y="13049250"/>
              <a:ext cx="1095375" cy="30003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101</xdr:row>
          <xdr:rowOff>66675</xdr:rowOff>
        </xdr:from>
        <xdr:to>
          <xdr:col>15</xdr:col>
          <xdr:colOff>238125</xdr:colOff>
          <xdr:row>106</xdr:row>
          <xdr:rowOff>76200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00000000-0008-0000-0C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R$1:$AS$5" spid="_x0000_s25949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5143500" y="14497050"/>
              <a:ext cx="1076325" cy="723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118</xdr:row>
          <xdr:rowOff>28575</xdr:rowOff>
        </xdr:from>
        <xdr:to>
          <xdr:col>9</xdr:col>
          <xdr:colOff>85725</xdr:colOff>
          <xdr:row>134</xdr:row>
          <xdr:rowOff>28575</xdr:rowOff>
        </xdr:to>
        <xdr:pic>
          <xdr:nvPicPr>
            <xdr:cNvPr id="10" name="Picture 9">
              <a:extLst>
                <a:ext uri="{FF2B5EF4-FFF2-40B4-BE49-F238E27FC236}">
                  <a16:creationId xmlns:a16="http://schemas.microsoft.com/office/drawing/2014/main" id="{00000000-0008-0000-0C00-00000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U$1:$AZ$16" spid="_x0000_s25950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180975" y="16887825"/>
              <a:ext cx="3143250" cy="22860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ke Woodhouse" refreshedDate="45254.434310879631" createdVersion="5" refreshedVersion="5" minRefreshableVersion="3" recordCount="17" xr:uid="{00000000-000A-0000-FFFF-FFFF06000000}">
  <cacheSource type="worksheet">
    <worksheetSource ref="A1:B18" sheet="Capts"/>
  </cacheSource>
  <cacheFields count="2">
    <cacheField name="Res" numFmtId="0">
      <sharedItems containsMixedTypes="1" containsNumber="1" containsInteger="1" minValue="0" maxValue="0" count="5">
        <s v="W"/>
        <s v="D"/>
        <s v="ND"/>
        <s v="L"/>
        <n v="0" u="1"/>
      </sharedItems>
    </cacheField>
    <cacheField name="Capt" numFmtId="0">
      <sharedItems count="8">
        <s v="Springer T"/>
        <s v="Seymour C"/>
        <s v="Nair S"/>
        <s v="Bhatt P"/>
        <e v="#N/A"/>
        <s v="Greenall D" u="1"/>
        <s v="Brocks D" u="1"/>
        <s v="Sharpe 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x v="0"/>
    <x v="0"/>
  </r>
  <r>
    <x v="0"/>
    <x v="0"/>
  </r>
  <r>
    <x v="1"/>
    <x v="0"/>
  </r>
  <r>
    <x v="0"/>
    <x v="0"/>
  </r>
  <r>
    <x v="0"/>
    <x v="0"/>
  </r>
  <r>
    <x v="2"/>
    <x v="1"/>
  </r>
  <r>
    <x v="0"/>
    <x v="2"/>
  </r>
  <r>
    <x v="3"/>
    <x v="3"/>
  </r>
  <r>
    <x v="0"/>
    <x v="0"/>
  </r>
  <r>
    <x v="3"/>
    <x v="0"/>
  </r>
  <r>
    <x v="0"/>
    <x v="0"/>
  </r>
  <r>
    <x v="0"/>
    <x v="0"/>
  </r>
  <r>
    <x v="0"/>
    <x v="1"/>
  </r>
  <r>
    <x v="3"/>
    <x v="0"/>
  </r>
  <r>
    <x v="0"/>
    <x v="0"/>
  </r>
  <r>
    <x v="0"/>
    <x v="4"/>
  </r>
  <r>
    <x v="3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D9:I16" firstHeaderRow="1" firstDataRow="2" firstDataCol="1"/>
  <pivotFields count="2">
    <pivotField axis="axisCol" dataField="1" showAll="0">
      <items count="6">
        <item m="1" x="4"/>
        <item x="0"/>
        <item x="1"/>
        <item x="2"/>
        <item x="3"/>
        <item t="default"/>
      </items>
    </pivotField>
    <pivotField axis="axisRow" showAll="0">
      <items count="9">
        <item m="1" x="5"/>
        <item m="1" x="7"/>
        <item x="0"/>
        <item x="4"/>
        <item m="1" x="6"/>
        <item x="1"/>
        <item x="2"/>
        <item x="3"/>
        <item t="default"/>
      </items>
    </pivotField>
  </pivotFields>
  <rowFields count="1">
    <field x="1"/>
  </rowFields>
  <rowItems count="6">
    <i>
      <x v="2"/>
    </i>
    <i>
      <x v="3"/>
    </i>
    <i>
      <x v="5"/>
    </i>
    <i>
      <x v="6"/>
    </i>
    <i>
      <x v="7"/>
    </i>
    <i t="grand">
      <x/>
    </i>
  </rowItems>
  <colFields count="1">
    <field x="0"/>
  </colFields>
  <colItems count="5">
    <i>
      <x v="1"/>
    </i>
    <i>
      <x v="2"/>
    </i>
    <i>
      <x v="3"/>
    </i>
    <i>
      <x v="4"/>
    </i>
    <i t="grand">
      <x/>
    </i>
  </colItems>
  <dataFields count="1">
    <dataField name="Count of R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H42"/>
  <sheetViews>
    <sheetView workbookViewId="0">
      <selection activeCell="H42" sqref="H42"/>
    </sheetView>
  </sheetViews>
  <sheetFormatPr defaultRowHeight="11.25" x14ac:dyDescent="0.15"/>
  <cols>
    <col min="1" max="1" width="7" style="22" bestFit="1" customWidth="1"/>
    <col min="2" max="2" width="11.7109375" style="25" customWidth="1"/>
    <col min="3" max="3" width="19.85546875" style="24" bestFit="1" customWidth="1"/>
    <col min="4" max="4" width="6.42578125" style="23" customWidth="1"/>
    <col min="5" max="5" width="9.140625" style="23" bestFit="1" customWidth="1"/>
    <col min="6" max="6" width="6.28515625" style="23" customWidth="1"/>
    <col min="7" max="7" width="5.42578125" style="22" bestFit="1" customWidth="1"/>
    <col min="8" max="8" width="5.5703125" style="23" bestFit="1" customWidth="1"/>
    <col min="9" max="9" width="7.5703125" style="23" customWidth="1"/>
    <col min="10" max="10" width="33.5703125" style="77" customWidth="1"/>
    <col min="11" max="11" width="5.42578125" style="22" bestFit="1" customWidth="1"/>
    <col min="12" max="12" width="5.5703125" style="23" bestFit="1" customWidth="1"/>
    <col min="13" max="13" width="5.7109375" style="23" customWidth="1"/>
    <col min="14" max="14" width="31.7109375" style="24" customWidth="1"/>
    <col min="15" max="16" width="7.42578125" style="24" customWidth="1"/>
    <col min="17" max="17" width="8" style="22" bestFit="1" customWidth="1"/>
    <col min="18" max="24" width="5.7109375" style="22" customWidth="1"/>
    <col min="25" max="26" width="6" style="22" customWidth="1"/>
    <col min="27" max="30" width="9.140625" style="22"/>
    <col min="31" max="31" width="14.7109375" style="22" bestFit="1" customWidth="1"/>
    <col min="32" max="16384" width="9.140625" style="22"/>
  </cols>
  <sheetData>
    <row r="1" spans="1:34" s="21" customFormat="1" ht="12.75" customHeight="1" x14ac:dyDescent="0.15">
      <c r="A1" s="177">
        <v>2023</v>
      </c>
      <c r="B1" s="177"/>
      <c r="C1" s="31" t="str">
        <f t="array" ref="C1">"Won :"&amp;SUM(IF($E$5:$E$40="W",1,0))</f>
        <v>Won :7</v>
      </c>
      <c r="D1" s="31" t="str">
        <f t="array" ref="D1">"Lost: "&amp;SUM(IF($E$5:$E$40="L",1,0))</f>
        <v>Lost: 8</v>
      </c>
      <c r="E1" s="31" t="str">
        <f t="array" ref="E1">"Drawn: "&amp;SUM(IF($E$5:$E$40="D",1,0))</f>
        <v>Drawn: 0</v>
      </c>
      <c r="F1" s="49" t="str">
        <f t="array" ref="F1">"Tied: "&amp;SUM(IF($E$5:$E$40="T",1,0))</f>
        <v>Tied: 0</v>
      </c>
      <c r="G1" s="81" t="str">
        <f t="array" ref="G1">"N/D: "&amp;SUM(IF($E$5:$E$40="ND",1,0))</f>
        <v>N/D: 2</v>
      </c>
      <c r="H1" s="48"/>
      <c r="J1" s="78"/>
      <c r="K1" s="26"/>
      <c r="L1" s="27"/>
      <c r="M1" s="27"/>
      <c r="N1" s="28"/>
      <c r="O1" s="28"/>
      <c r="P1" s="28"/>
      <c r="Q1" s="26"/>
      <c r="R1" s="26"/>
      <c r="S1" s="26"/>
      <c r="T1" s="26"/>
      <c r="U1" s="26"/>
      <c r="V1" s="26"/>
      <c r="W1" s="26"/>
      <c r="X1" s="26"/>
    </row>
    <row r="2" spans="1:34" s="5" customFormat="1" x14ac:dyDescent="0.15">
      <c r="A2" s="177"/>
      <c r="B2" s="177"/>
      <c r="E2" s="33"/>
      <c r="F2" s="33"/>
      <c r="H2" s="49"/>
      <c r="J2" s="79"/>
      <c r="K2" s="32"/>
      <c r="L2" s="33"/>
      <c r="M2" s="33"/>
      <c r="N2" s="34" t="s">
        <v>190</v>
      </c>
      <c r="O2" s="34"/>
      <c r="P2" s="34"/>
      <c r="Q2" s="32"/>
      <c r="R2" s="32"/>
      <c r="S2" s="32"/>
      <c r="T2" s="32"/>
      <c r="U2" s="32"/>
      <c r="V2" s="32"/>
      <c r="W2" s="32"/>
      <c r="X2" s="32"/>
      <c r="Z2" s="5" t="s">
        <v>181</v>
      </c>
      <c r="AA2" s="5" t="e">
        <f>MAX(AA5:AA32)</f>
        <v>#N/A</v>
      </c>
      <c r="AB2" s="5" t="e">
        <f>MAX(AB5:AB32)</f>
        <v>#N/A</v>
      </c>
    </row>
    <row r="3" spans="1:34" s="5" customFormat="1" ht="12" thickBot="1" x14ac:dyDescent="0.2">
      <c r="A3" s="178"/>
      <c r="B3" s="178"/>
      <c r="D3" s="33"/>
      <c r="E3" s="33"/>
      <c r="F3" s="33"/>
      <c r="G3" s="32"/>
      <c r="H3" s="33"/>
      <c r="I3" s="32"/>
      <c r="J3" s="76"/>
      <c r="K3" s="32"/>
      <c r="L3" s="33"/>
      <c r="M3" s="33"/>
      <c r="N3" s="34" t="s">
        <v>191</v>
      </c>
      <c r="O3" s="133">
        <f>MAX(O5:O23)</f>
        <v>37</v>
      </c>
      <c r="P3" s="133">
        <f>MAX(P5:P23)</f>
        <v>40</v>
      </c>
      <c r="Q3" s="32"/>
      <c r="R3" s="32"/>
      <c r="S3" s="32"/>
      <c r="T3" s="32"/>
      <c r="U3" s="32"/>
      <c r="V3" s="32"/>
      <c r="W3" s="32"/>
      <c r="X3" s="32"/>
      <c r="Z3" s="5" t="s">
        <v>182</v>
      </c>
      <c r="AA3" s="5" t="e">
        <f t="array" ref="AA3">MIN(IF(AA5:AA32=0,99999,AA5:AA32))</f>
        <v>#N/A</v>
      </c>
      <c r="AB3" s="5" t="e">
        <f t="array" ref="AB3">MIN(IF(AB5:AB32&lt;=0,99999,AB5:AB32))</f>
        <v>#N/A</v>
      </c>
      <c r="AF3" s="5">
        <f>SUM(AF5:AF32)</f>
        <v>10</v>
      </c>
      <c r="AG3" s="5">
        <f>SUM(AG5:AG32)</f>
        <v>3</v>
      </c>
    </row>
    <row r="4" spans="1:34" s="113" customFormat="1" ht="31.5" x14ac:dyDescent="0.15">
      <c r="A4" s="107" t="s">
        <v>118</v>
      </c>
      <c r="B4" s="108" t="s">
        <v>0</v>
      </c>
      <c r="C4" s="109" t="s">
        <v>1</v>
      </c>
      <c r="D4" s="107" t="s">
        <v>2</v>
      </c>
      <c r="E4" s="107" t="s">
        <v>3</v>
      </c>
      <c r="F4" s="107" t="s">
        <v>141</v>
      </c>
      <c r="G4" s="109" t="s">
        <v>9</v>
      </c>
      <c r="H4" s="107" t="s">
        <v>32</v>
      </c>
      <c r="I4" s="107" t="s">
        <v>99</v>
      </c>
      <c r="J4" s="110"/>
      <c r="K4" s="109" t="s">
        <v>9</v>
      </c>
      <c r="L4" s="107" t="s">
        <v>32</v>
      </c>
      <c r="M4" s="107" t="s">
        <v>99</v>
      </c>
      <c r="N4" s="109"/>
      <c r="O4" s="109" t="s">
        <v>162</v>
      </c>
      <c r="P4" s="109" t="s">
        <v>163</v>
      </c>
      <c r="Q4" s="109" t="s">
        <v>100</v>
      </c>
      <c r="R4" s="111" t="s">
        <v>101</v>
      </c>
      <c r="S4" s="111" t="s">
        <v>102</v>
      </c>
      <c r="T4" s="111" t="s">
        <v>103</v>
      </c>
      <c r="U4" s="111" t="s">
        <v>104</v>
      </c>
      <c r="V4" s="111" t="s">
        <v>105</v>
      </c>
      <c r="W4" s="111" t="s">
        <v>106</v>
      </c>
      <c r="X4" s="111" t="s">
        <v>107</v>
      </c>
      <c r="Y4" s="111" t="s">
        <v>108</v>
      </c>
      <c r="Z4" s="111" t="s">
        <v>109</v>
      </c>
      <c r="AA4" s="112" t="s">
        <v>175</v>
      </c>
      <c r="AB4" s="112" t="s">
        <v>176</v>
      </c>
      <c r="AC4" s="112" t="s">
        <v>177</v>
      </c>
      <c r="AD4" s="112" t="s">
        <v>178</v>
      </c>
      <c r="AE4" s="113" t="s">
        <v>197</v>
      </c>
      <c r="AF4" s="113" t="s">
        <v>206</v>
      </c>
      <c r="AG4" s="113" t="s">
        <v>207</v>
      </c>
    </row>
    <row r="5" spans="1:34" s="21" customFormat="1" x14ac:dyDescent="0.15">
      <c r="A5" s="88" t="str">
        <f t="shared" ref="A5:A32" si="0">TEXT(WEEKDAY(B5),"ddd")</f>
        <v>Sun</v>
      </c>
      <c r="B5" s="89">
        <v>45053</v>
      </c>
      <c r="C5" s="90" t="s">
        <v>290</v>
      </c>
      <c r="D5" s="91" t="s">
        <v>291</v>
      </c>
      <c r="E5" s="91" t="s">
        <v>199</v>
      </c>
      <c r="F5" s="91" t="s">
        <v>1</v>
      </c>
      <c r="G5" s="92">
        <v>202</v>
      </c>
      <c r="H5" s="91">
        <v>8</v>
      </c>
      <c r="I5" s="91"/>
      <c r="J5" s="93" t="s">
        <v>453</v>
      </c>
      <c r="K5" s="92">
        <v>88</v>
      </c>
      <c r="L5" s="91">
        <v>10</v>
      </c>
      <c r="M5" s="91"/>
      <c r="N5" s="90" t="s">
        <v>454</v>
      </c>
      <c r="O5" s="94">
        <v>27.4</v>
      </c>
      <c r="P5" s="162">
        <v>40</v>
      </c>
      <c r="Q5" s="163">
        <v>14</v>
      </c>
      <c r="R5" s="163">
        <v>1</v>
      </c>
      <c r="S5" s="163">
        <v>6</v>
      </c>
      <c r="T5" s="163">
        <v>5</v>
      </c>
      <c r="U5" s="92">
        <v>1</v>
      </c>
      <c r="V5" s="92"/>
      <c r="W5" s="92">
        <v>9</v>
      </c>
      <c r="X5" s="92">
        <v>1</v>
      </c>
      <c r="Y5" s="92">
        <f>SUM(Q5:T5)</f>
        <v>26</v>
      </c>
      <c r="Z5" s="92">
        <f>SUM(U5:X5)</f>
        <v>11</v>
      </c>
      <c r="AA5" s="92">
        <f t="shared" ref="AA5:AA19" si="1">IF(F5="TOCC",G5,K5)</f>
        <v>88</v>
      </c>
      <c r="AB5" s="92">
        <f t="shared" ref="AB5:AB19" si="2">IF(F5&lt;&gt;"TOCC",G5,K5)</f>
        <v>202</v>
      </c>
      <c r="AC5" s="117">
        <f t="shared" ref="AC5:AC19" si="3">IF(F5="TOCC",H5,L5)</f>
        <v>10</v>
      </c>
      <c r="AD5" s="92">
        <f t="shared" ref="AD5:AD19" si="4">IF(F5&lt;&gt;"TOCC",H5,L5)</f>
        <v>8</v>
      </c>
      <c r="AE5" s="135"/>
      <c r="AF5" s="21">
        <v>0</v>
      </c>
      <c r="AG5" s="21">
        <v>0</v>
      </c>
    </row>
    <row r="6" spans="1:34" x14ac:dyDescent="0.15">
      <c r="A6" s="88" t="str">
        <f t="shared" si="0"/>
        <v>Sun</v>
      </c>
      <c r="B6" s="114">
        <v>45060</v>
      </c>
      <c r="C6" s="115" t="s">
        <v>289</v>
      </c>
      <c r="D6" s="116" t="s">
        <v>292</v>
      </c>
      <c r="E6" s="116" t="s">
        <v>199</v>
      </c>
      <c r="F6" s="116" t="s">
        <v>1</v>
      </c>
      <c r="G6" s="117">
        <v>172</v>
      </c>
      <c r="H6" s="116">
        <v>5</v>
      </c>
      <c r="I6" s="116"/>
      <c r="J6" s="118"/>
      <c r="K6" s="117">
        <v>115</v>
      </c>
      <c r="L6" s="116">
        <v>10</v>
      </c>
      <c r="M6" s="116"/>
      <c r="N6" s="115"/>
      <c r="O6" s="119">
        <v>29.5</v>
      </c>
      <c r="P6" s="164">
        <v>40</v>
      </c>
      <c r="Q6" s="165">
        <v>6</v>
      </c>
      <c r="R6" s="165">
        <v>3</v>
      </c>
      <c r="S6" s="165">
        <v>9</v>
      </c>
      <c r="T6" s="165">
        <v>2</v>
      </c>
      <c r="U6" s="117">
        <v>10</v>
      </c>
      <c r="V6" s="117">
        <v>5</v>
      </c>
      <c r="W6" s="117">
        <v>5</v>
      </c>
      <c r="X6" s="117">
        <v>0</v>
      </c>
      <c r="Y6" s="92">
        <f>SUM(Q6:T6)</f>
        <v>20</v>
      </c>
      <c r="Z6" s="92">
        <f t="shared" ref="Z6:Z26" si="5">SUM(U6:X6)</f>
        <v>20</v>
      </c>
      <c r="AA6" s="117">
        <f t="shared" si="1"/>
        <v>115</v>
      </c>
      <c r="AB6" s="117">
        <f t="shared" si="2"/>
        <v>172</v>
      </c>
      <c r="AC6" s="117">
        <f t="shared" si="3"/>
        <v>10</v>
      </c>
      <c r="AD6" s="117">
        <f t="shared" si="4"/>
        <v>5</v>
      </c>
      <c r="AE6" s="135"/>
      <c r="AF6" s="22">
        <v>2</v>
      </c>
      <c r="AG6" s="22">
        <v>1</v>
      </c>
      <c r="AH6" s="22" t="s">
        <v>358</v>
      </c>
    </row>
    <row r="7" spans="1:34" x14ac:dyDescent="0.15">
      <c r="A7" s="88" t="str">
        <f t="shared" si="0"/>
        <v>Sun</v>
      </c>
      <c r="B7" s="114">
        <v>45067</v>
      </c>
      <c r="C7" s="115" t="s">
        <v>349</v>
      </c>
      <c r="D7" s="116" t="s">
        <v>291</v>
      </c>
      <c r="E7" s="116" t="s">
        <v>200</v>
      </c>
      <c r="F7" s="116" t="s">
        <v>1</v>
      </c>
      <c r="G7" s="117">
        <v>119</v>
      </c>
      <c r="H7" s="116">
        <v>10</v>
      </c>
      <c r="I7" s="116"/>
      <c r="J7" s="118"/>
      <c r="K7" s="117">
        <v>121</v>
      </c>
      <c r="L7" s="116">
        <v>4</v>
      </c>
      <c r="M7" s="116"/>
      <c r="N7" s="115"/>
      <c r="O7" s="119">
        <v>27</v>
      </c>
      <c r="P7" s="164">
        <v>35.4</v>
      </c>
      <c r="Q7" s="165">
        <v>19</v>
      </c>
      <c r="R7" s="165">
        <v>1</v>
      </c>
      <c r="S7" s="165">
        <v>8</v>
      </c>
      <c r="T7" s="165">
        <v>0</v>
      </c>
      <c r="U7" s="117">
        <v>6</v>
      </c>
      <c r="V7" s="117">
        <v>5</v>
      </c>
      <c r="W7" s="117">
        <v>0</v>
      </c>
      <c r="X7" s="117">
        <v>1</v>
      </c>
      <c r="Y7" s="92">
        <f>SUM(Q7:T7)</f>
        <v>28</v>
      </c>
      <c r="Z7" s="92">
        <f t="shared" si="5"/>
        <v>12</v>
      </c>
      <c r="AA7" s="117">
        <f t="shared" si="1"/>
        <v>121</v>
      </c>
      <c r="AB7" s="117">
        <f t="shared" si="2"/>
        <v>119</v>
      </c>
      <c r="AC7" s="117">
        <f t="shared" si="3"/>
        <v>4</v>
      </c>
      <c r="AD7" s="117">
        <f t="shared" si="4"/>
        <v>10</v>
      </c>
      <c r="AE7" s="135"/>
      <c r="AF7" s="22">
        <v>0</v>
      </c>
      <c r="AG7" s="22">
        <v>0</v>
      </c>
    </row>
    <row r="8" spans="1:34" x14ac:dyDescent="0.15">
      <c r="A8" s="88" t="str">
        <f t="shared" si="0"/>
        <v>Sat</v>
      </c>
      <c r="B8" s="114">
        <v>45073</v>
      </c>
      <c r="C8" s="115" t="s">
        <v>269</v>
      </c>
      <c r="D8" s="116" t="s">
        <v>292</v>
      </c>
      <c r="E8" s="116" t="s">
        <v>200</v>
      </c>
      <c r="F8" s="116" t="s">
        <v>198</v>
      </c>
      <c r="G8" s="117">
        <v>197</v>
      </c>
      <c r="H8" s="116">
        <v>4</v>
      </c>
      <c r="I8" s="116"/>
      <c r="J8" s="118"/>
      <c r="K8" s="117">
        <v>120</v>
      </c>
      <c r="L8" s="116">
        <v>10</v>
      </c>
      <c r="M8" s="116"/>
      <c r="N8" s="115"/>
      <c r="O8" s="119">
        <v>35</v>
      </c>
      <c r="P8" s="164">
        <v>29.5</v>
      </c>
      <c r="Q8" s="165">
        <v>17</v>
      </c>
      <c r="R8" s="165">
        <v>4</v>
      </c>
      <c r="S8" s="165">
        <v>10</v>
      </c>
      <c r="T8" s="165">
        <v>7</v>
      </c>
      <c r="U8" s="117">
        <v>14</v>
      </c>
      <c r="V8" s="117">
        <v>7</v>
      </c>
      <c r="W8" s="117">
        <v>6</v>
      </c>
      <c r="X8" s="117">
        <v>4</v>
      </c>
      <c r="Y8" s="92">
        <f>SUM(Q8:T8)</f>
        <v>38</v>
      </c>
      <c r="Z8" s="92">
        <f t="shared" si="5"/>
        <v>31</v>
      </c>
      <c r="AA8" s="117">
        <f t="shared" si="1"/>
        <v>197</v>
      </c>
      <c r="AB8" s="117">
        <f t="shared" si="2"/>
        <v>120</v>
      </c>
      <c r="AC8" s="117">
        <f t="shared" si="3"/>
        <v>4</v>
      </c>
      <c r="AD8" s="117">
        <f t="shared" si="4"/>
        <v>10</v>
      </c>
      <c r="AE8" s="135"/>
      <c r="AF8" s="22">
        <v>1</v>
      </c>
      <c r="AG8" s="22">
        <v>0</v>
      </c>
      <c r="AH8" s="22" t="s">
        <v>196</v>
      </c>
    </row>
    <row r="9" spans="1:34" x14ac:dyDescent="0.15">
      <c r="A9" s="88" t="str">
        <f t="shared" si="0"/>
        <v>Sun</v>
      </c>
      <c r="B9" s="114">
        <v>45074</v>
      </c>
      <c r="C9" s="115" t="s">
        <v>218</v>
      </c>
      <c r="D9" s="116" t="s">
        <v>292</v>
      </c>
      <c r="E9" s="116" t="s">
        <v>200</v>
      </c>
      <c r="F9" s="116" t="s">
        <v>198</v>
      </c>
      <c r="G9" s="117">
        <v>163</v>
      </c>
      <c r="H9" s="116">
        <v>9</v>
      </c>
      <c r="I9" s="116"/>
      <c r="J9" s="118"/>
      <c r="K9" s="117">
        <v>157</v>
      </c>
      <c r="L9" s="116">
        <v>8</v>
      </c>
      <c r="M9" s="116"/>
      <c r="N9" s="115"/>
      <c r="O9" s="119">
        <v>35</v>
      </c>
      <c r="P9" s="164">
        <v>35</v>
      </c>
      <c r="Q9" s="165">
        <v>2</v>
      </c>
      <c r="R9" s="165">
        <v>0</v>
      </c>
      <c r="S9" s="165">
        <v>0</v>
      </c>
      <c r="T9" s="165">
        <v>1</v>
      </c>
      <c r="U9" s="117">
        <v>15</v>
      </c>
      <c r="V9" s="117">
        <v>1</v>
      </c>
      <c r="W9" s="117">
        <v>4</v>
      </c>
      <c r="X9" s="117">
        <v>3</v>
      </c>
      <c r="Y9" s="92">
        <f t="shared" ref="Y9:Y26" si="6">SUM(Q9:T9)</f>
        <v>3</v>
      </c>
      <c r="Z9" s="92">
        <f t="shared" si="5"/>
        <v>23</v>
      </c>
      <c r="AA9" s="117">
        <f t="shared" si="1"/>
        <v>163</v>
      </c>
      <c r="AB9" s="117">
        <f t="shared" si="2"/>
        <v>157</v>
      </c>
      <c r="AC9" s="117">
        <f t="shared" si="3"/>
        <v>9</v>
      </c>
      <c r="AD9" s="117">
        <f t="shared" si="4"/>
        <v>8</v>
      </c>
      <c r="AE9" s="135"/>
      <c r="AF9" s="22">
        <v>0</v>
      </c>
      <c r="AG9" s="22">
        <v>0</v>
      </c>
    </row>
    <row r="10" spans="1:34" x14ac:dyDescent="0.15">
      <c r="A10" s="88" t="str">
        <f t="shared" si="0"/>
        <v>Mon</v>
      </c>
      <c r="B10" s="114">
        <v>45075</v>
      </c>
      <c r="C10" s="115" t="s">
        <v>237</v>
      </c>
      <c r="D10" s="116" t="s">
        <v>292</v>
      </c>
      <c r="E10" s="116" t="s">
        <v>200</v>
      </c>
      <c r="F10" s="116" t="s">
        <v>198</v>
      </c>
      <c r="G10" s="117">
        <v>252</v>
      </c>
      <c r="H10" s="116">
        <v>3</v>
      </c>
      <c r="I10" s="116"/>
      <c r="J10" s="118"/>
      <c r="K10" s="117">
        <v>181</v>
      </c>
      <c r="L10" s="116">
        <v>7</v>
      </c>
      <c r="M10" s="116"/>
      <c r="N10" s="115"/>
      <c r="O10" s="119">
        <v>35</v>
      </c>
      <c r="P10" s="164">
        <v>35</v>
      </c>
      <c r="Q10" s="165">
        <v>2</v>
      </c>
      <c r="R10" s="165">
        <v>5</v>
      </c>
      <c r="S10" s="165">
        <v>17</v>
      </c>
      <c r="T10" s="165">
        <v>5</v>
      </c>
      <c r="U10" s="117">
        <v>3</v>
      </c>
      <c r="V10" s="117">
        <v>2</v>
      </c>
      <c r="W10" s="117">
        <v>5</v>
      </c>
      <c r="X10" s="117">
        <v>1</v>
      </c>
      <c r="Y10" s="92">
        <f t="shared" si="6"/>
        <v>29</v>
      </c>
      <c r="Z10" s="92">
        <f t="shared" si="5"/>
        <v>11</v>
      </c>
      <c r="AA10" s="117">
        <f t="shared" si="1"/>
        <v>252</v>
      </c>
      <c r="AB10" s="117">
        <f t="shared" si="2"/>
        <v>181</v>
      </c>
      <c r="AC10" s="117">
        <f t="shared" si="3"/>
        <v>3</v>
      </c>
      <c r="AD10" s="117">
        <f t="shared" si="4"/>
        <v>7</v>
      </c>
      <c r="AE10" s="135"/>
      <c r="AF10" s="22">
        <v>0</v>
      </c>
      <c r="AG10" s="22">
        <v>0</v>
      </c>
    </row>
    <row r="11" spans="1:34" x14ac:dyDescent="0.15">
      <c r="A11" s="88" t="str">
        <f t="shared" si="0"/>
        <v>Sun</v>
      </c>
      <c r="B11" s="114">
        <v>45081</v>
      </c>
      <c r="C11" s="115" t="s">
        <v>349</v>
      </c>
      <c r="D11" s="116" t="s">
        <v>292</v>
      </c>
      <c r="E11" s="116" t="s">
        <v>200</v>
      </c>
      <c r="F11" s="116" t="s">
        <v>198</v>
      </c>
      <c r="G11" s="117">
        <v>207</v>
      </c>
      <c r="H11" s="116">
        <v>6</v>
      </c>
      <c r="I11" s="116"/>
      <c r="J11" s="118"/>
      <c r="K11" s="117">
        <v>170</v>
      </c>
      <c r="L11" s="116">
        <v>10</v>
      </c>
      <c r="M11" s="116"/>
      <c r="N11" s="115"/>
      <c r="O11" s="119">
        <v>35</v>
      </c>
      <c r="P11" s="164">
        <v>31</v>
      </c>
      <c r="Q11" s="165">
        <v>11</v>
      </c>
      <c r="R11" s="165">
        <v>3</v>
      </c>
      <c r="S11" s="165">
        <v>3</v>
      </c>
      <c r="T11" s="165">
        <v>0</v>
      </c>
      <c r="U11" s="117">
        <v>10</v>
      </c>
      <c r="V11" s="117">
        <v>8</v>
      </c>
      <c r="W11" s="117">
        <v>2</v>
      </c>
      <c r="X11" s="117">
        <v>3</v>
      </c>
      <c r="Y11" s="92">
        <f t="shared" si="6"/>
        <v>17</v>
      </c>
      <c r="Z11" s="92">
        <f t="shared" si="5"/>
        <v>23</v>
      </c>
      <c r="AA11" s="117">
        <f t="shared" si="1"/>
        <v>207</v>
      </c>
      <c r="AB11" s="117">
        <f t="shared" si="2"/>
        <v>170</v>
      </c>
      <c r="AC11" s="117">
        <f t="shared" si="3"/>
        <v>6</v>
      </c>
      <c r="AD11" s="117">
        <f t="shared" si="4"/>
        <v>10</v>
      </c>
      <c r="AE11" s="135"/>
      <c r="AF11" s="22">
        <v>1</v>
      </c>
      <c r="AG11" s="22">
        <v>0</v>
      </c>
      <c r="AH11" s="22" t="s">
        <v>358</v>
      </c>
    </row>
    <row r="12" spans="1:34" x14ac:dyDescent="0.15">
      <c r="A12" s="88" t="str">
        <f t="shared" si="0"/>
        <v>Sun</v>
      </c>
      <c r="B12" s="114">
        <v>45088</v>
      </c>
      <c r="C12" s="115" t="s">
        <v>448</v>
      </c>
      <c r="D12" s="116" t="s">
        <v>292</v>
      </c>
      <c r="E12" s="116" t="s">
        <v>199</v>
      </c>
      <c r="F12" s="116" t="s">
        <v>198</v>
      </c>
      <c r="G12" s="117">
        <v>95</v>
      </c>
      <c r="H12" s="116">
        <v>9</v>
      </c>
      <c r="I12" s="116"/>
      <c r="J12" s="118"/>
      <c r="K12" s="117">
        <v>96</v>
      </c>
      <c r="L12" s="116">
        <v>6</v>
      </c>
      <c r="M12" s="116"/>
      <c r="N12" s="118"/>
      <c r="O12" s="119">
        <v>27.2</v>
      </c>
      <c r="P12" s="164">
        <v>23.4</v>
      </c>
      <c r="Q12" s="165">
        <v>0</v>
      </c>
      <c r="R12" s="165">
        <v>1</v>
      </c>
      <c r="S12" s="165">
        <v>4</v>
      </c>
      <c r="T12" s="165">
        <v>0</v>
      </c>
      <c r="U12" s="117">
        <v>1</v>
      </c>
      <c r="V12" s="117">
        <v>0</v>
      </c>
      <c r="W12" s="117">
        <v>16</v>
      </c>
      <c r="X12" s="117">
        <v>3</v>
      </c>
      <c r="Y12" s="92">
        <f t="shared" si="6"/>
        <v>5</v>
      </c>
      <c r="Z12" s="92">
        <f t="shared" si="5"/>
        <v>20</v>
      </c>
      <c r="AA12" s="117">
        <f t="shared" si="1"/>
        <v>95</v>
      </c>
      <c r="AB12" s="117">
        <f t="shared" si="2"/>
        <v>96</v>
      </c>
      <c r="AC12" s="117">
        <f t="shared" si="3"/>
        <v>9</v>
      </c>
      <c r="AD12" s="117">
        <f t="shared" si="4"/>
        <v>6</v>
      </c>
      <c r="AE12" s="135"/>
      <c r="AF12" s="22">
        <v>0</v>
      </c>
      <c r="AG12" s="22">
        <v>0</v>
      </c>
    </row>
    <row r="13" spans="1:34" x14ac:dyDescent="0.15">
      <c r="A13" s="88" t="str">
        <f t="shared" si="0"/>
        <v>Sun</v>
      </c>
      <c r="B13" s="114">
        <v>45095</v>
      </c>
      <c r="C13" s="115" t="s">
        <v>449</v>
      </c>
      <c r="D13" s="116" t="s">
        <v>291</v>
      </c>
      <c r="E13" s="116" t="s">
        <v>306</v>
      </c>
      <c r="F13" s="116" t="s">
        <v>1</v>
      </c>
      <c r="G13" s="117">
        <v>122</v>
      </c>
      <c r="H13" s="116">
        <v>9</v>
      </c>
      <c r="I13" s="116"/>
      <c r="J13" s="118"/>
      <c r="K13" s="117"/>
      <c r="L13" s="116"/>
      <c r="M13" s="116"/>
      <c r="N13" s="115"/>
      <c r="O13" s="119"/>
      <c r="P13" s="164">
        <v>32.4</v>
      </c>
      <c r="Q13" s="165">
        <v>0</v>
      </c>
      <c r="R13" s="165">
        <v>0</v>
      </c>
      <c r="S13" s="165">
        <v>1</v>
      </c>
      <c r="T13" s="165">
        <v>5</v>
      </c>
      <c r="U13" s="117"/>
      <c r="V13" s="117"/>
      <c r="W13" s="117"/>
      <c r="X13" s="117"/>
      <c r="Y13" s="92">
        <f t="shared" si="6"/>
        <v>6</v>
      </c>
      <c r="Z13" s="92">
        <f t="shared" si="5"/>
        <v>0</v>
      </c>
      <c r="AA13" s="117">
        <f t="shared" si="1"/>
        <v>0</v>
      </c>
      <c r="AB13" s="117">
        <f t="shared" si="2"/>
        <v>122</v>
      </c>
      <c r="AC13" s="117">
        <f t="shared" si="3"/>
        <v>0</v>
      </c>
      <c r="AD13" s="117">
        <f t="shared" si="4"/>
        <v>9</v>
      </c>
      <c r="AE13" s="135"/>
      <c r="AF13" s="22">
        <v>1</v>
      </c>
      <c r="AG13" s="22">
        <v>0</v>
      </c>
      <c r="AH13" s="22" t="s">
        <v>196</v>
      </c>
    </row>
    <row r="14" spans="1:34" x14ac:dyDescent="0.15">
      <c r="A14" s="88" t="str">
        <f t="shared" si="0"/>
        <v>Sun</v>
      </c>
      <c r="B14" s="114">
        <v>45116</v>
      </c>
      <c r="C14" s="115" t="s">
        <v>375</v>
      </c>
      <c r="D14" s="116" t="s">
        <v>292</v>
      </c>
      <c r="E14" s="116" t="s">
        <v>199</v>
      </c>
      <c r="F14" s="116" t="s">
        <v>1</v>
      </c>
      <c r="G14" s="117">
        <v>178</v>
      </c>
      <c r="H14" s="116">
        <v>7</v>
      </c>
      <c r="I14" s="116"/>
      <c r="J14" s="118"/>
      <c r="K14" s="117">
        <v>142</v>
      </c>
      <c r="L14" s="116">
        <v>10</v>
      </c>
      <c r="M14" s="116"/>
      <c r="N14" s="115"/>
      <c r="O14" s="119">
        <v>35.200000000000003</v>
      </c>
      <c r="P14" s="164">
        <v>40</v>
      </c>
      <c r="Q14" s="165">
        <v>6</v>
      </c>
      <c r="R14" s="165">
        <v>5</v>
      </c>
      <c r="S14" s="165">
        <v>14</v>
      </c>
      <c r="T14" s="165">
        <v>4</v>
      </c>
      <c r="U14" s="117">
        <v>3</v>
      </c>
      <c r="V14" s="117">
        <v>0</v>
      </c>
      <c r="W14" s="117">
        <v>2</v>
      </c>
      <c r="X14" s="117">
        <v>4</v>
      </c>
      <c r="Y14" s="92">
        <f t="shared" si="6"/>
        <v>29</v>
      </c>
      <c r="Z14" s="92">
        <f t="shared" si="5"/>
        <v>9</v>
      </c>
      <c r="AA14" s="117">
        <f t="shared" si="1"/>
        <v>142</v>
      </c>
      <c r="AB14" s="117">
        <f t="shared" si="2"/>
        <v>178</v>
      </c>
      <c r="AC14" s="117">
        <f t="shared" si="3"/>
        <v>10</v>
      </c>
      <c r="AD14" s="117">
        <f t="shared" si="4"/>
        <v>7</v>
      </c>
      <c r="AE14" s="135"/>
      <c r="AF14" s="22">
        <v>0</v>
      </c>
      <c r="AG14" s="22">
        <v>1</v>
      </c>
    </row>
    <row r="15" spans="1:34" x14ac:dyDescent="0.15">
      <c r="A15" s="88" t="str">
        <f t="shared" si="0"/>
        <v>Sun</v>
      </c>
      <c r="B15" s="114">
        <v>45137</v>
      </c>
      <c r="C15" s="115" t="s">
        <v>290</v>
      </c>
      <c r="D15" s="116" t="s">
        <v>292</v>
      </c>
      <c r="E15" s="116" t="s">
        <v>306</v>
      </c>
      <c r="F15" s="116" t="s">
        <v>1</v>
      </c>
      <c r="G15" s="117">
        <v>128</v>
      </c>
      <c r="H15" s="116">
        <v>7</v>
      </c>
      <c r="I15" s="116"/>
      <c r="J15" s="118"/>
      <c r="K15" s="117"/>
      <c r="L15" s="116"/>
      <c r="M15" s="116"/>
      <c r="N15" s="115"/>
      <c r="O15" s="119"/>
      <c r="P15" s="164">
        <v>27</v>
      </c>
      <c r="Q15" s="165">
        <v>1</v>
      </c>
      <c r="R15" s="165">
        <v>2</v>
      </c>
      <c r="S15" s="165">
        <v>0</v>
      </c>
      <c r="T15" s="165">
        <v>0</v>
      </c>
      <c r="U15" s="117"/>
      <c r="V15" s="117"/>
      <c r="W15" s="117"/>
      <c r="X15" s="117"/>
      <c r="Y15" s="92">
        <f t="shared" si="6"/>
        <v>3</v>
      </c>
      <c r="Z15" s="92">
        <f t="shared" si="5"/>
        <v>0</v>
      </c>
      <c r="AA15" s="117">
        <f>IF(F15="TOCC",G15,K15)</f>
        <v>0</v>
      </c>
      <c r="AB15" s="117">
        <f>IF(F15&lt;&gt;"TOCC",G15,K15)</f>
        <v>128</v>
      </c>
      <c r="AC15" s="117">
        <f t="shared" si="3"/>
        <v>0</v>
      </c>
      <c r="AD15" s="117">
        <f t="shared" si="4"/>
        <v>7</v>
      </c>
      <c r="AE15" s="135"/>
      <c r="AF15" s="22">
        <v>0</v>
      </c>
      <c r="AG15" s="22">
        <v>0</v>
      </c>
    </row>
    <row r="16" spans="1:34" s="21" customFormat="1" x14ac:dyDescent="0.15">
      <c r="A16" s="88" t="str">
        <f t="shared" si="0"/>
        <v>Sun</v>
      </c>
      <c r="B16" s="89">
        <v>45151</v>
      </c>
      <c r="C16" s="90" t="s">
        <v>367</v>
      </c>
      <c r="D16" s="91" t="s">
        <v>292</v>
      </c>
      <c r="E16" s="91" t="s">
        <v>199</v>
      </c>
      <c r="F16" s="91" t="s">
        <v>198</v>
      </c>
      <c r="G16" s="92">
        <v>142</v>
      </c>
      <c r="H16" s="91">
        <v>10</v>
      </c>
      <c r="I16" s="91"/>
      <c r="J16" s="93"/>
      <c r="K16" s="117">
        <v>143</v>
      </c>
      <c r="L16" s="91">
        <v>7</v>
      </c>
      <c r="M16" s="91"/>
      <c r="N16" s="90"/>
      <c r="O16" s="94">
        <v>37</v>
      </c>
      <c r="P16" s="162">
        <v>37.1</v>
      </c>
      <c r="Q16" s="163">
        <v>3</v>
      </c>
      <c r="R16" s="163">
        <v>0</v>
      </c>
      <c r="S16" s="163">
        <v>4</v>
      </c>
      <c r="T16" s="163">
        <v>1</v>
      </c>
      <c r="U16" s="92">
        <v>13</v>
      </c>
      <c r="V16" s="92">
        <v>1</v>
      </c>
      <c r="W16" s="92">
        <v>3</v>
      </c>
      <c r="X16" s="92">
        <v>4</v>
      </c>
      <c r="Y16" s="92">
        <f t="shared" si="6"/>
        <v>8</v>
      </c>
      <c r="Z16" s="92">
        <f t="shared" si="5"/>
        <v>21</v>
      </c>
      <c r="AA16" s="92">
        <f t="shared" si="1"/>
        <v>142</v>
      </c>
      <c r="AB16" s="92">
        <f t="shared" si="2"/>
        <v>143</v>
      </c>
      <c r="AC16" s="92">
        <f t="shared" si="3"/>
        <v>10</v>
      </c>
      <c r="AD16" s="92">
        <f t="shared" si="4"/>
        <v>7</v>
      </c>
      <c r="AE16" s="135"/>
      <c r="AF16" s="21">
        <v>0</v>
      </c>
      <c r="AG16" s="21">
        <v>0</v>
      </c>
    </row>
    <row r="17" spans="1:34" x14ac:dyDescent="0.15">
      <c r="A17" s="88" t="str">
        <f t="shared" si="0"/>
        <v>Sun</v>
      </c>
      <c r="B17" s="89">
        <v>45158</v>
      </c>
      <c r="C17" s="115" t="s">
        <v>450</v>
      </c>
      <c r="D17" s="91" t="s">
        <v>292</v>
      </c>
      <c r="E17" s="91" t="s">
        <v>199</v>
      </c>
      <c r="F17" s="91" t="s">
        <v>1</v>
      </c>
      <c r="G17" s="92">
        <v>185</v>
      </c>
      <c r="H17" s="91">
        <v>8</v>
      </c>
      <c r="I17" s="91"/>
      <c r="J17" s="93"/>
      <c r="K17" s="117">
        <v>115</v>
      </c>
      <c r="L17" s="91">
        <v>10</v>
      </c>
      <c r="M17" s="91"/>
      <c r="N17" s="90"/>
      <c r="O17" s="94">
        <v>32</v>
      </c>
      <c r="P17" s="162">
        <v>40</v>
      </c>
      <c r="Q17" s="163">
        <v>4</v>
      </c>
      <c r="R17" s="163">
        <v>0</v>
      </c>
      <c r="S17" s="163">
        <v>8</v>
      </c>
      <c r="T17" s="163">
        <v>1</v>
      </c>
      <c r="U17" s="92">
        <v>8</v>
      </c>
      <c r="V17" s="92">
        <v>2</v>
      </c>
      <c r="W17" s="92">
        <v>1</v>
      </c>
      <c r="X17" s="92">
        <v>1</v>
      </c>
      <c r="Y17" s="92">
        <f t="shared" si="6"/>
        <v>13</v>
      </c>
      <c r="Z17" s="92">
        <f t="shared" si="5"/>
        <v>12</v>
      </c>
      <c r="AA17" s="92">
        <f t="shared" si="1"/>
        <v>115</v>
      </c>
      <c r="AB17" s="92">
        <f t="shared" si="2"/>
        <v>185</v>
      </c>
      <c r="AC17" s="92">
        <f t="shared" si="3"/>
        <v>10</v>
      </c>
      <c r="AD17" s="92">
        <f t="shared" si="4"/>
        <v>8</v>
      </c>
      <c r="AE17" s="135"/>
      <c r="AF17" s="22">
        <v>1</v>
      </c>
      <c r="AG17" s="22">
        <v>0</v>
      </c>
      <c r="AH17" s="22" t="s">
        <v>382</v>
      </c>
    </row>
    <row r="18" spans="1:34" x14ac:dyDescent="0.15">
      <c r="A18" s="88" t="str">
        <f t="shared" si="0"/>
        <v>Sun</v>
      </c>
      <c r="B18" s="89">
        <v>45165</v>
      </c>
      <c r="C18" s="115" t="s">
        <v>394</v>
      </c>
      <c r="D18" s="91" t="s">
        <v>292</v>
      </c>
      <c r="E18" s="91" t="s">
        <v>200</v>
      </c>
      <c r="F18" s="91" t="s">
        <v>198</v>
      </c>
      <c r="G18" s="92">
        <v>163</v>
      </c>
      <c r="H18" s="91">
        <v>7</v>
      </c>
      <c r="I18" s="91"/>
      <c r="J18" s="93"/>
      <c r="K18" s="117">
        <v>79</v>
      </c>
      <c r="L18" s="91">
        <v>10</v>
      </c>
      <c r="M18" s="91"/>
      <c r="N18" s="90"/>
      <c r="O18" s="94">
        <v>35</v>
      </c>
      <c r="P18" s="162">
        <v>23.2</v>
      </c>
      <c r="Q18" s="163">
        <v>3</v>
      </c>
      <c r="R18" s="163">
        <v>0</v>
      </c>
      <c r="S18" s="163">
        <v>0</v>
      </c>
      <c r="T18" s="163">
        <v>1</v>
      </c>
      <c r="U18" s="92">
        <v>2</v>
      </c>
      <c r="V18" s="92">
        <v>2</v>
      </c>
      <c r="W18" s="92">
        <v>6</v>
      </c>
      <c r="X18" s="92">
        <v>2</v>
      </c>
      <c r="Y18" s="92">
        <f t="shared" si="6"/>
        <v>4</v>
      </c>
      <c r="Z18" s="92">
        <f t="shared" si="5"/>
        <v>12</v>
      </c>
      <c r="AA18" s="92">
        <f t="shared" si="1"/>
        <v>163</v>
      </c>
      <c r="AB18" s="92">
        <f t="shared" si="2"/>
        <v>79</v>
      </c>
      <c r="AC18" s="92">
        <f t="shared" si="3"/>
        <v>7</v>
      </c>
      <c r="AD18" s="92">
        <f t="shared" si="4"/>
        <v>10</v>
      </c>
      <c r="AE18" s="135"/>
      <c r="AF18" s="22">
        <v>1</v>
      </c>
      <c r="AG18" s="22">
        <v>0</v>
      </c>
      <c r="AH18" s="22" t="s">
        <v>384</v>
      </c>
    </row>
    <row r="19" spans="1:34" x14ac:dyDescent="0.15">
      <c r="A19" s="88" t="str">
        <f t="shared" si="0"/>
        <v>Sun</v>
      </c>
      <c r="B19" s="89">
        <v>45179</v>
      </c>
      <c r="C19" s="132" t="s">
        <v>451</v>
      </c>
      <c r="D19" s="91" t="s">
        <v>292</v>
      </c>
      <c r="E19" s="91" t="s">
        <v>199</v>
      </c>
      <c r="F19" s="91" t="s">
        <v>1</v>
      </c>
      <c r="G19" s="92">
        <v>199</v>
      </c>
      <c r="H19" s="91">
        <v>7</v>
      </c>
      <c r="I19" s="91"/>
      <c r="J19" s="93"/>
      <c r="K19" s="117">
        <v>117</v>
      </c>
      <c r="L19" s="91">
        <v>10</v>
      </c>
      <c r="M19" s="91"/>
      <c r="N19" s="90"/>
      <c r="O19" s="94">
        <v>30.1</v>
      </c>
      <c r="P19" s="162">
        <v>35</v>
      </c>
      <c r="Q19" s="163">
        <v>3</v>
      </c>
      <c r="R19" s="163">
        <v>0</v>
      </c>
      <c r="S19" s="163">
        <v>5</v>
      </c>
      <c r="T19" s="163">
        <v>0</v>
      </c>
      <c r="U19" s="92">
        <v>8</v>
      </c>
      <c r="V19" s="92">
        <v>10</v>
      </c>
      <c r="W19" s="92">
        <v>2</v>
      </c>
      <c r="X19" s="92">
        <v>1</v>
      </c>
      <c r="Y19" s="92">
        <f t="shared" si="6"/>
        <v>8</v>
      </c>
      <c r="Z19" s="92">
        <f t="shared" si="5"/>
        <v>21</v>
      </c>
      <c r="AA19" s="92">
        <f t="shared" si="1"/>
        <v>117</v>
      </c>
      <c r="AB19" s="92">
        <f t="shared" si="2"/>
        <v>199</v>
      </c>
      <c r="AC19" s="92">
        <f t="shared" si="3"/>
        <v>10</v>
      </c>
      <c r="AD19" s="92">
        <f t="shared" si="4"/>
        <v>7</v>
      </c>
      <c r="AE19" s="135"/>
      <c r="AF19" s="22">
        <v>1</v>
      </c>
      <c r="AG19" s="22">
        <v>0</v>
      </c>
      <c r="AH19" s="22" t="s">
        <v>387</v>
      </c>
    </row>
    <row r="20" spans="1:34" x14ac:dyDescent="0.15">
      <c r="A20" s="88" t="str">
        <f t="shared" si="0"/>
        <v>Sun</v>
      </c>
      <c r="B20" s="89">
        <v>45186</v>
      </c>
      <c r="C20" s="90" t="s">
        <v>452</v>
      </c>
      <c r="D20" s="91" t="s">
        <v>291</v>
      </c>
      <c r="E20" s="91" t="s">
        <v>200</v>
      </c>
      <c r="F20" s="91" t="s">
        <v>198</v>
      </c>
      <c r="G20" s="92">
        <v>211</v>
      </c>
      <c r="H20" s="91">
        <v>3</v>
      </c>
      <c r="I20" s="91"/>
      <c r="J20" s="90"/>
      <c r="K20" s="117">
        <v>171</v>
      </c>
      <c r="L20" s="91">
        <v>10</v>
      </c>
      <c r="M20" s="91"/>
      <c r="N20" s="90"/>
      <c r="O20" s="94">
        <v>30</v>
      </c>
      <c r="P20" s="162">
        <v>23.5</v>
      </c>
      <c r="Q20" s="163">
        <v>14</v>
      </c>
      <c r="R20" s="163">
        <v>1</v>
      </c>
      <c r="S20" s="163">
        <v>0</v>
      </c>
      <c r="T20" s="163">
        <v>2</v>
      </c>
      <c r="U20" s="92">
        <v>6</v>
      </c>
      <c r="V20" s="92">
        <v>3</v>
      </c>
      <c r="W20" s="92">
        <v>5</v>
      </c>
      <c r="X20" s="92">
        <v>1</v>
      </c>
      <c r="Y20" s="92">
        <f t="shared" si="6"/>
        <v>17</v>
      </c>
      <c r="Z20" s="92">
        <f t="shared" si="5"/>
        <v>15</v>
      </c>
      <c r="AA20" s="92">
        <f t="shared" ref="AA20:AA32" si="7">IF(F20="TOCC",G20,K20)</f>
        <v>211</v>
      </c>
      <c r="AB20" s="92">
        <f t="shared" ref="AB20:AB32" si="8">IF(F20&lt;&gt;"TOCC",G20,K20)</f>
        <v>171</v>
      </c>
      <c r="AC20" s="92">
        <f t="shared" ref="AC20:AC32" si="9">IF(F20="TOCC",H20,L20)</f>
        <v>3</v>
      </c>
      <c r="AD20" s="92">
        <f t="shared" ref="AD20:AD32" si="10">IF(F20&lt;&gt;"TOCC",H20,L20)</f>
        <v>10</v>
      </c>
      <c r="AE20" s="135"/>
      <c r="AF20" s="22">
        <v>0</v>
      </c>
      <c r="AG20" s="22">
        <v>1</v>
      </c>
    </row>
    <row r="21" spans="1:34" x14ac:dyDescent="0.15">
      <c r="A21" s="88" t="str">
        <f t="shared" si="0"/>
        <v>Sun</v>
      </c>
      <c r="B21" s="89">
        <v>45193</v>
      </c>
      <c r="C21" s="90" t="s">
        <v>383</v>
      </c>
      <c r="D21" s="91" t="s">
        <v>292</v>
      </c>
      <c r="E21" s="91" t="s">
        <v>199</v>
      </c>
      <c r="F21" s="91" t="s">
        <v>198</v>
      </c>
      <c r="G21" s="92">
        <v>120</v>
      </c>
      <c r="H21" s="91">
        <v>10</v>
      </c>
      <c r="I21" s="91"/>
      <c r="J21" s="93"/>
      <c r="K21" s="117">
        <v>121</v>
      </c>
      <c r="L21" s="91">
        <v>7</v>
      </c>
      <c r="M21" s="91"/>
      <c r="N21" s="90"/>
      <c r="O21" s="94">
        <v>32.4</v>
      </c>
      <c r="P21" s="162">
        <v>29.3</v>
      </c>
      <c r="Q21" s="163">
        <v>1</v>
      </c>
      <c r="R21" s="163">
        <v>1</v>
      </c>
      <c r="S21" s="163">
        <v>4</v>
      </c>
      <c r="T21" s="163">
        <v>0</v>
      </c>
      <c r="U21" s="92">
        <v>4</v>
      </c>
      <c r="V21" s="92">
        <v>3</v>
      </c>
      <c r="W21" s="92">
        <v>8</v>
      </c>
      <c r="X21" s="92">
        <v>2</v>
      </c>
      <c r="Y21" s="92">
        <f t="shared" si="6"/>
        <v>6</v>
      </c>
      <c r="Z21" s="92">
        <f t="shared" si="5"/>
        <v>17</v>
      </c>
      <c r="AA21" s="92">
        <f t="shared" si="7"/>
        <v>120</v>
      </c>
      <c r="AB21" s="92">
        <f t="shared" si="8"/>
        <v>121</v>
      </c>
      <c r="AC21" s="92">
        <f t="shared" si="9"/>
        <v>10</v>
      </c>
      <c r="AD21" s="92">
        <f t="shared" si="10"/>
        <v>7</v>
      </c>
      <c r="AE21" s="135"/>
      <c r="AF21" s="22">
        <v>1</v>
      </c>
      <c r="AG21" s="22">
        <v>0</v>
      </c>
      <c r="AH21" s="22" t="s">
        <v>395</v>
      </c>
    </row>
    <row r="22" spans="1:34" x14ac:dyDescent="0.15">
      <c r="A22" s="88" t="str">
        <f t="shared" si="0"/>
        <v>Sat</v>
      </c>
      <c r="B22" s="89"/>
      <c r="C22" s="90"/>
      <c r="D22" s="91"/>
      <c r="E22" s="91"/>
      <c r="F22" s="91"/>
      <c r="G22" s="92"/>
      <c r="H22" s="91"/>
      <c r="I22" s="91"/>
      <c r="J22" s="93"/>
      <c r="K22" s="117"/>
      <c r="L22" s="91"/>
      <c r="M22" s="91"/>
      <c r="N22" s="90"/>
      <c r="O22" s="94"/>
      <c r="P22" s="162"/>
      <c r="Q22" s="163"/>
      <c r="R22" s="163"/>
      <c r="S22" s="163"/>
      <c r="T22" s="163"/>
      <c r="U22" s="92"/>
      <c r="V22" s="92"/>
      <c r="W22" s="92"/>
      <c r="X22" s="92"/>
      <c r="Y22" s="92">
        <f t="shared" si="6"/>
        <v>0</v>
      </c>
      <c r="Z22" s="92">
        <f t="shared" si="5"/>
        <v>0</v>
      </c>
      <c r="AA22" s="92">
        <f t="shared" si="7"/>
        <v>0</v>
      </c>
      <c r="AB22" s="92">
        <f t="shared" si="8"/>
        <v>0</v>
      </c>
      <c r="AC22" s="92">
        <f t="shared" si="9"/>
        <v>0</v>
      </c>
      <c r="AD22" s="92">
        <f t="shared" si="10"/>
        <v>0</v>
      </c>
      <c r="AE22" s="135"/>
      <c r="AF22" s="22">
        <v>1</v>
      </c>
      <c r="AG22" s="22">
        <v>0</v>
      </c>
      <c r="AH22" s="22" t="s">
        <v>196</v>
      </c>
    </row>
    <row r="23" spans="1:34" x14ac:dyDescent="0.15">
      <c r="A23" s="88" t="str">
        <f t="shared" si="0"/>
        <v>Sat</v>
      </c>
      <c r="B23" s="89"/>
      <c r="C23" s="90"/>
      <c r="D23" s="91"/>
      <c r="E23" s="91"/>
      <c r="F23" s="91"/>
      <c r="G23" s="92"/>
      <c r="H23" s="91"/>
      <c r="I23" s="91"/>
      <c r="J23" s="93"/>
      <c r="K23" s="117"/>
      <c r="L23" s="91"/>
      <c r="M23" s="91"/>
      <c r="N23" s="90"/>
      <c r="O23" s="94"/>
      <c r="P23" s="175"/>
      <c r="Q23" s="176"/>
      <c r="R23" s="176"/>
      <c r="S23" s="176"/>
      <c r="T23" s="176"/>
      <c r="U23" s="92"/>
      <c r="V23" s="92"/>
      <c r="W23" s="92"/>
      <c r="X23" s="92"/>
      <c r="Y23" s="92">
        <f t="shared" si="6"/>
        <v>0</v>
      </c>
      <c r="Z23" s="92">
        <f t="shared" si="5"/>
        <v>0</v>
      </c>
      <c r="AA23" s="92">
        <f t="shared" si="7"/>
        <v>0</v>
      </c>
      <c r="AB23" s="92">
        <f t="shared" si="8"/>
        <v>0</v>
      </c>
      <c r="AC23" s="92">
        <f t="shared" si="9"/>
        <v>0</v>
      </c>
      <c r="AD23" s="92">
        <f t="shared" si="10"/>
        <v>0</v>
      </c>
      <c r="AE23" s="135"/>
      <c r="AF23" s="22">
        <v>0</v>
      </c>
      <c r="AG23" s="22">
        <v>0</v>
      </c>
    </row>
    <row r="24" spans="1:34" x14ac:dyDescent="0.15">
      <c r="A24" s="88" t="str">
        <f t="shared" si="0"/>
        <v>Sat</v>
      </c>
      <c r="B24" s="89"/>
      <c r="C24" s="90"/>
      <c r="D24" s="91"/>
      <c r="E24" s="91"/>
      <c r="F24" s="91"/>
      <c r="G24" s="92"/>
      <c r="H24" s="91"/>
      <c r="I24" s="91"/>
      <c r="J24" s="93"/>
      <c r="K24" s="117"/>
      <c r="L24" s="91"/>
      <c r="M24" s="91"/>
      <c r="N24" s="90"/>
      <c r="O24" s="94"/>
      <c r="P24" s="162"/>
      <c r="Q24" s="163"/>
      <c r="R24" s="163"/>
      <c r="S24" s="163"/>
      <c r="T24" s="163"/>
      <c r="U24" s="92"/>
      <c r="V24" s="92"/>
      <c r="W24" s="92"/>
      <c r="X24" s="92"/>
      <c r="Y24" s="92">
        <f t="shared" si="6"/>
        <v>0</v>
      </c>
      <c r="Z24" s="92">
        <f t="shared" si="5"/>
        <v>0</v>
      </c>
      <c r="AA24" s="92">
        <f t="shared" si="7"/>
        <v>0</v>
      </c>
      <c r="AB24" s="92">
        <f t="shared" si="8"/>
        <v>0</v>
      </c>
      <c r="AC24" s="92">
        <f t="shared" si="9"/>
        <v>0</v>
      </c>
      <c r="AD24" s="92">
        <f t="shared" si="10"/>
        <v>0</v>
      </c>
      <c r="AE24" s="135"/>
      <c r="AF24" s="22">
        <v>0</v>
      </c>
      <c r="AG24" s="22">
        <v>0</v>
      </c>
    </row>
    <row r="25" spans="1:34" x14ac:dyDescent="0.15">
      <c r="A25" s="88" t="str">
        <f t="shared" si="0"/>
        <v>Sat</v>
      </c>
      <c r="B25" s="89"/>
      <c r="C25" s="90"/>
      <c r="D25" s="91"/>
      <c r="E25" s="91"/>
      <c r="F25" s="91"/>
      <c r="G25" s="92"/>
      <c r="H25" s="91"/>
      <c r="I25" s="91"/>
      <c r="J25" s="134"/>
      <c r="K25" s="117"/>
      <c r="L25" s="91"/>
      <c r="M25" s="91"/>
      <c r="N25" s="93"/>
      <c r="O25" s="94"/>
      <c r="P25" s="162"/>
      <c r="Q25" s="163"/>
      <c r="R25" s="163"/>
      <c r="S25" s="163"/>
      <c r="T25" s="163"/>
      <c r="U25" s="92"/>
      <c r="V25" s="92"/>
      <c r="W25" s="92"/>
      <c r="X25" s="92"/>
      <c r="Y25" s="92">
        <f t="shared" si="6"/>
        <v>0</v>
      </c>
      <c r="Z25" s="92">
        <f t="shared" si="5"/>
        <v>0</v>
      </c>
      <c r="AA25" s="92">
        <f t="shared" si="7"/>
        <v>0</v>
      </c>
      <c r="AB25" s="92">
        <f t="shared" si="8"/>
        <v>0</v>
      </c>
      <c r="AC25" s="92">
        <f t="shared" si="9"/>
        <v>0</v>
      </c>
      <c r="AD25" s="92">
        <f t="shared" si="10"/>
        <v>0</v>
      </c>
      <c r="AF25" s="22">
        <v>0</v>
      </c>
      <c r="AG25" s="22">
        <v>0</v>
      </c>
    </row>
    <row r="26" spans="1:34" x14ac:dyDescent="0.15">
      <c r="A26" s="88" t="str">
        <f t="shared" si="0"/>
        <v>Sat</v>
      </c>
      <c r="B26" s="89"/>
      <c r="C26" s="90"/>
      <c r="D26" s="91"/>
      <c r="E26" s="91"/>
      <c r="F26" s="91"/>
      <c r="G26" s="92"/>
      <c r="H26" s="91"/>
      <c r="I26" s="91"/>
      <c r="J26" s="93"/>
      <c r="K26" s="117"/>
      <c r="L26" s="91"/>
      <c r="M26" s="91"/>
      <c r="N26" s="90"/>
      <c r="O26" s="94"/>
      <c r="P26" s="162"/>
      <c r="Q26" s="163"/>
      <c r="R26" s="163"/>
      <c r="S26" s="163"/>
      <c r="T26" s="163"/>
      <c r="U26" s="92"/>
      <c r="V26" s="92"/>
      <c r="W26" s="92"/>
      <c r="X26" s="92"/>
      <c r="Y26" s="92">
        <f t="shared" si="6"/>
        <v>0</v>
      </c>
      <c r="Z26" s="92">
        <f t="shared" si="5"/>
        <v>0</v>
      </c>
      <c r="AA26" s="92">
        <f t="shared" si="7"/>
        <v>0</v>
      </c>
      <c r="AB26" s="92">
        <f t="shared" si="8"/>
        <v>0</v>
      </c>
      <c r="AC26" s="92">
        <f t="shared" si="9"/>
        <v>0</v>
      </c>
      <c r="AD26" s="92">
        <f t="shared" si="10"/>
        <v>0</v>
      </c>
      <c r="AF26" s="22">
        <v>0</v>
      </c>
      <c r="AG26" s="22">
        <v>0</v>
      </c>
    </row>
    <row r="27" spans="1:34" x14ac:dyDescent="0.15">
      <c r="A27" s="88" t="str">
        <f t="shared" si="0"/>
        <v>Sat</v>
      </c>
      <c r="B27" s="89"/>
      <c r="C27" s="90"/>
      <c r="D27" s="91"/>
      <c r="E27" s="91"/>
      <c r="F27" s="91"/>
      <c r="G27" s="92" t="e">
        <f>NA()</f>
        <v>#N/A</v>
      </c>
      <c r="H27" s="91"/>
      <c r="I27" s="91"/>
      <c r="J27" s="93"/>
      <c r="K27" s="117" t="e">
        <f>NA()</f>
        <v>#N/A</v>
      </c>
      <c r="L27" s="91"/>
      <c r="M27" s="91"/>
      <c r="N27" s="90"/>
      <c r="O27" s="94"/>
      <c r="P27" s="162"/>
      <c r="Q27" s="163"/>
      <c r="R27" s="163"/>
      <c r="S27" s="163"/>
      <c r="T27" s="163"/>
      <c r="U27" s="92"/>
      <c r="V27" s="92"/>
      <c r="W27" s="92"/>
      <c r="X27" s="92"/>
      <c r="Y27" s="92">
        <f t="shared" ref="Y27:Y32" si="11">SUM(Q27:T27)</f>
        <v>0</v>
      </c>
      <c r="Z27" s="92">
        <f t="shared" ref="Z27:Z32" si="12">SUM(U27:X27)</f>
        <v>0</v>
      </c>
      <c r="AA27" s="92" t="e">
        <f t="shared" si="7"/>
        <v>#N/A</v>
      </c>
      <c r="AB27" s="92" t="e">
        <f t="shared" si="8"/>
        <v>#N/A</v>
      </c>
      <c r="AC27" s="92">
        <f t="shared" si="9"/>
        <v>0</v>
      </c>
      <c r="AD27" s="92">
        <f t="shared" si="10"/>
        <v>0</v>
      </c>
      <c r="AF27" s="22">
        <v>0</v>
      </c>
      <c r="AG27" s="22">
        <v>0</v>
      </c>
    </row>
    <row r="28" spans="1:34" x14ac:dyDescent="0.15">
      <c r="A28" s="88" t="str">
        <f t="shared" si="0"/>
        <v>Sat</v>
      </c>
      <c r="B28" s="89"/>
      <c r="C28" s="90"/>
      <c r="D28" s="91"/>
      <c r="E28" s="91"/>
      <c r="F28" s="91"/>
      <c r="G28" s="92" t="e">
        <f>NA()</f>
        <v>#N/A</v>
      </c>
      <c r="H28" s="91"/>
      <c r="I28" s="91"/>
      <c r="J28" s="93"/>
      <c r="K28" s="117" t="e">
        <f>NA()</f>
        <v>#N/A</v>
      </c>
      <c r="L28" s="91"/>
      <c r="M28" s="91"/>
      <c r="N28" s="90"/>
      <c r="O28" s="94"/>
      <c r="P28" s="162"/>
      <c r="Q28" s="163"/>
      <c r="R28" s="163"/>
      <c r="S28" s="163"/>
      <c r="T28" s="163"/>
      <c r="U28" s="92"/>
      <c r="V28" s="92"/>
      <c r="W28" s="92"/>
      <c r="X28" s="92"/>
      <c r="Y28" s="92">
        <f t="shared" si="11"/>
        <v>0</v>
      </c>
      <c r="Z28" s="92">
        <f t="shared" si="12"/>
        <v>0</v>
      </c>
      <c r="AA28" s="92" t="e">
        <f t="shared" si="7"/>
        <v>#N/A</v>
      </c>
      <c r="AB28" s="92" t="e">
        <f t="shared" si="8"/>
        <v>#N/A</v>
      </c>
      <c r="AC28" s="92">
        <f t="shared" si="9"/>
        <v>0</v>
      </c>
      <c r="AD28" s="92">
        <f t="shared" si="10"/>
        <v>0</v>
      </c>
      <c r="AF28" s="22">
        <v>0</v>
      </c>
      <c r="AG28" s="22">
        <v>0</v>
      </c>
    </row>
    <row r="29" spans="1:34" x14ac:dyDescent="0.15">
      <c r="A29" s="88" t="str">
        <f t="shared" si="0"/>
        <v>Sat</v>
      </c>
      <c r="B29" s="89"/>
      <c r="C29" s="90"/>
      <c r="D29" s="91"/>
      <c r="E29" s="91"/>
      <c r="F29" s="91"/>
      <c r="G29" s="92" t="e">
        <f>NA()</f>
        <v>#N/A</v>
      </c>
      <c r="H29" s="91"/>
      <c r="I29" s="91"/>
      <c r="J29" s="93"/>
      <c r="K29" s="117" t="e">
        <f>NA()</f>
        <v>#N/A</v>
      </c>
      <c r="L29" s="91"/>
      <c r="M29" s="91"/>
      <c r="N29" s="90"/>
      <c r="O29" s="94"/>
      <c r="P29" s="162"/>
      <c r="Q29" s="163"/>
      <c r="R29" s="163"/>
      <c r="S29" s="163"/>
      <c r="T29" s="163"/>
      <c r="U29" s="92"/>
      <c r="V29" s="92"/>
      <c r="W29" s="92"/>
      <c r="X29" s="92"/>
      <c r="Y29" s="92">
        <f t="shared" si="11"/>
        <v>0</v>
      </c>
      <c r="Z29" s="92">
        <f t="shared" si="12"/>
        <v>0</v>
      </c>
      <c r="AA29" s="92" t="e">
        <f t="shared" si="7"/>
        <v>#N/A</v>
      </c>
      <c r="AB29" s="92" t="e">
        <f t="shared" si="8"/>
        <v>#N/A</v>
      </c>
      <c r="AC29" s="92">
        <f t="shared" si="9"/>
        <v>0</v>
      </c>
      <c r="AD29" s="92">
        <f t="shared" si="10"/>
        <v>0</v>
      </c>
      <c r="AF29" s="22">
        <v>0</v>
      </c>
      <c r="AG29" s="22">
        <v>0</v>
      </c>
    </row>
    <row r="30" spans="1:34" x14ac:dyDescent="0.15">
      <c r="A30" s="88" t="str">
        <f t="shared" si="0"/>
        <v>Sat</v>
      </c>
      <c r="B30" s="89"/>
      <c r="C30" s="90"/>
      <c r="D30" s="91"/>
      <c r="E30" s="91"/>
      <c r="F30" s="91"/>
      <c r="G30" s="92" t="e">
        <f>NA()</f>
        <v>#N/A</v>
      </c>
      <c r="H30" s="91"/>
      <c r="I30" s="91"/>
      <c r="J30" s="93"/>
      <c r="K30" s="117" t="e">
        <f>NA()</f>
        <v>#N/A</v>
      </c>
      <c r="L30" s="91"/>
      <c r="M30" s="91"/>
      <c r="N30" s="90"/>
      <c r="O30" s="94"/>
      <c r="P30" s="162"/>
      <c r="Q30" s="163"/>
      <c r="R30" s="163"/>
      <c r="S30" s="163"/>
      <c r="T30" s="163"/>
      <c r="U30" s="92"/>
      <c r="V30" s="92"/>
      <c r="W30" s="92"/>
      <c r="X30" s="92"/>
      <c r="Y30" s="92">
        <f t="shared" si="11"/>
        <v>0</v>
      </c>
      <c r="Z30" s="92">
        <f t="shared" si="12"/>
        <v>0</v>
      </c>
      <c r="AA30" s="92" t="e">
        <f t="shared" si="7"/>
        <v>#N/A</v>
      </c>
      <c r="AB30" s="92" t="e">
        <f t="shared" si="8"/>
        <v>#N/A</v>
      </c>
      <c r="AC30" s="92">
        <f t="shared" si="9"/>
        <v>0</v>
      </c>
      <c r="AD30" s="92">
        <f t="shared" si="10"/>
        <v>0</v>
      </c>
      <c r="AF30" s="22">
        <v>0</v>
      </c>
      <c r="AG30" s="22">
        <v>0</v>
      </c>
    </row>
    <row r="31" spans="1:34" x14ac:dyDescent="0.15">
      <c r="A31" s="88" t="str">
        <f t="shared" si="0"/>
        <v>Sat</v>
      </c>
      <c r="B31" s="89"/>
      <c r="C31" s="132"/>
      <c r="D31" s="91"/>
      <c r="E31" s="91"/>
      <c r="F31" s="91"/>
      <c r="G31" s="92" t="e">
        <f>NA()</f>
        <v>#N/A</v>
      </c>
      <c r="H31" s="91"/>
      <c r="I31" s="91"/>
      <c r="J31" s="93"/>
      <c r="K31" s="117" t="e">
        <f>NA()</f>
        <v>#N/A</v>
      </c>
      <c r="L31" s="91"/>
      <c r="M31" s="91"/>
      <c r="N31" s="90"/>
      <c r="O31" s="94"/>
      <c r="P31" s="162"/>
      <c r="Q31" s="163"/>
      <c r="R31" s="163"/>
      <c r="S31" s="163"/>
      <c r="T31" s="163"/>
      <c r="U31" s="92"/>
      <c r="V31" s="92"/>
      <c r="W31" s="92"/>
      <c r="X31" s="92"/>
      <c r="Y31" s="92">
        <f t="shared" si="11"/>
        <v>0</v>
      </c>
      <c r="Z31" s="92">
        <f t="shared" si="12"/>
        <v>0</v>
      </c>
      <c r="AA31" s="92" t="e">
        <f t="shared" si="7"/>
        <v>#N/A</v>
      </c>
      <c r="AB31" s="92" t="e">
        <f t="shared" si="8"/>
        <v>#N/A</v>
      </c>
      <c r="AC31" s="92">
        <f t="shared" si="9"/>
        <v>0</v>
      </c>
      <c r="AD31" s="92">
        <f t="shared" si="10"/>
        <v>0</v>
      </c>
      <c r="AF31" s="22">
        <v>0</v>
      </c>
      <c r="AG31" s="22">
        <v>0</v>
      </c>
    </row>
    <row r="32" spans="1:34" x14ac:dyDescent="0.15">
      <c r="A32" s="88" t="str">
        <f t="shared" si="0"/>
        <v>Sat</v>
      </c>
      <c r="B32" s="89"/>
      <c r="C32" s="90"/>
      <c r="D32" s="91"/>
      <c r="E32" s="91"/>
      <c r="F32" s="91"/>
      <c r="G32" s="92" t="e">
        <f>NA()</f>
        <v>#N/A</v>
      </c>
      <c r="H32" s="91"/>
      <c r="I32" s="91"/>
      <c r="J32" s="93"/>
      <c r="K32" s="117" t="e">
        <f>NA()</f>
        <v>#N/A</v>
      </c>
      <c r="L32" s="91"/>
      <c r="M32" s="91"/>
      <c r="N32" s="90"/>
      <c r="O32" s="94"/>
      <c r="P32" s="162"/>
      <c r="Q32" s="163"/>
      <c r="R32" s="163"/>
      <c r="S32" s="163"/>
      <c r="T32" s="163"/>
      <c r="U32" s="92"/>
      <c r="V32" s="92"/>
      <c r="W32" s="92"/>
      <c r="X32" s="92"/>
      <c r="Y32" s="92">
        <f t="shared" si="11"/>
        <v>0</v>
      </c>
      <c r="Z32" s="92">
        <f t="shared" si="12"/>
        <v>0</v>
      </c>
      <c r="AA32" s="92" t="e">
        <f t="shared" si="7"/>
        <v>#N/A</v>
      </c>
      <c r="AB32" s="92" t="e">
        <f t="shared" si="8"/>
        <v>#N/A</v>
      </c>
      <c r="AC32" s="92">
        <f t="shared" si="9"/>
        <v>0</v>
      </c>
      <c r="AD32" s="92">
        <f t="shared" si="10"/>
        <v>0</v>
      </c>
      <c r="AF32" s="22">
        <v>0</v>
      </c>
      <c r="AG32" s="22">
        <v>0</v>
      </c>
    </row>
    <row r="34" spans="14:30" ht="21" x14ac:dyDescent="0.15">
      <c r="N34" s="30" t="s">
        <v>137</v>
      </c>
      <c r="O34" s="30">
        <f>MAX(O5:O32)</f>
        <v>37</v>
      </c>
      <c r="P34" s="30">
        <f>MAX(P5:P32)</f>
        <v>40</v>
      </c>
      <c r="Q34" s="109" t="s">
        <v>100</v>
      </c>
      <c r="R34" s="111" t="s">
        <v>101</v>
      </c>
      <c r="S34" s="111" t="s">
        <v>102</v>
      </c>
      <c r="T34" s="111" t="s">
        <v>103</v>
      </c>
      <c r="U34" s="111" t="s">
        <v>104</v>
      </c>
      <c r="V34" s="111" t="s">
        <v>105</v>
      </c>
      <c r="W34" s="111" t="s">
        <v>106</v>
      </c>
      <c r="X34" s="111" t="s">
        <v>107</v>
      </c>
    </row>
    <row r="35" spans="14:30" x14ac:dyDescent="0.15">
      <c r="N35" s="30"/>
      <c r="O35" s="138" t="s">
        <v>198</v>
      </c>
      <c r="P35" s="138" t="s">
        <v>1</v>
      </c>
      <c r="Q35" s="29"/>
      <c r="R35" s="29"/>
      <c r="S35" s="29"/>
      <c r="T35" s="29"/>
      <c r="U35" s="29"/>
      <c r="V35" s="29"/>
      <c r="W35" s="29"/>
      <c r="X35" s="29"/>
    </row>
    <row r="36" spans="14:30" x14ac:dyDescent="0.15">
      <c r="N36" s="30"/>
      <c r="O36" s="30">
        <f t="array" ref="O36">SUM(FLOOR(O5:O32,1))</f>
        <v>481</v>
      </c>
      <c r="P36" s="30">
        <f t="array" ref="P36">SUM(FLOOR(P5:P32,1))</f>
        <v>554</v>
      </c>
      <c r="Q36" s="29">
        <f>SUM(Q5:Q32)</f>
        <v>106</v>
      </c>
      <c r="R36" s="29">
        <f>SUM(R5:R32)</f>
        <v>27</v>
      </c>
      <c r="S36" s="29">
        <f>SUM(S5:S32)</f>
        <v>93</v>
      </c>
      <c r="T36" s="29">
        <f>SUM(T5:T32)</f>
        <v>34</v>
      </c>
      <c r="U36" s="29">
        <f>SUM(U5:U32)</f>
        <v>104</v>
      </c>
      <c r="V36" s="29">
        <f>SUM(V5:V32)</f>
        <v>49</v>
      </c>
      <c r="W36" s="29">
        <f>SUM(W5:W32)</f>
        <v>74</v>
      </c>
      <c r="X36" s="29">
        <f>SUM(X5:X32)</f>
        <v>31</v>
      </c>
      <c r="Y36" s="29">
        <f>SUM(Y5:Y32)</f>
        <v>260</v>
      </c>
      <c r="Z36" s="29">
        <f>SUM(Z5:Z32)</f>
        <v>258</v>
      </c>
      <c r="AA36" s="22">
        <f t="array" ref="AA36">SUM(_xlfn.IFNA(AA5:AA32,0))</f>
        <v>2248</v>
      </c>
      <c r="AB36" s="22">
        <f t="array" ref="AB36">SUM(_xlfn.IFNA(AB5:AB32,0))</f>
        <v>2543</v>
      </c>
      <c r="AC36" s="22">
        <f>SUM(AC5:AC32)</f>
        <v>115</v>
      </c>
      <c r="AD36" s="22">
        <f>SUM(AD5:AD32)</f>
        <v>136</v>
      </c>
    </row>
    <row r="37" spans="14:30" x14ac:dyDescent="0.15">
      <c r="N37" s="30"/>
      <c r="O37" s="30">
        <f t="array" ref="O37">SUM(O5:O32-FLOOR(O5:O32,1))*10</f>
        <v>18.000000000000007</v>
      </c>
      <c r="P37" s="30">
        <f t="array" ref="P37">SUM(P5:P32-FLOOR(P5:P32,1))*10</f>
        <v>27.999999999999972</v>
      </c>
      <c r="Q37" s="29"/>
      <c r="R37" s="29"/>
      <c r="S37" s="29"/>
      <c r="T37" s="29"/>
      <c r="U37" s="29"/>
      <c r="V37" s="29"/>
      <c r="W37" s="29"/>
      <c r="X37" s="29"/>
    </row>
    <row r="38" spans="14:30" x14ac:dyDescent="0.15">
      <c r="N38" s="138" t="s">
        <v>226</v>
      </c>
      <c r="O38" s="30">
        <f>O36*6+O37</f>
        <v>2904</v>
      </c>
      <c r="P38" s="30">
        <f>P36*6+P37</f>
        <v>3352</v>
      </c>
      <c r="Q38" s="29"/>
      <c r="R38" s="29"/>
      <c r="S38" s="29">
        <f>MAX(S5:S32)</f>
        <v>17</v>
      </c>
      <c r="T38" s="29"/>
      <c r="U38" s="29"/>
      <c r="V38" s="29"/>
      <c r="W38" s="29">
        <f>MAX(W5:W32)</f>
        <v>16</v>
      </c>
      <c r="X38" s="29"/>
      <c r="Z38" s="22" t="s">
        <v>33</v>
      </c>
      <c r="AA38" s="167">
        <f>AA36/AC36</f>
        <v>19.547826086956523</v>
      </c>
      <c r="AB38" s="167">
        <f>AB36/AD36</f>
        <v>18.698529411764707</v>
      </c>
    </row>
    <row r="39" spans="14:30" x14ac:dyDescent="0.15">
      <c r="N39" s="138" t="s">
        <v>227</v>
      </c>
      <c r="O39" s="30">
        <f>INT(O38/6)+(O38-INT(O38/6)*6)/10</f>
        <v>484</v>
      </c>
      <c r="P39" s="30">
        <f>INT(P38/6)+(P38-INT(P38/6)*6)/10</f>
        <v>558.4</v>
      </c>
      <c r="Q39" s="29"/>
      <c r="R39" s="29"/>
      <c r="S39" s="29"/>
      <c r="T39" s="29"/>
      <c r="U39" s="29"/>
      <c r="V39" s="29"/>
      <c r="W39" s="29"/>
      <c r="X39" s="29"/>
    </row>
    <row r="40" spans="14:30" x14ac:dyDescent="0.15">
      <c r="N40" s="30" t="s">
        <v>180</v>
      </c>
      <c r="O40" s="30">
        <f>AA36/O38*100</f>
        <v>77.410468319559229</v>
      </c>
      <c r="P40" s="30">
        <f>AB36/P38*100</f>
        <v>75.865155131264913</v>
      </c>
      <c r="Q40" s="29"/>
      <c r="R40" s="29"/>
      <c r="S40" s="29"/>
      <c r="T40" s="29"/>
      <c r="U40" s="29"/>
      <c r="V40" s="29"/>
      <c r="W40" s="29"/>
      <c r="X40" s="29"/>
    </row>
    <row r="41" spans="14:30" x14ac:dyDescent="0.15">
      <c r="Q41" s="22">
        <f>$Y$36*Q36/SUM($Q$36:$T$36)</f>
        <v>106</v>
      </c>
      <c r="R41" s="22">
        <f t="shared" ref="R41:T41" si="13">$Y$36*R36/SUM($Q$36:$T$36)</f>
        <v>27</v>
      </c>
      <c r="S41" s="22">
        <f t="shared" si="13"/>
        <v>93</v>
      </c>
      <c r="T41" s="22">
        <f t="shared" si="13"/>
        <v>34</v>
      </c>
    </row>
    <row r="42" spans="14:30" x14ac:dyDescent="0.15">
      <c r="Q42" s="22">
        <v>150</v>
      </c>
      <c r="R42" s="22">
        <v>40</v>
      </c>
      <c r="S42" s="22">
        <v>129</v>
      </c>
      <c r="T42" s="22">
        <v>60</v>
      </c>
    </row>
  </sheetData>
  <sortState xmlns:xlrd2="http://schemas.microsoft.com/office/spreadsheetml/2017/richdata2" ref="F64:H86">
    <sortCondition ref="F64:F86"/>
    <sortCondition ref="H64:H86"/>
  </sortState>
  <mergeCells count="1">
    <mergeCell ref="A1:B3"/>
  </mergeCells>
  <phoneticPr fontId="0" type="noConversion"/>
  <conditionalFormatting sqref="F5 F7 F10:F32">
    <cfRule type="cellIs" dxfId="16" priority="10" stopIfTrue="1" operator="equal">
      <formula>"TOCC"</formula>
    </cfRule>
  </conditionalFormatting>
  <conditionalFormatting sqref="K5:K7 K9:K1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:G7 G9:G23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K32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5:AA32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:AB32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">
    <cfRule type="cellIs" dxfId="15" priority="2" stopIfTrue="1" operator="equal">
      <formula>"TOCC"</formula>
    </cfRule>
  </conditionalFormatting>
  <conditionalFormatting sqref="F8:F9">
    <cfRule type="cellIs" dxfId="14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C146"/>
  <sheetViews>
    <sheetView topLeftCell="B1" zoomScale="89" zoomScaleNormal="89" workbookViewId="0">
      <pane xSplit="2" ySplit="4" topLeftCell="D38" activePane="bottomRight" state="frozen"/>
      <selection activeCell="B1" sqref="B1"/>
      <selection pane="topRight" activeCell="D1" sqref="D1"/>
      <selection pane="bottomLeft" activeCell="B5" sqref="B5"/>
      <selection pane="bottomRight" activeCell="D78" sqref="D78"/>
    </sheetView>
  </sheetViews>
  <sheetFormatPr defaultRowHeight="10.5" x14ac:dyDescent="0.15"/>
  <cols>
    <col min="1" max="1" width="2" style="54" bestFit="1" customWidth="1"/>
    <col min="2" max="2" width="9.28515625" style="54" bestFit="1" customWidth="1"/>
    <col min="3" max="3" width="14.5703125" style="54" bestFit="1" customWidth="1"/>
    <col min="4" max="24" width="13.28515625" style="54" customWidth="1"/>
    <col min="25" max="31" width="5.28515625" style="54" bestFit="1" customWidth="1"/>
    <col min="32" max="32" width="6" style="54" bestFit="1" customWidth="1"/>
    <col min="33" max="33" width="5.28515625" style="54" bestFit="1" customWidth="1"/>
    <col min="34" max="35" width="2.7109375" style="54" customWidth="1"/>
    <col min="36" max="36" width="14.5703125" style="54" bestFit="1" customWidth="1"/>
    <col min="37" max="37" width="7.5703125" style="54" bestFit="1" customWidth="1"/>
    <col min="38" max="38" width="4.5703125" style="54" bestFit="1" customWidth="1"/>
    <col min="39" max="39" width="5" style="54" bestFit="1" customWidth="1"/>
    <col min="40" max="40" width="12" style="54" bestFit="1" customWidth="1"/>
    <col min="41" max="41" width="8" style="54" bestFit="1" customWidth="1"/>
    <col min="42" max="43" width="5" style="54" bestFit="1" customWidth="1"/>
    <col min="44" max="44" width="6.140625" style="47" bestFit="1" customWidth="1"/>
    <col min="45" max="45" width="5.7109375" style="54" bestFit="1" customWidth="1"/>
    <col min="46" max="46" width="5.5703125" style="54" bestFit="1" customWidth="1"/>
    <col min="47" max="47" width="4.140625" style="54" bestFit="1" customWidth="1"/>
    <col min="48" max="48" width="6" style="54" bestFit="1" customWidth="1"/>
    <col min="49" max="51" width="5.28515625" style="54" bestFit="1" customWidth="1"/>
    <col min="52" max="54" width="4.140625" style="54" bestFit="1" customWidth="1"/>
    <col min="55" max="55" width="4" style="54" bestFit="1" customWidth="1"/>
    <col min="56" max="56" width="5.7109375" style="54" bestFit="1" customWidth="1"/>
    <col min="57" max="57" width="8.7109375" style="54" bestFit="1" customWidth="1"/>
    <col min="58" max="58" width="7.5703125" style="54" bestFit="1" customWidth="1"/>
    <col min="59" max="60" width="5.42578125" style="54" bestFit="1" customWidth="1"/>
    <col min="61" max="61" width="9.5703125" style="54" bestFit="1" customWidth="1"/>
    <col min="62" max="62" width="6.5703125" style="54" bestFit="1" customWidth="1"/>
    <col min="63" max="63" width="5.140625" style="54" bestFit="1" customWidth="1"/>
    <col min="64" max="64" width="12" style="54" bestFit="1" customWidth="1"/>
    <col min="65" max="66" width="5.140625" style="54" bestFit="1" customWidth="1"/>
    <col min="67" max="67" width="10.28515625" style="54" bestFit="1" customWidth="1"/>
    <col min="68" max="68" width="7.7109375" style="54" bestFit="1" customWidth="1"/>
    <col min="69" max="69" width="2" style="54" bestFit="1" customWidth="1"/>
    <col min="70" max="70" width="5" style="54" bestFit="1" customWidth="1"/>
    <col min="71" max="71" width="11.28515625" style="54" bestFit="1" customWidth="1"/>
    <col min="72" max="72" width="2" style="54" bestFit="1" customWidth="1"/>
    <col min="73" max="73" width="11.28515625" style="54" bestFit="1" customWidth="1"/>
    <col min="74" max="74" width="3" style="54" bestFit="1" customWidth="1"/>
    <col min="75" max="75" width="14.5703125" style="54" bestFit="1" customWidth="1"/>
    <col min="76" max="76" width="2" style="54" bestFit="1" customWidth="1"/>
    <col min="77" max="77" width="14.5703125" style="54" bestFit="1" customWidth="1"/>
    <col min="78" max="78" width="3" style="54" bestFit="1" customWidth="1"/>
    <col min="79" max="79" width="14.5703125" style="54" bestFit="1" customWidth="1"/>
    <col min="80" max="80" width="2" style="54" bestFit="1" customWidth="1"/>
    <col min="81" max="81" width="14.5703125" style="54" bestFit="1" customWidth="1"/>
    <col min="82" max="16384" width="9.140625" style="54"/>
  </cols>
  <sheetData>
    <row r="1" spans="1:81" s="53" customFormat="1" ht="50.25" customHeight="1" x14ac:dyDescent="0.15">
      <c r="A1" s="50"/>
      <c r="B1" s="50"/>
      <c r="C1" s="39" t="str">
        <f t="array" ref="C1:AG4">TRANSPOSE(Matches!B4:E32)</f>
        <v>Date</v>
      </c>
      <c r="D1" s="51">
        <v>45053</v>
      </c>
      <c r="E1" s="51">
        <v>45060</v>
      </c>
      <c r="F1" s="51">
        <v>45067</v>
      </c>
      <c r="G1" s="51">
        <v>45073</v>
      </c>
      <c r="H1" s="51">
        <v>45074</v>
      </c>
      <c r="I1" s="51">
        <v>45075</v>
      </c>
      <c r="J1" s="51">
        <v>45081</v>
      </c>
      <c r="K1" s="51">
        <v>45088</v>
      </c>
      <c r="L1" s="51">
        <v>45095</v>
      </c>
      <c r="M1" s="51">
        <v>45116</v>
      </c>
      <c r="N1" s="51">
        <v>45137</v>
      </c>
      <c r="O1" s="51">
        <v>45151</v>
      </c>
      <c r="P1" s="51">
        <v>45158</v>
      </c>
      <c r="Q1" s="51">
        <v>45165</v>
      </c>
      <c r="R1" s="51">
        <v>45179</v>
      </c>
      <c r="S1" s="51">
        <v>45186</v>
      </c>
      <c r="T1" s="51">
        <v>45193</v>
      </c>
      <c r="U1" s="51">
        <v>0</v>
      </c>
      <c r="V1" s="51">
        <v>0</v>
      </c>
      <c r="W1" s="51">
        <v>0</v>
      </c>
      <c r="X1" s="51">
        <v>0</v>
      </c>
      <c r="Y1" s="51">
        <v>0</v>
      </c>
      <c r="Z1" s="51">
        <v>0</v>
      </c>
      <c r="AA1" s="51">
        <v>0</v>
      </c>
      <c r="AB1" s="51">
        <v>0</v>
      </c>
      <c r="AC1" s="51">
        <v>0</v>
      </c>
      <c r="AD1" s="51">
        <v>0</v>
      </c>
      <c r="AE1" s="51">
        <v>0</v>
      </c>
      <c r="AF1" s="51" t="e">
        <v>#N/A</v>
      </c>
      <c r="AG1" s="51" t="e">
        <v>#N/A</v>
      </c>
      <c r="AH1" s="51"/>
      <c r="AI1" s="51"/>
      <c r="AJ1" s="51"/>
      <c r="AK1" s="50"/>
      <c r="AL1" s="50"/>
      <c r="AM1" s="50"/>
      <c r="AN1" s="50"/>
      <c r="AO1" s="50"/>
      <c r="AP1" s="50"/>
      <c r="AQ1" s="50"/>
      <c r="AR1" s="52"/>
    </row>
    <row r="2" spans="1:81" ht="83.25" customHeight="1" x14ac:dyDescent="0.15">
      <c r="C2" s="42" t="str">
        <v>Opp</v>
      </c>
      <c r="D2" s="55" t="str">
        <v>Riverside</v>
      </c>
      <c r="E2" s="55" t="str">
        <v>Beddington</v>
      </c>
      <c r="F2" s="55" t="str">
        <v>YRG Eagles</v>
      </c>
      <c r="G2" s="55" t="str">
        <v>Fonthill Park</v>
      </c>
      <c r="H2" s="55" t="str">
        <v>Woodgreen</v>
      </c>
      <c r="I2" s="55" t="str">
        <v>Steeple Langford</v>
      </c>
      <c r="J2" s="55" t="str">
        <v>YRG Eagles</v>
      </c>
      <c r="K2" s="55" t="str">
        <v>Croydon Royals</v>
      </c>
      <c r="L2" s="55" t="str">
        <v>Richmond Leg Breakers</v>
      </c>
      <c r="M2" s="55" t="str">
        <v>Morden</v>
      </c>
      <c r="N2" s="55" t="str">
        <v>Riverside</v>
      </c>
      <c r="O2" s="55" t="str">
        <v>Norwood Exiles</v>
      </c>
      <c r="P2" s="55" t="str">
        <v>Catford Cyphers</v>
      </c>
      <c r="Q2" s="55" t="str">
        <v>Mitcham</v>
      </c>
      <c r="R2" s="55" t="str">
        <v>Croydon CC</v>
      </c>
      <c r="S2" s="55" t="str">
        <v>Verdayne green</v>
      </c>
      <c r="T2" s="55" t="str">
        <v>Sanderstead</v>
      </c>
      <c r="U2" s="55">
        <v>0</v>
      </c>
      <c r="V2" s="55">
        <v>0</v>
      </c>
      <c r="W2" s="55">
        <v>0</v>
      </c>
      <c r="X2" s="55">
        <v>0</v>
      </c>
      <c r="Y2" s="55">
        <v>0</v>
      </c>
      <c r="Z2" s="55">
        <v>0</v>
      </c>
      <c r="AA2" s="55">
        <v>0</v>
      </c>
      <c r="AB2" s="55">
        <v>0</v>
      </c>
      <c r="AC2" s="55">
        <v>0</v>
      </c>
      <c r="AD2" s="55">
        <v>0</v>
      </c>
      <c r="AE2" s="55">
        <v>0</v>
      </c>
      <c r="AF2" s="55" t="e">
        <v>#N/A</v>
      </c>
      <c r="AG2" s="55" t="e">
        <v>#N/A</v>
      </c>
      <c r="AH2" s="55"/>
      <c r="AI2" s="55"/>
      <c r="AJ2" s="55"/>
      <c r="AT2" s="54" t="s">
        <v>4</v>
      </c>
    </row>
    <row r="3" spans="1:81" x14ac:dyDescent="0.15">
      <c r="C3" s="42" t="str">
        <v>Venue</v>
      </c>
      <c r="D3" s="42" t="str">
        <v>H</v>
      </c>
      <c r="E3" s="42" t="str">
        <v>A</v>
      </c>
      <c r="F3" s="42" t="str">
        <v>H</v>
      </c>
      <c r="G3" s="42" t="str">
        <v>A</v>
      </c>
      <c r="H3" s="42" t="str">
        <v>A</v>
      </c>
      <c r="I3" s="42" t="str">
        <v>A</v>
      </c>
      <c r="J3" s="42" t="str">
        <v>A</v>
      </c>
      <c r="K3" s="42" t="str">
        <v>A</v>
      </c>
      <c r="L3" s="42" t="str">
        <v>H</v>
      </c>
      <c r="M3" s="42" t="str">
        <v>A</v>
      </c>
      <c r="N3" s="42" t="str">
        <v>A</v>
      </c>
      <c r="O3" s="42" t="str">
        <v>A</v>
      </c>
      <c r="P3" s="42" t="str">
        <v>A</v>
      </c>
      <c r="Q3" s="42" t="str">
        <v>A</v>
      </c>
      <c r="R3" s="42" t="str">
        <v>A</v>
      </c>
      <c r="S3" s="42" t="str">
        <v>H</v>
      </c>
      <c r="T3" s="42" t="str">
        <v>A</v>
      </c>
      <c r="U3" s="42">
        <v>0</v>
      </c>
      <c r="V3" s="42">
        <v>0</v>
      </c>
      <c r="W3" s="42">
        <v>0</v>
      </c>
      <c r="X3" s="42">
        <v>0</v>
      </c>
      <c r="Y3" s="42">
        <v>0</v>
      </c>
      <c r="Z3" s="42">
        <v>0</v>
      </c>
      <c r="AA3" s="42">
        <v>0</v>
      </c>
      <c r="AB3" s="42">
        <v>0</v>
      </c>
      <c r="AC3" s="42">
        <v>0</v>
      </c>
      <c r="AD3" s="42">
        <v>0</v>
      </c>
      <c r="AE3" s="42">
        <v>0</v>
      </c>
      <c r="AF3" s="42" t="e">
        <v>#N/A</v>
      </c>
      <c r="AG3" s="42" t="e">
        <v>#N/A</v>
      </c>
      <c r="AH3" s="42"/>
      <c r="AI3" s="42"/>
      <c r="AJ3" s="42"/>
    </row>
    <row r="4" spans="1:81" x14ac:dyDescent="0.15">
      <c r="C4" s="42" t="str">
        <v>Result</v>
      </c>
      <c r="D4" s="54" t="str">
        <v>L</v>
      </c>
      <c r="E4" s="42" t="str">
        <v>L</v>
      </c>
      <c r="F4" s="42" t="str">
        <v>W</v>
      </c>
      <c r="G4" s="42" t="str">
        <v>W</v>
      </c>
      <c r="H4" s="42" t="str">
        <v>W</v>
      </c>
      <c r="I4" s="42" t="str">
        <v>W</v>
      </c>
      <c r="J4" s="42" t="str">
        <v>W</v>
      </c>
      <c r="K4" s="42" t="str">
        <v>L</v>
      </c>
      <c r="L4" s="42" t="str">
        <v>ND</v>
      </c>
      <c r="M4" s="42" t="str">
        <v>L</v>
      </c>
      <c r="N4" s="42" t="str">
        <v>ND</v>
      </c>
      <c r="O4" s="42" t="str">
        <v>L</v>
      </c>
      <c r="P4" s="42" t="str">
        <v>L</v>
      </c>
      <c r="Q4" s="42" t="str">
        <v>W</v>
      </c>
      <c r="R4" s="42" t="str">
        <v>L</v>
      </c>
      <c r="S4" s="42" t="str">
        <v>W</v>
      </c>
      <c r="T4" s="42" t="str">
        <v>L</v>
      </c>
      <c r="U4" s="42">
        <v>0</v>
      </c>
      <c r="V4" s="42">
        <v>0</v>
      </c>
      <c r="W4" s="42">
        <v>0</v>
      </c>
      <c r="X4" s="42">
        <v>0</v>
      </c>
      <c r="Y4" s="42">
        <v>0</v>
      </c>
      <c r="Z4" s="42">
        <v>0</v>
      </c>
      <c r="AA4" s="42">
        <v>0</v>
      </c>
      <c r="AB4" s="42">
        <v>0</v>
      </c>
      <c r="AC4" s="42">
        <v>0</v>
      </c>
      <c r="AD4" s="42">
        <v>0</v>
      </c>
      <c r="AE4" s="42">
        <v>0</v>
      </c>
      <c r="AF4" s="42" t="e">
        <v>#N/A</v>
      </c>
      <c r="AG4" s="42" t="e">
        <v>#N/A</v>
      </c>
      <c r="AH4" s="42"/>
      <c r="AI4" s="42"/>
      <c r="AJ4" s="42"/>
      <c r="AK4" s="38" t="s">
        <v>5</v>
      </c>
      <c r="AL4" s="38" t="s">
        <v>6</v>
      </c>
      <c r="AM4" s="38" t="s">
        <v>7</v>
      </c>
      <c r="AN4" s="38" t="s">
        <v>8</v>
      </c>
      <c r="AO4" s="38" t="s">
        <v>115</v>
      </c>
      <c r="AP4" s="38" t="s">
        <v>131</v>
      </c>
      <c r="AQ4" s="38" t="s">
        <v>9</v>
      </c>
      <c r="AR4" s="35" t="s">
        <v>33</v>
      </c>
      <c r="AS4" s="54" t="s">
        <v>11</v>
      </c>
      <c r="AT4" s="38" t="s">
        <v>12</v>
      </c>
      <c r="AU4" s="38" t="s">
        <v>13</v>
      </c>
      <c r="AV4" s="38" t="s">
        <v>14</v>
      </c>
      <c r="AW4" s="38" t="s">
        <v>15</v>
      </c>
      <c r="AX4" s="38" t="s">
        <v>16</v>
      </c>
      <c r="AY4" s="38" t="s">
        <v>17</v>
      </c>
      <c r="AZ4" s="38" t="s">
        <v>18</v>
      </c>
      <c r="BA4" s="38" t="s">
        <v>19</v>
      </c>
      <c r="BB4" s="38" t="s">
        <v>186</v>
      </c>
      <c r="BC4" s="60" t="s">
        <v>224</v>
      </c>
      <c r="BD4" s="60" t="s">
        <v>215</v>
      </c>
      <c r="BE4" s="60" t="s">
        <v>288</v>
      </c>
      <c r="BF4" s="38" t="s">
        <v>20</v>
      </c>
      <c r="BG4" s="38" t="s">
        <v>21</v>
      </c>
      <c r="BH4" s="38" t="s">
        <v>22</v>
      </c>
      <c r="BI4" s="38" t="s">
        <v>23</v>
      </c>
      <c r="BJ4" s="54" t="s">
        <v>116</v>
      </c>
      <c r="BK4" s="54" t="s">
        <v>117</v>
      </c>
      <c r="BL4" s="54" t="s">
        <v>129</v>
      </c>
      <c r="BM4" s="54" t="s">
        <v>128</v>
      </c>
      <c r="BN4" s="54" t="s">
        <v>135</v>
      </c>
      <c r="BO4" s="54" t="s">
        <v>142</v>
      </c>
      <c r="BP4" s="54" t="s">
        <v>144</v>
      </c>
      <c r="BR4" s="184" t="s">
        <v>239</v>
      </c>
      <c r="BS4" s="184"/>
      <c r="BT4" s="183" t="s">
        <v>22</v>
      </c>
      <c r="BU4" s="183"/>
      <c r="BV4" s="182" t="s">
        <v>21</v>
      </c>
      <c r="BW4" s="182"/>
      <c r="BX4" s="181" t="s">
        <v>242</v>
      </c>
      <c r="BY4" s="181"/>
      <c r="BZ4" s="185" t="s">
        <v>152</v>
      </c>
      <c r="CA4" s="186"/>
      <c r="CB4" s="179" t="s">
        <v>14</v>
      </c>
      <c r="CC4" s="180"/>
    </row>
    <row r="5" spans="1:81" x14ac:dyDescent="0.15">
      <c r="B5" t="s">
        <v>261</v>
      </c>
      <c r="C5" t="s">
        <v>262</v>
      </c>
      <c r="D5"/>
      <c r="E5"/>
      <c r="F5"/>
      <c r="G5"/>
      <c r="H5"/>
      <c r="I5"/>
      <c r="J5"/>
      <c r="K5" t="s">
        <v>576</v>
      </c>
      <c r="L5" t="s">
        <v>307</v>
      </c>
      <c r="M5"/>
      <c r="N5"/>
      <c r="O5"/>
      <c r="P5"/>
      <c r="Q5"/>
      <c r="R5"/>
      <c r="S5"/>
      <c r="T5"/>
      <c r="U5"/>
      <c r="V5"/>
      <c r="W5"/>
      <c r="X5"/>
      <c r="Y5"/>
      <c r="Z5"/>
      <c r="AJ5" s="54" t="str">
        <f t="shared" ref="AJ5" si="0">C5</f>
        <v>Ahmed M</v>
      </c>
      <c r="AK5" s="54">
        <f t="shared" ref="AK5" si="1">BatSplit(D5:AI5,MatchesPlayed)</f>
        <v>2</v>
      </c>
      <c r="AL5" s="54">
        <f t="shared" ref="AL5" si="2">AK5-AM5</f>
        <v>1</v>
      </c>
      <c r="AM5" s="54">
        <f t="shared" ref="AM5" si="3">BatSplit(D5:AI5,InnsBattedIn)</f>
        <v>1</v>
      </c>
      <c r="AN5" s="54">
        <f t="shared" ref="AN5" si="4">BatSplit(D5:AI5,NotOuts)</f>
        <v>0</v>
      </c>
      <c r="AO5" s="54">
        <f t="shared" ref="AO5" si="5">BatSplit(D5:AI5,HighestScore)</f>
        <v>8</v>
      </c>
      <c r="AP5" s="58">
        <f t="shared" ref="AP5" si="6">IF(AO5&lt;0,-AO5&amp;"*",AO5)</f>
        <v>8</v>
      </c>
      <c r="AQ5" s="54">
        <f t="shared" ref="AQ5" si="7">BatSplit(D5:AI5,RunsScored)</f>
        <v>8</v>
      </c>
      <c r="AR5" s="56">
        <f t="shared" ref="AR5" si="8">IF(AM5=AN5,0,AQ5/(AM5-AN5))</f>
        <v>8</v>
      </c>
      <c r="AS5" s="54">
        <f t="shared" ref="AS5" si="9">BatSplit(D5:AI5,FldPts)</f>
        <v>0</v>
      </c>
      <c r="AT5" s="57">
        <f t="array" ref="AT5">SUM(IF(ISERR(FIND("*",D5:AI5)),0,1))</f>
        <v>0</v>
      </c>
      <c r="AU5" s="57">
        <f t="array" ref="AU5">SUM(IF(ISERR(FIND("+",D5:AI5)),0,1))</f>
        <v>0</v>
      </c>
      <c r="AV5" s="54">
        <f t="shared" ref="AV5" si="10">BatSplit(D5:AI5,Ducks)</f>
        <v>0</v>
      </c>
      <c r="AW5" s="57">
        <f t="array" ref="AW5">SUM(IF(ISERR(FIND(AW$4,$D5:$AI5)),0,1))</f>
        <v>1</v>
      </c>
      <c r="AX5" s="57">
        <f t="array" ref="AX5">SUM(IF(ISERR(FIND(AX$4,$D5:$AI5)),0,1))</f>
        <v>0</v>
      </c>
      <c r="AY5" s="57">
        <f t="array" ref="AY5">SUM(IF(ISERR(FIND(AY$4,$D5:$AI5)),0,1))</f>
        <v>0</v>
      </c>
      <c r="AZ5" s="57">
        <f t="array" ref="AZ5">SUM(IF(ISERR(FIND(AZ$4,$D5:$AI5)),0,1))</f>
        <v>0</v>
      </c>
      <c r="BA5" s="57">
        <f t="array" ref="BA5">SUM(IF(ISERR(FIND(BA$4,$D5:$AI5)),0,1))</f>
        <v>0</v>
      </c>
      <c r="BB5" s="57">
        <f t="array" ref="BB5">SUM(IF(ISERR(FIND(BB$4,$D5:$AI5)),0,1))</f>
        <v>0</v>
      </c>
      <c r="BC5" s="57">
        <f t="array" ref="BC5">SUM(IF(ISERR(FIND(BC$4,$D5:$AI5)),0,1))</f>
        <v>0</v>
      </c>
      <c r="BD5" s="57">
        <f t="shared" ref="BD5" si="11">BatSplit(D5:AI5,Fifties)</f>
        <v>0</v>
      </c>
      <c r="BE5" s="57">
        <f t="shared" ref="BE5" si="12">BatSplit(D5:AI5,Hundreds)</f>
        <v>0</v>
      </c>
      <c r="BF5" s="57">
        <f t="shared" ref="BF5" si="13">BatSplit(D5:AI5,Catches)</f>
        <v>0</v>
      </c>
      <c r="BG5" s="57">
        <f t="shared" ref="BG5" si="14">BatSplit(D5:AI5,Fours)</f>
        <v>1</v>
      </c>
      <c r="BH5" s="57">
        <f t="shared" ref="BH5" si="15">BatSplit(D5:AI5,Sixes)</f>
        <v>0</v>
      </c>
      <c r="BI5" s="57">
        <f t="shared" ref="BI5" si="16">BatSplit(D5:AI5,Stumpings)</f>
        <v>0</v>
      </c>
      <c r="BJ5" s="57">
        <f t="shared" ref="BJ5" si="17">BatSplit(D5:AI5,CaughtWkt)</f>
        <v>0</v>
      </c>
      <c r="BK5" s="57">
        <f t="shared" ref="BK5" si="18">BatSplit(D5:AI5,TwentyFives)</f>
        <v>0</v>
      </c>
      <c r="BL5" s="54">
        <f t="shared" ref="BL5" si="19">ROUND(IF(ISERROR(AR5),0,AR5),2)*100000+AM5*100+AK5+AQ5/100+ROW()/100000</f>
        <v>800102.08004999999</v>
      </c>
      <c r="BM5" s="54">
        <f>RANK(BL5,$BL$5:$BL$70)</f>
        <v>14</v>
      </c>
      <c r="BN5" s="54">
        <v>0</v>
      </c>
      <c r="BO5" s="73" t="str">
        <f t="shared" ref="BO5" si="20">IF(AQ5&gt;=50,(BG5*4+BH5*6+BN5*5)/AQ5,"")</f>
        <v/>
      </c>
      <c r="BP5" s="80">
        <f t="shared" ref="BP5" si="21">AV5/(AM5-AN5)</f>
        <v>0</v>
      </c>
      <c r="BQ5" s="141">
        <f t="shared" ref="BQ5" si="22">BF5</f>
        <v>0</v>
      </c>
      <c r="BR5" s="54" t="str">
        <f t="shared" ref="BR5" si="23">IF(BF5=0,"",BF5&amp;IF(BJ5=0,""," ("&amp;BJ5&amp;")"))</f>
        <v/>
      </c>
      <c r="BS5" s="54" t="str">
        <f t="shared" ref="BS5" si="24">IF(BF5=0,"",C5)</f>
        <v/>
      </c>
      <c r="BT5" s="57">
        <f t="shared" ref="BT5" si="25">BH5</f>
        <v>0</v>
      </c>
      <c r="BU5" s="54" t="str">
        <f t="shared" ref="BU5" si="26">IF(BT5=0,"",C5)</f>
        <v/>
      </c>
      <c r="BV5" s="57">
        <f t="shared" ref="BV5" si="27">BG5</f>
        <v>1</v>
      </c>
      <c r="BW5" s="54" t="str">
        <f t="shared" ref="BW5" si="28">IF(BV5=0,"",C5)</f>
        <v>Ahmed M</v>
      </c>
      <c r="BX5" s="57">
        <f t="shared" ref="BX5" si="29">BK5</f>
        <v>0</v>
      </c>
      <c r="BY5" s="54" t="str">
        <f t="shared" ref="BY5" si="30">IF(BX5=0,"",C5)</f>
        <v/>
      </c>
      <c r="BZ5" s="54">
        <f>AK5</f>
        <v>2</v>
      </c>
      <c r="CA5" s="54" t="str">
        <f>AJ5</f>
        <v>Ahmed M</v>
      </c>
      <c r="CB5" s="54">
        <f>AV5</f>
        <v>0</v>
      </c>
      <c r="CC5" s="54" t="str">
        <f>AJ5</f>
        <v>Ahmed M</v>
      </c>
    </row>
    <row r="6" spans="1:81" x14ac:dyDescent="0.15">
      <c r="B6"/>
      <c r="C6" t="s">
        <v>356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J6" s="54" t="str">
        <f t="shared" ref="AJ6:AJ70" si="31">C6</f>
        <v>Ahmed R</v>
      </c>
      <c r="AK6" s="54">
        <f t="shared" ref="AK6:AK10" si="32">BatSplit(D6:AI6,MatchesPlayed)</f>
        <v>0</v>
      </c>
      <c r="AL6" s="54">
        <f t="shared" ref="AL6:AL10" si="33">AK6-AM6</f>
        <v>0</v>
      </c>
      <c r="AM6" s="54">
        <f t="shared" ref="AM6:AM10" si="34">BatSplit(D6:AI6,InnsBattedIn)</f>
        <v>0</v>
      </c>
      <c r="AN6" s="54">
        <f t="shared" ref="AN6:AN10" si="35">BatSplit(D6:AI6,NotOuts)</f>
        <v>0</v>
      </c>
      <c r="AO6" s="54">
        <f t="shared" ref="AO6:AO10" si="36">BatSplit(D6:AI6,HighestScore)</f>
        <v>0</v>
      </c>
      <c r="AP6" s="58">
        <f t="shared" ref="AP6:AP10" si="37">IF(AO6&lt;0,-AO6&amp;"*",AO6)</f>
        <v>0</v>
      </c>
      <c r="AQ6" s="54">
        <f t="shared" ref="AQ6:AQ10" si="38">BatSplit(D6:AI6,RunsScored)</f>
        <v>0</v>
      </c>
      <c r="AR6" s="56">
        <f t="shared" ref="AR6:AR10" si="39">IF(AM6=AN6,0,AQ6/(AM6-AN6))</f>
        <v>0</v>
      </c>
      <c r="AS6" s="54">
        <f t="shared" ref="AS6:AS10" si="40">BatSplit(D6:AI6,FldPts)</f>
        <v>0</v>
      </c>
      <c r="AT6" s="57">
        <f t="array" ref="AT6">SUM(IF(ISERR(FIND("*",D6:AI6)),0,1))</f>
        <v>0</v>
      </c>
      <c r="AU6" s="57">
        <f t="array" ref="AU6">SUM(IF(ISERR(FIND("+",D6:AI6)),0,1))</f>
        <v>0</v>
      </c>
      <c r="AV6" s="54">
        <f t="shared" ref="AV6:AV10" si="41">BatSplit(D6:AI6,Ducks)</f>
        <v>0</v>
      </c>
      <c r="AW6" s="57">
        <f t="array" ref="AW6">SUM(IF(ISERR(FIND(AW$4,$D6:$AI6)),0,1))</f>
        <v>0</v>
      </c>
      <c r="AX6" s="57">
        <f t="array" ref="AX6">SUM(IF(ISERR(FIND(AX$4,$D6:$AI6)),0,1))</f>
        <v>0</v>
      </c>
      <c r="AY6" s="57">
        <f t="array" ref="AY6">SUM(IF(ISERR(FIND(AY$4,$D6:$AI6)),0,1))</f>
        <v>0</v>
      </c>
      <c r="AZ6" s="57">
        <f t="array" ref="AZ6">SUM(IF(ISERR(FIND(AZ$4,$D6:$AI6)),0,1))</f>
        <v>0</v>
      </c>
      <c r="BA6" s="57">
        <f t="array" ref="BA6">SUM(IF(ISERR(FIND(BA$4,$D6:$AI6)),0,1))</f>
        <v>0</v>
      </c>
      <c r="BB6" s="57">
        <f t="array" ref="BB6">SUM(IF(ISERR(FIND(BB$4,$D6:$AI6)),0,1))</f>
        <v>0</v>
      </c>
      <c r="BC6" s="57">
        <f t="array" ref="BC6">SUM(IF(ISERR(FIND(BC$4,$D6:$AI6)),0,1))</f>
        <v>0</v>
      </c>
      <c r="BD6" s="57">
        <f t="shared" ref="BD6:BD10" si="42">BatSplit(D6:AI6,Fifties)</f>
        <v>0</v>
      </c>
      <c r="BE6" s="57">
        <f t="shared" ref="BE6:BE10" si="43">BatSplit(D6:AI6,Hundreds)</f>
        <v>0</v>
      </c>
      <c r="BF6" s="57">
        <f t="shared" ref="BF6:BF10" si="44">BatSplit(D6:AI6,Catches)</f>
        <v>0</v>
      </c>
      <c r="BG6" s="57">
        <f t="shared" ref="BG6:BG10" si="45">BatSplit(D6:AI6,Fours)</f>
        <v>0</v>
      </c>
      <c r="BH6" s="57">
        <f t="shared" ref="BH6:BH10" si="46">BatSplit(D6:AI6,Sixes)</f>
        <v>0</v>
      </c>
      <c r="BI6" s="57">
        <f t="shared" ref="BI6:BI10" si="47">BatSplit(D6:AI6,Stumpings)</f>
        <v>0</v>
      </c>
      <c r="BJ6" s="57">
        <f t="shared" ref="BJ6:BJ10" si="48">BatSplit(D6:AI6,CaughtWkt)</f>
        <v>0</v>
      </c>
      <c r="BK6" s="57">
        <f t="shared" ref="BK6:BK10" si="49">BatSplit(D6:AI6,TwentyFives)</f>
        <v>0</v>
      </c>
      <c r="BL6" s="54">
        <f t="shared" ref="BL6:BL10" si="50">ROUND(IF(ISERROR(AR6),0,AR6),2)*100000+AM6*100+AK6+AQ6/100+ROW()/100000</f>
        <v>6.0000000000000002E-5</v>
      </c>
      <c r="BM6" s="54">
        <f>RANK(BL6,$BL$5:$BL$70)</f>
        <v>66</v>
      </c>
      <c r="BN6" s="54">
        <v>0</v>
      </c>
      <c r="BO6" s="73" t="str">
        <f t="shared" ref="BO6:BO10" si="51">IF(AQ6&gt;=50,(BG6*4+BH6*6+BN6*5)/AQ6,"")</f>
        <v/>
      </c>
      <c r="BP6" s="80" t="e">
        <f t="shared" ref="BP6:BP10" si="52">AV6/(AM6-AN6)</f>
        <v>#DIV/0!</v>
      </c>
      <c r="BQ6" s="141">
        <f t="shared" ref="BQ6:BQ10" si="53">BF6</f>
        <v>0</v>
      </c>
      <c r="BR6" s="54" t="str">
        <f t="shared" ref="BR6:BR10" si="54">IF(BF6=0,"",BF6&amp;IF(BJ6=0,""," ("&amp;BJ6&amp;")"))</f>
        <v/>
      </c>
      <c r="BS6" s="54" t="str">
        <f t="shared" ref="BS6:BS10" si="55">IF(BF6=0,"",C6)</f>
        <v/>
      </c>
      <c r="BT6" s="57">
        <f t="shared" ref="BT6:BT10" si="56">BH6</f>
        <v>0</v>
      </c>
      <c r="BU6" s="54" t="str">
        <f t="shared" ref="BU6:BU10" si="57">IF(BT6=0,"",C6)</f>
        <v/>
      </c>
      <c r="BV6" s="57">
        <f t="shared" ref="BV6:BV10" si="58">BG6</f>
        <v>0</v>
      </c>
      <c r="BW6" s="54" t="str">
        <f t="shared" ref="BW6:BW10" si="59">IF(BV6=0,"",C6)</f>
        <v/>
      </c>
      <c r="BX6" s="57">
        <f t="shared" ref="BX6:BX10" si="60">BK6</f>
        <v>0</v>
      </c>
      <c r="BY6" s="54" t="str">
        <f t="shared" ref="BY6:BY10" si="61">IF(BX6=0,"",C6)</f>
        <v/>
      </c>
      <c r="BZ6" s="54">
        <f t="shared" ref="BZ6:BZ70" si="62">AK6</f>
        <v>0</v>
      </c>
      <c r="CA6" s="54" t="str">
        <f t="shared" ref="CA6:CA70" si="63">AJ6</f>
        <v>Ahmed R</v>
      </c>
      <c r="CB6" s="54">
        <f t="shared" ref="CB6:CB70" si="64">AV6</f>
        <v>0</v>
      </c>
      <c r="CC6" s="54" t="str">
        <f t="shared" ref="CC6:CC70" si="65">AJ6</f>
        <v>Ahmed R</v>
      </c>
    </row>
    <row r="7" spans="1:81" x14ac:dyDescent="0.15">
      <c r="B7" t="s">
        <v>254</v>
      </c>
      <c r="C7" t="s">
        <v>234</v>
      </c>
      <c r="D7"/>
      <c r="E7" t="s">
        <v>507</v>
      </c>
      <c r="F7" t="s">
        <v>353</v>
      </c>
      <c r="G7"/>
      <c r="H7" t="s">
        <v>530</v>
      </c>
      <c r="I7" t="s">
        <v>371</v>
      </c>
      <c r="J7" t="s">
        <v>562</v>
      </c>
      <c r="K7" t="s">
        <v>314</v>
      </c>
      <c r="L7" t="s">
        <v>368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J7" s="54" t="str">
        <f t="shared" si="31"/>
        <v>Bhatt P</v>
      </c>
      <c r="AK7" s="54">
        <f t="shared" si="32"/>
        <v>7</v>
      </c>
      <c r="AL7" s="54">
        <f t="shared" si="33"/>
        <v>3</v>
      </c>
      <c r="AM7" s="54">
        <f t="shared" si="34"/>
        <v>4</v>
      </c>
      <c r="AN7" s="54">
        <f t="shared" si="35"/>
        <v>3</v>
      </c>
      <c r="AO7" s="54">
        <f t="shared" si="36"/>
        <v>7</v>
      </c>
      <c r="AP7" s="58">
        <f t="shared" si="37"/>
        <v>7</v>
      </c>
      <c r="AQ7" s="54">
        <f t="shared" si="38"/>
        <v>12</v>
      </c>
      <c r="AR7" s="56">
        <f t="shared" si="39"/>
        <v>12</v>
      </c>
      <c r="AS7" s="54">
        <f t="shared" si="40"/>
        <v>5</v>
      </c>
      <c r="AT7" s="57">
        <f t="array" ref="AT7">SUM(IF(ISERR(FIND("*",D7:AI7)),0,1))</f>
        <v>0</v>
      </c>
      <c r="AU7" s="57">
        <f t="array" ref="AU7">SUM(IF(ISERR(FIND("+",D7:AI7)),0,1))</f>
        <v>0</v>
      </c>
      <c r="AV7" s="54">
        <f t="shared" si="41"/>
        <v>0</v>
      </c>
      <c r="AW7" s="57">
        <f t="array" ref="AW7">SUM(IF(ISERR(FIND(AW$4,$D7:$AI7)),0,1))</f>
        <v>0</v>
      </c>
      <c r="AX7" s="57">
        <f t="array" ref="AX7">SUM(IF(ISERR(FIND(AX$4,$D7:$AI7)),0,1))</f>
        <v>0</v>
      </c>
      <c r="AY7" s="57">
        <f t="array" ref="AY7">SUM(IF(ISERR(FIND(AY$4,$D7:$AI7)),0,1))</f>
        <v>0</v>
      </c>
      <c r="AZ7" s="57">
        <f t="array" ref="AZ7">SUM(IF(ISERR(FIND(AZ$4,$D7:$AI7)),0,1))</f>
        <v>0</v>
      </c>
      <c r="BA7" s="57">
        <f t="array" ref="BA7">SUM(IF(ISERR(FIND(BA$4,$D7:$AI7)),0,1))</f>
        <v>1</v>
      </c>
      <c r="BB7" s="57">
        <f t="array" ref="BB7">SUM(IF(ISERR(FIND(BB$4,$D7:$AI7)),0,1))</f>
        <v>0</v>
      </c>
      <c r="BC7" s="57">
        <f t="array" ref="BC7">SUM(IF(ISERR(FIND(BC$4,$D7:$AI7)),0,1))</f>
        <v>0</v>
      </c>
      <c r="BD7" s="57">
        <f t="shared" si="42"/>
        <v>0</v>
      </c>
      <c r="BE7" s="57">
        <f t="shared" si="43"/>
        <v>0</v>
      </c>
      <c r="BF7" s="57">
        <f t="shared" si="44"/>
        <v>1</v>
      </c>
      <c r="BG7" s="57">
        <f t="shared" si="45"/>
        <v>0</v>
      </c>
      <c r="BH7" s="57">
        <f t="shared" si="46"/>
        <v>0</v>
      </c>
      <c r="BI7" s="57">
        <f t="shared" si="47"/>
        <v>0</v>
      </c>
      <c r="BJ7" s="57">
        <f t="shared" si="48"/>
        <v>0</v>
      </c>
      <c r="BK7" s="57">
        <f t="shared" si="49"/>
        <v>0</v>
      </c>
      <c r="BL7" s="54">
        <f t="shared" si="50"/>
        <v>1200407.1200700002</v>
      </c>
      <c r="BM7" s="54">
        <f>RANK(BL7,$BL$5:$BL$70)</f>
        <v>8</v>
      </c>
      <c r="BN7" s="54">
        <v>0</v>
      </c>
      <c r="BO7" s="73" t="str">
        <f t="shared" si="51"/>
        <v/>
      </c>
      <c r="BP7" s="80">
        <f t="shared" si="52"/>
        <v>0</v>
      </c>
      <c r="BQ7" s="141">
        <f t="shared" si="53"/>
        <v>1</v>
      </c>
      <c r="BR7" s="54" t="str">
        <f t="shared" si="54"/>
        <v>1</v>
      </c>
      <c r="BS7" s="54" t="str">
        <f t="shared" si="55"/>
        <v>Bhatt P</v>
      </c>
      <c r="BT7" s="57">
        <f t="shared" si="56"/>
        <v>0</v>
      </c>
      <c r="BU7" s="54" t="str">
        <f t="shared" si="57"/>
        <v/>
      </c>
      <c r="BV7" s="57">
        <f t="shared" si="58"/>
        <v>0</v>
      </c>
      <c r="BW7" s="54" t="str">
        <f t="shared" si="59"/>
        <v/>
      </c>
      <c r="BX7" s="57">
        <f t="shared" si="60"/>
        <v>0</v>
      </c>
      <c r="BY7" s="54" t="str">
        <f t="shared" si="61"/>
        <v/>
      </c>
      <c r="BZ7" s="54">
        <f t="shared" si="62"/>
        <v>7</v>
      </c>
      <c r="CA7" s="54" t="str">
        <f t="shared" si="63"/>
        <v>Bhatt P</v>
      </c>
      <c r="CB7" s="54">
        <f t="shared" si="64"/>
        <v>0</v>
      </c>
      <c r="CC7" s="54" t="str">
        <f t="shared" si="65"/>
        <v>Bhatt P</v>
      </c>
    </row>
    <row r="8" spans="1:81" x14ac:dyDescent="0.15">
      <c r="B8" t="s">
        <v>376</v>
      </c>
      <c r="C8" t="s">
        <v>377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J8" s="54" t="str">
        <f t="shared" ref="AJ8:AJ9" si="66">C8</f>
        <v>Biswas A</v>
      </c>
      <c r="AK8" s="54">
        <f t="shared" ref="AK8:AK9" si="67">BatSplit(D8:AI8,MatchesPlayed)</f>
        <v>0</v>
      </c>
      <c r="AL8" s="54">
        <f t="shared" ref="AL8:AL9" si="68">AK8-AM8</f>
        <v>0</v>
      </c>
      <c r="AM8" s="54">
        <f t="shared" ref="AM8:AM9" si="69">BatSplit(D8:AI8,InnsBattedIn)</f>
        <v>0</v>
      </c>
      <c r="AN8" s="54">
        <f t="shared" ref="AN8:AN9" si="70">BatSplit(D8:AI8,NotOuts)</f>
        <v>0</v>
      </c>
      <c r="AO8" s="54">
        <f t="shared" ref="AO8:AO9" si="71">BatSplit(D8:AI8,HighestScore)</f>
        <v>0</v>
      </c>
      <c r="AP8" s="58">
        <f t="shared" ref="AP8:AP9" si="72">IF(AO8&lt;0,-AO8&amp;"*",AO8)</f>
        <v>0</v>
      </c>
      <c r="AQ8" s="54">
        <f t="shared" ref="AQ8:AQ9" si="73">BatSplit(D8:AI8,RunsScored)</f>
        <v>0</v>
      </c>
      <c r="AR8" s="56">
        <f t="shared" ref="AR8:AR9" si="74">IF(AM8=AN8,0,AQ8/(AM8-AN8))</f>
        <v>0</v>
      </c>
      <c r="AS8" s="54">
        <f t="shared" ref="AS8:AS9" si="75">BatSplit(D8:AI8,FldPts)</f>
        <v>0</v>
      </c>
      <c r="AT8" s="57">
        <f t="array" ref="AT8">SUM(IF(ISERR(FIND("*",D8:AI8)),0,1))</f>
        <v>0</v>
      </c>
      <c r="AU8" s="57">
        <f t="array" ref="AU8">SUM(IF(ISERR(FIND("+",D8:AI8)),0,1))</f>
        <v>0</v>
      </c>
      <c r="AV8" s="54">
        <f t="shared" ref="AV8:AV9" si="76">BatSplit(D8:AI8,Ducks)</f>
        <v>0</v>
      </c>
      <c r="AW8" s="57">
        <f t="array" ref="AW8">SUM(IF(ISERR(FIND(AW$4,$D8:$AI8)),0,1))</f>
        <v>0</v>
      </c>
      <c r="AX8" s="57">
        <f t="array" ref="AX8">SUM(IF(ISERR(FIND(AX$4,$D8:$AI8)),0,1))</f>
        <v>0</v>
      </c>
      <c r="AY8" s="57">
        <f t="array" ref="AY8">SUM(IF(ISERR(FIND(AY$4,$D8:$AI8)),0,1))</f>
        <v>0</v>
      </c>
      <c r="AZ8" s="57">
        <f t="array" ref="AZ8">SUM(IF(ISERR(FIND(AZ$4,$D8:$AI8)),0,1))</f>
        <v>0</v>
      </c>
      <c r="BA8" s="57">
        <f t="array" ref="BA8">SUM(IF(ISERR(FIND(BA$4,$D8:$AI8)),0,1))</f>
        <v>0</v>
      </c>
      <c r="BB8" s="57">
        <f t="array" ref="BB8">SUM(IF(ISERR(FIND(BB$4,$D8:$AI8)),0,1))</f>
        <v>0</v>
      </c>
      <c r="BC8" s="57">
        <f t="array" ref="BC8">SUM(IF(ISERR(FIND(BC$4,$D8:$AI8)),0,1))</f>
        <v>0</v>
      </c>
      <c r="BD8" s="57">
        <f t="shared" ref="BD8:BD9" si="77">BatSplit(D8:AI8,Fifties)</f>
        <v>0</v>
      </c>
      <c r="BE8" s="57">
        <f t="shared" ref="BE8:BE9" si="78">BatSplit(D8:AI8,Hundreds)</f>
        <v>0</v>
      </c>
      <c r="BF8" s="57">
        <f t="shared" ref="BF8:BF9" si="79">BatSplit(D8:AI8,Catches)</f>
        <v>0</v>
      </c>
      <c r="BG8" s="57">
        <f t="shared" ref="BG8:BG9" si="80">BatSplit(D8:AI8,Fours)</f>
        <v>0</v>
      </c>
      <c r="BH8" s="57">
        <f t="shared" ref="BH8:BH9" si="81">BatSplit(D8:AI8,Sixes)</f>
        <v>0</v>
      </c>
      <c r="BI8" s="57">
        <f t="shared" ref="BI8:BI9" si="82">BatSplit(D8:AI8,Stumpings)</f>
        <v>0</v>
      </c>
      <c r="BJ8" s="57">
        <f t="shared" ref="BJ8:BJ9" si="83">BatSplit(D8:AI8,CaughtWkt)</f>
        <v>0</v>
      </c>
      <c r="BK8" s="57">
        <f t="shared" ref="BK8:BK9" si="84">BatSplit(D8:AI8,TwentyFives)</f>
        <v>0</v>
      </c>
      <c r="BL8" s="54">
        <f t="shared" ref="BL8:BL9" si="85">ROUND(IF(ISERROR(AR8),0,AR8),2)*100000+AM8*100+AK8+AQ8/100+ROW()/100000</f>
        <v>8.0000000000000007E-5</v>
      </c>
      <c r="BM8" s="54">
        <f>RANK(BL8,$BL$5:$BL$70)</f>
        <v>65</v>
      </c>
      <c r="BN8" s="54">
        <v>0</v>
      </c>
      <c r="BO8" s="73" t="str">
        <f t="shared" ref="BO8:BO9" si="86">IF(AQ8&gt;=50,(BG8*4+BH8*6+BN8*5)/AQ8,"")</f>
        <v/>
      </c>
      <c r="BP8" s="80" t="e">
        <f t="shared" ref="BP8:BP9" si="87">AV8/(AM8-AN8)</f>
        <v>#DIV/0!</v>
      </c>
      <c r="BQ8" s="141">
        <f t="shared" ref="BQ8:BQ9" si="88">BF8</f>
        <v>0</v>
      </c>
      <c r="BR8" s="54" t="str">
        <f t="shared" ref="BR8:BR9" si="89">IF(BF8=0,"",BF8&amp;IF(BJ8=0,""," ("&amp;BJ8&amp;")"))</f>
        <v/>
      </c>
      <c r="BS8" s="54" t="str">
        <f t="shared" ref="BS8:BS9" si="90">IF(BF8=0,"",C8)</f>
        <v/>
      </c>
      <c r="BT8" s="57">
        <f t="shared" ref="BT8:BT9" si="91">BH8</f>
        <v>0</v>
      </c>
      <c r="BU8" s="54" t="str">
        <f t="shared" ref="BU8:BU9" si="92">IF(BT8=0,"",C8)</f>
        <v/>
      </c>
      <c r="BV8" s="57">
        <f t="shared" ref="BV8:BV9" si="93">BG8</f>
        <v>0</v>
      </c>
      <c r="BW8" s="54" t="str">
        <f t="shared" ref="BW8:BW9" si="94">IF(BV8=0,"",C8)</f>
        <v/>
      </c>
      <c r="BX8" s="57">
        <f t="shared" ref="BX8:BX9" si="95">BK8</f>
        <v>0</v>
      </c>
      <c r="BY8" s="54" t="str">
        <f t="shared" ref="BY8:BY9" si="96">IF(BX8=0,"",C8)</f>
        <v/>
      </c>
      <c r="BZ8" s="54">
        <f t="shared" si="62"/>
        <v>0</v>
      </c>
      <c r="CA8" s="54" t="str">
        <f t="shared" si="63"/>
        <v>Biswas A</v>
      </c>
      <c r="CB8" s="54">
        <f t="shared" si="64"/>
        <v>0</v>
      </c>
      <c r="CC8" s="54" t="str">
        <f t="shared" si="65"/>
        <v>Biswas A</v>
      </c>
    </row>
    <row r="9" spans="1:81" x14ac:dyDescent="0.15">
      <c r="B9" t="s">
        <v>569</v>
      </c>
      <c r="C9" t="s">
        <v>547</v>
      </c>
      <c r="D9"/>
      <c r="E9"/>
      <c r="F9"/>
      <c r="G9"/>
      <c r="H9"/>
      <c r="I9" t="s">
        <v>310</v>
      </c>
      <c r="J9"/>
      <c r="K9" t="s">
        <v>304</v>
      </c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J9" s="54" t="str">
        <f t="shared" si="66"/>
        <v>Bowers M</v>
      </c>
      <c r="AK9" s="54">
        <f t="shared" si="67"/>
        <v>2</v>
      </c>
      <c r="AL9" s="54">
        <f t="shared" si="68"/>
        <v>2</v>
      </c>
      <c r="AM9" s="54">
        <f t="shared" si="69"/>
        <v>0</v>
      </c>
      <c r="AN9" s="54">
        <f t="shared" si="70"/>
        <v>0</v>
      </c>
      <c r="AO9" s="54">
        <f t="shared" si="71"/>
        <v>0</v>
      </c>
      <c r="AP9" s="58">
        <f t="shared" si="72"/>
        <v>0</v>
      </c>
      <c r="AQ9" s="54">
        <f t="shared" si="73"/>
        <v>0</v>
      </c>
      <c r="AR9" s="56">
        <f t="shared" si="74"/>
        <v>0</v>
      </c>
      <c r="AS9" s="54">
        <f t="shared" si="75"/>
        <v>0</v>
      </c>
      <c r="AT9" s="57">
        <f t="array" ref="AT9">SUM(IF(ISERR(FIND("*",D9:AI9)),0,1))</f>
        <v>0</v>
      </c>
      <c r="AU9" s="57">
        <f t="array" ref="AU9">SUM(IF(ISERR(FIND("+",D9:AI9)),0,1))</f>
        <v>0</v>
      </c>
      <c r="AV9" s="54">
        <f t="shared" si="76"/>
        <v>0</v>
      </c>
      <c r="AW9" s="57">
        <f t="array" ref="AW9">SUM(IF(ISERR(FIND(AW$4,$D9:$AI9)),0,1))</f>
        <v>0</v>
      </c>
      <c r="AX9" s="57">
        <f t="array" ref="AX9">SUM(IF(ISERR(FIND(AX$4,$D9:$AI9)),0,1))</f>
        <v>0</v>
      </c>
      <c r="AY9" s="57">
        <f t="array" ref="AY9">SUM(IF(ISERR(FIND(AY$4,$D9:$AI9)),0,1))</f>
        <v>0</v>
      </c>
      <c r="AZ9" s="57">
        <f t="array" ref="AZ9">SUM(IF(ISERR(FIND(AZ$4,$D9:$AI9)),0,1))</f>
        <v>0</v>
      </c>
      <c r="BA9" s="57">
        <f t="array" ref="BA9">SUM(IF(ISERR(FIND(BA$4,$D9:$AI9)),0,1))</f>
        <v>0</v>
      </c>
      <c r="BB9" s="57">
        <f t="array" ref="BB9">SUM(IF(ISERR(FIND(BB$4,$D9:$AI9)),0,1))</f>
        <v>0</v>
      </c>
      <c r="BC9" s="57">
        <f t="array" ref="BC9">SUM(IF(ISERR(FIND(BC$4,$D9:$AI9)),0,1))</f>
        <v>0</v>
      </c>
      <c r="BD9" s="57">
        <f t="shared" si="77"/>
        <v>0</v>
      </c>
      <c r="BE9" s="57">
        <f t="shared" si="78"/>
        <v>0</v>
      </c>
      <c r="BF9" s="57">
        <f t="shared" si="79"/>
        <v>0</v>
      </c>
      <c r="BG9" s="57">
        <f t="shared" si="80"/>
        <v>0</v>
      </c>
      <c r="BH9" s="57">
        <f t="shared" si="81"/>
        <v>0</v>
      </c>
      <c r="BI9" s="57">
        <f t="shared" si="82"/>
        <v>0</v>
      </c>
      <c r="BJ9" s="57">
        <f t="shared" si="83"/>
        <v>0</v>
      </c>
      <c r="BK9" s="57">
        <f t="shared" si="84"/>
        <v>0</v>
      </c>
      <c r="BL9" s="54">
        <f t="shared" si="85"/>
        <v>2.0000900000000001</v>
      </c>
      <c r="BM9" s="54">
        <f>RANK(BL9,$BL$5:$BL$70)</f>
        <v>26</v>
      </c>
      <c r="BN9" s="54">
        <v>0</v>
      </c>
      <c r="BO9" s="73" t="str">
        <f t="shared" si="86"/>
        <v/>
      </c>
      <c r="BP9" s="80" t="e">
        <f t="shared" si="87"/>
        <v>#DIV/0!</v>
      </c>
      <c r="BQ9" s="141">
        <f t="shared" si="88"/>
        <v>0</v>
      </c>
      <c r="BR9" s="54" t="str">
        <f t="shared" si="89"/>
        <v/>
      </c>
      <c r="BS9" s="54" t="str">
        <f t="shared" si="90"/>
        <v/>
      </c>
      <c r="BT9" s="57">
        <f t="shared" si="91"/>
        <v>0</v>
      </c>
      <c r="BU9" s="54" t="str">
        <f t="shared" si="92"/>
        <v/>
      </c>
      <c r="BV9" s="57">
        <f t="shared" si="93"/>
        <v>0</v>
      </c>
      <c r="BW9" s="54" t="str">
        <f t="shared" si="94"/>
        <v/>
      </c>
      <c r="BX9" s="57">
        <f t="shared" si="95"/>
        <v>0</v>
      </c>
      <c r="BY9" s="54" t="str">
        <f t="shared" si="96"/>
        <v/>
      </c>
      <c r="BZ9" s="54">
        <f t="shared" ref="BZ9" si="97">AK9</f>
        <v>2</v>
      </c>
      <c r="CA9" s="54" t="str">
        <f t="shared" ref="CA9" si="98">AJ9</f>
        <v>Bowers M</v>
      </c>
      <c r="CB9" s="54">
        <f t="shared" ref="CB9" si="99">AV9</f>
        <v>0</v>
      </c>
      <c r="CC9" s="54" t="str">
        <f t="shared" ref="CC9" si="100">AJ9</f>
        <v>Bowers M</v>
      </c>
    </row>
    <row r="10" spans="1:81" x14ac:dyDescent="0.15">
      <c r="B10" t="s">
        <v>24</v>
      </c>
      <c r="C10" t="s">
        <v>223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J10" s="54" t="str">
        <f t="shared" si="31"/>
        <v>Brocks D</v>
      </c>
      <c r="AK10" s="54">
        <f t="shared" si="32"/>
        <v>0</v>
      </c>
      <c r="AL10" s="54">
        <f t="shared" si="33"/>
        <v>0</v>
      </c>
      <c r="AM10" s="54">
        <f t="shared" si="34"/>
        <v>0</v>
      </c>
      <c r="AN10" s="54">
        <f t="shared" si="35"/>
        <v>0</v>
      </c>
      <c r="AO10" s="54">
        <f t="shared" si="36"/>
        <v>0</v>
      </c>
      <c r="AP10" s="58">
        <f t="shared" si="37"/>
        <v>0</v>
      </c>
      <c r="AQ10" s="54">
        <f t="shared" si="38"/>
        <v>0</v>
      </c>
      <c r="AR10" s="56">
        <f t="shared" si="39"/>
        <v>0</v>
      </c>
      <c r="AS10" s="54">
        <f t="shared" si="40"/>
        <v>0</v>
      </c>
      <c r="AT10" s="57">
        <f t="array" ref="AT10">SUM(IF(ISERR(FIND("*",D10:AI10)),0,1))</f>
        <v>0</v>
      </c>
      <c r="AU10" s="57">
        <f t="array" ref="AU10">SUM(IF(ISERR(FIND("+",D10:AI10)),0,1))</f>
        <v>0</v>
      </c>
      <c r="AV10" s="54">
        <f t="shared" si="41"/>
        <v>0</v>
      </c>
      <c r="AW10" s="57">
        <f t="array" ref="AW10">SUM(IF(ISERR(FIND(AW$4,$D10:$AI10)),0,1))</f>
        <v>0</v>
      </c>
      <c r="AX10" s="57">
        <f t="array" ref="AX10">SUM(IF(ISERR(FIND(AX$4,$D10:$AI10)),0,1))</f>
        <v>0</v>
      </c>
      <c r="AY10" s="57">
        <f t="array" ref="AY10">SUM(IF(ISERR(FIND(AY$4,$D10:$AI10)),0,1))</f>
        <v>0</v>
      </c>
      <c r="AZ10" s="57">
        <f t="array" ref="AZ10">SUM(IF(ISERR(FIND(AZ$4,$D10:$AI10)),0,1))</f>
        <v>0</v>
      </c>
      <c r="BA10" s="57">
        <f t="array" ref="BA10">SUM(IF(ISERR(FIND(BA$4,$D10:$AI10)),0,1))</f>
        <v>0</v>
      </c>
      <c r="BB10" s="57">
        <f t="array" ref="BB10">SUM(IF(ISERR(FIND(BB$4,$D10:$AI10)),0,1))</f>
        <v>0</v>
      </c>
      <c r="BC10" s="57">
        <f t="array" ref="BC10">SUM(IF(ISERR(FIND(BC$4,$D10:$AI10)),0,1))</f>
        <v>0</v>
      </c>
      <c r="BD10" s="57">
        <f t="shared" si="42"/>
        <v>0</v>
      </c>
      <c r="BE10" s="57">
        <f t="shared" si="43"/>
        <v>0</v>
      </c>
      <c r="BF10" s="57">
        <f t="shared" si="44"/>
        <v>0</v>
      </c>
      <c r="BG10" s="57">
        <f t="shared" si="45"/>
        <v>0</v>
      </c>
      <c r="BH10" s="57">
        <f t="shared" si="46"/>
        <v>0</v>
      </c>
      <c r="BI10" s="57">
        <f t="shared" si="47"/>
        <v>0</v>
      </c>
      <c r="BJ10" s="57">
        <f t="shared" si="48"/>
        <v>0</v>
      </c>
      <c r="BK10" s="57">
        <f t="shared" si="49"/>
        <v>0</v>
      </c>
      <c r="BL10" s="54">
        <f t="shared" si="50"/>
        <v>1E-4</v>
      </c>
      <c r="BM10" s="54">
        <f>RANK(BL10,$BL$5:$BL$70)</f>
        <v>64</v>
      </c>
      <c r="BN10" s="54">
        <v>0</v>
      </c>
      <c r="BO10" s="73" t="str">
        <f t="shared" si="51"/>
        <v/>
      </c>
      <c r="BP10" s="80" t="e">
        <f t="shared" si="52"/>
        <v>#DIV/0!</v>
      </c>
      <c r="BQ10" s="141">
        <f t="shared" si="53"/>
        <v>0</v>
      </c>
      <c r="BR10" s="54" t="str">
        <f t="shared" si="54"/>
        <v/>
      </c>
      <c r="BS10" s="54" t="str">
        <f t="shared" si="55"/>
        <v/>
      </c>
      <c r="BT10" s="57">
        <f t="shared" si="56"/>
        <v>0</v>
      </c>
      <c r="BU10" s="54" t="str">
        <f t="shared" si="57"/>
        <v/>
      </c>
      <c r="BV10" s="57">
        <f t="shared" si="58"/>
        <v>0</v>
      </c>
      <c r="BW10" s="54" t="str">
        <f t="shared" si="59"/>
        <v/>
      </c>
      <c r="BX10" s="57">
        <f t="shared" si="60"/>
        <v>0</v>
      </c>
      <c r="BY10" s="54" t="str">
        <f t="shared" si="61"/>
        <v/>
      </c>
      <c r="BZ10" s="54">
        <f t="shared" si="62"/>
        <v>0</v>
      </c>
      <c r="CA10" s="54" t="str">
        <f t="shared" si="63"/>
        <v>Brocks D</v>
      </c>
      <c r="CB10" s="54">
        <f t="shared" si="64"/>
        <v>0</v>
      </c>
      <c r="CC10" s="54" t="str">
        <f t="shared" si="65"/>
        <v>Brocks D</v>
      </c>
    </row>
    <row r="11" spans="1:81" x14ac:dyDescent="0.15">
      <c r="B11" t="s">
        <v>203</v>
      </c>
      <c r="C11" t="s">
        <v>204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J11" s="54" t="str">
        <f t="shared" si="31"/>
        <v>Clarkson M</v>
      </c>
      <c r="AK11" s="54">
        <f t="shared" ref="AK11:AK70" si="101">BatSplit(D11:AI11,MatchesPlayed)</f>
        <v>0</v>
      </c>
      <c r="AL11" s="54">
        <f t="shared" ref="AL11:AL70" si="102">AK11-AM11</f>
        <v>0</v>
      </c>
      <c r="AM11" s="54">
        <f t="shared" ref="AM11:AM70" si="103">BatSplit(D11:AI11,InnsBattedIn)</f>
        <v>0</v>
      </c>
      <c r="AN11" s="54">
        <f t="shared" ref="AN11:AN70" si="104">BatSplit(D11:AI11,NotOuts)</f>
        <v>0</v>
      </c>
      <c r="AO11" s="54">
        <f t="shared" ref="AO11:AO70" si="105">BatSplit(D11:AI11,HighestScore)</f>
        <v>0</v>
      </c>
      <c r="AP11" s="58">
        <f t="shared" ref="AP11:AP70" si="106">IF(AO11&lt;0,-AO11&amp;"*",AO11)</f>
        <v>0</v>
      </c>
      <c r="AQ11" s="54">
        <f t="shared" ref="AQ11:AQ70" si="107">BatSplit(D11:AI11,RunsScored)</f>
        <v>0</v>
      </c>
      <c r="AR11" s="56">
        <f t="shared" ref="AR11:AR70" si="108">IF(AM11=AN11,0,AQ11/(AM11-AN11))</f>
        <v>0</v>
      </c>
      <c r="AS11" s="54">
        <f t="shared" ref="AS11:AS70" si="109">BatSplit(D11:AI11,FldPts)</f>
        <v>0</v>
      </c>
      <c r="AT11" s="57">
        <f t="array" ref="AT11">SUM(IF(ISERR(FIND("*",D11:AI11)),0,1))</f>
        <v>0</v>
      </c>
      <c r="AU11" s="57">
        <f t="array" ref="AU11">SUM(IF(ISERR(FIND("+",D11:AI11)),0,1))</f>
        <v>0</v>
      </c>
      <c r="AV11" s="54">
        <f t="shared" ref="AV11:AV70" si="110">BatSplit(D11:AI11,Ducks)</f>
        <v>0</v>
      </c>
      <c r="AW11" s="57">
        <f t="array" ref="AW11">SUM(IF(ISERR(FIND(AW$4,$D11:$AI11)),0,1))</f>
        <v>0</v>
      </c>
      <c r="AX11" s="57">
        <f t="array" ref="AX11">SUM(IF(ISERR(FIND(AX$4,$D11:$AI11)),0,1))</f>
        <v>0</v>
      </c>
      <c r="AY11" s="57">
        <f t="array" ref="AY11">SUM(IF(ISERR(FIND(AY$4,$D11:$AI11)),0,1))</f>
        <v>0</v>
      </c>
      <c r="AZ11" s="57">
        <f t="array" ref="AZ11">SUM(IF(ISERR(FIND(AZ$4,$D11:$AI11)),0,1))</f>
        <v>0</v>
      </c>
      <c r="BA11" s="57">
        <f t="array" ref="BA11">SUM(IF(ISERR(FIND(BA$4,$D11:$AI11)),0,1))</f>
        <v>0</v>
      </c>
      <c r="BB11" s="57">
        <f t="array" ref="BB11">SUM(IF(ISERR(FIND(BB$4,$D11:$AI11)),0,1))</f>
        <v>0</v>
      </c>
      <c r="BC11" s="57">
        <f t="array" ref="BC11">SUM(IF(ISERR(FIND(BC$4,$D11:$AI11)),0,1))</f>
        <v>0</v>
      </c>
      <c r="BD11" s="57">
        <f t="shared" ref="BD11:BD70" si="111">BatSplit(D11:AI11,Fifties)</f>
        <v>0</v>
      </c>
      <c r="BE11" s="57">
        <f t="shared" ref="BE11:BE70" si="112">BatSplit(D11:AI11,Hundreds)</f>
        <v>0</v>
      </c>
      <c r="BF11" s="57">
        <f t="shared" ref="BF11:BF70" si="113">BatSplit(D11:AI11,Catches)</f>
        <v>0</v>
      </c>
      <c r="BG11" s="57">
        <f t="shared" ref="BG11:BG70" si="114">BatSplit(D11:AI11,Fours)</f>
        <v>0</v>
      </c>
      <c r="BH11" s="57">
        <f t="shared" ref="BH11:BH70" si="115">BatSplit(D11:AI11,Sixes)</f>
        <v>0</v>
      </c>
      <c r="BI11" s="57">
        <f t="shared" ref="BI11:BI70" si="116">BatSplit(D11:AI11,Stumpings)</f>
        <v>0</v>
      </c>
      <c r="BJ11" s="57">
        <f t="shared" ref="BJ11:BJ70" si="117">BatSplit(D11:AI11,CaughtWkt)</f>
        <v>0</v>
      </c>
      <c r="BK11" s="57">
        <f t="shared" ref="BK11:BK70" si="118">BatSplit(D11:AI11,TwentyFives)</f>
        <v>0</v>
      </c>
      <c r="BL11" s="54">
        <f t="shared" ref="BL11:BL70" si="119">ROUND(IF(ISERROR(AR11),0,AR11),2)*100000+AM11*100+AK11+AQ11/100+ROW()/100000</f>
        <v>1.1E-4</v>
      </c>
      <c r="BM11" s="54">
        <f>RANK(BL11,$BL$5:$BL$70)</f>
        <v>63</v>
      </c>
      <c r="BN11" s="54">
        <v>1</v>
      </c>
      <c r="BO11" s="73" t="str">
        <f t="shared" ref="BO11:BO70" si="120">IF(AQ11&gt;=50,(BG11*4+BH11*6+BN11*5)/AQ11,"")</f>
        <v/>
      </c>
      <c r="BP11" s="80" t="e">
        <f t="shared" ref="BP11:BP70" si="121">AV11/(AM11-AN11)</f>
        <v>#DIV/0!</v>
      </c>
      <c r="BQ11" s="141">
        <f t="shared" ref="BQ11:BQ70" si="122">BF11</f>
        <v>0</v>
      </c>
      <c r="BR11" s="54" t="str">
        <f t="shared" ref="BR11:BR70" si="123">IF(BF11=0,"",BF11&amp;IF(BJ11=0,""," ("&amp;BJ11&amp;")"))</f>
        <v/>
      </c>
      <c r="BS11" s="54" t="str">
        <f t="shared" ref="BS11:BS70" si="124">IF(BF11=0,"",C11)</f>
        <v/>
      </c>
      <c r="BT11" s="57">
        <f t="shared" ref="BT11:BT70" si="125">BH11</f>
        <v>0</v>
      </c>
      <c r="BU11" s="54" t="str">
        <f t="shared" ref="BU11:BU70" si="126">IF(BT11=0,"",C11)</f>
        <v/>
      </c>
      <c r="BV11" s="57">
        <f t="shared" ref="BV11:BV70" si="127">BG11</f>
        <v>0</v>
      </c>
      <c r="BW11" s="54" t="str">
        <f t="shared" ref="BW11:BW70" si="128">IF(BV11=0,"",C11)</f>
        <v/>
      </c>
      <c r="BX11" s="57">
        <f t="shared" ref="BX11:BX70" si="129">BK11</f>
        <v>0</v>
      </c>
      <c r="BY11" s="54" t="str">
        <f t="shared" ref="BY11:BY70" si="130">IF(BX11=0,"",C11)</f>
        <v/>
      </c>
      <c r="BZ11" s="54">
        <f t="shared" si="62"/>
        <v>0</v>
      </c>
      <c r="CA11" s="54" t="str">
        <f t="shared" si="63"/>
        <v>Clarkson M</v>
      </c>
      <c r="CB11" s="54">
        <f t="shared" si="64"/>
        <v>0</v>
      </c>
      <c r="CC11" s="54" t="str">
        <f t="shared" si="65"/>
        <v>Clarkson M</v>
      </c>
    </row>
    <row r="12" spans="1:81" x14ac:dyDescent="0.15">
      <c r="B12" t="s">
        <v>385</v>
      </c>
      <c r="C12" t="s">
        <v>386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J12" t="str">
        <f t="shared" si="31"/>
        <v>Crone W</v>
      </c>
      <c r="AK12" s="54">
        <f t="shared" si="101"/>
        <v>0</v>
      </c>
      <c r="AL12" s="54">
        <f t="shared" si="102"/>
        <v>0</v>
      </c>
      <c r="AM12" s="54">
        <f t="shared" si="103"/>
        <v>0</v>
      </c>
      <c r="AN12" s="54">
        <f t="shared" si="104"/>
        <v>0</v>
      </c>
      <c r="AO12" s="54">
        <f t="shared" si="105"/>
        <v>0</v>
      </c>
      <c r="AP12" s="58">
        <f t="shared" si="106"/>
        <v>0</v>
      </c>
      <c r="AQ12" s="54">
        <f t="shared" si="107"/>
        <v>0</v>
      </c>
      <c r="AR12" s="56">
        <f t="shared" si="108"/>
        <v>0</v>
      </c>
      <c r="AS12" s="54">
        <f t="shared" si="109"/>
        <v>0</v>
      </c>
      <c r="AT12" s="57">
        <f t="array" ref="AT12">SUM(IF(ISERR(FIND("*",D12:AI12)),0,1))</f>
        <v>0</v>
      </c>
      <c r="AU12" s="57">
        <f t="array" ref="AU12">SUM(IF(ISERR(FIND("+",D12:AI12)),0,1))</f>
        <v>0</v>
      </c>
      <c r="AV12" s="54">
        <f t="shared" si="110"/>
        <v>0</v>
      </c>
      <c r="AW12" s="57">
        <f t="array" ref="AW12">SUM(IF(ISERR(FIND(AW$4,$D12:$AI12)),0,1))</f>
        <v>0</v>
      </c>
      <c r="AX12" s="57">
        <f t="array" ref="AX12">SUM(IF(ISERR(FIND(AX$4,$D12:$AI12)),0,1))</f>
        <v>0</v>
      </c>
      <c r="AY12" s="57">
        <f t="array" ref="AY12">SUM(IF(ISERR(FIND(AY$4,$D12:$AI12)),0,1))</f>
        <v>0</v>
      </c>
      <c r="AZ12" s="57">
        <f t="array" ref="AZ12">SUM(IF(ISERR(FIND(AZ$4,$D12:$AI12)),0,1))</f>
        <v>0</v>
      </c>
      <c r="BA12" s="57">
        <f t="array" ref="BA12">SUM(IF(ISERR(FIND(BA$4,$D12:$AI12)),0,1))</f>
        <v>0</v>
      </c>
      <c r="BB12" s="57">
        <f t="array" ref="BB12">SUM(IF(ISERR(FIND(BB$4,$D12:$AI12)),0,1))</f>
        <v>0</v>
      </c>
      <c r="BC12" s="57">
        <f t="array" ref="BC12">SUM(IF(ISERR(FIND(BC$4,$D12:$AI12)),0,1))</f>
        <v>0</v>
      </c>
      <c r="BD12" s="57">
        <f t="shared" si="111"/>
        <v>0</v>
      </c>
      <c r="BE12" s="57">
        <f t="shared" si="112"/>
        <v>0</v>
      </c>
      <c r="BF12" s="57">
        <f t="shared" si="113"/>
        <v>0</v>
      </c>
      <c r="BG12" s="57">
        <f t="shared" si="114"/>
        <v>0</v>
      </c>
      <c r="BH12" s="57">
        <f t="shared" si="115"/>
        <v>0</v>
      </c>
      <c r="BI12" s="57">
        <f t="shared" si="116"/>
        <v>0</v>
      </c>
      <c r="BJ12" s="57">
        <f t="shared" si="117"/>
        <v>0</v>
      </c>
      <c r="BK12" s="57">
        <f t="shared" si="118"/>
        <v>0</v>
      </c>
      <c r="BL12" s="54">
        <f t="shared" si="119"/>
        <v>1.2E-4</v>
      </c>
      <c r="BM12" s="54">
        <f>RANK(BL12,$BL$5:$BL$70)</f>
        <v>62</v>
      </c>
      <c r="BN12" s="54">
        <v>2</v>
      </c>
      <c r="BO12" s="73" t="str">
        <f t="shared" si="120"/>
        <v/>
      </c>
      <c r="BP12" s="80" t="e">
        <f t="shared" si="121"/>
        <v>#DIV/0!</v>
      </c>
      <c r="BQ12" s="141">
        <f t="shared" si="122"/>
        <v>0</v>
      </c>
      <c r="BR12" s="54" t="str">
        <f t="shared" si="123"/>
        <v/>
      </c>
      <c r="BS12" s="54" t="str">
        <f t="shared" si="124"/>
        <v/>
      </c>
      <c r="BT12" s="57">
        <f t="shared" si="125"/>
        <v>0</v>
      </c>
      <c r="BU12" s="54" t="str">
        <f t="shared" si="126"/>
        <v/>
      </c>
      <c r="BV12" s="57">
        <f t="shared" si="127"/>
        <v>0</v>
      </c>
      <c r="BW12" s="54" t="str">
        <f t="shared" si="128"/>
        <v/>
      </c>
      <c r="BX12" s="57">
        <f t="shared" si="129"/>
        <v>0</v>
      </c>
      <c r="BY12" s="54" t="str">
        <f t="shared" si="130"/>
        <v/>
      </c>
      <c r="BZ12" s="54">
        <f t="shared" si="62"/>
        <v>0</v>
      </c>
      <c r="CA12" s="54" t="str">
        <f t="shared" si="63"/>
        <v>Crone W</v>
      </c>
      <c r="CB12" s="54">
        <f t="shared" si="64"/>
        <v>0</v>
      </c>
      <c r="CC12" s="54" t="str">
        <f t="shared" si="65"/>
        <v>Crone W</v>
      </c>
    </row>
    <row r="13" spans="1:81" x14ac:dyDescent="0.15">
      <c r="B13" t="s">
        <v>297</v>
      </c>
      <c r="C13" t="s">
        <v>298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AJ13" s="54" t="str">
        <f t="shared" si="31"/>
        <v>Curling L</v>
      </c>
      <c r="AK13" s="54">
        <f t="shared" si="101"/>
        <v>0</v>
      </c>
      <c r="AL13" s="54">
        <f t="shared" si="102"/>
        <v>0</v>
      </c>
      <c r="AM13" s="54">
        <f t="shared" si="103"/>
        <v>0</v>
      </c>
      <c r="AN13" s="54">
        <f t="shared" si="104"/>
        <v>0</v>
      </c>
      <c r="AO13" s="54">
        <f t="shared" si="105"/>
        <v>0</v>
      </c>
      <c r="AP13" s="58">
        <f t="shared" si="106"/>
        <v>0</v>
      </c>
      <c r="AQ13" s="54">
        <f t="shared" si="107"/>
        <v>0</v>
      </c>
      <c r="AR13" s="56">
        <f t="shared" si="108"/>
        <v>0</v>
      </c>
      <c r="AS13" s="54">
        <f t="shared" si="109"/>
        <v>0</v>
      </c>
      <c r="AT13" s="57">
        <f t="array" ref="AT13">SUM(IF(ISERR(FIND("*",D13:AI13)),0,1))</f>
        <v>0</v>
      </c>
      <c r="AU13" s="57">
        <f t="array" ref="AU13">SUM(IF(ISERR(FIND("+",D13:AI13)),0,1))</f>
        <v>0</v>
      </c>
      <c r="AV13" s="54">
        <f t="shared" si="110"/>
        <v>0</v>
      </c>
      <c r="AW13" s="57">
        <f t="array" ref="AW13">SUM(IF(ISERR(FIND(AW$4,$D13:$AI13)),0,1))</f>
        <v>0</v>
      </c>
      <c r="AX13" s="57">
        <f t="array" ref="AX13">SUM(IF(ISERR(FIND(AX$4,$D13:$AI13)),0,1))</f>
        <v>0</v>
      </c>
      <c r="AY13" s="57">
        <f t="array" ref="AY13">SUM(IF(ISERR(FIND(AY$4,$D13:$AI13)),0,1))</f>
        <v>0</v>
      </c>
      <c r="AZ13" s="57">
        <f t="array" ref="AZ13">SUM(IF(ISERR(FIND(AZ$4,$D13:$AI13)),0,1))</f>
        <v>0</v>
      </c>
      <c r="BA13" s="57">
        <f t="array" ref="BA13">SUM(IF(ISERR(FIND(BA$4,$D13:$AI13)),0,1))</f>
        <v>0</v>
      </c>
      <c r="BB13" s="57">
        <f t="array" ref="BB13">SUM(IF(ISERR(FIND(BB$4,$D13:$AI13)),0,1))</f>
        <v>0</v>
      </c>
      <c r="BC13" s="57">
        <f t="array" ref="BC13">SUM(IF(ISERR(FIND(BC$4,$D13:$AI13)),0,1))</f>
        <v>0</v>
      </c>
      <c r="BD13" s="57">
        <f t="shared" si="111"/>
        <v>0</v>
      </c>
      <c r="BE13" s="57">
        <f t="shared" si="112"/>
        <v>0</v>
      </c>
      <c r="BF13" s="57">
        <f t="shared" si="113"/>
        <v>0</v>
      </c>
      <c r="BG13" s="57">
        <f t="shared" si="114"/>
        <v>0</v>
      </c>
      <c r="BH13" s="57">
        <f t="shared" si="115"/>
        <v>0</v>
      </c>
      <c r="BI13" s="57">
        <f t="shared" si="116"/>
        <v>0</v>
      </c>
      <c r="BJ13" s="57">
        <f t="shared" si="117"/>
        <v>0</v>
      </c>
      <c r="BK13" s="57">
        <f t="shared" si="118"/>
        <v>0</v>
      </c>
      <c r="BL13" s="54">
        <f t="shared" si="119"/>
        <v>1.2999999999999999E-4</v>
      </c>
      <c r="BM13" s="54">
        <f>RANK(BL13,$BL$5:$BL$70)</f>
        <v>61</v>
      </c>
      <c r="BN13" s="54">
        <v>3</v>
      </c>
      <c r="BO13" s="73" t="str">
        <f t="shared" si="120"/>
        <v/>
      </c>
      <c r="BP13" s="80" t="e">
        <f t="shared" si="121"/>
        <v>#DIV/0!</v>
      </c>
      <c r="BQ13" s="141">
        <f t="shared" si="122"/>
        <v>0</v>
      </c>
      <c r="BR13" s="54" t="str">
        <f t="shared" si="123"/>
        <v/>
      </c>
      <c r="BS13" s="54" t="str">
        <f t="shared" si="124"/>
        <v/>
      </c>
      <c r="BT13" s="57">
        <f t="shared" si="125"/>
        <v>0</v>
      </c>
      <c r="BU13" s="54" t="str">
        <f t="shared" si="126"/>
        <v/>
      </c>
      <c r="BV13" s="57">
        <f t="shared" si="127"/>
        <v>0</v>
      </c>
      <c r="BW13" s="54" t="str">
        <f t="shared" si="128"/>
        <v/>
      </c>
      <c r="BX13" s="57">
        <f t="shared" si="129"/>
        <v>0</v>
      </c>
      <c r="BY13" s="54" t="str">
        <f t="shared" si="130"/>
        <v/>
      </c>
      <c r="BZ13" s="54">
        <f t="shared" si="62"/>
        <v>0</v>
      </c>
      <c r="CA13" s="54" t="str">
        <f t="shared" si="63"/>
        <v>Curling L</v>
      </c>
      <c r="CB13" s="54">
        <f t="shared" si="64"/>
        <v>0</v>
      </c>
      <c r="CC13" s="54" t="str">
        <f t="shared" si="65"/>
        <v>Curling L</v>
      </c>
    </row>
    <row r="14" spans="1:81" x14ac:dyDescent="0.15">
      <c r="B14" t="s">
        <v>315</v>
      </c>
      <c r="C14" t="s">
        <v>316</v>
      </c>
      <c r="D14" t="s">
        <v>455</v>
      </c>
      <c r="E14" t="s">
        <v>490</v>
      </c>
      <c r="F14"/>
      <c r="G14" t="s">
        <v>506</v>
      </c>
      <c r="H14" t="s">
        <v>525</v>
      </c>
      <c r="I14"/>
      <c r="J14" t="s">
        <v>561</v>
      </c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AJ14" s="54" t="str">
        <f t="shared" si="31"/>
        <v>De S</v>
      </c>
      <c r="AK14" s="54">
        <f t="shared" si="101"/>
        <v>5</v>
      </c>
      <c r="AL14" s="54">
        <f t="shared" si="102"/>
        <v>1</v>
      </c>
      <c r="AM14" s="54">
        <f t="shared" si="103"/>
        <v>4</v>
      </c>
      <c r="AN14" s="54">
        <f t="shared" si="104"/>
        <v>0</v>
      </c>
      <c r="AO14" s="54">
        <f t="shared" si="105"/>
        <v>15</v>
      </c>
      <c r="AP14" s="58">
        <f t="shared" si="106"/>
        <v>15</v>
      </c>
      <c r="AQ14" s="54">
        <f t="shared" si="107"/>
        <v>36</v>
      </c>
      <c r="AR14" s="56">
        <f t="shared" si="108"/>
        <v>9</v>
      </c>
      <c r="AS14" s="54">
        <f t="shared" si="109"/>
        <v>5</v>
      </c>
      <c r="AT14" s="57">
        <f t="array" ref="AT14">SUM(IF(ISERR(FIND("*",D14:AI14)),0,1))</f>
        <v>0</v>
      </c>
      <c r="AU14" s="57">
        <f t="array" ref="AU14">SUM(IF(ISERR(FIND("+",D14:AI14)),0,1))</f>
        <v>0</v>
      </c>
      <c r="AV14" s="54">
        <f t="shared" si="110"/>
        <v>1</v>
      </c>
      <c r="AW14" s="57">
        <f t="array" ref="AW14">SUM(IF(ISERR(FIND(AW$4,$D14:$AI14)),0,1))</f>
        <v>1</v>
      </c>
      <c r="AX14" s="57">
        <f t="array" ref="AX14">SUM(IF(ISERR(FIND(AX$4,$D14:$AI14)),0,1))</f>
        <v>2</v>
      </c>
      <c r="AY14" s="57">
        <f t="array" ref="AY14">SUM(IF(ISERR(FIND(AY$4,$D14:$AI14)),0,1))</f>
        <v>0</v>
      </c>
      <c r="AZ14" s="57">
        <f t="array" ref="AZ14">SUM(IF(ISERR(FIND(AZ$4,$D14:$AI14)),0,1))</f>
        <v>0</v>
      </c>
      <c r="BA14" s="57">
        <f t="array" ref="BA14">SUM(IF(ISERR(FIND(BA$4,$D14:$AI14)),0,1))</f>
        <v>1</v>
      </c>
      <c r="BB14" s="57">
        <f t="array" ref="BB14">SUM(IF(ISERR(FIND(BB$4,$D14:$AI14)),0,1))</f>
        <v>0</v>
      </c>
      <c r="BC14" s="57">
        <f t="array" ref="BC14">SUM(IF(ISERR(FIND(BC$4,$D14:$AI14)),0,1))</f>
        <v>0</v>
      </c>
      <c r="BD14" s="57">
        <f t="shared" si="111"/>
        <v>0</v>
      </c>
      <c r="BE14" s="57">
        <f t="shared" si="112"/>
        <v>0</v>
      </c>
      <c r="BF14" s="57">
        <f t="shared" si="113"/>
        <v>1</v>
      </c>
      <c r="BG14" s="57">
        <f t="shared" si="114"/>
        <v>4</v>
      </c>
      <c r="BH14" s="57">
        <f t="shared" si="115"/>
        <v>0</v>
      </c>
      <c r="BI14" s="57">
        <f t="shared" si="116"/>
        <v>0</v>
      </c>
      <c r="BJ14" s="57">
        <f t="shared" si="117"/>
        <v>0</v>
      </c>
      <c r="BK14" s="57">
        <f t="shared" si="118"/>
        <v>0</v>
      </c>
      <c r="BL14" s="54">
        <f t="shared" si="119"/>
        <v>900405.36014</v>
      </c>
      <c r="BM14" s="54">
        <f>RANK(BL14,$BL$5:$BL$70)</f>
        <v>12</v>
      </c>
      <c r="BN14" s="54">
        <v>4</v>
      </c>
      <c r="BO14" s="73" t="str">
        <f t="shared" si="120"/>
        <v/>
      </c>
      <c r="BP14" s="80">
        <f t="shared" si="121"/>
        <v>0.25</v>
      </c>
      <c r="BQ14" s="141">
        <f t="shared" si="122"/>
        <v>1</v>
      </c>
      <c r="BR14" s="54" t="str">
        <f t="shared" si="123"/>
        <v>1</v>
      </c>
      <c r="BS14" s="54" t="str">
        <f t="shared" si="124"/>
        <v>De S</v>
      </c>
      <c r="BT14" s="57">
        <f t="shared" si="125"/>
        <v>0</v>
      </c>
      <c r="BU14" s="54" t="str">
        <f t="shared" si="126"/>
        <v/>
      </c>
      <c r="BV14" s="57">
        <f t="shared" si="127"/>
        <v>4</v>
      </c>
      <c r="BW14" s="54" t="str">
        <f t="shared" si="128"/>
        <v>De S</v>
      </c>
      <c r="BX14" s="57">
        <f t="shared" si="129"/>
        <v>0</v>
      </c>
      <c r="BY14" s="54" t="str">
        <f t="shared" si="130"/>
        <v/>
      </c>
      <c r="BZ14" s="54">
        <f t="shared" si="62"/>
        <v>5</v>
      </c>
      <c r="CA14" s="54" t="str">
        <f t="shared" si="63"/>
        <v>De S</v>
      </c>
      <c r="CB14" s="54">
        <f t="shared" si="64"/>
        <v>1</v>
      </c>
      <c r="CC14" s="54" t="str">
        <f t="shared" si="65"/>
        <v>De S</v>
      </c>
    </row>
    <row r="15" spans="1:81" x14ac:dyDescent="0.15">
      <c r="B15" t="s">
        <v>230</v>
      </c>
      <c r="C15" t="s">
        <v>272</v>
      </c>
      <c r="E15"/>
      <c r="G15" t="s">
        <v>307</v>
      </c>
      <c r="I15" s="54" t="s">
        <v>543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J15" s="54" t="str">
        <f t="shared" si="31"/>
        <v>Deol R</v>
      </c>
      <c r="AK15" s="54">
        <f t="shared" si="101"/>
        <v>2</v>
      </c>
      <c r="AL15" s="54">
        <f t="shared" si="102"/>
        <v>1</v>
      </c>
      <c r="AM15" s="54">
        <f t="shared" si="103"/>
        <v>1</v>
      </c>
      <c r="AN15" s="54">
        <f t="shared" si="104"/>
        <v>0</v>
      </c>
      <c r="AO15" s="54">
        <f t="shared" si="105"/>
        <v>3</v>
      </c>
      <c r="AP15" s="58">
        <f t="shared" si="106"/>
        <v>3</v>
      </c>
      <c r="AQ15" s="54">
        <f t="shared" si="107"/>
        <v>3</v>
      </c>
      <c r="AR15" s="56">
        <f t="shared" si="108"/>
        <v>3</v>
      </c>
      <c r="AS15" s="54">
        <f t="shared" si="109"/>
        <v>5</v>
      </c>
      <c r="AT15" s="57">
        <f t="array" ref="AT15">SUM(IF(ISERR(FIND("*",D15:AI15)),0,1))</f>
        <v>0</v>
      </c>
      <c r="AU15" s="57">
        <f t="array" ref="AU15">SUM(IF(ISERR(FIND("+",D15:AI15)),0,1))</f>
        <v>0</v>
      </c>
      <c r="AV15" s="54">
        <f t="shared" si="110"/>
        <v>0</v>
      </c>
      <c r="AW15" s="57">
        <f t="array" ref="AW15">SUM(IF(ISERR(FIND(AW$4,$D15:$AI15)),0,1))</f>
        <v>1</v>
      </c>
      <c r="AX15" s="57">
        <f t="array" ref="AX15">SUM(IF(ISERR(FIND(AX$4,$D15:$AI15)),0,1))</f>
        <v>0</v>
      </c>
      <c r="AY15" s="57">
        <f t="array" ref="AY15">SUM(IF(ISERR(FIND(AY$4,$D15:$AI15)),0,1))</f>
        <v>0</v>
      </c>
      <c r="AZ15" s="57">
        <f t="array" ref="AZ15">SUM(IF(ISERR(FIND(AZ$4,$D15:$AI15)),0,1))</f>
        <v>0</v>
      </c>
      <c r="BA15" s="57">
        <f t="array" ref="BA15">SUM(IF(ISERR(FIND(BA$4,$D15:$AI15)),0,1))</f>
        <v>0</v>
      </c>
      <c r="BB15" s="57">
        <f t="array" ref="BB15">SUM(IF(ISERR(FIND(BB$4,$D15:$AI15)),0,1))</f>
        <v>0</v>
      </c>
      <c r="BC15" s="57">
        <f t="array" ref="BC15">SUM(IF(ISERR(FIND(BC$4,$D15:$AI15)),0,1))</f>
        <v>0</v>
      </c>
      <c r="BD15" s="57">
        <f t="shared" si="111"/>
        <v>0</v>
      </c>
      <c r="BE15" s="57">
        <f t="shared" si="112"/>
        <v>0</v>
      </c>
      <c r="BF15" s="57">
        <f t="shared" si="113"/>
        <v>1</v>
      </c>
      <c r="BG15" s="57">
        <f t="shared" si="114"/>
        <v>0</v>
      </c>
      <c r="BH15" s="57">
        <f t="shared" si="115"/>
        <v>0</v>
      </c>
      <c r="BI15" s="57">
        <f t="shared" si="116"/>
        <v>0</v>
      </c>
      <c r="BJ15" s="57">
        <f t="shared" si="117"/>
        <v>0</v>
      </c>
      <c r="BK15" s="57">
        <f t="shared" si="118"/>
        <v>0</v>
      </c>
      <c r="BL15" s="54">
        <f t="shared" si="119"/>
        <v>300102.03015000001</v>
      </c>
      <c r="BM15" s="54">
        <f>RANK(BL15,$BL$5:$BL$70)</f>
        <v>19</v>
      </c>
      <c r="BN15" s="54">
        <v>5</v>
      </c>
      <c r="BO15" s="73" t="str">
        <f t="shared" si="120"/>
        <v/>
      </c>
      <c r="BP15" s="80">
        <f t="shared" si="121"/>
        <v>0</v>
      </c>
      <c r="BQ15" s="141">
        <f t="shared" si="122"/>
        <v>1</v>
      </c>
      <c r="BR15" s="54" t="str">
        <f t="shared" si="123"/>
        <v>1</v>
      </c>
      <c r="BS15" s="54" t="str">
        <f t="shared" si="124"/>
        <v>Deol R</v>
      </c>
      <c r="BT15" s="57">
        <f t="shared" si="125"/>
        <v>0</v>
      </c>
      <c r="BU15" s="54" t="str">
        <f t="shared" si="126"/>
        <v/>
      </c>
      <c r="BV15" s="57">
        <f t="shared" si="127"/>
        <v>0</v>
      </c>
      <c r="BW15" s="54" t="str">
        <f t="shared" si="128"/>
        <v/>
      </c>
      <c r="BX15" s="57">
        <f t="shared" si="129"/>
        <v>0</v>
      </c>
      <c r="BY15" s="54" t="str">
        <f t="shared" si="130"/>
        <v/>
      </c>
      <c r="BZ15" s="54">
        <f t="shared" si="62"/>
        <v>2</v>
      </c>
      <c r="CA15" s="54" t="str">
        <f t="shared" si="63"/>
        <v>Deol R</v>
      </c>
      <c r="CB15" s="54">
        <f t="shared" si="64"/>
        <v>0</v>
      </c>
      <c r="CC15" s="54" t="str">
        <f t="shared" si="65"/>
        <v>Deol R</v>
      </c>
    </row>
    <row r="16" spans="1:81" x14ac:dyDescent="0.15">
      <c r="B16" t="s">
        <v>313</v>
      </c>
      <c r="C16" t="s">
        <v>312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J16" s="54" t="str">
        <f t="shared" si="31"/>
        <v>Fleming N</v>
      </c>
      <c r="AK16" s="54">
        <f t="shared" si="101"/>
        <v>0</v>
      </c>
      <c r="AL16" s="54">
        <f t="shared" si="102"/>
        <v>0</v>
      </c>
      <c r="AM16" s="54">
        <f t="shared" si="103"/>
        <v>0</v>
      </c>
      <c r="AN16" s="54">
        <f t="shared" si="104"/>
        <v>0</v>
      </c>
      <c r="AO16" s="54">
        <f t="shared" si="105"/>
        <v>0</v>
      </c>
      <c r="AP16" s="58">
        <f t="shared" si="106"/>
        <v>0</v>
      </c>
      <c r="AQ16" s="54">
        <f t="shared" si="107"/>
        <v>0</v>
      </c>
      <c r="AR16" s="56">
        <f t="shared" si="108"/>
        <v>0</v>
      </c>
      <c r="AS16" s="54">
        <f t="shared" si="109"/>
        <v>0</v>
      </c>
      <c r="AT16" s="57">
        <f t="array" ref="AT16">SUM(IF(ISERR(FIND("*",D16:AI16)),0,1))</f>
        <v>0</v>
      </c>
      <c r="AU16" s="57">
        <f t="array" ref="AU16">SUM(IF(ISERR(FIND("+",D16:AI16)),0,1))</f>
        <v>0</v>
      </c>
      <c r="AV16" s="54">
        <f t="shared" si="110"/>
        <v>0</v>
      </c>
      <c r="AW16" s="57">
        <f t="array" ref="AW16">SUM(IF(ISERR(FIND(AW$4,$D16:$AI16)),0,1))</f>
        <v>0</v>
      </c>
      <c r="AX16" s="57">
        <f t="array" ref="AX16">SUM(IF(ISERR(FIND(AX$4,$D16:$AI16)),0,1))</f>
        <v>0</v>
      </c>
      <c r="AY16" s="57">
        <f t="array" ref="AY16">SUM(IF(ISERR(FIND(AY$4,$D16:$AI16)),0,1))</f>
        <v>0</v>
      </c>
      <c r="AZ16" s="57">
        <f t="array" ref="AZ16">SUM(IF(ISERR(FIND(AZ$4,$D16:$AI16)),0,1))</f>
        <v>0</v>
      </c>
      <c r="BA16" s="57">
        <f t="array" ref="BA16">SUM(IF(ISERR(FIND(BA$4,$D16:$AI16)),0,1))</f>
        <v>0</v>
      </c>
      <c r="BB16" s="57">
        <f t="array" ref="BB16">SUM(IF(ISERR(FIND(BB$4,$D16:$AI16)),0,1))</f>
        <v>0</v>
      </c>
      <c r="BC16" s="57">
        <f t="array" ref="BC16">SUM(IF(ISERR(FIND(BC$4,$D16:$AI16)),0,1))</f>
        <v>0</v>
      </c>
      <c r="BD16" s="57">
        <f t="shared" si="111"/>
        <v>0</v>
      </c>
      <c r="BE16" s="57">
        <f t="shared" si="112"/>
        <v>0</v>
      </c>
      <c r="BF16" s="57">
        <f t="shared" si="113"/>
        <v>0</v>
      </c>
      <c r="BG16" s="57">
        <f t="shared" si="114"/>
        <v>0</v>
      </c>
      <c r="BH16" s="57">
        <f t="shared" si="115"/>
        <v>0</v>
      </c>
      <c r="BI16" s="57">
        <f t="shared" si="116"/>
        <v>0</v>
      </c>
      <c r="BJ16" s="57">
        <f t="shared" si="117"/>
        <v>0</v>
      </c>
      <c r="BK16" s="57">
        <f t="shared" si="118"/>
        <v>0</v>
      </c>
      <c r="BL16" s="54">
        <f t="shared" si="119"/>
        <v>1.6000000000000001E-4</v>
      </c>
      <c r="BM16" s="54">
        <f>RANK(BL16,$BL$5:$BL$70)</f>
        <v>60</v>
      </c>
      <c r="BN16" s="54">
        <v>6</v>
      </c>
      <c r="BO16" s="73" t="str">
        <f t="shared" si="120"/>
        <v/>
      </c>
      <c r="BP16" s="80" t="e">
        <f t="shared" si="121"/>
        <v>#DIV/0!</v>
      </c>
      <c r="BQ16" s="141">
        <f t="shared" si="122"/>
        <v>0</v>
      </c>
      <c r="BR16" s="54" t="str">
        <f t="shared" si="123"/>
        <v/>
      </c>
      <c r="BS16" s="54" t="str">
        <f t="shared" si="124"/>
        <v/>
      </c>
      <c r="BT16" s="57">
        <f t="shared" si="125"/>
        <v>0</v>
      </c>
      <c r="BU16" s="54" t="str">
        <f t="shared" si="126"/>
        <v/>
      </c>
      <c r="BV16" s="57">
        <f t="shared" si="127"/>
        <v>0</v>
      </c>
      <c r="BW16" s="54" t="str">
        <f t="shared" si="128"/>
        <v/>
      </c>
      <c r="BX16" s="57">
        <f t="shared" si="129"/>
        <v>0</v>
      </c>
      <c r="BY16" s="54" t="str">
        <f t="shared" si="130"/>
        <v/>
      </c>
      <c r="BZ16" s="54">
        <f t="shared" si="62"/>
        <v>0</v>
      </c>
      <c r="CA16" s="54" t="str">
        <f t="shared" si="63"/>
        <v>Fleming N</v>
      </c>
      <c r="CB16" s="54">
        <f t="shared" si="64"/>
        <v>0</v>
      </c>
      <c r="CC16" s="54" t="str">
        <f t="shared" si="65"/>
        <v>Fleming N</v>
      </c>
    </row>
    <row r="17" spans="2:81" x14ac:dyDescent="0.15">
      <c r="B17" t="s">
        <v>325</v>
      </c>
      <c r="C17" t="s">
        <v>324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J17" s="54" t="str">
        <f t="shared" si="31"/>
        <v>Ffrench R</v>
      </c>
      <c r="AK17" s="54">
        <f t="shared" si="101"/>
        <v>0</v>
      </c>
      <c r="AL17" s="54">
        <f t="shared" si="102"/>
        <v>0</v>
      </c>
      <c r="AM17" s="54">
        <f t="shared" si="103"/>
        <v>0</v>
      </c>
      <c r="AN17" s="54">
        <f t="shared" si="104"/>
        <v>0</v>
      </c>
      <c r="AO17" s="54">
        <f t="shared" si="105"/>
        <v>0</v>
      </c>
      <c r="AP17" s="58">
        <f t="shared" si="106"/>
        <v>0</v>
      </c>
      <c r="AQ17" s="54">
        <f t="shared" si="107"/>
        <v>0</v>
      </c>
      <c r="AR17" s="56">
        <f t="shared" si="108"/>
        <v>0</v>
      </c>
      <c r="AS17" s="54">
        <f t="shared" si="109"/>
        <v>0</v>
      </c>
      <c r="AT17" s="57">
        <f t="array" ref="AT17">SUM(IF(ISERR(FIND("*",D17:AI17)),0,1))</f>
        <v>0</v>
      </c>
      <c r="AU17" s="57">
        <f t="array" ref="AU17">SUM(IF(ISERR(FIND("+",D17:AI17)),0,1))</f>
        <v>0</v>
      </c>
      <c r="AV17" s="54">
        <f t="shared" si="110"/>
        <v>0</v>
      </c>
      <c r="AW17" s="57">
        <f t="array" ref="AW17">SUM(IF(ISERR(FIND(AW$4,$D17:$AI17)),0,1))</f>
        <v>0</v>
      </c>
      <c r="AX17" s="57">
        <f t="array" ref="AX17">SUM(IF(ISERR(FIND(AX$4,$D17:$AI17)),0,1))</f>
        <v>0</v>
      </c>
      <c r="AY17" s="57">
        <f t="array" ref="AY17">SUM(IF(ISERR(FIND(AY$4,$D17:$AI17)),0,1))</f>
        <v>0</v>
      </c>
      <c r="AZ17" s="57">
        <f t="array" ref="AZ17">SUM(IF(ISERR(FIND(AZ$4,$D17:$AI17)),0,1))</f>
        <v>0</v>
      </c>
      <c r="BA17" s="57">
        <f t="array" ref="BA17">SUM(IF(ISERR(FIND(BA$4,$D17:$AI17)),0,1))</f>
        <v>0</v>
      </c>
      <c r="BB17" s="57">
        <f t="array" ref="BB17">SUM(IF(ISERR(FIND(BB$4,$D17:$AI17)),0,1))</f>
        <v>0</v>
      </c>
      <c r="BC17" s="57">
        <f t="array" ref="BC17">SUM(IF(ISERR(FIND(BC$4,$D17:$AI17)),0,1))</f>
        <v>0</v>
      </c>
      <c r="BD17" s="57">
        <f t="shared" si="111"/>
        <v>0</v>
      </c>
      <c r="BE17" s="57">
        <f t="shared" si="112"/>
        <v>0</v>
      </c>
      <c r="BF17" s="57">
        <f t="shared" si="113"/>
        <v>0</v>
      </c>
      <c r="BG17" s="57">
        <f t="shared" si="114"/>
        <v>0</v>
      </c>
      <c r="BH17" s="57">
        <f t="shared" si="115"/>
        <v>0</v>
      </c>
      <c r="BI17" s="57">
        <f t="shared" si="116"/>
        <v>0</v>
      </c>
      <c r="BJ17" s="57">
        <f t="shared" si="117"/>
        <v>0</v>
      </c>
      <c r="BK17" s="57">
        <f t="shared" si="118"/>
        <v>0</v>
      </c>
      <c r="BL17" s="54">
        <f t="shared" si="119"/>
        <v>1.7000000000000001E-4</v>
      </c>
      <c r="BM17" s="54">
        <f>RANK(BL17,$BL$5:$BL$70)</f>
        <v>59</v>
      </c>
      <c r="BN17" s="54">
        <v>7</v>
      </c>
      <c r="BO17" s="73" t="str">
        <f t="shared" si="120"/>
        <v/>
      </c>
      <c r="BP17" s="80" t="e">
        <f t="shared" si="121"/>
        <v>#DIV/0!</v>
      </c>
      <c r="BQ17" s="141">
        <f t="shared" si="122"/>
        <v>0</v>
      </c>
      <c r="BR17" s="54" t="str">
        <f t="shared" si="123"/>
        <v/>
      </c>
      <c r="BS17" s="54" t="str">
        <f t="shared" si="124"/>
        <v/>
      </c>
      <c r="BT17" s="57">
        <f t="shared" si="125"/>
        <v>0</v>
      </c>
      <c r="BU17" s="54" t="str">
        <f t="shared" si="126"/>
        <v/>
      </c>
      <c r="BV17" s="57">
        <f t="shared" si="127"/>
        <v>0</v>
      </c>
      <c r="BW17" s="54" t="str">
        <f t="shared" si="128"/>
        <v/>
      </c>
      <c r="BX17" s="57">
        <f t="shared" si="129"/>
        <v>0</v>
      </c>
      <c r="BY17" s="54" t="str">
        <f t="shared" si="130"/>
        <v/>
      </c>
      <c r="BZ17" s="54">
        <f t="shared" si="62"/>
        <v>0</v>
      </c>
      <c r="CA17" s="54" t="str">
        <f t="shared" si="63"/>
        <v>Ffrench R</v>
      </c>
      <c r="CB17" s="54">
        <f t="shared" si="64"/>
        <v>0</v>
      </c>
      <c r="CC17" s="54" t="str">
        <f t="shared" si="65"/>
        <v>Ffrench R</v>
      </c>
    </row>
    <row r="18" spans="2:81" x14ac:dyDescent="0.15">
      <c r="B18" t="s">
        <v>393</v>
      </c>
      <c r="C18" t="s">
        <v>392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J18" t="str">
        <f t="shared" si="31"/>
        <v>Gardezi S</v>
      </c>
      <c r="AK18" s="54">
        <f t="shared" si="101"/>
        <v>0</v>
      </c>
      <c r="AL18" s="54">
        <f t="shared" si="102"/>
        <v>0</v>
      </c>
      <c r="AM18" s="54">
        <f t="shared" si="103"/>
        <v>0</v>
      </c>
      <c r="AN18" s="54">
        <f t="shared" si="104"/>
        <v>0</v>
      </c>
      <c r="AO18" s="54">
        <f t="shared" si="105"/>
        <v>0</v>
      </c>
      <c r="AP18" s="58">
        <f t="shared" si="106"/>
        <v>0</v>
      </c>
      <c r="AQ18" s="54">
        <f t="shared" si="107"/>
        <v>0</v>
      </c>
      <c r="AR18" s="56">
        <f t="shared" si="108"/>
        <v>0</v>
      </c>
      <c r="AS18" s="54">
        <f t="shared" si="109"/>
        <v>0</v>
      </c>
      <c r="AT18" s="57">
        <f t="array" ref="AT18">SUM(IF(ISERR(FIND("*",D18:AI18)),0,1))</f>
        <v>0</v>
      </c>
      <c r="AU18" s="57">
        <f t="array" ref="AU18">SUM(IF(ISERR(FIND("+",D18:AI18)),0,1))</f>
        <v>0</v>
      </c>
      <c r="AV18" s="54">
        <f t="shared" si="110"/>
        <v>0</v>
      </c>
      <c r="AW18" s="57">
        <f t="array" ref="AW18">SUM(IF(ISERR(FIND(AW$4,$D18:$AI18)),0,1))</f>
        <v>0</v>
      </c>
      <c r="AX18" s="57">
        <f t="array" ref="AX18">SUM(IF(ISERR(FIND(AX$4,$D18:$AI18)),0,1))</f>
        <v>0</v>
      </c>
      <c r="AY18" s="57">
        <f t="array" ref="AY18">SUM(IF(ISERR(FIND(AY$4,$D18:$AI18)),0,1))</f>
        <v>0</v>
      </c>
      <c r="AZ18" s="57">
        <f t="array" ref="AZ18">SUM(IF(ISERR(FIND(AZ$4,$D18:$AI18)),0,1))</f>
        <v>0</v>
      </c>
      <c r="BA18" s="57">
        <f t="array" ref="BA18">SUM(IF(ISERR(FIND(BA$4,$D18:$AI18)),0,1))</f>
        <v>0</v>
      </c>
      <c r="BB18" s="57">
        <f t="array" ref="BB18">SUM(IF(ISERR(FIND(BB$4,$D18:$AI18)),0,1))</f>
        <v>0</v>
      </c>
      <c r="BC18" s="57">
        <f t="array" ref="BC18">SUM(IF(ISERR(FIND(BC$4,$D18:$AI18)),0,1))</f>
        <v>0</v>
      </c>
      <c r="BD18" s="57">
        <f t="shared" si="111"/>
        <v>0</v>
      </c>
      <c r="BE18" s="57">
        <f t="shared" si="112"/>
        <v>0</v>
      </c>
      <c r="BF18" s="57">
        <f t="shared" si="113"/>
        <v>0</v>
      </c>
      <c r="BG18" s="57">
        <f t="shared" si="114"/>
        <v>0</v>
      </c>
      <c r="BH18" s="57">
        <f t="shared" si="115"/>
        <v>0</v>
      </c>
      <c r="BI18" s="57">
        <f t="shared" si="116"/>
        <v>0</v>
      </c>
      <c r="BJ18" s="57">
        <f t="shared" si="117"/>
        <v>0</v>
      </c>
      <c r="BK18" s="57">
        <f t="shared" si="118"/>
        <v>0</v>
      </c>
      <c r="BL18" s="54">
        <f t="shared" si="119"/>
        <v>1.8000000000000001E-4</v>
      </c>
      <c r="BM18" s="54">
        <f>RANK(BL18,$BL$5:$BL$70)</f>
        <v>58</v>
      </c>
      <c r="BN18" s="54">
        <v>8</v>
      </c>
      <c r="BO18" s="73" t="str">
        <f t="shared" si="120"/>
        <v/>
      </c>
      <c r="BP18" s="80" t="e">
        <f t="shared" si="121"/>
        <v>#DIV/0!</v>
      </c>
      <c r="BQ18" s="141">
        <f t="shared" si="122"/>
        <v>0</v>
      </c>
      <c r="BR18" s="54" t="str">
        <f t="shared" si="123"/>
        <v/>
      </c>
      <c r="BS18" s="54" t="str">
        <f t="shared" si="124"/>
        <v/>
      </c>
      <c r="BT18" s="57">
        <f t="shared" si="125"/>
        <v>0</v>
      </c>
      <c r="BU18" s="54" t="str">
        <f t="shared" si="126"/>
        <v/>
      </c>
      <c r="BV18" s="57">
        <f t="shared" si="127"/>
        <v>0</v>
      </c>
      <c r="BW18" s="54" t="str">
        <f t="shared" si="128"/>
        <v/>
      </c>
      <c r="BX18" s="57">
        <f t="shared" si="129"/>
        <v>0</v>
      </c>
      <c r="BY18" s="54" t="str">
        <f t="shared" si="130"/>
        <v/>
      </c>
      <c r="BZ18" s="54">
        <f t="shared" si="62"/>
        <v>0</v>
      </c>
      <c r="CA18" s="54" t="str">
        <f t="shared" si="63"/>
        <v>Gardezi S</v>
      </c>
      <c r="CB18" s="54">
        <f t="shared" si="64"/>
        <v>0</v>
      </c>
      <c r="CC18" s="54" t="str">
        <f t="shared" si="65"/>
        <v>Gardezi S</v>
      </c>
    </row>
    <row r="19" spans="2:81" x14ac:dyDescent="0.15">
      <c r="B19" t="s">
        <v>299</v>
      </c>
      <c r="C19" t="s">
        <v>300</v>
      </c>
      <c r="D19"/>
      <c r="E19" t="s">
        <v>484</v>
      </c>
      <c r="F19" t="s">
        <v>501</v>
      </c>
      <c r="G19"/>
      <c r="H19"/>
      <c r="I19"/>
      <c r="J19"/>
      <c r="K19"/>
      <c r="L19"/>
      <c r="M19"/>
      <c r="N19"/>
      <c r="O19"/>
      <c r="P19"/>
      <c r="Q19"/>
      <c r="S19"/>
      <c r="T19"/>
      <c r="U19"/>
      <c r="V19"/>
      <c r="W19"/>
      <c r="X19"/>
      <c r="Y19"/>
      <c r="Z19"/>
      <c r="AJ19" s="54" t="str">
        <f t="shared" si="31"/>
        <v>Hemasinghe M</v>
      </c>
      <c r="AK19" s="54">
        <f t="shared" si="101"/>
        <v>2</v>
      </c>
      <c r="AL19" s="54">
        <f t="shared" si="102"/>
        <v>0</v>
      </c>
      <c r="AM19" s="54">
        <f t="shared" si="103"/>
        <v>2</v>
      </c>
      <c r="AN19" s="54">
        <f t="shared" si="104"/>
        <v>0</v>
      </c>
      <c r="AO19" s="54">
        <f t="shared" si="105"/>
        <v>17</v>
      </c>
      <c r="AP19" s="58">
        <f t="shared" si="106"/>
        <v>17</v>
      </c>
      <c r="AQ19" s="54">
        <f t="shared" si="107"/>
        <v>21</v>
      </c>
      <c r="AR19" s="56">
        <f t="shared" si="108"/>
        <v>10.5</v>
      </c>
      <c r="AS19" s="54">
        <f t="shared" si="109"/>
        <v>0</v>
      </c>
      <c r="AT19" s="57">
        <f t="array" ref="AT19">SUM(IF(ISERR(FIND("*",D19:AI19)),0,1))</f>
        <v>0</v>
      </c>
      <c r="AU19" s="57">
        <f t="array" ref="AU19">SUM(IF(ISERR(FIND("+",D19:AI19)),0,1))</f>
        <v>0</v>
      </c>
      <c r="AV19" s="54">
        <f t="shared" si="110"/>
        <v>0</v>
      </c>
      <c r="AW19" s="57">
        <f t="array" ref="AW19">SUM(IF(ISERR(FIND(AW$4,$D19:$AI19)),0,1))</f>
        <v>0</v>
      </c>
      <c r="AX19" s="57">
        <f t="array" ref="AX19">SUM(IF(ISERR(FIND(AX$4,$D19:$AI19)),0,1))</f>
        <v>2</v>
      </c>
      <c r="AY19" s="57">
        <f t="array" ref="AY19">SUM(IF(ISERR(FIND(AY$4,$D19:$AI19)),0,1))</f>
        <v>0</v>
      </c>
      <c r="AZ19" s="57">
        <f t="array" ref="AZ19">SUM(IF(ISERR(FIND(AZ$4,$D19:$AI19)),0,1))</f>
        <v>0</v>
      </c>
      <c r="BA19" s="57">
        <f t="array" ref="BA19">SUM(IF(ISERR(FIND(BA$4,$D19:$AI19)),0,1))</f>
        <v>0</v>
      </c>
      <c r="BB19" s="57">
        <f t="array" ref="BB19">SUM(IF(ISERR(FIND(BB$4,$D19:$AI19)),0,1))</f>
        <v>0</v>
      </c>
      <c r="BC19" s="57">
        <f t="array" ref="BC19">SUM(IF(ISERR(FIND(BC$4,$D19:$AI19)),0,1))</f>
        <v>0</v>
      </c>
      <c r="BD19" s="57">
        <f t="shared" si="111"/>
        <v>0</v>
      </c>
      <c r="BE19" s="57">
        <f t="shared" si="112"/>
        <v>0</v>
      </c>
      <c r="BF19" s="57">
        <f t="shared" si="113"/>
        <v>0</v>
      </c>
      <c r="BG19" s="57">
        <f t="shared" si="114"/>
        <v>2</v>
      </c>
      <c r="BH19" s="57">
        <f t="shared" si="115"/>
        <v>0</v>
      </c>
      <c r="BI19" s="57">
        <f t="shared" si="116"/>
        <v>0</v>
      </c>
      <c r="BJ19" s="57">
        <f t="shared" si="117"/>
        <v>0</v>
      </c>
      <c r="BK19" s="57">
        <f t="shared" si="118"/>
        <v>0</v>
      </c>
      <c r="BL19" s="54">
        <f t="shared" si="119"/>
        <v>1050202.21019</v>
      </c>
      <c r="BM19" s="54">
        <f>RANK(BL19,$BL$5:$BL$70)</f>
        <v>10</v>
      </c>
      <c r="BN19" s="54">
        <v>9</v>
      </c>
      <c r="BO19" s="73" t="str">
        <f t="shared" si="120"/>
        <v/>
      </c>
      <c r="BP19" s="80">
        <f t="shared" si="121"/>
        <v>0</v>
      </c>
      <c r="BQ19" s="141">
        <f t="shared" si="122"/>
        <v>0</v>
      </c>
      <c r="BR19" s="54" t="str">
        <f t="shared" si="123"/>
        <v/>
      </c>
      <c r="BS19" s="54" t="str">
        <f t="shared" si="124"/>
        <v/>
      </c>
      <c r="BT19" s="57">
        <f t="shared" si="125"/>
        <v>0</v>
      </c>
      <c r="BU19" s="54" t="str">
        <f t="shared" si="126"/>
        <v/>
      </c>
      <c r="BV19" s="57">
        <f t="shared" si="127"/>
        <v>2</v>
      </c>
      <c r="BW19" s="54" t="str">
        <f t="shared" si="128"/>
        <v>Hemasinghe M</v>
      </c>
      <c r="BX19" s="57">
        <f t="shared" si="129"/>
        <v>0</v>
      </c>
      <c r="BY19" s="54" t="str">
        <f t="shared" si="130"/>
        <v/>
      </c>
      <c r="BZ19" s="54">
        <f t="shared" si="62"/>
        <v>2</v>
      </c>
      <c r="CA19" s="54" t="str">
        <f t="shared" si="63"/>
        <v>Hemasinghe M</v>
      </c>
      <c r="CB19" s="54">
        <f t="shared" si="64"/>
        <v>0</v>
      </c>
      <c r="CC19" s="54" t="str">
        <f t="shared" si="65"/>
        <v>Hemasinghe M</v>
      </c>
    </row>
    <row r="20" spans="2:81" x14ac:dyDescent="0.15">
      <c r="B20" t="s">
        <v>347</v>
      </c>
      <c r="C20" t="s">
        <v>346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S20"/>
      <c r="T20"/>
      <c r="U20"/>
      <c r="V20"/>
      <c r="W20"/>
      <c r="X20"/>
      <c r="Y20"/>
      <c r="Z20"/>
      <c r="AJ20" s="54" t="str">
        <f t="shared" si="31"/>
        <v>Jain A</v>
      </c>
      <c r="AK20" s="54">
        <f t="shared" si="101"/>
        <v>0</v>
      </c>
      <c r="AL20" s="54">
        <f t="shared" si="102"/>
        <v>0</v>
      </c>
      <c r="AM20" s="54">
        <f t="shared" si="103"/>
        <v>0</v>
      </c>
      <c r="AN20" s="54">
        <f t="shared" si="104"/>
        <v>0</v>
      </c>
      <c r="AO20" s="54">
        <f t="shared" si="105"/>
        <v>0</v>
      </c>
      <c r="AP20" s="58">
        <f t="shared" si="106"/>
        <v>0</v>
      </c>
      <c r="AQ20" s="54">
        <f t="shared" si="107"/>
        <v>0</v>
      </c>
      <c r="AR20" s="56">
        <f t="shared" si="108"/>
        <v>0</v>
      </c>
      <c r="AS20" s="54">
        <f t="shared" si="109"/>
        <v>0</v>
      </c>
      <c r="AT20" s="57">
        <f t="array" ref="AT20">SUM(IF(ISERR(FIND("*",D20:AI20)),0,1))</f>
        <v>0</v>
      </c>
      <c r="AU20" s="57">
        <f t="array" ref="AU20">SUM(IF(ISERR(FIND("+",D20:AI20)),0,1))</f>
        <v>0</v>
      </c>
      <c r="AV20" s="54">
        <f t="shared" si="110"/>
        <v>0</v>
      </c>
      <c r="AW20" s="57">
        <f t="array" ref="AW20">SUM(IF(ISERR(FIND(AW$4,$D20:$AI20)),0,1))</f>
        <v>0</v>
      </c>
      <c r="AX20" s="57">
        <f t="array" ref="AX20">SUM(IF(ISERR(FIND(AX$4,$D20:$AI20)),0,1))</f>
        <v>0</v>
      </c>
      <c r="AY20" s="57">
        <f t="array" ref="AY20">SUM(IF(ISERR(FIND(AY$4,$D20:$AI20)),0,1))</f>
        <v>0</v>
      </c>
      <c r="AZ20" s="57">
        <f t="array" ref="AZ20">SUM(IF(ISERR(FIND(AZ$4,$D20:$AI20)),0,1))</f>
        <v>0</v>
      </c>
      <c r="BA20" s="57">
        <f t="array" ref="BA20">SUM(IF(ISERR(FIND(BA$4,$D20:$AI20)),0,1))</f>
        <v>0</v>
      </c>
      <c r="BB20" s="57">
        <f t="array" ref="BB20">SUM(IF(ISERR(FIND(BB$4,$D20:$AI20)),0,1))</f>
        <v>0</v>
      </c>
      <c r="BC20" s="57">
        <f t="array" ref="BC20">SUM(IF(ISERR(FIND(BC$4,$D20:$AI20)),0,1))</f>
        <v>0</v>
      </c>
      <c r="BD20" s="57">
        <f t="shared" si="111"/>
        <v>0</v>
      </c>
      <c r="BE20" s="57">
        <f t="shared" si="112"/>
        <v>0</v>
      </c>
      <c r="BF20" s="57">
        <f t="shared" si="113"/>
        <v>0</v>
      </c>
      <c r="BG20" s="57">
        <f t="shared" si="114"/>
        <v>0</v>
      </c>
      <c r="BH20" s="57">
        <f t="shared" si="115"/>
        <v>0</v>
      </c>
      <c r="BI20" s="57">
        <f t="shared" si="116"/>
        <v>0</v>
      </c>
      <c r="BJ20" s="57">
        <f t="shared" si="117"/>
        <v>0</v>
      </c>
      <c r="BK20" s="57">
        <f t="shared" si="118"/>
        <v>0</v>
      </c>
      <c r="BL20" s="54">
        <f t="shared" si="119"/>
        <v>2.0000000000000001E-4</v>
      </c>
      <c r="BM20" s="54">
        <f>RANK(BL20,$BL$5:$BL$70)</f>
        <v>57</v>
      </c>
      <c r="BN20" s="54">
        <v>10</v>
      </c>
      <c r="BO20" s="73" t="str">
        <f t="shared" si="120"/>
        <v/>
      </c>
      <c r="BP20" s="80" t="e">
        <f t="shared" si="121"/>
        <v>#DIV/0!</v>
      </c>
      <c r="BQ20" s="141">
        <f t="shared" si="122"/>
        <v>0</v>
      </c>
      <c r="BR20" s="54" t="str">
        <f t="shared" si="123"/>
        <v/>
      </c>
      <c r="BS20" s="54" t="str">
        <f t="shared" si="124"/>
        <v/>
      </c>
      <c r="BT20" s="57">
        <f t="shared" si="125"/>
        <v>0</v>
      </c>
      <c r="BU20" s="54" t="str">
        <f t="shared" si="126"/>
        <v/>
      </c>
      <c r="BV20" s="57">
        <f t="shared" si="127"/>
        <v>0</v>
      </c>
      <c r="BW20" s="54" t="str">
        <f t="shared" si="128"/>
        <v/>
      </c>
      <c r="BX20" s="57">
        <f t="shared" si="129"/>
        <v>0</v>
      </c>
      <c r="BY20" s="54" t="str">
        <f t="shared" si="130"/>
        <v/>
      </c>
      <c r="BZ20" s="54">
        <f t="shared" si="62"/>
        <v>0</v>
      </c>
      <c r="CA20" s="54" t="str">
        <f t="shared" si="63"/>
        <v>Jain A</v>
      </c>
      <c r="CB20" s="54">
        <f t="shared" si="64"/>
        <v>0</v>
      </c>
      <c r="CC20" s="54" t="str">
        <f t="shared" si="65"/>
        <v>Jain A</v>
      </c>
    </row>
    <row r="21" spans="2:81" x14ac:dyDescent="0.15">
      <c r="B21" t="s">
        <v>249</v>
      </c>
      <c r="C21" t="s">
        <v>250</v>
      </c>
      <c r="D21"/>
      <c r="E21"/>
      <c r="F21"/>
      <c r="G21" t="s">
        <v>308</v>
      </c>
      <c r="H21" t="s">
        <v>526</v>
      </c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J21" s="54" t="str">
        <f t="shared" si="31"/>
        <v>Jenkins D</v>
      </c>
      <c r="AK21" s="54">
        <f t="shared" si="101"/>
        <v>2</v>
      </c>
      <c r="AL21" s="54">
        <f t="shared" si="102"/>
        <v>1</v>
      </c>
      <c r="AM21" s="54">
        <f t="shared" si="103"/>
        <v>1</v>
      </c>
      <c r="AN21" s="54">
        <f t="shared" si="104"/>
        <v>0</v>
      </c>
      <c r="AO21" s="54">
        <f t="shared" si="105"/>
        <v>6</v>
      </c>
      <c r="AP21" s="58">
        <f t="shared" si="106"/>
        <v>6</v>
      </c>
      <c r="AQ21" s="54">
        <f t="shared" si="107"/>
        <v>6</v>
      </c>
      <c r="AR21" s="56">
        <f t="shared" si="108"/>
        <v>6</v>
      </c>
      <c r="AS21" s="54">
        <f t="shared" si="109"/>
        <v>0</v>
      </c>
      <c r="AT21" s="57">
        <f t="array" ref="AT21">SUM(IF(ISERR(FIND("*",D21:AI21)),0,1))</f>
        <v>0</v>
      </c>
      <c r="AU21" s="57">
        <f t="array" ref="AU21">SUM(IF(ISERR(FIND("+",D21:AI21)),0,1))</f>
        <v>0</v>
      </c>
      <c r="AV21" s="54">
        <f t="shared" si="110"/>
        <v>0</v>
      </c>
      <c r="AW21" s="57">
        <f t="array" ref="AW21">SUM(IF(ISERR(FIND(AW$4,$D21:$AI21)),0,1))</f>
        <v>1</v>
      </c>
      <c r="AX21" s="57">
        <f t="array" ref="AX21">SUM(IF(ISERR(FIND(AX$4,$D21:$AI21)),0,1))</f>
        <v>0</v>
      </c>
      <c r="AY21" s="57">
        <f t="array" ref="AY21">SUM(IF(ISERR(FIND(AY$4,$D21:$AI21)),0,1))</f>
        <v>0</v>
      </c>
      <c r="AZ21" s="57">
        <f t="array" ref="AZ21">SUM(IF(ISERR(FIND(AZ$4,$D21:$AI21)),0,1))</f>
        <v>0</v>
      </c>
      <c r="BA21" s="57">
        <f t="array" ref="BA21">SUM(IF(ISERR(FIND(BA$4,$D21:$AI21)),0,1))</f>
        <v>0</v>
      </c>
      <c r="BB21" s="57">
        <f t="array" ref="BB21">SUM(IF(ISERR(FIND(BB$4,$D21:$AI21)),0,1))</f>
        <v>0</v>
      </c>
      <c r="BC21" s="57">
        <f t="array" ref="BC21">SUM(IF(ISERR(FIND(BC$4,$D21:$AI21)),0,1))</f>
        <v>0</v>
      </c>
      <c r="BD21" s="57">
        <f t="shared" si="111"/>
        <v>0</v>
      </c>
      <c r="BE21" s="57">
        <f t="shared" si="112"/>
        <v>0</v>
      </c>
      <c r="BF21" s="57">
        <f t="shared" si="113"/>
        <v>0</v>
      </c>
      <c r="BG21" s="57">
        <f t="shared" si="114"/>
        <v>1</v>
      </c>
      <c r="BH21" s="57">
        <f t="shared" si="115"/>
        <v>0</v>
      </c>
      <c r="BI21" s="57">
        <f t="shared" si="116"/>
        <v>0</v>
      </c>
      <c r="BJ21" s="57">
        <f t="shared" si="117"/>
        <v>0</v>
      </c>
      <c r="BK21" s="57">
        <f t="shared" si="118"/>
        <v>0</v>
      </c>
      <c r="BL21" s="54">
        <f t="shared" si="119"/>
        <v>600102.06021000003</v>
      </c>
      <c r="BM21" s="54">
        <f>RANK(BL21,$BL$5:$BL$70)</f>
        <v>17</v>
      </c>
      <c r="BN21" s="54">
        <v>11</v>
      </c>
      <c r="BO21" s="73" t="str">
        <f t="shared" si="120"/>
        <v/>
      </c>
      <c r="BP21" s="80">
        <f t="shared" si="121"/>
        <v>0</v>
      </c>
      <c r="BQ21" s="141">
        <f t="shared" si="122"/>
        <v>0</v>
      </c>
      <c r="BR21" s="54" t="str">
        <f t="shared" si="123"/>
        <v/>
      </c>
      <c r="BS21" s="54" t="str">
        <f t="shared" si="124"/>
        <v/>
      </c>
      <c r="BT21" s="57">
        <f t="shared" si="125"/>
        <v>0</v>
      </c>
      <c r="BU21" s="54" t="str">
        <f t="shared" si="126"/>
        <v/>
      </c>
      <c r="BV21" s="57">
        <f t="shared" si="127"/>
        <v>1</v>
      </c>
      <c r="BW21" s="54" t="str">
        <f t="shared" si="128"/>
        <v>Jenkins D</v>
      </c>
      <c r="BX21" s="57">
        <f t="shared" si="129"/>
        <v>0</v>
      </c>
      <c r="BY21" s="54" t="str">
        <f t="shared" si="130"/>
        <v/>
      </c>
      <c r="BZ21" s="54">
        <f t="shared" si="62"/>
        <v>2</v>
      </c>
      <c r="CA21" s="54" t="str">
        <f t="shared" si="63"/>
        <v>Jenkins D</v>
      </c>
      <c r="CB21" s="54">
        <f t="shared" si="64"/>
        <v>0</v>
      </c>
      <c r="CC21" s="54" t="str">
        <f t="shared" si="65"/>
        <v>Jenkins D</v>
      </c>
    </row>
    <row r="22" spans="2:81" x14ac:dyDescent="0.15">
      <c r="B22" t="s">
        <v>389</v>
      </c>
      <c r="C22" t="s">
        <v>390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J22" t="str">
        <f t="shared" si="31"/>
        <v>Khan A</v>
      </c>
      <c r="AK22" s="54">
        <f t="shared" si="101"/>
        <v>0</v>
      </c>
      <c r="AL22" s="54">
        <f t="shared" si="102"/>
        <v>0</v>
      </c>
      <c r="AM22" s="54">
        <f t="shared" si="103"/>
        <v>0</v>
      </c>
      <c r="AN22" s="54">
        <f t="shared" si="104"/>
        <v>0</v>
      </c>
      <c r="AO22" s="54">
        <f t="shared" si="105"/>
        <v>0</v>
      </c>
      <c r="AP22" s="58">
        <f t="shared" si="106"/>
        <v>0</v>
      </c>
      <c r="AQ22" s="54">
        <f t="shared" si="107"/>
        <v>0</v>
      </c>
      <c r="AR22" s="56">
        <f t="shared" si="108"/>
        <v>0</v>
      </c>
      <c r="AS22" s="54">
        <f t="shared" si="109"/>
        <v>0</v>
      </c>
      <c r="AT22" s="57">
        <f t="array" ref="AT22">SUM(IF(ISERR(FIND("*",D22:AI22)),0,1))</f>
        <v>0</v>
      </c>
      <c r="AU22" s="57">
        <f t="array" ref="AU22">SUM(IF(ISERR(FIND("+",D22:AI22)),0,1))</f>
        <v>0</v>
      </c>
      <c r="AV22" s="54">
        <f t="shared" si="110"/>
        <v>0</v>
      </c>
      <c r="AW22" s="57">
        <f t="array" ref="AW22">SUM(IF(ISERR(FIND(AW$4,$D22:$AI22)),0,1))</f>
        <v>0</v>
      </c>
      <c r="AX22" s="57">
        <f t="array" ref="AX22">SUM(IF(ISERR(FIND(AX$4,$D22:$AI22)),0,1))</f>
        <v>0</v>
      </c>
      <c r="AY22" s="57">
        <f t="array" ref="AY22">SUM(IF(ISERR(FIND(AY$4,$D22:$AI22)),0,1))</f>
        <v>0</v>
      </c>
      <c r="AZ22" s="57">
        <f t="array" ref="AZ22">SUM(IF(ISERR(FIND(AZ$4,$D22:$AI22)),0,1))</f>
        <v>0</v>
      </c>
      <c r="BA22" s="57">
        <f t="array" ref="BA22">SUM(IF(ISERR(FIND(BA$4,$D22:$AI22)),0,1))</f>
        <v>0</v>
      </c>
      <c r="BB22" s="57">
        <f t="array" ref="BB22">SUM(IF(ISERR(FIND(BB$4,$D22:$AI22)),0,1))</f>
        <v>0</v>
      </c>
      <c r="BC22" s="57">
        <f t="array" ref="BC22">SUM(IF(ISERR(FIND(BC$4,$D22:$AI22)),0,1))</f>
        <v>0</v>
      </c>
      <c r="BD22" s="57">
        <f t="shared" si="111"/>
        <v>0</v>
      </c>
      <c r="BE22" s="57">
        <f t="shared" si="112"/>
        <v>0</v>
      </c>
      <c r="BF22" s="57">
        <f t="shared" si="113"/>
        <v>0</v>
      </c>
      <c r="BG22" s="57">
        <f t="shared" si="114"/>
        <v>0</v>
      </c>
      <c r="BH22" s="57">
        <f t="shared" si="115"/>
        <v>0</v>
      </c>
      <c r="BI22" s="57">
        <f t="shared" si="116"/>
        <v>0</v>
      </c>
      <c r="BJ22" s="57">
        <f t="shared" si="117"/>
        <v>0</v>
      </c>
      <c r="BK22" s="57">
        <f t="shared" si="118"/>
        <v>0</v>
      </c>
      <c r="BL22" s="54">
        <f t="shared" si="119"/>
        <v>2.2000000000000001E-4</v>
      </c>
      <c r="BM22" s="54">
        <f>RANK(BL22,$BL$5:$BL$70)</f>
        <v>56</v>
      </c>
      <c r="BN22" s="54">
        <v>12</v>
      </c>
      <c r="BO22" s="73" t="str">
        <f t="shared" si="120"/>
        <v/>
      </c>
      <c r="BP22" s="80" t="e">
        <f t="shared" si="121"/>
        <v>#DIV/0!</v>
      </c>
      <c r="BQ22" s="141">
        <f t="shared" si="122"/>
        <v>0</v>
      </c>
      <c r="BR22" s="54" t="str">
        <f t="shared" si="123"/>
        <v/>
      </c>
      <c r="BS22" s="54" t="str">
        <f t="shared" si="124"/>
        <v/>
      </c>
      <c r="BT22" s="57">
        <f t="shared" si="125"/>
        <v>0</v>
      </c>
      <c r="BU22" s="54" t="str">
        <f t="shared" si="126"/>
        <v/>
      </c>
      <c r="BV22" s="57">
        <f t="shared" si="127"/>
        <v>0</v>
      </c>
      <c r="BW22" s="54" t="str">
        <f t="shared" si="128"/>
        <v/>
      </c>
      <c r="BX22" s="57">
        <f t="shared" si="129"/>
        <v>0</v>
      </c>
      <c r="BY22" s="54" t="str">
        <f t="shared" si="130"/>
        <v/>
      </c>
      <c r="BZ22" s="54">
        <f t="shared" si="62"/>
        <v>0</v>
      </c>
      <c r="CA22" s="54" t="str">
        <f t="shared" si="63"/>
        <v>Khan A</v>
      </c>
      <c r="CB22" s="54">
        <f t="shared" si="64"/>
        <v>0</v>
      </c>
      <c r="CC22" s="54" t="str">
        <f t="shared" si="65"/>
        <v>Khan A</v>
      </c>
    </row>
    <row r="23" spans="2:81" x14ac:dyDescent="0.15">
      <c r="B23" s="54" t="s">
        <v>188</v>
      </c>
      <c r="C23" s="54" t="s">
        <v>187</v>
      </c>
      <c r="D23"/>
      <c r="F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AJ23" s="54" t="str">
        <f t="shared" si="31"/>
        <v>Kiernan M</v>
      </c>
      <c r="AK23" s="54">
        <f t="shared" si="101"/>
        <v>0</v>
      </c>
      <c r="AL23" s="54">
        <f t="shared" si="102"/>
        <v>0</v>
      </c>
      <c r="AM23" s="54">
        <f t="shared" si="103"/>
        <v>0</v>
      </c>
      <c r="AN23" s="54">
        <f t="shared" si="104"/>
        <v>0</v>
      </c>
      <c r="AO23" s="54">
        <f t="shared" si="105"/>
        <v>0</v>
      </c>
      <c r="AP23" s="58">
        <f t="shared" si="106"/>
        <v>0</v>
      </c>
      <c r="AQ23" s="54">
        <f t="shared" si="107"/>
        <v>0</v>
      </c>
      <c r="AR23" s="56">
        <f t="shared" si="108"/>
        <v>0</v>
      </c>
      <c r="AS23" s="54">
        <f t="shared" si="109"/>
        <v>0</v>
      </c>
      <c r="AT23" s="57">
        <f t="array" ref="AT23">SUM(IF(ISERR(FIND("*",D23:AI23)),0,1))</f>
        <v>0</v>
      </c>
      <c r="AU23" s="57">
        <f t="array" ref="AU23">SUM(IF(ISERR(FIND("+",D23:AI23)),0,1))</f>
        <v>0</v>
      </c>
      <c r="AV23" s="54">
        <f t="shared" si="110"/>
        <v>0</v>
      </c>
      <c r="AW23" s="57">
        <f t="array" ref="AW23">SUM(IF(ISERR(FIND(AW$4,$D23:$AI23)),0,1))</f>
        <v>0</v>
      </c>
      <c r="AX23" s="57">
        <f t="array" ref="AX23">SUM(IF(ISERR(FIND(AX$4,$D23:$AI23)),0,1))</f>
        <v>0</v>
      </c>
      <c r="AY23" s="57">
        <f t="array" ref="AY23">SUM(IF(ISERR(FIND(AY$4,$D23:$AI23)),0,1))</f>
        <v>0</v>
      </c>
      <c r="AZ23" s="57">
        <f t="array" ref="AZ23">SUM(IF(ISERR(FIND(AZ$4,$D23:$AI23)),0,1))</f>
        <v>0</v>
      </c>
      <c r="BA23" s="57">
        <f t="array" ref="BA23">SUM(IF(ISERR(FIND(BA$4,$D23:$AI23)),0,1))</f>
        <v>0</v>
      </c>
      <c r="BB23" s="57">
        <f t="array" ref="BB23">SUM(IF(ISERR(FIND(BB$4,$D23:$AI23)),0,1))</f>
        <v>0</v>
      </c>
      <c r="BC23" s="57">
        <f t="array" ref="BC23">SUM(IF(ISERR(FIND(BC$4,$D23:$AI23)),0,1))</f>
        <v>0</v>
      </c>
      <c r="BD23" s="57">
        <f t="shared" si="111"/>
        <v>0</v>
      </c>
      <c r="BE23" s="57">
        <f t="shared" si="112"/>
        <v>0</v>
      </c>
      <c r="BF23" s="57">
        <f t="shared" si="113"/>
        <v>0</v>
      </c>
      <c r="BG23" s="57">
        <f t="shared" si="114"/>
        <v>0</v>
      </c>
      <c r="BH23" s="57">
        <f t="shared" si="115"/>
        <v>0</v>
      </c>
      <c r="BI23" s="57">
        <f t="shared" si="116"/>
        <v>0</v>
      </c>
      <c r="BJ23" s="57">
        <f t="shared" si="117"/>
        <v>0</v>
      </c>
      <c r="BK23" s="57">
        <f t="shared" si="118"/>
        <v>0</v>
      </c>
      <c r="BL23" s="54">
        <f t="shared" si="119"/>
        <v>2.3000000000000001E-4</v>
      </c>
      <c r="BM23" s="54">
        <f>RANK(BL23,$BL$5:$BL$70)</f>
        <v>55</v>
      </c>
      <c r="BN23" s="54">
        <v>13</v>
      </c>
      <c r="BO23" s="73" t="str">
        <f t="shared" si="120"/>
        <v/>
      </c>
      <c r="BP23" s="80" t="e">
        <f t="shared" si="121"/>
        <v>#DIV/0!</v>
      </c>
      <c r="BQ23" s="141">
        <f t="shared" si="122"/>
        <v>0</v>
      </c>
      <c r="BR23" s="54" t="str">
        <f t="shared" si="123"/>
        <v/>
      </c>
      <c r="BS23" s="54" t="str">
        <f t="shared" si="124"/>
        <v/>
      </c>
      <c r="BT23" s="57">
        <f t="shared" si="125"/>
        <v>0</v>
      </c>
      <c r="BU23" s="54" t="str">
        <f t="shared" si="126"/>
        <v/>
      </c>
      <c r="BV23" s="57">
        <f t="shared" si="127"/>
        <v>0</v>
      </c>
      <c r="BW23" s="54" t="str">
        <f t="shared" si="128"/>
        <v/>
      </c>
      <c r="BX23" s="57">
        <f t="shared" si="129"/>
        <v>0</v>
      </c>
      <c r="BY23" s="54" t="str">
        <f t="shared" si="130"/>
        <v/>
      </c>
      <c r="BZ23" s="54">
        <f t="shared" si="62"/>
        <v>0</v>
      </c>
      <c r="CA23" s="54" t="str">
        <f t="shared" si="63"/>
        <v>Kiernan M</v>
      </c>
      <c r="CB23" s="54">
        <f t="shared" si="64"/>
        <v>0</v>
      </c>
      <c r="CC23" s="54" t="str">
        <f t="shared" si="65"/>
        <v>Kiernan M</v>
      </c>
    </row>
    <row r="24" spans="2:81" x14ac:dyDescent="0.15">
      <c r="B24" t="s">
        <v>249</v>
      </c>
      <c r="C24" t="s">
        <v>301</v>
      </c>
      <c r="D24"/>
      <c r="E24"/>
      <c r="F24"/>
      <c r="G24" t="s">
        <v>371</v>
      </c>
      <c r="H24" t="s">
        <v>529</v>
      </c>
      <c r="I24" t="s">
        <v>545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AJ24" s="54" t="str">
        <f t="shared" si="31"/>
        <v>Kogulathasan D</v>
      </c>
      <c r="AK24" s="54">
        <f t="shared" si="101"/>
        <v>3</v>
      </c>
      <c r="AL24" s="54">
        <f t="shared" si="102"/>
        <v>2</v>
      </c>
      <c r="AM24" s="54">
        <f t="shared" si="103"/>
        <v>1</v>
      </c>
      <c r="AN24" s="54">
        <f t="shared" si="104"/>
        <v>0</v>
      </c>
      <c r="AO24" s="54">
        <f t="shared" si="105"/>
        <v>2</v>
      </c>
      <c r="AP24" s="58">
        <f t="shared" si="106"/>
        <v>2</v>
      </c>
      <c r="AQ24" s="54">
        <f t="shared" si="107"/>
        <v>2</v>
      </c>
      <c r="AR24" s="56">
        <f t="shared" si="108"/>
        <v>2</v>
      </c>
      <c r="AS24" s="54">
        <f t="shared" si="109"/>
        <v>10</v>
      </c>
      <c r="AT24" s="57">
        <f t="array" ref="AT24">SUM(IF(ISERR(FIND("*",D24:AI24)),0,1))</f>
        <v>0</v>
      </c>
      <c r="AU24" s="57">
        <f t="array" ref="AU24">SUM(IF(ISERR(FIND("+",D24:AI24)),0,1))</f>
        <v>0</v>
      </c>
      <c r="AV24" s="54">
        <f t="shared" si="110"/>
        <v>0</v>
      </c>
      <c r="AW24" s="57">
        <f t="array" ref="AW24">SUM(IF(ISERR(FIND(AW$4,$D24:$AI24)),0,1))</f>
        <v>0</v>
      </c>
      <c r="AX24" s="57">
        <f t="array" ref="AX24">SUM(IF(ISERR(FIND(AX$4,$D24:$AI24)),0,1))</f>
        <v>1</v>
      </c>
      <c r="AY24" s="57">
        <f t="array" ref="AY24">SUM(IF(ISERR(FIND(AY$4,$D24:$AI24)),0,1))</f>
        <v>0</v>
      </c>
      <c r="AZ24" s="57">
        <f t="array" ref="AZ24">SUM(IF(ISERR(FIND(AZ$4,$D24:$AI24)),0,1))</f>
        <v>0</v>
      </c>
      <c r="BA24" s="57">
        <f t="array" ref="BA24">SUM(IF(ISERR(FIND(BA$4,$D24:$AI24)),0,1))</f>
        <v>0</v>
      </c>
      <c r="BB24" s="57">
        <f t="array" ref="BB24">SUM(IF(ISERR(FIND(BB$4,$D24:$AI24)),0,1))</f>
        <v>0</v>
      </c>
      <c r="BC24" s="57">
        <f t="array" ref="BC24">SUM(IF(ISERR(FIND(BC$4,$D24:$AI24)),0,1))</f>
        <v>0</v>
      </c>
      <c r="BD24" s="57">
        <f t="shared" si="111"/>
        <v>0</v>
      </c>
      <c r="BE24" s="57">
        <f t="shared" si="112"/>
        <v>0</v>
      </c>
      <c r="BF24" s="57">
        <f t="shared" si="113"/>
        <v>2</v>
      </c>
      <c r="BG24" s="57">
        <f t="shared" si="114"/>
        <v>0</v>
      </c>
      <c r="BH24" s="57">
        <f t="shared" si="115"/>
        <v>0</v>
      </c>
      <c r="BI24" s="57">
        <f t="shared" si="116"/>
        <v>0</v>
      </c>
      <c r="BJ24" s="57">
        <f t="shared" si="117"/>
        <v>0</v>
      </c>
      <c r="BK24" s="57">
        <f t="shared" si="118"/>
        <v>0</v>
      </c>
      <c r="BL24" s="54">
        <f t="shared" si="119"/>
        <v>200103.02023999998</v>
      </c>
      <c r="BM24" s="54">
        <f>RANK(BL24,$BL$5:$BL$70)</f>
        <v>20</v>
      </c>
      <c r="BN24" s="54">
        <v>14</v>
      </c>
      <c r="BO24" s="73" t="str">
        <f t="shared" si="120"/>
        <v/>
      </c>
      <c r="BP24" s="80">
        <f t="shared" si="121"/>
        <v>0</v>
      </c>
      <c r="BQ24" s="141">
        <f t="shared" si="122"/>
        <v>2</v>
      </c>
      <c r="BR24" s="54" t="str">
        <f t="shared" si="123"/>
        <v>2</v>
      </c>
      <c r="BS24" s="54" t="str">
        <f t="shared" si="124"/>
        <v>Kogulathasan D</v>
      </c>
      <c r="BT24" s="57">
        <f t="shared" si="125"/>
        <v>0</v>
      </c>
      <c r="BU24" s="54" t="str">
        <f t="shared" si="126"/>
        <v/>
      </c>
      <c r="BV24" s="57">
        <f t="shared" si="127"/>
        <v>0</v>
      </c>
      <c r="BW24" s="54" t="str">
        <f t="shared" si="128"/>
        <v/>
      </c>
      <c r="BX24" s="57">
        <f t="shared" si="129"/>
        <v>0</v>
      </c>
      <c r="BY24" s="54" t="str">
        <f t="shared" si="130"/>
        <v/>
      </c>
      <c r="BZ24" s="54">
        <f t="shared" si="62"/>
        <v>3</v>
      </c>
      <c r="CA24" s="54" t="str">
        <f t="shared" si="63"/>
        <v>Kogulathasan D</v>
      </c>
      <c r="CB24" s="54">
        <f t="shared" si="64"/>
        <v>0</v>
      </c>
      <c r="CC24" s="54" t="str">
        <f t="shared" si="65"/>
        <v>Kogulathasan D</v>
      </c>
    </row>
    <row r="25" spans="2:81" x14ac:dyDescent="0.15">
      <c r="B25" t="s">
        <v>247</v>
      </c>
      <c r="C25" t="s">
        <v>161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AJ25" s="54" t="str">
        <f t="shared" si="31"/>
        <v>Lestrelle A</v>
      </c>
      <c r="AK25" s="54">
        <f t="shared" si="101"/>
        <v>0</v>
      </c>
      <c r="AL25" s="54">
        <f t="shared" si="102"/>
        <v>0</v>
      </c>
      <c r="AM25" s="54">
        <f t="shared" si="103"/>
        <v>0</v>
      </c>
      <c r="AN25" s="54">
        <f t="shared" si="104"/>
        <v>0</v>
      </c>
      <c r="AO25" s="54">
        <f t="shared" si="105"/>
        <v>0</v>
      </c>
      <c r="AP25" s="58">
        <f t="shared" si="106"/>
        <v>0</v>
      </c>
      <c r="AQ25" s="54">
        <f t="shared" si="107"/>
        <v>0</v>
      </c>
      <c r="AR25" s="56">
        <f t="shared" si="108"/>
        <v>0</v>
      </c>
      <c r="AS25" s="54">
        <f t="shared" si="109"/>
        <v>0</v>
      </c>
      <c r="AT25" s="57">
        <f t="array" ref="AT25">SUM(IF(ISERR(FIND("*",D25:AI25)),0,1))</f>
        <v>0</v>
      </c>
      <c r="AU25" s="57">
        <f t="array" ref="AU25">SUM(IF(ISERR(FIND("+",D25:AI25)),0,1))</f>
        <v>0</v>
      </c>
      <c r="AV25" s="54">
        <f t="shared" si="110"/>
        <v>0</v>
      </c>
      <c r="AW25" s="57">
        <f t="array" ref="AW25">SUM(IF(ISERR(FIND(AW$4,$D25:$AI25)),0,1))</f>
        <v>0</v>
      </c>
      <c r="AX25" s="57">
        <f t="array" ref="AX25">SUM(IF(ISERR(FIND(AX$4,$D25:$AI25)),0,1))</f>
        <v>0</v>
      </c>
      <c r="AY25" s="57">
        <f t="array" ref="AY25">SUM(IF(ISERR(FIND(AY$4,$D25:$AI25)),0,1))</f>
        <v>0</v>
      </c>
      <c r="AZ25" s="57">
        <f t="array" ref="AZ25">SUM(IF(ISERR(FIND(AZ$4,$D25:$AI25)),0,1))</f>
        <v>0</v>
      </c>
      <c r="BA25" s="57">
        <f t="array" ref="BA25">SUM(IF(ISERR(FIND(BA$4,$D25:$AI25)),0,1))</f>
        <v>0</v>
      </c>
      <c r="BB25" s="57">
        <f t="array" ref="BB25">SUM(IF(ISERR(FIND(BB$4,$D25:$AI25)),0,1))</f>
        <v>0</v>
      </c>
      <c r="BC25" s="57">
        <f t="array" ref="BC25">SUM(IF(ISERR(FIND(BC$4,$D25:$AI25)),0,1))</f>
        <v>0</v>
      </c>
      <c r="BD25" s="57">
        <f t="shared" si="111"/>
        <v>0</v>
      </c>
      <c r="BE25" s="57">
        <f t="shared" si="112"/>
        <v>0</v>
      </c>
      <c r="BF25" s="57">
        <f t="shared" si="113"/>
        <v>0</v>
      </c>
      <c r="BG25" s="57">
        <f t="shared" si="114"/>
        <v>0</v>
      </c>
      <c r="BH25" s="57">
        <f t="shared" si="115"/>
        <v>0</v>
      </c>
      <c r="BI25" s="57">
        <f t="shared" si="116"/>
        <v>0</v>
      </c>
      <c r="BJ25" s="57">
        <f t="shared" si="117"/>
        <v>0</v>
      </c>
      <c r="BK25" s="57">
        <f t="shared" si="118"/>
        <v>0</v>
      </c>
      <c r="BL25" s="54">
        <f t="shared" si="119"/>
        <v>2.5000000000000001E-4</v>
      </c>
      <c r="BM25" s="54">
        <f>RANK(BL25,$BL$5:$BL$70)</f>
        <v>54</v>
      </c>
      <c r="BN25" s="54">
        <v>15</v>
      </c>
      <c r="BO25" s="73" t="str">
        <f t="shared" si="120"/>
        <v/>
      </c>
      <c r="BP25" s="80" t="e">
        <f t="shared" si="121"/>
        <v>#DIV/0!</v>
      </c>
      <c r="BQ25" s="141">
        <f t="shared" si="122"/>
        <v>0</v>
      </c>
      <c r="BR25" s="54" t="str">
        <f t="shared" si="123"/>
        <v/>
      </c>
      <c r="BS25" s="54" t="str">
        <f t="shared" si="124"/>
        <v/>
      </c>
      <c r="BT25" s="57">
        <f t="shared" si="125"/>
        <v>0</v>
      </c>
      <c r="BU25" s="54" t="str">
        <f t="shared" si="126"/>
        <v/>
      </c>
      <c r="BV25" s="57">
        <f t="shared" si="127"/>
        <v>0</v>
      </c>
      <c r="BW25" s="54" t="str">
        <f t="shared" si="128"/>
        <v/>
      </c>
      <c r="BX25" s="57">
        <f t="shared" si="129"/>
        <v>0</v>
      </c>
      <c r="BY25" s="54" t="str">
        <f t="shared" si="130"/>
        <v/>
      </c>
      <c r="BZ25" s="54">
        <f t="shared" si="62"/>
        <v>0</v>
      </c>
      <c r="CA25" s="54" t="str">
        <f t="shared" si="63"/>
        <v>Lestrelle A</v>
      </c>
      <c r="CB25" s="54">
        <f t="shared" si="64"/>
        <v>0</v>
      </c>
      <c r="CC25" s="54" t="str">
        <f t="shared" si="65"/>
        <v>Lestrelle A</v>
      </c>
    </row>
    <row r="26" spans="2:81" x14ac:dyDescent="0.15">
      <c r="B26" t="s">
        <v>359</v>
      </c>
      <c r="C26" t="s">
        <v>360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AJ26" t="str">
        <f t="shared" si="31"/>
        <v>Lindsay B</v>
      </c>
      <c r="AK26" s="54">
        <f t="shared" si="101"/>
        <v>0</v>
      </c>
      <c r="AL26" s="54">
        <f t="shared" si="102"/>
        <v>0</v>
      </c>
      <c r="AM26" s="54">
        <f t="shared" si="103"/>
        <v>0</v>
      </c>
      <c r="AN26" s="54">
        <f t="shared" si="104"/>
        <v>0</v>
      </c>
      <c r="AO26" s="54">
        <f t="shared" si="105"/>
        <v>0</v>
      </c>
      <c r="AP26" s="58">
        <f t="shared" si="106"/>
        <v>0</v>
      </c>
      <c r="AQ26" s="54">
        <f t="shared" si="107"/>
        <v>0</v>
      </c>
      <c r="AR26" s="56">
        <f t="shared" si="108"/>
        <v>0</v>
      </c>
      <c r="AS26" s="54">
        <f t="shared" si="109"/>
        <v>0</v>
      </c>
      <c r="AT26" s="57">
        <f t="array" ref="AT26">SUM(IF(ISERR(FIND("*",D26:AI26)),0,1))</f>
        <v>0</v>
      </c>
      <c r="AU26" s="57">
        <f t="array" ref="AU26">SUM(IF(ISERR(FIND("+",D26:AI26)),0,1))</f>
        <v>0</v>
      </c>
      <c r="AV26" s="54">
        <f t="shared" si="110"/>
        <v>0</v>
      </c>
      <c r="AW26" s="57">
        <f t="array" ref="AW26">SUM(IF(ISERR(FIND(AW$4,$D26:$AI26)),0,1))</f>
        <v>0</v>
      </c>
      <c r="AX26" s="57">
        <f t="array" ref="AX26">SUM(IF(ISERR(FIND(AX$4,$D26:$AI26)),0,1))</f>
        <v>0</v>
      </c>
      <c r="AY26" s="57">
        <f t="array" ref="AY26">SUM(IF(ISERR(FIND(AY$4,$D26:$AI26)),0,1))</f>
        <v>0</v>
      </c>
      <c r="AZ26" s="57">
        <f t="array" ref="AZ26">SUM(IF(ISERR(FIND(AZ$4,$D26:$AI26)),0,1))</f>
        <v>0</v>
      </c>
      <c r="BA26" s="57">
        <f t="array" ref="BA26">SUM(IF(ISERR(FIND(BA$4,$D26:$AI26)),0,1))</f>
        <v>0</v>
      </c>
      <c r="BB26" s="57">
        <f t="array" ref="BB26">SUM(IF(ISERR(FIND(BB$4,$D26:$AI26)),0,1))</f>
        <v>0</v>
      </c>
      <c r="BC26" s="57">
        <f t="array" ref="BC26">SUM(IF(ISERR(FIND(BC$4,$D26:$AI26)),0,1))</f>
        <v>0</v>
      </c>
      <c r="BD26" s="57">
        <f t="shared" si="111"/>
        <v>0</v>
      </c>
      <c r="BE26" s="57">
        <f t="shared" si="112"/>
        <v>0</v>
      </c>
      <c r="BF26" s="57">
        <f t="shared" si="113"/>
        <v>0</v>
      </c>
      <c r="BG26" s="57">
        <f t="shared" si="114"/>
        <v>0</v>
      </c>
      <c r="BH26" s="57">
        <f t="shared" si="115"/>
        <v>0</v>
      </c>
      <c r="BI26" s="57">
        <f t="shared" si="116"/>
        <v>0</v>
      </c>
      <c r="BJ26" s="57">
        <f t="shared" si="117"/>
        <v>0</v>
      </c>
      <c r="BK26" s="57">
        <f t="shared" si="118"/>
        <v>0</v>
      </c>
      <c r="BL26" s="54">
        <f t="shared" si="119"/>
        <v>2.5999999999999998E-4</v>
      </c>
      <c r="BM26" s="54">
        <f>RANK(BL26,$BL$5:$BL$70)</f>
        <v>53</v>
      </c>
      <c r="BN26" s="54">
        <v>16</v>
      </c>
      <c r="BO26" s="73" t="str">
        <f t="shared" si="120"/>
        <v/>
      </c>
      <c r="BP26" s="80" t="e">
        <f t="shared" si="121"/>
        <v>#DIV/0!</v>
      </c>
      <c r="BQ26" s="141">
        <f t="shared" si="122"/>
        <v>0</v>
      </c>
      <c r="BR26" s="54" t="str">
        <f t="shared" si="123"/>
        <v/>
      </c>
      <c r="BS26" s="54" t="str">
        <f t="shared" si="124"/>
        <v/>
      </c>
      <c r="BT26" s="57">
        <f t="shared" si="125"/>
        <v>0</v>
      </c>
      <c r="BU26" s="54" t="str">
        <f t="shared" si="126"/>
        <v/>
      </c>
      <c r="BV26" s="57">
        <f t="shared" si="127"/>
        <v>0</v>
      </c>
      <c r="BW26" s="54" t="str">
        <f t="shared" si="128"/>
        <v/>
      </c>
      <c r="BX26" s="57">
        <f t="shared" si="129"/>
        <v>0</v>
      </c>
      <c r="BY26" s="54" t="str">
        <f t="shared" si="130"/>
        <v/>
      </c>
      <c r="BZ26" s="54">
        <f t="shared" si="62"/>
        <v>0</v>
      </c>
      <c r="CA26" s="54" t="str">
        <f t="shared" si="63"/>
        <v>Lindsay B</v>
      </c>
      <c r="CB26" s="54">
        <f t="shared" si="64"/>
        <v>0</v>
      </c>
      <c r="CC26" s="54" t="str">
        <f t="shared" si="65"/>
        <v>Lindsay B</v>
      </c>
    </row>
    <row r="27" spans="2:81" x14ac:dyDescent="0.15">
      <c r="B27" t="s">
        <v>323</v>
      </c>
      <c r="C27" t="s">
        <v>322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AJ27" s="54" t="str">
        <f t="shared" si="31"/>
        <v>Low-Hughes A</v>
      </c>
      <c r="AK27" s="54">
        <f t="shared" si="101"/>
        <v>0</v>
      </c>
      <c r="AL27" s="54">
        <f t="shared" si="102"/>
        <v>0</v>
      </c>
      <c r="AM27" s="54">
        <f t="shared" si="103"/>
        <v>0</v>
      </c>
      <c r="AN27" s="54">
        <f t="shared" si="104"/>
        <v>0</v>
      </c>
      <c r="AO27" s="54">
        <f t="shared" si="105"/>
        <v>0</v>
      </c>
      <c r="AP27" s="58">
        <f t="shared" si="106"/>
        <v>0</v>
      </c>
      <c r="AQ27" s="54">
        <f t="shared" si="107"/>
        <v>0</v>
      </c>
      <c r="AR27" s="56">
        <f t="shared" si="108"/>
        <v>0</v>
      </c>
      <c r="AS27" s="54">
        <f t="shared" si="109"/>
        <v>0</v>
      </c>
      <c r="AT27" s="57">
        <f t="array" ref="AT27">SUM(IF(ISERR(FIND("*",D27:AI27)),0,1))</f>
        <v>0</v>
      </c>
      <c r="AU27" s="57">
        <f t="array" ref="AU27">SUM(IF(ISERR(FIND("+",D27:AI27)),0,1))</f>
        <v>0</v>
      </c>
      <c r="AV27" s="54">
        <f t="shared" si="110"/>
        <v>0</v>
      </c>
      <c r="AW27" s="57">
        <f t="array" ref="AW27">SUM(IF(ISERR(FIND(AW$4,$D27:$AI27)),0,1))</f>
        <v>0</v>
      </c>
      <c r="AX27" s="57">
        <f t="array" ref="AX27">SUM(IF(ISERR(FIND(AX$4,$D27:$AI27)),0,1))</f>
        <v>0</v>
      </c>
      <c r="AY27" s="57">
        <f t="array" ref="AY27">SUM(IF(ISERR(FIND(AY$4,$D27:$AI27)),0,1))</f>
        <v>0</v>
      </c>
      <c r="AZ27" s="57">
        <f t="array" ref="AZ27">SUM(IF(ISERR(FIND(AZ$4,$D27:$AI27)),0,1))</f>
        <v>0</v>
      </c>
      <c r="BA27" s="57">
        <f t="array" ref="BA27">SUM(IF(ISERR(FIND(BA$4,$D27:$AI27)),0,1))</f>
        <v>0</v>
      </c>
      <c r="BB27" s="57">
        <f t="array" ref="BB27">SUM(IF(ISERR(FIND(BB$4,$D27:$AI27)),0,1))</f>
        <v>0</v>
      </c>
      <c r="BC27" s="57">
        <f t="array" ref="BC27">SUM(IF(ISERR(FIND(BC$4,$D27:$AI27)),0,1))</f>
        <v>0</v>
      </c>
      <c r="BD27" s="57">
        <f t="shared" si="111"/>
        <v>0</v>
      </c>
      <c r="BE27" s="57">
        <f t="shared" si="112"/>
        <v>0</v>
      </c>
      <c r="BF27" s="57">
        <f t="shared" si="113"/>
        <v>0</v>
      </c>
      <c r="BG27" s="57">
        <f t="shared" si="114"/>
        <v>0</v>
      </c>
      <c r="BH27" s="57">
        <f t="shared" si="115"/>
        <v>0</v>
      </c>
      <c r="BI27" s="57">
        <f t="shared" si="116"/>
        <v>0</v>
      </c>
      <c r="BJ27" s="57">
        <f t="shared" si="117"/>
        <v>0</v>
      </c>
      <c r="BK27" s="57">
        <f t="shared" si="118"/>
        <v>0</v>
      </c>
      <c r="BL27" s="54">
        <f t="shared" si="119"/>
        <v>2.7E-4</v>
      </c>
      <c r="BM27" s="54">
        <f>RANK(BL27,$BL$5:$BL$70)</f>
        <v>52</v>
      </c>
      <c r="BN27" s="54">
        <v>17</v>
      </c>
      <c r="BO27" s="73" t="str">
        <f t="shared" si="120"/>
        <v/>
      </c>
      <c r="BP27" s="80" t="e">
        <f t="shared" si="121"/>
        <v>#DIV/0!</v>
      </c>
      <c r="BQ27" s="141">
        <f t="shared" si="122"/>
        <v>0</v>
      </c>
      <c r="BR27" s="54" t="str">
        <f t="shared" si="123"/>
        <v/>
      </c>
      <c r="BS27" s="54" t="str">
        <f t="shared" si="124"/>
        <v/>
      </c>
      <c r="BT27" s="57">
        <f t="shared" si="125"/>
        <v>0</v>
      </c>
      <c r="BU27" s="54" t="str">
        <f t="shared" si="126"/>
        <v/>
      </c>
      <c r="BV27" s="57">
        <f t="shared" si="127"/>
        <v>0</v>
      </c>
      <c r="BW27" s="54" t="str">
        <f t="shared" si="128"/>
        <v/>
      </c>
      <c r="BX27" s="57">
        <f t="shared" si="129"/>
        <v>0</v>
      </c>
      <c r="BY27" s="54" t="str">
        <f t="shared" si="130"/>
        <v/>
      </c>
      <c r="BZ27" s="54">
        <f t="shared" si="62"/>
        <v>0</v>
      </c>
      <c r="CA27" s="54" t="str">
        <f t="shared" si="63"/>
        <v>Low-Hughes A</v>
      </c>
      <c r="CB27" s="54">
        <f t="shared" si="64"/>
        <v>0</v>
      </c>
      <c r="CC27" s="54" t="str">
        <f t="shared" si="65"/>
        <v>Low-Hughes A</v>
      </c>
    </row>
    <row r="28" spans="2:81" x14ac:dyDescent="0.15">
      <c r="B28"/>
      <c r="C28" t="s">
        <v>326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AJ28" s="54" t="str">
        <f t="shared" si="31"/>
        <v>"Luca"</v>
      </c>
      <c r="AK28" s="54">
        <f t="shared" si="101"/>
        <v>0</v>
      </c>
      <c r="AL28" s="54">
        <f t="shared" si="102"/>
        <v>0</v>
      </c>
      <c r="AM28" s="54">
        <f t="shared" si="103"/>
        <v>0</v>
      </c>
      <c r="AN28" s="54">
        <f t="shared" si="104"/>
        <v>0</v>
      </c>
      <c r="AO28" s="54">
        <f t="shared" si="105"/>
        <v>0</v>
      </c>
      <c r="AP28" s="58">
        <f t="shared" si="106"/>
        <v>0</v>
      </c>
      <c r="AQ28" s="54">
        <f t="shared" si="107"/>
        <v>0</v>
      </c>
      <c r="AR28" s="56">
        <f t="shared" si="108"/>
        <v>0</v>
      </c>
      <c r="AS28" s="54">
        <f t="shared" si="109"/>
        <v>0</v>
      </c>
      <c r="AT28" s="57">
        <f t="array" ref="AT28">SUM(IF(ISERR(FIND("*",D28:AI28)),0,1))</f>
        <v>0</v>
      </c>
      <c r="AU28" s="57">
        <f t="array" ref="AU28">SUM(IF(ISERR(FIND("+",D28:AI28)),0,1))</f>
        <v>0</v>
      </c>
      <c r="AV28" s="54">
        <f t="shared" si="110"/>
        <v>0</v>
      </c>
      <c r="AW28" s="57">
        <f t="array" ref="AW28">SUM(IF(ISERR(FIND(AW$4,$D28:$AI28)),0,1))</f>
        <v>0</v>
      </c>
      <c r="AX28" s="57">
        <f t="array" ref="AX28">SUM(IF(ISERR(FIND(AX$4,$D28:$AI28)),0,1))</f>
        <v>0</v>
      </c>
      <c r="AY28" s="57">
        <f t="array" ref="AY28">SUM(IF(ISERR(FIND(AY$4,$D28:$AI28)),0,1))</f>
        <v>0</v>
      </c>
      <c r="AZ28" s="57">
        <f t="array" ref="AZ28">SUM(IF(ISERR(FIND(AZ$4,$D28:$AI28)),0,1))</f>
        <v>0</v>
      </c>
      <c r="BA28" s="57">
        <f t="array" ref="BA28">SUM(IF(ISERR(FIND(BA$4,$D28:$AI28)),0,1))</f>
        <v>0</v>
      </c>
      <c r="BB28" s="57">
        <f t="array" ref="BB28">SUM(IF(ISERR(FIND(BB$4,$D28:$AI28)),0,1))</f>
        <v>0</v>
      </c>
      <c r="BC28" s="57">
        <f t="array" ref="BC28">SUM(IF(ISERR(FIND(BC$4,$D28:$AI28)),0,1))</f>
        <v>0</v>
      </c>
      <c r="BD28" s="57">
        <f t="shared" si="111"/>
        <v>0</v>
      </c>
      <c r="BE28" s="57">
        <f t="shared" si="112"/>
        <v>0</v>
      </c>
      <c r="BF28" s="57">
        <f t="shared" si="113"/>
        <v>0</v>
      </c>
      <c r="BG28" s="57">
        <f t="shared" si="114"/>
        <v>0</v>
      </c>
      <c r="BH28" s="57">
        <f t="shared" si="115"/>
        <v>0</v>
      </c>
      <c r="BI28" s="57">
        <f t="shared" si="116"/>
        <v>0</v>
      </c>
      <c r="BJ28" s="57">
        <f t="shared" si="117"/>
        <v>0</v>
      </c>
      <c r="BK28" s="57">
        <f t="shared" si="118"/>
        <v>0</v>
      </c>
      <c r="BL28" s="54">
        <f t="shared" si="119"/>
        <v>2.7999999999999998E-4</v>
      </c>
      <c r="BM28" s="54">
        <f>RANK(BL28,$BL$5:$BL$70)</f>
        <v>51</v>
      </c>
      <c r="BN28" s="54">
        <v>18</v>
      </c>
      <c r="BO28" s="73" t="str">
        <f t="shared" si="120"/>
        <v/>
      </c>
      <c r="BP28" s="80" t="e">
        <f t="shared" si="121"/>
        <v>#DIV/0!</v>
      </c>
      <c r="BQ28" s="141">
        <f t="shared" si="122"/>
        <v>0</v>
      </c>
      <c r="BR28" s="54" t="str">
        <f t="shared" si="123"/>
        <v/>
      </c>
      <c r="BS28" s="54" t="str">
        <f t="shared" si="124"/>
        <v/>
      </c>
      <c r="BT28" s="57">
        <f t="shared" si="125"/>
        <v>0</v>
      </c>
      <c r="BU28" s="54" t="str">
        <f t="shared" si="126"/>
        <v/>
      </c>
      <c r="BV28" s="57">
        <f t="shared" si="127"/>
        <v>0</v>
      </c>
      <c r="BW28" s="54" t="str">
        <f t="shared" si="128"/>
        <v/>
      </c>
      <c r="BX28" s="57">
        <f t="shared" si="129"/>
        <v>0</v>
      </c>
      <c r="BY28" s="54" t="str">
        <f t="shared" si="130"/>
        <v/>
      </c>
      <c r="BZ28" s="54">
        <f t="shared" si="62"/>
        <v>0</v>
      </c>
      <c r="CA28" s="54" t="str">
        <f t="shared" si="63"/>
        <v>"Luca"</v>
      </c>
      <c r="CB28" s="54">
        <f t="shared" si="64"/>
        <v>0</v>
      </c>
      <c r="CC28" s="54" t="str">
        <f t="shared" si="65"/>
        <v>"Luca"</v>
      </c>
    </row>
    <row r="29" spans="2:81" x14ac:dyDescent="0.15">
      <c r="B29" t="s">
        <v>378</v>
      </c>
      <c r="C29" t="s">
        <v>379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AJ29" t="str">
        <f t="shared" si="31"/>
        <v>Mahmood S</v>
      </c>
      <c r="AK29" s="54">
        <f t="shared" si="101"/>
        <v>0</v>
      </c>
      <c r="AL29" s="54">
        <f t="shared" si="102"/>
        <v>0</v>
      </c>
      <c r="AM29" s="54">
        <f t="shared" si="103"/>
        <v>0</v>
      </c>
      <c r="AN29" s="54">
        <f t="shared" si="104"/>
        <v>0</v>
      </c>
      <c r="AO29" s="54">
        <f t="shared" si="105"/>
        <v>0</v>
      </c>
      <c r="AP29" s="58">
        <f t="shared" si="106"/>
        <v>0</v>
      </c>
      <c r="AQ29" s="54">
        <f t="shared" si="107"/>
        <v>0</v>
      </c>
      <c r="AR29" s="56">
        <f t="shared" si="108"/>
        <v>0</v>
      </c>
      <c r="AS29" s="54">
        <f t="shared" si="109"/>
        <v>0</v>
      </c>
      <c r="AT29" s="57">
        <f t="array" ref="AT29">SUM(IF(ISERR(FIND("*",D29:AI29)),0,1))</f>
        <v>0</v>
      </c>
      <c r="AU29" s="57">
        <f t="array" ref="AU29">SUM(IF(ISERR(FIND("+",D29:AI29)),0,1))</f>
        <v>0</v>
      </c>
      <c r="AV29" s="54">
        <f t="shared" si="110"/>
        <v>0</v>
      </c>
      <c r="AW29" s="57">
        <f t="array" ref="AW29">SUM(IF(ISERR(FIND(AW$4,$D29:$AI29)),0,1))</f>
        <v>0</v>
      </c>
      <c r="AX29" s="57">
        <f t="array" ref="AX29">SUM(IF(ISERR(FIND(AX$4,$D29:$AI29)),0,1))</f>
        <v>0</v>
      </c>
      <c r="AY29" s="57">
        <f t="array" ref="AY29">SUM(IF(ISERR(FIND(AY$4,$D29:$AI29)),0,1))</f>
        <v>0</v>
      </c>
      <c r="AZ29" s="57">
        <f t="array" ref="AZ29">SUM(IF(ISERR(FIND(AZ$4,$D29:$AI29)),0,1))</f>
        <v>0</v>
      </c>
      <c r="BA29" s="57">
        <f t="array" ref="BA29">SUM(IF(ISERR(FIND(BA$4,$D29:$AI29)),0,1))</f>
        <v>0</v>
      </c>
      <c r="BB29" s="57">
        <f t="array" ref="BB29">SUM(IF(ISERR(FIND(BB$4,$D29:$AI29)),0,1))</f>
        <v>0</v>
      </c>
      <c r="BC29" s="57">
        <f t="array" ref="BC29">SUM(IF(ISERR(FIND(BC$4,$D29:$AI29)),0,1))</f>
        <v>0</v>
      </c>
      <c r="BD29" s="57">
        <f t="shared" si="111"/>
        <v>0</v>
      </c>
      <c r="BE29" s="57">
        <f t="shared" si="112"/>
        <v>0</v>
      </c>
      <c r="BF29" s="57">
        <f t="shared" si="113"/>
        <v>0</v>
      </c>
      <c r="BG29" s="57">
        <f t="shared" si="114"/>
        <v>0</v>
      </c>
      <c r="BH29" s="57">
        <f t="shared" si="115"/>
        <v>0</v>
      </c>
      <c r="BI29" s="57">
        <f t="shared" si="116"/>
        <v>0</v>
      </c>
      <c r="BJ29" s="57">
        <f t="shared" si="117"/>
        <v>0</v>
      </c>
      <c r="BK29" s="57">
        <f t="shared" si="118"/>
        <v>0</v>
      </c>
      <c r="BL29" s="54">
        <f t="shared" si="119"/>
        <v>2.9E-4</v>
      </c>
      <c r="BM29" s="54">
        <f>RANK(BL29,$BL$5:$BL$70)</f>
        <v>50</v>
      </c>
      <c r="BN29" s="54">
        <v>19</v>
      </c>
      <c r="BO29" s="73" t="str">
        <f t="shared" si="120"/>
        <v/>
      </c>
      <c r="BP29" s="80" t="e">
        <f t="shared" si="121"/>
        <v>#DIV/0!</v>
      </c>
      <c r="BQ29" s="141">
        <f t="shared" si="122"/>
        <v>0</v>
      </c>
      <c r="BR29" s="54" t="str">
        <f t="shared" si="123"/>
        <v/>
      </c>
      <c r="BS29" s="54" t="str">
        <f t="shared" si="124"/>
        <v/>
      </c>
      <c r="BT29" s="57">
        <f t="shared" si="125"/>
        <v>0</v>
      </c>
      <c r="BU29" s="54" t="str">
        <f t="shared" si="126"/>
        <v/>
      </c>
      <c r="BV29" s="57">
        <f t="shared" si="127"/>
        <v>0</v>
      </c>
      <c r="BW29" s="54" t="str">
        <f t="shared" si="128"/>
        <v/>
      </c>
      <c r="BX29" s="57">
        <f t="shared" si="129"/>
        <v>0</v>
      </c>
      <c r="BY29" s="54" t="str">
        <f t="shared" si="130"/>
        <v/>
      </c>
      <c r="BZ29" s="54">
        <f t="shared" si="62"/>
        <v>0</v>
      </c>
      <c r="CA29" s="54" t="str">
        <f t="shared" si="63"/>
        <v>Mahmood S</v>
      </c>
      <c r="CB29" s="54">
        <f t="shared" si="64"/>
        <v>0</v>
      </c>
      <c r="CC29" s="54" t="str">
        <f t="shared" si="65"/>
        <v>Mahmood S</v>
      </c>
    </row>
    <row r="30" spans="2:81" x14ac:dyDescent="0.15">
      <c r="B30" t="s">
        <v>581</v>
      </c>
      <c r="C30" t="s">
        <v>582</v>
      </c>
      <c r="D30"/>
      <c r="E30"/>
      <c r="F30"/>
      <c r="G30"/>
      <c r="H30"/>
      <c r="I30"/>
      <c r="J30"/>
      <c r="K30"/>
      <c r="L30" t="s">
        <v>583</v>
      </c>
      <c r="M30"/>
      <c r="N30"/>
      <c r="O30"/>
      <c r="P30"/>
      <c r="Q30"/>
      <c r="R30"/>
      <c r="S30"/>
      <c r="T30"/>
      <c r="U30"/>
      <c r="V30"/>
      <c r="W30"/>
      <c r="X30"/>
      <c r="AJ30" s="54" t="str">
        <f t="shared" ref="AJ30" si="131">C30</f>
        <v>Madan N</v>
      </c>
      <c r="AK30" s="54">
        <f t="shared" ref="AK30" si="132">BatSplit(D30:AI30,MatchesPlayed)</f>
        <v>1</v>
      </c>
      <c r="AL30" s="54">
        <f t="shared" ref="AL30" si="133">AK30-AM30</f>
        <v>1</v>
      </c>
      <c r="AM30" s="54">
        <f t="shared" ref="AM30" si="134">BatSplit(D30:AI30,InnsBattedIn)</f>
        <v>0</v>
      </c>
      <c r="AN30" s="54">
        <f t="shared" ref="AN30" si="135">BatSplit(D30:AI30,NotOuts)</f>
        <v>0</v>
      </c>
      <c r="AO30" s="54">
        <f t="shared" ref="AO30" si="136">BatSplit(D30:AI30,HighestScore)</f>
        <v>0</v>
      </c>
      <c r="AP30" s="58">
        <f t="shared" ref="AP30" si="137">IF(AO30&lt;0,-AO30&amp;"*",AO30)</f>
        <v>0</v>
      </c>
      <c r="AQ30" s="54">
        <f t="shared" ref="AQ30" si="138">BatSplit(D30:AI30,RunsScored)</f>
        <v>0</v>
      </c>
      <c r="AR30" s="56">
        <f t="shared" ref="AR30" si="139">IF(AM30=AN30,0,AQ30/(AM30-AN30))</f>
        <v>0</v>
      </c>
      <c r="AS30" s="54">
        <f t="shared" ref="AS30" si="140">BatSplit(D30:AI30,FldPts)</f>
        <v>0</v>
      </c>
      <c r="AT30" s="57">
        <f t="array" ref="AT30">SUM(IF(ISERR(FIND("*",D30:AI30)),0,1))</f>
        <v>0</v>
      </c>
      <c r="AU30" s="57">
        <f t="array" ref="AU30">SUM(IF(ISERR(FIND("+",D30:AI30)),0,1))</f>
        <v>0</v>
      </c>
      <c r="AV30" s="54">
        <f t="shared" ref="AV30" si="141">BatSplit(D30:AI30,Ducks)</f>
        <v>0</v>
      </c>
      <c r="AW30" s="57">
        <f t="array" ref="AW30">SUM(IF(ISERR(FIND(AW$4,$D30:$AI30)),0,1))</f>
        <v>0</v>
      </c>
      <c r="AX30" s="57">
        <f t="array" ref="AX30">SUM(IF(ISERR(FIND(AX$4,$D30:$AI30)),0,1))</f>
        <v>0</v>
      </c>
      <c r="AY30" s="57">
        <f t="array" ref="AY30">SUM(IF(ISERR(FIND(AY$4,$D30:$AI30)),0,1))</f>
        <v>0</v>
      </c>
      <c r="AZ30" s="57">
        <f t="array" ref="AZ30">SUM(IF(ISERR(FIND(AZ$4,$D30:$AI30)),0,1))</f>
        <v>0</v>
      </c>
      <c r="BA30" s="57">
        <f t="array" ref="BA30">SUM(IF(ISERR(FIND(BA$4,$D30:$AI30)),0,1))</f>
        <v>0</v>
      </c>
      <c r="BB30" s="57">
        <f t="array" ref="BB30">SUM(IF(ISERR(FIND(BB$4,$D30:$AI30)),0,1))</f>
        <v>0</v>
      </c>
      <c r="BC30" s="57">
        <f t="array" ref="BC30">SUM(IF(ISERR(FIND(BC$4,$D30:$AI30)),0,1))</f>
        <v>0</v>
      </c>
      <c r="BD30" s="57">
        <f t="shared" ref="BD30" si="142">BatSplit(D30:AI30,Fifties)</f>
        <v>0</v>
      </c>
      <c r="BE30" s="57">
        <f t="shared" ref="BE30" si="143">BatSplit(D30:AI30,Hundreds)</f>
        <v>0</v>
      </c>
      <c r="BF30" s="57">
        <f t="shared" ref="BF30" si="144">BatSplit(D30:AI30,Catches)</f>
        <v>0</v>
      </c>
      <c r="BG30" s="57">
        <f t="shared" ref="BG30" si="145">BatSplit(D30:AI30,Fours)</f>
        <v>0</v>
      </c>
      <c r="BH30" s="57">
        <f t="shared" ref="BH30" si="146">BatSplit(D30:AI30,Sixes)</f>
        <v>0</v>
      </c>
      <c r="BI30" s="57">
        <f t="shared" ref="BI30" si="147">BatSplit(D30:AI30,Stumpings)</f>
        <v>0</v>
      </c>
      <c r="BJ30" s="57">
        <f t="shared" ref="BJ30" si="148">BatSplit(D30:AI30,CaughtWkt)</f>
        <v>0</v>
      </c>
      <c r="BK30" s="57">
        <f t="shared" ref="BK30" si="149">BatSplit(D30:AI30,TwentyFives)</f>
        <v>0</v>
      </c>
      <c r="BL30" s="54">
        <f t="shared" ref="BL30" si="150">ROUND(IF(ISERROR(AR30),0,AR30),2)*100000+AM30*100+AK30+AQ30/100+ROW()/100000</f>
        <v>1.0003</v>
      </c>
      <c r="BM30" s="54">
        <f>RANK(BL30,$BL$5:$BL$70)</f>
        <v>28</v>
      </c>
      <c r="BN30" s="54">
        <v>20</v>
      </c>
      <c r="BO30" s="73" t="str">
        <f t="shared" ref="BO30" si="151">IF(AQ30&gt;=50,(BG30*4+BH30*6+BN30*5)/AQ30,"")</f>
        <v/>
      </c>
      <c r="BP30" s="80" t="e">
        <f t="shared" ref="BP30" si="152">AV30/(AM30-AN30)</f>
        <v>#DIV/0!</v>
      </c>
      <c r="BQ30" s="141">
        <f t="shared" ref="BQ30" si="153">BF30</f>
        <v>0</v>
      </c>
      <c r="BR30" s="54" t="str">
        <f t="shared" ref="BR30" si="154">IF(BF30=0,"",BF30&amp;IF(BJ30=0,""," ("&amp;BJ30&amp;")"))</f>
        <v/>
      </c>
      <c r="BS30" s="54" t="str">
        <f t="shared" ref="BS30" si="155">IF(BF30=0,"",C30)</f>
        <v/>
      </c>
      <c r="BT30" s="57">
        <f t="shared" ref="BT30" si="156">BH30</f>
        <v>0</v>
      </c>
      <c r="BU30" s="54" t="str">
        <f t="shared" ref="BU30" si="157">IF(BT30=0,"",C30)</f>
        <v/>
      </c>
      <c r="BV30" s="57">
        <f t="shared" ref="BV30" si="158">BG30</f>
        <v>0</v>
      </c>
      <c r="BW30" s="54" t="str">
        <f t="shared" ref="BW30" si="159">IF(BV30=0,"",C30)</f>
        <v/>
      </c>
      <c r="BX30" s="57">
        <f t="shared" ref="BX30" si="160">BK30</f>
        <v>0</v>
      </c>
      <c r="BY30" s="54" t="str">
        <f t="shared" ref="BY30" si="161">IF(BX30=0,"",C30)</f>
        <v/>
      </c>
      <c r="BZ30" s="54">
        <f t="shared" ref="BZ30" si="162">AK30</f>
        <v>1</v>
      </c>
      <c r="CA30" s="54" t="str">
        <f t="shared" ref="CA30" si="163">AJ30</f>
        <v>Madan N</v>
      </c>
      <c r="CB30" s="54">
        <f t="shared" ref="CB30" si="164">AV30</f>
        <v>0</v>
      </c>
      <c r="CC30" s="54" t="str">
        <f t="shared" ref="CC30" si="165">AJ30</f>
        <v>Madan N</v>
      </c>
    </row>
    <row r="31" spans="2:81" x14ac:dyDescent="0.15">
      <c r="B31" t="s">
        <v>25</v>
      </c>
      <c r="C31" t="s">
        <v>217</v>
      </c>
      <c r="D31" t="s">
        <v>365</v>
      </c>
      <c r="E31"/>
      <c r="F31" t="s">
        <v>304</v>
      </c>
      <c r="G31" t="s">
        <v>304</v>
      </c>
      <c r="H31" t="s">
        <v>532</v>
      </c>
      <c r="I31" t="s">
        <v>304</v>
      </c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J31" s="54" t="str">
        <f t="shared" si="31"/>
        <v>Mander A</v>
      </c>
      <c r="AK31" s="54">
        <f t="shared" si="101"/>
        <v>5</v>
      </c>
      <c r="AL31" s="54">
        <f t="shared" si="102"/>
        <v>4</v>
      </c>
      <c r="AM31" s="54">
        <f t="shared" si="103"/>
        <v>1</v>
      </c>
      <c r="AN31" s="54">
        <f t="shared" si="104"/>
        <v>1</v>
      </c>
      <c r="AO31" s="54">
        <f t="shared" si="105"/>
        <v>0</v>
      </c>
      <c r="AP31" s="58">
        <f t="shared" si="106"/>
        <v>0</v>
      </c>
      <c r="AQ31" s="54">
        <f t="shared" si="107"/>
        <v>0</v>
      </c>
      <c r="AR31" s="56">
        <f t="shared" si="108"/>
        <v>0</v>
      </c>
      <c r="AS31" s="54">
        <f t="shared" si="109"/>
        <v>0</v>
      </c>
      <c r="AT31" s="57">
        <f t="array" ref="AT31">SUM(IF(ISERR(FIND("*",D31:AI31)),0,1))</f>
        <v>0</v>
      </c>
      <c r="AU31" s="57">
        <f t="array" ref="AU31">SUM(IF(ISERR(FIND("+",D31:AI31)),0,1))</f>
        <v>0</v>
      </c>
      <c r="AV31" s="54">
        <f t="shared" si="110"/>
        <v>0</v>
      </c>
      <c r="AW31" s="57">
        <f t="array" ref="AW31">SUM(IF(ISERR(FIND(AW$4,$D31:$AI31)),0,1))</f>
        <v>0</v>
      </c>
      <c r="AX31" s="57">
        <f t="array" ref="AX31">SUM(IF(ISERR(FIND(AX$4,$D31:$AI31)),0,1))</f>
        <v>0</v>
      </c>
      <c r="AY31" s="57">
        <f t="array" ref="AY31">SUM(IF(ISERR(FIND(AY$4,$D31:$AI31)),0,1))</f>
        <v>0</v>
      </c>
      <c r="AZ31" s="57">
        <f t="array" ref="AZ31">SUM(IF(ISERR(FIND(AZ$4,$D31:$AI31)),0,1))</f>
        <v>0</v>
      </c>
      <c r="BA31" s="57">
        <f t="array" ref="BA31">SUM(IF(ISERR(FIND(BA$4,$D31:$AI31)),0,1))</f>
        <v>0</v>
      </c>
      <c r="BB31" s="57">
        <f t="array" ref="BB31">SUM(IF(ISERR(FIND(BB$4,$D31:$AI31)),0,1))</f>
        <v>0</v>
      </c>
      <c r="BC31" s="57">
        <f t="array" ref="BC31">SUM(IF(ISERR(FIND(BC$4,$D31:$AI31)),0,1))</f>
        <v>0</v>
      </c>
      <c r="BD31" s="57">
        <f t="shared" si="111"/>
        <v>0</v>
      </c>
      <c r="BE31" s="57">
        <f t="shared" si="112"/>
        <v>0</v>
      </c>
      <c r="BF31" s="57">
        <f t="shared" si="113"/>
        <v>0</v>
      </c>
      <c r="BG31" s="57">
        <f t="shared" si="114"/>
        <v>0</v>
      </c>
      <c r="BH31" s="57">
        <f t="shared" si="115"/>
        <v>0</v>
      </c>
      <c r="BI31" s="57">
        <f t="shared" si="116"/>
        <v>0</v>
      </c>
      <c r="BJ31" s="57">
        <f t="shared" si="117"/>
        <v>0</v>
      </c>
      <c r="BK31" s="57">
        <f t="shared" si="118"/>
        <v>0</v>
      </c>
      <c r="BL31" s="54">
        <f t="shared" si="119"/>
        <v>105.00031</v>
      </c>
      <c r="BM31" s="54">
        <f>RANK(BL31,$BL$5:$BL$70)</f>
        <v>21</v>
      </c>
      <c r="BN31" s="54">
        <v>20</v>
      </c>
      <c r="BO31" s="73" t="str">
        <f t="shared" si="120"/>
        <v/>
      </c>
      <c r="BP31" s="80" t="e">
        <f t="shared" si="121"/>
        <v>#DIV/0!</v>
      </c>
      <c r="BQ31" s="141">
        <f t="shared" si="122"/>
        <v>0</v>
      </c>
      <c r="BR31" s="54" t="str">
        <f t="shared" si="123"/>
        <v/>
      </c>
      <c r="BS31" s="54" t="str">
        <f t="shared" si="124"/>
        <v/>
      </c>
      <c r="BT31" s="57">
        <f t="shared" si="125"/>
        <v>0</v>
      </c>
      <c r="BU31" s="54" t="str">
        <f t="shared" si="126"/>
        <v/>
      </c>
      <c r="BV31" s="57">
        <f t="shared" si="127"/>
        <v>0</v>
      </c>
      <c r="BW31" s="54" t="str">
        <f t="shared" si="128"/>
        <v/>
      </c>
      <c r="BX31" s="57">
        <f t="shared" si="129"/>
        <v>0</v>
      </c>
      <c r="BY31" s="54" t="str">
        <f t="shared" si="130"/>
        <v/>
      </c>
      <c r="BZ31" s="54">
        <f t="shared" si="62"/>
        <v>5</v>
      </c>
      <c r="CA31" s="54" t="str">
        <f t="shared" si="63"/>
        <v>Mander A</v>
      </c>
      <c r="CB31" s="54">
        <f t="shared" si="64"/>
        <v>0</v>
      </c>
      <c r="CC31" s="54" t="str">
        <f t="shared" si="65"/>
        <v>Mander A</v>
      </c>
    </row>
    <row r="32" spans="2:81" x14ac:dyDescent="0.15">
      <c r="B32" t="s">
        <v>26</v>
      </c>
      <c r="C32" t="s">
        <v>391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J32" t="str">
        <f t="shared" si="31"/>
        <v>Mander C</v>
      </c>
      <c r="AK32" s="54">
        <f t="shared" si="101"/>
        <v>0</v>
      </c>
      <c r="AL32" s="54">
        <f t="shared" si="102"/>
        <v>0</v>
      </c>
      <c r="AM32" s="54">
        <f t="shared" si="103"/>
        <v>0</v>
      </c>
      <c r="AN32" s="54">
        <f t="shared" si="104"/>
        <v>0</v>
      </c>
      <c r="AO32" s="54">
        <f t="shared" si="105"/>
        <v>0</v>
      </c>
      <c r="AP32" s="58">
        <f t="shared" si="106"/>
        <v>0</v>
      </c>
      <c r="AQ32" s="54">
        <f t="shared" si="107"/>
        <v>0</v>
      </c>
      <c r="AR32" s="56">
        <f t="shared" si="108"/>
        <v>0</v>
      </c>
      <c r="AS32" s="54">
        <f t="shared" si="109"/>
        <v>0</v>
      </c>
      <c r="AT32" s="57">
        <f t="array" ref="AT32">SUM(IF(ISERR(FIND("*",D32:AI32)),0,1))</f>
        <v>0</v>
      </c>
      <c r="AU32" s="57">
        <f t="array" ref="AU32">SUM(IF(ISERR(FIND("+",D32:AI32)),0,1))</f>
        <v>0</v>
      </c>
      <c r="AV32" s="54">
        <f t="shared" si="110"/>
        <v>0</v>
      </c>
      <c r="AW32" s="57">
        <f t="array" ref="AW32">SUM(IF(ISERR(FIND(AW$4,$D32:$AI32)),0,1))</f>
        <v>0</v>
      </c>
      <c r="AX32" s="57">
        <f t="array" ref="AX32">SUM(IF(ISERR(FIND(AX$4,$D32:$AI32)),0,1))</f>
        <v>0</v>
      </c>
      <c r="AY32" s="57">
        <f t="array" ref="AY32">SUM(IF(ISERR(FIND(AY$4,$D32:$AI32)),0,1))</f>
        <v>0</v>
      </c>
      <c r="AZ32" s="57">
        <f t="array" ref="AZ32">SUM(IF(ISERR(FIND(AZ$4,$D32:$AI32)),0,1))</f>
        <v>0</v>
      </c>
      <c r="BA32" s="57">
        <f t="array" ref="BA32">SUM(IF(ISERR(FIND(BA$4,$D32:$AI32)),0,1))</f>
        <v>0</v>
      </c>
      <c r="BB32" s="57">
        <f t="array" ref="BB32">SUM(IF(ISERR(FIND(BB$4,$D32:$AI32)),0,1))</f>
        <v>0</v>
      </c>
      <c r="BC32" s="57">
        <f t="array" ref="BC32">SUM(IF(ISERR(FIND(BC$4,$D32:$AI32)),0,1))</f>
        <v>0</v>
      </c>
      <c r="BD32" s="57">
        <f t="shared" si="111"/>
        <v>0</v>
      </c>
      <c r="BE32" s="57">
        <f t="shared" si="112"/>
        <v>0</v>
      </c>
      <c r="BF32" s="57">
        <f t="shared" si="113"/>
        <v>0</v>
      </c>
      <c r="BG32" s="57">
        <f t="shared" si="114"/>
        <v>0</v>
      </c>
      <c r="BH32" s="57">
        <f t="shared" si="115"/>
        <v>0</v>
      </c>
      <c r="BI32" s="57">
        <f t="shared" si="116"/>
        <v>0</v>
      </c>
      <c r="BJ32" s="57">
        <f t="shared" si="117"/>
        <v>0</v>
      </c>
      <c r="BK32" s="57">
        <f t="shared" si="118"/>
        <v>0</v>
      </c>
      <c r="BL32" s="54">
        <f t="shared" si="119"/>
        <v>3.2000000000000003E-4</v>
      </c>
      <c r="BM32" s="54">
        <f>RANK(BL32,$BL$5:$BL$70)</f>
        <v>49</v>
      </c>
      <c r="BN32" s="54">
        <v>21</v>
      </c>
      <c r="BO32" s="73" t="str">
        <f t="shared" si="120"/>
        <v/>
      </c>
      <c r="BP32" s="80" t="e">
        <f t="shared" si="121"/>
        <v>#DIV/0!</v>
      </c>
      <c r="BQ32" s="141">
        <f t="shared" si="122"/>
        <v>0</v>
      </c>
      <c r="BR32" s="54" t="str">
        <f t="shared" si="123"/>
        <v/>
      </c>
      <c r="BS32" s="54" t="str">
        <f t="shared" si="124"/>
        <v/>
      </c>
      <c r="BT32" s="57">
        <f t="shared" si="125"/>
        <v>0</v>
      </c>
      <c r="BU32" s="54" t="str">
        <f t="shared" si="126"/>
        <v/>
      </c>
      <c r="BV32" s="57">
        <f t="shared" si="127"/>
        <v>0</v>
      </c>
      <c r="BW32" s="54" t="str">
        <f t="shared" si="128"/>
        <v/>
      </c>
      <c r="BX32" s="57">
        <f t="shared" si="129"/>
        <v>0</v>
      </c>
      <c r="BY32" s="54" t="str">
        <f t="shared" si="130"/>
        <v/>
      </c>
      <c r="BZ32" s="54">
        <f t="shared" si="62"/>
        <v>0</v>
      </c>
      <c r="CA32" s="54" t="str">
        <f t="shared" si="63"/>
        <v>Mander C</v>
      </c>
      <c r="CB32" s="54">
        <f t="shared" si="64"/>
        <v>0</v>
      </c>
      <c r="CC32" s="54" t="str">
        <f t="shared" si="65"/>
        <v>Mander C</v>
      </c>
    </row>
    <row r="33" spans="1:81" x14ac:dyDescent="0.15">
      <c r="B33" s="54" t="s">
        <v>27</v>
      </c>
      <c r="C33" s="54" t="s">
        <v>201</v>
      </c>
      <c r="D33" t="s">
        <v>458</v>
      </c>
      <c r="E33" t="s">
        <v>487</v>
      </c>
      <c r="F33"/>
      <c r="G33" t="s">
        <v>508</v>
      </c>
      <c r="H33"/>
      <c r="I33"/>
      <c r="J33"/>
      <c r="K33" t="s">
        <v>573</v>
      </c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J33" s="54" t="str">
        <f t="shared" si="31"/>
        <v>Middleton J</v>
      </c>
      <c r="AK33" s="54">
        <f t="shared" si="101"/>
        <v>4</v>
      </c>
      <c r="AL33" s="54">
        <f t="shared" si="102"/>
        <v>0</v>
      </c>
      <c r="AM33" s="54">
        <f t="shared" si="103"/>
        <v>4</v>
      </c>
      <c r="AN33" s="54">
        <f t="shared" si="104"/>
        <v>0</v>
      </c>
      <c r="AO33" s="54">
        <f t="shared" si="105"/>
        <v>55</v>
      </c>
      <c r="AP33" s="58">
        <f t="shared" si="106"/>
        <v>55</v>
      </c>
      <c r="AQ33" s="54">
        <f t="shared" si="107"/>
        <v>67</v>
      </c>
      <c r="AR33" s="56">
        <f t="shared" si="108"/>
        <v>16.75</v>
      </c>
      <c r="AS33" s="54">
        <f t="shared" si="109"/>
        <v>10</v>
      </c>
      <c r="AT33" s="57">
        <f t="array" ref="AT33">SUM(IF(ISERR(FIND("*",D33:AI33)),0,1))</f>
        <v>0</v>
      </c>
      <c r="AU33" s="57">
        <f t="array" ref="AU33">SUM(IF(ISERR(FIND("+",D33:AI33)),0,1))</f>
        <v>0</v>
      </c>
      <c r="AV33" s="54">
        <f t="shared" si="110"/>
        <v>2</v>
      </c>
      <c r="AW33" s="57">
        <f t="array" ref="AW33">SUM(IF(ISERR(FIND(AW$4,$D33:$AI33)),0,1))</f>
        <v>0</v>
      </c>
      <c r="AX33" s="57">
        <f t="array" ref="AX33">SUM(IF(ISERR(FIND(AX$4,$D33:$AI33)),0,1))</f>
        <v>2</v>
      </c>
      <c r="AY33" s="57">
        <f t="array" ref="AY33">SUM(IF(ISERR(FIND(AY$4,$D33:$AI33)),0,1))</f>
        <v>1</v>
      </c>
      <c r="AZ33" s="57">
        <f t="array" ref="AZ33">SUM(IF(ISERR(FIND(AZ$4,$D33:$AI33)),0,1))</f>
        <v>0</v>
      </c>
      <c r="BA33" s="57">
        <f t="array" ref="BA33">SUM(IF(ISERR(FIND(BA$4,$D33:$AI33)),0,1))</f>
        <v>0</v>
      </c>
      <c r="BB33" s="57">
        <f t="array" ref="BB33">SUM(IF(ISERR(FIND(BB$4,$D33:$AI33)),0,1))</f>
        <v>0</v>
      </c>
      <c r="BC33" s="57">
        <f t="array" ref="BC33">SUM(IF(ISERR(FIND(BC$4,$D33:$AI33)),0,1))</f>
        <v>0</v>
      </c>
      <c r="BD33" s="57">
        <f t="shared" si="111"/>
        <v>1</v>
      </c>
      <c r="BE33" s="57">
        <f t="shared" si="112"/>
        <v>0</v>
      </c>
      <c r="BF33" s="57">
        <f t="shared" si="113"/>
        <v>2</v>
      </c>
      <c r="BG33" s="57">
        <f t="shared" si="114"/>
        <v>10</v>
      </c>
      <c r="BH33" s="57">
        <f t="shared" si="115"/>
        <v>0</v>
      </c>
      <c r="BI33" s="57">
        <f t="shared" si="116"/>
        <v>0</v>
      </c>
      <c r="BJ33" s="57">
        <f t="shared" si="117"/>
        <v>0</v>
      </c>
      <c r="BK33" s="57">
        <f t="shared" si="118"/>
        <v>1</v>
      </c>
      <c r="BL33" s="54">
        <f t="shared" si="119"/>
        <v>1675404.6703299999</v>
      </c>
      <c r="BM33" s="54">
        <f>RANK(BL33,$BL$5:$BL$70)</f>
        <v>6</v>
      </c>
      <c r="BN33" s="54">
        <v>22</v>
      </c>
      <c r="BO33" s="73">
        <f t="shared" si="120"/>
        <v>2.2388059701492535</v>
      </c>
      <c r="BP33" s="80">
        <f t="shared" si="121"/>
        <v>0.5</v>
      </c>
      <c r="BQ33" s="141">
        <f t="shared" si="122"/>
        <v>2</v>
      </c>
      <c r="BR33" s="54" t="str">
        <f t="shared" si="123"/>
        <v>2</v>
      </c>
      <c r="BS33" s="54" t="str">
        <f t="shared" si="124"/>
        <v>Middleton J</v>
      </c>
      <c r="BT33" s="57">
        <f t="shared" si="125"/>
        <v>0</v>
      </c>
      <c r="BU33" s="54" t="str">
        <f t="shared" si="126"/>
        <v/>
      </c>
      <c r="BV33" s="57">
        <f t="shared" si="127"/>
        <v>10</v>
      </c>
      <c r="BW33" s="54" t="str">
        <f t="shared" si="128"/>
        <v>Middleton J</v>
      </c>
      <c r="BX33" s="57">
        <f t="shared" si="129"/>
        <v>1</v>
      </c>
      <c r="BY33" s="54" t="str">
        <f t="shared" si="130"/>
        <v>Middleton J</v>
      </c>
      <c r="BZ33" s="54">
        <f t="shared" si="62"/>
        <v>4</v>
      </c>
      <c r="CA33" s="54" t="str">
        <f t="shared" si="63"/>
        <v>Middleton J</v>
      </c>
      <c r="CB33" s="54">
        <f t="shared" si="64"/>
        <v>2</v>
      </c>
      <c r="CC33" s="54" t="str">
        <f t="shared" si="65"/>
        <v>Middleton J</v>
      </c>
    </row>
    <row r="34" spans="1:81" x14ac:dyDescent="0.15">
      <c r="B34" t="s">
        <v>4</v>
      </c>
      <c r="C34" t="s">
        <v>205</v>
      </c>
      <c r="D34" t="s">
        <v>478</v>
      </c>
      <c r="E34" t="s">
        <v>492</v>
      </c>
      <c r="F34"/>
      <c r="G34" t="s">
        <v>520</v>
      </c>
      <c r="H34" t="s">
        <v>531</v>
      </c>
      <c r="I34" t="s">
        <v>353</v>
      </c>
      <c r="J34"/>
      <c r="K34" t="s">
        <v>577</v>
      </c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AJ34" s="54" t="str">
        <f t="shared" si="31"/>
        <v>Nair S</v>
      </c>
      <c r="AK34" s="54">
        <f t="shared" si="101"/>
        <v>6</v>
      </c>
      <c r="AL34" s="54">
        <f t="shared" si="102"/>
        <v>2</v>
      </c>
      <c r="AM34" s="54">
        <f t="shared" si="103"/>
        <v>4</v>
      </c>
      <c r="AN34" s="54">
        <f t="shared" si="104"/>
        <v>1</v>
      </c>
      <c r="AO34" s="54">
        <f t="shared" si="105"/>
        <v>-12</v>
      </c>
      <c r="AP34" s="58" t="str">
        <f t="shared" si="106"/>
        <v>12*</v>
      </c>
      <c r="AQ34" s="54">
        <f t="shared" si="107"/>
        <v>23</v>
      </c>
      <c r="AR34" s="56">
        <f t="shared" si="108"/>
        <v>7.666666666666667</v>
      </c>
      <c r="AS34" s="54">
        <f t="shared" si="109"/>
        <v>15</v>
      </c>
      <c r="AT34" s="57">
        <f t="array" ref="AT34">SUM(IF(ISERR(FIND("*",D34:AI34)),0,1))</f>
        <v>1</v>
      </c>
      <c r="AU34" s="57">
        <f t="array" ref="AU34">SUM(IF(ISERR(FIND("+",D34:AI34)),0,1))</f>
        <v>0</v>
      </c>
      <c r="AV34" s="54">
        <f t="shared" si="110"/>
        <v>2</v>
      </c>
      <c r="AW34" s="57">
        <f t="array" ref="AW34">SUM(IF(ISERR(FIND(AW$4,$D34:$AI34)),0,1))</f>
        <v>1</v>
      </c>
      <c r="AX34" s="57">
        <f t="array" ref="AX34">SUM(IF(ISERR(FIND(AX$4,$D34:$AI34)),0,1))</f>
        <v>1</v>
      </c>
      <c r="AY34" s="57">
        <f t="array" ref="AY34">SUM(IF(ISERR(FIND(AY$4,$D34:$AI34)),0,1))</f>
        <v>0</v>
      </c>
      <c r="AZ34" s="57">
        <f t="array" ref="AZ34">SUM(IF(ISERR(FIND(AZ$4,$D34:$AI34)),0,1))</f>
        <v>0</v>
      </c>
      <c r="BA34" s="57">
        <f t="array" ref="BA34">SUM(IF(ISERR(FIND(BA$4,$D34:$AI34)),0,1))</f>
        <v>0</v>
      </c>
      <c r="BB34" s="57">
        <f t="array" ref="BB34">SUM(IF(ISERR(FIND(BB$4,$D34:$AI34)),0,1))</f>
        <v>0</v>
      </c>
      <c r="BC34" s="57">
        <f t="array" ref="BC34">SUM(IF(ISERR(FIND(BC$4,$D34:$AI34)),0,1))</f>
        <v>0</v>
      </c>
      <c r="BD34" s="57">
        <f t="shared" si="111"/>
        <v>0</v>
      </c>
      <c r="BE34" s="57">
        <f t="shared" si="112"/>
        <v>0</v>
      </c>
      <c r="BF34" s="57">
        <f t="shared" si="113"/>
        <v>3</v>
      </c>
      <c r="BG34" s="57">
        <f t="shared" si="114"/>
        <v>3</v>
      </c>
      <c r="BH34" s="57">
        <f t="shared" si="115"/>
        <v>0</v>
      </c>
      <c r="BI34" s="57">
        <f t="shared" si="116"/>
        <v>0</v>
      </c>
      <c r="BJ34" s="57">
        <f t="shared" si="117"/>
        <v>0</v>
      </c>
      <c r="BK34" s="57">
        <f t="shared" si="118"/>
        <v>0</v>
      </c>
      <c r="BL34" s="54">
        <f t="shared" si="119"/>
        <v>767406.23034000001</v>
      </c>
      <c r="BM34" s="54">
        <f>RANK(BL34,$BL$5:$BL$70)</f>
        <v>15</v>
      </c>
      <c r="BN34" s="54">
        <v>23</v>
      </c>
      <c r="BO34" s="73" t="str">
        <f t="shared" si="120"/>
        <v/>
      </c>
      <c r="BP34" s="80">
        <f t="shared" si="121"/>
        <v>0.66666666666666663</v>
      </c>
      <c r="BQ34" s="141">
        <f t="shared" si="122"/>
        <v>3</v>
      </c>
      <c r="BR34" s="54" t="str">
        <f t="shared" si="123"/>
        <v>3</v>
      </c>
      <c r="BS34" s="54" t="str">
        <f t="shared" si="124"/>
        <v>Nair S</v>
      </c>
      <c r="BT34" s="57">
        <f t="shared" si="125"/>
        <v>0</v>
      </c>
      <c r="BU34" s="54" t="str">
        <f t="shared" si="126"/>
        <v/>
      </c>
      <c r="BV34" s="57">
        <f t="shared" si="127"/>
        <v>3</v>
      </c>
      <c r="BW34" s="54" t="str">
        <f t="shared" si="128"/>
        <v>Nair S</v>
      </c>
      <c r="BX34" s="57">
        <f t="shared" si="129"/>
        <v>0</v>
      </c>
      <c r="BY34" s="54" t="str">
        <f t="shared" si="130"/>
        <v/>
      </c>
      <c r="BZ34" s="54">
        <f t="shared" si="62"/>
        <v>6</v>
      </c>
      <c r="CA34" s="54" t="str">
        <f t="shared" si="63"/>
        <v>Nair S</v>
      </c>
      <c r="CB34" s="54">
        <f t="shared" si="64"/>
        <v>2</v>
      </c>
      <c r="CC34" s="54" t="str">
        <f t="shared" si="65"/>
        <v>Nair S</v>
      </c>
    </row>
    <row r="35" spans="1:81" x14ac:dyDescent="0.15">
      <c r="B35" t="s">
        <v>256</v>
      </c>
      <c r="C35" t="s">
        <v>257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AJ35" s="54" t="str">
        <f t="shared" si="31"/>
        <v>Naish J</v>
      </c>
      <c r="AK35" s="54">
        <f t="shared" si="101"/>
        <v>0</v>
      </c>
      <c r="AL35" s="54">
        <f t="shared" si="102"/>
        <v>0</v>
      </c>
      <c r="AM35" s="54">
        <f t="shared" si="103"/>
        <v>0</v>
      </c>
      <c r="AN35" s="54">
        <f t="shared" si="104"/>
        <v>0</v>
      </c>
      <c r="AO35" s="54">
        <f t="shared" si="105"/>
        <v>0</v>
      </c>
      <c r="AP35" s="58">
        <f t="shared" si="106"/>
        <v>0</v>
      </c>
      <c r="AQ35" s="54">
        <f t="shared" si="107"/>
        <v>0</v>
      </c>
      <c r="AR35" s="56">
        <f t="shared" si="108"/>
        <v>0</v>
      </c>
      <c r="AS35" s="54">
        <f t="shared" si="109"/>
        <v>0</v>
      </c>
      <c r="AT35" s="57">
        <f t="array" ref="AT35">SUM(IF(ISERR(FIND("*",D35:AI35)),0,1))</f>
        <v>0</v>
      </c>
      <c r="AU35" s="57">
        <f t="array" ref="AU35">SUM(IF(ISERR(FIND("+",D35:AI35)),0,1))</f>
        <v>0</v>
      </c>
      <c r="AV35" s="54">
        <f t="shared" si="110"/>
        <v>0</v>
      </c>
      <c r="AW35" s="57">
        <f t="array" ref="AW35">SUM(IF(ISERR(FIND(AW$4,$D35:$AI35)),0,1))</f>
        <v>0</v>
      </c>
      <c r="AX35" s="57">
        <f t="array" ref="AX35">SUM(IF(ISERR(FIND(AX$4,$D35:$AI35)),0,1))</f>
        <v>0</v>
      </c>
      <c r="AY35" s="57">
        <f t="array" ref="AY35">SUM(IF(ISERR(FIND(AY$4,$D35:$AI35)),0,1))</f>
        <v>0</v>
      </c>
      <c r="AZ35" s="57">
        <f t="array" ref="AZ35">SUM(IF(ISERR(FIND(AZ$4,$D35:$AI35)),0,1))</f>
        <v>0</v>
      </c>
      <c r="BA35" s="57">
        <f t="array" ref="BA35">SUM(IF(ISERR(FIND(BA$4,$D35:$AI35)),0,1))</f>
        <v>0</v>
      </c>
      <c r="BB35" s="57">
        <f t="array" ref="BB35">SUM(IF(ISERR(FIND(BB$4,$D35:$AI35)),0,1))</f>
        <v>0</v>
      </c>
      <c r="BC35" s="57">
        <f t="array" ref="BC35">SUM(IF(ISERR(FIND(BC$4,$D35:$AI35)),0,1))</f>
        <v>0</v>
      </c>
      <c r="BD35" s="57">
        <f t="shared" si="111"/>
        <v>0</v>
      </c>
      <c r="BE35" s="57">
        <f t="shared" si="112"/>
        <v>0</v>
      </c>
      <c r="BF35" s="57">
        <f t="shared" si="113"/>
        <v>0</v>
      </c>
      <c r="BG35" s="57">
        <f t="shared" si="114"/>
        <v>0</v>
      </c>
      <c r="BH35" s="57">
        <f t="shared" si="115"/>
        <v>0</v>
      </c>
      <c r="BI35" s="57">
        <f t="shared" si="116"/>
        <v>0</v>
      </c>
      <c r="BJ35" s="57">
        <f t="shared" si="117"/>
        <v>0</v>
      </c>
      <c r="BK35" s="57">
        <f t="shared" si="118"/>
        <v>0</v>
      </c>
      <c r="BL35" s="54">
        <f t="shared" si="119"/>
        <v>3.5E-4</v>
      </c>
      <c r="BM35" s="54">
        <f>RANK(BL35,$BL$5:$BL$70)</f>
        <v>48</v>
      </c>
      <c r="BN35" s="54">
        <v>24</v>
      </c>
      <c r="BO35" s="73" t="str">
        <f t="shared" si="120"/>
        <v/>
      </c>
      <c r="BP35" s="80" t="e">
        <f t="shared" si="121"/>
        <v>#DIV/0!</v>
      </c>
      <c r="BQ35" s="141">
        <f t="shared" si="122"/>
        <v>0</v>
      </c>
      <c r="BR35" s="54" t="str">
        <f t="shared" si="123"/>
        <v/>
      </c>
      <c r="BS35" s="54" t="str">
        <f t="shared" si="124"/>
        <v/>
      </c>
      <c r="BT35" s="57">
        <f t="shared" si="125"/>
        <v>0</v>
      </c>
      <c r="BU35" s="54" t="str">
        <f t="shared" si="126"/>
        <v/>
      </c>
      <c r="BV35" s="57">
        <f t="shared" si="127"/>
        <v>0</v>
      </c>
      <c r="BW35" s="54" t="str">
        <f t="shared" si="128"/>
        <v/>
      </c>
      <c r="BX35" s="57">
        <f t="shared" si="129"/>
        <v>0</v>
      </c>
      <c r="BY35" s="54" t="str">
        <f t="shared" si="130"/>
        <v/>
      </c>
      <c r="BZ35" s="54">
        <f t="shared" si="62"/>
        <v>0</v>
      </c>
      <c r="CA35" s="54" t="str">
        <f t="shared" si="63"/>
        <v>Naish J</v>
      </c>
      <c r="CB35" s="54">
        <f t="shared" si="64"/>
        <v>0</v>
      </c>
      <c r="CC35" s="54" t="str">
        <f t="shared" si="65"/>
        <v>Naish J</v>
      </c>
    </row>
    <row r="36" spans="1:81" x14ac:dyDescent="0.15">
      <c r="B36"/>
      <c r="C36" t="s">
        <v>374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AJ36" t="str">
        <f t="shared" si="31"/>
        <v>"Naveed"</v>
      </c>
      <c r="AK36" s="54">
        <f t="shared" si="101"/>
        <v>0</v>
      </c>
      <c r="AL36" s="54">
        <f t="shared" si="102"/>
        <v>0</v>
      </c>
      <c r="AM36" s="54">
        <f t="shared" si="103"/>
        <v>0</v>
      </c>
      <c r="AN36" s="54">
        <f t="shared" si="104"/>
        <v>0</v>
      </c>
      <c r="AO36" s="54">
        <f t="shared" si="105"/>
        <v>0</v>
      </c>
      <c r="AP36" s="58">
        <f t="shared" si="106"/>
        <v>0</v>
      </c>
      <c r="AQ36" s="54">
        <f t="shared" si="107"/>
        <v>0</v>
      </c>
      <c r="AR36" s="56">
        <f t="shared" si="108"/>
        <v>0</v>
      </c>
      <c r="AS36" s="54">
        <f t="shared" si="109"/>
        <v>0</v>
      </c>
      <c r="AT36" s="57">
        <f t="array" ref="AT36">SUM(IF(ISERR(FIND("*",D36:AI36)),0,1))</f>
        <v>0</v>
      </c>
      <c r="AU36" s="57">
        <f t="array" ref="AU36">SUM(IF(ISERR(FIND("+",D36:AI36)),0,1))</f>
        <v>0</v>
      </c>
      <c r="AV36" s="54">
        <f t="shared" si="110"/>
        <v>0</v>
      </c>
      <c r="AW36" s="57">
        <f t="array" ref="AW36">SUM(IF(ISERR(FIND(AW$4,$D36:$AI36)),0,1))</f>
        <v>0</v>
      </c>
      <c r="AX36" s="57">
        <f t="array" ref="AX36">SUM(IF(ISERR(FIND(AX$4,$D36:$AI36)),0,1))</f>
        <v>0</v>
      </c>
      <c r="AY36" s="57">
        <f t="array" ref="AY36">SUM(IF(ISERR(FIND(AY$4,$D36:$AI36)),0,1))</f>
        <v>0</v>
      </c>
      <c r="AZ36" s="57">
        <f t="array" ref="AZ36">SUM(IF(ISERR(FIND(AZ$4,$D36:$AI36)),0,1))</f>
        <v>0</v>
      </c>
      <c r="BA36" s="57">
        <f t="array" ref="BA36">SUM(IF(ISERR(FIND(BA$4,$D36:$AI36)),0,1))</f>
        <v>0</v>
      </c>
      <c r="BB36" s="57">
        <f t="array" ref="BB36">SUM(IF(ISERR(FIND(BB$4,$D36:$AI36)),0,1))</f>
        <v>0</v>
      </c>
      <c r="BC36" s="57">
        <f t="array" ref="BC36">SUM(IF(ISERR(FIND(BC$4,$D36:$AI36)),0,1))</f>
        <v>0</v>
      </c>
      <c r="BD36" s="57">
        <f t="shared" si="111"/>
        <v>0</v>
      </c>
      <c r="BE36" s="57">
        <f t="shared" si="112"/>
        <v>0</v>
      </c>
      <c r="BF36" s="57">
        <f t="shared" si="113"/>
        <v>0</v>
      </c>
      <c r="BG36" s="57">
        <f t="shared" si="114"/>
        <v>0</v>
      </c>
      <c r="BH36" s="57">
        <f t="shared" si="115"/>
        <v>0</v>
      </c>
      <c r="BI36" s="57">
        <f t="shared" si="116"/>
        <v>0</v>
      </c>
      <c r="BJ36" s="57">
        <f t="shared" si="117"/>
        <v>0</v>
      </c>
      <c r="BK36" s="57">
        <f t="shared" si="118"/>
        <v>0</v>
      </c>
      <c r="BL36" s="54">
        <f t="shared" si="119"/>
        <v>3.6000000000000002E-4</v>
      </c>
      <c r="BM36" s="54">
        <f>RANK(BL36,$BL$5:$BL$70)</f>
        <v>47</v>
      </c>
      <c r="BN36" s="54">
        <v>25</v>
      </c>
      <c r="BO36" s="73" t="str">
        <f t="shared" si="120"/>
        <v/>
      </c>
      <c r="BP36" s="80" t="e">
        <f t="shared" si="121"/>
        <v>#DIV/0!</v>
      </c>
      <c r="BQ36" s="141">
        <f t="shared" si="122"/>
        <v>0</v>
      </c>
      <c r="BR36" s="54" t="str">
        <f t="shared" si="123"/>
        <v/>
      </c>
      <c r="BS36" s="54" t="str">
        <f t="shared" si="124"/>
        <v/>
      </c>
      <c r="BT36" s="57">
        <f t="shared" si="125"/>
        <v>0</v>
      </c>
      <c r="BU36" s="54" t="str">
        <f t="shared" si="126"/>
        <v/>
      </c>
      <c r="BV36" s="57">
        <f t="shared" si="127"/>
        <v>0</v>
      </c>
      <c r="BW36" s="54" t="str">
        <f t="shared" si="128"/>
        <v/>
      </c>
      <c r="BX36" s="57">
        <f t="shared" si="129"/>
        <v>0</v>
      </c>
      <c r="BY36" s="54" t="str">
        <f t="shared" si="130"/>
        <v/>
      </c>
      <c r="BZ36" s="54">
        <f t="shared" si="62"/>
        <v>0</v>
      </c>
      <c r="CA36" s="54" t="str">
        <f t="shared" si="63"/>
        <v>"Naveed"</v>
      </c>
      <c r="CB36" s="54">
        <f t="shared" si="64"/>
        <v>0</v>
      </c>
      <c r="CC36" s="54" t="str">
        <f t="shared" si="65"/>
        <v>"Naveed"</v>
      </c>
    </row>
    <row r="37" spans="1:81" x14ac:dyDescent="0.15">
      <c r="B37" t="s">
        <v>274</v>
      </c>
      <c r="C37" t="s">
        <v>244</v>
      </c>
      <c r="D37" t="s">
        <v>479</v>
      </c>
      <c r="E37" t="s">
        <v>482</v>
      </c>
      <c r="F37" t="s">
        <v>500</v>
      </c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J37" s="54" t="str">
        <f t="shared" si="31"/>
        <v>Niran S</v>
      </c>
      <c r="AK37" s="54">
        <f t="shared" si="101"/>
        <v>3</v>
      </c>
      <c r="AL37" s="54">
        <f t="shared" si="102"/>
        <v>0</v>
      </c>
      <c r="AM37" s="54">
        <f t="shared" si="103"/>
        <v>3</v>
      </c>
      <c r="AN37" s="54">
        <f t="shared" si="104"/>
        <v>0</v>
      </c>
      <c r="AO37" s="54">
        <f t="shared" si="105"/>
        <v>19</v>
      </c>
      <c r="AP37" s="58">
        <f t="shared" si="106"/>
        <v>19</v>
      </c>
      <c r="AQ37" s="54">
        <f t="shared" si="107"/>
        <v>35</v>
      </c>
      <c r="AR37" s="56">
        <f t="shared" si="108"/>
        <v>11.666666666666666</v>
      </c>
      <c r="AS37" s="54">
        <f t="shared" si="109"/>
        <v>0</v>
      </c>
      <c r="AT37" s="57">
        <f t="array" ref="AT37">SUM(IF(ISERR(FIND("*",D37:AI37)),0,1))</f>
        <v>0</v>
      </c>
      <c r="AU37" s="57">
        <f t="array" ref="AU37">SUM(IF(ISERR(FIND("+",D37:AI37)),0,1))</f>
        <v>2</v>
      </c>
      <c r="AV37" s="54">
        <f t="shared" si="110"/>
        <v>0</v>
      </c>
      <c r="AW37" s="57">
        <f t="array" ref="AW37">SUM(IF(ISERR(FIND(AW$4,$D37:$AI37)),0,1))</f>
        <v>0</v>
      </c>
      <c r="AX37" s="57">
        <f t="array" ref="AX37">SUM(IF(ISERR(FIND(AX$4,$D37:$AI37)),0,1))</f>
        <v>2</v>
      </c>
      <c r="AY37" s="57">
        <f t="array" ref="AY37">SUM(IF(ISERR(FIND(AY$4,$D37:$AI37)),0,1))</f>
        <v>1</v>
      </c>
      <c r="AZ37" s="57">
        <f t="array" ref="AZ37">SUM(IF(ISERR(FIND(AZ$4,$D37:$AI37)),0,1))</f>
        <v>0</v>
      </c>
      <c r="BA37" s="57">
        <f t="array" ref="BA37">SUM(IF(ISERR(FIND(BA$4,$D37:$AI37)),0,1))</f>
        <v>0</v>
      </c>
      <c r="BB37" s="57">
        <f t="array" ref="BB37">SUM(IF(ISERR(FIND(BB$4,$D37:$AI37)),0,1))</f>
        <v>0</v>
      </c>
      <c r="BC37" s="57">
        <f t="array" ref="BC37">SUM(IF(ISERR(FIND(BC$4,$D37:$AI37)),0,1))</f>
        <v>0</v>
      </c>
      <c r="BD37" s="57">
        <f t="shared" si="111"/>
        <v>0</v>
      </c>
      <c r="BE37" s="57">
        <f t="shared" si="112"/>
        <v>0</v>
      </c>
      <c r="BF37" s="57">
        <f t="shared" si="113"/>
        <v>0</v>
      </c>
      <c r="BG37" s="57">
        <f t="shared" si="114"/>
        <v>2</v>
      </c>
      <c r="BH37" s="57">
        <f t="shared" si="115"/>
        <v>0</v>
      </c>
      <c r="BI37" s="57">
        <f t="shared" si="116"/>
        <v>1</v>
      </c>
      <c r="BJ37" s="57">
        <f t="shared" si="117"/>
        <v>0</v>
      </c>
      <c r="BK37" s="57">
        <f t="shared" si="118"/>
        <v>0</v>
      </c>
      <c r="BL37" s="54">
        <f t="shared" si="119"/>
        <v>1167303.3503700001</v>
      </c>
      <c r="BM37" s="54">
        <f>RANK(BL37,$BL$5:$BL$70)</f>
        <v>9</v>
      </c>
      <c r="BN37" s="54">
        <v>26</v>
      </c>
      <c r="BO37" s="73" t="str">
        <f t="shared" si="120"/>
        <v/>
      </c>
      <c r="BP37" s="80">
        <f t="shared" si="121"/>
        <v>0</v>
      </c>
      <c r="BQ37" s="141">
        <f t="shared" si="122"/>
        <v>0</v>
      </c>
      <c r="BR37" s="54" t="str">
        <f t="shared" si="123"/>
        <v/>
      </c>
      <c r="BS37" s="54" t="str">
        <f t="shared" si="124"/>
        <v/>
      </c>
      <c r="BT37" s="57">
        <f t="shared" si="125"/>
        <v>0</v>
      </c>
      <c r="BU37" s="54" t="str">
        <f t="shared" si="126"/>
        <v/>
      </c>
      <c r="BV37" s="57">
        <f t="shared" si="127"/>
        <v>2</v>
      </c>
      <c r="BW37" s="54" t="str">
        <f t="shared" si="128"/>
        <v>Niran S</v>
      </c>
      <c r="BX37" s="57">
        <f t="shared" si="129"/>
        <v>0</v>
      </c>
      <c r="BY37" s="54" t="str">
        <f t="shared" si="130"/>
        <v/>
      </c>
      <c r="BZ37" s="54">
        <f t="shared" si="62"/>
        <v>3</v>
      </c>
      <c r="CA37" s="54" t="str">
        <f t="shared" si="63"/>
        <v>Niran S</v>
      </c>
      <c r="CB37" s="54">
        <f t="shared" si="64"/>
        <v>0</v>
      </c>
      <c r="CC37" s="54" t="str">
        <f t="shared" si="65"/>
        <v>Niran S</v>
      </c>
    </row>
    <row r="38" spans="1:81" x14ac:dyDescent="0.15">
      <c r="B38" t="s">
        <v>505</v>
      </c>
      <c r="C38" t="s">
        <v>459</v>
      </c>
      <c r="D38" t="s">
        <v>481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J38" s="54" t="str">
        <f t="shared" ref="AJ38" si="166">C38</f>
        <v>Niran M</v>
      </c>
      <c r="AK38" s="54">
        <f t="shared" ref="AK38" si="167">BatSplit(D38:AI38,MatchesPlayed)</f>
        <v>1</v>
      </c>
      <c r="AL38" s="54">
        <f t="shared" ref="AL38" si="168">AK38-AM38</f>
        <v>0</v>
      </c>
      <c r="AM38" s="54">
        <f t="shared" ref="AM38" si="169">BatSplit(D38:AI38,InnsBattedIn)</f>
        <v>1</v>
      </c>
      <c r="AN38" s="54">
        <f t="shared" ref="AN38" si="170">BatSplit(D38:AI38,NotOuts)</f>
        <v>0</v>
      </c>
      <c r="AO38" s="54">
        <f t="shared" ref="AO38" si="171">BatSplit(D38:AI38,HighestScore)</f>
        <v>0</v>
      </c>
      <c r="AP38" s="58">
        <f t="shared" ref="AP38" si="172">IF(AO38&lt;0,-AO38&amp;"*",AO38)</f>
        <v>0</v>
      </c>
      <c r="AQ38" s="54">
        <f t="shared" ref="AQ38" si="173">BatSplit(D38:AI38,RunsScored)</f>
        <v>0</v>
      </c>
      <c r="AR38" s="56">
        <f t="shared" ref="AR38" si="174">IF(AM38=AN38,0,AQ38/(AM38-AN38))</f>
        <v>0</v>
      </c>
      <c r="AS38" s="54">
        <f t="shared" ref="AS38" si="175">BatSplit(D38:AI38,FldPts)</f>
        <v>0</v>
      </c>
      <c r="AT38" s="57">
        <f t="array" ref="AT38">SUM(IF(ISERR(FIND("*",D38:AI38)),0,1))</f>
        <v>0</v>
      </c>
      <c r="AU38" s="57">
        <f t="array" ref="AU38">SUM(IF(ISERR(FIND("+",D38:AI38)),0,1))</f>
        <v>1</v>
      </c>
      <c r="AV38" s="54">
        <f t="shared" ref="AV38" si="176">BatSplit(D38:AI38,Ducks)</f>
        <v>1</v>
      </c>
      <c r="AW38" s="57">
        <f t="array" ref="AW38">SUM(IF(ISERR(FIND(AW$4,$D38:$AI38)),0,1))</f>
        <v>1</v>
      </c>
      <c r="AX38" s="57">
        <f t="array" ref="AX38">SUM(IF(ISERR(FIND(AX$4,$D38:$AI38)),0,1))</f>
        <v>0</v>
      </c>
      <c r="AY38" s="57">
        <f t="array" ref="AY38">SUM(IF(ISERR(FIND(AY$4,$D38:$AI38)),0,1))</f>
        <v>0</v>
      </c>
      <c r="AZ38" s="57">
        <f t="array" ref="AZ38">SUM(IF(ISERR(FIND(AZ$4,$D38:$AI38)),0,1))</f>
        <v>0</v>
      </c>
      <c r="BA38" s="57">
        <f t="array" ref="BA38">SUM(IF(ISERR(FIND(BA$4,$D38:$AI38)),0,1))</f>
        <v>0</v>
      </c>
      <c r="BB38" s="57">
        <f t="array" ref="BB38">SUM(IF(ISERR(FIND(BB$4,$D38:$AI38)),0,1))</f>
        <v>0</v>
      </c>
      <c r="BC38" s="57">
        <f t="array" ref="BC38">SUM(IF(ISERR(FIND(BC$4,$D38:$AI38)),0,1))</f>
        <v>0</v>
      </c>
      <c r="BD38" s="57">
        <f t="shared" ref="BD38" si="177">BatSplit(D38:AI38,Fifties)</f>
        <v>0</v>
      </c>
      <c r="BE38" s="57">
        <f t="shared" ref="BE38" si="178">BatSplit(D38:AI38,Hundreds)</f>
        <v>0</v>
      </c>
      <c r="BF38" s="57">
        <f t="shared" ref="BF38" si="179">BatSplit(D38:AI38,Catches)</f>
        <v>0</v>
      </c>
      <c r="BG38" s="57">
        <f t="shared" ref="BG38" si="180">BatSplit(D38:AI38,Fours)</f>
        <v>0</v>
      </c>
      <c r="BH38" s="57">
        <f t="shared" ref="BH38" si="181">BatSplit(D38:AI38,Sixes)</f>
        <v>0</v>
      </c>
      <c r="BI38" s="57">
        <f t="shared" ref="BI38" si="182">BatSplit(D38:AI38,Stumpings)</f>
        <v>1</v>
      </c>
      <c r="BJ38" s="57">
        <f t="shared" ref="BJ38" si="183">BatSplit(D38:AI38,CaughtWkt)</f>
        <v>0</v>
      </c>
      <c r="BK38" s="57">
        <f t="shared" ref="BK38" si="184">BatSplit(D38:AI38,TwentyFives)</f>
        <v>0</v>
      </c>
      <c r="BL38" s="54">
        <f t="shared" ref="BL38" si="185">ROUND(IF(ISERROR(AR38),0,AR38),2)*100000+AM38*100+AK38+AQ38/100+ROW()/100000</f>
        <v>101.00038000000001</v>
      </c>
      <c r="BM38" s="54">
        <f>RANK(BL38,$BL$5:$BL$70)</f>
        <v>25</v>
      </c>
      <c r="BN38" s="54">
        <v>26</v>
      </c>
      <c r="BO38" s="73" t="str">
        <f t="shared" ref="BO38" si="186">IF(AQ38&gt;=50,(BG38*4+BH38*6+BN38*5)/AQ38,"")</f>
        <v/>
      </c>
      <c r="BP38" s="80">
        <f t="shared" ref="BP38" si="187">AV38/(AM38-AN38)</f>
        <v>1</v>
      </c>
      <c r="BQ38" s="141">
        <f t="shared" ref="BQ38" si="188">BF38</f>
        <v>0</v>
      </c>
      <c r="BR38" s="54" t="str">
        <f t="shared" ref="BR38" si="189">IF(BF38=0,"",BF38&amp;IF(BJ38=0,""," ("&amp;BJ38&amp;")"))</f>
        <v/>
      </c>
      <c r="BS38" s="54" t="str">
        <f t="shared" ref="BS38" si="190">IF(BF38=0,"",C38)</f>
        <v/>
      </c>
      <c r="BT38" s="57">
        <f t="shared" ref="BT38" si="191">BH38</f>
        <v>0</v>
      </c>
      <c r="BU38" s="54" t="str">
        <f t="shared" ref="BU38" si="192">IF(BT38=0,"",C38)</f>
        <v/>
      </c>
      <c r="BV38" s="57">
        <f t="shared" ref="BV38" si="193">BG38</f>
        <v>0</v>
      </c>
      <c r="BW38" s="54" t="str">
        <f t="shared" ref="BW38" si="194">IF(BV38=0,"",C38)</f>
        <v/>
      </c>
      <c r="BX38" s="57">
        <f t="shared" ref="BX38" si="195">BK38</f>
        <v>0</v>
      </c>
      <c r="BY38" s="54" t="str">
        <f t="shared" ref="BY38" si="196">IF(BX38=0,"",C38)</f>
        <v/>
      </c>
      <c r="BZ38" s="54">
        <f t="shared" ref="BZ38" si="197">AK38</f>
        <v>1</v>
      </c>
      <c r="CA38" s="54" t="str">
        <f t="shared" ref="CA38" si="198">AJ38</f>
        <v>Niran M</v>
      </c>
      <c r="CB38" s="54">
        <f t="shared" ref="CB38" si="199">AV38</f>
        <v>1</v>
      </c>
      <c r="CC38" s="54" t="str">
        <f t="shared" ref="CC38" si="200">AJ38</f>
        <v>Niran M</v>
      </c>
    </row>
    <row r="39" spans="1:81" x14ac:dyDescent="0.15">
      <c r="B39" t="s">
        <v>263</v>
      </c>
      <c r="C39" t="s">
        <v>264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J39" s="54" t="str">
        <f t="shared" si="31"/>
        <v>O'Rourke</v>
      </c>
      <c r="AK39" s="54">
        <f t="shared" si="101"/>
        <v>0</v>
      </c>
      <c r="AL39" s="54">
        <f t="shared" si="102"/>
        <v>0</v>
      </c>
      <c r="AM39" s="54">
        <f t="shared" si="103"/>
        <v>0</v>
      </c>
      <c r="AN39" s="54">
        <f t="shared" si="104"/>
        <v>0</v>
      </c>
      <c r="AO39" s="54">
        <f t="shared" si="105"/>
        <v>0</v>
      </c>
      <c r="AP39" s="58">
        <f t="shared" si="106"/>
        <v>0</v>
      </c>
      <c r="AQ39" s="54">
        <f t="shared" si="107"/>
        <v>0</v>
      </c>
      <c r="AR39" s="56">
        <f t="shared" si="108"/>
        <v>0</v>
      </c>
      <c r="AS39" s="54">
        <f t="shared" si="109"/>
        <v>0</v>
      </c>
      <c r="AT39" s="57">
        <f t="array" ref="AT39">SUM(IF(ISERR(FIND("*",D39:AI39)),0,1))</f>
        <v>0</v>
      </c>
      <c r="AU39" s="57">
        <f t="array" ref="AU39">SUM(IF(ISERR(FIND("+",D39:AI39)),0,1))</f>
        <v>0</v>
      </c>
      <c r="AV39" s="54">
        <f t="shared" si="110"/>
        <v>0</v>
      </c>
      <c r="AW39" s="57">
        <f t="array" ref="AW39">SUM(IF(ISERR(FIND(AW$4,$D39:$AI39)),0,1))</f>
        <v>0</v>
      </c>
      <c r="AX39" s="57">
        <f t="array" ref="AX39">SUM(IF(ISERR(FIND(AX$4,$D39:$AI39)),0,1))</f>
        <v>0</v>
      </c>
      <c r="AY39" s="57">
        <f t="array" ref="AY39">SUM(IF(ISERR(FIND(AY$4,$D39:$AI39)),0,1))</f>
        <v>0</v>
      </c>
      <c r="AZ39" s="57">
        <f t="array" ref="AZ39">SUM(IF(ISERR(FIND(AZ$4,$D39:$AI39)),0,1))</f>
        <v>0</v>
      </c>
      <c r="BA39" s="57">
        <f t="array" ref="BA39">SUM(IF(ISERR(FIND(BA$4,$D39:$AI39)),0,1))</f>
        <v>0</v>
      </c>
      <c r="BB39" s="57">
        <f t="array" ref="BB39">SUM(IF(ISERR(FIND(BB$4,$D39:$AI39)),0,1))</f>
        <v>0</v>
      </c>
      <c r="BC39" s="57">
        <f t="array" ref="BC39">SUM(IF(ISERR(FIND(BC$4,$D39:$AI39)),0,1))</f>
        <v>0</v>
      </c>
      <c r="BD39" s="57">
        <f t="shared" si="111"/>
        <v>0</v>
      </c>
      <c r="BE39" s="57">
        <f t="shared" si="112"/>
        <v>0</v>
      </c>
      <c r="BF39" s="57">
        <f t="shared" si="113"/>
        <v>0</v>
      </c>
      <c r="BG39" s="57">
        <f t="shared" si="114"/>
        <v>0</v>
      </c>
      <c r="BH39" s="57">
        <f t="shared" si="115"/>
        <v>0</v>
      </c>
      <c r="BI39" s="57">
        <f t="shared" si="116"/>
        <v>0</v>
      </c>
      <c r="BJ39" s="57">
        <f t="shared" si="117"/>
        <v>0</v>
      </c>
      <c r="BK39" s="57">
        <f t="shared" si="118"/>
        <v>0</v>
      </c>
      <c r="BL39" s="54">
        <f t="shared" si="119"/>
        <v>3.8999999999999999E-4</v>
      </c>
      <c r="BM39" s="54">
        <f>RANK(BL39,$BL$5:$BL$70)</f>
        <v>46</v>
      </c>
      <c r="BN39" s="54">
        <v>27</v>
      </c>
      <c r="BO39" s="73" t="str">
        <f t="shared" si="120"/>
        <v/>
      </c>
      <c r="BP39" s="80" t="e">
        <f t="shared" si="121"/>
        <v>#DIV/0!</v>
      </c>
      <c r="BQ39" s="141">
        <f t="shared" si="122"/>
        <v>0</v>
      </c>
      <c r="BR39" s="54" t="str">
        <f t="shared" si="123"/>
        <v/>
      </c>
      <c r="BS39" s="54" t="str">
        <f t="shared" si="124"/>
        <v/>
      </c>
      <c r="BT39" s="57">
        <f t="shared" si="125"/>
        <v>0</v>
      </c>
      <c r="BU39" s="54" t="str">
        <f t="shared" si="126"/>
        <v/>
      </c>
      <c r="BV39" s="57">
        <f t="shared" si="127"/>
        <v>0</v>
      </c>
      <c r="BW39" s="54" t="str">
        <f t="shared" si="128"/>
        <v/>
      </c>
      <c r="BX39" s="57">
        <f t="shared" si="129"/>
        <v>0</v>
      </c>
      <c r="BY39" s="54" t="str">
        <f t="shared" si="130"/>
        <v/>
      </c>
      <c r="BZ39" s="54">
        <f t="shared" si="62"/>
        <v>0</v>
      </c>
      <c r="CA39" s="54" t="str">
        <f t="shared" si="63"/>
        <v>O'Rourke</v>
      </c>
      <c r="CB39" s="54">
        <f t="shared" si="64"/>
        <v>0</v>
      </c>
      <c r="CC39" s="54" t="str">
        <f t="shared" si="65"/>
        <v>O'Rourke</v>
      </c>
    </row>
    <row r="40" spans="1:81" x14ac:dyDescent="0.15">
      <c r="B40" t="s">
        <v>457</v>
      </c>
      <c r="C40" t="s">
        <v>233</v>
      </c>
      <c r="D40" t="s">
        <v>456</v>
      </c>
      <c r="E40"/>
      <c r="F40" t="s">
        <v>310</v>
      </c>
      <c r="G40"/>
      <c r="H40"/>
      <c r="I40"/>
      <c r="J40" t="s">
        <v>310</v>
      </c>
      <c r="K40"/>
      <c r="L40" t="s">
        <v>310</v>
      </c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J40" s="54" t="str">
        <f t="shared" si="31"/>
        <v>Parboo R</v>
      </c>
      <c r="AK40" s="54">
        <f t="shared" si="101"/>
        <v>4</v>
      </c>
      <c r="AL40" s="54">
        <f t="shared" si="102"/>
        <v>3</v>
      </c>
      <c r="AM40" s="54">
        <f t="shared" si="103"/>
        <v>1</v>
      </c>
      <c r="AN40" s="54">
        <f t="shared" si="104"/>
        <v>0</v>
      </c>
      <c r="AO40" s="54">
        <f t="shared" si="105"/>
        <v>7</v>
      </c>
      <c r="AP40" s="58">
        <f t="shared" si="106"/>
        <v>7</v>
      </c>
      <c r="AQ40" s="54">
        <f t="shared" si="107"/>
        <v>7</v>
      </c>
      <c r="AR40" s="56">
        <f t="shared" si="108"/>
        <v>7</v>
      </c>
      <c r="AS40" s="54">
        <f t="shared" si="109"/>
        <v>0</v>
      </c>
      <c r="AT40" s="57">
        <f t="array" ref="AT40">SUM(IF(ISERR(FIND("*",D40:AI40)),0,1))</f>
        <v>0</v>
      </c>
      <c r="AU40" s="57">
        <f t="array" ref="AU40">SUM(IF(ISERR(FIND("+",D40:AI40)),0,1))</f>
        <v>0</v>
      </c>
      <c r="AV40" s="54">
        <f t="shared" si="110"/>
        <v>0</v>
      </c>
      <c r="AW40" s="57">
        <f t="array" ref="AW40">SUM(IF(ISERR(FIND(AW$4,$D40:$AI40)),0,1))</f>
        <v>0</v>
      </c>
      <c r="AX40" s="57">
        <f t="array" ref="AX40">SUM(IF(ISERR(FIND(AX$4,$D40:$AI40)),0,1))</f>
        <v>1</v>
      </c>
      <c r="AY40" s="57">
        <f t="array" ref="AY40">SUM(IF(ISERR(FIND(AY$4,$D40:$AI40)),0,1))</f>
        <v>0</v>
      </c>
      <c r="AZ40" s="57">
        <f t="array" ref="AZ40">SUM(IF(ISERR(FIND(AZ$4,$D40:$AI40)),0,1))</f>
        <v>0</v>
      </c>
      <c r="BA40" s="57">
        <f t="array" ref="BA40">SUM(IF(ISERR(FIND(BA$4,$D40:$AI40)),0,1))</f>
        <v>0</v>
      </c>
      <c r="BB40" s="57">
        <f t="array" ref="BB40">SUM(IF(ISERR(FIND(BB$4,$D40:$AI40)),0,1))</f>
        <v>0</v>
      </c>
      <c r="BC40" s="57">
        <f t="array" ref="BC40">SUM(IF(ISERR(FIND(BC$4,$D40:$AI40)),0,1))</f>
        <v>0</v>
      </c>
      <c r="BD40" s="57">
        <f t="shared" si="111"/>
        <v>0</v>
      </c>
      <c r="BE40" s="57">
        <f t="shared" si="112"/>
        <v>0</v>
      </c>
      <c r="BF40" s="57">
        <f t="shared" si="113"/>
        <v>0</v>
      </c>
      <c r="BG40" s="57">
        <f t="shared" si="114"/>
        <v>0</v>
      </c>
      <c r="BH40" s="57">
        <f t="shared" si="115"/>
        <v>0</v>
      </c>
      <c r="BI40" s="57">
        <f t="shared" si="116"/>
        <v>0</v>
      </c>
      <c r="BJ40" s="57">
        <f t="shared" si="117"/>
        <v>0</v>
      </c>
      <c r="BK40" s="57">
        <f t="shared" si="118"/>
        <v>0</v>
      </c>
      <c r="BL40" s="54">
        <f t="shared" si="119"/>
        <v>700104.07039999997</v>
      </c>
      <c r="BM40" s="54">
        <f>RANK(BL40,$BL$5:$BL$70)</f>
        <v>16</v>
      </c>
      <c r="BN40" s="54">
        <v>28</v>
      </c>
      <c r="BO40" s="73" t="str">
        <f t="shared" si="120"/>
        <v/>
      </c>
      <c r="BP40" s="80">
        <f t="shared" si="121"/>
        <v>0</v>
      </c>
      <c r="BQ40" s="141">
        <f t="shared" si="122"/>
        <v>0</v>
      </c>
      <c r="BR40" s="54" t="str">
        <f t="shared" si="123"/>
        <v/>
      </c>
      <c r="BS40" s="54" t="str">
        <f t="shared" si="124"/>
        <v/>
      </c>
      <c r="BT40" s="57">
        <f t="shared" si="125"/>
        <v>0</v>
      </c>
      <c r="BU40" s="54" t="str">
        <f t="shared" si="126"/>
        <v/>
      </c>
      <c r="BV40" s="57">
        <f t="shared" si="127"/>
        <v>0</v>
      </c>
      <c r="BW40" s="54" t="str">
        <f t="shared" si="128"/>
        <v/>
      </c>
      <c r="BX40" s="57">
        <f t="shared" si="129"/>
        <v>0</v>
      </c>
      <c r="BY40" s="54" t="str">
        <f t="shared" si="130"/>
        <v/>
      </c>
      <c r="BZ40" s="54">
        <f t="shared" si="62"/>
        <v>4</v>
      </c>
      <c r="CA40" s="54" t="str">
        <f t="shared" si="63"/>
        <v>Parboo R</v>
      </c>
      <c r="CB40" s="54">
        <f t="shared" si="64"/>
        <v>0</v>
      </c>
      <c r="CC40" s="54" t="str">
        <f t="shared" si="65"/>
        <v>Parboo R</v>
      </c>
    </row>
    <row r="41" spans="1:81" x14ac:dyDescent="0.15">
      <c r="B41" t="s">
        <v>388</v>
      </c>
      <c r="C41" t="s">
        <v>350</v>
      </c>
      <c r="D41"/>
      <c r="E41"/>
      <c r="F41"/>
      <c r="G41"/>
      <c r="H41" t="s">
        <v>523</v>
      </c>
      <c r="I41" t="s">
        <v>540</v>
      </c>
      <c r="J41" t="s">
        <v>555</v>
      </c>
      <c r="K41" t="s">
        <v>571</v>
      </c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J41" s="54" t="str">
        <f t="shared" si="31"/>
        <v>Patel J</v>
      </c>
      <c r="AK41" s="54">
        <f t="shared" si="101"/>
        <v>4</v>
      </c>
      <c r="AL41" s="54">
        <f t="shared" si="102"/>
        <v>0</v>
      </c>
      <c r="AM41" s="54">
        <f t="shared" si="103"/>
        <v>4</v>
      </c>
      <c r="AN41" s="54">
        <f t="shared" si="104"/>
        <v>1</v>
      </c>
      <c r="AO41" s="54">
        <f t="shared" si="105"/>
        <v>-98</v>
      </c>
      <c r="AP41" s="58" t="str">
        <f t="shared" si="106"/>
        <v>98*</v>
      </c>
      <c r="AQ41" s="54">
        <f t="shared" si="107"/>
        <v>210</v>
      </c>
      <c r="AR41" s="56">
        <f t="shared" si="108"/>
        <v>70</v>
      </c>
      <c r="AS41" s="54">
        <f t="shared" si="109"/>
        <v>15</v>
      </c>
      <c r="AT41" s="57">
        <f t="array" ref="AT41">SUM(IF(ISERR(FIND("*",D41:AI41)),0,1))</f>
        <v>0</v>
      </c>
      <c r="AU41" s="57">
        <f t="array" ref="AU41">SUM(IF(ISERR(FIND("+",D41:AI41)),0,1))</f>
        <v>0</v>
      </c>
      <c r="AV41" s="54">
        <f t="shared" si="110"/>
        <v>0</v>
      </c>
      <c r="AW41" s="57">
        <f t="array" ref="AW41">SUM(IF(ISERR(FIND(AW$4,$D41:$AI41)),0,1))</f>
        <v>1</v>
      </c>
      <c r="AX41" s="57">
        <f t="array" ref="AX41">SUM(IF(ISERR(FIND(AX$4,$D41:$AI41)),0,1))</f>
        <v>2</v>
      </c>
      <c r="AY41" s="57">
        <f t="array" ref="AY41">SUM(IF(ISERR(FIND(AY$4,$D41:$AI41)),0,1))</f>
        <v>0</v>
      </c>
      <c r="AZ41" s="57">
        <f t="array" ref="AZ41">SUM(IF(ISERR(FIND(AZ$4,$D41:$AI41)),0,1))</f>
        <v>0</v>
      </c>
      <c r="BA41" s="57">
        <f t="array" ref="BA41">SUM(IF(ISERR(FIND(BA$4,$D41:$AI41)),0,1))</f>
        <v>0</v>
      </c>
      <c r="BB41" s="57">
        <f t="array" ref="BB41">SUM(IF(ISERR(FIND(BB$4,$D41:$AI41)),0,1))</f>
        <v>0</v>
      </c>
      <c r="BC41" s="57">
        <f t="array" ref="BC41">SUM(IF(ISERR(FIND(BC$4,$D41:$AI41)),0,1))</f>
        <v>0</v>
      </c>
      <c r="BD41" s="57">
        <f t="shared" si="111"/>
        <v>2</v>
      </c>
      <c r="BE41" s="57">
        <f t="shared" si="112"/>
        <v>0</v>
      </c>
      <c r="BF41" s="57">
        <f t="shared" si="113"/>
        <v>3</v>
      </c>
      <c r="BG41" s="57">
        <f t="shared" si="114"/>
        <v>26</v>
      </c>
      <c r="BH41" s="57">
        <f t="shared" si="115"/>
        <v>4</v>
      </c>
      <c r="BI41" s="57">
        <f t="shared" si="116"/>
        <v>0</v>
      </c>
      <c r="BJ41" s="57">
        <f t="shared" si="117"/>
        <v>0</v>
      </c>
      <c r="BK41" s="57">
        <f t="shared" si="118"/>
        <v>2</v>
      </c>
      <c r="BL41" s="54">
        <f t="shared" si="119"/>
        <v>7000406.1004099995</v>
      </c>
      <c r="BM41" s="54">
        <f>RANK(BL41,$BL$5:$BL$70)</f>
        <v>1</v>
      </c>
      <c r="BN41" s="54">
        <v>29</v>
      </c>
      <c r="BO41" s="73">
        <f t="shared" si="120"/>
        <v>1.3</v>
      </c>
      <c r="BP41" s="80">
        <f t="shared" si="121"/>
        <v>0</v>
      </c>
      <c r="BQ41" s="141">
        <f t="shared" si="122"/>
        <v>3</v>
      </c>
      <c r="BR41" s="54" t="str">
        <f t="shared" si="123"/>
        <v>3</v>
      </c>
      <c r="BS41" s="54" t="str">
        <f t="shared" si="124"/>
        <v>Patel J</v>
      </c>
      <c r="BT41" s="57">
        <f t="shared" si="125"/>
        <v>4</v>
      </c>
      <c r="BU41" s="54" t="str">
        <f t="shared" si="126"/>
        <v>Patel J</v>
      </c>
      <c r="BV41" s="57">
        <f t="shared" si="127"/>
        <v>26</v>
      </c>
      <c r="BW41" s="54" t="str">
        <f t="shared" si="128"/>
        <v>Patel J</v>
      </c>
      <c r="BX41" s="57">
        <f t="shared" si="129"/>
        <v>2</v>
      </c>
      <c r="BY41" s="54" t="str">
        <f t="shared" si="130"/>
        <v>Patel J</v>
      </c>
      <c r="BZ41" s="54">
        <f t="shared" si="62"/>
        <v>4</v>
      </c>
      <c r="CA41" s="54" t="str">
        <f t="shared" si="63"/>
        <v>Patel J</v>
      </c>
      <c r="CB41" s="54">
        <f t="shared" si="64"/>
        <v>0</v>
      </c>
      <c r="CC41" s="54" t="str">
        <f t="shared" si="65"/>
        <v>Patel J</v>
      </c>
    </row>
    <row r="42" spans="1:81" x14ac:dyDescent="0.15">
      <c r="B42" t="s">
        <v>357</v>
      </c>
      <c r="C42" t="s">
        <v>348</v>
      </c>
      <c r="D42"/>
      <c r="E42"/>
      <c r="F42"/>
      <c r="G42"/>
      <c r="H42"/>
      <c r="I42"/>
      <c r="J42" t="s">
        <v>559</v>
      </c>
      <c r="K42"/>
      <c r="L42" t="s">
        <v>304</v>
      </c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J42" s="54" t="str">
        <f t="shared" si="31"/>
        <v>Patel M</v>
      </c>
      <c r="AK42" s="54">
        <f t="shared" si="101"/>
        <v>2</v>
      </c>
      <c r="AL42" s="54">
        <f t="shared" si="102"/>
        <v>1</v>
      </c>
      <c r="AM42" s="54">
        <f t="shared" si="103"/>
        <v>1</v>
      </c>
      <c r="AN42" s="54">
        <f t="shared" si="104"/>
        <v>0</v>
      </c>
      <c r="AO42" s="54">
        <f t="shared" si="105"/>
        <v>4</v>
      </c>
      <c r="AP42" s="58">
        <f t="shared" si="106"/>
        <v>4</v>
      </c>
      <c r="AQ42" s="54">
        <f t="shared" si="107"/>
        <v>4</v>
      </c>
      <c r="AR42" s="56">
        <f t="shared" si="108"/>
        <v>4</v>
      </c>
      <c r="AS42" s="54">
        <f t="shared" si="109"/>
        <v>5</v>
      </c>
      <c r="AT42" s="57">
        <f t="array" ref="AT42">SUM(IF(ISERR(FIND("*",D42:AI42)),0,1))</f>
        <v>0</v>
      </c>
      <c r="AU42" s="57">
        <f t="array" ref="AU42">SUM(IF(ISERR(FIND("+",D42:AI42)),0,1))</f>
        <v>0</v>
      </c>
      <c r="AV42" s="54">
        <f t="shared" si="110"/>
        <v>0</v>
      </c>
      <c r="AW42" s="57">
        <f t="array" ref="AW42">SUM(IF(ISERR(FIND(AW$4,$D42:$AI42)),0,1))</f>
        <v>1</v>
      </c>
      <c r="AX42" s="57">
        <f t="array" ref="AX42">SUM(IF(ISERR(FIND(AX$4,$D42:$AI42)),0,1))</f>
        <v>0</v>
      </c>
      <c r="AY42" s="57">
        <f t="array" ref="AY42">SUM(IF(ISERR(FIND(AY$4,$D42:$AI42)),0,1))</f>
        <v>0</v>
      </c>
      <c r="AZ42" s="57">
        <f t="array" ref="AZ42">SUM(IF(ISERR(FIND(AZ$4,$D42:$AI42)),0,1))</f>
        <v>0</v>
      </c>
      <c r="BA42" s="57">
        <f t="array" ref="BA42">SUM(IF(ISERR(FIND(BA$4,$D42:$AI42)),0,1))</f>
        <v>0</v>
      </c>
      <c r="BB42" s="57">
        <f t="array" ref="BB42">SUM(IF(ISERR(FIND(BB$4,$D42:$AI42)),0,1))</f>
        <v>0</v>
      </c>
      <c r="BC42" s="57">
        <f t="array" ref="BC42">SUM(IF(ISERR(FIND(BC$4,$D42:$AI42)),0,1))</f>
        <v>0</v>
      </c>
      <c r="BD42" s="57">
        <f t="shared" si="111"/>
        <v>0</v>
      </c>
      <c r="BE42" s="57">
        <f t="shared" si="112"/>
        <v>0</v>
      </c>
      <c r="BF42" s="57">
        <f t="shared" si="113"/>
        <v>1</v>
      </c>
      <c r="BG42" s="57">
        <f t="shared" si="114"/>
        <v>0</v>
      </c>
      <c r="BH42" s="57">
        <f t="shared" si="115"/>
        <v>0</v>
      </c>
      <c r="BI42" s="57">
        <f t="shared" si="116"/>
        <v>0</v>
      </c>
      <c r="BJ42" s="57">
        <f t="shared" si="117"/>
        <v>0</v>
      </c>
      <c r="BK42" s="57">
        <f t="shared" si="118"/>
        <v>0</v>
      </c>
      <c r="BL42" s="54">
        <f t="shared" si="119"/>
        <v>400102.04041999998</v>
      </c>
      <c r="BM42" s="54">
        <f>RANK(BL42,$BL$5:$BL$70)</f>
        <v>18</v>
      </c>
      <c r="BN42" s="54">
        <v>30</v>
      </c>
      <c r="BO42" s="73" t="str">
        <f t="shared" si="120"/>
        <v/>
      </c>
      <c r="BP42" s="80">
        <f t="shared" si="121"/>
        <v>0</v>
      </c>
      <c r="BQ42" s="141">
        <f t="shared" si="122"/>
        <v>1</v>
      </c>
      <c r="BR42" s="54" t="str">
        <f t="shared" si="123"/>
        <v>1</v>
      </c>
      <c r="BS42" s="54" t="str">
        <f t="shared" si="124"/>
        <v>Patel M</v>
      </c>
      <c r="BT42" s="57">
        <f t="shared" si="125"/>
        <v>0</v>
      </c>
      <c r="BU42" s="54" t="str">
        <f t="shared" si="126"/>
        <v/>
      </c>
      <c r="BV42" s="57">
        <f t="shared" si="127"/>
        <v>0</v>
      </c>
      <c r="BW42" s="54" t="str">
        <f t="shared" si="128"/>
        <v/>
      </c>
      <c r="BX42" s="57">
        <f t="shared" si="129"/>
        <v>0</v>
      </c>
      <c r="BY42" s="54" t="str">
        <f t="shared" si="130"/>
        <v/>
      </c>
      <c r="BZ42" s="54">
        <f t="shared" si="62"/>
        <v>2</v>
      </c>
      <c r="CA42" s="54" t="str">
        <f t="shared" si="63"/>
        <v>Patel M</v>
      </c>
      <c r="CB42" s="54">
        <f t="shared" si="64"/>
        <v>0</v>
      </c>
      <c r="CC42" s="54" t="str">
        <f t="shared" si="65"/>
        <v>Patel M</v>
      </c>
    </row>
    <row r="43" spans="1:81" x14ac:dyDescent="0.15">
      <c r="A43" s="54">
        <v>0</v>
      </c>
      <c r="B43" t="s">
        <v>380</v>
      </c>
      <c r="C43" t="s">
        <v>381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J43" t="str">
        <f t="shared" si="31"/>
        <v>Patel S</v>
      </c>
      <c r="AK43" s="54">
        <f t="shared" si="101"/>
        <v>0</v>
      </c>
      <c r="AL43" s="54">
        <f t="shared" si="102"/>
        <v>0</v>
      </c>
      <c r="AM43" s="54">
        <f t="shared" si="103"/>
        <v>0</v>
      </c>
      <c r="AN43" s="54">
        <f t="shared" si="104"/>
        <v>0</v>
      </c>
      <c r="AO43" s="54">
        <f t="shared" si="105"/>
        <v>0</v>
      </c>
      <c r="AP43" s="58">
        <f t="shared" si="106"/>
        <v>0</v>
      </c>
      <c r="AQ43" s="54">
        <f t="shared" si="107"/>
        <v>0</v>
      </c>
      <c r="AR43" s="56">
        <f t="shared" si="108"/>
        <v>0</v>
      </c>
      <c r="AS43" s="54">
        <f t="shared" si="109"/>
        <v>0</v>
      </c>
      <c r="AT43" s="57">
        <f t="array" ref="AT43">SUM(IF(ISERR(FIND("*",D43:AI43)),0,1))</f>
        <v>0</v>
      </c>
      <c r="AU43" s="57">
        <f t="array" ref="AU43">SUM(IF(ISERR(FIND("+",D43:AI43)),0,1))</f>
        <v>0</v>
      </c>
      <c r="AV43" s="54">
        <f t="shared" si="110"/>
        <v>0</v>
      </c>
      <c r="AW43" s="57">
        <f t="array" ref="AW43">SUM(IF(ISERR(FIND(AW$4,$D43:$AI43)),0,1))</f>
        <v>0</v>
      </c>
      <c r="AX43" s="57">
        <f t="array" ref="AX43">SUM(IF(ISERR(FIND(AX$4,$D43:$AI43)),0,1))</f>
        <v>0</v>
      </c>
      <c r="AY43" s="57">
        <f t="array" ref="AY43">SUM(IF(ISERR(FIND(AY$4,$D43:$AI43)),0,1))</f>
        <v>0</v>
      </c>
      <c r="AZ43" s="57">
        <f t="array" ref="AZ43">SUM(IF(ISERR(FIND(AZ$4,$D43:$AI43)),0,1))</f>
        <v>0</v>
      </c>
      <c r="BA43" s="57">
        <f t="array" ref="BA43">SUM(IF(ISERR(FIND(BA$4,$D43:$AI43)),0,1))</f>
        <v>0</v>
      </c>
      <c r="BB43" s="57">
        <f t="array" ref="BB43">SUM(IF(ISERR(FIND(BB$4,$D43:$AI43)),0,1))</f>
        <v>0</v>
      </c>
      <c r="BC43" s="57">
        <f t="array" ref="BC43">SUM(IF(ISERR(FIND(BC$4,$D43:$AI43)),0,1))</f>
        <v>0</v>
      </c>
      <c r="BD43" s="57">
        <f t="shared" si="111"/>
        <v>0</v>
      </c>
      <c r="BE43" s="57">
        <f t="shared" si="112"/>
        <v>0</v>
      </c>
      <c r="BF43" s="57">
        <f t="shared" si="113"/>
        <v>0</v>
      </c>
      <c r="BG43" s="57">
        <f t="shared" si="114"/>
        <v>0</v>
      </c>
      <c r="BH43" s="57">
        <f t="shared" si="115"/>
        <v>0</v>
      </c>
      <c r="BI43" s="57">
        <f t="shared" si="116"/>
        <v>0</v>
      </c>
      <c r="BJ43" s="57">
        <f t="shared" si="117"/>
        <v>0</v>
      </c>
      <c r="BK43" s="57">
        <f t="shared" si="118"/>
        <v>0</v>
      </c>
      <c r="BL43" s="54">
        <f t="shared" si="119"/>
        <v>4.2999999999999999E-4</v>
      </c>
      <c r="BM43" s="54">
        <f>RANK(BL43,$BL$5:$BL$70)</f>
        <v>45</v>
      </c>
      <c r="BN43" s="54">
        <v>31</v>
      </c>
      <c r="BO43" s="73" t="str">
        <f t="shared" si="120"/>
        <v/>
      </c>
      <c r="BP43" s="80" t="e">
        <f t="shared" si="121"/>
        <v>#DIV/0!</v>
      </c>
      <c r="BQ43" s="141">
        <f t="shared" si="122"/>
        <v>0</v>
      </c>
      <c r="BR43" s="54" t="str">
        <f t="shared" si="123"/>
        <v/>
      </c>
      <c r="BS43" s="54" t="str">
        <f t="shared" si="124"/>
        <v/>
      </c>
      <c r="BT43" s="57">
        <f t="shared" si="125"/>
        <v>0</v>
      </c>
      <c r="BU43" s="54" t="str">
        <f t="shared" si="126"/>
        <v/>
      </c>
      <c r="BV43" s="57">
        <f t="shared" si="127"/>
        <v>0</v>
      </c>
      <c r="BW43" s="54" t="str">
        <f t="shared" si="128"/>
        <v/>
      </c>
      <c r="BX43" s="57">
        <f t="shared" si="129"/>
        <v>0</v>
      </c>
      <c r="BY43" s="54" t="str">
        <f t="shared" si="130"/>
        <v/>
      </c>
      <c r="BZ43" s="54">
        <f t="shared" si="62"/>
        <v>0</v>
      </c>
      <c r="CA43" s="54" t="str">
        <f t="shared" si="63"/>
        <v>Patel S</v>
      </c>
      <c r="CB43" s="54">
        <f t="shared" si="64"/>
        <v>0</v>
      </c>
      <c r="CC43" s="54" t="str">
        <f t="shared" si="65"/>
        <v>Patel S</v>
      </c>
    </row>
    <row r="44" spans="1:81" x14ac:dyDescent="0.15">
      <c r="B44" t="s">
        <v>228</v>
      </c>
      <c r="C44" t="s">
        <v>229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J44" s="54" t="str">
        <f t="shared" si="31"/>
        <v>Rathi N</v>
      </c>
      <c r="AK44" s="54">
        <f t="shared" si="101"/>
        <v>0</v>
      </c>
      <c r="AL44" s="54">
        <f t="shared" si="102"/>
        <v>0</v>
      </c>
      <c r="AM44" s="54">
        <f t="shared" si="103"/>
        <v>0</v>
      </c>
      <c r="AN44" s="54">
        <f t="shared" si="104"/>
        <v>0</v>
      </c>
      <c r="AO44" s="54">
        <f t="shared" si="105"/>
        <v>0</v>
      </c>
      <c r="AP44" s="58">
        <f t="shared" si="106"/>
        <v>0</v>
      </c>
      <c r="AQ44" s="54">
        <f t="shared" si="107"/>
        <v>0</v>
      </c>
      <c r="AR44" s="56">
        <f t="shared" si="108"/>
        <v>0</v>
      </c>
      <c r="AS44" s="54">
        <f t="shared" si="109"/>
        <v>0</v>
      </c>
      <c r="AT44" s="57">
        <f t="array" ref="AT44">SUM(IF(ISERR(FIND("*",D44:AI44)),0,1))</f>
        <v>0</v>
      </c>
      <c r="AU44" s="57">
        <f t="array" ref="AU44">SUM(IF(ISERR(FIND("+",D44:AI44)),0,1))</f>
        <v>0</v>
      </c>
      <c r="AV44" s="54">
        <f t="shared" si="110"/>
        <v>0</v>
      </c>
      <c r="AW44" s="57">
        <f t="array" ref="AW44">SUM(IF(ISERR(FIND(AW$4,$D44:$AI44)),0,1))</f>
        <v>0</v>
      </c>
      <c r="AX44" s="57">
        <f t="array" ref="AX44">SUM(IF(ISERR(FIND(AX$4,$D44:$AI44)),0,1))</f>
        <v>0</v>
      </c>
      <c r="AY44" s="57">
        <f t="array" ref="AY44">SUM(IF(ISERR(FIND(AY$4,$D44:$AI44)),0,1))</f>
        <v>0</v>
      </c>
      <c r="AZ44" s="57">
        <f t="array" ref="AZ44">SUM(IF(ISERR(FIND(AZ$4,$D44:$AI44)),0,1))</f>
        <v>0</v>
      </c>
      <c r="BA44" s="57">
        <f t="array" ref="BA44">SUM(IF(ISERR(FIND(BA$4,$D44:$AI44)),0,1))</f>
        <v>0</v>
      </c>
      <c r="BB44" s="57">
        <f t="array" ref="BB44">SUM(IF(ISERR(FIND(BB$4,$D44:$AI44)),0,1))</f>
        <v>0</v>
      </c>
      <c r="BC44" s="57">
        <f t="array" ref="BC44">SUM(IF(ISERR(FIND(BC$4,$D44:$AI44)),0,1))</f>
        <v>0</v>
      </c>
      <c r="BD44" s="57">
        <f t="shared" si="111"/>
        <v>0</v>
      </c>
      <c r="BE44" s="57">
        <f t="shared" si="112"/>
        <v>0</v>
      </c>
      <c r="BF44" s="57">
        <f t="shared" si="113"/>
        <v>0</v>
      </c>
      <c r="BG44" s="57">
        <f t="shared" si="114"/>
        <v>0</v>
      </c>
      <c r="BH44" s="57">
        <f t="shared" si="115"/>
        <v>0</v>
      </c>
      <c r="BI44" s="57">
        <f t="shared" si="116"/>
        <v>0</v>
      </c>
      <c r="BJ44" s="57">
        <f t="shared" si="117"/>
        <v>0</v>
      </c>
      <c r="BK44" s="57">
        <f t="shared" si="118"/>
        <v>0</v>
      </c>
      <c r="BL44" s="54">
        <f t="shared" si="119"/>
        <v>4.4000000000000002E-4</v>
      </c>
      <c r="BM44" s="54">
        <f>RANK(BL44,$BL$5:$BL$70)</f>
        <v>44</v>
      </c>
      <c r="BN44" s="54">
        <v>32</v>
      </c>
      <c r="BO44" s="73" t="str">
        <f t="shared" si="120"/>
        <v/>
      </c>
      <c r="BP44" s="80" t="e">
        <f t="shared" si="121"/>
        <v>#DIV/0!</v>
      </c>
      <c r="BQ44" s="141">
        <f t="shared" si="122"/>
        <v>0</v>
      </c>
      <c r="BR44" s="54" t="str">
        <f t="shared" si="123"/>
        <v/>
      </c>
      <c r="BS44" s="54" t="str">
        <f t="shared" si="124"/>
        <v/>
      </c>
      <c r="BT44" s="57">
        <f t="shared" si="125"/>
        <v>0</v>
      </c>
      <c r="BU44" s="54" t="str">
        <f t="shared" si="126"/>
        <v/>
      </c>
      <c r="BV44" s="57">
        <f t="shared" si="127"/>
        <v>0</v>
      </c>
      <c r="BW44" s="54" t="str">
        <f t="shared" si="128"/>
        <v/>
      </c>
      <c r="BX44" s="57">
        <f t="shared" si="129"/>
        <v>0</v>
      </c>
      <c r="BY44" s="54" t="str">
        <f t="shared" si="130"/>
        <v/>
      </c>
      <c r="BZ44" s="54">
        <f t="shared" si="62"/>
        <v>0</v>
      </c>
      <c r="CA44" s="54" t="str">
        <f t="shared" si="63"/>
        <v>Rathi N</v>
      </c>
      <c r="CB44" s="54">
        <f t="shared" si="64"/>
        <v>0</v>
      </c>
      <c r="CC44" s="54" t="str">
        <f t="shared" si="65"/>
        <v>Rathi N</v>
      </c>
    </row>
    <row r="45" spans="1:81" x14ac:dyDescent="0.15">
      <c r="B45"/>
      <c r="C45" t="s">
        <v>302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J45" s="54" t="str">
        <f t="shared" si="31"/>
        <v>Roland ???</v>
      </c>
      <c r="AK45" s="54">
        <f t="shared" si="101"/>
        <v>0</v>
      </c>
      <c r="AL45" s="54">
        <f t="shared" si="102"/>
        <v>0</v>
      </c>
      <c r="AM45" s="54">
        <f t="shared" si="103"/>
        <v>0</v>
      </c>
      <c r="AN45" s="54">
        <f t="shared" si="104"/>
        <v>0</v>
      </c>
      <c r="AO45" s="54">
        <f t="shared" si="105"/>
        <v>0</v>
      </c>
      <c r="AP45" s="58">
        <f t="shared" si="106"/>
        <v>0</v>
      </c>
      <c r="AQ45" s="54">
        <f t="shared" si="107"/>
        <v>0</v>
      </c>
      <c r="AR45" s="56">
        <f t="shared" si="108"/>
        <v>0</v>
      </c>
      <c r="AS45" s="54">
        <f t="shared" si="109"/>
        <v>0</v>
      </c>
      <c r="AT45" s="57">
        <f t="array" ref="AT45">SUM(IF(ISERR(FIND("*",D45:AI45)),0,1))</f>
        <v>0</v>
      </c>
      <c r="AU45" s="57">
        <f t="array" ref="AU45">SUM(IF(ISERR(FIND("+",D45:AI45)),0,1))</f>
        <v>0</v>
      </c>
      <c r="AV45" s="54">
        <f t="shared" si="110"/>
        <v>0</v>
      </c>
      <c r="AW45" s="57">
        <f t="array" ref="AW45">SUM(IF(ISERR(FIND(AW$4,$D45:$AI45)),0,1))</f>
        <v>0</v>
      </c>
      <c r="AX45" s="57">
        <f t="array" ref="AX45">SUM(IF(ISERR(FIND(AX$4,$D45:$AI45)),0,1))</f>
        <v>0</v>
      </c>
      <c r="AY45" s="57">
        <f t="array" ref="AY45">SUM(IF(ISERR(FIND(AY$4,$D45:$AI45)),0,1))</f>
        <v>0</v>
      </c>
      <c r="AZ45" s="57">
        <f t="array" ref="AZ45">SUM(IF(ISERR(FIND(AZ$4,$D45:$AI45)),0,1))</f>
        <v>0</v>
      </c>
      <c r="BA45" s="57">
        <f t="array" ref="BA45">SUM(IF(ISERR(FIND(BA$4,$D45:$AI45)),0,1))</f>
        <v>0</v>
      </c>
      <c r="BB45" s="57">
        <f t="array" ref="BB45">SUM(IF(ISERR(FIND(BB$4,$D45:$AI45)),0,1))</f>
        <v>0</v>
      </c>
      <c r="BC45" s="57">
        <f t="array" ref="BC45">SUM(IF(ISERR(FIND(BC$4,$D45:$AI45)),0,1))</f>
        <v>0</v>
      </c>
      <c r="BD45" s="57">
        <f t="shared" si="111"/>
        <v>0</v>
      </c>
      <c r="BE45" s="57">
        <f t="shared" si="112"/>
        <v>0</v>
      </c>
      <c r="BF45" s="57">
        <f t="shared" si="113"/>
        <v>0</v>
      </c>
      <c r="BG45" s="57">
        <f t="shared" si="114"/>
        <v>0</v>
      </c>
      <c r="BH45" s="57">
        <f t="shared" si="115"/>
        <v>0</v>
      </c>
      <c r="BI45" s="57">
        <f t="shared" si="116"/>
        <v>0</v>
      </c>
      <c r="BJ45" s="57">
        <f t="shared" si="117"/>
        <v>0</v>
      </c>
      <c r="BK45" s="57">
        <f t="shared" si="118"/>
        <v>0</v>
      </c>
      <c r="BL45" s="54">
        <f t="shared" si="119"/>
        <v>4.4999999999999999E-4</v>
      </c>
      <c r="BM45" s="54">
        <f>RANK(BL45,$BL$5:$BL$70)</f>
        <v>43</v>
      </c>
      <c r="BN45" s="54">
        <v>33</v>
      </c>
      <c r="BO45" s="73" t="str">
        <f t="shared" si="120"/>
        <v/>
      </c>
      <c r="BP45" s="80" t="e">
        <f t="shared" si="121"/>
        <v>#DIV/0!</v>
      </c>
      <c r="BQ45" s="141">
        <f t="shared" si="122"/>
        <v>0</v>
      </c>
      <c r="BR45" s="54" t="str">
        <f t="shared" si="123"/>
        <v/>
      </c>
      <c r="BS45" s="54" t="str">
        <f t="shared" si="124"/>
        <v/>
      </c>
      <c r="BT45" s="57">
        <f t="shared" si="125"/>
        <v>0</v>
      </c>
      <c r="BU45" s="54" t="str">
        <f t="shared" si="126"/>
        <v/>
      </c>
      <c r="BV45" s="57">
        <f t="shared" si="127"/>
        <v>0</v>
      </c>
      <c r="BW45" s="54" t="str">
        <f t="shared" si="128"/>
        <v/>
      </c>
      <c r="BX45" s="57">
        <f t="shared" si="129"/>
        <v>0</v>
      </c>
      <c r="BY45" s="54" t="str">
        <f t="shared" si="130"/>
        <v/>
      </c>
      <c r="BZ45" s="54">
        <f t="shared" si="62"/>
        <v>0</v>
      </c>
      <c r="CA45" s="54" t="str">
        <f t="shared" si="63"/>
        <v>Roland ???</v>
      </c>
      <c r="CB45" s="54">
        <f t="shared" si="64"/>
        <v>0</v>
      </c>
      <c r="CC45" s="54" t="str">
        <f t="shared" si="65"/>
        <v>Roland ???</v>
      </c>
    </row>
    <row r="46" spans="1:81" x14ac:dyDescent="0.15">
      <c r="B46" t="s">
        <v>369</v>
      </c>
      <c r="C46" t="s">
        <v>370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J46" t="str">
        <f t="shared" si="31"/>
        <v>Roy A</v>
      </c>
      <c r="AK46" s="54">
        <f t="shared" si="101"/>
        <v>0</v>
      </c>
      <c r="AL46" s="54">
        <f t="shared" si="102"/>
        <v>0</v>
      </c>
      <c r="AM46" s="54">
        <f t="shared" si="103"/>
        <v>0</v>
      </c>
      <c r="AN46" s="54">
        <f t="shared" si="104"/>
        <v>0</v>
      </c>
      <c r="AO46" s="54">
        <f t="shared" si="105"/>
        <v>0</v>
      </c>
      <c r="AP46" s="58">
        <f t="shared" si="106"/>
        <v>0</v>
      </c>
      <c r="AQ46" s="54">
        <f t="shared" si="107"/>
        <v>0</v>
      </c>
      <c r="AR46" s="56">
        <f t="shared" si="108"/>
        <v>0</v>
      </c>
      <c r="AS46" s="54">
        <f t="shared" si="109"/>
        <v>0</v>
      </c>
      <c r="AT46" s="57">
        <f t="array" ref="AT46">SUM(IF(ISERR(FIND("*",D46:AI46)),0,1))</f>
        <v>0</v>
      </c>
      <c r="AU46" s="57">
        <f t="array" ref="AU46">SUM(IF(ISERR(FIND("+",D46:AI46)),0,1))</f>
        <v>0</v>
      </c>
      <c r="AV46" s="54">
        <f t="shared" si="110"/>
        <v>0</v>
      </c>
      <c r="AW46" s="57">
        <f t="array" ref="AW46">SUM(IF(ISERR(FIND(AW$4,$D46:$AI46)),0,1))</f>
        <v>0</v>
      </c>
      <c r="AX46" s="57">
        <f t="array" ref="AX46">SUM(IF(ISERR(FIND(AX$4,$D46:$AI46)),0,1))</f>
        <v>0</v>
      </c>
      <c r="AY46" s="57">
        <f t="array" ref="AY46">SUM(IF(ISERR(FIND(AY$4,$D46:$AI46)),0,1))</f>
        <v>0</v>
      </c>
      <c r="AZ46" s="57">
        <f t="array" ref="AZ46">SUM(IF(ISERR(FIND(AZ$4,$D46:$AI46)),0,1))</f>
        <v>0</v>
      </c>
      <c r="BA46" s="57">
        <f t="array" ref="BA46">SUM(IF(ISERR(FIND(BA$4,$D46:$AI46)),0,1))</f>
        <v>0</v>
      </c>
      <c r="BB46" s="57">
        <f t="array" ref="BB46">SUM(IF(ISERR(FIND(BB$4,$D46:$AI46)),0,1))</f>
        <v>0</v>
      </c>
      <c r="BC46" s="57">
        <f t="array" ref="BC46">SUM(IF(ISERR(FIND(BC$4,$D46:$AI46)),0,1))</f>
        <v>0</v>
      </c>
      <c r="BD46" s="57">
        <f t="shared" si="111"/>
        <v>0</v>
      </c>
      <c r="BE46" s="57">
        <f t="shared" si="112"/>
        <v>0</v>
      </c>
      <c r="BF46" s="57">
        <f t="shared" si="113"/>
        <v>0</v>
      </c>
      <c r="BG46" s="57">
        <f t="shared" si="114"/>
        <v>0</v>
      </c>
      <c r="BH46" s="57">
        <f t="shared" si="115"/>
        <v>0</v>
      </c>
      <c r="BI46" s="57">
        <f t="shared" si="116"/>
        <v>0</v>
      </c>
      <c r="BJ46" s="57">
        <f t="shared" si="117"/>
        <v>0</v>
      </c>
      <c r="BK46" s="57">
        <f t="shared" si="118"/>
        <v>0</v>
      </c>
      <c r="BL46" s="54">
        <f t="shared" si="119"/>
        <v>4.6000000000000001E-4</v>
      </c>
      <c r="BM46" s="54">
        <f>RANK(BL46,$BL$5:$BL$70)</f>
        <v>42</v>
      </c>
      <c r="BN46" s="54">
        <v>34</v>
      </c>
      <c r="BO46" s="73" t="str">
        <f t="shared" si="120"/>
        <v/>
      </c>
      <c r="BP46" s="80" t="e">
        <f t="shared" si="121"/>
        <v>#DIV/0!</v>
      </c>
      <c r="BQ46" s="141">
        <f t="shared" si="122"/>
        <v>0</v>
      </c>
      <c r="BR46" s="54" t="str">
        <f t="shared" si="123"/>
        <v/>
      </c>
      <c r="BS46" s="54" t="str">
        <f t="shared" si="124"/>
        <v/>
      </c>
      <c r="BT46" s="57">
        <f t="shared" si="125"/>
        <v>0</v>
      </c>
      <c r="BU46" s="54" t="str">
        <f t="shared" si="126"/>
        <v/>
      </c>
      <c r="BV46" s="57">
        <f t="shared" si="127"/>
        <v>0</v>
      </c>
      <c r="BW46" s="54" t="str">
        <f t="shared" si="128"/>
        <v/>
      </c>
      <c r="BX46" s="57">
        <f t="shared" si="129"/>
        <v>0</v>
      </c>
      <c r="BY46" s="54" t="str">
        <f t="shared" si="130"/>
        <v/>
      </c>
      <c r="BZ46" s="54">
        <f t="shared" si="62"/>
        <v>0</v>
      </c>
      <c r="CA46" s="54" t="str">
        <f t="shared" si="63"/>
        <v>Roy A</v>
      </c>
      <c r="CB46" s="54">
        <f t="shared" si="64"/>
        <v>0</v>
      </c>
      <c r="CC46" s="54" t="str">
        <f t="shared" si="65"/>
        <v>Roy A</v>
      </c>
    </row>
    <row r="47" spans="1:81" x14ac:dyDescent="0.15">
      <c r="B47" t="s">
        <v>249</v>
      </c>
      <c r="C47" t="s">
        <v>311</v>
      </c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J47" s="54" t="str">
        <f t="shared" si="31"/>
        <v>Rugg D</v>
      </c>
      <c r="AK47" s="54">
        <f t="shared" si="101"/>
        <v>0</v>
      </c>
      <c r="AL47" s="54">
        <f t="shared" si="102"/>
        <v>0</v>
      </c>
      <c r="AM47" s="54">
        <f t="shared" si="103"/>
        <v>0</v>
      </c>
      <c r="AN47" s="54">
        <f t="shared" si="104"/>
        <v>0</v>
      </c>
      <c r="AO47" s="54">
        <f t="shared" si="105"/>
        <v>0</v>
      </c>
      <c r="AP47" s="58">
        <f t="shared" si="106"/>
        <v>0</v>
      </c>
      <c r="AQ47" s="54">
        <f t="shared" si="107"/>
        <v>0</v>
      </c>
      <c r="AR47" s="56">
        <f t="shared" si="108"/>
        <v>0</v>
      </c>
      <c r="AS47" s="54">
        <f t="shared" si="109"/>
        <v>0</v>
      </c>
      <c r="AT47" s="57">
        <f t="array" ref="AT47">SUM(IF(ISERR(FIND("*",D47:AI47)),0,1))</f>
        <v>0</v>
      </c>
      <c r="AU47" s="57">
        <f t="array" ref="AU47">SUM(IF(ISERR(FIND("+",D47:AI47)),0,1))</f>
        <v>0</v>
      </c>
      <c r="AV47" s="54">
        <f t="shared" si="110"/>
        <v>0</v>
      </c>
      <c r="AW47" s="57">
        <f t="array" ref="AW47">SUM(IF(ISERR(FIND(AW$4,$D47:$AI47)),0,1))</f>
        <v>0</v>
      </c>
      <c r="AX47" s="57">
        <f t="array" ref="AX47">SUM(IF(ISERR(FIND(AX$4,$D47:$AI47)),0,1))</f>
        <v>0</v>
      </c>
      <c r="AY47" s="57">
        <f t="array" ref="AY47">SUM(IF(ISERR(FIND(AY$4,$D47:$AI47)),0,1))</f>
        <v>0</v>
      </c>
      <c r="AZ47" s="57">
        <f t="array" ref="AZ47">SUM(IF(ISERR(FIND(AZ$4,$D47:$AI47)),0,1))</f>
        <v>0</v>
      </c>
      <c r="BA47" s="57">
        <f t="array" ref="BA47">SUM(IF(ISERR(FIND(BA$4,$D47:$AI47)),0,1))</f>
        <v>0</v>
      </c>
      <c r="BB47" s="57">
        <f t="array" ref="BB47">SUM(IF(ISERR(FIND(BB$4,$D47:$AI47)),0,1))</f>
        <v>0</v>
      </c>
      <c r="BC47" s="57">
        <f t="array" ref="BC47">SUM(IF(ISERR(FIND(BC$4,$D47:$AI47)),0,1))</f>
        <v>0</v>
      </c>
      <c r="BD47" s="57">
        <f t="shared" si="111"/>
        <v>0</v>
      </c>
      <c r="BE47" s="57">
        <f t="shared" si="112"/>
        <v>0</v>
      </c>
      <c r="BF47" s="57">
        <f t="shared" si="113"/>
        <v>0</v>
      </c>
      <c r="BG47" s="57">
        <f t="shared" si="114"/>
        <v>0</v>
      </c>
      <c r="BH47" s="57">
        <f t="shared" si="115"/>
        <v>0</v>
      </c>
      <c r="BI47" s="57">
        <f t="shared" si="116"/>
        <v>0</v>
      </c>
      <c r="BJ47" s="57">
        <f t="shared" si="117"/>
        <v>0</v>
      </c>
      <c r="BK47" s="57">
        <f t="shared" si="118"/>
        <v>0</v>
      </c>
      <c r="BL47" s="54">
        <f t="shared" si="119"/>
        <v>4.6999999999999999E-4</v>
      </c>
      <c r="BM47" s="54">
        <f>RANK(BL47,$BL$5:$BL$70)</f>
        <v>41</v>
      </c>
      <c r="BN47" s="54">
        <v>35</v>
      </c>
      <c r="BO47" s="73" t="str">
        <f t="shared" si="120"/>
        <v/>
      </c>
      <c r="BP47" s="80" t="e">
        <f t="shared" si="121"/>
        <v>#DIV/0!</v>
      </c>
      <c r="BQ47" s="141">
        <f t="shared" si="122"/>
        <v>0</v>
      </c>
      <c r="BR47" s="54" t="str">
        <f t="shared" si="123"/>
        <v/>
      </c>
      <c r="BS47" s="54" t="str">
        <f t="shared" si="124"/>
        <v/>
      </c>
      <c r="BT47" s="57">
        <f t="shared" si="125"/>
        <v>0</v>
      </c>
      <c r="BU47" s="54" t="str">
        <f t="shared" si="126"/>
        <v/>
      </c>
      <c r="BV47" s="57">
        <f t="shared" si="127"/>
        <v>0</v>
      </c>
      <c r="BW47" s="54" t="str">
        <f t="shared" si="128"/>
        <v/>
      </c>
      <c r="BX47" s="57">
        <f t="shared" si="129"/>
        <v>0</v>
      </c>
      <c r="BY47" s="54" t="str">
        <f t="shared" si="130"/>
        <v/>
      </c>
      <c r="BZ47" s="54">
        <f t="shared" si="62"/>
        <v>0</v>
      </c>
      <c r="CA47" s="54" t="str">
        <f t="shared" si="63"/>
        <v>Rugg D</v>
      </c>
      <c r="CB47" s="54">
        <f t="shared" si="64"/>
        <v>0</v>
      </c>
      <c r="CC47" s="54" t="str">
        <f t="shared" si="65"/>
        <v>Rugg D</v>
      </c>
    </row>
    <row r="48" spans="1:81" x14ac:dyDescent="0.15">
      <c r="B48" t="s">
        <v>252</v>
      </c>
      <c r="C48" t="s">
        <v>253</v>
      </c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J48" s="54" t="str">
        <f t="shared" si="31"/>
        <v>Seev J</v>
      </c>
      <c r="AK48" s="54">
        <f t="shared" si="101"/>
        <v>0</v>
      </c>
      <c r="AL48" s="54">
        <f t="shared" si="102"/>
        <v>0</v>
      </c>
      <c r="AM48" s="54">
        <f t="shared" si="103"/>
        <v>0</v>
      </c>
      <c r="AN48" s="54">
        <f t="shared" si="104"/>
        <v>0</v>
      </c>
      <c r="AO48" s="54">
        <f t="shared" si="105"/>
        <v>0</v>
      </c>
      <c r="AP48" s="58">
        <f t="shared" si="106"/>
        <v>0</v>
      </c>
      <c r="AQ48" s="54">
        <f t="shared" si="107"/>
        <v>0</v>
      </c>
      <c r="AR48" s="56">
        <f t="shared" si="108"/>
        <v>0</v>
      </c>
      <c r="AS48" s="54">
        <f t="shared" si="109"/>
        <v>0</v>
      </c>
      <c r="AT48" s="57">
        <f t="array" ref="AT48">SUM(IF(ISERR(FIND("*",D48:AI48)),0,1))</f>
        <v>0</v>
      </c>
      <c r="AU48" s="57">
        <f t="array" ref="AU48">SUM(IF(ISERR(FIND("+",D48:AI48)),0,1))</f>
        <v>0</v>
      </c>
      <c r="AV48" s="54">
        <f t="shared" si="110"/>
        <v>0</v>
      </c>
      <c r="AW48" s="57">
        <f t="array" ref="AW48">SUM(IF(ISERR(FIND(AW$4,$D48:$AI48)),0,1))</f>
        <v>0</v>
      </c>
      <c r="AX48" s="57">
        <f t="array" ref="AX48">SUM(IF(ISERR(FIND(AX$4,$D48:$AI48)),0,1))</f>
        <v>0</v>
      </c>
      <c r="AY48" s="57">
        <f t="array" ref="AY48">SUM(IF(ISERR(FIND(AY$4,$D48:$AI48)),0,1))</f>
        <v>0</v>
      </c>
      <c r="AZ48" s="57">
        <f t="array" ref="AZ48">SUM(IF(ISERR(FIND(AZ$4,$D48:$AI48)),0,1))</f>
        <v>0</v>
      </c>
      <c r="BA48" s="57">
        <f t="array" ref="BA48">SUM(IF(ISERR(FIND(BA$4,$D48:$AI48)),0,1))</f>
        <v>0</v>
      </c>
      <c r="BB48" s="57">
        <f t="array" ref="BB48">SUM(IF(ISERR(FIND(BB$4,$D48:$AI48)),0,1))</f>
        <v>0</v>
      </c>
      <c r="BC48" s="57">
        <f t="array" ref="BC48">SUM(IF(ISERR(FIND(BC$4,$D48:$AI48)),0,1))</f>
        <v>0</v>
      </c>
      <c r="BD48" s="57">
        <f t="shared" si="111"/>
        <v>0</v>
      </c>
      <c r="BE48" s="57">
        <f t="shared" si="112"/>
        <v>0</v>
      </c>
      <c r="BF48" s="57">
        <f t="shared" si="113"/>
        <v>0</v>
      </c>
      <c r="BG48" s="57">
        <f t="shared" si="114"/>
        <v>0</v>
      </c>
      <c r="BH48" s="57">
        <f t="shared" si="115"/>
        <v>0</v>
      </c>
      <c r="BI48" s="57">
        <f t="shared" si="116"/>
        <v>0</v>
      </c>
      <c r="BJ48" s="57">
        <f t="shared" si="117"/>
        <v>0</v>
      </c>
      <c r="BK48" s="57">
        <f t="shared" si="118"/>
        <v>0</v>
      </c>
      <c r="BL48" s="54">
        <f t="shared" si="119"/>
        <v>4.8000000000000001E-4</v>
      </c>
      <c r="BM48" s="54">
        <f>RANK(BL48,$BL$5:$BL$70)</f>
        <v>40</v>
      </c>
      <c r="BN48" s="54">
        <v>36</v>
      </c>
      <c r="BO48" s="73" t="str">
        <f t="shared" si="120"/>
        <v/>
      </c>
      <c r="BP48" s="80" t="e">
        <f t="shared" si="121"/>
        <v>#DIV/0!</v>
      </c>
      <c r="BQ48" s="141">
        <f t="shared" si="122"/>
        <v>0</v>
      </c>
      <c r="BR48" s="54" t="str">
        <f t="shared" si="123"/>
        <v/>
      </c>
      <c r="BS48" s="54" t="str">
        <f t="shared" si="124"/>
        <v/>
      </c>
      <c r="BT48" s="57">
        <f t="shared" si="125"/>
        <v>0</v>
      </c>
      <c r="BU48" s="54" t="str">
        <f t="shared" si="126"/>
        <v/>
      </c>
      <c r="BV48" s="57">
        <f t="shared" si="127"/>
        <v>0</v>
      </c>
      <c r="BW48" s="54" t="str">
        <f t="shared" si="128"/>
        <v/>
      </c>
      <c r="BX48" s="57">
        <f t="shared" si="129"/>
        <v>0</v>
      </c>
      <c r="BY48" s="54" t="str">
        <f t="shared" si="130"/>
        <v/>
      </c>
      <c r="BZ48" s="54">
        <f t="shared" si="62"/>
        <v>0</v>
      </c>
      <c r="CA48" s="54" t="str">
        <f t="shared" si="63"/>
        <v>Seev J</v>
      </c>
      <c r="CB48" s="54">
        <f t="shared" si="64"/>
        <v>0</v>
      </c>
      <c r="CC48" s="54" t="str">
        <f t="shared" si="65"/>
        <v>Seev J</v>
      </c>
    </row>
    <row r="49" spans="2:81" x14ac:dyDescent="0.15">
      <c r="B49" t="s">
        <v>293</v>
      </c>
      <c r="C49" t="s">
        <v>295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J49" s="54" t="str">
        <f t="shared" si="31"/>
        <v>Sajjid A</v>
      </c>
      <c r="AK49" s="54">
        <f t="shared" si="101"/>
        <v>0</v>
      </c>
      <c r="AL49" s="54">
        <f t="shared" si="102"/>
        <v>0</v>
      </c>
      <c r="AM49" s="54">
        <f t="shared" si="103"/>
        <v>0</v>
      </c>
      <c r="AN49" s="54">
        <f t="shared" si="104"/>
        <v>0</v>
      </c>
      <c r="AO49" s="54">
        <f t="shared" si="105"/>
        <v>0</v>
      </c>
      <c r="AP49" s="58">
        <f t="shared" si="106"/>
        <v>0</v>
      </c>
      <c r="AQ49" s="54">
        <f t="shared" si="107"/>
        <v>0</v>
      </c>
      <c r="AR49" s="56">
        <f t="shared" si="108"/>
        <v>0</v>
      </c>
      <c r="AS49" s="54">
        <f t="shared" si="109"/>
        <v>0</v>
      </c>
      <c r="AT49" s="57">
        <f t="array" ref="AT49">SUM(IF(ISERR(FIND("*",D49:AI49)),0,1))</f>
        <v>0</v>
      </c>
      <c r="AU49" s="57">
        <f t="array" ref="AU49">SUM(IF(ISERR(FIND("+",D49:AI49)),0,1))</f>
        <v>0</v>
      </c>
      <c r="AV49" s="54">
        <f t="shared" si="110"/>
        <v>0</v>
      </c>
      <c r="AW49" s="57">
        <f t="array" ref="AW49">SUM(IF(ISERR(FIND(AW$4,$D49:$AI49)),0,1))</f>
        <v>0</v>
      </c>
      <c r="AX49" s="57">
        <f t="array" ref="AX49">SUM(IF(ISERR(FIND(AX$4,$D49:$AI49)),0,1))</f>
        <v>0</v>
      </c>
      <c r="AY49" s="57">
        <f t="array" ref="AY49">SUM(IF(ISERR(FIND(AY$4,$D49:$AI49)),0,1))</f>
        <v>0</v>
      </c>
      <c r="AZ49" s="57">
        <f t="array" ref="AZ49">SUM(IF(ISERR(FIND(AZ$4,$D49:$AI49)),0,1))</f>
        <v>0</v>
      </c>
      <c r="BA49" s="57">
        <f t="array" ref="BA49">SUM(IF(ISERR(FIND(BA$4,$D49:$AI49)),0,1))</f>
        <v>0</v>
      </c>
      <c r="BB49" s="57">
        <f t="array" ref="BB49">SUM(IF(ISERR(FIND(BB$4,$D49:$AI49)),0,1))</f>
        <v>0</v>
      </c>
      <c r="BC49" s="57">
        <f t="array" ref="BC49">SUM(IF(ISERR(FIND(BC$4,$D49:$AI49)),0,1))</f>
        <v>0</v>
      </c>
      <c r="BD49" s="57">
        <f t="shared" si="111"/>
        <v>0</v>
      </c>
      <c r="BE49" s="57">
        <f t="shared" si="112"/>
        <v>0</v>
      </c>
      <c r="BF49" s="57">
        <f t="shared" si="113"/>
        <v>0</v>
      </c>
      <c r="BG49" s="57">
        <f t="shared" si="114"/>
        <v>0</v>
      </c>
      <c r="BH49" s="57">
        <f t="shared" si="115"/>
        <v>0</v>
      </c>
      <c r="BI49" s="57">
        <f t="shared" si="116"/>
        <v>0</v>
      </c>
      <c r="BJ49" s="57">
        <f t="shared" si="117"/>
        <v>0</v>
      </c>
      <c r="BK49" s="57">
        <f t="shared" si="118"/>
        <v>0</v>
      </c>
      <c r="BL49" s="54">
        <f t="shared" si="119"/>
        <v>4.8999999999999998E-4</v>
      </c>
      <c r="BM49" s="54">
        <f>RANK(BL49,$BL$5:$BL$70)</f>
        <v>39</v>
      </c>
      <c r="BN49" s="54">
        <v>37</v>
      </c>
      <c r="BO49" s="73" t="str">
        <f t="shared" si="120"/>
        <v/>
      </c>
      <c r="BP49" s="80" t="e">
        <f t="shared" si="121"/>
        <v>#DIV/0!</v>
      </c>
      <c r="BQ49" s="141">
        <f t="shared" si="122"/>
        <v>0</v>
      </c>
      <c r="BR49" s="54" t="str">
        <f t="shared" si="123"/>
        <v/>
      </c>
      <c r="BS49" s="54" t="str">
        <f t="shared" si="124"/>
        <v/>
      </c>
      <c r="BT49" s="57">
        <f t="shared" si="125"/>
        <v>0</v>
      </c>
      <c r="BU49" s="54" t="str">
        <f t="shared" si="126"/>
        <v/>
      </c>
      <c r="BV49" s="57">
        <f t="shared" si="127"/>
        <v>0</v>
      </c>
      <c r="BW49" s="54" t="str">
        <f t="shared" si="128"/>
        <v/>
      </c>
      <c r="BX49" s="57">
        <f t="shared" si="129"/>
        <v>0</v>
      </c>
      <c r="BY49" s="54" t="str">
        <f t="shared" si="130"/>
        <v/>
      </c>
      <c r="BZ49" s="54">
        <f t="shared" si="62"/>
        <v>0</v>
      </c>
      <c r="CA49" s="54" t="str">
        <f t="shared" si="63"/>
        <v>Sajjid A</v>
      </c>
      <c r="CB49" s="54">
        <f t="shared" si="64"/>
        <v>0</v>
      </c>
      <c r="CC49" s="54" t="str">
        <f t="shared" si="65"/>
        <v>Sajjid A</v>
      </c>
    </row>
    <row r="50" spans="2:81" x14ac:dyDescent="0.15">
      <c r="B50" t="s">
        <v>294</v>
      </c>
      <c r="C50" t="s">
        <v>296</v>
      </c>
      <c r="D50" t="s">
        <v>362</v>
      </c>
      <c r="E50"/>
      <c r="F50"/>
      <c r="G50"/>
      <c r="H50"/>
      <c r="I50"/>
      <c r="J50" t="s">
        <v>304</v>
      </c>
      <c r="K50"/>
      <c r="L50" t="s">
        <v>588</v>
      </c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J50" s="54" t="str">
        <f t="shared" si="31"/>
        <v>Sajjid K</v>
      </c>
      <c r="AK50" s="54">
        <f t="shared" si="101"/>
        <v>3</v>
      </c>
      <c r="AL50" s="54">
        <f t="shared" si="102"/>
        <v>2</v>
      </c>
      <c r="AM50" s="54">
        <f t="shared" si="103"/>
        <v>1</v>
      </c>
      <c r="AN50" s="54">
        <f t="shared" si="104"/>
        <v>0</v>
      </c>
      <c r="AO50" s="54">
        <f t="shared" si="105"/>
        <v>0</v>
      </c>
      <c r="AP50" s="58">
        <f t="shared" si="106"/>
        <v>0</v>
      </c>
      <c r="AQ50" s="54">
        <f t="shared" si="107"/>
        <v>0</v>
      </c>
      <c r="AR50" s="56">
        <f t="shared" si="108"/>
        <v>0</v>
      </c>
      <c r="AS50" s="54">
        <f t="shared" si="109"/>
        <v>5</v>
      </c>
      <c r="AT50" s="57">
        <f t="array" ref="AT50">SUM(IF(ISERR(FIND("*",D50:AI50)),0,1))</f>
        <v>0</v>
      </c>
      <c r="AU50" s="57">
        <f t="array" ref="AU50">SUM(IF(ISERR(FIND("+",D50:AI50)),0,1))</f>
        <v>0</v>
      </c>
      <c r="AV50" s="54">
        <f t="shared" si="110"/>
        <v>1</v>
      </c>
      <c r="AW50" s="57">
        <f t="array" ref="AW50">SUM(IF(ISERR(FIND(AW$4,$D50:$AI50)),0,1))</f>
        <v>1</v>
      </c>
      <c r="AX50" s="57">
        <f t="array" ref="AX50">SUM(IF(ISERR(FIND(AX$4,$D50:$AI50)),0,1))</f>
        <v>0</v>
      </c>
      <c r="AY50" s="57">
        <f t="array" ref="AY50">SUM(IF(ISERR(FIND(AY$4,$D50:$AI50)),0,1))</f>
        <v>0</v>
      </c>
      <c r="AZ50" s="57">
        <f t="array" ref="AZ50">SUM(IF(ISERR(FIND(AZ$4,$D50:$AI50)),0,1))</f>
        <v>0</v>
      </c>
      <c r="BA50" s="57">
        <f t="array" ref="BA50">SUM(IF(ISERR(FIND(BA$4,$D50:$AI50)),0,1))</f>
        <v>0</v>
      </c>
      <c r="BB50" s="57">
        <f t="array" ref="BB50">SUM(IF(ISERR(FIND(BB$4,$D50:$AI50)),0,1))</f>
        <v>0</v>
      </c>
      <c r="BC50" s="57">
        <f t="array" ref="BC50">SUM(IF(ISERR(FIND(BC$4,$D50:$AI50)),0,1))</f>
        <v>0</v>
      </c>
      <c r="BD50" s="57">
        <f t="shared" si="111"/>
        <v>0</v>
      </c>
      <c r="BE50" s="57">
        <f t="shared" si="112"/>
        <v>0</v>
      </c>
      <c r="BF50" s="57">
        <f t="shared" si="113"/>
        <v>1</v>
      </c>
      <c r="BG50" s="57">
        <f t="shared" si="114"/>
        <v>0</v>
      </c>
      <c r="BH50" s="57">
        <f t="shared" si="115"/>
        <v>0</v>
      </c>
      <c r="BI50" s="57">
        <f t="shared" si="116"/>
        <v>0</v>
      </c>
      <c r="BJ50" s="57">
        <f t="shared" si="117"/>
        <v>0</v>
      </c>
      <c r="BK50" s="57">
        <f t="shared" si="118"/>
        <v>0</v>
      </c>
      <c r="BL50" s="54">
        <f t="shared" si="119"/>
        <v>103.0005</v>
      </c>
      <c r="BM50" s="54">
        <f>RANK(BL50,$BL$5:$BL$70)</f>
        <v>22</v>
      </c>
      <c r="BN50" s="54">
        <v>38</v>
      </c>
      <c r="BO50" s="73" t="str">
        <f t="shared" si="120"/>
        <v/>
      </c>
      <c r="BP50" s="80">
        <f t="shared" si="121"/>
        <v>1</v>
      </c>
      <c r="BQ50" s="141">
        <f t="shared" si="122"/>
        <v>1</v>
      </c>
      <c r="BR50" s="54" t="str">
        <f t="shared" si="123"/>
        <v>1</v>
      </c>
      <c r="BS50" s="54" t="str">
        <f t="shared" si="124"/>
        <v>Sajjid K</v>
      </c>
      <c r="BT50" s="57">
        <f t="shared" si="125"/>
        <v>0</v>
      </c>
      <c r="BU50" s="54" t="str">
        <f t="shared" si="126"/>
        <v/>
      </c>
      <c r="BV50" s="57">
        <f t="shared" si="127"/>
        <v>0</v>
      </c>
      <c r="BW50" s="54" t="str">
        <f t="shared" si="128"/>
        <v/>
      </c>
      <c r="BX50" s="57">
        <f t="shared" si="129"/>
        <v>0</v>
      </c>
      <c r="BY50" s="54" t="str">
        <f t="shared" si="130"/>
        <v/>
      </c>
      <c r="BZ50" s="54">
        <f t="shared" si="62"/>
        <v>3</v>
      </c>
      <c r="CA50" s="54" t="str">
        <f t="shared" si="63"/>
        <v>Sajjid K</v>
      </c>
      <c r="CB50" s="54">
        <f t="shared" si="64"/>
        <v>1</v>
      </c>
      <c r="CC50" s="54" t="str">
        <f t="shared" si="65"/>
        <v>Sajjid K</v>
      </c>
    </row>
    <row r="51" spans="2:81" x14ac:dyDescent="0.15">
      <c r="B51" s="54" t="s">
        <v>28</v>
      </c>
      <c r="C51" s="54" t="s">
        <v>196</v>
      </c>
      <c r="D51" t="s">
        <v>462</v>
      </c>
      <c r="E51" t="s">
        <v>483</v>
      </c>
      <c r="F51" t="s">
        <v>499</v>
      </c>
      <c r="G51" t="s">
        <v>510</v>
      </c>
      <c r="H51" t="s">
        <v>521</v>
      </c>
      <c r="I51" t="s">
        <v>546</v>
      </c>
      <c r="J51" t="s">
        <v>556</v>
      </c>
      <c r="K51" t="s">
        <v>570</v>
      </c>
      <c r="L51" t="s">
        <v>371</v>
      </c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J51" s="54" t="str">
        <f t="shared" si="31"/>
        <v>Seymour C</v>
      </c>
      <c r="AK51" s="54">
        <f t="shared" si="101"/>
        <v>9</v>
      </c>
      <c r="AL51" s="54">
        <f t="shared" si="102"/>
        <v>2</v>
      </c>
      <c r="AM51" s="54">
        <f t="shared" si="103"/>
        <v>7</v>
      </c>
      <c r="AN51" s="54">
        <f t="shared" si="104"/>
        <v>0</v>
      </c>
      <c r="AO51" s="54">
        <f t="shared" si="105"/>
        <v>21</v>
      </c>
      <c r="AP51" s="58">
        <f t="shared" si="106"/>
        <v>21</v>
      </c>
      <c r="AQ51" s="54">
        <f t="shared" si="107"/>
        <v>69</v>
      </c>
      <c r="AR51" s="56">
        <f t="shared" si="108"/>
        <v>9.8571428571428577</v>
      </c>
      <c r="AS51" s="54">
        <f t="shared" si="109"/>
        <v>5</v>
      </c>
      <c r="AT51" s="57">
        <f t="array" ref="AT51">SUM(IF(ISERR(FIND("*",D51:AI51)),0,1))</f>
        <v>2</v>
      </c>
      <c r="AU51" s="57">
        <f t="array" ref="AU51">SUM(IF(ISERR(FIND("+",D51:AI51)),0,1))</f>
        <v>0</v>
      </c>
      <c r="AV51" s="54">
        <f t="shared" si="110"/>
        <v>1</v>
      </c>
      <c r="AW51" s="57">
        <f t="array" ref="AW51">SUM(IF(ISERR(FIND(AW$4,$D51:$AI51)),0,1))</f>
        <v>0</v>
      </c>
      <c r="AX51" s="57">
        <f t="array" ref="AX51">SUM(IF(ISERR(FIND(AX$4,$D51:$AI51)),0,1))</f>
        <v>5</v>
      </c>
      <c r="AY51" s="57">
        <f t="array" ref="AY51">SUM(IF(ISERR(FIND(AY$4,$D51:$AI51)),0,1))</f>
        <v>1</v>
      </c>
      <c r="AZ51" s="57">
        <f t="array" ref="AZ51">SUM(IF(ISERR(FIND(AZ$4,$D51:$AI51)),0,1))</f>
        <v>0</v>
      </c>
      <c r="BA51" s="57">
        <f t="array" ref="BA51">SUM(IF(ISERR(FIND(BA$4,$D51:$AI51)),0,1))</f>
        <v>0</v>
      </c>
      <c r="BB51" s="57">
        <f t="array" ref="BB51">SUM(IF(ISERR(FIND(BB$4,$D51:$AI51)),0,1))</f>
        <v>0</v>
      </c>
      <c r="BC51" s="57">
        <f t="array" ref="BC51">SUM(IF(ISERR(FIND(BC$4,$D51:$AI51)),0,1))</f>
        <v>0</v>
      </c>
      <c r="BD51" s="57">
        <f t="shared" si="111"/>
        <v>0</v>
      </c>
      <c r="BE51" s="57">
        <f t="shared" si="112"/>
        <v>0</v>
      </c>
      <c r="BF51" s="57">
        <f t="shared" si="113"/>
        <v>1</v>
      </c>
      <c r="BG51" s="57">
        <f t="shared" si="114"/>
        <v>6</v>
      </c>
      <c r="BH51" s="57">
        <f t="shared" si="115"/>
        <v>0</v>
      </c>
      <c r="BI51" s="57">
        <f t="shared" si="116"/>
        <v>0</v>
      </c>
      <c r="BJ51" s="57">
        <f t="shared" si="117"/>
        <v>0</v>
      </c>
      <c r="BK51" s="57">
        <f t="shared" si="118"/>
        <v>0</v>
      </c>
      <c r="BL51" s="54">
        <f t="shared" si="119"/>
        <v>986709.69050999999</v>
      </c>
      <c r="BM51" s="54">
        <f>RANK(BL51,$BL$5:$BL$70)</f>
        <v>11</v>
      </c>
      <c r="BN51" s="54">
        <v>39</v>
      </c>
      <c r="BO51" s="73">
        <f t="shared" si="120"/>
        <v>3.1739130434782608</v>
      </c>
      <c r="BP51" s="80">
        <f t="shared" si="121"/>
        <v>0.14285714285714285</v>
      </c>
      <c r="BQ51" s="141">
        <f t="shared" si="122"/>
        <v>1</v>
      </c>
      <c r="BR51" s="54" t="str">
        <f t="shared" si="123"/>
        <v>1</v>
      </c>
      <c r="BS51" s="54" t="str">
        <f t="shared" si="124"/>
        <v>Seymour C</v>
      </c>
      <c r="BT51" s="57">
        <f t="shared" si="125"/>
        <v>0</v>
      </c>
      <c r="BU51" s="54" t="str">
        <f t="shared" si="126"/>
        <v/>
      </c>
      <c r="BV51" s="57">
        <f t="shared" si="127"/>
        <v>6</v>
      </c>
      <c r="BW51" s="54" t="str">
        <f t="shared" si="128"/>
        <v>Seymour C</v>
      </c>
      <c r="BX51" s="57">
        <f t="shared" si="129"/>
        <v>0</v>
      </c>
      <c r="BY51" s="54" t="str">
        <f t="shared" si="130"/>
        <v/>
      </c>
      <c r="BZ51" s="54">
        <f t="shared" si="62"/>
        <v>9</v>
      </c>
      <c r="CA51" s="54" t="str">
        <f t="shared" si="63"/>
        <v>Seymour C</v>
      </c>
      <c r="CB51" s="54">
        <f t="shared" si="64"/>
        <v>1</v>
      </c>
      <c r="CC51" s="54" t="str">
        <f t="shared" si="65"/>
        <v>Seymour C</v>
      </c>
    </row>
    <row r="52" spans="2:81" x14ac:dyDescent="0.15">
      <c r="B52" t="s">
        <v>255</v>
      </c>
      <c r="C52" t="s">
        <v>258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J52" s="54" t="str">
        <f t="shared" si="31"/>
        <v>Seymour D</v>
      </c>
      <c r="AK52" s="54">
        <f t="shared" si="101"/>
        <v>0</v>
      </c>
      <c r="AL52" s="54">
        <f t="shared" si="102"/>
        <v>0</v>
      </c>
      <c r="AM52" s="54">
        <f t="shared" si="103"/>
        <v>0</v>
      </c>
      <c r="AN52" s="54">
        <f t="shared" si="104"/>
        <v>0</v>
      </c>
      <c r="AO52" s="54">
        <f t="shared" si="105"/>
        <v>0</v>
      </c>
      <c r="AP52" s="58">
        <f t="shared" si="106"/>
        <v>0</v>
      </c>
      <c r="AQ52" s="54">
        <f t="shared" si="107"/>
        <v>0</v>
      </c>
      <c r="AR52" s="56">
        <f t="shared" si="108"/>
        <v>0</v>
      </c>
      <c r="AS52" s="54">
        <f t="shared" si="109"/>
        <v>0</v>
      </c>
      <c r="AT52" s="57">
        <f t="array" ref="AT52">SUM(IF(ISERR(FIND("*",D52:AI52)),0,1))</f>
        <v>0</v>
      </c>
      <c r="AU52" s="57">
        <f t="array" ref="AU52">SUM(IF(ISERR(FIND("+",D52:AI52)),0,1))</f>
        <v>0</v>
      </c>
      <c r="AV52" s="54">
        <f t="shared" si="110"/>
        <v>0</v>
      </c>
      <c r="AW52" s="57">
        <f t="array" ref="AW52">SUM(IF(ISERR(FIND(AW$4,$D52:$AI52)),0,1))</f>
        <v>0</v>
      </c>
      <c r="AX52" s="57">
        <f t="array" ref="AX52">SUM(IF(ISERR(FIND(AX$4,$D52:$AI52)),0,1))</f>
        <v>0</v>
      </c>
      <c r="AY52" s="57">
        <f t="array" ref="AY52">SUM(IF(ISERR(FIND(AY$4,$D52:$AI52)),0,1))</f>
        <v>0</v>
      </c>
      <c r="AZ52" s="57">
        <f t="array" ref="AZ52">SUM(IF(ISERR(FIND(AZ$4,$D52:$AI52)),0,1))</f>
        <v>0</v>
      </c>
      <c r="BA52" s="57">
        <f t="array" ref="BA52">SUM(IF(ISERR(FIND(BA$4,$D52:$AI52)),0,1))</f>
        <v>0</v>
      </c>
      <c r="BB52" s="57">
        <f t="array" ref="BB52">SUM(IF(ISERR(FIND(BB$4,$D52:$AI52)),0,1))</f>
        <v>0</v>
      </c>
      <c r="BC52" s="57">
        <f t="array" ref="BC52">SUM(IF(ISERR(FIND(BC$4,$D52:$AI52)),0,1))</f>
        <v>0</v>
      </c>
      <c r="BD52" s="57">
        <f t="shared" si="111"/>
        <v>0</v>
      </c>
      <c r="BE52" s="57">
        <f t="shared" si="112"/>
        <v>0</v>
      </c>
      <c r="BF52" s="57">
        <f t="shared" si="113"/>
        <v>0</v>
      </c>
      <c r="BG52" s="57">
        <f t="shared" si="114"/>
        <v>0</v>
      </c>
      <c r="BH52" s="57">
        <f t="shared" si="115"/>
        <v>0</v>
      </c>
      <c r="BI52" s="57">
        <f t="shared" si="116"/>
        <v>0</v>
      </c>
      <c r="BJ52" s="57">
        <f t="shared" si="117"/>
        <v>0</v>
      </c>
      <c r="BK52" s="57">
        <f t="shared" si="118"/>
        <v>0</v>
      </c>
      <c r="BL52" s="54">
        <f t="shared" si="119"/>
        <v>5.1999999999999995E-4</v>
      </c>
      <c r="BM52" s="54">
        <f>RANK(BL52,$BL$5:$BL$70)</f>
        <v>38</v>
      </c>
      <c r="BN52" s="54">
        <v>40</v>
      </c>
      <c r="BO52" s="73" t="str">
        <f t="shared" si="120"/>
        <v/>
      </c>
      <c r="BP52" s="80" t="e">
        <f t="shared" si="121"/>
        <v>#DIV/0!</v>
      </c>
      <c r="BQ52" s="141">
        <f t="shared" si="122"/>
        <v>0</v>
      </c>
      <c r="BR52" s="54" t="str">
        <f t="shared" si="123"/>
        <v/>
      </c>
      <c r="BS52" s="54" t="str">
        <f t="shared" si="124"/>
        <v/>
      </c>
      <c r="BT52" s="57">
        <f t="shared" si="125"/>
        <v>0</v>
      </c>
      <c r="BU52" s="54" t="str">
        <f t="shared" si="126"/>
        <v/>
      </c>
      <c r="BV52" s="57">
        <f t="shared" si="127"/>
        <v>0</v>
      </c>
      <c r="BW52" s="54" t="str">
        <f t="shared" si="128"/>
        <v/>
      </c>
      <c r="BX52" s="57">
        <f t="shared" si="129"/>
        <v>0</v>
      </c>
      <c r="BY52" s="54" t="str">
        <f t="shared" si="130"/>
        <v/>
      </c>
      <c r="BZ52" s="54">
        <f t="shared" si="62"/>
        <v>0</v>
      </c>
      <c r="CA52" s="54" t="str">
        <f t="shared" si="63"/>
        <v>Seymour D</v>
      </c>
      <c r="CB52" s="54">
        <f t="shared" si="64"/>
        <v>0</v>
      </c>
      <c r="CC52" s="54" t="str">
        <f t="shared" si="65"/>
        <v>Seymour D</v>
      </c>
    </row>
    <row r="53" spans="2:81" x14ac:dyDescent="0.15">
      <c r="B53" s="54" t="s">
        <v>24</v>
      </c>
      <c r="C53" s="54" t="s">
        <v>136</v>
      </c>
      <c r="D53"/>
      <c r="E53"/>
      <c r="F53" t="s">
        <v>503</v>
      </c>
      <c r="G53"/>
      <c r="H53" t="s">
        <v>524</v>
      </c>
      <c r="I53" t="s">
        <v>542</v>
      </c>
      <c r="J53" t="s">
        <v>558</v>
      </c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J53" s="54" t="str">
        <f t="shared" si="31"/>
        <v>Sharpe D</v>
      </c>
      <c r="AK53" s="54">
        <f t="shared" si="101"/>
        <v>4</v>
      </c>
      <c r="AL53" s="54">
        <f t="shared" si="102"/>
        <v>0</v>
      </c>
      <c r="AM53" s="54">
        <f t="shared" si="103"/>
        <v>4</v>
      </c>
      <c r="AN53" s="54">
        <f t="shared" si="104"/>
        <v>0</v>
      </c>
      <c r="AO53" s="54">
        <f t="shared" si="105"/>
        <v>36</v>
      </c>
      <c r="AP53" s="58">
        <f t="shared" si="106"/>
        <v>36</v>
      </c>
      <c r="AQ53" s="54">
        <f t="shared" si="107"/>
        <v>75</v>
      </c>
      <c r="AR53" s="56">
        <f t="shared" si="108"/>
        <v>18.75</v>
      </c>
      <c r="AS53" s="54">
        <f t="shared" si="109"/>
        <v>0</v>
      </c>
      <c r="AT53" s="57">
        <f t="array" ref="AT53">SUM(IF(ISERR(FIND("*",D53:AI53)),0,1))</f>
        <v>0</v>
      </c>
      <c r="AU53" s="57">
        <f t="array" ref="AU53">SUM(IF(ISERR(FIND("+",D53:AI53)),0,1))</f>
        <v>4</v>
      </c>
      <c r="AV53" s="54">
        <f t="shared" si="110"/>
        <v>0</v>
      </c>
      <c r="AW53" s="57">
        <f t="array" ref="AW53">SUM(IF(ISERR(FIND(AW$4,$D53:$AI53)),0,1))</f>
        <v>2</v>
      </c>
      <c r="AX53" s="57">
        <f t="array" ref="AX53">SUM(IF(ISERR(FIND(AX$4,$D53:$AI53)),0,1))</f>
        <v>1</v>
      </c>
      <c r="AY53" s="57">
        <f t="array" ref="AY53">SUM(IF(ISERR(FIND(AY$4,$D53:$AI53)),0,1))</f>
        <v>0</v>
      </c>
      <c r="AZ53" s="57">
        <f t="array" ref="AZ53">SUM(IF(ISERR(FIND(AZ$4,$D53:$AI53)),0,1))</f>
        <v>0</v>
      </c>
      <c r="BA53" s="57">
        <f t="array" ref="BA53">SUM(IF(ISERR(FIND(BA$4,$D53:$AI53)),0,1))</f>
        <v>0</v>
      </c>
      <c r="BB53" s="57">
        <f t="array" ref="BB53">SUM(IF(ISERR(FIND(BB$4,$D53:$AI53)),0,1))</f>
        <v>0</v>
      </c>
      <c r="BC53" s="57">
        <f t="array" ref="BC53">SUM(IF(ISERR(FIND(BC$4,$D53:$AI53)),0,1))</f>
        <v>0</v>
      </c>
      <c r="BD53" s="57">
        <f t="shared" si="111"/>
        <v>0</v>
      </c>
      <c r="BE53" s="57">
        <f t="shared" si="112"/>
        <v>0</v>
      </c>
      <c r="BF53" s="57">
        <f t="shared" si="113"/>
        <v>3</v>
      </c>
      <c r="BG53" s="57">
        <f t="shared" si="114"/>
        <v>11</v>
      </c>
      <c r="BH53" s="57">
        <f t="shared" si="115"/>
        <v>3</v>
      </c>
      <c r="BI53" s="57">
        <f t="shared" si="116"/>
        <v>0</v>
      </c>
      <c r="BJ53" s="57">
        <f t="shared" si="117"/>
        <v>3</v>
      </c>
      <c r="BK53" s="57">
        <f t="shared" si="118"/>
        <v>1</v>
      </c>
      <c r="BL53" s="54">
        <f t="shared" si="119"/>
        <v>1875404.7505300001</v>
      </c>
      <c r="BM53" s="54">
        <f>RANK(BL53,$BL$5:$BL$70)</f>
        <v>5</v>
      </c>
      <c r="BN53" s="54">
        <v>41</v>
      </c>
      <c r="BO53" s="73">
        <f t="shared" si="120"/>
        <v>3.56</v>
      </c>
      <c r="BP53" s="80">
        <f t="shared" si="121"/>
        <v>0</v>
      </c>
      <c r="BQ53" s="141">
        <f t="shared" si="122"/>
        <v>3</v>
      </c>
      <c r="BR53" s="54" t="str">
        <f t="shared" si="123"/>
        <v>3 (3)</v>
      </c>
      <c r="BS53" s="54" t="str">
        <f t="shared" si="124"/>
        <v>Sharpe D</v>
      </c>
      <c r="BT53" s="57">
        <f t="shared" si="125"/>
        <v>3</v>
      </c>
      <c r="BU53" s="54" t="str">
        <f t="shared" si="126"/>
        <v>Sharpe D</v>
      </c>
      <c r="BV53" s="57">
        <f t="shared" si="127"/>
        <v>11</v>
      </c>
      <c r="BW53" s="54" t="str">
        <f t="shared" si="128"/>
        <v>Sharpe D</v>
      </c>
      <c r="BX53" s="57">
        <f t="shared" si="129"/>
        <v>1</v>
      </c>
      <c r="BY53" s="54" t="str">
        <f t="shared" si="130"/>
        <v>Sharpe D</v>
      </c>
      <c r="BZ53" s="54">
        <f t="shared" si="62"/>
        <v>4</v>
      </c>
      <c r="CA53" s="54" t="str">
        <f t="shared" si="63"/>
        <v>Sharpe D</v>
      </c>
      <c r="CB53" s="54">
        <f t="shared" si="64"/>
        <v>0</v>
      </c>
      <c r="CC53" s="54" t="str">
        <f t="shared" si="65"/>
        <v>Sharpe D</v>
      </c>
    </row>
    <row r="54" spans="2:81" x14ac:dyDescent="0.15">
      <c r="B54" t="s">
        <v>270</v>
      </c>
      <c r="C54" t="s">
        <v>271</v>
      </c>
      <c r="D54"/>
      <c r="E54"/>
      <c r="F54"/>
      <c r="G54"/>
      <c r="H54" t="s">
        <v>527</v>
      </c>
      <c r="I54" t="s">
        <v>544</v>
      </c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J54" s="54" t="str">
        <f t="shared" si="31"/>
        <v>Sharpe H</v>
      </c>
      <c r="AK54" s="54">
        <f t="shared" si="101"/>
        <v>2</v>
      </c>
      <c r="AL54" s="54">
        <f t="shared" si="102"/>
        <v>0</v>
      </c>
      <c r="AM54" s="54">
        <f t="shared" si="103"/>
        <v>2</v>
      </c>
      <c r="AN54" s="54">
        <f t="shared" si="104"/>
        <v>1</v>
      </c>
      <c r="AO54" s="54">
        <f t="shared" si="105"/>
        <v>-26</v>
      </c>
      <c r="AP54" s="58" t="str">
        <f t="shared" si="106"/>
        <v>26*</v>
      </c>
      <c r="AQ54" s="54">
        <f t="shared" si="107"/>
        <v>32</v>
      </c>
      <c r="AR54" s="56">
        <f t="shared" si="108"/>
        <v>32</v>
      </c>
      <c r="AS54" s="54">
        <f t="shared" si="109"/>
        <v>0</v>
      </c>
      <c r="AT54" s="57">
        <f t="array" ref="AT54">SUM(IF(ISERR(FIND("*",D54:AI54)),0,1))</f>
        <v>0</v>
      </c>
      <c r="AU54" s="57">
        <f t="array" ref="AU54">SUM(IF(ISERR(FIND("+",D54:AI54)),0,1))</f>
        <v>0</v>
      </c>
      <c r="AV54" s="54">
        <f t="shared" si="110"/>
        <v>0</v>
      </c>
      <c r="AW54" s="57">
        <f t="array" ref="AW54">SUM(IF(ISERR(FIND(AW$4,$D54:$AI54)),0,1))</f>
        <v>1</v>
      </c>
      <c r="AX54" s="57">
        <f t="array" ref="AX54">SUM(IF(ISERR(FIND(AX$4,$D54:$AI54)),0,1))</f>
        <v>0</v>
      </c>
      <c r="AY54" s="57">
        <f t="array" ref="AY54">SUM(IF(ISERR(FIND(AY$4,$D54:$AI54)),0,1))</f>
        <v>0</v>
      </c>
      <c r="AZ54" s="57">
        <f t="array" ref="AZ54">SUM(IF(ISERR(FIND(AZ$4,$D54:$AI54)),0,1))</f>
        <v>0</v>
      </c>
      <c r="BA54" s="57">
        <f t="array" ref="BA54">SUM(IF(ISERR(FIND(BA$4,$D54:$AI54)),0,1))</f>
        <v>0</v>
      </c>
      <c r="BB54" s="57">
        <f t="array" ref="BB54">SUM(IF(ISERR(FIND(BB$4,$D54:$AI54)),0,1))</f>
        <v>0</v>
      </c>
      <c r="BC54" s="57">
        <f t="array" ref="BC54">SUM(IF(ISERR(FIND(BC$4,$D54:$AI54)),0,1))</f>
        <v>0</v>
      </c>
      <c r="BD54" s="57">
        <f t="shared" si="111"/>
        <v>0</v>
      </c>
      <c r="BE54" s="57">
        <f t="shared" si="112"/>
        <v>0</v>
      </c>
      <c r="BF54" s="57">
        <f t="shared" si="113"/>
        <v>0</v>
      </c>
      <c r="BG54" s="57">
        <f t="shared" si="114"/>
        <v>4</v>
      </c>
      <c r="BH54" s="57">
        <f t="shared" si="115"/>
        <v>0</v>
      </c>
      <c r="BI54" s="57">
        <f t="shared" si="116"/>
        <v>0</v>
      </c>
      <c r="BJ54" s="57">
        <f t="shared" si="117"/>
        <v>0</v>
      </c>
      <c r="BK54" s="57">
        <f t="shared" si="118"/>
        <v>1</v>
      </c>
      <c r="BL54" s="54">
        <f t="shared" si="119"/>
        <v>3200202.3205399998</v>
      </c>
      <c r="BM54" s="54">
        <f>RANK(BL54,$BL$5:$BL$70)</f>
        <v>4</v>
      </c>
      <c r="BN54" s="54">
        <v>42</v>
      </c>
      <c r="BO54" s="73" t="str">
        <f t="shared" si="120"/>
        <v/>
      </c>
      <c r="BP54" s="80">
        <f t="shared" si="121"/>
        <v>0</v>
      </c>
      <c r="BQ54" s="141">
        <f t="shared" si="122"/>
        <v>0</v>
      </c>
      <c r="BR54" s="54" t="str">
        <f t="shared" si="123"/>
        <v/>
      </c>
      <c r="BS54" s="54" t="str">
        <f t="shared" si="124"/>
        <v/>
      </c>
      <c r="BT54" s="57">
        <f t="shared" si="125"/>
        <v>0</v>
      </c>
      <c r="BU54" s="54" t="str">
        <f t="shared" si="126"/>
        <v/>
      </c>
      <c r="BV54" s="57">
        <f t="shared" si="127"/>
        <v>4</v>
      </c>
      <c r="BW54" s="54" t="str">
        <f t="shared" si="128"/>
        <v>Sharpe H</v>
      </c>
      <c r="BX54" s="57">
        <f t="shared" si="129"/>
        <v>1</v>
      </c>
      <c r="BY54" s="54" t="str">
        <f t="shared" si="130"/>
        <v>Sharpe H</v>
      </c>
      <c r="BZ54" s="54">
        <f t="shared" si="62"/>
        <v>2</v>
      </c>
      <c r="CA54" s="54" t="str">
        <f t="shared" si="63"/>
        <v>Sharpe H</v>
      </c>
      <c r="CB54" s="54">
        <f t="shared" si="64"/>
        <v>0</v>
      </c>
      <c r="CC54" s="54" t="str">
        <f t="shared" si="65"/>
        <v>Sharpe H</v>
      </c>
    </row>
    <row r="55" spans="2:81" x14ac:dyDescent="0.15">
      <c r="B55" t="s">
        <v>259</v>
      </c>
      <c r="C55" t="s">
        <v>243</v>
      </c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J55" s="54" t="str">
        <f t="shared" si="31"/>
        <v>Shome G</v>
      </c>
      <c r="AK55" s="54">
        <f t="shared" si="101"/>
        <v>0</v>
      </c>
      <c r="AL55" s="54">
        <f t="shared" si="102"/>
        <v>0</v>
      </c>
      <c r="AM55" s="54">
        <f t="shared" si="103"/>
        <v>0</v>
      </c>
      <c r="AN55" s="54">
        <f t="shared" si="104"/>
        <v>0</v>
      </c>
      <c r="AO55" s="54">
        <f t="shared" si="105"/>
        <v>0</v>
      </c>
      <c r="AP55" s="58">
        <f t="shared" si="106"/>
        <v>0</v>
      </c>
      <c r="AQ55" s="54">
        <f t="shared" si="107"/>
        <v>0</v>
      </c>
      <c r="AR55" s="56">
        <f t="shared" si="108"/>
        <v>0</v>
      </c>
      <c r="AS55" s="54">
        <f t="shared" si="109"/>
        <v>0</v>
      </c>
      <c r="AT55" s="57">
        <f t="array" ref="AT55">SUM(IF(ISERR(FIND("*",D55:AI55)),0,1))</f>
        <v>0</v>
      </c>
      <c r="AU55" s="57">
        <f t="array" ref="AU55">SUM(IF(ISERR(FIND("+",D55:AI55)),0,1))</f>
        <v>0</v>
      </c>
      <c r="AV55" s="54">
        <f t="shared" si="110"/>
        <v>0</v>
      </c>
      <c r="AW55" s="57">
        <f t="array" ref="AW55">SUM(IF(ISERR(FIND(AW$4,$D55:$AI55)),0,1))</f>
        <v>0</v>
      </c>
      <c r="AX55" s="57">
        <f t="array" ref="AX55">SUM(IF(ISERR(FIND(AX$4,$D55:$AI55)),0,1))</f>
        <v>0</v>
      </c>
      <c r="AY55" s="57">
        <f t="array" ref="AY55">SUM(IF(ISERR(FIND(AY$4,$D55:$AI55)),0,1))</f>
        <v>0</v>
      </c>
      <c r="AZ55" s="57">
        <f t="array" ref="AZ55">SUM(IF(ISERR(FIND(AZ$4,$D55:$AI55)),0,1))</f>
        <v>0</v>
      </c>
      <c r="BA55" s="57">
        <f t="array" ref="BA55">SUM(IF(ISERR(FIND(BA$4,$D55:$AI55)),0,1))</f>
        <v>0</v>
      </c>
      <c r="BB55" s="57">
        <f t="array" ref="BB55">SUM(IF(ISERR(FIND(BB$4,$D55:$AI55)),0,1))</f>
        <v>0</v>
      </c>
      <c r="BC55" s="57">
        <f t="array" ref="BC55">SUM(IF(ISERR(FIND(BC$4,$D55:$AI55)),0,1))</f>
        <v>0</v>
      </c>
      <c r="BD55" s="57">
        <f t="shared" si="111"/>
        <v>0</v>
      </c>
      <c r="BE55" s="57">
        <f t="shared" si="112"/>
        <v>0</v>
      </c>
      <c r="BF55" s="57">
        <f t="shared" si="113"/>
        <v>0</v>
      </c>
      <c r="BG55" s="57">
        <f t="shared" si="114"/>
        <v>0</v>
      </c>
      <c r="BH55" s="57">
        <f t="shared" si="115"/>
        <v>0</v>
      </c>
      <c r="BI55" s="57">
        <f t="shared" si="116"/>
        <v>0</v>
      </c>
      <c r="BJ55" s="57">
        <f t="shared" si="117"/>
        <v>0</v>
      </c>
      <c r="BK55" s="57">
        <f t="shared" si="118"/>
        <v>0</v>
      </c>
      <c r="BL55" s="54">
        <f t="shared" si="119"/>
        <v>5.5000000000000003E-4</v>
      </c>
      <c r="BM55" s="54">
        <f>RANK(BL55,$BL$5:$BL$70)</f>
        <v>37</v>
      </c>
      <c r="BN55" s="54">
        <v>43</v>
      </c>
      <c r="BO55" s="73" t="str">
        <f t="shared" si="120"/>
        <v/>
      </c>
      <c r="BP55" s="80" t="e">
        <f t="shared" si="121"/>
        <v>#DIV/0!</v>
      </c>
      <c r="BQ55" s="141">
        <f t="shared" si="122"/>
        <v>0</v>
      </c>
      <c r="BR55" s="54" t="str">
        <f t="shared" si="123"/>
        <v/>
      </c>
      <c r="BS55" s="54" t="str">
        <f t="shared" si="124"/>
        <v/>
      </c>
      <c r="BT55" s="57">
        <f t="shared" si="125"/>
        <v>0</v>
      </c>
      <c r="BU55" s="54" t="str">
        <f t="shared" si="126"/>
        <v/>
      </c>
      <c r="BV55" s="57">
        <f t="shared" si="127"/>
        <v>0</v>
      </c>
      <c r="BW55" s="54" t="str">
        <f t="shared" si="128"/>
        <v/>
      </c>
      <c r="BX55" s="57">
        <f t="shared" si="129"/>
        <v>0</v>
      </c>
      <c r="BY55" s="54" t="str">
        <f t="shared" si="130"/>
        <v/>
      </c>
      <c r="BZ55" s="54">
        <f t="shared" si="62"/>
        <v>0</v>
      </c>
      <c r="CA55" s="54" t="str">
        <f t="shared" si="63"/>
        <v>Shome G</v>
      </c>
      <c r="CB55" s="54">
        <f t="shared" si="64"/>
        <v>0</v>
      </c>
      <c r="CC55" s="54" t="str">
        <f t="shared" si="65"/>
        <v>Shome G</v>
      </c>
    </row>
    <row r="56" spans="2:81" x14ac:dyDescent="0.15">
      <c r="B56" t="s">
        <v>460</v>
      </c>
      <c r="C56" t="s">
        <v>461</v>
      </c>
      <c r="D56" t="s">
        <v>480</v>
      </c>
      <c r="E56" t="s">
        <v>485</v>
      </c>
      <c r="F56" t="s">
        <v>502</v>
      </c>
      <c r="G56" t="s">
        <v>509</v>
      </c>
      <c r="H56" t="s">
        <v>522</v>
      </c>
      <c r="I56" t="s">
        <v>541</v>
      </c>
      <c r="J56" t="s">
        <v>557</v>
      </c>
      <c r="K56" t="s">
        <v>572</v>
      </c>
      <c r="L56" t="s">
        <v>506</v>
      </c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J56" s="54" t="str">
        <f t="shared" si="31"/>
        <v>Singh S</v>
      </c>
      <c r="AK56" s="54">
        <f t="shared" si="101"/>
        <v>9</v>
      </c>
      <c r="AL56" s="54">
        <f t="shared" si="102"/>
        <v>1</v>
      </c>
      <c r="AM56" s="54">
        <f t="shared" si="103"/>
        <v>8</v>
      </c>
      <c r="AN56" s="54">
        <f t="shared" si="104"/>
        <v>1</v>
      </c>
      <c r="AO56" s="54">
        <f t="shared" si="105"/>
        <v>61</v>
      </c>
      <c r="AP56" s="58">
        <f t="shared" si="106"/>
        <v>61</v>
      </c>
      <c r="AQ56" s="54">
        <f t="shared" si="107"/>
        <v>235</v>
      </c>
      <c r="AR56" s="56">
        <f t="shared" si="108"/>
        <v>33.571428571428569</v>
      </c>
      <c r="AS56" s="54">
        <f t="shared" si="109"/>
        <v>10</v>
      </c>
      <c r="AT56" s="57">
        <f t="array" ref="AT56">SUM(IF(ISERR(FIND("*",D56:AI56)),0,1))</f>
        <v>0</v>
      </c>
      <c r="AU56" s="57">
        <f t="array" ref="AU56">SUM(IF(ISERR(FIND("+",D56:AI56)),0,1))</f>
        <v>0</v>
      </c>
      <c r="AV56" s="54">
        <f t="shared" si="110"/>
        <v>0</v>
      </c>
      <c r="AW56" s="57">
        <f t="array" ref="AW56">SUM(IF(ISERR(FIND(AW$4,$D56:$AI56)),0,1))</f>
        <v>2</v>
      </c>
      <c r="AX56" s="57">
        <f t="array" ref="AX56">SUM(IF(ISERR(FIND(AX$4,$D56:$AI56)),0,1))</f>
        <v>3</v>
      </c>
      <c r="AY56" s="57">
        <f t="array" ref="AY56">SUM(IF(ISERR(FIND(AY$4,$D56:$AI56)),0,1))</f>
        <v>0</v>
      </c>
      <c r="AZ56" s="57">
        <f t="array" ref="AZ56">SUM(IF(ISERR(FIND(AZ$4,$D56:$AI56)),0,1))</f>
        <v>1</v>
      </c>
      <c r="BA56" s="57">
        <f t="array" ref="BA56">SUM(IF(ISERR(FIND(BA$4,$D56:$AI56)),0,1))</f>
        <v>0</v>
      </c>
      <c r="BB56" s="57">
        <f t="array" ref="BB56">SUM(IF(ISERR(FIND(BB$4,$D56:$AI56)),0,1))</f>
        <v>0</v>
      </c>
      <c r="BC56" s="57">
        <f t="array" ref="BC56">SUM(IF(ISERR(FIND(BC$4,$D56:$AI56)),0,1))</f>
        <v>0</v>
      </c>
      <c r="BD56" s="57">
        <f t="shared" si="111"/>
        <v>1</v>
      </c>
      <c r="BE56" s="57">
        <f t="shared" si="112"/>
        <v>0</v>
      </c>
      <c r="BF56" s="57">
        <f t="shared" si="113"/>
        <v>2</v>
      </c>
      <c r="BG56" s="57">
        <f t="shared" si="114"/>
        <v>27</v>
      </c>
      <c r="BH56" s="57">
        <f t="shared" si="115"/>
        <v>3</v>
      </c>
      <c r="BI56" s="57">
        <f t="shared" si="116"/>
        <v>0</v>
      </c>
      <c r="BJ56" s="57">
        <f t="shared" si="117"/>
        <v>0</v>
      </c>
      <c r="BK56" s="57">
        <f t="shared" si="118"/>
        <v>4</v>
      </c>
      <c r="BL56" s="54">
        <f t="shared" si="119"/>
        <v>3357811.3505600002</v>
      </c>
      <c r="BM56" s="54">
        <f>RANK(BL56,$BL$5:$BL$70)</f>
        <v>3</v>
      </c>
      <c r="BN56" s="54">
        <v>43</v>
      </c>
      <c r="BO56" s="73">
        <f t="shared" si="120"/>
        <v>1.451063829787234</v>
      </c>
      <c r="BP56" s="80">
        <f t="shared" si="121"/>
        <v>0</v>
      </c>
      <c r="BQ56" s="141">
        <f t="shared" si="122"/>
        <v>2</v>
      </c>
      <c r="BR56" s="54" t="str">
        <f t="shared" si="123"/>
        <v>2</v>
      </c>
      <c r="BS56" s="54" t="str">
        <f t="shared" si="124"/>
        <v>Singh S</v>
      </c>
      <c r="BT56" s="57">
        <f t="shared" si="125"/>
        <v>3</v>
      </c>
      <c r="BU56" s="54" t="str">
        <f t="shared" si="126"/>
        <v>Singh S</v>
      </c>
      <c r="BV56" s="57">
        <f t="shared" si="127"/>
        <v>27</v>
      </c>
      <c r="BW56" s="54" t="str">
        <f t="shared" si="128"/>
        <v>Singh S</v>
      </c>
      <c r="BX56" s="57">
        <f t="shared" si="129"/>
        <v>4</v>
      </c>
      <c r="BY56" s="54" t="str">
        <f t="shared" si="130"/>
        <v>Singh S</v>
      </c>
      <c r="BZ56" s="54">
        <f t="shared" si="62"/>
        <v>9</v>
      </c>
      <c r="CA56" s="54" t="str">
        <f t="shared" si="63"/>
        <v>Singh S</v>
      </c>
      <c r="CB56" s="54">
        <f t="shared" si="64"/>
        <v>0</v>
      </c>
      <c r="CC56" s="54" t="str">
        <f t="shared" si="65"/>
        <v>Singh S</v>
      </c>
    </row>
    <row r="57" spans="2:81" x14ac:dyDescent="0.15">
      <c r="B57" t="s">
        <v>230</v>
      </c>
      <c r="C57" t="s">
        <v>511</v>
      </c>
      <c r="D57"/>
      <c r="E57"/>
      <c r="F57"/>
      <c r="G57" t="s">
        <v>512</v>
      </c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J57" s="54" t="str">
        <f t="shared" ref="AJ57" si="201">C57</f>
        <v>Singh R</v>
      </c>
      <c r="AK57" s="54">
        <f t="shared" ref="AK57" si="202">BatSplit(D57:AI57,MatchesPlayed)</f>
        <v>1</v>
      </c>
      <c r="AL57" s="54">
        <f t="shared" ref="AL57" si="203">AK57-AM57</f>
        <v>0</v>
      </c>
      <c r="AM57" s="54">
        <f t="shared" ref="AM57" si="204">BatSplit(D57:AI57,InnsBattedIn)</f>
        <v>1</v>
      </c>
      <c r="AN57" s="54">
        <f t="shared" ref="AN57" si="205">BatSplit(D57:AI57,NotOuts)</f>
        <v>1</v>
      </c>
      <c r="AO57" s="54">
        <f t="shared" ref="AO57" si="206">BatSplit(D57:AI57,HighestScore)</f>
        <v>-1</v>
      </c>
      <c r="AP57" s="58" t="str">
        <f t="shared" ref="AP57" si="207">IF(AO57&lt;0,-AO57&amp;"*",AO57)</f>
        <v>1*</v>
      </c>
      <c r="AQ57" s="54">
        <f t="shared" ref="AQ57" si="208">BatSplit(D57:AI57,RunsScored)</f>
        <v>1</v>
      </c>
      <c r="AR57" s="56">
        <f t="shared" ref="AR57" si="209">IF(AM57=AN57,0,AQ57/(AM57-AN57))</f>
        <v>0</v>
      </c>
      <c r="AS57" s="54">
        <f t="shared" ref="AS57" si="210">BatSplit(D57:AI57,FldPts)</f>
        <v>0</v>
      </c>
      <c r="AT57" s="57">
        <f t="array" ref="AT57">SUM(IF(ISERR(FIND("*",D57:AI57)),0,1))</f>
        <v>0</v>
      </c>
      <c r="AU57" s="57">
        <f t="array" ref="AU57">SUM(IF(ISERR(FIND("+",D57:AI57)),0,1))</f>
        <v>0</v>
      </c>
      <c r="AV57" s="54">
        <f t="shared" ref="AV57" si="211">BatSplit(D57:AI57,Ducks)</f>
        <v>0</v>
      </c>
      <c r="AW57" s="57">
        <f t="array" ref="AW57">SUM(IF(ISERR(FIND(AW$4,$D57:$AI57)),0,1))</f>
        <v>0</v>
      </c>
      <c r="AX57" s="57">
        <f t="array" ref="AX57">SUM(IF(ISERR(FIND(AX$4,$D57:$AI57)),0,1))</f>
        <v>0</v>
      </c>
      <c r="AY57" s="57">
        <f t="array" ref="AY57">SUM(IF(ISERR(FIND(AY$4,$D57:$AI57)),0,1))</f>
        <v>0</v>
      </c>
      <c r="AZ57" s="57">
        <f t="array" ref="AZ57">SUM(IF(ISERR(FIND(AZ$4,$D57:$AI57)),0,1))</f>
        <v>0</v>
      </c>
      <c r="BA57" s="57">
        <f t="array" ref="BA57">SUM(IF(ISERR(FIND(BA$4,$D57:$AI57)),0,1))</f>
        <v>0</v>
      </c>
      <c r="BB57" s="57">
        <f t="array" ref="BB57">SUM(IF(ISERR(FIND(BB$4,$D57:$AI57)),0,1))</f>
        <v>0</v>
      </c>
      <c r="BC57" s="57">
        <f t="array" ref="BC57">SUM(IF(ISERR(FIND(BC$4,$D57:$AI57)),0,1))</f>
        <v>0</v>
      </c>
      <c r="BD57" s="57">
        <f t="shared" ref="BD57" si="212">BatSplit(D57:AI57,Fifties)</f>
        <v>0</v>
      </c>
      <c r="BE57" s="57">
        <f t="shared" ref="BE57" si="213">BatSplit(D57:AI57,Hundreds)</f>
        <v>0</v>
      </c>
      <c r="BF57" s="57">
        <f t="shared" ref="BF57" si="214">BatSplit(D57:AI57,Catches)</f>
        <v>0</v>
      </c>
      <c r="BG57" s="57">
        <f t="shared" ref="BG57" si="215">BatSplit(D57:AI57,Fours)</f>
        <v>0</v>
      </c>
      <c r="BH57" s="57">
        <f t="shared" ref="BH57" si="216">BatSplit(D57:AI57,Sixes)</f>
        <v>0</v>
      </c>
      <c r="BI57" s="57">
        <f t="shared" ref="BI57" si="217">BatSplit(D57:AI57,Stumpings)</f>
        <v>0</v>
      </c>
      <c r="BJ57" s="57">
        <f t="shared" ref="BJ57" si="218">BatSplit(D57:AI57,CaughtWkt)</f>
        <v>0</v>
      </c>
      <c r="BK57" s="57">
        <f t="shared" ref="BK57" si="219">BatSplit(D57:AI57,TwentyFives)</f>
        <v>0</v>
      </c>
      <c r="BL57" s="54">
        <f t="shared" ref="BL57" si="220">ROUND(IF(ISERROR(AR57),0,AR57),2)*100000+AM57*100+AK57+AQ57/100+ROW()/100000</f>
        <v>101.01057</v>
      </c>
      <c r="BM57" s="54">
        <f>RANK(BL57,$BL$5:$BL$70)</f>
        <v>23</v>
      </c>
      <c r="BN57" s="54">
        <v>43</v>
      </c>
      <c r="BO57" s="73" t="str">
        <f t="shared" ref="BO57" si="221">IF(AQ57&gt;=50,(BG57*4+BH57*6+BN57*5)/AQ57,"")</f>
        <v/>
      </c>
      <c r="BP57" s="80" t="e">
        <f t="shared" ref="BP57" si="222">AV57/(AM57-AN57)</f>
        <v>#DIV/0!</v>
      </c>
      <c r="BQ57" s="141">
        <f t="shared" ref="BQ57" si="223">BF57</f>
        <v>0</v>
      </c>
      <c r="BR57" s="54" t="str">
        <f t="shared" ref="BR57" si="224">IF(BF57=0,"",BF57&amp;IF(BJ57=0,""," ("&amp;BJ57&amp;")"))</f>
        <v/>
      </c>
      <c r="BS57" s="54" t="str">
        <f t="shared" ref="BS57" si="225">IF(BF57=0,"",C57)</f>
        <v/>
      </c>
      <c r="BT57" s="57">
        <f t="shared" ref="BT57" si="226">BH57</f>
        <v>0</v>
      </c>
      <c r="BU57" s="54" t="str">
        <f t="shared" ref="BU57" si="227">IF(BT57=0,"",C57)</f>
        <v/>
      </c>
      <c r="BV57" s="57">
        <f t="shared" ref="BV57" si="228">BG57</f>
        <v>0</v>
      </c>
      <c r="BW57" s="54" t="str">
        <f t="shared" ref="BW57" si="229">IF(BV57=0,"",C57)</f>
        <v/>
      </c>
      <c r="BX57" s="57">
        <f t="shared" ref="BX57" si="230">BK57</f>
        <v>0</v>
      </c>
      <c r="BY57" s="54" t="str">
        <f t="shared" ref="BY57" si="231">IF(BX57=0,"",C57)</f>
        <v/>
      </c>
      <c r="BZ57" s="54">
        <f t="shared" ref="BZ57" si="232">AK57</f>
        <v>1</v>
      </c>
      <c r="CA57" s="54" t="str">
        <f t="shared" ref="CA57" si="233">AJ57</f>
        <v>Singh R</v>
      </c>
      <c r="CB57" s="54">
        <f t="shared" ref="CB57" si="234">AV57</f>
        <v>0</v>
      </c>
      <c r="CC57" s="54" t="str">
        <f t="shared" ref="CC57" si="235">AJ57</f>
        <v>Singh R</v>
      </c>
    </row>
    <row r="58" spans="2:81" x14ac:dyDescent="0.15">
      <c r="B58" s="54" t="s">
        <v>26</v>
      </c>
      <c r="C58" s="54" t="s">
        <v>189</v>
      </c>
      <c r="D58"/>
      <c r="E58"/>
      <c r="F58"/>
      <c r="G58"/>
      <c r="H58"/>
      <c r="I58"/>
      <c r="J58"/>
      <c r="K58" t="s">
        <v>362</v>
      </c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J58" s="54" t="str">
        <f t="shared" si="31"/>
        <v>Smith C</v>
      </c>
      <c r="AK58" s="54">
        <f t="shared" si="101"/>
        <v>1</v>
      </c>
      <c r="AL58" s="54">
        <f t="shared" si="102"/>
        <v>0</v>
      </c>
      <c r="AM58" s="54">
        <f t="shared" si="103"/>
        <v>1</v>
      </c>
      <c r="AN58" s="54">
        <f t="shared" si="104"/>
        <v>0</v>
      </c>
      <c r="AO58" s="54">
        <f t="shared" si="105"/>
        <v>0</v>
      </c>
      <c r="AP58" s="58">
        <f t="shared" si="106"/>
        <v>0</v>
      </c>
      <c r="AQ58" s="54">
        <f t="shared" si="107"/>
        <v>0</v>
      </c>
      <c r="AR58" s="56">
        <f t="shared" si="108"/>
        <v>0</v>
      </c>
      <c r="AS58" s="54">
        <f t="shared" si="109"/>
        <v>0</v>
      </c>
      <c r="AT58" s="57">
        <f t="array" ref="AT58">SUM(IF(ISERR(FIND("*",D58:AI58)),0,1))</f>
        <v>0</v>
      </c>
      <c r="AU58" s="57">
        <f t="array" ref="AU58">SUM(IF(ISERR(FIND("+",D58:AI58)),0,1))</f>
        <v>0</v>
      </c>
      <c r="AV58" s="54">
        <f t="shared" si="110"/>
        <v>1</v>
      </c>
      <c r="AW58" s="57">
        <f t="array" ref="AW58">SUM(IF(ISERR(FIND(AW$4,$D58:$AI58)),0,1))</f>
        <v>1</v>
      </c>
      <c r="AX58" s="57">
        <f t="array" ref="AX58">SUM(IF(ISERR(FIND(AX$4,$D58:$AI58)),0,1))</f>
        <v>0</v>
      </c>
      <c r="AY58" s="57">
        <f t="array" ref="AY58">SUM(IF(ISERR(FIND(AY$4,$D58:$AI58)),0,1))</f>
        <v>0</v>
      </c>
      <c r="AZ58" s="57">
        <f t="array" ref="AZ58">SUM(IF(ISERR(FIND(AZ$4,$D58:$AI58)),0,1))</f>
        <v>0</v>
      </c>
      <c r="BA58" s="57">
        <f t="array" ref="BA58">SUM(IF(ISERR(FIND(BA$4,$D58:$AI58)),0,1))</f>
        <v>0</v>
      </c>
      <c r="BB58" s="57">
        <f t="array" ref="BB58">SUM(IF(ISERR(FIND(BB$4,$D58:$AI58)),0,1))</f>
        <v>0</v>
      </c>
      <c r="BC58" s="57">
        <f t="array" ref="BC58">SUM(IF(ISERR(FIND(BC$4,$D58:$AI58)),0,1))</f>
        <v>0</v>
      </c>
      <c r="BD58" s="57">
        <f t="shared" si="111"/>
        <v>0</v>
      </c>
      <c r="BE58" s="57">
        <f t="shared" si="112"/>
        <v>0</v>
      </c>
      <c r="BF58" s="57">
        <f t="shared" si="113"/>
        <v>0</v>
      </c>
      <c r="BG58" s="57">
        <f t="shared" si="114"/>
        <v>0</v>
      </c>
      <c r="BH58" s="57">
        <f t="shared" si="115"/>
        <v>0</v>
      </c>
      <c r="BI58" s="57">
        <f t="shared" si="116"/>
        <v>0</v>
      </c>
      <c r="BJ58" s="57">
        <f t="shared" si="117"/>
        <v>0</v>
      </c>
      <c r="BK58" s="57">
        <f t="shared" si="118"/>
        <v>0</v>
      </c>
      <c r="BL58" s="54">
        <f t="shared" si="119"/>
        <v>101.00058</v>
      </c>
      <c r="BM58" s="54">
        <f>RANK(BL58,$BL$5:$BL$70)</f>
        <v>24</v>
      </c>
      <c r="BN58" s="54">
        <v>44</v>
      </c>
      <c r="BO58" s="73" t="str">
        <f t="shared" si="120"/>
        <v/>
      </c>
      <c r="BP58" s="80">
        <f t="shared" si="121"/>
        <v>1</v>
      </c>
      <c r="BQ58" s="141">
        <f t="shared" si="122"/>
        <v>0</v>
      </c>
      <c r="BR58" s="54" t="str">
        <f t="shared" si="123"/>
        <v/>
      </c>
      <c r="BS58" s="54" t="str">
        <f t="shared" si="124"/>
        <v/>
      </c>
      <c r="BT58" s="57">
        <f t="shared" si="125"/>
        <v>0</v>
      </c>
      <c r="BU58" s="54" t="str">
        <f t="shared" si="126"/>
        <v/>
      </c>
      <c r="BV58" s="57">
        <f t="shared" si="127"/>
        <v>0</v>
      </c>
      <c r="BW58" s="54" t="str">
        <f t="shared" si="128"/>
        <v/>
      </c>
      <c r="BX58" s="57">
        <f t="shared" si="129"/>
        <v>0</v>
      </c>
      <c r="BY58" s="54" t="str">
        <f t="shared" si="130"/>
        <v/>
      </c>
      <c r="BZ58" s="54">
        <f t="shared" si="62"/>
        <v>1</v>
      </c>
      <c r="CA58" s="54" t="str">
        <f t="shared" si="63"/>
        <v>Smith C</v>
      </c>
      <c r="CB58" s="54">
        <f t="shared" si="64"/>
        <v>1</v>
      </c>
      <c r="CC58" s="54" t="str">
        <f t="shared" si="65"/>
        <v>Smith C</v>
      </c>
    </row>
    <row r="59" spans="2:81" x14ac:dyDescent="0.15">
      <c r="B59" t="s">
        <v>220</v>
      </c>
      <c r="C59" t="s">
        <v>221</v>
      </c>
      <c r="D59"/>
      <c r="E59" t="s">
        <v>486</v>
      </c>
      <c r="F59" t="s">
        <v>504</v>
      </c>
      <c r="G59" t="s">
        <v>519</v>
      </c>
      <c r="H59" t="s">
        <v>528</v>
      </c>
      <c r="I59"/>
      <c r="J59" t="s">
        <v>560</v>
      </c>
      <c r="K59" t="s">
        <v>574</v>
      </c>
      <c r="L59" t="s">
        <v>587</v>
      </c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J59" s="54" t="str">
        <f t="shared" si="31"/>
        <v>Springer T</v>
      </c>
      <c r="AK59" s="54">
        <f t="shared" si="101"/>
        <v>7</v>
      </c>
      <c r="AL59" s="54">
        <f t="shared" si="102"/>
        <v>1</v>
      </c>
      <c r="AM59" s="54">
        <f t="shared" si="103"/>
        <v>6</v>
      </c>
      <c r="AN59" s="54">
        <f t="shared" si="104"/>
        <v>2</v>
      </c>
      <c r="AO59" s="54">
        <f t="shared" si="105"/>
        <v>82</v>
      </c>
      <c r="AP59" s="58">
        <f t="shared" si="106"/>
        <v>82</v>
      </c>
      <c r="AQ59" s="54">
        <f t="shared" si="107"/>
        <v>192</v>
      </c>
      <c r="AR59" s="56">
        <f t="shared" si="108"/>
        <v>48</v>
      </c>
      <c r="AS59" s="54">
        <f t="shared" si="109"/>
        <v>20</v>
      </c>
      <c r="AT59" s="57">
        <f t="array" ref="AT59">SUM(IF(ISERR(FIND("*",D59:AI59)),0,1))</f>
        <v>6</v>
      </c>
      <c r="AU59" s="57">
        <f t="array" ref="AU59">SUM(IF(ISERR(FIND("+",D59:AI59)),0,1))</f>
        <v>2</v>
      </c>
      <c r="AV59" s="54">
        <f t="shared" si="110"/>
        <v>1</v>
      </c>
      <c r="AW59" s="57">
        <f t="array" ref="AW59">SUM(IF(ISERR(FIND(AW$4,$D59:$AI59)),0,1))</f>
        <v>3</v>
      </c>
      <c r="AX59" s="57">
        <f t="array" ref="AX59">SUM(IF(ISERR(FIND(AX$4,$D59:$AI59)),0,1))</f>
        <v>1</v>
      </c>
      <c r="AY59" s="57">
        <f t="array" ref="AY59">SUM(IF(ISERR(FIND(AY$4,$D59:$AI59)),0,1))</f>
        <v>0</v>
      </c>
      <c r="AZ59" s="57">
        <f t="array" ref="AZ59">SUM(IF(ISERR(FIND(AZ$4,$D59:$AI59)),0,1))</f>
        <v>0</v>
      </c>
      <c r="BA59" s="57">
        <f t="array" ref="BA59">SUM(IF(ISERR(FIND(BA$4,$D59:$AI59)),0,1))</f>
        <v>0</v>
      </c>
      <c r="BB59" s="57">
        <f t="array" ref="BB59">SUM(IF(ISERR(FIND(BB$4,$D59:$AI59)),0,1))</f>
        <v>0</v>
      </c>
      <c r="BC59" s="57">
        <f t="array" ref="BC59">SUM(IF(ISERR(FIND(BC$4,$D59:$AI59)),0,1))</f>
        <v>0</v>
      </c>
      <c r="BD59" s="57">
        <f t="shared" si="111"/>
        <v>1</v>
      </c>
      <c r="BE59" s="57">
        <f t="shared" si="112"/>
        <v>0</v>
      </c>
      <c r="BF59" s="57">
        <f t="shared" si="113"/>
        <v>4</v>
      </c>
      <c r="BG59" s="57">
        <f t="shared" si="114"/>
        <v>33</v>
      </c>
      <c r="BH59" s="57">
        <f t="shared" si="115"/>
        <v>0</v>
      </c>
      <c r="BI59" s="57">
        <f t="shared" si="116"/>
        <v>1</v>
      </c>
      <c r="BJ59" s="57">
        <f t="shared" si="117"/>
        <v>0</v>
      </c>
      <c r="BK59" s="57">
        <f t="shared" si="118"/>
        <v>4</v>
      </c>
      <c r="BL59" s="54">
        <f t="shared" si="119"/>
        <v>4800608.9205900002</v>
      </c>
      <c r="BM59" s="54">
        <f>RANK(BL59,$BL$5:$BL$70)</f>
        <v>2</v>
      </c>
      <c r="BN59" s="54">
        <v>45</v>
      </c>
      <c r="BO59" s="73">
        <f t="shared" si="120"/>
        <v>1.859375</v>
      </c>
      <c r="BP59" s="80">
        <f t="shared" si="121"/>
        <v>0.25</v>
      </c>
      <c r="BQ59" s="141">
        <f t="shared" si="122"/>
        <v>4</v>
      </c>
      <c r="BR59" s="54" t="str">
        <f t="shared" si="123"/>
        <v>4</v>
      </c>
      <c r="BS59" s="54" t="str">
        <f t="shared" si="124"/>
        <v>Springer T</v>
      </c>
      <c r="BT59" s="57">
        <f t="shared" si="125"/>
        <v>0</v>
      </c>
      <c r="BU59" s="54" t="str">
        <f t="shared" si="126"/>
        <v/>
      </c>
      <c r="BV59" s="57">
        <f t="shared" si="127"/>
        <v>33</v>
      </c>
      <c r="BW59" s="54" t="str">
        <f t="shared" si="128"/>
        <v>Springer T</v>
      </c>
      <c r="BX59" s="57">
        <f t="shared" si="129"/>
        <v>4</v>
      </c>
      <c r="BY59" s="54" t="str">
        <f t="shared" si="130"/>
        <v>Springer T</v>
      </c>
      <c r="BZ59" s="54">
        <f t="shared" si="62"/>
        <v>7</v>
      </c>
      <c r="CA59" s="54" t="str">
        <f t="shared" si="63"/>
        <v>Springer T</v>
      </c>
      <c r="CB59" s="54">
        <f t="shared" si="64"/>
        <v>1</v>
      </c>
      <c r="CC59" s="54" t="str">
        <f t="shared" si="65"/>
        <v>Springer T</v>
      </c>
    </row>
    <row r="60" spans="2:81" x14ac:dyDescent="0.15">
      <c r="B60" t="s">
        <v>303</v>
      </c>
      <c r="C60" t="s">
        <v>305</v>
      </c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Z60"/>
      <c r="AJ60" s="54" t="str">
        <f t="shared" si="31"/>
        <v>Stevenson R</v>
      </c>
      <c r="AK60" s="54">
        <f t="shared" si="101"/>
        <v>0</v>
      </c>
      <c r="AL60" s="54">
        <f t="shared" si="102"/>
        <v>0</v>
      </c>
      <c r="AM60" s="54">
        <f t="shared" si="103"/>
        <v>0</v>
      </c>
      <c r="AN60" s="54">
        <f t="shared" si="104"/>
        <v>0</v>
      </c>
      <c r="AO60" s="54">
        <f t="shared" si="105"/>
        <v>0</v>
      </c>
      <c r="AP60" s="58">
        <f t="shared" si="106"/>
        <v>0</v>
      </c>
      <c r="AQ60" s="54">
        <f t="shared" si="107"/>
        <v>0</v>
      </c>
      <c r="AR60" s="56">
        <f t="shared" si="108"/>
        <v>0</v>
      </c>
      <c r="AS60" s="54">
        <f t="shared" si="109"/>
        <v>0</v>
      </c>
      <c r="AT60" s="57">
        <f t="array" ref="AT60">SUM(IF(ISERR(FIND("*",D60:AI60)),0,1))</f>
        <v>0</v>
      </c>
      <c r="AU60" s="57">
        <f t="array" ref="AU60">SUM(IF(ISERR(FIND("+",D60:AI60)),0,1))</f>
        <v>0</v>
      </c>
      <c r="AV60" s="54">
        <f t="shared" si="110"/>
        <v>0</v>
      </c>
      <c r="AW60" s="57">
        <f t="array" ref="AW60">SUM(IF(ISERR(FIND(AW$4,$D60:$AI60)),0,1))</f>
        <v>0</v>
      </c>
      <c r="AX60" s="57">
        <f t="array" ref="AX60">SUM(IF(ISERR(FIND(AX$4,$D60:$AI60)),0,1))</f>
        <v>0</v>
      </c>
      <c r="AY60" s="57">
        <f t="array" ref="AY60">SUM(IF(ISERR(FIND(AY$4,$D60:$AI60)),0,1))</f>
        <v>0</v>
      </c>
      <c r="AZ60" s="57">
        <f t="array" ref="AZ60">SUM(IF(ISERR(FIND(AZ$4,$D60:$AI60)),0,1))</f>
        <v>0</v>
      </c>
      <c r="BA60" s="57">
        <f t="array" ref="BA60">SUM(IF(ISERR(FIND(BA$4,$D60:$AI60)),0,1))</f>
        <v>0</v>
      </c>
      <c r="BB60" s="57">
        <f t="array" ref="BB60">SUM(IF(ISERR(FIND(BB$4,$D60:$AI60)),0,1))</f>
        <v>0</v>
      </c>
      <c r="BC60" s="57">
        <f t="array" ref="BC60">SUM(IF(ISERR(FIND(BC$4,$D60:$AI60)),0,1))</f>
        <v>0</v>
      </c>
      <c r="BD60" s="57">
        <f t="shared" si="111"/>
        <v>0</v>
      </c>
      <c r="BE60" s="57">
        <f t="shared" si="112"/>
        <v>0</v>
      </c>
      <c r="BF60" s="57">
        <f t="shared" si="113"/>
        <v>0</v>
      </c>
      <c r="BG60" s="57">
        <f t="shared" si="114"/>
        <v>0</v>
      </c>
      <c r="BH60" s="57">
        <f t="shared" si="115"/>
        <v>0</v>
      </c>
      <c r="BI60" s="57">
        <f t="shared" si="116"/>
        <v>0</v>
      </c>
      <c r="BJ60" s="57">
        <f t="shared" si="117"/>
        <v>0</v>
      </c>
      <c r="BK60" s="57">
        <f t="shared" si="118"/>
        <v>0</v>
      </c>
      <c r="BL60" s="54">
        <f t="shared" si="119"/>
        <v>5.9999999999999995E-4</v>
      </c>
      <c r="BM60" s="54">
        <f>RANK(BL60,$BL$5:$BL$70)</f>
        <v>36</v>
      </c>
      <c r="BN60" s="54">
        <v>46</v>
      </c>
      <c r="BO60" s="73" t="str">
        <f t="shared" si="120"/>
        <v/>
      </c>
      <c r="BP60" s="80" t="e">
        <f t="shared" si="121"/>
        <v>#DIV/0!</v>
      </c>
      <c r="BQ60" s="141">
        <f t="shared" si="122"/>
        <v>0</v>
      </c>
      <c r="BR60" s="54" t="str">
        <f t="shared" si="123"/>
        <v/>
      </c>
      <c r="BS60" s="54" t="str">
        <f t="shared" si="124"/>
        <v/>
      </c>
      <c r="BT60" s="57">
        <f t="shared" si="125"/>
        <v>0</v>
      </c>
      <c r="BU60" s="54" t="str">
        <f t="shared" si="126"/>
        <v/>
      </c>
      <c r="BV60" s="57">
        <f t="shared" si="127"/>
        <v>0</v>
      </c>
      <c r="BW60" s="54" t="str">
        <f t="shared" si="128"/>
        <v/>
      </c>
      <c r="BX60" s="57">
        <f t="shared" si="129"/>
        <v>0</v>
      </c>
      <c r="BY60" s="54" t="str">
        <f t="shared" si="130"/>
        <v/>
      </c>
      <c r="BZ60" s="54">
        <f t="shared" si="62"/>
        <v>0</v>
      </c>
      <c r="CA60" s="54" t="str">
        <f t="shared" si="63"/>
        <v>Stevenson R</v>
      </c>
      <c r="CB60" s="54">
        <f t="shared" si="64"/>
        <v>0</v>
      </c>
      <c r="CC60" s="54" t="str">
        <f t="shared" si="65"/>
        <v>Stevenson R</v>
      </c>
    </row>
    <row r="61" spans="2:81" x14ac:dyDescent="0.15">
      <c r="B61" t="s">
        <v>488</v>
      </c>
      <c r="C61" t="s">
        <v>477</v>
      </c>
      <c r="D61"/>
      <c r="E61" t="s">
        <v>489</v>
      </c>
      <c r="F61" t="s">
        <v>371</v>
      </c>
      <c r="G61"/>
      <c r="H61"/>
      <c r="I61"/>
      <c r="J61"/>
      <c r="K61" t="s">
        <v>575</v>
      </c>
      <c r="L61" t="s">
        <v>584</v>
      </c>
      <c r="M61"/>
      <c r="N61"/>
      <c r="O61"/>
      <c r="P61"/>
      <c r="Q61"/>
      <c r="R61"/>
      <c r="S61"/>
      <c r="T61"/>
      <c r="U61"/>
      <c r="V61"/>
      <c r="W61"/>
      <c r="X61"/>
      <c r="Z61"/>
      <c r="AJ61" s="54" t="str">
        <f t="shared" ref="AJ61" si="236">C61</f>
        <v>"Suthan"</v>
      </c>
      <c r="AK61" s="54">
        <f t="shared" ref="AK61" si="237">BatSplit(D61:AI61,MatchesPlayed)</f>
        <v>4</v>
      </c>
      <c r="AL61" s="54">
        <f t="shared" ref="AL61" si="238">AK61-AM61</f>
        <v>2</v>
      </c>
      <c r="AM61" s="54">
        <f t="shared" ref="AM61" si="239">BatSplit(D61:AI61,InnsBattedIn)</f>
        <v>2</v>
      </c>
      <c r="AN61" s="54">
        <f t="shared" ref="AN61" si="240">BatSplit(D61:AI61,NotOuts)</f>
        <v>0</v>
      </c>
      <c r="AO61" s="54">
        <f t="shared" ref="AO61" si="241">BatSplit(D61:AI61,HighestScore)</f>
        <v>16</v>
      </c>
      <c r="AP61" s="58">
        <f t="shared" ref="AP61" si="242">IF(AO61&lt;0,-AO61&amp;"*",AO61)</f>
        <v>16</v>
      </c>
      <c r="AQ61" s="54">
        <f t="shared" ref="AQ61" si="243">BatSplit(D61:AI61,RunsScored)</f>
        <v>16</v>
      </c>
      <c r="AR61" s="56">
        <f t="shared" ref="AR61" si="244">IF(AM61=AN61,0,AQ61/(AM61-AN61))</f>
        <v>8</v>
      </c>
      <c r="AS61" s="54">
        <f t="shared" ref="AS61" si="245">BatSplit(D61:AI61,FldPts)</f>
        <v>5</v>
      </c>
      <c r="AT61" s="57">
        <f t="array" ref="AT61">SUM(IF(ISERR(FIND("*",D61:AI61)),0,1))</f>
        <v>0</v>
      </c>
      <c r="AU61" s="57">
        <f t="array" ref="AU61">SUM(IF(ISERR(FIND("+",D61:AI61)),0,1))</f>
        <v>0</v>
      </c>
      <c r="AV61" s="54">
        <f t="shared" ref="AV61" si="246">BatSplit(D61:AI61,Ducks)</f>
        <v>1</v>
      </c>
      <c r="AW61" s="57">
        <f t="array" ref="AW61">SUM(IF(ISERR(FIND(AW$4,$D61:$AI61)),0,1))</f>
        <v>1</v>
      </c>
      <c r="AX61" s="57">
        <f t="array" ref="AX61">SUM(IF(ISERR(FIND(AX$4,$D61:$AI61)),0,1))</f>
        <v>1</v>
      </c>
      <c r="AY61" s="57">
        <f t="array" ref="AY61">SUM(IF(ISERR(FIND(AY$4,$D61:$AI61)),0,1))</f>
        <v>0</v>
      </c>
      <c r="AZ61" s="57">
        <f t="array" ref="AZ61">SUM(IF(ISERR(FIND(AZ$4,$D61:$AI61)),0,1))</f>
        <v>0</v>
      </c>
      <c r="BA61" s="57">
        <f t="array" ref="BA61">SUM(IF(ISERR(FIND(BA$4,$D61:$AI61)),0,1))</f>
        <v>0</v>
      </c>
      <c r="BB61" s="57">
        <f t="array" ref="BB61">SUM(IF(ISERR(FIND(BB$4,$D61:$AI61)),0,1))</f>
        <v>0</v>
      </c>
      <c r="BC61" s="57">
        <f t="array" ref="BC61">SUM(IF(ISERR(FIND(BC$4,$D61:$AI61)),0,1))</f>
        <v>0</v>
      </c>
      <c r="BD61" s="57">
        <f t="shared" ref="BD61" si="247">BatSplit(D61:AI61,Fifties)</f>
        <v>0</v>
      </c>
      <c r="BE61" s="57">
        <f t="shared" ref="BE61" si="248">BatSplit(D61:AI61,Hundreds)</f>
        <v>0</v>
      </c>
      <c r="BF61" s="57">
        <f t="shared" ref="BF61" si="249">BatSplit(D61:AI61,Catches)</f>
        <v>1</v>
      </c>
      <c r="BG61" s="57">
        <f t="shared" ref="BG61" si="250">BatSplit(D61:AI61,Fours)</f>
        <v>0</v>
      </c>
      <c r="BH61" s="57">
        <f t="shared" ref="BH61" si="251">BatSplit(D61:AI61,Sixes)</f>
        <v>0</v>
      </c>
      <c r="BI61" s="57">
        <f t="shared" ref="BI61" si="252">BatSplit(D61:AI61,Stumpings)</f>
        <v>0</v>
      </c>
      <c r="BJ61" s="57">
        <f t="shared" ref="BJ61" si="253">BatSplit(D61:AI61,CaughtWkt)</f>
        <v>0</v>
      </c>
      <c r="BK61" s="57">
        <f t="shared" ref="BK61" si="254">BatSplit(D61:AI61,TwentyFives)</f>
        <v>0</v>
      </c>
      <c r="BL61" s="54">
        <f t="shared" ref="BL61" si="255">ROUND(IF(ISERROR(AR61),0,AR61),2)*100000+AM61*100+AK61+AQ61/100+ROW()/100000</f>
        <v>800204.16061000002</v>
      </c>
      <c r="BM61" s="54">
        <f>RANK(BL61,$BL$5:$BL$70)</f>
        <v>13</v>
      </c>
      <c r="BN61" s="54">
        <v>47</v>
      </c>
      <c r="BO61" s="73" t="str">
        <f t="shared" ref="BO61" si="256">IF(AQ61&gt;=50,(BG61*4+BH61*6+BN61*5)/AQ61,"")</f>
        <v/>
      </c>
      <c r="BP61" s="80">
        <f t="shared" ref="BP61" si="257">AV61/(AM61-AN61)</f>
        <v>0.5</v>
      </c>
      <c r="BQ61" s="141">
        <f t="shared" ref="BQ61" si="258">BF61</f>
        <v>1</v>
      </c>
      <c r="BR61" s="54" t="str">
        <f t="shared" ref="BR61" si="259">IF(BF61=0,"",BF61&amp;IF(BJ61=0,""," ("&amp;BJ61&amp;")"))</f>
        <v>1</v>
      </c>
      <c r="BS61" s="54" t="str">
        <f t="shared" ref="BS61" si="260">IF(BF61=0,"",C61)</f>
        <v>"Suthan"</v>
      </c>
      <c r="BT61" s="57">
        <f t="shared" ref="BT61" si="261">BH61</f>
        <v>0</v>
      </c>
      <c r="BU61" s="54" t="str">
        <f t="shared" ref="BU61" si="262">IF(BT61=0,"",C61)</f>
        <v/>
      </c>
      <c r="BV61" s="57">
        <f t="shared" ref="BV61" si="263">BG61</f>
        <v>0</v>
      </c>
      <c r="BW61" s="54" t="str">
        <f t="shared" ref="BW61" si="264">IF(BV61=0,"",C61)</f>
        <v/>
      </c>
      <c r="BX61" s="57">
        <f t="shared" ref="BX61" si="265">BK61</f>
        <v>0</v>
      </c>
      <c r="BY61" s="54" t="str">
        <f t="shared" ref="BY61" si="266">IF(BX61=0,"",C61)</f>
        <v/>
      </c>
      <c r="BZ61" s="54">
        <f t="shared" ref="BZ61" si="267">AK61</f>
        <v>4</v>
      </c>
      <c r="CA61" s="54" t="str">
        <f t="shared" ref="CA61" si="268">AJ61</f>
        <v>"Suthan"</v>
      </c>
      <c r="CB61" s="54">
        <f t="shared" ref="CB61" si="269">AV61</f>
        <v>1</v>
      </c>
      <c r="CC61" s="54" t="str">
        <f t="shared" ref="CC61" si="270">AJ61</f>
        <v>"Suthan"</v>
      </c>
    </row>
    <row r="62" spans="2:81" x14ac:dyDescent="0.15">
      <c r="B62" t="s">
        <v>373</v>
      </c>
      <c r="C62" t="s">
        <v>248</v>
      </c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Z62"/>
      <c r="AJ62" s="54" t="str">
        <f t="shared" si="31"/>
        <v>Sunkara C</v>
      </c>
      <c r="AK62" s="54">
        <f t="shared" si="101"/>
        <v>0</v>
      </c>
      <c r="AL62" s="54">
        <f t="shared" si="102"/>
        <v>0</v>
      </c>
      <c r="AM62" s="54">
        <f t="shared" si="103"/>
        <v>0</v>
      </c>
      <c r="AN62" s="54">
        <f t="shared" si="104"/>
        <v>0</v>
      </c>
      <c r="AO62" s="54">
        <f t="shared" si="105"/>
        <v>0</v>
      </c>
      <c r="AP62" s="58">
        <f t="shared" si="106"/>
        <v>0</v>
      </c>
      <c r="AQ62" s="54">
        <f t="shared" si="107"/>
        <v>0</v>
      </c>
      <c r="AR62" s="56">
        <f t="shared" si="108"/>
        <v>0</v>
      </c>
      <c r="AS62" s="54">
        <f t="shared" si="109"/>
        <v>0</v>
      </c>
      <c r="AT62" s="57">
        <f t="array" ref="AT62">SUM(IF(ISERR(FIND("*",D62:AI62)),0,1))</f>
        <v>0</v>
      </c>
      <c r="AU62" s="57">
        <f t="array" ref="AU62">SUM(IF(ISERR(FIND("+",D62:AI62)),0,1))</f>
        <v>0</v>
      </c>
      <c r="AV62" s="54">
        <f t="shared" si="110"/>
        <v>0</v>
      </c>
      <c r="AW62" s="57">
        <f t="array" ref="AW62">SUM(IF(ISERR(FIND(AW$4,$D62:$AI62)),0,1))</f>
        <v>0</v>
      </c>
      <c r="AX62" s="57">
        <f t="array" ref="AX62">SUM(IF(ISERR(FIND(AX$4,$D62:$AI62)),0,1))</f>
        <v>0</v>
      </c>
      <c r="AY62" s="57">
        <f t="array" ref="AY62">SUM(IF(ISERR(FIND(AY$4,$D62:$AI62)),0,1))</f>
        <v>0</v>
      </c>
      <c r="AZ62" s="57">
        <f t="array" ref="AZ62">SUM(IF(ISERR(FIND(AZ$4,$D62:$AI62)),0,1))</f>
        <v>0</v>
      </c>
      <c r="BA62" s="57">
        <f t="array" ref="BA62">SUM(IF(ISERR(FIND(BA$4,$D62:$AI62)),0,1))</f>
        <v>0</v>
      </c>
      <c r="BB62" s="57">
        <f t="array" ref="BB62">SUM(IF(ISERR(FIND(BB$4,$D62:$AI62)),0,1))</f>
        <v>0</v>
      </c>
      <c r="BC62" s="57">
        <f t="array" ref="BC62">SUM(IF(ISERR(FIND(BC$4,$D62:$AI62)),0,1))</f>
        <v>0</v>
      </c>
      <c r="BD62" s="57">
        <f t="shared" si="111"/>
        <v>0</v>
      </c>
      <c r="BE62" s="57">
        <f t="shared" si="112"/>
        <v>0</v>
      </c>
      <c r="BF62" s="57">
        <f t="shared" si="113"/>
        <v>0</v>
      </c>
      <c r="BG62" s="57">
        <f t="shared" si="114"/>
        <v>0</v>
      </c>
      <c r="BH62" s="57">
        <f t="shared" si="115"/>
        <v>0</v>
      </c>
      <c r="BI62" s="57">
        <f t="shared" si="116"/>
        <v>0</v>
      </c>
      <c r="BJ62" s="57">
        <f t="shared" si="117"/>
        <v>0</v>
      </c>
      <c r="BK62" s="57">
        <f t="shared" si="118"/>
        <v>0</v>
      </c>
      <c r="BL62" s="54">
        <f t="shared" si="119"/>
        <v>6.2E-4</v>
      </c>
      <c r="BM62" s="54">
        <f>RANK(BL62,$BL$5:$BL$70)</f>
        <v>35</v>
      </c>
      <c r="BN62" s="54">
        <v>47</v>
      </c>
      <c r="BO62" s="73" t="str">
        <f t="shared" si="120"/>
        <v/>
      </c>
      <c r="BP62" s="80" t="e">
        <f t="shared" si="121"/>
        <v>#DIV/0!</v>
      </c>
      <c r="BQ62" s="141">
        <f t="shared" si="122"/>
        <v>0</v>
      </c>
      <c r="BR62" s="54" t="str">
        <f t="shared" si="123"/>
        <v/>
      </c>
      <c r="BS62" s="54" t="str">
        <f t="shared" si="124"/>
        <v/>
      </c>
      <c r="BT62" s="57">
        <f t="shared" si="125"/>
        <v>0</v>
      </c>
      <c r="BU62" s="54" t="str">
        <f t="shared" si="126"/>
        <v/>
      </c>
      <c r="BV62" s="57">
        <f t="shared" si="127"/>
        <v>0</v>
      </c>
      <c r="BW62" s="54" t="str">
        <f t="shared" si="128"/>
        <v/>
      </c>
      <c r="BX62" s="57">
        <f t="shared" si="129"/>
        <v>0</v>
      </c>
      <c r="BY62" s="54" t="str">
        <f t="shared" si="130"/>
        <v/>
      </c>
      <c r="BZ62" s="54">
        <f t="shared" si="62"/>
        <v>0</v>
      </c>
      <c r="CA62" s="54" t="str">
        <f t="shared" si="63"/>
        <v>Sunkara C</v>
      </c>
      <c r="CB62" s="54">
        <f t="shared" si="64"/>
        <v>0</v>
      </c>
      <c r="CC62" s="54" t="str">
        <f t="shared" si="65"/>
        <v>Sunkara C</v>
      </c>
    </row>
    <row r="63" spans="2:81" x14ac:dyDescent="0.15">
      <c r="B63"/>
      <c r="C63" t="s">
        <v>327</v>
      </c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Z63"/>
      <c r="AJ63" s="54" t="str">
        <f t="shared" si="31"/>
        <v>Taylor C</v>
      </c>
      <c r="AK63" s="54">
        <f t="shared" si="101"/>
        <v>0</v>
      </c>
      <c r="AL63" s="54">
        <f t="shared" si="102"/>
        <v>0</v>
      </c>
      <c r="AM63" s="54">
        <f t="shared" si="103"/>
        <v>0</v>
      </c>
      <c r="AN63" s="54">
        <f t="shared" si="104"/>
        <v>0</v>
      </c>
      <c r="AO63" s="54">
        <f t="shared" si="105"/>
        <v>0</v>
      </c>
      <c r="AP63" s="58">
        <f t="shared" si="106"/>
        <v>0</v>
      </c>
      <c r="AQ63" s="54">
        <f t="shared" si="107"/>
        <v>0</v>
      </c>
      <c r="AR63" s="56">
        <f t="shared" si="108"/>
        <v>0</v>
      </c>
      <c r="AS63" s="54">
        <f t="shared" si="109"/>
        <v>0</v>
      </c>
      <c r="AT63" s="57">
        <f t="array" ref="AT63">SUM(IF(ISERR(FIND("*",D63:AI63)),0,1))</f>
        <v>0</v>
      </c>
      <c r="AU63" s="57">
        <f t="array" ref="AU63">SUM(IF(ISERR(FIND("+",D63:AI63)),0,1))</f>
        <v>0</v>
      </c>
      <c r="AV63" s="54">
        <f t="shared" si="110"/>
        <v>0</v>
      </c>
      <c r="AW63" s="57">
        <f t="array" ref="AW63">SUM(IF(ISERR(FIND(AW$4,$D63:$AI63)),0,1))</f>
        <v>0</v>
      </c>
      <c r="AX63" s="57">
        <f t="array" ref="AX63">SUM(IF(ISERR(FIND(AX$4,$D63:$AI63)),0,1))</f>
        <v>0</v>
      </c>
      <c r="AY63" s="57">
        <f t="array" ref="AY63">SUM(IF(ISERR(FIND(AY$4,$D63:$AI63)),0,1))</f>
        <v>0</v>
      </c>
      <c r="AZ63" s="57">
        <f t="array" ref="AZ63">SUM(IF(ISERR(FIND(AZ$4,$D63:$AI63)),0,1))</f>
        <v>0</v>
      </c>
      <c r="BA63" s="57">
        <f t="array" ref="BA63">SUM(IF(ISERR(FIND(BA$4,$D63:$AI63)),0,1))</f>
        <v>0</v>
      </c>
      <c r="BB63" s="57">
        <f t="array" ref="BB63">SUM(IF(ISERR(FIND(BB$4,$D63:$AI63)),0,1))</f>
        <v>0</v>
      </c>
      <c r="BC63" s="57">
        <f t="array" ref="BC63">SUM(IF(ISERR(FIND(BC$4,$D63:$AI63)),0,1))</f>
        <v>0</v>
      </c>
      <c r="BD63" s="57">
        <f t="shared" si="111"/>
        <v>0</v>
      </c>
      <c r="BE63" s="57">
        <f t="shared" si="112"/>
        <v>0</v>
      </c>
      <c r="BF63" s="57">
        <f t="shared" si="113"/>
        <v>0</v>
      </c>
      <c r="BG63" s="57">
        <f t="shared" si="114"/>
        <v>0</v>
      </c>
      <c r="BH63" s="57">
        <f t="shared" si="115"/>
        <v>0</v>
      </c>
      <c r="BI63" s="57">
        <f t="shared" si="116"/>
        <v>0</v>
      </c>
      <c r="BJ63" s="57">
        <f t="shared" si="117"/>
        <v>0</v>
      </c>
      <c r="BK63" s="57">
        <f t="shared" si="118"/>
        <v>0</v>
      </c>
      <c r="BL63" s="54">
        <f t="shared" si="119"/>
        <v>6.3000000000000003E-4</v>
      </c>
      <c r="BM63" s="54">
        <f>RANK(BL63,$BL$5:$BL$70)</f>
        <v>34</v>
      </c>
      <c r="BN63" s="54">
        <v>48</v>
      </c>
      <c r="BO63" s="73" t="str">
        <f t="shared" si="120"/>
        <v/>
      </c>
      <c r="BP63" s="80" t="e">
        <f t="shared" si="121"/>
        <v>#DIV/0!</v>
      </c>
      <c r="BQ63" s="141">
        <f t="shared" si="122"/>
        <v>0</v>
      </c>
      <c r="BR63" s="54" t="str">
        <f t="shared" si="123"/>
        <v/>
      </c>
      <c r="BS63" s="54" t="str">
        <f t="shared" si="124"/>
        <v/>
      </c>
      <c r="BT63" s="57">
        <f t="shared" si="125"/>
        <v>0</v>
      </c>
      <c r="BU63" s="54" t="str">
        <f t="shared" si="126"/>
        <v/>
      </c>
      <c r="BV63" s="57">
        <f t="shared" si="127"/>
        <v>0</v>
      </c>
      <c r="BW63" s="54" t="str">
        <f t="shared" si="128"/>
        <v/>
      </c>
      <c r="BX63" s="57">
        <f t="shared" si="129"/>
        <v>0</v>
      </c>
      <c r="BY63" s="54" t="str">
        <f t="shared" si="130"/>
        <v/>
      </c>
      <c r="BZ63" s="54">
        <f t="shared" si="62"/>
        <v>0</v>
      </c>
      <c r="CA63" s="54" t="str">
        <f t="shared" si="63"/>
        <v>Taylor C</v>
      </c>
      <c r="CB63" s="54">
        <f t="shared" si="64"/>
        <v>0</v>
      </c>
      <c r="CC63" s="54" t="str">
        <f t="shared" si="65"/>
        <v>Taylor C</v>
      </c>
    </row>
    <row r="64" spans="2:81" x14ac:dyDescent="0.15">
      <c r="B64" t="s">
        <v>363</v>
      </c>
      <c r="C64" t="s">
        <v>366</v>
      </c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Z64"/>
      <c r="AJ64" t="str">
        <f t="shared" si="31"/>
        <v>Turner R</v>
      </c>
      <c r="AK64" s="54">
        <f t="shared" si="101"/>
        <v>0</v>
      </c>
      <c r="AL64" s="54">
        <f t="shared" si="102"/>
        <v>0</v>
      </c>
      <c r="AM64" s="54">
        <f t="shared" si="103"/>
        <v>0</v>
      </c>
      <c r="AN64" s="54">
        <f t="shared" si="104"/>
        <v>0</v>
      </c>
      <c r="AO64" s="54">
        <f t="shared" si="105"/>
        <v>0</v>
      </c>
      <c r="AP64" s="58">
        <f t="shared" si="106"/>
        <v>0</v>
      </c>
      <c r="AQ64" s="54">
        <f t="shared" si="107"/>
        <v>0</v>
      </c>
      <c r="AR64" s="56">
        <f t="shared" si="108"/>
        <v>0</v>
      </c>
      <c r="AS64" s="54">
        <f t="shared" si="109"/>
        <v>0</v>
      </c>
      <c r="AT64" s="57">
        <f t="array" ref="AT64">SUM(IF(ISERR(FIND("*",D64:AI64)),0,1))</f>
        <v>0</v>
      </c>
      <c r="AU64" s="57">
        <f t="array" ref="AU64">SUM(IF(ISERR(FIND("+",D64:AI64)),0,1))</f>
        <v>0</v>
      </c>
      <c r="AV64" s="54">
        <f t="shared" si="110"/>
        <v>0</v>
      </c>
      <c r="AW64" s="57">
        <f t="array" ref="AW64">SUM(IF(ISERR(FIND(AW$4,$D64:$AI64)),0,1))</f>
        <v>0</v>
      </c>
      <c r="AX64" s="57">
        <f t="array" ref="AX64">SUM(IF(ISERR(FIND(AX$4,$D64:$AI64)),0,1))</f>
        <v>0</v>
      </c>
      <c r="AY64" s="57">
        <f t="array" ref="AY64">SUM(IF(ISERR(FIND(AY$4,$D64:$AI64)),0,1))</f>
        <v>0</v>
      </c>
      <c r="AZ64" s="57">
        <f t="array" ref="AZ64">SUM(IF(ISERR(FIND(AZ$4,$D64:$AI64)),0,1))</f>
        <v>0</v>
      </c>
      <c r="BA64" s="57">
        <f t="array" ref="BA64">SUM(IF(ISERR(FIND(BA$4,$D64:$AI64)),0,1))</f>
        <v>0</v>
      </c>
      <c r="BB64" s="57">
        <f t="array" ref="BB64">SUM(IF(ISERR(FIND(BB$4,$D64:$AI64)),0,1))</f>
        <v>0</v>
      </c>
      <c r="BC64" s="57">
        <f t="array" ref="BC64">SUM(IF(ISERR(FIND(BC$4,$D64:$AI64)),0,1))</f>
        <v>0</v>
      </c>
      <c r="BD64" s="57">
        <f t="shared" si="111"/>
        <v>0</v>
      </c>
      <c r="BE64" s="57">
        <f t="shared" si="112"/>
        <v>0</v>
      </c>
      <c r="BF64" s="57">
        <f t="shared" si="113"/>
        <v>0</v>
      </c>
      <c r="BG64" s="57">
        <f t="shared" si="114"/>
        <v>0</v>
      </c>
      <c r="BH64" s="57">
        <f t="shared" si="115"/>
        <v>0</v>
      </c>
      <c r="BI64" s="57">
        <f t="shared" si="116"/>
        <v>0</v>
      </c>
      <c r="BJ64" s="57">
        <f t="shared" si="117"/>
        <v>0</v>
      </c>
      <c r="BK64" s="57">
        <f t="shared" si="118"/>
        <v>0</v>
      </c>
      <c r="BL64" s="54">
        <f t="shared" si="119"/>
        <v>6.4000000000000005E-4</v>
      </c>
      <c r="BM64" s="54">
        <f>RANK(BL64,$BL$5:$BL$70)</f>
        <v>33</v>
      </c>
      <c r="BN64" s="54">
        <v>49</v>
      </c>
      <c r="BO64" s="73" t="str">
        <f t="shared" si="120"/>
        <v/>
      </c>
      <c r="BP64" s="80" t="e">
        <f t="shared" si="121"/>
        <v>#DIV/0!</v>
      </c>
      <c r="BQ64" s="141">
        <f t="shared" si="122"/>
        <v>0</v>
      </c>
      <c r="BR64" s="54" t="str">
        <f t="shared" si="123"/>
        <v/>
      </c>
      <c r="BS64" s="54" t="str">
        <f t="shared" si="124"/>
        <v/>
      </c>
      <c r="BT64" s="57">
        <f t="shared" si="125"/>
        <v>0</v>
      </c>
      <c r="BU64" s="54" t="str">
        <f t="shared" si="126"/>
        <v/>
      </c>
      <c r="BV64" s="57">
        <f t="shared" si="127"/>
        <v>0</v>
      </c>
      <c r="BW64" s="54" t="str">
        <f t="shared" si="128"/>
        <v/>
      </c>
      <c r="BX64" s="57">
        <f t="shared" si="129"/>
        <v>0</v>
      </c>
      <c r="BY64" s="54" t="str">
        <f t="shared" si="130"/>
        <v/>
      </c>
      <c r="BZ64" s="54">
        <f t="shared" si="62"/>
        <v>0</v>
      </c>
      <c r="CA64" s="54" t="str">
        <f t="shared" si="63"/>
        <v>Turner R</v>
      </c>
      <c r="CB64" s="54">
        <f t="shared" si="64"/>
        <v>0</v>
      </c>
      <c r="CC64" s="54" t="str">
        <f t="shared" si="65"/>
        <v>Turner R</v>
      </c>
    </row>
    <row r="65" spans="2:81" x14ac:dyDescent="0.15">
      <c r="B65"/>
      <c r="C65" t="s">
        <v>354</v>
      </c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Z65"/>
      <c r="AJ65" s="54" t="str">
        <f t="shared" si="31"/>
        <v>Umar S</v>
      </c>
      <c r="AK65" s="54">
        <f t="shared" si="101"/>
        <v>0</v>
      </c>
      <c r="AL65" s="54">
        <f t="shared" si="102"/>
        <v>0</v>
      </c>
      <c r="AM65" s="54">
        <f t="shared" si="103"/>
        <v>0</v>
      </c>
      <c r="AN65" s="54">
        <f t="shared" si="104"/>
        <v>0</v>
      </c>
      <c r="AO65" s="54">
        <f t="shared" si="105"/>
        <v>0</v>
      </c>
      <c r="AP65" s="58">
        <f t="shared" si="106"/>
        <v>0</v>
      </c>
      <c r="AQ65" s="54">
        <f t="shared" si="107"/>
        <v>0</v>
      </c>
      <c r="AR65" s="56">
        <f t="shared" si="108"/>
        <v>0</v>
      </c>
      <c r="AS65" s="54">
        <f t="shared" si="109"/>
        <v>0</v>
      </c>
      <c r="AT65" s="57">
        <f t="array" ref="AT65">SUM(IF(ISERR(FIND("*",D65:AI65)),0,1))</f>
        <v>0</v>
      </c>
      <c r="AU65" s="57">
        <f t="array" ref="AU65">SUM(IF(ISERR(FIND("+",D65:AI65)),0,1))</f>
        <v>0</v>
      </c>
      <c r="AV65" s="54">
        <f t="shared" si="110"/>
        <v>0</v>
      </c>
      <c r="AW65" s="57">
        <f t="array" ref="AW65">SUM(IF(ISERR(FIND(AW$4,$D65:$AI65)),0,1))</f>
        <v>0</v>
      </c>
      <c r="AX65" s="57">
        <f t="array" ref="AX65">SUM(IF(ISERR(FIND(AX$4,$D65:$AI65)),0,1))</f>
        <v>0</v>
      </c>
      <c r="AY65" s="57">
        <f t="array" ref="AY65">SUM(IF(ISERR(FIND(AY$4,$D65:$AI65)),0,1))</f>
        <v>0</v>
      </c>
      <c r="AZ65" s="57">
        <f t="array" ref="AZ65">SUM(IF(ISERR(FIND(AZ$4,$D65:$AI65)),0,1))</f>
        <v>0</v>
      </c>
      <c r="BA65" s="57">
        <f t="array" ref="BA65">SUM(IF(ISERR(FIND(BA$4,$D65:$AI65)),0,1))</f>
        <v>0</v>
      </c>
      <c r="BB65" s="57">
        <f t="array" ref="BB65">SUM(IF(ISERR(FIND(BB$4,$D65:$AI65)),0,1))</f>
        <v>0</v>
      </c>
      <c r="BC65" s="57">
        <f t="array" ref="BC65">SUM(IF(ISERR(FIND(BC$4,$D65:$AI65)),0,1))</f>
        <v>0</v>
      </c>
      <c r="BD65" s="57">
        <f t="shared" si="111"/>
        <v>0</v>
      </c>
      <c r="BE65" s="57">
        <f t="shared" si="112"/>
        <v>0</v>
      </c>
      <c r="BF65" s="57">
        <f t="shared" si="113"/>
        <v>0</v>
      </c>
      <c r="BG65" s="57">
        <f t="shared" si="114"/>
        <v>0</v>
      </c>
      <c r="BH65" s="57">
        <f t="shared" si="115"/>
        <v>0</v>
      </c>
      <c r="BI65" s="57">
        <f t="shared" si="116"/>
        <v>0</v>
      </c>
      <c r="BJ65" s="57">
        <f t="shared" si="117"/>
        <v>0</v>
      </c>
      <c r="BK65" s="57">
        <f t="shared" si="118"/>
        <v>0</v>
      </c>
      <c r="BL65" s="54">
        <f t="shared" si="119"/>
        <v>6.4999999999999997E-4</v>
      </c>
      <c r="BM65" s="54">
        <f>RANK(BL65,$BL$5:$BL$70)</f>
        <v>32</v>
      </c>
      <c r="BN65" s="54">
        <v>50</v>
      </c>
      <c r="BO65" s="73" t="str">
        <f t="shared" si="120"/>
        <v/>
      </c>
      <c r="BP65" s="80" t="e">
        <f t="shared" si="121"/>
        <v>#DIV/0!</v>
      </c>
      <c r="BQ65" s="141">
        <f t="shared" si="122"/>
        <v>0</v>
      </c>
      <c r="BR65" s="54" t="str">
        <f t="shared" si="123"/>
        <v/>
      </c>
      <c r="BS65" s="54" t="str">
        <f t="shared" si="124"/>
        <v/>
      </c>
      <c r="BT65" s="57">
        <f t="shared" si="125"/>
        <v>0</v>
      </c>
      <c r="BU65" s="54" t="str">
        <f t="shared" si="126"/>
        <v/>
      </c>
      <c r="BV65" s="57">
        <f t="shared" si="127"/>
        <v>0</v>
      </c>
      <c r="BW65" s="54" t="str">
        <f t="shared" si="128"/>
        <v/>
      </c>
      <c r="BX65" s="57">
        <f t="shared" si="129"/>
        <v>0</v>
      </c>
      <c r="BY65" s="54" t="str">
        <f t="shared" si="130"/>
        <v/>
      </c>
      <c r="BZ65" s="54">
        <f t="shared" si="62"/>
        <v>0</v>
      </c>
      <c r="CA65" s="54" t="str">
        <f t="shared" si="63"/>
        <v>Umar S</v>
      </c>
      <c r="CB65" s="54">
        <f t="shared" si="64"/>
        <v>0</v>
      </c>
      <c r="CC65" s="54" t="str">
        <f t="shared" si="65"/>
        <v>Umar S</v>
      </c>
    </row>
    <row r="66" spans="2:81" x14ac:dyDescent="0.15">
      <c r="B66" t="s">
        <v>464</v>
      </c>
      <c r="C66" t="s">
        <v>463</v>
      </c>
      <c r="D66" t="s">
        <v>465</v>
      </c>
      <c r="E66" t="s">
        <v>491</v>
      </c>
      <c r="F66" t="s">
        <v>506</v>
      </c>
      <c r="G66"/>
      <c r="H66"/>
      <c r="I66"/>
      <c r="J66" t="s">
        <v>309</v>
      </c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J66" s="54" t="str">
        <f t="shared" ref="AJ66" si="271">C66</f>
        <v>Vignesh M</v>
      </c>
      <c r="AK66" s="54">
        <f t="shared" ref="AK66" si="272">BatSplit(D66:AI66,MatchesPlayed)</f>
        <v>4</v>
      </c>
      <c r="AL66" s="54">
        <f t="shared" ref="AL66" si="273">AK66-AM66</f>
        <v>2</v>
      </c>
      <c r="AM66" s="54">
        <f t="shared" ref="AM66" si="274">BatSplit(D66:AI66,InnsBattedIn)</f>
        <v>2</v>
      </c>
      <c r="AN66" s="54">
        <f t="shared" ref="AN66" si="275">BatSplit(D66:AI66,NotOuts)</f>
        <v>1</v>
      </c>
      <c r="AO66" s="54">
        <f t="shared" ref="AO66" si="276">BatSplit(D66:AI66,HighestScore)</f>
        <v>-14</v>
      </c>
      <c r="AP66" s="58" t="str">
        <f t="shared" ref="AP66" si="277">IF(AO66&lt;0,-AO66&amp;"*",AO66)</f>
        <v>14*</v>
      </c>
      <c r="AQ66" s="54">
        <f t="shared" ref="AQ66" si="278">BatSplit(D66:AI66,RunsScored)</f>
        <v>14</v>
      </c>
      <c r="AR66" s="56">
        <f t="shared" ref="AR66" si="279">IF(AM66=AN66,0,AQ66/(AM66-AN66))</f>
        <v>14</v>
      </c>
      <c r="AS66" s="54">
        <f t="shared" ref="AS66" si="280">BatSplit(D66:AI66,FldPts)</f>
        <v>5</v>
      </c>
      <c r="AT66" s="57">
        <f t="array" ref="AT66">SUM(IF(ISERR(FIND("*",D66:AI66)),0,1))</f>
        <v>0</v>
      </c>
      <c r="AU66" s="57">
        <f t="array" ref="AU66">SUM(IF(ISERR(FIND("+",D66:AI66)),0,1))</f>
        <v>0</v>
      </c>
      <c r="AV66" s="54">
        <f t="shared" ref="AV66" si="281">BatSplit(D66:AI66,Ducks)</f>
        <v>1</v>
      </c>
      <c r="AW66" s="57">
        <f t="array" ref="AW66">SUM(IF(ISERR(FIND(AW$4,$D66:$AI66)),0,1))</f>
        <v>0</v>
      </c>
      <c r="AX66" s="57">
        <f t="array" ref="AX66">SUM(IF(ISERR(FIND(AX$4,$D66:$AI66)),0,1))</f>
        <v>1</v>
      </c>
      <c r="AY66" s="57">
        <f t="array" ref="AY66">SUM(IF(ISERR(FIND(AY$4,$D66:$AI66)),0,1))</f>
        <v>0</v>
      </c>
      <c r="AZ66" s="57">
        <f t="array" ref="AZ66">SUM(IF(ISERR(FIND(AZ$4,$D66:$AI66)),0,1))</f>
        <v>0</v>
      </c>
      <c r="BA66" s="57">
        <f t="array" ref="BA66">SUM(IF(ISERR(FIND(BA$4,$D66:$AI66)),0,1))</f>
        <v>0</v>
      </c>
      <c r="BB66" s="57">
        <f t="array" ref="BB66">SUM(IF(ISERR(FIND(BB$4,$D66:$AI66)),0,1))</f>
        <v>0</v>
      </c>
      <c r="BC66" s="57">
        <f t="array" ref="BC66">SUM(IF(ISERR(FIND(BC$4,$D66:$AI66)),0,1))</f>
        <v>0</v>
      </c>
      <c r="BD66" s="57">
        <f t="shared" ref="BD66" si="282">BatSplit(D66:AI66,Fifties)</f>
        <v>0</v>
      </c>
      <c r="BE66" s="57">
        <f t="shared" ref="BE66" si="283">BatSplit(D66:AI66,Hundreds)</f>
        <v>0</v>
      </c>
      <c r="BF66" s="57">
        <f t="shared" ref="BF66" si="284">BatSplit(D66:AI66,Catches)</f>
        <v>1</v>
      </c>
      <c r="BG66" s="57">
        <f t="shared" ref="BG66" si="285">BatSplit(D66:AI66,Fours)</f>
        <v>1</v>
      </c>
      <c r="BH66" s="57">
        <f t="shared" ref="BH66" si="286">BatSplit(D66:AI66,Sixes)</f>
        <v>0</v>
      </c>
      <c r="BI66" s="57">
        <f t="shared" ref="BI66" si="287">BatSplit(D66:AI66,Stumpings)</f>
        <v>0</v>
      </c>
      <c r="BJ66" s="57">
        <f t="shared" ref="BJ66" si="288">BatSplit(D66:AI66,CaughtWkt)</f>
        <v>0</v>
      </c>
      <c r="BK66" s="57">
        <f t="shared" ref="BK66" si="289">BatSplit(D66:AI66,TwentyFives)</f>
        <v>0</v>
      </c>
      <c r="BL66" s="54">
        <f t="shared" ref="BL66" si="290">ROUND(IF(ISERROR(AR66),0,AR66),2)*100000+AM66*100+AK66+AQ66/100+ROW()/100000</f>
        <v>1400204.1406599998</v>
      </c>
      <c r="BM66" s="54">
        <f>RANK(BL66,$BL$5:$BL$70)</f>
        <v>7</v>
      </c>
      <c r="BN66" s="54">
        <v>51</v>
      </c>
      <c r="BO66" s="73" t="str">
        <f t="shared" ref="BO66" si="291">IF(AQ66&gt;=50,(BG66*4+BH66*6+BN66*5)/AQ66,"")</f>
        <v/>
      </c>
      <c r="BP66" s="80">
        <f t="shared" ref="BP66" si="292">AV66/(AM66-AN66)</f>
        <v>1</v>
      </c>
      <c r="BQ66" s="141">
        <f t="shared" ref="BQ66" si="293">BF66</f>
        <v>1</v>
      </c>
      <c r="BR66" s="54" t="str">
        <f t="shared" ref="BR66" si="294">IF(BF66=0,"",BF66&amp;IF(BJ66=0,""," ("&amp;BJ66&amp;")"))</f>
        <v>1</v>
      </c>
      <c r="BS66" s="54" t="str">
        <f t="shared" ref="BS66" si="295">IF(BF66=0,"",C66)</f>
        <v>Vignesh M</v>
      </c>
      <c r="BT66" s="57">
        <f t="shared" ref="BT66" si="296">BH66</f>
        <v>0</v>
      </c>
      <c r="BU66" s="54" t="str">
        <f t="shared" ref="BU66" si="297">IF(BT66=0,"",C66)</f>
        <v/>
      </c>
      <c r="BV66" s="57">
        <f t="shared" ref="BV66" si="298">BG66</f>
        <v>1</v>
      </c>
      <c r="BW66" s="54" t="str">
        <f t="shared" ref="BW66" si="299">IF(BV66=0,"",C66)</f>
        <v>Vignesh M</v>
      </c>
      <c r="BX66" s="57">
        <f t="shared" ref="BX66" si="300">BK66</f>
        <v>0</v>
      </c>
      <c r="BY66" s="54" t="str">
        <f t="shared" ref="BY66" si="301">IF(BX66=0,"",C66)</f>
        <v/>
      </c>
      <c r="BZ66" s="54">
        <f t="shared" ref="BZ66" si="302">AK66</f>
        <v>4</v>
      </c>
      <c r="CA66" s="54" t="str">
        <f t="shared" ref="CA66" si="303">AJ66</f>
        <v>Vignesh M</v>
      </c>
      <c r="CB66" s="54">
        <f t="shared" ref="CB66" si="304">AV66</f>
        <v>1</v>
      </c>
      <c r="CC66" s="54" t="str">
        <f t="shared" ref="CC66" si="305">AJ66</f>
        <v>Vignesh M</v>
      </c>
    </row>
    <row r="67" spans="2:81" x14ac:dyDescent="0.15">
      <c r="B67" t="s">
        <v>230</v>
      </c>
      <c r="C67" t="s">
        <v>235</v>
      </c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J67" s="54" t="str">
        <f t="shared" si="31"/>
        <v>Viveganandan M</v>
      </c>
      <c r="AK67" s="54">
        <f t="shared" si="101"/>
        <v>0</v>
      </c>
      <c r="AL67" s="54">
        <f t="shared" si="102"/>
        <v>0</v>
      </c>
      <c r="AM67" s="54">
        <f t="shared" si="103"/>
        <v>0</v>
      </c>
      <c r="AN67" s="54">
        <f t="shared" si="104"/>
        <v>0</v>
      </c>
      <c r="AO67" s="54">
        <f t="shared" si="105"/>
        <v>0</v>
      </c>
      <c r="AP67" s="58">
        <f t="shared" si="106"/>
        <v>0</v>
      </c>
      <c r="AQ67" s="54">
        <f t="shared" si="107"/>
        <v>0</v>
      </c>
      <c r="AR67" s="56">
        <f t="shared" si="108"/>
        <v>0</v>
      </c>
      <c r="AS67" s="54">
        <f t="shared" si="109"/>
        <v>0</v>
      </c>
      <c r="AT67" s="57">
        <f t="array" ref="AT67">SUM(IF(ISERR(FIND("*",D67:AI67)),0,1))</f>
        <v>0</v>
      </c>
      <c r="AU67" s="57">
        <f t="array" ref="AU67">SUM(IF(ISERR(FIND("+",D67:AI67)),0,1))</f>
        <v>0</v>
      </c>
      <c r="AV67" s="54">
        <f t="shared" si="110"/>
        <v>0</v>
      </c>
      <c r="AW67" s="57">
        <f t="array" ref="AW67">SUM(IF(ISERR(FIND(AW$4,$D67:$AI67)),0,1))</f>
        <v>0</v>
      </c>
      <c r="AX67" s="57">
        <f t="array" ref="AX67">SUM(IF(ISERR(FIND(AX$4,$D67:$AI67)),0,1))</f>
        <v>0</v>
      </c>
      <c r="AY67" s="57">
        <f t="array" ref="AY67">SUM(IF(ISERR(FIND(AY$4,$D67:$AI67)),0,1))</f>
        <v>0</v>
      </c>
      <c r="AZ67" s="57">
        <f t="array" ref="AZ67">SUM(IF(ISERR(FIND(AZ$4,$D67:$AI67)),0,1))</f>
        <v>0</v>
      </c>
      <c r="BA67" s="57">
        <f t="array" ref="BA67">SUM(IF(ISERR(FIND(BA$4,$D67:$AI67)),0,1))</f>
        <v>0</v>
      </c>
      <c r="BB67" s="57">
        <f t="array" ref="BB67">SUM(IF(ISERR(FIND(BB$4,$D67:$AI67)),0,1))</f>
        <v>0</v>
      </c>
      <c r="BC67" s="57">
        <f t="array" ref="BC67">SUM(IF(ISERR(FIND(BC$4,$D67:$AI67)),0,1))</f>
        <v>0</v>
      </c>
      <c r="BD67" s="57">
        <f t="shared" si="111"/>
        <v>0</v>
      </c>
      <c r="BE67" s="57">
        <f t="shared" si="112"/>
        <v>0</v>
      </c>
      <c r="BF67" s="57">
        <f t="shared" si="113"/>
        <v>0</v>
      </c>
      <c r="BG67" s="57">
        <f t="shared" si="114"/>
        <v>0</v>
      </c>
      <c r="BH67" s="57">
        <f t="shared" si="115"/>
        <v>0</v>
      </c>
      <c r="BI67" s="57">
        <f t="shared" si="116"/>
        <v>0</v>
      </c>
      <c r="BJ67" s="57">
        <f t="shared" si="117"/>
        <v>0</v>
      </c>
      <c r="BK67" s="57">
        <f t="shared" si="118"/>
        <v>0</v>
      </c>
      <c r="BL67" s="54">
        <f t="shared" si="119"/>
        <v>6.7000000000000002E-4</v>
      </c>
      <c r="BM67" s="54">
        <f>RANK(BL67,$BL$5:$BL$70)</f>
        <v>31</v>
      </c>
      <c r="BN67" s="54">
        <v>51</v>
      </c>
      <c r="BO67" s="73" t="str">
        <f t="shared" si="120"/>
        <v/>
      </c>
      <c r="BP67" s="80" t="e">
        <f t="shared" si="121"/>
        <v>#DIV/0!</v>
      </c>
      <c r="BQ67" s="141">
        <f t="shared" si="122"/>
        <v>0</v>
      </c>
      <c r="BR67" s="54" t="str">
        <f t="shared" si="123"/>
        <v/>
      </c>
      <c r="BS67" s="54" t="str">
        <f t="shared" si="124"/>
        <v/>
      </c>
      <c r="BT67" s="57">
        <f t="shared" si="125"/>
        <v>0</v>
      </c>
      <c r="BU67" s="54" t="str">
        <f t="shared" si="126"/>
        <v/>
      </c>
      <c r="BV67" s="57">
        <f t="shared" si="127"/>
        <v>0</v>
      </c>
      <c r="BW67" s="54" t="str">
        <f t="shared" si="128"/>
        <v/>
      </c>
      <c r="BX67" s="57">
        <f t="shared" si="129"/>
        <v>0</v>
      </c>
      <c r="BY67" s="54" t="str">
        <f t="shared" si="130"/>
        <v/>
      </c>
      <c r="BZ67" s="54">
        <f t="shared" si="62"/>
        <v>0</v>
      </c>
      <c r="CA67" s="54" t="str">
        <f t="shared" si="63"/>
        <v>Viveganandan M</v>
      </c>
      <c r="CB67" s="54">
        <f t="shared" si="64"/>
        <v>0</v>
      </c>
      <c r="CC67" s="54" t="str">
        <f t="shared" si="65"/>
        <v>Viveganandan M</v>
      </c>
    </row>
    <row r="68" spans="2:81" x14ac:dyDescent="0.15">
      <c r="B68" t="s">
        <v>585</v>
      </c>
      <c r="C68" t="s">
        <v>586</v>
      </c>
      <c r="D68"/>
      <c r="E68"/>
      <c r="F68"/>
      <c r="G68"/>
      <c r="H68"/>
      <c r="I68"/>
      <c r="J68"/>
      <c r="K68"/>
      <c r="L68" t="s">
        <v>589</v>
      </c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J68" s="54" t="str">
        <f t="shared" ref="AJ68" si="306">C68</f>
        <v>Walsh F</v>
      </c>
      <c r="AK68" s="54">
        <f t="shared" ref="AK68" si="307">BatSplit(D68:AI68,MatchesPlayed)</f>
        <v>1</v>
      </c>
      <c r="AL68" s="54">
        <f t="shared" ref="AL68" si="308">AK68-AM68</f>
        <v>1</v>
      </c>
      <c r="AM68" s="54">
        <f t="shared" ref="AM68" si="309">BatSplit(D68:AI68,InnsBattedIn)</f>
        <v>0</v>
      </c>
      <c r="AN68" s="54">
        <f t="shared" ref="AN68" si="310">BatSplit(D68:AI68,NotOuts)</f>
        <v>0</v>
      </c>
      <c r="AO68" s="54">
        <f t="shared" ref="AO68" si="311">BatSplit(D68:AI68,HighestScore)</f>
        <v>0</v>
      </c>
      <c r="AP68" s="58">
        <f t="shared" ref="AP68" si="312">IF(AO68&lt;0,-AO68&amp;"*",AO68)</f>
        <v>0</v>
      </c>
      <c r="AQ68" s="54">
        <f t="shared" ref="AQ68" si="313">BatSplit(D68:AI68,RunsScored)</f>
        <v>0</v>
      </c>
      <c r="AR68" s="56">
        <f t="shared" ref="AR68" si="314">IF(AM68=AN68,0,AQ68/(AM68-AN68))</f>
        <v>0</v>
      </c>
      <c r="AS68" s="54">
        <f t="shared" ref="AS68" si="315">BatSplit(D68:AI68,FldPts)</f>
        <v>0</v>
      </c>
      <c r="AT68" s="57">
        <f t="array" ref="AT68">SUM(IF(ISERR(FIND("*",D68:AI68)),0,1))</f>
        <v>0</v>
      </c>
      <c r="AU68" s="57">
        <f t="array" ref="AU68">SUM(IF(ISERR(FIND("+",D68:AI68)),0,1))</f>
        <v>1</v>
      </c>
      <c r="AV68" s="54">
        <f t="shared" ref="AV68" si="316">BatSplit(D68:AI68,Ducks)</f>
        <v>0</v>
      </c>
      <c r="AW68" s="57">
        <f t="array" ref="AW68">SUM(IF(ISERR(FIND(AW$4,$D68:$AI68)),0,1))</f>
        <v>0</v>
      </c>
      <c r="AX68" s="57">
        <f t="array" ref="AX68">SUM(IF(ISERR(FIND(AX$4,$D68:$AI68)),0,1))</f>
        <v>0</v>
      </c>
      <c r="AY68" s="57">
        <f t="array" ref="AY68">SUM(IF(ISERR(FIND(AY$4,$D68:$AI68)),0,1))</f>
        <v>0</v>
      </c>
      <c r="AZ68" s="57">
        <f t="array" ref="AZ68">SUM(IF(ISERR(FIND(AZ$4,$D68:$AI68)),0,1))</f>
        <v>0</v>
      </c>
      <c r="BA68" s="57">
        <f t="array" ref="BA68">SUM(IF(ISERR(FIND(BA$4,$D68:$AI68)),0,1))</f>
        <v>0</v>
      </c>
      <c r="BB68" s="57">
        <f t="array" ref="BB68">SUM(IF(ISERR(FIND(BB$4,$D68:$AI68)),0,1))</f>
        <v>0</v>
      </c>
      <c r="BC68" s="57">
        <f t="array" ref="BC68">SUM(IF(ISERR(FIND(BC$4,$D68:$AI68)),0,1))</f>
        <v>0</v>
      </c>
      <c r="BD68" s="57">
        <f t="shared" ref="BD68" si="317">BatSplit(D68:AI68,Fifties)</f>
        <v>0</v>
      </c>
      <c r="BE68" s="57">
        <f t="shared" ref="BE68" si="318">BatSplit(D68:AI68,Hundreds)</f>
        <v>0</v>
      </c>
      <c r="BF68" s="57">
        <f t="shared" ref="BF68" si="319">BatSplit(D68:AI68,Catches)</f>
        <v>1</v>
      </c>
      <c r="BG68" s="57">
        <f t="shared" ref="BG68" si="320">BatSplit(D68:AI68,Fours)</f>
        <v>0</v>
      </c>
      <c r="BH68" s="57">
        <f t="shared" ref="BH68" si="321">BatSplit(D68:AI68,Sixes)</f>
        <v>0</v>
      </c>
      <c r="BI68" s="57">
        <f t="shared" ref="BI68" si="322">BatSplit(D68:AI68,Stumpings)</f>
        <v>0</v>
      </c>
      <c r="BJ68" s="57">
        <f t="shared" ref="BJ68" si="323">BatSplit(D68:AI68,CaughtWkt)</f>
        <v>1</v>
      </c>
      <c r="BK68" s="57">
        <f t="shared" ref="BK68" si="324">BatSplit(D68:AI68,TwentyFives)</f>
        <v>0</v>
      </c>
      <c r="BL68" s="54">
        <f t="shared" ref="BL68" si="325">ROUND(IF(ISERROR(AR68),0,AR68),2)*100000+AM68*100+AK68+AQ68/100+ROW()/100000</f>
        <v>1.00068</v>
      </c>
      <c r="BM68" s="54">
        <f>RANK(BL68,$BL$5:$BL$70)</f>
        <v>27</v>
      </c>
      <c r="BN68" s="54">
        <v>52</v>
      </c>
      <c r="BO68" s="73" t="str">
        <f t="shared" ref="BO68" si="326">IF(AQ68&gt;=50,(BG68*4+BH68*6+BN68*5)/AQ68,"")</f>
        <v/>
      </c>
      <c r="BP68" s="80" t="e">
        <f t="shared" ref="BP68" si="327">AV68/(AM68-AN68)</f>
        <v>#DIV/0!</v>
      </c>
      <c r="BQ68" s="141">
        <f t="shared" ref="BQ68" si="328">BF68</f>
        <v>1</v>
      </c>
      <c r="BR68" s="54" t="str">
        <f t="shared" ref="BR68" si="329">IF(BF68=0,"",BF68&amp;IF(BJ68=0,""," ("&amp;BJ68&amp;")"))</f>
        <v>1 (1)</v>
      </c>
      <c r="BS68" s="54" t="str">
        <f t="shared" ref="BS68" si="330">IF(BF68=0,"",C68)</f>
        <v>Walsh F</v>
      </c>
      <c r="BT68" s="57">
        <f t="shared" ref="BT68" si="331">BH68</f>
        <v>0</v>
      </c>
      <c r="BU68" s="54" t="str">
        <f t="shared" ref="BU68" si="332">IF(BT68=0,"",C68)</f>
        <v/>
      </c>
      <c r="BV68" s="57">
        <f t="shared" ref="BV68" si="333">BG68</f>
        <v>0</v>
      </c>
      <c r="BW68" s="54" t="str">
        <f t="shared" ref="BW68" si="334">IF(BV68=0,"",C68)</f>
        <v/>
      </c>
      <c r="BX68" s="57">
        <f t="shared" ref="BX68" si="335">BK68</f>
        <v>0</v>
      </c>
      <c r="BY68" s="54" t="str">
        <f t="shared" ref="BY68" si="336">IF(BX68=0,"",C68)</f>
        <v/>
      </c>
      <c r="BZ68" s="54">
        <f t="shared" ref="BZ68" si="337">AK68</f>
        <v>1</v>
      </c>
      <c r="CA68" s="54" t="str">
        <f t="shared" ref="CA68" si="338">AJ68</f>
        <v>Walsh F</v>
      </c>
      <c r="CB68" s="54">
        <f t="shared" ref="CB68" si="339">AV68</f>
        <v>0</v>
      </c>
      <c r="CC68" s="54" t="str">
        <f t="shared" ref="CC68" si="340">AJ68</f>
        <v>Walsh F</v>
      </c>
    </row>
    <row r="69" spans="2:81" x14ac:dyDescent="0.15">
      <c r="B69" t="s">
        <v>260</v>
      </c>
      <c r="C69" t="s">
        <v>232</v>
      </c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J69" s="54" t="str">
        <f t="shared" si="31"/>
        <v>Wilson A</v>
      </c>
      <c r="AK69" s="54">
        <f t="shared" si="101"/>
        <v>0</v>
      </c>
      <c r="AL69" s="54">
        <f t="shared" si="102"/>
        <v>0</v>
      </c>
      <c r="AM69" s="54">
        <f t="shared" si="103"/>
        <v>0</v>
      </c>
      <c r="AN69" s="54">
        <f t="shared" si="104"/>
        <v>0</v>
      </c>
      <c r="AO69" s="54">
        <f t="shared" si="105"/>
        <v>0</v>
      </c>
      <c r="AP69" s="58">
        <f t="shared" si="106"/>
        <v>0</v>
      </c>
      <c r="AQ69" s="54">
        <f t="shared" si="107"/>
        <v>0</v>
      </c>
      <c r="AR69" s="56">
        <f t="shared" si="108"/>
        <v>0</v>
      </c>
      <c r="AS69" s="54">
        <f t="shared" si="109"/>
        <v>0</v>
      </c>
      <c r="AT69" s="57">
        <f t="array" ref="AT69">SUM(IF(ISERR(FIND("*",D69:AI69)),0,1))</f>
        <v>0</v>
      </c>
      <c r="AU69" s="57">
        <f t="array" ref="AU69">SUM(IF(ISERR(FIND("+",D69:AI69)),0,1))</f>
        <v>0</v>
      </c>
      <c r="AV69" s="54">
        <f t="shared" si="110"/>
        <v>0</v>
      </c>
      <c r="AW69" s="57">
        <f t="array" ref="AW69">SUM(IF(ISERR(FIND(AW$4,$D69:$AI69)),0,1))</f>
        <v>0</v>
      </c>
      <c r="AX69" s="57">
        <f t="array" ref="AX69">SUM(IF(ISERR(FIND(AX$4,$D69:$AI69)),0,1))</f>
        <v>0</v>
      </c>
      <c r="AY69" s="57">
        <f t="array" ref="AY69">SUM(IF(ISERR(FIND(AY$4,$D69:$AI69)),0,1))</f>
        <v>0</v>
      </c>
      <c r="AZ69" s="57">
        <f t="array" ref="AZ69">SUM(IF(ISERR(FIND(AZ$4,$D69:$AI69)),0,1))</f>
        <v>0</v>
      </c>
      <c r="BA69" s="57">
        <f t="array" ref="BA69">SUM(IF(ISERR(FIND(BA$4,$D69:$AI69)),0,1))</f>
        <v>0</v>
      </c>
      <c r="BB69" s="57">
        <f t="array" ref="BB69">SUM(IF(ISERR(FIND(BB$4,$D69:$AI69)),0,1))</f>
        <v>0</v>
      </c>
      <c r="BC69" s="57">
        <f t="array" ref="BC69">SUM(IF(ISERR(FIND(BC$4,$D69:$AI69)),0,1))</f>
        <v>0</v>
      </c>
      <c r="BD69" s="57">
        <f t="shared" si="111"/>
        <v>0</v>
      </c>
      <c r="BE69" s="57">
        <f t="shared" si="112"/>
        <v>0</v>
      </c>
      <c r="BF69" s="57">
        <f t="shared" si="113"/>
        <v>0</v>
      </c>
      <c r="BG69" s="57">
        <f t="shared" si="114"/>
        <v>0</v>
      </c>
      <c r="BH69" s="57">
        <f t="shared" si="115"/>
        <v>0</v>
      </c>
      <c r="BI69" s="57">
        <f t="shared" si="116"/>
        <v>0</v>
      </c>
      <c r="BJ69" s="57">
        <f t="shared" si="117"/>
        <v>0</v>
      </c>
      <c r="BK69" s="57">
        <f t="shared" si="118"/>
        <v>0</v>
      </c>
      <c r="BL69" s="54">
        <f t="shared" si="119"/>
        <v>6.8999999999999997E-4</v>
      </c>
      <c r="BM69" s="54">
        <f>RANK(BL69,$BL$5:$BL$70)</f>
        <v>30</v>
      </c>
      <c r="BN69" s="54">
        <v>52</v>
      </c>
      <c r="BO69" s="73" t="str">
        <f t="shared" si="120"/>
        <v/>
      </c>
      <c r="BP69" s="80" t="e">
        <f t="shared" si="121"/>
        <v>#DIV/0!</v>
      </c>
      <c r="BQ69" s="141">
        <f t="shared" si="122"/>
        <v>0</v>
      </c>
      <c r="BR69" s="54" t="str">
        <f t="shared" si="123"/>
        <v/>
      </c>
      <c r="BS69" s="54" t="str">
        <f t="shared" si="124"/>
        <v/>
      </c>
      <c r="BT69" s="57">
        <f t="shared" si="125"/>
        <v>0</v>
      </c>
      <c r="BU69" s="54" t="str">
        <f t="shared" si="126"/>
        <v/>
      </c>
      <c r="BV69" s="57">
        <f t="shared" si="127"/>
        <v>0</v>
      </c>
      <c r="BW69" s="54" t="str">
        <f t="shared" si="128"/>
        <v/>
      </c>
      <c r="BX69" s="57">
        <f t="shared" si="129"/>
        <v>0</v>
      </c>
      <c r="BY69" s="54" t="str">
        <f t="shared" si="130"/>
        <v/>
      </c>
      <c r="BZ69" s="54">
        <f t="shared" si="62"/>
        <v>0</v>
      </c>
      <c r="CA69" s="54" t="str">
        <f t="shared" si="63"/>
        <v>Wilson A</v>
      </c>
      <c r="CB69" s="54">
        <f t="shared" si="64"/>
        <v>0</v>
      </c>
      <c r="CC69" s="54" t="str">
        <f t="shared" si="65"/>
        <v>Wilson A</v>
      </c>
    </row>
    <row r="70" spans="2:81" x14ac:dyDescent="0.15">
      <c r="B70" t="s">
        <v>246</v>
      </c>
      <c r="C70" t="s">
        <v>251</v>
      </c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J70" s="54" t="str">
        <f t="shared" si="31"/>
        <v>Woodhouse M</v>
      </c>
      <c r="AK70" s="54">
        <f t="shared" si="101"/>
        <v>0</v>
      </c>
      <c r="AL70" s="54">
        <f t="shared" si="102"/>
        <v>0</v>
      </c>
      <c r="AM70" s="54">
        <f t="shared" si="103"/>
        <v>0</v>
      </c>
      <c r="AN70" s="54">
        <f t="shared" si="104"/>
        <v>0</v>
      </c>
      <c r="AO70" s="54">
        <f t="shared" si="105"/>
        <v>0</v>
      </c>
      <c r="AP70" s="58">
        <f t="shared" si="106"/>
        <v>0</v>
      </c>
      <c r="AQ70" s="54">
        <f t="shared" si="107"/>
        <v>0</v>
      </c>
      <c r="AR70" s="56">
        <f t="shared" si="108"/>
        <v>0</v>
      </c>
      <c r="AS70" s="54">
        <f t="shared" si="109"/>
        <v>0</v>
      </c>
      <c r="AT70" s="57">
        <f t="array" ref="AT70">SUM(IF(ISERR(FIND("*",D70:AI70)),0,1))</f>
        <v>0</v>
      </c>
      <c r="AU70" s="57">
        <f t="array" ref="AU70">SUM(IF(ISERR(FIND("+",D70:AI70)),0,1))</f>
        <v>0</v>
      </c>
      <c r="AV70" s="54">
        <f t="shared" si="110"/>
        <v>0</v>
      </c>
      <c r="AW70" s="57">
        <f t="array" ref="AW70">SUM(IF(ISERR(FIND(AW$4,$D70:$AI70)),0,1))</f>
        <v>0</v>
      </c>
      <c r="AX70" s="57">
        <f t="array" ref="AX70">SUM(IF(ISERR(FIND(AX$4,$D70:$AI70)),0,1))</f>
        <v>0</v>
      </c>
      <c r="AY70" s="57">
        <f t="array" ref="AY70">SUM(IF(ISERR(FIND(AY$4,$D70:$AI70)),0,1))</f>
        <v>0</v>
      </c>
      <c r="AZ70" s="57">
        <f t="array" ref="AZ70">SUM(IF(ISERR(FIND(AZ$4,$D70:$AI70)),0,1))</f>
        <v>0</v>
      </c>
      <c r="BA70" s="57">
        <f t="array" ref="BA70">SUM(IF(ISERR(FIND(BA$4,$D70:$AI70)),0,1))</f>
        <v>0</v>
      </c>
      <c r="BB70" s="57">
        <f t="array" ref="BB70">SUM(IF(ISERR(FIND(BB$4,$D70:$AI70)),0,1))</f>
        <v>0</v>
      </c>
      <c r="BC70" s="57">
        <f t="array" ref="BC70">SUM(IF(ISERR(FIND(BC$4,$D70:$AI70)),0,1))</f>
        <v>0</v>
      </c>
      <c r="BD70" s="57">
        <f t="shared" si="111"/>
        <v>0</v>
      </c>
      <c r="BE70" s="57">
        <f t="shared" si="112"/>
        <v>0</v>
      </c>
      <c r="BF70" s="57">
        <f t="shared" si="113"/>
        <v>0</v>
      </c>
      <c r="BG70" s="57">
        <f t="shared" si="114"/>
        <v>0</v>
      </c>
      <c r="BH70" s="57">
        <f t="shared" si="115"/>
        <v>0</v>
      </c>
      <c r="BI70" s="57">
        <f t="shared" si="116"/>
        <v>0</v>
      </c>
      <c r="BJ70" s="57">
        <f t="shared" si="117"/>
        <v>0</v>
      </c>
      <c r="BK70" s="57">
        <f t="shared" si="118"/>
        <v>0</v>
      </c>
      <c r="BL70" s="54">
        <f t="shared" si="119"/>
        <v>6.9999999999999999E-4</v>
      </c>
      <c r="BM70" s="54">
        <f>RANK(BL70,$BL$5:$BL$70)</f>
        <v>29</v>
      </c>
      <c r="BN70" s="54">
        <v>53</v>
      </c>
      <c r="BO70" s="73" t="str">
        <f t="shared" si="120"/>
        <v/>
      </c>
      <c r="BP70" s="80" t="e">
        <f t="shared" si="121"/>
        <v>#DIV/0!</v>
      </c>
      <c r="BQ70" s="141">
        <f t="shared" si="122"/>
        <v>0</v>
      </c>
      <c r="BR70" s="54" t="str">
        <f t="shared" si="123"/>
        <v/>
      </c>
      <c r="BS70" s="54" t="str">
        <f t="shared" si="124"/>
        <v/>
      </c>
      <c r="BT70" s="57">
        <f t="shared" si="125"/>
        <v>0</v>
      </c>
      <c r="BU70" s="54" t="str">
        <f t="shared" si="126"/>
        <v/>
      </c>
      <c r="BV70" s="57">
        <f t="shared" si="127"/>
        <v>0</v>
      </c>
      <c r="BW70" s="54" t="str">
        <f t="shared" si="128"/>
        <v/>
      </c>
      <c r="BX70" s="57">
        <f t="shared" si="129"/>
        <v>0</v>
      </c>
      <c r="BY70" s="54" t="str">
        <f t="shared" si="130"/>
        <v/>
      </c>
      <c r="BZ70" s="54">
        <f t="shared" si="62"/>
        <v>0</v>
      </c>
      <c r="CA70" s="54" t="str">
        <f t="shared" si="63"/>
        <v>Woodhouse M</v>
      </c>
      <c r="CB70" s="54">
        <f t="shared" si="64"/>
        <v>0</v>
      </c>
      <c r="CC70" s="54" t="str">
        <f t="shared" si="65"/>
        <v>Woodhouse M</v>
      </c>
    </row>
    <row r="71" spans="2:81" x14ac:dyDescent="0.15">
      <c r="AP71" s="58"/>
      <c r="AR71" s="56"/>
      <c r="AT71" s="57"/>
      <c r="AU71" s="57"/>
      <c r="AW71" s="57"/>
      <c r="AX71" s="57"/>
      <c r="AY71" s="57"/>
      <c r="AZ71" s="57"/>
      <c r="BA71" s="57"/>
      <c r="BB71" s="57"/>
      <c r="BC71" s="57"/>
      <c r="BD71" s="57"/>
      <c r="BE71" s="57"/>
    </row>
    <row r="72" spans="2:81" x14ac:dyDescent="0.15">
      <c r="AT72" s="74">
        <f>SUM(AT5:AT71)</f>
        <v>9</v>
      </c>
      <c r="AU72" s="74">
        <f>SUM(AU5:AU71)</f>
        <v>10</v>
      </c>
      <c r="AV72" s="47">
        <f>SUM(AV5:AV71)</f>
        <v>12</v>
      </c>
      <c r="AW72" s="59">
        <f>SUM(AW5:AW71)</f>
        <v>19</v>
      </c>
      <c r="AX72" s="59">
        <f>SUM(AX5:AX71)</f>
        <v>25</v>
      </c>
      <c r="AY72" s="59">
        <f>SUM(AY5:AY71)</f>
        <v>3</v>
      </c>
      <c r="AZ72" s="59">
        <f>SUM(AZ5:AZ71)</f>
        <v>1</v>
      </c>
      <c r="BA72" s="59">
        <f>SUM(BA5:BA71)</f>
        <v>2</v>
      </c>
      <c r="BB72" s="59">
        <f>SUM(BB5:BB71)</f>
        <v>0</v>
      </c>
      <c r="BC72" s="59"/>
      <c r="BD72" s="59"/>
      <c r="BE72" s="59"/>
      <c r="BF72" s="47">
        <f>SUM(BF5:BF71)</f>
        <v>28</v>
      </c>
      <c r="BG72" s="47">
        <f>SUM(BG5:BG71)</f>
        <v>131</v>
      </c>
      <c r="BH72" s="47">
        <f>SUM(BH5:BH71)</f>
        <v>10</v>
      </c>
      <c r="BI72" s="47">
        <f>SUM(BI5:BI71)</f>
        <v>3</v>
      </c>
      <c r="BJ72" s="47">
        <f>SUM(BJ5:BJ71)</f>
        <v>4</v>
      </c>
      <c r="BK72" s="47">
        <f>SUM(BK5:BK71)</f>
        <v>13</v>
      </c>
    </row>
    <row r="73" spans="2:81" x14ac:dyDescent="0.15">
      <c r="C73" s="54" t="s">
        <v>119</v>
      </c>
      <c r="D73" s="54">
        <f t="array" ref="D73">SUM(IF(NOT(ISERR(FIND("*",D5:D70))),1,0))</f>
        <v>1</v>
      </c>
      <c r="E73" s="54">
        <f t="array" ref="E73">SUM(IF(NOT(ISERR(FIND("*",E5:E70))),1,0))</f>
        <v>1</v>
      </c>
      <c r="F73" s="54">
        <f t="array" ref="F73">SUM(IF(NOT(ISERR(FIND("*",F5:F70))),1,0))</f>
        <v>1</v>
      </c>
      <c r="G73" s="54">
        <f t="array" ref="G73">SUM(IF(NOT(ISERR(FIND("*",G5:G70))),1,0))</f>
        <v>1</v>
      </c>
      <c r="H73" s="54">
        <f t="array" ref="H73">SUM(IF(NOT(ISERR(FIND("*",H5:H70))),1,0))</f>
        <v>1</v>
      </c>
      <c r="I73" s="54">
        <f t="array" ref="I73">SUM(IF(NOT(ISERR(FIND("*",I5:I70))),1,0))</f>
        <v>1</v>
      </c>
      <c r="J73" s="54">
        <f t="array" ref="J73">SUM(IF(NOT(ISERR(FIND("*",J5:J70))),1,0))</f>
        <v>1</v>
      </c>
      <c r="K73" s="54">
        <f t="array" ref="K73">SUM(IF(NOT(ISERR(FIND("*",K5:K70))),1,0))</f>
        <v>1</v>
      </c>
      <c r="L73" s="54">
        <f t="array" ref="L73">SUM(IF(NOT(ISERR(FIND("*",L5:L70))),1,0))</f>
        <v>1</v>
      </c>
      <c r="M73" s="54">
        <f t="array" ref="M73">SUM(IF(NOT(ISERR(FIND("*",M5:M70))),1,0))</f>
        <v>0</v>
      </c>
      <c r="N73" s="54">
        <f t="array" ref="N73">SUM(IF(NOT(ISERR(FIND("*",N5:N70))),1,0))</f>
        <v>0</v>
      </c>
      <c r="O73" s="54">
        <f t="array" ref="O73">SUM(IF(NOT(ISERR(FIND("*",O5:O70))),1,0))</f>
        <v>0</v>
      </c>
      <c r="P73" s="54">
        <f t="array" ref="P73">SUM(IF(NOT(ISERR(FIND("*",P5:P70))),1,0))</f>
        <v>0</v>
      </c>
      <c r="Q73" s="54">
        <f t="array" ref="Q73">SUM(IF(NOT(ISERR(FIND("*",Q5:Q70))),1,0))</f>
        <v>0</v>
      </c>
      <c r="R73" s="54">
        <f t="array" ref="R73">SUM(IF(NOT(ISERR(FIND("*",R5:R70))),1,0))</f>
        <v>0</v>
      </c>
      <c r="S73" s="54">
        <f t="array" ref="S73">SUM(IF(NOT(ISERR(FIND("*",S5:S70))),1,0))</f>
        <v>0</v>
      </c>
      <c r="T73" s="54">
        <f t="array" ref="T73">SUM(IF(NOT(ISERR(FIND("*",T5:T70))),1,0))</f>
        <v>0</v>
      </c>
      <c r="U73" s="54">
        <f t="array" ref="U73">SUM(IF(NOT(ISERR(FIND("*",U5:U70))),1,0))</f>
        <v>0</v>
      </c>
      <c r="V73" s="54">
        <f t="array" ref="V73">SUM(IF(NOT(ISERR(FIND("*",V5:V70))),1,0))</f>
        <v>0</v>
      </c>
      <c r="W73" s="54">
        <f t="array" ref="W73">SUM(IF(NOT(ISERR(FIND("*",W5:W70))),1,0))</f>
        <v>0</v>
      </c>
      <c r="X73" s="54">
        <f t="array" ref="X73">SUM(IF(NOT(ISERR(FIND("*",X5:X70))),1,0))</f>
        <v>0</v>
      </c>
      <c r="Y73" s="54">
        <f t="array" ref="Y73">SUM(IF(NOT(ISERR(FIND("*",Y5:Y70))),1,0))</f>
        <v>0</v>
      </c>
      <c r="Z73" s="54">
        <f t="array" ref="Z73">SUM(IF(NOT(ISERR(FIND("*",Z5:Z70))),1,0))</f>
        <v>0</v>
      </c>
      <c r="AA73" s="54">
        <f t="array" ref="AA73">SUM(IF(NOT(ISERR(FIND("*",AA5:AA70))),1,0))</f>
        <v>0</v>
      </c>
      <c r="AB73" s="54">
        <f t="array" ref="AB73">SUM(IF(NOT(ISERR(FIND("*",AB5:AB70))),1,0))</f>
        <v>0</v>
      </c>
      <c r="AC73" s="54">
        <f t="array" ref="AC73">SUM(IF(NOT(ISERR(FIND("*",AC5:AC70))),1,0))</f>
        <v>0</v>
      </c>
      <c r="AD73" s="54">
        <f t="array" ref="AD73">SUM(IF(NOT(ISERR(FIND("*",AD5:AD70))),1,0))</f>
        <v>0</v>
      </c>
      <c r="AE73" s="54">
        <f t="array" ref="AE73">SUM(IF(NOT(ISERR(FIND("*",AE5:AE70))),1,0))</f>
        <v>0</v>
      </c>
      <c r="AF73" s="54">
        <f t="array" ref="AF73">SUM(IF(NOT(ISERR(FIND("*",AF5:AF70))),1,0))</f>
        <v>0</v>
      </c>
      <c r="AK73" s="54">
        <f>SUM(D73:AG73)</f>
        <v>9</v>
      </c>
      <c r="AT73" s="75">
        <f>SUM(D73:AG73)</f>
        <v>9</v>
      </c>
      <c r="AU73" s="47"/>
      <c r="AV73" s="47"/>
      <c r="AW73" s="59">
        <f>SUM(AW72:BB72)</f>
        <v>50</v>
      </c>
      <c r="AX73" s="47"/>
      <c r="AY73" s="47"/>
      <c r="AZ73" s="47"/>
      <c r="BA73" s="47"/>
      <c r="BB73" s="47"/>
    </row>
    <row r="74" spans="2:81" x14ac:dyDescent="0.15">
      <c r="C74" s="54" t="s">
        <v>13</v>
      </c>
      <c r="D74" s="54">
        <f t="array" ref="D74">SUM(IF(NOT(ISERR(FIND("+",D5:D70))),1,0))</f>
        <v>2</v>
      </c>
      <c r="E74" s="54">
        <f t="array" ref="E74">SUM(IF(NOT(ISERR(FIND("+",E5:E70))),1,0))</f>
        <v>1</v>
      </c>
      <c r="F74" s="54">
        <f t="array" ref="F74">SUM(IF(NOT(ISERR(FIND("+",F5:F70))),1,0))</f>
        <v>1</v>
      </c>
      <c r="G74" s="54">
        <f t="array" ref="G74">SUM(IF(NOT(ISERR(FIND("+",G5:G70))),1,0))</f>
        <v>1</v>
      </c>
      <c r="H74" s="54">
        <f t="array" ref="H74">SUM(IF(NOT(ISERR(FIND("+",H5:H70))),1,0))</f>
        <v>1</v>
      </c>
      <c r="I74" s="54">
        <f t="array" ref="I74">SUM(IF(NOT(ISERR(FIND("+",I5:I70))),1,0))</f>
        <v>1</v>
      </c>
      <c r="J74" s="54">
        <f t="array" ref="J74">SUM(IF(NOT(ISERR(FIND("+",J5:J70))),1,0))</f>
        <v>1</v>
      </c>
      <c r="K74" s="54">
        <f t="array" ref="K74">SUM(IF(NOT(ISERR(FIND("+",K5:K70))),1,0))</f>
        <v>1</v>
      </c>
      <c r="L74" s="54">
        <f t="array" ref="L74">SUM(IF(NOT(ISERR(FIND("+",L5:L70))),1,0))</f>
        <v>1</v>
      </c>
      <c r="M74" s="54">
        <f t="array" ref="M74">SUM(IF(NOT(ISERR(FIND("+",M5:M70))),1,0))</f>
        <v>0</v>
      </c>
      <c r="N74" s="54">
        <f t="array" ref="N74">SUM(IF(NOT(ISERR(FIND("+",N5:N70))),1,0))</f>
        <v>0</v>
      </c>
      <c r="O74" s="54">
        <f t="array" ref="O74">SUM(IF(NOT(ISERR(FIND("+",O5:O70))),1,0))</f>
        <v>0</v>
      </c>
      <c r="P74" s="54">
        <f t="array" ref="P74">SUM(IF(NOT(ISERR(FIND("+",P5:P70))),1,0))</f>
        <v>0</v>
      </c>
      <c r="Q74" s="54">
        <f t="array" ref="Q74">SUM(IF(NOT(ISERR(FIND("+",Q5:Q70))),1,0))</f>
        <v>0</v>
      </c>
      <c r="R74" s="54">
        <f t="array" ref="R74">SUM(IF(NOT(ISERR(FIND("+",R5:R70))),1,0))</f>
        <v>0</v>
      </c>
      <c r="S74" s="54">
        <f t="array" ref="S74">SUM(IF(NOT(ISERR(FIND("+",S5:S70))),1,0))</f>
        <v>0</v>
      </c>
      <c r="T74" s="54">
        <f t="array" ref="T74">SUM(IF(NOT(ISERR(FIND("+",T5:T70))),1,0))</f>
        <v>0</v>
      </c>
      <c r="U74" s="54">
        <f t="array" ref="U74">SUM(IF(NOT(ISERR(FIND("+",U5:U70))),1,0))</f>
        <v>0</v>
      </c>
      <c r="V74" s="54">
        <f t="array" ref="V74">SUM(IF(NOT(ISERR(FIND("+",V5:V70))),1,0))</f>
        <v>0</v>
      </c>
      <c r="W74" s="54">
        <f t="array" ref="W74">SUM(IF(NOT(ISERR(FIND("+",W5:W70))),1,0))</f>
        <v>0</v>
      </c>
      <c r="X74" s="54">
        <f t="array" ref="X74">SUM(IF(NOT(ISERR(FIND("+",X5:X70))),1,0))</f>
        <v>0</v>
      </c>
      <c r="Y74" s="54">
        <f t="array" ref="Y74">SUM(IF(NOT(ISERR(FIND("+",Y5:Y70))),1,0))</f>
        <v>0</v>
      </c>
      <c r="Z74" s="54">
        <f t="array" ref="Z74">SUM(IF(NOT(ISERR(FIND("+",Z5:Z70))),1,0))</f>
        <v>0</v>
      </c>
      <c r="AA74" s="54">
        <f t="array" ref="AA74">SUM(IF(NOT(ISERR(FIND("+",AA5:AA70))),1,0))</f>
        <v>0</v>
      </c>
      <c r="AB74" s="54">
        <f t="array" ref="AB74">SUM(IF(NOT(ISERR(FIND("+",AB5:AB70))),1,0))</f>
        <v>0</v>
      </c>
      <c r="AC74" s="54">
        <f t="array" ref="AC74">SUM(IF(NOT(ISERR(FIND("+",AC5:AC70))),1,0))</f>
        <v>0</v>
      </c>
      <c r="AD74" s="54">
        <f t="array" ref="AD74">SUM(IF(NOT(ISERR(FIND("+",AD5:AD70))),1,0))</f>
        <v>0</v>
      </c>
      <c r="AE74" s="54">
        <f t="array" ref="AE74">SUM(IF(NOT(ISERR(FIND("+",AE5:AE70))),1,0))</f>
        <v>0</v>
      </c>
      <c r="AF74" s="54">
        <f t="array" ref="AF74">SUM(IF(NOT(ISERR(FIND("+",AF5:AF70))),1,0))</f>
        <v>0</v>
      </c>
      <c r="AK74" s="54">
        <f>SUM(D74:AG74)</f>
        <v>10</v>
      </c>
      <c r="AT74" s="75">
        <f>SUM(D74:AG74)</f>
        <v>10</v>
      </c>
      <c r="AU74" s="47"/>
      <c r="AV74" s="47"/>
      <c r="AW74" s="87">
        <f t="shared" ref="AW74:BB74" si="341">AW72/$AW$73</f>
        <v>0.38</v>
      </c>
      <c r="AX74" s="87">
        <f t="shared" si="341"/>
        <v>0.5</v>
      </c>
      <c r="AY74" s="87">
        <f t="shared" si="341"/>
        <v>0.06</v>
      </c>
      <c r="AZ74" s="87">
        <f t="shared" si="341"/>
        <v>0.02</v>
      </c>
      <c r="BA74" s="87">
        <f t="shared" si="341"/>
        <v>0.04</v>
      </c>
      <c r="BB74" s="87">
        <f t="shared" si="341"/>
        <v>0</v>
      </c>
    </row>
    <row r="76" spans="2:81" x14ac:dyDescent="0.15">
      <c r="C76" s="54" t="s">
        <v>110</v>
      </c>
      <c r="D76" s="54">
        <f>BatSplit(D5:D70,RunsScored)</f>
        <v>77</v>
      </c>
      <c r="E76" s="54">
        <f>BatSplit(E5:E70,RunsScored)</f>
        <v>94</v>
      </c>
      <c r="F76" s="54">
        <f>BatSplit(F5:F70,RunsScored)</f>
        <v>108</v>
      </c>
      <c r="G76" s="54">
        <f>BatSplit(G5:G70,RunsScored)</f>
        <v>164</v>
      </c>
      <c r="H76" s="54">
        <f>BatSplit(H5:H70,RunsScored)</f>
        <v>140</v>
      </c>
      <c r="I76" s="54">
        <f>BatSplit(I5:I70,RunsScored)</f>
        <v>224</v>
      </c>
      <c r="J76" s="54">
        <f>BatSplit(J5:J70,RunsScored)</f>
        <v>186</v>
      </c>
      <c r="K76" s="54">
        <f>BatSplit(K5:K70,RunsScored)</f>
        <v>75</v>
      </c>
      <c r="L76" s="54">
        <f>BatSplit(L5:L70,RunsScored)</f>
        <v>0</v>
      </c>
      <c r="M76" s="54">
        <f>BatSplit(M5:M70,RunsScored)</f>
        <v>0</v>
      </c>
      <c r="N76" s="54">
        <f>BatSplit(N5:N70,RunsScored)</f>
        <v>0</v>
      </c>
      <c r="O76" s="54">
        <f>BatSplit(O5:O70,RunsScored)</f>
        <v>0</v>
      </c>
      <c r="P76" s="54">
        <f>BatSplit(P5:P70,RunsScored)</f>
        <v>0</v>
      </c>
      <c r="Q76" s="54">
        <f>BatSplit(Q5:Q70,RunsScored)</f>
        <v>0</v>
      </c>
      <c r="R76" s="54">
        <f>BatSplit(R5:R70,RunsScored)</f>
        <v>0</v>
      </c>
      <c r="S76" s="54">
        <f>BatSplit(S5:S70,RunsScored)</f>
        <v>0</v>
      </c>
      <c r="T76" s="54">
        <f>BatSplit(T5:T70,RunsScored)</f>
        <v>0</v>
      </c>
      <c r="U76" s="54">
        <f>BatSplit(U5:U70,RunsScored)</f>
        <v>0</v>
      </c>
      <c r="V76" s="54">
        <f>BatSplit(V5:V70,RunsScored)</f>
        <v>0</v>
      </c>
      <c r="W76" s="54">
        <f>BatSplit(W5:W70,RunsScored)</f>
        <v>0</v>
      </c>
      <c r="X76" s="54">
        <f>BatSplit(X5:X70,RunsScored)</f>
        <v>0</v>
      </c>
      <c r="Y76" s="54">
        <f>BatSplit(Y5:Y70,RunsScored)</f>
        <v>0</v>
      </c>
      <c r="Z76" s="54">
        <f>BatSplit(Z5:Z70,RunsScored)</f>
        <v>0</v>
      </c>
      <c r="AA76" s="54">
        <f>BatSplit(AA5:AA70,RunsScored)</f>
        <v>0</v>
      </c>
      <c r="AB76" s="54">
        <f>BatSplit(AB5:AB70,RunsScored)</f>
        <v>0</v>
      </c>
      <c r="AC76" s="54">
        <f>BatSplit(AC5:AC70,RunsScored)</f>
        <v>0</v>
      </c>
      <c r="AD76" s="54">
        <f>BatSplit(AD5:AD70,RunsScored)</f>
        <v>0</v>
      </c>
      <c r="AE76" s="54">
        <f>BatSplit(AE5:AE70,RunsScored)</f>
        <v>0</v>
      </c>
      <c r="AF76" s="54">
        <f>BatSplit(AF5:AF70,RunsScored)</f>
        <v>0</v>
      </c>
      <c r="AK76" s="54">
        <f>SUM(D76:AG76)</f>
        <v>1068</v>
      </c>
      <c r="AM76" s="54">
        <f>SUM(AM5:AM71)</f>
        <v>67</v>
      </c>
      <c r="AN76" s="54">
        <f>SUM(AN5:AN71)</f>
        <v>12</v>
      </c>
      <c r="AO76" s="54">
        <f>SUM(AO5:AO70)</f>
        <v>208</v>
      </c>
      <c r="AQ76" s="54">
        <f>SUM(AQ5:AQ71)</f>
        <v>1068</v>
      </c>
      <c r="AT76" s="54">
        <f>SUM(D76:AG76)</f>
        <v>1068</v>
      </c>
    </row>
    <row r="77" spans="2:81" x14ac:dyDescent="0.15">
      <c r="C77" s="54" t="s">
        <v>109</v>
      </c>
      <c r="D77" s="54">
        <f t="array" ref="D77:AF77">TRANSPOSE(Matches!Z5:Z32)</f>
        <v>11</v>
      </c>
      <c r="E77" s="54">
        <v>20</v>
      </c>
      <c r="F77" s="54">
        <v>12</v>
      </c>
      <c r="G77" s="54">
        <v>31</v>
      </c>
      <c r="H77" s="54">
        <v>23</v>
      </c>
      <c r="I77" s="54">
        <v>11</v>
      </c>
      <c r="J77" s="54">
        <v>23</v>
      </c>
      <c r="K77" s="54">
        <v>20</v>
      </c>
      <c r="L77" s="54">
        <v>0</v>
      </c>
      <c r="M77" s="54">
        <v>9</v>
      </c>
      <c r="N77" s="54">
        <v>0</v>
      </c>
      <c r="O77" s="54">
        <v>21</v>
      </c>
      <c r="P77" s="54">
        <v>12</v>
      </c>
      <c r="Q77" s="54">
        <v>12</v>
      </c>
      <c r="R77" s="54">
        <v>21</v>
      </c>
      <c r="S77" s="54">
        <v>15</v>
      </c>
      <c r="T77" s="54">
        <v>17</v>
      </c>
      <c r="U77" s="54">
        <v>0</v>
      </c>
      <c r="V77" s="54">
        <v>0</v>
      </c>
      <c r="W77" s="54">
        <v>0</v>
      </c>
      <c r="X77" s="54">
        <v>0</v>
      </c>
      <c r="Y77" s="54">
        <v>0</v>
      </c>
      <c r="Z77" s="54">
        <v>0</v>
      </c>
      <c r="AA77" s="54">
        <v>0</v>
      </c>
      <c r="AB77" s="54">
        <v>0</v>
      </c>
      <c r="AC77" s="54">
        <v>0</v>
      </c>
      <c r="AD77" s="54">
        <v>0</v>
      </c>
      <c r="AE77" s="54">
        <v>0</v>
      </c>
      <c r="AF77" s="54" t="e">
        <v>#N/A</v>
      </c>
      <c r="AK77" s="54">
        <f>SUM(D77:AE77)</f>
        <v>258</v>
      </c>
      <c r="AT77" s="54">
        <f>SUM(D77:AE77)</f>
        <v>258</v>
      </c>
    </row>
    <row r="78" spans="2:81" s="47" customFormat="1" x14ac:dyDescent="0.15">
      <c r="C78" s="47" t="s">
        <v>111</v>
      </c>
      <c r="D78" s="47">
        <f>D77+D76</f>
        <v>88</v>
      </c>
      <c r="E78" s="47">
        <f t="shared" ref="E78:AF78" si="342">E77+E76</f>
        <v>114</v>
      </c>
      <c r="F78" s="47">
        <f t="shared" si="342"/>
        <v>120</v>
      </c>
      <c r="G78" s="47">
        <f t="shared" si="342"/>
        <v>195</v>
      </c>
      <c r="H78" s="47">
        <f t="shared" si="342"/>
        <v>163</v>
      </c>
      <c r="I78" s="47">
        <f t="shared" si="342"/>
        <v>235</v>
      </c>
      <c r="J78" s="47">
        <f t="shared" si="342"/>
        <v>209</v>
      </c>
      <c r="K78" s="47">
        <f t="shared" si="342"/>
        <v>95</v>
      </c>
      <c r="L78" s="47">
        <f t="shared" si="342"/>
        <v>0</v>
      </c>
      <c r="M78" s="47">
        <f t="shared" si="342"/>
        <v>9</v>
      </c>
      <c r="N78" s="47">
        <f t="shared" si="342"/>
        <v>0</v>
      </c>
      <c r="O78" s="47">
        <f t="shared" si="342"/>
        <v>21</v>
      </c>
      <c r="P78" s="47">
        <f t="shared" si="342"/>
        <v>12</v>
      </c>
      <c r="Q78" s="47">
        <f t="shared" si="342"/>
        <v>12</v>
      </c>
      <c r="R78" s="47">
        <f t="shared" si="342"/>
        <v>21</v>
      </c>
      <c r="S78" s="47">
        <f t="shared" si="342"/>
        <v>15</v>
      </c>
      <c r="T78" s="47">
        <f t="shared" si="342"/>
        <v>17</v>
      </c>
      <c r="U78" s="47">
        <f t="shared" si="342"/>
        <v>0</v>
      </c>
      <c r="V78" s="47">
        <f t="shared" si="342"/>
        <v>0</v>
      </c>
      <c r="W78" s="47">
        <f t="shared" si="342"/>
        <v>0</v>
      </c>
      <c r="X78" s="47">
        <f t="shared" si="342"/>
        <v>0</v>
      </c>
      <c r="Y78" s="47">
        <f t="shared" si="342"/>
        <v>0</v>
      </c>
      <c r="Z78" s="47">
        <f t="shared" si="342"/>
        <v>0</v>
      </c>
      <c r="AA78" s="47">
        <f t="shared" si="342"/>
        <v>0</v>
      </c>
      <c r="AB78" s="47">
        <f t="shared" si="342"/>
        <v>0</v>
      </c>
      <c r="AC78" s="47">
        <f t="shared" si="342"/>
        <v>0</v>
      </c>
      <c r="AD78" s="47">
        <f t="shared" si="342"/>
        <v>0</v>
      </c>
      <c r="AE78" s="47">
        <f t="shared" si="342"/>
        <v>0</v>
      </c>
      <c r="AF78" s="47" t="e">
        <f t="shared" si="342"/>
        <v>#N/A</v>
      </c>
      <c r="AK78" s="54">
        <f>SUM(D78:AE78)</f>
        <v>1326</v>
      </c>
      <c r="AM78" s="54" t="s">
        <v>32</v>
      </c>
      <c r="AN78" s="54">
        <f>AM76-AN76</f>
        <v>55</v>
      </c>
      <c r="AO78" s="54"/>
      <c r="AP78" s="54"/>
      <c r="AQ78" s="54"/>
      <c r="AT78" s="47">
        <f>SUM(D78:AE78)</f>
        <v>1326</v>
      </c>
    </row>
    <row r="79" spans="2:81" x14ac:dyDescent="0.15">
      <c r="D79" s="42"/>
      <c r="AM79" s="54" t="s">
        <v>33</v>
      </c>
      <c r="AN79" s="54">
        <f>AK78/AN78</f>
        <v>24.109090909090909</v>
      </c>
    </row>
    <row r="80" spans="2:81" x14ac:dyDescent="0.15">
      <c r="C80" s="54" t="s">
        <v>195</v>
      </c>
      <c r="D80" s="42" t="str">
        <f>INDEX($C$5:$C$70,findcellcontaining("*",D5:D70))</f>
        <v>Seymour C</v>
      </c>
      <c r="E80" s="42" t="str">
        <f>INDEX($C$5:$C$70,findcellcontaining("*",E5:E70))</f>
        <v>Springer T</v>
      </c>
      <c r="F80" s="42" t="str">
        <f>INDEX($C$5:$C$70,findcellcontaining("*",F5:F70))</f>
        <v>Springer T</v>
      </c>
      <c r="G80" s="42" t="str">
        <f>INDEX($C$5:$C$70,findcellcontaining("*",G5:G70))</f>
        <v>Nair S</v>
      </c>
      <c r="H80" s="42" t="str">
        <f>INDEX($C$5:$C$70,findcellcontaining("*",H5:H70))</f>
        <v>Springer T</v>
      </c>
      <c r="I80" s="42" t="str">
        <f>INDEX($C$5:$C$70,findcellcontaining("*",I5:I70))</f>
        <v>Seymour C</v>
      </c>
      <c r="J80" s="42" t="str">
        <f>INDEX($C$5:$C$70,findcellcontaining("*",J5:J70))</f>
        <v>Springer T</v>
      </c>
      <c r="K80" s="42" t="str">
        <f>INDEX($C$5:$C$70,findcellcontaining("*",K5:K70))</f>
        <v>Springer T</v>
      </c>
      <c r="L80" s="42" t="str">
        <f>INDEX($C$5:$C$70,findcellcontaining("*",L5:L70))</f>
        <v>Springer T</v>
      </c>
      <c r="M80" s="42" t="e">
        <f>INDEX($C$5:$C$70,findcellcontaining("*",M5:M70))</f>
        <v>#N/A</v>
      </c>
      <c r="N80" s="42" t="e">
        <f>INDEX($C$5:$C$70,findcellcontaining("*",N5:N70))</f>
        <v>#N/A</v>
      </c>
      <c r="O80" s="42" t="e">
        <f>INDEX($C$5:$C$70,findcellcontaining("*",O5:O70))</f>
        <v>#N/A</v>
      </c>
      <c r="P80" s="42" t="e">
        <f>INDEX($C$5:$C$70,findcellcontaining("*",P5:P70))</f>
        <v>#N/A</v>
      </c>
      <c r="Q80" s="42" t="e">
        <f>INDEX($C$5:$C$70,findcellcontaining("*",Q5:Q70))</f>
        <v>#N/A</v>
      </c>
      <c r="R80" s="42" t="e">
        <f>INDEX($C$5:$C$70,findcellcontaining("*",R5:R70))</f>
        <v>#N/A</v>
      </c>
      <c r="S80" s="42" t="e">
        <f>INDEX($C$5:$C$70,findcellcontaining("*",S5:S70))</f>
        <v>#N/A</v>
      </c>
      <c r="T80" s="42" t="e">
        <f>INDEX($C$5:$C$70,findcellcontaining("*",T5:T70))</f>
        <v>#N/A</v>
      </c>
      <c r="U80" s="42" t="e">
        <f>INDEX($C$5:$C$70,findcellcontaining("*",U5:U70))</f>
        <v>#N/A</v>
      </c>
      <c r="V80" s="42" t="e">
        <f>INDEX($C$5:$C$70,findcellcontaining("*",V5:V70))</f>
        <v>#N/A</v>
      </c>
      <c r="W80" s="42" t="e">
        <f>INDEX($C$5:$C$70,findcellcontaining("*",W5:W70))</f>
        <v>#N/A</v>
      </c>
      <c r="X80" s="42" t="e">
        <f>INDEX($C$5:$C$70,findcellcontaining("*",X5:X70))</f>
        <v>#N/A</v>
      </c>
      <c r="Y80" s="42" t="e">
        <f>INDEX($C$5:$C$70,findcellcontaining("*",Y5:Y70))</f>
        <v>#N/A</v>
      </c>
      <c r="Z80" s="42" t="e">
        <f>INDEX($C$5:$C$70,findcellcontaining("*",Z5:Z70))</f>
        <v>#N/A</v>
      </c>
      <c r="AA80" s="42" t="e">
        <f>INDEX($C$5:$C$70,findcellcontaining("*",AA5:AA70))</f>
        <v>#N/A</v>
      </c>
      <c r="AB80" s="42" t="e">
        <f>INDEX($C$5:$C$70,findcellcontaining("*",AB5:AB70))</f>
        <v>#N/A</v>
      </c>
      <c r="AC80" s="42" t="e">
        <f>INDEX($C$5:$C$70,findcellcontaining("*",AC5:AC70))</f>
        <v>#N/A</v>
      </c>
      <c r="AD80" s="42" t="e">
        <f>INDEX($C$5:$C$70,findcellcontaining("*",AD5:AD70))</f>
        <v>#N/A</v>
      </c>
      <c r="AE80" s="42" t="e">
        <f>INDEX($C$5:$C$70,findcellcontaining("*",AE5:AE70))</f>
        <v>#N/A</v>
      </c>
      <c r="AF80" s="42"/>
      <c r="AG80" s="42"/>
      <c r="AH80" s="42"/>
      <c r="AI80" s="42"/>
      <c r="AJ80" s="42"/>
    </row>
    <row r="81" spans="2:46" x14ac:dyDescent="0.15">
      <c r="C81" s="96"/>
      <c r="AT81" s="95"/>
    </row>
    <row r="82" spans="2:46" x14ac:dyDescent="0.15">
      <c r="B82" s="54">
        <f>MAX(D82:AE82)</f>
        <v>6</v>
      </c>
      <c r="C82" s="54" t="s">
        <v>22</v>
      </c>
      <c r="D82" s="54">
        <f>BatSplit(D5:D70,Sixes)</f>
        <v>0</v>
      </c>
      <c r="E82" s="54">
        <f>BatSplit(E5:E70,Sixes)</f>
        <v>0</v>
      </c>
      <c r="F82" s="54">
        <f>BatSplit(F5:F70,Sixes)</f>
        <v>0</v>
      </c>
      <c r="G82" s="54">
        <f>BatSplit(G5:G70,Sixes)</f>
        <v>0</v>
      </c>
      <c r="H82" s="54">
        <f>BatSplit(H5:H70,Sixes)</f>
        <v>2</v>
      </c>
      <c r="I82" s="54">
        <f>BatSplit(I5:I70,Sixes)</f>
        <v>6</v>
      </c>
      <c r="J82" s="54">
        <f>BatSplit(J5:J70,Sixes)</f>
        <v>1</v>
      </c>
      <c r="K82" s="54">
        <f>BatSplit(K5:K70,Sixes)</f>
        <v>1</v>
      </c>
      <c r="L82" s="54">
        <f>BatSplit(L5:L70,Sixes)</f>
        <v>0</v>
      </c>
      <c r="M82" s="54">
        <f>BatSplit(M5:M70,Sixes)</f>
        <v>0</v>
      </c>
      <c r="N82" s="54">
        <f>BatSplit(N5:N70,Sixes)</f>
        <v>0</v>
      </c>
      <c r="O82" s="54">
        <f>BatSplit(O5:O70,Sixes)</f>
        <v>0</v>
      </c>
      <c r="P82" s="54">
        <f>BatSplit(P5:P70,Sixes)</f>
        <v>0</v>
      </c>
      <c r="Q82" s="54">
        <f>BatSplit(Q5:Q70,Sixes)</f>
        <v>0</v>
      </c>
      <c r="R82" s="54">
        <f>BatSplit(R5:R70,Sixes)</f>
        <v>0</v>
      </c>
      <c r="S82" s="54">
        <f>BatSplit(S5:S70,Sixes)</f>
        <v>0</v>
      </c>
      <c r="T82" s="54">
        <f>BatSplit(T5:T70,Sixes)</f>
        <v>0</v>
      </c>
      <c r="U82" s="54">
        <f>BatSplit(U5:U70,Sixes)</f>
        <v>0</v>
      </c>
      <c r="V82" s="54">
        <f>BatSplit(V5:V70,Sixes)</f>
        <v>0</v>
      </c>
      <c r="W82" s="54">
        <f>BatSplit(W5:W70,Sixes)</f>
        <v>0</v>
      </c>
      <c r="X82" s="54">
        <f>BatSplit(X5:X70,Sixes)</f>
        <v>0</v>
      </c>
      <c r="Y82" s="54">
        <f>BatSplit(Y5:Y70,Sixes)</f>
        <v>0</v>
      </c>
      <c r="Z82" s="54">
        <f>BatSplit(Z5:Z70,Sixes)</f>
        <v>0</v>
      </c>
      <c r="AA82" s="54">
        <f>BatSplit(AA5:AA70,Sixes)</f>
        <v>0</v>
      </c>
      <c r="AB82" s="54">
        <f>BatSplit(AB5:AB70,Sixes)</f>
        <v>0</v>
      </c>
      <c r="AC82" s="54">
        <f>BatSplit(AC5:AC70,Sixes)</f>
        <v>0</v>
      </c>
      <c r="AD82" s="54">
        <f>BatSplit(AD5:AD70,Sixes)</f>
        <v>0</v>
      </c>
      <c r="AE82" s="54">
        <f>BatSplit(AE5:AE70,Sixes)</f>
        <v>0</v>
      </c>
    </row>
    <row r="83" spans="2:46" x14ac:dyDescent="0.15">
      <c r="B83" s="54">
        <f>MAX(D83:AE83)</f>
        <v>27</v>
      </c>
      <c r="C83" s="54" t="s">
        <v>21</v>
      </c>
      <c r="D83" s="54">
        <f>BatSplit(D5:D70,Fours)</f>
        <v>2</v>
      </c>
      <c r="E83" s="54">
        <f>BatSplit(E5:E70,Fours)</f>
        <v>5</v>
      </c>
      <c r="F83" s="54">
        <f>BatSplit(F5:F70,Fours)</f>
        <v>17</v>
      </c>
      <c r="G83" s="54">
        <f>BatSplit(G5:G70,Fours)</f>
        <v>26</v>
      </c>
      <c r="H83" s="54">
        <f>BatSplit(H5:H70,Fours)</f>
        <v>19</v>
      </c>
      <c r="I83" s="54">
        <f>BatSplit(I5:I70,Fours)</f>
        <v>27</v>
      </c>
      <c r="J83" s="54">
        <f>BatSplit(J5:J70,Fours)</f>
        <v>25</v>
      </c>
      <c r="K83" s="54">
        <f>BatSplit(K5:K70,Fours)</f>
        <v>10</v>
      </c>
      <c r="L83" s="54">
        <f>BatSplit(L5:L70,Fours)</f>
        <v>0</v>
      </c>
      <c r="M83" s="54">
        <f>BatSplit(M5:M70,Fours)</f>
        <v>0</v>
      </c>
      <c r="N83" s="54">
        <f>BatSplit(N5:N70,Fours)</f>
        <v>0</v>
      </c>
      <c r="O83" s="54">
        <f>BatSplit(O5:O70,Fours)</f>
        <v>0</v>
      </c>
      <c r="P83" s="54">
        <f>BatSplit(P5:P70,Fours)</f>
        <v>0</v>
      </c>
      <c r="Q83" s="54">
        <f>BatSplit(Q5:Q70,Fours)</f>
        <v>0</v>
      </c>
      <c r="R83" s="54">
        <f>BatSplit(R5:R70,Fours)</f>
        <v>0</v>
      </c>
      <c r="S83" s="54">
        <f>BatSplit(S5:S70,Fours)</f>
        <v>0</v>
      </c>
      <c r="T83" s="54">
        <f>BatSplit(T5:T70,Fours)</f>
        <v>0</v>
      </c>
      <c r="U83" s="54">
        <f>BatSplit(U5:U70,Fours)</f>
        <v>0</v>
      </c>
      <c r="V83" s="54">
        <f>BatSplit(V5:V70,Fours)</f>
        <v>0</v>
      </c>
      <c r="W83" s="54">
        <f>BatSplit(W5:W70,Fours)</f>
        <v>0</v>
      </c>
      <c r="X83" s="54">
        <f>BatSplit(X5:X70,Fours)</f>
        <v>0</v>
      </c>
      <c r="Y83" s="54">
        <f>BatSplit(Y5:Y70,Fours)</f>
        <v>0</v>
      </c>
      <c r="Z83" s="54">
        <f>BatSplit(Z5:Z70,Fours)</f>
        <v>0</v>
      </c>
      <c r="AA83" s="54">
        <f>BatSplit(AA5:AA70,Fours)</f>
        <v>0</v>
      </c>
      <c r="AB83" s="54">
        <f>BatSplit(AB5:AB70,Fours)</f>
        <v>0</v>
      </c>
      <c r="AC83" s="54">
        <f>BatSplit(AC5:AC70,Fours)</f>
        <v>0</v>
      </c>
      <c r="AD83" s="54">
        <f>BatSplit(AD5:AD70,Fours)</f>
        <v>0</v>
      </c>
      <c r="AE83" s="54">
        <f>BatSplit(AE5:AE70,Fours)</f>
        <v>0</v>
      </c>
    </row>
    <row r="84" spans="2:46" x14ac:dyDescent="0.15">
      <c r="C84" t="s">
        <v>20</v>
      </c>
      <c r="D84" s="54">
        <f>BatSplit(D5:D70,Catches)</f>
        <v>2</v>
      </c>
      <c r="E84">
        <f>BatSplit(E5:E70,Catches)</f>
        <v>1</v>
      </c>
      <c r="F84" s="54">
        <f>BatSplit(F5:F70,Catches)</f>
        <v>5</v>
      </c>
      <c r="G84" s="54">
        <f>BatSplit(G5:G70,Catches)</f>
        <v>2</v>
      </c>
      <c r="H84">
        <f>BatSplit(H5:H70,Catches)</f>
        <v>3</v>
      </c>
      <c r="I84" s="54">
        <f>BatSplit(I5:I70,Catches)</f>
        <v>5</v>
      </c>
      <c r="J84" s="54">
        <f>BatSplit(J5:J70,Catches)</f>
        <v>2</v>
      </c>
      <c r="K84" s="54">
        <f>BatSplit(K5:K70,Catches)</f>
        <v>4</v>
      </c>
      <c r="L84" s="54">
        <f>BatSplit(L5:L70,Catches)</f>
        <v>4</v>
      </c>
      <c r="M84" s="54">
        <f>BatSplit(M5:M70,Catches)</f>
        <v>0</v>
      </c>
      <c r="N84" s="54">
        <f>BatSplit(N5:N70,Catches)</f>
        <v>0</v>
      </c>
      <c r="O84" s="54">
        <f>BatSplit(O5:O70,Catches)</f>
        <v>0</v>
      </c>
      <c r="P84" s="54">
        <f>BatSplit(P5:P70,Catches)</f>
        <v>0</v>
      </c>
      <c r="Q84" s="54">
        <f>BatSplit(Q5:Q70,Catches)</f>
        <v>0</v>
      </c>
      <c r="R84" s="54">
        <f>BatSplit(R5:R70,Catches)</f>
        <v>0</v>
      </c>
      <c r="S84" s="54">
        <f>BatSplit(S5:S70,Catches)</f>
        <v>0</v>
      </c>
      <c r="T84" s="54">
        <f>BatSplit(T5:T70,Catches)</f>
        <v>0</v>
      </c>
      <c r="U84" s="54">
        <f>BatSplit(U5:U70,Catches)</f>
        <v>0</v>
      </c>
      <c r="V84" s="54">
        <f>BatSplit(V5:V70,Catches)</f>
        <v>0</v>
      </c>
      <c r="W84" s="54">
        <f>BatSplit(W5:W70,Catches)</f>
        <v>0</v>
      </c>
      <c r="X84" s="54">
        <f>BatSplit(X5:X70,Catches)</f>
        <v>0</v>
      </c>
      <c r="Y84" s="54">
        <f>BatSplit(Y5:Y70,Catches)</f>
        <v>0</v>
      </c>
      <c r="Z84" s="54">
        <f>BatSplit(Z5:Z70,Catches)</f>
        <v>0</v>
      </c>
    </row>
    <row r="85" spans="2:46" x14ac:dyDescent="0.15">
      <c r="C85" t="s">
        <v>214</v>
      </c>
      <c r="D85" s="54">
        <f>BatSplit(D5:D70,HighestScore)</f>
        <v>45</v>
      </c>
      <c r="E85" s="54">
        <f>BatSplit(E5:E70,HighestScore)</f>
        <v>19</v>
      </c>
      <c r="F85" s="54">
        <f>BatSplit(F5:F70,HighestScore)</f>
        <v>-46</v>
      </c>
      <c r="G85" s="54">
        <f>BatSplit(G5:G70,HighestScore)</f>
        <v>82</v>
      </c>
      <c r="H85" s="54">
        <f>BatSplit(H5:H70,HighestScore)</f>
        <v>35</v>
      </c>
      <c r="I85" s="54">
        <f>BatSplit(I5:I70,HighestScore)</f>
        <v>-98</v>
      </c>
      <c r="J85" s="54">
        <f>BatSplit(J5:J70,HighestScore)</f>
        <v>87</v>
      </c>
      <c r="K85" s="54">
        <f>BatSplit(K5:K70,HighestScore)</f>
        <v>25</v>
      </c>
      <c r="L85" s="54">
        <f>BatSplit(L5:L70,HighestScore)</f>
        <v>0</v>
      </c>
      <c r="M85" s="54">
        <f>BatSplit(M5:M70,HighestScore)</f>
        <v>0</v>
      </c>
      <c r="N85" s="54">
        <f>BatSplit(N5:N70,HighestScore)</f>
        <v>0</v>
      </c>
      <c r="O85" s="54">
        <f>BatSplit(O5:O70,HighestScore)</f>
        <v>0</v>
      </c>
      <c r="P85" s="54">
        <f>BatSplit(P5:P70,HighestScore)</f>
        <v>0</v>
      </c>
      <c r="Q85" s="54">
        <f>BatSplit(Q5:Q70,HighestScore)</f>
        <v>0</v>
      </c>
      <c r="R85" s="54">
        <f>BatSplit(R5:R70,HighestScore)</f>
        <v>0</v>
      </c>
      <c r="S85" s="54">
        <f>BatSplit(S5:S70,HighestScore)</f>
        <v>0</v>
      </c>
      <c r="T85" s="54">
        <f>BatSplit(T5:T70,HighestScore)</f>
        <v>0</v>
      </c>
      <c r="U85" s="54">
        <f>BatSplit(U5:U70,HighestScore)</f>
        <v>0</v>
      </c>
      <c r="V85" s="54">
        <f>BatSplit(V5:V70,HighestScore)</f>
        <v>0</v>
      </c>
      <c r="W85" s="54">
        <f>BatSplit(W5:W70,HighestScore)</f>
        <v>0</v>
      </c>
      <c r="X85" s="54">
        <f>BatSplit(X5:X70,HighestScore)</f>
        <v>0</v>
      </c>
      <c r="Y85" s="54">
        <f>BatSplit(Y5:Y70,HighestScore)</f>
        <v>0</v>
      </c>
      <c r="Z85" s="54">
        <f>BatSplit(Z5:Z70,HighestScore)</f>
        <v>0</v>
      </c>
    </row>
    <row r="86" spans="2:46" x14ac:dyDescent="0.15">
      <c r="C86"/>
      <c r="AI86"/>
      <c r="AJ86"/>
      <c r="AK86"/>
      <c r="AL86"/>
      <c r="AM86"/>
      <c r="AN86"/>
    </row>
    <row r="87" spans="2:46" x14ac:dyDescent="0.15">
      <c r="C87" t="s">
        <v>215</v>
      </c>
      <c r="D87" s="54" t="str">
        <f>IF(BatSplit(D5,RunsScored)&gt;=50,BatSplit(D5,RunsScored)&amp;IF(BatSplit(D5,NotOuts)=1,"*","")&amp;"|"&amp;$C5&amp;"|"&amp;D$2&amp;"|"&amp;TEXT(D$1,"dd-mmm"),"x")</f>
        <v>x</v>
      </c>
      <c r="E87" s="54" t="str">
        <f>IF(BatSplit(E5,RunsScored)&gt;=50,BatSplit(E5,RunsScored)&amp;IF(BatSplit(E5,NotOuts)=1,"*","")&amp;"|"&amp;$C5&amp;"|"&amp;E$2&amp;"|"&amp;TEXT(E$1,"dd-mmm"),"x")</f>
        <v>x</v>
      </c>
      <c r="F87" s="54" t="str">
        <f>IF(BatSplit(F5,RunsScored)&gt;=50,BatSplit(F5,RunsScored)&amp;IF(BatSplit(F5,NotOuts)=1,"*","")&amp;"|"&amp;$C5&amp;"|"&amp;F$2&amp;"|"&amp;TEXT(F$1,"dd-mmm"),"x")</f>
        <v>x</v>
      </c>
      <c r="G87" s="54" t="str">
        <f>IF(BatSplit(G5,RunsScored)&gt;=50,BatSplit(G5,RunsScored)&amp;IF(BatSplit(G5,NotOuts)=1,"*","")&amp;"|"&amp;$C5&amp;"|"&amp;G$2&amp;"|"&amp;TEXT(G$1,"dd-mmm"),"x")</f>
        <v>x</v>
      </c>
      <c r="H87" s="54" t="str">
        <f>IF(BatSplit(H5,RunsScored)&gt;=50,BatSplit(H5,RunsScored)&amp;IF(BatSplit(H5,NotOuts)=1,"*","")&amp;"|"&amp;$C5&amp;"|"&amp;H$2&amp;"|"&amp;TEXT(H$1,"dd-mmm"),"x")</f>
        <v>x</v>
      </c>
      <c r="I87" s="54" t="str">
        <f>IF(BatSplit(I5,RunsScored)&gt;=50,BatSplit(I5,RunsScored)&amp;IF(BatSplit(I5,NotOuts)=1,"*","")&amp;"|"&amp;$C5&amp;"|"&amp;I$2&amp;"|"&amp;TEXT(I$1,"dd-mmm"),"x")</f>
        <v>x</v>
      </c>
      <c r="J87" s="54" t="str">
        <f>IF(BatSplit(J5,RunsScored)&gt;=50,BatSplit(J5,RunsScored)&amp;IF(BatSplit(J5,NotOuts)=1,"*","")&amp;"|"&amp;$C5&amp;"|"&amp;J$2&amp;"|"&amp;TEXT(J$1,"dd-mmm"),"x")</f>
        <v>x</v>
      </c>
      <c r="K87" s="54" t="str">
        <f>IF(BatSplit(K5,RunsScored)&gt;=50,BatSplit(K5,RunsScored)&amp;IF(BatSplit(K5,NotOuts)=1,"*","")&amp;"|"&amp;$C5&amp;"|"&amp;K$2&amp;"|"&amp;TEXT(K$1,"dd-mmm"),"x")</f>
        <v>x</v>
      </c>
      <c r="L87" s="54" t="str">
        <f>IF(BatSplit(L5,RunsScored)&gt;=50,BatSplit(L5,RunsScored)&amp;IF(BatSplit(L5,NotOuts)=1,"*","")&amp;"|"&amp;$C5&amp;"|"&amp;L$2&amp;"|"&amp;TEXT(L$1,"dd-mmm"),"x")</f>
        <v>x</v>
      </c>
      <c r="M87" s="54" t="str">
        <f>IF(BatSplit(M5,RunsScored)&gt;=50,BatSplit(M5,RunsScored)&amp;IF(BatSplit(M5,NotOuts)=1,"*","")&amp;"|"&amp;$C5&amp;"|"&amp;M$2&amp;"|"&amp;TEXT(M$1,"dd-mmm"),"x")</f>
        <v>x</v>
      </c>
      <c r="N87" s="54" t="str">
        <f>IF(BatSplit(N5,RunsScored)&gt;=50,BatSplit(N5,RunsScored)&amp;IF(BatSplit(N5,NotOuts)=1,"*","")&amp;"|"&amp;$C5&amp;"|"&amp;N$2&amp;"|"&amp;TEXT(N$1,"dd-mmm"),"x")</f>
        <v>x</v>
      </c>
      <c r="O87" s="54" t="str">
        <f>IF(BatSplit(O5,RunsScored)&gt;=50,BatSplit(O5,RunsScored)&amp;IF(BatSplit(O5,NotOuts)=1,"*","")&amp;"|"&amp;$C5&amp;"|"&amp;O$2&amp;"|"&amp;TEXT(O$1,"dd-mmm"),"x")</f>
        <v>x</v>
      </c>
      <c r="P87" s="54" t="str">
        <f>IF(BatSplit(P5,RunsScored)&gt;=50,BatSplit(P5,RunsScored)&amp;IF(BatSplit(P5,NotOuts)=1,"*","")&amp;"|"&amp;$C5&amp;"|"&amp;P$2&amp;"|"&amp;TEXT(P$1,"dd-mmm"),"x")</f>
        <v>x</v>
      </c>
      <c r="Q87" s="54" t="str">
        <f>IF(BatSplit(Q5,RunsScored)&gt;=50,BatSplit(Q5,RunsScored)&amp;IF(BatSplit(Q5,NotOuts)=1,"*","")&amp;"|"&amp;$C5&amp;"|"&amp;Q$2&amp;"|"&amp;TEXT(Q$1,"dd-mmm"),"x")</f>
        <v>x</v>
      </c>
      <c r="R87" s="54" t="str">
        <f>IF(BatSplit(R5,RunsScored)&gt;=50,BatSplit(R5,RunsScored)&amp;IF(BatSplit(R5,NotOuts)=1,"*","")&amp;"|"&amp;$C5&amp;"|"&amp;R$2&amp;"|"&amp;TEXT(R$1,"dd-mmm"),"x")</f>
        <v>x</v>
      </c>
      <c r="S87" s="54" t="str">
        <f>IF(BatSplit(S5,RunsScored)&gt;=50,BatSplit(S5,RunsScored)&amp;IF(BatSplit(S5,NotOuts)=1,"*","")&amp;"|"&amp;$C5&amp;"|"&amp;S$2&amp;"|"&amp;TEXT(S$1,"dd-mmm"),"x")</f>
        <v>x</v>
      </c>
      <c r="T87" s="54" t="str">
        <f>IF(BatSplit(T5,RunsScored)&gt;=50,BatSplit(T5,RunsScored)&amp;IF(BatSplit(T5,NotOuts)=1,"*","")&amp;"|"&amp;$C5&amp;"|"&amp;T$2&amp;"|"&amp;TEXT(T$1,"dd-mmm"),"x")</f>
        <v>x</v>
      </c>
      <c r="U87" s="54" t="str">
        <f>IF(BatSplit(U5,RunsScored)&gt;=50,BatSplit(U5,RunsScored)&amp;IF(BatSplit(U5,NotOuts)=1,"*","")&amp;"|"&amp;$C5&amp;"|"&amp;U$2&amp;"|"&amp;TEXT(U$1,"dd-mmm"),"x")</f>
        <v>x</v>
      </c>
      <c r="V87" s="54" t="str">
        <f>IF(BatSplit(V5,RunsScored)&gt;=50,BatSplit(V5,RunsScored)&amp;IF(BatSplit(V5,NotOuts)=1,"*","")&amp;"|"&amp;$C5&amp;"|"&amp;V$2&amp;"|"&amp;TEXT(V$1,"dd-mmm"),"x")</f>
        <v>x</v>
      </c>
      <c r="W87" s="54" t="str">
        <f>IF(BatSplit(W5,RunsScored)&gt;=50,BatSplit(W5,RunsScored)&amp;IF(BatSplit(W5,NotOuts)=1,"*","")&amp;"|"&amp;$C5&amp;"|"&amp;W$2&amp;"|"&amp;TEXT(W$1,"dd-mmm"),"x")</f>
        <v>x</v>
      </c>
      <c r="X87" s="54" t="str">
        <f>IF(BatSplit(X5,RunsScored)&gt;=50,BatSplit(X5,RunsScored)&amp;IF(BatSplit(X5,NotOuts)=1,"*","")&amp;"|"&amp;$C5&amp;"|"&amp;X$2&amp;"|"&amp;TEXT(X$1,"dd-mmm"),"x")</f>
        <v>x</v>
      </c>
      <c r="Y87" s="54" t="str">
        <f>IF(BatSplit(Y5,RunsScored)&gt;=50,BatSplit(Y5,RunsScored)&amp;IF(BatSplit(Y5,NotOuts)=1,"*","")&amp;"|"&amp;$C5&amp;"|"&amp;Y$2&amp;"|"&amp;TEXT(Y$1,"dd-mmm"),"x")</f>
        <v>x</v>
      </c>
      <c r="Z87" s="54" t="str">
        <f>IF(BatSplit(Z5,RunsScored)&gt;=50,BatSplit(Z5,RunsScored)&amp;IF(BatSplit(Z5,NotOuts)=1,"*","")&amp;"|"&amp;$C5&amp;"|"&amp;Z$2&amp;"|"&amp;TEXT(Z$1,"dd-mmm"),"x")</f>
        <v>x</v>
      </c>
      <c r="AI87"/>
      <c r="AJ87"/>
      <c r="AK87"/>
      <c r="AL87"/>
      <c r="AM87"/>
      <c r="AN87"/>
    </row>
    <row r="88" spans="2:46" x14ac:dyDescent="0.15">
      <c r="D88" s="54" t="str">
        <f>IF(BatSplit(D6,RunsScored)&gt;=50,BatSplit(D6,RunsScored)&amp;IF(BatSplit(D6,NotOuts)=1,"*","")&amp;"|"&amp;$C6&amp;"|"&amp;D$2&amp;"|"&amp;TEXT(D$1,"dd-mmm"),"x")</f>
        <v>x</v>
      </c>
      <c r="E88" s="54" t="str">
        <f>IF(BatSplit(E6,RunsScored)&gt;=50,BatSplit(E6,RunsScored)&amp;IF(BatSplit(E6,NotOuts)=1,"*","")&amp;"|"&amp;$C6&amp;"|"&amp;E$2&amp;"|"&amp;TEXT(E$1,"dd-mmm"),"x")</f>
        <v>x</v>
      </c>
      <c r="F88" s="54" t="str">
        <f>IF(BatSplit(F6,RunsScored)&gt;=50,BatSplit(F6,RunsScored)&amp;IF(BatSplit(F6,NotOuts)=1,"*","")&amp;"|"&amp;$C6&amp;"|"&amp;F$2&amp;"|"&amp;TEXT(F$1,"dd-mmm"),"x")</f>
        <v>x</v>
      </c>
      <c r="G88" s="54" t="str">
        <f>IF(BatSplit(G6,RunsScored)&gt;=50,BatSplit(G6,RunsScored)&amp;IF(BatSplit(G6,NotOuts)=1,"*","")&amp;"|"&amp;$C6&amp;"|"&amp;G$2&amp;"|"&amp;TEXT(G$1,"dd-mmm"),"x")</f>
        <v>x</v>
      </c>
      <c r="H88" s="54" t="str">
        <f>IF(BatSplit(H6,RunsScored)&gt;=50,BatSplit(H6,RunsScored)&amp;IF(BatSplit(H6,NotOuts)=1,"*","")&amp;"|"&amp;$C6&amp;"|"&amp;H$2&amp;"|"&amp;TEXT(H$1,"dd-mmm"),"x")</f>
        <v>x</v>
      </c>
      <c r="I88" s="54" t="str">
        <f>IF(BatSplit(I6,RunsScored)&gt;=50,BatSplit(I6,RunsScored)&amp;IF(BatSplit(I6,NotOuts)=1,"*","")&amp;"|"&amp;$C6&amp;"|"&amp;I$2&amp;"|"&amp;TEXT(I$1,"dd-mmm"),"x")</f>
        <v>x</v>
      </c>
      <c r="J88" s="54" t="str">
        <f>IF(BatSplit(J6,RunsScored)&gt;=50,BatSplit(J6,RunsScored)&amp;IF(BatSplit(J6,NotOuts)=1,"*","")&amp;"|"&amp;$C6&amp;"|"&amp;J$2&amp;"|"&amp;TEXT(J$1,"dd-mmm"),"x")</f>
        <v>x</v>
      </c>
      <c r="K88" s="54" t="str">
        <f>IF(BatSplit(K6,RunsScored)&gt;=50,BatSplit(K6,RunsScored)&amp;IF(BatSplit(K6,NotOuts)=1,"*","")&amp;"|"&amp;$C6&amp;"|"&amp;K$2&amp;"|"&amp;TEXT(K$1,"dd-mmm"),"x")</f>
        <v>x</v>
      </c>
      <c r="L88" s="54" t="str">
        <f>IF(BatSplit(L6,RunsScored)&gt;=50,BatSplit(L6,RunsScored)&amp;IF(BatSplit(L6,NotOuts)=1,"*","")&amp;"|"&amp;$C6&amp;"|"&amp;L$2&amp;"|"&amp;TEXT(L$1,"dd-mmm"),"x")</f>
        <v>x</v>
      </c>
      <c r="M88" s="54" t="str">
        <f>IF(BatSplit(M6,RunsScored)&gt;=50,BatSplit(M6,RunsScored)&amp;IF(BatSplit(M6,NotOuts)=1,"*","")&amp;"|"&amp;$C6&amp;"|"&amp;M$2&amp;"|"&amp;TEXT(M$1,"dd-mmm"),"x")</f>
        <v>x</v>
      </c>
      <c r="N88" s="54" t="str">
        <f>IF(BatSplit(N6,RunsScored)&gt;=50,BatSplit(N6,RunsScored)&amp;IF(BatSplit(N6,NotOuts)=1,"*","")&amp;"|"&amp;$C6&amp;"|"&amp;N$2&amp;"|"&amp;TEXT(N$1,"dd-mmm"),"x")</f>
        <v>x</v>
      </c>
      <c r="O88" s="54" t="str">
        <f>IF(BatSplit(O6,RunsScored)&gt;=50,BatSplit(O6,RunsScored)&amp;IF(BatSplit(O6,NotOuts)=1,"*","")&amp;"|"&amp;$C6&amp;"|"&amp;O$2&amp;"|"&amp;TEXT(O$1,"dd-mmm"),"x")</f>
        <v>x</v>
      </c>
      <c r="P88" s="54" t="str">
        <f>IF(BatSplit(P6,RunsScored)&gt;=50,BatSplit(P6,RunsScored)&amp;IF(BatSplit(P6,NotOuts)=1,"*","")&amp;"|"&amp;$C6&amp;"|"&amp;P$2&amp;"|"&amp;TEXT(P$1,"dd-mmm"),"x")</f>
        <v>x</v>
      </c>
      <c r="Q88" s="54" t="str">
        <f>IF(BatSplit(Q6,RunsScored)&gt;=50,BatSplit(Q6,RunsScored)&amp;IF(BatSplit(Q6,NotOuts)=1,"*","")&amp;"|"&amp;$C6&amp;"|"&amp;Q$2&amp;"|"&amp;TEXT(Q$1,"dd-mmm"),"x")</f>
        <v>x</v>
      </c>
      <c r="R88" s="54" t="str">
        <f>IF(BatSplit(R6,RunsScored)&gt;=50,BatSplit(R6,RunsScored)&amp;IF(BatSplit(R6,NotOuts)=1,"*","")&amp;"|"&amp;$C6&amp;"|"&amp;R$2&amp;"|"&amp;TEXT(R$1,"dd-mmm"),"x")</f>
        <v>x</v>
      </c>
      <c r="S88" s="54" t="str">
        <f>IF(BatSplit(S6,RunsScored)&gt;=50,BatSplit(S6,RunsScored)&amp;IF(BatSplit(S6,NotOuts)=1,"*","")&amp;"|"&amp;$C6&amp;"|"&amp;S$2&amp;"|"&amp;TEXT(S$1,"dd-mmm"),"x")</f>
        <v>x</v>
      </c>
      <c r="T88" s="54" t="str">
        <f>IF(BatSplit(T6,RunsScored)&gt;=50,BatSplit(T6,RunsScored)&amp;IF(BatSplit(T6,NotOuts)=1,"*","")&amp;"|"&amp;$C6&amp;"|"&amp;T$2&amp;"|"&amp;TEXT(T$1,"dd-mmm"),"x")</f>
        <v>x</v>
      </c>
      <c r="U88" s="54" t="str">
        <f>IF(BatSplit(U6,RunsScored)&gt;=50,BatSplit(U6,RunsScored)&amp;IF(BatSplit(U6,NotOuts)=1,"*","")&amp;"|"&amp;$C6&amp;"|"&amp;U$2&amp;"|"&amp;TEXT(U$1,"dd-mmm"),"x")</f>
        <v>x</v>
      </c>
      <c r="V88" s="54" t="str">
        <f>IF(BatSplit(V6,RunsScored)&gt;=50,BatSplit(V6,RunsScored)&amp;IF(BatSplit(V6,NotOuts)=1,"*","")&amp;"|"&amp;$C6&amp;"|"&amp;V$2&amp;"|"&amp;TEXT(V$1,"dd-mmm"),"x")</f>
        <v>x</v>
      </c>
      <c r="W88" s="54" t="str">
        <f>IF(BatSplit(W6,RunsScored)&gt;=50,BatSplit(W6,RunsScored)&amp;IF(BatSplit(W6,NotOuts)=1,"*","")&amp;"|"&amp;$C6&amp;"|"&amp;W$2&amp;"|"&amp;TEXT(W$1,"dd-mmm"),"x")</f>
        <v>x</v>
      </c>
      <c r="X88" s="54" t="str">
        <f>IF(BatSplit(X6,RunsScored)&gt;=50,BatSplit(X6,RunsScored)&amp;IF(BatSplit(X6,NotOuts)=1,"*","")&amp;"|"&amp;$C6&amp;"|"&amp;X$2&amp;"|"&amp;TEXT(X$1,"dd-mmm"),"x")</f>
        <v>x</v>
      </c>
      <c r="Y88" s="54" t="str">
        <f>IF(BatSplit(Y6,RunsScored)&gt;=50,BatSplit(Y6,RunsScored)&amp;IF(BatSplit(Y6,NotOuts)=1,"*","")&amp;"|"&amp;$C6&amp;"|"&amp;Y$2&amp;"|"&amp;TEXT(Y$1,"dd-mmm"),"x")</f>
        <v>x</v>
      </c>
      <c r="Z88" s="54" t="str">
        <f>IF(BatSplit(Z6,RunsScored)&gt;=50,BatSplit(Z6,RunsScored)&amp;IF(BatSplit(Z6,NotOuts)=1,"*","")&amp;"|"&amp;$C6&amp;"|"&amp;Z$2&amp;"|"&amp;TEXT(Z$1,"dd-mmm"),"x")</f>
        <v>x</v>
      </c>
      <c r="AI88"/>
      <c r="AJ88"/>
      <c r="AK88"/>
      <c r="AL88"/>
      <c r="AM88"/>
      <c r="AN88"/>
    </row>
    <row r="89" spans="2:46" x14ac:dyDescent="0.15">
      <c r="D89" s="54" t="str">
        <f>IF(BatSplit(D7,RunsScored)&gt;=50,BatSplit(D7,RunsScored)&amp;IF(BatSplit(D7,NotOuts)=1,"*","")&amp;"|"&amp;$C7&amp;"|"&amp;D$2&amp;"|"&amp;TEXT(D$1,"dd-mmm"),"x")</f>
        <v>x</v>
      </c>
      <c r="E89" s="54" t="str">
        <f>IF(BatSplit(E7,RunsScored)&gt;=50,BatSplit(E7,RunsScored)&amp;IF(BatSplit(E7,NotOuts)=1,"*","")&amp;"|"&amp;$C7&amp;"|"&amp;E$2&amp;"|"&amp;TEXT(E$1,"dd-mmm"),"x")</f>
        <v>x</v>
      </c>
      <c r="F89" s="54" t="str">
        <f>IF(BatSplit(F7,RunsScored)&gt;=50,BatSplit(F7,RunsScored)&amp;IF(BatSplit(F7,NotOuts)=1,"*","")&amp;"|"&amp;$C7&amp;"|"&amp;F$2&amp;"|"&amp;TEXT(F$1,"dd-mmm"),"x")</f>
        <v>x</v>
      </c>
      <c r="G89" s="54" t="str">
        <f>IF(BatSplit(G7,RunsScored)&gt;=50,BatSplit(G7,RunsScored)&amp;IF(BatSplit(G7,NotOuts)=1,"*","")&amp;"|"&amp;$C7&amp;"|"&amp;G$2&amp;"|"&amp;TEXT(G$1,"dd-mmm"),"x")</f>
        <v>x</v>
      </c>
      <c r="H89" s="54" t="str">
        <f>IF(BatSplit(H7,RunsScored)&gt;=50,BatSplit(H7,RunsScored)&amp;IF(BatSplit(H7,NotOuts)=1,"*","")&amp;"|"&amp;$C7&amp;"|"&amp;H$2&amp;"|"&amp;TEXT(H$1,"dd-mmm"),"x")</f>
        <v>x</v>
      </c>
      <c r="I89" s="54" t="str">
        <f>IF(BatSplit(I7,RunsScored)&gt;=50,BatSplit(I7,RunsScored)&amp;IF(BatSplit(I7,NotOuts)=1,"*","")&amp;"|"&amp;$C7&amp;"|"&amp;I$2&amp;"|"&amp;TEXT(I$1,"dd-mmm"),"x")</f>
        <v>x</v>
      </c>
      <c r="J89" s="54" t="str">
        <f>IF(BatSplit(J7,RunsScored)&gt;=50,BatSplit(J7,RunsScored)&amp;IF(BatSplit(J7,NotOuts)=1,"*","")&amp;"|"&amp;$C7&amp;"|"&amp;J$2&amp;"|"&amp;TEXT(J$1,"dd-mmm"),"x")</f>
        <v>x</v>
      </c>
      <c r="K89" s="54" t="str">
        <f>IF(BatSplit(K7,RunsScored)&gt;=50,BatSplit(K7,RunsScored)&amp;IF(BatSplit(K7,NotOuts)=1,"*","")&amp;"|"&amp;$C7&amp;"|"&amp;K$2&amp;"|"&amp;TEXT(K$1,"dd-mmm"),"x")</f>
        <v>x</v>
      </c>
      <c r="L89" s="54" t="str">
        <f>IF(BatSplit(L7,RunsScored)&gt;=50,BatSplit(L7,RunsScored)&amp;IF(BatSplit(L7,NotOuts)=1,"*","")&amp;"|"&amp;$C7&amp;"|"&amp;L$2&amp;"|"&amp;TEXT(L$1,"dd-mmm"),"x")</f>
        <v>x</v>
      </c>
      <c r="M89" s="54" t="str">
        <f>IF(BatSplit(M7,RunsScored)&gt;=50,BatSplit(M7,RunsScored)&amp;IF(BatSplit(M7,NotOuts)=1,"*","")&amp;"|"&amp;$C7&amp;"|"&amp;M$2&amp;"|"&amp;TEXT(M$1,"dd-mmm"),"x")</f>
        <v>x</v>
      </c>
      <c r="N89" s="54" t="str">
        <f>IF(BatSplit(N7,RunsScored)&gt;=50,BatSplit(N7,RunsScored)&amp;IF(BatSplit(N7,NotOuts)=1,"*","")&amp;"|"&amp;$C7&amp;"|"&amp;N$2&amp;"|"&amp;TEXT(N$1,"dd-mmm"),"x")</f>
        <v>x</v>
      </c>
      <c r="O89" s="54" t="str">
        <f>IF(BatSplit(O7,RunsScored)&gt;=50,BatSplit(O7,RunsScored)&amp;IF(BatSplit(O7,NotOuts)=1,"*","")&amp;"|"&amp;$C7&amp;"|"&amp;O$2&amp;"|"&amp;TEXT(O$1,"dd-mmm"),"x")</f>
        <v>x</v>
      </c>
      <c r="P89" s="54" t="str">
        <f>IF(BatSplit(P7,RunsScored)&gt;=50,BatSplit(P7,RunsScored)&amp;IF(BatSplit(P7,NotOuts)=1,"*","")&amp;"|"&amp;$C7&amp;"|"&amp;P$2&amp;"|"&amp;TEXT(P$1,"dd-mmm"),"x")</f>
        <v>x</v>
      </c>
      <c r="Q89" s="54" t="str">
        <f>IF(BatSplit(Q7,RunsScored)&gt;=50,BatSplit(Q7,RunsScored)&amp;IF(BatSplit(Q7,NotOuts)=1,"*","")&amp;"|"&amp;$C7&amp;"|"&amp;Q$2&amp;"|"&amp;TEXT(Q$1,"dd-mmm"),"x")</f>
        <v>x</v>
      </c>
      <c r="R89" s="54" t="str">
        <f>IF(BatSplit(R7,RunsScored)&gt;=50,BatSplit(R7,RunsScored)&amp;IF(BatSplit(R7,NotOuts)=1,"*","")&amp;"|"&amp;$C7&amp;"|"&amp;R$2&amp;"|"&amp;TEXT(R$1,"dd-mmm"),"x")</f>
        <v>x</v>
      </c>
      <c r="S89" s="54" t="str">
        <f>IF(BatSplit(S7,RunsScored)&gt;=50,BatSplit(S7,RunsScored)&amp;IF(BatSplit(S7,NotOuts)=1,"*","")&amp;"|"&amp;$C7&amp;"|"&amp;S$2&amp;"|"&amp;TEXT(S$1,"dd-mmm"),"x")</f>
        <v>x</v>
      </c>
      <c r="T89" s="54" t="str">
        <f>IF(BatSplit(T7,RunsScored)&gt;=50,BatSplit(T7,RunsScored)&amp;IF(BatSplit(T7,NotOuts)=1,"*","")&amp;"|"&amp;$C7&amp;"|"&amp;T$2&amp;"|"&amp;TEXT(T$1,"dd-mmm"),"x")</f>
        <v>x</v>
      </c>
      <c r="U89" s="54" t="str">
        <f>IF(BatSplit(U7,RunsScored)&gt;=50,BatSplit(U7,RunsScored)&amp;IF(BatSplit(U7,NotOuts)=1,"*","")&amp;"|"&amp;$C7&amp;"|"&amp;U$2&amp;"|"&amp;TEXT(U$1,"dd-mmm"),"x")</f>
        <v>x</v>
      </c>
      <c r="V89" s="54" t="str">
        <f>IF(BatSplit(V7,RunsScored)&gt;=50,BatSplit(V7,RunsScored)&amp;IF(BatSplit(V7,NotOuts)=1,"*","")&amp;"|"&amp;$C7&amp;"|"&amp;V$2&amp;"|"&amp;TEXT(V$1,"dd-mmm"),"x")</f>
        <v>x</v>
      </c>
      <c r="W89" s="54" t="str">
        <f>IF(BatSplit(W7,RunsScored)&gt;=50,BatSplit(W7,RunsScored)&amp;IF(BatSplit(W7,NotOuts)=1,"*","")&amp;"|"&amp;$C7&amp;"|"&amp;W$2&amp;"|"&amp;TEXT(W$1,"dd-mmm"),"x")</f>
        <v>x</v>
      </c>
      <c r="X89" s="54" t="str">
        <f>IF(BatSplit(X7,RunsScored)&gt;=50,BatSplit(X7,RunsScored)&amp;IF(BatSplit(X7,NotOuts)=1,"*","")&amp;"|"&amp;$C7&amp;"|"&amp;X$2&amp;"|"&amp;TEXT(X$1,"dd-mmm"),"x")</f>
        <v>x</v>
      </c>
      <c r="Y89" s="54" t="str">
        <f>IF(BatSplit(Y7,RunsScored)&gt;=50,BatSplit(Y7,RunsScored)&amp;IF(BatSplit(Y7,NotOuts)=1,"*","")&amp;"|"&amp;$C7&amp;"|"&amp;Y$2&amp;"|"&amp;TEXT(Y$1,"dd-mmm"),"x")</f>
        <v>x</v>
      </c>
      <c r="Z89" s="54" t="str">
        <f>IF(BatSplit(Z7,RunsScored)&gt;=50,BatSplit(Z7,RunsScored)&amp;IF(BatSplit(Z7,NotOuts)=1,"*","")&amp;"|"&amp;$C7&amp;"|"&amp;Z$2&amp;"|"&amp;TEXT(Z$1,"dd-mmm"),"x")</f>
        <v>x</v>
      </c>
    </row>
    <row r="90" spans="2:46" x14ac:dyDescent="0.15">
      <c r="D90" s="54" t="str">
        <f>IF(BatSplit(D8,RunsScored)&gt;=50,BatSplit(D8,RunsScored)&amp;IF(BatSplit(D8,NotOuts)=1,"*","")&amp;"|"&amp;$C8&amp;"|"&amp;D$2&amp;"|"&amp;TEXT(D$1,"dd-mmm"),"x")</f>
        <v>x</v>
      </c>
      <c r="E90" s="54" t="str">
        <f>IF(BatSplit(E8,RunsScored)&gt;=50,BatSplit(E8,RunsScored)&amp;IF(BatSplit(E8,NotOuts)=1,"*","")&amp;"|"&amp;$C8&amp;"|"&amp;E$2&amp;"|"&amp;TEXT(E$1,"dd-mmm"),"x")</f>
        <v>x</v>
      </c>
      <c r="F90" s="54" t="str">
        <f>IF(BatSplit(F8,RunsScored)&gt;=50,BatSplit(F8,RunsScored)&amp;IF(BatSplit(F8,NotOuts)=1,"*","")&amp;"|"&amp;$C8&amp;"|"&amp;F$2&amp;"|"&amp;TEXT(F$1,"dd-mmm"),"x")</f>
        <v>x</v>
      </c>
      <c r="G90" s="54" t="str">
        <f>IF(BatSplit(G8,RunsScored)&gt;=50,BatSplit(G8,RunsScored)&amp;IF(BatSplit(G8,NotOuts)=1,"*","")&amp;"|"&amp;$C8&amp;"|"&amp;G$2&amp;"|"&amp;TEXT(G$1,"dd-mmm"),"x")</f>
        <v>x</v>
      </c>
      <c r="H90" s="54" t="str">
        <f>IF(BatSplit(H8,RunsScored)&gt;=50,BatSplit(H8,RunsScored)&amp;IF(BatSplit(H8,NotOuts)=1,"*","")&amp;"|"&amp;$C8&amp;"|"&amp;H$2&amp;"|"&amp;TEXT(H$1,"dd-mmm"),"x")</f>
        <v>x</v>
      </c>
      <c r="I90" s="54" t="str">
        <f>IF(BatSplit(I8,RunsScored)&gt;=50,BatSplit(I8,RunsScored)&amp;IF(BatSplit(I8,NotOuts)=1,"*","")&amp;"|"&amp;$C8&amp;"|"&amp;I$2&amp;"|"&amp;TEXT(I$1,"dd-mmm"),"x")</f>
        <v>x</v>
      </c>
      <c r="J90" s="54" t="str">
        <f>IF(BatSplit(J8,RunsScored)&gt;=50,BatSplit(J8,RunsScored)&amp;IF(BatSplit(J8,NotOuts)=1,"*","")&amp;"|"&amp;$C8&amp;"|"&amp;J$2&amp;"|"&amp;TEXT(J$1,"dd-mmm"),"x")</f>
        <v>x</v>
      </c>
      <c r="K90" s="54" t="str">
        <f>IF(BatSplit(K8,RunsScored)&gt;=50,BatSplit(K8,RunsScored)&amp;IF(BatSplit(K8,NotOuts)=1,"*","")&amp;"|"&amp;$C8&amp;"|"&amp;K$2&amp;"|"&amp;TEXT(K$1,"dd-mmm"),"x")</f>
        <v>x</v>
      </c>
      <c r="L90" s="54" t="str">
        <f>IF(BatSplit(L8,RunsScored)&gt;=50,BatSplit(L8,RunsScored)&amp;IF(BatSplit(L8,NotOuts)=1,"*","")&amp;"|"&amp;$C8&amp;"|"&amp;L$2&amp;"|"&amp;TEXT(L$1,"dd-mmm"),"x")</f>
        <v>x</v>
      </c>
      <c r="M90" s="54" t="str">
        <f>IF(BatSplit(M8,RunsScored)&gt;=50,BatSplit(M8,RunsScored)&amp;IF(BatSplit(M8,NotOuts)=1,"*","")&amp;"|"&amp;$C8&amp;"|"&amp;M$2&amp;"|"&amp;TEXT(M$1,"dd-mmm"),"x")</f>
        <v>x</v>
      </c>
      <c r="N90" s="54" t="str">
        <f>IF(BatSplit(N8,RunsScored)&gt;=50,BatSplit(N8,RunsScored)&amp;IF(BatSplit(N8,NotOuts)=1,"*","")&amp;"|"&amp;$C8&amp;"|"&amp;N$2&amp;"|"&amp;TEXT(N$1,"dd-mmm"),"x")</f>
        <v>x</v>
      </c>
      <c r="O90" s="54" t="str">
        <f>IF(BatSplit(O8,RunsScored)&gt;=50,BatSplit(O8,RunsScored)&amp;IF(BatSplit(O8,NotOuts)=1,"*","")&amp;"|"&amp;$C8&amp;"|"&amp;O$2&amp;"|"&amp;TEXT(O$1,"dd-mmm"),"x")</f>
        <v>x</v>
      </c>
      <c r="P90" s="54" t="str">
        <f>IF(BatSplit(P8,RunsScored)&gt;=50,BatSplit(P8,RunsScored)&amp;IF(BatSplit(P8,NotOuts)=1,"*","")&amp;"|"&amp;$C8&amp;"|"&amp;P$2&amp;"|"&amp;TEXT(P$1,"dd-mmm"),"x")</f>
        <v>x</v>
      </c>
      <c r="Q90" s="54" t="str">
        <f>IF(BatSplit(Q8,RunsScored)&gt;=50,BatSplit(Q8,RunsScored)&amp;IF(BatSplit(Q8,NotOuts)=1,"*","")&amp;"|"&amp;$C8&amp;"|"&amp;Q$2&amp;"|"&amp;TEXT(Q$1,"dd-mmm"),"x")</f>
        <v>x</v>
      </c>
      <c r="R90" s="54" t="str">
        <f>IF(BatSplit(R8,RunsScored)&gt;=50,BatSplit(R8,RunsScored)&amp;IF(BatSplit(R8,NotOuts)=1,"*","")&amp;"|"&amp;$C8&amp;"|"&amp;R$2&amp;"|"&amp;TEXT(R$1,"dd-mmm"),"x")</f>
        <v>x</v>
      </c>
      <c r="S90" s="54" t="str">
        <f>IF(BatSplit(S8,RunsScored)&gt;=50,BatSplit(S8,RunsScored)&amp;IF(BatSplit(S8,NotOuts)=1,"*","")&amp;"|"&amp;$C8&amp;"|"&amp;S$2&amp;"|"&amp;TEXT(S$1,"dd-mmm"),"x")</f>
        <v>x</v>
      </c>
      <c r="T90" s="54" t="str">
        <f>IF(BatSplit(T8,RunsScored)&gt;=50,BatSplit(T8,RunsScored)&amp;IF(BatSplit(T8,NotOuts)=1,"*","")&amp;"|"&amp;$C8&amp;"|"&amp;T$2&amp;"|"&amp;TEXT(T$1,"dd-mmm"),"x")</f>
        <v>x</v>
      </c>
      <c r="U90" s="54" t="str">
        <f>IF(BatSplit(U8,RunsScored)&gt;=50,BatSplit(U8,RunsScored)&amp;IF(BatSplit(U8,NotOuts)=1,"*","")&amp;"|"&amp;$C8&amp;"|"&amp;U$2&amp;"|"&amp;TEXT(U$1,"dd-mmm"),"x")</f>
        <v>x</v>
      </c>
      <c r="V90" s="54" t="str">
        <f>IF(BatSplit(V8,RunsScored)&gt;=50,BatSplit(V8,RunsScored)&amp;IF(BatSplit(V8,NotOuts)=1,"*","")&amp;"|"&amp;$C8&amp;"|"&amp;V$2&amp;"|"&amp;TEXT(V$1,"dd-mmm"),"x")</f>
        <v>x</v>
      </c>
      <c r="W90" s="54" t="str">
        <f>IF(BatSplit(W8,RunsScored)&gt;=50,BatSplit(W8,RunsScored)&amp;IF(BatSplit(W8,NotOuts)=1,"*","")&amp;"|"&amp;$C8&amp;"|"&amp;W$2&amp;"|"&amp;TEXT(W$1,"dd-mmm"),"x")</f>
        <v>x</v>
      </c>
      <c r="X90" s="54" t="str">
        <f>IF(BatSplit(X8,RunsScored)&gt;=50,BatSplit(X8,RunsScored)&amp;IF(BatSplit(X8,NotOuts)=1,"*","")&amp;"|"&amp;$C8&amp;"|"&amp;X$2&amp;"|"&amp;TEXT(X$1,"dd-mmm"),"x")</f>
        <v>x</v>
      </c>
      <c r="Y90" s="54" t="str">
        <f>IF(BatSplit(Y8,RunsScored)&gt;=50,BatSplit(Y8,RunsScored)&amp;IF(BatSplit(Y8,NotOuts)=1,"*","")&amp;"|"&amp;$C8&amp;"|"&amp;Y$2&amp;"|"&amp;TEXT(Y$1,"dd-mmm"),"x")</f>
        <v>x</v>
      </c>
      <c r="Z90" s="54" t="str">
        <f>IF(BatSplit(Z8,RunsScored)&gt;=50,BatSplit(Z8,RunsScored)&amp;IF(BatSplit(Z8,NotOuts)=1,"*","")&amp;"|"&amp;$C8&amp;"|"&amp;Z$2&amp;"|"&amp;TEXT(Z$1,"dd-mmm"),"x")</f>
        <v>x</v>
      </c>
    </row>
    <row r="91" spans="2:46" x14ac:dyDescent="0.15">
      <c r="D91" s="54" t="str">
        <f>IF(BatSplit(D10,RunsScored)&gt;=50,BatSplit(D10,RunsScored)&amp;IF(BatSplit(D10,NotOuts)=1,"*","")&amp;"|"&amp;$C10&amp;"|"&amp;D$2&amp;"|"&amp;TEXT(D$1,"dd-mmm"),"x")</f>
        <v>x</v>
      </c>
      <c r="E91" s="54" t="str">
        <f>IF(BatSplit(E10,RunsScored)&gt;=50,BatSplit(E10,RunsScored)&amp;IF(BatSplit(E10,NotOuts)=1,"*","")&amp;"|"&amp;$C10&amp;"|"&amp;E$2&amp;"|"&amp;TEXT(E$1,"dd-mmm"),"x")</f>
        <v>x</v>
      </c>
      <c r="F91" s="54" t="str">
        <f>IF(BatSplit(F10,RunsScored)&gt;=50,BatSplit(F10,RunsScored)&amp;IF(BatSplit(F10,NotOuts)=1,"*","")&amp;"|"&amp;$C10&amp;"|"&amp;F$2&amp;"|"&amp;TEXT(F$1,"dd-mmm"),"x")</f>
        <v>x</v>
      </c>
      <c r="G91" s="54" t="str">
        <f>IF(BatSplit(G10,RunsScored)&gt;=50,BatSplit(G10,RunsScored)&amp;IF(BatSplit(G10,NotOuts)=1,"*","")&amp;"|"&amp;$C10&amp;"|"&amp;G$2&amp;"|"&amp;TEXT(G$1,"dd-mmm"),"x")</f>
        <v>x</v>
      </c>
      <c r="H91" s="54" t="str">
        <f>IF(BatSplit(H10,RunsScored)&gt;=50,BatSplit(H10,RunsScored)&amp;IF(BatSplit(H10,NotOuts)=1,"*","")&amp;"|"&amp;$C10&amp;"|"&amp;H$2&amp;"|"&amp;TEXT(H$1,"dd-mmm"),"x")</f>
        <v>x</v>
      </c>
      <c r="I91" s="54" t="str">
        <f>IF(BatSplit(I10,RunsScored)&gt;=50,BatSplit(I10,RunsScored)&amp;IF(BatSplit(I10,NotOuts)=1,"*","")&amp;"|"&amp;$C10&amp;"|"&amp;I$2&amp;"|"&amp;TEXT(I$1,"dd-mmm"),"x")</f>
        <v>x</v>
      </c>
      <c r="J91" s="54" t="str">
        <f>IF(BatSplit(J10,RunsScored)&gt;=50,BatSplit(J10,RunsScored)&amp;IF(BatSplit(J10,NotOuts)=1,"*","")&amp;"|"&amp;$C10&amp;"|"&amp;J$2&amp;"|"&amp;TEXT(J$1,"dd-mmm"),"x")</f>
        <v>x</v>
      </c>
      <c r="K91" s="54" t="str">
        <f>IF(BatSplit(K10,RunsScored)&gt;=50,BatSplit(K10,RunsScored)&amp;IF(BatSplit(K10,NotOuts)=1,"*","")&amp;"|"&amp;$C10&amp;"|"&amp;K$2&amp;"|"&amp;TEXT(K$1,"dd-mmm"),"x")</f>
        <v>x</v>
      </c>
      <c r="L91" s="54" t="str">
        <f>IF(BatSplit(L10,RunsScored)&gt;=50,BatSplit(L10,RunsScored)&amp;IF(BatSplit(L10,NotOuts)=1,"*","")&amp;"|"&amp;$C10&amp;"|"&amp;L$2&amp;"|"&amp;TEXT(L$1,"dd-mmm"),"x")</f>
        <v>x</v>
      </c>
      <c r="M91" s="54" t="str">
        <f>IF(BatSplit(M10,RunsScored)&gt;=50,BatSplit(M10,RunsScored)&amp;IF(BatSplit(M10,NotOuts)=1,"*","")&amp;"|"&amp;$C10&amp;"|"&amp;M$2&amp;"|"&amp;TEXT(M$1,"dd-mmm"),"x")</f>
        <v>x</v>
      </c>
      <c r="N91" s="54" t="str">
        <f>IF(BatSplit(N10,RunsScored)&gt;=50,BatSplit(N10,RunsScored)&amp;IF(BatSplit(N10,NotOuts)=1,"*","")&amp;"|"&amp;$C10&amp;"|"&amp;N$2&amp;"|"&amp;TEXT(N$1,"dd-mmm"),"x")</f>
        <v>x</v>
      </c>
      <c r="O91" s="54" t="str">
        <f>IF(BatSplit(O10,RunsScored)&gt;=50,BatSplit(O10,RunsScored)&amp;IF(BatSplit(O10,NotOuts)=1,"*","")&amp;"|"&amp;$C10&amp;"|"&amp;O$2&amp;"|"&amp;TEXT(O$1,"dd-mmm"),"x")</f>
        <v>x</v>
      </c>
      <c r="P91" s="54" t="str">
        <f>IF(BatSplit(P10,RunsScored)&gt;=50,BatSplit(P10,RunsScored)&amp;IF(BatSplit(P10,NotOuts)=1,"*","")&amp;"|"&amp;$C10&amp;"|"&amp;P$2&amp;"|"&amp;TEXT(P$1,"dd-mmm"),"x")</f>
        <v>x</v>
      </c>
      <c r="Q91" s="54" t="str">
        <f>IF(BatSplit(Q10,RunsScored)&gt;=50,BatSplit(Q10,RunsScored)&amp;IF(BatSplit(Q10,NotOuts)=1,"*","")&amp;"|"&amp;$C10&amp;"|"&amp;Q$2&amp;"|"&amp;TEXT(Q$1,"dd-mmm"),"x")</f>
        <v>x</v>
      </c>
      <c r="R91" s="54" t="str">
        <f>IF(BatSplit(R10,RunsScored)&gt;=50,BatSplit(R10,RunsScored)&amp;IF(BatSplit(R10,NotOuts)=1,"*","")&amp;"|"&amp;$C10&amp;"|"&amp;R$2&amp;"|"&amp;TEXT(R$1,"dd-mmm"),"x")</f>
        <v>x</v>
      </c>
      <c r="S91" s="54" t="str">
        <f>IF(BatSplit(S10,RunsScored)&gt;=50,BatSplit(S10,RunsScored)&amp;IF(BatSplit(S10,NotOuts)=1,"*","")&amp;"|"&amp;$C10&amp;"|"&amp;S$2&amp;"|"&amp;TEXT(S$1,"dd-mmm"),"x")</f>
        <v>x</v>
      </c>
      <c r="T91" s="54" t="str">
        <f>IF(BatSplit(T10,RunsScored)&gt;=50,BatSplit(T10,RunsScored)&amp;IF(BatSplit(T10,NotOuts)=1,"*","")&amp;"|"&amp;$C10&amp;"|"&amp;T$2&amp;"|"&amp;TEXT(T$1,"dd-mmm"),"x")</f>
        <v>x</v>
      </c>
      <c r="U91" s="54" t="str">
        <f>IF(BatSplit(U10,RunsScored)&gt;=50,BatSplit(U10,RunsScored)&amp;IF(BatSplit(U10,NotOuts)=1,"*","")&amp;"|"&amp;$C10&amp;"|"&amp;U$2&amp;"|"&amp;TEXT(U$1,"dd-mmm"),"x")</f>
        <v>x</v>
      </c>
      <c r="V91" s="54" t="str">
        <f>IF(BatSplit(V10,RunsScored)&gt;=50,BatSplit(V10,RunsScored)&amp;IF(BatSplit(V10,NotOuts)=1,"*","")&amp;"|"&amp;$C10&amp;"|"&amp;V$2&amp;"|"&amp;TEXT(V$1,"dd-mmm"),"x")</f>
        <v>x</v>
      </c>
      <c r="W91" s="54" t="str">
        <f>IF(BatSplit(W10,RunsScored)&gt;=50,BatSplit(W10,RunsScored)&amp;IF(BatSplit(W10,NotOuts)=1,"*","")&amp;"|"&amp;$C10&amp;"|"&amp;W$2&amp;"|"&amp;TEXT(W$1,"dd-mmm"),"x")</f>
        <v>x</v>
      </c>
      <c r="X91" s="54" t="str">
        <f>IF(BatSplit(X10,RunsScored)&gt;=50,BatSplit(X10,RunsScored)&amp;IF(BatSplit(X10,NotOuts)=1,"*","")&amp;"|"&amp;$C10&amp;"|"&amp;X$2&amp;"|"&amp;TEXT(X$1,"dd-mmm"),"x")</f>
        <v>x</v>
      </c>
      <c r="Y91" s="54" t="str">
        <f>IF(BatSplit(Y10,RunsScored)&gt;=50,BatSplit(Y10,RunsScored)&amp;IF(BatSplit(Y10,NotOuts)=1,"*","")&amp;"|"&amp;$C10&amp;"|"&amp;Y$2&amp;"|"&amp;TEXT(Y$1,"dd-mmm"),"x")</f>
        <v>x</v>
      </c>
      <c r="Z91" s="54" t="str">
        <f>IF(BatSplit(Z10,RunsScored)&gt;=50,BatSplit(Z10,RunsScored)&amp;IF(BatSplit(Z10,NotOuts)=1,"*","")&amp;"|"&amp;$C10&amp;"|"&amp;Z$2&amp;"|"&amp;TEXT(Z$1,"dd-mmm"),"x")</f>
        <v>x</v>
      </c>
    </row>
    <row r="92" spans="2:46" customFormat="1" x14ac:dyDescent="0.15">
      <c r="D92" s="54" t="str">
        <f>IF(BatSplit(D11,RunsScored)&gt;=50,BatSplit(D11,RunsScored)&amp;IF(BatSplit(D11,NotOuts)=1,"*","")&amp;"|"&amp;$C11&amp;"|"&amp;D$2&amp;"|"&amp;TEXT(D$1,"dd-mmm"),"x")</f>
        <v>x</v>
      </c>
      <c r="E92" s="54" t="str">
        <f>IF(BatSplit(E11,RunsScored)&gt;=50,BatSplit(E11,RunsScored)&amp;IF(BatSplit(E11,NotOuts)=1,"*","")&amp;"|"&amp;$C11&amp;"|"&amp;E$2&amp;"|"&amp;TEXT(E$1,"dd-mmm"),"x")</f>
        <v>x</v>
      </c>
      <c r="F92" s="54" t="str">
        <f>IF(BatSplit(F11,RunsScored)&gt;=50,BatSplit(F11,RunsScored)&amp;IF(BatSplit(F11,NotOuts)=1,"*","")&amp;"|"&amp;$C11&amp;"|"&amp;F$2&amp;"|"&amp;TEXT(F$1,"dd-mmm"),"x")</f>
        <v>x</v>
      </c>
      <c r="G92" s="54" t="str">
        <f>IF(BatSplit(G11,RunsScored)&gt;=50,BatSplit(G11,RunsScored)&amp;IF(BatSplit(G11,NotOuts)=1,"*","")&amp;"|"&amp;$C11&amp;"|"&amp;G$2&amp;"|"&amp;TEXT(G$1,"dd-mmm"),"x")</f>
        <v>x</v>
      </c>
      <c r="H92" s="54" t="str">
        <f>IF(BatSplit(H11,RunsScored)&gt;=50,BatSplit(H11,RunsScored)&amp;IF(BatSplit(H11,NotOuts)=1,"*","")&amp;"|"&amp;$C11&amp;"|"&amp;H$2&amp;"|"&amp;TEXT(H$1,"dd-mmm"),"x")</f>
        <v>x</v>
      </c>
      <c r="I92" s="54" t="str">
        <f>IF(BatSplit(I11,RunsScored)&gt;=50,BatSplit(I11,RunsScored)&amp;IF(BatSplit(I11,NotOuts)=1,"*","")&amp;"|"&amp;$C11&amp;"|"&amp;I$2&amp;"|"&amp;TEXT(I$1,"dd-mmm"),"x")</f>
        <v>x</v>
      </c>
      <c r="J92" s="54" t="str">
        <f>IF(BatSplit(J11,RunsScored)&gt;=50,BatSplit(J11,RunsScored)&amp;IF(BatSplit(J11,NotOuts)=1,"*","")&amp;"|"&amp;$C11&amp;"|"&amp;J$2&amp;"|"&amp;TEXT(J$1,"dd-mmm"),"x")</f>
        <v>x</v>
      </c>
      <c r="K92" s="54" t="str">
        <f>IF(BatSplit(K11,RunsScored)&gt;=50,BatSplit(K11,RunsScored)&amp;IF(BatSplit(K11,NotOuts)=1,"*","")&amp;"|"&amp;$C11&amp;"|"&amp;K$2&amp;"|"&amp;TEXT(K$1,"dd-mmm"),"x")</f>
        <v>x</v>
      </c>
      <c r="L92" s="54" t="str">
        <f>IF(BatSplit(L11,RunsScored)&gt;=50,BatSplit(L11,RunsScored)&amp;IF(BatSplit(L11,NotOuts)=1,"*","")&amp;"|"&amp;$C11&amp;"|"&amp;L$2&amp;"|"&amp;TEXT(L$1,"dd-mmm"),"x")</f>
        <v>x</v>
      </c>
      <c r="M92" s="54" t="str">
        <f>IF(BatSplit(M11,RunsScored)&gt;=50,BatSplit(M11,RunsScored)&amp;IF(BatSplit(M11,NotOuts)=1,"*","")&amp;"|"&amp;$C11&amp;"|"&amp;M$2&amp;"|"&amp;TEXT(M$1,"dd-mmm"),"x")</f>
        <v>x</v>
      </c>
      <c r="N92" s="54" t="str">
        <f>IF(BatSplit(N11,RunsScored)&gt;=50,BatSplit(N11,RunsScored)&amp;IF(BatSplit(N11,NotOuts)=1,"*","")&amp;"|"&amp;$C11&amp;"|"&amp;N$2&amp;"|"&amp;TEXT(N$1,"dd-mmm"),"x")</f>
        <v>x</v>
      </c>
      <c r="O92" s="54" t="str">
        <f>IF(BatSplit(O11,RunsScored)&gt;=50,BatSplit(O11,RunsScored)&amp;IF(BatSplit(O11,NotOuts)=1,"*","")&amp;"|"&amp;$C11&amp;"|"&amp;O$2&amp;"|"&amp;TEXT(O$1,"dd-mmm"),"x")</f>
        <v>x</v>
      </c>
      <c r="P92" s="54" t="str">
        <f>IF(BatSplit(P11,RunsScored)&gt;=50,BatSplit(P11,RunsScored)&amp;IF(BatSplit(P11,NotOuts)=1,"*","")&amp;"|"&amp;$C11&amp;"|"&amp;P$2&amp;"|"&amp;TEXT(P$1,"dd-mmm"),"x")</f>
        <v>x</v>
      </c>
      <c r="Q92" s="54" t="str">
        <f>IF(BatSplit(Q11,RunsScored)&gt;=50,BatSplit(Q11,RunsScored)&amp;IF(BatSplit(Q11,NotOuts)=1,"*","")&amp;"|"&amp;$C11&amp;"|"&amp;Q$2&amp;"|"&amp;TEXT(Q$1,"dd-mmm"),"x")</f>
        <v>x</v>
      </c>
      <c r="R92" s="54" t="str">
        <f>IF(BatSplit(R11,RunsScored)&gt;=50,BatSplit(R11,RunsScored)&amp;IF(BatSplit(R11,NotOuts)=1,"*","")&amp;"|"&amp;$C11&amp;"|"&amp;R$2&amp;"|"&amp;TEXT(R$1,"dd-mmm"),"x")</f>
        <v>x</v>
      </c>
      <c r="S92" s="54" t="str">
        <f>IF(BatSplit(S11,RunsScored)&gt;=50,BatSplit(S11,RunsScored)&amp;IF(BatSplit(S11,NotOuts)=1,"*","")&amp;"|"&amp;$C11&amp;"|"&amp;S$2&amp;"|"&amp;TEXT(S$1,"dd-mmm"),"x")</f>
        <v>x</v>
      </c>
      <c r="T92" s="54" t="str">
        <f>IF(BatSplit(T11,RunsScored)&gt;=50,BatSplit(T11,RunsScored)&amp;IF(BatSplit(T11,NotOuts)=1,"*","")&amp;"|"&amp;$C11&amp;"|"&amp;T$2&amp;"|"&amp;TEXT(T$1,"dd-mmm"),"x")</f>
        <v>x</v>
      </c>
      <c r="U92" s="54" t="str">
        <f>IF(BatSplit(U11,RunsScored)&gt;=50,BatSplit(U11,RunsScored)&amp;IF(BatSplit(U11,NotOuts)=1,"*","")&amp;"|"&amp;$C11&amp;"|"&amp;U$2&amp;"|"&amp;TEXT(U$1,"dd-mmm"),"x")</f>
        <v>x</v>
      </c>
      <c r="V92" s="54" t="str">
        <f>IF(BatSplit(V11,RunsScored)&gt;=50,BatSplit(V11,RunsScored)&amp;IF(BatSplit(V11,NotOuts)=1,"*","")&amp;"|"&amp;$C11&amp;"|"&amp;V$2&amp;"|"&amp;TEXT(V$1,"dd-mmm"),"x")</f>
        <v>x</v>
      </c>
      <c r="W92" s="54" t="str">
        <f>IF(BatSplit(W11,RunsScored)&gt;=50,BatSplit(W11,RunsScored)&amp;IF(BatSplit(W11,NotOuts)=1,"*","")&amp;"|"&amp;$C11&amp;"|"&amp;W$2&amp;"|"&amp;TEXT(W$1,"dd-mmm"),"x")</f>
        <v>x</v>
      </c>
      <c r="X92" s="54" t="str">
        <f>IF(BatSplit(X11,RunsScored)&gt;=50,BatSplit(X11,RunsScored)&amp;IF(BatSplit(X11,NotOuts)=1,"*","")&amp;"|"&amp;$C11&amp;"|"&amp;X$2&amp;"|"&amp;TEXT(X$1,"dd-mmm"),"x")</f>
        <v>x</v>
      </c>
      <c r="Y92" s="54" t="str">
        <f>IF(BatSplit(Y11,RunsScored)&gt;=50,BatSplit(Y11,RunsScored)&amp;IF(BatSplit(Y11,NotOuts)=1,"*","")&amp;"|"&amp;$C11&amp;"|"&amp;Y$2&amp;"|"&amp;TEXT(Y$1,"dd-mmm"),"x")</f>
        <v>x</v>
      </c>
      <c r="Z92" s="54" t="str">
        <f>IF(BatSplit(Z11,RunsScored)&gt;=50,BatSplit(Z11,RunsScored)&amp;IF(BatSplit(Z11,NotOuts)=1,"*","")&amp;"|"&amp;$C11&amp;"|"&amp;Z$2&amp;"|"&amp;TEXT(Z$1,"dd-mmm"),"x")</f>
        <v>x</v>
      </c>
    </row>
    <row r="93" spans="2:46" customFormat="1" x14ac:dyDescent="0.15">
      <c r="D93" s="54" t="str">
        <f>IF(BatSplit(D12,RunsScored)&gt;=50,BatSplit(D12,RunsScored)&amp;IF(BatSplit(D12,NotOuts)=1,"*","")&amp;"|"&amp;$C12&amp;"|"&amp;D$2&amp;"|"&amp;TEXT(D$1,"dd-mmm"),"x")</f>
        <v>x</v>
      </c>
      <c r="E93" s="54" t="str">
        <f>IF(BatSplit(E12,RunsScored)&gt;=50,BatSplit(E12,RunsScored)&amp;IF(BatSplit(E12,NotOuts)=1,"*","")&amp;"|"&amp;$C12&amp;"|"&amp;E$2&amp;"|"&amp;TEXT(E$1,"dd-mmm"),"x")</f>
        <v>x</v>
      </c>
      <c r="F93" s="54" t="str">
        <f>IF(BatSplit(F12,RunsScored)&gt;=50,BatSplit(F12,RunsScored)&amp;IF(BatSplit(F12,NotOuts)=1,"*","")&amp;"|"&amp;$C12&amp;"|"&amp;F$2&amp;"|"&amp;TEXT(F$1,"dd-mmm"),"x")</f>
        <v>x</v>
      </c>
      <c r="G93" s="54" t="str">
        <f>IF(BatSplit(G12,RunsScored)&gt;=50,BatSplit(G12,RunsScored)&amp;IF(BatSplit(G12,NotOuts)=1,"*","")&amp;"|"&amp;$C12&amp;"|"&amp;G$2&amp;"|"&amp;TEXT(G$1,"dd-mmm"),"x")</f>
        <v>x</v>
      </c>
      <c r="H93" s="54" t="str">
        <f>IF(BatSplit(H12,RunsScored)&gt;=50,BatSplit(H12,RunsScored)&amp;IF(BatSplit(H12,NotOuts)=1,"*","")&amp;"|"&amp;$C12&amp;"|"&amp;H$2&amp;"|"&amp;TEXT(H$1,"dd-mmm"),"x")</f>
        <v>x</v>
      </c>
      <c r="I93" s="54" t="str">
        <f>IF(BatSplit(I12,RunsScored)&gt;=50,BatSplit(I12,RunsScored)&amp;IF(BatSplit(I12,NotOuts)=1,"*","")&amp;"|"&amp;$C12&amp;"|"&amp;I$2&amp;"|"&amp;TEXT(I$1,"dd-mmm"),"x")</f>
        <v>x</v>
      </c>
      <c r="J93" s="54" t="str">
        <f>IF(BatSplit(J12,RunsScored)&gt;=50,BatSplit(J12,RunsScored)&amp;IF(BatSplit(J12,NotOuts)=1,"*","")&amp;"|"&amp;$C12&amp;"|"&amp;J$2&amp;"|"&amp;TEXT(J$1,"dd-mmm"),"x")</f>
        <v>x</v>
      </c>
      <c r="K93" s="54" t="str">
        <f>IF(BatSplit(K12,RunsScored)&gt;=50,BatSplit(K12,RunsScored)&amp;IF(BatSplit(K12,NotOuts)=1,"*","")&amp;"|"&amp;$C12&amp;"|"&amp;K$2&amp;"|"&amp;TEXT(K$1,"dd-mmm"),"x")</f>
        <v>x</v>
      </c>
      <c r="L93" s="54" t="str">
        <f>IF(BatSplit(L12,RunsScored)&gt;=50,BatSplit(L12,RunsScored)&amp;IF(BatSplit(L12,NotOuts)=1,"*","")&amp;"|"&amp;$C12&amp;"|"&amp;L$2&amp;"|"&amp;TEXT(L$1,"dd-mmm"),"x")</f>
        <v>x</v>
      </c>
      <c r="M93" s="54" t="str">
        <f>IF(BatSplit(M12,RunsScored)&gt;=50,BatSplit(M12,RunsScored)&amp;IF(BatSplit(M12,NotOuts)=1,"*","")&amp;"|"&amp;$C12&amp;"|"&amp;M$2&amp;"|"&amp;TEXT(M$1,"dd-mmm"),"x")</f>
        <v>x</v>
      </c>
      <c r="N93" s="54" t="str">
        <f>IF(BatSplit(N12,RunsScored)&gt;=50,BatSplit(N12,RunsScored)&amp;IF(BatSplit(N12,NotOuts)=1,"*","")&amp;"|"&amp;$C12&amp;"|"&amp;N$2&amp;"|"&amp;TEXT(N$1,"dd-mmm"),"x")</f>
        <v>x</v>
      </c>
      <c r="O93" s="54" t="str">
        <f>IF(BatSplit(O12,RunsScored)&gt;=50,BatSplit(O12,RunsScored)&amp;IF(BatSplit(O12,NotOuts)=1,"*","")&amp;"|"&amp;$C12&amp;"|"&amp;O$2&amp;"|"&amp;TEXT(O$1,"dd-mmm"),"x")</f>
        <v>x</v>
      </c>
      <c r="P93" s="54" t="str">
        <f>IF(BatSplit(P12,RunsScored)&gt;=50,BatSplit(P12,RunsScored)&amp;IF(BatSplit(P12,NotOuts)=1,"*","")&amp;"|"&amp;$C12&amp;"|"&amp;P$2&amp;"|"&amp;TEXT(P$1,"dd-mmm"),"x")</f>
        <v>x</v>
      </c>
      <c r="Q93" s="54" t="str">
        <f>IF(BatSplit(Q12,RunsScored)&gt;=50,BatSplit(Q12,RunsScored)&amp;IF(BatSplit(Q12,NotOuts)=1,"*","")&amp;"|"&amp;$C12&amp;"|"&amp;Q$2&amp;"|"&amp;TEXT(Q$1,"dd-mmm"),"x")</f>
        <v>x</v>
      </c>
      <c r="R93" s="54" t="str">
        <f>IF(BatSplit(R12,RunsScored)&gt;=50,BatSplit(R12,RunsScored)&amp;IF(BatSplit(R12,NotOuts)=1,"*","")&amp;"|"&amp;$C12&amp;"|"&amp;R$2&amp;"|"&amp;TEXT(R$1,"dd-mmm"),"x")</f>
        <v>x</v>
      </c>
      <c r="S93" s="54" t="str">
        <f>IF(BatSplit(S12,RunsScored)&gt;=50,BatSplit(S12,RunsScored)&amp;IF(BatSplit(S12,NotOuts)=1,"*","")&amp;"|"&amp;$C12&amp;"|"&amp;S$2&amp;"|"&amp;TEXT(S$1,"dd-mmm"),"x")</f>
        <v>x</v>
      </c>
      <c r="T93" s="54" t="str">
        <f>IF(BatSplit(T12,RunsScored)&gt;=50,BatSplit(T12,RunsScored)&amp;IF(BatSplit(T12,NotOuts)=1,"*","")&amp;"|"&amp;$C12&amp;"|"&amp;T$2&amp;"|"&amp;TEXT(T$1,"dd-mmm"),"x")</f>
        <v>x</v>
      </c>
      <c r="U93" s="54" t="str">
        <f>IF(BatSplit(U12,RunsScored)&gt;=50,BatSplit(U12,RunsScored)&amp;IF(BatSplit(U12,NotOuts)=1,"*","")&amp;"|"&amp;$C12&amp;"|"&amp;U$2&amp;"|"&amp;TEXT(U$1,"dd-mmm"),"x")</f>
        <v>x</v>
      </c>
      <c r="V93" s="54" t="str">
        <f>IF(BatSplit(V12,RunsScored)&gt;=50,BatSplit(V12,RunsScored)&amp;IF(BatSplit(V12,NotOuts)=1,"*","")&amp;"|"&amp;$C12&amp;"|"&amp;V$2&amp;"|"&amp;TEXT(V$1,"dd-mmm"),"x")</f>
        <v>x</v>
      </c>
      <c r="W93" s="54" t="str">
        <f>IF(BatSplit(W12,RunsScored)&gt;=50,BatSplit(W12,RunsScored)&amp;IF(BatSplit(W12,NotOuts)=1,"*","")&amp;"|"&amp;$C12&amp;"|"&amp;W$2&amp;"|"&amp;TEXT(W$1,"dd-mmm"),"x")</f>
        <v>x</v>
      </c>
      <c r="X93" s="54" t="str">
        <f>IF(BatSplit(X12,RunsScored)&gt;=50,BatSplit(X12,RunsScored)&amp;IF(BatSplit(X12,NotOuts)=1,"*","")&amp;"|"&amp;$C12&amp;"|"&amp;X$2&amp;"|"&amp;TEXT(X$1,"dd-mmm"),"x")</f>
        <v>x</v>
      </c>
      <c r="Y93" s="54" t="str">
        <f>IF(BatSplit(Y12,RunsScored)&gt;=50,BatSplit(Y12,RunsScored)&amp;IF(BatSplit(Y12,NotOuts)=1,"*","")&amp;"|"&amp;$C12&amp;"|"&amp;Y$2&amp;"|"&amp;TEXT(Y$1,"dd-mmm"),"x")</f>
        <v>x</v>
      </c>
      <c r="Z93" s="54" t="str">
        <f>IF(BatSplit(Z12,RunsScored)&gt;=50,BatSplit(Z12,RunsScored)&amp;IF(BatSplit(Z12,NotOuts)=1,"*","")&amp;"|"&amp;$C12&amp;"|"&amp;Z$2&amp;"|"&amp;TEXT(Z$1,"dd-mmm"),"x")</f>
        <v>x</v>
      </c>
    </row>
    <row r="94" spans="2:46" customFormat="1" x14ac:dyDescent="0.15">
      <c r="D94" s="54" t="str">
        <f>IF(BatSplit(D13,RunsScored)&gt;=50,BatSplit(D13,RunsScored)&amp;IF(BatSplit(D13,NotOuts)=1,"*","")&amp;"|"&amp;$C13&amp;"|"&amp;D$2&amp;"|"&amp;TEXT(D$1,"dd-mmm"),"x")</f>
        <v>x</v>
      </c>
      <c r="E94" s="54" t="str">
        <f>IF(BatSplit(E13,RunsScored)&gt;=50,BatSplit(E13,RunsScored)&amp;IF(BatSplit(E13,NotOuts)=1,"*","")&amp;"|"&amp;$C13&amp;"|"&amp;E$2&amp;"|"&amp;TEXT(E$1,"dd-mmm"),"x")</f>
        <v>x</v>
      </c>
      <c r="F94" s="54" t="str">
        <f>IF(BatSplit(F13,RunsScored)&gt;=50,BatSplit(F13,RunsScored)&amp;IF(BatSplit(F13,NotOuts)=1,"*","")&amp;"|"&amp;$C13&amp;"|"&amp;F$2&amp;"|"&amp;TEXT(F$1,"dd-mmm"),"x")</f>
        <v>x</v>
      </c>
      <c r="G94" s="54" t="str">
        <f>IF(BatSplit(G13,RunsScored)&gt;=50,BatSplit(G13,RunsScored)&amp;IF(BatSplit(G13,NotOuts)=1,"*","")&amp;"|"&amp;$C13&amp;"|"&amp;G$2&amp;"|"&amp;TEXT(G$1,"dd-mmm"),"x")</f>
        <v>x</v>
      </c>
      <c r="H94" s="54" t="str">
        <f>IF(BatSplit(H13,RunsScored)&gt;=50,BatSplit(H13,RunsScored)&amp;IF(BatSplit(H13,NotOuts)=1,"*","")&amp;"|"&amp;$C13&amp;"|"&amp;H$2&amp;"|"&amp;TEXT(H$1,"dd-mmm"),"x")</f>
        <v>x</v>
      </c>
      <c r="I94" s="54" t="str">
        <f>IF(BatSplit(I13,RunsScored)&gt;=50,BatSplit(I13,RunsScored)&amp;IF(BatSplit(I13,NotOuts)=1,"*","")&amp;"|"&amp;$C13&amp;"|"&amp;I$2&amp;"|"&amp;TEXT(I$1,"dd-mmm"),"x")</f>
        <v>x</v>
      </c>
      <c r="J94" s="54" t="str">
        <f>IF(BatSplit(J13,RunsScored)&gt;=50,BatSplit(J13,RunsScored)&amp;IF(BatSplit(J13,NotOuts)=1,"*","")&amp;"|"&amp;$C13&amp;"|"&amp;J$2&amp;"|"&amp;TEXT(J$1,"dd-mmm"),"x")</f>
        <v>x</v>
      </c>
      <c r="K94" s="54" t="str">
        <f>IF(BatSplit(K13,RunsScored)&gt;=50,BatSplit(K13,RunsScored)&amp;IF(BatSplit(K13,NotOuts)=1,"*","")&amp;"|"&amp;$C13&amp;"|"&amp;K$2&amp;"|"&amp;TEXT(K$1,"dd-mmm"),"x")</f>
        <v>x</v>
      </c>
      <c r="L94" s="54" t="str">
        <f>IF(BatSplit(L13,RunsScored)&gt;=50,BatSplit(L13,RunsScored)&amp;IF(BatSplit(L13,NotOuts)=1,"*","")&amp;"|"&amp;$C13&amp;"|"&amp;L$2&amp;"|"&amp;TEXT(L$1,"dd-mmm"),"x")</f>
        <v>x</v>
      </c>
      <c r="M94" s="54" t="str">
        <f>IF(BatSplit(M13,RunsScored)&gt;=50,BatSplit(M13,RunsScored)&amp;IF(BatSplit(M13,NotOuts)=1,"*","")&amp;"|"&amp;$C13&amp;"|"&amp;M$2&amp;"|"&amp;TEXT(M$1,"dd-mmm"),"x")</f>
        <v>x</v>
      </c>
      <c r="N94" s="54" t="str">
        <f>IF(BatSplit(N13,RunsScored)&gt;=50,BatSplit(N13,RunsScored)&amp;IF(BatSplit(N13,NotOuts)=1,"*","")&amp;"|"&amp;$C13&amp;"|"&amp;N$2&amp;"|"&amp;TEXT(N$1,"dd-mmm"),"x")</f>
        <v>x</v>
      </c>
      <c r="O94" s="54" t="str">
        <f>IF(BatSplit(O13,RunsScored)&gt;=50,BatSplit(O13,RunsScored)&amp;IF(BatSplit(O13,NotOuts)=1,"*","")&amp;"|"&amp;$C13&amp;"|"&amp;O$2&amp;"|"&amp;TEXT(O$1,"dd-mmm"),"x")</f>
        <v>x</v>
      </c>
      <c r="P94" s="54" t="str">
        <f>IF(BatSplit(P13,RunsScored)&gt;=50,BatSplit(P13,RunsScored)&amp;IF(BatSplit(P13,NotOuts)=1,"*","")&amp;"|"&amp;$C13&amp;"|"&amp;P$2&amp;"|"&amp;TEXT(P$1,"dd-mmm"),"x")</f>
        <v>x</v>
      </c>
      <c r="Q94" s="54" t="str">
        <f>IF(BatSplit(Q13,RunsScored)&gt;=50,BatSplit(Q13,RunsScored)&amp;IF(BatSplit(Q13,NotOuts)=1,"*","")&amp;"|"&amp;$C13&amp;"|"&amp;Q$2&amp;"|"&amp;TEXT(Q$1,"dd-mmm"),"x")</f>
        <v>x</v>
      </c>
      <c r="R94" s="54" t="str">
        <f>IF(BatSplit(R13,RunsScored)&gt;=50,BatSplit(R13,RunsScored)&amp;IF(BatSplit(R13,NotOuts)=1,"*","")&amp;"|"&amp;$C13&amp;"|"&amp;R$2&amp;"|"&amp;TEXT(R$1,"dd-mmm"),"x")</f>
        <v>x</v>
      </c>
      <c r="S94" s="54" t="str">
        <f>IF(BatSplit(S13,RunsScored)&gt;=50,BatSplit(S13,RunsScored)&amp;IF(BatSplit(S13,NotOuts)=1,"*","")&amp;"|"&amp;$C13&amp;"|"&amp;S$2&amp;"|"&amp;TEXT(S$1,"dd-mmm"),"x")</f>
        <v>x</v>
      </c>
      <c r="T94" s="54" t="str">
        <f>IF(BatSplit(T13,RunsScored)&gt;=50,BatSplit(T13,RunsScored)&amp;IF(BatSplit(T13,NotOuts)=1,"*","")&amp;"|"&amp;$C13&amp;"|"&amp;T$2&amp;"|"&amp;TEXT(T$1,"dd-mmm"),"x")</f>
        <v>x</v>
      </c>
      <c r="U94" s="54" t="str">
        <f>IF(BatSplit(U13,RunsScored)&gt;=50,BatSplit(U13,RunsScored)&amp;IF(BatSplit(U13,NotOuts)=1,"*","")&amp;"|"&amp;$C13&amp;"|"&amp;U$2&amp;"|"&amp;TEXT(U$1,"dd-mmm"),"x")</f>
        <v>x</v>
      </c>
      <c r="V94" s="54" t="str">
        <f>IF(BatSplit(V13,RunsScored)&gt;=50,BatSplit(V13,RunsScored)&amp;IF(BatSplit(V13,NotOuts)=1,"*","")&amp;"|"&amp;$C13&amp;"|"&amp;V$2&amp;"|"&amp;TEXT(V$1,"dd-mmm"),"x")</f>
        <v>x</v>
      </c>
      <c r="W94" s="54" t="str">
        <f>IF(BatSplit(W13,RunsScored)&gt;=50,BatSplit(W13,RunsScored)&amp;IF(BatSplit(W13,NotOuts)=1,"*","")&amp;"|"&amp;$C13&amp;"|"&amp;W$2&amp;"|"&amp;TEXT(W$1,"dd-mmm"),"x")</f>
        <v>x</v>
      </c>
      <c r="X94" s="54" t="str">
        <f>IF(BatSplit(X13,RunsScored)&gt;=50,BatSplit(X13,RunsScored)&amp;IF(BatSplit(X13,NotOuts)=1,"*","")&amp;"|"&amp;$C13&amp;"|"&amp;X$2&amp;"|"&amp;TEXT(X$1,"dd-mmm"),"x")</f>
        <v>x</v>
      </c>
      <c r="Y94" s="54" t="str">
        <f>IF(BatSplit(Y13,RunsScored)&gt;=50,BatSplit(Y13,RunsScored)&amp;IF(BatSplit(Y13,NotOuts)=1,"*","")&amp;"|"&amp;$C13&amp;"|"&amp;Y$2&amp;"|"&amp;TEXT(Y$1,"dd-mmm"),"x")</f>
        <v>x</v>
      </c>
      <c r="Z94" s="54" t="str">
        <f>IF(BatSplit(Z13,RunsScored)&gt;=50,BatSplit(Z13,RunsScored)&amp;IF(BatSplit(Z13,NotOuts)=1,"*","")&amp;"|"&amp;$C13&amp;"|"&amp;Z$2&amp;"|"&amp;TEXT(Z$1,"dd-mmm"),"x")</f>
        <v>x</v>
      </c>
    </row>
    <row r="95" spans="2:46" customFormat="1" x14ac:dyDescent="0.15">
      <c r="D95" s="54" t="str">
        <f>IF(BatSplit(D14,RunsScored)&gt;=50,BatSplit(D14,RunsScored)&amp;IF(BatSplit(D14,NotOuts)=1,"*","")&amp;"|"&amp;$C14&amp;"|"&amp;D$2&amp;"|"&amp;TEXT(D$1,"dd-mmm"),"x")</f>
        <v>x</v>
      </c>
      <c r="E95" s="54" t="str">
        <f>IF(BatSplit(E14,RunsScored)&gt;=50,BatSplit(E14,RunsScored)&amp;IF(BatSplit(E14,NotOuts)=1,"*","")&amp;"|"&amp;$C14&amp;"|"&amp;E$2&amp;"|"&amp;TEXT(E$1,"dd-mmm"),"x")</f>
        <v>x</v>
      </c>
      <c r="F95" s="54" t="str">
        <f>IF(BatSplit(F14,RunsScored)&gt;=50,BatSplit(F14,RunsScored)&amp;IF(BatSplit(F14,NotOuts)=1,"*","")&amp;"|"&amp;$C14&amp;"|"&amp;F$2&amp;"|"&amp;TEXT(F$1,"dd-mmm"),"x")</f>
        <v>x</v>
      </c>
      <c r="G95" s="54" t="str">
        <f>IF(BatSplit(G14,RunsScored)&gt;=50,BatSplit(G14,RunsScored)&amp;IF(BatSplit(G14,NotOuts)=1,"*","")&amp;"|"&amp;$C14&amp;"|"&amp;G$2&amp;"|"&amp;TEXT(G$1,"dd-mmm"),"x")</f>
        <v>x</v>
      </c>
      <c r="H95" s="54" t="str">
        <f>IF(BatSplit(H14,RunsScored)&gt;=50,BatSplit(H14,RunsScored)&amp;IF(BatSplit(H14,NotOuts)=1,"*","")&amp;"|"&amp;$C14&amp;"|"&amp;H$2&amp;"|"&amp;TEXT(H$1,"dd-mmm"),"x")</f>
        <v>x</v>
      </c>
      <c r="I95" s="54" t="str">
        <f>IF(BatSplit(I14,RunsScored)&gt;=50,BatSplit(I14,RunsScored)&amp;IF(BatSplit(I14,NotOuts)=1,"*","")&amp;"|"&amp;$C14&amp;"|"&amp;I$2&amp;"|"&amp;TEXT(I$1,"dd-mmm"),"x")</f>
        <v>x</v>
      </c>
      <c r="J95" s="54" t="str">
        <f>IF(BatSplit(J14,RunsScored)&gt;=50,BatSplit(J14,RunsScored)&amp;IF(BatSplit(J14,NotOuts)=1,"*","")&amp;"|"&amp;$C14&amp;"|"&amp;J$2&amp;"|"&amp;TEXT(J$1,"dd-mmm"),"x")</f>
        <v>x</v>
      </c>
      <c r="K95" s="54" t="str">
        <f>IF(BatSplit(K14,RunsScored)&gt;=50,BatSplit(K14,RunsScored)&amp;IF(BatSplit(K14,NotOuts)=1,"*","")&amp;"|"&amp;$C14&amp;"|"&amp;K$2&amp;"|"&amp;TEXT(K$1,"dd-mmm"),"x")</f>
        <v>x</v>
      </c>
      <c r="L95" s="54" t="str">
        <f>IF(BatSplit(L14,RunsScored)&gt;=50,BatSplit(L14,RunsScored)&amp;IF(BatSplit(L14,NotOuts)=1,"*","")&amp;"|"&amp;$C14&amp;"|"&amp;L$2&amp;"|"&amp;TEXT(L$1,"dd-mmm"),"x")</f>
        <v>x</v>
      </c>
      <c r="M95" s="54" t="str">
        <f>IF(BatSplit(M14,RunsScored)&gt;=50,BatSplit(M14,RunsScored)&amp;IF(BatSplit(M14,NotOuts)=1,"*","")&amp;"|"&amp;$C14&amp;"|"&amp;M$2&amp;"|"&amp;TEXT(M$1,"dd-mmm"),"x")</f>
        <v>x</v>
      </c>
      <c r="N95" s="54" t="str">
        <f>IF(BatSplit(N14,RunsScored)&gt;=50,BatSplit(N14,RunsScored)&amp;IF(BatSplit(N14,NotOuts)=1,"*","")&amp;"|"&amp;$C14&amp;"|"&amp;N$2&amp;"|"&amp;TEXT(N$1,"dd-mmm"),"x")</f>
        <v>x</v>
      </c>
      <c r="O95" s="54" t="str">
        <f>IF(BatSplit(O14,RunsScored)&gt;=50,BatSplit(O14,RunsScored)&amp;IF(BatSplit(O14,NotOuts)=1,"*","")&amp;"|"&amp;$C14&amp;"|"&amp;O$2&amp;"|"&amp;TEXT(O$1,"dd-mmm"),"x")</f>
        <v>x</v>
      </c>
      <c r="P95" s="54" t="str">
        <f>IF(BatSplit(P14,RunsScored)&gt;=50,BatSplit(P14,RunsScored)&amp;IF(BatSplit(P14,NotOuts)=1,"*","")&amp;"|"&amp;$C14&amp;"|"&amp;P$2&amp;"|"&amp;TEXT(P$1,"dd-mmm"),"x")</f>
        <v>x</v>
      </c>
      <c r="Q95" s="54" t="str">
        <f>IF(BatSplit(Q14,RunsScored)&gt;=50,BatSplit(Q14,RunsScored)&amp;IF(BatSplit(Q14,NotOuts)=1,"*","")&amp;"|"&amp;$C14&amp;"|"&amp;Q$2&amp;"|"&amp;TEXT(Q$1,"dd-mmm"),"x")</f>
        <v>x</v>
      </c>
      <c r="R95" s="54" t="str">
        <f>IF(BatSplit(R14,RunsScored)&gt;=50,BatSplit(R14,RunsScored)&amp;IF(BatSplit(R14,NotOuts)=1,"*","")&amp;"|"&amp;$C14&amp;"|"&amp;R$2&amp;"|"&amp;TEXT(R$1,"dd-mmm"),"x")</f>
        <v>x</v>
      </c>
      <c r="S95" s="54" t="str">
        <f>IF(BatSplit(S14,RunsScored)&gt;=50,BatSplit(S14,RunsScored)&amp;IF(BatSplit(S14,NotOuts)=1,"*","")&amp;"|"&amp;$C14&amp;"|"&amp;S$2&amp;"|"&amp;TEXT(S$1,"dd-mmm"),"x")</f>
        <v>x</v>
      </c>
      <c r="T95" s="54" t="str">
        <f>IF(BatSplit(T14,RunsScored)&gt;=50,BatSplit(T14,RunsScored)&amp;IF(BatSplit(T14,NotOuts)=1,"*","")&amp;"|"&amp;$C14&amp;"|"&amp;T$2&amp;"|"&amp;TEXT(T$1,"dd-mmm"),"x")</f>
        <v>x</v>
      </c>
      <c r="U95" s="54" t="str">
        <f>IF(BatSplit(U14,RunsScored)&gt;=50,BatSplit(U14,RunsScored)&amp;IF(BatSplit(U14,NotOuts)=1,"*","")&amp;"|"&amp;$C14&amp;"|"&amp;U$2&amp;"|"&amp;TEXT(U$1,"dd-mmm"),"x")</f>
        <v>x</v>
      </c>
      <c r="V95" s="54" t="str">
        <f>IF(BatSplit(V14,RunsScored)&gt;=50,BatSplit(V14,RunsScored)&amp;IF(BatSplit(V14,NotOuts)=1,"*","")&amp;"|"&amp;$C14&amp;"|"&amp;V$2&amp;"|"&amp;TEXT(V$1,"dd-mmm"),"x")</f>
        <v>x</v>
      </c>
      <c r="W95" s="54" t="str">
        <f>IF(BatSplit(W14,RunsScored)&gt;=50,BatSplit(W14,RunsScored)&amp;IF(BatSplit(W14,NotOuts)=1,"*","")&amp;"|"&amp;$C14&amp;"|"&amp;W$2&amp;"|"&amp;TEXT(W$1,"dd-mmm"),"x")</f>
        <v>x</v>
      </c>
      <c r="X95" s="54" t="str">
        <f>IF(BatSplit(X14,RunsScored)&gt;=50,BatSplit(X14,RunsScored)&amp;IF(BatSplit(X14,NotOuts)=1,"*","")&amp;"|"&amp;$C14&amp;"|"&amp;X$2&amp;"|"&amp;TEXT(X$1,"dd-mmm"),"x")</f>
        <v>x</v>
      </c>
      <c r="Y95" s="54" t="str">
        <f>IF(BatSplit(Y14,RunsScored)&gt;=50,BatSplit(Y14,RunsScored)&amp;IF(BatSplit(Y14,NotOuts)=1,"*","")&amp;"|"&amp;$C14&amp;"|"&amp;Y$2&amp;"|"&amp;TEXT(Y$1,"dd-mmm"),"x")</f>
        <v>x</v>
      </c>
      <c r="Z95" s="54" t="str">
        <f>IF(BatSplit(Z14,RunsScored)&gt;=50,BatSplit(Z14,RunsScored)&amp;IF(BatSplit(Z14,NotOuts)=1,"*","")&amp;"|"&amp;$C14&amp;"|"&amp;Z$2&amp;"|"&amp;TEXT(Z$1,"dd-mmm"),"x")</f>
        <v>x</v>
      </c>
    </row>
    <row r="96" spans="2:46" customFormat="1" x14ac:dyDescent="0.15">
      <c r="D96" s="54" t="str">
        <f>IF(BatSplit(D15,RunsScored)&gt;=50,BatSplit(D15,RunsScored)&amp;IF(BatSplit(D15,NotOuts)=1,"*","")&amp;"|"&amp;$C15&amp;"|"&amp;D$2&amp;"|"&amp;TEXT(D$1,"dd-mmm"),"x")</f>
        <v>x</v>
      </c>
      <c r="E96" s="54" t="str">
        <f>IF(BatSplit(E15,RunsScored)&gt;=50,BatSplit(E15,RunsScored)&amp;IF(BatSplit(E15,NotOuts)=1,"*","")&amp;"|"&amp;$C15&amp;"|"&amp;E$2&amp;"|"&amp;TEXT(E$1,"dd-mmm"),"x")</f>
        <v>x</v>
      </c>
      <c r="F96" s="54" t="str">
        <f>IF(BatSplit(F15,RunsScored)&gt;=50,BatSplit(F15,RunsScored)&amp;IF(BatSplit(F15,NotOuts)=1,"*","")&amp;"|"&amp;$C15&amp;"|"&amp;F$2&amp;"|"&amp;TEXT(F$1,"dd-mmm"),"x")</f>
        <v>x</v>
      </c>
      <c r="G96" s="54" t="str">
        <f>IF(BatSplit(G15,RunsScored)&gt;=50,BatSplit(G15,RunsScored)&amp;IF(BatSplit(G15,NotOuts)=1,"*","")&amp;"|"&amp;$C15&amp;"|"&amp;G$2&amp;"|"&amp;TEXT(G$1,"dd-mmm"),"x")</f>
        <v>x</v>
      </c>
      <c r="H96" s="54" t="str">
        <f>IF(BatSplit(H15,RunsScored)&gt;=50,BatSplit(H15,RunsScored)&amp;IF(BatSplit(H15,NotOuts)=1,"*","")&amp;"|"&amp;$C15&amp;"|"&amp;H$2&amp;"|"&amp;TEXT(H$1,"dd-mmm"),"x")</f>
        <v>x</v>
      </c>
      <c r="I96" s="54" t="str">
        <f>IF(BatSplit(I15,RunsScored)&gt;=50,BatSplit(I15,RunsScored)&amp;IF(BatSplit(I15,NotOuts)=1,"*","")&amp;"|"&amp;$C15&amp;"|"&amp;I$2&amp;"|"&amp;TEXT(I$1,"dd-mmm"),"x")</f>
        <v>x</v>
      </c>
      <c r="J96" s="54" t="str">
        <f>IF(BatSplit(J15,RunsScored)&gt;=50,BatSplit(J15,RunsScored)&amp;IF(BatSplit(J15,NotOuts)=1,"*","")&amp;"|"&amp;$C15&amp;"|"&amp;J$2&amp;"|"&amp;TEXT(J$1,"dd-mmm"),"x")</f>
        <v>x</v>
      </c>
      <c r="K96" s="54" t="str">
        <f>IF(BatSplit(K15,RunsScored)&gt;=50,BatSplit(K15,RunsScored)&amp;IF(BatSplit(K15,NotOuts)=1,"*","")&amp;"|"&amp;$C15&amp;"|"&amp;K$2&amp;"|"&amp;TEXT(K$1,"dd-mmm"),"x")</f>
        <v>x</v>
      </c>
      <c r="L96" s="54" t="str">
        <f>IF(BatSplit(L15,RunsScored)&gt;=50,BatSplit(L15,RunsScored)&amp;IF(BatSplit(L15,NotOuts)=1,"*","")&amp;"|"&amp;$C15&amp;"|"&amp;L$2&amp;"|"&amp;TEXT(L$1,"dd-mmm"),"x")</f>
        <v>x</v>
      </c>
      <c r="M96" s="54" t="str">
        <f>IF(BatSplit(M15,RunsScored)&gt;=50,BatSplit(M15,RunsScored)&amp;IF(BatSplit(M15,NotOuts)=1,"*","")&amp;"|"&amp;$C15&amp;"|"&amp;M$2&amp;"|"&amp;TEXT(M$1,"dd-mmm"),"x")</f>
        <v>x</v>
      </c>
      <c r="N96" s="54" t="str">
        <f>IF(BatSplit(N15,RunsScored)&gt;=50,BatSplit(N15,RunsScored)&amp;IF(BatSplit(N15,NotOuts)=1,"*","")&amp;"|"&amp;$C15&amp;"|"&amp;N$2&amp;"|"&amp;TEXT(N$1,"dd-mmm"),"x")</f>
        <v>x</v>
      </c>
      <c r="O96" s="54" t="str">
        <f>IF(BatSplit(O15,RunsScored)&gt;=50,BatSplit(O15,RunsScored)&amp;IF(BatSplit(O15,NotOuts)=1,"*","")&amp;"|"&amp;$C15&amp;"|"&amp;O$2&amp;"|"&amp;TEXT(O$1,"dd-mmm"),"x")</f>
        <v>x</v>
      </c>
      <c r="P96" s="54" t="str">
        <f>IF(BatSplit(P15,RunsScored)&gt;=50,BatSplit(P15,RunsScored)&amp;IF(BatSplit(P15,NotOuts)=1,"*","")&amp;"|"&amp;$C15&amp;"|"&amp;P$2&amp;"|"&amp;TEXT(P$1,"dd-mmm"),"x")</f>
        <v>x</v>
      </c>
      <c r="Q96" s="54" t="str">
        <f>IF(BatSplit(Q15,RunsScored)&gt;=50,BatSplit(Q15,RunsScored)&amp;IF(BatSplit(Q15,NotOuts)=1,"*","")&amp;"|"&amp;$C15&amp;"|"&amp;Q$2&amp;"|"&amp;TEXT(Q$1,"dd-mmm"),"x")</f>
        <v>x</v>
      </c>
      <c r="R96" s="54" t="str">
        <f>IF(BatSplit(R15,RunsScored)&gt;=50,BatSplit(R15,RunsScored)&amp;IF(BatSplit(R15,NotOuts)=1,"*","")&amp;"|"&amp;$C15&amp;"|"&amp;R$2&amp;"|"&amp;TEXT(R$1,"dd-mmm"),"x")</f>
        <v>x</v>
      </c>
      <c r="S96" s="54" t="str">
        <f>IF(BatSplit(S15,RunsScored)&gt;=50,BatSplit(S15,RunsScored)&amp;IF(BatSplit(S15,NotOuts)=1,"*","")&amp;"|"&amp;$C15&amp;"|"&amp;S$2&amp;"|"&amp;TEXT(S$1,"dd-mmm"),"x")</f>
        <v>x</v>
      </c>
      <c r="T96" s="54" t="str">
        <f>IF(BatSplit(T15,RunsScored)&gt;=50,BatSplit(T15,RunsScored)&amp;IF(BatSplit(T15,NotOuts)=1,"*","")&amp;"|"&amp;$C15&amp;"|"&amp;T$2&amp;"|"&amp;TEXT(T$1,"dd-mmm"),"x")</f>
        <v>x</v>
      </c>
      <c r="U96" s="54" t="str">
        <f>IF(BatSplit(U15,RunsScored)&gt;=50,BatSplit(U15,RunsScored)&amp;IF(BatSplit(U15,NotOuts)=1,"*","")&amp;"|"&amp;$C15&amp;"|"&amp;U$2&amp;"|"&amp;TEXT(U$1,"dd-mmm"),"x")</f>
        <v>x</v>
      </c>
      <c r="V96" s="54" t="str">
        <f>IF(BatSplit(V15,RunsScored)&gt;=50,BatSplit(V15,RunsScored)&amp;IF(BatSplit(V15,NotOuts)=1,"*","")&amp;"|"&amp;$C15&amp;"|"&amp;V$2&amp;"|"&amp;TEXT(V$1,"dd-mmm"),"x")</f>
        <v>x</v>
      </c>
      <c r="W96" s="54" t="str">
        <f>IF(BatSplit(W15,RunsScored)&gt;=50,BatSplit(W15,RunsScored)&amp;IF(BatSplit(W15,NotOuts)=1,"*","")&amp;"|"&amp;$C15&amp;"|"&amp;W$2&amp;"|"&amp;TEXT(W$1,"dd-mmm"),"x")</f>
        <v>x</v>
      </c>
      <c r="X96" s="54" t="str">
        <f>IF(BatSplit(X15,RunsScored)&gt;=50,BatSplit(X15,RunsScored)&amp;IF(BatSplit(X15,NotOuts)=1,"*","")&amp;"|"&amp;$C15&amp;"|"&amp;X$2&amp;"|"&amp;TEXT(X$1,"dd-mmm"),"x")</f>
        <v>x</v>
      </c>
      <c r="Y96" s="54" t="str">
        <f>IF(BatSplit(Y15,RunsScored)&gt;=50,BatSplit(Y15,RunsScored)&amp;IF(BatSplit(Y15,NotOuts)=1,"*","")&amp;"|"&amp;$C15&amp;"|"&amp;Y$2&amp;"|"&amp;TEXT(Y$1,"dd-mmm"),"x")</f>
        <v>x</v>
      </c>
      <c r="Z96" s="54" t="str">
        <f>IF(BatSplit(Z15,RunsScored)&gt;=50,BatSplit(Z15,RunsScored)&amp;IF(BatSplit(Z15,NotOuts)=1,"*","")&amp;"|"&amp;$C15&amp;"|"&amp;Z$2&amp;"|"&amp;TEXT(Z$1,"dd-mmm"),"x")</f>
        <v>x</v>
      </c>
    </row>
    <row r="97" spans="4:26" customFormat="1" x14ac:dyDescent="0.15">
      <c r="D97" s="54" t="str">
        <f>IF(BatSplit(D16,RunsScored)&gt;=50,BatSplit(D16,RunsScored)&amp;IF(BatSplit(D16,NotOuts)=1,"*","")&amp;"|"&amp;$C16&amp;"|"&amp;D$2&amp;"|"&amp;TEXT(D$1,"dd-mmm"),"x")</f>
        <v>x</v>
      </c>
      <c r="E97" s="54" t="str">
        <f>IF(BatSplit(E16,RunsScored)&gt;=50,BatSplit(E16,RunsScored)&amp;IF(BatSplit(E16,NotOuts)=1,"*","")&amp;"|"&amp;$C16&amp;"|"&amp;E$2&amp;"|"&amp;TEXT(E$1,"dd-mmm"),"x")</f>
        <v>x</v>
      </c>
      <c r="F97" s="54" t="str">
        <f>IF(BatSplit(F16,RunsScored)&gt;=50,BatSplit(F16,RunsScored)&amp;IF(BatSplit(F16,NotOuts)=1,"*","")&amp;"|"&amp;$C16&amp;"|"&amp;F$2&amp;"|"&amp;TEXT(F$1,"dd-mmm"),"x")</f>
        <v>x</v>
      </c>
      <c r="G97" s="54" t="str">
        <f>IF(BatSplit(G16,RunsScored)&gt;=50,BatSplit(G16,RunsScored)&amp;IF(BatSplit(G16,NotOuts)=1,"*","")&amp;"|"&amp;$C16&amp;"|"&amp;G$2&amp;"|"&amp;TEXT(G$1,"dd-mmm"),"x")</f>
        <v>x</v>
      </c>
      <c r="H97" s="54" t="str">
        <f>IF(BatSplit(H16,RunsScored)&gt;=50,BatSplit(H16,RunsScored)&amp;IF(BatSplit(H16,NotOuts)=1,"*","")&amp;"|"&amp;$C16&amp;"|"&amp;H$2&amp;"|"&amp;TEXT(H$1,"dd-mmm"),"x")</f>
        <v>x</v>
      </c>
      <c r="I97" s="54" t="str">
        <f>IF(BatSplit(I16,RunsScored)&gt;=50,BatSplit(I16,RunsScored)&amp;IF(BatSplit(I16,NotOuts)=1,"*","")&amp;"|"&amp;$C16&amp;"|"&amp;I$2&amp;"|"&amp;TEXT(I$1,"dd-mmm"),"x")</f>
        <v>x</v>
      </c>
      <c r="J97" s="54" t="str">
        <f>IF(BatSplit(J16,RunsScored)&gt;=50,BatSplit(J16,RunsScored)&amp;IF(BatSplit(J16,NotOuts)=1,"*","")&amp;"|"&amp;$C16&amp;"|"&amp;J$2&amp;"|"&amp;TEXT(J$1,"dd-mmm"),"x")</f>
        <v>x</v>
      </c>
      <c r="K97" s="54" t="str">
        <f>IF(BatSplit(K16,RunsScored)&gt;=50,BatSplit(K16,RunsScored)&amp;IF(BatSplit(K16,NotOuts)=1,"*","")&amp;"|"&amp;$C16&amp;"|"&amp;K$2&amp;"|"&amp;TEXT(K$1,"dd-mmm"),"x")</f>
        <v>x</v>
      </c>
      <c r="L97" s="54" t="str">
        <f>IF(BatSplit(L16,RunsScored)&gt;=50,BatSplit(L16,RunsScored)&amp;IF(BatSplit(L16,NotOuts)=1,"*","")&amp;"|"&amp;$C16&amp;"|"&amp;L$2&amp;"|"&amp;TEXT(L$1,"dd-mmm"),"x")</f>
        <v>x</v>
      </c>
      <c r="M97" s="54" t="str">
        <f>IF(BatSplit(M16,RunsScored)&gt;=50,BatSplit(M16,RunsScored)&amp;IF(BatSplit(M16,NotOuts)=1,"*","")&amp;"|"&amp;$C16&amp;"|"&amp;M$2&amp;"|"&amp;TEXT(M$1,"dd-mmm"),"x")</f>
        <v>x</v>
      </c>
      <c r="N97" s="54" t="str">
        <f>IF(BatSplit(N16,RunsScored)&gt;=50,BatSplit(N16,RunsScored)&amp;IF(BatSplit(N16,NotOuts)=1,"*","")&amp;"|"&amp;$C16&amp;"|"&amp;N$2&amp;"|"&amp;TEXT(N$1,"dd-mmm"),"x")</f>
        <v>x</v>
      </c>
      <c r="O97" s="54" t="str">
        <f>IF(BatSplit(O16,RunsScored)&gt;=50,BatSplit(O16,RunsScored)&amp;IF(BatSplit(O16,NotOuts)=1,"*","")&amp;"|"&amp;$C16&amp;"|"&amp;O$2&amp;"|"&amp;TEXT(O$1,"dd-mmm"),"x")</f>
        <v>x</v>
      </c>
      <c r="P97" s="54" t="str">
        <f>IF(BatSplit(P16,RunsScored)&gt;=50,BatSplit(P16,RunsScored)&amp;IF(BatSplit(P16,NotOuts)=1,"*","")&amp;"|"&amp;$C16&amp;"|"&amp;P$2&amp;"|"&amp;TEXT(P$1,"dd-mmm"),"x")</f>
        <v>x</v>
      </c>
      <c r="Q97" s="54" t="str">
        <f>IF(BatSplit(Q16,RunsScored)&gt;=50,BatSplit(Q16,RunsScored)&amp;IF(BatSplit(Q16,NotOuts)=1,"*","")&amp;"|"&amp;$C16&amp;"|"&amp;Q$2&amp;"|"&amp;TEXT(Q$1,"dd-mmm"),"x")</f>
        <v>x</v>
      </c>
      <c r="R97" s="54" t="str">
        <f>IF(BatSplit(R16,RunsScored)&gt;=50,BatSplit(R16,RunsScored)&amp;IF(BatSplit(R16,NotOuts)=1,"*","")&amp;"|"&amp;$C16&amp;"|"&amp;R$2&amp;"|"&amp;TEXT(R$1,"dd-mmm"),"x")</f>
        <v>x</v>
      </c>
      <c r="S97" s="54" t="str">
        <f>IF(BatSplit(S16,RunsScored)&gt;=50,BatSplit(S16,RunsScored)&amp;IF(BatSplit(S16,NotOuts)=1,"*","")&amp;"|"&amp;$C16&amp;"|"&amp;S$2&amp;"|"&amp;TEXT(S$1,"dd-mmm"),"x")</f>
        <v>x</v>
      </c>
      <c r="T97" s="54" t="str">
        <f>IF(BatSplit(T16,RunsScored)&gt;=50,BatSplit(T16,RunsScored)&amp;IF(BatSplit(T16,NotOuts)=1,"*","")&amp;"|"&amp;$C16&amp;"|"&amp;T$2&amp;"|"&amp;TEXT(T$1,"dd-mmm"),"x")</f>
        <v>x</v>
      </c>
      <c r="U97" s="54" t="str">
        <f>IF(BatSplit(U16,RunsScored)&gt;=50,BatSplit(U16,RunsScored)&amp;IF(BatSplit(U16,NotOuts)=1,"*","")&amp;"|"&amp;$C16&amp;"|"&amp;U$2&amp;"|"&amp;TEXT(U$1,"dd-mmm"),"x")</f>
        <v>x</v>
      </c>
      <c r="V97" s="54" t="str">
        <f>IF(BatSplit(V16,RunsScored)&gt;=50,BatSplit(V16,RunsScored)&amp;IF(BatSplit(V16,NotOuts)=1,"*","")&amp;"|"&amp;$C16&amp;"|"&amp;V$2&amp;"|"&amp;TEXT(V$1,"dd-mmm"),"x")</f>
        <v>x</v>
      </c>
      <c r="W97" s="54" t="str">
        <f>IF(BatSplit(W16,RunsScored)&gt;=50,BatSplit(W16,RunsScored)&amp;IF(BatSplit(W16,NotOuts)=1,"*","")&amp;"|"&amp;$C16&amp;"|"&amp;W$2&amp;"|"&amp;TEXT(W$1,"dd-mmm"),"x")</f>
        <v>x</v>
      </c>
      <c r="X97" s="54" t="str">
        <f>IF(BatSplit(X16,RunsScored)&gt;=50,BatSplit(X16,RunsScored)&amp;IF(BatSplit(X16,NotOuts)=1,"*","")&amp;"|"&amp;$C16&amp;"|"&amp;X$2&amp;"|"&amp;TEXT(X$1,"dd-mmm"),"x")</f>
        <v>x</v>
      </c>
      <c r="Y97" s="54" t="str">
        <f>IF(BatSplit(Y16,RunsScored)&gt;=50,BatSplit(Y16,RunsScored)&amp;IF(BatSplit(Y16,NotOuts)=1,"*","")&amp;"|"&amp;$C16&amp;"|"&amp;Y$2&amp;"|"&amp;TEXT(Y$1,"dd-mmm"),"x")</f>
        <v>x</v>
      </c>
      <c r="Z97" s="54" t="str">
        <f>IF(BatSplit(Z16,RunsScored)&gt;=50,BatSplit(Z16,RunsScored)&amp;IF(BatSplit(Z16,NotOuts)=1,"*","")&amp;"|"&amp;$C16&amp;"|"&amp;Z$2&amp;"|"&amp;TEXT(Z$1,"dd-mmm"),"x")</f>
        <v>x</v>
      </c>
    </row>
    <row r="98" spans="4:26" customFormat="1" x14ac:dyDescent="0.15">
      <c r="D98" s="54" t="str">
        <f>IF(BatSplit(D17,RunsScored)&gt;=50,BatSplit(D17,RunsScored)&amp;IF(BatSplit(D17,NotOuts)=1,"*","")&amp;"|"&amp;$C17&amp;"|"&amp;D$2&amp;"|"&amp;TEXT(D$1,"dd-mmm"),"x")</f>
        <v>x</v>
      </c>
      <c r="E98" s="54" t="str">
        <f>IF(BatSplit(E17,RunsScored)&gt;=50,BatSplit(E17,RunsScored)&amp;IF(BatSplit(E17,NotOuts)=1,"*","")&amp;"|"&amp;$C17&amp;"|"&amp;E$2&amp;"|"&amp;TEXT(E$1,"dd-mmm"),"x")</f>
        <v>x</v>
      </c>
      <c r="F98" s="54" t="str">
        <f>IF(BatSplit(F17,RunsScored)&gt;=50,BatSplit(F17,RunsScored)&amp;IF(BatSplit(F17,NotOuts)=1,"*","")&amp;"|"&amp;$C17&amp;"|"&amp;F$2&amp;"|"&amp;TEXT(F$1,"dd-mmm"),"x")</f>
        <v>x</v>
      </c>
      <c r="G98" s="54" t="str">
        <f>IF(BatSplit(G17,RunsScored)&gt;=50,BatSplit(G17,RunsScored)&amp;IF(BatSplit(G17,NotOuts)=1,"*","")&amp;"|"&amp;$C17&amp;"|"&amp;G$2&amp;"|"&amp;TEXT(G$1,"dd-mmm"),"x")</f>
        <v>x</v>
      </c>
      <c r="H98" s="54" t="str">
        <f>IF(BatSplit(H17,RunsScored)&gt;=50,BatSplit(H17,RunsScored)&amp;IF(BatSplit(H17,NotOuts)=1,"*","")&amp;"|"&amp;$C17&amp;"|"&amp;H$2&amp;"|"&amp;TEXT(H$1,"dd-mmm"),"x")</f>
        <v>x</v>
      </c>
      <c r="I98" s="54" t="str">
        <f>IF(BatSplit(I17,RunsScored)&gt;=50,BatSplit(I17,RunsScored)&amp;IF(BatSplit(I17,NotOuts)=1,"*","")&amp;"|"&amp;$C17&amp;"|"&amp;I$2&amp;"|"&amp;TEXT(I$1,"dd-mmm"),"x")</f>
        <v>x</v>
      </c>
      <c r="J98" s="54" t="str">
        <f>IF(BatSplit(J17,RunsScored)&gt;=50,BatSplit(J17,RunsScored)&amp;IF(BatSplit(J17,NotOuts)=1,"*","")&amp;"|"&amp;$C17&amp;"|"&amp;J$2&amp;"|"&amp;TEXT(J$1,"dd-mmm"),"x")</f>
        <v>x</v>
      </c>
      <c r="K98" s="54" t="str">
        <f>IF(BatSplit(K17,RunsScored)&gt;=50,BatSplit(K17,RunsScored)&amp;IF(BatSplit(K17,NotOuts)=1,"*","")&amp;"|"&amp;$C17&amp;"|"&amp;K$2&amp;"|"&amp;TEXT(K$1,"dd-mmm"),"x")</f>
        <v>x</v>
      </c>
      <c r="L98" s="54" t="str">
        <f>IF(BatSplit(L17,RunsScored)&gt;=50,BatSplit(L17,RunsScored)&amp;IF(BatSplit(L17,NotOuts)=1,"*","")&amp;"|"&amp;$C17&amp;"|"&amp;L$2&amp;"|"&amp;TEXT(L$1,"dd-mmm"),"x")</f>
        <v>x</v>
      </c>
      <c r="M98" s="54" t="str">
        <f>IF(BatSplit(M17,RunsScored)&gt;=50,BatSplit(M17,RunsScored)&amp;IF(BatSplit(M17,NotOuts)=1,"*","")&amp;"|"&amp;$C17&amp;"|"&amp;M$2&amp;"|"&amp;TEXT(M$1,"dd-mmm"),"x")</f>
        <v>x</v>
      </c>
      <c r="N98" s="54" t="str">
        <f>IF(BatSplit(N17,RunsScored)&gt;=50,BatSplit(N17,RunsScored)&amp;IF(BatSplit(N17,NotOuts)=1,"*","")&amp;"|"&amp;$C17&amp;"|"&amp;N$2&amp;"|"&amp;TEXT(N$1,"dd-mmm"),"x")</f>
        <v>x</v>
      </c>
      <c r="O98" s="54" t="str">
        <f>IF(BatSplit(O17,RunsScored)&gt;=50,BatSplit(O17,RunsScored)&amp;IF(BatSplit(O17,NotOuts)=1,"*","")&amp;"|"&amp;$C17&amp;"|"&amp;O$2&amp;"|"&amp;TEXT(O$1,"dd-mmm"),"x")</f>
        <v>x</v>
      </c>
      <c r="P98" s="54" t="str">
        <f>IF(BatSplit(P17,RunsScored)&gt;=50,BatSplit(P17,RunsScored)&amp;IF(BatSplit(P17,NotOuts)=1,"*","")&amp;"|"&amp;$C17&amp;"|"&amp;P$2&amp;"|"&amp;TEXT(P$1,"dd-mmm"),"x")</f>
        <v>x</v>
      </c>
      <c r="Q98" s="54" t="str">
        <f>IF(BatSplit(Q17,RunsScored)&gt;=50,BatSplit(Q17,RunsScored)&amp;IF(BatSplit(Q17,NotOuts)=1,"*","")&amp;"|"&amp;$C17&amp;"|"&amp;Q$2&amp;"|"&amp;TEXT(Q$1,"dd-mmm"),"x")</f>
        <v>x</v>
      </c>
      <c r="R98" s="54" t="str">
        <f>IF(BatSplit(R17,RunsScored)&gt;=50,BatSplit(R17,RunsScored)&amp;IF(BatSplit(R17,NotOuts)=1,"*","")&amp;"|"&amp;$C17&amp;"|"&amp;R$2&amp;"|"&amp;TEXT(R$1,"dd-mmm"),"x")</f>
        <v>x</v>
      </c>
      <c r="S98" s="54" t="str">
        <f>IF(BatSplit(S17,RunsScored)&gt;=50,BatSplit(S17,RunsScored)&amp;IF(BatSplit(S17,NotOuts)=1,"*","")&amp;"|"&amp;$C17&amp;"|"&amp;S$2&amp;"|"&amp;TEXT(S$1,"dd-mmm"),"x")</f>
        <v>x</v>
      </c>
      <c r="T98" s="54" t="str">
        <f>IF(BatSplit(T17,RunsScored)&gt;=50,BatSplit(T17,RunsScored)&amp;IF(BatSplit(T17,NotOuts)=1,"*","")&amp;"|"&amp;$C17&amp;"|"&amp;T$2&amp;"|"&amp;TEXT(T$1,"dd-mmm"),"x")</f>
        <v>x</v>
      </c>
      <c r="U98" s="54" t="str">
        <f>IF(BatSplit(U17,RunsScored)&gt;=50,BatSplit(U17,RunsScored)&amp;IF(BatSplit(U17,NotOuts)=1,"*","")&amp;"|"&amp;$C17&amp;"|"&amp;U$2&amp;"|"&amp;TEXT(U$1,"dd-mmm"),"x")</f>
        <v>x</v>
      </c>
      <c r="V98" s="54" t="str">
        <f>IF(BatSplit(V17,RunsScored)&gt;=50,BatSplit(V17,RunsScored)&amp;IF(BatSplit(V17,NotOuts)=1,"*","")&amp;"|"&amp;$C17&amp;"|"&amp;V$2&amp;"|"&amp;TEXT(V$1,"dd-mmm"),"x")</f>
        <v>x</v>
      </c>
      <c r="W98" s="54" t="str">
        <f>IF(BatSplit(W17,RunsScored)&gt;=50,BatSplit(W17,RunsScored)&amp;IF(BatSplit(W17,NotOuts)=1,"*","")&amp;"|"&amp;$C17&amp;"|"&amp;W$2&amp;"|"&amp;TEXT(W$1,"dd-mmm"),"x")</f>
        <v>x</v>
      </c>
      <c r="X98" s="54" t="str">
        <f>IF(BatSplit(X17,RunsScored)&gt;=50,BatSplit(X17,RunsScored)&amp;IF(BatSplit(X17,NotOuts)=1,"*","")&amp;"|"&amp;$C17&amp;"|"&amp;X$2&amp;"|"&amp;TEXT(X$1,"dd-mmm"),"x")</f>
        <v>x</v>
      </c>
      <c r="Y98" s="54" t="str">
        <f>IF(BatSplit(Y17,RunsScored)&gt;=50,BatSplit(Y17,RunsScored)&amp;IF(BatSplit(Y17,NotOuts)=1,"*","")&amp;"|"&amp;$C17&amp;"|"&amp;Y$2&amp;"|"&amp;TEXT(Y$1,"dd-mmm"),"x")</f>
        <v>x</v>
      </c>
      <c r="Z98" s="54" t="str">
        <f>IF(BatSplit(Z17,RunsScored)&gt;=50,BatSplit(Z17,RunsScored)&amp;IF(BatSplit(Z17,NotOuts)=1,"*","")&amp;"|"&amp;$C17&amp;"|"&amp;Z$2&amp;"|"&amp;TEXT(Z$1,"dd-mmm"),"x")</f>
        <v>x</v>
      </c>
    </row>
    <row r="99" spans="4:26" customFormat="1" x14ac:dyDescent="0.15">
      <c r="D99" s="54" t="str">
        <f>IF(BatSplit(D18,RunsScored)&gt;=50,BatSplit(D18,RunsScored)&amp;IF(BatSplit(D18,NotOuts)=1,"*","")&amp;"|"&amp;$C18&amp;"|"&amp;D$2&amp;"|"&amp;TEXT(D$1,"dd-mmm"),"x")</f>
        <v>x</v>
      </c>
      <c r="E99" s="54" t="str">
        <f>IF(BatSplit(E18,RunsScored)&gt;=50,BatSplit(E18,RunsScored)&amp;IF(BatSplit(E18,NotOuts)=1,"*","")&amp;"|"&amp;$C18&amp;"|"&amp;E$2&amp;"|"&amp;TEXT(E$1,"dd-mmm"),"x")</f>
        <v>x</v>
      </c>
      <c r="F99" s="54" t="str">
        <f>IF(BatSplit(F18,RunsScored)&gt;=50,BatSplit(F18,RunsScored)&amp;IF(BatSplit(F18,NotOuts)=1,"*","")&amp;"|"&amp;$C18&amp;"|"&amp;F$2&amp;"|"&amp;TEXT(F$1,"dd-mmm"),"x")</f>
        <v>x</v>
      </c>
      <c r="G99" s="54" t="str">
        <f>IF(BatSplit(G18,RunsScored)&gt;=50,BatSplit(G18,RunsScored)&amp;IF(BatSplit(G18,NotOuts)=1,"*","")&amp;"|"&amp;$C18&amp;"|"&amp;G$2&amp;"|"&amp;TEXT(G$1,"dd-mmm"),"x")</f>
        <v>x</v>
      </c>
      <c r="H99" s="54" t="str">
        <f>IF(BatSplit(H18,RunsScored)&gt;=50,BatSplit(H18,RunsScored)&amp;IF(BatSplit(H18,NotOuts)=1,"*","")&amp;"|"&amp;$C18&amp;"|"&amp;H$2&amp;"|"&amp;TEXT(H$1,"dd-mmm"),"x")</f>
        <v>x</v>
      </c>
      <c r="I99" s="54" t="str">
        <f>IF(BatSplit(I18,RunsScored)&gt;=50,BatSplit(I18,RunsScored)&amp;IF(BatSplit(I18,NotOuts)=1,"*","")&amp;"|"&amp;$C18&amp;"|"&amp;I$2&amp;"|"&amp;TEXT(I$1,"dd-mmm"),"x")</f>
        <v>x</v>
      </c>
      <c r="J99" s="54" t="str">
        <f>IF(BatSplit(J18,RunsScored)&gt;=50,BatSplit(J18,RunsScored)&amp;IF(BatSplit(J18,NotOuts)=1,"*","")&amp;"|"&amp;$C18&amp;"|"&amp;J$2&amp;"|"&amp;TEXT(J$1,"dd-mmm"),"x")</f>
        <v>x</v>
      </c>
      <c r="K99" s="54" t="str">
        <f>IF(BatSplit(K18,RunsScored)&gt;=50,BatSplit(K18,RunsScored)&amp;IF(BatSplit(K18,NotOuts)=1,"*","")&amp;"|"&amp;$C18&amp;"|"&amp;K$2&amp;"|"&amp;TEXT(K$1,"dd-mmm"),"x")</f>
        <v>x</v>
      </c>
      <c r="L99" s="54" t="str">
        <f>IF(BatSplit(L18,RunsScored)&gt;=50,BatSplit(L18,RunsScored)&amp;IF(BatSplit(L18,NotOuts)=1,"*","")&amp;"|"&amp;$C18&amp;"|"&amp;L$2&amp;"|"&amp;TEXT(L$1,"dd-mmm"),"x")</f>
        <v>x</v>
      </c>
      <c r="M99" s="54" t="str">
        <f>IF(BatSplit(M18,RunsScored)&gt;=50,BatSplit(M18,RunsScored)&amp;IF(BatSplit(M18,NotOuts)=1,"*","")&amp;"|"&amp;$C18&amp;"|"&amp;M$2&amp;"|"&amp;TEXT(M$1,"dd-mmm"),"x")</f>
        <v>x</v>
      </c>
      <c r="N99" s="54" t="str">
        <f>IF(BatSplit(N18,RunsScored)&gt;=50,BatSplit(N18,RunsScored)&amp;IF(BatSplit(N18,NotOuts)=1,"*","")&amp;"|"&amp;$C18&amp;"|"&amp;N$2&amp;"|"&amp;TEXT(N$1,"dd-mmm"),"x")</f>
        <v>x</v>
      </c>
      <c r="O99" s="54" t="str">
        <f>IF(BatSplit(O18,RunsScored)&gt;=50,BatSplit(O18,RunsScored)&amp;IF(BatSplit(O18,NotOuts)=1,"*","")&amp;"|"&amp;$C18&amp;"|"&amp;O$2&amp;"|"&amp;TEXT(O$1,"dd-mmm"),"x")</f>
        <v>x</v>
      </c>
      <c r="P99" s="54" t="str">
        <f>IF(BatSplit(P18,RunsScored)&gt;=50,BatSplit(P18,RunsScored)&amp;IF(BatSplit(P18,NotOuts)=1,"*","")&amp;"|"&amp;$C18&amp;"|"&amp;P$2&amp;"|"&amp;TEXT(P$1,"dd-mmm"),"x")</f>
        <v>x</v>
      </c>
      <c r="Q99" s="54" t="str">
        <f>IF(BatSplit(Q18,RunsScored)&gt;=50,BatSplit(Q18,RunsScored)&amp;IF(BatSplit(Q18,NotOuts)=1,"*","")&amp;"|"&amp;$C18&amp;"|"&amp;Q$2&amp;"|"&amp;TEXT(Q$1,"dd-mmm"),"x")</f>
        <v>x</v>
      </c>
      <c r="R99" s="54" t="str">
        <f>IF(BatSplit(R18,RunsScored)&gt;=50,BatSplit(R18,RunsScored)&amp;IF(BatSplit(R18,NotOuts)=1,"*","")&amp;"|"&amp;$C18&amp;"|"&amp;R$2&amp;"|"&amp;TEXT(R$1,"dd-mmm"),"x")</f>
        <v>x</v>
      </c>
      <c r="S99" s="54" t="str">
        <f>IF(BatSplit(S18,RunsScored)&gt;=50,BatSplit(S18,RunsScored)&amp;IF(BatSplit(S18,NotOuts)=1,"*","")&amp;"|"&amp;$C18&amp;"|"&amp;S$2&amp;"|"&amp;TEXT(S$1,"dd-mmm"),"x")</f>
        <v>x</v>
      </c>
      <c r="T99" s="54" t="str">
        <f>IF(BatSplit(T18,RunsScored)&gt;=50,BatSplit(T18,RunsScored)&amp;IF(BatSplit(T18,NotOuts)=1,"*","")&amp;"|"&amp;$C18&amp;"|"&amp;T$2&amp;"|"&amp;TEXT(T$1,"dd-mmm"),"x")</f>
        <v>x</v>
      </c>
      <c r="U99" s="54" t="str">
        <f>IF(BatSplit(U18,RunsScored)&gt;=50,BatSplit(U18,RunsScored)&amp;IF(BatSplit(U18,NotOuts)=1,"*","")&amp;"|"&amp;$C18&amp;"|"&amp;U$2&amp;"|"&amp;TEXT(U$1,"dd-mmm"),"x")</f>
        <v>x</v>
      </c>
      <c r="V99" s="54" t="str">
        <f>IF(BatSplit(V18,RunsScored)&gt;=50,BatSplit(V18,RunsScored)&amp;IF(BatSplit(V18,NotOuts)=1,"*","")&amp;"|"&amp;$C18&amp;"|"&amp;V$2&amp;"|"&amp;TEXT(V$1,"dd-mmm"),"x")</f>
        <v>x</v>
      </c>
      <c r="W99" s="54" t="str">
        <f>IF(BatSplit(W18,RunsScored)&gt;=50,BatSplit(W18,RunsScored)&amp;IF(BatSplit(W18,NotOuts)=1,"*","")&amp;"|"&amp;$C18&amp;"|"&amp;W$2&amp;"|"&amp;TEXT(W$1,"dd-mmm"),"x")</f>
        <v>x</v>
      </c>
      <c r="X99" s="54" t="str">
        <f>IF(BatSplit(X18,RunsScored)&gt;=50,BatSplit(X18,RunsScored)&amp;IF(BatSplit(X18,NotOuts)=1,"*","")&amp;"|"&amp;$C18&amp;"|"&amp;X$2&amp;"|"&amp;TEXT(X$1,"dd-mmm"),"x")</f>
        <v>x</v>
      </c>
      <c r="Y99" s="54" t="str">
        <f>IF(BatSplit(Y18,RunsScored)&gt;=50,BatSplit(Y18,RunsScored)&amp;IF(BatSplit(Y18,NotOuts)=1,"*","")&amp;"|"&amp;$C18&amp;"|"&amp;Y$2&amp;"|"&amp;TEXT(Y$1,"dd-mmm"),"x")</f>
        <v>x</v>
      </c>
      <c r="Z99" s="54" t="str">
        <f>IF(BatSplit(Z18,RunsScored)&gt;=50,BatSplit(Z18,RunsScored)&amp;IF(BatSplit(Z18,NotOuts)=1,"*","")&amp;"|"&amp;$C18&amp;"|"&amp;Z$2&amp;"|"&amp;TEXT(Z$1,"dd-mmm"),"x")</f>
        <v>x</v>
      </c>
    </row>
    <row r="100" spans="4:26" customFormat="1" x14ac:dyDescent="0.15">
      <c r="D100" s="54" t="str">
        <f>IF(BatSplit(D19,RunsScored)&gt;=50,BatSplit(D19,RunsScored)&amp;IF(BatSplit(D19,NotOuts)=1,"*","")&amp;"|"&amp;$C19&amp;"|"&amp;D$2&amp;"|"&amp;TEXT(D$1,"dd-mmm"),"x")</f>
        <v>x</v>
      </c>
      <c r="E100" s="54" t="str">
        <f>IF(BatSplit(E19,RunsScored)&gt;=50,BatSplit(E19,RunsScored)&amp;IF(BatSplit(E19,NotOuts)=1,"*","")&amp;"|"&amp;$C19&amp;"|"&amp;E$2&amp;"|"&amp;TEXT(E$1,"dd-mmm"),"x")</f>
        <v>x</v>
      </c>
      <c r="F100" s="54" t="str">
        <f>IF(BatSplit(F19,RunsScored)&gt;=50,BatSplit(F19,RunsScored)&amp;IF(BatSplit(F19,NotOuts)=1,"*","")&amp;"|"&amp;$C19&amp;"|"&amp;F$2&amp;"|"&amp;TEXT(F$1,"dd-mmm"),"x")</f>
        <v>x</v>
      </c>
      <c r="G100" s="54" t="str">
        <f>IF(BatSplit(G19,RunsScored)&gt;=50,BatSplit(G19,RunsScored)&amp;IF(BatSplit(G19,NotOuts)=1,"*","")&amp;"|"&amp;$C19&amp;"|"&amp;G$2&amp;"|"&amp;TEXT(G$1,"dd-mmm"),"x")</f>
        <v>x</v>
      </c>
      <c r="H100" s="54" t="str">
        <f>IF(BatSplit(H19,RunsScored)&gt;=50,BatSplit(H19,RunsScored)&amp;IF(BatSplit(H19,NotOuts)=1,"*","")&amp;"|"&amp;$C19&amp;"|"&amp;H$2&amp;"|"&amp;TEXT(H$1,"dd-mmm"),"x")</f>
        <v>x</v>
      </c>
      <c r="I100" s="54" t="str">
        <f>IF(BatSplit(I19,RunsScored)&gt;=50,BatSplit(I19,RunsScored)&amp;IF(BatSplit(I19,NotOuts)=1,"*","")&amp;"|"&amp;$C19&amp;"|"&amp;I$2&amp;"|"&amp;TEXT(I$1,"dd-mmm"),"x")</f>
        <v>x</v>
      </c>
      <c r="J100" s="54" t="str">
        <f>IF(BatSplit(J19,RunsScored)&gt;=50,BatSplit(J19,RunsScored)&amp;IF(BatSplit(J19,NotOuts)=1,"*","")&amp;"|"&amp;$C19&amp;"|"&amp;J$2&amp;"|"&amp;TEXT(J$1,"dd-mmm"),"x")</f>
        <v>x</v>
      </c>
      <c r="K100" s="54" t="str">
        <f>IF(BatSplit(K19,RunsScored)&gt;=50,BatSplit(K19,RunsScored)&amp;IF(BatSplit(K19,NotOuts)=1,"*","")&amp;"|"&amp;$C19&amp;"|"&amp;K$2&amp;"|"&amp;TEXT(K$1,"dd-mmm"),"x")</f>
        <v>x</v>
      </c>
      <c r="L100" s="54" t="str">
        <f>IF(BatSplit(L19,RunsScored)&gt;=50,BatSplit(L19,RunsScored)&amp;IF(BatSplit(L19,NotOuts)=1,"*","")&amp;"|"&amp;$C19&amp;"|"&amp;L$2&amp;"|"&amp;TEXT(L$1,"dd-mmm"),"x")</f>
        <v>x</v>
      </c>
      <c r="M100" s="54" t="str">
        <f>IF(BatSplit(M19,RunsScored)&gt;=50,BatSplit(M19,RunsScored)&amp;IF(BatSplit(M19,NotOuts)=1,"*","")&amp;"|"&amp;$C19&amp;"|"&amp;M$2&amp;"|"&amp;TEXT(M$1,"dd-mmm"),"x")</f>
        <v>x</v>
      </c>
      <c r="N100" s="54" t="str">
        <f>IF(BatSplit(N19,RunsScored)&gt;=50,BatSplit(N19,RunsScored)&amp;IF(BatSplit(N19,NotOuts)=1,"*","")&amp;"|"&amp;$C19&amp;"|"&amp;N$2&amp;"|"&amp;TEXT(N$1,"dd-mmm"),"x")</f>
        <v>x</v>
      </c>
      <c r="O100" s="54" t="str">
        <f>IF(BatSplit(O19,RunsScored)&gt;=50,BatSplit(O19,RunsScored)&amp;IF(BatSplit(O19,NotOuts)=1,"*","")&amp;"|"&amp;$C19&amp;"|"&amp;O$2&amp;"|"&amp;TEXT(O$1,"dd-mmm"),"x")</f>
        <v>x</v>
      </c>
      <c r="P100" s="54" t="str">
        <f>IF(BatSplit(P19,RunsScored)&gt;=50,BatSplit(P19,RunsScored)&amp;IF(BatSplit(P19,NotOuts)=1,"*","")&amp;"|"&amp;$C19&amp;"|"&amp;P$2&amp;"|"&amp;TEXT(P$1,"dd-mmm"),"x")</f>
        <v>x</v>
      </c>
      <c r="Q100" s="54" t="str">
        <f>IF(BatSplit(Q19,RunsScored)&gt;=50,BatSplit(Q19,RunsScored)&amp;IF(BatSplit(Q19,NotOuts)=1,"*","")&amp;"|"&amp;$C19&amp;"|"&amp;Q$2&amp;"|"&amp;TEXT(Q$1,"dd-mmm"),"x")</f>
        <v>x</v>
      </c>
      <c r="R100" s="54" t="str">
        <f>IF(BatSplit(R19,RunsScored)&gt;=50,BatSplit(R19,RunsScored)&amp;IF(BatSplit(R19,NotOuts)=1,"*","")&amp;"|"&amp;$C19&amp;"|"&amp;R$2&amp;"|"&amp;TEXT(R$1,"dd-mmm"),"x")</f>
        <v>x</v>
      </c>
      <c r="S100" s="54" t="str">
        <f>IF(BatSplit(S19,RunsScored)&gt;=50,BatSplit(S19,RunsScored)&amp;IF(BatSplit(S19,NotOuts)=1,"*","")&amp;"|"&amp;$C19&amp;"|"&amp;S$2&amp;"|"&amp;TEXT(S$1,"dd-mmm"),"x")</f>
        <v>x</v>
      </c>
      <c r="T100" s="54" t="str">
        <f>IF(BatSplit(T19,RunsScored)&gt;=50,BatSplit(T19,RunsScored)&amp;IF(BatSplit(T19,NotOuts)=1,"*","")&amp;"|"&amp;$C19&amp;"|"&amp;T$2&amp;"|"&amp;TEXT(T$1,"dd-mmm"),"x")</f>
        <v>x</v>
      </c>
      <c r="U100" s="54" t="str">
        <f>IF(BatSplit(U19,RunsScored)&gt;=50,BatSplit(U19,RunsScored)&amp;IF(BatSplit(U19,NotOuts)=1,"*","")&amp;"|"&amp;$C19&amp;"|"&amp;U$2&amp;"|"&amp;TEXT(U$1,"dd-mmm"),"x")</f>
        <v>x</v>
      </c>
      <c r="V100" s="54" t="str">
        <f>IF(BatSplit(V19,RunsScored)&gt;=50,BatSplit(V19,RunsScored)&amp;IF(BatSplit(V19,NotOuts)=1,"*","")&amp;"|"&amp;$C19&amp;"|"&amp;V$2&amp;"|"&amp;TEXT(V$1,"dd-mmm"),"x")</f>
        <v>x</v>
      </c>
      <c r="W100" s="54" t="str">
        <f>IF(BatSplit(W19,RunsScored)&gt;=50,BatSplit(W19,RunsScored)&amp;IF(BatSplit(W19,NotOuts)=1,"*","")&amp;"|"&amp;$C19&amp;"|"&amp;W$2&amp;"|"&amp;TEXT(W$1,"dd-mmm"),"x")</f>
        <v>x</v>
      </c>
      <c r="X100" s="54" t="str">
        <f>IF(BatSplit(X19,RunsScored)&gt;=50,BatSplit(X19,RunsScored)&amp;IF(BatSplit(X19,NotOuts)=1,"*","")&amp;"|"&amp;$C19&amp;"|"&amp;X$2&amp;"|"&amp;TEXT(X$1,"dd-mmm"),"x")</f>
        <v>x</v>
      </c>
      <c r="Y100" s="54" t="str">
        <f>IF(BatSplit(Y19,RunsScored)&gt;=50,BatSplit(Y19,RunsScored)&amp;IF(BatSplit(Y19,NotOuts)=1,"*","")&amp;"|"&amp;$C19&amp;"|"&amp;Y$2&amp;"|"&amp;TEXT(Y$1,"dd-mmm"),"x")</f>
        <v>x</v>
      </c>
      <c r="Z100" s="54" t="str">
        <f>IF(BatSplit(Z19,RunsScored)&gt;=50,BatSplit(Z19,RunsScored)&amp;IF(BatSplit(Z19,NotOuts)=1,"*","")&amp;"|"&amp;$C19&amp;"|"&amp;Z$2&amp;"|"&amp;TEXT(Z$1,"dd-mmm"),"x")</f>
        <v>x</v>
      </c>
    </row>
    <row r="101" spans="4:26" customFormat="1" x14ac:dyDescent="0.15">
      <c r="D101" s="54" t="str">
        <f>IF(BatSplit(D20,RunsScored)&gt;=50,BatSplit(D20,RunsScored)&amp;IF(BatSplit(D20,NotOuts)=1,"*","")&amp;"|"&amp;$C20&amp;"|"&amp;D$2&amp;"|"&amp;TEXT(D$1,"dd-mmm"),"x")</f>
        <v>x</v>
      </c>
      <c r="E101" s="54" t="str">
        <f>IF(BatSplit(E20,RunsScored)&gt;=50,BatSplit(E20,RunsScored)&amp;IF(BatSplit(E20,NotOuts)=1,"*","")&amp;"|"&amp;$C20&amp;"|"&amp;E$2&amp;"|"&amp;TEXT(E$1,"dd-mmm"),"x")</f>
        <v>x</v>
      </c>
      <c r="F101" s="54" t="str">
        <f>IF(BatSplit(F20,RunsScored)&gt;=50,BatSplit(F20,RunsScored)&amp;IF(BatSplit(F20,NotOuts)=1,"*","")&amp;"|"&amp;$C20&amp;"|"&amp;F$2&amp;"|"&amp;TEXT(F$1,"dd-mmm"),"x")</f>
        <v>x</v>
      </c>
      <c r="G101" s="54" t="str">
        <f>IF(BatSplit(G20,RunsScored)&gt;=50,BatSplit(G20,RunsScored)&amp;IF(BatSplit(G20,NotOuts)=1,"*","")&amp;"|"&amp;$C20&amp;"|"&amp;G$2&amp;"|"&amp;TEXT(G$1,"dd-mmm"),"x")</f>
        <v>x</v>
      </c>
      <c r="H101" s="54" t="str">
        <f>IF(BatSplit(H20,RunsScored)&gt;=50,BatSplit(H20,RunsScored)&amp;IF(BatSplit(H20,NotOuts)=1,"*","")&amp;"|"&amp;$C20&amp;"|"&amp;H$2&amp;"|"&amp;TEXT(H$1,"dd-mmm"),"x")</f>
        <v>x</v>
      </c>
      <c r="I101" s="54" t="str">
        <f>IF(BatSplit(I20,RunsScored)&gt;=50,BatSplit(I20,RunsScored)&amp;IF(BatSplit(I20,NotOuts)=1,"*","")&amp;"|"&amp;$C20&amp;"|"&amp;I$2&amp;"|"&amp;TEXT(I$1,"dd-mmm"),"x")</f>
        <v>x</v>
      </c>
      <c r="J101" s="54" t="str">
        <f>IF(BatSplit(J20,RunsScored)&gt;=50,BatSplit(J20,RunsScored)&amp;IF(BatSplit(J20,NotOuts)=1,"*","")&amp;"|"&amp;$C20&amp;"|"&amp;J$2&amp;"|"&amp;TEXT(J$1,"dd-mmm"),"x")</f>
        <v>x</v>
      </c>
      <c r="K101" s="54" t="str">
        <f>IF(BatSplit(K20,RunsScored)&gt;=50,BatSplit(K20,RunsScored)&amp;IF(BatSplit(K20,NotOuts)=1,"*","")&amp;"|"&amp;$C20&amp;"|"&amp;K$2&amp;"|"&amp;TEXT(K$1,"dd-mmm"),"x")</f>
        <v>x</v>
      </c>
      <c r="L101" s="54" t="str">
        <f>IF(BatSplit(L20,RunsScored)&gt;=50,BatSplit(L20,RunsScored)&amp;IF(BatSplit(L20,NotOuts)=1,"*","")&amp;"|"&amp;$C20&amp;"|"&amp;L$2&amp;"|"&amp;TEXT(L$1,"dd-mmm"),"x")</f>
        <v>x</v>
      </c>
      <c r="M101" s="54" t="str">
        <f>IF(BatSplit(M20,RunsScored)&gt;=50,BatSplit(M20,RunsScored)&amp;IF(BatSplit(M20,NotOuts)=1,"*","")&amp;"|"&amp;$C20&amp;"|"&amp;M$2&amp;"|"&amp;TEXT(M$1,"dd-mmm"),"x")</f>
        <v>x</v>
      </c>
      <c r="N101" s="54" t="str">
        <f>IF(BatSplit(N20,RunsScored)&gt;=50,BatSplit(N20,RunsScored)&amp;IF(BatSplit(N20,NotOuts)=1,"*","")&amp;"|"&amp;$C20&amp;"|"&amp;N$2&amp;"|"&amp;TEXT(N$1,"dd-mmm"),"x")</f>
        <v>x</v>
      </c>
      <c r="O101" s="54" t="str">
        <f>IF(BatSplit(O20,RunsScored)&gt;=50,BatSplit(O20,RunsScored)&amp;IF(BatSplit(O20,NotOuts)=1,"*","")&amp;"|"&amp;$C20&amp;"|"&amp;O$2&amp;"|"&amp;TEXT(O$1,"dd-mmm"),"x")</f>
        <v>x</v>
      </c>
      <c r="P101" s="54" t="str">
        <f>IF(BatSplit(P20,RunsScored)&gt;=50,BatSplit(P20,RunsScored)&amp;IF(BatSplit(P20,NotOuts)=1,"*","")&amp;"|"&amp;$C20&amp;"|"&amp;P$2&amp;"|"&amp;TEXT(P$1,"dd-mmm"),"x")</f>
        <v>x</v>
      </c>
      <c r="Q101" s="54" t="str">
        <f>IF(BatSplit(Q20,RunsScored)&gt;=50,BatSplit(Q20,RunsScored)&amp;IF(BatSplit(Q20,NotOuts)=1,"*","")&amp;"|"&amp;$C20&amp;"|"&amp;Q$2&amp;"|"&amp;TEXT(Q$1,"dd-mmm"),"x")</f>
        <v>x</v>
      </c>
      <c r="R101" s="54" t="str">
        <f>IF(BatSplit(R20,RunsScored)&gt;=50,BatSplit(R20,RunsScored)&amp;IF(BatSplit(R20,NotOuts)=1,"*","")&amp;"|"&amp;$C20&amp;"|"&amp;R$2&amp;"|"&amp;TEXT(R$1,"dd-mmm"),"x")</f>
        <v>x</v>
      </c>
      <c r="S101" s="54" t="str">
        <f>IF(BatSplit(S20,RunsScored)&gt;=50,BatSplit(S20,RunsScored)&amp;IF(BatSplit(S20,NotOuts)=1,"*","")&amp;"|"&amp;$C20&amp;"|"&amp;S$2&amp;"|"&amp;TEXT(S$1,"dd-mmm"),"x")</f>
        <v>x</v>
      </c>
      <c r="T101" s="54" t="str">
        <f>IF(BatSplit(T20,RunsScored)&gt;=50,BatSplit(T20,RunsScored)&amp;IF(BatSplit(T20,NotOuts)=1,"*","")&amp;"|"&amp;$C20&amp;"|"&amp;T$2&amp;"|"&amp;TEXT(T$1,"dd-mmm"),"x")</f>
        <v>x</v>
      </c>
      <c r="U101" s="54" t="str">
        <f>IF(BatSplit(U20,RunsScored)&gt;=50,BatSplit(U20,RunsScored)&amp;IF(BatSplit(U20,NotOuts)=1,"*","")&amp;"|"&amp;$C20&amp;"|"&amp;U$2&amp;"|"&amp;TEXT(U$1,"dd-mmm"),"x")</f>
        <v>x</v>
      </c>
      <c r="V101" s="54" t="str">
        <f>IF(BatSplit(V20,RunsScored)&gt;=50,BatSplit(V20,RunsScored)&amp;IF(BatSplit(V20,NotOuts)=1,"*","")&amp;"|"&amp;$C20&amp;"|"&amp;V$2&amp;"|"&amp;TEXT(V$1,"dd-mmm"),"x")</f>
        <v>x</v>
      </c>
      <c r="W101" s="54" t="str">
        <f>IF(BatSplit(W20,RunsScored)&gt;=50,BatSplit(W20,RunsScored)&amp;IF(BatSplit(W20,NotOuts)=1,"*","")&amp;"|"&amp;$C20&amp;"|"&amp;W$2&amp;"|"&amp;TEXT(W$1,"dd-mmm"),"x")</f>
        <v>x</v>
      </c>
      <c r="X101" s="54" t="str">
        <f>IF(BatSplit(X20,RunsScored)&gt;=50,BatSplit(X20,RunsScored)&amp;IF(BatSplit(X20,NotOuts)=1,"*","")&amp;"|"&amp;$C20&amp;"|"&amp;X$2&amp;"|"&amp;TEXT(X$1,"dd-mmm"),"x")</f>
        <v>x</v>
      </c>
      <c r="Y101" s="54" t="str">
        <f>IF(BatSplit(Y20,RunsScored)&gt;=50,BatSplit(Y20,RunsScored)&amp;IF(BatSplit(Y20,NotOuts)=1,"*","")&amp;"|"&amp;$C20&amp;"|"&amp;Y$2&amp;"|"&amp;TEXT(Y$1,"dd-mmm"),"x")</f>
        <v>x</v>
      </c>
      <c r="Z101" s="54" t="str">
        <f>IF(BatSplit(Z20,RunsScored)&gt;=50,BatSplit(Z20,RunsScored)&amp;IF(BatSplit(Z20,NotOuts)=1,"*","")&amp;"|"&amp;$C20&amp;"|"&amp;Z$2&amp;"|"&amp;TEXT(Z$1,"dd-mmm"),"x")</f>
        <v>x</v>
      </c>
    </row>
    <row r="102" spans="4:26" customFormat="1" x14ac:dyDescent="0.15">
      <c r="D102" s="54" t="str">
        <f>IF(BatSplit(D21,RunsScored)&gt;=50,BatSplit(D21,RunsScored)&amp;IF(BatSplit(D21,NotOuts)=1,"*","")&amp;"|"&amp;$C21&amp;"|"&amp;D$2&amp;"|"&amp;TEXT(D$1,"dd-mmm"),"x")</f>
        <v>x</v>
      </c>
      <c r="E102" s="54" t="str">
        <f>IF(BatSplit(E21,RunsScored)&gt;=50,BatSplit(E21,RunsScored)&amp;IF(BatSplit(E21,NotOuts)=1,"*","")&amp;"|"&amp;$C21&amp;"|"&amp;E$2&amp;"|"&amp;TEXT(E$1,"dd-mmm"),"x")</f>
        <v>x</v>
      </c>
      <c r="F102" s="54" t="str">
        <f>IF(BatSplit(F21,RunsScored)&gt;=50,BatSplit(F21,RunsScored)&amp;IF(BatSplit(F21,NotOuts)=1,"*","")&amp;"|"&amp;$C21&amp;"|"&amp;F$2&amp;"|"&amp;TEXT(F$1,"dd-mmm"),"x")</f>
        <v>x</v>
      </c>
      <c r="G102" s="54" t="str">
        <f>IF(BatSplit(G21,RunsScored)&gt;=50,BatSplit(G21,RunsScored)&amp;IF(BatSplit(G21,NotOuts)=1,"*","")&amp;"|"&amp;$C21&amp;"|"&amp;G$2&amp;"|"&amp;TEXT(G$1,"dd-mmm"),"x")</f>
        <v>x</v>
      </c>
      <c r="H102" s="54" t="str">
        <f>IF(BatSplit(H21,RunsScored)&gt;=50,BatSplit(H21,RunsScored)&amp;IF(BatSplit(H21,NotOuts)=1,"*","")&amp;"|"&amp;$C21&amp;"|"&amp;H$2&amp;"|"&amp;TEXT(H$1,"dd-mmm"),"x")</f>
        <v>x</v>
      </c>
      <c r="I102" s="54" t="str">
        <f>IF(BatSplit(I21,RunsScored)&gt;=50,BatSplit(I21,RunsScored)&amp;IF(BatSplit(I21,NotOuts)=1,"*","")&amp;"|"&amp;$C21&amp;"|"&amp;I$2&amp;"|"&amp;TEXT(I$1,"dd-mmm"),"x")</f>
        <v>x</v>
      </c>
      <c r="J102" s="54" t="str">
        <f>IF(BatSplit(J21,RunsScored)&gt;=50,BatSplit(J21,RunsScored)&amp;IF(BatSplit(J21,NotOuts)=1,"*","")&amp;"|"&amp;$C21&amp;"|"&amp;J$2&amp;"|"&amp;TEXT(J$1,"dd-mmm"),"x")</f>
        <v>x</v>
      </c>
      <c r="K102" s="54" t="str">
        <f>IF(BatSplit(K21,RunsScored)&gt;=50,BatSplit(K21,RunsScored)&amp;IF(BatSplit(K21,NotOuts)=1,"*","")&amp;"|"&amp;$C21&amp;"|"&amp;K$2&amp;"|"&amp;TEXT(K$1,"dd-mmm"),"x")</f>
        <v>x</v>
      </c>
      <c r="L102" s="54" t="str">
        <f>IF(BatSplit(L21,RunsScored)&gt;=50,BatSplit(L21,RunsScored)&amp;IF(BatSplit(L21,NotOuts)=1,"*","")&amp;"|"&amp;$C21&amp;"|"&amp;L$2&amp;"|"&amp;TEXT(L$1,"dd-mmm"),"x")</f>
        <v>x</v>
      </c>
      <c r="M102" s="54" t="str">
        <f>IF(BatSplit(M21,RunsScored)&gt;=50,BatSplit(M21,RunsScored)&amp;IF(BatSplit(M21,NotOuts)=1,"*","")&amp;"|"&amp;$C21&amp;"|"&amp;M$2&amp;"|"&amp;TEXT(M$1,"dd-mmm"),"x")</f>
        <v>x</v>
      </c>
      <c r="N102" s="54" t="str">
        <f>IF(BatSplit(N21,RunsScored)&gt;=50,BatSplit(N21,RunsScored)&amp;IF(BatSplit(N21,NotOuts)=1,"*","")&amp;"|"&amp;$C21&amp;"|"&amp;N$2&amp;"|"&amp;TEXT(N$1,"dd-mmm"),"x")</f>
        <v>x</v>
      </c>
      <c r="O102" s="54" t="str">
        <f>IF(BatSplit(O21,RunsScored)&gt;=50,BatSplit(O21,RunsScored)&amp;IF(BatSplit(O21,NotOuts)=1,"*","")&amp;"|"&amp;$C21&amp;"|"&amp;O$2&amp;"|"&amp;TEXT(O$1,"dd-mmm"),"x")</f>
        <v>x</v>
      </c>
      <c r="P102" s="54" t="str">
        <f>IF(BatSplit(P21,RunsScored)&gt;=50,BatSplit(P21,RunsScored)&amp;IF(BatSplit(P21,NotOuts)=1,"*","")&amp;"|"&amp;$C21&amp;"|"&amp;P$2&amp;"|"&amp;TEXT(P$1,"dd-mmm"),"x")</f>
        <v>x</v>
      </c>
      <c r="Q102" s="54" t="str">
        <f>IF(BatSplit(Q21,RunsScored)&gt;=50,BatSplit(Q21,RunsScored)&amp;IF(BatSplit(Q21,NotOuts)=1,"*","")&amp;"|"&amp;$C21&amp;"|"&amp;Q$2&amp;"|"&amp;TEXT(Q$1,"dd-mmm"),"x")</f>
        <v>x</v>
      </c>
      <c r="R102" s="54" t="str">
        <f>IF(BatSplit(R21,RunsScored)&gt;=50,BatSplit(R21,RunsScored)&amp;IF(BatSplit(R21,NotOuts)=1,"*","")&amp;"|"&amp;$C21&amp;"|"&amp;R$2&amp;"|"&amp;TEXT(R$1,"dd-mmm"),"x")</f>
        <v>x</v>
      </c>
      <c r="S102" s="54" t="str">
        <f>IF(BatSplit(S21,RunsScored)&gt;=50,BatSplit(S21,RunsScored)&amp;IF(BatSplit(S21,NotOuts)=1,"*","")&amp;"|"&amp;$C21&amp;"|"&amp;S$2&amp;"|"&amp;TEXT(S$1,"dd-mmm"),"x")</f>
        <v>x</v>
      </c>
      <c r="T102" s="54" t="str">
        <f>IF(BatSplit(T21,RunsScored)&gt;=50,BatSplit(T21,RunsScored)&amp;IF(BatSplit(T21,NotOuts)=1,"*","")&amp;"|"&amp;$C21&amp;"|"&amp;T$2&amp;"|"&amp;TEXT(T$1,"dd-mmm"),"x")</f>
        <v>x</v>
      </c>
      <c r="U102" s="54" t="str">
        <f>IF(BatSplit(U21,RunsScored)&gt;=50,BatSplit(U21,RunsScored)&amp;IF(BatSplit(U21,NotOuts)=1,"*","")&amp;"|"&amp;$C21&amp;"|"&amp;U$2&amp;"|"&amp;TEXT(U$1,"dd-mmm"),"x")</f>
        <v>x</v>
      </c>
      <c r="V102" s="54" t="str">
        <f>IF(BatSplit(V21,RunsScored)&gt;=50,BatSplit(V21,RunsScored)&amp;IF(BatSplit(V21,NotOuts)=1,"*","")&amp;"|"&amp;$C21&amp;"|"&amp;V$2&amp;"|"&amp;TEXT(V$1,"dd-mmm"),"x")</f>
        <v>x</v>
      </c>
      <c r="W102" s="54" t="str">
        <f>IF(BatSplit(W21,RunsScored)&gt;=50,BatSplit(W21,RunsScored)&amp;IF(BatSplit(W21,NotOuts)=1,"*","")&amp;"|"&amp;$C21&amp;"|"&amp;W$2&amp;"|"&amp;TEXT(W$1,"dd-mmm"),"x")</f>
        <v>x</v>
      </c>
      <c r="X102" s="54" t="str">
        <f>IF(BatSplit(X21,RunsScored)&gt;=50,BatSplit(X21,RunsScored)&amp;IF(BatSplit(X21,NotOuts)=1,"*","")&amp;"|"&amp;$C21&amp;"|"&amp;X$2&amp;"|"&amp;TEXT(X$1,"dd-mmm"),"x")</f>
        <v>x</v>
      </c>
      <c r="Y102" s="54" t="str">
        <f>IF(BatSplit(Y21,RunsScored)&gt;=50,BatSplit(Y21,RunsScored)&amp;IF(BatSplit(Y21,NotOuts)=1,"*","")&amp;"|"&amp;$C21&amp;"|"&amp;Y$2&amp;"|"&amp;TEXT(Y$1,"dd-mmm"),"x")</f>
        <v>x</v>
      </c>
      <c r="Z102" s="54" t="str">
        <f>IF(BatSplit(Z21,RunsScored)&gt;=50,BatSplit(Z21,RunsScored)&amp;IF(BatSplit(Z21,NotOuts)=1,"*","")&amp;"|"&amp;$C21&amp;"|"&amp;Z$2&amp;"|"&amp;TEXT(Z$1,"dd-mmm"),"x")</f>
        <v>x</v>
      </c>
    </row>
    <row r="103" spans="4:26" customFormat="1" x14ac:dyDescent="0.15">
      <c r="D103" s="54" t="str">
        <f>IF(BatSplit(D22,RunsScored)&gt;=50,BatSplit(D22,RunsScored)&amp;IF(BatSplit(D22,NotOuts)=1,"*","")&amp;"|"&amp;$C22&amp;"|"&amp;D$2&amp;"|"&amp;TEXT(D$1,"dd-mmm"),"x")</f>
        <v>x</v>
      </c>
      <c r="E103" s="54" t="str">
        <f>IF(BatSplit(E22,RunsScored)&gt;=50,BatSplit(E22,RunsScored)&amp;IF(BatSplit(E22,NotOuts)=1,"*","")&amp;"|"&amp;$C22&amp;"|"&amp;E$2&amp;"|"&amp;TEXT(E$1,"dd-mmm"),"x")</f>
        <v>x</v>
      </c>
      <c r="F103" s="54" t="str">
        <f>IF(BatSplit(F22,RunsScored)&gt;=50,BatSplit(F22,RunsScored)&amp;IF(BatSplit(F22,NotOuts)=1,"*","")&amp;"|"&amp;$C22&amp;"|"&amp;F$2&amp;"|"&amp;TEXT(F$1,"dd-mmm"),"x")</f>
        <v>x</v>
      </c>
      <c r="G103" s="54" t="str">
        <f>IF(BatSplit(G22,RunsScored)&gt;=50,BatSplit(G22,RunsScored)&amp;IF(BatSplit(G22,NotOuts)=1,"*","")&amp;"|"&amp;$C22&amp;"|"&amp;G$2&amp;"|"&amp;TEXT(G$1,"dd-mmm"),"x")</f>
        <v>x</v>
      </c>
      <c r="H103" s="54" t="str">
        <f>IF(BatSplit(H22,RunsScored)&gt;=50,BatSplit(H22,RunsScored)&amp;IF(BatSplit(H22,NotOuts)=1,"*","")&amp;"|"&amp;$C22&amp;"|"&amp;H$2&amp;"|"&amp;TEXT(H$1,"dd-mmm"),"x")</f>
        <v>x</v>
      </c>
      <c r="I103" s="54" t="str">
        <f>IF(BatSplit(I22,RunsScored)&gt;=50,BatSplit(I22,RunsScored)&amp;IF(BatSplit(I22,NotOuts)=1,"*","")&amp;"|"&amp;$C22&amp;"|"&amp;I$2&amp;"|"&amp;TEXT(I$1,"dd-mmm"),"x")</f>
        <v>x</v>
      </c>
      <c r="J103" s="54" t="str">
        <f>IF(BatSplit(J22,RunsScored)&gt;=50,BatSplit(J22,RunsScored)&amp;IF(BatSplit(J22,NotOuts)=1,"*","")&amp;"|"&amp;$C22&amp;"|"&amp;J$2&amp;"|"&amp;TEXT(J$1,"dd-mmm"),"x")</f>
        <v>x</v>
      </c>
      <c r="K103" s="54" t="str">
        <f>IF(BatSplit(K22,RunsScored)&gt;=50,BatSplit(K22,RunsScored)&amp;IF(BatSplit(K22,NotOuts)=1,"*","")&amp;"|"&amp;$C22&amp;"|"&amp;K$2&amp;"|"&amp;TEXT(K$1,"dd-mmm"),"x")</f>
        <v>x</v>
      </c>
      <c r="L103" s="54" t="str">
        <f>IF(BatSplit(L22,RunsScored)&gt;=50,BatSplit(L22,RunsScored)&amp;IF(BatSplit(L22,NotOuts)=1,"*","")&amp;"|"&amp;$C22&amp;"|"&amp;L$2&amp;"|"&amp;TEXT(L$1,"dd-mmm"),"x")</f>
        <v>x</v>
      </c>
      <c r="M103" s="54" t="str">
        <f>IF(BatSplit(M22,RunsScored)&gt;=50,BatSplit(M22,RunsScored)&amp;IF(BatSplit(M22,NotOuts)=1,"*","")&amp;"|"&amp;$C22&amp;"|"&amp;M$2&amp;"|"&amp;TEXT(M$1,"dd-mmm"),"x")</f>
        <v>x</v>
      </c>
      <c r="N103" s="54" t="str">
        <f>IF(BatSplit(N22,RunsScored)&gt;=50,BatSplit(N22,RunsScored)&amp;IF(BatSplit(N22,NotOuts)=1,"*","")&amp;"|"&amp;$C22&amp;"|"&amp;N$2&amp;"|"&amp;TEXT(N$1,"dd-mmm"),"x")</f>
        <v>x</v>
      </c>
      <c r="O103" s="54" t="str">
        <f>IF(BatSplit(O22,RunsScored)&gt;=50,BatSplit(O22,RunsScored)&amp;IF(BatSplit(O22,NotOuts)=1,"*","")&amp;"|"&amp;$C22&amp;"|"&amp;O$2&amp;"|"&amp;TEXT(O$1,"dd-mmm"),"x")</f>
        <v>x</v>
      </c>
      <c r="P103" s="54" t="str">
        <f>IF(BatSplit(P22,RunsScored)&gt;=50,BatSplit(P22,RunsScored)&amp;IF(BatSplit(P22,NotOuts)=1,"*","")&amp;"|"&amp;$C22&amp;"|"&amp;P$2&amp;"|"&amp;TEXT(P$1,"dd-mmm"),"x")</f>
        <v>x</v>
      </c>
      <c r="Q103" s="54" t="str">
        <f>IF(BatSplit(Q22,RunsScored)&gt;=50,BatSplit(Q22,RunsScored)&amp;IF(BatSplit(Q22,NotOuts)=1,"*","")&amp;"|"&amp;$C22&amp;"|"&amp;Q$2&amp;"|"&amp;TEXT(Q$1,"dd-mmm"),"x")</f>
        <v>x</v>
      </c>
      <c r="R103" s="54" t="str">
        <f>IF(BatSplit(R22,RunsScored)&gt;=50,BatSplit(R22,RunsScored)&amp;IF(BatSplit(R22,NotOuts)=1,"*","")&amp;"|"&amp;$C22&amp;"|"&amp;R$2&amp;"|"&amp;TEXT(R$1,"dd-mmm"),"x")</f>
        <v>x</v>
      </c>
      <c r="S103" s="54" t="str">
        <f>IF(BatSplit(S22,RunsScored)&gt;=50,BatSplit(S22,RunsScored)&amp;IF(BatSplit(S22,NotOuts)=1,"*","")&amp;"|"&amp;$C22&amp;"|"&amp;S$2&amp;"|"&amp;TEXT(S$1,"dd-mmm"),"x")</f>
        <v>x</v>
      </c>
      <c r="T103" s="54" t="str">
        <f>IF(BatSplit(T22,RunsScored)&gt;=50,BatSplit(T22,RunsScored)&amp;IF(BatSplit(T22,NotOuts)=1,"*","")&amp;"|"&amp;$C22&amp;"|"&amp;T$2&amp;"|"&amp;TEXT(T$1,"dd-mmm"),"x")</f>
        <v>x</v>
      </c>
      <c r="U103" s="54" t="str">
        <f>IF(BatSplit(U22,RunsScored)&gt;=50,BatSplit(U22,RunsScored)&amp;IF(BatSplit(U22,NotOuts)=1,"*","")&amp;"|"&amp;$C22&amp;"|"&amp;U$2&amp;"|"&amp;TEXT(U$1,"dd-mmm"),"x")</f>
        <v>x</v>
      </c>
      <c r="V103" s="54" t="str">
        <f>IF(BatSplit(V22,RunsScored)&gt;=50,BatSplit(V22,RunsScored)&amp;IF(BatSplit(V22,NotOuts)=1,"*","")&amp;"|"&amp;$C22&amp;"|"&amp;V$2&amp;"|"&amp;TEXT(V$1,"dd-mmm"),"x")</f>
        <v>x</v>
      </c>
      <c r="W103" s="54" t="str">
        <f>IF(BatSplit(W22,RunsScored)&gt;=50,BatSplit(W22,RunsScored)&amp;IF(BatSplit(W22,NotOuts)=1,"*","")&amp;"|"&amp;$C22&amp;"|"&amp;W$2&amp;"|"&amp;TEXT(W$1,"dd-mmm"),"x")</f>
        <v>x</v>
      </c>
      <c r="X103" s="54" t="str">
        <f>IF(BatSplit(X22,RunsScored)&gt;=50,BatSplit(X22,RunsScored)&amp;IF(BatSplit(X22,NotOuts)=1,"*","")&amp;"|"&amp;$C22&amp;"|"&amp;X$2&amp;"|"&amp;TEXT(X$1,"dd-mmm"),"x")</f>
        <v>x</v>
      </c>
      <c r="Y103" s="54" t="str">
        <f>IF(BatSplit(Y22,RunsScored)&gt;=50,BatSplit(Y22,RunsScored)&amp;IF(BatSplit(Y22,NotOuts)=1,"*","")&amp;"|"&amp;$C22&amp;"|"&amp;Y$2&amp;"|"&amp;TEXT(Y$1,"dd-mmm"),"x")</f>
        <v>x</v>
      </c>
      <c r="Z103" s="54" t="str">
        <f>IF(BatSplit(Z22,RunsScored)&gt;=50,BatSplit(Z22,RunsScored)&amp;IF(BatSplit(Z22,NotOuts)=1,"*","")&amp;"|"&amp;$C22&amp;"|"&amp;Z$2&amp;"|"&amp;TEXT(Z$1,"dd-mmm"),"x")</f>
        <v>x</v>
      </c>
    </row>
    <row r="104" spans="4:26" customFormat="1" x14ac:dyDescent="0.15">
      <c r="D104" s="54" t="str">
        <f>IF(BatSplit(D23,RunsScored)&gt;=50,BatSplit(D23,RunsScored)&amp;IF(BatSplit(D23,NotOuts)=1,"*","")&amp;"|"&amp;$C23&amp;"|"&amp;D$2&amp;"|"&amp;TEXT(D$1,"dd-mmm"),"x")</f>
        <v>x</v>
      </c>
      <c r="E104" s="54" t="str">
        <f>IF(BatSplit(E23,RunsScored)&gt;=50,BatSplit(E23,RunsScored)&amp;IF(BatSplit(E23,NotOuts)=1,"*","")&amp;"|"&amp;$C23&amp;"|"&amp;E$2&amp;"|"&amp;TEXT(E$1,"dd-mmm"),"x")</f>
        <v>x</v>
      </c>
      <c r="F104" s="54" t="str">
        <f>IF(BatSplit(F23,RunsScored)&gt;=50,BatSplit(F23,RunsScored)&amp;IF(BatSplit(F23,NotOuts)=1,"*","")&amp;"|"&amp;$C23&amp;"|"&amp;F$2&amp;"|"&amp;TEXT(F$1,"dd-mmm"),"x")</f>
        <v>x</v>
      </c>
      <c r="G104" s="54" t="str">
        <f>IF(BatSplit(G23,RunsScored)&gt;=50,BatSplit(G23,RunsScored)&amp;IF(BatSplit(G23,NotOuts)=1,"*","")&amp;"|"&amp;$C23&amp;"|"&amp;G$2&amp;"|"&amp;TEXT(G$1,"dd-mmm"),"x")</f>
        <v>x</v>
      </c>
      <c r="H104" s="54" t="str">
        <f>IF(BatSplit(H23,RunsScored)&gt;=50,BatSplit(H23,RunsScored)&amp;IF(BatSplit(H23,NotOuts)=1,"*","")&amp;"|"&amp;$C23&amp;"|"&amp;H$2&amp;"|"&amp;TEXT(H$1,"dd-mmm"),"x")</f>
        <v>x</v>
      </c>
      <c r="I104" s="54" t="str">
        <f>IF(BatSplit(I23,RunsScored)&gt;=50,BatSplit(I23,RunsScored)&amp;IF(BatSplit(I23,NotOuts)=1,"*","")&amp;"|"&amp;$C23&amp;"|"&amp;I$2&amp;"|"&amp;TEXT(I$1,"dd-mmm"),"x")</f>
        <v>x</v>
      </c>
      <c r="J104" s="54" t="str">
        <f>IF(BatSplit(J23,RunsScored)&gt;=50,BatSplit(J23,RunsScored)&amp;IF(BatSplit(J23,NotOuts)=1,"*","")&amp;"|"&amp;$C23&amp;"|"&amp;J$2&amp;"|"&amp;TEXT(J$1,"dd-mmm"),"x")</f>
        <v>x</v>
      </c>
      <c r="K104" s="54" t="str">
        <f>IF(BatSplit(K23,RunsScored)&gt;=50,BatSplit(K23,RunsScored)&amp;IF(BatSplit(K23,NotOuts)=1,"*","")&amp;"|"&amp;$C23&amp;"|"&amp;K$2&amp;"|"&amp;TEXT(K$1,"dd-mmm"),"x")</f>
        <v>x</v>
      </c>
      <c r="L104" s="54" t="str">
        <f>IF(BatSplit(L23,RunsScored)&gt;=50,BatSplit(L23,RunsScored)&amp;IF(BatSplit(L23,NotOuts)=1,"*","")&amp;"|"&amp;$C23&amp;"|"&amp;L$2&amp;"|"&amp;TEXT(L$1,"dd-mmm"),"x")</f>
        <v>x</v>
      </c>
      <c r="M104" s="54" t="str">
        <f>IF(BatSplit(M23,RunsScored)&gt;=50,BatSplit(M23,RunsScored)&amp;IF(BatSplit(M23,NotOuts)=1,"*","")&amp;"|"&amp;$C23&amp;"|"&amp;M$2&amp;"|"&amp;TEXT(M$1,"dd-mmm"),"x")</f>
        <v>x</v>
      </c>
      <c r="N104" s="54" t="str">
        <f>IF(BatSplit(N23,RunsScored)&gt;=50,BatSplit(N23,RunsScored)&amp;IF(BatSplit(N23,NotOuts)=1,"*","")&amp;"|"&amp;$C23&amp;"|"&amp;N$2&amp;"|"&amp;TEXT(N$1,"dd-mmm"),"x")</f>
        <v>x</v>
      </c>
      <c r="O104" s="54" t="str">
        <f>IF(BatSplit(O23,RunsScored)&gt;=50,BatSplit(O23,RunsScored)&amp;IF(BatSplit(O23,NotOuts)=1,"*","")&amp;"|"&amp;$C23&amp;"|"&amp;O$2&amp;"|"&amp;TEXT(O$1,"dd-mmm"),"x")</f>
        <v>x</v>
      </c>
      <c r="P104" s="54" t="str">
        <f>IF(BatSplit(P23,RunsScored)&gt;=50,BatSplit(P23,RunsScored)&amp;IF(BatSplit(P23,NotOuts)=1,"*","")&amp;"|"&amp;$C23&amp;"|"&amp;P$2&amp;"|"&amp;TEXT(P$1,"dd-mmm"),"x")</f>
        <v>x</v>
      </c>
      <c r="Q104" s="54" t="str">
        <f>IF(BatSplit(Q23,RunsScored)&gt;=50,BatSplit(Q23,RunsScored)&amp;IF(BatSplit(Q23,NotOuts)=1,"*","")&amp;"|"&amp;$C23&amp;"|"&amp;Q$2&amp;"|"&amp;TEXT(Q$1,"dd-mmm"),"x")</f>
        <v>x</v>
      </c>
      <c r="R104" s="54" t="str">
        <f>IF(BatSplit(R23,RunsScored)&gt;=50,BatSplit(R23,RunsScored)&amp;IF(BatSplit(R23,NotOuts)=1,"*","")&amp;"|"&amp;$C23&amp;"|"&amp;R$2&amp;"|"&amp;TEXT(R$1,"dd-mmm"),"x")</f>
        <v>x</v>
      </c>
      <c r="S104" s="54" t="str">
        <f>IF(BatSplit(S23,RunsScored)&gt;=50,BatSplit(S23,RunsScored)&amp;IF(BatSplit(S23,NotOuts)=1,"*","")&amp;"|"&amp;$C23&amp;"|"&amp;S$2&amp;"|"&amp;TEXT(S$1,"dd-mmm"),"x")</f>
        <v>x</v>
      </c>
      <c r="T104" s="54" t="str">
        <f>IF(BatSplit(T23,RunsScored)&gt;=50,BatSplit(T23,RunsScored)&amp;IF(BatSplit(T23,NotOuts)=1,"*","")&amp;"|"&amp;$C23&amp;"|"&amp;T$2&amp;"|"&amp;TEXT(T$1,"dd-mmm"),"x")</f>
        <v>x</v>
      </c>
      <c r="U104" s="54" t="str">
        <f>IF(BatSplit(U23,RunsScored)&gt;=50,BatSplit(U23,RunsScored)&amp;IF(BatSplit(U23,NotOuts)=1,"*","")&amp;"|"&amp;$C23&amp;"|"&amp;U$2&amp;"|"&amp;TEXT(U$1,"dd-mmm"),"x")</f>
        <v>x</v>
      </c>
      <c r="V104" s="54" t="str">
        <f>IF(BatSplit(V23,RunsScored)&gt;=50,BatSplit(V23,RunsScored)&amp;IF(BatSplit(V23,NotOuts)=1,"*","")&amp;"|"&amp;$C23&amp;"|"&amp;V$2&amp;"|"&amp;TEXT(V$1,"dd-mmm"),"x")</f>
        <v>x</v>
      </c>
      <c r="W104" s="54" t="str">
        <f>IF(BatSplit(W23,RunsScored)&gt;=50,BatSplit(W23,RunsScored)&amp;IF(BatSplit(W23,NotOuts)=1,"*","")&amp;"|"&amp;$C23&amp;"|"&amp;W$2&amp;"|"&amp;TEXT(W$1,"dd-mmm"),"x")</f>
        <v>x</v>
      </c>
      <c r="X104" s="54" t="str">
        <f>IF(BatSplit(X23,RunsScored)&gt;=50,BatSplit(X23,RunsScored)&amp;IF(BatSplit(X23,NotOuts)=1,"*","")&amp;"|"&amp;$C23&amp;"|"&amp;X$2&amp;"|"&amp;TEXT(X$1,"dd-mmm"),"x")</f>
        <v>x</v>
      </c>
      <c r="Y104" s="54" t="str">
        <f>IF(BatSplit(Y23,RunsScored)&gt;=50,BatSplit(Y23,RunsScored)&amp;IF(BatSplit(Y23,NotOuts)=1,"*","")&amp;"|"&amp;$C23&amp;"|"&amp;Y$2&amp;"|"&amp;TEXT(Y$1,"dd-mmm"),"x")</f>
        <v>x</v>
      </c>
      <c r="Z104" s="54" t="str">
        <f>IF(BatSplit(Z23,RunsScored)&gt;=50,BatSplit(Z23,RunsScored)&amp;IF(BatSplit(Z23,NotOuts)=1,"*","")&amp;"|"&amp;$C23&amp;"|"&amp;Z$2&amp;"|"&amp;TEXT(Z$1,"dd-mmm"),"x")</f>
        <v>x</v>
      </c>
    </row>
    <row r="105" spans="4:26" customFormat="1" x14ac:dyDescent="0.15">
      <c r="D105" s="54" t="str">
        <f>IF(BatSplit(D24,RunsScored)&gt;=50,BatSplit(D24,RunsScored)&amp;IF(BatSplit(D24,NotOuts)=1,"*","")&amp;"|"&amp;$C24&amp;"|"&amp;D$2&amp;"|"&amp;TEXT(D$1,"dd-mmm"),"x")</f>
        <v>x</v>
      </c>
      <c r="E105" s="54" t="str">
        <f>IF(BatSplit(E24,RunsScored)&gt;=50,BatSplit(E24,RunsScored)&amp;IF(BatSplit(E24,NotOuts)=1,"*","")&amp;"|"&amp;$C24&amp;"|"&amp;E$2&amp;"|"&amp;TEXT(E$1,"dd-mmm"),"x")</f>
        <v>x</v>
      </c>
      <c r="F105" s="54" t="str">
        <f>IF(BatSplit(F24,RunsScored)&gt;=50,BatSplit(F24,RunsScored)&amp;IF(BatSplit(F24,NotOuts)=1,"*","")&amp;"|"&amp;$C24&amp;"|"&amp;F$2&amp;"|"&amp;TEXT(F$1,"dd-mmm"),"x")</f>
        <v>x</v>
      </c>
      <c r="G105" s="54" t="str">
        <f>IF(BatSplit(G24,RunsScored)&gt;=50,BatSplit(G24,RunsScored)&amp;IF(BatSplit(G24,NotOuts)=1,"*","")&amp;"|"&amp;$C24&amp;"|"&amp;G$2&amp;"|"&amp;TEXT(G$1,"dd-mmm"),"x")</f>
        <v>x</v>
      </c>
      <c r="H105" s="54" t="str">
        <f>IF(BatSplit(H24,RunsScored)&gt;=50,BatSplit(H24,RunsScored)&amp;IF(BatSplit(H24,NotOuts)=1,"*","")&amp;"|"&amp;$C24&amp;"|"&amp;H$2&amp;"|"&amp;TEXT(H$1,"dd-mmm"),"x")</f>
        <v>x</v>
      </c>
      <c r="I105" s="54" t="str">
        <f>IF(BatSplit(I24,RunsScored)&gt;=50,BatSplit(I24,RunsScored)&amp;IF(BatSplit(I24,NotOuts)=1,"*","")&amp;"|"&amp;$C24&amp;"|"&amp;I$2&amp;"|"&amp;TEXT(I$1,"dd-mmm"),"x")</f>
        <v>x</v>
      </c>
      <c r="J105" s="54" t="str">
        <f>IF(BatSplit(J24,RunsScored)&gt;=50,BatSplit(J24,RunsScored)&amp;IF(BatSplit(J24,NotOuts)=1,"*","")&amp;"|"&amp;$C24&amp;"|"&amp;J$2&amp;"|"&amp;TEXT(J$1,"dd-mmm"),"x")</f>
        <v>x</v>
      </c>
      <c r="K105" s="54" t="str">
        <f>IF(BatSplit(K24,RunsScored)&gt;=50,BatSplit(K24,RunsScored)&amp;IF(BatSplit(K24,NotOuts)=1,"*","")&amp;"|"&amp;$C24&amp;"|"&amp;K$2&amp;"|"&amp;TEXT(K$1,"dd-mmm"),"x")</f>
        <v>x</v>
      </c>
      <c r="L105" s="54" t="str">
        <f>IF(BatSplit(L24,RunsScored)&gt;=50,BatSplit(L24,RunsScored)&amp;IF(BatSplit(L24,NotOuts)=1,"*","")&amp;"|"&amp;$C24&amp;"|"&amp;L$2&amp;"|"&amp;TEXT(L$1,"dd-mmm"),"x")</f>
        <v>x</v>
      </c>
      <c r="M105" s="54" t="str">
        <f>IF(BatSplit(M24,RunsScored)&gt;=50,BatSplit(M24,RunsScored)&amp;IF(BatSplit(M24,NotOuts)=1,"*","")&amp;"|"&amp;$C24&amp;"|"&amp;M$2&amp;"|"&amp;TEXT(M$1,"dd-mmm"),"x")</f>
        <v>x</v>
      </c>
      <c r="N105" s="54" t="str">
        <f>IF(BatSplit(N24,RunsScored)&gt;=50,BatSplit(N24,RunsScored)&amp;IF(BatSplit(N24,NotOuts)=1,"*","")&amp;"|"&amp;$C24&amp;"|"&amp;N$2&amp;"|"&amp;TEXT(N$1,"dd-mmm"),"x")</f>
        <v>x</v>
      </c>
      <c r="O105" s="54" t="str">
        <f>IF(BatSplit(O24,RunsScored)&gt;=50,BatSplit(O24,RunsScored)&amp;IF(BatSplit(O24,NotOuts)=1,"*","")&amp;"|"&amp;$C24&amp;"|"&amp;O$2&amp;"|"&amp;TEXT(O$1,"dd-mmm"),"x")</f>
        <v>x</v>
      </c>
      <c r="P105" s="54" t="str">
        <f>IF(BatSplit(P24,RunsScored)&gt;=50,BatSplit(P24,RunsScored)&amp;IF(BatSplit(P24,NotOuts)=1,"*","")&amp;"|"&amp;$C24&amp;"|"&amp;P$2&amp;"|"&amp;TEXT(P$1,"dd-mmm"),"x")</f>
        <v>x</v>
      </c>
      <c r="Q105" s="54" t="str">
        <f>IF(BatSplit(Q24,RunsScored)&gt;=50,BatSplit(Q24,RunsScored)&amp;IF(BatSplit(Q24,NotOuts)=1,"*","")&amp;"|"&amp;$C24&amp;"|"&amp;Q$2&amp;"|"&amp;TEXT(Q$1,"dd-mmm"),"x")</f>
        <v>x</v>
      </c>
      <c r="R105" s="54" t="str">
        <f>IF(BatSplit(R24,RunsScored)&gt;=50,BatSplit(R24,RunsScored)&amp;IF(BatSplit(R24,NotOuts)=1,"*","")&amp;"|"&amp;$C24&amp;"|"&amp;R$2&amp;"|"&amp;TEXT(R$1,"dd-mmm"),"x")</f>
        <v>x</v>
      </c>
      <c r="S105" s="54" t="str">
        <f>IF(BatSplit(S24,RunsScored)&gt;=50,BatSplit(S24,RunsScored)&amp;IF(BatSplit(S24,NotOuts)=1,"*","")&amp;"|"&amp;$C24&amp;"|"&amp;S$2&amp;"|"&amp;TEXT(S$1,"dd-mmm"),"x")</f>
        <v>x</v>
      </c>
      <c r="T105" s="54" t="str">
        <f>IF(BatSplit(T24,RunsScored)&gt;=50,BatSplit(T24,RunsScored)&amp;IF(BatSplit(T24,NotOuts)=1,"*","")&amp;"|"&amp;$C24&amp;"|"&amp;T$2&amp;"|"&amp;TEXT(T$1,"dd-mmm"),"x")</f>
        <v>x</v>
      </c>
      <c r="U105" s="54" t="str">
        <f>IF(BatSplit(U24,RunsScored)&gt;=50,BatSplit(U24,RunsScored)&amp;IF(BatSplit(U24,NotOuts)=1,"*","")&amp;"|"&amp;$C24&amp;"|"&amp;U$2&amp;"|"&amp;TEXT(U$1,"dd-mmm"),"x")</f>
        <v>x</v>
      </c>
      <c r="V105" s="54" t="str">
        <f>IF(BatSplit(V24,RunsScored)&gt;=50,BatSplit(V24,RunsScored)&amp;IF(BatSplit(V24,NotOuts)=1,"*","")&amp;"|"&amp;$C24&amp;"|"&amp;V$2&amp;"|"&amp;TEXT(V$1,"dd-mmm"),"x")</f>
        <v>x</v>
      </c>
      <c r="W105" s="54" t="str">
        <f>IF(BatSplit(W24,RunsScored)&gt;=50,BatSplit(W24,RunsScored)&amp;IF(BatSplit(W24,NotOuts)=1,"*","")&amp;"|"&amp;$C24&amp;"|"&amp;W$2&amp;"|"&amp;TEXT(W$1,"dd-mmm"),"x")</f>
        <v>x</v>
      </c>
      <c r="X105" s="54" t="str">
        <f>IF(BatSplit(X24,RunsScored)&gt;=50,BatSplit(X24,RunsScored)&amp;IF(BatSplit(X24,NotOuts)=1,"*","")&amp;"|"&amp;$C24&amp;"|"&amp;X$2&amp;"|"&amp;TEXT(X$1,"dd-mmm"),"x")</f>
        <v>x</v>
      </c>
      <c r="Y105" s="54" t="str">
        <f>IF(BatSplit(Y24,RunsScored)&gt;=50,BatSplit(Y24,RunsScored)&amp;IF(BatSplit(Y24,NotOuts)=1,"*","")&amp;"|"&amp;$C24&amp;"|"&amp;Y$2&amp;"|"&amp;TEXT(Y$1,"dd-mmm"),"x")</f>
        <v>x</v>
      </c>
      <c r="Z105" s="54" t="str">
        <f>IF(BatSplit(Z24,RunsScored)&gt;=50,BatSplit(Z24,RunsScored)&amp;IF(BatSplit(Z24,NotOuts)=1,"*","")&amp;"|"&amp;$C24&amp;"|"&amp;Z$2&amp;"|"&amp;TEXT(Z$1,"dd-mmm"),"x")</f>
        <v>x</v>
      </c>
    </row>
    <row r="106" spans="4:26" customFormat="1" x14ac:dyDescent="0.15">
      <c r="D106" s="54" t="str">
        <f>IF(BatSplit(D25,RunsScored)&gt;=50,BatSplit(D25,RunsScored)&amp;IF(BatSplit(D25,NotOuts)=1,"*","")&amp;"|"&amp;$C25&amp;"|"&amp;D$2&amp;"|"&amp;TEXT(D$1,"dd-mmm"),"x")</f>
        <v>x</v>
      </c>
      <c r="E106" s="54" t="str">
        <f>IF(BatSplit(E25,RunsScored)&gt;=50,BatSplit(E25,RunsScored)&amp;IF(BatSplit(E25,NotOuts)=1,"*","")&amp;"|"&amp;$C25&amp;"|"&amp;E$2&amp;"|"&amp;TEXT(E$1,"dd-mmm"),"x")</f>
        <v>x</v>
      </c>
      <c r="F106" s="54" t="str">
        <f>IF(BatSplit(F25,RunsScored)&gt;=50,BatSplit(F25,RunsScored)&amp;IF(BatSplit(F25,NotOuts)=1,"*","")&amp;"|"&amp;$C25&amp;"|"&amp;F$2&amp;"|"&amp;TEXT(F$1,"dd-mmm"),"x")</f>
        <v>x</v>
      </c>
      <c r="G106" s="54" t="str">
        <f>IF(BatSplit(G25,RunsScored)&gt;=50,BatSplit(G25,RunsScored)&amp;IF(BatSplit(G25,NotOuts)=1,"*","")&amp;"|"&amp;$C25&amp;"|"&amp;G$2&amp;"|"&amp;TEXT(G$1,"dd-mmm"),"x")</f>
        <v>x</v>
      </c>
      <c r="H106" s="54" t="str">
        <f>IF(BatSplit(H25,RunsScored)&gt;=50,BatSplit(H25,RunsScored)&amp;IF(BatSplit(H25,NotOuts)=1,"*","")&amp;"|"&amp;$C25&amp;"|"&amp;H$2&amp;"|"&amp;TEXT(H$1,"dd-mmm"),"x")</f>
        <v>x</v>
      </c>
      <c r="I106" s="54" t="str">
        <f>IF(BatSplit(I25,RunsScored)&gt;=50,BatSplit(I25,RunsScored)&amp;IF(BatSplit(I25,NotOuts)=1,"*","")&amp;"|"&amp;$C25&amp;"|"&amp;I$2&amp;"|"&amp;TEXT(I$1,"dd-mmm"),"x")</f>
        <v>x</v>
      </c>
      <c r="J106" s="54" t="str">
        <f>IF(BatSplit(J25,RunsScored)&gt;=50,BatSplit(J25,RunsScored)&amp;IF(BatSplit(J25,NotOuts)=1,"*","")&amp;"|"&amp;$C25&amp;"|"&amp;J$2&amp;"|"&amp;TEXT(J$1,"dd-mmm"),"x")</f>
        <v>x</v>
      </c>
      <c r="K106" s="54" t="str">
        <f>IF(BatSplit(K25,RunsScored)&gt;=50,BatSplit(K25,RunsScored)&amp;IF(BatSplit(K25,NotOuts)=1,"*","")&amp;"|"&amp;$C25&amp;"|"&amp;K$2&amp;"|"&amp;TEXT(K$1,"dd-mmm"),"x")</f>
        <v>x</v>
      </c>
      <c r="L106" s="54" t="str">
        <f>IF(BatSplit(L25,RunsScored)&gt;=50,BatSplit(L25,RunsScored)&amp;IF(BatSplit(L25,NotOuts)=1,"*","")&amp;"|"&amp;$C25&amp;"|"&amp;L$2&amp;"|"&amp;TEXT(L$1,"dd-mmm"),"x")</f>
        <v>x</v>
      </c>
      <c r="M106" s="54" t="str">
        <f>IF(BatSplit(M25,RunsScored)&gt;=50,BatSplit(M25,RunsScored)&amp;IF(BatSplit(M25,NotOuts)=1,"*","")&amp;"|"&amp;$C25&amp;"|"&amp;M$2&amp;"|"&amp;TEXT(M$1,"dd-mmm"),"x")</f>
        <v>x</v>
      </c>
      <c r="N106" s="54" t="str">
        <f>IF(BatSplit(N25,RunsScored)&gt;=50,BatSplit(N25,RunsScored)&amp;IF(BatSplit(N25,NotOuts)=1,"*","")&amp;"|"&amp;$C25&amp;"|"&amp;N$2&amp;"|"&amp;TEXT(N$1,"dd-mmm"),"x")</f>
        <v>x</v>
      </c>
      <c r="O106" s="54" t="str">
        <f>IF(BatSplit(O25,RunsScored)&gt;=50,BatSplit(O25,RunsScored)&amp;IF(BatSplit(O25,NotOuts)=1,"*","")&amp;"|"&amp;$C25&amp;"|"&amp;O$2&amp;"|"&amp;TEXT(O$1,"dd-mmm"),"x")</f>
        <v>x</v>
      </c>
      <c r="P106" s="54" t="str">
        <f>IF(BatSplit(P25,RunsScored)&gt;=50,BatSplit(P25,RunsScored)&amp;IF(BatSplit(P25,NotOuts)=1,"*","")&amp;"|"&amp;$C25&amp;"|"&amp;P$2&amp;"|"&amp;TEXT(P$1,"dd-mmm"),"x")</f>
        <v>x</v>
      </c>
      <c r="Q106" s="54" t="str">
        <f>IF(BatSplit(Q25,RunsScored)&gt;=50,BatSplit(Q25,RunsScored)&amp;IF(BatSplit(Q25,NotOuts)=1,"*","")&amp;"|"&amp;$C25&amp;"|"&amp;Q$2&amp;"|"&amp;TEXT(Q$1,"dd-mmm"),"x")</f>
        <v>x</v>
      </c>
      <c r="R106" s="54" t="str">
        <f>IF(BatSplit(R25,RunsScored)&gt;=50,BatSplit(R25,RunsScored)&amp;IF(BatSplit(R25,NotOuts)=1,"*","")&amp;"|"&amp;$C25&amp;"|"&amp;R$2&amp;"|"&amp;TEXT(R$1,"dd-mmm"),"x")</f>
        <v>x</v>
      </c>
      <c r="S106" s="54" t="str">
        <f>IF(BatSplit(S25,RunsScored)&gt;=50,BatSplit(S25,RunsScored)&amp;IF(BatSplit(S25,NotOuts)=1,"*","")&amp;"|"&amp;$C25&amp;"|"&amp;S$2&amp;"|"&amp;TEXT(S$1,"dd-mmm"),"x")</f>
        <v>x</v>
      </c>
      <c r="T106" s="54" t="str">
        <f>IF(BatSplit(T25,RunsScored)&gt;=50,BatSplit(T25,RunsScored)&amp;IF(BatSplit(T25,NotOuts)=1,"*","")&amp;"|"&amp;$C25&amp;"|"&amp;T$2&amp;"|"&amp;TEXT(T$1,"dd-mmm"),"x")</f>
        <v>x</v>
      </c>
      <c r="U106" s="54" t="str">
        <f>IF(BatSplit(U25,RunsScored)&gt;=50,BatSplit(U25,RunsScored)&amp;IF(BatSplit(U25,NotOuts)=1,"*","")&amp;"|"&amp;$C25&amp;"|"&amp;U$2&amp;"|"&amp;TEXT(U$1,"dd-mmm"),"x")</f>
        <v>x</v>
      </c>
      <c r="V106" s="54" t="str">
        <f>IF(BatSplit(V25,RunsScored)&gt;=50,BatSplit(V25,RunsScored)&amp;IF(BatSplit(V25,NotOuts)=1,"*","")&amp;"|"&amp;$C25&amp;"|"&amp;V$2&amp;"|"&amp;TEXT(V$1,"dd-mmm"),"x")</f>
        <v>x</v>
      </c>
      <c r="W106" s="54" t="str">
        <f>IF(BatSplit(W25,RunsScored)&gt;=50,BatSplit(W25,RunsScored)&amp;IF(BatSplit(W25,NotOuts)=1,"*","")&amp;"|"&amp;$C25&amp;"|"&amp;W$2&amp;"|"&amp;TEXT(W$1,"dd-mmm"),"x")</f>
        <v>x</v>
      </c>
      <c r="X106" s="54" t="str">
        <f>IF(BatSplit(X25,RunsScored)&gt;=50,BatSplit(X25,RunsScored)&amp;IF(BatSplit(X25,NotOuts)=1,"*","")&amp;"|"&amp;$C25&amp;"|"&amp;X$2&amp;"|"&amp;TEXT(X$1,"dd-mmm"),"x")</f>
        <v>x</v>
      </c>
      <c r="Y106" s="54" t="str">
        <f>IF(BatSplit(Y25,RunsScored)&gt;=50,BatSplit(Y25,RunsScored)&amp;IF(BatSplit(Y25,NotOuts)=1,"*","")&amp;"|"&amp;$C25&amp;"|"&amp;Y$2&amp;"|"&amp;TEXT(Y$1,"dd-mmm"),"x")</f>
        <v>x</v>
      </c>
      <c r="Z106" s="54" t="str">
        <f>IF(BatSplit(Z25,RunsScored)&gt;=50,BatSplit(Z25,RunsScored)&amp;IF(BatSplit(Z25,NotOuts)=1,"*","")&amp;"|"&amp;$C25&amp;"|"&amp;Z$2&amp;"|"&amp;TEXT(Z$1,"dd-mmm"),"x")</f>
        <v>x</v>
      </c>
    </row>
    <row r="107" spans="4:26" customFormat="1" x14ac:dyDescent="0.15">
      <c r="D107" s="54" t="str">
        <f>IF(BatSplit(D26,RunsScored)&gt;=50,BatSplit(D26,RunsScored)&amp;IF(BatSplit(D26,NotOuts)=1,"*","")&amp;"|"&amp;$C26&amp;"|"&amp;D$2&amp;"|"&amp;TEXT(D$1,"dd-mmm"),"x")</f>
        <v>x</v>
      </c>
      <c r="E107" s="54" t="str">
        <f>IF(BatSplit(E26,RunsScored)&gt;=50,BatSplit(E26,RunsScored)&amp;IF(BatSplit(E26,NotOuts)=1,"*","")&amp;"|"&amp;$C26&amp;"|"&amp;E$2&amp;"|"&amp;TEXT(E$1,"dd-mmm"),"x")</f>
        <v>x</v>
      </c>
      <c r="F107" s="54" t="str">
        <f>IF(BatSplit(F26,RunsScored)&gt;=50,BatSplit(F26,RunsScored)&amp;IF(BatSplit(F26,NotOuts)=1,"*","")&amp;"|"&amp;$C26&amp;"|"&amp;F$2&amp;"|"&amp;TEXT(F$1,"dd-mmm"),"x")</f>
        <v>x</v>
      </c>
      <c r="G107" s="54" t="str">
        <f>IF(BatSplit(G26,RunsScored)&gt;=50,BatSplit(G26,RunsScored)&amp;IF(BatSplit(G26,NotOuts)=1,"*","")&amp;"|"&amp;$C26&amp;"|"&amp;G$2&amp;"|"&amp;TEXT(G$1,"dd-mmm"),"x")</f>
        <v>x</v>
      </c>
      <c r="H107" s="54" t="str">
        <f>IF(BatSplit(H26,RunsScored)&gt;=50,BatSplit(H26,RunsScored)&amp;IF(BatSplit(H26,NotOuts)=1,"*","")&amp;"|"&amp;$C26&amp;"|"&amp;H$2&amp;"|"&amp;TEXT(H$1,"dd-mmm"),"x")</f>
        <v>x</v>
      </c>
      <c r="I107" s="54" t="str">
        <f>IF(BatSplit(I26,RunsScored)&gt;=50,BatSplit(I26,RunsScored)&amp;IF(BatSplit(I26,NotOuts)=1,"*","")&amp;"|"&amp;$C26&amp;"|"&amp;I$2&amp;"|"&amp;TEXT(I$1,"dd-mmm"),"x")</f>
        <v>x</v>
      </c>
      <c r="J107" s="54" t="str">
        <f>IF(BatSplit(J26,RunsScored)&gt;=50,BatSplit(J26,RunsScored)&amp;IF(BatSplit(J26,NotOuts)=1,"*","")&amp;"|"&amp;$C26&amp;"|"&amp;J$2&amp;"|"&amp;TEXT(J$1,"dd-mmm"),"x")</f>
        <v>x</v>
      </c>
      <c r="K107" s="54" t="str">
        <f>IF(BatSplit(K26,RunsScored)&gt;=50,BatSplit(K26,RunsScored)&amp;IF(BatSplit(K26,NotOuts)=1,"*","")&amp;"|"&amp;$C26&amp;"|"&amp;K$2&amp;"|"&amp;TEXT(K$1,"dd-mmm"),"x")</f>
        <v>x</v>
      </c>
      <c r="L107" s="54" t="str">
        <f>IF(BatSplit(L26,RunsScored)&gt;=50,BatSplit(L26,RunsScored)&amp;IF(BatSplit(L26,NotOuts)=1,"*","")&amp;"|"&amp;$C26&amp;"|"&amp;L$2&amp;"|"&amp;TEXT(L$1,"dd-mmm"),"x")</f>
        <v>x</v>
      </c>
      <c r="M107" s="54" t="str">
        <f>IF(BatSplit(M26,RunsScored)&gt;=50,BatSplit(M26,RunsScored)&amp;IF(BatSplit(M26,NotOuts)=1,"*","")&amp;"|"&amp;$C26&amp;"|"&amp;M$2&amp;"|"&amp;TEXT(M$1,"dd-mmm"),"x")</f>
        <v>x</v>
      </c>
      <c r="N107" s="54" t="str">
        <f>IF(BatSplit(N26,RunsScored)&gt;=50,BatSplit(N26,RunsScored)&amp;IF(BatSplit(N26,NotOuts)=1,"*","")&amp;"|"&amp;$C26&amp;"|"&amp;N$2&amp;"|"&amp;TEXT(N$1,"dd-mmm"),"x")</f>
        <v>x</v>
      </c>
      <c r="O107" s="54" t="str">
        <f>IF(BatSplit(O26,RunsScored)&gt;=50,BatSplit(O26,RunsScored)&amp;IF(BatSplit(O26,NotOuts)=1,"*","")&amp;"|"&amp;$C26&amp;"|"&amp;O$2&amp;"|"&amp;TEXT(O$1,"dd-mmm"),"x")</f>
        <v>x</v>
      </c>
      <c r="P107" s="54" t="str">
        <f>IF(BatSplit(P26,RunsScored)&gt;=50,BatSplit(P26,RunsScored)&amp;IF(BatSplit(P26,NotOuts)=1,"*","")&amp;"|"&amp;$C26&amp;"|"&amp;P$2&amp;"|"&amp;TEXT(P$1,"dd-mmm"),"x")</f>
        <v>x</v>
      </c>
      <c r="Q107" s="54" t="str">
        <f>IF(BatSplit(Q26,RunsScored)&gt;=50,BatSplit(Q26,RunsScored)&amp;IF(BatSplit(Q26,NotOuts)=1,"*","")&amp;"|"&amp;$C26&amp;"|"&amp;Q$2&amp;"|"&amp;TEXT(Q$1,"dd-mmm"),"x")</f>
        <v>x</v>
      </c>
      <c r="R107" s="54" t="str">
        <f>IF(BatSplit(R26,RunsScored)&gt;=50,BatSplit(R26,RunsScored)&amp;IF(BatSplit(R26,NotOuts)=1,"*","")&amp;"|"&amp;$C26&amp;"|"&amp;R$2&amp;"|"&amp;TEXT(R$1,"dd-mmm"),"x")</f>
        <v>x</v>
      </c>
      <c r="S107" s="54" t="str">
        <f>IF(BatSplit(S26,RunsScored)&gt;=50,BatSplit(S26,RunsScored)&amp;IF(BatSplit(S26,NotOuts)=1,"*","")&amp;"|"&amp;$C26&amp;"|"&amp;S$2&amp;"|"&amp;TEXT(S$1,"dd-mmm"),"x")</f>
        <v>x</v>
      </c>
      <c r="T107" s="54" t="str">
        <f>IF(BatSplit(T26,RunsScored)&gt;=50,BatSplit(T26,RunsScored)&amp;IF(BatSplit(T26,NotOuts)=1,"*","")&amp;"|"&amp;$C26&amp;"|"&amp;T$2&amp;"|"&amp;TEXT(T$1,"dd-mmm"),"x")</f>
        <v>x</v>
      </c>
      <c r="U107" s="54" t="str">
        <f>IF(BatSplit(U26,RunsScored)&gt;=50,BatSplit(U26,RunsScored)&amp;IF(BatSplit(U26,NotOuts)=1,"*","")&amp;"|"&amp;$C26&amp;"|"&amp;U$2&amp;"|"&amp;TEXT(U$1,"dd-mmm"),"x")</f>
        <v>x</v>
      </c>
      <c r="V107" s="54" t="str">
        <f>IF(BatSplit(V26,RunsScored)&gt;=50,BatSplit(V26,RunsScored)&amp;IF(BatSplit(V26,NotOuts)=1,"*","")&amp;"|"&amp;$C26&amp;"|"&amp;V$2&amp;"|"&amp;TEXT(V$1,"dd-mmm"),"x")</f>
        <v>x</v>
      </c>
      <c r="W107" s="54" t="str">
        <f>IF(BatSplit(W26,RunsScored)&gt;=50,BatSplit(W26,RunsScored)&amp;IF(BatSplit(W26,NotOuts)=1,"*","")&amp;"|"&amp;$C26&amp;"|"&amp;W$2&amp;"|"&amp;TEXT(W$1,"dd-mmm"),"x")</f>
        <v>x</v>
      </c>
      <c r="X107" s="54" t="str">
        <f>IF(BatSplit(X26,RunsScored)&gt;=50,BatSplit(X26,RunsScored)&amp;IF(BatSplit(X26,NotOuts)=1,"*","")&amp;"|"&amp;$C26&amp;"|"&amp;X$2&amp;"|"&amp;TEXT(X$1,"dd-mmm"),"x")</f>
        <v>x</v>
      </c>
      <c r="Y107" s="54" t="str">
        <f>IF(BatSplit(Y26,RunsScored)&gt;=50,BatSplit(Y26,RunsScored)&amp;IF(BatSplit(Y26,NotOuts)=1,"*","")&amp;"|"&amp;$C26&amp;"|"&amp;Y$2&amp;"|"&amp;TEXT(Y$1,"dd-mmm"),"x")</f>
        <v>x</v>
      </c>
      <c r="Z107" s="54" t="str">
        <f>IF(BatSplit(Z26,RunsScored)&gt;=50,BatSplit(Z26,RunsScored)&amp;IF(BatSplit(Z26,NotOuts)=1,"*","")&amp;"|"&amp;$C26&amp;"|"&amp;Z$2&amp;"|"&amp;TEXT(Z$1,"dd-mmm"),"x")</f>
        <v>x</v>
      </c>
    </row>
    <row r="108" spans="4:26" customFormat="1" x14ac:dyDescent="0.15">
      <c r="D108" s="54" t="str">
        <f>IF(BatSplit(D27,RunsScored)&gt;=50,BatSplit(D27,RunsScored)&amp;IF(BatSplit(D27,NotOuts)=1,"*","")&amp;"|"&amp;$C27&amp;"|"&amp;D$2&amp;"|"&amp;TEXT(D$1,"dd-mmm"),"x")</f>
        <v>x</v>
      </c>
      <c r="E108" s="54" t="str">
        <f>IF(BatSplit(E27,RunsScored)&gt;=50,BatSplit(E27,RunsScored)&amp;IF(BatSplit(E27,NotOuts)=1,"*","")&amp;"|"&amp;$C27&amp;"|"&amp;E$2&amp;"|"&amp;TEXT(E$1,"dd-mmm"),"x")</f>
        <v>x</v>
      </c>
      <c r="F108" s="54" t="str">
        <f>IF(BatSplit(F27,RunsScored)&gt;=50,BatSplit(F27,RunsScored)&amp;IF(BatSplit(F27,NotOuts)=1,"*","")&amp;"|"&amp;$C27&amp;"|"&amp;F$2&amp;"|"&amp;TEXT(F$1,"dd-mmm"),"x")</f>
        <v>x</v>
      </c>
      <c r="G108" s="54" t="str">
        <f>IF(BatSplit(G27,RunsScored)&gt;=50,BatSplit(G27,RunsScored)&amp;IF(BatSplit(G27,NotOuts)=1,"*","")&amp;"|"&amp;$C27&amp;"|"&amp;G$2&amp;"|"&amp;TEXT(G$1,"dd-mmm"),"x")</f>
        <v>x</v>
      </c>
      <c r="H108" s="54" t="str">
        <f>IF(BatSplit(H27,RunsScored)&gt;=50,BatSplit(H27,RunsScored)&amp;IF(BatSplit(H27,NotOuts)=1,"*","")&amp;"|"&amp;$C27&amp;"|"&amp;H$2&amp;"|"&amp;TEXT(H$1,"dd-mmm"),"x")</f>
        <v>x</v>
      </c>
      <c r="I108" s="54" t="str">
        <f>IF(BatSplit(I27,RunsScored)&gt;=50,BatSplit(I27,RunsScored)&amp;IF(BatSplit(I27,NotOuts)=1,"*","")&amp;"|"&amp;$C27&amp;"|"&amp;I$2&amp;"|"&amp;TEXT(I$1,"dd-mmm"),"x")</f>
        <v>x</v>
      </c>
      <c r="J108" s="54" t="str">
        <f>IF(BatSplit(J27,RunsScored)&gt;=50,BatSplit(J27,RunsScored)&amp;IF(BatSplit(J27,NotOuts)=1,"*","")&amp;"|"&amp;$C27&amp;"|"&amp;J$2&amp;"|"&amp;TEXT(J$1,"dd-mmm"),"x")</f>
        <v>x</v>
      </c>
      <c r="K108" s="54" t="str">
        <f>IF(BatSplit(K27,RunsScored)&gt;=50,BatSplit(K27,RunsScored)&amp;IF(BatSplit(K27,NotOuts)=1,"*","")&amp;"|"&amp;$C27&amp;"|"&amp;K$2&amp;"|"&amp;TEXT(K$1,"dd-mmm"),"x")</f>
        <v>x</v>
      </c>
      <c r="L108" s="54" t="str">
        <f>IF(BatSplit(L27,RunsScored)&gt;=50,BatSplit(L27,RunsScored)&amp;IF(BatSplit(L27,NotOuts)=1,"*","")&amp;"|"&amp;$C27&amp;"|"&amp;L$2&amp;"|"&amp;TEXT(L$1,"dd-mmm"),"x")</f>
        <v>x</v>
      </c>
      <c r="M108" s="54" t="str">
        <f>IF(BatSplit(M27,RunsScored)&gt;=50,BatSplit(M27,RunsScored)&amp;IF(BatSplit(M27,NotOuts)=1,"*","")&amp;"|"&amp;$C27&amp;"|"&amp;M$2&amp;"|"&amp;TEXT(M$1,"dd-mmm"),"x")</f>
        <v>x</v>
      </c>
      <c r="N108" s="54" t="str">
        <f>IF(BatSplit(N27,RunsScored)&gt;=50,BatSplit(N27,RunsScored)&amp;IF(BatSplit(N27,NotOuts)=1,"*","")&amp;"|"&amp;$C27&amp;"|"&amp;N$2&amp;"|"&amp;TEXT(N$1,"dd-mmm"),"x")</f>
        <v>x</v>
      </c>
      <c r="O108" s="54" t="str">
        <f>IF(BatSplit(O27,RunsScored)&gt;=50,BatSplit(O27,RunsScored)&amp;IF(BatSplit(O27,NotOuts)=1,"*","")&amp;"|"&amp;$C27&amp;"|"&amp;O$2&amp;"|"&amp;TEXT(O$1,"dd-mmm"),"x")</f>
        <v>x</v>
      </c>
      <c r="P108" s="54" t="str">
        <f>IF(BatSplit(P27,RunsScored)&gt;=50,BatSplit(P27,RunsScored)&amp;IF(BatSplit(P27,NotOuts)=1,"*","")&amp;"|"&amp;$C27&amp;"|"&amp;P$2&amp;"|"&amp;TEXT(P$1,"dd-mmm"),"x")</f>
        <v>x</v>
      </c>
      <c r="Q108" s="54" t="str">
        <f>IF(BatSplit(Q27,RunsScored)&gt;=50,BatSplit(Q27,RunsScored)&amp;IF(BatSplit(Q27,NotOuts)=1,"*","")&amp;"|"&amp;$C27&amp;"|"&amp;Q$2&amp;"|"&amp;TEXT(Q$1,"dd-mmm"),"x")</f>
        <v>x</v>
      </c>
      <c r="R108" s="54" t="str">
        <f>IF(BatSplit(R27,RunsScored)&gt;=50,BatSplit(R27,RunsScored)&amp;IF(BatSplit(R27,NotOuts)=1,"*","")&amp;"|"&amp;$C27&amp;"|"&amp;R$2&amp;"|"&amp;TEXT(R$1,"dd-mmm"),"x")</f>
        <v>x</v>
      </c>
      <c r="S108" s="54" t="str">
        <f>IF(BatSplit(S27,RunsScored)&gt;=50,BatSplit(S27,RunsScored)&amp;IF(BatSplit(S27,NotOuts)=1,"*","")&amp;"|"&amp;$C27&amp;"|"&amp;S$2&amp;"|"&amp;TEXT(S$1,"dd-mmm"),"x")</f>
        <v>x</v>
      </c>
      <c r="T108" s="54" t="str">
        <f>IF(BatSplit(T27,RunsScored)&gt;=50,BatSplit(T27,RunsScored)&amp;IF(BatSplit(T27,NotOuts)=1,"*","")&amp;"|"&amp;$C27&amp;"|"&amp;T$2&amp;"|"&amp;TEXT(T$1,"dd-mmm"),"x")</f>
        <v>x</v>
      </c>
      <c r="U108" s="54" t="str">
        <f>IF(BatSplit(U27,RunsScored)&gt;=50,BatSplit(U27,RunsScored)&amp;IF(BatSplit(U27,NotOuts)=1,"*","")&amp;"|"&amp;$C27&amp;"|"&amp;U$2&amp;"|"&amp;TEXT(U$1,"dd-mmm"),"x")</f>
        <v>x</v>
      </c>
      <c r="V108" s="54" t="str">
        <f>IF(BatSplit(V27,RunsScored)&gt;=50,BatSplit(V27,RunsScored)&amp;IF(BatSplit(V27,NotOuts)=1,"*","")&amp;"|"&amp;$C27&amp;"|"&amp;V$2&amp;"|"&amp;TEXT(V$1,"dd-mmm"),"x")</f>
        <v>x</v>
      </c>
      <c r="W108" s="54" t="str">
        <f>IF(BatSplit(W27,RunsScored)&gt;=50,BatSplit(W27,RunsScored)&amp;IF(BatSplit(W27,NotOuts)=1,"*","")&amp;"|"&amp;$C27&amp;"|"&amp;W$2&amp;"|"&amp;TEXT(W$1,"dd-mmm"),"x")</f>
        <v>x</v>
      </c>
      <c r="X108" s="54" t="str">
        <f>IF(BatSplit(X27,RunsScored)&gt;=50,BatSplit(X27,RunsScored)&amp;IF(BatSplit(X27,NotOuts)=1,"*","")&amp;"|"&amp;$C27&amp;"|"&amp;X$2&amp;"|"&amp;TEXT(X$1,"dd-mmm"),"x")</f>
        <v>x</v>
      </c>
      <c r="Y108" s="54" t="str">
        <f>IF(BatSplit(Y27,RunsScored)&gt;=50,BatSplit(Y27,RunsScored)&amp;IF(BatSplit(Y27,NotOuts)=1,"*","")&amp;"|"&amp;$C27&amp;"|"&amp;Y$2&amp;"|"&amp;TEXT(Y$1,"dd-mmm"),"x")</f>
        <v>x</v>
      </c>
      <c r="Z108" s="54" t="str">
        <f>IF(BatSplit(Z27,RunsScored)&gt;=50,BatSplit(Z27,RunsScored)&amp;IF(BatSplit(Z27,NotOuts)=1,"*","")&amp;"|"&amp;$C27&amp;"|"&amp;Z$2&amp;"|"&amp;TEXT(Z$1,"dd-mmm"),"x")</f>
        <v>x</v>
      </c>
    </row>
    <row r="109" spans="4:26" customFormat="1" x14ac:dyDescent="0.15">
      <c r="D109" s="54" t="str">
        <f>IF(BatSplit(D28,RunsScored)&gt;=50,BatSplit(D28,RunsScored)&amp;IF(BatSplit(D28,NotOuts)=1,"*","")&amp;"|"&amp;$C28&amp;"|"&amp;D$2&amp;"|"&amp;TEXT(D$1,"dd-mmm"),"x")</f>
        <v>x</v>
      </c>
      <c r="E109" s="54" t="str">
        <f>IF(BatSplit(E28,RunsScored)&gt;=50,BatSplit(E28,RunsScored)&amp;IF(BatSplit(E28,NotOuts)=1,"*","")&amp;"|"&amp;$C28&amp;"|"&amp;E$2&amp;"|"&amp;TEXT(E$1,"dd-mmm"),"x")</f>
        <v>x</v>
      </c>
      <c r="F109" s="54" t="str">
        <f>IF(BatSplit(F28,RunsScored)&gt;=50,BatSplit(F28,RunsScored)&amp;IF(BatSplit(F28,NotOuts)=1,"*","")&amp;"|"&amp;$C28&amp;"|"&amp;F$2&amp;"|"&amp;TEXT(F$1,"dd-mmm"),"x")</f>
        <v>x</v>
      </c>
      <c r="G109" s="54" t="str">
        <f>IF(BatSplit(G28,RunsScored)&gt;=50,BatSplit(G28,RunsScored)&amp;IF(BatSplit(G28,NotOuts)=1,"*","")&amp;"|"&amp;$C28&amp;"|"&amp;G$2&amp;"|"&amp;TEXT(G$1,"dd-mmm"),"x")</f>
        <v>x</v>
      </c>
      <c r="H109" s="54" t="str">
        <f>IF(BatSplit(H28,RunsScored)&gt;=50,BatSplit(H28,RunsScored)&amp;IF(BatSplit(H28,NotOuts)=1,"*","")&amp;"|"&amp;$C28&amp;"|"&amp;H$2&amp;"|"&amp;TEXT(H$1,"dd-mmm"),"x")</f>
        <v>x</v>
      </c>
      <c r="I109" s="54" t="str">
        <f>IF(BatSplit(I28,RunsScored)&gt;=50,BatSplit(I28,RunsScored)&amp;IF(BatSplit(I28,NotOuts)=1,"*","")&amp;"|"&amp;$C28&amp;"|"&amp;I$2&amp;"|"&amp;TEXT(I$1,"dd-mmm"),"x")</f>
        <v>x</v>
      </c>
      <c r="J109" s="54" t="str">
        <f>IF(BatSplit(J28,RunsScored)&gt;=50,BatSplit(J28,RunsScored)&amp;IF(BatSplit(J28,NotOuts)=1,"*","")&amp;"|"&amp;$C28&amp;"|"&amp;J$2&amp;"|"&amp;TEXT(J$1,"dd-mmm"),"x")</f>
        <v>x</v>
      </c>
      <c r="K109" s="54" t="str">
        <f>IF(BatSplit(K28,RunsScored)&gt;=50,BatSplit(K28,RunsScored)&amp;IF(BatSplit(K28,NotOuts)=1,"*","")&amp;"|"&amp;$C28&amp;"|"&amp;K$2&amp;"|"&amp;TEXT(K$1,"dd-mmm"),"x")</f>
        <v>x</v>
      </c>
      <c r="L109" s="54" t="str">
        <f>IF(BatSplit(L28,RunsScored)&gt;=50,BatSplit(L28,RunsScored)&amp;IF(BatSplit(L28,NotOuts)=1,"*","")&amp;"|"&amp;$C28&amp;"|"&amp;L$2&amp;"|"&amp;TEXT(L$1,"dd-mmm"),"x")</f>
        <v>x</v>
      </c>
      <c r="M109" s="54" t="str">
        <f>IF(BatSplit(M28,RunsScored)&gt;=50,BatSplit(M28,RunsScored)&amp;IF(BatSplit(M28,NotOuts)=1,"*","")&amp;"|"&amp;$C28&amp;"|"&amp;M$2&amp;"|"&amp;TEXT(M$1,"dd-mmm"),"x")</f>
        <v>x</v>
      </c>
      <c r="N109" s="54" t="str">
        <f>IF(BatSplit(N28,RunsScored)&gt;=50,BatSplit(N28,RunsScored)&amp;IF(BatSplit(N28,NotOuts)=1,"*","")&amp;"|"&amp;$C28&amp;"|"&amp;N$2&amp;"|"&amp;TEXT(N$1,"dd-mmm"),"x")</f>
        <v>x</v>
      </c>
      <c r="O109" s="54" t="str">
        <f>IF(BatSplit(O28,RunsScored)&gt;=50,BatSplit(O28,RunsScored)&amp;IF(BatSplit(O28,NotOuts)=1,"*","")&amp;"|"&amp;$C28&amp;"|"&amp;O$2&amp;"|"&amp;TEXT(O$1,"dd-mmm"),"x")</f>
        <v>x</v>
      </c>
      <c r="P109" s="54" t="str">
        <f>IF(BatSplit(P28,RunsScored)&gt;=50,BatSplit(P28,RunsScored)&amp;IF(BatSplit(P28,NotOuts)=1,"*","")&amp;"|"&amp;$C28&amp;"|"&amp;P$2&amp;"|"&amp;TEXT(P$1,"dd-mmm"),"x")</f>
        <v>x</v>
      </c>
      <c r="Q109" s="54" t="str">
        <f>IF(BatSplit(Q28,RunsScored)&gt;=50,BatSplit(Q28,RunsScored)&amp;IF(BatSplit(Q28,NotOuts)=1,"*","")&amp;"|"&amp;$C28&amp;"|"&amp;Q$2&amp;"|"&amp;TEXT(Q$1,"dd-mmm"),"x")</f>
        <v>x</v>
      </c>
      <c r="R109" s="54" t="str">
        <f>IF(BatSplit(R28,RunsScored)&gt;=50,BatSplit(R28,RunsScored)&amp;IF(BatSplit(R28,NotOuts)=1,"*","")&amp;"|"&amp;$C28&amp;"|"&amp;R$2&amp;"|"&amp;TEXT(R$1,"dd-mmm"),"x")</f>
        <v>x</v>
      </c>
      <c r="S109" s="54" t="str">
        <f>IF(BatSplit(S28,RunsScored)&gt;=50,BatSplit(S28,RunsScored)&amp;IF(BatSplit(S28,NotOuts)=1,"*","")&amp;"|"&amp;$C28&amp;"|"&amp;S$2&amp;"|"&amp;TEXT(S$1,"dd-mmm"),"x")</f>
        <v>x</v>
      </c>
      <c r="T109" s="54" t="str">
        <f>IF(BatSplit(T28,RunsScored)&gt;=50,BatSplit(T28,RunsScored)&amp;IF(BatSplit(T28,NotOuts)=1,"*","")&amp;"|"&amp;$C28&amp;"|"&amp;T$2&amp;"|"&amp;TEXT(T$1,"dd-mmm"),"x")</f>
        <v>x</v>
      </c>
      <c r="U109" s="54" t="str">
        <f>IF(BatSplit(U28,RunsScored)&gt;=50,BatSplit(U28,RunsScored)&amp;IF(BatSplit(U28,NotOuts)=1,"*","")&amp;"|"&amp;$C28&amp;"|"&amp;U$2&amp;"|"&amp;TEXT(U$1,"dd-mmm"),"x")</f>
        <v>x</v>
      </c>
      <c r="V109" s="54" t="str">
        <f>IF(BatSplit(V28,RunsScored)&gt;=50,BatSplit(V28,RunsScored)&amp;IF(BatSplit(V28,NotOuts)=1,"*","")&amp;"|"&amp;$C28&amp;"|"&amp;V$2&amp;"|"&amp;TEXT(V$1,"dd-mmm"),"x")</f>
        <v>x</v>
      </c>
      <c r="W109" s="54" t="str">
        <f>IF(BatSplit(W28,RunsScored)&gt;=50,BatSplit(W28,RunsScored)&amp;IF(BatSplit(W28,NotOuts)=1,"*","")&amp;"|"&amp;$C28&amp;"|"&amp;W$2&amp;"|"&amp;TEXT(W$1,"dd-mmm"),"x")</f>
        <v>x</v>
      </c>
      <c r="X109" s="54" t="str">
        <f>IF(BatSplit(X28,RunsScored)&gt;=50,BatSplit(X28,RunsScored)&amp;IF(BatSplit(X28,NotOuts)=1,"*","")&amp;"|"&amp;$C28&amp;"|"&amp;X$2&amp;"|"&amp;TEXT(X$1,"dd-mmm"),"x")</f>
        <v>x</v>
      </c>
      <c r="Y109" s="54" t="str">
        <f>IF(BatSplit(Y28,RunsScored)&gt;=50,BatSplit(Y28,RunsScored)&amp;IF(BatSplit(Y28,NotOuts)=1,"*","")&amp;"|"&amp;$C28&amp;"|"&amp;Y$2&amp;"|"&amp;TEXT(Y$1,"dd-mmm"),"x")</f>
        <v>x</v>
      </c>
      <c r="Z109" s="54" t="str">
        <f>IF(BatSplit(Z28,RunsScored)&gt;=50,BatSplit(Z28,RunsScored)&amp;IF(BatSplit(Z28,NotOuts)=1,"*","")&amp;"|"&amp;$C28&amp;"|"&amp;Z$2&amp;"|"&amp;TEXT(Z$1,"dd-mmm"),"x")</f>
        <v>x</v>
      </c>
    </row>
    <row r="110" spans="4:26" customFormat="1" x14ac:dyDescent="0.15">
      <c r="D110" s="54" t="str">
        <f>IF(BatSplit(D29,RunsScored)&gt;=50,BatSplit(D29,RunsScored)&amp;IF(BatSplit(D29,NotOuts)=1,"*","")&amp;"|"&amp;$C29&amp;"|"&amp;D$2&amp;"|"&amp;TEXT(D$1,"dd-mmm"),"x")</f>
        <v>x</v>
      </c>
      <c r="E110" s="54" t="str">
        <f>IF(BatSplit(E29,RunsScored)&gt;=50,BatSplit(E29,RunsScored)&amp;IF(BatSplit(E29,NotOuts)=1,"*","")&amp;"|"&amp;$C29&amp;"|"&amp;E$2&amp;"|"&amp;TEXT(E$1,"dd-mmm"),"x")</f>
        <v>x</v>
      </c>
      <c r="F110" s="54" t="str">
        <f>IF(BatSplit(F29,RunsScored)&gt;=50,BatSplit(F29,RunsScored)&amp;IF(BatSplit(F29,NotOuts)=1,"*","")&amp;"|"&amp;$C29&amp;"|"&amp;F$2&amp;"|"&amp;TEXT(F$1,"dd-mmm"),"x")</f>
        <v>x</v>
      </c>
      <c r="G110" s="54" t="str">
        <f>IF(BatSplit(G29,RunsScored)&gt;=50,BatSplit(G29,RunsScored)&amp;IF(BatSplit(G29,NotOuts)=1,"*","")&amp;"|"&amp;$C29&amp;"|"&amp;G$2&amp;"|"&amp;TEXT(G$1,"dd-mmm"),"x")</f>
        <v>x</v>
      </c>
      <c r="H110" s="54" t="str">
        <f>IF(BatSplit(H29,RunsScored)&gt;=50,BatSplit(H29,RunsScored)&amp;IF(BatSplit(H29,NotOuts)=1,"*","")&amp;"|"&amp;$C29&amp;"|"&amp;H$2&amp;"|"&amp;TEXT(H$1,"dd-mmm"),"x")</f>
        <v>x</v>
      </c>
      <c r="I110" s="54" t="str">
        <f>IF(BatSplit(I29,RunsScored)&gt;=50,BatSplit(I29,RunsScored)&amp;IF(BatSplit(I29,NotOuts)=1,"*","")&amp;"|"&amp;$C29&amp;"|"&amp;I$2&amp;"|"&amp;TEXT(I$1,"dd-mmm"),"x")</f>
        <v>x</v>
      </c>
      <c r="J110" s="54" t="str">
        <f>IF(BatSplit(J29,RunsScored)&gt;=50,BatSplit(J29,RunsScored)&amp;IF(BatSplit(J29,NotOuts)=1,"*","")&amp;"|"&amp;$C29&amp;"|"&amp;J$2&amp;"|"&amp;TEXT(J$1,"dd-mmm"),"x")</f>
        <v>x</v>
      </c>
      <c r="K110" s="54" t="str">
        <f>IF(BatSplit(K29,RunsScored)&gt;=50,BatSplit(K29,RunsScored)&amp;IF(BatSplit(K29,NotOuts)=1,"*","")&amp;"|"&amp;$C29&amp;"|"&amp;K$2&amp;"|"&amp;TEXT(K$1,"dd-mmm"),"x")</f>
        <v>x</v>
      </c>
      <c r="L110" s="54" t="str">
        <f>IF(BatSplit(L29,RunsScored)&gt;=50,BatSplit(L29,RunsScored)&amp;IF(BatSplit(L29,NotOuts)=1,"*","")&amp;"|"&amp;$C29&amp;"|"&amp;L$2&amp;"|"&amp;TEXT(L$1,"dd-mmm"),"x")</f>
        <v>x</v>
      </c>
      <c r="M110" s="54" t="str">
        <f>IF(BatSplit(M29,RunsScored)&gt;=50,BatSplit(M29,RunsScored)&amp;IF(BatSplit(M29,NotOuts)=1,"*","")&amp;"|"&amp;$C29&amp;"|"&amp;M$2&amp;"|"&amp;TEXT(M$1,"dd-mmm"),"x")</f>
        <v>x</v>
      </c>
      <c r="N110" s="54" t="str">
        <f>IF(BatSplit(N29,RunsScored)&gt;=50,BatSplit(N29,RunsScored)&amp;IF(BatSplit(N29,NotOuts)=1,"*","")&amp;"|"&amp;$C29&amp;"|"&amp;N$2&amp;"|"&amp;TEXT(N$1,"dd-mmm"),"x")</f>
        <v>x</v>
      </c>
      <c r="O110" s="54" t="str">
        <f>IF(BatSplit(O29,RunsScored)&gt;=50,BatSplit(O29,RunsScored)&amp;IF(BatSplit(O29,NotOuts)=1,"*","")&amp;"|"&amp;$C29&amp;"|"&amp;O$2&amp;"|"&amp;TEXT(O$1,"dd-mmm"),"x")</f>
        <v>x</v>
      </c>
      <c r="P110" s="54" t="str">
        <f>IF(BatSplit(P29,RunsScored)&gt;=50,BatSplit(P29,RunsScored)&amp;IF(BatSplit(P29,NotOuts)=1,"*","")&amp;"|"&amp;$C29&amp;"|"&amp;P$2&amp;"|"&amp;TEXT(P$1,"dd-mmm"),"x")</f>
        <v>x</v>
      </c>
      <c r="Q110" s="54" t="str">
        <f>IF(BatSplit(Q29,RunsScored)&gt;=50,BatSplit(Q29,RunsScored)&amp;IF(BatSplit(Q29,NotOuts)=1,"*","")&amp;"|"&amp;$C29&amp;"|"&amp;Q$2&amp;"|"&amp;TEXT(Q$1,"dd-mmm"),"x")</f>
        <v>x</v>
      </c>
      <c r="R110" s="54" t="str">
        <f>IF(BatSplit(R29,RunsScored)&gt;=50,BatSplit(R29,RunsScored)&amp;IF(BatSplit(R29,NotOuts)=1,"*","")&amp;"|"&amp;$C29&amp;"|"&amp;R$2&amp;"|"&amp;TEXT(R$1,"dd-mmm"),"x")</f>
        <v>x</v>
      </c>
      <c r="S110" s="54" t="str">
        <f>IF(BatSplit(S29,RunsScored)&gt;=50,BatSplit(S29,RunsScored)&amp;IF(BatSplit(S29,NotOuts)=1,"*","")&amp;"|"&amp;$C29&amp;"|"&amp;S$2&amp;"|"&amp;TEXT(S$1,"dd-mmm"),"x")</f>
        <v>x</v>
      </c>
      <c r="T110" s="54" t="str">
        <f>IF(BatSplit(T29,RunsScored)&gt;=50,BatSplit(T29,RunsScored)&amp;IF(BatSplit(T29,NotOuts)=1,"*","")&amp;"|"&amp;$C29&amp;"|"&amp;T$2&amp;"|"&amp;TEXT(T$1,"dd-mmm"),"x")</f>
        <v>x</v>
      </c>
      <c r="U110" s="54" t="str">
        <f>IF(BatSplit(U29,RunsScored)&gt;=50,BatSplit(U29,RunsScored)&amp;IF(BatSplit(U29,NotOuts)=1,"*","")&amp;"|"&amp;$C29&amp;"|"&amp;U$2&amp;"|"&amp;TEXT(U$1,"dd-mmm"),"x")</f>
        <v>x</v>
      </c>
      <c r="V110" s="54" t="str">
        <f>IF(BatSplit(V29,RunsScored)&gt;=50,BatSplit(V29,RunsScored)&amp;IF(BatSplit(V29,NotOuts)=1,"*","")&amp;"|"&amp;$C29&amp;"|"&amp;V$2&amp;"|"&amp;TEXT(V$1,"dd-mmm"),"x")</f>
        <v>x</v>
      </c>
      <c r="W110" s="54" t="str">
        <f>IF(BatSplit(W29,RunsScored)&gt;=50,BatSplit(W29,RunsScored)&amp;IF(BatSplit(W29,NotOuts)=1,"*","")&amp;"|"&amp;$C29&amp;"|"&amp;W$2&amp;"|"&amp;TEXT(W$1,"dd-mmm"),"x")</f>
        <v>x</v>
      </c>
      <c r="X110" s="54" t="str">
        <f>IF(BatSplit(X29,RunsScored)&gt;=50,BatSplit(X29,RunsScored)&amp;IF(BatSplit(X29,NotOuts)=1,"*","")&amp;"|"&amp;$C29&amp;"|"&amp;X$2&amp;"|"&amp;TEXT(X$1,"dd-mmm"),"x")</f>
        <v>x</v>
      </c>
      <c r="Y110" s="54" t="str">
        <f>IF(BatSplit(Y29,RunsScored)&gt;=50,BatSplit(Y29,RunsScored)&amp;IF(BatSplit(Y29,NotOuts)=1,"*","")&amp;"|"&amp;$C29&amp;"|"&amp;Y$2&amp;"|"&amp;TEXT(Y$1,"dd-mmm"),"x")</f>
        <v>x</v>
      </c>
      <c r="Z110" s="54" t="str">
        <f>IF(BatSplit(Z29,RunsScored)&gt;=50,BatSplit(Z29,RunsScored)&amp;IF(BatSplit(Z29,NotOuts)=1,"*","")&amp;"|"&amp;$C29&amp;"|"&amp;Z$2&amp;"|"&amp;TEXT(Z$1,"dd-mmm"),"x")</f>
        <v>x</v>
      </c>
    </row>
    <row r="111" spans="4:26" customFormat="1" x14ac:dyDescent="0.15">
      <c r="D111" s="54" t="str">
        <f>IF(BatSplit(D31,RunsScored)&gt;=50,BatSplit(D31,RunsScored)&amp;IF(BatSplit(D31,NotOuts)=1,"*","")&amp;"|"&amp;$C31&amp;"|"&amp;D$2&amp;"|"&amp;TEXT(D$1,"dd-mmm"),"x")</f>
        <v>x</v>
      </c>
      <c r="E111" s="54" t="str">
        <f>IF(BatSplit(E31,RunsScored)&gt;=50,BatSplit(E31,RunsScored)&amp;IF(BatSplit(E31,NotOuts)=1,"*","")&amp;"|"&amp;$C31&amp;"|"&amp;E$2&amp;"|"&amp;TEXT(E$1,"dd-mmm"),"x")</f>
        <v>x</v>
      </c>
      <c r="F111" s="54" t="str">
        <f>IF(BatSplit(F31,RunsScored)&gt;=50,BatSplit(F31,RunsScored)&amp;IF(BatSplit(F31,NotOuts)=1,"*","")&amp;"|"&amp;$C31&amp;"|"&amp;F$2&amp;"|"&amp;TEXT(F$1,"dd-mmm"),"x")</f>
        <v>x</v>
      </c>
      <c r="G111" s="54" t="str">
        <f>IF(BatSplit(G31,RunsScored)&gt;=50,BatSplit(G31,RunsScored)&amp;IF(BatSplit(G31,NotOuts)=1,"*","")&amp;"|"&amp;$C31&amp;"|"&amp;G$2&amp;"|"&amp;TEXT(G$1,"dd-mmm"),"x")</f>
        <v>x</v>
      </c>
      <c r="H111" s="54" t="str">
        <f>IF(BatSplit(H31,RunsScored)&gt;=50,BatSplit(H31,RunsScored)&amp;IF(BatSplit(H31,NotOuts)=1,"*","")&amp;"|"&amp;$C31&amp;"|"&amp;H$2&amp;"|"&amp;TEXT(H$1,"dd-mmm"),"x")</f>
        <v>x</v>
      </c>
      <c r="I111" s="54" t="str">
        <f>IF(BatSplit(I31,RunsScored)&gt;=50,BatSplit(I31,RunsScored)&amp;IF(BatSplit(I31,NotOuts)=1,"*","")&amp;"|"&amp;$C31&amp;"|"&amp;I$2&amp;"|"&amp;TEXT(I$1,"dd-mmm"),"x")</f>
        <v>x</v>
      </c>
      <c r="J111" s="54" t="str">
        <f>IF(BatSplit(J31,RunsScored)&gt;=50,BatSplit(J31,RunsScored)&amp;IF(BatSplit(J31,NotOuts)=1,"*","")&amp;"|"&amp;$C31&amp;"|"&amp;J$2&amp;"|"&amp;TEXT(J$1,"dd-mmm"),"x")</f>
        <v>x</v>
      </c>
      <c r="K111" s="54" t="str">
        <f>IF(BatSplit(K31,RunsScored)&gt;=50,BatSplit(K31,RunsScored)&amp;IF(BatSplit(K31,NotOuts)=1,"*","")&amp;"|"&amp;$C31&amp;"|"&amp;K$2&amp;"|"&amp;TEXT(K$1,"dd-mmm"),"x")</f>
        <v>x</v>
      </c>
      <c r="L111" s="54" t="str">
        <f>IF(BatSplit(L31,RunsScored)&gt;=50,BatSplit(L31,RunsScored)&amp;IF(BatSplit(L31,NotOuts)=1,"*","")&amp;"|"&amp;$C31&amp;"|"&amp;L$2&amp;"|"&amp;TEXT(L$1,"dd-mmm"),"x")</f>
        <v>x</v>
      </c>
      <c r="M111" s="54" t="str">
        <f>IF(BatSplit(M31,RunsScored)&gt;=50,BatSplit(M31,RunsScored)&amp;IF(BatSplit(M31,NotOuts)=1,"*","")&amp;"|"&amp;$C31&amp;"|"&amp;M$2&amp;"|"&amp;TEXT(M$1,"dd-mmm"),"x")</f>
        <v>x</v>
      </c>
      <c r="N111" s="54" t="str">
        <f>IF(BatSplit(N31,RunsScored)&gt;=50,BatSplit(N31,RunsScored)&amp;IF(BatSplit(N31,NotOuts)=1,"*","")&amp;"|"&amp;$C31&amp;"|"&amp;N$2&amp;"|"&amp;TEXT(N$1,"dd-mmm"),"x")</f>
        <v>x</v>
      </c>
      <c r="O111" s="54" t="str">
        <f>IF(BatSplit(O31,RunsScored)&gt;=50,BatSplit(O31,RunsScored)&amp;IF(BatSplit(O31,NotOuts)=1,"*","")&amp;"|"&amp;$C31&amp;"|"&amp;O$2&amp;"|"&amp;TEXT(O$1,"dd-mmm"),"x")</f>
        <v>x</v>
      </c>
      <c r="P111" s="54" t="str">
        <f>IF(BatSplit(P31,RunsScored)&gt;=50,BatSplit(P31,RunsScored)&amp;IF(BatSplit(P31,NotOuts)=1,"*","")&amp;"|"&amp;$C31&amp;"|"&amp;P$2&amp;"|"&amp;TEXT(P$1,"dd-mmm"),"x")</f>
        <v>x</v>
      </c>
      <c r="Q111" s="54" t="str">
        <f>IF(BatSplit(Q31,RunsScored)&gt;=50,BatSplit(Q31,RunsScored)&amp;IF(BatSplit(Q31,NotOuts)=1,"*","")&amp;"|"&amp;$C31&amp;"|"&amp;Q$2&amp;"|"&amp;TEXT(Q$1,"dd-mmm"),"x")</f>
        <v>x</v>
      </c>
      <c r="R111" s="54" t="str">
        <f>IF(BatSplit(R31,RunsScored)&gt;=50,BatSplit(R31,RunsScored)&amp;IF(BatSplit(R31,NotOuts)=1,"*","")&amp;"|"&amp;$C31&amp;"|"&amp;R$2&amp;"|"&amp;TEXT(R$1,"dd-mmm"),"x")</f>
        <v>x</v>
      </c>
      <c r="S111" s="54" t="str">
        <f>IF(BatSplit(S31,RunsScored)&gt;=50,BatSplit(S31,RunsScored)&amp;IF(BatSplit(S31,NotOuts)=1,"*","")&amp;"|"&amp;$C31&amp;"|"&amp;S$2&amp;"|"&amp;TEXT(S$1,"dd-mmm"),"x")</f>
        <v>x</v>
      </c>
      <c r="T111" s="54" t="str">
        <f>IF(BatSplit(T31,RunsScored)&gt;=50,BatSplit(T31,RunsScored)&amp;IF(BatSplit(T31,NotOuts)=1,"*","")&amp;"|"&amp;$C31&amp;"|"&amp;T$2&amp;"|"&amp;TEXT(T$1,"dd-mmm"),"x")</f>
        <v>x</v>
      </c>
      <c r="U111" s="54" t="str">
        <f>IF(BatSplit(U31,RunsScored)&gt;=50,BatSplit(U31,RunsScored)&amp;IF(BatSplit(U31,NotOuts)=1,"*","")&amp;"|"&amp;$C31&amp;"|"&amp;U$2&amp;"|"&amp;TEXT(U$1,"dd-mmm"),"x")</f>
        <v>x</v>
      </c>
      <c r="V111" s="54" t="str">
        <f>IF(BatSplit(V31,RunsScored)&gt;=50,BatSplit(V31,RunsScored)&amp;IF(BatSplit(V31,NotOuts)=1,"*","")&amp;"|"&amp;$C31&amp;"|"&amp;V$2&amp;"|"&amp;TEXT(V$1,"dd-mmm"),"x")</f>
        <v>x</v>
      </c>
      <c r="W111" s="54" t="str">
        <f>IF(BatSplit(W31,RunsScored)&gt;=50,BatSplit(W31,RunsScored)&amp;IF(BatSplit(W31,NotOuts)=1,"*","")&amp;"|"&amp;$C31&amp;"|"&amp;W$2&amp;"|"&amp;TEXT(W$1,"dd-mmm"),"x")</f>
        <v>x</v>
      </c>
      <c r="X111" s="54" t="str">
        <f>IF(BatSplit(X31,RunsScored)&gt;=50,BatSplit(X31,RunsScored)&amp;IF(BatSplit(X31,NotOuts)=1,"*","")&amp;"|"&amp;$C31&amp;"|"&amp;X$2&amp;"|"&amp;TEXT(X$1,"dd-mmm"),"x")</f>
        <v>x</v>
      </c>
      <c r="Y111" s="54" t="str">
        <f>IF(BatSplit(Y31,RunsScored)&gt;=50,BatSplit(Y31,RunsScored)&amp;IF(BatSplit(Y31,NotOuts)=1,"*","")&amp;"|"&amp;$C31&amp;"|"&amp;Y$2&amp;"|"&amp;TEXT(Y$1,"dd-mmm"),"x")</f>
        <v>x</v>
      </c>
      <c r="Z111" s="54" t="str">
        <f>IF(BatSplit(Z31,RunsScored)&gt;=50,BatSplit(Z31,RunsScored)&amp;IF(BatSplit(Z31,NotOuts)=1,"*","")&amp;"|"&amp;$C31&amp;"|"&amp;Z$2&amp;"|"&amp;TEXT(Z$1,"dd-mmm"),"x")</f>
        <v>x</v>
      </c>
    </row>
    <row r="112" spans="4:26" customFormat="1" x14ac:dyDescent="0.15">
      <c r="D112" s="54" t="str">
        <f>IF(BatSplit(D32,RunsScored)&gt;=50,BatSplit(D32,RunsScored)&amp;IF(BatSplit(D32,NotOuts)=1,"*","")&amp;"|"&amp;$C32&amp;"|"&amp;D$2&amp;"|"&amp;TEXT(D$1,"dd-mmm"),"x")</f>
        <v>x</v>
      </c>
      <c r="E112" s="54" t="str">
        <f>IF(BatSplit(E32,RunsScored)&gt;=50,BatSplit(E32,RunsScored)&amp;IF(BatSplit(E32,NotOuts)=1,"*","")&amp;"|"&amp;$C32&amp;"|"&amp;E$2&amp;"|"&amp;TEXT(E$1,"dd-mmm"),"x")</f>
        <v>x</v>
      </c>
      <c r="F112" s="54" t="str">
        <f>IF(BatSplit(F32,RunsScored)&gt;=50,BatSplit(F32,RunsScored)&amp;IF(BatSplit(F32,NotOuts)=1,"*","")&amp;"|"&amp;$C32&amp;"|"&amp;F$2&amp;"|"&amp;TEXT(F$1,"dd-mmm"),"x")</f>
        <v>x</v>
      </c>
      <c r="G112" s="54" t="str">
        <f>IF(BatSplit(G32,RunsScored)&gt;=50,BatSplit(G32,RunsScored)&amp;IF(BatSplit(G32,NotOuts)=1,"*","")&amp;"|"&amp;$C32&amp;"|"&amp;G$2&amp;"|"&amp;TEXT(G$1,"dd-mmm"),"x")</f>
        <v>x</v>
      </c>
      <c r="H112" s="54" t="str">
        <f>IF(BatSplit(H32,RunsScored)&gt;=50,BatSplit(H32,RunsScored)&amp;IF(BatSplit(H32,NotOuts)=1,"*","")&amp;"|"&amp;$C32&amp;"|"&amp;H$2&amp;"|"&amp;TEXT(H$1,"dd-mmm"),"x")</f>
        <v>x</v>
      </c>
      <c r="I112" s="54" t="str">
        <f>IF(BatSplit(I32,RunsScored)&gt;=50,BatSplit(I32,RunsScored)&amp;IF(BatSplit(I32,NotOuts)=1,"*","")&amp;"|"&amp;$C32&amp;"|"&amp;I$2&amp;"|"&amp;TEXT(I$1,"dd-mmm"),"x")</f>
        <v>x</v>
      </c>
      <c r="J112" s="54" t="str">
        <f>IF(BatSplit(J32,RunsScored)&gt;=50,BatSplit(J32,RunsScored)&amp;IF(BatSplit(J32,NotOuts)=1,"*","")&amp;"|"&amp;$C32&amp;"|"&amp;J$2&amp;"|"&amp;TEXT(J$1,"dd-mmm"),"x")</f>
        <v>x</v>
      </c>
      <c r="K112" s="54" t="str">
        <f>IF(BatSplit(K32,RunsScored)&gt;=50,BatSplit(K32,RunsScored)&amp;IF(BatSplit(K32,NotOuts)=1,"*","")&amp;"|"&amp;$C32&amp;"|"&amp;K$2&amp;"|"&amp;TEXT(K$1,"dd-mmm"),"x")</f>
        <v>x</v>
      </c>
      <c r="L112" s="54" t="str">
        <f>IF(BatSplit(L32,RunsScored)&gt;=50,BatSplit(L32,RunsScored)&amp;IF(BatSplit(L32,NotOuts)=1,"*","")&amp;"|"&amp;$C32&amp;"|"&amp;L$2&amp;"|"&amp;TEXT(L$1,"dd-mmm"),"x")</f>
        <v>x</v>
      </c>
      <c r="M112" s="54" t="str">
        <f>IF(BatSplit(M32,RunsScored)&gt;=50,BatSplit(M32,RunsScored)&amp;IF(BatSplit(M32,NotOuts)=1,"*","")&amp;"|"&amp;$C32&amp;"|"&amp;M$2&amp;"|"&amp;TEXT(M$1,"dd-mmm"),"x")</f>
        <v>x</v>
      </c>
      <c r="N112" s="54" t="str">
        <f>IF(BatSplit(N32,RunsScored)&gt;=50,BatSplit(N32,RunsScored)&amp;IF(BatSplit(N32,NotOuts)=1,"*","")&amp;"|"&amp;$C32&amp;"|"&amp;N$2&amp;"|"&amp;TEXT(N$1,"dd-mmm"),"x")</f>
        <v>x</v>
      </c>
      <c r="O112" s="54" t="str">
        <f>IF(BatSplit(O32,RunsScored)&gt;=50,BatSplit(O32,RunsScored)&amp;IF(BatSplit(O32,NotOuts)=1,"*","")&amp;"|"&amp;$C32&amp;"|"&amp;O$2&amp;"|"&amp;TEXT(O$1,"dd-mmm"),"x")</f>
        <v>x</v>
      </c>
      <c r="P112" s="54" t="str">
        <f>IF(BatSplit(P32,RunsScored)&gt;=50,BatSplit(P32,RunsScored)&amp;IF(BatSplit(P32,NotOuts)=1,"*","")&amp;"|"&amp;$C32&amp;"|"&amp;P$2&amp;"|"&amp;TEXT(P$1,"dd-mmm"),"x")</f>
        <v>x</v>
      </c>
      <c r="Q112" s="54" t="str">
        <f>IF(BatSplit(Q32,RunsScored)&gt;=50,BatSplit(Q32,RunsScored)&amp;IF(BatSplit(Q32,NotOuts)=1,"*","")&amp;"|"&amp;$C32&amp;"|"&amp;Q$2&amp;"|"&amp;TEXT(Q$1,"dd-mmm"),"x")</f>
        <v>x</v>
      </c>
      <c r="R112" s="54" t="str">
        <f>IF(BatSplit(R32,RunsScored)&gt;=50,BatSplit(R32,RunsScored)&amp;IF(BatSplit(R32,NotOuts)=1,"*","")&amp;"|"&amp;$C32&amp;"|"&amp;R$2&amp;"|"&amp;TEXT(R$1,"dd-mmm"),"x")</f>
        <v>x</v>
      </c>
      <c r="S112" s="54" t="str">
        <f>IF(BatSplit(S32,RunsScored)&gt;=50,BatSplit(S32,RunsScored)&amp;IF(BatSplit(S32,NotOuts)=1,"*","")&amp;"|"&amp;$C32&amp;"|"&amp;S$2&amp;"|"&amp;TEXT(S$1,"dd-mmm"),"x")</f>
        <v>x</v>
      </c>
      <c r="T112" s="54" t="str">
        <f>IF(BatSplit(T32,RunsScored)&gt;=50,BatSplit(T32,RunsScored)&amp;IF(BatSplit(T32,NotOuts)=1,"*","")&amp;"|"&amp;$C32&amp;"|"&amp;T$2&amp;"|"&amp;TEXT(T$1,"dd-mmm"),"x")</f>
        <v>x</v>
      </c>
      <c r="U112" s="54" t="str">
        <f>IF(BatSplit(U32,RunsScored)&gt;=50,BatSplit(U32,RunsScored)&amp;IF(BatSplit(U32,NotOuts)=1,"*","")&amp;"|"&amp;$C32&amp;"|"&amp;U$2&amp;"|"&amp;TEXT(U$1,"dd-mmm"),"x")</f>
        <v>x</v>
      </c>
      <c r="V112" s="54" t="str">
        <f>IF(BatSplit(V32,RunsScored)&gt;=50,BatSplit(V32,RunsScored)&amp;IF(BatSplit(V32,NotOuts)=1,"*","")&amp;"|"&amp;$C32&amp;"|"&amp;V$2&amp;"|"&amp;TEXT(V$1,"dd-mmm"),"x")</f>
        <v>x</v>
      </c>
      <c r="W112" s="54" t="str">
        <f>IF(BatSplit(W32,RunsScored)&gt;=50,BatSplit(W32,RunsScored)&amp;IF(BatSplit(W32,NotOuts)=1,"*","")&amp;"|"&amp;$C32&amp;"|"&amp;W$2&amp;"|"&amp;TEXT(W$1,"dd-mmm"),"x")</f>
        <v>x</v>
      </c>
      <c r="X112" s="54" t="str">
        <f>IF(BatSplit(X32,RunsScored)&gt;=50,BatSplit(X32,RunsScored)&amp;IF(BatSplit(X32,NotOuts)=1,"*","")&amp;"|"&amp;$C32&amp;"|"&amp;X$2&amp;"|"&amp;TEXT(X$1,"dd-mmm"),"x")</f>
        <v>x</v>
      </c>
      <c r="Y112" s="54" t="str">
        <f>IF(BatSplit(Y32,RunsScored)&gt;=50,BatSplit(Y32,RunsScored)&amp;IF(BatSplit(Y32,NotOuts)=1,"*","")&amp;"|"&amp;$C32&amp;"|"&amp;Y$2&amp;"|"&amp;TEXT(Y$1,"dd-mmm"),"x")</f>
        <v>x</v>
      </c>
      <c r="Z112" s="54" t="str">
        <f>IF(BatSplit(Z32,RunsScored)&gt;=50,BatSplit(Z32,RunsScored)&amp;IF(BatSplit(Z32,NotOuts)=1,"*","")&amp;"|"&amp;$C32&amp;"|"&amp;Z$2&amp;"|"&amp;TEXT(Z$1,"dd-mmm"),"x")</f>
        <v>x</v>
      </c>
    </row>
    <row r="113" spans="4:26" customFormat="1" x14ac:dyDescent="0.15">
      <c r="D113" s="54" t="str">
        <f>IF(BatSplit(D33,RunsScored)&gt;=50,BatSplit(D33,RunsScored)&amp;IF(BatSplit(D33,NotOuts)=1,"*","")&amp;"|"&amp;$C33&amp;"|"&amp;D$2&amp;"|"&amp;TEXT(D$1,"dd-mmm"),"x")</f>
        <v>x</v>
      </c>
      <c r="E113" s="54" t="str">
        <f>IF(BatSplit(E33,RunsScored)&gt;=50,BatSplit(E33,RunsScored)&amp;IF(BatSplit(E33,NotOuts)=1,"*","")&amp;"|"&amp;$C33&amp;"|"&amp;E$2&amp;"|"&amp;TEXT(E$1,"dd-mmm"),"x")</f>
        <v>x</v>
      </c>
      <c r="F113" s="54" t="str">
        <f>IF(BatSplit(F33,RunsScored)&gt;=50,BatSplit(F33,RunsScored)&amp;IF(BatSplit(F33,NotOuts)=1,"*","")&amp;"|"&amp;$C33&amp;"|"&amp;F$2&amp;"|"&amp;TEXT(F$1,"dd-mmm"),"x")</f>
        <v>x</v>
      </c>
      <c r="G113" s="54" t="str">
        <f>IF(BatSplit(G33,RunsScored)&gt;=50,BatSplit(G33,RunsScored)&amp;IF(BatSplit(G33,NotOuts)=1,"*","")&amp;"|"&amp;$C33&amp;"|"&amp;G$2&amp;"|"&amp;TEXT(G$1,"dd-mmm"),"x")</f>
        <v>55|Middleton J|Fonthill Park|27-May</v>
      </c>
      <c r="H113" s="54" t="str">
        <f>IF(BatSplit(H33,RunsScored)&gt;=50,BatSplit(H33,RunsScored)&amp;IF(BatSplit(H33,NotOuts)=1,"*","")&amp;"|"&amp;$C33&amp;"|"&amp;H$2&amp;"|"&amp;TEXT(H$1,"dd-mmm"),"x")</f>
        <v>x</v>
      </c>
      <c r="I113" s="54" t="str">
        <f>IF(BatSplit(I33,RunsScored)&gt;=50,BatSplit(I33,RunsScored)&amp;IF(BatSplit(I33,NotOuts)=1,"*","")&amp;"|"&amp;$C33&amp;"|"&amp;I$2&amp;"|"&amp;TEXT(I$1,"dd-mmm"),"x")</f>
        <v>x</v>
      </c>
      <c r="J113" s="54" t="str">
        <f>IF(BatSplit(J33,RunsScored)&gt;=50,BatSplit(J33,RunsScored)&amp;IF(BatSplit(J33,NotOuts)=1,"*","")&amp;"|"&amp;$C33&amp;"|"&amp;J$2&amp;"|"&amp;TEXT(J$1,"dd-mmm"),"x")</f>
        <v>x</v>
      </c>
      <c r="K113" s="54" t="str">
        <f>IF(BatSplit(K33,RunsScored)&gt;=50,BatSplit(K33,RunsScored)&amp;IF(BatSplit(K33,NotOuts)=1,"*","")&amp;"|"&amp;$C33&amp;"|"&amp;K$2&amp;"|"&amp;TEXT(K$1,"dd-mmm"),"x")</f>
        <v>x</v>
      </c>
      <c r="L113" s="54" t="str">
        <f>IF(BatSplit(L33,RunsScored)&gt;=50,BatSplit(L33,RunsScored)&amp;IF(BatSplit(L33,NotOuts)=1,"*","")&amp;"|"&amp;$C33&amp;"|"&amp;L$2&amp;"|"&amp;TEXT(L$1,"dd-mmm"),"x")</f>
        <v>x</v>
      </c>
      <c r="M113" s="54" t="str">
        <f>IF(BatSplit(M33,RunsScored)&gt;=50,BatSplit(M33,RunsScored)&amp;IF(BatSplit(M33,NotOuts)=1,"*","")&amp;"|"&amp;$C33&amp;"|"&amp;M$2&amp;"|"&amp;TEXT(M$1,"dd-mmm"),"x")</f>
        <v>x</v>
      </c>
      <c r="N113" s="54" t="str">
        <f>IF(BatSplit(N33,RunsScored)&gt;=50,BatSplit(N33,RunsScored)&amp;IF(BatSplit(N33,NotOuts)=1,"*","")&amp;"|"&amp;$C33&amp;"|"&amp;N$2&amp;"|"&amp;TEXT(N$1,"dd-mmm"),"x")</f>
        <v>x</v>
      </c>
      <c r="O113" s="54" t="str">
        <f>IF(BatSplit(O33,RunsScored)&gt;=50,BatSplit(O33,RunsScored)&amp;IF(BatSplit(O33,NotOuts)=1,"*","")&amp;"|"&amp;$C33&amp;"|"&amp;O$2&amp;"|"&amp;TEXT(O$1,"dd-mmm"),"x")</f>
        <v>x</v>
      </c>
      <c r="P113" s="54" t="str">
        <f>IF(BatSplit(P33,RunsScored)&gt;=50,BatSplit(P33,RunsScored)&amp;IF(BatSplit(P33,NotOuts)=1,"*","")&amp;"|"&amp;$C33&amp;"|"&amp;P$2&amp;"|"&amp;TEXT(P$1,"dd-mmm"),"x")</f>
        <v>x</v>
      </c>
      <c r="Q113" s="54" t="str">
        <f>IF(BatSplit(Q33,RunsScored)&gt;=50,BatSplit(Q33,RunsScored)&amp;IF(BatSplit(Q33,NotOuts)=1,"*","")&amp;"|"&amp;$C33&amp;"|"&amp;Q$2&amp;"|"&amp;TEXT(Q$1,"dd-mmm"),"x")</f>
        <v>x</v>
      </c>
      <c r="R113" s="54" t="str">
        <f>IF(BatSplit(R33,RunsScored)&gt;=50,BatSplit(R33,RunsScored)&amp;IF(BatSplit(R33,NotOuts)=1,"*","")&amp;"|"&amp;$C33&amp;"|"&amp;R$2&amp;"|"&amp;TEXT(R$1,"dd-mmm"),"x")</f>
        <v>x</v>
      </c>
      <c r="S113" s="54" t="str">
        <f>IF(BatSplit(S33,RunsScored)&gt;=50,BatSplit(S33,RunsScored)&amp;IF(BatSplit(S33,NotOuts)=1,"*","")&amp;"|"&amp;$C33&amp;"|"&amp;S$2&amp;"|"&amp;TEXT(S$1,"dd-mmm"),"x")</f>
        <v>x</v>
      </c>
      <c r="T113" s="54" t="str">
        <f>IF(BatSplit(T33,RunsScored)&gt;=50,BatSplit(T33,RunsScored)&amp;IF(BatSplit(T33,NotOuts)=1,"*","")&amp;"|"&amp;$C33&amp;"|"&amp;T$2&amp;"|"&amp;TEXT(T$1,"dd-mmm"),"x")</f>
        <v>x</v>
      </c>
      <c r="U113" s="54" t="str">
        <f>IF(BatSplit(U33,RunsScored)&gt;=50,BatSplit(U33,RunsScored)&amp;IF(BatSplit(U33,NotOuts)=1,"*","")&amp;"|"&amp;$C33&amp;"|"&amp;U$2&amp;"|"&amp;TEXT(U$1,"dd-mmm"),"x")</f>
        <v>x</v>
      </c>
      <c r="V113" s="54" t="str">
        <f>IF(BatSplit(V33,RunsScored)&gt;=50,BatSplit(V33,RunsScored)&amp;IF(BatSplit(V33,NotOuts)=1,"*","")&amp;"|"&amp;$C33&amp;"|"&amp;V$2&amp;"|"&amp;TEXT(V$1,"dd-mmm"),"x")</f>
        <v>x</v>
      </c>
      <c r="W113" s="54" t="str">
        <f>IF(BatSplit(W33,RunsScored)&gt;=50,BatSplit(W33,RunsScored)&amp;IF(BatSplit(W33,NotOuts)=1,"*","")&amp;"|"&amp;$C33&amp;"|"&amp;W$2&amp;"|"&amp;TEXT(W$1,"dd-mmm"),"x")</f>
        <v>x</v>
      </c>
      <c r="X113" s="54" t="str">
        <f>IF(BatSplit(X33,RunsScored)&gt;=50,BatSplit(X33,RunsScored)&amp;IF(BatSplit(X33,NotOuts)=1,"*","")&amp;"|"&amp;$C33&amp;"|"&amp;X$2&amp;"|"&amp;TEXT(X$1,"dd-mmm"),"x")</f>
        <v>x</v>
      </c>
      <c r="Y113" s="54" t="str">
        <f>IF(BatSplit(Y33,RunsScored)&gt;=50,BatSplit(Y33,RunsScored)&amp;IF(BatSplit(Y33,NotOuts)=1,"*","")&amp;"|"&amp;$C33&amp;"|"&amp;Y$2&amp;"|"&amp;TEXT(Y$1,"dd-mmm"),"x")</f>
        <v>x</v>
      </c>
      <c r="Z113" s="54" t="str">
        <f>IF(BatSplit(Z33,RunsScored)&gt;=50,BatSplit(Z33,RunsScored)&amp;IF(BatSplit(Z33,NotOuts)=1,"*","")&amp;"|"&amp;$C33&amp;"|"&amp;Z$2&amp;"|"&amp;TEXT(Z$1,"dd-mmm"),"x")</f>
        <v>x</v>
      </c>
    </row>
    <row r="114" spans="4:26" customFormat="1" x14ac:dyDescent="0.15">
      <c r="D114" s="54" t="str">
        <f>IF(BatSplit(D34,RunsScored)&gt;=50,BatSplit(D34,RunsScored)&amp;IF(BatSplit(D34,NotOuts)=1,"*","")&amp;"|"&amp;$C34&amp;"|"&amp;D$2&amp;"|"&amp;TEXT(D$1,"dd-mmm"),"x")</f>
        <v>x</v>
      </c>
      <c r="E114" s="54" t="str">
        <f>IF(BatSplit(E34,RunsScored)&gt;=50,BatSplit(E34,RunsScored)&amp;IF(BatSplit(E34,NotOuts)=1,"*","")&amp;"|"&amp;$C34&amp;"|"&amp;E$2&amp;"|"&amp;TEXT(E$1,"dd-mmm"),"x")</f>
        <v>x</v>
      </c>
      <c r="F114" s="54" t="str">
        <f>IF(BatSplit(F34,RunsScored)&gt;=50,BatSplit(F34,RunsScored)&amp;IF(BatSplit(F34,NotOuts)=1,"*","")&amp;"|"&amp;$C34&amp;"|"&amp;F$2&amp;"|"&amp;TEXT(F$1,"dd-mmm"),"x")</f>
        <v>x</v>
      </c>
      <c r="G114" s="54" t="str">
        <f>IF(BatSplit(G34,RunsScored)&gt;=50,BatSplit(G34,RunsScored)&amp;IF(BatSplit(G34,NotOuts)=1,"*","")&amp;"|"&amp;$C34&amp;"|"&amp;G$2&amp;"|"&amp;TEXT(G$1,"dd-mmm"),"x")</f>
        <v>x</v>
      </c>
      <c r="H114" s="54" t="str">
        <f>IF(BatSplit(H34,RunsScored)&gt;=50,BatSplit(H34,RunsScored)&amp;IF(BatSplit(H34,NotOuts)=1,"*","")&amp;"|"&amp;$C34&amp;"|"&amp;H$2&amp;"|"&amp;TEXT(H$1,"dd-mmm"),"x")</f>
        <v>x</v>
      </c>
      <c r="I114" s="54" t="str">
        <f>IF(BatSplit(I34,RunsScored)&gt;=50,BatSplit(I34,RunsScored)&amp;IF(BatSplit(I34,NotOuts)=1,"*","")&amp;"|"&amp;$C34&amp;"|"&amp;I$2&amp;"|"&amp;TEXT(I$1,"dd-mmm"),"x")</f>
        <v>x</v>
      </c>
      <c r="J114" s="54" t="str">
        <f>IF(BatSplit(J34,RunsScored)&gt;=50,BatSplit(J34,RunsScored)&amp;IF(BatSplit(J34,NotOuts)=1,"*","")&amp;"|"&amp;$C34&amp;"|"&amp;J$2&amp;"|"&amp;TEXT(J$1,"dd-mmm"),"x")</f>
        <v>x</v>
      </c>
      <c r="K114" s="54" t="str">
        <f>IF(BatSplit(K34,RunsScored)&gt;=50,BatSplit(K34,RunsScored)&amp;IF(BatSplit(K34,NotOuts)=1,"*","")&amp;"|"&amp;$C34&amp;"|"&amp;K$2&amp;"|"&amp;TEXT(K$1,"dd-mmm"),"x")</f>
        <v>x</v>
      </c>
      <c r="L114" s="54" t="str">
        <f>IF(BatSplit(L34,RunsScored)&gt;=50,BatSplit(L34,RunsScored)&amp;IF(BatSplit(L34,NotOuts)=1,"*","")&amp;"|"&amp;$C34&amp;"|"&amp;L$2&amp;"|"&amp;TEXT(L$1,"dd-mmm"),"x")</f>
        <v>x</v>
      </c>
      <c r="M114" s="54" t="str">
        <f>IF(BatSplit(M34,RunsScored)&gt;=50,BatSplit(M34,RunsScored)&amp;IF(BatSplit(M34,NotOuts)=1,"*","")&amp;"|"&amp;$C34&amp;"|"&amp;M$2&amp;"|"&amp;TEXT(M$1,"dd-mmm"),"x")</f>
        <v>x</v>
      </c>
      <c r="N114" s="54" t="str">
        <f>IF(BatSplit(N34,RunsScored)&gt;=50,BatSplit(N34,RunsScored)&amp;IF(BatSplit(N34,NotOuts)=1,"*","")&amp;"|"&amp;$C34&amp;"|"&amp;N$2&amp;"|"&amp;TEXT(N$1,"dd-mmm"),"x")</f>
        <v>x</v>
      </c>
      <c r="O114" s="54" t="str">
        <f>IF(BatSplit(O34,RunsScored)&gt;=50,BatSplit(O34,RunsScored)&amp;IF(BatSplit(O34,NotOuts)=1,"*","")&amp;"|"&amp;$C34&amp;"|"&amp;O$2&amp;"|"&amp;TEXT(O$1,"dd-mmm"),"x")</f>
        <v>x</v>
      </c>
      <c r="P114" s="54" t="str">
        <f>IF(BatSplit(P34,RunsScored)&gt;=50,BatSplit(P34,RunsScored)&amp;IF(BatSplit(P34,NotOuts)=1,"*","")&amp;"|"&amp;$C34&amp;"|"&amp;P$2&amp;"|"&amp;TEXT(P$1,"dd-mmm"),"x")</f>
        <v>x</v>
      </c>
      <c r="Q114" s="54" t="str">
        <f>IF(BatSplit(Q34,RunsScored)&gt;=50,BatSplit(Q34,RunsScored)&amp;IF(BatSplit(Q34,NotOuts)=1,"*","")&amp;"|"&amp;$C34&amp;"|"&amp;Q$2&amp;"|"&amp;TEXT(Q$1,"dd-mmm"),"x")</f>
        <v>x</v>
      </c>
      <c r="R114" s="54" t="str">
        <f>IF(BatSplit(R34,RunsScored)&gt;=50,BatSplit(R34,RunsScored)&amp;IF(BatSplit(R34,NotOuts)=1,"*","")&amp;"|"&amp;$C34&amp;"|"&amp;R$2&amp;"|"&amp;TEXT(R$1,"dd-mmm"),"x")</f>
        <v>x</v>
      </c>
      <c r="S114" s="54" t="str">
        <f>IF(BatSplit(S34,RunsScored)&gt;=50,BatSplit(S34,RunsScored)&amp;IF(BatSplit(S34,NotOuts)=1,"*","")&amp;"|"&amp;$C34&amp;"|"&amp;S$2&amp;"|"&amp;TEXT(S$1,"dd-mmm"),"x")</f>
        <v>x</v>
      </c>
      <c r="T114" s="54" t="str">
        <f>IF(BatSplit(T34,RunsScored)&gt;=50,BatSplit(T34,RunsScored)&amp;IF(BatSplit(T34,NotOuts)=1,"*","")&amp;"|"&amp;$C34&amp;"|"&amp;T$2&amp;"|"&amp;TEXT(T$1,"dd-mmm"),"x")</f>
        <v>x</v>
      </c>
      <c r="U114" s="54" t="str">
        <f>IF(BatSplit(U34,RunsScored)&gt;=50,BatSplit(U34,RunsScored)&amp;IF(BatSplit(U34,NotOuts)=1,"*","")&amp;"|"&amp;$C34&amp;"|"&amp;U$2&amp;"|"&amp;TEXT(U$1,"dd-mmm"),"x")</f>
        <v>x</v>
      </c>
      <c r="V114" s="54" t="str">
        <f>IF(BatSplit(V34,RunsScored)&gt;=50,BatSplit(V34,RunsScored)&amp;IF(BatSplit(V34,NotOuts)=1,"*","")&amp;"|"&amp;$C34&amp;"|"&amp;V$2&amp;"|"&amp;TEXT(V$1,"dd-mmm"),"x")</f>
        <v>x</v>
      </c>
      <c r="W114" s="54" t="str">
        <f>IF(BatSplit(W34,RunsScored)&gt;=50,BatSplit(W34,RunsScored)&amp;IF(BatSplit(W34,NotOuts)=1,"*","")&amp;"|"&amp;$C34&amp;"|"&amp;W$2&amp;"|"&amp;TEXT(W$1,"dd-mmm"),"x")</f>
        <v>x</v>
      </c>
      <c r="X114" s="54" t="str">
        <f>IF(BatSplit(X34,RunsScored)&gt;=50,BatSplit(X34,RunsScored)&amp;IF(BatSplit(X34,NotOuts)=1,"*","")&amp;"|"&amp;$C34&amp;"|"&amp;X$2&amp;"|"&amp;TEXT(X$1,"dd-mmm"),"x")</f>
        <v>x</v>
      </c>
      <c r="Y114" s="54" t="str">
        <f>IF(BatSplit(Y34,RunsScored)&gt;=50,BatSplit(Y34,RunsScored)&amp;IF(BatSplit(Y34,NotOuts)=1,"*","")&amp;"|"&amp;$C34&amp;"|"&amp;Y$2&amp;"|"&amp;TEXT(Y$1,"dd-mmm"),"x")</f>
        <v>x</v>
      </c>
      <c r="Z114" s="54" t="str">
        <f>IF(BatSplit(Z34,RunsScored)&gt;=50,BatSplit(Z34,RunsScored)&amp;IF(BatSplit(Z34,NotOuts)=1,"*","")&amp;"|"&amp;$C34&amp;"|"&amp;Z$2&amp;"|"&amp;TEXT(Z$1,"dd-mmm"),"x")</f>
        <v>x</v>
      </c>
    </row>
    <row r="115" spans="4:26" customFormat="1" x14ac:dyDescent="0.15">
      <c r="D115" s="54" t="str">
        <f>IF(BatSplit(D35,RunsScored)&gt;=50,BatSplit(D35,RunsScored)&amp;IF(BatSplit(D35,NotOuts)=1,"*","")&amp;"|"&amp;$C35&amp;"|"&amp;D$2&amp;"|"&amp;TEXT(D$1,"dd-mmm"),"x")</f>
        <v>x</v>
      </c>
      <c r="E115" s="54" t="str">
        <f>IF(BatSplit(E35,RunsScored)&gt;=50,BatSplit(E35,RunsScored)&amp;IF(BatSplit(E35,NotOuts)=1,"*","")&amp;"|"&amp;$C35&amp;"|"&amp;E$2&amp;"|"&amp;TEXT(E$1,"dd-mmm"),"x")</f>
        <v>x</v>
      </c>
      <c r="F115" s="54" t="str">
        <f>IF(BatSplit(F35,RunsScored)&gt;=50,BatSplit(F35,RunsScored)&amp;IF(BatSplit(F35,NotOuts)=1,"*","")&amp;"|"&amp;$C35&amp;"|"&amp;F$2&amp;"|"&amp;TEXT(F$1,"dd-mmm"),"x")</f>
        <v>x</v>
      </c>
      <c r="G115" s="54" t="str">
        <f>IF(BatSplit(G35,RunsScored)&gt;=50,BatSplit(G35,RunsScored)&amp;IF(BatSplit(G35,NotOuts)=1,"*","")&amp;"|"&amp;$C35&amp;"|"&amp;G$2&amp;"|"&amp;TEXT(G$1,"dd-mmm"),"x")</f>
        <v>x</v>
      </c>
      <c r="H115" s="54" t="str">
        <f>IF(BatSplit(H35,RunsScored)&gt;=50,BatSplit(H35,RunsScored)&amp;IF(BatSplit(H35,NotOuts)=1,"*","")&amp;"|"&amp;$C35&amp;"|"&amp;H$2&amp;"|"&amp;TEXT(H$1,"dd-mmm"),"x")</f>
        <v>x</v>
      </c>
      <c r="I115" s="54" t="str">
        <f>IF(BatSplit(I35,RunsScored)&gt;=50,BatSplit(I35,RunsScored)&amp;IF(BatSplit(I35,NotOuts)=1,"*","")&amp;"|"&amp;$C35&amp;"|"&amp;I$2&amp;"|"&amp;TEXT(I$1,"dd-mmm"),"x")</f>
        <v>x</v>
      </c>
      <c r="J115" s="54" t="str">
        <f>IF(BatSplit(J35,RunsScored)&gt;=50,BatSplit(J35,RunsScored)&amp;IF(BatSplit(J35,NotOuts)=1,"*","")&amp;"|"&amp;$C35&amp;"|"&amp;J$2&amp;"|"&amp;TEXT(J$1,"dd-mmm"),"x")</f>
        <v>x</v>
      </c>
      <c r="K115" s="54" t="str">
        <f>IF(BatSplit(K35,RunsScored)&gt;=50,BatSplit(K35,RunsScored)&amp;IF(BatSplit(K35,NotOuts)=1,"*","")&amp;"|"&amp;$C35&amp;"|"&amp;K$2&amp;"|"&amp;TEXT(K$1,"dd-mmm"),"x")</f>
        <v>x</v>
      </c>
      <c r="L115" s="54" t="str">
        <f>IF(BatSplit(L35,RunsScored)&gt;=50,BatSplit(L35,RunsScored)&amp;IF(BatSplit(L35,NotOuts)=1,"*","")&amp;"|"&amp;$C35&amp;"|"&amp;L$2&amp;"|"&amp;TEXT(L$1,"dd-mmm"),"x")</f>
        <v>x</v>
      </c>
      <c r="M115" s="54" t="str">
        <f>IF(BatSplit(M35,RunsScored)&gt;=50,BatSplit(M35,RunsScored)&amp;IF(BatSplit(M35,NotOuts)=1,"*","")&amp;"|"&amp;$C35&amp;"|"&amp;M$2&amp;"|"&amp;TEXT(M$1,"dd-mmm"),"x")</f>
        <v>x</v>
      </c>
      <c r="N115" s="54" t="str">
        <f>IF(BatSplit(N35,RunsScored)&gt;=50,BatSplit(N35,RunsScored)&amp;IF(BatSplit(N35,NotOuts)=1,"*","")&amp;"|"&amp;$C35&amp;"|"&amp;N$2&amp;"|"&amp;TEXT(N$1,"dd-mmm"),"x")</f>
        <v>x</v>
      </c>
      <c r="O115" s="54" t="str">
        <f>IF(BatSplit(O35,RunsScored)&gt;=50,BatSplit(O35,RunsScored)&amp;IF(BatSplit(O35,NotOuts)=1,"*","")&amp;"|"&amp;$C35&amp;"|"&amp;O$2&amp;"|"&amp;TEXT(O$1,"dd-mmm"),"x")</f>
        <v>x</v>
      </c>
      <c r="P115" s="54" t="str">
        <f>IF(BatSplit(P35,RunsScored)&gt;=50,BatSplit(P35,RunsScored)&amp;IF(BatSplit(P35,NotOuts)=1,"*","")&amp;"|"&amp;$C35&amp;"|"&amp;P$2&amp;"|"&amp;TEXT(P$1,"dd-mmm"),"x")</f>
        <v>x</v>
      </c>
      <c r="Q115" s="54" t="str">
        <f>IF(BatSplit(Q35,RunsScored)&gt;=50,BatSplit(Q35,RunsScored)&amp;IF(BatSplit(Q35,NotOuts)=1,"*","")&amp;"|"&amp;$C35&amp;"|"&amp;Q$2&amp;"|"&amp;TEXT(Q$1,"dd-mmm"),"x")</f>
        <v>x</v>
      </c>
      <c r="R115" s="54" t="str">
        <f>IF(BatSplit(R35,RunsScored)&gt;=50,BatSplit(R35,RunsScored)&amp;IF(BatSplit(R35,NotOuts)=1,"*","")&amp;"|"&amp;$C35&amp;"|"&amp;R$2&amp;"|"&amp;TEXT(R$1,"dd-mmm"),"x")</f>
        <v>x</v>
      </c>
      <c r="S115" s="54" t="str">
        <f>IF(BatSplit(S35,RunsScored)&gt;=50,BatSplit(S35,RunsScored)&amp;IF(BatSplit(S35,NotOuts)=1,"*","")&amp;"|"&amp;$C35&amp;"|"&amp;S$2&amp;"|"&amp;TEXT(S$1,"dd-mmm"),"x")</f>
        <v>x</v>
      </c>
      <c r="T115" s="54" t="str">
        <f>IF(BatSplit(T35,RunsScored)&gt;=50,BatSplit(T35,RunsScored)&amp;IF(BatSplit(T35,NotOuts)=1,"*","")&amp;"|"&amp;$C35&amp;"|"&amp;T$2&amp;"|"&amp;TEXT(T$1,"dd-mmm"),"x")</f>
        <v>x</v>
      </c>
      <c r="U115" s="54" t="str">
        <f>IF(BatSplit(U35,RunsScored)&gt;=50,BatSplit(U35,RunsScored)&amp;IF(BatSplit(U35,NotOuts)=1,"*","")&amp;"|"&amp;$C35&amp;"|"&amp;U$2&amp;"|"&amp;TEXT(U$1,"dd-mmm"),"x")</f>
        <v>x</v>
      </c>
      <c r="V115" s="54" t="str">
        <f>IF(BatSplit(V35,RunsScored)&gt;=50,BatSplit(V35,RunsScored)&amp;IF(BatSplit(V35,NotOuts)=1,"*","")&amp;"|"&amp;$C35&amp;"|"&amp;V$2&amp;"|"&amp;TEXT(V$1,"dd-mmm"),"x")</f>
        <v>x</v>
      </c>
      <c r="W115" s="54" t="str">
        <f>IF(BatSplit(W35,RunsScored)&gt;=50,BatSplit(W35,RunsScored)&amp;IF(BatSplit(W35,NotOuts)=1,"*","")&amp;"|"&amp;$C35&amp;"|"&amp;W$2&amp;"|"&amp;TEXT(W$1,"dd-mmm"),"x")</f>
        <v>x</v>
      </c>
      <c r="X115" s="54" t="str">
        <f>IF(BatSplit(X35,RunsScored)&gt;=50,BatSplit(X35,RunsScored)&amp;IF(BatSplit(X35,NotOuts)=1,"*","")&amp;"|"&amp;$C35&amp;"|"&amp;X$2&amp;"|"&amp;TEXT(X$1,"dd-mmm"),"x")</f>
        <v>x</v>
      </c>
      <c r="Y115" s="54" t="str">
        <f>IF(BatSplit(Y35,RunsScored)&gt;=50,BatSplit(Y35,RunsScored)&amp;IF(BatSplit(Y35,NotOuts)=1,"*","")&amp;"|"&amp;$C35&amp;"|"&amp;Y$2&amp;"|"&amp;TEXT(Y$1,"dd-mmm"),"x")</f>
        <v>x</v>
      </c>
      <c r="Z115" s="54" t="str">
        <f>IF(BatSplit(Z35,RunsScored)&gt;=50,BatSplit(Z35,RunsScored)&amp;IF(BatSplit(Z35,NotOuts)=1,"*","")&amp;"|"&amp;$C35&amp;"|"&amp;Z$2&amp;"|"&amp;TEXT(Z$1,"dd-mmm"),"x")</f>
        <v>x</v>
      </c>
    </row>
    <row r="116" spans="4:26" customFormat="1" x14ac:dyDescent="0.15">
      <c r="D116" s="54" t="str">
        <f>IF(BatSplit(D36,RunsScored)&gt;=50,BatSplit(D36,RunsScored)&amp;IF(BatSplit(D36,NotOuts)=1,"*","")&amp;"|"&amp;$C36&amp;"|"&amp;D$2&amp;"|"&amp;TEXT(D$1,"dd-mmm"),"x")</f>
        <v>x</v>
      </c>
      <c r="E116" s="54" t="str">
        <f>IF(BatSplit(E36,RunsScored)&gt;=50,BatSplit(E36,RunsScored)&amp;IF(BatSplit(E36,NotOuts)=1,"*","")&amp;"|"&amp;$C36&amp;"|"&amp;E$2&amp;"|"&amp;TEXT(E$1,"dd-mmm"),"x")</f>
        <v>x</v>
      </c>
      <c r="F116" s="54" t="str">
        <f>IF(BatSplit(F36,RunsScored)&gt;=50,BatSplit(F36,RunsScored)&amp;IF(BatSplit(F36,NotOuts)=1,"*","")&amp;"|"&amp;$C36&amp;"|"&amp;F$2&amp;"|"&amp;TEXT(F$1,"dd-mmm"),"x")</f>
        <v>x</v>
      </c>
      <c r="G116" s="54" t="str">
        <f>IF(BatSplit(G36,RunsScored)&gt;=50,BatSplit(G36,RunsScored)&amp;IF(BatSplit(G36,NotOuts)=1,"*","")&amp;"|"&amp;$C36&amp;"|"&amp;G$2&amp;"|"&amp;TEXT(G$1,"dd-mmm"),"x")</f>
        <v>x</v>
      </c>
      <c r="H116" s="54" t="str">
        <f>IF(BatSplit(H36,RunsScored)&gt;=50,BatSplit(H36,RunsScored)&amp;IF(BatSplit(H36,NotOuts)=1,"*","")&amp;"|"&amp;$C36&amp;"|"&amp;H$2&amp;"|"&amp;TEXT(H$1,"dd-mmm"),"x")</f>
        <v>x</v>
      </c>
      <c r="I116" s="54" t="str">
        <f>IF(BatSplit(I36,RunsScored)&gt;=50,BatSplit(I36,RunsScored)&amp;IF(BatSplit(I36,NotOuts)=1,"*","")&amp;"|"&amp;$C36&amp;"|"&amp;I$2&amp;"|"&amp;TEXT(I$1,"dd-mmm"),"x")</f>
        <v>x</v>
      </c>
      <c r="J116" s="54" t="str">
        <f>IF(BatSplit(J36,RunsScored)&gt;=50,BatSplit(J36,RunsScored)&amp;IF(BatSplit(J36,NotOuts)=1,"*","")&amp;"|"&amp;$C36&amp;"|"&amp;J$2&amp;"|"&amp;TEXT(J$1,"dd-mmm"),"x")</f>
        <v>x</v>
      </c>
      <c r="K116" s="54" t="str">
        <f>IF(BatSplit(K36,RunsScored)&gt;=50,BatSplit(K36,RunsScored)&amp;IF(BatSplit(K36,NotOuts)=1,"*","")&amp;"|"&amp;$C36&amp;"|"&amp;K$2&amp;"|"&amp;TEXT(K$1,"dd-mmm"),"x")</f>
        <v>x</v>
      </c>
      <c r="L116" s="54" t="str">
        <f>IF(BatSplit(L36,RunsScored)&gt;=50,BatSplit(L36,RunsScored)&amp;IF(BatSplit(L36,NotOuts)=1,"*","")&amp;"|"&amp;$C36&amp;"|"&amp;L$2&amp;"|"&amp;TEXT(L$1,"dd-mmm"),"x")</f>
        <v>x</v>
      </c>
      <c r="M116" s="54" t="str">
        <f>IF(BatSplit(M36,RunsScored)&gt;=50,BatSplit(M36,RunsScored)&amp;IF(BatSplit(M36,NotOuts)=1,"*","")&amp;"|"&amp;$C36&amp;"|"&amp;M$2&amp;"|"&amp;TEXT(M$1,"dd-mmm"),"x")</f>
        <v>x</v>
      </c>
      <c r="N116" s="54" t="str">
        <f>IF(BatSplit(N36,RunsScored)&gt;=50,BatSplit(N36,RunsScored)&amp;IF(BatSplit(N36,NotOuts)=1,"*","")&amp;"|"&amp;$C36&amp;"|"&amp;N$2&amp;"|"&amp;TEXT(N$1,"dd-mmm"),"x")</f>
        <v>x</v>
      </c>
      <c r="O116" s="54" t="str">
        <f>IF(BatSplit(O36,RunsScored)&gt;=50,BatSplit(O36,RunsScored)&amp;IF(BatSplit(O36,NotOuts)=1,"*","")&amp;"|"&amp;$C36&amp;"|"&amp;O$2&amp;"|"&amp;TEXT(O$1,"dd-mmm"),"x")</f>
        <v>x</v>
      </c>
      <c r="P116" s="54" t="str">
        <f>IF(BatSplit(P36,RunsScored)&gt;=50,BatSplit(P36,RunsScored)&amp;IF(BatSplit(P36,NotOuts)=1,"*","")&amp;"|"&amp;$C36&amp;"|"&amp;P$2&amp;"|"&amp;TEXT(P$1,"dd-mmm"),"x")</f>
        <v>x</v>
      </c>
      <c r="Q116" s="54" t="str">
        <f>IF(BatSplit(Q36,RunsScored)&gt;=50,BatSplit(Q36,RunsScored)&amp;IF(BatSplit(Q36,NotOuts)=1,"*","")&amp;"|"&amp;$C36&amp;"|"&amp;Q$2&amp;"|"&amp;TEXT(Q$1,"dd-mmm"),"x")</f>
        <v>x</v>
      </c>
      <c r="R116" s="54" t="str">
        <f>IF(BatSplit(R36,RunsScored)&gt;=50,BatSplit(R36,RunsScored)&amp;IF(BatSplit(R36,NotOuts)=1,"*","")&amp;"|"&amp;$C36&amp;"|"&amp;R$2&amp;"|"&amp;TEXT(R$1,"dd-mmm"),"x")</f>
        <v>x</v>
      </c>
      <c r="S116" s="54" t="str">
        <f>IF(BatSplit(S36,RunsScored)&gt;=50,BatSplit(S36,RunsScored)&amp;IF(BatSplit(S36,NotOuts)=1,"*","")&amp;"|"&amp;$C36&amp;"|"&amp;S$2&amp;"|"&amp;TEXT(S$1,"dd-mmm"),"x")</f>
        <v>x</v>
      </c>
      <c r="T116" s="54" t="str">
        <f>IF(BatSplit(T36,RunsScored)&gt;=50,BatSplit(T36,RunsScored)&amp;IF(BatSplit(T36,NotOuts)=1,"*","")&amp;"|"&amp;$C36&amp;"|"&amp;T$2&amp;"|"&amp;TEXT(T$1,"dd-mmm"),"x")</f>
        <v>x</v>
      </c>
      <c r="U116" s="54" t="str">
        <f>IF(BatSplit(U36,RunsScored)&gt;=50,BatSplit(U36,RunsScored)&amp;IF(BatSplit(U36,NotOuts)=1,"*","")&amp;"|"&amp;$C36&amp;"|"&amp;U$2&amp;"|"&amp;TEXT(U$1,"dd-mmm"),"x")</f>
        <v>x</v>
      </c>
      <c r="V116" s="54" t="str">
        <f>IF(BatSplit(V36,RunsScored)&gt;=50,BatSplit(V36,RunsScored)&amp;IF(BatSplit(V36,NotOuts)=1,"*","")&amp;"|"&amp;$C36&amp;"|"&amp;V$2&amp;"|"&amp;TEXT(V$1,"dd-mmm"),"x")</f>
        <v>x</v>
      </c>
      <c r="W116" s="54" t="str">
        <f>IF(BatSplit(W36,RunsScored)&gt;=50,BatSplit(W36,RunsScored)&amp;IF(BatSplit(W36,NotOuts)=1,"*","")&amp;"|"&amp;$C36&amp;"|"&amp;W$2&amp;"|"&amp;TEXT(W$1,"dd-mmm"),"x")</f>
        <v>x</v>
      </c>
      <c r="X116" s="54" t="str">
        <f>IF(BatSplit(X36,RunsScored)&gt;=50,BatSplit(X36,RunsScored)&amp;IF(BatSplit(X36,NotOuts)=1,"*","")&amp;"|"&amp;$C36&amp;"|"&amp;X$2&amp;"|"&amp;TEXT(X$1,"dd-mmm"),"x")</f>
        <v>x</v>
      </c>
      <c r="Y116" s="54" t="str">
        <f>IF(BatSplit(Y36,RunsScored)&gt;=50,BatSplit(Y36,RunsScored)&amp;IF(BatSplit(Y36,NotOuts)=1,"*","")&amp;"|"&amp;$C36&amp;"|"&amp;Y$2&amp;"|"&amp;TEXT(Y$1,"dd-mmm"),"x")</f>
        <v>x</v>
      </c>
      <c r="Z116" s="54" t="str">
        <f>IF(BatSplit(Z36,RunsScored)&gt;=50,BatSplit(Z36,RunsScored)&amp;IF(BatSplit(Z36,NotOuts)=1,"*","")&amp;"|"&amp;$C36&amp;"|"&amp;Z$2&amp;"|"&amp;TEXT(Z$1,"dd-mmm"),"x")</f>
        <v>x</v>
      </c>
    </row>
    <row r="117" spans="4:26" customFormat="1" x14ac:dyDescent="0.15">
      <c r="D117" s="54" t="str">
        <f>IF(BatSplit(D37,RunsScored)&gt;=50,BatSplit(D37,RunsScored)&amp;IF(BatSplit(D37,NotOuts)=1,"*","")&amp;"|"&amp;$C37&amp;"|"&amp;D$2&amp;"|"&amp;TEXT(D$1,"dd-mmm"),"x")</f>
        <v>x</v>
      </c>
      <c r="E117" s="54" t="str">
        <f>IF(BatSplit(E37,RunsScored)&gt;=50,BatSplit(E37,RunsScored)&amp;IF(BatSplit(E37,NotOuts)=1,"*","")&amp;"|"&amp;$C37&amp;"|"&amp;E$2&amp;"|"&amp;TEXT(E$1,"dd-mmm"),"x")</f>
        <v>x</v>
      </c>
      <c r="F117" s="54" t="str">
        <f>IF(BatSplit(F37,RunsScored)&gt;=50,BatSplit(F37,RunsScored)&amp;IF(BatSplit(F37,NotOuts)=1,"*","")&amp;"|"&amp;$C37&amp;"|"&amp;F$2&amp;"|"&amp;TEXT(F$1,"dd-mmm"),"x")</f>
        <v>x</v>
      </c>
      <c r="G117" s="54" t="str">
        <f>IF(BatSplit(G37,RunsScored)&gt;=50,BatSplit(G37,RunsScored)&amp;IF(BatSplit(G37,NotOuts)=1,"*","")&amp;"|"&amp;$C37&amp;"|"&amp;G$2&amp;"|"&amp;TEXT(G$1,"dd-mmm"),"x")</f>
        <v>x</v>
      </c>
      <c r="H117" s="54" t="str">
        <f>IF(BatSplit(H37,RunsScored)&gt;=50,BatSplit(H37,RunsScored)&amp;IF(BatSplit(H37,NotOuts)=1,"*","")&amp;"|"&amp;$C37&amp;"|"&amp;H$2&amp;"|"&amp;TEXT(H$1,"dd-mmm"),"x")</f>
        <v>x</v>
      </c>
      <c r="I117" s="54" t="str">
        <f>IF(BatSplit(I37,RunsScored)&gt;=50,BatSplit(I37,RunsScored)&amp;IF(BatSplit(I37,NotOuts)=1,"*","")&amp;"|"&amp;$C37&amp;"|"&amp;I$2&amp;"|"&amp;TEXT(I$1,"dd-mmm"),"x")</f>
        <v>x</v>
      </c>
      <c r="J117" s="54" t="str">
        <f>IF(BatSplit(J37,RunsScored)&gt;=50,BatSplit(J37,RunsScored)&amp;IF(BatSplit(J37,NotOuts)=1,"*","")&amp;"|"&amp;$C37&amp;"|"&amp;J$2&amp;"|"&amp;TEXT(J$1,"dd-mmm"),"x")</f>
        <v>x</v>
      </c>
      <c r="K117" s="54" t="str">
        <f>IF(BatSplit(K37,RunsScored)&gt;=50,BatSplit(K37,RunsScored)&amp;IF(BatSplit(K37,NotOuts)=1,"*","")&amp;"|"&amp;$C37&amp;"|"&amp;K$2&amp;"|"&amp;TEXT(K$1,"dd-mmm"),"x")</f>
        <v>x</v>
      </c>
      <c r="L117" s="54" t="str">
        <f>IF(BatSplit(L37,RunsScored)&gt;=50,BatSplit(L37,RunsScored)&amp;IF(BatSplit(L37,NotOuts)=1,"*","")&amp;"|"&amp;$C37&amp;"|"&amp;L$2&amp;"|"&amp;TEXT(L$1,"dd-mmm"),"x")</f>
        <v>x</v>
      </c>
      <c r="M117" s="54" t="str">
        <f>IF(BatSplit(M37,RunsScored)&gt;=50,BatSplit(M37,RunsScored)&amp;IF(BatSplit(M37,NotOuts)=1,"*","")&amp;"|"&amp;$C37&amp;"|"&amp;M$2&amp;"|"&amp;TEXT(M$1,"dd-mmm"),"x")</f>
        <v>x</v>
      </c>
      <c r="N117" s="54" t="str">
        <f>IF(BatSplit(N37,RunsScored)&gt;=50,BatSplit(N37,RunsScored)&amp;IF(BatSplit(N37,NotOuts)=1,"*","")&amp;"|"&amp;$C37&amp;"|"&amp;N$2&amp;"|"&amp;TEXT(N$1,"dd-mmm"),"x")</f>
        <v>x</v>
      </c>
      <c r="O117" s="54" t="str">
        <f>IF(BatSplit(O37,RunsScored)&gt;=50,BatSplit(O37,RunsScored)&amp;IF(BatSplit(O37,NotOuts)=1,"*","")&amp;"|"&amp;$C37&amp;"|"&amp;O$2&amp;"|"&amp;TEXT(O$1,"dd-mmm"),"x")</f>
        <v>x</v>
      </c>
      <c r="P117" s="54" t="str">
        <f>IF(BatSplit(P37,RunsScored)&gt;=50,BatSplit(P37,RunsScored)&amp;IF(BatSplit(P37,NotOuts)=1,"*","")&amp;"|"&amp;$C37&amp;"|"&amp;P$2&amp;"|"&amp;TEXT(P$1,"dd-mmm"),"x")</f>
        <v>x</v>
      </c>
      <c r="Q117" s="54" t="str">
        <f>IF(BatSplit(Q37,RunsScored)&gt;=50,BatSplit(Q37,RunsScored)&amp;IF(BatSplit(Q37,NotOuts)=1,"*","")&amp;"|"&amp;$C37&amp;"|"&amp;Q$2&amp;"|"&amp;TEXT(Q$1,"dd-mmm"),"x")</f>
        <v>x</v>
      </c>
      <c r="R117" s="54" t="str">
        <f>IF(BatSplit(R37,RunsScored)&gt;=50,BatSplit(R37,RunsScored)&amp;IF(BatSplit(R37,NotOuts)=1,"*","")&amp;"|"&amp;$C37&amp;"|"&amp;R$2&amp;"|"&amp;TEXT(R$1,"dd-mmm"),"x")</f>
        <v>x</v>
      </c>
      <c r="S117" s="54" t="str">
        <f>IF(BatSplit(S37,RunsScored)&gt;=50,BatSplit(S37,RunsScored)&amp;IF(BatSplit(S37,NotOuts)=1,"*","")&amp;"|"&amp;$C37&amp;"|"&amp;S$2&amp;"|"&amp;TEXT(S$1,"dd-mmm"),"x")</f>
        <v>x</v>
      </c>
      <c r="T117" s="54" t="str">
        <f>IF(BatSplit(T37,RunsScored)&gt;=50,BatSplit(T37,RunsScored)&amp;IF(BatSplit(T37,NotOuts)=1,"*","")&amp;"|"&amp;$C37&amp;"|"&amp;T$2&amp;"|"&amp;TEXT(T$1,"dd-mmm"),"x")</f>
        <v>x</v>
      </c>
      <c r="U117" s="54" t="str">
        <f>IF(BatSplit(U37,RunsScored)&gt;=50,BatSplit(U37,RunsScored)&amp;IF(BatSplit(U37,NotOuts)=1,"*","")&amp;"|"&amp;$C37&amp;"|"&amp;U$2&amp;"|"&amp;TEXT(U$1,"dd-mmm"),"x")</f>
        <v>x</v>
      </c>
      <c r="V117" s="54" t="str">
        <f>IF(BatSplit(V37,RunsScored)&gt;=50,BatSplit(V37,RunsScored)&amp;IF(BatSplit(V37,NotOuts)=1,"*","")&amp;"|"&amp;$C37&amp;"|"&amp;V$2&amp;"|"&amp;TEXT(V$1,"dd-mmm"),"x")</f>
        <v>x</v>
      </c>
      <c r="W117" s="54" t="str">
        <f>IF(BatSplit(W37,RunsScored)&gt;=50,BatSplit(W37,RunsScored)&amp;IF(BatSplit(W37,NotOuts)=1,"*","")&amp;"|"&amp;$C37&amp;"|"&amp;W$2&amp;"|"&amp;TEXT(W$1,"dd-mmm"),"x")</f>
        <v>x</v>
      </c>
      <c r="X117" s="54" t="str">
        <f>IF(BatSplit(X37,RunsScored)&gt;=50,BatSplit(X37,RunsScored)&amp;IF(BatSplit(X37,NotOuts)=1,"*","")&amp;"|"&amp;$C37&amp;"|"&amp;X$2&amp;"|"&amp;TEXT(X$1,"dd-mmm"),"x")</f>
        <v>x</v>
      </c>
      <c r="Y117" s="54" t="str">
        <f>IF(BatSplit(Y37,RunsScored)&gt;=50,BatSplit(Y37,RunsScored)&amp;IF(BatSplit(Y37,NotOuts)=1,"*","")&amp;"|"&amp;$C37&amp;"|"&amp;Y$2&amp;"|"&amp;TEXT(Y$1,"dd-mmm"),"x")</f>
        <v>x</v>
      </c>
      <c r="Z117" s="54" t="str">
        <f>IF(BatSplit(Z37,RunsScored)&gt;=50,BatSplit(Z37,RunsScored)&amp;IF(BatSplit(Z37,NotOuts)=1,"*","")&amp;"|"&amp;$C37&amp;"|"&amp;Z$2&amp;"|"&amp;TEXT(Z$1,"dd-mmm"),"x")</f>
        <v>x</v>
      </c>
    </row>
    <row r="118" spans="4:26" customFormat="1" x14ac:dyDescent="0.15">
      <c r="D118" s="54" t="str">
        <f t="shared" ref="D118:Z118" si="343">IF(BatSplit(D39,RunsScored)&gt;=50,BatSplit(D39,RunsScored)&amp;IF(BatSplit(D39,NotOuts)=1,"*","")&amp;"|"&amp;$C39&amp;"|"&amp;D$2&amp;"|"&amp;TEXT(D$1,"dd-mmm"),"x")</f>
        <v>x</v>
      </c>
      <c r="E118" s="54" t="str">
        <f t="shared" si="343"/>
        <v>x</v>
      </c>
      <c r="F118" s="54" t="str">
        <f t="shared" si="343"/>
        <v>x</v>
      </c>
      <c r="G118" s="54" t="str">
        <f t="shared" si="343"/>
        <v>x</v>
      </c>
      <c r="H118" s="54" t="str">
        <f t="shared" si="343"/>
        <v>x</v>
      </c>
      <c r="I118" s="54" t="str">
        <f t="shared" si="343"/>
        <v>x</v>
      </c>
      <c r="J118" s="54" t="str">
        <f t="shared" si="343"/>
        <v>x</v>
      </c>
      <c r="K118" s="54" t="str">
        <f t="shared" si="343"/>
        <v>x</v>
      </c>
      <c r="L118" s="54" t="str">
        <f t="shared" si="343"/>
        <v>x</v>
      </c>
      <c r="M118" s="54" t="str">
        <f t="shared" si="343"/>
        <v>x</v>
      </c>
      <c r="N118" s="54" t="str">
        <f t="shared" si="343"/>
        <v>x</v>
      </c>
      <c r="O118" s="54" t="str">
        <f t="shared" si="343"/>
        <v>x</v>
      </c>
      <c r="P118" s="54" t="str">
        <f t="shared" si="343"/>
        <v>x</v>
      </c>
      <c r="Q118" s="54" t="str">
        <f t="shared" si="343"/>
        <v>x</v>
      </c>
      <c r="R118" s="54" t="str">
        <f t="shared" si="343"/>
        <v>x</v>
      </c>
      <c r="S118" s="54" t="str">
        <f t="shared" si="343"/>
        <v>x</v>
      </c>
      <c r="T118" s="54" t="str">
        <f t="shared" si="343"/>
        <v>x</v>
      </c>
      <c r="U118" s="54" t="str">
        <f t="shared" si="343"/>
        <v>x</v>
      </c>
      <c r="V118" s="54" t="str">
        <f t="shared" si="343"/>
        <v>x</v>
      </c>
      <c r="W118" s="54" t="str">
        <f t="shared" si="343"/>
        <v>x</v>
      </c>
      <c r="X118" s="54" t="str">
        <f t="shared" si="343"/>
        <v>x</v>
      </c>
      <c r="Y118" s="54" t="str">
        <f t="shared" si="343"/>
        <v>x</v>
      </c>
      <c r="Z118" s="54" t="str">
        <f t="shared" si="343"/>
        <v>x</v>
      </c>
    </row>
    <row r="119" spans="4:26" customFormat="1" x14ac:dyDescent="0.15">
      <c r="D119" s="54" t="str">
        <f t="shared" ref="D119:Z119" si="344">IF(BatSplit(D40,RunsScored)&gt;=50,BatSplit(D40,RunsScored)&amp;IF(BatSplit(D40,NotOuts)=1,"*","")&amp;"|"&amp;$C40&amp;"|"&amp;D$2&amp;"|"&amp;TEXT(D$1,"dd-mmm"),"x")</f>
        <v>x</v>
      </c>
      <c r="E119" s="54" t="str">
        <f t="shared" si="344"/>
        <v>x</v>
      </c>
      <c r="F119" s="54" t="str">
        <f t="shared" si="344"/>
        <v>x</v>
      </c>
      <c r="G119" s="54" t="str">
        <f t="shared" si="344"/>
        <v>x</v>
      </c>
      <c r="H119" s="54" t="str">
        <f t="shared" si="344"/>
        <v>x</v>
      </c>
      <c r="I119" s="54" t="str">
        <f t="shared" si="344"/>
        <v>x</v>
      </c>
      <c r="J119" s="54" t="str">
        <f t="shared" si="344"/>
        <v>x</v>
      </c>
      <c r="K119" s="54" t="str">
        <f t="shared" si="344"/>
        <v>x</v>
      </c>
      <c r="L119" s="54" t="str">
        <f t="shared" si="344"/>
        <v>x</v>
      </c>
      <c r="M119" s="54" t="str">
        <f t="shared" si="344"/>
        <v>x</v>
      </c>
      <c r="N119" s="54" t="str">
        <f t="shared" si="344"/>
        <v>x</v>
      </c>
      <c r="O119" s="54" t="str">
        <f t="shared" si="344"/>
        <v>x</v>
      </c>
      <c r="P119" s="54" t="str">
        <f t="shared" si="344"/>
        <v>x</v>
      </c>
      <c r="Q119" s="54" t="str">
        <f t="shared" si="344"/>
        <v>x</v>
      </c>
      <c r="R119" s="54" t="str">
        <f t="shared" si="344"/>
        <v>x</v>
      </c>
      <c r="S119" s="54" t="str">
        <f t="shared" si="344"/>
        <v>x</v>
      </c>
      <c r="T119" s="54" t="str">
        <f t="shared" si="344"/>
        <v>x</v>
      </c>
      <c r="U119" s="54" t="str">
        <f t="shared" si="344"/>
        <v>x</v>
      </c>
      <c r="V119" s="54" t="str">
        <f t="shared" si="344"/>
        <v>x</v>
      </c>
      <c r="W119" s="54" t="str">
        <f t="shared" si="344"/>
        <v>x</v>
      </c>
      <c r="X119" s="54" t="str">
        <f t="shared" si="344"/>
        <v>x</v>
      </c>
      <c r="Y119" s="54" t="str">
        <f t="shared" si="344"/>
        <v>x</v>
      </c>
      <c r="Z119" s="54" t="str">
        <f t="shared" si="344"/>
        <v>x</v>
      </c>
    </row>
    <row r="120" spans="4:26" customFormat="1" x14ac:dyDescent="0.15">
      <c r="D120" s="54" t="str">
        <f t="shared" ref="D120:Z120" si="345">IF(BatSplit(D41,RunsScored)&gt;=50,BatSplit(D41,RunsScored)&amp;IF(BatSplit(D41,NotOuts)=1,"*","")&amp;"|"&amp;$C41&amp;"|"&amp;D$2&amp;"|"&amp;TEXT(D$1,"dd-mmm"),"x")</f>
        <v>x</v>
      </c>
      <c r="E120" s="54" t="str">
        <f t="shared" si="345"/>
        <v>x</v>
      </c>
      <c r="F120" s="54" t="str">
        <f t="shared" si="345"/>
        <v>x</v>
      </c>
      <c r="G120" s="54" t="str">
        <f t="shared" si="345"/>
        <v>x</v>
      </c>
      <c r="H120" s="54" t="str">
        <f t="shared" si="345"/>
        <v>x</v>
      </c>
      <c r="I120" s="54" t="str">
        <f t="shared" si="345"/>
        <v>98*|Patel J|Steeple Langford|29-May</v>
      </c>
      <c r="J120" s="54" t="str">
        <f t="shared" si="345"/>
        <v>87|Patel J|YRG Eagles|04-Jun</v>
      </c>
      <c r="K120" s="54" t="str">
        <f t="shared" si="345"/>
        <v>x</v>
      </c>
      <c r="L120" s="54" t="str">
        <f t="shared" si="345"/>
        <v>x</v>
      </c>
      <c r="M120" s="54" t="str">
        <f t="shared" si="345"/>
        <v>x</v>
      </c>
      <c r="N120" s="54" t="str">
        <f t="shared" si="345"/>
        <v>x</v>
      </c>
      <c r="O120" s="54" t="str">
        <f t="shared" si="345"/>
        <v>x</v>
      </c>
      <c r="P120" s="54" t="str">
        <f t="shared" si="345"/>
        <v>x</v>
      </c>
      <c r="Q120" s="54" t="str">
        <f t="shared" si="345"/>
        <v>x</v>
      </c>
      <c r="R120" s="54" t="str">
        <f t="shared" si="345"/>
        <v>x</v>
      </c>
      <c r="S120" s="54" t="str">
        <f t="shared" si="345"/>
        <v>x</v>
      </c>
      <c r="T120" s="54" t="str">
        <f t="shared" si="345"/>
        <v>x</v>
      </c>
      <c r="U120" s="54" t="str">
        <f t="shared" si="345"/>
        <v>x</v>
      </c>
      <c r="V120" s="54" t="str">
        <f t="shared" si="345"/>
        <v>x</v>
      </c>
      <c r="W120" s="54" t="str">
        <f t="shared" si="345"/>
        <v>x</v>
      </c>
      <c r="X120" s="54" t="str">
        <f t="shared" si="345"/>
        <v>x</v>
      </c>
      <c r="Y120" s="54" t="str">
        <f t="shared" si="345"/>
        <v>x</v>
      </c>
      <c r="Z120" s="54" t="str">
        <f t="shared" si="345"/>
        <v>x</v>
      </c>
    </row>
    <row r="121" spans="4:26" customFormat="1" x14ac:dyDescent="0.15">
      <c r="D121" s="54" t="str">
        <f t="shared" ref="D121:Z121" si="346">IF(BatSplit(D42,RunsScored)&gt;=50,BatSplit(D42,RunsScored)&amp;IF(BatSplit(D42,NotOuts)=1,"*","")&amp;"|"&amp;$C42&amp;"|"&amp;D$2&amp;"|"&amp;TEXT(D$1,"dd-mmm"),"x")</f>
        <v>x</v>
      </c>
      <c r="E121" s="54" t="str">
        <f t="shared" si="346"/>
        <v>x</v>
      </c>
      <c r="F121" s="54" t="str">
        <f t="shared" si="346"/>
        <v>x</v>
      </c>
      <c r="G121" s="54" t="str">
        <f t="shared" si="346"/>
        <v>x</v>
      </c>
      <c r="H121" s="54" t="str">
        <f t="shared" si="346"/>
        <v>x</v>
      </c>
      <c r="I121" s="54" t="str">
        <f t="shared" si="346"/>
        <v>x</v>
      </c>
      <c r="J121" s="54" t="str">
        <f t="shared" si="346"/>
        <v>x</v>
      </c>
      <c r="K121" s="54" t="str">
        <f t="shared" si="346"/>
        <v>x</v>
      </c>
      <c r="L121" s="54" t="str">
        <f t="shared" si="346"/>
        <v>x</v>
      </c>
      <c r="M121" s="54" t="str">
        <f t="shared" si="346"/>
        <v>x</v>
      </c>
      <c r="N121" s="54" t="str">
        <f t="shared" si="346"/>
        <v>x</v>
      </c>
      <c r="O121" s="54" t="str">
        <f t="shared" si="346"/>
        <v>x</v>
      </c>
      <c r="P121" s="54" t="str">
        <f t="shared" si="346"/>
        <v>x</v>
      </c>
      <c r="Q121" s="54" t="str">
        <f t="shared" si="346"/>
        <v>x</v>
      </c>
      <c r="R121" s="54" t="str">
        <f t="shared" si="346"/>
        <v>x</v>
      </c>
      <c r="S121" s="54" t="str">
        <f t="shared" si="346"/>
        <v>x</v>
      </c>
      <c r="T121" s="54" t="str">
        <f t="shared" si="346"/>
        <v>x</v>
      </c>
      <c r="U121" s="54" t="str">
        <f t="shared" si="346"/>
        <v>x</v>
      </c>
      <c r="V121" s="54" t="str">
        <f t="shared" si="346"/>
        <v>x</v>
      </c>
      <c r="W121" s="54" t="str">
        <f t="shared" si="346"/>
        <v>x</v>
      </c>
      <c r="X121" s="54" t="str">
        <f t="shared" si="346"/>
        <v>x</v>
      </c>
      <c r="Y121" s="54" t="str">
        <f t="shared" si="346"/>
        <v>x</v>
      </c>
      <c r="Z121" s="54" t="str">
        <f t="shared" si="346"/>
        <v>x</v>
      </c>
    </row>
    <row r="122" spans="4:26" customFormat="1" x14ac:dyDescent="0.15">
      <c r="D122" s="54" t="str">
        <f t="shared" ref="D122:Z122" si="347">IF(BatSplit(D43,RunsScored)&gt;=50,BatSplit(D43,RunsScored)&amp;IF(BatSplit(D43,NotOuts)=1,"*","")&amp;"|"&amp;$C43&amp;"|"&amp;D$2&amp;"|"&amp;TEXT(D$1,"dd-mmm"),"x")</f>
        <v>x</v>
      </c>
      <c r="E122" s="54" t="str">
        <f t="shared" si="347"/>
        <v>x</v>
      </c>
      <c r="F122" s="54" t="str">
        <f t="shared" si="347"/>
        <v>x</v>
      </c>
      <c r="G122" s="54" t="str">
        <f t="shared" si="347"/>
        <v>x</v>
      </c>
      <c r="H122" s="54" t="str">
        <f t="shared" si="347"/>
        <v>x</v>
      </c>
      <c r="I122" s="54" t="str">
        <f t="shared" si="347"/>
        <v>x</v>
      </c>
      <c r="J122" s="54" t="str">
        <f t="shared" si="347"/>
        <v>x</v>
      </c>
      <c r="K122" s="54" t="str">
        <f t="shared" si="347"/>
        <v>x</v>
      </c>
      <c r="L122" s="54" t="str">
        <f t="shared" si="347"/>
        <v>x</v>
      </c>
      <c r="M122" s="54" t="str">
        <f t="shared" si="347"/>
        <v>x</v>
      </c>
      <c r="N122" s="54" t="str">
        <f t="shared" si="347"/>
        <v>x</v>
      </c>
      <c r="O122" s="54" t="str">
        <f t="shared" si="347"/>
        <v>x</v>
      </c>
      <c r="P122" s="54" t="str">
        <f t="shared" si="347"/>
        <v>x</v>
      </c>
      <c r="Q122" s="54" t="str">
        <f t="shared" si="347"/>
        <v>x</v>
      </c>
      <c r="R122" s="54" t="str">
        <f t="shared" si="347"/>
        <v>x</v>
      </c>
      <c r="S122" s="54" t="str">
        <f t="shared" si="347"/>
        <v>x</v>
      </c>
      <c r="T122" s="54" t="str">
        <f t="shared" si="347"/>
        <v>x</v>
      </c>
      <c r="U122" s="54" t="str">
        <f t="shared" si="347"/>
        <v>x</v>
      </c>
      <c r="V122" s="54" t="str">
        <f t="shared" si="347"/>
        <v>x</v>
      </c>
      <c r="W122" s="54" t="str">
        <f t="shared" si="347"/>
        <v>x</v>
      </c>
      <c r="X122" s="54" t="str">
        <f t="shared" si="347"/>
        <v>x</v>
      </c>
      <c r="Y122" s="54" t="str">
        <f t="shared" si="347"/>
        <v>x</v>
      </c>
      <c r="Z122" s="54" t="str">
        <f t="shared" si="347"/>
        <v>x</v>
      </c>
    </row>
    <row r="123" spans="4:26" customFormat="1" x14ac:dyDescent="0.15">
      <c r="D123" s="54" t="str">
        <f t="shared" ref="D123:Z123" si="348">IF(BatSplit(D44,RunsScored)&gt;=50,BatSplit(D44,RunsScored)&amp;IF(BatSplit(D44,NotOuts)=1,"*","")&amp;"|"&amp;$C44&amp;"|"&amp;D$2&amp;"|"&amp;TEXT(D$1,"dd-mmm"),"x")</f>
        <v>x</v>
      </c>
      <c r="E123" s="54" t="str">
        <f t="shared" si="348"/>
        <v>x</v>
      </c>
      <c r="F123" s="54" t="str">
        <f t="shared" si="348"/>
        <v>x</v>
      </c>
      <c r="G123" s="54" t="str">
        <f t="shared" si="348"/>
        <v>x</v>
      </c>
      <c r="H123" s="54" t="str">
        <f t="shared" si="348"/>
        <v>x</v>
      </c>
      <c r="I123" s="54" t="str">
        <f t="shared" si="348"/>
        <v>x</v>
      </c>
      <c r="J123" s="54" t="str">
        <f t="shared" si="348"/>
        <v>x</v>
      </c>
      <c r="K123" s="54" t="str">
        <f t="shared" si="348"/>
        <v>x</v>
      </c>
      <c r="L123" s="54" t="str">
        <f t="shared" si="348"/>
        <v>x</v>
      </c>
      <c r="M123" s="54" t="str">
        <f t="shared" si="348"/>
        <v>x</v>
      </c>
      <c r="N123" s="54" t="str">
        <f t="shared" si="348"/>
        <v>x</v>
      </c>
      <c r="O123" s="54" t="str">
        <f t="shared" si="348"/>
        <v>x</v>
      </c>
      <c r="P123" s="54" t="str">
        <f t="shared" si="348"/>
        <v>x</v>
      </c>
      <c r="Q123" s="54" t="str">
        <f t="shared" si="348"/>
        <v>x</v>
      </c>
      <c r="R123" s="54" t="str">
        <f t="shared" si="348"/>
        <v>x</v>
      </c>
      <c r="S123" s="54" t="str">
        <f t="shared" si="348"/>
        <v>x</v>
      </c>
      <c r="T123" s="54" t="str">
        <f t="shared" si="348"/>
        <v>x</v>
      </c>
      <c r="U123" s="54" t="str">
        <f t="shared" si="348"/>
        <v>x</v>
      </c>
      <c r="V123" s="54" t="str">
        <f t="shared" si="348"/>
        <v>x</v>
      </c>
      <c r="W123" s="54" t="str">
        <f t="shared" si="348"/>
        <v>x</v>
      </c>
      <c r="X123" s="54" t="str">
        <f t="shared" si="348"/>
        <v>x</v>
      </c>
      <c r="Y123" s="54" t="str">
        <f t="shared" si="348"/>
        <v>x</v>
      </c>
      <c r="Z123" s="54" t="str">
        <f t="shared" si="348"/>
        <v>x</v>
      </c>
    </row>
    <row r="124" spans="4:26" customFormat="1" x14ac:dyDescent="0.15">
      <c r="D124" s="54" t="str">
        <f t="shared" ref="D124:Z124" si="349">IF(BatSplit(D45,RunsScored)&gt;=50,BatSplit(D45,RunsScored)&amp;IF(BatSplit(D45,NotOuts)=1,"*","")&amp;"|"&amp;$C45&amp;"|"&amp;D$2&amp;"|"&amp;TEXT(D$1,"dd-mmm"),"x")</f>
        <v>x</v>
      </c>
      <c r="E124" s="54" t="str">
        <f t="shared" si="349"/>
        <v>x</v>
      </c>
      <c r="F124" s="54" t="str">
        <f t="shared" si="349"/>
        <v>x</v>
      </c>
      <c r="G124" s="54" t="str">
        <f t="shared" si="349"/>
        <v>x</v>
      </c>
      <c r="H124" s="54" t="str">
        <f t="shared" si="349"/>
        <v>x</v>
      </c>
      <c r="I124" s="54" t="str">
        <f t="shared" si="349"/>
        <v>x</v>
      </c>
      <c r="J124" s="54" t="str">
        <f t="shared" si="349"/>
        <v>x</v>
      </c>
      <c r="K124" s="54" t="str">
        <f t="shared" si="349"/>
        <v>x</v>
      </c>
      <c r="L124" s="54" t="str">
        <f t="shared" si="349"/>
        <v>x</v>
      </c>
      <c r="M124" s="54" t="str">
        <f t="shared" si="349"/>
        <v>x</v>
      </c>
      <c r="N124" s="54" t="str">
        <f t="shared" si="349"/>
        <v>x</v>
      </c>
      <c r="O124" s="54" t="str">
        <f t="shared" si="349"/>
        <v>x</v>
      </c>
      <c r="P124" s="54" t="str">
        <f t="shared" si="349"/>
        <v>x</v>
      </c>
      <c r="Q124" s="54" t="str">
        <f t="shared" si="349"/>
        <v>x</v>
      </c>
      <c r="R124" s="54" t="str">
        <f t="shared" si="349"/>
        <v>x</v>
      </c>
      <c r="S124" s="54" t="str">
        <f t="shared" si="349"/>
        <v>x</v>
      </c>
      <c r="T124" s="54" t="str">
        <f t="shared" si="349"/>
        <v>x</v>
      </c>
      <c r="U124" s="54" t="str">
        <f t="shared" si="349"/>
        <v>x</v>
      </c>
      <c r="V124" s="54" t="str">
        <f t="shared" si="349"/>
        <v>x</v>
      </c>
      <c r="W124" s="54" t="str">
        <f t="shared" si="349"/>
        <v>x</v>
      </c>
      <c r="X124" s="54" t="str">
        <f t="shared" si="349"/>
        <v>x</v>
      </c>
      <c r="Y124" s="54" t="str">
        <f t="shared" si="349"/>
        <v>x</v>
      </c>
      <c r="Z124" s="54" t="str">
        <f t="shared" si="349"/>
        <v>x</v>
      </c>
    </row>
    <row r="125" spans="4:26" customFormat="1" x14ac:dyDescent="0.15">
      <c r="D125" s="54" t="str">
        <f t="shared" ref="D125:Z125" si="350">IF(BatSplit(D46,RunsScored)&gt;=50,BatSplit(D46,RunsScored)&amp;IF(BatSplit(D46,NotOuts)=1,"*","")&amp;"|"&amp;$C46&amp;"|"&amp;D$2&amp;"|"&amp;TEXT(D$1,"dd-mmm"),"x")</f>
        <v>x</v>
      </c>
      <c r="E125" s="54" t="str">
        <f t="shared" si="350"/>
        <v>x</v>
      </c>
      <c r="F125" s="54" t="str">
        <f t="shared" si="350"/>
        <v>x</v>
      </c>
      <c r="G125" s="54" t="str">
        <f t="shared" si="350"/>
        <v>x</v>
      </c>
      <c r="H125" s="54" t="str">
        <f t="shared" si="350"/>
        <v>x</v>
      </c>
      <c r="I125" s="54" t="str">
        <f t="shared" si="350"/>
        <v>x</v>
      </c>
      <c r="J125" s="54" t="str">
        <f t="shared" si="350"/>
        <v>x</v>
      </c>
      <c r="K125" s="54" t="str">
        <f t="shared" si="350"/>
        <v>x</v>
      </c>
      <c r="L125" s="54" t="str">
        <f t="shared" si="350"/>
        <v>x</v>
      </c>
      <c r="M125" s="54" t="str">
        <f t="shared" si="350"/>
        <v>x</v>
      </c>
      <c r="N125" s="54" t="str">
        <f t="shared" si="350"/>
        <v>x</v>
      </c>
      <c r="O125" s="54" t="str">
        <f t="shared" si="350"/>
        <v>x</v>
      </c>
      <c r="P125" s="54" t="str">
        <f t="shared" si="350"/>
        <v>x</v>
      </c>
      <c r="Q125" s="54" t="str">
        <f t="shared" si="350"/>
        <v>x</v>
      </c>
      <c r="R125" s="54" t="str">
        <f t="shared" si="350"/>
        <v>x</v>
      </c>
      <c r="S125" s="54" t="str">
        <f t="shared" si="350"/>
        <v>x</v>
      </c>
      <c r="T125" s="54" t="str">
        <f t="shared" si="350"/>
        <v>x</v>
      </c>
      <c r="U125" s="54" t="str">
        <f t="shared" si="350"/>
        <v>x</v>
      </c>
      <c r="V125" s="54" t="str">
        <f t="shared" si="350"/>
        <v>x</v>
      </c>
      <c r="W125" s="54" t="str">
        <f t="shared" si="350"/>
        <v>x</v>
      </c>
      <c r="X125" s="54" t="str">
        <f t="shared" si="350"/>
        <v>x</v>
      </c>
      <c r="Y125" s="54" t="str">
        <f t="shared" si="350"/>
        <v>x</v>
      </c>
      <c r="Z125" s="54" t="str">
        <f t="shared" si="350"/>
        <v>x</v>
      </c>
    </row>
    <row r="126" spans="4:26" customFormat="1" x14ac:dyDescent="0.15">
      <c r="D126" s="54" t="str">
        <f t="shared" ref="D126:Z126" si="351">IF(BatSplit(D47,RunsScored)&gt;=50,BatSplit(D47,RunsScored)&amp;IF(BatSplit(D47,NotOuts)=1,"*","")&amp;"|"&amp;$C47&amp;"|"&amp;D$2&amp;"|"&amp;TEXT(D$1,"dd-mmm"),"x")</f>
        <v>x</v>
      </c>
      <c r="E126" s="54" t="str">
        <f t="shared" si="351"/>
        <v>x</v>
      </c>
      <c r="F126" s="54" t="str">
        <f t="shared" si="351"/>
        <v>x</v>
      </c>
      <c r="G126" s="54" t="str">
        <f t="shared" si="351"/>
        <v>x</v>
      </c>
      <c r="H126" s="54" t="str">
        <f t="shared" si="351"/>
        <v>x</v>
      </c>
      <c r="I126" s="54" t="str">
        <f t="shared" si="351"/>
        <v>x</v>
      </c>
      <c r="J126" s="54" t="str">
        <f t="shared" si="351"/>
        <v>x</v>
      </c>
      <c r="K126" s="54" t="str">
        <f t="shared" si="351"/>
        <v>x</v>
      </c>
      <c r="L126" s="54" t="str">
        <f t="shared" si="351"/>
        <v>x</v>
      </c>
      <c r="M126" s="54" t="str">
        <f t="shared" si="351"/>
        <v>x</v>
      </c>
      <c r="N126" s="54" t="str">
        <f t="shared" si="351"/>
        <v>x</v>
      </c>
      <c r="O126" s="54" t="str">
        <f t="shared" si="351"/>
        <v>x</v>
      </c>
      <c r="P126" s="54" t="str">
        <f t="shared" si="351"/>
        <v>x</v>
      </c>
      <c r="Q126" s="54" t="str">
        <f t="shared" si="351"/>
        <v>x</v>
      </c>
      <c r="R126" s="54" t="str">
        <f t="shared" si="351"/>
        <v>x</v>
      </c>
      <c r="S126" s="54" t="str">
        <f t="shared" si="351"/>
        <v>x</v>
      </c>
      <c r="T126" s="54" t="str">
        <f t="shared" si="351"/>
        <v>x</v>
      </c>
      <c r="U126" s="54" t="str">
        <f t="shared" si="351"/>
        <v>x</v>
      </c>
      <c r="V126" s="54" t="str">
        <f t="shared" si="351"/>
        <v>x</v>
      </c>
      <c r="W126" s="54" t="str">
        <f t="shared" si="351"/>
        <v>x</v>
      </c>
      <c r="X126" s="54" t="str">
        <f t="shared" si="351"/>
        <v>x</v>
      </c>
      <c r="Y126" s="54" t="str">
        <f t="shared" si="351"/>
        <v>x</v>
      </c>
      <c r="Z126" s="54" t="str">
        <f t="shared" si="351"/>
        <v>x</v>
      </c>
    </row>
    <row r="127" spans="4:26" customFormat="1" x14ac:dyDescent="0.15">
      <c r="D127" s="54" t="str">
        <f t="shared" ref="D127:Z127" si="352">IF(BatSplit(D48,RunsScored)&gt;=50,BatSplit(D48,RunsScored)&amp;IF(BatSplit(D48,NotOuts)=1,"*","")&amp;"|"&amp;$C48&amp;"|"&amp;D$2&amp;"|"&amp;TEXT(D$1,"dd-mmm"),"x")</f>
        <v>x</v>
      </c>
      <c r="E127" s="54" t="str">
        <f t="shared" si="352"/>
        <v>x</v>
      </c>
      <c r="F127" s="54" t="str">
        <f t="shared" si="352"/>
        <v>x</v>
      </c>
      <c r="G127" s="54" t="str">
        <f t="shared" si="352"/>
        <v>x</v>
      </c>
      <c r="H127" s="54" t="str">
        <f t="shared" si="352"/>
        <v>x</v>
      </c>
      <c r="I127" s="54" t="str">
        <f t="shared" si="352"/>
        <v>x</v>
      </c>
      <c r="J127" s="54" t="str">
        <f t="shared" si="352"/>
        <v>x</v>
      </c>
      <c r="K127" s="54" t="str">
        <f t="shared" si="352"/>
        <v>x</v>
      </c>
      <c r="L127" s="54" t="str">
        <f t="shared" si="352"/>
        <v>x</v>
      </c>
      <c r="M127" s="54" t="str">
        <f t="shared" si="352"/>
        <v>x</v>
      </c>
      <c r="N127" s="54" t="str">
        <f t="shared" si="352"/>
        <v>x</v>
      </c>
      <c r="O127" s="54" t="str">
        <f t="shared" si="352"/>
        <v>x</v>
      </c>
      <c r="P127" s="54" t="str">
        <f t="shared" si="352"/>
        <v>x</v>
      </c>
      <c r="Q127" s="54" t="str">
        <f t="shared" si="352"/>
        <v>x</v>
      </c>
      <c r="R127" s="54" t="str">
        <f t="shared" si="352"/>
        <v>x</v>
      </c>
      <c r="S127" s="54" t="str">
        <f t="shared" si="352"/>
        <v>x</v>
      </c>
      <c r="T127" s="54" t="str">
        <f t="shared" si="352"/>
        <v>x</v>
      </c>
      <c r="U127" s="54" t="str">
        <f t="shared" si="352"/>
        <v>x</v>
      </c>
      <c r="V127" s="54" t="str">
        <f t="shared" si="352"/>
        <v>x</v>
      </c>
      <c r="W127" s="54" t="str">
        <f t="shared" si="352"/>
        <v>x</v>
      </c>
      <c r="X127" s="54" t="str">
        <f t="shared" si="352"/>
        <v>x</v>
      </c>
      <c r="Y127" s="54" t="str">
        <f t="shared" si="352"/>
        <v>x</v>
      </c>
      <c r="Z127" s="54" t="str">
        <f t="shared" si="352"/>
        <v>x</v>
      </c>
    </row>
    <row r="128" spans="4:26" customFormat="1" x14ac:dyDescent="0.15">
      <c r="D128" s="54" t="str">
        <f t="shared" ref="D128:Z128" si="353">IF(BatSplit(D49,RunsScored)&gt;=50,BatSplit(D49,RunsScored)&amp;IF(BatSplit(D49,NotOuts)=1,"*","")&amp;"|"&amp;$C49&amp;"|"&amp;D$2&amp;"|"&amp;TEXT(D$1,"dd-mmm"),"x")</f>
        <v>x</v>
      </c>
      <c r="E128" s="54" t="str">
        <f t="shared" si="353"/>
        <v>x</v>
      </c>
      <c r="F128" s="54" t="str">
        <f t="shared" si="353"/>
        <v>x</v>
      </c>
      <c r="G128" s="54" t="str">
        <f t="shared" si="353"/>
        <v>x</v>
      </c>
      <c r="H128" s="54" t="str">
        <f t="shared" si="353"/>
        <v>x</v>
      </c>
      <c r="I128" s="54" t="str">
        <f t="shared" si="353"/>
        <v>x</v>
      </c>
      <c r="J128" s="54" t="str">
        <f t="shared" si="353"/>
        <v>x</v>
      </c>
      <c r="K128" s="54" t="str">
        <f t="shared" si="353"/>
        <v>x</v>
      </c>
      <c r="L128" s="54" t="str">
        <f t="shared" si="353"/>
        <v>x</v>
      </c>
      <c r="M128" s="54" t="str">
        <f t="shared" si="353"/>
        <v>x</v>
      </c>
      <c r="N128" s="54" t="str">
        <f t="shared" si="353"/>
        <v>x</v>
      </c>
      <c r="O128" s="54" t="str">
        <f t="shared" si="353"/>
        <v>x</v>
      </c>
      <c r="P128" s="54" t="str">
        <f t="shared" si="353"/>
        <v>x</v>
      </c>
      <c r="Q128" s="54" t="str">
        <f t="shared" si="353"/>
        <v>x</v>
      </c>
      <c r="R128" s="54" t="str">
        <f t="shared" si="353"/>
        <v>x</v>
      </c>
      <c r="S128" s="54" t="str">
        <f t="shared" si="353"/>
        <v>x</v>
      </c>
      <c r="T128" s="54" t="str">
        <f t="shared" si="353"/>
        <v>x</v>
      </c>
      <c r="U128" s="54" t="str">
        <f t="shared" si="353"/>
        <v>x</v>
      </c>
      <c r="V128" s="54" t="str">
        <f t="shared" si="353"/>
        <v>x</v>
      </c>
      <c r="W128" s="54" t="str">
        <f t="shared" si="353"/>
        <v>x</v>
      </c>
      <c r="X128" s="54" t="str">
        <f t="shared" si="353"/>
        <v>x</v>
      </c>
      <c r="Y128" s="54" t="str">
        <f t="shared" si="353"/>
        <v>x</v>
      </c>
      <c r="Z128" s="54" t="str">
        <f t="shared" si="353"/>
        <v>x</v>
      </c>
    </row>
    <row r="129" spans="4:26" customFormat="1" x14ac:dyDescent="0.15">
      <c r="D129" s="54" t="str">
        <f t="shared" ref="D129:Z129" si="354">IF(BatSplit(D50,RunsScored)&gt;=50,BatSplit(D50,RunsScored)&amp;IF(BatSplit(D50,NotOuts)=1,"*","")&amp;"|"&amp;$C50&amp;"|"&amp;D$2&amp;"|"&amp;TEXT(D$1,"dd-mmm"),"x")</f>
        <v>x</v>
      </c>
      <c r="E129" s="54" t="str">
        <f t="shared" si="354"/>
        <v>x</v>
      </c>
      <c r="F129" s="54" t="str">
        <f t="shared" si="354"/>
        <v>x</v>
      </c>
      <c r="G129" s="54" t="str">
        <f t="shared" si="354"/>
        <v>x</v>
      </c>
      <c r="H129" s="54" t="str">
        <f t="shared" si="354"/>
        <v>x</v>
      </c>
      <c r="I129" s="54" t="str">
        <f t="shared" si="354"/>
        <v>x</v>
      </c>
      <c r="J129" s="54" t="str">
        <f t="shared" si="354"/>
        <v>x</v>
      </c>
      <c r="K129" s="54" t="str">
        <f t="shared" si="354"/>
        <v>x</v>
      </c>
      <c r="L129" s="54" t="str">
        <f t="shared" si="354"/>
        <v>x</v>
      </c>
      <c r="M129" s="54" t="str">
        <f t="shared" si="354"/>
        <v>x</v>
      </c>
      <c r="N129" s="54" t="str">
        <f t="shared" si="354"/>
        <v>x</v>
      </c>
      <c r="O129" s="54" t="str">
        <f t="shared" si="354"/>
        <v>x</v>
      </c>
      <c r="P129" s="54" t="str">
        <f t="shared" si="354"/>
        <v>x</v>
      </c>
      <c r="Q129" s="54" t="str">
        <f t="shared" si="354"/>
        <v>x</v>
      </c>
      <c r="R129" s="54" t="str">
        <f t="shared" si="354"/>
        <v>x</v>
      </c>
      <c r="S129" s="54" t="str">
        <f t="shared" si="354"/>
        <v>x</v>
      </c>
      <c r="T129" s="54" t="str">
        <f t="shared" si="354"/>
        <v>x</v>
      </c>
      <c r="U129" s="54" t="str">
        <f t="shared" si="354"/>
        <v>x</v>
      </c>
      <c r="V129" s="54" t="str">
        <f t="shared" si="354"/>
        <v>x</v>
      </c>
      <c r="W129" s="54" t="str">
        <f t="shared" si="354"/>
        <v>x</v>
      </c>
      <c r="X129" s="54" t="str">
        <f t="shared" si="354"/>
        <v>x</v>
      </c>
      <c r="Y129" s="54" t="str">
        <f t="shared" si="354"/>
        <v>x</v>
      </c>
      <c r="Z129" s="54" t="str">
        <f t="shared" si="354"/>
        <v>x</v>
      </c>
    </row>
    <row r="130" spans="4:26" customFormat="1" x14ac:dyDescent="0.15">
      <c r="D130" s="54" t="str">
        <f t="shared" ref="D130:Z130" si="355">IF(BatSplit(D51,RunsScored)&gt;=50,BatSplit(D51,RunsScored)&amp;IF(BatSplit(D51,NotOuts)=1,"*","")&amp;"|"&amp;$C51&amp;"|"&amp;D$2&amp;"|"&amp;TEXT(D$1,"dd-mmm"),"x")</f>
        <v>x</v>
      </c>
      <c r="E130" s="54" t="str">
        <f t="shared" si="355"/>
        <v>x</v>
      </c>
      <c r="F130" s="54" t="str">
        <f t="shared" si="355"/>
        <v>x</v>
      </c>
      <c r="G130" s="54" t="str">
        <f t="shared" si="355"/>
        <v>x</v>
      </c>
      <c r="H130" s="54" t="str">
        <f t="shared" si="355"/>
        <v>x</v>
      </c>
      <c r="I130" s="54" t="str">
        <f t="shared" si="355"/>
        <v>x</v>
      </c>
      <c r="J130" s="54" t="str">
        <f t="shared" si="355"/>
        <v>x</v>
      </c>
      <c r="K130" s="54" t="str">
        <f t="shared" si="355"/>
        <v>x</v>
      </c>
      <c r="L130" s="54" t="str">
        <f t="shared" si="355"/>
        <v>x</v>
      </c>
      <c r="M130" s="54" t="str">
        <f t="shared" si="355"/>
        <v>x</v>
      </c>
      <c r="N130" s="54" t="str">
        <f t="shared" si="355"/>
        <v>x</v>
      </c>
      <c r="O130" s="54" t="str">
        <f t="shared" si="355"/>
        <v>x</v>
      </c>
      <c r="P130" s="54" t="str">
        <f t="shared" si="355"/>
        <v>x</v>
      </c>
      <c r="Q130" s="54" t="str">
        <f t="shared" si="355"/>
        <v>x</v>
      </c>
      <c r="R130" s="54" t="str">
        <f t="shared" si="355"/>
        <v>x</v>
      </c>
      <c r="S130" s="54" t="str">
        <f t="shared" si="355"/>
        <v>x</v>
      </c>
      <c r="T130" s="54" t="str">
        <f t="shared" si="355"/>
        <v>x</v>
      </c>
      <c r="U130" s="54" t="str">
        <f t="shared" si="355"/>
        <v>x</v>
      </c>
      <c r="V130" s="54" t="str">
        <f t="shared" si="355"/>
        <v>x</v>
      </c>
      <c r="W130" s="54" t="str">
        <f t="shared" si="355"/>
        <v>x</v>
      </c>
      <c r="X130" s="54" t="str">
        <f t="shared" si="355"/>
        <v>x</v>
      </c>
      <c r="Y130" s="54" t="str">
        <f t="shared" si="355"/>
        <v>x</v>
      </c>
      <c r="Z130" s="54" t="str">
        <f t="shared" si="355"/>
        <v>x</v>
      </c>
    </row>
    <row r="131" spans="4:26" customFormat="1" x14ac:dyDescent="0.15">
      <c r="D131" s="54" t="str">
        <f t="shared" ref="D131:Z131" si="356">IF(BatSplit(D52,RunsScored)&gt;=50,BatSplit(D52,RunsScored)&amp;IF(BatSplit(D52,NotOuts)=1,"*","")&amp;"|"&amp;$C52&amp;"|"&amp;D$2&amp;"|"&amp;TEXT(D$1,"dd-mmm"),"x")</f>
        <v>x</v>
      </c>
      <c r="E131" s="54" t="str">
        <f t="shared" si="356"/>
        <v>x</v>
      </c>
      <c r="F131" s="54" t="str">
        <f t="shared" si="356"/>
        <v>x</v>
      </c>
      <c r="G131" s="54" t="str">
        <f t="shared" si="356"/>
        <v>x</v>
      </c>
      <c r="H131" s="54" t="str">
        <f t="shared" si="356"/>
        <v>x</v>
      </c>
      <c r="I131" s="54" t="str">
        <f t="shared" si="356"/>
        <v>x</v>
      </c>
      <c r="J131" s="54" t="str">
        <f t="shared" si="356"/>
        <v>x</v>
      </c>
      <c r="K131" s="54" t="str">
        <f t="shared" si="356"/>
        <v>x</v>
      </c>
      <c r="L131" s="54" t="str">
        <f t="shared" si="356"/>
        <v>x</v>
      </c>
      <c r="M131" s="54" t="str">
        <f t="shared" si="356"/>
        <v>x</v>
      </c>
      <c r="N131" s="54" t="str">
        <f t="shared" si="356"/>
        <v>x</v>
      </c>
      <c r="O131" s="54" t="str">
        <f t="shared" si="356"/>
        <v>x</v>
      </c>
      <c r="P131" s="54" t="str">
        <f t="shared" si="356"/>
        <v>x</v>
      </c>
      <c r="Q131" s="54" t="str">
        <f t="shared" si="356"/>
        <v>x</v>
      </c>
      <c r="R131" s="54" t="str">
        <f t="shared" si="356"/>
        <v>x</v>
      </c>
      <c r="S131" s="54" t="str">
        <f t="shared" si="356"/>
        <v>x</v>
      </c>
      <c r="T131" s="54" t="str">
        <f t="shared" si="356"/>
        <v>x</v>
      </c>
      <c r="U131" s="54" t="str">
        <f t="shared" si="356"/>
        <v>x</v>
      </c>
      <c r="V131" s="54" t="str">
        <f t="shared" si="356"/>
        <v>x</v>
      </c>
      <c r="W131" s="54" t="str">
        <f t="shared" si="356"/>
        <v>x</v>
      </c>
      <c r="X131" s="54" t="str">
        <f t="shared" si="356"/>
        <v>x</v>
      </c>
      <c r="Y131" s="54" t="str">
        <f t="shared" si="356"/>
        <v>x</v>
      </c>
      <c r="Z131" s="54" t="str">
        <f t="shared" si="356"/>
        <v>x</v>
      </c>
    </row>
    <row r="132" spans="4:26" customFormat="1" x14ac:dyDescent="0.15">
      <c r="D132" s="54" t="str">
        <f t="shared" ref="D132:Z132" si="357">IF(BatSplit(D53,RunsScored)&gt;=50,BatSplit(D53,RunsScored)&amp;IF(BatSplit(D53,NotOuts)=1,"*","")&amp;"|"&amp;$C53&amp;"|"&amp;D$2&amp;"|"&amp;TEXT(D$1,"dd-mmm"),"x")</f>
        <v>x</v>
      </c>
      <c r="E132" s="54" t="str">
        <f t="shared" si="357"/>
        <v>x</v>
      </c>
      <c r="F132" s="54" t="str">
        <f t="shared" si="357"/>
        <v>x</v>
      </c>
      <c r="G132" s="54" t="str">
        <f t="shared" si="357"/>
        <v>x</v>
      </c>
      <c r="H132" s="54" t="str">
        <f t="shared" si="357"/>
        <v>x</v>
      </c>
      <c r="I132" s="54" t="str">
        <f t="shared" si="357"/>
        <v>x</v>
      </c>
      <c r="J132" s="54" t="str">
        <f t="shared" si="357"/>
        <v>x</v>
      </c>
      <c r="K132" s="54" t="str">
        <f t="shared" si="357"/>
        <v>x</v>
      </c>
      <c r="L132" s="54" t="str">
        <f t="shared" si="357"/>
        <v>x</v>
      </c>
      <c r="M132" s="54" t="str">
        <f t="shared" si="357"/>
        <v>x</v>
      </c>
      <c r="N132" s="54" t="str">
        <f t="shared" si="357"/>
        <v>x</v>
      </c>
      <c r="O132" s="54" t="str">
        <f t="shared" si="357"/>
        <v>x</v>
      </c>
      <c r="P132" s="54" t="str">
        <f t="shared" si="357"/>
        <v>x</v>
      </c>
      <c r="Q132" s="54" t="str">
        <f t="shared" si="357"/>
        <v>x</v>
      </c>
      <c r="R132" s="54" t="str">
        <f t="shared" si="357"/>
        <v>x</v>
      </c>
      <c r="S132" s="54" t="str">
        <f t="shared" si="357"/>
        <v>x</v>
      </c>
      <c r="T132" s="54" t="str">
        <f t="shared" si="357"/>
        <v>x</v>
      </c>
      <c r="U132" s="54" t="str">
        <f t="shared" si="357"/>
        <v>x</v>
      </c>
      <c r="V132" s="54" t="str">
        <f t="shared" si="357"/>
        <v>x</v>
      </c>
      <c r="W132" s="54" t="str">
        <f t="shared" si="357"/>
        <v>x</v>
      </c>
      <c r="X132" s="54" t="str">
        <f t="shared" si="357"/>
        <v>x</v>
      </c>
      <c r="Y132" s="54" t="str">
        <f t="shared" si="357"/>
        <v>x</v>
      </c>
      <c r="Z132" s="54" t="str">
        <f t="shared" si="357"/>
        <v>x</v>
      </c>
    </row>
    <row r="133" spans="4:26" customFormat="1" x14ac:dyDescent="0.15">
      <c r="D133" s="54" t="str">
        <f t="shared" ref="D133:Z133" si="358">IF(BatSplit(D54,RunsScored)&gt;=50,BatSplit(D54,RunsScored)&amp;IF(BatSplit(D54,NotOuts)=1,"*","")&amp;"|"&amp;$C54&amp;"|"&amp;D$2&amp;"|"&amp;TEXT(D$1,"dd-mmm"),"x")</f>
        <v>x</v>
      </c>
      <c r="E133" s="54" t="str">
        <f t="shared" si="358"/>
        <v>x</v>
      </c>
      <c r="F133" s="54" t="str">
        <f t="shared" si="358"/>
        <v>x</v>
      </c>
      <c r="G133" s="54" t="str">
        <f t="shared" si="358"/>
        <v>x</v>
      </c>
      <c r="H133" s="54" t="str">
        <f t="shared" si="358"/>
        <v>x</v>
      </c>
      <c r="I133" s="54" t="str">
        <f t="shared" si="358"/>
        <v>x</v>
      </c>
      <c r="J133" s="54" t="str">
        <f t="shared" si="358"/>
        <v>x</v>
      </c>
      <c r="K133" s="54" t="str">
        <f t="shared" si="358"/>
        <v>x</v>
      </c>
      <c r="L133" s="54" t="str">
        <f t="shared" si="358"/>
        <v>x</v>
      </c>
      <c r="M133" s="54" t="str">
        <f t="shared" si="358"/>
        <v>x</v>
      </c>
      <c r="N133" s="54" t="str">
        <f t="shared" si="358"/>
        <v>x</v>
      </c>
      <c r="O133" s="54" t="str">
        <f t="shared" si="358"/>
        <v>x</v>
      </c>
      <c r="P133" s="54" t="str">
        <f t="shared" si="358"/>
        <v>x</v>
      </c>
      <c r="Q133" s="54" t="str">
        <f t="shared" si="358"/>
        <v>x</v>
      </c>
      <c r="R133" s="54" t="str">
        <f t="shared" si="358"/>
        <v>x</v>
      </c>
      <c r="S133" s="54" t="str">
        <f t="shared" si="358"/>
        <v>x</v>
      </c>
      <c r="T133" s="54" t="str">
        <f t="shared" si="358"/>
        <v>x</v>
      </c>
      <c r="U133" s="54" t="str">
        <f t="shared" si="358"/>
        <v>x</v>
      </c>
      <c r="V133" s="54" t="str">
        <f t="shared" si="358"/>
        <v>x</v>
      </c>
      <c r="W133" s="54" t="str">
        <f t="shared" si="358"/>
        <v>x</v>
      </c>
      <c r="X133" s="54" t="str">
        <f t="shared" si="358"/>
        <v>x</v>
      </c>
      <c r="Y133" s="54" t="str">
        <f t="shared" si="358"/>
        <v>x</v>
      </c>
      <c r="Z133" s="54" t="str">
        <f t="shared" si="358"/>
        <v>x</v>
      </c>
    </row>
    <row r="134" spans="4:26" customFormat="1" x14ac:dyDescent="0.15">
      <c r="D134" s="54" t="str">
        <f t="shared" ref="D134:Z134" si="359">IF(BatSplit(D55,RunsScored)&gt;=50,BatSplit(D55,RunsScored)&amp;IF(BatSplit(D55,NotOuts)=1,"*","")&amp;"|"&amp;$C55&amp;"|"&amp;D$2&amp;"|"&amp;TEXT(D$1,"dd-mmm"),"x")</f>
        <v>x</v>
      </c>
      <c r="E134" s="54" t="str">
        <f t="shared" si="359"/>
        <v>x</v>
      </c>
      <c r="F134" s="54" t="str">
        <f t="shared" si="359"/>
        <v>x</v>
      </c>
      <c r="G134" s="54" t="str">
        <f t="shared" si="359"/>
        <v>x</v>
      </c>
      <c r="H134" s="54" t="str">
        <f t="shared" si="359"/>
        <v>x</v>
      </c>
      <c r="I134" s="54" t="str">
        <f t="shared" si="359"/>
        <v>x</v>
      </c>
      <c r="J134" s="54" t="str">
        <f t="shared" si="359"/>
        <v>x</v>
      </c>
      <c r="K134" s="54" t="str">
        <f t="shared" si="359"/>
        <v>x</v>
      </c>
      <c r="L134" s="54" t="str">
        <f t="shared" si="359"/>
        <v>x</v>
      </c>
      <c r="M134" s="54" t="str">
        <f t="shared" si="359"/>
        <v>x</v>
      </c>
      <c r="N134" s="54" t="str">
        <f t="shared" si="359"/>
        <v>x</v>
      </c>
      <c r="O134" s="54" t="str">
        <f t="shared" si="359"/>
        <v>x</v>
      </c>
      <c r="P134" s="54" t="str">
        <f t="shared" si="359"/>
        <v>x</v>
      </c>
      <c r="Q134" s="54" t="str">
        <f t="shared" si="359"/>
        <v>x</v>
      </c>
      <c r="R134" s="54" t="str">
        <f t="shared" si="359"/>
        <v>x</v>
      </c>
      <c r="S134" s="54" t="str">
        <f t="shared" si="359"/>
        <v>x</v>
      </c>
      <c r="T134" s="54" t="str">
        <f t="shared" si="359"/>
        <v>x</v>
      </c>
      <c r="U134" s="54" t="str">
        <f t="shared" si="359"/>
        <v>x</v>
      </c>
      <c r="V134" s="54" t="str">
        <f t="shared" si="359"/>
        <v>x</v>
      </c>
      <c r="W134" s="54" t="str">
        <f t="shared" si="359"/>
        <v>x</v>
      </c>
      <c r="X134" s="54" t="str">
        <f t="shared" si="359"/>
        <v>x</v>
      </c>
      <c r="Y134" s="54" t="str">
        <f t="shared" si="359"/>
        <v>x</v>
      </c>
      <c r="Z134" s="54" t="str">
        <f t="shared" si="359"/>
        <v>x</v>
      </c>
    </row>
    <row r="135" spans="4:26" customFormat="1" x14ac:dyDescent="0.15">
      <c r="D135" s="54" t="str">
        <f t="shared" ref="D135:Z135" si="360">IF(BatSplit(D58,RunsScored)&gt;=50,BatSplit(D58,RunsScored)&amp;IF(BatSplit(D58,NotOuts)=1,"*","")&amp;"|"&amp;$C58&amp;"|"&amp;D$2&amp;"|"&amp;TEXT(D$1,"dd-mmm"),"x")</f>
        <v>x</v>
      </c>
      <c r="E135" s="54" t="str">
        <f t="shared" si="360"/>
        <v>x</v>
      </c>
      <c r="F135" s="54" t="str">
        <f t="shared" si="360"/>
        <v>x</v>
      </c>
      <c r="G135" s="54" t="str">
        <f t="shared" si="360"/>
        <v>x</v>
      </c>
      <c r="H135" s="54" t="str">
        <f t="shared" si="360"/>
        <v>x</v>
      </c>
      <c r="I135" s="54" t="str">
        <f t="shared" si="360"/>
        <v>x</v>
      </c>
      <c r="J135" s="54" t="str">
        <f t="shared" si="360"/>
        <v>x</v>
      </c>
      <c r="K135" s="54" t="str">
        <f t="shared" si="360"/>
        <v>x</v>
      </c>
      <c r="L135" s="54" t="str">
        <f t="shared" si="360"/>
        <v>x</v>
      </c>
      <c r="M135" s="54" t="str">
        <f t="shared" si="360"/>
        <v>x</v>
      </c>
      <c r="N135" s="54" t="str">
        <f t="shared" si="360"/>
        <v>x</v>
      </c>
      <c r="O135" s="54" t="str">
        <f t="shared" si="360"/>
        <v>x</v>
      </c>
      <c r="P135" s="54" t="str">
        <f t="shared" si="360"/>
        <v>x</v>
      </c>
      <c r="Q135" s="54" t="str">
        <f t="shared" si="360"/>
        <v>x</v>
      </c>
      <c r="R135" s="54" t="str">
        <f t="shared" si="360"/>
        <v>x</v>
      </c>
      <c r="S135" s="54" t="str">
        <f t="shared" si="360"/>
        <v>x</v>
      </c>
      <c r="T135" s="54" t="str">
        <f t="shared" si="360"/>
        <v>x</v>
      </c>
      <c r="U135" s="54" t="str">
        <f t="shared" si="360"/>
        <v>x</v>
      </c>
      <c r="V135" s="54" t="str">
        <f t="shared" si="360"/>
        <v>x</v>
      </c>
      <c r="W135" s="54" t="str">
        <f t="shared" si="360"/>
        <v>x</v>
      </c>
      <c r="X135" s="54" t="str">
        <f t="shared" si="360"/>
        <v>x</v>
      </c>
      <c r="Y135" s="54" t="str">
        <f t="shared" si="360"/>
        <v>x</v>
      </c>
      <c r="Z135" s="54" t="str">
        <f t="shared" si="360"/>
        <v>x</v>
      </c>
    </row>
    <row r="136" spans="4:26" customFormat="1" x14ac:dyDescent="0.15">
      <c r="D136" s="54" t="str">
        <f t="shared" ref="D136:Z136" si="361">IF(BatSplit(D59,RunsScored)&gt;=50,BatSplit(D59,RunsScored)&amp;IF(BatSplit(D59,NotOuts)=1,"*","")&amp;"|"&amp;$C59&amp;"|"&amp;D$2&amp;"|"&amp;TEXT(D$1,"dd-mmm"),"x")</f>
        <v>x</v>
      </c>
      <c r="E136" s="54" t="str">
        <f t="shared" si="361"/>
        <v>x</v>
      </c>
      <c r="F136" s="54" t="str">
        <f t="shared" si="361"/>
        <v>x</v>
      </c>
      <c r="G136" s="54" t="str">
        <f t="shared" si="361"/>
        <v>82|Springer T|Fonthill Park|27-May</v>
      </c>
      <c r="H136" s="54" t="str">
        <f t="shared" si="361"/>
        <v>x</v>
      </c>
      <c r="I136" s="54" t="str">
        <f t="shared" si="361"/>
        <v>x</v>
      </c>
      <c r="J136" s="54" t="str">
        <f t="shared" si="361"/>
        <v>x</v>
      </c>
      <c r="K136" s="54" t="str">
        <f t="shared" si="361"/>
        <v>x</v>
      </c>
      <c r="L136" s="54" t="str">
        <f t="shared" si="361"/>
        <v>x</v>
      </c>
      <c r="M136" s="54" t="str">
        <f t="shared" si="361"/>
        <v>x</v>
      </c>
      <c r="N136" s="54" t="str">
        <f t="shared" si="361"/>
        <v>x</v>
      </c>
      <c r="O136" s="54" t="str">
        <f t="shared" si="361"/>
        <v>x</v>
      </c>
      <c r="P136" s="54" t="str">
        <f t="shared" si="361"/>
        <v>x</v>
      </c>
      <c r="Q136" s="54" t="str">
        <f t="shared" si="361"/>
        <v>x</v>
      </c>
      <c r="R136" s="54" t="str">
        <f t="shared" si="361"/>
        <v>x</v>
      </c>
      <c r="S136" s="54" t="str">
        <f t="shared" si="361"/>
        <v>x</v>
      </c>
      <c r="T136" s="54" t="str">
        <f t="shared" si="361"/>
        <v>x</v>
      </c>
      <c r="U136" s="54" t="str">
        <f t="shared" si="361"/>
        <v>x</v>
      </c>
      <c r="V136" s="54" t="str">
        <f t="shared" si="361"/>
        <v>x</v>
      </c>
      <c r="W136" s="54" t="str">
        <f t="shared" si="361"/>
        <v>x</v>
      </c>
      <c r="X136" s="54" t="str">
        <f t="shared" si="361"/>
        <v>x</v>
      </c>
      <c r="Y136" s="54" t="str">
        <f t="shared" si="361"/>
        <v>x</v>
      </c>
      <c r="Z136" s="54" t="str">
        <f t="shared" si="361"/>
        <v>x</v>
      </c>
    </row>
    <row r="137" spans="4:26" customFormat="1" x14ac:dyDescent="0.15">
      <c r="D137" s="54" t="str">
        <f t="shared" ref="D137:Z137" si="362">IF(BatSplit(D60,RunsScored)&gt;=50,BatSplit(D60,RunsScored)&amp;IF(BatSplit(D60,NotOuts)=1,"*","")&amp;"|"&amp;$C60&amp;"|"&amp;D$2&amp;"|"&amp;TEXT(D$1,"dd-mmm"),"x")</f>
        <v>x</v>
      </c>
      <c r="E137" s="54" t="str">
        <f t="shared" si="362"/>
        <v>x</v>
      </c>
      <c r="F137" s="54" t="str">
        <f t="shared" si="362"/>
        <v>x</v>
      </c>
      <c r="G137" s="54" t="str">
        <f t="shared" si="362"/>
        <v>x</v>
      </c>
      <c r="H137" s="54" t="str">
        <f t="shared" si="362"/>
        <v>x</v>
      </c>
      <c r="I137" s="54" t="str">
        <f t="shared" si="362"/>
        <v>x</v>
      </c>
      <c r="J137" s="54" t="str">
        <f t="shared" si="362"/>
        <v>x</v>
      </c>
      <c r="K137" s="54" t="str">
        <f t="shared" si="362"/>
        <v>x</v>
      </c>
      <c r="L137" s="54" t="str">
        <f t="shared" si="362"/>
        <v>x</v>
      </c>
      <c r="M137" s="54" t="str">
        <f t="shared" si="362"/>
        <v>x</v>
      </c>
      <c r="N137" s="54" t="str">
        <f t="shared" si="362"/>
        <v>x</v>
      </c>
      <c r="O137" s="54" t="str">
        <f t="shared" si="362"/>
        <v>x</v>
      </c>
      <c r="P137" s="54" t="str">
        <f t="shared" si="362"/>
        <v>x</v>
      </c>
      <c r="Q137" s="54" t="str">
        <f t="shared" si="362"/>
        <v>x</v>
      </c>
      <c r="R137" s="54" t="str">
        <f t="shared" si="362"/>
        <v>x</v>
      </c>
      <c r="S137" s="54" t="str">
        <f t="shared" si="362"/>
        <v>x</v>
      </c>
      <c r="T137" s="54" t="str">
        <f t="shared" si="362"/>
        <v>x</v>
      </c>
      <c r="U137" s="54" t="str">
        <f t="shared" si="362"/>
        <v>x</v>
      </c>
      <c r="V137" s="54" t="str">
        <f t="shared" si="362"/>
        <v>x</v>
      </c>
      <c r="W137" s="54" t="str">
        <f t="shared" si="362"/>
        <v>x</v>
      </c>
      <c r="X137" s="54" t="str">
        <f t="shared" si="362"/>
        <v>x</v>
      </c>
      <c r="Y137" s="54" t="str">
        <f t="shared" si="362"/>
        <v>x</v>
      </c>
      <c r="Z137" s="54" t="str">
        <f t="shared" si="362"/>
        <v>x</v>
      </c>
    </row>
    <row r="138" spans="4:26" customFormat="1" x14ac:dyDescent="0.15">
      <c r="D138" s="54" t="str">
        <f t="shared" ref="D138:Z138" si="363">IF(BatSplit(D62,RunsScored)&gt;=50,BatSplit(D62,RunsScored)&amp;IF(BatSplit(D62,NotOuts)=1,"*","")&amp;"|"&amp;$C62&amp;"|"&amp;D$2&amp;"|"&amp;TEXT(D$1,"dd-mmm"),"x")</f>
        <v>x</v>
      </c>
      <c r="E138" s="54" t="str">
        <f t="shared" si="363"/>
        <v>x</v>
      </c>
      <c r="F138" s="54" t="str">
        <f t="shared" si="363"/>
        <v>x</v>
      </c>
      <c r="G138" s="54" t="str">
        <f t="shared" si="363"/>
        <v>x</v>
      </c>
      <c r="H138" s="54" t="str">
        <f t="shared" si="363"/>
        <v>x</v>
      </c>
      <c r="I138" s="54" t="str">
        <f t="shared" si="363"/>
        <v>x</v>
      </c>
      <c r="J138" s="54" t="str">
        <f t="shared" si="363"/>
        <v>x</v>
      </c>
      <c r="K138" s="54" t="str">
        <f t="shared" si="363"/>
        <v>x</v>
      </c>
      <c r="L138" s="54" t="str">
        <f t="shared" si="363"/>
        <v>x</v>
      </c>
      <c r="M138" s="54" t="str">
        <f t="shared" si="363"/>
        <v>x</v>
      </c>
      <c r="N138" s="54" t="str">
        <f t="shared" si="363"/>
        <v>x</v>
      </c>
      <c r="O138" s="54" t="str">
        <f t="shared" si="363"/>
        <v>x</v>
      </c>
      <c r="P138" s="54" t="str">
        <f t="shared" si="363"/>
        <v>x</v>
      </c>
      <c r="Q138" s="54" t="str">
        <f t="shared" si="363"/>
        <v>x</v>
      </c>
      <c r="R138" s="54" t="str">
        <f t="shared" si="363"/>
        <v>x</v>
      </c>
      <c r="S138" s="54" t="str">
        <f t="shared" si="363"/>
        <v>x</v>
      </c>
      <c r="T138" s="54" t="str">
        <f t="shared" si="363"/>
        <v>x</v>
      </c>
      <c r="U138" s="54" t="str">
        <f t="shared" si="363"/>
        <v>x</v>
      </c>
      <c r="V138" s="54" t="str">
        <f t="shared" si="363"/>
        <v>x</v>
      </c>
      <c r="W138" s="54" t="str">
        <f t="shared" si="363"/>
        <v>x</v>
      </c>
      <c r="X138" s="54" t="str">
        <f t="shared" si="363"/>
        <v>x</v>
      </c>
      <c r="Y138" s="54" t="str">
        <f t="shared" si="363"/>
        <v>x</v>
      </c>
      <c r="Z138" s="54" t="str">
        <f t="shared" si="363"/>
        <v>x</v>
      </c>
    </row>
    <row r="139" spans="4:26" customFormat="1" x14ac:dyDescent="0.15">
      <c r="D139" s="54" t="str">
        <f t="shared" ref="D139:Z139" si="364">IF(BatSplit(D63,RunsScored)&gt;=50,BatSplit(D63,RunsScored)&amp;IF(BatSplit(D63,NotOuts)=1,"*","")&amp;"|"&amp;$C63&amp;"|"&amp;D$2&amp;"|"&amp;TEXT(D$1,"dd-mmm"),"x")</f>
        <v>x</v>
      </c>
      <c r="E139" s="54" t="str">
        <f t="shared" si="364"/>
        <v>x</v>
      </c>
      <c r="F139" s="54" t="str">
        <f t="shared" si="364"/>
        <v>x</v>
      </c>
      <c r="G139" s="54" t="str">
        <f t="shared" si="364"/>
        <v>x</v>
      </c>
      <c r="H139" s="54" t="str">
        <f t="shared" si="364"/>
        <v>x</v>
      </c>
      <c r="I139" s="54" t="str">
        <f t="shared" si="364"/>
        <v>x</v>
      </c>
      <c r="J139" s="54" t="str">
        <f t="shared" si="364"/>
        <v>x</v>
      </c>
      <c r="K139" s="54" t="str">
        <f t="shared" si="364"/>
        <v>x</v>
      </c>
      <c r="L139" s="54" t="str">
        <f t="shared" si="364"/>
        <v>x</v>
      </c>
      <c r="M139" s="54" t="str">
        <f t="shared" si="364"/>
        <v>x</v>
      </c>
      <c r="N139" s="54" t="str">
        <f t="shared" si="364"/>
        <v>x</v>
      </c>
      <c r="O139" s="54" t="str">
        <f t="shared" si="364"/>
        <v>x</v>
      </c>
      <c r="P139" s="54" t="str">
        <f t="shared" si="364"/>
        <v>x</v>
      </c>
      <c r="Q139" s="54" t="str">
        <f t="shared" si="364"/>
        <v>x</v>
      </c>
      <c r="R139" s="54" t="str">
        <f t="shared" si="364"/>
        <v>x</v>
      </c>
      <c r="S139" s="54" t="str">
        <f t="shared" si="364"/>
        <v>x</v>
      </c>
      <c r="T139" s="54" t="str">
        <f t="shared" si="364"/>
        <v>x</v>
      </c>
      <c r="U139" s="54" t="str">
        <f t="shared" si="364"/>
        <v>x</v>
      </c>
      <c r="V139" s="54" t="str">
        <f t="shared" si="364"/>
        <v>x</v>
      </c>
      <c r="W139" s="54" t="str">
        <f t="shared" si="364"/>
        <v>x</v>
      </c>
      <c r="X139" s="54" t="str">
        <f t="shared" si="364"/>
        <v>x</v>
      </c>
      <c r="Y139" s="54" t="str">
        <f t="shared" si="364"/>
        <v>x</v>
      </c>
      <c r="Z139" s="54" t="str">
        <f t="shared" si="364"/>
        <v>x</v>
      </c>
    </row>
    <row r="140" spans="4:26" customFormat="1" x14ac:dyDescent="0.15">
      <c r="D140" s="54" t="str">
        <f t="shared" ref="D140:Z140" si="365">IF(BatSplit(D64,RunsScored)&gt;=50,BatSplit(D64,RunsScored)&amp;IF(BatSplit(D64,NotOuts)=1,"*","")&amp;"|"&amp;$C64&amp;"|"&amp;D$2&amp;"|"&amp;TEXT(D$1,"dd-mmm"),"x")</f>
        <v>x</v>
      </c>
      <c r="E140" s="54" t="str">
        <f t="shared" si="365"/>
        <v>x</v>
      </c>
      <c r="F140" s="54" t="str">
        <f t="shared" si="365"/>
        <v>x</v>
      </c>
      <c r="G140" s="54" t="str">
        <f t="shared" si="365"/>
        <v>x</v>
      </c>
      <c r="H140" s="54" t="str">
        <f t="shared" si="365"/>
        <v>x</v>
      </c>
      <c r="I140" s="54" t="str">
        <f t="shared" si="365"/>
        <v>x</v>
      </c>
      <c r="J140" s="54" t="str">
        <f t="shared" si="365"/>
        <v>x</v>
      </c>
      <c r="K140" s="54" t="str">
        <f t="shared" si="365"/>
        <v>x</v>
      </c>
      <c r="L140" s="54" t="str">
        <f t="shared" si="365"/>
        <v>x</v>
      </c>
      <c r="M140" s="54" t="str">
        <f t="shared" si="365"/>
        <v>x</v>
      </c>
      <c r="N140" s="54" t="str">
        <f t="shared" si="365"/>
        <v>x</v>
      </c>
      <c r="O140" s="54" t="str">
        <f t="shared" si="365"/>
        <v>x</v>
      </c>
      <c r="P140" s="54" t="str">
        <f t="shared" si="365"/>
        <v>x</v>
      </c>
      <c r="Q140" s="54" t="str">
        <f t="shared" si="365"/>
        <v>x</v>
      </c>
      <c r="R140" s="54" t="str">
        <f t="shared" si="365"/>
        <v>x</v>
      </c>
      <c r="S140" s="54" t="str">
        <f t="shared" si="365"/>
        <v>x</v>
      </c>
      <c r="T140" s="54" t="str">
        <f t="shared" si="365"/>
        <v>x</v>
      </c>
      <c r="U140" s="54" t="str">
        <f t="shared" si="365"/>
        <v>x</v>
      </c>
      <c r="V140" s="54" t="str">
        <f t="shared" si="365"/>
        <v>x</v>
      </c>
      <c r="W140" s="54" t="str">
        <f t="shared" si="365"/>
        <v>x</v>
      </c>
      <c r="X140" s="54" t="str">
        <f t="shared" si="365"/>
        <v>x</v>
      </c>
      <c r="Y140" s="54" t="str">
        <f t="shared" si="365"/>
        <v>x</v>
      </c>
      <c r="Z140" s="54" t="str">
        <f t="shared" si="365"/>
        <v>x</v>
      </c>
    </row>
    <row r="141" spans="4:26" customFormat="1" x14ac:dyDescent="0.15">
      <c r="D141" s="54" t="str">
        <f t="shared" ref="D141:Z141" si="366">IF(BatSplit(D65,RunsScored)&gt;=50,BatSplit(D65,RunsScored)&amp;IF(BatSplit(D65,NotOuts)=1,"*","")&amp;"|"&amp;$C65&amp;"|"&amp;D$2&amp;"|"&amp;TEXT(D$1,"dd-mmm"),"x")</f>
        <v>x</v>
      </c>
      <c r="E141" s="54" t="str">
        <f t="shared" si="366"/>
        <v>x</v>
      </c>
      <c r="F141" s="54" t="str">
        <f t="shared" si="366"/>
        <v>x</v>
      </c>
      <c r="G141" s="54" t="str">
        <f t="shared" si="366"/>
        <v>x</v>
      </c>
      <c r="H141" s="54" t="str">
        <f t="shared" si="366"/>
        <v>x</v>
      </c>
      <c r="I141" s="54" t="str">
        <f t="shared" si="366"/>
        <v>x</v>
      </c>
      <c r="J141" s="54" t="str">
        <f t="shared" si="366"/>
        <v>x</v>
      </c>
      <c r="K141" s="54" t="str">
        <f t="shared" si="366"/>
        <v>x</v>
      </c>
      <c r="L141" s="54" t="str">
        <f t="shared" si="366"/>
        <v>x</v>
      </c>
      <c r="M141" s="54" t="str">
        <f t="shared" si="366"/>
        <v>x</v>
      </c>
      <c r="N141" s="54" t="str">
        <f t="shared" si="366"/>
        <v>x</v>
      </c>
      <c r="O141" s="54" t="str">
        <f t="shared" si="366"/>
        <v>x</v>
      </c>
      <c r="P141" s="54" t="str">
        <f t="shared" si="366"/>
        <v>x</v>
      </c>
      <c r="Q141" s="54" t="str">
        <f t="shared" si="366"/>
        <v>x</v>
      </c>
      <c r="R141" s="54" t="str">
        <f t="shared" si="366"/>
        <v>x</v>
      </c>
      <c r="S141" s="54" t="str">
        <f t="shared" si="366"/>
        <v>x</v>
      </c>
      <c r="T141" s="54" t="str">
        <f t="shared" si="366"/>
        <v>x</v>
      </c>
      <c r="U141" s="54" t="str">
        <f t="shared" si="366"/>
        <v>x</v>
      </c>
      <c r="V141" s="54" t="str">
        <f t="shared" si="366"/>
        <v>x</v>
      </c>
      <c r="W141" s="54" t="str">
        <f t="shared" si="366"/>
        <v>x</v>
      </c>
      <c r="X141" s="54" t="str">
        <f t="shared" si="366"/>
        <v>x</v>
      </c>
      <c r="Y141" s="54" t="str">
        <f t="shared" si="366"/>
        <v>x</v>
      </c>
      <c r="Z141" s="54" t="str">
        <f t="shared" si="366"/>
        <v>x</v>
      </c>
    </row>
    <row r="142" spans="4:26" customFormat="1" x14ac:dyDescent="0.15">
      <c r="D142" s="54" t="str">
        <f t="shared" ref="D142:Z142" si="367">IF(BatSplit(D67,RunsScored)&gt;=50,BatSplit(D67,RunsScored)&amp;IF(BatSplit(D67,NotOuts)=1,"*","")&amp;"|"&amp;$C67&amp;"|"&amp;D$2&amp;"|"&amp;TEXT(D$1,"dd-mmm"),"x")</f>
        <v>x</v>
      </c>
      <c r="E142" s="54" t="str">
        <f t="shared" si="367"/>
        <v>x</v>
      </c>
      <c r="F142" s="54" t="str">
        <f t="shared" si="367"/>
        <v>x</v>
      </c>
      <c r="G142" s="54" t="str">
        <f t="shared" si="367"/>
        <v>x</v>
      </c>
      <c r="H142" s="54" t="str">
        <f t="shared" si="367"/>
        <v>x</v>
      </c>
      <c r="I142" s="54" t="str">
        <f t="shared" si="367"/>
        <v>x</v>
      </c>
      <c r="J142" s="54" t="str">
        <f t="shared" si="367"/>
        <v>x</v>
      </c>
      <c r="K142" s="54" t="str">
        <f t="shared" si="367"/>
        <v>x</v>
      </c>
      <c r="L142" s="54" t="str">
        <f t="shared" si="367"/>
        <v>x</v>
      </c>
      <c r="M142" s="54" t="str">
        <f t="shared" si="367"/>
        <v>x</v>
      </c>
      <c r="N142" s="54" t="str">
        <f t="shared" si="367"/>
        <v>x</v>
      </c>
      <c r="O142" s="54" t="str">
        <f t="shared" si="367"/>
        <v>x</v>
      </c>
      <c r="P142" s="54" t="str">
        <f t="shared" si="367"/>
        <v>x</v>
      </c>
      <c r="Q142" s="54" t="str">
        <f t="shared" si="367"/>
        <v>x</v>
      </c>
      <c r="R142" s="54" t="str">
        <f t="shared" si="367"/>
        <v>x</v>
      </c>
      <c r="S142" s="54" t="str">
        <f t="shared" si="367"/>
        <v>x</v>
      </c>
      <c r="T142" s="54" t="str">
        <f t="shared" si="367"/>
        <v>x</v>
      </c>
      <c r="U142" s="54" t="str">
        <f t="shared" si="367"/>
        <v>x</v>
      </c>
      <c r="V142" s="54" t="str">
        <f t="shared" si="367"/>
        <v>x</v>
      </c>
      <c r="W142" s="54" t="str">
        <f t="shared" si="367"/>
        <v>x</v>
      </c>
      <c r="X142" s="54" t="str">
        <f t="shared" si="367"/>
        <v>x</v>
      </c>
      <c r="Y142" s="54" t="str">
        <f t="shared" si="367"/>
        <v>x</v>
      </c>
      <c r="Z142" s="54" t="str">
        <f t="shared" si="367"/>
        <v>x</v>
      </c>
    </row>
    <row r="143" spans="4:26" customFormat="1" x14ac:dyDescent="0.15">
      <c r="D143" s="54" t="str">
        <f t="shared" ref="D143:Z143" si="368">IF(BatSplit(D69,RunsScored)&gt;=50,BatSplit(D69,RunsScored)&amp;IF(BatSplit(D69,NotOuts)=1,"*","")&amp;"|"&amp;$C69&amp;"|"&amp;D$2&amp;"|"&amp;TEXT(D$1,"dd-mmm"),"x")</f>
        <v>x</v>
      </c>
      <c r="E143" s="54" t="str">
        <f t="shared" si="368"/>
        <v>x</v>
      </c>
      <c r="F143" s="54" t="str">
        <f t="shared" si="368"/>
        <v>x</v>
      </c>
      <c r="G143" s="54" t="str">
        <f t="shared" si="368"/>
        <v>x</v>
      </c>
      <c r="H143" s="54" t="str">
        <f t="shared" si="368"/>
        <v>x</v>
      </c>
      <c r="I143" s="54" t="str">
        <f t="shared" si="368"/>
        <v>x</v>
      </c>
      <c r="J143" s="54" t="str">
        <f t="shared" si="368"/>
        <v>x</v>
      </c>
      <c r="K143" s="54" t="str">
        <f t="shared" si="368"/>
        <v>x</v>
      </c>
      <c r="L143" s="54" t="str">
        <f t="shared" si="368"/>
        <v>x</v>
      </c>
      <c r="M143" s="54" t="str">
        <f t="shared" si="368"/>
        <v>x</v>
      </c>
      <c r="N143" s="54" t="str">
        <f t="shared" si="368"/>
        <v>x</v>
      </c>
      <c r="O143" s="54" t="str">
        <f t="shared" si="368"/>
        <v>x</v>
      </c>
      <c r="P143" s="54" t="str">
        <f t="shared" si="368"/>
        <v>x</v>
      </c>
      <c r="Q143" s="54" t="str">
        <f t="shared" si="368"/>
        <v>x</v>
      </c>
      <c r="R143" s="54" t="str">
        <f t="shared" si="368"/>
        <v>x</v>
      </c>
      <c r="S143" s="54" t="str">
        <f t="shared" si="368"/>
        <v>x</v>
      </c>
      <c r="T143" s="54" t="str">
        <f t="shared" si="368"/>
        <v>x</v>
      </c>
      <c r="U143" s="54" t="str">
        <f t="shared" si="368"/>
        <v>x</v>
      </c>
      <c r="V143" s="54" t="str">
        <f t="shared" si="368"/>
        <v>x</v>
      </c>
      <c r="W143" s="54" t="str">
        <f t="shared" si="368"/>
        <v>x</v>
      </c>
      <c r="X143" s="54" t="str">
        <f t="shared" si="368"/>
        <v>x</v>
      </c>
      <c r="Y143" s="54" t="str">
        <f t="shared" si="368"/>
        <v>x</v>
      </c>
      <c r="Z143" s="54" t="str">
        <f t="shared" si="368"/>
        <v>x</v>
      </c>
    </row>
    <row r="144" spans="4:26" customFormat="1" x14ac:dyDescent="0.15">
      <c r="D144" s="54" t="str">
        <f t="shared" ref="D144:Z144" si="369">IF(BatSplit(D70,RunsScored)&gt;=50,BatSplit(D70,RunsScored)&amp;IF(BatSplit(D70,NotOuts)=1,"*","")&amp;"|"&amp;$C70&amp;"|"&amp;D$2&amp;"|"&amp;TEXT(D$1,"dd-mmm"),"x")</f>
        <v>x</v>
      </c>
      <c r="E144" s="54" t="str">
        <f t="shared" si="369"/>
        <v>x</v>
      </c>
      <c r="F144" s="54" t="str">
        <f t="shared" si="369"/>
        <v>x</v>
      </c>
      <c r="G144" s="54" t="str">
        <f t="shared" si="369"/>
        <v>x</v>
      </c>
      <c r="H144" s="54" t="str">
        <f t="shared" si="369"/>
        <v>x</v>
      </c>
      <c r="I144" s="54" t="str">
        <f t="shared" si="369"/>
        <v>x</v>
      </c>
      <c r="J144" s="54" t="str">
        <f t="shared" si="369"/>
        <v>x</v>
      </c>
      <c r="K144" s="54" t="str">
        <f t="shared" si="369"/>
        <v>x</v>
      </c>
      <c r="L144" s="54" t="str">
        <f t="shared" si="369"/>
        <v>x</v>
      </c>
      <c r="M144" s="54" t="str">
        <f t="shared" si="369"/>
        <v>x</v>
      </c>
      <c r="N144" s="54" t="str">
        <f t="shared" si="369"/>
        <v>x</v>
      </c>
      <c r="O144" s="54" t="str">
        <f t="shared" si="369"/>
        <v>x</v>
      </c>
      <c r="P144" s="54" t="str">
        <f t="shared" si="369"/>
        <v>x</v>
      </c>
      <c r="Q144" s="54" t="str">
        <f t="shared" si="369"/>
        <v>x</v>
      </c>
      <c r="R144" s="54" t="str">
        <f t="shared" si="369"/>
        <v>x</v>
      </c>
      <c r="S144" s="54" t="str">
        <f t="shared" si="369"/>
        <v>x</v>
      </c>
      <c r="T144" s="54" t="str">
        <f t="shared" si="369"/>
        <v>x</v>
      </c>
      <c r="U144" s="54" t="str">
        <f t="shared" si="369"/>
        <v>x</v>
      </c>
      <c r="V144" s="54" t="str">
        <f t="shared" si="369"/>
        <v>x</v>
      </c>
      <c r="W144" s="54" t="str">
        <f t="shared" si="369"/>
        <v>x</v>
      </c>
      <c r="X144" s="54" t="str">
        <f t="shared" si="369"/>
        <v>x</v>
      </c>
      <c r="Y144" s="54" t="str">
        <f t="shared" si="369"/>
        <v>x</v>
      </c>
      <c r="Z144" s="54" t="str">
        <f t="shared" si="369"/>
        <v>x</v>
      </c>
    </row>
    <row r="145" spans="4:26" customFormat="1" x14ac:dyDescent="0.15">
      <c r="D145" s="54" t="str">
        <f t="shared" ref="D145:Z145" si="370">IF(BatSplit(D71,RunsScored)&gt;=50,BatSplit(D71,RunsScored)&amp;IF(BatSplit(D71,NotOuts)=1,"*","")&amp;"|"&amp;$C71&amp;"|"&amp;D$2&amp;"|"&amp;TEXT(D$1,"dd-mmm"),"x")</f>
        <v>x</v>
      </c>
      <c r="E145" s="54" t="str">
        <f t="shared" si="370"/>
        <v>x</v>
      </c>
      <c r="F145" s="54" t="str">
        <f t="shared" si="370"/>
        <v>x</v>
      </c>
      <c r="G145" s="54" t="str">
        <f t="shared" si="370"/>
        <v>x</v>
      </c>
      <c r="H145" s="54" t="str">
        <f t="shared" si="370"/>
        <v>x</v>
      </c>
      <c r="I145" s="54" t="str">
        <f t="shared" si="370"/>
        <v>x</v>
      </c>
      <c r="J145" s="54" t="str">
        <f t="shared" si="370"/>
        <v>x</v>
      </c>
      <c r="K145" s="54" t="str">
        <f t="shared" si="370"/>
        <v>x</v>
      </c>
      <c r="L145" s="54" t="str">
        <f t="shared" si="370"/>
        <v>x</v>
      </c>
      <c r="M145" s="54" t="str">
        <f t="shared" si="370"/>
        <v>x</v>
      </c>
      <c r="N145" s="54" t="str">
        <f t="shared" si="370"/>
        <v>x</v>
      </c>
      <c r="O145" s="54" t="str">
        <f t="shared" si="370"/>
        <v>x</v>
      </c>
      <c r="P145" s="54" t="str">
        <f t="shared" si="370"/>
        <v>x</v>
      </c>
      <c r="Q145" s="54" t="str">
        <f t="shared" si="370"/>
        <v>x</v>
      </c>
      <c r="R145" s="54" t="str">
        <f t="shared" si="370"/>
        <v>x</v>
      </c>
      <c r="S145" s="54" t="str">
        <f t="shared" si="370"/>
        <v>x</v>
      </c>
      <c r="T145" s="54" t="str">
        <f t="shared" si="370"/>
        <v>x</v>
      </c>
      <c r="U145" s="54" t="str">
        <f t="shared" si="370"/>
        <v>x</v>
      </c>
      <c r="V145" s="54" t="str">
        <f t="shared" si="370"/>
        <v>x</v>
      </c>
      <c r="W145" s="54" t="str">
        <f t="shared" si="370"/>
        <v>x</v>
      </c>
      <c r="X145" s="54" t="str">
        <f t="shared" si="370"/>
        <v>x</v>
      </c>
      <c r="Y145" s="54" t="str">
        <f t="shared" si="370"/>
        <v>x</v>
      </c>
      <c r="Z145" s="54" t="str">
        <f t="shared" si="370"/>
        <v>x</v>
      </c>
    </row>
    <row r="146" spans="4:26" customFormat="1" x14ac:dyDescent="0.15">
      <c r="D146" s="54" t="str">
        <f t="shared" ref="D146:Z146" si="371">IF(BatSplit(D72,RunsScored)&gt;=50,BatSplit(D72,RunsScored)&amp;IF(BatSplit(D72,NotOuts)=1,"*","")&amp;"|"&amp;$C72&amp;"|"&amp;D$2&amp;"|"&amp;TEXT(D$1,"dd-mmm"),"x")</f>
        <v>x</v>
      </c>
      <c r="E146" s="54" t="str">
        <f t="shared" si="371"/>
        <v>x</v>
      </c>
      <c r="F146" s="54" t="str">
        <f t="shared" si="371"/>
        <v>x</v>
      </c>
      <c r="G146" s="54" t="str">
        <f t="shared" si="371"/>
        <v>x</v>
      </c>
      <c r="H146" s="54" t="str">
        <f t="shared" si="371"/>
        <v>x</v>
      </c>
      <c r="I146" s="54" t="str">
        <f t="shared" si="371"/>
        <v>x</v>
      </c>
      <c r="J146" s="54" t="str">
        <f t="shared" si="371"/>
        <v>x</v>
      </c>
      <c r="K146" s="54" t="str">
        <f t="shared" si="371"/>
        <v>x</v>
      </c>
      <c r="L146" s="54" t="str">
        <f t="shared" si="371"/>
        <v>x</v>
      </c>
      <c r="M146" s="54" t="str">
        <f t="shared" si="371"/>
        <v>x</v>
      </c>
      <c r="N146" s="54" t="str">
        <f t="shared" si="371"/>
        <v>x</v>
      </c>
      <c r="O146" s="54" t="str">
        <f t="shared" si="371"/>
        <v>x</v>
      </c>
      <c r="P146" s="54" t="str">
        <f t="shared" si="371"/>
        <v>x</v>
      </c>
      <c r="Q146" s="54" t="str">
        <f t="shared" si="371"/>
        <v>x</v>
      </c>
      <c r="R146" s="54" t="str">
        <f t="shared" si="371"/>
        <v>x</v>
      </c>
      <c r="S146" s="54" t="str">
        <f t="shared" si="371"/>
        <v>x</v>
      </c>
      <c r="T146" s="54" t="str">
        <f t="shared" si="371"/>
        <v>x</v>
      </c>
      <c r="U146" s="54" t="str">
        <f t="shared" si="371"/>
        <v>x</v>
      </c>
      <c r="V146" s="54" t="str">
        <f t="shared" si="371"/>
        <v>x</v>
      </c>
      <c r="W146" s="54" t="str">
        <f t="shared" si="371"/>
        <v>x</v>
      </c>
      <c r="X146" s="54" t="str">
        <f t="shared" si="371"/>
        <v>x</v>
      </c>
      <c r="Y146" s="54" t="str">
        <f t="shared" si="371"/>
        <v>x</v>
      </c>
      <c r="Z146" s="54" t="str">
        <f t="shared" si="371"/>
        <v>x</v>
      </c>
    </row>
  </sheetData>
  <sortState xmlns:xlrd2="http://schemas.microsoft.com/office/spreadsheetml/2017/richdata2" ref="B5:L55">
    <sortCondition ref="C5:C55"/>
  </sortState>
  <mergeCells count="6">
    <mergeCell ref="CB4:CC4"/>
    <mergeCell ref="BX4:BY4"/>
    <mergeCell ref="BV4:BW4"/>
    <mergeCell ref="BT4:BU4"/>
    <mergeCell ref="BR4:BS4"/>
    <mergeCell ref="BZ4:CA4"/>
  </mergeCells>
  <phoneticPr fontId="0" type="noConversion"/>
  <conditionalFormatting sqref="AK82:AK85 AI86:AI91">
    <cfRule type="cellIs" dxfId="13" priority="6" stopIfTrue="1" operator="greaterThanOrEqual">
      <formula>75</formula>
    </cfRule>
  </conditionalFormatting>
  <conditionalFormatting sqref="A5:XFD70">
    <cfRule type="expression" dxfId="12" priority="5">
      <formula>MOD(ROW(),2)=0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W101"/>
  <sheetViews>
    <sheetView zoomScale="85" zoomScaleNormal="85" workbookViewId="0">
      <pane xSplit="2" ySplit="4" topLeftCell="C26" activePane="bottomRight" state="frozen"/>
      <selection pane="topRight" activeCell="C1" sqref="C1"/>
      <selection pane="bottomLeft" activeCell="A5" sqref="A5"/>
      <selection pane="bottomRight" activeCell="P36" sqref="P36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2" width="11.42578125" style="2" customWidth="1"/>
    <col min="33" max="34" width="6" style="2" bestFit="1" customWidth="1"/>
    <col min="35" max="35" width="9.140625" style="2"/>
    <col min="36" max="36" width="6" style="42" bestFit="1" customWidth="1"/>
    <col min="37" max="37" width="5" style="42" bestFit="1" customWidth="1"/>
    <col min="38" max="38" width="5.85546875" style="145" bestFit="1" customWidth="1"/>
    <col min="39" max="39" width="7" style="145" bestFit="1" customWidth="1"/>
    <col min="40" max="41" width="5" style="145" bestFit="1" customWidth="1"/>
    <col min="42" max="42" width="7.28515625" style="43" bestFit="1" customWidth="1"/>
    <col min="43" max="43" width="7" style="42" customWidth="1"/>
    <col min="44" max="44" width="5.5703125" style="42" bestFit="1" customWidth="1"/>
    <col min="45" max="45" width="4.7109375" style="37" bestFit="1" customWidth="1"/>
    <col min="46" max="46" width="8.5703125" style="2" bestFit="1" customWidth="1"/>
    <col min="47" max="47" width="5.140625" style="2" bestFit="1" customWidth="1"/>
    <col min="48" max="16384" width="9.140625" style="2"/>
  </cols>
  <sheetData>
    <row r="1" spans="2:49" s="3" customFormat="1" ht="51" x14ac:dyDescent="0.15">
      <c r="B1" s="3" t="str">
        <f t="array" ref="B1:AF4">TRANSPOSE(Matches!B4:E32)</f>
        <v>Date</v>
      </c>
      <c r="C1" s="4">
        <v>45053</v>
      </c>
      <c r="D1" s="4">
        <v>45060</v>
      </c>
      <c r="E1" s="4">
        <v>45067</v>
      </c>
      <c r="F1" s="4">
        <v>45073</v>
      </c>
      <c r="G1" s="4">
        <v>45074</v>
      </c>
      <c r="H1" s="4">
        <v>45075</v>
      </c>
      <c r="I1" s="4">
        <v>45081</v>
      </c>
      <c r="J1" s="4">
        <v>45088</v>
      </c>
      <c r="K1" s="4">
        <v>45095</v>
      </c>
      <c r="L1" s="4">
        <v>45116</v>
      </c>
      <c r="M1" s="4">
        <v>45137</v>
      </c>
      <c r="N1" s="4">
        <v>45151</v>
      </c>
      <c r="O1" s="4">
        <v>45158</v>
      </c>
      <c r="P1" s="4">
        <v>45165</v>
      </c>
      <c r="Q1" s="4">
        <v>45179</v>
      </c>
      <c r="R1" s="4">
        <v>45186</v>
      </c>
      <c r="S1" s="4">
        <v>45193</v>
      </c>
      <c r="T1" s="4">
        <v>0</v>
      </c>
      <c r="U1" s="4">
        <v>0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 t="e">
        <v>#N/A</v>
      </c>
      <c r="AF1" s="4" t="e">
        <v>#N/A</v>
      </c>
      <c r="AG1" s="4"/>
      <c r="AH1" s="4"/>
      <c r="AJ1" s="39"/>
      <c r="AK1" s="39"/>
      <c r="AL1" s="144"/>
      <c r="AM1" s="144"/>
      <c r="AN1" s="144"/>
      <c r="AO1" s="144"/>
      <c r="AP1" s="40"/>
      <c r="AQ1" s="41"/>
      <c r="AR1" s="41"/>
      <c r="AS1" s="36"/>
    </row>
    <row r="2" spans="2:49" ht="108.75" x14ac:dyDescent="0.15">
      <c r="B2" s="2" t="str">
        <v>Opp</v>
      </c>
      <c r="C2" s="1" t="str">
        <v>Riverside</v>
      </c>
      <c r="D2" s="1" t="str">
        <v>Beddington</v>
      </c>
      <c r="E2" s="1" t="str">
        <v>YRG Eagles</v>
      </c>
      <c r="F2" s="1" t="str">
        <v>Fonthill Park</v>
      </c>
      <c r="G2" s="1" t="str">
        <v>Woodgreen</v>
      </c>
      <c r="H2" s="1" t="str">
        <v>Steeple Langford</v>
      </c>
      <c r="I2" s="1" t="str">
        <v>YRG Eagles</v>
      </c>
      <c r="J2" s="1" t="str">
        <v>Croydon Royals</v>
      </c>
      <c r="K2" s="1" t="str">
        <v>Richmond Leg Breakers</v>
      </c>
      <c r="L2" s="1" t="str">
        <v>Morden</v>
      </c>
      <c r="M2" s="1" t="str">
        <v>Riverside</v>
      </c>
      <c r="N2" s="1" t="str">
        <v>Norwood Exiles</v>
      </c>
      <c r="O2" s="1" t="str">
        <v>Catford Cyphers</v>
      </c>
      <c r="P2" s="1" t="str">
        <v>Mitcham</v>
      </c>
      <c r="Q2" s="1" t="str">
        <v>Croydon CC</v>
      </c>
      <c r="R2" s="1" t="str">
        <v>Verdayne green</v>
      </c>
      <c r="S2" s="1" t="str">
        <v>Sanderstead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 t="e">
        <v>#N/A</v>
      </c>
      <c r="AF2" s="1" t="e">
        <v>#N/A</v>
      </c>
      <c r="AG2" s="1"/>
      <c r="AH2" s="1"/>
    </row>
    <row r="3" spans="2:49" ht="27.75" x14ac:dyDescent="0.15">
      <c r="B3" s="2" t="str">
        <v>Venue</v>
      </c>
      <c r="C3" s="1" t="str">
        <v>H</v>
      </c>
      <c r="D3" s="1" t="str">
        <v>A</v>
      </c>
      <c r="E3" s="1" t="str">
        <v>H</v>
      </c>
      <c r="F3" s="1" t="str">
        <v>A</v>
      </c>
      <c r="G3" s="1" t="str">
        <v>A</v>
      </c>
      <c r="H3" s="1" t="str">
        <v>A</v>
      </c>
      <c r="I3" s="1" t="str">
        <v>A</v>
      </c>
      <c r="J3" s="1" t="str">
        <v>A</v>
      </c>
      <c r="K3" s="1" t="str">
        <v>H</v>
      </c>
      <c r="L3" s="1" t="str">
        <v>A</v>
      </c>
      <c r="M3" s="1" t="str">
        <v>A</v>
      </c>
      <c r="N3" s="1" t="str">
        <v>A</v>
      </c>
      <c r="O3" s="1" t="str">
        <v>A</v>
      </c>
      <c r="P3" s="1" t="str">
        <v>A</v>
      </c>
      <c r="Q3" s="1" t="str">
        <v>A</v>
      </c>
      <c r="R3" s="1" t="str">
        <v>H</v>
      </c>
      <c r="S3" s="1" t="str">
        <v>A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 t="e">
        <v>#N/A</v>
      </c>
      <c r="AF3" s="1" t="e">
        <v>#N/A</v>
      </c>
      <c r="AG3" s="1"/>
      <c r="AH3" s="1"/>
    </row>
    <row r="4" spans="2:49" ht="27.75" x14ac:dyDescent="0.15">
      <c r="B4" s="2" t="str">
        <v>Result</v>
      </c>
      <c r="C4" s="1" t="str">
        <v>L</v>
      </c>
      <c r="D4" s="1" t="str">
        <v>L</v>
      </c>
      <c r="E4" s="1" t="str">
        <v>W</v>
      </c>
      <c r="F4" s="1" t="str">
        <v>W</v>
      </c>
      <c r="G4" s="1" t="str">
        <v>W</v>
      </c>
      <c r="H4" s="1" t="str">
        <v>W</v>
      </c>
      <c r="I4" s="1" t="str">
        <v>W</v>
      </c>
      <c r="J4" s="1" t="str">
        <v>L</v>
      </c>
      <c r="K4" s="1" t="str">
        <v>ND</v>
      </c>
      <c r="L4" s="1" t="str">
        <v>L</v>
      </c>
      <c r="M4" s="1" t="str">
        <v>ND</v>
      </c>
      <c r="N4" s="1" t="str">
        <v>L</v>
      </c>
      <c r="O4" s="1" t="str">
        <v>L</v>
      </c>
      <c r="P4" s="1" t="str">
        <v>W</v>
      </c>
      <c r="Q4" s="1" t="str">
        <v>L</v>
      </c>
      <c r="R4" s="1" t="str">
        <v>W</v>
      </c>
      <c r="S4" s="1" t="str">
        <v>L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 t="e">
        <v>#N/A</v>
      </c>
      <c r="AF4" s="1" t="e">
        <v>#N/A</v>
      </c>
      <c r="AG4" s="1"/>
      <c r="AH4" s="1"/>
      <c r="AJ4" s="38" t="s">
        <v>7</v>
      </c>
      <c r="AK4" s="38" t="s">
        <v>29</v>
      </c>
      <c r="AL4" s="146" t="s">
        <v>30</v>
      </c>
      <c r="AM4" s="146" t="s">
        <v>31</v>
      </c>
      <c r="AN4" s="146" t="s">
        <v>9</v>
      </c>
      <c r="AO4" s="146" t="s">
        <v>32</v>
      </c>
      <c r="AP4" s="35" t="s">
        <v>33</v>
      </c>
      <c r="AQ4" s="38" t="s">
        <v>34</v>
      </c>
      <c r="AR4" s="38" t="s">
        <v>35</v>
      </c>
      <c r="AS4" s="37" t="s">
        <v>90</v>
      </c>
      <c r="AT4" s="60" t="s">
        <v>133</v>
      </c>
      <c r="AU4" s="2" t="s">
        <v>128</v>
      </c>
      <c r="AV4" s="2" t="s">
        <v>185</v>
      </c>
      <c r="AW4" s="2" t="s">
        <v>219</v>
      </c>
    </row>
    <row r="5" spans="2:49" x14ac:dyDescent="0.15">
      <c r="B5" s="2" t="s">
        <v>262</v>
      </c>
      <c r="J5" s="2" t="s">
        <v>579</v>
      </c>
      <c r="K5" s="2" t="s">
        <v>594</v>
      </c>
      <c r="AJ5" s="42">
        <f t="shared" ref="AJ5" si="0">BowlSplit(C5:AH5,InnsBowledIn)</f>
        <v>2</v>
      </c>
      <c r="AK5" s="42">
        <f t="shared" ref="AK5" si="1">BowlSplit(C5:AH5,BallsBowled)</f>
        <v>52</v>
      </c>
      <c r="AL5" s="147">
        <f t="shared" ref="AL5" si="2">BowlSplit(C5:AH5,OversBowled)</f>
        <v>8.4</v>
      </c>
      <c r="AM5" s="145">
        <f t="shared" ref="AM5" si="3">BowlSplit(C5:AH5,Maidens)</f>
        <v>2</v>
      </c>
      <c r="AN5" s="145">
        <f t="shared" ref="AN5" si="4">BowlSplit(C5:AH5,RunsConceded)</f>
        <v>39</v>
      </c>
      <c r="AO5" s="145">
        <f t="shared" ref="AO5" si="5">BowlSplit(C5:AH5,WicketsTaken)</f>
        <v>3</v>
      </c>
      <c r="AP5" s="44">
        <f t="shared" ref="AP5" si="6">IF(AO5&gt;0,ROUND(AN5/AO5,2),"")</f>
        <v>13</v>
      </c>
      <c r="AQ5" s="45">
        <f t="shared" ref="AQ5" si="7">IF(AO5&gt;0,AK5/AO5,"")</f>
        <v>17.333333333333332</v>
      </c>
      <c r="AR5" s="45">
        <f t="shared" ref="AR5" si="8">IF(AK5&gt;0,6*AN5/AK5,"")</f>
        <v>4.5</v>
      </c>
      <c r="AS5" s="37" t="str">
        <f t="shared" ref="AS5" si="9">BowlSplit(C5:AH5,BestBowling)</f>
        <v>3-29</v>
      </c>
      <c r="AT5" s="46">
        <f t="shared" ref="AT5" si="10">IF(AO5&gt;0,AP5,IF(AK5&gt;0,AK5+1000,99999))+ROW(AL5)/10000</f>
        <v>13.000500000000001</v>
      </c>
      <c r="AU5" s="2">
        <f>RANK(AT5,$AT$5:$AT$54,1)</f>
        <v>7</v>
      </c>
      <c r="AV5" s="86" t="str">
        <f t="shared" ref="AV5" si="11">IF(AK5&gt;=120,AM5/AK5*6,"")</f>
        <v/>
      </c>
      <c r="AW5" s="2">
        <f t="shared" ref="AW5" si="12">BowlSplit(C5:AH5,FiveFors)</f>
        <v>0</v>
      </c>
    </row>
    <row r="6" spans="2:49" x14ac:dyDescent="0.15">
      <c r="B6" s="2" t="s">
        <v>234</v>
      </c>
      <c r="D6" s="2" t="s">
        <v>474</v>
      </c>
      <c r="E6" s="2" t="s">
        <v>496</v>
      </c>
      <c r="G6" s="2" t="s">
        <v>533</v>
      </c>
      <c r="H6" s="2" t="s">
        <v>550</v>
      </c>
      <c r="I6" s="2" t="s">
        <v>566</v>
      </c>
      <c r="J6" s="2" t="s">
        <v>580</v>
      </c>
      <c r="K6" s="2" t="s">
        <v>593</v>
      </c>
      <c r="AJ6" s="42">
        <f t="shared" ref="AJ6:AJ54" si="13">BowlSplit(C6:AH6,InnsBowledIn)</f>
        <v>7</v>
      </c>
      <c r="AK6" s="42">
        <f t="shared" ref="AK6:AK54" si="14">BowlSplit(C6:AH6,BallsBowled)</f>
        <v>238</v>
      </c>
      <c r="AL6" s="147">
        <f t="shared" ref="AL6:AL54" si="15">BowlSplit(C6:AH6,OversBowled)</f>
        <v>39.4</v>
      </c>
      <c r="AM6" s="145">
        <f t="shared" ref="AM6:AM54" si="16">BowlSplit(C6:AH6,Maidens)</f>
        <v>4</v>
      </c>
      <c r="AN6" s="145">
        <f t="shared" ref="AN6:AN54" si="17">BowlSplit(C6:AH6,RunsConceded)</f>
        <v>132</v>
      </c>
      <c r="AO6" s="145">
        <f t="shared" ref="AO6:AO54" si="18">BowlSplit(C6:AH6,WicketsTaken)</f>
        <v>8</v>
      </c>
      <c r="AP6" s="44">
        <f t="shared" ref="AP6:AP54" si="19">IF(AO6&gt;0,ROUND(AN6/AO6,2),"")</f>
        <v>16.5</v>
      </c>
      <c r="AQ6" s="45">
        <f t="shared" ref="AQ6:AQ54" si="20">IF(AO6&gt;0,AK6/AO6,"")</f>
        <v>29.75</v>
      </c>
      <c r="AR6" s="45">
        <f t="shared" ref="AR6:AR54" si="21">IF(AK6&gt;0,6*AN6/AK6,"")</f>
        <v>3.327731092436975</v>
      </c>
      <c r="AS6" s="37" t="str">
        <f t="shared" ref="AS6:AS54" si="22">BowlSplit(C6:AH6,BestBowling)</f>
        <v>3-15</v>
      </c>
      <c r="AT6" s="46">
        <f t="shared" ref="AT6:AT54" si="23">IF(AO6&gt;0,AP6,IF(AK6&gt;0,AK6+1000,99999))+ROW(AL6)/10000</f>
        <v>16.500599999999999</v>
      </c>
      <c r="AU6" s="2">
        <f>RANK(AT6,$AT$5:$AT$54,1)</f>
        <v>10</v>
      </c>
      <c r="AV6" s="86">
        <f t="shared" ref="AV6:AV54" si="24">IF(AK6&gt;=120,AM6/AK6*6,"")</f>
        <v>0.10084033613445378</v>
      </c>
      <c r="AW6" s="2">
        <f t="shared" ref="AW6:AW54" si="25">BowlSplit(C6:AH6,FiveFors)</f>
        <v>0</v>
      </c>
    </row>
    <row r="7" spans="2:49" x14ac:dyDescent="0.15">
      <c r="B7" s="2" t="s">
        <v>547</v>
      </c>
      <c r="H7" s="2" t="s">
        <v>552</v>
      </c>
      <c r="AJ7" s="42">
        <f t="shared" ref="AJ7" si="26">BowlSplit(C7:AH7,InnsBowledIn)</f>
        <v>1</v>
      </c>
      <c r="AK7" s="42">
        <f t="shared" ref="AK7" si="27">BowlSplit(C7:AH7,BallsBowled)</f>
        <v>24</v>
      </c>
      <c r="AL7" s="147">
        <f t="shared" ref="AL7" si="28">BowlSplit(C7:AH7,OversBowled)</f>
        <v>4</v>
      </c>
      <c r="AM7" s="145">
        <f t="shared" ref="AM7" si="29">BowlSplit(C7:AH7,Maidens)</f>
        <v>0</v>
      </c>
      <c r="AN7" s="145">
        <f t="shared" ref="AN7" si="30">BowlSplit(C7:AH7,RunsConceded)</f>
        <v>25</v>
      </c>
      <c r="AO7" s="145">
        <f t="shared" ref="AO7" si="31">BowlSplit(C7:AH7,WicketsTaken)</f>
        <v>2</v>
      </c>
      <c r="AP7" s="44">
        <f t="shared" ref="AP7" si="32">IF(AO7&gt;0,ROUND(AN7/AO7,2),"")</f>
        <v>12.5</v>
      </c>
      <c r="AQ7" s="45">
        <f t="shared" ref="AQ7" si="33">IF(AO7&gt;0,AK7/AO7,"")</f>
        <v>12</v>
      </c>
      <c r="AR7" s="45">
        <f t="shared" ref="AR7" si="34">IF(AK7&gt;0,6*AN7/AK7,"")</f>
        <v>6.25</v>
      </c>
      <c r="AS7" s="37" t="str">
        <f t="shared" ref="AS7" si="35">BowlSplit(C7:AH7,BestBowling)</f>
        <v>2-25</v>
      </c>
      <c r="AT7" s="46">
        <f t="shared" ref="AT7" si="36">IF(AO7&gt;0,AP7,IF(AK7&gt;0,AK7+1000,99999))+ROW(AL7)/10000</f>
        <v>12.5007</v>
      </c>
      <c r="AU7" s="2">
        <f>RANK(AT7,$AT$5:$AT$54,1)</f>
        <v>6</v>
      </c>
      <c r="AV7" s="86" t="str">
        <f t="shared" ref="AV7" si="37">IF(AK7&gt;=120,AM7/AK7*6,"")</f>
        <v/>
      </c>
      <c r="AW7" s="2">
        <f t="shared" ref="AW7" si="38">BowlSplit(C7:AH7,FiveFors)</f>
        <v>0</v>
      </c>
    </row>
    <row r="8" spans="2:49" x14ac:dyDescent="0.15">
      <c r="B8" s="2" t="s">
        <v>223</v>
      </c>
      <c r="AJ8" s="42">
        <f t="shared" si="13"/>
        <v>0</v>
      </c>
      <c r="AK8" s="42">
        <f t="shared" si="14"/>
        <v>0</v>
      </c>
      <c r="AL8" s="147">
        <f t="shared" si="15"/>
        <v>0</v>
      </c>
      <c r="AM8" s="145">
        <f t="shared" si="16"/>
        <v>0</v>
      </c>
      <c r="AN8" s="145">
        <f t="shared" si="17"/>
        <v>0</v>
      </c>
      <c r="AO8" s="145">
        <f t="shared" si="18"/>
        <v>0</v>
      </c>
      <c r="AP8" s="44" t="str">
        <f t="shared" si="19"/>
        <v/>
      </c>
      <c r="AQ8" s="45" t="str">
        <f t="shared" si="20"/>
        <v/>
      </c>
      <c r="AR8" s="45" t="str">
        <f t="shared" si="21"/>
        <v/>
      </c>
      <c r="AS8" s="37" t="str">
        <f t="shared" si="22"/>
        <v/>
      </c>
      <c r="AT8" s="46">
        <f t="shared" si="23"/>
        <v>99999.000799999994</v>
      </c>
      <c r="AU8" s="2">
        <f>RANK(AT8,$AT$5:$AT$54,1)</f>
        <v>20</v>
      </c>
      <c r="AV8" s="86" t="str">
        <f t="shared" si="24"/>
        <v/>
      </c>
      <c r="AW8" s="2">
        <f t="shared" si="25"/>
        <v>0</v>
      </c>
    </row>
    <row r="9" spans="2:49" x14ac:dyDescent="0.15">
      <c r="B9" s="2" t="s">
        <v>245</v>
      </c>
      <c r="AJ9" s="42">
        <f t="shared" si="13"/>
        <v>0</v>
      </c>
      <c r="AK9" s="42">
        <f t="shared" si="14"/>
        <v>0</v>
      </c>
      <c r="AL9" s="147">
        <f t="shared" si="15"/>
        <v>0</v>
      </c>
      <c r="AM9" s="145">
        <f t="shared" si="16"/>
        <v>0</v>
      </c>
      <c r="AN9" s="145">
        <f t="shared" si="17"/>
        <v>0</v>
      </c>
      <c r="AO9" s="145">
        <f t="shared" si="18"/>
        <v>0</v>
      </c>
      <c r="AP9" s="44" t="str">
        <f t="shared" si="19"/>
        <v/>
      </c>
      <c r="AQ9" s="45" t="str">
        <f t="shared" si="20"/>
        <v/>
      </c>
      <c r="AR9" s="45" t="str">
        <f t="shared" si="21"/>
        <v/>
      </c>
      <c r="AS9" s="37" t="str">
        <f t="shared" si="22"/>
        <v/>
      </c>
      <c r="AT9" s="46">
        <f t="shared" si="23"/>
        <v>99999.000899999999</v>
      </c>
      <c r="AU9" s="2">
        <f>RANK(AT9,$AT$5:$AT$54,1)</f>
        <v>21</v>
      </c>
      <c r="AV9" s="86" t="str">
        <f t="shared" si="24"/>
        <v/>
      </c>
      <c r="AW9" s="2">
        <f t="shared" si="25"/>
        <v>0</v>
      </c>
    </row>
    <row r="10" spans="2:49" x14ac:dyDescent="0.15">
      <c r="B10" s="2" t="s">
        <v>204</v>
      </c>
      <c r="D10" s="97"/>
      <c r="M10" s="46"/>
      <c r="AJ10" s="42">
        <f t="shared" si="13"/>
        <v>0</v>
      </c>
      <c r="AK10" s="42">
        <f t="shared" si="14"/>
        <v>0</v>
      </c>
      <c r="AL10" s="147">
        <f t="shared" si="15"/>
        <v>0</v>
      </c>
      <c r="AM10" s="145">
        <f t="shared" si="16"/>
        <v>0</v>
      </c>
      <c r="AN10" s="145">
        <f t="shared" si="17"/>
        <v>0</v>
      </c>
      <c r="AO10" s="145">
        <f t="shared" si="18"/>
        <v>0</v>
      </c>
      <c r="AP10" s="44" t="str">
        <f t="shared" si="19"/>
        <v/>
      </c>
      <c r="AQ10" s="45" t="str">
        <f t="shared" si="20"/>
        <v/>
      </c>
      <c r="AR10" s="45" t="str">
        <f t="shared" si="21"/>
        <v/>
      </c>
      <c r="AS10" s="37" t="str">
        <f t="shared" si="22"/>
        <v/>
      </c>
      <c r="AT10" s="46">
        <f t="shared" si="23"/>
        <v>99999.001000000004</v>
      </c>
      <c r="AU10" s="2">
        <f>RANK(AT10,$AT$5:$AT$54,1)</f>
        <v>22</v>
      </c>
      <c r="AV10" s="86" t="str">
        <f t="shared" si="24"/>
        <v/>
      </c>
      <c r="AW10" s="2">
        <f t="shared" si="25"/>
        <v>0</v>
      </c>
    </row>
    <row r="11" spans="2:49" x14ac:dyDescent="0.15">
      <c r="B11" s="2" t="s">
        <v>298</v>
      </c>
      <c r="D11" s="97"/>
      <c r="M11" s="46"/>
      <c r="AJ11" s="42">
        <f t="shared" si="13"/>
        <v>0</v>
      </c>
      <c r="AK11" s="42">
        <f t="shared" si="14"/>
        <v>0</v>
      </c>
      <c r="AL11" s="147">
        <f t="shared" si="15"/>
        <v>0</v>
      </c>
      <c r="AM11" s="145">
        <f t="shared" si="16"/>
        <v>0</v>
      </c>
      <c r="AN11" s="145">
        <f t="shared" si="17"/>
        <v>0</v>
      </c>
      <c r="AO11" s="145">
        <f t="shared" si="18"/>
        <v>0</v>
      </c>
      <c r="AP11" s="44" t="str">
        <f t="shared" si="19"/>
        <v/>
      </c>
      <c r="AQ11" s="45" t="str">
        <f t="shared" si="20"/>
        <v/>
      </c>
      <c r="AR11" s="45" t="str">
        <f t="shared" si="21"/>
        <v/>
      </c>
      <c r="AS11" s="37" t="str">
        <f t="shared" si="22"/>
        <v/>
      </c>
      <c r="AT11" s="46">
        <f t="shared" si="23"/>
        <v>99999.001099999994</v>
      </c>
      <c r="AU11" s="2">
        <f>RANK(AT11,$AT$5:$AT$54,1)</f>
        <v>23</v>
      </c>
      <c r="AV11" s="86" t="str">
        <f t="shared" si="24"/>
        <v/>
      </c>
      <c r="AW11" s="2">
        <f t="shared" si="25"/>
        <v>0</v>
      </c>
    </row>
    <row r="12" spans="2:49" x14ac:dyDescent="0.15">
      <c r="B12" s="2" t="s">
        <v>316</v>
      </c>
      <c r="C12" s="2" t="s">
        <v>466</v>
      </c>
      <c r="D12" s="97" t="s">
        <v>473</v>
      </c>
      <c r="F12" s="2" t="s">
        <v>514</v>
      </c>
      <c r="I12" s="2" t="s">
        <v>568</v>
      </c>
      <c r="M12" s="46"/>
      <c r="AJ12" s="42">
        <f t="shared" si="13"/>
        <v>4</v>
      </c>
      <c r="AK12" s="42">
        <f t="shared" si="14"/>
        <v>96</v>
      </c>
      <c r="AL12" s="147">
        <f t="shared" si="15"/>
        <v>16</v>
      </c>
      <c r="AM12" s="145">
        <f t="shared" si="16"/>
        <v>0</v>
      </c>
      <c r="AN12" s="145">
        <f t="shared" si="17"/>
        <v>65</v>
      </c>
      <c r="AO12" s="145">
        <f t="shared" si="18"/>
        <v>0</v>
      </c>
      <c r="AP12" s="44" t="str">
        <f t="shared" si="19"/>
        <v/>
      </c>
      <c r="AQ12" s="45" t="str">
        <f t="shared" si="20"/>
        <v/>
      </c>
      <c r="AR12" s="45">
        <f t="shared" si="21"/>
        <v>4.0625</v>
      </c>
      <c r="AS12" s="37" t="str">
        <f t="shared" si="22"/>
        <v>0-3</v>
      </c>
      <c r="AT12" s="46">
        <f t="shared" si="23"/>
        <v>1096.0011999999999</v>
      </c>
      <c r="AU12" s="2">
        <f>RANK(AT12,$AT$5:$AT$54,1)</f>
        <v>19</v>
      </c>
      <c r="AV12" s="86" t="str">
        <f t="shared" si="24"/>
        <v/>
      </c>
      <c r="AW12" s="2">
        <f t="shared" si="25"/>
        <v>0</v>
      </c>
    </row>
    <row r="13" spans="2:49" x14ac:dyDescent="0.15">
      <c r="B13" s="2" t="s">
        <v>272</v>
      </c>
      <c r="F13" s="2" t="s">
        <v>517</v>
      </c>
      <c r="H13" s="2" t="s">
        <v>548</v>
      </c>
      <c r="M13" s="46"/>
      <c r="AJ13" s="42">
        <f t="shared" si="13"/>
        <v>2</v>
      </c>
      <c r="AK13" s="42">
        <f t="shared" si="14"/>
        <v>53</v>
      </c>
      <c r="AL13" s="147">
        <f t="shared" si="15"/>
        <v>8.5</v>
      </c>
      <c r="AM13" s="145">
        <f t="shared" si="16"/>
        <v>2</v>
      </c>
      <c r="AN13" s="145">
        <f t="shared" si="17"/>
        <v>27</v>
      </c>
      <c r="AO13" s="145">
        <f t="shared" si="18"/>
        <v>1</v>
      </c>
      <c r="AP13" s="44">
        <f t="shared" si="19"/>
        <v>27</v>
      </c>
      <c r="AQ13" s="45">
        <f t="shared" si="20"/>
        <v>53</v>
      </c>
      <c r="AR13" s="45">
        <f t="shared" si="21"/>
        <v>3.0566037735849059</v>
      </c>
      <c r="AS13" s="37" t="str">
        <f t="shared" si="22"/>
        <v>1-3</v>
      </c>
      <c r="AT13" s="46">
        <f t="shared" si="23"/>
        <v>27.001300000000001</v>
      </c>
      <c r="AU13" s="2">
        <f>RANK(AT13,$AT$5:$AT$54,1)</f>
        <v>15</v>
      </c>
      <c r="AV13" s="86" t="str">
        <f t="shared" si="24"/>
        <v/>
      </c>
      <c r="AW13" s="2">
        <f t="shared" si="25"/>
        <v>0</v>
      </c>
    </row>
    <row r="14" spans="2:49" x14ac:dyDescent="0.15">
      <c r="B14" s="2" t="s">
        <v>231</v>
      </c>
      <c r="M14" s="46"/>
      <c r="AJ14" s="42">
        <f t="shared" si="13"/>
        <v>0</v>
      </c>
      <c r="AK14" s="42">
        <f t="shared" si="14"/>
        <v>0</v>
      </c>
      <c r="AL14" s="147">
        <f t="shared" si="15"/>
        <v>0</v>
      </c>
      <c r="AM14" s="145">
        <f t="shared" si="16"/>
        <v>0</v>
      </c>
      <c r="AN14" s="145">
        <f t="shared" si="17"/>
        <v>0</v>
      </c>
      <c r="AO14" s="145">
        <f t="shared" si="18"/>
        <v>0</v>
      </c>
      <c r="AP14" s="44" t="str">
        <f t="shared" si="19"/>
        <v/>
      </c>
      <c r="AQ14" s="45" t="str">
        <f t="shared" si="20"/>
        <v/>
      </c>
      <c r="AR14" s="45" t="str">
        <f t="shared" si="21"/>
        <v/>
      </c>
      <c r="AS14" s="37" t="str">
        <f t="shared" si="22"/>
        <v/>
      </c>
      <c r="AT14" s="46">
        <f t="shared" si="23"/>
        <v>99999.001399999994</v>
      </c>
      <c r="AU14" s="2">
        <f>RANK(AT14,$AT$5:$AT$54,1)</f>
        <v>24</v>
      </c>
      <c r="AV14" s="86" t="str">
        <f t="shared" si="24"/>
        <v/>
      </c>
      <c r="AW14" s="2">
        <f t="shared" si="25"/>
        <v>0</v>
      </c>
    </row>
    <row r="15" spans="2:49" x14ac:dyDescent="0.15">
      <c r="B15" s="2" t="s">
        <v>324</v>
      </c>
      <c r="M15" s="46"/>
      <c r="AJ15" s="42">
        <f t="shared" si="13"/>
        <v>0</v>
      </c>
      <c r="AK15" s="42">
        <f t="shared" si="14"/>
        <v>0</v>
      </c>
      <c r="AL15" s="147">
        <f t="shared" si="15"/>
        <v>0</v>
      </c>
      <c r="AM15" s="145">
        <f t="shared" si="16"/>
        <v>0</v>
      </c>
      <c r="AN15" s="145">
        <f t="shared" si="17"/>
        <v>0</v>
      </c>
      <c r="AO15" s="145">
        <f t="shared" si="18"/>
        <v>0</v>
      </c>
      <c r="AP15" s="44" t="str">
        <f t="shared" si="19"/>
        <v/>
      </c>
      <c r="AQ15" s="45" t="str">
        <f t="shared" si="20"/>
        <v/>
      </c>
      <c r="AR15" s="45" t="str">
        <f t="shared" si="21"/>
        <v/>
      </c>
      <c r="AS15" s="37" t="str">
        <f t="shared" si="22"/>
        <v/>
      </c>
      <c r="AT15" s="46">
        <f t="shared" si="23"/>
        <v>99999.001499999998</v>
      </c>
      <c r="AU15" s="2">
        <f>RANK(AT15,$AT$5:$AT$54,1)</f>
        <v>25</v>
      </c>
      <c r="AV15" s="86" t="str">
        <f t="shared" si="24"/>
        <v/>
      </c>
      <c r="AW15" s="2">
        <f t="shared" si="25"/>
        <v>0</v>
      </c>
    </row>
    <row r="16" spans="2:49" x14ac:dyDescent="0.15">
      <c r="B16" s="2" t="s">
        <v>392</v>
      </c>
      <c r="M16" s="46"/>
      <c r="AJ16" s="42">
        <f t="shared" si="13"/>
        <v>0</v>
      </c>
      <c r="AK16" s="42">
        <f t="shared" si="14"/>
        <v>0</v>
      </c>
      <c r="AL16" s="147">
        <f t="shared" si="15"/>
        <v>0</v>
      </c>
      <c r="AM16" s="145">
        <f t="shared" si="16"/>
        <v>0</v>
      </c>
      <c r="AN16" s="145">
        <f t="shared" si="17"/>
        <v>0</v>
      </c>
      <c r="AO16" s="145">
        <f t="shared" si="18"/>
        <v>0</v>
      </c>
      <c r="AP16" s="44" t="str">
        <f t="shared" si="19"/>
        <v/>
      </c>
      <c r="AQ16" s="45" t="str">
        <f t="shared" si="20"/>
        <v/>
      </c>
      <c r="AR16" s="45" t="str">
        <f t="shared" si="21"/>
        <v/>
      </c>
      <c r="AS16" s="37" t="str">
        <f t="shared" si="22"/>
        <v/>
      </c>
      <c r="AT16" s="46">
        <f t="shared" si="23"/>
        <v>99999.001600000003</v>
      </c>
      <c r="AU16" s="2">
        <f>RANK(AT16,$AT$5:$AT$54,1)</f>
        <v>26</v>
      </c>
      <c r="AV16" s="86" t="str">
        <f t="shared" si="24"/>
        <v/>
      </c>
      <c r="AW16" s="2">
        <f t="shared" si="25"/>
        <v>0</v>
      </c>
    </row>
    <row r="17" spans="2:49" x14ac:dyDescent="0.15">
      <c r="B17" s="2" t="s">
        <v>300</v>
      </c>
      <c r="M17" s="46"/>
      <c r="AJ17" s="42">
        <f t="shared" si="13"/>
        <v>0</v>
      </c>
      <c r="AK17" s="42">
        <f t="shared" si="14"/>
        <v>0</v>
      </c>
      <c r="AL17" s="147">
        <f t="shared" si="15"/>
        <v>0</v>
      </c>
      <c r="AM17" s="145">
        <f t="shared" si="16"/>
        <v>0</v>
      </c>
      <c r="AN17" s="145">
        <f t="shared" si="17"/>
        <v>0</v>
      </c>
      <c r="AO17" s="145">
        <f t="shared" si="18"/>
        <v>0</v>
      </c>
      <c r="AP17" s="44" t="str">
        <f t="shared" si="19"/>
        <v/>
      </c>
      <c r="AQ17" s="45" t="str">
        <f t="shared" si="20"/>
        <v/>
      </c>
      <c r="AR17" s="45" t="str">
        <f t="shared" si="21"/>
        <v/>
      </c>
      <c r="AS17" s="37" t="str">
        <f t="shared" si="22"/>
        <v/>
      </c>
      <c r="AT17" s="46">
        <f t="shared" si="23"/>
        <v>99999.001699999993</v>
      </c>
      <c r="AU17" s="2">
        <f>RANK(AT17,$AT$5:$AT$54,1)</f>
        <v>27</v>
      </c>
      <c r="AV17" s="86" t="str">
        <f t="shared" si="24"/>
        <v/>
      </c>
      <c r="AW17" s="2">
        <f t="shared" si="25"/>
        <v>0</v>
      </c>
    </row>
    <row r="18" spans="2:49" x14ac:dyDescent="0.15">
      <c r="B18" s="2" t="s">
        <v>346</v>
      </c>
      <c r="M18" s="46"/>
      <c r="AJ18" s="42">
        <f t="shared" si="13"/>
        <v>0</v>
      </c>
      <c r="AK18" s="42">
        <f t="shared" si="14"/>
        <v>0</v>
      </c>
      <c r="AL18" s="147">
        <f t="shared" si="15"/>
        <v>0</v>
      </c>
      <c r="AM18" s="145">
        <f t="shared" si="16"/>
        <v>0</v>
      </c>
      <c r="AN18" s="145">
        <f t="shared" si="17"/>
        <v>0</v>
      </c>
      <c r="AO18" s="145">
        <f t="shared" si="18"/>
        <v>0</v>
      </c>
      <c r="AP18" s="44" t="str">
        <f t="shared" si="19"/>
        <v/>
      </c>
      <c r="AQ18" s="45" t="str">
        <f t="shared" si="20"/>
        <v/>
      </c>
      <c r="AR18" s="45" t="str">
        <f t="shared" si="21"/>
        <v/>
      </c>
      <c r="AS18" s="37" t="str">
        <f t="shared" si="22"/>
        <v/>
      </c>
      <c r="AT18" s="46">
        <f t="shared" si="23"/>
        <v>99999.001799999998</v>
      </c>
      <c r="AU18" s="2">
        <f>RANK(AT18,$AT$5:$AT$54,1)</f>
        <v>28</v>
      </c>
      <c r="AV18" s="86" t="str">
        <f t="shared" si="24"/>
        <v/>
      </c>
      <c r="AW18" s="2">
        <f t="shared" si="25"/>
        <v>0</v>
      </c>
    </row>
    <row r="19" spans="2:49" x14ac:dyDescent="0.15">
      <c r="B19" s="2" t="s">
        <v>250</v>
      </c>
      <c r="M19" s="46"/>
      <c r="AJ19" s="42">
        <f t="shared" si="13"/>
        <v>0</v>
      </c>
      <c r="AK19" s="42">
        <f t="shared" si="14"/>
        <v>0</v>
      </c>
      <c r="AL19" s="147">
        <f t="shared" si="15"/>
        <v>0</v>
      </c>
      <c r="AM19" s="145">
        <f t="shared" si="16"/>
        <v>0</v>
      </c>
      <c r="AN19" s="145">
        <f t="shared" si="17"/>
        <v>0</v>
      </c>
      <c r="AO19" s="145">
        <f t="shared" si="18"/>
        <v>0</v>
      </c>
      <c r="AP19" s="44" t="str">
        <f t="shared" si="19"/>
        <v/>
      </c>
      <c r="AQ19" s="45" t="str">
        <f t="shared" si="20"/>
        <v/>
      </c>
      <c r="AR19" s="45" t="str">
        <f t="shared" si="21"/>
        <v/>
      </c>
      <c r="AS19" s="37" t="str">
        <f t="shared" si="22"/>
        <v/>
      </c>
      <c r="AT19" s="46">
        <f t="shared" si="23"/>
        <v>99999.001900000003</v>
      </c>
      <c r="AU19" s="2">
        <f>RANK(AT19,$AT$5:$AT$54,1)</f>
        <v>29</v>
      </c>
      <c r="AV19" s="86" t="str">
        <f t="shared" si="24"/>
        <v/>
      </c>
      <c r="AW19" s="2">
        <f t="shared" si="25"/>
        <v>0</v>
      </c>
    </row>
    <row r="20" spans="2:49" x14ac:dyDescent="0.15">
      <c r="B20" s="2" t="s">
        <v>161</v>
      </c>
      <c r="M20" s="46"/>
      <c r="AJ20" s="42">
        <f t="shared" si="13"/>
        <v>0</v>
      </c>
      <c r="AK20" s="42">
        <f t="shared" si="14"/>
        <v>0</v>
      </c>
      <c r="AL20" s="147">
        <f t="shared" si="15"/>
        <v>0</v>
      </c>
      <c r="AM20" s="145">
        <f t="shared" si="16"/>
        <v>0</v>
      </c>
      <c r="AN20" s="145">
        <f t="shared" si="17"/>
        <v>0</v>
      </c>
      <c r="AO20" s="145">
        <f t="shared" si="18"/>
        <v>0</v>
      </c>
      <c r="AP20" s="44" t="str">
        <f t="shared" si="19"/>
        <v/>
      </c>
      <c r="AQ20" s="45" t="str">
        <f t="shared" si="20"/>
        <v/>
      </c>
      <c r="AR20" s="45" t="str">
        <f t="shared" si="21"/>
        <v/>
      </c>
      <c r="AS20" s="37" t="str">
        <f t="shared" si="22"/>
        <v/>
      </c>
      <c r="AT20" s="46">
        <f t="shared" si="23"/>
        <v>99999.001999999993</v>
      </c>
      <c r="AU20" s="2">
        <f>RANK(AT20,$AT$5:$AT$54,1)</f>
        <v>30</v>
      </c>
      <c r="AV20" s="86" t="str">
        <f t="shared" si="24"/>
        <v/>
      </c>
      <c r="AW20" s="2">
        <f t="shared" si="25"/>
        <v>0</v>
      </c>
    </row>
    <row r="21" spans="2:49" x14ac:dyDescent="0.15">
      <c r="B21" s="2" t="s">
        <v>326</v>
      </c>
      <c r="M21" s="46"/>
      <c r="AJ21" s="42">
        <f t="shared" si="13"/>
        <v>0</v>
      </c>
      <c r="AK21" s="42">
        <f t="shared" si="14"/>
        <v>0</v>
      </c>
      <c r="AL21" s="147">
        <f t="shared" si="15"/>
        <v>0</v>
      </c>
      <c r="AM21" s="145">
        <f t="shared" si="16"/>
        <v>0</v>
      </c>
      <c r="AN21" s="145">
        <f t="shared" si="17"/>
        <v>0</v>
      </c>
      <c r="AO21" s="145">
        <f t="shared" si="18"/>
        <v>0</v>
      </c>
      <c r="AP21" s="44" t="str">
        <f t="shared" si="19"/>
        <v/>
      </c>
      <c r="AQ21" s="45" t="str">
        <f t="shared" si="20"/>
        <v/>
      </c>
      <c r="AR21" s="45" t="str">
        <f t="shared" si="21"/>
        <v/>
      </c>
      <c r="AS21" s="37" t="str">
        <f t="shared" si="22"/>
        <v/>
      </c>
      <c r="AT21" s="46">
        <f t="shared" si="23"/>
        <v>99999.002099999998</v>
      </c>
      <c r="AU21" s="2">
        <f>RANK(AT21,$AT$5:$AT$54,1)</f>
        <v>31</v>
      </c>
      <c r="AV21" s="86" t="str">
        <f t="shared" si="24"/>
        <v/>
      </c>
      <c r="AW21" s="2">
        <f t="shared" si="25"/>
        <v>0</v>
      </c>
    </row>
    <row r="22" spans="2:49" x14ac:dyDescent="0.15">
      <c r="B22" s="2" t="s">
        <v>390</v>
      </c>
      <c r="M22" s="46"/>
      <c r="AJ22" s="42">
        <f t="shared" si="13"/>
        <v>0</v>
      </c>
      <c r="AK22" s="42">
        <f t="shared" si="14"/>
        <v>0</v>
      </c>
      <c r="AL22" s="147">
        <f t="shared" si="15"/>
        <v>0</v>
      </c>
      <c r="AM22" s="145">
        <f t="shared" si="16"/>
        <v>0</v>
      </c>
      <c r="AN22" s="145">
        <f t="shared" si="17"/>
        <v>0</v>
      </c>
      <c r="AO22" s="145">
        <f t="shared" si="18"/>
        <v>0</v>
      </c>
      <c r="AP22" s="44" t="str">
        <f t="shared" si="19"/>
        <v/>
      </c>
      <c r="AQ22" s="45" t="str">
        <f t="shared" si="20"/>
        <v/>
      </c>
      <c r="AR22" s="45" t="str">
        <f t="shared" si="21"/>
        <v/>
      </c>
      <c r="AS22" s="37" t="str">
        <f t="shared" si="22"/>
        <v/>
      </c>
      <c r="AT22" s="46">
        <f t="shared" si="23"/>
        <v>99999.002200000003</v>
      </c>
      <c r="AU22" s="2">
        <f>RANK(AT22,$AT$5:$AT$54,1)</f>
        <v>32</v>
      </c>
      <c r="AV22" s="86" t="str">
        <f t="shared" si="24"/>
        <v/>
      </c>
      <c r="AW22" s="2">
        <f t="shared" si="25"/>
        <v>0</v>
      </c>
    </row>
    <row r="23" spans="2:49" x14ac:dyDescent="0.15">
      <c r="B23" s="2" t="s">
        <v>301</v>
      </c>
      <c r="F23" s="2" t="s">
        <v>516</v>
      </c>
      <c r="G23" s="2" t="s">
        <v>535</v>
      </c>
      <c r="H23" s="2" t="s">
        <v>553</v>
      </c>
      <c r="M23" s="46"/>
      <c r="AJ23" s="42">
        <f t="shared" si="13"/>
        <v>3</v>
      </c>
      <c r="AK23" s="42">
        <f t="shared" si="14"/>
        <v>114</v>
      </c>
      <c r="AL23" s="147">
        <f t="shared" si="15"/>
        <v>19</v>
      </c>
      <c r="AM23" s="145">
        <f t="shared" si="16"/>
        <v>3</v>
      </c>
      <c r="AN23" s="145">
        <f t="shared" si="17"/>
        <v>66</v>
      </c>
      <c r="AO23" s="145">
        <f t="shared" si="18"/>
        <v>3</v>
      </c>
      <c r="AP23" s="44">
        <f t="shared" si="19"/>
        <v>22</v>
      </c>
      <c r="AQ23" s="45">
        <f t="shared" si="20"/>
        <v>38</v>
      </c>
      <c r="AR23" s="45">
        <f t="shared" si="21"/>
        <v>3.4736842105263159</v>
      </c>
      <c r="AS23" s="37" t="str">
        <f t="shared" si="22"/>
        <v>3-24</v>
      </c>
      <c r="AT23" s="46">
        <f t="shared" si="23"/>
        <v>22.002300000000002</v>
      </c>
      <c r="AU23" s="2">
        <f>RANK(AT23,$AT$5:$AT$54,1)</f>
        <v>12</v>
      </c>
      <c r="AV23" s="86" t="str">
        <f t="shared" si="24"/>
        <v/>
      </c>
      <c r="AW23" s="2">
        <f t="shared" si="25"/>
        <v>0</v>
      </c>
    </row>
    <row r="24" spans="2:49" x14ac:dyDescent="0.15">
      <c r="B24" s="2" t="s">
        <v>582</v>
      </c>
      <c r="K24" s="2" t="s">
        <v>590</v>
      </c>
      <c r="AJ24" s="42">
        <f t="shared" ref="AJ24" si="39">BowlSplit(C24:AH24,InnsBowledIn)</f>
        <v>1</v>
      </c>
      <c r="AK24" s="42">
        <f t="shared" ref="AK24" si="40">BowlSplit(C24:AH24,BallsBowled)</f>
        <v>42</v>
      </c>
      <c r="AL24" s="147">
        <f t="shared" ref="AL24" si="41">BowlSplit(C24:AH24,OversBowled)</f>
        <v>7</v>
      </c>
      <c r="AM24" s="145">
        <f t="shared" ref="AM24" si="42">BowlSplit(C24:AH24,Maidens)</f>
        <v>1</v>
      </c>
      <c r="AN24" s="145">
        <f t="shared" ref="AN24" si="43">BowlSplit(C24:AH24,RunsConceded)</f>
        <v>31</v>
      </c>
      <c r="AO24" s="145">
        <f t="shared" ref="AO24" si="44">BowlSplit(C24:AH24,WicketsTaken)</f>
        <v>3</v>
      </c>
      <c r="AP24" s="44">
        <f t="shared" ref="AP24" si="45">IF(AO24&gt;0,ROUND(AN24/AO24,2),"")</f>
        <v>10.33</v>
      </c>
      <c r="AQ24" s="45">
        <f t="shared" ref="AQ24" si="46">IF(AO24&gt;0,AK24/AO24,"")</f>
        <v>14</v>
      </c>
      <c r="AR24" s="45">
        <f t="shared" ref="AR24" si="47">IF(AK24&gt;0,6*AN24/AK24,"")</f>
        <v>4.4285714285714288</v>
      </c>
      <c r="AS24" s="37" t="str">
        <f t="shared" ref="AS24" si="48">BowlSplit(C24:AH24,BestBowling)</f>
        <v>3-31</v>
      </c>
      <c r="AT24" s="46">
        <f t="shared" ref="AT24" si="49">IF(AO24&gt;0,AP24,IF(AK24&gt;0,AK24+1000,99999))+ROW(AL24)/10000</f>
        <v>10.3324</v>
      </c>
      <c r="AU24" s="2">
        <f>RANK(AT24,$AT$5:$AT$54,1)</f>
        <v>3</v>
      </c>
      <c r="AV24" s="86" t="str">
        <f t="shared" ref="AV24" si="50">IF(AK24&gt;=120,AM24/AK24*6,"")</f>
        <v/>
      </c>
      <c r="AW24" s="2">
        <f t="shared" ref="AW24" si="51">BowlSplit(C24:AH24,FiveFors)</f>
        <v>0</v>
      </c>
    </row>
    <row r="25" spans="2:49" x14ac:dyDescent="0.15">
      <c r="B25" s="2" t="s">
        <v>217</v>
      </c>
      <c r="C25" s="2" t="s">
        <v>467</v>
      </c>
      <c r="E25" s="2" t="s">
        <v>494</v>
      </c>
      <c r="F25" s="2" t="s">
        <v>513</v>
      </c>
      <c r="G25" s="2" t="s">
        <v>534</v>
      </c>
      <c r="H25" s="2" t="s">
        <v>549</v>
      </c>
      <c r="AJ25" s="42">
        <f t="shared" si="13"/>
        <v>5</v>
      </c>
      <c r="AK25" s="42">
        <f t="shared" si="14"/>
        <v>204</v>
      </c>
      <c r="AL25" s="147">
        <f t="shared" si="15"/>
        <v>34</v>
      </c>
      <c r="AM25" s="145">
        <f t="shared" si="16"/>
        <v>3</v>
      </c>
      <c r="AN25" s="145">
        <f t="shared" si="17"/>
        <v>98</v>
      </c>
      <c r="AO25" s="145">
        <f t="shared" si="18"/>
        <v>4</v>
      </c>
      <c r="AP25" s="44">
        <f t="shared" si="19"/>
        <v>24.5</v>
      </c>
      <c r="AQ25" s="45">
        <f t="shared" si="20"/>
        <v>51</v>
      </c>
      <c r="AR25" s="45">
        <f t="shared" si="21"/>
        <v>2.8823529411764706</v>
      </c>
      <c r="AS25" s="37" t="str">
        <f t="shared" si="22"/>
        <v>2-22</v>
      </c>
      <c r="AT25" s="46">
        <f t="shared" si="23"/>
        <v>24.502500000000001</v>
      </c>
      <c r="AU25" s="2">
        <f>RANK(AT25,$AT$5:$AT$54,1)</f>
        <v>13</v>
      </c>
      <c r="AV25" s="86">
        <f t="shared" si="24"/>
        <v>8.8235294117647051E-2</v>
      </c>
      <c r="AW25" s="2">
        <f t="shared" si="25"/>
        <v>0</v>
      </c>
    </row>
    <row r="26" spans="2:49" x14ac:dyDescent="0.15">
      <c r="B26" s="2" t="s">
        <v>201</v>
      </c>
      <c r="M26" s="46"/>
      <c r="AJ26" s="42">
        <f t="shared" si="13"/>
        <v>0</v>
      </c>
      <c r="AK26" s="42">
        <f t="shared" si="14"/>
        <v>0</v>
      </c>
      <c r="AL26" s="147">
        <f t="shared" si="15"/>
        <v>0</v>
      </c>
      <c r="AM26" s="145">
        <f t="shared" si="16"/>
        <v>0</v>
      </c>
      <c r="AN26" s="145">
        <f t="shared" si="17"/>
        <v>0</v>
      </c>
      <c r="AO26" s="145">
        <f t="shared" si="18"/>
        <v>0</v>
      </c>
      <c r="AP26" s="44" t="str">
        <f t="shared" si="19"/>
        <v/>
      </c>
      <c r="AQ26" s="45" t="str">
        <f t="shared" si="20"/>
        <v/>
      </c>
      <c r="AR26" s="45" t="str">
        <f t="shared" si="21"/>
        <v/>
      </c>
      <c r="AS26" s="37" t="str">
        <f t="shared" si="22"/>
        <v/>
      </c>
      <c r="AT26" s="46">
        <f t="shared" si="23"/>
        <v>99999.002600000007</v>
      </c>
      <c r="AU26" s="2">
        <f>RANK(AT26,$AT$5:$AT$54,1)</f>
        <v>33</v>
      </c>
      <c r="AV26" s="86" t="str">
        <f t="shared" si="24"/>
        <v/>
      </c>
      <c r="AW26" s="2">
        <f t="shared" si="25"/>
        <v>0</v>
      </c>
    </row>
    <row r="27" spans="2:49" x14ac:dyDescent="0.15">
      <c r="B27" s="2" t="s">
        <v>205</v>
      </c>
      <c r="C27" s="2" t="s">
        <v>469</v>
      </c>
      <c r="D27" s="2" t="s">
        <v>475</v>
      </c>
      <c r="F27" s="2" t="s">
        <v>515</v>
      </c>
      <c r="G27" s="2" t="s">
        <v>536</v>
      </c>
      <c r="H27" s="2" t="s">
        <v>551</v>
      </c>
      <c r="J27" s="2" t="s">
        <v>578</v>
      </c>
      <c r="M27" s="46"/>
      <c r="AJ27" s="42">
        <f t="shared" si="13"/>
        <v>6</v>
      </c>
      <c r="AK27" s="42">
        <f t="shared" si="14"/>
        <v>252</v>
      </c>
      <c r="AL27" s="147">
        <f t="shared" si="15"/>
        <v>42</v>
      </c>
      <c r="AM27" s="145">
        <f t="shared" si="16"/>
        <v>6</v>
      </c>
      <c r="AN27" s="145">
        <f t="shared" si="17"/>
        <v>153</v>
      </c>
      <c r="AO27" s="145">
        <f t="shared" si="18"/>
        <v>11</v>
      </c>
      <c r="AP27" s="44">
        <f t="shared" si="19"/>
        <v>13.91</v>
      </c>
      <c r="AQ27" s="45">
        <f t="shared" si="20"/>
        <v>22.90909090909091</v>
      </c>
      <c r="AR27" s="45">
        <f t="shared" si="21"/>
        <v>3.6428571428571428</v>
      </c>
      <c r="AS27" s="37" t="str">
        <f t="shared" si="22"/>
        <v>3-22</v>
      </c>
      <c r="AT27" s="46">
        <f t="shared" si="23"/>
        <v>13.912700000000001</v>
      </c>
      <c r="AU27" s="2">
        <f>RANK(AT27,$AT$5:$AT$54,1)</f>
        <v>8</v>
      </c>
      <c r="AV27" s="86">
        <f t="shared" si="24"/>
        <v>0.14285714285714285</v>
      </c>
      <c r="AW27" s="2">
        <f t="shared" si="25"/>
        <v>0</v>
      </c>
    </row>
    <row r="28" spans="2:49" x14ac:dyDescent="0.15">
      <c r="B28" s="2" t="s">
        <v>244</v>
      </c>
      <c r="M28" s="46"/>
      <c r="AJ28" s="42">
        <f t="shared" si="13"/>
        <v>0</v>
      </c>
      <c r="AK28" s="42">
        <f t="shared" si="14"/>
        <v>0</v>
      </c>
      <c r="AL28" s="147">
        <f t="shared" si="15"/>
        <v>0</v>
      </c>
      <c r="AM28" s="145">
        <f t="shared" si="16"/>
        <v>0</v>
      </c>
      <c r="AN28" s="145">
        <f t="shared" si="17"/>
        <v>0</v>
      </c>
      <c r="AO28" s="145">
        <f t="shared" si="18"/>
        <v>0</v>
      </c>
      <c r="AP28" s="44" t="str">
        <f t="shared" si="19"/>
        <v/>
      </c>
      <c r="AQ28" s="45" t="str">
        <f t="shared" si="20"/>
        <v/>
      </c>
      <c r="AR28" s="45" t="str">
        <f t="shared" si="21"/>
        <v/>
      </c>
      <c r="AS28" s="37" t="str">
        <f t="shared" si="22"/>
        <v/>
      </c>
      <c r="AT28" s="46">
        <f t="shared" si="23"/>
        <v>99999.002800000002</v>
      </c>
      <c r="AU28" s="2">
        <f>RANK(AT28,$AT$5:$AT$54,1)</f>
        <v>34</v>
      </c>
      <c r="AV28" s="86" t="str">
        <f t="shared" si="24"/>
        <v/>
      </c>
      <c r="AW28" s="2">
        <f t="shared" si="25"/>
        <v>0</v>
      </c>
    </row>
    <row r="29" spans="2:49" x14ac:dyDescent="0.15">
      <c r="B29" s="2" t="s">
        <v>233</v>
      </c>
      <c r="C29" s="2" t="s">
        <v>471</v>
      </c>
      <c r="E29" s="2" t="s">
        <v>493</v>
      </c>
      <c r="I29" s="2" t="s">
        <v>563</v>
      </c>
      <c r="M29" s="46"/>
      <c r="AJ29" s="42">
        <f t="shared" si="13"/>
        <v>3</v>
      </c>
      <c r="AK29" s="42">
        <f t="shared" si="14"/>
        <v>108</v>
      </c>
      <c r="AL29" s="147">
        <f t="shared" si="15"/>
        <v>18</v>
      </c>
      <c r="AM29" s="145">
        <f t="shared" si="16"/>
        <v>4</v>
      </c>
      <c r="AN29" s="145">
        <f t="shared" si="17"/>
        <v>67</v>
      </c>
      <c r="AO29" s="145">
        <f t="shared" si="18"/>
        <v>4</v>
      </c>
      <c r="AP29" s="44">
        <f t="shared" si="19"/>
        <v>16.75</v>
      </c>
      <c r="AQ29" s="45">
        <f t="shared" si="20"/>
        <v>27</v>
      </c>
      <c r="AR29" s="45">
        <f t="shared" si="21"/>
        <v>3.7222222222222223</v>
      </c>
      <c r="AS29" s="37" t="str">
        <f t="shared" si="22"/>
        <v>3-14</v>
      </c>
      <c r="AT29" s="46">
        <f t="shared" si="23"/>
        <v>16.7529</v>
      </c>
      <c r="AU29" s="2">
        <f>RANK(AT29,$AT$5:$AT$54,1)</f>
        <v>11</v>
      </c>
      <c r="AV29" s="86" t="str">
        <f t="shared" si="24"/>
        <v/>
      </c>
      <c r="AW29" s="2">
        <f t="shared" si="25"/>
        <v>0</v>
      </c>
    </row>
    <row r="30" spans="2:49" x14ac:dyDescent="0.15">
      <c r="B30" s="2" t="s">
        <v>350</v>
      </c>
      <c r="G30" s="2" t="s">
        <v>537</v>
      </c>
      <c r="I30" s="2" t="s">
        <v>567</v>
      </c>
      <c r="J30" s="2" t="s">
        <v>497</v>
      </c>
      <c r="M30" s="46"/>
      <c r="AJ30" s="42">
        <f t="shared" si="13"/>
        <v>3</v>
      </c>
      <c r="AK30" s="42">
        <f t="shared" si="14"/>
        <v>48</v>
      </c>
      <c r="AL30" s="147">
        <f t="shared" si="15"/>
        <v>8</v>
      </c>
      <c r="AM30" s="145">
        <f t="shared" si="16"/>
        <v>1</v>
      </c>
      <c r="AN30" s="145">
        <f t="shared" si="17"/>
        <v>49</v>
      </c>
      <c r="AO30" s="145">
        <f t="shared" si="18"/>
        <v>4</v>
      </c>
      <c r="AP30" s="44">
        <f t="shared" si="19"/>
        <v>12.25</v>
      </c>
      <c r="AQ30" s="45">
        <f t="shared" si="20"/>
        <v>12</v>
      </c>
      <c r="AR30" s="45">
        <f t="shared" si="21"/>
        <v>6.125</v>
      </c>
      <c r="AS30" s="37" t="str">
        <f t="shared" si="22"/>
        <v>3-17</v>
      </c>
      <c r="AT30" s="46">
        <f t="shared" si="23"/>
        <v>12.253</v>
      </c>
      <c r="AU30" s="2">
        <f>RANK(AT30,$AT$5:$AT$54,1)</f>
        <v>5</v>
      </c>
      <c r="AV30" s="86" t="str">
        <f t="shared" si="24"/>
        <v/>
      </c>
      <c r="AW30" s="2">
        <f t="shared" si="25"/>
        <v>0</v>
      </c>
    </row>
    <row r="31" spans="2:49" ht="12" x14ac:dyDescent="0.2">
      <c r="B31" s="2" t="s">
        <v>348</v>
      </c>
      <c r="M31" s="46"/>
      <c r="S31" s="173"/>
      <c r="AJ31" s="42">
        <f t="shared" si="13"/>
        <v>0</v>
      </c>
      <c r="AK31" s="42">
        <f t="shared" si="14"/>
        <v>0</v>
      </c>
      <c r="AL31" s="147">
        <f t="shared" si="15"/>
        <v>0</v>
      </c>
      <c r="AM31" s="145">
        <f t="shared" si="16"/>
        <v>0</v>
      </c>
      <c r="AN31" s="145">
        <f t="shared" si="17"/>
        <v>0</v>
      </c>
      <c r="AO31" s="145">
        <f t="shared" si="18"/>
        <v>0</v>
      </c>
      <c r="AP31" s="44" t="str">
        <f t="shared" si="19"/>
        <v/>
      </c>
      <c r="AQ31" s="45" t="str">
        <f t="shared" si="20"/>
        <v/>
      </c>
      <c r="AR31" s="45" t="str">
        <f t="shared" si="21"/>
        <v/>
      </c>
      <c r="AS31" s="37" t="str">
        <f t="shared" si="22"/>
        <v/>
      </c>
      <c r="AT31" s="46">
        <f t="shared" si="23"/>
        <v>99999.003100000002</v>
      </c>
      <c r="AU31" s="2">
        <f>RANK(AT31,$AT$5:$AT$54,1)</f>
        <v>35</v>
      </c>
      <c r="AV31" s="86" t="str">
        <f t="shared" si="24"/>
        <v/>
      </c>
      <c r="AW31" s="2">
        <f t="shared" si="25"/>
        <v>0</v>
      </c>
    </row>
    <row r="32" spans="2:49" x14ac:dyDescent="0.15">
      <c r="B32" s="2" t="s">
        <v>381</v>
      </c>
      <c r="M32" s="46"/>
      <c r="AJ32" s="42">
        <f t="shared" si="13"/>
        <v>0</v>
      </c>
      <c r="AK32" s="42">
        <f t="shared" si="14"/>
        <v>0</v>
      </c>
      <c r="AL32" s="147">
        <f t="shared" si="15"/>
        <v>0</v>
      </c>
      <c r="AM32" s="145">
        <f t="shared" si="16"/>
        <v>0</v>
      </c>
      <c r="AN32" s="145">
        <f t="shared" si="17"/>
        <v>0</v>
      </c>
      <c r="AO32" s="145">
        <f t="shared" si="18"/>
        <v>0</v>
      </c>
      <c r="AP32" s="44" t="str">
        <f t="shared" si="19"/>
        <v/>
      </c>
      <c r="AQ32" s="45" t="str">
        <f t="shared" si="20"/>
        <v/>
      </c>
      <c r="AR32" s="45" t="str">
        <f t="shared" si="21"/>
        <v/>
      </c>
      <c r="AS32" s="37" t="str">
        <f t="shared" si="22"/>
        <v/>
      </c>
      <c r="AT32" s="46">
        <f t="shared" si="23"/>
        <v>99999.003200000006</v>
      </c>
      <c r="AU32" s="2">
        <f>RANK(AT32,$AT$5:$AT$54,1)</f>
        <v>36</v>
      </c>
      <c r="AV32" s="86" t="str">
        <f t="shared" si="24"/>
        <v/>
      </c>
      <c r="AW32" s="2">
        <f t="shared" si="25"/>
        <v>0</v>
      </c>
    </row>
    <row r="33" spans="1:49" x14ac:dyDescent="0.15">
      <c r="B33" s="2" t="s">
        <v>370</v>
      </c>
      <c r="M33" s="46"/>
      <c r="AJ33" s="42">
        <f t="shared" si="13"/>
        <v>0</v>
      </c>
      <c r="AK33" s="42">
        <f t="shared" si="14"/>
        <v>0</v>
      </c>
      <c r="AL33" s="147">
        <f t="shared" si="15"/>
        <v>0</v>
      </c>
      <c r="AM33" s="145">
        <f t="shared" si="16"/>
        <v>0</v>
      </c>
      <c r="AN33" s="145">
        <f t="shared" si="17"/>
        <v>0</v>
      </c>
      <c r="AO33" s="145">
        <f t="shared" si="18"/>
        <v>0</v>
      </c>
      <c r="AP33" s="44" t="str">
        <f t="shared" si="19"/>
        <v/>
      </c>
      <c r="AQ33" s="45" t="str">
        <f t="shared" si="20"/>
        <v/>
      </c>
      <c r="AR33" s="45" t="str">
        <f t="shared" si="21"/>
        <v/>
      </c>
      <c r="AS33" s="37" t="str">
        <f t="shared" si="22"/>
        <v/>
      </c>
      <c r="AT33" s="46">
        <f t="shared" si="23"/>
        <v>99999.003299999997</v>
      </c>
      <c r="AU33" s="2">
        <f>RANK(AT33,$AT$5:$AT$54,1)</f>
        <v>37</v>
      </c>
      <c r="AV33" s="86" t="str">
        <f t="shared" si="24"/>
        <v/>
      </c>
      <c r="AW33" s="2">
        <f t="shared" si="25"/>
        <v>0</v>
      </c>
    </row>
    <row r="34" spans="1:49" x14ac:dyDescent="0.15">
      <c r="B34" s="2" t="s">
        <v>311</v>
      </c>
      <c r="M34" s="46"/>
      <c r="AJ34" s="42">
        <f t="shared" si="13"/>
        <v>0</v>
      </c>
      <c r="AK34" s="42">
        <f t="shared" si="14"/>
        <v>0</v>
      </c>
      <c r="AL34" s="147">
        <f t="shared" si="15"/>
        <v>0</v>
      </c>
      <c r="AM34" s="145">
        <f t="shared" si="16"/>
        <v>0</v>
      </c>
      <c r="AN34" s="145">
        <f t="shared" si="17"/>
        <v>0</v>
      </c>
      <c r="AO34" s="145">
        <f t="shared" si="18"/>
        <v>0</v>
      </c>
      <c r="AP34" s="44" t="str">
        <f t="shared" si="19"/>
        <v/>
      </c>
      <c r="AQ34" s="45" t="str">
        <f t="shared" si="20"/>
        <v/>
      </c>
      <c r="AR34" s="45" t="str">
        <f t="shared" si="21"/>
        <v/>
      </c>
      <c r="AS34" s="37" t="str">
        <f t="shared" si="22"/>
        <v/>
      </c>
      <c r="AT34" s="46">
        <f t="shared" si="23"/>
        <v>99999.003400000001</v>
      </c>
      <c r="AU34" s="2">
        <f>RANK(AT34,$AT$5:$AT$54,1)</f>
        <v>38</v>
      </c>
      <c r="AV34" s="86" t="str">
        <f t="shared" si="24"/>
        <v/>
      </c>
      <c r="AW34" s="2">
        <f t="shared" si="25"/>
        <v>0</v>
      </c>
    </row>
    <row r="35" spans="1:49" x14ac:dyDescent="0.15">
      <c r="B35" s="2" t="s">
        <v>295</v>
      </c>
      <c r="M35" s="46"/>
      <c r="AJ35" s="42">
        <f t="shared" si="13"/>
        <v>0</v>
      </c>
      <c r="AK35" s="42">
        <f t="shared" si="14"/>
        <v>0</v>
      </c>
      <c r="AL35" s="147">
        <f t="shared" si="15"/>
        <v>0</v>
      </c>
      <c r="AM35" s="145">
        <f t="shared" si="16"/>
        <v>0</v>
      </c>
      <c r="AN35" s="145">
        <f t="shared" si="17"/>
        <v>0</v>
      </c>
      <c r="AO35" s="145">
        <f t="shared" si="18"/>
        <v>0</v>
      </c>
      <c r="AP35" s="44" t="str">
        <f t="shared" si="19"/>
        <v/>
      </c>
      <c r="AQ35" s="45" t="str">
        <f t="shared" si="20"/>
        <v/>
      </c>
      <c r="AR35" s="45" t="str">
        <f t="shared" si="21"/>
        <v/>
      </c>
      <c r="AS35" s="37" t="str">
        <f t="shared" si="22"/>
        <v/>
      </c>
      <c r="AT35" s="46">
        <f t="shared" si="23"/>
        <v>99999.003500000006</v>
      </c>
      <c r="AU35" s="2">
        <f>RANK(AT35,$AT$5:$AT$54,1)</f>
        <v>39</v>
      </c>
      <c r="AV35" s="86" t="str">
        <f t="shared" si="24"/>
        <v/>
      </c>
      <c r="AW35" s="2">
        <f t="shared" si="25"/>
        <v>0</v>
      </c>
    </row>
    <row r="36" spans="1:49" x14ac:dyDescent="0.15">
      <c r="B36" s="2" t="s">
        <v>296</v>
      </c>
      <c r="C36" s="2" t="s">
        <v>470</v>
      </c>
      <c r="I36" s="2" t="s">
        <v>565</v>
      </c>
      <c r="K36" s="2" t="s">
        <v>591</v>
      </c>
      <c r="M36" s="46"/>
      <c r="AJ36" s="42">
        <f t="shared" si="13"/>
        <v>3</v>
      </c>
      <c r="AK36" s="42">
        <f t="shared" si="14"/>
        <v>114</v>
      </c>
      <c r="AL36" s="147">
        <f t="shared" si="15"/>
        <v>19</v>
      </c>
      <c r="AM36" s="145">
        <f t="shared" si="16"/>
        <v>3</v>
      </c>
      <c r="AN36" s="145">
        <f t="shared" si="17"/>
        <v>98</v>
      </c>
      <c r="AO36" s="145">
        <f t="shared" si="18"/>
        <v>1</v>
      </c>
      <c r="AP36" s="44">
        <f t="shared" si="19"/>
        <v>98</v>
      </c>
      <c r="AQ36" s="45">
        <f t="shared" si="20"/>
        <v>114</v>
      </c>
      <c r="AR36" s="45">
        <f t="shared" si="21"/>
        <v>5.1578947368421053</v>
      </c>
      <c r="AS36" s="37" t="str">
        <f t="shared" si="22"/>
        <v>1-39</v>
      </c>
      <c r="AT36" s="46">
        <f t="shared" si="23"/>
        <v>98.003600000000006</v>
      </c>
      <c r="AU36" s="2">
        <f>RANK(AT36,$AT$5:$AT$54,1)</f>
        <v>18</v>
      </c>
      <c r="AV36" s="86" t="str">
        <f t="shared" si="24"/>
        <v/>
      </c>
      <c r="AW36" s="2">
        <f t="shared" si="25"/>
        <v>0</v>
      </c>
    </row>
    <row r="37" spans="1:49" x14ac:dyDescent="0.15">
      <c r="B37" s="2" t="s">
        <v>253</v>
      </c>
      <c r="M37" s="46"/>
      <c r="AJ37" s="42">
        <f t="shared" si="13"/>
        <v>0</v>
      </c>
      <c r="AK37" s="42">
        <f t="shared" si="14"/>
        <v>0</v>
      </c>
      <c r="AL37" s="147">
        <f t="shared" si="15"/>
        <v>0</v>
      </c>
      <c r="AM37" s="145">
        <f t="shared" si="16"/>
        <v>0</v>
      </c>
      <c r="AN37" s="145">
        <f t="shared" si="17"/>
        <v>0</v>
      </c>
      <c r="AO37" s="145">
        <f t="shared" si="18"/>
        <v>0</v>
      </c>
      <c r="AP37" s="44" t="str">
        <f t="shared" si="19"/>
        <v/>
      </c>
      <c r="AQ37" s="45" t="str">
        <f t="shared" si="20"/>
        <v/>
      </c>
      <c r="AR37" s="45" t="str">
        <f t="shared" si="21"/>
        <v/>
      </c>
      <c r="AS37" s="37" t="str">
        <f t="shared" si="22"/>
        <v/>
      </c>
      <c r="AT37" s="46">
        <f t="shared" si="23"/>
        <v>99999.003700000001</v>
      </c>
      <c r="AU37" s="2">
        <f>RANK(AT37,$AT$5:$AT$54,1)</f>
        <v>40</v>
      </c>
      <c r="AV37" s="86" t="str">
        <f t="shared" si="24"/>
        <v/>
      </c>
      <c r="AW37" s="2">
        <f t="shared" si="25"/>
        <v>0</v>
      </c>
    </row>
    <row r="38" spans="1:49" x14ac:dyDescent="0.15">
      <c r="B38" s="2" t="s">
        <v>196</v>
      </c>
      <c r="G38" s="2" t="s">
        <v>538</v>
      </c>
      <c r="L38" s="150"/>
      <c r="M38" s="46"/>
      <c r="AJ38" s="42">
        <f t="shared" si="13"/>
        <v>1</v>
      </c>
      <c r="AK38" s="42">
        <f t="shared" si="14"/>
        <v>24</v>
      </c>
      <c r="AL38" s="147">
        <f t="shared" si="15"/>
        <v>4</v>
      </c>
      <c r="AM38" s="145">
        <f t="shared" si="16"/>
        <v>0</v>
      </c>
      <c r="AN38" s="145">
        <f t="shared" si="17"/>
        <v>20</v>
      </c>
      <c r="AO38" s="145">
        <f t="shared" si="18"/>
        <v>3</v>
      </c>
      <c r="AP38" s="44">
        <f t="shared" si="19"/>
        <v>6.67</v>
      </c>
      <c r="AQ38" s="45">
        <f t="shared" si="20"/>
        <v>8</v>
      </c>
      <c r="AR38" s="45">
        <f t="shared" si="21"/>
        <v>5</v>
      </c>
      <c r="AS38" s="37" t="str">
        <f t="shared" si="22"/>
        <v>3-20</v>
      </c>
      <c r="AT38" s="46">
        <f t="shared" si="23"/>
        <v>6.6738</v>
      </c>
      <c r="AU38" s="2">
        <f>RANK(AT38,$AT$5:$AT$54,1)</f>
        <v>2</v>
      </c>
      <c r="AV38" s="86" t="str">
        <f t="shared" si="24"/>
        <v/>
      </c>
      <c r="AW38" s="2">
        <f t="shared" si="25"/>
        <v>0</v>
      </c>
    </row>
    <row r="39" spans="1:49" x14ac:dyDescent="0.15">
      <c r="B39" s="2" t="s">
        <v>258</v>
      </c>
      <c r="L39" s="150"/>
      <c r="M39" s="46"/>
      <c r="AJ39" s="42">
        <f t="shared" si="13"/>
        <v>0</v>
      </c>
      <c r="AK39" s="42">
        <f t="shared" si="14"/>
        <v>0</v>
      </c>
      <c r="AL39" s="147">
        <f t="shared" si="15"/>
        <v>0</v>
      </c>
      <c r="AM39" s="145">
        <f t="shared" si="16"/>
        <v>0</v>
      </c>
      <c r="AN39" s="145">
        <f t="shared" si="17"/>
        <v>0</v>
      </c>
      <c r="AO39" s="145">
        <f t="shared" si="18"/>
        <v>0</v>
      </c>
      <c r="AP39" s="44" t="str">
        <f t="shared" si="19"/>
        <v/>
      </c>
      <c r="AQ39" s="45" t="str">
        <f t="shared" si="20"/>
        <v/>
      </c>
      <c r="AR39" s="45" t="str">
        <f t="shared" si="21"/>
        <v/>
      </c>
      <c r="AS39" s="37" t="str">
        <f t="shared" si="22"/>
        <v/>
      </c>
      <c r="AT39" s="46">
        <f t="shared" si="23"/>
        <v>99999.003899999996</v>
      </c>
      <c r="AU39" s="2">
        <f>RANK(AT39,$AT$5:$AT$54,1)</f>
        <v>41</v>
      </c>
      <c r="AV39" s="86" t="str">
        <f t="shared" si="24"/>
        <v/>
      </c>
      <c r="AW39" s="2">
        <f t="shared" si="25"/>
        <v>0</v>
      </c>
    </row>
    <row r="40" spans="1:49" x14ac:dyDescent="0.15">
      <c r="B40" s="2" t="s">
        <v>136</v>
      </c>
      <c r="C40" s="46"/>
      <c r="M40" s="46"/>
      <c r="AJ40" s="42">
        <f t="shared" si="13"/>
        <v>0</v>
      </c>
      <c r="AK40" s="42">
        <f t="shared" si="14"/>
        <v>0</v>
      </c>
      <c r="AL40" s="147">
        <f t="shared" si="15"/>
        <v>0</v>
      </c>
      <c r="AM40" s="145">
        <f t="shared" si="16"/>
        <v>0</v>
      </c>
      <c r="AN40" s="145">
        <f t="shared" si="17"/>
        <v>0</v>
      </c>
      <c r="AO40" s="145">
        <f t="shared" si="18"/>
        <v>0</v>
      </c>
      <c r="AP40" s="44" t="str">
        <f t="shared" si="19"/>
        <v/>
      </c>
      <c r="AQ40" s="45" t="str">
        <f t="shared" si="20"/>
        <v/>
      </c>
      <c r="AR40" s="45" t="str">
        <f t="shared" si="21"/>
        <v/>
      </c>
      <c r="AS40" s="37" t="str">
        <f t="shared" si="22"/>
        <v/>
      </c>
      <c r="AT40" s="46">
        <f t="shared" si="23"/>
        <v>99999.004000000001</v>
      </c>
      <c r="AU40" s="2">
        <f>RANK(AT40,$AT$5:$AT$54,1)</f>
        <v>42</v>
      </c>
      <c r="AV40" s="86" t="str">
        <f t="shared" si="24"/>
        <v/>
      </c>
      <c r="AW40" s="2">
        <f t="shared" si="25"/>
        <v>0</v>
      </c>
    </row>
    <row r="41" spans="1:49" x14ac:dyDescent="0.15">
      <c r="B41" s="2" t="s">
        <v>271</v>
      </c>
      <c r="C41" s="46"/>
      <c r="H41" s="2" t="s">
        <v>472</v>
      </c>
      <c r="M41" s="46"/>
      <c r="AJ41" s="42">
        <f t="shared" si="13"/>
        <v>1</v>
      </c>
      <c r="AK41" s="42">
        <f t="shared" si="14"/>
        <v>24</v>
      </c>
      <c r="AL41" s="147">
        <f t="shared" si="15"/>
        <v>4</v>
      </c>
      <c r="AM41" s="145">
        <f t="shared" si="16"/>
        <v>0</v>
      </c>
      <c r="AN41" s="145">
        <f t="shared" si="17"/>
        <v>25</v>
      </c>
      <c r="AO41" s="145">
        <f t="shared" si="18"/>
        <v>1</v>
      </c>
      <c r="AP41" s="44">
        <f t="shared" si="19"/>
        <v>25</v>
      </c>
      <c r="AQ41" s="45">
        <f t="shared" si="20"/>
        <v>24</v>
      </c>
      <c r="AR41" s="45">
        <f t="shared" si="21"/>
        <v>6.25</v>
      </c>
      <c r="AS41" s="37" t="str">
        <f t="shared" si="22"/>
        <v>1-25</v>
      </c>
      <c r="AT41" s="46">
        <f t="shared" si="23"/>
        <v>25.004100000000001</v>
      </c>
      <c r="AU41" s="2">
        <f>RANK(AT41,$AT$5:$AT$54,1)</f>
        <v>14</v>
      </c>
      <c r="AV41" s="86" t="str">
        <f t="shared" si="24"/>
        <v/>
      </c>
      <c r="AW41" s="2">
        <f t="shared" si="25"/>
        <v>0</v>
      </c>
    </row>
    <row r="42" spans="1:49" x14ac:dyDescent="0.15">
      <c r="A42" s="2" t="s">
        <v>460</v>
      </c>
      <c r="B42" s="2" t="s">
        <v>461</v>
      </c>
      <c r="C42" s="2" t="s">
        <v>472</v>
      </c>
      <c r="H42" s="2" t="s">
        <v>554</v>
      </c>
      <c r="M42" s="46"/>
      <c r="AJ42" s="42">
        <f t="shared" si="13"/>
        <v>2</v>
      </c>
      <c r="AK42" s="42">
        <f t="shared" si="14"/>
        <v>30</v>
      </c>
      <c r="AL42" s="147">
        <f t="shared" si="15"/>
        <v>5</v>
      </c>
      <c r="AM42" s="145">
        <f t="shared" si="16"/>
        <v>0</v>
      </c>
      <c r="AN42" s="145">
        <f t="shared" si="17"/>
        <v>35</v>
      </c>
      <c r="AO42" s="145">
        <f t="shared" si="18"/>
        <v>1</v>
      </c>
      <c r="AP42" s="44">
        <f t="shared" si="19"/>
        <v>35</v>
      </c>
      <c r="AQ42" s="45">
        <f t="shared" si="20"/>
        <v>30</v>
      </c>
      <c r="AR42" s="45">
        <f t="shared" si="21"/>
        <v>7</v>
      </c>
      <c r="AS42" s="37" t="str">
        <f t="shared" si="22"/>
        <v>1-25</v>
      </c>
      <c r="AT42" s="46">
        <f t="shared" si="23"/>
        <v>35.004199999999997</v>
      </c>
      <c r="AU42" s="2">
        <f>RANK(AT42,$AT$5:$AT$54,1)</f>
        <v>16</v>
      </c>
      <c r="AV42" s="86" t="str">
        <f t="shared" si="24"/>
        <v/>
      </c>
      <c r="AW42" s="2">
        <f t="shared" si="25"/>
        <v>0</v>
      </c>
    </row>
    <row r="43" spans="1:49" x14ac:dyDescent="0.15">
      <c r="A43" s="2" t="s">
        <v>230</v>
      </c>
      <c r="B43" s="2" t="s">
        <v>511</v>
      </c>
      <c r="F43" s="2" t="s">
        <v>518</v>
      </c>
      <c r="M43" s="46"/>
      <c r="AJ43" s="42">
        <f t="shared" ref="AJ43" si="52">BowlSplit(C43:AH43,InnsBowledIn)</f>
        <v>1</v>
      </c>
      <c r="AK43" s="42">
        <f t="shared" ref="AK43" si="53">BowlSplit(C43:AH43,BallsBowled)</f>
        <v>6</v>
      </c>
      <c r="AL43" s="147">
        <f t="shared" ref="AL43" si="54">BowlSplit(C43:AH43,OversBowled)</f>
        <v>1</v>
      </c>
      <c r="AM43" s="145">
        <f t="shared" ref="AM43" si="55">BowlSplit(C43:AH43,Maidens)</f>
        <v>0</v>
      </c>
      <c r="AN43" s="145">
        <f t="shared" ref="AN43" si="56">BowlSplit(C43:AH43,RunsConceded)</f>
        <v>8</v>
      </c>
      <c r="AO43" s="145">
        <f t="shared" ref="AO43" si="57">BowlSplit(C43:AH43,WicketsTaken)</f>
        <v>2</v>
      </c>
      <c r="AP43" s="44">
        <f t="shared" ref="AP43" si="58">IF(AO43&gt;0,ROUND(AN43/AO43,2),"")</f>
        <v>4</v>
      </c>
      <c r="AQ43" s="45">
        <f t="shared" ref="AQ43" si="59">IF(AO43&gt;0,AK43/AO43,"")</f>
        <v>3</v>
      </c>
      <c r="AR43" s="45">
        <f t="shared" ref="AR43" si="60">IF(AK43&gt;0,6*AN43/AK43,"")</f>
        <v>8</v>
      </c>
      <c r="AS43" s="37" t="str">
        <f t="shared" ref="AS43" si="61">BowlSplit(C43:AH43,BestBowling)</f>
        <v>2-8</v>
      </c>
      <c r="AT43" s="46">
        <f t="shared" ref="AT43" si="62">IF(AO43&gt;0,AP43,IF(AK43&gt;0,AK43+1000,99999))+ROW(AL43)/10000</f>
        <v>4.0042999999999997</v>
      </c>
      <c r="AU43" s="2">
        <f>RANK(AT43,$AT$5:$AT$54,1)</f>
        <v>1</v>
      </c>
      <c r="AV43" s="86" t="str">
        <f t="shared" ref="AV43" si="63">IF(AK43&gt;=120,AM43/AK43*6,"")</f>
        <v/>
      </c>
      <c r="AW43" s="2">
        <f t="shared" ref="AW43" si="64">BowlSplit(C43:AH43,FiveFors)</f>
        <v>0</v>
      </c>
    </row>
    <row r="44" spans="1:49" x14ac:dyDescent="0.15">
      <c r="B44" s="2" t="s">
        <v>189</v>
      </c>
      <c r="M44" s="46"/>
      <c r="AJ44" s="42">
        <f t="shared" si="13"/>
        <v>0</v>
      </c>
      <c r="AK44" s="42">
        <f t="shared" si="14"/>
        <v>0</v>
      </c>
      <c r="AL44" s="147">
        <f t="shared" si="15"/>
        <v>0</v>
      </c>
      <c r="AM44" s="145">
        <f t="shared" si="16"/>
        <v>0</v>
      </c>
      <c r="AN44" s="145">
        <f t="shared" si="17"/>
        <v>0</v>
      </c>
      <c r="AO44" s="145">
        <f t="shared" si="18"/>
        <v>0</v>
      </c>
      <c r="AP44" s="44" t="str">
        <f t="shared" si="19"/>
        <v/>
      </c>
      <c r="AQ44" s="45" t="str">
        <f t="shared" si="20"/>
        <v/>
      </c>
      <c r="AR44" s="45" t="str">
        <f t="shared" si="21"/>
        <v/>
      </c>
      <c r="AS44" s="37" t="str">
        <f t="shared" si="22"/>
        <v/>
      </c>
      <c r="AT44" s="46">
        <f t="shared" si="23"/>
        <v>99999.004400000005</v>
      </c>
      <c r="AU44" s="2">
        <f>RANK(AT44,$AT$5:$AT$54,1)</f>
        <v>43</v>
      </c>
      <c r="AV44" s="86" t="str">
        <f t="shared" si="24"/>
        <v/>
      </c>
      <c r="AW44" s="2">
        <f t="shared" si="25"/>
        <v>0</v>
      </c>
    </row>
    <row r="45" spans="1:49" x14ac:dyDescent="0.15">
      <c r="B45" s="2" t="s">
        <v>248</v>
      </c>
      <c r="M45" s="46"/>
      <c r="AJ45" s="42">
        <f t="shared" si="13"/>
        <v>0</v>
      </c>
      <c r="AK45" s="42">
        <f t="shared" si="14"/>
        <v>0</v>
      </c>
      <c r="AL45" s="147">
        <f t="shared" si="15"/>
        <v>0</v>
      </c>
      <c r="AM45" s="145">
        <f t="shared" si="16"/>
        <v>0</v>
      </c>
      <c r="AN45" s="145">
        <f t="shared" si="17"/>
        <v>0</v>
      </c>
      <c r="AO45" s="145">
        <f t="shared" si="18"/>
        <v>0</v>
      </c>
      <c r="AP45" s="44" t="str">
        <f t="shared" si="19"/>
        <v/>
      </c>
      <c r="AQ45" s="45" t="str">
        <f t="shared" si="20"/>
        <v/>
      </c>
      <c r="AR45" s="45" t="str">
        <f t="shared" si="21"/>
        <v/>
      </c>
      <c r="AS45" s="37" t="str">
        <f t="shared" si="22"/>
        <v/>
      </c>
      <c r="AT45" s="46">
        <f t="shared" si="23"/>
        <v>99999.004499999995</v>
      </c>
      <c r="AU45" s="2">
        <f>RANK(AT45,$AT$5:$AT$54,1)</f>
        <v>44</v>
      </c>
      <c r="AV45" s="86" t="str">
        <f t="shared" si="24"/>
        <v/>
      </c>
      <c r="AW45" s="2">
        <f t="shared" si="25"/>
        <v>0</v>
      </c>
    </row>
    <row r="46" spans="1:49" x14ac:dyDescent="0.15">
      <c r="B46" s="2" t="s">
        <v>221</v>
      </c>
      <c r="D46" s="2" t="s">
        <v>476</v>
      </c>
      <c r="E46" s="2" t="s">
        <v>498</v>
      </c>
      <c r="G46" s="2" t="s">
        <v>539</v>
      </c>
      <c r="K46" s="2" t="s">
        <v>447</v>
      </c>
      <c r="M46" s="46"/>
      <c r="AJ46" s="42">
        <f t="shared" si="13"/>
        <v>4</v>
      </c>
      <c r="AK46" s="42">
        <f t="shared" si="14"/>
        <v>112</v>
      </c>
      <c r="AL46" s="147">
        <f t="shared" si="15"/>
        <v>18.399999999999999</v>
      </c>
      <c r="AM46" s="145">
        <f t="shared" si="16"/>
        <v>1</v>
      </c>
      <c r="AN46" s="145">
        <f t="shared" si="17"/>
        <v>86</v>
      </c>
      <c r="AO46" s="145">
        <f t="shared" si="18"/>
        <v>6</v>
      </c>
      <c r="AP46" s="44">
        <f t="shared" si="19"/>
        <v>14.33</v>
      </c>
      <c r="AQ46" s="45">
        <f t="shared" si="20"/>
        <v>18.666666666666668</v>
      </c>
      <c r="AR46" s="45">
        <f t="shared" si="21"/>
        <v>4.6071428571428568</v>
      </c>
      <c r="AS46" s="37" t="str">
        <f t="shared" si="22"/>
        <v>3-4</v>
      </c>
      <c r="AT46" s="46">
        <f t="shared" si="23"/>
        <v>14.3346</v>
      </c>
      <c r="AU46" s="2">
        <f>RANK(AT46,$AT$5:$AT$54,1)</f>
        <v>9</v>
      </c>
      <c r="AV46" s="86" t="str">
        <f t="shared" si="24"/>
        <v/>
      </c>
      <c r="AW46" s="2">
        <f t="shared" si="25"/>
        <v>0</v>
      </c>
    </row>
    <row r="47" spans="1:49" x14ac:dyDescent="0.15">
      <c r="B47" s="2" t="s">
        <v>305</v>
      </c>
      <c r="M47" s="46"/>
      <c r="AJ47" s="42">
        <f t="shared" ref="AJ47" si="65">BowlSplit(C47:AH47,InnsBowledIn)</f>
        <v>0</v>
      </c>
      <c r="AK47" s="42">
        <f t="shared" ref="AK47" si="66">BowlSplit(C47:AH47,BallsBowled)</f>
        <v>0</v>
      </c>
      <c r="AL47" s="147">
        <f t="shared" ref="AL47" si="67">BowlSplit(C47:AH47,OversBowled)</f>
        <v>0</v>
      </c>
      <c r="AM47" s="145">
        <f t="shared" ref="AM47" si="68">BowlSplit(C47:AH47,Maidens)</f>
        <v>0</v>
      </c>
      <c r="AN47" s="145">
        <f t="shared" ref="AN47" si="69">BowlSplit(C47:AH47,RunsConceded)</f>
        <v>0</v>
      </c>
      <c r="AO47" s="145">
        <f t="shared" ref="AO47" si="70">BowlSplit(C47:AH47,WicketsTaken)</f>
        <v>0</v>
      </c>
      <c r="AP47" s="44" t="str">
        <f t="shared" ref="AP47" si="71">IF(AO47&gt;0,ROUND(AN47/AO47,2),"")</f>
        <v/>
      </c>
      <c r="AQ47" s="45" t="str">
        <f t="shared" ref="AQ47" si="72">IF(AO47&gt;0,AK47/AO47,"")</f>
        <v/>
      </c>
      <c r="AR47" s="45" t="str">
        <f t="shared" ref="AR47" si="73">IF(AK47&gt;0,6*AN47/AK47,"")</f>
        <v/>
      </c>
      <c r="AS47" s="37" t="str">
        <f t="shared" ref="AS47" si="74">BowlSplit(C47:AH47,BestBowling)</f>
        <v/>
      </c>
      <c r="AT47" s="46">
        <f t="shared" ref="AT47" si="75">IF(AO47&gt;0,AP47,IF(AK47&gt;0,AK47+1000,99999))+ROW(AL47)/10000</f>
        <v>99999.004700000005</v>
      </c>
      <c r="AU47" s="2">
        <f>RANK(AT47,$AT$5:$AT$54,1)</f>
        <v>45</v>
      </c>
      <c r="AV47" s="86" t="str">
        <f t="shared" ref="AV47" si="76">IF(AK47&gt;=120,AM47/AK47*6,"")</f>
        <v/>
      </c>
      <c r="AW47" s="2">
        <f t="shared" ref="AW47" si="77">BowlSplit(C47:AH47,FiveFors)</f>
        <v>0</v>
      </c>
    </row>
    <row r="48" spans="1:49" x14ac:dyDescent="0.15">
      <c r="B48" s="2" t="s">
        <v>477</v>
      </c>
      <c r="D48" s="2" t="s">
        <v>396</v>
      </c>
      <c r="E48" s="2" t="s">
        <v>497</v>
      </c>
      <c r="J48" s="2" t="s">
        <v>468</v>
      </c>
      <c r="K48" s="2" t="s">
        <v>592</v>
      </c>
      <c r="M48" s="46"/>
      <c r="AJ48" s="42">
        <f t="shared" si="13"/>
        <v>4</v>
      </c>
      <c r="AK48" s="42">
        <f t="shared" si="14"/>
        <v>126</v>
      </c>
      <c r="AL48" s="147">
        <f t="shared" si="15"/>
        <v>21</v>
      </c>
      <c r="AM48" s="145">
        <f t="shared" si="16"/>
        <v>1</v>
      </c>
      <c r="AN48" s="145">
        <f t="shared" si="17"/>
        <v>73</v>
      </c>
      <c r="AO48" s="145">
        <f t="shared" si="18"/>
        <v>6</v>
      </c>
      <c r="AP48" s="44">
        <f t="shared" si="19"/>
        <v>12.17</v>
      </c>
      <c r="AQ48" s="45">
        <f t="shared" si="20"/>
        <v>21</v>
      </c>
      <c r="AR48" s="45">
        <f t="shared" si="21"/>
        <v>3.4761904761904763</v>
      </c>
      <c r="AS48" s="37" t="str">
        <f t="shared" si="22"/>
        <v>3-13</v>
      </c>
      <c r="AT48" s="46">
        <f t="shared" si="23"/>
        <v>12.174799999999999</v>
      </c>
      <c r="AU48" s="2">
        <f>RANK(AT48,$AT$5:$AT$54,1)</f>
        <v>4</v>
      </c>
      <c r="AV48" s="86">
        <f t="shared" si="24"/>
        <v>4.7619047619047616E-2</v>
      </c>
      <c r="AW48" s="2">
        <f t="shared" si="25"/>
        <v>0</v>
      </c>
    </row>
    <row r="49" spans="1:49" x14ac:dyDescent="0.15">
      <c r="B49" s="2" t="s">
        <v>327</v>
      </c>
      <c r="M49" s="46"/>
      <c r="AJ49" s="42">
        <f t="shared" si="13"/>
        <v>0</v>
      </c>
      <c r="AK49" s="42">
        <f t="shared" si="14"/>
        <v>0</v>
      </c>
      <c r="AL49" s="147">
        <f t="shared" si="15"/>
        <v>0</v>
      </c>
      <c r="AM49" s="145">
        <f t="shared" si="16"/>
        <v>0</v>
      </c>
      <c r="AN49" s="145">
        <f t="shared" si="17"/>
        <v>0</v>
      </c>
      <c r="AO49" s="145">
        <f t="shared" si="18"/>
        <v>0</v>
      </c>
      <c r="AP49" s="44" t="str">
        <f t="shared" si="19"/>
        <v/>
      </c>
      <c r="AQ49" s="45" t="str">
        <f t="shared" si="20"/>
        <v/>
      </c>
      <c r="AR49" s="45" t="str">
        <f t="shared" si="21"/>
        <v/>
      </c>
      <c r="AS49" s="37" t="str">
        <f t="shared" si="22"/>
        <v/>
      </c>
      <c r="AT49" s="46">
        <f t="shared" si="23"/>
        <v>99999.0049</v>
      </c>
      <c r="AU49" s="2">
        <f>RANK(AT49,$AT$5:$AT$54,1)</f>
        <v>46</v>
      </c>
      <c r="AV49" s="86" t="str">
        <f t="shared" si="24"/>
        <v/>
      </c>
      <c r="AW49" s="2">
        <f t="shared" si="25"/>
        <v>0</v>
      </c>
    </row>
    <row r="50" spans="1:49" x14ac:dyDescent="0.15">
      <c r="B50" s="2" t="s">
        <v>354</v>
      </c>
      <c r="M50" s="46"/>
      <c r="AJ50" s="42">
        <f t="shared" si="13"/>
        <v>0</v>
      </c>
      <c r="AK50" s="42">
        <f t="shared" si="14"/>
        <v>0</v>
      </c>
      <c r="AL50" s="147">
        <f t="shared" si="15"/>
        <v>0</v>
      </c>
      <c r="AM50" s="145">
        <f t="shared" si="16"/>
        <v>0</v>
      </c>
      <c r="AN50" s="145">
        <f t="shared" si="17"/>
        <v>0</v>
      </c>
      <c r="AO50" s="145">
        <f t="shared" si="18"/>
        <v>0</v>
      </c>
      <c r="AP50" s="44" t="str">
        <f t="shared" si="19"/>
        <v/>
      </c>
      <c r="AQ50" s="45" t="str">
        <f t="shared" si="20"/>
        <v/>
      </c>
      <c r="AR50" s="45" t="str">
        <f t="shared" si="21"/>
        <v/>
      </c>
      <c r="AS50" s="37" t="str">
        <f t="shared" si="22"/>
        <v/>
      </c>
      <c r="AT50" s="46">
        <f t="shared" si="23"/>
        <v>99999.005000000005</v>
      </c>
      <c r="AU50" s="2">
        <f>RANK(AT50,$AT$5:$AT$54,1)</f>
        <v>47</v>
      </c>
      <c r="AV50" s="86" t="str">
        <f t="shared" si="24"/>
        <v/>
      </c>
      <c r="AW50" s="2">
        <f t="shared" si="25"/>
        <v>0</v>
      </c>
    </row>
    <row r="51" spans="1:49" x14ac:dyDescent="0.15">
      <c r="A51" s="2" t="s">
        <v>464</v>
      </c>
      <c r="B51" t="s">
        <v>463</v>
      </c>
      <c r="C51" s="2" t="s">
        <v>468</v>
      </c>
      <c r="D51" s="2" t="s">
        <v>466</v>
      </c>
      <c r="E51" s="2" t="s">
        <v>495</v>
      </c>
      <c r="I51" s="2" t="s">
        <v>564</v>
      </c>
      <c r="M51" s="46"/>
      <c r="AJ51" s="42">
        <f t="shared" ref="AJ51" si="78">BowlSplit(C51:AH51,InnsBowledIn)</f>
        <v>4</v>
      </c>
      <c r="AK51" s="42">
        <f t="shared" ref="AK51" si="79">BowlSplit(C51:AH51,BallsBowled)</f>
        <v>150</v>
      </c>
      <c r="AL51" s="147">
        <f t="shared" ref="AL51" si="80">BowlSplit(C51:AH51,OversBowled)</f>
        <v>25</v>
      </c>
      <c r="AM51" s="145">
        <f t="shared" ref="AM51" si="81">BowlSplit(C51:AH51,Maidens)</f>
        <v>2</v>
      </c>
      <c r="AN51" s="145">
        <f t="shared" ref="AN51" si="82">BowlSplit(C51:AH51,RunsConceded)</f>
        <v>144</v>
      </c>
      <c r="AO51" s="145">
        <f t="shared" ref="AO51" si="83">BowlSplit(C51:AH51,WicketsTaken)</f>
        <v>2</v>
      </c>
      <c r="AP51" s="44">
        <f t="shared" ref="AP51" si="84">IF(AO51&gt;0,ROUND(AN51/AO51,2),"")</f>
        <v>72</v>
      </c>
      <c r="AQ51" s="45">
        <f t="shared" ref="AQ51" si="85">IF(AO51&gt;0,AK51/AO51,"")</f>
        <v>75</v>
      </c>
      <c r="AR51" s="45">
        <f t="shared" ref="AR51" si="86">IF(AK51&gt;0,6*AN51/AK51,"")</f>
        <v>5.76</v>
      </c>
      <c r="AS51" s="37" t="str">
        <f t="shared" ref="AS51" si="87">BowlSplit(C51:AH51,BestBowling)</f>
        <v>1-27</v>
      </c>
      <c r="AT51" s="46">
        <f t="shared" ref="AT51" si="88">IF(AO51&gt;0,AP51,IF(AK51&gt;0,AK51+1000,99999))+ROW(AL51)/10000</f>
        <v>72.005099999999999</v>
      </c>
      <c r="AU51" s="2">
        <f>RANK(AT51,$AT$5:$AT$54,1)</f>
        <v>17</v>
      </c>
      <c r="AV51" s="86">
        <f t="shared" ref="AV51" si="89">IF(AK51&gt;=120,AM51/AK51*6,"")</f>
        <v>0.08</v>
      </c>
      <c r="AW51" s="2">
        <f t="shared" ref="AW51" si="90">BowlSplit(C51:AH51,FiveFors)</f>
        <v>0</v>
      </c>
    </row>
    <row r="52" spans="1:49" x14ac:dyDescent="0.15">
      <c r="B52" t="s">
        <v>235</v>
      </c>
      <c r="M52" s="46"/>
      <c r="AJ52" s="42">
        <f t="shared" si="13"/>
        <v>0</v>
      </c>
      <c r="AK52" s="42">
        <f t="shared" si="14"/>
        <v>0</v>
      </c>
      <c r="AL52" s="147">
        <f t="shared" si="15"/>
        <v>0</v>
      </c>
      <c r="AM52" s="145">
        <f t="shared" si="16"/>
        <v>0</v>
      </c>
      <c r="AN52" s="145">
        <f t="shared" si="17"/>
        <v>0</v>
      </c>
      <c r="AO52" s="145">
        <f t="shared" si="18"/>
        <v>0</v>
      </c>
      <c r="AP52" s="44" t="str">
        <f t="shared" si="19"/>
        <v/>
      </c>
      <c r="AQ52" s="45" t="str">
        <f t="shared" si="20"/>
        <v/>
      </c>
      <c r="AR52" s="45" t="str">
        <f t="shared" si="21"/>
        <v/>
      </c>
      <c r="AS52" s="37" t="str">
        <f t="shared" si="22"/>
        <v/>
      </c>
      <c r="AT52" s="46">
        <f t="shared" si="23"/>
        <v>99999.0052</v>
      </c>
      <c r="AU52" s="2">
        <f>RANK(AT52,$AT$5:$AT$54,1)</f>
        <v>48</v>
      </c>
      <c r="AV52" s="86" t="str">
        <f t="shared" si="24"/>
        <v/>
      </c>
      <c r="AW52" s="2">
        <f t="shared" si="25"/>
        <v>0</v>
      </c>
    </row>
    <row r="53" spans="1:49" x14ac:dyDescent="0.15">
      <c r="A53"/>
      <c r="B53" t="s">
        <v>232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 s="42">
        <f t="shared" si="13"/>
        <v>0</v>
      </c>
      <c r="AK53" s="42">
        <f t="shared" si="14"/>
        <v>0</v>
      </c>
      <c r="AL53" s="147">
        <f t="shared" si="15"/>
        <v>0</v>
      </c>
      <c r="AM53" s="145">
        <f t="shared" si="16"/>
        <v>0</v>
      </c>
      <c r="AN53" s="145">
        <f t="shared" si="17"/>
        <v>0</v>
      </c>
      <c r="AO53" s="145">
        <f t="shared" si="18"/>
        <v>0</v>
      </c>
      <c r="AP53" s="44" t="str">
        <f t="shared" si="19"/>
        <v/>
      </c>
      <c r="AQ53" s="45" t="str">
        <f t="shared" si="20"/>
        <v/>
      </c>
      <c r="AR53" s="45" t="str">
        <f t="shared" si="21"/>
        <v/>
      </c>
      <c r="AS53" s="37" t="str">
        <f t="shared" si="22"/>
        <v/>
      </c>
      <c r="AT53" s="46">
        <f t="shared" si="23"/>
        <v>99999.005300000004</v>
      </c>
      <c r="AU53" s="2">
        <f>RANK(AT53,$AT$5:$AT$54,1)</f>
        <v>49</v>
      </c>
      <c r="AV53" s="86" t="str">
        <f t="shared" si="24"/>
        <v/>
      </c>
      <c r="AW53" s="2">
        <f t="shared" si="25"/>
        <v>0</v>
      </c>
    </row>
    <row r="54" spans="1:49" x14ac:dyDescent="0.1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 s="42">
        <f t="shared" si="13"/>
        <v>0</v>
      </c>
      <c r="AK54" s="42">
        <f t="shared" si="14"/>
        <v>0</v>
      </c>
      <c r="AL54" s="147">
        <f t="shared" si="15"/>
        <v>0</v>
      </c>
      <c r="AM54" s="145">
        <f t="shared" si="16"/>
        <v>0</v>
      </c>
      <c r="AN54" s="145">
        <f t="shared" si="17"/>
        <v>0</v>
      </c>
      <c r="AO54" s="145">
        <f t="shared" si="18"/>
        <v>0</v>
      </c>
      <c r="AP54" s="44" t="str">
        <f t="shared" si="19"/>
        <v/>
      </c>
      <c r="AQ54" s="45" t="str">
        <f t="shared" si="20"/>
        <v/>
      </c>
      <c r="AR54" s="45" t="str">
        <f t="shared" si="21"/>
        <v/>
      </c>
      <c r="AS54" s="37" t="str">
        <f t="shared" si="22"/>
        <v/>
      </c>
      <c r="AT54" s="46">
        <f t="shared" si="23"/>
        <v>99999.005399999995</v>
      </c>
      <c r="AU54" s="2">
        <f>RANK(AT54,$AT$5:$AT$54,1)</f>
        <v>50</v>
      </c>
      <c r="AV54" s="86" t="str">
        <f t="shared" si="24"/>
        <v/>
      </c>
      <c r="AW54" s="2">
        <f t="shared" si="25"/>
        <v>0</v>
      </c>
    </row>
    <row r="56" spans="1:49" x14ac:dyDescent="0.15">
      <c r="B56" s="2" t="s">
        <v>112</v>
      </c>
      <c r="C56" s="2">
        <f t="shared" ref="C56:AF56" si="91">BowlSplit(C5:C54,RunsConceded)</f>
        <v>187</v>
      </c>
      <c r="D56" s="2">
        <f t="shared" si="91"/>
        <v>160</v>
      </c>
      <c r="E56" s="2">
        <f t="shared" si="91"/>
        <v>110</v>
      </c>
      <c r="F56" s="2">
        <f t="shared" si="91"/>
        <v>103</v>
      </c>
      <c r="G56" s="2">
        <f t="shared" si="91"/>
        <v>156</v>
      </c>
      <c r="H56" s="2">
        <f t="shared" si="91"/>
        <v>166</v>
      </c>
      <c r="I56" s="2">
        <f>BowlSplit(I5:I54,RunsConceded)</f>
        <v>155</v>
      </c>
      <c r="J56" s="2">
        <f t="shared" si="91"/>
        <v>91</v>
      </c>
      <c r="K56" s="2">
        <f t="shared" si="91"/>
        <v>113</v>
      </c>
      <c r="L56" s="2">
        <f t="shared" si="91"/>
        <v>0</v>
      </c>
      <c r="M56" s="2">
        <f t="shared" si="91"/>
        <v>0</v>
      </c>
      <c r="N56" s="2">
        <f t="shared" si="91"/>
        <v>0</v>
      </c>
      <c r="O56" s="2">
        <f t="shared" si="91"/>
        <v>0</v>
      </c>
      <c r="P56" s="2">
        <f t="shared" si="91"/>
        <v>0</v>
      </c>
      <c r="Q56" s="2">
        <f t="shared" si="91"/>
        <v>0</v>
      </c>
      <c r="R56" s="2">
        <f t="shared" si="91"/>
        <v>0</v>
      </c>
      <c r="S56" s="2">
        <f t="shared" si="91"/>
        <v>0</v>
      </c>
      <c r="T56" s="2">
        <f t="shared" si="91"/>
        <v>0</v>
      </c>
      <c r="U56" s="2">
        <f t="shared" si="91"/>
        <v>0</v>
      </c>
      <c r="V56" s="2">
        <f t="shared" si="91"/>
        <v>0</v>
      </c>
      <c r="W56" s="2">
        <f t="shared" si="91"/>
        <v>0</v>
      </c>
      <c r="X56" s="2">
        <f t="shared" si="91"/>
        <v>0</v>
      </c>
      <c r="Y56" s="2">
        <f t="shared" si="91"/>
        <v>0</v>
      </c>
      <c r="Z56" s="2">
        <f t="shared" si="91"/>
        <v>0</v>
      </c>
      <c r="AA56" s="2">
        <f t="shared" si="91"/>
        <v>0</v>
      </c>
      <c r="AB56" s="2">
        <f t="shared" si="91"/>
        <v>0</v>
      </c>
      <c r="AC56" s="2">
        <f t="shared" si="91"/>
        <v>0</v>
      </c>
      <c r="AD56" s="2">
        <f t="shared" si="91"/>
        <v>0</v>
      </c>
      <c r="AE56" s="2">
        <f t="shared" si="91"/>
        <v>0</v>
      </c>
      <c r="AF56" s="2">
        <f t="shared" si="91"/>
        <v>0</v>
      </c>
      <c r="AJ56" s="42">
        <f>SUM(C56:AH56)</f>
        <v>1241</v>
      </c>
      <c r="AK56" s="42">
        <f>SUM(AK5:AK54)</f>
        <v>1817</v>
      </c>
      <c r="AO56" s="145">
        <f>SUM(AO5:AO54)</f>
        <v>65</v>
      </c>
    </row>
    <row r="57" spans="1:49" x14ac:dyDescent="0.15">
      <c r="B57" s="2" t="s">
        <v>113</v>
      </c>
      <c r="C57" s="2">
        <f t="array" ref="C57:AF58">TRANSPOSE(Matches!S5:T32)</f>
        <v>6</v>
      </c>
      <c r="D57" s="2">
        <v>9</v>
      </c>
      <c r="E57" s="2">
        <v>8</v>
      </c>
      <c r="F57" s="2">
        <v>10</v>
      </c>
      <c r="G57" s="2">
        <v>0</v>
      </c>
      <c r="H57" s="2">
        <v>17</v>
      </c>
      <c r="I57" s="2">
        <v>3</v>
      </c>
      <c r="J57" s="2">
        <v>4</v>
      </c>
      <c r="K57" s="2">
        <v>1</v>
      </c>
      <c r="L57" s="2">
        <v>14</v>
      </c>
      <c r="M57" s="2">
        <v>0</v>
      </c>
      <c r="N57" s="2">
        <v>4</v>
      </c>
      <c r="O57" s="2">
        <v>8</v>
      </c>
      <c r="P57" s="2">
        <v>0</v>
      </c>
      <c r="Q57" s="2">
        <v>5</v>
      </c>
      <c r="R57" s="2">
        <v>0</v>
      </c>
      <c r="S57" s="2">
        <v>4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 t="e">
        <v>#N/A</v>
      </c>
      <c r="AF57" s="2" t="e">
        <v>#N/A</v>
      </c>
      <c r="AJ57" s="42">
        <f t="array" ref="AJ57">SUM(_xlfn.IFNA(C57:AH57,0))</f>
        <v>93</v>
      </c>
    </row>
    <row r="58" spans="1:49" x14ac:dyDescent="0.15">
      <c r="B58" s="2" t="s">
        <v>114</v>
      </c>
      <c r="C58" s="2">
        <v>5</v>
      </c>
      <c r="D58" s="2">
        <v>2</v>
      </c>
      <c r="E58" s="2">
        <v>0</v>
      </c>
      <c r="F58" s="2">
        <v>7</v>
      </c>
      <c r="G58" s="2">
        <v>1</v>
      </c>
      <c r="H58" s="2">
        <v>5</v>
      </c>
      <c r="I58" s="2">
        <v>0</v>
      </c>
      <c r="J58" s="2">
        <v>0</v>
      </c>
      <c r="K58" s="2">
        <v>5</v>
      </c>
      <c r="L58" s="2">
        <v>4</v>
      </c>
      <c r="M58" s="2">
        <v>0</v>
      </c>
      <c r="N58" s="2">
        <v>1</v>
      </c>
      <c r="O58" s="2">
        <v>1</v>
      </c>
      <c r="P58" s="2">
        <v>1</v>
      </c>
      <c r="Q58" s="2">
        <v>0</v>
      </c>
      <c r="R58" s="2">
        <v>2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 t="e">
        <v>#N/A</v>
      </c>
      <c r="AF58" s="2" t="e">
        <v>#N/A</v>
      </c>
      <c r="AJ58" s="42">
        <f t="array" ref="AJ58">SUM(_xlfn.IFNA(C58:AH58,0))</f>
        <v>34</v>
      </c>
      <c r="AL58" s="145" t="s">
        <v>145</v>
      </c>
      <c r="AM58" s="145" t="s">
        <v>146</v>
      </c>
    </row>
    <row r="59" spans="1:49" s="43" customFormat="1" x14ac:dyDescent="0.15">
      <c r="B59" s="43" t="s">
        <v>111</v>
      </c>
      <c r="C59" s="43">
        <f>SUM(C56:C58)</f>
        <v>198</v>
      </c>
      <c r="D59" s="43">
        <f t="shared" ref="D59:AF59" si="92">SUM(D56:D58)</f>
        <v>171</v>
      </c>
      <c r="E59" s="43">
        <f t="shared" si="92"/>
        <v>118</v>
      </c>
      <c r="F59" s="43">
        <f t="shared" si="92"/>
        <v>120</v>
      </c>
      <c r="G59" s="43">
        <f t="shared" si="92"/>
        <v>157</v>
      </c>
      <c r="H59" s="43">
        <f t="shared" si="92"/>
        <v>188</v>
      </c>
      <c r="I59" s="43">
        <f t="shared" si="92"/>
        <v>158</v>
      </c>
      <c r="J59" s="43">
        <f t="shared" si="92"/>
        <v>95</v>
      </c>
      <c r="K59" s="43">
        <f t="shared" si="92"/>
        <v>119</v>
      </c>
      <c r="L59" s="43">
        <f t="shared" si="92"/>
        <v>18</v>
      </c>
      <c r="M59" s="43">
        <f t="shared" si="92"/>
        <v>0</v>
      </c>
      <c r="N59" s="43">
        <f t="shared" si="92"/>
        <v>5</v>
      </c>
      <c r="O59" s="43">
        <f t="shared" si="92"/>
        <v>9</v>
      </c>
      <c r="P59" s="43">
        <f t="shared" si="92"/>
        <v>1</v>
      </c>
      <c r="Q59" s="43">
        <f t="shared" si="92"/>
        <v>5</v>
      </c>
      <c r="R59" s="43">
        <f t="shared" si="92"/>
        <v>2</v>
      </c>
      <c r="S59" s="43">
        <f t="shared" si="92"/>
        <v>4</v>
      </c>
      <c r="T59" s="43">
        <f t="shared" si="92"/>
        <v>0</v>
      </c>
      <c r="U59" s="43">
        <f t="shared" si="92"/>
        <v>0</v>
      </c>
      <c r="V59" s="43">
        <f t="shared" si="92"/>
        <v>0</v>
      </c>
      <c r="W59" s="43">
        <f t="shared" si="92"/>
        <v>0</v>
      </c>
      <c r="X59" s="43">
        <f t="shared" si="92"/>
        <v>0</v>
      </c>
      <c r="Y59" s="43">
        <f t="shared" si="92"/>
        <v>0</v>
      </c>
      <c r="Z59" s="43">
        <f t="shared" si="92"/>
        <v>0</v>
      </c>
      <c r="AA59" s="43">
        <f t="shared" si="92"/>
        <v>0</v>
      </c>
      <c r="AB59" s="43">
        <f t="shared" si="92"/>
        <v>0</v>
      </c>
      <c r="AC59" s="43">
        <f t="shared" si="92"/>
        <v>0</v>
      </c>
      <c r="AD59" s="43">
        <f t="shared" si="92"/>
        <v>0</v>
      </c>
      <c r="AE59" s="43" t="e">
        <f t="shared" si="92"/>
        <v>#N/A</v>
      </c>
      <c r="AF59" s="43" t="e">
        <f t="shared" si="92"/>
        <v>#N/A</v>
      </c>
      <c r="AJ59" s="43">
        <f t="array" ref="AJ59">SUM(_xlfn.IFNA(C59:AH59,0))</f>
        <v>1368</v>
      </c>
      <c r="AL59" s="148">
        <f t="array" ref="AL59">MAX(_xlfn.IFNA(C59:AH59,0))</f>
        <v>198</v>
      </c>
      <c r="AM59" s="148">
        <f t="array" ref="AM59">MIN(IF(_xlfn.IFNA(C59:AH59,0)&gt;0,_xlfn.IFNA(C59:AH59,0),9999))</f>
        <v>1</v>
      </c>
      <c r="AN59" s="148"/>
      <c r="AO59" s="148"/>
    </row>
    <row r="60" spans="1:49" x14ac:dyDescent="0.15">
      <c r="B60" s="2" t="s">
        <v>30</v>
      </c>
      <c r="C60" s="2">
        <f t="shared" ref="C60:AF60" si="93">BowlSplit(C5:C54,OversBowled)</f>
        <v>40</v>
      </c>
      <c r="D60" s="2">
        <f t="shared" si="93"/>
        <v>40</v>
      </c>
      <c r="E60" s="2">
        <f t="shared" si="93"/>
        <v>35.4</v>
      </c>
      <c r="F60" s="2">
        <f t="shared" si="93"/>
        <v>29.5</v>
      </c>
      <c r="G60" s="2">
        <f t="shared" si="93"/>
        <v>35</v>
      </c>
      <c r="H60" s="2">
        <f t="shared" si="93"/>
        <v>35</v>
      </c>
      <c r="I60" s="2">
        <f>BowlSplit(I5:I54,OversBowled)</f>
        <v>31</v>
      </c>
      <c r="J60" s="2">
        <f t="shared" si="93"/>
        <v>23.4</v>
      </c>
      <c r="K60" s="2">
        <f t="shared" si="93"/>
        <v>32.4</v>
      </c>
      <c r="L60" s="2">
        <f t="shared" si="93"/>
        <v>0</v>
      </c>
      <c r="M60" s="2">
        <f t="shared" si="93"/>
        <v>0</v>
      </c>
      <c r="N60" s="2">
        <f t="shared" si="93"/>
        <v>0</v>
      </c>
      <c r="O60" s="2">
        <f t="shared" si="93"/>
        <v>0</v>
      </c>
      <c r="P60" s="2">
        <f t="shared" si="93"/>
        <v>0</v>
      </c>
      <c r="Q60" s="2">
        <f t="shared" si="93"/>
        <v>0</v>
      </c>
      <c r="R60" s="2">
        <f t="shared" si="93"/>
        <v>0</v>
      </c>
      <c r="S60" s="2">
        <f t="shared" si="93"/>
        <v>0</v>
      </c>
      <c r="T60" s="2">
        <f t="shared" si="93"/>
        <v>0</v>
      </c>
      <c r="U60" s="2">
        <f t="shared" si="93"/>
        <v>0</v>
      </c>
      <c r="V60" s="2">
        <f t="shared" si="93"/>
        <v>0</v>
      </c>
      <c r="W60" s="2">
        <f t="shared" si="93"/>
        <v>0</v>
      </c>
      <c r="X60" s="2">
        <f t="shared" si="93"/>
        <v>0</v>
      </c>
      <c r="Y60" s="2">
        <f t="shared" si="93"/>
        <v>0</v>
      </c>
      <c r="Z60" s="2">
        <f t="shared" si="93"/>
        <v>0</v>
      </c>
      <c r="AA60" s="2">
        <f t="shared" si="93"/>
        <v>0</v>
      </c>
      <c r="AB60" s="2">
        <f t="shared" si="93"/>
        <v>0</v>
      </c>
      <c r="AC60" s="2">
        <f t="shared" si="93"/>
        <v>0</v>
      </c>
      <c r="AD60" s="2">
        <f t="shared" si="93"/>
        <v>0</v>
      </c>
      <c r="AE60" s="2">
        <f t="shared" si="93"/>
        <v>0</v>
      </c>
      <c r="AF60" s="2">
        <f t="shared" si="93"/>
        <v>0</v>
      </c>
      <c r="AJ60" s="42">
        <f>MAX(C60:AH60)</f>
        <v>40</v>
      </c>
    </row>
    <row r="61" spans="1:49" x14ac:dyDescent="0.15">
      <c r="B61" s="2" t="s">
        <v>29</v>
      </c>
      <c r="C61" s="2">
        <f t="shared" ref="C61:N61" si="94">BowlSplit(C5:C54,BallsBowled)</f>
        <v>240</v>
      </c>
      <c r="D61" s="2">
        <f t="shared" si="94"/>
        <v>240</v>
      </c>
      <c r="E61" s="2">
        <f t="shared" si="94"/>
        <v>214</v>
      </c>
      <c r="F61" s="2">
        <f t="shared" si="94"/>
        <v>179</v>
      </c>
      <c r="G61" s="2">
        <f t="shared" si="94"/>
        <v>210</v>
      </c>
      <c r="H61" s="2">
        <f t="shared" si="94"/>
        <v>210</v>
      </c>
      <c r="I61" s="2">
        <f>BowlSplit(I5:I54,BallsBowled)</f>
        <v>186</v>
      </c>
      <c r="J61" s="2">
        <f t="shared" si="94"/>
        <v>142</v>
      </c>
      <c r="K61" s="2">
        <f t="shared" si="94"/>
        <v>196</v>
      </c>
      <c r="L61" s="2">
        <f t="shared" si="94"/>
        <v>0</v>
      </c>
      <c r="M61" s="2">
        <f t="shared" si="94"/>
        <v>0</v>
      </c>
      <c r="N61" s="2">
        <f t="shared" si="94"/>
        <v>0</v>
      </c>
      <c r="O61" s="2">
        <f>BowlSplit(T5:T54,BallsBowled)</f>
        <v>0</v>
      </c>
      <c r="P61" s="2">
        <f t="shared" ref="P61:AF61" si="95">BowlSplit(P5:P54,BallsBowled)</f>
        <v>0</v>
      </c>
      <c r="Q61" s="2">
        <f t="shared" si="95"/>
        <v>0</v>
      </c>
      <c r="R61" s="2">
        <f t="shared" si="95"/>
        <v>0</v>
      </c>
      <c r="S61" s="2">
        <f t="shared" si="95"/>
        <v>0</v>
      </c>
      <c r="T61" s="2">
        <f t="shared" si="95"/>
        <v>0</v>
      </c>
      <c r="U61" s="2">
        <f t="shared" si="95"/>
        <v>0</v>
      </c>
      <c r="V61" s="2">
        <f t="shared" si="95"/>
        <v>0</v>
      </c>
      <c r="W61" s="2">
        <f t="shared" si="95"/>
        <v>0</v>
      </c>
      <c r="X61" s="2">
        <f t="shared" si="95"/>
        <v>0</v>
      </c>
      <c r="Y61" s="2">
        <f t="shared" si="95"/>
        <v>0</v>
      </c>
      <c r="Z61" s="2">
        <f t="shared" si="95"/>
        <v>0</v>
      </c>
      <c r="AA61" s="2">
        <f t="shared" si="95"/>
        <v>0</v>
      </c>
      <c r="AB61" s="2">
        <f t="shared" si="95"/>
        <v>0</v>
      </c>
      <c r="AC61" s="2">
        <f t="shared" si="95"/>
        <v>0</v>
      </c>
      <c r="AD61" s="2">
        <f t="shared" si="95"/>
        <v>0</v>
      </c>
      <c r="AE61" s="2">
        <f t="shared" si="95"/>
        <v>0</v>
      </c>
      <c r="AF61" s="2">
        <f t="shared" si="95"/>
        <v>0</v>
      </c>
      <c r="AJ61" s="42">
        <f>SUM(C61:AH61)</f>
        <v>1817</v>
      </c>
      <c r="AK61" s="42">
        <f>INT(AJ61/6)</f>
        <v>302</v>
      </c>
      <c r="AL61" s="145">
        <f>AJ61-AK61*6</f>
        <v>5</v>
      </c>
      <c r="AM61" s="145">
        <f>AK61+AL61/10</f>
        <v>302.5</v>
      </c>
    </row>
    <row r="62" spans="1:49" x14ac:dyDescent="0.15">
      <c r="B62" s="2" t="s">
        <v>153</v>
      </c>
      <c r="C62" s="2">
        <f t="array" ref="C62:AF62">TRANSPOSE(Matches!P5:P32)</f>
        <v>40</v>
      </c>
      <c r="D62" s="2">
        <v>40</v>
      </c>
      <c r="E62" s="2">
        <v>35.4</v>
      </c>
      <c r="F62" s="2">
        <v>29.5</v>
      </c>
      <c r="G62" s="2">
        <v>35</v>
      </c>
      <c r="H62" s="2">
        <v>35</v>
      </c>
      <c r="I62" s="2">
        <v>31</v>
      </c>
      <c r="J62" s="2">
        <v>23.4</v>
      </c>
      <c r="K62" s="2">
        <v>32.4</v>
      </c>
      <c r="L62" s="2">
        <v>40</v>
      </c>
      <c r="M62" s="2">
        <v>27</v>
      </c>
      <c r="N62" s="2">
        <v>37.1</v>
      </c>
      <c r="O62" s="2">
        <v>40</v>
      </c>
      <c r="P62" s="2">
        <v>23.2</v>
      </c>
      <c r="Q62" s="2">
        <v>35</v>
      </c>
      <c r="R62" s="2">
        <v>23.5</v>
      </c>
      <c r="S62" s="2">
        <v>29.3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2">
        <v>0</v>
      </c>
      <c r="AB62" s="2">
        <v>0</v>
      </c>
      <c r="AC62" s="2">
        <v>0</v>
      </c>
      <c r="AD62" s="2">
        <v>0</v>
      </c>
      <c r="AE62" s="2" t="e">
        <v>#N/A</v>
      </c>
      <c r="AF62" s="2" t="e">
        <v>#N/A</v>
      </c>
    </row>
    <row r="64" spans="1:49" x14ac:dyDescent="0.15">
      <c r="B64" s="2">
        <f>MAX(C64:Z99)</f>
        <v>3</v>
      </c>
      <c r="C64" s="172">
        <f t="shared" ref="C64:Z64" si="96">BowlSplit(C5,$B$65)</f>
        <v>0</v>
      </c>
      <c r="D64" s="172">
        <f t="shared" si="96"/>
        <v>0</v>
      </c>
      <c r="E64" s="172">
        <f t="shared" si="96"/>
        <v>0</v>
      </c>
      <c r="F64" s="172">
        <f t="shared" si="96"/>
        <v>0</v>
      </c>
      <c r="G64" s="172">
        <f t="shared" si="96"/>
        <v>0</v>
      </c>
      <c r="H64" s="172">
        <f>BowlSplit(I5,$B$65)</f>
        <v>0</v>
      </c>
      <c r="I64" s="172">
        <f>BowlSplit(J5,$B$65)</f>
        <v>3</v>
      </c>
      <c r="J64" s="172">
        <f t="shared" si="96"/>
        <v>3</v>
      </c>
      <c r="K64" s="172">
        <f t="shared" si="96"/>
        <v>0</v>
      </c>
      <c r="L64" s="172">
        <f t="shared" si="96"/>
        <v>0</v>
      </c>
      <c r="M64" s="172">
        <f t="shared" si="96"/>
        <v>0</v>
      </c>
      <c r="N64" s="172">
        <f t="shared" si="96"/>
        <v>0</v>
      </c>
      <c r="O64" s="172">
        <f t="shared" si="96"/>
        <v>0</v>
      </c>
      <c r="P64" s="172">
        <f t="shared" si="96"/>
        <v>0</v>
      </c>
      <c r="Q64" s="172">
        <f t="shared" si="96"/>
        <v>0</v>
      </c>
      <c r="R64" s="172">
        <f t="shared" si="96"/>
        <v>0</v>
      </c>
      <c r="S64" s="172">
        <f t="shared" si="96"/>
        <v>0</v>
      </c>
      <c r="T64" s="172">
        <f t="shared" si="96"/>
        <v>0</v>
      </c>
      <c r="U64" s="172">
        <f t="shared" si="96"/>
        <v>0</v>
      </c>
      <c r="V64" s="172">
        <f t="shared" si="96"/>
        <v>0</v>
      </c>
      <c r="W64" s="172">
        <f t="shared" si="96"/>
        <v>0</v>
      </c>
      <c r="X64" s="172">
        <f t="shared" si="96"/>
        <v>0</v>
      </c>
      <c r="Y64" s="172">
        <f t="shared" si="96"/>
        <v>0</v>
      </c>
      <c r="Z64" s="172">
        <f t="shared" si="96"/>
        <v>0</v>
      </c>
    </row>
    <row r="65" spans="2:43" x14ac:dyDescent="0.15">
      <c r="B65" s="2">
        <f>WicketsTaken</f>
        <v>4</v>
      </c>
      <c r="C65" s="172">
        <f t="shared" ref="C65:Z65" si="97">BowlSplit(C6,$B$65)</f>
        <v>0</v>
      </c>
      <c r="D65" s="172">
        <f t="shared" si="97"/>
        <v>0</v>
      </c>
      <c r="E65" s="172">
        <f t="shared" si="97"/>
        <v>3</v>
      </c>
      <c r="F65" s="172">
        <f t="shared" si="97"/>
        <v>0</v>
      </c>
      <c r="G65" s="172">
        <f t="shared" si="97"/>
        <v>0</v>
      </c>
      <c r="H65" s="172">
        <f>BowlSplit(I6,$B$65)</f>
        <v>2</v>
      </c>
      <c r="I65" s="172">
        <f>BowlSplit(J6,$B$65)</f>
        <v>1</v>
      </c>
      <c r="J65" s="172">
        <f t="shared" si="97"/>
        <v>1</v>
      </c>
      <c r="K65" s="172">
        <f t="shared" si="97"/>
        <v>1</v>
      </c>
      <c r="L65" s="172">
        <f t="shared" si="97"/>
        <v>0</v>
      </c>
      <c r="M65" s="172">
        <f t="shared" si="97"/>
        <v>0</v>
      </c>
      <c r="N65" s="172">
        <f t="shared" si="97"/>
        <v>0</v>
      </c>
      <c r="O65" s="172">
        <f t="shared" si="97"/>
        <v>0</v>
      </c>
      <c r="P65" s="172">
        <f t="shared" si="97"/>
        <v>0</v>
      </c>
      <c r="Q65" s="172">
        <f t="shared" si="97"/>
        <v>0</v>
      </c>
      <c r="R65" s="172">
        <f t="shared" si="97"/>
        <v>0</v>
      </c>
      <c r="S65" s="172">
        <f t="shared" si="97"/>
        <v>0</v>
      </c>
      <c r="T65" s="172">
        <f t="shared" si="97"/>
        <v>0</v>
      </c>
      <c r="U65" s="172">
        <f t="shared" si="97"/>
        <v>0</v>
      </c>
      <c r="V65" s="172">
        <f t="shared" si="97"/>
        <v>0</v>
      </c>
      <c r="W65" s="172">
        <f t="shared" si="97"/>
        <v>0</v>
      </c>
      <c r="X65" s="172">
        <f t="shared" si="97"/>
        <v>0</v>
      </c>
      <c r="Y65" s="172">
        <f t="shared" si="97"/>
        <v>0</v>
      </c>
      <c r="Z65" s="172">
        <f t="shared" si="97"/>
        <v>0</v>
      </c>
    </row>
    <row r="66" spans="2:43" x14ac:dyDescent="0.15">
      <c r="C66" s="172">
        <f t="shared" ref="C66:Z66" si="98">BowlSplit(C8,$B$65)</f>
        <v>0</v>
      </c>
      <c r="D66" s="172">
        <f t="shared" si="98"/>
        <v>0</v>
      </c>
      <c r="E66" s="172">
        <f t="shared" si="98"/>
        <v>0</v>
      </c>
      <c r="F66" s="172">
        <f t="shared" si="98"/>
        <v>0</v>
      </c>
      <c r="G66" s="172">
        <f t="shared" si="98"/>
        <v>0</v>
      </c>
      <c r="H66" s="172">
        <f>BowlSplit(I8,$B$65)</f>
        <v>0</v>
      </c>
      <c r="I66" s="172">
        <f>BowlSplit(J8,$B$65)</f>
        <v>0</v>
      </c>
      <c r="J66" s="172">
        <f t="shared" si="98"/>
        <v>0</v>
      </c>
      <c r="K66" s="172">
        <f t="shared" si="98"/>
        <v>0</v>
      </c>
      <c r="L66" s="172">
        <f t="shared" si="98"/>
        <v>0</v>
      </c>
      <c r="M66" s="172">
        <f t="shared" si="98"/>
        <v>0</v>
      </c>
      <c r="N66" s="172">
        <f t="shared" si="98"/>
        <v>0</v>
      </c>
      <c r="O66" s="172">
        <f t="shared" si="98"/>
        <v>0</v>
      </c>
      <c r="P66" s="172">
        <f t="shared" si="98"/>
        <v>0</v>
      </c>
      <c r="Q66" s="172">
        <f t="shared" si="98"/>
        <v>0</v>
      </c>
      <c r="R66" s="172">
        <f t="shared" si="98"/>
        <v>0</v>
      </c>
      <c r="S66" s="172">
        <f t="shared" si="98"/>
        <v>0</v>
      </c>
      <c r="T66" s="172">
        <f t="shared" si="98"/>
        <v>0</v>
      </c>
      <c r="U66" s="172">
        <f t="shared" si="98"/>
        <v>0</v>
      </c>
      <c r="V66" s="172">
        <f t="shared" si="98"/>
        <v>0</v>
      </c>
      <c r="W66" s="172">
        <f t="shared" si="98"/>
        <v>0</v>
      </c>
      <c r="X66" s="172">
        <f t="shared" si="98"/>
        <v>0</v>
      </c>
      <c r="Y66" s="172">
        <f t="shared" si="98"/>
        <v>0</v>
      </c>
      <c r="Z66" s="172">
        <f t="shared" si="98"/>
        <v>0</v>
      </c>
    </row>
    <row r="67" spans="2:43" x14ac:dyDescent="0.15">
      <c r="C67" s="172">
        <f t="shared" ref="C67:Z67" si="99">BowlSplit(C9,$B$65)</f>
        <v>0</v>
      </c>
      <c r="D67" s="172">
        <f t="shared" si="99"/>
        <v>0</v>
      </c>
      <c r="E67" s="172">
        <f t="shared" si="99"/>
        <v>0</v>
      </c>
      <c r="F67" s="172">
        <f t="shared" si="99"/>
        <v>0</v>
      </c>
      <c r="G67" s="172">
        <f t="shared" si="99"/>
        <v>0</v>
      </c>
      <c r="H67" s="172">
        <f>BowlSplit(I9,$B$65)</f>
        <v>0</v>
      </c>
      <c r="I67" s="172">
        <f>BowlSplit(J9,$B$65)</f>
        <v>0</v>
      </c>
      <c r="J67" s="172">
        <f t="shared" si="99"/>
        <v>0</v>
      </c>
      <c r="K67" s="172">
        <f t="shared" si="99"/>
        <v>0</v>
      </c>
      <c r="L67" s="172">
        <f t="shared" si="99"/>
        <v>0</v>
      </c>
      <c r="M67" s="172">
        <f t="shared" si="99"/>
        <v>0</v>
      </c>
      <c r="N67" s="172">
        <f t="shared" si="99"/>
        <v>0</v>
      </c>
      <c r="O67" s="172">
        <f t="shared" si="99"/>
        <v>0</v>
      </c>
      <c r="P67" s="172">
        <f t="shared" si="99"/>
        <v>0</v>
      </c>
      <c r="Q67" s="172">
        <f t="shared" si="99"/>
        <v>0</v>
      </c>
      <c r="R67" s="172">
        <f t="shared" si="99"/>
        <v>0</v>
      </c>
      <c r="S67" s="172">
        <f t="shared" si="99"/>
        <v>0</v>
      </c>
      <c r="T67" s="172">
        <f t="shared" si="99"/>
        <v>0</v>
      </c>
      <c r="U67" s="172">
        <f t="shared" si="99"/>
        <v>0</v>
      </c>
      <c r="V67" s="172">
        <f t="shared" si="99"/>
        <v>0</v>
      </c>
      <c r="W67" s="172">
        <f t="shared" si="99"/>
        <v>0</v>
      </c>
      <c r="X67" s="172">
        <f t="shared" si="99"/>
        <v>0</v>
      </c>
      <c r="Y67" s="172">
        <f t="shared" si="99"/>
        <v>0</v>
      </c>
      <c r="Z67" s="172">
        <f t="shared" si="99"/>
        <v>0</v>
      </c>
    </row>
    <row r="68" spans="2:43" x14ac:dyDescent="0.15">
      <c r="C68" s="172">
        <f t="shared" ref="C68:Z68" si="100">BowlSplit(C10,$B$65)</f>
        <v>0</v>
      </c>
      <c r="D68" s="172">
        <f t="shared" si="100"/>
        <v>0</v>
      </c>
      <c r="E68" s="172">
        <f t="shared" si="100"/>
        <v>0</v>
      </c>
      <c r="F68" s="172">
        <f t="shared" si="100"/>
        <v>0</v>
      </c>
      <c r="G68" s="172">
        <f t="shared" si="100"/>
        <v>0</v>
      </c>
      <c r="H68" s="172">
        <f>BowlSplit(I10,$B$65)</f>
        <v>0</v>
      </c>
      <c r="I68" s="172">
        <f>BowlSplit(J10,$B$65)</f>
        <v>0</v>
      </c>
      <c r="J68" s="172">
        <f t="shared" si="100"/>
        <v>0</v>
      </c>
      <c r="K68" s="172">
        <f t="shared" si="100"/>
        <v>0</v>
      </c>
      <c r="L68" s="172">
        <f t="shared" si="100"/>
        <v>0</v>
      </c>
      <c r="M68" s="172">
        <f t="shared" si="100"/>
        <v>0</v>
      </c>
      <c r="N68" s="172">
        <f t="shared" si="100"/>
        <v>0</v>
      </c>
      <c r="O68" s="172">
        <f t="shared" si="100"/>
        <v>0</v>
      </c>
      <c r="P68" s="172">
        <f t="shared" si="100"/>
        <v>0</v>
      </c>
      <c r="Q68" s="172">
        <f t="shared" si="100"/>
        <v>0</v>
      </c>
      <c r="R68" s="172">
        <f t="shared" si="100"/>
        <v>0</v>
      </c>
      <c r="S68" s="172">
        <f t="shared" si="100"/>
        <v>0</v>
      </c>
      <c r="T68" s="172">
        <f t="shared" si="100"/>
        <v>0</v>
      </c>
      <c r="U68" s="172">
        <f t="shared" si="100"/>
        <v>0</v>
      </c>
      <c r="V68" s="172">
        <f t="shared" si="100"/>
        <v>0</v>
      </c>
      <c r="W68" s="172">
        <f t="shared" si="100"/>
        <v>0</v>
      </c>
      <c r="X68" s="172">
        <f t="shared" si="100"/>
        <v>0</v>
      </c>
      <c r="Y68" s="172">
        <f t="shared" si="100"/>
        <v>0</v>
      </c>
      <c r="Z68" s="172">
        <f t="shared" si="100"/>
        <v>0</v>
      </c>
    </row>
    <row r="69" spans="2:43" x14ac:dyDescent="0.15">
      <c r="C69" s="172">
        <f t="shared" ref="C69:Z69" si="101">BowlSplit(C11,$B$65)</f>
        <v>0</v>
      </c>
      <c r="D69" s="172">
        <f t="shared" si="101"/>
        <v>0</v>
      </c>
      <c r="E69" s="172">
        <f t="shared" si="101"/>
        <v>0</v>
      </c>
      <c r="F69" s="172">
        <f t="shared" si="101"/>
        <v>0</v>
      </c>
      <c r="G69" s="172">
        <f t="shared" si="101"/>
        <v>0</v>
      </c>
      <c r="H69" s="172">
        <f>BowlSplit(I11,$B$65)</f>
        <v>0</v>
      </c>
      <c r="I69" s="172">
        <f>BowlSplit(J11,$B$65)</f>
        <v>0</v>
      </c>
      <c r="J69" s="172">
        <f t="shared" si="101"/>
        <v>0</v>
      </c>
      <c r="K69" s="172">
        <f t="shared" si="101"/>
        <v>0</v>
      </c>
      <c r="L69" s="172">
        <f t="shared" si="101"/>
        <v>0</v>
      </c>
      <c r="M69" s="172">
        <f t="shared" si="101"/>
        <v>0</v>
      </c>
      <c r="N69" s="172">
        <f t="shared" si="101"/>
        <v>0</v>
      </c>
      <c r="O69" s="172">
        <f t="shared" si="101"/>
        <v>0</v>
      </c>
      <c r="P69" s="172">
        <f t="shared" si="101"/>
        <v>0</v>
      </c>
      <c r="Q69" s="172">
        <f t="shared" si="101"/>
        <v>0</v>
      </c>
      <c r="R69" s="172">
        <f t="shared" si="101"/>
        <v>0</v>
      </c>
      <c r="S69" s="172">
        <f t="shared" si="101"/>
        <v>0</v>
      </c>
      <c r="T69" s="172">
        <f t="shared" si="101"/>
        <v>0</v>
      </c>
      <c r="U69" s="172">
        <f t="shared" si="101"/>
        <v>0</v>
      </c>
      <c r="V69" s="172">
        <f t="shared" si="101"/>
        <v>0</v>
      </c>
      <c r="W69" s="172">
        <f t="shared" si="101"/>
        <v>0</v>
      </c>
      <c r="X69" s="172">
        <f t="shared" si="101"/>
        <v>0</v>
      </c>
      <c r="Y69" s="172">
        <f t="shared" si="101"/>
        <v>0</v>
      </c>
      <c r="Z69" s="172">
        <f t="shared" si="101"/>
        <v>0</v>
      </c>
    </row>
    <row r="70" spans="2:43" x14ac:dyDescent="0.15">
      <c r="C70" s="172">
        <f t="shared" ref="C70:Z70" si="102">BowlSplit(C12,$B$65)</f>
        <v>0</v>
      </c>
      <c r="D70" s="172">
        <f t="shared" si="102"/>
        <v>0</v>
      </c>
      <c r="E70" s="172">
        <f t="shared" si="102"/>
        <v>0</v>
      </c>
      <c r="F70" s="172">
        <f t="shared" si="102"/>
        <v>0</v>
      </c>
      <c r="G70" s="172">
        <f t="shared" si="102"/>
        <v>0</v>
      </c>
      <c r="H70" s="172">
        <f>BowlSplit(I12,$B$65)</f>
        <v>0</v>
      </c>
      <c r="I70" s="172">
        <f>BowlSplit(J12,$B$65)</f>
        <v>0</v>
      </c>
      <c r="J70" s="172">
        <f t="shared" si="102"/>
        <v>0</v>
      </c>
      <c r="K70" s="172">
        <f t="shared" si="102"/>
        <v>0</v>
      </c>
      <c r="L70" s="172">
        <f t="shared" si="102"/>
        <v>0</v>
      </c>
      <c r="M70" s="172">
        <f t="shared" si="102"/>
        <v>0</v>
      </c>
      <c r="N70" s="172">
        <f t="shared" si="102"/>
        <v>0</v>
      </c>
      <c r="O70" s="172">
        <f t="shared" si="102"/>
        <v>0</v>
      </c>
      <c r="P70" s="172">
        <f t="shared" si="102"/>
        <v>0</v>
      </c>
      <c r="Q70" s="172">
        <f t="shared" si="102"/>
        <v>0</v>
      </c>
      <c r="R70" s="172">
        <f t="shared" si="102"/>
        <v>0</v>
      </c>
      <c r="S70" s="172">
        <f t="shared" si="102"/>
        <v>0</v>
      </c>
      <c r="T70" s="172">
        <f t="shared" si="102"/>
        <v>0</v>
      </c>
      <c r="U70" s="172">
        <f t="shared" si="102"/>
        <v>0</v>
      </c>
      <c r="V70" s="172">
        <f t="shared" si="102"/>
        <v>0</v>
      </c>
      <c r="W70" s="172">
        <f t="shared" si="102"/>
        <v>0</v>
      </c>
      <c r="X70" s="172">
        <f t="shared" si="102"/>
        <v>0</v>
      </c>
      <c r="Y70" s="172">
        <f t="shared" si="102"/>
        <v>0</v>
      </c>
      <c r="Z70" s="172">
        <f t="shared" si="102"/>
        <v>0</v>
      </c>
      <c r="AQ70" s="42">
        <f>6/29</f>
        <v>0.20689655172413793</v>
      </c>
    </row>
    <row r="71" spans="2:43" x14ac:dyDescent="0.15">
      <c r="C71" s="172">
        <f t="shared" ref="C71:Z71" si="103">BowlSplit(C13,$B$65)</f>
        <v>0</v>
      </c>
      <c r="D71" s="172">
        <f t="shared" si="103"/>
        <v>0</v>
      </c>
      <c r="E71" s="172">
        <f t="shared" si="103"/>
        <v>0</v>
      </c>
      <c r="F71" s="172">
        <f t="shared" si="103"/>
        <v>1</v>
      </c>
      <c r="G71" s="172">
        <f t="shared" si="103"/>
        <v>0</v>
      </c>
      <c r="H71" s="172">
        <f>BowlSplit(I13,$B$65)</f>
        <v>0</v>
      </c>
      <c r="I71" s="172">
        <f>BowlSplit(J13,$B$65)</f>
        <v>0</v>
      </c>
      <c r="J71" s="172">
        <f t="shared" si="103"/>
        <v>0</v>
      </c>
      <c r="K71" s="172">
        <f t="shared" si="103"/>
        <v>0</v>
      </c>
      <c r="L71" s="172">
        <f t="shared" si="103"/>
        <v>0</v>
      </c>
      <c r="M71" s="172">
        <f t="shared" si="103"/>
        <v>0</v>
      </c>
      <c r="N71" s="172">
        <f t="shared" si="103"/>
        <v>0</v>
      </c>
      <c r="O71" s="172">
        <f t="shared" si="103"/>
        <v>0</v>
      </c>
      <c r="P71" s="172">
        <f t="shared" si="103"/>
        <v>0</v>
      </c>
      <c r="Q71" s="172">
        <f t="shared" si="103"/>
        <v>0</v>
      </c>
      <c r="R71" s="172">
        <f t="shared" si="103"/>
        <v>0</v>
      </c>
      <c r="S71" s="172">
        <f t="shared" si="103"/>
        <v>0</v>
      </c>
      <c r="T71" s="172">
        <f t="shared" si="103"/>
        <v>0</v>
      </c>
      <c r="U71" s="172">
        <f t="shared" si="103"/>
        <v>0</v>
      </c>
      <c r="V71" s="172">
        <f t="shared" si="103"/>
        <v>0</v>
      </c>
      <c r="W71" s="172">
        <f t="shared" si="103"/>
        <v>0</v>
      </c>
      <c r="X71" s="172">
        <f t="shared" si="103"/>
        <v>0</v>
      </c>
      <c r="Y71" s="172">
        <f t="shared" si="103"/>
        <v>0</v>
      </c>
      <c r="Z71" s="172">
        <f t="shared" si="103"/>
        <v>0</v>
      </c>
      <c r="AQ71" s="42">
        <f>9/44</f>
        <v>0.20454545454545456</v>
      </c>
    </row>
    <row r="72" spans="2:43" x14ac:dyDescent="0.15">
      <c r="C72" s="172">
        <f t="shared" ref="C72:Z72" si="104">BowlSplit(C14,$B$65)</f>
        <v>0</v>
      </c>
      <c r="D72" s="172">
        <f t="shared" si="104"/>
        <v>0</v>
      </c>
      <c r="E72" s="172">
        <f t="shared" si="104"/>
        <v>0</v>
      </c>
      <c r="F72" s="172">
        <f t="shared" si="104"/>
        <v>0</v>
      </c>
      <c r="G72" s="172">
        <f t="shared" si="104"/>
        <v>0</v>
      </c>
      <c r="H72" s="172">
        <f>BowlSplit(I14,$B$65)</f>
        <v>0</v>
      </c>
      <c r="I72" s="172">
        <f>BowlSplit(J14,$B$65)</f>
        <v>0</v>
      </c>
      <c r="J72" s="172">
        <f t="shared" si="104"/>
        <v>0</v>
      </c>
      <c r="K72" s="172">
        <f t="shared" si="104"/>
        <v>0</v>
      </c>
      <c r="L72" s="172">
        <f t="shared" si="104"/>
        <v>0</v>
      </c>
      <c r="M72" s="172">
        <f t="shared" si="104"/>
        <v>0</v>
      </c>
      <c r="N72" s="172">
        <f t="shared" si="104"/>
        <v>0</v>
      </c>
      <c r="O72" s="172">
        <f t="shared" si="104"/>
        <v>0</v>
      </c>
      <c r="P72" s="172">
        <f t="shared" si="104"/>
        <v>0</v>
      </c>
      <c r="Q72" s="172">
        <f t="shared" si="104"/>
        <v>0</v>
      </c>
      <c r="R72" s="172">
        <f t="shared" si="104"/>
        <v>0</v>
      </c>
      <c r="S72" s="172">
        <f t="shared" si="104"/>
        <v>0</v>
      </c>
      <c r="T72" s="172">
        <f t="shared" si="104"/>
        <v>0</v>
      </c>
      <c r="U72" s="172">
        <f t="shared" si="104"/>
        <v>0</v>
      </c>
      <c r="V72" s="172">
        <f t="shared" si="104"/>
        <v>0</v>
      </c>
      <c r="W72" s="172">
        <f t="shared" si="104"/>
        <v>0</v>
      </c>
      <c r="X72" s="172">
        <f t="shared" si="104"/>
        <v>0</v>
      </c>
      <c r="Y72" s="172">
        <f t="shared" si="104"/>
        <v>0</v>
      </c>
      <c r="Z72" s="172">
        <f t="shared" si="104"/>
        <v>0</v>
      </c>
    </row>
    <row r="73" spans="2:43" x14ac:dyDescent="0.15">
      <c r="C73" s="172">
        <f t="shared" ref="C73:Z73" si="105">BowlSplit(C15,$B$65)</f>
        <v>0</v>
      </c>
      <c r="D73" s="172">
        <f t="shared" si="105"/>
        <v>0</v>
      </c>
      <c r="E73" s="172">
        <f t="shared" si="105"/>
        <v>0</v>
      </c>
      <c r="F73" s="172">
        <f t="shared" si="105"/>
        <v>0</v>
      </c>
      <c r="G73" s="172">
        <f t="shared" si="105"/>
        <v>0</v>
      </c>
      <c r="H73" s="172">
        <f>BowlSplit(I15,$B$65)</f>
        <v>0</v>
      </c>
      <c r="I73" s="172">
        <f>BowlSplit(J15,$B$65)</f>
        <v>0</v>
      </c>
      <c r="J73" s="172">
        <f t="shared" si="105"/>
        <v>0</v>
      </c>
      <c r="K73" s="172">
        <f t="shared" si="105"/>
        <v>0</v>
      </c>
      <c r="L73" s="172">
        <f t="shared" si="105"/>
        <v>0</v>
      </c>
      <c r="M73" s="172">
        <f t="shared" si="105"/>
        <v>0</v>
      </c>
      <c r="N73" s="172">
        <f t="shared" si="105"/>
        <v>0</v>
      </c>
      <c r="O73" s="172">
        <f t="shared" si="105"/>
        <v>0</v>
      </c>
      <c r="P73" s="172">
        <f t="shared" si="105"/>
        <v>0</v>
      </c>
      <c r="Q73" s="172">
        <f t="shared" si="105"/>
        <v>0</v>
      </c>
      <c r="R73" s="172">
        <f t="shared" si="105"/>
        <v>0</v>
      </c>
      <c r="S73" s="172">
        <f t="shared" si="105"/>
        <v>0</v>
      </c>
      <c r="T73" s="172">
        <f t="shared" si="105"/>
        <v>0</v>
      </c>
      <c r="U73" s="172">
        <f t="shared" si="105"/>
        <v>0</v>
      </c>
      <c r="V73" s="172">
        <f t="shared" si="105"/>
        <v>0</v>
      </c>
      <c r="W73" s="172">
        <f t="shared" si="105"/>
        <v>0</v>
      </c>
      <c r="X73" s="172">
        <f t="shared" si="105"/>
        <v>0</v>
      </c>
      <c r="Y73" s="172">
        <f t="shared" si="105"/>
        <v>0</v>
      </c>
      <c r="Z73" s="172">
        <f t="shared" si="105"/>
        <v>0</v>
      </c>
    </row>
    <row r="74" spans="2:43" x14ac:dyDescent="0.15">
      <c r="C74" s="172">
        <f t="shared" ref="C74:Z74" si="106">BowlSplit(C17,$B$65)</f>
        <v>0</v>
      </c>
      <c r="D74" s="172">
        <f t="shared" si="106"/>
        <v>0</v>
      </c>
      <c r="E74" s="172">
        <f t="shared" si="106"/>
        <v>0</v>
      </c>
      <c r="F74" s="172">
        <f t="shared" si="106"/>
        <v>0</v>
      </c>
      <c r="G74" s="172">
        <f t="shared" si="106"/>
        <v>0</v>
      </c>
      <c r="H74" s="172">
        <f>BowlSplit(I17,$B$65)</f>
        <v>0</v>
      </c>
      <c r="I74" s="172">
        <f>BowlSplit(J17,$B$65)</f>
        <v>0</v>
      </c>
      <c r="J74" s="172">
        <f t="shared" si="106"/>
        <v>0</v>
      </c>
      <c r="K74" s="172">
        <f t="shared" si="106"/>
        <v>0</v>
      </c>
      <c r="L74" s="172">
        <f t="shared" si="106"/>
        <v>0</v>
      </c>
      <c r="M74" s="172">
        <f t="shared" si="106"/>
        <v>0</v>
      </c>
      <c r="N74" s="172">
        <f t="shared" si="106"/>
        <v>0</v>
      </c>
      <c r="O74" s="172">
        <f t="shared" si="106"/>
        <v>0</v>
      </c>
      <c r="P74" s="172">
        <f t="shared" si="106"/>
        <v>0</v>
      </c>
      <c r="Q74" s="172">
        <f t="shared" si="106"/>
        <v>0</v>
      </c>
      <c r="R74" s="172">
        <f t="shared" si="106"/>
        <v>0</v>
      </c>
      <c r="S74" s="172">
        <f t="shared" si="106"/>
        <v>0</v>
      </c>
      <c r="T74" s="172">
        <f t="shared" si="106"/>
        <v>0</v>
      </c>
      <c r="U74" s="172">
        <f t="shared" si="106"/>
        <v>0</v>
      </c>
      <c r="V74" s="172">
        <f t="shared" si="106"/>
        <v>0</v>
      </c>
      <c r="W74" s="172">
        <f t="shared" si="106"/>
        <v>0</v>
      </c>
      <c r="X74" s="172">
        <f t="shared" si="106"/>
        <v>0</v>
      </c>
      <c r="Y74" s="172">
        <f t="shared" si="106"/>
        <v>0</v>
      </c>
      <c r="Z74" s="172">
        <f t="shared" si="106"/>
        <v>0</v>
      </c>
    </row>
    <row r="75" spans="2:43" x14ac:dyDescent="0.15">
      <c r="C75" s="172">
        <f t="shared" ref="C75:Z75" si="107">BowlSplit(C19,$B$65)</f>
        <v>0</v>
      </c>
      <c r="D75" s="172">
        <f t="shared" si="107"/>
        <v>0</v>
      </c>
      <c r="E75" s="172">
        <f t="shared" si="107"/>
        <v>0</v>
      </c>
      <c r="F75" s="172">
        <f t="shared" si="107"/>
        <v>0</v>
      </c>
      <c r="G75" s="172">
        <f t="shared" si="107"/>
        <v>0</v>
      </c>
      <c r="H75" s="172">
        <f>BowlSplit(I19,$B$65)</f>
        <v>0</v>
      </c>
      <c r="I75" s="172">
        <f>BowlSplit(J19,$B$65)</f>
        <v>0</v>
      </c>
      <c r="J75" s="172">
        <f t="shared" si="107"/>
        <v>0</v>
      </c>
      <c r="K75" s="172">
        <f t="shared" si="107"/>
        <v>0</v>
      </c>
      <c r="L75" s="172">
        <f t="shared" si="107"/>
        <v>0</v>
      </c>
      <c r="M75" s="172">
        <f t="shared" si="107"/>
        <v>0</v>
      </c>
      <c r="N75" s="172">
        <f t="shared" si="107"/>
        <v>0</v>
      </c>
      <c r="O75" s="172">
        <f t="shared" si="107"/>
        <v>0</v>
      </c>
      <c r="P75" s="172">
        <f t="shared" si="107"/>
        <v>0</v>
      </c>
      <c r="Q75" s="172">
        <f t="shared" si="107"/>
        <v>0</v>
      </c>
      <c r="R75" s="172">
        <f t="shared" si="107"/>
        <v>0</v>
      </c>
      <c r="S75" s="172">
        <f t="shared" si="107"/>
        <v>0</v>
      </c>
      <c r="T75" s="172">
        <f t="shared" si="107"/>
        <v>0</v>
      </c>
      <c r="U75" s="172">
        <f t="shared" si="107"/>
        <v>0</v>
      </c>
      <c r="V75" s="172">
        <f t="shared" si="107"/>
        <v>0</v>
      </c>
      <c r="W75" s="172">
        <f t="shared" si="107"/>
        <v>0</v>
      </c>
      <c r="X75" s="172">
        <f t="shared" si="107"/>
        <v>0</v>
      </c>
      <c r="Y75" s="172">
        <f t="shared" si="107"/>
        <v>0</v>
      </c>
      <c r="Z75" s="172">
        <f t="shared" si="107"/>
        <v>0</v>
      </c>
    </row>
    <row r="76" spans="2:43" x14ac:dyDescent="0.15">
      <c r="C76" s="172">
        <f t="shared" ref="C76:Z76" si="108">BowlSplit(C20,$B$65)</f>
        <v>0</v>
      </c>
      <c r="D76" s="172">
        <f t="shared" si="108"/>
        <v>0</v>
      </c>
      <c r="E76" s="172">
        <f t="shared" si="108"/>
        <v>0</v>
      </c>
      <c r="F76" s="172">
        <f t="shared" si="108"/>
        <v>0</v>
      </c>
      <c r="G76" s="172">
        <f t="shared" si="108"/>
        <v>0</v>
      </c>
      <c r="H76" s="172">
        <f>BowlSplit(I20,$B$65)</f>
        <v>0</v>
      </c>
      <c r="I76" s="172">
        <f>BowlSplit(J20,$B$65)</f>
        <v>0</v>
      </c>
      <c r="J76" s="172">
        <f t="shared" si="108"/>
        <v>0</v>
      </c>
      <c r="K76" s="172">
        <f t="shared" si="108"/>
        <v>0</v>
      </c>
      <c r="L76" s="172">
        <f t="shared" si="108"/>
        <v>0</v>
      </c>
      <c r="M76" s="172">
        <f t="shared" si="108"/>
        <v>0</v>
      </c>
      <c r="N76" s="172">
        <f t="shared" si="108"/>
        <v>0</v>
      </c>
      <c r="O76" s="172">
        <f t="shared" si="108"/>
        <v>0</v>
      </c>
      <c r="P76" s="172">
        <f t="shared" si="108"/>
        <v>0</v>
      </c>
      <c r="Q76" s="172">
        <f t="shared" si="108"/>
        <v>0</v>
      </c>
      <c r="R76" s="172">
        <f t="shared" si="108"/>
        <v>0</v>
      </c>
      <c r="S76" s="172">
        <f t="shared" si="108"/>
        <v>0</v>
      </c>
      <c r="T76" s="172">
        <f t="shared" si="108"/>
        <v>0</v>
      </c>
      <c r="U76" s="172">
        <f t="shared" si="108"/>
        <v>0</v>
      </c>
      <c r="V76" s="172">
        <f t="shared" si="108"/>
        <v>0</v>
      </c>
      <c r="W76" s="172">
        <f t="shared" si="108"/>
        <v>0</v>
      </c>
      <c r="X76" s="172">
        <f t="shared" si="108"/>
        <v>0</v>
      </c>
      <c r="Y76" s="172">
        <f t="shared" si="108"/>
        <v>0</v>
      </c>
      <c r="Z76" s="172">
        <f t="shared" si="108"/>
        <v>0</v>
      </c>
    </row>
    <row r="77" spans="2:43" x14ac:dyDescent="0.15">
      <c r="C77" s="172">
        <f t="shared" ref="C77:Z77" si="109">BowlSplit(C21,$B$65)</f>
        <v>0</v>
      </c>
      <c r="D77" s="172">
        <f t="shared" si="109"/>
        <v>0</v>
      </c>
      <c r="E77" s="172">
        <f t="shared" si="109"/>
        <v>0</v>
      </c>
      <c r="F77" s="172">
        <f t="shared" si="109"/>
        <v>0</v>
      </c>
      <c r="G77" s="172">
        <f t="shared" si="109"/>
        <v>0</v>
      </c>
      <c r="H77" s="172">
        <f>BowlSplit(I21,$B$65)</f>
        <v>0</v>
      </c>
      <c r="I77" s="172">
        <f>BowlSplit(J21,$B$65)</f>
        <v>0</v>
      </c>
      <c r="J77" s="172">
        <f t="shared" si="109"/>
        <v>0</v>
      </c>
      <c r="K77" s="172">
        <f t="shared" si="109"/>
        <v>0</v>
      </c>
      <c r="L77" s="172">
        <f t="shared" si="109"/>
        <v>0</v>
      </c>
      <c r="M77" s="172">
        <f t="shared" si="109"/>
        <v>0</v>
      </c>
      <c r="N77" s="172">
        <f t="shared" si="109"/>
        <v>0</v>
      </c>
      <c r="O77" s="172">
        <f t="shared" si="109"/>
        <v>0</v>
      </c>
      <c r="P77" s="172">
        <f t="shared" si="109"/>
        <v>0</v>
      </c>
      <c r="Q77" s="172">
        <f t="shared" si="109"/>
        <v>0</v>
      </c>
      <c r="R77" s="172">
        <f t="shared" si="109"/>
        <v>0</v>
      </c>
      <c r="S77" s="172">
        <f t="shared" si="109"/>
        <v>0</v>
      </c>
      <c r="T77" s="172">
        <f t="shared" si="109"/>
        <v>0</v>
      </c>
      <c r="U77" s="172">
        <f t="shared" si="109"/>
        <v>0</v>
      </c>
      <c r="V77" s="172">
        <f t="shared" si="109"/>
        <v>0</v>
      </c>
      <c r="W77" s="172">
        <f t="shared" si="109"/>
        <v>0</v>
      </c>
      <c r="X77" s="172">
        <f t="shared" si="109"/>
        <v>0</v>
      </c>
      <c r="Y77" s="172">
        <f t="shared" si="109"/>
        <v>0</v>
      </c>
      <c r="Z77" s="172">
        <f t="shared" si="109"/>
        <v>0</v>
      </c>
    </row>
    <row r="78" spans="2:43" x14ac:dyDescent="0.15">
      <c r="C78" s="172">
        <f t="shared" ref="C78:Z78" si="110">BowlSplit(C23,$B$65)</f>
        <v>0</v>
      </c>
      <c r="D78" s="172">
        <f t="shared" si="110"/>
        <v>0</v>
      </c>
      <c r="E78" s="172">
        <f t="shared" si="110"/>
        <v>0</v>
      </c>
      <c r="F78" s="172">
        <f t="shared" si="110"/>
        <v>3</v>
      </c>
      <c r="G78" s="172">
        <f t="shared" si="110"/>
        <v>0</v>
      </c>
      <c r="H78" s="172">
        <f>BowlSplit(I23,$B$65)</f>
        <v>0</v>
      </c>
      <c r="I78" s="172">
        <f>BowlSplit(J23,$B$65)</f>
        <v>0</v>
      </c>
      <c r="J78" s="172">
        <f t="shared" si="110"/>
        <v>0</v>
      </c>
      <c r="K78" s="172">
        <f t="shared" si="110"/>
        <v>0</v>
      </c>
      <c r="L78" s="172">
        <f t="shared" si="110"/>
        <v>0</v>
      </c>
      <c r="M78" s="172">
        <f t="shared" si="110"/>
        <v>0</v>
      </c>
      <c r="N78" s="172">
        <f t="shared" si="110"/>
        <v>0</v>
      </c>
      <c r="O78" s="172">
        <f t="shared" si="110"/>
        <v>0</v>
      </c>
      <c r="P78" s="172">
        <f t="shared" si="110"/>
        <v>0</v>
      </c>
      <c r="Q78" s="172">
        <f t="shared" si="110"/>
        <v>0</v>
      </c>
      <c r="R78" s="172">
        <f t="shared" si="110"/>
        <v>0</v>
      </c>
      <c r="S78" s="172">
        <f t="shared" si="110"/>
        <v>0</v>
      </c>
      <c r="T78" s="172">
        <f t="shared" si="110"/>
        <v>0</v>
      </c>
      <c r="U78" s="172">
        <f t="shared" si="110"/>
        <v>0</v>
      </c>
      <c r="V78" s="172">
        <f t="shared" si="110"/>
        <v>0</v>
      </c>
      <c r="W78" s="172">
        <f t="shared" si="110"/>
        <v>0</v>
      </c>
      <c r="X78" s="172">
        <f t="shared" si="110"/>
        <v>0</v>
      </c>
      <c r="Y78" s="172">
        <f t="shared" si="110"/>
        <v>0</v>
      </c>
      <c r="Z78" s="172">
        <f t="shared" si="110"/>
        <v>0</v>
      </c>
    </row>
    <row r="79" spans="2:43" x14ac:dyDescent="0.15">
      <c r="C79" s="172">
        <f t="shared" ref="C79:Z79" si="111">BowlSplit(C25,$B$65)</f>
        <v>2</v>
      </c>
      <c r="D79" s="172">
        <f t="shared" si="111"/>
        <v>0</v>
      </c>
      <c r="E79" s="172">
        <f t="shared" si="111"/>
        <v>0</v>
      </c>
      <c r="F79" s="172">
        <f t="shared" si="111"/>
        <v>1</v>
      </c>
      <c r="G79" s="172">
        <f t="shared" si="111"/>
        <v>0</v>
      </c>
      <c r="H79" s="172">
        <f>BowlSplit(I25,$B$65)</f>
        <v>0</v>
      </c>
      <c r="I79" s="172">
        <f>BowlSplit(J25,$B$65)</f>
        <v>0</v>
      </c>
      <c r="J79" s="172">
        <f t="shared" si="111"/>
        <v>0</v>
      </c>
      <c r="K79" s="172">
        <f t="shared" si="111"/>
        <v>0</v>
      </c>
      <c r="L79" s="172">
        <f t="shared" si="111"/>
        <v>0</v>
      </c>
      <c r="M79" s="172">
        <f t="shared" si="111"/>
        <v>0</v>
      </c>
      <c r="N79" s="172">
        <f t="shared" si="111"/>
        <v>0</v>
      </c>
      <c r="O79" s="172">
        <f t="shared" si="111"/>
        <v>0</v>
      </c>
      <c r="P79" s="172">
        <f t="shared" si="111"/>
        <v>0</v>
      </c>
      <c r="Q79" s="172">
        <f t="shared" si="111"/>
        <v>0</v>
      </c>
      <c r="R79" s="172">
        <f t="shared" si="111"/>
        <v>0</v>
      </c>
      <c r="S79" s="172">
        <f t="shared" si="111"/>
        <v>0</v>
      </c>
      <c r="T79" s="172">
        <f t="shared" si="111"/>
        <v>0</v>
      </c>
      <c r="U79" s="172">
        <f t="shared" si="111"/>
        <v>0</v>
      </c>
      <c r="V79" s="172">
        <f t="shared" si="111"/>
        <v>0</v>
      </c>
      <c r="W79" s="172">
        <f t="shared" si="111"/>
        <v>0</v>
      </c>
      <c r="X79" s="172">
        <f t="shared" si="111"/>
        <v>0</v>
      </c>
      <c r="Y79" s="172">
        <f t="shared" si="111"/>
        <v>0</v>
      </c>
      <c r="Z79" s="172">
        <f t="shared" si="111"/>
        <v>0</v>
      </c>
    </row>
    <row r="80" spans="2:43" x14ac:dyDescent="0.15">
      <c r="C80" s="172">
        <f t="shared" ref="C80:Z80" si="112">BowlSplit(C26,$B$65)</f>
        <v>0</v>
      </c>
      <c r="D80" s="172">
        <f t="shared" si="112"/>
        <v>0</v>
      </c>
      <c r="E80" s="172">
        <f t="shared" si="112"/>
        <v>0</v>
      </c>
      <c r="F80" s="172">
        <f t="shared" si="112"/>
        <v>0</v>
      </c>
      <c r="G80" s="172">
        <f t="shared" si="112"/>
        <v>0</v>
      </c>
      <c r="H80" s="172">
        <f>BowlSplit(I26,$B$65)</f>
        <v>0</v>
      </c>
      <c r="I80" s="172">
        <f>BowlSplit(J26,$B$65)</f>
        <v>0</v>
      </c>
      <c r="J80" s="172">
        <f t="shared" si="112"/>
        <v>0</v>
      </c>
      <c r="K80" s="172">
        <f t="shared" si="112"/>
        <v>0</v>
      </c>
      <c r="L80" s="172">
        <f t="shared" si="112"/>
        <v>0</v>
      </c>
      <c r="M80" s="172">
        <f t="shared" si="112"/>
        <v>0</v>
      </c>
      <c r="N80" s="172">
        <f t="shared" si="112"/>
        <v>0</v>
      </c>
      <c r="O80" s="172">
        <f t="shared" si="112"/>
        <v>0</v>
      </c>
      <c r="P80" s="172">
        <f t="shared" si="112"/>
        <v>0</v>
      </c>
      <c r="Q80" s="172">
        <f t="shared" si="112"/>
        <v>0</v>
      </c>
      <c r="R80" s="172">
        <f t="shared" si="112"/>
        <v>0</v>
      </c>
      <c r="S80" s="172">
        <f t="shared" si="112"/>
        <v>0</v>
      </c>
      <c r="T80" s="172">
        <f t="shared" si="112"/>
        <v>0</v>
      </c>
      <c r="U80" s="172">
        <f t="shared" si="112"/>
        <v>0</v>
      </c>
      <c r="V80" s="172">
        <f t="shared" si="112"/>
        <v>0</v>
      </c>
      <c r="W80" s="172">
        <f t="shared" si="112"/>
        <v>0</v>
      </c>
      <c r="X80" s="172">
        <f t="shared" si="112"/>
        <v>0</v>
      </c>
      <c r="Y80" s="172">
        <f t="shared" si="112"/>
        <v>0</v>
      </c>
      <c r="Z80" s="172">
        <f t="shared" si="112"/>
        <v>0</v>
      </c>
    </row>
    <row r="81" spans="3:26" x14ac:dyDescent="0.15">
      <c r="C81" s="172">
        <f t="shared" ref="C81:Z81" si="113">BowlSplit(C27,$B$65)</f>
        <v>3</v>
      </c>
      <c r="D81" s="172">
        <f t="shared" si="113"/>
        <v>1</v>
      </c>
      <c r="E81" s="172">
        <f t="shared" si="113"/>
        <v>0</v>
      </c>
      <c r="F81" s="172">
        <f t="shared" si="113"/>
        <v>2</v>
      </c>
      <c r="G81" s="172">
        <f t="shared" si="113"/>
        <v>3</v>
      </c>
      <c r="H81" s="172">
        <f>BowlSplit(I27,$B$65)</f>
        <v>0</v>
      </c>
      <c r="I81" s="172">
        <f>BowlSplit(J27,$B$65)</f>
        <v>0</v>
      </c>
      <c r="J81" s="172">
        <f t="shared" si="113"/>
        <v>0</v>
      </c>
      <c r="K81" s="172">
        <f t="shared" si="113"/>
        <v>0</v>
      </c>
      <c r="L81" s="172">
        <f t="shared" si="113"/>
        <v>0</v>
      </c>
      <c r="M81" s="172">
        <f t="shared" si="113"/>
        <v>0</v>
      </c>
      <c r="N81" s="172">
        <f t="shared" si="113"/>
        <v>0</v>
      </c>
      <c r="O81" s="172">
        <f t="shared" si="113"/>
        <v>0</v>
      </c>
      <c r="P81" s="172">
        <f t="shared" si="113"/>
        <v>0</v>
      </c>
      <c r="Q81" s="172">
        <f t="shared" si="113"/>
        <v>0</v>
      </c>
      <c r="R81" s="172">
        <f t="shared" si="113"/>
        <v>0</v>
      </c>
      <c r="S81" s="172">
        <f t="shared" si="113"/>
        <v>0</v>
      </c>
      <c r="T81" s="172">
        <f t="shared" si="113"/>
        <v>0</v>
      </c>
      <c r="U81" s="172">
        <f t="shared" si="113"/>
        <v>0</v>
      </c>
      <c r="V81" s="172">
        <f t="shared" si="113"/>
        <v>0</v>
      </c>
      <c r="W81" s="172">
        <f t="shared" si="113"/>
        <v>0</v>
      </c>
      <c r="X81" s="172">
        <f t="shared" si="113"/>
        <v>0</v>
      </c>
      <c r="Y81" s="172">
        <f t="shared" si="113"/>
        <v>0</v>
      </c>
      <c r="Z81" s="172">
        <f t="shared" si="113"/>
        <v>0</v>
      </c>
    </row>
    <row r="82" spans="3:26" x14ac:dyDescent="0.15">
      <c r="C82" s="172">
        <f t="shared" ref="C82:Z82" si="114">BowlSplit(C28,$B$65)</f>
        <v>0</v>
      </c>
      <c r="D82" s="172">
        <f t="shared" si="114"/>
        <v>0</v>
      </c>
      <c r="E82" s="172">
        <f t="shared" si="114"/>
        <v>0</v>
      </c>
      <c r="F82" s="172">
        <f t="shared" si="114"/>
        <v>0</v>
      </c>
      <c r="G82" s="172">
        <f t="shared" si="114"/>
        <v>0</v>
      </c>
      <c r="H82" s="172">
        <f>BowlSplit(I28,$B$65)</f>
        <v>0</v>
      </c>
      <c r="I82" s="172">
        <f>BowlSplit(J28,$B$65)</f>
        <v>0</v>
      </c>
      <c r="J82" s="172">
        <f t="shared" si="114"/>
        <v>0</v>
      </c>
      <c r="K82" s="172">
        <f t="shared" si="114"/>
        <v>0</v>
      </c>
      <c r="L82" s="172">
        <f t="shared" si="114"/>
        <v>0</v>
      </c>
      <c r="M82" s="172">
        <f t="shared" si="114"/>
        <v>0</v>
      </c>
      <c r="N82" s="172">
        <f t="shared" si="114"/>
        <v>0</v>
      </c>
      <c r="O82" s="172">
        <f t="shared" si="114"/>
        <v>0</v>
      </c>
      <c r="P82" s="172">
        <f t="shared" si="114"/>
        <v>0</v>
      </c>
      <c r="Q82" s="172">
        <f t="shared" si="114"/>
        <v>0</v>
      </c>
      <c r="R82" s="172">
        <f t="shared" si="114"/>
        <v>0</v>
      </c>
      <c r="S82" s="172">
        <f t="shared" si="114"/>
        <v>0</v>
      </c>
      <c r="T82" s="172">
        <f t="shared" si="114"/>
        <v>0</v>
      </c>
      <c r="U82" s="172">
        <f t="shared" si="114"/>
        <v>0</v>
      </c>
      <c r="V82" s="172">
        <f t="shared" si="114"/>
        <v>0</v>
      </c>
      <c r="W82" s="172">
        <f t="shared" si="114"/>
        <v>0</v>
      </c>
      <c r="X82" s="172">
        <f t="shared" si="114"/>
        <v>0</v>
      </c>
      <c r="Y82" s="172">
        <f t="shared" si="114"/>
        <v>0</v>
      </c>
      <c r="Z82" s="172">
        <f t="shared" si="114"/>
        <v>0</v>
      </c>
    </row>
    <row r="83" spans="3:26" x14ac:dyDescent="0.15">
      <c r="C83" s="172">
        <f t="shared" ref="C83:Z83" si="115">BowlSplit(C29,$B$65)</f>
        <v>0</v>
      </c>
      <c r="D83" s="172">
        <f t="shared" si="115"/>
        <v>0</v>
      </c>
      <c r="E83" s="172">
        <f t="shared" si="115"/>
        <v>1</v>
      </c>
      <c r="F83" s="172">
        <f t="shared" si="115"/>
        <v>0</v>
      </c>
      <c r="G83" s="172">
        <f t="shared" si="115"/>
        <v>0</v>
      </c>
      <c r="H83" s="172">
        <f>BowlSplit(I29,$B$65)</f>
        <v>3</v>
      </c>
      <c r="I83" s="172">
        <f>BowlSplit(J29,$B$65)</f>
        <v>0</v>
      </c>
      <c r="J83" s="172">
        <f t="shared" si="115"/>
        <v>0</v>
      </c>
      <c r="K83" s="172">
        <f t="shared" si="115"/>
        <v>0</v>
      </c>
      <c r="L83" s="172">
        <f t="shared" si="115"/>
        <v>0</v>
      </c>
      <c r="M83" s="172">
        <f t="shared" si="115"/>
        <v>0</v>
      </c>
      <c r="N83" s="172">
        <f t="shared" si="115"/>
        <v>0</v>
      </c>
      <c r="O83" s="172">
        <f t="shared" si="115"/>
        <v>0</v>
      </c>
      <c r="P83" s="172">
        <f t="shared" si="115"/>
        <v>0</v>
      </c>
      <c r="Q83" s="172">
        <f t="shared" si="115"/>
        <v>0</v>
      </c>
      <c r="R83" s="172">
        <f t="shared" si="115"/>
        <v>0</v>
      </c>
      <c r="S83" s="172">
        <f t="shared" si="115"/>
        <v>0</v>
      </c>
      <c r="T83" s="172">
        <f t="shared" si="115"/>
        <v>0</v>
      </c>
      <c r="U83" s="172">
        <f t="shared" si="115"/>
        <v>0</v>
      </c>
      <c r="V83" s="172">
        <f t="shared" si="115"/>
        <v>0</v>
      </c>
      <c r="W83" s="172">
        <f t="shared" si="115"/>
        <v>0</v>
      </c>
      <c r="X83" s="172">
        <f t="shared" si="115"/>
        <v>0</v>
      </c>
      <c r="Y83" s="172">
        <f t="shared" si="115"/>
        <v>0</v>
      </c>
      <c r="Z83" s="172">
        <f t="shared" si="115"/>
        <v>0</v>
      </c>
    </row>
    <row r="84" spans="3:26" x14ac:dyDescent="0.15">
      <c r="C84" s="172">
        <f t="shared" ref="C84:Z84" si="116">BowlSplit(C34,$B$65)</f>
        <v>0</v>
      </c>
      <c r="D84" s="172">
        <f t="shared" si="116"/>
        <v>0</v>
      </c>
      <c r="E84" s="172">
        <f t="shared" si="116"/>
        <v>0</v>
      </c>
      <c r="F84" s="172">
        <f t="shared" si="116"/>
        <v>0</v>
      </c>
      <c r="G84" s="172">
        <f t="shared" si="116"/>
        <v>0</v>
      </c>
      <c r="H84" s="172">
        <f>BowlSplit(I34,$B$65)</f>
        <v>0</v>
      </c>
      <c r="I84" s="172">
        <f>BowlSplit(J34,$B$65)</f>
        <v>0</v>
      </c>
      <c r="J84" s="172">
        <f t="shared" si="116"/>
        <v>0</v>
      </c>
      <c r="K84" s="172">
        <f t="shared" si="116"/>
        <v>0</v>
      </c>
      <c r="L84" s="172">
        <f t="shared" si="116"/>
        <v>0</v>
      </c>
      <c r="M84" s="172">
        <f t="shared" si="116"/>
        <v>0</v>
      </c>
      <c r="N84" s="172">
        <f t="shared" si="116"/>
        <v>0</v>
      </c>
      <c r="O84" s="172">
        <f t="shared" si="116"/>
        <v>0</v>
      </c>
      <c r="P84" s="172">
        <f t="shared" si="116"/>
        <v>0</v>
      </c>
      <c r="Q84" s="172">
        <f t="shared" si="116"/>
        <v>0</v>
      </c>
      <c r="R84" s="172">
        <f t="shared" si="116"/>
        <v>0</v>
      </c>
      <c r="S84" s="172">
        <f t="shared" si="116"/>
        <v>0</v>
      </c>
      <c r="T84" s="172">
        <f t="shared" si="116"/>
        <v>0</v>
      </c>
      <c r="U84" s="172">
        <f t="shared" si="116"/>
        <v>0</v>
      </c>
      <c r="V84" s="172">
        <f t="shared" si="116"/>
        <v>0</v>
      </c>
      <c r="W84" s="172">
        <f t="shared" si="116"/>
        <v>0</v>
      </c>
      <c r="X84" s="172">
        <f t="shared" si="116"/>
        <v>0</v>
      </c>
      <c r="Y84" s="172">
        <f t="shared" si="116"/>
        <v>0</v>
      </c>
      <c r="Z84" s="172">
        <f t="shared" si="116"/>
        <v>0</v>
      </c>
    </row>
    <row r="85" spans="3:26" x14ac:dyDescent="0.15">
      <c r="C85" s="172">
        <f t="shared" ref="C85:Z85" si="117">BowlSplit(C35,$B$65)</f>
        <v>0</v>
      </c>
      <c r="D85" s="172">
        <f t="shared" si="117"/>
        <v>0</v>
      </c>
      <c r="E85" s="172">
        <f t="shared" si="117"/>
        <v>0</v>
      </c>
      <c r="F85" s="172">
        <f t="shared" si="117"/>
        <v>0</v>
      </c>
      <c r="G85" s="172">
        <f t="shared" si="117"/>
        <v>0</v>
      </c>
      <c r="H85" s="172">
        <f>BowlSplit(I35,$B$65)</f>
        <v>0</v>
      </c>
      <c r="I85" s="172">
        <f>BowlSplit(J35,$B$65)</f>
        <v>0</v>
      </c>
      <c r="J85" s="172">
        <f t="shared" si="117"/>
        <v>0</v>
      </c>
      <c r="K85" s="172">
        <f t="shared" si="117"/>
        <v>0</v>
      </c>
      <c r="L85" s="172">
        <f t="shared" si="117"/>
        <v>0</v>
      </c>
      <c r="M85" s="172">
        <f t="shared" si="117"/>
        <v>0</v>
      </c>
      <c r="N85" s="172">
        <f t="shared" si="117"/>
        <v>0</v>
      </c>
      <c r="O85" s="172">
        <f t="shared" si="117"/>
        <v>0</v>
      </c>
      <c r="P85" s="172">
        <f t="shared" si="117"/>
        <v>0</v>
      </c>
      <c r="Q85" s="172">
        <f t="shared" si="117"/>
        <v>0</v>
      </c>
      <c r="R85" s="172">
        <f t="shared" si="117"/>
        <v>0</v>
      </c>
      <c r="S85" s="172">
        <f t="shared" si="117"/>
        <v>0</v>
      </c>
      <c r="T85" s="172">
        <f t="shared" si="117"/>
        <v>0</v>
      </c>
      <c r="U85" s="172">
        <f t="shared" si="117"/>
        <v>0</v>
      </c>
      <c r="V85" s="172">
        <f t="shared" si="117"/>
        <v>0</v>
      </c>
      <c r="W85" s="172">
        <f t="shared" si="117"/>
        <v>0</v>
      </c>
      <c r="X85" s="172">
        <f t="shared" si="117"/>
        <v>0</v>
      </c>
      <c r="Y85" s="172">
        <f t="shared" si="117"/>
        <v>0</v>
      </c>
      <c r="Z85" s="172">
        <f t="shared" si="117"/>
        <v>0</v>
      </c>
    </row>
    <row r="86" spans="3:26" x14ac:dyDescent="0.15">
      <c r="C86" s="172">
        <f t="shared" ref="C86:Z86" si="118">BowlSplit(C36,$B$65)</f>
        <v>0</v>
      </c>
      <c r="D86" s="172">
        <f t="shared" si="118"/>
        <v>0</v>
      </c>
      <c r="E86" s="172">
        <f t="shared" si="118"/>
        <v>0</v>
      </c>
      <c r="F86" s="172">
        <f t="shared" si="118"/>
        <v>0</v>
      </c>
      <c r="G86" s="172">
        <f t="shared" si="118"/>
        <v>0</v>
      </c>
      <c r="H86" s="172">
        <f>BowlSplit(I36,$B$65)</f>
        <v>1</v>
      </c>
      <c r="I86" s="172">
        <f>BowlSplit(J36,$B$65)</f>
        <v>0</v>
      </c>
      <c r="J86" s="172">
        <f t="shared" si="118"/>
        <v>0</v>
      </c>
      <c r="K86" s="172">
        <f t="shared" si="118"/>
        <v>0</v>
      </c>
      <c r="L86" s="172">
        <f t="shared" si="118"/>
        <v>0</v>
      </c>
      <c r="M86" s="172">
        <f t="shared" si="118"/>
        <v>0</v>
      </c>
      <c r="N86" s="172">
        <f t="shared" si="118"/>
        <v>0</v>
      </c>
      <c r="O86" s="172">
        <f t="shared" si="118"/>
        <v>0</v>
      </c>
      <c r="P86" s="172">
        <f t="shared" si="118"/>
        <v>0</v>
      </c>
      <c r="Q86" s="172">
        <f t="shared" si="118"/>
        <v>0</v>
      </c>
      <c r="R86" s="172">
        <f t="shared" si="118"/>
        <v>0</v>
      </c>
      <c r="S86" s="172">
        <f t="shared" si="118"/>
        <v>0</v>
      </c>
      <c r="T86" s="172">
        <f t="shared" si="118"/>
        <v>0</v>
      </c>
      <c r="U86" s="172">
        <f t="shared" si="118"/>
        <v>0</v>
      </c>
      <c r="V86" s="172">
        <f t="shared" si="118"/>
        <v>0</v>
      </c>
      <c r="W86" s="172">
        <f t="shared" si="118"/>
        <v>0</v>
      </c>
      <c r="X86" s="172">
        <f t="shared" si="118"/>
        <v>0</v>
      </c>
      <c r="Y86" s="172">
        <f t="shared" si="118"/>
        <v>0</v>
      </c>
      <c r="Z86" s="172">
        <f t="shared" si="118"/>
        <v>0</v>
      </c>
    </row>
    <row r="87" spans="3:26" x14ac:dyDescent="0.15">
      <c r="C87" s="172">
        <f t="shared" ref="C87:Z87" si="119">BowlSplit(C37,$B$65)</f>
        <v>0</v>
      </c>
      <c r="D87" s="172">
        <f t="shared" si="119"/>
        <v>0</v>
      </c>
      <c r="E87" s="172">
        <f t="shared" si="119"/>
        <v>0</v>
      </c>
      <c r="F87" s="172">
        <f t="shared" si="119"/>
        <v>0</v>
      </c>
      <c r="G87" s="172">
        <f t="shared" si="119"/>
        <v>0</v>
      </c>
      <c r="H87" s="172">
        <f>BowlSplit(I37,$B$65)</f>
        <v>0</v>
      </c>
      <c r="I87" s="172">
        <f>BowlSplit(J37,$B$65)</f>
        <v>0</v>
      </c>
      <c r="J87" s="172">
        <f t="shared" si="119"/>
        <v>0</v>
      </c>
      <c r="K87" s="172">
        <f t="shared" si="119"/>
        <v>0</v>
      </c>
      <c r="L87" s="172">
        <f t="shared" si="119"/>
        <v>0</v>
      </c>
      <c r="M87" s="172">
        <f t="shared" si="119"/>
        <v>0</v>
      </c>
      <c r="N87" s="172">
        <f t="shared" si="119"/>
        <v>0</v>
      </c>
      <c r="O87" s="172">
        <f t="shared" si="119"/>
        <v>0</v>
      </c>
      <c r="P87" s="172">
        <f t="shared" si="119"/>
        <v>0</v>
      </c>
      <c r="Q87" s="172">
        <f t="shared" si="119"/>
        <v>0</v>
      </c>
      <c r="R87" s="172">
        <f t="shared" si="119"/>
        <v>0</v>
      </c>
      <c r="S87" s="172">
        <f t="shared" si="119"/>
        <v>0</v>
      </c>
      <c r="T87" s="172">
        <f t="shared" si="119"/>
        <v>0</v>
      </c>
      <c r="U87" s="172">
        <f t="shared" si="119"/>
        <v>0</v>
      </c>
      <c r="V87" s="172">
        <f t="shared" si="119"/>
        <v>0</v>
      </c>
      <c r="W87" s="172">
        <f t="shared" si="119"/>
        <v>0</v>
      </c>
      <c r="X87" s="172">
        <f t="shared" si="119"/>
        <v>0</v>
      </c>
      <c r="Y87" s="172">
        <f t="shared" si="119"/>
        <v>0</v>
      </c>
      <c r="Z87" s="172">
        <f t="shared" si="119"/>
        <v>0</v>
      </c>
    </row>
    <row r="88" spans="3:26" x14ac:dyDescent="0.15">
      <c r="C88" s="172">
        <f t="shared" ref="C88:Z88" si="120">BowlSplit(C38,$B$65)</f>
        <v>0</v>
      </c>
      <c r="D88" s="172">
        <f t="shared" si="120"/>
        <v>0</v>
      </c>
      <c r="E88" s="172">
        <f t="shared" si="120"/>
        <v>0</v>
      </c>
      <c r="F88" s="172">
        <f t="shared" si="120"/>
        <v>0</v>
      </c>
      <c r="G88" s="172">
        <f t="shared" si="120"/>
        <v>3</v>
      </c>
      <c r="H88" s="172">
        <f>BowlSplit(I38,$B$65)</f>
        <v>0</v>
      </c>
      <c r="I88" s="172">
        <f>BowlSplit(J38,$B$65)</f>
        <v>0</v>
      </c>
      <c r="J88" s="172">
        <f t="shared" si="120"/>
        <v>0</v>
      </c>
      <c r="K88" s="172">
        <f t="shared" si="120"/>
        <v>0</v>
      </c>
      <c r="L88" s="172">
        <f t="shared" si="120"/>
        <v>0</v>
      </c>
      <c r="M88" s="172">
        <f t="shared" si="120"/>
        <v>0</v>
      </c>
      <c r="N88" s="172">
        <f t="shared" si="120"/>
        <v>0</v>
      </c>
      <c r="O88" s="172">
        <f t="shared" si="120"/>
        <v>0</v>
      </c>
      <c r="P88" s="172">
        <f t="shared" si="120"/>
        <v>0</v>
      </c>
      <c r="Q88" s="172">
        <f t="shared" si="120"/>
        <v>0</v>
      </c>
      <c r="R88" s="172">
        <f t="shared" si="120"/>
        <v>0</v>
      </c>
      <c r="S88" s="172">
        <f t="shared" si="120"/>
        <v>0</v>
      </c>
      <c r="T88" s="172">
        <f t="shared" si="120"/>
        <v>0</v>
      </c>
      <c r="U88" s="172">
        <f t="shared" si="120"/>
        <v>0</v>
      </c>
      <c r="V88" s="172">
        <f t="shared" si="120"/>
        <v>0</v>
      </c>
      <c r="W88" s="172">
        <f t="shared" si="120"/>
        <v>0</v>
      </c>
      <c r="X88" s="172">
        <f t="shared" si="120"/>
        <v>0</v>
      </c>
      <c r="Y88" s="172">
        <f t="shared" si="120"/>
        <v>0</v>
      </c>
      <c r="Z88" s="172">
        <f t="shared" si="120"/>
        <v>0</v>
      </c>
    </row>
    <row r="89" spans="3:26" x14ac:dyDescent="0.15">
      <c r="C89" s="172">
        <f t="shared" ref="C89:Z89" si="121">BowlSplit(C40,$B$65)</f>
        <v>0</v>
      </c>
      <c r="D89" s="172">
        <f t="shared" si="121"/>
        <v>0</v>
      </c>
      <c r="E89" s="172">
        <f t="shared" si="121"/>
        <v>0</v>
      </c>
      <c r="F89" s="172">
        <f t="shared" si="121"/>
        <v>0</v>
      </c>
      <c r="G89" s="172">
        <f t="shared" si="121"/>
        <v>0</v>
      </c>
      <c r="H89" s="172">
        <f>BowlSplit(I40,$B$65)</f>
        <v>0</v>
      </c>
      <c r="I89" s="172">
        <f>BowlSplit(J40,$B$65)</f>
        <v>0</v>
      </c>
      <c r="J89" s="172">
        <f t="shared" si="121"/>
        <v>0</v>
      </c>
      <c r="K89" s="172">
        <f t="shared" si="121"/>
        <v>0</v>
      </c>
      <c r="L89" s="172">
        <f t="shared" si="121"/>
        <v>0</v>
      </c>
      <c r="M89" s="172">
        <f t="shared" si="121"/>
        <v>0</v>
      </c>
      <c r="N89" s="172">
        <f t="shared" si="121"/>
        <v>0</v>
      </c>
      <c r="O89" s="172">
        <f t="shared" si="121"/>
        <v>0</v>
      </c>
      <c r="P89" s="172">
        <f t="shared" si="121"/>
        <v>0</v>
      </c>
      <c r="Q89" s="172">
        <f t="shared" si="121"/>
        <v>0</v>
      </c>
      <c r="R89" s="172">
        <f t="shared" si="121"/>
        <v>0</v>
      </c>
      <c r="S89" s="172">
        <f t="shared" si="121"/>
        <v>0</v>
      </c>
      <c r="T89" s="172">
        <f t="shared" si="121"/>
        <v>0</v>
      </c>
      <c r="U89" s="172">
        <f t="shared" si="121"/>
        <v>0</v>
      </c>
      <c r="V89" s="172">
        <f t="shared" si="121"/>
        <v>0</v>
      </c>
      <c r="W89" s="172">
        <f t="shared" si="121"/>
        <v>0</v>
      </c>
      <c r="X89" s="172">
        <f t="shared" si="121"/>
        <v>0</v>
      </c>
      <c r="Y89" s="172">
        <f t="shared" si="121"/>
        <v>0</v>
      </c>
      <c r="Z89" s="172">
        <f t="shared" si="121"/>
        <v>0</v>
      </c>
    </row>
    <row r="90" spans="3:26" x14ac:dyDescent="0.15">
      <c r="C90" s="172">
        <f t="shared" ref="C90:Z90" si="122">BowlSplit(C41,$B$65)</f>
        <v>0</v>
      </c>
      <c r="D90" s="172">
        <f t="shared" si="122"/>
        <v>0</v>
      </c>
      <c r="E90" s="172">
        <f t="shared" si="122"/>
        <v>0</v>
      </c>
      <c r="F90" s="172">
        <f t="shared" si="122"/>
        <v>0</v>
      </c>
      <c r="G90" s="172">
        <f t="shared" si="122"/>
        <v>0</v>
      </c>
      <c r="H90" s="172">
        <f>BowlSplit(I41,$B$65)</f>
        <v>0</v>
      </c>
      <c r="I90" s="172">
        <f>BowlSplit(J41,$B$65)</f>
        <v>0</v>
      </c>
      <c r="J90" s="172">
        <f t="shared" si="122"/>
        <v>0</v>
      </c>
      <c r="K90" s="172">
        <f t="shared" si="122"/>
        <v>0</v>
      </c>
      <c r="L90" s="172">
        <f t="shared" si="122"/>
        <v>0</v>
      </c>
      <c r="M90" s="172">
        <f t="shared" si="122"/>
        <v>0</v>
      </c>
      <c r="N90" s="172">
        <f t="shared" si="122"/>
        <v>0</v>
      </c>
      <c r="O90" s="172">
        <f t="shared" si="122"/>
        <v>0</v>
      </c>
      <c r="P90" s="172">
        <f t="shared" si="122"/>
        <v>0</v>
      </c>
      <c r="Q90" s="172">
        <f t="shared" si="122"/>
        <v>0</v>
      </c>
      <c r="R90" s="172">
        <f t="shared" si="122"/>
        <v>0</v>
      </c>
      <c r="S90" s="172">
        <f t="shared" si="122"/>
        <v>0</v>
      </c>
      <c r="T90" s="172">
        <f t="shared" si="122"/>
        <v>0</v>
      </c>
      <c r="U90" s="172">
        <f t="shared" si="122"/>
        <v>0</v>
      </c>
      <c r="V90" s="172">
        <f t="shared" si="122"/>
        <v>0</v>
      </c>
      <c r="W90" s="172">
        <f t="shared" si="122"/>
        <v>0</v>
      </c>
      <c r="X90" s="172">
        <f t="shared" si="122"/>
        <v>0</v>
      </c>
      <c r="Y90" s="172">
        <f t="shared" si="122"/>
        <v>0</v>
      </c>
      <c r="Z90" s="172">
        <f t="shared" si="122"/>
        <v>0</v>
      </c>
    </row>
    <row r="91" spans="3:26" x14ac:dyDescent="0.15">
      <c r="C91" s="172">
        <f t="shared" ref="C91:Z91" si="123">BowlSplit(C44,$B$65)</f>
        <v>0</v>
      </c>
      <c r="D91" s="172">
        <f t="shared" si="123"/>
        <v>0</v>
      </c>
      <c r="E91" s="172">
        <f t="shared" si="123"/>
        <v>0</v>
      </c>
      <c r="F91" s="172">
        <f t="shared" si="123"/>
        <v>0</v>
      </c>
      <c r="G91" s="172">
        <f t="shared" si="123"/>
        <v>0</v>
      </c>
      <c r="H91" s="172">
        <f>BowlSplit(I44,$B$65)</f>
        <v>0</v>
      </c>
      <c r="I91" s="172">
        <f>BowlSplit(J44,$B$65)</f>
        <v>0</v>
      </c>
      <c r="J91" s="172">
        <f t="shared" si="123"/>
        <v>0</v>
      </c>
      <c r="K91" s="172">
        <f t="shared" si="123"/>
        <v>0</v>
      </c>
      <c r="L91" s="172">
        <f t="shared" si="123"/>
        <v>0</v>
      </c>
      <c r="M91" s="172">
        <f t="shared" si="123"/>
        <v>0</v>
      </c>
      <c r="N91" s="172">
        <f t="shared" si="123"/>
        <v>0</v>
      </c>
      <c r="O91" s="172">
        <f t="shared" si="123"/>
        <v>0</v>
      </c>
      <c r="P91" s="172">
        <f t="shared" si="123"/>
        <v>0</v>
      </c>
      <c r="Q91" s="172">
        <f t="shared" si="123"/>
        <v>0</v>
      </c>
      <c r="R91" s="172">
        <f t="shared" si="123"/>
        <v>0</v>
      </c>
      <c r="S91" s="172">
        <f t="shared" si="123"/>
        <v>0</v>
      </c>
      <c r="T91" s="172">
        <f t="shared" si="123"/>
        <v>0</v>
      </c>
      <c r="U91" s="172">
        <f t="shared" si="123"/>
        <v>0</v>
      </c>
      <c r="V91" s="172">
        <f t="shared" si="123"/>
        <v>0</v>
      </c>
      <c r="W91" s="172">
        <f t="shared" si="123"/>
        <v>0</v>
      </c>
      <c r="X91" s="172">
        <f t="shared" si="123"/>
        <v>0</v>
      </c>
      <c r="Y91" s="172">
        <f t="shared" si="123"/>
        <v>0</v>
      </c>
      <c r="Z91" s="172">
        <f t="shared" si="123"/>
        <v>0</v>
      </c>
    </row>
    <row r="92" spans="3:26" x14ac:dyDescent="0.15">
      <c r="C92" s="172">
        <f t="shared" ref="C92:Z92" si="124">BowlSplit(C45,$B$65)</f>
        <v>0</v>
      </c>
      <c r="D92" s="172">
        <f t="shared" si="124"/>
        <v>0</v>
      </c>
      <c r="E92" s="172">
        <f t="shared" si="124"/>
        <v>0</v>
      </c>
      <c r="F92" s="172">
        <f t="shared" si="124"/>
        <v>0</v>
      </c>
      <c r="G92" s="172">
        <f t="shared" si="124"/>
        <v>0</v>
      </c>
      <c r="H92" s="172">
        <f>BowlSplit(I45,$B$65)</f>
        <v>0</v>
      </c>
      <c r="I92" s="172">
        <f>BowlSplit(J45,$B$65)</f>
        <v>0</v>
      </c>
      <c r="J92" s="172">
        <f t="shared" si="124"/>
        <v>0</v>
      </c>
      <c r="K92" s="172">
        <f t="shared" si="124"/>
        <v>0</v>
      </c>
      <c r="L92" s="172">
        <f t="shared" si="124"/>
        <v>0</v>
      </c>
      <c r="M92" s="172">
        <f t="shared" si="124"/>
        <v>0</v>
      </c>
      <c r="N92" s="172">
        <f t="shared" si="124"/>
        <v>0</v>
      </c>
      <c r="O92" s="172">
        <f t="shared" si="124"/>
        <v>0</v>
      </c>
      <c r="P92" s="172">
        <f t="shared" si="124"/>
        <v>0</v>
      </c>
      <c r="Q92" s="172">
        <f t="shared" si="124"/>
        <v>0</v>
      </c>
      <c r="R92" s="172">
        <f t="shared" si="124"/>
        <v>0</v>
      </c>
      <c r="S92" s="172">
        <f t="shared" si="124"/>
        <v>0</v>
      </c>
      <c r="T92" s="172">
        <f t="shared" si="124"/>
        <v>0</v>
      </c>
      <c r="U92" s="172">
        <f t="shared" si="124"/>
        <v>0</v>
      </c>
      <c r="V92" s="172">
        <f t="shared" si="124"/>
        <v>0</v>
      </c>
      <c r="W92" s="172">
        <f t="shared" si="124"/>
        <v>0</v>
      </c>
      <c r="X92" s="172">
        <f t="shared" si="124"/>
        <v>0</v>
      </c>
      <c r="Y92" s="172">
        <f t="shared" si="124"/>
        <v>0</v>
      </c>
      <c r="Z92" s="172">
        <f t="shared" si="124"/>
        <v>0</v>
      </c>
    </row>
    <row r="93" spans="3:26" x14ac:dyDescent="0.15">
      <c r="C93" s="172">
        <f t="shared" ref="C93:Z93" si="125">BowlSplit(C46,$B$65)</f>
        <v>0</v>
      </c>
      <c r="D93" s="172">
        <f t="shared" si="125"/>
        <v>1</v>
      </c>
      <c r="E93" s="172">
        <f t="shared" si="125"/>
        <v>3</v>
      </c>
      <c r="F93" s="172">
        <f t="shared" si="125"/>
        <v>0</v>
      </c>
      <c r="G93" s="172">
        <f t="shared" si="125"/>
        <v>0</v>
      </c>
      <c r="H93" s="172">
        <f>BowlSplit(I46,$B$65)</f>
        <v>0</v>
      </c>
      <c r="I93" s="172">
        <f>BowlSplit(J46,$B$65)</f>
        <v>0</v>
      </c>
      <c r="J93" s="172">
        <f t="shared" si="125"/>
        <v>0</v>
      </c>
      <c r="K93" s="172">
        <f t="shared" si="125"/>
        <v>2</v>
      </c>
      <c r="L93" s="172">
        <f t="shared" si="125"/>
        <v>0</v>
      </c>
      <c r="M93" s="172">
        <f t="shared" si="125"/>
        <v>0</v>
      </c>
      <c r="N93" s="172">
        <f t="shared" si="125"/>
        <v>0</v>
      </c>
      <c r="O93" s="172">
        <f t="shared" si="125"/>
        <v>0</v>
      </c>
      <c r="P93" s="172">
        <f t="shared" si="125"/>
        <v>0</v>
      </c>
      <c r="Q93" s="172">
        <f t="shared" si="125"/>
        <v>0</v>
      </c>
      <c r="R93" s="172">
        <f t="shared" si="125"/>
        <v>0</v>
      </c>
      <c r="S93" s="172">
        <f t="shared" si="125"/>
        <v>0</v>
      </c>
      <c r="T93" s="172">
        <f t="shared" si="125"/>
        <v>0</v>
      </c>
      <c r="U93" s="172">
        <f t="shared" si="125"/>
        <v>0</v>
      </c>
      <c r="V93" s="172">
        <f t="shared" si="125"/>
        <v>0</v>
      </c>
      <c r="W93" s="172">
        <f t="shared" si="125"/>
        <v>0</v>
      </c>
      <c r="X93" s="172">
        <f t="shared" si="125"/>
        <v>0</v>
      </c>
      <c r="Y93" s="172">
        <f t="shared" si="125"/>
        <v>0</v>
      </c>
      <c r="Z93" s="172">
        <f t="shared" si="125"/>
        <v>0</v>
      </c>
    </row>
    <row r="94" spans="3:26" x14ac:dyDescent="0.15">
      <c r="C94" s="172">
        <f t="shared" ref="C94:Z94" si="126">BowlSplit(C48,$B$65)</f>
        <v>0</v>
      </c>
      <c r="D94" s="172">
        <f t="shared" si="126"/>
        <v>1</v>
      </c>
      <c r="E94" s="172">
        <f t="shared" si="126"/>
        <v>1</v>
      </c>
      <c r="F94" s="172">
        <f t="shared" si="126"/>
        <v>0</v>
      </c>
      <c r="G94" s="172">
        <f t="shared" si="126"/>
        <v>0</v>
      </c>
      <c r="H94" s="172">
        <f>BowlSplit(I48,$B$65)</f>
        <v>0</v>
      </c>
      <c r="I94" s="172">
        <f>BowlSplit(J48,$B$65)</f>
        <v>1</v>
      </c>
      <c r="J94" s="172">
        <f t="shared" si="126"/>
        <v>1</v>
      </c>
      <c r="K94" s="172">
        <f t="shared" si="126"/>
        <v>3</v>
      </c>
      <c r="L94" s="172">
        <f t="shared" si="126"/>
        <v>0</v>
      </c>
      <c r="M94" s="172">
        <f t="shared" si="126"/>
        <v>0</v>
      </c>
      <c r="N94" s="172">
        <f t="shared" si="126"/>
        <v>0</v>
      </c>
      <c r="O94" s="172">
        <f t="shared" si="126"/>
        <v>0</v>
      </c>
      <c r="P94" s="172">
        <f t="shared" si="126"/>
        <v>0</v>
      </c>
      <c r="Q94" s="172">
        <f t="shared" si="126"/>
        <v>0</v>
      </c>
      <c r="R94" s="172">
        <f t="shared" si="126"/>
        <v>0</v>
      </c>
      <c r="S94" s="172">
        <f t="shared" si="126"/>
        <v>0</v>
      </c>
      <c r="T94" s="172">
        <f t="shared" si="126"/>
        <v>0</v>
      </c>
      <c r="U94" s="172">
        <f t="shared" si="126"/>
        <v>0</v>
      </c>
      <c r="V94" s="172">
        <f t="shared" si="126"/>
        <v>0</v>
      </c>
      <c r="W94" s="172">
        <f t="shared" si="126"/>
        <v>0</v>
      </c>
      <c r="X94" s="172">
        <f t="shared" si="126"/>
        <v>0</v>
      </c>
      <c r="Y94" s="172">
        <f t="shared" si="126"/>
        <v>0</v>
      </c>
      <c r="Z94" s="172">
        <f t="shared" si="126"/>
        <v>0</v>
      </c>
    </row>
    <row r="95" spans="3:26" x14ac:dyDescent="0.15">
      <c r="C95" s="172">
        <f t="shared" ref="C95:Z95" si="127">BowlSplit(C49,$B$65)</f>
        <v>0</v>
      </c>
      <c r="D95" s="172">
        <f t="shared" si="127"/>
        <v>0</v>
      </c>
      <c r="E95" s="172">
        <f t="shared" si="127"/>
        <v>0</v>
      </c>
      <c r="F95" s="172">
        <f t="shared" si="127"/>
        <v>0</v>
      </c>
      <c r="G95" s="172">
        <f t="shared" si="127"/>
        <v>0</v>
      </c>
      <c r="H95" s="172">
        <f>BowlSplit(I49,$B$65)</f>
        <v>0</v>
      </c>
      <c r="I95" s="172">
        <f>BowlSplit(J49,$B$65)</f>
        <v>0</v>
      </c>
      <c r="J95" s="172">
        <f t="shared" si="127"/>
        <v>0</v>
      </c>
      <c r="K95" s="172">
        <f t="shared" si="127"/>
        <v>0</v>
      </c>
      <c r="L95" s="172">
        <f t="shared" si="127"/>
        <v>0</v>
      </c>
      <c r="M95" s="172">
        <f t="shared" si="127"/>
        <v>0</v>
      </c>
      <c r="N95" s="172">
        <f t="shared" si="127"/>
        <v>0</v>
      </c>
      <c r="O95" s="172">
        <f t="shared" si="127"/>
        <v>0</v>
      </c>
      <c r="P95" s="172">
        <f t="shared" si="127"/>
        <v>0</v>
      </c>
      <c r="Q95" s="172">
        <f t="shared" si="127"/>
        <v>0</v>
      </c>
      <c r="R95" s="172">
        <f t="shared" si="127"/>
        <v>0</v>
      </c>
      <c r="S95" s="172">
        <f t="shared" si="127"/>
        <v>0</v>
      </c>
      <c r="T95" s="172">
        <f t="shared" si="127"/>
        <v>0</v>
      </c>
      <c r="U95" s="172">
        <f t="shared" si="127"/>
        <v>0</v>
      </c>
      <c r="V95" s="172">
        <f t="shared" si="127"/>
        <v>0</v>
      </c>
      <c r="W95" s="172">
        <f t="shared" si="127"/>
        <v>0</v>
      </c>
      <c r="X95" s="172">
        <f t="shared" si="127"/>
        <v>0</v>
      </c>
      <c r="Y95" s="172">
        <f t="shared" si="127"/>
        <v>0</v>
      </c>
      <c r="Z95" s="172">
        <f t="shared" si="127"/>
        <v>0</v>
      </c>
    </row>
    <row r="96" spans="3:26" x14ac:dyDescent="0.15">
      <c r="C96" s="172">
        <f t="shared" ref="C96:Z96" si="128">BowlSplit(C52,$B$65)</f>
        <v>0</v>
      </c>
      <c r="D96" s="172">
        <f t="shared" si="128"/>
        <v>0</v>
      </c>
      <c r="E96" s="172">
        <f t="shared" si="128"/>
        <v>0</v>
      </c>
      <c r="F96" s="172">
        <f t="shared" si="128"/>
        <v>0</v>
      </c>
      <c r="G96" s="172">
        <f t="shared" si="128"/>
        <v>0</v>
      </c>
      <c r="H96" s="172">
        <f>BowlSplit(I52,$B$65)</f>
        <v>0</v>
      </c>
      <c r="I96" s="172">
        <f>BowlSplit(J52,$B$65)</f>
        <v>0</v>
      </c>
      <c r="J96" s="172">
        <f t="shared" si="128"/>
        <v>0</v>
      </c>
      <c r="K96" s="172">
        <f t="shared" si="128"/>
        <v>0</v>
      </c>
      <c r="L96" s="172">
        <f t="shared" si="128"/>
        <v>0</v>
      </c>
      <c r="M96" s="172">
        <f t="shared" si="128"/>
        <v>0</v>
      </c>
      <c r="N96" s="172">
        <f t="shared" si="128"/>
        <v>0</v>
      </c>
      <c r="O96" s="172">
        <f t="shared" si="128"/>
        <v>0</v>
      </c>
      <c r="P96" s="172">
        <f t="shared" si="128"/>
        <v>0</v>
      </c>
      <c r="Q96" s="172">
        <f t="shared" si="128"/>
        <v>0</v>
      </c>
      <c r="R96" s="172">
        <f t="shared" si="128"/>
        <v>0</v>
      </c>
      <c r="S96" s="172">
        <f t="shared" si="128"/>
        <v>0</v>
      </c>
      <c r="T96" s="172">
        <f t="shared" si="128"/>
        <v>0</v>
      </c>
      <c r="U96" s="172">
        <f t="shared" si="128"/>
        <v>0</v>
      </c>
      <c r="V96" s="172">
        <f t="shared" si="128"/>
        <v>0</v>
      </c>
      <c r="W96" s="172">
        <f t="shared" si="128"/>
        <v>0</v>
      </c>
      <c r="X96" s="172">
        <f t="shared" si="128"/>
        <v>0</v>
      </c>
      <c r="Y96" s="172">
        <f t="shared" si="128"/>
        <v>0</v>
      </c>
      <c r="Z96" s="172">
        <f t="shared" si="128"/>
        <v>0</v>
      </c>
    </row>
    <row r="101" spans="3:24" x14ac:dyDescent="0.15">
      <c r="C101" s="2">
        <f>MAX(C64:C99)</f>
        <v>3</v>
      </c>
      <c r="D101" s="2">
        <f t="shared" ref="D101:X101" si="129">MAX(D64:D99)</f>
        <v>1</v>
      </c>
      <c r="E101" s="2">
        <f t="shared" si="129"/>
        <v>3</v>
      </c>
      <c r="F101" s="2">
        <f t="shared" si="129"/>
        <v>3</v>
      </c>
      <c r="G101" s="2">
        <f t="shared" si="129"/>
        <v>3</v>
      </c>
      <c r="H101" s="2">
        <f t="shared" si="129"/>
        <v>3</v>
      </c>
      <c r="I101" s="2">
        <f t="shared" si="129"/>
        <v>3</v>
      </c>
      <c r="J101" s="2">
        <f t="shared" si="129"/>
        <v>3</v>
      </c>
      <c r="K101" s="2">
        <f t="shared" si="129"/>
        <v>3</v>
      </c>
      <c r="L101" s="2">
        <f t="shared" si="129"/>
        <v>0</v>
      </c>
      <c r="M101" s="2">
        <f t="shared" si="129"/>
        <v>0</v>
      </c>
      <c r="N101" s="2">
        <f t="shared" si="129"/>
        <v>0</v>
      </c>
      <c r="O101" s="2">
        <f t="shared" si="129"/>
        <v>0</v>
      </c>
      <c r="P101" s="2">
        <f t="shared" si="129"/>
        <v>0</v>
      </c>
      <c r="Q101" s="2">
        <f t="shared" si="129"/>
        <v>0</v>
      </c>
      <c r="R101" s="2">
        <f t="shared" si="129"/>
        <v>0</v>
      </c>
      <c r="S101" s="2">
        <f t="shared" si="129"/>
        <v>0</v>
      </c>
      <c r="T101" s="2">
        <f t="shared" si="129"/>
        <v>0</v>
      </c>
      <c r="U101" s="2">
        <f t="shared" si="129"/>
        <v>0</v>
      </c>
      <c r="V101" s="2">
        <f t="shared" si="129"/>
        <v>0</v>
      </c>
      <c r="W101" s="2">
        <f t="shared" si="129"/>
        <v>0</v>
      </c>
      <c r="X101" s="2">
        <f t="shared" si="129"/>
        <v>0</v>
      </c>
    </row>
  </sheetData>
  <sortState xmlns:xlrd2="http://schemas.microsoft.com/office/spreadsheetml/2017/richdata2" ref="B5:J44">
    <sortCondition ref="B5:B44"/>
  </sortState>
  <phoneticPr fontId="0" type="noConversion"/>
  <conditionalFormatting sqref="AG95:AG104">
    <cfRule type="cellIs" dxfId="11" priority="34" operator="greaterThan">
      <formula>5</formula>
    </cfRule>
  </conditionalFormatting>
  <conditionalFormatting sqref="C62:AH62">
    <cfRule type="cellIs" dxfId="10" priority="35" stopIfTrue="1" operator="notEqual">
      <formula>C60</formula>
    </cfRule>
  </conditionalFormatting>
  <conditionalFormatting sqref="C64:X99 C64:Z96">
    <cfRule type="cellIs" dxfId="9" priority="21" operator="greaterThan">
      <formula>50</formula>
    </cfRule>
  </conditionalFormatting>
  <conditionalFormatting sqref="B54 A53:AI53 U37:AI37 Q38:AI41 Q37:S37 J39:O41 J38:N38 J33:O37 J32:N32 J46:N46 J27:O31 J26:N26 AJ52:AW54 I52:AI52 AX52:XFD53 J44:O45 I44:I46 I47:XFD51 Q42:XFD46 I42:O43 I25:I41 J25:O25 Q25:AI36 AJ25:XFD41 Q5:XFD24 I5:O24 A5:G52">
    <cfRule type="expression" dxfId="8" priority="11">
      <formula>MOD(ROW(),2)=0</formula>
    </cfRule>
  </conditionalFormatting>
  <conditionalFormatting sqref="Y64:Z96">
    <cfRule type="cellIs" dxfId="7" priority="10" operator="greaterThan">
      <formula>50</formula>
    </cfRule>
  </conditionalFormatting>
  <conditionalFormatting sqref="AW5:AW54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{0F99F990-BA3F-420A-BF97-256AB6A8393D}</x14:id>
        </ext>
      </extLst>
    </cfRule>
  </conditionalFormatting>
  <conditionalFormatting sqref="H5:H52">
    <cfRule type="expression" dxfId="6" priority="7">
      <formula>MOD(ROW(),2)=0</formula>
    </cfRule>
  </conditionalFormatting>
  <conditionalFormatting sqref="P5:P45">
    <cfRule type="expression" dxfId="5" priority="6">
      <formula>MOD(ROW(),2)=0</formula>
    </cfRule>
  </conditionalFormatting>
  <conditionalFormatting sqref="O38">
    <cfRule type="expression" dxfId="4" priority="5">
      <formula>MOD(ROW(),2)=0</formula>
    </cfRule>
  </conditionalFormatting>
  <conditionalFormatting sqref="O32">
    <cfRule type="expression" dxfId="3" priority="4">
      <formula>MOD(ROW(),2)=0</formula>
    </cfRule>
  </conditionalFormatting>
  <conditionalFormatting sqref="O46">
    <cfRule type="expression" dxfId="2" priority="3">
      <formula>MOD(ROW(),2)=0</formula>
    </cfRule>
  </conditionalFormatting>
  <conditionalFormatting sqref="O26">
    <cfRule type="expression" dxfId="1" priority="2">
      <formula>MOD(ROW(),2)=0</formula>
    </cfRule>
  </conditionalFormatting>
  <conditionalFormatting sqref="P46">
    <cfRule type="expression" dxfId="0" priority="1">
      <formula>MOD(ROW(),2)=0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99F990-BA3F-420A-BF97-256AB6A839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AW5:AW54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AE40"/>
  <sheetViews>
    <sheetView workbookViewId="0">
      <selection activeCell="R1" sqref="R1:AB17"/>
    </sheetView>
  </sheetViews>
  <sheetFormatPr defaultRowHeight="12.75" x14ac:dyDescent="0.15"/>
  <cols>
    <col min="1" max="1" width="7.7109375" style="83" customWidth="1"/>
    <col min="2" max="2" width="4.140625" style="83" bestFit="1" customWidth="1"/>
    <col min="3" max="3" width="5" style="83" bestFit="1" customWidth="1"/>
    <col min="4" max="4" width="5.7109375" style="83" bestFit="1" customWidth="1"/>
    <col min="5" max="5" width="12.7109375" style="83" bestFit="1" customWidth="1"/>
    <col min="6" max="6" width="4" style="83" bestFit="1" customWidth="1"/>
    <col min="7" max="7" width="3.42578125" style="83" bestFit="1" customWidth="1"/>
    <col min="8" max="8" width="13.5703125" style="83" bestFit="1" customWidth="1"/>
    <col min="9" max="9" width="3.7109375" style="83" bestFit="1" customWidth="1"/>
    <col min="10" max="10" width="3.42578125" style="83" bestFit="1" customWidth="1"/>
    <col min="11" max="11" width="17.28515625" style="136" bestFit="1" customWidth="1"/>
    <col min="12" max="12" width="10.42578125" style="137" bestFit="1" customWidth="1"/>
    <col min="13" max="13" width="3.85546875" customWidth="1"/>
    <col min="14" max="16" width="7.85546875" style="166" customWidth="1"/>
    <col min="17" max="17" width="6.28515625" style="83" customWidth="1"/>
    <col min="18" max="18" width="4.28515625" style="83" bestFit="1" customWidth="1"/>
    <col min="19" max="19" width="5" style="83" bestFit="1" customWidth="1"/>
    <col min="20" max="20" width="5.85546875" style="83" bestFit="1" customWidth="1"/>
    <col min="21" max="21" width="10.5703125" style="83" bestFit="1" customWidth="1"/>
    <col min="22" max="22" width="3.7109375" style="83" bestFit="1" customWidth="1"/>
    <col min="23" max="23" width="3.5703125" style="151" bestFit="1" customWidth="1"/>
    <col min="24" max="24" width="14.5703125" style="83" bestFit="1" customWidth="1"/>
    <col min="25" max="25" width="3.7109375" style="83" bestFit="1" customWidth="1"/>
    <col min="26" max="26" width="3.5703125" style="151" bestFit="1" customWidth="1"/>
    <col min="27" max="27" width="13.5703125" style="83" customWidth="1"/>
    <col min="28" max="28" width="13.140625" style="140" bestFit="1" customWidth="1"/>
    <col min="29" max="16384" width="9.140625" style="83"/>
  </cols>
  <sheetData>
    <row r="1" spans="1:31" x14ac:dyDescent="0.15">
      <c r="A1" s="83" t="s">
        <v>225</v>
      </c>
      <c r="B1" s="83" t="s">
        <v>13</v>
      </c>
      <c r="C1" s="83" t="s">
        <v>77</v>
      </c>
      <c r="D1" s="83" t="s">
        <v>208</v>
      </c>
      <c r="E1" s="83" t="s">
        <v>209</v>
      </c>
      <c r="F1" s="83" t="s">
        <v>210</v>
      </c>
      <c r="G1" s="83" t="s">
        <v>211</v>
      </c>
      <c r="H1" s="83" t="s">
        <v>212</v>
      </c>
      <c r="I1" s="83" t="s">
        <v>213</v>
      </c>
      <c r="J1" s="83" t="s">
        <v>211</v>
      </c>
      <c r="K1" s="136" t="s">
        <v>1</v>
      </c>
      <c r="L1" s="137" t="s">
        <v>0</v>
      </c>
      <c r="N1" s="166" t="s">
        <v>273</v>
      </c>
      <c r="R1" s="83" t="s">
        <v>13</v>
      </c>
      <c r="S1" s="83" t="s">
        <v>77</v>
      </c>
      <c r="T1" s="83" t="s">
        <v>208</v>
      </c>
      <c r="U1" s="83" t="s">
        <v>209</v>
      </c>
      <c r="V1" s="83" t="s">
        <v>210</v>
      </c>
      <c r="W1" s="151" t="s">
        <v>211</v>
      </c>
      <c r="X1" s="83" t="s">
        <v>212</v>
      </c>
      <c r="Y1" s="83" t="s">
        <v>213</v>
      </c>
      <c r="Z1" s="151" t="s">
        <v>211</v>
      </c>
      <c r="AA1" s="83" t="s">
        <v>238</v>
      </c>
      <c r="AB1" s="140" t="s">
        <v>0</v>
      </c>
    </row>
    <row r="2" spans="1:31" x14ac:dyDescent="0.15">
      <c r="K2" s="136" t="str">
        <f ca="1">OFFSET(Matches!$C$4,Partnerships!A2,0)</f>
        <v>Opp</v>
      </c>
      <c r="L2" s="137" t="str">
        <f ca="1">OFFSET(Matches!$B$4,Partnerships!A2,0)</f>
        <v>Date</v>
      </c>
      <c r="N2" s="166">
        <f>IF(B2=0,999999,B2)*10000+5000-C2*10+ROW()</f>
        <v>9999995002</v>
      </c>
      <c r="O2" s="166">
        <f t="array" ref="O2:O40">RANK(N2:N40,N2:N40,1)</f>
        <v>17</v>
      </c>
      <c r="P2" s="166">
        <f>MATCH(ROW()-1,$O$2:$O$40,0)</f>
        <v>20</v>
      </c>
      <c r="Q2"/>
      <c r="R2" s="83">
        <f t="array" ref="R2:AB2">INDEX($B$2:$L$40,P2,)</f>
        <v>1</v>
      </c>
      <c r="S2" s="83">
        <v>54</v>
      </c>
      <c r="T2" s="83">
        <v>0</v>
      </c>
      <c r="U2" s="83" t="str">
        <v>Patel J</v>
      </c>
      <c r="V2" s="83">
        <v>52</v>
      </c>
      <c r="W2" s="151">
        <v>0</v>
      </c>
      <c r="X2" s="83" t="str">
        <v>Seymour C</v>
      </c>
      <c r="Y2" s="83">
        <v>7</v>
      </c>
      <c r="Z2" s="151">
        <v>0</v>
      </c>
      <c r="AA2" s="83">
        <f ca="1"/>
        <v>0</v>
      </c>
      <c r="AB2" s="140">
        <f ca="1"/>
        <v>0</v>
      </c>
      <c r="AD2" s="83" t="s">
        <v>328</v>
      </c>
      <c r="AE2" s="83">
        <f>COUNT(A:A)</f>
        <v>16</v>
      </c>
    </row>
    <row r="3" spans="1:31" x14ac:dyDescent="0.15">
      <c r="A3" s="83">
        <v>1</v>
      </c>
      <c r="B3" s="83">
        <v>9</v>
      </c>
      <c r="C3" s="83">
        <v>43</v>
      </c>
      <c r="D3" s="83" t="s">
        <v>222</v>
      </c>
      <c r="E3" s="83" t="s">
        <v>316</v>
      </c>
      <c r="F3" s="83">
        <v>50</v>
      </c>
      <c r="G3" s="83" t="s">
        <v>222</v>
      </c>
      <c r="H3" s="83" t="s">
        <v>346</v>
      </c>
      <c r="I3" s="83">
        <v>9</v>
      </c>
      <c r="J3" s="83" t="s">
        <v>222</v>
      </c>
      <c r="K3" s="136" t="str">
        <f ca="1">OFFSET(Matches!$C$4,Partnerships!A3,0)</f>
        <v>Riverside</v>
      </c>
      <c r="L3" s="137">
        <f ca="1">OFFSET(Matches!$B$4,Partnerships!A3,0)</f>
        <v>45053</v>
      </c>
      <c r="N3" s="166">
        <f t="shared" ref="N3:N40" si="0">IF(B3=0,999999,B3)*10000+5000-C3*10+ROW()</f>
        <v>94573</v>
      </c>
      <c r="O3" s="166">
        <v>16</v>
      </c>
      <c r="P3" s="166">
        <f t="shared" ref="P3:P40" si="1">MATCH(ROW()-1,$O$2:$O$40,0)</f>
        <v>19</v>
      </c>
      <c r="Q3"/>
      <c r="R3" s="83">
        <f t="array" ref="R3:AB3">INDEX($B$2:$L$40,P3,)</f>
        <v>1</v>
      </c>
      <c r="S3" s="83">
        <v>53</v>
      </c>
      <c r="T3" s="83">
        <v>0</v>
      </c>
      <c r="U3" s="83" t="str">
        <v>Patel J</v>
      </c>
      <c r="V3" s="83">
        <v>36</v>
      </c>
      <c r="W3" s="151">
        <v>0</v>
      </c>
      <c r="X3" s="83" t="str">
        <v>Seymour C</v>
      </c>
      <c r="Y3" s="83">
        <v>9</v>
      </c>
      <c r="Z3" s="151">
        <v>0</v>
      </c>
      <c r="AA3" s="83">
        <f ca="1"/>
        <v>0</v>
      </c>
      <c r="AB3" s="140">
        <f ca="1"/>
        <v>0</v>
      </c>
    </row>
    <row r="4" spans="1:31" x14ac:dyDescent="0.15">
      <c r="K4" s="136" t="str">
        <f ca="1">OFFSET(Matches!$C$4,Partnerships!A4,0)</f>
        <v>Opp</v>
      </c>
      <c r="L4" s="137" t="str">
        <f ca="1">OFFSET(Matches!$B$4,Partnerships!A4,0)</f>
        <v>Date</v>
      </c>
      <c r="N4" s="166">
        <f t="shared" si="0"/>
        <v>9999995004</v>
      </c>
      <c r="O4" s="166">
        <v>18</v>
      </c>
      <c r="P4" s="166">
        <f t="shared" si="1"/>
        <v>18</v>
      </c>
      <c r="Q4"/>
      <c r="R4" s="83">
        <f t="array" ref="R4:AB4">INDEX($B$2:$L$40,P4,)</f>
        <v>1</v>
      </c>
      <c r="S4" s="83">
        <v>50</v>
      </c>
      <c r="T4" s="83">
        <v>0</v>
      </c>
      <c r="U4" s="83" t="str">
        <v>Seymour C</v>
      </c>
      <c r="V4" s="83">
        <v>35</v>
      </c>
      <c r="W4" s="151">
        <v>0</v>
      </c>
      <c r="X4" s="83" t="str">
        <v>Patel J</v>
      </c>
      <c r="Y4" s="83">
        <v>19</v>
      </c>
      <c r="Z4" s="151">
        <v>0</v>
      </c>
      <c r="AA4" s="83">
        <f ca="1"/>
        <v>0</v>
      </c>
      <c r="AB4" s="140">
        <f ca="1"/>
        <v>0</v>
      </c>
    </row>
    <row r="5" spans="1:31" x14ac:dyDescent="0.15">
      <c r="A5" s="83">
        <v>4</v>
      </c>
      <c r="B5" s="83">
        <v>3</v>
      </c>
      <c r="C5" s="83">
        <v>54</v>
      </c>
      <c r="E5" s="83" t="s">
        <v>258</v>
      </c>
      <c r="F5" s="83">
        <v>29</v>
      </c>
      <c r="H5" s="83" t="s">
        <v>196</v>
      </c>
      <c r="I5" s="83">
        <v>70</v>
      </c>
      <c r="K5" s="136" t="str">
        <f ca="1">OFFSET(Matches!$C$4,Partnerships!A5,0)</f>
        <v>Fonthill Park</v>
      </c>
      <c r="L5" s="137">
        <f ca="1">OFFSET(Matches!$B$4,Partnerships!A5,0)</f>
        <v>45073</v>
      </c>
      <c r="N5" s="166">
        <f t="shared" si="0"/>
        <v>34465</v>
      </c>
      <c r="O5" s="166">
        <v>8</v>
      </c>
      <c r="P5" s="166">
        <f t="shared" si="1"/>
        <v>8</v>
      </c>
      <c r="Q5"/>
      <c r="R5" s="83">
        <f t="array" ref="R5:AB5">INDEX($B$2:$L$40,P5,)</f>
        <v>2</v>
      </c>
      <c r="S5" s="83">
        <v>103</v>
      </c>
      <c r="T5" s="83">
        <v>0</v>
      </c>
      <c r="U5" s="83" t="str">
        <v>Seymour C</v>
      </c>
      <c r="V5" s="83">
        <v>41</v>
      </c>
      <c r="W5" s="151">
        <v>0</v>
      </c>
      <c r="X5" s="83" t="str">
        <v>Springer T</v>
      </c>
      <c r="Y5" s="83">
        <v>64</v>
      </c>
      <c r="Z5" s="151">
        <v>0</v>
      </c>
      <c r="AA5" s="83" t="str">
        <f ca="1"/>
        <v>YRG Eagles</v>
      </c>
      <c r="AB5" s="140">
        <f ca="1"/>
        <v>45067</v>
      </c>
    </row>
    <row r="6" spans="1:31" x14ac:dyDescent="0.15">
      <c r="A6" s="83">
        <v>4</v>
      </c>
      <c r="B6" s="83">
        <v>4</v>
      </c>
      <c r="C6" s="83">
        <v>85</v>
      </c>
      <c r="E6" s="83" t="s">
        <v>196</v>
      </c>
      <c r="F6" s="83">
        <v>70</v>
      </c>
      <c r="H6" s="83" t="s">
        <v>234</v>
      </c>
      <c r="I6" s="83">
        <v>43</v>
      </c>
      <c r="J6" s="83" t="s">
        <v>222</v>
      </c>
      <c r="K6" s="136" t="str">
        <f ca="1">OFFSET(Matches!$C$4,Partnerships!A6,0)</f>
        <v>Fonthill Park</v>
      </c>
      <c r="L6" s="137">
        <f ca="1">OFFSET(Matches!$B$4,Partnerships!A6,0)</f>
        <v>45073</v>
      </c>
      <c r="N6" s="166">
        <f t="shared" si="0"/>
        <v>44156</v>
      </c>
      <c r="O6" s="166">
        <v>9</v>
      </c>
      <c r="P6" s="166">
        <f t="shared" si="1"/>
        <v>14</v>
      </c>
      <c r="Q6"/>
      <c r="R6" s="83">
        <f t="array" ref="R6:AB6">INDEX($B$2:$L$40,P6,)</f>
        <v>2</v>
      </c>
      <c r="S6" s="83">
        <v>88</v>
      </c>
      <c r="T6" s="83">
        <v>0</v>
      </c>
      <c r="U6" s="83" t="str">
        <v>Crone W</v>
      </c>
      <c r="V6" s="83">
        <v>56</v>
      </c>
      <c r="W6" s="151">
        <v>0</v>
      </c>
      <c r="X6" s="83" t="str">
        <v>Niran S</v>
      </c>
      <c r="Y6" s="83">
        <v>49</v>
      </c>
      <c r="Z6" s="151">
        <v>0</v>
      </c>
      <c r="AA6" s="83" t="str">
        <f ca="1"/>
        <v>Mitcham</v>
      </c>
      <c r="AB6" s="140">
        <f ca="1"/>
        <v>45165</v>
      </c>
    </row>
    <row r="7" spans="1:31" x14ac:dyDescent="0.15">
      <c r="A7" s="83">
        <v>2</v>
      </c>
      <c r="B7" s="83">
        <v>6</v>
      </c>
      <c r="C7" s="83">
        <v>50</v>
      </c>
      <c r="E7" s="83" t="s">
        <v>258</v>
      </c>
      <c r="F7" s="83">
        <v>114</v>
      </c>
      <c r="G7" s="83" t="s">
        <v>222</v>
      </c>
      <c r="H7" s="83" t="s">
        <v>136</v>
      </c>
      <c r="I7" s="83">
        <v>26</v>
      </c>
      <c r="K7" s="136" t="str">
        <f ca="1">OFFSET(Matches!$C$4,Partnerships!A7,0)</f>
        <v>Beddington</v>
      </c>
      <c r="L7" s="137">
        <f ca="1">OFFSET(Matches!$B$4,Partnerships!A7,0)</f>
        <v>45060</v>
      </c>
      <c r="N7" s="166">
        <f t="shared" si="0"/>
        <v>64507</v>
      </c>
      <c r="O7" s="166">
        <v>12</v>
      </c>
      <c r="P7" s="166">
        <f t="shared" si="1"/>
        <v>9</v>
      </c>
      <c r="Q7"/>
      <c r="R7" s="83">
        <f t="array" ref="R7:AB7">INDEX($B$2:$L$40,P7,)</f>
        <v>3</v>
      </c>
      <c r="S7" s="83">
        <v>138</v>
      </c>
      <c r="T7" s="83">
        <v>0</v>
      </c>
      <c r="U7" s="83" t="str">
        <v>Patel J</v>
      </c>
      <c r="V7" s="83">
        <v>66</v>
      </c>
      <c r="W7" s="151">
        <v>0</v>
      </c>
      <c r="X7" s="83" t="str">
        <v>Ahmed R</v>
      </c>
      <c r="Y7" s="83">
        <v>90</v>
      </c>
      <c r="Z7" s="151">
        <v>0</v>
      </c>
      <c r="AA7" s="83" t="str">
        <f ca="1"/>
        <v>Woodgreen</v>
      </c>
      <c r="AB7" s="140">
        <f ca="1"/>
        <v>45074</v>
      </c>
    </row>
    <row r="8" spans="1:31" x14ac:dyDescent="0.15">
      <c r="A8" s="83">
        <v>2</v>
      </c>
      <c r="B8" s="83">
        <v>9</v>
      </c>
      <c r="C8" s="83">
        <v>58</v>
      </c>
      <c r="E8" s="83" t="s">
        <v>258</v>
      </c>
      <c r="F8" s="83">
        <v>114</v>
      </c>
      <c r="G8" s="83" t="s">
        <v>222</v>
      </c>
      <c r="H8" s="83" t="s">
        <v>234</v>
      </c>
      <c r="I8" s="83">
        <v>11</v>
      </c>
      <c r="K8" s="136" t="str">
        <f ca="1">OFFSET(Matches!$C$4,Partnerships!A8,0)</f>
        <v>Beddington</v>
      </c>
      <c r="L8" s="137">
        <f ca="1">OFFSET(Matches!$B$4,Partnerships!A8,0)</f>
        <v>45060</v>
      </c>
      <c r="N8" s="166">
        <f t="shared" si="0"/>
        <v>94428</v>
      </c>
      <c r="O8" s="166">
        <v>15</v>
      </c>
      <c r="P8" s="166">
        <f t="shared" si="1"/>
        <v>16</v>
      </c>
      <c r="Q8"/>
      <c r="R8" s="83">
        <f t="array" ref="R8:AB8">INDEX($B$2:$L$40,P8,)</f>
        <v>3</v>
      </c>
      <c r="S8" s="83">
        <v>110</v>
      </c>
      <c r="T8" s="83">
        <v>0</v>
      </c>
      <c r="U8" s="83" t="str">
        <v>De S</v>
      </c>
      <c r="V8" s="83">
        <v>84</v>
      </c>
      <c r="W8" s="151">
        <v>0</v>
      </c>
      <c r="X8" s="83" t="str">
        <v>Bhatt P</v>
      </c>
      <c r="Y8" s="83">
        <v>32</v>
      </c>
      <c r="Z8" s="151">
        <v>0</v>
      </c>
      <c r="AA8" s="83" t="str">
        <f ca="1"/>
        <v>Verdayne green</v>
      </c>
      <c r="AB8" s="140">
        <f ca="1"/>
        <v>45186</v>
      </c>
    </row>
    <row r="9" spans="1:31" x14ac:dyDescent="0.15">
      <c r="A9" s="83">
        <v>3</v>
      </c>
      <c r="B9" s="83">
        <v>2</v>
      </c>
      <c r="C9" s="83">
        <v>103</v>
      </c>
      <c r="E9" s="83" t="s">
        <v>196</v>
      </c>
      <c r="F9" s="83">
        <v>41</v>
      </c>
      <c r="H9" s="83" t="s">
        <v>221</v>
      </c>
      <c r="I9" s="83">
        <v>64</v>
      </c>
      <c r="K9" s="136" t="str">
        <f ca="1">OFFSET(Matches!$C$4,Partnerships!A9,0)</f>
        <v>YRG Eagles</v>
      </c>
      <c r="L9" s="137">
        <f ca="1">OFFSET(Matches!$B$4,Partnerships!A9,0)</f>
        <v>45067</v>
      </c>
      <c r="N9" s="166">
        <f t="shared" si="0"/>
        <v>23979</v>
      </c>
      <c r="O9" s="166">
        <v>4</v>
      </c>
      <c r="P9" s="166">
        <f t="shared" si="1"/>
        <v>4</v>
      </c>
      <c r="Q9"/>
      <c r="R9" s="83">
        <f t="array" ref="R9:AB9">INDEX($B$2:$L$40,P9,)</f>
        <v>3</v>
      </c>
      <c r="S9" s="83">
        <v>54</v>
      </c>
      <c r="T9" s="83">
        <v>0</v>
      </c>
      <c r="U9" s="83" t="str">
        <v>Seymour D</v>
      </c>
      <c r="V9" s="83">
        <v>29</v>
      </c>
      <c r="W9" s="151">
        <v>0</v>
      </c>
      <c r="X9" s="83" t="str">
        <v>Seymour C</v>
      </c>
      <c r="Y9" s="83">
        <v>70</v>
      </c>
      <c r="Z9" s="151">
        <v>0</v>
      </c>
      <c r="AA9" s="83" t="str">
        <f ca="1"/>
        <v>Fonthill Park</v>
      </c>
      <c r="AB9" s="140">
        <f ca="1"/>
        <v>45073</v>
      </c>
    </row>
    <row r="10" spans="1:31" x14ac:dyDescent="0.15">
      <c r="A10" s="83">
        <v>5</v>
      </c>
      <c r="B10" s="83">
        <v>3</v>
      </c>
      <c r="C10" s="83">
        <v>138</v>
      </c>
      <c r="E10" s="83" t="s">
        <v>350</v>
      </c>
      <c r="F10" s="83">
        <v>66</v>
      </c>
      <c r="H10" s="83" t="s">
        <v>356</v>
      </c>
      <c r="I10" s="83">
        <v>90</v>
      </c>
      <c r="K10" s="136" t="str">
        <f ca="1">OFFSET(Matches!$C$4,Partnerships!A10,0)</f>
        <v>Woodgreen</v>
      </c>
      <c r="L10" s="137">
        <f ca="1">OFFSET(Matches!$B$4,Partnerships!A10,0)</f>
        <v>45074</v>
      </c>
      <c r="N10" s="166">
        <f t="shared" si="0"/>
        <v>33630</v>
      </c>
      <c r="O10" s="166">
        <v>6</v>
      </c>
      <c r="P10" s="166">
        <f t="shared" si="1"/>
        <v>5</v>
      </c>
      <c r="Q10"/>
      <c r="R10" s="83">
        <f t="array" ref="R10:AB10">INDEX($B$2:$L$40,P10,)</f>
        <v>4</v>
      </c>
      <c r="S10" s="83">
        <v>85</v>
      </c>
      <c r="T10" s="83">
        <v>0</v>
      </c>
      <c r="U10" s="83" t="str">
        <v>Seymour C</v>
      </c>
      <c r="V10" s="83">
        <v>70</v>
      </c>
      <c r="W10" s="151">
        <v>0</v>
      </c>
      <c r="X10" s="83" t="str">
        <v>Bhatt P</v>
      </c>
      <c r="Y10" s="83">
        <v>43</v>
      </c>
      <c r="Z10" s="151" t="str">
        <v>*</v>
      </c>
      <c r="AA10" s="83" t="str">
        <f ca="1"/>
        <v>Fonthill Park</v>
      </c>
      <c r="AB10" s="140">
        <f ca="1"/>
        <v>45073</v>
      </c>
    </row>
    <row r="11" spans="1:31" x14ac:dyDescent="0.15">
      <c r="A11" s="83">
        <v>10</v>
      </c>
      <c r="B11" s="83">
        <v>9</v>
      </c>
      <c r="C11" s="83">
        <v>64</v>
      </c>
      <c r="E11" s="83" t="s">
        <v>136</v>
      </c>
      <c r="F11" s="83">
        <v>86</v>
      </c>
      <c r="H11" s="83" t="s">
        <v>366</v>
      </c>
      <c r="I11" s="83">
        <v>16</v>
      </c>
      <c r="J11" s="83" t="s">
        <v>222</v>
      </c>
      <c r="K11" s="136" t="str">
        <f ca="1">OFFSET(Matches!$C$4,Partnerships!A11,0)</f>
        <v>Morden</v>
      </c>
      <c r="L11" s="137">
        <f ca="1">OFFSET(Matches!$B$4,Partnerships!A11,0)</f>
        <v>45116</v>
      </c>
      <c r="N11" s="166">
        <f t="shared" si="0"/>
        <v>94371</v>
      </c>
      <c r="O11" s="166">
        <v>14</v>
      </c>
      <c r="P11" s="166">
        <f t="shared" si="1"/>
        <v>15</v>
      </c>
      <c r="Q11"/>
      <c r="R11" s="83">
        <f t="array" ref="R11:AB11">INDEX($B$2:$L$40,P11,)</f>
        <v>5</v>
      </c>
      <c r="S11" s="83">
        <v>48</v>
      </c>
      <c r="T11" s="83">
        <v>0</v>
      </c>
      <c r="U11" s="83" t="str">
        <v>Springer T</v>
      </c>
      <c r="V11" s="83">
        <v>29</v>
      </c>
      <c r="W11" s="151">
        <v>0</v>
      </c>
      <c r="X11" s="83" t="str">
        <v>Seymour C</v>
      </c>
      <c r="Y11" s="83">
        <v>36</v>
      </c>
      <c r="Z11" s="151" t="str">
        <v>*</v>
      </c>
      <c r="AA11" s="83" t="str">
        <f ca="1"/>
        <v>Croydon CC</v>
      </c>
      <c r="AB11" s="140">
        <f ca="1"/>
        <v>45179</v>
      </c>
    </row>
    <row r="12" spans="1:31" x14ac:dyDescent="0.15">
      <c r="K12" s="136" t="str">
        <f ca="1">OFFSET(Matches!$C$4,Partnerships!A12,0)</f>
        <v>Opp</v>
      </c>
      <c r="L12" s="137" t="str">
        <f ca="1">OFFSET(Matches!$B$4,Partnerships!A12,0)</f>
        <v>Date</v>
      </c>
      <c r="N12" s="166">
        <f t="shared" si="0"/>
        <v>9999995012</v>
      </c>
      <c r="O12" s="166">
        <v>19</v>
      </c>
      <c r="P12" s="166">
        <f t="shared" si="1"/>
        <v>12</v>
      </c>
      <c r="Q12"/>
      <c r="R12" s="83">
        <f t="array" ref="R12:AB12">INDEX($B$2:$L$40,P12,)</f>
        <v>6</v>
      </c>
      <c r="S12" s="83">
        <v>102</v>
      </c>
      <c r="T12" s="83">
        <v>0</v>
      </c>
      <c r="U12" s="83" t="str">
        <v>De S</v>
      </c>
      <c r="V12" s="83">
        <v>37</v>
      </c>
      <c r="W12" s="151">
        <v>0</v>
      </c>
      <c r="X12" s="83" t="str">
        <v>Mahmood S</v>
      </c>
      <c r="Y12" s="83">
        <v>47</v>
      </c>
      <c r="Z12" s="151">
        <v>0</v>
      </c>
      <c r="AA12" s="83" t="str">
        <f ca="1"/>
        <v>Catford Cyphers</v>
      </c>
      <c r="AB12" s="140">
        <f ca="1"/>
        <v>45158</v>
      </c>
    </row>
    <row r="13" spans="1:31" x14ac:dyDescent="0.15">
      <c r="A13" s="83">
        <v>13</v>
      </c>
      <c r="B13" s="83">
        <v>6</v>
      </c>
      <c r="C13" s="83">
        <v>102</v>
      </c>
      <c r="E13" s="83" t="s">
        <v>316</v>
      </c>
      <c r="F13" s="83">
        <v>37</v>
      </c>
      <c r="H13" s="83" t="s">
        <v>379</v>
      </c>
      <c r="I13" s="83">
        <v>47</v>
      </c>
      <c r="K13" s="136" t="str">
        <f ca="1">OFFSET(Matches!$C$4,Partnerships!A13,0)</f>
        <v>Catford Cyphers</v>
      </c>
      <c r="L13" s="137">
        <f ca="1">OFFSET(Matches!$B$4,Partnerships!A13,0)</f>
        <v>45158</v>
      </c>
      <c r="N13" s="166">
        <f t="shared" si="0"/>
        <v>63993</v>
      </c>
      <c r="O13" s="166">
        <v>11</v>
      </c>
      <c r="P13" s="166">
        <f t="shared" si="1"/>
        <v>6</v>
      </c>
      <c r="Q13"/>
      <c r="R13" s="83">
        <f t="array" ref="R13:AB13">INDEX($B$2:$L$40,P13,)</f>
        <v>6</v>
      </c>
      <c r="S13" s="83">
        <v>50</v>
      </c>
      <c r="T13" s="83">
        <v>0</v>
      </c>
      <c r="U13" s="83" t="str">
        <v>Seymour D</v>
      </c>
      <c r="V13" s="83">
        <v>114</v>
      </c>
      <c r="W13" s="151" t="str">
        <v>*</v>
      </c>
      <c r="X13" s="83" t="str">
        <v>Sharpe D</v>
      </c>
      <c r="Y13" s="83">
        <v>26</v>
      </c>
      <c r="Z13" s="151">
        <v>0</v>
      </c>
      <c r="AA13" s="83" t="str">
        <f ca="1"/>
        <v>Beddington</v>
      </c>
      <c r="AB13" s="140">
        <f ca="1"/>
        <v>45060</v>
      </c>
    </row>
    <row r="14" spans="1:31" x14ac:dyDescent="0.15">
      <c r="A14" s="83">
        <v>13</v>
      </c>
      <c r="B14" s="83">
        <v>9</v>
      </c>
      <c r="C14" s="83">
        <v>75</v>
      </c>
      <c r="D14" s="83" t="s">
        <v>222</v>
      </c>
      <c r="E14" s="83" t="s">
        <v>234</v>
      </c>
      <c r="F14" s="83">
        <v>35</v>
      </c>
      <c r="G14" s="83" t="s">
        <v>222</v>
      </c>
      <c r="H14" s="83" t="s">
        <v>201</v>
      </c>
      <c r="I14" s="83">
        <v>36</v>
      </c>
      <c r="J14" s="83" t="s">
        <v>222</v>
      </c>
      <c r="K14" s="136" t="str">
        <f ca="1">OFFSET(Matches!$C$4,Partnerships!A14,0)</f>
        <v>Catford Cyphers</v>
      </c>
      <c r="L14" s="137">
        <f ca="1">OFFSET(Matches!$B$4,Partnerships!A14,0)</f>
        <v>45158</v>
      </c>
      <c r="N14" s="166">
        <f t="shared" si="0"/>
        <v>94264</v>
      </c>
      <c r="O14" s="166">
        <v>13</v>
      </c>
      <c r="P14" s="166">
        <f t="shared" si="1"/>
        <v>13</v>
      </c>
      <c r="Q14"/>
      <c r="R14" s="83">
        <f t="array" ref="R14:AB14">INDEX($B$2:$L$40,P14,)</f>
        <v>9</v>
      </c>
      <c r="S14" s="83">
        <v>75</v>
      </c>
      <c r="T14" s="83" t="str">
        <v>*</v>
      </c>
      <c r="U14" s="83" t="str">
        <v>Bhatt P</v>
      </c>
      <c r="V14" s="83">
        <v>35</v>
      </c>
      <c r="W14" s="151" t="str">
        <v>*</v>
      </c>
      <c r="X14" s="83" t="str">
        <v>Middleton J</v>
      </c>
      <c r="Y14" s="83">
        <v>36</v>
      </c>
      <c r="Z14" s="151" t="str">
        <v>*</v>
      </c>
      <c r="AA14" s="83" t="str">
        <f ca="1"/>
        <v>Catford Cyphers</v>
      </c>
      <c r="AB14" s="140">
        <f ca="1"/>
        <v>45158</v>
      </c>
    </row>
    <row r="15" spans="1:31" x14ac:dyDescent="0.15">
      <c r="A15" s="83">
        <v>14</v>
      </c>
      <c r="B15" s="83">
        <v>2</v>
      </c>
      <c r="C15" s="83">
        <v>88</v>
      </c>
      <c r="E15" s="83" t="s">
        <v>386</v>
      </c>
      <c r="F15" s="83">
        <v>56</v>
      </c>
      <c r="H15" s="83" t="s">
        <v>244</v>
      </c>
      <c r="I15" s="83">
        <v>49</v>
      </c>
      <c r="K15" s="136" t="str">
        <f ca="1">OFFSET(Matches!$C$4,Partnerships!A15,0)</f>
        <v>Mitcham</v>
      </c>
      <c r="L15" s="137">
        <f ca="1">OFFSET(Matches!$B$4,Partnerships!A15,0)</f>
        <v>45165</v>
      </c>
      <c r="N15" s="166">
        <f t="shared" si="0"/>
        <v>24135</v>
      </c>
      <c r="O15" s="166">
        <v>5</v>
      </c>
      <c r="P15" s="166">
        <f t="shared" si="1"/>
        <v>10</v>
      </c>
      <c r="Q15"/>
      <c r="R15" s="83">
        <f t="array" ref="R15:AB15">INDEX($B$2:$L$40,P15,)</f>
        <v>9</v>
      </c>
      <c r="S15" s="83">
        <v>64</v>
      </c>
      <c r="T15" s="83">
        <v>0</v>
      </c>
      <c r="U15" s="83" t="str">
        <v>Sharpe D</v>
      </c>
      <c r="V15" s="83">
        <v>86</v>
      </c>
      <c r="W15" s="151">
        <v>0</v>
      </c>
      <c r="X15" s="83" t="str">
        <v>Turner R</v>
      </c>
      <c r="Y15" s="83">
        <v>16</v>
      </c>
      <c r="Z15" s="151" t="str">
        <v>*</v>
      </c>
      <c r="AA15" s="83" t="str">
        <f ca="1"/>
        <v>Morden</v>
      </c>
      <c r="AB15" s="140">
        <f ca="1"/>
        <v>45116</v>
      </c>
    </row>
    <row r="16" spans="1:31" x14ac:dyDescent="0.15">
      <c r="A16" s="83">
        <v>15</v>
      </c>
      <c r="B16" s="83">
        <v>5</v>
      </c>
      <c r="C16" s="83">
        <v>48</v>
      </c>
      <c r="E16" s="83" t="s">
        <v>221</v>
      </c>
      <c r="F16" s="83">
        <v>29</v>
      </c>
      <c r="H16" s="83" t="s">
        <v>196</v>
      </c>
      <c r="I16" s="83">
        <v>36</v>
      </c>
      <c r="J16" s="83" t="s">
        <v>222</v>
      </c>
      <c r="K16" s="136" t="str">
        <f ca="1">OFFSET(Matches!$C$4,Partnerships!A16,0)</f>
        <v>Croydon CC</v>
      </c>
      <c r="L16" s="137">
        <f ca="1">OFFSET(Matches!$B$4,Partnerships!A16,0)</f>
        <v>45179</v>
      </c>
      <c r="N16" s="166">
        <f t="shared" si="0"/>
        <v>54536</v>
      </c>
      <c r="O16" s="166">
        <v>10</v>
      </c>
      <c r="P16" s="166">
        <f t="shared" si="1"/>
        <v>7</v>
      </c>
      <c r="Q16"/>
      <c r="R16" s="83">
        <f t="array" ref="R16:AB16">INDEX($B$2:$L$40,P16,)</f>
        <v>9</v>
      </c>
      <c r="S16" s="83">
        <v>58</v>
      </c>
      <c r="T16" s="83">
        <v>0</v>
      </c>
      <c r="U16" s="83" t="str">
        <v>Seymour D</v>
      </c>
      <c r="V16" s="83">
        <v>114</v>
      </c>
      <c r="W16" s="151" t="str">
        <v>*</v>
      </c>
      <c r="X16" s="83" t="str">
        <v>Bhatt P</v>
      </c>
      <c r="Y16" s="83">
        <v>11</v>
      </c>
      <c r="Z16" s="151">
        <v>0</v>
      </c>
      <c r="AA16" s="83" t="str">
        <f ca="1"/>
        <v>Beddington</v>
      </c>
      <c r="AB16" s="140">
        <f ca="1"/>
        <v>45060</v>
      </c>
    </row>
    <row r="17" spans="1:28" x14ac:dyDescent="0.15">
      <c r="A17" s="83">
        <v>16</v>
      </c>
      <c r="B17" s="83">
        <v>3</v>
      </c>
      <c r="C17" s="83">
        <v>110</v>
      </c>
      <c r="E17" s="83" t="s">
        <v>316</v>
      </c>
      <c r="F17" s="83">
        <v>84</v>
      </c>
      <c r="H17" s="83" t="s">
        <v>234</v>
      </c>
      <c r="I17" s="83">
        <v>32</v>
      </c>
      <c r="K17" s="136" t="str">
        <f ca="1">OFFSET(Matches!$C$4,Partnerships!A17,0)</f>
        <v>Verdayne green</v>
      </c>
      <c r="L17" s="137">
        <f ca="1">OFFSET(Matches!$B$4,Partnerships!A17,0)</f>
        <v>45186</v>
      </c>
      <c r="N17" s="166">
        <f t="shared" si="0"/>
        <v>33917</v>
      </c>
      <c r="O17" s="166">
        <v>7</v>
      </c>
      <c r="P17" s="166">
        <f t="shared" si="1"/>
        <v>2</v>
      </c>
      <c r="Q17"/>
      <c r="R17" s="83">
        <f t="array" ref="R17:AB17">INDEX($B$2:$L$40,P17,)</f>
        <v>9</v>
      </c>
      <c r="S17" s="83">
        <v>43</v>
      </c>
      <c r="T17" s="83" t="str">
        <v>*</v>
      </c>
      <c r="U17" s="83" t="str">
        <v>De S</v>
      </c>
      <c r="V17" s="83">
        <v>50</v>
      </c>
      <c r="W17" s="151" t="str">
        <v>*</v>
      </c>
      <c r="X17" s="83" t="str">
        <v>Jain A</v>
      </c>
      <c r="Y17" s="83">
        <v>9</v>
      </c>
      <c r="Z17" s="151" t="str">
        <v>*</v>
      </c>
      <c r="AA17" s="83" t="str">
        <f ca="1"/>
        <v>Riverside</v>
      </c>
      <c r="AB17" s="140">
        <f ca="1"/>
        <v>45053</v>
      </c>
    </row>
    <row r="18" spans="1:28" x14ac:dyDescent="0.15">
      <c r="K18" s="136" t="str">
        <f ca="1">OFFSET(Matches!$C$4,Partnerships!A18,0)</f>
        <v>Opp</v>
      </c>
      <c r="L18" s="137" t="str">
        <f ca="1">OFFSET(Matches!$B$4,Partnerships!A18,0)</f>
        <v>Date</v>
      </c>
      <c r="N18" s="166">
        <f>IF(B18=0,999999,B18)*10000+5000-C18*10+ROW()</f>
        <v>9999995018</v>
      </c>
      <c r="O18" s="166">
        <v>20</v>
      </c>
      <c r="P18" s="166">
        <f t="shared" si="1"/>
        <v>1</v>
      </c>
      <c r="Q18"/>
      <c r="R18" s="83">
        <f t="array" ref="R18:AB18">INDEX($B$2:$L$40,P18,)</f>
        <v>0</v>
      </c>
      <c r="S18" s="83">
        <v>0</v>
      </c>
      <c r="T18" s="83">
        <v>0</v>
      </c>
      <c r="U18" s="83">
        <v>0</v>
      </c>
      <c r="V18" s="83">
        <v>0</v>
      </c>
      <c r="W18" s="151">
        <v>0</v>
      </c>
      <c r="X18" s="83">
        <v>0</v>
      </c>
      <c r="Y18" s="83">
        <v>0</v>
      </c>
      <c r="Z18" s="151">
        <v>0</v>
      </c>
      <c r="AA18" s="83" t="str">
        <f ca="1"/>
        <v>Opp</v>
      </c>
      <c r="AB18" s="140" t="str">
        <f ca="1"/>
        <v>Date</v>
      </c>
    </row>
    <row r="19" spans="1:28" x14ac:dyDescent="0.15">
      <c r="A19" s="83">
        <v>18</v>
      </c>
      <c r="B19" s="83">
        <v>1</v>
      </c>
      <c r="C19" s="83">
        <v>50</v>
      </c>
      <c r="E19" s="83" t="s">
        <v>196</v>
      </c>
      <c r="F19" s="83">
        <v>35</v>
      </c>
      <c r="H19" s="83" t="s">
        <v>350</v>
      </c>
      <c r="I19" s="83">
        <v>19</v>
      </c>
      <c r="K19" s="136">
        <f ca="1">OFFSET(Matches!$C$4,Partnerships!A19,0)</f>
        <v>0</v>
      </c>
      <c r="L19" s="137">
        <f ca="1">OFFSET(Matches!$B$4,Partnerships!A19,0)</f>
        <v>0</v>
      </c>
      <c r="N19" s="166">
        <f>IF(B19=0,999999,B19)*10000+5000-C19*10+ROW()</f>
        <v>14519</v>
      </c>
      <c r="O19" s="166">
        <v>3</v>
      </c>
      <c r="P19" s="166">
        <f t="shared" si="1"/>
        <v>3</v>
      </c>
      <c r="R19" s="83">
        <f t="array" ref="R19:AB19">INDEX($B$2:$L$40,P19,)</f>
        <v>0</v>
      </c>
      <c r="S19" s="83">
        <v>0</v>
      </c>
      <c r="T19" s="83">
        <v>0</v>
      </c>
      <c r="U19" s="83">
        <v>0</v>
      </c>
      <c r="V19" s="83">
        <v>0</v>
      </c>
      <c r="W19" s="151">
        <v>0</v>
      </c>
      <c r="X19" s="83">
        <v>0</v>
      </c>
      <c r="Y19" s="83">
        <v>0</v>
      </c>
      <c r="Z19" s="151">
        <v>0</v>
      </c>
      <c r="AA19" s="83" t="str">
        <f ca="1"/>
        <v>Opp</v>
      </c>
      <c r="AB19" s="140" t="str">
        <f ca="1"/>
        <v>Date</v>
      </c>
    </row>
    <row r="20" spans="1:28" x14ac:dyDescent="0.15">
      <c r="A20" s="83">
        <v>19</v>
      </c>
      <c r="B20" s="83">
        <v>1</v>
      </c>
      <c r="C20" s="83">
        <v>53</v>
      </c>
      <c r="E20" s="83" t="s">
        <v>350</v>
      </c>
      <c r="F20" s="83">
        <v>36</v>
      </c>
      <c r="H20" s="83" t="s">
        <v>196</v>
      </c>
      <c r="I20" s="83">
        <v>9</v>
      </c>
      <c r="K20" s="136">
        <f ca="1">OFFSET(Matches!$C$4,Partnerships!A20,0)</f>
        <v>0</v>
      </c>
      <c r="L20" s="137">
        <f ca="1">OFFSET(Matches!$B$4,Partnerships!A20,0)</f>
        <v>0</v>
      </c>
      <c r="N20" s="166">
        <f>IF(B20=0,999999,B20)*10000+5000-C20*10+ROW()</f>
        <v>14490</v>
      </c>
      <c r="O20" s="166">
        <v>2</v>
      </c>
      <c r="P20" s="166">
        <f t="shared" si="1"/>
        <v>11</v>
      </c>
      <c r="R20" s="83">
        <f t="array" ref="R20:AB20">INDEX($B$2:$L$40,P20,)</f>
        <v>0</v>
      </c>
      <c r="S20" s="83">
        <v>0</v>
      </c>
      <c r="T20" s="83">
        <v>0</v>
      </c>
      <c r="U20" s="83">
        <v>0</v>
      </c>
      <c r="V20" s="83">
        <v>0</v>
      </c>
      <c r="W20" s="151">
        <v>0</v>
      </c>
      <c r="X20" s="83">
        <v>0</v>
      </c>
      <c r="Y20" s="83">
        <v>0</v>
      </c>
      <c r="Z20" s="151">
        <v>0</v>
      </c>
      <c r="AA20" s="83" t="str">
        <f ca="1"/>
        <v>Opp</v>
      </c>
      <c r="AB20" s="140" t="str">
        <f ca="1"/>
        <v>Date</v>
      </c>
    </row>
    <row r="21" spans="1:28" x14ac:dyDescent="0.15">
      <c r="A21" s="83">
        <v>20</v>
      </c>
      <c r="B21" s="83">
        <v>1</v>
      </c>
      <c r="C21" s="83">
        <v>54</v>
      </c>
      <c r="E21" s="83" t="s">
        <v>350</v>
      </c>
      <c r="F21" s="83">
        <v>52</v>
      </c>
      <c r="H21" s="83" t="s">
        <v>196</v>
      </c>
      <c r="I21" s="83">
        <v>7</v>
      </c>
      <c r="K21" s="136">
        <f ca="1">OFFSET(Matches!$C$4,Partnerships!A21,0)</f>
        <v>0</v>
      </c>
      <c r="L21" s="137">
        <f ca="1">OFFSET(Matches!$B$4,Partnerships!A21,0)</f>
        <v>0</v>
      </c>
      <c r="N21" s="166">
        <f>IF(B21=0,999999,B21)*10000+5000-C21*10+ROW()</f>
        <v>14481</v>
      </c>
      <c r="O21" s="166">
        <v>1</v>
      </c>
      <c r="P21" s="166">
        <f t="shared" si="1"/>
        <v>17</v>
      </c>
      <c r="R21" s="83">
        <f t="array" ref="R21:AB21">INDEX($B$2:$L$40,P21,)</f>
        <v>0</v>
      </c>
      <c r="S21" s="83">
        <v>0</v>
      </c>
      <c r="T21" s="83">
        <v>0</v>
      </c>
      <c r="U21" s="83">
        <v>0</v>
      </c>
      <c r="V21" s="83">
        <v>0</v>
      </c>
      <c r="W21" s="151">
        <v>0</v>
      </c>
      <c r="X21" s="83">
        <v>0</v>
      </c>
      <c r="Y21" s="83">
        <v>0</v>
      </c>
      <c r="Z21" s="151">
        <v>0</v>
      </c>
      <c r="AA21" s="83" t="str">
        <f ca="1"/>
        <v>Opp</v>
      </c>
      <c r="AB21" s="140" t="str">
        <f ca="1"/>
        <v>Date</v>
      </c>
    </row>
    <row r="22" spans="1:28" x14ac:dyDescent="0.15">
      <c r="K22" s="136" t="str">
        <f ca="1">OFFSET(Matches!$C$4,Partnerships!A22,0)</f>
        <v>Opp</v>
      </c>
      <c r="L22" s="137" t="str">
        <f ca="1">OFFSET(Matches!$B$4,Partnerships!A22,0)</f>
        <v>Date</v>
      </c>
      <c r="N22" s="166">
        <f t="shared" si="0"/>
        <v>9999995022</v>
      </c>
      <c r="O22" s="166">
        <v>21</v>
      </c>
      <c r="P22" s="166">
        <f t="shared" si="1"/>
        <v>21</v>
      </c>
      <c r="R22" s="83">
        <f t="array" ref="R22:AB22">INDEX($B$2:$L$40,P22,)</f>
        <v>0</v>
      </c>
      <c r="S22" s="83">
        <v>0</v>
      </c>
      <c r="T22" s="83">
        <v>0</v>
      </c>
      <c r="U22" s="83">
        <v>0</v>
      </c>
      <c r="V22" s="83">
        <v>0</v>
      </c>
      <c r="W22" s="151">
        <v>0</v>
      </c>
      <c r="X22" s="83">
        <v>0</v>
      </c>
      <c r="Y22" s="83">
        <v>0</v>
      </c>
      <c r="Z22" s="151">
        <v>0</v>
      </c>
      <c r="AA22" s="83" t="str">
        <f ca="1"/>
        <v>Opp</v>
      </c>
      <c r="AB22" s="140" t="str">
        <f ca="1"/>
        <v>Date</v>
      </c>
    </row>
    <row r="23" spans="1:28" x14ac:dyDescent="0.15">
      <c r="K23" s="136" t="str">
        <f ca="1">OFFSET(Matches!$C$4,Partnerships!A23,0)</f>
        <v>Opp</v>
      </c>
      <c r="L23" s="137" t="str">
        <f ca="1">OFFSET(Matches!$B$4,Partnerships!A23,0)</f>
        <v>Date</v>
      </c>
      <c r="N23" s="166">
        <f t="shared" si="0"/>
        <v>9999995023</v>
      </c>
      <c r="O23" s="166">
        <v>22</v>
      </c>
      <c r="P23" s="166">
        <f t="shared" si="1"/>
        <v>22</v>
      </c>
      <c r="R23" s="83">
        <f t="array" ref="R23:AB23">INDEX($B$2:$L$40,P23,)</f>
        <v>0</v>
      </c>
      <c r="S23" s="83">
        <v>0</v>
      </c>
      <c r="T23" s="83">
        <v>0</v>
      </c>
      <c r="U23" s="83">
        <v>0</v>
      </c>
      <c r="V23" s="83">
        <v>0</v>
      </c>
      <c r="W23" s="151">
        <v>0</v>
      </c>
      <c r="X23" s="83">
        <v>0</v>
      </c>
      <c r="Y23" s="83">
        <v>0</v>
      </c>
      <c r="Z23" s="151">
        <v>0</v>
      </c>
      <c r="AA23" s="83" t="str">
        <f ca="1"/>
        <v>Opp</v>
      </c>
      <c r="AB23" s="140" t="str">
        <f ca="1"/>
        <v>Date</v>
      </c>
    </row>
    <row r="24" spans="1:28" x14ac:dyDescent="0.15">
      <c r="G24"/>
      <c r="J24"/>
      <c r="K24" s="136" t="str">
        <f ca="1">OFFSET(Matches!$C$4,Partnerships!A24,0)</f>
        <v>Opp</v>
      </c>
      <c r="L24" s="137" t="str">
        <f ca="1">OFFSET(Matches!$B$4,Partnerships!A24,0)</f>
        <v>Date</v>
      </c>
      <c r="N24" s="166">
        <f t="shared" si="0"/>
        <v>9999995024</v>
      </c>
      <c r="O24" s="166">
        <v>23</v>
      </c>
      <c r="P24" s="166">
        <f t="shared" si="1"/>
        <v>23</v>
      </c>
      <c r="R24" s="83">
        <f t="array" ref="R24:AB24">INDEX($B$2:$L$40,P24,)</f>
        <v>0</v>
      </c>
      <c r="S24" s="83">
        <v>0</v>
      </c>
      <c r="T24" s="83">
        <v>0</v>
      </c>
      <c r="U24" s="83">
        <v>0</v>
      </c>
      <c r="V24" s="83">
        <v>0</v>
      </c>
      <c r="W24" s="151">
        <v>0</v>
      </c>
      <c r="X24" s="83">
        <v>0</v>
      </c>
      <c r="Y24" s="83">
        <v>0</v>
      </c>
      <c r="Z24" s="151">
        <v>0</v>
      </c>
      <c r="AA24" s="83" t="str">
        <f ca="1"/>
        <v>Opp</v>
      </c>
      <c r="AB24" s="140" t="str">
        <f ca="1"/>
        <v>Date</v>
      </c>
    </row>
    <row r="25" spans="1:28" x14ac:dyDescent="0.15">
      <c r="G25"/>
      <c r="J25"/>
      <c r="K25" s="136" t="str">
        <f ca="1">OFFSET(Matches!$C$4,Partnerships!A25,0)</f>
        <v>Opp</v>
      </c>
      <c r="L25" s="137" t="str">
        <f ca="1">OFFSET(Matches!$B$4,Partnerships!A25,0)</f>
        <v>Date</v>
      </c>
      <c r="N25" s="166">
        <f t="shared" si="0"/>
        <v>9999995025</v>
      </c>
      <c r="O25" s="166">
        <v>24</v>
      </c>
      <c r="P25" s="166">
        <f t="shared" si="1"/>
        <v>24</v>
      </c>
      <c r="R25" s="83">
        <f t="array" ref="R25:AB25">INDEX($B$2:$L$40,P25,)</f>
        <v>0</v>
      </c>
      <c r="S25" s="83">
        <v>0</v>
      </c>
      <c r="T25" s="83">
        <v>0</v>
      </c>
      <c r="U25" s="83">
        <v>0</v>
      </c>
      <c r="V25" s="83">
        <v>0</v>
      </c>
      <c r="W25" s="151">
        <v>0</v>
      </c>
      <c r="X25" s="83">
        <v>0</v>
      </c>
      <c r="Y25" s="83">
        <v>0</v>
      </c>
      <c r="Z25" s="151">
        <v>0</v>
      </c>
      <c r="AA25" s="83" t="str">
        <f ca="1"/>
        <v>Opp</v>
      </c>
      <c r="AB25" s="140" t="str">
        <f ca="1"/>
        <v>Date</v>
      </c>
    </row>
    <row r="26" spans="1:28" x14ac:dyDescent="0.15">
      <c r="G26"/>
      <c r="H26"/>
      <c r="I26"/>
      <c r="J26"/>
      <c r="K26" s="136" t="str">
        <f ca="1">OFFSET(Matches!$C$4,Partnerships!A26,0)</f>
        <v>Opp</v>
      </c>
      <c r="L26" s="137" t="str">
        <f ca="1">OFFSET(Matches!$B$4,Partnerships!A26,0)</f>
        <v>Date</v>
      </c>
      <c r="N26" s="166">
        <f t="shared" si="0"/>
        <v>9999995026</v>
      </c>
      <c r="O26" s="166">
        <v>25</v>
      </c>
      <c r="P26" s="166">
        <f t="shared" si="1"/>
        <v>25</v>
      </c>
      <c r="R26" s="83">
        <f t="array" ref="R26:AB26">INDEX($B$2:$L$40,P26,)</f>
        <v>0</v>
      </c>
      <c r="S26" s="83">
        <v>0</v>
      </c>
      <c r="T26" s="83">
        <v>0</v>
      </c>
      <c r="U26" s="83">
        <v>0</v>
      </c>
      <c r="V26" s="83">
        <v>0</v>
      </c>
      <c r="W26" s="151">
        <v>0</v>
      </c>
      <c r="X26" s="83">
        <v>0</v>
      </c>
      <c r="Y26" s="83">
        <v>0</v>
      </c>
      <c r="Z26" s="151">
        <v>0</v>
      </c>
      <c r="AA26" s="83" t="str">
        <f ca="1"/>
        <v>Opp</v>
      </c>
      <c r="AB26" s="140" t="str">
        <f ca="1"/>
        <v>Date</v>
      </c>
    </row>
    <row r="27" spans="1:28" x14ac:dyDescent="0.15">
      <c r="G27"/>
      <c r="H27"/>
      <c r="I27"/>
      <c r="J27"/>
      <c r="K27" s="136" t="str">
        <f ca="1">OFFSET(Matches!$C$4,Partnerships!A27,0)</f>
        <v>Opp</v>
      </c>
      <c r="L27" s="137" t="str">
        <f ca="1">OFFSET(Matches!$B$4,Partnerships!A27,0)</f>
        <v>Date</v>
      </c>
      <c r="N27" s="166">
        <f t="shared" si="0"/>
        <v>9999995027</v>
      </c>
      <c r="O27" s="166">
        <v>26</v>
      </c>
      <c r="P27" s="166">
        <f t="shared" si="1"/>
        <v>26</v>
      </c>
      <c r="R27" s="83">
        <f t="array" ref="R27:AB27">INDEX($B$2:$L$40,P27,)</f>
        <v>0</v>
      </c>
      <c r="S27" s="83">
        <v>0</v>
      </c>
      <c r="T27" s="83">
        <v>0</v>
      </c>
      <c r="U27" s="83">
        <v>0</v>
      </c>
      <c r="V27" s="83">
        <v>0</v>
      </c>
      <c r="W27" s="151">
        <v>0</v>
      </c>
      <c r="X27" s="83">
        <v>0</v>
      </c>
      <c r="Y27" s="83">
        <v>0</v>
      </c>
      <c r="Z27" s="151">
        <v>0</v>
      </c>
      <c r="AA27" s="83" t="str">
        <f ca="1"/>
        <v>Opp</v>
      </c>
      <c r="AB27" s="140" t="str">
        <f ca="1"/>
        <v>Date</v>
      </c>
    </row>
    <row r="28" spans="1:28" x14ac:dyDescent="0.15">
      <c r="G28"/>
      <c r="H28"/>
      <c r="I28"/>
      <c r="J28"/>
      <c r="K28" s="136" t="str">
        <f ca="1">OFFSET(Matches!$C$4,Partnerships!A28,0)</f>
        <v>Opp</v>
      </c>
      <c r="L28" s="137" t="str">
        <f ca="1">OFFSET(Matches!$B$4,Partnerships!A28,0)</f>
        <v>Date</v>
      </c>
      <c r="N28" s="166">
        <f t="shared" si="0"/>
        <v>9999995028</v>
      </c>
      <c r="O28" s="166">
        <v>27</v>
      </c>
      <c r="P28" s="166">
        <f t="shared" si="1"/>
        <v>27</v>
      </c>
      <c r="R28" s="83">
        <f t="array" ref="R28:AB28">INDEX($B$2:$L$40,P28,)</f>
        <v>0</v>
      </c>
      <c r="S28" s="83">
        <v>0</v>
      </c>
      <c r="T28" s="83">
        <v>0</v>
      </c>
      <c r="U28" s="83">
        <v>0</v>
      </c>
      <c r="V28" s="83">
        <v>0</v>
      </c>
      <c r="W28" s="151">
        <v>0</v>
      </c>
      <c r="X28" s="83">
        <v>0</v>
      </c>
      <c r="Y28" s="83">
        <v>0</v>
      </c>
      <c r="Z28" s="151">
        <v>0</v>
      </c>
      <c r="AA28" s="83" t="str">
        <f ca="1"/>
        <v>Opp</v>
      </c>
      <c r="AB28" s="140" t="str">
        <f ca="1"/>
        <v>Date</v>
      </c>
    </row>
    <row r="29" spans="1:28" x14ac:dyDescent="0.15">
      <c r="G29"/>
      <c r="H29"/>
      <c r="I29"/>
      <c r="J29"/>
      <c r="K29" s="136" t="str">
        <f ca="1">OFFSET(Matches!$C$4,Partnerships!A29,0)</f>
        <v>Opp</v>
      </c>
      <c r="L29" s="137" t="str">
        <f ca="1">OFFSET(Matches!$B$4,Partnerships!A29,0)</f>
        <v>Date</v>
      </c>
      <c r="N29" s="166">
        <f t="shared" si="0"/>
        <v>9999995029</v>
      </c>
      <c r="O29" s="166">
        <v>28</v>
      </c>
      <c r="P29" s="166">
        <f t="shared" si="1"/>
        <v>28</v>
      </c>
      <c r="R29" s="83">
        <f t="array" ref="R29:AB29">INDEX($B$2:$L$40,P29,)</f>
        <v>0</v>
      </c>
      <c r="S29" s="83">
        <v>0</v>
      </c>
      <c r="T29" s="83">
        <v>0</v>
      </c>
      <c r="U29" s="83">
        <v>0</v>
      </c>
      <c r="V29" s="83">
        <v>0</v>
      </c>
      <c r="W29" s="151">
        <v>0</v>
      </c>
      <c r="X29" s="83">
        <v>0</v>
      </c>
      <c r="Y29" s="83">
        <v>0</v>
      </c>
      <c r="Z29" s="151">
        <v>0</v>
      </c>
      <c r="AA29" s="83" t="str">
        <f ca="1"/>
        <v>Opp</v>
      </c>
      <c r="AB29" s="140" t="str">
        <f ca="1"/>
        <v>Date</v>
      </c>
    </row>
    <row r="30" spans="1:28" x14ac:dyDescent="0.15">
      <c r="G30"/>
      <c r="H30"/>
      <c r="I30"/>
      <c r="J30"/>
      <c r="K30" s="136" t="str">
        <f ca="1">OFFSET(Matches!$C$4,Partnerships!A30,0)</f>
        <v>Opp</v>
      </c>
      <c r="L30" s="137" t="str">
        <f ca="1">OFFSET(Matches!$B$4,Partnerships!A30,0)</f>
        <v>Date</v>
      </c>
      <c r="N30" s="166">
        <f t="shared" si="0"/>
        <v>9999995030</v>
      </c>
      <c r="O30" s="166">
        <v>29</v>
      </c>
      <c r="P30" s="166">
        <f t="shared" si="1"/>
        <v>29</v>
      </c>
      <c r="R30" s="83">
        <f t="array" ref="R30:AB30">INDEX($B$2:$L$40,P30,)</f>
        <v>0</v>
      </c>
      <c r="S30" s="83">
        <v>0</v>
      </c>
      <c r="T30" s="83">
        <v>0</v>
      </c>
      <c r="U30" s="83">
        <v>0</v>
      </c>
      <c r="V30" s="83">
        <v>0</v>
      </c>
      <c r="W30" s="151">
        <v>0</v>
      </c>
      <c r="X30" s="83">
        <v>0</v>
      </c>
      <c r="Y30" s="83">
        <v>0</v>
      </c>
      <c r="Z30" s="151">
        <v>0</v>
      </c>
      <c r="AA30" s="83" t="str">
        <f ca="1"/>
        <v>Opp</v>
      </c>
      <c r="AB30" s="140" t="str">
        <f ca="1"/>
        <v>Date</v>
      </c>
    </row>
    <row r="31" spans="1:28" x14ac:dyDescent="0.15">
      <c r="G31"/>
      <c r="H31"/>
      <c r="I31"/>
      <c r="J31"/>
      <c r="K31" s="136" t="str">
        <f ca="1">OFFSET(Matches!$C$4,Partnerships!A31,0)</f>
        <v>Opp</v>
      </c>
      <c r="L31" s="137" t="str">
        <f ca="1">OFFSET(Matches!$B$4,Partnerships!A31,0)</f>
        <v>Date</v>
      </c>
      <c r="N31" s="166">
        <f t="shared" si="0"/>
        <v>9999995031</v>
      </c>
      <c r="O31" s="166">
        <v>30</v>
      </c>
      <c r="P31" s="166">
        <f t="shared" si="1"/>
        <v>30</v>
      </c>
      <c r="R31" s="83">
        <f t="array" ref="R31:AB31">INDEX($B$2:$L$40,P31,)</f>
        <v>0</v>
      </c>
      <c r="S31" s="83">
        <v>0</v>
      </c>
      <c r="T31" s="83">
        <v>0</v>
      </c>
      <c r="U31" s="83">
        <v>0</v>
      </c>
      <c r="V31" s="83">
        <v>0</v>
      </c>
      <c r="W31" s="151">
        <v>0</v>
      </c>
      <c r="X31" s="83">
        <v>0</v>
      </c>
      <c r="Y31" s="83">
        <v>0</v>
      </c>
      <c r="Z31" s="151">
        <v>0</v>
      </c>
      <c r="AA31" s="83" t="str">
        <f ca="1"/>
        <v>Opp</v>
      </c>
      <c r="AB31" s="140" t="str">
        <f ca="1"/>
        <v>Date</v>
      </c>
    </row>
    <row r="32" spans="1:28" x14ac:dyDescent="0.15">
      <c r="G32"/>
      <c r="H32"/>
      <c r="I32"/>
      <c r="J32"/>
      <c r="K32" s="136" t="str">
        <f ca="1">OFFSET(Matches!$C$4,Partnerships!A32,0)</f>
        <v>Opp</v>
      </c>
      <c r="L32" s="137" t="str">
        <f ca="1">OFFSET(Matches!$B$4,Partnerships!A32,0)</f>
        <v>Date</v>
      </c>
      <c r="N32" s="166">
        <f t="shared" si="0"/>
        <v>9999995032</v>
      </c>
      <c r="O32" s="166">
        <v>31</v>
      </c>
      <c r="P32" s="166">
        <f t="shared" si="1"/>
        <v>31</v>
      </c>
      <c r="R32" s="83">
        <f t="array" ref="R32:AB32">INDEX($B$2:$L$40,P32,)</f>
        <v>0</v>
      </c>
      <c r="S32" s="83">
        <v>0</v>
      </c>
      <c r="T32" s="83">
        <v>0</v>
      </c>
      <c r="U32" s="83">
        <v>0</v>
      </c>
      <c r="V32" s="83">
        <v>0</v>
      </c>
      <c r="W32" s="151">
        <v>0</v>
      </c>
      <c r="X32" s="83">
        <v>0</v>
      </c>
      <c r="Y32" s="83">
        <v>0</v>
      </c>
      <c r="Z32" s="151">
        <v>0</v>
      </c>
      <c r="AA32" s="83" t="str">
        <f ca="1"/>
        <v>Opp</v>
      </c>
      <c r="AB32" s="140" t="str">
        <f ca="1"/>
        <v>Date</v>
      </c>
    </row>
    <row r="33" spans="7:28" x14ac:dyDescent="0.15">
      <c r="G33"/>
      <c r="H33"/>
      <c r="I33"/>
      <c r="J33"/>
      <c r="K33" s="136" t="str">
        <f ca="1">OFFSET(Matches!$C$4,Partnerships!A33,0)</f>
        <v>Opp</v>
      </c>
      <c r="L33" s="137" t="str">
        <f ca="1">OFFSET(Matches!$B$4,Partnerships!A33,0)</f>
        <v>Date</v>
      </c>
      <c r="N33" s="166">
        <f t="shared" si="0"/>
        <v>9999995033</v>
      </c>
      <c r="O33" s="166">
        <v>32</v>
      </c>
      <c r="P33" s="166">
        <f t="shared" si="1"/>
        <v>32</v>
      </c>
      <c r="R33" s="83">
        <f t="array" ref="R33:AB33">INDEX($B$2:$L$40,P33,)</f>
        <v>0</v>
      </c>
      <c r="S33" s="83">
        <v>0</v>
      </c>
      <c r="T33" s="83">
        <v>0</v>
      </c>
      <c r="U33" s="83">
        <v>0</v>
      </c>
      <c r="V33" s="83">
        <v>0</v>
      </c>
      <c r="W33" s="151">
        <v>0</v>
      </c>
      <c r="X33" s="83">
        <v>0</v>
      </c>
      <c r="Y33" s="83">
        <v>0</v>
      </c>
      <c r="Z33" s="151">
        <v>0</v>
      </c>
      <c r="AA33" s="83" t="str">
        <f ca="1"/>
        <v>Opp</v>
      </c>
      <c r="AB33" s="140" t="str">
        <f ca="1"/>
        <v>Date</v>
      </c>
    </row>
    <row r="34" spans="7:28" x14ac:dyDescent="0.15">
      <c r="G34"/>
      <c r="H34"/>
      <c r="I34"/>
      <c r="J34"/>
      <c r="K34" s="136" t="str">
        <f ca="1">OFFSET(Matches!$C$4,Partnerships!A34,0)</f>
        <v>Opp</v>
      </c>
      <c r="L34" s="137" t="str">
        <f ca="1">OFFSET(Matches!$B$4,Partnerships!A34,0)</f>
        <v>Date</v>
      </c>
      <c r="N34" s="166">
        <f t="shared" si="0"/>
        <v>9999995034</v>
      </c>
      <c r="O34" s="166">
        <v>33</v>
      </c>
      <c r="P34" s="166">
        <f t="shared" si="1"/>
        <v>33</v>
      </c>
      <c r="R34" s="83">
        <f t="array" ref="R34:AB34">INDEX($B$2:$L$40,P34,)</f>
        <v>0</v>
      </c>
      <c r="S34" s="83">
        <v>0</v>
      </c>
      <c r="T34" s="83">
        <v>0</v>
      </c>
      <c r="U34" s="83">
        <v>0</v>
      </c>
      <c r="V34" s="83">
        <v>0</v>
      </c>
      <c r="W34" s="151">
        <v>0</v>
      </c>
      <c r="X34" s="83">
        <v>0</v>
      </c>
      <c r="Y34" s="83">
        <v>0</v>
      </c>
      <c r="Z34" s="151">
        <v>0</v>
      </c>
      <c r="AA34" s="83" t="str">
        <f ca="1"/>
        <v>Opp</v>
      </c>
      <c r="AB34" s="140" t="str">
        <f ca="1"/>
        <v>Date</v>
      </c>
    </row>
    <row r="35" spans="7:28" x14ac:dyDescent="0.15">
      <c r="G35"/>
      <c r="H35"/>
      <c r="I35"/>
      <c r="J35"/>
      <c r="K35" s="136" t="str">
        <f ca="1">OFFSET(Matches!$C$4,Partnerships!A35,0)</f>
        <v>Opp</v>
      </c>
      <c r="L35" s="137" t="str">
        <f ca="1">OFFSET(Matches!$B$4,Partnerships!A35,0)</f>
        <v>Date</v>
      </c>
      <c r="N35" s="166">
        <f t="shared" si="0"/>
        <v>9999995035</v>
      </c>
      <c r="O35" s="166">
        <v>34</v>
      </c>
      <c r="P35" s="166">
        <f t="shared" si="1"/>
        <v>34</v>
      </c>
      <c r="R35" s="83">
        <f t="array" ref="R35:AB35">INDEX($B$2:$L$40,P35,)</f>
        <v>0</v>
      </c>
      <c r="S35" s="83">
        <v>0</v>
      </c>
      <c r="T35" s="83">
        <v>0</v>
      </c>
      <c r="U35" s="83">
        <v>0</v>
      </c>
      <c r="V35" s="83">
        <v>0</v>
      </c>
      <c r="W35" s="151">
        <v>0</v>
      </c>
      <c r="X35" s="83">
        <v>0</v>
      </c>
      <c r="Y35" s="83">
        <v>0</v>
      </c>
      <c r="Z35" s="151">
        <v>0</v>
      </c>
      <c r="AA35" s="83" t="str">
        <f ca="1"/>
        <v>Opp</v>
      </c>
      <c r="AB35" s="140" t="str">
        <f ca="1"/>
        <v>Date</v>
      </c>
    </row>
    <row r="36" spans="7:28" x14ac:dyDescent="0.15">
      <c r="G36"/>
      <c r="H36"/>
      <c r="I36"/>
      <c r="J36"/>
      <c r="K36" s="136" t="str">
        <f ca="1">OFFSET(Matches!$C$4,Partnerships!A36,0)</f>
        <v>Opp</v>
      </c>
      <c r="L36" s="137" t="str">
        <f ca="1">OFFSET(Matches!$B$4,Partnerships!A36,0)</f>
        <v>Date</v>
      </c>
      <c r="N36" s="166">
        <f t="shared" si="0"/>
        <v>9999995036</v>
      </c>
      <c r="O36" s="166">
        <v>35</v>
      </c>
      <c r="P36" s="166">
        <f t="shared" si="1"/>
        <v>35</v>
      </c>
      <c r="R36" s="83">
        <f t="array" ref="R36:AB36">INDEX($B$2:$L$40,P36,)</f>
        <v>0</v>
      </c>
      <c r="S36" s="83">
        <v>0</v>
      </c>
      <c r="T36" s="83">
        <v>0</v>
      </c>
      <c r="U36" s="83">
        <v>0</v>
      </c>
      <c r="V36" s="83">
        <v>0</v>
      </c>
      <c r="W36" s="151">
        <v>0</v>
      </c>
      <c r="X36" s="83">
        <v>0</v>
      </c>
      <c r="Y36" s="83">
        <v>0</v>
      </c>
      <c r="Z36" s="151">
        <v>0</v>
      </c>
      <c r="AA36" s="83" t="str">
        <f ca="1"/>
        <v>Opp</v>
      </c>
      <c r="AB36" s="140" t="str">
        <f ca="1"/>
        <v>Date</v>
      </c>
    </row>
    <row r="37" spans="7:28" x14ac:dyDescent="0.15">
      <c r="G37"/>
      <c r="H37"/>
      <c r="I37"/>
      <c r="J37"/>
      <c r="K37" s="136" t="str">
        <f ca="1">OFFSET(Matches!$C$4,Partnerships!A37,0)</f>
        <v>Opp</v>
      </c>
      <c r="L37" s="137" t="str">
        <f ca="1">OFFSET(Matches!$B$4,Partnerships!A37,0)</f>
        <v>Date</v>
      </c>
      <c r="N37" s="166">
        <f t="shared" si="0"/>
        <v>9999995037</v>
      </c>
      <c r="O37" s="166">
        <v>36</v>
      </c>
      <c r="P37" s="166">
        <f t="shared" si="1"/>
        <v>36</v>
      </c>
      <c r="R37" s="83">
        <f t="array" ref="R37:AB37">INDEX($B$2:$L$40,P37,)</f>
        <v>0</v>
      </c>
      <c r="S37" s="83">
        <v>0</v>
      </c>
      <c r="T37" s="83">
        <v>0</v>
      </c>
      <c r="U37" s="83">
        <v>0</v>
      </c>
      <c r="V37" s="83">
        <v>0</v>
      </c>
      <c r="W37" s="151">
        <v>0</v>
      </c>
      <c r="X37" s="83">
        <v>0</v>
      </c>
      <c r="Y37" s="83">
        <v>0</v>
      </c>
      <c r="Z37" s="151">
        <v>0</v>
      </c>
      <c r="AA37" s="83" t="str">
        <f ca="1"/>
        <v>Opp</v>
      </c>
      <c r="AB37" s="140" t="str">
        <f ca="1"/>
        <v>Date</v>
      </c>
    </row>
    <row r="38" spans="7:28" x14ac:dyDescent="0.15">
      <c r="G38"/>
      <c r="H38"/>
      <c r="I38"/>
      <c r="J38"/>
      <c r="K38" s="136" t="str">
        <f ca="1">OFFSET(Matches!$C$4,Partnerships!A38,0)</f>
        <v>Opp</v>
      </c>
      <c r="L38" s="137" t="str">
        <f ca="1">OFFSET(Matches!$B$4,Partnerships!A38,0)</f>
        <v>Date</v>
      </c>
      <c r="N38" s="166">
        <f t="shared" si="0"/>
        <v>9999995038</v>
      </c>
      <c r="O38" s="166">
        <v>37</v>
      </c>
      <c r="P38" s="166">
        <f t="shared" si="1"/>
        <v>37</v>
      </c>
      <c r="R38" s="83">
        <f t="array" ref="R38:AB38">INDEX($B$2:$L$40,P38,)</f>
        <v>0</v>
      </c>
      <c r="S38" s="83">
        <v>0</v>
      </c>
      <c r="T38" s="83">
        <v>0</v>
      </c>
      <c r="U38" s="83">
        <v>0</v>
      </c>
      <c r="V38" s="83">
        <v>0</v>
      </c>
      <c r="W38" s="151">
        <v>0</v>
      </c>
      <c r="X38" s="83">
        <v>0</v>
      </c>
      <c r="Y38" s="83">
        <v>0</v>
      </c>
      <c r="Z38" s="151">
        <v>0</v>
      </c>
      <c r="AA38" s="83" t="str">
        <f ca="1"/>
        <v>Opp</v>
      </c>
      <c r="AB38" s="140" t="str">
        <f ca="1"/>
        <v>Date</v>
      </c>
    </row>
    <row r="39" spans="7:28" x14ac:dyDescent="0.15">
      <c r="G39"/>
      <c r="H39"/>
      <c r="I39"/>
      <c r="J39"/>
      <c r="K39" s="136" t="str">
        <f ca="1">OFFSET(Matches!$C$4,Partnerships!A39,0)</f>
        <v>Opp</v>
      </c>
      <c r="L39" s="137" t="str">
        <f ca="1">OFFSET(Matches!$B$4,Partnerships!A39,0)</f>
        <v>Date</v>
      </c>
      <c r="N39" s="166">
        <f t="shared" si="0"/>
        <v>9999995039</v>
      </c>
      <c r="O39" s="166">
        <v>38</v>
      </c>
      <c r="P39" s="166">
        <f t="shared" si="1"/>
        <v>38</v>
      </c>
      <c r="R39" s="83">
        <f t="array" ref="R39:AB39">INDEX($B$2:$L$40,P39,)</f>
        <v>0</v>
      </c>
      <c r="S39" s="83">
        <v>0</v>
      </c>
      <c r="T39" s="83">
        <v>0</v>
      </c>
      <c r="U39" s="83">
        <v>0</v>
      </c>
      <c r="V39" s="83">
        <v>0</v>
      </c>
      <c r="W39" s="151">
        <v>0</v>
      </c>
      <c r="X39" s="83">
        <v>0</v>
      </c>
      <c r="Y39" s="83">
        <v>0</v>
      </c>
      <c r="Z39" s="151">
        <v>0</v>
      </c>
      <c r="AA39" s="83" t="str">
        <f ca="1"/>
        <v>Opp</v>
      </c>
      <c r="AB39" s="140" t="str">
        <f ca="1"/>
        <v>Date</v>
      </c>
    </row>
    <row r="40" spans="7:28" x14ac:dyDescent="0.15">
      <c r="H40"/>
      <c r="I40"/>
      <c r="J40"/>
      <c r="K40" s="136" t="str">
        <f ca="1">OFFSET(Matches!$C$4,Partnerships!A40,0)</f>
        <v>Opp</v>
      </c>
      <c r="L40" s="137" t="str">
        <f ca="1">OFFSET(Matches!$B$4,Partnerships!A40,0)</f>
        <v>Date</v>
      </c>
      <c r="N40" s="166">
        <f t="shared" si="0"/>
        <v>9999995040</v>
      </c>
      <c r="O40" s="166">
        <v>39</v>
      </c>
      <c r="P40" s="166">
        <f t="shared" si="1"/>
        <v>39</v>
      </c>
      <c r="R40" s="83">
        <f t="array" ref="R40:AB40">INDEX($B$2:$L$40,P40,)</f>
        <v>0</v>
      </c>
      <c r="S40" s="83">
        <v>0</v>
      </c>
      <c r="T40" s="83">
        <v>0</v>
      </c>
      <c r="U40" s="83">
        <v>0</v>
      </c>
      <c r="V40" s="83">
        <v>0</v>
      </c>
      <c r="W40" s="151">
        <v>0</v>
      </c>
      <c r="X40" s="83">
        <v>0</v>
      </c>
      <c r="Y40" s="83">
        <v>0</v>
      </c>
      <c r="Z40" s="151">
        <v>0</v>
      </c>
      <c r="AA40" s="83" t="str">
        <f ca="1"/>
        <v>Opp</v>
      </c>
      <c r="AB40" s="140" t="str">
        <f ca="1"/>
        <v>Date</v>
      </c>
    </row>
  </sheetData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W82"/>
  <sheetViews>
    <sheetView workbookViewId="0">
      <selection activeCell="R24" sqref="R24"/>
    </sheetView>
  </sheetViews>
  <sheetFormatPr defaultRowHeight="10.5" x14ac:dyDescent="0.15"/>
  <cols>
    <col min="1" max="1" width="17.28515625" style="54" bestFit="1" customWidth="1"/>
    <col min="2" max="2" width="15.5703125" style="54" customWidth="1"/>
    <col min="3" max="3" width="7.5703125" style="58" bestFit="1" customWidth="1"/>
    <col min="4" max="4" width="5.28515625" style="58" bestFit="1" customWidth="1"/>
    <col min="5" max="5" width="7.140625" style="58" bestFit="1" customWidth="1"/>
    <col min="6" max="7" width="5.28515625" style="58" bestFit="1" customWidth="1"/>
    <col min="8" max="8" width="8.85546875" style="63" bestFit="1" customWidth="1"/>
    <col min="9" max="9" width="5.28515625" style="54" bestFit="1" customWidth="1"/>
    <col min="10" max="11" width="9.140625" style="54"/>
    <col min="12" max="12" width="21.5703125" style="54" bestFit="1" customWidth="1"/>
    <col min="13" max="13" width="9.140625" style="54"/>
    <col min="14" max="14" width="12.7109375" style="98" bestFit="1" customWidth="1"/>
    <col min="15" max="15" width="13.140625" style="100" bestFit="1" customWidth="1"/>
    <col min="16" max="16" width="4.5703125" style="98" bestFit="1" customWidth="1"/>
    <col min="17" max="17" width="7.140625" style="98" bestFit="1" customWidth="1"/>
    <col min="18" max="18" width="5" style="101" bestFit="1" customWidth="1"/>
    <col min="19" max="19" width="5" style="98" bestFit="1" customWidth="1"/>
    <col min="20" max="20" width="8.85546875" style="99" bestFit="1" customWidth="1"/>
    <col min="21" max="21" width="9.140625" style="54"/>
    <col min="22" max="22" width="19.5703125" style="54" bestFit="1" customWidth="1"/>
    <col min="23" max="16384" width="9.140625" style="54"/>
  </cols>
  <sheetData>
    <row r="1" spans="1:23" ht="12.75" x14ac:dyDescent="0.15">
      <c r="A1" s="47" t="s">
        <v>130</v>
      </c>
      <c r="C1" s="58" t="s">
        <v>5</v>
      </c>
      <c r="D1" s="58" t="s">
        <v>7</v>
      </c>
      <c r="E1" s="58" t="s">
        <v>8</v>
      </c>
      <c r="F1" s="58" t="s">
        <v>131</v>
      </c>
      <c r="G1" s="58" t="s">
        <v>9</v>
      </c>
      <c r="H1" s="63" t="s">
        <v>10</v>
      </c>
      <c r="J1" s="58"/>
      <c r="L1" t="s">
        <v>236</v>
      </c>
      <c r="M1" s="54">
        <f t="array" aca="1" ref="M1" ca="1">SUM(IF(NOT(ISNA(B2:B60)),1,0))</f>
        <v>59</v>
      </c>
      <c r="N1" s="102"/>
      <c r="O1" s="105" t="s">
        <v>76</v>
      </c>
      <c r="P1" s="103" t="s">
        <v>7</v>
      </c>
      <c r="Q1" s="103" t="s">
        <v>202</v>
      </c>
      <c r="R1" s="103" t="s">
        <v>131</v>
      </c>
      <c r="S1" s="103" t="s">
        <v>9</v>
      </c>
      <c r="T1" s="103" t="s">
        <v>33</v>
      </c>
      <c r="V1" t="s">
        <v>318</v>
      </c>
      <c r="W1" s="54">
        <f ca="1">COUNT(C:C)</f>
        <v>59</v>
      </c>
    </row>
    <row r="2" spans="1:23" ht="12.75" x14ac:dyDescent="0.15">
      <c r="A2" s="54">
        <v>1</v>
      </c>
      <c r="B2" s="54" t="str">
        <f ca="1">OFFSET(Batting!$C$4,BatAves!$I2,0)</f>
        <v>Patel J</v>
      </c>
      <c r="C2" s="58">
        <f ca="1">OFFSET(Batting!$AK$4,BatAves!$I2,0)</f>
        <v>4</v>
      </c>
      <c r="D2" s="58">
        <f ca="1">OFFSET(Batting!$AM$4,BatAves!$I2,0)</f>
        <v>4</v>
      </c>
      <c r="E2" s="58">
        <f ca="1">OFFSET(Batting!$AN$4,BatAves!$I2,0)</f>
        <v>1</v>
      </c>
      <c r="F2" s="58" t="str">
        <f ca="1">OFFSET(Batting!$AP$4,BatAves!$I2,0)</f>
        <v>98*</v>
      </c>
      <c r="G2" s="58">
        <f ca="1">OFFSET(Batting!$AQ$4,BatAves!$I2,0)</f>
        <v>210</v>
      </c>
      <c r="H2" s="62">
        <f ca="1">OFFSET(Batting!$AR$4,BatAves!$I2,0)</f>
        <v>70</v>
      </c>
      <c r="I2" s="54">
        <f>MATCH(A2,Batting!$BM$5:$BM$70,0)</f>
        <v>37</v>
      </c>
      <c r="J2" s="54">
        <f t="shared" ref="J2:J33" ca="1" si="0">IF(D2&gt;=5,A2,1000+A2)</f>
        <v>1001</v>
      </c>
      <c r="K2" s="54">
        <f ca="1">RANK(J2,OFFSET($J$2,0,0,$M$1,1),-1)</f>
        <v>4</v>
      </c>
      <c r="L2" s="54" t="str">
        <f t="shared" ref="L2:L33" ca="1" si="1">IF(D2&lt;5,B2&amp;" "&amp;D2&amp;"-"&amp;E2&amp;"-"&amp;F2&amp;"-"&amp;G2,"")</f>
        <v>Patel J 4-1-98*-210</v>
      </c>
      <c r="M2" s="54">
        <f ca="1">MATCH(N2,OFFSET($K$2,0,0,$M$1,1),0)</f>
        <v>2</v>
      </c>
      <c r="N2" s="102">
        <v>1</v>
      </c>
      <c r="O2" s="102" t="str">
        <f t="shared" ref="O2:O43" ca="1" si="2">OFFSET(B$1,$M2,0)</f>
        <v>Springer T</v>
      </c>
      <c r="P2" s="102">
        <f t="shared" ref="P2:P43" ca="1" si="3">OFFSET(D$1,$M2,0)</f>
        <v>6</v>
      </c>
      <c r="Q2" s="102">
        <f t="shared" ref="Q2:Q43" ca="1" si="4">OFFSET(E$1,$M2,0)</f>
        <v>2</v>
      </c>
      <c r="R2" s="102">
        <f t="shared" ref="R2:R43" ca="1" si="5">OFFSET(F$1,$M2,0)</f>
        <v>82</v>
      </c>
      <c r="S2" s="102">
        <f t="shared" ref="S2:S43" ca="1" si="6">OFFSET(G$1,$M2,0)</f>
        <v>192</v>
      </c>
      <c r="T2" s="104">
        <f t="shared" ref="T2:T43" ca="1" si="7">OFFSET(H$1,$M2,0)</f>
        <v>48</v>
      </c>
      <c r="U2" s="58"/>
      <c r="V2" t="s">
        <v>319</v>
      </c>
      <c r="W2" s="54">
        <f ca="1">SUMPRODUCT(--(OFFSET(C2,0,0,W1,1)&gt;0))</f>
        <v>28</v>
      </c>
    </row>
    <row r="3" spans="1:23" ht="12.75" x14ac:dyDescent="0.15">
      <c r="A3" s="54">
        <v>2</v>
      </c>
      <c r="B3" s="54" t="str">
        <f ca="1">OFFSET(Batting!$C$4,BatAves!$I3,0)</f>
        <v>Springer T</v>
      </c>
      <c r="C3" s="58">
        <f ca="1">OFFSET(Batting!$AK$4,BatAves!$I3,0)</f>
        <v>7</v>
      </c>
      <c r="D3" s="58">
        <f ca="1">OFFSET(Batting!$AM$4,BatAves!$I3,0)</f>
        <v>6</v>
      </c>
      <c r="E3" s="58">
        <f ca="1">OFFSET(Batting!$AN$4,BatAves!$I3,0)</f>
        <v>2</v>
      </c>
      <c r="F3" s="58">
        <f ca="1">OFFSET(Batting!$AP$4,BatAves!$I3,0)</f>
        <v>82</v>
      </c>
      <c r="G3" s="58">
        <f ca="1">OFFSET(Batting!$AQ$4,BatAves!$I3,0)</f>
        <v>192</v>
      </c>
      <c r="H3" s="62">
        <f ca="1">OFFSET(Batting!$AR$4,BatAves!$I3,0)</f>
        <v>48</v>
      </c>
      <c r="I3" s="54">
        <f>MATCH(A3,Batting!$BM$5:$BM$70,0)</f>
        <v>55</v>
      </c>
      <c r="J3" s="54">
        <f t="shared" ca="1" si="0"/>
        <v>2</v>
      </c>
      <c r="K3" s="54">
        <f t="shared" ref="K3:K60" ca="1" si="8">RANK(J3,OFFSET($J$2,0,0,$M$1,1),-1)</f>
        <v>1</v>
      </c>
      <c r="L3" s="54" t="str">
        <f t="shared" ca="1" si="1"/>
        <v/>
      </c>
      <c r="M3" s="54">
        <f ca="1">MATCH(N3,OFFSET($K$2,0,0,$M$1,1),0)</f>
        <v>3</v>
      </c>
      <c r="N3" s="102">
        <v>2</v>
      </c>
      <c r="O3" s="102" t="str">
        <f t="shared" ca="1" si="2"/>
        <v>Singh S</v>
      </c>
      <c r="P3" s="102">
        <f t="shared" ca="1" si="3"/>
        <v>8</v>
      </c>
      <c r="Q3" s="102">
        <f t="shared" ca="1" si="4"/>
        <v>1</v>
      </c>
      <c r="R3" s="102">
        <f t="shared" ca="1" si="5"/>
        <v>61</v>
      </c>
      <c r="S3" s="102">
        <f t="shared" ca="1" si="6"/>
        <v>235</v>
      </c>
      <c r="T3" s="104">
        <f t="shared" ca="1" si="7"/>
        <v>33.571428571428569</v>
      </c>
      <c r="V3" t="s">
        <v>317</v>
      </c>
      <c r="W3" s="54">
        <f ca="1">SUMPRODUCT(--(OFFSET(D2,0,0,W2,1)&gt;=5))</f>
        <v>3</v>
      </c>
    </row>
    <row r="4" spans="1:23" ht="12.75" x14ac:dyDescent="0.15">
      <c r="A4" s="54">
        <v>3</v>
      </c>
      <c r="B4" s="54" t="str">
        <f ca="1">OFFSET(Batting!$C$4,BatAves!$I4,0)</f>
        <v>Singh S</v>
      </c>
      <c r="C4" s="58">
        <f ca="1">OFFSET(Batting!$AK$4,BatAves!$I4,0)</f>
        <v>9</v>
      </c>
      <c r="D4" s="58">
        <f ca="1">OFFSET(Batting!$AM$4,BatAves!$I4,0)</f>
        <v>8</v>
      </c>
      <c r="E4" s="58">
        <f ca="1">OFFSET(Batting!$AN$4,BatAves!$I4,0)</f>
        <v>1</v>
      </c>
      <c r="F4" s="58">
        <f ca="1">OFFSET(Batting!$AP$4,BatAves!$I4,0)</f>
        <v>61</v>
      </c>
      <c r="G4" s="58">
        <f ca="1">OFFSET(Batting!$AQ$4,BatAves!$I4,0)</f>
        <v>235</v>
      </c>
      <c r="H4" s="62">
        <f ca="1">OFFSET(Batting!$AR$4,BatAves!$I4,0)</f>
        <v>33.571428571428569</v>
      </c>
      <c r="I4" s="54">
        <f>MATCH(A4,Batting!$BM$5:$BM$70,0)</f>
        <v>52</v>
      </c>
      <c r="J4" s="54">
        <f t="shared" ca="1" si="0"/>
        <v>3</v>
      </c>
      <c r="K4" s="54">
        <f t="shared" ca="1" si="8"/>
        <v>2</v>
      </c>
      <c r="L4" s="54" t="str">
        <f t="shared" ca="1" si="1"/>
        <v/>
      </c>
      <c r="M4" s="54">
        <f t="shared" ref="M4:M43" ca="1" si="9">MATCH(N4,OFFSET($K$2,0,0,$M$1,1),0)</f>
        <v>11</v>
      </c>
      <c r="N4" s="102">
        <v>3</v>
      </c>
      <c r="O4" s="102" t="str">
        <f t="shared" ca="1" si="2"/>
        <v>Seymour C</v>
      </c>
      <c r="P4" s="102">
        <f t="shared" ca="1" si="3"/>
        <v>7</v>
      </c>
      <c r="Q4" s="102">
        <f t="shared" ca="1" si="4"/>
        <v>0</v>
      </c>
      <c r="R4" s="102">
        <f t="shared" ca="1" si="5"/>
        <v>21</v>
      </c>
      <c r="S4" s="102">
        <f t="shared" ca="1" si="6"/>
        <v>69</v>
      </c>
      <c r="T4" s="104">
        <f t="shared" ca="1" si="7"/>
        <v>9.8571428571428577</v>
      </c>
      <c r="V4" s="54" t="s">
        <v>194</v>
      </c>
      <c r="W4" s="54" t="s">
        <v>194</v>
      </c>
    </row>
    <row r="5" spans="1:23" ht="12.75" x14ac:dyDescent="0.15">
      <c r="A5" s="54">
        <v>4</v>
      </c>
      <c r="B5" s="54" t="str">
        <f ca="1">OFFSET(Batting!$C$4,BatAves!$I5,0)</f>
        <v>Sharpe H</v>
      </c>
      <c r="C5" s="58">
        <f ca="1">OFFSET(Batting!$AK$4,BatAves!$I5,0)</f>
        <v>2</v>
      </c>
      <c r="D5" s="58">
        <f ca="1">OFFSET(Batting!$AM$4,BatAves!$I5,0)</f>
        <v>2</v>
      </c>
      <c r="E5" s="58">
        <f ca="1">OFFSET(Batting!$AN$4,BatAves!$I5,0)</f>
        <v>1</v>
      </c>
      <c r="F5" s="58" t="str">
        <f ca="1">OFFSET(Batting!$AP$4,BatAves!$I5,0)</f>
        <v>26*</v>
      </c>
      <c r="G5" s="58">
        <f ca="1">OFFSET(Batting!$AQ$4,BatAves!$I5,0)</f>
        <v>32</v>
      </c>
      <c r="H5" s="62">
        <f ca="1">OFFSET(Batting!$AR$4,BatAves!$I5,0)</f>
        <v>32</v>
      </c>
      <c r="I5" s="54">
        <f>MATCH(A5,Batting!$BM$5:$BM$70,0)</f>
        <v>50</v>
      </c>
      <c r="J5" s="54">
        <f t="shared" ca="1" si="0"/>
        <v>1004</v>
      </c>
      <c r="K5" s="54">
        <f t="shared" ca="1" si="8"/>
        <v>5</v>
      </c>
      <c r="L5" s="54" t="str">
        <f t="shared" ca="1" si="1"/>
        <v>Sharpe H 2-1-26*-32</v>
      </c>
      <c r="M5" s="54">
        <f t="shared" ca="1" si="9"/>
        <v>1</v>
      </c>
      <c r="N5" s="102">
        <v>4</v>
      </c>
      <c r="O5" s="102" t="str">
        <f t="shared" ca="1" si="2"/>
        <v>Patel J</v>
      </c>
      <c r="P5" s="102">
        <f t="shared" ca="1" si="3"/>
        <v>4</v>
      </c>
      <c r="Q5" s="102">
        <f t="shared" ca="1" si="4"/>
        <v>1</v>
      </c>
      <c r="R5" s="102" t="str">
        <f t="shared" ca="1" si="5"/>
        <v>98*</v>
      </c>
      <c r="S5" s="102">
        <f t="shared" ca="1" si="6"/>
        <v>210</v>
      </c>
      <c r="T5" s="104">
        <f t="shared" ca="1" si="7"/>
        <v>70</v>
      </c>
      <c r="V5" s="54" t="s">
        <v>194</v>
      </c>
      <c r="W5" s="54" t="s">
        <v>194</v>
      </c>
    </row>
    <row r="6" spans="1:23" ht="12.75" x14ac:dyDescent="0.15">
      <c r="A6" s="54">
        <v>5</v>
      </c>
      <c r="B6" s="54" t="str">
        <f ca="1">OFFSET(Batting!$C$4,BatAves!$I6,0)</f>
        <v>Sharpe D</v>
      </c>
      <c r="C6" s="58">
        <f ca="1">OFFSET(Batting!$AK$4,BatAves!$I6,0)</f>
        <v>4</v>
      </c>
      <c r="D6" s="58">
        <f ca="1">OFFSET(Batting!$AM$4,BatAves!$I6,0)</f>
        <v>4</v>
      </c>
      <c r="E6" s="58">
        <f ca="1">OFFSET(Batting!$AN$4,BatAves!$I6,0)</f>
        <v>0</v>
      </c>
      <c r="F6" s="58">
        <f ca="1">OFFSET(Batting!$AP$4,BatAves!$I6,0)</f>
        <v>36</v>
      </c>
      <c r="G6" s="58">
        <f ca="1">OFFSET(Batting!$AQ$4,BatAves!$I6,0)</f>
        <v>75</v>
      </c>
      <c r="H6" s="62">
        <f ca="1">OFFSET(Batting!$AR$4,BatAves!$I6,0)</f>
        <v>18.75</v>
      </c>
      <c r="I6" s="54">
        <f>MATCH(A6,Batting!$BM$5:$BM$70,0)</f>
        <v>49</v>
      </c>
      <c r="J6" s="54">
        <f t="shared" ca="1" si="0"/>
        <v>1005</v>
      </c>
      <c r="K6" s="54">
        <f t="shared" ca="1" si="8"/>
        <v>6</v>
      </c>
      <c r="L6" s="54" t="str">
        <f t="shared" ca="1" si="1"/>
        <v>Sharpe D 4-0-36-75</v>
      </c>
      <c r="M6" s="54">
        <f t="shared" ca="1" si="9"/>
        <v>4</v>
      </c>
      <c r="N6" s="102">
        <v>5</v>
      </c>
      <c r="O6" s="102" t="str">
        <f t="shared" ca="1" si="2"/>
        <v>Sharpe H</v>
      </c>
      <c r="P6" s="102">
        <f t="shared" ca="1" si="3"/>
        <v>2</v>
      </c>
      <c r="Q6" s="102">
        <f t="shared" ca="1" si="4"/>
        <v>1</v>
      </c>
      <c r="R6" s="102" t="str">
        <f t="shared" ca="1" si="5"/>
        <v>26*</v>
      </c>
      <c r="S6" s="102">
        <f t="shared" ca="1" si="6"/>
        <v>32</v>
      </c>
      <c r="T6" s="104">
        <f t="shared" ca="1" si="7"/>
        <v>32</v>
      </c>
      <c r="V6" s="54" t="s">
        <v>194</v>
      </c>
      <c r="W6" s="54" t="s">
        <v>194</v>
      </c>
    </row>
    <row r="7" spans="1:23" ht="12.75" x14ac:dyDescent="0.15">
      <c r="A7" s="54">
        <v>6</v>
      </c>
      <c r="B7" s="54" t="str">
        <f ca="1">OFFSET(Batting!$C$4,BatAves!$I7,0)</f>
        <v>Middleton J</v>
      </c>
      <c r="C7" s="58">
        <f ca="1">OFFSET(Batting!$AK$4,BatAves!$I7,0)</f>
        <v>4</v>
      </c>
      <c r="D7" s="58">
        <f ca="1">OFFSET(Batting!$AM$4,BatAves!$I7,0)</f>
        <v>4</v>
      </c>
      <c r="E7" s="58">
        <f ca="1">OFFSET(Batting!$AN$4,BatAves!$I7,0)</f>
        <v>0</v>
      </c>
      <c r="F7" s="58">
        <f ca="1">OFFSET(Batting!$AP$4,BatAves!$I7,0)</f>
        <v>55</v>
      </c>
      <c r="G7" s="58">
        <f ca="1">OFFSET(Batting!$AQ$4,BatAves!$I7,0)</f>
        <v>67</v>
      </c>
      <c r="H7" s="62">
        <f ca="1">OFFSET(Batting!$AR$4,BatAves!$I7,0)</f>
        <v>16.75</v>
      </c>
      <c r="I7" s="54">
        <f>MATCH(A7,Batting!$BM$5:$BM$70,0)</f>
        <v>29</v>
      </c>
      <c r="J7" s="54">
        <f t="shared" ca="1" si="0"/>
        <v>1006</v>
      </c>
      <c r="K7" s="54">
        <f t="shared" ca="1" si="8"/>
        <v>7</v>
      </c>
      <c r="L7" s="54" t="str">
        <f t="shared" ca="1" si="1"/>
        <v>Middleton J 4-0-55-67</v>
      </c>
      <c r="M7" s="54">
        <f t="shared" ca="1" si="9"/>
        <v>5</v>
      </c>
      <c r="N7" s="102">
        <v>6</v>
      </c>
      <c r="O7" s="102" t="str">
        <f t="shared" ca="1" si="2"/>
        <v>Sharpe D</v>
      </c>
      <c r="P7" s="102">
        <f t="shared" ca="1" si="3"/>
        <v>4</v>
      </c>
      <c r="Q7" s="102">
        <f t="shared" ca="1" si="4"/>
        <v>0</v>
      </c>
      <c r="R7" s="102">
        <f t="shared" ca="1" si="5"/>
        <v>36</v>
      </c>
      <c r="S7" s="102">
        <f t="shared" ca="1" si="6"/>
        <v>75</v>
      </c>
      <c r="T7" s="104">
        <f t="shared" ca="1" si="7"/>
        <v>18.75</v>
      </c>
      <c r="V7" s="54" t="s">
        <v>194</v>
      </c>
      <c r="W7" s="54" t="s">
        <v>194</v>
      </c>
    </row>
    <row r="8" spans="1:23" ht="12.75" x14ac:dyDescent="0.15">
      <c r="A8" s="54">
        <v>7</v>
      </c>
      <c r="B8" s="54" t="str">
        <f ca="1">OFFSET(Batting!$C$4,BatAves!$I8,0)</f>
        <v>Vignesh M</v>
      </c>
      <c r="C8" s="58">
        <f ca="1">OFFSET(Batting!$AK$4,BatAves!$I8,0)</f>
        <v>4</v>
      </c>
      <c r="D8" s="58">
        <f ca="1">OFFSET(Batting!$AM$4,BatAves!$I8,0)</f>
        <v>2</v>
      </c>
      <c r="E8" s="58">
        <f ca="1">OFFSET(Batting!$AN$4,BatAves!$I8,0)</f>
        <v>1</v>
      </c>
      <c r="F8" s="58" t="str">
        <f ca="1">OFFSET(Batting!$AP$4,BatAves!$I8,0)</f>
        <v>14*</v>
      </c>
      <c r="G8" s="58">
        <f ca="1">OFFSET(Batting!$AQ$4,BatAves!$I8,0)</f>
        <v>14</v>
      </c>
      <c r="H8" s="62">
        <f ca="1">OFFSET(Batting!$AR$4,BatAves!$I8,0)</f>
        <v>14</v>
      </c>
      <c r="I8" s="54">
        <f>MATCH(A8,Batting!$BM$5:$BM$70,0)</f>
        <v>62</v>
      </c>
      <c r="J8" s="54">
        <f t="shared" ca="1" si="0"/>
        <v>1007</v>
      </c>
      <c r="K8" s="54">
        <f t="shared" ca="1" si="8"/>
        <v>8</v>
      </c>
      <c r="L8" s="54" t="str">
        <f t="shared" ca="1" si="1"/>
        <v>Vignesh M 2-1-14*-14</v>
      </c>
      <c r="M8" s="54">
        <f t="shared" ca="1" si="9"/>
        <v>6</v>
      </c>
      <c r="N8" s="102">
        <v>7</v>
      </c>
      <c r="O8" s="102" t="str">
        <f t="shared" ca="1" si="2"/>
        <v>Middleton J</v>
      </c>
      <c r="P8" s="102">
        <f t="shared" ca="1" si="3"/>
        <v>4</v>
      </c>
      <c r="Q8" s="102">
        <f t="shared" ca="1" si="4"/>
        <v>0</v>
      </c>
      <c r="R8" s="102">
        <f t="shared" ca="1" si="5"/>
        <v>55</v>
      </c>
      <c r="S8" s="102">
        <f t="shared" ca="1" si="6"/>
        <v>67</v>
      </c>
      <c r="T8" s="104">
        <f t="shared" ca="1" si="7"/>
        <v>16.75</v>
      </c>
      <c r="V8" s="83" t="s">
        <v>194</v>
      </c>
      <c r="W8" s="54" t="s">
        <v>194</v>
      </c>
    </row>
    <row r="9" spans="1:23" ht="12.75" x14ac:dyDescent="0.15">
      <c r="A9" s="54">
        <v>8</v>
      </c>
      <c r="B9" s="54" t="str">
        <f ca="1">OFFSET(Batting!$C$4,BatAves!$I9,0)</f>
        <v>Bhatt P</v>
      </c>
      <c r="C9" s="58">
        <f ca="1">OFFSET(Batting!$AK$4,BatAves!$I9,0)</f>
        <v>7</v>
      </c>
      <c r="D9" s="58">
        <f ca="1">OFFSET(Batting!$AM$4,BatAves!$I9,0)</f>
        <v>4</v>
      </c>
      <c r="E9" s="58">
        <f ca="1">OFFSET(Batting!$AN$4,BatAves!$I9,0)</f>
        <v>3</v>
      </c>
      <c r="F9" s="58">
        <f ca="1">OFFSET(Batting!$AP$4,BatAves!$I9,0)</f>
        <v>7</v>
      </c>
      <c r="G9" s="58">
        <f ca="1">OFFSET(Batting!$AQ$4,BatAves!$I9,0)</f>
        <v>12</v>
      </c>
      <c r="H9" s="62">
        <f ca="1">OFFSET(Batting!$AR$4,BatAves!$I9,0)</f>
        <v>12</v>
      </c>
      <c r="I9" s="54">
        <f>MATCH(A9,Batting!$BM$5:$BM$70,0)</f>
        <v>3</v>
      </c>
      <c r="J9" s="54">
        <f t="shared" ca="1" si="0"/>
        <v>1008</v>
      </c>
      <c r="K9" s="54">
        <f t="shared" ca="1" si="8"/>
        <v>9</v>
      </c>
      <c r="L9" s="54" t="str">
        <f t="shared" ca="1" si="1"/>
        <v>Bhatt P 4-3-7-12</v>
      </c>
      <c r="M9" s="54">
        <f t="shared" ca="1" si="9"/>
        <v>7</v>
      </c>
      <c r="N9" s="102">
        <v>8</v>
      </c>
      <c r="O9" s="102" t="str">
        <f t="shared" ca="1" si="2"/>
        <v>Vignesh M</v>
      </c>
      <c r="P9" s="102">
        <f t="shared" ca="1" si="3"/>
        <v>2</v>
      </c>
      <c r="Q9" s="102">
        <f t="shared" ca="1" si="4"/>
        <v>1</v>
      </c>
      <c r="R9" s="102" t="str">
        <f t="shared" ca="1" si="5"/>
        <v>14*</v>
      </c>
      <c r="S9" s="102">
        <f t="shared" ca="1" si="6"/>
        <v>14</v>
      </c>
      <c r="T9" s="104">
        <f t="shared" ca="1" si="7"/>
        <v>14</v>
      </c>
      <c r="V9" s="83" t="s">
        <v>194</v>
      </c>
      <c r="W9" s="54" t="s">
        <v>194</v>
      </c>
    </row>
    <row r="10" spans="1:23" ht="12.75" x14ac:dyDescent="0.15">
      <c r="A10" s="54">
        <v>9</v>
      </c>
      <c r="B10" s="54" t="str">
        <f ca="1">OFFSET(Batting!$C$4,BatAves!$I10,0)</f>
        <v>Niran S</v>
      </c>
      <c r="C10" s="58">
        <f ca="1">OFFSET(Batting!$AK$4,BatAves!$I10,0)</f>
        <v>3</v>
      </c>
      <c r="D10" s="58">
        <f ca="1">OFFSET(Batting!$AM$4,BatAves!$I10,0)</f>
        <v>3</v>
      </c>
      <c r="E10" s="58">
        <f ca="1">OFFSET(Batting!$AN$4,BatAves!$I10,0)</f>
        <v>0</v>
      </c>
      <c r="F10" s="58">
        <f ca="1">OFFSET(Batting!$AP$4,BatAves!$I10,0)</f>
        <v>19</v>
      </c>
      <c r="G10" s="58">
        <f ca="1">OFFSET(Batting!$AQ$4,BatAves!$I10,0)</f>
        <v>35</v>
      </c>
      <c r="H10" s="62">
        <f ca="1">OFFSET(Batting!$AR$4,BatAves!$I10,0)</f>
        <v>11.666666666666666</v>
      </c>
      <c r="I10" s="54">
        <f>MATCH(A10,Batting!$BM$5:$BM$70,0)</f>
        <v>33</v>
      </c>
      <c r="J10" s="54">
        <f t="shared" ca="1" si="0"/>
        <v>1009</v>
      </c>
      <c r="K10" s="54">
        <f t="shared" ca="1" si="8"/>
        <v>10</v>
      </c>
      <c r="L10" s="54" t="str">
        <f t="shared" ca="1" si="1"/>
        <v>Niran S 3-0-19-35</v>
      </c>
      <c r="M10" s="54">
        <f t="shared" ca="1" si="9"/>
        <v>8</v>
      </c>
      <c r="N10" s="102">
        <v>9</v>
      </c>
      <c r="O10" s="102" t="str">
        <f t="shared" ca="1" si="2"/>
        <v>Bhatt P</v>
      </c>
      <c r="P10" s="102">
        <f t="shared" ca="1" si="3"/>
        <v>4</v>
      </c>
      <c r="Q10" s="102">
        <f t="shared" ca="1" si="4"/>
        <v>3</v>
      </c>
      <c r="R10" s="102">
        <f t="shared" ca="1" si="5"/>
        <v>7</v>
      </c>
      <c r="S10" s="102">
        <f t="shared" ca="1" si="6"/>
        <v>12</v>
      </c>
      <c r="T10" s="104">
        <f t="shared" ca="1" si="7"/>
        <v>12</v>
      </c>
      <c r="V10" s="83" t="s">
        <v>194</v>
      </c>
    </row>
    <row r="11" spans="1:23" ht="12.75" x14ac:dyDescent="0.15">
      <c r="A11" s="54">
        <v>10</v>
      </c>
      <c r="B11" s="54" t="str">
        <f ca="1">OFFSET(Batting!$C$4,BatAves!$I11,0)</f>
        <v>Hemasinghe M</v>
      </c>
      <c r="C11" s="58">
        <f ca="1">OFFSET(Batting!$AK$4,BatAves!$I11,0)</f>
        <v>2</v>
      </c>
      <c r="D11" s="58">
        <f ca="1">OFFSET(Batting!$AM$4,BatAves!$I11,0)</f>
        <v>2</v>
      </c>
      <c r="E11" s="58">
        <f ca="1">OFFSET(Batting!$AN$4,BatAves!$I11,0)</f>
        <v>0</v>
      </c>
      <c r="F11" s="58">
        <f ca="1">OFFSET(Batting!$AP$4,BatAves!$I11,0)</f>
        <v>17</v>
      </c>
      <c r="G11" s="58">
        <f ca="1">OFFSET(Batting!$AQ$4,BatAves!$I11,0)</f>
        <v>21</v>
      </c>
      <c r="H11" s="62">
        <f ca="1">OFFSET(Batting!$AR$4,BatAves!$I11,0)</f>
        <v>10.5</v>
      </c>
      <c r="I11" s="54">
        <f>MATCH(A11,Batting!$BM$5:$BM$70,0)</f>
        <v>15</v>
      </c>
      <c r="J11" s="54">
        <f t="shared" ca="1" si="0"/>
        <v>1010</v>
      </c>
      <c r="K11" s="54">
        <f t="shared" ca="1" si="8"/>
        <v>11</v>
      </c>
      <c r="L11" s="54" t="str">
        <f t="shared" ca="1" si="1"/>
        <v>Hemasinghe M 2-0-17-21</v>
      </c>
      <c r="M11" s="54">
        <f t="shared" ca="1" si="9"/>
        <v>9</v>
      </c>
      <c r="N11" s="102">
        <v>10</v>
      </c>
      <c r="O11" s="102" t="str">
        <f t="shared" ca="1" si="2"/>
        <v>Niran S</v>
      </c>
      <c r="P11" s="102">
        <f t="shared" ca="1" si="3"/>
        <v>3</v>
      </c>
      <c r="Q11" s="102">
        <f t="shared" ca="1" si="4"/>
        <v>0</v>
      </c>
      <c r="R11" s="102">
        <f t="shared" ca="1" si="5"/>
        <v>19</v>
      </c>
      <c r="S11" s="102">
        <f t="shared" ca="1" si="6"/>
        <v>35</v>
      </c>
      <c r="T11" s="104">
        <f t="shared" ca="1" si="7"/>
        <v>11.666666666666666</v>
      </c>
      <c r="V11" s="83" t="s">
        <v>194</v>
      </c>
    </row>
    <row r="12" spans="1:23" ht="12.75" x14ac:dyDescent="0.15">
      <c r="A12" s="54">
        <v>11</v>
      </c>
      <c r="B12" s="54" t="str">
        <f ca="1">OFFSET(Batting!$C$4,BatAves!$I12,0)</f>
        <v>Seymour C</v>
      </c>
      <c r="C12" s="58">
        <f ca="1">OFFSET(Batting!$AK$4,BatAves!$I12,0)</f>
        <v>9</v>
      </c>
      <c r="D12" s="58">
        <f ca="1">OFFSET(Batting!$AM$4,BatAves!$I12,0)</f>
        <v>7</v>
      </c>
      <c r="E12" s="58">
        <f ca="1">OFFSET(Batting!$AN$4,BatAves!$I12,0)</f>
        <v>0</v>
      </c>
      <c r="F12" s="58">
        <f ca="1">OFFSET(Batting!$AP$4,BatAves!$I12,0)</f>
        <v>21</v>
      </c>
      <c r="G12" s="58">
        <f ca="1">OFFSET(Batting!$AQ$4,BatAves!$I12,0)</f>
        <v>69</v>
      </c>
      <c r="H12" s="62">
        <f ca="1">OFFSET(Batting!$AR$4,BatAves!$I12,0)</f>
        <v>9.8571428571428577</v>
      </c>
      <c r="I12" s="54">
        <f>MATCH(A12,Batting!$BM$5:$BM$70,0)</f>
        <v>47</v>
      </c>
      <c r="J12" s="54">
        <f t="shared" ca="1" si="0"/>
        <v>11</v>
      </c>
      <c r="K12" s="54">
        <f t="shared" ca="1" si="8"/>
        <v>3</v>
      </c>
      <c r="L12" s="54" t="str">
        <f t="shared" ca="1" si="1"/>
        <v/>
      </c>
      <c r="M12" s="54">
        <f t="shared" ca="1" si="9"/>
        <v>10</v>
      </c>
      <c r="N12" s="102">
        <v>11</v>
      </c>
      <c r="O12" s="102" t="str">
        <f t="shared" ca="1" si="2"/>
        <v>Hemasinghe M</v>
      </c>
      <c r="P12" s="102">
        <f t="shared" ca="1" si="3"/>
        <v>2</v>
      </c>
      <c r="Q12" s="102">
        <f t="shared" ca="1" si="4"/>
        <v>0</v>
      </c>
      <c r="R12" s="102">
        <f t="shared" ca="1" si="5"/>
        <v>17</v>
      </c>
      <c r="S12" s="102">
        <f t="shared" ca="1" si="6"/>
        <v>21</v>
      </c>
      <c r="T12" s="104">
        <f t="shared" ca="1" si="7"/>
        <v>10.5</v>
      </c>
      <c r="V12" s="83" t="s">
        <v>194</v>
      </c>
    </row>
    <row r="13" spans="1:23" ht="12.75" x14ac:dyDescent="0.15">
      <c r="A13" s="54">
        <v>12</v>
      </c>
      <c r="B13" s="54" t="str">
        <f ca="1">OFFSET(Batting!$C$4,BatAves!$I13,0)</f>
        <v>De S</v>
      </c>
      <c r="C13" s="58">
        <f ca="1">OFFSET(Batting!$AK$4,BatAves!$I13,0)</f>
        <v>5</v>
      </c>
      <c r="D13" s="58">
        <f ca="1">OFFSET(Batting!$AM$4,BatAves!$I13,0)</f>
        <v>4</v>
      </c>
      <c r="E13" s="58">
        <f ca="1">OFFSET(Batting!$AN$4,BatAves!$I13,0)</f>
        <v>0</v>
      </c>
      <c r="F13" s="58">
        <f ca="1">OFFSET(Batting!$AP$4,BatAves!$I13,0)</f>
        <v>15</v>
      </c>
      <c r="G13" s="58">
        <f ca="1">OFFSET(Batting!$AQ$4,BatAves!$I13,0)</f>
        <v>36</v>
      </c>
      <c r="H13" s="62">
        <f ca="1">OFFSET(Batting!$AR$4,BatAves!$I13,0)</f>
        <v>9</v>
      </c>
      <c r="I13" s="54">
        <f>MATCH(A13,Batting!$BM$5:$BM$70,0)</f>
        <v>10</v>
      </c>
      <c r="J13" s="54">
        <f t="shared" ca="1" si="0"/>
        <v>1012</v>
      </c>
      <c r="K13" s="54">
        <f t="shared" ca="1" si="8"/>
        <v>12</v>
      </c>
      <c r="L13" s="54" t="str">
        <f t="shared" ca="1" si="1"/>
        <v>De S 4-0-15-36</v>
      </c>
      <c r="M13" s="54">
        <f t="shared" ca="1" si="9"/>
        <v>12</v>
      </c>
      <c r="N13" s="102">
        <v>12</v>
      </c>
      <c r="O13" s="102" t="str">
        <f t="shared" ca="1" si="2"/>
        <v>De S</v>
      </c>
      <c r="P13" s="102">
        <f t="shared" ca="1" si="3"/>
        <v>4</v>
      </c>
      <c r="Q13" s="102">
        <f t="shared" ca="1" si="4"/>
        <v>0</v>
      </c>
      <c r="R13" s="102">
        <f t="shared" ca="1" si="5"/>
        <v>15</v>
      </c>
      <c r="S13" s="102">
        <f t="shared" ca="1" si="6"/>
        <v>36</v>
      </c>
      <c r="T13" s="104">
        <f t="shared" ca="1" si="7"/>
        <v>9</v>
      </c>
      <c r="V13" s="83" t="s">
        <v>194</v>
      </c>
    </row>
    <row r="14" spans="1:23" ht="12.75" x14ac:dyDescent="0.15">
      <c r="A14" s="54">
        <v>13</v>
      </c>
      <c r="B14" s="54" t="str">
        <f ca="1">OFFSET(Batting!$C$4,BatAves!$I14,0)</f>
        <v>"Suthan"</v>
      </c>
      <c r="C14" s="58">
        <f ca="1">OFFSET(Batting!$AK$4,BatAves!$I14,0)</f>
        <v>4</v>
      </c>
      <c r="D14" s="58">
        <f ca="1">OFFSET(Batting!$AM$4,BatAves!$I14,0)</f>
        <v>2</v>
      </c>
      <c r="E14" s="58">
        <f ca="1">OFFSET(Batting!$AN$4,BatAves!$I14,0)</f>
        <v>0</v>
      </c>
      <c r="F14" s="58">
        <f ca="1">OFFSET(Batting!$AP$4,BatAves!$I14,0)</f>
        <v>16</v>
      </c>
      <c r="G14" s="58">
        <f ca="1">OFFSET(Batting!$AQ$4,BatAves!$I14,0)</f>
        <v>16</v>
      </c>
      <c r="H14" s="62">
        <f ca="1">OFFSET(Batting!$AR$4,BatAves!$I14,0)</f>
        <v>8</v>
      </c>
      <c r="I14" s="54">
        <f>MATCH(A14,Batting!$BM$5:$BM$70,0)</f>
        <v>57</v>
      </c>
      <c r="J14" s="54">
        <f t="shared" ca="1" si="0"/>
        <v>1013</v>
      </c>
      <c r="K14" s="54">
        <f t="shared" ca="1" si="8"/>
        <v>13</v>
      </c>
      <c r="L14" s="54" t="str">
        <f t="shared" ca="1" si="1"/>
        <v>"Suthan" 2-0-16-16</v>
      </c>
      <c r="M14" s="54">
        <f t="shared" ca="1" si="9"/>
        <v>13</v>
      </c>
      <c r="N14" s="102">
        <v>13</v>
      </c>
      <c r="O14" s="102" t="str">
        <f t="shared" ca="1" si="2"/>
        <v>"Suthan"</v>
      </c>
      <c r="P14" s="102">
        <f t="shared" ca="1" si="3"/>
        <v>2</v>
      </c>
      <c r="Q14" s="102">
        <f t="shared" ca="1" si="4"/>
        <v>0</v>
      </c>
      <c r="R14" s="102">
        <f t="shared" ca="1" si="5"/>
        <v>16</v>
      </c>
      <c r="S14" s="102">
        <f t="shared" ca="1" si="6"/>
        <v>16</v>
      </c>
      <c r="T14" s="104">
        <f t="shared" ca="1" si="7"/>
        <v>8</v>
      </c>
      <c r="V14" s="83" t="s">
        <v>194</v>
      </c>
    </row>
    <row r="15" spans="1:23" ht="12.75" x14ac:dyDescent="0.15">
      <c r="A15" s="54">
        <v>14</v>
      </c>
      <c r="B15" s="54" t="str">
        <f ca="1">OFFSET(Batting!$C$4,BatAves!$I15,0)</f>
        <v>Ahmed M</v>
      </c>
      <c r="C15" s="58">
        <f ca="1">OFFSET(Batting!$AK$4,BatAves!$I15,0)</f>
        <v>2</v>
      </c>
      <c r="D15" s="58">
        <f ca="1">OFFSET(Batting!$AM$4,BatAves!$I15,0)</f>
        <v>1</v>
      </c>
      <c r="E15" s="58">
        <f ca="1">OFFSET(Batting!$AN$4,BatAves!$I15,0)</f>
        <v>0</v>
      </c>
      <c r="F15" s="58">
        <f ca="1">OFFSET(Batting!$AP$4,BatAves!$I15,0)</f>
        <v>8</v>
      </c>
      <c r="G15" s="58">
        <f ca="1">OFFSET(Batting!$AQ$4,BatAves!$I15,0)</f>
        <v>8</v>
      </c>
      <c r="H15" s="62">
        <f ca="1">OFFSET(Batting!$AR$4,BatAves!$I15,0)</f>
        <v>8</v>
      </c>
      <c r="I15" s="54">
        <f>MATCH(A15,Batting!$BM$5:$BM$70,0)</f>
        <v>1</v>
      </c>
      <c r="J15" s="54">
        <f t="shared" ca="1" si="0"/>
        <v>1014</v>
      </c>
      <c r="K15" s="54">
        <f t="shared" ca="1" si="8"/>
        <v>14</v>
      </c>
      <c r="L15" s="54" t="str">
        <f t="shared" ca="1" si="1"/>
        <v>Ahmed M 1-0-8-8</v>
      </c>
      <c r="M15" s="54">
        <f t="shared" ca="1" si="9"/>
        <v>14</v>
      </c>
      <c r="N15" s="102">
        <v>14</v>
      </c>
      <c r="O15" s="102" t="str">
        <f t="shared" ca="1" si="2"/>
        <v>Ahmed M</v>
      </c>
      <c r="P15" s="102">
        <f t="shared" ca="1" si="3"/>
        <v>1</v>
      </c>
      <c r="Q15" s="102">
        <f t="shared" ca="1" si="4"/>
        <v>0</v>
      </c>
      <c r="R15" s="102">
        <f t="shared" ca="1" si="5"/>
        <v>8</v>
      </c>
      <c r="S15" s="102">
        <f t="shared" ca="1" si="6"/>
        <v>8</v>
      </c>
      <c r="T15" s="104">
        <f t="shared" ca="1" si="7"/>
        <v>8</v>
      </c>
      <c r="V15" s="83" t="s">
        <v>194</v>
      </c>
      <c r="W15" s="106"/>
    </row>
    <row r="16" spans="1:23" ht="12.75" x14ac:dyDescent="0.15">
      <c r="A16" s="54">
        <v>15</v>
      </c>
      <c r="B16" s="54" t="str">
        <f ca="1">OFFSET(Batting!$C$4,BatAves!$I16,0)</f>
        <v>Nair S</v>
      </c>
      <c r="C16" s="58">
        <f ca="1">OFFSET(Batting!$AK$4,BatAves!$I16,0)</f>
        <v>6</v>
      </c>
      <c r="D16" s="58">
        <f ca="1">OFFSET(Batting!$AM$4,BatAves!$I16,0)</f>
        <v>4</v>
      </c>
      <c r="E16" s="58">
        <f ca="1">OFFSET(Batting!$AN$4,BatAves!$I16,0)</f>
        <v>1</v>
      </c>
      <c r="F16" s="58" t="str">
        <f ca="1">OFFSET(Batting!$AP$4,BatAves!$I16,0)</f>
        <v>12*</v>
      </c>
      <c r="G16" s="58">
        <f ca="1">OFFSET(Batting!$AQ$4,BatAves!$I16,0)</f>
        <v>23</v>
      </c>
      <c r="H16" s="62">
        <f ca="1">OFFSET(Batting!$AR$4,BatAves!$I16,0)</f>
        <v>7.666666666666667</v>
      </c>
      <c r="I16" s="54">
        <f>MATCH(A16,Batting!$BM$5:$BM$70,0)</f>
        <v>30</v>
      </c>
      <c r="J16" s="54">
        <f t="shared" ca="1" si="0"/>
        <v>1015</v>
      </c>
      <c r="K16" s="54">
        <f t="shared" ca="1" si="8"/>
        <v>15</v>
      </c>
      <c r="L16" s="54" t="str">
        <f t="shared" ca="1" si="1"/>
        <v>Nair S 4-1-12*-23</v>
      </c>
      <c r="M16" s="54">
        <f t="shared" ca="1" si="9"/>
        <v>15</v>
      </c>
      <c r="N16" s="102">
        <v>15</v>
      </c>
      <c r="O16" s="102" t="str">
        <f t="shared" ca="1" si="2"/>
        <v>Nair S</v>
      </c>
      <c r="P16" s="102">
        <f t="shared" ca="1" si="3"/>
        <v>4</v>
      </c>
      <c r="Q16" s="102">
        <f t="shared" ca="1" si="4"/>
        <v>1</v>
      </c>
      <c r="R16" s="102" t="str">
        <f t="shared" ca="1" si="5"/>
        <v>12*</v>
      </c>
      <c r="S16" s="102">
        <f t="shared" ca="1" si="6"/>
        <v>23</v>
      </c>
      <c r="T16" s="104">
        <f t="shared" ca="1" si="7"/>
        <v>7.666666666666667</v>
      </c>
      <c r="V16" s="54" t="s">
        <v>194</v>
      </c>
      <c r="W16" s="106"/>
    </row>
    <row r="17" spans="1:23" ht="12.75" x14ac:dyDescent="0.15">
      <c r="A17" s="54">
        <v>16</v>
      </c>
      <c r="B17" s="54" t="str">
        <f ca="1">OFFSET(Batting!$C$4,BatAves!$I17,0)</f>
        <v>Parboo R</v>
      </c>
      <c r="C17" s="58">
        <f ca="1">OFFSET(Batting!$AK$4,BatAves!$I17,0)</f>
        <v>4</v>
      </c>
      <c r="D17" s="58">
        <f ca="1">OFFSET(Batting!$AM$4,BatAves!$I17,0)</f>
        <v>1</v>
      </c>
      <c r="E17" s="58">
        <f ca="1">OFFSET(Batting!$AN$4,BatAves!$I17,0)</f>
        <v>0</v>
      </c>
      <c r="F17" s="58">
        <f ca="1">OFFSET(Batting!$AP$4,BatAves!$I17,0)</f>
        <v>7</v>
      </c>
      <c r="G17" s="58">
        <f ca="1">OFFSET(Batting!$AQ$4,BatAves!$I17,0)</f>
        <v>7</v>
      </c>
      <c r="H17" s="62">
        <f ca="1">OFFSET(Batting!$AR$4,BatAves!$I17,0)</f>
        <v>7</v>
      </c>
      <c r="I17" s="54">
        <f>MATCH(A17,Batting!$BM$5:$BM$70,0)</f>
        <v>36</v>
      </c>
      <c r="J17" s="54">
        <f t="shared" ca="1" si="0"/>
        <v>1016</v>
      </c>
      <c r="K17" s="54">
        <f t="shared" ca="1" si="8"/>
        <v>16</v>
      </c>
      <c r="L17" s="54" t="str">
        <f t="shared" ca="1" si="1"/>
        <v>Parboo R 1-0-7-7</v>
      </c>
      <c r="M17" s="54">
        <f t="shared" ca="1" si="9"/>
        <v>16</v>
      </c>
      <c r="N17" s="102">
        <v>16</v>
      </c>
      <c r="O17" s="102" t="str">
        <f t="shared" ca="1" si="2"/>
        <v>Parboo R</v>
      </c>
      <c r="P17" s="102">
        <f t="shared" ca="1" si="3"/>
        <v>1</v>
      </c>
      <c r="Q17" s="102">
        <f t="shared" ca="1" si="4"/>
        <v>0</v>
      </c>
      <c r="R17" s="102">
        <f t="shared" ca="1" si="5"/>
        <v>7</v>
      </c>
      <c r="S17" s="102">
        <f t="shared" ca="1" si="6"/>
        <v>7</v>
      </c>
      <c r="T17" s="104">
        <f t="shared" ca="1" si="7"/>
        <v>7</v>
      </c>
      <c r="V17" s="54" t="s">
        <v>194</v>
      </c>
      <c r="W17" s="106"/>
    </row>
    <row r="18" spans="1:23" ht="12.75" x14ac:dyDescent="0.15">
      <c r="A18" s="54">
        <v>17</v>
      </c>
      <c r="B18" s="54" t="str">
        <f ca="1">OFFSET(Batting!$C$4,BatAves!$I18,0)</f>
        <v>Jenkins D</v>
      </c>
      <c r="C18" s="58">
        <f ca="1">OFFSET(Batting!$AK$4,BatAves!$I18,0)</f>
        <v>2</v>
      </c>
      <c r="D18" s="58">
        <f ca="1">OFFSET(Batting!$AM$4,BatAves!$I18,0)</f>
        <v>1</v>
      </c>
      <c r="E18" s="58">
        <f ca="1">OFFSET(Batting!$AN$4,BatAves!$I18,0)</f>
        <v>0</v>
      </c>
      <c r="F18" s="58">
        <f ca="1">OFFSET(Batting!$AP$4,BatAves!$I18,0)</f>
        <v>6</v>
      </c>
      <c r="G18" s="58">
        <f ca="1">OFFSET(Batting!$AQ$4,BatAves!$I18,0)</f>
        <v>6</v>
      </c>
      <c r="H18" s="62">
        <f ca="1">OFFSET(Batting!$AR$4,BatAves!$I18,0)</f>
        <v>6</v>
      </c>
      <c r="I18" s="54">
        <f>MATCH(A18,Batting!$BM$5:$BM$70,0)</f>
        <v>17</v>
      </c>
      <c r="J18" s="54">
        <f t="shared" ca="1" si="0"/>
        <v>1017</v>
      </c>
      <c r="K18" s="54">
        <f t="shared" ca="1" si="8"/>
        <v>17</v>
      </c>
      <c r="L18" s="54" t="str">
        <f t="shared" ca="1" si="1"/>
        <v>Jenkins D 1-0-6-6</v>
      </c>
      <c r="M18" s="54">
        <f t="shared" ca="1" si="9"/>
        <v>17</v>
      </c>
      <c r="N18" s="102">
        <v>17</v>
      </c>
      <c r="O18" s="102" t="str">
        <f t="shared" ca="1" si="2"/>
        <v>Jenkins D</v>
      </c>
      <c r="P18" s="102">
        <f t="shared" ca="1" si="3"/>
        <v>1</v>
      </c>
      <c r="Q18" s="102">
        <f t="shared" ca="1" si="4"/>
        <v>0</v>
      </c>
      <c r="R18" s="102">
        <f t="shared" ca="1" si="5"/>
        <v>6</v>
      </c>
      <c r="S18" s="102">
        <f t="shared" ca="1" si="6"/>
        <v>6</v>
      </c>
      <c r="T18" s="104">
        <f t="shared" ca="1" si="7"/>
        <v>6</v>
      </c>
      <c r="V18" s="127"/>
      <c r="W18" s="106"/>
    </row>
    <row r="19" spans="1:23" ht="12.75" x14ac:dyDescent="0.15">
      <c r="A19" s="54">
        <v>18</v>
      </c>
      <c r="B19" s="54" t="str">
        <f ca="1">OFFSET(Batting!$C$4,BatAves!$I19,0)</f>
        <v>Patel M</v>
      </c>
      <c r="C19" s="58">
        <f ca="1">OFFSET(Batting!$AK$4,BatAves!$I19,0)</f>
        <v>2</v>
      </c>
      <c r="D19" s="58">
        <f ca="1">OFFSET(Batting!$AM$4,BatAves!$I19,0)</f>
        <v>1</v>
      </c>
      <c r="E19" s="58">
        <f ca="1">OFFSET(Batting!$AN$4,BatAves!$I19,0)</f>
        <v>0</v>
      </c>
      <c r="F19" s="58">
        <f ca="1">OFFSET(Batting!$AP$4,BatAves!$I19,0)</f>
        <v>4</v>
      </c>
      <c r="G19" s="58">
        <f ca="1">OFFSET(Batting!$AQ$4,BatAves!$I19,0)</f>
        <v>4</v>
      </c>
      <c r="H19" s="62">
        <f ca="1">OFFSET(Batting!$AR$4,BatAves!$I19,0)</f>
        <v>4</v>
      </c>
      <c r="I19" s="54">
        <f>MATCH(A19,Batting!$BM$5:$BM$70,0)</f>
        <v>38</v>
      </c>
      <c r="J19" s="54">
        <f t="shared" ca="1" si="0"/>
        <v>1018</v>
      </c>
      <c r="K19" s="54">
        <f t="shared" ca="1" si="8"/>
        <v>18</v>
      </c>
      <c r="L19" s="54" t="str">
        <f t="shared" ca="1" si="1"/>
        <v>Patel M 1-0-4-4</v>
      </c>
      <c r="M19" s="54">
        <f t="shared" ca="1" si="9"/>
        <v>18</v>
      </c>
      <c r="N19" s="102">
        <v>18</v>
      </c>
      <c r="O19" s="102" t="str">
        <f t="shared" ca="1" si="2"/>
        <v>Patel M</v>
      </c>
      <c r="P19" s="102">
        <f t="shared" ca="1" si="3"/>
        <v>1</v>
      </c>
      <c r="Q19" s="102">
        <f t="shared" ca="1" si="4"/>
        <v>0</v>
      </c>
      <c r="R19" s="102">
        <f t="shared" ca="1" si="5"/>
        <v>4</v>
      </c>
      <c r="S19" s="102">
        <f t="shared" ca="1" si="6"/>
        <v>4</v>
      </c>
      <c r="T19" s="104">
        <f t="shared" ca="1" si="7"/>
        <v>4</v>
      </c>
      <c r="V19" s="127"/>
      <c r="W19" s="106" t="s">
        <v>194</v>
      </c>
    </row>
    <row r="20" spans="1:23" ht="12.75" x14ac:dyDescent="0.15">
      <c r="A20" s="54">
        <v>19</v>
      </c>
      <c r="B20" s="54" t="str">
        <f ca="1">OFFSET(Batting!$C$4,BatAves!$I20,0)</f>
        <v>Deol R</v>
      </c>
      <c r="C20" s="58">
        <f ca="1">OFFSET(Batting!$AK$4,BatAves!$I20,0)</f>
        <v>2</v>
      </c>
      <c r="D20" s="58">
        <f ca="1">OFFSET(Batting!$AM$4,BatAves!$I20,0)</f>
        <v>1</v>
      </c>
      <c r="E20" s="58">
        <f ca="1">OFFSET(Batting!$AN$4,BatAves!$I20,0)</f>
        <v>0</v>
      </c>
      <c r="F20" s="58">
        <f ca="1">OFFSET(Batting!$AP$4,BatAves!$I20,0)</f>
        <v>3</v>
      </c>
      <c r="G20" s="58">
        <f ca="1">OFFSET(Batting!$AQ$4,BatAves!$I20,0)</f>
        <v>3</v>
      </c>
      <c r="H20" s="62">
        <f ca="1">OFFSET(Batting!$AR$4,BatAves!$I20,0)</f>
        <v>3</v>
      </c>
      <c r="I20" s="54">
        <f>MATCH(A20,Batting!$BM$5:$BM$70,0)</f>
        <v>11</v>
      </c>
      <c r="J20" s="54">
        <f t="shared" ca="1" si="0"/>
        <v>1019</v>
      </c>
      <c r="K20" s="54">
        <f t="shared" ca="1" si="8"/>
        <v>19</v>
      </c>
      <c r="L20" s="54" t="str">
        <f t="shared" ca="1" si="1"/>
        <v>Deol R 1-0-3-3</v>
      </c>
      <c r="M20" s="54">
        <f t="shared" ca="1" si="9"/>
        <v>19</v>
      </c>
      <c r="N20" s="102">
        <v>19</v>
      </c>
      <c r="O20" s="102" t="str">
        <f t="shared" ca="1" si="2"/>
        <v>Deol R</v>
      </c>
      <c r="P20" s="102">
        <f t="shared" ca="1" si="3"/>
        <v>1</v>
      </c>
      <c r="Q20" s="102">
        <f t="shared" ca="1" si="4"/>
        <v>0</v>
      </c>
      <c r="R20" s="102">
        <f t="shared" ca="1" si="5"/>
        <v>3</v>
      </c>
      <c r="S20" s="102">
        <f t="shared" ca="1" si="6"/>
        <v>3</v>
      </c>
      <c r="T20" s="104">
        <f t="shared" ca="1" si="7"/>
        <v>3</v>
      </c>
      <c r="V20" s="127"/>
      <c r="W20" s="54" t="s">
        <v>194</v>
      </c>
    </row>
    <row r="21" spans="1:23" ht="12.75" x14ac:dyDescent="0.15">
      <c r="A21" s="54">
        <v>20</v>
      </c>
      <c r="B21" s="54" t="str">
        <f ca="1">OFFSET(Batting!$C$4,BatAves!$I21,0)</f>
        <v>Kogulathasan D</v>
      </c>
      <c r="C21" s="58">
        <f ca="1">OFFSET(Batting!$AK$4,BatAves!$I21,0)</f>
        <v>3</v>
      </c>
      <c r="D21" s="58">
        <f ca="1">OFFSET(Batting!$AM$4,BatAves!$I21,0)</f>
        <v>1</v>
      </c>
      <c r="E21" s="58">
        <f ca="1">OFFSET(Batting!$AN$4,BatAves!$I21,0)</f>
        <v>0</v>
      </c>
      <c r="F21" s="58">
        <f ca="1">OFFSET(Batting!$AP$4,BatAves!$I21,0)</f>
        <v>2</v>
      </c>
      <c r="G21" s="58">
        <f ca="1">OFFSET(Batting!$AQ$4,BatAves!$I21,0)</f>
        <v>2</v>
      </c>
      <c r="H21" s="62">
        <f ca="1">OFFSET(Batting!$AR$4,BatAves!$I21,0)</f>
        <v>2</v>
      </c>
      <c r="I21" s="54">
        <f>MATCH(A21,Batting!$BM$5:$BM$70,0)</f>
        <v>20</v>
      </c>
      <c r="J21" s="54">
        <f t="shared" ca="1" si="0"/>
        <v>1020</v>
      </c>
      <c r="K21" s="54">
        <f t="shared" ca="1" si="8"/>
        <v>20</v>
      </c>
      <c r="L21" s="54" t="str">
        <f t="shared" ca="1" si="1"/>
        <v>Kogulathasan D 1-0-2-2</v>
      </c>
      <c r="M21" s="54">
        <f t="shared" ca="1" si="9"/>
        <v>20</v>
      </c>
      <c r="N21" s="102">
        <v>20</v>
      </c>
      <c r="O21" s="102" t="str">
        <f t="shared" ca="1" si="2"/>
        <v>Kogulathasan D</v>
      </c>
      <c r="P21" s="102">
        <f t="shared" ca="1" si="3"/>
        <v>1</v>
      </c>
      <c r="Q21" s="102">
        <f t="shared" ca="1" si="4"/>
        <v>0</v>
      </c>
      <c r="R21" s="102">
        <f t="shared" ca="1" si="5"/>
        <v>2</v>
      </c>
      <c r="S21" s="102">
        <f t="shared" ca="1" si="6"/>
        <v>2</v>
      </c>
      <c r="T21" s="104">
        <f t="shared" ca="1" si="7"/>
        <v>2</v>
      </c>
      <c r="V21" s="127"/>
      <c r="W21" s="54" t="s">
        <v>194</v>
      </c>
    </row>
    <row r="22" spans="1:23" ht="12.75" x14ac:dyDescent="0.15">
      <c r="A22" s="54">
        <v>21</v>
      </c>
      <c r="B22" s="54" t="str">
        <f ca="1">OFFSET(Batting!$C$4,BatAves!$I22,0)</f>
        <v>Mander A</v>
      </c>
      <c r="C22" s="58">
        <f ca="1">OFFSET(Batting!$AK$4,BatAves!$I22,0)</f>
        <v>5</v>
      </c>
      <c r="D22" s="58">
        <f ca="1">OFFSET(Batting!$AM$4,BatAves!$I22,0)</f>
        <v>1</v>
      </c>
      <c r="E22" s="58">
        <f ca="1">OFFSET(Batting!$AN$4,BatAves!$I22,0)</f>
        <v>1</v>
      </c>
      <c r="F22" s="58">
        <f ca="1">OFFSET(Batting!$AP$4,BatAves!$I22,0)</f>
        <v>0</v>
      </c>
      <c r="G22" s="58">
        <f ca="1">OFFSET(Batting!$AQ$4,BatAves!$I22,0)</f>
        <v>0</v>
      </c>
      <c r="H22" s="62">
        <f ca="1">OFFSET(Batting!$AR$4,BatAves!$I22,0)</f>
        <v>0</v>
      </c>
      <c r="I22" s="54">
        <f>MATCH(A22,Batting!$BM$5:$BM$70,0)</f>
        <v>27</v>
      </c>
      <c r="J22" s="54">
        <f t="shared" ca="1" si="0"/>
        <v>1021</v>
      </c>
      <c r="K22" s="54">
        <f t="shared" ca="1" si="8"/>
        <v>21</v>
      </c>
      <c r="L22" s="54" t="str">
        <f t="shared" ca="1" si="1"/>
        <v>Mander A 1-1-0-0</v>
      </c>
      <c r="M22" s="54">
        <f t="shared" ca="1" si="9"/>
        <v>21</v>
      </c>
      <c r="N22" s="102">
        <v>21</v>
      </c>
      <c r="O22" s="102" t="str">
        <f t="shared" ca="1" si="2"/>
        <v>Mander A</v>
      </c>
      <c r="P22" s="102">
        <f t="shared" ca="1" si="3"/>
        <v>1</v>
      </c>
      <c r="Q22" s="102">
        <f t="shared" ca="1" si="4"/>
        <v>1</v>
      </c>
      <c r="R22" s="102">
        <f t="shared" ca="1" si="5"/>
        <v>0</v>
      </c>
      <c r="S22" s="102">
        <f t="shared" ca="1" si="6"/>
        <v>0</v>
      </c>
      <c r="T22" s="104">
        <f t="shared" ca="1" si="7"/>
        <v>0</v>
      </c>
      <c r="V22" s="127"/>
      <c r="W22" s="54" t="s">
        <v>194</v>
      </c>
    </row>
    <row r="23" spans="1:23" ht="12.75" x14ac:dyDescent="0.15">
      <c r="A23" s="54">
        <v>22</v>
      </c>
      <c r="B23" s="54" t="str">
        <f ca="1">OFFSET(Batting!$C$4,BatAves!$I23,0)</f>
        <v>Sajjid K</v>
      </c>
      <c r="C23" s="58">
        <f ca="1">OFFSET(Batting!$AK$4,BatAves!$I23,0)</f>
        <v>3</v>
      </c>
      <c r="D23" s="58">
        <f ca="1">OFFSET(Batting!$AM$4,BatAves!$I23,0)</f>
        <v>1</v>
      </c>
      <c r="E23" s="58">
        <f ca="1">OFFSET(Batting!$AN$4,BatAves!$I23,0)</f>
        <v>0</v>
      </c>
      <c r="F23" s="58">
        <f ca="1">OFFSET(Batting!$AP$4,BatAves!$I23,0)</f>
        <v>0</v>
      </c>
      <c r="G23" s="58">
        <f ca="1">OFFSET(Batting!$AQ$4,BatAves!$I23,0)</f>
        <v>0</v>
      </c>
      <c r="H23" s="62">
        <f ca="1">OFFSET(Batting!$AR$4,BatAves!$I23,0)</f>
        <v>0</v>
      </c>
      <c r="I23" s="54">
        <f>MATCH(A23,Batting!$BM$5:$BM$70,0)</f>
        <v>46</v>
      </c>
      <c r="J23" s="54">
        <f t="shared" ca="1" si="0"/>
        <v>1022</v>
      </c>
      <c r="K23" s="54">
        <f t="shared" ca="1" si="8"/>
        <v>22</v>
      </c>
      <c r="L23" s="54" t="str">
        <f t="shared" ca="1" si="1"/>
        <v>Sajjid K 1-0-0-0</v>
      </c>
      <c r="M23" s="54">
        <f t="shared" ca="1" si="9"/>
        <v>22</v>
      </c>
      <c r="N23" s="102">
        <v>22</v>
      </c>
      <c r="O23" s="102" t="str">
        <f t="shared" ca="1" si="2"/>
        <v>Sajjid K</v>
      </c>
      <c r="P23" s="102">
        <f t="shared" ca="1" si="3"/>
        <v>1</v>
      </c>
      <c r="Q23" s="102">
        <f t="shared" ca="1" si="4"/>
        <v>0</v>
      </c>
      <c r="R23" s="102">
        <f t="shared" ca="1" si="5"/>
        <v>0</v>
      </c>
      <c r="S23" s="102">
        <f t="shared" ca="1" si="6"/>
        <v>0</v>
      </c>
      <c r="T23" s="104">
        <f t="shared" ca="1" si="7"/>
        <v>0</v>
      </c>
      <c r="V23" s="127"/>
      <c r="W23" s="106"/>
    </row>
    <row r="24" spans="1:23" ht="12.75" x14ac:dyDescent="0.15">
      <c r="A24" s="54">
        <v>23</v>
      </c>
      <c r="B24" s="54" t="str">
        <f ca="1">OFFSET(Batting!$C$4,BatAves!$I24,0)</f>
        <v>Singh R</v>
      </c>
      <c r="C24" s="58">
        <f ca="1">OFFSET(Batting!$AK$4,BatAves!$I24,0)</f>
        <v>1</v>
      </c>
      <c r="D24" s="58">
        <f ca="1">OFFSET(Batting!$AM$4,BatAves!$I24,0)</f>
        <v>1</v>
      </c>
      <c r="E24" s="58">
        <f ca="1">OFFSET(Batting!$AN$4,BatAves!$I24,0)</f>
        <v>1</v>
      </c>
      <c r="F24" s="58" t="str">
        <f ca="1">OFFSET(Batting!$AP$4,BatAves!$I24,0)</f>
        <v>1*</v>
      </c>
      <c r="G24" s="58">
        <f ca="1">OFFSET(Batting!$AQ$4,BatAves!$I24,0)</f>
        <v>1</v>
      </c>
      <c r="H24" s="62">
        <f ca="1">OFFSET(Batting!$AR$4,BatAves!$I24,0)</f>
        <v>0</v>
      </c>
      <c r="I24" s="54">
        <f>MATCH(A24,Batting!$BM$5:$BM$70,0)</f>
        <v>53</v>
      </c>
      <c r="J24" s="54">
        <f t="shared" ca="1" si="0"/>
        <v>1023</v>
      </c>
      <c r="K24" s="54">
        <f t="shared" ca="1" si="8"/>
        <v>23</v>
      </c>
      <c r="L24" s="54" t="str">
        <f t="shared" ca="1" si="1"/>
        <v>Singh R 1-1-1*-1</v>
      </c>
      <c r="M24" s="54">
        <f t="shared" ca="1" si="9"/>
        <v>23</v>
      </c>
      <c r="N24" s="102">
        <v>23</v>
      </c>
      <c r="O24" s="102" t="str">
        <f t="shared" ca="1" si="2"/>
        <v>Singh R</v>
      </c>
      <c r="P24" s="102">
        <f t="shared" ca="1" si="3"/>
        <v>1</v>
      </c>
      <c r="Q24" s="102">
        <f t="shared" ca="1" si="4"/>
        <v>1</v>
      </c>
      <c r="R24" s="102" t="str">
        <f t="shared" ca="1" si="5"/>
        <v>1*</v>
      </c>
      <c r="S24" s="102">
        <f t="shared" ca="1" si="6"/>
        <v>1</v>
      </c>
      <c r="T24" s="104">
        <f t="shared" ca="1" si="7"/>
        <v>0</v>
      </c>
      <c r="V24" s="127"/>
      <c r="W24" s="106"/>
    </row>
    <row r="25" spans="1:23" ht="12.75" x14ac:dyDescent="0.15">
      <c r="A25" s="54">
        <v>24</v>
      </c>
      <c r="B25" s="54" t="str">
        <f ca="1">OFFSET(Batting!$C$4,BatAves!$I25,0)</f>
        <v>Smith C</v>
      </c>
      <c r="C25" s="58">
        <f ca="1">OFFSET(Batting!$AK$4,BatAves!$I25,0)</f>
        <v>1</v>
      </c>
      <c r="D25" s="58">
        <f ca="1">OFFSET(Batting!$AM$4,BatAves!$I25,0)</f>
        <v>1</v>
      </c>
      <c r="E25" s="58">
        <f ca="1">OFFSET(Batting!$AN$4,BatAves!$I25,0)</f>
        <v>0</v>
      </c>
      <c r="F25" s="58">
        <f ca="1">OFFSET(Batting!$AP$4,BatAves!$I25,0)</f>
        <v>0</v>
      </c>
      <c r="G25" s="58">
        <f ca="1">OFFSET(Batting!$AQ$4,BatAves!$I25,0)</f>
        <v>0</v>
      </c>
      <c r="H25" s="62">
        <f ca="1">OFFSET(Batting!$AR$4,BatAves!$I25,0)</f>
        <v>0</v>
      </c>
      <c r="I25" s="54">
        <f>MATCH(A25,Batting!$BM$5:$BM$70,0)</f>
        <v>54</v>
      </c>
      <c r="J25" s="54">
        <f t="shared" ca="1" si="0"/>
        <v>1024</v>
      </c>
      <c r="K25" s="54">
        <f t="shared" ca="1" si="8"/>
        <v>24</v>
      </c>
      <c r="L25" s="54" t="str">
        <f t="shared" ca="1" si="1"/>
        <v>Smith C 1-0-0-0</v>
      </c>
      <c r="M25" s="54">
        <f t="shared" ca="1" si="9"/>
        <v>24</v>
      </c>
      <c r="N25" s="102">
        <v>24</v>
      </c>
      <c r="O25" s="102" t="str">
        <f t="shared" ca="1" si="2"/>
        <v>Smith C</v>
      </c>
      <c r="P25" s="102">
        <f t="shared" ca="1" si="3"/>
        <v>1</v>
      </c>
      <c r="Q25" s="102">
        <f t="shared" ca="1" si="4"/>
        <v>0</v>
      </c>
      <c r="R25" s="102">
        <f t="shared" ca="1" si="5"/>
        <v>0</v>
      </c>
      <c r="S25" s="102">
        <f t="shared" ca="1" si="6"/>
        <v>0</v>
      </c>
      <c r="T25" s="104">
        <f t="shared" ca="1" si="7"/>
        <v>0</v>
      </c>
      <c r="V25" s="127"/>
      <c r="W25" s="54" t="s">
        <v>194</v>
      </c>
    </row>
    <row r="26" spans="1:23" ht="12.75" x14ac:dyDescent="0.15">
      <c r="A26" s="54">
        <v>25</v>
      </c>
      <c r="B26" s="54" t="str">
        <f ca="1">OFFSET(Batting!$C$4,BatAves!$I26,0)</f>
        <v>Niran M</v>
      </c>
      <c r="C26" s="58">
        <f ca="1">OFFSET(Batting!$AK$4,BatAves!$I26,0)</f>
        <v>1</v>
      </c>
      <c r="D26" s="58">
        <f ca="1">OFFSET(Batting!$AM$4,BatAves!$I26,0)</f>
        <v>1</v>
      </c>
      <c r="E26" s="58">
        <f ca="1">OFFSET(Batting!$AN$4,BatAves!$I26,0)</f>
        <v>0</v>
      </c>
      <c r="F26" s="58">
        <f ca="1">OFFSET(Batting!$AP$4,BatAves!$I26,0)</f>
        <v>0</v>
      </c>
      <c r="G26" s="58">
        <f ca="1">OFFSET(Batting!$AQ$4,BatAves!$I26,0)</f>
        <v>0</v>
      </c>
      <c r="H26" s="62">
        <f ca="1">OFFSET(Batting!$AR$4,BatAves!$I26,0)</f>
        <v>0</v>
      </c>
      <c r="I26" s="54">
        <f>MATCH(A26,Batting!$BM$5:$BM$70,0)</f>
        <v>34</v>
      </c>
      <c r="J26" s="54">
        <f t="shared" ca="1" si="0"/>
        <v>1025</v>
      </c>
      <c r="K26" s="54">
        <f t="shared" ca="1" si="8"/>
        <v>25</v>
      </c>
      <c r="L26" s="54" t="str">
        <f t="shared" ca="1" si="1"/>
        <v>Niran M 1-0-0-0</v>
      </c>
      <c r="M26" s="54">
        <f t="shared" ca="1" si="9"/>
        <v>25</v>
      </c>
      <c r="N26" s="102">
        <v>25</v>
      </c>
      <c r="O26" s="102" t="str">
        <f t="shared" ca="1" si="2"/>
        <v>Niran M</v>
      </c>
      <c r="P26" s="102">
        <f t="shared" ca="1" si="3"/>
        <v>1</v>
      </c>
      <c r="Q26" s="102">
        <f t="shared" ca="1" si="4"/>
        <v>0</v>
      </c>
      <c r="R26" s="102">
        <f t="shared" ca="1" si="5"/>
        <v>0</v>
      </c>
      <c r="S26" s="102">
        <f t="shared" ca="1" si="6"/>
        <v>0</v>
      </c>
      <c r="T26" s="104">
        <f t="shared" ca="1" si="7"/>
        <v>0</v>
      </c>
      <c r="V26" s="127"/>
      <c r="W26" s="106"/>
    </row>
    <row r="27" spans="1:23" ht="12.75" x14ac:dyDescent="0.15">
      <c r="A27" s="54">
        <v>26</v>
      </c>
      <c r="B27" s="54" t="str">
        <f ca="1">OFFSET(Batting!$C$4,BatAves!$I27,0)</f>
        <v>Bowers M</v>
      </c>
      <c r="C27" s="58">
        <f ca="1">OFFSET(Batting!$AK$4,BatAves!$I27,0)</f>
        <v>2</v>
      </c>
      <c r="D27" s="58">
        <f ca="1">OFFSET(Batting!$AM$4,BatAves!$I27,0)</f>
        <v>0</v>
      </c>
      <c r="E27" s="58">
        <f ca="1">OFFSET(Batting!$AN$4,BatAves!$I27,0)</f>
        <v>0</v>
      </c>
      <c r="F27" s="58">
        <f ca="1">OFFSET(Batting!$AP$4,BatAves!$I27,0)</f>
        <v>0</v>
      </c>
      <c r="G27" s="58">
        <f ca="1">OFFSET(Batting!$AQ$4,BatAves!$I27,0)</f>
        <v>0</v>
      </c>
      <c r="H27" s="62">
        <f ca="1">OFFSET(Batting!$AR$4,BatAves!$I27,0)</f>
        <v>0</v>
      </c>
      <c r="I27" s="54">
        <f>MATCH(A27,Batting!$BM$5:$BM$70,0)</f>
        <v>5</v>
      </c>
      <c r="J27" s="54">
        <f t="shared" ca="1" si="0"/>
        <v>1026</v>
      </c>
      <c r="K27" s="54">
        <f t="shared" ca="1" si="8"/>
        <v>26</v>
      </c>
      <c r="L27" s="54" t="str">
        <f t="shared" ca="1" si="1"/>
        <v>Bowers M 0-0-0-0</v>
      </c>
      <c r="M27" s="54">
        <f t="shared" ca="1" si="9"/>
        <v>26</v>
      </c>
      <c r="N27" s="102">
        <v>26</v>
      </c>
      <c r="O27" s="102" t="str">
        <f t="shared" ca="1" si="2"/>
        <v>Bowers M</v>
      </c>
      <c r="P27" s="102">
        <f t="shared" ca="1" si="3"/>
        <v>0</v>
      </c>
      <c r="Q27" s="102">
        <f t="shared" ca="1" si="4"/>
        <v>0</v>
      </c>
      <c r="R27" s="102">
        <f t="shared" ca="1" si="5"/>
        <v>0</v>
      </c>
      <c r="S27" s="102">
        <f t="shared" ca="1" si="6"/>
        <v>0</v>
      </c>
      <c r="T27" s="104">
        <f t="shared" ca="1" si="7"/>
        <v>0</v>
      </c>
      <c r="V27" s="127"/>
      <c r="W27" s="54" t="s">
        <v>194</v>
      </c>
    </row>
    <row r="28" spans="1:23" ht="12.75" x14ac:dyDescent="0.15">
      <c r="A28" s="54">
        <v>27</v>
      </c>
      <c r="B28" s="54" t="str">
        <f ca="1">OFFSET(Batting!$C$4,BatAves!$I28,0)</f>
        <v>Walsh F</v>
      </c>
      <c r="C28" s="58">
        <f ca="1">OFFSET(Batting!$AK$4,BatAves!$I28,0)</f>
        <v>1</v>
      </c>
      <c r="D28" s="58">
        <f ca="1">OFFSET(Batting!$AM$4,BatAves!$I28,0)</f>
        <v>0</v>
      </c>
      <c r="E28" s="58">
        <f ca="1">OFFSET(Batting!$AN$4,BatAves!$I28,0)</f>
        <v>0</v>
      </c>
      <c r="F28" s="58">
        <f ca="1">OFFSET(Batting!$AP$4,BatAves!$I28,0)</f>
        <v>0</v>
      </c>
      <c r="G28" s="58">
        <f ca="1">OFFSET(Batting!$AQ$4,BatAves!$I28,0)</f>
        <v>0</v>
      </c>
      <c r="H28" s="62">
        <f ca="1">OFFSET(Batting!$AR$4,BatAves!$I28,0)</f>
        <v>0</v>
      </c>
      <c r="I28" s="54">
        <f>MATCH(A28,Batting!$BM$5:$BM$70,0)</f>
        <v>64</v>
      </c>
      <c r="J28" s="54">
        <f t="shared" ca="1" si="0"/>
        <v>1027</v>
      </c>
      <c r="K28" s="54">
        <f t="shared" ca="1" si="8"/>
        <v>27</v>
      </c>
      <c r="L28" s="54" t="str">
        <f t="shared" ca="1" si="1"/>
        <v>Walsh F 0-0-0-0</v>
      </c>
      <c r="M28" s="54">
        <f t="shared" ca="1" si="9"/>
        <v>27</v>
      </c>
      <c r="N28" s="102">
        <v>27</v>
      </c>
      <c r="O28" s="102" t="str">
        <f t="shared" ca="1" si="2"/>
        <v>Walsh F</v>
      </c>
      <c r="P28" s="102">
        <f t="shared" ca="1" si="3"/>
        <v>0</v>
      </c>
      <c r="Q28" s="102">
        <f t="shared" ca="1" si="4"/>
        <v>0</v>
      </c>
      <c r="R28" s="102">
        <f t="shared" ca="1" si="5"/>
        <v>0</v>
      </c>
      <c r="S28" s="102">
        <f t="shared" ca="1" si="6"/>
        <v>0</v>
      </c>
      <c r="T28" s="104">
        <f t="shared" ca="1" si="7"/>
        <v>0</v>
      </c>
      <c r="V28" s="127"/>
    </row>
    <row r="29" spans="1:23" ht="12.75" x14ac:dyDescent="0.15">
      <c r="A29" s="54">
        <v>28</v>
      </c>
      <c r="B29" s="54" t="str">
        <f ca="1">OFFSET(Batting!$C$4,BatAves!$I29,0)</f>
        <v>Madan N</v>
      </c>
      <c r="C29" s="58">
        <f ca="1">OFFSET(Batting!$AK$4,BatAves!$I29,0)</f>
        <v>1</v>
      </c>
      <c r="D29" s="58">
        <f ca="1">OFFSET(Batting!$AM$4,BatAves!$I29,0)</f>
        <v>0</v>
      </c>
      <c r="E29" s="58">
        <f ca="1">OFFSET(Batting!$AN$4,BatAves!$I29,0)</f>
        <v>0</v>
      </c>
      <c r="F29" s="58">
        <f ca="1">OFFSET(Batting!$AP$4,BatAves!$I29,0)</f>
        <v>0</v>
      </c>
      <c r="G29" s="58">
        <f ca="1">OFFSET(Batting!$AQ$4,BatAves!$I29,0)</f>
        <v>0</v>
      </c>
      <c r="H29" s="62">
        <f ca="1">OFFSET(Batting!$AR$4,BatAves!$I29,0)</f>
        <v>0</v>
      </c>
      <c r="I29" s="54">
        <f>MATCH(A29,Batting!$BM$5:$BM$70,0)</f>
        <v>26</v>
      </c>
      <c r="J29" s="54">
        <f t="shared" ca="1" si="0"/>
        <v>1028</v>
      </c>
      <c r="K29" s="54">
        <f t="shared" ca="1" si="8"/>
        <v>28</v>
      </c>
      <c r="L29" s="54" t="str">
        <f t="shared" ca="1" si="1"/>
        <v>Madan N 0-0-0-0</v>
      </c>
      <c r="M29" s="54">
        <f t="shared" ca="1" si="9"/>
        <v>28</v>
      </c>
      <c r="N29" s="102">
        <v>28</v>
      </c>
      <c r="O29" s="102" t="str">
        <f t="shared" ca="1" si="2"/>
        <v>Madan N</v>
      </c>
      <c r="P29" s="102">
        <f t="shared" ca="1" si="3"/>
        <v>0</v>
      </c>
      <c r="Q29" s="102">
        <f t="shared" ca="1" si="4"/>
        <v>0</v>
      </c>
      <c r="R29" s="102">
        <f t="shared" ca="1" si="5"/>
        <v>0</v>
      </c>
      <c r="S29" s="102">
        <f t="shared" ca="1" si="6"/>
        <v>0</v>
      </c>
      <c r="T29" s="104">
        <f t="shared" ca="1" si="7"/>
        <v>0</v>
      </c>
      <c r="V29" s="127"/>
    </row>
    <row r="30" spans="1:23" ht="12.75" x14ac:dyDescent="0.15">
      <c r="A30" s="54">
        <v>29</v>
      </c>
      <c r="B30" s="54" t="str">
        <f ca="1">OFFSET(Batting!$C$4,BatAves!$I30,0)</f>
        <v>Woodhouse M</v>
      </c>
      <c r="C30" s="58">
        <f ca="1">OFFSET(Batting!$AK$4,BatAves!$I30,0)</f>
        <v>0</v>
      </c>
      <c r="D30" s="58">
        <f ca="1">OFFSET(Batting!$AM$4,BatAves!$I30,0)</f>
        <v>0</v>
      </c>
      <c r="E30" s="58">
        <f ca="1">OFFSET(Batting!$AN$4,BatAves!$I30,0)</f>
        <v>0</v>
      </c>
      <c r="F30" s="58">
        <f ca="1">OFFSET(Batting!$AP$4,BatAves!$I30,0)</f>
        <v>0</v>
      </c>
      <c r="G30" s="58">
        <f ca="1">OFFSET(Batting!$AQ$4,BatAves!$I30,0)</f>
        <v>0</v>
      </c>
      <c r="H30" s="62">
        <f ca="1">OFFSET(Batting!$AR$4,BatAves!$I30,0)</f>
        <v>0</v>
      </c>
      <c r="I30" s="54">
        <f>MATCH(A30,Batting!$BM$5:$BM$70,0)</f>
        <v>66</v>
      </c>
      <c r="J30" s="54">
        <f t="shared" ca="1" si="0"/>
        <v>1029</v>
      </c>
      <c r="K30" s="54">
        <f t="shared" ca="1" si="8"/>
        <v>29</v>
      </c>
      <c r="L30" s="54" t="str">
        <f t="shared" ca="1" si="1"/>
        <v>Woodhouse M 0-0-0-0</v>
      </c>
      <c r="M30" s="54">
        <f t="shared" ca="1" si="9"/>
        <v>29</v>
      </c>
      <c r="N30" s="102">
        <v>29</v>
      </c>
      <c r="O30" s="102" t="str">
        <f t="shared" ca="1" si="2"/>
        <v>Woodhouse M</v>
      </c>
      <c r="P30" s="102">
        <f t="shared" ca="1" si="3"/>
        <v>0</v>
      </c>
      <c r="Q30" s="102">
        <f t="shared" ca="1" si="4"/>
        <v>0</v>
      </c>
      <c r="R30" s="102">
        <f t="shared" ca="1" si="5"/>
        <v>0</v>
      </c>
      <c r="S30" s="102">
        <f t="shared" ca="1" si="6"/>
        <v>0</v>
      </c>
      <c r="T30" s="104">
        <f t="shared" ca="1" si="7"/>
        <v>0</v>
      </c>
      <c r="V30" s="127"/>
      <c r="W30" s="54" t="s">
        <v>194</v>
      </c>
    </row>
    <row r="31" spans="1:23" ht="12.75" x14ac:dyDescent="0.15">
      <c r="A31" s="54">
        <v>30</v>
      </c>
      <c r="B31" s="54" t="str">
        <f ca="1">OFFSET(Batting!$C$4,BatAves!$I31,0)</f>
        <v>Wilson A</v>
      </c>
      <c r="C31" s="58">
        <f ca="1">OFFSET(Batting!$AK$4,BatAves!$I31,0)</f>
        <v>0</v>
      </c>
      <c r="D31" s="58">
        <f ca="1">OFFSET(Batting!$AM$4,BatAves!$I31,0)</f>
        <v>0</v>
      </c>
      <c r="E31" s="58">
        <f ca="1">OFFSET(Batting!$AN$4,BatAves!$I31,0)</f>
        <v>0</v>
      </c>
      <c r="F31" s="58">
        <f ca="1">OFFSET(Batting!$AP$4,BatAves!$I31,0)</f>
        <v>0</v>
      </c>
      <c r="G31" s="58">
        <f ca="1">OFFSET(Batting!$AQ$4,BatAves!$I31,0)</f>
        <v>0</v>
      </c>
      <c r="H31" s="62">
        <f ca="1">OFFSET(Batting!$AR$4,BatAves!$I31,0)</f>
        <v>0</v>
      </c>
      <c r="I31" s="54">
        <f>MATCH(A31,Batting!$BM$5:$BM$70,0)</f>
        <v>65</v>
      </c>
      <c r="J31" s="54">
        <f t="shared" ca="1" si="0"/>
        <v>1030</v>
      </c>
      <c r="K31" s="54">
        <f t="shared" ca="1" si="8"/>
        <v>30</v>
      </c>
      <c r="L31" s="54" t="str">
        <f t="shared" ca="1" si="1"/>
        <v>Wilson A 0-0-0-0</v>
      </c>
      <c r="M31" s="54">
        <f t="shared" ca="1" si="9"/>
        <v>30</v>
      </c>
      <c r="N31" s="102">
        <v>30</v>
      </c>
      <c r="O31" s="102" t="str">
        <f t="shared" ca="1" si="2"/>
        <v>Wilson A</v>
      </c>
      <c r="P31" s="102">
        <f t="shared" ca="1" si="3"/>
        <v>0</v>
      </c>
      <c r="Q31" s="102">
        <f t="shared" ca="1" si="4"/>
        <v>0</v>
      </c>
      <c r="R31" s="102">
        <f t="shared" ca="1" si="5"/>
        <v>0</v>
      </c>
      <c r="S31" s="102">
        <f t="shared" ca="1" si="6"/>
        <v>0</v>
      </c>
      <c r="T31" s="104">
        <f t="shared" ca="1" si="7"/>
        <v>0</v>
      </c>
      <c r="V31" s="127"/>
      <c r="W31" s="54" t="s">
        <v>194</v>
      </c>
    </row>
    <row r="32" spans="1:23" ht="12.75" x14ac:dyDescent="0.15">
      <c r="A32" s="54">
        <v>31</v>
      </c>
      <c r="B32" s="54" t="str">
        <f ca="1">OFFSET(Batting!$C$4,BatAves!$I32,0)</f>
        <v>Viveganandan M</v>
      </c>
      <c r="C32" s="58">
        <f ca="1">OFFSET(Batting!$AK$4,BatAves!$I32,0)</f>
        <v>0</v>
      </c>
      <c r="D32" s="58">
        <f ca="1">OFFSET(Batting!$AM$4,BatAves!$I32,0)</f>
        <v>0</v>
      </c>
      <c r="E32" s="58">
        <f ca="1">OFFSET(Batting!$AN$4,BatAves!$I32,0)</f>
        <v>0</v>
      </c>
      <c r="F32" s="58">
        <f ca="1">OFFSET(Batting!$AP$4,BatAves!$I32,0)</f>
        <v>0</v>
      </c>
      <c r="G32" s="58">
        <f ca="1">OFFSET(Batting!$AQ$4,BatAves!$I32,0)</f>
        <v>0</v>
      </c>
      <c r="H32" s="62">
        <f ca="1">OFFSET(Batting!$AR$4,BatAves!$I32,0)</f>
        <v>0</v>
      </c>
      <c r="I32" s="54">
        <f>MATCH(A32,Batting!$BM$5:$BM$70,0)</f>
        <v>63</v>
      </c>
      <c r="J32" s="54">
        <f t="shared" ca="1" si="0"/>
        <v>1031</v>
      </c>
      <c r="K32" s="54">
        <f t="shared" ca="1" si="8"/>
        <v>31</v>
      </c>
      <c r="L32" s="54" t="str">
        <f t="shared" ca="1" si="1"/>
        <v>Viveganandan M 0-0-0-0</v>
      </c>
      <c r="M32" s="54">
        <f t="shared" ca="1" si="9"/>
        <v>31</v>
      </c>
      <c r="N32" s="102">
        <v>31</v>
      </c>
      <c r="O32" s="102" t="str">
        <f t="shared" ca="1" si="2"/>
        <v>Viveganandan M</v>
      </c>
      <c r="P32" s="102">
        <f t="shared" ca="1" si="3"/>
        <v>0</v>
      </c>
      <c r="Q32" s="102">
        <f t="shared" ca="1" si="4"/>
        <v>0</v>
      </c>
      <c r="R32" s="102">
        <f t="shared" ca="1" si="5"/>
        <v>0</v>
      </c>
      <c r="S32" s="102">
        <f t="shared" ca="1" si="6"/>
        <v>0</v>
      </c>
      <c r="T32" s="104">
        <f t="shared" ca="1" si="7"/>
        <v>0</v>
      </c>
      <c r="V32" s="127"/>
    </row>
    <row r="33" spans="1:22" ht="12.75" x14ac:dyDescent="0.15">
      <c r="A33" s="54">
        <v>32</v>
      </c>
      <c r="B33" s="54" t="str">
        <f ca="1">OFFSET(Batting!$C$4,BatAves!$I33,0)</f>
        <v>Umar S</v>
      </c>
      <c r="C33" s="58">
        <f ca="1">OFFSET(Batting!$AK$4,BatAves!$I33,0)</f>
        <v>0</v>
      </c>
      <c r="D33" s="58">
        <f ca="1">OFFSET(Batting!$AM$4,BatAves!$I33,0)</f>
        <v>0</v>
      </c>
      <c r="E33" s="58">
        <f ca="1">OFFSET(Batting!$AN$4,BatAves!$I33,0)</f>
        <v>0</v>
      </c>
      <c r="F33" s="58">
        <f ca="1">OFFSET(Batting!$AP$4,BatAves!$I33,0)</f>
        <v>0</v>
      </c>
      <c r="G33" s="58">
        <f ca="1">OFFSET(Batting!$AQ$4,BatAves!$I33,0)</f>
        <v>0</v>
      </c>
      <c r="H33" s="62">
        <f ca="1">OFFSET(Batting!$AR$4,BatAves!$I33,0)</f>
        <v>0</v>
      </c>
      <c r="I33" s="54">
        <f>MATCH(A33,Batting!$BM$5:$BM$70,0)</f>
        <v>61</v>
      </c>
      <c r="J33" s="54">
        <f t="shared" ca="1" si="0"/>
        <v>1032</v>
      </c>
      <c r="K33" s="54">
        <f t="shared" ca="1" si="8"/>
        <v>32</v>
      </c>
      <c r="L33" s="54" t="str">
        <f t="shared" ca="1" si="1"/>
        <v>Umar S 0-0-0-0</v>
      </c>
      <c r="M33" s="54">
        <f t="shared" ca="1" si="9"/>
        <v>32</v>
      </c>
      <c r="N33" s="102">
        <v>32</v>
      </c>
      <c r="O33" s="102" t="str">
        <f t="shared" ca="1" si="2"/>
        <v>Umar S</v>
      </c>
      <c r="P33" s="102">
        <f t="shared" ca="1" si="3"/>
        <v>0</v>
      </c>
      <c r="Q33" s="102">
        <f t="shared" ca="1" si="4"/>
        <v>0</v>
      </c>
      <c r="R33" s="102">
        <f t="shared" ca="1" si="5"/>
        <v>0</v>
      </c>
      <c r="S33" s="102">
        <f t="shared" ca="1" si="6"/>
        <v>0</v>
      </c>
      <c r="T33" s="104">
        <f t="shared" ca="1" si="7"/>
        <v>0</v>
      </c>
      <c r="V33" s="127"/>
    </row>
    <row r="34" spans="1:22" ht="12.75" x14ac:dyDescent="0.15">
      <c r="A34" s="54">
        <v>33</v>
      </c>
      <c r="B34" s="54" t="str">
        <f ca="1">OFFSET(Batting!$C$4,BatAves!$I34,0)</f>
        <v>Turner R</v>
      </c>
      <c r="C34" s="58">
        <f ca="1">OFFSET(Batting!$AK$4,BatAves!$I34,0)</f>
        <v>0</v>
      </c>
      <c r="D34" s="58">
        <f ca="1">OFFSET(Batting!$AM$4,BatAves!$I34,0)</f>
        <v>0</v>
      </c>
      <c r="E34" s="58">
        <f ca="1">OFFSET(Batting!$AN$4,BatAves!$I34,0)</f>
        <v>0</v>
      </c>
      <c r="F34" s="58">
        <f ca="1">OFFSET(Batting!$AP$4,BatAves!$I34,0)</f>
        <v>0</v>
      </c>
      <c r="G34" s="58">
        <f ca="1">OFFSET(Batting!$AQ$4,BatAves!$I34,0)</f>
        <v>0</v>
      </c>
      <c r="H34" s="62">
        <f ca="1">OFFSET(Batting!$AR$4,BatAves!$I34,0)</f>
        <v>0</v>
      </c>
      <c r="I34" s="54">
        <f>MATCH(A34,Batting!$BM$5:$BM$70,0)</f>
        <v>60</v>
      </c>
      <c r="J34" s="54">
        <f t="shared" ref="J34:J60" ca="1" si="10">IF(D34&gt;=5,A34,1000+A34)</f>
        <v>1033</v>
      </c>
      <c r="K34" s="54">
        <f t="shared" ca="1" si="8"/>
        <v>33</v>
      </c>
      <c r="L34" s="54" t="str">
        <f t="shared" ref="L34:L60" ca="1" si="11">IF(D34&lt;5,B34&amp;" "&amp;D34&amp;"-"&amp;E34&amp;"-"&amp;F34&amp;"-"&amp;G34,"")</f>
        <v>Turner R 0-0-0-0</v>
      </c>
      <c r="M34" s="54">
        <f t="shared" ca="1" si="9"/>
        <v>33</v>
      </c>
      <c r="N34" s="102">
        <v>33</v>
      </c>
      <c r="O34" s="102" t="str">
        <f t="shared" ca="1" si="2"/>
        <v>Turner R</v>
      </c>
      <c r="P34" s="102">
        <f t="shared" ca="1" si="3"/>
        <v>0</v>
      </c>
      <c r="Q34" s="102">
        <f t="shared" ca="1" si="4"/>
        <v>0</v>
      </c>
      <c r="R34" s="102">
        <f t="shared" ca="1" si="5"/>
        <v>0</v>
      </c>
      <c r="S34" s="102">
        <f t="shared" ca="1" si="6"/>
        <v>0</v>
      </c>
      <c r="T34" s="104">
        <f t="shared" ca="1" si="7"/>
        <v>0</v>
      </c>
      <c r="V34" s="127"/>
    </row>
    <row r="35" spans="1:22" ht="12.75" x14ac:dyDescent="0.15">
      <c r="A35" s="54">
        <v>34</v>
      </c>
      <c r="B35" s="54" t="str">
        <f ca="1">OFFSET(Batting!$C$4,BatAves!$I35,0)</f>
        <v>Taylor C</v>
      </c>
      <c r="C35" s="58">
        <f ca="1">OFFSET(Batting!$AK$4,BatAves!$I35,0)</f>
        <v>0</v>
      </c>
      <c r="D35" s="58">
        <f ca="1">OFFSET(Batting!$AM$4,BatAves!$I35,0)</f>
        <v>0</v>
      </c>
      <c r="E35" s="58">
        <f ca="1">OFFSET(Batting!$AN$4,BatAves!$I35,0)</f>
        <v>0</v>
      </c>
      <c r="F35" s="58">
        <f ca="1">OFFSET(Batting!$AP$4,BatAves!$I35,0)</f>
        <v>0</v>
      </c>
      <c r="G35" s="58">
        <f ca="1">OFFSET(Batting!$AQ$4,BatAves!$I35,0)</f>
        <v>0</v>
      </c>
      <c r="H35" s="62">
        <f ca="1">OFFSET(Batting!$AR$4,BatAves!$I35,0)</f>
        <v>0</v>
      </c>
      <c r="I35" s="54">
        <f>MATCH(A35,Batting!$BM$5:$BM$70,0)</f>
        <v>59</v>
      </c>
      <c r="J35" s="54">
        <f t="shared" ca="1" si="10"/>
        <v>1034</v>
      </c>
      <c r="K35" s="54">
        <f t="shared" ca="1" si="8"/>
        <v>34</v>
      </c>
      <c r="L35" s="54" t="str">
        <f t="shared" ca="1" si="11"/>
        <v>Taylor C 0-0-0-0</v>
      </c>
      <c r="M35" s="54">
        <f t="shared" ca="1" si="9"/>
        <v>34</v>
      </c>
      <c r="N35" s="102">
        <v>34</v>
      </c>
      <c r="O35" s="102" t="str">
        <f t="shared" ca="1" si="2"/>
        <v>Taylor C</v>
      </c>
      <c r="P35" s="102">
        <f t="shared" ca="1" si="3"/>
        <v>0</v>
      </c>
      <c r="Q35" s="102">
        <f t="shared" ca="1" si="4"/>
        <v>0</v>
      </c>
      <c r="R35" s="102">
        <f t="shared" ca="1" si="5"/>
        <v>0</v>
      </c>
      <c r="S35" s="102">
        <f t="shared" ca="1" si="6"/>
        <v>0</v>
      </c>
      <c r="T35" s="104">
        <f t="shared" ca="1" si="7"/>
        <v>0</v>
      </c>
      <c r="V35" s="127"/>
    </row>
    <row r="36" spans="1:22" ht="12.75" x14ac:dyDescent="0.15">
      <c r="A36" s="54">
        <v>35</v>
      </c>
      <c r="B36" s="54" t="str">
        <f ca="1">OFFSET(Batting!$C$4,BatAves!$I36,0)</f>
        <v>Sunkara C</v>
      </c>
      <c r="C36" s="58">
        <f ca="1">OFFSET(Batting!$AK$4,BatAves!$I36,0)</f>
        <v>0</v>
      </c>
      <c r="D36" s="58">
        <f ca="1">OFFSET(Batting!$AM$4,BatAves!$I36,0)</f>
        <v>0</v>
      </c>
      <c r="E36" s="58">
        <f ca="1">OFFSET(Batting!$AN$4,BatAves!$I36,0)</f>
        <v>0</v>
      </c>
      <c r="F36" s="58">
        <f ca="1">OFFSET(Batting!$AP$4,BatAves!$I36,0)</f>
        <v>0</v>
      </c>
      <c r="G36" s="58">
        <f ca="1">OFFSET(Batting!$AQ$4,BatAves!$I36,0)</f>
        <v>0</v>
      </c>
      <c r="H36" s="62">
        <f ca="1">OFFSET(Batting!$AR$4,BatAves!$I36,0)</f>
        <v>0</v>
      </c>
      <c r="I36" s="54">
        <f>MATCH(A36,Batting!$BM$5:$BM$70,0)</f>
        <v>58</v>
      </c>
      <c r="J36" s="54">
        <f t="shared" ca="1" si="10"/>
        <v>1035</v>
      </c>
      <c r="K36" s="54">
        <f t="shared" ca="1" si="8"/>
        <v>35</v>
      </c>
      <c r="L36" s="54" t="str">
        <f t="shared" ca="1" si="11"/>
        <v>Sunkara C 0-0-0-0</v>
      </c>
      <c r="M36" s="54">
        <f t="shared" ca="1" si="9"/>
        <v>35</v>
      </c>
      <c r="N36" s="102">
        <v>35</v>
      </c>
      <c r="O36" s="102" t="str">
        <f t="shared" ca="1" si="2"/>
        <v>Sunkara C</v>
      </c>
      <c r="P36" s="102">
        <f t="shared" ca="1" si="3"/>
        <v>0</v>
      </c>
      <c r="Q36" s="102">
        <f t="shared" ca="1" si="4"/>
        <v>0</v>
      </c>
      <c r="R36" s="102">
        <f t="shared" ca="1" si="5"/>
        <v>0</v>
      </c>
      <c r="S36" s="102">
        <f t="shared" ca="1" si="6"/>
        <v>0</v>
      </c>
      <c r="T36" s="104">
        <f t="shared" ca="1" si="7"/>
        <v>0</v>
      </c>
      <c r="V36" s="127"/>
    </row>
    <row r="37" spans="1:22" ht="12.75" x14ac:dyDescent="0.15">
      <c r="A37" s="54">
        <v>36</v>
      </c>
      <c r="B37" s="54" t="str">
        <f ca="1">OFFSET(Batting!$C$4,BatAves!$I37,0)</f>
        <v>Stevenson R</v>
      </c>
      <c r="C37" s="58">
        <f ca="1">OFFSET(Batting!$AK$4,BatAves!$I37,0)</f>
        <v>0</v>
      </c>
      <c r="D37" s="58">
        <f ca="1">OFFSET(Batting!$AM$4,BatAves!$I37,0)</f>
        <v>0</v>
      </c>
      <c r="E37" s="58">
        <f ca="1">OFFSET(Batting!$AN$4,BatAves!$I37,0)</f>
        <v>0</v>
      </c>
      <c r="F37" s="58">
        <f ca="1">OFFSET(Batting!$AP$4,BatAves!$I37,0)</f>
        <v>0</v>
      </c>
      <c r="G37" s="58">
        <f ca="1">OFFSET(Batting!$AQ$4,BatAves!$I37,0)</f>
        <v>0</v>
      </c>
      <c r="H37" s="62">
        <f ca="1">OFFSET(Batting!$AR$4,BatAves!$I37,0)</f>
        <v>0</v>
      </c>
      <c r="I37" s="54">
        <f>MATCH(A37,Batting!$BM$5:$BM$70,0)</f>
        <v>56</v>
      </c>
      <c r="J37" s="54">
        <f t="shared" ca="1" si="10"/>
        <v>1036</v>
      </c>
      <c r="K37" s="54">
        <f t="shared" ca="1" si="8"/>
        <v>36</v>
      </c>
      <c r="L37" s="54" t="str">
        <f t="shared" ca="1" si="11"/>
        <v>Stevenson R 0-0-0-0</v>
      </c>
      <c r="M37" s="54">
        <f t="shared" ca="1" si="9"/>
        <v>36</v>
      </c>
      <c r="N37" s="102">
        <v>36</v>
      </c>
      <c r="O37" s="102" t="str">
        <f t="shared" ca="1" si="2"/>
        <v>Stevenson R</v>
      </c>
      <c r="P37" s="102">
        <f t="shared" ca="1" si="3"/>
        <v>0</v>
      </c>
      <c r="Q37" s="102">
        <f t="shared" ca="1" si="4"/>
        <v>0</v>
      </c>
      <c r="R37" s="102">
        <f t="shared" ca="1" si="5"/>
        <v>0</v>
      </c>
      <c r="S37" s="102">
        <f t="shared" ca="1" si="6"/>
        <v>0</v>
      </c>
      <c r="T37" s="104">
        <f t="shared" ca="1" si="7"/>
        <v>0</v>
      </c>
      <c r="V37" s="127"/>
    </row>
    <row r="38" spans="1:22" ht="12.75" x14ac:dyDescent="0.15">
      <c r="A38" s="54">
        <v>37</v>
      </c>
      <c r="B38" s="54" t="str">
        <f ca="1">OFFSET(Batting!$C$4,BatAves!$I38,0)</f>
        <v>Shome G</v>
      </c>
      <c r="C38" s="58">
        <f ca="1">OFFSET(Batting!$AK$4,BatAves!$I38,0)</f>
        <v>0</v>
      </c>
      <c r="D38" s="58">
        <f ca="1">OFFSET(Batting!$AM$4,BatAves!$I38,0)</f>
        <v>0</v>
      </c>
      <c r="E38" s="58">
        <f ca="1">OFFSET(Batting!$AN$4,BatAves!$I38,0)</f>
        <v>0</v>
      </c>
      <c r="F38" s="58">
        <f ca="1">OFFSET(Batting!$AP$4,BatAves!$I38,0)</f>
        <v>0</v>
      </c>
      <c r="G38" s="58">
        <f ca="1">OFFSET(Batting!$AQ$4,BatAves!$I38,0)</f>
        <v>0</v>
      </c>
      <c r="H38" s="62">
        <f ca="1">OFFSET(Batting!$AR$4,BatAves!$I38,0)</f>
        <v>0</v>
      </c>
      <c r="I38" s="54">
        <f>MATCH(A38,Batting!$BM$5:$BM$70,0)</f>
        <v>51</v>
      </c>
      <c r="J38" s="54">
        <f t="shared" ca="1" si="10"/>
        <v>1037</v>
      </c>
      <c r="K38" s="54">
        <f t="shared" ca="1" si="8"/>
        <v>37</v>
      </c>
      <c r="L38" s="54" t="str">
        <f t="shared" ca="1" si="11"/>
        <v>Shome G 0-0-0-0</v>
      </c>
      <c r="M38" s="54">
        <f t="shared" ca="1" si="9"/>
        <v>37</v>
      </c>
      <c r="N38" s="102">
        <v>37</v>
      </c>
      <c r="O38" s="102" t="str">
        <f t="shared" ca="1" si="2"/>
        <v>Shome G</v>
      </c>
      <c r="P38" s="102">
        <f t="shared" ca="1" si="3"/>
        <v>0</v>
      </c>
      <c r="Q38" s="102">
        <f t="shared" ca="1" si="4"/>
        <v>0</v>
      </c>
      <c r="R38" s="102">
        <f t="shared" ca="1" si="5"/>
        <v>0</v>
      </c>
      <c r="S38" s="102">
        <f t="shared" ca="1" si="6"/>
        <v>0</v>
      </c>
      <c r="T38" s="104">
        <f t="shared" ca="1" si="7"/>
        <v>0</v>
      </c>
    </row>
    <row r="39" spans="1:22" ht="12.75" x14ac:dyDescent="0.15">
      <c r="A39" s="54">
        <v>38</v>
      </c>
      <c r="B39" s="54" t="str">
        <f ca="1">OFFSET(Batting!$C$4,BatAves!$I39,0)</f>
        <v>Seymour D</v>
      </c>
      <c r="C39" s="58">
        <f ca="1">OFFSET(Batting!$AK$4,BatAves!$I39,0)</f>
        <v>0</v>
      </c>
      <c r="D39" s="58">
        <f ca="1">OFFSET(Batting!$AM$4,BatAves!$I39,0)</f>
        <v>0</v>
      </c>
      <c r="E39" s="58">
        <f ca="1">OFFSET(Batting!$AN$4,BatAves!$I39,0)</f>
        <v>0</v>
      </c>
      <c r="F39" s="58">
        <f ca="1">OFFSET(Batting!$AP$4,BatAves!$I39,0)</f>
        <v>0</v>
      </c>
      <c r="G39" s="58">
        <f ca="1">OFFSET(Batting!$AQ$4,BatAves!$I39,0)</f>
        <v>0</v>
      </c>
      <c r="H39" s="62">
        <f ca="1">OFFSET(Batting!$AR$4,BatAves!$I39,0)</f>
        <v>0</v>
      </c>
      <c r="I39" s="54">
        <f>MATCH(A39,Batting!$BM$5:$BM$70,0)</f>
        <v>48</v>
      </c>
      <c r="J39" s="54">
        <f t="shared" ca="1" si="10"/>
        <v>1038</v>
      </c>
      <c r="K39" s="54">
        <f t="shared" ca="1" si="8"/>
        <v>38</v>
      </c>
      <c r="L39" s="54" t="str">
        <f t="shared" ca="1" si="11"/>
        <v>Seymour D 0-0-0-0</v>
      </c>
      <c r="M39" s="54">
        <f t="shared" ca="1" si="9"/>
        <v>38</v>
      </c>
      <c r="N39" s="102">
        <v>38</v>
      </c>
      <c r="O39" s="102" t="str">
        <f t="shared" ca="1" si="2"/>
        <v>Seymour D</v>
      </c>
      <c r="P39" s="102">
        <f t="shared" ca="1" si="3"/>
        <v>0</v>
      </c>
      <c r="Q39" s="102">
        <f t="shared" ca="1" si="4"/>
        <v>0</v>
      </c>
      <c r="R39" s="102">
        <f t="shared" ca="1" si="5"/>
        <v>0</v>
      </c>
      <c r="S39" s="102">
        <f t="shared" ca="1" si="6"/>
        <v>0</v>
      </c>
      <c r="T39" s="104">
        <f t="shared" ca="1" si="7"/>
        <v>0</v>
      </c>
    </row>
    <row r="40" spans="1:22" ht="12.75" x14ac:dyDescent="0.15">
      <c r="A40" s="54">
        <v>39</v>
      </c>
      <c r="B40" s="54" t="str">
        <f ca="1">OFFSET(Batting!$C$4,BatAves!$I40,0)</f>
        <v>Sajjid A</v>
      </c>
      <c r="C40" s="58">
        <f ca="1">OFFSET(Batting!$AK$4,BatAves!$I40,0)</f>
        <v>0</v>
      </c>
      <c r="D40" s="58">
        <f ca="1">OFFSET(Batting!$AM$4,BatAves!$I40,0)</f>
        <v>0</v>
      </c>
      <c r="E40" s="58">
        <f ca="1">OFFSET(Batting!$AN$4,BatAves!$I40,0)</f>
        <v>0</v>
      </c>
      <c r="F40" s="58">
        <f ca="1">OFFSET(Batting!$AP$4,BatAves!$I40,0)</f>
        <v>0</v>
      </c>
      <c r="G40" s="58">
        <f ca="1">OFFSET(Batting!$AQ$4,BatAves!$I40,0)</f>
        <v>0</v>
      </c>
      <c r="H40" s="62">
        <f ca="1">OFFSET(Batting!$AR$4,BatAves!$I40,0)</f>
        <v>0</v>
      </c>
      <c r="I40" s="54">
        <f>MATCH(A40,Batting!$BM$5:$BM$70,0)</f>
        <v>45</v>
      </c>
      <c r="J40" s="54">
        <f t="shared" ca="1" si="10"/>
        <v>1039</v>
      </c>
      <c r="K40" s="54">
        <f t="shared" ca="1" si="8"/>
        <v>39</v>
      </c>
      <c r="L40" s="54" t="str">
        <f t="shared" ca="1" si="11"/>
        <v>Sajjid A 0-0-0-0</v>
      </c>
      <c r="M40" s="54">
        <f t="shared" ca="1" si="9"/>
        <v>39</v>
      </c>
      <c r="N40" s="102">
        <v>39</v>
      </c>
      <c r="O40" s="102" t="str">
        <f t="shared" ca="1" si="2"/>
        <v>Sajjid A</v>
      </c>
      <c r="P40" s="102">
        <f t="shared" ca="1" si="3"/>
        <v>0</v>
      </c>
      <c r="Q40" s="102">
        <f t="shared" ca="1" si="4"/>
        <v>0</v>
      </c>
      <c r="R40" s="102">
        <f t="shared" ca="1" si="5"/>
        <v>0</v>
      </c>
      <c r="S40" s="102">
        <f t="shared" ca="1" si="6"/>
        <v>0</v>
      </c>
      <c r="T40" s="104">
        <f t="shared" ca="1" si="7"/>
        <v>0</v>
      </c>
    </row>
    <row r="41" spans="1:22" ht="12.75" x14ac:dyDescent="0.15">
      <c r="A41" s="54">
        <v>40</v>
      </c>
      <c r="B41" s="54" t="str">
        <f ca="1">OFFSET(Batting!$C$4,BatAves!$I41,0)</f>
        <v>Seev J</v>
      </c>
      <c r="C41" s="58">
        <f ca="1">OFFSET(Batting!$AK$4,BatAves!$I41,0)</f>
        <v>0</v>
      </c>
      <c r="D41" s="58">
        <f ca="1">OFFSET(Batting!$AM$4,BatAves!$I41,0)</f>
        <v>0</v>
      </c>
      <c r="E41" s="58">
        <f ca="1">OFFSET(Batting!$AN$4,BatAves!$I41,0)</f>
        <v>0</v>
      </c>
      <c r="F41" s="58">
        <f ca="1">OFFSET(Batting!$AP$4,BatAves!$I41,0)</f>
        <v>0</v>
      </c>
      <c r="G41" s="58">
        <f ca="1">OFFSET(Batting!$AQ$4,BatAves!$I41,0)</f>
        <v>0</v>
      </c>
      <c r="H41" s="62">
        <f ca="1">OFFSET(Batting!$AR$4,BatAves!$I41,0)</f>
        <v>0</v>
      </c>
      <c r="I41" s="54">
        <f>MATCH(A41,Batting!$BM$5:$BM$70,0)</f>
        <v>44</v>
      </c>
      <c r="J41" s="54">
        <f t="shared" ca="1" si="10"/>
        <v>1040</v>
      </c>
      <c r="K41" s="54">
        <f t="shared" ca="1" si="8"/>
        <v>40</v>
      </c>
      <c r="L41" s="54" t="str">
        <f t="shared" ca="1" si="11"/>
        <v>Seev J 0-0-0-0</v>
      </c>
      <c r="M41" s="54">
        <f t="shared" ca="1" si="9"/>
        <v>40</v>
      </c>
      <c r="N41" s="102">
        <v>40</v>
      </c>
      <c r="O41" s="102" t="str">
        <f t="shared" ca="1" si="2"/>
        <v>Seev J</v>
      </c>
      <c r="P41" s="102">
        <f t="shared" ca="1" si="3"/>
        <v>0</v>
      </c>
      <c r="Q41" s="102">
        <f t="shared" ca="1" si="4"/>
        <v>0</v>
      </c>
      <c r="R41" s="102">
        <f t="shared" ca="1" si="5"/>
        <v>0</v>
      </c>
      <c r="S41" s="102">
        <f t="shared" ca="1" si="6"/>
        <v>0</v>
      </c>
      <c r="T41" s="104">
        <f t="shared" ca="1" si="7"/>
        <v>0</v>
      </c>
      <c r="V41" s="54" t="s">
        <v>194</v>
      </c>
    </row>
    <row r="42" spans="1:22" x14ac:dyDescent="0.15">
      <c r="A42" s="54">
        <v>41</v>
      </c>
      <c r="B42" s="54" t="str">
        <f ca="1">OFFSET(Batting!$C$4,BatAves!$I42,0)</f>
        <v>Rugg D</v>
      </c>
      <c r="C42" s="58">
        <f ca="1">OFFSET(Batting!$AK$4,BatAves!$I42,0)</f>
        <v>0</v>
      </c>
      <c r="D42" s="58">
        <f ca="1">OFFSET(Batting!$AM$4,BatAves!$I42,0)</f>
        <v>0</v>
      </c>
      <c r="E42" s="58">
        <f ca="1">OFFSET(Batting!$AN$4,BatAves!$I42,0)</f>
        <v>0</v>
      </c>
      <c r="F42" s="58">
        <f ca="1">OFFSET(Batting!$AP$4,BatAves!$I42,0)</f>
        <v>0</v>
      </c>
      <c r="G42" s="58">
        <f ca="1">OFFSET(Batting!$AQ$4,BatAves!$I42,0)</f>
        <v>0</v>
      </c>
      <c r="H42" s="62">
        <f ca="1">OFFSET(Batting!$AR$4,BatAves!$I42,0)</f>
        <v>0</v>
      </c>
      <c r="I42" s="54">
        <f>MATCH(A42,Batting!$BM$5:$BM$70,0)</f>
        <v>43</v>
      </c>
      <c r="J42" s="54">
        <f t="shared" ca="1" si="10"/>
        <v>1041</v>
      </c>
      <c r="K42" s="54">
        <f t="shared" ca="1" si="8"/>
        <v>41</v>
      </c>
      <c r="L42" s="54" t="str">
        <f t="shared" ca="1" si="11"/>
        <v>Rugg D 0-0-0-0</v>
      </c>
      <c r="M42" s="54">
        <f t="shared" ca="1" si="9"/>
        <v>41</v>
      </c>
      <c r="N42" s="98">
        <v>41</v>
      </c>
      <c r="O42" s="98" t="str">
        <f t="shared" ca="1" si="2"/>
        <v>Rugg D</v>
      </c>
      <c r="P42" s="98">
        <f t="shared" ca="1" si="3"/>
        <v>0</v>
      </c>
      <c r="Q42" s="98">
        <f t="shared" ca="1" si="4"/>
        <v>0</v>
      </c>
      <c r="R42" s="98">
        <f t="shared" ca="1" si="5"/>
        <v>0</v>
      </c>
      <c r="S42" s="98">
        <f t="shared" ca="1" si="6"/>
        <v>0</v>
      </c>
      <c r="T42" s="99">
        <f t="shared" ca="1" si="7"/>
        <v>0</v>
      </c>
      <c r="V42" s="54" t="s">
        <v>194</v>
      </c>
    </row>
    <row r="43" spans="1:22" x14ac:dyDescent="0.15">
      <c r="A43" s="54">
        <v>42</v>
      </c>
      <c r="B43" s="54" t="str">
        <f ca="1">OFFSET(Batting!$C$4,BatAves!$I43,0)</f>
        <v>Roy A</v>
      </c>
      <c r="C43" s="58">
        <f ca="1">OFFSET(Batting!$AK$4,BatAves!$I43,0)</f>
        <v>0</v>
      </c>
      <c r="D43" s="58">
        <f ca="1">OFFSET(Batting!$AM$4,BatAves!$I43,0)</f>
        <v>0</v>
      </c>
      <c r="E43" s="58">
        <f ca="1">OFFSET(Batting!$AN$4,BatAves!$I43,0)</f>
        <v>0</v>
      </c>
      <c r="F43" s="58">
        <f ca="1">OFFSET(Batting!$AP$4,BatAves!$I43,0)</f>
        <v>0</v>
      </c>
      <c r="G43" s="58">
        <f ca="1">OFFSET(Batting!$AQ$4,BatAves!$I43,0)</f>
        <v>0</v>
      </c>
      <c r="H43" s="62">
        <f ca="1">OFFSET(Batting!$AR$4,BatAves!$I43,0)</f>
        <v>0</v>
      </c>
      <c r="I43" s="54">
        <f>MATCH(A43,Batting!$BM$5:$BM$70,0)</f>
        <v>42</v>
      </c>
      <c r="J43" s="54">
        <f t="shared" ca="1" si="10"/>
        <v>1042</v>
      </c>
      <c r="K43" s="54">
        <f t="shared" ca="1" si="8"/>
        <v>42</v>
      </c>
      <c r="L43" s="54" t="str">
        <f t="shared" ca="1" si="11"/>
        <v>Roy A 0-0-0-0</v>
      </c>
      <c r="M43" s="54">
        <f t="shared" ca="1" si="9"/>
        <v>42</v>
      </c>
      <c r="N43" s="98">
        <v>42</v>
      </c>
      <c r="O43" s="98" t="str">
        <f t="shared" ca="1" si="2"/>
        <v>Roy A</v>
      </c>
      <c r="P43" s="98">
        <f t="shared" ca="1" si="3"/>
        <v>0</v>
      </c>
      <c r="Q43" s="98">
        <f t="shared" ca="1" si="4"/>
        <v>0</v>
      </c>
      <c r="R43" s="98">
        <f t="shared" ca="1" si="5"/>
        <v>0</v>
      </c>
      <c r="S43" s="98">
        <f t="shared" ca="1" si="6"/>
        <v>0</v>
      </c>
      <c r="T43" s="99">
        <f t="shared" ca="1" si="7"/>
        <v>0</v>
      </c>
      <c r="V43" s="54" t="s">
        <v>194</v>
      </c>
    </row>
    <row r="44" spans="1:22" x14ac:dyDescent="0.15">
      <c r="A44" s="54">
        <v>43</v>
      </c>
      <c r="B44" s="54" t="str">
        <f ca="1">OFFSET(Batting!$C$4,BatAves!$I44,0)</f>
        <v>Roland ???</v>
      </c>
      <c r="C44" s="58">
        <f ca="1">OFFSET(Batting!$AK$4,BatAves!$I44,0)</f>
        <v>0</v>
      </c>
      <c r="D44" s="58">
        <f ca="1">OFFSET(Batting!$AM$4,BatAves!$I44,0)</f>
        <v>0</v>
      </c>
      <c r="E44" s="58">
        <f ca="1">OFFSET(Batting!$AN$4,BatAves!$I44,0)</f>
        <v>0</v>
      </c>
      <c r="F44" s="58">
        <f ca="1">OFFSET(Batting!$AP$4,BatAves!$I44,0)</f>
        <v>0</v>
      </c>
      <c r="G44" s="58">
        <f ca="1">OFFSET(Batting!$AQ$4,BatAves!$I44,0)</f>
        <v>0</v>
      </c>
      <c r="H44" s="62">
        <f ca="1">OFFSET(Batting!$AR$4,BatAves!$I44,0)</f>
        <v>0</v>
      </c>
      <c r="I44" s="54">
        <f>MATCH(A44,Batting!$BM$5:$BM$70,0)</f>
        <v>41</v>
      </c>
      <c r="J44" s="54">
        <f t="shared" ca="1" si="10"/>
        <v>1043</v>
      </c>
      <c r="K44" s="54">
        <f t="shared" ca="1" si="8"/>
        <v>43</v>
      </c>
      <c r="L44" s="54" t="str">
        <f t="shared" ca="1" si="11"/>
        <v>Roland ??? 0-0-0-0</v>
      </c>
      <c r="V44" s="54" t="s">
        <v>194</v>
      </c>
    </row>
    <row r="45" spans="1:22" x14ac:dyDescent="0.15">
      <c r="A45" s="54">
        <v>44</v>
      </c>
      <c r="B45" s="54" t="str">
        <f ca="1">OFFSET(Batting!$C$4,BatAves!$I45,0)</f>
        <v>Rathi N</v>
      </c>
      <c r="C45" s="58">
        <f ca="1">OFFSET(Batting!$AK$4,BatAves!$I45,0)</f>
        <v>0</v>
      </c>
      <c r="D45" s="58">
        <f ca="1">OFFSET(Batting!$AM$4,BatAves!$I45,0)</f>
        <v>0</v>
      </c>
      <c r="E45" s="58">
        <f ca="1">OFFSET(Batting!$AN$4,BatAves!$I45,0)</f>
        <v>0</v>
      </c>
      <c r="F45" s="58">
        <f ca="1">OFFSET(Batting!$AP$4,BatAves!$I45,0)</f>
        <v>0</v>
      </c>
      <c r="G45" s="58">
        <f ca="1">OFFSET(Batting!$AQ$4,BatAves!$I45,0)</f>
        <v>0</v>
      </c>
      <c r="H45" s="62">
        <f ca="1">OFFSET(Batting!$AR$4,BatAves!$I45,0)</f>
        <v>0</v>
      </c>
      <c r="I45" s="54">
        <f>MATCH(A45,Batting!$BM$5:$BM$70,0)</f>
        <v>40</v>
      </c>
      <c r="J45" s="54">
        <f t="shared" ca="1" si="10"/>
        <v>1044</v>
      </c>
      <c r="K45" s="54">
        <f t="shared" ca="1" si="8"/>
        <v>44</v>
      </c>
      <c r="L45" s="54" t="str">
        <f t="shared" ca="1" si="11"/>
        <v>Rathi N 0-0-0-0</v>
      </c>
      <c r="V45" s="54" t="s">
        <v>194</v>
      </c>
    </row>
    <row r="46" spans="1:22" x14ac:dyDescent="0.15">
      <c r="A46" s="54">
        <v>45</v>
      </c>
      <c r="B46" s="54" t="str">
        <f ca="1">OFFSET(Batting!$C$4,BatAves!$I46,0)</f>
        <v>Patel S</v>
      </c>
      <c r="C46" s="58">
        <f ca="1">OFFSET(Batting!$AK$4,BatAves!$I46,0)</f>
        <v>0</v>
      </c>
      <c r="D46" s="58">
        <f ca="1">OFFSET(Batting!$AM$4,BatAves!$I46,0)</f>
        <v>0</v>
      </c>
      <c r="E46" s="58">
        <f ca="1">OFFSET(Batting!$AN$4,BatAves!$I46,0)</f>
        <v>0</v>
      </c>
      <c r="F46" s="58">
        <f ca="1">OFFSET(Batting!$AP$4,BatAves!$I46,0)</f>
        <v>0</v>
      </c>
      <c r="G46" s="58">
        <f ca="1">OFFSET(Batting!$AQ$4,BatAves!$I46,0)</f>
        <v>0</v>
      </c>
      <c r="H46" s="62">
        <f ca="1">OFFSET(Batting!$AR$4,BatAves!$I46,0)</f>
        <v>0</v>
      </c>
      <c r="I46" s="54">
        <f>MATCH(A46,Batting!$BM$5:$BM$70,0)</f>
        <v>39</v>
      </c>
      <c r="J46" s="54">
        <f t="shared" ca="1" si="10"/>
        <v>1045</v>
      </c>
      <c r="K46" s="54">
        <f t="shared" ca="1" si="8"/>
        <v>45</v>
      </c>
      <c r="L46" s="54" t="str">
        <f t="shared" ca="1" si="11"/>
        <v>Patel S 0-0-0-0</v>
      </c>
      <c r="N46" s="98" t="s">
        <v>194</v>
      </c>
      <c r="V46" s="54" t="s">
        <v>194</v>
      </c>
    </row>
    <row r="47" spans="1:22" x14ac:dyDescent="0.15">
      <c r="A47" s="54">
        <v>46</v>
      </c>
      <c r="B47" s="54" t="str">
        <f ca="1">OFFSET(Batting!$C$4,BatAves!$I47,0)</f>
        <v>O'Rourke</v>
      </c>
      <c r="C47" s="58">
        <f ca="1">OFFSET(Batting!$AK$4,BatAves!$I47,0)</f>
        <v>0</v>
      </c>
      <c r="D47" s="58">
        <f ca="1">OFFSET(Batting!$AM$4,BatAves!$I47,0)</f>
        <v>0</v>
      </c>
      <c r="E47" s="58">
        <f ca="1">OFFSET(Batting!$AN$4,BatAves!$I47,0)</f>
        <v>0</v>
      </c>
      <c r="F47" s="58">
        <f ca="1">OFFSET(Batting!$AP$4,BatAves!$I47,0)</f>
        <v>0</v>
      </c>
      <c r="G47" s="58">
        <f ca="1">OFFSET(Batting!$AQ$4,BatAves!$I47,0)</f>
        <v>0</v>
      </c>
      <c r="H47" s="62">
        <f ca="1">OFFSET(Batting!$AR$4,BatAves!$I47,0)</f>
        <v>0</v>
      </c>
      <c r="I47" s="54">
        <f>MATCH(A47,Batting!$BM$5:$BM$70,0)</f>
        <v>35</v>
      </c>
      <c r="J47" s="54">
        <f t="shared" ca="1" si="10"/>
        <v>1046</v>
      </c>
      <c r="K47" s="54">
        <f t="shared" ca="1" si="8"/>
        <v>46</v>
      </c>
      <c r="L47" s="54" t="str">
        <f t="shared" ca="1" si="11"/>
        <v>O'Rourke 0-0-0-0</v>
      </c>
      <c r="N47" s="98" t="s">
        <v>194</v>
      </c>
      <c r="V47" s="54" t="s">
        <v>194</v>
      </c>
    </row>
    <row r="48" spans="1:22" x14ac:dyDescent="0.15">
      <c r="A48" s="54">
        <v>47</v>
      </c>
      <c r="B48" s="54" t="str">
        <f ca="1">OFFSET(Batting!$C$4,BatAves!$I48,0)</f>
        <v>"Naveed"</v>
      </c>
      <c r="C48" s="58">
        <f ca="1">OFFSET(Batting!$AK$4,BatAves!$I48,0)</f>
        <v>0</v>
      </c>
      <c r="D48" s="58">
        <f ca="1">OFFSET(Batting!$AM$4,BatAves!$I48,0)</f>
        <v>0</v>
      </c>
      <c r="E48" s="58">
        <f ca="1">OFFSET(Batting!$AN$4,BatAves!$I48,0)</f>
        <v>0</v>
      </c>
      <c r="F48" s="58">
        <f ca="1">OFFSET(Batting!$AP$4,BatAves!$I48,0)</f>
        <v>0</v>
      </c>
      <c r="G48" s="58">
        <f ca="1">OFFSET(Batting!$AQ$4,BatAves!$I48,0)</f>
        <v>0</v>
      </c>
      <c r="H48" s="62">
        <f ca="1">OFFSET(Batting!$AR$4,BatAves!$I48,0)</f>
        <v>0</v>
      </c>
      <c r="I48" s="54">
        <f>MATCH(A48,Batting!$BM$5:$BM$70,0)</f>
        <v>32</v>
      </c>
      <c r="J48" s="54">
        <f t="shared" ca="1" si="10"/>
        <v>1047</v>
      </c>
      <c r="K48" s="54">
        <f t="shared" ca="1" si="8"/>
        <v>47</v>
      </c>
      <c r="L48" s="54" t="str">
        <f t="shared" ca="1" si="11"/>
        <v>"Naveed" 0-0-0-0</v>
      </c>
      <c r="N48" s="98" t="s">
        <v>194</v>
      </c>
    </row>
    <row r="49" spans="1:15" x14ac:dyDescent="0.15">
      <c r="A49" s="54">
        <v>48</v>
      </c>
      <c r="B49" s="54" t="str">
        <f ca="1">OFFSET(Batting!$C$4,BatAves!$I49,0)</f>
        <v>Naish J</v>
      </c>
      <c r="C49" s="58">
        <f ca="1">OFFSET(Batting!$AK$4,BatAves!$I49,0)</f>
        <v>0</v>
      </c>
      <c r="D49" s="58">
        <f ca="1">OFFSET(Batting!$AM$4,BatAves!$I49,0)</f>
        <v>0</v>
      </c>
      <c r="E49" s="58">
        <f ca="1">OFFSET(Batting!$AN$4,BatAves!$I49,0)</f>
        <v>0</v>
      </c>
      <c r="F49" s="58">
        <f ca="1">OFFSET(Batting!$AP$4,BatAves!$I49,0)</f>
        <v>0</v>
      </c>
      <c r="G49" s="58">
        <f ca="1">OFFSET(Batting!$AQ$4,BatAves!$I49,0)</f>
        <v>0</v>
      </c>
      <c r="H49" s="62">
        <f ca="1">OFFSET(Batting!$AR$4,BatAves!$I49,0)</f>
        <v>0</v>
      </c>
      <c r="I49" s="54">
        <f>MATCH(A49,Batting!$BM$5:$BM$70,0)</f>
        <v>31</v>
      </c>
      <c r="J49" s="54">
        <f t="shared" ca="1" si="10"/>
        <v>1048</v>
      </c>
      <c r="K49" s="54">
        <f t="shared" ca="1" si="8"/>
        <v>48</v>
      </c>
      <c r="L49" s="54" t="str">
        <f t="shared" ca="1" si="11"/>
        <v>Naish J 0-0-0-0</v>
      </c>
      <c r="N49" s="98" t="s">
        <v>194</v>
      </c>
      <c r="O49" s="100" t="s">
        <v>194</v>
      </c>
    </row>
    <row r="50" spans="1:15" x14ac:dyDescent="0.15">
      <c r="A50" s="54">
        <v>49</v>
      </c>
      <c r="B50" s="54" t="str">
        <f ca="1">OFFSET(Batting!$C$4,BatAves!$I50,0)</f>
        <v>Mander C</v>
      </c>
      <c r="C50" s="58">
        <f ca="1">OFFSET(Batting!$AK$4,BatAves!$I50,0)</f>
        <v>0</v>
      </c>
      <c r="D50" s="58">
        <f ca="1">OFFSET(Batting!$AM$4,BatAves!$I50,0)</f>
        <v>0</v>
      </c>
      <c r="E50" s="58">
        <f ca="1">OFFSET(Batting!$AN$4,BatAves!$I50,0)</f>
        <v>0</v>
      </c>
      <c r="F50" s="58">
        <f ca="1">OFFSET(Batting!$AP$4,BatAves!$I50,0)</f>
        <v>0</v>
      </c>
      <c r="G50" s="58">
        <f ca="1">OFFSET(Batting!$AQ$4,BatAves!$I50,0)</f>
        <v>0</v>
      </c>
      <c r="H50" s="62">
        <f ca="1">OFFSET(Batting!$AR$4,BatAves!$I50,0)</f>
        <v>0</v>
      </c>
      <c r="I50" s="54">
        <f>MATCH(A50,Batting!$BM$5:$BM$70,0)</f>
        <v>28</v>
      </c>
      <c r="J50" s="54">
        <f t="shared" ca="1" si="10"/>
        <v>1049</v>
      </c>
      <c r="K50" s="54">
        <f t="shared" ca="1" si="8"/>
        <v>49</v>
      </c>
      <c r="L50" s="54" t="str">
        <f t="shared" ca="1" si="11"/>
        <v>Mander C 0-0-0-0</v>
      </c>
      <c r="N50" s="98" t="s">
        <v>194</v>
      </c>
      <c r="O50" s="100" t="s">
        <v>194</v>
      </c>
    </row>
    <row r="51" spans="1:15" x14ac:dyDescent="0.15">
      <c r="A51" s="54">
        <v>50</v>
      </c>
      <c r="B51" s="54" t="str">
        <f ca="1">OFFSET(Batting!$C$4,BatAves!$I51,0)</f>
        <v>Mahmood S</v>
      </c>
      <c r="C51" s="58">
        <f ca="1">OFFSET(Batting!$AK$4,BatAves!$I51,0)</f>
        <v>0</v>
      </c>
      <c r="D51" s="58">
        <f ca="1">OFFSET(Batting!$AM$4,BatAves!$I51,0)</f>
        <v>0</v>
      </c>
      <c r="E51" s="58">
        <f ca="1">OFFSET(Batting!$AN$4,BatAves!$I51,0)</f>
        <v>0</v>
      </c>
      <c r="F51" s="58">
        <f ca="1">OFFSET(Batting!$AP$4,BatAves!$I51,0)</f>
        <v>0</v>
      </c>
      <c r="G51" s="58">
        <f ca="1">OFFSET(Batting!$AQ$4,BatAves!$I51,0)</f>
        <v>0</v>
      </c>
      <c r="H51" s="62">
        <f ca="1">OFFSET(Batting!$AR$4,BatAves!$I51,0)</f>
        <v>0</v>
      </c>
      <c r="I51" s="54">
        <f>MATCH(A51,Batting!$BM$5:$BM$70,0)</f>
        <v>25</v>
      </c>
      <c r="J51" s="54">
        <f t="shared" ca="1" si="10"/>
        <v>1050</v>
      </c>
      <c r="K51" s="54">
        <f t="shared" ca="1" si="8"/>
        <v>50</v>
      </c>
      <c r="L51" s="54" t="str">
        <f t="shared" ca="1" si="11"/>
        <v>Mahmood S 0-0-0-0</v>
      </c>
      <c r="N51" s="98" t="s">
        <v>194</v>
      </c>
      <c r="O51" s="100" t="s">
        <v>194</v>
      </c>
    </row>
    <row r="52" spans="1:15" x14ac:dyDescent="0.15">
      <c r="A52" s="54">
        <v>51</v>
      </c>
      <c r="B52" s="54" t="str">
        <f ca="1">OFFSET(Batting!$C$4,BatAves!$I52,0)</f>
        <v>"Luca"</v>
      </c>
      <c r="C52" s="58">
        <f ca="1">OFFSET(Batting!$AK$4,BatAves!$I52,0)</f>
        <v>0</v>
      </c>
      <c r="D52" s="58">
        <f ca="1">OFFSET(Batting!$AM$4,BatAves!$I52,0)</f>
        <v>0</v>
      </c>
      <c r="E52" s="58">
        <f ca="1">OFFSET(Batting!$AN$4,BatAves!$I52,0)</f>
        <v>0</v>
      </c>
      <c r="F52" s="58">
        <f ca="1">OFFSET(Batting!$AP$4,BatAves!$I52,0)</f>
        <v>0</v>
      </c>
      <c r="G52" s="58">
        <f ca="1">OFFSET(Batting!$AQ$4,BatAves!$I52,0)</f>
        <v>0</v>
      </c>
      <c r="H52" s="62">
        <f ca="1">OFFSET(Batting!$AR$4,BatAves!$I52,0)</f>
        <v>0</v>
      </c>
      <c r="I52" s="54">
        <f>MATCH(A52,Batting!$BM$5:$BM$70,0)</f>
        <v>24</v>
      </c>
      <c r="J52" s="54">
        <f t="shared" ca="1" si="10"/>
        <v>1051</v>
      </c>
      <c r="K52" s="54">
        <f t="shared" ca="1" si="8"/>
        <v>51</v>
      </c>
      <c r="L52" s="54" t="str">
        <f t="shared" ca="1" si="11"/>
        <v>"Luca" 0-0-0-0</v>
      </c>
      <c r="N52" s="98" t="s">
        <v>194</v>
      </c>
      <c r="O52" s="100" t="s">
        <v>194</v>
      </c>
    </row>
    <row r="53" spans="1:15" x14ac:dyDescent="0.15">
      <c r="A53" s="54">
        <v>52</v>
      </c>
      <c r="B53" s="54" t="str">
        <f ca="1">OFFSET(Batting!$C$4,BatAves!$I53,0)</f>
        <v>Low-Hughes A</v>
      </c>
      <c r="C53" s="58">
        <f ca="1">OFFSET(Batting!$AK$4,BatAves!$I53,0)</f>
        <v>0</v>
      </c>
      <c r="D53" s="58">
        <f ca="1">OFFSET(Batting!$AM$4,BatAves!$I53,0)</f>
        <v>0</v>
      </c>
      <c r="E53" s="58">
        <f ca="1">OFFSET(Batting!$AN$4,BatAves!$I53,0)</f>
        <v>0</v>
      </c>
      <c r="F53" s="58">
        <f ca="1">OFFSET(Batting!$AP$4,BatAves!$I53,0)</f>
        <v>0</v>
      </c>
      <c r="G53" s="58">
        <f ca="1">OFFSET(Batting!$AQ$4,BatAves!$I53,0)</f>
        <v>0</v>
      </c>
      <c r="H53" s="62">
        <f ca="1">OFFSET(Batting!$AR$4,BatAves!$I53,0)</f>
        <v>0</v>
      </c>
      <c r="I53" s="54">
        <f>MATCH(A53,Batting!$BM$5:$BM$70,0)</f>
        <v>23</v>
      </c>
      <c r="J53" s="54">
        <f t="shared" ca="1" si="10"/>
        <v>1052</v>
      </c>
      <c r="K53" s="54">
        <f t="shared" ca="1" si="8"/>
        <v>52</v>
      </c>
      <c r="L53" s="54" t="str">
        <f t="shared" ca="1" si="11"/>
        <v>Low-Hughes A 0-0-0-0</v>
      </c>
      <c r="N53" s="98" t="s">
        <v>194</v>
      </c>
      <c r="O53" s="100" t="s">
        <v>194</v>
      </c>
    </row>
    <row r="54" spans="1:15" x14ac:dyDescent="0.15">
      <c r="A54" s="54">
        <v>53</v>
      </c>
      <c r="B54" s="54" t="str">
        <f ca="1">OFFSET(Batting!$C$4,BatAves!$I54,0)</f>
        <v>Lindsay B</v>
      </c>
      <c r="C54" s="58">
        <f ca="1">OFFSET(Batting!$AK$4,BatAves!$I54,0)</f>
        <v>0</v>
      </c>
      <c r="D54" s="58">
        <f ca="1">OFFSET(Batting!$AM$4,BatAves!$I54,0)</f>
        <v>0</v>
      </c>
      <c r="E54" s="58">
        <f ca="1">OFFSET(Batting!$AN$4,BatAves!$I54,0)</f>
        <v>0</v>
      </c>
      <c r="F54" s="58">
        <f ca="1">OFFSET(Batting!$AP$4,BatAves!$I54,0)</f>
        <v>0</v>
      </c>
      <c r="G54" s="58">
        <f ca="1">OFFSET(Batting!$AQ$4,BatAves!$I54,0)</f>
        <v>0</v>
      </c>
      <c r="H54" s="62">
        <f ca="1">OFFSET(Batting!$AR$4,BatAves!$I54,0)</f>
        <v>0</v>
      </c>
      <c r="I54" s="54">
        <f>MATCH(A54,Batting!$BM$5:$BM$70,0)</f>
        <v>22</v>
      </c>
      <c r="J54" s="54">
        <f t="shared" ca="1" si="10"/>
        <v>1053</v>
      </c>
      <c r="K54" s="54">
        <f t="shared" ca="1" si="8"/>
        <v>53</v>
      </c>
      <c r="L54" s="54" t="str">
        <f t="shared" ca="1" si="11"/>
        <v>Lindsay B 0-0-0-0</v>
      </c>
      <c r="N54" s="98" t="s">
        <v>194</v>
      </c>
      <c r="O54" s="100" t="s">
        <v>194</v>
      </c>
    </row>
    <row r="55" spans="1:15" x14ac:dyDescent="0.15">
      <c r="A55" s="54">
        <v>54</v>
      </c>
      <c r="B55" s="54" t="str">
        <f ca="1">OFFSET(Batting!$C$4,BatAves!$I55,0)</f>
        <v>Lestrelle A</v>
      </c>
      <c r="C55" s="58">
        <f ca="1">OFFSET(Batting!$AK$4,BatAves!$I55,0)</f>
        <v>0</v>
      </c>
      <c r="D55" s="58">
        <f ca="1">OFFSET(Batting!$AM$4,BatAves!$I55,0)</f>
        <v>0</v>
      </c>
      <c r="E55" s="58">
        <f ca="1">OFFSET(Batting!$AN$4,BatAves!$I55,0)</f>
        <v>0</v>
      </c>
      <c r="F55" s="58">
        <f ca="1">OFFSET(Batting!$AP$4,BatAves!$I55,0)</f>
        <v>0</v>
      </c>
      <c r="G55" s="58">
        <f ca="1">OFFSET(Batting!$AQ$4,BatAves!$I55,0)</f>
        <v>0</v>
      </c>
      <c r="H55" s="62">
        <f ca="1">OFFSET(Batting!$AR$4,BatAves!$I55,0)</f>
        <v>0</v>
      </c>
      <c r="I55" s="54">
        <f>MATCH(A55,Batting!$BM$5:$BM$70,0)</f>
        <v>21</v>
      </c>
      <c r="J55" s="54">
        <f t="shared" ca="1" si="10"/>
        <v>1054</v>
      </c>
      <c r="K55" s="54">
        <f t="shared" ca="1" si="8"/>
        <v>54</v>
      </c>
      <c r="L55" s="54" t="str">
        <f t="shared" ca="1" si="11"/>
        <v>Lestrelle A 0-0-0-0</v>
      </c>
      <c r="N55" s="98" t="s">
        <v>194</v>
      </c>
      <c r="O55" s="100" t="s">
        <v>194</v>
      </c>
    </row>
    <row r="56" spans="1:15" x14ac:dyDescent="0.15">
      <c r="A56" s="54">
        <v>55</v>
      </c>
      <c r="B56" s="54" t="str">
        <f ca="1">OFFSET(Batting!$C$4,BatAves!$I56,0)</f>
        <v>Kiernan M</v>
      </c>
      <c r="C56" s="58">
        <f ca="1">OFFSET(Batting!$AK$4,BatAves!$I56,0)</f>
        <v>0</v>
      </c>
      <c r="D56" s="58">
        <f ca="1">OFFSET(Batting!$AM$4,BatAves!$I56,0)</f>
        <v>0</v>
      </c>
      <c r="E56" s="58">
        <f ca="1">OFFSET(Batting!$AN$4,BatAves!$I56,0)</f>
        <v>0</v>
      </c>
      <c r="F56" s="58">
        <f ca="1">OFFSET(Batting!$AP$4,BatAves!$I56,0)</f>
        <v>0</v>
      </c>
      <c r="G56" s="58">
        <f ca="1">OFFSET(Batting!$AQ$4,BatAves!$I56,0)</f>
        <v>0</v>
      </c>
      <c r="H56" s="62">
        <f ca="1">OFFSET(Batting!$AR$4,BatAves!$I56,0)</f>
        <v>0</v>
      </c>
      <c r="I56" s="54">
        <f>MATCH(A56,Batting!$BM$5:$BM$70,0)</f>
        <v>19</v>
      </c>
      <c r="J56" s="54">
        <f t="shared" ca="1" si="10"/>
        <v>1055</v>
      </c>
      <c r="K56" s="54">
        <f t="shared" ca="1" si="8"/>
        <v>55</v>
      </c>
      <c r="L56" s="54" t="str">
        <f t="shared" ca="1" si="11"/>
        <v>Kiernan M 0-0-0-0</v>
      </c>
      <c r="N56" s="98" t="s">
        <v>194</v>
      </c>
      <c r="O56" s="100" t="s">
        <v>194</v>
      </c>
    </row>
    <row r="57" spans="1:15" x14ac:dyDescent="0.15">
      <c r="A57" s="54">
        <v>56</v>
      </c>
      <c r="B57" s="54" t="str">
        <f ca="1">OFFSET(Batting!$C$4,BatAves!$I57,0)</f>
        <v>Khan A</v>
      </c>
      <c r="C57" s="58">
        <f ca="1">OFFSET(Batting!$AK$4,BatAves!$I57,0)</f>
        <v>0</v>
      </c>
      <c r="D57" s="58">
        <f ca="1">OFFSET(Batting!$AM$4,BatAves!$I57,0)</f>
        <v>0</v>
      </c>
      <c r="E57" s="58">
        <f ca="1">OFFSET(Batting!$AN$4,BatAves!$I57,0)</f>
        <v>0</v>
      </c>
      <c r="F57" s="58">
        <f ca="1">OFFSET(Batting!$AP$4,BatAves!$I57,0)</f>
        <v>0</v>
      </c>
      <c r="G57" s="58">
        <f ca="1">OFFSET(Batting!$AQ$4,BatAves!$I57,0)</f>
        <v>0</v>
      </c>
      <c r="H57" s="62">
        <f ca="1">OFFSET(Batting!$AR$4,BatAves!$I57,0)</f>
        <v>0</v>
      </c>
      <c r="I57" s="54">
        <f>MATCH(A57,Batting!$BM$5:$BM$70,0)</f>
        <v>18</v>
      </c>
      <c r="J57" s="54">
        <f t="shared" ca="1" si="10"/>
        <v>1056</v>
      </c>
      <c r="K57" s="54">
        <f t="shared" ca="1" si="8"/>
        <v>56</v>
      </c>
      <c r="L57" s="54" t="str">
        <f t="shared" ca="1" si="11"/>
        <v>Khan A 0-0-0-0</v>
      </c>
      <c r="O57" s="100" t="s">
        <v>194</v>
      </c>
    </row>
    <row r="58" spans="1:15" x14ac:dyDescent="0.15">
      <c r="A58" s="54">
        <v>57</v>
      </c>
      <c r="B58" s="54" t="str">
        <f ca="1">OFFSET(Batting!$C$4,BatAves!$I58,0)</f>
        <v>Jain A</v>
      </c>
      <c r="C58" s="58">
        <f ca="1">OFFSET(Batting!$AK$4,BatAves!$I58,0)</f>
        <v>0</v>
      </c>
      <c r="D58" s="58">
        <f ca="1">OFFSET(Batting!$AM$4,BatAves!$I58,0)</f>
        <v>0</v>
      </c>
      <c r="E58" s="58">
        <f ca="1">OFFSET(Batting!$AN$4,BatAves!$I58,0)</f>
        <v>0</v>
      </c>
      <c r="F58" s="58">
        <f ca="1">OFFSET(Batting!$AP$4,BatAves!$I58,0)</f>
        <v>0</v>
      </c>
      <c r="G58" s="58">
        <f ca="1">OFFSET(Batting!$AQ$4,BatAves!$I58,0)</f>
        <v>0</v>
      </c>
      <c r="H58" s="62">
        <f ca="1">OFFSET(Batting!$AR$4,BatAves!$I58,0)</f>
        <v>0</v>
      </c>
      <c r="I58" s="54">
        <f>MATCH(A58,Batting!$BM$5:$BM$70,0)</f>
        <v>16</v>
      </c>
      <c r="J58" s="54">
        <f t="shared" ca="1" si="10"/>
        <v>1057</v>
      </c>
      <c r="K58" s="54">
        <f t="shared" ca="1" si="8"/>
        <v>57</v>
      </c>
      <c r="L58" s="54" t="str">
        <f t="shared" ca="1" si="11"/>
        <v>Jain A 0-0-0-0</v>
      </c>
      <c r="O58" s="100" t="s">
        <v>194</v>
      </c>
    </row>
    <row r="59" spans="1:15" x14ac:dyDescent="0.15">
      <c r="A59" s="54">
        <v>58</v>
      </c>
      <c r="B59" s="54" t="str">
        <f ca="1">OFFSET(Batting!$C$4,BatAves!$I59,0)</f>
        <v>Gardezi S</v>
      </c>
      <c r="C59" s="58">
        <f ca="1">OFFSET(Batting!$AK$4,BatAves!$I59,0)</f>
        <v>0</v>
      </c>
      <c r="D59" s="58">
        <f ca="1">OFFSET(Batting!$AM$4,BatAves!$I59,0)</f>
        <v>0</v>
      </c>
      <c r="E59" s="58">
        <f ca="1">OFFSET(Batting!$AN$4,BatAves!$I59,0)</f>
        <v>0</v>
      </c>
      <c r="F59" s="58">
        <f ca="1">OFFSET(Batting!$AP$4,BatAves!$I59,0)</f>
        <v>0</v>
      </c>
      <c r="G59" s="58">
        <f ca="1">OFFSET(Batting!$AQ$4,BatAves!$I59,0)</f>
        <v>0</v>
      </c>
      <c r="H59" s="62">
        <f ca="1">OFFSET(Batting!$AR$4,BatAves!$I59,0)</f>
        <v>0</v>
      </c>
      <c r="I59" s="54">
        <f>MATCH(A59,Batting!$BM$5:$BM$70,0)</f>
        <v>14</v>
      </c>
      <c r="J59" s="54">
        <f t="shared" ca="1" si="10"/>
        <v>1058</v>
      </c>
      <c r="K59" s="54">
        <f t="shared" ca="1" si="8"/>
        <v>58</v>
      </c>
      <c r="L59" s="54" t="str">
        <f t="shared" ca="1" si="11"/>
        <v>Gardezi S 0-0-0-0</v>
      </c>
      <c r="O59" s="100" t="s">
        <v>194</v>
      </c>
    </row>
    <row r="60" spans="1:15" x14ac:dyDescent="0.15">
      <c r="A60" s="54">
        <v>59</v>
      </c>
      <c r="B60" s="54" t="str">
        <f ca="1">OFFSET(Batting!$C$4,BatAves!$I60,0)</f>
        <v>Ffrench R</v>
      </c>
      <c r="C60" s="58">
        <f ca="1">OFFSET(Batting!$AK$4,BatAves!$I60,0)</f>
        <v>0</v>
      </c>
      <c r="D60" s="58">
        <f ca="1">OFFSET(Batting!$AM$4,BatAves!$I60,0)</f>
        <v>0</v>
      </c>
      <c r="E60" s="58">
        <f ca="1">OFFSET(Batting!$AN$4,BatAves!$I60,0)</f>
        <v>0</v>
      </c>
      <c r="F60" s="58">
        <f ca="1">OFFSET(Batting!$AP$4,BatAves!$I60,0)</f>
        <v>0</v>
      </c>
      <c r="G60" s="58">
        <f ca="1">OFFSET(Batting!$AQ$4,BatAves!$I60,0)</f>
        <v>0</v>
      </c>
      <c r="H60" s="62">
        <f ca="1">OFFSET(Batting!$AR$4,BatAves!$I60,0)</f>
        <v>0</v>
      </c>
      <c r="I60" s="54">
        <f>MATCH(A60,Batting!$BM$5:$BM$70,0)</f>
        <v>13</v>
      </c>
      <c r="J60" s="54">
        <f t="shared" ca="1" si="10"/>
        <v>1059</v>
      </c>
      <c r="K60" s="54">
        <f t="shared" ca="1" si="8"/>
        <v>59</v>
      </c>
      <c r="L60" s="54" t="str">
        <f t="shared" ca="1" si="11"/>
        <v>Ffrench R 0-0-0-0</v>
      </c>
      <c r="O60" s="100" t="s">
        <v>194</v>
      </c>
    </row>
    <row r="61" spans="1:15" x14ac:dyDescent="0.15">
      <c r="O61" s="100" t="s">
        <v>194</v>
      </c>
    </row>
    <row r="66" spans="12:12" x14ac:dyDescent="0.15">
      <c r="L66" s="54" t="s">
        <v>194</v>
      </c>
    </row>
    <row r="67" spans="12:12" x14ac:dyDescent="0.15">
      <c r="L67" s="54" t="s">
        <v>194</v>
      </c>
    </row>
    <row r="68" spans="12:12" x14ac:dyDescent="0.15">
      <c r="L68" s="54" t="s">
        <v>194</v>
      </c>
    </row>
    <row r="69" spans="12:12" x14ac:dyDescent="0.15">
      <c r="L69" s="54" t="s">
        <v>194</v>
      </c>
    </row>
    <row r="70" spans="12:12" x14ac:dyDescent="0.15">
      <c r="L70" s="54" t="s">
        <v>194</v>
      </c>
    </row>
    <row r="71" spans="12:12" x14ac:dyDescent="0.15">
      <c r="L71" s="54" t="s">
        <v>194</v>
      </c>
    </row>
    <row r="72" spans="12:12" x14ac:dyDescent="0.15">
      <c r="L72" s="54" t="s">
        <v>194</v>
      </c>
    </row>
    <row r="73" spans="12:12" x14ac:dyDescent="0.15">
      <c r="L73" s="54" t="s">
        <v>194</v>
      </c>
    </row>
    <row r="74" spans="12:12" x14ac:dyDescent="0.15">
      <c r="L74" s="54" t="s">
        <v>194</v>
      </c>
    </row>
    <row r="75" spans="12:12" x14ac:dyDescent="0.15">
      <c r="L75" s="54" t="s">
        <v>194</v>
      </c>
    </row>
    <row r="76" spans="12:12" x14ac:dyDescent="0.15">
      <c r="L76" s="54" t="s">
        <v>194</v>
      </c>
    </row>
    <row r="77" spans="12:12" x14ac:dyDescent="0.15">
      <c r="L77" s="54" t="s">
        <v>194</v>
      </c>
    </row>
    <row r="78" spans="12:12" x14ac:dyDescent="0.15">
      <c r="L78" s="54" t="s">
        <v>194</v>
      </c>
    </row>
    <row r="79" spans="12:12" x14ac:dyDescent="0.15">
      <c r="L79" s="54" t="s">
        <v>194</v>
      </c>
    </row>
    <row r="80" spans="12:12" x14ac:dyDescent="0.15">
      <c r="L80" s="54" t="s">
        <v>194</v>
      </c>
    </row>
    <row r="81" spans="12:12" x14ac:dyDescent="0.15">
      <c r="L81" s="54" t="s">
        <v>194</v>
      </c>
    </row>
    <row r="82" spans="12:12" x14ac:dyDescent="0.15">
      <c r="L82" s="54" t="s">
        <v>194</v>
      </c>
    </row>
  </sheetData>
  <sortState xmlns:xlrd2="http://schemas.microsoft.com/office/spreadsheetml/2017/richdata2" ref="O51:O82">
    <sortCondition ref="O51:O82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D63"/>
  <sheetViews>
    <sheetView workbookViewId="0">
      <selection activeCell="N18" sqref="N18"/>
    </sheetView>
  </sheetViews>
  <sheetFormatPr defaultRowHeight="10.5" x14ac:dyDescent="0.15"/>
  <cols>
    <col min="1" max="1" width="4.42578125" customWidth="1"/>
    <col min="2" max="2" width="3" hidden="1" customWidth="1"/>
    <col min="3" max="3" width="12.5703125" bestFit="1" customWidth="1"/>
    <col min="4" max="4" width="5.85546875" style="120" bestFit="1" customWidth="1"/>
    <col min="5" max="5" width="5.140625" style="121" bestFit="1" customWidth="1"/>
    <col min="6" max="6" width="5" style="121" bestFit="1" customWidth="1"/>
    <col min="7" max="7" width="7.28515625" style="121" bestFit="1" customWidth="1"/>
    <col min="8" max="8" width="7.28515625" style="62" bestFit="1" customWidth="1"/>
    <col min="9" max="9" width="6.5703125" style="123" bestFit="1" customWidth="1"/>
    <col min="10" max="10" width="5.5703125" style="123" bestFit="1" customWidth="1"/>
    <col min="11" max="11" width="4.7109375" style="121" bestFit="1" customWidth="1"/>
    <col min="12" max="12" width="5.28515625" style="121" bestFit="1" customWidth="1"/>
    <col min="13" max="13" width="5.85546875" style="121" bestFit="1" customWidth="1"/>
    <col min="14" max="14" width="23.5703125" bestFit="1" customWidth="1"/>
    <col min="15" max="15" width="9.85546875" bestFit="1" customWidth="1"/>
    <col min="17" max="17" width="10.85546875" bestFit="1" customWidth="1"/>
    <col min="18" max="18" width="13.140625" bestFit="1" customWidth="1"/>
    <col min="22" max="22" width="9.140625" style="47"/>
    <col min="28" max="28" width="19.7109375" customWidth="1"/>
  </cols>
  <sheetData>
    <row r="1" spans="1:30" x14ac:dyDescent="0.15">
      <c r="A1" s="47" t="s">
        <v>132</v>
      </c>
      <c r="D1" s="120" t="s">
        <v>30</v>
      </c>
      <c r="E1" s="121" t="s">
        <v>31</v>
      </c>
      <c r="F1" s="121" t="s">
        <v>9</v>
      </c>
      <c r="G1" s="121" t="s">
        <v>134</v>
      </c>
      <c r="H1" s="61" t="s">
        <v>33</v>
      </c>
      <c r="I1" s="122" t="s">
        <v>34</v>
      </c>
      <c r="J1" s="122" t="s">
        <v>35</v>
      </c>
      <c r="K1" s="60" t="s">
        <v>90</v>
      </c>
      <c r="L1" s="60"/>
      <c r="M1" s="60"/>
      <c r="O1" t="s">
        <v>192</v>
      </c>
      <c r="P1">
        <f t="array" aca="1" ref="P1" ca="1">SUM(IF(NOT(ISNA(C2:C51)),1,0))</f>
        <v>50</v>
      </c>
      <c r="Q1" t="s">
        <v>193</v>
      </c>
      <c r="R1">
        <f t="array" aca="1" ref="R1" ca="1">SUM(IF(OFFSET(G2,0,0,P1,1)&gt;=10,1,0))</f>
        <v>1</v>
      </c>
    </row>
    <row r="2" spans="1:30" x14ac:dyDescent="0.15">
      <c r="A2">
        <v>1</v>
      </c>
      <c r="B2">
        <f>MATCH(A2,Bowling!$AU$5:$AU$54,0)</f>
        <v>39</v>
      </c>
      <c r="C2" t="str">
        <f ca="1">OFFSET(Bowling!$B$4,BowlAves!B2,0)</f>
        <v>Singh R</v>
      </c>
      <c r="D2" s="120">
        <f t="array" aca="1" ref="D2:K2" ca="1">OFFSET(Bowling!$AL$4,BowlAves!B2,0,1,8)</f>
        <v>1</v>
      </c>
      <c r="E2" s="121">
        <f ca="1"/>
        <v>0</v>
      </c>
      <c r="F2" s="121">
        <f ca="1"/>
        <v>8</v>
      </c>
      <c r="G2" s="121">
        <f ca="1"/>
        <v>2</v>
      </c>
      <c r="H2" s="62">
        <f ca="1"/>
        <v>4</v>
      </c>
      <c r="I2" s="123">
        <f ca="1"/>
        <v>3</v>
      </c>
      <c r="J2" s="123">
        <f ca="1"/>
        <v>8</v>
      </c>
      <c r="K2" s="124" t="str">
        <f ca="1"/>
        <v>2-8</v>
      </c>
      <c r="L2" s="124">
        <f ca="1">IF(G2&gt;=10,A2,1000+A2)</f>
        <v>1001</v>
      </c>
      <c r="M2" s="124">
        <f ca="1">RANK(L2,OFFSET($L$2,0,0,$P$1,1),-1)</f>
        <v>2</v>
      </c>
      <c r="N2" t="str">
        <f ca="1">IF(G2&gt;=10,"",C2&amp;" "&amp;D2&amp;"-"&amp;E2&amp;"-"&amp;F2&amp;"-"&amp;G2&amp;", ")</f>
        <v xml:space="preserve">Singh R 1-0-8-2, </v>
      </c>
      <c r="Q2" s="125" t="s">
        <v>76</v>
      </c>
      <c r="R2" s="126" t="s">
        <v>30</v>
      </c>
      <c r="S2" s="126" t="s">
        <v>31</v>
      </c>
      <c r="T2" s="126" t="s">
        <v>9</v>
      </c>
      <c r="U2" s="126" t="s">
        <v>134</v>
      </c>
      <c r="V2" s="126" t="s">
        <v>33</v>
      </c>
      <c r="W2" s="126" t="s">
        <v>34</v>
      </c>
      <c r="X2" s="126" t="s">
        <v>35</v>
      </c>
      <c r="Y2" s="126" t="s">
        <v>90</v>
      </c>
      <c r="Z2" s="126" t="s">
        <v>216</v>
      </c>
      <c r="AC2" t="s">
        <v>318</v>
      </c>
      <c r="AD2">
        <f ca="1">COUNT(D:D)</f>
        <v>50</v>
      </c>
    </row>
    <row r="3" spans="1:30" ht="11.25" x14ac:dyDescent="0.2">
      <c r="A3">
        <v>2</v>
      </c>
      <c r="B3">
        <f>MATCH(A3,Bowling!$AU$5:$AU$54,0)</f>
        <v>34</v>
      </c>
      <c r="C3" t="str">
        <f ca="1">OFFSET(Bowling!$B$4,BowlAves!B3,0)</f>
        <v>Seymour C</v>
      </c>
      <c r="D3" s="120">
        <f t="array" aca="1" ref="D3:K3" ca="1">OFFSET(Bowling!$AL$4,BowlAves!B3,0,1,8)</f>
        <v>4</v>
      </c>
      <c r="E3" s="121">
        <f ca="1"/>
        <v>0</v>
      </c>
      <c r="F3" s="121">
        <f ca="1"/>
        <v>20</v>
      </c>
      <c r="G3" s="121">
        <f ca="1"/>
        <v>3</v>
      </c>
      <c r="H3" s="62">
        <f ca="1"/>
        <v>6.67</v>
      </c>
      <c r="I3" s="123">
        <f ca="1"/>
        <v>8</v>
      </c>
      <c r="J3" s="123">
        <f ca="1"/>
        <v>5</v>
      </c>
      <c r="K3" s="124" t="str">
        <f ca="1"/>
        <v>3-20</v>
      </c>
      <c r="L3" s="124">
        <f t="shared" ref="L3:L51" ca="1" si="0">IF(G3&gt;=10,A3,1000+A3)</f>
        <v>1002</v>
      </c>
      <c r="M3" s="124">
        <f t="shared" ref="M3:M51" ca="1" si="1">RANK(L3,OFFSET($L$2,0,0,$P$1,1),-1)</f>
        <v>3</v>
      </c>
      <c r="N3" t="str">
        <f t="shared" ref="N3:N51" ca="1" si="2">IF(G3&gt;=10,"",C3&amp;" "&amp;D3&amp;"-"&amp;E3&amp;"-"&amp;F3&amp;"-"&amp;G3&amp;", ")</f>
        <v xml:space="preserve">Seymour C 4-0-20-3, </v>
      </c>
      <c r="P3" s="127">
        <v>1</v>
      </c>
      <c r="Q3" s="128" t="str">
        <f t="array" aca="1" ref="Q3:Y3" ca="1">OFFSET($C$2,MATCH(P3,$M$2:$M$51,0)-1,0,1,9)</f>
        <v>Nair S</v>
      </c>
      <c r="R3" s="129">
        <f ca="1"/>
        <v>42</v>
      </c>
      <c r="S3" s="129">
        <f ca="1"/>
        <v>6</v>
      </c>
      <c r="T3" s="129">
        <f ca="1"/>
        <v>153</v>
      </c>
      <c r="U3" s="129">
        <f ca="1"/>
        <v>11</v>
      </c>
      <c r="V3" s="130">
        <f ca="1"/>
        <v>13.91</v>
      </c>
      <c r="W3" s="131">
        <f ca="1"/>
        <v>22.90909090909091</v>
      </c>
      <c r="X3" s="131">
        <f ca="1"/>
        <v>3.6428571428571428</v>
      </c>
      <c r="Y3" s="131" t="str">
        <f ca="1"/>
        <v>3-22</v>
      </c>
      <c r="Z3" s="139">
        <f ca="1">S3/R3</f>
        <v>0.14285714285714285</v>
      </c>
      <c r="AA3" s="139">
        <f ca="1">IF(R3&gt;=20,Z3,"")</f>
        <v>0.14285714285714285</v>
      </c>
      <c r="AC3" t="s">
        <v>321</v>
      </c>
      <c r="AD3">
        <f ca="1">SUMPRODUCT(--(OFFSET(D2,0,0,AD2,1)&gt;0))</f>
        <v>19</v>
      </c>
    </row>
    <row r="4" spans="1:30" ht="11.25" x14ac:dyDescent="0.2">
      <c r="A4">
        <v>3</v>
      </c>
      <c r="B4">
        <f>MATCH(A4,Bowling!$AU$5:$AU$54,0)</f>
        <v>20</v>
      </c>
      <c r="C4" t="str">
        <f ca="1">OFFSET(Bowling!$B$4,BowlAves!B4,0)</f>
        <v>Madan N</v>
      </c>
      <c r="D4" s="120">
        <f t="array" aca="1" ref="D4:K4" ca="1">OFFSET(Bowling!$AL$4,BowlAves!B4,0,1,8)</f>
        <v>7</v>
      </c>
      <c r="E4" s="121">
        <f ca="1"/>
        <v>1</v>
      </c>
      <c r="F4" s="121">
        <f ca="1"/>
        <v>31</v>
      </c>
      <c r="G4" s="121">
        <f ca="1"/>
        <v>3</v>
      </c>
      <c r="H4" s="62">
        <f ca="1"/>
        <v>10.33</v>
      </c>
      <c r="I4" s="123">
        <f ca="1"/>
        <v>14</v>
      </c>
      <c r="J4" s="123">
        <f ca="1"/>
        <v>4.4285714285714288</v>
      </c>
      <c r="K4" s="124" t="str">
        <f ca="1"/>
        <v>3-31</v>
      </c>
      <c r="L4" s="124">
        <f t="shared" ca="1" si="0"/>
        <v>1003</v>
      </c>
      <c r="M4" s="124">
        <f t="shared" ca="1" si="1"/>
        <v>4</v>
      </c>
      <c r="N4" t="str">
        <f t="shared" ca="1" si="2"/>
        <v xml:space="preserve">Madan N 7-1-31-3, </v>
      </c>
      <c r="P4" s="127">
        <v>2</v>
      </c>
      <c r="Q4" s="128" t="str">
        <f t="array" aca="1" ref="Q4:Y4" ca="1">OFFSET($C$2,MATCH(P4,$M$2:$M$51,0)-1,0,1,9)</f>
        <v>Singh R</v>
      </c>
      <c r="R4" s="129">
        <f ca="1"/>
        <v>1</v>
      </c>
      <c r="S4" s="129">
        <f ca="1"/>
        <v>0</v>
      </c>
      <c r="T4" s="129">
        <f ca="1"/>
        <v>8</v>
      </c>
      <c r="U4" s="129">
        <f ca="1"/>
        <v>2</v>
      </c>
      <c r="V4" s="130">
        <f ca="1"/>
        <v>4</v>
      </c>
      <c r="W4" s="131">
        <f ca="1"/>
        <v>3</v>
      </c>
      <c r="X4" s="131">
        <f ca="1"/>
        <v>8</v>
      </c>
      <c r="Y4" s="131" t="str">
        <f ca="1"/>
        <v>2-8</v>
      </c>
      <c r="Z4" s="139">
        <f t="shared" ref="Z4:Z25" ca="1" si="3">S4/R4</f>
        <v>0</v>
      </c>
      <c r="AA4" s="139" t="str">
        <f t="shared" ref="AA4:AA25" ca="1" si="4">IF(R4&gt;=20,Z4,"")</f>
        <v/>
      </c>
      <c r="AC4" t="s">
        <v>317</v>
      </c>
      <c r="AD4">
        <f ca="1">SUMPRODUCT(--(OFFSET(U3,0,0,AD3,1)&gt;=10))</f>
        <v>1</v>
      </c>
    </row>
    <row r="5" spans="1:30" ht="11.25" x14ac:dyDescent="0.2">
      <c r="A5">
        <v>4</v>
      </c>
      <c r="B5">
        <f>MATCH(A5,Bowling!$AU$5:$AU$54,0)</f>
        <v>44</v>
      </c>
      <c r="C5" t="str">
        <f ca="1">OFFSET(Bowling!$B$4,BowlAves!B5,0)</f>
        <v>"Suthan"</v>
      </c>
      <c r="D5" s="120">
        <f t="array" aca="1" ref="D5:K5" ca="1">OFFSET(Bowling!$AL$4,BowlAves!B5,0,1,8)</f>
        <v>21</v>
      </c>
      <c r="E5" s="121">
        <f ca="1"/>
        <v>1</v>
      </c>
      <c r="F5" s="121">
        <f ca="1"/>
        <v>73</v>
      </c>
      <c r="G5" s="121">
        <f ca="1"/>
        <v>6</v>
      </c>
      <c r="H5" s="62">
        <f ca="1"/>
        <v>12.17</v>
      </c>
      <c r="I5" s="123">
        <f ca="1"/>
        <v>21</v>
      </c>
      <c r="J5" s="123">
        <f ca="1"/>
        <v>3.4761904761904763</v>
      </c>
      <c r="K5" s="124" t="str">
        <f ca="1"/>
        <v>3-13</v>
      </c>
      <c r="L5" s="124">
        <f t="shared" ca="1" si="0"/>
        <v>1004</v>
      </c>
      <c r="M5" s="124">
        <f t="shared" ca="1" si="1"/>
        <v>5</v>
      </c>
      <c r="N5" t="str">
        <f t="shared" ca="1" si="2"/>
        <v xml:space="preserve">"Suthan" 21-1-73-6, </v>
      </c>
      <c r="P5" s="127">
        <v>3</v>
      </c>
      <c r="Q5" s="128" t="str">
        <f t="array" aca="1" ref="Q5:Y5" ca="1">OFFSET($C$2,MATCH(P5,$M$2:$M$51,0)-1,0,1,9)</f>
        <v>Seymour C</v>
      </c>
      <c r="R5" s="129">
        <f ca="1"/>
        <v>4</v>
      </c>
      <c r="S5" s="129">
        <f ca="1"/>
        <v>0</v>
      </c>
      <c r="T5" s="129">
        <f ca="1"/>
        <v>20</v>
      </c>
      <c r="U5" s="129">
        <f ca="1"/>
        <v>3</v>
      </c>
      <c r="V5" s="130">
        <f ca="1"/>
        <v>6.67</v>
      </c>
      <c r="W5" s="131">
        <f ca="1"/>
        <v>8</v>
      </c>
      <c r="X5" s="131">
        <f ca="1"/>
        <v>5</v>
      </c>
      <c r="Y5" s="131" t="str">
        <f ca="1"/>
        <v>3-20</v>
      </c>
      <c r="Z5" s="139">
        <f t="shared" ca="1" si="3"/>
        <v>0</v>
      </c>
      <c r="AA5" s="139" t="str">
        <f t="shared" ca="1" si="4"/>
        <v/>
      </c>
    </row>
    <row r="6" spans="1:30" ht="11.25" x14ac:dyDescent="0.2">
      <c r="A6">
        <v>5</v>
      </c>
      <c r="B6">
        <f>MATCH(A6,Bowling!$AU$5:$AU$54,0)</f>
        <v>26</v>
      </c>
      <c r="C6" t="str">
        <f ca="1">OFFSET(Bowling!$B$4,BowlAves!B6,0)</f>
        <v>Patel J</v>
      </c>
      <c r="D6" s="120">
        <f t="array" aca="1" ref="D6:K6" ca="1">OFFSET(Bowling!$AL$4,BowlAves!B6,0,1,8)</f>
        <v>8</v>
      </c>
      <c r="E6" s="121">
        <f ca="1"/>
        <v>1</v>
      </c>
      <c r="F6" s="121">
        <f ca="1"/>
        <v>49</v>
      </c>
      <c r="G6" s="121">
        <f ca="1"/>
        <v>4</v>
      </c>
      <c r="H6" s="62">
        <f ca="1"/>
        <v>12.25</v>
      </c>
      <c r="I6" s="123">
        <f ca="1"/>
        <v>12</v>
      </c>
      <c r="J6" s="123">
        <f ca="1"/>
        <v>6.125</v>
      </c>
      <c r="K6" s="124" t="str">
        <f ca="1"/>
        <v>3-17</v>
      </c>
      <c r="L6" s="124">
        <f t="shared" ca="1" si="0"/>
        <v>1005</v>
      </c>
      <c r="M6" s="124">
        <f t="shared" ca="1" si="1"/>
        <v>6</v>
      </c>
      <c r="N6" t="str">
        <f t="shared" ca="1" si="2"/>
        <v xml:space="preserve">Patel J 8-1-49-4, </v>
      </c>
      <c r="P6" s="127">
        <v>4</v>
      </c>
      <c r="Q6" s="128" t="str">
        <f t="array" aca="1" ref="Q6:Y6" ca="1">OFFSET($C$2,MATCH(P6,$M$2:$M$51,0)-1,0,1,9)</f>
        <v>Madan N</v>
      </c>
      <c r="R6" s="129">
        <f ca="1"/>
        <v>7</v>
      </c>
      <c r="S6" s="129">
        <f ca="1"/>
        <v>1</v>
      </c>
      <c r="T6" s="129">
        <f ca="1"/>
        <v>31</v>
      </c>
      <c r="U6" s="129">
        <f ca="1"/>
        <v>3</v>
      </c>
      <c r="V6" s="130">
        <f ca="1"/>
        <v>10.33</v>
      </c>
      <c r="W6" s="131">
        <f ca="1"/>
        <v>14</v>
      </c>
      <c r="X6" s="131">
        <f ca="1"/>
        <v>4.4285714285714288</v>
      </c>
      <c r="Y6" s="131" t="str">
        <f ca="1"/>
        <v>3-31</v>
      </c>
      <c r="Z6" s="139">
        <f t="shared" ca="1" si="3"/>
        <v>0.14285714285714285</v>
      </c>
      <c r="AA6" s="139" t="str">
        <f t="shared" ca="1" si="4"/>
        <v/>
      </c>
    </row>
    <row r="7" spans="1:30" ht="11.25" x14ac:dyDescent="0.2">
      <c r="A7">
        <v>6</v>
      </c>
      <c r="B7">
        <f>MATCH(A7,Bowling!$AU$5:$AU$54,0)</f>
        <v>3</v>
      </c>
      <c r="C7" t="str">
        <f ca="1">OFFSET(Bowling!$B$4,BowlAves!B7,0)</f>
        <v>Bowers M</v>
      </c>
      <c r="D7" s="120">
        <f t="array" aca="1" ref="D7:K7" ca="1">OFFSET(Bowling!$AL$4,BowlAves!B7,0,1,8)</f>
        <v>4</v>
      </c>
      <c r="E7" s="121">
        <f ca="1"/>
        <v>0</v>
      </c>
      <c r="F7" s="121">
        <f ca="1"/>
        <v>25</v>
      </c>
      <c r="G7" s="121">
        <f ca="1"/>
        <v>2</v>
      </c>
      <c r="H7" s="62">
        <f ca="1"/>
        <v>12.5</v>
      </c>
      <c r="I7" s="123">
        <f ca="1"/>
        <v>12</v>
      </c>
      <c r="J7" s="123">
        <f ca="1"/>
        <v>6.25</v>
      </c>
      <c r="K7" s="124" t="str">
        <f ca="1"/>
        <v>2-25</v>
      </c>
      <c r="L7" s="124">
        <f t="shared" ca="1" si="0"/>
        <v>1006</v>
      </c>
      <c r="M7" s="124">
        <f t="shared" ca="1" si="1"/>
        <v>7</v>
      </c>
      <c r="N7" t="str">
        <f t="shared" ca="1" si="2"/>
        <v xml:space="preserve">Bowers M 4-0-25-2, </v>
      </c>
      <c r="P7" s="127">
        <v>5</v>
      </c>
      <c r="Q7" s="128" t="str">
        <f t="array" aca="1" ref="Q7:Y7" ca="1">OFFSET($C$2,MATCH(P7,$M$2:$M$51,0)-1,0,1,9)</f>
        <v>"Suthan"</v>
      </c>
      <c r="R7" s="129">
        <f ca="1"/>
        <v>21</v>
      </c>
      <c r="S7" s="129">
        <f ca="1"/>
        <v>1</v>
      </c>
      <c r="T7" s="129">
        <f ca="1"/>
        <v>73</v>
      </c>
      <c r="U7" s="129">
        <f ca="1"/>
        <v>6</v>
      </c>
      <c r="V7" s="130">
        <f ca="1"/>
        <v>12.17</v>
      </c>
      <c r="W7" s="131">
        <f ca="1"/>
        <v>21</v>
      </c>
      <c r="X7" s="131">
        <f ca="1"/>
        <v>3.4761904761904763</v>
      </c>
      <c r="Y7" s="131" t="str">
        <f ca="1"/>
        <v>3-13</v>
      </c>
      <c r="Z7" s="139">
        <f t="shared" ca="1" si="3"/>
        <v>4.7619047619047616E-2</v>
      </c>
      <c r="AA7" s="139">
        <f t="shared" ca="1" si="4"/>
        <v>4.7619047619047616E-2</v>
      </c>
    </row>
    <row r="8" spans="1:30" ht="11.25" x14ac:dyDescent="0.2">
      <c r="A8">
        <v>7</v>
      </c>
      <c r="B8">
        <f>MATCH(A8,Bowling!$AU$5:$AU$54,0)</f>
        <v>1</v>
      </c>
      <c r="C8" t="str">
        <f ca="1">OFFSET(Bowling!$B$4,BowlAves!B8,0)</f>
        <v>Ahmed M</v>
      </c>
      <c r="D8" s="120">
        <f t="array" aca="1" ref="D8:K8" ca="1">OFFSET(Bowling!$AL$4,BowlAves!B8,0,1,8)</f>
        <v>8.4</v>
      </c>
      <c r="E8" s="121">
        <f ca="1"/>
        <v>2</v>
      </c>
      <c r="F8" s="121">
        <f ca="1"/>
        <v>39</v>
      </c>
      <c r="G8" s="121">
        <f ca="1"/>
        <v>3</v>
      </c>
      <c r="H8" s="62">
        <f ca="1"/>
        <v>13</v>
      </c>
      <c r="I8" s="123">
        <f ca="1"/>
        <v>17.333333333333332</v>
      </c>
      <c r="J8" s="123">
        <f ca="1"/>
        <v>4.5</v>
      </c>
      <c r="K8" s="124" t="str">
        <f ca="1"/>
        <v>3-29</v>
      </c>
      <c r="L8" s="124">
        <f t="shared" ca="1" si="0"/>
        <v>1007</v>
      </c>
      <c r="M8" s="124">
        <f t="shared" ca="1" si="1"/>
        <v>8</v>
      </c>
      <c r="N8" t="str">
        <f t="shared" ca="1" si="2"/>
        <v xml:space="preserve">Ahmed M 8.4-2-39-3, </v>
      </c>
      <c r="P8" s="127">
        <v>6</v>
      </c>
      <c r="Q8" s="128" t="str">
        <f t="array" aca="1" ref="Q8:Y8" ca="1">OFFSET($C$2,MATCH(P8,$M$2:$M$51,0)-1,0,1,9)</f>
        <v>Patel J</v>
      </c>
      <c r="R8" s="129">
        <f ca="1"/>
        <v>8</v>
      </c>
      <c r="S8" s="129">
        <f ca="1"/>
        <v>1</v>
      </c>
      <c r="T8" s="129">
        <f ca="1"/>
        <v>49</v>
      </c>
      <c r="U8" s="129">
        <f ca="1"/>
        <v>4</v>
      </c>
      <c r="V8" s="130">
        <f ca="1"/>
        <v>12.25</v>
      </c>
      <c r="W8" s="131">
        <f ca="1"/>
        <v>12</v>
      </c>
      <c r="X8" s="131">
        <f ca="1"/>
        <v>6.125</v>
      </c>
      <c r="Y8" s="131" t="str">
        <f ca="1"/>
        <v>3-17</v>
      </c>
      <c r="Z8" s="139">
        <f t="shared" ca="1" si="3"/>
        <v>0.125</v>
      </c>
      <c r="AA8" s="139" t="str">
        <f t="shared" ca="1" si="4"/>
        <v/>
      </c>
    </row>
    <row r="9" spans="1:30" ht="11.25" x14ac:dyDescent="0.2">
      <c r="A9">
        <v>8</v>
      </c>
      <c r="B9">
        <f>MATCH(A9,Bowling!$AU$5:$AU$54,0)</f>
        <v>23</v>
      </c>
      <c r="C9" t="str">
        <f ca="1">OFFSET(Bowling!$B$4,BowlAves!B9,0)</f>
        <v>Nair S</v>
      </c>
      <c r="D9" s="120">
        <f t="array" aca="1" ref="D9:K9" ca="1">OFFSET(Bowling!$AL$4,BowlAves!B9,0,1,8)</f>
        <v>42</v>
      </c>
      <c r="E9" s="121">
        <f ca="1"/>
        <v>6</v>
      </c>
      <c r="F9" s="121">
        <f ca="1"/>
        <v>153</v>
      </c>
      <c r="G9" s="121">
        <f ca="1"/>
        <v>11</v>
      </c>
      <c r="H9" s="62">
        <f ca="1"/>
        <v>13.91</v>
      </c>
      <c r="I9" s="123">
        <f ca="1"/>
        <v>22.90909090909091</v>
      </c>
      <c r="J9" s="123">
        <f ca="1"/>
        <v>3.6428571428571428</v>
      </c>
      <c r="K9" s="124" t="str">
        <f ca="1"/>
        <v>3-22</v>
      </c>
      <c r="L9" s="124">
        <f t="shared" ca="1" si="0"/>
        <v>8</v>
      </c>
      <c r="M9" s="124">
        <f t="shared" ca="1" si="1"/>
        <v>1</v>
      </c>
      <c r="N9" t="str">
        <f t="shared" ca="1" si="2"/>
        <v/>
      </c>
      <c r="P9" s="127">
        <v>7</v>
      </c>
      <c r="Q9" s="128" t="str">
        <f t="array" aca="1" ref="Q9:Y9" ca="1">OFFSET($C$2,MATCH(P9,$M$2:$M$51,0)-1,0,1,9)</f>
        <v>Bowers M</v>
      </c>
      <c r="R9" s="129">
        <f ca="1"/>
        <v>4</v>
      </c>
      <c r="S9" s="129">
        <f ca="1"/>
        <v>0</v>
      </c>
      <c r="T9" s="129">
        <f ca="1"/>
        <v>25</v>
      </c>
      <c r="U9" s="129">
        <f ca="1"/>
        <v>2</v>
      </c>
      <c r="V9" s="130">
        <f ca="1"/>
        <v>12.5</v>
      </c>
      <c r="W9" s="131">
        <f ca="1"/>
        <v>12</v>
      </c>
      <c r="X9" s="131">
        <f ca="1"/>
        <v>6.25</v>
      </c>
      <c r="Y9" s="131" t="str">
        <f ca="1"/>
        <v>2-25</v>
      </c>
      <c r="Z9" s="139">
        <f t="shared" ca="1" si="3"/>
        <v>0</v>
      </c>
      <c r="AA9" s="139" t="str">
        <f t="shared" ca="1" si="4"/>
        <v/>
      </c>
    </row>
    <row r="10" spans="1:30" ht="11.25" x14ac:dyDescent="0.2">
      <c r="A10">
        <v>9</v>
      </c>
      <c r="B10">
        <f>MATCH(A10,Bowling!$AU$5:$AU$54,0)</f>
        <v>42</v>
      </c>
      <c r="C10" t="str">
        <f ca="1">OFFSET(Bowling!$B$4,BowlAves!B10,0)</f>
        <v>Springer T</v>
      </c>
      <c r="D10" s="120">
        <f t="array" aca="1" ref="D10:K10" ca="1">OFFSET(Bowling!$AL$4,BowlAves!B10,0,1,8)</f>
        <v>18.399999999999999</v>
      </c>
      <c r="E10" s="121">
        <f ca="1"/>
        <v>1</v>
      </c>
      <c r="F10" s="121">
        <f ca="1"/>
        <v>86</v>
      </c>
      <c r="G10" s="121">
        <f ca="1"/>
        <v>6</v>
      </c>
      <c r="H10" s="62">
        <f ca="1"/>
        <v>14.33</v>
      </c>
      <c r="I10" s="123">
        <f ca="1"/>
        <v>18.666666666666668</v>
      </c>
      <c r="J10" s="123">
        <f ca="1"/>
        <v>4.6071428571428568</v>
      </c>
      <c r="K10" s="124" t="str">
        <f ca="1"/>
        <v>3-4</v>
      </c>
      <c r="L10" s="124">
        <f t="shared" ca="1" si="0"/>
        <v>1009</v>
      </c>
      <c r="M10" s="124">
        <f t="shared" ca="1" si="1"/>
        <v>9</v>
      </c>
      <c r="N10" t="str">
        <f t="shared" ca="1" si="2"/>
        <v xml:space="preserve">Springer T 18.4-1-86-6, </v>
      </c>
      <c r="P10" s="127">
        <v>8</v>
      </c>
      <c r="Q10" s="128" t="str">
        <f t="array" aca="1" ref="Q10:Y10" ca="1">OFFSET($C$2,MATCH(P10,$M$2:$M$51,0)-1,0,1,9)</f>
        <v>Ahmed M</v>
      </c>
      <c r="R10" s="129">
        <f ca="1"/>
        <v>8.4</v>
      </c>
      <c r="S10" s="129">
        <f ca="1"/>
        <v>2</v>
      </c>
      <c r="T10" s="129">
        <f ca="1"/>
        <v>39</v>
      </c>
      <c r="U10" s="129">
        <f ca="1"/>
        <v>3</v>
      </c>
      <c r="V10" s="130">
        <f ca="1"/>
        <v>13</v>
      </c>
      <c r="W10" s="131">
        <f ca="1"/>
        <v>17.333333333333332</v>
      </c>
      <c r="X10" s="131">
        <f ca="1"/>
        <v>4.5</v>
      </c>
      <c r="Y10" s="131" t="str">
        <f ca="1"/>
        <v>3-29</v>
      </c>
      <c r="Z10" s="139">
        <f t="shared" ca="1" si="3"/>
        <v>0.23809523809523808</v>
      </c>
      <c r="AA10" s="139" t="str">
        <f t="shared" ca="1" si="4"/>
        <v/>
      </c>
    </row>
    <row r="11" spans="1:30" ht="11.25" x14ac:dyDescent="0.2">
      <c r="A11">
        <v>10</v>
      </c>
      <c r="B11">
        <f>MATCH(A11,Bowling!$AU$5:$AU$54,0)</f>
        <v>2</v>
      </c>
      <c r="C11" t="str">
        <f ca="1">OFFSET(Bowling!$B$4,BowlAves!B11,0)</f>
        <v>Bhatt P</v>
      </c>
      <c r="D11" s="120">
        <f t="array" aca="1" ref="D11:K11" ca="1">OFFSET(Bowling!$AL$4,BowlAves!B11,0,1,8)</f>
        <v>39.4</v>
      </c>
      <c r="E11" s="121">
        <f ca="1"/>
        <v>4</v>
      </c>
      <c r="F11" s="121">
        <f ca="1"/>
        <v>132</v>
      </c>
      <c r="G11" s="121">
        <f ca="1"/>
        <v>8</v>
      </c>
      <c r="H11" s="62">
        <f ca="1"/>
        <v>16.5</v>
      </c>
      <c r="I11" s="123">
        <f ca="1"/>
        <v>29.75</v>
      </c>
      <c r="J11" s="123">
        <f ca="1"/>
        <v>3.327731092436975</v>
      </c>
      <c r="K11" s="124" t="str">
        <f ca="1"/>
        <v>3-15</v>
      </c>
      <c r="L11" s="124">
        <f t="shared" ca="1" si="0"/>
        <v>1010</v>
      </c>
      <c r="M11" s="124">
        <f t="shared" ca="1" si="1"/>
        <v>10</v>
      </c>
      <c r="N11" t="str">
        <f t="shared" ca="1" si="2"/>
        <v xml:space="preserve">Bhatt P 39.4-4-132-8, </v>
      </c>
      <c r="P11" s="127">
        <v>9</v>
      </c>
      <c r="Q11" s="128" t="str">
        <f t="array" aca="1" ref="Q11:Y11" ca="1">OFFSET($C$2,MATCH(P11,$M$2:$M$51,0)-1,0,1,9)</f>
        <v>Springer T</v>
      </c>
      <c r="R11" s="129">
        <f ca="1"/>
        <v>18.399999999999999</v>
      </c>
      <c r="S11" s="129">
        <f ca="1"/>
        <v>1</v>
      </c>
      <c r="T11" s="129">
        <f ca="1"/>
        <v>86</v>
      </c>
      <c r="U11" s="129">
        <f ca="1"/>
        <v>6</v>
      </c>
      <c r="V11" s="130">
        <f ca="1"/>
        <v>14.33</v>
      </c>
      <c r="W11" s="131">
        <f ca="1"/>
        <v>18.666666666666668</v>
      </c>
      <c r="X11" s="131">
        <f ca="1"/>
        <v>4.6071428571428568</v>
      </c>
      <c r="Y11" s="131" t="str">
        <f ca="1"/>
        <v>3-4</v>
      </c>
      <c r="Z11" s="139">
        <f t="shared" ca="1" si="3"/>
        <v>5.4347826086956527E-2</v>
      </c>
      <c r="AA11" s="139" t="str">
        <f t="shared" ca="1" si="4"/>
        <v/>
      </c>
    </row>
    <row r="12" spans="1:30" ht="11.25" x14ac:dyDescent="0.2">
      <c r="A12">
        <v>11</v>
      </c>
      <c r="B12">
        <f>MATCH(A12,Bowling!$AU$5:$AU$54,0)</f>
        <v>25</v>
      </c>
      <c r="C12" t="str">
        <f ca="1">OFFSET(Bowling!$B$4,BowlAves!B12,0)</f>
        <v>Parboo R</v>
      </c>
      <c r="D12" s="120">
        <f t="array" aca="1" ref="D12:K12" ca="1">OFFSET(Bowling!$AL$4,BowlAves!B12,0,1,8)</f>
        <v>18</v>
      </c>
      <c r="E12" s="121">
        <f ca="1"/>
        <v>4</v>
      </c>
      <c r="F12" s="121">
        <f ca="1"/>
        <v>67</v>
      </c>
      <c r="G12" s="121">
        <f ca="1"/>
        <v>4</v>
      </c>
      <c r="H12" s="62">
        <f ca="1"/>
        <v>16.75</v>
      </c>
      <c r="I12" s="123">
        <f ca="1"/>
        <v>27</v>
      </c>
      <c r="J12" s="123">
        <f ca="1"/>
        <v>3.7222222222222223</v>
      </c>
      <c r="K12" s="124" t="str">
        <f ca="1"/>
        <v>3-14</v>
      </c>
      <c r="L12" s="124">
        <f t="shared" ca="1" si="0"/>
        <v>1011</v>
      </c>
      <c r="M12" s="124">
        <f t="shared" ca="1" si="1"/>
        <v>11</v>
      </c>
      <c r="N12" t="str">
        <f t="shared" ca="1" si="2"/>
        <v xml:space="preserve">Parboo R 18-4-67-4, </v>
      </c>
      <c r="P12" s="127">
        <v>10</v>
      </c>
      <c r="Q12" s="128" t="str">
        <f t="array" aca="1" ref="Q12:Y12" ca="1">OFFSET($C$2,MATCH(P12,$M$2:$M$51,0)-1,0,1,9)</f>
        <v>Bhatt P</v>
      </c>
      <c r="R12" s="129">
        <f ca="1"/>
        <v>39.4</v>
      </c>
      <c r="S12" s="129">
        <f ca="1"/>
        <v>4</v>
      </c>
      <c r="T12" s="129">
        <f ca="1"/>
        <v>132</v>
      </c>
      <c r="U12" s="129">
        <f ca="1"/>
        <v>8</v>
      </c>
      <c r="V12" s="130">
        <f ca="1"/>
        <v>16.5</v>
      </c>
      <c r="W12" s="131">
        <f ca="1"/>
        <v>29.75</v>
      </c>
      <c r="X12" s="131">
        <f ca="1"/>
        <v>3.327731092436975</v>
      </c>
      <c r="Y12" s="131" t="str">
        <f ca="1"/>
        <v>3-15</v>
      </c>
      <c r="Z12" s="139">
        <f t="shared" ca="1" si="3"/>
        <v>0.10152284263959391</v>
      </c>
      <c r="AA12" s="139">
        <f t="shared" ca="1" si="4"/>
        <v>0.10152284263959391</v>
      </c>
    </row>
    <row r="13" spans="1:30" ht="11.25" x14ac:dyDescent="0.2">
      <c r="A13">
        <v>12</v>
      </c>
      <c r="B13">
        <f>MATCH(A13,Bowling!$AU$5:$AU$54,0)</f>
        <v>19</v>
      </c>
      <c r="C13" t="str">
        <f ca="1">OFFSET(Bowling!$B$4,BowlAves!B13,0)</f>
        <v>Kogulathasan D</v>
      </c>
      <c r="D13" s="120">
        <f t="array" aca="1" ref="D13:K13" ca="1">OFFSET(Bowling!$AL$4,BowlAves!B13,0,1,8)</f>
        <v>19</v>
      </c>
      <c r="E13" s="121">
        <f ca="1"/>
        <v>3</v>
      </c>
      <c r="F13" s="121">
        <f ca="1"/>
        <v>66</v>
      </c>
      <c r="G13" s="121">
        <f ca="1"/>
        <v>3</v>
      </c>
      <c r="H13" s="62">
        <f ca="1"/>
        <v>22</v>
      </c>
      <c r="I13" s="123">
        <f ca="1"/>
        <v>38</v>
      </c>
      <c r="J13" s="123">
        <f ca="1"/>
        <v>3.4736842105263159</v>
      </c>
      <c r="K13" s="124" t="str">
        <f ca="1"/>
        <v>3-24</v>
      </c>
      <c r="L13" s="124">
        <f t="shared" ca="1" si="0"/>
        <v>1012</v>
      </c>
      <c r="M13" s="124">
        <f t="shared" ca="1" si="1"/>
        <v>12</v>
      </c>
      <c r="N13" t="str">
        <f t="shared" ca="1" si="2"/>
        <v xml:space="preserve">Kogulathasan D 19-3-66-3, </v>
      </c>
      <c r="P13" s="127">
        <v>11</v>
      </c>
      <c r="Q13" s="128" t="str">
        <f t="array" aca="1" ref="Q13:Y13" ca="1">OFFSET($C$2,MATCH(P13,$M$2:$M$51,0)-1,0,1,9)</f>
        <v>Parboo R</v>
      </c>
      <c r="R13" s="129">
        <f ca="1"/>
        <v>18</v>
      </c>
      <c r="S13" s="129">
        <f ca="1"/>
        <v>4</v>
      </c>
      <c r="T13" s="129">
        <f ca="1"/>
        <v>67</v>
      </c>
      <c r="U13" s="129">
        <f ca="1"/>
        <v>4</v>
      </c>
      <c r="V13" s="130">
        <f ca="1"/>
        <v>16.75</v>
      </c>
      <c r="W13" s="131">
        <f ca="1"/>
        <v>27</v>
      </c>
      <c r="X13" s="131">
        <f ca="1"/>
        <v>3.7222222222222223</v>
      </c>
      <c r="Y13" s="131" t="str">
        <f ca="1"/>
        <v>3-14</v>
      </c>
      <c r="Z13" s="139">
        <f t="shared" ca="1" si="3"/>
        <v>0.22222222222222221</v>
      </c>
      <c r="AA13" s="139" t="str">
        <f t="shared" ca="1" si="4"/>
        <v/>
      </c>
    </row>
    <row r="14" spans="1:30" ht="11.25" x14ac:dyDescent="0.2">
      <c r="A14">
        <v>13</v>
      </c>
      <c r="B14">
        <f>MATCH(A14,Bowling!$AU$5:$AU$54,0)</f>
        <v>21</v>
      </c>
      <c r="C14" t="str">
        <f ca="1">OFFSET(Bowling!$B$4,BowlAves!B14,0)</f>
        <v>Mander A</v>
      </c>
      <c r="D14" s="120">
        <f t="array" aca="1" ref="D14:K14" ca="1">OFFSET(Bowling!$AL$4,BowlAves!B14,0,1,8)</f>
        <v>34</v>
      </c>
      <c r="E14" s="121">
        <f ca="1"/>
        <v>3</v>
      </c>
      <c r="F14" s="121">
        <f ca="1"/>
        <v>98</v>
      </c>
      <c r="G14" s="121">
        <f ca="1"/>
        <v>4</v>
      </c>
      <c r="H14" s="62">
        <f ca="1"/>
        <v>24.5</v>
      </c>
      <c r="I14" s="123">
        <f ca="1"/>
        <v>51</v>
      </c>
      <c r="J14" s="123">
        <f ca="1"/>
        <v>2.8823529411764706</v>
      </c>
      <c r="K14" s="124" t="str">
        <f ca="1"/>
        <v>2-22</v>
      </c>
      <c r="L14" s="124">
        <f t="shared" ca="1" si="0"/>
        <v>1013</v>
      </c>
      <c r="M14" s="124">
        <f t="shared" ca="1" si="1"/>
        <v>13</v>
      </c>
      <c r="N14" t="str">
        <f t="shared" ca="1" si="2"/>
        <v xml:space="preserve">Mander A 34-3-98-4, </v>
      </c>
      <c r="P14" s="127">
        <v>12</v>
      </c>
      <c r="Q14" s="128" t="str">
        <f t="array" aca="1" ref="Q14:Y14" ca="1">OFFSET($C$2,MATCH(P14,$M$2:$M$51,0)-1,0,1,9)</f>
        <v>Kogulathasan D</v>
      </c>
      <c r="R14" s="129">
        <f ca="1"/>
        <v>19</v>
      </c>
      <c r="S14" s="129">
        <f ca="1"/>
        <v>3</v>
      </c>
      <c r="T14" s="129">
        <f ca="1"/>
        <v>66</v>
      </c>
      <c r="U14" s="129">
        <f ca="1"/>
        <v>3</v>
      </c>
      <c r="V14" s="130">
        <f ca="1"/>
        <v>22</v>
      </c>
      <c r="W14" s="131">
        <f ca="1"/>
        <v>38</v>
      </c>
      <c r="X14" s="131">
        <f ca="1"/>
        <v>3.4736842105263159</v>
      </c>
      <c r="Y14" s="131" t="str">
        <f ca="1"/>
        <v>3-24</v>
      </c>
      <c r="Z14" s="139">
        <f t="shared" ca="1" si="3"/>
        <v>0.15789473684210525</v>
      </c>
      <c r="AA14" s="139" t="str">
        <f t="shared" ca="1" si="4"/>
        <v/>
      </c>
    </row>
    <row r="15" spans="1:30" ht="11.25" x14ac:dyDescent="0.2">
      <c r="A15">
        <v>14</v>
      </c>
      <c r="B15">
        <f>MATCH(A15,Bowling!$AU$5:$AU$54,0)</f>
        <v>37</v>
      </c>
      <c r="C15" t="str">
        <f ca="1">OFFSET(Bowling!$B$4,BowlAves!B15,0)</f>
        <v>Sharpe H</v>
      </c>
      <c r="D15" s="120">
        <f t="array" aca="1" ref="D15:K15" ca="1">OFFSET(Bowling!$AL$4,BowlAves!B15,0,1,8)</f>
        <v>4</v>
      </c>
      <c r="E15" s="121">
        <f ca="1"/>
        <v>0</v>
      </c>
      <c r="F15" s="121">
        <f ca="1"/>
        <v>25</v>
      </c>
      <c r="G15" s="121">
        <f ca="1"/>
        <v>1</v>
      </c>
      <c r="H15" s="62">
        <f ca="1"/>
        <v>25</v>
      </c>
      <c r="I15" s="123">
        <f ca="1"/>
        <v>24</v>
      </c>
      <c r="J15" s="123">
        <f ca="1"/>
        <v>6.25</v>
      </c>
      <c r="K15" s="124" t="str">
        <f ca="1"/>
        <v>1-25</v>
      </c>
      <c r="L15" s="124">
        <f t="shared" ca="1" si="0"/>
        <v>1014</v>
      </c>
      <c r="M15" s="124">
        <f t="shared" ca="1" si="1"/>
        <v>14</v>
      </c>
      <c r="N15" t="str">
        <f t="shared" ca="1" si="2"/>
        <v xml:space="preserve">Sharpe H 4-0-25-1, </v>
      </c>
      <c r="P15" s="127">
        <v>13</v>
      </c>
      <c r="Q15" s="128" t="str">
        <f t="array" aca="1" ref="Q15:Y15" ca="1">OFFSET($C$2,MATCH(P15,$M$2:$M$51,0)-1,0,1,9)</f>
        <v>Mander A</v>
      </c>
      <c r="R15" s="129">
        <f ca="1"/>
        <v>34</v>
      </c>
      <c r="S15" s="129">
        <f ca="1"/>
        <v>3</v>
      </c>
      <c r="T15" s="129">
        <f ca="1"/>
        <v>98</v>
      </c>
      <c r="U15" s="129">
        <f ca="1"/>
        <v>4</v>
      </c>
      <c r="V15" s="130">
        <f ca="1"/>
        <v>24.5</v>
      </c>
      <c r="W15" s="131">
        <f ca="1"/>
        <v>51</v>
      </c>
      <c r="X15" s="131">
        <f ca="1"/>
        <v>2.8823529411764706</v>
      </c>
      <c r="Y15" s="131" t="str">
        <f ca="1"/>
        <v>2-22</v>
      </c>
      <c r="Z15" s="139">
        <f t="shared" ca="1" si="3"/>
        <v>8.8235294117647065E-2</v>
      </c>
      <c r="AA15" s="139">
        <f t="shared" ca="1" si="4"/>
        <v>8.8235294117647065E-2</v>
      </c>
    </row>
    <row r="16" spans="1:30" ht="11.25" x14ac:dyDescent="0.2">
      <c r="A16">
        <v>15</v>
      </c>
      <c r="B16">
        <f>MATCH(A16,Bowling!$AU$5:$AU$54,0)</f>
        <v>9</v>
      </c>
      <c r="C16" t="str">
        <f ca="1">OFFSET(Bowling!$B$4,BowlAves!B16,0)</f>
        <v>Deol R</v>
      </c>
      <c r="D16" s="120">
        <f t="array" aca="1" ref="D16:K16" ca="1">OFFSET(Bowling!$AL$4,BowlAves!B16,0,1,8)</f>
        <v>8.5</v>
      </c>
      <c r="E16" s="121">
        <f ca="1"/>
        <v>2</v>
      </c>
      <c r="F16" s="121">
        <f ca="1"/>
        <v>27</v>
      </c>
      <c r="G16" s="121">
        <f ca="1"/>
        <v>1</v>
      </c>
      <c r="H16" s="62">
        <f ca="1"/>
        <v>27</v>
      </c>
      <c r="I16" s="123">
        <f ca="1"/>
        <v>53</v>
      </c>
      <c r="J16" s="123">
        <f ca="1"/>
        <v>3.0566037735849059</v>
      </c>
      <c r="K16" s="124" t="str">
        <f ca="1"/>
        <v>1-3</v>
      </c>
      <c r="L16" s="124">
        <f t="shared" ca="1" si="0"/>
        <v>1015</v>
      </c>
      <c r="M16" s="124">
        <f t="shared" ca="1" si="1"/>
        <v>15</v>
      </c>
      <c r="N16" t="str">
        <f t="shared" ca="1" si="2"/>
        <v xml:space="preserve">Deol R 8.5-2-27-1, </v>
      </c>
      <c r="P16" s="127">
        <v>14</v>
      </c>
      <c r="Q16" s="128" t="str">
        <f t="array" aca="1" ref="Q16:Y16" ca="1">OFFSET($C$2,MATCH(P16,$M$2:$M$51,0)-1,0,1,9)</f>
        <v>Sharpe H</v>
      </c>
      <c r="R16" s="129">
        <f ca="1"/>
        <v>4</v>
      </c>
      <c r="S16" s="129">
        <f ca="1"/>
        <v>0</v>
      </c>
      <c r="T16" s="129">
        <f ca="1"/>
        <v>25</v>
      </c>
      <c r="U16" s="129">
        <f ca="1"/>
        <v>1</v>
      </c>
      <c r="V16" s="130">
        <f ca="1"/>
        <v>25</v>
      </c>
      <c r="W16" s="131">
        <f ca="1"/>
        <v>24</v>
      </c>
      <c r="X16" s="131">
        <f ca="1"/>
        <v>6.25</v>
      </c>
      <c r="Y16" s="131" t="str">
        <f ca="1"/>
        <v>1-25</v>
      </c>
      <c r="Z16" s="139">
        <f t="shared" ca="1" si="3"/>
        <v>0</v>
      </c>
      <c r="AA16" s="139" t="str">
        <f t="shared" ca="1" si="4"/>
        <v/>
      </c>
    </row>
    <row r="17" spans="1:27" ht="11.25" x14ac:dyDescent="0.2">
      <c r="A17">
        <v>16</v>
      </c>
      <c r="B17">
        <f>MATCH(A17,Bowling!$AU$5:$AU$54,0)</f>
        <v>38</v>
      </c>
      <c r="C17" t="str">
        <f ca="1">OFFSET(Bowling!$B$4,BowlAves!B17,0)</f>
        <v>Singh S</v>
      </c>
      <c r="D17" s="120">
        <f t="array" aca="1" ref="D17:K17" ca="1">OFFSET(Bowling!$AL$4,BowlAves!B17,0,1,8)</f>
        <v>5</v>
      </c>
      <c r="E17" s="121">
        <f ca="1"/>
        <v>0</v>
      </c>
      <c r="F17" s="121">
        <f ca="1"/>
        <v>35</v>
      </c>
      <c r="G17" s="121">
        <f ca="1"/>
        <v>1</v>
      </c>
      <c r="H17" s="62">
        <f ca="1"/>
        <v>35</v>
      </c>
      <c r="I17" s="123">
        <f ca="1"/>
        <v>30</v>
      </c>
      <c r="J17" s="123">
        <f ca="1"/>
        <v>7</v>
      </c>
      <c r="K17" s="124" t="str">
        <f ca="1"/>
        <v>1-25</v>
      </c>
      <c r="L17" s="124">
        <f t="shared" ca="1" si="0"/>
        <v>1016</v>
      </c>
      <c r="M17" s="124">
        <f t="shared" ca="1" si="1"/>
        <v>16</v>
      </c>
      <c r="N17" t="str">
        <f t="shared" ca="1" si="2"/>
        <v xml:space="preserve">Singh S 5-0-35-1, </v>
      </c>
      <c r="P17" s="127">
        <v>15</v>
      </c>
      <c r="Q17" s="128" t="str">
        <f t="array" aca="1" ref="Q17:Y17" ca="1">OFFSET($C$2,MATCH(P17,$M$2:$M$51,0)-1,0,1,9)</f>
        <v>Deol R</v>
      </c>
      <c r="R17" s="129">
        <f ca="1"/>
        <v>8.5</v>
      </c>
      <c r="S17" s="129">
        <f ca="1"/>
        <v>2</v>
      </c>
      <c r="T17" s="129">
        <f ca="1"/>
        <v>27</v>
      </c>
      <c r="U17" s="129">
        <f ca="1"/>
        <v>1</v>
      </c>
      <c r="V17" s="130">
        <f ca="1"/>
        <v>27</v>
      </c>
      <c r="W17" s="131">
        <f ca="1"/>
        <v>53</v>
      </c>
      <c r="X17" s="131">
        <f ca="1"/>
        <v>3.0566037735849059</v>
      </c>
      <c r="Y17" s="131" t="str">
        <f ca="1"/>
        <v>1-3</v>
      </c>
      <c r="Z17" s="139">
        <f t="shared" ca="1" si="3"/>
        <v>0.23529411764705882</v>
      </c>
      <c r="AA17" s="139" t="str">
        <f t="shared" ca="1" si="4"/>
        <v/>
      </c>
    </row>
    <row r="18" spans="1:27" ht="11.25" x14ac:dyDescent="0.2">
      <c r="A18">
        <v>17</v>
      </c>
      <c r="B18">
        <f>MATCH(A18,Bowling!$AU$5:$AU$54,0)</f>
        <v>47</v>
      </c>
      <c r="C18" t="str">
        <f ca="1">OFFSET(Bowling!$B$4,BowlAves!B18,0)</f>
        <v>Vignesh M</v>
      </c>
      <c r="D18" s="120">
        <f t="array" aca="1" ref="D18:K18" ca="1">OFFSET(Bowling!$AL$4,BowlAves!B18,0,1,8)</f>
        <v>25</v>
      </c>
      <c r="E18" s="121">
        <f ca="1"/>
        <v>2</v>
      </c>
      <c r="F18" s="121">
        <f ca="1"/>
        <v>144</v>
      </c>
      <c r="G18" s="121">
        <f ca="1"/>
        <v>2</v>
      </c>
      <c r="H18" s="62">
        <f ca="1"/>
        <v>72</v>
      </c>
      <c r="I18" s="123">
        <f ca="1"/>
        <v>75</v>
      </c>
      <c r="J18" s="123">
        <f ca="1"/>
        <v>5.76</v>
      </c>
      <c r="K18" s="124" t="str">
        <f ca="1"/>
        <v>1-27</v>
      </c>
      <c r="L18" s="124">
        <f t="shared" ca="1" si="0"/>
        <v>1017</v>
      </c>
      <c r="M18" s="124">
        <f t="shared" ca="1" si="1"/>
        <v>17</v>
      </c>
      <c r="N18" t="str">
        <f t="shared" ca="1" si="2"/>
        <v xml:space="preserve">Vignesh M 25-2-144-2, </v>
      </c>
      <c r="P18" s="127">
        <v>16</v>
      </c>
      <c r="Q18" s="128" t="str">
        <f t="array" aca="1" ref="Q18:Y18" ca="1">OFFSET($C$2,MATCH(P18,$M$2:$M$51,0)-1,0,1,9)</f>
        <v>Singh S</v>
      </c>
      <c r="R18" s="129">
        <f ca="1"/>
        <v>5</v>
      </c>
      <c r="S18" s="129">
        <f ca="1"/>
        <v>0</v>
      </c>
      <c r="T18" s="129">
        <f ca="1"/>
        <v>35</v>
      </c>
      <c r="U18" s="129">
        <f ca="1"/>
        <v>1</v>
      </c>
      <c r="V18" s="130">
        <f ca="1"/>
        <v>35</v>
      </c>
      <c r="W18" s="131">
        <f ca="1"/>
        <v>30</v>
      </c>
      <c r="X18" s="131">
        <f ca="1"/>
        <v>7</v>
      </c>
      <c r="Y18" s="131" t="str">
        <f ca="1"/>
        <v>1-25</v>
      </c>
      <c r="Z18" s="139">
        <f t="shared" ca="1" si="3"/>
        <v>0</v>
      </c>
      <c r="AA18" s="139" t="str">
        <f t="shared" ca="1" si="4"/>
        <v/>
      </c>
    </row>
    <row r="19" spans="1:27" ht="11.25" x14ac:dyDescent="0.2">
      <c r="A19">
        <v>18</v>
      </c>
      <c r="B19">
        <f>MATCH(A19,Bowling!$AU$5:$AU$54,0)</f>
        <v>32</v>
      </c>
      <c r="C19" t="str">
        <f ca="1">OFFSET(Bowling!$B$4,BowlAves!B19,0)</f>
        <v>Sajjid K</v>
      </c>
      <c r="D19" s="120">
        <f t="array" aca="1" ref="D19:K19" ca="1">OFFSET(Bowling!$AL$4,BowlAves!B19,0,1,8)</f>
        <v>19</v>
      </c>
      <c r="E19" s="121">
        <f ca="1"/>
        <v>3</v>
      </c>
      <c r="F19" s="121">
        <f ca="1"/>
        <v>98</v>
      </c>
      <c r="G19" s="121">
        <f ca="1"/>
        <v>1</v>
      </c>
      <c r="H19" s="62">
        <f ca="1"/>
        <v>98</v>
      </c>
      <c r="I19" s="123">
        <f ca="1"/>
        <v>114</v>
      </c>
      <c r="J19" s="123">
        <f ca="1"/>
        <v>5.1578947368421053</v>
      </c>
      <c r="K19" s="124" t="str">
        <f ca="1"/>
        <v>1-39</v>
      </c>
      <c r="L19" s="124">
        <f t="shared" ca="1" si="0"/>
        <v>1018</v>
      </c>
      <c r="M19" s="124">
        <f t="shared" ca="1" si="1"/>
        <v>18</v>
      </c>
      <c r="N19" t="str">
        <f t="shared" ca="1" si="2"/>
        <v xml:space="preserve">Sajjid K 19-3-98-1, </v>
      </c>
      <c r="P19" s="127">
        <v>17</v>
      </c>
      <c r="Q19" s="128" t="str">
        <f t="array" aca="1" ref="Q19:Y19" ca="1">OFFSET($C$2,MATCH(P19,$M$2:$M$51,0)-1,0,1,9)</f>
        <v>Vignesh M</v>
      </c>
      <c r="R19" s="129">
        <f ca="1"/>
        <v>25</v>
      </c>
      <c r="S19" s="129">
        <f ca="1"/>
        <v>2</v>
      </c>
      <c r="T19" s="129">
        <f ca="1"/>
        <v>144</v>
      </c>
      <c r="U19" s="129">
        <f ca="1"/>
        <v>2</v>
      </c>
      <c r="V19" s="130">
        <f ca="1"/>
        <v>72</v>
      </c>
      <c r="W19" s="131">
        <f ca="1"/>
        <v>75</v>
      </c>
      <c r="X19" s="131">
        <f ca="1"/>
        <v>5.76</v>
      </c>
      <c r="Y19" s="131" t="str">
        <f ca="1"/>
        <v>1-27</v>
      </c>
      <c r="Z19" s="139">
        <f t="shared" ca="1" si="3"/>
        <v>0.08</v>
      </c>
      <c r="AA19" s="139">
        <f t="shared" ca="1" si="4"/>
        <v>0.08</v>
      </c>
    </row>
    <row r="20" spans="1:27" ht="11.25" x14ac:dyDescent="0.2">
      <c r="A20">
        <v>19</v>
      </c>
      <c r="B20">
        <f>MATCH(A20,Bowling!$AU$5:$AU$54,0)</f>
        <v>8</v>
      </c>
      <c r="C20" t="str">
        <f ca="1">OFFSET(Bowling!$B$4,BowlAves!B20,0)</f>
        <v>De S</v>
      </c>
      <c r="D20" s="120">
        <f t="array" aca="1" ref="D20:K20" ca="1">OFFSET(Bowling!$AL$4,BowlAves!B20,0,1,8)</f>
        <v>16</v>
      </c>
      <c r="E20" s="121">
        <f ca="1"/>
        <v>0</v>
      </c>
      <c r="F20" s="121">
        <f ca="1"/>
        <v>65</v>
      </c>
      <c r="G20" s="121">
        <f ca="1"/>
        <v>0</v>
      </c>
      <c r="H20" s="62" t="str">
        <f ca="1"/>
        <v/>
      </c>
      <c r="I20" s="123" t="str">
        <f ca="1"/>
        <v/>
      </c>
      <c r="J20" s="123">
        <f ca="1"/>
        <v>4.0625</v>
      </c>
      <c r="K20" s="124" t="str">
        <f ca="1"/>
        <v>0-3</v>
      </c>
      <c r="L20" s="124">
        <f t="shared" ca="1" si="0"/>
        <v>1019</v>
      </c>
      <c r="M20" s="124">
        <f t="shared" ca="1" si="1"/>
        <v>19</v>
      </c>
      <c r="N20" t="str">
        <f t="shared" ca="1" si="2"/>
        <v xml:space="preserve">De S 16-0-65-0, </v>
      </c>
      <c r="P20" s="127">
        <v>18</v>
      </c>
      <c r="Q20" s="128" t="str">
        <f t="array" aca="1" ref="Q20:Y20" ca="1">OFFSET($C$2,MATCH(P20,$M$2:$M$51,0)-1,0,1,9)</f>
        <v>Sajjid K</v>
      </c>
      <c r="R20" s="129">
        <f ca="1"/>
        <v>19</v>
      </c>
      <c r="S20" s="129">
        <f ca="1"/>
        <v>3</v>
      </c>
      <c r="T20" s="129">
        <f ca="1"/>
        <v>98</v>
      </c>
      <c r="U20" s="129">
        <f ca="1"/>
        <v>1</v>
      </c>
      <c r="V20" s="130">
        <f ca="1"/>
        <v>98</v>
      </c>
      <c r="W20" s="131">
        <f ca="1"/>
        <v>114</v>
      </c>
      <c r="X20" s="131">
        <f ca="1"/>
        <v>5.1578947368421053</v>
      </c>
      <c r="Y20" s="131" t="str">
        <f ca="1"/>
        <v>1-39</v>
      </c>
      <c r="Z20" s="139">
        <f t="shared" ca="1" si="3"/>
        <v>0.15789473684210525</v>
      </c>
      <c r="AA20" s="139" t="str">
        <f t="shared" ca="1" si="4"/>
        <v/>
      </c>
    </row>
    <row r="21" spans="1:27" ht="11.25" x14ac:dyDescent="0.2">
      <c r="A21">
        <v>20</v>
      </c>
      <c r="B21">
        <f>MATCH(A21,Bowling!$AU$5:$AU$54,0)</f>
        <v>4</v>
      </c>
      <c r="C21" t="str">
        <f ca="1">OFFSET(Bowling!$B$4,BowlAves!B21,0)</f>
        <v>Brocks D</v>
      </c>
      <c r="D21" s="120">
        <f t="array" aca="1" ref="D21:K21" ca="1">OFFSET(Bowling!$AL$4,BowlAves!B21,0,1,8)</f>
        <v>0</v>
      </c>
      <c r="E21" s="121">
        <f ca="1"/>
        <v>0</v>
      </c>
      <c r="F21" s="121">
        <f ca="1"/>
        <v>0</v>
      </c>
      <c r="G21" s="121">
        <f ca="1"/>
        <v>0</v>
      </c>
      <c r="H21" s="62" t="str">
        <f ca="1"/>
        <v/>
      </c>
      <c r="I21" s="123" t="str">
        <f ca="1"/>
        <v/>
      </c>
      <c r="J21" s="123" t="str">
        <f ca="1"/>
        <v/>
      </c>
      <c r="K21" s="124" t="str">
        <f ca="1"/>
        <v/>
      </c>
      <c r="L21" s="124">
        <f t="shared" ca="1" si="0"/>
        <v>1020</v>
      </c>
      <c r="M21" s="124">
        <f t="shared" ca="1" si="1"/>
        <v>20</v>
      </c>
      <c r="N21" t="str">
        <f t="shared" ca="1" si="2"/>
        <v xml:space="preserve">Brocks D 0-0-0-0, </v>
      </c>
      <c r="P21" s="127">
        <v>19</v>
      </c>
      <c r="Q21" s="128" t="str">
        <f t="array" aca="1" ref="Q21:Y21" ca="1">OFFSET($C$2,MATCH(P21,$M$2:$M$51,0)-1,0,1,9)</f>
        <v>De S</v>
      </c>
      <c r="R21" s="129">
        <f ca="1"/>
        <v>16</v>
      </c>
      <c r="S21" s="129">
        <f ca="1"/>
        <v>0</v>
      </c>
      <c r="T21" s="129">
        <f ca="1"/>
        <v>65</v>
      </c>
      <c r="U21" s="129">
        <f ca="1"/>
        <v>0</v>
      </c>
      <c r="V21" s="130" t="str">
        <f ca="1"/>
        <v/>
      </c>
      <c r="W21" s="131" t="str">
        <f ca="1"/>
        <v/>
      </c>
      <c r="X21" s="131">
        <f ca="1"/>
        <v>4.0625</v>
      </c>
      <c r="Y21" s="131" t="str">
        <f ca="1"/>
        <v>0-3</v>
      </c>
      <c r="Z21" s="139">
        <f t="shared" ca="1" si="3"/>
        <v>0</v>
      </c>
      <c r="AA21" s="139" t="str">
        <f t="shared" ca="1" si="4"/>
        <v/>
      </c>
    </row>
    <row r="22" spans="1:27" ht="11.25" x14ac:dyDescent="0.2">
      <c r="A22">
        <v>21</v>
      </c>
      <c r="B22">
        <f>MATCH(A22,Bowling!$AU$5:$AU$54,0)</f>
        <v>5</v>
      </c>
      <c r="C22" t="str">
        <f ca="1">OFFSET(Bowling!$B$4,BowlAves!B22,0)</f>
        <v>Chima R</v>
      </c>
      <c r="D22" s="120">
        <f t="array" aca="1" ref="D22:K22" ca="1">OFFSET(Bowling!$AL$4,BowlAves!B22,0,1,8)</f>
        <v>0</v>
      </c>
      <c r="E22" s="121">
        <f ca="1"/>
        <v>0</v>
      </c>
      <c r="F22" s="121">
        <f ca="1"/>
        <v>0</v>
      </c>
      <c r="G22" s="121">
        <f ca="1"/>
        <v>0</v>
      </c>
      <c r="H22" s="62" t="str">
        <f ca="1"/>
        <v/>
      </c>
      <c r="I22" s="123" t="str">
        <f ca="1"/>
        <v/>
      </c>
      <c r="J22" s="123" t="str">
        <f ca="1"/>
        <v/>
      </c>
      <c r="K22" s="124" t="str">
        <f ca="1"/>
        <v/>
      </c>
      <c r="L22" s="124">
        <f t="shared" ca="1" si="0"/>
        <v>1021</v>
      </c>
      <c r="M22" s="124">
        <f t="shared" ca="1" si="1"/>
        <v>21</v>
      </c>
      <c r="N22" t="str">
        <f t="shared" ca="1" si="2"/>
        <v xml:space="preserve">Chima R 0-0-0-0, </v>
      </c>
      <c r="P22" s="127">
        <v>20</v>
      </c>
      <c r="Q22" s="128" t="str">
        <f t="array" aca="1" ref="Q22:Y22" ca="1">OFFSET($C$2,MATCH(P22,$M$2:$M$51,0)-1,0,1,9)</f>
        <v>Brocks D</v>
      </c>
      <c r="R22" s="129">
        <f ca="1"/>
        <v>0</v>
      </c>
      <c r="S22" s="129">
        <f ca="1"/>
        <v>0</v>
      </c>
      <c r="T22" s="129">
        <f ca="1"/>
        <v>0</v>
      </c>
      <c r="U22" s="129">
        <f ca="1"/>
        <v>0</v>
      </c>
      <c r="V22" s="130" t="str">
        <f ca="1"/>
        <v/>
      </c>
      <c r="W22" s="131" t="str">
        <f ca="1"/>
        <v/>
      </c>
      <c r="X22" s="131" t="str">
        <f ca="1"/>
        <v/>
      </c>
      <c r="Y22" s="131" t="str">
        <f ca="1"/>
        <v/>
      </c>
      <c r="Z22" s="139" t="e">
        <f t="shared" ca="1" si="3"/>
        <v>#DIV/0!</v>
      </c>
      <c r="AA22" s="139" t="str">
        <f t="shared" ca="1" si="4"/>
        <v/>
      </c>
    </row>
    <row r="23" spans="1:27" ht="11.25" x14ac:dyDescent="0.2">
      <c r="A23">
        <v>22</v>
      </c>
      <c r="B23">
        <f>MATCH(A23,Bowling!$AU$5:$AU$54,0)</f>
        <v>6</v>
      </c>
      <c r="C23" t="str">
        <f ca="1">OFFSET(Bowling!$B$4,BowlAves!B23,0)</f>
        <v>Clarkson M</v>
      </c>
      <c r="D23" s="120">
        <f t="array" aca="1" ref="D23:K23" ca="1">OFFSET(Bowling!$AL$4,BowlAves!B23,0,1,8)</f>
        <v>0</v>
      </c>
      <c r="E23" s="121">
        <f ca="1"/>
        <v>0</v>
      </c>
      <c r="F23" s="121">
        <f ca="1"/>
        <v>0</v>
      </c>
      <c r="G23" s="121">
        <f ca="1"/>
        <v>0</v>
      </c>
      <c r="H23" s="62" t="str">
        <f ca="1"/>
        <v/>
      </c>
      <c r="I23" s="123" t="str">
        <f ca="1"/>
        <v/>
      </c>
      <c r="J23" s="123" t="str">
        <f ca="1"/>
        <v/>
      </c>
      <c r="K23" s="124" t="str">
        <f ca="1"/>
        <v/>
      </c>
      <c r="L23" s="124">
        <f t="shared" ca="1" si="0"/>
        <v>1022</v>
      </c>
      <c r="M23" s="124">
        <f t="shared" ca="1" si="1"/>
        <v>22</v>
      </c>
      <c r="N23" t="str">
        <f t="shared" ca="1" si="2"/>
        <v xml:space="preserve">Clarkson M 0-0-0-0, </v>
      </c>
      <c r="P23" s="127">
        <v>21</v>
      </c>
      <c r="Q23" s="128" t="str">
        <f t="array" aca="1" ref="Q23:Y23" ca="1">OFFSET($C$2,MATCH(P23,$M$2:$M$51,0)-1,0,1,9)</f>
        <v>Chima R</v>
      </c>
      <c r="R23" s="129">
        <f ca="1"/>
        <v>0</v>
      </c>
      <c r="S23" s="129">
        <f ca="1"/>
        <v>0</v>
      </c>
      <c r="T23" s="129">
        <f ca="1"/>
        <v>0</v>
      </c>
      <c r="U23" s="129">
        <f ca="1"/>
        <v>0</v>
      </c>
      <c r="V23" s="130" t="str">
        <f ca="1"/>
        <v/>
      </c>
      <c r="W23" s="131" t="str">
        <f ca="1"/>
        <v/>
      </c>
      <c r="X23" s="131" t="str">
        <f ca="1"/>
        <v/>
      </c>
      <c r="Y23" s="131" t="str">
        <f ca="1"/>
        <v/>
      </c>
      <c r="Z23" s="139" t="e">
        <f t="shared" ca="1" si="3"/>
        <v>#DIV/0!</v>
      </c>
      <c r="AA23" s="139" t="str">
        <f t="shared" ca="1" si="4"/>
        <v/>
      </c>
    </row>
    <row r="24" spans="1:27" ht="11.25" x14ac:dyDescent="0.2">
      <c r="A24">
        <v>23</v>
      </c>
      <c r="B24">
        <f>MATCH(A24,Bowling!$AU$5:$AU$54,0)</f>
        <v>7</v>
      </c>
      <c r="C24" t="str">
        <f ca="1">OFFSET(Bowling!$B$4,BowlAves!B24,0)</f>
        <v>Curling L</v>
      </c>
      <c r="D24" s="120">
        <f t="array" aca="1" ref="D24:K24" ca="1">OFFSET(Bowling!$AL$4,BowlAves!B24,0,1,8)</f>
        <v>0</v>
      </c>
      <c r="E24" s="121">
        <f ca="1"/>
        <v>0</v>
      </c>
      <c r="F24" s="121">
        <f ca="1"/>
        <v>0</v>
      </c>
      <c r="G24" s="121">
        <f ca="1"/>
        <v>0</v>
      </c>
      <c r="H24" s="62" t="str">
        <f ca="1"/>
        <v/>
      </c>
      <c r="I24" s="123" t="str">
        <f ca="1"/>
        <v/>
      </c>
      <c r="J24" s="123" t="str">
        <f ca="1"/>
        <v/>
      </c>
      <c r="K24" s="124" t="str">
        <f ca="1"/>
        <v/>
      </c>
      <c r="L24" s="124">
        <f t="shared" ca="1" si="0"/>
        <v>1023</v>
      </c>
      <c r="M24" s="124">
        <f t="shared" ca="1" si="1"/>
        <v>23</v>
      </c>
      <c r="N24" t="str">
        <f t="shared" ca="1" si="2"/>
        <v xml:space="preserve">Curling L 0-0-0-0, </v>
      </c>
      <c r="P24" s="127">
        <v>22</v>
      </c>
      <c r="Q24" s="128" t="str">
        <f t="array" aca="1" ref="Q24:Y24" ca="1">OFFSET($C$2,MATCH(P24,$M$2:$M$51,0)-1,0,1,9)</f>
        <v>Clarkson M</v>
      </c>
      <c r="R24" s="129">
        <f ca="1"/>
        <v>0</v>
      </c>
      <c r="S24" s="129">
        <f ca="1"/>
        <v>0</v>
      </c>
      <c r="T24" s="129">
        <f ca="1"/>
        <v>0</v>
      </c>
      <c r="U24" s="129">
        <f ca="1"/>
        <v>0</v>
      </c>
      <c r="V24" s="130" t="str">
        <f ca="1"/>
        <v/>
      </c>
      <c r="W24" s="131" t="str">
        <f ca="1"/>
        <v/>
      </c>
      <c r="X24" s="131" t="str">
        <f ca="1"/>
        <v/>
      </c>
      <c r="Y24" s="131" t="str">
        <f ca="1"/>
        <v/>
      </c>
      <c r="Z24" s="139" t="e">
        <f t="shared" ca="1" si="3"/>
        <v>#DIV/0!</v>
      </c>
      <c r="AA24" s="139" t="str">
        <f t="shared" ca="1" si="4"/>
        <v/>
      </c>
    </row>
    <row r="25" spans="1:27" ht="11.25" x14ac:dyDescent="0.2">
      <c r="A25">
        <v>24</v>
      </c>
      <c r="B25">
        <f>MATCH(A25,Bowling!$AU$5:$AU$54,0)</f>
        <v>10</v>
      </c>
      <c r="C25" t="str">
        <f ca="1">OFFSET(Bowling!$B$4,BowlAves!B25,0)</f>
        <v>Foxworthy P</v>
      </c>
      <c r="D25" s="120">
        <f t="array" aca="1" ref="D25:K25" ca="1">OFFSET(Bowling!$AL$4,BowlAves!B25,0,1,8)</f>
        <v>0</v>
      </c>
      <c r="E25" s="121">
        <f ca="1"/>
        <v>0</v>
      </c>
      <c r="F25" s="121">
        <f ca="1"/>
        <v>0</v>
      </c>
      <c r="G25" s="121">
        <f ca="1"/>
        <v>0</v>
      </c>
      <c r="H25" s="62" t="str">
        <f ca="1"/>
        <v/>
      </c>
      <c r="I25" s="123" t="str">
        <f ca="1"/>
        <v/>
      </c>
      <c r="J25" s="123" t="str">
        <f ca="1"/>
        <v/>
      </c>
      <c r="K25" s="124" t="str">
        <f ca="1"/>
        <v/>
      </c>
      <c r="L25" s="124">
        <f t="shared" ca="1" si="0"/>
        <v>1024</v>
      </c>
      <c r="M25" s="124">
        <f t="shared" ca="1" si="1"/>
        <v>24</v>
      </c>
      <c r="N25" t="str">
        <f t="shared" ca="1" si="2"/>
        <v xml:space="preserve">Foxworthy P 0-0-0-0, </v>
      </c>
      <c r="P25" s="127">
        <v>23</v>
      </c>
      <c r="Q25" s="128" t="str">
        <f t="array" aca="1" ref="Q25:Y25" ca="1">OFFSET($C$2,MATCH(P25,$M$2:$M$51,0)-1,0,1,9)</f>
        <v>Curling L</v>
      </c>
      <c r="R25" s="129">
        <f ca="1"/>
        <v>0</v>
      </c>
      <c r="S25" s="129">
        <f ca="1"/>
        <v>0</v>
      </c>
      <c r="T25" s="129">
        <f ca="1"/>
        <v>0</v>
      </c>
      <c r="U25" s="129">
        <f ca="1"/>
        <v>0</v>
      </c>
      <c r="V25" s="130" t="str">
        <f ca="1"/>
        <v/>
      </c>
      <c r="W25" s="131" t="str">
        <f ca="1"/>
        <v/>
      </c>
      <c r="X25" s="131" t="str">
        <f ca="1"/>
        <v/>
      </c>
      <c r="Y25" s="131" t="str">
        <f ca="1"/>
        <v/>
      </c>
      <c r="Z25" s="139" t="e">
        <f t="shared" ca="1" si="3"/>
        <v>#DIV/0!</v>
      </c>
      <c r="AA25" s="139" t="str">
        <f t="shared" ca="1" si="4"/>
        <v/>
      </c>
    </row>
    <row r="26" spans="1:27" ht="11.25" x14ac:dyDescent="0.2">
      <c r="A26">
        <v>25</v>
      </c>
      <c r="B26">
        <f>MATCH(A26,Bowling!$AU$5:$AU$54,0)</f>
        <v>11</v>
      </c>
      <c r="C26" t="str">
        <f ca="1">OFFSET(Bowling!$B$4,BowlAves!B26,0)</f>
        <v>Ffrench R</v>
      </c>
      <c r="D26" s="120">
        <f t="array" aca="1" ref="D26:K26" ca="1">OFFSET(Bowling!$AL$4,BowlAves!B26,0,1,8)</f>
        <v>0</v>
      </c>
      <c r="E26" s="121">
        <f ca="1"/>
        <v>0</v>
      </c>
      <c r="F26" s="121">
        <f ca="1"/>
        <v>0</v>
      </c>
      <c r="G26" s="121">
        <f ca="1"/>
        <v>0</v>
      </c>
      <c r="H26" s="62" t="str">
        <f ca="1"/>
        <v/>
      </c>
      <c r="I26" s="123" t="str">
        <f ca="1"/>
        <v/>
      </c>
      <c r="J26" s="123" t="str">
        <f ca="1"/>
        <v/>
      </c>
      <c r="K26" s="124" t="str">
        <f ca="1"/>
        <v/>
      </c>
      <c r="L26" s="124">
        <f t="shared" ca="1" si="0"/>
        <v>1025</v>
      </c>
      <c r="M26" s="124">
        <f t="shared" ca="1" si="1"/>
        <v>25</v>
      </c>
      <c r="N26" t="str">
        <f t="shared" ca="1" si="2"/>
        <v xml:space="preserve">Ffrench R 0-0-0-0, </v>
      </c>
      <c r="P26" s="127">
        <v>24</v>
      </c>
      <c r="Q26" s="128" t="str">
        <f t="array" aca="1" ref="Q26:Y26" ca="1">OFFSET($C$2,MATCH(P26,$M$2:$M$51,0)-1,0,1,9)</f>
        <v>Foxworthy P</v>
      </c>
      <c r="R26" s="129">
        <f ca="1"/>
        <v>0</v>
      </c>
      <c r="S26" s="129">
        <f ca="1"/>
        <v>0</v>
      </c>
      <c r="T26" s="129">
        <f ca="1"/>
        <v>0</v>
      </c>
      <c r="U26" s="129">
        <f ca="1"/>
        <v>0</v>
      </c>
      <c r="V26" s="130" t="str">
        <f ca="1"/>
        <v/>
      </c>
      <c r="W26" s="131" t="str">
        <f ca="1"/>
        <v/>
      </c>
      <c r="X26" s="131" t="str">
        <f ca="1"/>
        <v/>
      </c>
      <c r="Y26" s="131" t="str">
        <f ca="1"/>
        <v/>
      </c>
      <c r="Z26" s="139" t="e">
        <f t="shared" ref="Z26:Z31" ca="1" si="5">S26/R26</f>
        <v>#DIV/0!</v>
      </c>
      <c r="AA26" s="139" t="str">
        <f t="shared" ref="AA26:AA31" ca="1" si="6">IF(R26&gt;=20,Z26,"")</f>
        <v/>
      </c>
    </row>
    <row r="27" spans="1:27" ht="11.25" x14ac:dyDescent="0.2">
      <c r="A27">
        <v>26</v>
      </c>
      <c r="B27">
        <f>MATCH(A27,Bowling!$AU$5:$AU$54,0)</f>
        <v>12</v>
      </c>
      <c r="C27" t="str">
        <f ca="1">OFFSET(Bowling!$B$4,BowlAves!B27,0)</f>
        <v>Gardezi S</v>
      </c>
      <c r="D27" s="120">
        <f t="array" aca="1" ref="D27:K27" ca="1">OFFSET(Bowling!$AL$4,BowlAves!B27,0,1,8)</f>
        <v>0</v>
      </c>
      <c r="E27" s="121">
        <f ca="1"/>
        <v>0</v>
      </c>
      <c r="F27" s="121">
        <f ca="1"/>
        <v>0</v>
      </c>
      <c r="G27" s="121">
        <f ca="1"/>
        <v>0</v>
      </c>
      <c r="H27" s="62" t="str">
        <f ca="1"/>
        <v/>
      </c>
      <c r="I27" s="123" t="str">
        <f ca="1"/>
        <v/>
      </c>
      <c r="J27" s="123" t="str">
        <f ca="1"/>
        <v/>
      </c>
      <c r="K27" s="124" t="str">
        <f ca="1"/>
        <v/>
      </c>
      <c r="L27" s="124">
        <f t="shared" ca="1" si="0"/>
        <v>1026</v>
      </c>
      <c r="M27" s="124">
        <f t="shared" ca="1" si="1"/>
        <v>26</v>
      </c>
      <c r="N27" t="str">
        <f t="shared" ca="1" si="2"/>
        <v xml:space="preserve">Gardezi S 0-0-0-0, </v>
      </c>
      <c r="P27" s="127">
        <v>25</v>
      </c>
      <c r="Q27" s="128" t="str">
        <f t="array" aca="1" ref="Q27:Y27" ca="1">OFFSET($C$2,MATCH(P27,$M$2:$M$51,0)-1,0,1,9)</f>
        <v>Ffrench R</v>
      </c>
      <c r="R27" s="129">
        <f ca="1"/>
        <v>0</v>
      </c>
      <c r="S27" s="129">
        <f ca="1"/>
        <v>0</v>
      </c>
      <c r="T27" s="129">
        <f ca="1"/>
        <v>0</v>
      </c>
      <c r="U27" s="129">
        <f ca="1"/>
        <v>0</v>
      </c>
      <c r="V27" s="130" t="str">
        <f ca="1"/>
        <v/>
      </c>
      <c r="W27" s="131" t="str">
        <f ca="1"/>
        <v/>
      </c>
      <c r="X27" s="131" t="str">
        <f ca="1"/>
        <v/>
      </c>
      <c r="Y27" s="131" t="str">
        <f ca="1"/>
        <v/>
      </c>
      <c r="Z27" s="139" t="e">
        <f t="shared" ca="1" si="5"/>
        <v>#DIV/0!</v>
      </c>
      <c r="AA27" s="139" t="str">
        <f t="shared" ca="1" si="6"/>
        <v/>
      </c>
    </row>
    <row r="28" spans="1:27" ht="11.25" x14ac:dyDescent="0.2">
      <c r="A28">
        <v>27</v>
      </c>
      <c r="B28">
        <f>MATCH(A28,Bowling!$AU$5:$AU$54,0)</f>
        <v>13</v>
      </c>
      <c r="C28" t="str">
        <f ca="1">OFFSET(Bowling!$B$4,BowlAves!B28,0)</f>
        <v>Hemasinghe M</v>
      </c>
      <c r="D28" s="120">
        <f t="array" aca="1" ref="D28:K28" ca="1">OFFSET(Bowling!$AL$4,BowlAves!B28,0,1,8)</f>
        <v>0</v>
      </c>
      <c r="E28" s="121">
        <f ca="1"/>
        <v>0</v>
      </c>
      <c r="F28" s="121">
        <f ca="1"/>
        <v>0</v>
      </c>
      <c r="G28" s="121">
        <f ca="1"/>
        <v>0</v>
      </c>
      <c r="H28" s="62" t="str">
        <f ca="1"/>
        <v/>
      </c>
      <c r="I28" s="123" t="str">
        <f ca="1"/>
        <v/>
      </c>
      <c r="J28" s="123" t="str">
        <f ca="1"/>
        <v/>
      </c>
      <c r="K28" s="124" t="str">
        <f ca="1"/>
        <v/>
      </c>
      <c r="L28" s="124">
        <f t="shared" ca="1" si="0"/>
        <v>1027</v>
      </c>
      <c r="M28" s="124">
        <f t="shared" ca="1" si="1"/>
        <v>27</v>
      </c>
      <c r="N28" t="str">
        <f t="shared" ca="1" si="2"/>
        <v xml:space="preserve">Hemasinghe M 0-0-0-0, </v>
      </c>
      <c r="P28" s="127">
        <v>26</v>
      </c>
      <c r="Q28" s="128" t="str">
        <f t="array" aca="1" ref="Q28:Y28" ca="1">OFFSET($C$2,MATCH(P28,$M$2:$M$51,0)-1,0,1,9)</f>
        <v>Gardezi S</v>
      </c>
      <c r="R28" s="129">
        <f ca="1"/>
        <v>0</v>
      </c>
      <c r="S28" s="129">
        <f ca="1"/>
        <v>0</v>
      </c>
      <c r="T28" s="129">
        <f ca="1"/>
        <v>0</v>
      </c>
      <c r="U28" s="129">
        <f ca="1"/>
        <v>0</v>
      </c>
      <c r="V28" s="130" t="str">
        <f ca="1"/>
        <v/>
      </c>
      <c r="W28" s="131" t="str">
        <f ca="1"/>
        <v/>
      </c>
      <c r="X28" s="131" t="str">
        <f ca="1"/>
        <v/>
      </c>
      <c r="Y28" s="131" t="str">
        <f ca="1"/>
        <v/>
      </c>
      <c r="Z28" s="139" t="e">
        <f t="shared" ca="1" si="5"/>
        <v>#DIV/0!</v>
      </c>
      <c r="AA28" s="139" t="str">
        <f t="shared" ca="1" si="6"/>
        <v/>
      </c>
    </row>
    <row r="29" spans="1:27" ht="11.25" x14ac:dyDescent="0.2">
      <c r="A29">
        <v>28</v>
      </c>
      <c r="B29">
        <f>MATCH(A29,Bowling!$AU$5:$AU$54,0)</f>
        <v>14</v>
      </c>
      <c r="C29" t="str">
        <f ca="1">OFFSET(Bowling!$B$4,BowlAves!B29,0)</f>
        <v>Jain A</v>
      </c>
      <c r="D29" s="120">
        <f t="array" aca="1" ref="D29:K29" ca="1">OFFSET(Bowling!$AL$4,BowlAves!B29,0,1,8)</f>
        <v>0</v>
      </c>
      <c r="E29" s="121">
        <f ca="1"/>
        <v>0</v>
      </c>
      <c r="F29" s="121">
        <f ca="1"/>
        <v>0</v>
      </c>
      <c r="G29" s="121">
        <f ca="1"/>
        <v>0</v>
      </c>
      <c r="H29" s="62" t="str">
        <f ca="1"/>
        <v/>
      </c>
      <c r="I29" s="123" t="str">
        <f ca="1"/>
        <v/>
      </c>
      <c r="J29" s="123" t="str">
        <f ca="1"/>
        <v/>
      </c>
      <c r="K29" s="124" t="str">
        <f ca="1"/>
        <v/>
      </c>
      <c r="L29" s="124">
        <f t="shared" ca="1" si="0"/>
        <v>1028</v>
      </c>
      <c r="M29" s="124">
        <f t="shared" ca="1" si="1"/>
        <v>28</v>
      </c>
      <c r="N29" t="str">
        <f t="shared" ca="1" si="2"/>
        <v xml:space="preserve">Jain A 0-0-0-0, </v>
      </c>
      <c r="P29" s="127">
        <v>27</v>
      </c>
      <c r="Q29" s="128" t="str">
        <f t="array" aca="1" ref="Q29:Y29" ca="1">OFFSET($C$2,MATCH(P29,$M$2:$M$51,0)-1,0,1,9)</f>
        <v>Hemasinghe M</v>
      </c>
      <c r="R29" s="129">
        <f ca="1"/>
        <v>0</v>
      </c>
      <c r="S29" s="129">
        <f ca="1"/>
        <v>0</v>
      </c>
      <c r="T29" s="129">
        <f ca="1"/>
        <v>0</v>
      </c>
      <c r="U29" s="129">
        <f ca="1"/>
        <v>0</v>
      </c>
      <c r="V29" s="130" t="str">
        <f ca="1"/>
        <v/>
      </c>
      <c r="W29" s="131" t="str">
        <f ca="1"/>
        <v/>
      </c>
      <c r="X29" s="131" t="str">
        <f ca="1"/>
        <v/>
      </c>
      <c r="Y29" s="131" t="str">
        <f ca="1"/>
        <v/>
      </c>
      <c r="Z29" s="139" t="e">
        <f t="shared" ca="1" si="5"/>
        <v>#DIV/0!</v>
      </c>
      <c r="AA29" s="139" t="str">
        <f t="shared" ca="1" si="6"/>
        <v/>
      </c>
    </row>
    <row r="30" spans="1:27" ht="11.25" x14ac:dyDescent="0.2">
      <c r="A30">
        <v>29</v>
      </c>
      <c r="B30">
        <f>MATCH(A30,Bowling!$AU$5:$AU$54,0)</f>
        <v>15</v>
      </c>
      <c r="C30" t="str">
        <f ca="1">OFFSET(Bowling!$B$4,BowlAves!B30,0)</f>
        <v>Jenkins D</v>
      </c>
      <c r="D30" s="120">
        <f t="array" aca="1" ref="D30:K30" ca="1">OFFSET(Bowling!$AL$4,BowlAves!B30,0,1,8)</f>
        <v>0</v>
      </c>
      <c r="E30" s="121">
        <f ca="1"/>
        <v>0</v>
      </c>
      <c r="F30" s="121">
        <f ca="1"/>
        <v>0</v>
      </c>
      <c r="G30" s="121">
        <f ca="1"/>
        <v>0</v>
      </c>
      <c r="H30" s="62" t="str">
        <f ca="1"/>
        <v/>
      </c>
      <c r="I30" s="123" t="str">
        <f ca="1"/>
        <v/>
      </c>
      <c r="J30" s="123" t="str">
        <f ca="1"/>
        <v/>
      </c>
      <c r="K30" s="124" t="str">
        <f ca="1"/>
        <v/>
      </c>
      <c r="L30" s="124">
        <f t="shared" ca="1" si="0"/>
        <v>1029</v>
      </c>
      <c r="M30" s="124">
        <f t="shared" ca="1" si="1"/>
        <v>29</v>
      </c>
      <c r="N30" t="str">
        <f t="shared" ca="1" si="2"/>
        <v xml:space="preserve">Jenkins D 0-0-0-0, </v>
      </c>
      <c r="P30" s="127">
        <v>28</v>
      </c>
      <c r="Q30" s="128" t="str">
        <f t="array" aca="1" ref="Q30:Y30" ca="1">OFFSET($C$2,MATCH(P30,$M$2:$M$51,0)-1,0,1,9)</f>
        <v>Jain A</v>
      </c>
      <c r="R30" s="129">
        <f ca="1"/>
        <v>0</v>
      </c>
      <c r="S30" s="129">
        <f ca="1"/>
        <v>0</v>
      </c>
      <c r="T30" s="129">
        <f ca="1"/>
        <v>0</v>
      </c>
      <c r="U30" s="129">
        <f ca="1"/>
        <v>0</v>
      </c>
      <c r="V30" s="130" t="str">
        <f ca="1"/>
        <v/>
      </c>
      <c r="W30" s="131" t="str">
        <f ca="1"/>
        <v/>
      </c>
      <c r="X30" s="131" t="str">
        <f ca="1"/>
        <v/>
      </c>
      <c r="Y30" s="131" t="str">
        <f ca="1"/>
        <v/>
      </c>
      <c r="Z30" s="139" t="e">
        <f t="shared" ca="1" si="5"/>
        <v>#DIV/0!</v>
      </c>
      <c r="AA30" s="139" t="str">
        <f t="shared" ca="1" si="6"/>
        <v/>
      </c>
    </row>
    <row r="31" spans="1:27" ht="11.25" x14ac:dyDescent="0.2">
      <c r="A31">
        <v>30</v>
      </c>
      <c r="B31">
        <f>MATCH(A31,Bowling!$AU$5:$AU$54,0)</f>
        <v>16</v>
      </c>
      <c r="C31" t="str">
        <f ca="1">OFFSET(Bowling!$B$4,BowlAves!B31,0)</f>
        <v>Lestrelle A</v>
      </c>
      <c r="D31" s="120">
        <f t="array" aca="1" ref="D31:K31" ca="1">OFFSET(Bowling!$AL$4,BowlAves!B31,0,1,8)</f>
        <v>0</v>
      </c>
      <c r="E31" s="121">
        <f ca="1"/>
        <v>0</v>
      </c>
      <c r="F31" s="121">
        <f ca="1"/>
        <v>0</v>
      </c>
      <c r="G31" s="121">
        <f ca="1"/>
        <v>0</v>
      </c>
      <c r="H31" s="62" t="str">
        <f ca="1"/>
        <v/>
      </c>
      <c r="I31" s="123" t="str">
        <f ca="1"/>
        <v/>
      </c>
      <c r="J31" s="123" t="str">
        <f ca="1"/>
        <v/>
      </c>
      <c r="K31" s="124" t="str">
        <f ca="1"/>
        <v/>
      </c>
      <c r="L31" s="124">
        <f t="shared" ca="1" si="0"/>
        <v>1030</v>
      </c>
      <c r="M31" s="124">
        <f t="shared" ca="1" si="1"/>
        <v>30</v>
      </c>
      <c r="N31" t="str">
        <f t="shared" ca="1" si="2"/>
        <v xml:space="preserve">Lestrelle A 0-0-0-0, </v>
      </c>
      <c r="P31" s="127">
        <v>29</v>
      </c>
      <c r="Q31" s="128" t="str">
        <f t="array" aca="1" ref="Q31:Y31" ca="1">OFFSET($C$2,MATCH(P31,$M$2:$M$51,0)-1,0,1,9)</f>
        <v>Jenkins D</v>
      </c>
      <c r="R31" s="129">
        <f ca="1"/>
        <v>0</v>
      </c>
      <c r="S31" s="129">
        <f ca="1"/>
        <v>0</v>
      </c>
      <c r="T31" s="129">
        <f ca="1"/>
        <v>0</v>
      </c>
      <c r="U31" s="129">
        <f ca="1"/>
        <v>0</v>
      </c>
      <c r="V31" s="130" t="str">
        <f ca="1"/>
        <v/>
      </c>
      <c r="W31" s="131" t="str">
        <f ca="1"/>
        <v/>
      </c>
      <c r="X31" s="131" t="str">
        <f ca="1"/>
        <v/>
      </c>
      <c r="Y31" s="131" t="str">
        <f ca="1"/>
        <v/>
      </c>
      <c r="Z31" s="139" t="e">
        <f t="shared" ca="1" si="5"/>
        <v>#DIV/0!</v>
      </c>
      <c r="AA31" s="139" t="str">
        <f t="shared" ca="1" si="6"/>
        <v/>
      </c>
    </row>
    <row r="32" spans="1:27" ht="11.25" x14ac:dyDescent="0.2">
      <c r="A32">
        <v>31</v>
      </c>
      <c r="B32">
        <f>MATCH(A32,Bowling!$AU$5:$AU$54,0)</f>
        <v>17</v>
      </c>
      <c r="C32" t="str">
        <f ca="1">OFFSET(Bowling!$B$4,BowlAves!B32,0)</f>
        <v>"Luca"</v>
      </c>
      <c r="D32" s="120">
        <f t="array" aca="1" ref="D32:K32" ca="1">OFFSET(Bowling!$AL$4,BowlAves!B32,0,1,8)</f>
        <v>0</v>
      </c>
      <c r="E32" s="121">
        <f ca="1"/>
        <v>0</v>
      </c>
      <c r="F32" s="121">
        <f ca="1"/>
        <v>0</v>
      </c>
      <c r="G32" s="121">
        <f ca="1"/>
        <v>0</v>
      </c>
      <c r="H32" s="62" t="str">
        <f ca="1"/>
        <v/>
      </c>
      <c r="I32" s="123" t="str">
        <f ca="1"/>
        <v/>
      </c>
      <c r="J32" s="123" t="str">
        <f ca="1"/>
        <v/>
      </c>
      <c r="K32" s="124" t="str">
        <f ca="1"/>
        <v/>
      </c>
      <c r="L32" s="124">
        <f t="shared" ca="1" si="0"/>
        <v>1031</v>
      </c>
      <c r="M32" s="124">
        <f t="shared" ca="1" si="1"/>
        <v>31</v>
      </c>
      <c r="N32" t="str">
        <f t="shared" ca="1" si="2"/>
        <v xml:space="preserve">"Luca" 0-0-0-0, </v>
      </c>
      <c r="P32" s="127">
        <v>30</v>
      </c>
      <c r="Q32" s="128" t="str">
        <f t="array" aca="1" ref="Q32:Y32" ca="1">OFFSET($C$2,MATCH(P32,$M$2:$M$51,0)-1,0,1,9)</f>
        <v>Lestrelle A</v>
      </c>
      <c r="R32" s="129">
        <f ca="1"/>
        <v>0</v>
      </c>
      <c r="S32" s="129">
        <f ca="1"/>
        <v>0</v>
      </c>
      <c r="T32" s="129">
        <f ca="1"/>
        <v>0</v>
      </c>
      <c r="U32" s="129">
        <f ca="1"/>
        <v>0</v>
      </c>
      <c r="V32" s="130" t="str">
        <f ca="1"/>
        <v/>
      </c>
      <c r="W32" s="131" t="str">
        <f ca="1"/>
        <v/>
      </c>
      <c r="X32" s="131" t="str">
        <f ca="1"/>
        <v/>
      </c>
      <c r="Y32" s="131" t="str">
        <f ca="1"/>
        <v/>
      </c>
      <c r="Z32" s="139" t="e">
        <f t="shared" ref="Z32:Z36" ca="1" si="7">S32/R32</f>
        <v>#DIV/0!</v>
      </c>
      <c r="AA32" s="139" t="str">
        <f t="shared" ref="AA32:AA36" ca="1" si="8">IF(R32&gt;=20,Z32,"")</f>
        <v/>
      </c>
    </row>
    <row r="33" spans="1:27" ht="11.25" x14ac:dyDescent="0.2">
      <c r="A33">
        <v>32</v>
      </c>
      <c r="B33">
        <f>MATCH(A33,Bowling!$AU$5:$AU$54,0)</f>
        <v>18</v>
      </c>
      <c r="C33" t="str">
        <f ca="1">OFFSET(Bowling!$B$4,BowlAves!B33,0)</f>
        <v>Khan A</v>
      </c>
      <c r="D33" s="120">
        <f t="array" aca="1" ref="D33:K33" ca="1">OFFSET(Bowling!$AL$4,BowlAves!B33,0,1,8)</f>
        <v>0</v>
      </c>
      <c r="E33" s="121">
        <f ca="1"/>
        <v>0</v>
      </c>
      <c r="F33" s="121">
        <f ca="1"/>
        <v>0</v>
      </c>
      <c r="G33" s="121">
        <f ca="1"/>
        <v>0</v>
      </c>
      <c r="H33" s="62" t="str">
        <f ca="1"/>
        <v/>
      </c>
      <c r="I33" s="123" t="str">
        <f ca="1"/>
        <v/>
      </c>
      <c r="J33" s="123" t="str">
        <f ca="1"/>
        <v/>
      </c>
      <c r="K33" s="124" t="str">
        <f ca="1"/>
        <v/>
      </c>
      <c r="L33" s="124">
        <f t="shared" ca="1" si="0"/>
        <v>1032</v>
      </c>
      <c r="M33" s="124">
        <f t="shared" ca="1" si="1"/>
        <v>32</v>
      </c>
      <c r="N33" t="str">
        <f t="shared" ca="1" si="2"/>
        <v xml:space="preserve">Khan A 0-0-0-0, </v>
      </c>
      <c r="P33" s="127">
        <v>31</v>
      </c>
      <c r="Q33" s="128" t="str">
        <f t="array" aca="1" ref="Q33:Y33" ca="1">OFFSET($C$2,MATCH(P33,$M$2:$M$51,0)-1,0,1,9)</f>
        <v>"Luca"</v>
      </c>
      <c r="R33" s="129">
        <f ca="1"/>
        <v>0</v>
      </c>
      <c r="S33" s="129">
        <f ca="1"/>
        <v>0</v>
      </c>
      <c r="T33" s="129">
        <f ca="1"/>
        <v>0</v>
      </c>
      <c r="U33" s="129">
        <f ca="1"/>
        <v>0</v>
      </c>
      <c r="V33" s="130" t="str">
        <f ca="1"/>
        <v/>
      </c>
      <c r="W33" s="131" t="str">
        <f ca="1"/>
        <v/>
      </c>
      <c r="X33" s="131" t="str">
        <f ca="1"/>
        <v/>
      </c>
      <c r="Y33" s="131" t="str">
        <f ca="1"/>
        <v/>
      </c>
      <c r="Z33" s="139" t="e">
        <f t="shared" ca="1" si="7"/>
        <v>#DIV/0!</v>
      </c>
      <c r="AA33" s="139" t="str">
        <f t="shared" ca="1" si="8"/>
        <v/>
      </c>
    </row>
    <row r="34" spans="1:27" ht="11.25" x14ac:dyDescent="0.2">
      <c r="A34">
        <v>33</v>
      </c>
      <c r="B34">
        <f>MATCH(A34,Bowling!$AU$5:$AU$54,0)</f>
        <v>22</v>
      </c>
      <c r="C34" t="str">
        <f ca="1">OFFSET(Bowling!$B$4,BowlAves!B34,0)</f>
        <v>Middleton J</v>
      </c>
      <c r="D34" s="120">
        <f t="array" aca="1" ref="D34:K34" ca="1">OFFSET(Bowling!$AL$4,BowlAves!B34,0,1,8)</f>
        <v>0</v>
      </c>
      <c r="E34" s="121">
        <f ca="1"/>
        <v>0</v>
      </c>
      <c r="F34" s="121">
        <f ca="1"/>
        <v>0</v>
      </c>
      <c r="G34" s="121">
        <f ca="1"/>
        <v>0</v>
      </c>
      <c r="H34" s="62" t="str">
        <f ca="1"/>
        <v/>
      </c>
      <c r="I34" s="123" t="str">
        <f ca="1"/>
        <v/>
      </c>
      <c r="J34" s="123" t="str">
        <f ca="1"/>
        <v/>
      </c>
      <c r="K34" s="124" t="str">
        <f ca="1"/>
        <v/>
      </c>
      <c r="L34" s="124">
        <f t="shared" ca="1" si="0"/>
        <v>1033</v>
      </c>
      <c r="M34" s="124">
        <f t="shared" ca="1" si="1"/>
        <v>33</v>
      </c>
      <c r="N34" t="str">
        <f t="shared" ca="1" si="2"/>
        <v xml:space="preserve">Middleton J 0-0-0-0, </v>
      </c>
      <c r="P34" s="127">
        <v>32</v>
      </c>
      <c r="Q34" s="128" t="str">
        <f t="array" aca="1" ref="Q34:Y34" ca="1">OFFSET($C$2,MATCH(P34,$M$2:$M$51,0)-1,0,1,9)</f>
        <v>Khan A</v>
      </c>
      <c r="R34" s="129">
        <f ca="1"/>
        <v>0</v>
      </c>
      <c r="S34" s="129">
        <f ca="1"/>
        <v>0</v>
      </c>
      <c r="T34" s="129">
        <f ca="1"/>
        <v>0</v>
      </c>
      <c r="U34" s="129">
        <f ca="1"/>
        <v>0</v>
      </c>
      <c r="V34" s="130" t="str">
        <f ca="1"/>
        <v/>
      </c>
      <c r="W34" s="131" t="str">
        <f ca="1"/>
        <v/>
      </c>
      <c r="X34" s="131" t="str">
        <f ca="1"/>
        <v/>
      </c>
      <c r="Y34" s="131" t="str">
        <f ca="1"/>
        <v/>
      </c>
      <c r="Z34" s="139" t="e">
        <f t="shared" ca="1" si="7"/>
        <v>#DIV/0!</v>
      </c>
      <c r="AA34" s="139" t="str">
        <f t="shared" ca="1" si="8"/>
        <v/>
      </c>
    </row>
    <row r="35" spans="1:27" ht="11.25" x14ac:dyDescent="0.2">
      <c r="A35">
        <v>34</v>
      </c>
      <c r="B35">
        <f>MATCH(A35,Bowling!$AU$5:$AU$54,0)</f>
        <v>24</v>
      </c>
      <c r="C35" t="str">
        <f ca="1">OFFSET(Bowling!$B$4,BowlAves!B35,0)</f>
        <v>Niran S</v>
      </c>
      <c r="D35" s="120">
        <f t="array" aca="1" ref="D35:K35" ca="1">OFFSET(Bowling!$AL$4,BowlAves!B35,0,1,8)</f>
        <v>0</v>
      </c>
      <c r="E35" s="121">
        <f ca="1"/>
        <v>0</v>
      </c>
      <c r="F35" s="121">
        <f ca="1"/>
        <v>0</v>
      </c>
      <c r="G35" s="121">
        <f ca="1"/>
        <v>0</v>
      </c>
      <c r="H35" s="62" t="str">
        <f ca="1"/>
        <v/>
      </c>
      <c r="I35" s="123" t="str">
        <f ca="1"/>
        <v/>
      </c>
      <c r="J35" s="123" t="str">
        <f ca="1"/>
        <v/>
      </c>
      <c r="K35" s="124" t="str">
        <f ca="1"/>
        <v/>
      </c>
      <c r="L35" s="124">
        <f t="shared" ca="1" si="0"/>
        <v>1034</v>
      </c>
      <c r="M35" s="124">
        <f t="shared" ca="1" si="1"/>
        <v>34</v>
      </c>
      <c r="N35" t="str">
        <f t="shared" ca="1" si="2"/>
        <v xml:space="preserve">Niran S 0-0-0-0, </v>
      </c>
      <c r="P35" s="127">
        <v>33</v>
      </c>
      <c r="Q35" s="128" t="str">
        <f t="array" aca="1" ref="Q35:Y35" ca="1">OFFSET($C$2,MATCH(P35,$M$2:$M$51,0)-1,0,1,9)</f>
        <v>Middleton J</v>
      </c>
      <c r="R35" s="129">
        <f ca="1"/>
        <v>0</v>
      </c>
      <c r="S35" s="129">
        <f ca="1"/>
        <v>0</v>
      </c>
      <c r="T35" s="129">
        <f ca="1"/>
        <v>0</v>
      </c>
      <c r="U35" s="129">
        <f ca="1"/>
        <v>0</v>
      </c>
      <c r="V35" s="130" t="str">
        <f ca="1"/>
        <v/>
      </c>
      <c r="W35" s="131" t="str">
        <f ca="1"/>
        <v/>
      </c>
      <c r="X35" s="131" t="str">
        <f ca="1"/>
        <v/>
      </c>
      <c r="Y35" s="131" t="str">
        <f ca="1"/>
        <v/>
      </c>
      <c r="Z35" s="139" t="e">
        <f t="shared" ca="1" si="7"/>
        <v>#DIV/0!</v>
      </c>
      <c r="AA35" s="139" t="str">
        <f t="shared" ca="1" si="8"/>
        <v/>
      </c>
    </row>
    <row r="36" spans="1:27" ht="11.25" x14ac:dyDescent="0.2">
      <c r="A36">
        <v>35</v>
      </c>
      <c r="B36">
        <f>MATCH(A36,Bowling!$AU$5:$AU$54,0)</f>
        <v>27</v>
      </c>
      <c r="C36" t="str">
        <f ca="1">OFFSET(Bowling!$B$4,BowlAves!B36,0)</f>
        <v>Patel M</v>
      </c>
      <c r="D36" s="120">
        <f t="array" aca="1" ref="D36:K36" ca="1">OFFSET(Bowling!$AL$4,BowlAves!B36,0,1,8)</f>
        <v>0</v>
      </c>
      <c r="E36" s="121">
        <f ca="1"/>
        <v>0</v>
      </c>
      <c r="F36" s="121">
        <f ca="1"/>
        <v>0</v>
      </c>
      <c r="G36" s="121">
        <f ca="1"/>
        <v>0</v>
      </c>
      <c r="H36" s="62" t="str">
        <f ca="1"/>
        <v/>
      </c>
      <c r="I36" s="123" t="str">
        <f ca="1"/>
        <v/>
      </c>
      <c r="J36" s="123" t="str">
        <f ca="1"/>
        <v/>
      </c>
      <c r="K36" s="124" t="str">
        <f ca="1"/>
        <v/>
      </c>
      <c r="L36" s="124">
        <f t="shared" ca="1" si="0"/>
        <v>1035</v>
      </c>
      <c r="M36" s="124">
        <f t="shared" ca="1" si="1"/>
        <v>35</v>
      </c>
      <c r="N36" t="str">
        <f t="shared" ca="1" si="2"/>
        <v xml:space="preserve">Patel M 0-0-0-0, </v>
      </c>
      <c r="P36" s="127">
        <v>34</v>
      </c>
      <c r="Q36" s="128" t="str">
        <f t="array" aca="1" ref="Q36:Y36" ca="1">OFFSET($C$2,MATCH(P36,$M$2:$M$51,0)-1,0,1,9)</f>
        <v>Niran S</v>
      </c>
      <c r="R36" s="129">
        <f ca="1"/>
        <v>0</v>
      </c>
      <c r="S36" s="129">
        <f ca="1"/>
        <v>0</v>
      </c>
      <c r="T36" s="129">
        <f ca="1"/>
        <v>0</v>
      </c>
      <c r="U36" s="129">
        <f ca="1"/>
        <v>0</v>
      </c>
      <c r="V36" s="130" t="str">
        <f ca="1"/>
        <v/>
      </c>
      <c r="W36" s="131" t="str">
        <f ca="1"/>
        <v/>
      </c>
      <c r="X36" s="131" t="str">
        <f ca="1"/>
        <v/>
      </c>
      <c r="Y36" s="131" t="str">
        <f ca="1"/>
        <v/>
      </c>
      <c r="Z36" s="139" t="e">
        <f t="shared" ca="1" si="7"/>
        <v>#DIV/0!</v>
      </c>
      <c r="AA36" s="139" t="str">
        <f t="shared" ca="1" si="8"/>
        <v/>
      </c>
    </row>
    <row r="37" spans="1:27" ht="11.25" x14ac:dyDescent="0.2">
      <c r="A37">
        <v>36</v>
      </c>
      <c r="B37">
        <f>MATCH(A37,Bowling!$AU$5:$AU$54,0)</f>
        <v>28</v>
      </c>
      <c r="C37" t="str">
        <f ca="1">OFFSET(Bowling!$B$4,BowlAves!B37,0)</f>
        <v>Patel S</v>
      </c>
      <c r="D37" s="120">
        <f t="array" aca="1" ref="D37:K37" ca="1">OFFSET(Bowling!$AL$4,BowlAves!B37,0,1,8)</f>
        <v>0</v>
      </c>
      <c r="E37" s="121">
        <f ca="1"/>
        <v>0</v>
      </c>
      <c r="F37" s="121">
        <f ca="1"/>
        <v>0</v>
      </c>
      <c r="G37" s="121">
        <f ca="1"/>
        <v>0</v>
      </c>
      <c r="H37" s="62" t="str">
        <f ca="1"/>
        <v/>
      </c>
      <c r="I37" s="123" t="str">
        <f ca="1"/>
        <v/>
      </c>
      <c r="J37" s="123" t="str">
        <f ca="1"/>
        <v/>
      </c>
      <c r="K37" s="124" t="str">
        <f ca="1"/>
        <v/>
      </c>
      <c r="L37" s="124">
        <f t="shared" ca="1" si="0"/>
        <v>1036</v>
      </c>
      <c r="M37" s="124">
        <f t="shared" ca="1" si="1"/>
        <v>36</v>
      </c>
      <c r="N37" t="str">
        <f t="shared" ca="1" si="2"/>
        <v xml:space="preserve">Patel S 0-0-0-0, </v>
      </c>
      <c r="P37" s="127">
        <v>35</v>
      </c>
      <c r="Q37" s="128" t="str">
        <f t="array" aca="1" ref="Q37:Y37" ca="1">OFFSET($C$2,MATCH(P37,$M$2:$M$51,0)-1,0,1,9)</f>
        <v>Patel M</v>
      </c>
      <c r="R37" s="129">
        <f ca="1"/>
        <v>0</v>
      </c>
      <c r="S37" s="129">
        <f ca="1"/>
        <v>0</v>
      </c>
      <c r="T37" s="129">
        <f ca="1"/>
        <v>0</v>
      </c>
      <c r="U37" s="129">
        <f ca="1"/>
        <v>0</v>
      </c>
      <c r="V37" s="130" t="str">
        <f ca="1"/>
        <v/>
      </c>
      <c r="W37" s="131" t="str">
        <f ca="1"/>
        <v/>
      </c>
      <c r="X37" s="131" t="str">
        <f ca="1"/>
        <v/>
      </c>
      <c r="Y37" s="131" t="str">
        <f ca="1"/>
        <v/>
      </c>
      <c r="Z37" s="139" t="e">
        <f t="shared" ref="Z37:Z38" ca="1" si="9">S37/R37</f>
        <v>#DIV/0!</v>
      </c>
      <c r="AA37" s="139" t="str">
        <f t="shared" ref="AA37:AA38" ca="1" si="10">IF(R37&gt;=20,Z37,"")</f>
        <v/>
      </c>
    </row>
    <row r="38" spans="1:27" ht="11.25" x14ac:dyDescent="0.2">
      <c r="A38">
        <v>37</v>
      </c>
      <c r="B38">
        <f>MATCH(A38,Bowling!$AU$5:$AU$54,0)</f>
        <v>29</v>
      </c>
      <c r="C38" t="str">
        <f ca="1">OFFSET(Bowling!$B$4,BowlAves!B38,0)</f>
        <v>Roy A</v>
      </c>
      <c r="D38" s="120">
        <f t="array" aca="1" ref="D38:K38" ca="1">OFFSET(Bowling!$AL$4,BowlAves!B38,0,1,8)</f>
        <v>0</v>
      </c>
      <c r="E38" s="121">
        <f ca="1"/>
        <v>0</v>
      </c>
      <c r="F38" s="121">
        <f ca="1"/>
        <v>0</v>
      </c>
      <c r="G38" s="121">
        <f ca="1"/>
        <v>0</v>
      </c>
      <c r="H38" s="62" t="str">
        <f ca="1"/>
        <v/>
      </c>
      <c r="I38" s="123" t="str">
        <f ca="1"/>
        <v/>
      </c>
      <c r="J38" s="123" t="str">
        <f ca="1"/>
        <v/>
      </c>
      <c r="K38" s="124" t="str">
        <f ca="1"/>
        <v/>
      </c>
      <c r="L38" s="124">
        <f t="shared" ca="1" si="0"/>
        <v>1037</v>
      </c>
      <c r="M38" s="124">
        <f t="shared" ca="1" si="1"/>
        <v>37</v>
      </c>
      <c r="N38" t="str">
        <f t="shared" ca="1" si="2"/>
        <v xml:space="preserve">Roy A 0-0-0-0, </v>
      </c>
      <c r="P38" s="127">
        <v>36</v>
      </c>
      <c r="Q38" s="128" t="str">
        <f t="array" aca="1" ref="Q38:Y38" ca="1">OFFSET($C$2,MATCH(P38,$M$2:$M$51,0)-1,0,1,9)</f>
        <v>Patel S</v>
      </c>
      <c r="R38" s="129">
        <f ca="1"/>
        <v>0</v>
      </c>
      <c r="S38" s="129">
        <f ca="1"/>
        <v>0</v>
      </c>
      <c r="T38" s="129">
        <f ca="1"/>
        <v>0</v>
      </c>
      <c r="U38" s="129">
        <f ca="1"/>
        <v>0</v>
      </c>
      <c r="V38" s="130" t="str">
        <f ca="1"/>
        <v/>
      </c>
      <c r="W38" s="131" t="str">
        <f ca="1"/>
        <v/>
      </c>
      <c r="X38" s="131" t="str">
        <f ca="1"/>
        <v/>
      </c>
      <c r="Y38" s="131" t="str">
        <f ca="1"/>
        <v/>
      </c>
      <c r="Z38" s="139" t="e">
        <f t="shared" ca="1" si="9"/>
        <v>#DIV/0!</v>
      </c>
      <c r="AA38" s="139" t="str">
        <f t="shared" ca="1" si="10"/>
        <v/>
      </c>
    </row>
    <row r="39" spans="1:27" ht="11.25" x14ac:dyDescent="0.15">
      <c r="A39">
        <v>38</v>
      </c>
      <c r="B39">
        <f>MATCH(A39,Bowling!$AU$5:$AU$54,0)</f>
        <v>30</v>
      </c>
      <c r="C39" t="str">
        <f ca="1">OFFSET(Bowling!$B$4,BowlAves!B39,0)</f>
        <v>Rugg D</v>
      </c>
      <c r="D39" s="120">
        <f t="array" aca="1" ref="D39:K39" ca="1">OFFSET(Bowling!$AL$4,BowlAves!B39,0,1,8)</f>
        <v>0</v>
      </c>
      <c r="E39" s="121">
        <f ca="1"/>
        <v>0</v>
      </c>
      <c r="F39" s="121">
        <f ca="1"/>
        <v>0</v>
      </c>
      <c r="G39" s="121">
        <f ca="1"/>
        <v>0</v>
      </c>
      <c r="H39" s="62" t="str">
        <f ca="1"/>
        <v/>
      </c>
      <c r="I39" s="123" t="str">
        <f ca="1"/>
        <v/>
      </c>
      <c r="J39" s="123" t="str">
        <f ca="1"/>
        <v/>
      </c>
      <c r="K39" s="124" t="str">
        <f ca="1"/>
        <v/>
      </c>
      <c r="L39" s="124">
        <f t="shared" ca="1" si="0"/>
        <v>1038</v>
      </c>
      <c r="M39" s="124">
        <f t="shared" ca="1" si="1"/>
        <v>38</v>
      </c>
      <c r="N39" t="str">
        <f t="shared" ca="1" si="2"/>
        <v xml:space="preserve">Rugg D 0-0-0-0, </v>
      </c>
      <c r="Q39" t="s">
        <v>194</v>
      </c>
      <c r="W39" s="127"/>
    </row>
    <row r="40" spans="1:27" ht="11.25" x14ac:dyDescent="0.15">
      <c r="A40">
        <v>39</v>
      </c>
      <c r="B40">
        <f>MATCH(A40,Bowling!$AU$5:$AU$54,0)</f>
        <v>31</v>
      </c>
      <c r="C40" t="str">
        <f ca="1">OFFSET(Bowling!$B$4,BowlAves!B40,0)</f>
        <v>Sajjid A</v>
      </c>
      <c r="D40" s="120">
        <f t="array" aca="1" ref="D40:K40" ca="1">OFFSET(Bowling!$AL$4,BowlAves!B40,0,1,8)</f>
        <v>0</v>
      </c>
      <c r="E40" s="121">
        <f ca="1"/>
        <v>0</v>
      </c>
      <c r="F40" s="121">
        <f ca="1"/>
        <v>0</v>
      </c>
      <c r="G40" s="121">
        <f ca="1"/>
        <v>0</v>
      </c>
      <c r="H40" s="62" t="str">
        <f ca="1"/>
        <v/>
      </c>
      <c r="I40" s="123" t="str">
        <f ca="1"/>
        <v/>
      </c>
      <c r="J40" s="123" t="str">
        <f ca="1"/>
        <v/>
      </c>
      <c r="K40" s="124" t="str">
        <f ca="1"/>
        <v/>
      </c>
      <c r="L40" s="124">
        <f t="shared" ca="1" si="0"/>
        <v>1039</v>
      </c>
      <c r="M40" s="124">
        <f t="shared" ca="1" si="1"/>
        <v>39</v>
      </c>
      <c r="N40" t="str">
        <f t="shared" ca="1" si="2"/>
        <v xml:space="preserve">Sajjid A 0-0-0-0, </v>
      </c>
      <c r="Q40" t="s">
        <v>194</v>
      </c>
      <c r="W40" s="127"/>
    </row>
    <row r="41" spans="1:27" ht="11.25" x14ac:dyDescent="0.15">
      <c r="A41">
        <v>40</v>
      </c>
      <c r="B41">
        <f>MATCH(A41,Bowling!$AU$5:$AU$54,0)</f>
        <v>33</v>
      </c>
      <c r="C41" t="str">
        <f ca="1">OFFSET(Bowling!$B$4,BowlAves!B41,0)</f>
        <v>Seev J</v>
      </c>
      <c r="D41" s="120">
        <f t="array" aca="1" ref="D41:K41" ca="1">OFFSET(Bowling!$AL$4,BowlAves!B41,0,1,8)</f>
        <v>0</v>
      </c>
      <c r="E41" s="121">
        <f ca="1"/>
        <v>0</v>
      </c>
      <c r="F41" s="121">
        <f ca="1"/>
        <v>0</v>
      </c>
      <c r="G41" s="121">
        <f ca="1"/>
        <v>0</v>
      </c>
      <c r="H41" s="62" t="str">
        <f ca="1"/>
        <v/>
      </c>
      <c r="I41" s="123" t="str">
        <f ca="1"/>
        <v/>
      </c>
      <c r="J41" s="123" t="str">
        <f ca="1"/>
        <v/>
      </c>
      <c r="K41" s="124" t="str">
        <f ca="1"/>
        <v/>
      </c>
      <c r="L41" s="124">
        <f t="shared" ca="1" si="0"/>
        <v>1040</v>
      </c>
      <c r="M41" s="124">
        <f t="shared" ca="1" si="1"/>
        <v>40</v>
      </c>
      <c r="N41" t="str">
        <f t="shared" ca="1" si="2"/>
        <v xml:space="preserve">Seev J 0-0-0-0, </v>
      </c>
      <c r="Q41" t="s">
        <v>194</v>
      </c>
      <c r="W41" s="127"/>
    </row>
    <row r="42" spans="1:27" ht="11.25" x14ac:dyDescent="0.15">
      <c r="A42">
        <v>41</v>
      </c>
      <c r="B42">
        <f>MATCH(A42,Bowling!$AU$5:$AU$54,0)</f>
        <v>35</v>
      </c>
      <c r="C42" t="str">
        <f ca="1">OFFSET(Bowling!$B$4,BowlAves!B42,0)</f>
        <v>Seymour D</v>
      </c>
      <c r="D42" s="120">
        <f t="array" aca="1" ref="D42:K42" ca="1">OFFSET(Bowling!$AL$4,BowlAves!B42,0,1,8)</f>
        <v>0</v>
      </c>
      <c r="E42" s="121">
        <f ca="1"/>
        <v>0</v>
      </c>
      <c r="F42" s="121">
        <f ca="1"/>
        <v>0</v>
      </c>
      <c r="G42" s="121">
        <f ca="1"/>
        <v>0</v>
      </c>
      <c r="H42" s="62" t="str">
        <f ca="1"/>
        <v/>
      </c>
      <c r="I42" s="123" t="str">
        <f ca="1"/>
        <v/>
      </c>
      <c r="J42" s="123" t="str">
        <f ca="1"/>
        <v/>
      </c>
      <c r="K42" s="124" t="str">
        <f ca="1"/>
        <v/>
      </c>
      <c r="L42" s="124">
        <f t="shared" ca="1" si="0"/>
        <v>1041</v>
      </c>
      <c r="M42" s="124">
        <f t="shared" ca="1" si="1"/>
        <v>41</v>
      </c>
      <c r="N42" t="str">
        <f t="shared" ca="1" si="2"/>
        <v xml:space="preserve">Seymour D 0-0-0-0, </v>
      </c>
      <c r="Q42" t="s">
        <v>194</v>
      </c>
      <c r="W42" s="127"/>
      <c r="X42" t="s">
        <v>194</v>
      </c>
    </row>
    <row r="43" spans="1:27" ht="11.25" x14ac:dyDescent="0.15">
      <c r="A43">
        <v>42</v>
      </c>
      <c r="B43">
        <f>MATCH(A43,Bowling!$AU$5:$AU$54,0)</f>
        <v>36</v>
      </c>
      <c r="C43" t="str">
        <f ca="1">OFFSET(Bowling!$B$4,BowlAves!B43,0)</f>
        <v>Sharpe D</v>
      </c>
      <c r="D43" s="120">
        <f t="array" aca="1" ref="D43:K43" ca="1">OFFSET(Bowling!$AL$4,BowlAves!B43,0,1,8)</f>
        <v>0</v>
      </c>
      <c r="E43" s="121">
        <f ca="1"/>
        <v>0</v>
      </c>
      <c r="F43" s="121">
        <f ca="1"/>
        <v>0</v>
      </c>
      <c r="G43" s="121">
        <f ca="1"/>
        <v>0</v>
      </c>
      <c r="H43" s="62" t="str">
        <f ca="1"/>
        <v/>
      </c>
      <c r="I43" s="123" t="str">
        <f ca="1"/>
        <v/>
      </c>
      <c r="J43" s="123" t="str">
        <f ca="1"/>
        <v/>
      </c>
      <c r="K43" s="124" t="str">
        <f ca="1"/>
        <v/>
      </c>
      <c r="L43" s="124">
        <f t="shared" ca="1" si="0"/>
        <v>1042</v>
      </c>
      <c r="M43" s="124">
        <f t="shared" ca="1" si="1"/>
        <v>42</v>
      </c>
      <c r="N43" t="str">
        <f t="shared" ca="1" si="2"/>
        <v xml:space="preserve">Sharpe D 0-0-0-0, </v>
      </c>
      <c r="Q43" t="s">
        <v>194</v>
      </c>
      <c r="W43" s="127"/>
      <c r="X43" t="s">
        <v>194</v>
      </c>
    </row>
    <row r="44" spans="1:27" ht="11.25" x14ac:dyDescent="0.15">
      <c r="A44">
        <v>43</v>
      </c>
      <c r="B44">
        <f>MATCH(A44,Bowling!$AU$5:$AU$54,0)</f>
        <v>40</v>
      </c>
      <c r="C44" t="str">
        <f ca="1">OFFSET(Bowling!$B$4,BowlAves!B44,0)</f>
        <v>Smith C</v>
      </c>
      <c r="D44" s="120">
        <f t="array" aca="1" ref="D44:K44" ca="1">OFFSET(Bowling!$AL$4,BowlAves!B44,0,1,8)</f>
        <v>0</v>
      </c>
      <c r="E44" s="121">
        <f ca="1"/>
        <v>0</v>
      </c>
      <c r="F44" s="121">
        <f ca="1"/>
        <v>0</v>
      </c>
      <c r="G44" s="121">
        <f ca="1"/>
        <v>0</v>
      </c>
      <c r="H44" s="62" t="str">
        <f ca="1"/>
        <v/>
      </c>
      <c r="I44" s="123" t="str">
        <f ca="1"/>
        <v/>
      </c>
      <c r="J44" s="123" t="str">
        <f ca="1"/>
        <v/>
      </c>
      <c r="K44" s="124" t="str">
        <f ca="1"/>
        <v/>
      </c>
      <c r="L44" s="124">
        <f t="shared" ca="1" si="0"/>
        <v>1043</v>
      </c>
      <c r="M44" s="124">
        <f t="shared" ca="1" si="1"/>
        <v>43</v>
      </c>
      <c r="N44" t="str">
        <f t="shared" ca="1" si="2"/>
        <v xml:space="preserve">Smith C 0-0-0-0, </v>
      </c>
      <c r="Q44" t="s">
        <v>194</v>
      </c>
      <c r="W44" s="127"/>
      <c r="X44" t="s">
        <v>194</v>
      </c>
    </row>
    <row r="45" spans="1:27" ht="11.25" x14ac:dyDescent="0.15">
      <c r="A45">
        <v>44</v>
      </c>
      <c r="B45">
        <f>MATCH(A45,Bowling!$AU$5:$AU$54,0)</f>
        <v>41</v>
      </c>
      <c r="C45" t="str">
        <f ca="1">OFFSET(Bowling!$B$4,BowlAves!B45,0)</f>
        <v>Sunkara C</v>
      </c>
      <c r="D45" s="120">
        <f t="array" aca="1" ref="D45:K45" ca="1">OFFSET(Bowling!$AL$4,BowlAves!B45,0,1,8)</f>
        <v>0</v>
      </c>
      <c r="E45" s="121">
        <f ca="1"/>
        <v>0</v>
      </c>
      <c r="F45" s="121">
        <f ca="1"/>
        <v>0</v>
      </c>
      <c r="G45" s="121">
        <f ca="1"/>
        <v>0</v>
      </c>
      <c r="H45" s="62" t="str">
        <f ca="1"/>
        <v/>
      </c>
      <c r="I45" s="123" t="str">
        <f ca="1"/>
        <v/>
      </c>
      <c r="J45" s="123" t="str">
        <f ca="1"/>
        <v/>
      </c>
      <c r="K45" s="124" t="str">
        <f ca="1"/>
        <v/>
      </c>
      <c r="L45" s="124">
        <f t="shared" ca="1" si="0"/>
        <v>1044</v>
      </c>
      <c r="M45" s="124">
        <f t="shared" ca="1" si="1"/>
        <v>44</v>
      </c>
      <c r="N45" t="str">
        <f t="shared" ca="1" si="2"/>
        <v xml:space="preserve">Sunkara C 0-0-0-0, </v>
      </c>
      <c r="Q45" t="s">
        <v>194</v>
      </c>
      <c r="W45" s="127"/>
    </row>
    <row r="46" spans="1:27" ht="11.25" x14ac:dyDescent="0.15">
      <c r="A46">
        <v>45</v>
      </c>
      <c r="B46">
        <f>MATCH(A46,Bowling!$AU$5:$AU$54,0)</f>
        <v>43</v>
      </c>
      <c r="C46" t="str">
        <f ca="1">OFFSET(Bowling!$B$4,BowlAves!B46,0)</f>
        <v>Stevenson R</v>
      </c>
      <c r="D46" s="120">
        <f t="array" aca="1" ref="D46:K46" ca="1">OFFSET(Bowling!$AL$4,BowlAves!B46,0,1,8)</f>
        <v>0</v>
      </c>
      <c r="E46" s="121">
        <f ca="1"/>
        <v>0</v>
      </c>
      <c r="F46" s="121">
        <f ca="1"/>
        <v>0</v>
      </c>
      <c r="G46" s="121">
        <f ca="1"/>
        <v>0</v>
      </c>
      <c r="H46" s="62" t="str">
        <f ca="1"/>
        <v/>
      </c>
      <c r="I46" s="123" t="str">
        <f ca="1"/>
        <v/>
      </c>
      <c r="J46" s="123" t="str">
        <f ca="1"/>
        <v/>
      </c>
      <c r="K46" s="124" t="str">
        <f ca="1"/>
        <v/>
      </c>
      <c r="L46" s="124">
        <f t="shared" ca="1" si="0"/>
        <v>1045</v>
      </c>
      <c r="M46" s="124">
        <f t="shared" ca="1" si="1"/>
        <v>45</v>
      </c>
      <c r="N46" t="str">
        <f t="shared" ca="1" si="2"/>
        <v xml:space="preserve">Stevenson R 0-0-0-0, </v>
      </c>
      <c r="W46" s="127"/>
    </row>
    <row r="47" spans="1:27" ht="11.25" x14ac:dyDescent="0.15">
      <c r="A47">
        <v>46</v>
      </c>
      <c r="B47">
        <f>MATCH(A47,Bowling!$AU$5:$AU$54,0)</f>
        <v>45</v>
      </c>
      <c r="C47" t="str">
        <f ca="1">OFFSET(Bowling!$B$4,BowlAves!B47,0)</f>
        <v>Taylor C</v>
      </c>
      <c r="D47" s="120">
        <f t="array" aca="1" ref="D47:K47" ca="1">OFFSET(Bowling!$AL$4,BowlAves!B47,0,1,8)</f>
        <v>0</v>
      </c>
      <c r="E47" s="121">
        <f ca="1"/>
        <v>0</v>
      </c>
      <c r="F47" s="121">
        <f ca="1"/>
        <v>0</v>
      </c>
      <c r="G47" s="121">
        <f ca="1"/>
        <v>0</v>
      </c>
      <c r="H47" s="62" t="str">
        <f ca="1"/>
        <v/>
      </c>
      <c r="I47" s="123" t="str">
        <f ca="1"/>
        <v/>
      </c>
      <c r="J47" s="123" t="str">
        <f ca="1"/>
        <v/>
      </c>
      <c r="K47" s="124" t="str">
        <f ca="1"/>
        <v/>
      </c>
      <c r="L47" s="124">
        <f t="shared" ca="1" si="0"/>
        <v>1046</v>
      </c>
      <c r="M47" s="124">
        <f t="shared" ca="1" si="1"/>
        <v>46</v>
      </c>
      <c r="N47" t="str">
        <f t="shared" ca="1" si="2"/>
        <v xml:space="preserve">Taylor C 0-0-0-0, </v>
      </c>
      <c r="W47" s="127"/>
    </row>
    <row r="48" spans="1:27" ht="11.25" x14ac:dyDescent="0.15">
      <c r="A48">
        <v>47</v>
      </c>
      <c r="B48">
        <f>MATCH(A48,Bowling!$AU$5:$AU$54,0)</f>
        <v>46</v>
      </c>
      <c r="C48" t="str">
        <f ca="1">OFFSET(Bowling!$B$4,BowlAves!B48,0)</f>
        <v>Umar S</v>
      </c>
      <c r="D48" s="120">
        <f t="array" aca="1" ref="D48:K48" ca="1">OFFSET(Bowling!$AL$4,BowlAves!B48,0,1,8)</f>
        <v>0</v>
      </c>
      <c r="E48" s="121">
        <f ca="1"/>
        <v>0</v>
      </c>
      <c r="F48" s="121">
        <f ca="1"/>
        <v>0</v>
      </c>
      <c r="G48" s="121">
        <f ca="1"/>
        <v>0</v>
      </c>
      <c r="H48" s="62" t="str">
        <f ca="1"/>
        <v/>
      </c>
      <c r="I48" s="123" t="str">
        <f ca="1"/>
        <v/>
      </c>
      <c r="J48" s="123" t="str">
        <f ca="1"/>
        <v/>
      </c>
      <c r="K48" s="124" t="str">
        <f ca="1"/>
        <v/>
      </c>
      <c r="L48" s="124">
        <f t="shared" ca="1" si="0"/>
        <v>1047</v>
      </c>
      <c r="M48" s="124">
        <f t="shared" ca="1" si="1"/>
        <v>47</v>
      </c>
      <c r="N48" t="str">
        <f t="shared" ca="1" si="2"/>
        <v xml:space="preserve">Umar S 0-0-0-0, </v>
      </c>
      <c r="W48" s="127"/>
    </row>
    <row r="49" spans="1:23" ht="11.25" x14ac:dyDescent="0.15">
      <c r="A49">
        <v>48</v>
      </c>
      <c r="B49">
        <f>MATCH(A49,Bowling!$AU$5:$AU$54,0)</f>
        <v>48</v>
      </c>
      <c r="C49" t="str">
        <f ca="1">OFFSET(Bowling!$B$4,BowlAves!B49,0)</f>
        <v>Viveganandan M</v>
      </c>
      <c r="D49" s="120">
        <f t="array" aca="1" ref="D49:K49" ca="1">OFFSET(Bowling!$AL$4,BowlAves!B49,0,1,8)</f>
        <v>0</v>
      </c>
      <c r="E49" s="121">
        <f ca="1"/>
        <v>0</v>
      </c>
      <c r="F49" s="121">
        <f ca="1"/>
        <v>0</v>
      </c>
      <c r="G49" s="121">
        <f ca="1"/>
        <v>0</v>
      </c>
      <c r="H49" s="62" t="str">
        <f ca="1"/>
        <v/>
      </c>
      <c r="I49" s="123" t="str">
        <f ca="1"/>
        <v/>
      </c>
      <c r="J49" s="123" t="str">
        <f ca="1"/>
        <v/>
      </c>
      <c r="K49" s="124" t="str">
        <f ca="1"/>
        <v/>
      </c>
      <c r="L49" s="124">
        <f t="shared" ca="1" si="0"/>
        <v>1048</v>
      </c>
      <c r="M49" s="124">
        <f t="shared" ca="1" si="1"/>
        <v>48</v>
      </c>
      <c r="N49" t="str">
        <f t="shared" ca="1" si="2"/>
        <v xml:space="preserve">Viveganandan M 0-0-0-0, </v>
      </c>
      <c r="W49" s="127"/>
    </row>
    <row r="50" spans="1:23" ht="11.25" x14ac:dyDescent="0.15">
      <c r="A50">
        <v>49</v>
      </c>
      <c r="B50">
        <f>MATCH(A50,Bowling!$AU$5:$AU$54,0)</f>
        <v>49</v>
      </c>
      <c r="C50" t="str">
        <f ca="1">OFFSET(Bowling!$B$4,BowlAves!B50,0)</f>
        <v>Wilson A</v>
      </c>
      <c r="D50" s="120">
        <f t="array" aca="1" ref="D50:K50" ca="1">OFFSET(Bowling!$AL$4,BowlAves!B50,0,1,8)</f>
        <v>0</v>
      </c>
      <c r="E50" s="121">
        <f ca="1"/>
        <v>0</v>
      </c>
      <c r="F50" s="121">
        <f ca="1"/>
        <v>0</v>
      </c>
      <c r="G50" s="121">
        <f ca="1"/>
        <v>0</v>
      </c>
      <c r="H50" s="62" t="str">
        <f ca="1"/>
        <v/>
      </c>
      <c r="I50" s="123" t="str">
        <f ca="1"/>
        <v/>
      </c>
      <c r="J50" s="123" t="str">
        <f ca="1"/>
        <v/>
      </c>
      <c r="K50" s="124" t="str">
        <f ca="1"/>
        <v/>
      </c>
      <c r="L50" s="124">
        <f t="shared" ca="1" si="0"/>
        <v>1049</v>
      </c>
      <c r="M50" s="124">
        <f t="shared" ca="1" si="1"/>
        <v>49</v>
      </c>
      <c r="N50" t="str">
        <f t="shared" ca="1" si="2"/>
        <v xml:space="preserve">Wilson A 0-0-0-0, </v>
      </c>
      <c r="W50" s="127"/>
    </row>
    <row r="51" spans="1:23" ht="11.25" x14ac:dyDescent="0.15">
      <c r="A51">
        <v>50</v>
      </c>
      <c r="B51">
        <f>MATCH(A51,Bowling!$AU$5:$AU$54,0)</f>
        <v>50</v>
      </c>
      <c r="C51">
        <f ca="1">OFFSET(Bowling!$B$4,BowlAves!B51,0)</f>
        <v>0</v>
      </c>
      <c r="D51" s="120">
        <f t="array" aca="1" ref="D51:K51" ca="1">OFFSET(Bowling!$AL$4,BowlAves!B51,0,1,8)</f>
        <v>0</v>
      </c>
      <c r="E51" s="121">
        <f ca="1"/>
        <v>0</v>
      </c>
      <c r="F51" s="121">
        <f ca="1"/>
        <v>0</v>
      </c>
      <c r="G51" s="121">
        <f ca="1"/>
        <v>0</v>
      </c>
      <c r="H51" s="62" t="str">
        <f ca="1"/>
        <v/>
      </c>
      <c r="I51" s="123" t="str">
        <f ca="1"/>
        <v/>
      </c>
      <c r="J51" s="123" t="str">
        <f ca="1"/>
        <v/>
      </c>
      <c r="K51" s="124" t="str">
        <f ca="1"/>
        <v/>
      </c>
      <c r="L51" s="124">
        <f t="shared" ca="1" si="0"/>
        <v>1050</v>
      </c>
      <c r="M51" s="124">
        <f t="shared" ca="1" si="1"/>
        <v>50</v>
      </c>
      <c r="N51" t="str">
        <f t="shared" ca="1" si="2"/>
        <v xml:space="preserve">0 0-0-0-0, </v>
      </c>
      <c r="W51" s="127"/>
    </row>
    <row r="52" spans="1:23" ht="11.25" x14ac:dyDescent="0.15">
      <c r="W52" s="127"/>
    </row>
    <row r="60" spans="1:23" x14ac:dyDescent="0.15">
      <c r="N60" t="s">
        <v>194</v>
      </c>
    </row>
    <row r="61" spans="1:23" x14ac:dyDescent="0.15">
      <c r="N61" t="s">
        <v>194</v>
      </c>
    </row>
    <row r="62" spans="1:23" x14ac:dyDescent="0.15">
      <c r="N62" t="s">
        <v>194</v>
      </c>
    </row>
    <row r="63" spans="1:23" x14ac:dyDescent="0.15">
      <c r="N63" t="s">
        <v>194</v>
      </c>
    </row>
  </sheetData>
  <sortState xmlns:xlrd2="http://schemas.microsoft.com/office/spreadsheetml/2017/richdata2" ref="N60:O90">
    <sortCondition ref="N60:N90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5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5" spans="1:41" x14ac:dyDescent="0.15">
      <c r="A15" s="67">
        <f t="array" ref="A15">SUM(IF(ISNA(A16:A26),0,A16:A26))</f>
        <v>0</v>
      </c>
      <c r="B15" s="67" t="e">
        <f t="shared" ref="B15:O15" si="0">SUM(B16:B26)</f>
        <v>#N/A</v>
      </c>
      <c r="C15" s="67" t="e">
        <f t="shared" si="0"/>
        <v>#N/A</v>
      </c>
      <c r="D15" s="67" t="e">
        <f t="shared" si="0"/>
        <v>#N/A</v>
      </c>
      <c r="E15" s="67" t="e">
        <f t="shared" si="0"/>
        <v>#N/A</v>
      </c>
      <c r="F15" s="67" t="e">
        <f t="shared" si="0"/>
        <v>#N/A</v>
      </c>
      <c r="G15" s="67" t="e">
        <f t="shared" si="0"/>
        <v>#N/A</v>
      </c>
      <c r="H15" s="67" t="e">
        <f t="shared" si="0"/>
        <v>#N/A</v>
      </c>
      <c r="I15" s="67" t="e">
        <f t="shared" si="0"/>
        <v>#N/A</v>
      </c>
      <c r="J15" s="67" t="e">
        <f t="shared" si="0"/>
        <v>#N/A</v>
      </c>
      <c r="K15" s="67" t="e">
        <f t="shared" si="0"/>
        <v>#N/A</v>
      </c>
      <c r="L15" s="67" t="e">
        <f t="shared" si="0"/>
        <v>#N/A</v>
      </c>
      <c r="M15" s="67" t="e">
        <f t="shared" si="0"/>
        <v>#N/A</v>
      </c>
      <c r="N15" s="67" t="e">
        <f t="shared" si="0"/>
        <v>#N/A</v>
      </c>
      <c r="O15" s="67" t="e">
        <f t="shared" si="0"/>
        <v>#N/A</v>
      </c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 t="e">
        <f t="shared" ref="Z15:AG15" si="1">SUM(Z16:Z26)</f>
        <v>#N/A</v>
      </c>
      <c r="AA15" s="67" t="e">
        <f t="shared" si="1"/>
        <v>#N/A</v>
      </c>
      <c r="AB15" s="67" t="e">
        <f t="shared" si="1"/>
        <v>#N/A</v>
      </c>
      <c r="AC15" s="67" t="e">
        <f t="shared" si="1"/>
        <v>#N/A</v>
      </c>
      <c r="AD15" s="67" t="e">
        <f t="shared" si="1"/>
        <v>#N/A</v>
      </c>
      <c r="AE15" s="67" t="e">
        <f t="shared" si="1"/>
        <v>#N/A</v>
      </c>
      <c r="AF15" s="67" t="e">
        <f t="shared" si="1"/>
        <v>#N/A</v>
      </c>
      <c r="AG15" s="67" t="e">
        <f t="shared" si="1"/>
        <v>#N/A</v>
      </c>
      <c r="AH15" s="67" t="e">
        <f t="shared" ref="AH15:AO15" si="2">SUM(AH16:AH26)</f>
        <v>#N/A</v>
      </c>
      <c r="AI15" s="67" t="e">
        <f t="shared" si="2"/>
        <v>#N/A</v>
      </c>
      <c r="AJ15" s="67" t="e">
        <f t="shared" si="2"/>
        <v>#N/A</v>
      </c>
      <c r="AK15" s="67" t="e">
        <f t="shared" si="2"/>
        <v>#N/A</v>
      </c>
      <c r="AL15" s="67" t="e">
        <f t="shared" si="2"/>
        <v>#N/A</v>
      </c>
      <c r="AM15" s="67" t="e">
        <f t="shared" si="2"/>
        <v>#N/A</v>
      </c>
      <c r="AN15" s="67" t="e">
        <f t="shared" si="2"/>
        <v>#N/A</v>
      </c>
      <c r="AO15" s="67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68" customFormat="1" x14ac:dyDescent="0.15">
      <c r="A28" s="69">
        <f>83-166</f>
        <v>-83</v>
      </c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>
        <v>-51</v>
      </c>
      <c r="AG28" s="69"/>
      <c r="AH28" s="69"/>
      <c r="AI28" s="69"/>
      <c r="AJ28" s="69"/>
      <c r="AK28" s="69"/>
      <c r="AL28" s="69"/>
      <c r="AM28" s="69"/>
      <c r="AN28" s="69"/>
      <c r="AO28" s="69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72" t="s">
        <v>70</v>
      </c>
      <c r="D44" s="72" t="s">
        <v>140</v>
      </c>
      <c r="E44" s="72" t="s">
        <v>71</v>
      </c>
      <c r="F44" s="72" t="s">
        <v>72</v>
      </c>
      <c r="G44" s="70" t="s">
        <v>73</v>
      </c>
      <c r="H44" s="71">
        <f>COUNTA(1:1)</f>
        <v>0</v>
      </c>
    </row>
    <row r="45" spans="1:41" x14ac:dyDescent="0.15">
      <c r="A45" s="54" t="s">
        <v>165</v>
      </c>
      <c r="B45" t="s">
        <v>168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123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54" t="s">
        <v>166</v>
      </c>
      <c r="B46" t="s">
        <v>174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124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54" t="s">
        <v>120</v>
      </c>
      <c r="B47" t="s">
        <v>160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123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54" t="s">
        <v>41</v>
      </c>
      <c r="B48" t="s">
        <v>64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124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54" t="s">
        <v>51</v>
      </c>
      <c r="B49" t="s">
        <v>63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124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54" t="s">
        <v>91</v>
      </c>
      <c r="B50" t="s">
        <v>143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124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54" t="s">
        <v>164</v>
      </c>
      <c r="B51" t="s">
        <v>169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0</v>
      </c>
      <c r="G51" t="s">
        <v>123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54" t="s">
        <v>42</v>
      </c>
      <c r="B52" t="s">
        <v>92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125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54" t="s">
        <v>138</v>
      </c>
      <c r="B53" t="s">
        <v>155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124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54" t="s">
        <v>43</v>
      </c>
      <c r="B54" t="s">
        <v>62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124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54" t="s">
        <v>36</v>
      </c>
      <c r="B55" t="s">
        <v>93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125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54" t="s">
        <v>45</v>
      </c>
      <c r="B56" t="s">
        <v>65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125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54" t="s">
        <v>47</v>
      </c>
      <c r="B57" t="s">
        <v>58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123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54" t="s">
        <v>46</v>
      </c>
      <c r="B58" t="s">
        <v>60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125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54" t="s">
        <v>37</v>
      </c>
      <c r="B59" t="s">
        <v>59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125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54" t="s">
        <v>154</v>
      </c>
      <c r="B60" t="s">
        <v>170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123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54" t="s">
        <v>67</v>
      </c>
      <c r="B61" t="s">
        <v>94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123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54" t="s">
        <v>151</v>
      </c>
      <c r="B62" t="s">
        <v>150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123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54" t="s">
        <v>126</v>
      </c>
      <c r="B63" t="s">
        <v>127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123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54" t="s">
        <v>39</v>
      </c>
      <c r="B64" t="s">
        <v>95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124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54" t="s">
        <v>40</v>
      </c>
      <c r="B65" t="s">
        <v>57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13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54" t="s">
        <v>50</v>
      </c>
      <c r="B66" t="s">
        <v>96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124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54" t="s">
        <v>167</v>
      </c>
      <c r="B67" t="s">
        <v>171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13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54" t="s">
        <v>148</v>
      </c>
      <c r="B68" t="s">
        <v>149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124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54" t="s">
        <v>53</v>
      </c>
      <c r="B69" t="s">
        <v>56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124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54" t="s">
        <v>69</v>
      </c>
      <c r="B70" t="s">
        <v>66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13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54" t="s">
        <v>52</v>
      </c>
      <c r="B71" t="s">
        <v>61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123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54" t="s">
        <v>68</v>
      </c>
      <c r="B72" t="s">
        <v>156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123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54" t="s">
        <v>121</v>
      </c>
      <c r="B73" t="s">
        <v>122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13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54" t="s">
        <v>49</v>
      </c>
      <c r="B74" t="s">
        <v>97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123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54" t="s">
        <v>159</v>
      </c>
      <c r="B75" t="s">
        <v>172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124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54" t="s">
        <v>147</v>
      </c>
      <c r="B76" t="s">
        <v>157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123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54" t="s">
        <v>158</v>
      </c>
      <c r="B77" t="s">
        <v>173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123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54" t="s">
        <v>38</v>
      </c>
      <c r="B78" t="s">
        <v>54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13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54" t="s">
        <v>48</v>
      </c>
      <c r="B79" t="s">
        <v>98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125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54" t="s">
        <v>44</v>
      </c>
      <c r="B80" t="s">
        <v>55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123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54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54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54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54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54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54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54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125</v>
      </c>
      <c r="H89">
        <f t="array" ref="H89">SUM(IF($G$45:$G$87=G89,1,0))</f>
        <v>6</v>
      </c>
    </row>
    <row r="90" spans="1:15" x14ac:dyDescent="0.15">
      <c r="G90" t="s">
        <v>123</v>
      </c>
      <c r="H90">
        <f t="array" ref="H90">SUM(IF($G$45:$G$87=G90,1,0))</f>
        <v>14</v>
      </c>
    </row>
    <row r="91" spans="1:15" x14ac:dyDescent="0.15">
      <c r="G91" t="s">
        <v>124</v>
      </c>
      <c r="H91">
        <f t="array" ref="H91">SUM(IF($G$45:$G$87=G91,1,0))</f>
        <v>11</v>
      </c>
    </row>
    <row r="92" spans="1:15" x14ac:dyDescent="0.15">
      <c r="G92" t="s">
        <v>13</v>
      </c>
      <c r="H92">
        <f t="array" ref="H92">SUM(IF($G$45:$G$87=G92,1,0))</f>
        <v>5</v>
      </c>
    </row>
    <row r="93" spans="1:15" x14ac:dyDescent="0.15">
      <c r="G93" t="s">
        <v>139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T46"/>
  <sheetViews>
    <sheetView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8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6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74</v>
      </c>
      <c r="C1" s="8">
        <v>89</v>
      </c>
    </row>
    <row r="2" spans="1:20" x14ac:dyDescent="0.2">
      <c r="A2" s="5" t="s">
        <v>75</v>
      </c>
      <c r="C2" s="8">
        <v>91</v>
      </c>
    </row>
    <row r="4" spans="1:20" ht="22.5" x14ac:dyDescent="0.2">
      <c r="A4" s="7"/>
      <c r="B4" s="7" t="s">
        <v>76</v>
      </c>
      <c r="C4" s="7" t="s">
        <v>77</v>
      </c>
      <c r="D4" s="7" t="s">
        <v>152</v>
      </c>
      <c r="E4" s="7" t="s">
        <v>78</v>
      </c>
      <c r="F4" s="7" t="s">
        <v>79</v>
      </c>
      <c r="G4" s="7" t="s">
        <v>80</v>
      </c>
      <c r="H4" s="7" t="s">
        <v>81</v>
      </c>
      <c r="I4" s="7" t="s">
        <v>82</v>
      </c>
      <c r="J4" s="7" t="s">
        <v>70</v>
      </c>
      <c r="K4" s="7" t="s">
        <v>184</v>
      </c>
      <c r="M4" s="7" t="s">
        <v>83</v>
      </c>
    </row>
    <row r="5" spans="1:20" x14ac:dyDescent="0.2">
      <c r="A5" s="54" t="str">
        <f t="array" aca="1" ref="A5:B46" ca="1">OFFSET('Fantasy Teams'!A45,0,0,FantasyPlayerCount,2)</f>
        <v>ADHA</v>
      </c>
      <c r="B5" t="str">
        <f ca="1"/>
        <v>Adrian Hawksworth</v>
      </c>
      <c r="C5" s="8">
        <f t="shared" ref="C5:C17" ca="1" si="0">F5+H5+I5+D5</f>
        <v>0</v>
      </c>
      <c r="D5" s="8">
        <f ca="1">IF(NOT(ISNA(E5)),5*OFFSET(Batting!$AK$4,E5,0,1,1),0)</f>
        <v>0</v>
      </c>
      <c r="E5" s="8" t="e">
        <f ca="1">MATCH(A5,Batting!$A$5:$A$82,0)</f>
        <v>#N/A</v>
      </c>
      <c r="F5" s="8">
        <f ca="1">IF(NOT(ISNA(E5)),OFFSET(Batting!$B$4,E5,$C$1,1,1),0)</f>
        <v>0</v>
      </c>
      <c r="G5" s="8" t="e">
        <f ca="1">MATCH(A5,Bowling!$A$5:$A$58,0)</f>
        <v>#N/A</v>
      </c>
      <c r="H5" s="8">
        <f ca="1">IF(NOT(ISNA(G5)),OFFSET(Bowling!#REF!,G5,0,1,1),0)</f>
        <v>0</v>
      </c>
      <c r="I5" s="8">
        <f ca="1">IF(NOT(ISNA(E5)),OFFSET(Batting!$B$4,E5,$C$1+1,1,1),0)</f>
        <v>0</v>
      </c>
      <c r="J5" s="8">
        <f ca="1">VLOOKUP(A5,'Fantasy Teams'!$A$45:$C$87,3,FALSE)</f>
        <v>3</v>
      </c>
      <c r="K5" s="9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36</v>
      </c>
      <c r="O5" s="5">
        <v>1</v>
      </c>
      <c r="P5" s="5" t="str">
        <f t="shared" ref="P5:P31" ca="1" si="1">OFFSET($B$4,N5,0)</f>
        <v>Vince Reid</v>
      </c>
      <c r="Q5" s="6">
        <f t="shared" ref="Q5:Q31" ca="1" si="2">OFFSET($K$4,N5,0)</f>
        <v>0</v>
      </c>
      <c r="R5" s="5">
        <f t="shared" ref="R5:R46" ca="1" si="3">OFFSET($J$4,N5,0)</f>
        <v>4</v>
      </c>
    </row>
    <row r="6" spans="1:20" x14ac:dyDescent="0.2">
      <c r="A6" s="54" t="str">
        <f ca="1"/>
        <v>ADLE</v>
      </c>
      <c r="B6" t="str">
        <f ca="1"/>
        <v>Adam Lestrelle</v>
      </c>
      <c r="C6" s="8">
        <f t="shared" ca="1" si="0"/>
        <v>0</v>
      </c>
      <c r="D6" s="8">
        <f ca="1">IF(NOT(ISNA(E6)),5*OFFSET(Batting!$AK$4,E6,0,1,1),0)</f>
        <v>0</v>
      </c>
      <c r="E6" s="8" t="e">
        <f ca="1">MATCH(A6,Batting!$A$5:$A$82,0)</f>
        <v>#N/A</v>
      </c>
      <c r="F6" s="8">
        <f ca="1">IF(NOT(ISNA(E6)),OFFSET(Batting!$B$4,E6,$C$1,1,1),0)</f>
        <v>0</v>
      </c>
      <c r="G6" s="8" t="e">
        <f ca="1">MATCH(A6,Bowling!$A$5:$A$58,0)</f>
        <v>#N/A</v>
      </c>
      <c r="H6" s="8">
        <f ca="1">IF(NOT(ISNA(G6)),OFFSET(Bowling!#REF!,G6,0,1,1),0)</f>
        <v>0</v>
      </c>
      <c r="I6" s="8">
        <f ca="1">IF(NOT(ISNA(E6)),OFFSET(Batting!$B$4,E6,$C$1+1,1,1),0)</f>
        <v>0</v>
      </c>
      <c r="J6" s="8">
        <f ca="1">VLOOKUP(A6,'Fantasy Teams'!$A$45:$C$87,3,FALSE)</f>
        <v>2</v>
      </c>
      <c r="K6" s="9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6">
        <f t="shared" ca="1" si="2"/>
        <v>0</v>
      </c>
      <c r="R6" s="5">
        <f t="shared" ca="1" si="3"/>
        <v>13</v>
      </c>
    </row>
    <row r="7" spans="1:20" x14ac:dyDescent="0.2">
      <c r="A7" s="54" t="str">
        <f ca="1"/>
        <v>AICO</v>
      </c>
      <c r="B7" t="str">
        <f ca="1"/>
        <v>Aiden Coloe</v>
      </c>
      <c r="C7" s="8">
        <f t="shared" ca="1" si="0"/>
        <v>0</v>
      </c>
      <c r="D7" s="8">
        <f ca="1">IF(NOT(ISNA(E7)),5*OFFSET(Batting!$AK$4,E7,0,1,1),0)</f>
        <v>0</v>
      </c>
      <c r="E7" s="8" t="e">
        <f ca="1">MATCH(A7,Batting!$A$5:$A$82,0)</f>
        <v>#N/A</v>
      </c>
      <c r="F7" s="8">
        <f ca="1">IF(NOT(ISNA(E7)),OFFSET(Batting!$B$4,E7,$C$1,1,1),0)</f>
        <v>0</v>
      </c>
      <c r="G7" s="8" t="e">
        <f ca="1">MATCH(A7,Bowling!$A$5:$A$58,0)</f>
        <v>#N/A</v>
      </c>
      <c r="H7" s="8">
        <f ca="1">IF(NOT(ISNA(G7)),OFFSET(Bowling!#REF!,G7,0,1,1),0)</f>
        <v>0</v>
      </c>
      <c r="I7" s="8">
        <f ca="1">IF(NOT(ISNA(E7)),OFFSET(Batting!$B$4,E7,$C$1+1,1,1),0)</f>
        <v>0</v>
      </c>
      <c r="J7" s="8">
        <f ca="1">VLOOKUP(A7,'Fantasy Teams'!$A$45:$C$87,3,FALSE)</f>
        <v>3</v>
      </c>
      <c r="K7" s="9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34</v>
      </c>
      <c r="O7" s="5">
        <f t="shared" ref="O7:O46" si="8">O6+1</f>
        <v>3</v>
      </c>
      <c r="P7" s="5" t="str">
        <f t="shared" ca="1" si="1"/>
        <v>Ted Dugdale</v>
      </c>
      <c r="Q7" s="6">
        <f t="shared" ca="1" si="2"/>
        <v>0</v>
      </c>
      <c r="R7" s="5">
        <f t="shared" ca="1" si="3"/>
        <v>3</v>
      </c>
    </row>
    <row r="8" spans="1:20" x14ac:dyDescent="0.2">
      <c r="A8" s="54" t="str">
        <f ca="1"/>
        <v>ANMA</v>
      </c>
      <c r="B8" t="str">
        <f ca="1"/>
        <v>Andy Mander</v>
      </c>
      <c r="C8" s="8">
        <f t="shared" ca="1" si="0"/>
        <v>0</v>
      </c>
      <c r="D8" s="8">
        <f ca="1">IF(NOT(ISNA(E8)),5*OFFSET(Batting!$AK$4,E8,0,1,1),0)</f>
        <v>0</v>
      </c>
      <c r="E8" s="8" t="e">
        <f ca="1">MATCH(A8,Batting!$A$5:$A$82,0)</f>
        <v>#N/A</v>
      </c>
      <c r="F8" s="8">
        <f ca="1">IF(NOT(ISNA(E8)),OFFSET(Batting!$B$4,E8,$C$1,1,1),0)</f>
        <v>0</v>
      </c>
      <c r="G8" s="8" t="e">
        <f ca="1">MATCH(A8,Bowling!$A$5:$A$58,0)</f>
        <v>#N/A</v>
      </c>
      <c r="H8" s="8">
        <f ca="1">IF(NOT(ISNA(G8)),OFFSET(Bowling!#REF!,G8,0,1,1),0)</f>
        <v>0</v>
      </c>
      <c r="I8" s="8">
        <f ca="1">IF(NOT(ISNA(E8)),OFFSET(Batting!$B$4,E8,$C$1+1,1,1),0)</f>
        <v>0</v>
      </c>
      <c r="J8" s="8">
        <f ca="1">VLOOKUP(A8,'Fantasy Teams'!$A$45:$C$87,3,FALSE)</f>
        <v>6</v>
      </c>
      <c r="K8" s="9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33</v>
      </c>
      <c r="O8" s="5">
        <f t="shared" si="8"/>
        <v>4</v>
      </c>
      <c r="P8" s="5" t="str">
        <f t="shared" ca="1" si="1"/>
        <v>Steve Barry</v>
      </c>
      <c r="Q8" s="6">
        <f t="shared" ca="1" si="2"/>
        <v>0</v>
      </c>
      <c r="R8" s="5">
        <f t="shared" ca="1" si="3"/>
        <v>2</v>
      </c>
    </row>
    <row r="9" spans="1:20" x14ac:dyDescent="0.2">
      <c r="A9" s="54" t="str">
        <f ca="1"/>
        <v>BOYO</v>
      </c>
      <c r="B9" t="str">
        <f ca="1"/>
        <v>Bob Young</v>
      </c>
      <c r="C9" s="8">
        <f t="shared" ca="1" si="0"/>
        <v>0</v>
      </c>
      <c r="D9" s="8">
        <f ca="1">IF(NOT(ISNA(E9)),5*OFFSET(Batting!$AK$4,E9,0,1,1),0)</f>
        <v>0</v>
      </c>
      <c r="E9" s="8" t="e">
        <f ca="1">MATCH(A9,Batting!$A$5:$A$82,0)</f>
        <v>#N/A</v>
      </c>
      <c r="F9" s="8">
        <f ca="1">IF(NOT(ISNA(E9)),OFFSET(Batting!$B$4,E9,$C$1,1,1),0)</f>
        <v>0</v>
      </c>
      <c r="G9" s="8" t="e">
        <f ca="1">MATCH(A9,Bowling!$A$5:$A$58,0)</f>
        <v>#N/A</v>
      </c>
      <c r="H9" s="8">
        <f ca="1">IF(NOT(ISNA(G9)),OFFSET(Bowling!#REF!,G9,0,1,1),0)</f>
        <v>0</v>
      </c>
      <c r="I9" s="8">
        <f ca="1">IF(NOT(ISNA(E9)),OFFSET(Batting!$B$4,E9,$C$1+1,1,1),0)</f>
        <v>0</v>
      </c>
      <c r="J9" s="8">
        <f ca="1">VLOOKUP(A9,'Fantasy Teams'!$A$45:$C$87,3,FALSE)</f>
        <v>4</v>
      </c>
      <c r="K9" s="9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32</v>
      </c>
      <c r="O9" s="5">
        <f t="shared" si="8"/>
        <v>5</v>
      </c>
      <c r="P9" s="5" t="str">
        <f t="shared" ca="1" si="1"/>
        <v>Roy Odeneal</v>
      </c>
      <c r="Q9" s="6">
        <f t="shared" ca="1" si="2"/>
        <v>0</v>
      </c>
      <c r="R9" s="5">
        <f t="shared" ca="1" si="3"/>
        <v>2</v>
      </c>
    </row>
    <row r="10" spans="1:20" x14ac:dyDescent="0.2">
      <c r="A10" s="54" t="str">
        <f ca="1"/>
        <v>CHCL</v>
      </c>
      <c r="B10" t="str">
        <f ca="1"/>
        <v>Chris Clark</v>
      </c>
      <c r="C10" s="8">
        <f t="shared" ca="1" si="0"/>
        <v>0</v>
      </c>
      <c r="D10" s="8">
        <f ca="1">IF(NOT(ISNA(E10)),5*OFFSET(Batting!$AK$4,E10,0,1,1),0)</f>
        <v>0</v>
      </c>
      <c r="E10" s="8" t="e">
        <f ca="1">MATCH(A10,Batting!$A$5:$A$82,0)</f>
        <v>#N/A</v>
      </c>
      <c r="F10" s="8">
        <f ca="1">IF(NOT(ISNA(E10)),OFFSET(Batting!$B$4,E10,$C$1,1,1),0)</f>
        <v>0</v>
      </c>
      <c r="G10" s="8" t="e">
        <f ca="1">MATCH(A10,Bowling!$A$5:$A$58,0)</f>
        <v>#N/A</v>
      </c>
      <c r="H10" s="8">
        <f ca="1">IF(NOT(ISNA(G10)),OFFSET(Bowling!#REF!,G10,0,1,1),0)</f>
        <v>0</v>
      </c>
      <c r="I10" s="8">
        <f ca="1">IF(NOT(ISNA(E10)),OFFSET(Batting!$B$4,E10,$C$1+1,1,1),0)</f>
        <v>0</v>
      </c>
      <c r="J10" s="8">
        <f ca="1">VLOOKUP(A10,'Fantasy Teams'!$A$45:$C$87,3,FALSE)</f>
        <v>6</v>
      </c>
      <c r="K10" s="9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31</v>
      </c>
      <c r="O10" s="5">
        <f t="shared" si="8"/>
        <v>6</v>
      </c>
      <c r="P10" s="5" t="str">
        <f t="shared" ca="1" si="1"/>
        <v>Ron Morris</v>
      </c>
      <c r="Q10" s="6">
        <f t="shared" ca="1" si="2"/>
        <v>0</v>
      </c>
      <c r="R10" s="5">
        <f t="shared" ca="1" si="3"/>
        <v>2</v>
      </c>
    </row>
    <row r="11" spans="1:20" x14ac:dyDescent="0.2">
      <c r="A11" s="54" t="str">
        <f ca="1"/>
        <v>CLED</v>
      </c>
      <c r="B11" t="str">
        <f ca="1"/>
        <v>Clive Edghill</v>
      </c>
      <c r="C11" s="8">
        <f t="shared" ca="1" si="0"/>
        <v>0</v>
      </c>
      <c r="D11" s="8">
        <f ca="1">IF(NOT(ISNA(E11)),5*OFFSET(Batting!$AK$4,E11,0,1,1),0)</f>
        <v>0</v>
      </c>
      <c r="E11" s="8" t="e">
        <f ca="1">MATCH(A11,Batting!$A$5:$A$82,0)</f>
        <v>#N/A</v>
      </c>
      <c r="F11" s="8">
        <f ca="1">IF(NOT(ISNA(E11)),OFFSET(Batting!$B$4,E11,$C$1,1,1),0)</f>
        <v>0</v>
      </c>
      <c r="G11" s="8" t="e">
        <f ca="1">MATCH(A11,Bowling!$A$5:$A$58,0)</f>
        <v>#N/A</v>
      </c>
      <c r="H11" s="8">
        <f ca="1">IF(NOT(ISNA(G11)),OFFSET(Bowling!#REF!,G11,0,1,1),0)</f>
        <v>0</v>
      </c>
      <c r="I11" s="8">
        <f ca="1">IF(NOT(ISNA(E11)),OFFSET(Batting!$B$4,E11,$C$1+1,1,1),0)</f>
        <v>0</v>
      </c>
      <c r="J11" s="8">
        <f ca="1">VLOOKUP(A11,'Fantasy Teams'!$A$45:$C$87,3,FALSE)</f>
        <v>2</v>
      </c>
      <c r="K11" s="9">
        <f t="shared" ca="1" si="4"/>
        <v>0</v>
      </c>
      <c r="L11" s="5">
        <f t="shared" ca="1" si="5"/>
        <v>1.1E-4</v>
      </c>
      <c r="M11" s="5">
        <f t="shared" ca="1" si="6"/>
        <v>30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6">
        <f t="shared" ca="1" si="2"/>
        <v>0</v>
      </c>
      <c r="R11" s="5">
        <f t="shared" ca="1" si="3"/>
        <v>4</v>
      </c>
    </row>
    <row r="12" spans="1:20" x14ac:dyDescent="0.2">
      <c r="A12" s="54" t="str">
        <f ca="1"/>
        <v>COMA</v>
      </c>
      <c r="B12" t="str">
        <f ca="1"/>
        <v>Colin Mander</v>
      </c>
      <c r="C12" s="8">
        <f t="shared" ca="1" si="0"/>
        <v>0</v>
      </c>
      <c r="D12" s="8">
        <f ca="1">IF(NOT(ISNA(E12)),5*OFFSET(Batting!$AK$4,E12,0,1,1),0)</f>
        <v>0</v>
      </c>
      <c r="E12" s="8" t="e">
        <f ca="1">MATCH(A12,Batting!$A$5:$A$82,0)</f>
        <v>#N/A</v>
      </c>
      <c r="F12" s="8">
        <f ca="1">IF(NOT(ISNA(E12)),OFFSET(Batting!$B$4,E12,$C$1,1,1),0)</f>
        <v>0</v>
      </c>
      <c r="G12" s="8" t="e">
        <f ca="1">MATCH(A12,Bowling!$A$5:$A$58,0)</f>
        <v>#N/A</v>
      </c>
      <c r="H12" s="8">
        <f ca="1">IF(NOT(ISNA(G12)),OFFSET(Bowling!#REF!,G12,0,1,1),0)</f>
        <v>0</v>
      </c>
      <c r="I12" s="8">
        <f ca="1">IF(NOT(ISNA(E12)),OFFSET(Batting!$B$4,E12,$C$1+1,1,1),0)</f>
        <v>0</v>
      </c>
      <c r="J12" s="8">
        <f ca="1">VLOOKUP(A12,'Fantasy Teams'!$A$45:$C$87,3,FALSE)</f>
        <v>9</v>
      </c>
      <c r="K12" s="9">
        <f t="shared" ca="1" si="4"/>
        <v>0</v>
      </c>
      <c r="L12" s="5">
        <f t="shared" ca="1" si="5"/>
        <v>1.2E-4</v>
      </c>
      <c r="M12" s="5">
        <f t="shared" ca="1" si="6"/>
        <v>29</v>
      </c>
      <c r="N12" s="5">
        <f t="shared" ca="1" si="7"/>
        <v>29</v>
      </c>
      <c r="O12" s="5">
        <f t="shared" si="8"/>
        <v>8</v>
      </c>
      <c r="P12" s="5" t="str">
        <f t="shared" ca="1" si="1"/>
        <v>Neil Mander</v>
      </c>
      <c r="Q12" s="6">
        <f t="shared" ca="1" si="2"/>
        <v>0</v>
      </c>
      <c r="R12" s="5">
        <f t="shared" ca="1" si="3"/>
        <v>9</v>
      </c>
    </row>
    <row r="13" spans="1:20" x14ac:dyDescent="0.2">
      <c r="A13" s="54" t="str">
        <f ca="1"/>
        <v>DACO</v>
      </c>
      <c r="B13" t="str">
        <f ca="1"/>
        <v>Daragh Corrigan</v>
      </c>
      <c r="C13" s="8">
        <f t="shared" ca="1" si="0"/>
        <v>0</v>
      </c>
      <c r="D13" s="8">
        <f ca="1">IF(NOT(ISNA(E13)),5*OFFSET(Batting!$AK$4,E13,0,1,1),0)</f>
        <v>0</v>
      </c>
      <c r="E13" s="8" t="e">
        <f ca="1">MATCH(A13,Batting!$A$5:$A$82,0)</f>
        <v>#N/A</v>
      </c>
      <c r="F13" s="8">
        <f ca="1">IF(NOT(ISNA(E13)),OFFSET(Batting!$B$4,E13,$C$1,1,1),0)</f>
        <v>0</v>
      </c>
      <c r="G13" s="8" t="e">
        <f ca="1">MATCH(A13,Bowling!$A$5:$A$58,0)</f>
        <v>#N/A</v>
      </c>
      <c r="H13" s="8">
        <f ca="1">IF(NOT(ISNA(G13)),OFFSET(Bowling!#REF!,G13,0,1,1),0)</f>
        <v>0</v>
      </c>
      <c r="I13" s="8">
        <f ca="1">IF(NOT(ISNA(E13)),OFFSET(Batting!$B$4,E13,$C$1+1,1,1),0)</f>
        <v>0</v>
      </c>
      <c r="J13" s="8">
        <f ca="1">VLOOKUP(A13,'Fantasy Teams'!$A$45:$C$87,3,FALSE)</f>
        <v>2</v>
      </c>
      <c r="K13" s="9">
        <f t="shared" ca="1" si="4"/>
        <v>0</v>
      </c>
      <c r="L13" s="5">
        <f t="shared" ca="1" si="5"/>
        <v>1.2999999999999999E-4</v>
      </c>
      <c r="M13" s="5">
        <f t="shared" ca="1" si="6"/>
        <v>28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6">
        <f t="shared" ca="1" si="2"/>
        <v>0</v>
      </c>
      <c r="R13" s="5">
        <f t="shared" ca="1" si="3"/>
        <v>3</v>
      </c>
    </row>
    <row r="14" spans="1:20" x14ac:dyDescent="0.2">
      <c r="A14" s="54" t="str">
        <f ca="1"/>
        <v>DAMO</v>
      </c>
      <c r="B14" t="str">
        <f ca="1"/>
        <v>Dave Morris</v>
      </c>
      <c r="C14" s="8">
        <f t="shared" ca="1" si="0"/>
        <v>0</v>
      </c>
      <c r="D14" s="8">
        <f ca="1">IF(NOT(ISNA(E14)),5*OFFSET(Batting!$AK$4,E14,0,1,1),0)</f>
        <v>0</v>
      </c>
      <c r="E14" s="8" t="e">
        <f ca="1">MATCH(A14,Batting!$A$5:$A$82,0)</f>
        <v>#N/A</v>
      </c>
      <c r="F14" s="8">
        <f ca="1">IF(NOT(ISNA(E14)),OFFSET(Batting!$B$4,E14,$C$1,1,1),0)</f>
        <v>0</v>
      </c>
      <c r="G14" s="8" t="e">
        <f ca="1">MATCH(A14,Bowling!$A$5:$A$58,0)</f>
        <v>#N/A</v>
      </c>
      <c r="H14" s="8">
        <f ca="1">IF(NOT(ISNA(G14)),OFFSET(Bowling!#REF!,G14,0,1,1),0)</f>
        <v>0</v>
      </c>
      <c r="I14" s="8">
        <f ca="1">IF(NOT(ISNA(E14)),OFFSET(Batting!$B$4,E14,$C$1+1,1,1),0)</f>
        <v>0</v>
      </c>
      <c r="J14" s="8">
        <f ca="1">VLOOKUP(A14,'Fantasy Teams'!$A$45:$C$87,3,FALSE)</f>
        <v>5</v>
      </c>
      <c r="K14" s="9">
        <f t="shared" ca="1" si="4"/>
        <v>0</v>
      </c>
      <c r="L14" s="5">
        <f t="shared" ca="1" si="5"/>
        <v>1.3999999999999999E-4</v>
      </c>
      <c r="M14" s="5">
        <f t="shared" ca="1" si="6"/>
        <v>27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6">
        <f t="shared" ca="1" si="2"/>
        <v>0</v>
      </c>
      <c r="R14" s="5">
        <f t="shared" ca="1" si="3"/>
        <v>5</v>
      </c>
    </row>
    <row r="15" spans="1:20" x14ac:dyDescent="0.2">
      <c r="A15" s="54" t="str">
        <f ca="1"/>
        <v>DABR</v>
      </c>
      <c r="B15" t="str">
        <f ca="1"/>
        <v>David Brocks</v>
      </c>
      <c r="C15" s="8">
        <f t="shared" ca="1" si="0"/>
        <v>0</v>
      </c>
      <c r="D15" s="8">
        <f ca="1">IF(NOT(ISNA(E15)),5*OFFSET(Batting!$AK$4,E15,0,1,1),0)</f>
        <v>0</v>
      </c>
      <c r="E15" s="8" t="e">
        <f ca="1">MATCH(A15,Batting!$A$5:$A$82,0)</f>
        <v>#N/A</v>
      </c>
      <c r="F15" s="8">
        <f ca="1">IF(NOT(ISNA(E15)),OFFSET(Batting!$B$4,E15,$C$1,1,1),0)</f>
        <v>0</v>
      </c>
      <c r="G15" s="8" t="e">
        <f ca="1">MATCH(A15,Bowling!$A$5:$A$58,0)</f>
        <v>#N/A</v>
      </c>
      <c r="H15" s="8">
        <f ca="1">IF(NOT(ISNA(G15)),OFFSET(Bowling!#REF!,G15,0,1,1),0)</f>
        <v>0</v>
      </c>
      <c r="I15" s="8">
        <f ca="1">IF(NOT(ISNA(E15)),OFFSET(Batting!$B$4,E15,$C$1+1,1,1),0)</f>
        <v>0</v>
      </c>
      <c r="J15" s="8">
        <f ca="1">VLOOKUP(A15,'Fantasy Teams'!$A$45:$C$87,3,FALSE)</f>
        <v>4</v>
      </c>
      <c r="K15" s="9">
        <f t="shared" ca="1" si="4"/>
        <v>0</v>
      </c>
      <c r="L15" s="5">
        <f t="shared" ca="1" si="5"/>
        <v>1.4999999999999999E-4</v>
      </c>
      <c r="M15" s="5">
        <f t="shared" ca="1" si="6"/>
        <v>26</v>
      </c>
      <c r="N15" s="5">
        <f t="shared" ca="1" si="7"/>
        <v>26</v>
      </c>
      <c r="O15" s="5">
        <f t="shared" si="8"/>
        <v>11</v>
      </c>
      <c r="P15" s="5" t="str">
        <f t="shared" ca="1" si="1"/>
        <v>Mike Hosking</v>
      </c>
      <c r="Q15" s="6">
        <f t="shared" ca="1" si="2"/>
        <v>0</v>
      </c>
      <c r="R15" s="5">
        <f t="shared" ca="1" si="3"/>
        <v>3</v>
      </c>
      <c r="S15" s="5">
        <f ca="1">SUM(R5:R15)</f>
        <v>50</v>
      </c>
      <c r="T15" s="84">
        <f t="array" aca="1" ref="T15" ca="1">SUM(Q5:Q15*R5:R15)</f>
        <v>0</v>
      </c>
    </row>
    <row r="16" spans="1:20" x14ac:dyDescent="0.2">
      <c r="A16" s="54" t="str">
        <f ca="1"/>
        <v>DASH</v>
      </c>
      <c r="B16" t="str">
        <f ca="1"/>
        <v>David Sharpe</v>
      </c>
      <c r="C16" s="8">
        <f t="shared" ca="1" si="0"/>
        <v>0</v>
      </c>
      <c r="D16" s="8">
        <f ca="1">IF(NOT(ISNA(E16)),5*OFFSET(Batting!$AK$4,E16,0,1,1),0)</f>
        <v>0</v>
      </c>
      <c r="E16" s="8" t="e">
        <f ca="1">MATCH(A16,Batting!$A$5:$A$82,0)</f>
        <v>#N/A</v>
      </c>
      <c r="F16" s="8">
        <f ca="1">IF(NOT(ISNA(E16)),OFFSET(Batting!$B$4,E16,$C$1,1,1),0)</f>
        <v>0</v>
      </c>
      <c r="G16" s="8" t="e">
        <f ca="1">MATCH(A16,Bowling!$A$5:$A$58,0)</f>
        <v>#N/A</v>
      </c>
      <c r="H16" s="8">
        <f ca="1">IF(NOT(ISNA(G16)),OFFSET(Bowling!#REF!,G16,0,1,1),0)</f>
        <v>0</v>
      </c>
      <c r="I16" s="8">
        <f ca="1">IF(NOT(ISNA(E16)),OFFSET(Batting!$B$4,E16,$C$1+1,1,1),0)</f>
        <v>0</v>
      </c>
      <c r="J16" s="8">
        <f ca="1">VLOOKUP(A16,'Fantasy Teams'!$A$45:$C$87,3,FALSE)</f>
        <v>3</v>
      </c>
      <c r="K16" s="9">
        <f t="shared" ca="1" si="4"/>
        <v>0</v>
      </c>
      <c r="L16" s="5">
        <f t="shared" ca="1" si="5"/>
        <v>1.6000000000000001E-4</v>
      </c>
      <c r="M16" s="5">
        <f t="shared" ca="1" si="6"/>
        <v>25</v>
      </c>
      <c r="N16" s="5">
        <f t="shared" ca="1" si="7"/>
        <v>25</v>
      </c>
      <c r="O16" s="5">
        <f t="shared" si="8"/>
        <v>12</v>
      </c>
      <c r="P16" s="5" t="str">
        <f t="shared" ca="1" si="1"/>
        <v>Mike Bowers</v>
      </c>
      <c r="Q16" s="6">
        <f t="shared" ca="1" si="2"/>
        <v>0</v>
      </c>
      <c r="R16" s="5">
        <f t="shared" ca="1" si="3"/>
        <v>3</v>
      </c>
    </row>
    <row r="17" spans="1:18" x14ac:dyDescent="0.2">
      <c r="A17" s="54" t="str">
        <f ca="1"/>
        <v>DASN</v>
      </c>
      <c r="B17" t="str">
        <f ca="1"/>
        <v>David Snow</v>
      </c>
      <c r="C17" s="8">
        <f t="shared" ca="1" si="0"/>
        <v>0</v>
      </c>
      <c r="D17" s="8">
        <f ca="1">IF(NOT(ISNA(E17)),5*OFFSET(Batting!$AK$4,E17,0,1,1),0)</f>
        <v>0</v>
      </c>
      <c r="E17" s="8" t="e">
        <f ca="1">MATCH(A17,Batting!$A$5:$A$82,0)</f>
        <v>#N/A</v>
      </c>
      <c r="F17" s="8">
        <f ca="1">IF(NOT(ISNA(E17)),OFFSET(Batting!$B$4,E17,$C$1,1,1),0)</f>
        <v>0</v>
      </c>
      <c r="G17" s="8" t="e">
        <f ca="1">MATCH(A17,Bowling!$A$5:$A$58,0)</f>
        <v>#N/A</v>
      </c>
      <c r="H17" s="8">
        <f ca="1">IF(NOT(ISNA(G17)),OFFSET(Bowling!#REF!,G17,0,1,1),0)</f>
        <v>0</v>
      </c>
      <c r="I17" s="8">
        <f ca="1">IF(NOT(ISNA(E17)),OFFSET(Batting!$B$4,E17,$C$1+1,1,1),0)</f>
        <v>0</v>
      </c>
      <c r="J17" s="8">
        <f ca="1">VLOOKUP(A17,'Fantasy Teams'!$A$45:$C$87,3,FALSE)</f>
        <v>3</v>
      </c>
      <c r="K17" s="9">
        <f t="shared" ca="1" si="4"/>
        <v>0</v>
      </c>
      <c r="L17" s="5">
        <f t="shared" ca="1" si="5"/>
        <v>1.7000000000000001E-4</v>
      </c>
      <c r="M17" s="5">
        <f t="shared" ca="1" si="6"/>
        <v>24</v>
      </c>
      <c r="N17" s="5">
        <f t="shared" ca="1" si="7"/>
        <v>24</v>
      </c>
      <c r="O17" s="5">
        <f t="shared" si="8"/>
        <v>13</v>
      </c>
      <c r="P17" s="5" t="str">
        <f t="shared" ca="1" si="1"/>
        <v>Mick Clark</v>
      </c>
      <c r="Q17" s="6">
        <f t="shared" ca="1" si="2"/>
        <v>0</v>
      </c>
      <c r="R17" s="5">
        <f t="shared" ca="1" si="3"/>
        <v>2</v>
      </c>
    </row>
    <row r="18" spans="1:18" x14ac:dyDescent="0.2">
      <c r="A18" s="54" t="str">
        <f ca="1"/>
        <v>DESH</v>
      </c>
      <c r="B18" t="str">
        <f ca="1"/>
        <v>Del Shewan</v>
      </c>
      <c r="C18" s="8">
        <f t="shared" ref="C18:C32" ca="1" si="9">F18+H18+I18+D18</f>
        <v>0</v>
      </c>
      <c r="D18" s="8">
        <f ca="1">IF(NOT(ISNA(E18)),5*OFFSET(Batting!$AK$4,E18,0,1,1),0)</f>
        <v>0</v>
      </c>
      <c r="E18" s="8" t="e">
        <f ca="1">MATCH(A18,Batting!$A$5:$A$82,0)</f>
        <v>#N/A</v>
      </c>
      <c r="F18" s="8">
        <f ca="1">IF(NOT(ISNA(E18)),OFFSET(Batting!$B$4,E18,$C$1,1,1),0)</f>
        <v>0</v>
      </c>
      <c r="G18" s="8" t="e">
        <f ca="1">MATCH(A18,Bowling!$A$5:$A$58,0)</f>
        <v>#N/A</v>
      </c>
      <c r="H18" s="8">
        <f ca="1">IF(NOT(ISNA(G18)),OFFSET(Bowling!#REF!,G18,0,1,1),0)</f>
        <v>0</v>
      </c>
      <c r="I18" s="8">
        <f ca="1">IF(NOT(ISNA(E18)),OFFSET(Batting!$B$4,E18,$C$1+1,1,1),0)</f>
        <v>0</v>
      </c>
      <c r="J18" s="8">
        <f ca="1">VLOOKUP(A18,'Fantasy Teams'!$A$45:$C$87,3,FALSE)</f>
        <v>3</v>
      </c>
      <c r="K18" s="9">
        <f t="shared" ca="1" si="4"/>
        <v>0</v>
      </c>
      <c r="L18" s="5">
        <f t="shared" ca="1" si="5"/>
        <v>1.8000000000000001E-4</v>
      </c>
      <c r="M18" s="5">
        <f t="shared" ca="1" si="6"/>
        <v>23</v>
      </c>
      <c r="N18" s="5">
        <f t="shared" ca="1" si="7"/>
        <v>23</v>
      </c>
      <c r="O18" s="5">
        <f t="shared" si="8"/>
        <v>14</v>
      </c>
      <c r="P18" s="5" t="str">
        <f t="shared" ca="1" si="1"/>
        <v>Kieran Moore</v>
      </c>
      <c r="Q18" s="6">
        <f t="shared" ca="1" si="2"/>
        <v>0</v>
      </c>
      <c r="R18" s="5">
        <f t="shared" ca="1" si="3"/>
        <v>2</v>
      </c>
    </row>
    <row r="19" spans="1:18" x14ac:dyDescent="0.2">
      <c r="A19" s="54" t="str">
        <f ca="1"/>
        <v>GECO</v>
      </c>
      <c r="B19" t="str">
        <f ca="1"/>
        <v>Geoff Cooper</v>
      </c>
      <c r="C19" s="8">
        <f t="shared" ca="1" si="9"/>
        <v>0</v>
      </c>
      <c r="D19" s="8">
        <f ca="1">IF(NOT(ISNA(E19)),5*OFFSET(Batting!$AK$4,E19,0,1,1),0)</f>
        <v>0</v>
      </c>
      <c r="E19" s="8" t="e">
        <f ca="1">MATCH(A19,Batting!$A$5:$A$82,0)</f>
        <v>#N/A</v>
      </c>
      <c r="F19" s="8">
        <f ca="1">IF(NOT(ISNA(E19)),OFFSET(Batting!$B$4,E19,$C$1,1,1),0)</f>
        <v>0</v>
      </c>
      <c r="G19" s="8" t="e">
        <f ca="1">MATCH(A19,Bowling!$A$5:$A$58,0)</f>
        <v>#N/A</v>
      </c>
      <c r="H19" s="8">
        <f ca="1">IF(NOT(ISNA(G19)),OFFSET(Bowling!#REF!,G19,0,1,1),0)</f>
        <v>0</v>
      </c>
      <c r="I19" s="8">
        <f ca="1">IF(NOT(ISNA(E19)),OFFSET(Batting!$B$4,E19,$C$1+1,1,1),0)</f>
        <v>0</v>
      </c>
      <c r="J19" s="8">
        <f ca="1">VLOOKUP(A19,'Fantasy Teams'!$A$45:$C$87,3,FALSE)</f>
        <v>6</v>
      </c>
      <c r="K19" s="9">
        <f t="shared" ca="1" si="4"/>
        <v>0</v>
      </c>
      <c r="L19" s="5">
        <f t="shared" ca="1" si="5"/>
        <v>1.9000000000000001E-4</v>
      </c>
      <c r="M19" s="5">
        <f t="shared" ca="1" si="6"/>
        <v>22</v>
      </c>
      <c r="N19" s="5">
        <f t="shared" ca="1" si="7"/>
        <v>22</v>
      </c>
      <c r="O19" s="5">
        <f t="shared" si="8"/>
        <v>15</v>
      </c>
      <c r="P19" s="5" t="str">
        <f t="shared" ca="1" si="1"/>
        <v>Jon Worthy</v>
      </c>
      <c r="Q19" s="6">
        <f t="shared" ca="1" si="2"/>
        <v>0</v>
      </c>
      <c r="R19" s="5">
        <f t="shared" ca="1" si="3"/>
        <v>5</v>
      </c>
    </row>
    <row r="20" spans="1:18" x14ac:dyDescent="0.2">
      <c r="A20" s="54" t="str">
        <f ca="1"/>
        <v>GLLI</v>
      </c>
      <c r="B20" t="str">
        <f ca="1"/>
        <v>Glen Lilley</v>
      </c>
      <c r="C20" s="8">
        <f t="shared" ca="1" si="9"/>
        <v>0</v>
      </c>
      <c r="D20" s="8">
        <f ca="1">IF(NOT(ISNA(E20)),5*OFFSET(Batting!$AK$4,E20,0,1,1),0)</f>
        <v>0</v>
      </c>
      <c r="E20" s="8" t="e">
        <f ca="1">MATCH(A20,Batting!$A$5:$A$82,0)</f>
        <v>#N/A</v>
      </c>
      <c r="F20" s="8">
        <f ca="1">IF(NOT(ISNA(E20)),OFFSET(Batting!$B$4,E20,$C$1,1,1),0)</f>
        <v>0</v>
      </c>
      <c r="G20" s="8" t="e">
        <f ca="1">MATCH(A20,Bowling!$A$5:$A$58,0)</f>
        <v>#N/A</v>
      </c>
      <c r="H20" s="8">
        <f ca="1">IF(NOT(ISNA(G20)),OFFSET(Bowling!#REF!,G20,0,1,1),0)</f>
        <v>0</v>
      </c>
      <c r="I20" s="8">
        <f ca="1">IF(NOT(ISNA(E20)),OFFSET(Batting!$B$4,E20,$C$1+1,1,1),0)</f>
        <v>0</v>
      </c>
      <c r="J20" s="8">
        <f ca="1">VLOOKUP(A20,'Fantasy Teams'!$A$45:$C$87,3,FALSE)</f>
        <v>2</v>
      </c>
      <c r="K20" s="9">
        <f t="shared" ca="1" si="4"/>
        <v>0</v>
      </c>
      <c r="L20" s="5">
        <f t="shared" ca="1" si="5"/>
        <v>2.0000000000000001E-4</v>
      </c>
      <c r="M20" s="5">
        <f t="shared" ca="1" si="6"/>
        <v>21</v>
      </c>
      <c r="N20" s="5">
        <f t="shared" ca="1" si="7"/>
        <v>21</v>
      </c>
      <c r="O20" s="5">
        <f t="shared" si="8"/>
        <v>16</v>
      </c>
      <c r="P20" s="5" t="str">
        <f t="shared" ca="1" si="1"/>
        <v>John Leadley</v>
      </c>
      <c r="Q20" s="6">
        <f t="shared" ca="1" si="2"/>
        <v>0</v>
      </c>
      <c r="R20" s="5">
        <f t="shared" ca="1" si="3"/>
        <v>11</v>
      </c>
    </row>
    <row r="21" spans="1:18" x14ac:dyDescent="0.2">
      <c r="A21" s="54" t="str">
        <f ca="1"/>
        <v>GLAN</v>
      </c>
      <c r="B21" t="str">
        <f ca="1"/>
        <v>Glyn Angell</v>
      </c>
      <c r="C21" s="8">
        <f t="shared" ca="1" si="9"/>
        <v>0</v>
      </c>
      <c r="D21" s="8">
        <f ca="1">IF(NOT(ISNA(E21)),5*OFFSET(Batting!$AK$4,E21,0,1,1),0)</f>
        <v>0</v>
      </c>
      <c r="E21" s="8" t="e">
        <f ca="1">MATCH(A21,Batting!$A$5:$A$82,0)</f>
        <v>#N/A</v>
      </c>
      <c r="F21" s="8">
        <f ca="1">IF(NOT(ISNA(E21)),OFFSET(Batting!$B$4,E21,$C$1,1,1),0)</f>
        <v>0</v>
      </c>
      <c r="G21" s="8" t="e">
        <f ca="1">MATCH(A21,Bowling!$A$5:$A$58,0)</f>
        <v>#N/A</v>
      </c>
      <c r="H21" s="8">
        <f ca="1">IF(NOT(ISNA(G21)),OFFSET(Bowling!#REF!,G21,0,1,1),0)</f>
        <v>0</v>
      </c>
      <c r="I21" s="8">
        <f ca="1">IF(NOT(ISNA(E21)),OFFSET(Batting!$B$4,E21,$C$1+1,1,1),0)</f>
        <v>0</v>
      </c>
      <c r="J21" s="8">
        <f ca="1">VLOOKUP(A21,'Fantasy Teams'!$A$45:$C$87,3,FALSE)</f>
        <v>1</v>
      </c>
      <c r="K21" s="9">
        <f t="shared" ca="1" si="4"/>
        <v>0</v>
      </c>
      <c r="L21" s="5">
        <f t="shared" ca="1" si="5"/>
        <v>2.1000000000000001E-4</v>
      </c>
      <c r="M21" s="5">
        <f t="shared" ca="1" si="6"/>
        <v>20</v>
      </c>
      <c r="N21" s="5">
        <f t="shared" ca="1" si="7"/>
        <v>20</v>
      </c>
      <c r="O21" s="5">
        <f t="shared" si="8"/>
        <v>17</v>
      </c>
      <c r="P21" s="5" t="str">
        <f t="shared" ca="1" si="1"/>
        <v>John Elliston</v>
      </c>
      <c r="Q21" s="6">
        <f t="shared" ca="1" si="2"/>
        <v>0</v>
      </c>
      <c r="R21" s="5">
        <f t="shared" ca="1" si="3"/>
        <v>5</v>
      </c>
    </row>
    <row r="22" spans="1:18" x14ac:dyDescent="0.2">
      <c r="A22" s="54" t="str">
        <f ca="1"/>
        <v>JACR</v>
      </c>
      <c r="B22" t="str">
        <f ca="1"/>
        <v>Jason Crisford</v>
      </c>
      <c r="C22" s="8">
        <f t="shared" ca="1" si="9"/>
        <v>0</v>
      </c>
      <c r="D22" s="8">
        <f ca="1">IF(NOT(ISNA(E22)),5*OFFSET(Batting!$AK$4,E22,0,1,1),0)</f>
        <v>0</v>
      </c>
      <c r="E22" s="8" t="e">
        <f ca="1">MATCH(A22,Batting!$A$5:$A$82,0)</f>
        <v>#N/A</v>
      </c>
      <c r="F22" s="8">
        <f ca="1">IF(NOT(ISNA(E22)),OFFSET(Batting!$B$4,E22,$C$1,1,1),0)</f>
        <v>0</v>
      </c>
      <c r="G22" s="8" t="e">
        <f ca="1">MATCH(A22,Bowling!$A$5:$A$58,0)</f>
        <v>#N/A</v>
      </c>
      <c r="H22" s="8">
        <f ca="1">IF(NOT(ISNA(G22)),OFFSET(Bowling!#REF!,G22,0,1,1),0)</f>
        <v>0</v>
      </c>
      <c r="I22" s="8">
        <f ca="1">IF(NOT(ISNA(E22)),OFFSET(Batting!$B$4,E22,$C$1+1,1,1),0)</f>
        <v>0</v>
      </c>
      <c r="J22" s="8">
        <f ca="1">VLOOKUP(A22,'Fantasy Teams'!$A$45:$C$87,3,FALSE)</f>
        <v>2</v>
      </c>
      <c r="K22" s="9">
        <f t="shared" ca="1" si="4"/>
        <v>0</v>
      </c>
      <c r="L22" s="5">
        <f t="shared" ca="1" si="5"/>
        <v>2.2000000000000001E-4</v>
      </c>
      <c r="M22" s="5">
        <f t="shared" ca="1" si="6"/>
        <v>19</v>
      </c>
      <c r="N22" s="5">
        <f t="shared" ca="1" si="7"/>
        <v>19</v>
      </c>
      <c r="O22" s="5">
        <f t="shared" si="8"/>
        <v>18</v>
      </c>
      <c r="P22" s="5" t="str">
        <f t="shared" ca="1" si="1"/>
        <v>Jeff Lestrelle</v>
      </c>
      <c r="Q22" s="6">
        <f t="shared" ca="1" si="2"/>
        <v>0</v>
      </c>
      <c r="R22" s="5">
        <f t="shared" ca="1" si="3"/>
        <v>4</v>
      </c>
    </row>
    <row r="23" spans="1:18" x14ac:dyDescent="0.2">
      <c r="A23" s="54" t="str">
        <f ca="1"/>
        <v>JELE</v>
      </c>
      <c r="B23" t="str">
        <f ca="1"/>
        <v>Jeff Lestrelle</v>
      </c>
      <c r="C23" s="8">
        <f t="shared" ca="1" si="9"/>
        <v>0</v>
      </c>
      <c r="D23" s="8">
        <f ca="1">IF(NOT(ISNA(E23)),5*OFFSET(Batting!$AK$4,E23,0,1,1),0)</f>
        <v>0</v>
      </c>
      <c r="E23" s="8" t="e">
        <f ca="1">MATCH(A23,Batting!$A$5:$A$82,0)</f>
        <v>#N/A</v>
      </c>
      <c r="F23" s="8">
        <f ca="1">IF(NOT(ISNA(E23)),OFFSET(Batting!$B$4,E23,$C$1,1,1),0)</f>
        <v>0</v>
      </c>
      <c r="G23" s="8" t="e">
        <f ca="1">MATCH(A23,Bowling!$A$5:$A$58,0)</f>
        <v>#N/A</v>
      </c>
      <c r="H23" s="8">
        <f ca="1">IF(NOT(ISNA(G23)),OFFSET(Bowling!#REF!,G23,0,1,1),0)</f>
        <v>0</v>
      </c>
      <c r="I23" s="8">
        <f ca="1">IF(NOT(ISNA(E23)),OFFSET(Batting!$B$4,E23,$C$1+1,1,1),0)</f>
        <v>0</v>
      </c>
      <c r="J23" s="8">
        <f ca="1">VLOOKUP(A23,'Fantasy Teams'!$A$45:$C$87,3,FALSE)</f>
        <v>4</v>
      </c>
      <c r="K23" s="9">
        <f t="shared" ca="1" si="4"/>
        <v>0</v>
      </c>
      <c r="L23" s="5">
        <f t="shared" ca="1" si="5"/>
        <v>2.3000000000000001E-4</v>
      </c>
      <c r="M23" s="5">
        <f t="shared" ca="1" si="6"/>
        <v>18</v>
      </c>
      <c r="N23" s="5">
        <f t="shared" ca="1" si="7"/>
        <v>18</v>
      </c>
      <c r="O23" s="5">
        <f t="shared" si="8"/>
        <v>19</v>
      </c>
      <c r="P23" s="5" t="str">
        <f t="shared" ca="1" si="1"/>
        <v>Jason Crisford</v>
      </c>
      <c r="Q23" s="6">
        <f t="shared" ca="1" si="2"/>
        <v>0</v>
      </c>
      <c r="R23" s="5">
        <f t="shared" ca="1" si="3"/>
        <v>2</v>
      </c>
    </row>
    <row r="24" spans="1:18" x14ac:dyDescent="0.2">
      <c r="A24" s="54" t="str">
        <f ca="1"/>
        <v>JOEL</v>
      </c>
      <c r="B24" t="str">
        <f ca="1"/>
        <v>John Elliston</v>
      </c>
      <c r="C24" s="8">
        <f t="shared" ca="1" si="9"/>
        <v>0</v>
      </c>
      <c r="D24" s="8">
        <f ca="1">IF(NOT(ISNA(E24)),5*OFFSET(Batting!$AK$4,E24,0,1,1),0)</f>
        <v>0</v>
      </c>
      <c r="E24" s="8" t="e">
        <f ca="1">MATCH(A24,Batting!$A$5:$A$82,0)</f>
        <v>#N/A</v>
      </c>
      <c r="F24" s="8">
        <f ca="1">IF(NOT(ISNA(E24)),OFFSET(Batting!$B$4,E24,$C$1,1,1),0)</f>
        <v>0</v>
      </c>
      <c r="G24" s="8" t="e">
        <f ca="1">MATCH(A24,Bowling!$A$5:$A$58,0)</f>
        <v>#N/A</v>
      </c>
      <c r="H24" s="8">
        <f ca="1">IF(NOT(ISNA(G24)),OFFSET(Bowling!#REF!,G24,0,1,1),0)</f>
        <v>0</v>
      </c>
      <c r="I24" s="8">
        <f ca="1">IF(NOT(ISNA(E24)),OFFSET(Batting!$B$4,E24,$C$1+1,1,1),0)</f>
        <v>0</v>
      </c>
      <c r="J24" s="8">
        <f ca="1">VLOOKUP(A24,'Fantasy Teams'!$A$45:$C$87,3,FALSE)</f>
        <v>5</v>
      </c>
      <c r="K24" s="9">
        <f t="shared" ca="1" si="4"/>
        <v>0</v>
      </c>
      <c r="L24" s="5">
        <f t="shared" ca="1" si="5"/>
        <v>2.4000000000000001E-4</v>
      </c>
      <c r="M24" s="5">
        <f t="shared" ca="1" si="6"/>
        <v>17</v>
      </c>
      <c r="N24" s="5">
        <f t="shared" ca="1" si="7"/>
        <v>17</v>
      </c>
      <c r="O24" s="5">
        <f t="shared" si="8"/>
        <v>20</v>
      </c>
      <c r="P24" s="5" t="str">
        <f t="shared" ca="1" si="1"/>
        <v>Glyn Angell</v>
      </c>
      <c r="Q24" s="6">
        <f t="shared" ca="1" si="2"/>
        <v>0</v>
      </c>
      <c r="R24" s="5">
        <f t="shared" ca="1" si="3"/>
        <v>1</v>
      </c>
    </row>
    <row r="25" spans="1:18" x14ac:dyDescent="0.2">
      <c r="A25" s="54" t="str">
        <f ca="1"/>
        <v>JOLE</v>
      </c>
      <c r="B25" t="str">
        <f ca="1"/>
        <v>John Leadley</v>
      </c>
      <c r="C25" s="8">
        <f t="shared" ca="1" si="9"/>
        <v>0</v>
      </c>
      <c r="D25" s="8">
        <f ca="1">IF(NOT(ISNA(E25)),5*OFFSET(Batting!$AK$4,E25,0,1,1),0)</f>
        <v>0</v>
      </c>
      <c r="E25" s="8" t="e">
        <f ca="1">MATCH(A25,Batting!$A$5:$A$82,0)</f>
        <v>#N/A</v>
      </c>
      <c r="F25" s="8">
        <f ca="1">IF(NOT(ISNA(E25)),OFFSET(Batting!$B$4,E25,$C$1,1,1),0)</f>
        <v>0</v>
      </c>
      <c r="G25" s="8" t="e">
        <f ca="1">MATCH(A25,Bowling!$A$5:$A$58,0)</f>
        <v>#N/A</v>
      </c>
      <c r="H25" s="8">
        <f ca="1">IF(NOT(ISNA(G25)),OFFSET(Bowling!#REF!,G25,0,1,1),0)</f>
        <v>0</v>
      </c>
      <c r="I25" s="8">
        <f ca="1">IF(NOT(ISNA(E25)),OFFSET(Batting!$B$4,E25,$C$1+1,1,1),0)</f>
        <v>0</v>
      </c>
      <c r="J25" s="8">
        <f ca="1">VLOOKUP(A25,'Fantasy Teams'!$A$45:$C$87,3,FALSE)</f>
        <v>11</v>
      </c>
      <c r="K25" s="9">
        <f t="shared" ca="1" si="4"/>
        <v>0</v>
      </c>
      <c r="L25" s="5">
        <f t="shared" ca="1" si="5"/>
        <v>2.5000000000000001E-4</v>
      </c>
      <c r="M25" s="5">
        <f t="shared" ca="1" si="6"/>
        <v>16</v>
      </c>
      <c r="N25" s="5">
        <f t="shared" ca="1" si="7"/>
        <v>16</v>
      </c>
      <c r="O25" s="5">
        <f t="shared" si="8"/>
        <v>21</v>
      </c>
      <c r="P25" s="5" t="str">
        <f t="shared" ca="1" si="1"/>
        <v>Glen Lilley</v>
      </c>
      <c r="Q25" s="6">
        <f t="shared" ca="1" si="2"/>
        <v>0</v>
      </c>
      <c r="R25" s="5">
        <f t="shared" ca="1" si="3"/>
        <v>2</v>
      </c>
    </row>
    <row r="26" spans="1:18" x14ac:dyDescent="0.2">
      <c r="A26" s="54" t="str">
        <f ca="1"/>
        <v>JOWO</v>
      </c>
      <c r="B26" t="str">
        <f ca="1"/>
        <v>Jon Worthy</v>
      </c>
      <c r="C26" s="8">
        <f t="shared" ca="1" si="9"/>
        <v>0</v>
      </c>
      <c r="D26" s="8">
        <f ca="1">IF(NOT(ISNA(E26)),5*OFFSET(Batting!$AK$4,E26,0,1,1),0)</f>
        <v>0</v>
      </c>
      <c r="E26" s="8" t="e">
        <f ca="1">MATCH(A26,Batting!$A$5:$A$82,0)</f>
        <v>#N/A</v>
      </c>
      <c r="F26" s="8">
        <f ca="1">IF(NOT(ISNA(E26)),OFFSET(Batting!$B$4,E26,$C$1,1,1),0)</f>
        <v>0</v>
      </c>
      <c r="G26" s="8" t="e">
        <f ca="1">MATCH(A26,Bowling!$A$5:$A$58,0)</f>
        <v>#N/A</v>
      </c>
      <c r="H26" s="8">
        <f ca="1">IF(NOT(ISNA(G26)),OFFSET(Bowling!#REF!,G26,0,1,1),0)</f>
        <v>0</v>
      </c>
      <c r="I26" s="8">
        <f ca="1">IF(NOT(ISNA(E26)),OFFSET(Batting!$B$4,E26,$C$1+1,1,1),0)</f>
        <v>0</v>
      </c>
      <c r="J26" s="8">
        <f ca="1">VLOOKUP(A26,'Fantasy Teams'!$A$45:$C$87,3,FALSE)</f>
        <v>5</v>
      </c>
      <c r="K26" s="9">
        <f t="shared" ca="1" si="4"/>
        <v>0</v>
      </c>
      <c r="L26" s="5">
        <f t="shared" ca="1" si="5"/>
        <v>2.5999999999999998E-4</v>
      </c>
      <c r="M26" s="5">
        <f t="shared" ca="1" si="6"/>
        <v>15</v>
      </c>
      <c r="N26" s="5">
        <f t="shared" ca="1" si="7"/>
        <v>15</v>
      </c>
      <c r="O26" s="5">
        <f t="shared" si="8"/>
        <v>22</v>
      </c>
      <c r="P26" s="5" t="str">
        <f t="shared" ca="1" si="1"/>
        <v>Geoff Cooper</v>
      </c>
      <c r="Q26" s="6">
        <f t="shared" ca="1" si="2"/>
        <v>0</v>
      </c>
      <c r="R26" s="5">
        <f t="shared" ca="1" si="3"/>
        <v>6</v>
      </c>
    </row>
    <row r="27" spans="1:18" x14ac:dyDescent="0.2">
      <c r="A27" s="54" t="str">
        <f ca="1"/>
        <v>KIMO</v>
      </c>
      <c r="B27" t="str">
        <f ca="1"/>
        <v>Kieran Moore</v>
      </c>
      <c r="C27" s="8">
        <f t="shared" ca="1" si="9"/>
        <v>0</v>
      </c>
      <c r="D27" s="8">
        <f ca="1">IF(NOT(ISNA(E27)),5*OFFSET(Batting!$AK$4,E27,0,1,1),0)</f>
        <v>0</v>
      </c>
      <c r="E27" s="8" t="e">
        <f ca="1">MATCH(A27,Batting!$A$5:$A$82,0)</f>
        <v>#N/A</v>
      </c>
      <c r="F27" s="8">
        <f ca="1">IF(NOT(ISNA(E27)),OFFSET(Batting!$B$4,E27,$C$1,1,1),0)</f>
        <v>0</v>
      </c>
      <c r="G27" s="8" t="e">
        <f ca="1">MATCH(A27,Bowling!$A$5:$A$58,0)</f>
        <v>#N/A</v>
      </c>
      <c r="H27" s="8">
        <f ca="1">IF(NOT(ISNA(G27)),OFFSET(Bowling!#REF!,G27,0,1,1),0)</f>
        <v>0</v>
      </c>
      <c r="I27" s="8">
        <f ca="1">IF(NOT(ISNA(E27)),OFFSET(Batting!$B$4,E27,$C$1+1,1,1),0)</f>
        <v>0</v>
      </c>
      <c r="J27" s="8">
        <f ca="1">VLOOKUP(A27,'Fantasy Teams'!$A$45:$C$87,3,FALSE)</f>
        <v>2</v>
      </c>
      <c r="K27" s="9">
        <f t="shared" ca="1" si="4"/>
        <v>0</v>
      </c>
      <c r="L27" s="5">
        <f t="shared" ca="1" si="5"/>
        <v>2.7E-4</v>
      </c>
      <c r="M27" s="5">
        <f t="shared" ca="1" si="6"/>
        <v>14</v>
      </c>
      <c r="N27" s="5">
        <f t="shared" ca="1" si="7"/>
        <v>14</v>
      </c>
      <c r="O27" s="5">
        <f t="shared" si="8"/>
        <v>23</v>
      </c>
      <c r="P27" s="5" t="str">
        <f t="shared" ca="1" si="1"/>
        <v>Del Shewan</v>
      </c>
      <c r="Q27" s="6">
        <f t="shared" ca="1" si="2"/>
        <v>0</v>
      </c>
      <c r="R27" s="5">
        <f t="shared" ca="1" si="3"/>
        <v>3</v>
      </c>
    </row>
    <row r="28" spans="1:18" x14ac:dyDescent="0.2">
      <c r="A28" s="54" t="str">
        <f ca="1"/>
        <v>MICL</v>
      </c>
      <c r="B28" t="str">
        <f ca="1"/>
        <v>Mick Clark</v>
      </c>
      <c r="C28" s="8">
        <f t="shared" ca="1" si="9"/>
        <v>0</v>
      </c>
      <c r="D28" s="8">
        <f ca="1">IF(NOT(ISNA(E28)),5*OFFSET(Batting!$AK$4,E28,0,1,1),0)</f>
        <v>0</v>
      </c>
      <c r="E28" s="8" t="e">
        <f ca="1">MATCH(A28,Batting!$A$5:$A$82,0)</f>
        <v>#N/A</v>
      </c>
      <c r="F28" s="8">
        <f ca="1">IF(NOT(ISNA(E28)),OFFSET(Batting!$B$4,E28,$C$1,1,1),0)</f>
        <v>0</v>
      </c>
      <c r="G28" s="8" t="e">
        <f ca="1">MATCH(A28,Bowling!$A$5:$A$58,0)</f>
        <v>#N/A</v>
      </c>
      <c r="H28" s="8">
        <f ca="1">IF(NOT(ISNA(G28)),OFFSET(Bowling!#REF!,G28,0,1,1),0)</f>
        <v>0</v>
      </c>
      <c r="I28" s="8">
        <f ca="1">IF(NOT(ISNA(E28)),OFFSET(Batting!$B$4,E28,$C$1+1,1,1),0)</f>
        <v>0</v>
      </c>
      <c r="J28" s="8">
        <f ca="1">VLOOKUP(A28,'Fantasy Teams'!$A$45:$C$87,3,FALSE)</f>
        <v>2</v>
      </c>
      <c r="K28" s="9">
        <f t="shared" ca="1" si="4"/>
        <v>0</v>
      </c>
      <c r="L28" s="5">
        <f t="shared" ca="1" si="5"/>
        <v>2.7999999999999998E-4</v>
      </c>
      <c r="M28" s="5">
        <f t="shared" ca="1" si="6"/>
        <v>13</v>
      </c>
      <c r="N28" s="5">
        <f t="shared" ca="1" si="7"/>
        <v>13</v>
      </c>
      <c r="O28" s="5">
        <f t="shared" si="8"/>
        <v>24</v>
      </c>
      <c r="P28" s="5" t="str">
        <f t="shared" ca="1" si="1"/>
        <v>David Snow</v>
      </c>
      <c r="Q28" s="6">
        <f t="shared" ca="1" si="2"/>
        <v>0</v>
      </c>
      <c r="R28" s="5">
        <f t="shared" ca="1" si="3"/>
        <v>3</v>
      </c>
    </row>
    <row r="29" spans="1:18" x14ac:dyDescent="0.2">
      <c r="A29" s="54" t="str">
        <f ca="1"/>
        <v>MIBO</v>
      </c>
      <c r="B29" t="str">
        <f ca="1"/>
        <v>Mike Bowers</v>
      </c>
      <c r="C29" s="8">
        <f t="shared" ca="1" si="9"/>
        <v>0</v>
      </c>
      <c r="D29" s="8">
        <f ca="1">IF(NOT(ISNA(E29)),5*OFFSET(Batting!$AK$4,E29,0,1,1),0)</f>
        <v>0</v>
      </c>
      <c r="E29" s="8" t="e">
        <f ca="1">MATCH(A29,Batting!$A$5:$A$82,0)</f>
        <v>#N/A</v>
      </c>
      <c r="F29" s="8">
        <f ca="1">IF(NOT(ISNA(E29)),OFFSET(Batting!$B$4,E29,$C$1,1,1),0)</f>
        <v>0</v>
      </c>
      <c r="G29" s="8" t="e">
        <f ca="1">MATCH(A29,Bowling!$A$5:$A$58,0)</f>
        <v>#N/A</v>
      </c>
      <c r="H29" s="8">
        <f ca="1">IF(NOT(ISNA(G29)),OFFSET(Bowling!#REF!,G29,0,1,1),0)</f>
        <v>0</v>
      </c>
      <c r="I29" s="8">
        <f ca="1">IF(NOT(ISNA(E29)),OFFSET(Batting!$B$4,E29,$C$1+1,1,1),0)</f>
        <v>0</v>
      </c>
      <c r="J29" s="8">
        <f ca="1">VLOOKUP(A29,'Fantasy Teams'!$A$45:$C$87,3,FALSE)</f>
        <v>3</v>
      </c>
      <c r="K29" s="9">
        <f t="shared" ca="1" si="4"/>
        <v>0</v>
      </c>
      <c r="L29" s="5">
        <f t="shared" ca="1" si="5"/>
        <v>2.9E-4</v>
      </c>
      <c r="M29" s="5">
        <f t="shared" ca="1" si="6"/>
        <v>12</v>
      </c>
      <c r="N29" s="5">
        <f t="shared" ca="1" si="7"/>
        <v>12</v>
      </c>
      <c r="O29" s="5">
        <f t="shared" si="8"/>
        <v>25</v>
      </c>
      <c r="P29" s="5" t="str">
        <f t="shared" ca="1" si="1"/>
        <v>David Sharpe</v>
      </c>
      <c r="Q29" s="6">
        <f t="shared" ca="1" si="2"/>
        <v>0</v>
      </c>
      <c r="R29" s="5">
        <f t="shared" ca="1" si="3"/>
        <v>3</v>
      </c>
    </row>
    <row r="30" spans="1:18" x14ac:dyDescent="0.2">
      <c r="A30" s="54" t="str">
        <f ca="1"/>
        <v>MIHO</v>
      </c>
      <c r="B30" t="str">
        <f ca="1"/>
        <v>Mike Hosking</v>
      </c>
      <c r="C30" s="8">
        <f t="shared" ca="1" si="9"/>
        <v>0</v>
      </c>
      <c r="D30" s="8">
        <f ca="1">IF(NOT(ISNA(E30)),5*OFFSET(Batting!$AK$4,E30,0,1,1),0)</f>
        <v>0</v>
      </c>
      <c r="E30" s="8" t="e">
        <f ca="1">MATCH(A30,Batting!$A$5:$A$82,0)</f>
        <v>#N/A</v>
      </c>
      <c r="F30" s="8">
        <f ca="1">IF(NOT(ISNA(E30)),OFFSET(Batting!$B$4,E30,$C$1,1,1),0)</f>
        <v>0</v>
      </c>
      <c r="G30" s="8" t="e">
        <f ca="1">MATCH(A30,Bowling!$A$5:$A$58,0)</f>
        <v>#N/A</v>
      </c>
      <c r="H30" s="8">
        <f ca="1">IF(NOT(ISNA(G30)),OFFSET(Bowling!#REF!,G30,0,1,1),0)</f>
        <v>0</v>
      </c>
      <c r="I30" s="8">
        <f ca="1">IF(NOT(ISNA(E30)),OFFSET(Batting!$B$4,E30,$C$1+1,1,1),0)</f>
        <v>0</v>
      </c>
      <c r="J30" s="8">
        <f ca="1">VLOOKUP(A30,'Fantasy Teams'!$A$45:$C$87,3,FALSE)</f>
        <v>3</v>
      </c>
      <c r="K30" s="9">
        <f t="shared" ca="1" si="4"/>
        <v>0</v>
      </c>
      <c r="L30" s="5">
        <f t="shared" ca="1" si="5"/>
        <v>2.9999999999999997E-4</v>
      </c>
      <c r="M30" s="5">
        <f t="shared" ca="1" si="6"/>
        <v>11</v>
      </c>
      <c r="N30" s="5">
        <f t="shared" ca="1" si="7"/>
        <v>11</v>
      </c>
      <c r="O30" s="5">
        <f t="shared" si="8"/>
        <v>26</v>
      </c>
      <c r="P30" s="5" t="str">
        <f t="shared" ca="1" si="1"/>
        <v>David Brocks</v>
      </c>
      <c r="Q30" s="6">
        <f t="shared" ca="1" si="2"/>
        <v>0</v>
      </c>
      <c r="R30" s="5">
        <f t="shared" ca="1" si="3"/>
        <v>4</v>
      </c>
    </row>
    <row r="31" spans="1:18" x14ac:dyDescent="0.2">
      <c r="A31" s="54" t="str">
        <f ca="1"/>
        <v>MIWO</v>
      </c>
      <c r="B31" t="str">
        <f ca="1"/>
        <v>Mike Woodhouse</v>
      </c>
      <c r="C31" s="8">
        <f t="shared" ca="1" si="9"/>
        <v>0</v>
      </c>
      <c r="D31" s="8">
        <f ca="1">IF(NOT(ISNA(E31)),5*OFFSET(Batting!$AK$4,E31,0,1,1),0)</f>
        <v>0</v>
      </c>
      <c r="E31" s="8" t="e">
        <f ca="1">MATCH(A31,Batting!$A$5:$A$82,0)</f>
        <v>#N/A</v>
      </c>
      <c r="F31" s="8">
        <f ca="1">IF(NOT(ISNA(E31)),OFFSET(Batting!$B$4,E31,$C$1,1,1),0)</f>
        <v>0</v>
      </c>
      <c r="G31" s="8" t="e">
        <f ca="1">MATCH(A31,Bowling!$A$5:$A$58,0)</f>
        <v>#N/A</v>
      </c>
      <c r="H31" s="8">
        <f ca="1">IF(NOT(ISNA(G31)),OFFSET(Bowling!#REF!,G31,0,1,1),0)</f>
        <v>0</v>
      </c>
      <c r="I31" s="8">
        <f ca="1">IF(NOT(ISNA(E31)),OFFSET(Batting!$B$4,E31,$C$1+1,1,1),0)</f>
        <v>0</v>
      </c>
      <c r="J31" s="8">
        <f ca="1">VLOOKUP(A31,'Fantasy Teams'!$A$45:$C$87,3,FALSE)</f>
        <v>5</v>
      </c>
      <c r="K31" s="9">
        <f t="shared" ca="1" si="4"/>
        <v>0</v>
      </c>
      <c r="L31" s="5">
        <f t="shared" ca="1" si="5"/>
        <v>3.1E-4</v>
      </c>
      <c r="M31" s="5">
        <f t="shared" ca="1" si="6"/>
        <v>10</v>
      </c>
      <c r="N31" s="5">
        <f t="shared" ca="1" si="7"/>
        <v>10</v>
      </c>
      <c r="O31" s="5">
        <f t="shared" si="8"/>
        <v>27</v>
      </c>
      <c r="P31" s="5" t="str">
        <f t="shared" ca="1" si="1"/>
        <v>Dave Morris</v>
      </c>
      <c r="Q31" s="6">
        <f t="shared" ca="1" si="2"/>
        <v>0</v>
      </c>
      <c r="R31" s="5">
        <f t="shared" ca="1" si="3"/>
        <v>5</v>
      </c>
    </row>
    <row r="32" spans="1:18" x14ac:dyDescent="0.2">
      <c r="A32" s="54" t="str">
        <f ca="1"/>
        <v>NAPA</v>
      </c>
      <c r="B32" t="str">
        <f ca="1"/>
        <v>Naimish Patel</v>
      </c>
      <c r="C32" s="8">
        <f t="shared" ca="1" si="9"/>
        <v>0</v>
      </c>
      <c r="D32" s="8">
        <f ca="1">IF(NOT(ISNA(E32)),5*OFFSET(Batting!$AK$4,E32,0,1,1),0)</f>
        <v>0</v>
      </c>
      <c r="E32" s="8" t="e">
        <f ca="1">MATCH(A32,Batting!$A$5:$A$82,0)</f>
        <v>#N/A</v>
      </c>
      <c r="F32" s="8">
        <f ca="1">IF(NOT(ISNA(E32)),OFFSET(Batting!$B$4,E32,$C$1,1,1),0)</f>
        <v>0</v>
      </c>
      <c r="G32" s="8" t="e">
        <f ca="1">MATCH(A32,Bowling!$A$5:$A$58,0)</f>
        <v>#N/A</v>
      </c>
      <c r="H32" s="8">
        <f ca="1">IF(NOT(ISNA(G32)),OFFSET(Bowling!#REF!,G32,0,1,1),0)</f>
        <v>0</v>
      </c>
      <c r="I32" s="8">
        <f ca="1">IF(NOT(ISNA(E32)),OFFSET(Batting!$B$4,E32,$C$1+1,1,1),0)</f>
        <v>0</v>
      </c>
      <c r="J32" s="8">
        <f ca="1">VLOOKUP(A32,'Fantasy Teams'!$A$45:$C$87,3,FALSE)</f>
        <v>3</v>
      </c>
      <c r="K32" s="9">
        <f t="shared" ca="1" si="4"/>
        <v>0</v>
      </c>
      <c r="L32" s="5">
        <f t="shared" ca="1" si="5"/>
        <v>3.2000000000000003E-4</v>
      </c>
      <c r="M32" s="5">
        <f t="shared" ca="1" si="6"/>
        <v>9</v>
      </c>
      <c r="N32" s="5">
        <f t="shared" ca="1" si="7"/>
        <v>9</v>
      </c>
      <c r="O32" s="5">
        <f t="shared" si="8"/>
        <v>28</v>
      </c>
      <c r="P32" s="5" t="str">
        <f t="shared" ref="P32:P46" ca="1" si="10">OFFSET($B$4,N32,0)</f>
        <v>Daragh Corrigan</v>
      </c>
      <c r="Q32" s="6">
        <f t="shared" ref="Q32:Q46" ca="1" si="11">OFFSET($K$4,N32,0)</f>
        <v>0</v>
      </c>
      <c r="R32" s="5">
        <f t="shared" ca="1" si="3"/>
        <v>2</v>
      </c>
    </row>
    <row r="33" spans="1:18" x14ac:dyDescent="0.2">
      <c r="A33" s="54" t="str">
        <f ca="1"/>
        <v>NEMA</v>
      </c>
      <c r="B33" t="str">
        <f ca="1"/>
        <v>Neil Mander</v>
      </c>
      <c r="C33" s="8">
        <f t="shared" ref="C33:C43" ca="1" si="12">F33+H33+I33+D33</f>
        <v>0</v>
      </c>
      <c r="D33" s="8">
        <f ca="1">IF(NOT(ISNA(E33)),5*OFFSET(Batting!$AK$4,E33,0,1,1),0)</f>
        <v>0</v>
      </c>
      <c r="E33" s="8" t="e">
        <f ca="1">MATCH(A33,Batting!$A$5:$A$82,0)</f>
        <v>#N/A</v>
      </c>
      <c r="F33" s="8">
        <f ca="1">IF(NOT(ISNA(E33)),OFFSET(Batting!$B$4,E33,$C$1,1,1),0)</f>
        <v>0</v>
      </c>
      <c r="G33" s="8" t="e">
        <f ca="1">MATCH(A33,Bowling!$A$5:$A$58,0)</f>
        <v>#N/A</v>
      </c>
      <c r="H33" s="8">
        <f ca="1">IF(NOT(ISNA(G33)),OFFSET(Bowling!#REF!,G33,0,1,1),0)</f>
        <v>0</v>
      </c>
      <c r="I33" s="8">
        <f ca="1">IF(NOT(ISNA(E33)),OFFSET(Batting!$B$4,E33,$C$1+1,1,1),0)</f>
        <v>0</v>
      </c>
      <c r="J33" s="8">
        <f ca="1">VLOOKUP(A33,'Fantasy Teams'!$A$45:$C$87,3,FALSE)</f>
        <v>9</v>
      </c>
      <c r="K33" s="9">
        <f t="shared" ca="1" si="4"/>
        <v>0</v>
      </c>
      <c r="L33" s="5">
        <f t="shared" ca="1" si="5"/>
        <v>3.3E-4</v>
      </c>
      <c r="M33" s="5">
        <f t="shared" ca="1" si="6"/>
        <v>8</v>
      </c>
      <c r="N33" s="5">
        <f t="shared" ca="1" si="7"/>
        <v>8</v>
      </c>
      <c r="O33" s="5">
        <f t="shared" si="8"/>
        <v>29</v>
      </c>
      <c r="P33" s="5" t="str">
        <f t="shared" ca="1" si="10"/>
        <v>Colin Mander</v>
      </c>
      <c r="Q33" s="6">
        <f t="shared" ca="1" si="11"/>
        <v>0</v>
      </c>
      <c r="R33" s="5">
        <f t="shared" ca="1" si="3"/>
        <v>9</v>
      </c>
    </row>
    <row r="34" spans="1:18" x14ac:dyDescent="0.2">
      <c r="A34" s="54" t="str">
        <f ca="1"/>
        <v>RIWO</v>
      </c>
      <c r="B34" t="str">
        <f ca="1"/>
        <v>Rick Worthington</v>
      </c>
      <c r="C34" s="8">
        <f t="shared" ca="1" si="12"/>
        <v>0</v>
      </c>
      <c r="D34" s="8">
        <f ca="1">IF(NOT(ISNA(E34)),5*OFFSET(Batting!$AK$4,E34,0,1,1),0)</f>
        <v>0</v>
      </c>
      <c r="E34" s="8" t="e">
        <f ca="1">MATCH(A34,Batting!$A$5:$A$82,0)</f>
        <v>#N/A</v>
      </c>
      <c r="F34" s="8">
        <f ca="1">IF(NOT(ISNA(E34)),OFFSET(Batting!$B$4,E34,$C$1,1,1),0)</f>
        <v>0</v>
      </c>
      <c r="G34" s="8" t="e">
        <f ca="1">MATCH(A34,Bowling!$A$5:$A$58,0)</f>
        <v>#N/A</v>
      </c>
      <c r="H34" s="8">
        <f ca="1">IF(NOT(ISNA(G34)),OFFSET(Bowling!#REF!,G34,0,1,1),0)</f>
        <v>0</v>
      </c>
      <c r="I34" s="8">
        <f ca="1">IF(NOT(ISNA(E34)),OFFSET(Batting!$B$4,E34,$C$1+1,1,1),0)</f>
        <v>0</v>
      </c>
      <c r="J34" s="8">
        <f ca="1">VLOOKUP(A34,'Fantasy Teams'!$A$45:$C$87,3,FALSE)</f>
        <v>4</v>
      </c>
      <c r="K34" s="9">
        <f t="shared" ca="1" si="4"/>
        <v>0</v>
      </c>
      <c r="L34" s="5">
        <f t="shared" ca="1" si="5"/>
        <v>3.4000000000000002E-4</v>
      </c>
      <c r="M34" s="5">
        <f t="shared" ca="1" si="6"/>
        <v>7</v>
      </c>
      <c r="N34" s="5">
        <f t="shared" ca="1" si="7"/>
        <v>7</v>
      </c>
      <c r="O34" s="5">
        <f t="shared" si="8"/>
        <v>30</v>
      </c>
      <c r="P34" s="5" t="str">
        <f t="shared" ca="1" si="10"/>
        <v>Clive Edghill</v>
      </c>
      <c r="Q34" s="6">
        <f t="shared" ca="1" si="11"/>
        <v>0</v>
      </c>
      <c r="R34" s="5">
        <f t="shared" ca="1" si="3"/>
        <v>2</v>
      </c>
    </row>
    <row r="35" spans="1:18" x14ac:dyDescent="0.2">
      <c r="A35" s="54" t="str">
        <f ca="1"/>
        <v>ROMO</v>
      </c>
      <c r="B35" t="str">
        <f ca="1"/>
        <v>Ron Morris</v>
      </c>
      <c r="C35" s="8">
        <f t="shared" ca="1" si="12"/>
        <v>0</v>
      </c>
      <c r="D35" s="8">
        <f ca="1">IF(NOT(ISNA(E35)),5*OFFSET(Batting!$AK$4,E35,0,1,1),0)</f>
        <v>0</v>
      </c>
      <c r="E35" s="8" t="e">
        <f ca="1">MATCH(A35,Batting!$A$5:$A$82,0)</f>
        <v>#N/A</v>
      </c>
      <c r="F35" s="8">
        <f ca="1">IF(NOT(ISNA(E35)),OFFSET(Batting!$B$4,E35,$C$1,1,1),0)</f>
        <v>0</v>
      </c>
      <c r="G35" s="8" t="e">
        <f ca="1">MATCH(A35,Bowling!$A$5:$A$58,0)</f>
        <v>#N/A</v>
      </c>
      <c r="H35" s="8">
        <f ca="1">IF(NOT(ISNA(G35)),OFFSET(Bowling!#REF!,G35,0,1,1),0)</f>
        <v>0</v>
      </c>
      <c r="I35" s="8">
        <f ca="1">IF(NOT(ISNA(E35)),OFFSET(Batting!$B$4,E35,$C$1+1,1,1),0)</f>
        <v>0</v>
      </c>
      <c r="J35" s="8">
        <f ca="1">VLOOKUP(A35,'Fantasy Teams'!$A$45:$C$87,3,FALSE)</f>
        <v>2</v>
      </c>
      <c r="K35" s="9">
        <f t="shared" ca="1" si="4"/>
        <v>0</v>
      </c>
      <c r="L35" s="5">
        <f t="shared" ca="1" si="5"/>
        <v>3.5E-4</v>
      </c>
      <c r="M35" s="5">
        <f t="shared" ca="1" si="6"/>
        <v>6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6">
        <f t="shared" ca="1" si="11"/>
        <v>0</v>
      </c>
      <c r="R35" s="5">
        <f t="shared" ca="1" si="3"/>
        <v>6</v>
      </c>
    </row>
    <row r="36" spans="1:18" x14ac:dyDescent="0.2">
      <c r="A36" s="54" t="str">
        <f ca="1"/>
        <v>ROOD</v>
      </c>
      <c r="B36" t="str">
        <f ca="1"/>
        <v>Roy Odeneal</v>
      </c>
      <c r="C36" s="8">
        <f t="shared" ca="1" si="12"/>
        <v>0</v>
      </c>
      <c r="D36" s="8">
        <f ca="1">IF(NOT(ISNA(E36)),5*OFFSET(Batting!$AK$4,E36,0,1,1),0)</f>
        <v>0</v>
      </c>
      <c r="E36" s="8" t="e">
        <f ca="1">MATCH(A36,Batting!$A$5:$A$82,0)</f>
        <v>#N/A</v>
      </c>
      <c r="F36" s="8">
        <f ca="1">IF(NOT(ISNA(E36)),OFFSET(Batting!$B$4,E36,$C$1,1,1),0)</f>
        <v>0</v>
      </c>
      <c r="G36" s="8" t="e">
        <f ca="1">MATCH(A36,Bowling!$A$5:$A$58,0)</f>
        <v>#N/A</v>
      </c>
      <c r="H36" s="8">
        <f ca="1">IF(NOT(ISNA(G36)),OFFSET(Bowling!#REF!,G36,0,1,1),0)</f>
        <v>0</v>
      </c>
      <c r="I36" s="8">
        <f ca="1">IF(NOT(ISNA(E36)),OFFSET(Batting!$B$4,E36,$C$1+1,1,1),0)</f>
        <v>0</v>
      </c>
      <c r="J36" s="8">
        <f ca="1">VLOOKUP(A36,'Fantasy Teams'!$A$45:$C$87,3,FALSE)</f>
        <v>2</v>
      </c>
      <c r="K36" s="9">
        <f t="shared" ca="1" si="4"/>
        <v>0</v>
      </c>
      <c r="L36" s="5">
        <f t="shared" ca="1" si="5"/>
        <v>3.6000000000000002E-4</v>
      </c>
      <c r="M36" s="5">
        <f t="shared" ca="1" si="6"/>
        <v>5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6">
        <f t="shared" ca="1" si="11"/>
        <v>0</v>
      </c>
      <c r="R36" s="5">
        <f t="shared" ca="1" si="3"/>
        <v>4</v>
      </c>
    </row>
    <row r="37" spans="1:18" x14ac:dyDescent="0.2">
      <c r="A37" s="54" t="str">
        <f ca="1"/>
        <v>STBA</v>
      </c>
      <c r="B37" t="str">
        <f ca="1"/>
        <v>Steve Barry</v>
      </c>
      <c r="C37" s="8">
        <f t="shared" ca="1" si="12"/>
        <v>0</v>
      </c>
      <c r="D37" s="8">
        <f ca="1">IF(NOT(ISNA(E37)),5*OFFSET(Batting!$AK$4,E37,0,1,1),0)</f>
        <v>0</v>
      </c>
      <c r="E37" s="8" t="e">
        <f ca="1">MATCH(A37,Batting!$A$5:$A$82,0)</f>
        <v>#N/A</v>
      </c>
      <c r="F37" s="8">
        <f ca="1">IF(NOT(ISNA(E37)),OFFSET(Batting!$B$4,E37,$C$1,1,1),0)</f>
        <v>0</v>
      </c>
      <c r="G37" s="8" t="e">
        <f ca="1">MATCH(A37,Bowling!$A$5:$A$58,0)</f>
        <v>#N/A</v>
      </c>
      <c r="H37" s="8">
        <f ca="1">IF(NOT(ISNA(G37)),OFFSET(Bowling!#REF!,G37,0,1,1),0)</f>
        <v>0</v>
      </c>
      <c r="I37" s="8">
        <f ca="1">IF(NOT(ISNA(E37)),OFFSET(Batting!$B$4,E37,$C$1+1,1,1),0)</f>
        <v>0</v>
      </c>
      <c r="J37" s="8">
        <f ca="1">VLOOKUP(A37,'Fantasy Teams'!$A$45:$C$87,3,FALSE)</f>
        <v>2</v>
      </c>
      <c r="K37" s="9">
        <f t="shared" ca="1" si="4"/>
        <v>0</v>
      </c>
      <c r="L37" s="5">
        <f t="shared" ca="1" si="5"/>
        <v>3.6999999999999999E-4</v>
      </c>
      <c r="M37" s="5">
        <f t="shared" ca="1" si="6"/>
        <v>4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6">
        <f t="shared" ca="1" si="11"/>
        <v>0</v>
      </c>
      <c r="R37" s="5">
        <f t="shared" ca="1" si="3"/>
        <v>6</v>
      </c>
    </row>
    <row r="38" spans="1:18" x14ac:dyDescent="0.2">
      <c r="A38" s="54" t="str">
        <f ca="1"/>
        <v>TEDU</v>
      </c>
      <c r="B38" t="str">
        <f ca="1"/>
        <v>Ted Dugdale</v>
      </c>
      <c r="C38" s="8">
        <f t="shared" ca="1" si="12"/>
        <v>0</v>
      </c>
      <c r="D38" s="8">
        <f ca="1">IF(NOT(ISNA(E38)),5*OFFSET(Batting!$AK$4,E38,0,1,1),0)</f>
        <v>0</v>
      </c>
      <c r="E38" s="8" t="e">
        <f ca="1">MATCH(A38,Batting!$A$5:$A$82,0)</f>
        <v>#N/A</v>
      </c>
      <c r="F38" s="8">
        <f ca="1">IF(NOT(ISNA(E38)),OFFSET(Batting!$B$4,E38,$C$1,1,1),0)</f>
        <v>0</v>
      </c>
      <c r="G38" s="8" t="e">
        <f ca="1">MATCH(A38,Bowling!$A$5:$A$58,0)</f>
        <v>#N/A</v>
      </c>
      <c r="H38" s="8">
        <f ca="1">IF(NOT(ISNA(G38)),OFFSET(Bowling!#REF!,G38,0,1,1),0)</f>
        <v>0</v>
      </c>
      <c r="I38" s="8">
        <f ca="1">IF(NOT(ISNA(E38)),OFFSET(Batting!$B$4,E38,$C$1+1,1,1),0)</f>
        <v>0</v>
      </c>
      <c r="J38" s="8">
        <f ca="1">VLOOKUP(A38,'Fantasy Teams'!$A$45:$C$87,3,FALSE)</f>
        <v>3</v>
      </c>
      <c r="K38" s="9">
        <f t="shared" ca="1" si="4"/>
        <v>0</v>
      </c>
      <c r="L38" s="5">
        <f t="shared" ca="1" si="5"/>
        <v>3.8000000000000002E-4</v>
      </c>
      <c r="M38" s="5">
        <f t="shared" ca="1" si="6"/>
        <v>3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6">
        <f t="shared" ca="1" si="11"/>
        <v>0</v>
      </c>
      <c r="R38" s="5">
        <f t="shared" ca="1" si="3"/>
        <v>3</v>
      </c>
    </row>
    <row r="39" spans="1:18" x14ac:dyDescent="0.2">
      <c r="A39" s="54" t="str">
        <f ca="1"/>
        <v>TOSP</v>
      </c>
      <c r="B39" t="str">
        <f ca="1"/>
        <v>Tony Springer</v>
      </c>
      <c r="C39" s="8">
        <f t="shared" ca="1" si="12"/>
        <v>0</v>
      </c>
      <c r="D39" s="8">
        <f ca="1">IF(NOT(ISNA(E39)),5*OFFSET(Batting!$AK$4,E39,0,1,1),0)</f>
        <v>0</v>
      </c>
      <c r="E39" s="8" t="e">
        <f ca="1">MATCH(A39,Batting!$A$5:$A$82,0)</f>
        <v>#N/A</v>
      </c>
      <c r="F39" s="8">
        <f ca="1">IF(NOT(ISNA(E39)),OFFSET(Batting!$B$4,E39,$C$1,1,1),0)</f>
        <v>0</v>
      </c>
      <c r="G39" s="8" t="e">
        <f ca="1">MATCH(A39,Bowling!$A$5:$A$58,0)</f>
        <v>#N/A</v>
      </c>
      <c r="H39" s="8">
        <f ca="1">IF(NOT(ISNA(G39)),OFFSET(Bowling!#REF!,G39,0,1,1),0)</f>
        <v>0</v>
      </c>
      <c r="I39" s="8">
        <f ca="1">IF(NOT(ISNA(E39)),OFFSET(Batting!$B$4,E39,$C$1+1,1,1),0)</f>
        <v>0</v>
      </c>
      <c r="J39" s="8">
        <f ca="1">VLOOKUP(A39,'Fantasy Teams'!$A$45:$C$87,3,FALSE)</f>
        <v>13</v>
      </c>
      <c r="K39" s="9">
        <f t="shared" ca="1" si="4"/>
        <v>0</v>
      </c>
      <c r="L39" s="5">
        <f t="shared" ca="1" si="5"/>
        <v>3.8999999999999999E-4</v>
      </c>
      <c r="M39" s="5">
        <f t="shared" ca="1" si="6"/>
        <v>2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6">
        <f t="shared" ca="1" si="11"/>
        <v>0</v>
      </c>
      <c r="R39" s="5">
        <f t="shared" ca="1" si="3"/>
        <v>2</v>
      </c>
    </row>
    <row r="40" spans="1:18" x14ac:dyDescent="0.2">
      <c r="A40" s="54" t="str">
        <f ca="1"/>
        <v>VIRE</v>
      </c>
      <c r="B40" t="str">
        <f ca="1"/>
        <v>Vince Reid</v>
      </c>
      <c r="C40" s="8">
        <f t="shared" ca="1" si="12"/>
        <v>0</v>
      </c>
      <c r="D40" s="8">
        <f ca="1">IF(NOT(ISNA(E40)),5*OFFSET(Batting!$AK$4,E40,0,1,1),0)</f>
        <v>0</v>
      </c>
      <c r="E40" s="8" t="e">
        <f ca="1">MATCH(A40,Batting!$A$5:$A$82,0)</f>
        <v>#N/A</v>
      </c>
      <c r="F40" s="8">
        <f ca="1">IF(NOT(ISNA(E40)),OFFSET(Batting!$B$4,E40,$C$1,1,1),0)</f>
        <v>0</v>
      </c>
      <c r="G40" s="8" t="e">
        <f ca="1">MATCH(A40,Bowling!$A$5:$A$58,0)</f>
        <v>#N/A</v>
      </c>
      <c r="H40" s="8">
        <f ca="1">IF(NOT(ISNA(G40)),OFFSET(Bowling!#REF!,G40,0,1,1),0)</f>
        <v>0</v>
      </c>
      <c r="I40" s="8">
        <f ca="1">IF(NOT(ISNA(E40)),OFFSET(Batting!$B$4,E40,$C$1+1,1,1),0)</f>
        <v>0</v>
      </c>
      <c r="J40" s="8">
        <f ca="1">VLOOKUP(A40,'Fantasy Teams'!$A$45:$C$87,3,FALSE)</f>
        <v>4</v>
      </c>
      <c r="K40" s="9">
        <f t="shared" ca="1" si="4"/>
        <v>0</v>
      </c>
      <c r="L40" s="5">
        <f t="shared" ca="1" si="5"/>
        <v>4.0000000000000002E-4</v>
      </c>
      <c r="M40" s="5">
        <f t="shared" ca="1" si="6"/>
        <v>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6">
        <f t="shared" ca="1" si="11"/>
        <v>0</v>
      </c>
      <c r="R40" s="5">
        <f t="shared" ca="1" si="3"/>
        <v>3</v>
      </c>
    </row>
    <row r="41" spans="1:18" x14ac:dyDescent="0.2">
      <c r="A41" s="54" t="e">
        <f ca="1"/>
        <v>#N/A</v>
      </c>
      <c r="B41" t="e">
        <f ca="1"/>
        <v>#N/A</v>
      </c>
      <c r="C41" s="8">
        <f t="shared" ca="1" si="12"/>
        <v>0</v>
      </c>
      <c r="D41" s="8">
        <f ca="1">IF(NOT(ISNA(E41)),5*OFFSET(Batting!$AK$4,E41,0,1,1),0)</f>
        <v>0</v>
      </c>
      <c r="E41" s="8" t="e">
        <f ca="1">MATCH(A41,Batting!$A$5:$A$82,0)</f>
        <v>#N/A</v>
      </c>
      <c r="F41" s="8">
        <f ca="1">IF(NOT(ISNA(E41)),OFFSET(Batting!$B$4,E41,$C$1,1,1),0)</f>
        <v>0</v>
      </c>
      <c r="G41" s="8" t="e">
        <f ca="1">MATCH(A41,Bowling!$A$5:$A$58,0)</f>
        <v>#N/A</v>
      </c>
      <c r="H41" s="8">
        <f ca="1">IF(NOT(ISNA(G41)),OFFSET(Bowling!#REF!,G41,0,1,1),0)</f>
        <v>0</v>
      </c>
      <c r="I41" s="8">
        <f ca="1">IF(NOT(ISNA(E41)),OFFSET(Batting!$B$4,E41,$C$1+1,1,1),0)</f>
        <v>0</v>
      </c>
      <c r="J41" s="8" t="e">
        <f ca="1">VLOOKUP(A41,'Fantasy Teams'!$A$45:$C$87,3,FALSE)</f>
        <v>#N/A</v>
      </c>
      <c r="K41" s="9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6" t="e">
        <f t="shared" ca="1" si="11"/>
        <v>#N/A</v>
      </c>
      <c r="R41" s="5" t="e">
        <f t="shared" ca="1" si="3"/>
        <v>#N/A</v>
      </c>
    </row>
    <row r="42" spans="1:18" x14ac:dyDescent="0.2">
      <c r="A42" s="54" t="e">
        <f ca="1"/>
        <v>#N/A</v>
      </c>
      <c r="B42" t="e">
        <f ca="1"/>
        <v>#N/A</v>
      </c>
      <c r="C42" s="8">
        <f t="shared" ca="1" si="12"/>
        <v>0</v>
      </c>
      <c r="D42" s="8">
        <f ca="1">IF(NOT(ISNA(E42)),5*OFFSET(Batting!$AK$4,E42,0,1,1),0)</f>
        <v>0</v>
      </c>
      <c r="E42" s="8" t="e">
        <f ca="1">MATCH(A42,Batting!$A$5:$A$82,0)</f>
        <v>#N/A</v>
      </c>
      <c r="F42" s="8">
        <f ca="1">IF(NOT(ISNA(E42)),OFFSET(Batting!$B$4,E42,$C$1,1,1),0)</f>
        <v>0</v>
      </c>
      <c r="G42" s="8" t="e">
        <f ca="1">MATCH(A42,Bowling!$A$5:$A$58,0)</f>
        <v>#N/A</v>
      </c>
      <c r="H42" s="8">
        <f ca="1">IF(NOT(ISNA(G42)),OFFSET(Bowling!#REF!,G42,0,1,1),0)</f>
        <v>0</v>
      </c>
      <c r="I42" s="8">
        <f ca="1">IF(NOT(ISNA(E42)),OFFSET(Batting!$B$4,E42,$C$1+1,1,1),0)</f>
        <v>0</v>
      </c>
      <c r="J42" s="8" t="e">
        <f ca="1">VLOOKUP(A42,'Fantasy Teams'!$A$45:$C$87,3,FALSE)</f>
        <v>#N/A</v>
      </c>
      <c r="K42" s="9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6" t="e">
        <f t="shared" ca="1" si="11"/>
        <v>#N/A</v>
      </c>
      <c r="R42" s="5" t="e">
        <f t="shared" ca="1" si="3"/>
        <v>#N/A</v>
      </c>
    </row>
    <row r="43" spans="1:18" x14ac:dyDescent="0.2">
      <c r="A43" s="54" t="e">
        <f ca="1"/>
        <v>#N/A</v>
      </c>
      <c r="B43" t="e">
        <f ca="1"/>
        <v>#N/A</v>
      </c>
      <c r="C43" s="8">
        <f t="shared" ca="1" si="12"/>
        <v>0</v>
      </c>
      <c r="D43" s="8">
        <f ca="1">IF(NOT(ISNA(E43)),5*OFFSET(Batting!$AK$4,E43,0,1,1),0)</f>
        <v>0</v>
      </c>
      <c r="E43" s="8" t="e">
        <f ca="1">MATCH(A43,Batting!$A$5:$A$82,0)</f>
        <v>#N/A</v>
      </c>
      <c r="F43" s="8">
        <f ca="1">IF(NOT(ISNA(E43)),OFFSET(Batting!$B$4,E43,$C$1,1,1),0)</f>
        <v>0</v>
      </c>
      <c r="G43" s="8" t="e">
        <f ca="1">MATCH(A43,Bowling!$A$5:$A$58,0)</f>
        <v>#N/A</v>
      </c>
      <c r="H43" s="8">
        <f ca="1">IF(NOT(ISNA(G43)),OFFSET(Bowling!#REF!,G43,0,1,1),0)</f>
        <v>0</v>
      </c>
      <c r="I43" s="8">
        <f ca="1">IF(NOT(ISNA(E43)),OFFSET(Batting!$B$4,E43,$C$1+1,1,1),0)</f>
        <v>0</v>
      </c>
      <c r="J43" s="8" t="e">
        <f ca="1">VLOOKUP(A43,'Fantasy Teams'!$A$45:$C$87,3,FALSE)</f>
        <v>#N/A</v>
      </c>
      <c r="K43" s="9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6" t="e">
        <f t="shared" ca="1" si="11"/>
        <v>#N/A</v>
      </c>
      <c r="R43" s="5" t="e">
        <f t="shared" ca="1" si="3"/>
        <v>#N/A</v>
      </c>
    </row>
    <row r="44" spans="1:18" x14ac:dyDescent="0.2">
      <c r="A44" s="54" t="e">
        <f ca="1"/>
        <v>#N/A</v>
      </c>
      <c r="B44" t="e">
        <f ca="1"/>
        <v>#N/A</v>
      </c>
      <c r="C44" s="8">
        <f ca="1">F44+H44+I44+D44</f>
        <v>0</v>
      </c>
      <c r="D44" s="8">
        <f ca="1">IF(NOT(ISNA(E44)),5*OFFSET(Batting!$AK$4,E44,0,1,1),0)</f>
        <v>0</v>
      </c>
      <c r="E44" s="8" t="e">
        <f ca="1">MATCH(A44,Batting!$A$5:$A$82,0)</f>
        <v>#N/A</v>
      </c>
      <c r="F44" s="8">
        <f ca="1">IF(NOT(ISNA(E44)),OFFSET(Batting!$B$4,E44,$C$1,1,1),0)</f>
        <v>0</v>
      </c>
      <c r="G44" s="8" t="e">
        <f ca="1">MATCH(A44,Bowling!$A$5:$A$58,0)</f>
        <v>#N/A</v>
      </c>
      <c r="H44" s="8">
        <f ca="1">IF(NOT(ISNA(G44)),OFFSET(Bowling!#REF!,G44,0,1,1),0)</f>
        <v>0</v>
      </c>
      <c r="I44" s="8">
        <f ca="1">IF(NOT(ISNA(E44)),OFFSET(Batting!$B$4,E44,$C$1+1,1,1),0)</f>
        <v>0</v>
      </c>
      <c r="J44" s="8" t="e">
        <f ca="1">VLOOKUP(A44,'Fantasy Teams'!$A$45:$C$87,3,FALSE)</f>
        <v>#N/A</v>
      </c>
      <c r="K44" s="9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6" t="e">
        <f t="shared" ca="1" si="11"/>
        <v>#N/A</v>
      </c>
      <c r="R44" s="5" t="e">
        <f t="shared" ca="1" si="3"/>
        <v>#N/A</v>
      </c>
    </row>
    <row r="45" spans="1:18" x14ac:dyDescent="0.2">
      <c r="A45" s="54" t="e">
        <f ca="1"/>
        <v>#N/A</v>
      </c>
      <c r="B45" t="e">
        <f ca="1"/>
        <v>#N/A</v>
      </c>
      <c r="C45" s="8">
        <f ca="1">F45+H45+I45+D45</f>
        <v>0</v>
      </c>
      <c r="D45" s="8">
        <f ca="1">IF(NOT(ISNA(E45)),5*OFFSET(Batting!$AK$4,E45,0,1,1),0)</f>
        <v>0</v>
      </c>
      <c r="E45" s="8" t="e">
        <f ca="1">MATCH(A45,Batting!$A$5:$A$82,0)</f>
        <v>#N/A</v>
      </c>
      <c r="F45" s="8">
        <f ca="1">IF(NOT(ISNA(E45)),OFFSET(Batting!$B$4,E45,$C$1,1,1),0)</f>
        <v>0</v>
      </c>
      <c r="G45" s="8" t="e">
        <f ca="1">MATCH(A45,Bowling!$A$5:$A$58,0)</f>
        <v>#N/A</v>
      </c>
      <c r="H45" s="8">
        <f ca="1">IF(NOT(ISNA(G45)),OFFSET(Bowling!#REF!,G45,0,1,1),0)</f>
        <v>0</v>
      </c>
      <c r="I45" s="8">
        <f ca="1">IF(NOT(ISNA(E45)),OFFSET(Batting!$B$4,E45,$C$1+1,1,1),0)</f>
        <v>0</v>
      </c>
      <c r="J45" s="8" t="e">
        <f ca="1">VLOOKUP(A45,'Fantasy Teams'!$A$45:$C$87,3,FALSE)</f>
        <v>#N/A</v>
      </c>
      <c r="K45" s="9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6" t="e">
        <f t="shared" ca="1" si="11"/>
        <v>#N/A</v>
      </c>
      <c r="R45" s="5" t="e">
        <f t="shared" ca="1" si="3"/>
        <v>#N/A</v>
      </c>
    </row>
    <row r="46" spans="1:18" x14ac:dyDescent="0.2">
      <c r="A46" s="54" t="e">
        <f ca="1"/>
        <v>#N/A</v>
      </c>
      <c r="B46" t="e">
        <f ca="1"/>
        <v>#N/A</v>
      </c>
      <c r="C46" s="8">
        <f ca="1">F46+H46+I46+D46</f>
        <v>0</v>
      </c>
      <c r="D46" s="8">
        <f ca="1">IF(NOT(ISNA(E46)),5*OFFSET(Batting!$AK$4,E46,0,1,1),0)</f>
        <v>0</v>
      </c>
      <c r="E46" s="8" t="e">
        <f ca="1">MATCH(A46,Batting!$A$5:$A$82,0)</f>
        <v>#N/A</v>
      </c>
      <c r="F46" s="8">
        <f ca="1">IF(NOT(ISNA(E46)),OFFSET(Batting!$B$4,E46,$C$1,1,1),0)</f>
        <v>0</v>
      </c>
      <c r="G46" s="8" t="e">
        <f ca="1">MATCH(A46,Bowling!$A$5:$A$58,0)</f>
        <v>#N/A</v>
      </c>
      <c r="H46" s="8">
        <f ca="1">IF(NOT(ISNA(G46)),OFFSET(Bowling!#REF!,G46,0,1,1),0)</f>
        <v>0</v>
      </c>
      <c r="I46" s="8">
        <f ca="1">IF(NOT(ISNA(E46)),OFFSET(Batting!$B$4,E46,$C$1+1,1,1),0)</f>
        <v>0</v>
      </c>
      <c r="J46" s="8" t="e">
        <f ca="1">VLOOKUP(A46,'Fantasy Teams'!$A$45:$C$87,3,FALSE)</f>
        <v>#N/A</v>
      </c>
      <c r="K46" s="9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6" t="e">
        <f t="shared" ca="1" si="11"/>
        <v>#N/A</v>
      </c>
      <c r="R46" s="5" t="e">
        <f t="shared" ca="1" si="3"/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J42"/>
  <sheetViews>
    <sheetView workbookViewId="0"/>
  </sheetViews>
  <sheetFormatPr defaultRowHeight="12.75" customHeight="1" x14ac:dyDescent="0.2"/>
  <cols>
    <col min="1" max="1" width="19.42578125" style="15" customWidth="1"/>
    <col min="2" max="7" width="9.7109375" style="19" customWidth="1"/>
    <col min="8" max="8" width="9.7109375" style="20" customWidth="1"/>
    <col min="9" max="9" width="3" style="15" bestFit="1" customWidth="1"/>
    <col min="10" max="10" width="9.140625" style="82"/>
    <col min="11" max="16384" width="9.140625" style="15"/>
  </cols>
  <sheetData>
    <row r="1" spans="1:10" ht="12.75" customHeight="1" x14ac:dyDescent="0.25">
      <c r="A1" s="12" t="s">
        <v>76</v>
      </c>
      <c r="B1" s="13" t="s">
        <v>84</v>
      </c>
      <c r="C1" s="13" t="s">
        <v>85</v>
      </c>
      <c r="D1" s="13" t="s">
        <v>79</v>
      </c>
      <c r="E1" s="13" t="s">
        <v>81</v>
      </c>
      <c r="F1" s="13" t="s">
        <v>82</v>
      </c>
      <c r="G1" s="13" t="s">
        <v>70</v>
      </c>
      <c r="H1" s="14" t="s">
        <v>86</v>
      </c>
    </row>
    <row r="2" spans="1:10" ht="12.75" customHeight="1" x14ac:dyDescent="0.3">
      <c r="A2" s="16" t="str">
        <f ca="1">FantasyPts!B5</f>
        <v>Adrian Hawksworth</v>
      </c>
      <c r="B2" s="17">
        <f ca="1">FantasyPts!C5</f>
        <v>0</v>
      </c>
      <c r="C2" s="17">
        <f ca="1">FantasyPts!D5</f>
        <v>0</v>
      </c>
      <c r="D2" s="17">
        <f ca="1">FantasyPts!F5</f>
        <v>0</v>
      </c>
      <c r="E2" s="17">
        <f ca="1">FantasyPts!H5</f>
        <v>0</v>
      </c>
      <c r="F2" s="17">
        <f ca="1">FantasyPts!I5</f>
        <v>0</v>
      </c>
      <c r="G2" s="17">
        <f ca="1">FantasyPts!J5</f>
        <v>3</v>
      </c>
      <c r="H2" s="18">
        <f ca="1">FantasyPts!K5</f>
        <v>0</v>
      </c>
      <c r="I2" s="15">
        <f ca="1">INT(B2/100+0.5)</f>
        <v>0</v>
      </c>
      <c r="J2" s="85">
        <f ca="1">I2-G2</f>
        <v>-3</v>
      </c>
    </row>
    <row r="3" spans="1:10" ht="12.75" customHeight="1" x14ac:dyDescent="0.3">
      <c r="A3" s="16" t="str">
        <f ca="1">FantasyPts!B6</f>
        <v>Adam Lestrelle</v>
      </c>
      <c r="B3" s="17">
        <f ca="1">FantasyPts!C6</f>
        <v>0</v>
      </c>
      <c r="C3" s="17">
        <f ca="1">FantasyPts!D6</f>
        <v>0</v>
      </c>
      <c r="D3" s="17">
        <f ca="1">FantasyPts!F6</f>
        <v>0</v>
      </c>
      <c r="E3" s="17">
        <f ca="1">FantasyPts!H6</f>
        <v>0</v>
      </c>
      <c r="F3" s="17">
        <f ca="1">FantasyPts!I6</f>
        <v>0</v>
      </c>
      <c r="G3" s="17">
        <f ca="1">FantasyPts!J6</f>
        <v>2</v>
      </c>
      <c r="H3" s="18">
        <f ca="1">FantasyPts!K6</f>
        <v>0</v>
      </c>
      <c r="I3" s="15">
        <f t="shared" ref="I3:I38" ca="1" si="0">INT(B3/100+0.5)</f>
        <v>0</v>
      </c>
      <c r="J3" s="85">
        <f t="shared" ref="J3:J42" ca="1" si="1">I3-G3</f>
        <v>-2</v>
      </c>
    </row>
    <row r="4" spans="1:10" ht="12.75" customHeight="1" x14ac:dyDescent="0.3">
      <c r="A4" s="16" t="str">
        <f ca="1">FantasyPts!B7</f>
        <v>Aiden Coloe</v>
      </c>
      <c r="B4" s="17">
        <f ca="1">FantasyPts!C7</f>
        <v>0</v>
      </c>
      <c r="C4" s="17">
        <f ca="1">FantasyPts!D7</f>
        <v>0</v>
      </c>
      <c r="D4" s="17">
        <f ca="1">FantasyPts!F7</f>
        <v>0</v>
      </c>
      <c r="E4" s="17">
        <f ca="1">FantasyPts!H7</f>
        <v>0</v>
      </c>
      <c r="F4" s="17">
        <f ca="1">FantasyPts!I7</f>
        <v>0</v>
      </c>
      <c r="G4" s="17">
        <f ca="1">FantasyPts!J7</f>
        <v>3</v>
      </c>
      <c r="H4" s="18">
        <f ca="1">FantasyPts!K7</f>
        <v>0</v>
      </c>
      <c r="I4" s="15">
        <f t="shared" ca="1" si="0"/>
        <v>0</v>
      </c>
      <c r="J4" s="85">
        <f t="shared" ca="1" si="1"/>
        <v>-3</v>
      </c>
    </row>
    <row r="5" spans="1:10" ht="12.75" customHeight="1" x14ac:dyDescent="0.3">
      <c r="A5" s="16" t="str">
        <f ca="1">FantasyPts!B8</f>
        <v>Andy Mander</v>
      </c>
      <c r="B5" s="17">
        <f ca="1">FantasyPts!C8</f>
        <v>0</v>
      </c>
      <c r="C5" s="17">
        <f ca="1">FantasyPts!D8</f>
        <v>0</v>
      </c>
      <c r="D5" s="17">
        <f ca="1">FantasyPts!F8</f>
        <v>0</v>
      </c>
      <c r="E5" s="17">
        <f ca="1">FantasyPts!H8</f>
        <v>0</v>
      </c>
      <c r="F5" s="17">
        <f ca="1">FantasyPts!I8</f>
        <v>0</v>
      </c>
      <c r="G5" s="17">
        <f ca="1">FantasyPts!J8</f>
        <v>6</v>
      </c>
      <c r="H5" s="18">
        <f ca="1">FantasyPts!K8</f>
        <v>0</v>
      </c>
      <c r="I5" s="15">
        <f t="shared" ca="1" si="0"/>
        <v>0</v>
      </c>
      <c r="J5" s="85">
        <f t="shared" ca="1" si="1"/>
        <v>-6</v>
      </c>
    </row>
    <row r="6" spans="1:10" ht="12.75" customHeight="1" x14ac:dyDescent="0.3">
      <c r="A6" s="16" t="str">
        <f ca="1">FantasyPts!B9</f>
        <v>Bob Young</v>
      </c>
      <c r="B6" s="17">
        <f ca="1">FantasyPts!C9</f>
        <v>0</v>
      </c>
      <c r="C6" s="17">
        <f ca="1">FantasyPts!D9</f>
        <v>0</v>
      </c>
      <c r="D6" s="17">
        <f ca="1">FantasyPts!F9</f>
        <v>0</v>
      </c>
      <c r="E6" s="17">
        <f ca="1">FantasyPts!H9</f>
        <v>0</v>
      </c>
      <c r="F6" s="17">
        <f ca="1">FantasyPts!I9</f>
        <v>0</v>
      </c>
      <c r="G6" s="17">
        <f ca="1">FantasyPts!J9</f>
        <v>4</v>
      </c>
      <c r="H6" s="18">
        <f ca="1">FantasyPts!K9</f>
        <v>0</v>
      </c>
      <c r="I6" s="15">
        <f t="shared" ca="1" si="0"/>
        <v>0</v>
      </c>
      <c r="J6" s="85">
        <f t="shared" ca="1" si="1"/>
        <v>-4</v>
      </c>
    </row>
    <row r="7" spans="1:10" ht="12.75" customHeight="1" x14ac:dyDescent="0.3">
      <c r="A7" s="16" t="str">
        <f ca="1">FantasyPts!B10</f>
        <v>Chris Clark</v>
      </c>
      <c r="B7" s="17">
        <f ca="1">FantasyPts!C10</f>
        <v>0</v>
      </c>
      <c r="C7" s="17">
        <f ca="1">FantasyPts!D10</f>
        <v>0</v>
      </c>
      <c r="D7" s="17">
        <f ca="1">FantasyPts!F10</f>
        <v>0</v>
      </c>
      <c r="E7" s="17">
        <f ca="1">FantasyPts!H10</f>
        <v>0</v>
      </c>
      <c r="F7" s="17">
        <f ca="1">FantasyPts!I10</f>
        <v>0</v>
      </c>
      <c r="G7" s="17">
        <f ca="1">FantasyPts!J10</f>
        <v>6</v>
      </c>
      <c r="H7" s="18">
        <f ca="1">FantasyPts!K10</f>
        <v>0</v>
      </c>
      <c r="I7" s="15">
        <f t="shared" ca="1" si="0"/>
        <v>0</v>
      </c>
      <c r="J7" s="85">
        <f t="shared" ca="1" si="1"/>
        <v>-6</v>
      </c>
    </row>
    <row r="8" spans="1:10" ht="12.75" customHeight="1" x14ac:dyDescent="0.3">
      <c r="A8" s="16" t="str">
        <f ca="1">FantasyPts!B11</f>
        <v>Clive Edghill</v>
      </c>
      <c r="B8" s="17">
        <f ca="1">FantasyPts!C11</f>
        <v>0</v>
      </c>
      <c r="C8" s="17">
        <f ca="1">FantasyPts!D11</f>
        <v>0</v>
      </c>
      <c r="D8" s="17">
        <f ca="1">FantasyPts!F11</f>
        <v>0</v>
      </c>
      <c r="E8" s="17">
        <f ca="1">FantasyPts!H11</f>
        <v>0</v>
      </c>
      <c r="F8" s="17">
        <f ca="1">FantasyPts!I11</f>
        <v>0</v>
      </c>
      <c r="G8" s="17">
        <f ca="1">FantasyPts!J11</f>
        <v>2</v>
      </c>
      <c r="H8" s="18">
        <f ca="1">FantasyPts!K11</f>
        <v>0</v>
      </c>
      <c r="I8" s="15">
        <f t="shared" ca="1" si="0"/>
        <v>0</v>
      </c>
      <c r="J8" s="85">
        <f t="shared" ca="1" si="1"/>
        <v>-2</v>
      </c>
    </row>
    <row r="9" spans="1:10" ht="12.75" customHeight="1" x14ac:dyDescent="0.3">
      <c r="A9" s="16" t="str">
        <f ca="1">FantasyPts!B12</f>
        <v>Colin Mander</v>
      </c>
      <c r="B9" s="17">
        <f ca="1">FantasyPts!C12</f>
        <v>0</v>
      </c>
      <c r="C9" s="17">
        <f ca="1">FantasyPts!D12</f>
        <v>0</v>
      </c>
      <c r="D9" s="17">
        <f ca="1">FantasyPts!F12</f>
        <v>0</v>
      </c>
      <c r="E9" s="17">
        <f ca="1">FantasyPts!H12</f>
        <v>0</v>
      </c>
      <c r="F9" s="17">
        <f ca="1">FantasyPts!I12</f>
        <v>0</v>
      </c>
      <c r="G9" s="17">
        <f ca="1">FantasyPts!J12</f>
        <v>9</v>
      </c>
      <c r="H9" s="18">
        <f ca="1">FantasyPts!K12</f>
        <v>0</v>
      </c>
      <c r="I9" s="15">
        <f t="shared" ca="1" si="0"/>
        <v>0</v>
      </c>
      <c r="J9" s="85">
        <f t="shared" ca="1" si="1"/>
        <v>-9</v>
      </c>
    </row>
    <row r="10" spans="1:10" ht="12.75" customHeight="1" x14ac:dyDescent="0.3">
      <c r="A10" s="16" t="str">
        <f ca="1">FantasyPts!B13</f>
        <v>Daragh Corrigan</v>
      </c>
      <c r="B10" s="17">
        <f ca="1">FantasyPts!C13</f>
        <v>0</v>
      </c>
      <c r="C10" s="17">
        <f ca="1">FantasyPts!D13</f>
        <v>0</v>
      </c>
      <c r="D10" s="17">
        <f ca="1">FantasyPts!F13</f>
        <v>0</v>
      </c>
      <c r="E10" s="17">
        <f ca="1">FantasyPts!H13</f>
        <v>0</v>
      </c>
      <c r="F10" s="17">
        <f ca="1">FantasyPts!I13</f>
        <v>0</v>
      </c>
      <c r="G10" s="17">
        <f ca="1">FantasyPts!J13</f>
        <v>2</v>
      </c>
      <c r="H10" s="18">
        <f ca="1">FantasyPts!K13</f>
        <v>0</v>
      </c>
      <c r="I10" s="15">
        <f t="shared" ca="1" si="0"/>
        <v>0</v>
      </c>
      <c r="J10" s="85">
        <f t="shared" ca="1" si="1"/>
        <v>-2</v>
      </c>
    </row>
    <row r="11" spans="1:10" ht="12.75" customHeight="1" x14ac:dyDescent="0.3">
      <c r="A11" s="16" t="str">
        <f ca="1">FantasyPts!B14</f>
        <v>Dave Morris</v>
      </c>
      <c r="B11" s="17">
        <f ca="1">FantasyPts!C14</f>
        <v>0</v>
      </c>
      <c r="C11" s="17">
        <f ca="1">FantasyPts!D14</f>
        <v>0</v>
      </c>
      <c r="D11" s="17">
        <f ca="1">FantasyPts!F14</f>
        <v>0</v>
      </c>
      <c r="E11" s="17">
        <f ca="1">FantasyPts!H14</f>
        <v>0</v>
      </c>
      <c r="F11" s="17">
        <f ca="1">FantasyPts!I14</f>
        <v>0</v>
      </c>
      <c r="G11" s="17">
        <f ca="1">FantasyPts!J14</f>
        <v>5</v>
      </c>
      <c r="H11" s="18">
        <f ca="1">FantasyPts!K14</f>
        <v>0</v>
      </c>
      <c r="I11" s="15">
        <f t="shared" ca="1" si="0"/>
        <v>0</v>
      </c>
      <c r="J11" s="85">
        <f t="shared" ca="1" si="1"/>
        <v>-5</v>
      </c>
    </row>
    <row r="12" spans="1:10" ht="12.75" customHeight="1" x14ac:dyDescent="0.3">
      <c r="A12" s="16" t="str">
        <f ca="1">FantasyPts!B15</f>
        <v>David Brocks</v>
      </c>
      <c r="B12" s="17">
        <f ca="1">FantasyPts!C15</f>
        <v>0</v>
      </c>
      <c r="C12" s="17">
        <f ca="1">FantasyPts!D15</f>
        <v>0</v>
      </c>
      <c r="D12" s="17">
        <f ca="1">FantasyPts!F15</f>
        <v>0</v>
      </c>
      <c r="E12" s="17">
        <f ca="1">FantasyPts!H15</f>
        <v>0</v>
      </c>
      <c r="F12" s="17">
        <f ca="1">FantasyPts!I15</f>
        <v>0</v>
      </c>
      <c r="G12" s="17">
        <f ca="1">FantasyPts!J15</f>
        <v>4</v>
      </c>
      <c r="H12" s="18">
        <f ca="1">FantasyPts!K15</f>
        <v>0</v>
      </c>
      <c r="I12" s="15">
        <f t="shared" ca="1" si="0"/>
        <v>0</v>
      </c>
      <c r="J12" s="85">
        <f t="shared" ca="1" si="1"/>
        <v>-4</v>
      </c>
    </row>
    <row r="13" spans="1:10" ht="12.75" customHeight="1" x14ac:dyDescent="0.3">
      <c r="A13" s="16" t="str">
        <f ca="1">FantasyPts!B16</f>
        <v>David Sharpe</v>
      </c>
      <c r="B13" s="17">
        <f ca="1">FantasyPts!C16</f>
        <v>0</v>
      </c>
      <c r="C13" s="17">
        <f ca="1">FantasyPts!D16</f>
        <v>0</v>
      </c>
      <c r="D13" s="17">
        <f ca="1">FantasyPts!F16</f>
        <v>0</v>
      </c>
      <c r="E13" s="17">
        <f ca="1">FantasyPts!H16</f>
        <v>0</v>
      </c>
      <c r="F13" s="17">
        <f ca="1">FantasyPts!I16</f>
        <v>0</v>
      </c>
      <c r="G13" s="17">
        <f ca="1">FantasyPts!J16</f>
        <v>3</v>
      </c>
      <c r="H13" s="18">
        <f ca="1">FantasyPts!K16</f>
        <v>0</v>
      </c>
      <c r="I13" s="15">
        <f t="shared" ca="1" si="0"/>
        <v>0</v>
      </c>
      <c r="J13" s="85">
        <f t="shared" ca="1" si="1"/>
        <v>-3</v>
      </c>
    </row>
    <row r="14" spans="1:10" ht="12.75" customHeight="1" x14ac:dyDescent="0.3">
      <c r="A14" s="16" t="str">
        <f ca="1">FantasyPts!B17</f>
        <v>David Snow</v>
      </c>
      <c r="B14" s="17">
        <f ca="1">FantasyPts!C17</f>
        <v>0</v>
      </c>
      <c r="C14" s="17">
        <f ca="1">FantasyPts!D17</f>
        <v>0</v>
      </c>
      <c r="D14" s="17">
        <f ca="1">FantasyPts!F17</f>
        <v>0</v>
      </c>
      <c r="E14" s="17">
        <f ca="1">FantasyPts!H17</f>
        <v>0</v>
      </c>
      <c r="F14" s="17">
        <f ca="1">FantasyPts!I17</f>
        <v>0</v>
      </c>
      <c r="G14" s="17">
        <f ca="1">FantasyPts!J17</f>
        <v>3</v>
      </c>
      <c r="H14" s="18">
        <f ca="1">FantasyPts!K17</f>
        <v>0</v>
      </c>
      <c r="I14" s="15">
        <f t="shared" ca="1" si="0"/>
        <v>0</v>
      </c>
      <c r="J14" s="85">
        <f t="shared" ca="1" si="1"/>
        <v>-3</v>
      </c>
    </row>
    <row r="15" spans="1:10" ht="12.75" customHeight="1" x14ac:dyDescent="0.3">
      <c r="A15" s="16" t="str">
        <f ca="1">FantasyPts!B18</f>
        <v>Del Shewan</v>
      </c>
      <c r="B15" s="17">
        <f ca="1">FantasyPts!C18</f>
        <v>0</v>
      </c>
      <c r="C15" s="17">
        <f ca="1">FantasyPts!D18</f>
        <v>0</v>
      </c>
      <c r="D15" s="17">
        <f ca="1">FantasyPts!F18</f>
        <v>0</v>
      </c>
      <c r="E15" s="17">
        <f ca="1">FantasyPts!H18</f>
        <v>0</v>
      </c>
      <c r="F15" s="17">
        <f ca="1">FantasyPts!I18</f>
        <v>0</v>
      </c>
      <c r="G15" s="17">
        <f ca="1">FantasyPts!J18</f>
        <v>3</v>
      </c>
      <c r="H15" s="18">
        <f ca="1">FantasyPts!K18</f>
        <v>0</v>
      </c>
      <c r="I15" s="15">
        <f t="shared" ca="1" si="0"/>
        <v>0</v>
      </c>
      <c r="J15" s="85">
        <f t="shared" ca="1" si="1"/>
        <v>-3</v>
      </c>
    </row>
    <row r="16" spans="1:10" ht="12.75" customHeight="1" x14ac:dyDescent="0.3">
      <c r="A16" s="16" t="str">
        <f ca="1">FantasyPts!B19</f>
        <v>Geoff Cooper</v>
      </c>
      <c r="B16" s="17">
        <f ca="1">FantasyPts!C19</f>
        <v>0</v>
      </c>
      <c r="C16" s="17">
        <f ca="1">FantasyPts!D19</f>
        <v>0</v>
      </c>
      <c r="D16" s="17">
        <f ca="1">FantasyPts!F19</f>
        <v>0</v>
      </c>
      <c r="E16" s="17">
        <f ca="1">FantasyPts!H19</f>
        <v>0</v>
      </c>
      <c r="F16" s="17">
        <f ca="1">FantasyPts!I19</f>
        <v>0</v>
      </c>
      <c r="G16" s="17">
        <f ca="1">FantasyPts!J19</f>
        <v>6</v>
      </c>
      <c r="H16" s="18">
        <f ca="1">FantasyPts!K19</f>
        <v>0</v>
      </c>
      <c r="I16" s="15">
        <f t="shared" ca="1" si="0"/>
        <v>0</v>
      </c>
      <c r="J16" s="85">
        <f t="shared" ca="1" si="1"/>
        <v>-6</v>
      </c>
    </row>
    <row r="17" spans="1:10" ht="12.75" customHeight="1" x14ac:dyDescent="0.3">
      <c r="A17" s="16" t="str">
        <f ca="1">FantasyPts!B20</f>
        <v>Glen Lilley</v>
      </c>
      <c r="B17" s="17">
        <f ca="1">FantasyPts!C20</f>
        <v>0</v>
      </c>
      <c r="C17" s="17">
        <f ca="1">FantasyPts!D20</f>
        <v>0</v>
      </c>
      <c r="D17" s="17">
        <f ca="1">FantasyPts!F20</f>
        <v>0</v>
      </c>
      <c r="E17" s="17">
        <f ca="1">FantasyPts!H20</f>
        <v>0</v>
      </c>
      <c r="F17" s="17">
        <f ca="1">FantasyPts!I20</f>
        <v>0</v>
      </c>
      <c r="G17" s="17">
        <f ca="1">FantasyPts!J20</f>
        <v>2</v>
      </c>
      <c r="H17" s="18">
        <f ca="1">FantasyPts!K20</f>
        <v>0</v>
      </c>
      <c r="I17" s="15">
        <f t="shared" ca="1" si="0"/>
        <v>0</v>
      </c>
      <c r="J17" s="85">
        <f t="shared" ca="1" si="1"/>
        <v>-2</v>
      </c>
    </row>
    <row r="18" spans="1:10" ht="12.75" customHeight="1" x14ac:dyDescent="0.3">
      <c r="A18" s="16" t="str">
        <f ca="1">FantasyPts!B21</f>
        <v>Glyn Angell</v>
      </c>
      <c r="B18" s="17">
        <f ca="1">FantasyPts!C21</f>
        <v>0</v>
      </c>
      <c r="C18" s="17">
        <f ca="1">FantasyPts!D21</f>
        <v>0</v>
      </c>
      <c r="D18" s="17">
        <f ca="1">FantasyPts!F21</f>
        <v>0</v>
      </c>
      <c r="E18" s="17">
        <f ca="1">FantasyPts!H21</f>
        <v>0</v>
      </c>
      <c r="F18" s="17">
        <f ca="1">FantasyPts!I21</f>
        <v>0</v>
      </c>
      <c r="G18" s="17">
        <f ca="1">FantasyPts!J21</f>
        <v>1</v>
      </c>
      <c r="H18" s="18">
        <f ca="1">FantasyPts!K21</f>
        <v>0</v>
      </c>
      <c r="I18" s="15">
        <f t="shared" ca="1" si="0"/>
        <v>0</v>
      </c>
      <c r="J18" s="85">
        <f t="shared" ca="1" si="1"/>
        <v>-1</v>
      </c>
    </row>
    <row r="19" spans="1:10" ht="12.75" customHeight="1" x14ac:dyDescent="0.3">
      <c r="A19" s="16" t="str">
        <f ca="1">FantasyPts!B22</f>
        <v>Jason Crisford</v>
      </c>
      <c r="B19" s="17">
        <f ca="1">FantasyPts!C22</f>
        <v>0</v>
      </c>
      <c r="C19" s="17">
        <f ca="1">FantasyPts!D22</f>
        <v>0</v>
      </c>
      <c r="D19" s="17">
        <f ca="1">FantasyPts!F22</f>
        <v>0</v>
      </c>
      <c r="E19" s="17">
        <f ca="1">FantasyPts!H22</f>
        <v>0</v>
      </c>
      <c r="F19" s="17">
        <f ca="1">FantasyPts!I22</f>
        <v>0</v>
      </c>
      <c r="G19" s="17">
        <f ca="1">FantasyPts!J22</f>
        <v>2</v>
      </c>
      <c r="H19" s="18">
        <f ca="1">FantasyPts!K22</f>
        <v>0</v>
      </c>
      <c r="I19" s="15">
        <f t="shared" ca="1" si="0"/>
        <v>0</v>
      </c>
      <c r="J19" s="85">
        <f t="shared" ca="1" si="1"/>
        <v>-2</v>
      </c>
    </row>
    <row r="20" spans="1:10" ht="12.75" customHeight="1" x14ac:dyDescent="0.3">
      <c r="A20" s="16" t="str">
        <f ca="1">FantasyPts!B23</f>
        <v>Jeff Lestrelle</v>
      </c>
      <c r="B20" s="17">
        <f ca="1">FantasyPts!C23</f>
        <v>0</v>
      </c>
      <c r="C20" s="17">
        <f ca="1">FantasyPts!D23</f>
        <v>0</v>
      </c>
      <c r="D20" s="17">
        <f ca="1">FantasyPts!F23</f>
        <v>0</v>
      </c>
      <c r="E20" s="17">
        <f ca="1">FantasyPts!H23</f>
        <v>0</v>
      </c>
      <c r="F20" s="17">
        <f ca="1">FantasyPts!I23</f>
        <v>0</v>
      </c>
      <c r="G20" s="17">
        <f ca="1">FantasyPts!J23</f>
        <v>4</v>
      </c>
      <c r="H20" s="18">
        <f ca="1">FantasyPts!K23</f>
        <v>0</v>
      </c>
      <c r="I20" s="15">
        <f t="shared" ca="1" si="0"/>
        <v>0</v>
      </c>
      <c r="J20" s="85">
        <f t="shared" ca="1" si="1"/>
        <v>-4</v>
      </c>
    </row>
    <row r="21" spans="1:10" ht="12.75" customHeight="1" x14ac:dyDescent="0.3">
      <c r="A21" s="16" t="str">
        <f ca="1">FantasyPts!B24</f>
        <v>John Elliston</v>
      </c>
      <c r="B21" s="17">
        <f ca="1">FantasyPts!C24</f>
        <v>0</v>
      </c>
      <c r="C21" s="17">
        <f ca="1">FantasyPts!D24</f>
        <v>0</v>
      </c>
      <c r="D21" s="17">
        <f ca="1">FantasyPts!F24</f>
        <v>0</v>
      </c>
      <c r="E21" s="17">
        <f ca="1">FantasyPts!H24</f>
        <v>0</v>
      </c>
      <c r="F21" s="17">
        <f ca="1">FantasyPts!I24</f>
        <v>0</v>
      </c>
      <c r="G21" s="17">
        <f ca="1">FantasyPts!J24</f>
        <v>5</v>
      </c>
      <c r="H21" s="18">
        <f ca="1">FantasyPts!K24</f>
        <v>0</v>
      </c>
      <c r="I21" s="15">
        <f t="shared" ca="1" si="0"/>
        <v>0</v>
      </c>
      <c r="J21" s="85">
        <f t="shared" ca="1" si="1"/>
        <v>-5</v>
      </c>
    </row>
    <row r="22" spans="1:10" ht="12.75" customHeight="1" x14ac:dyDescent="0.3">
      <c r="A22" s="16" t="str">
        <f ca="1">FantasyPts!B25</f>
        <v>John Leadley</v>
      </c>
      <c r="B22" s="17">
        <f ca="1">FantasyPts!C25</f>
        <v>0</v>
      </c>
      <c r="C22" s="17">
        <f ca="1">FantasyPts!D25</f>
        <v>0</v>
      </c>
      <c r="D22" s="17">
        <f ca="1">FantasyPts!F25</f>
        <v>0</v>
      </c>
      <c r="E22" s="17">
        <f ca="1">FantasyPts!H25</f>
        <v>0</v>
      </c>
      <c r="F22" s="17">
        <f ca="1">FantasyPts!I25</f>
        <v>0</v>
      </c>
      <c r="G22" s="17">
        <f ca="1">FantasyPts!J25</f>
        <v>11</v>
      </c>
      <c r="H22" s="18">
        <f ca="1">FantasyPts!K25</f>
        <v>0</v>
      </c>
      <c r="I22" s="15">
        <f t="shared" ca="1" si="0"/>
        <v>0</v>
      </c>
      <c r="J22" s="85">
        <f t="shared" ca="1" si="1"/>
        <v>-11</v>
      </c>
    </row>
    <row r="23" spans="1:10" ht="12.75" customHeight="1" x14ac:dyDescent="0.3">
      <c r="A23" s="16" t="str">
        <f ca="1">FantasyPts!B26</f>
        <v>Jon Worthy</v>
      </c>
      <c r="B23" s="17">
        <f ca="1">FantasyPts!C26</f>
        <v>0</v>
      </c>
      <c r="C23" s="17">
        <f ca="1">FantasyPts!D26</f>
        <v>0</v>
      </c>
      <c r="D23" s="17">
        <f ca="1">FantasyPts!F26</f>
        <v>0</v>
      </c>
      <c r="E23" s="17">
        <f ca="1">FantasyPts!H26</f>
        <v>0</v>
      </c>
      <c r="F23" s="17">
        <f ca="1">FantasyPts!I26</f>
        <v>0</v>
      </c>
      <c r="G23" s="17">
        <f ca="1">FantasyPts!J26</f>
        <v>5</v>
      </c>
      <c r="H23" s="18">
        <f ca="1">FantasyPts!K26</f>
        <v>0</v>
      </c>
      <c r="I23" s="15">
        <f t="shared" ca="1" si="0"/>
        <v>0</v>
      </c>
      <c r="J23" s="85">
        <f t="shared" ca="1" si="1"/>
        <v>-5</v>
      </c>
    </row>
    <row r="24" spans="1:10" ht="12.75" customHeight="1" x14ac:dyDescent="0.3">
      <c r="A24" s="16" t="str">
        <f ca="1">FantasyPts!B27</f>
        <v>Kieran Moore</v>
      </c>
      <c r="B24" s="17">
        <f ca="1">FantasyPts!C27</f>
        <v>0</v>
      </c>
      <c r="C24" s="17">
        <f ca="1">FantasyPts!D27</f>
        <v>0</v>
      </c>
      <c r="D24" s="17">
        <f ca="1">FantasyPts!F27</f>
        <v>0</v>
      </c>
      <c r="E24" s="17">
        <f ca="1">FantasyPts!H27</f>
        <v>0</v>
      </c>
      <c r="F24" s="17">
        <f ca="1">FantasyPts!I27</f>
        <v>0</v>
      </c>
      <c r="G24" s="17">
        <f ca="1">FantasyPts!J27</f>
        <v>2</v>
      </c>
      <c r="H24" s="18">
        <f ca="1">FantasyPts!K27</f>
        <v>0</v>
      </c>
      <c r="I24" s="15">
        <f t="shared" ca="1" si="0"/>
        <v>0</v>
      </c>
      <c r="J24" s="85">
        <f t="shared" ca="1" si="1"/>
        <v>-2</v>
      </c>
    </row>
    <row r="25" spans="1:10" ht="12.75" customHeight="1" x14ac:dyDescent="0.3">
      <c r="A25" s="16" t="str">
        <f ca="1">FantasyPts!B28</f>
        <v>Mick Clark</v>
      </c>
      <c r="B25" s="17">
        <f ca="1">FantasyPts!C28</f>
        <v>0</v>
      </c>
      <c r="C25" s="17">
        <f ca="1">FantasyPts!D28</f>
        <v>0</v>
      </c>
      <c r="D25" s="17">
        <f ca="1">FantasyPts!F28</f>
        <v>0</v>
      </c>
      <c r="E25" s="17">
        <f ca="1">FantasyPts!H28</f>
        <v>0</v>
      </c>
      <c r="F25" s="17">
        <f ca="1">FantasyPts!I28</f>
        <v>0</v>
      </c>
      <c r="G25" s="17">
        <f ca="1">FantasyPts!J28</f>
        <v>2</v>
      </c>
      <c r="H25" s="18">
        <f ca="1">FantasyPts!K28</f>
        <v>0</v>
      </c>
      <c r="I25" s="15">
        <f t="shared" ca="1" si="0"/>
        <v>0</v>
      </c>
      <c r="J25" s="85">
        <f t="shared" ca="1" si="1"/>
        <v>-2</v>
      </c>
    </row>
    <row r="26" spans="1:10" ht="12.75" customHeight="1" x14ac:dyDescent="0.3">
      <c r="A26" s="16" t="str">
        <f ca="1">FantasyPts!B29</f>
        <v>Mike Bowers</v>
      </c>
      <c r="B26" s="17">
        <f ca="1">FantasyPts!C29</f>
        <v>0</v>
      </c>
      <c r="C26" s="17">
        <f ca="1">FantasyPts!D29</f>
        <v>0</v>
      </c>
      <c r="D26" s="17">
        <f ca="1">FantasyPts!F29</f>
        <v>0</v>
      </c>
      <c r="E26" s="17">
        <f ca="1">FantasyPts!H29</f>
        <v>0</v>
      </c>
      <c r="F26" s="17">
        <f ca="1">FantasyPts!I29</f>
        <v>0</v>
      </c>
      <c r="G26" s="17">
        <f ca="1">FantasyPts!J29</f>
        <v>3</v>
      </c>
      <c r="H26" s="18">
        <f ca="1">FantasyPts!K29</f>
        <v>0</v>
      </c>
      <c r="I26" s="15">
        <f t="shared" ca="1" si="0"/>
        <v>0</v>
      </c>
      <c r="J26" s="85">
        <f t="shared" ca="1" si="1"/>
        <v>-3</v>
      </c>
    </row>
    <row r="27" spans="1:10" ht="12.75" customHeight="1" x14ac:dyDescent="0.3">
      <c r="A27" s="16" t="str">
        <f ca="1">FantasyPts!B30</f>
        <v>Mike Hosking</v>
      </c>
      <c r="B27" s="17">
        <f ca="1">FantasyPts!C30</f>
        <v>0</v>
      </c>
      <c r="C27" s="17">
        <f ca="1">FantasyPts!D30</f>
        <v>0</v>
      </c>
      <c r="D27" s="17">
        <f ca="1">FantasyPts!F30</f>
        <v>0</v>
      </c>
      <c r="E27" s="17">
        <f ca="1">FantasyPts!H30</f>
        <v>0</v>
      </c>
      <c r="F27" s="17">
        <f ca="1">FantasyPts!I30</f>
        <v>0</v>
      </c>
      <c r="G27" s="17">
        <f ca="1">FantasyPts!J30</f>
        <v>3</v>
      </c>
      <c r="H27" s="18">
        <f ca="1">FantasyPts!K30</f>
        <v>0</v>
      </c>
      <c r="I27" s="15">
        <f t="shared" ca="1" si="0"/>
        <v>0</v>
      </c>
      <c r="J27" s="85">
        <f t="shared" ca="1" si="1"/>
        <v>-3</v>
      </c>
    </row>
    <row r="28" spans="1:10" ht="12.75" customHeight="1" x14ac:dyDescent="0.3">
      <c r="A28" s="16" t="str">
        <f ca="1">FantasyPts!B31</f>
        <v>Mike Woodhouse</v>
      </c>
      <c r="B28" s="17">
        <f ca="1">FantasyPts!C31</f>
        <v>0</v>
      </c>
      <c r="C28" s="17">
        <f ca="1">FantasyPts!D31</f>
        <v>0</v>
      </c>
      <c r="D28" s="17">
        <f ca="1">FantasyPts!F31</f>
        <v>0</v>
      </c>
      <c r="E28" s="17">
        <f ca="1">FantasyPts!H31</f>
        <v>0</v>
      </c>
      <c r="F28" s="17">
        <f ca="1">FantasyPts!I31</f>
        <v>0</v>
      </c>
      <c r="G28" s="17">
        <f ca="1">FantasyPts!J31</f>
        <v>5</v>
      </c>
      <c r="H28" s="18">
        <f ca="1">FantasyPts!K31</f>
        <v>0</v>
      </c>
      <c r="I28" s="15">
        <f t="shared" ca="1" si="0"/>
        <v>0</v>
      </c>
      <c r="J28" s="85">
        <f t="shared" ca="1" si="1"/>
        <v>-5</v>
      </c>
    </row>
    <row r="29" spans="1:10" ht="12.75" customHeight="1" x14ac:dyDescent="0.3">
      <c r="A29" s="16" t="str">
        <f ca="1">FantasyPts!B32</f>
        <v>Naimish Patel</v>
      </c>
      <c r="B29" s="17">
        <f ca="1">FantasyPts!C32</f>
        <v>0</v>
      </c>
      <c r="C29" s="17">
        <f ca="1">FantasyPts!D32</f>
        <v>0</v>
      </c>
      <c r="D29" s="17">
        <f ca="1">FantasyPts!F32</f>
        <v>0</v>
      </c>
      <c r="E29" s="17">
        <f ca="1">FantasyPts!H32</f>
        <v>0</v>
      </c>
      <c r="F29" s="17">
        <f ca="1">FantasyPts!I32</f>
        <v>0</v>
      </c>
      <c r="G29" s="17">
        <f ca="1">FantasyPts!J32</f>
        <v>3</v>
      </c>
      <c r="H29" s="18">
        <f ca="1">FantasyPts!K32</f>
        <v>0</v>
      </c>
      <c r="I29" s="15">
        <f t="shared" ca="1" si="0"/>
        <v>0</v>
      </c>
      <c r="J29" s="85">
        <f t="shared" ca="1" si="1"/>
        <v>-3</v>
      </c>
    </row>
    <row r="30" spans="1:10" ht="12.75" customHeight="1" x14ac:dyDescent="0.3">
      <c r="A30" s="16" t="str">
        <f ca="1">FantasyPts!B33</f>
        <v>Neil Mander</v>
      </c>
      <c r="B30" s="17">
        <f ca="1">FantasyPts!C33</f>
        <v>0</v>
      </c>
      <c r="C30" s="17">
        <f ca="1">FantasyPts!D33</f>
        <v>0</v>
      </c>
      <c r="D30" s="17">
        <f ca="1">FantasyPts!F33</f>
        <v>0</v>
      </c>
      <c r="E30" s="17">
        <f ca="1">FantasyPts!H33</f>
        <v>0</v>
      </c>
      <c r="F30" s="17">
        <f ca="1">FantasyPts!I33</f>
        <v>0</v>
      </c>
      <c r="G30" s="17">
        <f ca="1">FantasyPts!J33</f>
        <v>9</v>
      </c>
      <c r="H30" s="18">
        <f ca="1">FantasyPts!K33</f>
        <v>0</v>
      </c>
      <c r="I30" s="15">
        <f t="shared" ca="1" si="0"/>
        <v>0</v>
      </c>
      <c r="J30" s="85">
        <f t="shared" ca="1" si="1"/>
        <v>-9</v>
      </c>
    </row>
    <row r="31" spans="1:10" ht="12.75" customHeight="1" x14ac:dyDescent="0.3">
      <c r="A31" s="16" t="str">
        <f ca="1">FantasyPts!B34</f>
        <v>Rick Worthington</v>
      </c>
      <c r="B31" s="17">
        <f ca="1">FantasyPts!C34</f>
        <v>0</v>
      </c>
      <c r="C31" s="17">
        <f ca="1">FantasyPts!D34</f>
        <v>0</v>
      </c>
      <c r="D31" s="17">
        <f ca="1">FantasyPts!F34</f>
        <v>0</v>
      </c>
      <c r="E31" s="17">
        <f ca="1">FantasyPts!H34</f>
        <v>0</v>
      </c>
      <c r="F31" s="17">
        <f ca="1">FantasyPts!I34</f>
        <v>0</v>
      </c>
      <c r="G31" s="17">
        <f ca="1">FantasyPts!J34</f>
        <v>4</v>
      </c>
      <c r="H31" s="18">
        <f ca="1">FantasyPts!K34</f>
        <v>0</v>
      </c>
      <c r="I31" s="15">
        <f t="shared" ca="1" si="0"/>
        <v>0</v>
      </c>
      <c r="J31" s="85">
        <f t="shared" ca="1" si="1"/>
        <v>-4</v>
      </c>
    </row>
    <row r="32" spans="1:10" ht="12.75" customHeight="1" x14ac:dyDescent="0.3">
      <c r="A32" s="16" t="str">
        <f ca="1">FantasyPts!B35</f>
        <v>Ron Morris</v>
      </c>
      <c r="B32" s="17">
        <f ca="1">FantasyPts!C35</f>
        <v>0</v>
      </c>
      <c r="C32" s="17">
        <f ca="1">FantasyPts!D35</f>
        <v>0</v>
      </c>
      <c r="D32" s="17">
        <f ca="1">FantasyPts!F35</f>
        <v>0</v>
      </c>
      <c r="E32" s="17">
        <f ca="1">FantasyPts!H35</f>
        <v>0</v>
      </c>
      <c r="F32" s="17">
        <f ca="1">FantasyPts!I35</f>
        <v>0</v>
      </c>
      <c r="G32" s="17">
        <f ca="1">FantasyPts!J35</f>
        <v>2</v>
      </c>
      <c r="H32" s="18">
        <f ca="1">FantasyPts!K35</f>
        <v>0</v>
      </c>
      <c r="I32" s="15">
        <f t="shared" ca="1" si="0"/>
        <v>0</v>
      </c>
      <c r="J32" s="85">
        <f t="shared" ca="1" si="1"/>
        <v>-2</v>
      </c>
    </row>
    <row r="33" spans="1:10" ht="12.75" customHeight="1" x14ac:dyDescent="0.3">
      <c r="A33" s="16" t="str">
        <f ca="1">FantasyPts!B36</f>
        <v>Roy Odeneal</v>
      </c>
      <c r="B33" s="17">
        <f ca="1">FantasyPts!C36</f>
        <v>0</v>
      </c>
      <c r="C33" s="17">
        <f ca="1">FantasyPts!D36</f>
        <v>0</v>
      </c>
      <c r="D33" s="17">
        <f ca="1">FantasyPts!F36</f>
        <v>0</v>
      </c>
      <c r="E33" s="17">
        <f ca="1">FantasyPts!H36</f>
        <v>0</v>
      </c>
      <c r="F33" s="17">
        <f ca="1">FantasyPts!I36</f>
        <v>0</v>
      </c>
      <c r="G33" s="17">
        <f ca="1">FantasyPts!J36</f>
        <v>2</v>
      </c>
      <c r="H33" s="18">
        <f ca="1">FantasyPts!K36</f>
        <v>0</v>
      </c>
      <c r="I33" s="15">
        <f t="shared" ca="1" si="0"/>
        <v>0</v>
      </c>
      <c r="J33" s="85">
        <f t="shared" ca="1" si="1"/>
        <v>-2</v>
      </c>
    </row>
    <row r="34" spans="1:10" ht="12.75" customHeight="1" x14ac:dyDescent="0.3">
      <c r="A34" s="16" t="str">
        <f ca="1">FantasyPts!B37</f>
        <v>Steve Barry</v>
      </c>
      <c r="B34" s="17">
        <f ca="1">FantasyPts!C37</f>
        <v>0</v>
      </c>
      <c r="C34" s="17">
        <f ca="1">FantasyPts!D37</f>
        <v>0</v>
      </c>
      <c r="D34" s="17">
        <f ca="1">FantasyPts!F37</f>
        <v>0</v>
      </c>
      <c r="E34" s="17">
        <f ca="1">FantasyPts!H37</f>
        <v>0</v>
      </c>
      <c r="F34" s="17">
        <f ca="1">FantasyPts!I37</f>
        <v>0</v>
      </c>
      <c r="G34" s="17">
        <f ca="1">FantasyPts!J37</f>
        <v>2</v>
      </c>
      <c r="H34" s="18">
        <f ca="1">FantasyPts!K37</f>
        <v>0</v>
      </c>
      <c r="I34" s="15">
        <f t="shared" ca="1" si="0"/>
        <v>0</v>
      </c>
      <c r="J34" s="85">
        <f t="shared" ca="1" si="1"/>
        <v>-2</v>
      </c>
    </row>
    <row r="35" spans="1:10" ht="12.75" customHeight="1" x14ac:dyDescent="0.3">
      <c r="A35" s="16" t="str">
        <f ca="1">FantasyPts!B38</f>
        <v>Ted Dugdale</v>
      </c>
      <c r="B35" s="17">
        <f ca="1">FantasyPts!C38</f>
        <v>0</v>
      </c>
      <c r="C35" s="17">
        <f ca="1">FantasyPts!D38</f>
        <v>0</v>
      </c>
      <c r="D35" s="17">
        <f ca="1">FantasyPts!F38</f>
        <v>0</v>
      </c>
      <c r="E35" s="17">
        <f ca="1">FantasyPts!H38</f>
        <v>0</v>
      </c>
      <c r="F35" s="17">
        <f ca="1">FantasyPts!I38</f>
        <v>0</v>
      </c>
      <c r="G35" s="17">
        <f ca="1">FantasyPts!J38</f>
        <v>3</v>
      </c>
      <c r="H35" s="18">
        <f ca="1">FantasyPts!K38</f>
        <v>0</v>
      </c>
      <c r="I35" s="15">
        <f t="shared" ca="1" si="0"/>
        <v>0</v>
      </c>
      <c r="J35" s="85">
        <f t="shared" ca="1" si="1"/>
        <v>-3</v>
      </c>
    </row>
    <row r="36" spans="1:10" ht="12.75" customHeight="1" x14ac:dyDescent="0.3">
      <c r="A36" s="16" t="str">
        <f ca="1">FantasyPts!B39</f>
        <v>Tony Springer</v>
      </c>
      <c r="B36" s="17">
        <f ca="1">FantasyPts!C39</f>
        <v>0</v>
      </c>
      <c r="C36" s="17">
        <f ca="1">FantasyPts!D39</f>
        <v>0</v>
      </c>
      <c r="D36" s="17">
        <f ca="1">FantasyPts!F39</f>
        <v>0</v>
      </c>
      <c r="E36" s="17">
        <f ca="1">FantasyPts!H39</f>
        <v>0</v>
      </c>
      <c r="F36" s="17">
        <f ca="1">FantasyPts!I39</f>
        <v>0</v>
      </c>
      <c r="G36" s="17">
        <f ca="1">FantasyPts!J39</f>
        <v>13</v>
      </c>
      <c r="H36" s="18">
        <f ca="1">FantasyPts!K39</f>
        <v>0</v>
      </c>
      <c r="I36" s="15">
        <f t="shared" ca="1" si="0"/>
        <v>0</v>
      </c>
      <c r="J36" s="85">
        <f t="shared" ca="1" si="1"/>
        <v>-13</v>
      </c>
    </row>
    <row r="37" spans="1:10" ht="12.75" customHeight="1" x14ac:dyDescent="0.3">
      <c r="A37" s="16" t="str">
        <f ca="1">FantasyPts!B40</f>
        <v>Vince Reid</v>
      </c>
      <c r="B37" s="17">
        <f ca="1">FantasyPts!C40</f>
        <v>0</v>
      </c>
      <c r="C37" s="17">
        <f ca="1">FantasyPts!D40</f>
        <v>0</v>
      </c>
      <c r="D37" s="17">
        <f ca="1">FantasyPts!F40</f>
        <v>0</v>
      </c>
      <c r="E37" s="17">
        <f ca="1">FantasyPts!H40</f>
        <v>0</v>
      </c>
      <c r="F37" s="17">
        <f ca="1">FantasyPts!I40</f>
        <v>0</v>
      </c>
      <c r="G37" s="17">
        <f ca="1">FantasyPts!J40</f>
        <v>4</v>
      </c>
      <c r="H37" s="18">
        <f ca="1">FantasyPts!K40</f>
        <v>0</v>
      </c>
      <c r="I37" s="15">
        <f t="shared" ca="1" si="0"/>
        <v>0</v>
      </c>
      <c r="J37" s="85">
        <f t="shared" ca="1" si="1"/>
        <v>-4</v>
      </c>
    </row>
    <row r="38" spans="1:10" ht="12.75" customHeight="1" x14ac:dyDescent="0.3">
      <c r="A38" s="16" t="e">
        <f ca="1">FantasyPts!B41</f>
        <v>#N/A</v>
      </c>
      <c r="B38" s="17">
        <f ca="1">FantasyPts!C41</f>
        <v>0</v>
      </c>
      <c r="C38" s="17">
        <f ca="1">FantasyPts!D41</f>
        <v>0</v>
      </c>
      <c r="D38" s="17">
        <f ca="1">FantasyPts!F41</f>
        <v>0</v>
      </c>
      <c r="E38" s="17">
        <f ca="1">FantasyPts!H41</f>
        <v>0</v>
      </c>
      <c r="F38" s="17">
        <f ca="1">FantasyPts!I41</f>
        <v>0</v>
      </c>
      <c r="G38" s="17" t="e">
        <f ca="1">FantasyPts!J41</f>
        <v>#N/A</v>
      </c>
      <c r="H38" s="18" t="e">
        <f ca="1">FantasyPts!K41</f>
        <v>#N/A</v>
      </c>
      <c r="I38" s="15">
        <f t="shared" ca="1" si="0"/>
        <v>0</v>
      </c>
      <c r="J38" s="85" t="e">
        <f t="shared" ca="1" si="1"/>
        <v>#N/A</v>
      </c>
    </row>
    <row r="39" spans="1:10" ht="12.75" customHeight="1" x14ac:dyDescent="0.3">
      <c r="A39" s="16" t="e">
        <f ca="1">FantasyPts!B42</f>
        <v>#N/A</v>
      </c>
      <c r="B39" s="17">
        <f ca="1">FantasyPts!C42</f>
        <v>0</v>
      </c>
      <c r="C39" s="17">
        <f ca="1">FantasyPts!D42</f>
        <v>0</v>
      </c>
      <c r="D39" s="17">
        <f ca="1">FantasyPts!F42</f>
        <v>0</v>
      </c>
      <c r="E39" s="17">
        <f ca="1">FantasyPts!H42</f>
        <v>0</v>
      </c>
      <c r="F39" s="17">
        <f ca="1">FantasyPts!I42</f>
        <v>0</v>
      </c>
      <c r="G39" s="17" t="e">
        <f ca="1">FantasyPts!J42</f>
        <v>#N/A</v>
      </c>
      <c r="H39" s="18" t="e">
        <f ca="1">FantasyPts!K42</f>
        <v>#N/A</v>
      </c>
      <c r="I39" s="15">
        <f ca="1">INT(B39/100+0.5)</f>
        <v>0</v>
      </c>
      <c r="J39" s="85" t="e">
        <f t="shared" ca="1" si="1"/>
        <v>#N/A</v>
      </c>
    </row>
    <row r="40" spans="1:10" ht="12.75" customHeight="1" x14ac:dyDescent="0.3">
      <c r="A40" s="16" t="e">
        <f ca="1">FantasyPts!B43</f>
        <v>#N/A</v>
      </c>
      <c r="B40" s="17">
        <f ca="1">FantasyPts!C43</f>
        <v>0</v>
      </c>
      <c r="C40" s="17">
        <f ca="1">FantasyPts!D43</f>
        <v>0</v>
      </c>
      <c r="D40" s="17">
        <f ca="1">FantasyPts!F43</f>
        <v>0</v>
      </c>
      <c r="E40" s="17">
        <f ca="1">FantasyPts!H43</f>
        <v>0</v>
      </c>
      <c r="F40" s="17">
        <f ca="1">FantasyPts!I43</f>
        <v>0</v>
      </c>
      <c r="G40" s="17" t="e">
        <f ca="1">FantasyPts!J43</f>
        <v>#N/A</v>
      </c>
      <c r="H40" s="18" t="e">
        <f ca="1">FantasyPts!K43</f>
        <v>#N/A</v>
      </c>
      <c r="I40" s="15">
        <f ca="1">INT(B40/100+0.5)</f>
        <v>0</v>
      </c>
      <c r="J40" s="85" t="e">
        <f t="shared" ca="1" si="1"/>
        <v>#N/A</v>
      </c>
    </row>
    <row r="41" spans="1:10" ht="12.75" customHeight="1" x14ac:dyDescent="0.3">
      <c r="A41" s="16" t="e">
        <f ca="1">FantasyPts!B44</f>
        <v>#N/A</v>
      </c>
      <c r="B41" s="17">
        <f ca="1">FantasyPts!C44</f>
        <v>0</v>
      </c>
      <c r="C41" s="17">
        <f ca="1">FantasyPts!D44</f>
        <v>0</v>
      </c>
      <c r="D41" s="17">
        <f ca="1">FantasyPts!F44</f>
        <v>0</v>
      </c>
      <c r="E41" s="17">
        <f ca="1">FantasyPts!H44</f>
        <v>0</v>
      </c>
      <c r="F41" s="17">
        <f ca="1">FantasyPts!I44</f>
        <v>0</v>
      </c>
      <c r="G41" s="17" t="e">
        <f ca="1">FantasyPts!J44</f>
        <v>#N/A</v>
      </c>
      <c r="H41" s="18" t="e">
        <f ca="1">FantasyPts!K44</f>
        <v>#N/A</v>
      </c>
      <c r="I41" s="15">
        <f ca="1">INT(B41/100+0.5)</f>
        <v>0</v>
      </c>
      <c r="J41" s="85" t="e">
        <f t="shared" ca="1" si="1"/>
        <v>#N/A</v>
      </c>
    </row>
    <row r="42" spans="1:10" ht="12.75" customHeight="1" x14ac:dyDescent="0.3">
      <c r="A42" s="16" t="e">
        <f ca="1">FantasyPts!B45</f>
        <v>#N/A</v>
      </c>
      <c r="B42" s="17">
        <f ca="1">FantasyPts!C45</f>
        <v>0</v>
      </c>
      <c r="C42" s="17">
        <f ca="1">FantasyPts!D45</f>
        <v>0</v>
      </c>
      <c r="D42" s="17">
        <f ca="1">FantasyPts!F45</f>
        <v>0</v>
      </c>
      <c r="E42" s="17">
        <f ca="1">FantasyPts!H45</f>
        <v>0</v>
      </c>
      <c r="F42" s="17">
        <f ca="1">FantasyPts!I45</f>
        <v>0</v>
      </c>
      <c r="G42" s="17" t="e">
        <f ca="1">FantasyPts!J45</f>
        <v>#N/A</v>
      </c>
      <c r="H42" s="18" t="e">
        <f ca="1">FantasyPts!K45</f>
        <v>#N/A</v>
      </c>
      <c r="I42" s="15">
        <f ca="1">INT(B42/100+0.5)</f>
        <v>0</v>
      </c>
      <c r="J42" s="85" t="e">
        <f t="shared" ca="1" si="1"/>
        <v>#N/A</v>
      </c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40"/>
  <sheetViews>
    <sheetView workbookViewId="0"/>
  </sheetViews>
  <sheetFormatPr defaultColWidth="9" defaultRowHeight="12.75" x14ac:dyDescent="0.25"/>
  <cols>
    <col min="1" max="1" width="9.5703125" style="66" customWidth="1"/>
    <col min="2" max="2" width="18" style="65" customWidth="1"/>
    <col min="3" max="3" width="40.5703125" style="65" bestFit="1" customWidth="1"/>
    <col min="4" max="4" width="9.7109375" style="66" customWidth="1"/>
    <col min="5" max="8" width="9" style="65" customWidth="1"/>
    <col min="9" max="9" width="12.28515625" style="65" customWidth="1"/>
    <col min="10" max="10" width="9.140625" customWidth="1"/>
    <col min="11" max="15" width="5.85546875" style="65" customWidth="1"/>
    <col min="16" max="16" width="10.5703125" style="65" customWidth="1"/>
    <col min="17" max="17" width="9" style="65" customWidth="1"/>
    <col min="18" max="18" width="11.5703125" style="65" customWidth="1"/>
    <col min="19" max="16384" width="9" style="65"/>
  </cols>
  <sheetData>
    <row r="1" spans="1:4" x14ac:dyDescent="0.25">
      <c r="A1" s="64" t="s">
        <v>183</v>
      </c>
    </row>
    <row r="2" spans="1:4" x14ac:dyDescent="0.25">
      <c r="A2" s="64"/>
    </row>
    <row r="3" spans="1:4" ht="15" x14ac:dyDescent="0.3">
      <c r="A3" s="10" t="s">
        <v>179</v>
      </c>
      <c r="B3" s="11" t="s">
        <v>87</v>
      </c>
      <c r="C3" s="11" t="s">
        <v>88</v>
      </c>
      <c r="D3" s="10" t="s">
        <v>89</v>
      </c>
    </row>
    <row r="4" spans="1:4" ht="15" x14ac:dyDescent="0.3">
      <c r="A4" s="10">
        <f>'Fantasy Teams'!L45</f>
        <v>1</v>
      </c>
      <c r="B4" s="11" t="e">
        <f ca="1">'Fantasy Teams'!M45</f>
        <v>#REF!</v>
      </c>
      <c r="C4" s="11" t="e">
        <f ca="1">'Fantasy Teams'!N45</f>
        <v>#REF!</v>
      </c>
      <c r="D4" s="10" t="e">
        <f ca="1">'Fantasy Teams'!O45</f>
        <v>#REF!</v>
      </c>
    </row>
    <row r="5" spans="1:4" ht="15" x14ac:dyDescent="0.3">
      <c r="A5" s="10">
        <f>'Fantasy Teams'!L46</f>
        <v>2</v>
      </c>
      <c r="B5" s="11" t="e">
        <f ca="1">'Fantasy Teams'!M46</f>
        <v>#REF!</v>
      </c>
      <c r="C5" s="11" t="e">
        <f ca="1">'Fantasy Teams'!N46</f>
        <v>#REF!</v>
      </c>
      <c r="D5" s="10" t="e">
        <f ca="1">'Fantasy Teams'!O46</f>
        <v>#REF!</v>
      </c>
    </row>
    <row r="6" spans="1:4" ht="15" x14ac:dyDescent="0.3">
      <c r="A6" s="10">
        <f>'Fantasy Teams'!L47</f>
        <v>3</v>
      </c>
      <c r="B6" s="11" t="e">
        <f ca="1">'Fantasy Teams'!M47</f>
        <v>#REF!</v>
      </c>
      <c r="C6" s="11" t="e">
        <f ca="1">'Fantasy Teams'!N47</f>
        <v>#REF!</v>
      </c>
      <c r="D6" s="10" t="e">
        <f ca="1">'Fantasy Teams'!O47</f>
        <v>#REF!</v>
      </c>
    </row>
    <row r="7" spans="1:4" ht="15" x14ac:dyDescent="0.3">
      <c r="A7" s="10">
        <f>'Fantasy Teams'!L48</f>
        <v>4</v>
      </c>
      <c r="B7" s="11" t="e">
        <f ca="1">'Fantasy Teams'!M48</f>
        <v>#REF!</v>
      </c>
      <c r="C7" s="11" t="e">
        <f ca="1">'Fantasy Teams'!N48</f>
        <v>#REF!</v>
      </c>
      <c r="D7" s="10" t="e">
        <f ca="1">'Fantasy Teams'!O48</f>
        <v>#REF!</v>
      </c>
    </row>
    <row r="8" spans="1:4" ht="15" x14ac:dyDescent="0.3">
      <c r="A8" s="10">
        <f>'Fantasy Teams'!L49</f>
        <v>5</v>
      </c>
      <c r="B8" s="11" t="e">
        <f ca="1">'Fantasy Teams'!M49</f>
        <v>#REF!</v>
      </c>
      <c r="C8" s="11" t="e">
        <f ca="1">'Fantasy Teams'!N49</f>
        <v>#REF!</v>
      </c>
      <c r="D8" s="10" t="e">
        <f ca="1">'Fantasy Teams'!O49</f>
        <v>#REF!</v>
      </c>
    </row>
    <row r="9" spans="1:4" ht="15" x14ac:dyDescent="0.3">
      <c r="A9" s="10">
        <f>'Fantasy Teams'!L50</f>
        <v>6</v>
      </c>
      <c r="B9" s="11" t="e">
        <f ca="1">'Fantasy Teams'!M50</f>
        <v>#REF!</v>
      </c>
      <c r="C9" s="11" t="e">
        <f ca="1">'Fantasy Teams'!N50</f>
        <v>#REF!</v>
      </c>
      <c r="D9" s="10" t="e">
        <f ca="1">'Fantasy Teams'!O50</f>
        <v>#REF!</v>
      </c>
    </row>
    <row r="10" spans="1:4" ht="15" x14ac:dyDescent="0.3">
      <c r="A10" s="10">
        <f>'Fantasy Teams'!L51</f>
        <v>7</v>
      </c>
      <c r="B10" s="11" t="e">
        <f ca="1">'Fantasy Teams'!M51</f>
        <v>#REF!</v>
      </c>
      <c r="C10" s="11" t="e">
        <f ca="1">'Fantasy Teams'!N51</f>
        <v>#REF!</v>
      </c>
      <c r="D10" s="10" t="e">
        <f ca="1">'Fantasy Teams'!O51</f>
        <v>#REF!</v>
      </c>
    </row>
    <row r="11" spans="1:4" ht="15" x14ac:dyDescent="0.3">
      <c r="A11" s="10">
        <f>'Fantasy Teams'!L52</f>
        <v>8</v>
      </c>
      <c r="B11" s="11" t="e">
        <f ca="1">'Fantasy Teams'!M52</f>
        <v>#REF!</v>
      </c>
      <c r="C11" s="11" t="e">
        <f ca="1">'Fantasy Teams'!N52</f>
        <v>#REF!</v>
      </c>
      <c r="D11" s="10" t="e">
        <f ca="1">'Fantasy Teams'!O52</f>
        <v>#REF!</v>
      </c>
    </row>
    <row r="12" spans="1:4" ht="15" x14ac:dyDescent="0.3">
      <c r="A12" s="10">
        <f>'Fantasy Teams'!L53</f>
        <v>9</v>
      </c>
      <c r="B12" s="11" t="e">
        <f ca="1">'Fantasy Teams'!M53</f>
        <v>#REF!</v>
      </c>
      <c r="C12" s="11" t="e">
        <f ca="1">'Fantasy Teams'!N53</f>
        <v>#REF!</v>
      </c>
      <c r="D12" s="10" t="e">
        <f ca="1">'Fantasy Teams'!O53</f>
        <v>#REF!</v>
      </c>
    </row>
    <row r="13" spans="1:4" ht="15" x14ac:dyDescent="0.3">
      <c r="A13" s="10">
        <f>'Fantasy Teams'!L54</f>
        <v>10</v>
      </c>
      <c r="B13" s="11" t="e">
        <f ca="1">'Fantasy Teams'!M54</f>
        <v>#REF!</v>
      </c>
      <c r="C13" s="11" t="e">
        <f ca="1">'Fantasy Teams'!N54</f>
        <v>#REF!</v>
      </c>
      <c r="D13" s="10" t="e">
        <f ca="1">'Fantasy Teams'!O54</f>
        <v>#REF!</v>
      </c>
    </row>
    <row r="14" spans="1:4" ht="15" x14ac:dyDescent="0.3">
      <c r="A14" s="10">
        <f>'Fantasy Teams'!L55</f>
        <v>11</v>
      </c>
      <c r="B14" s="11" t="e">
        <f ca="1">'Fantasy Teams'!M55</f>
        <v>#REF!</v>
      </c>
      <c r="C14" s="11" t="e">
        <f ca="1">'Fantasy Teams'!N55</f>
        <v>#REF!</v>
      </c>
      <c r="D14" s="10" t="e">
        <f ca="1">'Fantasy Teams'!O55</f>
        <v>#REF!</v>
      </c>
    </row>
    <row r="15" spans="1:4" ht="15" x14ac:dyDescent="0.3">
      <c r="A15" s="10">
        <f>'Fantasy Teams'!L56</f>
        <v>12</v>
      </c>
      <c r="B15" s="11" t="e">
        <f ca="1">'Fantasy Teams'!M56</f>
        <v>#REF!</v>
      </c>
      <c r="C15" s="11" t="e">
        <f ca="1">'Fantasy Teams'!N56</f>
        <v>#REF!</v>
      </c>
      <c r="D15" s="10" t="e">
        <f ca="1">'Fantasy Teams'!O56</f>
        <v>#REF!</v>
      </c>
    </row>
    <row r="16" spans="1:4" ht="15" x14ac:dyDescent="0.3">
      <c r="A16" s="10">
        <f>'Fantasy Teams'!L57</f>
        <v>13</v>
      </c>
      <c r="B16" s="11" t="e">
        <f ca="1">'Fantasy Teams'!M57</f>
        <v>#REF!</v>
      </c>
      <c r="C16" s="11" t="e">
        <f ca="1">'Fantasy Teams'!N57</f>
        <v>#REF!</v>
      </c>
      <c r="D16" s="10" t="e">
        <f ca="1">'Fantasy Teams'!O57</f>
        <v>#REF!</v>
      </c>
    </row>
    <row r="17" spans="1:4" ht="15" x14ac:dyDescent="0.3">
      <c r="A17" s="10">
        <f>'Fantasy Teams'!L58</f>
        <v>14</v>
      </c>
      <c r="B17" s="11" t="e">
        <f ca="1">'Fantasy Teams'!M58</f>
        <v>#REF!</v>
      </c>
      <c r="C17" s="11" t="e">
        <f ca="1">'Fantasy Teams'!N58</f>
        <v>#REF!</v>
      </c>
      <c r="D17" s="10" t="e">
        <f ca="1">'Fantasy Teams'!O58</f>
        <v>#REF!</v>
      </c>
    </row>
    <row r="18" spans="1:4" ht="15" x14ac:dyDescent="0.3">
      <c r="A18" s="10">
        <f>'Fantasy Teams'!L59</f>
        <v>15</v>
      </c>
      <c r="B18" s="11" t="e">
        <f ca="1">'Fantasy Teams'!M59</f>
        <v>#REF!</v>
      </c>
      <c r="C18" s="11" t="e">
        <f ca="1">'Fantasy Teams'!N59</f>
        <v>#REF!</v>
      </c>
      <c r="D18" s="10" t="e">
        <f ca="1">'Fantasy Teams'!O59</f>
        <v>#REF!</v>
      </c>
    </row>
    <row r="19" spans="1:4" ht="15" x14ac:dyDescent="0.3">
      <c r="A19" s="10">
        <f>'Fantasy Teams'!L60</f>
        <v>16</v>
      </c>
      <c r="B19" s="11" t="e">
        <f ca="1">'Fantasy Teams'!M60</f>
        <v>#REF!</v>
      </c>
      <c r="C19" s="11" t="e">
        <f ca="1">'Fantasy Teams'!N60</f>
        <v>#REF!</v>
      </c>
      <c r="D19" s="10" t="e">
        <f ca="1">'Fantasy Teams'!O60</f>
        <v>#REF!</v>
      </c>
    </row>
    <row r="20" spans="1:4" ht="15" x14ac:dyDescent="0.3">
      <c r="A20" s="10">
        <f>'Fantasy Teams'!L61</f>
        <v>17</v>
      </c>
      <c r="B20" s="11" t="e">
        <f ca="1">'Fantasy Teams'!M61</f>
        <v>#REF!</v>
      </c>
      <c r="C20" s="11" t="e">
        <f ca="1">'Fantasy Teams'!N61</f>
        <v>#REF!</v>
      </c>
      <c r="D20" s="10" t="e">
        <f ca="1">'Fantasy Teams'!O61</f>
        <v>#REF!</v>
      </c>
    </row>
    <row r="21" spans="1:4" ht="15" x14ac:dyDescent="0.3">
      <c r="A21" s="10">
        <f>'Fantasy Teams'!L62</f>
        <v>18</v>
      </c>
      <c r="B21" s="11" t="e">
        <f ca="1">'Fantasy Teams'!M62</f>
        <v>#REF!</v>
      </c>
      <c r="C21" s="11" t="e">
        <f ca="1">'Fantasy Teams'!N62</f>
        <v>#REF!</v>
      </c>
      <c r="D21" s="10" t="e">
        <f ca="1">'Fantasy Teams'!O62</f>
        <v>#REF!</v>
      </c>
    </row>
    <row r="22" spans="1:4" ht="15" x14ac:dyDescent="0.3">
      <c r="A22" s="10">
        <f>'Fantasy Teams'!L63</f>
        <v>19</v>
      </c>
      <c r="B22" s="11" t="e">
        <f ca="1">'Fantasy Teams'!M63</f>
        <v>#REF!</v>
      </c>
      <c r="C22" s="11" t="e">
        <f ca="1">'Fantasy Teams'!N63</f>
        <v>#REF!</v>
      </c>
      <c r="D22" s="10" t="e">
        <f ca="1">'Fantasy Teams'!O63</f>
        <v>#REF!</v>
      </c>
    </row>
    <row r="23" spans="1:4" ht="15" x14ac:dyDescent="0.3">
      <c r="A23" s="10">
        <f>'Fantasy Teams'!L64</f>
        <v>20</v>
      </c>
      <c r="B23" s="11" t="e">
        <f ca="1">'Fantasy Teams'!M64</f>
        <v>#REF!</v>
      </c>
      <c r="C23" s="11" t="e">
        <f ca="1">'Fantasy Teams'!N64</f>
        <v>#REF!</v>
      </c>
      <c r="D23" s="10" t="e">
        <f ca="1">'Fantasy Teams'!O64</f>
        <v>#REF!</v>
      </c>
    </row>
    <row r="24" spans="1:4" ht="15" x14ac:dyDescent="0.3">
      <c r="A24" s="10">
        <f>'Fantasy Teams'!L65</f>
        <v>21</v>
      </c>
      <c r="B24" s="11" t="e">
        <f ca="1">'Fantasy Teams'!M65</f>
        <v>#REF!</v>
      </c>
      <c r="C24" s="11" t="e">
        <f ca="1">'Fantasy Teams'!N65</f>
        <v>#REF!</v>
      </c>
      <c r="D24" s="10" t="e">
        <f ca="1">'Fantasy Teams'!O65</f>
        <v>#REF!</v>
      </c>
    </row>
    <row r="25" spans="1:4" ht="15" x14ac:dyDescent="0.3">
      <c r="A25" s="10">
        <f>'Fantasy Teams'!L66</f>
        <v>22</v>
      </c>
      <c r="B25" s="11" t="e">
        <f ca="1">'Fantasy Teams'!M66</f>
        <v>#REF!</v>
      </c>
      <c r="C25" s="11" t="e">
        <f ca="1">'Fantasy Teams'!N66</f>
        <v>#REF!</v>
      </c>
      <c r="D25" s="10" t="e">
        <f ca="1">'Fantasy Teams'!O66</f>
        <v>#REF!</v>
      </c>
    </row>
    <row r="26" spans="1:4" ht="15" x14ac:dyDescent="0.3">
      <c r="A26" s="10">
        <f>'Fantasy Teams'!L67</f>
        <v>23</v>
      </c>
      <c r="B26" s="11" t="e">
        <f ca="1">'Fantasy Teams'!M67</f>
        <v>#REF!</v>
      </c>
      <c r="C26" s="11" t="e">
        <f ca="1">'Fantasy Teams'!N67</f>
        <v>#REF!</v>
      </c>
      <c r="D26" s="10" t="e">
        <f ca="1">'Fantasy Teams'!O67</f>
        <v>#REF!</v>
      </c>
    </row>
    <row r="27" spans="1:4" ht="15" x14ac:dyDescent="0.3">
      <c r="A27" s="10">
        <f>'Fantasy Teams'!L68</f>
        <v>24</v>
      </c>
      <c r="B27" s="11" t="e">
        <f ca="1">'Fantasy Teams'!M68</f>
        <v>#REF!</v>
      </c>
      <c r="C27" s="11" t="e">
        <f ca="1">'Fantasy Teams'!N68</f>
        <v>#REF!</v>
      </c>
      <c r="D27" s="10" t="e">
        <f ca="1">'Fantasy Teams'!O68</f>
        <v>#REF!</v>
      </c>
    </row>
    <row r="28" spans="1:4" ht="15" x14ac:dyDescent="0.3">
      <c r="A28" s="10">
        <f>'Fantasy Teams'!L69</f>
        <v>25</v>
      </c>
      <c r="B28" s="11" t="e">
        <f ca="1">'Fantasy Teams'!M69</f>
        <v>#REF!</v>
      </c>
      <c r="C28" s="11" t="e">
        <f ca="1">'Fantasy Teams'!N69</f>
        <v>#REF!</v>
      </c>
      <c r="D28" s="10" t="e">
        <f ca="1">'Fantasy Teams'!O69</f>
        <v>#REF!</v>
      </c>
    </row>
    <row r="29" spans="1:4" ht="15" x14ac:dyDescent="0.3">
      <c r="A29" s="10">
        <f>'Fantasy Teams'!L70</f>
        <v>26</v>
      </c>
      <c r="B29" s="11" t="e">
        <f ca="1">'Fantasy Teams'!M70</f>
        <v>#REF!</v>
      </c>
      <c r="C29" s="11" t="e">
        <f ca="1">'Fantasy Teams'!N70</f>
        <v>#REF!</v>
      </c>
      <c r="D29" s="10" t="e">
        <f ca="1">'Fantasy Teams'!O70</f>
        <v>#REF!</v>
      </c>
    </row>
    <row r="30" spans="1:4" ht="15" x14ac:dyDescent="0.3">
      <c r="A30" s="10">
        <f>'Fantasy Teams'!L71</f>
        <v>27</v>
      </c>
      <c r="B30" s="11" t="e">
        <f ca="1">'Fantasy Teams'!M71</f>
        <v>#REF!</v>
      </c>
      <c r="C30" s="11" t="e">
        <f ca="1">'Fantasy Teams'!N71</f>
        <v>#REF!</v>
      </c>
      <c r="D30" s="10" t="e">
        <f ca="1">'Fantasy Teams'!O71</f>
        <v>#REF!</v>
      </c>
    </row>
    <row r="31" spans="1:4" ht="15" x14ac:dyDescent="0.3">
      <c r="A31" s="10">
        <f>'Fantasy Teams'!L72</f>
        <v>28</v>
      </c>
      <c r="B31" s="11" t="e">
        <f ca="1">'Fantasy Teams'!M72</f>
        <v>#REF!</v>
      </c>
      <c r="C31" s="11" t="e">
        <f ca="1">'Fantasy Teams'!N72</f>
        <v>#REF!</v>
      </c>
      <c r="D31" s="10" t="e">
        <f ca="1">'Fantasy Teams'!O72</f>
        <v>#REF!</v>
      </c>
    </row>
    <row r="32" spans="1:4" ht="15" x14ac:dyDescent="0.3">
      <c r="A32" s="10">
        <f>'Fantasy Teams'!L73</f>
        <v>29</v>
      </c>
      <c r="B32" s="11" t="e">
        <f ca="1">'Fantasy Teams'!M73</f>
        <v>#REF!</v>
      </c>
      <c r="C32" s="11" t="e">
        <f ca="1">'Fantasy Teams'!N73</f>
        <v>#REF!</v>
      </c>
      <c r="D32" s="10" t="e">
        <f ca="1">'Fantasy Teams'!O73</f>
        <v>#REF!</v>
      </c>
    </row>
    <row r="33" spans="1:4" ht="15" x14ac:dyDescent="0.3">
      <c r="A33" s="10">
        <f>'Fantasy Teams'!L74</f>
        <v>30</v>
      </c>
      <c r="B33" s="11" t="e">
        <f ca="1">'Fantasy Teams'!M74</f>
        <v>#REF!</v>
      </c>
      <c r="C33" s="11" t="e">
        <f ca="1">'Fantasy Teams'!N74</f>
        <v>#REF!</v>
      </c>
      <c r="D33" s="10" t="e">
        <f ca="1">'Fantasy Teams'!O74</f>
        <v>#REF!</v>
      </c>
    </row>
    <row r="34" spans="1:4" ht="15" x14ac:dyDescent="0.3">
      <c r="A34" s="10">
        <f>'Fantasy Teams'!L75</f>
        <v>31</v>
      </c>
      <c r="B34" s="11" t="e">
        <f ca="1">'Fantasy Teams'!M75</f>
        <v>#REF!</v>
      </c>
      <c r="C34" s="11" t="e">
        <f ca="1">'Fantasy Teams'!N75</f>
        <v>#REF!</v>
      </c>
      <c r="D34" s="10" t="e">
        <f ca="1">'Fantasy Teams'!O75</f>
        <v>#REF!</v>
      </c>
    </row>
    <row r="35" spans="1:4" ht="15" x14ac:dyDescent="0.3">
      <c r="A35" s="10">
        <f>'Fantasy Teams'!L76</f>
        <v>32</v>
      </c>
      <c r="B35" s="11" t="e">
        <f ca="1">'Fantasy Teams'!M76</f>
        <v>#REF!</v>
      </c>
      <c r="C35" s="11" t="e">
        <f ca="1">'Fantasy Teams'!N76</f>
        <v>#REF!</v>
      </c>
      <c r="D35" s="10" t="e">
        <f ca="1">'Fantasy Teams'!O76</f>
        <v>#REF!</v>
      </c>
    </row>
    <row r="36" spans="1:4" ht="15" x14ac:dyDescent="0.3">
      <c r="A36" s="10">
        <f>'Fantasy Teams'!L77</f>
        <v>33</v>
      </c>
      <c r="B36" s="11" t="e">
        <f ca="1">'Fantasy Teams'!M77</f>
        <v>#REF!</v>
      </c>
      <c r="C36" s="11" t="e">
        <f ca="1">'Fantasy Teams'!N77</f>
        <v>#REF!</v>
      </c>
      <c r="D36" s="10" t="e">
        <f ca="1">'Fantasy Teams'!O77</f>
        <v>#REF!</v>
      </c>
    </row>
    <row r="37" spans="1:4" ht="15" x14ac:dyDescent="0.3">
      <c r="A37" s="10">
        <f>'Fantasy Teams'!L78</f>
        <v>34</v>
      </c>
      <c r="B37" s="11" t="e">
        <f ca="1">'Fantasy Teams'!M78</f>
        <v>#REF!</v>
      </c>
      <c r="C37" s="11" t="e">
        <f ca="1">'Fantasy Teams'!N78</f>
        <v>#REF!</v>
      </c>
      <c r="D37" s="10" t="e">
        <f ca="1">'Fantasy Teams'!O78</f>
        <v>#REF!</v>
      </c>
    </row>
    <row r="38" spans="1:4" ht="15" x14ac:dyDescent="0.3">
      <c r="A38" s="10">
        <f>'Fantasy Teams'!L79</f>
        <v>35</v>
      </c>
      <c r="B38" s="11" t="e">
        <f ca="1">'Fantasy Teams'!M79</f>
        <v>#REF!</v>
      </c>
      <c r="C38" s="11" t="e">
        <f ca="1">'Fantasy Teams'!N79</f>
        <v>#REF!</v>
      </c>
      <c r="D38" s="10" t="e">
        <f ca="1">'Fantasy Teams'!O79</f>
        <v>#REF!</v>
      </c>
    </row>
    <row r="39" spans="1:4" ht="15" x14ac:dyDescent="0.3">
      <c r="A39" s="10">
        <f>'Fantasy Teams'!L80</f>
        <v>36</v>
      </c>
      <c r="B39" s="11" t="e">
        <f ca="1">'Fantasy Teams'!M80</f>
        <v>#REF!</v>
      </c>
      <c r="C39" s="11" t="e">
        <f ca="1">'Fantasy Teams'!N80</f>
        <v>#REF!</v>
      </c>
      <c r="D39" s="10" t="e">
        <f ca="1">'Fantasy Teams'!O80</f>
        <v>#REF!</v>
      </c>
    </row>
    <row r="40" spans="1:4" ht="15" x14ac:dyDescent="0.3">
      <c r="A40" s="10">
        <f>'Fantasy Teams'!L81</f>
        <v>37</v>
      </c>
      <c r="B40" s="11" t="e">
        <f ca="1">'Fantasy Teams'!M81</f>
        <v>#REF!</v>
      </c>
      <c r="C40" s="11" t="e">
        <f ca="1">'Fantasy Teams'!N81</f>
        <v>#REF!</v>
      </c>
      <c r="D40" s="10" t="e">
        <f ca="1">'Fantasy Teams'!O81</f>
        <v>#REF!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52"/>
  <sheetViews>
    <sheetView workbookViewId="0">
      <selection activeCell="A9" sqref="A9:A18"/>
    </sheetView>
  </sheetViews>
  <sheetFormatPr defaultRowHeight="10.5" x14ac:dyDescent="0.15"/>
  <cols>
    <col min="4" max="4" width="13.42578125" customWidth="1"/>
    <col min="5" max="5" width="16.7109375" customWidth="1"/>
    <col min="6" max="6" width="2.28515625" customWidth="1"/>
    <col min="7" max="7" width="3.5703125" customWidth="1"/>
    <col min="8" max="8" width="2.140625" customWidth="1"/>
    <col min="9" max="9" width="11.85546875" bestFit="1" customWidth="1"/>
  </cols>
  <sheetData>
    <row r="1" spans="1:9" x14ac:dyDescent="0.15">
      <c r="A1" t="s">
        <v>265</v>
      </c>
      <c r="B1" t="s">
        <v>12</v>
      </c>
    </row>
    <row r="2" spans="1:9" x14ac:dyDescent="0.15">
      <c r="A2" s="149" t="str">
        <f t="array" ref="A2:A52">TRANSPOSE(Batting!D4:AI4)</f>
        <v>L</v>
      </c>
      <c r="B2" t="str">
        <f t="array" ref="B2:B52">TRANSPOSE(Batting!D80:AI80)</f>
        <v>Seymour C</v>
      </c>
    </row>
    <row r="3" spans="1:9" x14ac:dyDescent="0.15">
      <c r="A3" s="149" t="str">
        <v>L</v>
      </c>
      <c r="B3" t="str">
        <v>Springer T</v>
      </c>
    </row>
    <row r="4" spans="1:9" x14ac:dyDescent="0.15">
      <c r="A4" s="149" t="str">
        <v>W</v>
      </c>
      <c r="B4" t="str">
        <v>Springer T</v>
      </c>
    </row>
    <row r="5" spans="1:9" x14ac:dyDescent="0.15">
      <c r="A5" s="149" t="str">
        <v>W</v>
      </c>
      <c r="B5" t="str">
        <v>Nair S</v>
      </c>
    </row>
    <row r="6" spans="1:9" x14ac:dyDescent="0.15">
      <c r="A6" s="149" t="str">
        <v>W</v>
      </c>
      <c r="B6" t="str">
        <v>Springer T</v>
      </c>
    </row>
    <row r="7" spans="1:9" x14ac:dyDescent="0.15">
      <c r="A7" s="149" t="str">
        <v>W</v>
      </c>
      <c r="B7" t="str">
        <v>Seymour C</v>
      </c>
    </row>
    <row r="8" spans="1:9" x14ac:dyDescent="0.15">
      <c r="A8" s="149" t="str">
        <v>W</v>
      </c>
      <c r="B8" t="str">
        <v>Springer T</v>
      </c>
    </row>
    <row r="9" spans="1:9" x14ac:dyDescent="0.15">
      <c r="A9" s="149" t="str">
        <v>L</v>
      </c>
      <c r="B9" t="str">
        <v>Springer T</v>
      </c>
      <c r="D9" s="142" t="s">
        <v>267</v>
      </c>
      <c r="E9" s="142" t="s">
        <v>266</v>
      </c>
    </row>
    <row r="10" spans="1:9" x14ac:dyDescent="0.15">
      <c r="A10" s="149" t="str">
        <v>ND</v>
      </c>
      <c r="B10" t="str">
        <v>Springer T</v>
      </c>
      <c r="D10" s="142" t="s">
        <v>240</v>
      </c>
      <c r="E10" t="s">
        <v>200</v>
      </c>
      <c r="F10" t="s">
        <v>355</v>
      </c>
      <c r="G10" t="s">
        <v>306</v>
      </c>
      <c r="H10" t="s">
        <v>199</v>
      </c>
      <c r="I10" t="s">
        <v>241</v>
      </c>
    </row>
    <row r="11" spans="1:9" x14ac:dyDescent="0.15">
      <c r="A11" s="149" t="str">
        <v>L</v>
      </c>
      <c r="B11" t="e">
        <v>#N/A</v>
      </c>
      <c r="D11" s="143" t="s">
        <v>221</v>
      </c>
      <c r="E11">
        <v>8</v>
      </c>
      <c r="F11">
        <v>1</v>
      </c>
      <c r="H11">
        <v>2</v>
      </c>
      <c r="I11">
        <v>11</v>
      </c>
    </row>
    <row r="12" spans="1:9" x14ac:dyDescent="0.15">
      <c r="A12" s="149" t="str">
        <v>ND</v>
      </c>
      <c r="B12" t="e">
        <v>#N/A</v>
      </c>
      <c r="D12" s="143" t="s">
        <v>320</v>
      </c>
      <c r="E12">
        <v>1</v>
      </c>
      <c r="H12">
        <v>1</v>
      </c>
      <c r="I12">
        <v>2</v>
      </c>
    </row>
    <row r="13" spans="1:9" x14ac:dyDescent="0.15">
      <c r="A13" s="149" t="str">
        <v>L</v>
      </c>
      <c r="B13" t="e">
        <v>#N/A</v>
      </c>
      <c r="D13" s="143" t="s">
        <v>196</v>
      </c>
      <c r="E13">
        <v>1</v>
      </c>
      <c r="G13">
        <v>1</v>
      </c>
      <c r="I13">
        <v>2</v>
      </c>
    </row>
    <row r="14" spans="1:9" x14ac:dyDescent="0.15">
      <c r="A14" s="149" t="str">
        <v>L</v>
      </c>
      <c r="B14" t="e">
        <v>#N/A</v>
      </c>
      <c r="D14" s="143" t="s">
        <v>205</v>
      </c>
      <c r="E14">
        <v>1</v>
      </c>
      <c r="I14">
        <v>1</v>
      </c>
    </row>
    <row r="15" spans="1:9" x14ac:dyDescent="0.15">
      <c r="A15" s="149" t="str">
        <v>W</v>
      </c>
      <c r="B15" t="e">
        <v>#N/A</v>
      </c>
      <c r="D15" s="143" t="s">
        <v>234</v>
      </c>
      <c r="H15">
        <v>1</v>
      </c>
      <c r="I15">
        <v>1</v>
      </c>
    </row>
    <row r="16" spans="1:9" x14ac:dyDescent="0.15">
      <c r="A16" s="149" t="str">
        <v>L</v>
      </c>
      <c r="B16" t="e">
        <v>#N/A</v>
      </c>
      <c r="D16" s="143" t="s">
        <v>241</v>
      </c>
      <c r="E16">
        <v>11</v>
      </c>
      <c r="F16">
        <v>1</v>
      </c>
      <c r="G16">
        <v>1</v>
      </c>
      <c r="H16">
        <v>4</v>
      </c>
      <c r="I16">
        <v>17</v>
      </c>
    </row>
    <row r="17" spans="1:2" x14ac:dyDescent="0.15">
      <c r="A17" s="149" t="str">
        <v>W</v>
      </c>
      <c r="B17" t="e">
        <v>#N/A</v>
      </c>
    </row>
    <row r="18" spans="1:2" x14ac:dyDescent="0.15">
      <c r="A18" s="149" t="str">
        <v>L</v>
      </c>
      <c r="B18" t="e">
        <v>#N/A</v>
      </c>
    </row>
    <row r="19" spans="1:2" x14ac:dyDescent="0.15">
      <c r="A19" s="149">
        <v>0</v>
      </c>
      <c r="B19" t="e">
        <v>#N/A</v>
      </c>
    </row>
    <row r="20" spans="1:2" x14ac:dyDescent="0.15">
      <c r="A20" s="149">
        <v>0</v>
      </c>
      <c r="B20" t="e">
        <v>#N/A</v>
      </c>
    </row>
    <row r="21" spans="1:2" x14ac:dyDescent="0.15">
      <c r="A21" s="149">
        <v>0</v>
      </c>
      <c r="B21" t="e">
        <v>#N/A</v>
      </c>
    </row>
    <row r="22" spans="1:2" x14ac:dyDescent="0.15">
      <c r="A22" s="149">
        <v>0</v>
      </c>
      <c r="B22" t="e">
        <v>#N/A</v>
      </c>
    </row>
    <row r="23" spans="1:2" x14ac:dyDescent="0.15">
      <c r="A23" s="149">
        <v>0</v>
      </c>
      <c r="B23" t="e">
        <v>#N/A</v>
      </c>
    </row>
    <row r="24" spans="1:2" x14ac:dyDescent="0.15">
      <c r="A24" s="149">
        <v>0</v>
      </c>
      <c r="B24" t="e">
        <v>#N/A</v>
      </c>
    </row>
    <row r="25" spans="1:2" x14ac:dyDescent="0.15">
      <c r="A25" s="149">
        <v>0</v>
      </c>
      <c r="B25" t="e">
        <v>#N/A</v>
      </c>
    </row>
    <row r="26" spans="1:2" x14ac:dyDescent="0.15">
      <c r="A26" s="149">
        <v>0</v>
      </c>
      <c r="B26" t="e">
        <v>#N/A</v>
      </c>
    </row>
    <row r="27" spans="1:2" x14ac:dyDescent="0.15">
      <c r="A27" s="149">
        <v>0</v>
      </c>
      <c r="B27" t="e">
        <v>#N/A</v>
      </c>
    </row>
    <row r="28" spans="1:2" x14ac:dyDescent="0.15">
      <c r="A28" s="149">
        <v>0</v>
      </c>
      <c r="B28" t="e">
        <v>#N/A</v>
      </c>
    </row>
    <row r="29" spans="1:2" x14ac:dyDescent="0.15">
      <c r="A29" s="149">
        <v>0</v>
      </c>
      <c r="B29" t="e">
        <v>#N/A</v>
      </c>
    </row>
    <row r="30" spans="1:2" x14ac:dyDescent="0.15">
      <c r="A30" s="149" t="e">
        <v>#N/A</v>
      </c>
      <c r="B30">
        <v>0</v>
      </c>
    </row>
    <row r="31" spans="1:2" x14ac:dyDescent="0.15">
      <c r="A31" s="149" t="e">
        <v>#N/A</v>
      </c>
      <c r="B31">
        <v>0</v>
      </c>
    </row>
    <row r="32" spans="1:2" x14ac:dyDescent="0.15">
      <c r="A32" s="149">
        <v>0</v>
      </c>
      <c r="B32">
        <v>0</v>
      </c>
    </row>
    <row r="33" spans="1:2" x14ac:dyDescent="0.15">
      <c r="A33" s="149">
        <v>0</v>
      </c>
      <c r="B33">
        <v>0</v>
      </c>
    </row>
    <row r="34" spans="1:2" x14ac:dyDescent="0.15">
      <c r="A34" s="149" t="e">
        <v>#N/A</v>
      </c>
      <c r="B34" t="e">
        <v>#N/A</v>
      </c>
    </row>
    <row r="35" spans="1:2" x14ac:dyDescent="0.15">
      <c r="A35" s="149" t="e">
        <v>#N/A</v>
      </c>
      <c r="B35" t="e">
        <v>#N/A</v>
      </c>
    </row>
    <row r="36" spans="1:2" x14ac:dyDescent="0.15">
      <c r="A36" s="149" t="e">
        <v>#N/A</v>
      </c>
      <c r="B36" t="e">
        <v>#N/A</v>
      </c>
    </row>
    <row r="37" spans="1:2" x14ac:dyDescent="0.15">
      <c r="A37" s="149" t="e">
        <v>#N/A</v>
      </c>
      <c r="B37" t="e">
        <v>#N/A</v>
      </c>
    </row>
    <row r="38" spans="1:2" x14ac:dyDescent="0.15">
      <c r="A38" s="149" t="e">
        <v>#N/A</v>
      </c>
      <c r="B38" t="e">
        <v>#N/A</v>
      </c>
    </row>
    <row r="39" spans="1:2" x14ac:dyDescent="0.15">
      <c r="A39" s="149" t="e">
        <v>#N/A</v>
      </c>
      <c r="B39" t="e">
        <v>#N/A</v>
      </c>
    </row>
    <row r="40" spans="1:2" x14ac:dyDescent="0.15">
      <c r="A40" s="149" t="e">
        <v>#N/A</v>
      </c>
      <c r="B40" t="e">
        <v>#N/A</v>
      </c>
    </row>
    <row r="41" spans="1:2" x14ac:dyDescent="0.15">
      <c r="A41" s="149" t="e">
        <v>#N/A</v>
      </c>
      <c r="B41" t="e">
        <v>#N/A</v>
      </c>
    </row>
    <row r="42" spans="1:2" x14ac:dyDescent="0.15">
      <c r="A42" s="149" t="e">
        <v>#N/A</v>
      </c>
      <c r="B42" t="e">
        <v>#N/A</v>
      </c>
    </row>
    <row r="43" spans="1:2" x14ac:dyDescent="0.15">
      <c r="A43" s="149" t="e">
        <v>#N/A</v>
      </c>
      <c r="B43" t="e">
        <v>#N/A</v>
      </c>
    </row>
    <row r="44" spans="1:2" x14ac:dyDescent="0.15">
      <c r="A44" s="149" t="e">
        <v>#N/A</v>
      </c>
      <c r="B44" t="e">
        <v>#N/A</v>
      </c>
    </row>
    <row r="45" spans="1:2" x14ac:dyDescent="0.15">
      <c r="A45" s="149" t="e">
        <v>#N/A</v>
      </c>
      <c r="B45" t="e">
        <v>#N/A</v>
      </c>
    </row>
    <row r="46" spans="1:2" x14ac:dyDescent="0.15">
      <c r="A46" s="149" t="e">
        <v>#N/A</v>
      </c>
      <c r="B46" t="e">
        <v>#N/A</v>
      </c>
    </row>
    <row r="47" spans="1:2" x14ac:dyDescent="0.15">
      <c r="A47" s="149" t="e">
        <v>#N/A</v>
      </c>
      <c r="B47" t="e">
        <v>#N/A</v>
      </c>
    </row>
    <row r="48" spans="1:2" x14ac:dyDescent="0.15">
      <c r="A48" s="149" t="e">
        <v>#N/A</v>
      </c>
      <c r="B48" t="e">
        <v>#N/A</v>
      </c>
    </row>
    <row r="49" spans="1:2" x14ac:dyDescent="0.15">
      <c r="A49" s="149" t="e">
        <v>#N/A</v>
      </c>
      <c r="B49" t="e">
        <v>#N/A</v>
      </c>
    </row>
    <row r="50" spans="1:2" x14ac:dyDescent="0.15">
      <c r="A50" s="149" t="e">
        <v>#N/A</v>
      </c>
      <c r="B50" t="e">
        <v>#N/A</v>
      </c>
    </row>
    <row r="51" spans="1:2" x14ac:dyDescent="0.15">
      <c r="A51" s="149" t="e">
        <v>#N/A</v>
      </c>
      <c r="B51" t="e">
        <v>#N/A</v>
      </c>
    </row>
    <row r="52" spans="1:2" x14ac:dyDescent="0.15">
      <c r="A52" s="149" t="e">
        <v>#N/A</v>
      </c>
      <c r="B52" t="e">
        <v>#N/A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BJ80"/>
  <sheetViews>
    <sheetView showGridLines="0" tabSelected="1" zoomScaleNormal="100" workbookViewId="0">
      <selection activeCell="A5" sqref="A5"/>
    </sheetView>
  </sheetViews>
  <sheetFormatPr defaultRowHeight="11.25" x14ac:dyDescent="0.15"/>
  <cols>
    <col min="1" max="1" width="3" style="155" bestFit="1" customWidth="1"/>
    <col min="2" max="2" width="14.28515625" style="155" bestFit="1" customWidth="1"/>
    <col min="3" max="3" width="4.7109375" style="155" bestFit="1" customWidth="1"/>
    <col min="4" max="4" width="4.5703125" style="155" bestFit="1" customWidth="1"/>
    <col min="5" max="5" width="5.140625" style="155" bestFit="1" customWidth="1"/>
    <col min="6" max="6" width="5.42578125" style="155" bestFit="1" customWidth="1"/>
    <col min="7" max="7" width="5.7109375" style="155" bestFit="1" customWidth="1"/>
    <col min="8" max="8" width="2.7109375" style="155" customWidth="1"/>
    <col min="9" max="9" width="3" style="155" bestFit="1" customWidth="1"/>
    <col min="10" max="10" width="12" style="155" bestFit="1" customWidth="1"/>
    <col min="11" max="11" width="5.7109375" style="155" bestFit="1" customWidth="1"/>
    <col min="12" max="12" width="5.28515625" style="155" bestFit="1" customWidth="1"/>
    <col min="13" max="13" width="5.140625" style="155" bestFit="1" customWidth="1"/>
    <col min="14" max="14" width="7.42578125" style="155" bestFit="1" customWidth="1"/>
    <col min="15" max="15" width="5.5703125" style="155" bestFit="1" customWidth="1"/>
    <col min="16" max="17" width="5.42578125" style="155" bestFit="1" customWidth="1"/>
    <col min="18" max="18" width="4.28515625" style="155" bestFit="1" customWidth="1"/>
    <col min="19" max="19" width="2.7109375" style="155" customWidth="1"/>
    <col min="20" max="20" width="4.140625" style="155" bestFit="1" customWidth="1"/>
    <col min="21" max="21" width="4.7109375" style="155" bestFit="1" customWidth="1"/>
    <col min="22" max="22" width="5.42578125" style="155" bestFit="1" customWidth="1"/>
    <col min="23" max="23" width="10.28515625" style="155" bestFit="1" customWidth="1"/>
    <col min="24" max="25" width="4.140625" style="155" bestFit="1" customWidth="1"/>
    <col min="26" max="26" width="10.28515625" style="155" bestFit="1" customWidth="1"/>
    <col min="27" max="28" width="4.140625" style="155" bestFit="1" customWidth="1"/>
    <col min="29" max="29" width="19" style="155" bestFit="1" customWidth="1"/>
    <col min="30" max="30" width="6.5703125" style="159" bestFit="1" customWidth="1"/>
    <col min="31" max="31" width="2.7109375" style="155" customWidth="1"/>
    <col min="32" max="32" width="4.28515625" style="155" bestFit="1" customWidth="1"/>
    <col min="33" max="33" width="12.140625" style="155" bestFit="1" customWidth="1"/>
    <col min="34" max="34" width="2.7109375" style="155" customWidth="1"/>
    <col min="35" max="35" width="2.7109375" style="155" bestFit="1" customWidth="1"/>
    <col min="36" max="36" width="10.140625" style="155" bestFit="1" customWidth="1"/>
    <col min="37" max="37" width="2.7109375" style="155" customWidth="1"/>
    <col min="38" max="38" width="3.5703125" style="155" bestFit="1" customWidth="1"/>
    <col min="39" max="39" width="14.140625" style="155" bestFit="1" customWidth="1"/>
    <col min="40" max="40" width="2.7109375" style="155" customWidth="1"/>
    <col min="41" max="41" width="2.7109375" style="155" bestFit="1" customWidth="1"/>
    <col min="42" max="42" width="10.140625" style="155" bestFit="1" customWidth="1"/>
    <col min="43" max="43" width="2.7109375" style="155" customWidth="1"/>
    <col min="44" max="44" width="1.85546875" style="155" bestFit="1" customWidth="1"/>
    <col min="45" max="45" width="14.140625" style="155" bestFit="1" customWidth="1"/>
    <col min="46" max="46" width="2.7109375" style="155" customWidth="1"/>
    <col min="47" max="47" width="2.7109375" style="159" customWidth="1"/>
    <col min="48" max="48" width="13" style="155" customWidth="1"/>
    <col min="49" max="49" width="2.7109375" style="159" customWidth="1"/>
    <col min="50" max="50" width="13" style="155" customWidth="1"/>
    <col min="51" max="51" width="2.7109375" style="159" customWidth="1"/>
    <col min="52" max="52" width="13" style="155" customWidth="1"/>
    <col min="53" max="53" width="2.7109375" style="159" customWidth="1"/>
    <col min="54" max="54" width="13" style="155" customWidth="1"/>
    <col min="55" max="55" width="9.140625" style="155"/>
    <col min="56" max="56" width="18.28515625" style="155" bestFit="1" customWidth="1"/>
    <col min="57" max="58" width="27.140625" style="159" customWidth="1"/>
    <col min="59" max="59" width="9.140625" style="155"/>
    <col min="60" max="60" width="11.28515625" style="155" customWidth="1"/>
    <col min="61" max="61" width="17.28515625" style="155" customWidth="1"/>
    <col min="62" max="16384" width="9.140625" style="155"/>
  </cols>
  <sheetData>
    <row r="1" spans="1:62" s="152" customFormat="1" x14ac:dyDescent="0.15">
      <c r="A1" s="187" t="s">
        <v>275</v>
      </c>
      <c r="B1" s="187"/>
      <c r="C1" s="187"/>
      <c r="D1" s="187"/>
      <c r="E1" s="187"/>
      <c r="F1" s="187"/>
      <c r="G1" s="187"/>
      <c r="I1" s="187" t="s">
        <v>276</v>
      </c>
      <c r="J1" s="187"/>
      <c r="K1" s="187"/>
      <c r="L1" s="187"/>
      <c r="M1" s="187"/>
      <c r="N1" s="187"/>
      <c r="O1" s="187"/>
      <c r="P1" s="187"/>
      <c r="Q1" s="187"/>
      <c r="R1" s="187"/>
      <c r="T1" s="187" t="s">
        <v>277</v>
      </c>
      <c r="U1" s="187"/>
      <c r="V1" s="187"/>
      <c r="W1" s="187"/>
      <c r="X1" s="187"/>
      <c r="Y1" s="187"/>
      <c r="Z1" s="187"/>
      <c r="AA1" s="187"/>
      <c r="AB1" s="187"/>
      <c r="AC1" s="187"/>
      <c r="AD1" s="187"/>
      <c r="AF1" s="187" t="s">
        <v>282</v>
      </c>
      <c r="AG1" s="187"/>
      <c r="AI1" s="187" t="s">
        <v>283</v>
      </c>
      <c r="AJ1" s="187"/>
      <c r="AL1" s="187" t="s">
        <v>284</v>
      </c>
      <c r="AM1" s="187"/>
      <c r="AO1" s="187" t="s">
        <v>285</v>
      </c>
      <c r="AP1" s="187"/>
      <c r="AR1" s="187" t="s">
        <v>287</v>
      </c>
      <c r="AS1" s="187"/>
      <c r="AU1" s="187" t="s">
        <v>286</v>
      </c>
      <c r="AV1" s="187"/>
      <c r="AW1" s="187"/>
      <c r="AX1" s="187"/>
      <c r="AY1" s="187"/>
      <c r="AZ1" s="187"/>
      <c r="BA1" s="170"/>
      <c r="BB1" s="170"/>
      <c r="BE1" s="170"/>
      <c r="BF1" s="170"/>
    </row>
    <row r="2" spans="1:62" x14ac:dyDescent="0.15">
      <c r="A2" s="159"/>
      <c r="B2" s="153" t="s">
        <v>76</v>
      </c>
      <c r="C2" s="154" t="s">
        <v>7</v>
      </c>
      <c r="D2" s="154" t="s">
        <v>202</v>
      </c>
      <c r="E2" s="154" t="s">
        <v>131</v>
      </c>
      <c r="F2" s="154" t="s">
        <v>9</v>
      </c>
      <c r="G2" s="154" t="s">
        <v>33</v>
      </c>
      <c r="J2" s="153" t="s">
        <v>76</v>
      </c>
      <c r="K2" s="154" t="s">
        <v>30</v>
      </c>
      <c r="L2" s="154" t="s">
        <v>31</v>
      </c>
      <c r="M2" s="154" t="s">
        <v>9</v>
      </c>
      <c r="N2" s="154" t="s">
        <v>134</v>
      </c>
      <c r="O2" s="154" t="s">
        <v>33</v>
      </c>
      <c r="P2" s="154" t="s">
        <v>34</v>
      </c>
      <c r="Q2" s="154" t="s">
        <v>35</v>
      </c>
      <c r="R2" s="154" t="s">
        <v>90</v>
      </c>
      <c r="T2" s="156" t="s">
        <v>13</v>
      </c>
      <c r="U2" s="156" t="s">
        <v>77</v>
      </c>
      <c r="V2" s="156" t="s">
        <v>208</v>
      </c>
      <c r="W2" s="156" t="s">
        <v>209</v>
      </c>
      <c r="X2" s="156" t="s">
        <v>210</v>
      </c>
      <c r="Y2" s="156" t="s">
        <v>211</v>
      </c>
      <c r="Z2" s="156" t="s">
        <v>212</v>
      </c>
      <c r="AA2" s="156" t="s">
        <v>213</v>
      </c>
      <c r="AB2" s="156" t="s">
        <v>211</v>
      </c>
      <c r="AC2" s="156" t="s">
        <v>238</v>
      </c>
      <c r="AD2" s="154" t="s">
        <v>0</v>
      </c>
      <c r="AE2" s="155">
        <v>6</v>
      </c>
      <c r="AF2" s="155" t="s">
        <v>329</v>
      </c>
      <c r="AG2" s="155" t="s">
        <v>258</v>
      </c>
      <c r="AI2" s="155">
        <v>3</v>
      </c>
      <c r="AJ2" s="155" t="s">
        <v>316</v>
      </c>
      <c r="AL2" s="155">
        <v>54</v>
      </c>
      <c r="AM2" s="155" t="s">
        <v>221</v>
      </c>
      <c r="AO2" s="155">
        <v>7</v>
      </c>
      <c r="AP2" s="155" t="s">
        <v>196</v>
      </c>
      <c r="AR2" s="155">
        <v>3</v>
      </c>
      <c r="AS2" s="155" t="s">
        <v>316</v>
      </c>
      <c r="AU2" s="159">
        <v>21</v>
      </c>
      <c r="AV2" s="155" t="s">
        <v>196</v>
      </c>
      <c r="AW2" s="159">
        <v>10</v>
      </c>
      <c r="AX2" s="155" t="s">
        <v>136</v>
      </c>
      <c r="AY2" s="159">
        <v>2</v>
      </c>
      <c r="AZ2" s="155" t="s">
        <v>356</v>
      </c>
      <c r="BA2" s="159">
        <v>1</v>
      </c>
      <c r="BB2" s="155" t="s">
        <v>360</v>
      </c>
      <c r="BE2" s="159" t="s">
        <v>333</v>
      </c>
      <c r="BF2" s="159" t="s">
        <v>334</v>
      </c>
    </row>
    <row r="3" spans="1:62" x14ac:dyDescent="0.2">
      <c r="A3" s="159">
        <v>1</v>
      </c>
      <c r="B3" s="159" t="str">
        <f t="array" aca="1" ref="B3:G42" ca="1">OFFSET(BatAves!O2,0,0,batavg_qualifiers,6)</f>
        <v>Springer T</v>
      </c>
      <c r="C3" s="159">
        <f ca="1"/>
        <v>6</v>
      </c>
      <c r="D3" s="159">
        <f ca="1"/>
        <v>2</v>
      </c>
      <c r="E3" s="159">
        <f ca="1"/>
        <v>82</v>
      </c>
      <c r="F3" s="159">
        <f ca="1"/>
        <v>192</v>
      </c>
      <c r="G3" s="160">
        <f ca="1"/>
        <v>48</v>
      </c>
      <c r="I3" s="155">
        <v>1</v>
      </c>
      <c r="J3" s="158" t="str">
        <f t="array" aca="1" ref="J3:R30" ca="1">OFFSET(BowlAves!Q3,0,0,BowlAves!AD4,9)</f>
        <v>Nair S</v>
      </c>
      <c r="K3" s="159">
        <f ca="1"/>
        <v>42</v>
      </c>
      <c r="L3" s="159">
        <f ca="1"/>
        <v>6</v>
      </c>
      <c r="M3" s="159">
        <f ca="1"/>
        <v>153</v>
      </c>
      <c r="N3" s="159">
        <f ca="1"/>
        <v>11</v>
      </c>
      <c r="O3" s="160">
        <f ca="1"/>
        <v>13.91</v>
      </c>
      <c r="P3" s="161">
        <f ca="1"/>
        <v>22.90909090909091</v>
      </c>
      <c r="Q3" s="161">
        <f ca="1"/>
        <v>3.6428571428571428</v>
      </c>
      <c r="R3" s="161" t="str">
        <f ca="1"/>
        <v>3-22</v>
      </c>
      <c r="T3" s="155">
        <f t="array" aca="1" ref="T3:AD26" ca="1">OFFSET(Partnerships!R2,0,0,Partnerships!AE2,11)</f>
        <v>1</v>
      </c>
      <c r="U3" s="155">
        <f ca="1"/>
        <v>54</v>
      </c>
      <c r="V3" s="157">
        <f ca="1"/>
        <v>0</v>
      </c>
      <c r="W3" s="155" t="str">
        <f ca="1"/>
        <v>Patel J</v>
      </c>
      <c r="X3" s="155">
        <f ca="1"/>
        <v>52</v>
      </c>
      <c r="Y3" s="157">
        <f ca="1"/>
        <v>0</v>
      </c>
      <c r="Z3" s="155" t="str">
        <f ca="1"/>
        <v>Seymour C</v>
      </c>
      <c r="AA3" s="155">
        <f ca="1"/>
        <v>7</v>
      </c>
      <c r="AB3" s="157">
        <f ca="1"/>
        <v>0</v>
      </c>
      <c r="AC3" s="155">
        <f ca="1"/>
        <v>0</v>
      </c>
      <c r="AD3" s="168">
        <f ca="1"/>
        <v>0</v>
      </c>
      <c r="AE3" s="155">
        <v>4</v>
      </c>
      <c r="AF3" s="155" t="s">
        <v>281</v>
      </c>
      <c r="AG3" s="155" t="s">
        <v>350</v>
      </c>
      <c r="AI3" s="155">
        <v>3</v>
      </c>
      <c r="AJ3" s="155" t="s">
        <v>136</v>
      </c>
      <c r="AL3" s="155">
        <v>50</v>
      </c>
      <c r="AM3" s="155" t="s">
        <v>136</v>
      </c>
      <c r="AO3" s="155">
        <v>7</v>
      </c>
      <c r="AP3" s="155" t="s">
        <v>221</v>
      </c>
      <c r="AR3" s="155">
        <v>3</v>
      </c>
      <c r="AS3" s="155" t="s">
        <v>301</v>
      </c>
      <c r="AU3" s="159">
        <v>17</v>
      </c>
      <c r="AV3" s="155" t="s">
        <v>221</v>
      </c>
      <c r="AW3" s="159">
        <v>8</v>
      </c>
      <c r="AX3" s="155" t="s">
        <v>350</v>
      </c>
      <c r="AY3" s="159">
        <v>2</v>
      </c>
      <c r="AZ3" s="155" t="s">
        <v>386</v>
      </c>
      <c r="BA3" s="159">
        <v>1</v>
      </c>
      <c r="BB3" s="155" t="s">
        <v>379</v>
      </c>
      <c r="BD3" s="169" t="s">
        <v>332</v>
      </c>
      <c r="BE3" s="159">
        <f>Matches!AA36</f>
        <v>2248</v>
      </c>
      <c r="BF3" s="159">
        <f>Matches!AB36</f>
        <v>2543</v>
      </c>
    </row>
    <row r="4" spans="1:62" x14ac:dyDescent="0.2">
      <c r="A4" s="159">
        <v>2</v>
      </c>
      <c r="B4" s="159" t="str">
        <f ca="1"/>
        <v>Singh S</v>
      </c>
      <c r="C4" s="159">
        <f ca="1"/>
        <v>8</v>
      </c>
      <c r="D4" s="159">
        <f ca="1"/>
        <v>1</v>
      </c>
      <c r="E4" s="159">
        <f ca="1"/>
        <v>61</v>
      </c>
      <c r="F4" s="159">
        <f ca="1"/>
        <v>235</v>
      </c>
      <c r="G4" s="160">
        <f ca="1"/>
        <v>33.571428571428569</v>
      </c>
      <c r="I4" s="155">
        <v>2</v>
      </c>
      <c r="J4" s="158" t="str">
        <f ca="1"/>
        <v>Nair S</v>
      </c>
      <c r="K4" s="159">
        <f ca="1"/>
        <v>42</v>
      </c>
      <c r="L4" s="159">
        <f ca="1"/>
        <v>6</v>
      </c>
      <c r="M4" s="159">
        <f ca="1"/>
        <v>153</v>
      </c>
      <c r="N4" s="159">
        <f ca="1"/>
        <v>11</v>
      </c>
      <c r="O4" s="160">
        <f ca="1"/>
        <v>13.91</v>
      </c>
      <c r="P4" s="161">
        <f ca="1"/>
        <v>22.90909090909091</v>
      </c>
      <c r="Q4" s="161">
        <f ca="1"/>
        <v>3.6428571428571428</v>
      </c>
      <c r="R4" s="161" t="str">
        <f ca="1"/>
        <v>3-22</v>
      </c>
      <c r="T4" s="155">
        <f ca="1"/>
        <v>1</v>
      </c>
      <c r="U4" s="155">
        <f ca="1"/>
        <v>53</v>
      </c>
      <c r="V4" s="157">
        <f ca="1"/>
        <v>0</v>
      </c>
      <c r="W4" s="155" t="str">
        <f ca="1"/>
        <v>Patel J</v>
      </c>
      <c r="X4" s="155">
        <f ca="1"/>
        <v>36</v>
      </c>
      <c r="Y4" s="157">
        <f ca="1"/>
        <v>0</v>
      </c>
      <c r="Z4" s="155" t="str">
        <f ca="1"/>
        <v>Seymour C</v>
      </c>
      <c r="AA4" s="155">
        <f ca="1"/>
        <v>9</v>
      </c>
      <c r="AB4" s="157">
        <f ca="1"/>
        <v>0</v>
      </c>
      <c r="AC4" s="155">
        <f ca="1"/>
        <v>0</v>
      </c>
      <c r="AD4" s="168">
        <f ca="1"/>
        <v>0</v>
      </c>
      <c r="AE4" s="155">
        <v>4</v>
      </c>
      <c r="AF4" s="155" t="s">
        <v>446</v>
      </c>
      <c r="AG4" s="155" t="s">
        <v>136</v>
      </c>
      <c r="AI4" s="155">
        <v>2</v>
      </c>
      <c r="AJ4" s="155" t="s">
        <v>379</v>
      </c>
      <c r="AL4" s="155">
        <v>49</v>
      </c>
      <c r="AM4" s="155" t="s">
        <v>196</v>
      </c>
      <c r="AO4" s="155">
        <v>6</v>
      </c>
      <c r="AP4" s="155" t="s">
        <v>136</v>
      </c>
      <c r="AR4" s="155">
        <v>3</v>
      </c>
      <c r="AS4" s="155" t="s">
        <v>296</v>
      </c>
      <c r="AU4" s="159">
        <v>16</v>
      </c>
      <c r="AV4" s="155" t="s">
        <v>234</v>
      </c>
      <c r="AW4" s="159">
        <v>8</v>
      </c>
      <c r="AX4" s="155" t="s">
        <v>311</v>
      </c>
      <c r="AY4" s="159">
        <v>2</v>
      </c>
      <c r="AZ4" s="155" t="s">
        <v>298</v>
      </c>
      <c r="BA4" s="159">
        <v>1</v>
      </c>
      <c r="BB4" s="155" t="s">
        <v>391</v>
      </c>
      <c r="BD4" s="169" t="s">
        <v>335</v>
      </c>
      <c r="BE4" s="159">
        <f>Matches!AC36</f>
        <v>115</v>
      </c>
      <c r="BF4" s="159">
        <f>Matches!AD36</f>
        <v>136</v>
      </c>
      <c r="BG4" s="159" t="s">
        <v>421</v>
      </c>
      <c r="BH4" s="155" t="s">
        <v>258</v>
      </c>
      <c r="BI4" s="155" t="s">
        <v>290</v>
      </c>
      <c r="BJ4" s="168">
        <v>45047</v>
      </c>
    </row>
    <row r="5" spans="1:62" x14ac:dyDescent="0.2">
      <c r="A5" s="159">
        <v>3</v>
      </c>
      <c r="B5" s="159" t="str">
        <f ca="1"/>
        <v>Seymour C</v>
      </c>
      <c r="C5" s="159">
        <f ca="1"/>
        <v>7</v>
      </c>
      <c r="D5" s="159">
        <f ca="1"/>
        <v>0</v>
      </c>
      <c r="E5" s="159">
        <f ca="1"/>
        <v>21</v>
      </c>
      <c r="F5" s="159">
        <f ca="1"/>
        <v>69</v>
      </c>
      <c r="G5" s="160">
        <f ca="1"/>
        <v>9.8571428571428577</v>
      </c>
      <c r="I5" s="155">
        <v>3</v>
      </c>
      <c r="J5" s="158" t="str">
        <f ca="1"/>
        <v>Nair S</v>
      </c>
      <c r="K5" s="159">
        <f ca="1"/>
        <v>42</v>
      </c>
      <c r="L5" s="159">
        <f ca="1"/>
        <v>6</v>
      </c>
      <c r="M5" s="159">
        <f ca="1"/>
        <v>153</v>
      </c>
      <c r="N5" s="159">
        <f ca="1"/>
        <v>11</v>
      </c>
      <c r="O5" s="160">
        <f ca="1"/>
        <v>13.91</v>
      </c>
      <c r="P5" s="161">
        <f ca="1"/>
        <v>22.90909090909091</v>
      </c>
      <c r="Q5" s="161">
        <f ca="1"/>
        <v>3.6428571428571428</v>
      </c>
      <c r="R5" s="161" t="str">
        <f ca="1"/>
        <v>3-22</v>
      </c>
      <c r="T5" s="155">
        <f ca="1"/>
        <v>1</v>
      </c>
      <c r="U5" s="155">
        <f ca="1"/>
        <v>50</v>
      </c>
      <c r="V5" s="157">
        <f ca="1"/>
        <v>0</v>
      </c>
      <c r="W5" s="155" t="str">
        <f ca="1"/>
        <v>Seymour C</v>
      </c>
      <c r="X5" s="155">
        <f ca="1"/>
        <v>35</v>
      </c>
      <c r="Y5" s="157">
        <f ca="1"/>
        <v>0</v>
      </c>
      <c r="Z5" s="155" t="str">
        <f ca="1"/>
        <v>Patel J</v>
      </c>
      <c r="AA5" s="155">
        <f ca="1"/>
        <v>19</v>
      </c>
      <c r="AB5" s="157">
        <f ca="1"/>
        <v>0</v>
      </c>
      <c r="AC5" s="155">
        <f ca="1"/>
        <v>0</v>
      </c>
      <c r="AD5" s="168">
        <f ca="1"/>
        <v>0</v>
      </c>
      <c r="AE5" s="155">
        <v>3</v>
      </c>
      <c r="AF5" s="159" t="s">
        <v>279</v>
      </c>
      <c r="AG5" s="155" t="s">
        <v>356</v>
      </c>
      <c r="AI5" s="155">
        <v>2</v>
      </c>
      <c r="AJ5" s="155" t="s">
        <v>350</v>
      </c>
      <c r="AL5" s="155">
        <v>31</v>
      </c>
      <c r="AM5" s="155" t="s">
        <v>316</v>
      </c>
      <c r="AO5" s="155">
        <v>5</v>
      </c>
      <c r="AP5" s="155" t="s">
        <v>316</v>
      </c>
      <c r="AR5" s="155">
        <v>3</v>
      </c>
      <c r="AS5" s="155" t="s">
        <v>221</v>
      </c>
      <c r="AU5" s="159">
        <v>14</v>
      </c>
      <c r="AV5" s="155" t="s">
        <v>250</v>
      </c>
      <c r="AW5" s="159">
        <v>7</v>
      </c>
      <c r="AX5" s="155" t="s">
        <v>262</v>
      </c>
      <c r="AY5" s="159">
        <v>2</v>
      </c>
      <c r="AZ5" s="155" t="s">
        <v>392</v>
      </c>
      <c r="BA5" s="159">
        <v>1</v>
      </c>
      <c r="BB5" s="155" t="s">
        <v>374</v>
      </c>
      <c r="BD5" s="169" t="s">
        <v>336</v>
      </c>
      <c r="BE5" s="171">
        <f>BE3/BE4</f>
        <v>19.547826086956523</v>
      </c>
      <c r="BF5" s="171">
        <f>BF3/BF4</f>
        <v>18.698529411764707</v>
      </c>
      <c r="BG5" s="159">
        <v>90</v>
      </c>
      <c r="BH5" s="155" t="s">
        <v>356</v>
      </c>
      <c r="BI5" s="155" t="s">
        <v>352</v>
      </c>
      <c r="BJ5" s="168">
        <v>45068</v>
      </c>
    </row>
    <row r="6" spans="1:62" x14ac:dyDescent="0.2">
      <c r="A6" s="159">
        <v>4</v>
      </c>
      <c r="B6" s="159" t="e">
        <f ca="1"/>
        <v>#N/A</v>
      </c>
      <c r="C6" s="159" t="e">
        <f ca="1"/>
        <v>#N/A</v>
      </c>
      <c r="D6" s="159" t="e">
        <f ca="1"/>
        <v>#N/A</v>
      </c>
      <c r="E6" s="159" t="e">
        <f ca="1"/>
        <v>#N/A</v>
      </c>
      <c r="F6" s="159" t="e">
        <f ca="1"/>
        <v>#N/A</v>
      </c>
      <c r="G6" s="160" t="e">
        <f ca="1"/>
        <v>#N/A</v>
      </c>
      <c r="I6" s="155">
        <v>4</v>
      </c>
      <c r="J6" s="158" t="str">
        <f ca="1"/>
        <v>Nair S</v>
      </c>
      <c r="K6" s="159">
        <f ca="1"/>
        <v>42</v>
      </c>
      <c r="L6" s="159">
        <f ca="1"/>
        <v>6</v>
      </c>
      <c r="M6" s="159">
        <f ca="1"/>
        <v>153</v>
      </c>
      <c r="N6" s="159">
        <f ca="1"/>
        <v>11</v>
      </c>
      <c r="O6" s="160">
        <f ca="1"/>
        <v>13.91</v>
      </c>
      <c r="P6" s="161">
        <f ca="1"/>
        <v>22.90909090909091</v>
      </c>
      <c r="Q6" s="161">
        <f ca="1"/>
        <v>3.6428571428571428</v>
      </c>
      <c r="R6" s="161" t="str">
        <f ca="1"/>
        <v>3-22</v>
      </c>
      <c r="T6" s="155">
        <f ca="1"/>
        <v>2</v>
      </c>
      <c r="U6" s="155">
        <f ca="1"/>
        <v>103</v>
      </c>
      <c r="V6" s="157">
        <f ca="1"/>
        <v>0</v>
      </c>
      <c r="W6" s="155" t="str">
        <f ca="1"/>
        <v>Seymour C</v>
      </c>
      <c r="X6" s="155">
        <f ca="1"/>
        <v>41</v>
      </c>
      <c r="Y6" s="157">
        <f ca="1"/>
        <v>0</v>
      </c>
      <c r="Z6" s="155" t="str">
        <f ca="1"/>
        <v>Springer T</v>
      </c>
      <c r="AA6" s="155">
        <f ca="1"/>
        <v>64</v>
      </c>
      <c r="AB6" s="157">
        <f ca="1"/>
        <v>0</v>
      </c>
      <c r="AC6" s="155" t="str">
        <f ca="1"/>
        <v>YRG Eagles</v>
      </c>
      <c r="AD6" s="168">
        <f ca="1"/>
        <v>45067</v>
      </c>
      <c r="AE6" s="155">
        <v>3</v>
      </c>
      <c r="AF6" s="155" t="s">
        <v>279</v>
      </c>
      <c r="AG6" s="155" t="s">
        <v>205</v>
      </c>
      <c r="AI6" s="155">
        <v>1</v>
      </c>
      <c r="AJ6" s="155" t="s">
        <v>244</v>
      </c>
      <c r="AL6" s="155">
        <v>29</v>
      </c>
      <c r="AM6" s="155" t="s">
        <v>356</v>
      </c>
      <c r="AO6" s="155">
        <v>4</v>
      </c>
      <c r="AP6" s="155" t="s">
        <v>350</v>
      </c>
      <c r="AR6" s="155">
        <v>2</v>
      </c>
      <c r="AS6" s="155" t="s">
        <v>346</v>
      </c>
      <c r="AU6" s="159">
        <v>14</v>
      </c>
      <c r="AV6" s="155" t="s">
        <v>301</v>
      </c>
      <c r="AW6" s="159">
        <v>7</v>
      </c>
      <c r="AX6" s="155" t="s">
        <v>346</v>
      </c>
      <c r="AY6" s="159">
        <v>2</v>
      </c>
      <c r="AZ6" s="155" t="s">
        <v>390</v>
      </c>
      <c r="BA6" s="159">
        <v>1</v>
      </c>
      <c r="BB6" s="155" t="s">
        <v>233</v>
      </c>
      <c r="BD6" s="169" t="s">
        <v>337</v>
      </c>
      <c r="BE6" s="171">
        <f>Matches!O40</f>
        <v>77.410468319559229</v>
      </c>
      <c r="BF6" s="171">
        <f>Matches!P40</f>
        <v>75.865155131264913</v>
      </c>
      <c r="BG6" s="159">
        <v>86</v>
      </c>
      <c r="BH6" s="155" t="s">
        <v>356</v>
      </c>
      <c r="BI6" s="155" t="s">
        <v>289</v>
      </c>
      <c r="BJ6" s="168">
        <v>45089</v>
      </c>
    </row>
    <row r="7" spans="1:62" x14ac:dyDescent="0.2">
      <c r="A7" s="159">
        <v>5</v>
      </c>
      <c r="B7" s="159" t="e">
        <f ca="1"/>
        <v>#N/A</v>
      </c>
      <c r="C7" s="159" t="e">
        <f ca="1"/>
        <v>#N/A</v>
      </c>
      <c r="D7" s="159" t="e">
        <f ca="1"/>
        <v>#N/A</v>
      </c>
      <c r="E7" s="159" t="e">
        <f ca="1"/>
        <v>#N/A</v>
      </c>
      <c r="F7" s="159" t="e">
        <f ca="1"/>
        <v>#N/A</v>
      </c>
      <c r="G7" s="160" t="e">
        <f ca="1"/>
        <v>#N/A</v>
      </c>
      <c r="I7" s="155">
        <v>5</v>
      </c>
      <c r="J7" s="158" t="str">
        <f ca="1"/>
        <v>Nair S</v>
      </c>
      <c r="K7" s="159">
        <f ca="1"/>
        <v>42</v>
      </c>
      <c r="L7" s="159">
        <f ca="1"/>
        <v>6</v>
      </c>
      <c r="M7" s="159">
        <f ca="1"/>
        <v>153</v>
      </c>
      <c r="N7" s="159">
        <f ca="1"/>
        <v>11</v>
      </c>
      <c r="O7" s="160">
        <f ca="1"/>
        <v>13.91</v>
      </c>
      <c r="P7" s="161">
        <f ca="1"/>
        <v>22.90909090909091</v>
      </c>
      <c r="Q7" s="161">
        <f ca="1"/>
        <v>3.6428571428571428</v>
      </c>
      <c r="R7" s="161" t="str">
        <f ca="1"/>
        <v>3-22</v>
      </c>
      <c r="T7" s="155">
        <f ca="1"/>
        <v>2</v>
      </c>
      <c r="U7" s="155">
        <f ca="1"/>
        <v>88</v>
      </c>
      <c r="V7" s="157">
        <f ca="1"/>
        <v>0</v>
      </c>
      <c r="W7" s="155" t="str">
        <f ca="1"/>
        <v>Crone W</v>
      </c>
      <c r="X7" s="155">
        <f ca="1"/>
        <v>56</v>
      </c>
      <c r="Y7" s="157">
        <f ca="1"/>
        <v>0</v>
      </c>
      <c r="Z7" s="155" t="str">
        <f ca="1"/>
        <v>Niran S</v>
      </c>
      <c r="AA7" s="155">
        <f ca="1"/>
        <v>49</v>
      </c>
      <c r="AB7" s="157">
        <f ca="1"/>
        <v>0</v>
      </c>
      <c r="AC7" s="155" t="str">
        <f ca="1"/>
        <v>Mitcham</v>
      </c>
      <c r="AD7" s="168">
        <f ca="1"/>
        <v>45165</v>
      </c>
      <c r="AE7" s="155">
        <v>3</v>
      </c>
      <c r="AF7" s="155" t="s">
        <v>279</v>
      </c>
      <c r="AG7" s="155" t="s">
        <v>196</v>
      </c>
      <c r="AI7" s="155">
        <v>1</v>
      </c>
      <c r="AJ7" s="155" t="s">
        <v>348</v>
      </c>
      <c r="AL7" s="155">
        <v>28</v>
      </c>
      <c r="AM7" s="155" t="s">
        <v>350</v>
      </c>
      <c r="AO7" s="155">
        <v>3</v>
      </c>
      <c r="AP7" s="155" t="s">
        <v>234</v>
      </c>
      <c r="AR7" s="155">
        <v>2</v>
      </c>
      <c r="AS7" s="155" t="s">
        <v>250</v>
      </c>
      <c r="AU7" s="159">
        <v>14</v>
      </c>
      <c r="AV7" s="155" t="s">
        <v>348</v>
      </c>
      <c r="AW7" s="159">
        <v>7</v>
      </c>
      <c r="AX7" s="155" t="s">
        <v>258</v>
      </c>
      <c r="AY7" s="159">
        <v>2</v>
      </c>
      <c r="AZ7" s="155" t="s">
        <v>189</v>
      </c>
      <c r="BA7" s="159">
        <v>1</v>
      </c>
      <c r="BB7" s="155" t="s">
        <v>381</v>
      </c>
      <c r="BD7" s="169" t="s">
        <v>345</v>
      </c>
      <c r="BE7" s="159">
        <f>Matches!P39</f>
        <v>558.4</v>
      </c>
      <c r="BF7" s="159">
        <f>Matches!O39</f>
        <v>484</v>
      </c>
      <c r="BG7" s="159">
        <v>86</v>
      </c>
      <c r="BH7" s="155" t="s">
        <v>136</v>
      </c>
      <c r="BI7" s="155" t="s">
        <v>361</v>
      </c>
      <c r="BJ7" s="168">
        <v>45096</v>
      </c>
    </row>
    <row r="8" spans="1:62" x14ac:dyDescent="0.2">
      <c r="A8" s="159">
        <v>6</v>
      </c>
      <c r="B8" s="159" t="e">
        <f ca="1"/>
        <v>#N/A</v>
      </c>
      <c r="C8" s="159" t="e">
        <f ca="1"/>
        <v>#N/A</v>
      </c>
      <c r="D8" s="159" t="e">
        <f ca="1"/>
        <v>#N/A</v>
      </c>
      <c r="E8" s="159" t="e">
        <f ca="1"/>
        <v>#N/A</v>
      </c>
      <c r="F8" s="159" t="e">
        <f ca="1"/>
        <v>#N/A</v>
      </c>
      <c r="G8" s="160" t="e">
        <f ca="1"/>
        <v>#N/A</v>
      </c>
      <c r="I8" s="155">
        <v>6</v>
      </c>
      <c r="J8" s="158" t="str">
        <f ca="1"/>
        <v>Nair S</v>
      </c>
      <c r="K8" s="159">
        <f ca="1"/>
        <v>42</v>
      </c>
      <c r="L8" s="159">
        <f ca="1"/>
        <v>6</v>
      </c>
      <c r="M8" s="159">
        <f ca="1"/>
        <v>153</v>
      </c>
      <c r="N8" s="159">
        <f ca="1"/>
        <v>11</v>
      </c>
      <c r="O8" s="160">
        <f ca="1"/>
        <v>13.91</v>
      </c>
      <c r="P8" s="161">
        <f ca="1"/>
        <v>22.90909090909091</v>
      </c>
      <c r="Q8" s="161">
        <f ca="1"/>
        <v>3.6428571428571428</v>
      </c>
      <c r="R8" s="161" t="str">
        <f ca="1"/>
        <v>3-22</v>
      </c>
      <c r="T8" s="155">
        <f ca="1"/>
        <v>3</v>
      </c>
      <c r="U8" s="155">
        <f ca="1"/>
        <v>138</v>
      </c>
      <c r="V8" s="157">
        <f ca="1"/>
        <v>0</v>
      </c>
      <c r="W8" s="155" t="str">
        <f ca="1"/>
        <v>Patel J</v>
      </c>
      <c r="X8" s="155">
        <f ca="1"/>
        <v>66</v>
      </c>
      <c r="Y8" s="157">
        <f ca="1"/>
        <v>0</v>
      </c>
      <c r="Z8" s="155" t="str">
        <f ca="1"/>
        <v>Ahmed R</v>
      </c>
      <c r="AA8" s="155">
        <f ca="1"/>
        <v>90</v>
      </c>
      <c r="AB8" s="157">
        <f ca="1"/>
        <v>0</v>
      </c>
      <c r="AC8" s="155" t="str">
        <f ca="1"/>
        <v>Woodgreen</v>
      </c>
      <c r="AD8" s="168">
        <f ca="1"/>
        <v>45074</v>
      </c>
      <c r="AE8" s="155">
        <v>3</v>
      </c>
      <c r="AF8" s="155" t="s">
        <v>279</v>
      </c>
      <c r="AG8" s="155" t="s">
        <v>221</v>
      </c>
      <c r="AI8" s="155">
        <v>1</v>
      </c>
      <c r="AJ8" s="155" t="s">
        <v>258</v>
      </c>
      <c r="AL8" s="155">
        <v>25</v>
      </c>
      <c r="AM8" s="155" t="s">
        <v>258</v>
      </c>
      <c r="AO8" s="155">
        <v>3</v>
      </c>
      <c r="AP8" s="155" t="s">
        <v>244</v>
      </c>
      <c r="AR8" s="155">
        <v>2</v>
      </c>
      <c r="AS8" s="155" t="s">
        <v>205</v>
      </c>
      <c r="AU8" s="159">
        <v>12</v>
      </c>
      <c r="AV8" s="155" t="s">
        <v>316</v>
      </c>
      <c r="AW8" s="159">
        <v>4</v>
      </c>
      <c r="AX8" s="155" t="s">
        <v>201</v>
      </c>
      <c r="AY8" s="159">
        <v>1</v>
      </c>
      <c r="AZ8" s="155" t="s">
        <v>377</v>
      </c>
      <c r="BA8" s="159">
        <v>1</v>
      </c>
      <c r="BB8" s="155" t="s">
        <v>370</v>
      </c>
      <c r="BD8" s="169" t="s">
        <v>338</v>
      </c>
      <c r="BE8" s="159">
        <f>Matches!Y36</f>
        <v>260</v>
      </c>
      <c r="BF8" s="159">
        <f>Matches!Z36</f>
        <v>258</v>
      </c>
      <c r="BG8" s="159">
        <v>84</v>
      </c>
      <c r="BH8" s="155" t="s">
        <v>316</v>
      </c>
      <c r="BI8" s="155" t="s">
        <v>367</v>
      </c>
      <c r="BJ8" s="168">
        <v>45152</v>
      </c>
    </row>
    <row r="9" spans="1:62" x14ac:dyDescent="0.2">
      <c r="A9" s="159">
        <v>7</v>
      </c>
      <c r="B9" s="159" t="e">
        <f ca="1"/>
        <v>#N/A</v>
      </c>
      <c r="C9" s="159" t="e">
        <f ca="1"/>
        <v>#N/A</v>
      </c>
      <c r="D9" s="159" t="e">
        <f ca="1"/>
        <v>#N/A</v>
      </c>
      <c r="E9" s="159" t="e">
        <f ca="1"/>
        <v>#N/A</v>
      </c>
      <c r="F9" s="159" t="e">
        <f ca="1"/>
        <v>#N/A</v>
      </c>
      <c r="G9" s="160" t="e">
        <f ca="1"/>
        <v>#N/A</v>
      </c>
      <c r="I9" s="155">
        <v>7</v>
      </c>
      <c r="J9" s="158" t="str">
        <f ca="1"/>
        <v>Nair S</v>
      </c>
      <c r="K9" s="159">
        <f ca="1"/>
        <v>42</v>
      </c>
      <c r="L9" s="159">
        <f ca="1"/>
        <v>6</v>
      </c>
      <c r="M9" s="159">
        <f ca="1"/>
        <v>153</v>
      </c>
      <c r="N9" s="159">
        <f ca="1"/>
        <v>11</v>
      </c>
      <c r="O9" s="160">
        <f ca="1"/>
        <v>13.91</v>
      </c>
      <c r="P9" s="161">
        <f ca="1"/>
        <v>22.90909090909091</v>
      </c>
      <c r="Q9" s="161">
        <f ca="1"/>
        <v>3.6428571428571428</v>
      </c>
      <c r="R9" s="161" t="str">
        <f ca="1"/>
        <v>3-22</v>
      </c>
      <c r="T9" s="155">
        <f ca="1"/>
        <v>3</v>
      </c>
      <c r="U9" s="155">
        <f ca="1"/>
        <v>110</v>
      </c>
      <c r="V9" s="157">
        <f ca="1"/>
        <v>0</v>
      </c>
      <c r="W9" s="155" t="str">
        <f ca="1"/>
        <v>De S</v>
      </c>
      <c r="X9" s="155">
        <f ca="1"/>
        <v>84</v>
      </c>
      <c r="Y9" s="157">
        <f ca="1"/>
        <v>0</v>
      </c>
      <c r="Z9" s="155" t="str">
        <f ca="1"/>
        <v>Bhatt P</v>
      </c>
      <c r="AA9" s="155">
        <f ca="1"/>
        <v>32</v>
      </c>
      <c r="AB9" s="157">
        <f ca="1"/>
        <v>0</v>
      </c>
      <c r="AC9" s="155" t="str">
        <f ca="1"/>
        <v>Verdayne green</v>
      </c>
      <c r="AD9" s="168">
        <f ca="1"/>
        <v>45186</v>
      </c>
      <c r="AE9" s="155">
        <v>2</v>
      </c>
      <c r="AF9" s="159" t="s">
        <v>280</v>
      </c>
      <c r="AG9" s="155" t="s">
        <v>223</v>
      </c>
      <c r="AI9" s="155">
        <v>1</v>
      </c>
      <c r="AJ9" s="155" t="s">
        <v>305</v>
      </c>
      <c r="AL9" s="155">
        <v>22</v>
      </c>
      <c r="AM9" s="155" t="s">
        <v>301</v>
      </c>
      <c r="AO9" s="155">
        <v>3</v>
      </c>
      <c r="AP9" s="155" t="s">
        <v>258</v>
      </c>
      <c r="AR9" s="155">
        <v>2</v>
      </c>
      <c r="AS9" s="155" t="s">
        <v>196</v>
      </c>
      <c r="AU9" s="159">
        <v>12</v>
      </c>
      <c r="AV9" s="155" t="s">
        <v>217</v>
      </c>
      <c r="AW9" s="159">
        <v>4</v>
      </c>
      <c r="AX9" s="155" t="s">
        <v>244</v>
      </c>
      <c r="AY9" s="159">
        <v>1</v>
      </c>
      <c r="AZ9" s="155" t="s">
        <v>272</v>
      </c>
      <c r="BA9" s="159">
        <v>1</v>
      </c>
      <c r="BB9" s="155" t="s">
        <v>305</v>
      </c>
      <c r="BD9" s="169" t="s">
        <v>342</v>
      </c>
      <c r="BE9" s="159">
        <f t="array" ref="BE9:BE12">TRANSPOSE(Matches!Q36:T36)</f>
        <v>106</v>
      </c>
      <c r="BF9" s="159">
        <f t="array" ref="BF9:BF12">TRANSPOSE(Matches!U36:X36)</f>
        <v>104</v>
      </c>
      <c r="BG9" s="159">
        <v>70</v>
      </c>
      <c r="BH9" s="155" t="s">
        <v>196</v>
      </c>
      <c r="BI9" s="155" t="s">
        <v>349</v>
      </c>
      <c r="BJ9" s="168">
        <v>45061</v>
      </c>
    </row>
    <row r="10" spans="1:62" x14ac:dyDescent="0.2">
      <c r="A10" s="159">
        <v>8</v>
      </c>
      <c r="B10" s="159" t="e">
        <f ca="1"/>
        <v>#N/A</v>
      </c>
      <c r="C10" s="159" t="e">
        <f ca="1"/>
        <v>#N/A</v>
      </c>
      <c r="D10" s="159" t="e">
        <f ca="1"/>
        <v>#N/A</v>
      </c>
      <c r="E10" s="159" t="e">
        <f ca="1"/>
        <v>#N/A</v>
      </c>
      <c r="F10" s="159" t="e">
        <f ca="1"/>
        <v>#N/A</v>
      </c>
      <c r="G10" s="160" t="e">
        <f ca="1"/>
        <v>#N/A</v>
      </c>
      <c r="I10" s="155">
        <v>8</v>
      </c>
      <c r="J10" s="158" t="str">
        <f ca="1"/>
        <v>Nair S</v>
      </c>
      <c r="K10" s="159">
        <f ca="1"/>
        <v>42</v>
      </c>
      <c r="L10" s="159">
        <f ca="1"/>
        <v>6</v>
      </c>
      <c r="M10" s="159">
        <f ca="1"/>
        <v>153</v>
      </c>
      <c r="N10" s="159">
        <f ca="1"/>
        <v>11</v>
      </c>
      <c r="O10" s="160">
        <f ca="1"/>
        <v>13.91</v>
      </c>
      <c r="P10" s="161">
        <f ca="1"/>
        <v>22.90909090909091</v>
      </c>
      <c r="Q10" s="161">
        <f ca="1"/>
        <v>3.6428571428571428</v>
      </c>
      <c r="R10" s="161" t="str">
        <f ca="1"/>
        <v>3-22</v>
      </c>
      <c r="T10" s="155">
        <f ca="1"/>
        <v>3</v>
      </c>
      <c r="U10" s="155">
        <f ca="1"/>
        <v>54</v>
      </c>
      <c r="V10" s="157">
        <f ca="1"/>
        <v>0</v>
      </c>
      <c r="W10" s="155" t="str">
        <f ca="1"/>
        <v>Seymour D</v>
      </c>
      <c r="X10" s="155">
        <f ca="1"/>
        <v>29</v>
      </c>
      <c r="Y10" s="157">
        <f ca="1"/>
        <v>0</v>
      </c>
      <c r="Z10" s="155" t="str">
        <f ca="1"/>
        <v>Seymour C</v>
      </c>
      <c r="AA10" s="155">
        <f ca="1"/>
        <v>70</v>
      </c>
      <c r="AB10" s="157">
        <f ca="1"/>
        <v>0</v>
      </c>
      <c r="AC10" s="155" t="str">
        <f ca="1"/>
        <v>Fonthill Park</v>
      </c>
      <c r="AD10" s="168">
        <f ca="1"/>
        <v>45073</v>
      </c>
      <c r="AE10" s="155">
        <v>2</v>
      </c>
      <c r="AF10" s="159" t="s">
        <v>280</v>
      </c>
      <c r="AG10" s="155" t="s">
        <v>346</v>
      </c>
      <c r="AI10" s="155">
        <v>0</v>
      </c>
      <c r="AJ10" s="155" t="s">
        <v>194</v>
      </c>
      <c r="AL10" s="155">
        <v>20</v>
      </c>
      <c r="AM10" s="155" t="s">
        <v>234</v>
      </c>
      <c r="AO10" s="155">
        <v>2</v>
      </c>
      <c r="AP10" s="155" t="s">
        <v>356</v>
      </c>
      <c r="AU10" s="159">
        <v>11</v>
      </c>
      <c r="AV10" s="155" t="s">
        <v>205</v>
      </c>
      <c r="AW10" s="159">
        <v>3</v>
      </c>
      <c r="AX10" s="155" t="s">
        <v>223</v>
      </c>
      <c r="AY10" s="159">
        <v>1</v>
      </c>
      <c r="AZ10" s="155" t="s">
        <v>187</v>
      </c>
      <c r="BA10" s="159">
        <v>1</v>
      </c>
      <c r="BB10" s="155" t="s">
        <v>364</v>
      </c>
      <c r="BD10" s="169" t="s">
        <v>341</v>
      </c>
      <c r="BE10" s="159">
        <v>27</v>
      </c>
      <c r="BF10" s="159">
        <v>49</v>
      </c>
      <c r="BG10" s="159" t="s">
        <v>420</v>
      </c>
      <c r="BH10" s="155" t="s">
        <v>136</v>
      </c>
      <c r="BI10" s="155" t="s">
        <v>372</v>
      </c>
      <c r="BJ10" s="168">
        <v>45110</v>
      </c>
    </row>
    <row r="11" spans="1:62" x14ac:dyDescent="0.2">
      <c r="A11" s="159">
        <v>9</v>
      </c>
      <c r="B11" s="159" t="e">
        <f ca="1"/>
        <v>#N/A</v>
      </c>
      <c r="C11" s="159" t="e">
        <f ca="1"/>
        <v>#N/A</v>
      </c>
      <c r="D11" s="159" t="e">
        <f ca="1"/>
        <v>#N/A</v>
      </c>
      <c r="E11" s="159" t="e">
        <f ca="1"/>
        <v>#N/A</v>
      </c>
      <c r="F11" s="159" t="e">
        <f ca="1"/>
        <v>#N/A</v>
      </c>
      <c r="G11" s="160" t="e">
        <f ca="1"/>
        <v>#N/A</v>
      </c>
      <c r="I11" s="155">
        <v>9</v>
      </c>
      <c r="J11" s="158" t="str">
        <f ca="1"/>
        <v>Nair S</v>
      </c>
      <c r="K11" s="159">
        <f ca="1"/>
        <v>42</v>
      </c>
      <c r="L11" s="159">
        <f ca="1"/>
        <v>6</v>
      </c>
      <c r="M11" s="159">
        <f ca="1"/>
        <v>153</v>
      </c>
      <c r="N11" s="159">
        <f ca="1"/>
        <v>11</v>
      </c>
      <c r="O11" s="160">
        <f ca="1"/>
        <v>13.91</v>
      </c>
      <c r="P11" s="161">
        <f ca="1"/>
        <v>22.90909090909091</v>
      </c>
      <c r="Q11" s="161">
        <f ca="1"/>
        <v>3.6428571428571428</v>
      </c>
      <c r="R11" s="161" t="str">
        <f ca="1"/>
        <v>3-22</v>
      </c>
      <c r="T11" s="155">
        <f ca="1"/>
        <v>4</v>
      </c>
      <c r="U11" s="155">
        <f ca="1"/>
        <v>85</v>
      </c>
      <c r="V11" s="157">
        <f ca="1"/>
        <v>0</v>
      </c>
      <c r="W11" s="155" t="str">
        <f ca="1"/>
        <v>Seymour C</v>
      </c>
      <c r="X11" s="155">
        <f ca="1"/>
        <v>70</v>
      </c>
      <c r="Y11" s="157">
        <f ca="1"/>
        <v>0</v>
      </c>
      <c r="Z11" s="155" t="str">
        <f ca="1"/>
        <v>Bhatt P</v>
      </c>
      <c r="AA11" s="155">
        <f ca="1"/>
        <v>43</v>
      </c>
      <c r="AB11" s="157" t="str">
        <f ca="1"/>
        <v>*</v>
      </c>
      <c r="AC11" s="155" t="str">
        <f ca="1"/>
        <v>Fonthill Park</v>
      </c>
      <c r="AD11" s="168">
        <f ca="1"/>
        <v>45073</v>
      </c>
      <c r="AE11" s="155">
        <v>2</v>
      </c>
      <c r="AF11" s="159" t="s">
        <v>280</v>
      </c>
      <c r="AG11" s="155" t="s">
        <v>250</v>
      </c>
      <c r="AI11" s="155">
        <v>0</v>
      </c>
      <c r="AJ11" s="155" t="s">
        <v>194</v>
      </c>
      <c r="AL11" s="155">
        <v>19</v>
      </c>
      <c r="AM11" s="155" t="s">
        <v>244</v>
      </c>
      <c r="AO11" s="155">
        <v>2</v>
      </c>
      <c r="AP11" s="155" t="s">
        <v>301</v>
      </c>
      <c r="AU11" s="159">
        <v>10</v>
      </c>
      <c r="AV11" s="155" t="s">
        <v>296</v>
      </c>
      <c r="AW11" s="159">
        <v>3</v>
      </c>
      <c r="AX11" s="155" t="s">
        <v>235</v>
      </c>
      <c r="AY11" s="159">
        <v>1</v>
      </c>
      <c r="AZ11" s="155" t="s">
        <v>161</v>
      </c>
      <c r="BA11" s="159">
        <v>1</v>
      </c>
      <c r="BB11" s="155" t="s">
        <v>354</v>
      </c>
      <c r="BD11" s="169" t="s">
        <v>339</v>
      </c>
      <c r="BE11" s="159">
        <v>93</v>
      </c>
      <c r="BF11" s="159">
        <v>74</v>
      </c>
      <c r="BG11" s="159">
        <v>67</v>
      </c>
      <c r="BH11" s="155" t="s">
        <v>305</v>
      </c>
      <c r="BI11" s="155" t="s">
        <v>289</v>
      </c>
      <c r="BJ11" s="168">
        <v>45089</v>
      </c>
    </row>
    <row r="12" spans="1:62" x14ac:dyDescent="0.2">
      <c r="A12" s="159">
        <v>10</v>
      </c>
      <c r="B12" s="159" t="e">
        <f ca="1"/>
        <v>#N/A</v>
      </c>
      <c r="C12" s="159" t="e">
        <f ca="1"/>
        <v>#N/A</v>
      </c>
      <c r="D12" s="159" t="e">
        <f ca="1"/>
        <v>#N/A</v>
      </c>
      <c r="E12" s="159" t="e">
        <f ca="1"/>
        <v>#N/A</v>
      </c>
      <c r="F12" s="159" t="e">
        <f ca="1"/>
        <v>#N/A</v>
      </c>
      <c r="G12" s="160" t="e">
        <f ca="1"/>
        <v>#N/A</v>
      </c>
      <c r="I12" s="155">
        <v>10</v>
      </c>
      <c r="J12" s="158" t="str">
        <f ca="1"/>
        <v>Nair S</v>
      </c>
      <c r="K12" s="159">
        <f ca="1"/>
        <v>42</v>
      </c>
      <c r="L12" s="159">
        <f ca="1"/>
        <v>6</v>
      </c>
      <c r="M12" s="159">
        <f ca="1"/>
        <v>153</v>
      </c>
      <c r="N12" s="159">
        <f ca="1"/>
        <v>11</v>
      </c>
      <c r="O12" s="160">
        <f ca="1"/>
        <v>13.91</v>
      </c>
      <c r="P12" s="161">
        <f ca="1"/>
        <v>22.90909090909091</v>
      </c>
      <c r="Q12" s="161">
        <f ca="1"/>
        <v>3.6428571428571428</v>
      </c>
      <c r="R12" s="161" t="str">
        <f ca="1"/>
        <v>3-22</v>
      </c>
      <c r="T12" s="155">
        <f ca="1"/>
        <v>5</v>
      </c>
      <c r="U12" s="155">
        <f ca="1"/>
        <v>48</v>
      </c>
      <c r="V12" s="157">
        <f ca="1"/>
        <v>0</v>
      </c>
      <c r="W12" s="155" t="str">
        <f ca="1"/>
        <v>Springer T</v>
      </c>
      <c r="X12" s="155">
        <f ca="1"/>
        <v>29</v>
      </c>
      <c r="Y12" s="157">
        <f ca="1"/>
        <v>0</v>
      </c>
      <c r="Z12" s="155" t="str">
        <f ca="1"/>
        <v>Seymour C</v>
      </c>
      <c r="AA12" s="155">
        <f ca="1"/>
        <v>36</v>
      </c>
      <c r="AB12" s="157" t="str">
        <f ca="1"/>
        <v>*</v>
      </c>
      <c r="AC12" s="155" t="str">
        <f ca="1"/>
        <v>Croydon CC</v>
      </c>
      <c r="AD12" s="168">
        <f ca="1"/>
        <v>45179</v>
      </c>
      <c r="AE12" s="155">
        <v>2</v>
      </c>
      <c r="AF12" s="155" t="s">
        <v>280</v>
      </c>
      <c r="AG12" s="155" t="s">
        <v>348</v>
      </c>
      <c r="AI12" s="155">
        <v>0</v>
      </c>
      <c r="AJ12" s="155" t="s">
        <v>194</v>
      </c>
      <c r="AL12" s="155">
        <v>14</v>
      </c>
      <c r="AM12" s="155" t="s">
        <v>250</v>
      </c>
      <c r="AO12" s="155">
        <v>1</v>
      </c>
      <c r="AP12" s="155" t="s">
        <v>386</v>
      </c>
      <c r="BD12" s="169" t="s">
        <v>340</v>
      </c>
      <c r="BE12" s="159">
        <v>34</v>
      </c>
      <c r="BF12" s="159">
        <v>31</v>
      </c>
      <c r="BG12" s="159">
        <v>66</v>
      </c>
      <c r="BH12" s="155" t="s">
        <v>350</v>
      </c>
      <c r="BI12" s="155" t="s">
        <v>352</v>
      </c>
      <c r="BJ12" s="168">
        <v>45068</v>
      </c>
    </row>
    <row r="13" spans="1:62" x14ac:dyDescent="0.2">
      <c r="A13" s="159">
        <v>11</v>
      </c>
      <c r="B13" s="159" t="e">
        <f ca="1"/>
        <v>#N/A</v>
      </c>
      <c r="C13" s="159" t="e">
        <f ca="1"/>
        <v>#N/A</v>
      </c>
      <c r="D13" s="159" t="e">
        <f ca="1"/>
        <v>#N/A</v>
      </c>
      <c r="E13" s="159" t="e">
        <f ca="1"/>
        <v>#N/A</v>
      </c>
      <c r="F13" s="159" t="e">
        <f ca="1"/>
        <v>#N/A</v>
      </c>
      <c r="G13" s="160" t="e">
        <f ca="1"/>
        <v>#N/A</v>
      </c>
      <c r="I13" s="155">
        <v>11</v>
      </c>
      <c r="J13" s="158" t="str">
        <f ca="1"/>
        <v>Nair S</v>
      </c>
      <c r="K13" s="159">
        <f ca="1"/>
        <v>42</v>
      </c>
      <c r="L13" s="159">
        <f ca="1"/>
        <v>6</v>
      </c>
      <c r="M13" s="159">
        <f ca="1"/>
        <v>153</v>
      </c>
      <c r="N13" s="159">
        <f ca="1"/>
        <v>11</v>
      </c>
      <c r="O13" s="160">
        <f ca="1"/>
        <v>13.91</v>
      </c>
      <c r="P13" s="161">
        <f ca="1"/>
        <v>22.90909090909091</v>
      </c>
      <c r="Q13" s="161">
        <f ca="1"/>
        <v>3.6428571428571428</v>
      </c>
      <c r="R13" s="161" t="str">
        <f ca="1"/>
        <v>3-22</v>
      </c>
      <c r="T13" s="155">
        <f ca="1"/>
        <v>6</v>
      </c>
      <c r="U13" s="155">
        <f ca="1"/>
        <v>102</v>
      </c>
      <c r="V13" s="157">
        <f ca="1"/>
        <v>0</v>
      </c>
      <c r="W13" s="155" t="str">
        <f ca="1"/>
        <v>De S</v>
      </c>
      <c r="X13" s="155">
        <f ca="1"/>
        <v>37</v>
      </c>
      <c r="Y13" s="157">
        <f ca="1"/>
        <v>0</v>
      </c>
      <c r="Z13" s="155" t="str">
        <f ca="1"/>
        <v>Mahmood S</v>
      </c>
      <c r="AA13" s="155">
        <f ca="1"/>
        <v>47</v>
      </c>
      <c r="AB13" s="157">
        <f ca="1"/>
        <v>0</v>
      </c>
      <c r="AC13" s="155" t="str">
        <f ca="1"/>
        <v>Catford Cyphers</v>
      </c>
      <c r="AD13" s="168">
        <f ca="1"/>
        <v>45158</v>
      </c>
      <c r="AE13" s="155">
        <v>2</v>
      </c>
      <c r="AF13" s="155" t="s">
        <v>280</v>
      </c>
      <c r="AG13" s="155" t="s">
        <v>311</v>
      </c>
      <c r="AI13" s="155">
        <v>0</v>
      </c>
      <c r="AJ13" s="155" t="s">
        <v>194</v>
      </c>
      <c r="AL13" s="155">
        <v>11</v>
      </c>
      <c r="AM13" s="155" t="s">
        <v>235</v>
      </c>
      <c r="AO13" s="155">
        <v>1</v>
      </c>
      <c r="AP13" s="155" t="s">
        <v>298</v>
      </c>
      <c r="BD13" s="169" t="s">
        <v>343</v>
      </c>
      <c r="BG13" s="159">
        <v>64</v>
      </c>
      <c r="BH13" s="155" t="s">
        <v>221</v>
      </c>
      <c r="BI13" s="155" t="s">
        <v>351</v>
      </c>
      <c r="BJ13" s="168">
        <v>45054</v>
      </c>
    </row>
    <row r="14" spans="1:62" x14ac:dyDescent="0.2">
      <c r="A14" s="159">
        <v>12</v>
      </c>
      <c r="B14" s="159" t="e">
        <f ca="1"/>
        <v>#N/A</v>
      </c>
      <c r="C14" s="159" t="e">
        <f ca="1"/>
        <v>#N/A</v>
      </c>
      <c r="D14" s="159" t="e">
        <f ca="1"/>
        <v>#N/A</v>
      </c>
      <c r="E14" s="159" t="e">
        <f ca="1"/>
        <v>#N/A</v>
      </c>
      <c r="F14" s="159" t="e">
        <f ca="1"/>
        <v>#N/A</v>
      </c>
      <c r="G14" s="160" t="e">
        <f ca="1"/>
        <v>#N/A</v>
      </c>
      <c r="I14" s="155">
        <v>12</v>
      </c>
      <c r="J14" s="158" t="str">
        <f ca="1"/>
        <v>Nair S</v>
      </c>
      <c r="K14" s="159">
        <f ca="1"/>
        <v>42</v>
      </c>
      <c r="L14" s="159">
        <f ca="1"/>
        <v>6</v>
      </c>
      <c r="M14" s="159">
        <f ca="1"/>
        <v>153</v>
      </c>
      <c r="N14" s="159">
        <f ca="1"/>
        <v>11</v>
      </c>
      <c r="O14" s="160">
        <f ca="1"/>
        <v>13.91</v>
      </c>
      <c r="P14" s="161">
        <f ca="1"/>
        <v>22.90909090909091</v>
      </c>
      <c r="Q14" s="161">
        <f ca="1"/>
        <v>3.6428571428571428</v>
      </c>
      <c r="R14" s="161" t="str">
        <f ca="1"/>
        <v>3-22</v>
      </c>
      <c r="T14" s="155">
        <f ca="1"/>
        <v>6</v>
      </c>
      <c r="U14" s="155">
        <f ca="1"/>
        <v>50</v>
      </c>
      <c r="V14" s="157">
        <f ca="1"/>
        <v>0</v>
      </c>
      <c r="W14" s="155" t="str">
        <f ca="1"/>
        <v>Seymour D</v>
      </c>
      <c r="X14" s="155">
        <f ca="1"/>
        <v>114</v>
      </c>
      <c r="Y14" s="157" t="str">
        <f ca="1"/>
        <v>*</v>
      </c>
      <c r="Z14" s="155" t="str">
        <f ca="1"/>
        <v>Sharpe D</v>
      </c>
      <c r="AA14" s="155">
        <f ca="1"/>
        <v>26</v>
      </c>
      <c r="AB14" s="157">
        <f ca="1"/>
        <v>0</v>
      </c>
      <c r="AC14" s="155" t="str">
        <f ca="1"/>
        <v>Beddington</v>
      </c>
      <c r="AD14" s="168">
        <f ca="1"/>
        <v>45060</v>
      </c>
      <c r="AE14" s="155">
        <v>1</v>
      </c>
      <c r="AF14" s="159" t="s">
        <v>278</v>
      </c>
      <c r="AG14" s="155" t="s">
        <v>234</v>
      </c>
      <c r="AI14" s="155">
        <v>0</v>
      </c>
      <c r="AJ14" s="155" t="s">
        <v>194</v>
      </c>
      <c r="AL14" s="155">
        <v>10</v>
      </c>
      <c r="AM14" s="155" t="s">
        <v>201</v>
      </c>
      <c r="AO14" s="155">
        <v>1</v>
      </c>
      <c r="AP14" s="155" t="s">
        <v>250</v>
      </c>
      <c r="BD14" s="169" t="s">
        <v>344</v>
      </c>
      <c r="BG14" s="159">
        <v>52</v>
      </c>
      <c r="BH14" s="155" t="s">
        <v>350</v>
      </c>
      <c r="BI14" s="155" t="s">
        <v>383</v>
      </c>
      <c r="BJ14" s="168">
        <v>45194</v>
      </c>
    </row>
    <row r="15" spans="1:62" x14ac:dyDescent="0.2">
      <c r="A15" s="159">
        <v>13</v>
      </c>
      <c r="B15" s="159" t="e">
        <f ca="1"/>
        <v>#N/A</v>
      </c>
      <c r="C15" s="159" t="e">
        <f ca="1"/>
        <v>#N/A</v>
      </c>
      <c r="D15" s="159" t="e">
        <f ca="1"/>
        <v>#N/A</v>
      </c>
      <c r="E15" s="159" t="e">
        <f ca="1"/>
        <v>#N/A</v>
      </c>
      <c r="F15" s="159" t="e">
        <f ca="1"/>
        <v>#N/A</v>
      </c>
      <c r="G15" s="160" t="e">
        <f ca="1"/>
        <v>#N/A</v>
      </c>
      <c r="I15" s="155">
        <v>13</v>
      </c>
      <c r="J15" s="158" t="str">
        <f ca="1"/>
        <v>Nair S</v>
      </c>
      <c r="K15" s="159">
        <f ca="1"/>
        <v>42</v>
      </c>
      <c r="L15" s="159">
        <f ca="1"/>
        <v>6</v>
      </c>
      <c r="M15" s="159">
        <f ca="1"/>
        <v>153</v>
      </c>
      <c r="N15" s="159">
        <f ca="1"/>
        <v>11</v>
      </c>
      <c r="O15" s="160">
        <f ca="1"/>
        <v>13.91</v>
      </c>
      <c r="P15" s="161">
        <f ca="1"/>
        <v>22.90909090909091</v>
      </c>
      <c r="Q15" s="161">
        <f ca="1"/>
        <v>3.6428571428571428</v>
      </c>
      <c r="R15" s="161" t="str">
        <f ca="1"/>
        <v>3-22</v>
      </c>
      <c r="T15" s="155">
        <f ca="1"/>
        <v>9</v>
      </c>
      <c r="U15" s="155">
        <f ca="1"/>
        <v>75</v>
      </c>
      <c r="V15" s="157" t="str">
        <f ca="1"/>
        <v>*</v>
      </c>
      <c r="W15" s="155" t="str">
        <f ca="1"/>
        <v>Bhatt P</v>
      </c>
      <c r="X15" s="155">
        <f ca="1"/>
        <v>35</v>
      </c>
      <c r="Y15" s="157" t="str">
        <f ca="1"/>
        <v>*</v>
      </c>
      <c r="Z15" s="155" t="str">
        <f ca="1"/>
        <v>Middleton J</v>
      </c>
      <c r="AA15" s="155">
        <f ca="1"/>
        <v>36</v>
      </c>
      <c r="AB15" s="157" t="str">
        <f ca="1"/>
        <v>*</v>
      </c>
      <c r="AC15" s="155" t="str">
        <f ca="1"/>
        <v>Catford Cyphers</v>
      </c>
      <c r="AD15" s="168">
        <f ca="1"/>
        <v>45158</v>
      </c>
      <c r="AE15" s="155">
        <v>1</v>
      </c>
      <c r="AF15" s="159" t="s">
        <v>278</v>
      </c>
      <c r="AG15" s="155" t="s">
        <v>316</v>
      </c>
      <c r="AI15" s="155">
        <v>0</v>
      </c>
      <c r="AJ15" s="155" t="s">
        <v>194</v>
      </c>
      <c r="AL15" s="155">
        <v>10</v>
      </c>
      <c r="AM15" s="155" t="s">
        <v>348</v>
      </c>
      <c r="AO15" s="155">
        <v>1</v>
      </c>
      <c r="AP15" s="155" t="s">
        <v>379</v>
      </c>
      <c r="BG15" s="159">
        <v>52</v>
      </c>
      <c r="BH15" s="155" t="s">
        <v>196</v>
      </c>
      <c r="BI15" s="155" t="s">
        <v>289</v>
      </c>
      <c r="BJ15" s="168">
        <v>45089</v>
      </c>
    </row>
    <row r="16" spans="1:62" x14ac:dyDescent="0.2">
      <c r="A16" s="159">
        <v>14</v>
      </c>
      <c r="B16" s="159" t="e">
        <f ca="1"/>
        <v>#N/A</v>
      </c>
      <c r="C16" s="159" t="e">
        <f ca="1"/>
        <v>#N/A</v>
      </c>
      <c r="D16" s="159" t="e">
        <f ca="1"/>
        <v>#N/A</v>
      </c>
      <c r="E16" s="159" t="e">
        <f ca="1"/>
        <v>#N/A</v>
      </c>
      <c r="F16" s="159" t="e">
        <f ca="1"/>
        <v>#N/A</v>
      </c>
      <c r="G16" s="160" t="e">
        <f ca="1"/>
        <v>#N/A</v>
      </c>
      <c r="I16" s="155">
        <v>14</v>
      </c>
      <c r="J16" s="158" t="str">
        <f ca="1"/>
        <v>Nair S</v>
      </c>
      <c r="K16" s="159">
        <f ca="1"/>
        <v>42</v>
      </c>
      <c r="L16" s="159">
        <f ca="1"/>
        <v>6</v>
      </c>
      <c r="M16" s="159">
        <f ca="1"/>
        <v>153</v>
      </c>
      <c r="N16" s="159">
        <f ca="1"/>
        <v>11</v>
      </c>
      <c r="O16" s="160">
        <f ca="1"/>
        <v>13.91</v>
      </c>
      <c r="P16" s="161">
        <f ca="1"/>
        <v>22.90909090909091</v>
      </c>
      <c r="Q16" s="161">
        <f ca="1"/>
        <v>3.6428571428571428</v>
      </c>
      <c r="R16" s="161" t="str">
        <f ca="1"/>
        <v>3-22</v>
      </c>
      <c r="T16" s="155">
        <f ca="1"/>
        <v>9</v>
      </c>
      <c r="U16" s="155">
        <f ca="1"/>
        <v>64</v>
      </c>
      <c r="V16" s="157">
        <f ca="1"/>
        <v>0</v>
      </c>
      <c r="W16" s="155" t="str">
        <f ca="1"/>
        <v>Sharpe D</v>
      </c>
      <c r="X16" s="155">
        <f ca="1"/>
        <v>86</v>
      </c>
      <c r="Y16" s="157">
        <f ca="1"/>
        <v>0</v>
      </c>
      <c r="Z16" s="155" t="str">
        <f ca="1"/>
        <v>Turner R</v>
      </c>
      <c r="AA16" s="155">
        <f ca="1"/>
        <v>16</v>
      </c>
      <c r="AB16" s="157" t="str">
        <f ca="1"/>
        <v>*</v>
      </c>
      <c r="AC16" s="155" t="str">
        <f ca="1"/>
        <v>Morden</v>
      </c>
      <c r="AD16" s="168">
        <f ca="1"/>
        <v>45116</v>
      </c>
      <c r="AE16" s="155">
        <v>1</v>
      </c>
      <c r="AF16" s="155" t="s">
        <v>278</v>
      </c>
      <c r="AG16" s="155" t="s">
        <v>379</v>
      </c>
      <c r="AI16" s="155">
        <v>0</v>
      </c>
      <c r="AJ16" s="155" t="s">
        <v>194</v>
      </c>
      <c r="AL16" s="155">
        <v>8</v>
      </c>
      <c r="AM16" s="155" t="s">
        <v>305</v>
      </c>
      <c r="AO16" s="155">
        <v>1</v>
      </c>
      <c r="AP16" s="155" t="s">
        <v>201</v>
      </c>
      <c r="BG16" s="159" t="s">
        <v>419</v>
      </c>
      <c r="BH16" s="155" t="s">
        <v>316</v>
      </c>
      <c r="BI16" s="155" t="s">
        <v>268</v>
      </c>
      <c r="BJ16" s="168">
        <v>45040</v>
      </c>
    </row>
    <row r="17" spans="1:42" x14ac:dyDescent="0.2">
      <c r="A17" s="159">
        <v>15</v>
      </c>
      <c r="B17" s="159" t="e">
        <f ca="1"/>
        <v>#N/A</v>
      </c>
      <c r="C17" s="159" t="e">
        <f ca="1"/>
        <v>#N/A</v>
      </c>
      <c r="D17" s="159" t="e">
        <f ca="1"/>
        <v>#N/A</v>
      </c>
      <c r="E17" s="159" t="e">
        <f ca="1"/>
        <v>#N/A</v>
      </c>
      <c r="F17" s="159" t="e">
        <f ca="1"/>
        <v>#N/A</v>
      </c>
      <c r="G17" s="160" t="e">
        <f ca="1"/>
        <v>#N/A</v>
      </c>
      <c r="I17" s="155">
        <v>15</v>
      </c>
      <c r="J17" s="158" t="str">
        <f ca="1"/>
        <v>Nair S</v>
      </c>
      <c r="K17" s="159">
        <f ca="1"/>
        <v>42</v>
      </c>
      <c r="L17" s="159">
        <f ca="1"/>
        <v>6</v>
      </c>
      <c r="M17" s="159">
        <f ca="1"/>
        <v>153</v>
      </c>
      <c r="N17" s="159">
        <f ca="1"/>
        <v>11</v>
      </c>
      <c r="O17" s="160">
        <f ca="1"/>
        <v>13.91</v>
      </c>
      <c r="P17" s="161">
        <f ca="1"/>
        <v>22.90909090909091</v>
      </c>
      <c r="Q17" s="161">
        <f ca="1"/>
        <v>3.6428571428571428</v>
      </c>
      <c r="R17" s="161" t="str">
        <f ca="1"/>
        <v>3-22</v>
      </c>
      <c r="T17" s="155">
        <f ca="1"/>
        <v>9</v>
      </c>
      <c r="U17" s="155">
        <f ca="1"/>
        <v>58</v>
      </c>
      <c r="V17" s="157">
        <f ca="1"/>
        <v>0</v>
      </c>
      <c r="W17" s="155" t="str">
        <f ca="1"/>
        <v>Seymour D</v>
      </c>
      <c r="X17" s="155">
        <f ca="1"/>
        <v>114</v>
      </c>
      <c r="Y17" s="157" t="str">
        <f ca="1"/>
        <v>*</v>
      </c>
      <c r="Z17" s="155" t="str">
        <f ca="1"/>
        <v>Bhatt P</v>
      </c>
      <c r="AA17" s="155">
        <f ca="1"/>
        <v>11</v>
      </c>
      <c r="AB17" s="157">
        <f ca="1"/>
        <v>0</v>
      </c>
      <c r="AC17" s="155" t="str">
        <f ca="1"/>
        <v>Beddington</v>
      </c>
      <c r="AD17" s="168">
        <f ca="1"/>
        <v>45060</v>
      </c>
      <c r="AE17" s="155">
        <v>1</v>
      </c>
      <c r="AF17" s="155" t="s">
        <v>278</v>
      </c>
      <c r="AG17" s="155" t="s">
        <v>217</v>
      </c>
      <c r="AI17" s="155">
        <v>0</v>
      </c>
      <c r="AJ17" s="155" t="s">
        <v>194</v>
      </c>
      <c r="AL17" s="155">
        <v>7</v>
      </c>
      <c r="AM17" s="155" t="s">
        <v>298</v>
      </c>
      <c r="AO17" s="155">
        <v>1</v>
      </c>
      <c r="AP17" s="155" t="s">
        <v>305</v>
      </c>
    </row>
    <row r="18" spans="1:42" x14ac:dyDescent="0.2">
      <c r="A18" s="159">
        <v>16</v>
      </c>
      <c r="B18" s="159" t="e">
        <f ca="1"/>
        <v>#N/A</v>
      </c>
      <c r="C18" s="159" t="e">
        <f ca="1"/>
        <v>#N/A</v>
      </c>
      <c r="D18" s="159" t="e">
        <f ca="1"/>
        <v>#N/A</v>
      </c>
      <c r="E18" s="159" t="e">
        <f ca="1"/>
        <v>#N/A</v>
      </c>
      <c r="F18" s="159" t="e">
        <f ca="1"/>
        <v>#N/A</v>
      </c>
      <c r="G18" s="160" t="e">
        <f ca="1"/>
        <v>#N/A</v>
      </c>
      <c r="I18" s="155">
        <v>16</v>
      </c>
      <c r="J18" s="158" t="str">
        <f ca="1"/>
        <v>Nair S</v>
      </c>
      <c r="K18" s="159">
        <f ca="1"/>
        <v>42</v>
      </c>
      <c r="L18" s="159">
        <f ca="1"/>
        <v>6</v>
      </c>
      <c r="M18" s="159">
        <f ca="1"/>
        <v>153</v>
      </c>
      <c r="N18" s="159">
        <f ca="1"/>
        <v>11</v>
      </c>
      <c r="O18" s="160">
        <f ca="1"/>
        <v>13.91</v>
      </c>
      <c r="P18" s="161">
        <f ca="1"/>
        <v>22.90909090909091</v>
      </c>
      <c r="Q18" s="161">
        <f ca="1"/>
        <v>3.6428571428571428</v>
      </c>
      <c r="R18" s="161" t="str">
        <f ca="1"/>
        <v>3-22</v>
      </c>
      <c r="T18" s="155">
        <f ca="1"/>
        <v>9</v>
      </c>
      <c r="U18" s="155">
        <f ca="1"/>
        <v>43</v>
      </c>
      <c r="V18" s="157" t="str">
        <f ca="1"/>
        <v>*</v>
      </c>
      <c r="W18" s="155" t="str">
        <f ca="1"/>
        <v>De S</v>
      </c>
      <c r="X18" s="155">
        <f ca="1"/>
        <v>50</v>
      </c>
      <c r="Y18" s="157" t="str">
        <f ca="1"/>
        <v>*</v>
      </c>
      <c r="Z18" s="155" t="str">
        <f ca="1"/>
        <v>Jain A</v>
      </c>
      <c r="AA18" s="155">
        <f ca="1"/>
        <v>9</v>
      </c>
      <c r="AB18" s="157" t="str">
        <f ca="1"/>
        <v>*</v>
      </c>
      <c r="AC18" s="155" t="str">
        <f ca="1"/>
        <v>Riverside</v>
      </c>
      <c r="AD18" s="168">
        <f ca="1"/>
        <v>45053</v>
      </c>
      <c r="AE18" s="155">
        <v>1</v>
      </c>
      <c r="AF18" s="155" t="s">
        <v>278</v>
      </c>
      <c r="AG18" s="155" t="s">
        <v>391</v>
      </c>
      <c r="AI18" s="155">
        <v>0</v>
      </c>
      <c r="AJ18" s="155" t="s">
        <v>194</v>
      </c>
      <c r="AL18" s="155">
        <v>6</v>
      </c>
      <c r="AM18" s="155" t="s">
        <v>379</v>
      </c>
      <c r="AO18" s="155">
        <v>1</v>
      </c>
      <c r="AP18" s="155" t="s">
        <v>235</v>
      </c>
    </row>
    <row r="19" spans="1:42" x14ac:dyDescent="0.2">
      <c r="A19" s="159">
        <v>17</v>
      </c>
      <c r="B19" s="159" t="e">
        <f ca="1"/>
        <v>#N/A</v>
      </c>
      <c r="C19" s="159" t="e">
        <f ca="1"/>
        <v>#N/A</v>
      </c>
      <c r="D19" s="159" t="e">
        <f ca="1"/>
        <v>#N/A</v>
      </c>
      <c r="E19" s="159" t="e">
        <f ca="1"/>
        <v>#N/A</v>
      </c>
      <c r="F19" s="159" t="e">
        <f ca="1"/>
        <v>#N/A</v>
      </c>
      <c r="G19" s="160" t="e">
        <f ca="1"/>
        <v>#N/A</v>
      </c>
      <c r="I19" s="155">
        <v>17</v>
      </c>
      <c r="J19" s="158" t="str">
        <f ca="1"/>
        <v>Nair S</v>
      </c>
      <c r="K19" s="159">
        <f ca="1"/>
        <v>42</v>
      </c>
      <c r="L19" s="159">
        <f ca="1"/>
        <v>6</v>
      </c>
      <c r="M19" s="159">
        <f ca="1"/>
        <v>153</v>
      </c>
      <c r="N19" s="159">
        <f ca="1"/>
        <v>11</v>
      </c>
      <c r="O19" s="160">
        <f ca="1"/>
        <v>13.91</v>
      </c>
      <c r="P19" s="161">
        <f ca="1"/>
        <v>22.90909090909091</v>
      </c>
      <c r="Q19" s="161">
        <f ca="1"/>
        <v>3.6428571428571428</v>
      </c>
      <c r="R19" s="161" t="str">
        <f ca="1"/>
        <v>3-22</v>
      </c>
      <c r="T19" s="155" t="e">
        <f ca="1"/>
        <v>#N/A</v>
      </c>
      <c r="U19" s="155" t="e">
        <f ca="1"/>
        <v>#N/A</v>
      </c>
      <c r="V19" s="157" t="e">
        <f ca="1"/>
        <v>#N/A</v>
      </c>
      <c r="W19" s="155" t="e">
        <f ca="1"/>
        <v>#N/A</v>
      </c>
      <c r="X19" s="155" t="e">
        <f ca="1"/>
        <v>#N/A</v>
      </c>
      <c r="Y19" s="157" t="e">
        <f ca="1"/>
        <v>#N/A</v>
      </c>
      <c r="Z19" s="155" t="e">
        <f ca="1"/>
        <v>#N/A</v>
      </c>
      <c r="AA19" s="155" t="e">
        <f ca="1"/>
        <v>#N/A</v>
      </c>
      <c r="AB19" s="157" t="e">
        <f ca="1"/>
        <v>#N/A</v>
      </c>
      <c r="AC19" s="155" t="e">
        <f ca="1"/>
        <v>#N/A</v>
      </c>
      <c r="AD19" s="168" t="e">
        <f ca="1"/>
        <v>#N/A</v>
      </c>
      <c r="AE19" s="155">
        <v>1</v>
      </c>
      <c r="AF19" s="155" t="s">
        <v>278</v>
      </c>
      <c r="AG19" s="155" t="s">
        <v>201</v>
      </c>
      <c r="AI19" s="155">
        <v>0</v>
      </c>
      <c r="AJ19" s="155" t="s">
        <v>194</v>
      </c>
      <c r="AL19" s="155">
        <v>5</v>
      </c>
      <c r="AM19" s="155" t="s">
        <v>386</v>
      </c>
      <c r="AO19" s="155">
        <v>0</v>
      </c>
      <c r="AP19" s="155" t="s">
        <v>194</v>
      </c>
    </row>
    <row r="20" spans="1:42" x14ac:dyDescent="0.2">
      <c r="A20" s="159">
        <v>18</v>
      </c>
      <c r="B20" s="159" t="e">
        <f ca="1"/>
        <v>#N/A</v>
      </c>
      <c r="C20" s="159" t="e">
        <f ca="1"/>
        <v>#N/A</v>
      </c>
      <c r="D20" s="159" t="e">
        <f ca="1"/>
        <v>#N/A</v>
      </c>
      <c r="E20" s="159" t="e">
        <f ca="1"/>
        <v>#N/A</v>
      </c>
      <c r="F20" s="159" t="e">
        <f ca="1"/>
        <v>#N/A</v>
      </c>
      <c r="G20" s="160" t="e">
        <f ca="1"/>
        <v>#N/A</v>
      </c>
      <c r="I20" s="155">
        <v>18</v>
      </c>
      <c r="J20" s="158" t="str">
        <f ca="1"/>
        <v>Nair S</v>
      </c>
      <c r="K20" s="159">
        <f ca="1"/>
        <v>42</v>
      </c>
      <c r="L20" s="159">
        <f ca="1"/>
        <v>6</v>
      </c>
      <c r="M20" s="159">
        <f ca="1"/>
        <v>153</v>
      </c>
      <c r="N20" s="159">
        <f ca="1"/>
        <v>11</v>
      </c>
      <c r="O20" s="160">
        <f ca="1"/>
        <v>13.91</v>
      </c>
      <c r="P20" s="161">
        <f ca="1"/>
        <v>22.90909090909091</v>
      </c>
      <c r="Q20" s="161">
        <f ca="1"/>
        <v>3.6428571428571428</v>
      </c>
      <c r="R20" s="161" t="str">
        <f ca="1"/>
        <v>3-22</v>
      </c>
      <c r="T20" s="155" t="e">
        <f ca="1"/>
        <v>#N/A</v>
      </c>
      <c r="U20" s="155" t="e">
        <f ca="1"/>
        <v>#N/A</v>
      </c>
      <c r="V20" s="157" t="e">
        <f ca="1"/>
        <v>#N/A</v>
      </c>
      <c r="W20" s="155" t="e">
        <f ca="1"/>
        <v>#N/A</v>
      </c>
      <c r="X20" s="155" t="e">
        <f ca="1"/>
        <v>#N/A</v>
      </c>
      <c r="Y20" s="157" t="e">
        <f ca="1"/>
        <v>#N/A</v>
      </c>
      <c r="Z20" s="155" t="e">
        <f ca="1"/>
        <v>#N/A</v>
      </c>
      <c r="AA20" s="155" t="e">
        <f ca="1"/>
        <v>#N/A</v>
      </c>
      <c r="AB20" s="157" t="e">
        <f ca="1"/>
        <v>#N/A</v>
      </c>
      <c r="AC20" s="155" t="e">
        <f ca="1"/>
        <v>#N/A</v>
      </c>
      <c r="AD20" s="168" t="e">
        <f ca="1"/>
        <v>#N/A</v>
      </c>
      <c r="AE20" s="155">
        <v>1</v>
      </c>
      <c r="AF20" s="155" t="s">
        <v>445</v>
      </c>
      <c r="AG20" s="155" t="s">
        <v>244</v>
      </c>
      <c r="AI20" s="155">
        <v>0</v>
      </c>
      <c r="AJ20" s="155" t="s">
        <v>194</v>
      </c>
      <c r="AL20" s="155">
        <v>4</v>
      </c>
      <c r="AM20" s="155" t="s">
        <v>262</v>
      </c>
      <c r="AO20" s="155">
        <v>0</v>
      </c>
      <c r="AP20" s="155" t="s">
        <v>194</v>
      </c>
    </row>
    <row r="21" spans="1:42" x14ac:dyDescent="0.2">
      <c r="A21" s="159">
        <v>19</v>
      </c>
      <c r="B21" s="159" t="e">
        <f ca="1"/>
        <v>#N/A</v>
      </c>
      <c r="C21" s="159" t="e">
        <f ca="1"/>
        <v>#N/A</v>
      </c>
      <c r="D21" s="159" t="e">
        <f ca="1"/>
        <v>#N/A</v>
      </c>
      <c r="E21" s="159" t="e">
        <f ca="1"/>
        <v>#N/A</v>
      </c>
      <c r="F21" s="159" t="e">
        <f ca="1"/>
        <v>#N/A</v>
      </c>
      <c r="G21" s="160" t="e">
        <f ca="1"/>
        <v>#N/A</v>
      </c>
      <c r="I21" s="155">
        <v>19</v>
      </c>
      <c r="J21" s="158" t="str">
        <f ca="1"/>
        <v>Nair S</v>
      </c>
      <c r="K21" s="159">
        <f ca="1"/>
        <v>42</v>
      </c>
      <c r="L21" s="159">
        <f ca="1"/>
        <v>6</v>
      </c>
      <c r="M21" s="159">
        <f ca="1"/>
        <v>153</v>
      </c>
      <c r="N21" s="159">
        <f ca="1"/>
        <v>11</v>
      </c>
      <c r="O21" s="160">
        <f ca="1"/>
        <v>13.91</v>
      </c>
      <c r="P21" s="161">
        <f ca="1"/>
        <v>22.90909090909091</v>
      </c>
      <c r="Q21" s="161">
        <f ca="1"/>
        <v>3.6428571428571428</v>
      </c>
      <c r="R21" s="161" t="str">
        <f ca="1"/>
        <v>3-22</v>
      </c>
      <c r="T21" s="155" t="e">
        <f ca="1"/>
        <v>#N/A</v>
      </c>
      <c r="U21" s="155" t="e">
        <f ca="1"/>
        <v>#N/A</v>
      </c>
      <c r="V21" s="157" t="e">
        <f ca="1"/>
        <v>#N/A</v>
      </c>
      <c r="W21" s="155" t="e">
        <f ca="1"/>
        <v>#N/A</v>
      </c>
      <c r="X21" s="155" t="e">
        <f ca="1"/>
        <v>#N/A</v>
      </c>
      <c r="Y21" s="157" t="e">
        <f ca="1"/>
        <v>#N/A</v>
      </c>
      <c r="Z21" s="155" t="e">
        <f ca="1"/>
        <v>#N/A</v>
      </c>
      <c r="AA21" s="155" t="e">
        <f ca="1"/>
        <v>#N/A</v>
      </c>
      <c r="AB21" s="157" t="e">
        <f ca="1"/>
        <v>#N/A</v>
      </c>
      <c r="AC21" s="155" t="e">
        <f ca="1"/>
        <v>#N/A</v>
      </c>
      <c r="AD21" s="168" t="e">
        <f ca="1"/>
        <v>#N/A</v>
      </c>
      <c r="AE21" s="155">
        <v>1</v>
      </c>
      <c r="AF21" s="155" t="s">
        <v>278</v>
      </c>
      <c r="AG21" s="155" t="s">
        <v>305</v>
      </c>
      <c r="AI21" s="155">
        <v>0</v>
      </c>
      <c r="AJ21" s="155" t="s">
        <v>194</v>
      </c>
      <c r="AL21" s="155">
        <v>4</v>
      </c>
      <c r="AM21" s="155" t="s">
        <v>217</v>
      </c>
      <c r="AO21" s="155">
        <v>0</v>
      </c>
      <c r="AP21" s="155" t="s">
        <v>194</v>
      </c>
    </row>
    <row r="22" spans="1:42" x14ac:dyDescent="0.2">
      <c r="A22" s="159">
        <v>20</v>
      </c>
      <c r="B22" s="159" t="e">
        <f ca="1"/>
        <v>#N/A</v>
      </c>
      <c r="C22" s="159" t="e">
        <f ca="1"/>
        <v>#N/A</v>
      </c>
      <c r="D22" s="159" t="e">
        <f ca="1"/>
        <v>#N/A</v>
      </c>
      <c r="E22" s="159" t="e">
        <f ca="1"/>
        <v>#N/A</v>
      </c>
      <c r="F22" s="159" t="e">
        <f ca="1"/>
        <v>#N/A</v>
      </c>
      <c r="G22" s="160" t="e">
        <f ca="1"/>
        <v>#N/A</v>
      </c>
      <c r="I22" s="155">
        <v>20</v>
      </c>
      <c r="J22" s="158" t="str">
        <f ca="1"/>
        <v>Nair S</v>
      </c>
      <c r="K22" s="159">
        <f ca="1"/>
        <v>42</v>
      </c>
      <c r="L22" s="159">
        <f ca="1"/>
        <v>6</v>
      </c>
      <c r="M22" s="159">
        <f ca="1"/>
        <v>153</v>
      </c>
      <c r="N22" s="159">
        <f ca="1"/>
        <v>11</v>
      </c>
      <c r="O22" s="160">
        <f ca="1"/>
        <v>13.91</v>
      </c>
      <c r="P22" s="161">
        <f ca="1"/>
        <v>22.90909090909091</v>
      </c>
      <c r="Q22" s="161">
        <f ca="1"/>
        <v>3.6428571428571428</v>
      </c>
      <c r="R22" s="161" t="str">
        <f ca="1"/>
        <v>3-22</v>
      </c>
      <c r="T22" s="155" t="e">
        <f ca="1"/>
        <v>#N/A</v>
      </c>
      <c r="U22" s="155" t="e">
        <f ca="1"/>
        <v>#N/A</v>
      </c>
      <c r="V22" s="157" t="e">
        <f ca="1"/>
        <v>#N/A</v>
      </c>
      <c r="W22" s="155" t="e">
        <f ca="1"/>
        <v>#N/A</v>
      </c>
      <c r="X22" s="155" t="e">
        <f ca="1"/>
        <v>#N/A</v>
      </c>
      <c r="Y22" s="157" t="e">
        <f ca="1"/>
        <v>#N/A</v>
      </c>
      <c r="Z22" s="155" t="e">
        <f ca="1"/>
        <v>#N/A</v>
      </c>
      <c r="AA22" s="155" t="e">
        <f ca="1"/>
        <v>#N/A</v>
      </c>
      <c r="AB22" s="157" t="e">
        <f ca="1"/>
        <v>#N/A</v>
      </c>
      <c r="AC22" s="155" t="e">
        <f ca="1"/>
        <v>#N/A</v>
      </c>
      <c r="AD22" s="168" t="e">
        <f ca="1"/>
        <v>#N/A</v>
      </c>
      <c r="AE22" s="155">
        <v>0</v>
      </c>
      <c r="AF22" s="159" t="s">
        <v>194</v>
      </c>
      <c r="AG22" s="155" t="s">
        <v>194</v>
      </c>
      <c r="AI22" s="155">
        <v>0</v>
      </c>
      <c r="AJ22" s="155" t="s">
        <v>194</v>
      </c>
      <c r="AL22" s="155">
        <v>4</v>
      </c>
      <c r="AM22" s="155" t="s">
        <v>205</v>
      </c>
      <c r="AO22" s="155">
        <v>0</v>
      </c>
      <c r="AP22" s="155" t="s">
        <v>194</v>
      </c>
    </row>
    <row r="23" spans="1:42" x14ac:dyDescent="0.2">
      <c r="A23" s="159">
        <v>21</v>
      </c>
      <c r="B23" s="159" t="e">
        <f ca="1"/>
        <v>#N/A</v>
      </c>
      <c r="C23" s="159" t="e">
        <f ca="1"/>
        <v>#N/A</v>
      </c>
      <c r="D23" s="159" t="e">
        <f ca="1"/>
        <v>#N/A</v>
      </c>
      <c r="E23" s="159" t="e">
        <f ca="1"/>
        <v>#N/A</v>
      </c>
      <c r="F23" s="159" t="e">
        <f ca="1"/>
        <v>#N/A</v>
      </c>
      <c r="G23" s="160" t="e">
        <f ca="1"/>
        <v>#N/A</v>
      </c>
      <c r="I23" s="155">
        <v>21</v>
      </c>
      <c r="J23" s="158" t="str">
        <f ca="1"/>
        <v>Nair S</v>
      </c>
      <c r="K23" s="159">
        <f ca="1"/>
        <v>42</v>
      </c>
      <c r="L23" s="159">
        <f ca="1"/>
        <v>6</v>
      </c>
      <c r="M23" s="159">
        <f ca="1"/>
        <v>153</v>
      </c>
      <c r="N23" s="159">
        <f ca="1"/>
        <v>11</v>
      </c>
      <c r="O23" s="160">
        <f ca="1"/>
        <v>13.91</v>
      </c>
      <c r="P23" s="161">
        <f ca="1"/>
        <v>22.90909090909091</v>
      </c>
      <c r="Q23" s="161">
        <f ca="1"/>
        <v>3.6428571428571428</v>
      </c>
      <c r="R23" s="161" t="str">
        <f ca="1"/>
        <v>3-22</v>
      </c>
      <c r="T23" s="155" t="e">
        <f ca="1"/>
        <v>#N/A</v>
      </c>
      <c r="U23" s="155" t="e">
        <f ca="1"/>
        <v>#N/A</v>
      </c>
      <c r="V23" s="157" t="e">
        <f ca="1"/>
        <v>#N/A</v>
      </c>
      <c r="W23" s="155" t="e">
        <f ca="1"/>
        <v>#N/A</v>
      </c>
      <c r="X23" s="155" t="e">
        <f ca="1"/>
        <v>#N/A</v>
      </c>
      <c r="Y23" s="157" t="e">
        <f ca="1"/>
        <v>#N/A</v>
      </c>
      <c r="Z23" s="155" t="e">
        <f ca="1"/>
        <v>#N/A</v>
      </c>
      <c r="AA23" s="155" t="e">
        <f ca="1"/>
        <v>#N/A</v>
      </c>
      <c r="AB23" s="157" t="e">
        <f ca="1"/>
        <v>#N/A</v>
      </c>
      <c r="AC23" s="155" t="e">
        <f ca="1"/>
        <v>#N/A</v>
      </c>
      <c r="AD23" s="168" t="e">
        <f ca="1"/>
        <v>#N/A</v>
      </c>
      <c r="AE23" s="155">
        <v>0</v>
      </c>
      <c r="AF23" s="159" t="s">
        <v>194</v>
      </c>
      <c r="AG23" s="155" t="s">
        <v>194</v>
      </c>
      <c r="AI23" s="155">
        <v>0</v>
      </c>
      <c r="AJ23" s="155" t="s">
        <v>194</v>
      </c>
      <c r="AL23" s="155">
        <v>3</v>
      </c>
      <c r="AM23" s="155" t="s">
        <v>223</v>
      </c>
      <c r="AO23" s="155">
        <v>0</v>
      </c>
      <c r="AP23" s="155" t="s">
        <v>194</v>
      </c>
    </row>
    <row r="24" spans="1:42" x14ac:dyDescent="0.2">
      <c r="A24" s="159">
        <v>22</v>
      </c>
      <c r="B24" s="159" t="e">
        <f ca="1"/>
        <v>#N/A</v>
      </c>
      <c r="C24" s="159" t="e">
        <f ca="1"/>
        <v>#N/A</v>
      </c>
      <c r="D24" s="159" t="e">
        <f ca="1"/>
        <v>#N/A</v>
      </c>
      <c r="E24" s="159" t="e">
        <f ca="1"/>
        <v>#N/A</v>
      </c>
      <c r="F24" s="159" t="e">
        <f ca="1"/>
        <v>#N/A</v>
      </c>
      <c r="G24" s="160" t="e">
        <f ca="1"/>
        <v>#N/A</v>
      </c>
      <c r="I24" s="155">
        <v>22</v>
      </c>
      <c r="J24" s="158" t="str">
        <f ca="1"/>
        <v>Nair S</v>
      </c>
      <c r="K24" s="159">
        <f ca="1"/>
        <v>42</v>
      </c>
      <c r="L24" s="159">
        <f ca="1"/>
        <v>6</v>
      </c>
      <c r="M24" s="159">
        <f ca="1"/>
        <v>153</v>
      </c>
      <c r="N24" s="159">
        <f ca="1"/>
        <v>11</v>
      </c>
      <c r="O24" s="160">
        <f ca="1"/>
        <v>13.91</v>
      </c>
      <c r="P24" s="161">
        <f ca="1"/>
        <v>22.90909090909091</v>
      </c>
      <c r="Q24" s="161">
        <f ca="1"/>
        <v>3.6428571428571428</v>
      </c>
      <c r="R24" s="161" t="str">
        <f ca="1"/>
        <v>3-22</v>
      </c>
      <c r="T24" s="155" t="e">
        <f ca="1"/>
        <v>#N/A</v>
      </c>
      <c r="U24" s="155" t="e">
        <f ca="1"/>
        <v>#N/A</v>
      </c>
      <c r="V24" s="157" t="e">
        <f ca="1"/>
        <v>#N/A</v>
      </c>
      <c r="W24" s="155" t="e">
        <f ca="1"/>
        <v>#N/A</v>
      </c>
      <c r="X24" s="155" t="e">
        <f ca="1"/>
        <v>#N/A</v>
      </c>
      <c r="Y24" s="157" t="e">
        <f ca="1"/>
        <v>#N/A</v>
      </c>
      <c r="Z24" s="155" t="e">
        <f ca="1"/>
        <v>#N/A</v>
      </c>
      <c r="AA24" s="155" t="e">
        <f ca="1"/>
        <v>#N/A</v>
      </c>
      <c r="AB24" s="157" t="e">
        <f ca="1"/>
        <v>#N/A</v>
      </c>
      <c r="AC24" s="155" t="e">
        <f ca="1"/>
        <v>#N/A</v>
      </c>
      <c r="AD24" s="168" t="e">
        <f ca="1"/>
        <v>#N/A</v>
      </c>
      <c r="AE24" s="155">
        <v>0</v>
      </c>
      <c r="AF24" s="159" t="s">
        <v>194</v>
      </c>
      <c r="AG24" s="155" t="s">
        <v>194</v>
      </c>
      <c r="AI24" s="155">
        <v>0</v>
      </c>
      <c r="AJ24" s="155" t="s">
        <v>194</v>
      </c>
      <c r="AL24" s="155">
        <v>2</v>
      </c>
      <c r="AM24" s="155" t="s">
        <v>346</v>
      </c>
      <c r="AO24" s="155">
        <v>0</v>
      </c>
      <c r="AP24" s="155" t="s">
        <v>194</v>
      </c>
    </row>
    <row r="25" spans="1:42" x14ac:dyDescent="0.2">
      <c r="A25" s="159">
        <v>23</v>
      </c>
      <c r="B25" s="159" t="e">
        <f ca="1"/>
        <v>#N/A</v>
      </c>
      <c r="C25" s="159" t="e">
        <f ca="1"/>
        <v>#N/A</v>
      </c>
      <c r="D25" s="159" t="e">
        <f ca="1"/>
        <v>#N/A</v>
      </c>
      <c r="E25" s="159" t="e">
        <f ca="1"/>
        <v>#N/A</v>
      </c>
      <c r="F25" s="159" t="e">
        <f ca="1"/>
        <v>#N/A</v>
      </c>
      <c r="G25" s="160" t="e">
        <f ca="1"/>
        <v>#N/A</v>
      </c>
      <c r="I25" s="155">
        <v>23</v>
      </c>
      <c r="J25" s="158" t="str">
        <f ca="1"/>
        <v>Nair S</v>
      </c>
      <c r="K25" s="159">
        <f ca="1"/>
        <v>42</v>
      </c>
      <c r="L25" s="159">
        <f ca="1"/>
        <v>6</v>
      </c>
      <c r="M25" s="159">
        <f ca="1"/>
        <v>153</v>
      </c>
      <c r="N25" s="159">
        <f ca="1"/>
        <v>11</v>
      </c>
      <c r="O25" s="160">
        <f ca="1"/>
        <v>13.91</v>
      </c>
      <c r="P25" s="161">
        <f ca="1"/>
        <v>22.90909090909091</v>
      </c>
      <c r="Q25" s="161">
        <f ca="1"/>
        <v>3.6428571428571428</v>
      </c>
      <c r="R25" s="161" t="str">
        <f ca="1"/>
        <v>3-22</v>
      </c>
      <c r="T25" s="155" t="e">
        <f ca="1"/>
        <v>#N/A</v>
      </c>
      <c r="U25" s="155" t="e">
        <f ca="1"/>
        <v>#N/A</v>
      </c>
      <c r="V25" s="157" t="e">
        <f ca="1"/>
        <v>#N/A</v>
      </c>
      <c r="W25" s="155" t="e">
        <f ca="1"/>
        <v>#N/A</v>
      </c>
      <c r="X25" s="155" t="e">
        <f ca="1"/>
        <v>#N/A</v>
      </c>
      <c r="Y25" s="157" t="e">
        <f ca="1"/>
        <v>#N/A</v>
      </c>
      <c r="Z25" s="155" t="e">
        <f ca="1"/>
        <v>#N/A</v>
      </c>
      <c r="AA25" s="155" t="e">
        <f ca="1"/>
        <v>#N/A</v>
      </c>
      <c r="AB25" s="157" t="e">
        <f ca="1"/>
        <v>#N/A</v>
      </c>
      <c r="AC25" s="155" t="e">
        <f ca="1"/>
        <v>#N/A</v>
      </c>
      <c r="AD25" s="168" t="e">
        <f ca="1"/>
        <v>#N/A</v>
      </c>
      <c r="AE25" s="155">
        <v>0</v>
      </c>
      <c r="AF25" s="159" t="s">
        <v>194</v>
      </c>
      <c r="AG25" s="155" t="s">
        <v>194</v>
      </c>
      <c r="AI25" s="155">
        <v>0</v>
      </c>
      <c r="AJ25" s="155" t="s">
        <v>194</v>
      </c>
      <c r="AL25" s="155">
        <v>2</v>
      </c>
      <c r="AM25" s="155" t="s">
        <v>311</v>
      </c>
      <c r="AO25" s="155">
        <v>0</v>
      </c>
      <c r="AP25" s="155" t="s">
        <v>194</v>
      </c>
    </row>
    <row r="26" spans="1:42" x14ac:dyDescent="0.2">
      <c r="A26" s="159">
        <v>24</v>
      </c>
      <c r="B26" s="159" t="e">
        <f ca="1"/>
        <v>#N/A</v>
      </c>
      <c r="C26" s="159" t="e">
        <f ca="1"/>
        <v>#N/A</v>
      </c>
      <c r="D26" s="159" t="e">
        <f ca="1"/>
        <v>#N/A</v>
      </c>
      <c r="E26" s="159" t="e">
        <f ca="1"/>
        <v>#N/A</v>
      </c>
      <c r="F26" s="159" t="e">
        <f ca="1"/>
        <v>#N/A</v>
      </c>
      <c r="G26" s="160" t="e">
        <f ca="1"/>
        <v>#N/A</v>
      </c>
      <c r="I26" s="155">
        <v>24</v>
      </c>
      <c r="J26" s="158" t="str">
        <f ca="1"/>
        <v>Nair S</v>
      </c>
      <c r="K26" s="159">
        <f ca="1"/>
        <v>42</v>
      </c>
      <c r="L26" s="159">
        <f ca="1"/>
        <v>6</v>
      </c>
      <c r="M26" s="159">
        <f ca="1"/>
        <v>153</v>
      </c>
      <c r="N26" s="159">
        <f ca="1"/>
        <v>11</v>
      </c>
      <c r="O26" s="160">
        <f ca="1"/>
        <v>13.91</v>
      </c>
      <c r="P26" s="161">
        <f ca="1"/>
        <v>22.90909090909091</v>
      </c>
      <c r="Q26" s="161">
        <f ca="1"/>
        <v>3.6428571428571428</v>
      </c>
      <c r="R26" s="161" t="str">
        <f ca="1"/>
        <v>3-22</v>
      </c>
      <c r="T26" s="155" t="e">
        <f ca="1"/>
        <v>#N/A</v>
      </c>
      <c r="U26" s="155" t="e">
        <f ca="1"/>
        <v>#N/A</v>
      </c>
      <c r="V26" s="157" t="e">
        <f ca="1"/>
        <v>#N/A</v>
      </c>
      <c r="W26" s="155" t="e">
        <f ca="1"/>
        <v>#N/A</v>
      </c>
      <c r="X26" s="155" t="e">
        <f ca="1"/>
        <v>#N/A</v>
      </c>
      <c r="Y26" s="157" t="e">
        <f ca="1"/>
        <v>#N/A</v>
      </c>
      <c r="Z26" s="155" t="e">
        <f ca="1"/>
        <v>#N/A</v>
      </c>
      <c r="AA26" s="155" t="e">
        <f ca="1"/>
        <v>#N/A</v>
      </c>
      <c r="AB26" s="157" t="e">
        <f ca="1"/>
        <v>#N/A</v>
      </c>
      <c r="AC26" s="155" t="e">
        <f ca="1"/>
        <v>#N/A</v>
      </c>
      <c r="AD26" s="168" t="e">
        <f ca="1"/>
        <v>#N/A</v>
      </c>
      <c r="AE26" s="155">
        <v>0</v>
      </c>
      <c r="AF26" s="159" t="s">
        <v>194</v>
      </c>
      <c r="AG26" s="155" t="s">
        <v>194</v>
      </c>
      <c r="AI26" s="155">
        <v>0</v>
      </c>
      <c r="AJ26" s="155" t="s">
        <v>194</v>
      </c>
      <c r="AL26" s="155">
        <v>1</v>
      </c>
      <c r="AM26" s="155" t="s">
        <v>377</v>
      </c>
      <c r="AO26" s="155">
        <v>0</v>
      </c>
      <c r="AP26" s="155" t="s">
        <v>194</v>
      </c>
    </row>
    <row r="27" spans="1:42" x14ac:dyDescent="0.2">
      <c r="A27" s="159">
        <v>25</v>
      </c>
      <c r="B27" s="159" t="e">
        <f ca="1"/>
        <v>#N/A</v>
      </c>
      <c r="C27" s="159" t="e">
        <f ca="1"/>
        <v>#N/A</v>
      </c>
      <c r="D27" s="159" t="e">
        <f ca="1"/>
        <v>#N/A</v>
      </c>
      <c r="E27" s="159" t="e">
        <f ca="1"/>
        <v>#N/A</v>
      </c>
      <c r="F27" s="159" t="e">
        <f ca="1"/>
        <v>#N/A</v>
      </c>
      <c r="G27" s="160" t="e">
        <f ca="1"/>
        <v>#N/A</v>
      </c>
      <c r="I27" s="155">
        <v>25</v>
      </c>
      <c r="J27" s="158" t="str">
        <f ca="1"/>
        <v>Nair S</v>
      </c>
      <c r="K27" s="159">
        <f ca="1"/>
        <v>42</v>
      </c>
      <c r="L27" s="159">
        <f ca="1"/>
        <v>6</v>
      </c>
      <c r="M27" s="159">
        <f ca="1"/>
        <v>153</v>
      </c>
      <c r="N27" s="159">
        <f ca="1"/>
        <v>11</v>
      </c>
      <c r="O27" s="160">
        <f ca="1"/>
        <v>13.91</v>
      </c>
      <c r="P27" s="161">
        <f ca="1"/>
        <v>22.90909090909091</v>
      </c>
      <c r="Q27" s="161">
        <f ca="1"/>
        <v>3.6428571428571428</v>
      </c>
      <c r="R27" s="161" t="str">
        <f ca="1"/>
        <v>3-22</v>
      </c>
      <c r="AE27" s="155">
        <v>0</v>
      </c>
      <c r="AF27" s="159" t="s">
        <v>194</v>
      </c>
      <c r="AG27" s="155" t="s">
        <v>194</v>
      </c>
      <c r="AI27" s="155">
        <v>0</v>
      </c>
      <c r="AJ27" s="155" t="s">
        <v>194</v>
      </c>
      <c r="AL27" s="155">
        <v>1</v>
      </c>
      <c r="AM27" s="155" t="s">
        <v>272</v>
      </c>
      <c r="AO27" s="155">
        <v>0</v>
      </c>
      <c r="AP27" s="155" t="s">
        <v>194</v>
      </c>
    </row>
    <row r="28" spans="1:42" x14ac:dyDescent="0.2">
      <c r="A28" s="159">
        <v>26</v>
      </c>
      <c r="B28" s="159" t="e">
        <f ca="1"/>
        <v>#N/A</v>
      </c>
      <c r="C28" s="159" t="e">
        <f ca="1"/>
        <v>#N/A</v>
      </c>
      <c r="D28" s="159" t="e">
        <f ca="1"/>
        <v>#N/A</v>
      </c>
      <c r="E28" s="159" t="e">
        <f ca="1"/>
        <v>#N/A</v>
      </c>
      <c r="F28" s="159" t="e">
        <f ca="1"/>
        <v>#N/A</v>
      </c>
      <c r="G28" s="160" t="e">
        <f ca="1"/>
        <v>#N/A</v>
      </c>
      <c r="I28" s="155">
        <v>26</v>
      </c>
      <c r="J28" s="158" t="str">
        <f ca="1"/>
        <v>Nair S</v>
      </c>
      <c r="K28" s="159">
        <f ca="1"/>
        <v>42</v>
      </c>
      <c r="L28" s="159">
        <f ca="1"/>
        <v>6</v>
      </c>
      <c r="M28" s="159">
        <f ca="1"/>
        <v>153</v>
      </c>
      <c r="N28" s="159">
        <f ca="1"/>
        <v>11</v>
      </c>
      <c r="O28" s="160">
        <f ca="1"/>
        <v>13.91</v>
      </c>
      <c r="P28" s="161">
        <f ca="1"/>
        <v>22.90909090909091</v>
      </c>
      <c r="Q28" s="161">
        <f ca="1"/>
        <v>3.6428571428571428</v>
      </c>
      <c r="R28" s="161" t="str">
        <f ca="1"/>
        <v>3-22</v>
      </c>
      <c r="AE28" s="155">
        <v>0</v>
      </c>
      <c r="AF28" s="159" t="s">
        <v>194</v>
      </c>
      <c r="AG28" s="155" t="s">
        <v>194</v>
      </c>
      <c r="AI28" s="155">
        <v>0</v>
      </c>
      <c r="AJ28" s="155" t="s">
        <v>194</v>
      </c>
      <c r="AL28" s="155">
        <v>1</v>
      </c>
      <c r="AM28" s="155" t="s">
        <v>360</v>
      </c>
      <c r="AO28" s="155">
        <v>0</v>
      </c>
      <c r="AP28" s="155" t="s">
        <v>194</v>
      </c>
    </row>
    <row r="29" spans="1:42" x14ac:dyDescent="0.2">
      <c r="A29" s="159">
        <v>27</v>
      </c>
      <c r="B29" s="159" t="e">
        <f ca="1"/>
        <v>#N/A</v>
      </c>
      <c r="C29" s="159" t="e">
        <f ca="1"/>
        <v>#N/A</v>
      </c>
      <c r="D29" s="159" t="e">
        <f ca="1"/>
        <v>#N/A</v>
      </c>
      <c r="E29" s="159" t="e">
        <f ca="1"/>
        <v>#N/A</v>
      </c>
      <c r="F29" s="159" t="e">
        <f ca="1"/>
        <v>#N/A</v>
      </c>
      <c r="G29" s="160" t="e">
        <f ca="1"/>
        <v>#N/A</v>
      </c>
      <c r="I29" s="155">
        <v>27</v>
      </c>
      <c r="J29" s="158" t="str">
        <f ca="1"/>
        <v>Nair S</v>
      </c>
      <c r="K29" s="159">
        <f ca="1"/>
        <v>42</v>
      </c>
      <c r="L29" s="159">
        <f ca="1"/>
        <v>6</v>
      </c>
      <c r="M29" s="159">
        <f ca="1"/>
        <v>153</v>
      </c>
      <c r="N29" s="159">
        <f ca="1"/>
        <v>11</v>
      </c>
      <c r="O29" s="160">
        <f ca="1"/>
        <v>13.91</v>
      </c>
      <c r="P29" s="161">
        <f ca="1"/>
        <v>22.90909090909091</v>
      </c>
      <c r="Q29" s="161">
        <f ca="1"/>
        <v>3.6428571428571428</v>
      </c>
      <c r="R29" s="161" t="str">
        <f ca="1"/>
        <v>3-22</v>
      </c>
      <c r="AE29" s="155">
        <v>0</v>
      </c>
      <c r="AF29" s="159" t="s">
        <v>194</v>
      </c>
      <c r="AG29" s="155" t="s">
        <v>194</v>
      </c>
      <c r="AI29" s="155">
        <v>0</v>
      </c>
      <c r="AJ29" s="155" t="s">
        <v>194</v>
      </c>
      <c r="AL29" s="155">
        <v>1</v>
      </c>
      <c r="AM29" s="155" t="s">
        <v>391</v>
      </c>
      <c r="AO29" s="155">
        <v>0</v>
      </c>
      <c r="AP29" s="155" t="s">
        <v>194</v>
      </c>
    </row>
    <row r="30" spans="1:42" x14ac:dyDescent="0.2">
      <c r="A30" s="159">
        <v>28</v>
      </c>
      <c r="B30" s="159" t="e">
        <f ca="1"/>
        <v>#N/A</v>
      </c>
      <c r="C30" s="159" t="e">
        <f ca="1"/>
        <v>#N/A</v>
      </c>
      <c r="D30" s="159" t="e">
        <f ca="1"/>
        <v>#N/A</v>
      </c>
      <c r="E30" s="159" t="e">
        <f ca="1"/>
        <v>#N/A</v>
      </c>
      <c r="F30" s="159" t="e">
        <f ca="1"/>
        <v>#N/A</v>
      </c>
      <c r="G30" s="160" t="e">
        <f ca="1"/>
        <v>#N/A</v>
      </c>
      <c r="I30" s="155">
        <v>28</v>
      </c>
      <c r="J30" s="158" t="str">
        <f ca="1"/>
        <v>Nair S</v>
      </c>
      <c r="K30" s="159">
        <f ca="1"/>
        <v>42</v>
      </c>
      <c r="L30" s="159">
        <f ca="1"/>
        <v>6</v>
      </c>
      <c r="M30" s="159">
        <f ca="1"/>
        <v>153</v>
      </c>
      <c r="N30" s="159">
        <f ca="1"/>
        <v>11</v>
      </c>
      <c r="O30" s="160">
        <f ca="1"/>
        <v>13.91</v>
      </c>
      <c r="P30" s="161">
        <f ca="1"/>
        <v>22.90909090909091</v>
      </c>
      <c r="Q30" s="161">
        <f ca="1"/>
        <v>3.6428571428571428</v>
      </c>
      <c r="R30" s="161" t="str">
        <f ca="1"/>
        <v>3-22</v>
      </c>
      <c r="AE30" s="155">
        <v>0</v>
      </c>
      <c r="AF30" s="159" t="s">
        <v>194</v>
      </c>
      <c r="AG30" s="155" t="s">
        <v>194</v>
      </c>
      <c r="AI30" s="155">
        <v>0</v>
      </c>
      <c r="AJ30" s="155" t="s">
        <v>194</v>
      </c>
      <c r="AL30" s="155">
        <v>1</v>
      </c>
      <c r="AM30" s="155" t="s">
        <v>381</v>
      </c>
      <c r="AO30" s="155">
        <v>0</v>
      </c>
      <c r="AP30" s="155" t="s">
        <v>194</v>
      </c>
    </row>
    <row r="31" spans="1:42" x14ac:dyDescent="0.15">
      <c r="A31" s="159">
        <v>29</v>
      </c>
      <c r="B31" s="159" t="e">
        <f ca="1"/>
        <v>#N/A</v>
      </c>
      <c r="C31" s="159" t="e">
        <f ca="1"/>
        <v>#N/A</v>
      </c>
      <c r="D31" s="159" t="e">
        <f ca="1"/>
        <v>#N/A</v>
      </c>
      <c r="E31" s="159" t="e">
        <f ca="1"/>
        <v>#N/A</v>
      </c>
      <c r="F31" s="159" t="e">
        <f ca="1"/>
        <v>#N/A</v>
      </c>
      <c r="G31" s="160" t="e">
        <f ca="1"/>
        <v>#N/A</v>
      </c>
      <c r="AE31" s="155">
        <v>0</v>
      </c>
      <c r="AF31" s="159" t="s">
        <v>194</v>
      </c>
      <c r="AG31" s="155" t="s">
        <v>194</v>
      </c>
      <c r="AI31" s="155">
        <v>0</v>
      </c>
      <c r="AJ31" s="155" t="s">
        <v>194</v>
      </c>
      <c r="AL31" s="155">
        <v>1</v>
      </c>
      <c r="AM31" s="155" t="s">
        <v>296</v>
      </c>
      <c r="AO31" s="155">
        <v>0</v>
      </c>
      <c r="AP31" s="155" t="s">
        <v>194</v>
      </c>
    </row>
    <row r="32" spans="1:42" x14ac:dyDescent="0.15">
      <c r="A32" s="159">
        <v>30</v>
      </c>
      <c r="B32" s="159" t="e">
        <f ca="1"/>
        <v>#N/A</v>
      </c>
      <c r="C32" s="159" t="e">
        <f ca="1"/>
        <v>#N/A</v>
      </c>
      <c r="D32" s="159" t="e">
        <f ca="1"/>
        <v>#N/A</v>
      </c>
      <c r="E32" s="159" t="e">
        <f ca="1"/>
        <v>#N/A</v>
      </c>
      <c r="F32" s="159" t="e">
        <f ca="1"/>
        <v>#N/A</v>
      </c>
      <c r="G32" s="160" t="e">
        <f ca="1"/>
        <v>#N/A</v>
      </c>
      <c r="AE32" s="155">
        <v>0</v>
      </c>
      <c r="AF32" s="159" t="s">
        <v>194</v>
      </c>
      <c r="AG32" s="155" t="s">
        <v>194</v>
      </c>
      <c r="AI32" s="155">
        <v>0</v>
      </c>
      <c r="AJ32" s="155" t="s">
        <v>194</v>
      </c>
      <c r="AL32" s="155">
        <v>1</v>
      </c>
      <c r="AM32" s="155" t="s">
        <v>364</v>
      </c>
      <c r="AO32" s="155">
        <v>0</v>
      </c>
      <c r="AP32" s="155" t="s">
        <v>194</v>
      </c>
    </row>
    <row r="33" spans="1:42" x14ac:dyDescent="0.15">
      <c r="A33" s="159">
        <v>31</v>
      </c>
      <c r="B33" s="159" t="e">
        <f ca="1"/>
        <v>#N/A</v>
      </c>
      <c r="C33" s="159" t="e">
        <f ca="1"/>
        <v>#N/A</v>
      </c>
      <c r="D33" s="159" t="e">
        <f ca="1"/>
        <v>#N/A</v>
      </c>
      <c r="E33" s="159" t="e">
        <f ca="1"/>
        <v>#N/A</v>
      </c>
      <c r="F33" s="159" t="e">
        <f ca="1"/>
        <v>#N/A</v>
      </c>
      <c r="G33" s="160" t="e">
        <f ca="1"/>
        <v>#N/A</v>
      </c>
      <c r="J33" s="155" t="s">
        <v>330</v>
      </c>
      <c r="AE33" s="155">
        <v>0</v>
      </c>
      <c r="AF33" s="159" t="s">
        <v>194</v>
      </c>
      <c r="AG33" s="155" t="s">
        <v>194</v>
      </c>
      <c r="AI33" s="155">
        <v>0</v>
      </c>
      <c r="AJ33" s="155" t="s">
        <v>194</v>
      </c>
      <c r="AL33" s="155">
        <v>1</v>
      </c>
      <c r="AM33" s="155" t="s">
        <v>354</v>
      </c>
      <c r="AO33" s="155">
        <v>0</v>
      </c>
      <c r="AP33" s="155" t="s">
        <v>194</v>
      </c>
    </row>
    <row r="34" spans="1:42" x14ac:dyDescent="0.15">
      <c r="A34" s="159">
        <v>32</v>
      </c>
      <c r="B34" s="159" t="e">
        <f ca="1"/>
        <v>#N/A</v>
      </c>
      <c r="C34" s="159" t="e">
        <f ca="1"/>
        <v>#N/A</v>
      </c>
      <c r="D34" s="159" t="e">
        <f ca="1"/>
        <v>#N/A</v>
      </c>
      <c r="E34" s="159" t="e">
        <f ca="1"/>
        <v>#N/A</v>
      </c>
      <c r="F34" s="159" t="e">
        <f ca="1"/>
        <v>#N/A</v>
      </c>
      <c r="G34" s="160" t="e">
        <f ca="1"/>
        <v>#N/A</v>
      </c>
      <c r="AE34" s="155">
        <v>0</v>
      </c>
      <c r="AF34" s="159" t="s">
        <v>194</v>
      </c>
      <c r="AG34" s="155" t="s">
        <v>194</v>
      </c>
      <c r="AI34" s="155">
        <v>0</v>
      </c>
      <c r="AJ34" s="155" t="s">
        <v>194</v>
      </c>
      <c r="AL34" s="155">
        <v>0</v>
      </c>
      <c r="AM34" s="155" t="s">
        <v>194</v>
      </c>
      <c r="AO34" s="155">
        <v>0</v>
      </c>
      <c r="AP34" s="155" t="s">
        <v>194</v>
      </c>
    </row>
    <row r="35" spans="1:42" x14ac:dyDescent="0.15">
      <c r="A35" s="159">
        <v>33</v>
      </c>
      <c r="B35" s="159" t="e">
        <f ca="1"/>
        <v>#N/A</v>
      </c>
      <c r="C35" s="159" t="e">
        <f ca="1"/>
        <v>#N/A</v>
      </c>
      <c r="D35" s="159" t="e">
        <f ca="1"/>
        <v>#N/A</v>
      </c>
      <c r="E35" s="159" t="e">
        <f ca="1"/>
        <v>#N/A</v>
      </c>
      <c r="F35" s="159" t="e">
        <f ca="1"/>
        <v>#N/A</v>
      </c>
      <c r="G35" s="160" t="e">
        <f ca="1"/>
        <v>#N/A</v>
      </c>
      <c r="AE35" s="155">
        <v>0</v>
      </c>
      <c r="AF35" s="159" t="s">
        <v>194</v>
      </c>
      <c r="AG35" s="155" t="s">
        <v>194</v>
      </c>
      <c r="AI35" s="155">
        <v>0</v>
      </c>
      <c r="AJ35" s="155" t="s">
        <v>194</v>
      </c>
      <c r="AL35" s="155">
        <v>0</v>
      </c>
      <c r="AM35" s="155" t="s">
        <v>194</v>
      </c>
      <c r="AO35" s="155">
        <v>0</v>
      </c>
      <c r="AP35" s="155" t="s">
        <v>194</v>
      </c>
    </row>
    <row r="36" spans="1:42" x14ac:dyDescent="0.15">
      <c r="A36" s="159">
        <v>34</v>
      </c>
      <c r="B36" s="159" t="e">
        <f ca="1"/>
        <v>#N/A</v>
      </c>
      <c r="C36" s="159" t="e">
        <f ca="1"/>
        <v>#N/A</v>
      </c>
      <c r="D36" s="159" t="e">
        <f ca="1"/>
        <v>#N/A</v>
      </c>
      <c r="E36" s="159" t="e">
        <f ca="1"/>
        <v>#N/A</v>
      </c>
      <c r="F36" s="159" t="e">
        <f ca="1"/>
        <v>#N/A</v>
      </c>
      <c r="G36" s="160" t="e">
        <f ca="1"/>
        <v>#N/A</v>
      </c>
      <c r="AE36" s="155">
        <v>0</v>
      </c>
      <c r="AF36" s="155" t="s">
        <v>194</v>
      </c>
      <c r="AG36" s="155" t="s">
        <v>194</v>
      </c>
      <c r="AI36" s="155">
        <v>0</v>
      </c>
      <c r="AJ36" s="155" t="s">
        <v>194</v>
      </c>
      <c r="AL36" s="155">
        <v>0</v>
      </c>
      <c r="AM36" s="155" t="s">
        <v>194</v>
      </c>
      <c r="AO36" s="155">
        <v>0</v>
      </c>
      <c r="AP36" s="155" t="s">
        <v>194</v>
      </c>
    </row>
    <row r="37" spans="1:42" x14ac:dyDescent="0.15">
      <c r="A37" s="159">
        <v>35</v>
      </c>
      <c r="B37" s="159" t="e">
        <f ca="1"/>
        <v>#N/A</v>
      </c>
      <c r="C37" s="159" t="e">
        <f ca="1"/>
        <v>#N/A</v>
      </c>
      <c r="D37" s="159" t="e">
        <f ca="1"/>
        <v>#N/A</v>
      </c>
      <c r="E37" s="159" t="e">
        <f ca="1"/>
        <v>#N/A</v>
      </c>
      <c r="F37" s="159" t="e">
        <f ca="1"/>
        <v>#N/A</v>
      </c>
      <c r="G37" s="160" t="e">
        <f ca="1"/>
        <v>#N/A</v>
      </c>
      <c r="AE37" s="155">
        <v>0</v>
      </c>
      <c r="AF37" s="155" t="s">
        <v>194</v>
      </c>
      <c r="AG37" s="155" t="s">
        <v>194</v>
      </c>
      <c r="AI37" s="155">
        <v>0</v>
      </c>
      <c r="AJ37" s="155" t="s">
        <v>194</v>
      </c>
      <c r="AL37" s="155">
        <v>0</v>
      </c>
      <c r="AM37" s="155" t="s">
        <v>194</v>
      </c>
      <c r="AO37" s="155">
        <v>0</v>
      </c>
      <c r="AP37" s="155" t="s">
        <v>194</v>
      </c>
    </row>
    <row r="38" spans="1:42" x14ac:dyDescent="0.15">
      <c r="A38" s="159">
        <v>36</v>
      </c>
      <c r="B38" s="159" t="e">
        <f ca="1"/>
        <v>#N/A</v>
      </c>
      <c r="C38" s="159" t="e">
        <f ca="1"/>
        <v>#N/A</v>
      </c>
      <c r="D38" s="159" t="e">
        <f ca="1"/>
        <v>#N/A</v>
      </c>
      <c r="E38" s="159" t="e">
        <f ca="1"/>
        <v>#N/A</v>
      </c>
      <c r="F38" s="159" t="e">
        <f ca="1"/>
        <v>#N/A</v>
      </c>
      <c r="G38" s="160" t="e">
        <f ca="1"/>
        <v>#N/A</v>
      </c>
      <c r="AE38" s="155">
        <v>0</v>
      </c>
      <c r="AF38" s="155" t="s">
        <v>194</v>
      </c>
      <c r="AG38" s="155" t="s">
        <v>194</v>
      </c>
      <c r="AI38" s="155">
        <v>0</v>
      </c>
      <c r="AJ38" s="155" t="s">
        <v>194</v>
      </c>
      <c r="AL38" s="155">
        <v>0</v>
      </c>
      <c r="AM38" s="155" t="s">
        <v>194</v>
      </c>
      <c r="AO38" s="155">
        <v>0</v>
      </c>
      <c r="AP38" s="155" t="s">
        <v>194</v>
      </c>
    </row>
    <row r="39" spans="1:42" x14ac:dyDescent="0.15">
      <c r="A39" s="159">
        <v>37</v>
      </c>
      <c r="B39" s="159" t="e">
        <f ca="1"/>
        <v>#N/A</v>
      </c>
      <c r="C39" s="159" t="e">
        <f ca="1"/>
        <v>#N/A</v>
      </c>
      <c r="D39" s="159" t="e">
        <f ca="1"/>
        <v>#N/A</v>
      </c>
      <c r="E39" s="159" t="e">
        <f ca="1"/>
        <v>#N/A</v>
      </c>
      <c r="F39" s="159" t="e">
        <f ca="1"/>
        <v>#N/A</v>
      </c>
      <c r="G39" s="160" t="e">
        <f ca="1"/>
        <v>#N/A</v>
      </c>
      <c r="AE39" s="155">
        <v>0</v>
      </c>
      <c r="AF39" s="155" t="s">
        <v>194</v>
      </c>
      <c r="AG39" s="155" t="s">
        <v>194</v>
      </c>
      <c r="AI39" s="155">
        <v>0</v>
      </c>
      <c r="AJ39" s="155" t="s">
        <v>194</v>
      </c>
      <c r="AL39" s="155">
        <v>0</v>
      </c>
      <c r="AM39" s="155" t="s">
        <v>194</v>
      </c>
      <c r="AO39" s="155">
        <v>0</v>
      </c>
      <c r="AP39" s="155" t="s">
        <v>194</v>
      </c>
    </row>
    <row r="40" spans="1:42" x14ac:dyDescent="0.15">
      <c r="A40" s="159">
        <v>38</v>
      </c>
      <c r="B40" s="159" t="e">
        <f ca="1"/>
        <v>#N/A</v>
      </c>
      <c r="C40" s="159" t="e">
        <f ca="1"/>
        <v>#N/A</v>
      </c>
      <c r="D40" s="159" t="e">
        <f ca="1"/>
        <v>#N/A</v>
      </c>
      <c r="E40" s="159" t="e">
        <f ca="1"/>
        <v>#N/A</v>
      </c>
      <c r="F40" s="159" t="e">
        <f ca="1"/>
        <v>#N/A</v>
      </c>
      <c r="G40" s="160" t="e">
        <f ca="1"/>
        <v>#N/A</v>
      </c>
      <c r="AE40" s="155">
        <v>0</v>
      </c>
      <c r="AF40" s="155" t="s">
        <v>194</v>
      </c>
      <c r="AG40" s="155" t="s">
        <v>194</v>
      </c>
      <c r="AI40" s="155">
        <v>0</v>
      </c>
      <c r="AJ40" s="155" t="s">
        <v>194</v>
      </c>
      <c r="AL40" s="155">
        <v>0</v>
      </c>
      <c r="AM40" s="155" t="s">
        <v>194</v>
      </c>
      <c r="AO40" s="155">
        <v>0</v>
      </c>
      <c r="AP40" s="155" t="s">
        <v>194</v>
      </c>
    </row>
    <row r="41" spans="1:42" x14ac:dyDescent="0.15">
      <c r="A41" s="159">
        <v>39</v>
      </c>
      <c r="B41" s="159" t="e">
        <f ca="1"/>
        <v>#N/A</v>
      </c>
      <c r="C41" s="159" t="e">
        <f ca="1"/>
        <v>#N/A</v>
      </c>
      <c r="D41" s="159" t="e">
        <f ca="1"/>
        <v>#N/A</v>
      </c>
      <c r="E41" s="159" t="e">
        <f ca="1"/>
        <v>#N/A</v>
      </c>
      <c r="F41" s="159" t="e">
        <f ca="1"/>
        <v>#N/A</v>
      </c>
      <c r="G41" s="160" t="e">
        <f ca="1"/>
        <v>#N/A</v>
      </c>
      <c r="AE41" s="155">
        <v>0</v>
      </c>
      <c r="AF41" s="155" t="s">
        <v>194</v>
      </c>
      <c r="AG41" s="155" t="s">
        <v>194</v>
      </c>
      <c r="AI41" s="155">
        <v>0</v>
      </c>
      <c r="AJ41" s="155" t="s">
        <v>194</v>
      </c>
      <c r="AL41" s="155">
        <v>0</v>
      </c>
      <c r="AM41" s="155" t="s">
        <v>194</v>
      </c>
      <c r="AO41" s="155">
        <v>0</v>
      </c>
      <c r="AP41" s="155" t="s">
        <v>194</v>
      </c>
    </row>
    <row r="42" spans="1:42" x14ac:dyDescent="0.15">
      <c r="A42" s="159">
        <v>40</v>
      </c>
      <c r="B42" s="159" t="e">
        <f ca="1"/>
        <v>#N/A</v>
      </c>
      <c r="C42" s="159" t="e">
        <f ca="1"/>
        <v>#N/A</v>
      </c>
      <c r="D42" s="159" t="e">
        <f ca="1"/>
        <v>#N/A</v>
      </c>
      <c r="E42" s="159" t="e">
        <f ca="1"/>
        <v>#N/A</v>
      </c>
      <c r="F42" s="159" t="e">
        <f ca="1"/>
        <v>#N/A</v>
      </c>
      <c r="G42" s="160" t="e">
        <f ca="1"/>
        <v>#N/A</v>
      </c>
      <c r="AE42" s="155">
        <v>0</v>
      </c>
      <c r="AF42" s="155" t="s">
        <v>194</v>
      </c>
      <c r="AG42" s="155" t="s">
        <v>194</v>
      </c>
      <c r="AI42" s="155">
        <v>0</v>
      </c>
      <c r="AJ42" s="155" t="s">
        <v>194</v>
      </c>
      <c r="AL42" s="155">
        <v>0</v>
      </c>
      <c r="AM42" s="155" t="s">
        <v>194</v>
      </c>
      <c r="AO42" s="155">
        <v>0</v>
      </c>
      <c r="AP42" s="155" t="s">
        <v>194</v>
      </c>
    </row>
    <row r="43" spans="1:42" x14ac:dyDescent="0.15">
      <c r="AE43" s="155">
        <v>0</v>
      </c>
      <c r="AF43" s="155" t="s">
        <v>194</v>
      </c>
      <c r="AG43" s="155" t="s">
        <v>194</v>
      </c>
      <c r="AI43" s="155">
        <v>0</v>
      </c>
      <c r="AJ43" s="155" t="s">
        <v>194</v>
      </c>
      <c r="AL43" s="155">
        <v>0</v>
      </c>
      <c r="AM43" s="155" t="s">
        <v>194</v>
      </c>
      <c r="AO43" s="155">
        <v>0</v>
      </c>
      <c r="AP43" s="155" t="s">
        <v>194</v>
      </c>
    </row>
    <row r="44" spans="1:42" x14ac:dyDescent="0.15">
      <c r="A44" s="155" t="s">
        <v>331</v>
      </c>
      <c r="AE44" s="155">
        <v>0</v>
      </c>
      <c r="AF44" s="155" t="s">
        <v>194</v>
      </c>
      <c r="AG44" s="155" t="s">
        <v>194</v>
      </c>
      <c r="AI44" s="155">
        <v>0</v>
      </c>
      <c r="AJ44" s="155" t="s">
        <v>194</v>
      </c>
      <c r="AL44" s="155">
        <v>0</v>
      </c>
      <c r="AM44" s="155" t="s">
        <v>194</v>
      </c>
      <c r="AO44" s="155">
        <v>0</v>
      </c>
      <c r="AP44" s="155" t="s">
        <v>194</v>
      </c>
    </row>
    <row r="45" spans="1:42" x14ac:dyDescent="0.15">
      <c r="B45" s="155" t="s">
        <v>194</v>
      </c>
      <c r="AE45" s="155">
        <v>0</v>
      </c>
      <c r="AF45" s="155" t="s">
        <v>194</v>
      </c>
      <c r="AG45" s="155" t="s">
        <v>194</v>
      </c>
      <c r="AL45" s="155">
        <v>0</v>
      </c>
      <c r="AM45" s="155" t="s">
        <v>194</v>
      </c>
      <c r="AO45" s="155">
        <v>0</v>
      </c>
      <c r="AP45" s="155" t="s">
        <v>194</v>
      </c>
    </row>
    <row r="46" spans="1:42" x14ac:dyDescent="0.15">
      <c r="B46" s="155" t="s">
        <v>194</v>
      </c>
      <c r="AE46" s="155">
        <v>0</v>
      </c>
      <c r="AF46" s="155" t="s">
        <v>194</v>
      </c>
      <c r="AG46" s="155" t="s">
        <v>194</v>
      </c>
      <c r="AL46" s="155">
        <v>0</v>
      </c>
      <c r="AM46" s="155" t="s">
        <v>194</v>
      </c>
      <c r="AO46" s="155">
        <v>0</v>
      </c>
      <c r="AP46" s="155" t="s">
        <v>194</v>
      </c>
    </row>
    <row r="47" spans="1:42" x14ac:dyDescent="0.15">
      <c r="B47" s="155" t="s">
        <v>194</v>
      </c>
      <c r="AE47" s="155">
        <v>0</v>
      </c>
      <c r="AF47" s="155" t="s">
        <v>194</v>
      </c>
      <c r="AG47" s="155" t="s">
        <v>194</v>
      </c>
      <c r="AL47" s="155">
        <v>0</v>
      </c>
      <c r="AM47" s="155" t="s">
        <v>194</v>
      </c>
      <c r="AO47" s="155">
        <v>0</v>
      </c>
      <c r="AP47" s="155" t="s">
        <v>194</v>
      </c>
    </row>
    <row r="48" spans="1:42" x14ac:dyDescent="0.15">
      <c r="B48" s="155" t="s">
        <v>194</v>
      </c>
      <c r="AE48" s="155">
        <v>0</v>
      </c>
      <c r="AF48" s="155" t="s">
        <v>194</v>
      </c>
      <c r="AG48" s="155" t="s">
        <v>194</v>
      </c>
      <c r="AL48" s="155">
        <v>0</v>
      </c>
      <c r="AM48" s="155" t="s">
        <v>194</v>
      </c>
      <c r="AO48" s="155">
        <v>0</v>
      </c>
      <c r="AP48" s="155" t="s">
        <v>194</v>
      </c>
    </row>
    <row r="49" spans="2:42" x14ac:dyDescent="0.15">
      <c r="B49" s="155" t="s">
        <v>194</v>
      </c>
      <c r="AE49" s="155">
        <v>0</v>
      </c>
      <c r="AF49" s="155" t="s">
        <v>194</v>
      </c>
      <c r="AG49" s="155" t="s">
        <v>194</v>
      </c>
      <c r="AL49" s="155">
        <v>0</v>
      </c>
      <c r="AM49" s="155" t="s">
        <v>194</v>
      </c>
      <c r="AO49" s="155">
        <v>0</v>
      </c>
      <c r="AP49" s="155" t="s">
        <v>194</v>
      </c>
    </row>
    <row r="50" spans="2:42" x14ac:dyDescent="0.15">
      <c r="B50" s="155" t="s">
        <v>194</v>
      </c>
      <c r="AE50" s="155">
        <v>0</v>
      </c>
      <c r="AF50" s="155" t="s">
        <v>194</v>
      </c>
      <c r="AG50" s="155" t="s">
        <v>194</v>
      </c>
      <c r="AL50" s="155">
        <v>0</v>
      </c>
      <c r="AM50" s="155" t="s">
        <v>194</v>
      </c>
      <c r="AO50" s="155">
        <v>0</v>
      </c>
      <c r="AP50" s="155" t="s">
        <v>194</v>
      </c>
    </row>
    <row r="51" spans="2:42" x14ac:dyDescent="0.15">
      <c r="B51" s="155" t="s">
        <v>194</v>
      </c>
      <c r="AE51" s="155">
        <v>0</v>
      </c>
      <c r="AF51" s="155" t="s">
        <v>194</v>
      </c>
      <c r="AG51" s="155" t="s">
        <v>194</v>
      </c>
      <c r="AL51" s="155">
        <v>0</v>
      </c>
      <c r="AM51" s="155" t="s">
        <v>194</v>
      </c>
      <c r="AO51" s="155">
        <v>0</v>
      </c>
      <c r="AP51" s="155" t="s">
        <v>194</v>
      </c>
    </row>
    <row r="52" spans="2:42" x14ac:dyDescent="0.15">
      <c r="B52" s="155" t="s">
        <v>194</v>
      </c>
      <c r="AF52" s="155" t="s">
        <v>194</v>
      </c>
      <c r="AG52" s="155" t="s">
        <v>194</v>
      </c>
      <c r="AL52" s="155">
        <v>0</v>
      </c>
      <c r="AM52" s="155" t="s">
        <v>194</v>
      </c>
      <c r="AO52" s="155">
        <v>0</v>
      </c>
      <c r="AP52" s="155" t="s">
        <v>194</v>
      </c>
    </row>
    <row r="53" spans="2:42" x14ac:dyDescent="0.15">
      <c r="B53" s="155" t="s">
        <v>194</v>
      </c>
      <c r="AL53" s="155">
        <v>0</v>
      </c>
      <c r="AM53" s="155" t="s">
        <v>194</v>
      </c>
      <c r="AO53" s="155">
        <v>0</v>
      </c>
      <c r="AP53" s="155" t="s">
        <v>194</v>
      </c>
    </row>
    <row r="54" spans="2:42" x14ac:dyDescent="0.15">
      <c r="B54" s="155" t="s">
        <v>194</v>
      </c>
      <c r="AL54" s="155">
        <v>0</v>
      </c>
      <c r="AM54" s="155" t="s">
        <v>194</v>
      </c>
      <c r="AO54" s="155">
        <v>0</v>
      </c>
      <c r="AP54" s="155" t="s">
        <v>194</v>
      </c>
    </row>
    <row r="55" spans="2:42" x14ac:dyDescent="0.15">
      <c r="B55" s="155" t="s">
        <v>194</v>
      </c>
      <c r="AL55" s="155">
        <v>0</v>
      </c>
      <c r="AM55" s="155" t="s">
        <v>194</v>
      </c>
      <c r="AO55" s="155">
        <v>0</v>
      </c>
      <c r="AP55" s="155" t="s">
        <v>194</v>
      </c>
    </row>
    <row r="56" spans="2:42" x14ac:dyDescent="0.15">
      <c r="B56" s="155" t="s">
        <v>194</v>
      </c>
      <c r="AL56" s="155">
        <v>0</v>
      </c>
      <c r="AM56" s="155" t="s">
        <v>194</v>
      </c>
      <c r="AO56" s="155">
        <v>0</v>
      </c>
      <c r="AP56" s="155" t="s">
        <v>194</v>
      </c>
    </row>
    <row r="57" spans="2:42" x14ac:dyDescent="0.15">
      <c r="B57" s="155" t="s">
        <v>194</v>
      </c>
      <c r="AL57" s="155">
        <v>0</v>
      </c>
      <c r="AM57" s="155" t="s">
        <v>194</v>
      </c>
    </row>
    <row r="59" spans="2:42" x14ac:dyDescent="0.15">
      <c r="B59" s="155" t="s">
        <v>194</v>
      </c>
    </row>
    <row r="60" spans="2:42" x14ac:dyDescent="0.15">
      <c r="B60" s="155" t="s">
        <v>397</v>
      </c>
      <c r="C60" s="155" t="str">
        <f>B60&amp;", "</f>
        <v xml:space="preserve">Ahmed R 2-0-90-176, </v>
      </c>
    </row>
    <row r="61" spans="2:42" x14ac:dyDescent="0.15">
      <c r="B61" s="155" t="s">
        <v>411</v>
      </c>
      <c r="C61" s="155" t="str">
        <f t="shared" ref="C61:C80" si="0">B61&amp;", "</f>
        <v xml:space="preserve">Biswas A 1-0-4-4, </v>
      </c>
    </row>
    <row r="62" spans="2:42" x14ac:dyDescent="0.15">
      <c r="B62" s="155" t="s">
        <v>408</v>
      </c>
      <c r="C62" s="155" t="str">
        <f t="shared" si="0"/>
        <v xml:space="preserve">Brocks D 3-0-18-22, </v>
      </c>
    </row>
    <row r="63" spans="2:42" x14ac:dyDescent="0.15">
      <c r="B63" s="155" t="s">
        <v>401</v>
      </c>
      <c r="C63" s="155" t="str">
        <f t="shared" si="0"/>
        <v xml:space="preserve">Crone W 2-0-45-62, </v>
      </c>
    </row>
    <row r="64" spans="2:42" x14ac:dyDescent="0.15">
      <c r="B64" s="155" t="s">
        <v>403</v>
      </c>
      <c r="C64" s="155" t="str">
        <f t="shared" si="0"/>
        <v xml:space="preserve">Curling L 2-0-33-40, </v>
      </c>
    </row>
    <row r="65" spans="2:3" x14ac:dyDescent="0.15">
      <c r="B65" s="155" t="s">
        <v>410</v>
      </c>
      <c r="C65" s="155" t="str">
        <f t="shared" si="0"/>
        <v xml:space="preserve">Deol R 1-0-5-5, </v>
      </c>
    </row>
    <row r="66" spans="2:3" x14ac:dyDescent="0.15">
      <c r="B66" s="155" t="s">
        <v>414</v>
      </c>
      <c r="C66" s="155" t="str">
        <f t="shared" si="0"/>
        <v xml:space="preserve">Gardezi S 1-0-0-0, </v>
      </c>
    </row>
    <row r="67" spans="2:3" x14ac:dyDescent="0.15">
      <c r="B67" s="155" t="s">
        <v>413</v>
      </c>
      <c r="C67" s="155" t="str">
        <f t="shared" si="0"/>
        <v xml:space="preserve">Khan A 1-0-0-0, </v>
      </c>
    </row>
    <row r="68" spans="2:3" x14ac:dyDescent="0.15">
      <c r="B68" s="155" t="s">
        <v>417</v>
      </c>
      <c r="C68" s="155" t="str">
        <f t="shared" si="0"/>
        <v xml:space="preserve">Kiernan M 1-0-0-0, </v>
      </c>
    </row>
    <row r="69" spans="2:3" x14ac:dyDescent="0.15">
      <c r="B69" s="155" t="s">
        <v>406</v>
      </c>
      <c r="C69" s="155" t="str">
        <f t="shared" si="0"/>
        <v xml:space="preserve">Lindsay B 1-0-11-11, </v>
      </c>
    </row>
    <row r="70" spans="2:3" x14ac:dyDescent="0.15">
      <c r="B70" s="155" t="s">
        <v>399</v>
      </c>
      <c r="C70" s="155" t="str">
        <f t="shared" si="0"/>
        <v xml:space="preserve">Mahmood S 1-0-47-47, </v>
      </c>
    </row>
    <row r="71" spans="2:3" x14ac:dyDescent="0.15">
      <c r="B71" s="155" t="s">
        <v>409</v>
      </c>
      <c r="C71" s="155" t="str">
        <f t="shared" si="0"/>
        <v xml:space="preserve">Mander C 1-0-6-6, </v>
      </c>
    </row>
    <row r="72" spans="2:3" x14ac:dyDescent="0.15">
      <c r="B72" s="155" t="s">
        <v>404</v>
      </c>
      <c r="C72" s="155" t="str">
        <f t="shared" si="0"/>
        <v xml:space="preserve">Middleton J 4-1-36*-53, </v>
      </c>
    </row>
    <row r="73" spans="2:3" x14ac:dyDescent="0.15">
      <c r="B73" s="155" t="s">
        <v>400</v>
      </c>
      <c r="C73" s="155" t="str">
        <f t="shared" si="0"/>
        <v xml:space="preserve">Niran S 4-0-49-142, </v>
      </c>
    </row>
    <row r="74" spans="2:3" x14ac:dyDescent="0.15">
      <c r="B74" s="155" t="s">
        <v>416</v>
      </c>
      <c r="C74" s="155" t="str">
        <f t="shared" si="0"/>
        <v xml:space="preserve">Parboo R 1-0-0-0, </v>
      </c>
    </row>
    <row r="75" spans="2:3" x14ac:dyDescent="0.15">
      <c r="B75" s="155" t="s">
        <v>407</v>
      </c>
      <c r="C75" s="155" t="str">
        <f t="shared" si="0"/>
        <v xml:space="preserve">Patel S 1-0-9-9, </v>
      </c>
    </row>
    <row r="76" spans="2:3" x14ac:dyDescent="0.15">
      <c r="B76" s="155" t="s">
        <v>412</v>
      </c>
      <c r="C76" s="155" t="str">
        <f t="shared" si="0"/>
        <v xml:space="preserve">Rugg D 4-1-8-9, </v>
      </c>
    </row>
    <row r="77" spans="2:3" x14ac:dyDescent="0.15">
      <c r="B77" s="155" t="s">
        <v>398</v>
      </c>
      <c r="C77" s="155" t="str">
        <f t="shared" si="0"/>
        <v xml:space="preserve">Stevenson R 1-0-67-67, </v>
      </c>
    </row>
    <row r="78" spans="2:3" x14ac:dyDescent="0.15">
      <c r="B78" s="155" t="s">
        <v>415</v>
      </c>
      <c r="C78" s="155" t="str">
        <f t="shared" si="0"/>
        <v xml:space="preserve">Turner 1-1-16*-16, </v>
      </c>
    </row>
    <row r="79" spans="2:3" x14ac:dyDescent="0.15">
      <c r="B79" s="155" t="s">
        <v>405</v>
      </c>
      <c r="C79" s="155" t="str">
        <f t="shared" si="0"/>
        <v xml:space="preserve">Umar S 1-0-13-13, </v>
      </c>
    </row>
    <row r="80" spans="2:3" x14ac:dyDescent="0.15">
      <c r="B80" s="155" t="s">
        <v>402</v>
      </c>
      <c r="C80" s="155" t="str">
        <f t="shared" si="0"/>
        <v xml:space="preserve">Viveganandan M 3-1-43-50, </v>
      </c>
    </row>
  </sheetData>
  <sortState xmlns:xlrd2="http://schemas.microsoft.com/office/spreadsheetml/2017/richdata2" ref="AR2:AS59">
    <sortCondition descending="1" ref="AR2:AR59"/>
  </sortState>
  <mergeCells count="9">
    <mergeCell ref="AO1:AP1"/>
    <mergeCell ref="AR1:AS1"/>
    <mergeCell ref="AU1:AZ1"/>
    <mergeCell ref="A1:G1"/>
    <mergeCell ref="I1:R1"/>
    <mergeCell ref="T1:AD1"/>
    <mergeCell ref="AF1:AG1"/>
    <mergeCell ref="AI1:AJ1"/>
    <mergeCell ref="AL1:AM1"/>
  </mergeCells>
  <pageMargins left="0.70866141732283472" right="0.70866141732283472" top="0.55118110236220474" bottom="0.55118110236220474" header="0.31496062992125984" footer="0.31496062992125984"/>
  <pageSetup paperSize="9" orientation="landscape" horizontalDpi="4294967293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AO83"/>
  <sheetViews>
    <sheetView topLeftCell="D1" workbookViewId="0">
      <selection activeCell="AE16" sqref="AE16"/>
    </sheetView>
  </sheetViews>
  <sheetFormatPr defaultRowHeight="10.5" x14ac:dyDescent="0.15"/>
  <cols>
    <col min="28" max="28" width="4.7109375" style="124" customWidth="1"/>
    <col min="29" max="29" width="19" customWidth="1"/>
    <col min="30" max="30" width="4.7109375" style="124" customWidth="1"/>
    <col min="31" max="31" width="19" customWidth="1"/>
    <col min="32" max="32" width="4.7109375" style="124" customWidth="1"/>
    <col min="33" max="33" width="19" customWidth="1"/>
    <col min="34" max="34" width="4.7109375" style="124" customWidth="1"/>
    <col min="35" max="35" width="12.7109375" customWidth="1"/>
    <col min="36" max="36" width="4.7109375" style="124" customWidth="1"/>
    <col min="37" max="37" width="12.7109375" customWidth="1"/>
    <col min="38" max="38" width="4.7109375" style="124" customWidth="1"/>
    <col min="39" max="39" width="12.7109375" customWidth="1"/>
    <col min="40" max="40" width="4.7109375" style="124" customWidth="1"/>
    <col min="41" max="41" width="12.7109375" customWidth="1"/>
  </cols>
  <sheetData>
    <row r="1" spans="1:29" x14ac:dyDescent="0.15">
      <c r="A1" t="s">
        <v>418</v>
      </c>
      <c r="B1" t="s">
        <v>418</v>
      </c>
      <c r="C1" t="s">
        <v>418</v>
      </c>
      <c r="D1" t="s">
        <v>418</v>
      </c>
      <c r="E1" t="s">
        <v>418</v>
      </c>
      <c r="F1" t="s">
        <v>418</v>
      </c>
      <c r="G1" t="s">
        <v>418</v>
      </c>
      <c r="H1" t="s">
        <v>418</v>
      </c>
      <c r="I1" t="s">
        <v>418</v>
      </c>
      <c r="J1" t="s">
        <v>418</v>
      </c>
      <c r="K1" t="s">
        <v>418</v>
      </c>
      <c r="L1" t="s">
        <v>418</v>
      </c>
      <c r="M1" t="s">
        <v>418</v>
      </c>
      <c r="N1" t="s">
        <v>418</v>
      </c>
      <c r="O1" t="s">
        <v>418</v>
      </c>
      <c r="P1" t="s">
        <v>418</v>
      </c>
      <c r="Q1" t="s">
        <v>418</v>
      </c>
      <c r="R1" t="s">
        <v>418</v>
      </c>
      <c r="S1" t="s">
        <v>418</v>
      </c>
      <c r="T1" t="s">
        <v>418</v>
      </c>
      <c r="U1" t="s">
        <v>418</v>
      </c>
      <c r="V1" t="s">
        <v>418</v>
      </c>
    </row>
    <row r="2" spans="1:29" x14ac:dyDescent="0.15">
      <c r="A2" t="s">
        <v>418</v>
      </c>
      <c r="B2" t="s">
        <v>418</v>
      </c>
      <c r="C2" t="s">
        <v>418</v>
      </c>
      <c r="D2" t="s">
        <v>418</v>
      </c>
      <c r="F2" t="s">
        <v>418</v>
      </c>
      <c r="G2" t="s">
        <v>418</v>
      </c>
      <c r="H2" t="s">
        <v>418</v>
      </c>
      <c r="J2" t="s">
        <v>418</v>
      </c>
      <c r="K2" t="s">
        <v>418</v>
      </c>
      <c r="L2" t="s">
        <v>418</v>
      </c>
      <c r="M2" t="s">
        <v>418</v>
      </c>
      <c r="N2" t="s">
        <v>418</v>
      </c>
      <c r="O2" t="s">
        <v>418</v>
      </c>
      <c r="P2" t="s">
        <v>418</v>
      </c>
      <c r="Q2" t="s">
        <v>418</v>
      </c>
      <c r="R2" t="s">
        <v>418</v>
      </c>
      <c r="S2" t="s">
        <v>418</v>
      </c>
      <c r="T2" t="s">
        <v>418</v>
      </c>
      <c r="U2" t="s">
        <v>418</v>
      </c>
      <c r="V2" t="s">
        <v>418</v>
      </c>
    </row>
    <row r="3" spans="1:29" x14ac:dyDescent="0.15">
      <c r="A3" t="s">
        <v>418</v>
      </c>
      <c r="B3" t="s">
        <v>418</v>
      </c>
      <c r="C3" t="s">
        <v>418</v>
      </c>
      <c r="D3" t="s">
        <v>418</v>
      </c>
      <c r="E3" t="s">
        <v>418</v>
      </c>
      <c r="F3" t="s">
        <v>418</v>
      </c>
      <c r="G3" t="s">
        <v>418</v>
      </c>
      <c r="H3" t="s">
        <v>418</v>
      </c>
      <c r="I3" t="s">
        <v>418</v>
      </c>
      <c r="J3" t="s">
        <v>418</v>
      </c>
      <c r="K3" t="s">
        <v>418</v>
      </c>
      <c r="L3" t="s">
        <v>418</v>
      </c>
      <c r="M3" t="s">
        <v>418</v>
      </c>
      <c r="N3" t="s">
        <v>418</v>
      </c>
      <c r="O3" t="s">
        <v>418</v>
      </c>
      <c r="P3" t="s">
        <v>418</v>
      </c>
      <c r="Q3" t="s">
        <v>418</v>
      </c>
      <c r="R3" t="s">
        <v>418</v>
      </c>
      <c r="S3" t="s">
        <v>418</v>
      </c>
      <c r="T3" t="s">
        <v>418</v>
      </c>
      <c r="U3" t="s">
        <v>418</v>
      </c>
      <c r="V3" t="s">
        <v>418</v>
      </c>
    </row>
    <row r="4" spans="1:29" x14ac:dyDescent="0.15">
      <c r="A4" t="s">
        <v>418</v>
      </c>
      <c r="B4" t="s">
        <v>418</v>
      </c>
      <c r="C4" t="s">
        <v>418</v>
      </c>
      <c r="D4" t="s">
        <v>418</v>
      </c>
      <c r="E4" t="s">
        <v>418</v>
      </c>
      <c r="F4" t="s">
        <v>418</v>
      </c>
      <c r="G4" t="s">
        <v>418</v>
      </c>
      <c r="H4" t="s">
        <v>418</v>
      </c>
      <c r="I4" t="s">
        <v>418</v>
      </c>
      <c r="J4" t="s">
        <v>418</v>
      </c>
      <c r="K4" t="s">
        <v>418</v>
      </c>
      <c r="L4" t="s">
        <v>418</v>
      </c>
      <c r="M4" t="s">
        <v>418</v>
      </c>
      <c r="N4" t="s">
        <v>418</v>
      </c>
      <c r="O4" t="s">
        <v>418</v>
      </c>
      <c r="P4" t="s">
        <v>418</v>
      </c>
      <c r="Q4" t="s">
        <v>418</v>
      </c>
      <c r="R4" t="s">
        <v>418</v>
      </c>
      <c r="S4" t="s">
        <v>418</v>
      </c>
      <c r="T4" t="s">
        <v>418</v>
      </c>
      <c r="U4" t="s">
        <v>418</v>
      </c>
      <c r="V4" t="s">
        <v>418</v>
      </c>
    </row>
    <row r="5" spans="1:29" x14ac:dyDescent="0.15">
      <c r="A5" t="s">
        <v>418</v>
      </c>
      <c r="B5" t="s">
        <v>418</v>
      </c>
      <c r="C5" t="s">
        <v>418</v>
      </c>
      <c r="D5" t="s">
        <v>418</v>
      </c>
      <c r="E5" t="s">
        <v>418</v>
      </c>
      <c r="F5" t="s">
        <v>418</v>
      </c>
      <c r="G5" t="s">
        <v>418</v>
      </c>
      <c r="H5" t="s">
        <v>418</v>
      </c>
      <c r="I5" t="s">
        <v>418</v>
      </c>
      <c r="J5" t="s">
        <v>418</v>
      </c>
      <c r="K5" t="s">
        <v>418</v>
      </c>
      <c r="L5" t="s">
        <v>418</v>
      </c>
      <c r="M5" t="s">
        <v>418</v>
      </c>
      <c r="N5" t="s">
        <v>418</v>
      </c>
      <c r="O5" t="s">
        <v>418</v>
      </c>
      <c r="P5" t="s">
        <v>418</v>
      </c>
      <c r="Q5" t="s">
        <v>418</v>
      </c>
      <c r="R5" t="s">
        <v>418</v>
      </c>
      <c r="S5" t="s">
        <v>418</v>
      </c>
      <c r="T5" t="s">
        <v>418</v>
      </c>
      <c r="U5" t="s">
        <v>418</v>
      </c>
      <c r="V5" t="s">
        <v>418</v>
      </c>
    </row>
    <row r="6" spans="1:29" x14ac:dyDescent="0.15">
      <c r="A6" t="s">
        <v>418</v>
      </c>
      <c r="B6" t="s">
        <v>418</v>
      </c>
      <c r="C6" t="s">
        <v>418</v>
      </c>
      <c r="D6" t="s">
        <v>418</v>
      </c>
      <c r="E6" t="s">
        <v>418</v>
      </c>
      <c r="F6" t="s">
        <v>418</v>
      </c>
      <c r="G6" t="s">
        <v>418</v>
      </c>
      <c r="H6" t="s">
        <v>418</v>
      </c>
      <c r="I6" t="s">
        <v>418</v>
      </c>
      <c r="J6" t="s">
        <v>418</v>
      </c>
      <c r="K6" t="s">
        <v>418</v>
      </c>
      <c r="L6" t="s">
        <v>418</v>
      </c>
      <c r="M6" t="s">
        <v>418</v>
      </c>
      <c r="N6" t="s">
        <v>418</v>
      </c>
      <c r="O6" t="s">
        <v>418</v>
      </c>
      <c r="P6" t="s">
        <v>418</v>
      </c>
      <c r="Q6" t="s">
        <v>418</v>
      </c>
      <c r="R6" t="s">
        <v>418</v>
      </c>
      <c r="S6" t="s">
        <v>418</v>
      </c>
      <c r="T6" t="s">
        <v>418</v>
      </c>
      <c r="U6" t="s">
        <v>418</v>
      </c>
      <c r="V6" t="s">
        <v>418</v>
      </c>
      <c r="W6" t="s">
        <v>419</v>
      </c>
      <c r="X6" t="s">
        <v>316</v>
      </c>
      <c r="Y6" t="s">
        <v>268</v>
      </c>
      <c r="Z6" s="174">
        <v>45040</v>
      </c>
    </row>
    <row r="7" spans="1:29" x14ac:dyDescent="0.15">
      <c r="A7" t="s">
        <v>418</v>
      </c>
      <c r="B7" t="s">
        <v>418</v>
      </c>
      <c r="C7" t="s">
        <v>418</v>
      </c>
      <c r="D7" t="s">
        <v>418</v>
      </c>
      <c r="E7" t="s">
        <v>418</v>
      </c>
      <c r="F7" t="s">
        <v>418</v>
      </c>
      <c r="G7" t="s">
        <v>418</v>
      </c>
      <c r="H7" t="s">
        <v>418</v>
      </c>
      <c r="I7" t="s">
        <v>418</v>
      </c>
      <c r="J7" t="s">
        <v>418</v>
      </c>
      <c r="K7" t="s">
        <v>418</v>
      </c>
      <c r="L7" t="s">
        <v>418</v>
      </c>
      <c r="M7" t="s">
        <v>418</v>
      </c>
      <c r="N7" t="s">
        <v>418</v>
      </c>
      <c r="O7" t="s">
        <v>418</v>
      </c>
      <c r="P7" t="s">
        <v>418</v>
      </c>
      <c r="Q7" t="s">
        <v>418</v>
      </c>
      <c r="R7" t="s">
        <v>418</v>
      </c>
      <c r="S7" t="s">
        <v>418</v>
      </c>
      <c r="T7" t="s">
        <v>418</v>
      </c>
      <c r="U7" t="s">
        <v>418</v>
      </c>
      <c r="V7" t="s">
        <v>418</v>
      </c>
      <c r="W7">
        <v>90</v>
      </c>
      <c r="X7" t="s">
        <v>356</v>
      </c>
      <c r="Y7" t="s">
        <v>352</v>
      </c>
      <c r="Z7" s="174">
        <v>45068</v>
      </c>
      <c r="AC7" t="s">
        <v>194</v>
      </c>
    </row>
    <row r="8" spans="1:29" x14ac:dyDescent="0.1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  <c r="G8" t="s">
        <v>418</v>
      </c>
      <c r="H8" t="s">
        <v>418</v>
      </c>
      <c r="I8" t="s">
        <v>418</v>
      </c>
      <c r="J8" t="s">
        <v>418</v>
      </c>
      <c r="K8" t="s">
        <v>418</v>
      </c>
      <c r="L8" t="s">
        <v>418</v>
      </c>
      <c r="M8" t="s">
        <v>418</v>
      </c>
      <c r="N8" t="s">
        <v>418</v>
      </c>
      <c r="O8" t="s">
        <v>418</v>
      </c>
      <c r="P8" t="s">
        <v>418</v>
      </c>
      <c r="Q8" t="s">
        <v>418</v>
      </c>
      <c r="R8" t="s">
        <v>418</v>
      </c>
      <c r="S8" t="s">
        <v>418</v>
      </c>
      <c r="T8" t="s">
        <v>418</v>
      </c>
      <c r="U8" t="s">
        <v>418</v>
      </c>
      <c r="V8" t="s">
        <v>418</v>
      </c>
      <c r="W8">
        <v>84</v>
      </c>
      <c r="X8" t="s">
        <v>316</v>
      </c>
      <c r="Y8" t="s">
        <v>367</v>
      </c>
      <c r="Z8" s="174">
        <v>45152</v>
      </c>
      <c r="AC8" t="s">
        <v>194</v>
      </c>
    </row>
    <row r="9" spans="1:29" x14ac:dyDescent="0.15">
      <c r="B9" t="s">
        <v>418</v>
      </c>
      <c r="C9" t="s">
        <v>418</v>
      </c>
      <c r="D9" t="s">
        <v>418</v>
      </c>
      <c r="E9" t="s">
        <v>418</v>
      </c>
      <c r="F9" t="s">
        <v>418</v>
      </c>
      <c r="G9" t="s">
        <v>418</v>
      </c>
      <c r="H9" t="s">
        <v>418</v>
      </c>
      <c r="I9" t="s">
        <v>418</v>
      </c>
      <c r="J9" t="s">
        <v>418</v>
      </c>
      <c r="K9" t="s">
        <v>418</v>
      </c>
      <c r="L9" t="s">
        <v>418</v>
      </c>
      <c r="M9" t="s">
        <v>418</v>
      </c>
      <c r="N9" t="s">
        <v>418</v>
      </c>
      <c r="O9" t="s">
        <v>418</v>
      </c>
      <c r="Q9" t="s">
        <v>418</v>
      </c>
      <c r="R9" t="s">
        <v>418</v>
      </c>
      <c r="S9" t="s">
        <v>418</v>
      </c>
      <c r="T9" t="s">
        <v>418</v>
      </c>
      <c r="U9" t="s">
        <v>418</v>
      </c>
      <c r="V9" t="s">
        <v>418</v>
      </c>
      <c r="W9">
        <v>86</v>
      </c>
      <c r="X9" t="s">
        <v>356</v>
      </c>
      <c r="Y9" t="s">
        <v>289</v>
      </c>
      <c r="Z9" s="174">
        <v>45089</v>
      </c>
      <c r="AC9" t="s">
        <v>194</v>
      </c>
    </row>
    <row r="10" spans="1:29" x14ac:dyDescent="0.1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418</v>
      </c>
      <c r="G10" t="s">
        <v>418</v>
      </c>
      <c r="H10" t="s">
        <v>418</v>
      </c>
      <c r="I10" t="s">
        <v>418</v>
      </c>
      <c r="J10" t="s">
        <v>418</v>
      </c>
      <c r="K10" t="s">
        <v>418</v>
      </c>
      <c r="L10" t="s">
        <v>418</v>
      </c>
      <c r="M10" t="s">
        <v>418</v>
      </c>
      <c r="N10" t="s">
        <v>418</v>
      </c>
      <c r="O10" t="s">
        <v>418</v>
      </c>
      <c r="P10" t="s">
        <v>418</v>
      </c>
      <c r="Q10" t="s">
        <v>418</v>
      </c>
      <c r="R10" t="s">
        <v>418</v>
      </c>
      <c r="S10" t="s">
        <v>418</v>
      </c>
      <c r="T10" t="s">
        <v>418</v>
      </c>
      <c r="U10" t="s">
        <v>418</v>
      </c>
      <c r="V10" t="s">
        <v>418</v>
      </c>
      <c r="W10">
        <v>52</v>
      </c>
      <c r="X10" t="s">
        <v>350</v>
      </c>
      <c r="Y10" t="s">
        <v>383</v>
      </c>
      <c r="Z10" s="174">
        <v>45194</v>
      </c>
      <c r="AC10" t="s">
        <v>431</v>
      </c>
    </row>
    <row r="11" spans="1:29" x14ac:dyDescent="0.1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  <c r="G11" t="s">
        <v>418</v>
      </c>
      <c r="H11" t="s">
        <v>418</v>
      </c>
      <c r="I11" t="s">
        <v>418</v>
      </c>
      <c r="J11" t="s">
        <v>418</v>
      </c>
      <c r="K11" t="s">
        <v>418</v>
      </c>
      <c r="L11" t="s">
        <v>418</v>
      </c>
      <c r="M11" t="s">
        <v>418</v>
      </c>
      <c r="N11" t="s">
        <v>418</v>
      </c>
      <c r="O11" t="s">
        <v>418</v>
      </c>
      <c r="P11" t="s">
        <v>418</v>
      </c>
      <c r="Q11" t="s">
        <v>418</v>
      </c>
      <c r="R11" t="s">
        <v>418</v>
      </c>
      <c r="S11" t="s">
        <v>418</v>
      </c>
      <c r="T11" t="s">
        <v>418</v>
      </c>
      <c r="U11" t="s">
        <v>418</v>
      </c>
      <c r="V11" t="s">
        <v>418</v>
      </c>
      <c r="W11" t="s">
        <v>420</v>
      </c>
      <c r="X11" t="s">
        <v>136</v>
      </c>
      <c r="Y11" t="s">
        <v>372</v>
      </c>
      <c r="Z11" s="174">
        <v>45110</v>
      </c>
      <c r="AC11" t="s">
        <v>443</v>
      </c>
    </row>
    <row r="12" spans="1:29" x14ac:dyDescent="0.1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  <c r="G12" t="s">
        <v>418</v>
      </c>
      <c r="H12" t="s">
        <v>418</v>
      </c>
      <c r="I12" t="s">
        <v>418</v>
      </c>
      <c r="J12" t="s">
        <v>418</v>
      </c>
      <c r="K12" t="s">
        <v>418</v>
      </c>
      <c r="L12" t="s">
        <v>418</v>
      </c>
      <c r="M12" t="s">
        <v>418</v>
      </c>
      <c r="N12" t="s">
        <v>418</v>
      </c>
      <c r="O12" t="s">
        <v>418</v>
      </c>
      <c r="P12" t="s">
        <v>418</v>
      </c>
      <c r="Q12" t="s">
        <v>418</v>
      </c>
      <c r="R12" t="s">
        <v>418</v>
      </c>
      <c r="S12" t="s">
        <v>418</v>
      </c>
      <c r="T12" t="s">
        <v>418</v>
      </c>
      <c r="U12" t="s">
        <v>418</v>
      </c>
      <c r="V12" t="s">
        <v>418</v>
      </c>
      <c r="W12">
        <v>86</v>
      </c>
      <c r="X12" t="s">
        <v>136</v>
      </c>
      <c r="Y12" t="s">
        <v>361</v>
      </c>
      <c r="Z12" s="174">
        <v>45096</v>
      </c>
      <c r="AC12" t="s">
        <v>436</v>
      </c>
    </row>
    <row r="13" spans="1:29" x14ac:dyDescent="0.1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  <c r="G13" t="s">
        <v>418</v>
      </c>
      <c r="H13" t="s">
        <v>418</v>
      </c>
      <c r="I13" t="s">
        <v>418</v>
      </c>
      <c r="J13" t="s">
        <v>418</v>
      </c>
      <c r="K13" t="s">
        <v>418</v>
      </c>
      <c r="L13" t="s">
        <v>418</v>
      </c>
      <c r="M13" t="s">
        <v>418</v>
      </c>
      <c r="N13" t="s">
        <v>418</v>
      </c>
      <c r="O13" t="s">
        <v>418</v>
      </c>
      <c r="P13" t="s">
        <v>418</v>
      </c>
      <c r="Q13" t="s">
        <v>418</v>
      </c>
      <c r="R13" t="s">
        <v>418</v>
      </c>
      <c r="S13" t="s">
        <v>418</v>
      </c>
      <c r="T13" t="s">
        <v>418</v>
      </c>
      <c r="U13" t="s">
        <v>418</v>
      </c>
      <c r="V13" t="s">
        <v>418</v>
      </c>
      <c r="W13">
        <v>52</v>
      </c>
      <c r="X13" t="s">
        <v>196</v>
      </c>
      <c r="Y13" t="s">
        <v>289</v>
      </c>
      <c r="Z13" s="174">
        <v>45089</v>
      </c>
      <c r="AC13" t="s">
        <v>437</v>
      </c>
    </row>
    <row r="14" spans="1:29" x14ac:dyDescent="0.1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418</v>
      </c>
      <c r="G14" t="s">
        <v>418</v>
      </c>
      <c r="H14" t="s">
        <v>418</v>
      </c>
      <c r="I14" t="s">
        <v>418</v>
      </c>
      <c r="J14" t="s">
        <v>418</v>
      </c>
      <c r="K14" t="s">
        <v>418</v>
      </c>
      <c r="L14" t="s">
        <v>418</v>
      </c>
      <c r="M14" t="s">
        <v>418</v>
      </c>
      <c r="N14" t="s">
        <v>418</v>
      </c>
      <c r="O14" t="s">
        <v>418</v>
      </c>
      <c r="P14" t="s">
        <v>418</v>
      </c>
      <c r="Q14" t="s">
        <v>418</v>
      </c>
      <c r="R14" t="s">
        <v>418</v>
      </c>
      <c r="S14" t="s">
        <v>418</v>
      </c>
      <c r="T14" t="s">
        <v>418</v>
      </c>
      <c r="U14" t="s">
        <v>418</v>
      </c>
      <c r="V14" t="s">
        <v>418</v>
      </c>
      <c r="W14">
        <v>66</v>
      </c>
      <c r="X14" t="s">
        <v>350</v>
      </c>
      <c r="Y14" t="s">
        <v>352</v>
      </c>
      <c r="Z14" s="174">
        <v>45068</v>
      </c>
      <c r="AC14" t="s">
        <v>441</v>
      </c>
    </row>
    <row r="15" spans="1:29" x14ac:dyDescent="0.1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  <c r="G15" t="s">
        <v>418</v>
      </c>
      <c r="H15" t="s">
        <v>418</v>
      </c>
      <c r="I15" t="s">
        <v>418</v>
      </c>
      <c r="J15" t="s">
        <v>418</v>
      </c>
      <c r="K15" t="s">
        <v>418</v>
      </c>
      <c r="L15" t="s">
        <v>418</v>
      </c>
      <c r="M15" t="s">
        <v>418</v>
      </c>
      <c r="N15" t="s">
        <v>418</v>
      </c>
      <c r="O15" t="s">
        <v>418</v>
      </c>
      <c r="P15" t="s">
        <v>418</v>
      </c>
      <c r="Q15" t="s">
        <v>418</v>
      </c>
      <c r="R15" t="s">
        <v>418</v>
      </c>
      <c r="S15" t="s">
        <v>418</v>
      </c>
      <c r="T15" t="s">
        <v>418</v>
      </c>
      <c r="U15" t="s">
        <v>418</v>
      </c>
      <c r="V15" t="s">
        <v>418</v>
      </c>
      <c r="W15">
        <v>67</v>
      </c>
      <c r="X15" t="s">
        <v>305</v>
      </c>
      <c r="Y15" t="s">
        <v>289</v>
      </c>
      <c r="Z15" s="174">
        <v>45089</v>
      </c>
      <c r="AC15" t="s">
        <v>423</v>
      </c>
    </row>
    <row r="16" spans="1:29" x14ac:dyDescent="0.1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  <c r="G16" t="s">
        <v>418</v>
      </c>
      <c r="H16" t="s">
        <v>418</v>
      </c>
      <c r="I16" t="s">
        <v>418</v>
      </c>
      <c r="J16" t="s">
        <v>418</v>
      </c>
      <c r="K16" t="s">
        <v>418</v>
      </c>
      <c r="L16" t="s">
        <v>418</v>
      </c>
      <c r="M16" t="s">
        <v>418</v>
      </c>
      <c r="N16" t="s">
        <v>418</v>
      </c>
      <c r="O16" t="s">
        <v>418</v>
      </c>
      <c r="P16" t="s">
        <v>418</v>
      </c>
      <c r="Q16" t="s">
        <v>418</v>
      </c>
      <c r="R16" t="s">
        <v>418</v>
      </c>
      <c r="S16" t="s">
        <v>418</v>
      </c>
      <c r="T16" t="s">
        <v>418</v>
      </c>
      <c r="U16" t="s">
        <v>418</v>
      </c>
      <c r="V16" t="s">
        <v>418</v>
      </c>
      <c r="W16">
        <v>70</v>
      </c>
      <c r="X16" t="s">
        <v>196</v>
      </c>
      <c r="Y16" t="s">
        <v>349</v>
      </c>
      <c r="Z16" s="174">
        <v>45061</v>
      </c>
      <c r="AC16" t="s">
        <v>426</v>
      </c>
    </row>
    <row r="17" spans="1:35" x14ac:dyDescent="0.1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  <c r="G17" t="s">
        <v>418</v>
      </c>
      <c r="H17" t="s">
        <v>418</v>
      </c>
      <c r="I17" t="s">
        <v>418</v>
      </c>
      <c r="J17" t="s">
        <v>418</v>
      </c>
      <c r="K17" t="s">
        <v>418</v>
      </c>
      <c r="L17" t="s">
        <v>418</v>
      </c>
      <c r="M17" t="s">
        <v>418</v>
      </c>
      <c r="N17" t="s">
        <v>418</v>
      </c>
      <c r="O17" t="s">
        <v>418</v>
      </c>
      <c r="P17" t="s">
        <v>418</v>
      </c>
      <c r="Q17" t="s">
        <v>418</v>
      </c>
      <c r="R17" t="s">
        <v>418</v>
      </c>
      <c r="S17" t="s">
        <v>418</v>
      </c>
      <c r="T17" t="s">
        <v>418</v>
      </c>
      <c r="U17" t="s">
        <v>418</v>
      </c>
      <c r="V17" t="s">
        <v>418</v>
      </c>
      <c r="W17" t="s">
        <v>421</v>
      </c>
      <c r="X17" t="s">
        <v>258</v>
      </c>
      <c r="Y17" t="s">
        <v>290</v>
      </c>
      <c r="Z17" s="174">
        <v>45047</v>
      </c>
      <c r="AC17" t="s">
        <v>442</v>
      </c>
    </row>
    <row r="18" spans="1:35" x14ac:dyDescent="0.1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  <c r="G18" t="s">
        <v>418</v>
      </c>
      <c r="H18" t="s">
        <v>418</v>
      </c>
      <c r="I18" t="s">
        <v>418</v>
      </c>
      <c r="J18" t="s">
        <v>418</v>
      </c>
      <c r="K18" t="s">
        <v>418</v>
      </c>
      <c r="L18" t="s">
        <v>418</v>
      </c>
      <c r="M18" t="s">
        <v>418</v>
      </c>
      <c r="N18" t="s">
        <v>418</v>
      </c>
      <c r="O18" t="s">
        <v>418</v>
      </c>
      <c r="P18" t="s">
        <v>418</v>
      </c>
      <c r="Q18" t="s">
        <v>418</v>
      </c>
      <c r="R18" t="s">
        <v>418</v>
      </c>
      <c r="S18" t="s">
        <v>418</v>
      </c>
      <c r="T18" t="s">
        <v>418</v>
      </c>
      <c r="U18" t="s">
        <v>418</v>
      </c>
      <c r="V18" t="s">
        <v>418</v>
      </c>
      <c r="W18">
        <v>64</v>
      </c>
      <c r="X18" t="s">
        <v>221</v>
      </c>
      <c r="Y18" t="s">
        <v>351</v>
      </c>
      <c r="Z18" s="174">
        <v>45054</v>
      </c>
      <c r="AC18" t="s">
        <v>433</v>
      </c>
    </row>
    <row r="19" spans="1:35" x14ac:dyDescent="0.1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  <c r="G19" t="s">
        <v>418</v>
      </c>
      <c r="H19" t="s">
        <v>418</v>
      </c>
      <c r="I19" t="s">
        <v>418</v>
      </c>
      <c r="J19" t="s">
        <v>418</v>
      </c>
      <c r="K19" t="s">
        <v>418</v>
      </c>
      <c r="L19" t="s">
        <v>418</v>
      </c>
      <c r="M19" t="s">
        <v>418</v>
      </c>
      <c r="N19" t="s">
        <v>418</v>
      </c>
      <c r="O19" t="s">
        <v>418</v>
      </c>
      <c r="P19" t="s">
        <v>418</v>
      </c>
      <c r="Q19" t="s">
        <v>418</v>
      </c>
      <c r="R19" t="s">
        <v>418</v>
      </c>
      <c r="S19" t="s">
        <v>418</v>
      </c>
      <c r="T19" t="s">
        <v>418</v>
      </c>
      <c r="U19" t="s">
        <v>418</v>
      </c>
      <c r="V19" t="s">
        <v>418</v>
      </c>
      <c r="AC19" t="s">
        <v>429</v>
      </c>
    </row>
    <row r="20" spans="1:35" x14ac:dyDescent="0.1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  <c r="G20" t="s">
        <v>418</v>
      </c>
      <c r="H20" t="s">
        <v>418</v>
      </c>
      <c r="I20" t="s">
        <v>418</v>
      </c>
      <c r="J20" t="s">
        <v>418</v>
      </c>
      <c r="K20" t="s">
        <v>418</v>
      </c>
      <c r="L20" t="s">
        <v>418</v>
      </c>
      <c r="M20" t="s">
        <v>418</v>
      </c>
      <c r="N20" t="s">
        <v>418</v>
      </c>
      <c r="O20" t="s">
        <v>418</v>
      </c>
      <c r="P20" t="s">
        <v>418</v>
      </c>
      <c r="Q20" t="s">
        <v>418</v>
      </c>
      <c r="R20" t="s">
        <v>418</v>
      </c>
      <c r="S20" t="s">
        <v>418</v>
      </c>
      <c r="T20" t="s">
        <v>418</v>
      </c>
      <c r="U20" t="s">
        <v>418</v>
      </c>
      <c r="V20" t="s">
        <v>418</v>
      </c>
      <c r="AC20" t="s">
        <v>424</v>
      </c>
    </row>
    <row r="21" spans="1:35" x14ac:dyDescent="0.1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  <c r="G21" t="s">
        <v>418</v>
      </c>
      <c r="H21" t="s">
        <v>418</v>
      </c>
      <c r="I21" t="s">
        <v>418</v>
      </c>
      <c r="J21" t="s">
        <v>418</v>
      </c>
      <c r="K21" t="s">
        <v>418</v>
      </c>
      <c r="L21" t="s">
        <v>418</v>
      </c>
      <c r="M21" t="s">
        <v>418</v>
      </c>
      <c r="N21" t="s">
        <v>418</v>
      </c>
      <c r="O21" t="s">
        <v>418</v>
      </c>
      <c r="P21" t="s">
        <v>418</v>
      </c>
      <c r="Q21" t="s">
        <v>418</v>
      </c>
      <c r="R21" t="s">
        <v>418</v>
      </c>
      <c r="S21" t="s">
        <v>418</v>
      </c>
      <c r="T21" t="s">
        <v>418</v>
      </c>
      <c r="U21" t="s">
        <v>418</v>
      </c>
      <c r="V21" t="s">
        <v>418</v>
      </c>
      <c r="AC21" t="s">
        <v>432</v>
      </c>
    </row>
    <row r="22" spans="1:35" x14ac:dyDescent="0.1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  <c r="G22" t="s">
        <v>418</v>
      </c>
      <c r="H22" t="s">
        <v>418</v>
      </c>
      <c r="I22" t="s">
        <v>418</v>
      </c>
      <c r="J22" t="s">
        <v>418</v>
      </c>
      <c r="K22" t="s">
        <v>418</v>
      </c>
      <c r="L22" t="s">
        <v>418</v>
      </c>
      <c r="M22" t="s">
        <v>418</v>
      </c>
      <c r="N22" t="s">
        <v>418</v>
      </c>
      <c r="O22" t="s">
        <v>418</v>
      </c>
      <c r="P22" t="s">
        <v>418</v>
      </c>
      <c r="Q22" t="s">
        <v>418</v>
      </c>
      <c r="R22" t="s">
        <v>418</v>
      </c>
      <c r="S22" t="s">
        <v>418</v>
      </c>
      <c r="T22" t="s">
        <v>418</v>
      </c>
      <c r="U22" t="s">
        <v>418</v>
      </c>
      <c r="V22" t="s">
        <v>418</v>
      </c>
      <c r="AC22" t="s">
        <v>434</v>
      </c>
    </row>
    <row r="23" spans="1:35" ht="11.25" x14ac:dyDescent="0.1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  <c r="G23" t="s">
        <v>418</v>
      </c>
      <c r="H23" t="s">
        <v>418</v>
      </c>
      <c r="I23" t="s">
        <v>418</v>
      </c>
      <c r="J23" t="s">
        <v>418</v>
      </c>
      <c r="K23" t="s">
        <v>418</v>
      </c>
      <c r="L23" t="s">
        <v>418</v>
      </c>
      <c r="M23" t="s">
        <v>418</v>
      </c>
      <c r="N23" t="s">
        <v>418</v>
      </c>
      <c r="O23" t="s">
        <v>418</v>
      </c>
      <c r="P23" t="s">
        <v>418</v>
      </c>
      <c r="Q23" t="s">
        <v>418</v>
      </c>
      <c r="R23" t="s">
        <v>418</v>
      </c>
      <c r="S23" t="s">
        <v>418</v>
      </c>
      <c r="T23" t="s">
        <v>418</v>
      </c>
      <c r="U23" t="s">
        <v>418</v>
      </c>
      <c r="V23" t="s">
        <v>418</v>
      </c>
      <c r="AC23" t="s">
        <v>444</v>
      </c>
      <c r="AH23" s="159">
        <v>0</v>
      </c>
      <c r="AI23" s="155" t="s">
        <v>204</v>
      </c>
    </row>
    <row r="24" spans="1:35" ht="11.25" x14ac:dyDescent="0.1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  <c r="G24" t="s">
        <v>418</v>
      </c>
      <c r="H24" t="s">
        <v>418</v>
      </c>
      <c r="I24" t="s">
        <v>418</v>
      </c>
      <c r="J24" t="s">
        <v>418</v>
      </c>
      <c r="K24" t="s">
        <v>418</v>
      </c>
      <c r="L24" t="s">
        <v>418</v>
      </c>
      <c r="M24" t="s">
        <v>418</v>
      </c>
      <c r="N24" t="s">
        <v>418</v>
      </c>
      <c r="O24" t="s">
        <v>418</v>
      </c>
      <c r="P24" t="s">
        <v>418</v>
      </c>
      <c r="Q24" t="s">
        <v>418</v>
      </c>
      <c r="R24" t="s">
        <v>418</v>
      </c>
      <c r="S24" t="s">
        <v>418</v>
      </c>
      <c r="T24" t="s">
        <v>418</v>
      </c>
      <c r="U24" t="s">
        <v>418</v>
      </c>
      <c r="V24" t="s">
        <v>418</v>
      </c>
      <c r="AC24" t="s">
        <v>422</v>
      </c>
      <c r="AH24" s="124">
        <v>0</v>
      </c>
      <c r="AI24" t="s">
        <v>312</v>
      </c>
    </row>
    <row r="25" spans="1:35" ht="11.25" x14ac:dyDescent="0.1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  <c r="G25" t="s">
        <v>418</v>
      </c>
      <c r="H25" t="s">
        <v>418</v>
      </c>
      <c r="I25" t="s">
        <v>418</v>
      </c>
      <c r="J25" t="s">
        <v>418</v>
      </c>
      <c r="K25" t="s">
        <v>418</v>
      </c>
      <c r="L25" t="s">
        <v>418</v>
      </c>
      <c r="M25" t="s">
        <v>418</v>
      </c>
      <c r="N25" t="s">
        <v>418</v>
      </c>
      <c r="O25" t="s">
        <v>418</v>
      </c>
      <c r="P25" t="s">
        <v>418</v>
      </c>
      <c r="Q25" t="s">
        <v>418</v>
      </c>
      <c r="R25" t="s">
        <v>418</v>
      </c>
      <c r="S25" t="s">
        <v>418</v>
      </c>
      <c r="T25" t="s">
        <v>418</v>
      </c>
      <c r="U25" t="s">
        <v>418</v>
      </c>
      <c r="V25" t="s">
        <v>418</v>
      </c>
      <c r="AC25" t="s">
        <v>428</v>
      </c>
      <c r="AH25" s="124">
        <v>0</v>
      </c>
      <c r="AI25" t="s">
        <v>324</v>
      </c>
    </row>
    <row r="26" spans="1:35" ht="11.25" x14ac:dyDescent="0.1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  <c r="G26" t="s">
        <v>418</v>
      </c>
      <c r="H26" t="s">
        <v>418</v>
      </c>
      <c r="I26" t="s">
        <v>418</v>
      </c>
      <c r="J26" t="s">
        <v>418</v>
      </c>
      <c r="K26" t="s">
        <v>418</v>
      </c>
      <c r="L26" t="s">
        <v>418</v>
      </c>
      <c r="M26" t="s">
        <v>418</v>
      </c>
      <c r="N26" t="s">
        <v>418</v>
      </c>
      <c r="O26" t="s">
        <v>418</v>
      </c>
      <c r="P26" t="s">
        <v>418</v>
      </c>
      <c r="Q26" t="s">
        <v>418</v>
      </c>
      <c r="R26" t="s">
        <v>418</v>
      </c>
      <c r="S26" t="s">
        <v>418</v>
      </c>
      <c r="T26" t="s">
        <v>418</v>
      </c>
      <c r="U26" t="s">
        <v>418</v>
      </c>
      <c r="V26" t="s">
        <v>418</v>
      </c>
      <c r="AC26" t="s">
        <v>430</v>
      </c>
      <c r="AH26" s="159">
        <v>0</v>
      </c>
      <c r="AI26" s="155" t="s">
        <v>300</v>
      </c>
    </row>
    <row r="27" spans="1:35" ht="11.25" x14ac:dyDescent="0.1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  <c r="G27" t="s">
        <v>418</v>
      </c>
      <c r="H27" t="s">
        <v>418</v>
      </c>
      <c r="I27" t="s">
        <v>418</v>
      </c>
      <c r="J27" t="s">
        <v>418</v>
      </c>
      <c r="K27" t="s">
        <v>418</v>
      </c>
      <c r="L27" t="s">
        <v>418</v>
      </c>
      <c r="M27" t="s">
        <v>418</v>
      </c>
      <c r="N27" t="s">
        <v>418</v>
      </c>
      <c r="O27" t="s">
        <v>418</v>
      </c>
      <c r="P27" t="s">
        <v>418</v>
      </c>
      <c r="Q27" t="s">
        <v>418</v>
      </c>
      <c r="R27" t="s">
        <v>418</v>
      </c>
      <c r="S27" t="s">
        <v>418</v>
      </c>
      <c r="T27" t="s">
        <v>418</v>
      </c>
      <c r="U27" t="s">
        <v>418</v>
      </c>
      <c r="V27" t="s">
        <v>418</v>
      </c>
      <c r="AC27" t="s">
        <v>425</v>
      </c>
      <c r="AH27" s="159">
        <v>0</v>
      </c>
      <c r="AI27" s="155" t="s">
        <v>322</v>
      </c>
    </row>
    <row r="28" spans="1:35" ht="11.25" x14ac:dyDescent="0.1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  <c r="G28" t="s">
        <v>418</v>
      </c>
      <c r="H28" t="s">
        <v>418</v>
      </c>
      <c r="I28" t="s">
        <v>418</v>
      </c>
      <c r="J28" t="s">
        <v>418</v>
      </c>
      <c r="K28" t="s">
        <v>418</v>
      </c>
      <c r="L28" t="s">
        <v>418</v>
      </c>
      <c r="M28" t="s">
        <v>418</v>
      </c>
      <c r="N28" t="s">
        <v>418</v>
      </c>
      <c r="O28" t="s">
        <v>418</v>
      </c>
      <c r="P28" t="s">
        <v>418</v>
      </c>
      <c r="Q28" t="s">
        <v>418</v>
      </c>
      <c r="R28" t="s">
        <v>418</v>
      </c>
      <c r="S28" t="s">
        <v>418</v>
      </c>
      <c r="T28" t="s">
        <v>418</v>
      </c>
      <c r="U28" t="s">
        <v>418</v>
      </c>
      <c r="V28" t="s">
        <v>418</v>
      </c>
      <c r="AC28" t="s">
        <v>438</v>
      </c>
      <c r="AH28" s="159">
        <v>0</v>
      </c>
      <c r="AI28" s="155" t="s">
        <v>326</v>
      </c>
    </row>
    <row r="29" spans="1:35" ht="11.25" x14ac:dyDescent="0.1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  <c r="G29" t="s">
        <v>418</v>
      </c>
      <c r="H29" t="s">
        <v>418</v>
      </c>
      <c r="I29" t="s">
        <v>418</v>
      </c>
      <c r="J29" t="s">
        <v>418</v>
      </c>
      <c r="K29" t="s">
        <v>418</v>
      </c>
      <c r="L29" t="s">
        <v>418</v>
      </c>
      <c r="M29" t="s">
        <v>418</v>
      </c>
      <c r="N29" t="s">
        <v>418</v>
      </c>
      <c r="O29" t="s">
        <v>418</v>
      </c>
      <c r="P29" t="s">
        <v>418</v>
      </c>
      <c r="Q29" t="s">
        <v>418</v>
      </c>
      <c r="R29" t="s">
        <v>418</v>
      </c>
      <c r="S29" t="s">
        <v>418</v>
      </c>
      <c r="T29" t="s">
        <v>418</v>
      </c>
      <c r="U29" t="s">
        <v>418</v>
      </c>
      <c r="V29" t="s">
        <v>418</v>
      </c>
      <c r="AC29" t="s">
        <v>439</v>
      </c>
      <c r="AH29" s="159">
        <v>0</v>
      </c>
      <c r="AI29" s="155" t="s">
        <v>257</v>
      </c>
    </row>
    <row r="30" spans="1:35" ht="11.25" x14ac:dyDescent="0.1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  <c r="G30" t="s">
        <v>418</v>
      </c>
      <c r="H30" t="s">
        <v>418</v>
      </c>
      <c r="I30" t="s">
        <v>418</v>
      </c>
      <c r="J30" t="s">
        <v>418</v>
      </c>
      <c r="K30" t="s">
        <v>418</v>
      </c>
      <c r="L30" t="s">
        <v>418</v>
      </c>
      <c r="M30" t="s">
        <v>418</v>
      </c>
      <c r="N30" t="s">
        <v>418</v>
      </c>
      <c r="O30" t="s">
        <v>418</v>
      </c>
      <c r="P30" t="s">
        <v>418</v>
      </c>
      <c r="Q30" t="s">
        <v>418</v>
      </c>
      <c r="R30" t="s">
        <v>418</v>
      </c>
      <c r="S30" t="s">
        <v>418</v>
      </c>
      <c r="T30" t="s">
        <v>418</v>
      </c>
      <c r="U30" t="s">
        <v>418</v>
      </c>
      <c r="V30" t="s">
        <v>418</v>
      </c>
      <c r="AC30" t="s">
        <v>435</v>
      </c>
      <c r="AH30" s="159">
        <v>0</v>
      </c>
      <c r="AI30" s="155" t="s">
        <v>264</v>
      </c>
    </row>
    <row r="31" spans="1:35" x14ac:dyDescent="0.15">
      <c r="A31" t="s">
        <v>418</v>
      </c>
      <c r="B31" t="s">
        <v>418</v>
      </c>
      <c r="C31" t="s">
        <v>418</v>
      </c>
      <c r="D31" t="s">
        <v>418</v>
      </c>
      <c r="E31" t="s">
        <v>418</v>
      </c>
      <c r="F31" t="s">
        <v>418</v>
      </c>
      <c r="G31" t="s">
        <v>418</v>
      </c>
      <c r="H31" t="s">
        <v>418</v>
      </c>
      <c r="I31" t="s">
        <v>418</v>
      </c>
      <c r="J31" t="s">
        <v>418</v>
      </c>
      <c r="K31" t="s">
        <v>418</v>
      </c>
      <c r="L31" t="s">
        <v>418</v>
      </c>
      <c r="M31" t="s">
        <v>418</v>
      </c>
      <c r="N31" t="s">
        <v>418</v>
      </c>
      <c r="O31" t="s">
        <v>418</v>
      </c>
      <c r="P31" t="s">
        <v>418</v>
      </c>
      <c r="Q31" t="s">
        <v>418</v>
      </c>
      <c r="R31" t="s">
        <v>418</v>
      </c>
      <c r="S31" t="s">
        <v>418</v>
      </c>
      <c r="T31" t="s">
        <v>418</v>
      </c>
      <c r="U31" t="s">
        <v>418</v>
      </c>
      <c r="V31" t="s">
        <v>418</v>
      </c>
      <c r="AC31" t="s">
        <v>440</v>
      </c>
      <c r="AH31" s="124">
        <v>0</v>
      </c>
      <c r="AI31" t="s">
        <v>229</v>
      </c>
    </row>
    <row r="32" spans="1:35" x14ac:dyDescent="0.1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  <c r="G32" t="s">
        <v>418</v>
      </c>
      <c r="H32" t="s">
        <v>418</v>
      </c>
      <c r="I32" t="s">
        <v>418</v>
      </c>
      <c r="J32" t="s">
        <v>418</v>
      </c>
      <c r="K32" t="s">
        <v>418</v>
      </c>
      <c r="L32" t="s">
        <v>418</v>
      </c>
      <c r="M32" t="s">
        <v>418</v>
      </c>
      <c r="N32" t="s">
        <v>418</v>
      </c>
      <c r="O32" t="s">
        <v>418</v>
      </c>
      <c r="P32" t="s">
        <v>418</v>
      </c>
      <c r="Q32" t="s">
        <v>418</v>
      </c>
      <c r="R32" t="s">
        <v>418</v>
      </c>
      <c r="S32" t="s">
        <v>418</v>
      </c>
      <c r="T32" t="s">
        <v>418</v>
      </c>
      <c r="U32" t="s">
        <v>418</v>
      </c>
      <c r="V32" t="s">
        <v>418</v>
      </c>
      <c r="AC32" t="s">
        <v>427</v>
      </c>
      <c r="AH32" s="124">
        <v>0</v>
      </c>
      <c r="AI32" t="s">
        <v>302</v>
      </c>
    </row>
    <row r="33" spans="1:35" x14ac:dyDescent="0.1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  <c r="G33" t="s">
        <v>418</v>
      </c>
      <c r="H33" t="s">
        <v>418</v>
      </c>
      <c r="I33" t="s">
        <v>418</v>
      </c>
      <c r="J33" t="s">
        <v>418</v>
      </c>
      <c r="K33" t="s">
        <v>418</v>
      </c>
      <c r="L33" t="s">
        <v>418</v>
      </c>
      <c r="M33" t="s">
        <v>418</v>
      </c>
      <c r="N33" t="s">
        <v>418</v>
      </c>
      <c r="O33" t="s">
        <v>418</v>
      </c>
      <c r="P33" t="s">
        <v>418</v>
      </c>
      <c r="Q33" t="s">
        <v>418</v>
      </c>
      <c r="R33" t="s">
        <v>418</v>
      </c>
      <c r="S33" t="s">
        <v>418</v>
      </c>
      <c r="T33" t="s">
        <v>418</v>
      </c>
      <c r="U33" t="s">
        <v>418</v>
      </c>
      <c r="V33" t="s">
        <v>418</v>
      </c>
      <c r="AH33" s="124">
        <v>0</v>
      </c>
      <c r="AI33" t="s">
        <v>253</v>
      </c>
    </row>
    <row r="34" spans="1:35" x14ac:dyDescent="0.15">
      <c r="A34" t="s">
        <v>418</v>
      </c>
      <c r="B34" t="s">
        <v>418</v>
      </c>
      <c r="C34" t="s">
        <v>418</v>
      </c>
      <c r="D34" t="s">
        <v>418</v>
      </c>
      <c r="F34" t="s">
        <v>418</v>
      </c>
      <c r="G34" t="s">
        <v>418</v>
      </c>
      <c r="H34" t="s">
        <v>418</v>
      </c>
      <c r="I34" t="s">
        <v>418</v>
      </c>
      <c r="J34" t="s">
        <v>418</v>
      </c>
      <c r="K34" t="s">
        <v>418</v>
      </c>
      <c r="L34" t="s">
        <v>418</v>
      </c>
      <c r="M34" t="s">
        <v>418</v>
      </c>
      <c r="N34" t="s">
        <v>418</v>
      </c>
      <c r="O34" t="s">
        <v>418</v>
      </c>
      <c r="P34" t="s">
        <v>418</v>
      </c>
      <c r="Q34" t="s">
        <v>418</v>
      </c>
      <c r="R34" t="s">
        <v>418</v>
      </c>
      <c r="S34" t="s">
        <v>418</v>
      </c>
      <c r="T34" t="s">
        <v>418</v>
      </c>
      <c r="V34" t="s">
        <v>418</v>
      </c>
      <c r="AH34" s="124">
        <v>0</v>
      </c>
      <c r="AI34" t="s">
        <v>295</v>
      </c>
    </row>
    <row r="35" spans="1:35" x14ac:dyDescent="0.1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  <c r="G35" t="s">
        <v>418</v>
      </c>
      <c r="H35" t="s">
        <v>418</v>
      </c>
      <c r="I35" t="s">
        <v>418</v>
      </c>
      <c r="J35" t="s">
        <v>418</v>
      </c>
      <c r="K35" t="s">
        <v>418</v>
      </c>
      <c r="L35" t="s">
        <v>418</v>
      </c>
      <c r="M35" t="s">
        <v>418</v>
      </c>
      <c r="N35" t="s">
        <v>418</v>
      </c>
      <c r="O35" t="s">
        <v>418</v>
      </c>
      <c r="P35" t="s">
        <v>418</v>
      </c>
      <c r="Q35" t="s">
        <v>418</v>
      </c>
      <c r="R35" t="s">
        <v>418</v>
      </c>
      <c r="S35" t="s">
        <v>418</v>
      </c>
      <c r="T35" t="s">
        <v>418</v>
      </c>
      <c r="U35" t="s">
        <v>418</v>
      </c>
      <c r="V35" t="s">
        <v>418</v>
      </c>
      <c r="AH35" s="124">
        <v>0</v>
      </c>
      <c r="AI35" t="s">
        <v>271</v>
      </c>
    </row>
    <row r="36" spans="1:35" ht="11.25" x14ac:dyDescent="0.1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  <c r="G36" t="s">
        <v>418</v>
      </c>
      <c r="H36" t="s">
        <v>418</v>
      </c>
      <c r="I36" t="s">
        <v>418</v>
      </c>
      <c r="J36" t="s">
        <v>418</v>
      </c>
      <c r="K36" t="s">
        <v>418</v>
      </c>
      <c r="L36" t="s">
        <v>418</v>
      </c>
      <c r="M36" t="s">
        <v>418</v>
      </c>
      <c r="N36" t="s">
        <v>418</v>
      </c>
      <c r="O36" t="s">
        <v>418</v>
      </c>
      <c r="P36" t="s">
        <v>418</v>
      </c>
      <c r="Q36" t="s">
        <v>418</v>
      </c>
      <c r="R36" t="s">
        <v>418</v>
      </c>
      <c r="S36" t="s">
        <v>418</v>
      </c>
      <c r="T36" t="s">
        <v>418</v>
      </c>
      <c r="U36" t="s">
        <v>418</v>
      </c>
      <c r="V36" t="s">
        <v>418</v>
      </c>
      <c r="AH36" s="124">
        <v>0</v>
      </c>
      <c r="AI36" t="s">
        <v>243</v>
      </c>
    </row>
    <row r="37" spans="1:35" ht="11.25" x14ac:dyDescent="0.1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  <c r="G37" t="s">
        <v>418</v>
      </c>
      <c r="H37" t="s">
        <v>418</v>
      </c>
      <c r="I37" t="s">
        <v>418</v>
      </c>
      <c r="J37" t="s">
        <v>418</v>
      </c>
      <c r="K37" t="s">
        <v>418</v>
      </c>
      <c r="L37" t="s">
        <v>418</v>
      </c>
      <c r="M37" t="s">
        <v>418</v>
      </c>
      <c r="N37" t="s">
        <v>418</v>
      </c>
      <c r="O37" t="s">
        <v>418</v>
      </c>
      <c r="P37" t="s">
        <v>418</v>
      </c>
      <c r="Q37" t="s">
        <v>418</v>
      </c>
      <c r="R37" t="s">
        <v>418</v>
      </c>
      <c r="S37" t="s">
        <v>418</v>
      </c>
      <c r="T37" t="s">
        <v>418</v>
      </c>
      <c r="U37" t="s">
        <v>418</v>
      </c>
      <c r="V37" t="s">
        <v>418</v>
      </c>
      <c r="AH37" s="124">
        <v>0</v>
      </c>
      <c r="AI37" t="s">
        <v>248</v>
      </c>
    </row>
    <row r="38" spans="1:35" x14ac:dyDescent="0.1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  <c r="G38" t="s">
        <v>418</v>
      </c>
      <c r="H38" t="s">
        <v>418</v>
      </c>
      <c r="I38" t="s">
        <v>418</v>
      </c>
      <c r="J38" t="s">
        <v>418</v>
      </c>
      <c r="K38" t="s">
        <v>418</v>
      </c>
      <c r="L38" t="s">
        <v>418</v>
      </c>
      <c r="M38" t="s">
        <v>418</v>
      </c>
      <c r="N38" t="s">
        <v>418</v>
      </c>
      <c r="O38" t="s">
        <v>418</v>
      </c>
      <c r="P38" t="s">
        <v>418</v>
      </c>
      <c r="Q38" t="s">
        <v>418</v>
      </c>
      <c r="R38" t="s">
        <v>418</v>
      </c>
      <c r="S38" t="s">
        <v>418</v>
      </c>
      <c r="T38" t="s">
        <v>418</v>
      </c>
      <c r="U38" t="s">
        <v>418</v>
      </c>
      <c r="V38" t="s">
        <v>418</v>
      </c>
      <c r="AH38" s="124">
        <v>0</v>
      </c>
      <c r="AI38" t="s">
        <v>327</v>
      </c>
    </row>
    <row r="39" spans="1:35" x14ac:dyDescent="0.1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  <c r="G39" t="s">
        <v>418</v>
      </c>
      <c r="H39" t="s">
        <v>418</v>
      </c>
      <c r="I39" t="s">
        <v>418</v>
      </c>
      <c r="J39" t="s">
        <v>418</v>
      </c>
      <c r="K39" t="s">
        <v>418</v>
      </c>
      <c r="L39" t="s">
        <v>418</v>
      </c>
      <c r="M39" t="s">
        <v>418</v>
      </c>
      <c r="N39" t="s">
        <v>418</v>
      </c>
      <c r="O39" t="s">
        <v>418</v>
      </c>
      <c r="P39" t="s">
        <v>418</v>
      </c>
      <c r="Q39" t="s">
        <v>418</v>
      </c>
      <c r="R39" t="s">
        <v>418</v>
      </c>
      <c r="S39" t="s">
        <v>418</v>
      </c>
      <c r="T39" t="s">
        <v>418</v>
      </c>
      <c r="U39" t="s">
        <v>418</v>
      </c>
      <c r="V39" t="s">
        <v>418</v>
      </c>
      <c r="AH39" s="124">
        <v>0</v>
      </c>
      <c r="AI39" t="s">
        <v>232</v>
      </c>
    </row>
    <row r="40" spans="1:35" x14ac:dyDescent="0.1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  <c r="G40" t="s">
        <v>418</v>
      </c>
      <c r="H40" t="s">
        <v>418</v>
      </c>
      <c r="I40" t="s">
        <v>418</v>
      </c>
      <c r="J40" t="s">
        <v>418</v>
      </c>
      <c r="K40" t="s">
        <v>418</v>
      </c>
      <c r="L40" t="s">
        <v>418</v>
      </c>
      <c r="M40" t="s">
        <v>418</v>
      </c>
      <c r="N40" t="s">
        <v>418</v>
      </c>
      <c r="O40" t="s">
        <v>418</v>
      </c>
      <c r="P40" t="s">
        <v>418</v>
      </c>
      <c r="Q40" t="s">
        <v>418</v>
      </c>
      <c r="R40" t="s">
        <v>418</v>
      </c>
      <c r="S40" t="s">
        <v>418</v>
      </c>
      <c r="T40" t="s">
        <v>418</v>
      </c>
      <c r="U40" t="s">
        <v>418</v>
      </c>
      <c r="V40" t="s">
        <v>418</v>
      </c>
      <c r="AH40" s="124">
        <v>0</v>
      </c>
      <c r="AI40" t="s">
        <v>251</v>
      </c>
    </row>
    <row r="41" spans="1:35" ht="11.25" x14ac:dyDescent="0.1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  <c r="G41" t="s">
        <v>418</v>
      </c>
      <c r="H41" t="s">
        <v>418</v>
      </c>
      <c r="I41" t="s">
        <v>418</v>
      </c>
      <c r="J41" t="s">
        <v>418</v>
      </c>
      <c r="K41" t="s">
        <v>418</v>
      </c>
      <c r="L41" t="s">
        <v>418</v>
      </c>
      <c r="M41" t="s">
        <v>418</v>
      </c>
      <c r="N41" t="s">
        <v>418</v>
      </c>
      <c r="O41" t="s">
        <v>418</v>
      </c>
      <c r="P41" t="s">
        <v>418</v>
      </c>
      <c r="Q41" t="s">
        <v>418</v>
      </c>
      <c r="R41" t="s">
        <v>418</v>
      </c>
      <c r="S41" t="s">
        <v>418</v>
      </c>
      <c r="T41" t="s">
        <v>418</v>
      </c>
      <c r="U41" t="s">
        <v>418</v>
      </c>
      <c r="V41" t="s">
        <v>418</v>
      </c>
      <c r="AH41" s="159">
        <v>1</v>
      </c>
      <c r="AI41" s="155" t="s">
        <v>377</v>
      </c>
    </row>
    <row r="42" spans="1:35" ht="11.25" x14ac:dyDescent="0.1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  <c r="G42" t="s">
        <v>418</v>
      </c>
      <c r="H42" t="s">
        <v>418</v>
      </c>
      <c r="I42" t="s">
        <v>418</v>
      </c>
      <c r="J42" t="s">
        <v>418</v>
      </c>
      <c r="K42" t="s">
        <v>418</v>
      </c>
      <c r="L42" t="s">
        <v>418</v>
      </c>
      <c r="M42" t="s">
        <v>418</v>
      </c>
      <c r="N42" t="s">
        <v>418</v>
      </c>
      <c r="O42" t="s">
        <v>418</v>
      </c>
      <c r="P42" t="s">
        <v>418</v>
      </c>
      <c r="Q42" t="s">
        <v>418</v>
      </c>
      <c r="R42" t="s">
        <v>418</v>
      </c>
      <c r="S42" t="s">
        <v>418</v>
      </c>
      <c r="T42" t="s">
        <v>418</v>
      </c>
      <c r="U42" t="s">
        <v>418</v>
      </c>
      <c r="V42" t="s">
        <v>418</v>
      </c>
      <c r="AH42" s="124">
        <v>1</v>
      </c>
      <c r="AI42" t="s">
        <v>272</v>
      </c>
    </row>
    <row r="43" spans="1:35" ht="11.25" x14ac:dyDescent="0.1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  <c r="G43" t="s">
        <v>418</v>
      </c>
      <c r="H43" t="s">
        <v>418</v>
      </c>
      <c r="I43" t="s">
        <v>418</v>
      </c>
      <c r="J43" t="s">
        <v>418</v>
      </c>
      <c r="K43" t="s">
        <v>418</v>
      </c>
      <c r="L43" t="s">
        <v>418</v>
      </c>
      <c r="M43" t="s">
        <v>418</v>
      </c>
      <c r="N43" t="s">
        <v>418</v>
      </c>
      <c r="O43" t="s">
        <v>418</v>
      </c>
      <c r="P43" t="s">
        <v>418</v>
      </c>
      <c r="Q43" t="s">
        <v>418</v>
      </c>
      <c r="R43" t="s">
        <v>418</v>
      </c>
      <c r="S43" t="s">
        <v>418</v>
      </c>
      <c r="T43" t="s">
        <v>418</v>
      </c>
      <c r="U43" t="s">
        <v>418</v>
      </c>
      <c r="V43" t="s">
        <v>418</v>
      </c>
      <c r="AH43" s="124">
        <v>1</v>
      </c>
      <c r="AI43" t="s">
        <v>187</v>
      </c>
    </row>
    <row r="44" spans="1:35" ht="11.25" x14ac:dyDescent="0.15">
      <c r="A44" t="s">
        <v>418</v>
      </c>
      <c r="B44" t="s">
        <v>418</v>
      </c>
      <c r="C44" t="s">
        <v>418</v>
      </c>
      <c r="E44" t="s">
        <v>418</v>
      </c>
      <c r="F44" t="s">
        <v>418</v>
      </c>
      <c r="G44" t="s">
        <v>418</v>
      </c>
      <c r="H44" t="s">
        <v>418</v>
      </c>
      <c r="J44" t="s">
        <v>418</v>
      </c>
      <c r="K44" t="s">
        <v>418</v>
      </c>
      <c r="L44" t="s">
        <v>418</v>
      </c>
      <c r="M44" t="s">
        <v>418</v>
      </c>
      <c r="N44" t="s">
        <v>418</v>
      </c>
      <c r="O44" t="s">
        <v>418</v>
      </c>
      <c r="P44" t="s">
        <v>418</v>
      </c>
      <c r="Q44" t="s">
        <v>418</v>
      </c>
      <c r="R44" t="s">
        <v>418</v>
      </c>
      <c r="S44" t="s">
        <v>418</v>
      </c>
      <c r="T44" t="s">
        <v>418</v>
      </c>
      <c r="U44" t="s">
        <v>418</v>
      </c>
      <c r="V44" t="s">
        <v>418</v>
      </c>
      <c r="AH44" s="159">
        <v>1</v>
      </c>
      <c r="AI44" s="155" t="s">
        <v>161</v>
      </c>
    </row>
    <row r="45" spans="1:35" ht="11.25" x14ac:dyDescent="0.15">
      <c r="A45" t="s">
        <v>418</v>
      </c>
      <c r="C45" t="s">
        <v>418</v>
      </c>
      <c r="D45" t="s">
        <v>418</v>
      </c>
      <c r="E45" t="s">
        <v>418</v>
      </c>
      <c r="F45" t="s">
        <v>418</v>
      </c>
      <c r="G45" t="s">
        <v>418</v>
      </c>
      <c r="H45" t="s">
        <v>418</v>
      </c>
      <c r="I45" t="s">
        <v>418</v>
      </c>
      <c r="J45" t="s">
        <v>418</v>
      </c>
      <c r="K45" t="s">
        <v>418</v>
      </c>
      <c r="L45" t="s">
        <v>418</v>
      </c>
      <c r="M45" t="s">
        <v>418</v>
      </c>
      <c r="N45" t="s">
        <v>418</v>
      </c>
      <c r="O45" t="s">
        <v>418</v>
      </c>
      <c r="P45" t="s">
        <v>418</v>
      </c>
      <c r="Q45" t="s">
        <v>418</v>
      </c>
      <c r="R45" t="s">
        <v>418</v>
      </c>
      <c r="S45" t="s">
        <v>418</v>
      </c>
      <c r="T45" t="s">
        <v>418</v>
      </c>
      <c r="U45" t="s">
        <v>418</v>
      </c>
      <c r="V45" t="s">
        <v>418</v>
      </c>
      <c r="AH45" s="159">
        <v>1</v>
      </c>
      <c r="AI45" s="155" t="s">
        <v>360</v>
      </c>
    </row>
    <row r="46" spans="1:35" ht="11.25" x14ac:dyDescent="0.1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  <c r="G46" t="s">
        <v>418</v>
      </c>
      <c r="H46" t="s">
        <v>418</v>
      </c>
      <c r="I46" t="s">
        <v>418</v>
      </c>
      <c r="K46" t="s">
        <v>418</v>
      </c>
      <c r="M46" t="s">
        <v>418</v>
      </c>
      <c r="N46" t="s">
        <v>418</v>
      </c>
      <c r="O46" t="s">
        <v>418</v>
      </c>
      <c r="P46" t="s">
        <v>418</v>
      </c>
      <c r="Q46" t="s">
        <v>418</v>
      </c>
      <c r="R46" t="s">
        <v>418</v>
      </c>
      <c r="S46" t="s">
        <v>418</v>
      </c>
      <c r="T46" t="s">
        <v>418</v>
      </c>
      <c r="U46" t="s">
        <v>418</v>
      </c>
      <c r="V46" t="s">
        <v>418</v>
      </c>
      <c r="AH46" s="159">
        <v>1</v>
      </c>
      <c r="AI46" s="155" t="s">
        <v>379</v>
      </c>
    </row>
    <row r="47" spans="1:35" ht="11.25" x14ac:dyDescent="0.1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  <c r="G47" t="s">
        <v>418</v>
      </c>
      <c r="H47" t="s">
        <v>418</v>
      </c>
      <c r="I47" t="s">
        <v>418</v>
      </c>
      <c r="J47" t="s">
        <v>418</v>
      </c>
      <c r="K47" t="s">
        <v>418</v>
      </c>
      <c r="L47" t="s">
        <v>418</v>
      </c>
      <c r="M47" t="s">
        <v>418</v>
      </c>
      <c r="N47" t="s">
        <v>418</v>
      </c>
      <c r="O47" t="s">
        <v>418</v>
      </c>
      <c r="P47" t="s">
        <v>418</v>
      </c>
      <c r="Q47" t="s">
        <v>418</v>
      </c>
      <c r="R47" t="s">
        <v>418</v>
      </c>
      <c r="S47" t="s">
        <v>418</v>
      </c>
      <c r="T47" t="s">
        <v>418</v>
      </c>
      <c r="U47" t="s">
        <v>418</v>
      </c>
      <c r="V47" t="s">
        <v>418</v>
      </c>
      <c r="AH47" s="159">
        <v>1</v>
      </c>
      <c r="AI47" s="155" t="s">
        <v>391</v>
      </c>
    </row>
    <row r="48" spans="1:35" ht="11.25" x14ac:dyDescent="0.1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  <c r="G48" t="s">
        <v>418</v>
      </c>
      <c r="H48" t="s">
        <v>418</v>
      </c>
      <c r="I48" t="s">
        <v>418</v>
      </c>
      <c r="J48" t="s">
        <v>418</v>
      </c>
      <c r="K48" t="s">
        <v>418</v>
      </c>
      <c r="L48" t="s">
        <v>418</v>
      </c>
      <c r="M48" t="s">
        <v>418</v>
      </c>
      <c r="N48" t="s">
        <v>418</v>
      </c>
      <c r="O48" t="s">
        <v>418</v>
      </c>
      <c r="P48" t="s">
        <v>418</v>
      </c>
      <c r="Q48" t="s">
        <v>418</v>
      </c>
      <c r="R48" t="s">
        <v>418</v>
      </c>
      <c r="S48" t="s">
        <v>418</v>
      </c>
      <c r="T48" t="s">
        <v>418</v>
      </c>
      <c r="U48" t="s">
        <v>418</v>
      </c>
      <c r="V48" t="s">
        <v>418</v>
      </c>
      <c r="AH48" s="159">
        <v>1</v>
      </c>
      <c r="AI48" s="155" t="s">
        <v>374</v>
      </c>
    </row>
    <row r="49" spans="1:35" ht="11.25" x14ac:dyDescent="0.1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  <c r="G49" t="s">
        <v>418</v>
      </c>
      <c r="H49" t="s">
        <v>418</v>
      </c>
      <c r="I49" t="s">
        <v>418</v>
      </c>
      <c r="J49" t="s">
        <v>418</v>
      </c>
      <c r="K49" t="s">
        <v>418</v>
      </c>
      <c r="L49" t="s">
        <v>418</v>
      </c>
      <c r="M49" t="s">
        <v>418</v>
      </c>
      <c r="N49" t="s">
        <v>418</v>
      </c>
      <c r="O49" t="s">
        <v>418</v>
      </c>
      <c r="P49" t="s">
        <v>418</v>
      </c>
      <c r="Q49" t="s">
        <v>418</v>
      </c>
      <c r="R49" t="s">
        <v>418</v>
      </c>
      <c r="S49" t="s">
        <v>418</v>
      </c>
      <c r="T49" t="s">
        <v>418</v>
      </c>
      <c r="U49" t="s">
        <v>418</v>
      </c>
      <c r="V49" t="s">
        <v>418</v>
      </c>
      <c r="AH49" s="159">
        <v>1</v>
      </c>
      <c r="AI49" s="155" t="s">
        <v>233</v>
      </c>
    </row>
    <row r="50" spans="1:35" x14ac:dyDescent="0.15">
      <c r="A50" t="s">
        <v>418</v>
      </c>
      <c r="B50" t="s">
        <v>418</v>
      </c>
      <c r="D50" t="s">
        <v>418</v>
      </c>
      <c r="E50" t="s">
        <v>418</v>
      </c>
      <c r="F50" t="s">
        <v>418</v>
      </c>
      <c r="G50" t="s">
        <v>418</v>
      </c>
      <c r="H50" t="s">
        <v>418</v>
      </c>
      <c r="I50" t="s">
        <v>418</v>
      </c>
      <c r="J50" t="s">
        <v>418</v>
      </c>
      <c r="K50" t="s">
        <v>418</v>
      </c>
      <c r="L50" t="s">
        <v>418</v>
      </c>
      <c r="M50" t="s">
        <v>418</v>
      </c>
      <c r="N50" t="s">
        <v>418</v>
      </c>
      <c r="O50" t="s">
        <v>418</v>
      </c>
      <c r="P50" t="s">
        <v>418</v>
      </c>
      <c r="Q50" t="s">
        <v>418</v>
      </c>
      <c r="R50" t="s">
        <v>418</v>
      </c>
      <c r="S50" t="s">
        <v>418</v>
      </c>
      <c r="T50" t="s">
        <v>418</v>
      </c>
      <c r="U50" t="s">
        <v>418</v>
      </c>
      <c r="V50" t="s">
        <v>418</v>
      </c>
      <c r="AH50" s="124">
        <v>1</v>
      </c>
      <c r="AI50" t="s">
        <v>381</v>
      </c>
    </row>
    <row r="51" spans="1:35" ht="11.25" x14ac:dyDescent="0.1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  <c r="G51" t="s">
        <v>418</v>
      </c>
      <c r="H51" t="s">
        <v>418</v>
      </c>
      <c r="J51" t="s">
        <v>418</v>
      </c>
      <c r="K51" t="s">
        <v>418</v>
      </c>
      <c r="L51" t="s">
        <v>418</v>
      </c>
      <c r="M51" t="s">
        <v>418</v>
      </c>
      <c r="N51" t="s">
        <v>418</v>
      </c>
      <c r="O51" t="s">
        <v>418</v>
      </c>
      <c r="P51" t="s">
        <v>418</v>
      </c>
      <c r="Q51" t="s">
        <v>418</v>
      </c>
      <c r="R51" t="s">
        <v>418</v>
      </c>
      <c r="S51" t="s">
        <v>418</v>
      </c>
      <c r="T51" t="s">
        <v>418</v>
      </c>
      <c r="U51" t="s">
        <v>418</v>
      </c>
      <c r="V51" t="s">
        <v>418</v>
      </c>
      <c r="AH51" s="124">
        <v>1</v>
      </c>
      <c r="AI51" t="s">
        <v>370</v>
      </c>
    </row>
    <row r="52" spans="1:35" ht="11.25" x14ac:dyDescent="0.1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  <c r="G52" t="s">
        <v>418</v>
      </c>
      <c r="H52" t="s">
        <v>418</v>
      </c>
      <c r="I52" t="s">
        <v>418</v>
      </c>
      <c r="J52" t="s">
        <v>418</v>
      </c>
      <c r="K52" t="s">
        <v>418</v>
      </c>
      <c r="L52" t="s">
        <v>418</v>
      </c>
      <c r="M52" t="s">
        <v>418</v>
      </c>
      <c r="N52" t="s">
        <v>418</v>
      </c>
      <c r="O52" t="s">
        <v>418</v>
      </c>
      <c r="P52" t="s">
        <v>418</v>
      </c>
      <c r="Q52" t="s">
        <v>418</v>
      </c>
      <c r="R52" t="s">
        <v>418</v>
      </c>
      <c r="S52" t="s">
        <v>418</v>
      </c>
      <c r="T52" t="s">
        <v>418</v>
      </c>
      <c r="U52" t="s">
        <v>418</v>
      </c>
      <c r="V52" t="s">
        <v>418</v>
      </c>
      <c r="AH52" s="124">
        <v>1</v>
      </c>
      <c r="AI52" t="s">
        <v>305</v>
      </c>
    </row>
    <row r="53" spans="1:35" ht="11.25" x14ac:dyDescent="0.1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  <c r="G53" t="s">
        <v>418</v>
      </c>
      <c r="H53" t="s">
        <v>418</v>
      </c>
      <c r="I53" t="s">
        <v>418</v>
      </c>
      <c r="J53" t="s">
        <v>418</v>
      </c>
      <c r="K53" t="s">
        <v>418</v>
      </c>
      <c r="L53" t="s">
        <v>418</v>
      </c>
      <c r="M53" t="s">
        <v>418</v>
      </c>
      <c r="N53" t="s">
        <v>418</v>
      </c>
      <c r="O53" t="s">
        <v>418</v>
      </c>
      <c r="P53" t="s">
        <v>418</v>
      </c>
      <c r="Q53" t="s">
        <v>418</v>
      </c>
      <c r="R53" t="s">
        <v>418</v>
      </c>
      <c r="S53" t="s">
        <v>418</v>
      </c>
      <c r="T53" t="s">
        <v>418</v>
      </c>
      <c r="U53" t="s">
        <v>418</v>
      </c>
      <c r="V53" t="s">
        <v>418</v>
      </c>
      <c r="AH53" s="124">
        <v>1</v>
      </c>
      <c r="AI53" t="s">
        <v>364</v>
      </c>
    </row>
    <row r="54" spans="1:35" ht="11.25" x14ac:dyDescent="0.1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  <c r="G54" t="s">
        <v>418</v>
      </c>
      <c r="H54" t="s">
        <v>418</v>
      </c>
      <c r="I54" t="s">
        <v>418</v>
      </c>
      <c r="J54" t="s">
        <v>418</v>
      </c>
      <c r="K54" t="s">
        <v>418</v>
      </c>
      <c r="L54" t="s">
        <v>418</v>
      </c>
      <c r="M54" t="s">
        <v>418</v>
      </c>
      <c r="N54" t="s">
        <v>418</v>
      </c>
      <c r="O54" t="s">
        <v>418</v>
      </c>
      <c r="P54" t="s">
        <v>418</v>
      </c>
      <c r="Q54" t="s">
        <v>418</v>
      </c>
      <c r="R54" t="s">
        <v>418</v>
      </c>
      <c r="S54" t="s">
        <v>418</v>
      </c>
      <c r="T54" t="s">
        <v>418</v>
      </c>
      <c r="U54" t="s">
        <v>418</v>
      </c>
      <c r="V54" t="s">
        <v>418</v>
      </c>
      <c r="AH54" s="124">
        <v>1</v>
      </c>
      <c r="AI54" t="s">
        <v>354</v>
      </c>
    </row>
    <row r="55" spans="1:35" ht="11.25" x14ac:dyDescent="0.15">
      <c r="A55" t="s">
        <v>418</v>
      </c>
      <c r="B55" t="s">
        <v>418</v>
      </c>
      <c r="C55" t="s">
        <v>418</v>
      </c>
      <c r="D55" t="s">
        <v>418</v>
      </c>
      <c r="E55" t="s">
        <v>418</v>
      </c>
      <c r="F55" t="s">
        <v>418</v>
      </c>
      <c r="G55" t="s">
        <v>418</v>
      </c>
      <c r="H55" t="s">
        <v>418</v>
      </c>
      <c r="I55" t="s">
        <v>418</v>
      </c>
      <c r="J55" t="s">
        <v>418</v>
      </c>
      <c r="K55" t="s">
        <v>418</v>
      </c>
      <c r="L55" t="s">
        <v>418</v>
      </c>
      <c r="M55" t="s">
        <v>418</v>
      </c>
      <c r="N55" t="s">
        <v>418</v>
      </c>
      <c r="O55" t="s">
        <v>418</v>
      </c>
      <c r="P55" t="s">
        <v>418</v>
      </c>
      <c r="Q55" t="s">
        <v>418</v>
      </c>
      <c r="R55" t="s">
        <v>418</v>
      </c>
      <c r="S55" t="s">
        <v>418</v>
      </c>
      <c r="T55" t="s">
        <v>418</v>
      </c>
      <c r="U55" t="s">
        <v>418</v>
      </c>
      <c r="V55" t="s">
        <v>418</v>
      </c>
      <c r="AH55" s="159">
        <v>2</v>
      </c>
      <c r="AI55" s="155" t="s">
        <v>356</v>
      </c>
    </row>
    <row r="56" spans="1:35" x14ac:dyDescent="0.15">
      <c r="A56" t="s">
        <v>418</v>
      </c>
      <c r="B56" t="s">
        <v>418</v>
      </c>
      <c r="C56" t="s">
        <v>418</v>
      </c>
      <c r="D56" t="s">
        <v>418</v>
      </c>
      <c r="E56" t="s">
        <v>418</v>
      </c>
      <c r="F56" t="s">
        <v>418</v>
      </c>
      <c r="G56" t="s">
        <v>418</v>
      </c>
      <c r="H56" t="s">
        <v>418</v>
      </c>
      <c r="I56" t="s">
        <v>418</v>
      </c>
      <c r="J56" t="s">
        <v>418</v>
      </c>
      <c r="K56" t="s">
        <v>418</v>
      </c>
      <c r="L56" t="s">
        <v>418</v>
      </c>
      <c r="M56" t="s">
        <v>418</v>
      </c>
      <c r="N56" t="s">
        <v>418</v>
      </c>
      <c r="O56" t="s">
        <v>418</v>
      </c>
      <c r="P56" t="s">
        <v>418</v>
      </c>
      <c r="Q56" t="s">
        <v>418</v>
      </c>
      <c r="R56" t="s">
        <v>418</v>
      </c>
      <c r="S56" t="s">
        <v>418</v>
      </c>
      <c r="T56" t="s">
        <v>418</v>
      </c>
      <c r="U56" t="s">
        <v>418</v>
      </c>
      <c r="V56" t="s">
        <v>418</v>
      </c>
      <c r="AH56" s="124">
        <v>2</v>
      </c>
      <c r="AI56" t="s">
        <v>386</v>
      </c>
    </row>
    <row r="57" spans="1:35" x14ac:dyDescent="0.15">
      <c r="A57" t="s">
        <v>418</v>
      </c>
      <c r="B57" t="s">
        <v>418</v>
      </c>
      <c r="C57" t="s">
        <v>418</v>
      </c>
      <c r="D57" t="s">
        <v>418</v>
      </c>
      <c r="E57" t="s">
        <v>418</v>
      </c>
      <c r="F57" t="s">
        <v>418</v>
      </c>
      <c r="G57" t="s">
        <v>418</v>
      </c>
      <c r="H57" t="s">
        <v>418</v>
      </c>
      <c r="I57" t="s">
        <v>418</v>
      </c>
      <c r="J57" t="s">
        <v>418</v>
      </c>
      <c r="K57" t="s">
        <v>418</v>
      </c>
      <c r="L57" t="s">
        <v>418</v>
      </c>
      <c r="M57" t="s">
        <v>418</v>
      </c>
      <c r="N57" t="s">
        <v>418</v>
      </c>
      <c r="O57" t="s">
        <v>418</v>
      </c>
      <c r="P57" t="s">
        <v>418</v>
      </c>
      <c r="Q57" t="s">
        <v>418</v>
      </c>
      <c r="R57" t="s">
        <v>418</v>
      </c>
      <c r="S57" t="s">
        <v>418</v>
      </c>
      <c r="T57" t="s">
        <v>418</v>
      </c>
      <c r="U57" t="s">
        <v>418</v>
      </c>
      <c r="V57" t="s">
        <v>418</v>
      </c>
      <c r="AH57" s="124">
        <v>2</v>
      </c>
      <c r="AI57" t="s">
        <v>298</v>
      </c>
    </row>
    <row r="58" spans="1:35" x14ac:dyDescent="0.15">
      <c r="A58" t="s">
        <v>418</v>
      </c>
      <c r="B58" t="s">
        <v>418</v>
      </c>
      <c r="C58" t="s">
        <v>418</v>
      </c>
      <c r="D58" t="s">
        <v>418</v>
      </c>
      <c r="E58" t="s">
        <v>418</v>
      </c>
      <c r="F58" t="s">
        <v>418</v>
      </c>
      <c r="G58" t="s">
        <v>418</v>
      </c>
      <c r="H58" t="s">
        <v>418</v>
      </c>
      <c r="I58" t="s">
        <v>418</v>
      </c>
      <c r="J58" t="s">
        <v>418</v>
      </c>
      <c r="K58" t="s">
        <v>418</v>
      </c>
      <c r="L58" t="s">
        <v>418</v>
      </c>
      <c r="M58" t="s">
        <v>418</v>
      </c>
      <c r="N58" t="s">
        <v>418</v>
      </c>
      <c r="O58" t="s">
        <v>418</v>
      </c>
      <c r="P58" t="s">
        <v>418</v>
      </c>
      <c r="Q58" t="s">
        <v>418</v>
      </c>
      <c r="R58" t="s">
        <v>418</v>
      </c>
      <c r="S58" t="s">
        <v>418</v>
      </c>
      <c r="T58" t="s">
        <v>418</v>
      </c>
      <c r="U58" t="s">
        <v>418</v>
      </c>
      <c r="V58" t="s">
        <v>418</v>
      </c>
      <c r="AH58" s="124">
        <v>2</v>
      </c>
      <c r="AI58" t="s">
        <v>392</v>
      </c>
    </row>
    <row r="59" spans="1:35" ht="11.25" x14ac:dyDescent="0.15">
      <c r="A59" t="s">
        <v>418</v>
      </c>
      <c r="B59" t="s">
        <v>418</v>
      </c>
      <c r="C59" t="s">
        <v>418</v>
      </c>
      <c r="D59" t="s">
        <v>418</v>
      </c>
      <c r="E59" t="s">
        <v>418</v>
      </c>
      <c r="F59" t="s">
        <v>418</v>
      </c>
      <c r="G59" t="s">
        <v>418</v>
      </c>
      <c r="H59" t="s">
        <v>418</v>
      </c>
      <c r="I59" t="s">
        <v>418</v>
      </c>
      <c r="J59" t="s">
        <v>418</v>
      </c>
      <c r="K59" t="s">
        <v>418</v>
      </c>
      <c r="L59" t="s">
        <v>418</v>
      </c>
      <c r="M59" t="s">
        <v>418</v>
      </c>
      <c r="N59" t="s">
        <v>418</v>
      </c>
      <c r="O59" t="s">
        <v>418</v>
      </c>
      <c r="P59" t="s">
        <v>418</v>
      </c>
      <c r="Q59" t="s">
        <v>418</v>
      </c>
      <c r="R59" t="s">
        <v>418</v>
      </c>
      <c r="S59" t="s">
        <v>418</v>
      </c>
      <c r="T59" t="s">
        <v>418</v>
      </c>
      <c r="U59" t="s">
        <v>418</v>
      </c>
      <c r="V59" t="s">
        <v>418</v>
      </c>
      <c r="AB59" s="155"/>
      <c r="AC59" s="155"/>
      <c r="AD59" s="155"/>
      <c r="AE59" s="155"/>
      <c r="AF59" s="155"/>
      <c r="AG59" s="155"/>
      <c r="AH59" s="124">
        <v>2</v>
      </c>
      <c r="AI59" t="s">
        <v>390</v>
      </c>
    </row>
    <row r="60" spans="1:35" ht="11.25" x14ac:dyDescent="0.15">
      <c r="A60" t="s">
        <v>418</v>
      </c>
      <c r="B60" t="s">
        <v>418</v>
      </c>
      <c r="C60" t="s">
        <v>418</v>
      </c>
      <c r="D60" t="s">
        <v>418</v>
      </c>
      <c r="E60" t="s">
        <v>418</v>
      </c>
      <c r="F60" t="s">
        <v>418</v>
      </c>
      <c r="G60" t="s">
        <v>418</v>
      </c>
      <c r="H60" t="s">
        <v>418</v>
      </c>
      <c r="I60" t="s">
        <v>418</v>
      </c>
      <c r="J60" t="s">
        <v>418</v>
      </c>
      <c r="K60" t="s">
        <v>418</v>
      </c>
      <c r="L60" t="s">
        <v>418</v>
      </c>
      <c r="M60" t="s">
        <v>418</v>
      </c>
      <c r="N60" t="s">
        <v>418</v>
      </c>
      <c r="O60" t="s">
        <v>418</v>
      </c>
      <c r="P60" t="s">
        <v>418</v>
      </c>
      <c r="Q60" t="s">
        <v>418</v>
      </c>
      <c r="R60" t="s">
        <v>418</v>
      </c>
      <c r="S60" t="s">
        <v>418</v>
      </c>
      <c r="T60" t="s">
        <v>418</v>
      </c>
      <c r="U60" t="s">
        <v>418</v>
      </c>
      <c r="V60" t="s">
        <v>418</v>
      </c>
      <c r="AB60" s="155"/>
      <c r="AC60" s="155"/>
      <c r="AD60" s="155"/>
      <c r="AE60" s="155"/>
      <c r="AF60" s="155"/>
      <c r="AG60" s="155"/>
      <c r="AH60" s="124">
        <v>2</v>
      </c>
      <c r="AI60" t="s">
        <v>189</v>
      </c>
    </row>
    <row r="61" spans="1:35" ht="11.25" x14ac:dyDescent="0.15">
      <c r="AB61" s="155"/>
      <c r="AC61" s="155"/>
      <c r="AD61" s="155"/>
      <c r="AE61" s="155"/>
      <c r="AF61" s="155"/>
      <c r="AG61" s="155"/>
      <c r="AH61" s="159">
        <v>3</v>
      </c>
      <c r="AI61" s="155" t="s">
        <v>223</v>
      </c>
    </row>
    <row r="62" spans="1:35" x14ac:dyDescent="0.15">
      <c r="AH62" s="124">
        <v>3</v>
      </c>
      <c r="AI62" t="s">
        <v>235</v>
      </c>
    </row>
    <row r="63" spans="1:35" x14ac:dyDescent="0.15">
      <c r="AH63" s="124">
        <v>4</v>
      </c>
      <c r="AI63" t="s">
        <v>201</v>
      </c>
    </row>
    <row r="64" spans="1:35" ht="11.25" x14ac:dyDescent="0.15">
      <c r="AH64" s="159">
        <v>4</v>
      </c>
      <c r="AI64" s="155" t="s">
        <v>244</v>
      </c>
    </row>
    <row r="65" spans="34:35" x14ac:dyDescent="0.15">
      <c r="AH65" s="124">
        <v>7</v>
      </c>
      <c r="AI65" t="s">
        <v>262</v>
      </c>
    </row>
    <row r="66" spans="34:35" ht="11.25" x14ac:dyDescent="0.15">
      <c r="AH66" s="159">
        <v>7</v>
      </c>
      <c r="AI66" s="155" t="s">
        <v>346</v>
      </c>
    </row>
    <row r="67" spans="34:35" x14ac:dyDescent="0.15">
      <c r="AH67" s="124">
        <v>7</v>
      </c>
      <c r="AI67" t="s">
        <v>258</v>
      </c>
    </row>
    <row r="68" spans="34:35" x14ac:dyDescent="0.15">
      <c r="AH68" s="124">
        <v>8</v>
      </c>
      <c r="AI68" t="s">
        <v>350</v>
      </c>
    </row>
    <row r="69" spans="34:35" x14ac:dyDescent="0.15">
      <c r="AH69" s="124">
        <v>8</v>
      </c>
      <c r="AI69" t="s">
        <v>311</v>
      </c>
    </row>
    <row r="70" spans="34:35" x14ac:dyDescent="0.15">
      <c r="AH70" s="124">
        <v>10</v>
      </c>
      <c r="AI70" t="s">
        <v>296</v>
      </c>
    </row>
    <row r="71" spans="34:35" x14ac:dyDescent="0.15">
      <c r="AH71" s="124">
        <v>10</v>
      </c>
      <c r="AI71" t="s">
        <v>136</v>
      </c>
    </row>
    <row r="72" spans="34:35" x14ac:dyDescent="0.15">
      <c r="AH72" s="124">
        <v>11</v>
      </c>
      <c r="AI72" t="s">
        <v>205</v>
      </c>
    </row>
    <row r="73" spans="34:35" x14ac:dyDescent="0.15">
      <c r="AH73" s="124">
        <v>12</v>
      </c>
      <c r="AI73" t="s">
        <v>316</v>
      </c>
    </row>
    <row r="74" spans="34:35" ht="11.25" x14ac:dyDescent="0.15">
      <c r="AH74" s="159">
        <v>12</v>
      </c>
      <c r="AI74" s="155" t="s">
        <v>217</v>
      </c>
    </row>
    <row r="75" spans="34:35" x14ac:dyDescent="0.15">
      <c r="AH75" s="124">
        <v>14</v>
      </c>
      <c r="AI75" t="s">
        <v>250</v>
      </c>
    </row>
    <row r="76" spans="34:35" ht="11.25" x14ac:dyDescent="0.15">
      <c r="AH76" s="159">
        <v>14</v>
      </c>
      <c r="AI76" s="155" t="s">
        <v>301</v>
      </c>
    </row>
    <row r="77" spans="34:35" x14ac:dyDescent="0.15">
      <c r="AH77" s="124">
        <v>14</v>
      </c>
      <c r="AI77" t="s">
        <v>348</v>
      </c>
    </row>
    <row r="78" spans="34:35" ht="11.25" x14ac:dyDescent="0.15">
      <c r="AH78" s="159">
        <v>16</v>
      </c>
      <c r="AI78" s="155" t="s">
        <v>234</v>
      </c>
    </row>
    <row r="79" spans="34:35" x14ac:dyDescent="0.15">
      <c r="AH79" s="124">
        <v>17</v>
      </c>
      <c r="AI79" t="s">
        <v>221</v>
      </c>
    </row>
    <row r="80" spans="34:35" x14ac:dyDescent="0.15">
      <c r="AH80" s="124">
        <v>21</v>
      </c>
      <c r="AI80" t="s">
        <v>196</v>
      </c>
    </row>
    <row r="82" spans="34:41" ht="11.25" x14ac:dyDescent="0.15">
      <c r="AH82" s="159">
        <v>3</v>
      </c>
      <c r="AI82" s="155" t="s">
        <v>316</v>
      </c>
      <c r="AJ82" s="159">
        <v>3</v>
      </c>
      <c r="AK82" s="155" t="s">
        <v>296</v>
      </c>
      <c r="AL82" s="159">
        <v>2</v>
      </c>
      <c r="AM82" s="155" t="s">
        <v>346</v>
      </c>
      <c r="AN82" s="159">
        <v>2</v>
      </c>
      <c r="AO82" s="155" t="s">
        <v>205</v>
      </c>
    </row>
    <row r="83" spans="34:41" ht="11.25" x14ac:dyDescent="0.15">
      <c r="AH83" s="159">
        <v>3</v>
      </c>
      <c r="AI83" s="155" t="s">
        <v>301</v>
      </c>
      <c r="AJ83" s="159">
        <v>3</v>
      </c>
      <c r="AK83" s="155" t="s">
        <v>221</v>
      </c>
      <c r="AL83" s="159">
        <v>2</v>
      </c>
      <c r="AM83" s="155" t="s">
        <v>250</v>
      </c>
      <c r="AN83" s="159">
        <v>2</v>
      </c>
      <c r="AO83" s="155" t="s">
        <v>196</v>
      </c>
    </row>
  </sheetData>
  <sortState xmlns:xlrd2="http://schemas.microsoft.com/office/spreadsheetml/2017/richdata2" ref="AH23:AI80">
    <sortCondition ref="AH23:AH8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Matches</vt:lpstr>
      <vt:lpstr>Batting</vt:lpstr>
      <vt:lpstr>Bowling</vt:lpstr>
      <vt:lpstr>Partnerships</vt:lpstr>
      <vt:lpstr>BatAves</vt:lpstr>
      <vt:lpstr>BowlAves</vt:lpstr>
      <vt:lpstr>Fantasy Teams</vt:lpstr>
      <vt:lpstr>FantasyPts</vt:lpstr>
      <vt:lpstr>Player Stats</vt:lpstr>
      <vt:lpstr>League Table</vt:lpstr>
      <vt:lpstr>Capts</vt:lpstr>
      <vt:lpstr>To_Word_Doc</vt:lpstr>
      <vt:lpstr>Scratchpad</vt:lpstr>
      <vt:lpstr>batavg_qualifiers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To_Word_Doc!Print_Area</vt:lpstr>
      <vt:lpstr>Matches!Print_Titles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Sundip Nair</cp:lastModifiedBy>
  <cp:lastPrinted>2019-10-31T16:18:17Z</cp:lastPrinted>
  <dcterms:created xsi:type="dcterms:W3CDTF">1995-07-17T18:41:11Z</dcterms:created>
  <dcterms:modified xsi:type="dcterms:W3CDTF">2024-10-27T21:37:41Z</dcterms:modified>
</cp:coreProperties>
</file>
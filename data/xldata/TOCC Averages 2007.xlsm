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1425" windowWidth="19005" windowHeight="12645" tabRatio="588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Other" sheetId="12" r:id="rId6"/>
    <sheet name="Fantasy Teams" sheetId="4" state="hidden" r:id="rId7"/>
    <sheet name="FantasyPts" sheetId="5" state="hidden" r:id="rId8"/>
    <sheet name="Player Stats" sheetId="6" state="hidden" r:id="rId9"/>
    <sheet name="League Table" sheetId="7" state="hidden" r:id="rId10"/>
    <sheet name="modFuncs" sheetId="8" state="veryHidden" r:id="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Batting!$D$67</definedName>
    <definedName name="FantasyPlayerCount">'Fantasy Teams'!$H$93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MinValue">Batting!$E$67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BatAves!$A$1:$H$45</definedName>
    <definedName name="_xlnm.Print_Area" localSheetId="4">BowlAves!$A$1:$K$31</definedName>
    <definedName name="_xlnm.Print_Area" localSheetId="2">Bowling!$A$1:$AR$34</definedName>
    <definedName name="_xlnm.Print_Area" localSheetId="9">'League Table'!$A$1:$D$36</definedName>
    <definedName name="_xlnm.Print_Area" localSheetId="0">Matches!$A$1:$AF$20</definedName>
    <definedName name="_xlnm.Print_Area" localSheetId="8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  <pivotCaches>
    <pivotCache cacheId="0" r:id="rId11"/>
  </pivotCaches>
</workbook>
</file>

<file path=xl/calcChain.xml><?xml version="1.0" encoding="utf-8"?>
<calcChain xmlns="http://schemas.openxmlformats.org/spreadsheetml/2006/main">
  <c r="CW20" i="2" l="1" a="1"/>
  <c r="CW20" i="2" s="1"/>
  <c r="CV20" i="2" a="1"/>
  <c r="CV20" i="2"/>
  <c r="CU20" i="2" a="1"/>
  <c r="CU20" i="2" s="1"/>
  <c r="CT20" i="2" a="1"/>
  <c r="CT20" i="2"/>
  <c r="CS20" i="2" a="1"/>
  <c r="CS20" i="2" s="1"/>
  <c r="CR20" i="2" a="1"/>
  <c r="CR20" i="2"/>
  <c r="CP20" i="2" a="1"/>
  <c r="CP20" i="2" s="1"/>
  <c r="CO20" i="2" a="1"/>
  <c r="CO20" i="2"/>
  <c r="CW17" i="2" a="1"/>
  <c r="CW17" i="2" s="1"/>
  <c r="CV17" i="2" a="1"/>
  <c r="CV17" i="2"/>
  <c r="CU17" i="2" a="1"/>
  <c r="CU17" i="2" s="1"/>
  <c r="CT17" i="2" a="1"/>
  <c r="CT17" i="2"/>
  <c r="CS17" i="2" a="1"/>
  <c r="CS17" i="2" s="1"/>
  <c r="CR17" i="2" a="1"/>
  <c r="CR17" i="2"/>
  <c r="CP17" i="2" a="1"/>
  <c r="CP17" i="2" s="1"/>
  <c r="CO17" i="2" a="1"/>
  <c r="CO17" i="2"/>
  <c r="CW12" i="2" a="1"/>
  <c r="CW12" i="2" s="1"/>
  <c r="CV12" i="2" a="1"/>
  <c r="CV12" i="2"/>
  <c r="CU12" i="2" a="1"/>
  <c r="CU12" i="2" s="1"/>
  <c r="CT12" i="2" a="1"/>
  <c r="CT12" i="2"/>
  <c r="CS12" i="2" a="1"/>
  <c r="CS12" i="2" s="1"/>
  <c r="CR12" i="2" a="1"/>
  <c r="CR12" i="2"/>
  <c r="CP12" i="2" a="1"/>
  <c r="CP12" i="2" s="1"/>
  <c r="CO12" i="2" a="1"/>
  <c r="CO12" i="2"/>
  <c r="CW11" i="2" a="1"/>
  <c r="CW11" i="2" s="1"/>
  <c r="CV11" i="2" a="1"/>
  <c r="CV11" i="2"/>
  <c r="CU11" i="2" a="1"/>
  <c r="CU11" i="2" s="1"/>
  <c r="CT11" i="2" a="1"/>
  <c r="CT11" i="2"/>
  <c r="CS11" i="2" a="1"/>
  <c r="CS11" i="2" s="1"/>
  <c r="CR11" i="2" a="1"/>
  <c r="CR11" i="2"/>
  <c r="CP11" i="2" a="1"/>
  <c r="CP11" i="2" s="1"/>
  <c r="CO11" i="2" a="1"/>
  <c r="CO11" i="2"/>
  <c r="CW41" i="2" a="1"/>
  <c r="CW41" i="2" s="1"/>
  <c r="CV41" i="2" a="1"/>
  <c r="CV41" i="2"/>
  <c r="CU41" i="2" a="1"/>
  <c r="CU41" i="2" s="1"/>
  <c r="CT41" i="2" a="1"/>
  <c r="CT41" i="2"/>
  <c r="CS41" i="2" a="1"/>
  <c r="CS41" i="2" s="1"/>
  <c r="CR41" i="2" a="1"/>
  <c r="CR41" i="2"/>
  <c r="CP41" i="2" a="1"/>
  <c r="CP41" i="2" s="1"/>
  <c r="CO41" i="2" a="1"/>
  <c r="CO41" i="2"/>
  <c r="CW32" i="2" a="1"/>
  <c r="CW32" i="2" s="1"/>
  <c r="CV32" i="2" a="1"/>
  <c r="CV32" i="2"/>
  <c r="CU32" i="2" a="1"/>
  <c r="CU32" i="2" s="1"/>
  <c r="CT32" i="2" a="1"/>
  <c r="CT32" i="2"/>
  <c r="CS32" i="2" a="1"/>
  <c r="CS32" i="2" s="1"/>
  <c r="CR32" i="2" a="1"/>
  <c r="CR32" i="2"/>
  <c r="CP32" i="2" a="1"/>
  <c r="CP32" i="2" s="1"/>
  <c r="CO32" i="2" a="1"/>
  <c r="CO32" i="2"/>
  <c r="CW18" i="2" a="1"/>
  <c r="CW18" i="2" s="1"/>
  <c r="CV18" i="2" a="1"/>
  <c r="CV18" i="2"/>
  <c r="CU18" i="2" a="1"/>
  <c r="CU18" i="2" s="1"/>
  <c r="CT18" i="2" a="1"/>
  <c r="CT18" i="2"/>
  <c r="CS18" i="2" a="1"/>
  <c r="CS18" i="2" s="1"/>
  <c r="CR18" i="2" a="1"/>
  <c r="CR18" i="2"/>
  <c r="CP18" i="2" a="1"/>
  <c r="CP18" i="2" s="1"/>
  <c r="CO18" i="2" a="1"/>
  <c r="CO18" i="2"/>
  <c r="CW7" i="2" a="1"/>
  <c r="CW7" i="2" s="1"/>
  <c r="CV7" i="2" a="1"/>
  <c r="CV7" i="2"/>
  <c r="CU7" i="2" a="1"/>
  <c r="CU7" i="2" s="1"/>
  <c r="CT7" i="2" a="1"/>
  <c r="CT7" i="2"/>
  <c r="CS7" i="2" a="1"/>
  <c r="CS7" i="2" s="1"/>
  <c r="CR7" i="2" a="1"/>
  <c r="CR7" i="2"/>
  <c r="CP7" i="2" a="1"/>
  <c r="CP7" i="2" s="1"/>
  <c r="CO7" i="2" a="1"/>
  <c r="CO7" i="2"/>
  <c r="Z23" i="1"/>
  <c r="Y23" i="1"/>
  <c r="Z22" i="1"/>
  <c r="Y22" i="1"/>
  <c r="Z21" i="1"/>
  <c r="Y21" i="1"/>
  <c r="Z20" i="1"/>
  <c r="Y20" i="1"/>
  <c r="Z19" i="1"/>
  <c r="Y19" i="1"/>
  <c r="Z18" i="1"/>
  <c r="Y18" i="1"/>
  <c r="Z17" i="1"/>
  <c r="Y17" i="1"/>
  <c r="Z16" i="1"/>
  <c r="Y16" i="1"/>
  <c r="Z15" i="1"/>
  <c r="Y15" i="1"/>
  <c r="Z14" i="1"/>
  <c r="Y14" i="1"/>
  <c r="Z13" i="1"/>
  <c r="Y13" i="1"/>
  <c r="Z12" i="1"/>
  <c r="Y12" i="1"/>
  <c r="Z11" i="1"/>
  <c r="Y11" i="1"/>
  <c r="Z10" i="1"/>
  <c r="Y10" i="1"/>
  <c r="Z9" i="1"/>
  <c r="Y9" i="1"/>
  <c r="Z8" i="1"/>
  <c r="Y8" i="1"/>
  <c r="Z7" i="1"/>
  <c r="Y7" i="1"/>
  <c r="Z6" i="1"/>
  <c r="Y6" i="1"/>
  <c r="Z5" i="1"/>
  <c r="Y5" i="1"/>
  <c r="C43" i="3"/>
  <c r="CW27" i="2" a="1"/>
  <c r="CW27" i="2" s="1"/>
  <c r="CV27" i="2" a="1"/>
  <c r="CV27" i="2"/>
  <c r="CU27" i="2" a="1"/>
  <c r="CU27" i="2" s="1"/>
  <c r="CT27" i="2" a="1"/>
  <c r="CT27" i="2"/>
  <c r="CS27" i="2" a="1"/>
  <c r="CS27" i="2" s="1"/>
  <c r="CR27" i="2" a="1"/>
  <c r="CR27" i="2"/>
  <c r="CP27" i="2" a="1"/>
  <c r="CP27" i="2" s="1"/>
  <c r="CO27" i="2" a="1"/>
  <c r="CO27" i="2"/>
  <c r="CW26" i="2" a="1"/>
  <c r="CW26" i="2" s="1"/>
  <c r="CV26" i="2" a="1"/>
  <c r="CV26" i="2"/>
  <c r="CU26" i="2" a="1"/>
  <c r="CU26" i="2" s="1"/>
  <c r="CT26" i="2" a="1"/>
  <c r="CT26" i="2"/>
  <c r="CS26" i="2" a="1"/>
  <c r="CS26" i="2" s="1"/>
  <c r="CR26" i="2" a="1"/>
  <c r="CR26" i="2"/>
  <c r="CP26" i="2" a="1"/>
  <c r="CP26" i="2" s="1"/>
  <c r="CO26" i="2" a="1"/>
  <c r="CO26" i="2"/>
  <c r="CW25" i="2" a="1"/>
  <c r="CW25" i="2" s="1"/>
  <c r="CV25" i="2" a="1"/>
  <c r="CV25" i="2"/>
  <c r="CU25" i="2" a="1"/>
  <c r="CU25" i="2" s="1"/>
  <c r="CT25" i="2" a="1"/>
  <c r="CT25" i="2"/>
  <c r="CS25" i="2" a="1"/>
  <c r="CS25" i="2" s="1"/>
  <c r="CR25" i="2" a="1"/>
  <c r="CR25" i="2"/>
  <c r="CP25" i="2" a="1"/>
  <c r="CP25" i="2" s="1"/>
  <c r="CO25" i="2" a="1"/>
  <c r="CO25" i="2"/>
  <c r="CW24" i="2" a="1"/>
  <c r="CW24" i="2" s="1"/>
  <c r="CV24" i="2" a="1"/>
  <c r="CV24" i="2"/>
  <c r="CU24" i="2" a="1"/>
  <c r="CU24" i="2" s="1"/>
  <c r="CT24" i="2" a="1"/>
  <c r="CT24" i="2"/>
  <c r="CS24" i="2" a="1"/>
  <c r="CS24" i="2" s="1"/>
  <c r="CR24" i="2" a="1"/>
  <c r="CR24" i="2"/>
  <c r="CP24" i="2" a="1"/>
  <c r="CP24" i="2" s="1"/>
  <c r="CO24" i="2" a="1"/>
  <c r="CO24" i="2"/>
  <c r="CW23" i="2" a="1"/>
  <c r="CW23" i="2" s="1"/>
  <c r="CV23" i="2" a="1"/>
  <c r="CV23" i="2"/>
  <c r="CU23" i="2" a="1"/>
  <c r="CU23" i="2" s="1"/>
  <c r="CT23" i="2" a="1"/>
  <c r="CT23" i="2"/>
  <c r="CS23" i="2" a="1"/>
  <c r="CS23" i="2" s="1"/>
  <c r="CR23" i="2" a="1"/>
  <c r="CR23" i="2"/>
  <c r="CP23" i="2" a="1"/>
  <c r="CP23" i="2" s="1"/>
  <c r="CO23" i="2" a="1"/>
  <c r="CO23" i="2"/>
  <c r="CW22" i="2" a="1"/>
  <c r="CW22" i="2" s="1"/>
  <c r="CV22" i="2" a="1"/>
  <c r="CV22" i="2"/>
  <c r="CU22" i="2" a="1"/>
  <c r="CU22" i="2" s="1"/>
  <c r="CT22" i="2" a="1"/>
  <c r="CT22" i="2"/>
  <c r="CS22" i="2" a="1"/>
  <c r="CS22" i="2" s="1"/>
  <c r="CR22" i="2" a="1"/>
  <c r="CR22" i="2"/>
  <c r="CP22" i="2" a="1"/>
  <c r="CP22" i="2" s="1"/>
  <c r="CO22" i="2" a="1"/>
  <c r="CO22" i="2"/>
  <c r="CW21" i="2" a="1"/>
  <c r="CW21" i="2" s="1"/>
  <c r="CV21" i="2" a="1"/>
  <c r="CV21" i="2"/>
  <c r="CU21" i="2" a="1"/>
  <c r="CU21" i="2" s="1"/>
  <c r="CT21" i="2" a="1"/>
  <c r="CT21" i="2"/>
  <c r="CS21" i="2" a="1"/>
  <c r="CS21" i="2" s="1"/>
  <c r="CR21" i="2" a="1"/>
  <c r="CR21" i="2"/>
  <c r="CP21" i="2" a="1"/>
  <c r="CP21" i="2" s="1"/>
  <c r="CO21" i="2" a="1"/>
  <c r="CO21" i="2"/>
  <c r="CW19" i="2" a="1"/>
  <c r="CW19" i="2" s="1"/>
  <c r="CV19" i="2" a="1"/>
  <c r="CV19" i="2"/>
  <c r="CU19" i="2" a="1"/>
  <c r="CU19" i="2" s="1"/>
  <c r="CT19" i="2" a="1"/>
  <c r="CT19" i="2"/>
  <c r="CS19" i="2" a="1"/>
  <c r="CS19" i="2" s="1"/>
  <c r="CR19" i="2" a="1"/>
  <c r="CR19" i="2"/>
  <c r="CP19" i="2" a="1"/>
  <c r="CP19" i="2" s="1"/>
  <c r="CO19" i="2" a="1"/>
  <c r="CO19" i="2"/>
  <c r="C1" i="2" a="1"/>
  <c r="CO5" i="2" a="1"/>
  <c r="CO5" i="2"/>
  <c r="CP5" i="2" a="1"/>
  <c r="CP5" i="2" s="1"/>
  <c r="CR5" i="2" a="1"/>
  <c r="CR5" i="2"/>
  <c r="CS5" i="2" a="1"/>
  <c r="CS5" i="2" s="1"/>
  <c r="CT5" i="2" a="1"/>
  <c r="CT5" i="2" s="1"/>
  <c r="CU5" i="2" a="1"/>
  <c r="CU5" i="2"/>
  <c r="CV5" i="2" a="1"/>
  <c r="CV5" i="2" s="1"/>
  <c r="CW5" i="2" a="1"/>
  <c r="CW5" i="2" s="1"/>
  <c r="CO6" i="2" a="1"/>
  <c r="CO6" i="2" s="1"/>
  <c r="CP6" i="2" a="1"/>
  <c r="CP6" i="2"/>
  <c r="CR6" i="2" a="1"/>
  <c r="CR6" i="2" s="1"/>
  <c r="CS6" i="2" a="1"/>
  <c r="CS6" i="2" s="1"/>
  <c r="CT6" i="2" a="1"/>
  <c r="CT6" i="2" s="1"/>
  <c r="CU6" i="2" a="1"/>
  <c r="CU6" i="2"/>
  <c r="CV6" i="2" a="1"/>
  <c r="CV6" i="2" s="1"/>
  <c r="CW6" i="2" a="1"/>
  <c r="CW6" i="2" s="1"/>
  <c r="CO8" i="2" a="1"/>
  <c r="CO8" i="2" s="1"/>
  <c r="CP8" i="2" a="1"/>
  <c r="CP8" i="2"/>
  <c r="CR8" i="2" a="1"/>
  <c r="CR8" i="2" s="1"/>
  <c r="CS8" i="2" a="1"/>
  <c r="CS8" i="2" s="1"/>
  <c r="CT8" i="2" a="1"/>
  <c r="CT8" i="2" s="1"/>
  <c r="CU8" i="2" a="1"/>
  <c r="CU8" i="2"/>
  <c r="CV8" i="2" a="1"/>
  <c r="CV8" i="2" s="1"/>
  <c r="CW8" i="2" a="1"/>
  <c r="CW8" i="2" s="1"/>
  <c r="CO9" i="2" a="1"/>
  <c r="CO9" i="2" s="1"/>
  <c r="CP9" i="2" a="1"/>
  <c r="CP9" i="2"/>
  <c r="CR9" i="2" a="1"/>
  <c r="CR9" i="2" s="1"/>
  <c r="CS9" i="2" a="1"/>
  <c r="CS9" i="2" s="1"/>
  <c r="CT9" i="2" a="1"/>
  <c r="CT9" i="2" s="1"/>
  <c r="CU9" i="2" a="1"/>
  <c r="CU9" i="2"/>
  <c r="CV9" i="2" a="1"/>
  <c r="CV9" i="2" s="1"/>
  <c r="CW9" i="2" a="1"/>
  <c r="CW9" i="2" s="1"/>
  <c r="CO10" i="2" a="1"/>
  <c r="CO10" i="2" s="1"/>
  <c r="CP10" i="2" a="1"/>
  <c r="CP10" i="2"/>
  <c r="CR10" i="2" a="1"/>
  <c r="CR10" i="2" s="1"/>
  <c r="CS10" i="2" a="1"/>
  <c r="CS10" i="2" s="1"/>
  <c r="CT10" i="2" a="1"/>
  <c r="CT10" i="2" s="1"/>
  <c r="CU10" i="2" a="1"/>
  <c r="CU10" i="2"/>
  <c r="CV10" i="2" a="1"/>
  <c r="CV10" i="2" s="1"/>
  <c r="CW10" i="2" a="1"/>
  <c r="CW10" i="2" s="1"/>
  <c r="CO13" i="2" a="1"/>
  <c r="CO13" i="2" s="1"/>
  <c r="CP13" i="2" a="1"/>
  <c r="CP13" i="2"/>
  <c r="CR13" i="2" a="1"/>
  <c r="CR13" i="2" s="1"/>
  <c r="CS13" i="2" a="1"/>
  <c r="CS13" i="2" s="1"/>
  <c r="CT13" i="2" a="1"/>
  <c r="CT13" i="2" s="1"/>
  <c r="CU13" i="2" a="1"/>
  <c r="CU13" i="2"/>
  <c r="CV13" i="2" a="1"/>
  <c r="CV13" i="2" s="1"/>
  <c r="CW13" i="2" a="1"/>
  <c r="CW13" i="2" s="1"/>
  <c r="CO14" i="2" a="1"/>
  <c r="CO14" i="2" s="1"/>
  <c r="CP14" i="2" a="1"/>
  <c r="CP14" i="2"/>
  <c r="CR14" i="2" a="1"/>
  <c r="CR14" i="2" s="1"/>
  <c r="CS14" i="2" a="1"/>
  <c r="CS14" i="2"/>
  <c r="CT14" i="2" a="1"/>
  <c r="CT14" i="2" s="1"/>
  <c r="CU14" i="2" a="1"/>
  <c r="CU14" i="2"/>
  <c r="CV14" i="2" a="1"/>
  <c r="CV14" i="2" s="1"/>
  <c r="CW14" i="2" a="1"/>
  <c r="CW14" i="2" s="1"/>
  <c r="CO15" i="2" a="1"/>
  <c r="CO15" i="2" s="1"/>
  <c r="CP15" i="2" a="1"/>
  <c r="CP15" i="2"/>
  <c r="CR15" i="2" a="1"/>
  <c r="CR15" i="2" s="1"/>
  <c r="CS15" i="2" a="1"/>
  <c r="CS15" i="2" s="1"/>
  <c r="CT15" i="2" a="1"/>
  <c r="CT15" i="2" s="1"/>
  <c r="CU15" i="2" a="1"/>
  <c r="CU15" i="2"/>
  <c r="CV15" i="2" a="1"/>
  <c r="CV15" i="2" s="1"/>
  <c r="CW15" i="2" a="1"/>
  <c r="CW15" i="2" s="1"/>
  <c r="CO16" i="2" a="1"/>
  <c r="CO16" i="2" s="1"/>
  <c r="CP16" i="2" a="1"/>
  <c r="CP16" i="2" s="1"/>
  <c r="CR16" i="2" a="1"/>
  <c r="CR16" i="2" s="1"/>
  <c r="CS16" i="2" a="1"/>
  <c r="CS16" i="2" s="1"/>
  <c r="CT16" i="2" a="1"/>
  <c r="CT16" i="2" s="1"/>
  <c r="CU16" i="2" a="1"/>
  <c r="CU16" i="2"/>
  <c r="CV16" i="2" a="1"/>
  <c r="CV16" i="2" s="1"/>
  <c r="CW16" i="2" a="1"/>
  <c r="CW16" i="2" s="1"/>
  <c r="CO28" i="2" a="1"/>
  <c r="CO28" i="2" s="1"/>
  <c r="CP28" i="2" a="1"/>
  <c r="CP28" i="2" s="1"/>
  <c r="CR28" i="2" a="1"/>
  <c r="CR28" i="2" s="1"/>
  <c r="CS28" i="2" a="1"/>
  <c r="CS28" i="2"/>
  <c r="CT28" i="2" a="1"/>
  <c r="CT28" i="2" s="1"/>
  <c r="CU28" i="2" a="1"/>
  <c r="CU28" i="2"/>
  <c r="CV28" i="2" a="1"/>
  <c r="CV28" i="2" s="1"/>
  <c r="CW28" i="2" a="1"/>
  <c r="CW28" i="2" s="1"/>
  <c r="CO29" i="2" a="1"/>
  <c r="CO29" i="2"/>
  <c r="CP29" i="2" a="1"/>
  <c r="CP29" i="2" s="1"/>
  <c r="CR29" i="2" a="1"/>
  <c r="CR29" i="2" s="1"/>
  <c r="CS29" i="2" a="1"/>
  <c r="CS29" i="2" s="1"/>
  <c r="CT29" i="2" a="1"/>
  <c r="CT29" i="2" s="1"/>
  <c r="CU29" i="2" a="1"/>
  <c r="CU29" i="2" s="1"/>
  <c r="CV29" i="2" a="1"/>
  <c r="CV29" i="2"/>
  <c r="CW29" i="2" a="1"/>
  <c r="CW29" i="2" s="1"/>
  <c r="CO30" i="2" a="1"/>
  <c r="CO30" i="2"/>
  <c r="CP30" i="2" a="1"/>
  <c r="CP30" i="2" s="1"/>
  <c r="CR30" i="2" a="1"/>
  <c r="CR30" i="2" s="1"/>
  <c r="CS30" i="2" a="1"/>
  <c r="CS30" i="2" s="1"/>
  <c r="CT30" i="2" a="1"/>
  <c r="CT30" i="2" s="1"/>
  <c r="CU30" i="2" a="1"/>
  <c r="CU30" i="2" s="1"/>
  <c r="CV30" i="2" a="1"/>
  <c r="CV30" i="2" s="1"/>
  <c r="CW30" i="2" a="1"/>
  <c r="CW30" i="2" s="1"/>
  <c r="CO31" i="2" a="1"/>
  <c r="CO31" i="2"/>
  <c r="CP31" i="2" a="1"/>
  <c r="CP31" i="2" s="1"/>
  <c r="CR31" i="2" a="1"/>
  <c r="CR31" i="2" s="1"/>
  <c r="CS31" i="2" a="1"/>
  <c r="CS31" i="2" s="1"/>
  <c r="CT31" i="2" a="1"/>
  <c r="CT31" i="2" s="1"/>
  <c r="CU31" i="2" a="1"/>
  <c r="CU31" i="2" s="1"/>
  <c r="CV31" i="2" a="1"/>
  <c r="CV31" i="2" s="1"/>
  <c r="CW31" i="2" a="1"/>
  <c r="CW31" i="2" s="1"/>
  <c r="CO33" i="2" a="1"/>
  <c r="CO33" i="2"/>
  <c r="CP33" i="2" a="1"/>
  <c r="CP33" i="2" s="1"/>
  <c r="CR33" i="2" a="1"/>
  <c r="CR33" i="2" s="1"/>
  <c r="CS33" i="2" a="1"/>
  <c r="CS33" i="2" s="1"/>
  <c r="CT33" i="2" a="1"/>
  <c r="CT33" i="2" s="1"/>
  <c r="CU33" i="2" a="1"/>
  <c r="CU33" i="2" s="1"/>
  <c r="CV33" i="2" a="1"/>
  <c r="CV33" i="2" s="1"/>
  <c r="CW33" i="2" a="1"/>
  <c r="CW33" i="2" s="1"/>
  <c r="CO34" i="2" a="1"/>
  <c r="CO34" i="2"/>
  <c r="CP34" i="2" a="1"/>
  <c r="CP34" i="2" s="1"/>
  <c r="CR34" i="2" a="1"/>
  <c r="CR34" i="2" s="1"/>
  <c r="CS34" i="2" a="1"/>
  <c r="CS34" i="2" s="1"/>
  <c r="CT34" i="2" a="1"/>
  <c r="CT34" i="2" s="1"/>
  <c r="CU34" i="2" a="1"/>
  <c r="CU34" i="2" s="1"/>
  <c r="CV34" i="2" a="1"/>
  <c r="CV34" i="2" s="1"/>
  <c r="CW34" i="2" a="1"/>
  <c r="CW34" i="2" s="1"/>
  <c r="CO35" i="2" a="1"/>
  <c r="CO35" i="2"/>
  <c r="CP35" i="2" a="1"/>
  <c r="CP35" i="2" s="1"/>
  <c r="CR35" i="2" a="1"/>
  <c r="CR35" i="2" s="1"/>
  <c r="CS35" i="2" a="1"/>
  <c r="CS35" i="2" s="1"/>
  <c r="CT35" i="2" a="1"/>
  <c r="CT35" i="2" s="1"/>
  <c r="CU35" i="2" a="1"/>
  <c r="CU35" i="2" s="1"/>
  <c r="CV35" i="2" a="1"/>
  <c r="CV35" i="2" s="1"/>
  <c r="CW35" i="2" a="1"/>
  <c r="CW35" i="2" s="1"/>
  <c r="CO36" i="2" a="1"/>
  <c r="CO36" i="2"/>
  <c r="CP36" i="2" a="1"/>
  <c r="CP36" i="2" s="1"/>
  <c r="CR36" i="2" a="1"/>
  <c r="CR36" i="2" s="1"/>
  <c r="CS36" i="2" a="1"/>
  <c r="CS36" i="2" s="1"/>
  <c r="CT36" i="2" a="1"/>
  <c r="CT36" i="2" s="1"/>
  <c r="CU36" i="2" a="1"/>
  <c r="CU36" i="2" s="1"/>
  <c r="CV36" i="2" a="1"/>
  <c r="CV36" i="2" s="1"/>
  <c r="CW36" i="2" a="1"/>
  <c r="CW36" i="2" s="1"/>
  <c r="CO37" i="2" a="1"/>
  <c r="CO37" i="2"/>
  <c r="CP37" i="2" a="1"/>
  <c r="CP37" i="2" s="1"/>
  <c r="CR37" i="2" a="1"/>
  <c r="CR37" i="2" s="1"/>
  <c r="CS37" i="2" a="1"/>
  <c r="CS37" i="2" s="1"/>
  <c r="CT37" i="2" a="1"/>
  <c r="CT37" i="2" s="1"/>
  <c r="CU37" i="2" a="1"/>
  <c r="CU37" i="2" s="1"/>
  <c r="CV37" i="2" a="1"/>
  <c r="CV37" i="2" s="1"/>
  <c r="CW37" i="2" a="1"/>
  <c r="CW37" i="2" s="1"/>
  <c r="CO38" i="2" a="1"/>
  <c r="CO38" i="2"/>
  <c r="CP38" i="2" a="1"/>
  <c r="CP38" i="2" s="1"/>
  <c r="CR38" i="2" a="1"/>
  <c r="CR38" i="2" s="1"/>
  <c r="CS38" i="2" a="1"/>
  <c r="CS38" i="2" s="1"/>
  <c r="CT38" i="2" a="1"/>
  <c r="CT38" i="2" s="1"/>
  <c r="CU38" i="2" a="1"/>
  <c r="CU38" i="2" s="1"/>
  <c r="CV38" i="2" a="1"/>
  <c r="CV38" i="2" s="1"/>
  <c r="CW38" i="2" a="1"/>
  <c r="CW38" i="2" s="1"/>
  <c r="CO39" i="2" a="1"/>
  <c r="CO39" i="2"/>
  <c r="CP39" i="2" a="1"/>
  <c r="CP39" i="2" s="1"/>
  <c r="CR39" i="2" a="1"/>
  <c r="CR39" i="2" s="1"/>
  <c r="CS39" i="2" a="1"/>
  <c r="CS39" i="2" s="1"/>
  <c r="CT39" i="2" a="1"/>
  <c r="CT39" i="2" s="1"/>
  <c r="CU39" i="2" a="1"/>
  <c r="CU39" i="2" s="1"/>
  <c r="CV39" i="2" a="1"/>
  <c r="CV39" i="2" s="1"/>
  <c r="CW39" i="2" a="1"/>
  <c r="CW39" i="2" s="1"/>
  <c r="CO40" i="2" a="1"/>
  <c r="CO40" i="2"/>
  <c r="CP40" i="2" a="1"/>
  <c r="CP40" i="2" s="1"/>
  <c r="CR40" i="2" a="1"/>
  <c r="CR40" i="2" s="1"/>
  <c r="CS40" i="2" a="1"/>
  <c r="CS40" i="2" s="1"/>
  <c r="CT40" i="2" a="1"/>
  <c r="CT40" i="2"/>
  <c r="CU40" i="2" a="1"/>
  <c r="CU40" i="2" s="1"/>
  <c r="CV40" i="2" a="1"/>
  <c r="CV40" i="2" s="1"/>
  <c r="CW40" i="2" a="1"/>
  <c r="CW40" i="2" s="1"/>
  <c r="CO42" i="2" a="1"/>
  <c r="CO42" i="2"/>
  <c r="CP42" i="2" a="1"/>
  <c r="CP42" i="2" s="1"/>
  <c r="CR42" i="2" a="1"/>
  <c r="CR42" i="2" s="1"/>
  <c r="CS42" i="2" a="1"/>
  <c r="CS42" i="2" s="1"/>
  <c r="CT42" i="2" a="1"/>
  <c r="CT42" i="2"/>
  <c r="CU42" i="2" a="1"/>
  <c r="CU42" i="2" s="1"/>
  <c r="CV42" i="2" a="1"/>
  <c r="CV42" i="2" s="1"/>
  <c r="CW42" i="2" a="1"/>
  <c r="CW42" i="2" s="1"/>
  <c r="CO43" i="2" a="1"/>
  <c r="CO43" i="2"/>
  <c r="CP43" i="2" a="1"/>
  <c r="CP43" i="2" s="1"/>
  <c r="CR43" i="2" a="1"/>
  <c r="CR43" i="2" s="1"/>
  <c r="CS43" i="2" a="1"/>
  <c r="CS43" i="2" s="1"/>
  <c r="CT43" i="2" a="1"/>
  <c r="CT43" i="2"/>
  <c r="CU43" i="2" a="1"/>
  <c r="CU43" i="2" s="1"/>
  <c r="CV43" i="2" a="1"/>
  <c r="CV43" i="2" s="1"/>
  <c r="CW43" i="2" a="1"/>
  <c r="CW43" i="2" s="1"/>
  <c r="CO44" i="2" a="1"/>
  <c r="CO44" i="2"/>
  <c r="CP44" i="2" a="1"/>
  <c r="CP44" i="2" s="1"/>
  <c r="CR44" i="2" a="1"/>
  <c r="CR44" i="2" s="1"/>
  <c r="CS44" i="2" a="1"/>
  <c r="CS44" i="2" s="1"/>
  <c r="CT44" i="2" a="1"/>
  <c r="CT44" i="2"/>
  <c r="CU44" i="2" a="1"/>
  <c r="CU44" i="2" s="1"/>
  <c r="CV44" i="2" a="1"/>
  <c r="CV44" i="2" s="1"/>
  <c r="CW44" i="2" a="1"/>
  <c r="CW44" i="2" s="1"/>
  <c r="D47" i="2" a="1"/>
  <c r="D47" i="2"/>
  <c r="E47" i="2" a="1"/>
  <c r="E47" i="2" s="1"/>
  <c r="F47" i="2" a="1"/>
  <c r="F47" i="2" s="1"/>
  <c r="G47" i="2" a="1"/>
  <c r="G47" i="2" s="1"/>
  <c r="H47" i="2" a="1"/>
  <c r="H47" i="2"/>
  <c r="I47" i="2" a="1"/>
  <c r="I47" i="2" s="1"/>
  <c r="J47" i="2" a="1"/>
  <c r="J47" i="2" s="1"/>
  <c r="K47" i="2" a="1"/>
  <c r="K47" i="2" s="1"/>
  <c r="L47" i="2" a="1"/>
  <c r="L47" i="2"/>
  <c r="M47" i="2" a="1"/>
  <c r="M47" i="2" s="1"/>
  <c r="N47" i="2" a="1"/>
  <c r="N47" i="2" s="1"/>
  <c r="O47" i="2" a="1"/>
  <c r="O47" i="2" s="1"/>
  <c r="P47" i="2" a="1"/>
  <c r="P47" i="2"/>
  <c r="Q47" i="2" a="1"/>
  <c r="Q47" i="2" s="1"/>
  <c r="R47" i="2" a="1"/>
  <c r="R47" i="2" s="1"/>
  <c r="S47" i="2" a="1"/>
  <c r="S47" i="2" s="1"/>
  <c r="T47" i="2" a="1"/>
  <c r="T47" i="2"/>
  <c r="U47" i="2" a="1"/>
  <c r="U47" i="2" s="1"/>
  <c r="V47" i="2" a="1"/>
  <c r="V47" i="2" s="1"/>
  <c r="W47" i="2" a="1"/>
  <c r="W47" i="2" s="1"/>
  <c r="X47" i="2" a="1"/>
  <c r="X47" i="2"/>
  <c r="Y47" i="2" a="1"/>
  <c r="Y47" i="2" s="1"/>
  <c r="Z47" i="2" a="1"/>
  <c r="Z47" i="2" s="1"/>
  <c r="AA47" i="2" a="1"/>
  <c r="AA47" i="2" s="1"/>
  <c r="AB47" i="2" a="1"/>
  <c r="AB47" i="2"/>
  <c r="AC47" i="2" a="1"/>
  <c r="AC47" i="2" s="1"/>
  <c r="AD47" i="2" a="1"/>
  <c r="AD47" i="2" s="1"/>
  <c r="AE47" i="2" a="1"/>
  <c r="AE47" i="2" s="1"/>
  <c r="AF47" i="2" a="1"/>
  <c r="AF47" i="2"/>
  <c r="AG47" i="2" a="1"/>
  <c r="AG47" i="2"/>
  <c r="AH47" i="2" a="1"/>
  <c r="AH47" i="2"/>
  <c r="AI47" i="2" a="1"/>
  <c r="AI47" i="2"/>
  <c r="AJ47" i="2" a="1"/>
  <c r="AJ47" i="2"/>
  <c r="AK47" i="2" a="1"/>
  <c r="AK47" i="2"/>
  <c r="AL47" i="2" a="1"/>
  <c r="AL47" i="2"/>
  <c r="AM47" i="2" a="1"/>
  <c r="AM47" i="2"/>
  <c r="AN47" i="2" a="1"/>
  <c r="AN47" i="2"/>
  <c r="AO47" i="2" a="1"/>
  <c r="AO47" i="2"/>
  <c r="AP47" i="2" a="1"/>
  <c r="AP47" i="2"/>
  <c r="AQ47" i="2" a="1"/>
  <c r="AQ47" i="2"/>
  <c r="AR47" i="2" a="1"/>
  <c r="AR47" i="2"/>
  <c r="AS47" i="2" a="1"/>
  <c r="AS47" i="2"/>
  <c r="AT47" i="2" a="1"/>
  <c r="AT47" i="2"/>
  <c r="AU47" i="2" a="1"/>
  <c r="AU47" i="2"/>
  <c r="AV47" i="2" a="1"/>
  <c r="AV47" i="2"/>
  <c r="AW47" i="2" a="1"/>
  <c r="AW47" i="2"/>
  <c r="AX47" i="2" a="1"/>
  <c r="AX47" i="2"/>
  <c r="AY47" i="2" a="1"/>
  <c r="AY47" i="2"/>
  <c r="AZ47" i="2" a="1"/>
  <c r="AZ47" i="2" s="1"/>
  <c r="BA47" i="2" a="1"/>
  <c r="BA47" i="2"/>
  <c r="BB47" i="2" a="1"/>
  <c r="BB47" i="2" s="1"/>
  <c r="BC47" i="2" a="1"/>
  <c r="BC47" i="2"/>
  <c r="BD47" i="2" a="1"/>
  <c r="BD47" i="2" s="1"/>
  <c r="BE47" i="2" a="1"/>
  <c r="BE47" i="2"/>
  <c r="BF47" i="2" a="1"/>
  <c r="BF47" i="2" s="1"/>
  <c r="D48" i="2" a="1"/>
  <c r="D48" i="2"/>
  <c r="E48" i="2" a="1"/>
  <c r="E48" i="2" s="1"/>
  <c r="F48" i="2" a="1"/>
  <c r="F48" i="2"/>
  <c r="G48" i="2" a="1"/>
  <c r="G48" i="2" s="1"/>
  <c r="H48" i="2" a="1"/>
  <c r="H48" i="2"/>
  <c r="I48" i="2" a="1"/>
  <c r="I48" i="2" s="1"/>
  <c r="J48" i="2" a="1"/>
  <c r="J48" i="2"/>
  <c r="K48" i="2" a="1"/>
  <c r="K48" i="2" s="1"/>
  <c r="L48" i="2" a="1"/>
  <c r="L48" i="2"/>
  <c r="M48" i="2" a="1"/>
  <c r="M48" i="2" s="1"/>
  <c r="N48" i="2" a="1"/>
  <c r="N48" i="2"/>
  <c r="O48" i="2" a="1"/>
  <c r="O48" i="2" s="1"/>
  <c r="P48" i="2" a="1"/>
  <c r="P48" i="2"/>
  <c r="Q48" i="2" a="1"/>
  <c r="Q48" i="2" s="1"/>
  <c r="R48" i="2" a="1"/>
  <c r="R48" i="2"/>
  <c r="S48" i="2" a="1"/>
  <c r="S48" i="2" s="1"/>
  <c r="T48" i="2" a="1"/>
  <c r="T48" i="2"/>
  <c r="U48" i="2" a="1"/>
  <c r="U48" i="2" s="1"/>
  <c r="V48" i="2" a="1"/>
  <c r="V48" i="2"/>
  <c r="W48" i="2" a="1"/>
  <c r="W48" i="2" s="1"/>
  <c r="X48" i="2" a="1"/>
  <c r="X48" i="2"/>
  <c r="Y48" i="2" a="1"/>
  <c r="Y48" i="2" s="1"/>
  <c r="Z48" i="2" a="1"/>
  <c r="Z48" i="2"/>
  <c r="AA48" i="2" a="1"/>
  <c r="AA48" i="2" s="1"/>
  <c r="AB48" i="2" a="1"/>
  <c r="AB48" i="2"/>
  <c r="AC48" i="2" a="1"/>
  <c r="AC48" i="2" s="1"/>
  <c r="AD48" i="2" a="1"/>
  <c r="AD48" i="2" s="1"/>
  <c r="AE48" i="2" a="1"/>
  <c r="AE48" i="2" s="1"/>
  <c r="AF48" i="2" a="1"/>
  <c r="AF48" i="2" s="1"/>
  <c r="AG48" i="2" a="1"/>
  <c r="AG48" i="2"/>
  <c r="AH48" i="2" a="1"/>
  <c r="AH48" i="2" s="1"/>
  <c r="AI48" i="2" a="1"/>
  <c r="AI48" i="2"/>
  <c r="AJ48" i="2" a="1"/>
  <c r="AJ48" i="2" s="1"/>
  <c r="AK48" i="2" a="1"/>
  <c r="AK48" i="2" s="1"/>
  <c r="AL48" i="2" a="1"/>
  <c r="AL48" i="2" s="1"/>
  <c r="AM48" i="2" a="1"/>
  <c r="AM48" i="2" s="1"/>
  <c r="AN48" i="2" a="1"/>
  <c r="AN48" i="2" s="1"/>
  <c r="AO48" i="2" a="1"/>
  <c r="AO48" i="2"/>
  <c r="AP48" i="2" a="1"/>
  <c r="AP48" i="2" s="1"/>
  <c r="AQ48" i="2" a="1"/>
  <c r="AQ48" i="2"/>
  <c r="AR48" i="2" a="1"/>
  <c r="AR48" i="2" s="1"/>
  <c r="AS48" i="2" a="1"/>
  <c r="AS48" i="2" s="1"/>
  <c r="AT48" i="2" a="1"/>
  <c r="AT48" i="2" s="1"/>
  <c r="AU48" i="2" a="1"/>
  <c r="AU48" i="2" s="1"/>
  <c r="AV48" i="2" a="1"/>
  <c r="AV48" i="2" s="1"/>
  <c r="AW48" i="2" a="1"/>
  <c r="AW48" i="2"/>
  <c r="AX48" i="2" a="1"/>
  <c r="AX48" i="2" s="1"/>
  <c r="AY48" i="2" a="1"/>
  <c r="AY48" i="2"/>
  <c r="AZ48" i="2" a="1"/>
  <c r="AZ48" i="2" s="1"/>
  <c r="BA48" i="2" a="1"/>
  <c r="BA48" i="2" s="1"/>
  <c r="BB48" i="2" a="1"/>
  <c r="BB48" i="2" s="1"/>
  <c r="BC48" i="2" a="1"/>
  <c r="BC48" i="2" s="1"/>
  <c r="BD48" i="2" a="1"/>
  <c r="BD48" i="2" s="1"/>
  <c r="BE48" i="2" a="1"/>
  <c r="BE48" i="2"/>
  <c r="BF48" i="2" a="1"/>
  <c r="BF48" i="2" s="1"/>
  <c r="B1" i="3" a="1"/>
  <c r="D1" i="3" s="1"/>
  <c r="T4" i="3"/>
  <c r="B1" i="3"/>
  <c r="E1" i="3"/>
  <c r="F1" i="3"/>
  <c r="H1" i="3"/>
  <c r="J1" i="3"/>
  <c r="L1" i="3"/>
  <c r="M1" i="3"/>
  <c r="P1" i="3"/>
  <c r="Q1" i="3"/>
  <c r="R1" i="3"/>
  <c r="U1" i="3"/>
  <c r="V1" i="3"/>
  <c r="X1" i="3"/>
  <c r="Z1" i="3"/>
  <c r="AB1" i="3"/>
  <c r="AC1" i="3"/>
  <c r="AF1" i="3"/>
  <c r="AG1" i="3"/>
  <c r="AH1" i="3"/>
  <c r="AK1" i="3"/>
  <c r="AL1" i="3"/>
  <c r="AN1" i="3"/>
  <c r="AP1" i="3"/>
  <c r="AR1" i="3"/>
  <c r="AS1" i="3"/>
  <c r="AV1" i="3"/>
  <c r="AW1" i="3"/>
  <c r="AX1" i="3"/>
  <c r="BA1" i="3"/>
  <c r="BB1" i="3"/>
  <c r="BD1" i="3"/>
  <c r="BF1" i="3"/>
  <c r="BH1" i="3"/>
  <c r="BI1" i="3"/>
  <c r="BL1" i="3"/>
  <c r="BM1" i="3"/>
  <c r="BN1" i="3"/>
  <c r="BQ1" i="3"/>
  <c r="BR1" i="3"/>
  <c r="BT1" i="3"/>
  <c r="BV1" i="3"/>
  <c r="BX1" i="3"/>
  <c r="BY1" i="3"/>
  <c r="CB1" i="3"/>
  <c r="CC1" i="3"/>
  <c r="B2" i="3"/>
  <c r="E2" i="3"/>
  <c r="G2" i="3"/>
  <c r="I2" i="3"/>
  <c r="L2" i="3"/>
  <c r="O2" i="3"/>
  <c r="P2" i="3"/>
  <c r="T2" i="3"/>
  <c r="U2" i="3"/>
  <c r="W2" i="3"/>
  <c r="AA2" i="3"/>
  <c r="AB2" i="3"/>
  <c r="AE2" i="3"/>
  <c r="AG2" i="3"/>
  <c r="AJ2" i="3"/>
  <c r="AK2" i="3"/>
  <c r="AO2" i="3"/>
  <c r="AQ2" i="3"/>
  <c r="AR2" i="3"/>
  <c r="AV2" i="3"/>
  <c r="AW2" i="3"/>
  <c r="AZ2" i="3"/>
  <c r="BC2" i="3"/>
  <c r="BE2" i="3"/>
  <c r="BG2" i="3"/>
  <c r="BK2" i="3"/>
  <c r="BL2" i="3"/>
  <c r="BM2" i="3"/>
  <c r="BQ2" i="3"/>
  <c r="BS2" i="3"/>
  <c r="BU2" i="3"/>
  <c r="BX2" i="3"/>
  <c r="CA2" i="3"/>
  <c r="CB2" i="3"/>
  <c r="D3" i="3"/>
  <c r="E3" i="3"/>
  <c r="G3" i="3"/>
  <c r="K3" i="3"/>
  <c r="L3" i="3"/>
  <c r="O3" i="3"/>
  <c r="Q3" i="3"/>
  <c r="T3" i="3"/>
  <c r="U3" i="3"/>
  <c r="Y3" i="3"/>
  <c r="AA3" i="3"/>
  <c r="AB3" i="3"/>
  <c r="AF3" i="3"/>
  <c r="AG3" i="3"/>
  <c r="AJ3" i="3"/>
  <c r="AM3" i="3"/>
  <c r="AO3" i="3"/>
  <c r="AQ3" i="3"/>
  <c r="AU3" i="3"/>
  <c r="AV3" i="3"/>
  <c r="AW3" i="3"/>
  <c r="BA3" i="3"/>
  <c r="BC3" i="3"/>
  <c r="BE3" i="3"/>
  <c r="BH3" i="3"/>
  <c r="BK3" i="3"/>
  <c r="BL3" i="3"/>
  <c r="BP3" i="3"/>
  <c r="BQ3" i="3"/>
  <c r="BS3" i="3"/>
  <c r="BW3" i="3"/>
  <c r="BX3" i="3"/>
  <c r="CA3" i="3"/>
  <c r="CC3" i="3"/>
  <c r="D4" i="3"/>
  <c r="E4" i="3"/>
  <c r="I4" i="3"/>
  <c r="K4" i="3"/>
  <c r="L4" i="3"/>
  <c r="P4" i="3"/>
  <c r="Q4" i="3"/>
  <c r="U4" i="3"/>
  <c r="Y4" i="3"/>
  <c r="AC4" i="3"/>
  <c r="AE4" i="3"/>
  <c r="AK4" i="3"/>
  <c r="AM4" i="3"/>
  <c r="AO4" i="3"/>
  <c r="AU4" i="3"/>
  <c r="AW4" i="3"/>
  <c r="BA4" i="3"/>
  <c r="BE4" i="3"/>
  <c r="BI4" i="3"/>
  <c r="BK4" i="3"/>
  <c r="BQ4" i="3"/>
  <c r="BS4" i="3"/>
  <c r="BU4" i="3"/>
  <c r="CA4" i="3"/>
  <c r="CC4" i="3"/>
  <c r="C37" i="3" a="1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BE37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BC38" i="3"/>
  <c r="BD38" i="3"/>
  <c r="BE38" i="3"/>
  <c r="C42" i="3" a="1"/>
  <c r="D42" i="3"/>
  <c r="H42" i="3"/>
  <c r="I42" i="3"/>
  <c r="M42" i="3"/>
  <c r="N42" i="3"/>
  <c r="R42" i="3"/>
  <c r="T42" i="3"/>
  <c r="X42" i="3"/>
  <c r="Y42" i="3"/>
  <c r="AC42" i="3"/>
  <c r="AD42" i="3"/>
  <c r="AH42" i="3"/>
  <c r="AI42" i="3"/>
  <c r="AL42" i="3"/>
  <c r="AM42" i="3"/>
  <c r="AP42" i="3"/>
  <c r="AQ42" i="3"/>
  <c r="AT42" i="3"/>
  <c r="AU42" i="3"/>
  <c r="AX42" i="3"/>
  <c r="AY42" i="3"/>
  <c r="BB42" i="3"/>
  <c r="BC42" i="3"/>
  <c r="BF42" i="3"/>
  <c r="BG42" i="3"/>
  <c r="BJ42" i="3"/>
  <c r="BK42" i="3"/>
  <c r="BN42" i="3"/>
  <c r="BO42" i="3"/>
  <c r="BR42" i="3"/>
  <c r="BS42" i="3"/>
  <c r="BV42" i="3"/>
  <c r="BW42" i="3"/>
  <c r="BZ42" i="3"/>
  <c r="CA42" i="3"/>
  <c r="A16" i="4"/>
  <c r="B16" i="4"/>
  <c r="B15" i="4" s="1"/>
  <c r="C16" i="4"/>
  <c r="C15" i="4"/>
  <c r="D16" i="4"/>
  <c r="D15" i="4" s="1"/>
  <c r="E16" i="4"/>
  <c r="E15" i="4"/>
  <c r="F16" i="4"/>
  <c r="F15" i="4" s="1"/>
  <c r="G16" i="4"/>
  <c r="G15" i="4"/>
  <c r="H16" i="4"/>
  <c r="H15" i="4" s="1"/>
  <c r="I16" i="4"/>
  <c r="I15" i="4"/>
  <c r="J16" i="4"/>
  <c r="J15" i="4" s="1"/>
  <c r="K16" i="4"/>
  <c r="K15" i="4"/>
  <c r="L16" i="4"/>
  <c r="L15" i="4" s="1"/>
  <c r="M16" i="4"/>
  <c r="M15" i="4"/>
  <c r="N16" i="4"/>
  <c r="N15" i="4" s="1"/>
  <c r="O16" i="4"/>
  <c r="O15" i="4"/>
  <c r="Z16" i="4"/>
  <c r="Z15" i="4" s="1"/>
  <c r="AA16" i="4"/>
  <c r="AA15" i="4"/>
  <c r="AB16" i="4"/>
  <c r="AB15" i="4" s="1"/>
  <c r="AC16" i="4"/>
  <c r="AC15" i="4"/>
  <c r="AD16" i="4"/>
  <c r="AD15" i="4" s="1"/>
  <c r="AE16" i="4"/>
  <c r="AE15" i="4"/>
  <c r="AF16" i="4"/>
  <c r="AF15" i="4" s="1"/>
  <c r="AG16" i="4"/>
  <c r="AG15" i="4"/>
  <c r="AH16" i="4"/>
  <c r="AH15" i="4" s="1"/>
  <c r="AI16" i="4"/>
  <c r="AI15" i="4"/>
  <c r="AJ16" i="4"/>
  <c r="AJ15" i="4" s="1"/>
  <c r="AK16" i="4"/>
  <c r="AK15" i="4"/>
  <c r="AL16" i="4"/>
  <c r="AL15" i="4" s="1"/>
  <c r="AM16" i="4"/>
  <c r="AM15" i="4"/>
  <c r="AN16" i="4"/>
  <c r="AN15" i="4" s="1"/>
  <c r="AO16" i="4"/>
  <c r="AO15" i="4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41" i="4" s="1"/>
  <c r="A42" i="4" s="1"/>
  <c r="A43" i="4" s="1"/>
  <c r="A29" i="4"/>
  <c r="B29" i="4"/>
  <c r="C29" i="4"/>
  <c r="D29" i="4"/>
  <c r="D41" i="4" s="1"/>
  <c r="D42" i="4" s="1"/>
  <c r="E29" i="4"/>
  <c r="E41" i="4" s="1"/>
  <c r="E42" i="4" s="1"/>
  <c r="F29" i="4"/>
  <c r="G29" i="4"/>
  <c r="H29" i="4"/>
  <c r="H41" i="4" s="1"/>
  <c r="H42" i="4" s="1"/>
  <c r="I29" i="4"/>
  <c r="I41" i="4" s="1"/>
  <c r="I42" i="4" s="1"/>
  <c r="J29" i="4"/>
  <c r="K29" i="4"/>
  <c r="L29" i="4"/>
  <c r="L41" i="4" s="1"/>
  <c r="M29" i="4"/>
  <c r="M41" i="4" s="1"/>
  <c r="M42" i="4" s="1"/>
  <c r="N29" i="4"/>
  <c r="O29" i="4"/>
  <c r="Z29" i="4"/>
  <c r="Z41" i="4" s="1"/>
  <c r="Z42" i="4" s="1"/>
  <c r="Z43" i="4" s="1"/>
  <c r="AA29" i="4"/>
  <c r="AA41" i="4" s="1"/>
  <c r="AA42" i="4" s="1"/>
  <c r="AB29" i="4"/>
  <c r="AC29" i="4"/>
  <c r="AD29" i="4"/>
  <c r="AD41" i="4" s="1"/>
  <c r="AD42" i="4" s="1"/>
  <c r="AE29" i="4"/>
  <c r="AE41" i="4" s="1"/>
  <c r="AE42" i="4" s="1"/>
  <c r="AF29" i="4"/>
  <c r="AG29" i="4"/>
  <c r="AH29" i="4"/>
  <c r="AH41" i="4" s="1"/>
  <c r="AH42" i="4" s="1"/>
  <c r="AI29" i="4"/>
  <c r="AI41" i="4" s="1"/>
  <c r="AI42" i="4" s="1"/>
  <c r="AJ29" i="4"/>
  <c r="AK29" i="4"/>
  <c r="AL29" i="4"/>
  <c r="AL41" i="4" s="1"/>
  <c r="AM29" i="4"/>
  <c r="AM41" i="4" s="1"/>
  <c r="AM42" i="4" s="1"/>
  <c r="AN29" i="4"/>
  <c r="AO29" i="4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B41" i="4"/>
  <c r="B42" i="4" s="1"/>
  <c r="C41" i="4"/>
  <c r="C42" i="4" s="1"/>
  <c r="F41" i="4"/>
  <c r="F42" i="4" s="1"/>
  <c r="F43" i="4" s="1"/>
  <c r="G41" i="4"/>
  <c r="G42" i="4" s="1"/>
  <c r="J41" i="4"/>
  <c r="J42" i="4" s="1"/>
  <c r="K41" i="4"/>
  <c r="K42" i="4" s="1"/>
  <c r="N41" i="4"/>
  <c r="N42" i="4" s="1"/>
  <c r="N43" i="4" s="1"/>
  <c r="O41" i="4"/>
  <c r="O42" i="4" s="1"/>
  <c r="AB41" i="4"/>
  <c r="AB42" i="4" s="1"/>
  <c r="AC41" i="4"/>
  <c r="AC42" i="4" s="1"/>
  <c r="AF41" i="4"/>
  <c r="AF42" i="4" s="1"/>
  <c r="AF43" i="4" s="1"/>
  <c r="AG41" i="4"/>
  <c r="AG42" i="4" s="1"/>
  <c r="AJ41" i="4"/>
  <c r="AJ42" i="4" s="1"/>
  <c r="AK41" i="4"/>
  <c r="AK42" i="4" s="1"/>
  <c r="AN41" i="4"/>
  <c r="AN42" i="4" s="1"/>
  <c r="AN43" i="4" s="1"/>
  <c r="AO41" i="4"/>
  <c r="AO42" i="4" s="1"/>
  <c r="L42" i="4"/>
  <c r="L43" i="4" s="1"/>
  <c r="AL42" i="4"/>
  <c r="AL43" i="4" s="1"/>
  <c r="H44" i="4"/>
  <c r="H45" i="4" s="1"/>
  <c r="D45" i="4" a="1"/>
  <c r="D45" i="4" s="1"/>
  <c r="D46" i="4" a="1"/>
  <c r="D46" i="4"/>
  <c r="L46" i="4"/>
  <c r="D47" i="4" a="1"/>
  <c r="D47" i="4" s="1"/>
  <c r="L47" i="4"/>
  <c r="D48" i="4" a="1"/>
  <c r="D48" i="4" s="1"/>
  <c r="L48" i="4"/>
  <c r="D49" i="4" a="1"/>
  <c r="D49" i="4" s="1"/>
  <c r="L49" i="4"/>
  <c r="D50" i="4" a="1"/>
  <c r="D50" i="4" s="1"/>
  <c r="L50" i="4"/>
  <c r="D51" i="4" a="1"/>
  <c r="D51" i="4" s="1"/>
  <c r="L51" i="4"/>
  <c r="D52" i="4" a="1"/>
  <c r="D52" i="4" s="1"/>
  <c r="L52" i="4"/>
  <c r="D53" i="4" a="1"/>
  <c r="D53" i="4" s="1"/>
  <c r="L53" i="4"/>
  <c r="D54" i="4" a="1"/>
  <c r="D54" i="4" s="1"/>
  <c r="L54" i="4"/>
  <c r="D55" i="4" a="1"/>
  <c r="D55" i="4" s="1"/>
  <c r="L55" i="4"/>
  <c r="D56" i="4" a="1"/>
  <c r="D56" i="4" s="1"/>
  <c r="L56" i="4"/>
  <c r="D57" i="4" a="1"/>
  <c r="D57" i="4" s="1"/>
  <c r="L57" i="4"/>
  <c r="D58" i="4" a="1"/>
  <c r="D58" i="4" s="1"/>
  <c r="L58" i="4"/>
  <c r="D59" i="4" a="1"/>
  <c r="D59" i="4" s="1"/>
  <c r="L59" i="4"/>
  <c r="D60" i="4" a="1"/>
  <c r="D60" i="4" s="1"/>
  <c r="L60" i="4"/>
  <c r="D61" i="4" a="1"/>
  <c r="D61" i="4" s="1"/>
  <c r="L61" i="4"/>
  <c r="H61" i="4"/>
  <c r="K61" i="4" s="1"/>
  <c r="N61" i="4" s="1"/>
  <c r="C20" i="7" s="1"/>
  <c r="D62" i="4" a="1"/>
  <c r="D62" i="4" s="1"/>
  <c r="L62" i="4"/>
  <c r="H62" i="4"/>
  <c r="K62" i="4" s="1"/>
  <c r="N62" i="4" s="1"/>
  <c r="C21" i="7" s="1"/>
  <c r="D63" i="4" a="1"/>
  <c r="D63" i="4" s="1"/>
  <c r="L63" i="4"/>
  <c r="H63" i="4"/>
  <c r="M63" i="4" s="1"/>
  <c r="B22" i="7" s="1"/>
  <c r="D64" i="4" a="1"/>
  <c r="D64" i="4" s="1"/>
  <c r="L64" i="4"/>
  <c r="H64" i="4"/>
  <c r="K64" i="4" s="1"/>
  <c r="N64" i="4" s="1"/>
  <c r="C23" i="7" s="1"/>
  <c r="D65" i="4" a="1"/>
  <c r="D65" i="4" s="1"/>
  <c r="L65" i="4"/>
  <c r="H65" i="4"/>
  <c r="O65" i="4" s="1"/>
  <c r="D24" i="7" s="1"/>
  <c r="D66" i="4" a="1"/>
  <c r="D66" i="4" s="1"/>
  <c r="L66" i="4"/>
  <c r="H66" i="4"/>
  <c r="D67" i="4" a="1"/>
  <c r="D67" i="4" s="1"/>
  <c r="L67" i="4"/>
  <c r="H67" i="4"/>
  <c r="O67" i="4" s="1"/>
  <c r="D26" i="7" s="1"/>
  <c r="D68" i="4" a="1"/>
  <c r="D68" i="4" s="1"/>
  <c r="L68" i="4"/>
  <c r="H68" i="4"/>
  <c r="O68" i="4" s="1"/>
  <c r="D27" i="7" s="1"/>
  <c r="D69" i="4" a="1"/>
  <c r="D69" i="4" s="1"/>
  <c r="L69" i="4"/>
  <c r="H69" i="4"/>
  <c r="O69" i="4" s="1"/>
  <c r="D28" i="7" s="1"/>
  <c r="D70" i="4" a="1"/>
  <c r="D70" i="4" s="1"/>
  <c r="L70" i="4"/>
  <c r="H70" i="4"/>
  <c r="M70" i="4" s="1"/>
  <c r="B29" i="7" s="1"/>
  <c r="D71" i="4" a="1"/>
  <c r="D71" i="4" s="1"/>
  <c r="L71" i="4"/>
  <c r="H71" i="4"/>
  <c r="M71" i="4" s="1"/>
  <c r="B30" i="7" s="1"/>
  <c r="D72" i="4" a="1"/>
  <c r="D72" i="4" s="1"/>
  <c r="L72" i="4"/>
  <c r="H72" i="4"/>
  <c r="M72" i="4" s="1"/>
  <c r="B31" i="7" s="1"/>
  <c r="D73" i="4" a="1"/>
  <c r="D73" i="4" s="1"/>
  <c r="L73" i="4"/>
  <c r="H73" i="4"/>
  <c r="M73" i="4" s="1"/>
  <c r="B32" i="7" s="1"/>
  <c r="D74" i="4" a="1"/>
  <c r="D74" i="4" s="1"/>
  <c r="L74" i="4"/>
  <c r="H74" i="4"/>
  <c r="D75" i="4" a="1"/>
  <c r="D75" i="4" s="1"/>
  <c r="L75" i="4"/>
  <c r="H75" i="4"/>
  <c r="O75" i="4" s="1"/>
  <c r="D34" i="7" s="1"/>
  <c r="D76" i="4" a="1"/>
  <c r="D76" i="4" s="1"/>
  <c r="L76" i="4"/>
  <c r="H76" i="4"/>
  <c r="O76" i="4" s="1"/>
  <c r="D35" i="7" s="1"/>
  <c r="D77" i="4" a="1"/>
  <c r="D77" i="4" s="1"/>
  <c r="L77" i="4"/>
  <c r="H77" i="4"/>
  <c r="O77" i="4" s="1"/>
  <c r="D36" i="7" s="1"/>
  <c r="D78" i="4" a="1"/>
  <c r="D78" i="4" s="1"/>
  <c r="L78" i="4"/>
  <c r="H78" i="4"/>
  <c r="D79" i="4" a="1"/>
  <c r="D79" i="4" s="1"/>
  <c r="L79" i="4"/>
  <c r="H79" i="4"/>
  <c r="M79" i="4" s="1"/>
  <c r="B38" i="7" s="1"/>
  <c r="D80" i="4" a="1"/>
  <c r="D80" i="4" s="1"/>
  <c r="L80" i="4"/>
  <c r="H80" i="4"/>
  <c r="K80" i="4" s="1"/>
  <c r="N80" i="4" s="1"/>
  <c r="C39" i="7" s="1"/>
  <c r="L81" i="4"/>
  <c r="K86" i="4"/>
  <c r="N86" i="4" s="1"/>
  <c r="M86" i="4"/>
  <c r="O86" i="4"/>
  <c r="K87" i="4"/>
  <c r="N87" i="4" s="1"/>
  <c r="M87" i="4"/>
  <c r="O87" i="4"/>
  <c r="H89" i="4" a="1"/>
  <c r="H89" i="4"/>
  <c r="H93" i="4" s="1"/>
  <c r="A5" i="5" s="1" a="1"/>
  <c r="B36" i="5" s="1"/>
  <c r="A33" i="6" s="1"/>
  <c r="H90" i="4" a="1"/>
  <c r="H90" i="4"/>
  <c r="H91" i="4" a="1"/>
  <c r="H91" i="4" s="1"/>
  <c r="H92" i="4" a="1"/>
  <c r="H92" i="4"/>
  <c r="O6" i="5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C1" i="1" a="1"/>
  <c r="C1" i="1" s="1"/>
  <c r="D1" i="1" a="1"/>
  <c r="D1" i="1" s="1"/>
  <c r="C2" i="1" a="1"/>
  <c r="C2" i="1" s="1"/>
  <c r="D2" i="1" a="1"/>
  <c r="D2" i="1" s="1"/>
  <c r="C3" i="1" a="1"/>
  <c r="C3" i="1"/>
  <c r="A5" i="1"/>
  <c r="AA5" i="1"/>
  <c r="AB5" i="1"/>
  <c r="AC5" i="1"/>
  <c r="AD5" i="1"/>
  <c r="A6" i="1"/>
  <c r="AA6" i="1"/>
  <c r="AB6" i="1"/>
  <c r="AC6" i="1"/>
  <c r="AD6" i="1"/>
  <c r="A7" i="1"/>
  <c r="AA7" i="1"/>
  <c r="AB7" i="1"/>
  <c r="AC7" i="1"/>
  <c r="AD7" i="1"/>
  <c r="A8" i="1"/>
  <c r="AA8" i="1"/>
  <c r="AB8" i="1"/>
  <c r="AC8" i="1"/>
  <c r="AD8" i="1"/>
  <c r="A9" i="1"/>
  <c r="AA9" i="1"/>
  <c r="AB9" i="1"/>
  <c r="AC9" i="1"/>
  <c r="AD9" i="1"/>
  <c r="A10" i="1"/>
  <c r="AA10" i="1"/>
  <c r="AB10" i="1"/>
  <c r="AC10" i="1"/>
  <c r="AD10" i="1"/>
  <c r="A11" i="1"/>
  <c r="AA11" i="1"/>
  <c r="AB11" i="1"/>
  <c r="AC11" i="1"/>
  <c r="AD11" i="1"/>
  <c r="A12" i="1"/>
  <c r="AA12" i="1"/>
  <c r="AB12" i="1"/>
  <c r="AC12" i="1"/>
  <c r="AD12" i="1"/>
  <c r="A13" i="1"/>
  <c r="AA13" i="1"/>
  <c r="AB13" i="1"/>
  <c r="AC13" i="1"/>
  <c r="AD13" i="1"/>
  <c r="A14" i="1"/>
  <c r="AA14" i="1"/>
  <c r="AB14" i="1"/>
  <c r="AC14" i="1"/>
  <c r="AD14" i="1"/>
  <c r="A15" i="1"/>
  <c r="AA15" i="1"/>
  <c r="AB15" i="1"/>
  <c r="AC15" i="1"/>
  <c r="AD15" i="1"/>
  <c r="A16" i="1"/>
  <c r="AA16" i="1"/>
  <c r="AB16" i="1"/>
  <c r="AC16" i="1"/>
  <c r="AD16" i="1"/>
  <c r="A17" i="1"/>
  <c r="AA17" i="1"/>
  <c r="AB17" i="1"/>
  <c r="AC17" i="1"/>
  <c r="AD17" i="1"/>
  <c r="A18" i="1"/>
  <c r="AA18" i="1"/>
  <c r="AB18" i="1"/>
  <c r="AC18" i="1"/>
  <c r="AD18" i="1"/>
  <c r="A19" i="1"/>
  <c r="AA19" i="1"/>
  <c r="AB19" i="1"/>
  <c r="AC19" i="1"/>
  <c r="AD19" i="1"/>
  <c r="A20" i="1"/>
  <c r="AA20" i="1"/>
  <c r="AB20" i="1"/>
  <c r="AC20" i="1"/>
  <c r="AD20" i="1"/>
  <c r="A21" i="1"/>
  <c r="AA21" i="1"/>
  <c r="AB21" i="1"/>
  <c r="AC21" i="1"/>
  <c r="AD21" i="1"/>
  <c r="A22" i="1"/>
  <c r="AA22" i="1"/>
  <c r="AB22" i="1"/>
  <c r="AC22" i="1"/>
  <c r="AD22" i="1"/>
  <c r="A23" i="1"/>
  <c r="AA23" i="1"/>
  <c r="AB23" i="1"/>
  <c r="AC23" i="1"/>
  <c r="AD23" i="1"/>
  <c r="A24" i="1"/>
  <c r="Y24" i="1"/>
  <c r="Z24" i="1"/>
  <c r="AA24" i="1"/>
  <c r="AB24" i="1"/>
  <c r="AC24" i="1"/>
  <c r="AD24" i="1"/>
  <c r="A25" i="1"/>
  <c r="Y25" i="1"/>
  <c r="Z25" i="1"/>
  <c r="AA25" i="1"/>
  <c r="AB25" i="1"/>
  <c r="AC25" i="1"/>
  <c r="AD25" i="1"/>
  <c r="A26" i="1"/>
  <c r="Y26" i="1"/>
  <c r="Z26" i="1"/>
  <c r="AA26" i="1"/>
  <c r="AB26" i="1"/>
  <c r="AC26" i="1"/>
  <c r="AD26" i="1"/>
  <c r="A27" i="1"/>
  <c r="Y27" i="1"/>
  <c r="Z27" i="1"/>
  <c r="AA27" i="1"/>
  <c r="AB27" i="1"/>
  <c r="AC27" i="1"/>
  <c r="AD27" i="1"/>
  <c r="A28" i="1"/>
  <c r="Y28" i="1"/>
  <c r="Z28" i="1"/>
  <c r="AA28" i="1"/>
  <c r="AB28" i="1"/>
  <c r="AC28" i="1"/>
  <c r="AD28" i="1"/>
  <c r="A29" i="1"/>
  <c r="Y29" i="1"/>
  <c r="Z29" i="1"/>
  <c r="AA29" i="1"/>
  <c r="AB29" i="1"/>
  <c r="AC29" i="1"/>
  <c r="AD29" i="1"/>
  <c r="A30" i="1"/>
  <c r="Y30" i="1"/>
  <c r="Z30" i="1"/>
  <c r="AA30" i="1"/>
  <c r="AB30" i="1"/>
  <c r="AC30" i="1"/>
  <c r="AD30" i="1"/>
  <c r="A31" i="1"/>
  <c r="Y31" i="1"/>
  <c r="Z31" i="1"/>
  <c r="AA31" i="1"/>
  <c r="AB31" i="1"/>
  <c r="AC31" i="1"/>
  <c r="AD31" i="1"/>
  <c r="A32" i="1"/>
  <c r="Y32" i="1"/>
  <c r="Z32" i="1"/>
  <c r="AA32" i="1"/>
  <c r="AB32" i="1"/>
  <c r="AC32" i="1"/>
  <c r="AD32" i="1"/>
  <c r="A33" i="1"/>
  <c r="Y33" i="1"/>
  <c r="Z33" i="1"/>
  <c r="AA33" i="1"/>
  <c r="AB33" i="1"/>
  <c r="AC33" i="1"/>
  <c r="AD33" i="1"/>
  <c r="A34" i="1"/>
  <c r="Y34" i="1"/>
  <c r="Z34" i="1"/>
  <c r="AA34" i="1"/>
  <c r="AB34" i="1"/>
  <c r="AC34" i="1"/>
  <c r="AD34" i="1"/>
  <c r="A35" i="1"/>
  <c r="Y35" i="1"/>
  <c r="Z35" i="1"/>
  <c r="AA35" i="1"/>
  <c r="AB35" i="1"/>
  <c r="AC35" i="1"/>
  <c r="AD35" i="1"/>
  <c r="A36" i="1"/>
  <c r="Y36" i="1"/>
  <c r="Z36" i="1"/>
  <c r="AA36" i="1"/>
  <c r="AB36" i="1"/>
  <c r="AC36" i="1"/>
  <c r="AD36" i="1"/>
  <c r="A37" i="1"/>
  <c r="Y37" i="1"/>
  <c r="Z37" i="1"/>
  <c r="AA37" i="1"/>
  <c r="AB37" i="1"/>
  <c r="AC37" i="1"/>
  <c r="AD37" i="1"/>
  <c r="A38" i="1"/>
  <c r="Y38" i="1"/>
  <c r="Z38" i="1"/>
  <c r="AA38" i="1"/>
  <c r="AB38" i="1"/>
  <c r="AC38" i="1"/>
  <c r="AD38" i="1"/>
  <c r="A39" i="1"/>
  <c r="Y39" i="1"/>
  <c r="Z39" i="1"/>
  <c r="AA39" i="1"/>
  <c r="AB39" i="1"/>
  <c r="AC39" i="1"/>
  <c r="AD39" i="1"/>
  <c r="A40" i="1"/>
  <c r="Y40" i="1"/>
  <c r="Z40" i="1"/>
  <c r="AA40" i="1"/>
  <c r="AB40" i="1"/>
  <c r="AC40" i="1"/>
  <c r="AD40" i="1"/>
  <c r="A41" i="1"/>
  <c r="Y41" i="1"/>
  <c r="Z41" i="1"/>
  <c r="AA41" i="1"/>
  <c r="AB41" i="1"/>
  <c r="AC41" i="1"/>
  <c r="AD41" i="1"/>
  <c r="A42" i="1"/>
  <c r="Y42" i="1"/>
  <c r="Z42" i="1"/>
  <c r="AA42" i="1"/>
  <c r="AB42" i="1"/>
  <c r="AC42" i="1"/>
  <c r="AD42" i="1"/>
  <c r="A43" i="1"/>
  <c r="Y43" i="1"/>
  <c r="Z43" i="1"/>
  <c r="AA43" i="1"/>
  <c r="AB43" i="1"/>
  <c r="AC43" i="1"/>
  <c r="AD43" i="1"/>
  <c r="A44" i="1"/>
  <c r="Y44" i="1"/>
  <c r="Z44" i="1"/>
  <c r="AA44" i="1"/>
  <c r="AB44" i="1"/>
  <c r="AC44" i="1"/>
  <c r="AD44" i="1"/>
  <c r="A45" i="1"/>
  <c r="Y45" i="1"/>
  <c r="Z45" i="1"/>
  <c r="AA45" i="1"/>
  <c r="AB45" i="1"/>
  <c r="AC45" i="1"/>
  <c r="AD45" i="1"/>
  <c r="A46" i="1"/>
  <c r="Y46" i="1"/>
  <c r="Z46" i="1"/>
  <c r="AA46" i="1"/>
  <c r="AB46" i="1"/>
  <c r="AC46" i="1"/>
  <c r="AD46" i="1"/>
  <c r="A47" i="1"/>
  <c r="Y47" i="1"/>
  <c r="Z47" i="1"/>
  <c r="AA47" i="1"/>
  <c r="AB47" i="1"/>
  <c r="AC47" i="1"/>
  <c r="AD47" i="1"/>
  <c r="A48" i="1"/>
  <c r="Y48" i="1"/>
  <c r="Z48" i="1"/>
  <c r="AA48" i="1"/>
  <c r="AB48" i="1"/>
  <c r="AC48" i="1"/>
  <c r="AD48" i="1"/>
  <c r="A49" i="1"/>
  <c r="Y49" i="1"/>
  <c r="Z49" i="1"/>
  <c r="AA49" i="1"/>
  <c r="AB49" i="1"/>
  <c r="AC49" i="1"/>
  <c r="AD49" i="1"/>
  <c r="A50" i="1"/>
  <c r="Y50" i="1"/>
  <c r="Z50" i="1"/>
  <c r="AA50" i="1"/>
  <c r="AB50" i="1"/>
  <c r="AC50" i="1"/>
  <c r="AD50" i="1"/>
  <c r="A51" i="1"/>
  <c r="Y51" i="1"/>
  <c r="Z51" i="1"/>
  <c r="AA51" i="1"/>
  <c r="AB51" i="1"/>
  <c r="AC51" i="1"/>
  <c r="AD51" i="1"/>
  <c r="A52" i="1"/>
  <c r="Y52" i="1"/>
  <c r="Z52" i="1"/>
  <c r="AA52" i="1"/>
  <c r="AB52" i="1"/>
  <c r="AC52" i="1"/>
  <c r="AD52" i="1"/>
  <c r="A53" i="1"/>
  <c r="Y53" i="1"/>
  <c r="Z53" i="1"/>
  <c r="AA53" i="1"/>
  <c r="AB53" i="1"/>
  <c r="AC53" i="1"/>
  <c r="AD53" i="1"/>
  <c r="A54" i="1"/>
  <c r="Y54" i="1"/>
  <c r="Z54" i="1"/>
  <c r="AA54" i="1"/>
  <c r="AB54" i="1"/>
  <c r="AC54" i="1"/>
  <c r="AD54" i="1"/>
  <c r="A55" i="1"/>
  <c r="Y55" i="1"/>
  <c r="Z55" i="1"/>
  <c r="AA55" i="1"/>
  <c r="AB55" i="1"/>
  <c r="AC55" i="1"/>
  <c r="AD55" i="1"/>
  <c r="A56" i="1"/>
  <c r="Y56" i="1"/>
  <c r="Z56" i="1"/>
  <c r="AA56" i="1"/>
  <c r="AB56" i="1"/>
  <c r="AC56" i="1"/>
  <c r="AD56" i="1"/>
  <c r="A57" i="1"/>
  <c r="Y57" i="1"/>
  <c r="Z57" i="1"/>
  <c r="AA57" i="1"/>
  <c r="AB57" i="1"/>
  <c r="AC57" i="1"/>
  <c r="AD57" i="1"/>
  <c r="A58" i="1"/>
  <c r="Y58" i="1"/>
  <c r="Z58" i="1"/>
  <c r="AA58" i="1"/>
  <c r="AB58" i="1"/>
  <c r="AC58" i="1"/>
  <c r="AD58" i="1"/>
  <c r="A59" i="1"/>
  <c r="Y59" i="1"/>
  <c r="Z59" i="1"/>
  <c r="AA59" i="1"/>
  <c r="AB59" i="1"/>
  <c r="AC59" i="1"/>
  <c r="AD59" i="1"/>
  <c r="O61" i="1"/>
  <c r="P61" i="1"/>
  <c r="O63" i="1" a="1"/>
  <c r="O63" i="1" s="1"/>
  <c r="O65" i="1" s="1"/>
  <c r="O66" i="1" s="1"/>
  <c r="P63" i="1" a="1"/>
  <c r="P63" i="1"/>
  <c r="Q63" i="1"/>
  <c r="R63" i="1"/>
  <c r="S63" i="1"/>
  <c r="T63" i="1"/>
  <c r="U63" i="1"/>
  <c r="V63" i="1"/>
  <c r="W63" i="1"/>
  <c r="X63" i="1"/>
  <c r="O64" i="1" a="1"/>
  <c r="O64" i="1"/>
  <c r="P64" i="1" a="1"/>
  <c r="P64" i="1"/>
  <c r="S65" i="1"/>
  <c r="W65" i="1"/>
  <c r="CE37" i="3"/>
  <c r="AO43" i="4"/>
  <c r="AM43" i="4"/>
  <c r="AK43" i="4"/>
  <c r="AI43" i="4"/>
  <c r="AH43" i="4"/>
  <c r="AG43" i="4"/>
  <c r="AE43" i="4"/>
  <c r="AD43" i="4"/>
  <c r="AC43" i="4"/>
  <c r="AA43" i="4"/>
  <c r="O43" i="4"/>
  <c r="M43" i="4"/>
  <c r="K43" i="4"/>
  <c r="I43" i="4"/>
  <c r="H43" i="4"/>
  <c r="G43" i="4"/>
  <c r="E43" i="4"/>
  <c r="D43" i="4"/>
  <c r="C43" i="4"/>
  <c r="CE48" i="2"/>
  <c r="CO48" i="2"/>
  <c r="CE47" i="2"/>
  <c r="CV46" i="2"/>
  <c r="CU46" i="2"/>
  <c r="CU48" i="2" s="1"/>
  <c r="CT46" i="2"/>
  <c r="CS46" i="2"/>
  <c r="CR46" i="2"/>
  <c r="CP46" i="2"/>
  <c r="CO46" i="2"/>
  <c r="CR47" i="2"/>
  <c r="CS48" i="2" s="1"/>
  <c r="K78" i="4"/>
  <c r="N78" i="4" s="1"/>
  <c r="C37" i="7" s="1"/>
  <c r="K76" i="4"/>
  <c r="N76" i="4" s="1"/>
  <c r="C35" i="7" s="1"/>
  <c r="CT48" i="2"/>
  <c r="CR48" i="2"/>
  <c r="CV48" i="2"/>
  <c r="CE38" i="3"/>
  <c r="D1" i="2"/>
  <c r="AZ1" i="2"/>
  <c r="BP1" i="2"/>
  <c r="AJ2" i="2"/>
  <c r="AZ2" i="2"/>
  <c r="T3" i="2"/>
  <c r="AJ3" i="2"/>
  <c r="D4" i="2"/>
  <c r="T4" i="2"/>
  <c r="BP4" i="2"/>
  <c r="BZ4" i="3"/>
  <c r="BV4" i="3"/>
  <c r="BR4" i="3"/>
  <c r="BN4" i="3"/>
  <c r="BJ4" i="3"/>
  <c r="BF4" i="3"/>
  <c r="BB4" i="3"/>
  <c r="AX4" i="3"/>
  <c r="AT4" i="3"/>
  <c r="AP4" i="3"/>
  <c r="AL4" i="3"/>
  <c r="AH4" i="3"/>
  <c r="AD4" i="3"/>
  <c r="Z4" i="3"/>
  <c r="V4" i="3"/>
  <c r="R4" i="3"/>
  <c r="N4" i="3"/>
  <c r="J4" i="3"/>
  <c r="F4" i="3"/>
  <c r="B4" i="3"/>
  <c r="BZ3" i="3"/>
  <c r="BV3" i="3"/>
  <c r="BR3" i="3"/>
  <c r="BN3" i="3"/>
  <c r="BJ3" i="3"/>
  <c r="BF3" i="3"/>
  <c r="BB3" i="3"/>
  <c r="AX3" i="3"/>
  <c r="AT3" i="3"/>
  <c r="AP3" i="3"/>
  <c r="AL3" i="3"/>
  <c r="AH3" i="3"/>
  <c r="AD3" i="3"/>
  <c r="Z3" i="3"/>
  <c r="V3" i="3"/>
  <c r="R3" i="3"/>
  <c r="N3" i="3"/>
  <c r="J3" i="3"/>
  <c r="F3" i="3"/>
  <c r="B3" i="3"/>
  <c r="BZ2" i="3"/>
  <c r="BV2" i="3"/>
  <c r="BR2" i="3"/>
  <c r="BN2" i="3"/>
  <c r="BJ2" i="3"/>
  <c r="BF2" i="3"/>
  <c r="BB2" i="3"/>
  <c r="AX2" i="3"/>
  <c r="AT2" i="3"/>
  <c r="AP2" i="3"/>
  <c r="AL2" i="3"/>
  <c r="AH2" i="3"/>
  <c r="AD2" i="3"/>
  <c r="Z2" i="3"/>
  <c r="V2" i="3"/>
  <c r="R2" i="3"/>
  <c r="N2" i="3"/>
  <c r="J2" i="3"/>
  <c r="F2" i="3"/>
  <c r="BW4" i="2"/>
  <c r="BB4" i="2"/>
  <c r="BR3" i="2"/>
  <c r="AW3" i="2"/>
  <c r="BM2" i="2"/>
  <c r="AQ2" i="2"/>
  <c r="BG1" i="2"/>
  <c r="AL1" i="2"/>
  <c r="BA4" i="2"/>
  <c r="AE4" i="2"/>
  <c r="E4" i="2"/>
  <c r="BV3" i="2"/>
  <c r="BA3" i="2"/>
  <c r="AU3" i="2"/>
  <c r="Z3" i="2"/>
  <c r="U3" i="2"/>
  <c r="CA2" i="2"/>
  <c r="BQ2" i="2"/>
  <c r="AU2" i="2"/>
  <c r="AP2" i="2"/>
  <c r="U2" i="2"/>
  <c r="O2" i="2"/>
  <c r="BV1" i="2"/>
  <c r="BK1" i="2"/>
  <c r="AP1" i="2"/>
  <c r="AK1" i="2"/>
  <c r="O1" i="2"/>
  <c r="J1" i="2"/>
  <c r="CB4" i="3"/>
  <c r="BX4" i="3"/>
  <c r="BT4" i="3"/>
  <c r="BP4" i="3"/>
  <c r="BL4" i="3"/>
  <c r="BH4" i="3"/>
  <c r="BD4" i="3"/>
  <c r="AZ4" i="3"/>
  <c r="AV4" i="3"/>
  <c r="AR4" i="3"/>
  <c r="AN4" i="3"/>
  <c r="AJ4" i="3"/>
  <c r="AF4" i="3"/>
  <c r="AB4" i="3"/>
  <c r="X4" i="3"/>
  <c r="BO4" i="2"/>
  <c r="BJ4" i="2"/>
  <c r="AT4" i="2"/>
  <c r="AO4" i="2"/>
  <c r="Y4" i="2"/>
  <c r="S4" i="2"/>
  <c r="C4" i="2"/>
  <c r="BZ3" i="2"/>
  <c r="BJ3" i="2"/>
  <c r="BE3" i="2"/>
  <c r="AO3" i="2"/>
  <c r="AI3" i="2"/>
  <c r="S3" i="2"/>
  <c r="N3" i="2"/>
  <c r="BZ2" i="2"/>
  <c r="BU2" i="2"/>
  <c r="BE2" i="2"/>
  <c r="AY2" i="2"/>
  <c r="AI2" i="2"/>
  <c r="AD2" i="2"/>
  <c r="N2" i="2"/>
  <c r="I2" i="2"/>
  <c r="BU1" i="2"/>
  <c r="BO1" i="2"/>
  <c r="AY1" i="2"/>
  <c r="AT1" i="2"/>
  <c r="AD1" i="2"/>
  <c r="Y1" i="2"/>
  <c r="I1" i="2"/>
  <c r="C1" i="2"/>
  <c r="CG11" i="2"/>
  <c r="CH8" i="2"/>
  <c r="CK11" i="2"/>
  <c r="CH5" i="2"/>
  <c r="CH37" i="2"/>
  <c r="CE6" i="2"/>
  <c r="CK24" i="2"/>
  <c r="CE43" i="2"/>
  <c r="CH29" i="2"/>
  <c r="CG14" i="2"/>
  <c r="CI12" i="3"/>
  <c r="CI32" i="3"/>
  <c r="CI17" i="2"/>
  <c r="CN11" i="3"/>
  <c r="CG44" i="2"/>
  <c r="CH11" i="3"/>
  <c r="DC7" i="2"/>
  <c r="CN11" i="2"/>
  <c r="F79" i="3"/>
  <c r="AL82" i="3"/>
  <c r="L81" i="3"/>
  <c r="X79" i="3"/>
  <c r="AJ77" i="3"/>
  <c r="CK22" i="2"/>
  <c r="CH36" i="2"/>
  <c r="CE22" i="2"/>
  <c r="CH16" i="2"/>
  <c r="DA20" i="2"/>
  <c r="CG12" i="2"/>
  <c r="CG32" i="2"/>
  <c r="CQ20" i="2"/>
  <c r="CH39" i="2"/>
  <c r="CK42" i="2"/>
  <c r="CJ15" i="3"/>
  <c r="CK6" i="2"/>
  <c r="CI13" i="3"/>
  <c r="DD11" i="2"/>
  <c r="CI12" i="2"/>
  <c r="DC11" i="2"/>
  <c r="CJ16" i="3"/>
  <c r="DC18" i="2"/>
  <c r="AR83" i="3"/>
  <c r="R82" i="3"/>
  <c r="AD80" i="3"/>
  <c r="AP78" i="3"/>
  <c r="P77" i="3"/>
  <c r="F59" i="2"/>
  <c r="CH20" i="2"/>
  <c r="CG6" i="2"/>
  <c r="CG43" i="2"/>
  <c r="CK5" i="2"/>
  <c r="CJ31" i="3"/>
  <c r="CH27" i="3"/>
  <c r="CI11" i="3"/>
  <c r="DB11" i="2"/>
  <c r="AP82" i="3"/>
  <c r="AB79" i="3"/>
  <c r="AH76" i="3"/>
  <c r="H75" i="3"/>
  <c r="T73" i="3"/>
  <c r="AF71" i="3"/>
  <c r="AR69" i="3"/>
  <c r="R68" i="3"/>
  <c r="AD66" i="3"/>
  <c r="AP64" i="3"/>
  <c r="P63" i="3"/>
  <c r="DD32" i="2"/>
  <c r="E77" i="3"/>
  <c r="AC82" i="3"/>
  <c r="AO80" i="3"/>
  <c r="O79" i="3"/>
  <c r="AA77" i="3"/>
  <c r="AM75" i="3"/>
  <c r="M74" i="3"/>
  <c r="Y72" i="3"/>
  <c r="AK70" i="3"/>
  <c r="K69" i="3"/>
  <c r="W67" i="3"/>
  <c r="AI65" i="3"/>
  <c r="CH15" i="3"/>
  <c r="CP7" i="3"/>
  <c r="AG81" i="3"/>
  <c r="S78" i="3"/>
  <c r="AQ74" i="3"/>
  <c r="AC71" i="3"/>
  <c r="O68" i="3"/>
  <c r="AQ64" i="3"/>
  <c r="AK62" i="3"/>
  <c r="K61" i="3"/>
  <c r="W59" i="3"/>
  <c r="AI57" i="3"/>
  <c r="I56" i="3"/>
  <c r="U54" i="3"/>
  <c r="AG52" i="3"/>
  <c r="G51" i="3"/>
  <c r="S49" i="3"/>
  <c r="AE47" i="3"/>
  <c r="AQ45" i="3"/>
  <c r="Q44" i="3"/>
  <c r="J83" i="3"/>
  <c r="AH79" i="3"/>
  <c r="T76" i="3"/>
  <c r="AR72" i="3"/>
  <c r="AD69" i="3"/>
  <c r="P66" i="3"/>
  <c r="AE63" i="3"/>
  <c r="AL61" i="3"/>
  <c r="CG25" i="2"/>
  <c r="CE9" i="2"/>
  <c r="CG17" i="2"/>
  <c r="CH41" i="2"/>
  <c r="CP27" i="3"/>
  <c r="CG18" i="2"/>
  <c r="CJ12" i="3"/>
  <c r="AD82" i="3"/>
  <c r="R78" i="3"/>
  <c r="AB75" i="3"/>
  <c r="P73" i="3"/>
  <c r="H71" i="3"/>
  <c r="AL68" i="3"/>
  <c r="Z66" i="3"/>
  <c r="R64" i="3"/>
  <c r="CE11" i="3"/>
  <c r="E76" i="3"/>
  <c r="AQ81" i="3"/>
  <c r="AI79" i="3"/>
  <c r="W77" i="3"/>
  <c r="O75" i="3"/>
  <c r="G73" i="3"/>
  <c r="AG70" i="3"/>
  <c r="Y68" i="3"/>
  <c r="Q66" i="3"/>
  <c r="CO17" i="3"/>
  <c r="AK83" i="3"/>
  <c r="U79" i="3"/>
  <c r="AI74" i="3"/>
  <c r="S70" i="3"/>
  <c r="CG38" i="2"/>
  <c r="CK27" i="2"/>
  <c r="CI27" i="3"/>
  <c r="CQ17" i="3"/>
  <c r="CE27" i="3"/>
  <c r="AL80" i="3"/>
  <c r="AR75" i="3"/>
  <c r="H73" i="3"/>
  <c r="J70" i="3"/>
  <c r="AP66" i="3"/>
  <c r="AR63" i="3"/>
  <c r="CZ7" i="2"/>
  <c r="U82" i="3"/>
  <c r="W79" i="3"/>
  <c r="Y76" i="3"/>
  <c r="W73" i="3"/>
  <c r="Y70" i="3"/>
  <c r="AA67" i="3"/>
  <c r="CJ24" i="3"/>
  <c r="M83" i="3"/>
  <c r="Q77" i="3"/>
  <c r="M71" i="3"/>
  <c r="S66" i="3"/>
  <c r="G63" i="3"/>
  <c r="AK60" i="3"/>
  <c r="Y58" i="3"/>
  <c r="Q56" i="3"/>
  <c r="I54" i="3"/>
  <c r="AI51" i="3"/>
  <c r="AA49" i="3"/>
  <c r="S47" i="3"/>
  <c r="G45" i="3"/>
  <c r="CE21" i="2"/>
  <c r="I59" i="2"/>
  <c r="P59" i="2"/>
  <c r="CH44" i="2"/>
  <c r="CG15" i="2"/>
  <c r="CK40" i="2"/>
  <c r="CH34" i="2"/>
  <c r="DB12" i="2"/>
  <c r="CF24" i="3"/>
  <c r="CJ11" i="3"/>
  <c r="CG7" i="2"/>
  <c r="CN27" i="3"/>
  <c r="CY12" i="2"/>
  <c r="CN7" i="2"/>
  <c r="P83" i="3"/>
  <c r="AH80" i="3"/>
  <c r="AD78" i="3"/>
  <c r="CE11" i="2"/>
  <c r="E59" i="2"/>
  <c r="CH35" i="2"/>
  <c r="CE39" i="2"/>
  <c r="CE15" i="2"/>
  <c r="CG41" i="2"/>
  <c r="CE31" i="2"/>
  <c r="CN12" i="2"/>
  <c r="CJ29" i="3"/>
  <c r="DA12" i="2"/>
  <c r="CE10" i="2"/>
  <c r="CG27" i="3"/>
  <c r="CY7" i="2"/>
  <c r="CF12" i="3"/>
  <c r="L83" i="3"/>
  <c r="H81" i="3"/>
  <c r="Z78" i="3"/>
  <c r="CK35" i="2"/>
  <c r="CG30" i="2"/>
  <c r="CK14" i="2"/>
  <c r="CE28" i="2"/>
  <c r="CI18" i="3"/>
  <c r="CH13" i="2"/>
  <c r="CQ7" i="2"/>
  <c r="AJ83" i="3"/>
  <c r="AH78" i="3"/>
  <c r="AN75" i="3"/>
  <c r="AJ73" i="3"/>
  <c r="P71" i="3"/>
  <c r="L69" i="3"/>
  <c r="H67" i="3"/>
  <c r="Z64" i="3"/>
  <c r="CJ23" i="3"/>
  <c r="E81" i="3"/>
  <c r="M82" i="3"/>
  <c r="I80" i="3"/>
  <c r="AQ77" i="3"/>
  <c r="W75" i="3"/>
  <c r="S73" i="3"/>
  <c r="O71" i="3"/>
  <c r="AG68" i="3"/>
  <c r="AC66" i="3"/>
  <c r="CJ19" i="3"/>
  <c r="C77" i="3"/>
  <c r="G80" i="3"/>
  <c r="AK75" i="3"/>
  <c r="AI70" i="3"/>
  <c r="AA66" i="3"/>
  <c r="Q63" i="3"/>
  <c r="AG60" i="3"/>
  <c r="AC58" i="3"/>
  <c r="Y56" i="3"/>
  <c r="AQ53" i="3"/>
  <c r="AM51" i="3"/>
  <c r="AI49" i="3"/>
  <c r="O47" i="3"/>
  <c r="K45" i="3"/>
  <c r="AP83" i="3"/>
  <c r="AN78" i="3"/>
  <c r="AF74" i="3"/>
  <c r="X70" i="3"/>
  <c r="V65" i="3"/>
  <c r="AF62" i="3"/>
  <c r="CE8" i="2"/>
  <c r="CH28" i="2"/>
  <c r="CZ20" i="2"/>
  <c r="CI17" i="3"/>
  <c r="CJ6" i="3"/>
  <c r="CE7" i="3"/>
  <c r="P79" i="3"/>
  <c r="AP74" i="3"/>
  <c r="N72" i="3"/>
  <c r="T69" i="3"/>
  <c r="AR65" i="3"/>
  <c r="L63" i="3"/>
  <c r="E82" i="3"/>
  <c r="W81" i="3"/>
  <c r="AC78" i="3"/>
  <c r="AI75" i="3"/>
  <c r="U72" i="3"/>
  <c r="AE69" i="3"/>
  <c r="AK66" i="3"/>
  <c r="CM32" i="2"/>
  <c r="Y81" i="3"/>
  <c r="G76" i="3"/>
  <c r="CE19" i="2"/>
  <c r="CH42" i="2"/>
  <c r="CY20" i="2"/>
  <c r="DB17" i="2"/>
  <c r="X83" i="3"/>
  <c r="AL76" i="3"/>
  <c r="R72" i="3"/>
  <c r="Z68" i="3"/>
  <c r="AH64" i="3"/>
  <c r="E80" i="3"/>
  <c r="G81" i="3"/>
  <c r="O77" i="3"/>
  <c r="AG72" i="3"/>
  <c r="AO68" i="3"/>
  <c r="O65" i="3"/>
  <c r="AO81" i="3"/>
  <c r="S74" i="3"/>
  <c r="AC67" i="3"/>
  <c r="Y62" i="3"/>
  <c r="AE59" i="3"/>
  <c r="AK56" i="3"/>
  <c r="W53" i="3"/>
  <c r="AG50" i="3"/>
  <c r="AM47" i="3"/>
  <c r="Y44" i="3"/>
  <c r="X82" i="3"/>
  <c r="J59" i="2"/>
  <c r="L59" i="2"/>
  <c r="CH32" i="2"/>
  <c r="CK32" i="2"/>
  <c r="CP17" i="3"/>
  <c r="T83" i="3"/>
  <c r="X77" i="3"/>
  <c r="R74" i="3"/>
  <c r="T71" i="3"/>
  <c r="V68" i="3"/>
  <c r="P65" i="3"/>
  <c r="CI34" i="3"/>
  <c r="AI83" i="3"/>
  <c r="AG80" i="3"/>
  <c r="AI77" i="3"/>
  <c r="AK74" i="3"/>
  <c r="AI71" i="3"/>
  <c r="AK68" i="3"/>
  <c r="AM65" i="3"/>
  <c r="DA32" i="2"/>
  <c r="AK79" i="3"/>
  <c r="AO73" i="3"/>
  <c r="W68" i="3"/>
  <c r="P64" i="3"/>
  <c r="AI61" i="3"/>
  <c r="AA59" i="3"/>
  <c r="O57" i="3"/>
  <c r="G55" i="3"/>
  <c r="AK52" i="3"/>
  <c r="Y50" i="3"/>
  <c r="Q48" i="3"/>
  <c r="I46" i="3"/>
  <c r="CH40" i="2"/>
  <c r="CO11" i="3"/>
  <c r="F76" i="3"/>
  <c r="AH74" i="3"/>
  <c r="AD68" i="3"/>
  <c r="CJ10" i="3"/>
  <c r="K81" i="3"/>
  <c r="K75" i="3"/>
  <c r="O69" i="3"/>
  <c r="CK44" i="2"/>
  <c r="AA74" i="3"/>
  <c r="AF64" i="3"/>
  <c r="AI59" i="3"/>
  <c r="S55" i="3"/>
  <c r="AK50" i="3"/>
  <c r="Q46" i="3"/>
  <c r="AH83" i="3"/>
  <c r="P78" i="3"/>
  <c r="AD73" i="3"/>
  <c r="N69" i="3"/>
  <c r="AO64" i="3"/>
  <c r="L62" i="3"/>
  <c r="L60" i="3"/>
  <c r="CK26" i="2"/>
  <c r="CH25" i="2"/>
  <c r="CE30" i="2"/>
  <c r="CE29" i="2"/>
  <c r="CK10" i="2"/>
  <c r="CK34" i="2"/>
  <c r="CH17" i="2"/>
  <c r="CG40" i="2"/>
  <c r="CF19" i="3"/>
  <c r="CE40" i="2"/>
  <c r="CE17" i="3"/>
  <c r="CF11" i="3"/>
  <c r="CY32" i="2"/>
  <c r="CZ32" i="2"/>
  <c r="AF83" i="3"/>
  <c r="AB81" i="3"/>
  <c r="H79" i="3"/>
  <c r="CG19" i="2"/>
  <c r="CH19" i="2"/>
  <c r="CK36" i="2"/>
  <c r="CH31" i="2"/>
  <c r="CK7" i="2"/>
  <c r="K59" i="2"/>
  <c r="CG22" i="2"/>
  <c r="CH30" i="2"/>
  <c r="CH6" i="2"/>
  <c r="CJ14" i="3"/>
  <c r="CI30" i="3"/>
  <c r="DC41" i="2"/>
  <c r="F75" i="3"/>
  <c r="AN79" i="3"/>
  <c r="N59" i="2"/>
  <c r="CH24" i="2"/>
  <c r="CG27" i="2"/>
  <c r="CH23" i="2"/>
  <c r="CI10" i="3"/>
  <c r="CK28" i="2"/>
  <c r="CO15" i="3"/>
  <c r="CN15" i="3"/>
  <c r="CI15" i="3"/>
  <c r="AB83" i="3"/>
  <c r="N80" i="3"/>
  <c r="AF77" i="3"/>
  <c r="CE35" i="2"/>
  <c r="CK23" i="2"/>
  <c r="CN17" i="2"/>
  <c r="CF15" i="3"/>
  <c r="CF9" i="3"/>
  <c r="P81" i="3"/>
  <c r="R76" i="3"/>
  <c r="AP72" i="3"/>
  <c r="V70" i="3"/>
  <c r="X67" i="3"/>
  <c r="J64" i="3"/>
  <c r="CI18" i="2"/>
  <c r="G83" i="3"/>
  <c r="AE79" i="3"/>
  <c r="AG76" i="3"/>
  <c r="AI73" i="3"/>
  <c r="U70" i="3"/>
  <c r="AM67" i="3"/>
  <c r="CQ12" i="2"/>
  <c r="U83" i="3"/>
  <c r="Y77" i="3"/>
  <c r="W72" i="3"/>
  <c r="AG65" i="3"/>
  <c r="AQ61" i="3"/>
  <c r="G59" i="3"/>
  <c r="AE55" i="3"/>
  <c r="K53" i="3"/>
  <c r="M50" i="3"/>
  <c r="AK46" i="3"/>
  <c r="DC12" i="2"/>
  <c r="AB80" i="3"/>
  <c r="AL73" i="3"/>
  <c r="AP67" i="3"/>
  <c r="J63" i="3"/>
  <c r="CH11" i="2"/>
  <c r="CG9" i="2"/>
  <c r="CI26" i="3"/>
  <c r="CF17" i="3"/>
  <c r="AF81" i="3"/>
  <c r="J76" i="3"/>
  <c r="AB71" i="3"/>
  <c r="AF67" i="3"/>
  <c r="AJ63" i="3"/>
  <c r="AE83" i="3"/>
  <c r="Q80" i="3"/>
  <c r="U76" i="3"/>
  <c r="AM71" i="3"/>
  <c r="AQ67" i="3"/>
  <c r="CJ5" i="3"/>
  <c r="W80" i="3"/>
  <c r="AE72" i="3"/>
  <c r="CE17" i="2"/>
  <c r="CI22" i="3"/>
  <c r="CM18" i="2"/>
  <c r="AB77" i="3"/>
  <c r="X71" i="3"/>
  <c r="R66" i="3"/>
  <c r="CM11" i="2"/>
  <c r="M80" i="3"/>
  <c r="AO74" i="3"/>
  <c r="AI69" i="3"/>
  <c r="DA41" i="2"/>
  <c r="AI78" i="3"/>
  <c r="AE68" i="3"/>
  <c r="AM61" i="3"/>
  <c r="AQ57" i="3"/>
  <c r="AC54" i="3"/>
  <c r="I50" i="3"/>
  <c r="M46" i="3"/>
  <c r="Z83" i="3"/>
  <c r="CG35" i="2"/>
  <c r="CG29" i="2"/>
  <c r="CI23" i="3"/>
  <c r="CG16" i="2"/>
  <c r="J80" i="3"/>
  <c r="L75" i="3"/>
  <c r="AD70" i="3"/>
  <c r="AL66" i="3"/>
  <c r="CG5" i="2"/>
  <c r="AO82" i="3"/>
  <c r="S79" i="3"/>
  <c r="AA75" i="3"/>
  <c r="G71" i="3"/>
  <c r="O67" i="3"/>
  <c r="DB32" i="2"/>
  <c r="AA78" i="3"/>
  <c r="AQ70" i="3"/>
  <c r="J65" i="3"/>
  <c r="O61" i="3"/>
  <c r="U58" i="3"/>
  <c r="AA55" i="3"/>
  <c r="M52" i="3"/>
  <c r="W49" i="3"/>
  <c r="AC46" i="3"/>
  <c r="CG23" i="2"/>
  <c r="CJ34" i="3"/>
  <c r="N76" i="3"/>
  <c r="P67" i="3"/>
  <c r="E75" i="3"/>
  <c r="AC76" i="3"/>
  <c r="AE67" i="3"/>
  <c r="AE80" i="3"/>
  <c r="AI66" i="3"/>
  <c r="AG58" i="3"/>
  <c r="G53" i="3"/>
  <c r="W47" i="3"/>
  <c r="H82" i="3"/>
  <c r="AP75" i="3"/>
  <c r="P70" i="3"/>
  <c r="I64" i="3"/>
  <c r="J61" i="3"/>
  <c r="AN58" i="3"/>
  <c r="N57" i="3"/>
  <c r="Z55" i="3"/>
  <c r="AL53" i="3"/>
  <c r="L52" i="3"/>
  <c r="X50" i="3"/>
  <c r="CK12" i="2"/>
  <c r="AE82" i="3"/>
  <c r="Q79" i="3"/>
  <c r="AO75" i="3"/>
  <c r="AA72" i="3"/>
  <c r="M69" i="3"/>
  <c r="AK65" i="3"/>
  <c r="S63" i="3"/>
  <c r="AC61" i="3"/>
  <c r="AO59" i="3"/>
  <c r="O58" i="3"/>
  <c r="AA56" i="3"/>
  <c r="AN80" i="3"/>
  <c r="V67" i="3"/>
  <c r="H59" i="3"/>
  <c r="AR53" i="3"/>
  <c r="AD50" i="3"/>
  <c r="AJ47" i="3"/>
  <c r="Z45" i="3"/>
  <c r="CM26" i="2"/>
  <c r="AD75" i="3"/>
  <c r="M63" i="3"/>
  <c r="V56" i="3"/>
  <c r="AE52" i="3"/>
  <c r="Q49" i="3"/>
  <c r="AN46" i="3"/>
  <c r="AE44" i="3"/>
  <c r="CN22" i="2"/>
  <c r="L82" i="3"/>
  <c r="AF68" i="3"/>
  <c r="AF59" i="3"/>
  <c r="R54" i="3"/>
  <c r="AP50" i="3"/>
  <c r="AR47" i="3"/>
  <c r="AH45" i="3"/>
  <c r="CQ26" i="2"/>
  <c r="AC53" i="3"/>
  <c r="CZ24" i="2"/>
  <c r="AP81" i="3"/>
  <c r="AM50" i="3"/>
  <c r="DD23" i="2"/>
  <c r="AR70" i="3"/>
  <c r="T48" i="3"/>
  <c r="CQ22" i="2"/>
  <c r="AJ66" i="3"/>
  <c r="AF47" i="3"/>
  <c r="CM21" i="2"/>
  <c r="CZ8" i="2"/>
  <c r="CH38" i="2"/>
  <c r="CF5" i="3"/>
  <c r="CI41" i="2"/>
  <c r="AF75" i="3"/>
  <c r="AF69" i="3"/>
  <c r="AB63" i="3"/>
  <c r="I82" i="3"/>
  <c r="I76" i="3"/>
  <c r="I70" i="3"/>
  <c r="CQ15" i="3"/>
  <c r="W76" i="3"/>
  <c r="AO65" i="3"/>
  <c r="Y60" i="3"/>
  <c r="AQ55" i="3"/>
  <c r="AA51" i="3"/>
  <c r="G47" i="3"/>
  <c r="CO7" i="3"/>
  <c r="J79" i="3"/>
  <c r="X74" i="3"/>
  <c r="H70" i="3"/>
  <c r="AD65" i="3"/>
  <c r="AB62" i="3"/>
  <c r="X60" i="3"/>
  <c r="AJ58" i="3"/>
  <c r="J57" i="3"/>
  <c r="V55" i="3"/>
  <c r="AH53" i="3"/>
  <c r="H52" i="3"/>
  <c r="T50" i="3"/>
  <c r="CJ26" i="3"/>
  <c r="W82" i="3"/>
  <c r="I79" i="3"/>
  <c r="AG75" i="3"/>
  <c r="S72" i="3"/>
  <c r="AQ68" i="3"/>
  <c r="AC65" i="3"/>
  <c r="N63" i="3"/>
  <c r="Y61" i="3"/>
  <c r="AK59" i="3"/>
  <c r="K58" i="3"/>
  <c r="W56" i="3"/>
  <c r="H80" i="3"/>
  <c r="AB66" i="3"/>
  <c r="AD58" i="3"/>
  <c r="AJ53" i="3"/>
  <c r="V50" i="3"/>
  <c r="AD47" i="3"/>
  <c r="U45" i="3"/>
  <c r="DD25" i="2"/>
  <c r="AJ74" i="3"/>
  <c r="AH62" i="3"/>
  <c r="AR55" i="3"/>
  <c r="W52" i="3"/>
  <c r="I49" i="3"/>
  <c r="AI46" i="3"/>
  <c r="Z44" i="3"/>
  <c r="DC21" i="2"/>
  <c r="R81" i="3"/>
  <c r="AL67" i="3"/>
  <c r="P59" i="3"/>
  <c r="J54" i="3"/>
  <c r="AH50" i="3"/>
  <c r="AL47" i="3"/>
  <c r="CG8" i="2"/>
  <c r="CE37" i="2"/>
  <c r="V72" i="3"/>
  <c r="E83" i="3"/>
  <c r="AK72" i="3"/>
  <c r="K82" i="3"/>
  <c r="AC62" i="3"/>
  <c r="AE53" i="3"/>
  <c r="AK44" i="3"/>
  <c r="AB76" i="3"/>
  <c r="Z67" i="3"/>
  <c r="R61" i="3"/>
  <c r="AL57" i="3"/>
  <c r="X54" i="3"/>
  <c r="J51" i="3"/>
  <c r="AO83" i="3"/>
  <c r="M77" i="3"/>
  <c r="W70" i="3"/>
  <c r="M64" i="3"/>
  <c r="AA60" i="3"/>
  <c r="M57" i="3"/>
  <c r="X72" i="3"/>
  <c r="P55" i="3"/>
  <c r="AD48" i="3"/>
  <c r="K44" i="3"/>
  <c r="N67" i="3"/>
  <c r="AO53" i="3"/>
  <c r="AH47" i="3"/>
  <c r="CY25" i="2"/>
  <c r="AH73" i="3"/>
  <c r="AB55" i="3"/>
  <c r="AL48" i="3"/>
  <c r="AN44" i="3"/>
  <c r="AR59" i="3"/>
  <c r="CM24" i="2"/>
  <c r="AP62" i="3"/>
  <c r="DD27" i="2"/>
  <c r="AD67" i="3"/>
  <c r="AR44" i="3"/>
  <c r="AD83" i="3"/>
  <c r="J47" i="3"/>
  <c r="CQ19" i="3"/>
  <c r="CZ14" i="2"/>
  <c r="DD31" i="2"/>
  <c r="CQ39" i="2"/>
  <c r="U50" i="2"/>
  <c r="AD54" i="2"/>
  <c r="CP5" i="3"/>
  <c r="CQ16" i="3"/>
  <c r="CE31" i="3"/>
  <c r="AJ36" i="3"/>
  <c r="DA9" i="2"/>
  <c r="CI29" i="2"/>
  <c r="CY36" i="2"/>
  <c r="DC43" i="2"/>
  <c r="BD50" i="2"/>
  <c r="I57" i="2"/>
  <c r="CI28" i="2"/>
  <c r="DC42" i="2"/>
  <c r="AA56" i="2"/>
  <c r="CP14" i="3"/>
  <c r="CO32" i="3"/>
  <c r="L40" i="3"/>
  <c r="T41" i="3"/>
  <c r="C50" i="3"/>
  <c r="C66" i="3"/>
  <c r="DD13" i="2"/>
  <c r="DB38" i="2"/>
  <c r="X54" i="2"/>
  <c r="CG12" i="3"/>
  <c r="CF30" i="3"/>
  <c r="AX36" i="3"/>
  <c r="E41" i="3"/>
  <c r="D46" i="3"/>
  <c r="D62" i="3"/>
  <c r="CQ14" i="2"/>
  <c r="AB54" i="2"/>
  <c r="CH30" i="3"/>
  <c r="G41" i="3"/>
  <c r="F62" i="3"/>
  <c r="CM35" i="2"/>
  <c r="CF8" i="3"/>
  <c r="Z36" i="3"/>
  <c r="AY41" i="3"/>
  <c r="F73" i="3"/>
  <c r="CP23" i="3"/>
  <c r="E54" i="3"/>
  <c r="BF50" i="2"/>
  <c r="AX40" i="3"/>
  <c r="CI30" i="2"/>
  <c r="CH34" i="3"/>
  <c r="E68" i="3"/>
  <c r="CN14" i="3"/>
  <c r="E53" i="3"/>
  <c r="CK20" i="2"/>
  <c r="V78" i="3"/>
  <c r="AN65" i="3"/>
  <c r="Q78" i="3"/>
  <c r="U66" i="3"/>
  <c r="Q69" i="3"/>
  <c r="AE57" i="3"/>
  <c r="AG48" i="3"/>
  <c r="AR80" i="3"/>
  <c r="AH71" i="3"/>
  <c r="Z63" i="3"/>
  <c r="V59" i="3"/>
  <c r="H56" i="3"/>
  <c r="AF52" i="3"/>
  <c r="R49" i="3"/>
  <c r="S80" i="3"/>
  <c r="AC73" i="3"/>
  <c r="AM66" i="3"/>
  <c r="K62" i="3"/>
  <c r="AI58" i="3"/>
  <c r="CF34" i="3"/>
  <c r="L61" i="3"/>
  <c r="AF51" i="3"/>
  <c r="O46" i="3"/>
  <c r="AL79" i="3"/>
  <c r="Z58" i="3"/>
  <c r="S50" i="3"/>
  <c r="T45" i="3"/>
  <c r="CG18" i="3"/>
  <c r="AJ61" i="3"/>
  <c r="AR51" i="3"/>
  <c r="W46" i="3"/>
  <c r="CP15" i="3"/>
  <c r="J48" i="3"/>
  <c r="CE19" i="3"/>
  <c r="M49" i="3"/>
  <c r="CQ19" i="2"/>
  <c r="AE50" i="3"/>
  <c r="CN21" i="2"/>
  <c r="AE54" i="3"/>
  <c r="CZ22" i="2"/>
  <c r="CQ9" i="2"/>
  <c r="CM29" i="2"/>
  <c r="CZ36" i="2"/>
  <c r="DD43" i="2"/>
  <c r="BE50" i="2"/>
  <c r="J57" i="2"/>
  <c r="CH12" i="3"/>
  <c r="CN26" i="3"/>
  <c r="H36" i="3"/>
  <c r="DC5" i="2"/>
  <c r="CN15" i="2"/>
  <c r="DA33" i="2"/>
  <c r="CI40" i="2"/>
  <c r="AB50" i="2"/>
  <c r="I56" i="2"/>
  <c r="CY9" i="2"/>
  <c r="CN36" i="2"/>
  <c r="BB50" i="2"/>
  <c r="CE9" i="3"/>
  <c r="CQ26" i="3"/>
  <c r="AG36" i="3"/>
  <c r="AP76" i="3"/>
  <c r="S77" i="3"/>
  <c r="AK67" i="3"/>
  <c r="AQ47" i="3"/>
  <c r="AN70" i="3"/>
  <c r="J59" i="3"/>
  <c r="T52" i="3"/>
  <c r="AG79" i="3"/>
  <c r="O66" i="3"/>
  <c r="W58" i="3"/>
  <c r="AN59" i="3"/>
  <c r="AK45" i="3"/>
  <c r="P57" i="3"/>
  <c r="AP44" i="3"/>
  <c r="Z60" i="3"/>
  <c r="G46" i="3"/>
  <c r="AQ46" i="3"/>
  <c r="Z48" i="3"/>
  <c r="AK49" i="3"/>
  <c r="AQ52" i="3"/>
  <c r="DB9" i="2"/>
  <c r="DD36" i="2"/>
  <c r="F54" i="2"/>
  <c r="CQ12" i="3"/>
  <c r="L36" i="3"/>
  <c r="DA15" i="2"/>
  <c r="CY40" i="2"/>
  <c r="M56" i="2"/>
  <c r="CI37" i="2"/>
  <c r="CO9" i="3"/>
  <c r="AL36" i="3"/>
  <c r="P41" i="3"/>
  <c r="C55" i="3"/>
  <c r="CM6" i="2"/>
  <c r="DD37" i="2"/>
  <c r="H57" i="2"/>
  <c r="CE25" i="3"/>
  <c r="AS36" i="3"/>
  <c r="Y41" i="3"/>
  <c r="D56" i="3"/>
  <c r="DB10" i="2"/>
  <c r="CN6" i="3"/>
  <c r="O40" i="3"/>
  <c r="F60" i="3"/>
  <c r="CM44" i="2"/>
  <c r="CP29" i="3"/>
  <c r="AQ41" i="3"/>
  <c r="DC35" i="2"/>
  <c r="F41" i="3"/>
  <c r="Z50" i="2"/>
  <c r="E47" i="3"/>
  <c r="CE10" i="3"/>
  <c r="E64" i="3"/>
  <c r="V76" i="3"/>
  <c r="AK76" i="3"/>
  <c r="AQ66" i="3"/>
  <c r="AA47" i="3"/>
  <c r="AF70" i="3"/>
  <c r="AR58" i="3"/>
  <c r="P52" i="3"/>
  <c r="Y79" i="3"/>
  <c r="G66" i="3"/>
  <c r="S58" i="3"/>
  <c r="X59" i="3"/>
  <c r="AF45" i="3"/>
  <c r="AL56" i="3"/>
  <c r="AJ44" i="3"/>
  <c r="J60" i="3"/>
  <c r="AN45" i="3"/>
  <c r="V46" i="3"/>
  <c r="U47" i="3"/>
  <c r="AQ48" i="3"/>
  <c r="K52" i="3"/>
  <c r="CZ10" i="2"/>
  <c r="CQ37" i="2"/>
  <c r="J54" i="2"/>
  <c r="CH13" i="3"/>
  <c r="P36" i="3"/>
  <c r="CI16" i="2"/>
  <c r="CK16" i="2"/>
  <c r="T67" i="3"/>
  <c r="AI67" i="3"/>
  <c r="AK58" i="3"/>
  <c r="AF82" i="3"/>
  <c r="T64" i="3"/>
  <c r="CK30" i="2"/>
  <c r="CE23" i="2"/>
  <c r="CH22" i="2"/>
  <c r="CG20" i="2"/>
  <c r="CZ12" i="2"/>
  <c r="F83" i="3"/>
  <c r="N78" i="3"/>
  <c r="CG13" i="2"/>
  <c r="CK18" i="2"/>
  <c r="CE44" i="2"/>
  <c r="CJ20" i="3"/>
  <c r="CF31" i="3"/>
  <c r="CM41" i="2"/>
  <c r="F82" i="3"/>
  <c r="X81" i="3"/>
  <c r="O59" i="2"/>
  <c r="CE34" i="2"/>
  <c r="CE42" i="2"/>
  <c r="CK41" i="2"/>
  <c r="F80" i="3"/>
  <c r="L77" i="3"/>
  <c r="Z72" i="3"/>
  <c r="AH68" i="3"/>
  <c r="T65" i="3"/>
  <c r="CF21" i="3"/>
  <c r="S81" i="3"/>
  <c r="K77" i="3"/>
  <c r="AO72" i="3"/>
  <c r="AA69" i="3"/>
  <c r="S65" i="3"/>
  <c r="AA82" i="3"/>
  <c r="K74" i="3"/>
  <c r="U67" i="3"/>
  <c r="AA61" i="3"/>
  <c r="S57" i="3"/>
  <c r="AA53" i="3"/>
  <c r="AO48" i="3"/>
  <c r="AA45" i="3"/>
  <c r="V81" i="3"/>
  <c r="L72" i="3"/>
  <c r="AJ64" i="3"/>
  <c r="AR60" i="3"/>
  <c r="CE32" i="2"/>
  <c r="CI14" i="3"/>
  <c r="AN83" i="3"/>
  <c r="V74" i="3"/>
  <c r="AN69" i="3"/>
  <c r="AL64" i="3"/>
  <c r="K83" i="3"/>
  <c r="I78" i="3"/>
  <c r="AA73" i="3"/>
  <c r="S67" i="3"/>
  <c r="C83" i="3"/>
  <c r="AG73" i="3"/>
  <c r="CK9" i="2"/>
  <c r="CF27" i="3"/>
  <c r="L79" i="3"/>
  <c r="AH70" i="3"/>
  <c r="T63" i="3"/>
  <c r="AE81" i="3"/>
  <c r="Q74" i="3"/>
  <c r="AG66" i="3"/>
  <c r="O80" i="3"/>
  <c r="Q65" i="3"/>
  <c r="M60" i="3"/>
  <c r="K55" i="3"/>
  <c r="G49" i="3"/>
  <c r="DB27" i="2"/>
  <c r="CK13" i="2"/>
  <c r="H59" i="2"/>
  <c r="CZ11" i="2"/>
  <c r="AJ81" i="3"/>
  <c r="AB73" i="3"/>
  <c r="H69" i="3"/>
  <c r="AN63" i="3"/>
  <c r="Q82" i="3"/>
  <c r="G77" i="3"/>
  <c r="AC72" i="3"/>
  <c r="Y66" i="3"/>
  <c r="AQ82" i="3"/>
  <c r="O72" i="3"/>
  <c r="AA63" i="3"/>
  <c r="I60" i="3"/>
  <c r="M56" i="3"/>
  <c r="AE51" i="3"/>
  <c r="AI47" i="3"/>
  <c r="CK21" i="2"/>
  <c r="CJ33" i="3"/>
  <c r="AJ71" i="3"/>
  <c r="DB18" i="2"/>
  <c r="AE73" i="3"/>
  <c r="CJ7" i="3"/>
  <c r="AM68" i="3"/>
  <c r="AA57" i="3"/>
  <c r="AE49" i="3"/>
  <c r="DD18" i="2"/>
  <c r="AN74" i="3"/>
  <c r="AN66" i="3"/>
  <c r="AD61" i="3"/>
  <c r="X58" i="3"/>
  <c r="T56" i="3"/>
  <c r="P54" i="3"/>
  <c r="AH51" i="3"/>
  <c r="AD49" i="3"/>
  <c r="Y83" i="3"/>
  <c r="W78" i="3"/>
  <c r="O74" i="3"/>
  <c r="G70" i="3"/>
  <c r="G65" i="3"/>
  <c r="W62" i="3"/>
  <c r="S60" i="3"/>
  <c r="AK57" i="3"/>
  <c r="AG55" i="3"/>
  <c r="AJ70" i="3"/>
  <c r="T57" i="3"/>
  <c r="R52" i="3"/>
  <c r="S48" i="3"/>
  <c r="AQ44" i="3"/>
  <c r="T82" i="3"/>
  <c r="Z65" i="3"/>
  <c r="M55" i="3"/>
  <c r="AQ50" i="3"/>
  <c r="X47" i="3"/>
  <c r="J44" i="3"/>
  <c r="CE20" i="3"/>
  <c r="H72" i="3"/>
  <c r="AR57" i="3"/>
  <c r="AD52" i="3"/>
  <c r="AA48" i="3"/>
  <c r="M45" i="3"/>
  <c r="AP65" i="3"/>
  <c r="Q45" i="3"/>
  <c r="X68" i="3"/>
  <c r="AG45" i="3"/>
  <c r="D79" i="3"/>
  <c r="K46" i="3"/>
  <c r="CH20" i="3"/>
  <c r="W50" i="3"/>
  <c r="CP20" i="3"/>
  <c r="S59" i="2"/>
  <c r="CE33" i="2"/>
  <c r="H83" i="3"/>
  <c r="AD72" i="3"/>
  <c r="L65" i="3"/>
  <c r="AC80" i="3"/>
  <c r="K73" i="3"/>
  <c r="AA65" i="3"/>
  <c r="Y73" i="3"/>
  <c r="AG62" i="3"/>
  <c r="K57" i="3"/>
  <c r="U50" i="3"/>
  <c r="AO44" i="3"/>
  <c r="T80" i="3"/>
  <c r="V73" i="3"/>
  <c r="AH67" i="3"/>
  <c r="O63" i="3"/>
  <c r="H60" i="3"/>
  <c r="AP57" i="3"/>
  <c r="AL55" i="3"/>
  <c r="R53" i="3"/>
  <c r="N51" i="3"/>
  <c r="J49" i="3"/>
  <c r="AC81" i="3"/>
  <c r="U77" i="3"/>
  <c r="M73" i="3"/>
  <c r="K68" i="3"/>
  <c r="S64" i="3"/>
  <c r="AO61" i="3"/>
  <c r="U59" i="3"/>
  <c r="Q57" i="3"/>
  <c r="V83" i="3"/>
  <c r="AM63" i="3"/>
  <c r="X55" i="3"/>
  <c r="P51" i="3"/>
  <c r="I47" i="3"/>
  <c r="P44" i="3"/>
  <c r="L78" i="3"/>
  <c r="H61" i="3"/>
  <c r="K54" i="3"/>
  <c r="AO49" i="3"/>
  <c r="N46" i="3"/>
  <c r="DC25" i="2"/>
  <c r="D81" i="3"/>
  <c r="AG64" i="3"/>
  <c r="AN55" i="3"/>
  <c r="AB51" i="3"/>
  <c r="Q47" i="3"/>
  <c r="CK39" i="2"/>
  <c r="T75" i="3"/>
  <c r="AM81" i="3"/>
  <c r="AO66" i="3"/>
  <c r="Y65" i="3"/>
  <c r="S51" i="3"/>
  <c r="AD81" i="3"/>
  <c r="AL69" i="3"/>
  <c r="T60" i="3"/>
  <c r="L56" i="3"/>
  <c r="AP51" i="3"/>
  <c r="O82" i="3"/>
  <c r="AK73" i="3"/>
  <c r="U65" i="3"/>
  <c r="AG59" i="3"/>
  <c r="DB7" i="2"/>
  <c r="N58" i="3"/>
  <c r="Y47" i="3"/>
  <c r="AF80" i="3"/>
  <c r="AC55" i="3"/>
  <c r="AD46" i="3"/>
  <c r="CP18" i="3"/>
  <c r="AL58" i="3"/>
  <c r="AG47" i="3"/>
  <c r="DB25" i="2"/>
  <c r="AL45" i="3"/>
  <c r="I55" i="3"/>
  <c r="DB19" i="2"/>
  <c r="AK47" i="3"/>
  <c r="G64" i="3"/>
  <c r="DA23" i="2"/>
  <c r="DD10" i="2"/>
  <c r="CZ34" i="2"/>
  <c r="CZ43" i="2"/>
  <c r="N54" i="2"/>
  <c r="CP8" i="3"/>
  <c r="CQ25" i="3"/>
  <c r="T36" i="3"/>
  <c r="CN13" i="2"/>
  <c r="CN33" i="2"/>
  <c r="CN42" i="2"/>
  <c r="Q54" i="2"/>
  <c r="DA8" i="2"/>
  <c r="DA38" i="2"/>
  <c r="AC57" i="2"/>
  <c r="CG26" i="3"/>
  <c r="AW36" i="3"/>
  <c r="AJ41" i="3"/>
  <c r="C58" i="3"/>
  <c r="DB8" i="2"/>
  <c r="DD42" i="2"/>
  <c r="AE57" i="2"/>
  <c r="CH26" i="3"/>
  <c r="M40" i="3"/>
  <c r="AK41" i="3"/>
  <c r="D58" i="3"/>
  <c r="CE26" i="2"/>
  <c r="CK17" i="2"/>
  <c r="DA17" i="2"/>
  <c r="CI19" i="3"/>
  <c r="CJ17" i="3"/>
  <c r="AR81" i="3"/>
  <c r="CG36" i="2"/>
  <c r="CY17" i="2"/>
  <c r="DD20" i="2"/>
  <c r="CE16" i="2"/>
  <c r="CK43" i="2"/>
  <c r="CI20" i="2"/>
  <c r="CJ22" i="3"/>
  <c r="AH82" i="3"/>
  <c r="T79" i="3"/>
  <c r="M59" i="2"/>
  <c r="CG34" i="2"/>
  <c r="CE14" i="2"/>
  <c r="CZ41" i="2"/>
  <c r="V80" i="3"/>
  <c r="AD74" i="3"/>
  <c r="AL70" i="3"/>
  <c r="N66" i="3"/>
  <c r="CZ17" i="2"/>
  <c r="W83" i="3"/>
  <c r="AK78" i="3"/>
  <c r="G75" i="3"/>
  <c r="AE71" i="3"/>
  <c r="G67" i="3"/>
  <c r="DD7" i="2"/>
  <c r="M79" i="3"/>
  <c r="AO69" i="3"/>
  <c r="AL63" i="3"/>
  <c r="AM59" i="3"/>
  <c r="O55" i="3"/>
  <c r="W51" i="3"/>
  <c r="I48" i="3"/>
  <c r="D82" i="3"/>
  <c r="N77" i="3"/>
  <c r="AJ68" i="3"/>
  <c r="P62" i="3"/>
  <c r="CK25" i="2"/>
  <c r="CG28" i="2"/>
  <c r="DC32" i="2"/>
  <c r="T77" i="3"/>
  <c r="AH72" i="3"/>
  <c r="L67" i="3"/>
  <c r="CN32" i="2"/>
  <c r="AK80" i="3"/>
  <c r="AG74" i="3"/>
  <c r="M70" i="3"/>
  <c r="CE7" i="2"/>
  <c r="K78" i="3"/>
  <c r="CK38" i="2"/>
  <c r="CH27" i="2"/>
  <c r="CN7" i="3"/>
  <c r="Z74" i="3"/>
  <c r="AJ67" i="3"/>
  <c r="AQ83" i="3"/>
  <c r="AM77" i="3"/>
  <c r="K71" i="3"/>
  <c r="CI6" i="3"/>
  <c r="AM72" i="3"/>
  <c r="AG63" i="3"/>
  <c r="W57" i="3"/>
  <c r="U52" i="3"/>
  <c r="AG46" i="3"/>
  <c r="N81" i="3"/>
  <c r="CE27" i="2"/>
  <c r="CI7" i="3"/>
  <c r="CH17" i="3"/>
  <c r="Z76" i="3"/>
  <c r="AR71" i="3"/>
  <c r="J66" i="3"/>
  <c r="CF7" i="3"/>
  <c r="AQ79" i="3"/>
  <c r="AQ73" i="3"/>
  <c r="W69" i="3"/>
  <c r="CQ27" i="3"/>
  <c r="AM76" i="3"/>
  <c r="M67" i="3"/>
  <c r="Q62" i="3"/>
  <c r="AM57" i="3"/>
  <c r="AM53" i="3"/>
  <c r="AQ49" i="3"/>
  <c r="W45" i="3"/>
  <c r="DB20" i="2"/>
  <c r="AR77" i="3"/>
  <c r="AF65" i="3"/>
  <c r="AA79" i="3"/>
  <c r="AC70" i="3"/>
  <c r="AG77" i="3"/>
  <c r="I62" i="3"/>
  <c r="M54" i="3"/>
  <c r="O45" i="3"/>
  <c r="R79" i="3"/>
  <c r="Z71" i="3"/>
  <c r="U63" i="3"/>
  <c r="AH59" i="3"/>
  <c r="AD57" i="3"/>
  <c r="J55" i="3"/>
  <c r="AR52" i="3"/>
  <c r="AN50" i="3"/>
  <c r="CI7" i="2"/>
  <c r="AQ80" i="3"/>
  <c r="AI76" i="3"/>
  <c r="AG71" i="3"/>
  <c r="Y67" i="3"/>
  <c r="AO63" i="3"/>
  <c r="M61" i="3"/>
  <c r="I59" i="3"/>
  <c r="AQ56" i="3"/>
  <c r="Z77" i="3"/>
  <c r="V62" i="3"/>
  <c r="AL54" i="3"/>
  <c r="AJ49" i="3"/>
  <c r="AE46" i="3"/>
  <c r="CQ27" i="2"/>
  <c r="P72" i="3"/>
  <c r="AJ59" i="3"/>
  <c r="Y53" i="3"/>
  <c r="AB48" i="3"/>
  <c r="AJ45" i="3"/>
  <c r="CN24" i="2"/>
  <c r="AJ78" i="3"/>
  <c r="H63" i="3"/>
  <c r="L55" i="3"/>
  <c r="J50" i="3"/>
  <c r="AM46" i="3"/>
  <c r="H44" i="3"/>
  <c r="O50" i="3"/>
  <c r="DC19" i="2"/>
  <c r="O54" i="3"/>
  <c r="DB21" i="2"/>
  <c r="AM54" i="3"/>
  <c r="CI24" i="2"/>
  <c r="AH58" i="3"/>
  <c r="CQ25" i="2"/>
  <c r="DD5" i="2"/>
  <c r="CH26" i="2"/>
  <c r="CK15" i="2"/>
  <c r="H77" i="3"/>
  <c r="J68" i="3"/>
  <c r="CQ7" i="3"/>
  <c r="AE77" i="3"/>
  <c r="AC68" i="3"/>
  <c r="S82" i="3"/>
  <c r="G68" i="3"/>
  <c r="S59" i="3"/>
  <c r="AI53" i="3"/>
  <c r="M48" i="3"/>
  <c r="R83" i="3"/>
  <c r="AJ76" i="3"/>
  <c r="J71" i="3"/>
  <c r="AE64" i="3"/>
  <c r="Z61" i="3"/>
  <c r="N59" i="3"/>
  <c r="AF56" i="3"/>
  <c r="AB54" i="3"/>
  <c r="X52" i="3"/>
  <c r="AP49" i="3"/>
  <c r="C76" i="3"/>
  <c r="AO79" i="3"/>
  <c r="AM74" i="3"/>
  <c r="AE70" i="3"/>
  <c r="W66" i="3"/>
  <c r="AI62" i="3"/>
  <c r="AE60" i="3"/>
  <c r="AA58" i="3"/>
  <c r="G56" i="3"/>
  <c r="R73" i="3"/>
  <c r="R60" i="3"/>
  <c r="AP52" i="3"/>
  <c r="AI48" i="3"/>
  <c r="AP45" i="3"/>
  <c r="D83" i="3"/>
  <c r="H68" i="3"/>
  <c r="AF57" i="3"/>
  <c r="AC51" i="3"/>
  <c r="AN47" i="3"/>
  <c r="I45" i="3"/>
  <c r="CO21" i="3"/>
  <c r="AB74" i="3"/>
  <c r="AP60" i="3"/>
  <c r="P53" i="3"/>
  <c r="H49" i="3"/>
  <c r="L46" i="3"/>
  <c r="CN18" i="2"/>
  <c r="V66" i="3"/>
  <c r="AQ75" i="3"/>
  <c r="O76" i="3"/>
  <c r="I58" i="3"/>
  <c r="AO46" i="3"/>
  <c r="P74" i="3"/>
  <c r="AK63" i="3"/>
  <c r="AF58" i="3"/>
  <c r="AD53" i="3"/>
  <c r="V49" i="3"/>
  <c r="AM78" i="3"/>
  <c r="AI68" i="3"/>
  <c r="O62" i="3"/>
  <c r="G58" i="3"/>
  <c r="AH65" i="3"/>
  <c r="AN51" i="3"/>
  <c r="P45" i="3"/>
  <c r="R62" i="3"/>
  <c r="AA50" i="3"/>
  <c r="T44" i="3"/>
  <c r="AR66" i="3"/>
  <c r="N52" i="3"/>
  <c r="AC45" i="3"/>
  <c r="AI52" i="3"/>
  <c r="CO20" i="3"/>
  <c r="AL46" i="3"/>
  <c r="X57" i="3"/>
  <c r="DA21" i="2"/>
  <c r="Q51" i="3"/>
  <c r="CZ5" i="2"/>
  <c r="DB28" i="2"/>
  <c r="DB37" i="2"/>
  <c r="AK50" i="2"/>
  <c r="F57" i="2"/>
  <c r="CQ13" i="3"/>
  <c r="CE33" i="3"/>
  <c r="CY5" i="2"/>
  <c r="CY16" i="2"/>
  <c r="CI38" i="2"/>
  <c r="X50" i="2"/>
  <c r="U56" i="2"/>
  <c r="CN31" i="2"/>
  <c r="AT50" i="2"/>
  <c r="CE12" i="3"/>
  <c r="F36" i="3"/>
  <c r="AR40" i="3"/>
  <c r="C46" i="3"/>
  <c r="C70" i="3"/>
  <c r="CQ31" i="2"/>
  <c r="AU50" i="2"/>
  <c r="DC17" i="2"/>
  <c r="CG24" i="2"/>
  <c r="V82" i="3"/>
  <c r="CH7" i="2"/>
  <c r="CM17" i="2"/>
  <c r="CG33" i="2"/>
  <c r="F78" i="3"/>
  <c r="CE25" i="2"/>
  <c r="CI21" i="3"/>
  <c r="J82" i="3"/>
  <c r="J72" i="3"/>
  <c r="AF63" i="3"/>
  <c r="Y80" i="3"/>
  <c r="I72" i="3"/>
  <c r="CY41" i="2"/>
  <c r="Q73" i="3"/>
  <c r="Q60" i="3"/>
  <c r="Q52" i="3"/>
  <c r="AG44" i="3"/>
  <c r="R71" i="3"/>
  <c r="CG26" i="2"/>
  <c r="CE15" i="3"/>
  <c r="AN73" i="3"/>
  <c r="CJ8" i="3"/>
  <c r="AO76" i="3"/>
  <c r="AE65" i="3"/>
  <c r="U71" i="3"/>
  <c r="CQ11" i="3"/>
  <c r="P69" i="3"/>
  <c r="AG78" i="3"/>
  <c r="AQ65" i="3"/>
  <c r="AA64" i="3"/>
  <c r="AO52" i="3"/>
  <c r="D80" i="3"/>
  <c r="D59" i="2"/>
  <c r="AL78" i="3"/>
  <c r="AB67" i="3"/>
  <c r="AA81" i="3"/>
  <c r="Q70" i="3"/>
  <c r="Q81" i="3"/>
  <c r="AO62" i="3"/>
  <c r="Y54" i="3"/>
  <c r="K47" i="3"/>
  <c r="AP80" i="3"/>
  <c r="AG82" i="3"/>
  <c r="AC83" i="3"/>
  <c r="U56" i="3"/>
  <c r="AJ80" i="3"/>
  <c r="AL65" i="3"/>
  <c r="H58" i="3"/>
  <c r="V53" i="3"/>
  <c r="N49" i="3"/>
  <c r="AC77" i="3"/>
  <c r="S68" i="3"/>
  <c r="G62" i="3"/>
  <c r="U57" i="3"/>
  <c r="W64" i="3"/>
  <c r="X51" i="3"/>
  <c r="V44" i="3"/>
  <c r="X61" i="3"/>
  <c r="K50" i="3"/>
  <c r="CY26" i="2"/>
  <c r="R65" i="3"/>
  <c r="AJ51" i="3"/>
  <c r="AD44" i="3"/>
  <c r="DD22" i="2"/>
  <c r="DA25" i="2"/>
  <c r="CY27" i="2"/>
  <c r="V45" i="3"/>
  <c r="CH21" i="2"/>
  <c r="AR79" i="3"/>
  <c r="CP11" i="3"/>
  <c r="AA71" i="3"/>
  <c r="AA70" i="3"/>
  <c r="AO54" i="3"/>
  <c r="M44" i="3"/>
  <c r="T72" i="3"/>
  <c r="H62" i="3"/>
  <c r="Z57" i="3"/>
  <c r="AN52" i="3"/>
  <c r="CF26" i="3"/>
  <c r="AA76" i="3"/>
  <c r="Q67" i="3"/>
  <c r="I61" i="3"/>
  <c r="AM56" i="3"/>
  <c r="AR61" i="3"/>
  <c r="AB49" i="3"/>
  <c r="CI27" i="2"/>
  <c r="T59" i="3"/>
  <c r="W48" i="3"/>
  <c r="DC23" i="2"/>
  <c r="AD62" i="3"/>
  <c r="AN49" i="3"/>
  <c r="CJ13" i="3"/>
  <c r="AO78" i="3"/>
  <c r="U60" i="3"/>
  <c r="AF78" i="3"/>
  <c r="Z59" i="3"/>
  <c r="P50" i="3"/>
  <c r="K72" i="3"/>
  <c r="AM58" i="3"/>
  <c r="AB53" i="3"/>
  <c r="AP73" i="3"/>
  <c r="Y45" i="3"/>
  <c r="AN53" i="3"/>
  <c r="AF72" i="3"/>
  <c r="G50" i="3"/>
  <c r="DC24" i="2"/>
  <c r="DD19" i="2"/>
  <c r="CM36" i="2"/>
  <c r="R56" i="2"/>
  <c r="CE29" i="3"/>
  <c r="DC14" i="2"/>
  <c r="H50" i="2"/>
  <c r="DC13" i="2"/>
  <c r="CH8" i="3"/>
  <c r="AB40" i="3"/>
  <c r="C62" i="3"/>
  <c r="O50" i="2"/>
  <c r="CO23" i="3"/>
  <c r="AC40" i="3"/>
  <c r="D50" i="3"/>
  <c r="D74" i="3"/>
  <c r="CG5" i="3"/>
  <c r="BA36" i="3"/>
  <c r="F54" i="3"/>
  <c r="CZ42" i="2"/>
  <c r="CE26" i="3"/>
  <c r="S41" i="3"/>
  <c r="DA31" i="2"/>
  <c r="AD40" i="3"/>
  <c r="DA36" i="2"/>
  <c r="BF41" i="3"/>
  <c r="S57" i="2"/>
  <c r="E52" i="3"/>
  <c r="CG32" i="3"/>
  <c r="CG21" i="2"/>
  <c r="F77" i="3"/>
  <c r="CE18" i="2"/>
  <c r="Q72" i="3"/>
  <c r="M75" i="3"/>
  <c r="W55" i="3"/>
  <c r="AC44" i="3"/>
  <c r="H74" i="3"/>
  <c r="T62" i="3"/>
  <c r="AH57" i="3"/>
  <c r="Z53" i="3"/>
  <c r="CY18" i="2"/>
  <c r="AQ76" i="3"/>
  <c r="AA68" i="3"/>
  <c r="Q61" i="3"/>
  <c r="I57" i="3"/>
  <c r="AR64" i="3"/>
  <c r="AR49" i="3"/>
  <c r="DC27" i="2"/>
  <c r="AN61" i="3"/>
  <c r="AH48" i="3"/>
  <c r="DA24" i="2"/>
  <c r="L66" i="3"/>
  <c r="R50" i="3"/>
  <c r="AI44" i="3"/>
  <c r="AO51" i="3"/>
  <c r="N75" i="3"/>
  <c r="CM25" i="2"/>
  <c r="AJ55" i="3"/>
  <c r="CQ20" i="3"/>
  <c r="AA46" i="3"/>
  <c r="CQ6" i="2"/>
  <c r="DB30" i="2"/>
  <c r="DB39" i="2"/>
  <c r="AO50" i="2"/>
  <c r="Z57" i="2"/>
  <c r="CH22" i="3"/>
  <c r="CN33" i="3"/>
  <c r="CY8" i="2"/>
  <c r="CY29" i="2"/>
  <c r="CY38" i="2"/>
  <c r="AR50" i="2"/>
  <c r="M57" i="2"/>
  <c r="CI33" i="2"/>
  <c r="AE54" i="2"/>
  <c r="CN16" i="3"/>
  <c r="K36" i="3"/>
  <c r="AP70" i="3"/>
  <c r="W65" i="3"/>
  <c r="Y52" i="3"/>
  <c r="X66" i="3"/>
  <c r="AH55" i="3"/>
  <c r="I83" i="3"/>
  <c r="AD63" i="3"/>
  <c r="AB82" i="3"/>
  <c r="H48" i="3"/>
  <c r="I53" i="3"/>
  <c r="AL83" i="3"/>
  <c r="P48" i="3"/>
  <c r="CM23" i="2"/>
  <c r="CI20" i="3"/>
  <c r="Z73" i="3"/>
  <c r="CQ15" i="2"/>
  <c r="CQ44" i="2"/>
  <c r="CP6" i="3"/>
  <c r="AR36" i="3"/>
  <c r="CI34" i="2"/>
  <c r="I54" i="2"/>
  <c r="CY44" i="2"/>
  <c r="CO28" i="3"/>
  <c r="AZ40" i="3"/>
  <c r="C60" i="3"/>
  <c r="DD28" i="2"/>
  <c r="P54" i="2"/>
  <c r="CH29" i="3"/>
  <c r="AK40" i="3"/>
  <c r="D51" i="3"/>
  <c r="CQ34" i="2"/>
  <c r="CF29" i="3"/>
  <c r="F50" i="3"/>
  <c r="T54" i="2"/>
  <c r="S40" i="3"/>
  <c r="F71" i="3"/>
  <c r="E50" i="3"/>
  <c r="CO33" i="3"/>
  <c r="AH50" i="2"/>
  <c r="CE13" i="2"/>
  <c r="V64" i="3"/>
  <c r="AO77" i="3"/>
  <c r="CN17" i="3"/>
  <c r="AN62" i="3"/>
  <c r="AP53" i="3"/>
  <c r="K76" i="3"/>
  <c r="AG61" i="3"/>
  <c r="P68" i="3"/>
  <c r="CZ26" i="2"/>
  <c r="Y49" i="3"/>
  <c r="Z69" i="3"/>
  <c r="S44" i="3"/>
  <c r="CE18" i="3"/>
  <c r="L59" i="3"/>
  <c r="AM44" i="3"/>
  <c r="DD29" i="2"/>
  <c r="AG50" i="2"/>
  <c r="CH23" i="3"/>
  <c r="DA6" i="2"/>
  <c r="DA37" i="2"/>
  <c r="CQ18" i="2"/>
  <c r="G72" i="3"/>
  <c r="S45" i="3"/>
  <c r="AH61" i="3"/>
  <c r="AJ54" i="3"/>
  <c r="C80" i="3"/>
  <c r="I71" i="3"/>
  <c r="AM60" i="3"/>
  <c r="AR74" i="3"/>
  <c r="L49" i="3"/>
  <c r="AH69" i="3"/>
  <c r="L48" i="3"/>
  <c r="P76" i="3"/>
  <c r="X49" i="3"/>
  <c r="AF61" i="3"/>
  <c r="K65" i="3"/>
  <c r="T74" i="3"/>
  <c r="CH18" i="3"/>
  <c r="CG20" i="3"/>
  <c r="CZ31" i="2"/>
  <c r="Q50" i="2"/>
  <c r="CH5" i="3"/>
  <c r="CN30" i="3"/>
  <c r="CN9" i="2"/>
  <c r="CI36" i="2"/>
  <c r="AZ50" i="2"/>
  <c r="CN16" i="2"/>
  <c r="S56" i="2"/>
  <c r="CQ31" i="3"/>
  <c r="AV40" i="3"/>
  <c r="C48" i="3"/>
  <c r="C69" i="3"/>
  <c r="CM33" i="2"/>
  <c r="H54" i="2"/>
  <c r="CG14" i="3"/>
  <c r="M36" i="3"/>
  <c r="BA40" i="3"/>
  <c r="D49" i="3"/>
  <c r="D71" i="3"/>
  <c r="AY50" i="2"/>
  <c r="CN34" i="3"/>
  <c r="F48" i="3"/>
  <c r="DD30" i="2"/>
  <c r="CG13" i="3"/>
  <c r="AY40" i="3"/>
  <c r="F69" i="3"/>
  <c r="CQ32" i="3"/>
  <c r="CI15" i="2"/>
  <c r="R40" i="3"/>
  <c r="DA40" i="2"/>
  <c r="AT41" i="3"/>
  <c r="CE8" i="3"/>
  <c r="E69" i="3"/>
  <c r="O59" i="3"/>
  <c r="AL49" i="3"/>
  <c r="AH52" i="3"/>
  <c r="H53" i="3"/>
  <c r="CQ23" i="2"/>
  <c r="Z56" i="2"/>
  <c r="CI43" i="2"/>
  <c r="CN40" i="2"/>
  <c r="BB36" i="3"/>
  <c r="C57" i="3"/>
  <c r="CQ40" i="2"/>
  <c r="CG28" i="3"/>
  <c r="AG41" i="3"/>
  <c r="CZ28" i="2"/>
  <c r="AM40" i="3"/>
  <c r="AA50" i="2"/>
  <c r="F45" i="3"/>
  <c r="BB41" i="3"/>
  <c r="E55" i="3"/>
  <c r="CN8" i="2"/>
  <c r="E45" i="3"/>
  <c r="AG54" i="3"/>
  <c r="C82" i="3"/>
  <c r="T49" i="3"/>
  <c r="AF49" i="3"/>
  <c r="CH19" i="3"/>
  <c r="AD57" i="2"/>
  <c r="D50" i="2"/>
  <c r="F50" i="2"/>
  <c r="P40" i="3"/>
  <c r="C61" i="3"/>
  <c r="CZ44" i="2"/>
  <c r="CP30" i="3"/>
  <c r="AW41" i="3"/>
  <c r="DD35" i="2"/>
  <c r="O41" i="3"/>
  <c r="H56" i="2"/>
  <c r="F53" i="3"/>
  <c r="E58" i="3"/>
  <c r="E71" i="3"/>
  <c r="DC30" i="2"/>
  <c r="E61" i="3"/>
  <c r="N53" i="3"/>
  <c r="L64" i="3"/>
  <c r="AS50" i="2"/>
  <c r="DC33" i="2"/>
  <c r="C52" i="3"/>
  <c r="CE23" i="3"/>
  <c r="CZ6" i="2"/>
  <c r="CQ38" i="2"/>
  <c r="N40" i="3"/>
  <c r="E56" i="3"/>
  <c r="AQ63" i="3"/>
  <c r="Z56" i="3"/>
  <c r="AF46" i="3"/>
  <c r="DC40" i="2"/>
  <c r="AQ36" i="3"/>
  <c r="CZ39" i="2"/>
  <c r="AC41" i="3"/>
  <c r="W40" i="3"/>
  <c r="C44" i="3"/>
  <c r="E51" i="3"/>
  <c r="AH41" i="3"/>
  <c r="AP59" i="3"/>
  <c r="H46" i="3"/>
  <c r="CQ35" i="2"/>
  <c r="AD50" i="2"/>
  <c r="C63" i="3"/>
  <c r="CI31" i="3"/>
  <c r="CZ37" i="2"/>
  <c r="L57" i="2"/>
  <c r="E62" i="3"/>
  <c r="CI35" i="2"/>
  <c r="AC57" i="3"/>
  <c r="DB29" i="2"/>
  <c r="N36" i="3"/>
  <c r="AJ48" i="3"/>
  <c r="D47" i="3"/>
  <c r="P58" i="3"/>
  <c r="C45" i="3"/>
  <c r="CO26" i="3"/>
  <c r="E49" i="3"/>
  <c r="CQ14" i="3"/>
  <c r="R59" i="2"/>
  <c r="CH43" i="2"/>
  <c r="CQ11" i="2"/>
  <c r="G59" i="2"/>
  <c r="CK37" i="2"/>
  <c r="CF33" i="3"/>
  <c r="DA18" i="2"/>
  <c r="AJ79" i="3"/>
  <c r="CQ17" i="2"/>
  <c r="CJ9" i="3"/>
  <c r="X75" i="3"/>
  <c r="AN67" i="3"/>
  <c r="AM83" i="3"/>
  <c r="Q76" i="3"/>
  <c r="Q68" i="3"/>
  <c r="AM80" i="3"/>
  <c r="U64" i="3"/>
  <c r="AO56" i="3"/>
  <c r="Y48" i="3"/>
  <c r="H78" i="3"/>
  <c r="O64" i="3"/>
  <c r="CH15" i="2"/>
  <c r="Z80" i="3"/>
  <c r="N68" i="3"/>
  <c r="Y82" i="3"/>
  <c r="S71" i="3"/>
  <c r="AI82" i="3"/>
  <c r="CE41" i="2"/>
  <c r="P75" i="3"/>
  <c r="CJ18" i="3"/>
  <c r="AQ71" i="3"/>
  <c r="AC75" i="3"/>
  <c r="K59" i="3"/>
  <c r="U48" i="3"/>
  <c r="CE38" i="2"/>
  <c r="DD12" i="2"/>
  <c r="AL72" i="3"/>
  <c r="DB41" i="2"/>
  <c r="M76" i="3"/>
  <c r="CG42" i="2"/>
  <c r="Y69" i="3"/>
  <c r="AO58" i="3"/>
  <c r="K51" i="3"/>
  <c r="CH12" i="2"/>
  <c r="N70" i="3"/>
  <c r="M72" i="3"/>
  <c r="K63" i="3"/>
  <c r="AC48" i="3"/>
  <c r="AB72" i="3"/>
  <c r="AB60" i="3"/>
  <c r="AP55" i="3"/>
  <c r="R51" i="3"/>
  <c r="AK81" i="3"/>
  <c r="U73" i="3"/>
  <c r="X64" i="3"/>
  <c r="Y59" i="3"/>
  <c r="D77" i="3"/>
  <c r="AF55" i="3"/>
  <c r="N47" i="3"/>
  <c r="AR78" i="3"/>
  <c r="S54" i="3"/>
  <c r="S46" i="3"/>
  <c r="CF25" i="3"/>
  <c r="R56" i="3"/>
  <c r="V47" i="3"/>
  <c r="R58" i="3"/>
  <c r="AB59" i="3"/>
  <c r="AL60" i="3"/>
  <c r="P80" i="3"/>
  <c r="CQ18" i="3"/>
  <c r="CN20" i="2"/>
  <c r="L71" i="3"/>
  <c r="G79" i="3"/>
  <c r="CI32" i="2"/>
  <c r="AE61" i="3"/>
  <c r="O49" i="3"/>
  <c r="AL77" i="3"/>
  <c r="AF66" i="3"/>
  <c r="AD59" i="3"/>
  <c r="AR54" i="3"/>
  <c r="AJ50" i="3"/>
  <c r="AI80" i="3"/>
  <c r="Y71" i="3"/>
  <c r="AI63" i="3"/>
  <c r="AQ58" i="3"/>
  <c r="AF76" i="3"/>
  <c r="AD54" i="3"/>
  <c r="Z46" i="3"/>
  <c r="V71" i="3"/>
  <c r="Q53" i="3"/>
  <c r="AD45" i="3"/>
  <c r="AP77" i="3"/>
  <c r="AP54" i="3"/>
  <c r="AH46" i="3"/>
  <c r="X69" i="3"/>
  <c r="CI11" i="2"/>
  <c r="K49" i="3"/>
  <c r="N65" i="3"/>
  <c r="R55" i="3"/>
  <c r="AA80" i="3"/>
  <c r="I63" i="3"/>
  <c r="N79" i="3"/>
  <c r="T46" i="3"/>
  <c r="O52" i="3"/>
  <c r="X80" i="3"/>
  <c r="AB46" i="3"/>
  <c r="DD21" i="2"/>
  <c r="CN18" i="3"/>
  <c r="Y55" i="3"/>
  <c r="CM16" i="2"/>
  <c r="E50" i="2"/>
  <c r="CP10" i="3"/>
  <c r="AZ36" i="3"/>
  <c r="DC34" i="2"/>
  <c r="E56" i="2"/>
  <c r="N50" i="2"/>
  <c r="CQ29" i="3"/>
  <c r="AZ41" i="3"/>
  <c r="CM28" i="2"/>
  <c r="CN8" i="3"/>
  <c r="G36" i="3"/>
  <c r="U41" i="3"/>
  <c r="D66" i="3"/>
  <c r="CM39" i="2"/>
  <c r="CE24" i="3"/>
  <c r="AM41" i="3"/>
  <c r="CQ8" i="2"/>
  <c r="X56" i="2"/>
  <c r="K40" i="3"/>
  <c r="F57" i="3"/>
  <c r="CE5" i="3"/>
  <c r="E70" i="3"/>
  <c r="CH28" i="3"/>
  <c r="E57" i="3"/>
  <c r="V40" i="3"/>
  <c r="CY42" i="2"/>
  <c r="R41" i="3"/>
  <c r="CJ30" i="3"/>
  <c r="AN71" i="3"/>
  <c r="O81" i="3"/>
  <c r="CZ18" i="2"/>
  <c r="M62" i="3"/>
  <c r="AO50" i="3"/>
  <c r="X78" i="3"/>
  <c r="R67" i="3"/>
  <c r="P60" i="3"/>
  <c r="N55" i="3"/>
  <c r="AR50" i="3"/>
  <c r="G82" i="3"/>
  <c r="AO71" i="3"/>
  <c r="H64" i="3"/>
  <c r="AC59" i="3"/>
  <c r="T78" i="3"/>
  <c r="H55" i="3"/>
  <c r="T47" i="3"/>
  <c r="J73" i="3"/>
  <c r="AG53" i="3"/>
  <c r="X46" i="3"/>
  <c r="AD79" i="3"/>
  <c r="T55" i="3"/>
  <c r="AB47" i="3"/>
  <c r="R69" i="3"/>
  <c r="CZ23" i="2"/>
  <c r="U53" i="3"/>
  <c r="J81" i="3"/>
  <c r="W44" i="3"/>
  <c r="J62" i="3"/>
  <c r="CY19" i="2"/>
  <c r="DD14" i="2"/>
  <c r="DD34" i="2"/>
  <c r="I50" i="2"/>
  <c r="F56" i="2"/>
  <c r="CH9" i="3"/>
  <c r="CN29" i="3"/>
  <c r="AN36" i="3"/>
  <c r="DA13" i="2"/>
  <c r="CN35" i="2"/>
  <c r="CN44" i="2"/>
  <c r="U54" i="2"/>
  <c r="DA14" i="2"/>
  <c r="DA43" i="2"/>
  <c r="CI5" i="3"/>
  <c r="CO30" i="3"/>
  <c r="DC20" i="2"/>
  <c r="S83" i="3"/>
  <c r="W61" i="3"/>
  <c r="AP79" i="3"/>
  <c r="AJ60" i="3"/>
  <c r="AF50" i="3"/>
  <c r="AQ72" i="3"/>
  <c r="K60" i="3"/>
  <c r="V54" i="3"/>
  <c r="R77" i="3"/>
  <c r="M47" i="3"/>
  <c r="AH54" i="3"/>
  <c r="AJ82" i="3"/>
  <c r="AN57" i="3"/>
  <c r="DA26" i="2"/>
  <c r="CM22" i="2"/>
  <c r="DB33" i="2"/>
  <c r="J56" i="2"/>
  <c r="CE28" i="3"/>
  <c r="CY10" i="2"/>
  <c r="DA44" i="2"/>
  <c r="CN10" i="2"/>
  <c r="O57" i="2"/>
  <c r="H40" i="3"/>
  <c r="D44" i="3"/>
  <c r="C71" i="3"/>
  <c r="DB43" i="2"/>
  <c r="CN10" i="3"/>
  <c r="R36" i="3"/>
  <c r="AS41" i="3"/>
  <c r="D67" i="3"/>
  <c r="L54" i="2"/>
  <c r="BC40" i="3"/>
  <c r="CZ13" i="2"/>
  <c r="CE22" i="3"/>
  <c r="F51" i="3"/>
  <c r="CF16" i="3"/>
  <c r="CN29" i="2"/>
  <c r="E67" i="3"/>
  <c r="AL40" i="3"/>
  <c r="CK33" i="2"/>
  <c r="AO70" i="3"/>
  <c r="AC56" i="3"/>
  <c r="J75" i="3"/>
  <c r="R57" i="3"/>
  <c r="AN48" i="3"/>
  <c r="U69" i="3"/>
  <c r="AE56" i="3"/>
  <c r="AL50" i="3"/>
  <c r="AH63" i="3"/>
  <c r="DA22" i="2"/>
  <c r="L51" i="3"/>
  <c r="W54" i="3"/>
  <c r="CY24" i="2"/>
  <c r="CQ21" i="3"/>
  <c r="CM5" i="2"/>
  <c r="CZ40" i="2"/>
  <c r="R57" i="2"/>
  <c r="CN32" i="3"/>
  <c r="CN30" i="2"/>
  <c r="T81" i="3"/>
  <c r="AM73" i="3"/>
  <c r="Q54" i="3"/>
  <c r="AJ72" i="3"/>
  <c r="L58" i="3"/>
  <c r="V51" i="3"/>
  <c r="AK77" i="3"/>
  <c r="AC64" i="3"/>
  <c r="Y57" i="3"/>
  <c r="J56" i="3"/>
  <c r="AA44" i="3"/>
  <c r="AA54" i="3"/>
  <c r="DC26" i="2"/>
  <c r="AH56" i="3"/>
  <c r="H45" i="3"/>
  <c r="CN25" i="2"/>
  <c r="AB44" i="3"/>
  <c r="AB45" i="3"/>
  <c r="O48" i="3"/>
  <c r="CM14" i="2"/>
  <c r="DD38" i="2"/>
  <c r="Z54" i="2"/>
  <c r="CH16" i="3"/>
  <c r="AF36" i="3"/>
  <c r="DA28" i="2"/>
  <c r="CY43" i="2"/>
  <c r="E57" i="2"/>
  <c r="CI42" i="2"/>
  <c r="CF14" i="3"/>
  <c r="C40" i="3"/>
  <c r="AF41" i="3"/>
  <c r="C59" i="3"/>
  <c r="CQ10" i="2"/>
  <c r="CM42" i="2"/>
  <c r="CN5" i="3"/>
  <c r="CP28" i="3"/>
  <c r="I40" i="3"/>
  <c r="AO41" i="3"/>
  <c r="D60" i="3"/>
  <c r="CM30" i="2"/>
  <c r="CE14" i="3"/>
  <c r="AU40" i="3"/>
  <c r="F68" i="3"/>
  <c r="D54" i="2"/>
  <c r="E36" i="3"/>
  <c r="F47" i="3"/>
  <c r="AX50" i="2"/>
  <c r="E46" i="3"/>
  <c r="CO5" i="3"/>
  <c r="E63" i="3"/>
  <c r="CQ28" i="3"/>
  <c r="CY13" i="2"/>
  <c r="Z40" i="3"/>
  <c r="AR67" i="3"/>
  <c r="Y64" i="3"/>
  <c r="AE62" i="3"/>
  <c r="U51" i="3"/>
  <c r="CI19" i="2"/>
  <c r="DD16" i="2"/>
  <c r="D40" i="3"/>
  <c r="AC56" i="2"/>
  <c r="CN13" i="3"/>
  <c r="AB41" i="3"/>
  <c r="CZ9" i="2"/>
  <c r="X57" i="2"/>
  <c r="E40" i="3"/>
  <c r="D59" i="3"/>
  <c r="CF10" i="3"/>
  <c r="F66" i="3"/>
  <c r="CP33" i="3"/>
  <c r="CN43" i="2"/>
  <c r="K57" i="2"/>
  <c r="CG25" i="3"/>
  <c r="CF23" i="3"/>
  <c r="DA11" i="2"/>
  <c r="AP61" i="3"/>
  <c r="AQ60" i="3"/>
  <c r="R48" i="3"/>
  <c r="AL71" i="3"/>
  <c r="CM31" i="2"/>
  <c r="DC8" i="2"/>
  <c r="U57" i="2"/>
  <c r="CP22" i="3"/>
  <c r="AR41" i="3"/>
  <c r="DB14" i="2"/>
  <c r="CQ6" i="3"/>
  <c r="U40" i="3"/>
  <c r="D63" i="3"/>
  <c r="CO22" i="3"/>
  <c r="F74" i="3"/>
  <c r="AK36" i="3"/>
  <c r="AE56" i="2"/>
  <c r="CP16" i="3"/>
  <c r="S36" i="3"/>
  <c r="CP25" i="3"/>
  <c r="I73" i="3"/>
  <c r="R63" i="3"/>
  <c r="G54" i="3"/>
  <c r="DC38" i="2"/>
  <c r="Q36" i="3"/>
  <c r="CQ36" i="2"/>
  <c r="M41" i="3"/>
  <c r="AP36" i="3"/>
  <c r="AA41" i="3"/>
  <c r="Z41" i="3"/>
  <c r="BF40" i="3"/>
  <c r="Z51" i="3"/>
  <c r="L57" i="3"/>
  <c r="V54" i="2"/>
  <c r="DC37" i="2"/>
  <c r="C56" i="3"/>
  <c r="CO25" i="3"/>
  <c r="DD15" i="2"/>
  <c r="K50" i="2"/>
  <c r="V41" i="3"/>
  <c r="E72" i="3"/>
  <c r="U80" i="3"/>
  <c r="Q59" i="3"/>
  <c r="AA52" i="3"/>
  <c r="P50" i="2"/>
  <c r="T40" i="3"/>
  <c r="G50" i="2"/>
  <c r="BE41" i="3"/>
  <c r="W41" i="3"/>
  <c r="F55" i="3"/>
  <c r="CY6" i="2"/>
  <c r="E65" i="3"/>
  <c r="CN28" i="2"/>
  <c r="CP31" i="3"/>
  <c r="AI45" i="3"/>
  <c r="AJ40" i="3"/>
  <c r="F63" i="3"/>
  <c r="CZ38" i="2"/>
  <c r="D68" i="3"/>
  <c r="G78" i="3"/>
  <c r="CG34" i="3"/>
  <c r="O54" i="2"/>
  <c r="CH14" i="2"/>
  <c r="CI16" i="3"/>
  <c r="CG11" i="3"/>
  <c r="CK19" i="2"/>
  <c r="CH9" i="2"/>
  <c r="CF20" i="3"/>
  <c r="CQ41" i="2"/>
  <c r="J78" i="3"/>
  <c r="CE5" i="2"/>
  <c r="DA7" i="2"/>
  <c r="N74" i="3"/>
  <c r="AJ65" i="3"/>
  <c r="AI81" i="3"/>
  <c r="AC74" i="3"/>
  <c r="M66" i="3"/>
  <c r="AE76" i="3"/>
  <c r="U62" i="3"/>
  <c r="AK54" i="3"/>
  <c r="U46" i="3"/>
  <c r="Z75" i="3"/>
  <c r="V61" i="3"/>
  <c r="CG37" i="2"/>
  <c r="AD76" i="3"/>
  <c r="X65" i="3"/>
  <c r="K79" i="3"/>
  <c r="G69" i="3"/>
  <c r="I77" i="3"/>
  <c r="CG10" i="2"/>
  <c r="AF73" i="3"/>
  <c r="O83" i="3"/>
  <c r="M68" i="3"/>
  <c r="AG69" i="3"/>
  <c r="AI55" i="3"/>
  <c r="AE45" i="3"/>
  <c r="CE12" i="2"/>
  <c r="F81" i="3"/>
  <c r="AJ69" i="3"/>
  <c r="E79" i="3"/>
  <c r="O73" i="3"/>
  <c r="C79" i="3"/>
  <c r="K66" i="3"/>
  <c r="AG56" i="3"/>
  <c r="AK48" i="3"/>
  <c r="CO27" i="3"/>
  <c r="N64" i="3"/>
  <c r="I66" i="3"/>
  <c r="AO60" i="3"/>
  <c r="U44" i="3"/>
  <c r="L68" i="3"/>
  <c r="R59" i="3"/>
  <c r="AF54" i="3"/>
  <c r="H50" i="3"/>
  <c r="K80" i="3"/>
  <c r="AM70" i="3"/>
  <c r="AM62" i="3"/>
  <c r="AE58" i="3"/>
  <c r="L74" i="3"/>
  <c r="L53" i="3"/>
  <c r="J46" i="3"/>
  <c r="AN68" i="3"/>
  <c r="AK51" i="3"/>
  <c r="N45" i="3"/>
  <c r="V75" i="3"/>
  <c r="X53" i="3"/>
  <c r="R46" i="3"/>
  <c r="Z47" i="3"/>
  <c r="AP47" i="3"/>
  <c r="Y51" i="3"/>
  <c r="AK53" i="3"/>
  <c r="CM10" i="2"/>
  <c r="CY11" i="2"/>
  <c r="AH66" i="3"/>
  <c r="Y74" i="3"/>
  <c r="AC79" i="3"/>
  <c r="Q58" i="3"/>
  <c r="AM45" i="3"/>
  <c r="AH75" i="3"/>
  <c r="AP63" i="3"/>
  <c r="T58" i="3"/>
  <c r="L54" i="3"/>
  <c r="Z49" i="3"/>
  <c r="O78" i="3"/>
  <c r="AK69" i="3"/>
  <c r="S62" i="3"/>
  <c r="AG57" i="3"/>
  <c r="AP69" i="3"/>
  <c r="J52" i="3"/>
  <c r="AL44" i="3"/>
  <c r="AM64" i="3"/>
  <c r="AI50" i="3"/>
  <c r="DA27" i="2"/>
  <c r="N71" i="3"/>
  <c r="V52" i="3"/>
  <c r="CH10" i="2"/>
  <c r="X63" i="3"/>
  <c r="K70" i="3"/>
  <c r="D78" i="3"/>
  <c r="X62" i="3"/>
  <c r="AJ52" i="3"/>
  <c r="Y75" i="3"/>
  <c r="U61" i="3"/>
  <c r="AB61" i="3"/>
  <c r="CZ25" i="2"/>
  <c r="AM48" i="3"/>
  <c r="N62" i="3"/>
  <c r="N44" i="3"/>
  <c r="AB78" i="3"/>
  <c r="S52" i="3"/>
  <c r="R44" i="3"/>
  <c r="CQ30" i="2"/>
  <c r="BA50" i="2"/>
  <c r="CQ23" i="3"/>
  <c r="CI8" i="2"/>
  <c r="DA39" i="2"/>
  <c r="Y57" i="2"/>
  <c r="W54" i="2"/>
  <c r="AA36" i="3"/>
  <c r="C54" i="3"/>
  <c r="CZ35" i="2"/>
  <c r="CE16" i="3"/>
  <c r="AC36" i="3"/>
  <c r="BA41" i="3"/>
  <c r="D70" i="3"/>
  <c r="S50" i="2"/>
  <c r="J36" i="3"/>
  <c r="F46" i="3"/>
  <c r="DB16" i="2"/>
  <c r="CO14" i="3"/>
  <c r="AQ40" i="3"/>
  <c r="F65" i="3"/>
  <c r="I36" i="3"/>
  <c r="DC9" i="2"/>
  <c r="AI36" i="3"/>
  <c r="DC44" i="2"/>
  <c r="AD41" i="3"/>
  <c r="W56" i="2"/>
  <c r="E73" i="3"/>
  <c r="CF28" i="3"/>
  <c r="AP68" i="3"/>
  <c r="S75" i="3"/>
  <c r="I81" i="3"/>
  <c r="AQ59" i="3"/>
  <c r="Y46" i="3"/>
  <c r="L76" i="3"/>
  <c r="I65" i="3"/>
  <c r="AB58" i="3"/>
  <c r="T54" i="3"/>
  <c r="L50" i="3"/>
  <c r="AE78" i="3"/>
  <c r="O70" i="3"/>
  <c r="AQ62" i="3"/>
  <c r="AO57" i="3"/>
  <c r="AD71" i="3"/>
  <c r="T53" i="3"/>
  <c r="J45" i="3"/>
  <c r="T66" i="3"/>
  <c r="G52" i="3"/>
  <c r="O44" i="3"/>
  <c r="AN72" i="3"/>
  <c r="AF53" i="3"/>
  <c r="X45" i="3"/>
  <c r="AD56" i="3"/>
  <c r="CI21" i="2"/>
  <c r="P46" i="3"/>
  <c r="AB64" i="3"/>
  <c r="DB23" i="2"/>
  <c r="AC49" i="3"/>
  <c r="CG19" i="3"/>
  <c r="CZ16" i="2"/>
  <c r="CM38" i="2"/>
  <c r="Y50" i="2"/>
  <c r="V56" i="2"/>
  <c r="CH14" i="3"/>
  <c r="CN31" i="3"/>
  <c r="BD36" i="3"/>
  <c r="DC16" i="2"/>
  <c r="DC36" i="2"/>
  <c r="L50" i="2"/>
  <c r="Y56" i="2"/>
  <c r="DC28" i="2"/>
  <c r="V50" i="2"/>
  <c r="CP12" i="3"/>
  <c r="CH33" i="3"/>
  <c r="CQ32" i="2"/>
  <c r="W71" i="3"/>
  <c r="G57" i="3"/>
  <c r="R75" i="3"/>
  <c r="V57" i="3"/>
  <c r="AR48" i="3"/>
  <c r="AC69" i="3"/>
  <c r="AI56" i="3"/>
  <c r="H51" i="3"/>
  <c r="Q64" i="3"/>
  <c r="CY23" i="2"/>
  <c r="T51" i="3"/>
  <c r="Q55" i="3"/>
  <c r="DD24" i="2"/>
  <c r="CZ19" i="2"/>
  <c r="CF18" i="3"/>
  <c r="CM40" i="2"/>
  <c r="N57" i="2"/>
  <c r="CE32" i="3"/>
  <c r="DC29" i="2"/>
  <c r="AF50" i="2"/>
  <c r="DA29" i="2"/>
  <c r="CF22" i="3"/>
  <c r="AF40" i="3"/>
  <c r="C49" i="3"/>
  <c r="CM13" i="2"/>
  <c r="AE50" i="2"/>
  <c r="CO16" i="3"/>
  <c r="Q40" i="3"/>
  <c r="D45" i="3"/>
  <c r="D72" i="3"/>
  <c r="CG16" i="3"/>
  <c r="AU41" i="3"/>
  <c r="CZ33" i="2"/>
  <c r="O36" i="3"/>
  <c r="F61" i="3"/>
  <c r="AD36" i="3"/>
  <c r="CF13" i="3"/>
  <c r="DC15" i="2"/>
  <c r="F44" i="3"/>
  <c r="R70" i="3"/>
  <c r="CJ27" i="3"/>
  <c r="I52" i="3"/>
  <c r="H66" i="3"/>
  <c r="AD55" i="3"/>
  <c r="AM82" i="3"/>
  <c r="Y63" i="3"/>
  <c r="AH81" i="3"/>
  <c r="AO47" i="3"/>
  <c r="AM52" i="3"/>
  <c r="AR82" i="3"/>
  <c r="K48" i="3"/>
  <c r="CY22" i="2"/>
  <c r="CO19" i="3"/>
  <c r="L70" i="3"/>
  <c r="DB15" i="2"/>
  <c r="DB44" i="2"/>
  <c r="CG8" i="3"/>
  <c r="AV36" i="3"/>
  <c r="CI26" i="2"/>
  <c r="CH18" i="2"/>
  <c r="CG17" i="3"/>
  <c r="I69" i="3"/>
  <c r="J67" i="3"/>
  <c r="CM7" i="2"/>
  <c r="N82" i="3"/>
  <c r="S61" i="3"/>
  <c r="AJ75" i="3"/>
  <c r="U75" i="3"/>
  <c r="L73" i="3"/>
  <c r="AR76" i="3"/>
  <c r="C78" i="3"/>
  <c r="K56" i="3"/>
  <c r="J58" i="3"/>
  <c r="P49" i="3"/>
  <c r="CM19" i="2"/>
  <c r="AA83" i="3"/>
  <c r="AL81" i="3"/>
  <c r="AD51" i="3"/>
  <c r="O60" i="3"/>
  <c r="Z81" i="3"/>
  <c r="AB57" i="3"/>
  <c r="AM55" i="3"/>
  <c r="I67" i="3"/>
  <c r="CY21" i="2"/>
  <c r="CG21" i="3"/>
  <c r="D36" i="3"/>
  <c r="CN23" i="3"/>
  <c r="CP32" i="3"/>
  <c r="CO12" i="3"/>
  <c r="CH32" i="3"/>
  <c r="CI9" i="3"/>
  <c r="J40" i="3"/>
  <c r="S69" i="3"/>
  <c r="V69" i="3"/>
  <c r="AG83" i="3"/>
  <c r="O56" i="3"/>
  <c r="U55" i="3"/>
  <c r="AF48" i="3"/>
  <c r="DC22" i="2"/>
  <c r="CQ13" i="2"/>
  <c r="CG6" i="3"/>
  <c r="CI31" i="2"/>
  <c r="CY39" i="2"/>
  <c r="H65" i="3"/>
  <c r="H54" i="3"/>
  <c r="DD26" i="2"/>
  <c r="CO18" i="3"/>
  <c r="AC50" i="2"/>
  <c r="Q57" i="2"/>
  <c r="C65" i="3"/>
  <c r="BE40" i="3"/>
  <c r="F72" i="3"/>
  <c r="E74" i="3"/>
  <c r="AK82" i="3"/>
  <c r="AB50" i="3"/>
  <c r="X76" i="3"/>
  <c r="N56" i="3"/>
  <c r="N56" i="2"/>
  <c r="CI29" i="3"/>
  <c r="V63" i="3"/>
  <c r="AL59" i="3"/>
  <c r="M81" i="3"/>
  <c r="M59" i="3"/>
  <c r="AJ46" i="3"/>
  <c r="AO45" i="3"/>
  <c r="AR46" i="3"/>
  <c r="AG51" i="3"/>
  <c r="H57" i="3"/>
  <c r="DB35" i="2"/>
  <c r="CG10" i="3"/>
  <c r="CY14" i="2"/>
  <c r="AC54" i="2"/>
  <c r="CO6" i="3"/>
  <c r="L41" i="3"/>
  <c r="CQ5" i="2"/>
  <c r="T56" i="2"/>
  <c r="AM36" i="3"/>
  <c r="D55" i="3"/>
  <c r="T57" i="2"/>
  <c r="F58" i="3"/>
  <c r="CI28" i="3"/>
  <c r="CY28" i="2"/>
  <c r="CI44" i="2"/>
  <c r="CH6" i="3"/>
  <c r="CO29" i="3"/>
  <c r="AN82" i="3"/>
  <c r="D75" i="3"/>
  <c r="DB24" i="2"/>
  <c r="AV50" i="2"/>
  <c r="AN40" i="3"/>
  <c r="BC50" i="2"/>
  <c r="D48" i="3"/>
  <c r="G44" i="3"/>
  <c r="F67" i="3"/>
  <c r="CY37" i="2"/>
  <c r="CM12" i="2"/>
  <c r="Q71" i="3"/>
  <c r="W63" i="3"/>
  <c r="CE30" i="3"/>
  <c r="W57" i="2"/>
  <c r="C72" i="3"/>
  <c r="W36" i="3"/>
  <c r="P56" i="2"/>
  <c r="CG23" i="3"/>
  <c r="CY33" i="2"/>
  <c r="S54" i="2"/>
  <c r="AO67" i="3"/>
  <c r="CE34" i="3"/>
  <c r="C73" i="3"/>
  <c r="D57" i="2"/>
  <c r="DC39" i="2"/>
  <c r="AB68" i="3"/>
  <c r="DB13" i="2"/>
  <c r="X41" i="3"/>
  <c r="D57" i="3"/>
  <c r="CI39" i="2"/>
  <c r="CP9" i="3"/>
  <c r="L47" i="3"/>
  <c r="CP24" i="3"/>
  <c r="Y40" i="3"/>
  <c r="AU36" i="3"/>
  <c r="C36" i="3"/>
  <c r="AO40" i="3"/>
  <c r="AJ50" i="2"/>
  <c r="CN27" i="2"/>
  <c r="BB40" i="3"/>
  <c r="DD44" i="2"/>
  <c r="CK29" i="2"/>
  <c r="DD17" i="2"/>
  <c r="M58" i="3"/>
  <c r="CM20" i="2"/>
  <c r="AB65" i="3"/>
  <c r="AC60" i="3"/>
  <c r="AJ62" i="3"/>
  <c r="G48" i="3"/>
  <c r="CN23" i="2"/>
  <c r="AR68" i="3"/>
  <c r="CG31" i="2"/>
  <c r="AP71" i="3"/>
  <c r="DD8" i="2"/>
  <c r="D41" i="3"/>
  <c r="AE40" i="3"/>
  <c r="E59" i="3"/>
  <c r="N61" i="3"/>
  <c r="AJ57" i="3"/>
  <c r="CZ27" i="2"/>
  <c r="CQ33" i="2"/>
  <c r="DA42" i="2"/>
  <c r="AQ78" i="3"/>
  <c r="AG49" i="3"/>
  <c r="CQ22" i="3"/>
  <c r="G54" i="2"/>
  <c r="D61" i="3"/>
  <c r="AH40" i="3"/>
  <c r="AI72" i="3"/>
  <c r="X73" i="3"/>
  <c r="W74" i="3"/>
  <c r="N83" i="3"/>
  <c r="DB26" i="2"/>
  <c r="CQ24" i="2"/>
  <c r="CI25" i="3"/>
  <c r="CN25" i="3"/>
  <c r="CQ16" i="2"/>
  <c r="D65" i="3"/>
  <c r="BF36" i="3"/>
  <c r="F40" i="3"/>
  <c r="CE21" i="3"/>
  <c r="C47" i="3"/>
  <c r="CQ29" i="2"/>
  <c r="CH7" i="3"/>
  <c r="DA35" i="2"/>
  <c r="I41" i="3"/>
  <c r="K41" i="3"/>
  <c r="AD60" i="3"/>
  <c r="F56" i="3"/>
  <c r="AI64" i="3"/>
  <c r="CQ8" i="3"/>
  <c r="V60" i="3"/>
  <c r="CO8" i="3"/>
  <c r="AM50" i="2"/>
  <c r="CN9" i="3"/>
  <c r="CE24" i="2"/>
  <c r="CJ25" i="3"/>
  <c r="AN77" i="3"/>
  <c r="AQ69" i="3"/>
  <c r="AC50" i="3"/>
  <c r="DD41" i="2"/>
  <c r="CJ32" i="3"/>
  <c r="AE75" i="3"/>
  <c r="L80" i="3"/>
  <c r="Y78" i="3"/>
  <c r="S53" i="3"/>
  <c r="AK71" i="3"/>
  <c r="AJ56" i="3"/>
  <c r="AE66" i="3"/>
  <c r="AP48" i="3"/>
  <c r="CN19" i="2"/>
  <c r="CP19" i="3"/>
  <c r="CG39" i="2"/>
  <c r="K64" i="3"/>
  <c r="AN60" i="3"/>
  <c r="G74" i="3"/>
  <c r="AP56" i="3"/>
  <c r="R47" i="3"/>
  <c r="AF79" i="3"/>
  <c r="AR56" i="3"/>
  <c r="N50" i="3"/>
  <c r="AE48" i="3"/>
  <c r="DD40" i="2"/>
  <c r="AN50" i="2"/>
  <c r="C74" i="3"/>
  <c r="D54" i="3"/>
  <c r="F70" i="3"/>
  <c r="R50" i="2"/>
  <c r="CN22" i="3"/>
  <c r="AL74" i="3"/>
  <c r="O53" i="3"/>
  <c r="AN56" i="3"/>
  <c r="M65" i="3"/>
  <c r="X48" i="3"/>
  <c r="DA19" i="2"/>
  <c r="AH44" i="3"/>
  <c r="AN76" i="3"/>
  <c r="CQ42" i="2"/>
  <c r="X36" i="3"/>
  <c r="E54" i="2"/>
  <c r="CG24" i="3"/>
  <c r="I44" i="3"/>
  <c r="AK61" i="3"/>
  <c r="T70" i="3"/>
  <c r="AR45" i="3"/>
  <c r="CN6" i="2"/>
  <c r="CQ33" i="3"/>
  <c r="CF6" i="3"/>
  <c r="CQ43" i="2"/>
  <c r="C41" i="3"/>
  <c r="CO31" i="3"/>
  <c r="Z79" i="3"/>
  <c r="G60" i="3"/>
  <c r="Z54" i="3"/>
  <c r="CZ21" i="2"/>
  <c r="DC10" i="2"/>
  <c r="AM79" i="3"/>
  <c r="V77" i="3"/>
  <c r="J53" i="3"/>
  <c r="AG67" i="3"/>
  <c r="AL62" i="3"/>
  <c r="N60" i="3"/>
  <c r="AC63" i="3"/>
  <c r="U49" i="3"/>
  <c r="M53" i="3"/>
  <c r="CM8" i="2"/>
  <c r="AW50" i="2"/>
  <c r="CO34" i="3"/>
  <c r="CN39" i="2"/>
  <c r="DA34" i="2"/>
  <c r="V36" i="3"/>
  <c r="C53" i="3"/>
  <c r="CM37" i="2"/>
  <c r="CH24" i="3"/>
  <c r="Q41" i="3"/>
  <c r="CM9" i="2"/>
  <c r="G40" i="3"/>
  <c r="DD39" i="2"/>
  <c r="AI41" i="3"/>
  <c r="AT40" i="3"/>
  <c r="AP41" i="3"/>
  <c r="E60" i="3"/>
  <c r="CE20" i="2"/>
  <c r="AE74" i="3"/>
  <c r="CM27" i="2"/>
  <c r="CQ24" i="3"/>
  <c r="K56" i="2"/>
  <c r="C68" i="3"/>
  <c r="CQ34" i="3"/>
  <c r="AI50" i="2"/>
  <c r="CQ10" i="3"/>
  <c r="DA5" i="2"/>
  <c r="AP50" i="2"/>
  <c r="AD77" i="3"/>
  <c r="AB70" i="3"/>
  <c r="CP21" i="3"/>
  <c r="M54" i="2"/>
  <c r="BD40" i="3"/>
  <c r="D56" i="2"/>
  <c r="D52" i="3"/>
  <c r="F52" i="3"/>
  <c r="CI9" i="2"/>
  <c r="K54" i="2"/>
  <c r="Z82" i="3"/>
  <c r="I51" i="3"/>
  <c r="CE6" i="3"/>
  <c r="AH36" i="3"/>
  <c r="CO24" i="3"/>
  <c r="AA57" i="2"/>
  <c r="AI54" i="3"/>
  <c r="Q56" i="2"/>
  <c r="P57" i="2"/>
  <c r="F64" i="3"/>
  <c r="CP13" i="3"/>
  <c r="U81" i="3"/>
  <c r="CI14" i="2"/>
  <c r="CZ15" i="2"/>
  <c r="CH25" i="3"/>
  <c r="CN24" i="3"/>
  <c r="L45" i="3"/>
  <c r="Y36" i="3"/>
  <c r="BC41" i="3"/>
  <c r="CE13" i="3"/>
  <c r="R45" i="3"/>
  <c r="CH33" i="2"/>
  <c r="CI25" i="2"/>
  <c r="CQ21" i="2"/>
  <c r="DC6" i="2"/>
  <c r="CQ9" i="3"/>
  <c r="CP26" i="3"/>
  <c r="CN12" i="3"/>
  <c r="AX41" i="3"/>
  <c r="DB42" i="2"/>
  <c r="CO13" i="3"/>
  <c r="CG30" i="3"/>
  <c r="AL75" i="3"/>
  <c r="CP34" i="3"/>
  <c r="AE36" i="3"/>
  <c r="AP40" i="3"/>
  <c r="L56" i="2"/>
  <c r="O56" i="2"/>
  <c r="DD6" i="2"/>
  <c r="Q50" i="3"/>
  <c r="D64" i="3"/>
  <c r="AA40" i="3"/>
  <c r="C67" i="3"/>
  <c r="R80" i="3"/>
  <c r="AN81" i="3"/>
  <c r="AB69" i="3"/>
  <c r="CG15" i="3"/>
  <c r="P82" i="3"/>
  <c r="Z70" i="3"/>
  <c r="CK8" i="2"/>
  <c r="C81" i="3"/>
  <c r="CJ28" i="3"/>
  <c r="I68" i="3"/>
  <c r="CE36" i="2"/>
  <c r="AQ51" i="3"/>
  <c r="AB52" i="3"/>
  <c r="AI60" i="3"/>
  <c r="CG7" i="3"/>
  <c r="T61" i="3"/>
  <c r="CH21" i="3"/>
  <c r="J74" i="3"/>
  <c r="AC52" i="3"/>
  <c r="P56" i="3"/>
  <c r="AN64" i="3"/>
  <c r="N48" i="3"/>
  <c r="CN19" i="3"/>
  <c r="AM69" i="3"/>
  <c r="CN41" i="2"/>
  <c r="AP58" i="3"/>
  <c r="CI23" i="2"/>
  <c r="V57" i="2"/>
  <c r="CY35" i="2"/>
  <c r="AB56" i="2"/>
  <c r="DB31" i="2"/>
  <c r="AQ50" i="2"/>
  <c r="AL41" i="3"/>
  <c r="DA16" i="2"/>
  <c r="E78" i="3"/>
  <c r="D76" i="3"/>
  <c r="AL51" i="3"/>
  <c r="W60" i="3"/>
  <c r="CJ21" i="3"/>
  <c r="V58" i="3"/>
  <c r="P61" i="3"/>
  <c r="CN26" i="2"/>
  <c r="R54" i="2"/>
  <c r="CI10" i="2"/>
  <c r="CN5" i="2"/>
  <c r="Q59" i="2"/>
  <c r="AR62" i="3"/>
  <c r="J69" i="3"/>
  <c r="X44" i="3"/>
  <c r="CZ29" i="2"/>
  <c r="CN37" i="2"/>
  <c r="AN41" i="3"/>
  <c r="CI33" i="3"/>
  <c r="U36" i="3"/>
  <c r="AA54" i="2"/>
  <c r="CK31" i="2"/>
  <c r="AF60" i="3"/>
  <c r="N54" i="3"/>
  <c r="H76" i="3"/>
  <c r="CM34" i="2"/>
  <c r="CY34" i="2"/>
  <c r="C75" i="3"/>
  <c r="T68" i="3"/>
  <c r="AH49" i="3"/>
  <c r="AA62" i="3"/>
  <c r="Z52" i="3"/>
  <c r="M51" i="3"/>
  <c r="AL52" i="3"/>
  <c r="CN21" i="3"/>
  <c r="DB22" i="2"/>
  <c r="CQ28" i="2"/>
  <c r="AD56" i="2"/>
  <c r="CI5" i="2"/>
  <c r="T50" i="2"/>
  <c r="AL50" i="2"/>
  <c r="X40" i="3"/>
  <c r="C64" i="3"/>
  <c r="W50" i="2"/>
  <c r="CF32" i="3"/>
  <c r="E44" i="3"/>
  <c r="DB40" i="2"/>
  <c r="AE41" i="3"/>
  <c r="AB57" i="2"/>
  <c r="F59" i="3"/>
  <c r="E66" i="3"/>
  <c r="DA10" i="2"/>
  <c r="J50" i="2"/>
  <c r="U68" i="3"/>
  <c r="AO55" i="3"/>
  <c r="CI22" i="2"/>
  <c r="CY31" i="2"/>
  <c r="CH31" i="3"/>
  <c r="CZ30" i="2"/>
  <c r="AW40" i="3"/>
  <c r="CG33" i="3"/>
  <c r="AI40" i="3"/>
  <c r="BE36" i="3"/>
  <c r="AT36" i="3"/>
  <c r="AN54" i="3"/>
  <c r="J77" i="3"/>
  <c r="M50" i="2"/>
  <c r="CY30" i="2"/>
  <c r="C51" i="3"/>
  <c r="CG22" i="3"/>
  <c r="D73" i="3"/>
  <c r="DB36" i="2"/>
  <c r="AY36" i="3"/>
  <c r="E48" i="3"/>
  <c r="N73" i="3"/>
  <c r="DB6" i="2"/>
  <c r="H41" i="3"/>
  <c r="D53" i="3"/>
  <c r="CN14" i="2"/>
  <c r="AR73" i="3"/>
  <c r="L44" i="3"/>
  <c r="CH10" i="3"/>
  <c r="BC36" i="3"/>
  <c r="CG31" i="3"/>
  <c r="CO10" i="3"/>
  <c r="AP46" i="3"/>
  <c r="CI6" i="2"/>
  <c r="CG9" i="3"/>
  <c r="DB5" i="2"/>
  <c r="AO36" i="3"/>
  <c r="CG29" i="3"/>
  <c r="AF44" i="3"/>
  <c r="CN34" i="2"/>
  <c r="CM15" i="2"/>
  <c r="CN38" i="2"/>
  <c r="CI8" i="3"/>
  <c r="U78" i="3"/>
  <c r="I74" i="3"/>
  <c r="O51" i="3"/>
  <c r="AD64" i="3"/>
  <c r="M78" i="3"/>
  <c r="I75" i="3"/>
  <c r="AH60" i="3"/>
  <c r="V79" i="3"/>
  <c r="K67" i="3"/>
  <c r="Q83" i="3"/>
  <c r="AQ54" i="3"/>
  <c r="V48" i="3"/>
  <c r="S56" i="3"/>
  <c r="Z50" i="3"/>
  <c r="DA30" i="2"/>
  <c r="AS40" i="3"/>
  <c r="F49" i="3"/>
  <c r="AK64" i="3"/>
  <c r="Q75" i="3"/>
  <c r="AC47" i="3"/>
  <c r="P47" i="3"/>
  <c r="CI24" i="3"/>
  <c r="G57" i="2"/>
  <c r="S76" i="3"/>
  <c r="Z62" i="3"/>
  <c r="DD33" i="2"/>
  <c r="CQ5" i="3"/>
  <c r="G61" i="3"/>
  <c r="H47" i="3"/>
  <c r="CN28" i="3"/>
  <c r="AM49" i="3"/>
  <c r="X56" i="3"/>
  <c r="AK55" i="3"/>
  <c r="CN20" i="3"/>
  <c r="CM43" i="2"/>
  <c r="DC31" i="2"/>
  <c r="BD41" i="3"/>
  <c r="AG40" i="3"/>
  <c r="DD9" i="2"/>
  <c r="CQ30" i="3"/>
  <c r="AB56" i="3"/>
  <c r="CY15" i="2"/>
  <c r="D69" i="3"/>
  <c r="N41" i="3"/>
  <c r="AH77" i="3"/>
  <c r="DB34" i="2"/>
  <c r="J41" i="3"/>
  <c r="Y54" i="2"/>
  <c r="AB36" i="3"/>
  <c r="G56" i="2"/>
  <c r="AV41" i="3"/>
  <c r="U74" i="3"/>
  <c r="CI13" i="2"/>
  <c r="BC4" i="2" l="1"/>
  <c r="H1" i="2"/>
  <c r="X1" i="2"/>
  <c r="AN1" i="2"/>
  <c r="BD1" i="2"/>
  <c r="BT1" i="2"/>
  <c r="H2" i="2"/>
  <c r="X2" i="2"/>
  <c r="AN2" i="2"/>
  <c r="BD2" i="2"/>
  <c r="BT2" i="2"/>
  <c r="H3" i="2"/>
  <c r="X3" i="2"/>
  <c r="AN3" i="2"/>
  <c r="BD3" i="2"/>
  <c r="BT3" i="2"/>
  <c r="H4" i="2"/>
  <c r="X4" i="2"/>
  <c r="AN4" i="2"/>
  <c r="BD4" i="2"/>
  <c r="BT4" i="2"/>
  <c r="BR4" i="2"/>
  <c r="AW4" i="2"/>
  <c r="AA4" i="2"/>
  <c r="F4" i="2"/>
  <c r="BM3" i="2"/>
  <c r="AQ3" i="2"/>
  <c r="V3" i="2"/>
  <c r="CC2" i="2"/>
  <c r="BG2" i="2"/>
  <c r="AL2" i="2"/>
  <c r="Q2" i="2"/>
  <c r="BW1" i="2"/>
  <c r="BB1" i="2"/>
  <c r="AG1" i="2"/>
  <c r="K1" i="2"/>
  <c r="BQ4" i="2"/>
  <c r="AU4" i="2"/>
  <c r="Z4" i="2"/>
  <c r="L1" i="2"/>
  <c r="AB1" i="2"/>
  <c r="AR1" i="2"/>
  <c r="BH1" i="2"/>
  <c r="BX1" i="2"/>
  <c r="L2" i="2"/>
  <c r="AB2" i="2"/>
  <c r="AR2" i="2"/>
  <c r="BH2" i="2"/>
  <c r="BX2" i="2"/>
  <c r="L3" i="2"/>
  <c r="AB3" i="2"/>
  <c r="AR3" i="2"/>
  <c r="BH3" i="2"/>
  <c r="BX3" i="2"/>
  <c r="L4" i="2"/>
  <c r="AB4" i="2"/>
  <c r="AR4" i="2"/>
  <c r="BH4" i="2"/>
  <c r="BX4" i="2"/>
  <c r="BM4" i="2"/>
  <c r="AQ4" i="2"/>
  <c r="V4" i="2"/>
  <c r="CC3" i="2"/>
  <c r="BG3" i="2"/>
  <c r="AL3" i="2"/>
  <c r="Q3" i="2"/>
  <c r="BW2" i="2"/>
  <c r="BB2" i="2"/>
  <c r="AG2" i="2"/>
  <c r="K2" i="2"/>
  <c r="BR1" i="2"/>
  <c r="AW1" i="2"/>
  <c r="AA1" i="2"/>
  <c r="F1" i="2"/>
  <c r="BK4" i="2"/>
  <c r="AP4" i="2"/>
  <c r="U4" i="2"/>
  <c r="CA3" i="2"/>
  <c r="BF3" i="2"/>
  <c r="AK3" i="2"/>
  <c r="O3" i="2"/>
  <c r="BV2" i="2"/>
  <c r="BA2" i="2"/>
  <c r="AE2" i="2"/>
  <c r="J2" i="2"/>
  <c r="BQ1" i="2"/>
  <c r="AU1" i="2"/>
  <c r="Z1" i="2"/>
  <c r="P1" i="2"/>
  <c r="AF1" i="2"/>
  <c r="AV1" i="2"/>
  <c r="BL1" i="2"/>
  <c r="CB1" i="2"/>
  <c r="P2" i="2"/>
  <c r="AF2" i="2"/>
  <c r="AV2" i="2"/>
  <c r="BL2" i="2"/>
  <c r="CB2" i="2"/>
  <c r="P3" i="2"/>
  <c r="AF3" i="2"/>
  <c r="AV3" i="2"/>
  <c r="BL3" i="2"/>
  <c r="CB3" i="2"/>
  <c r="P4" i="2"/>
  <c r="AF4" i="2"/>
  <c r="AV4" i="2"/>
  <c r="BL4" i="2"/>
  <c r="CB4" i="2"/>
  <c r="CC4" i="2"/>
  <c r="BG4" i="2"/>
  <c r="AL4" i="2"/>
  <c r="Q4" i="2"/>
  <c r="BW3" i="2"/>
  <c r="BB3" i="2"/>
  <c r="AG3" i="2"/>
  <c r="K3" i="2"/>
  <c r="BR2" i="2"/>
  <c r="AW2" i="2"/>
  <c r="AA2" i="2"/>
  <c r="F2" i="2"/>
  <c r="BM1" i="2"/>
  <c r="AQ1" i="2"/>
  <c r="V1" i="2"/>
  <c r="CA4" i="2"/>
  <c r="BF4" i="2"/>
  <c r="AK4" i="2"/>
  <c r="N1" i="2"/>
  <c r="AI1" i="2"/>
  <c r="BE1" i="2"/>
  <c r="BZ1" i="2"/>
  <c r="S2" i="2"/>
  <c r="AO2" i="2"/>
  <c r="BJ2" i="2"/>
  <c r="C3" i="2"/>
  <c r="Y3" i="2"/>
  <c r="AT3" i="2"/>
  <c r="BO3" i="2"/>
  <c r="I4" i="2"/>
  <c r="AD4" i="2"/>
  <c r="AY4" i="2"/>
  <c r="BU4" i="2"/>
  <c r="U1" i="2"/>
  <c r="BA1" i="2"/>
  <c r="CA1" i="2"/>
  <c r="Z2" i="2"/>
  <c r="BF2" i="2"/>
  <c r="E3" i="2"/>
  <c r="AE3" i="2"/>
  <c r="BK3" i="2"/>
  <c r="J4" i="2"/>
  <c r="BV4" i="2"/>
  <c r="CC1" i="2"/>
  <c r="F3" i="2"/>
  <c r="K4" i="2"/>
  <c r="AZ4" i="2"/>
  <c r="BP3" i="2"/>
  <c r="D3" i="2"/>
  <c r="T2" i="2"/>
  <c r="AJ1" i="2"/>
  <c r="S1" i="2"/>
  <c r="AO1" i="2"/>
  <c r="BJ1" i="2"/>
  <c r="C2" i="2"/>
  <c r="Y2" i="2"/>
  <c r="AT2" i="2"/>
  <c r="BO2" i="2"/>
  <c r="I3" i="2"/>
  <c r="AD3" i="2"/>
  <c r="AY3" i="2"/>
  <c r="BU3" i="2"/>
  <c r="N4" i="2"/>
  <c r="AI4" i="2"/>
  <c r="BE4" i="2"/>
  <c r="BZ4" i="2"/>
  <c r="E1" i="2"/>
  <c r="AE1" i="2"/>
  <c r="BF1" i="2"/>
  <c r="E2" i="2"/>
  <c r="AK2" i="2"/>
  <c r="BK2" i="2"/>
  <c r="J3" i="2"/>
  <c r="AP3" i="2"/>
  <c r="BQ3" i="2"/>
  <c r="O4" i="2"/>
  <c r="Q1" i="2"/>
  <c r="V2" i="2"/>
  <c r="AA3" i="2"/>
  <c r="AG4" i="2"/>
  <c r="AJ4" i="2"/>
  <c r="AZ3" i="2"/>
  <c r="BP2" i="2"/>
  <c r="D2" i="2"/>
  <c r="T1" i="2"/>
  <c r="BY4" i="3"/>
  <c r="BM4" i="3"/>
  <c r="BC4" i="3"/>
  <c r="AS4" i="3"/>
  <c r="AG4" i="3"/>
  <c r="W4" i="3"/>
  <c r="O4" i="3"/>
  <c r="G4" i="3"/>
  <c r="CB3" i="3"/>
  <c r="BU3" i="3"/>
  <c r="BM3" i="3"/>
  <c r="BG3" i="3"/>
  <c r="AZ3" i="3"/>
  <c r="AR3" i="3"/>
  <c r="AK3" i="3"/>
  <c r="AE3" i="3"/>
  <c r="W3" i="3"/>
  <c r="P3" i="3"/>
  <c r="I3" i="3"/>
  <c r="CC2" i="3"/>
  <c r="BW2" i="3"/>
  <c r="BP2" i="3"/>
  <c r="BH2" i="3"/>
  <c r="BA2" i="3"/>
  <c r="AU2" i="3"/>
  <c r="AM2" i="3"/>
  <c r="AF2" i="3"/>
  <c r="Y2" i="3"/>
  <c r="Q2" i="3"/>
  <c r="K2" i="3"/>
  <c r="D2" i="3"/>
  <c r="BZ1" i="3"/>
  <c r="BU1" i="3"/>
  <c r="BP1" i="3"/>
  <c r="BJ1" i="3"/>
  <c r="BE1" i="3"/>
  <c r="AZ1" i="3"/>
  <c r="AT1" i="3"/>
  <c r="AO1" i="3"/>
  <c r="AJ1" i="3"/>
  <c r="AD1" i="3"/>
  <c r="Y1" i="3"/>
  <c r="T1" i="3"/>
  <c r="N1" i="3"/>
  <c r="I1" i="3"/>
  <c r="Z63" i="1"/>
  <c r="Y63" i="1"/>
  <c r="AA3" i="1" a="1"/>
  <c r="AA3" i="1" s="1"/>
  <c r="AA2" i="1"/>
  <c r="AB3" i="1" a="1"/>
  <c r="AB3" i="1" s="1"/>
  <c r="AC63" i="1"/>
  <c r="A40" i="7"/>
  <c r="L82" i="4"/>
  <c r="H81" i="4"/>
  <c r="AB63" i="1"/>
  <c r="AD63" i="1"/>
  <c r="AB2" i="1"/>
  <c r="D51" i="2" a="1"/>
  <c r="CO47" i="2"/>
  <c r="A15" i="4" a="1"/>
  <c r="A15" i="4" s="1"/>
  <c r="P65" i="1"/>
  <c r="P66" i="1" s="1"/>
  <c r="AA63" i="1"/>
  <c r="H60" i="4"/>
  <c r="M60" i="4" s="1"/>
  <c r="B19" i="7" s="1"/>
  <c r="H59" i="4"/>
  <c r="O59" i="4" s="1"/>
  <c r="D18" i="7" s="1"/>
  <c r="H58" i="4"/>
  <c r="K58" i="4" s="1"/>
  <c r="N58" i="4" s="1"/>
  <c r="C17" i="7" s="1"/>
  <c r="H57" i="4"/>
  <c r="O57" i="4" s="1"/>
  <c r="D16" i="7" s="1"/>
  <c r="H56" i="4"/>
  <c r="O56" i="4" s="1"/>
  <c r="D15" i="7" s="1"/>
  <c r="H55" i="4"/>
  <c r="H54" i="4"/>
  <c r="H53" i="4"/>
  <c r="O53" i="4" s="1"/>
  <c r="D12" i="7" s="1"/>
  <c r="H52" i="4"/>
  <c r="O52" i="4" s="1"/>
  <c r="D11" i="7" s="1"/>
  <c r="H51" i="4"/>
  <c r="H50" i="4"/>
  <c r="H49" i="4"/>
  <c r="M49" i="4" s="1"/>
  <c r="B8" i="7" s="1"/>
  <c r="H48" i="4"/>
  <c r="M48" i="4" s="1"/>
  <c r="B7" i="7" s="1"/>
  <c r="H47" i="4"/>
  <c r="K47" i="4" s="1"/>
  <c r="N47" i="4" s="1"/>
  <c r="C6" i="7" s="1"/>
  <c r="H46" i="4"/>
  <c r="O46" i="4" s="1"/>
  <c r="D5" i="7" s="1"/>
  <c r="AJ43" i="4"/>
  <c r="AB43" i="4"/>
  <c r="J43" i="4"/>
  <c r="B43" i="4"/>
  <c r="C42" i="3"/>
  <c r="G42" i="3"/>
  <c r="K42" i="3"/>
  <c r="O42" i="3"/>
  <c r="S42" i="3"/>
  <c r="W42" i="3"/>
  <c r="AA42" i="3"/>
  <c r="AE42" i="3"/>
  <c r="CC42" i="3"/>
  <c r="BY42" i="3"/>
  <c r="BU42" i="3"/>
  <c r="BQ42" i="3"/>
  <c r="BM42" i="3"/>
  <c r="BI42" i="3"/>
  <c r="BE42" i="3"/>
  <c r="BA42" i="3"/>
  <c r="AW42" i="3"/>
  <c r="AS42" i="3"/>
  <c r="AO42" i="3"/>
  <c r="AK42" i="3"/>
  <c r="AG42" i="3"/>
  <c r="AB42" i="3"/>
  <c r="V42" i="3"/>
  <c r="Q42" i="3"/>
  <c r="L42" i="3"/>
  <c r="F42" i="3"/>
  <c r="C1" i="3"/>
  <c r="G1" i="3"/>
  <c r="K1" i="3"/>
  <c r="O1" i="3"/>
  <c r="S1" i="3"/>
  <c r="W1" i="3"/>
  <c r="AA1" i="3"/>
  <c r="AE1" i="3"/>
  <c r="AI1" i="3"/>
  <c r="AM1" i="3"/>
  <c r="AQ1" i="3"/>
  <c r="AU1" i="3"/>
  <c r="AY1" i="3"/>
  <c r="BC1" i="3"/>
  <c r="BG1" i="3"/>
  <c r="BK1" i="3"/>
  <c r="BO1" i="3"/>
  <c r="BS1" i="3"/>
  <c r="BW1" i="3"/>
  <c r="CA1" i="3"/>
  <c r="C2" i="3"/>
  <c r="H2" i="3"/>
  <c r="M2" i="3"/>
  <c r="S2" i="3"/>
  <c r="X2" i="3"/>
  <c r="AC2" i="3"/>
  <c r="AI2" i="3"/>
  <c r="AN2" i="3"/>
  <c r="AS2" i="3"/>
  <c r="AY2" i="3"/>
  <c r="BD2" i="3"/>
  <c r="BI2" i="3"/>
  <c r="BO2" i="3"/>
  <c r="BT2" i="3"/>
  <c r="BY2" i="3"/>
  <c r="C3" i="3"/>
  <c r="H3" i="3"/>
  <c r="M3" i="3"/>
  <c r="S3" i="3"/>
  <c r="X3" i="3"/>
  <c r="AC3" i="3"/>
  <c r="AI3" i="3"/>
  <c r="AN3" i="3"/>
  <c r="AS3" i="3"/>
  <c r="AY3" i="3"/>
  <c r="BD3" i="3"/>
  <c r="BI3" i="3"/>
  <c r="BO3" i="3"/>
  <c r="BT3" i="3"/>
  <c r="BY3" i="3"/>
  <c r="C4" i="3"/>
  <c r="H4" i="3"/>
  <c r="M4" i="3"/>
  <c r="S4" i="3"/>
  <c r="AA4" i="3"/>
  <c r="AI4" i="3"/>
  <c r="AQ4" i="3"/>
  <c r="AY4" i="3"/>
  <c r="BG4" i="3"/>
  <c r="BO4" i="3"/>
  <c r="BW4" i="3"/>
  <c r="CB42" i="3"/>
  <c r="BX42" i="3"/>
  <c r="BT42" i="3"/>
  <c r="BP42" i="3"/>
  <c r="BL42" i="3"/>
  <c r="BH42" i="3"/>
  <c r="BD42" i="3"/>
  <c r="AZ42" i="3"/>
  <c r="AV42" i="3"/>
  <c r="AR42" i="3"/>
  <c r="AN42" i="3"/>
  <c r="AJ42" i="3"/>
  <c r="AF42" i="3"/>
  <c r="Z42" i="3"/>
  <c r="U42" i="3"/>
  <c r="P42" i="3"/>
  <c r="J42" i="3"/>
  <c r="E42" i="3"/>
  <c r="G1" i="2"/>
  <c r="AC1" i="2"/>
  <c r="AX1" i="2"/>
  <c r="BS1" i="2"/>
  <c r="M2" i="2"/>
  <c r="AH2" i="2"/>
  <c r="BC2" i="2"/>
  <c r="BY2" i="2"/>
  <c r="R3" i="2"/>
  <c r="AM3" i="2"/>
  <c r="BI3" i="2"/>
  <c r="CD3" i="2"/>
  <c r="W4" i="2"/>
  <c r="AS4" i="2"/>
  <c r="BN4" i="2"/>
  <c r="M1" i="2"/>
  <c r="AH1" i="2"/>
  <c r="BC1" i="2"/>
  <c r="BY1" i="2"/>
  <c r="R2" i="2"/>
  <c r="AM2" i="2"/>
  <c r="BI2" i="2"/>
  <c r="CD2" i="2"/>
  <c r="W3" i="2"/>
  <c r="AS3" i="2"/>
  <c r="BN3" i="2"/>
  <c r="G4" i="2"/>
  <c r="AC4" i="2"/>
  <c r="AX4" i="2"/>
  <c r="BS4" i="2"/>
  <c r="R1" i="2"/>
  <c r="AM1" i="2"/>
  <c r="BI1" i="2"/>
  <c r="CD1" i="2"/>
  <c r="W2" i="2"/>
  <c r="AS2" i="2"/>
  <c r="BN2" i="2"/>
  <c r="G3" i="2"/>
  <c r="AC3" i="2"/>
  <c r="AX3" i="2"/>
  <c r="BS3" i="2"/>
  <c r="W1" i="2"/>
  <c r="AC2" i="2"/>
  <c r="AH3" i="2"/>
  <c r="R4" i="2"/>
  <c r="BI4" i="2"/>
  <c r="AS1" i="2"/>
  <c r="AX2" i="2"/>
  <c r="BC3" i="2"/>
  <c r="AH4" i="2"/>
  <c r="BY4" i="2"/>
  <c r="BN1" i="2"/>
  <c r="BS2" i="2"/>
  <c r="BY3" i="2"/>
  <c r="AM4" i="2"/>
  <c r="CD4" i="2"/>
  <c r="M4" i="2"/>
  <c r="M3" i="2"/>
  <c r="G2" i="2"/>
  <c r="M80" i="4"/>
  <c r="B39" i="7" s="1"/>
  <c r="K68" i="4"/>
  <c r="N68" i="4" s="1"/>
  <c r="C27" i="7" s="1"/>
  <c r="O80" i="4"/>
  <c r="D39" i="7" s="1"/>
  <c r="O79" i="4"/>
  <c r="D38" i="7" s="1"/>
  <c r="K77" i="4"/>
  <c r="N77" i="4" s="1"/>
  <c r="C36" i="7" s="1"/>
  <c r="M77" i="4"/>
  <c r="B36" i="7" s="1"/>
  <c r="M76" i="4"/>
  <c r="B35" i="7" s="1"/>
  <c r="M64" i="4"/>
  <c r="B23" i="7" s="1"/>
  <c r="K70" i="4"/>
  <c r="N70" i="4" s="1"/>
  <c r="C29" i="7" s="1"/>
  <c r="M50" i="4"/>
  <c r="B9" i="7" s="1"/>
  <c r="K71" i="4"/>
  <c r="N71" i="4" s="1"/>
  <c r="C30" i="7" s="1"/>
  <c r="M75" i="4"/>
  <c r="B34" i="7" s="1"/>
  <c r="M69" i="4"/>
  <c r="B28" i="7" s="1"/>
  <c r="M68" i="4"/>
  <c r="B27" i="7" s="1"/>
  <c r="K69" i="4"/>
  <c r="N69" i="4" s="1"/>
  <c r="C28" i="7" s="1"/>
  <c r="O70" i="4"/>
  <c r="D29" i="7" s="1"/>
  <c r="M58" i="4"/>
  <c r="B17" i="7" s="1"/>
  <c r="O71" i="4"/>
  <c r="D30" i="7" s="1"/>
  <c r="K67" i="4"/>
  <c r="N67" i="4" s="1"/>
  <c r="C26" i="7" s="1"/>
  <c r="M67" i="4"/>
  <c r="B26" i="7" s="1"/>
  <c r="A34" i="5"/>
  <c r="E34" i="5" s="1"/>
  <c r="A28" i="5"/>
  <c r="B43" i="5"/>
  <c r="A40" i="6" s="1"/>
  <c r="B27" i="5"/>
  <c r="A24" i="6" s="1"/>
  <c r="B11" i="5"/>
  <c r="A8" i="6" s="1"/>
  <c r="A29" i="5"/>
  <c r="A11" i="5"/>
  <c r="E11" i="5" s="1"/>
  <c r="B34" i="5"/>
  <c r="A31" i="6" s="1"/>
  <c r="K46" i="4"/>
  <c r="N46" i="4" s="1"/>
  <c r="C5" i="7" s="1"/>
  <c r="B30" i="5"/>
  <c r="A27" i="6" s="1"/>
  <c r="O63" i="4"/>
  <c r="D22" i="7" s="1"/>
  <c r="O47" i="4"/>
  <c r="D6" i="7" s="1"/>
  <c r="K79" i="4"/>
  <c r="N79" i="4" s="1"/>
  <c r="C38" i="7" s="1"/>
  <c r="A18" i="5"/>
  <c r="A24" i="5"/>
  <c r="G24" i="5" s="1"/>
  <c r="H24" i="5" s="1"/>
  <c r="E21" i="6" s="1"/>
  <c r="A45" i="5"/>
  <c r="J45" i="5" s="1"/>
  <c r="G42" i="6" s="1"/>
  <c r="A27" i="5"/>
  <c r="G27" i="5" s="1"/>
  <c r="H27" i="5" s="1"/>
  <c r="E24" i="6" s="1"/>
  <c r="A5" i="5"/>
  <c r="B38" i="5"/>
  <c r="A35" i="6" s="1"/>
  <c r="M62" i="4"/>
  <c r="B21" i="7" s="1"/>
  <c r="B28" i="5"/>
  <c r="A25" i="6" s="1"/>
  <c r="A46" i="5"/>
  <c r="J46" i="5" s="1"/>
  <c r="A44" i="5"/>
  <c r="A37" i="5"/>
  <c r="J37" i="5" s="1"/>
  <c r="G34" i="6" s="1"/>
  <c r="A13" i="5"/>
  <c r="G13" i="5" s="1"/>
  <c r="H13" i="5" s="1"/>
  <c r="E10" i="6" s="1"/>
  <c r="B10" i="5"/>
  <c r="A7" i="6" s="1"/>
  <c r="A14" i="5"/>
  <c r="E14" i="5" s="1"/>
  <c r="I14" i="5" s="1"/>
  <c r="F11" i="6" s="1"/>
  <c r="A12" i="5"/>
  <c r="J12" i="5" s="1"/>
  <c r="G9" i="6" s="1"/>
  <c r="B35" i="5"/>
  <c r="A32" i="6" s="1"/>
  <c r="B19" i="5"/>
  <c r="A16" i="6" s="1"/>
  <c r="A43" i="5"/>
  <c r="J43" i="5" s="1"/>
  <c r="G40" i="6" s="1"/>
  <c r="A21" i="5"/>
  <c r="J21" i="5" s="1"/>
  <c r="G18" i="6" s="1"/>
  <c r="B32" i="5"/>
  <c r="A29" i="6" s="1"/>
  <c r="O62" i="4"/>
  <c r="D21" i="7" s="1"/>
  <c r="O58" i="4"/>
  <c r="D17" i="7" s="1"/>
  <c r="O64" i="4"/>
  <c r="D23" i="7" s="1"/>
  <c r="K73" i="4"/>
  <c r="N73" i="4" s="1"/>
  <c r="C32" i="7" s="1"/>
  <c r="O73" i="4"/>
  <c r="D32" i="7" s="1"/>
  <c r="K63" i="4"/>
  <c r="N63" i="4" s="1"/>
  <c r="C22" i="7" s="1"/>
  <c r="J13" i="5"/>
  <c r="G10" i="6" s="1"/>
  <c r="M66" i="4"/>
  <c r="B25" i="7" s="1"/>
  <c r="K66" i="4"/>
  <c r="N66" i="4" s="1"/>
  <c r="C25" i="7" s="1"/>
  <c r="O55" i="4"/>
  <c r="D14" i="7" s="1"/>
  <c r="K55" i="4"/>
  <c r="N55" i="4" s="1"/>
  <c r="C14" i="7" s="1"/>
  <c r="M45" i="4"/>
  <c r="B4" i="7" s="1"/>
  <c r="O45" i="4"/>
  <c r="D4" i="7" s="1"/>
  <c r="B8" i="5"/>
  <c r="A5" i="6" s="1"/>
  <c r="B6" i="5"/>
  <c r="A3" i="6" s="1"/>
  <c r="B18" i="5"/>
  <c r="A15" i="6" s="1"/>
  <c r="B26" i="5"/>
  <c r="A23" i="6" s="1"/>
  <c r="B44" i="5"/>
  <c r="A41" i="6" s="1"/>
  <c r="B22" i="5"/>
  <c r="A19" i="6" s="1"/>
  <c r="B40" i="5"/>
  <c r="A37" i="6" s="1"/>
  <c r="B24" i="5"/>
  <c r="A21" i="6" s="1"/>
  <c r="A7" i="5"/>
  <c r="E53" i="4" s="1"/>
  <c r="A15" i="5"/>
  <c r="A23" i="5"/>
  <c r="A31" i="5"/>
  <c r="A39" i="5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A16" i="5"/>
  <c r="A32" i="5"/>
  <c r="A6" i="5"/>
  <c r="A22" i="5"/>
  <c r="A38" i="5"/>
  <c r="B20" i="5"/>
  <c r="A17" i="6" s="1"/>
  <c r="B46" i="5"/>
  <c r="A9" i="5"/>
  <c r="A17" i="5"/>
  <c r="A25" i="5"/>
  <c r="A33" i="5"/>
  <c r="A41" i="5"/>
  <c r="A20" i="5"/>
  <c r="A36" i="5"/>
  <c r="A10" i="5"/>
  <c r="A26" i="5"/>
  <c r="A42" i="5"/>
  <c r="K72" i="4"/>
  <c r="N72" i="4" s="1"/>
  <c r="C31" i="7" s="1"/>
  <c r="O72" i="4"/>
  <c r="D31" i="7" s="1"/>
  <c r="O61" i="4"/>
  <c r="D20" i="7" s="1"/>
  <c r="M61" i="4"/>
  <c r="B20" i="7" s="1"/>
  <c r="M65" i="4"/>
  <c r="B24" i="7" s="1"/>
  <c r="K65" i="4"/>
  <c r="N65" i="4" s="1"/>
  <c r="C24" i="7" s="1"/>
  <c r="K54" i="4"/>
  <c r="N54" i="4" s="1"/>
  <c r="C13" i="7" s="1"/>
  <c r="O54" i="4"/>
  <c r="D13" i="7" s="1"/>
  <c r="M55" i="4"/>
  <c r="B14" i="7" s="1"/>
  <c r="M74" i="4"/>
  <c r="B33" i="7" s="1"/>
  <c r="O74" i="4"/>
  <c r="D33" i="7" s="1"/>
  <c r="K74" i="4"/>
  <c r="N74" i="4" s="1"/>
  <c r="C33" i="7" s="1"/>
  <c r="M46" i="4"/>
  <c r="B5" i="7" s="1"/>
  <c r="K45" i="4"/>
  <c r="N45" i="4" s="1"/>
  <c r="C4" i="7" s="1"/>
  <c r="K75" i="4"/>
  <c r="N75" i="4" s="1"/>
  <c r="C34" i="7" s="1"/>
  <c r="J44" i="5"/>
  <c r="G41" i="6" s="1"/>
  <c r="A30" i="5"/>
  <c r="A40" i="5"/>
  <c r="G40" i="5" s="1"/>
  <c r="H40" i="5" s="1"/>
  <c r="E37" i="6" s="1"/>
  <c r="A8" i="5"/>
  <c r="J8" i="5" s="1"/>
  <c r="G5" i="6" s="1"/>
  <c r="B39" i="5"/>
  <c r="A36" i="6" s="1"/>
  <c r="B31" i="5"/>
  <c r="A28" i="6" s="1"/>
  <c r="B23" i="5"/>
  <c r="A20" i="6" s="1"/>
  <c r="B15" i="5"/>
  <c r="A12" i="6" s="1"/>
  <c r="B7" i="5"/>
  <c r="A4" i="6" s="1"/>
  <c r="A35" i="5"/>
  <c r="A19" i="5"/>
  <c r="B16" i="5"/>
  <c r="A13" i="6" s="1"/>
  <c r="B12" i="5"/>
  <c r="A9" i="6" s="1"/>
  <c r="B14" i="5"/>
  <c r="A11" i="6" s="1"/>
  <c r="B42" i="5"/>
  <c r="A39" i="6" s="1"/>
  <c r="O66" i="4"/>
  <c r="D25" i="7" s="1"/>
  <c r="M54" i="4"/>
  <c r="B13" i="7" s="1"/>
  <c r="O78" i="4"/>
  <c r="D37" i="7" s="1"/>
  <c r="M78" i="4"/>
  <c r="B37" i="7" s="1"/>
  <c r="O60" i="4"/>
  <c r="D19" i="7" s="1"/>
  <c r="K59" i="4"/>
  <c r="N59" i="4" s="1"/>
  <c r="C18" i="7" s="1"/>
  <c r="M59" i="4"/>
  <c r="B18" i="7" s="1"/>
  <c r="CJ13" i="2"/>
  <c r="Y39" i="3"/>
  <c r="N39" i="3"/>
  <c r="C39" i="3"/>
  <c r="CE36" i="3"/>
  <c r="CJ35" i="2"/>
  <c r="AO39" i="3"/>
  <c r="AU39" i="3"/>
  <c r="DB46" i="2"/>
  <c r="CJ6" i="2"/>
  <c r="CJ14" i="2"/>
  <c r="DI35" i="2"/>
  <c r="CJ39" i="2"/>
  <c r="BC39" i="3"/>
  <c r="AQ39" i="3"/>
  <c r="AB39" i="3"/>
  <c r="DI38" i="2"/>
  <c r="AP39" i="3"/>
  <c r="B57" i="2"/>
  <c r="AH39" i="3"/>
  <c r="DI36" i="2"/>
  <c r="Q39" i="3"/>
  <c r="S39" i="3"/>
  <c r="AY39" i="3"/>
  <c r="CJ9" i="2"/>
  <c r="AK39" i="3"/>
  <c r="AE39" i="3"/>
  <c r="W39" i="3"/>
  <c r="B56" i="2"/>
  <c r="CE50" i="2"/>
  <c r="CO50" i="2"/>
  <c r="AT39" i="3"/>
  <c r="CT23" i="3"/>
  <c r="CM23" i="3"/>
  <c r="BE39" i="3"/>
  <c r="DA46" i="2"/>
  <c r="DI29" i="2"/>
  <c r="CM10" i="3"/>
  <c r="CT10" i="3"/>
  <c r="DI40" i="2"/>
  <c r="BB39" i="3"/>
  <c r="CJ43" i="2"/>
  <c r="DI23" i="2"/>
  <c r="CJ22" i="2"/>
  <c r="CJ19" i="2"/>
  <c r="CF20" i="2"/>
  <c r="CJ44" i="2"/>
  <c r="CJ15" i="2"/>
  <c r="E39" i="3"/>
  <c r="AM39" i="3"/>
  <c r="M39" i="3"/>
  <c r="CT32" i="3"/>
  <c r="CM32" i="3"/>
  <c r="DI16" i="2"/>
  <c r="DI10" i="2"/>
  <c r="CQ46" i="2"/>
  <c r="DI5" i="2"/>
  <c r="CE40" i="3"/>
  <c r="V39" i="3"/>
  <c r="CT14" i="3"/>
  <c r="CM14" i="3"/>
  <c r="CJ42" i="2"/>
  <c r="CJ36" i="2"/>
  <c r="CJ5" i="2"/>
  <c r="CI50" i="2"/>
  <c r="AF39" i="3"/>
  <c r="DI28" i="2"/>
  <c r="DI24" i="2"/>
  <c r="DI21" i="2"/>
  <c r="DI18" i="2"/>
  <c r="DH16" i="2"/>
  <c r="CJ16" i="2"/>
  <c r="AV39" i="3"/>
  <c r="P39" i="3"/>
  <c r="DI37" i="2"/>
  <c r="CJ25" i="2"/>
  <c r="CL27" i="3"/>
  <c r="CK27" i="3"/>
  <c r="CR27" i="3" s="1"/>
  <c r="DH33" i="2"/>
  <c r="DH31" i="2"/>
  <c r="CF13" i="2"/>
  <c r="CT13" i="3"/>
  <c r="CM13" i="3"/>
  <c r="AD39" i="3"/>
  <c r="CM16" i="3"/>
  <c r="CT16" i="3"/>
  <c r="CE41" i="3"/>
  <c r="O39" i="3"/>
  <c r="CQ3" i="3"/>
  <c r="U39" i="3"/>
  <c r="CT29" i="3"/>
  <c r="CM29" i="3"/>
  <c r="DI43" i="2"/>
  <c r="DI34" i="2"/>
  <c r="AS39" i="3"/>
  <c r="R39" i="3"/>
  <c r="CT6" i="3"/>
  <c r="CM6" i="3"/>
  <c r="AL39" i="3"/>
  <c r="CM22" i="3"/>
  <c r="CT22" i="3"/>
  <c r="CJ37" i="2"/>
  <c r="CJ34" i="2"/>
  <c r="AR39" i="3"/>
  <c r="L39" i="3"/>
  <c r="DI44" i="2"/>
  <c r="DI15" i="2"/>
  <c r="CM18" i="3"/>
  <c r="CT18" i="3"/>
  <c r="DI32" i="2"/>
  <c r="AG39" i="3"/>
  <c r="K39" i="3"/>
  <c r="CJ33" i="2"/>
  <c r="CJ40" i="2"/>
  <c r="CJ31" i="2"/>
  <c r="CJ10" i="2"/>
  <c r="DC46" i="2"/>
  <c r="BD39" i="3"/>
  <c r="AN39" i="3"/>
  <c r="X39" i="3"/>
  <c r="H39" i="3"/>
  <c r="DI42" i="2"/>
  <c r="DI33" i="2"/>
  <c r="DI13" i="2"/>
  <c r="DI9" i="2"/>
  <c r="DI6" i="2"/>
  <c r="DI19" i="2"/>
  <c r="CJ21" i="2"/>
  <c r="CL21" i="3"/>
  <c r="CK21" i="3"/>
  <c r="CR21" i="3" s="1"/>
  <c r="CT34" i="3"/>
  <c r="CM34" i="3"/>
  <c r="CF18" i="2"/>
  <c r="CT28" i="3"/>
  <c r="CM28" i="3"/>
  <c r="CL30" i="3"/>
  <c r="CK30" i="3"/>
  <c r="CR30" i="3"/>
  <c r="DH20" i="2"/>
  <c r="CL21" i="2"/>
  <c r="DE21" i="2" s="1"/>
  <c r="CJ30" i="2"/>
  <c r="AI39" i="3"/>
  <c r="I39" i="3"/>
  <c r="Z39" i="3"/>
  <c r="CT8" i="3"/>
  <c r="CM8" i="3"/>
  <c r="DI8" i="2"/>
  <c r="BA39" i="3"/>
  <c r="J39" i="3"/>
  <c r="DI14" i="2"/>
  <c r="AX39" i="3"/>
  <c r="AC39" i="3"/>
  <c r="G39" i="3"/>
  <c r="CM30" i="3"/>
  <c r="CT30" i="3"/>
  <c r="DI31" i="2"/>
  <c r="AW39" i="3"/>
  <c r="AA39" i="3"/>
  <c r="F39" i="3"/>
  <c r="CJ28" i="2"/>
  <c r="CJ38" i="2"/>
  <c r="CJ29" i="2"/>
  <c r="CJ8" i="2"/>
  <c r="CY46" i="2"/>
  <c r="AZ39" i="3"/>
  <c r="AJ39" i="3"/>
  <c r="T39" i="3"/>
  <c r="D39" i="3"/>
  <c r="CP3" i="3"/>
  <c r="DI39" i="2"/>
  <c r="DI30" i="2"/>
  <c r="CZ46" i="2"/>
  <c r="CJ23" i="2"/>
  <c r="CJ11" i="2"/>
  <c r="CF37" i="2"/>
  <c r="CL13" i="3"/>
  <c r="CK13" i="3"/>
  <c r="CR13" i="3"/>
  <c r="DH39" i="2"/>
  <c r="CL8" i="2"/>
  <c r="DE8" i="2" s="1"/>
  <c r="CJ27" i="2"/>
  <c r="CL31" i="2"/>
  <c r="DE31" i="2" s="1"/>
  <c r="CM26" i="3"/>
  <c r="CT26" i="3"/>
  <c r="CL26" i="3"/>
  <c r="CK26" i="3"/>
  <c r="CR26" i="3" s="1"/>
  <c r="CJ32" i="2"/>
  <c r="CJ41" i="2"/>
  <c r="DH15" i="2"/>
  <c r="CF36" i="3"/>
  <c r="CM5" i="3"/>
  <c r="CT5" i="3"/>
  <c r="CF33" i="2"/>
  <c r="CL39" i="2"/>
  <c r="DE39" i="2" s="1"/>
  <c r="DD46" i="2"/>
  <c r="DI25" i="2"/>
  <c r="DI22" i="2"/>
  <c r="CJ24" i="2"/>
  <c r="DI26" i="2"/>
  <c r="CT25" i="3"/>
  <c r="CM25" i="3"/>
  <c r="DI27" i="2"/>
  <c r="CJ7" i="2"/>
  <c r="DH12" i="2"/>
  <c r="DH44" i="2"/>
  <c r="CK7" i="3"/>
  <c r="CR7" i="3" s="1"/>
  <c r="CL7" i="3"/>
  <c r="CK10" i="3"/>
  <c r="CL10" i="3"/>
  <c r="CR10" i="3"/>
  <c r="CL33" i="3"/>
  <c r="CK33" i="3"/>
  <c r="CR33" i="3"/>
  <c r="CK34" i="3"/>
  <c r="CR34" i="3" s="1"/>
  <c r="CL34" i="3"/>
  <c r="CL23" i="2"/>
  <c r="DE23" i="2" s="1"/>
  <c r="DH21" i="2"/>
  <c r="CF36" i="2"/>
  <c r="CX42" i="2"/>
  <c r="CL42" i="2"/>
  <c r="DE42" i="2" s="1"/>
  <c r="CM7" i="3"/>
  <c r="CT7" i="3"/>
  <c r="CG50" i="2"/>
  <c r="CL5" i="2"/>
  <c r="DE5" i="2" s="1"/>
  <c r="CL16" i="2"/>
  <c r="DE16" i="2" s="1"/>
  <c r="CK28" i="3"/>
  <c r="CL28" i="3"/>
  <c r="CR28" i="3"/>
  <c r="DH32" i="2"/>
  <c r="CL29" i="2"/>
  <c r="DE29" i="2" s="1"/>
  <c r="CF12" i="2"/>
  <c r="CF27" i="2"/>
  <c r="CF38" i="2"/>
  <c r="CL35" i="2"/>
  <c r="DE35" i="2" s="1"/>
  <c r="DH13" i="2"/>
  <c r="CR24" i="3"/>
  <c r="CK24" i="3"/>
  <c r="CL24" i="3"/>
  <c r="CK18" i="3"/>
  <c r="CR18" i="3"/>
  <c r="CL18" i="3"/>
  <c r="CM27" i="3"/>
  <c r="CT27" i="3"/>
  <c r="CL10" i="2"/>
  <c r="DE10" i="2" s="1"/>
  <c r="CF41" i="2"/>
  <c r="DH27" i="2"/>
  <c r="DH9" i="2"/>
  <c r="CF17" i="2"/>
  <c r="CL38" i="2"/>
  <c r="DE38" i="2" s="1"/>
  <c r="DH8" i="2"/>
  <c r="DH38" i="2"/>
  <c r="CF19" i="2"/>
  <c r="CL32" i="3"/>
  <c r="CK32" i="3"/>
  <c r="CR32" i="3" s="1"/>
  <c r="CK5" i="3"/>
  <c r="CL5" i="3"/>
  <c r="CR5" i="3"/>
  <c r="CJ36" i="3"/>
  <c r="CF7" i="2"/>
  <c r="CK8" i="3"/>
  <c r="CR8" i="3" s="1"/>
  <c r="CL8" i="3"/>
  <c r="CR12" i="3"/>
  <c r="CL12" i="3"/>
  <c r="CK12" i="3"/>
  <c r="CM17" i="3"/>
  <c r="CT17" i="3"/>
  <c r="CL6" i="3"/>
  <c r="CK6" i="3"/>
  <c r="CR6" i="3" s="1"/>
  <c r="CL18" i="2"/>
  <c r="DE18" i="2" s="1"/>
  <c r="CL37" i="2"/>
  <c r="DE37" i="2" s="1"/>
  <c r="CL28" i="2"/>
  <c r="DE28" i="2" s="1"/>
  <c r="CF32" i="2"/>
  <c r="CL17" i="2"/>
  <c r="DE17" i="2" s="1"/>
  <c r="CL9" i="2"/>
  <c r="DE9" i="2" s="1"/>
  <c r="CF9" i="2"/>
  <c r="DH25" i="2"/>
  <c r="CL26" i="2"/>
  <c r="DE26" i="2" s="1"/>
  <c r="CL25" i="2"/>
  <c r="DE25" i="2" s="1"/>
  <c r="CF8" i="2"/>
  <c r="CL19" i="3"/>
  <c r="CK19" i="3"/>
  <c r="CR19" i="3" s="1"/>
  <c r="DI12" i="2"/>
  <c r="CT21" i="3"/>
  <c r="CM21" i="3"/>
  <c r="CJ18" i="2"/>
  <c r="CK23" i="3"/>
  <c r="CR23" i="3"/>
  <c r="CL23" i="3"/>
  <c r="CT9" i="3"/>
  <c r="CM9" i="3"/>
  <c r="DI7" i="2"/>
  <c r="CL9" i="3"/>
  <c r="CR9" i="3"/>
  <c r="CK9" i="3"/>
  <c r="DH41" i="2"/>
  <c r="CT15" i="3"/>
  <c r="CM15" i="3"/>
  <c r="CF14" i="2"/>
  <c r="CL31" i="3"/>
  <c r="CK31" i="3"/>
  <c r="CR31" i="3"/>
  <c r="DH5" i="2"/>
  <c r="CK50" i="2"/>
  <c r="CF42" i="2"/>
  <c r="CF28" i="2"/>
  <c r="CF5" i="2"/>
  <c r="CX43" i="2"/>
  <c r="CL43" i="2"/>
  <c r="DE43" i="2" s="1"/>
  <c r="CL34" i="2"/>
  <c r="DE34" i="2" s="1"/>
  <c r="DH23" i="2"/>
  <c r="DH14" i="2"/>
  <c r="CL6" i="2"/>
  <c r="DE6" i="2" s="1"/>
  <c r="DI17" i="2"/>
  <c r="CF34" i="2"/>
  <c r="CL30" i="2"/>
  <c r="DE30" i="2" s="1"/>
  <c r="CF35" i="2"/>
  <c r="CF25" i="2"/>
  <c r="DH35" i="2"/>
  <c r="CM12" i="3"/>
  <c r="CT12" i="3"/>
  <c r="DI41" i="2"/>
  <c r="CL22" i="3"/>
  <c r="CK22" i="3"/>
  <c r="CR22" i="3" s="1"/>
  <c r="CK16" i="3"/>
  <c r="CR16" i="3" s="1"/>
  <c r="CL16" i="3"/>
  <c r="CK25" i="3"/>
  <c r="CR25" i="3"/>
  <c r="CL25" i="3"/>
  <c r="CJ12" i="2"/>
  <c r="CJ20" i="2"/>
  <c r="CL33" i="2"/>
  <c r="DE33" i="2" s="1"/>
  <c r="CF10" i="2"/>
  <c r="CM31" i="3"/>
  <c r="CT31" i="3"/>
  <c r="CM20" i="3"/>
  <c r="CT20" i="3"/>
  <c r="DH43" i="2"/>
  <c r="DH28" i="2"/>
  <c r="DH6" i="2"/>
  <c r="CM33" i="3"/>
  <c r="CT33" i="3"/>
  <c r="CL29" i="3"/>
  <c r="CK29" i="3"/>
  <c r="CR29" i="3"/>
  <c r="CR20" i="3"/>
  <c r="CK20" i="3"/>
  <c r="CL20" i="3"/>
  <c r="CK15" i="3"/>
  <c r="CL15" i="3"/>
  <c r="CR15" i="3"/>
  <c r="DH42" i="2"/>
  <c r="CF16" i="2"/>
  <c r="CF44" i="2"/>
  <c r="CF31" i="2"/>
  <c r="DI20" i="2"/>
  <c r="CL41" i="2"/>
  <c r="DE41" i="2" s="1"/>
  <c r="DH37" i="2"/>
  <c r="CL32" i="2"/>
  <c r="DE32" i="2" s="1"/>
  <c r="CL27" i="2"/>
  <c r="DE27" i="2" s="1"/>
  <c r="DH18" i="2"/>
  <c r="CF15" i="2"/>
  <c r="CL12" i="2"/>
  <c r="DE12" i="2" s="1"/>
  <c r="DH7" i="2"/>
  <c r="CJ26" i="2"/>
  <c r="CF39" i="2"/>
  <c r="DH36" i="2"/>
  <c r="CF22" i="2"/>
  <c r="CL13" i="2"/>
  <c r="DE13" i="2" s="1"/>
  <c r="DH19" i="2"/>
  <c r="CL36" i="2"/>
  <c r="DE36" i="2" s="1"/>
  <c r="DH22" i="2"/>
  <c r="CF11" i="2"/>
  <c r="CL19" i="2"/>
  <c r="DE19" i="2" s="1"/>
  <c r="CL17" i="3"/>
  <c r="CK17" i="3"/>
  <c r="CR17" i="3"/>
  <c r="DI11" i="2"/>
  <c r="CM11" i="3"/>
  <c r="CT11" i="3"/>
  <c r="CL44" i="2"/>
  <c r="DE44" i="2" s="1"/>
  <c r="CX44" i="2"/>
  <c r="CF24" i="2"/>
  <c r="CL7" i="2"/>
  <c r="DE7" i="2" s="1"/>
  <c r="CR11" i="3"/>
  <c r="CL11" i="3"/>
  <c r="CK11" i="3"/>
  <c r="CJ17" i="2"/>
  <c r="CF40" i="2"/>
  <c r="CL24" i="2"/>
  <c r="DE24" i="2" s="1"/>
  <c r="CL20" i="2"/>
  <c r="DE20" i="2" s="1"/>
  <c r="CM24" i="3"/>
  <c r="CT24" i="3"/>
  <c r="CT19" i="3"/>
  <c r="CM19" i="3"/>
  <c r="CL14" i="3"/>
  <c r="CK14" i="3"/>
  <c r="CR14" i="3" s="1"/>
  <c r="CX40" i="2"/>
  <c r="CL40" i="2"/>
  <c r="DE40" i="2" s="1"/>
  <c r="CL14" i="2"/>
  <c r="DE14" i="2" s="1"/>
  <c r="CF43" i="2"/>
  <c r="DH40" i="2"/>
  <c r="DH34" i="2"/>
  <c r="DH29" i="2"/>
  <c r="DH24" i="2"/>
  <c r="DH17" i="2"/>
  <c r="CL15" i="2"/>
  <c r="DE15" i="2" s="1"/>
  <c r="DH10" i="2"/>
  <c r="CF6" i="2"/>
  <c r="CF29" i="2"/>
  <c r="CF23" i="2"/>
  <c r="CH50" i="2"/>
  <c r="CF30" i="2"/>
  <c r="CL22" i="2"/>
  <c r="DE22" i="2" s="1"/>
  <c r="DH11" i="2"/>
  <c r="CF26" i="2"/>
  <c r="DH30" i="2"/>
  <c r="CF21" i="2"/>
  <c r="CL11" i="2"/>
  <c r="DE11" i="2" s="1"/>
  <c r="DH26" i="2"/>
  <c r="E18" i="5"/>
  <c r="G18" i="5"/>
  <c r="H18" i="5" s="1"/>
  <c r="E15" i="6" s="1"/>
  <c r="J18" i="5"/>
  <c r="G15" i="6" s="1"/>
  <c r="J28" i="5"/>
  <c r="G25" i="6" s="1"/>
  <c r="G28" i="5"/>
  <c r="H28" i="5" s="1"/>
  <c r="E25" i="6" s="1"/>
  <c r="G12" i="5"/>
  <c r="H12" i="5" s="1"/>
  <c r="E9" i="6" s="1"/>
  <c r="E12" i="5"/>
  <c r="E45" i="5"/>
  <c r="E37" i="5"/>
  <c r="G21" i="5"/>
  <c r="H21" i="5" s="1"/>
  <c r="E18" i="6" s="1"/>
  <c r="E52" i="4"/>
  <c r="G5" i="5"/>
  <c r="H5" i="5" s="1"/>
  <c r="E2" i="6" s="1"/>
  <c r="E46" i="4"/>
  <c r="E5" i="5"/>
  <c r="E45" i="4"/>
  <c r="J5" i="5"/>
  <c r="G2" i="6" s="1"/>
  <c r="D14" i="5"/>
  <c r="C11" i="6" s="1"/>
  <c r="E28" i="5"/>
  <c r="G37" i="5"/>
  <c r="H37" i="5" s="1"/>
  <c r="E34" i="6" s="1"/>
  <c r="E77" i="4"/>
  <c r="G29" i="5"/>
  <c r="H29" i="5" s="1"/>
  <c r="E26" i="6" s="1"/>
  <c r="G46" i="5"/>
  <c r="H46" i="5" s="1"/>
  <c r="E46" i="5"/>
  <c r="J14" i="5"/>
  <c r="G11" i="6" s="1"/>
  <c r="E40" i="5"/>
  <c r="J40" i="5"/>
  <c r="G37" i="6" s="1"/>
  <c r="J24" i="5"/>
  <c r="G21" i="6" s="1"/>
  <c r="E24" i="5"/>
  <c r="E43" i="5"/>
  <c r="G43" i="5"/>
  <c r="H43" i="5" s="1"/>
  <c r="E40" i="6" s="1"/>
  <c r="E21" i="5"/>
  <c r="G11" i="5"/>
  <c r="H11" i="5" s="1"/>
  <c r="E8" i="6" s="1"/>
  <c r="J11" i="5"/>
  <c r="G8" i="6" s="1"/>
  <c r="E27" i="5"/>
  <c r="E19" i="5"/>
  <c r="M57" i="4"/>
  <c r="B16" i="7" s="1"/>
  <c r="K57" i="4"/>
  <c r="N57" i="4" s="1"/>
  <c r="C16" i="7" s="1"/>
  <c r="K48" i="4" l="1"/>
  <c r="N48" i="4" s="1"/>
  <c r="C7" i="7" s="1"/>
  <c r="J34" i="5"/>
  <c r="G31" i="6" s="1"/>
  <c r="K56" i="4"/>
  <c r="N56" i="4" s="1"/>
  <c r="C15" i="7" s="1"/>
  <c r="E13" i="5"/>
  <c r="K52" i="4"/>
  <c r="N52" i="4" s="1"/>
  <c r="C11" i="7" s="1"/>
  <c r="J27" i="5"/>
  <c r="G24" i="6" s="1"/>
  <c r="E80" i="4"/>
  <c r="DF22" i="2"/>
  <c r="E54" i="4"/>
  <c r="CS16" i="3"/>
  <c r="G34" i="5"/>
  <c r="H34" i="5" s="1"/>
  <c r="E31" i="6" s="1"/>
  <c r="F13" i="5"/>
  <c r="E51" i="4"/>
  <c r="G45" i="5"/>
  <c r="H45" i="5" s="1"/>
  <c r="E42" i="6" s="1"/>
  <c r="K60" i="4"/>
  <c r="N60" i="4" s="1"/>
  <c r="C19" i="7" s="1"/>
  <c r="O48" i="4"/>
  <c r="D7" i="7" s="1"/>
  <c r="G14" i="5"/>
  <c r="H14" i="5" s="1"/>
  <c r="E11" i="6" s="1"/>
  <c r="F14" i="5"/>
  <c r="E57" i="4"/>
  <c r="M56" i="4"/>
  <c r="B15" i="7" s="1"/>
  <c r="M47" i="4"/>
  <c r="B6" i="7" s="1"/>
  <c r="M53" i="4"/>
  <c r="B12" i="7" s="1"/>
  <c r="K53" i="4"/>
  <c r="N53" i="4" s="1"/>
  <c r="C12" i="7" s="1"/>
  <c r="M52" i="4"/>
  <c r="B11" i="7" s="1"/>
  <c r="O50" i="4"/>
  <c r="D9" i="7" s="1"/>
  <c r="K50" i="4"/>
  <c r="N50" i="4" s="1"/>
  <c r="C9" i="7" s="1"/>
  <c r="L83" i="4"/>
  <c r="H82" i="4"/>
  <c r="M51" i="4"/>
  <c r="B10" i="7" s="1"/>
  <c r="O51" i="4"/>
  <c r="D10" i="7" s="1"/>
  <c r="K51" i="4"/>
  <c r="N51" i="4" s="1"/>
  <c r="C10" i="7" s="1"/>
  <c r="P67" i="1"/>
  <c r="AB65" i="1"/>
  <c r="O49" i="4"/>
  <c r="D8" i="7" s="1"/>
  <c r="K49" i="4"/>
  <c r="N49" i="4" s="1"/>
  <c r="C8" i="7" s="1"/>
  <c r="O67" i="1"/>
  <c r="AA65" i="1"/>
  <c r="G51" i="2"/>
  <c r="G52" i="2" s="1"/>
  <c r="O51" i="2"/>
  <c r="O52" i="2" s="1"/>
  <c r="W51" i="2"/>
  <c r="W52" i="2" s="1"/>
  <c r="AE51" i="2"/>
  <c r="AE52" i="2" s="1"/>
  <c r="AM51" i="2"/>
  <c r="AM52" i="2" s="1"/>
  <c r="AU51" i="2"/>
  <c r="AU52" i="2" s="1"/>
  <c r="BC51" i="2"/>
  <c r="BC52" i="2" s="1"/>
  <c r="N51" i="2"/>
  <c r="N52" i="2" s="1"/>
  <c r="AD51" i="2"/>
  <c r="AD52" i="2" s="1"/>
  <c r="AT51" i="2"/>
  <c r="AT52" i="2" s="1"/>
  <c r="H51" i="2"/>
  <c r="H52" i="2" s="1"/>
  <c r="X51" i="2"/>
  <c r="X52" i="2" s="1"/>
  <c r="AN51" i="2"/>
  <c r="AN52" i="2" s="1"/>
  <c r="BD51" i="2"/>
  <c r="BD52" i="2" s="1"/>
  <c r="E51" i="2"/>
  <c r="E52" i="2" s="1"/>
  <c r="Q51" i="2"/>
  <c r="Q52" i="2" s="1"/>
  <c r="AA51" i="2"/>
  <c r="AA52" i="2" s="1"/>
  <c r="AK51" i="2"/>
  <c r="AK52" i="2" s="1"/>
  <c r="AW51" i="2"/>
  <c r="AW52" i="2" s="1"/>
  <c r="F51" i="2"/>
  <c r="F52" i="2" s="1"/>
  <c r="Z51" i="2"/>
  <c r="Z52" i="2" s="1"/>
  <c r="AX51" i="2"/>
  <c r="AX52" i="2" s="1"/>
  <c r="P51" i="2"/>
  <c r="P52" i="2" s="1"/>
  <c r="AJ51" i="2"/>
  <c r="AJ52" i="2" s="1"/>
  <c r="D51" i="2"/>
  <c r="M51" i="2"/>
  <c r="M52" i="2" s="1"/>
  <c r="Y51" i="2"/>
  <c r="Y52" i="2" s="1"/>
  <c r="AI51" i="2"/>
  <c r="AI52" i="2" s="1"/>
  <c r="AS51" i="2"/>
  <c r="AS52" i="2" s="1"/>
  <c r="BE51" i="2"/>
  <c r="BE52" i="2" s="1"/>
  <c r="V51" i="2"/>
  <c r="V52" i="2" s="1"/>
  <c r="AP51" i="2"/>
  <c r="AP52" i="2" s="1"/>
  <c r="L51" i="2"/>
  <c r="L52" i="2" s="1"/>
  <c r="AF51" i="2"/>
  <c r="AF52" i="2" s="1"/>
  <c r="AZ51" i="2"/>
  <c r="AZ52" i="2" s="1"/>
  <c r="K51" i="2"/>
  <c r="K52" i="2" s="1"/>
  <c r="AG51" i="2"/>
  <c r="AG52" i="2" s="1"/>
  <c r="BA51" i="2"/>
  <c r="BA52" i="2" s="1"/>
  <c r="AL51" i="2"/>
  <c r="AL52" i="2" s="1"/>
  <c r="AB51" i="2"/>
  <c r="AB52" i="2" s="1"/>
  <c r="I51" i="2"/>
  <c r="I52" i="2" s="1"/>
  <c r="AO51" i="2"/>
  <c r="AO52" i="2" s="1"/>
  <c r="R51" i="2"/>
  <c r="R52" i="2" s="1"/>
  <c r="T51" i="2"/>
  <c r="T52" i="2" s="1"/>
  <c r="U51" i="2"/>
  <c r="U52" i="2" s="1"/>
  <c r="AY51" i="2"/>
  <c r="AY52" i="2" s="1"/>
  <c r="BB51" i="2"/>
  <c r="BB52" i="2" s="1"/>
  <c r="AV51" i="2"/>
  <c r="AV52" i="2" s="1"/>
  <c r="S51" i="2"/>
  <c r="S52" i="2" s="1"/>
  <c r="AH51" i="2"/>
  <c r="AH52" i="2" s="1"/>
  <c r="AQ51" i="2"/>
  <c r="AQ52" i="2" s="1"/>
  <c r="AR51" i="2"/>
  <c r="AR52" i="2" s="1"/>
  <c r="J51" i="2"/>
  <c r="J52" i="2" s="1"/>
  <c r="AC51" i="2"/>
  <c r="AC52" i="2" s="1"/>
  <c r="BF51" i="2"/>
  <c r="BF52" i="2" s="1"/>
  <c r="M81" i="4"/>
  <c r="B40" i="7" s="1"/>
  <c r="K81" i="4"/>
  <c r="N81" i="4" s="1"/>
  <c r="C40" i="7" s="1"/>
  <c r="O81" i="4"/>
  <c r="D40" i="7" s="1"/>
  <c r="CS19" i="3"/>
  <c r="CS32" i="3"/>
  <c r="CS34" i="3"/>
  <c r="CS7" i="3"/>
  <c r="CS26" i="3"/>
  <c r="CS21" i="3"/>
  <c r="CS8" i="3"/>
  <c r="CS27" i="3"/>
  <c r="DF20" i="2"/>
  <c r="DF36" i="2"/>
  <c r="DF12" i="2"/>
  <c r="DF32" i="2"/>
  <c r="CS15" i="3"/>
  <c r="B14" i="10" s="1"/>
  <c r="CS22" i="3"/>
  <c r="DF6" i="2"/>
  <c r="DF43" i="2"/>
  <c r="CS31" i="3"/>
  <c r="CS9" i="3"/>
  <c r="DF25" i="2"/>
  <c r="DF9" i="2"/>
  <c r="DF37" i="2"/>
  <c r="DF38" i="2"/>
  <c r="DF16" i="2"/>
  <c r="CS10" i="3"/>
  <c r="DF8" i="2"/>
  <c r="DF21" i="2"/>
  <c r="CS14" i="3"/>
  <c r="DF24" i="2"/>
  <c r="DF19" i="2"/>
  <c r="CS20" i="3"/>
  <c r="DF30" i="2"/>
  <c r="DF26" i="2"/>
  <c r="DF17" i="2"/>
  <c r="DF18" i="2"/>
  <c r="CS12" i="3"/>
  <c r="DF10" i="2"/>
  <c r="CS18" i="3"/>
  <c r="CS24" i="3"/>
  <c r="CS28" i="3"/>
  <c r="DF5" i="2"/>
  <c r="DF42" i="2"/>
  <c r="DF23" i="2"/>
  <c r="CS33" i="3"/>
  <c r="DF39" i="2"/>
  <c r="E63" i="4"/>
  <c r="DF14" i="2"/>
  <c r="CS11" i="3"/>
  <c r="DF44" i="2"/>
  <c r="CS17" i="3"/>
  <c r="DF13" i="2"/>
  <c r="DF41" i="2"/>
  <c r="CS29" i="3"/>
  <c r="CS23" i="3"/>
  <c r="CS6" i="3"/>
  <c r="DF31" i="2"/>
  <c r="CS13" i="3"/>
  <c r="CS30" i="3"/>
  <c r="DF11" i="2"/>
  <c r="DF15" i="2"/>
  <c r="DF40" i="2"/>
  <c r="DF7" i="2"/>
  <c r="I49" i="9" s="1"/>
  <c r="DF27" i="2"/>
  <c r="DF33" i="2"/>
  <c r="CS25" i="3"/>
  <c r="DF34" i="2"/>
  <c r="DF28" i="2"/>
  <c r="CS5" i="3"/>
  <c r="DF35" i="2"/>
  <c r="DF29" i="2"/>
  <c r="E76" i="4"/>
  <c r="E44" i="5"/>
  <c r="G44" i="5"/>
  <c r="H44" i="5" s="1"/>
  <c r="E41" i="6" s="1"/>
  <c r="J29" i="5"/>
  <c r="G26" i="6" s="1"/>
  <c r="E29" i="5"/>
  <c r="E42" i="5"/>
  <c r="J42" i="5"/>
  <c r="G39" i="6" s="1"/>
  <c r="G42" i="5"/>
  <c r="H42" i="5" s="1"/>
  <c r="E39" i="6" s="1"/>
  <c r="G38" i="5"/>
  <c r="H38" i="5" s="1"/>
  <c r="E35" i="6" s="1"/>
  <c r="J38" i="5"/>
  <c r="G35" i="6" s="1"/>
  <c r="E38" i="5"/>
  <c r="E48" i="4"/>
  <c r="E72" i="4"/>
  <c r="E69" i="4"/>
  <c r="E79" i="4"/>
  <c r="G8" i="5"/>
  <c r="H8" i="5" s="1"/>
  <c r="E5" i="6" s="1"/>
  <c r="E64" i="4"/>
  <c r="E58" i="4"/>
  <c r="E70" i="4"/>
  <c r="E66" i="4"/>
  <c r="E56" i="4"/>
  <c r="E78" i="4"/>
  <c r="E47" i="4"/>
  <c r="CH52" i="2"/>
  <c r="G19" i="5"/>
  <c r="H19" i="5" s="1"/>
  <c r="E16" i="6" s="1"/>
  <c r="J19" i="5"/>
  <c r="G16" i="6" s="1"/>
  <c r="G10" i="5"/>
  <c r="H10" i="5" s="1"/>
  <c r="E7" i="6" s="1"/>
  <c r="E10" i="5"/>
  <c r="J10" i="5"/>
  <c r="G7" i="6" s="1"/>
  <c r="E33" i="5"/>
  <c r="J33" i="5"/>
  <c r="G30" i="6" s="1"/>
  <c r="G33" i="5"/>
  <c r="H33" i="5" s="1"/>
  <c r="E30" i="6" s="1"/>
  <c r="E6" i="5"/>
  <c r="E67" i="4"/>
  <c r="J6" i="5"/>
  <c r="G3" i="6" s="1"/>
  <c r="G6" i="5"/>
  <c r="H6" i="5" s="1"/>
  <c r="E3" i="6" s="1"/>
  <c r="J23" i="5"/>
  <c r="G20" i="6" s="1"/>
  <c r="G23" i="5"/>
  <c r="H23" i="5" s="1"/>
  <c r="E20" i="6" s="1"/>
  <c r="E23" i="5"/>
  <c r="J20" i="5"/>
  <c r="G17" i="6" s="1"/>
  <c r="G20" i="5"/>
  <c r="H20" i="5" s="1"/>
  <c r="E17" i="6" s="1"/>
  <c r="E20" i="5"/>
  <c r="G17" i="5"/>
  <c r="H17" i="5" s="1"/>
  <c r="E14" i="6" s="1"/>
  <c r="J17" i="5"/>
  <c r="G14" i="6" s="1"/>
  <c r="E17" i="5"/>
  <c r="G16" i="5"/>
  <c r="H16" i="5" s="1"/>
  <c r="E13" i="6" s="1"/>
  <c r="E16" i="5"/>
  <c r="J16" i="5"/>
  <c r="G13" i="6" s="1"/>
  <c r="J39" i="5"/>
  <c r="G36" i="6" s="1"/>
  <c r="G39" i="5"/>
  <c r="H39" i="5" s="1"/>
  <c r="E36" i="6" s="1"/>
  <c r="E39" i="5"/>
  <c r="G7" i="5"/>
  <c r="H7" i="5" s="1"/>
  <c r="E4" i="6" s="1"/>
  <c r="J7" i="5"/>
  <c r="G4" i="6" s="1"/>
  <c r="E7" i="5"/>
  <c r="E62" i="4"/>
  <c r="E55" i="4"/>
  <c r="E59" i="4"/>
  <c r="E61" i="4"/>
  <c r="E65" i="4"/>
  <c r="G26" i="5"/>
  <c r="H26" i="5" s="1"/>
  <c r="E23" i="6" s="1"/>
  <c r="E26" i="5"/>
  <c r="J26" i="5"/>
  <c r="G23" i="6" s="1"/>
  <c r="J41" i="5"/>
  <c r="G38" i="6" s="1"/>
  <c r="G41" i="5"/>
  <c r="H41" i="5" s="1"/>
  <c r="E38" i="6" s="1"/>
  <c r="E41" i="5"/>
  <c r="G9" i="5"/>
  <c r="H9" i="5" s="1"/>
  <c r="E6" i="6" s="1"/>
  <c r="E9" i="5"/>
  <c r="J9" i="5"/>
  <c r="G6" i="6" s="1"/>
  <c r="J22" i="5"/>
  <c r="G19" i="6" s="1"/>
  <c r="E22" i="5"/>
  <c r="G22" i="5"/>
  <c r="H22" i="5" s="1"/>
  <c r="E19" i="6" s="1"/>
  <c r="J31" i="5"/>
  <c r="G28" i="6" s="1"/>
  <c r="G31" i="5"/>
  <c r="H31" i="5" s="1"/>
  <c r="E28" i="6" s="1"/>
  <c r="E31" i="5"/>
  <c r="E50" i="4"/>
  <c r="E8" i="5"/>
  <c r="F8" i="5" s="1"/>
  <c r="E49" i="4"/>
  <c r="E71" i="4"/>
  <c r="E60" i="4"/>
  <c r="E74" i="4"/>
  <c r="E73" i="4"/>
  <c r="E75" i="4"/>
  <c r="E68" i="4"/>
  <c r="J35" i="5"/>
  <c r="G32" i="6" s="1"/>
  <c r="G35" i="5"/>
  <c r="H35" i="5" s="1"/>
  <c r="E32" i="6" s="1"/>
  <c r="E35" i="5"/>
  <c r="G30" i="5"/>
  <c r="H30" i="5" s="1"/>
  <c r="E27" i="6" s="1"/>
  <c r="J30" i="5"/>
  <c r="G27" i="6" s="1"/>
  <c r="E30" i="5"/>
  <c r="E36" i="5"/>
  <c r="G36" i="5"/>
  <c r="H36" i="5" s="1"/>
  <c r="E33" i="6" s="1"/>
  <c r="J36" i="5"/>
  <c r="G33" i="6" s="1"/>
  <c r="J25" i="5"/>
  <c r="G22" i="6" s="1"/>
  <c r="G25" i="5"/>
  <c r="H25" i="5" s="1"/>
  <c r="E22" i="6" s="1"/>
  <c r="E25" i="5"/>
  <c r="J32" i="5"/>
  <c r="G29" i="6" s="1"/>
  <c r="G32" i="5"/>
  <c r="H32" i="5" s="1"/>
  <c r="E29" i="6" s="1"/>
  <c r="E32" i="5"/>
  <c r="G15" i="5"/>
  <c r="H15" i="5" s="1"/>
  <c r="E12" i="6" s="1"/>
  <c r="J15" i="5"/>
  <c r="G12" i="6" s="1"/>
  <c r="E15" i="5"/>
  <c r="D27" i="5"/>
  <c r="C24" i="6" s="1"/>
  <c r="F27" i="5"/>
  <c r="I27" i="5"/>
  <c r="F24" i="6" s="1"/>
  <c r="I46" i="5"/>
  <c r="F46" i="5"/>
  <c r="D46" i="5"/>
  <c r="B9" i="10"/>
  <c r="B43" i="10"/>
  <c r="B19" i="10"/>
  <c r="B6" i="10"/>
  <c r="B34" i="10"/>
  <c r="B50" i="10"/>
  <c r="CE39" i="3"/>
  <c r="CH39" i="3" a="1"/>
  <c r="CH39" i="3" s="1"/>
  <c r="CG39" i="3"/>
  <c r="I28" i="5"/>
  <c r="F25" i="6" s="1"/>
  <c r="F28" i="5"/>
  <c r="D28" i="5"/>
  <c r="C25" i="6" s="1"/>
  <c r="F19" i="5"/>
  <c r="D19" i="5"/>
  <c r="C16" i="6" s="1"/>
  <c r="I19" i="5"/>
  <c r="F16" i="6" s="1"/>
  <c r="I11" i="5"/>
  <c r="F8" i="6" s="1"/>
  <c r="D11" i="5"/>
  <c r="C8" i="6" s="1"/>
  <c r="F11" i="5"/>
  <c r="D24" i="5"/>
  <c r="C21" i="6" s="1"/>
  <c r="I24" i="5"/>
  <c r="F21" i="6" s="1"/>
  <c r="F24" i="5"/>
  <c r="D40" i="5"/>
  <c r="C37" i="6" s="1"/>
  <c r="I40" i="5"/>
  <c r="F37" i="6" s="1"/>
  <c r="F40" i="5"/>
  <c r="D5" i="5"/>
  <c r="C2" i="6" s="1"/>
  <c r="I5" i="5"/>
  <c r="F2" i="6" s="1"/>
  <c r="F5" i="5"/>
  <c r="F37" i="5"/>
  <c r="I37" i="5"/>
  <c r="F34" i="6" s="1"/>
  <c r="D37" i="5"/>
  <c r="C34" i="6" s="1"/>
  <c r="I12" i="5"/>
  <c r="F9" i="6" s="1"/>
  <c r="F12" i="5"/>
  <c r="D12" i="5"/>
  <c r="C9" i="6" s="1"/>
  <c r="F18" i="5"/>
  <c r="I18" i="5"/>
  <c r="F15" i="6" s="1"/>
  <c r="D18" i="5"/>
  <c r="C15" i="6" s="1"/>
  <c r="F21" i="5"/>
  <c r="I21" i="5"/>
  <c r="F18" i="6" s="1"/>
  <c r="D21" i="5"/>
  <c r="C18" i="6" s="1"/>
  <c r="D10" i="6"/>
  <c r="I43" i="5"/>
  <c r="F40" i="6" s="1"/>
  <c r="F43" i="5"/>
  <c r="D43" i="5"/>
  <c r="C40" i="6" s="1"/>
  <c r="C14" i="5"/>
  <c r="D11" i="6"/>
  <c r="I45" i="5"/>
  <c r="F42" i="6" s="1"/>
  <c r="F45" i="5"/>
  <c r="D45" i="5"/>
  <c r="C42" i="6" s="1"/>
  <c r="I34" i="5"/>
  <c r="F31" i="6" s="1"/>
  <c r="D34" i="5"/>
  <c r="C31" i="6" s="1"/>
  <c r="F34" i="5"/>
  <c r="I6" i="9"/>
  <c r="I48" i="9"/>
  <c r="I7" i="9"/>
  <c r="I25" i="9"/>
  <c r="I60" i="9"/>
  <c r="I56" i="9"/>
  <c r="CF41" i="3"/>
  <c r="CG41" i="3" s="1"/>
  <c r="C13" i="5" l="1"/>
  <c r="F53" i="4" s="1"/>
  <c r="D13" i="5"/>
  <c r="C10" i="6" s="1"/>
  <c r="I13" i="5"/>
  <c r="F10" i="6" s="1"/>
  <c r="I8" i="9"/>
  <c r="I34" i="9"/>
  <c r="I59" i="9"/>
  <c r="I30" i="9"/>
  <c r="B33" i="10"/>
  <c r="B32" i="10"/>
  <c r="B44" i="10"/>
  <c r="I52" i="9"/>
  <c r="B2" i="10"/>
  <c r="I3" i="9"/>
  <c r="I5" i="9"/>
  <c r="I29" i="9"/>
  <c r="B4" i="10"/>
  <c r="B37" i="10"/>
  <c r="B8" i="10"/>
  <c r="I2" i="9"/>
  <c r="I4" i="9"/>
  <c r="I46" i="9"/>
  <c r="B22" i="10"/>
  <c r="D22" i="10" s="1" a="1"/>
  <c r="B30" i="10"/>
  <c r="I50" i="9"/>
  <c r="I51" i="9"/>
  <c r="I21" i="9"/>
  <c r="F21" i="9" s="1"/>
  <c r="I57" i="9"/>
  <c r="I45" i="9"/>
  <c r="B26" i="10"/>
  <c r="B7" i="10"/>
  <c r="C7" i="10" s="1"/>
  <c r="B5" i="10"/>
  <c r="B45" i="10"/>
  <c r="B11" i="10"/>
  <c r="I18" i="9"/>
  <c r="G18" i="9" s="1"/>
  <c r="I43" i="9"/>
  <c r="I16" i="9"/>
  <c r="D16" i="9" s="1"/>
  <c r="B16" i="10"/>
  <c r="B36" i="10"/>
  <c r="D36" i="10" s="1" a="1"/>
  <c r="B20" i="10"/>
  <c r="B29" i="10"/>
  <c r="B12" i="10"/>
  <c r="B41" i="10"/>
  <c r="C41" i="10" s="1"/>
  <c r="B24" i="10"/>
  <c r="I27" i="9"/>
  <c r="I55" i="9"/>
  <c r="I15" i="9"/>
  <c r="B15" i="9" s="1"/>
  <c r="I26" i="9"/>
  <c r="I31" i="9"/>
  <c r="I39" i="9"/>
  <c r="I20" i="9"/>
  <c r="H20" i="9" s="1"/>
  <c r="B3" i="10"/>
  <c r="B38" i="10"/>
  <c r="B18" i="10"/>
  <c r="B28" i="10"/>
  <c r="C28" i="10" s="1"/>
  <c r="B40" i="10"/>
  <c r="I24" i="9"/>
  <c r="C24" i="9" s="1"/>
  <c r="I54" i="9"/>
  <c r="I22" i="9"/>
  <c r="F22" i="9" s="1"/>
  <c r="I10" i="9"/>
  <c r="I53" i="9"/>
  <c r="E53" i="9" s="1"/>
  <c r="I44" i="9"/>
  <c r="I19" i="9"/>
  <c r="H19" i="9" s="1"/>
  <c r="I42" i="9"/>
  <c r="I23" i="9"/>
  <c r="D23" i="9" s="1"/>
  <c r="I13" i="9"/>
  <c r="I17" i="9"/>
  <c r="H17" i="9" s="1"/>
  <c r="I36" i="9"/>
  <c r="B15" i="10"/>
  <c r="B27" i="10"/>
  <c r="B49" i="10"/>
  <c r="C49" i="10" s="1"/>
  <c r="B47" i="10"/>
  <c r="B31" i="10"/>
  <c r="I47" i="9"/>
  <c r="I28" i="9"/>
  <c r="F28" i="9" s="1"/>
  <c r="I37" i="9"/>
  <c r="I41" i="9"/>
  <c r="I35" i="9"/>
  <c r="I40" i="9"/>
  <c r="D40" i="9" s="1"/>
  <c r="I38" i="9"/>
  <c r="I12" i="9"/>
  <c r="I9" i="9"/>
  <c r="I58" i="9"/>
  <c r="H58" i="9" s="1"/>
  <c r="I32" i="9"/>
  <c r="I11" i="9"/>
  <c r="B11" i="9" s="1"/>
  <c r="I14" i="9"/>
  <c r="I33" i="9"/>
  <c r="F33" i="9" s="1"/>
  <c r="B39" i="10"/>
  <c r="B21" i="10"/>
  <c r="C21" i="10" s="1"/>
  <c r="B48" i="10"/>
  <c r="B10" i="10"/>
  <c r="C10" i="10" s="1"/>
  <c r="B17" i="10"/>
  <c r="B35" i="10"/>
  <c r="D35" i="10" s="1" a="1"/>
  <c r="B46" i="10"/>
  <c r="B51" i="10"/>
  <c r="D51" i="10" s="1" a="1"/>
  <c r="B13" i="10"/>
  <c r="B42" i="10"/>
  <c r="D42" i="10" s="1" a="1"/>
  <c r="B23" i="10"/>
  <c r="B25" i="10"/>
  <c r="D25" i="10" s="1" a="1"/>
  <c r="H83" i="4"/>
  <c r="L84" i="4"/>
  <c r="CO51" i="2"/>
  <c r="CE51" i="2"/>
  <c r="D52" i="2"/>
  <c r="M82" i="4"/>
  <c r="K82" i="4"/>
  <c r="N82" i="4" s="1"/>
  <c r="O82" i="4"/>
  <c r="F44" i="5"/>
  <c r="I44" i="5"/>
  <c r="F41" i="6" s="1"/>
  <c r="D44" i="5"/>
  <c r="C41" i="6" s="1"/>
  <c r="I29" i="5"/>
  <c r="F26" i="6" s="1"/>
  <c r="D29" i="5"/>
  <c r="C26" i="6" s="1"/>
  <c r="F29" i="5"/>
  <c r="F10" i="5"/>
  <c r="D10" i="5"/>
  <c r="C7" i="6" s="1"/>
  <c r="I10" i="5"/>
  <c r="F7" i="6" s="1"/>
  <c r="D9" i="5"/>
  <c r="C6" i="6" s="1"/>
  <c r="I9" i="5"/>
  <c r="F6" i="6" s="1"/>
  <c r="F9" i="5"/>
  <c r="F16" i="5"/>
  <c r="I16" i="5"/>
  <c r="F13" i="6" s="1"/>
  <c r="D16" i="5"/>
  <c r="C13" i="6" s="1"/>
  <c r="F23" i="5"/>
  <c r="D23" i="5"/>
  <c r="C20" i="6" s="1"/>
  <c r="I23" i="5"/>
  <c r="F20" i="6" s="1"/>
  <c r="D39" i="5"/>
  <c r="C36" i="6" s="1"/>
  <c r="I39" i="5"/>
  <c r="F36" i="6" s="1"/>
  <c r="F39" i="5"/>
  <c r="D8" i="5"/>
  <c r="C5" i="6" s="1"/>
  <c r="D32" i="5"/>
  <c r="C29" i="6" s="1"/>
  <c r="I32" i="5"/>
  <c r="F29" i="6" s="1"/>
  <c r="F32" i="5"/>
  <c r="I36" i="5"/>
  <c r="F33" i="6" s="1"/>
  <c r="F36" i="5"/>
  <c r="D36" i="5"/>
  <c r="C33" i="6" s="1"/>
  <c r="I35" i="5"/>
  <c r="F32" i="6" s="1"/>
  <c r="D35" i="5"/>
  <c r="C32" i="6" s="1"/>
  <c r="F35" i="5"/>
  <c r="I31" i="5"/>
  <c r="F28" i="6" s="1"/>
  <c r="D31" i="5"/>
  <c r="C28" i="6" s="1"/>
  <c r="F31" i="5"/>
  <c r="D22" i="5"/>
  <c r="C19" i="6" s="1"/>
  <c r="I22" i="5"/>
  <c r="F19" i="6" s="1"/>
  <c r="F22" i="5"/>
  <c r="I7" i="5"/>
  <c r="F4" i="6" s="1"/>
  <c r="D7" i="5"/>
  <c r="C4" i="6" s="1"/>
  <c r="F7" i="5"/>
  <c r="I20" i="5"/>
  <c r="F17" i="6" s="1"/>
  <c r="D20" i="5"/>
  <c r="C17" i="6" s="1"/>
  <c r="F20" i="5"/>
  <c r="D33" i="5"/>
  <c r="C30" i="6" s="1"/>
  <c r="F33" i="5"/>
  <c r="I33" i="5"/>
  <c r="F30" i="6" s="1"/>
  <c r="F38" i="5"/>
  <c r="I38" i="5"/>
  <c r="F35" i="6" s="1"/>
  <c r="D38" i="5"/>
  <c r="C35" i="6" s="1"/>
  <c r="I8" i="5"/>
  <c r="F5" i="6" s="1"/>
  <c r="I25" i="5"/>
  <c r="F22" i="6" s="1"/>
  <c r="D25" i="5"/>
  <c r="C22" i="6" s="1"/>
  <c r="F25" i="5"/>
  <c r="C46" i="5"/>
  <c r="K46" i="5" s="1"/>
  <c r="L46" i="5" s="1"/>
  <c r="M46" i="5" s="1"/>
  <c r="F15" i="5"/>
  <c r="D15" i="5"/>
  <c r="C12" i="6" s="1"/>
  <c r="I15" i="5"/>
  <c r="F12" i="6" s="1"/>
  <c r="F30" i="5"/>
  <c r="D30" i="5"/>
  <c r="C27" i="6" s="1"/>
  <c r="I30" i="5"/>
  <c r="F27" i="6" s="1"/>
  <c r="D41" i="5"/>
  <c r="C38" i="6" s="1"/>
  <c r="F41" i="5"/>
  <c r="I41" i="5"/>
  <c r="F38" i="6" s="1"/>
  <c r="F26" i="5"/>
  <c r="D26" i="5"/>
  <c r="C23" i="6" s="1"/>
  <c r="I26" i="5"/>
  <c r="F23" i="6" s="1"/>
  <c r="F17" i="5"/>
  <c r="D17" i="5"/>
  <c r="C14" i="6" s="1"/>
  <c r="I17" i="5"/>
  <c r="F14" i="6" s="1"/>
  <c r="D6" i="5"/>
  <c r="C3" i="6" s="1"/>
  <c r="I6" i="5"/>
  <c r="F3" i="6" s="1"/>
  <c r="F6" i="5"/>
  <c r="I42" i="5"/>
  <c r="F39" i="6" s="1"/>
  <c r="F42" i="5"/>
  <c r="D42" i="5"/>
  <c r="C39" i="6" s="1"/>
  <c r="B28" i="9"/>
  <c r="D28" i="9"/>
  <c r="E40" i="9"/>
  <c r="B40" i="9"/>
  <c r="G24" i="9"/>
  <c r="E24" i="9"/>
  <c r="F54" i="9"/>
  <c r="D54" i="9"/>
  <c r="B54" i="9"/>
  <c r="H54" i="9"/>
  <c r="E54" i="9"/>
  <c r="C54" i="9"/>
  <c r="G54" i="9"/>
  <c r="H18" i="9"/>
  <c r="C18" i="9"/>
  <c r="H22" i="9"/>
  <c r="D22" i="9"/>
  <c r="F10" i="9"/>
  <c r="H10" i="9"/>
  <c r="D10" i="9"/>
  <c r="C10" i="9"/>
  <c r="E10" i="9"/>
  <c r="B10" i="9"/>
  <c r="G10" i="9"/>
  <c r="D53" i="9"/>
  <c r="B53" i="9"/>
  <c r="D43" i="9"/>
  <c r="B43" i="9"/>
  <c r="F43" i="9"/>
  <c r="G43" i="9"/>
  <c r="C43" i="9"/>
  <c r="H43" i="9"/>
  <c r="E43" i="9"/>
  <c r="D44" i="9"/>
  <c r="G44" i="9"/>
  <c r="C44" i="9"/>
  <c r="E44" i="9"/>
  <c r="H44" i="9"/>
  <c r="F44" i="9"/>
  <c r="B44" i="9"/>
  <c r="G19" i="9"/>
  <c r="E19" i="9"/>
  <c r="D42" i="9"/>
  <c r="B42" i="9"/>
  <c r="C42" i="9"/>
  <c r="E42" i="9"/>
  <c r="H42" i="9"/>
  <c r="F42" i="9"/>
  <c r="G42" i="9"/>
  <c r="B16" i="9"/>
  <c r="E23" i="9"/>
  <c r="H23" i="9"/>
  <c r="H13" i="9"/>
  <c r="D13" i="9"/>
  <c r="G13" i="9"/>
  <c r="E13" i="9"/>
  <c r="F13" i="9"/>
  <c r="C13" i="9"/>
  <c r="B13" i="9"/>
  <c r="C17" i="9"/>
  <c r="B36" i="9"/>
  <c r="F36" i="9"/>
  <c r="E36" i="9"/>
  <c r="C36" i="9"/>
  <c r="G36" i="9"/>
  <c r="D36" i="9"/>
  <c r="H36" i="9"/>
  <c r="C34" i="5"/>
  <c r="D31" i="6"/>
  <c r="C45" i="5"/>
  <c r="D42" i="6"/>
  <c r="C40" i="5"/>
  <c r="D37" i="6"/>
  <c r="D39" i="10" a="1"/>
  <c r="C39" i="10"/>
  <c r="C48" i="10"/>
  <c r="D48" i="10" a="1"/>
  <c r="D10" i="10" a="1"/>
  <c r="C17" i="10"/>
  <c r="D17" i="10" a="1"/>
  <c r="C46" i="10"/>
  <c r="D46" i="10" a="1"/>
  <c r="C51" i="10"/>
  <c r="D13" i="10" a="1"/>
  <c r="C13" i="10"/>
  <c r="C42" i="10"/>
  <c r="D23" i="10" a="1"/>
  <c r="C23" i="10"/>
  <c r="C25" i="10"/>
  <c r="D8" i="10" a="1"/>
  <c r="C8" i="10"/>
  <c r="D5" i="6"/>
  <c r="C8" i="5"/>
  <c r="C47" i="9"/>
  <c r="G47" i="9"/>
  <c r="H47" i="9"/>
  <c r="B47" i="9"/>
  <c r="E47" i="9"/>
  <c r="D47" i="9"/>
  <c r="F47" i="9"/>
  <c r="G35" i="9"/>
  <c r="H35" i="9"/>
  <c r="B35" i="9"/>
  <c r="C35" i="9"/>
  <c r="D35" i="9"/>
  <c r="E35" i="9"/>
  <c r="F35" i="9"/>
  <c r="D32" i="9"/>
  <c r="H32" i="9"/>
  <c r="G32" i="9"/>
  <c r="C32" i="9"/>
  <c r="F32" i="9"/>
  <c r="B32" i="9"/>
  <c r="E32" i="9"/>
  <c r="D52" i="9"/>
  <c r="G52" i="9"/>
  <c r="C52" i="9"/>
  <c r="B52" i="9"/>
  <c r="H52" i="9"/>
  <c r="F52" i="9"/>
  <c r="E52" i="9"/>
  <c r="C12" i="5"/>
  <c r="D9" i="6"/>
  <c r="D34" i="6"/>
  <c r="C37" i="5"/>
  <c r="D2" i="6"/>
  <c r="C5" i="5"/>
  <c r="D33" i="10" a="1"/>
  <c r="C33" i="10"/>
  <c r="C4" i="10"/>
  <c r="D4" i="10" a="1"/>
  <c r="D50" i="10" a="1"/>
  <c r="C50" i="10"/>
  <c r="D34" i="10" a="1"/>
  <c r="C34" i="10"/>
  <c r="D32" i="10" a="1"/>
  <c r="C32" i="10"/>
  <c r="D37" i="10" a="1"/>
  <c r="C37" i="10"/>
  <c r="D6" i="10" a="1"/>
  <c r="C6" i="10"/>
  <c r="D19" i="10" a="1"/>
  <c r="C19" i="10"/>
  <c r="C44" i="10"/>
  <c r="D44" i="10" a="1"/>
  <c r="C14" i="10"/>
  <c r="D14" i="10" a="1"/>
  <c r="C43" i="10"/>
  <c r="D43" i="10" a="1"/>
  <c r="C9" i="10"/>
  <c r="D9" i="10" a="1"/>
  <c r="E37" i="9"/>
  <c r="B37" i="9"/>
  <c r="F37" i="9"/>
  <c r="H37" i="9"/>
  <c r="C37" i="9"/>
  <c r="D37" i="9"/>
  <c r="G37" i="9"/>
  <c r="F38" i="9"/>
  <c r="C38" i="9"/>
  <c r="G38" i="9"/>
  <c r="E38" i="9"/>
  <c r="D38" i="9"/>
  <c r="H38" i="9"/>
  <c r="B38" i="9"/>
  <c r="F9" i="9"/>
  <c r="B9" i="9"/>
  <c r="C9" i="9"/>
  <c r="E9" i="9"/>
  <c r="D9" i="9"/>
  <c r="H9" i="9"/>
  <c r="G9" i="9"/>
  <c r="D11" i="9"/>
  <c r="H11" i="9"/>
  <c r="B33" i="9"/>
  <c r="C33" i="9"/>
  <c r="E8" i="9"/>
  <c r="D8" i="9"/>
  <c r="F8" i="9"/>
  <c r="C8" i="9"/>
  <c r="G8" i="9"/>
  <c r="B8" i="9"/>
  <c r="H8" i="9"/>
  <c r="B3" i="9"/>
  <c r="F3" i="9"/>
  <c r="E3" i="9"/>
  <c r="C3" i="9"/>
  <c r="D3" i="9"/>
  <c r="G3" i="9"/>
  <c r="H3" i="9"/>
  <c r="H56" i="9"/>
  <c r="B56" i="9"/>
  <c r="F56" i="9"/>
  <c r="D56" i="9"/>
  <c r="G56" i="9"/>
  <c r="C56" i="9"/>
  <c r="E56" i="9"/>
  <c r="C60" i="9"/>
  <c r="E60" i="9"/>
  <c r="H60" i="9"/>
  <c r="B60" i="9"/>
  <c r="D60" i="9"/>
  <c r="F60" i="9"/>
  <c r="G60" i="9"/>
  <c r="D34" i="9"/>
  <c r="B34" i="9"/>
  <c r="G34" i="9"/>
  <c r="H34" i="9"/>
  <c r="C34" i="9"/>
  <c r="E34" i="9"/>
  <c r="F34" i="9"/>
  <c r="D5" i="9"/>
  <c r="B5" i="9"/>
  <c r="F5" i="9"/>
  <c r="E5" i="9"/>
  <c r="H5" i="9"/>
  <c r="G5" i="9"/>
  <c r="C5" i="9"/>
  <c r="D25" i="9"/>
  <c r="B25" i="9"/>
  <c r="F25" i="9"/>
  <c r="G25" i="9"/>
  <c r="H25" i="9"/>
  <c r="E25" i="9"/>
  <c r="C25" i="9"/>
  <c r="C7" i="9"/>
  <c r="E7" i="9"/>
  <c r="H7" i="9"/>
  <c r="B7" i="9"/>
  <c r="G7" i="9"/>
  <c r="D7" i="9"/>
  <c r="F7" i="9"/>
  <c r="C59" i="9"/>
  <c r="E59" i="9"/>
  <c r="H59" i="9"/>
  <c r="D59" i="9"/>
  <c r="F59" i="9"/>
  <c r="G59" i="9"/>
  <c r="B59" i="9"/>
  <c r="D29" i="9"/>
  <c r="C29" i="9"/>
  <c r="G29" i="9"/>
  <c r="B29" i="9"/>
  <c r="H29" i="9"/>
  <c r="E29" i="9"/>
  <c r="F29" i="9"/>
  <c r="H48" i="9"/>
  <c r="B48" i="9"/>
  <c r="F48" i="9"/>
  <c r="D48" i="9"/>
  <c r="C48" i="9"/>
  <c r="G48" i="9"/>
  <c r="E48" i="9"/>
  <c r="G6" i="9"/>
  <c r="H6" i="9"/>
  <c r="D6" i="9"/>
  <c r="C6" i="9"/>
  <c r="F6" i="9"/>
  <c r="E6" i="9"/>
  <c r="B6" i="9"/>
  <c r="E30" i="9"/>
  <c r="H30" i="9"/>
  <c r="F30" i="9"/>
  <c r="C30" i="9"/>
  <c r="B30" i="9"/>
  <c r="D30" i="9"/>
  <c r="G30" i="9"/>
  <c r="F49" i="9"/>
  <c r="G49" i="9"/>
  <c r="C49" i="9"/>
  <c r="B49" i="9"/>
  <c r="E49" i="9"/>
  <c r="D49" i="9"/>
  <c r="H49" i="9"/>
  <c r="D8" i="6"/>
  <c r="C11" i="5"/>
  <c r="C28" i="5"/>
  <c r="D25" i="6"/>
  <c r="C26" i="10"/>
  <c r="D26" i="10" a="1"/>
  <c r="C3" i="10"/>
  <c r="D3" i="10" a="1"/>
  <c r="C38" i="10"/>
  <c r="D38" i="10" a="1"/>
  <c r="D5" i="10" a="1"/>
  <c r="C5" i="10"/>
  <c r="C18" i="10"/>
  <c r="D18" i="10" a="1"/>
  <c r="C45" i="10"/>
  <c r="D45" i="10" a="1"/>
  <c r="D28" i="10" a="1"/>
  <c r="D30" i="10" a="1"/>
  <c r="C30" i="10"/>
  <c r="D11" i="10" a="1"/>
  <c r="C11" i="10"/>
  <c r="C40" i="10"/>
  <c r="D40" i="10" a="1"/>
  <c r="CH41" i="3"/>
  <c r="F41" i="9"/>
  <c r="H41" i="9"/>
  <c r="D41" i="9"/>
  <c r="C41" i="9"/>
  <c r="B41" i="9"/>
  <c r="E41" i="9"/>
  <c r="G41" i="9"/>
  <c r="G12" i="9"/>
  <c r="H12" i="9"/>
  <c r="B12" i="9"/>
  <c r="C12" i="9"/>
  <c r="E12" i="9"/>
  <c r="F12" i="9"/>
  <c r="D12" i="9"/>
  <c r="E58" i="9"/>
  <c r="B58" i="9"/>
  <c r="D14" i="9"/>
  <c r="G14" i="9"/>
  <c r="C14" i="9"/>
  <c r="E14" i="9"/>
  <c r="F14" i="9"/>
  <c r="H14" i="9"/>
  <c r="B14" i="9"/>
  <c r="C43" i="5"/>
  <c r="D40" i="6"/>
  <c r="H50" i="9"/>
  <c r="G50" i="9"/>
  <c r="F50" i="9"/>
  <c r="C50" i="9"/>
  <c r="B50" i="9"/>
  <c r="D50" i="9"/>
  <c r="E50" i="9"/>
  <c r="E2" i="9"/>
  <c r="D2" i="9"/>
  <c r="F2" i="9"/>
  <c r="B2" i="9"/>
  <c r="H2" i="9"/>
  <c r="C2" i="9"/>
  <c r="G2" i="9"/>
  <c r="D27" i="9"/>
  <c r="F27" i="9"/>
  <c r="G27" i="9"/>
  <c r="H27" i="9"/>
  <c r="B27" i="9"/>
  <c r="E27" i="9"/>
  <c r="C27" i="9"/>
  <c r="F51" i="9"/>
  <c r="B51" i="9"/>
  <c r="C51" i="9"/>
  <c r="E51" i="9"/>
  <c r="G51" i="9"/>
  <c r="D51" i="9"/>
  <c r="H51" i="9"/>
  <c r="F55" i="9"/>
  <c r="B55" i="9"/>
  <c r="C55" i="9"/>
  <c r="E55" i="9"/>
  <c r="H55" i="9"/>
  <c r="G55" i="9"/>
  <c r="D55" i="9"/>
  <c r="B21" i="9"/>
  <c r="H21" i="9"/>
  <c r="H15" i="9"/>
  <c r="C57" i="9"/>
  <c r="B57" i="9"/>
  <c r="H57" i="9"/>
  <c r="G57" i="9"/>
  <c r="D57" i="9"/>
  <c r="F57" i="9"/>
  <c r="E57" i="9"/>
  <c r="F4" i="9"/>
  <c r="D4" i="9"/>
  <c r="B4" i="9"/>
  <c r="E4" i="9"/>
  <c r="G4" i="9"/>
  <c r="C4" i="9"/>
  <c r="H4" i="9"/>
  <c r="F26" i="9"/>
  <c r="D26" i="9"/>
  <c r="G26" i="9"/>
  <c r="C26" i="9"/>
  <c r="H26" i="9"/>
  <c r="B26" i="9"/>
  <c r="E26" i="9"/>
  <c r="H45" i="9"/>
  <c r="D45" i="9"/>
  <c r="E45" i="9"/>
  <c r="G45" i="9"/>
  <c r="B45" i="9"/>
  <c r="F45" i="9"/>
  <c r="C45" i="9"/>
  <c r="B31" i="9"/>
  <c r="C31" i="9"/>
  <c r="E31" i="9"/>
  <c r="G31" i="9"/>
  <c r="F31" i="9"/>
  <c r="H31" i="9"/>
  <c r="D31" i="9"/>
  <c r="B39" i="9"/>
  <c r="C39" i="9"/>
  <c r="E39" i="9"/>
  <c r="H39" i="9"/>
  <c r="D39" i="9"/>
  <c r="G39" i="9"/>
  <c r="F39" i="9"/>
  <c r="H46" i="9"/>
  <c r="G46" i="9"/>
  <c r="F46" i="9"/>
  <c r="C46" i="9"/>
  <c r="B46" i="9"/>
  <c r="E46" i="9"/>
  <c r="D46" i="9"/>
  <c r="E20" i="9"/>
  <c r="K14" i="5"/>
  <c r="B11" i="6"/>
  <c r="I11" i="6" s="1"/>
  <c r="J11" i="6" s="1"/>
  <c r="B10" i="6"/>
  <c r="I10" i="6" s="1"/>
  <c r="J10" i="6" s="1"/>
  <c r="K13" i="5"/>
  <c r="C21" i="5"/>
  <c r="D18" i="6"/>
  <c r="C18" i="5"/>
  <c r="D15" i="6"/>
  <c r="F54" i="4"/>
  <c r="C24" i="5"/>
  <c r="D21" i="6"/>
  <c r="D16" i="6"/>
  <c r="C19" i="5"/>
  <c r="D16" i="10" a="1"/>
  <c r="C16" i="10"/>
  <c r="C15" i="10"/>
  <c r="D15" i="10" a="1"/>
  <c r="D27" i="10" a="1"/>
  <c r="C27" i="10"/>
  <c r="C36" i="10"/>
  <c r="D47" i="10" a="1"/>
  <c r="C47" i="10"/>
  <c r="D20" i="10" a="1"/>
  <c r="C20" i="10"/>
  <c r="D31" i="10" a="1"/>
  <c r="C31" i="10"/>
  <c r="D29" i="10" a="1"/>
  <c r="C29" i="10"/>
  <c r="D12" i="10" a="1"/>
  <c r="C12" i="10"/>
  <c r="C2" i="10"/>
  <c r="D2" i="10" a="1"/>
  <c r="D41" i="10" a="1"/>
  <c r="C24" i="10"/>
  <c r="D24" i="10" a="1"/>
  <c r="D24" i="6"/>
  <c r="C27" i="5"/>
  <c r="G11" i="9" l="1"/>
  <c r="D21" i="10" a="1"/>
  <c r="B23" i="9"/>
  <c r="F16" i="9"/>
  <c r="C16" i="9"/>
  <c r="G53" i="9"/>
  <c r="H53" i="9"/>
  <c r="B24" i="9"/>
  <c r="H24" i="9"/>
  <c r="C11" i="9"/>
  <c r="F11" i="9"/>
  <c r="C35" i="10"/>
  <c r="G23" i="9"/>
  <c r="F23" i="9"/>
  <c r="H16" i="9"/>
  <c r="G16" i="9"/>
  <c r="C53" i="9"/>
  <c r="F24" i="9"/>
  <c r="D24" i="9"/>
  <c r="E11" i="9"/>
  <c r="C23" i="9"/>
  <c r="E16" i="9"/>
  <c r="F53" i="9"/>
  <c r="B20" i="9"/>
  <c r="F20" i="9"/>
  <c r="F15" i="9"/>
  <c r="E15" i="9"/>
  <c r="C21" i="9"/>
  <c r="E21" i="9"/>
  <c r="F58" i="9"/>
  <c r="C58" i="9"/>
  <c r="D7" i="10" a="1"/>
  <c r="D7" i="10" s="1"/>
  <c r="C22" i="10"/>
  <c r="G33" i="9"/>
  <c r="E33" i="9"/>
  <c r="F17" i="9"/>
  <c r="E17" i="9"/>
  <c r="B19" i="9"/>
  <c r="F19" i="9"/>
  <c r="B22" i="9"/>
  <c r="E22" i="9"/>
  <c r="D18" i="9"/>
  <c r="G40" i="9"/>
  <c r="F40" i="9"/>
  <c r="C28" i="9"/>
  <c r="D49" i="10" a="1"/>
  <c r="C20" i="9"/>
  <c r="G20" i="9"/>
  <c r="G15" i="9"/>
  <c r="C15" i="9"/>
  <c r="D21" i="9"/>
  <c r="G21" i="9"/>
  <c r="G58" i="9"/>
  <c r="H33" i="9"/>
  <c r="B17" i="9"/>
  <c r="D17" i="9"/>
  <c r="C19" i="9"/>
  <c r="D19" i="9"/>
  <c r="C22" i="9"/>
  <c r="E18" i="9"/>
  <c r="F18" i="9"/>
  <c r="H40" i="9"/>
  <c r="H28" i="9"/>
  <c r="E28" i="9"/>
  <c r="D20" i="9"/>
  <c r="J20" i="9" s="1"/>
  <c r="D15" i="9"/>
  <c r="D58" i="9"/>
  <c r="D33" i="9"/>
  <c r="L33" i="9" s="1"/>
  <c r="G17" i="9"/>
  <c r="G22" i="9"/>
  <c r="B18" i="9"/>
  <c r="C40" i="9"/>
  <c r="G28" i="9"/>
  <c r="L85" i="4"/>
  <c r="H84" i="4"/>
  <c r="CO52" i="2"/>
  <c r="CE52" i="2"/>
  <c r="CH53" i="2" s="1"/>
  <c r="K83" i="4"/>
  <c r="N83" i="4" s="1"/>
  <c r="O83" i="4"/>
  <c r="M83" i="4"/>
  <c r="P1" i="10" a="1"/>
  <c r="P1" i="10" s="1"/>
  <c r="C29" i="5"/>
  <c r="D26" i="6"/>
  <c r="D41" i="6"/>
  <c r="C44" i="5"/>
  <c r="D39" i="6"/>
  <c r="C42" i="5"/>
  <c r="C41" i="5"/>
  <c r="D38" i="6"/>
  <c r="C15" i="5"/>
  <c r="D12" i="6"/>
  <c r="C31" i="5"/>
  <c r="D28" i="6"/>
  <c r="D7" i="6"/>
  <c r="C10" i="5"/>
  <c r="D22" i="6"/>
  <c r="C25" i="5"/>
  <c r="C35" i="5"/>
  <c r="D32" i="6"/>
  <c r="D27" i="6"/>
  <c r="C30" i="5"/>
  <c r="C33" i="5"/>
  <c r="D30" i="6"/>
  <c r="C22" i="5"/>
  <c r="D19" i="6"/>
  <c r="D29" i="6"/>
  <c r="C32" i="5"/>
  <c r="C39" i="5"/>
  <c r="D36" i="6"/>
  <c r="C16" i="5"/>
  <c r="D13" i="6"/>
  <c r="D14" i="6"/>
  <c r="C17" i="5"/>
  <c r="C20" i="5"/>
  <c r="D17" i="6"/>
  <c r="D33" i="6"/>
  <c r="C36" i="5"/>
  <c r="D3" i="6"/>
  <c r="C6" i="5"/>
  <c r="D23" i="6"/>
  <c r="C26" i="5"/>
  <c r="D35" i="6"/>
  <c r="C38" i="5"/>
  <c r="D4" i="6"/>
  <c r="C7" i="5"/>
  <c r="C23" i="5"/>
  <c r="D20" i="6"/>
  <c r="D6" i="6"/>
  <c r="C9" i="5"/>
  <c r="J55" i="9"/>
  <c r="L55" i="9"/>
  <c r="M1" i="9" a="1"/>
  <c r="M1" i="9" s="1"/>
  <c r="K43" i="5"/>
  <c r="B40" i="6"/>
  <c r="I40" i="6" s="1"/>
  <c r="J40" i="6" s="1"/>
  <c r="L58" i="9"/>
  <c r="J58" i="9"/>
  <c r="G30" i="10"/>
  <c r="J30" i="10"/>
  <c r="K30" i="10"/>
  <c r="D30" i="10"/>
  <c r="F30" i="10"/>
  <c r="E30" i="10"/>
  <c r="I30" i="10"/>
  <c r="H30" i="10"/>
  <c r="G5" i="10"/>
  <c r="J5" i="10"/>
  <c r="K5" i="10"/>
  <c r="D5" i="10"/>
  <c r="I5" i="10"/>
  <c r="H5" i="10"/>
  <c r="F5" i="10"/>
  <c r="E5" i="10"/>
  <c r="I22" i="10"/>
  <c r="H22" i="10"/>
  <c r="G22" i="10"/>
  <c r="J22" i="10"/>
  <c r="D22" i="10"/>
  <c r="F22" i="10"/>
  <c r="K22" i="10"/>
  <c r="E22" i="10"/>
  <c r="K28" i="5"/>
  <c r="B25" i="6"/>
  <c r="I25" i="6" s="1"/>
  <c r="J25" i="6" s="1"/>
  <c r="F68" i="4"/>
  <c r="L6" i="9"/>
  <c r="J6" i="9"/>
  <c r="L29" i="9"/>
  <c r="J29" i="9"/>
  <c r="L59" i="9"/>
  <c r="J59" i="9"/>
  <c r="L5" i="9"/>
  <c r="J5" i="9"/>
  <c r="L3" i="9"/>
  <c r="J3" i="9"/>
  <c r="J33" i="9"/>
  <c r="J9" i="9"/>
  <c r="L9" i="9"/>
  <c r="I19" i="10"/>
  <c r="F19" i="10"/>
  <c r="G19" i="10"/>
  <c r="J19" i="10"/>
  <c r="K19" i="10"/>
  <c r="E19" i="10"/>
  <c r="D19" i="10"/>
  <c r="H19" i="10"/>
  <c r="E37" i="10"/>
  <c r="J37" i="10"/>
  <c r="I37" i="10"/>
  <c r="F37" i="10"/>
  <c r="H37" i="10"/>
  <c r="K37" i="10"/>
  <c r="D37" i="10"/>
  <c r="G37" i="10"/>
  <c r="F34" i="10"/>
  <c r="E34" i="10"/>
  <c r="J34" i="10"/>
  <c r="I34" i="10"/>
  <c r="H34" i="10"/>
  <c r="D34" i="10"/>
  <c r="G34" i="10"/>
  <c r="K34" i="10"/>
  <c r="L32" i="9"/>
  <c r="J32" i="9"/>
  <c r="K8" i="5"/>
  <c r="B5" i="6"/>
  <c r="I5" i="6" s="1"/>
  <c r="J5" i="6" s="1"/>
  <c r="F48" i="4"/>
  <c r="E25" i="10"/>
  <c r="H25" i="10"/>
  <c r="I25" i="10"/>
  <c r="J25" i="10"/>
  <c r="D25" i="10"/>
  <c r="G25" i="10"/>
  <c r="K25" i="10"/>
  <c r="F25" i="10"/>
  <c r="D51" i="10"/>
  <c r="G51" i="10"/>
  <c r="H51" i="10"/>
  <c r="K51" i="10"/>
  <c r="I51" i="10"/>
  <c r="F51" i="10"/>
  <c r="E51" i="10"/>
  <c r="J51" i="10"/>
  <c r="E35" i="10"/>
  <c r="F35" i="10"/>
  <c r="I35" i="10"/>
  <c r="J35" i="10"/>
  <c r="H35" i="10"/>
  <c r="G35" i="10"/>
  <c r="K35" i="10"/>
  <c r="D35" i="10"/>
  <c r="K45" i="5"/>
  <c r="B42" i="6"/>
  <c r="I42" i="6" s="1"/>
  <c r="J42" i="6" s="1"/>
  <c r="L36" i="9"/>
  <c r="J36" i="9"/>
  <c r="J42" i="9"/>
  <c r="L42" i="9"/>
  <c r="E20" i="10"/>
  <c r="D20" i="10"/>
  <c r="I20" i="10"/>
  <c r="J20" i="10"/>
  <c r="K20" i="10"/>
  <c r="F20" i="10"/>
  <c r="G20" i="10"/>
  <c r="H20" i="10"/>
  <c r="L15" i="9"/>
  <c r="J15" i="9"/>
  <c r="J51" i="9"/>
  <c r="L51" i="9"/>
  <c r="L27" i="9"/>
  <c r="J27" i="9"/>
  <c r="E41" i="10"/>
  <c r="F41" i="10"/>
  <c r="I41" i="10"/>
  <c r="J41" i="10"/>
  <c r="H41" i="10"/>
  <c r="K41" i="10"/>
  <c r="D41" i="10"/>
  <c r="G41" i="10"/>
  <c r="E15" i="10"/>
  <c r="D15" i="10"/>
  <c r="I15" i="10"/>
  <c r="F15" i="10"/>
  <c r="K15" i="10"/>
  <c r="H15" i="10"/>
  <c r="J15" i="10"/>
  <c r="G15" i="10"/>
  <c r="B18" i="6"/>
  <c r="I18" i="6" s="1"/>
  <c r="J18" i="6" s="1"/>
  <c r="K21" i="5"/>
  <c r="F61" i="4"/>
  <c r="L14" i="5"/>
  <c r="H11" i="6"/>
  <c r="L46" i="9"/>
  <c r="J46" i="9"/>
  <c r="K46" i="9" s="1"/>
  <c r="J4" i="9"/>
  <c r="L4" i="9"/>
  <c r="L57" i="9"/>
  <c r="J57" i="9"/>
  <c r="K57" i="9" s="1"/>
  <c r="L50" i="9"/>
  <c r="J50" i="9"/>
  <c r="G18" i="10"/>
  <c r="J18" i="10"/>
  <c r="K18" i="10"/>
  <c r="D18" i="10"/>
  <c r="E18" i="10"/>
  <c r="I18" i="10"/>
  <c r="H18" i="10"/>
  <c r="F18" i="10"/>
  <c r="J38" i="10"/>
  <c r="I38" i="10"/>
  <c r="G38" i="10"/>
  <c r="D38" i="10"/>
  <c r="K38" i="10"/>
  <c r="E38" i="10"/>
  <c r="H38" i="10"/>
  <c r="F38" i="10"/>
  <c r="E3" i="10"/>
  <c r="D3" i="10"/>
  <c r="I3" i="10"/>
  <c r="F3" i="10"/>
  <c r="K3" i="10"/>
  <c r="J3" i="10"/>
  <c r="H3" i="10"/>
  <c r="G3" i="10"/>
  <c r="G26" i="10"/>
  <c r="J26" i="10"/>
  <c r="K26" i="10"/>
  <c r="D26" i="10"/>
  <c r="I26" i="10"/>
  <c r="F26" i="10"/>
  <c r="H26" i="10"/>
  <c r="E26" i="10"/>
  <c r="L7" i="9"/>
  <c r="J7" i="9"/>
  <c r="L25" i="9"/>
  <c r="J25" i="9"/>
  <c r="L11" i="9"/>
  <c r="J11" i="9"/>
  <c r="L37" i="9"/>
  <c r="J37" i="9"/>
  <c r="E43" i="10"/>
  <c r="I43" i="10"/>
  <c r="J43" i="10"/>
  <c r="H43" i="10"/>
  <c r="G43" i="10"/>
  <c r="F43" i="10"/>
  <c r="K43" i="10"/>
  <c r="D43" i="10"/>
  <c r="F44" i="10"/>
  <c r="I44" i="10"/>
  <c r="J44" i="10"/>
  <c r="E44" i="10"/>
  <c r="K44" i="10"/>
  <c r="D44" i="10"/>
  <c r="H44" i="10"/>
  <c r="G44" i="10"/>
  <c r="K5" i="5"/>
  <c r="B2" i="6"/>
  <c r="I2" i="6" s="1"/>
  <c r="J2" i="6" s="1"/>
  <c r="F45" i="4"/>
  <c r="L52" i="9"/>
  <c r="J52" i="9"/>
  <c r="L47" i="9"/>
  <c r="J47" i="9"/>
  <c r="K46" i="10"/>
  <c r="H46" i="10"/>
  <c r="F46" i="10"/>
  <c r="E46" i="10"/>
  <c r="I46" i="10"/>
  <c r="D46" i="10"/>
  <c r="J46" i="10"/>
  <c r="G46" i="10"/>
  <c r="G17" i="10"/>
  <c r="D17" i="10"/>
  <c r="K17" i="10"/>
  <c r="F17" i="10"/>
  <c r="H17" i="10"/>
  <c r="E17" i="10"/>
  <c r="J17" i="10"/>
  <c r="I17" i="10"/>
  <c r="G48" i="10"/>
  <c r="H48" i="10"/>
  <c r="K48" i="10"/>
  <c r="D48" i="10"/>
  <c r="F48" i="10"/>
  <c r="J48" i="10"/>
  <c r="I48" i="10"/>
  <c r="E48" i="10"/>
  <c r="L23" i="9"/>
  <c r="J23" i="9"/>
  <c r="L16" i="9"/>
  <c r="J16" i="9"/>
  <c r="J43" i="9"/>
  <c r="L43" i="9"/>
  <c r="L10" i="9"/>
  <c r="J10" i="9"/>
  <c r="J22" i="9"/>
  <c r="L22" i="9"/>
  <c r="E29" i="10"/>
  <c r="H29" i="10"/>
  <c r="I29" i="10"/>
  <c r="F29" i="10"/>
  <c r="D29" i="10"/>
  <c r="G29" i="10"/>
  <c r="K29" i="10"/>
  <c r="J29" i="10"/>
  <c r="I16" i="10"/>
  <c r="J16" i="10"/>
  <c r="G16" i="10"/>
  <c r="F16" i="10"/>
  <c r="D16" i="10"/>
  <c r="H16" i="10"/>
  <c r="K16" i="10"/>
  <c r="E16" i="10"/>
  <c r="L20" i="9"/>
  <c r="B24" i="6"/>
  <c r="I24" i="6" s="1"/>
  <c r="J24" i="6" s="1"/>
  <c r="K27" i="5"/>
  <c r="F67" i="4"/>
  <c r="G12" i="10"/>
  <c r="F12" i="10"/>
  <c r="K12" i="10"/>
  <c r="H12" i="10"/>
  <c r="I12" i="10"/>
  <c r="J12" i="10"/>
  <c r="D12" i="10"/>
  <c r="E12" i="10"/>
  <c r="G31" i="10"/>
  <c r="F31" i="10"/>
  <c r="K31" i="10"/>
  <c r="H31" i="10"/>
  <c r="J31" i="10"/>
  <c r="E31" i="10"/>
  <c r="I31" i="10"/>
  <c r="D31" i="10"/>
  <c r="E47" i="10"/>
  <c r="F47" i="10"/>
  <c r="I47" i="10"/>
  <c r="J47" i="10"/>
  <c r="H47" i="10"/>
  <c r="G47" i="10"/>
  <c r="D47" i="10"/>
  <c r="K47" i="10"/>
  <c r="F36" i="10"/>
  <c r="I36" i="10"/>
  <c r="J36" i="10"/>
  <c r="E36" i="10"/>
  <c r="K36" i="10"/>
  <c r="D36" i="10"/>
  <c r="H36" i="10"/>
  <c r="G36" i="10"/>
  <c r="K24" i="5"/>
  <c r="B21" i="6"/>
  <c r="I21" i="6" s="1"/>
  <c r="J21" i="6" s="1"/>
  <c r="F64" i="4"/>
  <c r="H10" i="6"/>
  <c r="L13" i="5"/>
  <c r="L39" i="9"/>
  <c r="J39" i="9"/>
  <c r="L26" i="9"/>
  <c r="J26" i="9"/>
  <c r="L2" i="9"/>
  <c r="J2" i="9"/>
  <c r="L41" i="9"/>
  <c r="J41" i="9"/>
  <c r="E11" i="10"/>
  <c r="D11" i="10"/>
  <c r="I11" i="10"/>
  <c r="J11" i="10"/>
  <c r="H11" i="10"/>
  <c r="G11" i="10"/>
  <c r="K11" i="10"/>
  <c r="F11" i="10"/>
  <c r="K28" i="10"/>
  <c r="H28" i="10"/>
  <c r="F28" i="10"/>
  <c r="G28" i="10"/>
  <c r="D28" i="10"/>
  <c r="E28" i="10"/>
  <c r="J28" i="10"/>
  <c r="I28" i="10"/>
  <c r="K11" i="5"/>
  <c r="B8" i="6"/>
  <c r="I8" i="6" s="1"/>
  <c r="J8" i="6" s="1"/>
  <c r="F51" i="4"/>
  <c r="L30" i="9"/>
  <c r="J30" i="9"/>
  <c r="J48" i="9"/>
  <c r="L48" i="9"/>
  <c r="L60" i="9"/>
  <c r="J60" i="9"/>
  <c r="J56" i="9"/>
  <c r="L56" i="9"/>
  <c r="L8" i="9"/>
  <c r="J8" i="9"/>
  <c r="G6" i="10"/>
  <c r="J6" i="10"/>
  <c r="K6" i="10"/>
  <c r="D6" i="10"/>
  <c r="F6" i="10"/>
  <c r="E6" i="10"/>
  <c r="I6" i="10"/>
  <c r="H6" i="10"/>
  <c r="G32" i="10"/>
  <c r="F32" i="10"/>
  <c r="K32" i="10"/>
  <c r="H32" i="10"/>
  <c r="J32" i="10"/>
  <c r="D32" i="10"/>
  <c r="E32" i="10"/>
  <c r="I32" i="10"/>
  <c r="F50" i="10"/>
  <c r="E50" i="10"/>
  <c r="J50" i="10"/>
  <c r="I50" i="10"/>
  <c r="K50" i="10"/>
  <c r="H50" i="10"/>
  <c r="D50" i="10"/>
  <c r="G50" i="10"/>
  <c r="I33" i="10"/>
  <c r="J33" i="10"/>
  <c r="D33" i="10"/>
  <c r="K33" i="10"/>
  <c r="G33" i="10"/>
  <c r="F33" i="10"/>
  <c r="H33" i="10"/>
  <c r="E33" i="10"/>
  <c r="K12" i="5"/>
  <c r="B9" i="6"/>
  <c r="I9" i="6" s="1"/>
  <c r="J9" i="6" s="1"/>
  <c r="F52" i="4"/>
  <c r="G8" i="10"/>
  <c r="F8" i="10"/>
  <c r="K8" i="10"/>
  <c r="H8" i="10"/>
  <c r="J8" i="10"/>
  <c r="I8" i="10"/>
  <c r="E8" i="10"/>
  <c r="D8" i="10"/>
  <c r="E23" i="10"/>
  <c r="D23" i="10"/>
  <c r="I23" i="10"/>
  <c r="J23" i="10"/>
  <c r="H23" i="10"/>
  <c r="G23" i="10"/>
  <c r="K23" i="10"/>
  <c r="F23" i="10"/>
  <c r="E13" i="10"/>
  <c r="H13" i="10"/>
  <c r="I13" i="10"/>
  <c r="F13" i="10"/>
  <c r="G13" i="10"/>
  <c r="J13" i="10"/>
  <c r="K13" i="10"/>
  <c r="D13" i="10"/>
  <c r="I39" i="10"/>
  <c r="F39" i="10"/>
  <c r="D39" i="10"/>
  <c r="G39" i="10"/>
  <c r="K39" i="10"/>
  <c r="J39" i="10"/>
  <c r="H39" i="10"/>
  <c r="E39" i="10"/>
  <c r="K40" i="5"/>
  <c r="B37" i="6"/>
  <c r="I37" i="6" s="1"/>
  <c r="J37" i="6" s="1"/>
  <c r="F80" i="4"/>
  <c r="B31" i="6"/>
  <c r="I31" i="6" s="1"/>
  <c r="J31" i="6" s="1"/>
  <c r="K34" i="5"/>
  <c r="F74" i="4"/>
  <c r="L13" i="9"/>
  <c r="J13" i="9"/>
  <c r="J44" i="9"/>
  <c r="L44" i="9"/>
  <c r="J18" i="9"/>
  <c r="L18" i="9"/>
  <c r="L40" i="9"/>
  <c r="J40" i="9"/>
  <c r="K27" i="10"/>
  <c r="H27" i="10"/>
  <c r="E27" i="10"/>
  <c r="D27" i="10"/>
  <c r="F27" i="10"/>
  <c r="I27" i="10"/>
  <c r="J27" i="10"/>
  <c r="G27" i="10"/>
  <c r="E24" i="10"/>
  <c r="H24" i="10"/>
  <c r="I24" i="10"/>
  <c r="J24" i="10"/>
  <c r="K24" i="10"/>
  <c r="F24" i="10"/>
  <c r="G24" i="10"/>
  <c r="D24" i="10"/>
  <c r="K2" i="10"/>
  <c r="F2" i="10"/>
  <c r="E2" i="10"/>
  <c r="J2" i="10"/>
  <c r="I2" i="10"/>
  <c r="D2" i="10"/>
  <c r="G2" i="10"/>
  <c r="H2" i="10"/>
  <c r="D49" i="10"/>
  <c r="K49" i="10"/>
  <c r="H49" i="10"/>
  <c r="G49" i="10"/>
  <c r="I49" i="10"/>
  <c r="F49" i="10"/>
  <c r="J49" i="10"/>
  <c r="E49" i="10"/>
  <c r="K19" i="5"/>
  <c r="B16" i="6"/>
  <c r="I16" i="6" s="1"/>
  <c r="J16" i="6" s="1"/>
  <c r="F59" i="4"/>
  <c r="B15" i="6"/>
  <c r="I15" i="6" s="1"/>
  <c r="J15" i="6" s="1"/>
  <c r="K18" i="5"/>
  <c r="F58" i="4"/>
  <c r="L31" i="9"/>
  <c r="J31" i="9"/>
  <c r="L45" i="9"/>
  <c r="J45" i="9"/>
  <c r="L21" i="9"/>
  <c r="J21" i="9"/>
  <c r="L14" i="9"/>
  <c r="J14" i="9"/>
  <c r="L12" i="9"/>
  <c r="J12" i="9"/>
  <c r="F40" i="10"/>
  <c r="I40" i="10"/>
  <c r="J40" i="10"/>
  <c r="E40" i="10"/>
  <c r="G40" i="10"/>
  <c r="K40" i="10"/>
  <c r="H40" i="10"/>
  <c r="D40" i="10"/>
  <c r="D45" i="10"/>
  <c r="K45" i="10"/>
  <c r="H45" i="10"/>
  <c r="G45" i="10"/>
  <c r="I45" i="10"/>
  <c r="J45" i="10"/>
  <c r="E45" i="10"/>
  <c r="F45" i="10"/>
  <c r="E7" i="10"/>
  <c r="I7" i="10"/>
  <c r="J7" i="10"/>
  <c r="F7" i="10"/>
  <c r="G7" i="10"/>
  <c r="K7" i="10"/>
  <c r="J49" i="9"/>
  <c r="K49" i="9" s="1"/>
  <c r="L49" i="9"/>
  <c r="J34" i="9"/>
  <c r="L34" i="9"/>
  <c r="L38" i="9"/>
  <c r="J38" i="9"/>
  <c r="G9" i="10"/>
  <c r="J9" i="10"/>
  <c r="K9" i="10"/>
  <c r="D9" i="10"/>
  <c r="I9" i="10"/>
  <c r="H9" i="10"/>
  <c r="F9" i="10"/>
  <c r="E9" i="10"/>
  <c r="I14" i="10"/>
  <c r="F14" i="10"/>
  <c r="E14" i="10"/>
  <c r="J14" i="10"/>
  <c r="K14" i="10"/>
  <c r="G14" i="10"/>
  <c r="H14" i="10"/>
  <c r="D14" i="10"/>
  <c r="G4" i="10"/>
  <c r="F4" i="10"/>
  <c r="K4" i="10"/>
  <c r="H4" i="10"/>
  <c r="I4" i="10"/>
  <c r="D4" i="10"/>
  <c r="J4" i="10"/>
  <c r="E4" i="10"/>
  <c r="K37" i="5"/>
  <c r="B34" i="6"/>
  <c r="I34" i="6" s="1"/>
  <c r="J34" i="6" s="1"/>
  <c r="F77" i="4"/>
  <c r="L35" i="9"/>
  <c r="J35" i="9"/>
  <c r="F42" i="10"/>
  <c r="E42" i="10"/>
  <c r="J42" i="10"/>
  <c r="I42" i="10"/>
  <c r="G42" i="10"/>
  <c r="K42" i="10"/>
  <c r="H42" i="10"/>
  <c r="D42" i="10"/>
  <c r="E10" i="10"/>
  <c r="F10" i="10"/>
  <c r="I10" i="10"/>
  <c r="H10" i="10"/>
  <c r="J10" i="10"/>
  <c r="D10" i="10"/>
  <c r="G10" i="10"/>
  <c r="K10" i="10"/>
  <c r="E21" i="10"/>
  <c r="H21" i="10"/>
  <c r="I21" i="10"/>
  <c r="F21" i="10"/>
  <c r="K21" i="10"/>
  <c r="D21" i="10"/>
  <c r="J21" i="10"/>
  <c r="G21" i="10"/>
  <c r="J17" i="9"/>
  <c r="L17" i="9"/>
  <c r="L19" i="9"/>
  <c r="J19" i="9"/>
  <c r="J53" i="9"/>
  <c r="L53" i="9"/>
  <c r="L54" i="9"/>
  <c r="J54" i="9"/>
  <c r="L24" i="9"/>
  <c r="J24" i="9"/>
  <c r="L28" i="9"/>
  <c r="J28" i="9"/>
  <c r="K28" i="9" l="1"/>
  <c r="K54" i="9"/>
  <c r="K43" i="9"/>
  <c r="H7" i="10"/>
  <c r="K45" i="9"/>
  <c r="K84" i="4"/>
  <c r="N84" i="4" s="1"/>
  <c r="O84" i="4"/>
  <c r="M84" i="4"/>
  <c r="L86" i="4"/>
  <c r="L87" i="4" s="1"/>
  <c r="H85" i="4"/>
  <c r="K22" i="9"/>
  <c r="K37" i="9"/>
  <c r="K14" i="9"/>
  <c r="F69" i="4"/>
  <c r="K29" i="5"/>
  <c r="B26" i="6"/>
  <c r="I26" i="6" s="1"/>
  <c r="J26" i="6" s="1"/>
  <c r="K19" i="9"/>
  <c r="K18" i="9"/>
  <c r="K44" i="5"/>
  <c r="B41" i="6"/>
  <c r="I41" i="6" s="1"/>
  <c r="J41" i="6" s="1"/>
  <c r="P2" i="10" a="1"/>
  <c r="P2" i="10" s="1"/>
  <c r="F47" i="4"/>
  <c r="B4" i="6"/>
  <c r="I4" i="6" s="1"/>
  <c r="J4" i="6" s="1"/>
  <c r="K7" i="5"/>
  <c r="B36" i="6"/>
  <c r="I36" i="6" s="1"/>
  <c r="J36" i="6" s="1"/>
  <c r="K39" i="5"/>
  <c r="F79" i="4"/>
  <c r="K22" i="5"/>
  <c r="B19" i="6"/>
  <c r="I19" i="6" s="1"/>
  <c r="J19" i="6" s="1"/>
  <c r="F62" i="4"/>
  <c r="B28" i="6"/>
  <c r="I28" i="6" s="1"/>
  <c r="J28" i="6" s="1"/>
  <c r="F71" i="4"/>
  <c r="K31" i="5"/>
  <c r="K35" i="9"/>
  <c r="K34" i="9"/>
  <c r="K44" i="9"/>
  <c r="K8" i="9"/>
  <c r="K60" i="9"/>
  <c r="K30" i="9"/>
  <c r="K11" i="9"/>
  <c r="K25" i="9"/>
  <c r="B35" i="6"/>
  <c r="I35" i="6" s="1"/>
  <c r="J35" i="6" s="1"/>
  <c r="K38" i="5"/>
  <c r="F78" i="4"/>
  <c r="F46" i="4"/>
  <c r="K6" i="5"/>
  <c r="B3" i="6"/>
  <c r="I3" i="6" s="1"/>
  <c r="J3" i="6" s="1"/>
  <c r="F72" i="4"/>
  <c r="B29" i="6"/>
  <c r="I29" i="6" s="1"/>
  <c r="J29" i="6" s="1"/>
  <c r="K32" i="5"/>
  <c r="K10" i="5"/>
  <c r="F50" i="4"/>
  <c r="B7" i="6"/>
  <c r="I7" i="6" s="1"/>
  <c r="J7" i="6" s="1"/>
  <c r="B39" i="6"/>
  <c r="I39" i="6" s="1"/>
  <c r="J39" i="6" s="1"/>
  <c r="K42" i="5"/>
  <c r="B6" i="6"/>
  <c r="I6" i="6" s="1"/>
  <c r="J6" i="6" s="1"/>
  <c r="K9" i="5"/>
  <c r="F49" i="4"/>
  <c r="K26" i="5"/>
  <c r="B23" i="6"/>
  <c r="I23" i="6" s="1"/>
  <c r="J23" i="6" s="1"/>
  <c r="F66" i="4"/>
  <c r="F76" i="4"/>
  <c r="K36" i="5"/>
  <c r="B33" i="6"/>
  <c r="I33" i="6" s="1"/>
  <c r="J33" i="6" s="1"/>
  <c r="F57" i="4"/>
  <c r="K17" i="5"/>
  <c r="B14" i="6"/>
  <c r="I14" i="6" s="1"/>
  <c r="J14" i="6" s="1"/>
  <c r="F70" i="4"/>
  <c r="B27" i="6"/>
  <c r="I27" i="6" s="1"/>
  <c r="J27" i="6" s="1"/>
  <c r="K30" i="5"/>
  <c r="B22" i="6"/>
  <c r="I22" i="6" s="1"/>
  <c r="J22" i="6" s="1"/>
  <c r="K25" i="5"/>
  <c r="F65" i="4"/>
  <c r="K40" i="9"/>
  <c r="K56" i="9"/>
  <c r="K48" i="9"/>
  <c r="K41" i="9"/>
  <c r="K26" i="9"/>
  <c r="K10" i="9"/>
  <c r="K16" i="9"/>
  <c r="K52" i="9"/>
  <c r="K27" i="9"/>
  <c r="K15" i="9"/>
  <c r="K36" i="9"/>
  <c r="K9" i="9"/>
  <c r="K58" i="9"/>
  <c r="B38" i="6"/>
  <c r="I38" i="6" s="1"/>
  <c r="J38" i="6" s="1"/>
  <c r="K41" i="5"/>
  <c r="K24" i="9"/>
  <c r="K53" i="9"/>
  <c r="K17" i="9"/>
  <c r="K38" i="9"/>
  <c r="K12" i="9"/>
  <c r="K21" i="9"/>
  <c r="K31" i="9"/>
  <c r="K13" i="9"/>
  <c r="K2" i="9"/>
  <c r="M15" i="9" s="1"/>
  <c r="K39" i="9"/>
  <c r="K20" i="9"/>
  <c r="K23" i="9"/>
  <c r="K47" i="9"/>
  <c r="K23" i="5"/>
  <c r="F63" i="4"/>
  <c r="B20" i="6"/>
  <c r="I20" i="6" s="1"/>
  <c r="J20" i="6" s="1"/>
  <c r="K20" i="5"/>
  <c r="B17" i="6"/>
  <c r="I17" i="6" s="1"/>
  <c r="J17" i="6" s="1"/>
  <c r="F60" i="4"/>
  <c r="B13" i="6"/>
  <c r="I13" i="6" s="1"/>
  <c r="J13" i="6" s="1"/>
  <c r="F56" i="4"/>
  <c r="K16" i="5"/>
  <c r="F73" i="4"/>
  <c r="K33" i="5"/>
  <c r="B30" i="6"/>
  <c r="I30" i="6" s="1"/>
  <c r="J30" i="6" s="1"/>
  <c r="F75" i="4"/>
  <c r="K35" i="5"/>
  <c r="B32" i="6"/>
  <c r="I32" i="6" s="1"/>
  <c r="J32" i="6" s="1"/>
  <c r="F55" i="4"/>
  <c r="B12" i="6"/>
  <c r="I12" i="6" s="1"/>
  <c r="J12" i="6" s="1"/>
  <c r="K15" i="5"/>
  <c r="N42" i="10"/>
  <c r="L42" i="10"/>
  <c r="M42" i="10" s="1"/>
  <c r="N4" i="10"/>
  <c r="L4" i="10"/>
  <c r="N9" i="10"/>
  <c r="L9" i="10"/>
  <c r="L39" i="10"/>
  <c r="M39" i="10" s="1"/>
  <c r="N39" i="10"/>
  <c r="H9" i="6"/>
  <c r="L12" i="5"/>
  <c r="N33" i="10"/>
  <c r="L33" i="10"/>
  <c r="M33" i="10" s="1"/>
  <c r="L32" i="10"/>
  <c r="M32" i="10" s="1"/>
  <c r="N32" i="10"/>
  <c r="L6" i="10"/>
  <c r="N6" i="10"/>
  <c r="N28" i="10"/>
  <c r="L28" i="10"/>
  <c r="L24" i="5"/>
  <c r="H21" i="6"/>
  <c r="N31" i="10"/>
  <c r="L31" i="10"/>
  <c r="L12" i="10"/>
  <c r="N12" i="10"/>
  <c r="L27" i="5"/>
  <c r="H24" i="6"/>
  <c r="L5" i="5"/>
  <c r="H2" i="6"/>
  <c r="L43" i="10"/>
  <c r="M43" i="10" s="1"/>
  <c r="N43" i="10"/>
  <c r="N26" i="10"/>
  <c r="L26" i="10"/>
  <c r="L18" i="10"/>
  <c r="N18" i="10"/>
  <c r="K51" i="9"/>
  <c r="L20" i="10"/>
  <c r="N20" i="10"/>
  <c r="K42" i="9"/>
  <c r="L45" i="5"/>
  <c r="M45" i="5" s="1"/>
  <c r="H42" i="6"/>
  <c r="L37" i="10"/>
  <c r="M37" i="10" s="1"/>
  <c r="N37" i="10"/>
  <c r="K3" i="9"/>
  <c r="K59" i="9"/>
  <c r="K6" i="9"/>
  <c r="L28" i="5"/>
  <c r="H25" i="6"/>
  <c r="L5" i="10"/>
  <c r="N5" i="10"/>
  <c r="L30" i="10"/>
  <c r="N30" i="10"/>
  <c r="L43" i="5"/>
  <c r="M43" i="5" s="1"/>
  <c r="H40" i="6"/>
  <c r="L40" i="10"/>
  <c r="M40" i="10" s="1"/>
  <c r="N40" i="10"/>
  <c r="L50" i="10"/>
  <c r="M50" i="10" s="1"/>
  <c r="N50" i="10"/>
  <c r="N36" i="10"/>
  <c r="L36" i="10"/>
  <c r="M36" i="10" s="1"/>
  <c r="N16" i="10"/>
  <c r="L16" i="10"/>
  <c r="L48" i="10"/>
  <c r="M48" i="10" s="1"/>
  <c r="N48" i="10"/>
  <c r="N17" i="10"/>
  <c r="L17" i="10"/>
  <c r="N44" i="10"/>
  <c r="L44" i="10"/>
  <c r="M44" i="10" s="1"/>
  <c r="N3" i="10"/>
  <c r="L3" i="10"/>
  <c r="H18" i="6"/>
  <c r="L21" i="5"/>
  <c r="L35" i="10"/>
  <c r="M35" i="10" s="1"/>
  <c r="N35" i="10"/>
  <c r="L51" i="10"/>
  <c r="M51" i="10" s="1"/>
  <c r="N51" i="10"/>
  <c r="N25" i="10"/>
  <c r="L25" i="10"/>
  <c r="L8" i="5"/>
  <c r="H5" i="6"/>
  <c r="N34" i="10"/>
  <c r="L34" i="10"/>
  <c r="M34" i="10" s="1"/>
  <c r="L19" i="10"/>
  <c r="N19" i="10"/>
  <c r="H16" i="6"/>
  <c r="L19" i="5"/>
  <c r="N21" i="10"/>
  <c r="L21" i="10"/>
  <c r="L37" i="5"/>
  <c r="H34" i="6"/>
  <c r="N45" i="10"/>
  <c r="L45" i="10"/>
  <c r="M45" i="10" s="1"/>
  <c r="L49" i="10"/>
  <c r="M49" i="10" s="1"/>
  <c r="N49" i="10"/>
  <c r="N27" i="10"/>
  <c r="L27" i="10"/>
  <c r="N23" i="10"/>
  <c r="L23" i="10"/>
  <c r="N11" i="10"/>
  <c r="L11" i="10"/>
  <c r="L29" i="10"/>
  <c r="N29" i="10"/>
  <c r="L46" i="10"/>
  <c r="M46" i="10" s="1"/>
  <c r="N46" i="10"/>
  <c r="N38" i="10"/>
  <c r="L38" i="10"/>
  <c r="M38" i="10" s="1"/>
  <c r="K50" i="9"/>
  <c r="K32" i="9"/>
  <c r="K33" i="9"/>
  <c r="K5" i="9"/>
  <c r="K29" i="9"/>
  <c r="N22" i="10"/>
  <c r="L22" i="10"/>
  <c r="N10" i="10"/>
  <c r="L10" i="10"/>
  <c r="L14" i="10"/>
  <c r="N14" i="10"/>
  <c r="L7" i="10"/>
  <c r="N7" i="10"/>
  <c r="L18" i="5"/>
  <c r="H15" i="6"/>
  <c r="N2" i="10"/>
  <c r="L2" i="10"/>
  <c r="L24" i="10"/>
  <c r="N24" i="10"/>
  <c r="L34" i="5"/>
  <c r="H31" i="6"/>
  <c r="L40" i="5"/>
  <c r="H37" i="6"/>
  <c r="N13" i="10"/>
  <c r="L13" i="10"/>
  <c r="N8" i="10"/>
  <c r="L8" i="10"/>
  <c r="L11" i="5"/>
  <c r="H8" i="6"/>
  <c r="N47" i="10"/>
  <c r="L47" i="10"/>
  <c r="M47" i="10" s="1"/>
  <c r="K7" i="9"/>
  <c r="K4" i="9"/>
  <c r="N15" i="10"/>
  <c r="L15" i="10"/>
  <c r="M15" i="10" s="1"/>
  <c r="N41" i="10"/>
  <c r="L41" i="10"/>
  <c r="M41" i="10" s="1"/>
  <c r="K55" i="9"/>
  <c r="M16" i="9" l="1"/>
  <c r="M41" i="9"/>
  <c r="O85" i="4"/>
  <c r="M85" i="4"/>
  <c r="K85" i="4"/>
  <c r="N85" i="4" s="1"/>
  <c r="M8" i="10"/>
  <c r="M7" i="10"/>
  <c r="M23" i="10"/>
  <c r="M36" i="9"/>
  <c r="Q36" i="9" s="1"/>
  <c r="M13" i="9"/>
  <c r="Q13" i="9" s="1"/>
  <c r="M2" i="9"/>
  <c r="M24" i="9"/>
  <c r="M35" i="9"/>
  <c r="Q35" i="9" s="1"/>
  <c r="M27" i="9"/>
  <c r="R27" i="9" s="1"/>
  <c r="M38" i="9"/>
  <c r="M20" i="9"/>
  <c r="M6" i="9"/>
  <c r="Q6" i="9" s="1"/>
  <c r="M12" i="10"/>
  <c r="M6" i="10"/>
  <c r="M22" i="10"/>
  <c r="M29" i="10"/>
  <c r="M7" i="9"/>
  <c r="T7" i="9" s="1"/>
  <c r="M30" i="9"/>
  <c r="M18" i="9"/>
  <c r="R18" i="9" s="1"/>
  <c r="M33" i="9"/>
  <c r="S33" i="9" s="1"/>
  <c r="M19" i="9"/>
  <c r="T19" i="9" s="1"/>
  <c r="M37" i="9"/>
  <c r="M23" i="9"/>
  <c r="T23" i="9" s="1"/>
  <c r="M9" i="9"/>
  <c r="P9" i="9" s="1"/>
  <c r="M40" i="9"/>
  <c r="R40" i="9" s="1"/>
  <c r="M22" i="9"/>
  <c r="M19" i="10"/>
  <c r="M30" i="10"/>
  <c r="M31" i="10"/>
  <c r="M28" i="10"/>
  <c r="M9" i="10"/>
  <c r="M14" i="10"/>
  <c r="M27" i="10"/>
  <c r="M21" i="10"/>
  <c r="M3" i="9"/>
  <c r="M32" i="9"/>
  <c r="O32" i="9" s="1"/>
  <c r="M31" i="9"/>
  <c r="P31" i="9" s="1"/>
  <c r="M39" i="9"/>
  <c r="M21" i="9"/>
  <c r="M11" i="9"/>
  <c r="S11" i="9" s="1"/>
  <c r="M26" i="9"/>
  <c r="S26" i="9" s="1"/>
  <c r="M28" i="9"/>
  <c r="M17" i="9"/>
  <c r="M34" i="9"/>
  <c r="P34" i="9" s="1"/>
  <c r="M25" i="9"/>
  <c r="O25" i="9" s="1"/>
  <c r="M25" i="10"/>
  <c r="M3" i="10"/>
  <c r="M17" i="10"/>
  <c r="M16" i="10"/>
  <c r="M18" i="10"/>
  <c r="M24" i="10"/>
  <c r="M11" i="10"/>
  <c r="M13" i="10"/>
  <c r="M2" i="10"/>
  <c r="M10" i="10"/>
  <c r="M5" i="9"/>
  <c r="O5" i="9" s="1"/>
  <c r="M12" i="9"/>
  <c r="T12" i="9" s="1"/>
  <c r="M29" i="9"/>
  <c r="M43" i="9"/>
  <c r="M42" i="9"/>
  <c r="P42" i="9" s="1"/>
  <c r="M10" i="9"/>
  <c r="R10" i="9" s="1"/>
  <c r="M8" i="9"/>
  <c r="M14" i="9"/>
  <c r="M4" i="9"/>
  <c r="Q4" i="9" s="1"/>
  <c r="M5" i="10"/>
  <c r="M20" i="10"/>
  <c r="M26" i="10"/>
  <c r="M4" i="10"/>
  <c r="L44" i="5"/>
  <c r="M44" i="5" s="1"/>
  <c r="H41" i="6"/>
  <c r="H26" i="6"/>
  <c r="L29" i="5"/>
  <c r="H6" i="6"/>
  <c r="L9" i="5"/>
  <c r="H28" i="6"/>
  <c r="L31" i="5"/>
  <c r="L22" i="5"/>
  <c r="H19" i="6"/>
  <c r="H12" i="6"/>
  <c r="L15" i="5"/>
  <c r="H32" i="6"/>
  <c r="L35" i="5"/>
  <c r="L36" i="5"/>
  <c r="H33" i="6"/>
  <c r="H23" i="6"/>
  <c r="L26" i="5"/>
  <c r="L42" i="5"/>
  <c r="M42" i="5" s="1"/>
  <c r="H39" i="6"/>
  <c r="L10" i="5"/>
  <c r="H7" i="6"/>
  <c r="L38" i="5"/>
  <c r="H35" i="6"/>
  <c r="L20" i="5"/>
  <c r="H17" i="6"/>
  <c r="L33" i="5"/>
  <c r="H30" i="6"/>
  <c r="L41" i="5"/>
  <c r="M41" i="5" s="1"/>
  <c r="H38" i="6"/>
  <c r="H22" i="6"/>
  <c r="L25" i="5"/>
  <c r="H4" i="6"/>
  <c r="L7" i="5"/>
  <c r="L16" i="5"/>
  <c r="H13" i="6"/>
  <c r="L23" i="5"/>
  <c r="H20" i="6"/>
  <c r="L30" i="5"/>
  <c r="H27" i="6"/>
  <c r="L17" i="5"/>
  <c r="H14" i="6"/>
  <c r="H29" i="6"/>
  <c r="L32" i="5"/>
  <c r="L6" i="5"/>
  <c r="M24" i="5" s="1"/>
  <c r="H3" i="6"/>
  <c r="L39" i="5"/>
  <c r="H36" i="6"/>
  <c r="Q16" i="9"/>
  <c r="P16" i="9"/>
  <c r="S16" i="9"/>
  <c r="T16" i="9"/>
  <c r="R16" i="9"/>
  <c r="O16" i="9"/>
  <c r="O36" i="9"/>
  <c r="P13" i="9"/>
  <c r="O13" i="9"/>
  <c r="S2" i="9"/>
  <c r="T2" i="9"/>
  <c r="P2" i="9"/>
  <c r="Q2" i="9"/>
  <c r="O2" i="9"/>
  <c r="R2" i="9"/>
  <c r="S24" i="9"/>
  <c r="T24" i="9"/>
  <c r="Q24" i="9"/>
  <c r="P24" i="9"/>
  <c r="R24" i="9"/>
  <c r="O24" i="9"/>
  <c r="O38" i="9"/>
  <c r="R38" i="9"/>
  <c r="Q38" i="9"/>
  <c r="P38" i="9"/>
  <c r="T38" i="9"/>
  <c r="S38" i="9"/>
  <c r="Q20" i="9"/>
  <c r="R20" i="9"/>
  <c r="P20" i="9"/>
  <c r="O20" i="9"/>
  <c r="T20" i="9"/>
  <c r="S20" i="9"/>
  <c r="S7" i="9"/>
  <c r="P18" i="9"/>
  <c r="R37" i="9"/>
  <c r="S37" i="9"/>
  <c r="O37" i="9"/>
  <c r="Q37" i="9"/>
  <c r="T37" i="9"/>
  <c r="P37" i="9"/>
  <c r="Q23" i="9"/>
  <c r="R9" i="9"/>
  <c r="T9" i="9"/>
  <c r="O40" i="9"/>
  <c r="P22" i="9"/>
  <c r="R22" i="9"/>
  <c r="O22" i="9"/>
  <c r="Q22" i="9"/>
  <c r="S22" i="9"/>
  <c r="T22" i="9"/>
  <c r="S30" i="9"/>
  <c r="O30" i="9"/>
  <c r="P30" i="9"/>
  <c r="T30" i="9"/>
  <c r="R30" i="9"/>
  <c r="Q30" i="9"/>
  <c r="T3" i="9"/>
  <c r="P3" i="9"/>
  <c r="S3" i="9"/>
  <c r="R3" i="9"/>
  <c r="Q3" i="9"/>
  <c r="O3" i="9"/>
  <c r="S32" i="9"/>
  <c r="Q32" i="9"/>
  <c r="R39" i="9"/>
  <c r="T39" i="9"/>
  <c r="Q39" i="9"/>
  <c r="O39" i="9"/>
  <c r="S39" i="9"/>
  <c r="P39" i="9"/>
  <c r="S21" i="9"/>
  <c r="R21" i="9"/>
  <c r="T21" i="9"/>
  <c r="Q21" i="9"/>
  <c r="O21" i="9"/>
  <c r="P21" i="9"/>
  <c r="Q11" i="9"/>
  <c r="P11" i="9"/>
  <c r="R11" i="9"/>
  <c r="T28" i="9"/>
  <c r="S28" i="9"/>
  <c r="Q28" i="9"/>
  <c r="O28" i="9"/>
  <c r="P28" i="9"/>
  <c r="R28" i="9"/>
  <c r="O17" i="9"/>
  <c r="R17" i="9"/>
  <c r="T17" i="9"/>
  <c r="Q17" i="9"/>
  <c r="S17" i="9"/>
  <c r="P17" i="9"/>
  <c r="T34" i="9"/>
  <c r="Q34" i="9"/>
  <c r="O34" i="9"/>
  <c r="S34" i="9"/>
  <c r="Q33" i="9"/>
  <c r="T33" i="9"/>
  <c r="O33" i="9"/>
  <c r="P33" i="9"/>
  <c r="T5" i="9"/>
  <c r="Q5" i="9"/>
  <c r="S29" i="9"/>
  <c r="T29" i="9"/>
  <c r="O29" i="9"/>
  <c r="Q29" i="9"/>
  <c r="R29" i="9"/>
  <c r="P29" i="9"/>
  <c r="Q43" i="9"/>
  <c r="R43" i="9"/>
  <c r="P43" i="9"/>
  <c r="O43" i="9"/>
  <c r="T43" i="9"/>
  <c r="S43" i="9"/>
  <c r="T42" i="9"/>
  <c r="R42" i="9"/>
  <c r="O42" i="9"/>
  <c r="O8" i="9"/>
  <c r="P8" i="9"/>
  <c r="Q8" i="9"/>
  <c r="T8" i="9"/>
  <c r="S8" i="9"/>
  <c r="R8" i="9"/>
  <c r="P14" i="9"/>
  <c r="T14" i="9"/>
  <c r="S14" i="9"/>
  <c r="Q14" i="9"/>
  <c r="O14" i="9"/>
  <c r="R14" i="9"/>
  <c r="O4" i="9"/>
  <c r="T4" i="9"/>
  <c r="S4" i="9"/>
  <c r="R4" i="9"/>
  <c r="Q15" i="9"/>
  <c r="O15" i="9"/>
  <c r="R15" i="9"/>
  <c r="T15" i="9"/>
  <c r="S15" i="9"/>
  <c r="P15" i="9"/>
  <c r="P41" i="9"/>
  <c r="R41" i="9"/>
  <c r="O41" i="9"/>
  <c r="S41" i="9"/>
  <c r="T41" i="9"/>
  <c r="Q41" i="9"/>
  <c r="M10" i="5" l="1"/>
  <c r="S27" i="9"/>
  <c r="M33" i="5"/>
  <c r="M22" i="5"/>
  <c r="M27" i="5"/>
  <c r="Q19" i="9"/>
  <c r="T27" i="9"/>
  <c r="S40" i="9"/>
  <c r="O7" i="9"/>
  <c r="P12" i="9"/>
  <c r="Q31" i="9"/>
  <c r="T40" i="9"/>
  <c r="R7" i="9"/>
  <c r="O27" i="9"/>
  <c r="S13" i="9"/>
  <c r="S10" i="9"/>
  <c r="Q42" i="9"/>
  <c r="P5" i="9"/>
  <c r="R5" i="9"/>
  <c r="R33" i="9"/>
  <c r="R34" i="9"/>
  <c r="P26" i="9"/>
  <c r="T11" i="9"/>
  <c r="R32" i="9"/>
  <c r="P32" i="9"/>
  <c r="R19" i="9"/>
  <c r="P19" i="9"/>
  <c r="Q40" i="9"/>
  <c r="O9" i="9"/>
  <c r="Q9" i="9"/>
  <c r="P7" i="9"/>
  <c r="Q27" i="9"/>
  <c r="P35" i="9"/>
  <c r="T13" i="9"/>
  <c r="M21" i="5"/>
  <c r="S19" i="9"/>
  <c r="P40" i="9"/>
  <c r="Q7" i="9"/>
  <c r="P27" i="9"/>
  <c r="P4" i="9"/>
  <c r="S42" i="9"/>
  <c r="S5" i="9"/>
  <c r="Q25" i="9"/>
  <c r="O11" i="9"/>
  <c r="T32" i="9"/>
  <c r="O19" i="9"/>
  <c r="S9" i="9"/>
  <c r="T6" i="9"/>
  <c r="R13" i="9"/>
  <c r="M18" i="5"/>
  <c r="O10" i="9"/>
  <c r="T10" i="9"/>
  <c r="O12" i="9"/>
  <c r="S12" i="9"/>
  <c r="R25" i="9"/>
  <c r="T26" i="9"/>
  <c r="S31" i="9"/>
  <c r="M13" i="5"/>
  <c r="S23" i="9"/>
  <c r="P23" i="9"/>
  <c r="O18" i="9"/>
  <c r="T18" i="9"/>
  <c r="M20" i="5"/>
  <c r="P6" i="9"/>
  <c r="S6" i="9"/>
  <c r="R35" i="9"/>
  <c r="O35" i="9"/>
  <c r="P36" i="9"/>
  <c r="S36" i="9"/>
  <c r="M39" i="5"/>
  <c r="M30" i="5"/>
  <c r="M16" i="5"/>
  <c r="M25" i="5"/>
  <c r="M37" i="5"/>
  <c r="M35" i="5"/>
  <c r="M9" i="5"/>
  <c r="M12" i="5"/>
  <c r="M8" i="5"/>
  <c r="M34" i="5"/>
  <c r="P10" i="9"/>
  <c r="Q12" i="9"/>
  <c r="T25" i="9"/>
  <c r="S25" i="9"/>
  <c r="O26" i="9"/>
  <c r="R26" i="9"/>
  <c r="R31" i="9"/>
  <c r="O31" i="9"/>
  <c r="O23" i="9"/>
  <c r="Q18" i="9"/>
  <c r="M5" i="5"/>
  <c r="R6" i="9"/>
  <c r="S35" i="9"/>
  <c r="T36" i="9"/>
  <c r="M17" i="5"/>
  <c r="M23" i="5"/>
  <c r="M7" i="5"/>
  <c r="M15" i="5"/>
  <c r="M31" i="5"/>
  <c r="M29" i="5"/>
  <c r="M19" i="5"/>
  <c r="M11" i="5"/>
  <c r="Q10" i="9"/>
  <c r="R12" i="9"/>
  <c r="P25" i="9"/>
  <c r="Q26" i="9"/>
  <c r="T31" i="9"/>
  <c r="R23" i="9"/>
  <c r="S18" i="9"/>
  <c r="M26" i="5"/>
  <c r="O6" i="9"/>
  <c r="T35" i="9"/>
  <c r="R36" i="9"/>
  <c r="M32" i="5"/>
  <c r="M38" i="5"/>
  <c r="M36" i="5"/>
  <c r="M6" i="5"/>
  <c r="M14" i="5"/>
  <c r="M40" i="5"/>
  <c r="M28" i="5"/>
  <c r="N23" i="5" l="1"/>
  <c r="N19" i="5"/>
  <c r="R19" i="5" s="1"/>
  <c r="N12" i="5"/>
  <c r="Q12" i="5" s="1"/>
  <c r="N21" i="5"/>
  <c r="P21" i="5" s="1"/>
  <c r="N9" i="5"/>
  <c r="P9" i="5" s="1"/>
  <c r="N36" i="5"/>
  <c r="R36" i="5" s="1"/>
  <c r="N16" i="5"/>
  <c r="R16" i="5" s="1"/>
  <c r="N28" i="5"/>
  <c r="R28" i="5" s="1"/>
  <c r="N29" i="5"/>
  <c r="R29" i="5" s="1"/>
  <c r="N37" i="5"/>
  <c r="R37" i="5" s="1"/>
  <c r="N15" i="5"/>
  <c r="R15" i="5" s="1"/>
  <c r="N40" i="5"/>
  <c r="Q40" i="5" s="1"/>
  <c r="N24" i="5"/>
  <c r="N6" i="5"/>
  <c r="Q6" i="5" s="1"/>
  <c r="N44" i="5"/>
  <c r="Q44" i="5" s="1"/>
  <c r="N27" i="5"/>
  <c r="R27" i="5" s="1"/>
  <c r="N39" i="5"/>
  <c r="N20" i="5"/>
  <c r="P20" i="5" s="1"/>
  <c r="N45" i="5"/>
  <c r="P45" i="5" s="1"/>
  <c r="N34" i="5"/>
  <c r="P34" i="5" s="1"/>
  <c r="N14" i="5"/>
  <c r="N46" i="5"/>
  <c r="Q46" i="5" s="1"/>
  <c r="N10" i="5"/>
  <c r="P10" i="5" s="1"/>
  <c r="N42" i="5"/>
  <c r="R42" i="5" s="1"/>
  <c r="N5" i="5"/>
  <c r="Q5" i="5" s="1"/>
  <c r="N33" i="5"/>
  <c r="Q33" i="5" s="1"/>
  <c r="N11" i="5"/>
  <c r="R11" i="5" s="1"/>
  <c r="N13" i="5"/>
  <c r="Q13" i="5" s="1"/>
  <c r="N8" i="5"/>
  <c r="P8" i="5" s="1"/>
  <c r="N31" i="5"/>
  <c r="R31" i="5" s="1"/>
  <c r="N22" i="5"/>
  <c r="P22" i="5" s="1"/>
  <c r="N32" i="5"/>
  <c r="R32" i="5" s="1"/>
  <c r="N41" i="5"/>
  <c r="P41" i="5" s="1"/>
  <c r="N26" i="5"/>
  <c r="R26" i="5" s="1"/>
  <c r="N43" i="5"/>
  <c r="R43" i="5" s="1"/>
  <c r="N18" i="5"/>
  <c r="Q18" i="5" s="1"/>
  <c r="N35" i="5"/>
  <c r="R35" i="5" s="1"/>
  <c r="N17" i="5"/>
  <c r="Q17" i="5" s="1"/>
  <c r="N25" i="5"/>
  <c r="R25" i="5" s="1"/>
  <c r="N7" i="5"/>
  <c r="P7" i="5" s="1"/>
  <c r="N38" i="5"/>
  <c r="N30" i="5"/>
  <c r="R30" i="5" s="1"/>
  <c r="Q15" i="5"/>
  <c r="P28" i="5"/>
  <c r="Q19" i="5"/>
  <c r="P19" i="5"/>
  <c r="P29" i="5"/>
  <c r="Q29" i="5"/>
  <c r="R9" i="5"/>
  <c r="Q9" i="5"/>
  <c r="P23" i="5"/>
  <c r="R23" i="5"/>
  <c r="Q23" i="5"/>
  <c r="P16" i="5"/>
  <c r="Q37" i="5"/>
  <c r="P13" i="5"/>
  <c r="P36" i="5"/>
  <c r="Q36" i="5"/>
  <c r="R24" i="5"/>
  <c r="Q24" i="5"/>
  <c r="P24" i="5"/>
  <c r="Q27" i="5"/>
  <c r="R39" i="5"/>
  <c r="Q39" i="5"/>
  <c r="P39" i="5"/>
  <c r="Q14" i="5"/>
  <c r="P14" i="5"/>
  <c r="R14" i="5"/>
  <c r="P40" i="5"/>
  <c r="R46" i="5"/>
  <c r="Q8" i="5"/>
  <c r="R8" i="5"/>
  <c r="Q10" i="5"/>
  <c r="P31" i="5"/>
  <c r="Q42" i="5"/>
  <c r="Q32" i="5"/>
  <c r="R5" i="5"/>
  <c r="P5" i="5"/>
  <c r="R41" i="5"/>
  <c r="Q41" i="5"/>
  <c r="P18" i="5"/>
  <c r="Q35" i="5"/>
  <c r="P35" i="5"/>
  <c r="Q7" i="5"/>
  <c r="P38" i="5"/>
  <c r="Q38" i="5"/>
  <c r="R38" i="5"/>
  <c r="R21" i="5" l="1"/>
  <c r="P32" i="5"/>
  <c r="P42" i="5"/>
  <c r="R40" i="5"/>
  <c r="P27" i="5"/>
  <c r="R13" i="5"/>
  <c r="P12" i="5"/>
  <c r="R18" i="5"/>
  <c r="R34" i="5"/>
  <c r="R7" i="5"/>
  <c r="Q21" i="5"/>
  <c r="Q34" i="5"/>
  <c r="Q28" i="5"/>
  <c r="R12" i="5"/>
  <c r="P11" i="5"/>
  <c r="Q22" i="5"/>
  <c r="Q16" i="5"/>
  <c r="R17" i="5"/>
  <c r="R33" i="5"/>
  <c r="Q45" i="5"/>
  <c r="R44" i="5"/>
  <c r="P37" i="5"/>
  <c r="P15" i="5"/>
  <c r="P30" i="5"/>
  <c r="Q20" i="5"/>
  <c r="R6" i="5"/>
  <c r="Q31" i="5"/>
  <c r="Q26" i="5"/>
  <c r="Q43" i="5"/>
  <c r="P25" i="5"/>
  <c r="R10" i="5"/>
  <c r="T15" i="5" s="1" a="1"/>
  <c r="T15" i="5" s="1"/>
  <c r="P33" i="5"/>
  <c r="P46" i="5"/>
  <c r="P26" i="5"/>
  <c r="R20" i="5"/>
  <c r="P6" i="5"/>
  <c r="Q25" i="5"/>
  <c r="Q11" i="5"/>
  <c r="R45" i="5"/>
  <c r="P44" i="5"/>
  <c r="P43" i="5"/>
  <c r="Q30" i="5"/>
  <c r="P17" i="5"/>
  <c r="R22" i="5"/>
  <c r="S15" i="5" l="1"/>
</calcChain>
</file>

<file path=xl/sharedStrings.xml><?xml version="1.0" encoding="utf-8"?>
<sst xmlns="http://schemas.openxmlformats.org/spreadsheetml/2006/main" count="934" uniqueCount="586">
  <si>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</si>
  <si>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</si>
  <si>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</si>
  <si>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</si>
  <si>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</si>
  <si>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</si>
  <si>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</si>
  <si>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</si>
  <si>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</si>
  <si>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</si>
  <si>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</si>
  <si>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</si>
  <si>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</si>
  <si>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</si>
  <si>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</si>
  <si>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</si>
  <si>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</si>
  <si>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</si>
  <si>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</si>
  <si>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</si>
  <si>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</si>
  <si>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</si>
  <si>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</si>
  <si>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</si>
  <si>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</si>
  <si>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John</t>
  </si>
  <si>
    <t>Mike</t>
  </si>
  <si>
    <t>David</t>
  </si>
  <si>
    <t>Geoff</t>
  </si>
  <si>
    <t>Tony</t>
  </si>
  <si>
    <t>Andy</t>
  </si>
  <si>
    <t>Colin</t>
  </si>
  <si>
    <t>Jeff</t>
  </si>
  <si>
    <t>Rick</t>
  </si>
  <si>
    <t>Chris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</si>
  <si>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</si>
  <si>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</si>
  <si>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</si>
  <si>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</si>
  <si>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</si>
  <si>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</si>
  <si>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</si>
  <si>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</si>
  <si>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</si>
  <si>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</si>
  <si>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Cooper G</t>
  </si>
  <si>
    <t>TEDU</t>
  </si>
  <si>
    <t>JOEL</t>
  </si>
  <si>
    <t>JOLE</t>
  </si>
  <si>
    <t>Leadley J</t>
  </si>
  <si>
    <t>ANMA</t>
  </si>
  <si>
    <t>Mander A</t>
  </si>
  <si>
    <t>COMA</t>
  </si>
  <si>
    <t>Mander C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</si>
  <si>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</si>
  <si>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</si>
  <si>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</si>
  <si>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</si>
  <si>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</si>
  <si>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</si>
  <si>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</si>
  <si>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</si>
  <si>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</si>
  <si>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</si>
  <si>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</si>
  <si>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</si>
  <si>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</si>
  <si>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</si>
  <si>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</si>
  <si>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</si>
  <si>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</si>
  <si>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</si>
  <si>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</si>
  <si>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</si>
  <si>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</si>
  <si>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</si>
  <si>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</si>
  <si>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</si>
  <si>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</si>
  <si>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</si>
  <si>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</si>
  <si>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</si>
  <si>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</si>
  <si>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</si>
  <si>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</si>
  <si>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</si>
  <si>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</si>
  <si>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</si>
  <si>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</si>
  <si>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</si>
  <si>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</si>
  <si>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</si>
  <si>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</si>
  <si>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</si>
  <si>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</si>
  <si>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</si>
  <si>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</si>
  <si>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</si>
  <si>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</si>
  <si>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</si>
  <si>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</si>
  <si>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</si>
  <si>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</si>
  <si>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</si>
  <si>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</si>
  <si>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</si>
  <si>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</si>
  <si>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</si>
  <si>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</si>
  <si>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</si>
  <si>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</si>
  <si>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</si>
  <si>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</si>
  <si>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</si>
  <si>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</si>
  <si>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</si>
  <si>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</si>
  <si>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</si>
  <si>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</si>
  <si>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</si>
  <si>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</si>
  <si>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</si>
  <si>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Mander N</t>
  </si>
  <si>
    <t>Neil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</si>
  <si>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</si>
  <si>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</si>
  <si>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</si>
  <si>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</si>
  <si>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</si>
  <si>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</si>
  <si>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</si>
  <si>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</si>
  <si>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</si>
  <si>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</si>
  <si>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</si>
  <si>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</si>
  <si>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</si>
  <si>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</si>
  <si>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</si>
  <si>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</si>
  <si>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</si>
  <si>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</si>
  <si>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</si>
  <si>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</si>
  <si>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</si>
  <si>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</si>
  <si>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</si>
  <si>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</si>
  <si>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</si>
  <si>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</si>
  <si>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</si>
  <si>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</si>
  <si>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</si>
  <si>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Brocks D</t>
  </si>
  <si>
    <t>Clark C</t>
  </si>
  <si>
    <t>Coloe A</t>
  </si>
  <si>
    <t>Elliston J</t>
  </si>
  <si>
    <t>Lestrelle J</t>
  </si>
  <si>
    <t>Patel N</t>
  </si>
  <si>
    <t>Sharpe D</t>
  </si>
  <si>
    <t>Snow D</t>
  </si>
  <si>
    <t>Springer T</t>
  </si>
  <si>
    <t>Woodhouse M</t>
  </si>
  <si>
    <t>Worthington R</t>
  </si>
  <si>
    <t>Total balls</t>
  </si>
  <si>
    <t>Max Overs</t>
  </si>
  <si>
    <t>DACO</t>
  </si>
  <si>
    <t>Players</t>
  </si>
  <si>
    <t>times chosen</t>
  </si>
  <si>
    <t>1st Inns</t>
  </si>
  <si>
    <t>PctInBdries</t>
  </si>
  <si>
    <t>Chris Clark</t>
  </si>
  <si>
    <t>Naimish</t>
  </si>
  <si>
    <t>Roy</t>
  </si>
  <si>
    <t>Odeneal R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</si>
  <si>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</si>
  <si>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</si>
  <si>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</si>
  <si>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</si>
  <si>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</si>
  <si>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</si>
  <si>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</si>
  <si>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</si>
  <si>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</si>
  <si>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</si>
  <si>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</si>
  <si>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</si>
  <si>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</si>
  <si>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</si>
  <si>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</si>
  <si>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</si>
  <si>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</t>
  </si>
  <si>
    <t>Aiden Coloe</t>
  </si>
  <si>
    <t>Clive</t>
  </si>
  <si>
    <t>Edghill C</t>
  </si>
  <si>
    <t>Adam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</si>
  <si>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</si>
  <si>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</si>
  <si>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</si>
  <si>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</si>
  <si>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</si>
  <si>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</si>
  <si>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</si>
  <si>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</si>
  <si>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</si>
  <si>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</si>
  <si>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</si>
  <si>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</si>
  <si>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</si>
  <si>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</si>
  <si>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Paul</t>
  </si>
  <si>
    <t>Murphy P</t>
  </si>
  <si>
    <t>TOCC Runs</t>
  </si>
  <si>
    <t>Opp Runs</t>
  </si>
  <si>
    <t>TOCC Wkts</t>
  </si>
  <si>
    <t>Opp Wkts</t>
  </si>
  <si>
    <t>Pos</t>
  </si>
  <si>
    <t>Lashley W</t>
  </si>
  <si>
    <t>Rob</t>
  </si>
  <si>
    <t>Greyling R</t>
  </si>
  <si>
    <t>Total Overs</t>
  </si>
  <si>
    <t>Runs/100 balls</t>
  </si>
  <si>
    <t>High:</t>
  </si>
  <si>
    <t>Low:</t>
  </si>
  <si>
    <t>Table to end of season</t>
  </si>
  <si>
    <t>Pts/£</t>
  </si>
  <si>
    <t>Maiden %</t>
  </si>
  <si>
    <t>Richard</t>
  </si>
  <si>
    <t>Wiseman R</t>
  </si>
  <si>
    <t>/hw</t>
  </si>
  <si>
    <t>Wayne</t>
  </si>
  <si>
    <t>A</t>
  </si>
  <si>
    <t>Spencer</t>
  </si>
  <si>
    <t>D</t>
  </si>
  <si>
    <t>Kiernan M</t>
  </si>
  <si>
    <t>Matt</t>
  </si>
  <si>
    <t>Smith C</t>
  </si>
  <si>
    <t>Sat</t>
  </si>
  <si>
    <t>Sun/Midweek</t>
  </si>
  <si>
    <t>Bowlers</t>
  </si>
  <si>
    <t>10+ wickets</t>
  </si>
  <si>
    <t/>
  </si>
  <si>
    <t>Batters</t>
  </si>
  <si>
    <t>Capt Name</t>
  </si>
  <si>
    <t>Rollins R</t>
  </si>
  <si>
    <t>Johnson A</t>
  </si>
  <si>
    <t>Daniel</t>
  </si>
  <si>
    <t>Edghill D</t>
  </si>
  <si>
    <t>de Souza C</t>
  </si>
  <si>
    <t>Clayton</t>
  </si>
  <si>
    <t>Seymour C</t>
  </si>
  <si>
    <t>John Fisher</t>
  </si>
  <si>
    <t>H</t>
  </si>
  <si>
    <t>Hardware 73, Sullivan 72, Lestrelle J 3-39</t>
  </si>
  <si>
    <t>Leadley 51, Ashley 6-32</t>
  </si>
  <si>
    <t>Queries</t>
  </si>
  <si>
    <t>Who kept wicket?</t>
  </si>
  <si>
    <t>1/51/c/0/6.3</t>
  </si>
  <si>
    <t>3/0/b/0/0</t>
  </si>
  <si>
    <t>4/4/c/1/1.0</t>
  </si>
  <si>
    <t>5/6/c/0/1.0</t>
  </si>
  <si>
    <t>6/14/c/1/2.1</t>
  </si>
  <si>
    <t>7/9/no/0/2.0</t>
  </si>
  <si>
    <t>8/8/c/0/2.0</t>
  </si>
  <si>
    <t>9/5/lb/1/1.0</t>
  </si>
  <si>
    <t>10/1/no/0/0</t>
  </si>
  <si>
    <t>11/0/dnb*/0/0</t>
  </si>
  <si>
    <t>7/1/22/0/0/0</t>
  </si>
  <si>
    <t>8/0/41/1/0/0</t>
  </si>
  <si>
    <t>5/0/40/0/0/0</t>
  </si>
  <si>
    <t>7/0/46/1/0/0</t>
  </si>
  <si>
    <t>5/0/39/3/0/0</t>
  </si>
  <si>
    <t>9/3/21/0/0/0</t>
  </si>
  <si>
    <t>Riverside</t>
  </si>
  <si>
    <t>Jeavons 67</t>
  </si>
  <si>
    <t>Edghill 32</t>
  </si>
  <si>
    <t>50+</t>
  </si>
  <si>
    <t>Partnerships</t>
  </si>
  <si>
    <t>5+ wickets</t>
  </si>
  <si>
    <t>50 Partnership Participations</t>
  </si>
  <si>
    <t>Edghill</t>
  </si>
  <si>
    <t>Greyling</t>
  </si>
  <si>
    <t>1/32/c/0/6.0</t>
  </si>
  <si>
    <t>2/19/b/0/4.0</t>
  </si>
  <si>
    <t>3/1/ro/0/0</t>
  </si>
  <si>
    <t>Phil</t>
  </si>
  <si>
    <t>Chaffey P</t>
  </si>
  <si>
    <t>5/0/b/1/0</t>
  </si>
  <si>
    <t>6/11/b/0/1.0</t>
  </si>
  <si>
    <t>Ian</t>
  </si>
  <si>
    <t>Nurdin I</t>
  </si>
  <si>
    <t>7/9/c/0/1.0</t>
  </si>
  <si>
    <t>8/27/no/1/1.2</t>
  </si>
  <si>
    <t>9/6/no/0/0</t>
  </si>
  <si>
    <t>10/0/dnb*/0/0</t>
  </si>
  <si>
    <t>9/1/27/1/0/0</t>
  </si>
  <si>
    <t>8/1/71/2</t>
  </si>
  <si>
    <t>6/0/58/0</t>
  </si>
  <si>
    <t>1/0/4/0</t>
  </si>
  <si>
    <t>0.5/0/6/1</t>
  </si>
  <si>
    <t>Churchleigh</t>
  </si>
  <si>
    <t>ND</t>
  </si>
  <si>
    <t>Dyal 66</t>
  </si>
  <si>
    <t>1/0/dnb/0/0</t>
  </si>
  <si>
    <t>2/0/dnb/0/0</t>
  </si>
  <si>
    <t>3/0/dnb/1/0</t>
  </si>
  <si>
    <t>4/0/dnb/0/0</t>
  </si>
  <si>
    <t>6/0/dnb/1/0</t>
  </si>
  <si>
    <t>7/0/dnb/0/0</t>
  </si>
  <si>
    <t>Sully A</t>
  </si>
  <si>
    <t>8/0/dnb+/1.1/0</t>
  </si>
  <si>
    <t>5/0/dnb*/1/0</t>
  </si>
  <si>
    <t>9/0/dnb/0/0</t>
  </si>
  <si>
    <t>10/0/dnb/0/0</t>
  </si>
  <si>
    <t>11/0/dnb/0/0</t>
  </si>
  <si>
    <t>8/1/28/0</t>
  </si>
  <si>
    <t>8/1/33/2</t>
  </si>
  <si>
    <t>4/0/36/1</t>
  </si>
  <si>
    <t>2/0/19/0</t>
  </si>
  <si>
    <t>2/0/21/0</t>
  </si>
  <si>
    <t>8/0/41/2</t>
  </si>
  <si>
    <t>8/2/30/1</t>
  </si>
  <si>
    <t>Steeple Langford</t>
  </si>
  <si>
    <t>T</t>
  </si>
  <si>
    <t>TOCC</t>
  </si>
  <si>
    <t>Edghill 46</t>
  </si>
  <si>
    <t>1/46/lb/0/6.0</t>
  </si>
  <si>
    <t>2/3/b+/0.1/0</t>
  </si>
  <si>
    <t>3/5/ro/0/0</t>
  </si>
  <si>
    <t>4/32/c/0/5.1</t>
  </si>
  <si>
    <t>5/1/b/0/0</t>
  </si>
  <si>
    <t>6/33/no/1/5.1</t>
  </si>
  <si>
    <t>8/0/dnb/1/0</t>
  </si>
  <si>
    <t>7/4/11/1</t>
  </si>
  <si>
    <t>7/1/20/1</t>
  </si>
  <si>
    <t>5/0/27/1</t>
  </si>
  <si>
    <t>4/1/19/1</t>
  </si>
  <si>
    <t>5/2/19/2</t>
  </si>
  <si>
    <t>7/0/30/2</t>
  </si>
  <si>
    <t>Cove</t>
  </si>
  <si>
    <t>L</t>
  </si>
  <si>
    <t>Woodhouse 4-14</t>
  </si>
  <si>
    <t>Edghill 58</t>
  </si>
  <si>
    <t>Alex</t>
  </si>
  <si>
    <t>Gibb A</t>
  </si>
  <si>
    <t>1/4/b/1/0</t>
  </si>
  <si>
    <t>2/58/c/0/7.0</t>
  </si>
  <si>
    <t>3/1/ro+/2.1/0</t>
  </si>
  <si>
    <t>4/0/b/1/0</t>
  </si>
  <si>
    <t>5/0/b/0/0</t>
  </si>
  <si>
    <t>6/15/b*/0/0</t>
  </si>
  <si>
    <t>7/2/b/0/0</t>
  </si>
  <si>
    <t>8/27/b/0/3.0</t>
  </si>
  <si>
    <t>9/2/no/1/0</t>
  </si>
  <si>
    <t>10/2/no/1/0</t>
  </si>
  <si>
    <t>9/1/22/0</t>
  </si>
  <si>
    <t>9/2/15/2</t>
  </si>
  <si>
    <t>9/1/22/1</t>
  </si>
  <si>
    <t>9/4/35/2</t>
  </si>
  <si>
    <t>3/0/36/0</t>
  </si>
  <si>
    <t>4/0/31/0</t>
  </si>
  <si>
    <t>2/0/14/4</t>
  </si>
  <si>
    <t>Beddington</t>
  </si>
  <si>
    <t>W</t>
  </si>
  <si>
    <t>Cooper 8-34</t>
  </si>
  <si>
    <t>Iceman 5-13</t>
  </si>
  <si>
    <t>1/4/c/0/0</t>
  </si>
  <si>
    <t>2/19/c/0/3.0</t>
  </si>
  <si>
    <t>3/16/c+/1.0/1.0</t>
  </si>
  <si>
    <t>4/32/b/0/5.0</t>
  </si>
  <si>
    <t>5/1/c/0/0</t>
  </si>
  <si>
    <t>7/0/b/0/0</t>
  </si>
  <si>
    <t>8/1/b/0/0</t>
  </si>
  <si>
    <t>6/7/b/2/0</t>
  </si>
  <si>
    <t>9/4/b/0/0</t>
  </si>
  <si>
    <t>10/2/no*/0/0</t>
  </si>
  <si>
    <t>11/0/no/0/0</t>
  </si>
  <si>
    <t>6/2/10/1</t>
  </si>
  <si>
    <t>3/0/24/0</t>
  </si>
  <si>
    <t>12.1/1/34/8</t>
  </si>
  <si>
    <t>5/0/45/1</t>
  </si>
  <si>
    <t>5/2/9/0</t>
  </si>
  <si>
    <t>Vishwa</t>
  </si>
  <si>
    <t>Clark 6-35</t>
  </si>
  <si>
    <t>Middleton 50</t>
  </si>
  <si>
    <t>1/13/c/1/2.0</t>
  </si>
  <si>
    <t>2/5/c/0/1.0</t>
  </si>
  <si>
    <t>3/26/b/1/5.0</t>
  </si>
  <si>
    <t>4/50/lb/0/7.1</t>
  </si>
  <si>
    <t>5/17/c/0/4.0</t>
  </si>
  <si>
    <t>6/14/lb/0/3.0</t>
  </si>
  <si>
    <t>7/0/c/0/0</t>
  </si>
  <si>
    <t>8/0/b/1/0</t>
  </si>
  <si>
    <t>9/13/no+/1/2.0</t>
  </si>
  <si>
    <t>10/0/no/1/0</t>
  </si>
  <si>
    <t>6/1/46/1</t>
  </si>
  <si>
    <t>7/0/24/1</t>
  </si>
  <si>
    <t>10/3/35/6</t>
  </si>
  <si>
    <t>8/0/59/1</t>
  </si>
  <si>
    <t>Nazeem 71, Cooper 4-59</t>
  </si>
  <si>
    <t>Dillingham 3-11</t>
  </si>
  <si>
    <t>1/9/b/0/1.0</t>
  </si>
  <si>
    <t>2/28/c+/1.2/5.0</t>
  </si>
  <si>
    <t>3/1/b/0/0</t>
  </si>
  <si>
    <t>4/9/c/1/1.0</t>
  </si>
  <si>
    <t>5/4/st/1/0</t>
  </si>
  <si>
    <t>6/1/lb/0/0</t>
  </si>
  <si>
    <t>7/14/b/0/3.0</t>
  </si>
  <si>
    <t>8/9/c/0/1.0</t>
  </si>
  <si>
    <t>9/3/c/0/0</t>
  </si>
  <si>
    <t>10/0/b/0/0</t>
  </si>
  <si>
    <t>11/4/no*/0/0</t>
  </si>
  <si>
    <t>8/2/32/2</t>
  </si>
  <si>
    <t>5/3/9/0</t>
  </si>
  <si>
    <t>5/0/27/0</t>
  </si>
  <si>
    <t>4/0/23/1</t>
  </si>
  <si>
    <t>2/0/22/1</t>
  </si>
  <si>
    <t>8/0/59/4</t>
  </si>
  <si>
    <t>8/0/56/0</t>
  </si>
  <si>
    <t>Norwood Exiles</t>
  </si>
  <si>
    <t>Patel R 75, Clark 3-13</t>
  </si>
  <si>
    <t>1/4/lb/0/0</t>
  </si>
  <si>
    <t>2/9/b/1/2.0</t>
  </si>
  <si>
    <t>3/5/b+/3.1/1.0</t>
  </si>
  <si>
    <t>4/0/lb/0/0</t>
  </si>
  <si>
    <t>5/2/lb/0/0</t>
  </si>
  <si>
    <t>6/8/b/0/1.0</t>
  </si>
  <si>
    <t>7/18/no/0/3.0</t>
  </si>
  <si>
    <t>8/0/ro/0/0</t>
  </si>
  <si>
    <t>9/10/b/1/1.0</t>
  </si>
  <si>
    <t>9/5/22/1</t>
  </si>
  <si>
    <t>7/2/31/1</t>
  </si>
  <si>
    <t>4/0/27/0</t>
  </si>
  <si>
    <t>10/0/48/3</t>
  </si>
  <si>
    <t>5/1/13/3</t>
  </si>
  <si>
    <t>2.1/0/2/1</t>
  </si>
  <si>
    <t>Beckenham Dads</t>
  </si>
  <si>
    <t>Only know 4 players - who else in team?</t>
  </si>
  <si>
    <t>6/1/30/0</t>
  </si>
  <si>
    <t>6/1/21/2</t>
  </si>
  <si>
    <t>3/0/20/1</t>
  </si>
  <si>
    <t>3/0/13/1</t>
  </si>
  <si>
    <t>Sanderstead</t>
  </si>
  <si>
    <t>Martin-Henry 78*, Lemon 69</t>
  </si>
  <si>
    <t>1/3/b/0/0</t>
  </si>
  <si>
    <t>2/1/ro/0/0</t>
  </si>
  <si>
    <t>4/1/b/0/0</t>
  </si>
  <si>
    <t>5/2/ro/1/0</t>
  </si>
  <si>
    <t>6/20/c*/0/4.0</t>
  </si>
  <si>
    <t>8/4/no/0/1.0</t>
  </si>
  <si>
    <t>9/2/c/1/0</t>
  </si>
  <si>
    <t>12/0/53/1</t>
  </si>
  <si>
    <t>8/1/24/1</t>
  </si>
  <si>
    <t>5/0/30/0</t>
  </si>
  <si>
    <t>12/0/41/1</t>
  </si>
  <si>
    <t>3/0/19/0</t>
  </si>
  <si>
    <t>1/0/13/0</t>
  </si>
  <si>
    <t>Morden</t>
  </si>
  <si>
    <t>Jaratt 55</t>
  </si>
  <si>
    <t>1/4/b/0/1.0</t>
  </si>
  <si>
    <t>2/0/b+/2.0/0</t>
  </si>
  <si>
    <t>3/20/c/0/2.0</t>
  </si>
  <si>
    <t>4/12/b/0/3.0</t>
  </si>
  <si>
    <t>5/0/rh/0/0</t>
  </si>
  <si>
    <t>Tim</t>
  </si>
  <si>
    <t>Fisher T</t>
  </si>
  <si>
    <t>6/28/no/0/5.0</t>
  </si>
  <si>
    <t>7/0/lb/0/0</t>
  </si>
  <si>
    <t>9/19/no*/0/3.0</t>
  </si>
  <si>
    <t>11/0/dnb/1/0</t>
  </si>
  <si>
    <t>8/2/32/1</t>
  </si>
  <si>
    <t>8/2/25/1</t>
  </si>
  <si>
    <t>6/2/24/0</t>
  </si>
  <si>
    <t>8/0/52/3</t>
  </si>
  <si>
    <t>3/0/25/0</t>
  </si>
  <si>
    <t>3/0/15/2</t>
  </si>
  <si>
    <t>2/0/11/2</t>
  </si>
  <si>
    <t>Dyce 110, Cooper 3-45</t>
  </si>
  <si>
    <t>Edghill 48, Hardware 4-21</t>
  </si>
  <si>
    <t>1/48/lb/0/6.1</t>
  </si>
  <si>
    <t>3/0/ro/0/0</t>
  </si>
  <si>
    <t>4/13/b/1/1.0</t>
  </si>
  <si>
    <t>5/18/c/1/3.0</t>
  </si>
  <si>
    <t>6/5/lb/0/1.0</t>
  </si>
  <si>
    <t>8/7/c*+/1.1/0</t>
  </si>
  <si>
    <t>9/0/c/0/0</t>
  </si>
  <si>
    <t>10/1/c/1/0</t>
  </si>
  <si>
    <t>11/5/no/1/0</t>
  </si>
  <si>
    <t>5/0/37/1</t>
  </si>
  <si>
    <t>11/2/45/3</t>
  </si>
  <si>
    <t>Clark 6-33</t>
  </si>
  <si>
    <t>Middleton 51</t>
  </si>
  <si>
    <t>1/15/lb/0/2.0</t>
  </si>
  <si>
    <t>2/5/b/0/1.0</t>
  </si>
  <si>
    <t>Dhanjal</t>
  </si>
  <si>
    <t>3/4/c/0/0</t>
  </si>
  <si>
    <t>4/51/c/1/8.1</t>
  </si>
  <si>
    <t>5/13/b/1/1.0</t>
  </si>
  <si>
    <t>6/0/ro+/1.0/0</t>
  </si>
  <si>
    <t>8/2/b/0/0</t>
  </si>
  <si>
    <t>9/1/c/0/0</t>
  </si>
  <si>
    <t>10/6/no/1/1.0</t>
  </si>
  <si>
    <t>11/0/no*/0/0</t>
  </si>
  <si>
    <t>7/0/25/0</t>
  </si>
  <si>
    <t>6/0/13/0</t>
  </si>
  <si>
    <t>Dhanjal or Danjel?</t>
  </si>
  <si>
    <t>3/0/23/0</t>
  </si>
  <si>
    <t>9/0/33/6</t>
  </si>
  <si>
    <t>4/0/12/0</t>
  </si>
  <si>
    <t>7/1/51/1</t>
  </si>
  <si>
    <t>7/0/32/1</t>
  </si>
  <si>
    <t>1/17/c/0/3.0</t>
  </si>
  <si>
    <t>2/13/b/0/1.0</t>
  </si>
  <si>
    <t>3/7/c+/2.2/1.0</t>
  </si>
  <si>
    <t>4/28/no/0/2.0</t>
  </si>
  <si>
    <t>5/38/c/0/4.2</t>
  </si>
  <si>
    <t>Hargreve J</t>
  </si>
  <si>
    <t>Jack</t>
  </si>
  <si>
    <t>6/4/c/0/0</t>
  </si>
  <si>
    <t>7/6/no/0/0</t>
  </si>
  <si>
    <t>10/0/dnb/1/0</t>
  </si>
  <si>
    <t>8/0/dnb*/1/0</t>
  </si>
  <si>
    <t>5.5/0/17/2</t>
  </si>
  <si>
    <t>6/0/29/0</t>
  </si>
  <si>
    <t>8/2/28/0</t>
  </si>
  <si>
    <t>6/0/26/2</t>
  </si>
  <si>
    <t>Hargreve</t>
  </si>
  <si>
    <t>3/0/10/1</t>
  </si>
  <si>
    <t>Seymour</t>
  </si>
  <si>
    <t>28*</t>
  </si>
  <si>
    <t>1/15/c+/1.1/1.0</t>
  </si>
  <si>
    <t>2/9/b/0/1.0</t>
  </si>
  <si>
    <t>3/0/b/1/0</t>
  </si>
  <si>
    <t>4/6/b/0/0</t>
  </si>
  <si>
    <t>5/1/lb/0/0</t>
  </si>
  <si>
    <t>6/0/c/0/0</t>
  </si>
  <si>
    <t>7/10/c/0/1.0</t>
  </si>
  <si>
    <t>8/9/b/0/0</t>
  </si>
  <si>
    <t>9/0/b/0/0</t>
  </si>
  <si>
    <t>10/7/no/0/0</t>
  </si>
  <si>
    <t>11/4/b*/1/1.0</t>
  </si>
  <si>
    <t>7.5/2/17/2</t>
  </si>
  <si>
    <t>Middleton J</t>
  </si>
  <si>
    <t>5/0/34/0</t>
  </si>
  <si>
    <t>7/0/42/1</t>
  </si>
  <si>
    <t>7/2/19/2</t>
  </si>
  <si>
    <t>6/0/42/0</t>
  </si>
  <si>
    <t>2/0/20/1</t>
  </si>
  <si>
    <t>6/0/28/1</t>
  </si>
  <si>
    <t>N/O</t>
  </si>
  <si>
    <t>Leadley J 1-0-51-51</t>
  </si>
  <si>
    <t>Springer T 1-0-32-32</t>
  </si>
  <si>
    <t>Lestrelle J 1-0-20-20</t>
  </si>
  <si>
    <t>Nurdin I 2-0-27-36</t>
  </si>
  <si>
    <t>Woodhouse M 1-0-15-15</t>
  </si>
  <si>
    <t>Sharpe D 2-0-14-23</t>
  </si>
  <si>
    <t>Edghill D 1-0-10-10</t>
  </si>
  <si>
    <t>Davies 3-0-12-13</t>
  </si>
  <si>
    <t>Brocks D 1-0-4-4</t>
  </si>
  <si>
    <t>Hargreve J 1-0-4-4</t>
  </si>
  <si>
    <t>Gibb A 1-0-4-4</t>
  </si>
  <si>
    <t>Dhanjal 1-0-4-4</t>
  </si>
  <si>
    <t>Kiernan M 4-0-2-5</t>
  </si>
  <si>
    <t>Elliston J 1-0-0-0</t>
  </si>
  <si>
    <t>Coloe A 1-1-9*-9</t>
  </si>
  <si>
    <t>Fisher T 1-1-28*-28</t>
  </si>
  <si>
    <t>Wiseman R 1-1-6*-6</t>
  </si>
  <si>
    <t>Count of Result</t>
  </si>
  <si>
    <t>Grand Total</t>
  </si>
  <si>
    <t>#N/A</t>
  </si>
  <si>
    <t>2007 Season</t>
  </si>
  <si>
    <t>8/0/30/0</t>
  </si>
  <si>
    <t>7/0/48/0</t>
  </si>
  <si>
    <t>4/0/38/1</t>
  </si>
  <si>
    <t>2/0/22/0</t>
  </si>
  <si>
    <t>3/0/35/2</t>
  </si>
  <si>
    <t>2/20/c+/0/2.1</t>
  </si>
  <si>
    <t>4/18/b+/0/3.0</t>
  </si>
  <si>
    <t>Davies R</t>
  </si>
  <si>
    <t>Ray</t>
  </si>
  <si>
    <t>7/3/b+/0/0</t>
  </si>
  <si>
    <t>8/0/dnb/0/0</t>
  </si>
  <si>
    <t>2/0/dnb+/0/0</t>
  </si>
  <si>
    <t>5/0/dnb/0/0</t>
  </si>
  <si>
    <t>6/0/dnb/0/0</t>
  </si>
  <si>
    <t>3/0/dnb/0/0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</si>
</sst>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d"/>
    <numFmt numFmtId="165" formatCode="0.0"/>
    <numFmt numFmtId="166" formatCode="0;0;&quot;&quot;"/>
    <numFmt numFmtId="167" formatCode="\+0;\-0"/>
    <numFmt numFmtId="168" formatCode="[Blue]\+0;[Red]\-0"/>
  </numFmts>
  <fonts count="21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b/>
      <i/>
      <sz val="10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i/>
      <sz val="8"/>
      <name val="Tahoma"/>
      <family val="2"/>
    </font>
    <font>
      <b/>
      <sz val="10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9" fontId="1" fillId="0" borderId="0" applyFont="0" applyFill="0" applyBorder="0" applyAlignment="0" applyProtection="0"/>
  </cellStyleXfs>
  <cellXfs count="169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9" fillId="0" borderId="4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0" fontId="2" fillId="0" borderId="5" xfId="0" applyFont="1" applyBorder="1">
      <alignment vertical="top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10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7" fontId="10" fillId="0" borderId="0" xfId="0" applyNumberFormat="1" applyFont="1">
      <alignment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6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7" xfId="0" applyFont="1" applyFill="1" applyBorder="1">
      <alignment vertical="top"/>
    </xf>
    <xf numFmtId="0" fontId="7" fillId="4" borderId="8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4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5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0" fontId="16" fillId="7" borderId="4" xfId="0" applyFont="1" applyFill="1" applyBorder="1" applyAlignment="1">
      <alignment horizontal="center" vertical="top" wrapText="1"/>
    </xf>
    <xf numFmtId="15" fontId="16" fillId="7" borderId="4" xfId="0" applyNumberFormat="1" applyFont="1" applyFill="1" applyBorder="1" applyAlignment="1">
      <alignment horizontal="center" vertical="top" wrapText="1"/>
    </xf>
    <xf numFmtId="0" fontId="16" fillId="7" borderId="4" xfId="0" applyFont="1" applyFill="1" applyBorder="1" applyAlignment="1">
      <alignment vertical="top" wrapText="1"/>
    </xf>
    <xf numFmtId="0" fontId="16" fillId="7" borderId="4" xfId="0" applyFont="1" applyFill="1" applyBorder="1" applyAlignment="1">
      <alignment horizontal="left" vertical="top" wrapText="1"/>
    </xf>
    <xf numFmtId="0" fontId="16" fillId="7" borderId="4" xfId="0" applyFont="1" applyFill="1" applyBorder="1" applyAlignment="1">
      <alignment horizontal="right" vertical="top" wrapText="1"/>
    </xf>
    <xf numFmtId="0" fontId="17" fillId="0" borderId="4" xfId="0" applyFont="1" applyBorder="1">
      <alignment vertical="top"/>
    </xf>
    <xf numFmtId="164" fontId="18" fillId="0" borderId="2" xfId="0" applyNumberFormat="1" applyFont="1" applyBorder="1" applyAlignment="1">
      <alignment horizontal="center" vertical="top"/>
    </xf>
    <xf numFmtId="15" fontId="18" fillId="0" borderId="2" xfId="0" applyNumberFormat="1" applyFont="1" applyBorder="1" applyAlignment="1">
      <alignment horizontal="center" vertical="top"/>
    </xf>
    <xf numFmtId="0" fontId="18" fillId="0" borderId="2" xfId="0" applyFont="1" applyBorder="1" applyAlignment="1">
      <alignment vertical="top" wrapText="1"/>
    </xf>
    <xf numFmtId="0" fontId="18" fillId="0" borderId="2" xfId="0" applyFont="1" applyBorder="1" applyAlignment="1">
      <alignment horizontal="center" vertical="top"/>
    </xf>
    <xf numFmtId="0" fontId="18" fillId="0" borderId="2" xfId="0" applyFont="1" applyBorder="1" applyAlignment="1">
      <alignment vertical="top"/>
    </xf>
    <xf numFmtId="0" fontId="18" fillId="0" borderId="2" xfId="0" applyFont="1" applyBorder="1" applyAlignment="1">
      <alignment horizontal="left" vertical="top" wrapText="1"/>
    </xf>
    <xf numFmtId="165" fontId="18" fillId="0" borderId="2" xfId="0" applyNumberFormat="1" applyFont="1" applyBorder="1" applyAlignment="1">
      <alignment vertical="top" wrapText="1"/>
    </xf>
    <xf numFmtId="0" fontId="18" fillId="0" borderId="2" xfId="0" applyFont="1" applyBorder="1">
      <alignment vertical="top"/>
    </xf>
    <xf numFmtId="0" fontId="19" fillId="0" borderId="2" xfId="0" applyFont="1" applyBorder="1" applyAlignment="1">
      <alignment vertical="top" wrapText="1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17" fillId="0" borderId="2" xfId="0" applyFont="1" applyBorder="1" applyAlignment="1">
      <alignment vertical="top" wrapText="1"/>
    </xf>
    <xf numFmtId="10" fontId="10" fillId="0" borderId="0" xfId="0" applyNumberFormat="1" applyFont="1">
      <alignment vertical="top"/>
    </xf>
    <xf numFmtId="0" fontId="0" fillId="0" borderId="0" xfId="0" applyFont="1">
      <alignment vertical="top"/>
    </xf>
    <xf numFmtId="17" fontId="18" fillId="0" borderId="0" xfId="0" applyNumberFormat="1" applyFont="1">
      <alignment vertical="top"/>
    </xf>
    <xf numFmtId="14" fontId="0" fillId="0" borderId="0" xfId="0" applyNumberFormat="1">
      <alignment vertical="top"/>
    </xf>
    <xf numFmtId="14" fontId="0" fillId="0" borderId="0" xfId="0" applyNumberFormat="1" applyAlignment="1"/>
    <xf numFmtId="165" fontId="10" fillId="0" borderId="0" xfId="0" applyNumberFormat="1" applyFont="1" applyAlignment="1">
      <alignment horizontal="right" vertical="top"/>
    </xf>
    <xf numFmtId="2" fontId="10" fillId="0" borderId="0" xfId="0" applyNumberFormat="1" applyFont="1" applyAlignment="1">
      <alignment horizontal="right" vertical="top"/>
    </xf>
    <xf numFmtId="0" fontId="10" fillId="0" borderId="0" xfId="0" applyFont="1" applyAlignment="1">
      <alignment horizontal="center" vertical="top"/>
    </xf>
    <xf numFmtId="165" fontId="10" fillId="0" borderId="0" xfId="0" applyNumberFormat="1" applyFont="1" applyAlignment="1">
      <alignment horizontal="center" vertical="top"/>
    </xf>
    <xf numFmtId="2" fontId="8" fillId="0" borderId="0" xfId="0" applyNumberFormat="1" applyFont="1" applyAlignment="1">
      <alignment horizontal="center"/>
    </xf>
    <xf numFmtId="2" fontId="10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2" fontId="20" fillId="0" borderId="0" xfId="0" applyNumberFormat="1" applyFont="1" applyAlignment="1">
      <alignment horizontal="center" vertical="top"/>
    </xf>
    <xf numFmtId="0" fontId="20" fillId="0" borderId="0" xfId="0" applyFont="1" applyAlignment="1">
      <alignment horizontal="left" vertical="top"/>
    </xf>
    <xf numFmtId="0" fontId="0" fillId="0" borderId="9" xfId="0" pivotButton="1" applyBorder="1">
      <alignment vertical="top"/>
    </xf>
    <xf numFmtId="0" fontId="0" fillId="0" borderId="10" xfId="0" applyBorder="1">
      <alignment vertical="top"/>
    </xf>
    <xf numFmtId="0" fontId="0" fillId="0" borderId="11" xfId="0" applyBorder="1">
      <alignment vertical="top"/>
    </xf>
    <xf numFmtId="0" fontId="0" fillId="0" borderId="9" xfId="0" applyBorder="1">
      <alignment vertical="top"/>
    </xf>
    <xf numFmtId="0" fontId="0" fillId="0" borderId="12" xfId="0" applyBorder="1">
      <alignment vertical="top"/>
    </xf>
    <xf numFmtId="0" fontId="0" fillId="0" borderId="13" xfId="0" applyBorder="1">
      <alignment vertical="top"/>
    </xf>
    <xf numFmtId="0" fontId="0" fillId="0" borderId="9" xfId="0" applyNumberFormat="1" applyBorder="1">
      <alignment vertical="top"/>
    </xf>
    <xf numFmtId="0" fontId="0" fillId="0" borderId="12" xfId="0" applyNumberFormat="1" applyBorder="1">
      <alignment vertical="top"/>
    </xf>
    <xf numFmtId="0" fontId="0" fillId="0" borderId="13" xfId="0" applyNumberFormat="1" applyBorder="1">
      <alignment vertical="top"/>
    </xf>
    <xf numFmtId="0" fontId="0" fillId="0" borderId="14" xfId="0" applyBorder="1">
      <alignment vertical="top"/>
    </xf>
    <xf numFmtId="0" fontId="0" fillId="0" borderId="14" xfId="0" applyNumberFormat="1" applyBorder="1">
      <alignment vertical="top"/>
    </xf>
    <xf numFmtId="0" fontId="0" fillId="0" borderId="0" xfId="0" applyNumberFormat="1">
      <alignment vertical="top"/>
    </xf>
    <xf numFmtId="0" fontId="0" fillId="0" borderId="15" xfId="0" applyNumberFormat="1" applyBorder="1">
      <alignment vertical="top"/>
    </xf>
    <xf numFmtId="0" fontId="0" fillId="0" borderId="16" xfId="0" applyBorder="1">
      <alignment vertical="top"/>
    </xf>
    <xf numFmtId="0" fontId="0" fillId="0" borderId="16" xfId="0" applyNumberFormat="1" applyBorder="1">
      <alignment vertical="top"/>
    </xf>
    <xf numFmtId="0" fontId="0" fillId="0" borderId="17" xfId="0" applyNumberFormat="1" applyBorder="1">
      <alignment vertical="top"/>
    </xf>
    <xf numFmtId="0" fontId="0" fillId="0" borderId="18" xfId="0" applyNumberFormat="1" applyBorder="1">
      <alignment vertical="top"/>
    </xf>
  </cellXfs>
  <cellStyles count="2">
    <cellStyle name="Normal" xfId="0" builtinId="0"/>
    <cellStyle name="Percent" xfId="1" builtinId="5"/>
  </cellStyles>
  <dxfs count="5">
    <dxf>
      <font>
        <condense val="0"/>
        <extend val="0"/>
        <color indexed="13"/>
      </font>
      <fill>
        <patternFill>
          <bgColor indexed="16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X" refreshedDate="39499.551422337965" createdVersion="1" refreshedVersion="1" recordCount="16" upgradeOnRefresh="1">
  <cacheSource type="worksheet">
    <worksheetSource ref="C43:D59" sheet="Other"/>
  </cacheSource>
  <cacheFields count="2">
    <cacheField name="Capt" numFmtId="0">
      <sharedItems count="4">
        <s v="Clark C"/>
        <s v="Woodhouse M"/>
        <e v="#N/A"/>
        <s v="Lestrelle A"/>
      </sharedItems>
    </cacheField>
    <cacheField name="Result" numFmtId="0">
      <sharedItems count="5">
        <s v="D"/>
        <s v="ND"/>
        <s v="T"/>
        <s v="L"/>
        <s v="W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">
  <r>
    <x v="0"/>
    <x v="0"/>
  </r>
  <r>
    <x v="0"/>
    <x v="0"/>
  </r>
  <r>
    <x v="1"/>
    <x v="1"/>
  </r>
  <r>
    <x v="0"/>
    <x v="2"/>
  </r>
  <r>
    <x v="1"/>
    <x v="3"/>
  </r>
  <r>
    <x v="0"/>
    <x v="4"/>
  </r>
  <r>
    <x v="0"/>
    <x v="0"/>
  </r>
  <r>
    <x v="0"/>
    <x v="3"/>
  </r>
  <r>
    <x v="0"/>
    <x v="0"/>
  </r>
  <r>
    <x v="2"/>
    <x v="1"/>
  </r>
  <r>
    <x v="0"/>
    <x v="3"/>
  </r>
  <r>
    <x v="3"/>
    <x v="0"/>
  </r>
  <r>
    <x v="3"/>
    <x v="3"/>
  </r>
  <r>
    <x v="0"/>
    <x v="0"/>
  </r>
  <r>
    <x v="3"/>
    <x v="3"/>
  </r>
  <r>
    <x v="0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dataOnRows="1" applyNumberFormats="0" applyBorderFormats="0" applyFontFormats="0" applyPatternFormats="0" applyAlignmentFormats="0" applyWidthHeightFormats="1" dataCaption="Data" updatedVersion="1" showMemberPropertyTips="0" useAutoFormatting="1" itemPrintTitles="1" createdVersion="1" indent="0" compact="0" compactData="0" gridDropZones="1">
  <location ref="G44:M50" firstHeaderRow="1" firstDataRow="2" firstDataCol="1"/>
  <pivotFields count="2">
    <pivotField axis="axisRow" compact="0" outline="0" subtotalTop="0" showAll="0" includeNewItemsInFilter="1">
      <items count="5">
        <item x="0"/>
        <item x="3"/>
        <item x="1"/>
        <item x="2"/>
        <item t="default"/>
      </items>
    </pivotField>
    <pivotField axis="axisCol" dataField="1" compact="0" outline="0" subtotalTop="0" showAll="0" includeNewItemsInFilter="1">
      <items count="6">
        <item x="0"/>
        <item x="3"/>
        <item x="1"/>
        <item x="2"/>
        <item x="4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Result" fld="1" subtotal="count" baseField="0" baseItem="0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E67"/>
  <sheetViews>
    <sheetView showGridLines="0" tabSelected="1" workbookViewId="0">
      <pane xSplit="3" ySplit="4" topLeftCell="D5" activePane="bottomRight" state="frozenSplit"/>
      <selection pane="topRight" activeCell="O1" sqref="O1"/>
      <selection pane="bottomLeft" activeCell="K43" sqref="K43"/>
      <selection pane="bottomRight" activeCell="J38" sqref="J38"/>
    </sheetView>
  </sheetViews>
  <sheetFormatPr defaultRowHeight="11.25" x14ac:dyDescent="0.15"/>
  <cols>
    <col min="1" max="1" width="5.7109375" style="23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98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16384" width="9.140625" style="26"/>
  </cols>
  <sheetData>
    <row r="1" spans="1:31" s="22" customFormat="1" ht="12.75" x14ac:dyDescent="0.15">
      <c r="A1" s="104" t="s">
        <v>570</v>
      </c>
      <c r="B1" s="29"/>
      <c r="C1" s="39" t="str">
        <f t="array" ref="C1">"Won:"&amp;SUM(IF($E$5:$E$67="W",1,0))</f>
        <v>Won:1</v>
      </c>
      <c r="D1" s="103" t="str">
        <f t="array" ref="D1">"N/D:"&amp;SUM(IF($E$5:$E$67="ND",1,0))</f>
        <v>N/D:2</v>
      </c>
      <c r="E1" s="30"/>
      <c r="F1" s="30"/>
      <c r="H1" s="64"/>
      <c r="J1" s="99"/>
      <c r="K1" s="28"/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31" s="45" customFormat="1" x14ac:dyDescent="0.15">
      <c r="A2" s="40"/>
      <c r="B2" s="41"/>
      <c r="C2" s="39" t="str">
        <f t="array" ref="C2">"Lost:"&amp;SUM(IF($E$5:$E$67="L",1,0))</f>
        <v>Lost:6</v>
      </c>
      <c r="D2" s="65" t="str">
        <f t="array" ref="D2">"Tied:"&amp;SUM(IF($E$5:$E$67="T",1,0))</f>
        <v>Tied:1</v>
      </c>
      <c r="E2" s="42"/>
      <c r="F2" s="42"/>
      <c r="G2" s="63"/>
      <c r="H2" s="65"/>
      <c r="J2" s="100"/>
      <c r="K2" s="40"/>
      <c r="L2" s="42"/>
      <c r="M2" s="42"/>
      <c r="N2" s="43" t="s">
        <v>237</v>
      </c>
      <c r="O2" s="43"/>
      <c r="P2" s="43"/>
      <c r="Q2" s="44"/>
      <c r="R2" s="44"/>
      <c r="S2" s="44"/>
      <c r="T2" s="44"/>
      <c r="U2" s="44"/>
      <c r="V2" s="44"/>
      <c r="W2" s="44"/>
      <c r="X2" s="44"/>
      <c r="Z2" s="45" t="s">
        <v>222</v>
      </c>
      <c r="AA2" s="45">
        <f>MAX(AA5:AA59)</f>
        <v>150</v>
      </c>
      <c r="AB2" s="45">
        <f>MAX(AB5:AB59)</f>
        <v>260</v>
      </c>
    </row>
    <row r="3" spans="1:31" s="45" customFormat="1" ht="12" thickBot="1" x14ac:dyDescent="0.2">
      <c r="A3" s="40"/>
      <c r="B3" s="41"/>
      <c r="C3" s="39" t="str">
        <f t="array" ref="C3">"Drawn:"&amp;SUM(IF($E$5:$E$67="D",1,0))</f>
        <v>Drawn:6</v>
      </c>
      <c r="D3" s="42"/>
      <c r="E3" s="42"/>
      <c r="F3" s="42"/>
      <c r="G3" s="40"/>
      <c r="H3" s="42"/>
      <c r="I3" s="40"/>
      <c r="J3" s="96"/>
      <c r="K3" s="40"/>
      <c r="L3" s="42"/>
      <c r="M3" s="42"/>
      <c r="N3" s="43" t="s">
        <v>238</v>
      </c>
      <c r="O3" s="43"/>
      <c r="P3" s="43"/>
      <c r="Q3" s="44"/>
      <c r="R3" s="44"/>
      <c r="S3" s="44"/>
      <c r="T3" s="44"/>
      <c r="U3" s="44"/>
      <c r="V3" s="44"/>
      <c r="W3" s="44"/>
      <c r="X3" s="44"/>
      <c r="Z3" s="45" t="s">
        <v>223</v>
      </c>
      <c r="AA3" s="45">
        <f t="array" ref="AA3">MIN(IF(AA5:AA59=0,99999,AA5:AA59))</f>
        <v>60</v>
      </c>
      <c r="AB3" s="45">
        <f t="array" ref="AB3">MIN(IF(AB5:AB59&lt;=0,99999,AB5:AB59))</f>
        <v>86</v>
      </c>
    </row>
    <row r="4" spans="1:31" s="46" customFormat="1" ht="32.25" thickBot="1" x14ac:dyDescent="0.2">
      <c r="A4" s="112" t="s">
        <v>134</v>
      </c>
      <c r="B4" s="113" t="s">
        <v>0</v>
      </c>
      <c r="C4" s="114" t="s">
        <v>1</v>
      </c>
      <c r="D4" s="112" t="s">
        <v>2</v>
      </c>
      <c r="E4" s="112" t="s">
        <v>3</v>
      </c>
      <c r="F4" s="112" t="s">
        <v>169</v>
      </c>
      <c r="G4" s="114" t="s">
        <v>9</v>
      </c>
      <c r="H4" s="112" t="s">
        <v>38</v>
      </c>
      <c r="I4" s="112" t="s">
        <v>110</v>
      </c>
      <c r="J4" s="115"/>
      <c r="K4" s="114" t="s">
        <v>9</v>
      </c>
      <c r="L4" s="112" t="s">
        <v>38</v>
      </c>
      <c r="M4" s="112" t="s">
        <v>110</v>
      </c>
      <c r="N4" s="114"/>
      <c r="O4" s="114" t="s">
        <v>197</v>
      </c>
      <c r="P4" s="114" t="s">
        <v>198</v>
      </c>
      <c r="Q4" s="114" t="s">
        <v>112</v>
      </c>
      <c r="R4" s="116" t="s">
        <v>113</v>
      </c>
      <c r="S4" s="116" t="s">
        <v>114</v>
      </c>
      <c r="T4" s="116" t="s">
        <v>115</v>
      </c>
      <c r="U4" s="116" t="s">
        <v>116</v>
      </c>
      <c r="V4" s="116" t="s">
        <v>117</v>
      </c>
      <c r="W4" s="116" t="s">
        <v>118</v>
      </c>
      <c r="X4" s="116" t="s">
        <v>119</v>
      </c>
      <c r="Y4" s="116" t="s">
        <v>124</v>
      </c>
      <c r="Z4" s="116" t="s">
        <v>125</v>
      </c>
      <c r="AA4" s="117" t="s">
        <v>212</v>
      </c>
      <c r="AB4" s="117" t="s">
        <v>213</v>
      </c>
      <c r="AC4" s="117" t="s">
        <v>214</v>
      </c>
      <c r="AD4" s="117" t="s">
        <v>215</v>
      </c>
      <c r="AE4" s="46" t="s">
        <v>255</v>
      </c>
    </row>
    <row r="5" spans="1:31" s="22" customFormat="1" x14ac:dyDescent="0.15">
      <c r="A5" s="118" t="str">
        <f t="shared" ref="A5:A59" si="0">TEXT(WEEKDAY(B5),"ddd")</f>
        <v>Sun</v>
      </c>
      <c r="B5" s="119">
        <v>39201</v>
      </c>
      <c r="C5" s="120" t="s">
        <v>251</v>
      </c>
      <c r="D5" s="121" t="s">
        <v>252</v>
      </c>
      <c r="E5" s="121" t="s">
        <v>233</v>
      </c>
      <c r="F5" s="121" t="s">
        <v>1</v>
      </c>
      <c r="G5" s="122">
        <v>245</v>
      </c>
      <c r="H5" s="121">
        <v>5</v>
      </c>
      <c r="I5" s="121"/>
      <c r="J5" s="123" t="s">
        <v>253</v>
      </c>
      <c r="K5" s="122">
        <v>132</v>
      </c>
      <c r="L5" s="121">
        <v>8</v>
      </c>
      <c r="M5" s="121"/>
      <c r="N5" s="120" t="s">
        <v>254</v>
      </c>
      <c r="O5" s="124">
        <v>38</v>
      </c>
      <c r="P5" s="124">
        <v>41</v>
      </c>
      <c r="Q5" s="125">
        <v>25</v>
      </c>
      <c r="R5" s="125">
        <v>6</v>
      </c>
      <c r="S5" s="125">
        <v>12</v>
      </c>
      <c r="T5" s="125">
        <v>4</v>
      </c>
      <c r="U5" s="125">
        <v>6</v>
      </c>
      <c r="V5" s="125">
        <v>0</v>
      </c>
      <c r="W5" s="125">
        <v>3</v>
      </c>
      <c r="X5" s="125">
        <v>5</v>
      </c>
      <c r="Y5" s="125">
        <f t="shared" ref="Y5:Y23" si="1">SUM(Q5:T5)</f>
        <v>47</v>
      </c>
      <c r="Z5" s="125">
        <f t="shared" ref="Z5:Z23" si="2">SUM(U5:X5)</f>
        <v>14</v>
      </c>
      <c r="AA5" s="125">
        <f>IF(F5="TOCC",G5,K5)</f>
        <v>132</v>
      </c>
      <c r="AB5" s="125">
        <f>IF(F5&lt;&gt;"TOCC",G5,K5)</f>
        <v>245</v>
      </c>
      <c r="AC5" s="125">
        <f>IF(F5="TOCC",H5,L5)</f>
        <v>8</v>
      </c>
      <c r="AD5" s="125">
        <f>IF(F5&lt;&gt;"TOCC",H5,L5)</f>
        <v>5</v>
      </c>
      <c r="AE5" s="22" t="s">
        <v>256</v>
      </c>
    </row>
    <row r="6" spans="1:31" s="51" customFormat="1" x14ac:dyDescent="0.15">
      <c r="A6" s="118" t="str">
        <f>TEXT(WEEKDAY(B6),"ddd")</f>
        <v>Sat</v>
      </c>
      <c r="B6" s="119">
        <v>39221</v>
      </c>
      <c r="C6" s="120" t="s">
        <v>273</v>
      </c>
      <c r="D6" s="121" t="s">
        <v>252</v>
      </c>
      <c r="E6" s="121" t="s">
        <v>233</v>
      </c>
      <c r="F6" s="121" t="s">
        <v>1</v>
      </c>
      <c r="G6" s="122">
        <v>190</v>
      </c>
      <c r="H6" s="121">
        <v>4</v>
      </c>
      <c r="I6" s="121"/>
      <c r="J6" s="123" t="s">
        <v>274</v>
      </c>
      <c r="K6" s="122">
        <v>150</v>
      </c>
      <c r="L6" s="121">
        <v>7</v>
      </c>
      <c r="M6" s="121"/>
      <c r="N6" s="120" t="s">
        <v>275</v>
      </c>
      <c r="O6" s="124">
        <v>39</v>
      </c>
      <c r="P6" s="124">
        <v>31.5</v>
      </c>
      <c r="Q6" s="125">
        <v>8</v>
      </c>
      <c r="R6" s="125">
        <v>4</v>
      </c>
      <c r="S6" s="125">
        <v>0</v>
      </c>
      <c r="T6" s="125">
        <v>0</v>
      </c>
      <c r="U6" s="125">
        <v>5</v>
      </c>
      <c r="V6" s="125">
        <v>6</v>
      </c>
      <c r="W6" s="125">
        <v>5</v>
      </c>
      <c r="X6" s="125">
        <v>2</v>
      </c>
      <c r="Y6" s="125">
        <f t="shared" si="1"/>
        <v>12</v>
      </c>
      <c r="Z6" s="125">
        <f t="shared" si="2"/>
        <v>18</v>
      </c>
      <c r="AA6" s="125">
        <f t="shared" ref="AA6:AA59" si="3">IF(F6="TOCC",G6,K6)</f>
        <v>150</v>
      </c>
      <c r="AB6" s="125">
        <f t="shared" ref="AB6:AB59" si="4">IF(F6&lt;&gt;"TOCC",G6,K6)</f>
        <v>190</v>
      </c>
      <c r="AC6" s="125">
        <f t="shared" ref="AC6:AC59" si="5">IF(F6="TOCC",H6,L6)</f>
        <v>7</v>
      </c>
      <c r="AD6" s="125">
        <f t="shared" ref="AD6:AD59" si="6">IF(F6&lt;&gt;"TOCC",H6,L6)</f>
        <v>4</v>
      </c>
      <c r="AE6" s="22" t="s">
        <v>256</v>
      </c>
    </row>
    <row r="7" spans="1:31" s="45" customFormat="1" x14ac:dyDescent="0.15">
      <c r="A7" s="118" t="str">
        <f t="shared" si="0"/>
        <v>Sat</v>
      </c>
      <c r="B7" s="119">
        <v>39228</v>
      </c>
      <c r="C7" s="120" t="s">
        <v>300</v>
      </c>
      <c r="D7" s="121" t="s">
        <v>231</v>
      </c>
      <c r="E7" s="121" t="s">
        <v>301</v>
      </c>
      <c r="F7" s="121" t="s">
        <v>1</v>
      </c>
      <c r="G7" s="122">
        <v>193</v>
      </c>
      <c r="H7" s="121">
        <v>7</v>
      </c>
      <c r="I7" s="121"/>
      <c r="J7" s="123" t="s">
        <v>302</v>
      </c>
      <c r="K7" s="122"/>
      <c r="L7" s="121"/>
      <c r="M7" s="121"/>
      <c r="N7" s="120"/>
      <c r="O7" s="124">
        <v>0</v>
      </c>
      <c r="P7" s="124">
        <v>40</v>
      </c>
      <c r="Q7" s="125">
        <v>7</v>
      </c>
      <c r="R7" s="125">
        <v>8</v>
      </c>
      <c r="S7" s="125">
        <v>8</v>
      </c>
      <c r="T7" s="125">
        <v>1</v>
      </c>
      <c r="U7" s="125">
        <v>0</v>
      </c>
      <c r="V7" s="125">
        <v>0</v>
      </c>
      <c r="W7" s="125">
        <v>0</v>
      </c>
      <c r="X7" s="125">
        <v>0</v>
      </c>
      <c r="Y7" s="125">
        <f t="shared" si="1"/>
        <v>24</v>
      </c>
      <c r="Z7" s="125">
        <f t="shared" si="2"/>
        <v>0</v>
      </c>
      <c r="AA7" s="125">
        <f t="shared" si="3"/>
        <v>0</v>
      </c>
      <c r="AB7" s="125">
        <f t="shared" si="4"/>
        <v>193</v>
      </c>
      <c r="AC7" s="125">
        <f t="shared" si="5"/>
        <v>0</v>
      </c>
      <c r="AD7" s="125">
        <f t="shared" si="6"/>
        <v>7</v>
      </c>
    </row>
    <row r="8" spans="1:31" s="51" customFormat="1" x14ac:dyDescent="0.15">
      <c r="A8" s="118" t="str">
        <f t="shared" si="0"/>
        <v>Mon</v>
      </c>
      <c r="B8" s="119">
        <v>39230</v>
      </c>
      <c r="C8" s="120" t="s">
        <v>322</v>
      </c>
      <c r="D8" s="121" t="s">
        <v>231</v>
      </c>
      <c r="E8" s="121" t="s">
        <v>323</v>
      </c>
      <c r="F8" s="121" t="s">
        <v>324</v>
      </c>
      <c r="G8" s="122">
        <v>141</v>
      </c>
      <c r="H8" s="121">
        <v>5</v>
      </c>
      <c r="I8" s="121"/>
      <c r="J8" s="123" t="s">
        <v>325</v>
      </c>
      <c r="K8" s="122">
        <v>141</v>
      </c>
      <c r="L8" s="121">
        <v>8</v>
      </c>
      <c r="M8" s="121"/>
      <c r="N8" s="120"/>
      <c r="O8" s="124">
        <v>35.200000000000003</v>
      </c>
      <c r="P8" s="124">
        <v>35</v>
      </c>
      <c r="Q8" s="125">
        <v>11</v>
      </c>
      <c r="R8" s="125">
        <v>2</v>
      </c>
      <c r="S8" s="125">
        <v>16</v>
      </c>
      <c r="T8" s="125">
        <v>1</v>
      </c>
      <c r="U8" s="125">
        <v>8</v>
      </c>
      <c r="V8" s="125">
        <v>7</v>
      </c>
      <c r="W8" s="125">
        <v>5</v>
      </c>
      <c r="X8" s="125">
        <v>1</v>
      </c>
      <c r="Y8" s="125">
        <f t="shared" si="1"/>
        <v>30</v>
      </c>
      <c r="Z8" s="125">
        <f t="shared" si="2"/>
        <v>21</v>
      </c>
      <c r="AA8" s="125">
        <f t="shared" si="3"/>
        <v>141</v>
      </c>
      <c r="AB8" s="125">
        <f t="shared" si="4"/>
        <v>141</v>
      </c>
      <c r="AC8" s="125">
        <f t="shared" si="5"/>
        <v>5</v>
      </c>
      <c r="AD8" s="125">
        <f t="shared" si="6"/>
        <v>8</v>
      </c>
    </row>
    <row r="9" spans="1:31" s="45" customFormat="1" x14ac:dyDescent="0.15">
      <c r="A9" s="118" t="str">
        <f t="shared" si="0"/>
        <v>Tue</v>
      </c>
      <c r="B9" s="119">
        <v>39231</v>
      </c>
      <c r="C9" s="120" t="s">
        <v>339</v>
      </c>
      <c r="D9" s="121" t="s">
        <v>231</v>
      </c>
      <c r="E9" s="121" t="s">
        <v>340</v>
      </c>
      <c r="F9" s="121" t="s">
        <v>1</v>
      </c>
      <c r="G9" s="122">
        <v>192</v>
      </c>
      <c r="H9" s="121">
        <v>2</v>
      </c>
      <c r="I9" s="121"/>
      <c r="J9" s="123" t="s">
        <v>341</v>
      </c>
      <c r="K9" s="122">
        <v>131</v>
      </c>
      <c r="L9" s="121">
        <v>8</v>
      </c>
      <c r="M9" s="121"/>
      <c r="N9" s="120" t="s">
        <v>342</v>
      </c>
      <c r="O9" s="124">
        <v>45</v>
      </c>
      <c r="P9" s="124">
        <v>45</v>
      </c>
      <c r="Q9" s="125">
        <v>8</v>
      </c>
      <c r="R9" s="125">
        <v>1</v>
      </c>
      <c r="S9" s="125">
        <v>4</v>
      </c>
      <c r="T9" s="125">
        <v>5</v>
      </c>
      <c r="U9" s="125">
        <v>9</v>
      </c>
      <c r="V9" s="125">
        <v>8</v>
      </c>
      <c r="W9" s="125">
        <v>2</v>
      </c>
      <c r="X9" s="125">
        <v>1</v>
      </c>
      <c r="Y9" s="125">
        <f t="shared" si="1"/>
        <v>18</v>
      </c>
      <c r="Z9" s="125">
        <f t="shared" si="2"/>
        <v>20</v>
      </c>
      <c r="AA9" s="125">
        <f t="shared" si="3"/>
        <v>131</v>
      </c>
      <c r="AB9" s="125">
        <f t="shared" si="4"/>
        <v>192</v>
      </c>
      <c r="AC9" s="125">
        <f t="shared" si="5"/>
        <v>8</v>
      </c>
      <c r="AD9" s="125">
        <f t="shared" si="6"/>
        <v>2</v>
      </c>
    </row>
    <row r="10" spans="1:31" x14ac:dyDescent="0.15">
      <c r="A10" s="118" t="str">
        <f t="shared" si="0"/>
        <v>Sun</v>
      </c>
      <c r="B10" s="119">
        <v>39236</v>
      </c>
      <c r="C10" s="120" t="s">
        <v>362</v>
      </c>
      <c r="D10" s="121" t="s">
        <v>252</v>
      </c>
      <c r="E10" s="121" t="s">
        <v>363</v>
      </c>
      <c r="F10" s="121" t="s">
        <v>1</v>
      </c>
      <c r="G10" s="122">
        <v>125</v>
      </c>
      <c r="H10" s="121">
        <v>10</v>
      </c>
      <c r="I10" s="121"/>
      <c r="J10" s="123" t="s">
        <v>364</v>
      </c>
      <c r="K10" s="122">
        <v>126</v>
      </c>
      <c r="L10" s="121">
        <v>9</v>
      </c>
      <c r="M10" s="121"/>
      <c r="N10" s="120" t="s">
        <v>365</v>
      </c>
      <c r="O10" s="124">
        <v>41</v>
      </c>
      <c r="P10" s="124">
        <v>31.1</v>
      </c>
      <c r="Q10" s="125">
        <v>21</v>
      </c>
      <c r="R10" s="125">
        <v>3</v>
      </c>
      <c r="S10" s="125">
        <v>1</v>
      </c>
      <c r="T10" s="125">
        <v>2</v>
      </c>
      <c r="U10" s="125">
        <v>17</v>
      </c>
      <c r="V10" s="125">
        <v>9</v>
      </c>
      <c r="W10" s="125">
        <v>10</v>
      </c>
      <c r="X10" s="125">
        <v>4</v>
      </c>
      <c r="Y10" s="125">
        <f t="shared" si="1"/>
        <v>27</v>
      </c>
      <c r="Z10" s="125">
        <f t="shared" si="2"/>
        <v>40</v>
      </c>
      <c r="AA10" s="125">
        <f t="shared" si="3"/>
        <v>126</v>
      </c>
      <c r="AB10" s="125">
        <f t="shared" si="4"/>
        <v>125</v>
      </c>
      <c r="AC10" s="125">
        <f t="shared" si="5"/>
        <v>9</v>
      </c>
      <c r="AD10" s="125">
        <f t="shared" si="6"/>
        <v>10</v>
      </c>
    </row>
    <row r="11" spans="1:31" x14ac:dyDescent="0.15">
      <c r="A11" s="118" t="str">
        <f t="shared" si="0"/>
        <v>Sun</v>
      </c>
      <c r="B11" s="119">
        <v>39243</v>
      </c>
      <c r="C11" s="120" t="s">
        <v>382</v>
      </c>
      <c r="D11" s="121" t="s">
        <v>252</v>
      </c>
      <c r="E11" s="121" t="s">
        <v>233</v>
      </c>
      <c r="F11" s="121" t="s">
        <v>1</v>
      </c>
      <c r="G11" s="122">
        <v>173</v>
      </c>
      <c r="H11" s="121">
        <v>10</v>
      </c>
      <c r="I11" s="121"/>
      <c r="J11" s="123" t="s">
        <v>383</v>
      </c>
      <c r="K11" s="122">
        <v>150</v>
      </c>
      <c r="L11" s="121">
        <v>8</v>
      </c>
      <c r="M11" s="121"/>
      <c r="N11" s="120" t="s">
        <v>384</v>
      </c>
      <c r="O11" s="124">
        <v>42</v>
      </c>
      <c r="P11" s="124">
        <v>31</v>
      </c>
      <c r="Q11" s="125">
        <v>12</v>
      </c>
      <c r="R11" s="125">
        <v>0</v>
      </c>
      <c r="S11" s="125">
        <v>5</v>
      </c>
      <c r="T11" s="125">
        <v>4</v>
      </c>
      <c r="U11" s="125">
        <v>6</v>
      </c>
      <c r="V11" s="125">
        <v>1</v>
      </c>
      <c r="W11" s="125">
        <v>1</v>
      </c>
      <c r="X11" s="125">
        <v>4</v>
      </c>
      <c r="Y11" s="125">
        <f t="shared" si="1"/>
        <v>21</v>
      </c>
      <c r="Z11" s="125">
        <f t="shared" si="2"/>
        <v>12</v>
      </c>
      <c r="AA11" s="125">
        <f t="shared" si="3"/>
        <v>150</v>
      </c>
      <c r="AB11" s="125">
        <f t="shared" si="4"/>
        <v>173</v>
      </c>
      <c r="AC11" s="125">
        <f t="shared" si="5"/>
        <v>8</v>
      </c>
      <c r="AD11" s="125">
        <f t="shared" si="6"/>
        <v>10</v>
      </c>
    </row>
    <row r="12" spans="1:31" x14ac:dyDescent="0.15">
      <c r="A12" s="118" t="str">
        <f t="shared" si="0"/>
        <v>Sun</v>
      </c>
      <c r="B12" s="119">
        <v>39250</v>
      </c>
      <c r="C12" s="120" t="s">
        <v>232</v>
      </c>
      <c r="D12" s="121" t="s">
        <v>252</v>
      </c>
      <c r="E12" s="121" t="s">
        <v>340</v>
      </c>
      <c r="F12" s="121" t="s">
        <v>1</v>
      </c>
      <c r="G12" s="122">
        <v>234</v>
      </c>
      <c r="H12" s="121">
        <v>9</v>
      </c>
      <c r="I12" s="121"/>
      <c r="J12" s="123" t="s">
        <v>399</v>
      </c>
      <c r="K12" s="122">
        <v>95</v>
      </c>
      <c r="L12" s="121">
        <v>10</v>
      </c>
      <c r="M12" s="121"/>
      <c r="N12" s="123" t="s">
        <v>400</v>
      </c>
      <c r="O12" s="124">
        <v>24.2</v>
      </c>
      <c r="P12" s="124">
        <v>40</v>
      </c>
      <c r="Q12" s="125">
        <v>18</v>
      </c>
      <c r="R12" s="125">
        <v>2</v>
      </c>
      <c r="S12" s="125">
        <v>4</v>
      </c>
      <c r="T12" s="125">
        <v>1</v>
      </c>
      <c r="U12" s="125">
        <v>10</v>
      </c>
      <c r="V12" s="125">
        <v>0</v>
      </c>
      <c r="W12" s="125">
        <v>3</v>
      </c>
      <c r="X12" s="125">
        <v>0</v>
      </c>
      <c r="Y12" s="125">
        <f t="shared" si="1"/>
        <v>25</v>
      </c>
      <c r="Z12" s="125">
        <f t="shared" si="2"/>
        <v>13</v>
      </c>
      <c r="AA12" s="125">
        <f t="shared" si="3"/>
        <v>95</v>
      </c>
      <c r="AB12" s="125">
        <f t="shared" si="4"/>
        <v>234</v>
      </c>
      <c r="AC12" s="125">
        <f t="shared" si="5"/>
        <v>10</v>
      </c>
      <c r="AD12" s="125">
        <f t="shared" si="6"/>
        <v>9</v>
      </c>
    </row>
    <row r="13" spans="1:31" x14ac:dyDescent="0.15">
      <c r="A13" s="118" t="str">
        <f t="shared" si="0"/>
        <v>Sat</v>
      </c>
      <c r="B13" s="119">
        <v>39270</v>
      </c>
      <c r="C13" s="120" t="s">
        <v>419</v>
      </c>
      <c r="D13" s="121" t="s">
        <v>231</v>
      </c>
      <c r="E13" s="121" t="s">
        <v>233</v>
      </c>
      <c r="F13" s="121" t="s">
        <v>1</v>
      </c>
      <c r="G13" s="122">
        <v>159</v>
      </c>
      <c r="H13" s="121">
        <v>10</v>
      </c>
      <c r="I13" s="121"/>
      <c r="J13" s="123" t="s">
        <v>420</v>
      </c>
      <c r="K13" s="122">
        <v>86</v>
      </c>
      <c r="L13" s="121">
        <v>8</v>
      </c>
      <c r="M13" s="121"/>
      <c r="N13" s="120"/>
      <c r="O13" s="124">
        <v>39</v>
      </c>
      <c r="P13" s="124">
        <v>37.1</v>
      </c>
      <c r="Q13" s="125">
        <v>6</v>
      </c>
      <c r="R13" s="125">
        <v>3</v>
      </c>
      <c r="S13" s="125">
        <v>14</v>
      </c>
      <c r="T13" s="125">
        <v>2</v>
      </c>
      <c r="U13" s="125">
        <v>13</v>
      </c>
      <c r="V13" s="125">
        <v>2</v>
      </c>
      <c r="W13" s="125">
        <v>13</v>
      </c>
      <c r="X13" s="125">
        <v>2</v>
      </c>
      <c r="Y13" s="125">
        <f t="shared" si="1"/>
        <v>25</v>
      </c>
      <c r="Z13" s="125">
        <f t="shared" si="2"/>
        <v>30</v>
      </c>
      <c r="AA13" s="125">
        <f t="shared" si="3"/>
        <v>86</v>
      </c>
      <c r="AB13" s="125">
        <f t="shared" si="4"/>
        <v>159</v>
      </c>
      <c r="AC13" s="125">
        <f t="shared" si="5"/>
        <v>8</v>
      </c>
      <c r="AD13" s="125">
        <f t="shared" si="6"/>
        <v>10</v>
      </c>
    </row>
    <row r="14" spans="1:31" x14ac:dyDescent="0.15">
      <c r="A14" s="118" t="str">
        <f t="shared" si="0"/>
        <v>Sun</v>
      </c>
      <c r="B14" s="119">
        <v>39278</v>
      </c>
      <c r="C14" s="120" t="s">
        <v>436</v>
      </c>
      <c r="D14" s="121" t="s">
        <v>231</v>
      </c>
      <c r="E14" s="121" t="s">
        <v>301</v>
      </c>
      <c r="F14" s="121" t="s">
        <v>1</v>
      </c>
      <c r="G14" s="122">
        <v>86</v>
      </c>
      <c r="H14" s="121">
        <v>4</v>
      </c>
      <c r="I14" s="121"/>
      <c r="J14" s="123"/>
      <c r="K14" s="122"/>
      <c r="L14" s="121"/>
      <c r="M14" s="121"/>
      <c r="N14" s="120"/>
      <c r="O14" s="124">
        <v>0</v>
      </c>
      <c r="P14" s="124">
        <v>18</v>
      </c>
      <c r="Q14" s="125">
        <v>8</v>
      </c>
      <c r="R14" s="125">
        <v>0</v>
      </c>
      <c r="S14" s="125">
        <v>3</v>
      </c>
      <c r="T14" s="125">
        <v>2</v>
      </c>
      <c r="U14" s="125">
        <v>0</v>
      </c>
      <c r="V14" s="125">
        <v>0</v>
      </c>
      <c r="W14" s="125">
        <v>0</v>
      </c>
      <c r="X14" s="125">
        <v>0</v>
      </c>
      <c r="Y14" s="125">
        <f t="shared" si="1"/>
        <v>13</v>
      </c>
      <c r="Z14" s="125">
        <f t="shared" si="2"/>
        <v>0</v>
      </c>
      <c r="AA14" s="125">
        <f t="shared" si="3"/>
        <v>0</v>
      </c>
      <c r="AB14" s="125">
        <f t="shared" si="4"/>
        <v>86</v>
      </c>
      <c r="AC14" s="125">
        <f t="shared" si="5"/>
        <v>0</v>
      </c>
      <c r="AD14" s="125">
        <f t="shared" si="6"/>
        <v>4</v>
      </c>
      <c r="AE14" s="26" t="s">
        <v>437</v>
      </c>
    </row>
    <row r="15" spans="1:31" x14ac:dyDescent="0.15">
      <c r="A15" s="118" t="str">
        <f t="shared" si="0"/>
        <v>Sun</v>
      </c>
      <c r="B15" s="119">
        <v>39292</v>
      </c>
      <c r="C15" s="120" t="s">
        <v>442</v>
      </c>
      <c r="D15" s="121" t="s">
        <v>231</v>
      </c>
      <c r="E15" s="121" t="s">
        <v>340</v>
      </c>
      <c r="F15" s="121" t="s">
        <v>1</v>
      </c>
      <c r="G15" s="122">
        <v>183</v>
      </c>
      <c r="H15" s="121">
        <v>3</v>
      </c>
      <c r="I15" s="121"/>
      <c r="J15" s="123" t="s">
        <v>443</v>
      </c>
      <c r="K15" s="122">
        <v>60</v>
      </c>
      <c r="L15" s="121">
        <v>9</v>
      </c>
      <c r="M15" s="121"/>
      <c r="N15" s="120"/>
      <c r="O15" s="124">
        <v>20.5</v>
      </c>
      <c r="P15" s="124">
        <v>41</v>
      </c>
      <c r="Q15" s="125">
        <v>6</v>
      </c>
      <c r="R15" s="125">
        <v>0</v>
      </c>
      <c r="S15" s="125">
        <v>2</v>
      </c>
      <c r="T15" s="125">
        <v>2</v>
      </c>
      <c r="U15" s="125">
        <v>12</v>
      </c>
      <c r="V15" s="125">
        <v>2</v>
      </c>
      <c r="W15" s="125">
        <v>12</v>
      </c>
      <c r="X15" s="125">
        <v>1</v>
      </c>
      <c r="Y15" s="125">
        <f t="shared" si="1"/>
        <v>10</v>
      </c>
      <c r="Z15" s="125">
        <f t="shared" si="2"/>
        <v>27</v>
      </c>
      <c r="AA15" s="125">
        <f t="shared" si="3"/>
        <v>60</v>
      </c>
      <c r="AB15" s="125">
        <f t="shared" si="4"/>
        <v>183</v>
      </c>
      <c r="AC15" s="125">
        <f t="shared" si="5"/>
        <v>9</v>
      </c>
      <c r="AD15" s="125">
        <f t="shared" si="6"/>
        <v>3</v>
      </c>
      <c r="AE15" s="22" t="s">
        <v>256</v>
      </c>
    </row>
    <row r="16" spans="1:31" x14ac:dyDescent="0.15">
      <c r="A16" s="118" t="str">
        <f t="shared" si="0"/>
        <v>Sun</v>
      </c>
      <c r="B16" s="119">
        <v>39299</v>
      </c>
      <c r="C16" s="120" t="s">
        <v>457</v>
      </c>
      <c r="D16" s="121" t="s">
        <v>252</v>
      </c>
      <c r="E16" s="121" t="s">
        <v>233</v>
      </c>
      <c r="F16" s="121" t="s">
        <v>1</v>
      </c>
      <c r="G16" s="122">
        <v>205</v>
      </c>
      <c r="H16" s="121">
        <v>9</v>
      </c>
      <c r="I16" s="121"/>
      <c r="J16" s="123" t="s">
        <v>458</v>
      </c>
      <c r="K16" s="122">
        <v>116</v>
      </c>
      <c r="L16" s="121">
        <v>7</v>
      </c>
      <c r="M16" s="121"/>
      <c r="N16" s="120"/>
      <c r="O16" s="124">
        <v>36</v>
      </c>
      <c r="P16" s="124">
        <v>38</v>
      </c>
      <c r="Q16" s="125">
        <v>12</v>
      </c>
      <c r="R16" s="125">
        <v>5</v>
      </c>
      <c r="S16" s="125">
        <v>16</v>
      </c>
      <c r="T16" s="125">
        <v>5</v>
      </c>
      <c r="U16" s="125">
        <v>10</v>
      </c>
      <c r="V16" s="125">
        <v>15</v>
      </c>
      <c r="W16" s="125">
        <v>5</v>
      </c>
      <c r="X16" s="125">
        <v>2</v>
      </c>
      <c r="Y16" s="125">
        <f t="shared" si="1"/>
        <v>38</v>
      </c>
      <c r="Z16" s="125">
        <f t="shared" si="2"/>
        <v>32</v>
      </c>
      <c r="AA16" s="125">
        <f t="shared" si="3"/>
        <v>116</v>
      </c>
      <c r="AB16" s="125">
        <f t="shared" si="4"/>
        <v>205</v>
      </c>
      <c r="AC16" s="125">
        <f t="shared" si="5"/>
        <v>7</v>
      </c>
      <c r="AD16" s="125">
        <f t="shared" si="6"/>
        <v>9</v>
      </c>
    </row>
    <row r="17" spans="1:31" x14ac:dyDescent="0.15">
      <c r="A17" s="118" t="str">
        <f t="shared" si="0"/>
        <v>Sun</v>
      </c>
      <c r="B17" s="119">
        <v>39306</v>
      </c>
      <c r="C17" s="120" t="s">
        <v>251</v>
      </c>
      <c r="D17" s="121" t="s">
        <v>231</v>
      </c>
      <c r="E17" s="121" t="s">
        <v>340</v>
      </c>
      <c r="F17" s="121" t="s">
        <v>1</v>
      </c>
      <c r="G17" s="122">
        <v>260</v>
      </c>
      <c r="H17" s="121">
        <v>7</v>
      </c>
      <c r="I17" s="121"/>
      <c r="J17" s="123" t="s">
        <v>477</v>
      </c>
      <c r="K17" s="122">
        <v>110</v>
      </c>
      <c r="L17" s="121">
        <v>10</v>
      </c>
      <c r="M17" s="121"/>
      <c r="N17" s="135" t="s">
        <v>478</v>
      </c>
      <c r="O17" s="124">
        <v>36.200000000000003</v>
      </c>
      <c r="P17" s="124">
        <v>40</v>
      </c>
      <c r="Q17" s="125">
        <v>25</v>
      </c>
      <c r="R17" s="125">
        <v>0</v>
      </c>
      <c r="S17" s="125">
        <v>9</v>
      </c>
      <c r="T17" s="125">
        <v>2</v>
      </c>
      <c r="U17" s="125">
        <v>6</v>
      </c>
      <c r="V17" s="125">
        <v>0</v>
      </c>
      <c r="W17" s="125">
        <v>4</v>
      </c>
      <c r="X17" s="125">
        <v>2</v>
      </c>
      <c r="Y17" s="125">
        <f t="shared" si="1"/>
        <v>36</v>
      </c>
      <c r="Z17" s="125">
        <f t="shared" si="2"/>
        <v>12</v>
      </c>
      <c r="AA17" s="125">
        <f t="shared" si="3"/>
        <v>110</v>
      </c>
      <c r="AB17" s="125">
        <f t="shared" si="4"/>
        <v>260</v>
      </c>
      <c r="AC17" s="125">
        <f t="shared" si="5"/>
        <v>10</v>
      </c>
      <c r="AD17" s="125">
        <f t="shared" si="6"/>
        <v>7</v>
      </c>
    </row>
    <row r="18" spans="1:31" x14ac:dyDescent="0.15">
      <c r="A18" s="118" t="str">
        <f t="shared" si="0"/>
        <v>Sun</v>
      </c>
      <c r="B18" s="119">
        <v>39320</v>
      </c>
      <c r="C18" s="120" t="s">
        <v>419</v>
      </c>
      <c r="D18" s="121" t="s">
        <v>252</v>
      </c>
      <c r="E18" s="121" t="s">
        <v>233</v>
      </c>
      <c r="F18" s="121" t="s">
        <v>1</v>
      </c>
      <c r="G18" s="122">
        <v>188</v>
      </c>
      <c r="H18" s="121">
        <v>8</v>
      </c>
      <c r="I18" s="121"/>
      <c r="J18" s="123" t="s">
        <v>490</v>
      </c>
      <c r="K18" s="122">
        <v>122</v>
      </c>
      <c r="L18" s="121">
        <v>9</v>
      </c>
      <c r="M18" s="121"/>
      <c r="N18" s="120" t="s">
        <v>491</v>
      </c>
      <c r="O18" s="124">
        <v>39</v>
      </c>
      <c r="P18" s="124">
        <v>43</v>
      </c>
      <c r="Q18" s="125">
        <v>5</v>
      </c>
      <c r="R18" s="125">
        <v>12</v>
      </c>
      <c r="S18" s="125">
        <v>5</v>
      </c>
      <c r="T18" s="125">
        <v>1</v>
      </c>
      <c r="U18" s="125">
        <v>12</v>
      </c>
      <c r="V18" s="125">
        <v>5</v>
      </c>
      <c r="W18" s="125">
        <v>5</v>
      </c>
      <c r="X18" s="125">
        <v>1</v>
      </c>
      <c r="Y18" s="125">
        <f t="shared" si="1"/>
        <v>23</v>
      </c>
      <c r="Z18" s="125">
        <f t="shared" si="2"/>
        <v>23</v>
      </c>
      <c r="AA18" s="125">
        <f t="shared" si="3"/>
        <v>122</v>
      </c>
      <c r="AB18" s="125">
        <f t="shared" si="4"/>
        <v>188</v>
      </c>
      <c r="AC18" s="125">
        <f t="shared" si="5"/>
        <v>9</v>
      </c>
      <c r="AD18" s="125">
        <f t="shared" si="6"/>
        <v>8</v>
      </c>
      <c r="AE18" s="26" t="s">
        <v>505</v>
      </c>
    </row>
    <row r="19" spans="1:31" x14ac:dyDescent="0.15">
      <c r="A19" s="118" t="str">
        <f t="shared" si="0"/>
        <v>Sat</v>
      </c>
      <c r="B19" s="119">
        <v>39333</v>
      </c>
      <c r="C19" s="120" t="s">
        <v>362</v>
      </c>
      <c r="D19" s="121" t="s">
        <v>231</v>
      </c>
      <c r="E19" s="121" t="s">
        <v>340</v>
      </c>
      <c r="F19" s="121" t="s">
        <v>324</v>
      </c>
      <c r="G19" s="122">
        <v>138</v>
      </c>
      <c r="H19" s="121">
        <v>5</v>
      </c>
      <c r="I19" s="121"/>
      <c r="J19" s="123"/>
      <c r="K19" s="122">
        <v>141</v>
      </c>
      <c r="L19" s="121">
        <v>7</v>
      </c>
      <c r="M19" s="121"/>
      <c r="N19" s="120"/>
      <c r="O19" s="124">
        <v>40</v>
      </c>
      <c r="P19" s="124">
        <v>34.5</v>
      </c>
      <c r="Q19" s="125">
        <v>19</v>
      </c>
      <c r="R19" s="125">
        <v>4</v>
      </c>
      <c r="S19" s="125">
        <v>8</v>
      </c>
      <c r="T19" s="125">
        <v>0</v>
      </c>
      <c r="U19" s="125">
        <v>19</v>
      </c>
      <c r="V19" s="125">
        <v>4</v>
      </c>
      <c r="W19" s="125">
        <v>1</v>
      </c>
      <c r="X19" s="125">
        <v>1</v>
      </c>
      <c r="Y19" s="125">
        <f t="shared" si="1"/>
        <v>31</v>
      </c>
      <c r="Z19" s="125">
        <f t="shared" si="2"/>
        <v>25</v>
      </c>
      <c r="AA19" s="125">
        <f t="shared" si="3"/>
        <v>138</v>
      </c>
      <c r="AB19" s="125">
        <f t="shared" si="4"/>
        <v>141</v>
      </c>
      <c r="AC19" s="125">
        <f t="shared" si="5"/>
        <v>5</v>
      </c>
      <c r="AD19" s="125">
        <f t="shared" si="6"/>
        <v>7</v>
      </c>
    </row>
    <row r="20" spans="1:31" x14ac:dyDescent="0.15">
      <c r="A20" s="118" t="str">
        <f t="shared" si="0"/>
        <v>Sat</v>
      </c>
      <c r="B20" s="119">
        <v>39340</v>
      </c>
      <c r="C20" s="120" t="s">
        <v>442</v>
      </c>
      <c r="D20" s="121" t="s">
        <v>231</v>
      </c>
      <c r="E20" s="121" t="s">
        <v>340</v>
      </c>
      <c r="F20" s="121" t="s">
        <v>1</v>
      </c>
      <c r="G20" s="122">
        <v>192</v>
      </c>
      <c r="H20" s="121">
        <v>7</v>
      </c>
      <c r="I20" s="121"/>
      <c r="J20" s="123"/>
      <c r="K20" s="122">
        <v>78</v>
      </c>
      <c r="L20" s="121">
        <v>10</v>
      </c>
      <c r="M20" s="121"/>
      <c r="N20" s="120"/>
      <c r="O20" s="124">
        <v>32.4</v>
      </c>
      <c r="P20" s="124">
        <v>40.5</v>
      </c>
      <c r="Q20" s="125">
        <v>9</v>
      </c>
      <c r="R20" s="125">
        <v>0</v>
      </c>
      <c r="S20" s="125">
        <v>1</v>
      </c>
      <c r="T20" s="125">
        <v>2</v>
      </c>
      <c r="U20" s="125">
        <v>9</v>
      </c>
      <c r="V20" s="125">
        <v>0</v>
      </c>
      <c r="W20" s="125">
        <v>6</v>
      </c>
      <c r="X20" s="125">
        <v>2</v>
      </c>
      <c r="Y20" s="125">
        <f t="shared" si="1"/>
        <v>12</v>
      </c>
      <c r="Z20" s="125">
        <f t="shared" si="2"/>
        <v>17</v>
      </c>
      <c r="AA20" s="125">
        <f t="shared" si="3"/>
        <v>78</v>
      </c>
      <c r="AB20" s="125">
        <f t="shared" si="4"/>
        <v>192</v>
      </c>
      <c r="AC20" s="125">
        <f t="shared" si="5"/>
        <v>10</v>
      </c>
      <c r="AD20" s="125">
        <f t="shared" si="6"/>
        <v>7</v>
      </c>
    </row>
    <row r="21" spans="1:31" x14ac:dyDescent="0.15">
      <c r="A21" s="118" t="str">
        <f t="shared" si="0"/>
        <v>Sat</v>
      </c>
      <c r="B21" s="119"/>
      <c r="C21" s="120"/>
      <c r="D21" s="121"/>
      <c r="E21" s="121"/>
      <c r="F21" s="121"/>
      <c r="G21" s="122"/>
      <c r="H21" s="121"/>
      <c r="I21" s="121"/>
      <c r="J21" s="123"/>
      <c r="K21" s="122"/>
      <c r="L21" s="121"/>
      <c r="M21" s="121"/>
      <c r="N21" s="120"/>
      <c r="O21" s="124"/>
      <c r="P21" s="124"/>
      <c r="Q21" s="125"/>
      <c r="R21" s="125"/>
      <c r="S21" s="125"/>
      <c r="T21" s="125"/>
      <c r="U21" s="125"/>
      <c r="V21" s="125"/>
      <c r="W21" s="125"/>
      <c r="X21" s="125"/>
      <c r="Y21" s="125">
        <f t="shared" si="1"/>
        <v>0</v>
      </c>
      <c r="Z21" s="125">
        <f t="shared" si="2"/>
        <v>0</v>
      </c>
      <c r="AA21" s="125">
        <f t="shared" si="3"/>
        <v>0</v>
      </c>
      <c r="AB21" s="125">
        <f t="shared" si="4"/>
        <v>0</v>
      </c>
      <c r="AC21" s="125">
        <f t="shared" si="5"/>
        <v>0</v>
      </c>
      <c r="AD21" s="125">
        <f t="shared" si="6"/>
        <v>0</v>
      </c>
    </row>
    <row r="22" spans="1:31" x14ac:dyDescent="0.15">
      <c r="A22" s="118" t="str">
        <f t="shared" si="0"/>
        <v>Sat</v>
      </c>
      <c r="B22" s="119"/>
      <c r="C22" s="120"/>
      <c r="D22" s="121"/>
      <c r="E22" s="121"/>
      <c r="F22" s="121"/>
      <c r="G22" s="122"/>
      <c r="H22" s="121"/>
      <c r="I22" s="121"/>
      <c r="J22" s="123"/>
      <c r="K22" s="122"/>
      <c r="L22" s="121"/>
      <c r="M22" s="121"/>
      <c r="N22" s="120"/>
      <c r="O22" s="124"/>
      <c r="P22" s="124"/>
      <c r="Q22" s="125"/>
      <c r="R22" s="125"/>
      <c r="S22" s="125"/>
      <c r="T22" s="125"/>
      <c r="U22" s="125"/>
      <c r="V22" s="125"/>
      <c r="W22" s="125"/>
      <c r="X22" s="125"/>
      <c r="Y22" s="125">
        <f t="shared" si="1"/>
        <v>0</v>
      </c>
      <c r="Z22" s="125">
        <f t="shared" si="2"/>
        <v>0</v>
      </c>
      <c r="AA22" s="125">
        <f t="shared" si="3"/>
        <v>0</v>
      </c>
      <c r="AB22" s="125">
        <f t="shared" si="4"/>
        <v>0</v>
      </c>
      <c r="AC22" s="125">
        <f t="shared" si="5"/>
        <v>0</v>
      </c>
      <c r="AD22" s="125">
        <f t="shared" si="6"/>
        <v>0</v>
      </c>
    </row>
    <row r="23" spans="1:31" x14ac:dyDescent="0.15">
      <c r="A23" s="118" t="str">
        <f t="shared" si="0"/>
        <v>Sat</v>
      </c>
      <c r="B23" s="119"/>
      <c r="C23" s="120"/>
      <c r="D23" s="121"/>
      <c r="E23" s="121"/>
      <c r="F23" s="121"/>
      <c r="G23" s="122"/>
      <c r="H23" s="121"/>
      <c r="I23" s="121"/>
      <c r="J23" s="123"/>
      <c r="K23" s="122"/>
      <c r="L23" s="121"/>
      <c r="M23" s="121"/>
      <c r="N23" s="120"/>
      <c r="O23" s="124"/>
      <c r="P23" s="124"/>
      <c r="Q23" s="125"/>
      <c r="R23" s="125"/>
      <c r="S23" s="125"/>
      <c r="T23" s="125"/>
      <c r="U23" s="125"/>
      <c r="V23" s="125"/>
      <c r="W23" s="125"/>
      <c r="X23" s="125"/>
      <c r="Y23" s="125">
        <f t="shared" si="1"/>
        <v>0</v>
      </c>
      <c r="Z23" s="125">
        <f t="shared" si="2"/>
        <v>0</v>
      </c>
      <c r="AA23" s="125">
        <f t="shared" si="3"/>
        <v>0</v>
      </c>
      <c r="AB23" s="125">
        <f t="shared" si="4"/>
        <v>0</v>
      </c>
      <c r="AC23" s="125">
        <f t="shared" si="5"/>
        <v>0</v>
      </c>
      <c r="AD23" s="125">
        <f t="shared" si="6"/>
        <v>0</v>
      </c>
    </row>
    <row r="24" spans="1:31" x14ac:dyDescent="0.15">
      <c r="A24" s="118" t="str">
        <f t="shared" si="0"/>
        <v>Sat</v>
      </c>
      <c r="B24" s="119"/>
      <c r="C24" s="120"/>
      <c r="D24" s="121"/>
      <c r="E24" s="121"/>
      <c r="F24" s="121"/>
      <c r="G24" s="122"/>
      <c r="H24" s="121"/>
      <c r="I24" s="121"/>
      <c r="J24" s="123"/>
      <c r="K24" s="122"/>
      <c r="L24" s="121"/>
      <c r="M24" s="121"/>
      <c r="N24" s="120"/>
      <c r="O24" s="124"/>
      <c r="P24" s="124"/>
      <c r="Q24" s="125"/>
      <c r="R24" s="125"/>
      <c r="S24" s="125"/>
      <c r="T24" s="125"/>
      <c r="U24" s="125"/>
      <c r="V24" s="125"/>
      <c r="W24" s="125"/>
      <c r="X24" s="125"/>
      <c r="Y24" s="125">
        <f t="shared" ref="Y24:Y59" si="7">SUM(Q24:T24)</f>
        <v>0</v>
      </c>
      <c r="Z24" s="125">
        <f t="shared" ref="Z24:Z59" si="8">SUM(U24:X24)</f>
        <v>0</v>
      </c>
      <c r="AA24" s="125">
        <f t="shared" si="3"/>
        <v>0</v>
      </c>
      <c r="AB24" s="125">
        <f t="shared" si="4"/>
        <v>0</v>
      </c>
      <c r="AC24" s="125">
        <f t="shared" si="5"/>
        <v>0</v>
      </c>
      <c r="AD24" s="125">
        <f t="shared" si="6"/>
        <v>0</v>
      </c>
    </row>
    <row r="25" spans="1:31" x14ac:dyDescent="0.15">
      <c r="A25" s="118" t="str">
        <f t="shared" si="0"/>
        <v>Sat</v>
      </c>
      <c r="B25" s="119"/>
      <c r="C25" s="120"/>
      <c r="D25" s="121"/>
      <c r="E25" s="121"/>
      <c r="F25" s="121"/>
      <c r="G25" s="122"/>
      <c r="H25" s="121"/>
      <c r="I25" s="121"/>
      <c r="J25" s="123"/>
      <c r="K25" s="122"/>
      <c r="L25" s="121"/>
      <c r="M25" s="121"/>
      <c r="N25" s="132"/>
      <c r="O25" s="124"/>
      <c r="P25" s="124"/>
      <c r="Q25" s="125"/>
      <c r="R25" s="125"/>
      <c r="S25" s="125"/>
      <c r="T25" s="125"/>
      <c r="U25" s="125"/>
      <c r="V25" s="125"/>
      <c r="W25" s="125"/>
      <c r="X25" s="125"/>
      <c r="Y25" s="125">
        <f t="shared" si="7"/>
        <v>0</v>
      </c>
      <c r="Z25" s="125">
        <f t="shared" si="8"/>
        <v>0</v>
      </c>
      <c r="AA25" s="125">
        <f t="shared" si="3"/>
        <v>0</v>
      </c>
      <c r="AB25" s="125">
        <f t="shared" si="4"/>
        <v>0</v>
      </c>
      <c r="AC25" s="125">
        <f t="shared" si="5"/>
        <v>0</v>
      </c>
      <c r="AD25" s="125">
        <f t="shared" si="6"/>
        <v>0</v>
      </c>
    </row>
    <row r="26" spans="1:31" x14ac:dyDescent="0.15">
      <c r="A26" s="118" t="str">
        <f t="shared" si="0"/>
        <v>Sat</v>
      </c>
      <c r="B26" s="119"/>
      <c r="C26" s="120"/>
      <c r="D26" s="121"/>
      <c r="E26" s="121"/>
      <c r="F26" s="121"/>
      <c r="G26" s="122"/>
      <c r="H26" s="121"/>
      <c r="I26" s="121"/>
      <c r="J26" s="123"/>
      <c r="K26" s="122"/>
      <c r="L26" s="121"/>
      <c r="M26" s="121"/>
      <c r="N26" s="120"/>
      <c r="O26" s="124"/>
      <c r="P26" s="124"/>
      <c r="Q26" s="125"/>
      <c r="R26" s="125"/>
      <c r="S26" s="125"/>
      <c r="T26" s="125"/>
      <c r="U26" s="125"/>
      <c r="V26" s="125"/>
      <c r="W26" s="125"/>
      <c r="X26" s="125"/>
      <c r="Y26" s="125">
        <f t="shared" si="7"/>
        <v>0</v>
      </c>
      <c r="Z26" s="125">
        <f t="shared" si="8"/>
        <v>0</v>
      </c>
      <c r="AA26" s="125">
        <f t="shared" si="3"/>
        <v>0</v>
      </c>
      <c r="AB26" s="125">
        <f t="shared" si="4"/>
        <v>0</v>
      </c>
      <c r="AC26" s="125">
        <f t="shared" si="5"/>
        <v>0</v>
      </c>
      <c r="AD26" s="125">
        <f t="shared" si="6"/>
        <v>0</v>
      </c>
    </row>
    <row r="27" spans="1:31" x14ac:dyDescent="0.15">
      <c r="A27" s="118" t="str">
        <f t="shared" si="0"/>
        <v>Sat</v>
      </c>
      <c r="B27" s="119"/>
      <c r="C27" s="120"/>
      <c r="D27" s="121"/>
      <c r="E27" s="121"/>
      <c r="F27" s="121"/>
      <c r="G27" s="122"/>
      <c r="H27" s="121"/>
      <c r="I27" s="121"/>
      <c r="J27" s="123"/>
      <c r="K27" s="122"/>
      <c r="L27" s="121"/>
      <c r="M27" s="121"/>
      <c r="N27" s="120"/>
      <c r="O27" s="124"/>
      <c r="P27" s="124"/>
      <c r="Q27" s="125"/>
      <c r="R27" s="125"/>
      <c r="S27" s="125"/>
      <c r="T27" s="125"/>
      <c r="U27" s="125"/>
      <c r="V27" s="125"/>
      <c r="W27" s="125"/>
      <c r="X27" s="125"/>
      <c r="Y27" s="125">
        <f t="shared" si="7"/>
        <v>0</v>
      </c>
      <c r="Z27" s="125">
        <f t="shared" si="8"/>
        <v>0</v>
      </c>
      <c r="AA27" s="125">
        <f t="shared" si="3"/>
        <v>0</v>
      </c>
      <c r="AB27" s="125">
        <f t="shared" si="4"/>
        <v>0</v>
      </c>
      <c r="AC27" s="125">
        <f t="shared" si="5"/>
        <v>0</v>
      </c>
      <c r="AD27" s="125">
        <f t="shared" si="6"/>
        <v>0</v>
      </c>
    </row>
    <row r="28" spans="1:31" x14ac:dyDescent="0.15">
      <c r="A28" s="118" t="str">
        <f t="shared" si="0"/>
        <v>Sat</v>
      </c>
      <c r="B28" s="119"/>
      <c r="C28" s="120"/>
      <c r="D28" s="121"/>
      <c r="E28" s="121"/>
      <c r="F28" s="121"/>
      <c r="G28" s="122"/>
      <c r="H28" s="121"/>
      <c r="I28" s="121"/>
      <c r="J28" s="123"/>
      <c r="K28" s="122"/>
      <c r="L28" s="121"/>
      <c r="M28" s="121"/>
      <c r="N28" s="120"/>
      <c r="O28" s="124"/>
      <c r="P28" s="124"/>
      <c r="Q28" s="125"/>
      <c r="R28" s="125"/>
      <c r="S28" s="125"/>
      <c r="T28" s="125"/>
      <c r="U28" s="125"/>
      <c r="V28" s="125"/>
      <c r="W28" s="125"/>
      <c r="X28" s="125"/>
      <c r="Y28" s="125">
        <f t="shared" si="7"/>
        <v>0</v>
      </c>
      <c r="Z28" s="125">
        <f t="shared" si="8"/>
        <v>0</v>
      </c>
      <c r="AA28" s="125">
        <f t="shared" si="3"/>
        <v>0</v>
      </c>
      <c r="AB28" s="125">
        <f t="shared" si="4"/>
        <v>0</v>
      </c>
      <c r="AC28" s="125">
        <f t="shared" si="5"/>
        <v>0</v>
      </c>
      <c r="AD28" s="125">
        <f t="shared" si="6"/>
        <v>0</v>
      </c>
    </row>
    <row r="29" spans="1:31" x14ac:dyDescent="0.15">
      <c r="A29" s="118" t="str">
        <f t="shared" si="0"/>
        <v>Sat</v>
      </c>
      <c r="B29" s="119"/>
      <c r="C29" s="120"/>
      <c r="D29" s="121"/>
      <c r="E29" s="121"/>
      <c r="F29" s="121"/>
      <c r="G29" s="122"/>
      <c r="H29" s="121"/>
      <c r="I29" s="121"/>
      <c r="J29" s="123"/>
      <c r="K29" s="122"/>
      <c r="L29" s="121"/>
      <c r="M29" s="121"/>
      <c r="N29" s="120"/>
      <c r="O29" s="124"/>
      <c r="P29" s="124"/>
      <c r="Q29" s="125"/>
      <c r="R29" s="125"/>
      <c r="S29" s="125"/>
      <c r="T29" s="125"/>
      <c r="U29" s="125"/>
      <c r="V29" s="125"/>
      <c r="W29" s="125"/>
      <c r="X29" s="125"/>
      <c r="Y29" s="125">
        <f t="shared" si="7"/>
        <v>0</v>
      </c>
      <c r="Z29" s="125">
        <f t="shared" si="8"/>
        <v>0</v>
      </c>
      <c r="AA29" s="125">
        <f t="shared" si="3"/>
        <v>0</v>
      </c>
      <c r="AB29" s="125">
        <f t="shared" si="4"/>
        <v>0</v>
      </c>
      <c r="AC29" s="125">
        <f t="shared" si="5"/>
        <v>0</v>
      </c>
      <c r="AD29" s="125">
        <f t="shared" si="6"/>
        <v>0</v>
      </c>
    </row>
    <row r="30" spans="1:31" x14ac:dyDescent="0.15">
      <c r="A30" s="118" t="str">
        <f t="shared" si="0"/>
        <v>Sat</v>
      </c>
      <c r="B30" s="119"/>
      <c r="C30" s="120"/>
      <c r="D30" s="121"/>
      <c r="E30" s="121"/>
      <c r="F30" s="121"/>
      <c r="G30" s="122"/>
      <c r="H30" s="121"/>
      <c r="I30" s="121"/>
      <c r="J30" s="123"/>
      <c r="K30" s="122"/>
      <c r="L30" s="121"/>
      <c r="M30" s="121"/>
      <c r="N30" s="120"/>
      <c r="O30" s="124"/>
      <c r="P30" s="124"/>
      <c r="Q30" s="125"/>
      <c r="R30" s="125"/>
      <c r="S30" s="125"/>
      <c r="T30" s="125"/>
      <c r="U30" s="125"/>
      <c r="V30" s="125"/>
      <c r="W30" s="125"/>
      <c r="X30" s="125"/>
      <c r="Y30" s="125">
        <f t="shared" si="7"/>
        <v>0</v>
      </c>
      <c r="Z30" s="125">
        <f t="shared" si="8"/>
        <v>0</v>
      </c>
      <c r="AA30" s="125">
        <f t="shared" si="3"/>
        <v>0</v>
      </c>
      <c r="AB30" s="125">
        <f t="shared" si="4"/>
        <v>0</v>
      </c>
      <c r="AC30" s="125">
        <f t="shared" si="5"/>
        <v>0</v>
      </c>
      <c r="AD30" s="125">
        <f t="shared" si="6"/>
        <v>0</v>
      </c>
    </row>
    <row r="31" spans="1:31" x14ac:dyDescent="0.15">
      <c r="A31" s="118" t="str">
        <f t="shared" si="0"/>
        <v>Sat</v>
      </c>
      <c r="B31" s="119"/>
      <c r="C31" s="120"/>
      <c r="D31" s="121"/>
      <c r="E31" s="121"/>
      <c r="F31" s="121"/>
      <c r="G31" s="122"/>
      <c r="H31" s="121"/>
      <c r="I31" s="121"/>
      <c r="J31" s="123"/>
      <c r="K31" s="122"/>
      <c r="L31" s="121"/>
      <c r="M31" s="121"/>
      <c r="N31" s="120"/>
      <c r="O31" s="124"/>
      <c r="P31" s="124"/>
      <c r="Q31" s="125"/>
      <c r="R31" s="125"/>
      <c r="S31" s="125"/>
      <c r="T31" s="125"/>
      <c r="U31" s="125"/>
      <c r="V31" s="125"/>
      <c r="W31" s="125"/>
      <c r="X31" s="125"/>
      <c r="Y31" s="125">
        <f t="shared" si="7"/>
        <v>0</v>
      </c>
      <c r="Z31" s="125">
        <f t="shared" si="8"/>
        <v>0</v>
      </c>
      <c r="AA31" s="125">
        <f t="shared" si="3"/>
        <v>0</v>
      </c>
      <c r="AB31" s="125">
        <f t="shared" si="4"/>
        <v>0</v>
      </c>
      <c r="AC31" s="125">
        <f t="shared" si="5"/>
        <v>0</v>
      </c>
      <c r="AD31" s="125">
        <f t="shared" si="6"/>
        <v>0</v>
      </c>
    </row>
    <row r="32" spans="1:31" x14ac:dyDescent="0.15">
      <c r="A32" s="118" t="str">
        <f t="shared" si="0"/>
        <v>Sat</v>
      </c>
      <c r="B32" s="119"/>
      <c r="C32" s="120"/>
      <c r="D32" s="121"/>
      <c r="E32" s="121"/>
      <c r="F32" s="121"/>
      <c r="G32" s="122"/>
      <c r="H32" s="121"/>
      <c r="I32" s="121"/>
      <c r="J32" s="123"/>
      <c r="K32" s="122"/>
      <c r="L32" s="121"/>
      <c r="M32" s="121"/>
      <c r="N32" s="120"/>
      <c r="O32" s="124"/>
      <c r="P32" s="124"/>
      <c r="Q32" s="125"/>
      <c r="R32" s="125"/>
      <c r="S32" s="125"/>
      <c r="T32" s="125"/>
      <c r="U32" s="125"/>
      <c r="V32" s="125"/>
      <c r="W32" s="125"/>
      <c r="X32" s="125"/>
      <c r="Y32" s="125">
        <f t="shared" si="7"/>
        <v>0</v>
      </c>
      <c r="Z32" s="125">
        <f t="shared" si="8"/>
        <v>0</v>
      </c>
      <c r="AA32" s="125">
        <f t="shared" si="3"/>
        <v>0</v>
      </c>
      <c r="AB32" s="125">
        <f t="shared" si="4"/>
        <v>0</v>
      </c>
      <c r="AC32" s="125">
        <f t="shared" si="5"/>
        <v>0</v>
      </c>
      <c r="AD32" s="125">
        <f t="shared" si="6"/>
        <v>0</v>
      </c>
    </row>
    <row r="33" spans="1:30" x14ac:dyDescent="0.15">
      <c r="A33" s="118" t="str">
        <f t="shared" si="0"/>
        <v>Sat</v>
      </c>
      <c r="B33" s="119"/>
      <c r="C33" s="120"/>
      <c r="D33" s="121"/>
      <c r="E33" s="121"/>
      <c r="F33" s="121"/>
      <c r="G33" s="122"/>
      <c r="H33" s="121"/>
      <c r="I33" s="121"/>
      <c r="J33" s="123"/>
      <c r="K33" s="122"/>
      <c r="L33" s="121"/>
      <c r="M33" s="121"/>
      <c r="N33" s="120"/>
      <c r="O33" s="124"/>
      <c r="P33" s="124"/>
      <c r="Q33" s="125"/>
      <c r="R33" s="125"/>
      <c r="S33" s="125"/>
      <c r="T33" s="125"/>
      <c r="U33" s="125"/>
      <c r="V33" s="125"/>
      <c r="W33" s="125"/>
      <c r="X33" s="125"/>
      <c r="Y33" s="125">
        <f t="shared" si="7"/>
        <v>0</v>
      </c>
      <c r="Z33" s="125">
        <f t="shared" si="8"/>
        <v>0</v>
      </c>
      <c r="AA33" s="125">
        <f t="shared" si="3"/>
        <v>0</v>
      </c>
      <c r="AB33" s="125">
        <f t="shared" si="4"/>
        <v>0</v>
      </c>
      <c r="AC33" s="125">
        <f t="shared" si="5"/>
        <v>0</v>
      </c>
      <c r="AD33" s="125">
        <f t="shared" si="6"/>
        <v>0</v>
      </c>
    </row>
    <row r="34" spans="1:30" x14ac:dyDescent="0.15">
      <c r="A34" s="118" t="str">
        <f t="shared" si="0"/>
        <v>Sat</v>
      </c>
      <c r="B34" s="119"/>
      <c r="C34" s="120"/>
      <c r="D34" s="121"/>
      <c r="E34" s="121"/>
      <c r="F34" s="121"/>
      <c r="G34" s="122"/>
      <c r="H34" s="121"/>
      <c r="I34" s="121"/>
      <c r="J34" s="123"/>
      <c r="K34" s="122"/>
      <c r="L34" s="121"/>
      <c r="M34" s="121"/>
      <c r="N34" s="120"/>
      <c r="O34" s="124"/>
      <c r="P34" s="124"/>
      <c r="Q34" s="125"/>
      <c r="R34" s="125"/>
      <c r="S34" s="125"/>
      <c r="T34" s="125"/>
      <c r="U34" s="125"/>
      <c r="V34" s="125"/>
      <c r="W34" s="125"/>
      <c r="X34" s="125"/>
      <c r="Y34" s="125">
        <f t="shared" si="7"/>
        <v>0</v>
      </c>
      <c r="Z34" s="125">
        <f t="shared" si="8"/>
        <v>0</v>
      </c>
      <c r="AA34" s="125">
        <f t="shared" si="3"/>
        <v>0</v>
      </c>
      <c r="AB34" s="125">
        <f t="shared" si="4"/>
        <v>0</v>
      </c>
      <c r="AC34" s="125">
        <f t="shared" si="5"/>
        <v>0</v>
      </c>
      <c r="AD34" s="125">
        <f t="shared" si="6"/>
        <v>0</v>
      </c>
    </row>
    <row r="35" spans="1:30" x14ac:dyDescent="0.15">
      <c r="A35" s="118" t="str">
        <f t="shared" si="0"/>
        <v>Sat</v>
      </c>
      <c r="B35" s="119"/>
      <c r="C35" s="120"/>
      <c r="D35" s="121"/>
      <c r="E35" s="121"/>
      <c r="F35" s="121"/>
      <c r="G35" s="122"/>
      <c r="H35" s="121"/>
      <c r="I35" s="121"/>
      <c r="J35" s="123"/>
      <c r="K35" s="122"/>
      <c r="L35" s="121"/>
      <c r="M35" s="121"/>
      <c r="N35" s="120"/>
      <c r="O35" s="124"/>
      <c r="P35" s="124"/>
      <c r="Q35" s="125"/>
      <c r="R35" s="125"/>
      <c r="S35" s="125"/>
      <c r="T35" s="125"/>
      <c r="U35" s="125"/>
      <c r="V35" s="125"/>
      <c r="W35" s="125"/>
      <c r="X35" s="125"/>
      <c r="Y35" s="125">
        <f t="shared" si="7"/>
        <v>0</v>
      </c>
      <c r="Z35" s="125">
        <f t="shared" si="8"/>
        <v>0</v>
      </c>
      <c r="AA35" s="125">
        <f t="shared" si="3"/>
        <v>0</v>
      </c>
      <c r="AB35" s="125">
        <f t="shared" si="4"/>
        <v>0</v>
      </c>
      <c r="AC35" s="125">
        <f t="shared" si="5"/>
        <v>0</v>
      </c>
      <c r="AD35" s="125">
        <f t="shared" si="6"/>
        <v>0</v>
      </c>
    </row>
    <row r="36" spans="1:30" x14ac:dyDescent="0.15">
      <c r="A36" s="118" t="str">
        <f t="shared" si="0"/>
        <v>Sat</v>
      </c>
      <c r="B36" s="119"/>
      <c r="C36" s="120"/>
      <c r="D36" s="121"/>
      <c r="E36" s="121"/>
      <c r="F36" s="121"/>
      <c r="G36" s="122"/>
      <c r="H36" s="121"/>
      <c r="I36" s="121"/>
      <c r="J36" s="123"/>
      <c r="K36" s="122"/>
      <c r="L36" s="121"/>
      <c r="M36" s="121"/>
      <c r="N36" s="120"/>
      <c r="O36" s="124"/>
      <c r="P36" s="124"/>
      <c r="Q36" s="125"/>
      <c r="R36" s="125"/>
      <c r="S36" s="125"/>
      <c r="T36" s="125"/>
      <c r="U36" s="125"/>
      <c r="V36" s="125"/>
      <c r="W36" s="125"/>
      <c r="X36" s="125"/>
      <c r="Y36" s="125">
        <f t="shared" si="7"/>
        <v>0</v>
      </c>
      <c r="Z36" s="125">
        <f t="shared" si="8"/>
        <v>0</v>
      </c>
      <c r="AA36" s="125">
        <f t="shared" si="3"/>
        <v>0</v>
      </c>
      <c r="AB36" s="125">
        <f t="shared" si="4"/>
        <v>0</v>
      </c>
      <c r="AC36" s="125">
        <f t="shared" si="5"/>
        <v>0</v>
      </c>
      <c r="AD36" s="125">
        <f t="shared" si="6"/>
        <v>0</v>
      </c>
    </row>
    <row r="37" spans="1:30" x14ac:dyDescent="0.15">
      <c r="A37" s="118" t="str">
        <f t="shared" si="0"/>
        <v>Sat</v>
      </c>
      <c r="B37" s="119"/>
      <c r="C37" s="120"/>
      <c r="D37" s="121"/>
      <c r="E37" s="121"/>
      <c r="F37" s="121"/>
      <c r="G37" s="122"/>
      <c r="H37" s="121"/>
      <c r="I37" s="121"/>
      <c r="J37" s="123"/>
      <c r="K37" s="122"/>
      <c r="L37" s="121"/>
      <c r="M37" s="121"/>
      <c r="N37" s="120"/>
      <c r="O37" s="124"/>
      <c r="P37" s="124"/>
      <c r="Q37" s="125"/>
      <c r="R37" s="125"/>
      <c r="S37" s="125"/>
      <c r="T37" s="125"/>
      <c r="U37" s="125"/>
      <c r="V37" s="125"/>
      <c r="W37" s="125"/>
      <c r="X37" s="125"/>
      <c r="Y37" s="125">
        <f t="shared" si="7"/>
        <v>0</v>
      </c>
      <c r="Z37" s="125">
        <f t="shared" si="8"/>
        <v>0</v>
      </c>
      <c r="AA37" s="125">
        <f t="shared" si="3"/>
        <v>0</v>
      </c>
      <c r="AB37" s="125">
        <f t="shared" si="4"/>
        <v>0</v>
      </c>
      <c r="AC37" s="125">
        <f t="shared" si="5"/>
        <v>0</v>
      </c>
      <c r="AD37" s="125">
        <f t="shared" si="6"/>
        <v>0</v>
      </c>
    </row>
    <row r="38" spans="1:30" x14ac:dyDescent="0.15">
      <c r="A38" s="118" t="str">
        <f t="shared" si="0"/>
        <v>Sat</v>
      </c>
      <c r="B38" s="119"/>
      <c r="C38" s="120"/>
      <c r="D38" s="121"/>
      <c r="E38" s="121"/>
      <c r="F38" s="121"/>
      <c r="G38" s="122"/>
      <c r="H38" s="121"/>
      <c r="I38" s="121"/>
      <c r="J38" s="123"/>
      <c r="K38" s="122"/>
      <c r="L38" s="121"/>
      <c r="M38" s="121"/>
      <c r="N38" s="120"/>
      <c r="O38" s="124"/>
      <c r="P38" s="124"/>
      <c r="Q38" s="125"/>
      <c r="R38" s="125"/>
      <c r="S38" s="125"/>
      <c r="T38" s="125"/>
      <c r="U38" s="125"/>
      <c r="V38" s="125"/>
      <c r="W38" s="125"/>
      <c r="X38" s="125"/>
      <c r="Y38" s="125">
        <f t="shared" si="7"/>
        <v>0</v>
      </c>
      <c r="Z38" s="125">
        <f t="shared" si="8"/>
        <v>0</v>
      </c>
      <c r="AA38" s="125">
        <f t="shared" si="3"/>
        <v>0</v>
      </c>
      <c r="AB38" s="125">
        <f t="shared" si="4"/>
        <v>0</v>
      </c>
      <c r="AC38" s="125">
        <f t="shared" si="5"/>
        <v>0</v>
      </c>
      <c r="AD38" s="125">
        <f t="shared" si="6"/>
        <v>0</v>
      </c>
    </row>
    <row r="39" spans="1:30" x14ac:dyDescent="0.15">
      <c r="A39" s="118" t="str">
        <f t="shared" si="0"/>
        <v>Sat</v>
      </c>
      <c r="B39" s="119"/>
      <c r="C39" s="120"/>
      <c r="D39" s="121"/>
      <c r="E39" s="121"/>
      <c r="F39" s="121"/>
      <c r="G39" s="122"/>
      <c r="H39" s="121"/>
      <c r="I39" s="121"/>
      <c r="J39" s="123"/>
      <c r="K39" s="122"/>
      <c r="L39" s="121"/>
      <c r="M39" s="121"/>
      <c r="N39" s="120"/>
      <c r="O39" s="124"/>
      <c r="P39" s="124"/>
      <c r="Q39" s="125"/>
      <c r="R39" s="125"/>
      <c r="S39" s="125"/>
      <c r="T39" s="125"/>
      <c r="U39" s="125"/>
      <c r="V39" s="125"/>
      <c r="W39" s="125"/>
      <c r="X39" s="125"/>
      <c r="Y39" s="125">
        <f t="shared" si="7"/>
        <v>0</v>
      </c>
      <c r="Z39" s="125">
        <f t="shared" si="8"/>
        <v>0</v>
      </c>
      <c r="AA39" s="125">
        <f t="shared" si="3"/>
        <v>0</v>
      </c>
      <c r="AB39" s="125">
        <f t="shared" si="4"/>
        <v>0</v>
      </c>
      <c r="AC39" s="125">
        <f t="shared" si="5"/>
        <v>0</v>
      </c>
      <c r="AD39" s="125">
        <f t="shared" si="6"/>
        <v>0</v>
      </c>
    </row>
    <row r="40" spans="1:30" x14ac:dyDescent="0.15">
      <c r="A40" s="118" t="str">
        <f t="shared" si="0"/>
        <v>Sat</v>
      </c>
      <c r="B40" s="119"/>
      <c r="C40" s="120"/>
      <c r="D40" s="121"/>
      <c r="E40" s="121"/>
      <c r="F40" s="121"/>
      <c r="G40" s="122"/>
      <c r="H40" s="121"/>
      <c r="I40" s="121"/>
      <c r="J40" s="123"/>
      <c r="K40" s="122"/>
      <c r="L40" s="121"/>
      <c r="M40" s="121"/>
      <c r="N40" s="120"/>
      <c r="O40" s="124"/>
      <c r="P40" s="124"/>
      <c r="Q40" s="125"/>
      <c r="R40" s="125"/>
      <c r="S40" s="125"/>
      <c r="T40" s="125"/>
      <c r="U40" s="125"/>
      <c r="V40" s="125"/>
      <c r="W40" s="125"/>
      <c r="X40" s="125"/>
      <c r="Y40" s="125">
        <f t="shared" si="7"/>
        <v>0</v>
      </c>
      <c r="Z40" s="125">
        <f t="shared" si="8"/>
        <v>0</v>
      </c>
      <c r="AA40" s="125">
        <f t="shared" si="3"/>
        <v>0</v>
      </c>
      <c r="AB40" s="125">
        <f t="shared" si="4"/>
        <v>0</v>
      </c>
      <c r="AC40" s="125">
        <f t="shared" si="5"/>
        <v>0</v>
      </c>
      <c r="AD40" s="125">
        <f t="shared" si="6"/>
        <v>0</v>
      </c>
    </row>
    <row r="41" spans="1:30" x14ac:dyDescent="0.15">
      <c r="A41" s="118" t="str">
        <f t="shared" si="0"/>
        <v>Sat</v>
      </c>
      <c r="B41" s="119"/>
      <c r="C41" s="120"/>
      <c r="D41" s="121"/>
      <c r="E41" s="121"/>
      <c r="F41" s="121"/>
      <c r="G41" s="122"/>
      <c r="H41" s="121"/>
      <c r="I41" s="121"/>
      <c r="J41" s="123"/>
      <c r="K41" s="122"/>
      <c r="L41" s="121"/>
      <c r="M41" s="121"/>
      <c r="N41" s="120"/>
      <c r="O41" s="124"/>
      <c r="P41" s="124"/>
      <c r="Q41" s="125"/>
      <c r="R41" s="125"/>
      <c r="S41" s="125"/>
      <c r="T41" s="125"/>
      <c r="U41" s="125"/>
      <c r="V41" s="125"/>
      <c r="W41" s="125"/>
      <c r="X41" s="125"/>
      <c r="Y41" s="125">
        <f t="shared" si="7"/>
        <v>0</v>
      </c>
      <c r="Z41" s="125">
        <f t="shared" si="8"/>
        <v>0</v>
      </c>
      <c r="AA41" s="125">
        <f t="shared" si="3"/>
        <v>0</v>
      </c>
      <c r="AB41" s="125">
        <f t="shared" si="4"/>
        <v>0</v>
      </c>
      <c r="AC41" s="125">
        <f t="shared" si="5"/>
        <v>0</v>
      </c>
      <c r="AD41" s="125">
        <f t="shared" si="6"/>
        <v>0</v>
      </c>
    </row>
    <row r="42" spans="1:30" x14ac:dyDescent="0.15">
      <c r="A42" s="118" t="str">
        <f t="shared" si="0"/>
        <v>Sat</v>
      </c>
      <c r="B42" s="119"/>
      <c r="C42" s="120"/>
      <c r="D42" s="121"/>
      <c r="E42" s="121"/>
      <c r="F42" s="121"/>
      <c r="G42" s="122"/>
      <c r="H42" s="121"/>
      <c r="I42" s="121"/>
      <c r="J42" s="123"/>
      <c r="K42" s="122"/>
      <c r="L42" s="121"/>
      <c r="M42" s="121"/>
      <c r="N42" s="120"/>
      <c r="O42" s="124"/>
      <c r="P42" s="124"/>
      <c r="Q42" s="125"/>
      <c r="R42" s="125"/>
      <c r="S42" s="125"/>
      <c r="T42" s="125"/>
      <c r="U42" s="125"/>
      <c r="V42" s="125"/>
      <c r="W42" s="125"/>
      <c r="X42" s="125"/>
      <c r="Y42" s="125">
        <f t="shared" si="7"/>
        <v>0</v>
      </c>
      <c r="Z42" s="125">
        <f t="shared" si="8"/>
        <v>0</v>
      </c>
      <c r="AA42" s="125">
        <f t="shared" si="3"/>
        <v>0</v>
      </c>
      <c r="AB42" s="125">
        <f t="shared" si="4"/>
        <v>0</v>
      </c>
      <c r="AC42" s="125">
        <f t="shared" si="5"/>
        <v>0</v>
      </c>
      <c r="AD42" s="125">
        <f t="shared" si="6"/>
        <v>0</v>
      </c>
    </row>
    <row r="43" spans="1:30" x14ac:dyDescent="0.15">
      <c r="A43" s="118" t="str">
        <f t="shared" si="0"/>
        <v>Sat</v>
      </c>
      <c r="B43" s="119"/>
      <c r="C43" s="120"/>
      <c r="D43" s="121"/>
      <c r="E43" s="121"/>
      <c r="F43" s="121"/>
      <c r="G43" s="122"/>
      <c r="H43" s="121"/>
      <c r="I43" s="121"/>
      <c r="J43" s="123"/>
      <c r="K43" s="122"/>
      <c r="L43" s="121"/>
      <c r="M43" s="121"/>
      <c r="N43" s="120"/>
      <c r="O43" s="124"/>
      <c r="P43" s="124"/>
      <c r="Q43" s="125"/>
      <c r="R43" s="125"/>
      <c r="S43" s="125"/>
      <c r="T43" s="125"/>
      <c r="U43" s="125"/>
      <c r="V43" s="125"/>
      <c r="W43" s="125"/>
      <c r="X43" s="125"/>
      <c r="Y43" s="125">
        <f t="shared" si="7"/>
        <v>0</v>
      </c>
      <c r="Z43" s="125">
        <f t="shared" si="8"/>
        <v>0</v>
      </c>
      <c r="AA43" s="125">
        <f t="shared" si="3"/>
        <v>0</v>
      </c>
      <c r="AB43" s="125">
        <f t="shared" si="4"/>
        <v>0</v>
      </c>
      <c r="AC43" s="125">
        <f t="shared" si="5"/>
        <v>0</v>
      </c>
      <c r="AD43" s="125">
        <f t="shared" si="6"/>
        <v>0</v>
      </c>
    </row>
    <row r="44" spans="1:30" x14ac:dyDescent="0.15">
      <c r="A44" s="118" t="str">
        <f t="shared" si="0"/>
        <v>Sat</v>
      </c>
      <c r="B44" s="119"/>
      <c r="C44" s="120"/>
      <c r="D44" s="121"/>
      <c r="E44" s="121"/>
      <c r="F44" s="121"/>
      <c r="G44" s="122"/>
      <c r="H44" s="121"/>
      <c r="I44" s="121"/>
      <c r="J44" s="123"/>
      <c r="K44" s="122"/>
      <c r="L44" s="121"/>
      <c r="M44" s="121"/>
      <c r="N44" s="120"/>
      <c r="O44" s="124"/>
      <c r="P44" s="124"/>
      <c r="Q44" s="125"/>
      <c r="R44" s="125"/>
      <c r="S44" s="125"/>
      <c r="T44" s="125"/>
      <c r="U44" s="125"/>
      <c r="V44" s="125"/>
      <c r="W44" s="125"/>
      <c r="X44" s="125"/>
      <c r="Y44" s="125">
        <f t="shared" si="7"/>
        <v>0</v>
      </c>
      <c r="Z44" s="125">
        <f t="shared" si="8"/>
        <v>0</v>
      </c>
      <c r="AA44" s="125">
        <f t="shared" si="3"/>
        <v>0</v>
      </c>
      <c r="AB44" s="125">
        <f t="shared" si="4"/>
        <v>0</v>
      </c>
      <c r="AC44" s="125">
        <f t="shared" si="5"/>
        <v>0</v>
      </c>
      <c r="AD44" s="125">
        <f t="shared" si="6"/>
        <v>0</v>
      </c>
    </row>
    <row r="45" spans="1:30" x14ac:dyDescent="0.15">
      <c r="A45" s="118" t="str">
        <f t="shared" si="0"/>
        <v>Sat</v>
      </c>
      <c r="B45" s="119"/>
      <c r="C45" s="120"/>
      <c r="D45" s="121"/>
      <c r="E45" s="121"/>
      <c r="F45" s="121"/>
      <c r="G45" s="122"/>
      <c r="H45" s="121"/>
      <c r="I45" s="121"/>
      <c r="J45" s="123"/>
      <c r="K45" s="122"/>
      <c r="L45" s="121"/>
      <c r="M45" s="121"/>
      <c r="N45" s="120"/>
      <c r="O45" s="124"/>
      <c r="P45" s="124"/>
      <c r="Q45" s="125"/>
      <c r="R45" s="125"/>
      <c r="S45" s="125"/>
      <c r="T45" s="125"/>
      <c r="U45" s="125"/>
      <c r="V45" s="125"/>
      <c r="W45" s="125"/>
      <c r="X45" s="125"/>
      <c r="Y45" s="125">
        <f t="shared" si="7"/>
        <v>0</v>
      </c>
      <c r="Z45" s="125">
        <f t="shared" si="8"/>
        <v>0</v>
      </c>
      <c r="AA45" s="125">
        <f t="shared" si="3"/>
        <v>0</v>
      </c>
      <c r="AB45" s="125">
        <f t="shared" si="4"/>
        <v>0</v>
      </c>
      <c r="AC45" s="125">
        <f t="shared" si="5"/>
        <v>0</v>
      </c>
      <c r="AD45" s="125">
        <f t="shared" si="6"/>
        <v>0</v>
      </c>
    </row>
    <row r="46" spans="1:30" x14ac:dyDescent="0.15">
      <c r="A46" s="118" t="str">
        <f t="shared" si="0"/>
        <v>Sat</v>
      </c>
      <c r="B46" s="119"/>
      <c r="C46" s="120"/>
      <c r="D46" s="121"/>
      <c r="E46" s="121"/>
      <c r="F46" s="121"/>
      <c r="G46" s="122"/>
      <c r="H46" s="121"/>
      <c r="I46" s="121"/>
      <c r="J46" s="123"/>
      <c r="K46" s="122"/>
      <c r="L46" s="121"/>
      <c r="M46" s="121"/>
      <c r="N46" s="120"/>
      <c r="O46" s="124"/>
      <c r="P46" s="124"/>
      <c r="Q46" s="125"/>
      <c r="R46" s="125"/>
      <c r="S46" s="125"/>
      <c r="T46" s="125"/>
      <c r="U46" s="125"/>
      <c r="V46" s="125"/>
      <c r="W46" s="125"/>
      <c r="X46" s="125"/>
      <c r="Y46" s="125">
        <f>SUM(Q46:T46)</f>
        <v>0</v>
      </c>
      <c r="Z46" s="125">
        <f>SUM(U46:X46)</f>
        <v>0</v>
      </c>
      <c r="AA46" s="125">
        <f>IF(F46="TOCC",G46,K46)</f>
        <v>0</v>
      </c>
      <c r="AB46" s="125">
        <f>IF(F46&lt;&gt;"TOCC",G46,K46)</f>
        <v>0</v>
      </c>
      <c r="AC46" s="125">
        <f>IF(F46="TOCC",H46,L46)</f>
        <v>0</v>
      </c>
      <c r="AD46" s="125">
        <f>IF(F46&lt;&gt;"TOCC",H46,L46)</f>
        <v>0</v>
      </c>
    </row>
    <row r="47" spans="1:30" x14ac:dyDescent="0.15">
      <c r="A47" s="118" t="str">
        <f t="shared" si="0"/>
        <v>Sat</v>
      </c>
      <c r="B47" s="119"/>
      <c r="C47" s="120"/>
      <c r="D47" s="121"/>
      <c r="E47" s="121"/>
      <c r="F47" s="121"/>
      <c r="G47" s="122"/>
      <c r="H47" s="121"/>
      <c r="I47" s="121"/>
      <c r="J47" s="123"/>
      <c r="K47" s="122"/>
      <c r="L47" s="121"/>
      <c r="M47" s="121"/>
      <c r="N47" s="120"/>
      <c r="O47" s="124"/>
      <c r="P47" s="124"/>
      <c r="Q47" s="125"/>
      <c r="R47" s="125"/>
      <c r="S47" s="125"/>
      <c r="T47" s="125"/>
      <c r="U47" s="125"/>
      <c r="V47" s="125"/>
      <c r="W47" s="125"/>
      <c r="X47" s="125"/>
      <c r="Y47" s="125">
        <f>SUM(Q47:T47)</f>
        <v>0</v>
      </c>
      <c r="Z47" s="125">
        <f>SUM(U47:X47)</f>
        <v>0</v>
      </c>
      <c r="AA47" s="125">
        <f t="shared" si="3"/>
        <v>0</v>
      </c>
      <c r="AB47" s="125">
        <f t="shared" si="4"/>
        <v>0</v>
      </c>
      <c r="AC47" s="125">
        <f t="shared" si="5"/>
        <v>0</v>
      </c>
      <c r="AD47" s="125">
        <f t="shared" si="6"/>
        <v>0</v>
      </c>
    </row>
    <row r="48" spans="1:30" x14ac:dyDescent="0.15">
      <c r="A48" s="118" t="str">
        <f t="shared" si="0"/>
        <v>Sat</v>
      </c>
      <c r="B48" s="119"/>
      <c r="C48" s="120"/>
      <c r="D48" s="121"/>
      <c r="E48" s="121"/>
      <c r="F48" s="121"/>
      <c r="G48" s="122"/>
      <c r="H48" s="121"/>
      <c r="I48" s="121"/>
      <c r="J48" s="123"/>
      <c r="K48" s="122"/>
      <c r="L48" s="121"/>
      <c r="M48" s="121"/>
      <c r="N48" s="120"/>
      <c r="O48" s="124"/>
      <c r="P48" s="124"/>
      <c r="Q48" s="125"/>
      <c r="R48" s="125"/>
      <c r="S48" s="125"/>
      <c r="T48" s="125"/>
      <c r="U48" s="125"/>
      <c r="V48" s="125"/>
      <c r="W48" s="125"/>
      <c r="X48" s="125"/>
      <c r="Y48" s="125">
        <f t="shared" si="7"/>
        <v>0</v>
      </c>
      <c r="Z48" s="125">
        <f t="shared" si="8"/>
        <v>0</v>
      </c>
      <c r="AA48" s="125">
        <f t="shared" si="3"/>
        <v>0</v>
      </c>
      <c r="AB48" s="125">
        <f t="shared" si="4"/>
        <v>0</v>
      </c>
      <c r="AC48" s="125">
        <f t="shared" si="5"/>
        <v>0</v>
      </c>
      <c r="AD48" s="125">
        <f t="shared" si="6"/>
        <v>0</v>
      </c>
    </row>
    <row r="49" spans="1:30" x14ac:dyDescent="0.15">
      <c r="A49" s="118" t="str">
        <f t="shared" si="0"/>
        <v>Sat</v>
      </c>
      <c r="B49" s="119"/>
      <c r="C49" s="120"/>
      <c r="D49" s="121"/>
      <c r="E49" s="121"/>
      <c r="F49" s="121"/>
      <c r="G49" s="122"/>
      <c r="H49" s="121"/>
      <c r="I49" s="121"/>
      <c r="J49" s="123"/>
      <c r="K49" s="122"/>
      <c r="L49" s="121"/>
      <c r="M49" s="121"/>
      <c r="N49" s="120"/>
      <c r="O49" s="124"/>
      <c r="P49" s="124"/>
      <c r="Q49" s="125"/>
      <c r="R49" s="125"/>
      <c r="S49" s="125"/>
      <c r="T49" s="125"/>
      <c r="U49" s="125"/>
      <c r="V49" s="125"/>
      <c r="W49" s="125"/>
      <c r="X49" s="125"/>
      <c r="Y49" s="125">
        <f t="shared" si="7"/>
        <v>0</v>
      </c>
      <c r="Z49" s="125">
        <f t="shared" si="8"/>
        <v>0</v>
      </c>
      <c r="AA49" s="125">
        <f t="shared" si="3"/>
        <v>0</v>
      </c>
      <c r="AB49" s="125">
        <f t="shared" si="4"/>
        <v>0</v>
      </c>
      <c r="AC49" s="125">
        <f t="shared" si="5"/>
        <v>0</v>
      </c>
      <c r="AD49" s="125">
        <f t="shared" si="6"/>
        <v>0</v>
      </c>
    </row>
    <row r="50" spans="1:30" x14ac:dyDescent="0.15">
      <c r="A50" s="118" t="str">
        <f t="shared" si="0"/>
        <v>Sat</v>
      </c>
      <c r="B50" s="119"/>
      <c r="C50" s="120"/>
      <c r="D50" s="121"/>
      <c r="E50" s="121"/>
      <c r="F50" s="121"/>
      <c r="G50" s="122"/>
      <c r="H50" s="121"/>
      <c r="I50" s="121"/>
      <c r="J50" s="123"/>
      <c r="K50" s="122"/>
      <c r="L50" s="121"/>
      <c r="M50" s="121"/>
      <c r="N50" s="120"/>
      <c r="O50" s="124"/>
      <c r="P50" s="124"/>
      <c r="Q50" s="125"/>
      <c r="R50" s="125"/>
      <c r="S50" s="125"/>
      <c r="T50" s="125"/>
      <c r="U50" s="125"/>
      <c r="V50" s="125"/>
      <c r="W50" s="125"/>
      <c r="X50" s="125"/>
      <c r="Y50" s="125">
        <f t="shared" si="7"/>
        <v>0</v>
      </c>
      <c r="Z50" s="125">
        <f t="shared" si="8"/>
        <v>0</v>
      </c>
      <c r="AA50" s="125">
        <f t="shared" si="3"/>
        <v>0</v>
      </c>
      <c r="AB50" s="125">
        <f t="shared" si="4"/>
        <v>0</v>
      </c>
      <c r="AC50" s="125">
        <f t="shared" si="5"/>
        <v>0</v>
      </c>
      <c r="AD50" s="125">
        <f t="shared" si="6"/>
        <v>0</v>
      </c>
    </row>
    <row r="51" spans="1:30" x14ac:dyDescent="0.15">
      <c r="A51" s="118" t="str">
        <f t="shared" si="0"/>
        <v>Sat</v>
      </c>
      <c r="B51" s="119"/>
      <c r="C51" s="120"/>
      <c r="D51" s="121"/>
      <c r="E51" s="121"/>
      <c r="F51" s="121"/>
      <c r="G51" s="122"/>
      <c r="H51" s="121"/>
      <c r="I51" s="121"/>
      <c r="J51" s="123"/>
      <c r="K51" s="122"/>
      <c r="L51" s="121"/>
      <c r="M51" s="121"/>
      <c r="N51" s="120"/>
      <c r="O51" s="124"/>
      <c r="P51" s="124"/>
      <c r="Q51" s="125"/>
      <c r="R51" s="125"/>
      <c r="S51" s="125"/>
      <c r="T51" s="125"/>
      <c r="U51" s="125"/>
      <c r="V51" s="125"/>
      <c r="W51" s="125"/>
      <c r="X51" s="125"/>
      <c r="Y51" s="125">
        <f t="shared" si="7"/>
        <v>0</v>
      </c>
      <c r="Z51" s="125">
        <f t="shared" si="8"/>
        <v>0</v>
      </c>
      <c r="AA51" s="125">
        <f t="shared" si="3"/>
        <v>0</v>
      </c>
      <c r="AB51" s="125">
        <f t="shared" si="4"/>
        <v>0</v>
      </c>
      <c r="AC51" s="125">
        <f t="shared" si="5"/>
        <v>0</v>
      </c>
      <c r="AD51" s="125">
        <f t="shared" si="6"/>
        <v>0</v>
      </c>
    </row>
    <row r="52" spans="1:30" x14ac:dyDescent="0.15">
      <c r="A52" s="118" t="str">
        <f t="shared" si="0"/>
        <v>Sat</v>
      </c>
      <c r="B52" s="119"/>
      <c r="C52" s="120"/>
      <c r="D52" s="121"/>
      <c r="E52" s="121"/>
      <c r="F52" s="121"/>
      <c r="G52" s="122"/>
      <c r="H52" s="121"/>
      <c r="I52" s="121"/>
      <c r="J52" s="123"/>
      <c r="K52" s="122"/>
      <c r="L52" s="121"/>
      <c r="M52" s="121"/>
      <c r="N52" s="120"/>
      <c r="O52" s="124"/>
      <c r="P52" s="124"/>
      <c r="Q52" s="125"/>
      <c r="R52" s="125"/>
      <c r="S52" s="125"/>
      <c r="T52" s="125"/>
      <c r="U52" s="125"/>
      <c r="V52" s="125"/>
      <c r="W52" s="125"/>
      <c r="X52" s="125"/>
      <c r="Y52" s="125">
        <f t="shared" si="7"/>
        <v>0</v>
      </c>
      <c r="Z52" s="125">
        <f t="shared" si="8"/>
        <v>0</v>
      </c>
      <c r="AA52" s="125">
        <f t="shared" si="3"/>
        <v>0</v>
      </c>
      <c r="AB52" s="125">
        <f t="shared" si="4"/>
        <v>0</v>
      </c>
      <c r="AC52" s="125">
        <f t="shared" si="5"/>
        <v>0</v>
      </c>
      <c r="AD52" s="125">
        <f t="shared" si="6"/>
        <v>0</v>
      </c>
    </row>
    <row r="53" spans="1:30" x14ac:dyDescent="0.15">
      <c r="A53" s="118" t="str">
        <f t="shared" si="0"/>
        <v>Sat</v>
      </c>
      <c r="B53" s="119"/>
      <c r="C53" s="120"/>
      <c r="D53" s="121"/>
      <c r="E53" s="121"/>
      <c r="F53" s="121"/>
      <c r="G53" s="122"/>
      <c r="H53" s="121"/>
      <c r="I53" s="121"/>
      <c r="J53" s="123"/>
      <c r="K53" s="122"/>
      <c r="L53" s="121"/>
      <c r="M53" s="121"/>
      <c r="N53" s="120"/>
      <c r="O53" s="124"/>
      <c r="P53" s="124"/>
      <c r="Q53" s="125"/>
      <c r="R53" s="125"/>
      <c r="S53" s="125"/>
      <c r="T53" s="125"/>
      <c r="U53" s="125"/>
      <c r="V53" s="125"/>
      <c r="W53" s="125"/>
      <c r="X53" s="125"/>
      <c r="Y53" s="125">
        <f t="shared" si="7"/>
        <v>0</v>
      </c>
      <c r="Z53" s="125">
        <f t="shared" si="8"/>
        <v>0</v>
      </c>
      <c r="AA53" s="125">
        <f t="shared" si="3"/>
        <v>0</v>
      </c>
      <c r="AB53" s="125">
        <f t="shared" si="4"/>
        <v>0</v>
      </c>
      <c r="AC53" s="125">
        <f t="shared" si="5"/>
        <v>0</v>
      </c>
      <c r="AD53" s="125">
        <f t="shared" si="6"/>
        <v>0</v>
      </c>
    </row>
    <row r="54" spans="1:30" x14ac:dyDescent="0.15">
      <c r="A54" s="118" t="str">
        <f t="shared" si="0"/>
        <v>Sat</v>
      </c>
      <c r="B54" s="119"/>
      <c r="C54" s="126"/>
      <c r="D54" s="121"/>
      <c r="E54" s="121"/>
      <c r="F54" s="121"/>
      <c r="G54" s="122"/>
      <c r="H54" s="121"/>
      <c r="I54" s="121"/>
      <c r="J54" s="123"/>
      <c r="K54" s="122"/>
      <c r="L54" s="121"/>
      <c r="M54" s="121"/>
      <c r="N54" s="120"/>
      <c r="O54" s="124"/>
      <c r="P54" s="124"/>
      <c r="Q54" s="125"/>
      <c r="R54" s="125"/>
      <c r="S54" s="125"/>
      <c r="T54" s="125"/>
      <c r="U54" s="125"/>
      <c r="V54" s="125"/>
      <c r="W54" s="125"/>
      <c r="X54" s="125"/>
      <c r="Y54" s="125">
        <f t="shared" si="7"/>
        <v>0</v>
      </c>
      <c r="Z54" s="125">
        <f t="shared" si="8"/>
        <v>0</v>
      </c>
      <c r="AA54" s="125">
        <f t="shared" si="3"/>
        <v>0</v>
      </c>
      <c r="AB54" s="125">
        <f t="shared" si="4"/>
        <v>0</v>
      </c>
      <c r="AC54" s="125">
        <f t="shared" si="5"/>
        <v>0</v>
      </c>
      <c r="AD54" s="125">
        <f t="shared" si="6"/>
        <v>0</v>
      </c>
    </row>
    <row r="55" spans="1:30" x14ac:dyDescent="0.15">
      <c r="A55" s="118" t="str">
        <f t="shared" si="0"/>
        <v>Sat</v>
      </c>
      <c r="B55" s="119"/>
      <c r="C55" s="120"/>
      <c r="D55" s="121"/>
      <c r="E55" s="121"/>
      <c r="F55" s="121"/>
      <c r="G55" s="122"/>
      <c r="H55" s="121"/>
      <c r="I55" s="121"/>
      <c r="J55" s="123"/>
      <c r="K55" s="122"/>
      <c r="L55" s="121"/>
      <c r="M55" s="121"/>
      <c r="N55" s="120"/>
      <c r="O55" s="124"/>
      <c r="P55" s="124"/>
      <c r="Q55" s="125"/>
      <c r="R55" s="125"/>
      <c r="S55" s="125"/>
      <c r="T55" s="125"/>
      <c r="U55" s="125"/>
      <c r="V55" s="125"/>
      <c r="W55" s="125"/>
      <c r="X55" s="125"/>
      <c r="Y55" s="125">
        <f t="shared" si="7"/>
        <v>0</v>
      </c>
      <c r="Z55" s="125">
        <f t="shared" si="8"/>
        <v>0</v>
      </c>
      <c r="AA55" s="125">
        <f t="shared" si="3"/>
        <v>0</v>
      </c>
      <c r="AB55" s="125">
        <f t="shared" si="4"/>
        <v>0</v>
      </c>
      <c r="AC55" s="125">
        <f t="shared" si="5"/>
        <v>0</v>
      </c>
      <c r="AD55" s="125">
        <f t="shared" si="6"/>
        <v>0</v>
      </c>
    </row>
    <row r="56" spans="1:30" x14ac:dyDescent="0.15">
      <c r="A56" s="118" t="str">
        <f t="shared" si="0"/>
        <v>Sat</v>
      </c>
      <c r="B56" s="119"/>
      <c r="C56" s="120"/>
      <c r="D56" s="121"/>
      <c r="E56" s="121"/>
      <c r="F56" s="121"/>
      <c r="G56" s="122"/>
      <c r="H56" s="121"/>
      <c r="I56" s="121"/>
      <c r="J56" s="123"/>
      <c r="K56" s="122"/>
      <c r="L56" s="121"/>
      <c r="M56" s="121"/>
      <c r="N56" s="120"/>
      <c r="O56" s="124"/>
      <c r="P56" s="124"/>
      <c r="Q56" s="125"/>
      <c r="R56" s="125"/>
      <c r="S56" s="125"/>
      <c r="T56" s="125"/>
      <c r="U56" s="125"/>
      <c r="V56" s="125"/>
      <c r="W56" s="125"/>
      <c r="X56" s="125"/>
      <c r="Y56" s="125">
        <f t="shared" si="7"/>
        <v>0</v>
      </c>
      <c r="Z56" s="125">
        <f t="shared" si="8"/>
        <v>0</v>
      </c>
      <c r="AA56" s="125">
        <f t="shared" si="3"/>
        <v>0</v>
      </c>
      <c r="AB56" s="125">
        <f t="shared" si="4"/>
        <v>0</v>
      </c>
      <c r="AC56" s="125">
        <f t="shared" si="5"/>
        <v>0</v>
      </c>
      <c r="AD56" s="125">
        <f t="shared" si="6"/>
        <v>0</v>
      </c>
    </row>
    <row r="57" spans="1:30" x14ac:dyDescent="0.15">
      <c r="A57" s="118" t="str">
        <f t="shared" si="0"/>
        <v>Sat</v>
      </c>
      <c r="B57" s="119"/>
      <c r="C57" s="120"/>
      <c r="D57" s="121"/>
      <c r="E57" s="121"/>
      <c r="F57" s="121"/>
      <c r="G57" s="122"/>
      <c r="H57" s="121"/>
      <c r="I57" s="121"/>
      <c r="J57" s="123"/>
      <c r="K57" s="122"/>
      <c r="L57" s="121"/>
      <c r="M57" s="121"/>
      <c r="N57" s="120"/>
      <c r="O57" s="124"/>
      <c r="P57" s="124"/>
      <c r="Q57" s="125"/>
      <c r="R57" s="125"/>
      <c r="S57" s="125"/>
      <c r="T57" s="125"/>
      <c r="U57" s="125"/>
      <c r="V57" s="125"/>
      <c r="W57" s="125"/>
      <c r="X57" s="125"/>
      <c r="Y57" s="125">
        <f t="shared" si="7"/>
        <v>0</v>
      </c>
      <c r="Z57" s="125">
        <f t="shared" si="8"/>
        <v>0</v>
      </c>
      <c r="AA57" s="125">
        <f t="shared" si="3"/>
        <v>0</v>
      </c>
      <c r="AB57" s="125">
        <f t="shared" si="4"/>
        <v>0</v>
      </c>
      <c r="AC57" s="125">
        <f t="shared" si="5"/>
        <v>0</v>
      </c>
      <c r="AD57" s="125">
        <f t="shared" si="6"/>
        <v>0</v>
      </c>
    </row>
    <row r="58" spans="1:30" x14ac:dyDescent="0.15">
      <c r="A58" s="118" t="str">
        <f t="shared" si="0"/>
        <v>Sat</v>
      </c>
      <c r="B58" s="119"/>
      <c r="C58" s="120"/>
      <c r="D58" s="121"/>
      <c r="E58" s="121"/>
      <c r="F58" s="121"/>
      <c r="G58" s="122"/>
      <c r="H58" s="121"/>
      <c r="I58" s="121" t="s">
        <v>111</v>
      </c>
      <c r="J58" s="123"/>
      <c r="K58" s="122"/>
      <c r="L58" s="121"/>
      <c r="M58" s="121"/>
      <c r="N58" s="120"/>
      <c r="O58" s="124"/>
      <c r="P58" s="124"/>
      <c r="Q58" s="125"/>
      <c r="R58" s="125"/>
      <c r="S58" s="125"/>
      <c r="T58" s="125"/>
      <c r="U58" s="125"/>
      <c r="V58" s="125"/>
      <c r="W58" s="125"/>
      <c r="X58" s="125"/>
      <c r="Y58" s="125">
        <f t="shared" si="7"/>
        <v>0</v>
      </c>
      <c r="Z58" s="125">
        <f t="shared" si="8"/>
        <v>0</v>
      </c>
      <c r="AA58" s="125">
        <f t="shared" si="3"/>
        <v>0</v>
      </c>
      <c r="AB58" s="125">
        <f t="shared" si="4"/>
        <v>0</v>
      </c>
      <c r="AC58" s="125">
        <f t="shared" si="5"/>
        <v>0</v>
      </c>
      <c r="AD58" s="125">
        <f t="shared" si="6"/>
        <v>0</v>
      </c>
    </row>
    <row r="59" spans="1:30" x14ac:dyDescent="0.15">
      <c r="A59" s="118" t="str">
        <f t="shared" si="0"/>
        <v>Sat</v>
      </c>
      <c r="B59" s="119"/>
      <c r="C59" s="120"/>
      <c r="D59" s="121"/>
      <c r="E59" s="121"/>
      <c r="F59" s="121"/>
      <c r="G59" s="122"/>
      <c r="H59" s="121"/>
      <c r="I59" s="121" t="s">
        <v>111</v>
      </c>
      <c r="J59" s="123"/>
      <c r="K59" s="122"/>
      <c r="L59" s="121"/>
      <c r="M59" s="121"/>
      <c r="N59" s="120"/>
      <c r="O59" s="124"/>
      <c r="P59" s="124"/>
      <c r="Q59" s="125"/>
      <c r="R59" s="125"/>
      <c r="S59" s="125"/>
      <c r="T59" s="125"/>
      <c r="U59" s="125"/>
      <c r="V59" s="125"/>
      <c r="W59" s="125"/>
      <c r="X59" s="125"/>
      <c r="Y59" s="125">
        <f t="shared" si="7"/>
        <v>0</v>
      </c>
      <c r="Z59" s="125">
        <f t="shared" si="8"/>
        <v>0</v>
      </c>
      <c r="AA59" s="125">
        <f t="shared" si="3"/>
        <v>0</v>
      </c>
      <c r="AB59" s="125">
        <f t="shared" si="4"/>
        <v>0</v>
      </c>
      <c r="AC59" s="125">
        <f t="shared" si="5"/>
        <v>0</v>
      </c>
      <c r="AD59" s="125">
        <f t="shared" si="6"/>
        <v>0</v>
      </c>
    </row>
    <row r="60" spans="1:30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97"/>
      <c r="K60" s="33"/>
      <c r="L60" s="35"/>
      <c r="M60" s="35"/>
      <c r="N60" s="36"/>
      <c r="O60" s="36"/>
      <c r="P60" s="36"/>
    </row>
    <row r="61" spans="1:30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97"/>
      <c r="K61" s="33"/>
      <c r="L61" s="35"/>
      <c r="M61" s="35"/>
      <c r="N61" s="36" t="s">
        <v>165</v>
      </c>
      <c r="O61" s="36">
        <f>MAX(O5:O59)</f>
        <v>45</v>
      </c>
      <c r="P61" s="36">
        <f>MAX(P5:P59)</f>
        <v>45</v>
      </c>
      <c r="Q61" s="37"/>
      <c r="R61" s="37"/>
      <c r="S61" s="37"/>
      <c r="T61" s="37"/>
      <c r="U61" s="37"/>
      <c r="V61" s="37"/>
      <c r="W61" s="37"/>
      <c r="X61" s="37"/>
    </row>
    <row r="62" spans="1:30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97"/>
      <c r="K62" s="33"/>
      <c r="L62" s="35"/>
      <c r="M62" s="35"/>
      <c r="N62" s="36"/>
      <c r="O62" s="36"/>
      <c r="P62" s="36"/>
      <c r="Q62" s="37"/>
      <c r="R62" s="37"/>
      <c r="S62" s="37"/>
      <c r="T62" s="37"/>
      <c r="U62" s="37"/>
      <c r="V62" s="37"/>
      <c r="W62" s="37"/>
      <c r="X62" s="37"/>
    </row>
    <row r="63" spans="1:30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97"/>
      <c r="K63" s="33"/>
      <c r="L63" s="35"/>
      <c r="M63" s="35"/>
      <c r="N63" s="36"/>
      <c r="O63" s="36">
        <f t="array" ref="O63">SUM(FLOOR(O5:O59,1))</f>
        <v>506</v>
      </c>
      <c r="P63" s="36">
        <f t="array" ref="P63">SUM(FLOOR(P5:P59,1))</f>
        <v>585</v>
      </c>
      <c r="Q63" s="37">
        <f>SUM(Q5:Q59)</f>
        <v>200</v>
      </c>
      <c r="R63" s="37">
        <f t="shared" ref="R63:Z63" si="9">SUM(R5:R59)</f>
        <v>50</v>
      </c>
      <c r="S63" s="37">
        <f t="shared" si="9"/>
        <v>108</v>
      </c>
      <c r="T63" s="37">
        <f t="shared" si="9"/>
        <v>34</v>
      </c>
      <c r="U63" s="37">
        <f t="shared" si="9"/>
        <v>142</v>
      </c>
      <c r="V63" s="37">
        <f t="shared" si="9"/>
        <v>59</v>
      </c>
      <c r="W63" s="37">
        <f t="shared" si="9"/>
        <v>75</v>
      </c>
      <c r="X63" s="37">
        <f t="shared" si="9"/>
        <v>28</v>
      </c>
      <c r="Y63" s="37">
        <f t="shared" si="9"/>
        <v>392</v>
      </c>
      <c r="Z63" s="37">
        <f t="shared" si="9"/>
        <v>304</v>
      </c>
      <c r="AA63" s="26">
        <f>SUM(AA5:AA59)</f>
        <v>1635</v>
      </c>
      <c r="AB63" s="26">
        <f>SUM(AB5:AB59)</f>
        <v>2907</v>
      </c>
      <c r="AC63" s="26">
        <f>SUM(AC5:AC59)</f>
        <v>113</v>
      </c>
      <c r="AD63" s="26">
        <f>SUM(AD5:AD59)</f>
        <v>110</v>
      </c>
    </row>
    <row r="64" spans="1:30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97"/>
      <c r="K64" s="33"/>
      <c r="L64" s="35"/>
      <c r="M64" s="35"/>
      <c r="N64" s="36"/>
      <c r="O64" s="36">
        <f t="array" ref="O64">SUM(O5:O59-FLOOR(O5:O59,1))*10</f>
        <v>15.000000000000036</v>
      </c>
      <c r="P64" s="36">
        <f t="array" ref="P64">SUM(P5:P59-FLOOR(P5:P59,1))*10</f>
        <v>17.000000000000028</v>
      </c>
      <c r="Q64" s="37"/>
      <c r="R64" s="37"/>
      <c r="S64" s="37"/>
      <c r="T64" s="37"/>
      <c r="U64" s="37"/>
      <c r="V64" s="37"/>
      <c r="W64" s="37"/>
      <c r="X64" s="37"/>
    </row>
    <row r="65" spans="1:28" x14ac:dyDescent="0.15">
      <c r="A65" s="38"/>
      <c r="B65" s="34"/>
      <c r="C65" s="36"/>
      <c r="D65" s="35"/>
      <c r="E65" s="35"/>
      <c r="F65" s="35"/>
      <c r="G65" s="33"/>
      <c r="H65" s="35"/>
      <c r="I65" s="35"/>
      <c r="J65" s="97"/>
      <c r="K65" s="33"/>
      <c r="L65" s="35"/>
      <c r="M65" s="35"/>
      <c r="N65" s="36" t="s">
        <v>164</v>
      </c>
      <c r="O65" s="36">
        <f>O63*6+O64</f>
        <v>3051</v>
      </c>
      <c r="P65" s="36">
        <f>P63*6+P64</f>
        <v>3527</v>
      </c>
      <c r="Q65" s="37"/>
      <c r="R65" s="37"/>
      <c r="S65" s="37">
        <f>MAX(S7:S59)</f>
        <v>16</v>
      </c>
      <c r="T65" s="37"/>
      <c r="U65" s="37"/>
      <c r="V65" s="37"/>
      <c r="W65" s="37">
        <f>MAX(W7:W59)</f>
        <v>13</v>
      </c>
      <c r="X65" s="37"/>
      <c r="Z65" s="26" t="s">
        <v>39</v>
      </c>
      <c r="AA65" s="26">
        <f>AA63/AC63</f>
        <v>14.469026548672566</v>
      </c>
      <c r="AB65" s="26">
        <f>AB63/AD63</f>
        <v>26.427272727272726</v>
      </c>
    </row>
    <row r="66" spans="1:28" x14ac:dyDescent="0.15">
      <c r="A66" s="38"/>
      <c r="B66" s="34"/>
      <c r="C66" s="36"/>
      <c r="D66" s="35"/>
      <c r="E66" s="35"/>
      <c r="F66" s="35"/>
      <c r="G66" s="33"/>
      <c r="H66" s="35"/>
      <c r="I66" s="35"/>
      <c r="J66" s="97"/>
      <c r="K66" s="33"/>
      <c r="L66" s="35"/>
      <c r="M66" s="35"/>
      <c r="N66" s="36" t="s">
        <v>220</v>
      </c>
      <c r="O66" s="36">
        <f>INT(O65/6)+(O65-INT(O65/6)*6)/10</f>
        <v>508.3</v>
      </c>
      <c r="P66" s="36">
        <f>INT(P65/6)+(P65-INT(P65/6)*6)/10</f>
        <v>587.5</v>
      </c>
      <c r="Q66" s="37"/>
      <c r="R66" s="37"/>
      <c r="S66" s="37"/>
      <c r="T66" s="37"/>
      <c r="U66" s="37"/>
      <c r="V66" s="37"/>
      <c r="W66" s="37"/>
      <c r="X66" s="37"/>
    </row>
    <row r="67" spans="1:28" x14ac:dyDescent="0.15">
      <c r="A67" s="38"/>
      <c r="B67" s="34"/>
      <c r="C67" s="36"/>
      <c r="D67" s="35"/>
      <c r="E67" s="35"/>
      <c r="F67" s="35"/>
      <c r="G67" s="33"/>
      <c r="H67" s="35"/>
      <c r="I67" s="35"/>
      <c r="J67" s="97"/>
      <c r="K67" s="33"/>
      <c r="L67" s="35"/>
      <c r="M67" s="35"/>
      <c r="N67" s="36" t="s">
        <v>221</v>
      </c>
      <c r="O67" s="36">
        <f>AA63/O65*100</f>
        <v>53.588987217305807</v>
      </c>
      <c r="P67" s="36">
        <f>AB63/P65*100</f>
        <v>82.421321236178059</v>
      </c>
      <c r="Q67" s="37"/>
      <c r="R67" s="37"/>
      <c r="S67" s="37"/>
      <c r="T67" s="37"/>
      <c r="U67" s="37"/>
      <c r="V67" s="37"/>
      <c r="W67" s="37"/>
      <c r="X67" s="37"/>
    </row>
  </sheetData>
  <phoneticPr fontId="0" type="noConversion"/>
  <conditionalFormatting sqref="F5:F59">
    <cfRule type="cellIs" dxfId="4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I1548"/>
  <sheetViews>
    <sheetView workbookViewId="0">
      <pane xSplit="3" ySplit="4" topLeftCell="CM5" activePane="bottomRight" state="frozenSplit"/>
      <selection pane="topRight" activeCell="D1" sqref="D1"/>
      <selection pane="bottomLeft" activeCell="A4" sqref="A4"/>
      <selection pane="bottomRight" activeCell="DI42" sqref="DI42"/>
    </sheetView>
  </sheetViews>
  <sheetFormatPr defaultRowHeight="10.5" x14ac:dyDescent="0.15"/>
  <cols>
    <col min="1" max="1" width="6.28515625" style="70" bestFit="1" customWidth="1"/>
    <col min="2" max="2" width="7" style="70" bestFit="1" customWidth="1"/>
    <col min="3" max="3" width="12.85546875" style="70" bestFit="1" customWidth="1"/>
    <col min="4" max="4" width="13" style="70" customWidth="1"/>
    <col min="5" max="5" width="13.7109375" style="70" bestFit="1" customWidth="1"/>
    <col min="6" max="6" width="12.42578125" style="70" bestFit="1" customWidth="1"/>
    <col min="7" max="7" width="14.140625" style="70" bestFit="1" customWidth="1"/>
    <col min="8" max="8" width="11.85546875" style="70" bestFit="1" customWidth="1"/>
    <col min="9" max="9" width="13.5703125" style="70" bestFit="1" customWidth="1"/>
    <col min="10" max="10" width="12.28515625" style="70" bestFit="1" customWidth="1"/>
    <col min="11" max="11" width="12.42578125" style="70" bestFit="1" customWidth="1"/>
    <col min="12" max="12" width="13.42578125" style="70" bestFit="1" customWidth="1"/>
    <col min="13" max="14" width="14.7109375" style="70" bestFit="1" customWidth="1"/>
    <col min="15" max="15" width="12.85546875" style="70" bestFit="1" customWidth="1"/>
    <col min="16" max="16" width="13.140625" style="70" bestFit="1" customWidth="1"/>
    <col min="17" max="17" width="12.42578125" style="70" bestFit="1" customWidth="1"/>
    <col min="18" max="18" width="13.7109375" style="70" bestFit="1" customWidth="1"/>
    <col min="19" max="19" width="14.140625" style="70" bestFit="1" customWidth="1"/>
    <col min="20" max="21" width="13.42578125" style="70" bestFit="1" customWidth="1"/>
    <col min="22" max="22" width="15.28515625" style="70" bestFit="1" customWidth="1"/>
    <col min="23" max="23" width="13.42578125" style="70" bestFit="1" customWidth="1"/>
    <col min="24" max="24" width="13.85546875" style="70" bestFit="1" customWidth="1"/>
    <col min="25" max="25" width="14.28515625" style="70" bestFit="1" customWidth="1"/>
    <col min="26" max="26" width="14.42578125" style="70" bestFit="1" customWidth="1"/>
    <col min="27" max="27" width="13.85546875" style="70" bestFit="1" customWidth="1"/>
    <col min="28" max="28" width="14.5703125" style="70" bestFit="1" customWidth="1"/>
    <col min="29" max="29" width="12.42578125" style="70" bestFit="1" customWidth="1"/>
    <col min="30" max="30" width="13.5703125" style="70" bestFit="1" customWidth="1"/>
    <col min="31" max="31" width="14.28515625" style="70" bestFit="1" customWidth="1"/>
    <col min="32" max="82" width="2.7109375" style="70" customWidth="1"/>
    <col min="83" max="85" width="8.140625" style="70" bestFit="1" customWidth="1"/>
    <col min="86" max="86" width="7.140625" style="70" bestFit="1" customWidth="1"/>
    <col min="87" max="87" width="8" style="70" hidden="1" customWidth="1"/>
    <col min="88" max="88" width="4.5703125" style="70" bestFit="1" customWidth="1"/>
    <col min="89" max="89" width="5" style="70" bestFit="1" customWidth="1"/>
    <col min="90" max="90" width="8.7109375" style="62" bestFit="1" customWidth="1"/>
    <col min="91" max="91" width="8.140625" style="70" bestFit="1" customWidth="1"/>
    <col min="92" max="92" width="5.7109375" style="70" bestFit="1" customWidth="1"/>
    <col min="93" max="93" width="5.5703125" style="70" bestFit="1" customWidth="1"/>
    <col min="94" max="94" width="4.140625" style="70" bestFit="1" customWidth="1"/>
    <col min="95" max="95" width="6" style="70" bestFit="1" customWidth="1"/>
    <col min="96" max="98" width="5.28515625" style="70" bestFit="1" customWidth="1"/>
    <col min="99" max="100" width="4.140625" style="70" bestFit="1" customWidth="1"/>
    <col min="101" max="101" width="4.140625" style="70" customWidth="1"/>
    <col min="102" max="102" width="7.28515625" style="70" bestFit="1" customWidth="1"/>
    <col min="103" max="104" width="8.140625" style="70" bestFit="1" customWidth="1"/>
    <col min="105" max="105" width="5.42578125" style="70" bestFit="1" customWidth="1"/>
    <col min="106" max="106" width="9.5703125" style="70" bestFit="1" customWidth="1"/>
    <col min="107" max="107" width="6.5703125" style="70" bestFit="1" customWidth="1"/>
    <col min="108" max="108" width="5.140625" style="70" bestFit="1" customWidth="1"/>
    <col min="109" max="109" width="11" style="70" bestFit="1" customWidth="1"/>
    <col min="110" max="111" width="5.140625" style="70" bestFit="1" customWidth="1"/>
    <col min="112" max="16384" width="9.140625" style="70"/>
  </cols>
  <sheetData>
    <row r="1" spans="1:113" s="69" customFormat="1" ht="50.25" customHeight="1" x14ac:dyDescent="0.15">
      <c r="A1" s="66"/>
      <c r="B1" s="66"/>
      <c r="C1" s="52" t="str">
        <f t="array" ref="C1:CD4">TRANSPOSE(Matches!B4:E82)</f>
        <v>Date</v>
      </c>
      <c r="D1" s="67">
        <v>39201</v>
      </c>
      <c r="E1" s="67">
        <v>39221</v>
      </c>
      <c r="F1" s="67">
        <v>39228</v>
      </c>
      <c r="G1" s="67">
        <v>39230</v>
      </c>
      <c r="H1" s="67">
        <v>39231</v>
      </c>
      <c r="I1" s="67">
        <v>39236</v>
      </c>
      <c r="J1" s="67">
        <v>39243</v>
      </c>
      <c r="K1" s="67">
        <v>39250</v>
      </c>
      <c r="L1" s="67">
        <v>39270</v>
      </c>
      <c r="M1" s="67">
        <v>39278</v>
      </c>
      <c r="N1" s="67">
        <v>39292</v>
      </c>
      <c r="O1" s="67">
        <v>39299</v>
      </c>
      <c r="P1" s="67">
        <v>39306</v>
      </c>
      <c r="Q1" s="67">
        <v>39320</v>
      </c>
      <c r="R1" s="67">
        <v>39333</v>
      </c>
      <c r="S1" s="67">
        <v>39340</v>
      </c>
      <c r="T1" s="67">
        <v>0</v>
      </c>
      <c r="U1" s="67">
        <v>0</v>
      </c>
      <c r="V1" s="67">
        <v>0</v>
      </c>
      <c r="W1" s="67">
        <v>0</v>
      </c>
      <c r="X1" s="67">
        <v>0</v>
      </c>
      <c r="Y1" s="67">
        <v>0</v>
      </c>
      <c r="Z1" s="67">
        <v>0</v>
      </c>
      <c r="AA1" s="67">
        <v>0</v>
      </c>
      <c r="AB1" s="67">
        <v>0</v>
      </c>
      <c r="AC1" s="67">
        <v>0</v>
      </c>
      <c r="AD1" s="67">
        <v>0</v>
      </c>
      <c r="AE1" s="67">
        <v>0</v>
      </c>
      <c r="AF1" s="67">
        <v>0</v>
      </c>
      <c r="AG1" s="67">
        <v>0</v>
      </c>
      <c r="AH1" s="67">
        <v>0</v>
      </c>
      <c r="AI1" s="67">
        <v>0</v>
      </c>
      <c r="AJ1" s="67">
        <v>0</v>
      </c>
      <c r="AK1" s="67">
        <v>0</v>
      </c>
      <c r="AL1" s="67">
        <v>0</v>
      </c>
      <c r="AM1" s="67">
        <v>0</v>
      </c>
      <c r="AN1" s="67">
        <v>0</v>
      </c>
      <c r="AO1" s="67">
        <v>0</v>
      </c>
      <c r="AP1" s="67">
        <v>0</v>
      </c>
      <c r="AQ1" s="67">
        <v>0</v>
      </c>
      <c r="AR1" s="67">
        <v>0</v>
      </c>
      <c r="AS1" s="67">
        <v>0</v>
      </c>
      <c r="AT1" s="67">
        <v>0</v>
      </c>
      <c r="AU1" s="67">
        <v>0</v>
      </c>
      <c r="AV1" s="67">
        <v>0</v>
      </c>
      <c r="AW1" s="67">
        <v>0</v>
      </c>
      <c r="AX1" s="67">
        <v>0</v>
      </c>
      <c r="AY1" s="67">
        <v>0</v>
      </c>
      <c r="AZ1" s="67">
        <v>0</v>
      </c>
      <c r="BA1" s="67">
        <v>0</v>
      </c>
      <c r="BB1" s="67">
        <v>0</v>
      </c>
      <c r="BC1" s="67">
        <v>0</v>
      </c>
      <c r="BD1" s="67">
        <v>0</v>
      </c>
      <c r="BE1" s="67">
        <v>0</v>
      </c>
      <c r="BF1" s="67">
        <v>0</v>
      </c>
      <c r="BG1" s="67">
        <v>0</v>
      </c>
      <c r="BH1" s="67">
        <v>0</v>
      </c>
      <c r="BI1" s="67">
        <v>0</v>
      </c>
      <c r="BJ1" s="67">
        <v>0</v>
      </c>
      <c r="BK1" s="67">
        <v>0</v>
      </c>
      <c r="BL1" s="67">
        <v>0</v>
      </c>
      <c r="BM1" s="67">
        <v>0</v>
      </c>
      <c r="BN1" s="67">
        <v>0</v>
      </c>
      <c r="BO1" s="67">
        <v>0</v>
      </c>
      <c r="BP1" s="67">
        <v>0</v>
      </c>
      <c r="BQ1" s="67">
        <v>0</v>
      </c>
      <c r="BR1" s="67">
        <v>0</v>
      </c>
      <c r="BS1" s="67">
        <v>0</v>
      </c>
      <c r="BT1" s="67">
        <v>0</v>
      </c>
      <c r="BU1" s="67">
        <v>0</v>
      </c>
      <c r="BV1" s="67">
        <v>0</v>
      </c>
      <c r="BW1" s="67">
        <v>0</v>
      </c>
      <c r="BX1" s="67">
        <v>0</v>
      </c>
      <c r="BY1" s="67">
        <v>0</v>
      </c>
      <c r="BZ1" s="67">
        <v>0</v>
      </c>
      <c r="CA1" s="67">
        <v>0</v>
      </c>
      <c r="CB1" s="67">
        <v>0</v>
      </c>
      <c r="CC1" s="67">
        <v>0</v>
      </c>
      <c r="CD1" s="67" t="e">
        <v>#N/A</v>
      </c>
      <c r="CE1" s="66"/>
      <c r="CF1" s="66"/>
      <c r="CG1" s="66"/>
      <c r="CH1" s="66"/>
      <c r="CI1" s="66"/>
      <c r="CJ1" s="66"/>
      <c r="CK1" s="66"/>
      <c r="CL1" s="68"/>
    </row>
    <row r="2" spans="1:113" ht="83.25" customHeight="1" x14ac:dyDescent="0.15">
      <c r="C2" s="55" t="str">
        <v>Opp</v>
      </c>
      <c r="D2" s="71" t="str">
        <v>John Fisher</v>
      </c>
      <c r="E2" s="71" t="str">
        <v>Riverside</v>
      </c>
      <c r="F2" s="71" t="str">
        <v>Churchleigh</v>
      </c>
      <c r="G2" s="71" t="str">
        <v>Steeple Langford</v>
      </c>
      <c r="H2" s="71" t="str">
        <v>Cove</v>
      </c>
      <c r="I2" s="71" t="str">
        <v>Beddington</v>
      </c>
      <c r="J2" s="71" t="str">
        <v>Vishwa</v>
      </c>
      <c r="K2" s="71" t="str">
        <v>Spencer</v>
      </c>
      <c r="L2" s="71" t="str">
        <v>Norwood Exiles</v>
      </c>
      <c r="M2" s="71" t="str">
        <v>Beckenham Dads</v>
      </c>
      <c r="N2" s="71" t="str">
        <v>Sanderstead</v>
      </c>
      <c r="O2" s="71" t="str">
        <v>Morden</v>
      </c>
      <c r="P2" s="71" t="str">
        <v>John Fisher</v>
      </c>
      <c r="Q2" s="71" t="str">
        <v>Norwood Exiles</v>
      </c>
      <c r="R2" s="71" t="str">
        <v>Beddington</v>
      </c>
      <c r="S2" s="71" t="str">
        <v>Sanderstead</v>
      </c>
      <c r="T2" s="71">
        <v>0</v>
      </c>
      <c r="U2" s="71">
        <v>0</v>
      </c>
      <c r="V2" s="71">
        <v>0</v>
      </c>
      <c r="W2" s="71">
        <v>0</v>
      </c>
      <c r="X2" s="71">
        <v>0</v>
      </c>
      <c r="Y2" s="71">
        <v>0</v>
      </c>
      <c r="Z2" s="71">
        <v>0</v>
      </c>
      <c r="AA2" s="71">
        <v>0</v>
      </c>
      <c r="AB2" s="71">
        <v>0</v>
      </c>
      <c r="AC2" s="71">
        <v>0</v>
      </c>
      <c r="AD2" s="71">
        <v>0</v>
      </c>
      <c r="AE2" s="71">
        <v>0</v>
      </c>
      <c r="AF2" s="71">
        <v>0</v>
      </c>
      <c r="AG2" s="71">
        <v>0</v>
      </c>
      <c r="AH2" s="71">
        <v>0</v>
      </c>
      <c r="AI2" s="71">
        <v>0</v>
      </c>
      <c r="AJ2" s="71">
        <v>0</v>
      </c>
      <c r="AK2" s="71">
        <v>0</v>
      </c>
      <c r="AL2" s="71">
        <v>0</v>
      </c>
      <c r="AM2" s="71">
        <v>0</v>
      </c>
      <c r="AN2" s="71">
        <v>0</v>
      </c>
      <c r="AO2" s="71">
        <v>0</v>
      </c>
      <c r="AP2" s="71">
        <v>0</v>
      </c>
      <c r="AQ2" s="71">
        <v>0</v>
      </c>
      <c r="AR2" s="71">
        <v>0</v>
      </c>
      <c r="AS2" s="71">
        <v>0</v>
      </c>
      <c r="AT2" s="71">
        <v>0</v>
      </c>
      <c r="AU2" s="71">
        <v>0</v>
      </c>
      <c r="AV2" s="71">
        <v>0</v>
      </c>
      <c r="AW2" s="71">
        <v>0</v>
      </c>
      <c r="AX2" s="71">
        <v>0</v>
      </c>
      <c r="AY2" s="71">
        <v>0</v>
      </c>
      <c r="AZ2" s="71">
        <v>0</v>
      </c>
      <c r="BA2" s="71">
        <v>0</v>
      </c>
      <c r="BB2" s="71">
        <v>0</v>
      </c>
      <c r="BC2" s="71">
        <v>0</v>
      </c>
      <c r="BD2" s="71">
        <v>0</v>
      </c>
      <c r="BE2" s="71">
        <v>0</v>
      </c>
      <c r="BF2" s="71">
        <v>0</v>
      </c>
      <c r="BG2" s="71">
        <v>0</v>
      </c>
      <c r="BH2" s="71">
        <v>0</v>
      </c>
      <c r="BI2" s="71">
        <v>0</v>
      </c>
      <c r="BJ2" s="71">
        <v>0</v>
      </c>
      <c r="BK2" s="71">
        <v>0</v>
      </c>
      <c r="BL2" s="71">
        <v>0</v>
      </c>
      <c r="BM2" s="71">
        <v>0</v>
      </c>
      <c r="BN2" s="71">
        <v>0</v>
      </c>
      <c r="BO2" s="71">
        <v>0</v>
      </c>
      <c r="BP2" s="71">
        <v>0</v>
      </c>
      <c r="BQ2" s="71">
        <v>0</v>
      </c>
      <c r="BR2" s="71">
        <v>0</v>
      </c>
      <c r="BS2" s="71">
        <v>0</v>
      </c>
      <c r="BT2" s="71">
        <v>0</v>
      </c>
      <c r="BU2" s="71">
        <v>0</v>
      </c>
      <c r="BV2" s="71">
        <v>0</v>
      </c>
      <c r="BW2" s="71">
        <v>0</v>
      </c>
      <c r="BX2" s="71">
        <v>0</v>
      </c>
      <c r="BY2" s="71">
        <v>0</v>
      </c>
      <c r="BZ2" s="71">
        <v>0</v>
      </c>
      <c r="CA2" s="71">
        <v>0</v>
      </c>
      <c r="CB2" s="71">
        <v>0</v>
      </c>
      <c r="CC2" s="71">
        <v>0</v>
      </c>
      <c r="CD2" s="71" t="e">
        <v>#N/A</v>
      </c>
      <c r="CO2" s="70" t="s">
        <v>4</v>
      </c>
    </row>
    <row r="3" spans="1:113" x14ac:dyDescent="0.15">
      <c r="C3" s="55" t="str">
        <v>Venue</v>
      </c>
      <c r="D3" s="55" t="str">
        <v>H</v>
      </c>
      <c r="E3" s="55" t="str">
        <v>H</v>
      </c>
      <c r="F3" s="55" t="str">
        <v>A</v>
      </c>
      <c r="G3" s="55" t="str">
        <v>A</v>
      </c>
      <c r="H3" s="55" t="str">
        <v>A</v>
      </c>
      <c r="I3" s="55" t="str">
        <v>H</v>
      </c>
      <c r="J3" s="55" t="str">
        <v>H</v>
      </c>
      <c r="K3" s="55" t="str">
        <v>H</v>
      </c>
      <c r="L3" s="55" t="str">
        <v>A</v>
      </c>
      <c r="M3" s="55" t="str">
        <v>A</v>
      </c>
      <c r="N3" s="55" t="str">
        <v>A</v>
      </c>
      <c r="O3" s="55" t="str">
        <v>H</v>
      </c>
      <c r="P3" s="55" t="str">
        <v>A</v>
      </c>
      <c r="Q3" s="55" t="str">
        <v>H</v>
      </c>
      <c r="R3" s="55" t="str">
        <v>A</v>
      </c>
      <c r="S3" s="55" t="str">
        <v>A</v>
      </c>
      <c r="T3" s="55">
        <v>0</v>
      </c>
      <c r="U3" s="55">
        <v>0</v>
      </c>
      <c r="V3" s="55">
        <v>0</v>
      </c>
      <c r="W3" s="55">
        <v>0</v>
      </c>
      <c r="X3" s="55">
        <v>0</v>
      </c>
      <c r="Y3" s="55">
        <v>0</v>
      </c>
      <c r="Z3" s="55">
        <v>0</v>
      </c>
      <c r="AA3" s="55">
        <v>0</v>
      </c>
      <c r="AB3" s="55">
        <v>0</v>
      </c>
      <c r="AC3" s="55">
        <v>0</v>
      </c>
      <c r="AD3" s="55">
        <v>0</v>
      </c>
      <c r="AE3" s="55">
        <v>0</v>
      </c>
      <c r="AF3" s="55">
        <v>0</v>
      </c>
      <c r="AG3" s="55">
        <v>0</v>
      </c>
      <c r="AH3" s="55">
        <v>0</v>
      </c>
      <c r="AI3" s="55">
        <v>0</v>
      </c>
      <c r="AJ3" s="55">
        <v>0</v>
      </c>
      <c r="AK3" s="55">
        <v>0</v>
      </c>
      <c r="AL3" s="55">
        <v>0</v>
      </c>
      <c r="AM3" s="55">
        <v>0</v>
      </c>
      <c r="AN3" s="55">
        <v>0</v>
      </c>
      <c r="AO3" s="55">
        <v>0</v>
      </c>
      <c r="AP3" s="55">
        <v>0</v>
      </c>
      <c r="AQ3" s="55">
        <v>0</v>
      </c>
      <c r="AR3" s="55">
        <v>0</v>
      </c>
      <c r="AS3" s="55">
        <v>0</v>
      </c>
      <c r="AT3" s="55">
        <v>0</v>
      </c>
      <c r="AU3" s="55">
        <v>0</v>
      </c>
      <c r="AV3" s="55">
        <v>0</v>
      </c>
      <c r="AW3" s="55">
        <v>0</v>
      </c>
      <c r="AX3" s="55">
        <v>0</v>
      </c>
      <c r="AY3" s="55">
        <v>0</v>
      </c>
      <c r="AZ3" s="55">
        <v>0</v>
      </c>
      <c r="BA3" s="55">
        <v>0</v>
      </c>
      <c r="BB3" s="55">
        <v>0</v>
      </c>
      <c r="BC3" s="55">
        <v>0</v>
      </c>
      <c r="BD3" s="55">
        <v>0</v>
      </c>
      <c r="BE3" s="55">
        <v>0</v>
      </c>
      <c r="BF3" s="55">
        <v>0</v>
      </c>
      <c r="BG3" s="55">
        <v>0</v>
      </c>
      <c r="BH3" s="55">
        <v>0</v>
      </c>
      <c r="BI3" s="55">
        <v>0</v>
      </c>
      <c r="BJ3" s="55">
        <v>0</v>
      </c>
      <c r="BK3" s="55">
        <v>0</v>
      </c>
      <c r="BL3" s="55">
        <v>0</v>
      </c>
      <c r="BM3" s="55">
        <v>0</v>
      </c>
      <c r="BN3" s="55">
        <v>0</v>
      </c>
      <c r="BO3" s="55">
        <v>0</v>
      </c>
      <c r="BP3" s="55">
        <v>0</v>
      </c>
      <c r="BQ3" s="55">
        <v>0</v>
      </c>
      <c r="BR3" s="55">
        <v>0</v>
      </c>
      <c r="BS3" s="55">
        <v>0</v>
      </c>
      <c r="BT3" s="55">
        <v>0</v>
      </c>
      <c r="BU3" s="55">
        <v>0</v>
      </c>
      <c r="BV3" s="55">
        <v>0</v>
      </c>
      <c r="BW3" s="55">
        <v>0</v>
      </c>
      <c r="BX3" s="55">
        <v>0</v>
      </c>
      <c r="BY3" s="55">
        <v>0</v>
      </c>
      <c r="BZ3" s="55">
        <v>0</v>
      </c>
      <c r="CA3" s="55">
        <v>0</v>
      </c>
      <c r="CB3" s="55">
        <v>0</v>
      </c>
      <c r="CC3" s="55">
        <v>0</v>
      </c>
      <c r="CD3" s="55" t="e">
        <v>#N/A</v>
      </c>
    </row>
    <row r="4" spans="1:113" x14ac:dyDescent="0.15">
      <c r="C4" s="55" t="str">
        <v>Result</v>
      </c>
      <c r="D4" s="70" t="str">
        <v>D</v>
      </c>
      <c r="E4" s="55" t="str">
        <v>D</v>
      </c>
      <c r="F4" s="55" t="str">
        <v>ND</v>
      </c>
      <c r="G4" s="55" t="str">
        <v>T</v>
      </c>
      <c r="H4" s="55" t="str">
        <v>L</v>
      </c>
      <c r="I4" s="55" t="str">
        <v>W</v>
      </c>
      <c r="J4" s="55" t="str">
        <v>D</v>
      </c>
      <c r="K4" s="55" t="str">
        <v>L</v>
      </c>
      <c r="L4" s="55" t="str">
        <v>D</v>
      </c>
      <c r="M4" s="55" t="str">
        <v>ND</v>
      </c>
      <c r="N4" s="55" t="str">
        <v>L</v>
      </c>
      <c r="O4" s="55" t="str">
        <v>D</v>
      </c>
      <c r="P4" s="55" t="str">
        <v>L</v>
      </c>
      <c r="Q4" s="55" t="str">
        <v>D</v>
      </c>
      <c r="R4" s="55" t="str">
        <v>L</v>
      </c>
      <c r="S4" s="55" t="str">
        <v>L</v>
      </c>
      <c r="T4" s="55">
        <v>0</v>
      </c>
      <c r="U4" s="55">
        <v>0</v>
      </c>
      <c r="V4" s="55">
        <v>0</v>
      </c>
      <c r="W4" s="55">
        <v>0</v>
      </c>
      <c r="X4" s="55">
        <v>0</v>
      </c>
      <c r="Y4" s="55">
        <v>0</v>
      </c>
      <c r="Z4" s="55">
        <v>0</v>
      </c>
      <c r="AA4" s="55">
        <v>0</v>
      </c>
      <c r="AB4" s="55">
        <v>0</v>
      </c>
      <c r="AC4" s="55">
        <v>0</v>
      </c>
      <c r="AD4" s="55">
        <v>0</v>
      </c>
      <c r="AE4" s="55">
        <v>0</v>
      </c>
      <c r="AF4" s="55">
        <v>0</v>
      </c>
      <c r="AG4" s="55">
        <v>0</v>
      </c>
      <c r="AH4" s="55">
        <v>0</v>
      </c>
      <c r="AI4" s="55">
        <v>0</v>
      </c>
      <c r="AJ4" s="55">
        <v>0</v>
      </c>
      <c r="AK4" s="55">
        <v>0</v>
      </c>
      <c r="AL4" s="55">
        <v>0</v>
      </c>
      <c r="AM4" s="55">
        <v>0</v>
      </c>
      <c r="AN4" s="55">
        <v>0</v>
      </c>
      <c r="AO4" s="55">
        <v>0</v>
      </c>
      <c r="AP4" s="55">
        <v>0</v>
      </c>
      <c r="AQ4" s="55">
        <v>0</v>
      </c>
      <c r="AR4" s="55">
        <v>0</v>
      </c>
      <c r="AS4" s="55">
        <v>0</v>
      </c>
      <c r="AT4" s="55">
        <v>0</v>
      </c>
      <c r="AU4" s="55">
        <v>0</v>
      </c>
      <c r="AV4" s="55">
        <v>0</v>
      </c>
      <c r="AW4" s="55">
        <v>0</v>
      </c>
      <c r="AX4" s="55">
        <v>0</v>
      </c>
      <c r="AY4" s="55">
        <v>0</v>
      </c>
      <c r="AZ4" s="55">
        <v>0</v>
      </c>
      <c r="BA4" s="55">
        <v>0</v>
      </c>
      <c r="BB4" s="55">
        <v>0</v>
      </c>
      <c r="BC4" s="55">
        <v>0</v>
      </c>
      <c r="BD4" s="55">
        <v>0</v>
      </c>
      <c r="BE4" s="55">
        <v>0</v>
      </c>
      <c r="BF4" s="55">
        <v>0</v>
      </c>
      <c r="BG4" s="55">
        <v>0</v>
      </c>
      <c r="BH4" s="55">
        <v>0</v>
      </c>
      <c r="BI4" s="55">
        <v>0</v>
      </c>
      <c r="BJ4" s="55">
        <v>0</v>
      </c>
      <c r="BK4" s="55">
        <v>0</v>
      </c>
      <c r="BL4" s="55">
        <v>0</v>
      </c>
      <c r="BM4" s="55">
        <v>0</v>
      </c>
      <c r="BN4" s="55">
        <v>0</v>
      </c>
      <c r="BO4" s="55">
        <v>0</v>
      </c>
      <c r="BP4" s="55">
        <v>0</v>
      </c>
      <c r="BQ4" s="55">
        <v>0</v>
      </c>
      <c r="BR4" s="55">
        <v>0</v>
      </c>
      <c r="BS4" s="55">
        <v>0</v>
      </c>
      <c r="BT4" s="55">
        <v>0</v>
      </c>
      <c r="BU4" s="55">
        <v>0</v>
      </c>
      <c r="BV4" s="55">
        <v>0</v>
      </c>
      <c r="BW4" s="55">
        <v>0</v>
      </c>
      <c r="BX4" s="55">
        <v>0</v>
      </c>
      <c r="BY4" s="55">
        <v>0</v>
      </c>
      <c r="BZ4" s="55">
        <v>0</v>
      </c>
      <c r="CA4" s="55">
        <v>0</v>
      </c>
      <c r="CB4" s="55">
        <v>0</v>
      </c>
      <c r="CC4" s="55">
        <v>0</v>
      </c>
      <c r="CD4" s="55" t="e">
        <v>#N/A</v>
      </c>
      <c r="CE4" s="50" t="s">
        <v>5</v>
      </c>
      <c r="CF4" s="50" t="s">
        <v>6</v>
      </c>
      <c r="CG4" s="50" t="s">
        <v>7</v>
      </c>
      <c r="CH4" s="50" t="s">
        <v>8</v>
      </c>
      <c r="CI4" s="50" t="s">
        <v>131</v>
      </c>
      <c r="CJ4" s="50" t="s">
        <v>147</v>
      </c>
      <c r="CK4" s="50" t="s">
        <v>9</v>
      </c>
      <c r="CL4" s="47" t="s">
        <v>39</v>
      </c>
      <c r="CM4" s="70" t="s">
        <v>11</v>
      </c>
      <c r="CN4" s="70" t="s">
        <v>12</v>
      </c>
      <c r="CO4" s="50" t="s">
        <v>13</v>
      </c>
      <c r="CP4" s="50" t="s">
        <v>14</v>
      </c>
      <c r="CQ4" s="50" t="s">
        <v>15</v>
      </c>
      <c r="CR4" s="50" t="s">
        <v>16</v>
      </c>
      <c r="CS4" s="50" t="s">
        <v>17</v>
      </c>
      <c r="CT4" s="50" t="s">
        <v>18</v>
      </c>
      <c r="CU4" s="50" t="s">
        <v>19</v>
      </c>
      <c r="CV4" s="50" t="s">
        <v>20</v>
      </c>
      <c r="CW4" s="50" t="s">
        <v>229</v>
      </c>
      <c r="CX4" s="50"/>
      <c r="CY4" s="50" t="s">
        <v>21</v>
      </c>
      <c r="CZ4" s="50" t="s">
        <v>22</v>
      </c>
      <c r="DA4" s="50" t="s">
        <v>23</v>
      </c>
      <c r="DB4" s="50" t="s">
        <v>24</v>
      </c>
      <c r="DC4" s="70" t="s">
        <v>132</v>
      </c>
      <c r="DD4" s="70" t="s">
        <v>133</v>
      </c>
      <c r="DE4" s="70" t="s">
        <v>145</v>
      </c>
      <c r="DF4" s="70" t="s">
        <v>144</v>
      </c>
      <c r="DG4" s="70" t="s">
        <v>151</v>
      </c>
      <c r="DH4" s="70" t="s">
        <v>170</v>
      </c>
      <c r="DI4" s="70" t="s">
        <v>175</v>
      </c>
    </row>
    <row r="5" spans="1:113" x14ac:dyDescent="0.15">
      <c r="A5" s="70" t="s">
        <v>64</v>
      </c>
      <c r="B5" s="70" t="s">
        <v>26</v>
      </c>
      <c r="C5" s="70" t="s">
        <v>152</v>
      </c>
      <c r="CE5" s="70">
        <f>BatSplit(D5:CD5,MatchesPlayed)</f>
        <v>0</v>
      </c>
      <c r="CF5" s="70">
        <f>CE5-CG5</f>
        <v>0</v>
      </c>
      <c r="CG5" s="70">
        <f>BatSplit(D5:CD5,InnsBattedIn)</f>
        <v>0</v>
      </c>
      <c r="CH5" s="70">
        <f>BatSplit(D5:CD5,NotOuts)</f>
        <v>0</v>
      </c>
      <c r="CI5" s="70">
        <f>BatSplit(D5:CD5,HighestScore)</f>
        <v>0</v>
      </c>
      <c r="CJ5" s="74">
        <f t="shared" ref="CJ5:CJ44" si="0">IF(CI5&lt;0,-CI5&amp;"*",CI5)</f>
        <v>0</v>
      </c>
      <c r="CK5" s="70">
        <f>BatSplit(D5:CD5,RunsScored)</f>
        <v>0</v>
      </c>
      <c r="CL5" s="72">
        <f>IF(CG5=CH5,0,CK5/(CG5-CH5))</f>
        <v>0</v>
      </c>
      <c r="CM5" s="70">
        <f>BatSplit(D5:CD5,BatPts)</f>
        <v>0</v>
      </c>
      <c r="CN5" s="70">
        <f>BatSplit(D5:CD5,FldPts)</f>
        <v>0</v>
      </c>
      <c r="CO5" s="73">
        <f t="array" ref="CO5">SUM(IF(ISERR(FIND("*",D5:CD5)),0,1))</f>
        <v>0</v>
      </c>
      <c r="CP5" s="73">
        <f t="array" ref="CP5">SUM(IF(ISERR(FIND("+",D5:CD5)),0,1))</f>
        <v>0</v>
      </c>
      <c r="CQ5" s="70">
        <f>BatSplit(D5:CD5,Ducks)</f>
        <v>0</v>
      </c>
      <c r="CR5" s="73">
        <f t="array" ref="CR5">SUM(IF(ISERR(FIND(CR$4,$D5:$CD5)),0,1))</f>
        <v>0</v>
      </c>
      <c r="CS5" s="73">
        <f t="array" ref="CS5">SUM(IF(ISERR(FIND(CS$4,$D5:$CD5)),0,1))</f>
        <v>0</v>
      </c>
      <c r="CT5" s="73">
        <f t="array" ref="CT5">SUM(IF(ISERR(FIND(CT$4,$D5:$CD5)),0,1))</f>
        <v>0</v>
      </c>
      <c r="CU5" s="73">
        <f t="array" ref="CU5">SUM(IF(ISERR(FIND(CU$4,$D5:$CD5)),0,1))</f>
        <v>0</v>
      </c>
      <c r="CV5" s="73">
        <f t="array" ref="CV5">SUM(IF(ISERR(FIND(CV$4,$D5:$CD5)),0,1))</f>
        <v>0</v>
      </c>
      <c r="CW5" s="73">
        <f t="array" ref="CW5">SUM(IF(ISERR(FIND(CW$4,$D5:$CD5)),0,1))</f>
        <v>0</v>
      </c>
      <c r="CX5" s="73"/>
      <c r="CY5" s="73">
        <f>BatSplit(D5:CD5,Catches)</f>
        <v>0</v>
      </c>
      <c r="CZ5" s="73">
        <f>BatSplit(D5:CD5,Fours)</f>
        <v>0</v>
      </c>
      <c r="DA5" s="73">
        <f>BatSplit(D5:CD5,Sixes)</f>
        <v>0</v>
      </c>
      <c r="DB5" s="73">
        <f>BatSplit(D5:CD5,Stumpings)</f>
        <v>0</v>
      </c>
      <c r="DC5" s="73">
        <f>BatSplit(D5:CD5,CaughtWkt)</f>
        <v>0</v>
      </c>
      <c r="DD5" s="73">
        <f>BatSplit(D5:CD5,TwentyFives)</f>
        <v>0</v>
      </c>
      <c r="DE5" s="70">
        <f>ROUND(IF(ISERROR(CL5),0,CL5),2)*100000+CG5*100+CE5+CK5/100+ROW()/100000</f>
        <v>5.0000000000000002E-5</v>
      </c>
      <c r="DF5" s="70">
        <f t="shared" ref="DF5:DF44" si="1">RANK(DE5,$DE$5:$DE$44)</f>
        <v>40</v>
      </c>
      <c r="DG5" s="70">
        <v>0</v>
      </c>
      <c r="DH5" s="93" t="str">
        <f>IF(CK5&gt;=50,(CZ5*4+DA5*6+DG5*5)/CK5,"")</f>
        <v/>
      </c>
      <c r="DI5" s="101" t="e">
        <f>CQ5/(CG5-CH5)</f>
        <v>#DIV/0!</v>
      </c>
    </row>
    <row r="6" spans="1:113" x14ac:dyDescent="0.15">
      <c r="A6" s="70" t="s">
        <v>43</v>
      </c>
      <c r="B6" s="70" t="s">
        <v>27</v>
      </c>
      <c r="C6" s="70" t="s">
        <v>153</v>
      </c>
      <c r="D6" s="70" t="s">
        <v>259</v>
      </c>
      <c r="F6" s="70" t="s">
        <v>308</v>
      </c>
      <c r="CE6" s="70">
        <f>BatSplit(D6:CD6,MatchesPlayed)</f>
        <v>2</v>
      </c>
      <c r="CF6" s="70">
        <f>CE6-CG6</f>
        <v>1</v>
      </c>
      <c r="CG6" s="70">
        <f>BatSplit(D6:CD6,InnsBattedIn)</f>
        <v>1</v>
      </c>
      <c r="CH6" s="70">
        <f>BatSplit(D6:CD6,NotOuts)</f>
        <v>0</v>
      </c>
      <c r="CI6" s="70">
        <f>BatSplit(D6:CD6,HighestScore)</f>
        <v>4</v>
      </c>
      <c r="CJ6" s="74">
        <f t="shared" si="0"/>
        <v>4</v>
      </c>
      <c r="CK6" s="70">
        <f>BatSplit(D6:CD6,RunsScored)</f>
        <v>4</v>
      </c>
      <c r="CL6" s="72">
        <f>IF(CG6=CH6,0,CK6/(CG6-CH6))</f>
        <v>4</v>
      </c>
      <c r="CM6" s="70">
        <f>BatSplit(D6:CD6,BatPts)</f>
        <v>4</v>
      </c>
      <c r="CN6" s="70">
        <f>BatSplit(D6:CD6,FldPts)</f>
        <v>5</v>
      </c>
      <c r="CO6" s="73">
        <f t="array" ref="CO6">SUM(IF(ISERR(FIND("*",D6:CD6)),0,1))</f>
        <v>0</v>
      </c>
      <c r="CP6" s="73">
        <f t="array" ref="CP6">SUM(IF(ISERR(FIND("+",D6:CD6)),0,1))</f>
        <v>0</v>
      </c>
      <c r="CQ6" s="70">
        <f>BatSplit(D6:CD6,Ducks)</f>
        <v>0</v>
      </c>
      <c r="CR6" s="73">
        <f t="array" ref="CR6">SUM(IF(ISERR(FIND(CR$4,$D6:$CD6)),0,1))</f>
        <v>0</v>
      </c>
      <c r="CS6" s="73">
        <f t="array" ref="CS6">SUM(IF(ISERR(FIND(CS$4,$D6:$CD6)),0,1))</f>
        <v>1</v>
      </c>
      <c r="CT6" s="73">
        <f t="array" ref="CT6">SUM(IF(ISERR(FIND(CT$4,$D6:$CD6)),0,1))</f>
        <v>0</v>
      </c>
      <c r="CU6" s="73">
        <f t="array" ref="CU6">SUM(IF(ISERR(FIND(CU$4,$D6:$CD6)),0,1))</f>
        <v>0</v>
      </c>
      <c r="CV6" s="73">
        <f t="array" ref="CV6">SUM(IF(ISERR(FIND(CV$4,$D6:$CD6)),0,1))</f>
        <v>0</v>
      </c>
      <c r="CW6" s="73">
        <f t="array" ref="CW6">SUM(IF(ISERR(FIND(CW$4,$D6:$CD6)),0,1))</f>
        <v>0</v>
      </c>
      <c r="CX6" s="73"/>
      <c r="CY6" s="73">
        <f>BatSplit(D6:CD6,Catches)</f>
        <v>1</v>
      </c>
      <c r="CZ6" s="73">
        <f>BatSplit(D6:CD6,Fours)</f>
        <v>1</v>
      </c>
      <c r="DA6" s="73">
        <f>BatSplit(D6:CD6,Sixes)</f>
        <v>0</v>
      </c>
      <c r="DB6" s="73">
        <f>BatSplit(D6:CD6,Stumpings)</f>
        <v>0</v>
      </c>
      <c r="DC6" s="73">
        <f>BatSplit(D6:CD6,CaughtWkt)</f>
        <v>0</v>
      </c>
      <c r="DD6" s="73">
        <f>BatSplit(D6:CD6,TwentyFives)</f>
        <v>0</v>
      </c>
      <c r="DE6" s="70">
        <f>ROUND(IF(ISERROR(CL6),0,CL6),2)*100000+CG6*100+CE6+CK6/100+ROW()/100000</f>
        <v>400102.04005999997</v>
      </c>
      <c r="DF6" s="70">
        <f t="shared" si="1"/>
        <v>20</v>
      </c>
      <c r="DG6" s="70">
        <v>0</v>
      </c>
      <c r="DH6" s="93" t="str">
        <f>IF(CK6&gt;=50,(CZ6*4+DA6*6+DG6*5)/CK6,"")</f>
        <v/>
      </c>
      <c r="DI6" s="101">
        <f>CQ6/(CG6-CH6)</f>
        <v>0</v>
      </c>
    </row>
    <row r="7" spans="1:113" x14ac:dyDescent="0.15">
      <c r="B7" s="70" t="s">
        <v>285</v>
      </c>
      <c r="C7" s="70" t="s">
        <v>286</v>
      </c>
      <c r="E7" s="70" t="s">
        <v>287</v>
      </c>
      <c r="I7" s="70" t="s">
        <v>374</v>
      </c>
      <c r="J7" s="70" t="s">
        <v>391</v>
      </c>
      <c r="K7" s="70" t="s">
        <v>410</v>
      </c>
      <c r="N7" s="70" t="s">
        <v>410</v>
      </c>
      <c r="O7" s="70" t="s">
        <v>469</v>
      </c>
      <c r="P7" s="70" t="s">
        <v>487</v>
      </c>
      <c r="Q7" s="70" t="s">
        <v>501</v>
      </c>
      <c r="R7" s="70" t="s">
        <v>519</v>
      </c>
      <c r="S7" s="70" t="s">
        <v>538</v>
      </c>
      <c r="CE7" s="70">
        <f>BatSplit(D7:CD7,MatchesPlayed)</f>
        <v>10</v>
      </c>
      <c r="CF7" s="70">
        <f>CE7-CG7</f>
        <v>1</v>
      </c>
      <c r="CG7" s="70">
        <f>BatSplit(D7:CD7,InnsBattedIn)</f>
        <v>9</v>
      </c>
      <c r="CH7" s="70">
        <f>BatSplit(D7:CD7,NotOuts)</f>
        <v>3</v>
      </c>
      <c r="CI7" s="70">
        <f>BatSplit(D7:CD7,HighestScore)</f>
        <v>-6</v>
      </c>
      <c r="CJ7" s="74" t="str">
        <f t="shared" si="0"/>
        <v>6*</v>
      </c>
      <c r="CK7" s="70">
        <f>BatSplit(D7:CD7,RunsScored)</f>
        <v>21</v>
      </c>
      <c r="CL7" s="72">
        <f>IF(CG7=CH7,0,CK7/(CG7-CH7))</f>
        <v>3.5</v>
      </c>
      <c r="CM7" s="70">
        <f>BatSplit(D7:CD7,BatPts)</f>
        <v>-4</v>
      </c>
      <c r="CN7" s="70">
        <f>BatSplit(D7:CD7,FldPts)</f>
        <v>20</v>
      </c>
      <c r="CO7" s="73">
        <f t="array" ref="CO7">SUM(IF(ISERR(FIND("*",D7:CD7)),0,1))</f>
        <v>0</v>
      </c>
      <c r="CP7" s="73">
        <f t="array" ref="CP7">SUM(IF(ISERR(FIND("+",D7:CD7)),0,1))</f>
        <v>0</v>
      </c>
      <c r="CQ7" s="70">
        <f>BatSplit(D7:CD7,Ducks)</f>
        <v>5</v>
      </c>
      <c r="CR7" s="73">
        <f t="array" ref="CR7">SUM(IF(ISERR(FIND(CR$4,$D7:$CD7)),0,1))</f>
        <v>5</v>
      </c>
      <c r="CS7" s="73">
        <f t="array" ref="CS7">SUM(IF(ISERR(FIND(CS$4,$D7:$CD7)),0,1))</f>
        <v>1</v>
      </c>
      <c r="CT7" s="73">
        <f t="array" ref="CT7">SUM(IF(ISERR(FIND(CT$4,$D7:$CD7)),0,1))</f>
        <v>0</v>
      </c>
      <c r="CU7" s="73">
        <f t="array" ref="CU7">SUM(IF(ISERR(FIND(CU$4,$D7:$CD7)),0,1))</f>
        <v>0</v>
      </c>
      <c r="CV7" s="73">
        <f t="array" ref="CV7">SUM(IF(ISERR(FIND(CV$4,$D7:$CD7)),0,1))</f>
        <v>0</v>
      </c>
      <c r="CW7" s="73">
        <f t="array" ref="CW7">SUM(IF(ISERR(FIND(CW$4,$D7:$CD7)),0,1))</f>
        <v>0</v>
      </c>
      <c r="CX7" s="73"/>
      <c r="CY7" s="73">
        <f>BatSplit(D7:CD7,Catches)</f>
        <v>4</v>
      </c>
      <c r="CZ7" s="73">
        <f>BatSplit(D7:CD7,Fours)</f>
        <v>1</v>
      </c>
      <c r="DA7" s="73">
        <f>BatSplit(D7:CD7,Sixes)</f>
        <v>0</v>
      </c>
      <c r="DB7" s="73">
        <f>BatSplit(D7:CD7,Stumpings)</f>
        <v>0</v>
      </c>
      <c r="DC7" s="73">
        <f>BatSplit(D7:CD7,CaughtWkt)</f>
        <v>0</v>
      </c>
      <c r="DD7" s="73">
        <f>BatSplit(D7:CD7,TwentyFives)</f>
        <v>0</v>
      </c>
      <c r="DE7" s="70">
        <f>ROUND(IF(ISERROR(CL7),0,CL7),2)*100000+CG7*100+CE7+CK7/100+ROW()/100000</f>
        <v>350910.21007000003</v>
      </c>
      <c r="DF7" s="70">
        <f t="shared" si="1"/>
        <v>24</v>
      </c>
      <c r="DG7" s="70">
        <v>0</v>
      </c>
      <c r="DH7" s="93" t="str">
        <f>IF(CK7&gt;=50,(CZ7*4+DA7*6+DG7*5)/CK7,"")</f>
        <v/>
      </c>
      <c r="DI7" s="101">
        <f>CQ7/(CG7-CH7)</f>
        <v>0.83333333333333337</v>
      </c>
    </row>
    <row r="8" spans="1:113" x14ac:dyDescent="0.15">
      <c r="A8" s="70" t="s">
        <v>102</v>
      </c>
      <c r="B8" s="70" t="s">
        <v>34</v>
      </c>
      <c r="C8" s="70" t="s">
        <v>154</v>
      </c>
      <c r="D8" s="70" t="s">
        <v>266</v>
      </c>
      <c r="E8" s="70" t="s">
        <v>294</v>
      </c>
      <c r="G8" s="70" t="s">
        <v>266</v>
      </c>
      <c r="H8" s="70" t="s">
        <v>354</v>
      </c>
      <c r="I8" s="70" t="s">
        <v>375</v>
      </c>
      <c r="J8" s="70" t="s">
        <v>266</v>
      </c>
      <c r="K8" s="70" t="s">
        <v>411</v>
      </c>
      <c r="L8" s="70" t="s">
        <v>266</v>
      </c>
      <c r="M8" s="70" t="s">
        <v>266</v>
      </c>
      <c r="N8" s="134" t="s">
        <v>448</v>
      </c>
      <c r="O8" s="134"/>
      <c r="P8" s="134"/>
      <c r="Q8" t="s">
        <v>502</v>
      </c>
      <c r="S8" s="70" t="s">
        <v>540</v>
      </c>
      <c r="U8"/>
      <c r="V8"/>
      <c r="CE8" s="70">
        <f>BatSplit(D8:CD8,MatchesPlayed)</f>
        <v>12</v>
      </c>
      <c r="CF8" s="70">
        <f>CE8-CG8</f>
        <v>6</v>
      </c>
      <c r="CG8" s="70">
        <f>BatSplit(D8:CD8,InnsBattedIn)</f>
        <v>6</v>
      </c>
      <c r="CH8" s="70">
        <f>BatSplit(D8:CD8,NotOuts)</f>
        <v>4</v>
      </c>
      <c r="CI8" s="70">
        <f>BatSplit(D8:CD8,HighestScore)</f>
        <v>20</v>
      </c>
      <c r="CJ8" s="74">
        <f t="shared" si="0"/>
        <v>20</v>
      </c>
      <c r="CK8" s="70">
        <f>BatSplit(D8:CD8,RunsScored)</f>
        <v>32</v>
      </c>
      <c r="CL8" s="72">
        <f>IF(CG8=CH8,0,CK8/(CG8-CH8))</f>
        <v>16</v>
      </c>
      <c r="CM8" s="70">
        <f>BatSplit(D8:CD8,BatPts)</f>
        <v>32</v>
      </c>
      <c r="CN8" s="70">
        <f>BatSplit(D8:CD8,FldPts)</f>
        <v>10</v>
      </c>
      <c r="CO8" s="73">
        <f t="array" ref="CO8">SUM(IF(ISERR(FIND("*",D8:CD8)),0,1))</f>
        <v>11</v>
      </c>
      <c r="CP8" s="73">
        <f t="array" ref="CP8">SUM(IF(ISERR(FIND("+",D8:CD8)),0,1))</f>
        <v>0</v>
      </c>
      <c r="CQ8" s="70">
        <f>BatSplit(D8:CD8,Ducks)</f>
        <v>0</v>
      </c>
      <c r="CR8" s="73">
        <f t="array" ref="CR8">SUM(IF(ISERR(FIND(CR$4,$D8:$CD8)),0,1))</f>
        <v>1</v>
      </c>
      <c r="CS8" s="73">
        <f t="array" ref="CS8">SUM(IF(ISERR(FIND(CS$4,$D8:$CD8)),0,1))</f>
        <v>1</v>
      </c>
      <c r="CT8" s="73">
        <f t="array" ref="CT8">SUM(IF(ISERR(FIND(CT$4,$D8:$CD8)),0,1))</f>
        <v>0</v>
      </c>
      <c r="CU8" s="73">
        <f t="array" ref="CU8">SUM(IF(ISERR(FIND(CU$4,$D8:$CD8)),0,1))</f>
        <v>0</v>
      </c>
      <c r="CV8" s="73">
        <f t="array" ref="CV8">SUM(IF(ISERR(FIND(CV$4,$D8:$CD8)),0,1))</f>
        <v>0</v>
      </c>
      <c r="CW8" s="73">
        <f t="array" ref="CW8">SUM(IF(ISERR(FIND(CW$4,$D8:$CD8)),0,1))</f>
        <v>0</v>
      </c>
      <c r="CX8" s="73"/>
      <c r="CY8" s="73">
        <f>BatSplit(D8:CD8,Catches)</f>
        <v>2</v>
      </c>
      <c r="CZ8" s="73">
        <f>BatSplit(D8:CD8,Fours)</f>
        <v>5</v>
      </c>
      <c r="DA8" s="73">
        <f>BatSplit(D8:CD8,Sixes)</f>
        <v>0</v>
      </c>
      <c r="DB8" s="73">
        <f>BatSplit(D8:CD8,Stumpings)</f>
        <v>0</v>
      </c>
      <c r="DC8" s="73">
        <f>BatSplit(D8:CD8,CaughtWkt)</f>
        <v>0</v>
      </c>
      <c r="DD8" s="73">
        <f>BatSplit(D8:CD8,TwentyFives)</f>
        <v>0</v>
      </c>
      <c r="DE8" s="70">
        <f>ROUND(IF(ISERROR(CL8),0,CL8),2)*100000+CG8*100+CE8+CK8/100+ROW()/100000</f>
        <v>1600612.32008</v>
      </c>
      <c r="DF8" s="70">
        <f t="shared" si="1"/>
        <v>8</v>
      </c>
      <c r="DG8" s="70">
        <v>0</v>
      </c>
      <c r="DH8" s="93" t="str">
        <f>IF(CK8&gt;=50,(CZ8*4+DA8*6+DG8*5)/CK8,"")</f>
        <v/>
      </c>
      <c r="DI8" s="101">
        <f>CQ8/(CG8-CH8)</f>
        <v>0</v>
      </c>
    </row>
    <row r="9" spans="1:113" x14ac:dyDescent="0.15">
      <c r="A9" s="70" t="s">
        <v>136</v>
      </c>
      <c r="B9" s="70" t="s">
        <v>191</v>
      </c>
      <c r="C9" s="70" t="s">
        <v>155</v>
      </c>
      <c r="D9" s="70" t="s">
        <v>262</v>
      </c>
      <c r="F9" s="70" t="s">
        <v>313</v>
      </c>
      <c r="M9"/>
      <c r="P9" s="134"/>
      <c r="R9"/>
      <c r="S9"/>
      <c r="T9"/>
      <c r="V9" s="134"/>
      <c r="CE9" s="70">
        <f t="shared" ref="CE9:CE39" si="2">BatSplit(D9:CD9,MatchesPlayed)</f>
        <v>2</v>
      </c>
      <c r="CF9" s="70">
        <f t="shared" ref="CF9:CF39" si="3">CE9-CG9</f>
        <v>1</v>
      </c>
      <c r="CG9" s="70">
        <f t="shared" ref="CG9:CG39" si="4">BatSplit(D9:CD9,InnsBattedIn)</f>
        <v>1</v>
      </c>
      <c r="CH9" s="70">
        <f t="shared" ref="CH9:CH39" si="5">BatSplit(D9:CD9,NotOuts)</f>
        <v>1</v>
      </c>
      <c r="CI9" s="70">
        <f t="shared" ref="CI9:CI39" si="6">BatSplit(D9:CD9,HighestScore)</f>
        <v>-9</v>
      </c>
      <c r="CJ9" s="74" t="str">
        <f t="shared" si="0"/>
        <v>9*</v>
      </c>
      <c r="CK9" s="70">
        <f t="shared" ref="CK9:CK39" si="7">BatSplit(D9:CD9,RunsScored)</f>
        <v>9</v>
      </c>
      <c r="CL9" s="72">
        <f t="shared" ref="CL9:CL39" si="8">IF(CG9=CH9,0,CK9/(CG9-CH9))</f>
        <v>0</v>
      </c>
      <c r="CM9" s="70">
        <f t="shared" ref="CM9:CM39" si="9">BatSplit(D9:CD9,BatPts)</f>
        <v>9</v>
      </c>
      <c r="CN9" s="70">
        <f t="shared" ref="CN9:CN39" si="10">BatSplit(D9:CD9,FldPts)</f>
        <v>0</v>
      </c>
      <c r="CO9" s="73">
        <f t="array" ref="CO9">SUM(IF(ISERR(FIND("*",D9:CD9)),0,1))</f>
        <v>0</v>
      </c>
      <c r="CP9" s="73">
        <f t="array" ref="CP9">SUM(IF(ISERR(FIND("+",D9:CD9)),0,1))</f>
        <v>0</v>
      </c>
      <c r="CQ9" s="70">
        <f t="shared" ref="CQ9:CQ39" si="11">BatSplit(D9:CD9,Ducks)</f>
        <v>0</v>
      </c>
      <c r="CR9" s="73">
        <f t="array" ref="CR9">SUM(IF(ISERR(FIND(CR$4,$D9:$CD9)),0,1))</f>
        <v>0</v>
      </c>
      <c r="CS9" s="73">
        <f t="array" ref="CS9">SUM(IF(ISERR(FIND(CS$4,$D9:$CD9)),0,1))</f>
        <v>0</v>
      </c>
      <c r="CT9" s="73">
        <f t="array" ref="CT9">SUM(IF(ISERR(FIND(CT$4,$D9:$CD9)),0,1))</f>
        <v>0</v>
      </c>
      <c r="CU9" s="73">
        <f t="array" ref="CU9">SUM(IF(ISERR(FIND(CU$4,$D9:$CD9)),0,1))</f>
        <v>0</v>
      </c>
      <c r="CV9" s="73">
        <f t="array" ref="CV9">SUM(IF(ISERR(FIND(CV$4,$D9:$CD9)),0,1))</f>
        <v>0</v>
      </c>
      <c r="CW9" s="73">
        <f t="array" ref="CW9">SUM(IF(ISERR(FIND(CW$4,$D9:$CD9)),0,1))</f>
        <v>0</v>
      </c>
      <c r="CX9" s="73"/>
      <c r="CY9" s="73">
        <f t="shared" ref="CY9:CY39" si="12">BatSplit(D9:CD9,Catches)</f>
        <v>0</v>
      </c>
      <c r="CZ9" s="73">
        <f t="shared" ref="CZ9:CZ39" si="13">BatSplit(D9:CD9,Fours)</f>
        <v>2</v>
      </c>
      <c r="DA9" s="73">
        <f t="shared" ref="DA9:DA39" si="14">BatSplit(D9:CD9,Sixes)</f>
        <v>0</v>
      </c>
      <c r="DB9" s="73">
        <f t="shared" ref="DB9:DB39" si="15">BatSplit(D9:CD9,Stumpings)</f>
        <v>0</v>
      </c>
      <c r="DC9" s="73">
        <f t="shared" ref="DC9:DC39" si="16">BatSplit(D9:CD9,CaughtWkt)</f>
        <v>0</v>
      </c>
      <c r="DD9" s="73">
        <f t="shared" ref="DD9:DD39" si="17">BatSplit(D9:CD9,TwentyFives)</f>
        <v>0</v>
      </c>
      <c r="DE9" s="70">
        <f t="shared" ref="DE9:DE39" si="18">ROUND(IF(ISERROR(CL9),0,CL9),2)*100000+CG9*100+CE9+CK9/100+ROW()/100000</f>
        <v>102.09009</v>
      </c>
      <c r="DF9" s="70">
        <f t="shared" si="1"/>
        <v>28</v>
      </c>
      <c r="DG9" s="70">
        <v>0</v>
      </c>
      <c r="DH9" s="93" t="str">
        <f t="shared" ref="DH9:DH39" si="19">IF(CK9&gt;=50,(CZ9*4+DA9*6+DG9*5)/CK9,"")</f>
        <v/>
      </c>
      <c r="DI9" s="101" t="e">
        <f t="shared" ref="DI9:DI39" si="20">CQ9/(CG9-CH9)</f>
        <v>#DIV/0!</v>
      </c>
    </row>
    <row r="10" spans="1:113" x14ac:dyDescent="0.15">
      <c r="A10" s="70" t="s">
        <v>44</v>
      </c>
      <c r="B10" s="70" t="s">
        <v>28</v>
      </c>
      <c r="C10" s="70" t="s">
        <v>45</v>
      </c>
      <c r="D10" s="70" t="s">
        <v>265</v>
      </c>
      <c r="F10" s="70" t="s">
        <v>304</v>
      </c>
      <c r="I10" s="70" t="s">
        <v>376</v>
      </c>
      <c r="K10" s="70" t="s">
        <v>409</v>
      </c>
      <c r="L10" s="70" t="s">
        <v>313</v>
      </c>
      <c r="M10" s="134"/>
      <c r="N10" s="134" t="s">
        <v>445</v>
      </c>
      <c r="O10" s="134" t="s">
        <v>461</v>
      </c>
      <c r="P10" s="134" t="s">
        <v>482</v>
      </c>
      <c r="Q10" s="134" t="s">
        <v>492</v>
      </c>
      <c r="R10" s="70" t="s">
        <v>520</v>
      </c>
      <c r="S10" s="70" t="s">
        <v>539</v>
      </c>
      <c r="U10" s="134"/>
      <c r="V10" s="134"/>
      <c r="CE10" s="70">
        <f t="shared" si="2"/>
        <v>11</v>
      </c>
      <c r="CF10" s="70">
        <f t="shared" si="3"/>
        <v>3</v>
      </c>
      <c r="CG10" s="70">
        <f t="shared" si="4"/>
        <v>8</v>
      </c>
      <c r="CH10" s="70">
        <f t="shared" si="5"/>
        <v>3</v>
      </c>
      <c r="CI10" s="70">
        <f t="shared" si="6"/>
        <v>20</v>
      </c>
      <c r="CJ10" s="74">
        <f t="shared" si="0"/>
        <v>20</v>
      </c>
      <c r="CK10" s="70">
        <f t="shared" si="7"/>
        <v>65</v>
      </c>
      <c r="CL10" s="72">
        <f t="shared" si="8"/>
        <v>13</v>
      </c>
      <c r="CM10" s="70">
        <f t="shared" si="9"/>
        <v>65</v>
      </c>
      <c r="CN10" s="70">
        <f t="shared" si="10"/>
        <v>10</v>
      </c>
      <c r="CO10" s="73">
        <f t="array" ref="CO10">SUM(IF(ISERR(FIND("*",D10:CD10)),0,1))</f>
        <v>0</v>
      </c>
      <c r="CP10" s="73">
        <f t="array" ref="CP10">SUM(IF(ISERR(FIND("+",D10:CD10)),0,1))</f>
        <v>0</v>
      </c>
      <c r="CQ10" s="70">
        <f t="shared" si="11"/>
        <v>0</v>
      </c>
      <c r="CR10" s="73">
        <f t="array" ref="CR10">SUM(IF(ISERR(FIND(CR$4,$D10:$CD10)),0,1))</f>
        <v>0</v>
      </c>
      <c r="CS10" s="73">
        <f t="array" ref="CS10">SUM(IF(ISERR(FIND(CS$4,$D10:$CD10)),0,1))</f>
        <v>3</v>
      </c>
      <c r="CT10" s="73">
        <f t="array" ref="CT10">SUM(IF(ISERR(FIND(CT$4,$D10:$CD10)),0,1))</f>
        <v>1</v>
      </c>
      <c r="CU10" s="73">
        <f t="array" ref="CU10">SUM(IF(ISERR(FIND(CU$4,$D10:$CD10)),0,1))</f>
        <v>0</v>
      </c>
      <c r="CV10" s="73">
        <f t="array" ref="CV10">SUM(IF(ISERR(FIND(CV$4,$D10:$CD10)),0,1))</f>
        <v>1</v>
      </c>
      <c r="CW10" s="73">
        <f t="array" ref="CW10">SUM(IF(ISERR(FIND(CW$4,$D10:$CD10)),0,1))</f>
        <v>0</v>
      </c>
      <c r="CX10" s="73"/>
      <c r="CY10" s="73">
        <f t="shared" si="12"/>
        <v>2</v>
      </c>
      <c r="CZ10" s="73">
        <f t="shared" si="13"/>
        <v>7</v>
      </c>
      <c r="DA10" s="73">
        <f t="shared" si="14"/>
        <v>0</v>
      </c>
      <c r="DB10" s="73">
        <f t="shared" si="15"/>
        <v>0</v>
      </c>
      <c r="DC10" s="73">
        <f t="shared" si="16"/>
        <v>0</v>
      </c>
      <c r="DD10" s="73">
        <f t="shared" si="17"/>
        <v>0</v>
      </c>
      <c r="DE10" s="70">
        <f t="shared" si="18"/>
        <v>1300811.6501</v>
      </c>
      <c r="DF10" s="70">
        <f t="shared" si="1"/>
        <v>10</v>
      </c>
      <c r="DG10" s="70">
        <v>0</v>
      </c>
      <c r="DH10" s="93">
        <f t="shared" si="19"/>
        <v>0.43076923076923079</v>
      </c>
      <c r="DI10" s="101">
        <f t="shared" si="20"/>
        <v>0</v>
      </c>
    </row>
    <row r="11" spans="1:113" x14ac:dyDescent="0.15">
      <c r="B11" s="70" t="s">
        <v>579</v>
      </c>
      <c r="C11" s="70" t="s">
        <v>578</v>
      </c>
      <c r="M11" s="70" t="s">
        <v>581</v>
      </c>
      <c r="N11" s="70" t="s">
        <v>446</v>
      </c>
      <c r="O11" s="70" t="s">
        <v>462</v>
      </c>
      <c r="P11" s="70" t="s">
        <v>480</v>
      </c>
      <c r="CE11" s="70">
        <f>BatSplit(D11:CD11,MatchesPlayed)</f>
        <v>4</v>
      </c>
      <c r="CF11" s="70">
        <f>CE11-CG11</f>
        <v>1</v>
      </c>
      <c r="CG11" s="70">
        <f>BatSplit(D11:CD11,InnsBattedIn)</f>
        <v>3</v>
      </c>
      <c r="CH11" s="70">
        <f>BatSplit(D11:CD11,NotOuts)</f>
        <v>0</v>
      </c>
      <c r="CI11" s="70">
        <f>BatSplit(D11:CD11,HighestScore)</f>
        <v>12</v>
      </c>
      <c r="CJ11" s="74">
        <f t="shared" si="0"/>
        <v>12</v>
      </c>
      <c r="CK11" s="70">
        <f>BatSplit(D11:CD11,RunsScored)</f>
        <v>13</v>
      </c>
      <c r="CL11" s="72">
        <f>IF(CG11=CH11,0,CK11/(CG11-CH11))</f>
        <v>4.333333333333333</v>
      </c>
      <c r="CM11" s="70">
        <f>BatSplit(D11:CD11,BatPts)</f>
        <v>8</v>
      </c>
      <c r="CN11" s="70">
        <f>BatSplit(D11:CD11,FldPts)</f>
        <v>0</v>
      </c>
      <c r="CO11" s="73">
        <f t="array" ref="CO11">SUM(IF(ISERR(FIND("*",D11:CD11)),0,1))</f>
        <v>0</v>
      </c>
      <c r="CP11" s="73">
        <f t="array" ref="CP11">SUM(IF(ISERR(FIND("+",D11:CD11)),0,1))</f>
        <v>0</v>
      </c>
      <c r="CQ11" s="70">
        <f>BatSplit(D11:CD11,Ducks)</f>
        <v>1</v>
      </c>
      <c r="CR11" s="73">
        <f t="array" ref="CR11">SUM(IF(ISERR(FIND(CR$4,$D11:$CD11)),0,1))</f>
        <v>2</v>
      </c>
      <c r="CS11" s="73">
        <f t="array" ref="CS11">SUM(IF(ISERR(FIND(CS$4,$D11:$CD11)),0,1))</f>
        <v>0</v>
      </c>
      <c r="CT11" s="73">
        <f t="array" ref="CT11">SUM(IF(ISERR(FIND(CT$4,$D11:$CD11)),0,1))</f>
        <v>0</v>
      </c>
      <c r="CU11" s="73">
        <f t="array" ref="CU11">SUM(IF(ISERR(FIND(CU$4,$D11:$CD11)),0,1))</f>
        <v>0</v>
      </c>
      <c r="CV11" s="73">
        <f t="array" ref="CV11">SUM(IF(ISERR(FIND(CV$4,$D11:$CD11)),0,1))</f>
        <v>1</v>
      </c>
      <c r="CW11" s="73">
        <f t="array" ref="CW11">SUM(IF(ISERR(FIND(CW$4,$D11:$CD11)),0,1))</f>
        <v>0</v>
      </c>
      <c r="CX11" s="73"/>
      <c r="CY11" s="73">
        <f>BatSplit(D11:CD11,Catches)</f>
        <v>0</v>
      </c>
      <c r="CZ11" s="73">
        <f>BatSplit(D11:CD11,Fours)</f>
        <v>3</v>
      </c>
      <c r="DA11" s="73">
        <f>BatSplit(D11:CD11,Sixes)</f>
        <v>0</v>
      </c>
      <c r="DB11" s="73">
        <f>BatSplit(D11:CD11,Stumpings)</f>
        <v>0</v>
      </c>
      <c r="DC11" s="73">
        <f>BatSplit(D11:CD11,CaughtWkt)</f>
        <v>0</v>
      </c>
      <c r="DD11" s="73">
        <f>BatSplit(D11:CD11,TwentyFives)</f>
        <v>0</v>
      </c>
      <c r="DE11" s="70">
        <f>ROUND(IF(ISERROR(CL11),0,CL11),2)*100000+CG11*100+CE11+CK11/100+ROW()/100000</f>
        <v>433304.13011000003</v>
      </c>
      <c r="DF11" s="70">
        <f t="shared" si="1"/>
        <v>18</v>
      </c>
      <c r="DG11" s="70">
        <v>0</v>
      </c>
      <c r="DH11" s="93" t="str">
        <f>IF(CK11&gt;=50,(CZ11*4+DA11*6+DG11*5)/CK11,"")</f>
        <v/>
      </c>
      <c r="DI11" s="101">
        <f>CQ11/(CG11-CH11)</f>
        <v>0.33333333333333331</v>
      </c>
    </row>
    <row r="12" spans="1:113" x14ac:dyDescent="0.15">
      <c r="C12" s="70" t="s">
        <v>494</v>
      </c>
      <c r="Q12" s="70" t="s">
        <v>495</v>
      </c>
      <c r="CE12" s="70">
        <f>BatSplit(D12:CD12,MatchesPlayed)</f>
        <v>1</v>
      </c>
      <c r="CF12" s="70">
        <f>CE12-CG12</f>
        <v>0</v>
      </c>
      <c r="CG12" s="70">
        <f>BatSplit(D12:CD12,InnsBattedIn)</f>
        <v>1</v>
      </c>
      <c r="CH12" s="70">
        <f>BatSplit(D12:CD12,NotOuts)</f>
        <v>0</v>
      </c>
      <c r="CI12" s="70">
        <f>BatSplit(D12:CD12,HighestScore)</f>
        <v>4</v>
      </c>
      <c r="CJ12" s="74">
        <f t="shared" si="0"/>
        <v>4</v>
      </c>
      <c r="CK12" s="70">
        <f>BatSplit(D12:CD12,RunsScored)</f>
        <v>4</v>
      </c>
      <c r="CL12" s="72">
        <f>IF(CG12=CH12,0,CK12/(CG12-CH12))</f>
        <v>4</v>
      </c>
      <c r="CM12" s="70">
        <f>BatSplit(D12:CD12,BatPts)</f>
        <v>4</v>
      </c>
      <c r="CN12" s="70">
        <f>BatSplit(D12:CD12,FldPts)</f>
        <v>0</v>
      </c>
      <c r="CO12" s="73">
        <f t="array" ref="CO12">SUM(IF(ISERR(FIND("*",D12:CD12)),0,1))</f>
        <v>0</v>
      </c>
      <c r="CP12" s="73">
        <f t="array" ref="CP12">SUM(IF(ISERR(FIND("+",D12:CD12)),0,1))</f>
        <v>0</v>
      </c>
      <c r="CQ12" s="70">
        <f>BatSplit(D12:CD12,Ducks)</f>
        <v>0</v>
      </c>
      <c r="CR12" s="73">
        <f t="array" ref="CR12">SUM(IF(ISERR(FIND(CR$4,$D12:$CD12)),0,1))</f>
        <v>0</v>
      </c>
      <c r="CS12" s="73">
        <f t="array" ref="CS12">SUM(IF(ISERR(FIND(CS$4,$D12:$CD12)),0,1))</f>
        <v>1</v>
      </c>
      <c r="CT12" s="73">
        <f t="array" ref="CT12">SUM(IF(ISERR(FIND(CT$4,$D12:$CD12)),0,1))</f>
        <v>0</v>
      </c>
      <c r="CU12" s="73">
        <f t="array" ref="CU12">SUM(IF(ISERR(FIND(CU$4,$D12:$CD12)),0,1))</f>
        <v>0</v>
      </c>
      <c r="CV12" s="73">
        <f t="array" ref="CV12">SUM(IF(ISERR(FIND(CV$4,$D12:$CD12)),0,1))</f>
        <v>0</v>
      </c>
      <c r="CW12" s="73">
        <f t="array" ref="CW12">SUM(IF(ISERR(FIND(CW$4,$D12:$CD12)),0,1))</f>
        <v>0</v>
      </c>
      <c r="CX12" s="73"/>
      <c r="CY12" s="73">
        <f>BatSplit(D12:CD12,Catches)</f>
        <v>0</v>
      </c>
      <c r="CZ12" s="73">
        <f>BatSplit(D12:CD12,Fours)</f>
        <v>0</v>
      </c>
      <c r="DA12" s="73">
        <f>BatSplit(D12:CD12,Sixes)</f>
        <v>0</v>
      </c>
      <c r="DB12" s="73">
        <f>BatSplit(D12:CD12,Stumpings)</f>
        <v>0</v>
      </c>
      <c r="DC12" s="73">
        <f>BatSplit(D12:CD12,CaughtWkt)</f>
        <v>0</v>
      </c>
      <c r="DD12" s="73">
        <f>BatSplit(D12:CD12,TwentyFives)</f>
        <v>0</v>
      </c>
      <c r="DE12" s="70">
        <f>ROUND(IF(ISERROR(CL12),0,CL12),2)*100000+CG12*100+CE12+CK12/100+ROW()/100000</f>
        <v>400101.04011999996</v>
      </c>
      <c r="DF12" s="70">
        <f t="shared" si="1"/>
        <v>23</v>
      </c>
      <c r="DG12" s="70">
        <v>0</v>
      </c>
      <c r="DH12" s="93" t="str">
        <f>IF(CK12&gt;=50,(CZ12*4+DA12*6+DG12*5)/CK12,"")</f>
        <v/>
      </c>
      <c r="DI12" s="101">
        <f>CQ12/(CG12-CH12)</f>
        <v>0</v>
      </c>
    </row>
    <row r="13" spans="1:113" x14ac:dyDescent="0.15">
      <c r="B13" s="70" t="s">
        <v>249</v>
      </c>
      <c r="C13" s="70" t="s">
        <v>248</v>
      </c>
      <c r="L13" s="70" t="s">
        <v>428</v>
      </c>
      <c r="M13" t="s">
        <v>313</v>
      </c>
      <c r="N13" s="70" t="s">
        <v>450</v>
      </c>
      <c r="O13" t="s">
        <v>463</v>
      </c>
      <c r="P13" t="s">
        <v>485</v>
      </c>
      <c r="Q13"/>
      <c r="S13" s="70" t="s">
        <v>537</v>
      </c>
      <c r="T13" s="134"/>
      <c r="U13" s="134"/>
      <c r="V13" s="134"/>
      <c r="CE13" s="70">
        <f t="shared" si="2"/>
        <v>6</v>
      </c>
      <c r="CF13" s="70">
        <f t="shared" si="3"/>
        <v>1</v>
      </c>
      <c r="CG13" s="70">
        <f t="shared" si="4"/>
        <v>5</v>
      </c>
      <c r="CH13" s="70">
        <f t="shared" si="5"/>
        <v>1</v>
      </c>
      <c r="CI13" s="70">
        <f t="shared" si="6"/>
        <v>9</v>
      </c>
      <c r="CJ13" s="74">
        <f t="shared" si="0"/>
        <v>9</v>
      </c>
      <c r="CK13" s="70">
        <f t="shared" si="7"/>
        <v>11</v>
      </c>
      <c r="CL13" s="72">
        <f t="shared" si="8"/>
        <v>2.75</v>
      </c>
      <c r="CM13" s="70">
        <f t="shared" si="9"/>
        <v>1</v>
      </c>
      <c r="CN13" s="70">
        <f t="shared" si="10"/>
        <v>5</v>
      </c>
      <c r="CO13" s="73">
        <f t="array" ref="CO13">SUM(IF(ISERR(FIND("*",D13:CD13)),0,1))</f>
        <v>0</v>
      </c>
      <c r="CP13" s="73">
        <f t="array" ref="CP13">SUM(IF(ISERR(FIND("+",D13:CD13)),0,1))</f>
        <v>0</v>
      </c>
      <c r="CQ13" s="70">
        <f t="shared" si="11"/>
        <v>2</v>
      </c>
      <c r="CR13" s="73">
        <f t="array" ref="CR13">SUM(IF(ISERR(FIND(CR$4,$D13:$CD13)),0,1))</f>
        <v>1</v>
      </c>
      <c r="CS13" s="73">
        <f t="array" ref="CS13">SUM(IF(ISERR(FIND(CS$4,$D13:$CD13)),0,1))</f>
        <v>2</v>
      </c>
      <c r="CT13" s="73">
        <f t="array" ref="CT13">SUM(IF(ISERR(FIND(CT$4,$D13:$CD13)),0,1))</f>
        <v>0</v>
      </c>
      <c r="CU13" s="73">
        <f t="array" ref="CU13">SUM(IF(ISERR(FIND(CU$4,$D13:$CD13)),0,1))</f>
        <v>0</v>
      </c>
      <c r="CV13" s="73">
        <f t="array" ref="CV13">SUM(IF(ISERR(FIND(CV$4,$D13:$CD13)),0,1))</f>
        <v>1</v>
      </c>
      <c r="CW13" s="73">
        <f t="array" ref="CW13">SUM(IF(ISERR(FIND(CW$4,$D13:$CD13)),0,1))</f>
        <v>0</v>
      </c>
      <c r="CX13" s="73"/>
      <c r="CY13" s="73">
        <f t="shared" si="12"/>
        <v>1</v>
      </c>
      <c r="CZ13" s="73">
        <f t="shared" si="13"/>
        <v>0</v>
      </c>
      <c r="DA13" s="73">
        <f t="shared" si="14"/>
        <v>0</v>
      </c>
      <c r="DB13" s="73">
        <f t="shared" si="15"/>
        <v>0</v>
      </c>
      <c r="DC13" s="73">
        <f t="shared" si="16"/>
        <v>0</v>
      </c>
      <c r="DD13" s="73">
        <f t="shared" si="17"/>
        <v>0</v>
      </c>
      <c r="DE13" s="70">
        <f t="shared" si="18"/>
        <v>275506.11012999999</v>
      </c>
      <c r="DF13" s="70">
        <f t="shared" si="1"/>
        <v>25</v>
      </c>
      <c r="DG13" s="70">
        <v>0</v>
      </c>
      <c r="DH13" s="93" t="str">
        <f t="shared" si="19"/>
        <v/>
      </c>
      <c r="DI13" s="101">
        <f t="shared" si="20"/>
        <v>0.5</v>
      </c>
    </row>
    <row r="14" spans="1:113" x14ac:dyDescent="0.15">
      <c r="A14" s="70" t="s">
        <v>199</v>
      </c>
      <c r="B14" s="70" t="s">
        <v>193</v>
      </c>
      <c r="C14" s="70" t="s">
        <v>194</v>
      </c>
      <c r="D14" s="70" t="s">
        <v>258</v>
      </c>
      <c r="E14" s="70" t="s">
        <v>282</v>
      </c>
      <c r="G14" s="70" t="s">
        <v>326</v>
      </c>
      <c r="H14" s="70" t="s">
        <v>346</v>
      </c>
      <c r="I14" s="70" t="s">
        <v>366</v>
      </c>
      <c r="J14" s="70" t="s">
        <v>385</v>
      </c>
      <c r="K14" s="70" t="s">
        <v>407</v>
      </c>
      <c r="L14" s="70" t="s">
        <v>421</v>
      </c>
      <c r="O14" s="70" t="s">
        <v>459</v>
      </c>
      <c r="P14" s="70" t="s">
        <v>479</v>
      </c>
      <c r="Q14"/>
      <c r="R14" s="70" t="s">
        <v>511</v>
      </c>
      <c r="S14" s="70" t="s">
        <v>533</v>
      </c>
      <c r="T14" s="134"/>
      <c r="U14" s="134"/>
      <c r="V14" s="134"/>
      <c r="CE14" s="70">
        <f t="shared" si="2"/>
        <v>12</v>
      </c>
      <c r="CF14" s="70">
        <f t="shared" si="3"/>
        <v>0</v>
      </c>
      <c r="CG14" s="70">
        <f t="shared" si="4"/>
        <v>12</v>
      </c>
      <c r="CH14" s="70">
        <f t="shared" si="5"/>
        <v>0</v>
      </c>
      <c r="CI14" s="70">
        <f t="shared" si="6"/>
        <v>58</v>
      </c>
      <c r="CJ14" s="74">
        <f t="shared" si="0"/>
        <v>58</v>
      </c>
      <c r="CK14" s="70">
        <f t="shared" si="7"/>
        <v>246</v>
      </c>
      <c r="CL14" s="72">
        <f t="shared" si="8"/>
        <v>20.5</v>
      </c>
      <c r="CM14" s="70">
        <f t="shared" si="9"/>
        <v>251</v>
      </c>
      <c r="CN14" s="70">
        <f t="shared" si="10"/>
        <v>5</v>
      </c>
      <c r="CO14" s="73">
        <f t="array" ref="CO14">SUM(IF(ISERR(FIND("*",D14:CD14)),0,1))</f>
        <v>0</v>
      </c>
      <c r="CP14" s="73">
        <f t="array" ref="CP14">SUM(IF(ISERR(FIND("+",D14:CD14)),0,1))</f>
        <v>0</v>
      </c>
      <c r="CQ14" s="70">
        <f t="shared" si="11"/>
        <v>1</v>
      </c>
      <c r="CR14" s="73">
        <f t="array" ref="CR14">SUM(IF(ISERR(FIND(CR$4,$D14:$CD14)),0,1))</f>
        <v>4</v>
      </c>
      <c r="CS14" s="73">
        <f t="array" ref="CS14">SUM(IF(ISERR(FIND(CS$4,$D14:$CD14)),0,1))</f>
        <v>5</v>
      </c>
      <c r="CT14" s="73">
        <f t="array" ref="CT14">SUM(IF(ISERR(FIND(CT$4,$D14:$CD14)),0,1))</f>
        <v>3</v>
      </c>
      <c r="CU14" s="73">
        <f t="array" ref="CU14">SUM(IF(ISERR(FIND(CU$4,$D14:$CD14)),0,1))</f>
        <v>0</v>
      </c>
      <c r="CV14" s="73">
        <f t="array" ref="CV14">SUM(IF(ISERR(FIND(CV$4,$D14:$CD14)),0,1))</f>
        <v>0</v>
      </c>
      <c r="CW14" s="73">
        <f t="array" ref="CW14">SUM(IF(ISERR(FIND(CW$4,$D14:$CD14)),0,1))</f>
        <v>0</v>
      </c>
      <c r="CX14" s="73"/>
      <c r="CY14" s="73">
        <f t="shared" si="12"/>
        <v>1</v>
      </c>
      <c r="CZ14" s="73">
        <f t="shared" si="13"/>
        <v>34</v>
      </c>
      <c r="DA14" s="73">
        <f t="shared" si="14"/>
        <v>1</v>
      </c>
      <c r="DB14" s="73">
        <f t="shared" si="15"/>
        <v>0</v>
      </c>
      <c r="DC14" s="73">
        <f t="shared" si="16"/>
        <v>0</v>
      </c>
      <c r="DD14" s="73">
        <f t="shared" si="17"/>
        <v>4</v>
      </c>
      <c r="DE14" s="70">
        <f t="shared" si="18"/>
        <v>2051214.4601399999</v>
      </c>
      <c r="DF14" s="70">
        <f t="shared" si="1"/>
        <v>4</v>
      </c>
      <c r="DG14" s="70">
        <v>0</v>
      </c>
      <c r="DH14" s="93">
        <f t="shared" si="19"/>
        <v>0.57723577235772361</v>
      </c>
      <c r="DI14" s="101">
        <f t="shared" si="20"/>
        <v>8.3333333333333329E-2</v>
      </c>
    </row>
    <row r="15" spans="1:113" x14ac:dyDescent="0.15">
      <c r="B15" s="70" t="s">
        <v>246</v>
      </c>
      <c r="C15" s="70" t="s">
        <v>247</v>
      </c>
      <c r="L15" s="70" t="s">
        <v>429</v>
      </c>
      <c r="CE15" s="70">
        <f t="shared" si="2"/>
        <v>1</v>
      </c>
      <c r="CF15" s="70">
        <f t="shared" si="3"/>
        <v>0</v>
      </c>
      <c r="CG15" s="70">
        <f t="shared" si="4"/>
        <v>1</v>
      </c>
      <c r="CH15" s="70">
        <f t="shared" si="5"/>
        <v>0</v>
      </c>
      <c r="CI15" s="70">
        <f t="shared" si="6"/>
        <v>10</v>
      </c>
      <c r="CJ15" s="74">
        <f t="shared" si="0"/>
        <v>10</v>
      </c>
      <c r="CK15" s="70">
        <f t="shared" si="7"/>
        <v>10</v>
      </c>
      <c r="CL15" s="72">
        <f t="shared" si="8"/>
        <v>10</v>
      </c>
      <c r="CM15" s="70">
        <f t="shared" si="9"/>
        <v>10</v>
      </c>
      <c r="CN15" s="70">
        <f t="shared" si="10"/>
        <v>5</v>
      </c>
      <c r="CO15" s="73">
        <f t="array" ref="CO15">SUM(IF(ISERR(FIND("*",D15:CD15)),0,1))</f>
        <v>0</v>
      </c>
      <c r="CP15" s="73">
        <f t="array" ref="CP15">SUM(IF(ISERR(FIND("+",D15:CD15)),0,1))</f>
        <v>0</v>
      </c>
      <c r="CQ15" s="70">
        <f t="shared" si="11"/>
        <v>0</v>
      </c>
      <c r="CR15" s="73">
        <f t="array" ref="CR15">SUM(IF(ISERR(FIND(CR$4,$D15:$CD15)),0,1))</f>
        <v>1</v>
      </c>
      <c r="CS15" s="73">
        <f t="array" ref="CS15">SUM(IF(ISERR(FIND(CS$4,$D15:$CD15)),0,1))</f>
        <v>0</v>
      </c>
      <c r="CT15" s="73">
        <f t="array" ref="CT15">SUM(IF(ISERR(FIND(CT$4,$D15:$CD15)),0,1))</f>
        <v>0</v>
      </c>
      <c r="CU15" s="73">
        <f t="array" ref="CU15">SUM(IF(ISERR(FIND(CU$4,$D15:$CD15)),0,1))</f>
        <v>0</v>
      </c>
      <c r="CV15" s="73">
        <f t="array" ref="CV15">SUM(IF(ISERR(FIND(CV$4,$D15:$CD15)),0,1))</f>
        <v>0</v>
      </c>
      <c r="CW15" s="73">
        <f t="array" ref="CW15">SUM(IF(ISERR(FIND(CW$4,$D15:$CD15)),0,1))</f>
        <v>0</v>
      </c>
      <c r="CX15" s="73"/>
      <c r="CY15" s="73">
        <f t="shared" si="12"/>
        <v>1</v>
      </c>
      <c r="CZ15" s="73">
        <f t="shared" si="13"/>
        <v>1</v>
      </c>
      <c r="DA15" s="73">
        <f t="shared" si="14"/>
        <v>0</v>
      </c>
      <c r="DB15" s="73">
        <f t="shared" si="15"/>
        <v>0</v>
      </c>
      <c r="DC15" s="73">
        <f t="shared" si="16"/>
        <v>0</v>
      </c>
      <c r="DD15" s="73">
        <f t="shared" si="17"/>
        <v>0</v>
      </c>
      <c r="DE15" s="70">
        <f t="shared" si="18"/>
        <v>1000101.10015</v>
      </c>
      <c r="DF15" s="70">
        <f t="shared" si="1"/>
        <v>14</v>
      </c>
      <c r="DG15" s="70">
        <v>0</v>
      </c>
      <c r="DH15" s="93" t="str">
        <f t="shared" si="19"/>
        <v/>
      </c>
      <c r="DI15" s="101">
        <f t="shared" si="20"/>
        <v>0</v>
      </c>
    </row>
    <row r="16" spans="1:113" x14ac:dyDescent="0.15">
      <c r="A16" s="70" t="s">
        <v>47</v>
      </c>
      <c r="B16" s="70" t="s">
        <v>25</v>
      </c>
      <c r="C16" s="70" t="s">
        <v>156</v>
      </c>
      <c r="F16" s="70" t="s">
        <v>307</v>
      </c>
      <c r="G16" s="70" t="s">
        <v>312</v>
      </c>
      <c r="H16" s="70" t="s">
        <v>348</v>
      </c>
      <c r="T16"/>
      <c r="CE16" s="70">
        <f t="shared" si="2"/>
        <v>3</v>
      </c>
      <c r="CF16" s="70">
        <f t="shared" si="3"/>
        <v>2</v>
      </c>
      <c r="CG16" s="70">
        <f t="shared" si="4"/>
        <v>1</v>
      </c>
      <c r="CH16" s="70">
        <f t="shared" si="5"/>
        <v>0</v>
      </c>
      <c r="CI16" s="70">
        <f t="shared" si="6"/>
        <v>0</v>
      </c>
      <c r="CJ16" s="74">
        <f t="shared" si="0"/>
        <v>0</v>
      </c>
      <c r="CK16" s="70">
        <f t="shared" si="7"/>
        <v>0</v>
      </c>
      <c r="CL16" s="72">
        <f t="shared" si="8"/>
        <v>0</v>
      </c>
      <c r="CM16" s="70">
        <f t="shared" si="9"/>
        <v>-5</v>
      </c>
      <c r="CN16" s="70">
        <f t="shared" si="10"/>
        <v>10</v>
      </c>
      <c r="CO16" s="73">
        <f t="array" ref="CO16">SUM(IF(ISERR(FIND("*",D16:CD16)),0,1))</f>
        <v>0</v>
      </c>
      <c r="CP16" s="73">
        <f t="array" ref="CP16">SUM(IF(ISERR(FIND("+",D16:CD16)),0,1))</f>
        <v>0</v>
      </c>
      <c r="CQ16" s="70">
        <f t="shared" si="11"/>
        <v>1</v>
      </c>
      <c r="CR16" s="73">
        <f t="array" ref="CR16">SUM(IF(ISERR(FIND(CR$4,$D16:$CD16)),0,1))</f>
        <v>1</v>
      </c>
      <c r="CS16" s="73">
        <f t="array" ref="CS16">SUM(IF(ISERR(FIND(CS$4,$D16:$CD16)),0,1))</f>
        <v>0</v>
      </c>
      <c r="CT16" s="73">
        <f t="array" ref="CT16">SUM(IF(ISERR(FIND(CT$4,$D16:$CD16)),0,1))</f>
        <v>0</v>
      </c>
      <c r="CU16" s="73">
        <f t="array" ref="CU16">SUM(IF(ISERR(FIND(CU$4,$D16:$CD16)),0,1))</f>
        <v>0</v>
      </c>
      <c r="CV16" s="73">
        <f t="array" ref="CV16">SUM(IF(ISERR(FIND(CV$4,$D16:$CD16)),0,1))</f>
        <v>0</v>
      </c>
      <c r="CW16" s="73">
        <f t="array" ref="CW16">SUM(IF(ISERR(FIND(CW$4,$D16:$CD16)),0,1))</f>
        <v>0</v>
      </c>
      <c r="CX16" s="73"/>
      <c r="CY16" s="73">
        <f t="shared" si="12"/>
        <v>2</v>
      </c>
      <c r="CZ16" s="73">
        <f t="shared" si="13"/>
        <v>0</v>
      </c>
      <c r="DA16" s="73">
        <f t="shared" si="14"/>
        <v>0</v>
      </c>
      <c r="DB16" s="73">
        <f t="shared" si="15"/>
        <v>0</v>
      </c>
      <c r="DC16" s="73">
        <f t="shared" si="16"/>
        <v>0</v>
      </c>
      <c r="DD16" s="73">
        <f t="shared" si="17"/>
        <v>0</v>
      </c>
      <c r="DE16" s="70">
        <f t="shared" si="18"/>
        <v>103.00015999999999</v>
      </c>
      <c r="DF16" s="70">
        <f t="shared" si="1"/>
        <v>27</v>
      </c>
      <c r="DG16" s="70">
        <v>0</v>
      </c>
      <c r="DH16" s="93" t="str">
        <f t="shared" si="19"/>
        <v/>
      </c>
      <c r="DI16" s="101">
        <f t="shared" si="20"/>
        <v>1</v>
      </c>
    </row>
    <row r="17" spans="1:113" x14ac:dyDescent="0.15">
      <c r="B17" s="70" t="s">
        <v>464</v>
      </c>
      <c r="C17" s="70" t="s">
        <v>465</v>
      </c>
      <c r="O17" s="70" t="s">
        <v>466</v>
      </c>
      <c r="CE17" s="70">
        <f>BatSplit(D17:CD17,MatchesPlayed)</f>
        <v>1</v>
      </c>
      <c r="CF17" s="70">
        <f>CE17-CG17</f>
        <v>0</v>
      </c>
      <c r="CG17" s="70">
        <f>BatSplit(D17:CD17,InnsBattedIn)</f>
        <v>1</v>
      </c>
      <c r="CH17" s="70">
        <f>BatSplit(D17:CD17,NotOuts)</f>
        <v>1</v>
      </c>
      <c r="CI17" s="70">
        <f>BatSplit(D17:CD17,HighestScore)</f>
        <v>-28</v>
      </c>
      <c r="CJ17" s="74" t="str">
        <f t="shared" si="0"/>
        <v>28*</v>
      </c>
      <c r="CK17" s="70">
        <f>BatSplit(D17:CD17,RunsScored)</f>
        <v>28</v>
      </c>
      <c r="CL17" s="72">
        <f>IF(CG17=CH17,0,CK17/(CG17-CH17))</f>
        <v>0</v>
      </c>
      <c r="CM17" s="70">
        <f>BatSplit(D17:CD17,BatPts)</f>
        <v>28</v>
      </c>
      <c r="CN17" s="70">
        <f>BatSplit(D17:CD17,FldPts)</f>
        <v>0</v>
      </c>
      <c r="CO17" s="73">
        <f t="array" ref="CO17">SUM(IF(ISERR(FIND("*",D17:CD17)),0,1))</f>
        <v>0</v>
      </c>
      <c r="CP17" s="73">
        <f t="array" ref="CP17">SUM(IF(ISERR(FIND("+",D17:CD17)),0,1))</f>
        <v>0</v>
      </c>
      <c r="CQ17" s="70">
        <f>BatSplit(D17:CD17,Ducks)</f>
        <v>0</v>
      </c>
      <c r="CR17" s="73">
        <f t="array" ref="CR17">SUM(IF(ISERR(FIND(CR$4,$D17:$CD17)),0,1))</f>
        <v>0</v>
      </c>
      <c r="CS17" s="73">
        <f t="array" ref="CS17">SUM(IF(ISERR(FIND(CS$4,$D17:$CD17)),0,1))</f>
        <v>0</v>
      </c>
      <c r="CT17" s="73">
        <f t="array" ref="CT17">SUM(IF(ISERR(FIND(CT$4,$D17:$CD17)),0,1))</f>
        <v>0</v>
      </c>
      <c r="CU17" s="73">
        <f t="array" ref="CU17">SUM(IF(ISERR(FIND(CU$4,$D17:$CD17)),0,1))</f>
        <v>0</v>
      </c>
      <c r="CV17" s="73">
        <f t="array" ref="CV17">SUM(IF(ISERR(FIND(CV$4,$D17:$CD17)),0,1))</f>
        <v>0</v>
      </c>
      <c r="CW17" s="73">
        <f t="array" ref="CW17">SUM(IF(ISERR(FIND(CW$4,$D17:$CD17)),0,1))</f>
        <v>0</v>
      </c>
      <c r="CX17" s="73"/>
      <c r="CY17" s="73">
        <f>BatSplit(D17:CD17,Catches)</f>
        <v>0</v>
      </c>
      <c r="CZ17" s="73">
        <f>BatSplit(D17:CD17,Fours)</f>
        <v>5</v>
      </c>
      <c r="DA17" s="73">
        <f>BatSplit(D17:CD17,Sixes)</f>
        <v>0</v>
      </c>
      <c r="DB17" s="73">
        <f>BatSplit(D17:CD17,Stumpings)</f>
        <v>0</v>
      </c>
      <c r="DC17" s="73">
        <f>BatSplit(D17:CD17,CaughtWkt)</f>
        <v>0</v>
      </c>
      <c r="DD17" s="73">
        <f>BatSplit(D17:CD17,TwentyFives)</f>
        <v>1</v>
      </c>
      <c r="DE17" s="70">
        <f>ROUND(IF(ISERROR(CL17),0,CL17),2)*100000+CG17*100+CE17+CK17/100+ROW()/100000</f>
        <v>101.28017</v>
      </c>
      <c r="DF17" s="70">
        <f t="shared" si="1"/>
        <v>29</v>
      </c>
      <c r="DG17" s="70">
        <v>0</v>
      </c>
      <c r="DH17" s="93" t="str">
        <f>IF(CK17&gt;=50,(CZ17*4+DA17*6+DG17*5)/CK17,"")</f>
        <v/>
      </c>
      <c r="DI17" s="101" t="e">
        <f>CQ17/(CG17-CH17)</f>
        <v>#DIV/0!</v>
      </c>
    </row>
    <row r="18" spans="1:113" x14ac:dyDescent="0.15">
      <c r="B18" s="70" t="s">
        <v>343</v>
      </c>
      <c r="C18" s="70" t="s">
        <v>344</v>
      </c>
      <c r="H18" s="70" t="s">
        <v>345</v>
      </c>
      <c r="CE18" s="70">
        <f>BatSplit(D18:CD18,MatchesPlayed)</f>
        <v>1</v>
      </c>
      <c r="CF18" s="70">
        <f>CE18-CG18</f>
        <v>0</v>
      </c>
      <c r="CG18" s="70">
        <f>BatSplit(D18:CD18,InnsBattedIn)</f>
        <v>1</v>
      </c>
      <c r="CH18" s="70">
        <f>BatSplit(D18:CD18,NotOuts)</f>
        <v>0</v>
      </c>
      <c r="CI18" s="70">
        <f>BatSplit(D18:CD18,HighestScore)</f>
        <v>4</v>
      </c>
      <c r="CJ18" s="74">
        <f t="shared" si="0"/>
        <v>4</v>
      </c>
      <c r="CK18" s="70">
        <f>BatSplit(D18:CD18,RunsScored)</f>
        <v>4</v>
      </c>
      <c r="CL18" s="72">
        <f>IF(CG18=CH18,0,CK18/(CG18-CH18))</f>
        <v>4</v>
      </c>
      <c r="CM18" s="70">
        <f>BatSplit(D18:CD18,BatPts)</f>
        <v>4</v>
      </c>
      <c r="CN18" s="70">
        <f>BatSplit(D18:CD18,FldPts)</f>
        <v>5</v>
      </c>
      <c r="CO18" s="73">
        <f t="array" ref="CO18">SUM(IF(ISERR(FIND("*",D18:CD18)),0,1))</f>
        <v>0</v>
      </c>
      <c r="CP18" s="73">
        <f t="array" ref="CP18">SUM(IF(ISERR(FIND("+",D18:CD18)),0,1))</f>
        <v>0</v>
      </c>
      <c r="CQ18" s="70">
        <f>BatSplit(D18:CD18,Ducks)</f>
        <v>0</v>
      </c>
      <c r="CR18" s="73">
        <f t="array" ref="CR18">SUM(IF(ISERR(FIND(CR$4,$D18:$CD18)),0,1))</f>
        <v>1</v>
      </c>
      <c r="CS18" s="73">
        <f t="array" ref="CS18">SUM(IF(ISERR(FIND(CS$4,$D18:$CD18)),0,1))</f>
        <v>0</v>
      </c>
      <c r="CT18" s="73">
        <f t="array" ref="CT18">SUM(IF(ISERR(FIND(CT$4,$D18:$CD18)),0,1))</f>
        <v>0</v>
      </c>
      <c r="CU18" s="73">
        <f t="array" ref="CU18">SUM(IF(ISERR(FIND(CU$4,$D18:$CD18)),0,1))</f>
        <v>0</v>
      </c>
      <c r="CV18" s="73">
        <f t="array" ref="CV18">SUM(IF(ISERR(FIND(CV$4,$D18:$CD18)),0,1))</f>
        <v>0</v>
      </c>
      <c r="CW18" s="73">
        <f t="array" ref="CW18">SUM(IF(ISERR(FIND(CW$4,$D18:$CD18)),0,1))</f>
        <v>0</v>
      </c>
      <c r="CX18" s="73"/>
      <c r="CY18" s="73">
        <f>BatSplit(D18:CD18,Catches)</f>
        <v>1</v>
      </c>
      <c r="CZ18" s="73">
        <f>BatSplit(D18:CD18,Fours)</f>
        <v>0</v>
      </c>
      <c r="DA18" s="73">
        <f>BatSplit(D18:CD18,Sixes)</f>
        <v>0</v>
      </c>
      <c r="DB18" s="73">
        <f>BatSplit(D18:CD18,Stumpings)</f>
        <v>0</v>
      </c>
      <c r="DC18" s="73">
        <f>BatSplit(D18:CD18,CaughtWkt)</f>
        <v>0</v>
      </c>
      <c r="DD18" s="73">
        <f>BatSplit(D18:CD18,TwentyFives)</f>
        <v>0</v>
      </c>
      <c r="DE18" s="70">
        <f>ROUND(IF(ISERROR(CL18),0,CL18),2)*100000+CG18*100+CE18+CK18/100+ROW()/100000</f>
        <v>400101.04017999995</v>
      </c>
      <c r="DF18" s="70">
        <f t="shared" si="1"/>
        <v>22</v>
      </c>
      <c r="DG18" s="70">
        <v>0</v>
      </c>
      <c r="DH18" s="93" t="str">
        <f>IF(CK18&gt;=50,(CZ18*4+DA18*6+DG18*5)/CK18,"")</f>
        <v/>
      </c>
      <c r="DI18" s="101">
        <f>CQ18/(CG18-CH18)</f>
        <v>0</v>
      </c>
    </row>
    <row r="19" spans="1:113" x14ac:dyDescent="0.15">
      <c r="B19" s="70" t="s">
        <v>218</v>
      </c>
      <c r="C19" s="70" t="s">
        <v>219</v>
      </c>
      <c r="D19" s="70" t="s">
        <v>261</v>
      </c>
      <c r="E19" s="70" t="s">
        <v>577</v>
      </c>
      <c r="F19" s="70" t="s">
        <v>314</v>
      </c>
      <c r="G19" s="70" t="s">
        <v>331</v>
      </c>
      <c r="H19" s="70" t="s">
        <v>349</v>
      </c>
      <c r="I19" s="70" t="s">
        <v>373</v>
      </c>
      <c r="J19" s="70" t="s">
        <v>387</v>
      </c>
      <c r="K19" s="70" t="s">
        <v>402</v>
      </c>
      <c r="M19" s="70" t="s">
        <v>582</v>
      </c>
      <c r="O19" s="70" t="s">
        <v>460</v>
      </c>
      <c r="R19" s="70" t="s">
        <v>515</v>
      </c>
      <c r="S19" s="70" t="s">
        <v>531</v>
      </c>
      <c r="CE19" s="70">
        <f t="shared" ref="CE19:CE27" si="21">BatSplit(D19:CD19,MatchesPlayed)</f>
        <v>12</v>
      </c>
      <c r="CF19" s="70">
        <f t="shared" ref="CF19:CF27" si="22">CE19-CG19</f>
        <v>2</v>
      </c>
      <c r="CG19" s="70">
        <f t="shared" ref="CG19:CG27" si="23">BatSplit(D19:CD19,InnsBattedIn)</f>
        <v>10</v>
      </c>
      <c r="CH19" s="70">
        <f t="shared" ref="CH19:CH27" si="24">BatSplit(D19:CD19,NotOuts)</f>
        <v>1</v>
      </c>
      <c r="CI19" s="70">
        <f t="shared" ref="CI19:CI27" si="25">BatSplit(D19:CD19,HighestScore)</f>
        <v>38</v>
      </c>
      <c r="CJ19" s="74">
        <f t="shared" ref="CJ19:CJ27" si="26">IF(CI19&lt;0,-CI19&amp;"*",CI19)</f>
        <v>38</v>
      </c>
      <c r="CK19" s="70">
        <f t="shared" ref="CK19:CK27" si="27">BatSplit(D19:CD19,RunsScored)</f>
        <v>173</v>
      </c>
      <c r="CL19" s="72">
        <f t="shared" ref="CL19:CL27" si="28">IF(CG19=CH19,0,CK19/(CG19-CH19))</f>
        <v>19.222222222222221</v>
      </c>
      <c r="CM19" s="70">
        <f t="shared" ref="CM19:CM27" si="29">BatSplit(D19:CD19,BatPts)</f>
        <v>163</v>
      </c>
      <c r="CN19" s="70">
        <f t="shared" ref="CN19:CN27" si="30">BatSplit(D19:CD19,FldPts)</f>
        <v>25</v>
      </c>
      <c r="CO19" s="73">
        <f t="array" ref="CO19">SUM(IF(ISERR(FIND("*",D19:CD19)),0,1))</f>
        <v>0</v>
      </c>
      <c r="CP19" s="73">
        <f t="array" ref="CP19">SUM(IF(ISERR(FIND("+",D19:CD19)),0,1))</f>
        <v>4</v>
      </c>
      <c r="CQ19" s="70">
        <f t="shared" ref="CQ19:CQ27" si="31">BatSplit(D19:CD19,Ducks)</f>
        <v>2</v>
      </c>
      <c r="CR19" s="73">
        <f t="array" ref="CR19">SUM(IF(ISERR(FIND(CR$4,$D19:$CD19)),0,1))</f>
        <v>6</v>
      </c>
      <c r="CS19" s="73">
        <f t="array" ref="CS19">SUM(IF(ISERR(FIND(CS$4,$D19:$CD19)),0,1))</f>
        <v>3</v>
      </c>
      <c r="CT19" s="73">
        <f t="array" ref="CT19">SUM(IF(ISERR(FIND(CT$4,$D19:$CD19)),0,1))</f>
        <v>0</v>
      </c>
      <c r="CU19" s="73">
        <f t="array" ref="CU19">SUM(IF(ISERR(FIND(CU$4,$D19:$CD19)),0,1))</f>
        <v>0</v>
      </c>
      <c r="CV19" s="73">
        <f t="array" ref="CV19">SUM(IF(ISERR(FIND(CV$4,$D19:$CD19)),0,1))</f>
        <v>0</v>
      </c>
      <c r="CW19" s="73">
        <f t="array" ref="CW19">SUM(IF(ISERR(FIND(CW$4,$D19:$CD19)),0,1))</f>
        <v>0</v>
      </c>
      <c r="CX19" s="73"/>
      <c r="CY19" s="73">
        <f t="shared" ref="CY19:CY27" si="32">BatSplit(D19:CD19,Catches)</f>
        <v>8</v>
      </c>
      <c r="CZ19" s="73">
        <f t="shared" ref="CZ19:CZ27" si="33">BatSplit(D19:CD19,Fours)</f>
        <v>25</v>
      </c>
      <c r="DA19" s="73">
        <f t="shared" ref="DA19:DA27" si="34">BatSplit(D19:CD19,Sixes)</f>
        <v>4</v>
      </c>
      <c r="DB19" s="73">
        <f t="shared" ref="DB19:DB27" si="35">BatSplit(D19:CD19,Stumpings)</f>
        <v>2</v>
      </c>
      <c r="DC19" s="73">
        <f t="shared" ref="DC19:DC27" si="36">BatSplit(D19:CD19,CaughtWkt)</f>
        <v>3</v>
      </c>
      <c r="DD19" s="73">
        <f t="shared" ref="DD19:DD27" si="37">BatSplit(D19:CD19,TwentyFives)</f>
        <v>4</v>
      </c>
      <c r="DE19" s="70">
        <f t="shared" ref="DE19:DE27" si="38">ROUND(IF(ISERROR(CL19),0,CL19),2)*100000+CG19*100+CE19+CK19/100+ROW()/100000</f>
        <v>1923013.73019</v>
      </c>
      <c r="DF19" s="70">
        <f t="shared" si="1"/>
        <v>6</v>
      </c>
      <c r="DG19" s="70">
        <v>0</v>
      </c>
      <c r="DH19" s="93">
        <f t="shared" ref="DH19:DH27" si="39">IF(CK19&gt;=50,(CZ19*4+DA19*6+DG19*5)/CK19,"")</f>
        <v>0.7167630057803468</v>
      </c>
      <c r="DI19" s="101">
        <f t="shared" ref="DI19:DI27" si="40">CQ19/(CG19-CH19)</f>
        <v>0.22222222222222221</v>
      </c>
    </row>
    <row r="20" spans="1:113" x14ac:dyDescent="0.15">
      <c r="B20" s="70" t="s">
        <v>517</v>
      </c>
      <c r="C20" s="134" t="s">
        <v>516</v>
      </c>
      <c r="P20"/>
      <c r="R20" s="70" t="s">
        <v>518</v>
      </c>
      <c r="CE20" s="70">
        <f>BatSplit(D20:CD20,MatchesPlayed)</f>
        <v>1</v>
      </c>
      <c r="CF20" s="70">
        <f>CE20-CG20</f>
        <v>0</v>
      </c>
      <c r="CG20" s="70">
        <f>BatSplit(D20:CD20,InnsBattedIn)</f>
        <v>1</v>
      </c>
      <c r="CH20" s="70">
        <f>BatSplit(D20:CD20,NotOuts)</f>
        <v>0</v>
      </c>
      <c r="CI20" s="70">
        <f>BatSplit(D20:CD20,HighestScore)</f>
        <v>4</v>
      </c>
      <c r="CJ20" s="74">
        <f t="shared" si="0"/>
        <v>4</v>
      </c>
      <c r="CK20" s="70">
        <f>BatSplit(D20:CD20,RunsScored)</f>
        <v>4</v>
      </c>
      <c r="CL20" s="72">
        <f>IF(CG20=CH20,0,CK20/(CG20-CH20))</f>
        <v>4</v>
      </c>
      <c r="CM20" s="70">
        <f>BatSplit(D20:CD20,BatPts)</f>
        <v>4</v>
      </c>
      <c r="CN20" s="70">
        <f>BatSplit(D20:CD20,FldPts)</f>
        <v>0</v>
      </c>
      <c r="CO20" s="73">
        <f t="array" ref="CO20">SUM(IF(ISERR(FIND("*",D20:CD20)),0,1))</f>
        <v>0</v>
      </c>
      <c r="CP20" s="73">
        <f t="array" ref="CP20">SUM(IF(ISERR(FIND("+",D20:CD20)),0,1))</f>
        <v>0</v>
      </c>
      <c r="CQ20" s="70">
        <f>BatSplit(D20:CD20,Ducks)</f>
        <v>0</v>
      </c>
      <c r="CR20" s="73">
        <f t="array" ref="CR20">SUM(IF(ISERR(FIND(CR$4,$D20:$CD20)),0,1))</f>
        <v>0</v>
      </c>
      <c r="CS20" s="73">
        <f t="array" ref="CS20">SUM(IF(ISERR(FIND(CS$4,$D20:$CD20)),0,1))</f>
        <v>1</v>
      </c>
      <c r="CT20" s="73">
        <f t="array" ref="CT20">SUM(IF(ISERR(FIND(CT$4,$D20:$CD20)),0,1))</f>
        <v>0</v>
      </c>
      <c r="CU20" s="73">
        <f t="array" ref="CU20">SUM(IF(ISERR(FIND(CU$4,$D20:$CD20)),0,1))</f>
        <v>0</v>
      </c>
      <c r="CV20" s="73">
        <f t="array" ref="CV20">SUM(IF(ISERR(FIND(CV$4,$D20:$CD20)),0,1))</f>
        <v>0</v>
      </c>
      <c r="CW20" s="73">
        <f t="array" ref="CW20">SUM(IF(ISERR(FIND(CW$4,$D20:$CD20)),0,1))</f>
        <v>0</v>
      </c>
      <c r="CX20" s="73"/>
      <c r="CY20" s="73">
        <f>BatSplit(D20:CD20,Catches)</f>
        <v>0</v>
      </c>
      <c r="CZ20" s="73">
        <f>BatSplit(D20:CD20,Fours)</f>
        <v>0</v>
      </c>
      <c r="DA20" s="73">
        <f>BatSplit(D20:CD20,Sixes)</f>
        <v>0</v>
      </c>
      <c r="DB20" s="73">
        <f>BatSplit(D20:CD20,Stumpings)</f>
        <v>0</v>
      </c>
      <c r="DC20" s="73">
        <f>BatSplit(D20:CD20,CaughtWkt)</f>
        <v>0</v>
      </c>
      <c r="DD20" s="73">
        <f>BatSplit(D20:CD20,TwentyFives)</f>
        <v>0</v>
      </c>
      <c r="DE20" s="70">
        <f>ROUND(IF(ISERROR(CL20),0,CL20),2)*100000+CG20*100+CE20+CK20/100+ROW()/100000</f>
        <v>400101.04019999999</v>
      </c>
      <c r="DF20" s="70">
        <f t="shared" si="1"/>
        <v>21</v>
      </c>
      <c r="DG20" s="70">
        <v>0</v>
      </c>
      <c r="DH20" s="93" t="str">
        <f>IF(CK20&gt;=50,(CZ20*4+DA20*6+DG20*5)/CK20,"")</f>
        <v/>
      </c>
      <c r="DI20" s="101">
        <f>CQ20/(CG20-CH20)</f>
        <v>0</v>
      </c>
    </row>
    <row r="21" spans="1:113" x14ac:dyDescent="0.15">
      <c r="B21" s="70" t="s">
        <v>30</v>
      </c>
      <c r="C21" s="70" t="s">
        <v>245</v>
      </c>
      <c r="D21" s="70" t="s">
        <v>263</v>
      </c>
      <c r="K21" s="70" t="s">
        <v>405</v>
      </c>
      <c r="L21" s="70" t="s">
        <v>427</v>
      </c>
      <c r="M21" t="s">
        <v>583</v>
      </c>
      <c r="N21" t="s">
        <v>580</v>
      </c>
      <c r="O21" s="70" t="s">
        <v>313</v>
      </c>
      <c r="P21" s="70" t="s">
        <v>371</v>
      </c>
      <c r="Q21" s="70" t="s">
        <v>498</v>
      </c>
      <c r="R21" s="70" t="s">
        <v>312</v>
      </c>
      <c r="S21" s="70" t="s">
        <v>536</v>
      </c>
      <c r="U21" s="134"/>
      <c r="V21" s="134"/>
      <c r="CE21" s="70">
        <f t="shared" si="21"/>
        <v>10</v>
      </c>
      <c r="CF21" s="70">
        <f t="shared" si="22"/>
        <v>3</v>
      </c>
      <c r="CG21" s="70">
        <f t="shared" si="23"/>
        <v>7</v>
      </c>
      <c r="CH21" s="70">
        <f t="shared" si="24"/>
        <v>1</v>
      </c>
      <c r="CI21" s="70">
        <f t="shared" si="25"/>
        <v>-18</v>
      </c>
      <c r="CJ21" s="74" t="str">
        <f t="shared" si="26"/>
        <v>18*</v>
      </c>
      <c r="CK21" s="70">
        <f t="shared" si="27"/>
        <v>43</v>
      </c>
      <c r="CL21" s="72">
        <f t="shared" si="28"/>
        <v>7.166666666666667</v>
      </c>
      <c r="CM21" s="70">
        <f t="shared" si="29"/>
        <v>33</v>
      </c>
      <c r="CN21" s="70">
        <f t="shared" si="30"/>
        <v>5</v>
      </c>
      <c r="CO21" s="73">
        <f t="array" ref="CO21">SUM(IF(ISERR(FIND("*",D21:CD21)),0,1))</f>
        <v>0</v>
      </c>
      <c r="CP21" s="73">
        <f t="array" ref="CP21">SUM(IF(ISERR(FIND("+",D21:CD21)),0,1))</f>
        <v>2</v>
      </c>
      <c r="CQ21" s="70">
        <f t="shared" si="31"/>
        <v>2</v>
      </c>
      <c r="CR21" s="73">
        <f t="array" ref="CR21">SUM(IF(ISERR(FIND(CR$4,$D21:$CD21)),0,1))</f>
        <v>2</v>
      </c>
      <c r="CS21" s="73">
        <f t="array" ref="CS21">SUM(IF(ISERR(FIND(CS$4,$D21:$CD21)),0,1))</f>
        <v>2</v>
      </c>
      <c r="CT21" s="73">
        <f t="array" ref="CT21">SUM(IF(ISERR(FIND(CT$4,$D21:$CD21)),0,1))</f>
        <v>0</v>
      </c>
      <c r="CU21" s="73">
        <f t="array" ref="CU21">SUM(IF(ISERR(FIND(CU$4,$D21:$CD21)),0,1))</f>
        <v>1</v>
      </c>
      <c r="CV21" s="73">
        <f t="array" ref="CV21">SUM(IF(ISERR(FIND(CV$4,$D21:$CD21)),0,1))</f>
        <v>1</v>
      </c>
      <c r="CW21" s="73">
        <f t="array" ref="CW21">SUM(IF(ISERR(FIND(CW$4,$D21:$CD21)),0,1))</f>
        <v>0</v>
      </c>
      <c r="CX21" s="73"/>
      <c r="CY21" s="73">
        <f t="shared" si="32"/>
        <v>2</v>
      </c>
      <c r="CZ21" s="73">
        <f t="shared" si="33"/>
        <v>6</v>
      </c>
      <c r="DA21" s="73">
        <f t="shared" si="34"/>
        <v>0</v>
      </c>
      <c r="DB21" s="73">
        <f t="shared" si="35"/>
        <v>0</v>
      </c>
      <c r="DC21" s="73">
        <f t="shared" si="36"/>
        <v>1</v>
      </c>
      <c r="DD21" s="73">
        <f t="shared" si="37"/>
        <v>0</v>
      </c>
      <c r="DE21" s="70">
        <f t="shared" si="38"/>
        <v>717710.43021000002</v>
      </c>
      <c r="DF21" s="70">
        <f t="shared" si="1"/>
        <v>17</v>
      </c>
      <c r="DG21" s="70">
        <v>0</v>
      </c>
      <c r="DH21" s="93" t="str">
        <f t="shared" si="39"/>
        <v/>
      </c>
      <c r="DI21" s="101">
        <f t="shared" si="40"/>
        <v>0.33333333333333331</v>
      </c>
    </row>
    <row r="22" spans="1:113" x14ac:dyDescent="0.15">
      <c r="B22" s="70" t="s">
        <v>235</v>
      </c>
      <c r="C22" s="70" t="s">
        <v>234</v>
      </c>
      <c r="F22" s="70" t="s">
        <v>312</v>
      </c>
      <c r="I22" s="70" t="s">
        <v>370</v>
      </c>
      <c r="K22" s="70" t="s">
        <v>406</v>
      </c>
      <c r="M22" t="s">
        <v>584</v>
      </c>
      <c r="P22" s="70" t="s">
        <v>486</v>
      </c>
      <c r="Q22" s="70" t="s">
        <v>351</v>
      </c>
      <c r="R22"/>
      <c r="V22"/>
      <c r="CE22" s="70">
        <f t="shared" si="21"/>
        <v>6</v>
      </c>
      <c r="CF22" s="70">
        <f t="shared" si="22"/>
        <v>2</v>
      </c>
      <c r="CG22" s="70">
        <f t="shared" si="23"/>
        <v>4</v>
      </c>
      <c r="CH22" s="70">
        <f t="shared" si="24"/>
        <v>0</v>
      </c>
      <c r="CI22" s="70">
        <f t="shared" si="25"/>
        <v>2</v>
      </c>
      <c r="CJ22" s="74">
        <f t="shared" si="26"/>
        <v>2</v>
      </c>
      <c r="CK22" s="70">
        <f t="shared" si="27"/>
        <v>5</v>
      </c>
      <c r="CL22" s="72">
        <f t="shared" si="28"/>
        <v>1.25</v>
      </c>
      <c r="CM22" s="70">
        <f t="shared" si="29"/>
        <v>5</v>
      </c>
      <c r="CN22" s="70">
        <f t="shared" si="30"/>
        <v>5</v>
      </c>
      <c r="CO22" s="73">
        <f t="array" ref="CO22">SUM(IF(ISERR(FIND("*",D22:CD22)),0,1))</f>
        <v>0</v>
      </c>
      <c r="CP22" s="73">
        <f t="array" ref="CP22">SUM(IF(ISERR(FIND("+",D22:CD22)),0,1))</f>
        <v>0</v>
      </c>
      <c r="CQ22" s="70">
        <f t="shared" si="31"/>
        <v>0</v>
      </c>
      <c r="CR22" s="73">
        <f t="array" ref="CR22">SUM(IF(ISERR(FIND(CR$4,$D22:$CD22)),0,1))</f>
        <v>1</v>
      </c>
      <c r="CS22" s="73">
        <f t="array" ref="CS22">SUM(IF(ISERR(FIND(CS$4,$D22:$CD22)),0,1))</f>
        <v>2</v>
      </c>
      <c r="CT22" s="73">
        <f t="array" ref="CT22">SUM(IF(ISERR(FIND(CT$4,$D22:$CD22)),0,1))</f>
        <v>1</v>
      </c>
      <c r="CU22" s="73">
        <f t="array" ref="CU22">SUM(IF(ISERR(FIND(CU$4,$D22:$CD22)),0,1))</f>
        <v>0</v>
      </c>
      <c r="CV22" s="73">
        <f t="array" ref="CV22">SUM(IF(ISERR(FIND(CV$4,$D22:$CD22)),0,1))</f>
        <v>0</v>
      </c>
      <c r="CW22" s="73">
        <f t="array" ref="CW22">SUM(IF(ISERR(FIND(CW$4,$D22:$CD22)),0,1))</f>
        <v>0</v>
      </c>
      <c r="CX22" s="73"/>
      <c r="CY22" s="73">
        <f t="shared" si="32"/>
        <v>1</v>
      </c>
      <c r="CZ22" s="73">
        <f t="shared" si="33"/>
        <v>0</v>
      </c>
      <c r="DA22" s="73">
        <f t="shared" si="34"/>
        <v>0</v>
      </c>
      <c r="DB22" s="73">
        <f t="shared" si="35"/>
        <v>0</v>
      </c>
      <c r="DC22" s="73">
        <f t="shared" si="36"/>
        <v>0</v>
      </c>
      <c r="DD22" s="73">
        <f t="shared" si="37"/>
        <v>0</v>
      </c>
      <c r="DE22" s="70">
        <f t="shared" si="38"/>
        <v>125406.05022</v>
      </c>
      <c r="DF22" s="70">
        <f t="shared" si="1"/>
        <v>26</v>
      </c>
      <c r="DG22" s="70">
        <v>0</v>
      </c>
      <c r="DH22" s="93" t="str">
        <f t="shared" si="39"/>
        <v/>
      </c>
      <c r="DI22" s="101">
        <f t="shared" si="40"/>
        <v>0</v>
      </c>
    </row>
    <row r="23" spans="1:113" x14ac:dyDescent="0.15">
      <c r="B23" s="70" t="s">
        <v>230</v>
      </c>
      <c r="C23" s="70" t="s">
        <v>217</v>
      </c>
      <c r="CE23" s="70">
        <f t="shared" si="21"/>
        <v>0</v>
      </c>
      <c r="CF23" s="70">
        <f t="shared" si="22"/>
        <v>0</v>
      </c>
      <c r="CG23" s="70">
        <f t="shared" si="23"/>
        <v>0</v>
      </c>
      <c r="CH23" s="70">
        <f t="shared" si="24"/>
        <v>0</v>
      </c>
      <c r="CI23" s="70">
        <f t="shared" si="25"/>
        <v>0</v>
      </c>
      <c r="CJ23" s="74">
        <f t="shared" si="26"/>
        <v>0</v>
      </c>
      <c r="CK23" s="70">
        <f t="shared" si="27"/>
        <v>0</v>
      </c>
      <c r="CL23" s="72">
        <f t="shared" si="28"/>
        <v>0</v>
      </c>
      <c r="CM23" s="70">
        <f t="shared" si="29"/>
        <v>0</v>
      </c>
      <c r="CN23" s="70">
        <f t="shared" si="30"/>
        <v>0</v>
      </c>
      <c r="CO23" s="73">
        <f t="array" ref="CO23">SUM(IF(ISERR(FIND("*",D23:CD23)),0,1))</f>
        <v>0</v>
      </c>
      <c r="CP23" s="73">
        <f t="array" ref="CP23">SUM(IF(ISERR(FIND("+",D23:CD23)),0,1))</f>
        <v>0</v>
      </c>
      <c r="CQ23" s="70">
        <f t="shared" si="31"/>
        <v>0</v>
      </c>
      <c r="CR23" s="73">
        <f t="array" ref="CR23">SUM(IF(ISERR(FIND(CR$4,$D23:$CD23)),0,1))</f>
        <v>0</v>
      </c>
      <c r="CS23" s="73">
        <f t="array" ref="CS23">SUM(IF(ISERR(FIND(CS$4,$D23:$CD23)),0,1))</f>
        <v>0</v>
      </c>
      <c r="CT23" s="73">
        <f t="array" ref="CT23">SUM(IF(ISERR(FIND(CT$4,$D23:$CD23)),0,1))</f>
        <v>0</v>
      </c>
      <c r="CU23" s="73">
        <f t="array" ref="CU23">SUM(IF(ISERR(FIND(CU$4,$D23:$CD23)),0,1))</f>
        <v>0</v>
      </c>
      <c r="CV23" s="73">
        <f t="array" ref="CV23">SUM(IF(ISERR(FIND(CV$4,$D23:$CD23)),0,1))</f>
        <v>0</v>
      </c>
      <c r="CW23" s="73">
        <f t="array" ref="CW23">SUM(IF(ISERR(FIND(CW$4,$D23:$CD23)),0,1))</f>
        <v>0</v>
      </c>
      <c r="CX23" s="73"/>
      <c r="CY23" s="73">
        <f t="shared" si="32"/>
        <v>0</v>
      </c>
      <c r="CZ23" s="73">
        <f t="shared" si="33"/>
        <v>0</v>
      </c>
      <c r="DA23" s="73">
        <f t="shared" si="34"/>
        <v>0</v>
      </c>
      <c r="DB23" s="73">
        <f t="shared" si="35"/>
        <v>0</v>
      </c>
      <c r="DC23" s="73">
        <f t="shared" si="36"/>
        <v>0</v>
      </c>
      <c r="DD23" s="73">
        <f t="shared" si="37"/>
        <v>0</v>
      </c>
      <c r="DE23" s="70">
        <f t="shared" si="38"/>
        <v>2.3000000000000001E-4</v>
      </c>
      <c r="DF23" s="70">
        <f t="shared" si="1"/>
        <v>39</v>
      </c>
      <c r="DG23" s="70">
        <v>0</v>
      </c>
      <c r="DH23" s="93" t="str">
        <f t="shared" si="39"/>
        <v/>
      </c>
      <c r="DI23" s="101" t="e">
        <f t="shared" si="40"/>
        <v>#DIV/0!</v>
      </c>
    </row>
    <row r="24" spans="1:113" x14ac:dyDescent="0.15">
      <c r="A24" s="70" t="s">
        <v>48</v>
      </c>
      <c r="B24" s="70" t="s">
        <v>25</v>
      </c>
      <c r="C24" s="70" t="s">
        <v>49</v>
      </c>
      <c r="D24" s="70" t="s">
        <v>257</v>
      </c>
      <c r="V24"/>
      <c r="CE24" s="70">
        <f t="shared" si="21"/>
        <v>1</v>
      </c>
      <c r="CF24" s="70">
        <f t="shared" si="22"/>
        <v>0</v>
      </c>
      <c r="CG24" s="70">
        <f t="shared" si="23"/>
        <v>1</v>
      </c>
      <c r="CH24" s="70">
        <f t="shared" si="24"/>
        <v>0</v>
      </c>
      <c r="CI24" s="70">
        <f t="shared" si="25"/>
        <v>51</v>
      </c>
      <c r="CJ24" s="74">
        <f t="shared" si="26"/>
        <v>51</v>
      </c>
      <c r="CK24" s="70">
        <f t="shared" si="27"/>
        <v>51</v>
      </c>
      <c r="CL24" s="72">
        <f t="shared" si="28"/>
        <v>51</v>
      </c>
      <c r="CM24" s="70">
        <f t="shared" si="29"/>
        <v>61</v>
      </c>
      <c r="CN24" s="70">
        <f t="shared" si="30"/>
        <v>0</v>
      </c>
      <c r="CO24" s="73">
        <f t="array" ref="CO24">SUM(IF(ISERR(FIND("*",D24:CD24)),0,1))</f>
        <v>0</v>
      </c>
      <c r="CP24" s="73">
        <f t="array" ref="CP24">SUM(IF(ISERR(FIND("+",D24:CD24)),0,1))</f>
        <v>0</v>
      </c>
      <c r="CQ24" s="70">
        <f t="shared" si="31"/>
        <v>0</v>
      </c>
      <c r="CR24" s="73">
        <f t="array" ref="CR24">SUM(IF(ISERR(FIND(CR$4,$D24:$CD24)),0,1))</f>
        <v>0</v>
      </c>
      <c r="CS24" s="73">
        <f t="array" ref="CS24">SUM(IF(ISERR(FIND(CS$4,$D24:$CD24)),0,1))</f>
        <v>1</v>
      </c>
      <c r="CT24" s="73">
        <f t="array" ref="CT24">SUM(IF(ISERR(FIND(CT$4,$D24:$CD24)),0,1))</f>
        <v>0</v>
      </c>
      <c r="CU24" s="73">
        <f t="array" ref="CU24">SUM(IF(ISERR(FIND(CU$4,$D24:$CD24)),0,1))</f>
        <v>0</v>
      </c>
      <c r="CV24" s="73">
        <f t="array" ref="CV24">SUM(IF(ISERR(FIND(CV$4,$D24:$CD24)),0,1))</f>
        <v>0</v>
      </c>
      <c r="CW24" s="73">
        <f t="array" ref="CW24">SUM(IF(ISERR(FIND(CW$4,$D24:$CD24)),0,1))</f>
        <v>0</v>
      </c>
      <c r="CX24" s="73"/>
      <c r="CY24" s="73">
        <f t="shared" si="32"/>
        <v>0</v>
      </c>
      <c r="CZ24" s="73">
        <f t="shared" si="33"/>
        <v>6</v>
      </c>
      <c r="DA24" s="73">
        <f t="shared" si="34"/>
        <v>3</v>
      </c>
      <c r="DB24" s="73">
        <f t="shared" si="35"/>
        <v>0</v>
      </c>
      <c r="DC24" s="73">
        <f t="shared" si="36"/>
        <v>0</v>
      </c>
      <c r="DD24" s="73">
        <f t="shared" si="37"/>
        <v>1</v>
      </c>
      <c r="DE24" s="70">
        <f t="shared" si="38"/>
        <v>5100101.5102399997</v>
      </c>
      <c r="DF24" s="70">
        <f t="shared" si="1"/>
        <v>1</v>
      </c>
      <c r="DG24" s="70">
        <v>0</v>
      </c>
      <c r="DH24" s="93">
        <f t="shared" si="39"/>
        <v>0.82352941176470584</v>
      </c>
      <c r="DI24" s="101">
        <f t="shared" si="40"/>
        <v>0</v>
      </c>
    </row>
    <row r="25" spans="1:113" x14ac:dyDescent="0.15">
      <c r="A25" s="70" t="s">
        <v>201</v>
      </c>
      <c r="B25" s="70" t="s">
        <v>195</v>
      </c>
      <c r="C25" s="70" t="s">
        <v>196</v>
      </c>
      <c r="D25" s="70" t="s">
        <v>264</v>
      </c>
      <c r="E25" s="70" t="s">
        <v>292</v>
      </c>
      <c r="F25" s="70" t="s">
        <v>306</v>
      </c>
      <c r="G25" s="70" t="s">
        <v>332</v>
      </c>
      <c r="H25" s="70" t="s">
        <v>353</v>
      </c>
      <c r="I25" s="70" t="s">
        <v>372</v>
      </c>
      <c r="J25" s="70" t="s">
        <v>394</v>
      </c>
      <c r="K25" s="70" t="s">
        <v>408</v>
      </c>
      <c r="L25" s="70" t="s">
        <v>424</v>
      </c>
      <c r="M25" s="70" t="s">
        <v>312</v>
      </c>
      <c r="N25" s="70" t="s">
        <v>449</v>
      </c>
      <c r="O25" s="70" t="s">
        <v>468</v>
      </c>
      <c r="P25" s="70" t="s">
        <v>484</v>
      </c>
      <c r="Q25" s="70" t="s">
        <v>500</v>
      </c>
      <c r="R25" s="70" t="s">
        <v>521</v>
      </c>
      <c r="S25" s="70" t="s">
        <v>532</v>
      </c>
      <c r="T25"/>
      <c r="U25"/>
      <c r="CE25" s="70">
        <f t="shared" si="21"/>
        <v>16</v>
      </c>
      <c r="CF25" s="70">
        <f t="shared" si="22"/>
        <v>4</v>
      </c>
      <c r="CG25" s="70">
        <f t="shared" si="23"/>
        <v>12</v>
      </c>
      <c r="CH25" s="70">
        <f t="shared" si="24"/>
        <v>5</v>
      </c>
      <c r="CI25" s="70">
        <f t="shared" si="25"/>
        <v>-27</v>
      </c>
      <c r="CJ25" s="74" t="str">
        <f t="shared" si="26"/>
        <v>27*</v>
      </c>
      <c r="CK25" s="70">
        <f t="shared" si="27"/>
        <v>75</v>
      </c>
      <c r="CL25" s="72">
        <f t="shared" si="28"/>
        <v>10.714285714285714</v>
      </c>
      <c r="CM25" s="70">
        <f t="shared" si="29"/>
        <v>65</v>
      </c>
      <c r="CN25" s="70">
        <f t="shared" si="30"/>
        <v>35</v>
      </c>
      <c r="CO25" s="73">
        <f t="array" ref="CO25">SUM(IF(ISERR(FIND("*",D25:CD25)),0,1))</f>
        <v>3</v>
      </c>
      <c r="CP25" s="73">
        <f t="array" ref="CP25">SUM(IF(ISERR(FIND("+",D25:CD25)),0,1))</f>
        <v>1</v>
      </c>
      <c r="CQ25" s="70">
        <f t="shared" si="31"/>
        <v>2</v>
      </c>
      <c r="CR25" s="73">
        <f t="array" ref="CR25">SUM(IF(ISERR(FIND(CR$4,$D25:$CD25)),0,1))</f>
        <v>2</v>
      </c>
      <c r="CS25" s="73">
        <f t="array" ref="CS25">SUM(IF(ISERR(FIND(CS$4,$D25:$CD25)),0,1))</f>
        <v>3</v>
      </c>
      <c r="CT25" s="73">
        <f t="array" ref="CT25">SUM(IF(ISERR(FIND(CT$4,$D25:$CD25)),0,1))</f>
        <v>2</v>
      </c>
      <c r="CU25" s="73">
        <f t="array" ref="CU25">SUM(IF(ISERR(FIND(CU$4,$D25:$CD25)),0,1))</f>
        <v>0</v>
      </c>
      <c r="CV25" s="73">
        <f t="array" ref="CV25">SUM(IF(ISERR(FIND(CV$4,$D25:$CD25)),0,1))</f>
        <v>0</v>
      </c>
      <c r="CW25" s="73">
        <f t="array" ref="CW25">SUM(IF(ISERR(FIND(CW$4,$D25:$CD25)),0,1))</f>
        <v>0</v>
      </c>
      <c r="CX25" s="73"/>
      <c r="CY25" s="73">
        <f t="shared" si="32"/>
        <v>8</v>
      </c>
      <c r="CZ25" s="73">
        <f t="shared" si="33"/>
        <v>7</v>
      </c>
      <c r="DA25" s="73">
        <f t="shared" si="34"/>
        <v>2</v>
      </c>
      <c r="DB25" s="73">
        <f t="shared" si="35"/>
        <v>1</v>
      </c>
      <c r="DC25" s="73">
        <f t="shared" si="36"/>
        <v>1</v>
      </c>
      <c r="DD25" s="73">
        <f t="shared" si="37"/>
        <v>1</v>
      </c>
      <c r="DE25" s="70">
        <f t="shared" si="38"/>
        <v>1072216.75025</v>
      </c>
      <c r="DF25" s="70">
        <f t="shared" si="1"/>
        <v>12</v>
      </c>
      <c r="DG25" s="70">
        <v>0</v>
      </c>
      <c r="DH25" s="93">
        <f t="shared" si="39"/>
        <v>0.53333333333333333</v>
      </c>
      <c r="DI25" s="101">
        <f t="shared" si="40"/>
        <v>0.2857142857142857</v>
      </c>
    </row>
    <row r="26" spans="1:113" x14ac:dyDescent="0.15">
      <c r="A26" s="70" t="s">
        <v>142</v>
      </c>
      <c r="B26" s="70" t="s">
        <v>32</v>
      </c>
      <c r="C26" s="70" t="s">
        <v>157</v>
      </c>
      <c r="D26" s="70" t="s">
        <v>576</v>
      </c>
      <c r="Q26"/>
      <c r="CE26" s="70">
        <f t="shared" si="21"/>
        <v>1</v>
      </c>
      <c r="CF26" s="70">
        <f t="shared" si="22"/>
        <v>0</v>
      </c>
      <c r="CG26" s="70">
        <f t="shared" si="23"/>
        <v>1</v>
      </c>
      <c r="CH26" s="70">
        <f t="shared" si="24"/>
        <v>0</v>
      </c>
      <c r="CI26" s="70">
        <f t="shared" si="25"/>
        <v>20</v>
      </c>
      <c r="CJ26" s="74">
        <f t="shared" si="26"/>
        <v>20</v>
      </c>
      <c r="CK26" s="70">
        <f t="shared" si="27"/>
        <v>20</v>
      </c>
      <c r="CL26" s="72">
        <f t="shared" si="28"/>
        <v>20</v>
      </c>
      <c r="CM26" s="70">
        <f t="shared" si="29"/>
        <v>20</v>
      </c>
      <c r="CN26" s="70">
        <f t="shared" si="30"/>
        <v>0</v>
      </c>
      <c r="CO26" s="73">
        <f t="array" ref="CO26">SUM(IF(ISERR(FIND("*",D26:CD26)),0,1))</f>
        <v>0</v>
      </c>
      <c r="CP26" s="73">
        <f t="array" ref="CP26">SUM(IF(ISERR(FIND("+",D26:CD26)),0,1))</f>
        <v>1</v>
      </c>
      <c r="CQ26" s="70">
        <f t="shared" si="31"/>
        <v>0</v>
      </c>
      <c r="CR26" s="73">
        <f t="array" ref="CR26">SUM(IF(ISERR(FIND(CR$4,$D26:$CD26)),0,1))</f>
        <v>0</v>
      </c>
      <c r="CS26" s="73">
        <f t="array" ref="CS26">SUM(IF(ISERR(FIND(CS$4,$D26:$CD26)),0,1))</f>
        <v>1</v>
      </c>
      <c r="CT26" s="73">
        <f t="array" ref="CT26">SUM(IF(ISERR(FIND(CT$4,$D26:$CD26)),0,1))</f>
        <v>0</v>
      </c>
      <c r="CU26" s="73">
        <f t="array" ref="CU26">SUM(IF(ISERR(FIND(CU$4,$D26:$CD26)),0,1))</f>
        <v>0</v>
      </c>
      <c r="CV26" s="73">
        <f t="array" ref="CV26">SUM(IF(ISERR(FIND(CV$4,$D26:$CD26)),0,1))</f>
        <v>0</v>
      </c>
      <c r="CW26" s="73">
        <f t="array" ref="CW26">SUM(IF(ISERR(FIND(CW$4,$D26:$CD26)),0,1))</f>
        <v>0</v>
      </c>
      <c r="CX26" s="73"/>
      <c r="CY26" s="73">
        <f t="shared" si="32"/>
        <v>0</v>
      </c>
      <c r="CZ26" s="73">
        <f t="shared" si="33"/>
        <v>2</v>
      </c>
      <c r="DA26" s="73">
        <f t="shared" si="34"/>
        <v>1</v>
      </c>
      <c r="DB26" s="73">
        <f t="shared" si="35"/>
        <v>0</v>
      </c>
      <c r="DC26" s="73">
        <f t="shared" si="36"/>
        <v>0</v>
      </c>
      <c r="DD26" s="73">
        <f t="shared" si="37"/>
        <v>0</v>
      </c>
      <c r="DE26" s="70">
        <f t="shared" si="38"/>
        <v>2000101.2002599998</v>
      </c>
      <c r="DF26" s="70">
        <f t="shared" si="1"/>
        <v>5</v>
      </c>
      <c r="DG26" s="70">
        <v>0</v>
      </c>
      <c r="DH26" s="93" t="str">
        <f t="shared" si="39"/>
        <v/>
      </c>
      <c r="DI26" s="101">
        <f t="shared" si="40"/>
        <v>0</v>
      </c>
    </row>
    <row r="27" spans="1:113" x14ac:dyDescent="0.15">
      <c r="A27" s="70" t="s">
        <v>50</v>
      </c>
      <c r="B27" s="70" t="s">
        <v>30</v>
      </c>
      <c r="C27" s="70" t="s">
        <v>51</v>
      </c>
      <c r="G27" s="70" t="s">
        <v>313</v>
      </c>
      <c r="H27" s="70" t="s">
        <v>314</v>
      </c>
      <c r="R27" s="81"/>
      <c r="CE27" s="70">
        <f t="shared" si="21"/>
        <v>2</v>
      </c>
      <c r="CF27" s="70">
        <f t="shared" si="22"/>
        <v>2</v>
      </c>
      <c r="CG27" s="70">
        <f t="shared" si="23"/>
        <v>0</v>
      </c>
      <c r="CH27" s="70">
        <f t="shared" si="24"/>
        <v>0</v>
      </c>
      <c r="CI27" s="70">
        <f t="shared" si="25"/>
        <v>0</v>
      </c>
      <c r="CJ27" s="74">
        <f t="shared" si="26"/>
        <v>0</v>
      </c>
      <c r="CK27" s="70">
        <f t="shared" si="27"/>
        <v>0</v>
      </c>
      <c r="CL27" s="72">
        <f t="shared" si="28"/>
        <v>0</v>
      </c>
      <c r="CM27" s="70">
        <f t="shared" si="29"/>
        <v>0</v>
      </c>
      <c r="CN27" s="70">
        <f t="shared" si="30"/>
        <v>0</v>
      </c>
      <c r="CO27" s="73">
        <f t="array" ref="CO27">SUM(IF(ISERR(FIND("*",D27:CD27)),0,1))</f>
        <v>0</v>
      </c>
      <c r="CP27" s="73">
        <f t="array" ref="CP27">SUM(IF(ISERR(FIND("+",D27:CD27)),0,1))</f>
        <v>0</v>
      </c>
      <c r="CQ27" s="70">
        <f t="shared" si="31"/>
        <v>0</v>
      </c>
      <c r="CR27" s="73">
        <f t="array" ref="CR27">SUM(IF(ISERR(FIND(CR$4,$D27:$CD27)),0,1))</f>
        <v>0</v>
      </c>
      <c r="CS27" s="73">
        <f t="array" ref="CS27">SUM(IF(ISERR(FIND(CS$4,$D27:$CD27)),0,1))</f>
        <v>0</v>
      </c>
      <c r="CT27" s="73">
        <f t="array" ref="CT27">SUM(IF(ISERR(FIND(CT$4,$D27:$CD27)),0,1))</f>
        <v>0</v>
      </c>
      <c r="CU27" s="73">
        <f t="array" ref="CU27">SUM(IF(ISERR(FIND(CU$4,$D27:$CD27)),0,1))</f>
        <v>0</v>
      </c>
      <c r="CV27" s="73">
        <f t="array" ref="CV27">SUM(IF(ISERR(FIND(CV$4,$D27:$CD27)),0,1))</f>
        <v>0</v>
      </c>
      <c r="CW27" s="73">
        <f t="array" ref="CW27">SUM(IF(ISERR(FIND(CW$4,$D27:$CD27)),0,1))</f>
        <v>0</v>
      </c>
      <c r="CX27" s="73"/>
      <c r="CY27" s="73">
        <f t="shared" si="32"/>
        <v>0</v>
      </c>
      <c r="CZ27" s="73">
        <f t="shared" si="33"/>
        <v>0</v>
      </c>
      <c r="DA27" s="73">
        <f t="shared" si="34"/>
        <v>0</v>
      </c>
      <c r="DB27" s="73">
        <f t="shared" si="35"/>
        <v>0</v>
      </c>
      <c r="DC27" s="73">
        <f t="shared" si="36"/>
        <v>0</v>
      </c>
      <c r="DD27" s="73">
        <f t="shared" si="37"/>
        <v>0</v>
      </c>
      <c r="DE27" s="70">
        <f t="shared" si="38"/>
        <v>2.00027</v>
      </c>
      <c r="DF27" s="70">
        <f t="shared" si="1"/>
        <v>31</v>
      </c>
      <c r="DG27" s="70">
        <v>0</v>
      </c>
      <c r="DH27" s="93" t="str">
        <f t="shared" si="39"/>
        <v/>
      </c>
      <c r="DI27" s="101" t="e">
        <f t="shared" si="40"/>
        <v>#DIV/0!</v>
      </c>
    </row>
    <row r="28" spans="1:113" x14ac:dyDescent="0.15">
      <c r="A28" s="70" t="s">
        <v>52</v>
      </c>
      <c r="B28" s="70" t="s">
        <v>31</v>
      </c>
      <c r="C28" s="70" t="s">
        <v>53</v>
      </c>
      <c r="CE28" s="70">
        <f t="shared" si="2"/>
        <v>0</v>
      </c>
      <c r="CF28" s="70">
        <f t="shared" si="3"/>
        <v>0</v>
      </c>
      <c r="CG28" s="70">
        <f t="shared" si="4"/>
        <v>0</v>
      </c>
      <c r="CH28" s="70">
        <f t="shared" si="5"/>
        <v>0</v>
      </c>
      <c r="CI28" s="70">
        <f t="shared" si="6"/>
        <v>0</v>
      </c>
      <c r="CJ28" s="74">
        <f t="shared" si="0"/>
        <v>0</v>
      </c>
      <c r="CK28" s="70">
        <f t="shared" si="7"/>
        <v>0</v>
      </c>
      <c r="CL28" s="72">
        <f t="shared" si="8"/>
        <v>0</v>
      </c>
      <c r="CM28" s="70">
        <f t="shared" si="9"/>
        <v>0</v>
      </c>
      <c r="CN28" s="70">
        <f t="shared" si="10"/>
        <v>0</v>
      </c>
      <c r="CO28" s="73">
        <f t="array" ref="CO28">SUM(IF(ISERR(FIND("*",D28:CD28)),0,1))</f>
        <v>0</v>
      </c>
      <c r="CP28" s="73">
        <f t="array" ref="CP28">SUM(IF(ISERR(FIND("+",D28:CD28)),0,1))</f>
        <v>0</v>
      </c>
      <c r="CQ28" s="70">
        <f t="shared" si="11"/>
        <v>0</v>
      </c>
      <c r="CR28" s="73">
        <f t="array" ref="CR28">SUM(IF(ISERR(FIND(CR$4,$D28:$CD28)),0,1))</f>
        <v>0</v>
      </c>
      <c r="CS28" s="73">
        <f t="array" ref="CS28">SUM(IF(ISERR(FIND(CS$4,$D28:$CD28)),0,1))</f>
        <v>0</v>
      </c>
      <c r="CT28" s="73">
        <f t="array" ref="CT28">SUM(IF(ISERR(FIND(CT$4,$D28:$CD28)),0,1))</f>
        <v>0</v>
      </c>
      <c r="CU28" s="73">
        <f t="array" ref="CU28">SUM(IF(ISERR(FIND(CU$4,$D28:$CD28)),0,1))</f>
        <v>0</v>
      </c>
      <c r="CV28" s="73">
        <f t="array" ref="CV28">SUM(IF(ISERR(FIND(CV$4,$D28:$CD28)),0,1))</f>
        <v>0</v>
      </c>
      <c r="CW28" s="73">
        <f t="array" ref="CW28">SUM(IF(ISERR(FIND(CW$4,$D28:$CD28)),0,1))</f>
        <v>0</v>
      </c>
      <c r="CX28" s="73"/>
      <c r="CY28" s="73">
        <f t="shared" si="12"/>
        <v>0</v>
      </c>
      <c r="CZ28" s="73">
        <f t="shared" si="13"/>
        <v>0</v>
      </c>
      <c r="DA28" s="73">
        <f t="shared" si="14"/>
        <v>0</v>
      </c>
      <c r="DB28" s="73">
        <f t="shared" si="15"/>
        <v>0</v>
      </c>
      <c r="DC28" s="73">
        <f t="shared" si="16"/>
        <v>0</v>
      </c>
      <c r="DD28" s="73">
        <f t="shared" si="17"/>
        <v>0</v>
      </c>
      <c r="DE28" s="70">
        <f t="shared" si="18"/>
        <v>2.7999999999999998E-4</v>
      </c>
      <c r="DF28" s="70">
        <f t="shared" si="1"/>
        <v>38</v>
      </c>
      <c r="DG28" s="70">
        <v>0</v>
      </c>
      <c r="DH28" s="93" t="str">
        <f t="shared" si="19"/>
        <v/>
      </c>
      <c r="DI28" s="101" t="e">
        <f t="shared" si="20"/>
        <v>#DIV/0!</v>
      </c>
    </row>
    <row r="29" spans="1:113" x14ac:dyDescent="0.15">
      <c r="A29" s="70" t="s">
        <v>137</v>
      </c>
      <c r="B29" s="70" t="s">
        <v>123</v>
      </c>
      <c r="C29" s="70" t="s">
        <v>122</v>
      </c>
      <c r="CE29" s="70">
        <f t="shared" si="2"/>
        <v>0</v>
      </c>
      <c r="CF29" s="70">
        <f t="shared" si="3"/>
        <v>0</v>
      </c>
      <c r="CG29" s="70">
        <f t="shared" si="4"/>
        <v>0</v>
      </c>
      <c r="CH29" s="70">
        <f t="shared" si="5"/>
        <v>0</v>
      </c>
      <c r="CI29" s="70">
        <f t="shared" si="6"/>
        <v>0</v>
      </c>
      <c r="CJ29" s="74">
        <f t="shared" si="0"/>
        <v>0</v>
      </c>
      <c r="CK29" s="70">
        <f t="shared" si="7"/>
        <v>0</v>
      </c>
      <c r="CL29" s="72">
        <f t="shared" si="8"/>
        <v>0</v>
      </c>
      <c r="CM29" s="70">
        <f t="shared" si="9"/>
        <v>0</v>
      </c>
      <c r="CN29" s="70">
        <f t="shared" si="10"/>
        <v>0</v>
      </c>
      <c r="CO29" s="73">
        <f t="array" ref="CO29">SUM(IF(ISERR(FIND("*",D29:CD29)),0,1))</f>
        <v>0</v>
      </c>
      <c r="CP29" s="73">
        <f t="array" ref="CP29">SUM(IF(ISERR(FIND("+",D29:CD29)),0,1))</f>
        <v>0</v>
      </c>
      <c r="CQ29" s="70">
        <f t="shared" si="11"/>
        <v>0</v>
      </c>
      <c r="CR29" s="73">
        <f t="array" ref="CR29">SUM(IF(ISERR(FIND(CR$4,$D29:$CD29)),0,1))</f>
        <v>0</v>
      </c>
      <c r="CS29" s="73">
        <f t="array" ref="CS29">SUM(IF(ISERR(FIND(CS$4,$D29:$CD29)),0,1))</f>
        <v>0</v>
      </c>
      <c r="CT29" s="73">
        <f t="array" ref="CT29">SUM(IF(ISERR(FIND(CT$4,$D29:$CD29)),0,1))</f>
        <v>0</v>
      </c>
      <c r="CU29" s="73">
        <f t="array" ref="CU29">SUM(IF(ISERR(FIND(CU$4,$D29:$CD29)),0,1))</f>
        <v>0</v>
      </c>
      <c r="CV29" s="73">
        <f t="array" ref="CV29">SUM(IF(ISERR(FIND(CV$4,$D29:$CD29)),0,1))</f>
        <v>0</v>
      </c>
      <c r="CW29" s="73">
        <f t="array" ref="CW29">SUM(IF(ISERR(FIND(CW$4,$D29:$CD29)),0,1))</f>
        <v>0</v>
      </c>
      <c r="CX29" s="73"/>
      <c r="CY29" s="73">
        <f t="shared" si="12"/>
        <v>0</v>
      </c>
      <c r="CZ29" s="73">
        <f t="shared" si="13"/>
        <v>0</v>
      </c>
      <c r="DA29" s="73">
        <f t="shared" si="14"/>
        <v>0</v>
      </c>
      <c r="DB29" s="73">
        <f t="shared" si="15"/>
        <v>0</v>
      </c>
      <c r="DC29" s="73">
        <f t="shared" si="16"/>
        <v>0</v>
      </c>
      <c r="DD29" s="73">
        <f t="shared" si="17"/>
        <v>0</v>
      </c>
      <c r="DE29" s="70">
        <f t="shared" si="18"/>
        <v>2.9E-4</v>
      </c>
      <c r="DF29" s="70">
        <f t="shared" si="1"/>
        <v>37</v>
      </c>
      <c r="DG29" s="70">
        <v>0</v>
      </c>
      <c r="DH29" s="93" t="str">
        <f t="shared" si="19"/>
        <v/>
      </c>
      <c r="DI29" s="101" t="e">
        <f t="shared" si="20"/>
        <v>#DIV/0!</v>
      </c>
    </row>
    <row r="30" spans="1:113" x14ac:dyDescent="0.15">
      <c r="B30" s="70" t="s">
        <v>32</v>
      </c>
      <c r="C30" s="70" t="s">
        <v>542</v>
      </c>
      <c r="F30" s="70" t="s">
        <v>303</v>
      </c>
      <c r="I30" s="70" t="s">
        <v>369</v>
      </c>
      <c r="J30" s="70" t="s">
        <v>388</v>
      </c>
      <c r="K30" s="70" t="s">
        <v>404</v>
      </c>
      <c r="L30" s="70" t="s">
        <v>425</v>
      </c>
      <c r="M30" s="70" t="s">
        <v>306</v>
      </c>
      <c r="N30" s="134"/>
      <c r="O30" s="134"/>
      <c r="P30" s="134"/>
      <c r="Q30" t="s">
        <v>496</v>
      </c>
      <c r="S30" t="s">
        <v>535</v>
      </c>
      <c r="T30" s="134"/>
      <c r="U30" s="134"/>
      <c r="CE30" s="70">
        <f t="shared" si="2"/>
        <v>8</v>
      </c>
      <c r="CF30" s="70">
        <f t="shared" si="3"/>
        <v>2</v>
      </c>
      <c r="CG30" s="70">
        <f t="shared" si="4"/>
        <v>6</v>
      </c>
      <c r="CH30" s="70">
        <f t="shared" si="5"/>
        <v>0</v>
      </c>
      <c r="CI30" s="70">
        <f t="shared" si="6"/>
        <v>51</v>
      </c>
      <c r="CJ30" s="74">
        <f t="shared" si="0"/>
        <v>51</v>
      </c>
      <c r="CK30" s="70">
        <f t="shared" si="7"/>
        <v>144</v>
      </c>
      <c r="CL30" s="72">
        <f t="shared" si="8"/>
        <v>24</v>
      </c>
      <c r="CM30" s="70">
        <f t="shared" si="9"/>
        <v>159</v>
      </c>
      <c r="CN30" s="70">
        <f t="shared" si="10"/>
        <v>10</v>
      </c>
      <c r="CO30" s="73">
        <f t="array" ref="CO30">SUM(IF(ISERR(FIND("*",D30:CD30)),0,1))</f>
        <v>0</v>
      </c>
      <c r="CP30" s="73">
        <f t="array" ref="CP30">SUM(IF(ISERR(FIND("+",D30:CD30)),0,1))</f>
        <v>0</v>
      </c>
      <c r="CQ30" s="70">
        <f t="shared" si="11"/>
        <v>1</v>
      </c>
      <c r="CR30" s="73">
        <f t="array" ref="CR30">SUM(IF(ISERR(FIND(CR$4,$D30:$CD30)),0,1))</f>
        <v>1</v>
      </c>
      <c r="CS30" s="73">
        <f t="array" ref="CS30">SUM(IF(ISERR(FIND(CS$4,$D30:$CD30)),0,1))</f>
        <v>3</v>
      </c>
      <c r="CT30" s="73">
        <f t="array" ref="CT30">SUM(IF(ISERR(FIND(CT$4,$D30:$CD30)),0,1))</f>
        <v>2</v>
      </c>
      <c r="CU30" s="73">
        <f t="array" ref="CU30">SUM(IF(ISERR(FIND(CU$4,$D30:$CD30)),0,1))</f>
        <v>0</v>
      </c>
      <c r="CV30" s="73">
        <f t="array" ref="CV30">SUM(IF(ISERR(FIND(CV$4,$D30:$CD30)),0,1))</f>
        <v>0</v>
      </c>
      <c r="CW30" s="73">
        <f t="array" ref="CW30">SUM(IF(ISERR(FIND(CW$4,$D30:$CD30)),0,1))</f>
        <v>0</v>
      </c>
      <c r="CX30" s="73"/>
      <c r="CY30" s="73">
        <f t="shared" si="12"/>
        <v>2</v>
      </c>
      <c r="CZ30" s="73">
        <f t="shared" si="13"/>
        <v>21</v>
      </c>
      <c r="DA30" s="73">
        <f t="shared" si="14"/>
        <v>2</v>
      </c>
      <c r="DB30" s="73">
        <f t="shared" si="15"/>
        <v>0</v>
      </c>
      <c r="DC30" s="73">
        <f t="shared" si="16"/>
        <v>0</v>
      </c>
      <c r="DD30" s="73">
        <f t="shared" si="17"/>
        <v>3</v>
      </c>
      <c r="DE30" s="70">
        <f t="shared" si="18"/>
        <v>2400609.4402999999</v>
      </c>
      <c r="DF30" s="70">
        <f t="shared" si="1"/>
        <v>3</v>
      </c>
      <c r="DG30" s="70">
        <v>1</v>
      </c>
      <c r="DH30" s="93">
        <f t="shared" si="19"/>
        <v>0.70138888888888884</v>
      </c>
      <c r="DI30" s="101">
        <f t="shared" si="20"/>
        <v>0.16666666666666666</v>
      </c>
    </row>
    <row r="31" spans="1:113" x14ac:dyDescent="0.15">
      <c r="B31" s="70" t="s">
        <v>210</v>
      </c>
      <c r="C31" s="70" t="s">
        <v>211</v>
      </c>
      <c r="S31"/>
      <c r="CE31" s="70">
        <f t="shared" si="2"/>
        <v>0</v>
      </c>
      <c r="CF31" s="70">
        <f t="shared" si="3"/>
        <v>0</v>
      </c>
      <c r="CG31" s="70">
        <f t="shared" si="4"/>
        <v>0</v>
      </c>
      <c r="CH31" s="70">
        <f t="shared" si="5"/>
        <v>0</v>
      </c>
      <c r="CI31" s="70">
        <f t="shared" si="6"/>
        <v>0</v>
      </c>
      <c r="CJ31" s="74">
        <f t="shared" si="0"/>
        <v>0</v>
      </c>
      <c r="CK31" s="70">
        <f t="shared" si="7"/>
        <v>0</v>
      </c>
      <c r="CL31" s="72">
        <f t="shared" si="8"/>
        <v>0</v>
      </c>
      <c r="CM31" s="70">
        <f t="shared" si="9"/>
        <v>0</v>
      </c>
      <c r="CN31" s="70">
        <f t="shared" si="10"/>
        <v>0</v>
      </c>
      <c r="CO31" s="73">
        <f t="array" ref="CO31">SUM(IF(ISERR(FIND("*",D31:CD31)),0,1))</f>
        <v>0</v>
      </c>
      <c r="CP31" s="73">
        <f t="array" ref="CP31">SUM(IF(ISERR(FIND("+",D31:CD31)),0,1))</f>
        <v>0</v>
      </c>
      <c r="CQ31" s="70">
        <f t="shared" si="11"/>
        <v>0</v>
      </c>
      <c r="CR31" s="73">
        <f t="array" ref="CR31">SUM(IF(ISERR(FIND(CR$4,$D31:$CD31)),0,1))</f>
        <v>0</v>
      </c>
      <c r="CS31" s="73">
        <f t="array" ref="CS31">SUM(IF(ISERR(FIND(CS$4,$D31:$CD31)),0,1))</f>
        <v>0</v>
      </c>
      <c r="CT31" s="73">
        <f t="array" ref="CT31">SUM(IF(ISERR(FIND(CT$4,$D31:$CD31)),0,1))</f>
        <v>0</v>
      </c>
      <c r="CU31" s="73">
        <f t="array" ref="CU31">SUM(IF(ISERR(FIND(CU$4,$D31:$CD31)),0,1))</f>
        <v>0</v>
      </c>
      <c r="CV31" s="73">
        <f t="array" ref="CV31">SUM(IF(ISERR(FIND(CV$4,$D31:$CD31)),0,1))</f>
        <v>0</v>
      </c>
      <c r="CW31" s="73">
        <f t="array" ref="CW31">SUM(IF(ISERR(FIND(CW$4,$D31:$CD31)),0,1))</f>
        <v>0</v>
      </c>
      <c r="CX31" s="73"/>
      <c r="CY31" s="73">
        <f t="shared" si="12"/>
        <v>0</v>
      </c>
      <c r="CZ31" s="73">
        <f t="shared" si="13"/>
        <v>0</v>
      </c>
      <c r="DA31" s="73">
        <f t="shared" si="14"/>
        <v>0</v>
      </c>
      <c r="DB31" s="73">
        <f t="shared" si="15"/>
        <v>0</v>
      </c>
      <c r="DC31" s="73">
        <f t="shared" si="16"/>
        <v>0</v>
      </c>
      <c r="DD31" s="73">
        <f t="shared" si="17"/>
        <v>0</v>
      </c>
      <c r="DE31" s="70">
        <f t="shared" si="18"/>
        <v>3.1E-4</v>
      </c>
      <c r="DF31" s="70">
        <f t="shared" si="1"/>
        <v>36</v>
      </c>
      <c r="DG31" s="70">
        <v>0</v>
      </c>
      <c r="DH31" s="93" t="str">
        <f t="shared" si="19"/>
        <v/>
      </c>
      <c r="DI31" s="101" t="e">
        <f t="shared" si="20"/>
        <v>#DIV/0!</v>
      </c>
    </row>
    <row r="32" spans="1:113" x14ac:dyDescent="0.15">
      <c r="B32" s="70" t="s">
        <v>289</v>
      </c>
      <c r="C32" s="70" t="s">
        <v>290</v>
      </c>
      <c r="E32" s="70" t="s">
        <v>291</v>
      </c>
      <c r="F32" s="70" t="s">
        <v>305</v>
      </c>
      <c r="G32" s="70" t="s">
        <v>308</v>
      </c>
      <c r="H32" s="70" t="s">
        <v>352</v>
      </c>
      <c r="S32"/>
      <c r="CE32" s="70">
        <f>BatSplit(D32:CD32,MatchesPlayed)</f>
        <v>4</v>
      </c>
      <c r="CF32" s="70">
        <f>CE32-CG32</f>
        <v>2</v>
      </c>
      <c r="CG32" s="70">
        <f>BatSplit(D32:CD32,InnsBattedIn)</f>
        <v>2</v>
      </c>
      <c r="CH32" s="70">
        <f>BatSplit(D32:CD32,NotOuts)</f>
        <v>0</v>
      </c>
      <c r="CI32" s="70">
        <f>BatSplit(D32:CD32,HighestScore)</f>
        <v>27</v>
      </c>
      <c r="CJ32" s="74">
        <f t="shared" si="0"/>
        <v>27</v>
      </c>
      <c r="CK32" s="70">
        <f>BatSplit(D32:CD32,RunsScored)</f>
        <v>36</v>
      </c>
      <c r="CL32" s="72">
        <f>IF(CG32=CH32,0,CK32/(CG32-CH32))</f>
        <v>18</v>
      </c>
      <c r="CM32" s="70">
        <f>BatSplit(D32:CD32,BatPts)</f>
        <v>36</v>
      </c>
      <c r="CN32" s="70">
        <f>BatSplit(D32:CD32,FldPts)</f>
        <v>5</v>
      </c>
      <c r="CO32" s="73">
        <f t="array" ref="CO32">SUM(IF(ISERR(FIND("*",D32:CD32)),0,1))</f>
        <v>0</v>
      </c>
      <c r="CP32" s="73">
        <f t="array" ref="CP32">SUM(IF(ISERR(FIND("+",D32:CD32)),0,1))</f>
        <v>0</v>
      </c>
      <c r="CQ32" s="70">
        <f>BatSplit(D32:CD32,Ducks)</f>
        <v>0</v>
      </c>
      <c r="CR32" s="73">
        <f t="array" ref="CR32">SUM(IF(ISERR(FIND(CR$4,$D32:$CD32)),0,1))</f>
        <v>1</v>
      </c>
      <c r="CS32" s="73">
        <f t="array" ref="CS32">SUM(IF(ISERR(FIND(CS$4,$D32:$CD32)),0,1))</f>
        <v>1</v>
      </c>
      <c r="CT32" s="73">
        <f t="array" ref="CT32">SUM(IF(ISERR(FIND(CT$4,$D32:$CD32)),0,1))</f>
        <v>0</v>
      </c>
      <c r="CU32" s="73">
        <f t="array" ref="CU32">SUM(IF(ISERR(FIND(CU$4,$D32:$CD32)),0,1))</f>
        <v>0</v>
      </c>
      <c r="CV32" s="73">
        <f t="array" ref="CV32">SUM(IF(ISERR(FIND(CV$4,$D32:$CD32)),0,1))</f>
        <v>0</v>
      </c>
      <c r="CW32" s="73">
        <f t="array" ref="CW32">SUM(IF(ISERR(FIND(CW$4,$D32:$CD32)),0,1))</f>
        <v>0</v>
      </c>
      <c r="CX32" s="73"/>
      <c r="CY32" s="73">
        <f>BatSplit(D32:CD32,Catches)</f>
        <v>1</v>
      </c>
      <c r="CZ32" s="73">
        <f>BatSplit(D32:CD32,Fours)</f>
        <v>4</v>
      </c>
      <c r="DA32" s="73">
        <f>BatSplit(D32:CD32,Sixes)</f>
        <v>0</v>
      </c>
      <c r="DB32" s="73">
        <f>BatSplit(D32:CD32,Stumpings)</f>
        <v>0</v>
      </c>
      <c r="DC32" s="73">
        <f>BatSplit(D32:CD32,CaughtWkt)</f>
        <v>0</v>
      </c>
      <c r="DD32" s="73">
        <f>BatSplit(D32:CD32,TwentyFives)</f>
        <v>1</v>
      </c>
      <c r="DE32" s="70">
        <f>ROUND(IF(ISERROR(CL32),0,CL32),2)*100000+CG32*100+CE32+CK32/100+ROW()/100000</f>
        <v>1800204.3603200002</v>
      </c>
      <c r="DF32" s="70">
        <f t="shared" si="1"/>
        <v>7</v>
      </c>
      <c r="DG32" s="70">
        <v>0</v>
      </c>
      <c r="DH32" s="93" t="str">
        <f>IF(CK32&gt;=50,(CZ32*4+DA32*6+DG32*5)/CK32,"")</f>
        <v/>
      </c>
      <c r="DI32" s="101">
        <f>CQ32/(CG32-CH32)</f>
        <v>0</v>
      </c>
    </row>
    <row r="33" spans="1:113" x14ac:dyDescent="0.15">
      <c r="A33" s="70" t="s">
        <v>178</v>
      </c>
      <c r="B33" s="70" t="s">
        <v>173</v>
      </c>
      <c r="C33" s="70" t="s">
        <v>174</v>
      </c>
      <c r="N33"/>
      <c r="CE33" s="70">
        <f t="shared" si="2"/>
        <v>0</v>
      </c>
      <c r="CF33" s="70">
        <f t="shared" si="3"/>
        <v>0</v>
      </c>
      <c r="CG33" s="70">
        <f t="shared" si="4"/>
        <v>0</v>
      </c>
      <c r="CH33" s="70">
        <f t="shared" si="5"/>
        <v>0</v>
      </c>
      <c r="CI33" s="70">
        <f t="shared" si="6"/>
        <v>0</v>
      </c>
      <c r="CJ33" s="74">
        <f t="shared" si="0"/>
        <v>0</v>
      </c>
      <c r="CK33" s="70">
        <f t="shared" si="7"/>
        <v>0</v>
      </c>
      <c r="CL33" s="72">
        <f t="shared" si="8"/>
        <v>0</v>
      </c>
      <c r="CM33" s="70">
        <f t="shared" si="9"/>
        <v>0</v>
      </c>
      <c r="CN33" s="70">
        <f t="shared" si="10"/>
        <v>0</v>
      </c>
      <c r="CO33" s="73">
        <f t="array" ref="CO33">SUM(IF(ISERR(FIND("*",D33:CD33)),0,1))</f>
        <v>0</v>
      </c>
      <c r="CP33" s="73">
        <f t="array" ref="CP33">SUM(IF(ISERR(FIND("+",D33:CD33)),0,1))</f>
        <v>0</v>
      </c>
      <c r="CQ33" s="70">
        <f t="shared" si="11"/>
        <v>0</v>
      </c>
      <c r="CR33" s="73">
        <f t="array" ref="CR33">SUM(IF(ISERR(FIND(CR$4,$D33:$CD33)),0,1))</f>
        <v>0</v>
      </c>
      <c r="CS33" s="73">
        <f t="array" ref="CS33">SUM(IF(ISERR(FIND(CS$4,$D33:$CD33)),0,1))</f>
        <v>0</v>
      </c>
      <c r="CT33" s="73">
        <f t="array" ref="CT33">SUM(IF(ISERR(FIND(CT$4,$D33:$CD33)),0,1))</f>
        <v>0</v>
      </c>
      <c r="CU33" s="73">
        <f t="array" ref="CU33">SUM(IF(ISERR(FIND(CU$4,$D33:$CD33)),0,1))</f>
        <v>0</v>
      </c>
      <c r="CV33" s="73">
        <f t="array" ref="CV33">SUM(IF(ISERR(FIND(CV$4,$D33:$CD33)),0,1))</f>
        <v>0</v>
      </c>
      <c r="CW33" s="73">
        <f t="array" ref="CW33">SUM(IF(ISERR(FIND(CW$4,$D33:$CD33)),0,1))</f>
        <v>0</v>
      </c>
      <c r="CX33" s="73"/>
      <c r="CY33" s="73">
        <f t="shared" si="12"/>
        <v>0</v>
      </c>
      <c r="CZ33" s="73">
        <f t="shared" si="13"/>
        <v>0</v>
      </c>
      <c r="DA33" s="73">
        <f t="shared" si="14"/>
        <v>0</v>
      </c>
      <c r="DB33" s="73">
        <f t="shared" si="15"/>
        <v>0</v>
      </c>
      <c r="DC33" s="73">
        <f t="shared" si="16"/>
        <v>0</v>
      </c>
      <c r="DD33" s="73">
        <f t="shared" si="17"/>
        <v>0</v>
      </c>
      <c r="DE33" s="70">
        <f t="shared" si="18"/>
        <v>3.3E-4</v>
      </c>
      <c r="DF33" s="70">
        <f t="shared" si="1"/>
        <v>35</v>
      </c>
      <c r="DG33" s="70">
        <v>0</v>
      </c>
      <c r="DH33" s="93" t="str">
        <f t="shared" si="19"/>
        <v/>
      </c>
      <c r="DI33" s="101" t="e">
        <f t="shared" si="20"/>
        <v>#DIV/0!</v>
      </c>
    </row>
    <row r="34" spans="1:113" x14ac:dyDescent="0.15">
      <c r="A34" s="70" t="s">
        <v>79</v>
      </c>
      <c r="B34" s="70" t="s">
        <v>172</v>
      </c>
      <c r="C34" s="70" t="s">
        <v>158</v>
      </c>
      <c r="CE34" s="70">
        <f t="shared" si="2"/>
        <v>0</v>
      </c>
      <c r="CF34" s="70">
        <f t="shared" si="3"/>
        <v>0</v>
      </c>
      <c r="CG34" s="70">
        <f t="shared" si="4"/>
        <v>0</v>
      </c>
      <c r="CH34" s="70">
        <f t="shared" si="5"/>
        <v>0</v>
      </c>
      <c r="CI34" s="70">
        <f t="shared" si="6"/>
        <v>0</v>
      </c>
      <c r="CJ34" s="74">
        <f t="shared" si="0"/>
        <v>0</v>
      </c>
      <c r="CK34" s="70">
        <f t="shared" si="7"/>
        <v>0</v>
      </c>
      <c r="CL34" s="72">
        <f t="shared" si="8"/>
        <v>0</v>
      </c>
      <c r="CM34" s="70">
        <f t="shared" si="9"/>
        <v>0</v>
      </c>
      <c r="CN34" s="70">
        <f t="shared" si="10"/>
        <v>0</v>
      </c>
      <c r="CO34" s="73">
        <f t="array" ref="CO34">SUM(IF(ISERR(FIND("*",D34:CD34)),0,1))</f>
        <v>0</v>
      </c>
      <c r="CP34" s="73">
        <f t="array" ref="CP34">SUM(IF(ISERR(FIND("+",D34:CD34)),0,1))</f>
        <v>0</v>
      </c>
      <c r="CQ34" s="70">
        <f t="shared" si="11"/>
        <v>0</v>
      </c>
      <c r="CR34" s="73">
        <f t="array" ref="CR34">SUM(IF(ISERR(FIND(CR$4,$D34:$CD34)),0,1))</f>
        <v>0</v>
      </c>
      <c r="CS34" s="73">
        <f t="array" ref="CS34">SUM(IF(ISERR(FIND(CS$4,$D34:$CD34)),0,1))</f>
        <v>0</v>
      </c>
      <c r="CT34" s="73">
        <f t="array" ref="CT34">SUM(IF(ISERR(FIND(CT$4,$D34:$CD34)),0,1))</f>
        <v>0</v>
      </c>
      <c r="CU34" s="73">
        <f t="array" ref="CU34">SUM(IF(ISERR(FIND(CU$4,$D34:$CD34)),0,1))</f>
        <v>0</v>
      </c>
      <c r="CV34" s="73">
        <f t="array" ref="CV34">SUM(IF(ISERR(FIND(CV$4,$D34:$CD34)),0,1))</f>
        <v>0</v>
      </c>
      <c r="CW34" s="73">
        <f t="array" ref="CW34">SUM(IF(ISERR(FIND(CW$4,$D34:$CD34)),0,1))</f>
        <v>0</v>
      </c>
      <c r="CX34" s="73"/>
      <c r="CY34" s="73">
        <f t="shared" si="12"/>
        <v>0</v>
      </c>
      <c r="CZ34" s="73">
        <f t="shared" si="13"/>
        <v>0</v>
      </c>
      <c r="DA34" s="73">
        <f t="shared" si="14"/>
        <v>0</v>
      </c>
      <c r="DB34" s="73">
        <f t="shared" si="15"/>
        <v>0</v>
      </c>
      <c r="DC34" s="73">
        <f t="shared" si="16"/>
        <v>0</v>
      </c>
      <c r="DD34" s="73">
        <f t="shared" si="17"/>
        <v>0</v>
      </c>
      <c r="DE34" s="70">
        <f t="shared" si="18"/>
        <v>3.4000000000000002E-4</v>
      </c>
      <c r="DF34" s="70">
        <f t="shared" si="1"/>
        <v>34</v>
      </c>
      <c r="DG34" s="70">
        <v>0</v>
      </c>
      <c r="DH34" s="93" t="str">
        <f t="shared" si="19"/>
        <v/>
      </c>
      <c r="DI34" s="101" t="e">
        <f t="shared" si="20"/>
        <v>#DIV/0!</v>
      </c>
    </row>
    <row r="35" spans="1:113" x14ac:dyDescent="0.15">
      <c r="B35" s="70" t="s">
        <v>227</v>
      </c>
      <c r="C35" s="70" t="s">
        <v>244</v>
      </c>
      <c r="E35" s="70" t="s">
        <v>283</v>
      </c>
      <c r="I35" s="70" t="s">
        <v>367</v>
      </c>
      <c r="J35" s="70" t="s">
        <v>386</v>
      </c>
      <c r="L35" s="70" t="s">
        <v>422</v>
      </c>
      <c r="M35" s="70" t="s">
        <v>303</v>
      </c>
      <c r="N35" s="70" t="s">
        <v>444</v>
      </c>
      <c r="O35" s="134"/>
      <c r="P35" s="70" t="s">
        <v>445</v>
      </c>
      <c r="Q35" s="70" t="s">
        <v>493</v>
      </c>
      <c r="R35" s="70" t="s">
        <v>512</v>
      </c>
      <c r="T35" s="134"/>
      <c r="V35" s="134"/>
      <c r="CE35" s="70">
        <f t="shared" si="2"/>
        <v>9</v>
      </c>
      <c r="CF35" s="70">
        <f t="shared" si="3"/>
        <v>1</v>
      </c>
      <c r="CG35" s="70">
        <f t="shared" si="4"/>
        <v>8</v>
      </c>
      <c r="CH35" s="70">
        <f t="shared" si="5"/>
        <v>0</v>
      </c>
      <c r="CI35" s="70">
        <f t="shared" si="6"/>
        <v>19</v>
      </c>
      <c r="CJ35" s="74">
        <f t="shared" si="0"/>
        <v>19</v>
      </c>
      <c r="CK35" s="70">
        <f t="shared" si="7"/>
        <v>74</v>
      </c>
      <c r="CL35" s="72">
        <f t="shared" si="8"/>
        <v>9.25</v>
      </c>
      <c r="CM35" s="70">
        <f t="shared" si="9"/>
        <v>74</v>
      </c>
      <c r="CN35" s="70">
        <f t="shared" si="10"/>
        <v>5</v>
      </c>
      <c r="CO35" s="73">
        <f t="array" ref="CO35">SUM(IF(ISERR(FIND("*",D35:CD35)),0,1))</f>
        <v>0</v>
      </c>
      <c r="CP35" s="73">
        <f t="array" ref="CP35">SUM(IF(ISERR(FIND("+",D35:CD35)),0,1))</f>
        <v>0</v>
      </c>
      <c r="CQ35" s="70">
        <f t="shared" si="11"/>
        <v>0</v>
      </c>
      <c r="CR35" s="73">
        <f t="array" ref="CR35">SUM(IF(ISERR(FIND(CR$4,$D35:$CD35)),0,1))</f>
        <v>5</v>
      </c>
      <c r="CS35" s="73">
        <f t="array" ref="CS35">SUM(IF(ISERR(FIND(CS$4,$D35:$CD35)),0,1))</f>
        <v>2</v>
      </c>
      <c r="CT35" s="73">
        <f t="array" ref="CT35">SUM(IF(ISERR(FIND(CT$4,$D35:$CD35)),0,1))</f>
        <v>0</v>
      </c>
      <c r="CU35" s="73">
        <f t="array" ref="CU35">SUM(IF(ISERR(FIND(CU$4,$D35:$CD35)),0,1))</f>
        <v>0</v>
      </c>
      <c r="CV35" s="73">
        <f t="array" ref="CV35">SUM(IF(ISERR(FIND(CV$4,$D35:$CD35)),0,1))</f>
        <v>1</v>
      </c>
      <c r="CW35" s="73">
        <f t="array" ref="CW35">SUM(IF(ISERR(FIND(CW$4,$D35:$CD35)),0,1))</f>
        <v>0</v>
      </c>
      <c r="CX35" s="73"/>
      <c r="CY35" s="73">
        <f t="shared" si="12"/>
        <v>1</v>
      </c>
      <c r="CZ35" s="73">
        <f t="shared" si="13"/>
        <v>12</v>
      </c>
      <c r="DA35" s="73">
        <f t="shared" si="14"/>
        <v>0</v>
      </c>
      <c r="DB35" s="73">
        <f t="shared" si="15"/>
        <v>0</v>
      </c>
      <c r="DC35" s="73">
        <f t="shared" si="16"/>
        <v>0</v>
      </c>
      <c r="DD35" s="73">
        <f t="shared" si="17"/>
        <v>0</v>
      </c>
      <c r="DE35" s="70">
        <f t="shared" si="18"/>
        <v>925809.74034999998</v>
      </c>
      <c r="DF35" s="70">
        <f t="shared" si="1"/>
        <v>15</v>
      </c>
      <c r="DG35" s="70">
        <v>0</v>
      </c>
      <c r="DH35" s="93">
        <f t="shared" si="19"/>
        <v>0.64864864864864868</v>
      </c>
      <c r="DI35" s="101">
        <f t="shared" si="20"/>
        <v>0</v>
      </c>
    </row>
    <row r="36" spans="1:113" x14ac:dyDescent="0.15">
      <c r="B36" s="70" t="s">
        <v>34</v>
      </c>
      <c r="C36" s="70" t="s">
        <v>250</v>
      </c>
      <c r="E36" s="70" t="s">
        <v>284</v>
      </c>
      <c r="G36" s="70" t="s">
        <v>328</v>
      </c>
      <c r="H36" s="70" t="s">
        <v>351</v>
      </c>
      <c r="J36" s="70" t="s">
        <v>389</v>
      </c>
      <c r="K36" s="70" t="s">
        <v>403</v>
      </c>
      <c r="M36" s="70" t="s">
        <v>585</v>
      </c>
      <c r="N36" t="s">
        <v>403</v>
      </c>
      <c r="O36" t="s">
        <v>467</v>
      </c>
      <c r="P36" t="s">
        <v>483</v>
      </c>
      <c r="Q36" t="s">
        <v>497</v>
      </c>
      <c r="R36" t="s">
        <v>514</v>
      </c>
      <c r="S36"/>
      <c r="T36"/>
      <c r="U36"/>
      <c r="CE36" s="70">
        <f t="shared" si="2"/>
        <v>11</v>
      </c>
      <c r="CF36" s="70">
        <f t="shared" si="3"/>
        <v>1</v>
      </c>
      <c r="CG36" s="70">
        <f t="shared" si="4"/>
        <v>10</v>
      </c>
      <c r="CH36" s="70">
        <f t="shared" si="5"/>
        <v>1</v>
      </c>
      <c r="CI36" s="70">
        <f t="shared" si="6"/>
        <v>-28</v>
      </c>
      <c r="CJ36" s="74" t="str">
        <f t="shared" si="0"/>
        <v>28*</v>
      </c>
      <c r="CK36" s="70">
        <f t="shared" si="7"/>
        <v>73</v>
      </c>
      <c r="CL36" s="72">
        <f t="shared" si="8"/>
        <v>8.1111111111111107</v>
      </c>
      <c r="CM36" s="70">
        <f t="shared" si="9"/>
        <v>68</v>
      </c>
      <c r="CN36" s="70">
        <f t="shared" si="10"/>
        <v>5</v>
      </c>
      <c r="CO36" s="73">
        <f t="array" ref="CO36">SUM(IF(ISERR(FIND("*",D36:CD36)),0,1))</f>
        <v>0</v>
      </c>
      <c r="CP36" s="73">
        <f t="array" ref="CP36">SUM(IF(ISERR(FIND("+",D36:CD36)),0,1))</f>
        <v>0</v>
      </c>
      <c r="CQ36" s="70">
        <f t="shared" si="11"/>
        <v>1</v>
      </c>
      <c r="CR36" s="73">
        <f t="array" ref="CR36">SUM(IF(ISERR(FIND(CR$4,$D36:$CD36)),0,1))</f>
        <v>4</v>
      </c>
      <c r="CS36" s="73">
        <f t="array" ref="CS36">SUM(IF(ISERR(FIND(CS$4,$D36:$CD36)),0,1))</f>
        <v>1</v>
      </c>
      <c r="CT36" s="73">
        <f t="array" ref="CT36">SUM(IF(ISERR(FIND(CT$4,$D36:$CD36)),0,1))</f>
        <v>2</v>
      </c>
      <c r="CU36" s="73">
        <f t="array" ref="CU36">SUM(IF(ISERR(FIND(CU$4,$D36:$CD36)),0,1))</f>
        <v>0</v>
      </c>
      <c r="CV36" s="73">
        <f t="array" ref="CV36">SUM(IF(ISERR(FIND(CV$4,$D36:$CD36)),0,1))</f>
        <v>2</v>
      </c>
      <c r="CW36" s="73">
        <f t="array" ref="CW36">SUM(IF(ISERR(FIND(CW$4,$D36:$CD36)),0,1))</f>
        <v>0</v>
      </c>
      <c r="CX36" s="73"/>
      <c r="CY36" s="73">
        <f t="shared" si="12"/>
        <v>1</v>
      </c>
      <c r="CZ36" s="73">
        <f t="shared" si="13"/>
        <v>8</v>
      </c>
      <c r="DA36" s="73">
        <f t="shared" si="14"/>
        <v>0</v>
      </c>
      <c r="DB36" s="73">
        <f t="shared" si="15"/>
        <v>0</v>
      </c>
      <c r="DC36" s="73">
        <f t="shared" si="16"/>
        <v>0</v>
      </c>
      <c r="DD36" s="73">
        <f t="shared" si="17"/>
        <v>1</v>
      </c>
      <c r="DE36" s="70">
        <f t="shared" si="18"/>
        <v>812011.73035999993</v>
      </c>
      <c r="DF36" s="70">
        <f t="shared" si="1"/>
        <v>16</v>
      </c>
      <c r="DG36" s="70">
        <v>0</v>
      </c>
      <c r="DH36" s="93">
        <f t="shared" si="19"/>
        <v>0.43835616438356162</v>
      </c>
      <c r="DI36" s="101">
        <f t="shared" si="20"/>
        <v>0.1111111111111111</v>
      </c>
    </row>
    <row r="37" spans="1:113" x14ac:dyDescent="0.15">
      <c r="A37" s="70" t="s">
        <v>56</v>
      </c>
      <c r="B37" s="70" t="s">
        <v>27</v>
      </c>
      <c r="C37" s="70" t="s">
        <v>159</v>
      </c>
      <c r="J37" s="70" t="s">
        <v>390</v>
      </c>
      <c r="K37" s="70" t="s">
        <v>401</v>
      </c>
      <c r="M37" s="134"/>
      <c r="R37"/>
      <c r="U37"/>
      <c r="CE37" s="70">
        <f t="shared" si="2"/>
        <v>2</v>
      </c>
      <c r="CF37" s="70">
        <f t="shared" si="3"/>
        <v>0</v>
      </c>
      <c r="CG37" s="70">
        <f t="shared" si="4"/>
        <v>2</v>
      </c>
      <c r="CH37" s="70">
        <f t="shared" si="5"/>
        <v>0</v>
      </c>
      <c r="CI37" s="70">
        <f t="shared" si="6"/>
        <v>14</v>
      </c>
      <c r="CJ37" s="74">
        <f t="shared" si="0"/>
        <v>14</v>
      </c>
      <c r="CK37" s="70">
        <f t="shared" si="7"/>
        <v>23</v>
      </c>
      <c r="CL37" s="72">
        <f t="shared" si="8"/>
        <v>11.5</v>
      </c>
      <c r="CM37" s="70">
        <f t="shared" si="9"/>
        <v>23</v>
      </c>
      <c r="CN37" s="70">
        <f t="shared" si="10"/>
        <v>0</v>
      </c>
      <c r="CO37" s="73">
        <f t="array" ref="CO37">SUM(IF(ISERR(FIND("*",D37:CD37)),0,1))</f>
        <v>0</v>
      </c>
      <c r="CP37" s="73">
        <f t="array" ref="CP37">SUM(IF(ISERR(FIND("+",D37:CD37)),0,1))</f>
        <v>0</v>
      </c>
      <c r="CQ37" s="70">
        <f t="shared" si="11"/>
        <v>0</v>
      </c>
      <c r="CR37" s="73">
        <f t="array" ref="CR37">SUM(IF(ISERR(FIND(CR$4,$D37:$CD37)),0,1))</f>
        <v>1</v>
      </c>
      <c r="CS37" s="73">
        <f t="array" ref="CS37">SUM(IF(ISERR(FIND(CS$4,$D37:$CD37)),0,1))</f>
        <v>0</v>
      </c>
      <c r="CT37" s="73">
        <f t="array" ref="CT37">SUM(IF(ISERR(FIND(CT$4,$D37:$CD37)),0,1))</f>
        <v>1</v>
      </c>
      <c r="CU37" s="73">
        <f t="array" ref="CU37">SUM(IF(ISERR(FIND(CU$4,$D37:$CD37)),0,1))</f>
        <v>0</v>
      </c>
      <c r="CV37" s="73">
        <f t="array" ref="CV37">SUM(IF(ISERR(FIND(CV$4,$D37:$CD37)),0,1))</f>
        <v>0</v>
      </c>
      <c r="CW37" s="73">
        <f t="array" ref="CW37">SUM(IF(ISERR(FIND(CW$4,$D37:$CD37)),0,1))</f>
        <v>0</v>
      </c>
      <c r="CX37" s="73"/>
      <c r="CY37" s="73">
        <f t="shared" si="12"/>
        <v>0</v>
      </c>
      <c r="CZ37" s="73">
        <f t="shared" si="13"/>
        <v>4</v>
      </c>
      <c r="DA37" s="73">
        <f t="shared" si="14"/>
        <v>0</v>
      </c>
      <c r="DB37" s="73">
        <f t="shared" si="15"/>
        <v>0</v>
      </c>
      <c r="DC37" s="73">
        <f t="shared" si="16"/>
        <v>0</v>
      </c>
      <c r="DD37" s="73">
        <f t="shared" si="17"/>
        <v>0</v>
      </c>
      <c r="DE37" s="70">
        <f t="shared" si="18"/>
        <v>1150202.23037</v>
      </c>
      <c r="DF37" s="70">
        <f t="shared" si="1"/>
        <v>11</v>
      </c>
      <c r="DG37" s="70">
        <v>0</v>
      </c>
      <c r="DH37" s="93" t="str">
        <f t="shared" si="19"/>
        <v/>
      </c>
      <c r="DI37" s="101">
        <f t="shared" si="20"/>
        <v>0</v>
      </c>
    </row>
    <row r="38" spans="1:113" x14ac:dyDescent="0.15">
      <c r="B38" s="70" t="s">
        <v>31</v>
      </c>
      <c r="C38" s="70" t="s">
        <v>236</v>
      </c>
      <c r="D38" s="70" t="s">
        <v>260</v>
      </c>
      <c r="E38" s="70" t="s">
        <v>288</v>
      </c>
      <c r="G38" s="70" t="s">
        <v>330</v>
      </c>
      <c r="I38" s="70" t="s">
        <v>371</v>
      </c>
      <c r="J38" s="70" t="s">
        <v>392</v>
      </c>
      <c r="L38" s="70" t="s">
        <v>426</v>
      </c>
      <c r="M38" s="70" t="s">
        <v>308</v>
      </c>
      <c r="N38" s="70" t="s">
        <v>447</v>
      </c>
      <c r="O38" s="70" t="s">
        <v>372</v>
      </c>
      <c r="P38" s="70" t="s">
        <v>481</v>
      </c>
      <c r="Q38" s="70" t="s">
        <v>499</v>
      </c>
      <c r="R38" s="70" t="s">
        <v>314</v>
      </c>
      <c r="S38" s="70" t="s">
        <v>534</v>
      </c>
      <c r="U38"/>
      <c r="V38"/>
      <c r="CE38" s="70">
        <f t="shared" si="2"/>
        <v>13</v>
      </c>
      <c r="CF38" s="70">
        <f t="shared" si="3"/>
        <v>2</v>
      </c>
      <c r="CG38" s="70">
        <f t="shared" si="4"/>
        <v>11</v>
      </c>
      <c r="CH38" s="70">
        <f t="shared" si="5"/>
        <v>0</v>
      </c>
      <c r="CI38" s="70">
        <f t="shared" si="6"/>
        <v>13</v>
      </c>
      <c r="CJ38" s="74">
        <f t="shared" si="0"/>
        <v>13</v>
      </c>
      <c r="CK38" s="70">
        <f t="shared" si="7"/>
        <v>45</v>
      </c>
      <c r="CL38" s="72">
        <f t="shared" si="8"/>
        <v>4.0909090909090908</v>
      </c>
      <c r="CM38" s="70">
        <f t="shared" si="9"/>
        <v>35</v>
      </c>
      <c r="CN38" s="70">
        <f t="shared" si="10"/>
        <v>15</v>
      </c>
      <c r="CO38" s="73">
        <f t="array" ref="CO38">SUM(IF(ISERR(FIND("*",D38:CD38)),0,1))</f>
        <v>0</v>
      </c>
      <c r="CP38" s="73">
        <f t="array" ref="CP38">SUM(IF(ISERR(FIND("+",D38:CD38)),0,1))</f>
        <v>0</v>
      </c>
      <c r="CQ38" s="70">
        <f t="shared" si="11"/>
        <v>2</v>
      </c>
      <c r="CR38" s="73">
        <f t="array" ref="CR38">SUM(IF(ISERR(FIND(CR$4,$D38:$CD38)),0,1))</f>
        <v>8</v>
      </c>
      <c r="CS38" s="73">
        <f t="array" ref="CS38">SUM(IF(ISERR(FIND(CS$4,$D38:$CD38)),0,1))</f>
        <v>1</v>
      </c>
      <c r="CT38" s="73">
        <f t="array" ref="CT38">SUM(IF(ISERR(FIND(CT$4,$D38:$CD38)),0,1))</f>
        <v>1</v>
      </c>
      <c r="CU38" s="73">
        <f t="array" ref="CU38">SUM(IF(ISERR(FIND(CU$4,$D38:$CD38)),0,1))</f>
        <v>0</v>
      </c>
      <c r="CV38" s="73">
        <f t="array" ref="CV38">SUM(IF(ISERR(FIND(CV$4,$D38:$CD38)),0,1))</f>
        <v>1</v>
      </c>
      <c r="CW38" s="73">
        <f t="array" ref="CW38">SUM(IF(ISERR(FIND(CW$4,$D38:$CD38)),0,1))</f>
        <v>0</v>
      </c>
      <c r="CX38" s="73"/>
      <c r="CY38" s="73">
        <f t="shared" si="12"/>
        <v>3</v>
      </c>
      <c r="CZ38" s="73">
        <f t="shared" si="13"/>
        <v>4</v>
      </c>
      <c r="DA38" s="73">
        <f t="shared" si="14"/>
        <v>0</v>
      </c>
      <c r="DB38" s="73">
        <f t="shared" si="15"/>
        <v>0</v>
      </c>
      <c r="DC38" s="73">
        <f t="shared" si="16"/>
        <v>0</v>
      </c>
      <c r="DD38" s="73">
        <f t="shared" si="17"/>
        <v>0</v>
      </c>
      <c r="DE38" s="70">
        <f t="shared" si="18"/>
        <v>410113.45037999999</v>
      </c>
      <c r="DF38" s="70">
        <f t="shared" si="1"/>
        <v>19</v>
      </c>
      <c r="DG38" s="70">
        <v>0</v>
      </c>
      <c r="DH38" s="93" t="str">
        <f t="shared" si="19"/>
        <v/>
      </c>
      <c r="DI38" s="101">
        <f t="shared" si="20"/>
        <v>0.18181818181818182</v>
      </c>
    </row>
    <row r="39" spans="1:113" x14ac:dyDescent="0.15">
      <c r="A39" s="70" t="s">
        <v>58</v>
      </c>
      <c r="B39" s="70" t="s">
        <v>27</v>
      </c>
      <c r="C39" s="70" t="s">
        <v>160</v>
      </c>
      <c r="CE39" s="70">
        <f t="shared" si="2"/>
        <v>0</v>
      </c>
      <c r="CF39" s="70">
        <f t="shared" si="3"/>
        <v>0</v>
      </c>
      <c r="CG39" s="70">
        <f t="shared" si="4"/>
        <v>0</v>
      </c>
      <c r="CH39" s="70">
        <f t="shared" si="5"/>
        <v>0</v>
      </c>
      <c r="CI39" s="70">
        <f t="shared" si="6"/>
        <v>0</v>
      </c>
      <c r="CJ39" s="74">
        <f t="shared" si="0"/>
        <v>0</v>
      </c>
      <c r="CK39" s="70">
        <f t="shared" si="7"/>
        <v>0</v>
      </c>
      <c r="CL39" s="72">
        <f t="shared" si="8"/>
        <v>0</v>
      </c>
      <c r="CM39" s="70">
        <f t="shared" si="9"/>
        <v>0</v>
      </c>
      <c r="CN39" s="70">
        <f t="shared" si="10"/>
        <v>0</v>
      </c>
      <c r="CO39" s="73">
        <f t="array" ref="CO39">SUM(IF(ISERR(FIND("*",D39:CD39)),0,1))</f>
        <v>0</v>
      </c>
      <c r="CP39" s="73">
        <f t="array" ref="CP39">SUM(IF(ISERR(FIND("+",D39:CD39)),0,1))</f>
        <v>0</v>
      </c>
      <c r="CQ39" s="70">
        <f t="shared" si="11"/>
        <v>0</v>
      </c>
      <c r="CR39" s="73">
        <f t="array" ref="CR39">SUM(IF(ISERR(FIND(CR$4,$D39:$CD39)),0,1))</f>
        <v>0</v>
      </c>
      <c r="CS39" s="73">
        <f t="array" ref="CS39">SUM(IF(ISERR(FIND(CS$4,$D39:$CD39)),0,1))</f>
        <v>0</v>
      </c>
      <c r="CT39" s="73">
        <f t="array" ref="CT39">SUM(IF(ISERR(FIND(CT$4,$D39:$CD39)),0,1))</f>
        <v>0</v>
      </c>
      <c r="CU39" s="73">
        <f t="array" ref="CU39">SUM(IF(ISERR(FIND(CU$4,$D39:$CD39)),0,1))</f>
        <v>0</v>
      </c>
      <c r="CV39" s="73">
        <f t="array" ref="CV39">SUM(IF(ISERR(FIND(CV$4,$D39:$CD39)),0,1))</f>
        <v>0</v>
      </c>
      <c r="CW39" s="73">
        <f t="array" ref="CW39">SUM(IF(ISERR(FIND(CW$4,$D39:$CD39)),0,1))</f>
        <v>0</v>
      </c>
      <c r="CX39" s="73"/>
      <c r="CY39" s="73">
        <f t="shared" si="12"/>
        <v>0</v>
      </c>
      <c r="CZ39" s="73">
        <f t="shared" si="13"/>
        <v>0</v>
      </c>
      <c r="DA39" s="73">
        <f t="shared" si="14"/>
        <v>0</v>
      </c>
      <c r="DB39" s="73">
        <f t="shared" si="15"/>
        <v>0</v>
      </c>
      <c r="DC39" s="73">
        <f t="shared" si="16"/>
        <v>0</v>
      </c>
      <c r="DD39" s="73">
        <f t="shared" si="17"/>
        <v>0</v>
      </c>
      <c r="DE39" s="70">
        <f t="shared" si="18"/>
        <v>3.8999999999999999E-4</v>
      </c>
      <c r="DF39" s="70">
        <f t="shared" si="1"/>
        <v>33</v>
      </c>
      <c r="DG39" s="70">
        <v>0</v>
      </c>
      <c r="DH39" s="93" t="str">
        <f t="shared" si="19"/>
        <v/>
      </c>
      <c r="DI39" s="101" t="e">
        <f t="shared" si="20"/>
        <v>#DIV/0!</v>
      </c>
    </row>
    <row r="40" spans="1:113" x14ac:dyDescent="0.15">
      <c r="A40" s="70" t="s">
        <v>59</v>
      </c>
      <c r="B40" s="70" t="s">
        <v>29</v>
      </c>
      <c r="C40" s="70" t="s">
        <v>161</v>
      </c>
      <c r="G40" s="70" t="s">
        <v>329</v>
      </c>
      <c r="CE40" s="70">
        <f>BatSplit(D40:CD40,MatchesPlayed)</f>
        <v>1</v>
      </c>
      <c r="CF40" s="70">
        <f>CE40-CG40</f>
        <v>0</v>
      </c>
      <c r="CG40" s="70">
        <f>BatSplit(D40:CD40,InnsBattedIn)</f>
        <v>1</v>
      </c>
      <c r="CH40" s="70">
        <f>BatSplit(D40:CD40,NotOuts)</f>
        <v>0</v>
      </c>
      <c r="CI40" s="70">
        <f>BatSplit(D40:CD40,HighestScore)</f>
        <v>32</v>
      </c>
      <c r="CJ40" s="74">
        <f t="shared" si="0"/>
        <v>32</v>
      </c>
      <c r="CK40" s="70">
        <f>BatSplit(D40:CD40,RunsScored)</f>
        <v>32</v>
      </c>
      <c r="CL40" s="72">
        <f>IF(CG40=CH40,0,CK40/(CG40-CH40))</f>
        <v>32</v>
      </c>
      <c r="CM40" s="70">
        <f>BatSplit(D40:CD40,BatPts)</f>
        <v>32</v>
      </c>
      <c r="CN40" s="70">
        <f>BatSplit(D40:CD40,FldPts)</f>
        <v>0</v>
      </c>
      <c r="CO40" s="73">
        <f t="array" ref="CO40">SUM(IF(ISERR(FIND("*",D40:CD40)),0,1))</f>
        <v>0</v>
      </c>
      <c r="CP40" s="73">
        <f t="array" ref="CP40">SUM(IF(ISERR(FIND("+",D40:CD40)),0,1))</f>
        <v>0</v>
      </c>
      <c r="CQ40" s="70">
        <f>BatSplit(D40:CD40,Ducks)</f>
        <v>0</v>
      </c>
      <c r="CR40" s="73">
        <f t="array" ref="CR40">SUM(IF(ISERR(FIND(CR$4,$D40:$CD40)),0,1))</f>
        <v>0</v>
      </c>
      <c r="CS40" s="73">
        <f t="array" ref="CS40">SUM(IF(ISERR(FIND(CS$4,$D40:$CD40)),0,1))</f>
        <v>1</v>
      </c>
      <c r="CT40" s="73">
        <f t="array" ref="CT40">SUM(IF(ISERR(FIND(CT$4,$D40:$CD40)),0,1))</f>
        <v>0</v>
      </c>
      <c r="CU40" s="73">
        <f t="array" ref="CU40">SUM(IF(ISERR(FIND(CU$4,$D40:$CD40)),0,1))</f>
        <v>0</v>
      </c>
      <c r="CV40" s="73">
        <f t="array" ref="CV40">SUM(IF(ISERR(FIND(CV$4,$D40:$CD40)),0,1))</f>
        <v>0</v>
      </c>
      <c r="CW40" s="73">
        <f t="array" ref="CW40">SUM(IF(ISERR(FIND(CW$4,$D40:$CD40)),0,1))</f>
        <v>0</v>
      </c>
      <c r="CX40" s="133" t="str">
        <f>IF(CG40-CH40&gt;=10,MAX(CR40:CW40)/(CG40-CH40),"")</f>
        <v/>
      </c>
      <c r="CY40" s="73">
        <f>BatSplit(D40:CD40,Catches)</f>
        <v>0</v>
      </c>
      <c r="CZ40" s="73">
        <f>BatSplit(D40:CD40,Fours)</f>
        <v>5</v>
      </c>
      <c r="DA40" s="73">
        <f>BatSplit(D40:CD40,Sixes)</f>
        <v>1</v>
      </c>
      <c r="DB40" s="73">
        <f>BatSplit(D40:CD40,Stumpings)</f>
        <v>0</v>
      </c>
      <c r="DC40" s="73">
        <f>BatSplit(D40:CD40,CaughtWkt)</f>
        <v>0</v>
      </c>
      <c r="DD40" s="73">
        <f>BatSplit(D40:CD40,TwentyFives)</f>
        <v>1</v>
      </c>
      <c r="DE40" s="70">
        <f>ROUND(IF(ISERROR(CL40),0,CL40),2)*100000+CG40*100+CE40+CK40/100+ROW()/100000</f>
        <v>3200101.3203999996</v>
      </c>
      <c r="DF40" s="70">
        <f t="shared" si="1"/>
        <v>2</v>
      </c>
      <c r="DG40" s="70">
        <v>0</v>
      </c>
      <c r="DH40" s="93" t="str">
        <f>IF(CK40&gt;=50,(CZ40*4+DA40*6+DG40*5)/CK40,"")</f>
        <v/>
      </c>
      <c r="DI40" s="101">
        <f>CQ40/(CG40-CH40)</f>
        <v>0</v>
      </c>
    </row>
    <row r="41" spans="1:113" x14ac:dyDescent="0.15">
      <c r="C41" s="70" t="s">
        <v>309</v>
      </c>
      <c r="F41" s="70" t="s">
        <v>310</v>
      </c>
      <c r="G41" s="70" t="s">
        <v>327</v>
      </c>
      <c r="H41" s="70" t="s">
        <v>347</v>
      </c>
      <c r="I41" s="70" t="s">
        <v>368</v>
      </c>
      <c r="J41" s="70" t="s">
        <v>393</v>
      </c>
      <c r="L41" s="70" t="s">
        <v>423</v>
      </c>
      <c r="R41" s="70" t="s">
        <v>513</v>
      </c>
      <c r="S41" s="70" t="s">
        <v>530</v>
      </c>
      <c r="CE41" s="70">
        <f>BatSplit(D41:CD41,MatchesPlayed)</f>
        <v>8</v>
      </c>
      <c r="CF41" s="70">
        <f>CE41-CG41</f>
        <v>1</v>
      </c>
      <c r="CG41" s="70">
        <f>BatSplit(D41:CD41,InnsBattedIn)</f>
        <v>7</v>
      </c>
      <c r="CH41" s="70">
        <f>BatSplit(D41:CD41,NotOuts)</f>
        <v>1</v>
      </c>
      <c r="CI41" s="70">
        <f>BatSplit(D41:CD41,HighestScore)</f>
        <v>16</v>
      </c>
      <c r="CJ41" s="74">
        <f t="shared" si="0"/>
        <v>16</v>
      </c>
      <c r="CK41" s="70">
        <f>BatSplit(D41:CD41,RunsScored)</f>
        <v>60</v>
      </c>
      <c r="CL41" s="72">
        <f>IF(CG41=CH41,0,CK41/(CG41-CH41))</f>
        <v>10</v>
      </c>
      <c r="CM41" s="70">
        <f>BatSplit(D41:CD41,BatPts)</f>
        <v>60</v>
      </c>
      <c r="CN41" s="70">
        <f>BatSplit(D41:CD41,FldPts)</f>
        <v>0</v>
      </c>
      <c r="CO41" s="73">
        <f t="array" ref="CO41">SUM(IF(ISERR(FIND("*",D41:CD41)),0,1))</f>
        <v>0</v>
      </c>
      <c r="CP41" s="73">
        <f t="array" ref="CP41">SUM(IF(ISERR(FIND("+",D41:CD41)),0,1))</f>
        <v>8</v>
      </c>
      <c r="CQ41" s="70">
        <f>BatSplit(D41:CD41,Ducks)</f>
        <v>0</v>
      </c>
      <c r="CR41" s="73">
        <f t="array" ref="CR41">SUM(IF(ISERR(FIND(CR$4,$D41:$CD41)),0,1))</f>
        <v>2</v>
      </c>
      <c r="CS41" s="73">
        <f t="array" ref="CS41">SUM(IF(ISERR(FIND(CS$4,$D41:$CD41)),0,1))</f>
        <v>3</v>
      </c>
      <c r="CT41" s="73">
        <f t="array" ref="CT41">SUM(IF(ISERR(FIND(CT$4,$D41:$CD41)),0,1))</f>
        <v>0</v>
      </c>
      <c r="CU41" s="73">
        <f t="array" ref="CU41">SUM(IF(ISERR(FIND(CU$4,$D41:$CD41)),0,1))</f>
        <v>0</v>
      </c>
      <c r="CV41" s="73">
        <f t="array" ref="CV41">SUM(IF(ISERR(FIND(CV$4,$D41:$CD41)),0,1))</f>
        <v>1</v>
      </c>
      <c r="CW41" s="73">
        <f t="array" ref="CW41">SUM(IF(ISERR(FIND(CW$4,$D41:$CD41)),0,1))</f>
        <v>0</v>
      </c>
      <c r="CX41" s="73"/>
      <c r="CY41" s="73">
        <f>BatSplit(D41:CD41,Catches)</f>
        <v>11</v>
      </c>
      <c r="CZ41" s="73">
        <f>BatSplit(D41:CD41,Fours)</f>
        <v>6</v>
      </c>
      <c r="DA41" s="73">
        <f>BatSplit(D41:CD41,Sixes)</f>
        <v>0</v>
      </c>
      <c r="DB41" s="73">
        <f>BatSplit(D41:CD41,Stumpings)</f>
        <v>7</v>
      </c>
      <c r="DC41" s="73">
        <f>BatSplit(D41:CD41,CaughtWkt)</f>
        <v>11</v>
      </c>
      <c r="DD41" s="73">
        <f>BatSplit(D41:CD41,TwentyFives)</f>
        <v>0</v>
      </c>
      <c r="DE41" s="70">
        <f>ROUND(IF(ISERROR(CL41),0,CL41),2)*100000+CG41*100+CE41+CK41/100+ROW()/100000</f>
        <v>1000708.60041</v>
      </c>
      <c r="DF41" s="70">
        <f t="shared" si="1"/>
        <v>13</v>
      </c>
      <c r="DG41" s="70">
        <v>0</v>
      </c>
      <c r="DH41" s="93">
        <f>IF(CK41&gt;=50,(CZ41*4+DA41*6+DG41*5)/CK41,"")</f>
        <v>0.4</v>
      </c>
      <c r="DI41" s="101">
        <f>CQ41/(CG41-CH41)</f>
        <v>0</v>
      </c>
    </row>
    <row r="42" spans="1:113" x14ac:dyDescent="0.15">
      <c r="B42" s="70" t="s">
        <v>227</v>
      </c>
      <c r="C42" s="70" t="s">
        <v>228</v>
      </c>
      <c r="E42" s="70" t="s">
        <v>293</v>
      </c>
      <c r="Q42"/>
      <c r="CE42" s="70">
        <f>BatSplit(D42:CD42,MatchesPlayed)</f>
        <v>1</v>
      </c>
      <c r="CF42" s="70">
        <f>CE42-CG42</f>
        <v>0</v>
      </c>
      <c r="CG42" s="70">
        <f>BatSplit(D42:CD42,InnsBattedIn)</f>
        <v>1</v>
      </c>
      <c r="CH42" s="70">
        <f>BatSplit(D42:CD42,NotOuts)</f>
        <v>1</v>
      </c>
      <c r="CI42" s="70">
        <f>BatSplit(D42:CD42,HighestScore)</f>
        <v>-6</v>
      </c>
      <c r="CJ42" s="74" t="str">
        <f t="shared" si="0"/>
        <v>6*</v>
      </c>
      <c r="CK42" s="70">
        <f>BatSplit(D42:CD42,RunsScored)</f>
        <v>6</v>
      </c>
      <c r="CL42" s="72">
        <f>IF(CG42=CH42,0,CK42/(CG42-CH42))</f>
        <v>0</v>
      </c>
      <c r="CM42" s="70">
        <f>BatSplit(D42:CD42,BatPts)</f>
        <v>6</v>
      </c>
      <c r="CN42" s="70">
        <f>BatSplit(D42:CD42,FldPts)</f>
        <v>0</v>
      </c>
      <c r="CO42" s="73">
        <f t="array" ref="CO42">SUM(IF(ISERR(FIND("*",D42:CD42)),0,1))</f>
        <v>0</v>
      </c>
      <c r="CP42" s="73">
        <f t="array" ref="CP42">SUM(IF(ISERR(FIND("+",D42:CD42)),0,1))</f>
        <v>0</v>
      </c>
      <c r="CQ42" s="70">
        <f>BatSplit(D42:CD42,Ducks)</f>
        <v>0</v>
      </c>
      <c r="CR42" s="73">
        <f t="array" ref="CR42">SUM(IF(ISERR(FIND(CR$4,$D42:$CD42)),0,1))</f>
        <v>0</v>
      </c>
      <c r="CS42" s="73">
        <f t="array" ref="CS42">SUM(IF(ISERR(FIND(CS$4,$D42:$CD42)),0,1))</f>
        <v>0</v>
      </c>
      <c r="CT42" s="73">
        <f t="array" ref="CT42">SUM(IF(ISERR(FIND(CT$4,$D42:$CD42)),0,1))</f>
        <v>0</v>
      </c>
      <c r="CU42" s="73">
        <f t="array" ref="CU42">SUM(IF(ISERR(FIND(CU$4,$D42:$CD42)),0,1))</f>
        <v>0</v>
      </c>
      <c r="CV42" s="73">
        <f t="array" ref="CV42">SUM(IF(ISERR(FIND(CV$4,$D42:$CD42)),0,1))</f>
        <v>0</v>
      </c>
      <c r="CW42" s="73">
        <f t="array" ref="CW42">SUM(IF(ISERR(FIND(CW$4,$D42:$CD42)),0,1))</f>
        <v>0</v>
      </c>
      <c r="CX42" s="133" t="str">
        <f>IF(CG42-CH42&gt;=10,MAX(CR42:CW42)/(CG42-CH42),"")</f>
        <v/>
      </c>
      <c r="CY42" s="73">
        <f>BatSplit(D42:CD42,Catches)</f>
        <v>0</v>
      </c>
      <c r="CZ42" s="73">
        <f>BatSplit(D42:CD42,Fours)</f>
        <v>0</v>
      </c>
      <c r="DA42" s="73">
        <f>BatSplit(D42:CD42,Sixes)</f>
        <v>0</v>
      </c>
      <c r="DB42" s="73">
        <f>BatSplit(D42:CD42,Stumpings)</f>
        <v>0</v>
      </c>
      <c r="DC42" s="73">
        <f>BatSplit(D42:CD42,CaughtWkt)</f>
        <v>0</v>
      </c>
      <c r="DD42" s="73">
        <f>BatSplit(D42:CD42,TwentyFives)</f>
        <v>0</v>
      </c>
      <c r="DE42" s="70">
        <f>ROUND(IF(ISERROR(CL42),0,CL42),2)*100000+CG42*100+CE42+CK42/100+ROW()/100000</f>
        <v>101.06042000000001</v>
      </c>
      <c r="DF42" s="70">
        <f t="shared" si="1"/>
        <v>30</v>
      </c>
      <c r="DG42" s="70">
        <v>0</v>
      </c>
      <c r="DH42" s="93" t="str">
        <f>IF(CK42&gt;=50,(CZ42*4+DA42*6+DG42*5)/CK42,"")</f>
        <v/>
      </c>
      <c r="DI42" s="101" t="e">
        <f>CQ42/(CG42-CH42)</f>
        <v>#DIV/0!</v>
      </c>
    </row>
    <row r="43" spans="1:113" x14ac:dyDescent="0.15">
      <c r="A43" s="70" t="s">
        <v>63</v>
      </c>
      <c r="B43" s="70" t="s">
        <v>26</v>
      </c>
      <c r="C43" s="70" t="s">
        <v>162</v>
      </c>
      <c r="F43" s="70" t="s">
        <v>311</v>
      </c>
      <c r="H43" s="70" t="s">
        <v>350</v>
      </c>
      <c r="N43"/>
      <c r="R43"/>
      <c r="S43"/>
      <c r="T43"/>
      <c r="V43" s="134"/>
      <c r="CE43" s="70">
        <f>BatSplit(D43:CD43,MatchesPlayed)</f>
        <v>2</v>
      </c>
      <c r="CF43" s="70">
        <f>CE43-CG43</f>
        <v>1</v>
      </c>
      <c r="CG43" s="70">
        <f>BatSplit(D43:CD43,InnsBattedIn)</f>
        <v>1</v>
      </c>
      <c r="CH43" s="70">
        <f>BatSplit(D43:CD43,NotOuts)</f>
        <v>0</v>
      </c>
      <c r="CI43" s="70">
        <f>BatSplit(D43:CD43,HighestScore)</f>
        <v>15</v>
      </c>
      <c r="CJ43" s="74">
        <f t="shared" si="0"/>
        <v>15</v>
      </c>
      <c r="CK43" s="70">
        <f>BatSplit(D43:CD43,RunsScored)</f>
        <v>15</v>
      </c>
      <c r="CL43" s="72">
        <f>IF(CG43=CH43,0,CK43/(CG43-CH43))</f>
        <v>15</v>
      </c>
      <c r="CM43" s="70">
        <f>BatSplit(D43:CD43,BatPts)</f>
        <v>15</v>
      </c>
      <c r="CN43" s="70">
        <f>BatSplit(D43:CD43,FldPts)</f>
        <v>5</v>
      </c>
      <c r="CO43" s="73">
        <f t="array" ref="CO43">SUM(IF(ISERR(FIND("*",D43:CD43)),0,1))</f>
        <v>2</v>
      </c>
      <c r="CP43" s="73">
        <f t="array" ref="CP43">SUM(IF(ISERR(FIND("+",D43:CD43)),0,1))</f>
        <v>0</v>
      </c>
      <c r="CQ43" s="70">
        <f>BatSplit(D43:CD43,Ducks)</f>
        <v>0</v>
      </c>
      <c r="CR43" s="73">
        <f t="array" ref="CR43">SUM(IF(ISERR(FIND(CR$4,$D43:$CD43)),0,1))</f>
        <v>1</v>
      </c>
      <c r="CS43" s="73">
        <f t="array" ref="CS43">SUM(IF(ISERR(FIND(CS$4,$D43:$CD43)),0,1))</f>
        <v>0</v>
      </c>
      <c r="CT43" s="73">
        <f t="array" ref="CT43">SUM(IF(ISERR(FIND(CT$4,$D43:$CD43)),0,1))</f>
        <v>0</v>
      </c>
      <c r="CU43" s="73">
        <f t="array" ref="CU43">SUM(IF(ISERR(FIND(CU$4,$D43:$CD43)),0,1))</f>
        <v>0</v>
      </c>
      <c r="CV43" s="73">
        <f t="array" ref="CV43">SUM(IF(ISERR(FIND(CV$4,$D43:$CD43)),0,1))</f>
        <v>0</v>
      </c>
      <c r="CW43" s="73">
        <f t="array" ref="CW43">SUM(IF(ISERR(FIND(CW$4,$D43:$CD43)),0,1))</f>
        <v>0</v>
      </c>
      <c r="CX43" s="133" t="str">
        <f>IF(CG43-CH43&gt;=10,MAX(CR43:CW43)/(CG43-CH43),"")</f>
        <v/>
      </c>
      <c r="CY43" s="73">
        <f>BatSplit(D43:CD43,Catches)</f>
        <v>1</v>
      </c>
      <c r="CZ43" s="73">
        <f>BatSplit(D43:CD43,Fours)</f>
        <v>0</v>
      </c>
      <c r="DA43" s="73">
        <f>BatSplit(D43:CD43,Sixes)</f>
        <v>0</v>
      </c>
      <c r="DB43" s="73">
        <f>BatSplit(D43:CD43,Stumpings)</f>
        <v>0</v>
      </c>
      <c r="DC43" s="73">
        <f>BatSplit(D43:CD43,CaughtWkt)</f>
        <v>0</v>
      </c>
      <c r="DD43" s="73">
        <f>BatSplit(D43:CD43,TwentyFives)</f>
        <v>0</v>
      </c>
      <c r="DE43" s="70">
        <f>ROUND(IF(ISERROR(CL43),0,CL43),2)*100000+CG43*100+CE43+CK43/100+ROW()/100000</f>
        <v>1500102.1504299999</v>
      </c>
      <c r="DF43" s="70">
        <f t="shared" si="1"/>
        <v>9</v>
      </c>
      <c r="DG43" s="70">
        <v>0</v>
      </c>
      <c r="DH43" s="93" t="str">
        <f>IF(CK43&gt;=50,(CZ43*4+DA43*6+DG43*5)/CK43,"")</f>
        <v/>
      </c>
      <c r="DI43" s="101">
        <f>CQ43/(CG43-CH43)</f>
        <v>0</v>
      </c>
    </row>
    <row r="44" spans="1:113" x14ac:dyDescent="0.15">
      <c r="A44" s="70" t="s">
        <v>60</v>
      </c>
      <c r="B44" s="70" t="s">
        <v>33</v>
      </c>
      <c r="C44" s="70" t="s">
        <v>163</v>
      </c>
      <c r="N44"/>
      <c r="O44"/>
      <c r="S44"/>
      <c r="U44"/>
      <c r="CE44" s="70">
        <f>BatSplit(D44:CD44,MatchesPlayed)</f>
        <v>0</v>
      </c>
      <c r="CF44" s="70">
        <f>CE44-CG44</f>
        <v>0</v>
      </c>
      <c r="CG44" s="70">
        <f>BatSplit(D44:CD44,InnsBattedIn)</f>
        <v>0</v>
      </c>
      <c r="CH44" s="70">
        <f>BatSplit(D44:CD44,NotOuts)</f>
        <v>0</v>
      </c>
      <c r="CI44" s="70">
        <f>BatSplit(D44:CD44,HighestScore)</f>
        <v>0</v>
      </c>
      <c r="CJ44" s="74">
        <f t="shared" si="0"/>
        <v>0</v>
      </c>
      <c r="CK44" s="70">
        <f>BatSplit(D44:CD44,RunsScored)</f>
        <v>0</v>
      </c>
      <c r="CL44" s="72">
        <f>IF(CG44=CH44,0,CK44/(CG44-CH44))</f>
        <v>0</v>
      </c>
      <c r="CM44" s="70">
        <f>BatSplit(D44:CD44,BatPts)</f>
        <v>0</v>
      </c>
      <c r="CN44" s="70">
        <f>BatSplit(D44:CD44,FldPts)</f>
        <v>0</v>
      </c>
      <c r="CO44" s="73">
        <f t="array" ref="CO44">SUM(IF(ISERR(FIND("*",D44:CD44)),0,1))</f>
        <v>0</v>
      </c>
      <c r="CP44" s="73">
        <f t="array" ref="CP44">SUM(IF(ISERR(FIND("+",D44:CD44)),0,1))</f>
        <v>0</v>
      </c>
      <c r="CQ44" s="70">
        <f>BatSplit(D44:CD44,Ducks)</f>
        <v>0</v>
      </c>
      <c r="CR44" s="73">
        <f t="array" ref="CR44">SUM(IF(ISERR(FIND(CR$4,$D44:$CD44)),0,1))</f>
        <v>0</v>
      </c>
      <c r="CS44" s="73">
        <f t="array" ref="CS44">SUM(IF(ISERR(FIND(CS$4,$D44:$CD44)),0,1))</f>
        <v>0</v>
      </c>
      <c r="CT44" s="73">
        <f t="array" ref="CT44">SUM(IF(ISERR(FIND(CT$4,$D44:$CD44)),0,1))</f>
        <v>0</v>
      </c>
      <c r="CU44" s="73">
        <f t="array" ref="CU44">SUM(IF(ISERR(FIND(CU$4,$D44:$CD44)),0,1))</f>
        <v>0</v>
      </c>
      <c r="CV44" s="73">
        <f t="array" ref="CV44">SUM(IF(ISERR(FIND(CV$4,$D44:$CD44)),0,1))</f>
        <v>0</v>
      </c>
      <c r="CW44" s="73">
        <f t="array" ref="CW44">SUM(IF(ISERR(FIND(CW$4,$D44:$CD44)),0,1))</f>
        <v>0</v>
      </c>
      <c r="CX44" s="133" t="str">
        <f>IF(CG44-CH44&gt;=10,MAX(CR44:CW44)/(CG44-CH44),"")</f>
        <v/>
      </c>
      <c r="CY44" s="73">
        <f>BatSplit(D44:CD44,Catches)</f>
        <v>0</v>
      </c>
      <c r="CZ44" s="73">
        <f>BatSplit(D44:CD44,Fours)</f>
        <v>0</v>
      </c>
      <c r="DA44" s="73">
        <f>BatSplit(D44:CD44,Sixes)</f>
        <v>0</v>
      </c>
      <c r="DB44" s="73">
        <f>BatSplit(D44:CD44,Stumpings)</f>
        <v>0</v>
      </c>
      <c r="DC44" s="73">
        <f>BatSplit(D44:CD44,CaughtWkt)</f>
        <v>0</v>
      </c>
      <c r="DD44" s="73">
        <f>BatSplit(D44:CD44,TwentyFives)</f>
        <v>0</v>
      </c>
      <c r="DE44" s="70">
        <f>ROUND(IF(ISERROR(CL44),0,CL44),2)*100000+CG44*100+CE44+CK44/100+ROW()/100000</f>
        <v>4.4000000000000002E-4</v>
      </c>
      <c r="DF44" s="70">
        <f t="shared" si="1"/>
        <v>32</v>
      </c>
      <c r="DG44" s="70">
        <v>0</v>
      </c>
      <c r="DH44" s="93" t="str">
        <f>IF(CK44&gt;=50,(CZ44*4+DA44*6+DG44*5)/CK44,"")</f>
        <v/>
      </c>
      <c r="DI44" s="101" t="e">
        <f>CQ44/(CG44-CH44)</f>
        <v>#DIV/0!</v>
      </c>
    </row>
    <row r="45" spans="1:113" x14ac:dyDescent="0.15">
      <c r="CJ45" s="74"/>
      <c r="CL45" s="72"/>
      <c r="CO45" s="73"/>
      <c r="CP45" s="73"/>
      <c r="CR45" s="73"/>
      <c r="CS45" s="73"/>
      <c r="CT45" s="73"/>
      <c r="CU45" s="73"/>
      <c r="CV45" s="73"/>
      <c r="CW45" s="73"/>
      <c r="CX45" s="73"/>
    </row>
    <row r="46" spans="1:113" x14ac:dyDescent="0.15">
      <c r="CO46" s="94">
        <f t="shared" ref="CO46:CV46" si="41">SUM(CO5:CO45)</f>
        <v>16</v>
      </c>
      <c r="CP46" s="94">
        <f t="shared" si="41"/>
        <v>16</v>
      </c>
      <c r="CQ46" s="62">
        <f t="shared" si="41"/>
        <v>20</v>
      </c>
      <c r="CR46" s="75">
        <f t="shared" si="41"/>
        <v>50</v>
      </c>
      <c r="CS46" s="75">
        <f t="shared" si="41"/>
        <v>39</v>
      </c>
      <c r="CT46" s="75">
        <f t="shared" si="41"/>
        <v>13</v>
      </c>
      <c r="CU46" s="75">
        <f t="shared" si="41"/>
        <v>1</v>
      </c>
      <c r="CV46" s="75">
        <f t="shared" si="41"/>
        <v>9</v>
      </c>
      <c r="CW46" s="75"/>
      <c r="CX46" s="75"/>
      <c r="CY46" s="62">
        <f t="shared" ref="CY46:DD46" si="42">SUM(CY5:CY45)</f>
        <v>54</v>
      </c>
      <c r="CZ46" s="62">
        <f t="shared" si="42"/>
        <v>169</v>
      </c>
      <c r="DA46" s="62">
        <f t="shared" si="42"/>
        <v>14</v>
      </c>
      <c r="DB46" s="62">
        <f t="shared" si="42"/>
        <v>10</v>
      </c>
      <c r="DC46" s="62">
        <f t="shared" si="42"/>
        <v>16</v>
      </c>
      <c r="DD46" s="62">
        <f t="shared" si="42"/>
        <v>17</v>
      </c>
    </row>
    <row r="47" spans="1:113" x14ac:dyDescent="0.15">
      <c r="C47" s="70" t="s">
        <v>135</v>
      </c>
      <c r="D47" s="70">
        <f t="array" ref="D47">SUM(IF(NOT(ISERR(FIND("*",D5:D44))),1,0))</f>
        <v>1</v>
      </c>
      <c r="E47" s="70">
        <f t="array" ref="E47">SUM(IF(NOT(ISERR(FIND("*",E5:E44))),1,0))</f>
        <v>1</v>
      </c>
      <c r="F47" s="70">
        <f t="array" ref="F47">SUM(IF(NOT(ISERR(FIND("*",F5:F44))),1,0))</f>
        <v>1</v>
      </c>
      <c r="G47" s="70">
        <f t="array" ref="G47">SUM(IF(NOT(ISERR(FIND("*",G5:G44))),1,0))</f>
        <v>1</v>
      </c>
      <c r="H47" s="70">
        <f t="array" ref="H47">SUM(IF(NOT(ISERR(FIND("*",H5:H44))),1,0))</f>
        <v>1</v>
      </c>
      <c r="I47" s="70">
        <f t="array" ref="I47">SUM(IF(NOT(ISERR(FIND("*",I5:I44))),1,0))</f>
        <v>1</v>
      </c>
      <c r="J47" s="70">
        <f t="array" ref="J47">SUM(IF(NOT(ISERR(FIND("*",J5:J44))),1,0))</f>
        <v>1</v>
      </c>
      <c r="K47" s="70">
        <f t="array" ref="K47">SUM(IF(NOT(ISERR(FIND("*",K5:K44))),1,0))</f>
        <v>1</v>
      </c>
      <c r="L47" s="70">
        <f t="array" ref="L47">SUM(IF(NOT(ISERR(FIND("*",L5:L44))),1,0))</f>
        <v>1</v>
      </c>
      <c r="M47" s="70">
        <f t="array" ref="M47">SUM(IF(NOT(ISERR(FIND("*",M5:M44))),1,0))</f>
        <v>1</v>
      </c>
      <c r="N47" s="70">
        <f t="array" ref="N47">SUM(IF(NOT(ISERR(FIND("*",N5:N44))),1,0))</f>
        <v>1</v>
      </c>
      <c r="O47" s="70">
        <f t="array" ref="O47">SUM(IF(NOT(ISERR(FIND("*",O5:O44))),1,0))</f>
        <v>1</v>
      </c>
      <c r="P47" s="70">
        <f t="array" ref="P47">SUM(IF(NOT(ISERR(FIND("*",P5:P44))),1,0))</f>
        <v>1</v>
      </c>
      <c r="Q47" s="70">
        <f t="array" ref="Q47">SUM(IF(NOT(ISERR(FIND("*",Q5:Q44))),1,0))</f>
        <v>1</v>
      </c>
      <c r="R47" s="70">
        <f t="array" ref="R47">SUM(IF(NOT(ISERR(FIND("*",R5:R44))),1,0))</f>
        <v>1</v>
      </c>
      <c r="S47" s="70">
        <f t="array" ref="S47">SUM(IF(NOT(ISERR(FIND("*",S5:S44))),1,0))</f>
        <v>1</v>
      </c>
      <c r="T47" s="70">
        <f t="array" ref="T47">SUM(IF(NOT(ISERR(FIND("*",T5:T44))),1,0))</f>
        <v>0</v>
      </c>
      <c r="U47" s="70">
        <f t="array" ref="U47">SUM(IF(NOT(ISERR(FIND("*",U5:U44))),1,0))</f>
        <v>0</v>
      </c>
      <c r="V47" s="70">
        <f t="array" ref="V47">SUM(IF(NOT(ISERR(FIND("*",V5:V44))),1,0))</f>
        <v>0</v>
      </c>
      <c r="W47" s="70">
        <f t="array" ref="W47">SUM(IF(NOT(ISERR(FIND("*",W5:W44))),1,0))</f>
        <v>0</v>
      </c>
      <c r="X47" s="70">
        <f t="array" ref="X47">SUM(IF(NOT(ISERR(FIND("*",X5:X44))),1,0))</f>
        <v>0</v>
      </c>
      <c r="Y47" s="70">
        <f t="array" ref="Y47">SUM(IF(NOT(ISERR(FIND("*",Y5:Y44))),1,0))</f>
        <v>0</v>
      </c>
      <c r="Z47" s="70">
        <f t="array" ref="Z47">SUM(IF(NOT(ISERR(FIND("*",Z5:Z44))),1,0))</f>
        <v>0</v>
      </c>
      <c r="AA47" s="70">
        <f t="array" ref="AA47">SUM(IF(NOT(ISERR(FIND("*",AA5:AA44))),1,0))</f>
        <v>0</v>
      </c>
      <c r="AB47" s="70">
        <f t="array" ref="AB47">SUM(IF(NOT(ISERR(FIND("*",AB5:AB44))),1,0))</f>
        <v>0</v>
      </c>
      <c r="AC47" s="70">
        <f t="array" ref="AC47">SUM(IF(NOT(ISERR(FIND("*",AC5:AC44))),1,0))</f>
        <v>0</v>
      </c>
      <c r="AD47" s="70">
        <f t="array" ref="AD47">SUM(IF(NOT(ISERR(FIND("*",AD5:AD44))),1,0))</f>
        <v>0</v>
      </c>
      <c r="AE47" s="70">
        <f t="array" ref="AE47">SUM(IF(NOT(ISERR(FIND("*",AE5:AE44))),1,0))</f>
        <v>0</v>
      </c>
      <c r="AF47" s="70">
        <f t="array" ref="AF47">SUM(IF(NOT(ISERR(FIND("*",AF5:AF44))),1,0))</f>
        <v>0</v>
      </c>
      <c r="AG47" s="70">
        <f t="array" ref="AG47">SUM(IF(NOT(ISERR(FIND("*",AG5:AG44))),1,0))</f>
        <v>0</v>
      </c>
      <c r="AH47" s="70">
        <f t="array" ref="AH47">SUM(IF(NOT(ISERR(FIND("*",AH5:AH44))),1,0))</f>
        <v>0</v>
      </c>
      <c r="AI47" s="70">
        <f t="array" ref="AI47">SUM(IF(NOT(ISERR(FIND("*",AI5:AI44))),1,0))</f>
        <v>0</v>
      </c>
      <c r="AJ47" s="70">
        <f t="array" ref="AJ47">SUM(IF(NOT(ISERR(FIND("*",AJ5:AJ44))),1,0))</f>
        <v>0</v>
      </c>
      <c r="AK47" s="70">
        <f t="array" ref="AK47">SUM(IF(NOT(ISERR(FIND("*",AK5:AK44))),1,0))</f>
        <v>0</v>
      </c>
      <c r="AL47" s="70">
        <f t="array" ref="AL47">SUM(IF(NOT(ISERR(FIND("*",AL5:AL44))),1,0))</f>
        <v>0</v>
      </c>
      <c r="AM47" s="70">
        <f t="array" ref="AM47">SUM(IF(NOT(ISERR(FIND("*",AM5:AM44))),1,0))</f>
        <v>0</v>
      </c>
      <c r="AN47" s="70">
        <f t="array" ref="AN47">SUM(IF(NOT(ISERR(FIND("*",AN5:AN44))),1,0))</f>
        <v>0</v>
      </c>
      <c r="AO47" s="70">
        <f t="array" ref="AO47">SUM(IF(NOT(ISERR(FIND("*",AO5:AO44))),1,0))</f>
        <v>0</v>
      </c>
      <c r="AP47" s="70">
        <f t="array" ref="AP47">SUM(IF(NOT(ISERR(FIND("*",AP5:AP44))),1,0))</f>
        <v>0</v>
      </c>
      <c r="AQ47" s="70">
        <f t="array" ref="AQ47">SUM(IF(NOT(ISERR(FIND("*",AQ5:AQ44))),1,0))</f>
        <v>0</v>
      </c>
      <c r="AR47" s="70">
        <f t="array" ref="AR47">SUM(IF(NOT(ISERR(FIND("*",AR5:AR44))),1,0))</f>
        <v>0</v>
      </c>
      <c r="AS47" s="70">
        <f t="array" ref="AS47">SUM(IF(NOT(ISERR(FIND("*",AS5:AS44))),1,0))</f>
        <v>0</v>
      </c>
      <c r="AT47" s="70">
        <f t="array" ref="AT47">SUM(IF(NOT(ISERR(FIND("*",AT5:AT44))),1,0))</f>
        <v>0</v>
      </c>
      <c r="AU47" s="70">
        <f t="array" ref="AU47">SUM(IF(NOT(ISERR(FIND("*",AU5:AU44))),1,0))</f>
        <v>0</v>
      </c>
      <c r="AV47" s="70">
        <f t="array" ref="AV47">SUM(IF(NOT(ISERR(FIND("*",AV5:AV44))),1,0))</f>
        <v>0</v>
      </c>
      <c r="AW47" s="70">
        <f t="array" ref="AW47">SUM(IF(NOT(ISERR(FIND("*",AW5:AW44))),1,0))</f>
        <v>0</v>
      </c>
      <c r="AX47" s="70">
        <f t="array" ref="AX47">SUM(IF(NOT(ISERR(FIND("*",AX5:AX44))),1,0))</f>
        <v>0</v>
      </c>
      <c r="AY47" s="70">
        <f t="array" ref="AY47">SUM(IF(NOT(ISERR(FIND("*",AY5:AY44))),1,0))</f>
        <v>0</v>
      </c>
      <c r="AZ47" s="70">
        <f t="array" ref="AZ47">SUM(IF(NOT(ISERR(FIND("*",AZ5:AZ44))),1,0))</f>
        <v>0</v>
      </c>
      <c r="BA47" s="70">
        <f t="array" ref="BA47">SUM(IF(NOT(ISERR(FIND("*",BA5:BA44))),1,0))</f>
        <v>0</v>
      </c>
      <c r="BB47" s="70">
        <f t="array" ref="BB47">SUM(IF(NOT(ISERR(FIND("*",BB5:BB44))),1,0))</f>
        <v>0</v>
      </c>
      <c r="BC47" s="70">
        <f t="array" ref="BC47">SUM(IF(NOT(ISERR(FIND("*",BC5:BC44))),1,0))</f>
        <v>0</v>
      </c>
      <c r="BD47" s="70">
        <f t="array" ref="BD47">SUM(IF(NOT(ISERR(FIND("*",BD5:BD44))),1,0))</f>
        <v>0</v>
      </c>
      <c r="BE47" s="70">
        <f t="array" ref="BE47">SUM(IF(NOT(ISERR(FIND("*",BE5:BE44))),1,0))</f>
        <v>0</v>
      </c>
      <c r="BF47" s="70">
        <f t="array" ref="BF47">SUM(IF(NOT(ISERR(FIND("*",BF5:BF44))),1,0))</f>
        <v>0</v>
      </c>
      <c r="CE47" s="70">
        <f>SUM(D47:BF47)</f>
        <v>16</v>
      </c>
      <c r="CO47" s="95">
        <f>SUM(D47:BF47)</f>
        <v>16</v>
      </c>
      <c r="CP47" s="62"/>
      <c r="CQ47" s="62"/>
      <c r="CR47" s="75">
        <f>SUM(CR46:CV46)</f>
        <v>112</v>
      </c>
      <c r="CS47" s="62"/>
      <c r="CT47" s="62"/>
      <c r="CU47" s="62"/>
      <c r="CV47" s="62"/>
      <c r="CW47" s="62"/>
      <c r="CX47" s="62"/>
      <c r="CY47" s="62"/>
      <c r="CZ47" s="62"/>
      <c r="DA47" s="62"/>
      <c r="DB47" s="62"/>
      <c r="DC47" s="62"/>
      <c r="DD47" s="62"/>
    </row>
    <row r="48" spans="1:113" x14ac:dyDescent="0.15">
      <c r="C48" s="70" t="s">
        <v>14</v>
      </c>
      <c r="D48" s="70">
        <f t="array" ref="D48">SUM(IF(NOT(ISERR(FIND("+",D5:D44))),1,0))</f>
        <v>1</v>
      </c>
      <c r="E48" s="70">
        <f t="array" ref="E48">SUM(IF(NOT(ISERR(FIND("+",E5:E44))),1,0))</f>
        <v>1</v>
      </c>
      <c r="F48" s="70">
        <f t="array" ref="F48">SUM(IF(NOT(ISERR(FIND("+",F5:F44))),1,0))</f>
        <v>1</v>
      </c>
      <c r="G48" s="70">
        <f t="array" ref="G48">SUM(IF(NOT(ISERR(FIND("+",G5:G44))),1,0))</f>
        <v>1</v>
      </c>
      <c r="H48" s="70">
        <f t="array" ref="H48">SUM(IF(NOT(ISERR(FIND("+",H5:H44))),1,0))</f>
        <v>1</v>
      </c>
      <c r="I48" s="70">
        <f t="array" ref="I48">SUM(IF(NOT(ISERR(FIND("+",I5:I44))),1,0))</f>
        <v>1</v>
      </c>
      <c r="J48" s="70">
        <f t="array" ref="J48">SUM(IF(NOT(ISERR(FIND("+",J5:J44))),1,0))</f>
        <v>1</v>
      </c>
      <c r="K48" s="70">
        <f t="array" ref="K48">SUM(IF(NOT(ISERR(FIND("+",K5:K44))),1,0))</f>
        <v>1</v>
      </c>
      <c r="L48" s="70">
        <f t="array" ref="L48">SUM(IF(NOT(ISERR(FIND("+",L5:L44))),1,0))</f>
        <v>1</v>
      </c>
      <c r="M48" s="70">
        <f t="array" ref="M48">SUM(IF(NOT(ISERR(FIND("+",M5:M44))),1,0))</f>
        <v>1</v>
      </c>
      <c r="N48" s="70">
        <f t="array" ref="N48">SUM(IF(NOT(ISERR(FIND("+",N5:N44))),1,0))</f>
        <v>1</v>
      </c>
      <c r="O48" s="70">
        <f t="array" ref="O48">SUM(IF(NOT(ISERR(FIND("+",O5:O44))),1,0))</f>
        <v>1</v>
      </c>
      <c r="P48" s="70">
        <f t="array" ref="P48">SUM(IF(NOT(ISERR(FIND("+",P5:P44))),1,0))</f>
        <v>1</v>
      </c>
      <c r="Q48" s="70">
        <f t="array" ref="Q48">SUM(IF(NOT(ISERR(FIND("+",Q5:Q44))),1,0))</f>
        <v>1</v>
      </c>
      <c r="R48" s="70">
        <f t="array" ref="R48">SUM(IF(NOT(ISERR(FIND("+",R5:R44))),1,0))</f>
        <v>1</v>
      </c>
      <c r="S48" s="70">
        <f t="array" ref="S48">SUM(IF(NOT(ISERR(FIND("+",S5:S44))),1,0))</f>
        <v>1</v>
      </c>
      <c r="T48" s="70">
        <f t="array" ref="T48">SUM(IF(NOT(ISERR(FIND("+",T5:T44))),1,0))</f>
        <v>0</v>
      </c>
      <c r="U48" s="70">
        <f t="array" ref="U48">SUM(IF(NOT(ISERR(FIND("+",U5:U44))),1,0))</f>
        <v>0</v>
      </c>
      <c r="V48" s="70">
        <f t="array" ref="V48">SUM(IF(NOT(ISERR(FIND("+",V5:V44))),1,0))</f>
        <v>0</v>
      </c>
      <c r="W48" s="70">
        <f t="array" ref="W48">SUM(IF(NOT(ISERR(FIND("+",W5:W44))),1,0))</f>
        <v>0</v>
      </c>
      <c r="X48" s="70">
        <f t="array" ref="X48">SUM(IF(NOT(ISERR(FIND("+",X5:X44))),1,0))</f>
        <v>0</v>
      </c>
      <c r="Y48" s="70">
        <f t="array" ref="Y48">SUM(IF(NOT(ISERR(FIND("+",Y5:Y44))),1,0))</f>
        <v>0</v>
      </c>
      <c r="Z48" s="70">
        <f t="array" ref="Z48">SUM(IF(NOT(ISERR(FIND("+",Z5:Z44))),1,0))</f>
        <v>0</v>
      </c>
      <c r="AA48" s="70">
        <f t="array" ref="AA48">SUM(IF(NOT(ISERR(FIND("+",AA5:AA44))),1,0))</f>
        <v>0</v>
      </c>
      <c r="AB48" s="70">
        <f t="array" ref="AB48">SUM(IF(NOT(ISERR(FIND("+",AB5:AB44))),1,0))</f>
        <v>0</v>
      </c>
      <c r="AC48" s="70">
        <f t="array" ref="AC48">SUM(IF(NOT(ISERR(FIND("+",AC5:AC44))),1,0))</f>
        <v>0</v>
      </c>
      <c r="AD48" s="70">
        <f t="array" ref="AD48">SUM(IF(NOT(ISERR(FIND("+",AD5:AD44))),1,0))</f>
        <v>0</v>
      </c>
      <c r="AE48" s="70">
        <f t="array" ref="AE48">SUM(IF(NOT(ISERR(FIND("+",AE5:AE44))),1,0))</f>
        <v>0</v>
      </c>
      <c r="AF48" s="70">
        <f t="array" ref="AF48">SUM(IF(NOT(ISERR(FIND("+",AF5:AF44))),1,0))</f>
        <v>0</v>
      </c>
      <c r="AG48" s="70">
        <f t="array" ref="AG48">SUM(IF(NOT(ISERR(FIND("+",AG5:AG44))),1,0))</f>
        <v>0</v>
      </c>
      <c r="AH48" s="70">
        <f t="array" ref="AH48">SUM(IF(NOT(ISERR(FIND("+",AH5:AH44))),1,0))</f>
        <v>0</v>
      </c>
      <c r="AI48" s="70">
        <f t="array" ref="AI48">SUM(IF(NOT(ISERR(FIND("+",AI5:AI44))),1,0))</f>
        <v>0</v>
      </c>
      <c r="AJ48" s="70">
        <f t="array" ref="AJ48">SUM(IF(NOT(ISERR(FIND("+",AJ5:AJ44))),1,0))</f>
        <v>0</v>
      </c>
      <c r="AK48" s="70">
        <f t="array" ref="AK48">SUM(IF(NOT(ISERR(FIND("+",AK5:AK44))),1,0))</f>
        <v>0</v>
      </c>
      <c r="AL48" s="70">
        <f t="array" ref="AL48">SUM(IF(NOT(ISERR(FIND("+",AL5:AL44))),1,0))</f>
        <v>0</v>
      </c>
      <c r="AM48" s="70">
        <f t="array" ref="AM48">SUM(IF(NOT(ISERR(FIND("+",AM5:AM44))),1,0))</f>
        <v>0</v>
      </c>
      <c r="AN48" s="70">
        <f t="array" ref="AN48">SUM(IF(NOT(ISERR(FIND("+",AN5:AN44))),1,0))</f>
        <v>0</v>
      </c>
      <c r="AO48" s="70">
        <f t="array" ref="AO48">SUM(IF(NOT(ISERR(FIND("+",AO5:AO44))),1,0))</f>
        <v>0</v>
      </c>
      <c r="AP48" s="70">
        <f t="array" ref="AP48">SUM(IF(NOT(ISERR(FIND("+",AP5:AP44))),1,0))</f>
        <v>0</v>
      </c>
      <c r="AQ48" s="70">
        <f t="array" ref="AQ48">SUM(IF(NOT(ISERR(FIND("+",AQ5:AQ44))),1,0))</f>
        <v>0</v>
      </c>
      <c r="AR48" s="70">
        <f t="array" ref="AR48">SUM(IF(NOT(ISERR(FIND("+",AR5:AR44))),1,0))</f>
        <v>0</v>
      </c>
      <c r="AS48" s="70">
        <f t="array" ref="AS48">SUM(IF(NOT(ISERR(FIND("+",AS5:AS44))),1,0))</f>
        <v>0</v>
      </c>
      <c r="AT48" s="70">
        <f t="array" ref="AT48">SUM(IF(NOT(ISERR(FIND("+",AT5:AT44))),1,0))</f>
        <v>0</v>
      </c>
      <c r="AU48" s="70">
        <f t="array" ref="AU48">SUM(IF(NOT(ISERR(FIND("+",AU5:AU44))),1,0))</f>
        <v>0</v>
      </c>
      <c r="AV48" s="70">
        <f t="array" ref="AV48">SUM(IF(NOT(ISERR(FIND("+",AV5:AV44))),1,0))</f>
        <v>0</v>
      </c>
      <c r="AW48" s="70">
        <f t="array" ref="AW48">SUM(IF(NOT(ISERR(FIND("+",AW5:AW44))),1,0))</f>
        <v>0</v>
      </c>
      <c r="AX48" s="70">
        <f t="array" ref="AX48">SUM(IF(NOT(ISERR(FIND("+",AX5:AX44))),1,0))</f>
        <v>0</v>
      </c>
      <c r="AY48" s="70">
        <f t="array" ref="AY48">SUM(IF(NOT(ISERR(FIND("+",AY5:AY44))),1,0))</f>
        <v>0</v>
      </c>
      <c r="AZ48" s="70">
        <f t="array" ref="AZ48">SUM(IF(NOT(ISERR(FIND("+",AZ5:AZ44))),1,0))</f>
        <v>0</v>
      </c>
      <c r="BA48" s="70">
        <f t="array" ref="BA48">SUM(IF(NOT(ISERR(FIND("+",BA5:BA44))),1,0))</f>
        <v>0</v>
      </c>
      <c r="BB48" s="70">
        <f t="array" ref="BB48">SUM(IF(NOT(ISERR(FIND("+",BB5:BB44))),1,0))</f>
        <v>0</v>
      </c>
      <c r="BC48" s="70">
        <f t="array" ref="BC48">SUM(IF(NOT(ISERR(FIND("+",BC5:BC44))),1,0))</f>
        <v>0</v>
      </c>
      <c r="BD48" s="70">
        <f t="array" ref="BD48">SUM(IF(NOT(ISERR(FIND("+",BD5:BD44))),1,0))</f>
        <v>0</v>
      </c>
      <c r="BE48" s="70">
        <f t="array" ref="BE48">SUM(IF(NOT(ISERR(FIND("+",BE5:BE44))),1,0))</f>
        <v>0</v>
      </c>
      <c r="BF48" s="70">
        <f t="array" ref="BF48">SUM(IF(NOT(ISERR(FIND("+",BF5:BF44))),1,0))</f>
        <v>0</v>
      </c>
      <c r="CE48" s="70">
        <f>SUM(D48:BF48)</f>
        <v>16</v>
      </c>
      <c r="CO48" s="95">
        <f>SUM(D48:BF48)</f>
        <v>16</v>
      </c>
      <c r="CP48" s="62"/>
      <c r="CQ48" s="62"/>
      <c r="CR48" s="111">
        <f>CR46/$CR$47</f>
        <v>0.44642857142857145</v>
      </c>
      <c r="CS48" s="111">
        <f>CS46/$CR$47</f>
        <v>0.3482142857142857</v>
      </c>
      <c r="CT48" s="111">
        <f>CT46/$CR$47</f>
        <v>0.11607142857142858</v>
      </c>
      <c r="CU48" s="111">
        <f>CU46/$CR$47</f>
        <v>8.9285714285714281E-3</v>
      </c>
      <c r="CV48" s="111">
        <f>CV46/$CR$47</f>
        <v>8.0357142857142863E-2</v>
      </c>
      <c r="CW48" s="111"/>
      <c r="CX48" s="111"/>
      <c r="CY48" s="62"/>
      <c r="CZ48" s="62"/>
      <c r="DA48" s="62"/>
      <c r="DB48" s="62"/>
      <c r="DC48" s="62"/>
      <c r="DD48" s="62"/>
    </row>
    <row r="50" spans="2:93" x14ac:dyDescent="0.15">
      <c r="C50" s="70" t="s">
        <v>126</v>
      </c>
      <c r="D50" s="70">
        <f t="shared" ref="D50:AI50" si="43">BatSplit(D5:D44,RunsScored)</f>
        <v>118</v>
      </c>
      <c r="E50" s="70">
        <f t="shared" si="43"/>
        <v>123</v>
      </c>
      <c r="F50" s="70">
        <f t="shared" si="43"/>
        <v>0</v>
      </c>
      <c r="G50" s="70">
        <f t="shared" si="43"/>
        <v>120</v>
      </c>
      <c r="H50" s="70">
        <f t="shared" si="43"/>
        <v>111</v>
      </c>
      <c r="I50" s="70">
        <f t="shared" si="43"/>
        <v>86</v>
      </c>
      <c r="J50" s="70">
        <f t="shared" si="43"/>
        <v>138</v>
      </c>
      <c r="K50" s="70">
        <f t="shared" si="43"/>
        <v>82</v>
      </c>
      <c r="L50" s="70">
        <f t="shared" si="43"/>
        <v>56</v>
      </c>
      <c r="M50" s="70">
        <f t="shared" si="43"/>
        <v>0</v>
      </c>
      <c r="N50" s="70">
        <f t="shared" si="43"/>
        <v>37</v>
      </c>
      <c r="O50" s="70">
        <f t="shared" si="43"/>
        <v>84</v>
      </c>
      <c r="P50" s="70">
        <f t="shared" si="43"/>
        <v>98</v>
      </c>
      <c r="Q50" s="70">
        <f t="shared" si="43"/>
        <v>99</v>
      </c>
      <c r="R50" s="70">
        <f t="shared" si="43"/>
        <v>113</v>
      </c>
      <c r="S50" s="70">
        <f t="shared" si="43"/>
        <v>61</v>
      </c>
      <c r="T50" s="70">
        <f t="shared" si="43"/>
        <v>0</v>
      </c>
      <c r="U50" s="70">
        <f t="shared" si="43"/>
        <v>0</v>
      </c>
      <c r="V50" s="70">
        <f t="shared" si="43"/>
        <v>0</v>
      </c>
      <c r="W50" s="70">
        <f t="shared" si="43"/>
        <v>0</v>
      </c>
      <c r="X50" s="70">
        <f t="shared" si="43"/>
        <v>0</v>
      </c>
      <c r="Y50" s="70">
        <f t="shared" si="43"/>
        <v>0</v>
      </c>
      <c r="Z50" s="70">
        <f t="shared" si="43"/>
        <v>0</v>
      </c>
      <c r="AA50" s="70">
        <f t="shared" si="43"/>
        <v>0</v>
      </c>
      <c r="AB50" s="70">
        <f t="shared" si="43"/>
        <v>0</v>
      </c>
      <c r="AC50" s="70">
        <f t="shared" si="43"/>
        <v>0</v>
      </c>
      <c r="AD50" s="70">
        <f t="shared" si="43"/>
        <v>0</v>
      </c>
      <c r="AE50" s="70">
        <f t="shared" si="43"/>
        <v>0</v>
      </c>
      <c r="AF50" s="70">
        <f t="shared" si="43"/>
        <v>0</v>
      </c>
      <c r="AG50" s="70">
        <f t="shared" si="43"/>
        <v>0</v>
      </c>
      <c r="AH50" s="70">
        <f t="shared" si="43"/>
        <v>0</v>
      </c>
      <c r="AI50" s="70">
        <f t="shared" si="43"/>
        <v>0</v>
      </c>
      <c r="AJ50" s="70">
        <f t="shared" ref="AJ50:BF50" si="44">BatSplit(AJ5:AJ44,RunsScored)</f>
        <v>0</v>
      </c>
      <c r="AK50" s="70">
        <f t="shared" si="44"/>
        <v>0</v>
      </c>
      <c r="AL50" s="70">
        <f t="shared" si="44"/>
        <v>0</v>
      </c>
      <c r="AM50" s="70">
        <f t="shared" si="44"/>
        <v>0</v>
      </c>
      <c r="AN50" s="70">
        <f t="shared" si="44"/>
        <v>0</v>
      </c>
      <c r="AO50" s="70">
        <f t="shared" si="44"/>
        <v>0</v>
      </c>
      <c r="AP50" s="70">
        <f t="shared" si="44"/>
        <v>0</v>
      </c>
      <c r="AQ50" s="70">
        <f t="shared" si="44"/>
        <v>0</v>
      </c>
      <c r="AR50" s="70">
        <f t="shared" si="44"/>
        <v>0</v>
      </c>
      <c r="AS50" s="70">
        <f t="shared" si="44"/>
        <v>0</v>
      </c>
      <c r="AT50" s="70">
        <f t="shared" si="44"/>
        <v>0</v>
      </c>
      <c r="AU50" s="70">
        <f t="shared" si="44"/>
        <v>0</v>
      </c>
      <c r="AV50" s="70">
        <f t="shared" si="44"/>
        <v>0</v>
      </c>
      <c r="AW50" s="70">
        <f t="shared" si="44"/>
        <v>0</v>
      </c>
      <c r="AX50" s="70">
        <f t="shared" si="44"/>
        <v>0</v>
      </c>
      <c r="AY50" s="70">
        <f t="shared" si="44"/>
        <v>0</v>
      </c>
      <c r="AZ50" s="70">
        <f t="shared" si="44"/>
        <v>0</v>
      </c>
      <c r="BA50" s="70">
        <f t="shared" si="44"/>
        <v>0</v>
      </c>
      <c r="BB50" s="70">
        <f t="shared" si="44"/>
        <v>0</v>
      </c>
      <c r="BC50" s="70">
        <f t="shared" si="44"/>
        <v>0</v>
      </c>
      <c r="BD50" s="70">
        <f t="shared" si="44"/>
        <v>0</v>
      </c>
      <c r="BE50" s="70">
        <f t="shared" si="44"/>
        <v>0</v>
      </c>
      <c r="BF50" s="70">
        <f t="shared" si="44"/>
        <v>0</v>
      </c>
      <c r="CE50" s="70">
        <f>SUM(D50:BD50)</f>
        <v>1326</v>
      </c>
      <c r="CG50" s="70">
        <f>SUM(CG5:CG45)</f>
        <v>135</v>
      </c>
      <c r="CH50" s="70">
        <f>SUM(CH5:CH45)</f>
        <v>23</v>
      </c>
      <c r="CI50" s="70">
        <f>SUM(CI5:CI44)</f>
        <v>321</v>
      </c>
      <c r="CK50" s="70">
        <f>SUM(CK5:CK45)</f>
        <v>1326</v>
      </c>
      <c r="CO50" s="70">
        <f>SUM(D50:BF50)</f>
        <v>1326</v>
      </c>
    </row>
    <row r="51" spans="2:93" x14ac:dyDescent="0.15">
      <c r="C51" s="70" t="s">
        <v>125</v>
      </c>
      <c r="D51" s="70">
        <f t="array" ref="D51:BF51">TRANSPOSE(Matches!Z5:Z59)</f>
        <v>14</v>
      </c>
      <c r="E51" s="70">
        <v>18</v>
      </c>
      <c r="F51" s="70">
        <v>0</v>
      </c>
      <c r="G51" s="70">
        <v>21</v>
      </c>
      <c r="H51" s="70">
        <v>20</v>
      </c>
      <c r="I51" s="70">
        <v>40</v>
      </c>
      <c r="J51" s="70">
        <v>12</v>
      </c>
      <c r="K51" s="70">
        <v>13</v>
      </c>
      <c r="L51" s="70">
        <v>30</v>
      </c>
      <c r="M51" s="70">
        <v>0</v>
      </c>
      <c r="N51" s="70">
        <v>27</v>
      </c>
      <c r="O51" s="70">
        <v>32</v>
      </c>
      <c r="P51" s="70">
        <v>12</v>
      </c>
      <c r="Q51" s="70">
        <v>23</v>
      </c>
      <c r="R51" s="70">
        <v>25</v>
      </c>
      <c r="S51" s="70">
        <v>17</v>
      </c>
      <c r="T51" s="70">
        <v>0</v>
      </c>
      <c r="U51" s="70">
        <v>0</v>
      </c>
      <c r="V51" s="70">
        <v>0</v>
      </c>
      <c r="W51" s="70">
        <v>0</v>
      </c>
      <c r="X51" s="70">
        <v>0</v>
      </c>
      <c r="Y51" s="70">
        <v>0</v>
      </c>
      <c r="Z51" s="70">
        <v>0</v>
      </c>
      <c r="AA51" s="70">
        <v>0</v>
      </c>
      <c r="AB51" s="70">
        <v>0</v>
      </c>
      <c r="AC51" s="70">
        <v>0</v>
      </c>
      <c r="AD51" s="70">
        <v>0</v>
      </c>
      <c r="AE51" s="70">
        <v>0</v>
      </c>
      <c r="AF51" s="70">
        <v>0</v>
      </c>
      <c r="AG51" s="70">
        <v>0</v>
      </c>
      <c r="AH51" s="70">
        <v>0</v>
      </c>
      <c r="AI51" s="70">
        <v>0</v>
      </c>
      <c r="AJ51" s="70">
        <v>0</v>
      </c>
      <c r="AK51" s="70">
        <v>0</v>
      </c>
      <c r="AL51" s="70">
        <v>0</v>
      </c>
      <c r="AM51" s="70">
        <v>0</v>
      </c>
      <c r="AN51" s="70">
        <v>0</v>
      </c>
      <c r="AO51" s="70">
        <v>0</v>
      </c>
      <c r="AP51" s="70">
        <v>0</v>
      </c>
      <c r="AQ51" s="70">
        <v>0</v>
      </c>
      <c r="AR51" s="70">
        <v>0</v>
      </c>
      <c r="AS51" s="70">
        <v>0</v>
      </c>
      <c r="AT51" s="70">
        <v>0</v>
      </c>
      <c r="AU51" s="70">
        <v>0</v>
      </c>
      <c r="AV51" s="70">
        <v>0</v>
      </c>
      <c r="AW51" s="70">
        <v>0</v>
      </c>
      <c r="AX51" s="70">
        <v>0</v>
      </c>
      <c r="AY51" s="70">
        <v>0</v>
      </c>
      <c r="AZ51" s="70">
        <v>0</v>
      </c>
      <c r="BA51" s="70">
        <v>0</v>
      </c>
      <c r="BB51" s="70">
        <v>0</v>
      </c>
      <c r="BC51" s="70">
        <v>0</v>
      </c>
      <c r="BD51" s="70">
        <v>0</v>
      </c>
      <c r="BE51" s="70">
        <v>0</v>
      </c>
      <c r="BF51" s="70">
        <v>0</v>
      </c>
      <c r="CE51" s="70">
        <f>SUM(D51:BD51)</f>
        <v>304</v>
      </c>
      <c r="CO51" s="70">
        <f>SUM(D51:BF51)</f>
        <v>304</v>
      </c>
    </row>
    <row r="52" spans="2:93" s="62" customFormat="1" x14ac:dyDescent="0.15">
      <c r="C52" s="62" t="s">
        <v>127</v>
      </c>
      <c r="D52" s="62">
        <f>D51+D50</f>
        <v>132</v>
      </c>
      <c r="E52" s="62">
        <f t="shared" ref="E52:BF52" si="45">E51+E50</f>
        <v>141</v>
      </c>
      <c r="F52" s="62">
        <f t="shared" si="45"/>
        <v>0</v>
      </c>
      <c r="G52" s="62">
        <f t="shared" si="45"/>
        <v>141</v>
      </c>
      <c r="H52" s="62">
        <f t="shared" si="45"/>
        <v>131</v>
      </c>
      <c r="I52" s="62">
        <f t="shared" si="45"/>
        <v>126</v>
      </c>
      <c r="J52" s="62">
        <f t="shared" si="45"/>
        <v>150</v>
      </c>
      <c r="K52" s="62">
        <f t="shared" si="45"/>
        <v>95</v>
      </c>
      <c r="L52" s="62">
        <f t="shared" si="45"/>
        <v>86</v>
      </c>
      <c r="M52" s="62">
        <f t="shared" si="45"/>
        <v>0</v>
      </c>
      <c r="N52" s="62">
        <f t="shared" si="45"/>
        <v>64</v>
      </c>
      <c r="O52" s="62">
        <f t="shared" si="45"/>
        <v>116</v>
      </c>
      <c r="P52" s="62">
        <f t="shared" si="45"/>
        <v>110</v>
      </c>
      <c r="Q52" s="62">
        <f t="shared" si="45"/>
        <v>122</v>
      </c>
      <c r="R52" s="62">
        <f t="shared" si="45"/>
        <v>138</v>
      </c>
      <c r="S52" s="62">
        <f t="shared" si="45"/>
        <v>78</v>
      </c>
      <c r="T52" s="62">
        <f t="shared" si="45"/>
        <v>0</v>
      </c>
      <c r="U52" s="62">
        <f t="shared" si="45"/>
        <v>0</v>
      </c>
      <c r="V52" s="62">
        <f t="shared" si="45"/>
        <v>0</v>
      </c>
      <c r="W52" s="62">
        <f t="shared" si="45"/>
        <v>0</v>
      </c>
      <c r="X52" s="62">
        <f t="shared" si="45"/>
        <v>0</v>
      </c>
      <c r="Y52" s="62">
        <f t="shared" si="45"/>
        <v>0</v>
      </c>
      <c r="Z52" s="62">
        <f t="shared" si="45"/>
        <v>0</v>
      </c>
      <c r="AA52" s="62">
        <f t="shared" si="45"/>
        <v>0</v>
      </c>
      <c r="AB52" s="62">
        <f t="shared" si="45"/>
        <v>0</v>
      </c>
      <c r="AC52" s="62">
        <f t="shared" si="45"/>
        <v>0</v>
      </c>
      <c r="AD52" s="62">
        <f t="shared" si="45"/>
        <v>0</v>
      </c>
      <c r="AE52" s="62">
        <f t="shared" si="45"/>
        <v>0</v>
      </c>
      <c r="AF52" s="62">
        <f t="shared" si="45"/>
        <v>0</v>
      </c>
      <c r="AG52" s="62">
        <f t="shared" si="45"/>
        <v>0</v>
      </c>
      <c r="AH52" s="62">
        <f t="shared" si="45"/>
        <v>0</v>
      </c>
      <c r="AI52" s="62">
        <f t="shared" si="45"/>
        <v>0</v>
      </c>
      <c r="AJ52" s="62">
        <f t="shared" si="45"/>
        <v>0</v>
      </c>
      <c r="AK52" s="62">
        <f t="shared" si="45"/>
        <v>0</v>
      </c>
      <c r="AL52" s="62">
        <f t="shared" si="45"/>
        <v>0</v>
      </c>
      <c r="AM52" s="62">
        <f t="shared" si="45"/>
        <v>0</v>
      </c>
      <c r="AN52" s="62">
        <f t="shared" si="45"/>
        <v>0</v>
      </c>
      <c r="AO52" s="62">
        <f t="shared" si="45"/>
        <v>0</v>
      </c>
      <c r="AP52" s="62">
        <f t="shared" si="45"/>
        <v>0</v>
      </c>
      <c r="AQ52" s="62">
        <f t="shared" si="45"/>
        <v>0</v>
      </c>
      <c r="AR52" s="62">
        <f t="shared" si="45"/>
        <v>0</v>
      </c>
      <c r="AS52" s="62">
        <f t="shared" si="45"/>
        <v>0</v>
      </c>
      <c r="AT52" s="62">
        <f t="shared" si="45"/>
        <v>0</v>
      </c>
      <c r="AU52" s="62">
        <f>AU51+AU50</f>
        <v>0</v>
      </c>
      <c r="AV52" s="62">
        <f t="shared" si="45"/>
        <v>0</v>
      </c>
      <c r="AW52" s="62">
        <f t="shared" si="45"/>
        <v>0</v>
      </c>
      <c r="AX52" s="62">
        <f t="shared" si="45"/>
        <v>0</v>
      </c>
      <c r="AY52" s="62">
        <f t="shared" si="45"/>
        <v>0</v>
      </c>
      <c r="AZ52" s="62">
        <f t="shared" si="45"/>
        <v>0</v>
      </c>
      <c r="BA52" s="62">
        <f t="shared" si="45"/>
        <v>0</v>
      </c>
      <c r="BB52" s="62">
        <f t="shared" si="45"/>
        <v>0</v>
      </c>
      <c r="BC52" s="62">
        <f t="shared" si="45"/>
        <v>0</v>
      </c>
      <c r="BD52" s="62">
        <f t="shared" si="45"/>
        <v>0</v>
      </c>
      <c r="BE52" s="62">
        <f t="shared" si="45"/>
        <v>0</v>
      </c>
      <c r="BF52" s="62">
        <f t="shared" si="45"/>
        <v>0</v>
      </c>
      <c r="CE52" s="70">
        <f>SUM(D52:BD52)</f>
        <v>1630</v>
      </c>
      <c r="CG52" s="70" t="s">
        <v>38</v>
      </c>
      <c r="CH52" s="70">
        <f>CG50-CH50</f>
        <v>112</v>
      </c>
      <c r="CI52" s="70"/>
      <c r="CJ52" s="70"/>
      <c r="CK52" s="70"/>
      <c r="CO52" s="62">
        <f>SUM(D52:BF52)</f>
        <v>1630</v>
      </c>
    </row>
    <row r="53" spans="2:93" x14ac:dyDescent="0.15">
      <c r="D53" s="55"/>
      <c r="CG53" s="70" t="s">
        <v>39</v>
      </c>
      <c r="CH53" s="70">
        <f>CE52/CH52</f>
        <v>14.553571428571429</v>
      </c>
    </row>
    <row r="54" spans="2:93" s="127" customFormat="1" x14ac:dyDescent="0.15">
      <c r="C54" s="127" t="s">
        <v>243</v>
      </c>
      <c r="D54" s="128" t="str">
        <f t="shared" ref="D54:AE54" si="46">INDEX($C$5:$C$44,findcellcontaining("*",D5:D44))</f>
        <v>Clark C</v>
      </c>
      <c r="E54" s="128" t="str">
        <f t="shared" si="46"/>
        <v>Clark C</v>
      </c>
      <c r="F54" s="128" t="str">
        <f t="shared" si="46"/>
        <v>Woodhouse M</v>
      </c>
      <c r="G54" s="128" t="str">
        <f t="shared" si="46"/>
        <v>Clark C</v>
      </c>
      <c r="H54" s="128" t="str">
        <f t="shared" si="46"/>
        <v>Woodhouse M</v>
      </c>
      <c r="I54" s="128" t="str">
        <f t="shared" si="46"/>
        <v>Clark C</v>
      </c>
      <c r="J54" s="128" t="str">
        <f t="shared" si="46"/>
        <v>Clark C</v>
      </c>
      <c r="K54" s="128" t="str">
        <f t="shared" si="46"/>
        <v>Clark C</v>
      </c>
      <c r="L54" s="128" t="str">
        <f t="shared" si="46"/>
        <v>Clark C</v>
      </c>
      <c r="M54" s="128" t="str">
        <f t="shared" si="46"/>
        <v>Clark C</v>
      </c>
      <c r="N54" s="128" t="str">
        <f t="shared" si="46"/>
        <v>Clark C</v>
      </c>
      <c r="O54" s="128" t="str">
        <f t="shared" si="46"/>
        <v>Lestrelle A</v>
      </c>
      <c r="P54" s="128" t="str">
        <f t="shared" si="46"/>
        <v>Lestrelle A</v>
      </c>
      <c r="Q54" s="128" t="str">
        <f t="shared" si="46"/>
        <v>Clark C</v>
      </c>
      <c r="R54" s="128" t="str">
        <f t="shared" si="46"/>
        <v>Lestrelle A</v>
      </c>
      <c r="S54" s="128" t="str">
        <f t="shared" si="46"/>
        <v>Clark C</v>
      </c>
      <c r="T54" s="128" t="e">
        <f t="shared" si="46"/>
        <v>#N/A</v>
      </c>
      <c r="U54" s="128" t="e">
        <f t="shared" si="46"/>
        <v>#N/A</v>
      </c>
      <c r="V54" s="128" t="e">
        <f t="shared" si="46"/>
        <v>#N/A</v>
      </c>
      <c r="W54" s="128" t="e">
        <f t="shared" si="46"/>
        <v>#N/A</v>
      </c>
      <c r="X54" s="128" t="e">
        <f t="shared" si="46"/>
        <v>#N/A</v>
      </c>
      <c r="Y54" s="128" t="e">
        <f t="shared" si="46"/>
        <v>#N/A</v>
      </c>
      <c r="Z54" s="128" t="e">
        <f t="shared" si="46"/>
        <v>#N/A</v>
      </c>
      <c r="AA54" s="128" t="e">
        <f t="shared" si="46"/>
        <v>#N/A</v>
      </c>
      <c r="AB54" s="128" t="e">
        <f t="shared" si="46"/>
        <v>#N/A</v>
      </c>
      <c r="AC54" s="128" t="e">
        <f t="shared" si="46"/>
        <v>#N/A</v>
      </c>
      <c r="AD54" s="128" t="e">
        <f t="shared" si="46"/>
        <v>#N/A</v>
      </c>
      <c r="AE54" s="128" t="e">
        <f t="shared" si="46"/>
        <v>#N/A</v>
      </c>
      <c r="AF54" s="128"/>
      <c r="AG54" s="128"/>
      <c r="AH54" s="128"/>
      <c r="AI54" s="128"/>
      <c r="AJ54" s="128"/>
      <c r="AK54" s="128"/>
      <c r="AL54" s="128"/>
      <c r="AM54" s="128"/>
      <c r="AN54" s="128"/>
      <c r="AO54" s="128"/>
      <c r="AP54" s="128"/>
      <c r="AQ54" s="128"/>
      <c r="AR54" s="128"/>
      <c r="AS54" s="128"/>
      <c r="AT54" s="128"/>
      <c r="AU54" s="128"/>
      <c r="AV54" s="128"/>
      <c r="AW54" s="128"/>
      <c r="AX54" s="128"/>
      <c r="AY54" s="128"/>
      <c r="AZ54" s="128"/>
      <c r="BA54" s="128"/>
      <c r="BB54" s="128"/>
      <c r="BC54" s="128"/>
      <c r="BD54" s="128"/>
      <c r="BE54" s="128"/>
      <c r="BF54" s="128"/>
      <c r="BG54" s="128"/>
      <c r="BH54" s="128"/>
      <c r="BI54" s="128"/>
      <c r="BJ54" s="128"/>
      <c r="BK54" s="128"/>
      <c r="BL54" s="128"/>
      <c r="BM54" s="128"/>
      <c r="BN54" s="128"/>
      <c r="BO54" s="128"/>
      <c r="BP54" s="128"/>
      <c r="BQ54" s="128"/>
      <c r="BR54" s="128"/>
      <c r="BS54" s="128"/>
      <c r="BT54" s="128"/>
      <c r="BU54" s="128"/>
      <c r="BV54" s="128"/>
      <c r="BW54" s="128"/>
      <c r="BX54" s="128"/>
      <c r="BY54" s="128"/>
      <c r="BZ54" s="128"/>
      <c r="CA54" s="128"/>
      <c r="CB54" s="128"/>
      <c r="CC54" s="128"/>
      <c r="CD54" s="128"/>
      <c r="CL54" s="129"/>
    </row>
    <row r="55" spans="2:93" s="127" customFormat="1" x14ac:dyDescent="0.15">
      <c r="C55" s="131"/>
      <c r="CL55" s="129"/>
      <c r="CO55" s="130"/>
    </row>
    <row r="56" spans="2:93" s="127" customFormat="1" x14ac:dyDescent="0.15">
      <c r="B56" s="127">
        <f>MAX(D56:AE56)</f>
        <v>5</v>
      </c>
      <c r="C56" s="127" t="s">
        <v>23</v>
      </c>
      <c r="D56" s="127">
        <f>BatSplit(D5:D44,Sixes)</f>
        <v>5</v>
      </c>
      <c r="E56" s="127">
        <f t="shared" ref="E56:AE56" si="47">BatSplit(E5:E44,Sixes)</f>
        <v>2</v>
      </c>
      <c r="F56" s="127">
        <f t="shared" si="47"/>
        <v>0</v>
      </c>
      <c r="G56" s="127">
        <f t="shared" si="47"/>
        <v>2</v>
      </c>
      <c r="H56" s="127">
        <f t="shared" si="47"/>
        <v>0</v>
      </c>
      <c r="I56" s="127">
        <f t="shared" si="47"/>
        <v>0</v>
      </c>
      <c r="J56" s="127">
        <f t="shared" si="47"/>
        <v>1</v>
      </c>
      <c r="K56" s="127">
        <f t="shared" si="47"/>
        <v>0</v>
      </c>
      <c r="L56" s="127">
        <f t="shared" si="47"/>
        <v>0</v>
      </c>
      <c r="M56" s="127">
        <f t="shared" si="47"/>
        <v>0</v>
      </c>
      <c r="N56" s="127">
        <f t="shared" si="47"/>
        <v>0</v>
      </c>
      <c r="O56" s="127">
        <f t="shared" si="47"/>
        <v>0</v>
      </c>
      <c r="P56" s="127">
        <f t="shared" si="47"/>
        <v>1</v>
      </c>
      <c r="Q56" s="127">
        <f t="shared" si="47"/>
        <v>1</v>
      </c>
      <c r="R56" s="127">
        <f t="shared" si="47"/>
        <v>2</v>
      </c>
      <c r="S56" s="127">
        <f t="shared" si="47"/>
        <v>0</v>
      </c>
      <c r="T56" s="127">
        <f t="shared" si="47"/>
        <v>0</v>
      </c>
      <c r="U56" s="127">
        <f t="shared" si="47"/>
        <v>0</v>
      </c>
      <c r="V56" s="127">
        <f t="shared" si="47"/>
        <v>0</v>
      </c>
      <c r="W56" s="127">
        <f t="shared" si="47"/>
        <v>0</v>
      </c>
      <c r="X56" s="127">
        <f t="shared" si="47"/>
        <v>0</v>
      </c>
      <c r="Y56" s="127">
        <f t="shared" si="47"/>
        <v>0</v>
      </c>
      <c r="Z56" s="127">
        <f t="shared" si="47"/>
        <v>0</v>
      </c>
      <c r="AA56" s="127">
        <f t="shared" si="47"/>
        <v>0</v>
      </c>
      <c r="AB56" s="127">
        <f t="shared" si="47"/>
        <v>0</v>
      </c>
      <c r="AC56" s="127">
        <f t="shared" si="47"/>
        <v>0</v>
      </c>
      <c r="AD56" s="127">
        <f t="shared" si="47"/>
        <v>0</v>
      </c>
      <c r="AE56" s="127">
        <f t="shared" si="47"/>
        <v>0</v>
      </c>
      <c r="CL56" s="129"/>
    </row>
    <row r="57" spans="2:93" s="127" customFormat="1" x14ac:dyDescent="0.15">
      <c r="B57" s="127">
        <f>MAX(D57:AE57)</f>
        <v>24</v>
      </c>
      <c r="C57" s="127" t="s">
        <v>22</v>
      </c>
      <c r="D57" s="127">
        <f>BatSplit(D5:D44,Fours)</f>
        <v>17</v>
      </c>
      <c r="E57" s="127">
        <f t="shared" ref="E57:AE57" si="48">BatSplit(E5:E44,Fours)</f>
        <v>16</v>
      </c>
      <c r="F57" s="127">
        <f t="shared" si="48"/>
        <v>0</v>
      </c>
      <c r="G57" s="127">
        <f t="shared" si="48"/>
        <v>16</v>
      </c>
      <c r="H57" s="127">
        <f t="shared" si="48"/>
        <v>10</v>
      </c>
      <c r="I57" s="127">
        <f t="shared" si="48"/>
        <v>9</v>
      </c>
      <c r="J57" s="127">
        <f t="shared" si="48"/>
        <v>24</v>
      </c>
      <c r="K57" s="127">
        <f t="shared" si="48"/>
        <v>11</v>
      </c>
      <c r="L57" s="127">
        <f t="shared" si="48"/>
        <v>8</v>
      </c>
      <c r="M57" s="127">
        <f t="shared" si="48"/>
        <v>0</v>
      </c>
      <c r="N57" s="127">
        <f t="shared" si="48"/>
        <v>5</v>
      </c>
      <c r="O57" s="127">
        <f t="shared" si="48"/>
        <v>14</v>
      </c>
      <c r="P57" s="127">
        <f t="shared" si="48"/>
        <v>11</v>
      </c>
      <c r="Q57" s="127">
        <f t="shared" si="48"/>
        <v>13</v>
      </c>
      <c r="R57" s="127">
        <f t="shared" si="48"/>
        <v>11</v>
      </c>
      <c r="S57" s="127">
        <f t="shared" si="48"/>
        <v>4</v>
      </c>
      <c r="T57" s="127">
        <f t="shared" si="48"/>
        <v>0</v>
      </c>
      <c r="U57" s="127">
        <f t="shared" si="48"/>
        <v>0</v>
      </c>
      <c r="V57" s="127">
        <f t="shared" si="48"/>
        <v>0</v>
      </c>
      <c r="W57" s="127">
        <f t="shared" si="48"/>
        <v>0</v>
      </c>
      <c r="X57" s="127">
        <f t="shared" si="48"/>
        <v>0</v>
      </c>
      <c r="Y57" s="127">
        <f t="shared" si="48"/>
        <v>0</v>
      </c>
      <c r="Z57" s="127">
        <f t="shared" si="48"/>
        <v>0</v>
      </c>
      <c r="AA57" s="127">
        <f t="shared" si="48"/>
        <v>0</v>
      </c>
      <c r="AB57" s="127">
        <f t="shared" si="48"/>
        <v>0</v>
      </c>
      <c r="AC57" s="127">
        <f t="shared" si="48"/>
        <v>0</v>
      </c>
      <c r="AD57" s="127">
        <f t="shared" si="48"/>
        <v>0</v>
      </c>
      <c r="AE57" s="127">
        <f t="shared" si="48"/>
        <v>0</v>
      </c>
      <c r="CL57" s="129"/>
    </row>
    <row r="58" spans="2:93" s="127" customFormat="1" x14ac:dyDescent="0.15">
      <c r="CL58" s="129"/>
    </row>
    <row r="59" spans="2:93" s="127" customFormat="1" x14ac:dyDescent="0.15">
      <c r="D59" s="127">
        <f t="shared" ref="D59:S59" si="49">MAX(BatSplit(D5:D44,HighestScore))</f>
        <v>51</v>
      </c>
      <c r="E59" s="127">
        <f t="shared" si="49"/>
        <v>32</v>
      </c>
      <c r="F59" s="127">
        <f t="shared" si="49"/>
        <v>0</v>
      </c>
      <c r="G59" s="127">
        <f t="shared" si="49"/>
        <v>46</v>
      </c>
      <c r="H59" s="127">
        <f t="shared" si="49"/>
        <v>58</v>
      </c>
      <c r="I59" s="127">
        <f t="shared" si="49"/>
        <v>32</v>
      </c>
      <c r="J59" s="127">
        <f t="shared" si="49"/>
        <v>50</v>
      </c>
      <c r="K59" s="127">
        <f t="shared" si="49"/>
        <v>28</v>
      </c>
      <c r="L59" s="127">
        <f t="shared" si="49"/>
        <v>-18</v>
      </c>
      <c r="M59" s="127">
        <f t="shared" si="49"/>
        <v>0</v>
      </c>
      <c r="N59" s="127">
        <f t="shared" si="49"/>
        <v>20</v>
      </c>
      <c r="O59" s="127">
        <f t="shared" si="49"/>
        <v>-28</v>
      </c>
      <c r="P59" s="127">
        <f t="shared" si="49"/>
        <v>48</v>
      </c>
      <c r="Q59" s="127">
        <f t="shared" si="49"/>
        <v>51</v>
      </c>
      <c r="R59" s="127">
        <f t="shared" si="49"/>
        <v>38</v>
      </c>
      <c r="S59" s="127">
        <f t="shared" si="49"/>
        <v>15</v>
      </c>
      <c r="CL59" s="129"/>
    </row>
    <row r="60" spans="2:93" s="127" customFormat="1" x14ac:dyDescent="0.15">
      <c r="CL60" s="129"/>
    </row>
    <row r="61" spans="2:93" s="127" customFormat="1" x14ac:dyDescent="0.15">
      <c r="CL61" s="129"/>
    </row>
    <row r="62" spans="2:93" s="127" customFormat="1" x14ac:dyDescent="0.15">
      <c r="CL62" s="129"/>
    </row>
    <row r="63" spans="2:93" s="127" customFormat="1" x14ac:dyDescent="0.15">
      <c r="CL63" s="129"/>
    </row>
    <row r="64" spans="2:93" s="127" customFormat="1" x14ac:dyDescent="0.15">
      <c r="CL64" s="129"/>
    </row>
    <row r="65" spans="90:90" s="127" customFormat="1" x14ac:dyDescent="0.15">
      <c r="CL65" s="129"/>
    </row>
    <row r="66" spans="90:90" customFormat="1" x14ac:dyDescent="0.15"/>
    <row r="67" spans="90:90" customFormat="1" x14ac:dyDescent="0.15"/>
    <row r="68" spans="90:90" customFormat="1" x14ac:dyDescent="0.15"/>
    <row r="69" spans="90:90" customFormat="1" x14ac:dyDescent="0.15"/>
    <row r="70" spans="90:90" customFormat="1" x14ac:dyDescent="0.15"/>
    <row r="71" spans="90:90" customFormat="1" x14ac:dyDescent="0.15"/>
    <row r="72" spans="90:90" customFormat="1" x14ac:dyDescent="0.15"/>
    <row r="73" spans="90:90" customFormat="1" x14ac:dyDescent="0.15"/>
    <row r="74" spans="90:90" customFormat="1" x14ac:dyDescent="0.15"/>
    <row r="75" spans="90:90" customFormat="1" x14ac:dyDescent="0.15"/>
    <row r="76" spans="90:90" customFormat="1" x14ac:dyDescent="0.15"/>
    <row r="77" spans="90:90" customFormat="1" x14ac:dyDescent="0.15"/>
    <row r="78" spans="90:90" customFormat="1" x14ac:dyDescent="0.15"/>
    <row r="79" spans="90:90" customFormat="1" x14ac:dyDescent="0.15"/>
    <row r="80" spans="90:9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  <row r="1546" customFormat="1" x14ac:dyDescent="0.15"/>
    <row r="1547" customFormat="1" x14ac:dyDescent="0.15"/>
    <row r="1548" customFormat="1" x14ac:dyDescent="0.15"/>
  </sheetData>
  <phoneticPr fontId="0" type="noConversion"/>
  <conditionalFormatting sqref="CE56:CE65">
    <cfRule type="cellIs" dxfId="3" priority="1" stopIfTrue="1" operator="greaterThanOrEqual">
      <formula>75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T83"/>
  <sheetViews>
    <sheetView workbookViewId="0">
      <pane xSplit="2" ySplit="4" topLeftCell="BD5" activePane="bottomRight" state="frozenSplit"/>
      <selection pane="topRight" activeCell="B1" sqref="B1"/>
      <selection pane="bottomLeft" activeCell="A5" sqref="A5"/>
      <selection pane="bottomRight" activeCell="B27" sqref="B27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0.5703125" style="2" bestFit="1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bestFit="1" customWidth="1"/>
    <col min="26" max="26" width="12.7109375" style="2" bestFit="1" customWidth="1"/>
    <col min="27" max="27" width="11.7109375" style="2" bestFit="1" customWidth="1"/>
    <col min="28" max="28" width="13.42578125" style="2" bestFit="1" customWidth="1"/>
    <col min="29" max="29" width="11.7109375" style="2" bestFit="1" customWidth="1"/>
    <col min="30" max="30" width="12.7109375" style="2" bestFit="1" customWidth="1"/>
    <col min="31" max="45" width="2.140625" style="2" customWidth="1"/>
    <col min="46" max="46" width="2.85546875" style="2" bestFit="1" customWidth="1"/>
    <col min="47" max="57" width="2.85546875" style="2" customWidth="1"/>
    <col min="58" max="81" width="2.42578125" style="2" customWidth="1"/>
    <col min="82" max="82" width="9.140625" style="2"/>
    <col min="83" max="83" width="5.5703125" style="55" bestFit="1" customWidth="1"/>
    <col min="84" max="84" width="5" style="55" bestFit="1" customWidth="1"/>
    <col min="85" max="85" width="5.85546875" style="55" bestFit="1" customWidth="1"/>
    <col min="86" max="86" width="7" style="55" bestFit="1" customWidth="1"/>
    <col min="87" max="88" width="5" style="55" bestFit="1" customWidth="1"/>
    <col min="89" max="89" width="7.28515625" style="56" bestFit="1" customWidth="1"/>
    <col min="90" max="91" width="5.5703125" style="55" bestFit="1" customWidth="1"/>
    <col min="92" max="92" width="4.7109375" style="49" bestFit="1" customWidth="1"/>
    <col min="93" max="93" width="7.85546875" style="55" bestFit="1" customWidth="1"/>
    <col min="94" max="94" width="5.85546875" style="55" bestFit="1" customWidth="1"/>
    <col min="95" max="95" width="7.5703125" style="55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8" s="3" customFormat="1" ht="50.25" customHeight="1" x14ac:dyDescent="0.15">
      <c r="B1" s="3" t="str">
        <f t="array" ref="B1:CC4">TRANSPOSE(Matches!B4:E82)</f>
        <v>Date</v>
      </c>
      <c r="C1" s="4">
        <v>39201</v>
      </c>
      <c r="D1" s="4">
        <v>39221</v>
      </c>
      <c r="E1" s="4">
        <v>39228</v>
      </c>
      <c r="F1" s="4">
        <v>39230</v>
      </c>
      <c r="G1" s="4">
        <v>39231</v>
      </c>
      <c r="H1" s="4">
        <v>39236</v>
      </c>
      <c r="I1" s="4">
        <v>39243</v>
      </c>
      <c r="J1" s="4">
        <v>39250</v>
      </c>
      <c r="K1" s="4">
        <v>39270</v>
      </c>
      <c r="L1" s="4">
        <v>39278</v>
      </c>
      <c r="M1" s="4">
        <v>39292</v>
      </c>
      <c r="N1" s="4">
        <v>39299</v>
      </c>
      <c r="O1" s="4">
        <v>39306</v>
      </c>
      <c r="P1" s="4">
        <v>39320</v>
      </c>
      <c r="Q1" s="4">
        <v>39333</v>
      </c>
      <c r="R1" s="4">
        <v>39340</v>
      </c>
      <c r="S1" s="4">
        <v>0</v>
      </c>
      <c r="T1" s="4">
        <v>0</v>
      </c>
      <c r="U1" s="4">
        <v>0</v>
      </c>
      <c r="V1" s="4">
        <v>0</v>
      </c>
      <c r="W1" s="4">
        <v>0</v>
      </c>
      <c r="X1" s="4">
        <v>0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2"/>
      <c r="CF1" s="52"/>
      <c r="CG1" s="52"/>
      <c r="CH1" s="52"/>
      <c r="CI1" s="52"/>
      <c r="CJ1" s="52"/>
      <c r="CK1" s="53"/>
      <c r="CL1" s="54"/>
      <c r="CM1" s="54"/>
      <c r="CN1" s="48"/>
      <c r="CO1" s="54"/>
      <c r="CP1" s="54"/>
      <c r="CQ1" s="54"/>
    </row>
    <row r="2" spans="1:98" ht="87.75" customHeight="1" x14ac:dyDescent="0.15">
      <c r="B2" s="2" t="str">
        <v>Opp</v>
      </c>
      <c r="C2" s="1" t="str">
        <v>John Fisher</v>
      </c>
      <c r="D2" s="1" t="str">
        <v>Riverside</v>
      </c>
      <c r="E2" s="1" t="str">
        <v>Churchleigh</v>
      </c>
      <c r="F2" s="1" t="str">
        <v>Steeple Langford</v>
      </c>
      <c r="G2" s="1" t="str">
        <v>Cove</v>
      </c>
      <c r="H2" s="1" t="str">
        <v>Beddington</v>
      </c>
      <c r="I2" s="1" t="str">
        <v>Vishwa</v>
      </c>
      <c r="J2" s="1" t="str">
        <v>Spencer</v>
      </c>
      <c r="K2" s="1" t="str">
        <v>Norwood Exiles</v>
      </c>
      <c r="L2" s="1" t="str">
        <v>Beckenham Dads</v>
      </c>
      <c r="M2" s="1" t="str">
        <v>Sanderstead</v>
      </c>
      <c r="N2" s="1" t="str">
        <v>Morden</v>
      </c>
      <c r="O2" s="1" t="str">
        <v>John Fisher</v>
      </c>
      <c r="P2" s="1" t="str">
        <v>Norwood Exiles</v>
      </c>
      <c r="Q2" s="1" t="str">
        <v>Beddington</v>
      </c>
      <c r="R2" s="1" t="str">
        <v>Sanderstead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1:98" ht="11.25" customHeight="1" x14ac:dyDescent="0.15">
      <c r="B3" s="2" t="str">
        <v>Venue</v>
      </c>
      <c r="C3" s="1" t="str">
        <v>H</v>
      </c>
      <c r="D3" s="1" t="str">
        <v>H</v>
      </c>
      <c r="E3" s="1" t="str">
        <v>A</v>
      </c>
      <c r="F3" s="1" t="str">
        <v>A</v>
      </c>
      <c r="G3" s="1" t="str">
        <v>A</v>
      </c>
      <c r="H3" s="1" t="str">
        <v>H</v>
      </c>
      <c r="I3" s="1" t="str">
        <v>H</v>
      </c>
      <c r="J3" s="1" t="str">
        <v>H</v>
      </c>
      <c r="K3" s="1" t="str">
        <v>A</v>
      </c>
      <c r="L3" s="1" t="str">
        <v>A</v>
      </c>
      <c r="M3" s="1" t="str">
        <v>A</v>
      </c>
      <c r="N3" s="1" t="str">
        <v>H</v>
      </c>
      <c r="O3" s="1" t="str">
        <v>A</v>
      </c>
      <c r="P3" s="1" t="str">
        <v>H</v>
      </c>
      <c r="Q3" s="1" t="str">
        <v>A</v>
      </c>
      <c r="R3" s="1" t="str">
        <v>A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5">
        <f>SUM(CP5:CP40)</f>
        <v>0</v>
      </c>
      <c r="CQ3" s="55">
        <f>SUM(CQ5:CQ40)</f>
        <v>0</v>
      </c>
    </row>
    <row r="4" spans="1:98" ht="11.25" customHeight="1" x14ac:dyDescent="0.15">
      <c r="B4" s="2" t="str">
        <v>Result</v>
      </c>
      <c r="C4" s="1" t="str">
        <v>D</v>
      </c>
      <c r="D4" s="1" t="str">
        <v>D</v>
      </c>
      <c r="E4" s="1" t="str">
        <v>ND</v>
      </c>
      <c r="F4" s="1" t="str">
        <v>T</v>
      </c>
      <c r="G4" s="1" t="str">
        <v>L</v>
      </c>
      <c r="H4" s="1" t="str">
        <v>W</v>
      </c>
      <c r="I4" s="1" t="str">
        <v>D</v>
      </c>
      <c r="J4" s="1" t="str">
        <v>L</v>
      </c>
      <c r="K4" s="1" t="str">
        <v>D</v>
      </c>
      <c r="L4" s="1" t="str">
        <v>ND</v>
      </c>
      <c r="M4" s="1" t="str">
        <v>L</v>
      </c>
      <c r="N4" s="1" t="str">
        <v>D</v>
      </c>
      <c r="O4" s="1" t="str">
        <v>L</v>
      </c>
      <c r="P4" s="1" t="str">
        <v>D</v>
      </c>
      <c r="Q4" s="1" t="str">
        <v>L</v>
      </c>
      <c r="R4" s="1" t="str">
        <v>L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50" t="s">
        <v>7</v>
      </c>
      <c r="CF4" s="50" t="s">
        <v>35</v>
      </c>
      <c r="CG4" s="50" t="s">
        <v>36</v>
      </c>
      <c r="CH4" s="50" t="s">
        <v>37</v>
      </c>
      <c r="CI4" s="50" t="s">
        <v>9</v>
      </c>
      <c r="CJ4" s="50" t="s">
        <v>38</v>
      </c>
      <c r="CK4" s="47" t="s">
        <v>39</v>
      </c>
      <c r="CL4" s="50" t="s">
        <v>40</v>
      </c>
      <c r="CM4" s="50" t="s">
        <v>41</v>
      </c>
      <c r="CN4" s="49" t="s">
        <v>101</v>
      </c>
      <c r="CO4" s="55" t="s">
        <v>42</v>
      </c>
      <c r="CP4" s="55" t="s">
        <v>120</v>
      </c>
      <c r="CQ4" s="55" t="s">
        <v>121</v>
      </c>
      <c r="CR4" s="76" t="s">
        <v>149</v>
      </c>
      <c r="CS4" s="2" t="s">
        <v>144</v>
      </c>
      <c r="CT4" s="2" t="s">
        <v>226</v>
      </c>
    </row>
    <row r="5" spans="1:98" ht="11.25" customHeight="1" x14ac:dyDescent="0.15">
      <c r="A5" s="2" t="s">
        <v>64</v>
      </c>
      <c r="B5" s="2" t="s">
        <v>152</v>
      </c>
      <c r="CE5" s="55">
        <f t="shared" ref="CE5:CE11" si="0">BowlSplit(C5:BC5,InnsBowledIn)</f>
        <v>0</v>
      </c>
      <c r="CF5" s="55">
        <f t="shared" ref="CF5:CF11" si="1">BowlSplit(C5:CC5,BallsBowled)</f>
        <v>0</v>
      </c>
      <c r="CG5" s="57">
        <f t="shared" ref="CG5:CG11" si="2">BowlSplit(C5:CC5,OversBowled)</f>
        <v>0</v>
      </c>
      <c r="CH5" s="55">
        <f t="shared" ref="CH5:CH11" si="3">BowlSplit(C5:CC5,Maidens)</f>
        <v>0</v>
      </c>
      <c r="CI5" s="55">
        <f t="shared" ref="CI5:CI11" si="4">BowlSplit(C5:CC5,RunsConceded)</f>
        <v>0</v>
      </c>
      <c r="CJ5" s="55">
        <f t="shared" ref="CJ5:CJ11" si="5">BowlSplit(C5:CC5,WicketsTaken)</f>
        <v>0</v>
      </c>
      <c r="CK5" s="58" t="str">
        <f t="shared" ref="CK5:CK11" si="6">IF(CJ5&gt;0,CI5/CJ5,"")</f>
        <v/>
      </c>
      <c r="CL5" s="59" t="str">
        <f t="shared" ref="CL5:CL11" si="7">IF(CJ5&gt;0,CF5/CJ5,"")</f>
        <v/>
      </c>
      <c r="CM5" s="59" t="str">
        <f t="shared" ref="CM5:CM11" si="8">IF(CF5&gt;0,6*CI5/CF5,"")</f>
        <v/>
      </c>
      <c r="CN5" s="49" t="str">
        <f t="shared" ref="CN5:CN11" si="9">BowlSplit(C5:CC5,BestBowling)</f>
        <v/>
      </c>
      <c r="CO5" s="55">
        <f t="shared" ref="CO5:CO11" si="10">BowlSplit(C5:CC5,BowlPts)</f>
        <v>0</v>
      </c>
      <c r="CP5" s="55">
        <f t="shared" ref="CP5:CP11" si="11">BowlSplit(C5:CC5,Wides)</f>
        <v>0</v>
      </c>
      <c r="CQ5" s="55">
        <f t="shared" ref="CQ5:CQ11" si="12">BowlSplit(C5:CC5,NoBalls)</f>
        <v>0</v>
      </c>
      <c r="CR5" s="60">
        <f t="shared" ref="CR5:CR11" si="13">IF(CJ5&gt;0,CK5,IF(CF5&gt;0,CF5+1000,99999))+ROW(CQ5)/10000</f>
        <v>99999.000499999995</v>
      </c>
      <c r="CS5" s="2">
        <f t="shared" ref="CS5:CS34" si="14">RANK(CR5,$CR$5:$CR$34,1)</f>
        <v>24</v>
      </c>
      <c r="CT5" s="110" t="str">
        <f t="shared" ref="CT5:CT11" si="15">IF(CF5&gt;=120,CH5/CF5*6,"")</f>
        <v/>
      </c>
    </row>
    <row r="6" spans="1:98" ht="11.25" customHeight="1" x14ac:dyDescent="0.15">
      <c r="A6" s="2" t="s">
        <v>43</v>
      </c>
      <c r="B6" s="2" t="s">
        <v>153</v>
      </c>
      <c r="C6" s="2" t="s">
        <v>270</v>
      </c>
      <c r="E6" s="2" t="s">
        <v>321</v>
      </c>
      <c r="M6" s="60"/>
      <c r="CE6" s="55">
        <f t="shared" si="0"/>
        <v>2</v>
      </c>
      <c r="CF6" s="55">
        <f t="shared" si="1"/>
        <v>90</v>
      </c>
      <c r="CG6" s="57">
        <f t="shared" si="2"/>
        <v>15</v>
      </c>
      <c r="CH6" s="55">
        <f t="shared" si="3"/>
        <v>2</v>
      </c>
      <c r="CI6" s="55">
        <f t="shared" si="4"/>
        <v>76</v>
      </c>
      <c r="CJ6" s="55">
        <f t="shared" si="5"/>
        <v>2</v>
      </c>
      <c r="CK6" s="58">
        <f t="shared" si="6"/>
        <v>38</v>
      </c>
      <c r="CL6" s="59">
        <f t="shared" si="7"/>
        <v>45</v>
      </c>
      <c r="CM6" s="59">
        <f t="shared" si="8"/>
        <v>5.0666666666666664</v>
      </c>
      <c r="CN6" s="49" t="str">
        <f t="shared" si="9"/>
        <v>1-30</v>
      </c>
      <c r="CO6" s="55">
        <f t="shared" si="10"/>
        <v>22</v>
      </c>
      <c r="CP6" s="55">
        <f t="shared" si="11"/>
        <v>0</v>
      </c>
      <c r="CQ6" s="55">
        <f t="shared" si="12"/>
        <v>0</v>
      </c>
      <c r="CR6" s="60">
        <f t="shared" si="13"/>
        <v>38.000599999999999</v>
      </c>
      <c r="CS6" s="2">
        <f t="shared" si="14"/>
        <v>16</v>
      </c>
      <c r="CT6" s="110" t="str">
        <f t="shared" si="15"/>
        <v/>
      </c>
    </row>
    <row r="7" spans="1:98" ht="11.25" customHeight="1" x14ac:dyDescent="0.15">
      <c r="B7" s="2" t="s">
        <v>286</v>
      </c>
      <c r="D7" s="2" t="s">
        <v>296</v>
      </c>
      <c r="H7" s="2" t="s">
        <v>381</v>
      </c>
      <c r="J7" s="2" t="s">
        <v>415</v>
      </c>
      <c r="M7" s="60" t="s">
        <v>453</v>
      </c>
      <c r="N7" s="2" t="s">
        <v>473</v>
      </c>
      <c r="O7" s="2" t="s">
        <v>571</v>
      </c>
      <c r="P7" s="2" t="s">
        <v>509</v>
      </c>
      <c r="Q7" s="2" t="s">
        <v>523</v>
      </c>
      <c r="R7" s="2" t="s">
        <v>545</v>
      </c>
      <c r="CE7" s="55">
        <f t="shared" si="0"/>
        <v>9</v>
      </c>
      <c r="CF7" s="55">
        <f t="shared" si="1"/>
        <v>348</v>
      </c>
      <c r="CG7" s="57">
        <f t="shared" si="2"/>
        <v>58</v>
      </c>
      <c r="CH7" s="55">
        <f t="shared" si="3"/>
        <v>6</v>
      </c>
      <c r="CI7" s="55">
        <f t="shared" si="4"/>
        <v>314</v>
      </c>
      <c r="CJ7" s="55">
        <f t="shared" si="5"/>
        <v>9</v>
      </c>
      <c r="CK7" s="58">
        <f t="shared" si="6"/>
        <v>34.888888888888886</v>
      </c>
      <c r="CL7" s="59">
        <f t="shared" si="7"/>
        <v>38.666666666666664</v>
      </c>
      <c r="CM7" s="59">
        <f t="shared" si="8"/>
        <v>5.4137931034482758</v>
      </c>
      <c r="CN7" s="49" t="str">
        <f t="shared" si="9"/>
        <v>3-52</v>
      </c>
      <c r="CO7" s="55">
        <f t="shared" si="10"/>
        <v>96</v>
      </c>
      <c r="CP7" s="55">
        <f t="shared" si="11"/>
        <v>0</v>
      </c>
      <c r="CQ7" s="55">
        <f t="shared" si="12"/>
        <v>0</v>
      </c>
      <c r="CR7" s="60">
        <f t="shared" si="13"/>
        <v>34.889588888888888</v>
      </c>
      <c r="CS7" s="2">
        <f t="shared" si="14"/>
        <v>15</v>
      </c>
      <c r="CT7" s="110">
        <f t="shared" si="15"/>
        <v>0.10344827586206896</v>
      </c>
    </row>
    <row r="8" spans="1:98" ht="11.25" customHeight="1" x14ac:dyDescent="0.15">
      <c r="A8" s="2" t="s">
        <v>102</v>
      </c>
      <c r="B8" s="2" t="s">
        <v>154</v>
      </c>
      <c r="C8" s="2" t="s">
        <v>272</v>
      </c>
      <c r="D8" s="137" t="s">
        <v>295</v>
      </c>
      <c r="F8" s="2" t="s">
        <v>336</v>
      </c>
      <c r="G8" s="2" t="s">
        <v>358</v>
      </c>
      <c r="I8" s="2" t="s">
        <v>397</v>
      </c>
      <c r="J8" s="2" t="s">
        <v>416</v>
      </c>
      <c r="K8" s="2" t="s">
        <v>434</v>
      </c>
      <c r="L8" s="2" t="s">
        <v>441</v>
      </c>
      <c r="M8" s="60" t="s">
        <v>452</v>
      </c>
      <c r="P8" s="2" t="s">
        <v>507</v>
      </c>
      <c r="R8" s="2" t="s">
        <v>548</v>
      </c>
      <c r="CE8" s="55">
        <f t="shared" si="0"/>
        <v>11</v>
      </c>
      <c r="CF8" s="55">
        <f t="shared" si="1"/>
        <v>444</v>
      </c>
      <c r="CG8" s="57">
        <f t="shared" si="2"/>
        <v>74</v>
      </c>
      <c r="CH8" s="55">
        <f t="shared" si="3"/>
        <v>14</v>
      </c>
      <c r="CI8" s="55">
        <f t="shared" si="4"/>
        <v>270</v>
      </c>
      <c r="CJ8" s="55">
        <f t="shared" si="5"/>
        <v>23</v>
      </c>
      <c r="CK8" s="58">
        <f t="shared" si="6"/>
        <v>11.739130434782609</v>
      </c>
      <c r="CL8" s="59">
        <f t="shared" si="7"/>
        <v>19.304347826086957</v>
      </c>
      <c r="CM8" s="59">
        <f t="shared" si="8"/>
        <v>3.6486486486486487</v>
      </c>
      <c r="CN8" s="49" t="str">
        <f t="shared" si="9"/>
        <v>6-33</v>
      </c>
      <c r="CO8" s="55">
        <f t="shared" si="10"/>
        <v>304</v>
      </c>
      <c r="CP8" s="55">
        <f t="shared" si="11"/>
        <v>0</v>
      </c>
      <c r="CQ8" s="55">
        <f t="shared" si="12"/>
        <v>0</v>
      </c>
      <c r="CR8" s="60">
        <f t="shared" si="13"/>
        <v>11.739930434782609</v>
      </c>
      <c r="CS8" s="2">
        <f t="shared" si="14"/>
        <v>4</v>
      </c>
      <c r="CT8" s="110">
        <f t="shared" si="15"/>
        <v>0.18918918918918917</v>
      </c>
    </row>
    <row r="9" spans="1:98" ht="11.25" customHeight="1" x14ac:dyDescent="0.15">
      <c r="A9" s="2" t="s">
        <v>136</v>
      </c>
      <c r="B9" s="2" t="s">
        <v>155</v>
      </c>
      <c r="CE9" s="55">
        <f t="shared" si="0"/>
        <v>0</v>
      </c>
      <c r="CF9" s="55">
        <f t="shared" si="1"/>
        <v>0</v>
      </c>
      <c r="CG9" s="57">
        <f t="shared" si="2"/>
        <v>0</v>
      </c>
      <c r="CH9" s="55">
        <f t="shared" si="3"/>
        <v>0</v>
      </c>
      <c r="CI9" s="55">
        <f t="shared" si="4"/>
        <v>0</v>
      </c>
      <c r="CJ9" s="55">
        <f t="shared" si="5"/>
        <v>0</v>
      </c>
      <c r="CK9" s="58" t="str">
        <f t="shared" si="6"/>
        <v/>
      </c>
      <c r="CL9" s="59" t="str">
        <f t="shared" si="7"/>
        <v/>
      </c>
      <c r="CM9" s="59" t="str">
        <f t="shared" si="8"/>
        <v/>
      </c>
      <c r="CN9" s="49" t="str">
        <f t="shared" si="9"/>
        <v/>
      </c>
      <c r="CO9" s="55">
        <f t="shared" si="10"/>
        <v>0</v>
      </c>
      <c r="CP9" s="55">
        <f t="shared" si="11"/>
        <v>0</v>
      </c>
      <c r="CQ9" s="55">
        <f t="shared" si="12"/>
        <v>0</v>
      </c>
      <c r="CR9" s="60">
        <f t="shared" si="13"/>
        <v>99999.000899999999</v>
      </c>
      <c r="CS9" s="2">
        <f t="shared" si="14"/>
        <v>25</v>
      </c>
      <c r="CT9" s="110" t="str">
        <f t="shared" si="15"/>
        <v/>
      </c>
    </row>
    <row r="10" spans="1:98" ht="11.25" customHeight="1" x14ac:dyDescent="0.15">
      <c r="A10" s="2" t="s">
        <v>44</v>
      </c>
      <c r="B10" s="2" t="s">
        <v>45</v>
      </c>
      <c r="C10" s="2" t="s">
        <v>268</v>
      </c>
      <c r="E10" s="2" t="s">
        <v>316</v>
      </c>
      <c r="H10" s="2" t="s">
        <v>379</v>
      </c>
      <c r="J10" s="2" t="s">
        <v>417</v>
      </c>
      <c r="K10" s="2" t="s">
        <v>433</v>
      </c>
      <c r="M10" s="60" t="s">
        <v>454</v>
      </c>
      <c r="N10" s="2" t="s">
        <v>472</v>
      </c>
      <c r="O10" s="2" t="s">
        <v>489</v>
      </c>
      <c r="P10" s="2" t="s">
        <v>508</v>
      </c>
      <c r="Q10" s="2" t="s">
        <v>439</v>
      </c>
      <c r="R10" s="2" t="s">
        <v>544</v>
      </c>
      <c r="CE10" s="55">
        <f t="shared" si="0"/>
        <v>11</v>
      </c>
      <c r="CF10" s="55">
        <f t="shared" si="1"/>
        <v>553</v>
      </c>
      <c r="CG10" s="57">
        <f t="shared" si="2"/>
        <v>92.1</v>
      </c>
      <c r="CH10" s="55">
        <f t="shared" si="3"/>
        <v>7</v>
      </c>
      <c r="CI10" s="55">
        <f t="shared" si="4"/>
        <v>400</v>
      </c>
      <c r="CJ10" s="55">
        <f t="shared" si="5"/>
        <v>25</v>
      </c>
      <c r="CK10" s="58">
        <f t="shared" si="6"/>
        <v>16</v>
      </c>
      <c r="CL10" s="59">
        <f t="shared" si="7"/>
        <v>22.12</v>
      </c>
      <c r="CM10" s="59">
        <f t="shared" si="8"/>
        <v>4.3399638336347195</v>
      </c>
      <c r="CN10" s="49" t="str">
        <f t="shared" si="9"/>
        <v>8-34</v>
      </c>
      <c r="CO10" s="55">
        <f t="shared" si="10"/>
        <v>287</v>
      </c>
      <c r="CP10" s="55">
        <f t="shared" si="11"/>
        <v>0</v>
      </c>
      <c r="CQ10" s="55">
        <f t="shared" si="12"/>
        <v>0</v>
      </c>
      <c r="CR10" s="60">
        <f t="shared" si="13"/>
        <v>16.001000000000001</v>
      </c>
      <c r="CS10" s="2">
        <f t="shared" si="14"/>
        <v>6</v>
      </c>
      <c r="CT10" s="110">
        <f t="shared" si="15"/>
        <v>7.5949367088607597E-2</v>
      </c>
    </row>
    <row r="11" spans="1:98" ht="11.25" customHeight="1" x14ac:dyDescent="0.15">
      <c r="B11" s="2" t="s">
        <v>494</v>
      </c>
      <c r="M11" s="60"/>
      <c r="P11" s="2" t="s">
        <v>506</v>
      </c>
      <c r="CE11" s="55">
        <f t="shared" si="0"/>
        <v>1</v>
      </c>
      <c r="CF11" s="55">
        <f t="shared" si="1"/>
        <v>18</v>
      </c>
      <c r="CG11" s="57">
        <f t="shared" si="2"/>
        <v>3</v>
      </c>
      <c r="CH11" s="55">
        <f t="shared" si="3"/>
        <v>0</v>
      </c>
      <c r="CI11" s="55">
        <f t="shared" si="4"/>
        <v>23</v>
      </c>
      <c r="CJ11" s="55">
        <f t="shared" si="5"/>
        <v>0</v>
      </c>
      <c r="CK11" s="58" t="str">
        <f t="shared" si="6"/>
        <v/>
      </c>
      <c r="CL11" s="59" t="str">
        <f t="shared" si="7"/>
        <v/>
      </c>
      <c r="CM11" s="59">
        <f t="shared" si="8"/>
        <v>7.666666666666667</v>
      </c>
      <c r="CN11" s="49" t="str">
        <f t="shared" si="9"/>
        <v>0-23</v>
      </c>
      <c r="CO11" s="55">
        <f t="shared" si="10"/>
        <v>-5</v>
      </c>
      <c r="CP11" s="55">
        <f t="shared" si="11"/>
        <v>0</v>
      </c>
      <c r="CQ11" s="55">
        <f t="shared" si="12"/>
        <v>0</v>
      </c>
      <c r="CR11" s="60">
        <f t="shared" si="13"/>
        <v>1018.0011</v>
      </c>
      <c r="CS11" s="2">
        <f t="shared" si="14"/>
        <v>21</v>
      </c>
      <c r="CT11" s="110" t="str">
        <f t="shared" si="15"/>
        <v/>
      </c>
    </row>
    <row r="12" spans="1:98" ht="11.25" customHeight="1" x14ac:dyDescent="0.15">
      <c r="B12" s="2" t="s">
        <v>248</v>
      </c>
      <c r="K12" s="2" t="s">
        <v>432</v>
      </c>
      <c r="M12" s="60" t="s">
        <v>456</v>
      </c>
      <c r="O12" s="2" t="s">
        <v>574</v>
      </c>
      <c r="R12" s="2" t="s">
        <v>547</v>
      </c>
      <c r="CE12" s="55">
        <f t="shared" ref="CE12:CE29" si="16">BowlSplit(C12:BC12,InnsBowledIn)</f>
        <v>4</v>
      </c>
      <c r="CF12" s="55">
        <f t="shared" ref="CF12:CF29" si="17">BowlSplit(C12:CC12,BallsBowled)</f>
        <v>54</v>
      </c>
      <c r="CG12" s="57">
        <f t="shared" ref="CG12:CG29" si="18">BowlSplit(C12:CC12,OversBowled)</f>
        <v>9</v>
      </c>
      <c r="CH12" s="55">
        <f t="shared" ref="CH12:CH29" si="19">BowlSplit(C12:CC12,Maidens)</f>
        <v>0</v>
      </c>
      <c r="CI12" s="55">
        <f t="shared" ref="CI12:CI29" si="20">BowlSplit(C12:CC12,RunsConceded)</f>
        <v>82</v>
      </c>
      <c r="CJ12" s="55">
        <f t="shared" ref="CJ12:CJ29" si="21">BowlSplit(C12:CC12,WicketsTaken)</f>
        <v>1</v>
      </c>
      <c r="CK12" s="58">
        <f t="shared" ref="CK12:CK29" si="22">IF(CJ12&gt;0,CI12/CJ12,"")</f>
        <v>82</v>
      </c>
      <c r="CL12" s="59">
        <f t="shared" ref="CL12:CL29" si="23">IF(CJ12&gt;0,CF12/CJ12,"")</f>
        <v>54</v>
      </c>
      <c r="CM12" s="59">
        <f t="shared" ref="CM12:CM29" si="24">IF(CF12&gt;0,6*CI12/CF12,"")</f>
        <v>9.1111111111111107</v>
      </c>
      <c r="CN12" s="49" t="str">
        <f t="shared" ref="CN12:CN29" si="25">BowlSplit(C12:CC12,BestBowling)</f>
        <v>1-20</v>
      </c>
      <c r="CO12" s="55">
        <f t="shared" ref="CO12:CO29" si="26">BowlSplit(C12:CC12,BowlPts)</f>
        <v>-10</v>
      </c>
      <c r="CP12" s="55">
        <f t="shared" ref="CP12:CP29" si="27">BowlSplit(C12:CC12,Wides)</f>
        <v>0</v>
      </c>
      <c r="CQ12" s="55">
        <f t="shared" ref="CQ12:CQ29" si="28">BowlSplit(C12:CC12,NoBalls)</f>
        <v>0</v>
      </c>
      <c r="CR12" s="60">
        <f t="shared" ref="CR12:CR29" si="29">IF(CJ12&gt;0,CK12,IF(CF12&gt;0,CF12+1000,99999))+ROW(CQ12)/10000</f>
        <v>82.001199999999997</v>
      </c>
      <c r="CS12" s="2">
        <f t="shared" si="14"/>
        <v>19</v>
      </c>
      <c r="CT12" s="110" t="str">
        <f t="shared" ref="CT12:CT29" si="30">IF(CF12&gt;=120,CH12/CF12*6,"")</f>
        <v/>
      </c>
    </row>
    <row r="13" spans="1:98" ht="11.25" customHeight="1" x14ac:dyDescent="0.15">
      <c r="B13" s="2" t="s">
        <v>247</v>
      </c>
      <c r="K13" s="2" t="s">
        <v>435</v>
      </c>
      <c r="M13" s="60"/>
      <c r="CE13" s="55">
        <f t="shared" si="16"/>
        <v>1</v>
      </c>
      <c r="CF13" s="55">
        <f t="shared" si="17"/>
        <v>12.999999046325684</v>
      </c>
      <c r="CG13" s="57">
        <f t="shared" si="18"/>
        <v>2.1</v>
      </c>
      <c r="CH13" s="55">
        <f t="shared" si="19"/>
        <v>0</v>
      </c>
      <c r="CI13" s="55">
        <f t="shared" si="20"/>
        <v>2</v>
      </c>
      <c r="CJ13" s="55">
        <f t="shared" si="21"/>
        <v>1</v>
      </c>
      <c r="CK13" s="58">
        <f t="shared" si="22"/>
        <v>2</v>
      </c>
      <c r="CL13" s="59">
        <f t="shared" si="23"/>
        <v>12.999999046325684</v>
      </c>
      <c r="CM13" s="59">
        <f t="shared" si="24"/>
        <v>0.92307699079344752</v>
      </c>
      <c r="CN13" s="49" t="str">
        <f t="shared" si="25"/>
        <v>1-2</v>
      </c>
      <c r="CO13" s="55">
        <f t="shared" si="26"/>
        <v>20</v>
      </c>
      <c r="CP13" s="55">
        <f t="shared" si="27"/>
        <v>0</v>
      </c>
      <c r="CQ13" s="55">
        <f t="shared" si="28"/>
        <v>0</v>
      </c>
      <c r="CR13" s="60">
        <f t="shared" si="29"/>
        <v>2.0013000000000001</v>
      </c>
      <c r="CS13" s="2">
        <f t="shared" si="14"/>
        <v>1</v>
      </c>
      <c r="CT13" s="110" t="str">
        <f t="shared" si="30"/>
        <v/>
      </c>
    </row>
    <row r="14" spans="1:98" ht="11.25" customHeight="1" x14ac:dyDescent="0.15">
      <c r="A14" s="2" t="s">
        <v>47</v>
      </c>
      <c r="B14" s="2" t="s">
        <v>156</v>
      </c>
      <c r="E14" s="2" t="s">
        <v>320</v>
      </c>
      <c r="F14" s="2" t="s">
        <v>335</v>
      </c>
      <c r="CE14" s="55">
        <f t="shared" si="16"/>
        <v>2</v>
      </c>
      <c r="CF14" s="55">
        <f t="shared" si="17"/>
        <v>78</v>
      </c>
      <c r="CG14" s="57">
        <f t="shared" si="18"/>
        <v>13</v>
      </c>
      <c r="CH14" s="55">
        <f t="shared" si="19"/>
        <v>0</v>
      </c>
      <c r="CI14" s="55">
        <f t="shared" si="20"/>
        <v>68</v>
      </c>
      <c r="CJ14" s="55">
        <f t="shared" si="21"/>
        <v>3</v>
      </c>
      <c r="CK14" s="58">
        <f t="shared" si="22"/>
        <v>22.666666666666668</v>
      </c>
      <c r="CL14" s="59">
        <f t="shared" si="23"/>
        <v>26</v>
      </c>
      <c r="CM14" s="59">
        <f t="shared" si="24"/>
        <v>5.2307692307692308</v>
      </c>
      <c r="CN14" s="49" t="str">
        <f t="shared" si="25"/>
        <v>2-41</v>
      </c>
      <c r="CO14" s="55">
        <f t="shared" si="26"/>
        <v>20</v>
      </c>
      <c r="CP14" s="55">
        <f t="shared" si="27"/>
        <v>0</v>
      </c>
      <c r="CQ14" s="55">
        <f t="shared" si="28"/>
        <v>0</v>
      </c>
      <c r="CR14" s="60">
        <f t="shared" si="29"/>
        <v>22.668066666666668</v>
      </c>
      <c r="CS14" s="2">
        <f t="shared" si="14"/>
        <v>10</v>
      </c>
      <c r="CT14" s="110" t="str">
        <f t="shared" si="30"/>
        <v/>
      </c>
    </row>
    <row r="15" spans="1:98" ht="11.25" customHeight="1" x14ac:dyDescent="0.15">
      <c r="B15" s="2" t="s">
        <v>465</v>
      </c>
      <c r="N15" s="2" t="s">
        <v>474</v>
      </c>
      <c r="CE15" s="55">
        <f>BowlSplit(C15:BC15,InnsBowledIn)</f>
        <v>1</v>
      </c>
      <c r="CF15" s="55">
        <f>BowlSplit(C15:CC15,BallsBowled)</f>
        <v>18</v>
      </c>
      <c r="CG15" s="57">
        <f>BowlSplit(C15:CC15,OversBowled)</f>
        <v>3</v>
      </c>
      <c r="CH15" s="55">
        <f>BowlSplit(C15:CC15,Maidens)</f>
        <v>0</v>
      </c>
      <c r="CI15" s="55">
        <f>BowlSplit(C15:CC15,RunsConceded)</f>
        <v>25</v>
      </c>
      <c r="CJ15" s="55">
        <f>BowlSplit(C15:CC15,WicketsTaken)</f>
        <v>0</v>
      </c>
      <c r="CK15" s="58" t="str">
        <f>IF(CJ15&gt;0,CI15/CJ15,"")</f>
        <v/>
      </c>
      <c r="CL15" s="59" t="str">
        <f>IF(CJ15&gt;0,CF15/CJ15,"")</f>
        <v/>
      </c>
      <c r="CM15" s="59">
        <f>IF(CF15&gt;0,6*CI15/CF15,"")</f>
        <v>8.3333333333333339</v>
      </c>
      <c r="CN15" s="49" t="str">
        <f>BowlSplit(C15:CC15,BestBowling)</f>
        <v>0-25</v>
      </c>
      <c r="CO15" s="55">
        <f>BowlSplit(C15:CC15,BowlPts)</f>
        <v>-5</v>
      </c>
      <c r="CP15" s="55">
        <f>BowlSplit(C15:CC15,Wides)</f>
        <v>0</v>
      </c>
      <c r="CQ15" s="55">
        <f>BowlSplit(C15:CC15,NoBalls)</f>
        <v>0</v>
      </c>
      <c r="CR15" s="60">
        <f>IF(CJ15&gt;0,CK15,IF(CF15&gt;0,CF15+1000,99999))+ROW(CQ15)/10000</f>
        <v>1018.0015</v>
      </c>
      <c r="CS15" s="2">
        <f t="shared" si="14"/>
        <v>22</v>
      </c>
      <c r="CT15" s="110" t="str">
        <f>IF(CF15&gt;=120,CH15/CF15*6,"")</f>
        <v/>
      </c>
    </row>
    <row r="16" spans="1:98" ht="11.25" customHeight="1" x14ac:dyDescent="0.15">
      <c r="B16" s="2" t="s">
        <v>219</v>
      </c>
      <c r="C16" s="2" t="s">
        <v>269</v>
      </c>
      <c r="F16" s="2" t="s">
        <v>338</v>
      </c>
      <c r="G16" s="2" t="s">
        <v>357</v>
      </c>
      <c r="H16" s="2" t="s">
        <v>380</v>
      </c>
      <c r="N16" s="2" t="s">
        <v>471</v>
      </c>
      <c r="Q16" s="2" t="s">
        <v>525</v>
      </c>
      <c r="R16" s="2" t="s">
        <v>543</v>
      </c>
      <c r="CE16" s="55">
        <f t="shared" si="16"/>
        <v>7</v>
      </c>
      <c r="CF16" s="55">
        <f t="shared" si="17"/>
        <v>270</v>
      </c>
      <c r="CG16" s="57">
        <f t="shared" si="18"/>
        <v>45</v>
      </c>
      <c r="CH16" s="55">
        <f t="shared" si="19"/>
        <v>3</v>
      </c>
      <c r="CI16" s="55">
        <f t="shared" si="20"/>
        <v>222</v>
      </c>
      <c r="CJ16" s="55">
        <f t="shared" si="21"/>
        <v>7</v>
      </c>
      <c r="CK16" s="58">
        <f t="shared" si="22"/>
        <v>31.714285714285715</v>
      </c>
      <c r="CL16" s="59">
        <f t="shared" si="23"/>
        <v>38.571428571428569</v>
      </c>
      <c r="CM16" s="59">
        <f t="shared" si="24"/>
        <v>4.9333333333333336</v>
      </c>
      <c r="CN16" s="49" t="str">
        <f t="shared" si="25"/>
        <v>2-26</v>
      </c>
      <c r="CO16" s="55">
        <f t="shared" si="26"/>
        <v>73</v>
      </c>
      <c r="CP16" s="55">
        <f t="shared" si="27"/>
        <v>0</v>
      </c>
      <c r="CQ16" s="55">
        <f t="shared" si="28"/>
        <v>0</v>
      </c>
      <c r="CR16" s="60">
        <f t="shared" si="29"/>
        <v>31.715885714285715</v>
      </c>
      <c r="CS16" s="2">
        <f t="shared" si="14"/>
        <v>13</v>
      </c>
      <c r="CT16" s="110">
        <f t="shared" si="30"/>
        <v>6.6666666666666666E-2</v>
      </c>
    </row>
    <row r="17" spans="1:98" ht="11.25" customHeight="1" x14ac:dyDescent="0.15">
      <c r="B17" s="2" t="s">
        <v>526</v>
      </c>
      <c r="Q17" s="2" t="s">
        <v>527</v>
      </c>
      <c r="CE17" s="55">
        <f>BowlSplit(C17:BC17,InnsBowledIn)</f>
        <v>1</v>
      </c>
      <c r="CF17" s="55">
        <f>BowlSplit(C17:CC17,BallsBowled)</f>
        <v>18</v>
      </c>
      <c r="CG17" s="57">
        <f>BowlSplit(C17:CC17,OversBowled)</f>
        <v>3</v>
      </c>
      <c r="CH17" s="55">
        <f>BowlSplit(C17:CC17,Maidens)</f>
        <v>0</v>
      </c>
      <c r="CI17" s="55">
        <f>BowlSplit(C17:CC17,RunsConceded)</f>
        <v>10</v>
      </c>
      <c r="CJ17" s="55">
        <f>BowlSplit(C17:CC17,WicketsTaken)</f>
        <v>1</v>
      </c>
      <c r="CK17" s="58">
        <f>IF(CJ17&gt;0,CI17/CJ17,"")</f>
        <v>10</v>
      </c>
      <c r="CL17" s="59">
        <f>IF(CJ17&gt;0,CF17/CJ17,"")</f>
        <v>18</v>
      </c>
      <c r="CM17" s="59">
        <f>IF(CF17&gt;0,6*CI17/CF17,"")</f>
        <v>3.3333333333333335</v>
      </c>
      <c r="CN17" s="49" t="str">
        <f>BowlSplit(C17:CC17,BestBowling)</f>
        <v>1-10</v>
      </c>
      <c r="CO17" s="55">
        <f>BowlSplit(C17:CC17,BowlPts)</f>
        <v>15</v>
      </c>
      <c r="CP17" s="55">
        <f>BowlSplit(C17:CC17,Wides)</f>
        <v>0</v>
      </c>
      <c r="CQ17" s="55">
        <f>BowlSplit(C17:CC17,NoBalls)</f>
        <v>0</v>
      </c>
      <c r="CR17" s="60">
        <f>IF(CJ17&gt;0,CK17,IF(CF17&gt;0,CF17+1000,99999))+ROW(CQ17)/10000</f>
        <v>10.0017</v>
      </c>
      <c r="CS17" s="2">
        <f t="shared" si="14"/>
        <v>3</v>
      </c>
      <c r="CT17" s="110" t="str">
        <f>IF(CF17&gt;=120,CH17/CF17*6,"")</f>
        <v/>
      </c>
    </row>
    <row r="18" spans="1:98" ht="11.25" customHeight="1" x14ac:dyDescent="0.15">
      <c r="B18" s="2" t="s">
        <v>245</v>
      </c>
      <c r="M18" s="60"/>
      <c r="N18" s="2" t="s">
        <v>476</v>
      </c>
      <c r="O18" s="2" t="s">
        <v>573</v>
      </c>
      <c r="CE18" s="55">
        <f>BowlSplit(C18:BC18,InnsBowledIn)</f>
        <v>2</v>
      </c>
      <c r="CF18" s="55">
        <f>BowlSplit(C18:CC18,BallsBowled)</f>
        <v>36</v>
      </c>
      <c r="CG18" s="57">
        <f>BowlSplit(C18:CC18,OversBowled)</f>
        <v>6</v>
      </c>
      <c r="CH18" s="55">
        <f>BowlSplit(C18:CC18,Maidens)</f>
        <v>0</v>
      </c>
      <c r="CI18" s="55">
        <f>BowlSplit(C18:CC18,RunsConceded)</f>
        <v>49</v>
      </c>
      <c r="CJ18" s="55">
        <f>BowlSplit(C18:CC18,WicketsTaken)</f>
        <v>3</v>
      </c>
      <c r="CK18" s="58">
        <f>IF(CJ18&gt;0,CI18/CJ18,"")</f>
        <v>16.333333333333332</v>
      </c>
      <c r="CL18" s="59">
        <f>IF(CJ18&gt;0,CF18/CJ18,"")</f>
        <v>12</v>
      </c>
      <c r="CM18" s="59">
        <f>IF(CF18&gt;0,6*CI18/CF18,"")</f>
        <v>8.1666666666666661</v>
      </c>
      <c r="CN18" s="49" t="str">
        <f>BowlSplit(C18:CC18,BestBowling)</f>
        <v>2-11</v>
      </c>
      <c r="CO18" s="55">
        <f>BowlSplit(C18:CC18,BowlPts)</f>
        <v>20</v>
      </c>
      <c r="CP18" s="55">
        <f>BowlSplit(C18:CC18,Wides)</f>
        <v>0</v>
      </c>
      <c r="CQ18" s="55">
        <f>BowlSplit(C18:CC18,NoBalls)</f>
        <v>0</v>
      </c>
      <c r="CR18" s="60">
        <f>IF(CJ18&gt;0,CK18,IF(CF18&gt;0,CF18+1000,99999))+ROW(CQ18)/10000</f>
        <v>16.335133333333332</v>
      </c>
      <c r="CS18" s="2">
        <f t="shared" si="14"/>
        <v>7</v>
      </c>
      <c r="CT18" s="110" t="str">
        <f>IF(CF18&gt;=120,CH18/CF18*6,"")</f>
        <v/>
      </c>
    </row>
    <row r="19" spans="1:98" ht="11.25" customHeight="1" x14ac:dyDescent="0.15">
      <c r="B19" s="2" t="s">
        <v>234</v>
      </c>
      <c r="M19" s="60"/>
      <c r="O19" s="2" t="s">
        <v>575</v>
      </c>
      <c r="CE19" s="55">
        <f>BowlSplit(C19:BC19,InnsBowledIn)</f>
        <v>1</v>
      </c>
      <c r="CF19" s="55">
        <f>BowlSplit(C19:CC19,BallsBowled)</f>
        <v>18</v>
      </c>
      <c r="CG19" s="57">
        <f>BowlSplit(C19:CC19,OversBowled)</f>
        <v>3</v>
      </c>
      <c r="CH19" s="55">
        <f>BowlSplit(C19:CC19,Maidens)</f>
        <v>0</v>
      </c>
      <c r="CI19" s="55">
        <f>BowlSplit(C19:CC19,RunsConceded)</f>
        <v>35</v>
      </c>
      <c r="CJ19" s="55">
        <f>BowlSplit(C19:CC19,WicketsTaken)</f>
        <v>2</v>
      </c>
      <c r="CK19" s="58">
        <f>IF(CJ19&gt;0,CI19/CJ19,"")</f>
        <v>17.5</v>
      </c>
      <c r="CL19" s="59">
        <f>IF(CJ19&gt;0,CF19/CJ19,"")</f>
        <v>9</v>
      </c>
      <c r="CM19" s="59">
        <f>IF(CF19&gt;0,6*CI19/CF19,"")</f>
        <v>11.666666666666666</v>
      </c>
      <c r="CN19" s="49" t="str">
        <f>BowlSplit(C19:CC19,BestBowling)</f>
        <v>2-35</v>
      </c>
      <c r="CO19" s="55">
        <f>BowlSplit(C19:CC19,BowlPts)</f>
        <v>15</v>
      </c>
      <c r="CP19" s="55">
        <f>BowlSplit(C19:CC19,Wides)</f>
        <v>0</v>
      </c>
      <c r="CQ19" s="55">
        <f>BowlSplit(C19:CC19,NoBalls)</f>
        <v>0</v>
      </c>
      <c r="CR19" s="60">
        <f>IF(CJ19&gt;0,CK19,IF(CF19&gt;0,CF19+1000,99999))+ROW(CQ19)/10000</f>
        <v>17.501899999999999</v>
      </c>
      <c r="CS19" s="2">
        <f t="shared" si="14"/>
        <v>8</v>
      </c>
      <c r="CT19" s="110" t="str">
        <f>IF(CF19&gt;=120,CH19/CF19*6,"")</f>
        <v/>
      </c>
    </row>
    <row r="20" spans="1:98" ht="11.25" customHeight="1" x14ac:dyDescent="0.15">
      <c r="A20" s="2" t="s">
        <v>48</v>
      </c>
      <c r="B20" s="2" t="s">
        <v>49</v>
      </c>
      <c r="CE20" s="55">
        <f>BowlSplit(C20:BC20,InnsBowledIn)</f>
        <v>0</v>
      </c>
      <c r="CF20" s="55">
        <f>BowlSplit(C20:CC20,BallsBowled)</f>
        <v>0</v>
      </c>
      <c r="CG20" s="57">
        <f>BowlSplit(C20:CC20,OversBowled)</f>
        <v>0</v>
      </c>
      <c r="CH20" s="55">
        <f>BowlSplit(C20:CC20,Maidens)</f>
        <v>0</v>
      </c>
      <c r="CI20" s="55">
        <f>BowlSplit(C20:CC20,RunsConceded)</f>
        <v>0</v>
      </c>
      <c r="CJ20" s="55">
        <f>BowlSplit(C20:CC20,WicketsTaken)</f>
        <v>0</v>
      </c>
      <c r="CK20" s="58" t="str">
        <f>IF(CJ20&gt;0,CI20/CJ20,"")</f>
        <v/>
      </c>
      <c r="CL20" s="59" t="str">
        <f>IF(CJ20&gt;0,CF20/CJ20,"")</f>
        <v/>
      </c>
      <c r="CM20" s="59" t="str">
        <f>IF(CF20&gt;0,6*CI20/CF20,"")</f>
        <v/>
      </c>
      <c r="CN20" s="49" t="str">
        <f>BowlSplit(C20:CC20,BestBowling)</f>
        <v/>
      </c>
      <c r="CO20" s="55">
        <f>BowlSplit(C20:CC20,BowlPts)</f>
        <v>0</v>
      </c>
      <c r="CP20" s="55">
        <f>BowlSplit(C20:CC20,Wides)</f>
        <v>0</v>
      </c>
      <c r="CQ20" s="55">
        <f>BowlSplit(C20:CC20,NoBalls)</f>
        <v>0</v>
      </c>
      <c r="CR20" s="60">
        <f>IF(CJ20&gt;0,CK20,IF(CF20&gt;0,CF20+1000,99999))+ROW(CQ20)/10000</f>
        <v>99999.001999999993</v>
      </c>
      <c r="CS20" s="2">
        <f t="shared" si="14"/>
        <v>26</v>
      </c>
      <c r="CT20" s="110" t="str">
        <f>IF(CF20&gt;=120,CH20/CF20*6,"")</f>
        <v/>
      </c>
    </row>
    <row r="21" spans="1:98" ht="11.25" customHeight="1" x14ac:dyDescent="0.15">
      <c r="A21" s="2" t="s">
        <v>201</v>
      </c>
      <c r="B21" s="2" t="s">
        <v>196</v>
      </c>
      <c r="C21" s="2" t="s">
        <v>267</v>
      </c>
      <c r="D21" s="2" t="s">
        <v>267</v>
      </c>
      <c r="E21" s="2" t="s">
        <v>318</v>
      </c>
      <c r="F21" s="2" t="s">
        <v>337</v>
      </c>
      <c r="G21" s="2" t="s">
        <v>356</v>
      </c>
      <c r="H21" s="2" t="s">
        <v>378</v>
      </c>
      <c r="I21" s="2" t="s">
        <v>396</v>
      </c>
      <c r="J21" s="2" t="s">
        <v>413</v>
      </c>
      <c r="K21" s="2" t="s">
        <v>431</v>
      </c>
      <c r="L21" s="2" t="s">
        <v>439</v>
      </c>
      <c r="M21" s="2" t="s">
        <v>451</v>
      </c>
      <c r="N21" s="2" t="s">
        <v>470</v>
      </c>
      <c r="O21" s="2" t="s">
        <v>488</v>
      </c>
      <c r="P21" s="2" t="s">
        <v>504</v>
      </c>
      <c r="Q21" s="2" t="s">
        <v>522</v>
      </c>
      <c r="R21" s="2" t="s">
        <v>546</v>
      </c>
      <c r="CE21" s="55">
        <f>BowlSplit(C21:BC21,InnsBowledIn)</f>
        <v>16</v>
      </c>
      <c r="CF21" s="55">
        <f>BowlSplit(C21:CC21,BallsBowled)</f>
        <v>605</v>
      </c>
      <c r="CG21" s="57">
        <f>BowlSplit(C21:CC21,OversBowled)</f>
        <v>100.5</v>
      </c>
      <c r="CH21" s="55">
        <f>BowlSplit(C21:CC21,Maidens)</f>
        <v>14</v>
      </c>
      <c r="CI21" s="55">
        <f>BowlSplit(C21:CC21,RunsConceded)</f>
        <v>400</v>
      </c>
      <c r="CJ21" s="55">
        <f>BowlSplit(C21:CC21,WicketsTaken)</f>
        <v>13</v>
      </c>
      <c r="CK21" s="58">
        <f>IF(CJ21&gt;0,CI21/CJ21,"")</f>
        <v>30.76923076923077</v>
      </c>
      <c r="CL21" s="59">
        <f>IF(CJ21&gt;0,CF21/CJ21,"")</f>
        <v>46.53846153846154</v>
      </c>
      <c r="CM21" s="59">
        <f>IF(CF21&gt;0,6*CI21/CF21,"")</f>
        <v>3.9669421487603307</v>
      </c>
      <c r="CN21" s="49" t="str">
        <f>BowlSplit(C21:CC21,BestBowling)</f>
        <v>2-15</v>
      </c>
      <c r="CO21" s="55">
        <f>BowlSplit(C21:CC21,BowlPts)</f>
        <v>189</v>
      </c>
      <c r="CP21" s="55">
        <f>BowlSplit(C21:CC21,Wides)</f>
        <v>0</v>
      </c>
      <c r="CQ21" s="55">
        <f>BowlSplit(C21:CC21,NoBalls)</f>
        <v>0</v>
      </c>
      <c r="CR21" s="60">
        <f>IF(CJ21&gt;0,CK21,IF(CF21&gt;0,CF21+1000,99999))+ROW(CQ21)/10000</f>
        <v>30.771330769230769</v>
      </c>
      <c r="CS21" s="2">
        <f t="shared" si="14"/>
        <v>12</v>
      </c>
      <c r="CT21" s="110">
        <f>IF(CF21&gt;=120,CH21/CF21*6,"")</f>
        <v>0.13884297520661157</v>
      </c>
    </row>
    <row r="22" spans="1:98" ht="11.25" customHeight="1" x14ac:dyDescent="0.15">
      <c r="A22" s="2" t="s">
        <v>142</v>
      </c>
      <c r="B22" s="2" t="s">
        <v>157</v>
      </c>
      <c r="C22" s="2" t="s">
        <v>271</v>
      </c>
      <c r="CE22" s="55">
        <f t="shared" si="16"/>
        <v>1</v>
      </c>
      <c r="CF22" s="55">
        <f t="shared" si="17"/>
        <v>30</v>
      </c>
      <c r="CG22" s="57">
        <f t="shared" si="18"/>
        <v>5</v>
      </c>
      <c r="CH22" s="55">
        <f t="shared" si="19"/>
        <v>0</v>
      </c>
      <c r="CI22" s="55">
        <f t="shared" si="20"/>
        <v>39</v>
      </c>
      <c r="CJ22" s="55">
        <f t="shared" si="21"/>
        <v>3</v>
      </c>
      <c r="CK22" s="58">
        <f t="shared" si="22"/>
        <v>13</v>
      </c>
      <c r="CL22" s="59">
        <f t="shared" si="23"/>
        <v>10</v>
      </c>
      <c r="CM22" s="59">
        <f t="shared" si="24"/>
        <v>7.8</v>
      </c>
      <c r="CN22" s="49" t="str">
        <f t="shared" si="25"/>
        <v>3-39</v>
      </c>
      <c r="CO22" s="55">
        <f t="shared" si="26"/>
        <v>25</v>
      </c>
      <c r="CP22" s="55">
        <f t="shared" si="27"/>
        <v>0</v>
      </c>
      <c r="CQ22" s="55">
        <f t="shared" si="28"/>
        <v>0</v>
      </c>
      <c r="CR22" s="60">
        <f t="shared" si="29"/>
        <v>13.0022</v>
      </c>
      <c r="CS22" s="2">
        <f t="shared" si="14"/>
        <v>5</v>
      </c>
      <c r="CT22" s="110" t="str">
        <f t="shared" si="30"/>
        <v/>
      </c>
    </row>
    <row r="23" spans="1:98" ht="11.25" customHeight="1" x14ac:dyDescent="0.15">
      <c r="A23" s="2" t="s">
        <v>50</v>
      </c>
      <c r="B23" s="2" t="s">
        <v>51</v>
      </c>
      <c r="F23" s="2" t="s">
        <v>333</v>
      </c>
      <c r="G23" s="2" t="s">
        <v>355</v>
      </c>
      <c r="CE23" s="55">
        <f t="shared" si="16"/>
        <v>2</v>
      </c>
      <c r="CF23" s="55">
        <f t="shared" si="17"/>
        <v>96</v>
      </c>
      <c r="CG23" s="57">
        <f t="shared" si="18"/>
        <v>16</v>
      </c>
      <c r="CH23" s="55">
        <f t="shared" si="19"/>
        <v>5</v>
      </c>
      <c r="CI23" s="55">
        <f t="shared" si="20"/>
        <v>33</v>
      </c>
      <c r="CJ23" s="55">
        <f t="shared" si="21"/>
        <v>1</v>
      </c>
      <c r="CK23" s="58">
        <f t="shared" si="22"/>
        <v>33</v>
      </c>
      <c r="CL23" s="59">
        <f t="shared" si="23"/>
        <v>96</v>
      </c>
      <c r="CM23" s="59">
        <f t="shared" si="24"/>
        <v>2.0625</v>
      </c>
      <c r="CN23" s="49" t="str">
        <f t="shared" si="25"/>
        <v>1-11</v>
      </c>
      <c r="CO23" s="55">
        <f t="shared" si="26"/>
        <v>35</v>
      </c>
      <c r="CP23" s="55">
        <f t="shared" si="27"/>
        <v>0</v>
      </c>
      <c r="CQ23" s="55">
        <f t="shared" si="28"/>
        <v>0</v>
      </c>
      <c r="CR23" s="60">
        <f t="shared" si="29"/>
        <v>33.002299999999998</v>
      </c>
      <c r="CS23" s="2">
        <f t="shared" si="14"/>
        <v>14</v>
      </c>
      <c r="CT23" s="110" t="str">
        <f t="shared" si="30"/>
        <v/>
      </c>
    </row>
    <row r="24" spans="1:98" ht="11.25" customHeight="1" x14ac:dyDescent="0.15">
      <c r="A24" s="2" t="s">
        <v>52</v>
      </c>
      <c r="B24" s="2" t="s">
        <v>53</v>
      </c>
      <c r="M24" s="60"/>
      <c r="CE24" s="55">
        <f t="shared" si="16"/>
        <v>0</v>
      </c>
      <c r="CF24" s="55">
        <f t="shared" si="17"/>
        <v>0</v>
      </c>
      <c r="CG24" s="57">
        <f t="shared" si="18"/>
        <v>0</v>
      </c>
      <c r="CH24" s="55">
        <f t="shared" si="19"/>
        <v>0</v>
      </c>
      <c r="CI24" s="55">
        <f t="shared" si="20"/>
        <v>0</v>
      </c>
      <c r="CJ24" s="55">
        <f t="shared" si="21"/>
        <v>0</v>
      </c>
      <c r="CK24" s="58" t="str">
        <f t="shared" si="22"/>
        <v/>
      </c>
      <c r="CL24" s="59" t="str">
        <f t="shared" si="23"/>
        <v/>
      </c>
      <c r="CM24" s="59" t="str">
        <f t="shared" si="24"/>
        <v/>
      </c>
      <c r="CN24" s="49" t="str">
        <f t="shared" si="25"/>
        <v/>
      </c>
      <c r="CO24" s="55">
        <f t="shared" si="26"/>
        <v>0</v>
      </c>
      <c r="CP24" s="55">
        <f t="shared" si="27"/>
        <v>0</v>
      </c>
      <c r="CQ24" s="55">
        <f t="shared" si="28"/>
        <v>0</v>
      </c>
      <c r="CR24" s="60">
        <f t="shared" si="29"/>
        <v>99999.002399999998</v>
      </c>
      <c r="CS24" s="2">
        <f t="shared" si="14"/>
        <v>27</v>
      </c>
      <c r="CT24" s="110" t="str">
        <f t="shared" si="30"/>
        <v/>
      </c>
    </row>
    <row r="25" spans="1:98" ht="11.25" customHeight="1" x14ac:dyDescent="0.15">
      <c r="B25" s="2" t="s">
        <v>122</v>
      </c>
      <c r="M25" s="60"/>
      <c r="CE25" s="55">
        <f t="shared" si="16"/>
        <v>0</v>
      </c>
      <c r="CF25" s="55">
        <f t="shared" si="17"/>
        <v>0</v>
      </c>
      <c r="CG25" s="57">
        <f t="shared" si="18"/>
        <v>0</v>
      </c>
      <c r="CH25" s="55">
        <f t="shared" si="19"/>
        <v>0</v>
      </c>
      <c r="CI25" s="55">
        <f t="shared" si="20"/>
        <v>0</v>
      </c>
      <c r="CJ25" s="55">
        <f t="shared" si="21"/>
        <v>0</v>
      </c>
      <c r="CK25" s="58" t="str">
        <f t="shared" si="22"/>
        <v/>
      </c>
      <c r="CL25" s="59" t="str">
        <f t="shared" si="23"/>
        <v/>
      </c>
      <c r="CM25" s="59" t="str">
        <f t="shared" si="24"/>
        <v/>
      </c>
      <c r="CN25" s="49" t="str">
        <f t="shared" si="25"/>
        <v/>
      </c>
      <c r="CO25" s="55">
        <f t="shared" si="26"/>
        <v>0</v>
      </c>
      <c r="CP25" s="55">
        <f t="shared" si="27"/>
        <v>0</v>
      </c>
      <c r="CQ25" s="55">
        <f t="shared" si="28"/>
        <v>0</v>
      </c>
      <c r="CR25" s="60">
        <f t="shared" si="29"/>
        <v>99999.002500000002</v>
      </c>
      <c r="CS25" s="2">
        <f t="shared" si="14"/>
        <v>28</v>
      </c>
      <c r="CT25" s="110" t="str">
        <f t="shared" si="30"/>
        <v/>
      </c>
    </row>
    <row r="26" spans="1:98" ht="11.25" customHeight="1" x14ac:dyDescent="0.15">
      <c r="B26" s="2" t="s">
        <v>542</v>
      </c>
      <c r="E26" s="2" t="s">
        <v>315</v>
      </c>
      <c r="H26" s="2" t="s">
        <v>377</v>
      </c>
      <c r="I26" s="2" t="s">
        <v>395</v>
      </c>
      <c r="J26" s="2" t="s">
        <v>412</v>
      </c>
      <c r="K26" s="2" t="s">
        <v>430</v>
      </c>
      <c r="L26" s="2" t="s">
        <v>438</v>
      </c>
      <c r="M26" s="60"/>
      <c r="P26" s="2" t="s">
        <v>503</v>
      </c>
      <c r="R26" s="2" t="s">
        <v>541</v>
      </c>
      <c r="CE26" s="55">
        <f t="shared" si="16"/>
        <v>8</v>
      </c>
      <c r="CF26" s="55">
        <f t="shared" si="17"/>
        <v>347</v>
      </c>
      <c r="CG26" s="57">
        <f t="shared" si="18"/>
        <v>57.5</v>
      </c>
      <c r="CH26" s="55">
        <f t="shared" si="19"/>
        <v>14</v>
      </c>
      <c r="CI26" s="55">
        <f t="shared" si="20"/>
        <v>210</v>
      </c>
      <c r="CJ26" s="55">
        <f t="shared" si="21"/>
        <v>7</v>
      </c>
      <c r="CK26" s="58">
        <f t="shared" si="22"/>
        <v>30</v>
      </c>
      <c r="CL26" s="59">
        <f t="shared" si="23"/>
        <v>49.571428571428569</v>
      </c>
      <c r="CM26" s="59">
        <f t="shared" si="24"/>
        <v>3.6311239193083575</v>
      </c>
      <c r="CN26" s="49" t="str">
        <f t="shared" si="25"/>
        <v>2-17</v>
      </c>
      <c r="CO26" s="55">
        <f t="shared" si="26"/>
        <v>119</v>
      </c>
      <c r="CP26" s="55">
        <f t="shared" si="27"/>
        <v>0</v>
      </c>
      <c r="CQ26" s="55">
        <f t="shared" si="28"/>
        <v>0</v>
      </c>
      <c r="CR26" s="60">
        <f t="shared" si="29"/>
        <v>30.002600000000001</v>
      </c>
      <c r="CS26" s="2">
        <f t="shared" si="14"/>
        <v>11</v>
      </c>
      <c r="CT26" s="110">
        <f t="shared" si="30"/>
        <v>0.24207492795389049</v>
      </c>
    </row>
    <row r="27" spans="1:98" ht="11.25" customHeight="1" x14ac:dyDescent="0.15">
      <c r="B27" s="2" t="s">
        <v>290</v>
      </c>
      <c r="D27" s="2" t="s">
        <v>298</v>
      </c>
      <c r="E27" s="2" t="s">
        <v>317</v>
      </c>
      <c r="G27" s="2" t="s">
        <v>360</v>
      </c>
      <c r="M27" s="60"/>
      <c r="CE27" s="55">
        <f>BowlSplit(C27:BC27,InnsBowledIn)</f>
        <v>3</v>
      </c>
      <c r="CF27" s="55">
        <f>BowlSplit(C27:CC27,BallsBowled)</f>
        <v>54</v>
      </c>
      <c r="CG27" s="57">
        <f>BowlSplit(C27:CC27,OversBowled)</f>
        <v>9</v>
      </c>
      <c r="CH27" s="55">
        <f>BowlSplit(C27:CC27,Maidens)</f>
        <v>0</v>
      </c>
      <c r="CI27" s="55">
        <f>BowlSplit(C27:CC27,RunsConceded)</f>
        <v>71</v>
      </c>
      <c r="CJ27" s="55">
        <f>BowlSplit(C27:CC27,WicketsTaken)</f>
        <v>1</v>
      </c>
      <c r="CK27" s="58">
        <f>IF(CJ27&gt;0,CI27/CJ27,"")</f>
        <v>71</v>
      </c>
      <c r="CL27" s="59">
        <f>IF(CJ27&gt;0,CF27/CJ27,"")</f>
        <v>54</v>
      </c>
      <c r="CM27" s="59">
        <f>IF(CF27&gt;0,6*CI27/CF27,"")</f>
        <v>7.8888888888888893</v>
      </c>
      <c r="CN27" s="49" t="str">
        <f>BowlSplit(C27:CC27,BestBowling)</f>
        <v>1-36</v>
      </c>
      <c r="CO27" s="55">
        <f>BowlSplit(C27:CC27,BowlPts)</f>
        <v>0</v>
      </c>
      <c r="CP27" s="55">
        <f>BowlSplit(C27:CC27,Wides)</f>
        <v>0</v>
      </c>
      <c r="CQ27" s="55">
        <f>BowlSplit(C27:CC27,NoBalls)</f>
        <v>0</v>
      </c>
      <c r="CR27" s="60">
        <f>IF(CJ27&gt;0,CK27,IF(CF27&gt;0,CF27+1000,99999))+ROW(CQ27)/10000</f>
        <v>71.002700000000004</v>
      </c>
      <c r="CS27" s="2">
        <f t="shared" si="14"/>
        <v>18</v>
      </c>
      <c r="CT27" s="110" t="str">
        <f>IF(CF27&gt;=120,CH27/CF27*6,"")</f>
        <v/>
      </c>
    </row>
    <row r="28" spans="1:98" ht="11.25" customHeight="1" x14ac:dyDescent="0.15">
      <c r="B28" s="2" t="s">
        <v>244</v>
      </c>
      <c r="M28" s="60"/>
      <c r="CE28" s="55">
        <f t="shared" si="16"/>
        <v>0</v>
      </c>
      <c r="CF28" s="55">
        <f t="shared" si="17"/>
        <v>0</v>
      </c>
      <c r="CG28" s="57">
        <f t="shared" si="18"/>
        <v>0</v>
      </c>
      <c r="CH28" s="55">
        <f t="shared" si="19"/>
        <v>0</v>
      </c>
      <c r="CI28" s="55">
        <f t="shared" si="20"/>
        <v>0</v>
      </c>
      <c r="CJ28" s="55">
        <f t="shared" si="21"/>
        <v>0</v>
      </c>
      <c r="CK28" s="58" t="str">
        <f t="shared" si="22"/>
        <v/>
      </c>
      <c r="CL28" s="59" t="str">
        <f t="shared" si="23"/>
        <v/>
      </c>
      <c r="CM28" s="59" t="str">
        <f t="shared" si="24"/>
        <v/>
      </c>
      <c r="CN28" s="49" t="str">
        <f t="shared" si="25"/>
        <v/>
      </c>
      <c r="CO28" s="55">
        <f t="shared" si="26"/>
        <v>0</v>
      </c>
      <c r="CP28" s="55">
        <f t="shared" si="27"/>
        <v>0</v>
      </c>
      <c r="CQ28" s="55">
        <f t="shared" si="28"/>
        <v>0</v>
      </c>
      <c r="CR28" s="60">
        <f t="shared" si="29"/>
        <v>99999.002800000002</v>
      </c>
      <c r="CS28" s="2">
        <f t="shared" si="14"/>
        <v>29</v>
      </c>
      <c r="CT28" s="110" t="str">
        <f t="shared" si="30"/>
        <v/>
      </c>
    </row>
    <row r="29" spans="1:98" ht="11.25" customHeight="1" x14ac:dyDescent="0.15">
      <c r="B29" s="2" t="s">
        <v>250</v>
      </c>
      <c r="D29" s="2" t="s">
        <v>299</v>
      </c>
      <c r="G29" s="2" t="s">
        <v>359</v>
      </c>
      <c r="J29" s="2" t="s">
        <v>414</v>
      </c>
      <c r="L29" s="2" t="s">
        <v>440</v>
      </c>
      <c r="M29" s="60" t="s">
        <v>455</v>
      </c>
      <c r="N29" s="2" t="s">
        <v>475</v>
      </c>
      <c r="O29" s="2" t="s">
        <v>572</v>
      </c>
      <c r="P29" s="2" t="s">
        <v>510</v>
      </c>
      <c r="Q29" s="2" t="s">
        <v>524</v>
      </c>
      <c r="CE29" s="55">
        <f t="shared" si="16"/>
        <v>9</v>
      </c>
      <c r="CF29" s="55">
        <f t="shared" si="17"/>
        <v>239</v>
      </c>
      <c r="CG29" s="57">
        <f t="shared" si="18"/>
        <v>39.5</v>
      </c>
      <c r="CH29" s="55">
        <f t="shared" si="19"/>
        <v>2</v>
      </c>
      <c r="CI29" s="55">
        <f t="shared" si="20"/>
        <v>231</v>
      </c>
      <c r="CJ29" s="55">
        <f t="shared" si="21"/>
        <v>5</v>
      </c>
      <c r="CK29" s="58">
        <f t="shared" si="22"/>
        <v>46.2</v>
      </c>
      <c r="CL29" s="59">
        <f t="shared" si="23"/>
        <v>47.8</v>
      </c>
      <c r="CM29" s="59">
        <f t="shared" si="24"/>
        <v>5.7991631799163184</v>
      </c>
      <c r="CN29" s="49" t="str">
        <f t="shared" si="25"/>
        <v>2-15</v>
      </c>
      <c r="CO29" s="55">
        <f t="shared" si="26"/>
        <v>27</v>
      </c>
      <c r="CP29" s="55">
        <f t="shared" si="27"/>
        <v>0</v>
      </c>
      <c r="CQ29" s="55">
        <f t="shared" si="28"/>
        <v>0</v>
      </c>
      <c r="CR29" s="60">
        <f t="shared" si="29"/>
        <v>46.2029</v>
      </c>
      <c r="CS29" s="2">
        <f t="shared" si="14"/>
        <v>17</v>
      </c>
      <c r="CT29" s="110">
        <f t="shared" si="30"/>
        <v>5.0209205020920494E-2</v>
      </c>
    </row>
    <row r="30" spans="1:98" ht="11.25" customHeight="1" x14ac:dyDescent="0.15">
      <c r="A30" s="2" t="s">
        <v>56</v>
      </c>
      <c r="B30" s="2" t="s">
        <v>159</v>
      </c>
      <c r="I30" s="2" t="s">
        <v>398</v>
      </c>
      <c r="J30" s="2" t="s">
        <v>418</v>
      </c>
      <c r="CE30" s="55">
        <f>BowlSplit(C30:BC30,InnsBowledIn)</f>
        <v>2</v>
      </c>
      <c r="CF30" s="55">
        <f>BowlSplit(C30:CC30,BallsBowled)</f>
        <v>96</v>
      </c>
      <c r="CG30" s="57">
        <f>BowlSplit(C30:CC30,OversBowled)</f>
        <v>16</v>
      </c>
      <c r="CH30" s="55">
        <f>BowlSplit(C30:CC30,Maidens)</f>
        <v>0</v>
      </c>
      <c r="CI30" s="55">
        <f>BowlSplit(C30:CC30,RunsConceded)</f>
        <v>115</v>
      </c>
      <c r="CJ30" s="55">
        <f>BowlSplit(C30:CC30,WicketsTaken)</f>
        <v>1</v>
      </c>
      <c r="CK30" s="58">
        <f>IF(CJ30&gt;0,CI30/CJ30,"")</f>
        <v>115</v>
      </c>
      <c r="CL30" s="59">
        <f>IF(CJ30&gt;0,CF30/CJ30,"")</f>
        <v>96</v>
      </c>
      <c r="CM30" s="59">
        <f>IF(CF30&gt;0,6*CI30/CF30,"")</f>
        <v>7.1875</v>
      </c>
      <c r="CN30" s="49" t="str">
        <f>BowlSplit(C30:CC30,BestBowling)</f>
        <v>1-59</v>
      </c>
      <c r="CO30" s="55">
        <f>BowlSplit(C30:CC30,BowlPts)</f>
        <v>0</v>
      </c>
      <c r="CP30" s="55">
        <f>BowlSplit(C30:CC30,Wides)</f>
        <v>0</v>
      </c>
      <c r="CQ30" s="55">
        <f>BowlSplit(C30:CC30,NoBalls)</f>
        <v>0</v>
      </c>
      <c r="CR30" s="60">
        <f>IF(CJ30&gt;0,CK30,IF(CF30&gt;0,CF30+1000,99999))+ROW(CQ30)/10000</f>
        <v>115.003</v>
      </c>
      <c r="CS30" s="2">
        <f t="shared" si="14"/>
        <v>20</v>
      </c>
      <c r="CT30" s="110" t="str">
        <f>IF(CF30&gt;=120,CH30/CF30*6,"")</f>
        <v/>
      </c>
    </row>
    <row r="31" spans="1:98" ht="11.25" customHeight="1" x14ac:dyDescent="0.15">
      <c r="B31" s="2" t="s">
        <v>236</v>
      </c>
      <c r="M31" s="60"/>
      <c r="CE31" s="55">
        <f>BowlSplit(C31:BC31,InnsBowledIn)</f>
        <v>0</v>
      </c>
      <c r="CF31" s="55">
        <f>BowlSplit(C31:CC31,BallsBowled)</f>
        <v>0</v>
      </c>
      <c r="CG31" s="57">
        <f>BowlSplit(C31:CC31,OversBowled)</f>
        <v>0</v>
      </c>
      <c r="CH31" s="55">
        <f>BowlSplit(C31:CC31,Maidens)</f>
        <v>0</v>
      </c>
      <c r="CI31" s="55">
        <f>BowlSplit(C31:CC31,RunsConceded)</f>
        <v>0</v>
      </c>
      <c r="CJ31" s="55">
        <f>BowlSplit(C31:CC31,WicketsTaken)</f>
        <v>0</v>
      </c>
      <c r="CK31" s="58" t="str">
        <f>IF(CJ31&gt;0,CI31/CJ31,"")</f>
        <v/>
      </c>
      <c r="CL31" s="59" t="str">
        <f>IF(CJ31&gt;0,CF31/CJ31,"")</f>
        <v/>
      </c>
      <c r="CM31" s="59" t="str">
        <f>IF(CF31&gt;0,6*CI31/CF31,"")</f>
        <v/>
      </c>
      <c r="CN31" s="49" t="str">
        <f>BowlSplit(C31:CC31,BestBowling)</f>
        <v/>
      </c>
      <c r="CO31" s="55">
        <f>BowlSplit(C31:CC31,BowlPts)</f>
        <v>0</v>
      </c>
      <c r="CP31" s="55">
        <f>BowlSplit(C31:CC31,Wides)</f>
        <v>0</v>
      </c>
      <c r="CQ31" s="55">
        <f>BowlSplit(C31:CC31,NoBalls)</f>
        <v>0</v>
      </c>
      <c r="CR31" s="60">
        <f>IF(CJ31&gt;0,CK31,IF(CF31&gt;0,CF31+1000,99999))+ROW(CQ31)/10000</f>
        <v>99999.003100000002</v>
      </c>
      <c r="CS31" s="2">
        <f t="shared" si="14"/>
        <v>30</v>
      </c>
      <c r="CT31" s="110" t="str">
        <f>IF(CF31&gt;=120,CH31/CF31*6,"")</f>
        <v/>
      </c>
    </row>
    <row r="32" spans="1:98" ht="11.25" customHeight="1" x14ac:dyDescent="0.15">
      <c r="A32" s="2" t="s">
        <v>59</v>
      </c>
      <c r="B32" s="2" t="s">
        <v>161</v>
      </c>
      <c r="F32" s="2" t="s">
        <v>334</v>
      </c>
      <c r="CE32" s="55">
        <f>BowlSplit(C32:BC32,InnsBowledIn)</f>
        <v>1</v>
      </c>
      <c r="CF32" s="55">
        <f>BowlSplit(C32:CC32,BallsBowled)</f>
        <v>42</v>
      </c>
      <c r="CG32" s="57">
        <f>BowlSplit(C32:CC32,OversBowled)</f>
        <v>7</v>
      </c>
      <c r="CH32" s="55">
        <f>BowlSplit(C32:CC32,Maidens)</f>
        <v>1</v>
      </c>
      <c r="CI32" s="55">
        <f>BowlSplit(C32:CC32,RunsConceded)</f>
        <v>20</v>
      </c>
      <c r="CJ32" s="55">
        <f>BowlSplit(C32:CC32,WicketsTaken)</f>
        <v>1</v>
      </c>
      <c r="CK32" s="58">
        <f>IF(CJ32&gt;0,CI32/CJ32,"")</f>
        <v>20</v>
      </c>
      <c r="CL32" s="59">
        <f>IF(CJ32&gt;0,CF32/CJ32,"")</f>
        <v>42</v>
      </c>
      <c r="CM32" s="59">
        <f>IF(CF32&gt;0,6*CI32/CF32,"")</f>
        <v>2.8571428571428572</v>
      </c>
      <c r="CN32" s="49" t="str">
        <f>BowlSplit(C32:CC32,BestBowling)</f>
        <v>1-20</v>
      </c>
      <c r="CO32" s="55">
        <f>BowlSplit(C32:CC32,BowlPts)</f>
        <v>21</v>
      </c>
      <c r="CP32" s="55">
        <f>BowlSplit(C32:CC32,Wides)</f>
        <v>0</v>
      </c>
      <c r="CQ32" s="55">
        <f>BowlSplit(C32:CC32,NoBalls)</f>
        <v>0</v>
      </c>
      <c r="CR32" s="60">
        <f>IF(CJ32&gt;0,CK32,IF(CF32&gt;0,CF32+1000,99999))+ROW(CQ32)/10000</f>
        <v>20.0032</v>
      </c>
      <c r="CS32" s="2">
        <f t="shared" si="14"/>
        <v>9</v>
      </c>
      <c r="CT32" s="110" t="str">
        <f>IF(CF32&gt;=120,CH32/CF32*6,"")</f>
        <v/>
      </c>
    </row>
    <row r="33" spans="1:98" ht="11.25" customHeight="1" x14ac:dyDescent="0.15">
      <c r="B33" s="2" t="s">
        <v>228</v>
      </c>
      <c r="D33" s="2" t="s">
        <v>297</v>
      </c>
      <c r="CE33" s="55">
        <f>BowlSplit(C33:BC33,InnsBowledIn)</f>
        <v>1</v>
      </c>
      <c r="CF33" s="55">
        <f>BowlSplit(C33:CC33,BallsBowled)</f>
        <v>36</v>
      </c>
      <c r="CG33" s="57">
        <f>BowlSplit(C33:CC33,OversBowled)</f>
        <v>6</v>
      </c>
      <c r="CH33" s="55">
        <f>BowlSplit(C33:CC33,Maidens)</f>
        <v>0</v>
      </c>
      <c r="CI33" s="55">
        <f>BowlSplit(C33:CC33,RunsConceded)</f>
        <v>58</v>
      </c>
      <c r="CJ33" s="55">
        <f>BowlSplit(C33:CC33,WicketsTaken)</f>
        <v>0</v>
      </c>
      <c r="CK33" s="58" t="str">
        <f>IF(CJ33&gt;0,CI33/CJ33,"")</f>
        <v/>
      </c>
      <c r="CL33" s="59" t="str">
        <f>IF(CJ33&gt;0,CF33/CJ33,"")</f>
        <v/>
      </c>
      <c r="CM33" s="59">
        <f>IF(CF33&gt;0,6*CI33/CF33,"")</f>
        <v>9.6666666666666661</v>
      </c>
      <c r="CN33" s="49" t="str">
        <f>BowlSplit(C33:CC33,BestBowling)</f>
        <v>0-58</v>
      </c>
      <c r="CO33" s="55">
        <f>BowlSplit(C33:CC33,BowlPts)</f>
        <v>-5</v>
      </c>
      <c r="CP33" s="55">
        <f>BowlSplit(C33:CC33,Wides)</f>
        <v>0</v>
      </c>
      <c r="CQ33" s="55">
        <f>BowlSplit(C33:CC33,NoBalls)</f>
        <v>0</v>
      </c>
      <c r="CR33" s="60">
        <f>IF(CJ33&gt;0,CK33,IF(CF33&gt;0,CF33+1000,99999))+ROW(CQ33)/10000</f>
        <v>1036.0033000000001</v>
      </c>
      <c r="CS33" s="2">
        <f t="shared" si="14"/>
        <v>23</v>
      </c>
      <c r="CT33" s="110" t="str">
        <f>IF(CF33&gt;=120,CH33/CF33*6,"")</f>
        <v/>
      </c>
    </row>
    <row r="34" spans="1:98" ht="11.25" customHeight="1" x14ac:dyDescent="0.15">
      <c r="A34" s="2" t="s">
        <v>63</v>
      </c>
      <c r="B34" s="2" t="s">
        <v>162</v>
      </c>
      <c r="E34" s="2" t="s">
        <v>319</v>
      </c>
      <c r="G34" s="2" t="s">
        <v>361</v>
      </c>
      <c r="CE34" s="55">
        <f>BowlSplit(C34:BC34,InnsBowledIn)</f>
        <v>2</v>
      </c>
      <c r="CF34" s="55">
        <f>BowlSplit(C34:CC34,BallsBowled)</f>
        <v>24</v>
      </c>
      <c r="CG34" s="57">
        <f>BowlSplit(C34:CC34,OversBowled)</f>
        <v>4</v>
      </c>
      <c r="CH34" s="55">
        <f>BowlSplit(C34:CC34,Maidens)</f>
        <v>0</v>
      </c>
      <c r="CI34" s="55">
        <f>BowlSplit(C34:CC34,RunsConceded)</f>
        <v>35</v>
      </c>
      <c r="CJ34" s="55">
        <f>BowlSplit(C34:CC34,WicketsTaken)</f>
        <v>4</v>
      </c>
      <c r="CK34" s="58">
        <f>IF(CJ34&gt;0,CI34/CJ34,"")</f>
        <v>8.75</v>
      </c>
      <c r="CL34" s="59">
        <f>IF(CJ34&gt;0,CF34/CJ34,"")</f>
        <v>6</v>
      </c>
      <c r="CM34" s="59">
        <f>IF(CF34&gt;0,6*CI34/CF34,"")</f>
        <v>8.75</v>
      </c>
      <c r="CN34" s="49" t="str">
        <f>BowlSplit(C34:CC34,BestBowling)</f>
        <v>4-14</v>
      </c>
      <c r="CO34" s="55">
        <f>BowlSplit(C34:CC34,BowlPts)</f>
        <v>30</v>
      </c>
      <c r="CP34" s="55">
        <f>BowlSplit(C34:CC34,Wides)</f>
        <v>0</v>
      </c>
      <c r="CQ34" s="55">
        <f>BowlSplit(C34:CC34,NoBalls)</f>
        <v>0</v>
      </c>
      <c r="CR34" s="60">
        <f>IF(CJ34&gt;0,CK34,IF(CF34&gt;0,CF34+1000,99999))+ROW(CQ34)/10000</f>
        <v>8.7533999999999992</v>
      </c>
      <c r="CS34" s="2">
        <f t="shared" si="14"/>
        <v>2</v>
      </c>
      <c r="CT34" s="110" t="str">
        <f>IF(CF34&gt;=120,CH34/CF34*6,"")</f>
        <v/>
      </c>
    </row>
    <row r="36" spans="1:98" x14ac:dyDescent="0.15">
      <c r="B36" s="2" t="s">
        <v>128</v>
      </c>
      <c r="C36" s="2">
        <f t="shared" ref="C36:AH36" si="31">BowlSplit(C5:C34,RunsConceded)</f>
        <v>209</v>
      </c>
      <c r="D36" s="2">
        <f t="shared" si="31"/>
        <v>188</v>
      </c>
      <c r="E36" s="2">
        <f t="shared" si="31"/>
        <v>208</v>
      </c>
      <c r="F36" s="2">
        <f t="shared" si="31"/>
        <v>126</v>
      </c>
      <c r="G36" s="2">
        <f t="shared" si="31"/>
        <v>175</v>
      </c>
      <c r="H36" s="2">
        <f t="shared" si="31"/>
        <v>122</v>
      </c>
      <c r="I36" s="2">
        <f t="shared" si="31"/>
        <v>164</v>
      </c>
      <c r="J36" s="2">
        <f t="shared" si="31"/>
        <v>228</v>
      </c>
      <c r="K36" s="2">
        <f t="shared" si="31"/>
        <v>143</v>
      </c>
      <c r="L36" s="2">
        <f t="shared" si="31"/>
        <v>84</v>
      </c>
      <c r="M36" s="2">
        <f t="shared" si="31"/>
        <v>180</v>
      </c>
      <c r="N36" s="2">
        <f t="shared" si="31"/>
        <v>184</v>
      </c>
      <c r="O36" s="2">
        <f t="shared" si="31"/>
        <v>255</v>
      </c>
      <c r="P36" s="2">
        <f t="shared" si="31"/>
        <v>189</v>
      </c>
      <c r="Q36" s="2">
        <f>BowlSplit(Q5:Q34,RunsConceded)</f>
        <v>131</v>
      </c>
      <c r="R36" s="2">
        <f>BowlSplit(R5:R34,RunsConceded)</f>
        <v>202</v>
      </c>
      <c r="S36" s="2">
        <f t="shared" si="31"/>
        <v>0</v>
      </c>
      <c r="T36" s="2">
        <f t="shared" si="31"/>
        <v>0</v>
      </c>
      <c r="U36" s="2">
        <f t="shared" si="31"/>
        <v>0</v>
      </c>
      <c r="V36" s="2">
        <f t="shared" si="31"/>
        <v>0</v>
      </c>
      <c r="W36" s="2">
        <f t="shared" si="31"/>
        <v>0</v>
      </c>
      <c r="X36" s="2">
        <f t="shared" si="31"/>
        <v>0</v>
      </c>
      <c r="Y36" s="2">
        <f t="shared" si="31"/>
        <v>0</v>
      </c>
      <c r="Z36" s="2">
        <f t="shared" si="31"/>
        <v>0</v>
      </c>
      <c r="AA36" s="2">
        <f t="shared" si="31"/>
        <v>0</v>
      </c>
      <c r="AB36" s="2">
        <f t="shared" si="31"/>
        <v>0</v>
      </c>
      <c r="AC36" s="2">
        <f t="shared" si="31"/>
        <v>0</v>
      </c>
      <c r="AD36" s="2">
        <f t="shared" si="31"/>
        <v>0</v>
      </c>
      <c r="AE36" s="2">
        <f t="shared" si="31"/>
        <v>0</v>
      </c>
      <c r="AF36" s="2">
        <f t="shared" si="31"/>
        <v>0</v>
      </c>
      <c r="AG36" s="2">
        <f t="shared" si="31"/>
        <v>0</v>
      </c>
      <c r="AH36" s="2">
        <f t="shared" si="31"/>
        <v>0</v>
      </c>
      <c r="AI36" s="2">
        <f t="shared" ref="AI36:BF36" si="32">BowlSplit(AI5:AI34,RunsConceded)</f>
        <v>0</v>
      </c>
      <c r="AJ36" s="2">
        <f t="shared" si="32"/>
        <v>0</v>
      </c>
      <c r="AK36" s="2">
        <f t="shared" si="32"/>
        <v>0</v>
      </c>
      <c r="AL36" s="2">
        <f t="shared" si="32"/>
        <v>0</v>
      </c>
      <c r="AM36" s="2">
        <f t="shared" si="32"/>
        <v>0</v>
      </c>
      <c r="AN36" s="2">
        <f t="shared" si="32"/>
        <v>0</v>
      </c>
      <c r="AO36" s="2">
        <f t="shared" si="32"/>
        <v>0</v>
      </c>
      <c r="AP36" s="2">
        <f t="shared" si="32"/>
        <v>0</v>
      </c>
      <c r="AQ36" s="2">
        <f t="shared" si="32"/>
        <v>0</v>
      </c>
      <c r="AR36" s="2">
        <f t="shared" si="32"/>
        <v>0</v>
      </c>
      <c r="AS36" s="2">
        <f t="shared" si="32"/>
        <v>0</v>
      </c>
      <c r="AT36" s="2">
        <f t="shared" si="32"/>
        <v>0</v>
      </c>
      <c r="AU36" s="2">
        <f t="shared" si="32"/>
        <v>0</v>
      </c>
      <c r="AV36" s="2">
        <f t="shared" si="32"/>
        <v>0</v>
      </c>
      <c r="AW36" s="2">
        <f t="shared" si="32"/>
        <v>0</v>
      </c>
      <c r="AX36" s="2">
        <f t="shared" si="32"/>
        <v>0</v>
      </c>
      <c r="AY36" s="2">
        <f t="shared" si="32"/>
        <v>0</v>
      </c>
      <c r="AZ36" s="2">
        <f t="shared" si="32"/>
        <v>0</v>
      </c>
      <c r="BA36" s="2">
        <f t="shared" si="32"/>
        <v>0</v>
      </c>
      <c r="BB36" s="2">
        <f t="shared" si="32"/>
        <v>0</v>
      </c>
      <c r="BC36" s="2">
        <f t="shared" si="32"/>
        <v>0</v>
      </c>
      <c r="BD36" s="2">
        <f t="shared" si="32"/>
        <v>0</v>
      </c>
      <c r="BE36" s="2">
        <f t="shared" si="32"/>
        <v>0</v>
      </c>
      <c r="BF36" s="2">
        <f t="shared" si="32"/>
        <v>0</v>
      </c>
      <c r="CE36" s="55">
        <f>SUM(C36:BF36)</f>
        <v>2788</v>
      </c>
      <c r="CF36" s="55">
        <f>SUM(CF5:CF34)</f>
        <v>3526.9999990463257</v>
      </c>
      <c r="CJ36" s="55">
        <f>SUM(CJ5:CJ34)</f>
        <v>113</v>
      </c>
    </row>
    <row r="37" spans="1:98" x14ac:dyDescent="0.15">
      <c r="B37" s="2" t="s">
        <v>129</v>
      </c>
      <c r="C37" s="2">
        <f t="array" ref="C37:BE38">TRANSPOSE(Matches!S5:T59)</f>
        <v>12</v>
      </c>
      <c r="D37" s="2">
        <v>0</v>
      </c>
      <c r="E37" s="2">
        <v>8</v>
      </c>
      <c r="F37" s="2">
        <v>16</v>
      </c>
      <c r="G37" s="2">
        <v>4</v>
      </c>
      <c r="H37" s="2">
        <v>1</v>
      </c>
      <c r="I37" s="2">
        <v>5</v>
      </c>
      <c r="J37" s="2">
        <v>4</v>
      </c>
      <c r="K37" s="2">
        <v>14</v>
      </c>
      <c r="L37" s="2">
        <v>3</v>
      </c>
      <c r="M37" s="2">
        <v>2</v>
      </c>
      <c r="N37" s="2">
        <v>16</v>
      </c>
      <c r="O37" s="2">
        <v>9</v>
      </c>
      <c r="P37" s="2">
        <v>5</v>
      </c>
      <c r="Q37" s="2">
        <v>8</v>
      </c>
      <c r="R37" s="2">
        <v>1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2">
        <v>0</v>
      </c>
      <c r="AP37" s="2">
        <v>0</v>
      </c>
      <c r="AQ37" s="2">
        <v>0</v>
      </c>
      <c r="AR37" s="2">
        <v>0</v>
      </c>
      <c r="AS37" s="2">
        <v>0</v>
      </c>
      <c r="AT37" s="2">
        <v>0</v>
      </c>
      <c r="AU37" s="2">
        <v>0</v>
      </c>
      <c r="AV37" s="2">
        <v>0</v>
      </c>
      <c r="AW37" s="2">
        <v>0</v>
      </c>
      <c r="AX37" s="2">
        <v>0</v>
      </c>
      <c r="AY37" s="2">
        <v>0</v>
      </c>
      <c r="AZ37" s="2">
        <v>0</v>
      </c>
      <c r="BA37" s="2">
        <v>0</v>
      </c>
      <c r="BB37" s="2">
        <v>0</v>
      </c>
      <c r="BC37" s="2">
        <v>0</v>
      </c>
      <c r="BD37" s="2">
        <v>0</v>
      </c>
      <c r="BE37" s="2">
        <v>0</v>
      </c>
      <c r="CE37" s="55">
        <f>SUM(C37:BF37)</f>
        <v>108</v>
      </c>
    </row>
    <row r="38" spans="1:98" x14ac:dyDescent="0.15">
      <c r="B38" s="2" t="s">
        <v>130</v>
      </c>
      <c r="C38" s="2">
        <v>4</v>
      </c>
      <c r="D38" s="2">
        <v>0</v>
      </c>
      <c r="E38" s="2">
        <v>1</v>
      </c>
      <c r="F38" s="2">
        <v>1</v>
      </c>
      <c r="G38" s="2">
        <v>5</v>
      </c>
      <c r="H38" s="2">
        <v>2</v>
      </c>
      <c r="I38" s="2">
        <v>4</v>
      </c>
      <c r="J38" s="2">
        <v>1</v>
      </c>
      <c r="K38" s="2">
        <v>2</v>
      </c>
      <c r="L38" s="2">
        <v>2</v>
      </c>
      <c r="M38" s="2">
        <v>2</v>
      </c>
      <c r="N38" s="2">
        <v>5</v>
      </c>
      <c r="O38" s="2">
        <v>2</v>
      </c>
      <c r="P38" s="2">
        <v>1</v>
      </c>
      <c r="Q38" s="2">
        <v>0</v>
      </c>
      <c r="R38" s="2">
        <v>2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  <c r="AQ38" s="2">
        <v>0</v>
      </c>
      <c r="AR38" s="2">
        <v>0</v>
      </c>
      <c r="AS38" s="2">
        <v>0</v>
      </c>
      <c r="AT38" s="2">
        <v>0</v>
      </c>
      <c r="AU38" s="2">
        <v>0</v>
      </c>
      <c r="AV38" s="2">
        <v>0</v>
      </c>
      <c r="AW38" s="2">
        <v>0</v>
      </c>
      <c r="AX38" s="2">
        <v>0</v>
      </c>
      <c r="AY38" s="2">
        <v>0</v>
      </c>
      <c r="AZ38" s="2">
        <v>0</v>
      </c>
      <c r="BA38" s="2">
        <v>0</v>
      </c>
      <c r="BB38" s="2">
        <v>0</v>
      </c>
      <c r="BC38" s="2">
        <v>0</v>
      </c>
      <c r="BD38" s="2">
        <v>0</v>
      </c>
      <c r="BE38" s="2">
        <v>0</v>
      </c>
      <c r="CE38" s="55">
        <f>SUM(C38:BF38)</f>
        <v>34</v>
      </c>
      <c r="CG38" s="55" t="s">
        <v>176</v>
      </c>
      <c r="CH38" s="55" t="s">
        <v>177</v>
      </c>
    </row>
    <row r="39" spans="1:98" s="56" customFormat="1" x14ac:dyDescent="0.15">
      <c r="B39" s="56" t="s">
        <v>127</v>
      </c>
      <c r="C39" s="56">
        <f>SUM(C36:C38)</f>
        <v>225</v>
      </c>
      <c r="D39" s="56">
        <f t="shared" ref="D39:BE39" si="33">SUM(D36:D38)</f>
        <v>188</v>
      </c>
      <c r="E39" s="56">
        <f t="shared" si="33"/>
        <v>217</v>
      </c>
      <c r="F39" s="56">
        <f t="shared" si="33"/>
        <v>143</v>
      </c>
      <c r="G39" s="56">
        <f t="shared" si="33"/>
        <v>184</v>
      </c>
      <c r="H39" s="56">
        <f t="shared" si="33"/>
        <v>125</v>
      </c>
      <c r="I39" s="56">
        <f t="shared" si="33"/>
        <v>173</v>
      </c>
      <c r="J39" s="56">
        <f t="shared" si="33"/>
        <v>233</v>
      </c>
      <c r="K39" s="56">
        <f t="shared" si="33"/>
        <v>159</v>
      </c>
      <c r="L39" s="56">
        <f t="shared" si="33"/>
        <v>89</v>
      </c>
      <c r="M39" s="56">
        <f t="shared" si="33"/>
        <v>184</v>
      </c>
      <c r="N39" s="56">
        <f t="shared" si="33"/>
        <v>205</v>
      </c>
      <c r="O39" s="56">
        <f t="shared" si="33"/>
        <v>266</v>
      </c>
      <c r="P39" s="56">
        <f t="shared" si="33"/>
        <v>195</v>
      </c>
      <c r="Q39" s="56">
        <f t="shared" si="33"/>
        <v>139</v>
      </c>
      <c r="R39" s="56">
        <f t="shared" si="33"/>
        <v>205</v>
      </c>
      <c r="S39" s="56">
        <f t="shared" si="33"/>
        <v>0</v>
      </c>
      <c r="T39" s="56">
        <f t="shared" si="33"/>
        <v>0</v>
      </c>
      <c r="U39" s="56">
        <f t="shared" si="33"/>
        <v>0</v>
      </c>
      <c r="V39" s="56">
        <f t="shared" si="33"/>
        <v>0</v>
      </c>
      <c r="W39" s="56">
        <f t="shared" si="33"/>
        <v>0</v>
      </c>
      <c r="X39" s="56">
        <f t="shared" si="33"/>
        <v>0</v>
      </c>
      <c r="Y39" s="56">
        <f t="shared" si="33"/>
        <v>0</v>
      </c>
      <c r="Z39" s="56">
        <f t="shared" si="33"/>
        <v>0</v>
      </c>
      <c r="AA39" s="56">
        <f t="shared" si="33"/>
        <v>0</v>
      </c>
      <c r="AB39" s="56">
        <f t="shared" si="33"/>
        <v>0</v>
      </c>
      <c r="AC39" s="56">
        <f t="shared" si="33"/>
        <v>0</v>
      </c>
      <c r="AD39" s="56">
        <f t="shared" si="33"/>
        <v>0</v>
      </c>
      <c r="AE39" s="56">
        <f t="shared" si="33"/>
        <v>0</v>
      </c>
      <c r="AF39" s="56">
        <f t="shared" si="33"/>
        <v>0</v>
      </c>
      <c r="AG39" s="56">
        <f t="shared" si="33"/>
        <v>0</v>
      </c>
      <c r="AH39" s="56">
        <f t="shared" si="33"/>
        <v>0</v>
      </c>
      <c r="AI39" s="56">
        <f t="shared" si="33"/>
        <v>0</v>
      </c>
      <c r="AJ39" s="56">
        <f t="shared" si="33"/>
        <v>0</v>
      </c>
      <c r="AK39" s="56">
        <f t="shared" si="33"/>
        <v>0</v>
      </c>
      <c r="AL39" s="56">
        <f t="shared" si="33"/>
        <v>0</v>
      </c>
      <c r="AM39" s="56">
        <f t="shared" si="33"/>
        <v>0</v>
      </c>
      <c r="AN39" s="56">
        <f t="shared" si="33"/>
        <v>0</v>
      </c>
      <c r="AO39" s="56">
        <f t="shared" si="33"/>
        <v>0</v>
      </c>
      <c r="AP39" s="56">
        <f t="shared" si="33"/>
        <v>0</v>
      </c>
      <c r="AQ39" s="56">
        <f t="shared" si="33"/>
        <v>0</v>
      </c>
      <c r="AR39" s="56">
        <f t="shared" si="33"/>
        <v>0</v>
      </c>
      <c r="AS39" s="56">
        <f t="shared" si="33"/>
        <v>0</v>
      </c>
      <c r="AT39" s="56">
        <f t="shared" si="33"/>
        <v>0</v>
      </c>
      <c r="AU39" s="56">
        <f t="shared" si="33"/>
        <v>0</v>
      </c>
      <c r="AV39" s="56">
        <f t="shared" si="33"/>
        <v>0</v>
      </c>
      <c r="AW39" s="56">
        <f t="shared" si="33"/>
        <v>0</v>
      </c>
      <c r="AX39" s="56">
        <f t="shared" si="33"/>
        <v>0</v>
      </c>
      <c r="AY39" s="56">
        <f t="shared" si="33"/>
        <v>0</v>
      </c>
      <c r="AZ39" s="56">
        <f t="shared" si="33"/>
        <v>0</v>
      </c>
      <c r="BA39" s="56">
        <f t="shared" si="33"/>
        <v>0</v>
      </c>
      <c r="BB39" s="56">
        <f t="shared" si="33"/>
        <v>0</v>
      </c>
      <c r="BC39" s="56">
        <f t="shared" si="33"/>
        <v>0</v>
      </c>
      <c r="BD39" s="56">
        <f t="shared" si="33"/>
        <v>0</v>
      </c>
      <c r="BE39" s="56">
        <f t="shared" si="33"/>
        <v>0</v>
      </c>
      <c r="CE39" s="56">
        <f>SUM(C39:BF39)</f>
        <v>2930</v>
      </c>
      <c r="CG39" s="56">
        <f>MAX(C39:CB39)</f>
        <v>266</v>
      </c>
      <c r="CH39" s="56">
        <f t="array" ref="CH39">MIN(IF(C39:CB39&gt;0,C39:CB39,9999))</f>
        <v>89</v>
      </c>
      <c r="CN39" s="61"/>
    </row>
    <row r="40" spans="1:98" x14ac:dyDescent="0.15">
      <c r="B40" s="2" t="s">
        <v>36</v>
      </c>
      <c r="C40" s="2">
        <f t="shared" ref="C40:AH40" si="34">BowlSplit(C5:C34,OversBowled)</f>
        <v>41</v>
      </c>
      <c r="D40" s="2">
        <f t="shared" si="34"/>
        <v>31.5</v>
      </c>
      <c r="E40" s="2">
        <f t="shared" si="34"/>
        <v>40</v>
      </c>
      <c r="F40" s="2">
        <f t="shared" si="34"/>
        <v>35</v>
      </c>
      <c r="G40" s="2">
        <f t="shared" si="34"/>
        <v>45</v>
      </c>
      <c r="H40" s="2">
        <f t="shared" si="34"/>
        <v>31.1</v>
      </c>
      <c r="I40" s="2">
        <f t="shared" si="34"/>
        <v>31</v>
      </c>
      <c r="J40" s="2">
        <f t="shared" si="34"/>
        <v>40</v>
      </c>
      <c r="K40" s="2">
        <f t="shared" si="34"/>
        <v>37.1</v>
      </c>
      <c r="L40" s="2">
        <f t="shared" si="34"/>
        <v>18</v>
      </c>
      <c r="M40" s="2">
        <f t="shared" si="34"/>
        <v>41</v>
      </c>
      <c r="N40" s="2">
        <f t="shared" si="34"/>
        <v>38</v>
      </c>
      <c r="O40" s="2">
        <f t="shared" si="34"/>
        <v>40</v>
      </c>
      <c r="P40" s="2">
        <f t="shared" si="34"/>
        <v>43</v>
      </c>
      <c r="Q40" s="2">
        <f>BowlSplit(Q5:Q34,OversBowled)</f>
        <v>34.5</v>
      </c>
      <c r="R40" s="2">
        <f>BowlSplit(R5:R34,OversBowled)</f>
        <v>40.5</v>
      </c>
      <c r="S40" s="2">
        <f t="shared" si="34"/>
        <v>0</v>
      </c>
      <c r="T40" s="2">
        <f t="shared" si="34"/>
        <v>0</v>
      </c>
      <c r="U40" s="2">
        <f t="shared" si="34"/>
        <v>0</v>
      </c>
      <c r="V40" s="2">
        <f t="shared" si="34"/>
        <v>0</v>
      </c>
      <c r="W40" s="2">
        <f t="shared" si="34"/>
        <v>0</v>
      </c>
      <c r="X40" s="2">
        <f t="shared" si="34"/>
        <v>0</v>
      </c>
      <c r="Y40" s="2">
        <f t="shared" si="34"/>
        <v>0</v>
      </c>
      <c r="Z40" s="2">
        <f t="shared" si="34"/>
        <v>0</v>
      </c>
      <c r="AA40" s="2">
        <f t="shared" si="34"/>
        <v>0</v>
      </c>
      <c r="AB40" s="2">
        <f t="shared" si="34"/>
        <v>0</v>
      </c>
      <c r="AC40" s="2">
        <f t="shared" si="34"/>
        <v>0</v>
      </c>
      <c r="AD40" s="2">
        <f t="shared" si="34"/>
        <v>0</v>
      </c>
      <c r="AE40" s="2">
        <f t="shared" si="34"/>
        <v>0</v>
      </c>
      <c r="AF40" s="2">
        <f t="shared" si="34"/>
        <v>0</v>
      </c>
      <c r="AG40" s="2">
        <f t="shared" si="34"/>
        <v>0</v>
      </c>
      <c r="AH40" s="2">
        <f t="shared" si="34"/>
        <v>0</v>
      </c>
      <c r="AI40" s="2">
        <f t="shared" ref="AI40:BF40" si="35">BowlSplit(AI5:AI34,OversBowled)</f>
        <v>0</v>
      </c>
      <c r="AJ40" s="2">
        <f t="shared" si="35"/>
        <v>0</v>
      </c>
      <c r="AK40" s="2">
        <f t="shared" si="35"/>
        <v>0</v>
      </c>
      <c r="AL40" s="2">
        <f t="shared" si="35"/>
        <v>0</v>
      </c>
      <c r="AM40" s="2">
        <f t="shared" si="35"/>
        <v>0</v>
      </c>
      <c r="AN40" s="2">
        <f t="shared" si="35"/>
        <v>0</v>
      </c>
      <c r="AO40" s="2">
        <f t="shared" si="35"/>
        <v>0</v>
      </c>
      <c r="AP40" s="2">
        <f t="shared" si="35"/>
        <v>0</v>
      </c>
      <c r="AQ40" s="2">
        <f t="shared" si="35"/>
        <v>0</v>
      </c>
      <c r="AR40" s="2">
        <f t="shared" si="35"/>
        <v>0</v>
      </c>
      <c r="AS40" s="2">
        <f t="shared" si="35"/>
        <v>0</v>
      </c>
      <c r="AT40" s="2">
        <f t="shared" si="35"/>
        <v>0</v>
      </c>
      <c r="AU40" s="2">
        <f t="shared" si="35"/>
        <v>0</v>
      </c>
      <c r="AV40" s="2">
        <f t="shared" si="35"/>
        <v>0</v>
      </c>
      <c r="AW40" s="2">
        <f t="shared" si="35"/>
        <v>0</v>
      </c>
      <c r="AX40" s="2">
        <f t="shared" si="35"/>
        <v>0</v>
      </c>
      <c r="AY40" s="2">
        <f t="shared" si="35"/>
        <v>0</v>
      </c>
      <c r="AZ40" s="2">
        <f t="shared" si="35"/>
        <v>0</v>
      </c>
      <c r="BA40" s="2">
        <f t="shared" si="35"/>
        <v>0</v>
      </c>
      <c r="BB40" s="2">
        <f t="shared" si="35"/>
        <v>0</v>
      </c>
      <c r="BC40" s="2">
        <f t="shared" si="35"/>
        <v>0</v>
      </c>
      <c r="BD40" s="2">
        <f t="shared" si="35"/>
        <v>0</v>
      </c>
      <c r="BE40" s="2">
        <f t="shared" si="35"/>
        <v>0</v>
      </c>
      <c r="BF40" s="2">
        <f t="shared" si="35"/>
        <v>0</v>
      </c>
      <c r="CE40" s="55">
        <f>MAX(C40:CC40)</f>
        <v>45</v>
      </c>
    </row>
    <row r="41" spans="1:98" x14ac:dyDescent="0.15">
      <c r="B41" s="2" t="s">
        <v>35</v>
      </c>
      <c r="C41" s="2">
        <f t="shared" ref="C41:N41" si="36">BowlSplit(C5:C34,BallsBowled)</f>
        <v>246</v>
      </c>
      <c r="D41" s="2">
        <f t="shared" si="36"/>
        <v>191</v>
      </c>
      <c r="E41" s="2">
        <f t="shared" si="36"/>
        <v>240</v>
      </c>
      <c r="F41" s="2">
        <f t="shared" si="36"/>
        <v>210</v>
      </c>
      <c r="G41" s="2">
        <f t="shared" si="36"/>
        <v>270</v>
      </c>
      <c r="H41" s="2">
        <f t="shared" si="36"/>
        <v>187</v>
      </c>
      <c r="I41" s="2">
        <f t="shared" si="36"/>
        <v>186</v>
      </c>
      <c r="J41" s="2">
        <f t="shared" si="36"/>
        <v>240</v>
      </c>
      <c r="K41" s="2">
        <f t="shared" si="36"/>
        <v>223</v>
      </c>
      <c r="L41" s="2">
        <f t="shared" si="36"/>
        <v>108</v>
      </c>
      <c r="M41" s="2">
        <f t="shared" si="36"/>
        <v>246</v>
      </c>
      <c r="N41" s="2">
        <f t="shared" si="36"/>
        <v>228</v>
      </c>
      <c r="O41" s="2">
        <f>BowlSplit(T5:T34,BallsBowled)</f>
        <v>0</v>
      </c>
      <c r="P41" s="2">
        <f t="shared" ref="P41:BF41" si="37">BowlSplit(P5:P34,BallsBowled)</f>
        <v>258</v>
      </c>
      <c r="Q41" s="2">
        <f>BowlSplit(Q5:Q34,BallsBowled)</f>
        <v>209</v>
      </c>
      <c r="R41" s="2">
        <f>BowlSplit(R5:R34,BallsBowled)</f>
        <v>245</v>
      </c>
      <c r="S41" s="2">
        <f t="shared" si="37"/>
        <v>0</v>
      </c>
      <c r="T41" s="2">
        <f t="shared" si="37"/>
        <v>0</v>
      </c>
      <c r="U41" s="2">
        <f t="shared" si="37"/>
        <v>0</v>
      </c>
      <c r="V41" s="2">
        <f t="shared" si="37"/>
        <v>0</v>
      </c>
      <c r="W41" s="2">
        <f t="shared" si="37"/>
        <v>0</v>
      </c>
      <c r="X41" s="2">
        <f t="shared" si="37"/>
        <v>0</v>
      </c>
      <c r="Y41" s="2">
        <f t="shared" si="37"/>
        <v>0</v>
      </c>
      <c r="Z41" s="2">
        <f t="shared" si="37"/>
        <v>0</v>
      </c>
      <c r="AA41" s="2">
        <f t="shared" si="37"/>
        <v>0</v>
      </c>
      <c r="AB41" s="2">
        <f t="shared" si="37"/>
        <v>0</v>
      </c>
      <c r="AC41" s="2">
        <f t="shared" si="37"/>
        <v>0</v>
      </c>
      <c r="AD41" s="2">
        <f t="shared" si="37"/>
        <v>0</v>
      </c>
      <c r="AE41" s="2">
        <f t="shared" si="37"/>
        <v>0</v>
      </c>
      <c r="AF41" s="2">
        <f t="shared" si="37"/>
        <v>0</v>
      </c>
      <c r="AG41" s="2">
        <f t="shared" si="37"/>
        <v>0</v>
      </c>
      <c r="AH41" s="2">
        <f t="shared" si="37"/>
        <v>0</v>
      </c>
      <c r="AI41" s="2">
        <f t="shared" si="37"/>
        <v>0</v>
      </c>
      <c r="AJ41" s="2">
        <f t="shared" si="37"/>
        <v>0</v>
      </c>
      <c r="AK41" s="2">
        <f t="shared" si="37"/>
        <v>0</v>
      </c>
      <c r="AL41" s="2">
        <f t="shared" si="37"/>
        <v>0</v>
      </c>
      <c r="AM41" s="2">
        <f t="shared" si="37"/>
        <v>0</v>
      </c>
      <c r="AN41" s="2">
        <f t="shared" si="37"/>
        <v>0</v>
      </c>
      <c r="AO41" s="2">
        <f t="shared" si="37"/>
        <v>0</v>
      </c>
      <c r="AP41" s="2">
        <f t="shared" si="37"/>
        <v>0</v>
      </c>
      <c r="AQ41" s="2">
        <f t="shared" si="37"/>
        <v>0</v>
      </c>
      <c r="AR41" s="2">
        <f t="shared" si="37"/>
        <v>0</v>
      </c>
      <c r="AS41" s="2">
        <f t="shared" si="37"/>
        <v>0</v>
      </c>
      <c r="AT41" s="2">
        <f t="shared" si="37"/>
        <v>0</v>
      </c>
      <c r="AU41" s="2">
        <f t="shared" si="37"/>
        <v>0</v>
      </c>
      <c r="AV41" s="2">
        <f t="shared" si="37"/>
        <v>0</v>
      </c>
      <c r="AW41" s="2">
        <f t="shared" si="37"/>
        <v>0</v>
      </c>
      <c r="AX41" s="2">
        <f t="shared" si="37"/>
        <v>0</v>
      </c>
      <c r="AY41" s="2">
        <f t="shared" si="37"/>
        <v>0</v>
      </c>
      <c r="AZ41" s="2">
        <f t="shared" si="37"/>
        <v>0</v>
      </c>
      <c r="BA41" s="2">
        <f t="shared" si="37"/>
        <v>0</v>
      </c>
      <c r="BB41" s="2">
        <f t="shared" si="37"/>
        <v>0</v>
      </c>
      <c r="BC41" s="2">
        <f t="shared" si="37"/>
        <v>0</v>
      </c>
      <c r="BD41" s="2">
        <f t="shared" si="37"/>
        <v>0</v>
      </c>
      <c r="BE41" s="2">
        <f t="shared" si="37"/>
        <v>0</v>
      </c>
      <c r="BF41" s="2">
        <f t="shared" si="37"/>
        <v>0</v>
      </c>
      <c r="CE41" s="55">
        <f>SUM(C41:BF41)</f>
        <v>3287</v>
      </c>
      <c r="CF41" s="55">
        <f>INT(CE41/6)</f>
        <v>547</v>
      </c>
      <c r="CG41" s="55">
        <f>CE41-CF41*6</f>
        <v>5</v>
      </c>
      <c r="CH41" s="55">
        <f>CF41+CG41/10</f>
        <v>547.5</v>
      </c>
    </row>
    <row r="42" spans="1:98" x14ac:dyDescent="0.15">
      <c r="B42" s="2" t="s">
        <v>184</v>
      </c>
      <c r="C42" s="2">
        <f t="array" ref="C42:CC42">TRANSPOSE(Matches!P5:P59)</f>
        <v>41</v>
      </c>
      <c r="D42" s="2">
        <v>31.5</v>
      </c>
      <c r="E42" s="2">
        <v>40</v>
      </c>
      <c r="F42" s="2">
        <v>35</v>
      </c>
      <c r="G42" s="2">
        <v>45</v>
      </c>
      <c r="H42" s="2">
        <v>31.1</v>
      </c>
      <c r="I42" s="2">
        <v>31</v>
      </c>
      <c r="J42" s="2">
        <v>40</v>
      </c>
      <c r="K42" s="2">
        <v>37.1</v>
      </c>
      <c r="L42" s="2">
        <v>18</v>
      </c>
      <c r="M42" s="2">
        <v>41</v>
      </c>
      <c r="N42" s="2">
        <v>38</v>
      </c>
      <c r="O42" s="2">
        <v>40</v>
      </c>
      <c r="P42" s="2">
        <v>43</v>
      </c>
      <c r="Q42" s="2">
        <v>34.5</v>
      </c>
      <c r="R42" s="2">
        <v>40.5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  <c r="X42" s="2">
        <v>0</v>
      </c>
      <c r="Y42" s="2">
        <v>0</v>
      </c>
      <c r="Z42" s="2">
        <v>0</v>
      </c>
      <c r="AA42" s="2">
        <v>0</v>
      </c>
      <c r="AB42" s="2">
        <v>0</v>
      </c>
      <c r="AC42" s="2">
        <v>0</v>
      </c>
      <c r="AD42" s="2">
        <v>0</v>
      </c>
      <c r="AE42" s="2">
        <v>0</v>
      </c>
      <c r="AF42" s="2">
        <v>0</v>
      </c>
      <c r="AG42" s="2">
        <v>0</v>
      </c>
      <c r="AH42" s="2">
        <v>0</v>
      </c>
      <c r="AI42" s="2">
        <v>0</v>
      </c>
      <c r="AJ42" s="2">
        <v>0</v>
      </c>
      <c r="AK42" s="2">
        <v>0</v>
      </c>
      <c r="AL42" s="2">
        <v>0</v>
      </c>
      <c r="AM42" s="2">
        <v>0</v>
      </c>
      <c r="AN42" s="2">
        <v>0</v>
      </c>
      <c r="AO42" s="2">
        <v>0</v>
      </c>
      <c r="AP42" s="2">
        <v>0</v>
      </c>
      <c r="AQ42" s="2">
        <v>0</v>
      </c>
      <c r="AR42" s="2">
        <v>0</v>
      </c>
      <c r="AS42" s="2">
        <v>0</v>
      </c>
      <c r="AT42" s="2">
        <v>0</v>
      </c>
      <c r="AU42" s="2">
        <v>0</v>
      </c>
      <c r="AV42" s="2">
        <v>0</v>
      </c>
      <c r="AW42" s="2">
        <v>0</v>
      </c>
      <c r="AX42" s="2">
        <v>0</v>
      </c>
      <c r="AY42" s="2">
        <v>0</v>
      </c>
      <c r="AZ42" s="2">
        <v>0</v>
      </c>
      <c r="BA42" s="2">
        <v>0</v>
      </c>
      <c r="BB42" s="2">
        <v>0</v>
      </c>
      <c r="BC42" s="2">
        <v>0</v>
      </c>
      <c r="BD42" s="2">
        <v>0</v>
      </c>
      <c r="BE42" s="2">
        <v>0</v>
      </c>
      <c r="BF42" s="2" t="e">
        <v>#N/A</v>
      </c>
      <c r="BG42" s="2" t="e">
        <v>#N/A</v>
      </c>
      <c r="BH42" s="2" t="e">
        <v>#N/A</v>
      </c>
      <c r="BI42" s="2" t="e">
        <v>#N/A</v>
      </c>
      <c r="BJ42" s="2" t="e">
        <v>#N/A</v>
      </c>
      <c r="BK42" s="2" t="e">
        <v>#N/A</v>
      </c>
      <c r="BL42" s="2" t="e">
        <v>#N/A</v>
      </c>
      <c r="BM42" s="2" t="e">
        <v>#N/A</v>
      </c>
      <c r="BN42" s="2" t="e">
        <v>#N/A</v>
      </c>
      <c r="BO42" s="2" t="e">
        <v>#N/A</v>
      </c>
      <c r="BP42" s="2" t="e">
        <v>#N/A</v>
      </c>
      <c r="BQ42" s="2" t="e">
        <v>#N/A</v>
      </c>
      <c r="BR42" s="2" t="e">
        <v>#N/A</v>
      </c>
      <c r="BS42" s="2" t="e">
        <v>#N/A</v>
      </c>
      <c r="BT42" s="2" t="e">
        <v>#N/A</v>
      </c>
      <c r="BU42" s="2" t="e">
        <v>#N/A</v>
      </c>
      <c r="BV42" s="2" t="e">
        <v>#N/A</v>
      </c>
      <c r="BW42" s="2" t="e">
        <v>#N/A</v>
      </c>
      <c r="BX42" s="2" t="e">
        <v>#N/A</v>
      </c>
      <c r="BY42" s="2" t="e">
        <v>#N/A</v>
      </c>
      <c r="BZ42" s="2" t="e">
        <v>#N/A</v>
      </c>
      <c r="CA42" s="2" t="e">
        <v>#N/A</v>
      </c>
      <c r="CB42" s="2" t="e">
        <v>#N/A</v>
      </c>
      <c r="CC42" s="2" t="e">
        <v>#N/A</v>
      </c>
    </row>
    <row r="43" spans="1:98" x14ac:dyDescent="0.15">
      <c r="C43" s="2">
        <f>WicketsTaken</f>
        <v>4</v>
      </c>
    </row>
    <row r="44" spans="1:98" x14ac:dyDescent="0.15">
      <c r="B44" s="2">
        <v>5</v>
      </c>
      <c r="C44" s="2">
        <f t="shared" ref="C44:AR44" si="38">BowlSplit(C5,$C$43)</f>
        <v>0</v>
      </c>
      <c r="D44" s="2">
        <f t="shared" si="38"/>
        <v>0</v>
      </c>
      <c r="E44" s="2">
        <f t="shared" si="38"/>
        <v>0</v>
      </c>
      <c r="F44" s="2">
        <f t="shared" si="38"/>
        <v>0</v>
      </c>
      <c r="G44" s="2">
        <f t="shared" si="38"/>
        <v>0</v>
      </c>
      <c r="H44" s="2">
        <f t="shared" si="38"/>
        <v>0</v>
      </c>
      <c r="I44" s="2">
        <f t="shared" si="38"/>
        <v>0</v>
      </c>
      <c r="J44" s="2">
        <f t="shared" si="38"/>
        <v>0</v>
      </c>
      <c r="K44" s="2">
        <f t="shared" si="38"/>
        <v>0</v>
      </c>
      <c r="L44" s="2">
        <f t="shared" si="38"/>
        <v>0</v>
      </c>
      <c r="M44" s="2">
        <f t="shared" si="38"/>
        <v>0</v>
      </c>
      <c r="N44" s="2">
        <f t="shared" si="38"/>
        <v>0</v>
      </c>
      <c r="O44" s="2">
        <f t="shared" si="38"/>
        <v>0</v>
      </c>
      <c r="P44" s="2">
        <f t="shared" si="38"/>
        <v>0</v>
      </c>
      <c r="Q44" s="2">
        <f t="shared" si="38"/>
        <v>0</v>
      </c>
      <c r="R44" s="2">
        <f t="shared" si="38"/>
        <v>0</v>
      </c>
      <c r="S44" s="2">
        <f t="shared" si="38"/>
        <v>0</v>
      </c>
      <c r="T44" s="2">
        <f t="shared" si="38"/>
        <v>0</v>
      </c>
      <c r="U44" s="2">
        <f t="shared" si="38"/>
        <v>0</v>
      </c>
      <c r="V44" s="2">
        <f t="shared" si="38"/>
        <v>0</v>
      </c>
      <c r="W44" s="2">
        <f t="shared" si="38"/>
        <v>0</v>
      </c>
      <c r="X44" s="2">
        <f t="shared" si="38"/>
        <v>0</v>
      </c>
      <c r="Y44" s="2">
        <f t="shared" si="38"/>
        <v>0</v>
      </c>
      <c r="Z44" s="2">
        <f t="shared" si="38"/>
        <v>0</v>
      </c>
      <c r="AA44" s="2">
        <f t="shared" si="38"/>
        <v>0</v>
      </c>
      <c r="AB44" s="2">
        <f t="shared" si="38"/>
        <v>0</v>
      </c>
      <c r="AC44" s="2">
        <f t="shared" si="38"/>
        <v>0</v>
      </c>
      <c r="AD44" s="2">
        <f t="shared" si="38"/>
        <v>0</v>
      </c>
      <c r="AE44" s="2">
        <f t="shared" si="38"/>
        <v>0</v>
      </c>
      <c r="AF44" s="2">
        <f t="shared" si="38"/>
        <v>0</v>
      </c>
      <c r="AG44" s="2">
        <f t="shared" si="38"/>
        <v>0</v>
      </c>
      <c r="AH44" s="2">
        <f t="shared" si="38"/>
        <v>0</v>
      </c>
      <c r="AI44" s="2">
        <f t="shared" si="38"/>
        <v>0</v>
      </c>
      <c r="AJ44" s="2">
        <f t="shared" si="38"/>
        <v>0</v>
      </c>
      <c r="AK44" s="2">
        <f t="shared" si="38"/>
        <v>0</v>
      </c>
      <c r="AL44" s="2">
        <f t="shared" si="38"/>
        <v>0</v>
      </c>
      <c r="AM44" s="2">
        <f t="shared" si="38"/>
        <v>0</v>
      </c>
      <c r="AN44" s="2">
        <f t="shared" si="38"/>
        <v>0</v>
      </c>
      <c r="AO44" s="2">
        <f t="shared" si="38"/>
        <v>0</v>
      </c>
      <c r="AP44" s="2">
        <f t="shared" si="38"/>
        <v>0</v>
      </c>
      <c r="AQ44" s="2">
        <f t="shared" si="38"/>
        <v>0</v>
      </c>
      <c r="AR44" s="2">
        <f t="shared" si="38"/>
        <v>0</v>
      </c>
    </row>
    <row r="45" spans="1:98" x14ac:dyDescent="0.15">
      <c r="C45" s="2">
        <f t="shared" ref="C45:AR45" si="39">BowlSplit(C6,$C$43)</f>
        <v>1</v>
      </c>
      <c r="D45" s="2">
        <f t="shared" si="39"/>
        <v>0</v>
      </c>
      <c r="E45" s="2">
        <f t="shared" si="39"/>
        <v>1</v>
      </c>
      <c r="F45" s="2">
        <f t="shared" si="39"/>
        <v>0</v>
      </c>
      <c r="G45" s="2">
        <f t="shared" si="39"/>
        <v>0</v>
      </c>
      <c r="H45" s="2">
        <f t="shared" si="39"/>
        <v>0</v>
      </c>
      <c r="I45" s="2">
        <f t="shared" si="39"/>
        <v>0</v>
      </c>
      <c r="J45" s="2">
        <f t="shared" si="39"/>
        <v>0</v>
      </c>
      <c r="K45" s="2">
        <f t="shared" si="39"/>
        <v>0</v>
      </c>
      <c r="L45" s="2">
        <f t="shared" si="39"/>
        <v>0</v>
      </c>
      <c r="M45" s="2">
        <f t="shared" si="39"/>
        <v>0</v>
      </c>
      <c r="N45" s="2">
        <f t="shared" si="39"/>
        <v>0</v>
      </c>
      <c r="O45" s="2">
        <f t="shared" si="39"/>
        <v>0</v>
      </c>
      <c r="P45" s="2">
        <f t="shared" si="39"/>
        <v>0</v>
      </c>
      <c r="Q45" s="2">
        <f t="shared" si="39"/>
        <v>0</v>
      </c>
      <c r="R45" s="2">
        <f t="shared" si="39"/>
        <v>0</v>
      </c>
      <c r="S45" s="2">
        <f t="shared" si="39"/>
        <v>0</v>
      </c>
      <c r="T45" s="2">
        <f t="shared" si="39"/>
        <v>0</v>
      </c>
      <c r="U45" s="2">
        <f t="shared" si="39"/>
        <v>0</v>
      </c>
      <c r="V45" s="2">
        <f t="shared" si="39"/>
        <v>0</v>
      </c>
      <c r="W45" s="2">
        <f t="shared" si="39"/>
        <v>0</v>
      </c>
      <c r="X45" s="2">
        <f t="shared" si="39"/>
        <v>0</v>
      </c>
      <c r="Y45" s="2">
        <f t="shared" si="39"/>
        <v>0</v>
      </c>
      <c r="Z45" s="2">
        <f t="shared" si="39"/>
        <v>0</v>
      </c>
      <c r="AA45" s="2">
        <f t="shared" si="39"/>
        <v>0</v>
      </c>
      <c r="AB45" s="2">
        <f t="shared" si="39"/>
        <v>0</v>
      </c>
      <c r="AC45" s="2">
        <f t="shared" si="39"/>
        <v>0</v>
      </c>
      <c r="AD45" s="2">
        <f t="shared" si="39"/>
        <v>0</v>
      </c>
      <c r="AE45" s="2">
        <f t="shared" si="39"/>
        <v>0</v>
      </c>
      <c r="AF45" s="2">
        <f t="shared" si="39"/>
        <v>0</v>
      </c>
      <c r="AG45" s="2">
        <f t="shared" si="39"/>
        <v>0</v>
      </c>
      <c r="AH45" s="2">
        <f t="shared" si="39"/>
        <v>0</v>
      </c>
      <c r="AI45" s="2">
        <f t="shared" si="39"/>
        <v>0</v>
      </c>
      <c r="AJ45" s="2">
        <f t="shared" si="39"/>
        <v>0</v>
      </c>
      <c r="AK45" s="2">
        <f t="shared" si="39"/>
        <v>0</v>
      </c>
      <c r="AL45" s="2">
        <f t="shared" si="39"/>
        <v>0</v>
      </c>
      <c r="AM45" s="2">
        <f t="shared" si="39"/>
        <v>0</v>
      </c>
      <c r="AN45" s="2">
        <f t="shared" si="39"/>
        <v>0</v>
      </c>
      <c r="AO45" s="2">
        <f t="shared" si="39"/>
        <v>0</v>
      </c>
      <c r="AP45" s="2">
        <f t="shared" si="39"/>
        <v>0</v>
      </c>
      <c r="AQ45" s="2">
        <f t="shared" si="39"/>
        <v>0</v>
      </c>
      <c r="AR45" s="2">
        <f t="shared" si="39"/>
        <v>0</v>
      </c>
    </row>
    <row r="46" spans="1:98" x14ac:dyDescent="0.15">
      <c r="C46" s="2">
        <f t="shared" ref="C46:AR46" si="40">BowlSplit(C8,$C$43)</f>
        <v>0</v>
      </c>
      <c r="D46" s="2">
        <f t="shared" si="40"/>
        <v>1</v>
      </c>
      <c r="E46" s="2">
        <f t="shared" si="40"/>
        <v>0</v>
      </c>
      <c r="F46" s="2">
        <f t="shared" si="40"/>
        <v>1</v>
      </c>
      <c r="G46" s="2">
        <f t="shared" si="40"/>
        <v>2</v>
      </c>
      <c r="H46" s="2">
        <f t="shared" si="40"/>
        <v>0</v>
      </c>
      <c r="I46" s="2">
        <f t="shared" si="40"/>
        <v>6</v>
      </c>
      <c r="J46" s="2">
        <f t="shared" si="40"/>
        <v>1</v>
      </c>
      <c r="K46" s="2">
        <f t="shared" si="40"/>
        <v>3</v>
      </c>
      <c r="L46" s="2">
        <f t="shared" si="40"/>
        <v>1</v>
      </c>
      <c r="M46" s="2">
        <f t="shared" si="40"/>
        <v>1</v>
      </c>
      <c r="N46" s="2">
        <f t="shared" si="40"/>
        <v>0</v>
      </c>
      <c r="O46" s="2">
        <f t="shared" si="40"/>
        <v>0</v>
      </c>
      <c r="P46" s="2">
        <f t="shared" si="40"/>
        <v>6</v>
      </c>
      <c r="Q46" s="2">
        <f t="shared" si="40"/>
        <v>0</v>
      </c>
      <c r="R46" s="2">
        <f t="shared" si="40"/>
        <v>1</v>
      </c>
      <c r="S46" s="2">
        <f t="shared" si="40"/>
        <v>0</v>
      </c>
      <c r="T46" s="2">
        <f t="shared" si="40"/>
        <v>0</v>
      </c>
      <c r="U46" s="2">
        <f t="shared" si="40"/>
        <v>0</v>
      </c>
      <c r="V46" s="2">
        <f t="shared" si="40"/>
        <v>0</v>
      </c>
      <c r="W46" s="2">
        <f t="shared" si="40"/>
        <v>0</v>
      </c>
      <c r="X46" s="2">
        <f t="shared" si="40"/>
        <v>0</v>
      </c>
      <c r="Y46" s="2">
        <f t="shared" si="40"/>
        <v>0</v>
      </c>
      <c r="Z46" s="2">
        <f t="shared" si="40"/>
        <v>0</v>
      </c>
      <c r="AA46" s="2">
        <f t="shared" si="40"/>
        <v>0</v>
      </c>
      <c r="AB46" s="2">
        <f t="shared" si="40"/>
        <v>0</v>
      </c>
      <c r="AC46" s="2">
        <f t="shared" si="40"/>
        <v>0</v>
      </c>
      <c r="AD46" s="2">
        <f t="shared" si="40"/>
        <v>0</v>
      </c>
      <c r="AE46" s="2">
        <f t="shared" si="40"/>
        <v>0</v>
      </c>
      <c r="AF46" s="2">
        <f t="shared" si="40"/>
        <v>0</v>
      </c>
      <c r="AG46" s="2">
        <f t="shared" si="40"/>
        <v>0</v>
      </c>
      <c r="AH46" s="2">
        <f t="shared" si="40"/>
        <v>0</v>
      </c>
      <c r="AI46" s="2">
        <f t="shared" si="40"/>
        <v>0</v>
      </c>
      <c r="AJ46" s="2">
        <f t="shared" si="40"/>
        <v>0</v>
      </c>
      <c r="AK46" s="2">
        <f t="shared" si="40"/>
        <v>0</v>
      </c>
      <c r="AL46" s="2">
        <f t="shared" si="40"/>
        <v>0</v>
      </c>
      <c r="AM46" s="2">
        <f t="shared" si="40"/>
        <v>0</v>
      </c>
      <c r="AN46" s="2">
        <f t="shared" si="40"/>
        <v>0</v>
      </c>
      <c r="AO46" s="2">
        <f t="shared" si="40"/>
        <v>0</v>
      </c>
      <c r="AP46" s="2">
        <f t="shared" si="40"/>
        <v>0</v>
      </c>
      <c r="AQ46" s="2">
        <f t="shared" si="40"/>
        <v>0</v>
      </c>
      <c r="AR46" s="2">
        <f t="shared" si="40"/>
        <v>0</v>
      </c>
    </row>
    <row r="47" spans="1:98" x14ac:dyDescent="0.15">
      <c r="C47" s="2">
        <f t="shared" ref="C47:AR47" si="41">BowlSplit(C9,$C$43)</f>
        <v>0</v>
      </c>
      <c r="D47" s="2">
        <f t="shared" si="41"/>
        <v>0</v>
      </c>
      <c r="E47" s="2">
        <f t="shared" si="41"/>
        <v>0</v>
      </c>
      <c r="F47" s="2">
        <f t="shared" si="41"/>
        <v>0</v>
      </c>
      <c r="G47" s="2">
        <f t="shared" si="41"/>
        <v>0</v>
      </c>
      <c r="H47" s="2">
        <f t="shared" si="41"/>
        <v>0</v>
      </c>
      <c r="I47" s="2">
        <f t="shared" si="41"/>
        <v>0</v>
      </c>
      <c r="J47" s="2">
        <f t="shared" si="41"/>
        <v>0</v>
      </c>
      <c r="K47" s="2">
        <f t="shared" si="41"/>
        <v>0</v>
      </c>
      <c r="L47" s="2">
        <f t="shared" si="41"/>
        <v>0</v>
      </c>
      <c r="M47" s="2">
        <f t="shared" si="41"/>
        <v>0</v>
      </c>
      <c r="N47" s="2">
        <f t="shared" si="41"/>
        <v>0</v>
      </c>
      <c r="O47" s="2">
        <f t="shared" si="41"/>
        <v>0</v>
      </c>
      <c r="P47" s="2">
        <f t="shared" si="41"/>
        <v>0</v>
      </c>
      <c r="Q47" s="2">
        <f t="shared" si="41"/>
        <v>0</v>
      </c>
      <c r="R47" s="2">
        <f t="shared" si="41"/>
        <v>0</v>
      </c>
      <c r="S47" s="2">
        <f t="shared" si="41"/>
        <v>0</v>
      </c>
      <c r="T47" s="2">
        <f t="shared" si="41"/>
        <v>0</v>
      </c>
      <c r="U47" s="2">
        <f t="shared" si="41"/>
        <v>0</v>
      </c>
      <c r="V47" s="2">
        <f t="shared" si="41"/>
        <v>0</v>
      </c>
      <c r="W47" s="2">
        <f t="shared" si="41"/>
        <v>0</v>
      </c>
      <c r="X47" s="2">
        <f t="shared" si="41"/>
        <v>0</v>
      </c>
      <c r="Y47" s="2">
        <f t="shared" si="41"/>
        <v>0</v>
      </c>
      <c r="Z47" s="2">
        <f t="shared" si="41"/>
        <v>0</v>
      </c>
      <c r="AA47" s="2">
        <f t="shared" si="41"/>
        <v>0</v>
      </c>
      <c r="AB47" s="2">
        <f t="shared" si="41"/>
        <v>0</v>
      </c>
      <c r="AC47" s="2">
        <f t="shared" si="41"/>
        <v>0</v>
      </c>
      <c r="AD47" s="2">
        <f t="shared" si="41"/>
        <v>0</v>
      </c>
      <c r="AE47" s="2">
        <f t="shared" si="41"/>
        <v>0</v>
      </c>
      <c r="AF47" s="2">
        <f t="shared" si="41"/>
        <v>0</v>
      </c>
      <c r="AG47" s="2">
        <f t="shared" si="41"/>
        <v>0</v>
      </c>
      <c r="AH47" s="2">
        <f t="shared" si="41"/>
        <v>0</v>
      </c>
      <c r="AI47" s="2">
        <f t="shared" si="41"/>
        <v>0</v>
      </c>
      <c r="AJ47" s="2">
        <f t="shared" si="41"/>
        <v>0</v>
      </c>
      <c r="AK47" s="2">
        <f t="shared" si="41"/>
        <v>0</v>
      </c>
      <c r="AL47" s="2">
        <f t="shared" si="41"/>
        <v>0</v>
      </c>
      <c r="AM47" s="2">
        <f t="shared" si="41"/>
        <v>0</v>
      </c>
      <c r="AN47" s="2">
        <f t="shared" si="41"/>
        <v>0</v>
      </c>
      <c r="AO47" s="2">
        <f t="shared" si="41"/>
        <v>0</v>
      </c>
      <c r="AP47" s="2">
        <f t="shared" si="41"/>
        <v>0</v>
      </c>
      <c r="AQ47" s="2">
        <f t="shared" si="41"/>
        <v>0</v>
      </c>
      <c r="AR47" s="2">
        <f t="shared" si="41"/>
        <v>0</v>
      </c>
    </row>
    <row r="48" spans="1:98" x14ac:dyDescent="0.15">
      <c r="C48" s="2">
        <f t="shared" ref="C48:AR48" si="42">BowlSplit(C10,$C$43)</f>
        <v>1</v>
      </c>
      <c r="D48" s="2">
        <f t="shared" si="42"/>
        <v>0</v>
      </c>
      <c r="E48" s="2">
        <f t="shared" si="42"/>
        <v>2</v>
      </c>
      <c r="F48" s="2">
        <f t="shared" si="42"/>
        <v>0</v>
      </c>
      <c r="G48" s="2">
        <f t="shared" si="42"/>
        <v>0</v>
      </c>
      <c r="H48" s="2">
        <f t="shared" si="42"/>
        <v>8</v>
      </c>
      <c r="I48" s="2">
        <f t="shared" si="42"/>
        <v>0</v>
      </c>
      <c r="J48" s="2">
        <f t="shared" si="42"/>
        <v>4</v>
      </c>
      <c r="K48" s="2">
        <f t="shared" si="42"/>
        <v>3</v>
      </c>
      <c r="L48" s="2">
        <f t="shared" si="42"/>
        <v>0</v>
      </c>
      <c r="M48" s="2">
        <f t="shared" si="42"/>
        <v>1</v>
      </c>
      <c r="N48" s="2">
        <f t="shared" si="42"/>
        <v>0</v>
      </c>
      <c r="O48" s="2">
        <f t="shared" si="42"/>
        <v>3</v>
      </c>
      <c r="P48" s="2">
        <f t="shared" si="42"/>
        <v>0</v>
      </c>
      <c r="Q48" s="2">
        <f t="shared" si="42"/>
        <v>2</v>
      </c>
      <c r="R48" s="2">
        <f t="shared" si="42"/>
        <v>1</v>
      </c>
      <c r="S48" s="2">
        <f t="shared" si="42"/>
        <v>0</v>
      </c>
      <c r="T48" s="2">
        <f t="shared" si="42"/>
        <v>0</v>
      </c>
      <c r="U48" s="2">
        <f t="shared" si="42"/>
        <v>0</v>
      </c>
      <c r="V48" s="2">
        <f t="shared" si="42"/>
        <v>0</v>
      </c>
      <c r="W48" s="2">
        <f t="shared" si="42"/>
        <v>0</v>
      </c>
      <c r="X48" s="2">
        <f t="shared" si="42"/>
        <v>0</v>
      </c>
      <c r="Y48" s="2">
        <f t="shared" si="42"/>
        <v>0</v>
      </c>
      <c r="Z48" s="2">
        <f t="shared" si="42"/>
        <v>0</v>
      </c>
      <c r="AA48" s="2">
        <f t="shared" si="42"/>
        <v>0</v>
      </c>
      <c r="AB48" s="2">
        <f t="shared" si="42"/>
        <v>0</v>
      </c>
      <c r="AC48" s="2">
        <f t="shared" si="42"/>
        <v>0</v>
      </c>
      <c r="AD48" s="2">
        <f t="shared" si="42"/>
        <v>0</v>
      </c>
      <c r="AE48" s="2">
        <f t="shared" si="42"/>
        <v>0</v>
      </c>
      <c r="AF48" s="2">
        <f t="shared" si="42"/>
        <v>0</v>
      </c>
      <c r="AG48" s="2">
        <f t="shared" si="42"/>
        <v>0</v>
      </c>
      <c r="AH48" s="2">
        <f t="shared" si="42"/>
        <v>0</v>
      </c>
      <c r="AI48" s="2">
        <f t="shared" si="42"/>
        <v>0</v>
      </c>
      <c r="AJ48" s="2">
        <f t="shared" si="42"/>
        <v>0</v>
      </c>
      <c r="AK48" s="2">
        <f t="shared" si="42"/>
        <v>0</v>
      </c>
      <c r="AL48" s="2">
        <f t="shared" si="42"/>
        <v>0</v>
      </c>
      <c r="AM48" s="2">
        <f t="shared" si="42"/>
        <v>0</v>
      </c>
      <c r="AN48" s="2">
        <f t="shared" si="42"/>
        <v>0</v>
      </c>
      <c r="AO48" s="2">
        <f t="shared" si="42"/>
        <v>0</v>
      </c>
      <c r="AP48" s="2">
        <f t="shared" si="42"/>
        <v>0</v>
      </c>
      <c r="AQ48" s="2">
        <f t="shared" si="42"/>
        <v>0</v>
      </c>
      <c r="AR48" s="2">
        <f t="shared" si="42"/>
        <v>0</v>
      </c>
    </row>
    <row r="49" spans="3:83" x14ac:dyDescent="0.15">
      <c r="C49" s="2" t="e">
        <f>BowlSplit(#REF!,$C$43)</f>
        <v>#VALUE!</v>
      </c>
      <c r="D49" s="2" t="e">
        <f>BowlSplit(#REF!,$C$43)</f>
        <v>#VALUE!</v>
      </c>
      <c r="E49" s="2" t="e">
        <f>BowlSplit(#REF!,$C$43)</f>
        <v>#VALUE!</v>
      </c>
      <c r="F49" s="2" t="e">
        <f>BowlSplit(#REF!,$C$43)</f>
        <v>#VALUE!</v>
      </c>
      <c r="G49" s="2">
        <f t="shared" ref="G49:AR49" si="43">BowlSplit(G12,$C$43)</f>
        <v>0</v>
      </c>
      <c r="H49" s="2">
        <f t="shared" si="43"/>
        <v>0</v>
      </c>
      <c r="I49" s="2">
        <f t="shared" si="43"/>
        <v>0</v>
      </c>
      <c r="J49" s="2">
        <f t="shared" si="43"/>
        <v>0</v>
      </c>
      <c r="K49" s="2">
        <f t="shared" si="43"/>
        <v>0</v>
      </c>
      <c r="L49" s="2">
        <f t="shared" si="43"/>
        <v>0</v>
      </c>
      <c r="M49" s="2">
        <f t="shared" si="43"/>
        <v>0</v>
      </c>
      <c r="N49" s="2">
        <f t="shared" si="43"/>
        <v>0</v>
      </c>
      <c r="O49" s="2">
        <f t="shared" si="43"/>
        <v>0</v>
      </c>
      <c r="P49" s="2">
        <f t="shared" si="43"/>
        <v>0</v>
      </c>
      <c r="Q49" s="2">
        <f t="shared" si="43"/>
        <v>0</v>
      </c>
      <c r="R49" s="2">
        <f t="shared" si="43"/>
        <v>1</v>
      </c>
      <c r="S49" s="2">
        <f t="shared" si="43"/>
        <v>0</v>
      </c>
      <c r="T49" s="2">
        <f t="shared" si="43"/>
        <v>0</v>
      </c>
      <c r="U49" s="2">
        <f t="shared" si="43"/>
        <v>0</v>
      </c>
      <c r="V49" s="2">
        <f t="shared" si="43"/>
        <v>0</v>
      </c>
      <c r="W49" s="2">
        <f t="shared" si="43"/>
        <v>0</v>
      </c>
      <c r="X49" s="2">
        <f t="shared" si="43"/>
        <v>0</v>
      </c>
      <c r="Y49" s="2">
        <f t="shared" si="43"/>
        <v>0</v>
      </c>
      <c r="Z49" s="2">
        <f t="shared" si="43"/>
        <v>0</v>
      </c>
      <c r="AA49" s="2">
        <f t="shared" si="43"/>
        <v>0</v>
      </c>
      <c r="AB49" s="2">
        <f t="shared" si="43"/>
        <v>0</v>
      </c>
      <c r="AC49" s="2">
        <f t="shared" si="43"/>
        <v>0</v>
      </c>
      <c r="AD49" s="2">
        <f t="shared" si="43"/>
        <v>0</v>
      </c>
      <c r="AE49" s="2">
        <f t="shared" si="43"/>
        <v>0</v>
      </c>
      <c r="AF49" s="2">
        <f t="shared" si="43"/>
        <v>0</v>
      </c>
      <c r="AG49" s="2">
        <f t="shared" si="43"/>
        <v>0</v>
      </c>
      <c r="AH49" s="2">
        <f t="shared" si="43"/>
        <v>0</v>
      </c>
      <c r="AI49" s="2">
        <f t="shared" si="43"/>
        <v>0</v>
      </c>
      <c r="AJ49" s="2">
        <f t="shared" si="43"/>
        <v>0</v>
      </c>
      <c r="AK49" s="2">
        <f t="shared" si="43"/>
        <v>0</v>
      </c>
      <c r="AL49" s="2">
        <f t="shared" si="43"/>
        <v>0</v>
      </c>
      <c r="AM49" s="2">
        <f t="shared" si="43"/>
        <v>0</v>
      </c>
      <c r="AN49" s="2">
        <f t="shared" si="43"/>
        <v>0</v>
      </c>
      <c r="AO49" s="2">
        <f t="shared" si="43"/>
        <v>0</v>
      </c>
      <c r="AP49" s="2">
        <f t="shared" si="43"/>
        <v>0</v>
      </c>
      <c r="AQ49" s="2">
        <f t="shared" si="43"/>
        <v>0</v>
      </c>
      <c r="AR49" s="2">
        <f t="shared" si="43"/>
        <v>0</v>
      </c>
      <c r="CE49" s="59"/>
    </row>
    <row r="50" spans="3:83" x14ac:dyDescent="0.15">
      <c r="C50" s="2">
        <f>BowlSplit(C14,$C$43)</f>
        <v>0</v>
      </c>
      <c r="D50" s="2">
        <f>BowlSplit(D14,$C$43)</f>
        <v>0</v>
      </c>
      <c r="E50" s="2">
        <f>BowlSplit(E14,$C$43)</f>
        <v>2</v>
      </c>
      <c r="F50" s="2">
        <f>BowlSplit(F14,$C$43)</f>
        <v>1</v>
      </c>
      <c r="G50" s="2" t="e">
        <f>BowlSplit(#REF!,$C$43)</f>
        <v>#VALUE!</v>
      </c>
      <c r="H50" s="2" t="e">
        <f>BowlSplit(#REF!,$C$43)</f>
        <v>#VALUE!</v>
      </c>
      <c r="I50" s="2" t="e">
        <f>BowlSplit(#REF!,$C$43)</f>
        <v>#VALUE!</v>
      </c>
      <c r="J50" s="2" t="e">
        <f>BowlSplit(#REF!,$C$43)</f>
        <v>#VALUE!</v>
      </c>
      <c r="K50" s="2" t="e">
        <f>BowlSplit(#REF!,$C$43)</f>
        <v>#VALUE!</v>
      </c>
      <c r="L50" s="2" t="e">
        <f>BowlSplit(#REF!,$C$43)</f>
        <v>#VALUE!</v>
      </c>
      <c r="M50" s="2" t="e">
        <f>BowlSplit(#REF!,$C$43)</f>
        <v>#VALUE!</v>
      </c>
      <c r="N50" s="2" t="e">
        <f>BowlSplit(#REF!,$C$43)</f>
        <v>#VALUE!</v>
      </c>
      <c r="O50" s="2" t="e">
        <f>BowlSplit(#REF!,$C$43)</f>
        <v>#VALUE!</v>
      </c>
      <c r="P50" s="2" t="e">
        <f>BowlSplit(#REF!,$C$43)</f>
        <v>#VALUE!</v>
      </c>
      <c r="Q50" s="2" t="e">
        <f>BowlSplit(#REF!,$C$43)</f>
        <v>#VALUE!</v>
      </c>
      <c r="R50" s="2" t="e">
        <f>BowlSplit(#REF!,$C$43)</f>
        <v>#VALUE!</v>
      </c>
      <c r="S50" s="2" t="e">
        <f>BowlSplit(#REF!,$C$43)</f>
        <v>#VALUE!</v>
      </c>
      <c r="T50" s="2" t="e">
        <f>BowlSplit(#REF!,$C$43)</f>
        <v>#VALUE!</v>
      </c>
      <c r="U50" s="2" t="e">
        <f>BowlSplit(#REF!,$C$43)</f>
        <v>#VALUE!</v>
      </c>
      <c r="V50" s="2" t="e">
        <f>BowlSplit(#REF!,$C$43)</f>
        <v>#VALUE!</v>
      </c>
      <c r="W50" s="2" t="e">
        <f>BowlSplit(#REF!,$C$43)</f>
        <v>#VALUE!</v>
      </c>
      <c r="X50" s="2" t="e">
        <f>BowlSplit(#REF!,$C$43)</f>
        <v>#VALUE!</v>
      </c>
      <c r="Y50" s="2" t="e">
        <f>BowlSplit(#REF!,$C$43)</f>
        <v>#VALUE!</v>
      </c>
      <c r="Z50" s="2" t="e">
        <f>BowlSplit(#REF!,$C$43)</f>
        <v>#VALUE!</v>
      </c>
      <c r="AA50" s="2" t="e">
        <f>BowlSplit(#REF!,$C$43)</f>
        <v>#VALUE!</v>
      </c>
      <c r="AB50" s="2" t="e">
        <f>BowlSplit(#REF!,$C$43)</f>
        <v>#VALUE!</v>
      </c>
      <c r="AC50" s="2" t="e">
        <f>BowlSplit(#REF!,$C$43)</f>
        <v>#VALUE!</v>
      </c>
      <c r="AD50" s="2" t="e">
        <f>BowlSplit(#REF!,$C$43)</f>
        <v>#VALUE!</v>
      </c>
      <c r="AE50" s="2" t="e">
        <f>BowlSplit(#REF!,$C$43)</f>
        <v>#VALUE!</v>
      </c>
      <c r="AF50" s="2" t="e">
        <f>BowlSplit(#REF!,$C$43)</f>
        <v>#VALUE!</v>
      </c>
      <c r="AG50" s="2" t="e">
        <f>BowlSplit(#REF!,$C$43)</f>
        <v>#VALUE!</v>
      </c>
      <c r="AH50" s="2" t="e">
        <f>BowlSplit(#REF!,$C$43)</f>
        <v>#VALUE!</v>
      </c>
      <c r="AI50" s="2" t="e">
        <f>BowlSplit(#REF!,$C$43)</f>
        <v>#VALUE!</v>
      </c>
      <c r="AJ50" s="2" t="e">
        <f>BowlSplit(#REF!,$C$43)</f>
        <v>#VALUE!</v>
      </c>
      <c r="AK50" s="2" t="e">
        <f>BowlSplit(#REF!,$C$43)</f>
        <v>#VALUE!</v>
      </c>
      <c r="AL50" s="2" t="e">
        <f>BowlSplit(#REF!,$C$43)</f>
        <v>#VALUE!</v>
      </c>
      <c r="AM50" s="2" t="e">
        <f>BowlSplit(#REF!,$C$43)</f>
        <v>#VALUE!</v>
      </c>
      <c r="AN50" s="2" t="e">
        <f>BowlSplit(#REF!,$C$43)</f>
        <v>#VALUE!</v>
      </c>
      <c r="AO50" s="2" t="e">
        <f>BowlSplit(#REF!,$C$43)</f>
        <v>#VALUE!</v>
      </c>
      <c r="AP50" s="2" t="e">
        <f>BowlSplit(#REF!,$C$43)</f>
        <v>#VALUE!</v>
      </c>
      <c r="AQ50" s="2" t="e">
        <f>BowlSplit(#REF!,$C$43)</f>
        <v>#VALUE!</v>
      </c>
      <c r="AR50" s="2" t="e">
        <f>BowlSplit(#REF!,$C$43)</f>
        <v>#VALUE!</v>
      </c>
    </row>
    <row r="51" spans="3:83" x14ac:dyDescent="0.15">
      <c r="C51" s="2">
        <f>BowlSplit(C16,$C$43)</f>
        <v>0</v>
      </c>
      <c r="D51" s="2">
        <f>BowlSplit(D16,$C$43)</f>
        <v>0</v>
      </c>
      <c r="E51" s="2">
        <f>BowlSplit(E16,$C$43)</f>
        <v>0</v>
      </c>
      <c r="F51" s="2">
        <f>BowlSplit(F16,$C$43)</f>
        <v>2</v>
      </c>
      <c r="G51" s="2">
        <f t="shared" ref="G51:AR51" si="44">BowlSplit(G13,$C$43)</f>
        <v>0</v>
      </c>
      <c r="H51" s="2">
        <f t="shared" si="44"/>
        <v>0</v>
      </c>
      <c r="I51" s="2">
        <f t="shared" si="44"/>
        <v>0</v>
      </c>
      <c r="J51" s="2">
        <f t="shared" si="44"/>
        <v>0</v>
      </c>
      <c r="K51" s="2">
        <f t="shared" si="44"/>
        <v>1</v>
      </c>
      <c r="L51" s="2">
        <f t="shared" si="44"/>
        <v>0</v>
      </c>
      <c r="M51" s="2">
        <f t="shared" si="44"/>
        <v>0</v>
      </c>
      <c r="N51" s="2">
        <f t="shared" si="44"/>
        <v>0</v>
      </c>
      <c r="O51" s="2">
        <f t="shared" si="44"/>
        <v>0</v>
      </c>
      <c r="P51" s="2">
        <f t="shared" si="44"/>
        <v>0</v>
      </c>
      <c r="Q51" s="2">
        <f t="shared" si="44"/>
        <v>0</v>
      </c>
      <c r="R51" s="2">
        <f t="shared" si="44"/>
        <v>0</v>
      </c>
      <c r="S51" s="2">
        <f t="shared" si="44"/>
        <v>0</v>
      </c>
      <c r="T51" s="2">
        <f t="shared" si="44"/>
        <v>0</v>
      </c>
      <c r="U51" s="2">
        <f t="shared" si="44"/>
        <v>0</v>
      </c>
      <c r="V51" s="2">
        <f t="shared" si="44"/>
        <v>0</v>
      </c>
      <c r="W51" s="2">
        <f t="shared" si="44"/>
        <v>0</v>
      </c>
      <c r="X51" s="2">
        <f t="shared" si="44"/>
        <v>0</v>
      </c>
      <c r="Y51" s="2">
        <f t="shared" si="44"/>
        <v>0</v>
      </c>
      <c r="Z51" s="2">
        <f t="shared" si="44"/>
        <v>0</v>
      </c>
      <c r="AA51" s="2">
        <f t="shared" si="44"/>
        <v>0</v>
      </c>
      <c r="AB51" s="2">
        <f t="shared" si="44"/>
        <v>0</v>
      </c>
      <c r="AC51" s="2">
        <f t="shared" si="44"/>
        <v>0</v>
      </c>
      <c r="AD51" s="2">
        <f t="shared" si="44"/>
        <v>0</v>
      </c>
      <c r="AE51" s="2">
        <f t="shared" si="44"/>
        <v>0</v>
      </c>
      <c r="AF51" s="2">
        <f t="shared" si="44"/>
        <v>0</v>
      </c>
      <c r="AG51" s="2">
        <f t="shared" si="44"/>
        <v>0</v>
      </c>
      <c r="AH51" s="2">
        <f t="shared" si="44"/>
        <v>0</v>
      </c>
      <c r="AI51" s="2">
        <f t="shared" si="44"/>
        <v>0</v>
      </c>
      <c r="AJ51" s="2">
        <f t="shared" si="44"/>
        <v>0</v>
      </c>
      <c r="AK51" s="2">
        <f t="shared" si="44"/>
        <v>0</v>
      </c>
      <c r="AL51" s="2">
        <f t="shared" si="44"/>
        <v>0</v>
      </c>
      <c r="AM51" s="2">
        <f t="shared" si="44"/>
        <v>0</v>
      </c>
      <c r="AN51" s="2">
        <f t="shared" si="44"/>
        <v>0</v>
      </c>
      <c r="AO51" s="2">
        <f t="shared" si="44"/>
        <v>0</v>
      </c>
      <c r="AP51" s="2">
        <f t="shared" si="44"/>
        <v>0</v>
      </c>
      <c r="AQ51" s="2">
        <f t="shared" si="44"/>
        <v>0</v>
      </c>
      <c r="AR51" s="2">
        <f t="shared" si="44"/>
        <v>0</v>
      </c>
    </row>
    <row r="52" spans="3:83" x14ac:dyDescent="0.15">
      <c r="C52" s="2" t="e">
        <f>BowlSplit(#REF!,$C$43)</f>
        <v>#VALUE!</v>
      </c>
      <c r="D52" s="2" t="e">
        <f>BowlSplit(#REF!,$C$43)</f>
        <v>#VALUE!</v>
      </c>
      <c r="E52" s="2" t="e">
        <f>BowlSplit(#REF!,$C$43)</f>
        <v>#VALUE!</v>
      </c>
      <c r="F52" s="2" t="e">
        <f>BowlSplit(#REF!,$C$43)</f>
        <v>#VALUE!</v>
      </c>
      <c r="G52" s="2">
        <f t="shared" ref="G52:AR52" si="45">BowlSplit(G14,$C$43)</f>
        <v>0</v>
      </c>
      <c r="H52" s="2">
        <f t="shared" si="45"/>
        <v>0</v>
      </c>
      <c r="I52" s="2">
        <f t="shared" si="45"/>
        <v>0</v>
      </c>
      <c r="J52" s="2">
        <f t="shared" si="45"/>
        <v>0</v>
      </c>
      <c r="K52" s="2">
        <f t="shared" si="45"/>
        <v>0</v>
      </c>
      <c r="L52" s="2">
        <f t="shared" si="45"/>
        <v>0</v>
      </c>
      <c r="M52" s="2">
        <f t="shared" si="45"/>
        <v>0</v>
      </c>
      <c r="N52" s="2">
        <f t="shared" si="45"/>
        <v>0</v>
      </c>
      <c r="O52" s="2">
        <f t="shared" si="45"/>
        <v>0</v>
      </c>
      <c r="P52" s="2">
        <f t="shared" si="45"/>
        <v>0</v>
      </c>
      <c r="Q52" s="2">
        <f t="shared" si="45"/>
        <v>0</v>
      </c>
      <c r="R52" s="2">
        <f t="shared" si="45"/>
        <v>0</v>
      </c>
      <c r="S52" s="2">
        <f t="shared" si="45"/>
        <v>0</v>
      </c>
      <c r="T52" s="2">
        <f t="shared" si="45"/>
        <v>0</v>
      </c>
      <c r="U52" s="2">
        <f t="shared" si="45"/>
        <v>0</v>
      </c>
      <c r="V52" s="2">
        <f t="shared" si="45"/>
        <v>0</v>
      </c>
      <c r="W52" s="2">
        <f t="shared" si="45"/>
        <v>0</v>
      </c>
      <c r="X52" s="2">
        <f t="shared" si="45"/>
        <v>0</v>
      </c>
      <c r="Y52" s="2">
        <f t="shared" si="45"/>
        <v>0</v>
      </c>
      <c r="Z52" s="2">
        <f t="shared" si="45"/>
        <v>0</v>
      </c>
      <c r="AA52" s="2">
        <f t="shared" si="45"/>
        <v>0</v>
      </c>
      <c r="AB52" s="2">
        <f t="shared" si="45"/>
        <v>0</v>
      </c>
      <c r="AC52" s="2">
        <f t="shared" si="45"/>
        <v>0</v>
      </c>
      <c r="AD52" s="2">
        <f t="shared" si="45"/>
        <v>0</v>
      </c>
      <c r="AE52" s="2">
        <f t="shared" si="45"/>
        <v>0</v>
      </c>
      <c r="AF52" s="2">
        <f t="shared" si="45"/>
        <v>0</v>
      </c>
      <c r="AG52" s="2">
        <f t="shared" si="45"/>
        <v>0</v>
      </c>
      <c r="AH52" s="2">
        <f t="shared" si="45"/>
        <v>0</v>
      </c>
      <c r="AI52" s="2">
        <f t="shared" si="45"/>
        <v>0</v>
      </c>
      <c r="AJ52" s="2">
        <f t="shared" si="45"/>
        <v>0</v>
      </c>
      <c r="AK52" s="2">
        <f t="shared" si="45"/>
        <v>0</v>
      </c>
      <c r="AL52" s="2">
        <f t="shared" si="45"/>
        <v>0</v>
      </c>
      <c r="AM52" s="2">
        <f t="shared" si="45"/>
        <v>0</v>
      </c>
      <c r="AN52" s="2">
        <f t="shared" si="45"/>
        <v>0</v>
      </c>
      <c r="AO52" s="2">
        <f t="shared" si="45"/>
        <v>0</v>
      </c>
      <c r="AP52" s="2">
        <f t="shared" si="45"/>
        <v>0</v>
      </c>
      <c r="AQ52" s="2">
        <f t="shared" si="45"/>
        <v>0</v>
      </c>
      <c r="AR52" s="2">
        <f t="shared" si="45"/>
        <v>0</v>
      </c>
    </row>
    <row r="53" spans="3:83" x14ac:dyDescent="0.15">
      <c r="C53" s="2" t="e">
        <f>BowlSplit(#REF!,$C$43)</f>
        <v>#VALUE!</v>
      </c>
      <c r="D53" s="2" t="e">
        <f>BowlSplit(#REF!,$C$43)</f>
        <v>#VALUE!</v>
      </c>
      <c r="E53" s="2" t="e">
        <f>BowlSplit(#REF!,$C$43)</f>
        <v>#VALUE!</v>
      </c>
      <c r="F53" s="2" t="e">
        <f>BowlSplit(#REF!,$C$43)</f>
        <v>#VALUE!</v>
      </c>
      <c r="G53" s="2">
        <f t="shared" ref="G53:AR53" si="46">BowlSplit(G16,$C$43)</f>
        <v>1</v>
      </c>
      <c r="H53" s="2">
        <f t="shared" si="46"/>
        <v>1</v>
      </c>
      <c r="I53" s="2">
        <f t="shared" si="46"/>
        <v>0</v>
      </c>
      <c r="J53" s="2">
        <f t="shared" si="46"/>
        <v>0</v>
      </c>
      <c r="K53" s="2">
        <f t="shared" si="46"/>
        <v>0</v>
      </c>
      <c r="L53" s="2">
        <f t="shared" si="46"/>
        <v>0</v>
      </c>
      <c r="M53" s="2">
        <f t="shared" si="46"/>
        <v>0</v>
      </c>
      <c r="N53" s="2">
        <f t="shared" si="46"/>
        <v>1</v>
      </c>
      <c r="O53" s="2">
        <f t="shared" si="46"/>
        <v>0</v>
      </c>
      <c r="P53" s="2">
        <f t="shared" si="46"/>
        <v>0</v>
      </c>
      <c r="Q53" s="2">
        <f t="shared" si="46"/>
        <v>2</v>
      </c>
      <c r="R53" s="2">
        <f t="shared" si="46"/>
        <v>0</v>
      </c>
      <c r="S53" s="2">
        <f t="shared" si="46"/>
        <v>0</v>
      </c>
      <c r="T53" s="2">
        <f t="shared" si="46"/>
        <v>0</v>
      </c>
      <c r="U53" s="2">
        <f t="shared" si="46"/>
        <v>0</v>
      </c>
      <c r="V53" s="2">
        <f t="shared" si="46"/>
        <v>0</v>
      </c>
      <c r="W53" s="2">
        <f t="shared" si="46"/>
        <v>0</v>
      </c>
      <c r="X53" s="2">
        <f t="shared" si="46"/>
        <v>0</v>
      </c>
      <c r="Y53" s="2">
        <f t="shared" si="46"/>
        <v>0</v>
      </c>
      <c r="Z53" s="2">
        <f t="shared" si="46"/>
        <v>0</v>
      </c>
      <c r="AA53" s="2">
        <f t="shared" si="46"/>
        <v>0</v>
      </c>
      <c r="AB53" s="2">
        <f t="shared" si="46"/>
        <v>0</v>
      </c>
      <c r="AC53" s="2">
        <f t="shared" si="46"/>
        <v>0</v>
      </c>
      <c r="AD53" s="2">
        <f t="shared" si="46"/>
        <v>0</v>
      </c>
      <c r="AE53" s="2">
        <f t="shared" si="46"/>
        <v>0</v>
      </c>
      <c r="AF53" s="2">
        <f t="shared" si="46"/>
        <v>0</v>
      </c>
      <c r="AG53" s="2">
        <f t="shared" si="46"/>
        <v>0</v>
      </c>
      <c r="AH53" s="2">
        <f t="shared" si="46"/>
        <v>0</v>
      </c>
      <c r="AI53" s="2">
        <f t="shared" si="46"/>
        <v>0</v>
      </c>
      <c r="AJ53" s="2">
        <f t="shared" si="46"/>
        <v>0</v>
      </c>
      <c r="AK53" s="2">
        <f t="shared" si="46"/>
        <v>0</v>
      </c>
      <c r="AL53" s="2">
        <f t="shared" si="46"/>
        <v>0</v>
      </c>
      <c r="AM53" s="2">
        <f t="shared" si="46"/>
        <v>0</v>
      </c>
      <c r="AN53" s="2">
        <f t="shared" si="46"/>
        <v>0</v>
      </c>
      <c r="AO53" s="2">
        <f t="shared" si="46"/>
        <v>0</v>
      </c>
      <c r="AP53" s="2">
        <f t="shared" si="46"/>
        <v>0</v>
      </c>
      <c r="AQ53" s="2">
        <f t="shared" si="46"/>
        <v>0</v>
      </c>
      <c r="AR53" s="2">
        <f t="shared" si="46"/>
        <v>0</v>
      </c>
    </row>
    <row r="54" spans="3:83" x14ac:dyDescent="0.15">
      <c r="C54" s="2">
        <f>BowlSplit(C19,$C$43)</f>
        <v>0</v>
      </c>
      <c r="D54" s="2">
        <f>BowlSplit(D19,$C$43)</f>
        <v>0</v>
      </c>
      <c r="E54" s="2">
        <f>BowlSplit(E19,$C$43)</f>
        <v>0</v>
      </c>
      <c r="F54" s="2">
        <f>BowlSplit(F19,$C$43)</f>
        <v>0</v>
      </c>
      <c r="G54" s="2" t="e">
        <f>BowlSplit(#REF!,$C$43)</f>
        <v>#VALUE!</v>
      </c>
      <c r="H54" s="2" t="e">
        <f>BowlSplit(#REF!,$C$43)</f>
        <v>#VALUE!</v>
      </c>
      <c r="I54" s="2" t="e">
        <f>BowlSplit(#REF!,$C$43)</f>
        <v>#VALUE!</v>
      </c>
      <c r="J54" s="2" t="e">
        <f>BowlSplit(#REF!,$C$43)</f>
        <v>#VALUE!</v>
      </c>
      <c r="K54" s="2" t="e">
        <f>BowlSplit(#REF!,$C$43)</f>
        <v>#VALUE!</v>
      </c>
      <c r="L54" s="2" t="e">
        <f>BowlSplit(#REF!,$C$43)</f>
        <v>#VALUE!</v>
      </c>
      <c r="M54" s="2" t="e">
        <f>BowlSplit(#REF!,$C$43)</f>
        <v>#VALUE!</v>
      </c>
      <c r="N54" s="2" t="e">
        <f>BowlSplit(#REF!,$C$43)</f>
        <v>#VALUE!</v>
      </c>
      <c r="O54" s="2" t="e">
        <f>BowlSplit(#REF!,$C$43)</f>
        <v>#VALUE!</v>
      </c>
      <c r="P54" s="2" t="e">
        <f>BowlSplit(#REF!,$C$43)</f>
        <v>#VALUE!</v>
      </c>
      <c r="Q54" s="2" t="e">
        <f>BowlSplit(#REF!,$C$43)</f>
        <v>#VALUE!</v>
      </c>
      <c r="R54" s="2" t="e">
        <f>BowlSplit(#REF!,$C$43)</f>
        <v>#VALUE!</v>
      </c>
      <c r="S54" s="2" t="e">
        <f>BowlSplit(#REF!,$C$43)</f>
        <v>#VALUE!</v>
      </c>
      <c r="T54" s="2" t="e">
        <f>BowlSplit(#REF!,$C$43)</f>
        <v>#VALUE!</v>
      </c>
      <c r="U54" s="2" t="e">
        <f>BowlSplit(#REF!,$C$43)</f>
        <v>#VALUE!</v>
      </c>
      <c r="V54" s="2" t="e">
        <f>BowlSplit(#REF!,$C$43)</f>
        <v>#VALUE!</v>
      </c>
      <c r="W54" s="2" t="e">
        <f>BowlSplit(#REF!,$C$43)</f>
        <v>#VALUE!</v>
      </c>
      <c r="X54" s="2" t="e">
        <f>BowlSplit(#REF!,$C$43)</f>
        <v>#VALUE!</v>
      </c>
      <c r="Y54" s="2" t="e">
        <f>BowlSplit(#REF!,$C$43)</f>
        <v>#VALUE!</v>
      </c>
      <c r="Z54" s="2" t="e">
        <f>BowlSplit(#REF!,$C$43)</f>
        <v>#VALUE!</v>
      </c>
      <c r="AA54" s="2" t="e">
        <f>BowlSplit(#REF!,$C$43)</f>
        <v>#VALUE!</v>
      </c>
      <c r="AB54" s="2" t="e">
        <f>BowlSplit(#REF!,$C$43)</f>
        <v>#VALUE!</v>
      </c>
      <c r="AC54" s="2" t="e">
        <f>BowlSplit(#REF!,$C$43)</f>
        <v>#VALUE!</v>
      </c>
      <c r="AD54" s="2" t="e">
        <f>BowlSplit(#REF!,$C$43)</f>
        <v>#VALUE!</v>
      </c>
      <c r="AE54" s="2" t="e">
        <f>BowlSplit(#REF!,$C$43)</f>
        <v>#VALUE!</v>
      </c>
      <c r="AF54" s="2" t="e">
        <f>BowlSplit(#REF!,$C$43)</f>
        <v>#VALUE!</v>
      </c>
      <c r="AG54" s="2" t="e">
        <f>BowlSplit(#REF!,$C$43)</f>
        <v>#VALUE!</v>
      </c>
      <c r="AH54" s="2" t="e">
        <f>BowlSplit(#REF!,$C$43)</f>
        <v>#VALUE!</v>
      </c>
      <c r="AI54" s="2" t="e">
        <f>BowlSplit(#REF!,$C$43)</f>
        <v>#VALUE!</v>
      </c>
      <c r="AJ54" s="2" t="e">
        <f>BowlSplit(#REF!,$C$43)</f>
        <v>#VALUE!</v>
      </c>
      <c r="AK54" s="2" t="e">
        <f>BowlSplit(#REF!,$C$43)</f>
        <v>#VALUE!</v>
      </c>
      <c r="AL54" s="2" t="e">
        <f>BowlSplit(#REF!,$C$43)</f>
        <v>#VALUE!</v>
      </c>
      <c r="AM54" s="2" t="e">
        <f>BowlSplit(#REF!,$C$43)</f>
        <v>#VALUE!</v>
      </c>
      <c r="AN54" s="2" t="e">
        <f>BowlSplit(#REF!,$C$43)</f>
        <v>#VALUE!</v>
      </c>
      <c r="AO54" s="2" t="e">
        <f>BowlSplit(#REF!,$C$43)</f>
        <v>#VALUE!</v>
      </c>
      <c r="AP54" s="2" t="e">
        <f>BowlSplit(#REF!,$C$43)</f>
        <v>#VALUE!</v>
      </c>
      <c r="AQ54" s="2" t="e">
        <f>BowlSplit(#REF!,$C$43)</f>
        <v>#VALUE!</v>
      </c>
      <c r="AR54" s="2" t="e">
        <f>BowlSplit(#REF!,$C$43)</f>
        <v>#VALUE!</v>
      </c>
    </row>
    <row r="55" spans="3:83" x14ac:dyDescent="0.15">
      <c r="C55" s="2">
        <f t="shared" ref="C55:F57" si="47">BowlSplit(C20,$C$43)</f>
        <v>0</v>
      </c>
      <c r="D55" s="2">
        <f t="shared" si="47"/>
        <v>0</v>
      </c>
      <c r="E55" s="2">
        <f t="shared" si="47"/>
        <v>0</v>
      </c>
      <c r="F55" s="2">
        <f t="shared" si="47"/>
        <v>0</v>
      </c>
      <c r="G55" s="2" t="e">
        <f>BowlSplit(#REF!,$C$43)</f>
        <v>#VALUE!</v>
      </c>
      <c r="H55" s="2" t="e">
        <f>BowlSplit(#REF!,$C$43)</f>
        <v>#VALUE!</v>
      </c>
      <c r="I55" s="2" t="e">
        <f>BowlSplit(#REF!,$C$43)</f>
        <v>#VALUE!</v>
      </c>
      <c r="J55" s="2" t="e">
        <f>BowlSplit(#REF!,$C$43)</f>
        <v>#VALUE!</v>
      </c>
      <c r="K55" s="2" t="e">
        <f>BowlSplit(#REF!,$C$43)</f>
        <v>#VALUE!</v>
      </c>
      <c r="L55" s="2" t="e">
        <f>BowlSplit(#REF!,$C$43)</f>
        <v>#VALUE!</v>
      </c>
      <c r="M55" s="2" t="e">
        <f>BowlSplit(#REF!,$C$43)</f>
        <v>#VALUE!</v>
      </c>
      <c r="N55" s="2" t="e">
        <f>BowlSplit(#REF!,$C$43)</f>
        <v>#VALUE!</v>
      </c>
      <c r="O55" s="2" t="e">
        <f>BowlSplit(#REF!,$C$43)</f>
        <v>#VALUE!</v>
      </c>
      <c r="P55" s="2" t="e">
        <f>BowlSplit(#REF!,$C$43)</f>
        <v>#VALUE!</v>
      </c>
      <c r="Q55" s="2" t="e">
        <f>BowlSplit(#REF!,$C$43)</f>
        <v>#VALUE!</v>
      </c>
      <c r="R55" s="2" t="e">
        <f>BowlSplit(#REF!,$C$43)</f>
        <v>#VALUE!</v>
      </c>
      <c r="S55" s="2" t="e">
        <f>BowlSplit(#REF!,$C$43)</f>
        <v>#VALUE!</v>
      </c>
      <c r="T55" s="2" t="e">
        <f>BowlSplit(#REF!,$C$43)</f>
        <v>#VALUE!</v>
      </c>
      <c r="U55" s="2" t="e">
        <f>BowlSplit(#REF!,$C$43)</f>
        <v>#VALUE!</v>
      </c>
      <c r="V55" s="2" t="e">
        <f>BowlSplit(#REF!,$C$43)</f>
        <v>#VALUE!</v>
      </c>
      <c r="W55" s="2" t="e">
        <f>BowlSplit(#REF!,$C$43)</f>
        <v>#VALUE!</v>
      </c>
      <c r="X55" s="2" t="e">
        <f>BowlSplit(#REF!,$C$43)</f>
        <v>#VALUE!</v>
      </c>
      <c r="Y55" s="2" t="e">
        <f>BowlSplit(#REF!,$C$43)</f>
        <v>#VALUE!</v>
      </c>
      <c r="Z55" s="2" t="e">
        <f>BowlSplit(#REF!,$C$43)</f>
        <v>#VALUE!</v>
      </c>
      <c r="AA55" s="2" t="e">
        <f>BowlSplit(#REF!,$C$43)</f>
        <v>#VALUE!</v>
      </c>
      <c r="AB55" s="2" t="e">
        <f>BowlSplit(#REF!,$C$43)</f>
        <v>#VALUE!</v>
      </c>
      <c r="AC55" s="2" t="e">
        <f>BowlSplit(#REF!,$C$43)</f>
        <v>#VALUE!</v>
      </c>
      <c r="AD55" s="2" t="e">
        <f>BowlSplit(#REF!,$C$43)</f>
        <v>#VALUE!</v>
      </c>
      <c r="AE55" s="2" t="e">
        <f>BowlSplit(#REF!,$C$43)</f>
        <v>#VALUE!</v>
      </c>
      <c r="AF55" s="2" t="e">
        <f>BowlSplit(#REF!,$C$43)</f>
        <v>#VALUE!</v>
      </c>
      <c r="AG55" s="2" t="e">
        <f>BowlSplit(#REF!,$C$43)</f>
        <v>#VALUE!</v>
      </c>
      <c r="AH55" s="2" t="e">
        <f>BowlSplit(#REF!,$C$43)</f>
        <v>#VALUE!</v>
      </c>
      <c r="AI55" s="2" t="e">
        <f>BowlSplit(#REF!,$C$43)</f>
        <v>#VALUE!</v>
      </c>
      <c r="AJ55" s="2" t="e">
        <f>BowlSplit(#REF!,$C$43)</f>
        <v>#VALUE!</v>
      </c>
      <c r="AK55" s="2" t="e">
        <f>BowlSplit(#REF!,$C$43)</f>
        <v>#VALUE!</v>
      </c>
      <c r="AL55" s="2" t="e">
        <f>BowlSplit(#REF!,$C$43)</f>
        <v>#VALUE!</v>
      </c>
      <c r="AM55" s="2" t="e">
        <f>BowlSplit(#REF!,$C$43)</f>
        <v>#VALUE!</v>
      </c>
      <c r="AN55" s="2" t="e">
        <f>BowlSplit(#REF!,$C$43)</f>
        <v>#VALUE!</v>
      </c>
      <c r="AO55" s="2" t="e">
        <f>BowlSplit(#REF!,$C$43)</f>
        <v>#VALUE!</v>
      </c>
      <c r="AP55" s="2" t="e">
        <f>BowlSplit(#REF!,$C$43)</f>
        <v>#VALUE!</v>
      </c>
      <c r="AQ55" s="2" t="e">
        <f>BowlSplit(#REF!,$C$43)</f>
        <v>#VALUE!</v>
      </c>
      <c r="AR55" s="2" t="e">
        <f>BowlSplit(#REF!,$C$43)</f>
        <v>#VALUE!</v>
      </c>
    </row>
    <row r="56" spans="3:83" x14ac:dyDescent="0.15">
      <c r="C56" s="2">
        <f t="shared" si="47"/>
        <v>0</v>
      </c>
      <c r="D56" s="2">
        <f t="shared" si="47"/>
        <v>0</v>
      </c>
      <c r="E56" s="2">
        <f t="shared" si="47"/>
        <v>0</v>
      </c>
      <c r="F56" s="2">
        <f t="shared" si="47"/>
        <v>2</v>
      </c>
      <c r="G56" s="2">
        <f t="shared" ref="G56:AR56" si="48">BowlSplit(G18,$C$43)</f>
        <v>0</v>
      </c>
      <c r="H56" s="2">
        <f t="shared" si="48"/>
        <v>0</v>
      </c>
      <c r="I56" s="2">
        <f t="shared" si="48"/>
        <v>0</v>
      </c>
      <c r="J56" s="2">
        <f t="shared" si="48"/>
        <v>0</v>
      </c>
      <c r="K56" s="2">
        <f t="shared" si="48"/>
        <v>0</v>
      </c>
      <c r="L56" s="2">
        <f t="shared" si="48"/>
        <v>0</v>
      </c>
      <c r="M56" s="2">
        <f t="shared" si="48"/>
        <v>0</v>
      </c>
      <c r="N56" s="2">
        <f t="shared" si="48"/>
        <v>2</v>
      </c>
      <c r="O56" s="2">
        <f t="shared" si="48"/>
        <v>1</v>
      </c>
      <c r="P56" s="2">
        <f t="shared" si="48"/>
        <v>0</v>
      </c>
      <c r="Q56" s="2">
        <f t="shared" si="48"/>
        <v>0</v>
      </c>
      <c r="R56" s="2">
        <f t="shared" si="48"/>
        <v>0</v>
      </c>
      <c r="S56" s="2">
        <f t="shared" si="48"/>
        <v>0</v>
      </c>
      <c r="T56" s="2">
        <f t="shared" si="48"/>
        <v>0</v>
      </c>
      <c r="U56" s="2">
        <f t="shared" si="48"/>
        <v>0</v>
      </c>
      <c r="V56" s="2">
        <f t="shared" si="48"/>
        <v>0</v>
      </c>
      <c r="W56" s="2">
        <f t="shared" si="48"/>
        <v>0</v>
      </c>
      <c r="X56" s="2">
        <f t="shared" si="48"/>
        <v>0</v>
      </c>
      <c r="Y56" s="2">
        <f t="shared" si="48"/>
        <v>0</v>
      </c>
      <c r="Z56" s="2">
        <f t="shared" si="48"/>
        <v>0</v>
      </c>
      <c r="AA56" s="2">
        <f t="shared" si="48"/>
        <v>0</v>
      </c>
      <c r="AB56" s="2">
        <f t="shared" si="48"/>
        <v>0</v>
      </c>
      <c r="AC56" s="2">
        <f t="shared" si="48"/>
        <v>0</v>
      </c>
      <c r="AD56" s="2">
        <f t="shared" si="48"/>
        <v>0</v>
      </c>
      <c r="AE56" s="2">
        <f t="shared" si="48"/>
        <v>0</v>
      </c>
      <c r="AF56" s="2">
        <f t="shared" si="48"/>
        <v>0</v>
      </c>
      <c r="AG56" s="2">
        <f t="shared" si="48"/>
        <v>0</v>
      </c>
      <c r="AH56" s="2">
        <f t="shared" si="48"/>
        <v>0</v>
      </c>
      <c r="AI56" s="2">
        <f t="shared" si="48"/>
        <v>0</v>
      </c>
      <c r="AJ56" s="2">
        <f t="shared" si="48"/>
        <v>0</v>
      </c>
      <c r="AK56" s="2">
        <f t="shared" si="48"/>
        <v>0</v>
      </c>
      <c r="AL56" s="2">
        <f t="shared" si="48"/>
        <v>0</v>
      </c>
      <c r="AM56" s="2">
        <f t="shared" si="48"/>
        <v>0</v>
      </c>
      <c r="AN56" s="2">
        <f t="shared" si="48"/>
        <v>0</v>
      </c>
      <c r="AO56" s="2">
        <f t="shared" si="48"/>
        <v>0</v>
      </c>
      <c r="AP56" s="2">
        <f t="shared" si="48"/>
        <v>0</v>
      </c>
      <c r="AQ56" s="2">
        <f t="shared" si="48"/>
        <v>0</v>
      </c>
      <c r="AR56" s="2">
        <f t="shared" si="48"/>
        <v>0</v>
      </c>
    </row>
    <row r="57" spans="3:83" x14ac:dyDescent="0.15">
      <c r="C57" s="2">
        <f t="shared" si="47"/>
        <v>3</v>
      </c>
      <c r="D57" s="2">
        <f t="shared" si="47"/>
        <v>0</v>
      </c>
      <c r="E57" s="2">
        <f t="shared" si="47"/>
        <v>0</v>
      </c>
      <c r="F57" s="2">
        <f t="shared" si="47"/>
        <v>0</v>
      </c>
      <c r="G57" s="2">
        <f t="shared" ref="G57:AR57" si="49">BowlSplit(G19,$C$43)</f>
        <v>0</v>
      </c>
      <c r="H57" s="2">
        <f t="shared" si="49"/>
        <v>0</v>
      </c>
      <c r="I57" s="2">
        <f t="shared" si="49"/>
        <v>0</v>
      </c>
      <c r="J57" s="2">
        <f t="shared" si="49"/>
        <v>0</v>
      </c>
      <c r="K57" s="2">
        <f t="shared" si="49"/>
        <v>0</v>
      </c>
      <c r="L57" s="2">
        <f t="shared" si="49"/>
        <v>0</v>
      </c>
      <c r="M57" s="2">
        <f t="shared" si="49"/>
        <v>0</v>
      </c>
      <c r="N57" s="2">
        <f t="shared" si="49"/>
        <v>0</v>
      </c>
      <c r="O57" s="2">
        <f t="shared" si="49"/>
        <v>2</v>
      </c>
      <c r="P57" s="2">
        <f t="shared" si="49"/>
        <v>0</v>
      </c>
      <c r="Q57" s="2">
        <f t="shared" si="49"/>
        <v>0</v>
      </c>
      <c r="R57" s="2">
        <f t="shared" si="49"/>
        <v>0</v>
      </c>
      <c r="S57" s="2">
        <f t="shared" si="49"/>
        <v>0</v>
      </c>
      <c r="T57" s="2">
        <f t="shared" si="49"/>
        <v>0</v>
      </c>
      <c r="U57" s="2">
        <f t="shared" si="49"/>
        <v>0</v>
      </c>
      <c r="V57" s="2">
        <f t="shared" si="49"/>
        <v>0</v>
      </c>
      <c r="W57" s="2">
        <f t="shared" si="49"/>
        <v>0</v>
      </c>
      <c r="X57" s="2">
        <f t="shared" si="49"/>
        <v>0</v>
      </c>
      <c r="Y57" s="2">
        <f t="shared" si="49"/>
        <v>0</v>
      </c>
      <c r="Z57" s="2">
        <f t="shared" si="49"/>
        <v>0</v>
      </c>
      <c r="AA57" s="2">
        <f t="shared" si="49"/>
        <v>0</v>
      </c>
      <c r="AB57" s="2">
        <f t="shared" si="49"/>
        <v>0</v>
      </c>
      <c r="AC57" s="2">
        <f t="shared" si="49"/>
        <v>0</v>
      </c>
      <c r="AD57" s="2">
        <f t="shared" si="49"/>
        <v>0</v>
      </c>
      <c r="AE57" s="2">
        <f t="shared" si="49"/>
        <v>0</v>
      </c>
      <c r="AF57" s="2">
        <f t="shared" si="49"/>
        <v>0</v>
      </c>
      <c r="AG57" s="2">
        <f t="shared" si="49"/>
        <v>0</v>
      </c>
      <c r="AH57" s="2">
        <f t="shared" si="49"/>
        <v>0</v>
      </c>
      <c r="AI57" s="2">
        <f t="shared" si="49"/>
        <v>0</v>
      </c>
      <c r="AJ57" s="2">
        <f t="shared" si="49"/>
        <v>0</v>
      </c>
      <c r="AK57" s="2">
        <f t="shared" si="49"/>
        <v>0</v>
      </c>
      <c r="AL57" s="2">
        <f t="shared" si="49"/>
        <v>0</v>
      </c>
      <c r="AM57" s="2">
        <f t="shared" si="49"/>
        <v>0</v>
      </c>
      <c r="AN57" s="2">
        <f t="shared" si="49"/>
        <v>0</v>
      </c>
      <c r="AO57" s="2">
        <f t="shared" si="49"/>
        <v>0</v>
      </c>
      <c r="AP57" s="2">
        <f t="shared" si="49"/>
        <v>0</v>
      </c>
      <c r="AQ57" s="2">
        <f t="shared" si="49"/>
        <v>0</v>
      </c>
      <c r="AR57" s="2">
        <f t="shared" si="49"/>
        <v>0</v>
      </c>
    </row>
    <row r="58" spans="3:83" x14ac:dyDescent="0.15">
      <c r="C58" s="2">
        <f t="shared" ref="C58:F60" si="50">BowlSplit(C23,$C$43)</f>
        <v>0</v>
      </c>
      <c r="D58" s="2">
        <f t="shared" si="50"/>
        <v>0</v>
      </c>
      <c r="E58" s="2">
        <f t="shared" si="50"/>
        <v>0</v>
      </c>
      <c r="F58" s="2">
        <f t="shared" si="50"/>
        <v>1</v>
      </c>
      <c r="G58" s="2" t="e">
        <f>BowlSplit(#REF!,$C$43)</f>
        <v>#VALUE!</v>
      </c>
      <c r="H58" s="2" t="e">
        <f>BowlSplit(#REF!,$C$43)</f>
        <v>#VALUE!</v>
      </c>
      <c r="I58" s="2" t="e">
        <f>BowlSplit(#REF!,$C$43)</f>
        <v>#VALUE!</v>
      </c>
      <c r="J58" s="2" t="e">
        <f>BowlSplit(#REF!,$C$43)</f>
        <v>#VALUE!</v>
      </c>
      <c r="K58" s="2" t="e">
        <f>BowlSplit(#REF!,$C$43)</f>
        <v>#VALUE!</v>
      </c>
      <c r="L58" s="2" t="e">
        <f>BowlSplit(#REF!,$C$43)</f>
        <v>#VALUE!</v>
      </c>
      <c r="M58" s="2" t="e">
        <f>BowlSplit(#REF!,$C$43)</f>
        <v>#VALUE!</v>
      </c>
      <c r="N58" s="2" t="e">
        <f>BowlSplit(#REF!,$C$43)</f>
        <v>#VALUE!</v>
      </c>
      <c r="O58" s="2" t="e">
        <f>BowlSplit(#REF!,$C$43)</f>
        <v>#VALUE!</v>
      </c>
      <c r="P58" s="2" t="e">
        <f>BowlSplit(#REF!,$C$43)</f>
        <v>#VALUE!</v>
      </c>
      <c r="Q58" s="2" t="e">
        <f>BowlSplit(#REF!,$C$43)</f>
        <v>#VALUE!</v>
      </c>
      <c r="R58" s="2" t="e">
        <f>BowlSplit(#REF!,$C$43)</f>
        <v>#VALUE!</v>
      </c>
      <c r="S58" s="2" t="e">
        <f>BowlSplit(#REF!,$C$43)</f>
        <v>#VALUE!</v>
      </c>
      <c r="T58" s="2" t="e">
        <f>BowlSplit(#REF!,$C$43)</f>
        <v>#VALUE!</v>
      </c>
      <c r="U58" s="2" t="e">
        <f>BowlSplit(#REF!,$C$43)</f>
        <v>#VALUE!</v>
      </c>
      <c r="V58" s="2" t="e">
        <f>BowlSplit(#REF!,$C$43)</f>
        <v>#VALUE!</v>
      </c>
      <c r="W58" s="2" t="e">
        <f>BowlSplit(#REF!,$C$43)</f>
        <v>#VALUE!</v>
      </c>
      <c r="X58" s="2" t="e">
        <f>BowlSplit(#REF!,$C$43)</f>
        <v>#VALUE!</v>
      </c>
      <c r="Y58" s="2" t="e">
        <f>BowlSplit(#REF!,$C$43)</f>
        <v>#VALUE!</v>
      </c>
      <c r="Z58" s="2" t="e">
        <f>BowlSplit(#REF!,$C$43)</f>
        <v>#VALUE!</v>
      </c>
      <c r="AA58" s="2" t="e">
        <f>BowlSplit(#REF!,$C$43)</f>
        <v>#VALUE!</v>
      </c>
      <c r="AB58" s="2" t="e">
        <f>BowlSplit(#REF!,$C$43)</f>
        <v>#VALUE!</v>
      </c>
      <c r="AC58" s="2" t="e">
        <f>BowlSplit(#REF!,$C$43)</f>
        <v>#VALUE!</v>
      </c>
      <c r="AD58" s="2" t="e">
        <f>BowlSplit(#REF!,$C$43)</f>
        <v>#VALUE!</v>
      </c>
      <c r="AE58" s="2" t="e">
        <f>BowlSplit(#REF!,$C$43)</f>
        <v>#VALUE!</v>
      </c>
      <c r="AF58" s="2" t="e">
        <f>BowlSplit(#REF!,$C$43)</f>
        <v>#VALUE!</v>
      </c>
      <c r="AG58" s="2" t="e">
        <f>BowlSplit(#REF!,$C$43)</f>
        <v>#VALUE!</v>
      </c>
      <c r="AH58" s="2" t="e">
        <f>BowlSplit(#REF!,$C$43)</f>
        <v>#VALUE!</v>
      </c>
      <c r="AI58" s="2" t="e">
        <f>BowlSplit(#REF!,$C$43)</f>
        <v>#VALUE!</v>
      </c>
      <c r="AJ58" s="2" t="e">
        <f>BowlSplit(#REF!,$C$43)</f>
        <v>#VALUE!</v>
      </c>
      <c r="AK58" s="2" t="e">
        <f>BowlSplit(#REF!,$C$43)</f>
        <v>#VALUE!</v>
      </c>
      <c r="AL58" s="2" t="e">
        <f>BowlSplit(#REF!,$C$43)</f>
        <v>#VALUE!</v>
      </c>
      <c r="AM58" s="2" t="e">
        <f>BowlSplit(#REF!,$C$43)</f>
        <v>#VALUE!</v>
      </c>
      <c r="AN58" s="2" t="e">
        <f>BowlSplit(#REF!,$C$43)</f>
        <v>#VALUE!</v>
      </c>
      <c r="AO58" s="2" t="e">
        <f>BowlSplit(#REF!,$C$43)</f>
        <v>#VALUE!</v>
      </c>
      <c r="AP58" s="2" t="e">
        <f>BowlSplit(#REF!,$C$43)</f>
        <v>#VALUE!</v>
      </c>
      <c r="AQ58" s="2" t="e">
        <f>BowlSplit(#REF!,$C$43)</f>
        <v>#VALUE!</v>
      </c>
      <c r="AR58" s="2" t="e">
        <f>BowlSplit(#REF!,$C$43)</f>
        <v>#VALUE!</v>
      </c>
    </row>
    <row r="59" spans="3:83" x14ac:dyDescent="0.15">
      <c r="C59" s="2">
        <f t="shared" si="50"/>
        <v>0</v>
      </c>
      <c r="D59" s="2">
        <f t="shared" si="50"/>
        <v>0</v>
      </c>
      <c r="E59" s="2">
        <f t="shared" si="50"/>
        <v>0</v>
      </c>
      <c r="F59" s="2">
        <f t="shared" si="50"/>
        <v>0</v>
      </c>
      <c r="G59" s="2">
        <f t="shared" ref="G59:AR59" si="51">BowlSplit(G20,$C$43)</f>
        <v>0</v>
      </c>
      <c r="H59" s="2">
        <f t="shared" si="51"/>
        <v>0</v>
      </c>
      <c r="I59" s="2">
        <f t="shared" si="51"/>
        <v>0</v>
      </c>
      <c r="J59" s="2">
        <f t="shared" si="51"/>
        <v>0</v>
      </c>
      <c r="K59" s="2">
        <f t="shared" si="51"/>
        <v>0</v>
      </c>
      <c r="L59" s="2">
        <f t="shared" si="51"/>
        <v>0</v>
      </c>
      <c r="M59" s="2">
        <f t="shared" si="51"/>
        <v>0</v>
      </c>
      <c r="N59" s="2">
        <f t="shared" si="51"/>
        <v>0</v>
      </c>
      <c r="O59" s="2">
        <f t="shared" si="51"/>
        <v>0</v>
      </c>
      <c r="P59" s="2">
        <f t="shared" si="51"/>
        <v>0</v>
      </c>
      <c r="Q59" s="2">
        <f t="shared" si="51"/>
        <v>0</v>
      </c>
      <c r="R59" s="2">
        <f t="shared" si="51"/>
        <v>0</v>
      </c>
      <c r="S59" s="2">
        <f t="shared" si="51"/>
        <v>0</v>
      </c>
      <c r="T59" s="2">
        <f t="shared" si="51"/>
        <v>0</v>
      </c>
      <c r="U59" s="2">
        <f t="shared" si="51"/>
        <v>0</v>
      </c>
      <c r="V59" s="2">
        <f t="shared" si="51"/>
        <v>0</v>
      </c>
      <c r="W59" s="2">
        <f t="shared" si="51"/>
        <v>0</v>
      </c>
      <c r="X59" s="2">
        <f t="shared" si="51"/>
        <v>0</v>
      </c>
      <c r="Y59" s="2">
        <f t="shared" si="51"/>
        <v>0</v>
      </c>
      <c r="Z59" s="2">
        <f t="shared" si="51"/>
        <v>0</v>
      </c>
      <c r="AA59" s="2">
        <f t="shared" si="51"/>
        <v>0</v>
      </c>
      <c r="AB59" s="2">
        <f t="shared" si="51"/>
        <v>0</v>
      </c>
      <c r="AC59" s="2">
        <f t="shared" si="51"/>
        <v>0</v>
      </c>
      <c r="AD59" s="2">
        <f t="shared" si="51"/>
        <v>0</v>
      </c>
      <c r="AE59" s="2">
        <f t="shared" si="51"/>
        <v>0</v>
      </c>
      <c r="AF59" s="2">
        <f t="shared" si="51"/>
        <v>0</v>
      </c>
      <c r="AG59" s="2">
        <f t="shared" si="51"/>
        <v>0</v>
      </c>
      <c r="AH59" s="2">
        <f t="shared" si="51"/>
        <v>0</v>
      </c>
      <c r="AI59" s="2">
        <f t="shared" si="51"/>
        <v>0</v>
      </c>
      <c r="AJ59" s="2">
        <f t="shared" si="51"/>
        <v>0</v>
      </c>
      <c r="AK59" s="2">
        <f t="shared" si="51"/>
        <v>0</v>
      </c>
      <c r="AL59" s="2">
        <f t="shared" si="51"/>
        <v>0</v>
      </c>
      <c r="AM59" s="2">
        <f t="shared" si="51"/>
        <v>0</v>
      </c>
      <c r="AN59" s="2">
        <f t="shared" si="51"/>
        <v>0</v>
      </c>
      <c r="AO59" s="2">
        <f t="shared" si="51"/>
        <v>0</v>
      </c>
      <c r="AP59" s="2">
        <f t="shared" si="51"/>
        <v>0</v>
      </c>
      <c r="AQ59" s="2">
        <f t="shared" si="51"/>
        <v>0</v>
      </c>
      <c r="AR59" s="2">
        <f t="shared" si="51"/>
        <v>0</v>
      </c>
    </row>
    <row r="60" spans="3:83" x14ac:dyDescent="0.15">
      <c r="C60" s="2">
        <f t="shared" si="50"/>
        <v>0</v>
      </c>
      <c r="D60" s="2">
        <f t="shared" si="50"/>
        <v>0</v>
      </c>
      <c r="E60" s="2">
        <f t="shared" si="50"/>
        <v>0</v>
      </c>
      <c r="F60" s="2">
        <f t="shared" si="50"/>
        <v>0</v>
      </c>
      <c r="G60" s="2">
        <f t="shared" ref="G60:AR60" si="52">BowlSplit(G21,$C$43)</f>
        <v>2</v>
      </c>
      <c r="H60" s="2">
        <f t="shared" si="52"/>
        <v>0</v>
      </c>
      <c r="I60" s="2">
        <f t="shared" si="52"/>
        <v>1</v>
      </c>
      <c r="J60" s="2">
        <f t="shared" si="52"/>
        <v>0</v>
      </c>
      <c r="K60" s="2">
        <f t="shared" si="52"/>
        <v>1</v>
      </c>
      <c r="L60" s="2">
        <f t="shared" si="52"/>
        <v>2</v>
      </c>
      <c r="M60" s="2">
        <f t="shared" si="52"/>
        <v>1</v>
      </c>
      <c r="N60" s="2">
        <f t="shared" si="52"/>
        <v>1</v>
      </c>
      <c r="O60" s="2">
        <f t="shared" si="52"/>
        <v>1</v>
      </c>
      <c r="P60" s="2">
        <f t="shared" si="52"/>
        <v>0</v>
      </c>
      <c r="Q60" s="2">
        <f t="shared" si="52"/>
        <v>2</v>
      </c>
      <c r="R60" s="2">
        <f t="shared" si="52"/>
        <v>0</v>
      </c>
      <c r="S60" s="2">
        <f t="shared" si="52"/>
        <v>0</v>
      </c>
      <c r="T60" s="2">
        <f t="shared" si="52"/>
        <v>0</v>
      </c>
      <c r="U60" s="2">
        <f t="shared" si="52"/>
        <v>0</v>
      </c>
      <c r="V60" s="2">
        <f t="shared" si="52"/>
        <v>0</v>
      </c>
      <c r="W60" s="2">
        <f t="shared" si="52"/>
        <v>0</v>
      </c>
      <c r="X60" s="2">
        <f t="shared" si="52"/>
        <v>0</v>
      </c>
      <c r="Y60" s="2">
        <f t="shared" si="52"/>
        <v>0</v>
      </c>
      <c r="Z60" s="2">
        <f t="shared" si="52"/>
        <v>0</v>
      </c>
      <c r="AA60" s="2">
        <f t="shared" si="52"/>
        <v>0</v>
      </c>
      <c r="AB60" s="2">
        <f t="shared" si="52"/>
        <v>0</v>
      </c>
      <c r="AC60" s="2">
        <f t="shared" si="52"/>
        <v>0</v>
      </c>
      <c r="AD60" s="2">
        <f t="shared" si="52"/>
        <v>0</v>
      </c>
      <c r="AE60" s="2">
        <f t="shared" si="52"/>
        <v>0</v>
      </c>
      <c r="AF60" s="2">
        <f t="shared" si="52"/>
        <v>0</v>
      </c>
      <c r="AG60" s="2">
        <f t="shared" si="52"/>
        <v>0</v>
      </c>
      <c r="AH60" s="2">
        <f t="shared" si="52"/>
        <v>0</v>
      </c>
      <c r="AI60" s="2">
        <f t="shared" si="52"/>
        <v>0</v>
      </c>
      <c r="AJ60" s="2">
        <f t="shared" si="52"/>
        <v>0</v>
      </c>
      <c r="AK60" s="2">
        <f t="shared" si="52"/>
        <v>0</v>
      </c>
      <c r="AL60" s="2">
        <f t="shared" si="52"/>
        <v>0</v>
      </c>
      <c r="AM60" s="2">
        <f t="shared" si="52"/>
        <v>0</v>
      </c>
      <c r="AN60" s="2">
        <f t="shared" si="52"/>
        <v>0</v>
      </c>
      <c r="AO60" s="2">
        <f t="shared" si="52"/>
        <v>0</v>
      </c>
      <c r="AP60" s="2">
        <f t="shared" si="52"/>
        <v>0</v>
      </c>
      <c r="AQ60" s="2">
        <f t="shared" si="52"/>
        <v>0</v>
      </c>
      <c r="AR60" s="2">
        <f t="shared" si="52"/>
        <v>0</v>
      </c>
    </row>
    <row r="61" spans="3:83" x14ac:dyDescent="0.15">
      <c r="C61" s="2">
        <f>BowlSplit(C26,$C$43)</f>
        <v>0</v>
      </c>
      <c r="D61" s="2">
        <f>BowlSplit(D26,$C$43)</f>
        <v>0</v>
      </c>
      <c r="E61" s="2">
        <f>BowlSplit(E26,$C$43)</f>
        <v>0</v>
      </c>
      <c r="F61" s="2">
        <f>BowlSplit(F26,$C$43)</f>
        <v>0</v>
      </c>
      <c r="G61" s="2">
        <f t="shared" ref="G61:AR61" si="53">BowlSplit(G22,$C$43)</f>
        <v>0</v>
      </c>
      <c r="H61" s="2">
        <f t="shared" si="53"/>
        <v>0</v>
      </c>
      <c r="I61" s="2">
        <f t="shared" si="53"/>
        <v>0</v>
      </c>
      <c r="J61" s="2">
        <f t="shared" si="53"/>
        <v>0</v>
      </c>
      <c r="K61" s="2">
        <f t="shared" si="53"/>
        <v>0</v>
      </c>
      <c r="L61" s="2">
        <f t="shared" si="53"/>
        <v>0</v>
      </c>
      <c r="M61" s="2">
        <f t="shared" si="53"/>
        <v>0</v>
      </c>
      <c r="N61" s="2">
        <f t="shared" si="53"/>
        <v>0</v>
      </c>
      <c r="O61" s="2">
        <f t="shared" si="53"/>
        <v>0</v>
      </c>
      <c r="P61" s="2">
        <f t="shared" si="53"/>
        <v>0</v>
      </c>
      <c r="Q61" s="2">
        <f t="shared" si="53"/>
        <v>0</v>
      </c>
      <c r="R61" s="2">
        <f t="shared" si="53"/>
        <v>0</v>
      </c>
      <c r="S61" s="2">
        <f t="shared" si="53"/>
        <v>0</v>
      </c>
      <c r="T61" s="2">
        <f t="shared" si="53"/>
        <v>0</v>
      </c>
      <c r="U61" s="2">
        <f t="shared" si="53"/>
        <v>0</v>
      </c>
      <c r="V61" s="2">
        <f t="shared" si="53"/>
        <v>0</v>
      </c>
      <c r="W61" s="2">
        <f t="shared" si="53"/>
        <v>0</v>
      </c>
      <c r="X61" s="2">
        <f t="shared" si="53"/>
        <v>0</v>
      </c>
      <c r="Y61" s="2">
        <f t="shared" si="53"/>
        <v>0</v>
      </c>
      <c r="Z61" s="2">
        <f t="shared" si="53"/>
        <v>0</v>
      </c>
      <c r="AA61" s="2">
        <f t="shared" si="53"/>
        <v>0</v>
      </c>
      <c r="AB61" s="2">
        <f t="shared" si="53"/>
        <v>0</v>
      </c>
      <c r="AC61" s="2">
        <f t="shared" si="53"/>
        <v>0</v>
      </c>
      <c r="AD61" s="2">
        <f t="shared" si="53"/>
        <v>0</v>
      </c>
      <c r="AE61" s="2">
        <f t="shared" si="53"/>
        <v>0</v>
      </c>
      <c r="AF61" s="2">
        <f t="shared" si="53"/>
        <v>0</v>
      </c>
      <c r="AG61" s="2">
        <f t="shared" si="53"/>
        <v>0</v>
      </c>
      <c r="AH61" s="2">
        <f t="shared" si="53"/>
        <v>0</v>
      </c>
      <c r="AI61" s="2">
        <f t="shared" si="53"/>
        <v>0</v>
      </c>
      <c r="AJ61" s="2">
        <f t="shared" si="53"/>
        <v>0</v>
      </c>
      <c r="AK61" s="2">
        <f t="shared" si="53"/>
        <v>0</v>
      </c>
      <c r="AL61" s="2">
        <f t="shared" si="53"/>
        <v>0</v>
      </c>
      <c r="AM61" s="2">
        <f t="shared" si="53"/>
        <v>0</v>
      </c>
      <c r="AN61" s="2">
        <f t="shared" si="53"/>
        <v>0</v>
      </c>
      <c r="AO61" s="2">
        <f t="shared" si="53"/>
        <v>0</v>
      </c>
      <c r="AP61" s="2">
        <f t="shared" si="53"/>
        <v>0</v>
      </c>
      <c r="AQ61" s="2">
        <f t="shared" si="53"/>
        <v>0</v>
      </c>
      <c r="AR61" s="2">
        <f t="shared" si="53"/>
        <v>0</v>
      </c>
    </row>
    <row r="62" spans="3:83" x14ac:dyDescent="0.15">
      <c r="C62" s="2">
        <f>BowlSplit(C28,$C$43)</f>
        <v>0</v>
      </c>
      <c r="D62" s="2">
        <f>BowlSplit(D28,$C$43)</f>
        <v>0</v>
      </c>
      <c r="E62" s="2">
        <f>BowlSplit(E28,$C$43)</f>
        <v>0</v>
      </c>
      <c r="F62" s="2">
        <f>BowlSplit(F28,$C$43)</f>
        <v>0</v>
      </c>
      <c r="G62" s="2" t="e">
        <f>BowlSplit(#REF!,$C$43)</f>
        <v>#VALUE!</v>
      </c>
      <c r="H62" s="2" t="e">
        <f>BowlSplit(#REF!,$C$43)</f>
        <v>#VALUE!</v>
      </c>
      <c r="I62" s="2" t="e">
        <f>BowlSplit(#REF!,$C$43)</f>
        <v>#VALUE!</v>
      </c>
      <c r="J62" s="2" t="e">
        <f>BowlSplit(#REF!,$C$43)</f>
        <v>#VALUE!</v>
      </c>
      <c r="K62" s="2" t="e">
        <f>BowlSplit(#REF!,$C$43)</f>
        <v>#VALUE!</v>
      </c>
      <c r="L62" s="2" t="e">
        <f>BowlSplit(#REF!,$C$43)</f>
        <v>#VALUE!</v>
      </c>
      <c r="M62" s="2" t="e">
        <f>BowlSplit(#REF!,$C$43)</f>
        <v>#VALUE!</v>
      </c>
      <c r="N62" s="2" t="e">
        <f>BowlSplit(#REF!,$C$43)</f>
        <v>#VALUE!</v>
      </c>
      <c r="O62" s="2" t="e">
        <f>BowlSplit(#REF!,$C$43)</f>
        <v>#VALUE!</v>
      </c>
      <c r="P62" s="2" t="e">
        <f>BowlSplit(#REF!,$C$43)</f>
        <v>#VALUE!</v>
      </c>
      <c r="Q62" s="2" t="e">
        <f>BowlSplit(#REF!,$C$43)</f>
        <v>#VALUE!</v>
      </c>
      <c r="R62" s="2" t="e">
        <f>BowlSplit(#REF!,$C$43)</f>
        <v>#VALUE!</v>
      </c>
      <c r="S62" s="2" t="e">
        <f>BowlSplit(#REF!,$C$43)</f>
        <v>#VALUE!</v>
      </c>
      <c r="T62" s="2" t="e">
        <f>BowlSplit(#REF!,$C$43)</f>
        <v>#VALUE!</v>
      </c>
      <c r="U62" s="2" t="e">
        <f>BowlSplit(#REF!,$C$43)</f>
        <v>#VALUE!</v>
      </c>
      <c r="V62" s="2" t="e">
        <f>BowlSplit(#REF!,$C$43)</f>
        <v>#VALUE!</v>
      </c>
      <c r="W62" s="2" t="e">
        <f>BowlSplit(#REF!,$C$43)</f>
        <v>#VALUE!</v>
      </c>
      <c r="X62" s="2" t="e">
        <f>BowlSplit(#REF!,$C$43)</f>
        <v>#VALUE!</v>
      </c>
      <c r="Y62" s="2" t="e">
        <f>BowlSplit(#REF!,$C$43)</f>
        <v>#VALUE!</v>
      </c>
      <c r="Z62" s="2" t="e">
        <f>BowlSplit(#REF!,$C$43)</f>
        <v>#VALUE!</v>
      </c>
      <c r="AA62" s="2" t="e">
        <f>BowlSplit(#REF!,$C$43)</f>
        <v>#VALUE!</v>
      </c>
      <c r="AB62" s="2" t="e">
        <f>BowlSplit(#REF!,$C$43)</f>
        <v>#VALUE!</v>
      </c>
      <c r="AC62" s="2" t="e">
        <f>BowlSplit(#REF!,$C$43)</f>
        <v>#VALUE!</v>
      </c>
      <c r="AD62" s="2" t="e">
        <f>BowlSplit(#REF!,$C$43)</f>
        <v>#VALUE!</v>
      </c>
      <c r="AE62" s="2" t="e">
        <f>BowlSplit(#REF!,$C$43)</f>
        <v>#VALUE!</v>
      </c>
      <c r="AF62" s="2" t="e">
        <f>BowlSplit(#REF!,$C$43)</f>
        <v>#VALUE!</v>
      </c>
      <c r="AG62" s="2" t="e">
        <f>BowlSplit(#REF!,$C$43)</f>
        <v>#VALUE!</v>
      </c>
      <c r="AH62" s="2" t="e">
        <f>BowlSplit(#REF!,$C$43)</f>
        <v>#VALUE!</v>
      </c>
      <c r="AI62" s="2" t="e">
        <f>BowlSplit(#REF!,$C$43)</f>
        <v>#VALUE!</v>
      </c>
      <c r="AJ62" s="2" t="e">
        <f>BowlSplit(#REF!,$C$43)</f>
        <v>#VALUE!</v>
      </c>
      <c r="AK62" s="2" t="e">
        <f>BowlSplit(#REF!,$C$43)</f>
        <v>#VALUE!</v>
      </c>
      <c r="AL62" s="2" t="e">
        <f>BowlSplit(#REF!,$C$43)</f>
        <v>#VALUE!</v>
      </c>
      <c r="AM62" s="2" t="e">
        <f>BowlSplit(#REF!,$C$43)</f>
        <v>#VALUE!</v>
      </c>
      <c r="AN62" s="2" t="e">
        <f>BowlSplit(#REF!,$C$43)</f>
        <v>#VALUE!</v>
      </c>
      <c r="AO62" s="2" t="e">
        <f>BowlSplit(#REF!,$C$43)</f>
        <v>#VALUE!</v>
      </c>
      <c r="AP62" s="2" t="e">
        <f>BowlSplit(#REF!,$C$43)</f>
        <v>#VALUE!</v>
      </c>
      <c r="AQ62" s="2" t="e">
        <f>BowlSplit(#REF!,$C$43)</f>
        <v>#VALUE!</v>
      </c>
      <c r="AR62" s="2" t="e">
        <f>BowlSplit(#REF!,$C$43)</f>
        <v>#VALUE!</v>
      </c>
    </row>
    <row r="63" spans="3:83" x14ac:dyDescent="0.15">
      <c r="C63" s="2" t="e">
        <f>BowlSplit(#REF!,$C$43)</f>
        <v>#VALUE!</v>
      </c>
      <c r="D63" s="2" t="e">
        <f>BowlSplit(#REF!,$C$43)</f>
        <v>#VALUE!</v>
      </c>
      <c r="E63" s="2" t="e">
        <f>BowlSplit(#REF!,$C$43)</f>
        <v>#VALUE!</v>
      </c>
      <c r="F63" s="2" t="e">
        <f>BowlSplit(#REF!,$C$43)</f>
        <v>#VALUE!</v>
      </c>
      <c r="G63" s="2">
        <f t="shared" ref="G63:AR63" si="54">BowlSplit(G23,$C$43)</f>
        <v>0</v>
      </c>
      <c r="H63" s="2">
        <f t="shared" si="54"/>
        <v>0</v>
      </c>
      <c r="I63" s="2">
        <f t="shared" si="54"/>
        <v>0</v>
      </c>
      <c r="J63" s="2">
        <f t="shared" si="54"/>
        <v>0</v>
      </c>
      <c r="K63" s="2">
        <f t="shared" si="54"/>
        <v>0</v>
      </c>
      <c r="L63" s="2">
        <f t="shared" si="54"/>
        <v>0</v>
      </c>
      <c r="M63" s="2">
        <f t="shared" si="54"/>
        <v>0</v>
      </c>
      <c r="N63" s="2">
        <f t="shared" si="54"/>
        <v>0</v>
      </c>
      <c r="O63" s="2">
        <f t="shared" si="54"/>
        <v>0</v>
      </c>
      <c r="P63" s="2">
        <f t="shared" si="54"/>
        <v>0</v>
      </c>
      <c r="Q63" s="2">
        <f t="shared" si="54"/>
        <v>0</v>
      </c>
      <c r="R63" s="2">
        <f t="shared" si="54"/>
        <v>0</v>
      </c>
      <c r="S63" s="2">
        <f t="shared" si="54"/>
        <v>0</v>
      </c>
      <c r="T63" s="2">
        <f t="shared" si="54"/>
        <v>0</v>
      </c>
      <c r="U63" s="2">
        <f t="shared" si="54"/>
        <v>0</v>
      </c>
      <c r="V63" s="2">
        <f t="shared" si="54"/>
        <v>0</v>
      </c>
      <c r="W63" s="2">
        <f t="shared" si="54"/>
        <v>0</v>
      </c>
      <c r="X63" s="2">
        <f t="shared" si="54"/>
        <v>0</v>
      </c>
      <c r="Y63" s="2">
        <f t="shared" si="54"/>
        <v>0</v>
      </c>
      <c r="Z63" s="2">
        <f t="shared" si="54"/>
        <v>0</v>
      </c>
      <c r="AA63" s="2">
        <f t="shared" si="54"/>
        <v>0</v>
      </c>
      <c r="AB63" s="2">
        <f t="shared" si="54"/>
        <v>0</v>
      </c>
      <c r="AC63" s="2">
        <f t="shared" si="54"/>
        <v>0</v>
      </c>
      <c r="AD63" s="2">
        <f t="shared" si="54"/>
        <v>0</v>
      </c>
      <c r="AE63" s="2">
        <f t="shared" si="54"/>
        <v>0</v>
      </c>
      <c r="AF63" s="2">
        <f t="shared" si="54"/>
        <v>0</v>
      </c>
      <c r="AG63" s="2">
        <f t="shared" si="54"/>
        <v>0</v>
      </c>
      <c r="AH63" s="2">
        <f t="shared" si="54"/>
        <v>0</v>
      </c>
      <c r="AI63" s="2">
        <f t="shared" si="54"/>
        <v>0</v>
      </c>
      <c r="AJ63" s="2">
        <f t="shared" si="54"/>
        <v>0</v>
      </c>
      <c r="AK63" s="2">
        <f t="shared" si="54"/>
        <v>0</v>
      </c>
      <c r="AL63" s="2">
        <f t="shared" si="54"/>
        <v>0</v>
      </c>
      <c r="AM63" s="2">
        <f t="shared" si="54"/>
        <v>0</v>
      </c>
      <c r="AN63" s="2">
        <f t="shared" si="54"/>
        <v>0</v>
      </c>
      <c r="AO63" s="2">
        <f t="shared" si="54"/>
        <v>0</v>
      </c>
      <c r="AP63" s="2">
        <f t="shared" si="54"/>
        <v>0</v>
      </c>
      <c r="AQ63" s="2">
        <f t="shared" si="54"/>
        <v>0</v>
      </c>
      <c r="AR63" s="2">
        <f t="shared" si="54"/>
        <v>0</v>
      </c>
    </row>
    <row r="64" spans="3:83" x14ac:dyDescent="0.15">
      <c r="C64" s="2" t="e">
        <f>BowlSplit(#REF!,$C$43)</f>
        <v>#VALUE!</v>
      </c>
      <c r="D64" s="2" t="e">
        <f>BowlSplit(#REF!,$C$43)</f>
        <v>#VALUE!</v>
      </c>
      <c r="E64" s="2" t="e">
        <f>BowlSplit(#REF!,$C$43)</f>
        <v>#VALUE!</v>
      </c>
      <c r="F64" s="2" t="e">
        <f>BowlSplit(#REF!,$C$43)</f>
        <v>#VALUE!</v>
      </c>
      <c r="G64" s="2">
        <f t="shared" ref="G64:AR64" si="55">BowlSplit(G24,$C$43)</f>
        <v>0</v>
      </c>
      <c r="H64" s="2">
        <f t="shared" si="55"/>
        <v>0</v>
      </c>
      <c r="I64" s="2">
        <f t="shared" si="55"/>
        <v>0</v>
      </c>
      <c r="J64" s="2">
        <f t="shared" si="55"/>
        <v>0</v>
      </c>
      <c r="K64" s="2">
        <f t="shared" si="55"/>
        <v>0</v>
      </c>
      <c r="L64" s="2">
        <f t="shared" si="55"/>
        <v>0</v>
      </c>
      <c r="M64" s="2">
        <f t="shared" si="55"/>
        <v>0</v>
      </c>
      <c r="N64" s="2">
        <f t="shared" si="55"/>
        <v>0</v>
      </c>
      <c r="O64" s="2">
        <f t="shared" si="55"/>
        <v>0</v>
      </c>
      <c r="P64" s="2">
        <f t="shared" si="55"/>
        <v>0</v>
      </c>
      <c r="Q64" s="2">
        <f t="shared" si="55"/>
        <v>0</v>
      </c>
      <c r="R64" s="2">
        <f t="shared" si="55"/>
        <v>0</v>
      </c>
      <c r="S64" s="2">
        <f t="shared" si="55"/>
        <v>0</v>
      </c>
      <c r="T64" s="2">
        <f t="shared" si="55"/>
        <v>0</v>
      </c>
      <c r="U64" s="2">
        <f t="shared" si="55"/>
        <v>0</v>
      </c>
      <c r="V64" s="2">
        <f t="shared" si="55"/>
        <v>0</v>
      </c>
      <c r="W64" s="2">
        <f t="shared" si="55"/>
        <v>0</v>
      </c>
      <c r="X64" s="2">
        <f t="shared" si="55"/>
        <v>0</v>
      </c>
      <c r="Y64" s="2">
        <f t="shared" si="55"/>
        <v>0</v>
      </c>
      <c r="Z64" s="2">
        <f t="shared" si="55"/>
        <v>0</v>
      </c>
      <c r="AA64" s="2">
        <f t="shared" si="55"/>
        <v>0</v>
      </c>
      <c r="AB64" s="2">
        <f t="shared" si="55"/>
        <v>0</v>
      </c>
      <c r="AC64" s="2">
        <f t="shared" si="55"/>
        <v>0</v>
      </c>
      <c r="AD64" s="2">
        <f t="shared" si="55"/>
        <v>0</v>
      </c>
      <c r="AE64" s="2">
        <f t="shared" si="55"/>
        <v>0</v>
      </c>
      <c r="AF64" s="2">
        <f t="shared" si="55"/>
        <v>0</v>
      </c>
      <c r="AG64" s="2">
        <f t="shared" si="55"/>
        <v>0</v>
      </c>
      <c r="AH64" s="2">
        <f t="shared" si="55"/>
        <v>0</v>
      </c>
      <c r="AI64" s="2">
        <f t="shared" si="55"/>
        <v>0</v>
      </c>
      <c r="AJ64" s="2">
        <f t="shared" si="55"/>
        <v>0</v>
      </c>
      <c r="AK64" s="2">
        <f t="shared" si="55"/>
        <v>0</v>
      </c>
      <c r="AL64" s="2">
        <f t="shared" si="55"/>
        <v>0</v>
      </c>
      <c r="AM64" s="2">
        <f t="shared" si="55"/>
        <v>0</v>
      </c>
      <c r="AN64" s="2">
        <f t="shared" si="55"/>
        <v>0</v>
      </c>
      <c r="AO64" s="2">
        <f t="shared" si="55"/>
        <v>0</v>
      </c>
      <c r="AP64" s="2">
        <f t="shared" si="55"/>
        <v>0</v>
      </c>
      <c r="AQ64" s="2">
        <f t="shared" si="55"/>
        <v>0</v>
      </c>
      <c r="AR64" s="2">
        <f t="shared" si="55"/>
        <v>0</v>
      </c>
    </row>
    <row r="65" spans="3:44" x14ac:dyDescent="0.15">
      <c r="C65" s="2" t="e">
        <f>BowlSplit(#REF!,$C$43)</f>
        <v>#VALUE!</v>
      </c>
      <c r="D65" s="2" t="e">
        <f>BowlSplit(#REF!,$C$43)</f>
        <v>#VALUE!</v>
      </c>
      <c r="E65" s="2" t="e">
        <f>BowlSplit(#REF!,$C$43)</f>
        <v>#VALUE!</v>
      </c>
      <c r="F65" s="2" t="e">
        <f>BowlSplit(#REF!,$C$43)</f>
        <v>#VALUE!</v>
      </c>
      <c r="G65" s="2">
        <f t="shared" ref="G65:AR65" si="56">BowlSplit(G25,$C$43)</f>
        <v>0</v>
      </c>
      <c r="H65" s="2">
        <f t="shared" si="56"/>
        <v>0</v>
      </c>
      <c r="I65" s="2">
        <f t="shared" si="56"/>
        <v>0</v>
      </c>
      <c r="J65" s="2">
        <f t="shared" si="56"/>
        <v>0</v>
      </c>
      <c r="K65" s="2">
        <f t="shared" si="56"/>
        <v>0</v>
      </c>
      <c r="L65" s="2">
        <f t="shared" si="56"/>
        <v>0</v>
      </c>
      <c r="M65" s="2">
        <f t="shared" si="56"/>
        <v>0</v>
      </c>
      <c r="N65" s="2">
        <f t="shared" si="56"/>
        <v>0</v>
      </c>
      <c r="O65" s="2">
        <f t="shared" si="56"/>
        <v>0</v>
      </c>
      <c r="P65" s="2">
        <f t="shared" si="56"/>
        <v>0</v>
      </c>
      <c r="Q65" s="2">
        <f t="shared" si="56"/>
        <v>0</v>
      </c>
      <c r="R65" s="2">
        <f t="shared" si="56"/>
        <v>0</v>
      </c>
      <c r="S65" s="2">
        <f t="shared" si="56"/>
        <v>0</v>
      </c>
      <c r="T65" s="2">
        <f t="shared" si="56"/>
        <v>0</v>
      </c>
      <c r="U65" s="2">
        <f t="shared" si="56"/>
        <v>0</v>
      </c>
      <c r="V65" s="2">
        <f t="shared" si="56"/>
        <v>0</v>
      </c>
      <c r="W65" s="2">
        <f t="shared" si="56"/>
        <v>0</v>
      </c>
      <c r="X65" s="2">
        <f t="shared" si="56"/>
        <v>0</v>
      </c>
      <c r="Y65" s="2">
        <f t="shared" si="56"/>
        <v>0</v>
      </c>
      <c r="Z65" s="2">
        <f t="shared" si="56"/>
        <v>0</v>
      </c>
      <c r="AA65" s="2">
        <f t="shared" si="56"/>
        <v>0</v>
      </c>
      <c r="AB65" s="2">
        <f t="shared" si="56"/>
        <v>0</v>
      </c>
      <c r="AC65" s="2">
        <f t="shared" si="56"/>
        <v>0</v>
      </c>
      <c r="AD65" s="2">
        <f t="shared" si="56"/>
        <v>0</v>
      </c>
      <c r="AE65" s="2">
        <f t="shared" si="56"/>
        <v>0</v>
      </c>
      <c r="AF65" s="2">
        <f t="shared" si="56"/>
        <v>0</v>
      </c>
      <c r="AG65" s="2">
        <f t="shared" si="56"/>
        <v>0</v>
      </c>
      <c r="AH65" s="2">
        <f t="shared" si="56"/>
        <v>0</v>
      </c>
      <c r="AI65" s="2">
        <f t="shared" si="56"/>
        <v>0</v>
      </c>
      <c r="AJ65" s="2">
        <f t="shared" si="56"/>
        <v>0</v>
      </c>
      <c r="AK65" s="2">
        <f t="shared" si="56"/>
        <v>0</v>
      </c>
      <c r="AL65" s="2">
        <f t="shared" si="56"/>
        <v>0</v>
      </c>
      <c r="AM65" s="2">
        <f t="shared" si="56"/>
        <v>0</v>
      </c>
      <c r="AN65" s="2">
        <f t="shared" si="56"/>
        <v>0</v>
      </c>
      <c r="AO65" s="2">
        <f t="shared" si="56"/>
        <v>0</v>
      </c>
      <c r="AP65" s="2">
        <f t="shared" si="56"/>
        <v>0</v>
      </c>
      <c r="AQ65" s="2">
        <f t="shared" si="56"/>
        <v>0</v>
      </c>
      <c r="AR65" s="2">
        <f t="shared" si="56"/>
        <v>0</v>
      </c>
    </row>
    <row r="66" spans="3:44" x14ac:dyDescent="0.15">
      <c r="C66" s="2">
        <f t="shared" ref="C66:F68" si="57">BowlSplit(C30,$C$43)</f>
        <v>0</v>
      </c>
      <c r="D66" s="2">
        <f t="shared" si="57"/>
        <v>0</v>
      </c>
      <c r="E66" s="2">
        <f t="shared" si="57"/>
        <v>0</v>
      </c>
      <c r="F66" s="2">
        <f t="shared" si="57"/>
        <v>0</v>
      </c>
      <c r="G66" s="2" t="e">
        <f>BowlSplit(#REF!,$C$43)</f>
        <v>#VALUE!</v>
      </c>
      <c r="H66" s="2" t="e">
        <f>BowlSplit(#REF!,$C$43)</f>
        <v>#VALUE!</v>
      </c>
      <c r="I66" s="2" t="e">
        <f>BowlSplit(#REF!,$C$43)</f>
        <v>#VALUE!</v>
      </c>
      <c r="J66" s="2" t="e">
        <f>BowlSplit(#REF!,$C$43)</f>
        <v>#VALUE!</v>
      </c>
      <c r="K66" s="2" t="e">
        <f>BowlSplit(#REF!,$C$43)</f>
        <v>#VALUE!</v>
      </c>
      <c r="L66" s="2" t="e">
        <f>BowlSplit(#REF!,$C$43)</f>
        <v>#VALUE!</v>
      </c>
      <c r="M66" s="2" t="e">
        <f>BowlSplit(#REF!,$C$43)</f>
        <v>#VALUE!</v>
      </c>
      <c r="N66" s="2" t="e">
        <f>BowlSplit(#REF!,$C$43)</f>
        <v>#VALUE!</v>
      </c>
      <c r="O66" s="2" t="e">
        <f>BowlSplit(#REF!,$C$43)</f>
        <v>#VALUE!</v>
      </c>
      <c r="P66" s="2" t="e">
        <f>BowlSplit(#REF!,$C$43)</f>
        <v>#VALUE!</v>
      </c>
      <c r="Q66" s="2" t="e">
        <f>BowlSplit(#REF!,$C$43)</f>
        <v>#VALUE!</v>
      </c>
      <c r="R66" s="2" t="e">
        <f>BowlSplit(#REF!,$C$43)</f>
        <v>#VALUE!</v>
      </c>
      <c r="S66" s="2" t="e">
        <f>BowlSplit(#REF!,$C$43)</f>
        <v>#VALUE!</v>
      </c>
      <c r="T66" s="2" t="e">
        <f>BowlSplit(#REF!,$C$43)</f>
        <v>#VALUE!</v>
      </c>
      <c r="U66" s="2" t="e">
        <f>BowlSplit(#REF!,$C$43)</f>
        <v>#VALUE!</v>
      </c>
      <c r="V66" s="2" t="e">
        <f>BowlSplit(#REF!,$C$43)</f>
        <v>#VALUE!</v>
      </c>
      <c r="W66" s="2" t="e">
        <f>BowlSplit(#REF!,$C$43)</f>
        <v>#VALUE!</v>
      </c>
      <c r="X66" s="2" t="e">
        <f>BowlSplit(#REF!,$C$43)</f>
        <v>#VALUE!</v>
      </c>
      <c r="Y66" s="2" t="e">
        <f>BowlSplit(#REF!,$C$43)</f>
        <v>#VALUE!</v>
      </c>
      <c r="Z66" s="2" t="e">
        <f>BowlSplit(#REF!,$C$43)</f>
        <v>#VALUE!</v>
      </c>
      <c r="AA66" s="2" t="e">
        <f>BowlSplit(#REF!,$C$43)</f>
        <v>#VALUE!</v>
      </c>
      <c r="AB66" s="2" t="e">
        <f>BowlSplit(#REF!,$C$43)</f>
        <v>#VALUE!</v>
      </c>
      <c r="AC66" s="2" t="e">
        <f>BowlSplit(#REF!,$C$43)</f>
        <v>#VALUE!</v>
      </c>
      <c r="AD66" s="2" t="e">
        <f>BowlSplit(#REF!,$C$43)</f>
        <v>#VALUE!</v>
      </c>
      <c r="AE66" s="2" t="e">
        <f>BowlSplit(#REF!,$C$43)</f>
        <v>#VALUE!</v>
      </c>
      <c r="AF66" s="2" t="e">
        <f>BowlSplit(#REF!,$C$43)</f>
        <v>#VALUE!</v>
      </c>
      <c r="AG66" s="2" t="e">
        <f>BowlSplit(#REF!,$C$43)</f>
        <v>#VALUE!</v>
      </c>
      <c r="AH66" s="2" t="e">
        <f>BowlSplit(#REF!,$C$43)</f>
        <v>#VALUE!</v>
      </c>
      <c r="AI66" s="2" t="e">
        <f>BowlSplit(#REF!,$C$43)</f>
        <v>#VALUE!</v>
      </c>
      <c r="AJ66" s="2" t="e">
        <f>BowlSplit(#REF!,$C$43)</f>
        <v>#VALUE!</v>
      </c>
      <c r="AK66" s="2" t="e">
        <f>BowlSplit(#REF!,$C$43)</f>
        <v>#VALUE!</v>
      </c>
      <c r="AL66" s="2" t="e">
        <f>BowlSplit(#REF!,$C$43)</f>
        <v>#VALUE!</v>
      </c>
      <c r="AM66" s="2" t="e">
        <f>BowlSplit(#REF!,$C$43)</f>
        <v>#VALUE!</v>
      </c>
      <c r="AN66" s="2" t="e">
        <f>BowlSplit(#REF!,$C$43)</f>
        <v>#VALUE!</v>
      </c>
      <c r="AO66" s="2" t="e">
        <f>BowlSplit(#REF!,$C$43)</f>
        <v>#VALUE!</v>
      </c>
      <c r="AP66" s="2" t="e">
        <f>BowlSplit(#REF!,$C$43)</f>
        <v>#VALUE!</v>
      </c>
      <c r="AQ66" s="2" t="e">
        <f>BowlSplit(#REF!,$C$43)</f>
        <v>#VALUE!</v>
      </c>
      <c r="AR66" s="2" t="e">
        <f>BowlSplit(#REF!,$C$43)</f>
        <v>#VALUE!</v>
      </c>
    </row>
    <row r="67" spans="3:44" x14ac:dyDescent="0.15">
      <c r="C67" s="2">
        <f t="shared" si="57"/>
        <v>0</v>
      </c>
      <c r="D67" s="2">
        <f t="shared" si="57"/>
        <v>0</v>
      </c>
      <c r="E67" s="2">
        <f t="shared" si="57"/>
        <v>0</v>
      </c>
      <c r="F67" s="2">
        <f t="shared" si="57"/>
        <v>0</v>
      </c>
      <c r="G67" s="2">
        <f t="shared" ref="G67:AR67" si="58">BowlSplit(G26,$C$43)</f>
        <v>0</v>
      </c>
      <c r="H67" s="2">
        <f t="shared" si="58"/>
        <v>1</v>
      </c>
      <c r="I67" s="2">
        <f t="shared" si="58"/>
        <v>1</v>
      </c>
      <c r="J67" s="2">
        <f t="shared" si="58"/>
        <v>2</v>
      </c>
      <c r="K67" s="2">
        <f t="shared" si="58"/>
        <v>1</v>
      </c>
      <c r="L67" s="2">
        <f t="shared" si="58"/>
        <v>0</v>
      </c>
      <c r="M67" s="2">
        <f t="shared" si="58"/>
        <v>0</v>
      </c>
      <c r="N67" s="2">
        <f t="shared" si="58"/>
        <v>0</v>
      </c>
      <c r="O67" s="2">
        <f t="shared" si="58"/>
        <v>0</v>
      </c>
      <c r="P67" s="2">
        <f t="shared" si="58"/>
        <v>0</v>
      </c>
      <c r="Q67" s="2">
        <f t="shared" si="58"/>
        <v>0</v>
      </c>
      <c r="R67" s="2">
        <f t="shared" si="58"/>
        <v>2</v>
      </c>
      <c r="S67" s="2">
        <f t="shared" si="58"/>
        <v>0</v>
      </c>
      <c r="T67" s="2">
        <f t="shared" si="58"/>
        <v>0</v>
      </c>
      <c r="U67" s="2">
        <f t="shared" si="58"/>
        <v>0</v>
      </c>
      <c r="V67" s="2">
        <f t="shared" si="58"/>
        <v>0</v>
      </c>
      <c r="W67" s="2">
        <f t="shared" si="58"/>
        <v>0</v>
      </c>
      <c r="X67" s="2">
        <f t="shared" si="58"/>
        <v>0</v>
      </c>
      <c r="Y67" s="2">
        <f t="shared" si="58"/>
        <v>0</v>
      </c>
      <c r="Z67" s="2">
        <f t="shared" si="58"/>
        <v>0</v>
      </c>
      <c r="AA67" s="2">
        <f t="shared" si="58"/>
        <v>0</v>
      </c>
      <c r="AB67" s="2">
        <f t="shared" si="58"/>
        <v>0</v>
      </c>
      <c r="AC67" s="2">
        <f t="shared" si="58"/>
        <v>0</v>
      </c>
      <c r="AD67" s="2">
        <f t="shared" si="58"/>
        <v>0</v>
      </c>
      <c r="AE67" s="2">
        <f t="shared" si="58"/>
        <v>0</v>
      </c>
      <c r="AF67" s="2">
        <f t="shared" si="58"/>
        <v>0</v>
      </c>
      <c r="AG67" s="2">
        <f t="shared" si="58"/>
        <v>0</v>
      </c>
      <c r="AH67" s="2">
        <f t="shared" si="58"/>
        <v>0</v>
      </c>
      <c r="AI67" s="2">
        <f t="shared" si="58"/>
        <v>0</v>
      </c>
      <c r="AJ67" s="2">
        <f t="shared" si="58"/>
        <v>0</v>
      </c>
      <c r="AK67" s="2">
        <f t="shared" si="58"/>
        <v>0</v>
      </c>
      <c r="AL67" s="2">
        <f t="shared" si="58"/>
        <v>0</v>
      </c>
      <c r="AM67" s="2">
        <f t="shared" si="58"/>
        <v>0</v>
      </c>
      <c r="AN67" s="2">
        <f t="shared" si="58"/>
        <v>0</v>
      </c>
      <c r="AO67" s="2">
        <f t="shared" si="58"/>
        <v>0</v>
      </c>
      <c r="AP67" s="2">
        <f t="shared" si="58"/>
        <v>0</v>
      </c>
      <c r="AQ67" s="2">
        <f t="shared" si="58"/>
        <v>0</v>
      </c>
      <c r="AR67" s="2">
        <f t="shared" si="58"/>
        <v>0</v>
      </c>
    </row>
    <row r="68" spans="3:44" x14ac:dyDescent="0.15">
      <c r="C68" s="2">
        <f t="shared" si="57"/>
        <v>0</v>
      </c>
      <c r="D68" s="2">
        <f t="shared" si="57"/>
        <v>0</v>
      </c>
      <c r="E68" s="2">
        <f t="shared" si="57"/>
        <v>0</v>
      </c>
      <c r="F68" s="2">
        <f t="shared" si="57"/>
        <v>1</v>
      </c>
      <c r="G68" s="2" t="e">
        <f>BowlSplit(#REF!,$C$43)</f>
        <v>#VALUE!</v>
      </c>
      <c r="H68" s="2" t="e">
        <f>BowlSplit(#REF!,$C$43)</f>
        <v>#VALUE!</v>
      </c>
      <c r="I68" s="2" t="e">
        <f>BowlSplit(#REF!,$C$43)</f>
        <v>#VALUE!</v>
      </c>
      <c r="J68" s="2" t="e">
        <f>BowlSplit(#REF!,$C$43)</f>
        <v>#VALUE!</v>
      </c>
      <c r="K68" s="2" t="e">
        <f>BowlSplit(#REF!,$C$43)</f>
        <v>#VALUE!</v>
      </c>
      <c r="L68" s="2" t="e">
        <f>BowlSplit(#REF!,$C$43)</f>
        <v>#VALUE!</v>
      </c>
      <c r="M68" s="2" t="e">
        <f>BowlSplit(#REF!,$C$43)</f>
        <v>#VALUE!</v>
      </c>
      <c r="N68" s="2" t="e">
        <f>BowlSplit(#REF!,$C$43)</f>
        <v>#VALUE!</v>
      </c>
      <c r="O68" s="2" t="e">
        <f>BowlSplit(#REF!,$C$43)</f>
        <v>#VALUE!</v>
      </c>
      <c r="P68" s="2" t="e">
        <f>BowlSplit(#REF!,$C$43)</f>
        <v>#VALUE!</v>
      </c>
      <c r="Q68" s="2" t="e">
        <f>BowlSplit(#REF!,$C$43)</f>
        <v>#VALUE!</v>
      </c>
      <c r="R68" s="2" t="e">
        <f>BowlSplit(#REF!,$C$43)</f>
        <v>#VALUE!</v>
      </c>
      <c r="S68" s="2" t="e">
        <f>BowlSplit(#REF!,$C$43)</f>
        <v>#VALUE!</v>
      </c>
      <c r="T68" s="2" t="e">
        <f>BowlSplit(#REF!,$C$43)</f>
        <v>#VALUE!</v>
      </c>
      <c r="U68" s="2" t="e">
        <f>BowlSplit(#REF!,$C$43)</f>
        <v>#VALUE!</v>
      </c>
      <c r="V68" s="2" t="e">
        <f>BowlSplit(#REF!,$C$43)</f>
        <v>#VALUE!</v>
      </c>
      <c r="W68" s="2" t="e">
        <f>BowlSplit(#REF!,$C$43)</f>
        <v>#VALUE!</v>
      </c>
      <c r="X68" s="2" t="e">
        <f>BowlSplit(#REF!,$C$43)</f>
        <v>#VALUE!</v>
      </c>
      <c r="Y68" s="2" t="e">
        <f>BowlSplit(#REF!,$C$43)</f>
        <v>#VALUE!</v>
      </c>
      <c r="Z68" s="2" t="e">
        <f>BowlSplit(#REF!,$C$43)</f>
        <v>#VALUE!</v>
      </c>
      <c r="AA68" s="2" t="e">
        <f>BowlSplit(#REF!,$C$43)</f>
        <v>#VALUE!</v>
      </c>
      <c r="AB68" s="2" t="e">
        <f>BowlSplit(#REF!,$C$43)</f>
        <v>#VALUE!</v>
      </c>
      <c r="AC68" s="2" t="e">
        <f>BowlSplit(#REF!,$C$43)</f>
        <v>#VALUE!</v>
      </c>
      <c r="AD68" s="2" t="e">
        <f>BowlSplit(#REF!,$C$43)</f>
        <v>#VALUE!</v>
      </c>
      <c r="AE68" s="2" t="e">
        <f>BowlSplit(#REF!,$C$43)</f>
        <v>#VALUE!</v>
      </c>
      <c r="AF68" s="2" t="e">
        <f>BowlSplit(#REF!,$C$43)</f>
        <v>#VALUE!</v>
      </c>
      <c r="AG68" s="2" t="e">
        <f>BowlSplit(#REF!,$C$43)</f>
        <v>#VALUE!</v>
      </c>
      <c r="AH68" s="2" t="e">
        <f>BowlSplit(#REF!,$C$43)</f>
        <v>#VALUE!</v>
      </c>
      <c r="AI68" s="2" t="e">
        <f>BowlSplit(#REF!,$C$43)</f>
        <v>#VALUE!</v>
      </c>
      <c r="AJ68" s="2" t="e">
        <f>BowlSplit(#REF!,$C$43)</f>
        <v>#VALUE!</v>
      </c>
      <c r="AK68" s="2" t="e">
        <f>BowlSplit(#REF!,$C$43)</f>
        <v>#VALUE!</v>
      </c>
      <c r="AL68" s="2" t="e">
        <f>BowlSplit(#REF!,$C$43)</f>
        <v>#VALUE!</v>
      </c>
      <c r="AM68" s="2" t="e">
        <f>BowlSplit(#REF!,$C$43)</f>
        <v>#VALUE!</v>
      </c>
      <c r="AN68" s="2" t="e">
        <f>BowlSplit(#REF!,$C$43)</f>
        <v>#VALUE!</v>
      </c>
      <c r="AO68" s="2" t="e">
        <f>BowlSplit(#REF!,$C$43)</f>
        <v>#VALUE!</v>
      </c>
      <c r="AP68" s="2" t="e">
        <f>BowlSplit(#REF!,$C$43)</f>
        <v>#VALUE!</v>
      </c>
      <c r="AQ68" s="2" t="e">
        <f>BowlSplit(#REF!,$C$43)</f>
        <v>#VALUE!</v>
      </c>
      <c r="AR68" s="2" t="e">
        <f>BowlSplit(#REF!,$C$43)</f>
        <v>#VALUE!</v>
      </c>
    </row>
    <row r="69" spans="3:44" x14ac:dyDescent="0.15">
      <c r="C69" s="2" t="e">
        <f>BowlSplit(#REF!,$C$43)</f>
        <v>#VALUE!</v>
      </c>
      <c r="D69" s="2" t="e">
        <f>BowlSplit(#REF!,$C$43)</f>
        <v>#VALUE!</v>
      </c>
      <c r="E69" s="2" t="e">
        <f>BowlSplit(#REF!,$C$43)</f>
        <v>#VALUE!</v>
      </c>
      <c r="F69" s="2" t="e">
        <f>BowlSplit(#REF!,$C$43)</f>
        <v>#VALUE!</v>
      </c>
      <c r="G69" s="2">
        <f t="shared" ref="G69:AR69" si="59">BowlSplit(G28,$C$43)</f>
        <v>0</v>
      </c>
      <c r="H69" s="2">
        <f t="shared" si="59"/>
        <v>0</v>
      </c>
      <c r="I69" s="2">
        <f t="shared" si="59"/>
        <v>0</v>
      </c>
      <c r="J69" s="2">
        <f t="shared" si="59"/>
        <v>0</v>
      </c>
      <c r="K69" s="2">
        <f t="shared" si="59"/>
        <v>0</v>
      </c>
      <c r="L69" s="2">
        <f t="shared" si="59"/>
        <v>0</v>
      </c>
      <c r="M69" s="2">
        <f t="shared" si="59"/>
        <v>0</v>
      </c>
      <c r="N69" s="2">
        <f t="shared" si="59"/>
        <v>0</v>
      </c>
      <c r="O69" s="2">
        <f t="shared" si="59"/>
        <v>0</v>
      </c>
      <c r="P69" s="2">
        <f t="shared" si="59"/>
        <v>0</v>
      </c>
      <c r="Q69" s="2">
        <f t="shared" si="59"/>
        <v>0</v>
      </c>
      <c r="R69" s="2">
        <f t="shared" si="59"/>
        <v>0</v>
      </c>
      <c r="S69" s="2">
        <f t="shared" si="59"/>
        <v>0</v>
      </c>
      <c r="T69" s="2">
        <f t="shared" si="59"/>
        <v>0</v>
      </c>
      <c r="U69" s="2">
        <f t="shared" si="59"/>
        <v>0</v>
      </c>
      <c r="V69" s="2">
        <f t="shared" si="59"/>
        <v>0</v>
      </c>
      <c r="W69" s="2">
        <f t="shared" si="59"/>
        <v>0</v>
      </c>
      <c r="X69" s="2">
        <f t="shared" si="59"/>
        <v>0</v>
      </c>
      <c r="Y69" s="2">
        <f t="shared" si="59"/>
        <v>0</v>
      </c>
      <c r="Z69" s="2">
        <f t="shared" si="59"/>
        <v>0</v>
      </c>
      <c r="AA69" s="2">
        <f t="shared" si="59"/>
        <v>0</v>
      </c>
      <c r="AB69" s="2">
        <f t="shared" si="59"/>
        <v>0</v>
      </c>
      <c r="AC69" s="2">
        <f t="shared" si="59"/>
        <v>0</v>
      </c>
      <c r="AD69" s="2">
        <f t="shared" si="59"/>
        <v>0</v>
      </c>
      <c r="AE69" s="2">
        <f t="shared" si="59"/>
        <v>0</v>
      </c>
      <c r="AF69" s="2">
        <f t="shared" si="59"/>
        <v>0</v>
      </c>
      <c r="AG69" s="2">
        <f t="shared" si="59"/>
        <v>0</v>
      </c>
      <c r="AH69" s="2">
        <f t="shared" si="59"/>
        <v>0</v>
      </c>
      <c r="AI69" s="2">
        <f t="shared" si="59"/>
        <v>0</v>
      </c>
      <c r="AJ69" s="2">
        <f t="shared" si="59"/>
        <v>0</v>
      </c>
      <c r="AK69" s="2">
        <f t="shared" si="59"/>
        <v>0</v>
      </c>
      <c r="AL69" s="2">
        <f t="shared" si="59"/>
        <v>0</v>
      </c>
      <c r="AM69" s="2">
        <f t="shared" si="59"/>
        <v>0</v>
      </c>
      <c r="AN69" s="2">
        <f t="shared" si="59"/>
        <v>0</v>
      </c>
      <c r="AO69" s="2">
        <f t="shared" si="59"/>
        <v>0</v>
      </c>
      <c r="AP69" s="2">
        <f t="shared" si="59"/>
        <v>0</v>
      </c>
      <c r="AQ69" s="2">
        <f t="shared" si="59"/>
        <v>0</v>
      </c>
      <c r="AR69" s="2">
        <f t="shared" si="59"/>
        <v>0</v>
      </c>
    </row>
    <row r="70" spans="3:44" x14ac:dyDescent="0.15">
      <c r="C70" s="2" t="e">
        <f>BowlSplit(#REF!,$C$43)</f>
        <v>#VALUE!</v>
      </c>
      <c r="D70" s="2" t="e">
        <f>BowlSplit(#REF!,$C$43)</f>
        <v>#VALUE!</v>
      </c>
      <c r="E70" s="2" t="e">
        <f>BowlSplit(#REF!,$C$43)</f>
        <v>#VALUE!</v>
      </c>
      <c r="F70" s="2" t="e">
        <f>BowlSplit(#REF!,$C$43)</f>
        <v>#VALUE!</v>
      </c>
      <c r="G70" s="2" t="e">
        <f>BowlSplit(#REF!,$C$43)</f>
        <v>#VALUE!</v>
      </c>
      <c r="H70" s="2" t="e">
        <f>BowlSplit(#REF!,$C$43)</f>
        <v>#VALUE!</v>
      </c>
      <c r="I70" s="2" t="e">
        <f>BowlSplit(#REF!,$C$43)</f>
        <v>#VALUE!</v>
      </c>
      <c r="J70" s="2" t="e">
        <f>BowlSplit(#REF!,$C$43)</f>
        <v>#VALUE!</v>
      </c>
      <c r="K70" s="2" t="e">
        <f>BowlSplit(#REF!,$C$43)</f>
        <v>#VALUE!</v>
      </c>
      <c r="L70" s="2" t="e">
        <f>BowlSplit(#REF!,$C$43)</f>
        <v>#VALUE!</v>
      </c>
      <c r="M70" s="2" t="e">
        <f>BowlSplit(#REF!,$C$43)</f>
        <v>#VALUE!</v>
      </c>
      <c r="N70" s="2" t="e">
        <f>BowlSplit(#REF!,$C$43)</f>
        <v>#VALUE!</v>
      </c>
      <c r="O70" s="2" t="e">
        <f>BowlSplit(#REF!,$C$43)</f>
        <v>#VALUE!</v>
      </c>
      <c r="P70" s="2" t="e">
        <f>BowlSplit(#REF!,$C$43)</f>
        <v>#VALUE!</v>
      </c>
      <c r="Q70" s="2" t="e">
        <f>BowlSplit(#REF!,$C$43)</f>
        <v>#VALUE!</v>
      </c>
      <c r="R70" s="2" t="e">
        <f>BowlSplit(#REF!,$C$43)</f>
        <v>#VALUE!</v>
      </c>
      <c r="S70" s="2" t="e">
        <f>BowlSplit(#REF!,$C$43)</f>
        <v>#VALUE!</v>
      </c>
      <c r="T70" s="2" t="e">
        <f>BowlSplit(#REF!,$C$43)</f>
        <v>#VALUE!</v>
      </c>
      <c r="U70" s="2" t="e">
        <f>BowlSplit(#REF!,$C$43)</f>
        <v>#VALUE!</v>
      </c>
      <c r="V70" s="2" t="e">
        <f>BowlSplit(#REF!,$C$43)</f>
        <v>#VALUE!</v>
      </c>
      <c r="W70" s="2" t="e">
        <f>BowlSplit(#REF!,$C$43)</f>
        <v>#VALUE!</v>
      </c>
      <c r="X70" s="2" t="e">
        <f>BowlSplit(#REF!,$C$43)</f>
        <v>#VALUE!</v>
      </c>
      <c r="Y70" s="2" t="e">
        <f>BowlSplit(#REF!,$C$43)</f>
        <v>#VALUE!</v>
      </c>
      <c r="Z70" s="2" t="e">
        <f>BowlSplit(#REF!,$C$43)</f>
        <v>#VALUE!</v>
      </c>
      <c r="AA70" s="2" t="e">
        <f>BowlSplit(#REF!,$C$43)</f>
        <v>#VALUE!</v>
      </c>
      <c r="AB70" s="2" t="e">
        <f>BowlSplit(#REF!,$C$43)</f>
        <v>#VALUE!</v>
      </c>
      <c r="AC70" s="2" t="e">
        <f>BowlSplit(#REF!,$C$43)</f>
        <v>#VALUE!</v>
      </c>
      <c r="AD70" s="2" t="e">
        <f>BowlSplit(#REF!,$C$43)</f>
        <v>#VALUE!</v>
      </c>
      <c r="AE70" s="2" t="e">
        <f>BowlSplit(#REF!,$C$43)</f>
        <v>#VALUE!</v>
      </c>
      <c r="AF70" s="2" t="e">
        <f>BowlSplit(#REF!,$C$43)</f>
        <v>#VALUE!</v>
      </c>
      <c r="AG70" s="2" t="e">
        <f>BowlSplit(#REF!,$C$43)</f>
        <v>#VALUE!</v>
      </c>
      <c r="AH70" s="2" t="e">
        <f>BowlSplit(#REF!,$C$43)</f>
        <v>#VALUE!</v>
      </c>
      <c r="AI70" s="2" t="e">
        <f>BowlSplit(#REF!,$C$43)</f>
        <v>#VALUE!</v>
      </c>
      <c r="AJ70" s="2" t="e">
        <f>BowlSplit(#REF!,$C$43)</f>
        <v>#VALUE!</v>
      </c>
      <c r="AK70" s="2" t="e">
        <f>BowlSplit(#REF!,$C$43)</f>
        <v>#VALUE!</v>
      </c>
      <c r="AL70" s="2" t="e">
        <f>BowlSplit(#REF!,$C$43)</f>
        <v>#VALUE!</v>
      </c>
      <c r="AM70" s="2" t="e">
        <f>BowlSplit(#REF!,$C$43)</f>
        <v>#VALUE!</v>
      </c>
      <c r="AN70" s="2" t="e">
        <f>BowlSplit(#REF!,$C$43)</f>
        <v>#VALUE!</v>
      </c>
      <c r="AO70" s="2" t="e">
        <f>BowlSplit(#REF!,$C$43)</f>
        <v>#VALUE!</v>
      </c>
      <c r="AP70" s="2" t="e">
        <f>BowlSplit(#REF!,$C$43)</f>
        <v>#VALUE!</v>
      </c>
      <c r="AQ70" s="2" t="e">
        <f>BowlSplit(#REF!,$C$43)</f>
        <v>#VALUE!</v>
      </c>
      <c r="AR70" s="2" t="e">
        <f>BowlSplit(#REF!,$C$43)</f>
        <v>#VALUE!</v>
      </c>
    </row>
    <row r="71" spans="3:44" x14ac:dyDescent="0.15">
      <c r="C71" s="2" t="e">
        <f>BowlSplit(#REF!,$C$43)</f>
        <v>#VALUE!</v>
      </c>
      <c r="D71" s="2" t="e">
        <f>BowlSplit(#REF!,$C$43)</f>
        <v>#VALUE!</v>
      </c>
      <c r="E71" s="2" t="e">
        <f>BowlSplit(#REF!,$C$43)</f>
        <v>#VALUE!</v>
      </c>
      <c r="F71" s="2" t="e">
        <f>BowlSplit(#REF!,$C$43)</f>
        <v>#VALUE!</v>
      </c>
      <c r="G71" s="2">
        <f t="shared" ref="G71:AR71" si="60">BowlSplit(G29,$C$43)</f>
        <v>0</v>
      </c>
      <c r="H71" s="2">
        <f t="shared" si="60"/>
        <v>0</v>
      </c>
      <c r="I71" s="2">
        <f t="shared" si="60"/>
        <v>0</v>
      </c>
      <c r="J71" s="2">
        <f t="shared" si="60"/>
        <v>0</v>
      </c>
      <c r="K71" s="2">
        <f t="shared" si="60"/>
        <v>0</v>
      </c>
      <c r="L71" s="2">
        <f t="shared" si="60"/>
        <v>1</v>
      </c>
      <c r="M71" s="2">
        <f t="shared" si="60"/>
        <v>0</v>
      </c>
      <c r="N71" s="2">
        <f t="shared" si="60"/>
        <v>2</v>
      </c>
      <c r="O71" s="2">
        <f t="shared" si="60"/>
        <v>0</v>
      </c>
      <c r="P71" s="2">
        <f t="shared" si="60"/>
        <v>1</v>
      </c>
      <c r="Q71" s="2">
        <f t="shared" si="60"/>
        <v>0</v>
      </c>
      <c r="R71" s="2">
        <f t="shared" si="60"/>
        <v>0</v>
      </c>
      <c r="S71" s="2">
        <f t="shared" si="60"/>
        <v>0</v>
      </c>
      <c r="T71" s="2">
        <f t="shared" si="60"/>
        <v>0</v>
      </c>
      <c r="U71" s="2">
        <f t="shared" si="60"/>
        <v>0</v>
      </c>
      <c r="V71" s="2">
        <f t="shared" si="60"/>
        <v>0</v>
      </c>
      <c r="W71" s="2">
        <f t="shared" si="60"/>
        <v>0</v>
      </c>
      <c r="X71" s="2">
        <f t="shared" si="60"/>
        <v>0</v>
      </c>
      <c r="Y71" s="2">
        <f t="shared" si="60"/>
        <v>0</v>
      </c>
      <c r="Z71" s="2">
        <f t="shared" si="60"/>
        <v>0</v>
      </c>
      <c r="AA71" s="2">
        <f t="shared" si="60"/>
        <v>0</v>
      </c>
      <c r="AB71" s="2">
        <f t="shared" si="60"/>
        <v>0</v>
      </c>
      <c r="AC71" s="2">
        <f t="shared" si="60"/>
        <v>0</v>
      </c>
      <c r="AD71" s="2">
        <f t="shared" si="60"/>
        <v>0</v>
      </c>
      <c r="AE71" s="2">
        <f t="shared" si="60"/>
        <v>0</v>
      </c>
      <c r="AF71" s="2">
        <f t="shared" si="60"/>
        <v>0</v>
      </c>
      <c r="AG71" s="2">
        <f t="shared" si="60"/>
        <v>0</v>
      </c>
      <c r="AH71" s="2">
        <f t="shared" si="60"/>
        <v>0</v>
      </c>
      <c r="AI71" s="2">
        <f t="shared" si="60"/>
        <v>0</v>
      </c>
      <c r="AJ71" s="2">
        <f t="shared" si="60"/>
        <v>0</v>
      </c>
      <c r="AK71" s="2">
        <f t="shared" si="60"/>
        <v>0</v>
      </c>
      <c r="AL71" s="2">
        <f t="shared" si="60"/>
        <v>0</v>
      </c>
      <c r="AM71" s="2">
        <f t="shared" si="60"/>
        <v>0</v>
      </c>
      <c r="AN71" s="2">
        <f t="shared" si="60"/>
        <v>0</v>
      </c>
      <c r="AO71" s="2">
        <f t="shared" si="60"/>
        <v>0</v>
      </c>
      <c r="AP71" s="2">
        <f t="shared" si="60"/>
        <v>0</v>
      </c>
      <c r="AQ71" s="2">
        <f t="shared" si="60"/>
        <v>0</v>
      </c>
      <c r="AR71" s="2">
        <f t="shared" si="60"/>
        <v>0</v>
      </c>
    </row>
    <row r="72" spans="3:44" x14ac:dyDescent="0.15">
      <c r="C72" s="2" t="e">
        <f>BowlSplit(#REF!,$C$43)</f>
        <v>#VALUE!</v>
      </c>
      <c r="D72" s="2" t="e">
        <f>BowlSplit(#REF!,$C$43)</f>
        <v>#VALUE!</v>
      </c>
      <c r="E72" s="2" t="e">
        <f>BowlSplit(#REF!,$C$43)</f>
        <v>#VALUE!</v>
      </c>
      <c r="F72" s="2" t="e">
        <f>BowlSplit(#REF!,$C$43)</f>
        <v>#VALUE!</v>
      </c>
      <c r="G72" s="2" t="e">
        <f>BowlSplit(#REF!,$C$43)</f>
        <v>#VALUE!</v>
      </c>
      <c r="H72" s="2" t="e">
        <f>BowlSplit(#REF!,$C$43)</f>
        <v>#VALUE!</v>
      </c>
      <c r="I72" s="2" t="e">
        <f>BowlSplit(#REF!,$C$43)</f>
        <v>#VALUE!</v>
      </c>
      <c r="J72" s="2" t="e">
        <f>BowlSplit(#REF!,$C$43)</f>
        <v>#VALUE!</v>
      </c>
      <c r="K72" s="2" t="e">
        <f>BowlSplit(#REF!,$C$43)</f>
        <v>#VALUE!</v>
      </c>
      <c r="L72" s="2" t="e">
        <f>BowlSplit(#REF!,$C$43)</f>
        <v>#VALUE!</v>
      </c>
      <c r="M72" s="2" t="e">
        <f>BowlSplit(#REF!,$C$43)</f>
        <v>#VALUE!</v>
      </c>
      <c r="N72" s="2" t="e">
        <f>BowlSplit(#REF!,$C$43)</f>
        <v>#VALUE!</v>
      </c>
      <c r="O72" s="2" t="e">
        <f>BowlSplit(#REF!,$C$43)</f>
        <v>#VALUE!</v>
      </c>
      <c r="P72" s="2" t="e">
        <f>BowlSplit(#REF!,$C$43)</f>
        <v>#VALUE!</v>
      </c>
      <c r="Q72" s="2" t="e">
        <f>BowlSplit(#REF!,$C$43)</f>
        <v>#VALUE!</v>
      </c>
      <c r="R72" s="2" t="e">
        <f>BowlSplit(#REF!,$C$43)</f>
        <v>#VALUE!</v>
      </c>
      <c r="S72" s="2" t="e">
        <f>BowlSplit(#REF!,$C$43)</f>
        <v>#VALUE!</v>
      </c>
      <c r="T72" s="2" t="e">
        <f>BowlSplit(#REF!,$C$43)</f>
        <v>#VALUE!</v>
      </c>
      <c r="U72" s="2" t="e">
        <f>BowlSplit(#REF!,$C$43)</f>
        <v>#VALUE!</v>
      </c>
      <c r="V72" s="2" t="e">
        <f>BowlSplit(#REF!,$C$43)</f>
        <v>#VALUE!</v>
      </c>
      <c r="W72" s="2" t="e">
        <f>BowlSplit(#REF!,$C$43)</f>
        <v>#VALUE!</v>
      </c>
      <c r="X72" s="2" t="e">
        <f>BowlSplit(#REF!,$C$43)</f>
        <v>#VALUE!</v>
      </c>
      <c r="Y72" s="2" t="e">
        <f>BowlSplit(#REF!,$C$43)</f>
        <v>#VALUE!</v>
      </c>
      <c r="Z72" s="2" t="e">
        <f>BowlSplit(#REF!,$C$43)</f>
        <v>#VALUE!</v>
      </c>
      <c r="AA72" s="2" t="e">
        <f>BowlSplit(#REF!,$C$43)</f>
        <v>#VALUE!</v>
      </c>
      <c r="AB72" s="2" t="e">
        <f>BowlSplit(#REF!,$C$43)</f>
        <v>#VALUE!</v>
      </c>
      <c r="AC72" s="2" t="e">
        <f>BowlSplit(#REF!,$C$43)</f>
        <v>#VALUE!</v>
      </c>
      <c r="AD72" s="2" t="e">
        <f>BowlSplit(#REF!,$C$43)</f>
        <v>#VALUE!</v>
      </c>
      <c r="AE72" s="2" t="e">
        <f>BowlSplit(#REF!,$C$43)</f>
        <v>#VALUE!</v>
      </c>
      <c r="AF72" s="2" t="e">
        <f>BowlSplit(#REF!,$C$43)</f>
        <v>#VALUE!</v>
      </c>
      <c r="AG72" s="2" t="e">
        <f>BowlSplit(#REF!,$C$43)</f>
        <v>#VALUE!</v>
      </c>
      <c r="AH72" s="2" t="e">
        <f>BowlSplit(#REF!,$C$43)</f>
        <v>#VALUE!</v>
      </c>
      <c r="AI72" s="2" t="e">
        <f>BowlSplit(#REF!,$C$43)</f>
        <v>#VALUE!</v>
      </c>
      <c r="AJ72" s="2" t="e">
        <f>BowlSplit(#REF!,$C$43)</f>
        <v>#VALUE!</v>
      </c>
      <c r="AK72" s="2" t="e">
        <f>BowlSplit(#REF!,$C$43)</f>
        <v>#VALUE!</v>
      </c>
      <c r="AL72" s="2" t="e">
        <f>BowlSplit(#REF!,$C$43)</f>
        <v>#VALUE!</v>
      </c>
      <c r="AM72" s="2" t="e">
        <f>BowlSplit(#REF!,$C$43)</f>
        <v>#VALUE!</v>
      </c>
      <c r="AN72" s="2" t="e">
        <f>BowlSplit(#REF!,$C$43)</f>
        <v>#VALUE!</v>
      </c>
      <c r="AO72" s="2" t="e">
        <f>BowlSplit(#REF!,$C$43)</f>
        <v>#VALUE!</v>
      </c>
      <c r="AP72" s="2" t="e">
        <f>BowlSplit(#REF!,$C$43)</f>
        <v>#VALUE!</v>
      </c>
      <c r="AQ72" s="2" t="e">
        <f>BowlSplit(#REF!,$C$43)</f>
        <v>#VALUE!</v>
      </c>
      <c r="AR72" s="2" t="e">
        <f>BowlSplit(#REF!,$C$43)</f>
        <v>#VALUE!</v>
      </c>
    </row>
    <row r="73" spans="3:44" x14ac:dyDescent="0.15">
      <c r="C73" s="2">
        <f t="shared" ref="C73:F74" si="61">BowlSplit(C33,$C$43)</f>
        <v>0</v>
      </c>
      <c r="D73" s="2">
        <f t="shared" si="61"/>
        <v>0</v>
      </c>
      <c r="E73" s="2">
        <f t="shared" si="61"/>
        <v>0</v>
      </c>
      <c r="F73" s="2">
        <f t="shared" si="61"/>
        <v>0</v>
      </c>
      <c r="G73" s="2" t="e">
        <f>BowlSplit(#REF!,$C$43)</f>
        <v>#VALUE!</v>
      </c>
      <c r="H73" s="2" t="e">
        <f>BowlSplit(#REF!,$C$43)</f>
        <v>#VALUE!</v>
      </c>
      <c r="I73" s="2" t="e">
        <f>BowlSplit(#REF!,$C$43)</f>
        <v>#VALUE!</v>
      </c>
      <c r="J73" s="2" t="e">
        <f>BowlSplit(#REF!,$C$43)</f>
        <v>#VALUE!</v>
      </c>
      <c r="K73" s="2" t="e">
        <f>BowlSplit(#REF!,$C$43)</f>
        <v>#VALUE!</v>
      </c>
      <c r="L73" s="2" t="e">
        <f>BowlSplit(#REF!,$C$43)</f>
        <v>#VALUE!</v>
      </c>
      <c r="M73" s="2" t="e">
        <f>BowlSplit(#REF!,$C$43)</f>
        <v>#VALUE!</v>
      </c>
      <c r="N73" s="2" t="e">
        <f>BowlSplit(#REF!,$C$43)</f>
        <v>#VALUE!</v>
      </c>
      <c r="O73" s="2" t="e">
        <f>BowlSplit(#REF!,$C$43)</f>
        <v>#VALUE!</v>
      </c>
      <c r="P73" s="2" t="e">
        <f>BowlSplit(#REF!,$C$43)</f>
        <v>#VALUE!</v>
      </c>
      <c r="Q73" s="2" t="e">
        <f>BowlSplit(#REF!,$C$43)</f>
        <v>#VALUE!</v>
      </c>
      <c r="R73" s="2" t="e">
        <f>BowlSplit(#REF!,$C$43)</f>
        <v>#VALUE!</v>
      </c>
      <c r="S73" s="2" t="e">
        <f>BowlSplit(#REF!,$C$43)</f>
        <v>#VALUE!</v>
      </c>
      <c r="T73" s="2" t="e">
        <f>BowlSplit(#REF!,$C$43)</f>
        <v>#VALUE!</v>
      </c>
      <c r="U73" s="2" t="e">
        <f>BowlSplit(#REF!,$C$43)</f>
        <v>#VALUE!</v>
      </c>
      <c r="V73" s="2" t="e">
        <f>BowlSplit(#REF!,$C$43)</f>
        <v>#VALUE!</v>
      </c>
      <c r="W73" s="2" t="e">
        <f>BowlSplit(#REF!,$C$43)</f>
        <v>#VALUE!</v>
      </c>
      <c r="X73" s="2" t="e">
        <f>BowlSplit(#REF!,$C$43)</f>
        <v>#VALUE!</v>
      </c>
      <c r="Y73" s="2" t="e">
        <f>BowlSplit(#REF!,$C$43)</f>
        <v>#VALUE!</v>
      </c>
      <c r="Z73" s="2" t="e">
        <f>BowlSplit(#REF!,$C$43)</f>
        <v>#VALUE!</v>
      </c>
      <c r="AA73" s="2" t="e">
        <f>BowlSplit(#REF!,$C$43)</f>
        <v>#VALUE!</v>
      </c>
      <c r="AB73" s="2" t="e">
        <f>BowlSplit(#REF!,$C$43)</f>
        <v>#VALUE!</v>
      </c>
      <c r="AC73" s="2" t="e">
        <f>BowlSplit(#REF!,$C$43)</f>
        <v>#VALUE!</v>
      </c>
      <c r="AD73" s="2" t="e">
        <f>BowlSplit(#REF!,$C$43)</f>
        <v>#VALUE!</v>
      </c>
      <c r="AE73" s="2" t="e">
        <f>BowlSplit(#REF!,$C$43)</f>
        <v>#VALUE!</v>
      </c>
      <c r="AF73" s="2" t="e">
        <f>BowlSplit(#REF!,$C$43)</f>
        <v>#VALUE!</v>
      </c>
      <c r="AG73" s="2" t="e">
        <f>BowlSplit(#REF!,$C$43)</f>
        <v>#VALUE!</v>
      </c>
      <c r="AH73" s="2" t="e">
        <f>BowlSplit(#REF!,$C$43)</f>
        <v>#VALUE!</v>
      </c>
      <c r="AI73" s="2" t="e">
        <f>BowlSplit(#REF!,$C$43)</f>
        <v>#VALUE!</v>
      </c>
      <c r="AJ73" s="2" t="e">
        <f>BowlSplit(#REF!,$C$43)</f>
        <v>#VALUE!</v>
      </c>
      <c r="AK73" s="2" t="e">
        <f>BowlSplit(#REF!,$C$43)</f>
        <v>#VALUE!</v>
      </c>
      <c r="AL73" s="2" t="e">
        <f>BowlSplit(#REF!,$C$43)</f>
        <v>#VALUE!</v>
      </c>
      <c r="AM73" s="2" t="e">
        <f>BowlSplit(#REF!,$C$43)</f>
        <v>#VALUE!</v>
      </c>
      <c r="AN73" s="2" t="e">
        <f>BowlSplit(#REF!,$C$43)</f>
        <v>#VALUE!</v>
      </c>
      <c r="AO73" s="2" t="e">
        <f>BowlSplit(#REF!,$C$43)</f>
        <v>#VALUE!</v>
      </c>
      <c r="AP73" s="2" t="e">
        <f>BowlSplit(#REF!,$C$43)</f>
        <v>#VALUE!</v>
      </c>
      <c r="AQ73" s="2" t="e">
        <f>BowlSplit(#REF!,$C$43)</f>
        <v>#VALUE!</v>
      </c>
      <c r="AR73" s="2" t="e">
        <f>BowlSplit(#REF!,$C$43)</f>
        <v>#VALUE!</v>
      </c>
    </row>
    <row r="74" spans="3:44" x14ac:dyDescent="0.15">
      <c r="C74" s="2">
        <f t="shared" si="61"/>
        <v>0</v>
      </c>
      <c r="D74" s="2">
        <f t="shared" si="61"/>
        <v>0</v>
      </c>
      <c r="E74" s="2">
        <f t="shared" si="61"/>
        <v>0</v>
      </c>
      <c r="F74" s="2">
        <f t="shared" si="61"/>
        <v>0</v>
      </c>
      <c r="G74" s="2">
        <f t="shared" ref="G74:AR74" si="62">BowlSplit(G30,$C$43)</f>
        <v>0</v>
      </c>
      <c r="H74" s="2">
        <f t="shared" si="62"/>
        <v>0</v>
      </c>
      <c r="I74" s="2">
        <f t="shared" si="62"/>
        <v>1</v>
      </c>
      <c r="J74" s="2">
        <f t="shared" si="62"/>
        <v>0</v>
      </c>
      <c r="K74" s="2">
        <f t="shared" si="62"/>
        <v>0</v>
      </c>
      <c r="L74" s="2">
        <f t="shared" si="62"/>
        <v>0</v>
      </c>
      <c r="M74" s="2">
        <f t="shared" si="62"/>
        <v>0</v>
      </c>
      <c r="N74" s="2">
        <f t="shared" si="62"/>
        <v>0</v>
      </c>
      <c r="O74" s="2">
        <f t="shared" si="62"/>
        <v>0</v>
      </c>
      <c r="P74" s="2">
        <f t="shared" si="62"/>
        <v>0</v>
      </c>
      <c r="Q74" s="2">
        <f t="shared" si="62"/>
        <v>0</v>
      </c>
      <c r="R74" s="2">
        <f t="shared" si="62"/>
        <v>0</v>
      </c>
      <c r="S74" s="2">
        <f t="shared" si="62"/>
        <v>0</v>
      </c>
      <c r="T74" s="2">
        <f t="shared" si="62"/>
        <v>0</v>
      </c>
      <c r="U74" s="2">
        <f t="shared" si="62"/>
        <v>0</v>
      </c>
      <c r="V74" s="2">
        <f t="shared" si="62"/>
        <v>0</v>
      </c>
      <c r="W74" s="2">
        <f t="shared" si="62"/>
        <v>0</v>
      </c>
      <c r="X74" s="2">
        <f t="shared" si="62"/>
        <v>0</v>
      </c>
      <c r="Y74" s="2">
        <f t="shared" si="62"/>
        <v>0</v>
      </c>
      <c r="Z74" s="2">
        <f t="shared" si="62"/>
        <v>0</v>
      </c>
      <c r="AA74" s="2">
        <f t="shared" si="62"/>
        <v>0</v>
      </c>
      <c r="AB74" s="2">
        <f t="shared" si="62"/>
        <v>0</v>
      </c>
      <c r="AC74" s="2">
        <f t="shared" si="62"/>
        <v>0</v>
      </c>
      <c r="AD74" s="2">
        <f t="shared" si="62"/>
        <v>0</v>
      </c>
      <c r="AE74" s="2">
        <f t="shared" si="62"/>
        <v>0</v>
      </c>
      <c r="AF74" s="2">
        <f t="shared" si="62"/>
        <v>0</v>
      </c>
      <c r="AG74" s="2">
        <f t="shared" si="62"/>
        <v>0</v>
      </c>
      <c r="AH74" s="2">
        <f t="shared" si="62"/>
        <v>0</v>
      </c>
      <c r="AI74" s="2">
        <f t="shared" si="62"/>
        <v>0</v>
      </c>
      <c r="AJ74" s="2">
        <f t="shared" si="62"/>
        <v>0</v>
      </c>
      <c r="AK74" s="2">
        <f t="shared" si="62"/>
        <v>0</v>
      </c>
      <c r="AL74" s="2">
        <f t="shared" si="62"/>
        <v>0</v>
      </c>
      <c r="AM74" s="2">
        <f t="shared" si="62"/>
        <v>0</v>
      </c>
      <c r="AN74" s="2">
        <f t="shared" si="62"/>
        <v>0</v>
      </c>
      <c r="AO74" s="2">
        <f t="shared" si="62"/>
        <v>0</v>
      </c>
      <c r="AP74" s="2">
        <f t="shared" si="62"/>
        <v>0</v>
      </c>
      <c r="AQ74" s="2">
        <f t="shared" si="62"/>
        <v>0</v>
      </c>
      <c r="AR74" s="2">
        <f t="shared" si="62"/>
        <v>0</v>
      </c>
    </row>
    <row r="75" spans="3:44" x14ac:dyDescent="0.15">
      <c r="C75" s="2">
        <f t="shared" ref="C75:F76" si="63">BowlSplit(C31,$C$43)</f>
        <v>0</v>
      </c>
      <c r="D75" s="2">
        <f t="shared" si="63"/>
        <v>0</v>
      </c>
      <c r="E75" s="2">
        <f t="shared" si="63"/>
        <v>0</v>
      </c>
      <c r="F75" s="2">
        <f t="shared" si="63"/>
        <v>0</v>
      </c>
      <c r="G75" s="2">
        <f t="shared" ref="G75:AR75" si="64">BowlSplit(G31,$C$43)</f>
        <v>0</v>
      </c>
      <c r="H75" s="2">
        <f t="shared" si="64"/>
        <v>0</v>
      </c>
      <c r="I75" s="2">
        <f t="shared" si="64"/>
        <v>0</v>
      </c>
      <c r="J75" s="2">
        <f t="shared" si="64"/>
        <v>0</v>
      </c>
      <c r="K75" s="2">
        <f t="shared" si="64"/>
        <v>0</v>
      </c>
      <c r="L75" s="2">
        <f t="shared" si="64"/>
        <v>0</v>
      </c>
      <c r="M75" s="2">
        <f t="shared" si="64"/>
        <v>0</v>
      </c>
      <c r="N75" s="2">
        <f t="shared" si="64"/>
        <v>0</v>
      </c>
      <c r="O75" s="2">
        <f t="shared" si="64"/>
        <v>0</v>
      </c>
      <c r="P75" s="2">
        <f t="shared" si="64"/>
        <v>0</v>
      </c>
      <c r="Q75" s="2">
        <f t="shared" si="64"/>
        <v>0</v>
      </c>
      <c r="R75" s="2">
        <f t="shared" si="64"/>
        <v>0</v>
      </c>
      <c r="S75" s="2">
        <f t="shared" si="64"/>
        <v>0</v>
      </c>
      <c r="T75" s="2">
        <f t="shared" si="64"/>
        <v>0</v>
      </c>
      <c r="U75" s="2">
        <f t="shared" si="64"/>
        <v>0</v>
      </c>
      <c r="V75" s="2">
        <f t="shared" si="64"/>
        <v>0</v>
      </c>
      <c r="W75" s="2">
        <f t="shared" si="64"/>
        <v>0</v>
      </c>
      <c r="X75" s="2">
        <f t="shared" si="64"/>
        <v>0</v>
      </c>
      <c r="Y75" s="2">
        <f t="shared" si="64"/>
        <v>0</v>
      </c>
      <c r="Z75" s="2">
        <f t="shared" si="64"/>
        <v>0</v>
      </c>
      <c r="AA75" s="2">
        <f t="shared" si="64"/>
        <v>0</v>
      </c>
      <c r="AB75" s="2">
        <f t="shared" si="64"/>
        <v>0</v>
      </c>
      <c r="AC75" s="2">
        <f t="shared" si="64"/>
        <v>0</v>
      </c>
      <c r="AD75" s="2">
        <f t="shared" si="64"/>
        <v>0</v>
      </c>
      <c r="AE75" s="2">
        <f t="shared" si="64"/>
        <v>0</v>
      </c>
      <c r="AF75" s="2">
        <f t="shared" si="64"/>
        <v>0</v>
      </c>
      <c r="AG75" s="2">
        <f t="shared" si="64"/>
        <v>0</v>
      </c>
      <c r="AH75" s="2">
        <f t="shared" si="64"/>
        <v>0</v>
      </c>
      <c r="AI75" s="2">
        <f t="shared" si="64"/>
        <v>0</v>
      </c>
      <c r="AJ75" s="2">
        <f t="shared" si="64"/>
        <v>0</v>
      </c>
      <c r="AK75" s="2">
        <f t="shared" si="64"/>
        <v>0</v>
      </c>
      <c r="AL75" s="2">
        <f t="shared" si="64"/>
        <v>0</v>
      </c>
      <c r="AM75" s="2">
        <f t="shared" si="64"/>
        <v>0</v>
      </c>
      <c r="AN75" s="2">
        <f t="shared" si="64"/>
        <v>0</v>
      </c>
      <c r="AO75" s="2">
        <f t="shared" si="64"/>
        <v>0</v>
      </c>
      <c r="AP75" s="2">
        <f t="shared" si="64"/>
        <v>0</v>
      </c>
      <c r="AQ75" s="2">
        <f t="shared" si="64"/>
        <v>0</v>
      </c>
      <c r="AR75" s="2">
        <f t="shared" si="64"/>
        <v>0</v>
      </c>
    </row>
    <row r="76" spans="3:44" x14ac:dyDescent="0.15">
      <c r="C76" s="2">
        <f t="shared" si="63"/>
        <v>0</v>
      </c>
      <c r="D76" s="2">
        <f t="shared" si="63"/>
        <v>0</v>
      </c>
      <c r="E76" s="2">
        <f t="shared" si="63"/>
        <v>0</v>
      </c>
      <c r="F76" s="2">
        <f t="shared" si="63"/>
        <v>1</v>
      </c>
      <c r="G76" s="2">
        <f t="shared" ref="G76:AR76" si="65">BowlSplit(G32,$C$43)</f>
        <v>0</v>
      </c>
      <c r="H76" s="2">
        <f t="shared" si="65"/>
        <v>0</v>
      </c>
      <c r="I76" s="2">
        <f t="shared" si="65"/>
        <v>0</v>
      </c>
      <c r="J76" s="2">
        <f t="shared" si="65"/>
        <v>0</v>
      </c>
      <c r="K76" s="2">
        <f t="shared" si="65"/>
        <v>0</v>
      </c>
      <c r="L76" s="2">
        <f t="shared" si="65"/>
        <v>0</v>
      </c>
      <c r="M76" s="2">
        <f t="shared" si="65"/>
        <v>0</v>
      </c>
      <c r="N76" s="2">
        <f t="shared" si="65"/>
        <v>0</v>
      </c>
      <c r="O76" s="2">
        <f t="shared" si="65"/>
        <v>0</v>
      </c>
      <c r="P76" s="2">
        <f t="shared" si="65"/>
        <v>0</v>
      </c>
      <c r="Q76" s="2">
        <f t="shared" si="65"/>
        <v>0</v>
      </c>
      <c r="R76" s="2">
        <f t="shared" si="65"/>
        <v>0</v>
      </c>
      <c r="S76" s="2">
        <f t="shared" si="65"/>
        <v>0</v>
      </c>
      <c r="T76" s="2">
        <f t="shared" si="65"/>
        <v>0</v>
      </c>
      <c r="U76" s="2">
        <f t="shared" si="65"/>
        <v>0</v>
      </c>
      <c r="V76" s="2">
        <f t="shared" si="65"/>
        <v>0</v>
      </c>
      <c r="W76" s="2">
        <f t="shared" si="65"/>
        <v>0</v>
      </c>
      <c r="X76" s="2">
        <f t="shared" si="65"/>
        <v>0</v>
      </c>
      <c r="Y76" s="2">
        <f t="shared" si="65"/>
        <v>0</v>
      </c>
      <c r="Z76" s="2">
        <f t="shared" si="65"/>
        <v>0</v>
      </c>
      <c r="AA76" s="2">
        <f t="shared" si="65"/>
        <v>0</v>
      </c>
      <c r="AB76" s="2">
        <f t="shared" si="65"/>
        <v>0</v>
      </c>
      <c r="AC76" s="2">
        <f t="shared" si="65"/>
        <v>0</v>
      </c>
      <c r="AD76" s="2">
        <f t="shared" si="65"/>
        <v>0</v>
      </c>
      <c r="AE76" s="2">
        <f t="shared" si="65"/>
        <v>0</v>
      </c>
      <c r="AF76" s="2">
        <f t="shared" si="65"/>
        <v>0</v>
      </c>
      <c r="AG76" s="2">
        <f t="shared" si="65"/>
        <v>0</v>
      </c>
      <c r="AH76" s="2">
        <f t="shared" si="65"/>
        <v>0</v>
      </c>
      <c r="AI76" s="2">
        <f t="shared" si="65"/>
        <v>0</v>
      </c>
      <c r="AJ76" s="2">
        <f t="shared" si="65"/>
        <v>0</v>
      </c>
      <c r="AK76" s="2">
        <f t="shared" si="65"/>
        <v>0</v>
      </c>
      <c r="AL76" s="2">
        <f t="shared" si="65"/>
        <v>0</v>
      </c>
      <c r="AM76" s="2">
        <f t="shared" si="65"/>
        <v>0</v>
      </c>
      <c r="AN76" s="2">
        <f t="shared" si="65"/>
        <v>0</v>
      </c>
      <c r="AO76" s="2">
        <f t="shared" si="65"/>
        <v>0</v>
      </c>
      <c r="AP76" s="2">
        <f t="shared" si="65"/>
        <v>0</v>
      </c>
      <c r="AQ76" s="2">
        <f t="shared" si="65"/>
        <v>0</v>
      </c>
      <c r="AR76" s="2">
        <f t="shared" si="65"/>
        <v>0</v>
      </c>
    </row>
    <row r="77" spans="3:44" x14ac:dyDescent="0.15">
      <c r="C77" s="2" t="e">
        <f>BowlSplit(#REF!,$C$43)</f>
        <v>#VALUE!</v>
      </c>
      <c r="D77" s="2" t="e">
        <f>BowlSplit(#REF!,$C$43)</f>
        <v>#VALUE!</v>
      </c>
      <c r="E77" s="2" t="e">
        <f>BowlSplit(#REF!,$C$43)</f>
        <v>#VALUE!</v>
      </c>
      <c r="F77" s="2" t="e">
        <f>BowlSplit(#REF!,$C$43)</f>
        <v>#VALUE!</v>
      </c>
      <c r="G77" s="2" t="e">
        <f>BowlSplit(#REF!,$C$43)</f>
        <v>#VALUE!</v>
      </c>
      <c r="H77" s="2" t="e">
        <f>BowlSplit(#REF!,$C$43)</f>
        <v>#VALUE!</v>
      </c>
      <c r="I77" s="2" t="e">
        <f>BowlSplit(#REF!,$C$43)</f>
        <v>#VALUE!</v>
      </c>
      <c r="J77" s="2" t="e">
        <f>BowlSplit(#REF!,$C$43)</f>
        <v>#VALUE!</v>
      </c>
      <c r="K77" s="2" t="e">
        <f>BowlSplit(#REF!,$C$43)</f>
        <v>#VALUE!</v>
      </c>
      <c r="L77" s="2" t="e">
        <f>BowlSplit(#REF!,$C$43)</f>
        <v>#VALUE!</v>
      </c>
      <c r="M77" s="2" t="e">
        <f>BowlSplit(#REF!,$C$43)</f>
        <v>#VALUE!</v>
      </c>
      <c r="N77" s="2" t="e">
        <f>BowlSplit(#REF!,$C$43)</f>
        <v>#VALUE!</v>
      </c>
      <c r="O77" s="2" t="e">
        <f>BowlSplit(#REF!,$C$43)</f>
        <v>#VALUE!</v>
      </c>
      <c r="P77" s="2" t="e">
        <f>BowlSplit(#REF!,$C$43)</f>
        <v>#VALUE!</v>
      </c>
      <c r="Q77" s="2" t="e">
        <f>BowlSplit(#REF!,$C$43)</f>
        <v>#VALUE!</v>
      </c>
      <c r="R77" s="2" t="e">
        <f>BowlSplit(#REF!,$C$43)</f>
        <v>#VALUE!</v>
      </c>
      <c r="S77" s="2" t="e">
        <f>BowlSplit(#REF!,$C$43)</f>
        <v>#VALUE!</v>
      </c>
      <c r="T77" s="2" t="e">
        <f>BowlSplit(#REF!,$C$43)</f>
        <v>#VALUE!</v>
      </c>
      <c r="U77" s="2" t="e">
        <f>BowlSplit(#REF!,$C$43)</f>
        <v>#VALUE!</v>
      </c>
      <c r="V77" s="2" t="e">
        <f>BowlSplit(#REF!,$C$43)</f>
        <v>#VALUE!</v>
      </c>
      <c r="W77" s="2" t="e">
        <f>BowlSplit(#REF!,$C$43)</f>
        <v>#VALUE!</v>
      </c>
      <c r="X77" s="2" t="e">
        <f>BowlSplit(#REF!,$C$43)</f>
        <v>#VALUE!</v>
      </c>
      <c r="Y77" s="2" t="e">
        <f>BowlSplit(#REF!,$C$43)</f>
        <v>#VALUE!</v>
      </c>
      <c r="Z77" s="2" t="e">
        <f>BowlSplit(#REF!,$C$43)</f>
        <v>#VALUE!</v>
      </c>
      <c r="AA77" s="2" t="e">
        <f>BowlSplit(#REF!,$C$43)</f>
        <v>#VALUE!</v>
      </c>
      <c r="AB77" s="2" t="e">
        <f>BowlSplit(#REF!,$C$43)</f>
        <v>#VALUE!</v>
      </c>
      <c r="AC77" s="2" t="e">
        <f>BowlSplit(#REF!,$C$43)</f>
        <v>#VALUE!</v>
      </c>
      <c r="AD77" s="2" t="e">
        <f>BowlSplit(#REF!,$C$43)</f>
        <v>#VALUE!</v>
      </c>
      <c r="AE77" s="2" t="e">
        <f>BowlSplit(#REF!,$C$43)</f>
        <v>#VALUE!</v>
      </c>
      <c r="AF77" s="2" t="e">
        <f>BowlSplit(#REF!,$C$43)</f>
        <v>#VALUE!</v>
      </c>
      <c r="AG77" s="2" t="e">
        <f>BowlSplit(#REF!,$C$43)</f>
        <v>#VALUE!</v>
      </c>
      <c r="AH77" s="2" t="e">
        <f>BowlSplit(#REF!,$C$43)</f>
        <v>#VALUE!</v>
      </c>
      <c r="AI77" s="2" t="e">
        <f>BowlSplit(#REF!,$C$43)</f>
        <v>#VALUE!</v>
      </c>
      <c r="AJ77" s="2" t="e">
        <f>BowlSplit(#REF!,$C$43)</f>
        <v>#VALUE!</v>
      </c>
      <c r="AK77" s="2" t="e">
        <f>BowlSplit(#REF!,$C$43)</f>
        <v>#VALUE!</v>
      </c>
      <c r="AL77" s="2" t="e">
        <f>BowlSplit(#REF!,$C$43)</f>
        <v>#VALUE!</v>
      </c>
      <c r="AM77" s="2" t="e">
        <f>BowlSplit(#REF!,$C$43)</f>
        <v>#VALUE!</v>
      </c>
      <c r="AN77" s="2" t="e">
        <f>BowlSplit(#REF!,$C$43)</f>
        <v>#VALUE!</v>
      </c>
      <c r="AO77" s="2" t="e">
        <f>BowlSplit(#REF!,$C$43)</f>
        <v>#VALUE!</v>
      </c>
      <c r="AP77" s="2" t="e">
        <f>BowlSplit(#REF!,$C$43)</f>
        <v>#VALUE!</v>
      </c>
      <c r="AQ77" s="2" t="e">
        <f>BowlSplit(#REF!,$C$43)</f>
        <v>#VALUE!</v>
      </c>
      <c r="AR77" s="2" t="e">
        <f>BowlSplit(#REF!,$C$43)</f>
        <v>#VALUE!</v>
      </c>
    </row>
    <row r="78" spans="3:44" x14ac:dyDescent="0.15">
      <c r="C78" s="2" t="e">
        <f>BowlSplit(#REF!,$C$43)</f>
        <v>#VALUE!</v>
      </c>
      <c r="D78" s="2" t="e">
        <f>BowlSplit(#REF!,$C$43)</f>
        <v>#VALUE!</v>
      </c>
      <c r="E78" s="2" t="e">
        <f>BowlSplit(#REF!,$C$43)</f>
        <v>#VALUE!</v>
      </c>
      <c r="F78" s="2" t="e">
        <f>BowlSplit(#REF!,$C$43)</f>
        <v>#VALUE!</v>
      </c>
      <c r="G78" s="2" t="e">
        <f>BowlSplit(#REF!,$C$43)</f>
        <v>#VALUE!</v>
      </c>
      <c r="H78" s="2" t="e">
        <f>BowlSplit(#REF!,$C$43)</f>
        <v>#VALUE!</v>
      </c>
      <c r="I78" s="2" t="e">
        <f>BowlSplit(#REF!,$C$43)</f>
        <v>#VALUE!</v>
      </c>
      <c r="J78" s="2" t="e">
        <f>BowlSplit(#REF!,$C$43)</f>
        <v>#VALUE!</v>
      </c>
      <c r="K78" s="2" t="e">
        <f>BowlSplit(#REF!,$C$43)</f>
        <v>#VALUE!</v>
      </c>
      <c r="L78" s="2" t="e">
        <f>BowlSplit(#REF!,$C$43)</f>
        <v>#VALUE!</v>
      </c>
      <c r="M78" s="2" t="e">
        <f>BowlSplit(#REF!,$C$43)</f>
        <v>#VALUE!</v>
      </c>
      <c r="N78" s="2" t="e">
        <f>BowlSplit(#REF!,$C$43)</f>
        <v>#VALUE!</v>
      </c>
      <c r="O78" s="2" t="e">
        <f>BowlSplit(#REF!,$C$43)</f>
        <v>#VALUE!</v>
      </c>
      <c r="P78" s="2" t="e">
        <f>BowlSplit(#REF!,$C$43)</f>
        <v>#VALUE!</v>
      </c>
      <c r="Q78" s="2" t="e">
        <f>BowlSplit(#REF!,$C$43)</f>
        <v>#VALUE!</v>
      </c>
      <c r="R78" s="2" t="e">
        <f>BowlSplit(#REF!,$C$43)</f>
        <v>#VALUE!</v>
      </c>
      <c r="S78" s="2" t="e">
        <f>BowlSplit(#REF!,$C$43)</f>
        <v>#VALUE!</v>
      </c>
      <c r="T78" s="2" t="e">
        <f>BowlSplit(#REF!,$C$43)</f>
        <v>#VALUE!</v>
      </c>
      <c r="U78" s="2" t="e">
        <f>BowlSplit(#REF!,$C$43)</f>
        <v>#VALUE!</v>
      </c>
      <c r="V78" s="2" t="e">
        <f>BowlSplit(#REF!,$C$43)</f>
        <v>#VALUE!</v>
      </c>
      <c r="W78" s="2" t="e">
        <f>BowlSplit(#REF!,$C$43)</f>
        <v>#VALUE!</v>
      </c>
      <c r="X78" s="2" t="e">
        <f>BowlSplit(#REF!,$C$43)</f>
        <v>#VALUE!</v>
      </c>
      <c r="Y78" s="2" t="e">
        <f>BowlSplit(#REF!,$C$43)</f>
        <v>#VALUE!</v>
      </c>
      <c r="Z78" s="2" t="e">
        <f>BowlSplit(#REF!,$C$43)</f>
        <v>#VALUE!</v>
      </c>
      <c r="AA78" s="2" t="e">
        <f>BowlSplit(#REF!,$C$43)</f>
        <v>#VALUE!</v>
      </c>
      <c r="AB78" s="2" t="e">
        <f>BowlSplit(#REF!,$C$43)</f>
        <v>#VALUE!</v>
      </c>
      <c r="AC78" s="2" t="e">
        <f>BowlSplit(#REF!,$C$43)</f>
        <v>#VALUE!</v>
      </c>
      <c r="AD78" s="2" t="e">
        <f>BowlSplit(#REF!,$C$43)</f>
        <v>#VALUE!</v>
      </c>
      <c r="AE78" s="2" t="e">
        <f>BowlSplit(#REF!,$C$43)</f>
        <v>#VALUE!</v>
      </c>
      <c r="AF78" s="2" t="e">
        <f>BowlSplit(#REF!,$C$43)</f>
        <v>#VALUE!</v>
      </c>
      <c r="AG78" s="2" t="e">
        <f>BowlSplit(#REF!,$C$43)</f>
        <v>#VALUE!</v>
      </c>
      <c r="AH78" s="2" t="e">
        <f>BowlSplit(#REF!,$C$43)</f>
        <v>#VALUE!</v>
      </c>
      <c r="AI78" s="2" t="e">
        <f>BowlSplit(#REF!,$C$43)</f>
        <v>#VALUE!</v>
      </c>
      <c r="AJ78" s="2" t="e">
        <f>BowlSplit(#REF!,$C$43)</f>
        <v>#VALUE!</v>
      </c>
      <c r="AK78" s="2" t="e">
        <f>BowlSplit(#REF!,$C$43)</f>
        <v>#VALUE!</v>
      </c>
      <c r="AL78" s="2" t="e">
        <f>BowlSplit(#REF!,$C$43)</f>
        <v>#VALUE!</v>
      </c>
      <c r="AM78" s="2" t="e">
        <f>BowlSplit(#REF!,$C$43)</f>
        <v>#VALUE!</v>
      </c>
      <c r="AN78" s="2" t="e">
        <f>BowlSplit(#REF!,$C$43)</f>
        <v>#VALUE!</v>
      </c>
      <c r="AO78" s="2" t="e">
        <f>BowlSplit(#REF!,$C$43)</f>
        <v>#VALUE!</v>
      </c>
      <c r="AP78" s="2" t="e">
        <f>BowlSplit(#REF!,$C$43)</f>
        <v>#VALUE!</v>
      </c>
      <c r="AQ78" s="2" t="e">
        <f>BowlSplit(#REF!,$C$43)</f>
        <v>#VALUE!</v>
      </c>
      <c r="AR78" s="2" t="e">
        <f>BowlSplit(#REF!,$C$43)</f>
        <v>#VALUE!</v>
      </c>
    </row>
    <row r="79" spans="3:44" x14ac:dyDescent="0.15">
      <c r="C79" s="2" t="e">
        <f>BowlSplit(#REF!,$C$43)</f>
        <v>#VALUE!</v>
      </c>
      <c r="D79" s="2" t="e">
        <f>BowlSplit(#REF!,$C$43)</f>
        <v>#VALUE!</v>
      </c>
      <c r="E79" s="2" t="e">
        <f>BowlSplit(#REF!,$C$43)</f>
        <v>#VALUE!</v>
      </c>
      <c r="F79" s="2" t="e">
        <f>BowlSplit(#REF!,$C$43)</f>
        <v>#VALUE!</v>
      </c>
      <c r="G79" s="2" t="e">
        <f>BowlSplit(#REF!,$C$43)</f>
        <v>#VALUE!</v>
      </c>
      <c r="H79" s="2" t="e">
        <f>BowlSplit(#REF!,$C$43)</f>
        <v>#VALUE!</v>
      </c>
      <c r="I79" s="2" t="e">
        <f>BowlSplit(#REF!,$C$43)</f>
        <v>#VALUE!</v>
      </c>
      <c r="J79" s="2" t="e">
        <f>BowlSplit(#REF!,$C$43)</f>
        <v>#VALUE!</v>
      </c>
      <c r="K79" s="2" t="e">
        <f>BowlSplit(#REF!,$C$43)</f>
        <v>#VALUE!</v>
      </c>
      <c r="L79" s="2" t="e">
        <f>BowlSplit(#REF!,$C$43)</f>
        <v>#VALUE!</v>
      </c>
      <c r="M79" s="2" t="e">
        <f>BowlSplit(#REF!,$C$43)</f>
        <v>#VALUE!</v>
      </c>
      <c r="N79" s="2" t="e">
        <f>BowlSplit(#REF!,$C$43)</f>
        <v>#VALUE!</v>
      </c>
      <c r="O79" s="2" t="e">
        <f>BowlSplit(#REF!,$C$43)</f>
        <v>#VALUE!</v>
      </c>
      <c r="P79" s="2" t="e">
        <f>BowlSplit(#REF!,$C$43)</f>
        <v>#VALUE!</v>
      </c>
      <c r="Q79" s="2" t="e">
        <f>BowlSplit(#REF!,$C$43)</f>
        <v>#VALUE!</v>
      </c>
      <c r="R79" s="2" t="e">
        <f>BowlSplit(#REF!,$C$43)</f>
        <v>#VALUE!</v>
      </c>
      <c r="S79" s="2" t="e">
        <f>BowlSplit(#REF!,$C$43)</f>
        <v>#VALUE!</v>
      </c>
      <c r="T79" s="2" t="e">
        <f>BowlSplit(#REF!,$C$43)</f>
        <v>#VALUE!</v>
      </c>
      <c r="U79" s="2" t="e">
        <f>BowlSplit(#REF!,$C$43)</f>
        <v>#VALUE!</v>
      </c>
      <c r="V79" s="2" t="e">
        <f>BowlSplit(#REF!,$C$43)</f>
        <v>#VALUE!</v>
      </c>
      <c r="W79" s="2" t="e">
        <f>BowlSplit(#REF!,$C$43)</f>
        <v>#VALUE!</v>
      </c>
      <c r="X79" s="2" t="e">
        <f>BowlSplit(#REF!,$C$43)</f>
        <v>#VALUE!</v>
      </c>
      <c r="Y79" s="2" t="e">
        <f>BowlSplit(#REF!,$C$43)</f>
        <v>#VALUE!</v>
      </c>
      <c r="Z79" s="2" t="e">
        <f>BowlSplit(#REF!,$C$43)</f>
        <v>#VALUE!</v>
      </c>
      <c r="AA79" s="2" t="e">
        <f>BowlSplit(#REF!,$C$43)</f>
        <v>#VALUE!</v>
      </c>
      <c r="AB79" s="2" t="e">
        <f>BowlSplit(#REF!,$C$43)</f>
        <v>#VALUE!</v>
      </c>
      <c r="AC79" s="2" t="e">
        <f>BowlSplit(#REF!,$C$43)</f>
        <v>#VALUE!</v>
      </c>
      <c r="AD79" s="2" t="e">
        <f>BowlSplit(#REF!,$C$43)</f>
        <v>#VALUE!</v>
      </c>
      <c r="AE79" s="2" t="e">
        <f>BowlSplit(#REF!,$C$43)</f>
        <v>#VALUE!</v>
      </c>
      <c r="AF79" s="2" t="e">
        <f>BowlSplit(#REF!,$C$43)</f>
        <v>#VALUE!</v>
      </c>
      <c r="AG79" s="2" t="e">
        <f>BowlSplit(#REF!,$C$43)</f>
        <v>#VALUE!</v>
      </c>
      <c r="AH79" s="2" t="e">
        <f>BowlSplit(#REF!,$C$43)</f>
        <v>#VALUE!</v>
      </c>
      <c r="AI79" s="2" t="e">
        <f>BowlSplit(#REF!,$C$43)</f>
        <v>#VALUE!</v>
      </c>
      <c r="AJ79" s="2" t="e">
        <f>BowlSplit(#REF!,$C$43)</f>
        <v>#VALUE!</v>
      </c>
      <c r="AK79" s="2" t="e">
        <f>BowlSplit(#REF!,$C$43)</f>
        <v>#VALUE!</v>
      </c>
      <c r="AL79" s="2" t="e">
        <f>BowlSplit(#REF!,$C$43)</f>
        <v>#VALUE!</v>
      </c>
      <c r="AM79" s="2" t="e">
        <f>BowlSplit(#REF!,$C$43)</f>
        <v>#VALUE!</v>
      </c>
      <c r="AN79" s="2" t="e">
        <f>BowlSplit(#REF!,$C$43)</f>
        <v>#VALUE!</v>
      </c>
      <c r="AO79" s="2" t="e">
        <f>BowlSplit(#REF!,$C$43)</f>
        <v>#VALUE!</v>
      </c>
      <c r="AP79" s="2" t="e">
        <f>BowlSplit(#REF!,$C$43)</f>
        <v>#VALUE!</v>
      </c>
      <c r="AQ79" s="2" t="e">
        <f>BowlSplit(#REF!,$C$43)</f>
        <v>#VALUE!</v>
      </c>
      <c r="AR79" s="2" t="e">
        <f>BowlSplit(#REF!,$C$43)</f>
        <v>#VALUE!</v>
      </c>
    </row>
    <row r="80" spans="3:44" x14ac:dyDescent="0.15">
      <c r="C80" s="2" t="e">
        <f>BowlSplit(#REF!,$C$43)</f>
        <v>#VALUE!</v>
      </c>
      <c r="D80" s="2" t="e">
        <f>BowlSplit(#REF!,$C$43)</f>
        <v>#VALUE!</v>
      </c>
      <c r="E80" s="2" t="e">
        <f>BowlSplit(#REF!,$C$43)</f>
        <v>#VALUE!</v>
      </c>
      <c r="F80" s="2" t="e">
        <f>BowlSplit(#REF!,$C$43)</f>
        <v>#VALUE!</v>
      </c>
      <c r="G80" s="2" t="e">
        <f>BowlSplit(#REF!,$C$43)</f>
        <v>#VALUE!</v>
      </c>
      <c r="H80" s="2" t="e">
        <f>BowlSplit(#REF!,$C$43)</f>
        <v>#VALUE!</v>
      </c>
      <c r="I80" s="2" t="e">
        <f>BowlSplit(#REF!,$C$43)</f>
        <v>#VALUE!</v>
      </c>
      <c r="J80" s="2" t="e">
        <f>BowlSplit(#REF!,$C$43)</f>
        <v>#VALUE!</v>
      </c>
      <c r="K80" s="2" t="e">
        <f>BowlSplit(#REF!,$C$43)</f>
        <v>#VALUE!</v>
      </c>
      <c r="L80" s="2" t="e">
        <f>BowlSplit(#REF!,$C$43)</f>
        <v>#VALUE!</v>
      </c>
      <c r="M80" s="2" t="e">
        <f>BowlSplit(#REF!,$C$43)</f>
        <v>#VALUE!</v>
      </c>
      <c r="N80" s="2" t="e">
        <f>BowlSplit(#REF!,$C$43)</f>
        <v>#VALUE!</v>
      </c>
      <c r="O80" s="2" t="e">
        <f>BowlSplit(#REF!,$C$43)</f>
        <v>#VALUE!</v>
      </c>
      <c r="P80" s="2" t="e">
        <f>BowlSplit(#REF!,$C$43)</f>
        <v>#VALUE!</v>
      </c>
      <c r="Q80" s="2" t="e">
        <f>BowlSplit(#REF!,$C$43)</f>
        <v>#VALUE!</v>
      </c>
      <c r="R80" s="2" t="e">
        <f>BowlSplit(#REF!,$C$43)</f>
        <v>#VALUE!</v>
      </c>
      <c r="S80" s="2" t="e">
        <f>BowlSplit(#REF!,$C$43)</f>
        <v>#VALUE!</v>
      </c>
      <c r="T80" s="2" t="e">
        <f>BowlSplit(#REF!,$C$43)</f>
        <v>#VALUE!</v>
      </c>
      <c r="U80" s="2" t="e">
        <f>BowlSplit(#REF!,$C$43)</f>
        <v>#VALUE!</v>
      </c>
      <c r="V80" s="2" t="e">
        <f>BowlSplit(#REF!,$C$43)</f>
        <v>#VALUE!</v>
      </c>
      <c r="W80" s="2" t="e">
        <f>BowlSplit(#REF!,$C$43)</f>
        <v>#VALUE!</v>
      </c>
      <c r="X80" s="2" t="e">
        <f>BowlSplit(#REF!,$C$43)</f>
        <v>#VALUE!</v>
      </c>
      <c r="Y80" s="2" t="e">
        <f>BowlSplit(#REF!,$C$43)</f>
        <v>#VALUE!</v>
      </c>
      <c r="Z80" s="2" t="e">
        <f>BowlSplit(#REF!,$C$43)</f>
        <v>#VALUE!</v>
      </c>
      <c r="AA80" s="2" t="e">
        <f>BowlSplit(#REF!,$C$43)</f>
        <v>#VALUE!</v>
      </c>
      <c r="AB80" s="2" t="e">
        <f>BowlSplit(#REF!,$C$43)</f>
        <v>#VALUE!</v>
      </c>
      <c r="AC80" s="2" t="e">
        <f>BowlSplit(#REF!,$C$43)</f>
        <v>#VALUE!</v>
      </c>
      <c r="AD80" s="2" t="e">
        <f>BowlSplit(#REF!,$C$43)</f>
        <v>#VALUE!</v>
      </c>
      <c r="AE80" s="2" t="e">
        <f>BowlSplit(#REF!,$C$43)</f>
        <v>#VALUE!</v>
      </c>
      <c r="AF80" s="2" t="e">
        <f>BowlSplit(#REF!,$C$43)</f>
        <v>#VALUE!</v>
      </c>
      <c r="AG80" s="2" t="e">
        <f>BowlSplit(#REF!,$C$43)</f>
        <v>#VALUE!</v>
      </c>
      <c r="AH80" s="2" t="e">
        <f>BowlSplit(#REF!,$C$43)</f>
        <v>#VALUE!</v>
      </c>
      <c r="AI80" s="2" t="e">
        <f>BowlSplit(#REF!,$C$43)</f>
        <v>#VALUE!</v>
      </c>
      <c r="AJ80" s="2" t="e">
        <f>BowlSplit(#REF!,$C$43)</f>
        <v>#VALUE!</v>
      </c>
      <c r="AK80" s="2" t="e">
        <f>BowlSplit(#REF!,$C$43)</f>
        <v>#VALUE!</v>
      </c>
      <c r="AL80" s="2" t="e">
        <f>BowlSplit(#REF!,$C$43)</f>
        <v>#VALUE!</v>
      </c>
      <c r="AM80" s="2" t="e">
        <f>BowlSplit(#REF!,$C$43)</f>
        <v>#VALUE!</v>
      </c>
      <c r="AN80" s="2" t="e">
        <f>BowlSplit(#REF!,$C$43)</f>
        <v>#VALUE!</v>
      </c>
      <c r="AO80" s="2" t="e">
        <f>BowlSplit(#REF!,$C$43)</f>
        <v>#VALUE!</v>
      </c>
      <c r="AP80" s="2" t="e">
        <f>BowlSplit(#REF!,$C$43)</f>
        <v>#VALUE!</v>
      </c>
      <c r="AQ80" s="2" t="e">
        <f>BowlSplit(#REF!,$C$43)</f>
        <v>#VALUE!</v>
      </c>
      <c r="AR80" s="2" t="e">
        <f>BowlSplit(#REF!,$C$43)</f>
        <v>#VALUE!</v>
      </c>
    </row>
    <row r="81" spans="3:44" x14ac:dyDescent="0.15">
      <c r="C81" s="2" t="e">
        <f>BowlSplit(#REF!,$C$43)</f>
        <v>#VALUE!</v>
      </c>
      <c r="D81" s="2" t="e">
        <f>BowlSplit(#REF!,$C$43)</f>
        <v>#VALUE!</v>
      </c>
      <c r="E81" s="2" t="e">
        <f>BowlSplit(#REF!,$C$43)</f>
        <v>#VALUE!</v>
      </c>
      <c r="F81" s="2" t="e">
        <f>BowlSplit(#REF!,$C$43)</f>
        <v>#VALUE!</v>
      </c>
      <c r="G81" s="2" t="e">
        <f>BowlSplit(#REF!,$C$43)</f>
        <v>#VALUE!</v>
      </c>
      <c r="H81" s="2" t="e">
        <f>BowlSplit(#REF!,$C$43)</f>
        <v>#VALUE!</v>
      </c>
      <c r="I81" s="2" t="e">
        <f>BowlSplit(#REF!,$C$43)</f>
        <v>#VALUE!</v>
      </c>
      <c r="J81" s="2" t="e">
        <f>BowlSplit(#REF!,$C$43)</f>
        <v>#VALUE!</v>
      </c>
      <c r="K81" s="2" t="e">
        <f>BowlSplit(#REF!,$C$43)</f>
        <v>#VALUE!</v>
      </c>
      <c r="L81" s="2" t="e">
        <f>BowlSplit(#REF!,$C$43)</f>
        <v>#VALUE!</v>
      </c>
      <c r="M81" s="2" t="e">
        <f>BowlSplit(#REF!,$C$43)</f>
        <v>#VALUE!</v>
      </c>
      <c r="N81" s="2" t="e">
        <f>BowlSplit(#REF!,$C$43)</f>
        <v>#VALUE!</v>
      </c>
      <c r="O81" s="2" t="e">
        <f>BowlSplit(#REF!,$C$43)</f>
        <v>#VALUE!</v>
      </c>
      <c r="P81" s="2" t="e">
        <f>BowlSplit(#REF!,$C$43)</f>
        <v>#VALUE!</v>
      </c>
      <c r="Q81" s="2" t="e">
        <f>BowlSplit(#REF!,$C$43)</f>
        <v>#VALUE!</v>
      </c>
      <c r="R81" s="2" t="e">
        <f>BowlSplit(#REF!,$C$43)</f>
        <v>#VALUE!</v>
      </c>
      <c r="S81" s="2" t="e">
        <f>BowlSplit(#REF!,$C$43)</f>
        <v>#VALUE!</v>
      </c>
      <c r="T81" s="2" t="e">
        <f>BowlSplit(#REF!,$C$43)</f>
        <v>#VALUE!</v>
      </c>
      <c r="U81" s="2" t="e">
        <f>BowlSplit(#REF!,$C$43)</f>
        <v>#VALUE!</v>
      </c>
      <c r="V81" s="2" t="e">
        <f>BowlSplit(#REF!,$C$43)</f>
        <v>#VALUE!</v>
      </c>
      <c r="W81" s="2" t="e">
        <f>BowlSplit(#REF!,$C$43)</f>
        <v>#VALUE!</v>
      </c>
      <c r="X81" s="2" t="e">
        <f>BowlSplit(#REF!,$C$43)</f>
        <v>#VALUE!</v>
      </c>
      <c r="Y81" s="2" t="e">
        <f>BowlSplit(#REF!,$C$43)</f>
        <v>#VALUE!</v>
      </c>
      <c r="Z81" s="2" t="e">
        <f>BowlSplit(#REF!,$C$43)</f>
        <v>#VALUE!</v>
      </c>
      <c r="AA81" s="2" t="e">
        <f>BowlSplit(#REF!,$C$43)</f>
        <v>#VALUE!</v>
      </c>
      <c r="AB81" s="2" t="e">
        <f>BowlSplit(#REF!,$C$43)</f>
        <v>#VALUE!</v>
      </c>
      <c r="AC81" s="2" t="e">
        <f>BowlSplit(#REF!,$C$43)</f>
        <v>#VALUE!</v>
      </c>
      <c r="AD81" s="2" t="e">
        <f>BowlSplit(#REF!,$C$43)</f>
        <v>#VALUE!</v>
      </c>
      <c r="AE81" s="2" t="e">
        <f>BowlSplit(#REF!,$C$43)</f>
        <v>#VALUE!</v>
      </c>
      <c r="AF81" s="2" t="e">
        <f>BowlSplit(#REF!,$C$43)</f>
        <v>#VALUE!</v>
      </c>
      <c r="AG81" s="2" t="e">
        <f>BowlSplit(#REF!,$C$43)</f>
        <v>#VALUE!</v>
      </c>
      <c r="AH81" s="2" t="e">
        <f>BowlSplit(#REF!,$C$43)</f>
        <v>#VALUE!</v>
      </c>
      <c r="AI81" s="2" t="e">
        <f>BowlSplit(#REF!,$C$43)</f>
        <v>#VALUE!</v>
      </c>
      <c r="AJ81" s="2" t="e">
        <f>BowlSplit(#REF!,$C$43)</f>
        <v>#VALUE!</v>
      </c>
      <c r="AK81" s="2" t="e">
        <f>BowlSplit(#REF!,$C$43)</f>
        <v>#VALUE!</v>
      </c>
      <c r="AL81" s="2" t="e">
        <f>BowlSplit(#REF!,$C$43)</f>
        <v>#VALUE!</v>
      </c>
      <c r="AM81" s="2" t="e">
        <f>BowlSplit(#REF!,$C$43)</f>
        <v>#VALUE!</v>
      </c>
      <c r="AN81" s="2" t="e">
        <f>BowlSplit(#REF!,$C$43)</f>
        <v>#VALUE!</v>
      </c>
      <c r="AO81" s="2" t="e">
        <f>BowlSplit(#REF!,$C$43)</f>
        <v>#VALUE!</v>
      </c>
      <c r="AP81" s="2" t="e">
        <f>BowlSplit(#REF!,$C$43)</f>
        <v>#VALUE!</v>
      </c>
      <c r="AQ81" s="2" t="e">
        <f>BowlSplit(#REF!,$C$43)</f>
        <v>#VALUE!</v>
      </c>
      <c r="AR81" s="2" t="e">
        <f>BowlSplit(#REF!,$C$43)</f>
        <v>#VALUE!</v>
      </c>
    </row>
    <row r="82" spans="3:44" x14ac:dyDescent="0.15">
      <c r="C82" s="2">
        <f t="shared" ref="C82:F83" si="66">BowlSplit(C33,$C$43)</f>
        <v>0</v>
      </c>
      <c r="D82" s="2">
        <f t="shared" si="66"/>
        <v>0</v>
      </c>
      <c r="E82" s="2">
        <f t="shared" si="66"/>
        <v>0</v>
      </c>
      <c r="F82" s="2">
        <f t="shared" si="66"/>
        <v>0</v>
      </c>
      <c r="G82" s="2">
        <f t="shared" ref="G82:AR82" si="67">BowlSplit(G33,$C$43)</f>
        <v>0</v>
      </c>
      <c r="H82" s="2">
        <f t="shared" si="67"/>
        <v>0</v>
      </c>
      <c r="I82" s="2">
        <f t="shared" si="67"/>
        <v>0</v>
      </c>
      <c r="J82" s="2">
        <f t="shared" si="67"/>
        <v>0</v>
      </c>
      <c r="K82" s="2">
        <f t="shared" si="67"/>
        <v>0</v>
      </c>
      <c r="L82" s="2">
        <f t="shared" si="67"/>
        <v>0</v>
      </c>
      <c r="M82" s="2">
        <f t="shared" si="67"/>
        <v>0</v>
      </c>
      <c r="N82" s="2">
        <f t="shared" si="67"/>
        <v>0</v>
      </c>
      <c r="O82" s="2">
        <f t="shared" si="67"/>
        <v>0</v>
      </c>
      <c r="P82" s="2">
        <f t="shared" si="67"/>
        <v>0</v>
      </c>
      <c r="Q82" s="2">
        <f t="shared" si="67"/>
        <v>0</v>
      </c>
      <c r="R82" s="2">
        <f t="shared" si="67"/>
        <v>0</v>
      </c>
      <c r="S82" s="2">
        <f t="shared" si="67"/>
        <v>0</v>
      </c>
      <c r="T82" s="2">
        <f t="shared" si="67"/>
        <v>0</v>
      </c>
      <c r="U82" s="2">
        <f t="shared" si="67"/>
        <v>0</v>
      </c>
      <c r="V82" s="2">
        <f t="shared" si="67"/>
        <v>0</v>
      </c>
      <c r="W82" s="2">
        <f t="shared" si="67"/>
        <v>0</v>
      </c>
      <c r="X82" s="2">
        <f t="shared" si="67"/>
        <v>0</v>
      </c>
      <c r="Y82" s="2">
        <f t="shared" si="67"/>
        <v>0</v>
      </c>
      <c r="Z82" s="2">
        <f t="shared" si="67"/>
        <v>0</v>
      </c>
      <c r="AA82" s="2">
        <f t="shared" si="67"/>
        <v>0</v>
      </c>
      <c r="AB82" s="2">
        <f t="shared" si="67"/>
        <v>0</v>
      </c>
      <c r="AC82" s="2">
        <f t="shared" si="67"/>
        <v>0</v>
      </c>
      <c r="AD82" s="2">
        <f t="shared" si="67"/>
        <v>0</v>
      </c>
      <c r="AE82" s="2">
        <f t="shared" si="67"/>
        <v>0</v>
      </c>
      <c r="AF82" s="2">
        <f t="shared" si="67"/>
        <v>0</v>
      </c>
      <c r="AG82" s="2">
        <f t="shared" si="67"/>
        <v>0</v>
      </c>
      <c r="AH82" s="2">
        <f t="shared" si="67"/>
        <v>0</v>
      </c>
      <c r="AI82" s="2">
        <f t="shared" si="67"/>
        <v>0</v>
      </c>
      <c r="AJ82" s="2">
        <f t="shared" si="67"/>
        <v>0</v>
      </c>
      <c r="AK82" s="2">
        <f t="shared" si="67"/>
        <v>0</v>
      </c>
      <c r="AL82" s="2">
        <f t="shared" si="67"/>
        <v>0</v>
      </c>
      <c r="AM82" s="2">
        <f t="shared" si="67"/>
        <v>0</v>
      </c>
      <c r="AN82" s="2">
        <f t="shared" si="67"/>
        <v>0</v>
      </c>
      <c r="AO82" s="2">
        <f t="shared" si="67"/>
        <v>0</v>
      </c>
      <c r="AP82" s="2">
        <f t="shared" si="67"/>
        <v>0</v>
      </c>
      <c r="AQ82" s="2">
        <f t="shared" si="67"/>
        <v>0</v>
      </c>
      <c r="AR82" s="2">
        <f t="shared" si="67"/>
        <v>0</v>
      </c>
    </row>
    <row r="83" spans="3:44" x14ac:dyDescent="0.15">
      <c r="C83" s="2">
        <f t="shared" si="66"/>
        <v>0</v>
      </c>
      <c r="D83" s="2">
        <f t="shared" si="66"/>
        <v>0</v>
      </c>
      <c r="E83" s="2">
        <f t="shared" si="66"/>
        <v>0</v>
      </c>
      <c r="F83" s="2">
        <f t="shared" si="66"/>
        <v>0</v>
      </c>
      <c r="G83" s="2">
        <f t="shared" ref="G83:AR83" si="68">BowlSplit(G34,$C$43)</f>
        <v>4</v>
      </c>
      <c r="H83" s="2">
        <f t="shared" si="68"/>
        <v>0</v>
      </c>
      <c r="I83" s="2">
        <f t="shared" si="68"/>
        <v>0</v>
      </c>
      <c r="J83" s="2">
        <f t="shared" si="68"/>
        <v>0</v>
      </c>
      <c r="K83" s="2">
        <f t="shared" si="68"/>
        <v>0</v>
      </c>
      <c r="L83" s="2">
        <f t="shared" si="68"/>
        <v>0</v>
      </c>
      <c r="M83" s="2">
        <f t="shared" si="68"/>
        <v>0</v>
      </c>
      <c r="N83" s="2">
        <f t="shared" si="68"/>
        <v>0</v>
      </c>
      <c r="O83" s="2">
        <f t="shared" si="68"/>
        <v>0</v>
      </c>
      <c r="P83" s="2">
        <f t="shared" si="68"/>
        <v>0</v>
      </c>
      <c r="Q83" s="2">
        <f t="shared" si="68"/>
        <v>0</v>
      </c>
      <c r="R83" s="2">
        <f t="shared" si="68"/>
        <v>0</v>
      </c>
      <c r="S83" s="2">
        <f t="shared" si="68"/>
        <v>0</v>
      </c>
      <c r="T83" s="2">
        <f t="shared" si="68"/>
        <v>0</v>
      </c>
      <c r="U83" s="2">
        <f t="shared" si="68"/>
        <v>0</v>
      </c>
      <c r="V83" s="2">
        <f t="shared" si="68"/>
        <v>0</v>
      </c>
      <c r="W83" s="2">
        <f t="shared" si="68"/>
        <v>0</v>
      </c>
      <c r="X83" s="2">
        <f t="shared" si="68"/>
        <v>0</v>
      </c>
      <c r="Y83" s="2">
        <f t="shared" si="68"/>
        <v>0</v>
      </c>
      <c r="Z83" s="2">
        <f t="shared" si="68"/>
        <v>0</v>
      </c>
      <c r="AA83" s="2">
        <f t="shared" si="68"/>
        <v>0</v>
      </c>
      <c r="AB83" s="2">
        <f t="shared" si="68"/>
        <v>0</v>
      </c>
      <c r="AC83" s="2">
        <f t="shared" si="68"/>
        <v>0</v>
      </c>
      <c r="AD83" s="2">
        <f t="shared" si="68"/>
        <v>0</v>
      </c>
      <c r="AE83" s="2">
        <f t="shared" si="68"/>
        <v>0</v>
      </c>
      <c r="AF83" s="2">
        <f t="shared" si="68"/>
        <v>0</v>
      </c>
      <c r="AG83" s="2">
        <f t="shared" si="68"/>
        <v>0</v>
      </c>
      <c r="AH83" s="2">
        <f t="shared" si="68"/>
        <v>0</v>
      </c>
      <c r="AI83" s="2">
        <f t="shared" si="68"/>
        <v>0</v>
      </c>
      <c r="AJ83" s="2">
        <f t="shared" si="68"/>
        <v>0</v>
      </c>
      <c r="AK83" s="2">
        <f t="shared" si="68"/>
        <v>0</v>
      </c>
      <c r="AL83" s="2">
        <f t="shared" si="68"/>
        <v>0</v>
      </c>
      <c r="AM83" s="2">
        <f t="shared" si="68"/>
        <v>0</v>
      </c>
      <c r="AN83" s="2">
        <f t="shared" si="68"/>
        <v>0</v>
      </c>
      <c r="AO83" s="2">
        <f t="shared" si="68"/>
        <v>0</v>
      </c>
      <c r="AP83" s="2">
        <f t="shared" si="68"/>
        <v>0</v>
      </c>
      <c r="AQ83" s="2">
        <f t="shared" si="68"/>
        <v>0</v>
      </c>
      <c r="AR83" s="2">
        <f t="shared" si="68"/>
        <v>0</v>
      </c>
    </row>
  </sheetData>
  <phoneticPr fontId="0" type="noConversion"/>
  <conditionalFormatting sqref="AG95:AG106 AU44:BB86 AS44:AT94 C75:AR94">
    <cfRule type="cellIs" dxfId="2" priority="3" stopIfTrue="1" operator="greaterThan">
      <formula>5</formula>
    </cfRule>
  </conditionalFormatting>
  <conditionalFormatting sqref="C42:CC42">
    <cfRule type="cellIs" dxfId="1" priority="4" stopIfTrue="1" operator="notEqual">
      <formula>C40</formula>
    </cfRule>
  </conditionalFormatting>
  <conditionalFormatting sqref="C44:AR83">
    <cfRule type="cellIs" dxfId="0" priority="5" stopIfTrue="1" operator="equal">
      <formula>$B$44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5"/>
  <sheetViews>
    <sheetView topLeftCell="F1" workbookViewId="0">
      <selection activeCell="W26" sqref="W26:W42"/>
    </sheetView>
  </sheetViews>
  <sheetFormatPr defaultRowHeight="10.5" x14ac:dyDescent="0.15"/>
  <cols>
    <col min="1" max="1" width="17.28515625" style="70" bestFit="1" customWidth="1"/>
    <col min="2" max="2" width="12.7109375" style="70" bestFit="1" customWidth="1"/>
    <col min="3" max="3" width="7.5703125" style="74" bestFit="1" customWidth="1"/>
    <col min="4" max="4" width="5.28515625" style="74" bestFit="1" customWidth="1"/>
    <col min="5" max="5" width="7.140625" style="74" bestFit="1" customWidth="1"/>
    <col min="6" max="7" width="5.28515625" style="74" bestFit="1" customWidth="1"/>
    <col min="8" max="8" width="8.85546875" style="80" bestFit="1" customWidth="1"/>
    <col min="9" max="9" width="5.28515625" style="70" bestFit="1" customWidth="1"/>
    <col min="10" max="11" width="9.140625" style="70"/>
    <col min="12" max="12" width="21.5703125" style="70" bestFit="1" customWidth="1"/>
    <col min="13" max="13" width="9.140625" style="70"/>
    <col min="14" max="14" width="12.7109375" style="140" bestFit="1" customWidth="1"/>
    <col min="15" max="15" width="13.140625" style="146" bestFit="1" customWidth="1"/>
    <col min="16" max="16" width="4.5703125" style="140" bestFit="1" customWidth="1"/>
    <col min="17" max="17" width="7.140625" style="140" bestFit="1" customWidth="1"/>
    <col min="18" max="18" width="5" style="147" bestFit="1" customWidth="1"/>
    <col min="19" max="19" width="5" style="140" bestFit="1" customWidth="1"/>
    <col min="20" max="20" width="8.85546875" style="145" bestFit="1" customWidth="1"/>
    <col min="21" max="16384" width="9.140625" style="70"/>
  </cols>
  <sheetData>
    <row r="1" spans="1:23" ht="12.75" x14ac:dyDescent="0.15">
      <c r="A1" s="62" t="s">
        <v>146</v>
      </c>
      <c r="C1" s="74" t="s">
        <v>5</v>
      </c>
      <c r="D1" s="74" t="s">
        <v>7</v>
      </c>
      <c r="E1" s="74" t="s">
        <v>8</v>
      </c>
      <c r="F1" s="74" t="s">
        <v>147</v>
      </c>
      <c r="G1" s="74" t="s">
        <v>9</v>
      </c>
      <c r="H1" s="80" t="s">
        <v>10</v>
      </c>
      <c r="J1" s="74"/>
      <c r="L1" s="70" t="s">
        <v>242</v>
      </c>
      <c r="M1" s="70">
        <f t="array" aca="1" ref="M1" ca="1">SUM(IF(NOT(ISNA(B2:B60)),1,0))</f>
        <v>40</v>
      </c>
      <c r="N1" s="148"/>
      <c r="O1" s="151" t="s">
        <v>87</v>
      </c>
      <c r="P1" s="149" t="s">
        <v>7</v>
      </c>
      <c r="Q1" s="149" t="s">
        <v>549</v>
      </c>
      <c r="R1" s="149" t="s">
        <v>147</v>
      </c>
      <c r="S1" s="149" t="s">
        <v>9</v>
      </c>
      <c r="T1" s="149" t="s">
        <v>39</v>
      </c>
    </row>
    <row r="2" spans="1:23" ht="12.75" x14ac:dyDescent="0.15">
      <c r="A2" s="70">
        <v>1</v>
      </c>
      <c r="B2" s="70" t="str">
        <f ca="1">OFFSET(Batting!$C$4,BatAves!$I2,0)</f>
        <v>Leadley J</v>
      </c>
      <c r="C2" s="74">
        <f ca="1">OFFSET(Batting!$CE$4,BatAves!$I2,0)</f>
        <v>1</v>
      </c>
      <c r="D2" s="74">
        <f ca="1">OFFSET(Batting!$CG$4,BatAves!$I2,0)</f>
        <v>1</v>
      </c>
      <c r="E2" s="74">
        <f ca="1">OFFSET(Batting!$CH$4,BatAves!$I2,0)</f>
        <v>0</v>
      </c>
      <c r="F2" s="74">
        <f ca="1">OFFSET(Batting!$CJ$4,BatAves!$I2,0)</f>
        <v>51</v>
      </c>
      <c r="G2" s="74">
        <f ca="1">OFFSET(Batting!$CK$4,BatAves!$I2,0)</f>
        <v>51</v>
      </c>
      <c r="H2" s="79">
        <f ca="1">OFFSET(Batting!$CL$4,BatAves!$I2,0)</f>
        <v>51</v>
      </c>
      <c r="I2" s="70">
        <f>MATCH(A2,Batting!$DF$5:$DF$44,0)</f>
        <v>20</v>
      </c>
      <c r="J2" s="70">
        <f ca="1">IF(D2&gt;=5,A2,1000+A2)</f>
        <v>1001</v>
      </c>
      <c r="K2" s="70">
        <f ca="1">RANK(J2,OFFSET($J$2,0,0,$M$1,1),-1)</f>
        <v>14</v>
      </c>
      <c r="L2" s="70" t="str">
        <f ca="1">IF(D2&lt;5,B2&amp;" "&amp;D2&amp;"-"&amp;E2&amp;"-"&amp;F2&amp;"-"&amp;G2,"")</f>
        <v>Leadley J 1-0-51-51</v>
      </c>
      <c r="M2" s="70">
        <f ca="1">MATCH(N2,OFFSET($K$2,0,0,$M$1,1),0)</f>
        <v>3</v>
      </c>
      <c r="N2" s="148">
        <v>1</v>
      </c>
      <c r="O2" s="148" t="str">
        <f ca="1">OFFSET(B$1,$M2,0)</f>
        <v>Middleton J</v>
      </c>
      <c r="P2" s="148">
        <f ca="1">OFFSET(D$1,$M2,0)</f>
        <v>6</v>
      </c>
      <c r="Q2" s="148">
        <f ca="1">OFFSET(E$1,$M2,0)</f>
        <v>0</v>
      </c>
      <c r="R2" s="148">
        <f ca="1">OFFSET(F$1,$M2,0)</f>
        <v>51</v>
      </c>
      <c r="S2" s="148">
        <f ca="1">OFFSET(G$1,$M2,0)</f>
        <v>144</v>
      </c>
      <c r="T2" s="150">
        <f ca="1">OFFSET(H$1,$M2,0)</f>
        <v>24</v>
      </c>
      <c r="U2" s="74"/>
    </row>
    <row r="3" spans="1:23" ht="12.75" x14ac:dyDescent="0.15">
      <c r="A3" s="70">
        <v>2</v>
      </c>
      <c r="B3" s="70" t="str">
        <f ca="1">OFFSET(Batting!$C$4,BatAves!$I3,0)</f>
        <v>Springer T</v>
      </c>
      <c r="C3" s="74">
        <f ca="1">OFFSET(Batting!$CE$4,BatAves!$I3,0)</f>
        <v>1</v>
      </c>
      <c r="D3" s="74">
        <f ca="1">OFFSET(Batting!$CG$4,BatAves!$I3,0)</f>
        <v>1</v>
      </c>
      <c r="E3" s="74">
        <f ca="1">OFFSET(Batting!$CH$4,BatAves!$I3,0)</f>
        <v>0</v>
      </c>
      <c r="F3" s="74">
        <f ca="1">OFFSET(Batting!$CJ$4,BatAves!$I3,0)</f>
        <v>32</v>
      </c>
      <c r="G3" s="74">
        <f ca="1">OFFSET(Batting!$CK$4,BatAves!$I3,0)</f>
        <v>32</v>
      </c>
      <c r="H3" s="79">
        <f ca="1">OFFSET(Batting!$CL$4,BatAves!$I3,0)</f>
        <v>32</v>
      </c>
      <c r="I3" s="70">
        <f>MATCH(A3,Batting!$DF$5:$DF$44,0)</f>
        <v>36</v>
      </c>
      <c r="J3" s="70">
        <f t="shared" ref="J3:J60" ca="1" si="0">IF(D3&gt;=5,A3,1000+A3)</f>
        <v>1002</v>
      </c>
      <c r="K3" s="70">
        <f t="shared" ref="K3:K60" ca="1" si="1">RANK(J3,OFFSET($J$2,0,0,$M$1,1),-1)</f>
        <v>15</v>
      </c>
      <c r="L3" s="70" t="str">
        <f t="shared" ref="L3:L60" ca="1" si="2">IF(D3&lt;5,B3&amp;" "&amp;D3&amp;"-"&amp;E3&amp;"-"&amp;F3&amp;"-"&amp;G3,"")</f>
        <v>Springer T 1-0-32-32</v>
      </c>
      <c r="M3" s="70">
        <f t="shared" ref="M3:M43" ca="1" si="3">MATCH(N3,OFFSET($K$2,0,0,$M$1,1),0)</f>
        <v>4</v>
      </c>
      <c r="N3" s="148">
        <v>2</v>
      </c>
      <c r="O3" s="148" t="str">
        <f t="shared" ref="O3:O43" ca="1" si="4">OFFSET(B$1,$M3,0)</f>
        <v>Edghill C</v>
      </c>
      <c r="P3" s="148">
        <f t="shared" ref="P3:P43" ca="1" si="5">OFFSET(D$1,$M3,0)</f>
        <v>12</v>
      </c>
      <c r="Q3" s="148">
        <f t="shared" ref="Q3:Q43" ca="1" si="6">OFFSET(E$1,$M3,0)</f>
        <v>0</v>
      </c>
      <c r="R3" s="148">
        <f t="shared" ref="R3:R43" ca="1" si="7">OFFSET(F$1,$M3,0)</f>
        <v>58</v>
      </c>
      <c r="S3" s="148">
        <f t="shared" ref="S3:S43" ca="1" si="8">OFFSET(G$1,$M3,0)</f>
        <v>246</v>
      </c>
      <c r="T3" s="150">
        <f t="shared" ref="T3:T43" ca="1" si="9">OFFSET(H$1,$M3,0)</f>
        <v>20.5</v>
      </c>
    </row>
    <row r="4" spans="1:23" ht="12.75" x14ac:dyDescent="0.15">
      <c r="A4" s="70">
        <v>3</v>
      </c>
      <c r="B4" s="70" t="str">
        <f ca="1">OFFSET(Batting!$C$4,BatAves!$I4,0)</f>
        <v>Middleton J</v>
      </c>
      <c r="C4" s="74">
        <f ca="1">OFFSET(Batting!$CE$4,BatAves!$I4,0)</f>
        <v>8</v>
      </c>
      <c r="D4" s="74">
        <f ca="1">OFFSET(Batting!$CG$4,BatAves!$I4,0)</f>
        <v>6</v>
      </c>
      <c r="E4" s="74">
        <f ca="1">OFFSET(Batting!$CH$4,BatAves!$I4,0)</f>
        <v>0</v>
      </c>
      <c r="F4" s="74">
        <f ca="1">OFFSET(Batting!$CJ$4,BatAves!$I4,0)</f>
        <v>51</v>
      </c>
      <c r="G4" s="74">
        <f ca="1">OFFSET(Batting!$CK$4,BatAves!$I4,0)</f>
        <v>144</v>
      </c>
      <c r="H4" s="79">
        <f ca="1">OFFSET(Batting!$CL$4,BatAves!$I4,0)</f>
        <v>24</v>
      </c>
      <c r="I4" s="70">
        <f>MATCH(A4,Batting!$DF$5:$DF$44,0)</f>
        <v>26</v>
      </c>
      <c r="J4" s="70">
        <f t="shared" ca="1" si="0"/>
        <v>3</v>
      </c>
      <c r="K4" s="70">
        <f t="shared" ca="1" si="1"/>
        <v>1</v>
      </c>
      <c r="L4" s="70" t="str">
        <f t="shared" ca="1" si="2"/>
        <v/>
      </c>
      <c r="M4" s="70">
        <f t="shared" ca="1" si="3"/>
        <v>6</v>
      </c>
      <c r="N4" s="148">
        <v>3</v>
      </c>
      <c r="O4" s="148" t="str">
        <f t="shared" ca="1" si="4"/>
        <v>Greyling R</v>
      </c>
      <c r="P4" s="148">
        <f t="shared" ca="1" si="5"/>
        <v>10</v>
      </c>
      <c r="Q4" s="148">
        <f t="shared" ca="1" si="6"/>
        <v>1</v>
      </c>
      <c r="R4" s="148">
        <f t="shared" ca="1" si="7"/>
        <v>38</v>
      </c>
      <c r="S4" s="148">
        <f t="shared" ca="1" si="8"/>
        <v>173</v>
      </c>
      <c r="T4" s="150">
        <f t="shared" ca="1" si="9"/>
        <v>19.222222222222221</v>
      </c>
      <c r="W4" s="70" t="s">
        <v>241</v>
      </c>
    </row>
    <row r="5" spans="1:23" ht="12.75" x14ac:dyDescent="0.15">
      <c r="A5" s="70">
        <v>4</v>
      </c>
      <c r="B5" s="70" t="str">
        <f ca="1">OFFSET(Batting!$C$4,BatAves!$I5,0)</f>
        <v>Edghill C</v>
      </c>
      <c r="C5" s="74">
        <f ca="1">OFFSET(Batting!$CE$4,BatAves!$I5,0)</f>
        <v>12</v>
      </c>
      <c r="D5" s="74">
        <f ca="1">OFFSET(Batting!$CG$4,BatAves!$I5,0)</f>
        <v>12</v>
      </c>
      <c r="E5" s="74">
        <f ca="1">OFFSET(Batting!$CH$4,BatAves!$I5,0)</f>
        <v>0</v>
      </c>
      <c r="F5" s="74">
        <f ca="1">OFFSET(Batting!$CJ$4,BatAves!$I5,0)</f>
        <v>58</v>
      </c>
      <c r="G5" s="74">
        <f ca="1">OFFSET(Batting!$CK$4,BatAves!$I5,0)</f>
        <v>246</v>
      </c>
      <c r="H5" s="79">
        <f ca="1">OFFSET(Batting!$CL$4,BatAves!$I5,0)</f>
        <v>20.5</v>
      </c>
      <c r="I5" s="70">
        <f>MATCH(A5,Batting!$DF$5:$DF$44,0)</f>
        <v>10</v>
      </c>
      <c r="J5" s="70">
        <f t="shared" ca="1" si="0"/>
        <v>4</v>
      </c>
      <c r="K5" s="70">
        <f t="shared" ca="1" si="1"/>
        <v>2</v>
      </c>
      <c r="L5" s="70" t="str">
        <f t="shared" ca="1" si="2"/>
        <v/>
      </c>
      <c r="M5" s="70">
        <f t="shared" ca="1" si="3"/>
        <v>8</v>
      </c>
      <c r="N5" s="148">
        <v>4</v>
      </c>
      <c r="O5" s="148" t="str">
        <f t="shared" ca="1" si="4"/>
        <v>Clark C</v>
      </c>
      <c r="P5" s="148">
        <f t="shared" ca="1" si="5"/>
        <v>6</v>
      </c>
      <c r="Q5" s="148">
        <f t="shared" ca="1" si="6"/>
        <v>4</v>
      </c>
      <c r="R5" s="148">
        <f t="shared" ca="1" si="7"/>
        <v>20</v>
      </c>
      <c r="S5" s="148">
        <f t="shared" ca="1" si="8"/>
        <v>32</v>
      </c>
      <c r="T5" s="150">
        <f t="shared" ca="1" si="9"/>
        <v>16</v>
      </c>
      <c r="W5" s="70" t="s">
        <v>241</v>
      </c>
    </row>
    <row r="6" spans="1:23" ht="12.75" x14ac:dyDescent="0.15">
      <c r="A6" s="70">
        <v>5</v>
      </c>
      <c r="B6" s="70" t="str">
        <f ca="1">OFFSET(Batting!$C$4,BatAves!$I6,0)</f>
        <v>Lestrelle J</v>
      </c>
      <c r="C6" s="74">
        <f ca="1">OFFSET(Batting!$CE$4,BatAves!$I6,0)</f>
        <v>1</v>
      </c>
      <c r="D6" s="74">
        <f ca="1">OFFSET(Batting!$CG$4,BatAves!$I6,0)</f>
        <v>1</v>
      </c>
      <c r="E6" s="74">
        <f ca="1">OFFSET(Batting!$CH$4,BatAves!$I6,0)</f>
        <v>0</v>
      </c>
      <c r="F6" s="74">
        <f ca="1">OFFSET(Batting!$CJ$4,BatAves!$I6,0)</f>
        <v>20</v>
      </c>
      <c r="G6" s="74">
        <f ca="1">OFFSET(Batting!$CK$4,BatAves!$I6,0)</f>
        <v>20</v>
      </c>
      <c r="H6" s="79">
        <f ca="1">OFFSET(Batting!$CL$4,BatAves!$I6,0)</f>
        <v>20</v>
      </c>
      <c r="I6" s="70">
        <f>MATCH(A6,Batting!$DF$5:$DF$44,0)</f>
        <v>22</v>
      </c>
      <c r="J6" s="70">
        <f t="shared" ca="1" si="0"/>
        <v>1005</v>
      </c>
      <c r="K6" s="70">
        <f t="shared" ca="1" si="1"/>
        <v>16</v>
      </c>
      <c r="L6" s="70" t="str">
        <f t="shared" ca="1" si="2"/>
        <v>Lestrelle J 1-0-20-20</v>
      </c>
      <c r="M6" s="70">
        <f t="shared" ca="1" si="3"/>
        <v>10</v>
      </c>
      <c r="N6" s="148">
        <v>5</v>
      </c>
      <c r="O6" s="148" t="str">
        <f t="shared" ca="1" si="4"/>
        <v>Cooper G</v>
      </c>
      <c r="P6" s="148">
        <f t="shared" ca="1" si="5"/>
        <v>8</v>
      </c>
      <c r="Q6" s="148">
        <f t="shared" ca="1" si="6"/>
        <v>3</v>
      </c>
      <c r="R6" s="148">
        <f t="shared" ca="1" si="7"/>
        <v>20</v>
      </c>
      <c r="S6" s="148">
        <f t="shared" ca="1" si="8"/>
        <v>65</v>
      </c>
      <c r="T6" s="150">
        <f t="shared" ca="1" si="9"/>
        <v>13</v>
      </c>
      <c r="W6" s="70" t="s">
        <v>241</v>
      </c>
    </row>
    <row r="7" spans="1:23" ht="12.75" x14ac:dyDescent="0.15">
      <c r="A7" s="70">
        <v>6</v>
      </c>
      <c r="B7" s="70" t="str">
        <f ca="1">OFFSET(Batting!$C$4,BatAves!$I7,0)</f>
        <v>Greyling R</v>
      </c>
      <c r="C7" s="74">
        <f ca="1">OFFSET(Batting!$CE$4,BatAves!$I7,0)</f>
        <v>12</v>
      </c>
      <c r="D7" s="74">
        <f ca="1">OFFSET(Batting!$CG$4,BatAves!$I7,0)</f>
        <v>10</v>
      </c>
      <c r="E7" s="74">
        <f ca="1">OFFSET(Batting!$CH$4,BatAves!$I7,0)</f>
        <v>1</v>
      </c>
      <c r="F7" s="74">
        <f ca="1">OFFSET(Batting!$CJ$4,BatAves!$I7,0)</f>
        <v>38</v>
      </c>
      <c r="G7" s="74">
        <f ca="1">OFFSET(Batting!$CK$4,BatAves!$I7,0)</f>
        <v>173</v>
      </c>
      <c r="H7" s="79">
        <f ca="1">OFFSET(Batting!$CL$4,BatAves!$I7,0)</f>
        <v>19.222222222222221</v>
      </c>
      <c r="I7" s="70">
        <f>MATCH(A7,Batting!$DF$5:$DF$44,0)</f>
        <v>15</v>
      </c>
      <c r="J7" s="70">
        <f t="shared" ca="1" si="0"/>
        <v>6</v>
      </c>
      <c r="K7" s="70">
        <f t="shared" ca="1" si="1"/>
        <v>3</v>
      </c>
      <c r="L7" s="70" t="str">
        <f t="shared" ca="1" si="2"/>
        <v/>
      </c>
      <c r="M7" s="70">
        <f t="shared" ca="1" si="3"/>
        <v>12</v>
      </c>
      <c r="N7" s="148">
        <v>6</v>
      </c>
      <c r="O7" s="148" t="str">
        <f t="shared" ca="1" si="4"/>
        <v>Lestrelle A</v>
      </c>
      <c r="P7" s="148">
        <f t="shared" ca="1" si="5"/>
        <v>12</v>
      </c>
      <c r="Q7" s="148">
        <f t="shared" ca="1" si="6"/>
        <v>5</v>
      </c>
      <c r="R7" s="148" t="str">
        <f t="shared" ca="1" si="7"/>
        <v>27*</v>
      </c>
      <c r="S7" s="148">
        <f t="shared" ca="1" si="8"/>
        <v>75</v>
      </c>
      <c r="T7" s="150">
        <f t="shared" ca="1" si="9"/>
        <v>10.714285714285714</v>
      </c>
      <c r="W7" s="70" t="s">
        <v>241</v>
      </c>
    </row>
    <row r="8" spans="1:23" ht="12.75" x14ac:dyDescent="0.15">
      <c r="A8" s="70">
        <v>7</v>
      </c>
      <c r="B8" s="70" t="str">
        <f ca="1">OFFSET(Batting!$C$4,BatAves!$I8,0)</f>
        <v>Nurdin I</v>
      </c>
      <c r="C8" s="74">
        <f ca="1">OFFSET(Batting!$CE$4,BatAves!$I8,0)</f>
        <v>4</v>
      </c>
      <c r="D8" s="74">
        <f ca="1">OFFSET(Batting!$CG$4,BatAves!$I8,0)</f>
        <v>2</v>
      </c>
      <c r="E8" s="74">
        <f ca="1">OFFSET(Batting!$CH$4,BatAves!$I8,0)</f>
        <v>0</v>
      </c>
      <c r="F8" s="74">
        <f ca="1">OFFSET(Batting!$CJ$4,BatAves!$I8,0)</f>
        <v>27</v>
      </c>
      <c r="G8" s="74">
        <f ca="1">OFFSET(Batting!$CK$4,BatAves!$I8,0)</f>
        <v>36</v>
      </c>
      <c r="H8" s="79">
        <f ca="1">OFFSET(Batting!$CL$4,BatAves!$I8,0)</f>
        <v>18</v>
      </c>
      <c r="I8" s="70">
        <f>MATCH(A8,Batting!$DF$5:$DF$44,0)</f>
        <v>28</v>
      </c>
      <c r="J8" s="70">
        <f t="shared" ca="1" si="0"/>
        <v>1007</v>
      </c>
      <c r="K8" s="70">
        <f t="shared" ca="1" si="1"/>
        <v>17</v>
      </c>
      <c r="L8" s="70" t="str">
        <f t="shared" ca="1" si="2"/>
        <v>Nurdin I 2-0-27-36</v>
      </c>
      <c r="M8" s="70">
        <f t="shared" ca="1" si="3"/>
        <v>13</v>
      </c>
      <c r="N8" s="148">
        <v>7</v>
      </c>
      <c r="O8" s="148" t="str">
        <f t="shared" ca="1" si="4"/>
        <v>Sully A</v>
      </c>
      <c r="P8" s="148">
        <f t="shared" ca="1" si="5"/>
        <v>7</v>
      </c>
      <c r="Q8" s="148">
        <f t="shared" ca="1" si="6"/>
        <v>1</v>
      </c>
      <c r="R8" s="148">
        <f t="shared" ca="1" si="7"/>
        <v>16</v>
      </c>
      <c r="S8" s="148">
        <f t="shared" ca="1" si="8"/>
        <v>60</v>
      </c>
      <c r="T8" s="150">
        <f t="shared" ca="1" si="9"/>
        <v>10</v>
      </c>
      <c r="W8" s="70" t="s">
        <v>241</v>
      </c>
    </row>
    <row r="9" spans="1:23" ht="12.75" x14ac:dyDescent="0.15">
      <c r="A9" s="70">
        <v>8</v>
      </c>
      <c r="B9" s="70" t="str">
        <f ca="1">OFFSET(Batting!$C$4,BatAves!$I9,0)</f>
        <v>Clark C</v>
      </c>
      <c r="C9" s="74">
        <f ca="1">OFFSET(Batting!$CE$4,BatAves!$I9,0)</f>
        <v>12</v>
      </c>
      <c r="D9" s="74">
        <f ca="1">OFFSET(Batting!$CG$4,BatAves!$I9,0)</f>
        <v>6</v>
      </c>
      <c r="E9" s="74">
        <f ca="1">OFFSET(Batting!$CH$4,BatAves!$I9,0)</f>
        <v>4</v>
      </c>
      <c r="F9" s="74">
        <f ca="1">OFFSET(Batting!$CJ$4,BatAves!$I9,0)</f>
        <v>20</v>
      </c>
      <c r="G9" s="74">
        <f ca="1">OFFSET(Batting!$CK$4,BatAves!$I9,0)</f>
        <v>32</v>
      </c>
      <c r="H9" s="79">
        <f ca="1">OFFSET(Batting!$CL$4,BatAves!$I9,0)</f>
        <v>16</v>
      </c>
      <c r="I9" s="70">
        <f>MATCH(A9,Batting!$DF$5:$DF$44,0)</f>
        <v>4</v>
      </c>
      <c r="J9" s="70">
        <f t="shared" ca="1" si="0"/>
        <v>8</v>
      </c>
      <c r="K9" s="70">
        <f t="shared" ca="1" si="1"/>
        <v>4</v>
      </c>
      <c r="L9" s="70" t="str">
        <f t="shared" ca="1" si="2"/>
        <v/>
      </c>
      <c r="M9" s="70">
        <f t="shared" ca="1" si="3"/>
        <v>15</v>
      </c>
      <c r="N9" s="148">
        <v>8</v>
      </c>
      <c r="O9" s="148" t="str">
        <f t="shared" ca="1" si="4"/>
        <v>Rollins R</v>
      </c>
      <c r="P9" s="148">
        <f t="shared" ca="1" si="5"/>
        <v>8</v>
      </c>
      <c r="Q9" s="148">
        <f t="shared" ca="1" si="6"/>
        <v>0</v>
      </c>
      <c r="R9" s="148">
        <f t="shared" ca="1" si="7"/>
        <v>19</v>
      </c>
      <c r="S9" s="148">
        <f t="shared" ca="1" si="8"/>
        <v>74</v>
      </c>
      <c r="T9" s="150">
        <f t="shared" ca="1" si="9"/>
        <v>9.25</v>
      </c>
      <c r="W9" s="70" t="s">
        <v>241</v>
      </c>
    </row>
    <row r="10" spans="1:23" ht="12.75" x14ac:dyDescent="0.15">
      <c r="A10" s="70">
        <v>9</v>
      </c>
      <c r="B10" s="70" t="str">
        <f ca="1">OFFSET(Batting!$C$4,BatAves!$I10,0)</f>
        <v>Woodhouse M</v>
      </c>
      <c r="C10" s="74">
        <f ca="1">OFFSET(Batting!$CE$4,BatAves!$I10,0)</f>
        <v>2</v>
      </c>
      <c r="D10" s="74">
        <f ca="1">OFFSET(Batting!$CG$4,BatAves!$I10,0)</f>
        <v>1</v>
      </c>
      <c r="E10" s="74">
        <f ca="1">OFFSET(Batting!$CH$4,BatAves!$I10,0)</f>
        <v>0</v>
      </c>
      <c r="F10" s="74">
        <f ca="1">OFFSET(Batting!$CJ$4,BatAves!$I10,0)</f>
        <v>15</v>
      </c>
      <c r="G10" s="74">
        <f ca="1">OFFSET(Batting!$CK$4,BatAves!$I10,0)</f>
        <v>15</v>
      </c>
      <c r="H10" s="79">
        <f ca="1">OFFSET(Batting!$CL$4,BatAves!$I10,0)</f>
        <v>15</v>
      </c>
      <c r="I10" s="70">
        <f>MATCH(A10,Batting!$DF$5:$DF$44,0)</f>
        <v>39</v>
      </c>
      <c r="J10" s="70">
        <f t="shared" ca="1" si="0"/>
        <v>1009</v>
      </c>
      <c r="K10" s="70">
        <f t="shared" ca="1" si="1"/>
        <v>18</v>
      </c>
      <c r="L10" s="70" t="str">
        <f t="shared" ca="1" si="2"/>
        <v>Woodhouse M 1-0-15-15</v>
      </c>
      <c r="M10" s="70">
        <f t="shared" ca="1" si="3"/>
        <v>16</v>
      </c>
      <c r="N10" s="148">
        <v>9</v>
      </c>
      <c r="O10" s="148" t="str">
        <f t="shared" ca="1" si="4"/>
        <v>Seymour C</v>
      </c>
      <c r="P10" s="148">
        <f t="shared" ca="1" si="5"/>
        <v>10</v>
      </c>
      <c r="Q10" s="148">
        <f t="shared" ca="1" si="6"/>
        <v>1</v>
      </c>
      <c r="R10" s="148" t="str">
        <f t="shared" ca="1" si="7"/>
        <v>28*</v>
      </c>
      <c r="S10" s="148">
        <f t="shared" ca="1" si="8"/>
        <v>73</v>
      </c>
      <c r="T10" s="150">
        <f t="shared" ca="1" si="9"/>
        <v>8.1111111111111107</v>
      </c>
      <c r="W10" s="70" t="s">
        <v>241</v>
      </c>
    </row>
    <row r="11" spans="1:23" ht="12.75" x14ac:dyDescent="0.15">
      <c r="A11" s="70">
        <v>10</v>
      </c>
      <c r="B11" s="70" t="str">
        <f ca="1">OFFSET(Batting!$C$4,BatAves!$I11,0)</f>
        <v>Cooper G</v>
      </c>
      <c r="C11" s="74">
        <f ca="1">OFFSET(Batting!$CE$4,BatAves!$I11,0)</f>
        <v>11</v>
      </c>
      <c r="D11" s="74">
        <f ca="1">OFFSET(Batting!$CG$4,BatAves!$I11,0)</f>
        <v>8</v>
      </c>
      <c r="E11" s="74">
        <f ca="1">OFFSET(Batting!$CH$4,BatAves!$I11,0)</f>
        <v>3</v>
      </c>
      <c r="F11" s="74">
        <f ca="1">OFFSET(Batting!$CJ$4,BatAves!$I11,0)</f>
        <v>20</v>
      </c>
      <c r="G11" s="74">
        <f ca="1">OFFSET(Batting!$CK$4,BatAves!$I11,0)</f>
        <v>65</v>
      </c>
      <c r="H11" s="79">
        <f ca="1">OFFSET(Batting!$CL$4,BatAves!$I11,0)</f>
        <v>13</v>
      </c>
      <c r="I11" s="70">
        <f>MATCH(A11,Batting!$DF$5:$DF$44,0)</f>
        <v>6</v>
      </c>
      <c r="J11" s="70">
        <f t="shared" ca="1" si="0"/>
        <v>10</v>
      </c>
      <c r="K11" s="70">
        <f t="shared" ca="1" si="1"/>
        <v>5</v>
      </c>
      <c r="L11" s="70" t="str">
        <f t="shared" ca="1" si="2"/>
        <v/>
      </c>
      <c r="M11" s="70">
        <f t="shared" ca="1" si="3"/>
        <v>17</v>
      </c>
      <c r="N11" s="148">
        <v>10</v>
      </c>
      <c r="O11" s="148" t="str">
        <f t="shared" ca="1" si="4"/>
        <v>Johnson A</v>
      </c>
      <c r="P11" s="148">
        <f t="shared" ca="1" si="5"/>
        <v>7</v>
      </c>
      <c r="Q11" s="148">
        <f t="shared" ca="1" si="6"/>
        <v>1</v>
      </c>
      <c r="R11" s="148" t="str">
        <f t="shared" ca="1" si="7"/>
        <v>18*</v>
      </c>
      <c r="S11" s="148">
        <f t="shared" ca="1" si="8"/>
        <v>43</v>
      </c>
      <c r="T11" s="150">
        <f t="shared" ca="1" si="9"/>
        <v>7.166666666666667</v>
      </c>
      <c r="W11" s="70" t="s">
        <v>241</v>
      </c>
    </row>
    <row r="12" spans="1:23" ht="12.75" x14ac:dyDescent="0.15">
      <c r="A12" s="70">
        <v>11</v>
      </c>
      <c r="B12" s="70" t="str">
        <f ca="1">OFFSET(Batting!$C$4,BatAves!$I12,0)</f>
        <v>Sharpe D</v>
      </c>
      <c r="C12" s="74">
        <f ca="1">OFFSET(Batting!$CE$4,BatAves!$I12,0)</f>
        <v>2</v>
      </c>
      <c r="D12" s="74">
        <f ca="1">OFFSET(Batting!$CG$4,BatAves!$I12,0)</f>
        <v>2</v>
      </c>
      <c r="E12" s="74">
        <f ca="1">OFFSET(Batting!$CH$4,BatAves!$I12,0)</f>
        <v>0</v>
      </c>
      <c r="F12" s="74">
        <f ca="1">OFFSET(Batting!$CJ$4,BatAves!$I12,0)</f>
        <v>14</v>
      </c>
      <c r="G12" s="74">
        <f ca="1">OFFSET(Batting!$CK$4,BatAves!$I12,0)</f>
        <v>23</v>
      </c>
      <c r="H12" s="79">
        <f ca="1">OFFSET(Batting!$CL$4,BatAves!$I12,0)</f>
        <v>11.5</v>
      </c>
      <c r="I12" s="70">
        <f>MATCH(A12,Batting!$DF$5:$DF$44,0)</f>
        <v>33</v>
      </c>
      <c r="J12" s="70">
        <f t="shared" ca="1" si="0"/>
        <v>1011</v>
      </c>
      <c r="K12" s="70">
        <f t="shared" ca="1" si="1"/>
        <v>19</v>
      </c>
      <c r="L12" s="70" t="str">
        <f t="shared" ca="1" si="2"/>
        <v>Sharpe D 2-0-14-23</v>
      </c>
      <c r="M12" s="70">
        <f t="shared" ca="1" si="3"/>
        <v>19</v>
      </c>
      <c r="N12" s="148">
        <v>11</v>
      </c>
      <c r="O12" s="148" t="str">
        <f t="shared" ca="1" si="4"/>
        <v>Smith C</v>
      </c>
      <c r="P12" s="148">
        <f t="shared" ca="1" si="5"/>
        <v>11</v>
      </c>
      <c r="Q12" s="148">
        <f t="shared" ca="1" si="6"/>
        <v>0</v>
      </c>
      <c r="R12" s="148">
        <f t="shared" ca="1" si="7"/>
        <v>13</v>
      </c>
      <c r="S12" s="148">
        <f t="shared" ca="1" si="8"/>
        <v>45</v>
      </c>
      <c r="T12" s="150">
        <f t="shared" ca="1" si="9"/>
        <v>4.0909090909090908</v>
      </c>
      <c r="W12" s="70" t="s">
        <v>241</v>
      </c>
    </row>
    <row r="13" spans="1:23" ht="12.75" x14ac:dyDescent="0.15">
      <c r="A13" s="70">
        <v>12</v>
      </c>
      <c r="B13" s="70" t="str">
        <f ca="1">OFFSET(Batting!$C$4,BatAves!$I13,0)</f>
        <v>Lestrelle A</v>
      </c>
      <c r="C13" s="74">
        <f ca="1">OFFSET(Batting!$CE$4,BatAves!$I13,0)</f>
        <v>16</v>
      </c>
      <c r="D13" s="74">
        <f ca="1">OFFSET(Batting!$CG$4,BatAves!$I13,0)</f>
        <v>12</v>
      </c>
      <c r="E13" s="74">
        <f ca="1">OFFSET(Batting!$CH$4,BatAves!$I13,0)</f>
        <v>5</v>
      </c>
      <c r="F13" s="74" t="str">
        <f ca="1">OFFSET(Batting!$CJ$4,BatAves!$I13,0)</f>
        <v>27*</v>
      </c>
      <c r="G13" s="74">
        <f ca="1">OFFSET(Batting!$CK$4,BatAves!$I13,0)</f>
        <v>75</v>
      </c>
      <c r="H13" s="79">
        <f ca="1">OFFSET(Batting!$CL$4,BatAves!$I13,0)</f>
        <v>10.714285714285714</v>
      </c>
      <c r="I13" s="70">
        <f>MATCH(A13,Batting!$DF$5:$DF$44,0)</f>
        <v>21</v>
      </c>
      <c r="J13" s="70">
        <f t="shared" ca="1" si="0"/>
        <v>12</v>
      </c>
      <c r="K13" s="70">
        <f t="shared" ca="1" si="1"/>
        <v>6</v>
      </c>
      <c r="L13" s="70" t="str">
        <f t="shared" ca="1" si="2"/>
        <v/>
      </c>
      <c r="M13" s="70">
        <f t="shared" ca="1" si="3"/>
        <v>24</v>
      </c>
      <c r="N13" s="148">
        <v>12</v>
      </c>
      <c r="O13" s="148" t="str">
        <f t="shared" ca="1" si="4"/>
        <v>Chaffey P</v>
      </c>
      <c r="P13" s="148">
        <f t="shared" ca="1" si="5"/>
        <v>9</v>
      </c>
      <c r="Q13" s="148">
        <f t="shared" ca="1" si="6"/>
        <v>3</v>
      </c>
      <c r="R13" s="148" t="str">
        <f t="shared" ca="1" si="7"/>
        <v>6*</v>
      </c>
      <c r="S13" s="148">
        <f t="shared" ca="1" si="8"/>
        <v>21</v>
      </c>
      <c r="T13" s="150">
        <f t="shared" ca="1" si="9"/>
        <v>3.5</v>
      </c>
      <c r="W13" s="70" t="s">
        <v>241</v>
      </c>
    </row>
    <row r="14" spans="1:23" ht="12.75" x14ac:dyDescent="0.15">
      <c r="A14" s="70">
        <v>13</v>
      </c>
      <c r="B14" s="70" t="str">
        <f ca="1">OFFSET(Batting!$C$4,BatAves!$I14,0)</f>
        <v>Sully A</v>
      </c>
      <c r="C14" s="74">
        <f ca="1">OFFSET(Batting!$CE$4,BatAves!$I14,0)</f>
        <v>8</v>
      </c>
      <c r="D14" s="74">
        <f ca="1">OFFSET(Batting!$CG$4,BatAves!$I14,0)</f>
        <v>7</v>
      </c>
      <c r="E14" s="74">
        <f ca="1">OFFSET(Batting!$CH$4,BatAves!$I14,0)</f>
        <v>1</v>
      </c>
      <c r="F14" s="74">
        <f ca="1">OFFSET(Batting!$CJ$4,BatAves!$I14,0)</f>
        <v>16</v>
      </c>
      <c r="G14" s="74">
        <f ca="1">OFFSET(Batting!$CK$4,BatAves!$I14,0)</f>
        <v>60</v>
      </c>
      <c r="H14" s="79">
        <f ca="1">OFFSET(Batting!$CL$4,BatAves!$I14,0)</f>
        <v>10</v>
      </c>
      <c r="I14" s="70">
        <f>MATCH(A14,Batting!$DF$5:$DF$44,0)</f>
        <v>37</v>
      </c>
      <c r="J14" s="70">
        <f t="shared" ca="1" si="0"/>
        <v>13</v>
      </c>
      <c r="K14" s="70">
        <f t="shared" ca="1" si="1"/>
        <v>7</v>
      </c>
      <c r="L14" s="70" t="str">
        <f t="shared" ca="1" si="2"/>
        <v/>
      </c>
      <c r="M14" s="70">
        <f t="shared" ca="1" si="3"/>
        <v>25</v>
      </c>
      <c r="N14" s="148">
        <v>13</v>
      </c>
      <c r="O14" s="148" t="str">
        <f t="shared" ca="1" si="4"/>
        <v>de Souza C</v>
      </c>
      <c r="P14" s="148">
        <f t="shared" ca="1" si="5"/>
        <v>5</v>
      </c>
      <c r="Q14" s="148">
        <f t="shared" ca="1" si="6"/>
        <v>1</v>
      </c>
      <c r="R14" s="148">
        <f t="shared" ca="1" si="7"/>
        <v>9</v>
      </c>
      <c r="S14" s="148">
        <f t="shared" ca="1" si="8"/>
        <v>11</v>
      </c>
      <c r="T14" s="150">
        <f t="shared" ca="1" si="9"/>
        <v>2.75</v>
      </c>
      <c r="W14" s="70" t="s">
        <v>241</v>
      </c>
    </row>
    <row r="15" spans="1:23" ht="12.75" x14ac:dyDescent="0.15">
      <c r="A15" s="70">
        <v>14</v>
      </c>
      <c r="B15" s="70" t="str">
        <f ca="1">OFFSET(Batting!$C$4,BatAves!$I15,0)</f>
        <v>Edghill D</v>
      </c>
      <c r="C15" s="74">
        <f ca="1">OFFSET(Batting!$CE$4,BatAves!$I15,0)</f>
        <v>1</v>
      </c>
      <c r="D15" s="74">
        <f ca="1">OFFSET(Batting!$CG$4,BatAves!$I15,0)</f>
        <v>1</v>
      </c>
      <c r="E15" s="74">
        <f ca="1">OFFSET(Batting!$CH$4,BatAves!$I15,0)</f>
        <v>0</v>
      </c>
      <c r="F15" s="74">
        <f ca="1">OFFSET(Batting!$CJ$4,BatAves!$I15,0)</f>
        <v>10</v>
      </c>
      <c r="G15" s="74">
        <f ca="1">OFFSET(Batting!$CK$4,BatAves!$I15,0)</f>
        <v>10</v>
      </c>
      <c r="H15" s="79">
        <f ca="1">OFFSET(Batting!$CL$4,BatAves!$I15,0)</f>
        <v>10</v>
      </c>
      <c r="I15" s="70">
        <f>MATCH(A15,Batting!$DF$5:$DF$44,0)</f>
        <v>11</v>
      </c>
      <c r="J15" s="70">
        <f t="shared" ca="1" si="0"/>
        <v>1014</v>
      </c>
      <c r="K15" s="70">
        <f t="shared" ca="1" si="1"/>
        <v>20</v>
      </c>
      <c r="L15" s="70" t="str">
        <f t="shared" ca="1" si="2"/>
        <v>Edghill D 1-0-10-10</v>
      </c>
      <c r="M15" s="70">
        <f t="shared" ca="1" si="3"/>
        <v>1</v>
      </c>
      <c r="N15" s="148">
        <v>14</v>
      </c>
      <c r="O15" s="148" t="str">
        <f t="shared" ca="1" si="4"/>
        <v>Leadley J</v>
      </c>
      <c r="P15" s="148">
        <f t="shared" ca="1" si="5"/>
        <v>1</v>
      </c>
      <c r="Q15" s="148">
        <f t="shared" ca="1" si="6"/>
        <v>0</v>
      </c>
      <c r="R15" s="148">
        <f t="shared" ca="1" si="7"/>
        <v>51</v>
      </c>
      <c r="S15" s="148">
        <f t="shared" ca="1" si="8"/>
        <v>51</v>
      </c>
      <c r="T15" s="150">
        <f t="shared" ca="1" si="9"/>
        <v>51</v>
      </c>
      <c r="W15" s="70" t="s">
        <v>241</v>
      </c>
    </row>
    <row r="16" spans="1:23" ht="12.75" x14ac:dyDescent="0.15">
      <c r="A16" s="70">
        <v>15</v>
      </c>
      <c r="B16" s="70" t="str">
        <f ca="1">OFFSET(Batting!$C$4,BatAves!$I16,0)</f>
        <v>Rollins R</v>
      </c>
      <c r="C16" s="74">
        <f ca="1">OFFSET(Batting!$CE$4,BatAves!$I16,0)</f>
        <v>9</v>
      </c>
      <c r="D16" s="74">
        <f ca="1">OFFSET(Batting!$CG$4,BatAves!$I16,0)</f>
        <v>8</v>
      </c>
      <c r="E16" s="74">
        <f ca="1">OFFSET(Batting!$CH$4,BatAves!$I16,0)</f>
        <v>0</v>
      </c>
      <c r="F16" s="74">
        <f ca="1">OFFSET(Batting!$CJ$4,BatAves!$I16,0)</f>
        <v>19</v>
      </c>
      <c r="G16" s="74">
        <f ca="1">OFFSET(Batting!$CK$4,BatAves!$I16,0)</f>
        <v>74</v>
      </c>
      <c r="H16" s="79">
        <f ca="1">OFFSET(Batting!$CL$4,BatAves!$I16,0)</f>
        <v>9.25</v>
      </c>
      <c r="I16" s="70">
        <f>MATCH(A16,Batting!$DF$5:$DF$44,0)</f>
        <v>31</v>
      </c>
      <c r="J16" s="70">
        <f t="shared" ca="1" si="0"/>
        <v>15</v>
      </c>
      <c r="K16" s="70">
        <f t="shared" ca="1" si="1"/>
        <v>8</v>
      </c>
      <c r="L16" s="70" t="str">
        <f t="shared" ca="1" si="2"/>
        <v/>
      </c>
      <c r="M16" s="70">
        <f t="shared" ca="1" si="3"/>
        <v>2</v>
      </c>
      <c r="N16" s="148">
        <v>15</v>
      </c>
      <c r="O16" s="148" t="str">
        <f t="shared" ca="1" si="4"/>
        <v>Springer T</v>
      </c>
      <c r="P16" s="148">
        <f t="shared" ca="1" si="5"/>
        <v>1</v>
      </c>
      <c r="Q16" s="148">
        <f t="shared" ca="1" si="6"/>
        <v>0</v>
      </c>
      <c r="R16" s="148">
        <f t="shared" ca="1" si="7"/>
        <v>32</v>
      </c>
      <c r="S16" s="148">
        <f t="shared" ca="1" si="8"/>
        <v>32</v>
      </c>
      <c r="T16" s="150">
        <f t="shared" ca="1" si="9"/>
        <v>32</v>
      </c>
      <c r="W16" s="70" t="s">
        <v>241</v>
      </c>
    </row>
    <row r="17" spans="1:23" ht="12.75" x14ac:dyDescent="0.15">
      <c r="A17" s="70">
        <v>16</v>
      </c>
      <c r="B17" s="70" t="str">
        <f ca="1">OFFSET(Batting!$C$4,BatAves!$I17,0)</f>
        <v>Seymour C</v>
      </c>
      <c r="C17" s="74">
        <f ca="1">OFFSET(Batting!$CE$4,BatAves!$I17,0)</f>
        <v>11</v>
      </c>
      <c r="D17" s="74">
        <f ca="1">OFFSET(Batting!$CG$4,BatAves!$I17,0)</f>
        <v>10</v>
      </c>
      <c r="E17" s="74">
        <f ca="1">OFFSET(Batting!$CH$4,BatAves!$I17,0)</f>
        <v>1</v>
      </c>
      <c r="F17" s="74" t="str">
        <f ca="1">OFFSET(Batting!$CJ$4,BatAves!$I17,0)</f>
        <v>28*</v>
      </c>
      <c r="G17" s="74">
        <f ca="1">OFFSET(Batting!$CK$4,BatAves!$I17,0)</f>
        <v>73</v>
      </c>
      <c r="H17" s="79">
        <f ca="1">OFFSET(Batting!$CL$4,BatAves!$I17,0)</f>
        <v>8.1111111111111107</v>
      </c>
      <c r="I17" s="70">
        <f>MATCH(A17,Batting!$DF$5:$DF$44,0)</f>
        <v>32</v>
      </c>
      <c r="J17" s="70">
        <f t="shared" ca="1" si="0"/>
        <v>16</v>
      </c>
      <c r="K17" s="70">
        <f t="shared" ca="1" si="1"/>
        <v>9</v>
      </c>
      <c r="L17" s="70" t="str">
        <f t="shared" ca="1" si="2"/>
        <v/>
      </c>
      <c r="M17" s="70">
        <f t="shared" ca="1" si="3"/>
        <v>5</v>
      </c>
      <c r="N17" s="148">
        <v>16</v>
      </c>
      <c r="O17" s="148" t="str">
        <f t="shared" ca="1" si="4"/>
        <v>Lestrelle J</v>
      </c>
      <c r="P17" s="148">
        <f t="shared" ca="1" si="5"/>
        <v>1</v>
      </c>
      <c r="Q17" s="148">
        <f t="shared" ca="1" si="6"/>
        <v>0</v>
      </c>
      <c r="R17" s="148">
        <f t="shared" ca="1" si="7"/>
        <v>20</v>
      </c>
      <c r="S17" s="148">
        <f t="shared" ca="1" si="8"/>
        <v>20</v>
      </c>
      <c r="T17" s="150">
        <f t="shared" ca="1" si="9"/>
        <v>20</v>
      </c>
      <c r="W17" s="70" t="s">
        <v>241</v>
      </c>
    </row>
    <row r="18" spans="1:23" ht="12.75" x14ac:dyDescent="0.15">
      <c r="A18" s="70">
        <v>17</v>
      </c>
      <c r="B18" s="70" t="str">
        <f ca="1">OFFSET(Batting!$C$4,BatAves!$I18,0)</f>
        <v>Johnson A</v>
      </c>
      <c r="C18" s="74">
        <f ca="1">OFFSET(Batting!$CE$4,BatAves!$I18,0)</f>
        <v>10</v>
      </c>
      <c r="D18" s="74">
        <f ca="1">OFFSET(Batting!$CG$4,BatAves!$I18,0)</f>
        <v>7</v>
      </c>
      <c r="E18" s="74">
        <f ca="1">OFFSET(Batting!$CH$4,BatAves!$I18,0)</f>
        <v>1</v>
      </c>
      <c r="F18" s="74" t="str">
        <f ca="1">OFFSET(Batting!$CJ$4,BatAves!$I18,0)</f>
        <v>18*</v>
      </c>
      <c r="G18" s="74">
        <f ca="1">OFFSET(Batting!$CK$4,BatAves!$I18,0)</f>
        <v>43</v>
      </c>
      <c r="H18" s="79">
        <f ca="1">OFFSET(Batting!$CL$4,BatAves!$I18,0)</f>
        <v>7.166666666666667</v>
      </c>
      <c r="I18" s="70">
        <f>MATCH(A18,Batting!$DF$5:$DF$44,0)</f>
        <v>17</v>
      </c>
      <c r="J18" s="70">
        <f t="shared" ca="1" si="0"/>
        <v>17</v>
      </c>
      <c r="K18" s="70">
        <f t="shared" ca="1" si="1"/>
        <v>10</v>
      </c>
      <c r="L18" s="70" t="str">
        <f t="shared" ca="1" si="2"/>
        <v/>
      </c>
      <c r="M18" s="70">
        <f t="shared" ca="1" si="3"/>
        <v>7</v>
      </c>
      <c r="N18" s="148">
        <v>17</v>
      </c>
      <c r="O18" s="148" t="str">
        <f t="shared" ca="1" si="4"/>
        <v>Nurdin I</v>
      </c>
      <c r="P18" s="148">
        <f t="shared" ca="1" si="5"/>
        <v>2</v>
      </c>
      <c r="Q18" s="148">
        <f t="shared" ca="1" si="6"/>
        <v>0</v>
      </c>
      <c r="R18" s="148">
        <f t="shared" ca="1" si="7"/>
        <v>27</v>
      </c>
      <c r="S18" s="148">
        <f t="shared" ca="1" si="8"/>
        <v>36</v>
      </c>
      <c r="T18" s="150">
        <f t="shared" ca="1" si="9"/>
        <v>18</v>
      </c>
      <c r="W18" s="70" t="s">
        <v>241</v>
      </c>
    </row>
    <row r="19" spans="1:23" ht="12.75" x14ac:dyDescent="0.15">
      <c r="A19" s="70">
        <v>18</v>
      </c>
      <c r="B19" s="70" t="str">
        <f ca="1">OFFSET(Batting!$C$4,BatAves!$I19,0)</f>
        <v>Davies R</v>
      </c>
      <c r="C19" s="74">
        <f ca="1">OFFSET(Batting!$CE$4,BatAves!$I19,0)</f>
        <v>4</v>
      </c>
      <c r="D19" s="74">
        <f ca="1">OFFSET(Batting!$CG$4,BatAves!$I19,0)</f>
        <v>3</v>
      </c>
      <c r="E19" s="74">
        <f ca="1">OFFSET(Batting!$CH$4,BatAves!$I19,0)</f>
        <v>0</v>
      </c>
      <c r="F19" s="74">
        <f ca="1">OFFSET(Batting!$CJ$4,BatAves!$I19,0)</f>
        <v>12</v>
      </c>
      <c r="G19" s="74">
        <f ca="1">OFFSET(Batting!$CK$4,BatAves!$I19,0)</f>
        <v>13</v>
      </c>
      <c r="H19" s="79">
        <f ca="1">OFFSET(Batting!$CL$4,BatAves!$I19,0)</f>
        <v>4.333333333333333</v>
      </c>
      <c r="I19" s="70">
        <f>MATCH(A19,Batting!$DF$5:$DF$44,0)</f>
        <v>7</v>
      </c>
      <c r="J19" s="70">
        <f t="shared" ca="1" si="0"/>
        <v>1018</v>
      </c>
      <c r="K19" s="70">
        <f t="shared" ca="1" si="1"/>
        <v>21</v>
      </c>
      <c r="L19" s="70" t="str">
        <f t="shared" ca="1" si="2"/>
        <v>Davies R 3-0-12-13</v>
      </c>
      <c r="M19" s="70">
        <f t="shared" ca="1" si="3"/>
        <v>9</v>
      </c>
      <c r="N19" s="148">
        <v>18</v>
      </c>
      <c r="O19" s="148" t="str">
        <f t="shared" ca="1" si="4"/>
        <v>Woodhouse M</v>
      </c>
      <c r="P19" s="148">
        <f t="shared" ca="1" si="5"/>
        <v>1</v>
      </c>
      <c r="Q19" s="148">
        <f t="shared" ca="1" si="6"/>
        <v>0</v>
      </c>
      <c r="R19" s="148">
        <f t="shared" ca="1" si="7"/>
        <v>15</v>
      </c>
      <c r="S19" s="148">
        <f t="shared" ca="1" si="8"/>
        <v>15</v>
      </c>
      <c r="T19" s="150">
        <f t="shared" ca="1" si="9"/>
        <v>15</v>
      </c>
      <c r="W19" s="70" t="s">
        <v>241</v>
      </c>
    </row>
    <row r="20" spans="1:23" ht="12.75" x14ac:dyDescent="0.15">
      <c r="A20" s="70">
        <v>19</v>
      </c>
      <c r="B20" s="70" t="str">
        <f ca="1">OFFSET(Batting!$C$4,BatAves!$I20,0)</f>
        <v>Smith C</v>
      </c>
      <c r="C20" s="74">
        <f ca="1">OFFSET(Batting!$CE$4,BatAves!$I20,0)</f>
        <v>13</v>
      </c>
      <c r="D20" s="74">
        <f ca="1">OFFSET(Batting!$CG$4,BatAves!$I20,0)</f>
        <v>11</v>
      </c>
      <c r="E20" s="74">
        <f ca="1">OFFSET(Batting!$CH$4,BatAves!$I20,0)</f>
        <v>0</v>
      </c>
      <c r="F20" s="74">
        <f ca="1">OFFSET(Batting!$CJ$4,BatAves!$I20,0)</f>
        <v>13</v>
      </c>
      <c r="G20" s="74">
        <f ca="1">OFFSET(Batting!$CK$4,BatAves!$I20,0)</f>
        <v>45</v>
      </c>
      <c r="H20" s="79">
        <f ca="1">OFFSET(Batting!$CL$4,BatAves!$I20,0)</f>
        <v>4.0909090909090908</v>
      </c>
      <c r="I20" s="70">
        <f>MATCH(A20,Batting!$DF$5:$DF$44,0)</f>
        <v>34</v>
      </c>
      <c r="J20" s="70">
        <f t="shared" ca="1" si="0"/>
        <v>19</v>
      </c>
      <c r="K20" s="70">
        <f t="shared" ca="1" si="1"/>
        <v>11</v>
      </c>
      <c r="L20" s="70" t="str">
        <f t="shared" ca="1" si="2"/>
        <v/>
      </c>
      <c r="M20" s="70">
        <f t="shared" ca="1" si="3"/>
        <v>11</v>
      </c>
      <c r="N20" s="148">
        <v>19</v>
      </c>
      <c r="O20" s="148" t="str">
        <f t="shared" ca="1" si="4"/>
        <v>Sharpe D</v>
      </c>
      <c r="P20" s="148">
        <f t="shared" ca="1" si="5"/>
        <v>2</v>
      </c>
      <c r="Q20" s="148">
        <f t="shared" ca="1" si="6"/>
        <v>0</v>
      </c>
      <c r="R20" s="148">
        <f t="shared" ca="1" si="7"/>
        <v>14</v>
      </c>
      <c r="S20" s="148">
        <f t="shared" ca="1" si="8"/>
        <v>23</v>
      </c>
      <c r="T20" s="150">
        <f t="shared" ca="1" si="9"/>
        <v>11.5</v>
      </c>
      <c r="W20" s="70" t="s">
        <v>241</v>
      </c>
    </row>
    <row r="21" spans="1:23" ht="12.75" x14ac:dyDescent="0.15">
      <c r="A21" s="70">
        <v>20</v>
      </c>
      <c r="B21" s="70" t="str">
        <f ca="1">OFFSET(Batting!$C$4,BatAves!$I21,0)</f>
        <v>Brocks D</v>
      </c>
      <c r="C21" s="74">
        <f ca="1">OFFSET(Batting!$CE$4,BatAves!$I21,0)</f>
        <v>2</v>
      </c>
      <c r="D21" s="74">
        <f ca="1">OFFSET(Batting!$CG$4,BatAves!$I21,0)</f>
        <v>1</v>
      </c>
      <c r="E21" s="74">
        <f ca="1">OFFSET(Batting!$CH$4,BatAves!$I21,0)</f>
        <v>0</v>
      </c>
      <c r="F21" s="74">
        <f ca="1">OFFSET(Batting!$CJ$4,BatAves!$I21,0)</f>
        <v>4</v>
      </c>
      <c r="G21" s="74">
        <f ca="1">OFFSET(Batting!$CK$4,BatAves!$I21,0)</f>
        <v>4</v>
      </c>
      <c r="H21" s="79">
        <f ca="1">OFFSET(Batting!$CL$4,BatAves!$I21,0)</f>
        <v>4</v>
      </c>
      <c r="I21" s="70">
        <f>MATCH(A21,Batting!$DF$5:$DF$44,0)</f>
        <v>2</v>
      </c>
      <c r="J21" s="70">
        <f t="shared" ca="1" si="0"/>
        <v>1020</v>
      </c>
      <c r="K21" s="70">
        <f t="shared" ca="1" si="1"/>
        <v>22</v>
      </c>
      <c r="L21" s="70" t="str">
        <f t="shared" ca="1" si="2"/>
        <v>Brocks D 1-0-4-4</v>
      </c>
      <c r="M21" s="70">
        <f t="shared" ca="1" si="3"/>
        <v>14</v>
      </c>
      <c r="N21" s="148">
        <v>20</v>
      </c>
      <c r="O21" s="148" t="str">
        <f t="shared" ca="1" si="4"/>
        <v>Edghill D</v>
      </c>
      <c r="P21" s="148">
        <f t="shared" ca="1" si="5"/>
        <v>1</v>
      </c>
      <c r="Q21" s="148">
        <f t="shared" ca="1" si="6"/>
        <v>0</v>
      </c>
      <c r="R21" s="148">
        <f t="shared" ca="1" si="7"/>
        <v>10</v>
      </c>
      <c r="S21" s="148">
        <f t="shared" ca="1" si="8"/>
        <v>10</v>
      </c>
      <c r="T21" s="150">
        <f t="shared" ca="1" si="9"/>
        <v>10</v>
      </c>
      <c r="W21" s="70" t="s">
        <v>241</v>
      </c>
    </row>
    <row r="22" spans="1:23" ht="12.75" x14ac:dyDescent="0.15">
      <c r="A22" s="70">
        <v>21</v>
      </c>
      <c r="B22" s="70" t="str">
        <f ca="1">OFFSET(Batting!$C$4,BatAves!$I22,0)</f>
        <v>Hargreve J</v>
      </c>
      <c r="C22" s="74">
        <f ca="1">OFFSET(Batting!$CE$4,BatAves!$I22,0)</f>
        <v>1</v>
      </c>
      <c r="D22" s="74">
        <f ca="1">OFFSET(Batting!$CG$4,BatAves!$I22,0)</f>
        <v>1</v>
      </c>
      <c r="E22" s="74">
        <f ca="1">OFFSET(Batting!$CH$4,BatAves!$I22,0)</f>
        <v>0</v>
      </c>
      <c r="F22" s="74">
        <f ca="1">OFFSET(Batting!$CJ$4,BatAves!$I22,0)</f>
        <v>4</v>
      </c>
      <c r="G22" s="74">
        <f ca="1">OFFSET(Batting!$CK$4,BatAves!$I22,0)</f>
        <v>4</v>
      </c>
      <c r="H22" s="79">
        <f ca="1">OFFSET(Batting!$CL$4,BatAves!$I22,0)</f>
        <v>4</v>
      </c>
      <c r="I22" s="70">
        <f>MATCH(A22,Batting!$DF$5:$DF$44,0)</f>
        <v>16</v>
      </c>
      <c r="J22" s="70">
        <f t="shared" ca="1" si="0"/>
        <v>1021</v>
      </c>
      <c r="K22" s="70">
        <f t="shared" ca="1" si="1"/>
        <v>23</v>
      </c>
      <c r="L22" s="70" t="str">
        <f t="shared" ca="1" si="2"/>
        <v>Hargreve J 1-0-4-4</v>
      </c>
      <c r="M22" s="70">
        <f t="shared" ca="1" si="3"/>
        <v>18</v>
      </c>
      <c r="N22" s="148">
        <v>21</v>
      </c>
      <c r="O22" s="148" t="str">
        <f t="shared" ca="1" si="4"/>
        <v>Davies R</v>
      </c>
      <c r="P22" s="148">
        <f t="shared" ca="1" si="5"/>
        <v>3</v>
      </c>
      <c r="Q22" s="148">
        <f t="shared" ca="1" si="6"/>
        <v>0</v>
      </c>
      <c r="R22" s="148">
        <f t="shared" ca="1" si="7"/>
        <v>12</v>
      </c>
      <c r="S22" s="148">
        <f t="shared" ca="1" si="8"/>
        <v>13</v>
      </c>
      <c r="T22" s="150">
        <f t="shared" ca="1" si="9"/>
        <v>4.333333333333333</v>
      </c>
      <c r="W22" s="70" t="s">
        <v>241</v>
      </c>
    </row>
    <row r="23" spans="1:23" ht="12.75" x14ac:dyDescent="0.15">
      <c r="A23" s="70">
        <v>22</v>
      </c>
      <c r="B23" s="70" t="str">
        <f ca="1">OFFSET(Batting!$C$4,BatAves!$I23,0)</f>
        <v>Gibb A</v>
      </c>
      <c r="C23" s="74">
        <f ca="1">OFFSET(Batting!$CE$4,BatAves!$I23,0)</f>
        <v>1</v>
      </c>
      <c r="D23" s="74">
        <f ca="1">OFFSET(Batting!$CG$4,BatAves!$I23,0)</f>
        <v>1</v>
      </c>
      <c r="E23" s="74">
        <f ca="1">OFFSET(Batting!$CH$4,BatAves!$I23,0)</f>
        <v>0</v>
      </c>
      <c r="F23" s="74">
        <f ca="1">OFFSET(Batting!$CJ$4,BatAves!$I23,0)</f>
        <v>4</v>
      </c>
      <c r="G23" s="74">
        <f ca="1">OFFSET(Batting!$CK$4,BatAves!$I23,0)</f>
        <v>4</v>
      </c>
      <c r="H23" s="79">
        <f ca="1">OFFSET(Batting!$CL$4,BatAves!$I23,0)</f>
        <v>4</v>
      </c>
      <c r="I23" s="70">
        <f>MATCH(A23,Batting!$DF$5:$DF$44,0)</f>
        <v>14</v>
      </c>
      <c r="J23" s="70">
        <f t="shared" ca="1" si="0"/>
        <v>1022</v>
      </c>
      <c r="K23" s="70">
        <f t="shared" ca="1" si="1"/>
        <v>24</v>
      </c>
      <c r="L23" s="70" t="str">
        <f t="shared" ca="1" si="2"/>
        <v>Gibb A 1-0-4-4</v>
      </c>
      <c r="M23" s="70">
        <f t="shared" ca="1" si="3"/>
        <v>20</v>
      </c>
      <c r="N23" s="148">
        <v>22</v>
      </c>
      <c r="O23" s="148" t="str">
        <f t="shared" ca="1" si="4"/>
        <v>Brocks D</v>
      </c>
      <c r="P23" s="148">
        <f t="shared" ca="1" si="5"/>
        <v>1</v>
      </c>
      <c r="Q23" s="148">
        <f t="shared" ca="1" si="6"/>
        <v>0</v>
      </c>
      <c r="R23" s="148">
        <f t="shared" ca="1" si="7"/>
        <v>4</v>
      </c>
      <c r="S23" s="148">
        <f t="shared" ca="1" si="8"/>
        <v>4</v>
      </c>
      <c r="T23" s="150">
        <f t="shared" ca="1" si="9"/>
        <v>4</v>
      </c>
      <c r="W23" s="70" t="s">
        <v>241</v>
      </c>
    </row>
    <row r="24" spans="1:23" ht="12.75" x14ac:dyDescent="0.15">
      <c r="A24" s="70">
        <v>23</v>
      </c>
      <c r="B24" s="70" t="str">
        <f ca="1">OFFSET(Batting!$C$4,BatAves!$I24,0)</f>
        <v>Dhanjal</v>
      </c>
      <c r="C24" s="74">
        <f ca="1">OFFSET(Batting!$CE$4,BatAves!$I24,0)</f>
        <v>1</v>
      </c>
      <c r="D24" s="74">
        <f ca="1">OFFSET(Batting!$CG$4,BatAves!$I24,0)</f>
        <v>1</v>
      </c>
      <c r="E24" s="74">
        <f ca="1">OFFSET(Batting!$CH$4,BatAves!$I24,0)</f>
        <v>0</v>
      </c>
      <c r="F24" s="74">
        <f ca="1">OFFSET(Batting!$CJ$4,BatAves!$I24,0)</f>
        <v>4</v>
      </c>
      <c r="G24" s="74">
        <f ca="1">OFFSET(Batting!$CK$4,BatAves!$I24,0)</f>
        <v>4</v>
      </c>
      <c r="H24" s="79">
        <f ca="1">OFFSET(Batting!$CL$4,BatAves!$I24,0)</f>
        <v>4</v>
      </c>
      <c r="I24" s="70">
        <f>MATCH(A24,Batting!$DF$5:$DF$44,0)</f>
        <v>8</v>
      </c>
      <c r="J24" s="70">
        <f t="shared" ca="1" si="0"/>
        <v>1023</v>
      </c>
      <c r="K24" s="70">
        <f t="shared" ca="1" si="1"/>
        <v>25</v>
      </c>
      <c r="L24" s="70" t="str">
        <f t="shared" ca="1" si="2"/>
        <v>Dhanjal 1-0-4-4</v>
      </c>
      <c r="M24" s="70">
        <f t="shared" ca="1" si="3"/>
        <v>21</v>
      </c>
      <c r="N24" s="148">
        <v>23</v>
      </c>
      <c r="O24" s="148" t="str">
        <f t="shared" ca="1" si="4"/>
        <v>Hargreve J</v>
      </c>
      <c r="P24" s="148">
        <f t="shared" ca="1" si="5"/>
        <v>1</v>
      </c>
      <c r="Q24" s="148">
        <f t="shared" ca="1" si="6"/>
        <v>0</v>
      </c>
      <c r="R24" s="148">
        <f t="shared" ca="1" si="7"/>
        <v>4</v>
      </c>
      <c r="S24" s="148">
        <f t="shared" ca="1" si="8"/>
        <v>4</v>
      </c>
      <c r="T24" s="150">
        <f t="shared" ca="1" si="9"/>
        <v>4</v>
      </c>
      <c r="W24" s="70" t="s">
        <v>241</v>
      </c>
    </row>
    <row r="25" spans="1:23" ht="12.75" x14ac:dyDescent="0.15">
      <c r="A25" s="70">
        <v>24</v>
      </c>
      <c r="B25" s="70" t="str">
        <f ca="1">OFFSET(Batting!$C$4,BatAves!$I25,0)</f>
        <v>Chaffey P</v>
      </c>
      <c r="C25" s="74">
        <f ca="1">OFFSET(Batting!$CE$4,BatAves!$I25,0)</f>
        <v>10</v>
      </c>
      <c r="D25" s="74">
        <f ca="1">OFFSET(Batting!$CG$4,BatAves!$I25,0)</f>
        <v>9</v>
      </c>
      <c r="E25" s="74">
        <f ca="1">OFFSET(Batting!$CH$4,BatAves!$I25,0)</f>
        <v>3</v>
      </c>
      <c r="F25" s="74" t="str">
        <f ca="1">OFFSET(Batting!$CJ$4,BatAves!$I25,0)</f>
        <v>6*</v>
      </c>
      <c r="G25" s="74">
        <f ca="1">OFFSET(Batting!$CK$4,BatAves!$I25,0)</f>
        <v>21</v>
      </c>
      <c r="H25" s="79">
        <f ca="1">OFFSET(Batting!$CL$4,BatAves!$I25,0)</f>
        <v>3.5</v>
      </c>
      <c r="I25" s="70">
        <f>MATCH(A25,Batting!$DF$5:$DF$44,0)</f>
        <v>3</v>
      </c>
      <c r="J25" s="70">
        <f t="shared" ca="1" si="0"/>
        <v>24</v>
      </c>
      <c r="K25" s="70">
        <f t="shared" ca="1" si="1"/>
        <v>12</v>
      </c>
      <c r="L25" s="70" t="str">
        <f t="shared" ca="1" si="2"/>
        <v/>
      </c>
      <c r="M25" s="70">
        <f t="shared" ca="1" si="3"/>
        <v>22</v>
      </c>
      <c r="N25" s="148">
        <v>24</v>
      </c>
      <c r="O25" s="148" t="str">
        <f t="shared" ca="1" si="4"/>
        <v>Gibb A</v>
      </c>
      <c r="P25" s="148">
        <f t="shared" ca="1" si="5"/>
        <v>1</v>
      </c>
      <c r="Q25" s="148">
        <f t="shared" ca="1" si="6"/>
        <v>0</v>
      </c>
      <c r="R25" s="148">
        <f t="shared" ca="1" si="7"/>
        <v>4</v>
      </c>
      <c r="S25" s="148">
        <f t="shared" ca="1" si="8"/>
        <v>4</v>
      </c>
      <c r="T25" s="150">
        <f t="shared" ca="1" si="9"/>
        <v>4</v>
      </c>
      <c r="W25" s="70" t="s">
        <v>241</v>
      </c>
    </row>
    <row r="26" spans="1:23" ht="12.75" x14ac:dyDescent="0.15">
      <c r="A26" s="70">
        <v>25</v>
      </c>
      <c r="B26" s="70" t="str">
        <f ca="1">OFFSET(Batting!$C$4,BatAves!$I26,0)</f>
        <v>de Souza C</v>
      </c>
      <c r="C26" s="74">
        <f ca="1">OFFSET(Batting!$CE$4,BatAves!$I26,0)</f>
        <v>6</v>
      </c>
      <c r="D26" s="74">
        <f ca="1">OFFSET(Batting!$CG$4,BatAves!$I26,0)</f>
        <v>5</v>
      </c>
      <c r="E26" s="74">
        <f ca="1">OFFSET(Batting!$CH$4,BatAves!$I26,0)</f>
        <v>1</v>
      </c>
      <c r="F26" s="74">
        <f ca="1">OFFSET(Batting!$CJ$4,BatAves!$I26,0)</f>
        <v>9</v>
      </c>
      <c r="G26" s="74">
        <f ca="1">OFFSET(Batting!$CK$4,BatAves!$I26,0)</f>
        <v>11</v>
      </c>
      <c r="H26" s="79">
        <f ca="1">OFFSET(Batting!$CL$4,BatAves!$I26,0)</f>
        <v>2.75</v>
      </c>
      <c r="I26" s="70">
        <f>MATCH(A26,Batting!$DF$5:$DF$44,0)</f>
        <v>9</v>
      </c>
      <c r="J26" s="70">
        <f t="shared" ca="1" si="0"/>
        <v>25</v>
      </c>
      <c r="K26" s="70">
        <f t="shared" ca="1" si="1"/>
        <v>13</v>
      </c>
      <c r="L26" s="70" t="str">
        <f t="shared" ca="1" si="2"/>
        <v/>
      </c>
      <c r="M26" s="70">
        <f t="shared" ca="1" si="3"/>
        <v>23</v>
      </c>
      <c r="N26" s="148">
        <v>25</v>
      </c>
      <c r="O26" s="148" t="str">
        <f t="shared" ca="1" si="4"/>
        <v>Dhanjal</v>
      </c>
      <c r="P26" s="148">
        <f t="shared" ca="1" si="5"/>
        <v>1</v>
      </c>
      <c r="Q26" s="148">
        <f t="shared" ca="1" si="6"/>
        <v>0</v>
      </c>
      <c r="R26" s="148">
        <f t="shared" ca="1" si="7"/>
        <v>4</v>
      </c>
      <c r="S26" s="148">
        <f t="shared" ca="1" si="8"/>
        <v>4</v>
      </c>
      <c r="T26" s="150">
        <f t="shared" ca="1" si="9"/>
        <v>4</v>
      </c>
      <c r="W26" s="70" t="s">
        <v>558</v>
      </c>
    </row>
    <row r="27" spans="1:23" ht="12.75" x14ac:dyDescent="0.15">
      <c r="A27" s="70">
        <v>26</v>
      </c>
      <c r="B27" s="70" t="str">
        <f ca="1">OFFSET(Batting!$C$4,BatAves!$I27,0)</f>
        <v>Kiernan M</v>
      </c>
      <c r="C27" s="74">
        <f ca="1">OFFSET(Batting!$CE$4,BatAves!$I27,0)</f>
        <v>6</v>
      </c>
      <c r="D27" s="74">
        <f ca="1">OFFSET(Batting!$CG$4,BatAves!$I27,0)</f>
        <v>4</v>
      </c>
      <c r="E27" s="74">
        <f ca="1">OFFSET(Batting!$CH$4,BatAves!$I27,0)</f>
        <v>0</v>
      </c>
      <c r="F27" s="74">
        <f ca="1">OFFSET(Batting!$CJ$4,BatAves!$I27,0)</f>
        <v>2</v>
      </c>
      <c r="G27" s="74">
        <f ca="1">OFFSET(Batting!$CK$4,BatAves!$I27,0)</f>
        <v>5</v>
      </c>
      <c r="H27" s="79">
        <f ca="1">OFFSET(Batting!$CL$4,BatAves!$I27,0)</f>
        <v>1.25</v>
      </c>
      <c r="I27" s="70">
        <f>MATCH(A27,Batting!$DF$5:$DF$44,0)</f>
        <v>18</v>
      </c>
      <c r="J27" s="70">
        <f t="shared" ca="1" si="0"/>
        <v>1026</v>
      </c>
      <c r="K27" s="70">
        <f t="shared" ca="1" si="1"/>
        <v>26</v>
      </c>
      <c r="L27" s="70" t="str">
        <f t="shared" ca="1" si="2"/>
        <v>Kiernan M 4-0-2-5</v>
      </c>
      <c r="M27" s="70">
        <f t="shared" ca="1" si="3"/>
        <v>26</v>
      </c>
      <c r="N27" s="148">
        <v>26</v>
      </c>
      <c r="O27" s="148" t="str">
        <f t="shared" ca="1" si="4"/>
        <v>Kiernan M</v>
      </c>
      <c r="P27" s="148">
        <f t="shared" ca="1" si="5"/>
        <v>4</v>
      </c>
      <c r="Q27" s="148">
        <f t="shared" ca="1" si="6"/>
        <v>0</v>
      </c>
      <c r="R27" s="148">
        <f t="shared" ca="1" si="7"/>
        <v>2</v>
      </c>
      <c r="S27" s="148">
        <f t="shared" ca="1" si="8"/>
        <v>5</v>
      </c>
      <c r="T27" s="150">
        <f t="shared" ca="1" si="9"/>
        <v>1.25</v>
      </c>
      <c r="W27" s="70" t="s">
        <v>564</v>
      </c>
    </row>
    <row r="28" spans="1:23" ht="12.75" x14ac:dyDescent="0.15">
      <c r="A28" s="70">
        <v>27</v>
      </c>
      <c r="B28" s="70" t="str">
        <f ca="1">OFFSET(Batting!$C$4,BatAves!$I28,0)</f>
        <v>Elliston J</v>
      </c>
      <c r="C28" s="74">
        <f ca="1">OFFSET(Batting!$CE$4,BatAves!$I28,0)</f>
        <v>3</v>
      </c>
      <c r="D28" s="74">
        <f ca="1">OFFSET(Batting!$CG$4,BatAves!$I28,0)</f>
        <v>1</v>
      </c>
      <c r="E28" s="74">
        <f ca="1">OFFSET(Batting!$CH$4,BatAves!$I28,0)</f>
        <v>0</v>
      </c>
      <c r="F28" s="74">
        <f ca="1">OFFSET(Batting!$CJ$4,BatAves!$I28,0)</f>
        <v>0</v>
      </c>
      <c r="G28" s="74">
        <f ca="1">OFFSET(Batting!$CK$4,BatAves!$I28,0)</f>
        <v>0</v>
      </c>
      <c r="H28" s="79">
        <f ca="1">OFFSET(Batting!$CL$4,BatAves!$I28,0)</f>
        <v>0</v>
      </c>
      <c r="I28" s="70">
        <f>MATCH(A28,Batting!$DF$5:$DF$44,0)</f>
        <v>12</v>
      </c>
      <c r="J28" s="70">
        <f t="shared" ca="1" si="0"/>
        <v>1027</v>
      </c>
      <c r="K28" s="70">
        <f t="shared" ca="1" si="1"/>
        <v>27</v>
      </c>
      <c r="L28" s="70" t="str">
        <f t="shared" ca="1" si="2"/>
        <v>Elliston J 1-0-0-0</v>
      </c>
      <c r="M28" s="70">
        <f t="shared" ca="1" si="3"/>
        <v>27</v>
      </c>
      <c r="N28" s="148">
        <v>27</v>
      </c>
      <c r="O28" s="148" t="str">
        <f t="shared" ca="1" si="4"/>
        <v>Elliston J</v>
      </c>
      <c r="P28" s="148">
        <f t="shared" ca="1" si="5"/>
        <v>1</v>
      </c>
      <c r="Q28" s="148">
        <f t="shared" ca="1" si="6"/>
        <v>0</v>
      </c>
      <c r="R28" s="148">
        <f t="shared" ca="1" si="7"/>
        <v>0</v>
      </c>
      <c r="S28" s="148">
        <f t="shared" ca="1" si="8"/>
        <v>0</v>
      </c>
      <c r="T28" s="150">
        <f t="shared" ca="1" si="9"/>
        <v>0</v>
      </c>
      <c r="W28" s="70" t="s">
        <v>557</v>
      </c>
    </row>
    <row r="29" spans="1:23" ht="12.75" x14ac:dyDescent="0.15">
      <c r="A29" s="70">
        <v>28</v>
      </c>
      <c r="B29" s="70" t="str">
        <f ca="1">OFFSET(Batting!$C$4,BatAves!$I29,0)</f>
        <v>Coloe A</v>
      </c>
      <c r="C29" s="74">
        <f ca="1">OFFSET(Batting!$CE$4,BatAves!$I29,0)</f>
        <v>2</v>
      </c>
      <c r="D29" s="74">
        <f ca="1">OFFSET(Batting!$CG$4,BatAves!$I29,0)</f>
        <v>1</v>
      </c>
      <c r="E29" s="74">
        <f ca="1">OFFSET(Batting!$CH$4,BatAves!$I29,0)</f>
        <v>1</v>
      </c>
      <c r="F29" s="74" t="str">
        <f ca="1">OFFSET(Batting!$CJ$4,BatAves!$I29,0)</f>
        <v>9*</v>
      </c>
      <c r="G29" s="74">
        <f ca="1">OFFSET(Batting!$CK$4,BatAves!$I29,0)</f>
        <v>9</v>
      </c>
      <c r="H29" s="79">
        <f ca="1">OFFSET(Batting!$CL$4,BatAves!$I29,0)</f>
        <v>0</v>
      </c>
      <c r="I29" s="70">
        <f>MATCH(A29,Batting!$DF$5:$DF$44,0)</f>
        <v>5</v>
      </c>
      <c r="J29" s="70">
        <f t="shared" ca="1" si="0"/>
        <v>1028</v>
      </c>
      <c r="K29" s="70">
        <f t="shared" ca="1" si="1"/>
        <v>28</v>
      </c>
      <c r="L29" s="70" t="str">
        <f t="shared" ca="1" si="2"/>
        <v>Coloe A 1-1-9*-9</v>
      </c>
      <c r="M29" s="70">
        <f t="shared" ca="1" si="3"/>
        <v>28</v>
      </c>
      <c r="N29" s="148">
        <v>28</v>
      </c>
      <c r="O29" s="148" t="str">
        <f t="shared" ca="1" si="4"/>
        <v>Coloe A</v>
      </c>
      <c r="P29" s="148">
        <f t="shared" ca="1" si="5"/>
        <v>1</v>
      </c>
      <c r="Q29" s="148">
        <f t="shared" ca="1" si="6"/>
        <v>1</v>
      </c>
      <c r="R29" s="148" t="str">
        <f t="shared" ca="1" si="7"/>
        <v>9*</v>
      </c>
      <c r="S29" s="148">
        <f t="shared" ca="1" si="8"/>
        <v>9</v>
      </c>
      <c r="T29" s="150">
        <f t="shared" ca="1" si="9"/>
        <v>0</v>
      </c>
      <c r="W29" s="70" t="s">
        <v>561</v>
      </c>
    </row>
    <row r="30" spans="1:23" ht="12.75" x14ac:dyDescent="0.15">
      <c r="A30" s="70">
        <v>29</v>
      </c>
      <c r="B30" s="70" t="str">
        <f ca="1">OFFSET(Batting!$C$4,BatAves!$I30,0)</f>
        <v>Fisher T</v>
      </c>
      <c r="C30" s="74">
        <f ca="1">OFFSET(Batting!$CE$4,BatAves!$I30,0)</f>
        <v>1</v>
      </c>
      <c r="D30" s="74">
        <f ca="1">OFFSET(Batting!$CG$4,BatAves!$I30,0)</f>
        <v>1</v>
      </c>
      <c r="E30" s="74">
        <f ca="1">OFFSET(Batting!$CH$4,BatAves!$I30,0)</f>
        <v>1</v>
      </c>
      <c r="F30" s="74" t="str">
        <f ca="1">OFFSET(Batting!$CJ$4,BatAves!$I30,0)</f>
        <v>28*</v>
      </c>
      <c r="G30" s="74">
        <f ca="1">OFFSET(Batting!$CK$4,BatAves!$I30,0)</f>
        <v>28</v>
      </c>
      <c r="H30" s="79">
        <f ca="1">OFFSET(Batting!$CL$4,BatAves!$I30,0)</f>
        <v>0</v>
      </c>
      <c r="I30" s="70">
        <f>MATCH(A30,Batting!$DF$5:$DF$44,0)</f>
        <v>13</v>
      </c>
      <c r="J30" s="70">
        <f t="shared" ca="1" si="0"/>
        <v>1029</v>
      </c>
      <c r="K30" s="70">
        <f t="shared" ca="1" si="1"/>
        <v>29</v>
      </c>
      <c r="L30" s="70" t="str">
        <f t="shared" ca="1" si="2"/>
        <v>Fisher T 1-1-28*-28</v>
      </c>
      <c r="M30" s="70">
        <f t="shared" ca="1" si="3"/>
        <v>29</v>
      </c>
      <c r="N30" s="148">
        <v>29</v>
      </c>
      <c r="O30" s="148" t="str">
        <f t="shared" ca="1" si="4"/>
        <v>Fisher T</v>
      </c>
      <c r="P30" s="148">
        <f t="shared" ca="1" si="5"/>
        <v>1</v>
      </c>
      <c r="Q30" s="148">
        <f t="shared" ca="1" si="6"/>
        <v>1</v>
      </c>
      <c r="R30" s="148" t="str">
        <f t="shared" ca="1" si="7"/>
        <v>28*</v>
      </c>
      <c r="S30" s="148">
        <f t="shared" ca="1" si="8"/>
        <v>28</v>
      </c>
      <c r="T30" s="150">
        <f t="shared" ca="1" si="9"/>
        <v>0</v>
      </c>
      <c r="W30" s="70" t="s">
        <v>556</v>
      </c>
    </row>
    <row r="31" spans="1:23" ht="12.75" x14ac:dyDescent="0.15">
      <c r="A31" s="70">
        <v>30</v>
      </c>
      <c r="B31" s="70" t="str">
        <f ca="1">OFFSET(Batting!$C$4,BatAves!$I31,0)</f>
        <v>Wiseman R</v>
      </c>
      <c r="C31" s="74">
        <f ca="1">OFFSET(Batting!$CE$4,BatAves!$I31,0)</f>
        <v>1</v>
      </c>
      <c r="D31" s="74">
        <f ca="1">OFFSET(Batting!$CG$4,BatAves!$I31,0)</f>
        <v>1</v>
      </c>
      <c r="E31" s="74">
        <f ca="1">OFFSET(Batting!$CH$4,BatAves!$I31,0)</f>
        <v>1</v>
      </c>
      <c r="F31" s="74" t="str">
        <f ca="1">OFFSET(Batting!$CJ$4,BatAves!$I31,0)</f>
        <v>6*</v>
      </c>
      <c r="G31" s="74">
        <f ca="1">OFFSET(Batting!$CK$4,BatAves!$I31,0)</f>
        <v>6</v>
      </c>
      <c r="H31" s="79">
        <f ca="1">OFFSET(Batting!$CL$4,BatAves!$I31,0)</f>
        <v>0</v>
      </c>
      <c r="I31" s="70">
        <f>MATCH(A31,Batting!$DF$5:$DF$44,0)</f>
        <v>38</v>
      </c>
      <c r="J31" s="70">
        <f t="shared" ca="1" si="0"/>
        <v>1030</v>
      </c>
      <c r="K31" s="70">
        <f t="shared" ca="1" si="1"/>
        <v>30</v>
      </c>
      <c r="L31" s="70" t="str">
        <f t="shared" ca="1" si="2"/>
        <v>Wiseman R 1-1-6*-6</v>
      </c>
      <c r="M31" s="70">
        <f t="shared" ca="1" si="3"/>
        <v>30</v>
      </c>
      <c r="N31" s="148">
        <v>30</v>
      </c>
      <c r="O31" s="148" t="str">
        <f t="shared" ca="1" si="4"/>
        <v>Wiseman R</v>
      </c>
      <c r="P31" s="148">
        <f t="shared" ca="1" si="5"/>
        <v>1</v>
      </c>
      <c r="Q31" s="148">
        <f t="shared" ca="1" si="6"/>
        <v>1</v>
      </c>
      <c r="R31" s="148" t="str">
        <f t="shared" ca="1" si="7"/>
        <v>6*</v>
      </c>
      <c r="S31" s="148">
        <f t="shared" ca="1" si="8"/>
        <v>6</v>
      </c>
      <c r="T31" s="150">
        <f t="shared" ca="1" si="9"/>
        <v>0</v>
      </c>
      <c r="W31" s="70" t="s">
        <v>563</v>
      </c>
    </row>
    <row r="32" spans="1:23" ht="12.75" x14ac:dyDescent="0.15">
      <c r="A32" s="70">
        <v>31</v>
      </c>
      <c r="B32" s="70" t="str">
        <f ca="1">OFFSET(Batting!$C$4,BatAves!$I32,0)</f>
        <v>Mander A</v>
      </c>
      <c r="C32" s="74">
        <f ca="1">OFFSET(Batting!$CE$4,BatAves!$I32,0)</f>
        <v>2</v>
      </c>
      <c r="D32" s="74">
        <f ca="1">OFFSET(Batting!$CG$4,BatAves!$I32,0)</f>
        <v>0</v>
      </c>
      <c r="E32" s="74">
        <f ca="1">OFFSET(Batting!$CH$4,BatAves!$I32,0)</f>
        <v>0</v>
      </c>
      <c r="F32" s="74">
        <f ca="1">OFFSET(Batting!$CJ$4,BatAves!$I32,0)</f>
        <v>0</v>
      </c>
      <c r="G32" s="74">
        <f ca="1">OFFSET(Batting!$CK$4,BatAves!$I32,0)</f>
        <v>0</v>
      </c>
      <c r="H32" s="79">
        <f ca="1">OFFSET(Batting!$CL$4,BatAves!$I32,0)</f>
        <v>0</v>
      </c>
      <c r="I32" s="70">
        <f>MATCH(A32,Batting!$DF$5:$DF$44,0)</f>
        <v>23</v>
      </c>
      <c r="J32" s="70">
        <f t="shared" ca="1" si="0"/>
        <v>1031</v>
      </c>
      <c r="K32" s="70">
        <f t="shared" ca="1" si="1"/>
        <v>31</v>
      </c>
      <c r="L32" s="70" t="str">
        <f t="shared" ca="1" si="2"/>
        <v>Mander A 0-0-0-0</v>
      </c>
      <c r="M32" s="70">
        <f t="shared" ca="1" si="3"/>
        <v>31</v>
      </c>
      <c r="N32" s="148">
        <v>31</v>
      </c>
      <c r="O32" s="148" t="str">
        <f t="shared" ca="1" si="4"/>
        <v>Mander A</v>
      </c>
      <c r="P32" s="148">
        <f t="shared" ca="1" si="5"/>
        <v>0</v>
      </c>
      <c r="Q32" s="148">
        <f t="shared" ca="1" si="6"/>
        <v>0</v>
      </c>
      <c r="R32" s="148">
        <f t="shared" ca="1" si="7"/>
        <v>0</v>
      </c>
      <c r="S32" s="148">
        <f t="shared" ca="1" si="8"/>
        <v>0</v>
      </c>
      <c r="T32" s="150">
        <f t="shared" ca="1" si="9"/>
        <v>0</v>
      </c>
      <c r="W32" s="70" t="s">
        <v>565</v>
      </c>
    </row>
    <row r="33" spans="1:23" ht="12.75" x14ac:dyDescent="0.15">
      <c r="A33" s="70">
        <v>32</v>
      </c>
      <c r="B33" s="70" t="str">
        <f ca="1">OFFSET(Batting!$C$4,BatAves!$I33,0)</f>
        <v>Worthington R</v>
      </c>
      <c r="C33" s="74">
        <f ca="1">OFFSET(Batting!$CE$4,BatAves!$I33,0)</f>
        <v>0</v>
      </c>
      <c r="D33" s="74">
        <f ca="1">OFFSET(Batting!$CG$4,BatAves!$I33,0)</f>
        <v>0</v>
      </c>
      <c r="E33" s="74">
        <f ca="1">OFFSET(Batting!$CH$4,BatAves!$I33,0)</f>
        <v>0</v>
      </c>
      <c r="F33" s="74">
        <f ca="1">OFFSET(Batting!$CJ$4,BatAves!$I33,0)</f>
        <v>0</v>
      </c>
      <c r="G33" s="74">
        <f ca="1">OFFSET(Batting!$CK$4,BatAves!$I33,0)</f>
        <v>0</v>
      </c>
      <c r="H33" s="79">
        <f ca="1">OFFSET(Batting!$CL$4,BatAves!$I33,0)</f>
        <v>0</v>
      </c>
      <c r="I33" s="70">
        <f>MATCH(A33,Batting!$DF$5:$DF$44,0)</f>
        <v>40</v>
      </c>
      <c r="J33" s="70">
        <f t="shared" ca="1" si="0"/>
        <v>1032</v>
      </c>
      <c r="K33" s="70">
        <f t="shared" ca="1" si="1"/>
        <v>32</v>
      </c>
      <c r="L33" s="70" t="str">
        <f t="shared" ca="1" si="2"/>
        <v>Worthington R 0-0-0-0</v>
      </c>
      <c r="M33" s="70">
        <f t="shared" ca="1" si="3"/>
        <v>32</v>
      </c>
      <c r="N33" s="148">
        <v>32</v>
      </c>
      <c r="O33" s="148" t="str">
        <f t="shared" ca="1" si="4"/>
        <v>Worthington R</v>
      </c>
      <c r="P33" s="148">
        <f t="shared" ca="1" si="5"/>
        <v>0</v>
      </c>
      <c r="Q33" s="148">
        <f t="shared" ca="1" si="6"/>
        <v>0</v>
      </c>
      <c r="R33" s="148">
        <f t="shared" ca="1" si="7"/>
        <v>0</v>
      </c>
      <c r="S33" s="148">
        <f t="shared" ca="1" si="8"/>
        <v>0</v>
      </c>
      <c r="T33" s="150">
        <f t="shared" ca="1" si="9"/>
        <v>0</v>
      </c>
      <c r="W33" s="70" t="s">
        <v>560</v>
      </c>
    </row>
    <row r="34" spans="1:23" ht="12.75" x14ac:dyDescent="0.15">
      <c r="A34" s="70">
        <v>33</v>
      </c>
      <c r="B34" s="70" t="str">
        <f ca="1">OFFSET(Batting!$C$4,BatAves!$I34,0)</f>
        <v>Snow D</v>
      </c>
      <c r="C34" s="74">
        <f ca="1">OFFSET(Batting!$CE$4,BatAves!$I34,0)</f>
        <v>0</v>
      </c>
      <c r="D34" s="74">
        <f ca="1">OFFSET(Batting!$CG$4,BatAves!$I34,0)</f>
        <v>0</v>
      </c>
      <c r="E34" s="74">
        <f ca="1">OFFSET(Batting!$CH$4,BatAves!$I34,0)</f>
        <v>0</v>
      </c>
      <c r="F34" s="74">
        <f ca="1">OFFSET(Batting!$CJ$4,BatAves!$I34,0)</f>
        <v>0</v>
      </c>
      <c r="G34" s="74">
        <f ca="1">OFFSET(Batting!$CK$4,BatAves!$I34,0)</f>
        <v>0</v>
      </c>
      <c r="H34" s="79">
        <f ca="1">OFFSET(Batting!$CL$4,BatAves!$I34,0)</f>
        <v>0</v>
      </c>
      <c r="I34" s="70">
        <f>MATCH(A34,Batting!$DF$5:$DF$44,0)</f>
        <v>35</v>
      </c>
      <c r="J34" s="70">
        <f t="shared" ca="1" si="0"/>
        <v>1033</v>
      </c>
      <c r="K34" s="70">
        <f t="shared" ca="1" si="1"/>
        <v>33</v>
      </c>
      <c r="L34" s="70" t="str">
        <f t="shared" ca="1" si="2"/>
        <v>Snow D 0-0-0-0</v>
      </c>
      <c r="M34" s="70">
        <f t="shared" ca="1" si="3"/>
        <v>33</v>
      </c>
      <c r="N34" s="148">
        <v>33</v>
      </c>
      <c r="O34" s="148" t="str">
        <f t="shared" ca="1" si="4"/>
        <v>Snow D</v>
      </c>
      <c r="P34" s="148">
        <f t="shared" ca="1" si="5"/>
        <v>0</v>
      </c>
      <c r="Q34" s="148">
        <f t="shared" ca="1" si="6"/>
        <v>0</v>
      </c>
      <c r="R34" s="148">
        <f t="shared" ca="1" si="7"/>
        <v>0</v>
      </c>
      <c r="S34" s="148">
        <f t="shared" ca="1" si="8"/>
        <v>0</v>
      </c>
      <c r="T34" s="150">
        <f t="shared" ca="1" si="9"/>
        <v>0</v>
      </c>
      <c r="W34" s="70" t="s">
        <v>559</v>
      </c>
    </row>
    <row r="35" spans="1:23" ht="12.75" x14ac:dyDescent="0.15">
      <c r="A35" s="70">
        <v>34</v>
      </c>
      <c r="B35" s="70" t="str">
        <f ca="1">OFFSET(Batting!$C$4,BatAves!$I35,0)</f>
        <v>Patel N</v>
      </c>
      <c r="C35" s="74">
        <f ca="1">OFFSET(Batting!$CE$4,BatAves!$I35,0)</f>
        <v>0</v>
      </c>
      <c r="D35" s="74">
        <f ca="1">OFFSET(Batting!$CG$4,BatAves!$I35,0)</f>
        <v>0</v>
      </c>
      <c r="E35" s="74">
        <f ca="1">OFFSET(Batting!$CH$4,BatAves!$I35,0)</f>
        <v>0</v>
      </c>
      <c r="F35" s="74">
        <f ca="1">OFFSET(Batting!$CJ$4,BatAves!$I35,0)</f>
        <v>0</v>
      </c>
      <c r="G35" s="74">
        <f ca="1">OFFSET(Batting!$CK$4,BatAves!$I35,0)</f>
        <v>0</v>
      </c>
      <c r="H35" s="79">
        <f ca="1">OFFSET(Batting!$CL$4,BatAves!$I35,0)</f>
        <v>0</v>
      </c>
      <c r="I35" s="70">
        <f>MATCH(A35,Batting!$DF$5:$DF$44,0)</f>
        <v>30</v>
      </c>
      <c r="J35" s="70">
        <f t="shared" ca="1" si="0"/>
        <v>1034</v>
      </c>
      <c r="K35" s="70">
        <f t="shared" ca="1" si="1"/>
        <v>34</v>
      </c>
      <c r="L35" s="70" t="str">
        <f t="shared" ca="1" si="2"/>
        <v>Patel N 0-0-0-0</v>
      </c>
      <c r="M35" s="70">
        <f t="shared" ca="1" si="3"/>
        <v>34</v>
      </c>
      <c r="N35" s="148">
        <v>34</v>
      </c>
      <c r="O35" s="148" t="str">
        <f t="shared" ca="1" si="4"/>
        <v>Patel N</v>
      </c>
      <c r="P35" s="148">
        <f t="shared" ca="1" si="5"/>
        <v>0</v>
      </c>
      <c r="Q35" s="148">
        <f t="shared" ca="1" si="6"/>
        <v>0</v>
      </c>
      <c r="R35" s="148">
        <f t="shared" ca="1" si="7"/>
        <v>0</v>
      </c>
      <c r="S35" s="148">
        <f t="shared" ca="1" si="8"/>
        <v>0</v>
      </c>
      <c r="T35" s="150">
        <f t="shared" ca="1" si="9"/>
        <v>0</v>
      </c>
      <c r="W35" s="70" t="s">
        <v>562</v>
      </c>
    </row>
    <row r="36" spans="1:23" ht="12.75" x14ac:dyDescent="0.15">
      <c r="A36" s="70">
        <v>35</v>
      </c>
      <c r="B36" s="70" t="str">
        <f ca="1">OFFSET(Batting!$C$4,BatAves!$I36,0)</f>
        <v>Odeneal R</v>
      </c>
      <c r="C36" s="74">
        <f ca="1">OFFSET(Batting!$CE$4,BatAves!$I36,0)</f>
        <v>0</v>
      </c>
      <c r="D36" s="74">
        <f ca="1">OFFSET(Batting!$CG$4,BatAves!$I36,0)</f>
        <v>0</v>
      </c>
      <c r="E36" s="74">
        <f ca="1">OFFSET(Batting!$CH$4,BatAves!$I36,0)</f>
        <v>0</v>
      </c>
      <c r="F36" s="74">
        <f ca="1">OFFSET(Batting!$CJ$4,BatAves!$I36,0)</f>
        <v>0</v>
      </c>
      <c r="G36" s="74">
        <f ca="1">OFFSET(Batting!$CK$4,BatAves!$I36,0)</f>
        <v>0</v>
      </c>
      <c r="H36" s="79">
        <f ca="1">OFFSET(Batting!$CL$4,BatAves!$I36,0)</f>
        <v>0</v>
      </c>
      <c r="I36" s="70">
        <f>MATCH(A36,Batting!$DF$5:$DF$44,0)</f>
        <v>29</v>
      </c>
      <c r="J36" s="70">
        <f t="shared" ca="1" si="0"/>
        <v>1035</v>
      </c>
      <c r="K36" s="70">
        <f t="shared" ca="1" si="1"/>
        <v>35</v>
      </c>
      <c r="L36" s="70" t="str">
        <f t="shared" ca="1" si="2"/>
        <v>Odeneal R 0-0-0-0</v>
      </c>
      <c r="M36" s="70">
        <f t="shared" ca="1" si="3"/>
        <v>35</v>
      </c>
      <c r="N36" s="148">
        <v>35</v>
      </c>
      <c r="O36" s="148" t="str">
        <f t="shared" ca="1" si="4"/>
        <v>Odeneal R</v>
      </c>
      <c r="P36" s="148">
        <f t="shared" ca="1" si="5"/>
        <v>0</v>
      </c>
      <c r="Q36" s="148">
        <f t="shared" ca="1" si="6"/>
        <v>0</v>
      </c>
      <c r="R36" s="148">
        <f t="shared" ca="1" si="7"/>
        <v>0</v>
      </c>
      <c r="S36" s="148">
        <f t="shared" ca="1" si="8"/>
        <v>0</v>
      </c>
      <c r="T36" s="150">
        <f t="shared" ca="1" si="9"/>
        <v>0</v>
      </c>
      <c r="W36" s="70" t="s">
        <v>550</v>
      </c>
    </row>
    <row r="37" spans="1:23" ht="12.75" x14ac:dyDescent="0.15">
      <c r="A37" s="70">
        <v>36</v>
      </c>
      <c r="B37" s="70" t="str">
        <f ca="1">OFFSET(Batting!$C$4,BatAves!$I37,0)</f>
        <v>Murphy P</v>
      </c>
      <c r="C37" s="74">
        <f ca="1">OFFSET(Batting!$CE$4,BatAves!$I37,0)</f>
        <v>0</v>
      </c>
      <c r="D37" s="74">
        <f ca="1">OFFSET(Batting!$CG$4,BatAves!$I37,0)</f>
        <v>0</v>
      </c>
      <c r="E37" s="74">
        <f ca="1">OFFSET(Batting!$CH$4,BatAves!$I37,0)</f>
        <v>0</v>
      </c>
      <c r="F37" s="74">
        <f ca="1">OFFSET(Batting!$CJ$4,BatAves!$I37,0)</f>
        <v>0</v>
      </c>
      <c r="G37" s="74">
        <f ca="1">OFFSET(Batting!$CK$4,BatAves!$I37,0)</f>
        <v>0</v>
      </c>
      <c r="H37" s="79">
        <f ca="1">OFFSET(Batting!$CL$4,BatAves!$I37,0)</f>
        <v>0</v>
      </c>
      <c r="I37" s="70">
        <f>MATCH(A37,Batting!$DF$5:$DF$44,0)</f>
        <v>27</v>
      </c>
      <c r="J37" s="70">
        <f t="shared" ca="1" si="0"/>
        <v>1036</v>
      </c>
      <c r="K37" s="70">
        <f t="shared" ca="1" si="1"/>
        <v>36</v>
      </c>
      <c r="L37" s="70" t="str">
        <f t="shared" ca="1" si="2"/>
        <v>Murphy P 0-0-0-0</v>
      </c>
      <c r="M37" s="70">
        <f t="shared" ca="1" si="3"/>
        <v>36</v>
      </c>
      <c r="N37" s="148">
        <v>36</v>
      </c>
      <c r="O37" s="148" t="str">
        <f t="shared" ca="1" si="4"/>
        <v>Murphy P</v>
      </c>
      <c r="P37" s="148">
        <f t="shared" ca="1" si="5"/>
        <v>0</v>
      </c>
      <c r="Q37" s="148">
        <f t="shared" ca="1" si="6"/>
        <v>0</v>
      </c>
      <c r="R37" s="148">
        <f t="shared" ca="1" si="7"/>
        <v>0</v>
      </c>
      <c r="S37" s="148">
        <f t="shared" ca="1" si="8"/>
        <v>0</v>
      </c>
      <c r="T37" s="150">
        <f t="shared" ca="1" si="9"/>
        <v>0</v>
      </c>
      <c r="W37" s="70" t="s">
        <v>552</v>
      </c>
    </row>
    <row r="38" spans="1:23" ht="12.75" x14ac:dyDescent="0.15">
      <c r="A38" s="70">
        <v>37</v>
      </c>
      <c r="B38" s="70" t="str">
        <f ca="1">OFFSET(Batting!$C$4,BatAves!$I38,0)</f>
        <v>Mander N</v>
      </c>
      <c r="C38" s="74">
        <f ca="1">OFFSET(Batting!$CE$4,BatAves!$I38,0)</f>
        <v>0</v>
      </c>
      <c r="D38" s="74">
        <f ca="1">OFFSET(Batting!$CG$4,BatAves!$I38,0)</f>
        <v>0</v>
      </c>
      <c r="E38" s="74">
        <f ca="1">OFFSET(Batting!$CH$4,BatAves!$I38,0)</f>
        <v>0</v>
      </c>
      <c r="F38" s="74">
        <f ca="1">OFFSET(Batting!$CJ$4,BatAves!$I38,0)</f>
        <v>0</v>
      </c>
      <c r="G38" s="74">
        <f ca="1">OFFSET(Batting!$CK$4,BatAves!$I38,0)</f>
        <v>0</v>
      </c>
      <c r="H38" s="79">
        <f ca="1">OFFSET(Batting!$CL$4,BatAves!$I38,0)</f>
        <v>0</v>
      </c>
      <c r="I38" s="70">
        <f>MATCH(A38,Batting!$DF$5:$DF$44,0)</f>
        <v>25</v>
      </c>
      <c r="J38" s="70">
        <f t="shared" ca="1" si="0"/>
        <v>1037</v>
      </c>
      <c r="K38" s="70">
        <f t="shared" ca="1" si="1"/>
        <v>37</v>
      </c>
      <c r="L38" s="70" t="str">
        <f t="shared" ca="1" si="2"/>
        <v>Mander N 0-0-0-0</v>
      </c>
      <c r="M38" s="70">
        <f t="shared" ca="1" si="3"/>
        <v>37</v>
      </c>
      <c r="N38" s="148">
        <v>37</v>
      </c>
      <c r="O38" s="148" t="str">
        <f t="shared" ca="1" si="4"/>
        <v>Mander N</v>
      </c>
      <c r="P38" s="148">
        <f t="shared" ca="1" si="5"/>
        <v>0</v>
      </c>
      <c r="Q38" s="148">
        <f t="shared" ca="1" si="6"/>
        <v>0</v>
      </c>
      <c r="R38" s="148">
        <f t="shared" ca="1" si="7"/>
        <v>0</v>
      </c>
      <c r="S38" s="148">
        <f t="shared" ca="1" si="8"/>
        <v>0</v>
      </c>
      <c r="T38" s="150">
        <f t="shared" ca="1" si="9"/>
        <v>0</v>
      </c>
      <c r="W38" s="70" t="s">
        <v>553</v>
      </c>
    </row>
    <row r="39" spans="1:23" ht="12.75" x14ac:dyDescent="0.15">
      <c r="A39" s="70">
        <v>38</v>
      </c>
      <c r="B39" s="70" t="str">
        <f ca="1">OFFSET(Batting!$C$4,BatAves!$I39,0)</f>
        <v>Mander C</v>
      </c>
      <c r="C39" s="74">
        <f ca="1">OFFSET(Batting!$CE$4,BatAves!$I39,0)</f>
        <v>0</v>
      </c>
      <c r="D39" s="74">
        <f ca="1">OFFSET(Batting!$CG$4,BatAves!$I39,0)</f>
        <v>0</v>
      </c>
      <c r="E39" s="74">
        <f ca="1">OFFSET(Batting!$CH$4,BatAves!$I39,0)</f>
        <v>0</v>
      </c>
      <c r="F39" s="74">
        <f ca="1">OFFSET(Batting!$CJ$4,BatAves!$I39,0)</f>
        <v>0</v>
      </c>
      <c r="G39" s="74">
        <f ca="1">OFFSET(Batting!$CK$4,BatAves!$I39,0)</f>
        <v>0</v>
      </c>
      <c r="H39" s="79">
        <f ca="1">OFFSET(Batting!$CL$4,BatAves!$I39,0)</f>
        <v>0</v>
      </c>
      <c r="I39" s="70">
        <f>MATCH(A39,Batting!$DF$5:$DF$44,0)</f>
        <v>24</v>
      </c>
      <c r="J39" s="70">
        <f t="shared" ca="1" si="0"/>
        <v>1038</v>
      </c>
      <c r="K39" s="70">
        <f t="shared" ca="1" si="1"/>
        <v>38</v>
      </c>
      <c r="L39" s="70" t="str">
        <f t="shared" ca="1" si="2"/>
        <v>Mander C 0-0-0-0</v>
      </c>
      <c r="M39" s="70">
        <f t="shared" ca="1" si="3"/>
        <v>38</v>
      </c>
      <c r="N39" s="148">
        <v>38</v>
      </c>
      <c r="O39" s="148" t="str">
        <f t="shared" ca="1" si="4"/>
        <v>Mander C</v>
      </c>
      <c r="P39" s="148">
        <f t="shared" ca="1" si="5"/>
        <v>0</v>
      </c>
      <c r="Q39" s="148">
        <f t="shared" ca="1" si="6"/>
        <v>0</v>
      </c>
      <c r="R39" s="148">
        <f t="shared" ca="1" si="7"/>
        <v>0</v>
      </c>
      <c r="S39" s="148">
        <f t="shared" ca="1" si="8"/>
        <v>0</v>
      </c>
      <c r="T39" s="150">
        <f t="shared" ca="1" si="9"/>
        <v>0</v>
      </c>
      <c r="W39" s="70" t="s">
        <v>555</v>
      </c>
    </row>
    <row r="40" spans="1:23" ht="12.75" x14ac:dyDescent="0.15">
      <c r="A40" s="70">
        <v>39</v>
      </c>
      <c r="B40" s="70" t="str">
        <f ca="1">OFFSET(Batting!$C$4,BatAves!$I40,0)</f>
        <v>Lashley W</v>
      </c>
      <c r="C40" s="74">
        <f ca="1">OFFSET(Batting!$CE$4,BatAves!$I40,0)</f>
        <v>0</v>
      </c>
      <c r="D40" s="74">
        <f ca="1">OFFSET(Batting!$CG$4,BatAves!$I40,0)</f>
        <v>0</v>
      </c>
      <c r="E40" s="74">
        <f ca="1">OFFSET(Batting!$CH$4,BatAves!$I40,0)</f>
        <v>0</v>
      </c>
      <c r="F40" s="74">
        <f ca="1">OFFSET(Batting!$CJ$4,BatAves!$I40,0)</f>
        <v>0</v>
      </c>
      <c r="G40" s="74">
        <f ca="1">OFFSET(Batting!$CK$4,BatAves!$I40,0)</f>
        <v>0</v>
      </c>
      <c r="H40" s="79">
        <f ca="1">OFFSET(Batting!$CL$4,BatAves!$I40,0)</f>
        <v>0</v>
      </c>
      <c r="I40" s="70">
        <f>MATCH(A40,Batting!$DF$5:$DF$44,0)</f>
        <v>19</v>
      </c>
      <c r="J40" s="70">
        <f t="shared" ca="1" si="0"/>
        <v>1039</v>
      </c>
      <c r="K40" s="70">
        <f t="shared" ca="1" si="1"/>
        <v>39</v>
      </c>
      <c r="L40" s="70" t="str">
        <f t="shared" ca="1" si="2"/>
        <v>Lashley W 0-0-0-0</v>
      </c>
      <c r="M40" s="70">
        <f t="shared" ca="1" si="3"/>
        <v>39</v>
      </c>
      <c r="N40" s="148">
        <v>39</v>
      </c>
      <c r="O40" s="148" t="str">
        <f t="shared" ca="1" si="4"/>
        <v>Lashley W</v>
      </c>
      <c r="P40" s="148">
        <f t="shared" ca="1" si="5"/>
        <v>0</v>
      </c>
      <c r="Q40" s="148">
        <f t="shared" ca="1" si="6"/>
        <v>0</v>
      </c>
      <c r="R40" s="148">
        <f t="shared" ca="1" si="7"/>
        <v>0</v>
      </c>
      <c r="S40" s="148">
        <f t="shared" ca="1" si="8"/>
        <v>0</v>
      </c>
      <c r="T40" s="150">
        <f t="shared" ca="1" si="9"/>
        <v>0</v>
      </c>
      <c r="W40" s="70" t="s">
        <v>551</v>
      </c>
    </row>
    <row r="41" spans="1:23" ht="12.75" x14ac:dyDescent="0.15">
      <c r="A41" s="70">
        <v>40</v>
      </c>
      <c r="B41" s="70" t="str">
        <f ca="1">OFFSET(Batting!$C$4,BatAves!$I41,0)</f>
        <v>Bowers M</v>
      </c>
      <c r="C41" s="74">
        <f ca="1">OFFSET(Batting!$CE$4,BatAves!$I41,0)</f>
        <v>0</v>
      </c>
      <c r="D41" s="74">
        <f ca="1">OFFSET(Batting!$CG$4,BatAves!$I41,0)</f>
        <v>0</v>
      </c>
      <c r="E41" s="74">
        <f ca="1">OFFSET(Batting!$CH$4,BatAves!$I41,0)</f>
        <v>0</v>
      </c>
      <c r="F41" s="74">
        <f ca="1">OFFSET(Batting!$CJ$4,BatAves!$I41,0)</f>
        <v>0</v>
      </c>
      <c r="G41" s="74">
        <f ca="1">OFFSET(Batting!$CK$4,BatAves!$I41,0)</f>
        <v>0</v>
      </c>
      <c r="H41" s="79">
        <f ca="1">OFFSET(Batting!$CL$4,BatAves!$I41,0)</f>
        <v>0</v>
      </c>
      <c r="I41" s="70">
        <f>MATCH(A41,Batting!$DF$5:$DF$44,0)</f>
        <v>1</v>
      </c>
      <c r="J41" s="70">
        <f t="shared" ca="1" si="0"/>
        <v>1040</v>
      </c>
      <c r="K41" s="70">
        <f t="shared" ca="1" si="1"/>
        <v>40</v>
      </c>
      <c r="L41" s="70" t="str">
        <f t="shared" ca="1" si="2"/>
        <v>Bowers M 0-0-0-0</v>
      </c>
      <c r="M41" s="70">
        <f t="shared" ca="1" si="3"/>
        <v>40</v>
      </c>
      <c r="N41" s="148">
        <v>40</v>
      </c>
      <c r="O41" s="148" t="str">
        <f t="shared" ca="1" si="4"/>
        <v>Bowers M</v>
      </c>
      <c r="P41" s="148">
        <f t="shared" ca="1" si="5"/>
        <v>0</v>
      </c>
      <c r="Q41" s="148">
        <f t="shared" ca="1" si="6"/>
        <v>0</v>
      </c>
      <c r="R41" s="148">
        <f t="shared" ca="1" si="7"/>
        <v>0</v>
      </c>
      <c r="S41" s="148">
        <f t="shared" ca="1" si="8"/>
        <v>0</v>
      </c>
      <c r="T41" s="150">
        <f t="shared" ca="1" si="9"/>
        <v>0</v>
      </c>
      <c r="W41" s="70" t="s">
        <v>566</v>
      </c>
    </row>
    <row r="42" spans="1:23" x14ac:dyDescent="0.15">
      <c r="A42" s="70">
        <v>41</v>
      </c>
      <c r="B42" s="70" t="e">
        <f ca="1">OFFSET(Batting!$C$4,BatAves!$I42,0)</f>
        <v>#N/A</v>
      </c>
      <c r="C42" s="74" t="e">
        <f ca="1">OFFSET(Batting!$CE$4,BatAves!$I42,0)</f>
        <v>#N/A</v>
      </c>
      <c r="D42" s="74" t="e">
        <f ca="1">OFFSET(Batting!$CG$4,BatAves!$I42,0)</f>
        <v>#N/A</v>
      </c>
      <c r="E42" s="74" t="e">
        <f ca="1">OFFSET(Batting!$CH$4,BatAves!$I42,0)</f>
        <v>#N/A</v>
      </c>
      <c r="F42" s="74" t="e">
        <f ca="1">OFFSET(Batting!$CJ$4,BatAves!$I42,0)</f>
        <v>#N/A</v>
      </c>
      <c r="G42" s="74" t="e">
        <f ca="1">OFFSET(Batting!$CK$4,BatAves!$I42,0)</f>
        <v>#N/A</v>
      </c>
      <c r="H42" s="79" t="e">
        <f ca="1">OFFSET(Batting!$CL$4,BatAves!$I42,0)</f>
        <v>#N/A</v>
      </c>
      <c r="I42" s="70" t="e">
        <f>MATCH(A42,Batting!$DF$5:$DF$44,0)</f>
        <v>#N/A</v>
      </c>
      <c r="J42" s="70" t="e">
        <f t="shared" ca="1" si="0"/>
        <v>#N/A</v>
      </c>
      <c r="K42" s="70" t="e">
        <f t="shared" ca="1" si="1"/>
        <v>#N/A</v>
      </c>
      <c r="L42" s="70" t="e">
        <f t="shared" ca="1" si="2"/>
        <v>#N/A</v>
      </c>
      <c r="M42" s="70" t="e">
        <f t="shared" ca="1" si="3"/>
        <v>#N/A</v>
      </c>
      <c r="N42" s="140">
        <v>41</v>
      </c>
      <c r="O42" s="140" t="e">
        <f t="shared" ca="1" si="4"/>
        <v>#N/A</v>
      </c>
      <c r="P42" s="140" t="e">
        <f t="shared" ca="1" si="5"/>
        <v>#N/A</v>
      </c>
      <c r="Q42" s="140" t="e">
        <f t="shared" ca="1" si="6"/>
        <v>#N/A</v>
      </c>
      <c r="R42" s="140" t="e">
        <f t="shared" ca="1" si="7"/>
        <v>#N/A</v>
      </c>
      <c r="S42" s="140" t="e">
        <f t="shared" ca="1" si="8"/>
        <v>#N/A</v>
      </c>
      <c r="T42" s="145" t="e">
        <f t="shared" ca="1" si="9"/>
        <v>#N/A</v>
      </c>
      <c r="W42" s="70" t="s">
        <v>554</v>
      </c>
    </row>
    <row r="43" spans="1:23" x14ac:dyDescent="0.15">
      <c r="A43" s="70">
        <v>42</v>
      </c>
      <c r="B43" s="70" t="e">
        <f ca="1">OFFSET(Batting!$C$4,BatAves!$I43,0)</f>
        <v>#N/A</v>
      </c>
      <c r="C43" s="74" t="e">
        <f ca="1">OFFSET(Batting!$CE$4,BatAves!$I43,0)</f>
        <v>#N/A</v>
      </c>
      <c r="D43" s="74" t="e">
        <f ca="1">OFFSET(Batting!$CG$4,BatAves!$I43,0)</f>
        <v>#N/A</v>
      </c>
      <c r="E43" s="74" t="e">
        <f ca="1">OFFSET(Batting!$CH$4,BatAves!$I43,0)</f>
        <v>#N/A</v>
      </c>
      <c r="F43" s="74" t="e">
        <f ca="1">OFFSET(Batting!$CJ$4,BatAves!$I43,0)</f>
        <v>#N/A</v>
      </c>
      <c r="G43" s="74" t="e">
        <f ca="1">OFFSET(Batting!$CK$4,BatAves!$I43,0)</f>
        <v>#N/A</v>
      </c>
      <c r="H43" s="79" t="e">
        <f ca="1">OFFSET(Batting!$CL$4,BatAves!$I43,0)</f>
        <v>#N/A</v>
      </c>
      <c r="I43" s="70" t="e">
        <f>MATCH(A43,Batting!$DF$5:$DF$44,0)</f>
        <v>#N/A</v>
      </c>
      <c r="J43" s="70" t="e">
        <f t="shared" ca="1" si="0"/>
        <v>#N/A</v>
      </c>
      <c r="K43" s="70" t="e">
        <f t="shared" ca="1" si="1"/>
        <v>#N/A</v>
      </c>
      <c r="L43" s="70" t="e">
        <f t="shared" ca="1" si="2"/>
        <v>#N/A</v>
      </c>
      <c r="M43" s="70" t="e">
        <f t="shared" ca="1" si="3"/>
        <v>#N/A</v>
      </c>
      <c r="N43" s="140">
        <v>42</v>
      </c>
      <c r="O43" s="140" t="e">
        <f t="shared" ca="1" si="4"/>
        <v>#N/A</v>
      </c>
      <c r="P43" s="140" t="e">
        <f t="shared" ca="1" si="5"/>
        <v>#N/A</v>
      </c>
      <c r="Q43" s="140" t="e">
        <f t="shared" ca="1" si="6"/>
        <v>#N/A</v>
      </c>
      <c r="R43" s="140" t="e">
        <f t="shared" ca="1" si="7"/>
        <v>#N/A</v>
      </c>
      <c r="S43" s="140" t="e">
        <f t="shared" ca="1" si="8"/>
        <v>#N/A</v>
      </c>
      <c r="T43" s="145" t="e">
        <f t="shared" ca="1" si="9"/>
        <v>#N/A</v>
      </c>
    </row>
    <row r="44" spans="1:23" x14ac:dyDescent="0.15">
      <c r="A44" s="70">
        <v>43</v>
      </c>
      <c r="B44" s="70" t="e">
        <f ca="1">OFFSET(Batting!$C$4,BatAves!$I44,0)</f>
        <v>#N/A</v>
      </c>
      <c r="C44" s="74" t="e">
        <f ca="1">OFFSET(Batting!$CE$4,BatAves!$I44,0)</f>
        <v>#N/A</v>
      </c>
      <c r="D44" s="74" t="e">
        <f ca="1">OFFSET(Batting!$CG$4,BatAves!$I44,0)</f>
        <v>#N/A</v>
      </c>
      <c r="E44" s="74" t="e">
        <f ca="1">OFFSET(Batting!$CH$4,BatAves!$I44,0)</f>
        <v>#N/A</v>
      </c>
      <c r="F44" s="74" t="e">
        <f ca="1">OFFSET(Batting!$CJ$4,BatAves!$I44,0)</f>
        <v>#N/A</v>
      </c>
      <c r="G44" s="74" t="e">
        <f ca="1">OFFSET(Batting!$CK$4,BatAves!$I44,0)</f>
        <v>#N/A</v>
      </c>
      <c r="H44" s="79" t="e">
        <f ca="1">OFFSET(Batting!$CL$4,BatAves!$I44,0)</f>
        <v>#N/A</v>
      </c>
      <c r="I44" s="70" t="e">
        <f>MATCH(A44,Batting!$DF$5:$DF$44,0)</f>
        <v>#N/A</v>
      </c>
      <c r="J44" s="70" t="e">
        <f t="shared" ca="1" si="0"/>
        <v>#N/A</v>
      </c>
      <c r="K44" s="70" t="e">
        <f t="shared" ca="1" si="1"/>
        <v>#N/A</v>
      </c>
      <c r="L44" s="70" t="e">
        <f t="shared" ca="1" si="2"/>
        <v>#N/A</v>
      </c>
    </row>
    <row r="45" spans="1:23" x14ac:dyDescent="0.15">
      <c r="A45" s="70">
        <v>44</v>
      </c>
      <c r="B45" s="70" t="e">
        <f ca="1">OFFSET(Batting!$C$4,BatAves!$I45,0)</f>
        <v>#N/A</v>
      </c>
      <c r="C45" s="74" t="e">
        <f ca="1">OFFSET(Batting!$CE$4,BatAves!$I45,0)</f>
        <v>#N/A</v>
      </c>
      <c r="D45" s="74" t="e">
        <f ca="1">OFFSET(Batting!$CG$4,BatAves!$I45,0)</f>
        <v>#N/A</v>
      </c>
      <c r="E45" s="74" t="e">
        <f ca="1">OFFSET(Batting!$CH$4,BatAves!$I45,0)</f>
        <v>#N/A</v>
      </c>
      <c r="F45" s="74" t="e">
        <f ca="1">OFFSET(Batting!$CJ$4,BatAves!$I45,0)</f>
        <v>#N/A</v>
      </c>
      <c r="G45" s="74" t="e">
        <f ca="1">OFFSET(Batting!$CK$4,BatAves!$I45,0)</f>
        <v>#N/A</v>
      </c>
      <c r="H45" s="79" t="e">
        <f ca="1">OFFSET(Batting!$CL$4,BatAves!$I45,0)</f>
        <v>#N/A</v>
      </c>
      <c r="I45" s="70" t="e">
        <f>MATCH(A45,Batting!$DF$5:$DF$44,0)</f>
        <v>#N/A</v>
      </c>
      <c r="J45" s="70" t="e">
        <f t="shared" ca="1" si="0"/>
        <v>#N/A</v>
      </c>
      <c r="K45" s="70" t="e">
        <f t="shared" ca="1" si="1"/>
        <v>#N/A</v>
      </c>
      <c r="L45" s="70" t="e">
        <f t="shared" ca="1" si="2"/>
        <v>#N/A</v>
      </c>
    </row>
    <row r="46" spans="1:23" x14ac:dyDescent="0.15">
      <c r="A46" s="70">
        <v>45</v>
      </c>
      <c r="B46" s="70" t="e">
        <f ca="1">OFFSET(Batting!$C$4,BatAves!$I46,0)</f>
        <v>#N/A</v>
      </c>
      <c r="C46" s="74" t="e">
        <f ca="1">OFFSET(Batting!$CE$4,BatAves!$I46,0)</f>
        <v>#N/A</v>
      </c>
      <c r="D46" s="74" t="e">
        <f ca="1">OFFSET(Batting!$CG$4,BatAves!$I46,0)</f>
        <v>#N/A</v>
      </c>
      <c r="E46" s="74" t="e">
        <f ca="1">OFFSET(Batting!$CH$4,BatAves!$I46,0)</f>
        <v>#N/A</v>
      </c>
      <c r="F46" s="74" t="e">
        <f ca="1">OFFSET(Batting!$CJ$4,BatAves!$I46,0)</f>
        <v>#N/A</v>
      </c>
      <c r="G46" s="74" t="e">
        <f ca="1">OFFSET(Batting!$CK$4,BatAves!$I46,0)</f>
        <v>#N/A</v>
      </c>
      <c r="H46" s="79" t="e">
        <f ca="1">OFFSET(Batting!$CL$4,BatAves!$I46,0)</f>
        <v>#N/A</v>
      </c>
      <c r="I46" s="70" t="e">
        <f>MATCH(A46,Batting!$DF$5:$DF$44,0)</f>
        <v>#N/A</v>
      </c>
      <c r="J46" s="70" t="e">
        <f t="shared" ca="1" si="0"/>
        <v>#N/A</v>
      </c>
      <c r="K46" s="70" t="e">
        <f t="shared" ca="1" si="1"/>
        <v>#N/A</v>
      </c>
      <c r="L46" s="70" t="e">
        <f t="shared" ca="1" si="2"/>
        <v>#N/A</v>
      </c>
    </row>
    <row r="47" spans="1:23" x14ac:dyDescent="0.15">
      <c r="A47" s="70">
        <v>46</v>
      </c>
      <c r="B47" s="70" t="e">
        <f ca="1">OFFSET(Batting!$C$4,BatAves!$I47,0)</f>
        <v>#N/A</v>
      </c>
      <c r="C47" s="74" t="e">
        <f ca="1">OFFSET(Batting!$CE$4,BatAves!$I47,0)</f>
        <v>#N/A</v>
      </c>
      <c r="D47" s="74" t="e">
        <f ca="1">OFFSET(Batting!$CG$4,BatAves!$I47,0)</f>
        <v>#N/A</v>
      </c>
      <c r="E47" s="74" t="e">
        <f ca="1">OFFSET(Batting!$CH$4,BatAves!$I47,0)</f>
        <v>#N/A</v>
      </c>
      <c r="F47" s="74" t="e">
        <f ca="1">OFFSET(Batting!$CJ$4,BatAves!$I47,0)</f>
        <v>#N/A</v>
      </c>
      <c r="G47" s="74" t="e">
        <f ca="1">OFFSET(Batting!$CK$4,BatAves!$I47,0)</f>
        <v>#N/A</v>
      </c>
      <c r="H47" s="79" t="e">
        <f ca="1">OFFSET(Batting!$CL$4,BatAves!$I47,0)</f>
        <v>#N/A</v>
      </c>
      <c r="I47" s="70" t="e">
        <f>MATCH(A47,Batting!$DF$5:$DF$44,0)</f>
        <v>#N/A</v>
      </c>
      <c r="J47" s="70" t="e">
        <f t="shared" ca="1" si="0"/>
        <v>#N/A</v>
      </c>
      <c r="K47" s="70" t="e">
        <f t="shared" ca="1" si="1"/>
        <v>#N/A</v>
      </c>
      <c r="L47" s="70" t="e">
        <f t="shared" ca="1" si="2"/>
        <v>#N/A</v>
      </c>
      <c r="O47" s="146" t="s">
        <v>241</v>
      </c>
    </row>
    <row r="48" spans="1:23" x14ac:dyDescent="0.15">
      <c r="A48" s="70">
        <v>47</v>
      </c>
      <c r="B48" s="70" t="e">
        <f ca="1">OFFSET(Batting!$C$4,BatAves!$I48,0)</f>
        <v>#N/A</v>
      </c>
      <c r="C48" s="74" t="e">
        <f ca="1">OFFSET(Batting!$CE$4,BatAves!$I48,0)</f>
        <v>#N/A</v>
      </c>
      <c r="D48" s="74" t="e">
        <f ca="1">OFFSET(Batting!$CG$4,BatAves!$I48,0)</f>
        <v>#N/A</v>
      </c>
      <c r="E48" s="74" t="e">
        <f ca="1">OFFSET(Batting!$CH$4,BatAves!$I48,0)</f>
        <v>#N/A</v>
      </c>
      <c r="F48" s="74" t="e">
        <f ca="1">OFFSET(Batting!$CJ$4,BatAves!$I48,0)</f>
        <v>#N/A</v>
      </c>
      <c r="G48" s="74" t="e">
        <f ca="1">OFFSET(Batting!$CK$4,BatAves!$I48,0)</f>
        <v>#N/A</v>
      </c>
      <c r="H48" s="79" t="e">
        <f ca="1">OFFSET(Batting!$CL$4,BatAves!$I48,0)</f>
        <v>#N/A</v>
      </c>
      <c r="I48" s="70" t="e">
        <f>MATCH(A48,Batting!$DF$5:$DF$44,0)</f>
        <v>#N/A</v>
      </c>
      <c r="J48" s="70" t="e">
        <f t="shared" ca="1" si="0"/>
        <v>#N/A</v>
      </c>
      <c r="K48" s="70" t="e">
        <f t="shared" ca="1" si="1"/>
        <v>#N/A</v>
      </c>
      <c r="L48" s="70" t="e">
        <f t="shared" ca="1" si="2"/>
        <v>#N/A</v>
      </c>
      <c r="O48" s="146" t="s">
        <v>241</v>
      </c>
    </row>
    <row r="49" spans="1:15" x14ac:dyDescent="0.15">
      <c r="A49" s="70">
        <v>48</v>
      </c>
      <c r="B49" s="70" t="e">
        <f ca="1">OFFSET(Batting!$C$4,BatAves!$I49,0)</f>
        <v>#N/A</v>
      </c>
      <c r="C49" s="74" t="e">
        <f ca="1">OFFSET(Batting!$CE$4,BatAves!$I49,0)</f>
        <v>#N/A</v>
      </c>
      <c r="D49" s="74" t="e">
        <f ca="1">OFFSET(Batting!$CG$4,BatAves!$I49,0)</f>
        <v>#N/A</v>
      </c>
      <c r="E49" s="74" t="e">
        <f ca="1">OFFSET(Batting!$CH$4,BatAves!$I49,0)</f>
        <v>#N/A</v>
      </c>
      <c r="F49" s="74" t="e">
        <f ca="1">OFFSET(Batting!$CJ$4,BatAves!$I49,0)</f>
        <v>#N/A</v>
      </c>
      <c r="G49" s="74" t="e">
        <f ca="1">OFFSET(Batting!$CK$4,BatAves!$I49,0)</f>
        <v>#N/A</v>
      </c>
      <c r="H49" s="79" t="e">
        <f ca="1">OFFSET(Batting!$CL$4,BatAves!$I49,0)</f>
        <v>#N/A</v>
      </c>
      <c r="I49" s="70" t="e">
        <f>MATCH(A49,Batting!$DF$5:$DF$44,0)</f>
        <v>#N/A</v>
      </c>
      <c r="J49" s="70" t="e">
        <f t="shared" ca="1" si="0"/>
        <v>#N/A</v>
      </c>
      <c r="K49" s="70" t="e">
        <f t="shared" ca="1" si="1"/>
        <v>#N/A</v>
      </c>
      <c r="L49" s="70" t="e">
        <f t="shared" ca="1" si="2"/>
        <v>#N/A</v>
      </c>
      <c r="O49" s="146" t="s">
        <v>241</v>
      </c>
    </row>
    <row r="50" spans="1:15" x14ac:dyDescent="0.15">
      <c r="A50" s="70">
        <v>49</v>
      </c>
      <c r="B50" s="70" t="e">
        <f ca="1">OFFSET(Batting!$C$4,BatAves!$I50,0)</f>
        <v>#N/A</v>
      </c>
      <c r="C50" s="74" t="e">
        <f ca="1">OFFSET(Batting!$CE$4,BatAves!$I50,0)</f>
        <v>#N/A</v>
      </c>
      <c r="D50" s="74" t="e">
        <f ca="1">OFFSET(Batting!$CG$4,BatAves!$I50,0)</f>
        <v>#N/A</v>
      </c>
      <c r="E50" s="74" t="e">
        <f ca="1">OFFSET(Batting!$CH$4,BatAves!$I50,0)</f>
        <v>#N/A</v>
      </c>
      <c r="F50" s="74" t="e">
        <f ca="1">OFFSET(Batting!$CJ$4,BatAves!$I50,0)</f>
        <v>#N/A</v>
      </c>
      <c r="G50" s="74" t="e">
        <f ca="1">OFFSET(Batting!$CK$4,BatAves!$I50,0)</f>
        <v>#N/A</v>
      </c>
      <c r="H50" s="79" t="e">
        <f ca="1">OFFSET(Batting!$CL$4,BatAves!$I50,0)</f>
        <v>#N/A</v>
      </c>
      <c r="I50" s="70" t="e">
        <f>MATCH(A50,Batting!$DF$5:$DF$44,0)</f>
        <v>#N/A</v>
      </c>
      <c r="J50" s="70" t="e">
        <f t="shared" ca="1" si="0"/>
        <v>#N/A</v>
      </c>
      <c r="K50" s="70" t="e">
        <f t="shared" ca="1" si="1"/>
        <v>#N/A</v>
      </c>
      <c r="L50" s="70" t="e">
        <f t="shared" ca="1" si="2"/>
        <v>#N/A</v>
      </c>
      <c r="O50" s="146" t="s">
        <v>241</v>
      </c>
    </row>
    <row r="51" spans="1:15" x14ac:dyDescent="0.15">
      <c r="A51" s="70">
        <v>50</v>
      </c>
      <c r="B51" s="70" t="e">
        <f ca="1">OFFSET(Batting!$C$4,BatAves!$I51,0)</f>
        <v>#N/A</v>
      </c>
      <c r="C51" s="74" t="e">
        <f ca="1">OFFSET(Batting!$CE$4,BatAves!$I51,0)</f>
        <v>#N/A</v>
      </c>
      <c r="D51" s="74" t="e">
        <f ca="1">OFFSET(Batting!$CG$4,BatAves!$I51,0)</f>
        <v>#N/A</v>
      </c>
      <c r="E51" s="74" t="e">
        <f ca="1">OFFSET(Batting!$CH$4,BatAves!$I51,0)</f>
        <v>#N/A</v>
      </c>
      <c r="F51" s="74" t="e">
        <f ca="1">OFFSET(Batting!$CJ$4,BatAves!$I51,0)</f>
        <v>#N/A</v>
      </c>
      <c r="G51" s="74" t="e">
        <f ca="1">OFFSET(Batting!$CK$4,BatAves!$I51,0)</f>
        <v>#N/A</v>
      </c>
      <c r="H51" s="79" t="e">
        <f ca="1">OFFSET(Batting!$CL$4,BatAves!$I51,0)</f>
        <v>#N/A</v>
      </c>
      <c r="I51" s="70" t="e">
        <f>MATCH(A51,Batting!$DF$5:$DF$44,0)</f>
        <v>#N/A</v>
      </c>
      <c r="J51" s="70" t="e">
        <f t="shared" ca="1" si="0"/>
        <v>#N/A</v>
      </c>
      <c r="K51" s="70" t="e">
        <f t="shared" ca="1" si="1"/>
        <v>#N/A</v>
      </c>
      <c r="L51" s="70" t="e">
        <f t="shared" ca="1" si="2"/>
        <v>#N/A</v>
      </c>
      <c r="O51" s="146" t="s">
        <v>241</v>
      </c>
    </row>
    <row r="52" spans="1:15" x14ac:dyDescent="0.15">
      <c r="A52" s="70">
        <v>51</v>
      </c>
      <c r="B52" s="70" t="e">
        <f ca="1">OFFSET(Batting!$C$4,BatAves!$I52,0)</f>
        <v>#N/A</v>
      </c>
      <c r="C52" s="74" t="e">
        <f ca="1">OFFSET(Batting!$CE$4,BatAves!$I52,0)</f>
        <v>#N/A</v>
      </c>
      <c r="D52" s="74" t="e">
        <f ca="1">OFFSET(Batting!$CG$4,BatAves!$I52,0)</f>
        <v>#N/A</v>
      </c>
      <c r="E52" s="74" t="e">
        <f ca="1">OFFSET(Batting!$CH$4,BatAves!$I52,0)</f>
        <v>#N/A</v>
      </c>
      <c r="F52" s="74" t="e">
        <f ca="1">OFFSET(Batting!$CJ$4,BatAves!$I52,0)</f>
        <v>#N/A</v>
      </c>
      <c r="G52" s="74" t="e">
        <f ca="1">OFFSET(Batting!$CK$4,BatAves!$I52,0)</f>
        <v>#N/A</v>
      </c>
      <c r="H52" s="79" t="e">
        <f ca="1">OFFSET(Batting!$CL$4,BatAves!$I52,0)</f>
        <v>#N/A</v>
      </c>
      <c r="I52" s="70" t="e">
        <f>MATCH(A52,Batting!$DF$5:$DF$44,0)</f>
        <v>#N/A</v>
      </c>
      <c r="J52" s="70" t="e">
        <f t="shared" ca="1" si="0"/>
        <v>#N/A</v>
      </c>
      <c r="K52" s="70" t="e">
        <f t="shared" ca="1" si="1"/>
        <v>#N/A</v>
      </c>
      <c r="L52" s="70" t="e">
        <f t="shared" ca="1" si="2"/>
        <v>#N/A</v>
      </c>
      <c r="O52" s="146" t="s">
        <v>241</v>
      </c>
    </row>
    <row r="53" spans="1:15" x14ac:dyDescent="0.15">
      <c r="A53" s="70">
        <v>52</v>
      </c>
      <c r="B53" s="70" t="e">
        <f ca="1">OFFSET(Batting!$C$4,BatAves!$I53,0)</f>
        <v>#N/A</v>
      </c>
      <c r="C53" s="74" t="e">
        <f ca="1">OFFSET(Batting!$CE$4,BatAves!$I53,0)</f>
        <v>#N/A</v>
      </c>
      <c r="D53" s="74" t="e">
        <f ca="1">OFFSET(Batting!$CG$4,BatAves!$I53,0)</f>
        <v>#N/A</v>
      </c>
      <c r="E53" s="74" t="e">
        <f ca="1">OFFSET(Batting!$CH$4,BatAves!$I53,0)</f>
        <v>#N/A</v>
      </c>
      <c r="F53" s="74" t="e">
        <f ca="1">OFFSET(Batting!$CJ$4,BatAves!$I53,0)</f>
        <v>#N/A</v>
      </c>
      <c r="G53" s="74" t="e">
        <f ca="1">OFFSET(Batting!$CK$4,BatAves!$I53,0)</f>
        <v>#N/A</v>
      </c>
      <c r="H53" s="79" t="e">
        <f ca="1">OFFSET(Batting!$CL$4,BatAves!$I53,0)</f>
        <v>#N/A</v>
      </c>
      <c r="I53" s="70" t="e">
        <f>MATCH(A53,Batting!$DF$5:$DF$44,0)</f>
        <v>#N/A</v>
      </c>
      <c r="J53" s="70" t="e">
        <f t="shared" ca="1" si="0"/>
        <v>#N/A</v>
      </c>
      <c r="K53" s="70" t="e">
        <f t="shared" ca="1" si="1"/>
        <v>#N/A</v>
      </c>
      <c r="L53" s="70" t="e">
        <f t="shared" ca="1" si="2"/>
        <v>#N/A</v>
      </c>
      <c r="O53" s="146" t="s">
        <v>241</v>
      </c>
    </row>
    <row r="54" spans="1:15" x14ac:dyDescent="0.15">
      <c r="A54" s="70">
        <v>53</v>
      </c>
      <c r="B54" s="70" t="e">
        <f ca="1">OFFSET(Batting!$C$4,BatAves!$I54,0)</f>
        <v>#N/A</v>
      </c>
      <c r="C54" s="74" t="e">
        <f ca="1">OFFSET(Batting!$CE$4,BatAves!$I54,0)</f>
        <v>#N/A</v>
      </c>
      <c r="D54" s="74" t="e">
        <f ca="1">OFFSET(Batting!$CG$4,BatAves!$I54,0)</f>
        <v>#N/A</v>
      </c>
      <c r="E54" s="74" t="e">
        <f ca="1">OFFSET(Batting!$CH$4,BatAves!$I54,0)</f>
        <v>#N/A</v>
      </c>
      <c r="F54" s="74" t="e">
        <f ca="1">OFFSET(Batting!$CJ$4,BatAves!$I54,0)</f>
        <v>#N/A</v>
      </c>
      <c r="G54" s="74" t="e">
        <f ca="1">OFFSET(Batting!$CK$4,BatAves!$I54,0)</f>
        <v>#N/A</v>
      </c>
      <c r="H54" s="79" t="e">
        <f ca="1">OFFSET(Batting!$CL$4,BatAves!$I54,0)</f>
        <v>#N/A</v>
      </c>
      <c r="I54" s="70" t="e">
        <f>MATCH(A54,Batting!$DF$5:$DF$44,0)</f>
        <v>#N/A</v>
      </c>
      <c r="J54" s="70" t="e">
        <f t="shared" ca="1" si="0"/>
        <v>#N/A</v>
      </c>
      <c r="K54" s="70" t="e">
        <f t="shared" ca="1" si="1"/>
        <v>#N/A</v>
      </c>
      <c r="L54" s="70" t="e">
        <f t="shared" ca="1" si="2"/>
        <v>#N/A</v>
      </c>
      <c r="O54" s="146" t="s">
        <v>241</v>
      </c>
    </row>
    <row r="55" spans="1:15" x14ac:dyDescent="0.15">
      <c r="A55" s="70">
        <v>54</v>
      </c>
      <c r="B55" s="70" t="e">
        <f ca="1">OFFSET(Batting!$C$4,BatAves!$I55,0)</f>
        <v>#N/A</v>
      </c>
      <c r="C55" s="74" t="e">
        <f ca="1">OFFSET(Batting!$CE$4,BatAves!$I55,0)</f>
        <v>#N/A</v>
      </c>
      <c r="D55" s="74" t="e">
        <f ca="1">OFFSET(Batting!$CG$4,BatAves!$I55,0)</f>
        <v>#N/A</v>
      </c>
      <c r="E55" s="74" t="e">
        <f ca="1">OFFSET(Batting!$CH$4,BatAves!$I55,0)</f>
        <v>#N/A</v>
      </c>
      <c r="F55" s="74" t="e">
        <f ca="1">OFFSET(Batting!$CJ$4,BatAves!$I55,0)</f>
        <v>#N/A</v>
      </c>
      <c r="G55" s="74" t="e">
        <f ca="1">OFFSET(Batting!$CK$4,BatAves!$I55,0)</f>
        <v>#N/A</v>
      </c>
      <c r="H55" s="79" t="e">
        <f ca="1">OFFSET(Batting!$CL$4,BatAves!$I55,0)</f>
        <v>#N/A</v>
      </c>
      <c r="I55" s="70" t="e">
        <f>MATCH(A55,Batting!$DF$5:$DF$44,0)</f>
        <v>#N/A</v>
      </c>
      <c r="J55" s="70" t="e">
        <f t="shared" ca="1" si="0"/>
        <v>#N/A</v>
      </c>
      <c r="K55" s="70" t="e">
        <f t="shared" ca="1" si="1"/>
        <v>#N/A</v>
      </c>
      <c r="L55" s="70" t="e">
        <f t="shared" ca="1" si="2"/>
        <v>#N/A</v>
      </c>
      <c r="O55" s="146" t="s">
        <v>241</v>
      </c>
    </row>
    <row r="56" spans="1:15" x14ac:dyDescent="0.15">
      <c r="A56" s="70">
        <v>55</v>
      </c>
      <c r="B56" s="70" t="e">
        <f ca="1">OFFSET(Batting!$C$4,BatAves!$I56,0)</f>
        <v>#N/A</v>
      </c>
      <c r="C56" s="74" t="e">
        <f ca="1">OFFSET(Batting!$CE$4,BatAves!$I56,0)</f>
        <v>#N/A</v>
      </c>
      <c r="D56" s="74" t="e">
        <f ca="1">OFFSET(Batting!$CG$4,BatAves!$I56,0)</f>
        <v>#N/A</v>
      </c>
      <c r="E56" s="74" t="e">
        <f ca="1">OFFSET(Batting!$CH$4,BatAves!$I56,0)</f>
        <v>#N/A</v>
      </c>
      <c r="F56" s="74" t="e">
        <f ca="1">OFFSET(Batting!$CJ$4,BatAves!$I56,0)</f>
        <v>#N/A</v>
      </c>
      <c r="G56" s="74" t="e">
        <f ca="1">OFFSET(Batting!$CK$4,BatAves!$I56,0)</f>
        <v>#N/A</v>
      </c>
      <c r="H56" s="79" t="e">
        <f ca="1">OFFSET(Batting!$CL$4,BatAves!$I56,0)</f>
        <v>#N/A</v>
      </c>
      <c r="I56" s="70" t="e">
        <f>MATCH(A56,Batting!$DF$5:$DF$44,0)</f>
        <v>#N/A</v>
      </c>
      <c r="J56" s="70" t="e">
        <f t="shared" ca="1" si="0"/>
        <v>#N/A</v>
      </c>
      <c r="K56" s="70" t="e">
        <f t="shared" ca="1" si="1"/>
        <v>#N/A</v>
      </c>
      <c r="L56" s="70" t="e">
        <f t="shared" ca="1" si="2"/>
        <v>#N/A</v>
      </c>
      <c r="O56" s="146" t="s">
        <v>241</v>
      </c>
    </row>
    <row r="57" spans="1:15" x14ac:dyDescent="0.15">
      <c r="A57" s="70">
        <v>56</v>
      </c>
      <c r="B57" s="70" t="e">
        <f ca="1">OFFSET(Batting!$C$4,BatAves!$I57,0)</f>
        <v>#N/A</v>
      </c>
      <c r="C57" s="74" t="e">
        <f ca="1">OFFSET(Batting!$CE$4,BatAves!$I57,0)</f>
        <v>#N/A</v>
      </c>
      <c r="D57" s="74" t="e">
        <f ca="1">OFFSET(Batting!$CG$4,BatAves!$I57,0)</f>
        <v>#N/A</v>
      </c>
      <c r="E57" s="74" t="e">
        <f ca="1">OFFSET(Batting!$CH$4,BatAves!$I57,0)</f>
        <v>#N/A</v>
      </c>
      <c r="F57" s="74" t="e">
        <f ca="1">OFFSET(Batting!$CJ$4,BatAves!$I57,0)</f>
        <v>#N/A</v>
      </c>
      <c r="G57" s="74" t="e">
        <f ca="1">OFFSET(Batting!$CK$4,BatAves!$I57,0)</f>
        <v>#N/A</v>
      </c>
      <c r="H57" s="79" t="e">
        <f ca="1">OFFSET(Batting!$CL$4,BatAves!$I57,0)</f>
        <v>#N/A</v>
      </c>
      <c r="I57" s="70" t="e">
        <f>MATCH(A57,Batting!$DF$5:$DF$44,0)</f>
        <v>#N/A</v>
      </c>
      <c r="J57" s="70" t="e">
        <f t="shared" ca="1" si="0"/>
        <v>#N/A</v>
      </c>
      <c r="K57" s="70" t="e">
        <f t="shared" ca="1" si="1"/>
        <v>#N/A</v>
      </c>
      <c r="L57" s="70" t="e">
        <f t="shared" ca="1" si="2"/>
        <v>#N/A</v>
      </c>
      <c r="O57" s="146" t="s">
        <v>241</v>
      </c>
    </row>
    <row r="58" spans="1:15" x14ac:dyDescent="0.15">
      <c r="A58" s="70">
        <v>57</v>
      </c>
      <c r="B58" s="70" t="e">
        <f ca="1">OFFSET(Batting!$C$4,BatAves!$I58,0)</f>
        <v>#N/A</v>
      </c>
      <c r="C58" s="74" t="e">
        <f ca="1">OFFSET(Batting!$CE$4,BatAves!$I58,0)</f>
        <v>#N/A</v>
      </c>
      <c r="D58" s="74" t="e">
        <f ca="1">OFFSET(Batting!$CG$4,BatAves!$I58,0)</f>
        <v>#N/A</v>
      </c>
      <c r="E58" s="74" t="e">
        <f ca="1">OFFSET(Batting!$CH$4,BatAves!$I58,0)</f>
        <v>#N/A</v>
      </c>
      <c r="F58" s="74" t="e">
        <f ca="1">OFFSET(Batting!$CJ$4,BatAves!$I58,0)</f>
        <v>#N/A</v>
      </c>
      <c r="G58" s="74" t="e">
        <f ca="1">OFFSET(Batting!$CK$4,BatAves!$I58,0)</f>
        <v>#N/A</v>
      </c>
      <c r="H58" s="79" t="e">
        <f ca="1">OFFSET(Batting!$CL$4,BatAves!$I58,0)</f>
        <v>#N/A</v>
      </c>
      <c r="I58" s="70" t="e">
        <f>MATCH(A58,Batting!$DF$5:$DF$44,0)</f>
        <v>#N/A</v>
      </c>
      <c r="J58" s="70" t="e">
        <f t="shared" ca="1" si="0"/>
        <v>#N/A</v>
      </c>
      <c r="K58" s="70" t="e">
        <f t="shared" ca="1" si="1"/>
        <v>#N/A</v>
      </c>
      <c r="L58" s="70" t="e">
        <f t="shared" ca="1" si="2"/>
        <v>#N/A</v>
      </c>
      <c r="O58" s="146" t="s">
        <v>241</v>
      </c>
    </row>
    <row r="59" spans="1:15" x14ac:dyDescent="0.15">
      <c r="A59" s="70">
        <v>58</v>
      </c>
      <c r="B59" s="70" t="e">
        <f ca="1">OFFSET(Batting!$C$4,BatAves!$I59,0)</f>
        <v>#N/A</v>
      </c>
      <c r="C59" s="74" t="e">
        <f ca="1">OFFSET(Batting!$CE$4,BatAves!$I59,0)</f>
        <v>#N/A</v>
      </c>
      <c r="D59" s="74" t="e">
        <f ca="1">OFFSET(Batting!$CG$4,BatAves!$I59,0)</f>
        <v>#N/A</v>
      </c>
      <c r="E59" s="74" t="e">
        <f ca="1">OFFSET(Batting!$CH$4,BatAves!$I59,0)</f>
        <v>#N/A</v>
      </c>
      <c r="F59" s="74" t="e">
        <f ca="1">OFFSET(Batting!$CJ$4,BatAves!$I59,0)</f>
        <v>#N/A</v>
      </c>
      <c r="G59" s="74" t="e">
        <f ca="1">OFFSET(Batting!$CK$4,BatAves!$I59,0)</f>
        <v>#N/A</v>
      </c>
      <c r="H59" s="79" t="e">
        <f ca="1">OFFSET(Batting!$CL$4,BatAves!$I59,0)</f>
        <v>#N/A</v>
      </c>
      <c r="I59" s="70" t="e">
        <f>MATCH(A59,Batting!$DF$5:$DF$44,0)</f>
        <v>#N/A</v>
      </c>
      <c r="J59" s="70" t="e">
        <f t="shared" ca="1" si="0"/>
        <v>#N/A</v>
      </c>
      <c r="K59" s="70" t="e">
        <f t="shared" ca="1" si="1"/>
        <v>#N/A</v>
      </c>
      <c r="L59" s="70" t="e">
        <f t="shared" ca="1" si="2"/>
        <v>#N/A</v>
      </c>
      <c r="O59" s="146" t="s">
        <v>241</v>
      </c>
    </row>
    <row r="60" spans="1:15" x14ac:dyDescent="0.15">
      <c r="A60" s="70">
        <v>59</v>
      </c>
      <c r="B60" s="70" t="e">
        <f ca="1">OFFSET(Batting!$C$4,BatAves!$I60,0)</f>
        <v>#N/A</v>
      </c>
      <c r="C60" s="74" t="e">
        <f ca="1">OFFSET(Batting!$CE$4,BatAves!$I60,0)</f>
        <v>#N/A</v>
      </c>
      <c r="D60" s="74" t="e">
        <f ca="1">OFFSET(Batting!$CG$4,BatAves!$I60,0)</f>
        <v>#N/A</v>
      </c>
      <c r="E60" s="74" t="e">
        <f ca="1">OFFSET(Batting!$CH$4,BatAves!$I60,0)</f>
        <v>#N/A</v>
      </c>
      <c r="F60" s="74" t="e">
        <f ca="1">OFFSET(Batting!$CJ$4,BatAves!$I60,0)</f>
        <v>#N/A</v>
      </c>
      <c r="G60" s="74" t="e">
        <f ca="1">OFFSET(Batting!$CK$4,BatAves!$I60,0)</f>
        <v>#N/A</v>
      </c>
      <c r="H60" s="79" t="e">
        <f ca="1">OFFSET(Batting!$CL$4,BatAves!$I60,0)</f>
        <v>#N/A</v>
      </c>
      <c r="I60" s="70" t="e">
        <f>MATCH(A60,Batting!$DF$5:$DF$44,0)</f>
        <v>#N/A</v>
      </c>
      <c r="J60" s="70" t="e">
        <f t="shared" ca="1" si="0"/>
        <v>#N/A</v>
      </c>
      <c r="K60" s="70" t="e">
        <f t="shared" ca="1" si="1"/>
        <v>#N/A</v>
      </c>
      <c r="L60" s="70" t="e">
        <f t="shared" ca="1" si="2"/>
        <v>#N/A</v>
      </c>
      <c r="O60" s="146" t="s">
        <v>241</v>
      </c>
    </row>
    <row r="61" spans="1:15" x14ac:dyDescent="0.15">
      <c r="O61" s="146" t="s">
        <v>241</v>
      </c>
    </row>
    <row r="62" spans="1:15" x14ac:dyDescent="0.15">
      <c r="O62" s="146" t="s">
        <v>241</v>
      </c>
    </row>
    <row r="63" spans="1:15" x14ac:dyDescent="0.15">
      <c r="O63" s="146" t="s">
        <v>241</v>
      </c>
    </row>
    <row r="64" spans="1:15" x14ac:dyDescent="0.15">
      <c r="O64" s="146" t="s">
        <v>241</v>
      </c>
    </row>
    <row r="65" spans="15:15" x14ac:dyDescent="0.15">
      <c r="O65" s="146" t="s">
        <v>241</v>
      </c>
    </row>
    <row r="66" spans="15:15" x14ac:dyDescent="0.15">
      <c r="O66" s="146" t="s">
        <v>241</v>
      </c>
    </row>
    <row r="67" spans="15:15" x14ac:dyDescent="0.15">
      <c r="O67" s="146" t="s">
        <v>241</v>
      </c>
    </row>
    <row r="68" spans="15:15" x14ac:dyDescent="0.15">
      <c r="O68" s="146" t="s">
        <v>241</v>
      </c>
    </row>
    <row r="69" spans="15:15" x14ac:dyDescent="0.15">
      <c r="O69" s="146" t="s">
        <v>241</v>
      </c>
    </row>
    <row r="70" spans="15:15" x14ac:dyDescent="0.15">
      <c r="O70" s="146" t="s">
        <v>241</v>
      </c>
    </row>
    <row r="71" spans="15:15" x14ac:dyDescent="0.15">
      <c r="O71" s="146" t="s">
        <v>241</v>
      </c>
    </row>
    <row r="72" spans="15:15" x14ac:dyDescent="0.15">
      <c r="O72" s="146" t="s">
        <v>241</v>
      </c>
    </row>
    <row r="73" spans="15:15" x14ac:dyDescent="0.15">
      <c r="O73" s="146" t="s">
        <v>241</v>
      </c>
    </row>
    <row r="74" spans="15:15" x14ac:dyDescent="0.15">
      <c r="O74" s="146" t="s">
        <v>241</v>
      </c>
    </row>
    <row r="75" spans="15:15" x14ac:dyDescent="0.15">
      <c r="O75" s="146" t="s">
        <v>241</v>
      </c>
    </row>
    <row r="76" spans="15:15" x14ac:dyDescent="0.15">
      <c r="O76" s="146" t="s">
        <v>241</v>
      </c>
    </row>
    <row r="77" spans="15:15" x14ac:dyDescent="0.15">
      <c r="O77" s="146" t="s">
        <v>241</v>
      </c>
    </row>
    <row r="78" spans="15:15" x14ac:dyDescent="0.15">
      <c r="O78" s="146" t="s">
        <v>241</v>
      </c>
    </row>
    <row r="79" spans="15:15" x14ac:dyDescent="0.15">
      <c r="O79" s="146" t="s">
        <v>241</v>
      </c>
    </row>
    <row r="80" spans="15:15" x14ac:dyDescent="0.15">
      <c r="O80" s="146" t="s">
        <v>241</v>
      </c>
    </row>
    <row r="81" spans="15:15" x14ac:dyDescent="0.15">
      <c r="O81" s="146" t="s">
        <v>241</v>
      </c>
    </row>
    <row r="82" spans="15:15" x14ac:dyDescent="0.15">
      <c r="O82" s="146" t="s">
        <v>241</v>
      </c>
    </row>
    <row r="83" spans="15:15" x14ac:dyDescent="0.15">
      <c r="O83" s="146" t="s">
        <v>241</v>
      </c>
    </row>
    <row r="84" spans="15:15" x14ac:dyDescent="0.15">
      <c r="O84" s="146" t="s">
        <v>241</v>
      </c>
    </row>
    <row r="85" spans="15:15" x14ac:dyDescent="0.15">
      <c r="O85" s="146" t="s">
        <v>241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51"/>
  <sheetViews>
    <sheetView workbookViewId="0">
      <selection activeCell="G3" sqref="G3"/>
    </sheetView>
  </sheetViews>
  <sheetFormatPr defaultRowHeight="10.5" x14ac:dyDescent="0.15"/>
  <cols>
    <col min="1" max="1" width="4.42578125" style="70" customWidth="1"/>
    <col min="2" max="2" width="3" style="70" hidden="1" customWidth="1"/>
    <col min="3" max="3" width="12.5703125" style="70" bestFit="1" customWidth="1"/>
    <col min="4" max="4" width="5.85546875" style="138" bestFit="1" customWidth="1"/>
    <col min="5" max="5" width="5.140625" style="74" bestFit="1" customWidth="1"/>
    <col min="6" max="6" width="5" style="74" bestFit="1" customWidth="1"/>
    <col min="7" max="7" width="7.28515625" style="74" bestFit="1" customWidth="1"/>
    <col min="8" max="8" width="7.28515625" style="79" bestFit="1" customWidth="1"/>
    <col min="9" max="9" width="6.5703125" style="139" bestFit="1" customWidth="1"/>
    <col min="10" max="10" width="5.5703125" style="139" bestFit="1" customWidth="1"/>
    <col min="11" max="11" width="4.7109375" style="74" bestFit="1" customWidth="1"/>
    <col min="12" max="12" width="5.28515625" style="74" bestFit="1" customWidth="1"/>
    <col min="13" max="13" width="5.85546875" style="74" bestFit="1" customWidth="1"/>
    <col min="14" max="14" width="23.5703125" style="70" bestFit="1" customWidth="1"/>
    <col min="15" max="15" width="9.85546875" style="70" bestFit="1" customWidth="1"/>
    <col min="16" max="17" width="9.140625" style="70"/>
    <col min="18" max="18" width="13.140625" style="70" bestFit="1" customWidth="1"/>
    <col min="19" max="16384" width="9.140625" style="70"/>
  </cols>
  <sheetData>
    <row r="1" spans="1:26" x14ac:dyDescent="0.15">
      <c r="A1" s="62" t="s">
        <v>148</v>
      </c>
      <c r="D1" s="138" t="s">
        <v>36</v>
      </c>
      <c r="E1" s="74" t="s">
        <v>37</v>
      </c>
      <c r="F1" s="74" t="s">
        <v>9</v>
      </c>
      <c r="G1" s="74" t="s">
        <v>150</v>
      </c>
      <c r="H1" s="77" t="s">
        <v>39</v>
      </c>
      <c r="I1" s="78" t="s">
        <v>40</v>
      </c>
      <c r="J1" s="78" t="s">
        <v>41</v>
      </c>
      <c r="K1" s="50" t="s">
        <v>101</v>
      </c>
      <c r="L1" s="50"/>
      <c r="M1" s="50"/>
      <c r="O1" s="70" t="s">
        <v>239</v>
      </c>
      <c r="P1" s="70">
        <f t="array" aca="1" ref="P1" ca="1">SUM(IF(NOT(ISNA(C2:C51)),1,0))</f>
        <v>30</v>
      </c>
    </row>
    <row r="2" spans="1:26" x14ac:dyDescent="0.15">
      <c r="A2" s="70">
        <v>1</v>
      </c>
      <c r="B2" s="70">
        <f>MATCH(A2,Bowling!$CS$5:$CS$34,0)</f>
        <v>9</v>
      </c>
      <c r="C2" s="70" t="str">
        <f ca="1">OFFSET(Bowling!$B$4,BowlAves!B2,0)</f>
        <v>Edghill D</v>
      </c>
      <c r="D2" s="138">
        <f t="array" aca="1" ref="D2:K2" ca="1">OFFSET(Bowling!$CG$4,BowlAves!B2,0,1,8)</f>
        <v>2.1</v>
      </c>
      <c r="E2" s="74">
        <f ca="1"/>
        <v>0</v>
      </c>
      <c r="F2" s="74">
        <f ca="1"/>
        <v>2</v>
      </c>
      <c r="G2" s="74">
        <f ca="1"/>
        <v>1</v>
      </c>
      <c r="H2" s="79">
        <f ca="1"/>
        <v>2</v>
      </c>
      <c r="I2" s="139">
        <f ca="1"/>
        <v>12.999999046325684</v>
      </c>
      <c r="J2" s="139">
        <f ca="1"/>
        <v>0.92307699079344752</v>
      </c>
      <c r="K2" s="140" t="str">
        <f ca="1"/>
        <v>1-2</v>
      </c>
      <c r="L2" s="140">
        <f ca="1">IF(G2&gt;=10,A2,1000+A2)</f>
        <v>1001</v>
      </c>
      <c r="M2" s="140">
        <f ca="1">RANK(L2,OFFSET($L$2,0,0,$P$1,1),-1)</f>
        <v>4</v>
      </c>
      <c r="N2" s="70" t="str">
        <f ca="1">IF(G2&gt;=10,"",C2&amp;" "&amp;D2&amp;"-"&amp;E2&amp;"-"&amp;F2&amp;"-"&amp;G2&amp;",")</f>
        <v>Edghill D 2.1-0-2-1,</v>
      </c>
      <c r="O2" s="70" t="s">
        <v>240</v>
      </c>
      <c r="P2" s="70">
        <f t="array" aca="1" ref="P2" ca="1">SUM(IF(OFFSET(G2,0,0,P1,1)&gt;=10,1,0))</f>
        <v>3</v>
      </c>
      <c r="X2" s="62"/>
    </row>
    <row r="3" spans="1:26" x14ac:dyDescent="0.15">
      <c r="A3" s="70">
        <v>2</v>
      </c>
      <c r="B3" s="70">
        <f>MATCH(A3,Bowling!$CS$5:$CS$34,0)</f>
        <v>30</v>
      </c>
      <c r="C3" s="70" t="str">
        <f ca="1">OFFSET(Bowling!$B$4,BowlAves!B3,0)</f>
        <v>Woodhouse M</v>
      </c>
      <c r="D3" s="138">
        <f t="array" aca="1" ref="D3:K3" ca="1">OFFSET(Bowling!$CG$4,BowlAves!B3,0,1,8)</f>
        <v>4</v>
      </c>
      <c r="E3" s="74">
        <f ca="1"/>
        <v>0</v>
      </c>
      <c r="F3" s="74">
        <f ca="1"/>
        <v>35</v>
      </c>
      <c r="G3" s="74">
        <f ca="1"/>
        <v>4</v>
      </c>
      <c r="H3" s="79">
        <f ca="1"/>
        <v>8.75</v>
      </c>
      <c r="I3" s="139">
        <f ca="1"/>
        <v>6</v>
      </c>
      <c r="J3" s="139">
        <f ca="1"/>
        <v>8.75</v>
      </c>
      <c r="K3" s="140" t="str">
        <f ca="1"/>
        <v>4-14</v>
      </c>
      <c r="L3" s="140">
        <f t="shared" ref="L3:L51" ca="1" si="0">IF(G3&gt;=10,A3,1000+A3)</f>
        <v>1002</v>
      </c>
      <c r="M3" s="140">
        <f t="shared" ref="M3:M51" ca="1" si="1">RANK(L3,OFFSET($L$2,0,0,$P$1,1),-1)</f>
        <v>5</v>
      </c>
      <c r="N3" s="70" t="str">
        <f t="shared" ref="N3:N51" ca="1" si="2">IF(G3&gt;=10,"",C3&amp;" "&amp;D3&amp;"-"&amp;E3&amp;"-"&amp;F3&amp;"-"&amp;G3&amp;",")</f>
        <v>Woodhouse M 4-0-35-4,</v>
      </c>
      <c r="Q3" s="140"/>
      <c r="R3" s="140"/>
      <c r="S3" s="141"/>
      <c r="T3" s="140"/>
      <c r="U3" s="140"/>
      <c r="V3" s="140"/>
      <c r="W3" s="142"/>
      <c r="X3" s="143"/>
      <c r="Y3" s="143"/>
      <c r="Z3" s="49"/>
    </row>
    <row r="4" spans="1:26" x14ac:dyDescent="0.15">
      <c r="A4" s="70">
        <v>3</v>
      </c>
      <c r="B4" s="70">
        <f>MATCH(A4,Bowling!$CS$5:$CS$34,0)</f>
        <v>13</v>
      </c>
      <c r="C4" s="70" t="str">
        <f ca="1">OFFSET(Bowling!$B$4,BowlAves!B4,0)</f>
        <v>Hargreve</v>
      </c>
      <c r="D4" s="138">
        <f t="array" aca="1" ref="D4:K4" ca="1">OFFSET(Bowling!$CG$4,BowlAves!B4,0,1,8)</f>
        <v>3</v>
      </c>
      <c r="E4" s="74">
        <f ca="1"/>
        <v>0</v>
      </c>
      <c r="F4" s="74">
        <f ca="1"/>
        <v>10</v>
      </c>
      <c r="G4" s="74">
        <f ca="1"/>
        <v>1</v>
      </c>
      <c r="H4" s="79">
        <f ca="1"/>
        <v>10</v>
      </c>
      <c r="I4" s="139">
        <f ca="1"/>
        <v>18</v>
      </c>
      <c r="J4" s="139">
        <f ca="1"/>
        <v>3.3333333333333335</v>
      </c>
      <c r="K4" s="140" t="str">
        <f ca="1"/>
        <v>1-10</v>
      </c>
      <c r="L4" s="140">
        <f t="shared" ca="1" si="0"/>
        <v>1003</v>
      </c>
      <c r="M4" s="140">
        <f t="shared" ca="1" si="1"/>
        <v>6</v>
      </c>
      <c r="N4" s="70" t="str">
        <f t="shared" ca="1" si="2"/>
        <v>Hargreve 3-0-10-1,</v>
      </c>
      <c r="Q4" s="140"/>
      <c r="R4" s="140"/>
      <c r="S4" s="141"/>
      <c r="T4" s="140"/>
      <c r="U4" s="140"/>
      <c r="V4" s="140"/>
      <c r="W4" s="144"/>
      <c r="X4" s="145"/>
      <c r="Y4" s="145"/>
      <c r="Z4" s="140"/>
    </row>
    <row r="5" spans="1:26" x14ac:dyDescent="0.15">
      <c r="A5" s="70">
        <v>4</v>
      </c>
      <c r="B5" s="70">
        <f>MATCH(A5,Bowling!$CS$5:$CS$34,0)</f>
        <v>4</v>
      </c>
      <c r="C5" s="70" t="str">
        <f ca="1">OFFSET(Bowling!$B$4,BowlAves!B5,0)</f>
        <v>Clark C</v>
      </c>
      <c r="D5" s="138">
        <f t="array" aca="1" ref="D5:K5" ca="1">OFFSET(Bowling!$CG$4,BowlAves!B5,0,1,8)</f>
        <v>74</v>
      </c>
      <c r="E5" s="74">
        <f ca="1"/>
        <v>14</v>
      </c>
      <c r="F5" s="74">
        <f ca="1"/>
        <v>270</v>
      </c>
      <c r="G5" s="74">
        <f ca="1"/>
        <v>23</v>
      </c>
      <c r="H5" s="79">
        <f ca="1"/>
        <v>11.739130434782609</v>
      </c>
      <c r="I5" s="139">
        <f ca="1"/>
        <v>19.304347826086957</v>
      </c>
      <c r="J5" s="139">
        <f ca="1"/>
        <v>3.6486486486486487</v>
      </c>
      <c r="K5" s="140" t="str">
        <f ca="1"/>
        <v>6-33</v>
      </c>
      <c r="L5" s="140">
        <f t="shared" ca="1" si="0"/>
        <v>4</v>
      </c>
      <c r="M5" s="140">
        <f t="shared" ca="1" si="1"/>
        <v>1</v>
      </c>
      <c r="N5" s="70" t="str">
        <f t="shared" ca="1" si="2"/>
        <v/>
      </c>
      <c r="Q5" s="140"/>
      <c r="R5" s="140"/>
      <c r="S5" s="141"/>
      <c r="T5" s="140"/>
      <c r="U5" s="140"/>
      <c r="V5" s="140"/>
      <c r="W5" s="144"/>
      <c r="X5" s="145"/>
      <c r="Y5" s="145"/>
      <c r="Z5" s="140"/>
    </row>
    <row r="6" spans="1:26" x14ac:dyDescent="0.15">
      <c r="A6" s="70">
        <v>5</v>
      </c>
      <c r="B6" s="70">
        <f>MATCH(A6,Bowling!$CS$5:$CS$34,0)</f>
        <v>18</v>
      </c>
      <c r="C6" s="70" t="str">
        <f ca="1">OFFSET(Bowling!$B$4,BowlAves!B6,0)</f>
        <v>Lestrelle J</v>
      </c>
      <c r="D6" s="138">
        <f t="array" aca="1" ref="D6:K6" ca="1">OFFSET(Bowling!$CG$4,BowlAves!B6,0,1,8)</f>
        <v>5</v>
      </c>
      <c r="E6" s="74">
        <f ca="1"/>
        <v>0</v>
      </c>
      <c r="F6" s="74">
        <f ca="1"/>
        <v>39</v>
      </c>
      <c r="G6" s="74">
        <f ca="1"/>
        <v>3</v>
      </c>
      <c r="H6" s="79">
        <f ca="1"/>
        <v>13</v>
      </c>
      <c r="I6" s="139">
        <f ca="1"/>
        <v>10</v>
      </c>
      <c r="J6" s="139">
        <f ca="1"/>
        <v>7.8</v>
      </c>
      <c r="K6" s="140" t="str">
        <f ca="1"/>
        <v>3-39</v>
      </c>
      <c r="L6" s="140">
        <f t="shared" ca="1" si="0"/>
        <v>1005</v>
      </c>
      <c r="M6" s="140">
        <f t="shared" ca="1" si="1"/>
        <v>7</v>
      </c>
      <c r="N6" s="70" t="str">
        <f t="shared" ca="1" si="2"/>
        <v>Lestrelle J 5-0-39-3,</v>
      </c>
      <c r="Q6" s="140"/>
      <c r="R6" s="140"/>
      <c r="S6" s="141"/>
      <c r="T6" s="140"/>
      <c r="U6" s="140"/>
      <c r="V6" s="140"/>
      <c r="W6" s="144"/>
      <c r="X6" s="145"/>
      <c r="Y6" s="145"/>
      <c r="Z6" s="140"/>
    </row>
    <row r="7" spans="1:26" x14ac:dyDescent="0.15">
      <c r="A7" s="70">
        <v>6</v>
      </c>
      <c r="B7" s="70">
        <f>MATCH(A7,Bowling!$CS$5:$CS$34,0)</f>
        <v>6</v>
      </c>
      <c r="C7" s="70" t="str">
        <f ca="1">OFFSET(Bowling!$B$4,BowlAves!B7,0)</f>
        <v>Cooper G</v>
      </c>
      <c r="D7" s="138">
        <f t="array" aca="1" ref="D7:K7" ca="1">OFFSET(Bowling!$CG$4,BowlAves!B7,0,1,8)</f>
        <v>92.1</v>
      </c>
      <c r="E7" s="74">
        <f ca="1"/>
        <v>7</v>
      </c>
      <c r="F7" s="74">
        <f ca="1"/>
        <v>400</v>
      </c>
      <c r="G7" s="74">
        <f ca="1"/>
        <v>25</v>
      </c>
      <c r="H7" s="79">
        <f ca="1"/>
        <v>16</v>
      </c>
      <c r="I7" s="139">
        <f ca="1"/>
        <v>22.12</v>
      </c>
      <c r="J7" s="139">
        <f ca="1"/>
        <v>4.3399638336347195</v>
      </c>
      <c r="K7" s="140" t="str">
        <f ca="1"/>
        <v>8-34</v>
      </c>
      <c r="L7" s="140">
        <f t="shared" ca="1" si="0"/>
        <v>6</v>
      </c>
      <c r="M7" s="140">
        <f t="shared" ca="1" si="1"/>
        <v>2</v>
      </c>
      <c r="N7" s="70" t="str">
        <f t="shared" ca="1" si="2"/>
        <v/>
      </c>
      <c r="Q7" s="140"/>
      <c r="R7" s="140"/>
      <c r="S7" s="141"/>
      <c r="T7" s="140"/>
      <c r="U7" s="140"/>
      <c r="V7" s="140"/>
      <c r="W7" s="144"/>
      <c r="X7" s="145"/>
      <c r="Y7" s="145"/>
      <c r="Z7" s="140"/>
    </row>
    <row r="8" spans="1:26" x14ac:dyDescent="0.15">
      <c r="A8" s="70">
        <v>7</v>
      </c>
      <c r="B8" s="70">
        <f>MATCH(A8,Bowling!$CS$5:$CS$34,0)</f>
        <v>14</v>
      </c>
      <c r="C8" s="70" t="str">
        <f ca="1">OFFSET(Bowling!$B$4,BowlAves!B8,0)</f>
        <v>Johnson A</v>
      </c>
      <c r="D8" s="138">
        <f t="array" aca="1" ref="D8:K8" ca="1">OFFSET(Bowling!$CG$4,BowlAves!B8,0,1,8)</f>
        <v>6</v>
      </c>
      <c r="E8" s="74">
        <f ca="1"/>
        <v>0</v>
      </c>
      <c r="F8" s="74">
        <f ca="1"/>
        <v>49</v>
      </c>
      <c r="G8" s="74">
        <f ca="1"/>
        <v>3</v>
      </c>
      <c r="H8" s="79">
        <f ca="1"/>
        <v>16.333333333333332</v>
      </c>
      <c r="I8" s="139">
        <f ca="1"/>
        <v>12</v>
      </c>
      <c r="J8" s="139">
        <f ca="1"/>
        <v>8.1666666666666661</v>
      </c>
      <c r="K8" s="140" t="str">
        <f ca="1"/>
        <v>2-11</v>
      </c>
      <c r="L8" s="140">
        <f t="shared" ca="1" si="0"/>
        <v>1007</v>
      </c>
      <c r="M8" s="140">
        <f t="shared" ca="1" si="1"/>
        <v>8</v>
      </c>
      <c r="N8" s="70" t="str">
        <f t="shared" ca="1" si="2"/>
        <v>Johnson A 6-0-49-3,</v>
      </c>
      <c r="Q8" s="140"/>
      <c r="R8" s="140"/>
      <c r="S8" s="141"/>
      <c r="T8" s="140"/>
      <c r="U8" s="140"/>
      <c r="V8" s="140"/>
      <c r="W8" s="144"/>
      <c r="X8" s="145"/>
      <c r="Y8" s="145"/>
      <c r="Z8" s="140"/>
    </row>
    <row r="9" spans="1:26" x14ac:dyDescent="0.15">
      <c r="A9" s="70">
        <v>8</v>
      </c>
      <c r="B9" s="70">
        <f>MATCH(A9,Bowling!$CS$5:$CS$34,0)</f>
        <v>15</v>
      </c>
      <c r="C9" s="70" t="str">
        <f ca="1">OFFSET(Bowling!$B$4,BowlAves!B9,0)</f>
        <v>Kiernan M</v>
      </c>
      <c r="D9" s="138">
        <f t="array" aca="1" ref="D9:K9" ca="1">OFFSET(Bowling!$CG$4,BowlAves!B9,0,1,8)</f>
        <v>3</v>
      </c>
      <c r="E9" s="74">
        <f ca="1"/>
        <v>0</v>
      </c>
      <c r="F9" s="74">
        <f ca="1"/>
        <v>35</v>
      </c>
      <c r="G9" s="74">
        <f ca="1"/>
        <v>2</v>
      </c>
      <c r="H9" s="79">
        <f ca="1"/>
        <v>17.5</v>
      </c>
      <c r="I9" s="139">
        <f ca="1"/>
        <v>9</v>
      </c>
      <c r="J9" s="139">
        <f ca="1"/>
        <v>11.666666666666666</v>
      </c>
      <c r="K9" s="140" t="str">
        <f ca="1"/>
        <v>2-35</v>
      </c>
      <c r="L9" s="140">
        <f t="shared" ca="1" si="0"/>
        <v>1008</v>
      </c>
      <c r="M9" s="140">
        <f t="shared" ca="1" si="1"/>
        <v>9</v>
      </c>
      <c r="N9" s="70" t="str">
        <f t="shared" ca="1" si="2"/>
        <v>Kiernan M 3-0-35-2,</v>
      </c>
      <c r="Q9" s="140"/>
      <c r="R9" s="140"/>
      <c r="S9" s="141"/>
      <c r="T9" s="140"/>
      <c r="U9" s="140"/>
      <c r="V9" s="140"/>
      <c r="W9" s="144"/>
      <c r="X9" s="145"/>
      <c r="Y9" s="145"/>
      <c r="Z9" s="140"/>
    </row>
    <row r="10" spans="1:26" x14ac:dyDescent="0.15">
      <c r="A10" s="70">
        <v>9</v>
      </c>
      <c r="B10" s="70">
        <f>MATCH(A10,Bowling!$CS$5:$CS$34,0)</f>
        <v>28</v>
      </c>
      <c r="C10" s="70" t="str">
        <f ca="1">OFFSET(Bowling!$B$4,BowlAves!B10,0)</f>
        <v>Springer T</v>
      </c>
      <c r="D10" s="138">
        <f t="array" aca="1" ref="D10:K10" ca="1">OFFSET(Bowling!$CG$4,BowlAves!B10,0,1,8)</f>
        <v>7</v>
      </c>
      <c r="E10" s="74">
        <f ca="1"/>
        <v>1</v>
      </c>
      <c r="F10" s="74">
        <f ca="1"/>
        <v>20</v>
      </c>
      <c r="G10" s="74">
        <f ca="1"/>
        <v>1</v>
      </c>
      <c r="H10" s="79">
        <f ca="1"/>
        <v>20</v>
      </c>
      <c r="I10" s="139">
        <f ca="1"/>
        <v>42</v>
      </c>
      <c r="J10" s="139">
        <f ca="1"/>
        <v>2.8571428571428572</v>
      </c>
      <c r="K10" s="140" t="str">
        <f ca="1"/>
        <v>1-20</v>
      </c>
      <c r="L10" s="140">
        <f t="shared" ca="1" si="0"/>
        <v>1009</v>
      </c>
      <c r="M10" s="140">
        <f t="shared" ca="1" si="1"/>
        <v>10</v>
      </c>
      <c r="N10" s="70" t="str">
        <f t="shared" ca="1" si="2"/>
        <v>Springer T 7-1-20-1,</v>
      </c>
      <c r="Q10" s="140"/>
      <c r="R10" s="140"/>
      <c r="S10" s="141"/>
      <c r="T10" s="140"/>
      <c r="U10" s="140"/>
      <c r="V10" s="140"/>
      <c r="W10" s="144"/>
      <c r="X10" s="145"/>
      <c r="Y10" s="145"/>
      <c r="Z10" s="140"/>
    </row>
    <row r="11" spans="1:26" x14ac:dyDescent="0.15">
      <c r="A11" s="70">
        <v>10</v>
      </c>
      <c r="B11" s="70">
        <f>MATCH(A11,Bowling!$CS$5:$CS$34,0)</f>
        <v>10</v>
      </c>
      <c r="C11" s="70" t="str">
        <f ca="1">OFFSET(Bowling!$B$4,BowlAves!B11,0)</f>
        <v>Elliston J</v>
      </c>
      <c r="D11" s="138">
        <f t="array" aca="1" ref="D11:K11" ca="1">OFFSET(Bowling!$CG$4,BowlAves!B11,0,1,8)</f>
        <v>13</v>
      </c>
      <c r="E11" s="74">
        <f ca="1"/>
        <v>0</v>
      </c>
      <c r="F11" s="74">
        <f ca="1"/>
        <v>68</v>
      </c>
      <c r="G11" s="74">
        <f ca="1"/>
        <v>3</v>
      </c>
      <c r="H11" s="79">
        <f ca="1"/>
        <v>22.666666666666668</v>
      </c>
      <c r="I11" s="139">
        <f ca="1"/>
        <v>26</v>
      </c>
      <c r="J11" s="139">
        <f ca="1"/>
        <v>5.2307692307692308</v>
      </c>
      <c r="K11" s="140" t="str">
        <f ca="1"/>
        <v>2-41</v>
      </c>
      <c r="L11" s="140">
        <f t="shared" ca="1" si="0"/>
        <v>1010</v>
      </c>
      <c r="M11" s="140">
        <f t="shared" ca="1" si="1"/>
        <v>11</v>
      </c>
      <c r="N11" s="70" t="str">
        <f t="shared" ca="1" si="2"/>
        <v>Elliston J 13-0-68-3,</v>
      </c>
      <c r="Q11" s="140"/>
      <c r="R11" s="140"/>
      <c r="S11" s="141"/>
      <c r="T11" s="140"/>
      <c r="U11" s="140"/>
      <c r="V11" s="140"/>
      <c r="W11" s="144"/>
      <c r="X11" s="145"/>
      <c r="Y11" s="145"/>
      <c r="Z11" s="140"/>
    </row>
    <row r="12" spans="1:26" x14ac:dyDescent="0.15">
      <c r="A12" s="70">
        <v>11</v>
      </c>
      <c r="B12" s="70">
        <f>MATCH(A12,Bowling!$CS$5:$CS$34,0)</f>
        <v>22</v>
      </c>
      <c r="C12" s="70" t="str">
        <f ca="1">OFFSET(Bowling!$B$4,BowlAves!B12,0)</f>
        <v>Middleton J</v>
      </c>
      <c r="D12" s="138">
        <f t="array" aca="1" ref="D12:K12" ca="1">OFFSET(Bowling!$CG$4,BowlAves!B12,0,1,8)</f>
        <v>57.5</v>
      </c>
      <c r="E12" s="74">
        <f ca="1"/>
        <v>14</v>
      </c>
      <c r="F12" s="74">
        <f ca="1"/>
        <v>210</v>
      </c>
      <c r="G12" s="74">
        <f ca="1"/>
        <v>7</v>
      </c>
      <c r="H12" s="79">
        <f ca="1"/>
        <v>30</v>
      </c>
      <c r="I12" s="139">
        <f ca="1"/>
        <v>49.571428571428569</v>
      </c>
      <c r="J12" s="139">
        <f ca="1"/>
        <v>3.6311239193083575</v>
      </c>
      <c r="K12" s="140" t="str">
        <f ca="1"/>
        <v>2-17</v>
      </c>
      <c r="L12" s="140">
        <f t="shared" ca="1" si="0"/>
        <v>1011</v>
      </c>
      <c r="M12" s="140">
        <f t="shared" ca="1" si="1"/>
        <v>12</v>
      </c>
      <c r="N12" s="70" t="str">
        <f t="shared" ca="1" si="2"/>
        <v>Middleton J 57.5-14-210-7,</v>
      </c>
      <c r="Q12" s="140"/>
      <c r="R12" s="140"/>
      <c r="S12" s="141"/>
      <c r="T12" s="140"/>
      <c r="U12" s="140"/>
      <c r="V12" s="140"/>
      <c r="W12" s="144"/>
      <c r="X12" s="145"/>
      <c r="Y12" s="145"/>
      <c r="Z12" s="140"/>
    </row>
    <row r="13" spans="1:26" x14ac:dyDescent="0.15">
      <c r="A13" s="70">
        <v>12</v>
      </c>
      <c r="B13" s="70">
        <f>MATCH(A13,Bowling!$CS$5:$CS$34,0)</f>
        <v>17</v>
      </c>
      <c r="C13" s="70" t="str">
        <f ca="1">OFFSET(Bowling!$B$4,BowlAves!B13,0)</f>
        <v>Lestrelle A</v>
      </c>
      <c r="D13" s="138">
        <f t="array" aca="1" ref="D13:K13" ca="1">OFFSET(Bowling!$CG$4,BowlAves!B13,0,1,8)</f>
        <v>100.5</v>
      </c>
      <c r="E13" s="74">
        <f ca="1"/>
        <v>14</v>
      </c>
      <c r="F13" s="74">
        <f ca="1"/>
        <v>400</v>
      </c>
      <c r="G13" s="74">
        <f ca="1"/>
        <v>13</v>
      </c>
      <c r="H13" s="79">
        <f ca="1"/>
        <v>30.76923076923077</v>
      </c>
      <c r="I13" s="139">
        <f ca="1"/>
        <v>46.53846153846154</v>
      </c>
      <c r="J13" s="139">
        <f ca="1"/>
        <v>3.9669421487603307</v>
      </c>
      <c r="K13" s="140" t="str">
        <f ca="1"/>
        <v>2-15</v>
      </c>
      <c r="L13" s="140">
        <f t="shared" ca="1" si="0"/>
        <v>12</v>
      </c>
      <c r="M13" s="140">
        <f t="shared" ca="1" si="1"/>
        <v>3</v>
      </c>
      <c r="N13" s="70" t="str">
        <f t="shared" ca="1" si="2"/>
        <v/>
      </c>
      <c r="Q13" s="140"/>
      <c r="R13" s="140"/>
      <c r="S13" s="141"/>
      <c r="T13" s="140"/>
      <c r="U13" s="140"/>
      <c r="V13" s="140"/>
      <c r="W13" s="144"/>
      <c r="X13" s="145"/>
      <c r="Y13" s="145"/>
      <c r="Z13" s="140"/>
    </row>
    <row r="14" spans="1:26" x14ac:dyDescent="0.15">
      <c r="A14" s="70">
        <v>13</v>
      </c>
      <c r="B14" s="70">
        <f>MATCH(A14,Bowling!$CS$5:$CS$34,0)</f>
        <v>12</v>
      </c>
      <c r="C14" s="70" t="str">
        <f ca="1">OFFSET(Bowling!$B$4,BowlAves!B14,0)</f>
        <v>Greyling R</v>
      </c>
      <c r="D14" s="138">
        <f t="array" aca="1" ref="D14:K14" ca="1">OFFSET(Bowling!$CG$4,BowlAves!B14,0,1,8)</f>
        <v>45</v>
      </c>
      <c r="E14" s="74">
        <f ca="1"/>
        <v>3</v>
      </c>
      <c r="F14" s="74">
        <f ca="1"/>
        <v>222</v>
      </c>
      <c r="G14" s="74">
        <f ca="1"/>
        <v>7</v>
      </c>
      <c r="H14" s="79">
        <f ca="1"/>
        <v>31.714285714285715</v>
      </c>
      <c r="I14" s="139">
        <f ca="1"/>
        <v>38.571428571428569</v>
      </c>
      <c r="J14" s="139">
        <f ca="1"/>
        <v>4.9333333333333336</v>
      </c>
      <c r="K14" s="140" t="str">
        <f ca="1"/>
        <v>2-26</v>
      </c>
      <c r="L14" s="140">
        <f t="shared" ca="1" si="0"/>
        <v>1013</v>
      </c>
      <c r="M14" s="140">
        <f t="shared" ca="1" si="1"/>
        <v>13</v>
      </c>
      <c r="N14" s="70" t="str">
        <f t="shared" ca="1" si="2"/>
        <v>Greyling R 45-3-222-7,</v>
      </c>
      <c r="Q14" s="140"/>
      <c r="R14" s="140"/>
      <c r="S14" s="141"/>
      <c r="T14" s="140"/>
      <c r="U14" s="140"/>
      <c r="V14" s="140"/>
      <c r="W14" s="144"/>
      <c r="X14" s="145"/>
      <c r="Y14" s="145"/>
      <c r="Z14" s="140"/>
    </row>
    <row r="15" spans="1:26" x14ac:dyDescent="0.15">
      <c r="A15" s="70">
        <v>14</v>
      </c>
      <c r="B15" s="70">
        <f>MATCH(A15,Bowling!$CS$5:$CS$34,0)</f>
        <v>19</v>
      </c>
      <c r="C15" s="70" t="str">
        <f ca="1">OFFSET(Bowling!$B$4,BowlAves!B15,0)</f>
        <v>Mander A</v>
      </c>
      <c r="D15" s="138">
        <f t="array" aca="1" ref="D15:K15" ca="1">OFFSET(Bowling!$CG$4,BowlAves!B15,0,1,8)</f>
        <v>16</v>
      </c>
      <c r="E15" s="74">
        <f ca="1"/>
        <v>5</v>
      </c>
      <c r="F15" s="74">
        <f ca="1"/>
        <v>33</v>
      </c>
      <c r="G15" s="74">
        <f ca="1"/>
        <v>1</v>
      </c>
      <c r="H15" s="79">
        <f ca="1"/>
        <v>33</v>
      </c>
      <c r="I15" s="139">
        <f ca="1"/>
        <v>96</v>
      </c>
      <c r="J15" s="139">
        <f ca="1"/>
        <v>2.0625</v>
      </c>
      <c r="K15" s="140" t="str">
        <f ca="1"/>
        <v>1-11</v>
      </c>
      <c r="L15" s="140">
        <f t="shared" ca="1" si="0"/>
        <v>1014</v>
      </c>
      <c r="M15" s="140">
        <f t="shared" ca="1" si="1"/>
        <v>14</v>
      </c>
      <c r="N15" s="70" t="str">
        <f t="shared" ca="1" si="2"/>
        <v>Mander A 16-5-33-1,</v>
      </c>
      <c r="Q15" s="140"/>
      <c r="R15" s="140"/>
      <c r="S15" s="141"/>
      <c r="T15" s="140"/>
      <c r="U15" s="140"/>
      <c r="V15" s="140"/>
      <c r="W15" s="144"/>
      <c r="X15" s="145"/>
      <c r="Y15" s="145"/>
      <c r="Z15" s="140"/>
    </row>
    <row r="16" spans="1:26" x14ac:dyDescent="0.15">
      <c r="A16" s="70">
        <v>15</v>
      </c>
      <c r="B16" s="70">
        <f>MATCH(A16,Bowling!$CS$5:$CS$34,0)</f>
        <v>3</v>
      </c>
      <c r="C16" s="70" t="str">
        <f ca="1">OFFSET(Bowling!$B$4,BowlAves!B16,0)</f>
        <v>Chaffey P</v>
      </c>
      <c r="D16" s="138">
        <f t="array" aca="1" ref="D16:K16" ca="1">OFFSET(Bowling!$CG$4,BowlAves!B16,0,1,8)</f>
        <v>58</v>
      </c>
      <c r="E16" s="74">
        <f ca="1"/>
        <v>6</v>
      </c>
      <c r="F16" s="74">
        <f ca="1"/>
        <v>314</v>
      </c>
      <c r="G16" s="74">
        <f ca="1"/>
        <v>9</v>
      </c>
      <c r="H16" s="79">
        <f ca="1"/>
        <v>34.888888888888886</v>
      </c>
      <c r="I16" s="139">
        <f ca="1"/>
        <v>38.666666666666664</v>
      </c>
      <c r="J16" s="139">
        <f ca="1"/>
        <v>5.4137931034482758</v>
      </c>
      <c r="K16" s="140" t="str">
        <f ca="1"/>
        <v>3-52</v>
      </c>
      <c r="L16" s="140">
        <f t="shared" ca="1" si="0"/>
        <v>1015</v>
      </c>
      <c r="M16" s="140">
        <f t="shared" ca="1" si="1"/>
        <v>15</v>
      </c>
      <c r="N16" s="70" t="str">
        <f t="shared" ca="1" si="2"/>
        <v>Chaffey P 58-6-314-9,</v>
      </c>
      <c r="Q16" s="140"/>
      <c r="R16" s="140"/>
      <c r="S16" s="141"/>
      <c r="T16" s="140"/>
      <c r="U16" s="140"/>
      <c r="V16" s="140"/>
      <c r="W16" s="144"/>
      <c r="X16" s="145"/>
      <c r="Y16" s="145"/>
      <c r="Z16" s="140"/>
    </row>
    <row r="17" spans="1:26" x14ac:dyDescent="0.15">
      <c r="A17" s="70">
        <v>16</v>
      </c>
      <c r="B17" s="70">
        <f>MATCH(A17,Bowling!$CS$5:$CS$34,0)</f>
        <v>2</v>
      </c>
      <c r="C17" s="70" t="str">
        <f ca="1">OFFSET(Bowling!$B$4,BowlAves!B17,0)</f>
        <v>Brocks D</v>
      </c>
      <c r="D17" s="138">
        <f t="array" aca="1" ref="D17:K17" ca="1">OFFSET(Bowling!$CG$4,BowlAves!B17,0,1,8)</f>
        <v>15</v>
      </c>
      <c r="E17" s="74">
        <f ca="1"/>
        <v>2</v>
      </c>
      <c r="F17" s="74">
        <f ca="1"/>
        <v>76</v>
      </c>
      <c r="G17" s="74">
        <f ca="1"/>
        <v>2</v>
      </c>
      <c r="H17" s="79">
        <f ca="1"/>
        <v>38</v>
      </c>
      <c r="I17" s="139">
        <f ca="1"/>
        <v>45</v>
      </c>
      <c r="J17" s="139">
        <f ca="1"/>
        <v>5.0666666666666664</v>
      </c>
      <c r="K17" s="140" t="str">
        <f ca="1"/>
        <v>1-30</v>
      </c>
      <c r="L17" s="140">
        <f t="shared" ca="1" si="0"/>
        <v>1016</v>
      </c>
      <c r="M17" s="140">
        <f t="shared" ca="1" si="1"/>
        <v>16</v>
      </c>
      <c r="N17" s="70" t="str">
        <f t="shared" ca="1" si="2"/>
        <v>Brocks D 15-2-76-2,</v>
      </c>
      <c r="Q17" s="140"/>
      <c r="R17" s="140"/>
      <c r="S17" s="141"/>
      <c r="T17" s="140"/>
      <c r="U17" s="140"/>
      <c r="V17" s="140"/>
      <c r="W17" s="144"/>
      <c r="X17" s="145"/>
      <c r="Y17" s="145"/>
      <c r="Z17" s="140"/>
    </row>
    <row r="18" spans="1:26" x14ac:dyDescent="0.15">
      <c r="A18" s="70">
        <v>17</v>
      </c>
      <c r="B18" s="70">
        <f>MATCH(A18,Bowling!$CS$5:$CS$34,0)</f>
        <v>25</v>
      </c>
      <c r="C18" s="70" t="str">
        <f ca="1">OFFSET(Bowling!$B$4,BowlAves!B18,0)</f>
        <v>Seymour C</v>
      </c>
      <c r="D18" s="138">
        <f t="array" aca="1" ref="D18:K18" ca="1">OFFSET(Bowling!$CG$4,BowlAves!B18,0,1,8)</f>
        <v>39.5</v>
      </c>
      <c r="E18" s="74">
        <f ca="1"/>
        <v>2</v>
      </c>
      <c r="F18" s="74">
        <f ca="1"/>
        <v>231</v>
      </c>
      <c r="G18" s="74">
        <f ca="1"/>
        <v>5</v>
      </c>
      <c r="H18" s="79">
        <f ca="1"/>
        <v>46.2</v>
      </c>
      <c r="I18" s="139">
        <f ca="1"/>
        <v>47.8</v>
      </c>
      <c r="J18" s="139">
        <f ca="1"/>
        <v>5.7991631799163184</v>
      </c>
      <c r="K18" s="140" t="str">
        <f ca="1"/>
        <v>2-15</v>
      </c>
      <c r="L18" s="140">
        <f t="shared" ca="1" si="0"/>
        <v>1017</v>
      </c>
      <c r="M18" s="140">
        <f t="shared" ca="1" si="1"/>
        <v>17</v>
      </c>
      <c r="N18" s="70" t="str">
        <f t="shared" ca="1" si="2"/>
        <v>Seymour C 39.5-2-231-5,</v>
      </c>
      <c r="Q18" s="140"/>
      <c r="R18" s="140"/>
      <c r="S18" s="141"/>
      <c r="T18" s="140"/>
      <c r="U18" s="140"/>
      <c r="V18" s="140"/>
      <c r="W18" s="144"/>
      <c r="X18" s="145"/>
      <c r="Y18" s="145"/>
      <c r="Z18" s="140"/>
    </row>
    <row r="19" spans="1:26" x14ac:dyDescent="0.15">
      <c r="A19" s="70">
        <v>18</v>
      </c>
      <c r="B19" s="70">
        <f>MATCH(A19,Bowling!$CS$5:$CS$34,0)</f>
        <v>23</v>
      </c>
      <c r="C19" s="70" t="str">
        <f ca="1">OFFSET(Bowling!$B$4,BowlAves!B19,0)</f>
        <v>Nurdin I</v>
      </c>
      <c r="D19" s="138">
        <f t="array" aca="1" ref="D19:K19" ca="1">OFFSET(Bowling!$CG$4,BowlAves!B19,0,1,8)</f>
        <v>9</v>
      </c>
      <c r="E19" s="74">
        <f ca="1"/>
        <v>0</v>
      </c>
      <c r="F19" s="74">
        <f ca="1"/>
        <v>71</v>
      </c>
      <c r="G19" s="74">
        <f ca="1"/>
        <v>1</v>
      </c>
      <c r="H19" s="79">
        <f ca="1"/>
        <v>71</v>
      </c>
      <c r="I19" s="139">
        <f ca="1"/>
        <v>54</v>
      </c>
      <c r="J19" s="139">
        <f ca="1"/>
        <v>7.8888888888888893</v>
      </c>
      <c r="K19" s="140" t="str">
        <f ca="1"/>
        <v>1-36</v>
      </c>
      <c r="L19" s="140">
        <f t="shared" ca="1" si="0"/>
        <v>1018</v>
      </c>
      <c r="M19" s="140">
        <f t="shared" ca="1" si="1"/>
        <v>18</v>
      </c>
      <c r="N19" s="70" t="str">
        <f t="shared" ca="1" si="2"/>
        <v>Nurdin I 9-0-71-1,</v>
      </c>
      <c r="Q19" s="140"/>
      <c r="R19" s="140"/>
      <c r="S19" s="141"/>
      <c r="T19" s="140"/>
      <c r="U19" s="140"/>
      <c r="V19" s="140"/>
      <c r="W19" s="144"/>
      <c r="X19" s="145"/>
      <c r="Y19" s="145"/>
      <c r="Z19" s="140"/>
    </row>
    <row r="20" spans="1:26" x14ac:dyDescent="0.15">
      <c r="A20" s="70">
        <v>19</v>
      </c>
      <c r="B20" s="70">
        <f>MATCH(A20,Bowling!$CS$5:$CS$34,0)</f>
        <v>8</v>
      </c>
      <c r="C20" s="70" t="str">
        <f ca="1">OFFSET(Bowling!$B$4,BowlAves!B20,0)</f>
        <v>de Souza C</v>
      </c>
      <c r="D20" s="138">
        <f t="array" aca="1" ref="D20:K20" ca="1">OFFSET(Bowling!$CG$4,BowlAves!B20,0,1,8)</f>
        <v>9</v>
      </c>
      <c r="E20" s="74">
        <f ca="1"/>
        <v>0</v>
      </c>
      <c r="F20" s="74">
        <f ca="1"/>
        <v>82</v>
      </c>
      <c r="G20" s="74">
        <f ca="1"/>
        <v>1</v>
      </c>
      <c r="H20" s="79">
        <f ca="1"/>
        <v>82</v>
      </c>
      <c r="I20" s="139">
        <f ca="1"/>
        <v>54</v>
      </c>
      <c r="J20" s="139">
        <f ca="1"/>
        <v>9.1111111111111107</v>
      </c>
      <c r="K20" s="140" t="str">
        <f ca="1"/>
        <v>1-20</v>
      </c>
      <c r="L20" s="140">
        <f t="shared" ca="1" si="0"/>
        <v>1019</v>
      </c>
      <c r="M20" s="140">
        <f t="shared" ca="1" si="1"/>
        <v>19</v>
      </c>
      <c r="N20" s="70" t="str">
        <f t="shared" ca="1" si="2"/>
        <v>de Souza C 9-0-82-1,</v>
      </c>
      <c r="Q20" s="140"/>
      <c r="R20" s="140"/>
      <c r="S20" s="141"/>
      <c r="T20" s="140"/>
      <c r="U20" s="140"/>
      <c r="V20" s="140"/>
      <c r="W20" s="144"/>
      <c r="X20" s="145"/>
      <c r="Y20" s="145"/>
      <c r="Z20" s="140"/>
    </row>
    <row r="21" spans="1:26" x14ac:dyDescent="0.15">
      <c r="A21" s="70">
        <v>20</v>
      </c>
      <c r="B21" s="70">
        <f>MATCH(A21,Bowling!$CS$5:$CS$34,0)</f>
        <v>26</v>
      </c>
      <c r="C21" s="70" t="str">
        <f ca="1">OFFSET(Bowling!$B$4,BowlAves!B21,0)</f>
        <v>Sharpe D</v>
      </c>
      <c r="D21" s="138">
        <f t="array" aca="1" ref="D21:K21" ca="1">OFFSET(Bowling!$CG$4,BowlAves!B21,0,1,8)</f>
        <v>16</v>
      </c>
      <c r="E21" s="74">
        <f ca="1"/>
        <v>0</v>
      </c>
      <c r="F21" s="74">
        <f ca="1"/>
        <v>115</v>
      </c>
      <c r="G21" s="74">
        <f ca="1"/>
        <v>1</v>
      </c>
      <c r="H21" s="79">
        <f ca="1"/>
        <v>115</v>
      </c>
      <c r="I21" s="139">
        <f ca="1"/>
        <v>96</v>
      </c>
      <c r="J21" s="139">
        <f ca="1"/>
        <v>7.1875</v>
      </c>
      <c r="K21" s="140" t="str">
        <f ca="1"/>
        <v>1-59</v>
      </c>
      <c r="L21" s="140">
        <f t="shared" ca="1" si="0"/>
        <v>1020</v>
      </c>
      <c r="M21" s="140">
        <f t="shared" ca="1" si="1"/>
        <v>20</v>
      </c>
      <c r="N21" s="70" t="str">
        <f t="shared" ca="1" si="2"/>
        <v>Sharpe D 16-0-115-1,</v>
      </c>
      <c r="Q21" s="140"/>
      <c r="R21" s="140"/>
      <c r="S21" s="141"/>
      <c r="T21" s="140"/>
      <c r="U21" s="140"/>
      <c r="V21" s="140"/>
      <c r="W21" s="144"/>
      <c r="X21" s="145"/>
      <c r="Y21" s="145"/>
      <c r="Z21" s="140"/>
    </row>
    <row r="22" spans="1:26" x14ac:dyDescent="0.15">
      <c r="A22" s="70">
        <v>21</v>
      </c>
      <c r="B22" s="70">
        <f>MATCH(A22,Bowling!$CS$5:$CS$34,0)</f>
        <v>7</v>
      </c>
      <c r="C22" s="70" t="str">
        <f ca="1">OFFSET(Bowling!$B$4,BowlAves!B22,0)</f>
        <v>Dhanjal</v>
      </c>
      <c r="D22" s="138">
        <f t="array" aca="1" ref="D22:K22" ca="1">OFFSET(Bowling!$CG$4,BowlAves!B22,0,1,8)</f>
        <v>3</v>
      </c>
      <c r="E22" s="74">
        <f ca="1"/>
        <v>0</v>
      </c>
      <c r="F22" s="74">
        <f ca="1"/>
        <v>23</v>
      </c>
      <c r="G22" s="74">
        <f ca="1"/>
        <v>0</v>
      </c>
      <c r="H22" s="79" t="str">
        <f ca="1"/>
        <v/>
      </c>
      <c r="I22" s="139" t="str">
        <f ca="1"/>
        <v/>
      </c>
      <c r="J22" s="139">
        <f ca="1"/>
        <v>7.666666666666667</v>
      </c>
      <c r="K22" s="140" t="str">
        <f ca="1"/>
        <v>0-23</v>
      </c>
      <c r="L22" s="140">
        <f t="shared" ca="1" si="0"/>
        <v>1021</v>
      </c>
      <c r="M22" s="140">
        <f t="shared" ca="1" si="1"/>
        <v>21</v>
      </c>
      <c r="N22" s="70" t="str">
        <f t="shared" ca="1" si="2"/>
        <v>Dhanjal 3-0-23-0,</v>
      </c>
      <c r="Q22" s="140"/>
      <c r="R22" s="140"/>
      <c r="S22" s="141"/>
      <c r="T22" s="140"/>
      <c r="U22" s="140"/>
      <c r="V22" s="140"/>
      <c r="W22" s="144"/>
      <c r="X22" s="145"/>
      <c r="Y22" s="145"/>
      <c r="Z22" s="140"/>
    </row>
    <row r="23" spans="1:26" x14ac:dyDescent="0.15">
      <c r="A23" s="70">
        <v>22</v>
      </c>
      <c r="B23" s="70">
        <f>MATCH(A23,Bowling!$CS$5:$CS$34,0)</f>
        <v>11</v>
      </c>
      <c r="C23" s="70" t="str">
        <f ca="1">OFFSET(Bowling!$B$4,BowlAves!B23,0)</f>
        <v>Fisher T</v>
      </c>
      <c r="D23" s="138">
        <f t="array" aca="1" ref="D23:K23" ca="1">OFFSET(Bowling!$CG$4,BowlAves!B23,0,1,8)</f>
        <v>3</v>
      </c>
      <c r="E23" s="74">
        <f ca="1"/>
        <v>0</v>
      </c>
      <c r="F23" s="74">
        <f ca="1"/>
        <v>25</v>
      </c>
      <c r="G23" s="74">
        <f ca="1"/>
        <v>0</v>
      </c>
      <c r="H23" s="79" t="str">
        <f ca="1"/>
        <v/>
      </c>
      <c r="I23" s="139" t="str">
        <f ca="1"/>
        <v/>
      </c>
      <c r="J23" s="139">
        <f ca="1"/>
        <v>8.3333333333333339</v>
      </c>
      <c r="K23" s="140" t="str">
        <f ca="1"/>
        <v>0-25</v>
      </c>
      <c r="L23" s="140">
        <f t="shared" ca="1" si="0"/>
        <v>1022</v>
      </c>
      <c r="M23" s="140">
        <f t="shared" ca="1" si="1"/>
        <v>22</v>
      </c>
      <c r="N23" s="70" t="str">
        <f t="shared" ca="1" si="2"/>
        <v>Fisher T 3-0-25-0,</v>
      </c>
      <c r="Q23" s="140"/>
      <c r="R23" s="140"/>
      <c r="S23" s="141"/>
      <c r="T23" s="140"/>
      <c r="U23" s="140"/>
      <c r="V23" s="140"/>
      <c r="W23" s="144"/>
      <c r="X23" s="145"/>
      <c r="Y23" s="145"/>
      <c r="Z23" s="140"/>
    </row>
    <row r="24" spans="1:26" x14ac:dyDescent="0.15">
      <c r="A24" s="70">
        <v>23</v>
      </c>
      <c r="B24" s="70">
        <f>MATCH(A24,Bowling!$CS$5:$CS$34,0)</f>
        <v>29</v>
      </c>
      <c r="C24" s="70" t="str">
        <f ca="1">OFFSET(Bowling!$B$4,BowlAves!B24,0)</f>
        <v>Wiseman R</v>
      </c>
      <c r="D24" s="138">
        <f t="array" aca="1" ref="D24:K24" ca="1">OFFSET(Bowling!$CG$4,BowlAves!B24,0,1,8)</f>
        <v>6</v>
      </c>
      <c r="E24" s="74">
        <f ca="1"/>
        <v>0</v>
      </c>
      <c r="F24" s="74">
        <f ca="1"/>
        <v>58</v>
      </c>
      <c r="G24" s="74">
        <f ca="1"/>
        <v>0</v>
      </c>
      <c r="H24" s="79" t="str">
        <f ca="1"/>
        <v/>
      </c>
      <c r="I24" s="139" t="str">
        <f ca="1"/>
        <v/>
      </c>
      <c r="J24" s="139">
        <f ca="1"/>
        <v>9.6666666666666661</v>
      </c>
      <c r="K24" s="140" t="str">
        <f ca="1"/>
        <v>0-58</v>
      </c>
      <c r="L24" s="140">
        <f t="shared" ca="1" si="0"/>
        <v>1023</v>
      </c>
      <c r="M24" s="140">
        <f t="shared" ca="1" si="1"/>
        <v>23</v>
      </c>
      <c r="N24" s="70" t="str">
        <f t="shared" ca="1" si="2"/>
        <v>Wiseman R 6-0-58-0,</v>
      </c>
      <c r="Q24" s="140"/>
      <c r="R24" s="140"/>
      <c r="S24" s="141"/>
      <c r="T24" s="140"/>
      <c r="U24" s="140"/>
      <c r="V24" s="140"/>
      <c r="W24" s="144"/>
      <c r="X24" s="145"/>
      <c r="Y24" s="145"/>
      <c r="Z24" s="140"/>
    </row>
    <row r="25" spans="1:26" x14ac:dyDescent="0.15">
      <c r="A25" s="70">
        <v>24</v>
      </c>
      <c r="B25" s="70">
        <f>MATCH(A25,Bowling!$CS$5:$CS$34,0)</f>
        <v>1</v>
      </c>
      <c r="C25" s="70" t="str">
        <f ca="1">OFFSET(Bowling!$B$4,BowlAves!B25,0)</f>
        <v>Bowers M</v>
      </c>
      <c r="D25" s="138">
        <f t="array" aca="1" ref="D25:K25" ca="1">OFFSET(Bowling!$CG$4,BowlAves!B25,0,1,8)</f>
        <v>0</v>
      </c>
      <c r="E25" s="74">
        <f ca="1"/>
        <v>0</v>
      </c>
      <c r="F25" s="74">
        <f ca="1"/>
        <v>0</v>
      </c>
      <c r="G25" s="74">
        <f ca="1"/>
        <v>0</v>
      </c>
      <c r="H25" s="79" t="str">
        <f ca="1"/>
        <v/>
      </c>
      <c r="I25" s="139" t="str">
        <f ca="1"/>
        <v/>
      </c>
      <c r="J25" s="139" t="str">
        <f ca="1"/>
        <v/>
      </c>
      <c r="K25" s="140" t="str">
        <f ca="1"/>
        <v/>
      </c>
      <c r="L25" s="140">
        <f t="shared" ca="1" si="0"/>
        <v>1024</v>
      </c>
      <c r="M25" s="140">
        <f t="shared" ca="1" si="1"/>
        <v>24</v>
      </c>
      <c r="N25" s="70" t="str">
        <f t="shared" ca="1" si="2"/>
        <v>Bowers M 0-0-0-0,</v>
      </c>
      <c r="Q25" s="140"/>
      <c r="R25" s="140"/>
      <c r="S25" s="141"/>
      <c r="T25" s="140"/>
      <c r="U25" s="140"/>
      <c r="V25" s="140"/>
      <c r="W25" s="144"/>
      <c r="X25" s="145"/>
      <c r="Y25" s="145"/>
      <c r="Z25" s="140"/>
    </row>
    <row r="26" spans="1:26" x14ac:dyDescent="0.15">
      <c r="A26" s="70">
        <v>25</v>
      </c>
      <c r="B26" s="70">
        <f>MATCH(A26,Bowling!$CS$5:$CS$34,0)</f>
        <v>5</v>
      </c>
      <c r="C26" s="70" t="str">
        <f ca="1">OFFSET(Bowling!$B$4,BowlAves!B26,0)</f>
        <v>Coloe A</v>
      </c>
      <c r="D26" s="138">
        <f t="array" aca="1" ref="D26:K26" ca="1">OFFSET(Bowling!$CG$4,BowlAves!B26,0,1,8)</f>
        <v>0</v>
      </c>
      <c r="E26" s="74">
        <f ca="1"/>
        <v>0</v>
      </c>
      <c r="F26" s="74">
        <f ca="1"/>
        <v>0</v>
      </c>
      <c r="G26" s="74">
        <f ca="1"/>
        <v>0</v>
      </c>
      <c r="H26" s="79" t="str">
        <f ca="1"/>
        <v/>
      </c>
      <c r="I26" s="139" t="str">
        <f ca="1"/>
        <v/>
      </c>
      <c r="J26" s="139" t="str">
        <f ca="1"/>
        <v/>
      </c>
      <c r="K26" s="140" t="str">
        <f ca="1"/>
        <v/>
      </c>
      <c r="L26" s="140">
        <f t="shared" ca="1" si="0"/>
        <v>1025</v>
      </c>
      <c r="M26" s="140">
        <f t="shared" ca="1" si="1"/>
        <v>25</v>
      </c>
      <c r="N26" s="70" t="str">
        <f t="shared" ca="1" si="2"/>
        <v>Coloe A 0-0-0-0,</v>
      </c>
      <c r="Q26" s="140"/>
      <c r="R26" s="140"/>
      <c r="S26" s="141"/>
      <c r="T26" s="140"/>
      <c r="U26" s="140"/>
      <c r="V26" s="140"/>
      <c r="W26" s="144"/>
      <c r="X26" s="145"/>
      <c r="Y26" s="145"/>
      <c r="Z26" s="140"/>
    </row>
    <row r="27" spans="1:26" x14ac:dyDescent="0.15">
      <c r="A27" s="70">
        <v>26</v>
      </c>
      <c r="B27" s="70">
        <f>MATCH(A27,Bowling!$CS$5:$CS$34,0)</f>
        <v>16</v>
      </c>
      <c r="C27" s="70" t="str">
        <f ca="1">OFFSET(Bowling!$B$4,BowlAves!B27,0)</f>
        <v>Leadley J</v>
      </c>
      <c r="D27" s="138">
        <f t="array" aca="1" ref="D27:K27" ca="1">OFFSET(Bowling!$CG$4,BowlAves!B27,0,1,8)</f>
        <v>0</v>
      </c>
      <c r="E27" s="74">
        <f ca="1"/>
        <v>0</v>
      </c>
      <c r="F27" s="74">
        <f ca="1"/>
        <v>0</v>
      </c>
      <c r="G27" s="74">
        <f ca="1"/>
        <v>0</v>
      </c>
      <c r="H27" s="79" t="str">
        <f ca="1"/>
        <v/>
      </c>
      <c r="I27" s="139" t="str">
        <f ca="1"/>
        <v/>
      </c>
      <c r="J27" s="139" t="str">
        <f ca="1"/>
        <v/>
      </c>
      <c r="K27" s="140" t="str">
        <f ca="1"/>
        <v/>
      </c>
      <c r="L27" s="140">
        <f t="shared" ca="1" si="0"/>
        <v>1026</v>
      </c>
      <c r="M27" s="140">
        <f t="shared" ca="1" si="1"/>
        <v>26</v>
      </c>
      <c r="N27" s="70" t="str">
        <f t="shared" ca="1" si="2"/>
        <v>Leadley J 0-0-0-0,</v>
      </c>
      <c r="Q27" s="140"/>
      <c r="R27" s="140"/>
      <c r="S27" s="141"/>
      <c r="T27" s="140"/>
      <c r="U27" s="140"/>
      <c r="V27" s="140"/>
      <c r="W27" s="144"/>
      <c r="X27" s="145"/>
      <c r="Y27" s="145"/>
      <c r="Z27" s="140"/>
    </row>
    <row r="28" spans="1:26" x14ac:dyDescent="0.15">
      <c r="A28" s="70">
        <v>27</v>
      </c>
      <c r="B28" s="70">
        <f>MATCH(A28,Bowling!$CS$5:$CS$34,0)</f>
        <v>20</v>
      </c>
      <c r="C28" s="70" t="str">
        <f ca="1">OFFSET(Bowling!$B$4,BowlAves!B28,0)</f>
        <v>Mander C</v>
      </c>
      <c r="D28" s="138">
        <f t="array" aca="1" ref="D28:K28" ca="1">OFFSET(Bowling!$CG$4,BowlAves!B28,0,1,8)</f>
        <v>0</v>
      </c>
      <c r="E28" s="74">
        <f ca="1"/>
        <v>0</v>
      </c>
      <c r="F28" s="74">
        <f ca="1"/>
        <v>0</v>
      </c>
      <c r="G28" s="74">
        <f ca="1"/>
        <v>0</v>
      </c>
      <c r="H28" s="79" t="str">
        <f ca="1"/>
        <v/>
      </c>
      <c r="I28" s="139" t="str">
        <f ca="1"/>
        <v/>
      </c>
      <c r="J28" s="139" t="str">
        <f ca="1"/>
        <v/>
      </c>
      <c r="K28" s="140" t="str">
        <f ca="1"/>
        <v/>
      </c>
      <c r="L28" s="140">
        <f t="shared" ca="1" si="0"/>
        <v>1027</v>
      </c>
      <c r="M28" s="140">
        <f t="shared" ca="1" si="1"/>
        <v>27</v>
      </c>
      <c r="N28" s="70" t="str">
        <f t="shared" ca="1" si="2"/>
        <v>Mander C 0-0-0-0,</v>
      </c>
      <c r="Q28" s="140"/>
      <c r="R28" s="140"/>
      <c r="S28" s="141"/>
      <c r="T28" s="140"/>
      <c r="U28" s="140"/>
      <c r="V28" s="140"/>
      <c r="W28" s="144"/>
      <c r="X28" s="145"/>
      <c r="Y28" s="145"/>
      <c r="Z28" s="140"/>
    </row>
    <row r="29" spans="1:26" x14ac:dyDescent="0.15">
      <c r="A29" s="70">
        <v>28</v>
      </c>
      <c r="B29" s="70">
        <f>MATCH(A29,Bowling!$CS$5:$CS$34,0)</f>
        <v>21</v>
      </c>
      <c r="C29" s="70" t="str">
        <f ca="1">OFFSET(Bowling!$B$4,BowlAves!B29,0)</f>
        <v>Mander N</v>
      </c>
      <c r="D29" s="138">
        <f t="array" aca="1" ref="D29:K29" ca="1">OFFSET(Bowling!$CG$4,BowlAves!B29,0,1,8)</f>
        <v>0</v>
      </c>
      <c r="E29" s="74">
        <f ca="1"/>
        <v>0</v>
      </c>
      <c r="F29" s="74">
        <f ca="1"/>
        <v>0</v>
      </c>
      <c r="G29" s="74">
        <f ca="1"/>
        <v>0</v>
      </c>
      <c r="H29" s="79" t="str">
        <f ca="1"/>
        <v/>
      </c>
      <c r="I29" s="139" t="str">
        <f ca="1"/>
        <v/>
      </c>
      <c r="J29" s="139" t="str">
        <f ca="1"/>
        <v/>
      </c>
      <c r="K29" s="140" t="str">
        <f ca="1"/>
        <v/>
      </c>
      <c r="L29" s="140">
        <f t="shared" ca="1" si="0"/>
        <v>1028</v>
      </c>
      <c r="M29" s="140">
        <f t="shared" ca="1" si="1"/>
        <v>28</v>
      </c>
      <c r="N29" s="70" t="str">
        <f t="shared" ca="1" si="2"/>
        <v>Mander N 0-0-0-0,</v>
      </c>
      <c r="Q29" s="140"/>
      <c r="R29" s="140"/>
      <c r="S29" s="141"/>
      <c r="T29" s="140"/>
      <c r="U29" s="140"/>
      <c r="V29" s="140"/>
      <c r="W29" s="144"/>
      <c r="X29" s="145"/>
      <c r="Y29" s="145"/>
      <c r="Z29" s="140"/>
    </row>
    <row r="30" spans="1:26" x14ac:dyDescent="0.15">
      <c r="A30" s="70">
        <v>29</v>
      </c>
      <c r="B30" s="70">
        <f>MATCH(A30,Bowling!$CS$5:$CS$34,0)</f>
        <v>24</v>
      </c>
      <c r="C30" s="70" t="str">
        <f ca="1">OFFSET(Bowling!$B$4,BowlAves!B30,0)</f>
        <v>Rollins R</v>
      </c>
      <c r="D30" s="138">
        <f t="array" aca="1" ref="D30:K30" ca="1">OFFSET(Bowling!$CG$4,BowlAves!B30,0,1,8)</f>
        <v>0</v>
      </c>
      <c r="E30" s="74">
        <f ca="1"/>
        <v>0</v>
      </c>
      <c r="F30" s="74">
        <f ca="1"/>
        <v>0</v>
      </c>
      <c r="G30" s="74">
        <f ca="1"/>
        <v>0</v>
      </c>
      <c r="H30" s="79" t="str">
        <f ca="1"/>
        <v/>
      </c>
      <c r="I30" s="139" t="str">
        <f ca="1"/>
        <v/>
      </c>
      <c r="J30" s="139" t="str">
        <f ca="1"/>
        <v/>
      </c>
      <c r="K30" s="140" t="str">
        <f ca="1"/>
        <v/>
      </c>
      <c r="L30" s="140">
        <f t="shared" ca="1" si="0"/>
        <v>1029</v>
      </c>
      <c r="M30" s="140">
        <f t="shared" ca="1" si="1"/>
        <v>29</v>
      </c>
      <c r="N30" s="70" t="str">
        <f t="shared" ca="1" si="2"/>
        <v>Rollins R 0-0-0-0,</v>
      </c>
    </row>
    <row r="31" spans="1:26" x14ac:dyDescent="0.15">
      <c r="A31" s="70">
        <v>30</v>
      </c>
      <c r="B31" s="70">
        <f>MATCH(A31,Bowling!$CS$5:$CS$34,0)</f>
        <v>27</v>
      </c>
      <c r="C31" s="70" t="str">
        <f ca="1">OFFSET(Bowling!$B$4,BowlAves!B31,0)</f>
        <v>Smith C</v>
      </c>
      <c r="D31" s="138">
        <f t="array" aca="1" ref="D31:K31" ca="1">OFFSET(Bowling!$CG$4,BowlAves!B31,0,1,8)</f>
        <v>0</v>
      </c>
      <c r="E31" s="74">
        <f ca="1"/>
        <v>0</v>
      </c>
      <c r="F31" s="74">
        <f ca="1"/>
        <v>0</v>
      </c>
      <c r="G31" s="74">
        <f ca="1"/>
        <v>0</v>
      </c>
      <c r="H31" s="79" t="str">
        <f ca="1"/>
        <v/>
      </c>
      <c r="I31" s="139" t="str">
        <f ca="1"/>
        <v/>
      </c>
      <c r="J31" s="139" t="str">
        <f ca="1"/>
        <v/>
      </c>
      <c r="K31" s="140" t="str">
        <f ca="1"/>
        <v/>
      </c>
      <c r="L31" s="140">
        <f t="shared" ca="1" si="0"/>
        <v>1030</v>
      </c>
      <c r="M31" s="140">
        <f t="shared" ca="1" si="1"/>
        <v>30</v>
      </c>
      <c r="N31" s="70" t="str">
        <f t="shared" ca="1" si="2"/>
        <v>Smith C 0-0-0-0,</v>
      </c>
    </row>
    <row r="32" spans="1:26" x14ac:dyDescent="0.15">
      <c r="A32" s="70">
        <v>31</v>
      </c>
      <c r="B32" s="70" t="e">
        <f>MATCH(A32,Bowling!$CS$5:$CS$34,0)</f>
        <v>#N/A</v>
      </c>
      <c r="C32" s="70" t="e">
        <f ca="1">OFFSET(Bowling!$B$4,BowlAves!B32,0)</f>
        <v>#N/A</v>
      </c>
      <c r="D32" s="138" t="e">
        <f t="array" aca="1" ref="D32:K32" ca="1">OFFSET(Bowling!$CG$4,BowlAves!B32,0,1,8)</f>
        <v>#N/A</v>
      </c>
      <c r="E32" s="74" t="e">
        <f ca="1"/>
        <v>#N/A</v>
      </c>
      <c r="F32" s="74" t="e">
        <f ca="1"/>
        <v>#N/A</v>
      </c>
      <c r="G32" s="74" t="e">
        <f ca="1"/>
        <v>#N/A</v>
      </c>
      <c r="H32" s="79" t="e">
        <f ca="1"/>
        <v>#N/A</v>
      </c>
      <c r="I32" s="139" t="e">
        <f ca="1"/>
        <v>#N/A</v>
      </c>
      <c r="J32" s="139" t="e">
        <f ca="1"/>
        <v>#N/A</v>
      </c>
      <c r="K32" s="140" t="e">
        <f ca="1"/>
        <v>#N/A</v>
      </c>
      <c r="L32" s="140" t="e">
        <f t="shared" ca="1" si="0"/>
        <v>#N/A</v>
      </c>
      <c r="M32" s="140" t="e">
        <f t="shared" ca="1" si="1"/>
        <v>#N/A</v>
      </c>
      <c r="N32" s="70" t="e">
        <f t="shared" ca="1" si="2"/>
        <v>#N/A</v>
      </c>
    </row>
    <row r="33" spans="1:18" x14ac:dyDescent="0.15">
      <c r="A33" s="70">
        <v>32</v>
      </c>
      <c r="B33" s="70" t="e">
        <f>MATCH(A33,Bowling!$CS$5:$CS$34,0)</f>
        <v>#N/A</v>
      </c>
      <c r="C33" s="70" t="e">
        <f ca="1">OFFSET(Bowling!$B$4,BowlAves!B33,0)</f>
        <v>#N/A</v>
      </c>
      <c r="D33" s="138" t="e">
        <f t="array" aca="1" ref="D33:K33" ca="1">OFFSET(Bowling!$CG$4,BowlAves!B33,0,1,8)</f>
        <v>#N/A</v>
      </c>
      <c r="E33" s="74" t="e">
        <f ca="1"/>
        <v>#N/A</v>
      </c>
      <c r="F33" s="74" t="e">
        <f ca="1"/>
        <v>#N/A</v>
      </c>
      <c r="G33" s="74" t="e">
        <f ca="1"/>
        <v>#N/A</v>
      </c>
      <c r="H33" s="79" t="e">
        <f ca="1"/>
        <v>#N/A</v>
      </c>
      <c r="I33" s="139" t="e">
        <f ca="1"/>
        <v>#N/A</v>
      </c>
      <c r="J33" s="139" t="e">
        <f ca="1"/>
        <v>#N/A</v>
      </c>
      <c r="K33" s="140" t="e">
        <f ca="1"/>
        <v>#N/A</v>
      </c>
      <c r="L33" s="140" t="e">
        <f t="shared" ca="1" si="0"/>
        <v>#N/A</v>
      </c>
      <c r="M33" s="140" t="e">
        <f t="shared" ca="1" si="1"/>
        <v>#N/A</v>
      </c>
      <c r="N33" s="70" t="e">
        <f t="shared" ca="1" si="2"/>
        <v>#N/A</v>
      </c>
    </row>
    <row r="34" spans="1:18" x14ac:dyDescent="0.15">
      <c r="A34" s="70">
        <v>33</v>
      </c>
      <c r="B34" s="70" t="e">
        <f>MATCH(A34,Bowling!$CS$5:$CS$34,0)</f>
        <v>#N/A</v>
      </c>
      <c r="C34" s="70" t="e">
        <f ca="1">OFFSET(Bowling!$B$4,BowlAves!B34,0)</f>
        <v>#N/A</v>
      </c>
      <c r="D34" s="138" t="e">
        <f t="array" aca="1" ref="D34:K34" ca="1">OFFSET(Bowling!$CG$4,BowlAves!B34,0,1,8)</f>
        <v>#N/A</v>
      </c>
      <c r="E34" s="74" t="e">
        <f ca="1"/>
        <v>#N/A</v>
      </c>
      <c r="F34" s="74" t="e">
        <f ca="1"/>
        <v>#N/A</v>
      </c>
      <c r="G34" s="74" t="e">
        <f ca="1"/>
        <v>#N/A</v>
      </c>
      <c r="H34" s="79" t="e">
        <f ca="1"/>
        <v>#N/A</v>
      </c>
      <c r="I34" s="139" t="e">
        <f ca="1"/>
        <v>#N/A</v>
      </c>
      <c r="J34" s="139" t="e">
        <f ca="1"/>
        <v>#N/A</v>
      </c>
      <c r="K34" s="140" t="e">
        <f ca="1"/>
        <v>#N/A</v>
      </c>
      <c r="L34" s="140" t="e">
        <f t="shared" ca="1" si="0"/>
        <v>#N/A</v>
      </c>
      <c r="M34" s="140" t="e">
        <f t="shared" ca="1" si="1"/>
        <v>#N/A</v>
      </c>
      <c r="N34" s="70" t="e">
        <f t="shared" ca="1" si="2"/>
        <v>#N/A</v>
      </c>
    </row>
    <row r="35" spans="1:18" x14ac:dyDescent="0.15">
      <c r="A35" s="70">
        <v>34</v>
      </c>
      <c r="B35" s="70" t="e">
        <f>MATCH(A35,Bowling!$CS$5:$CS$34,0)</f>
        <v>#N/A</v>
      </c>
      <c r="C35" s="70" t="e">
        <f ca="1">OFFSET(Bowling!$B$4,BowlAves!B35,0)</f>
        <v>#N/A</v>
      </c>
      <c r="D35" s="138" t="e">
        <f t="array" aca="1" ref="D35:K35" ca="1">OFFSET(Bowling!$CG$4,BowlAves!B35,0,1,8)</f>
        <v>#N/A</v>
      </c>
      <c r="E35" s="74" t="e">
        <f ca="1"/>
        <v>#N/A</v>
      </c>
      <c r="F35" s="74" t="e">
        <f ca="1"/>
        <v>#N/A</v>
      </c>
      <c r="G35" s="74" t="e">
        <f ca="1"/>
        <v>#N/A</v>
      </c>
      <c r="H35" s="79" t="e">
        <f ca="1"/>
        <v>#N/A</v>
      </c>
      <c r="I35" s="139" t="e">
        <f ca="1"/>
        <v>#N/A</v>
      </c>
      <c r="J35" s="139" t="e">
        <f ca="1"/>
        <v>#N/A</v>
      </c>
      <c r="K35" s="140" t="e">
        <f ca="1"/>
        <v>#N/A</v>
      </c>
      <c r="L35" s="140" t="e">
        <f t="shared" ca="1" si="0"/>
        <v>#N/A</v>
      </c>
      <c r="M35" s="140" t="e">
        <f t="shared" ca="1" si="1"/>
        <v>#N/A</v>
      </c>
      <c r="N35" s="70" t="e">
        <f t="shared" ca="1" si="2"/>
        <v>#N/A</v>
      </c>
    </row>
    <row r="36" spans="1:18" x14ac:dyDescent="0.15">
      <c r="A36" s="70">
        <v>35</v>
      </c>
      <c r="B36" s="70" t="e">
        <f>MATCH(A36,Bowling!$CS$5:$CS$34,0)</f>
        <v>#N/A</v>
      </c>
      <c r="C36" s="70" t="e">
        <f ca="1">OFFSET(Bowling!$B$4,BowlAves!B36,0)</f>
        <v>#N/A</v>
      </c>
      <c r="D36" s="138" t="e">
        <f t="array" aca="1" ref="D36:K36" ca="1">OFFSET(Bowling!$CG$4,BowlAves!B36,0,1,8)</f>
        <v>#N/A</v>
      </c>
      <c r="E36" s="74" t="e">
        <f ca="1"/>
        <v>#N/A</v>
      </c>
      <c r="F36" s="74" t="e">
        <f ca="1"/>
        <v>#N/A</v>
      </c>
      <c r="G36" s="74" t="e">
        <f ca="1"/>
        <v>#N/A</v>
      </c>
      <c r="H36" s="79" t="e">
        <f ca="1"/>
        <v>#N/A</v>
      </c>
      <c r="I36" s="139" t="e">
        <f ca="1"/>
        <v>#N/A</v>
      </c>
      <c r="J36" s="139" t="e">
        <f ca="1"/>
        <v>#N/A</v>
      </c>
      <c r="K36" s="140" t="e">
        <f ca="1"/>
        <v>#N/A</v>
      </c>
      <c r="L36" s="140" t="e">
        <f t="shared" ca="1" si="0"/>
        <v>#N/A</v>
      </c>
      <c r="M36" s="140" t="e">
        <f t="shared" ca="1" si="1"/>
        <v>#N/A</v>
      </c>
      <c r="N36" s="70" t="e">
        <f t="shared" ca="1" si="2"/>
        <v>#N/A</v>
      </c>
    </row>
    <row r="37" spans="1:18" x14ac:dyDescent="0.15">
      <c r="A37" s="70">
        <v>36</v>
      </c>
      <c r="B37" s="70" t="e">
        <f>MATCH(A37,Bowling!$CS$5:$CS$34,0)</f>
        <v>#N/A</v>
      </c>
      <c r="C37" s="70" t="e">
        <f ca="1">OFFSET(Bowling!$B$4,BowlAves!B37,0)</f>
        <v>#N/A</v>
      </c>
      <c r="D37" s="138" t="e">
        <f t="array" aca="1" ref="D37:K37" ca="1">OFFSET(Bowling!$CG$4,BowlAves!B37,0,1,8)</f>
        <v>#N/A</v>
      </c>
      <c r="E37" s="74" t="e">
        <f ca="1"/>
        <v>#N/A</v>
      </c>
      <c r="F37" s="74" t="e">
        <f ca="1"/>
        <v>#N/A</v>
      </c>
      <c r="G37" s="74" t="e">
        <f ca="1"/>
        <v>#N/A</v>
      </c>
      <c r="H37" s="79" t="e">
        <f ca="1"/>
        <v>#N/A</v>
      </c>
      <c r="I37" s="139" t="e">
        <f ca="1"/>
        <v>#N/A</v>
      </c>
      <c r="J37" s="139" t="e">
        <f ca="1"/>
        <v>#N/A</v>
      </c>
      <c r="K37" s="140" t="e">
        <f ca="1"/>
        <v>#N/A</v>
      </c>
      <c r="L37" s="140" t="e">
        <f t="shared" ca="1" si="0"/>
        <v>#N/A</v>
      </c>
      <c r="M37" s="140" t="e">
        <f t="shared" ca="1" si="1"/>
        <v>#N/A</v>
      </c>
      <c r="N37" s="70" t="e">
        <f t="shared" ca="1" si="2"/>
        <v>#N/A</v>
      </c>
    </row>
    <row r="38" spans="1:18" x14ac:dyDescent="0.15">
      <c r="A38" s="70">
        <v>37</v>
      </c>
      <c r="B38" s="70" t="e">
        <f>MATCH(A38,Bowling!$CS$5:$CS$34,0)</f>
        <v>#N/A</v>
      </c>
      <c r="C38" s="70" t="e">
        <f ca="1">OFFSET(Bowling!$B$4,BowlAves!B38,0)</f>
        <v>#N/A</v>
      </c>
      <c r="D38" s="138" t="e">
        <f t="array" aca="1" ref="D38:K38" ca="1">OFFSET(Bowling!$CG$4,BowlAves!B38,0,1,8)</f>
        <v>#N/A</v>
      </c>
      <c r="E38" s="74" t="e">
        <f ca="1"/>
        <v>#N/A</v>
      </c>
      <c r="F38" s="74" t="e">
        <f ca="1"/>
        <v>#N/A</v>
      </c>
      <c r="G38" s="74" t="e">
        <f ca="1"/>
        <v>#N/A</v>
      </c>
      <c r="H38" s="79" t="e">
        <f ca="1"/>
        <v>#N/A</v>
      </c>
      <c r="I38" s="139" t="e">
        <f ca="1"/>
        <v>#N/A</v>
      </c>
      <c r="J38" s="139" t="e">
        <f ca="1"/>
        <v>#N/A</v>
      </c>
      <c r="K38" s="140" t="e">
        <f ca="1"/>
        <v>#N/A</v>
      </c>
      <c r="L38" s="140" t="e">
        <f t="shared" ca="1" si="0"/>
        <v>#N/A</v>
      </c>
      <c r="M38" s="140" t="e">
        <f t="shared" ca="1" si="1"/>
        <v>#N/A</v>
      </c>
      <c r="N38" s="70" t="e">
        <f t="shared" ca="1" si="2"/>
        <v>#N/A</v>
      </c>
    </row>
    <row r="39" spans="1:18" x14ac:dyDescent="0.15">
      <c r="A39" s="70">
        <v>38</v>
      </c>
      <c r="B39" s="70" t="e">
        <f>MATCH(A39,Bowling!$CS$5:$CS$34,0)</f>
        <v>#N/A</v>
      </c>
      <c r="C39" s="70" t="e">
        <f ca="1">OFFSET(Bowling!$B$4,BowlAves!B39,0)</f>
        <v>#N/A</v>
      </c>
      <c r="D39" s="138" t="e">
        <f t="array" aca="1" ref="D39:K39" ca="1">OFFSET(Bowling!$CG$4,BowlAves!B39,0,1,8)</f>
        <v>#N/A</v>
      </c>
      <c r="E39" s="74" t="e">
        <f ca="1"/>
        <v>#N/A</v>
      </c>
      <c r="F39" s="74" t="e">
        <f ca="1"/>
        <v>#N/A</v>
      </c>
      <c r="G39" s="74" t="e">
        <f ca="1"/>
        <v>#N/A</v>
      </c>
      <c r="H39" s="79" t="e">
        <f ca="1"/>
        <v>#N/A</v>
      </c>
      <c r="I39" s="139" t="e">
        <f ca="1"/>
        <v>#N/A</v>
      </c>
      <c r="J39" s="139" t="e">
        <f ca="1"/>
        <v>#N/A</v>
      </c>
      <c r="K39" s="140" t="e">
        <f ca="1"/>
        <v>#N/A</v>
      </c>
      <c r="L39" s="140" t="e">
        <f t="shared" ca="1" si="0"/>
        <v>#N/A</v>
      </c>
      <c r="M39" s="140" t="e">
        <f t="shared" ca="1" si="1"/>
        <v>#N/A</v>
      </c>
      <c r="N39" s="70" t="e">
        <f t="shared" ca="1" si="2"/>
        <v>#N/A</v>
      </c>
    </row>
    <row r="40" spans="1:18" x14ac:dyDescent="0.15">
      <c r="A40" s="70">
        <v>39</v>
      </c>
      <c r="B40" s="70" t="e">
        <f>MATCH(A40,Bowling!$CS$5:$CS$34,0)</f>
        <v>#N/A</v>
      </c>
      <c r="C40" s="70" t="e">
        <f ca="1">OFFSET(Bowling!$B$4,BowlAves!B40,0)</f>
        <v>#N/A</v>
      </c>
      <c r="D40" s="138" t="e">
        <f t="array" aca="1" ref="D40:K40" ca="1">OFFSET(Bowling!$CG$4,BowlAves!B40,0,1,8)</f>
        <v>#N/A</v>
      </c>
      <c r="E40" s="74" t="e">
        <f ca="1"/>
        <v>#N/A</v>
      </c>
      <c r="F40" s="74" t="e">
        <f ca="1"/>
        <v>#N/A</v>
      </c>
      <c r="G40" s="74" t="e">
        <f ca="1"/>
        <v>#N/A</v>
      </c>
      <c r="H40" s="79" t="e">
        <f ca="1"/>
        <v>#N/A</v>
      </c>
      <c r="I40" s="139" t="e">
        <f ca="1"/>
        <v>#N/A</v>
      </c>
      <c r="J40" s="139" t="e">
        <f ca="1"/>
        <v>#N/A</v>
      </c>
      <c r="K40" s="140" t="e">
        <f ca="1"/>
        <v>#N/A</v>
      </c>
      <c r="L40" s="140" t="e">
        <f t="shared" ca="1" si="0"/>
        <v>#N/A</v>
      </c>
      <c r="M40" s="140" t="e">
        <f t="shared" ca="1" si="1"/>
        <v>#N/A</v>
      </c>
      <c r="N40" s="70" t="e">
        <f t="shared" ca="1" si="2"/>
        <v>#N/A</v>
      </c>
    </row>
    <row r="41" spans="1:18" x14ac:dyDescent="0.15">
      <c r="A41" s="70">
        <v>40</v>
      </c>
      <c r="B41" s="70" t="e">
        <f>MATCH(A41,Bowling!$CS$5:$CS$34,0)</f>
        <v>#N/A</v>
      </c>
      <c r="C41" s="70" t="e">
        <f ca="1">OFFSET(Bowling!$B$4,BowlAves!B41,0)</f>
        <v>#N/A</v>
      </c>
      <c r="D41" s="138" t="e">
        <f t="array" aca="1" ref="D41:K41" ca="1">OFFSET(Bowling!$CG$4,BowlAves!B41,0,1,8)</f>
        <v>#N/A</v>
      </c>
      <c r="E41" s="74" t="e">
        <f ca="1"/>
        <v>#N/A</v>
      </c>
      <c r="F41" s="74" t="e">
        <f ca="1"/>
        <v>#N/A</v>
      </c>
      <c r="G41" s="74" t="e">
        <f ca="1"/>
        <v>#N/A</v>
      </c>
      <c r="H41" s="79" t="e">
        <f ca="1"/>
        <v>#N/A</v>
      </c>
      <c r="I41" s="139" t="e">
        <f ca="1"/>
        <v>#N/A</v>
      </c>
      <c r="J41" s="139" t="e">
        <f ca="1"/>
        <v>#N/A</v>
      </c>
      <c r="K41" s="140" t="e">
        <f ca="1"/>
        <v>#N/A</v>
      </c>
      <c r="L41" s="140" t="e">
        <f t="shared" ca="1" si="0"/>
        <v>#N/A</v>
      </c>
      <c r="M41" s="140" t="e">
        <f t="shared" ca="1" si="1"/>
        <v>#N/A</v>
      </c>
      <c r="N41" s="70" t="e">
        <f t="shared" ca="1" si="2"/>
        <v>#N/A</v>
      </c>
      <c r="R41" s="70" t="s">
        <v>241</v>
      </c>
    </row>
    <row r="42" spans="1:18" x14ac:dyDescent="0.15">
      <c r="A42" s="70">
        <v>41</v>
      </c>
      <c r="B42" s="70" t="e">
        <f>MATCH(A42,Bowling!$CS$5:$CS$34,0)</f>
        <v>#N/A</v>
      </c>
      <c r="C42" s="70" t="e">
        <f ca="1">OFFSET(Bowling!$B$4,BowlAves!B42,0)</f>
        <v>#N/A</v>
      </c>
      <c r="D42" s="138" t="e">
        <f t="array" aca="1" ref="D42:K42" ca="1">OFFSET(Bowling!$CG$4,BowlAves!B42,0,1,8)</f>
        <v>#N/A</v>
      </c>
      <c r="E42" s="74" t="e">
        <f ca="1"/>
        <v>#N/A</v>
      </c>
      <c r="F42" s="74" t="e">
        <f ca="1"/>
        <v>#N/A</v>
      </c>
      <c r="G42" s="74" t="e">
        <f ca="1"/>
        <v>#N/A</v>
      </c>
      <c r="H42" s="79" t="e">
        <f ca="1"/>
        <v>#N/A</v>
      </c>
      <c r="I42" s="139" t="e">
        <f ca="1"/>
        <v>#N/A</v>
      </c>
      <c r="J42" s="139" t="e">
        <f ca="1"/>
        <v>#N/A</v>
      </c>
      <c r="K42" s="140" t="e">
        <f ca="1"/>
        <v>#N/A</v>
      </c>
      <c r="L42" s="140" t="e">
        <f t="shared" ca="1" si="0"/>
        <v>#N/A</v>
      </c>
      <c r="M42" s="140" t="e">
        <f t="shared" ca="1" si="1"/>
        <v>#N/A</v>
      </c>
      <c r="N42" s="70" t="e">
        <f t="shared" ca="1" si="2"/>
        <v>#N/A</v>
      </c>
      <c r="R42" s="70" t="s">
        <v>241</v>
      </c>
    </row>
    <row r="43" spans="1:18" x14ac:dyDescent="0.15">
      <c r="A43" s="70">
        <v>42</v>
      </c>
      <c r="B43" s="70" t="e">
        <f>MATCH(A43,Bowling!$CS$5:$CS$34,0)</f>
        <v>#N/A</v>
      </c>
      <c r="C43" s="70" t="e">
        <f ca="1">OFFSET(Bowling!$B$4,BowlAves!B43,0)</f>
        <v>#N/A</v>
      </c>
      <c r="D43" s="138" t="e">
        <f t="array" aca="1" ref="D43:K43" ca="1">OFFSET(Bowling!$CG$4,BowlAves!B43,0,1,8)</f>
        <v>#N/A</v>
      </c>
      <c r="E43" s="74" t="e">
        <f ca="1"/>
        <v>#N/A</v>
      </c>
      <c r="F43" s="74" t="e">
        <f ca="1"/>
        <v>#N/A</v>
      </c>
      <c r="G43" s="74" t="e">
        <f ca="1"/>
        <v>#N/A</v>
      </c>
      <c r="H43" s="79" t="e">
        <f ca="1"/>
        <v>#N/A</v>
      </c>
      <c r="I43" s="139" t="e">
        <f ca="1"/>
        <v>#N/A</v>
      </c>
      <c r="J43" s="139" t="e">
        <f ca="1"/>
        <v>#N/A</v>
      </c>
      <c r="K43" s="140" t="e">
        <f ca="1"/>
        <v>#N/A</v>
      </c>
      <c r="L43" s="140" t="e">
        <f t="shared" ca="1" si="0"/>
        <v>#N/A</v>
      </c>
      <c r="M43" s="140" t="e">
        <f t="shared" ca="1" si="1"/>
        <v>#N/A</v>
      </c>
      <c r="N43" s="70" t="e">
        <f t="shared" ca="1" si="2"/>
        <v>#N/A</v>
      </c>
    </row>
    <row r="44" spans="1:18" x14ac:dyDescent="0.15">
      <c r="A44" s="70">
        <v>43</v>
      </c>
      <c r="B44" s="70" t="e">
        <f>MATCH(A44,Bowling!$CS$5:$CS$34,0)</f>
        <v>#N/A</v>
      </c>
      <c r="C44" s="70" t="e">
        <f ca="1">OFFSET(Bowling!$B$4,BowlAves!B44,0)</f>
        <v>#N/A</v>
      </c>
      <c r="D44" s="138" t="e">
        <f t="array" aca="1" ref="D44:K44" ca="1">OFFSET(Bowling!$CG$4,BowlAves!B44,0,1,8)</f>
        <v>#N/A</v>
      </c>
      <c r="E44" s="74" t="e">
        <f ca="1"/>
        <v>#N/A</v>
      </c>
      <c r="F44" s="74" t="e">
        <f ca="1"/>
        <v>#N/A</v>
      </c>
      <c r="G44" s="74" t="e">
        <f ca="1"/>
        <v>#N/A</v>
      </c>
      <c r="H44" s="79" t="e">
        <f ca="1"/>
        <v>#N/A</v>
      </c>
      <c r="I44" s="139" t="e">
        <f ca="1"/>
        <v>#N/A</v>
      </c>
      <c r="J44" s="139" t="e">
        <f ca="1"/>
        <v>#N/A</v>
      </c>
      <c r="K44" s="140" t="e">
        <f ca="1"/>
        <v>#N/A</v>
      </c>
      <c r="L44" s="140" t="e">
        <f t="shared" ca="1" si="0"/>
        <v>#N/A</v>
      </c>
      <c r="M44" s="140" t="e">
        <f t="shared" ca="1" si="1"/>
        <v>#N/A</v>
      </c>
      <c r="N44" s="70" t="e">
        <f t="shared" ca="1" si="2"/>
        <v>#N/A</v>
      </c>
    </row>
    <row r="45" spans="1:18" x14ac:dyDescent="0.15">
      <c r="A45" s="70">
        <v>44</v>
      </c>
      <c r="B45" s="70" t="e">
        <f>MATCH(A45,Bowling!$CS$5:$CS$34,0)</f>
        <v>#N/A</v>
      </c>
      <c r="C45" s="70" t="e">
        <f ca="1">OFFSET(Bowling!$B$4,BowlAves!B45,0)</f>
        <v>#N/A</v>
      </c>
      <c r="D45" s="138" t="e">
        <f t="array" aca="1" ref="D45:K45" ca="1">OFFSET(Bowling!$CG$4,BowlAves!B45,0,1,8)</f>
        <v>#N/A</v>
      </c>
      <c r="E45" s="74" t="e">
        <f ca="1"/>
        <v>#N/A</v>
      </c>
      <c r="F45" s="74" t="e">
        <f ca="1"/>
        <v>#N/A</v>
      </c>
      <c r="G45" s="74" t="e">
        <f ca="1"/>
        <v>#N/A</v>
      </c>
      <c r="H45" s="79" t="e">
        <f ca="1"/>
        <v>#N/A</v>
      </c>
      <c r="I45" s="139" t="e">
        <f ca="1"/>
        <v>#N/A</v>
      </c>
      <c r="J45" s="139" t="e">
        <f ca="1"/>
        <v>#N/A</v>
      </c>
      <c r="K45" s="140" t="e">
        <f ca="1"/>
        <v>#N/A</v>
      </c>
      <c r="L45" s="140" t="e">
        <f t="shared" ca="1" si="0"/>
        <v>#N/A</v>
      </c>
      <c r="M45" s="140" t="e">
        <f t="shared" ca="1" si="1"/>
        <v>#N/A</v>
      </c>
      <c r="N45" s="70" t="e">
        <f t="shared" ca="1" si="2"/>
        <v>#N/A</v>
      </c>
    </row>
    <row r="46" spans="1:18" x14ac:dyDescent="0.15">
      <c r="A46" s="70">
        <v>45</v>
      </c>
      <c r="B46" s="70" t="e">
        <f>MATCH(A46,Bowling!$CS$5:$CS$34,0)</f>
        <v>#N/A</v>
      </c>
      <c r="C46" s="70" t="e">
        <f ca="1">OFFSET(Bowling!$B$4,BowlAves!B46,0)</f>
        <v>#N/A</v>
      </c>
      <c r="D46" s="138" t="e">
        <f t="array" aca="1" ref="D46:K46" ca="1">OFFSET(Bowling!$CG$4,BowlAves!B46,0,1,8)</f>
        <v>#N/A</v>
      </c>
      <c r="E46" s="74" t="e">
        <f ca="1"/>
        <v>#N/A</v>
      </c>
      <c r="F46" s="74" t="e">
        <f ca="1"/>
        <v>#N/A</v>
      </c>
      <c r="G46" s="74" t="e">
        <f ca="1"/>
        <v>#N/A</v>
      </c>
      <c r="H46" s="79" t="e">
        <f ca="1"/>
        <v>#N/A</v>
      </c>
      <c r="I46" s="139" t="e">
        <f ca="1"/>
        <v>#N/A</v>
      </c>
      <c r="J46" s="139" t="e">
        <f ca="1"/>
        <v>#N/A</v>
      </c>
      <c r="K46" s="140" t="e">
        <f ca="1"/>
        <v>#N/A</v>
      </c>
      <c r="L46" s="140" t="e">
        <f t="shared" ca="1" si="0"/>
        <v>#N/A</v>
      </c>
      <c r="M46" s="140" t="e">
        <f t="shared" ca="1" si="1"/>
        <v>#N/A</v>
      </c>
      <c r="N46" s="70" t="e">
        <f t="shared" ca="1" si="2"/>
        <v>#N/A</v>
      </c>
    </row>
    <row r="47" spans="1:18" x14ac:dyDescent="0.15">
      <c r="A47" s="70">
        <v>46</v>
      </c>
      <c r="B47" s="70" t="e">
        <f>MATCH(A47,Bowling!$CS$5:$CS$34,0)</f>
        <v>#N/A</v>
      </c>
      <c r="C47" s="70" t="e">
        <f ca="1">OFFSET(Bowling!$B$4,BowlAves!B47,0)</f>
        <v>#N/A</v>
      </c>
      <c r="D47" s="138" t="e">
        <f t="array" aca="1" ref="D47:K47" ca="1">OFFSET(Bowling!$CG$4,BowlAves!B47,0,1,8)</f>
        <v>#N/A</v>
      </c>
      <c r="E47" s="74" t="e">
        <f ca="1"/>
        <v>#N/A</v>
      </c>
      <c r="F47" s="74" t="e">
        <f ca="1"/>
        <v>#N/A</v>
      </c>
      <c r="G47" s="74" t="e">
        <f ca="1"/>
        <v>#N/A</v>
      </c>
      <c r="H47" s="79" t="e">
        <f ca="1"/>
        <v>#N/A</v>
      </c>
      <c r="I47" s="139" t="e">
        <f ca="1"/>
        <v>#N/A</v>
      </c>
      <c r="J47" s="139" t="e">
        <f ca="1"/>
        <v>#N/A</v>
      </c>
      <c r="K47" s="140" t="e">
        <f ca="1"/>
        <v>#N/A</v>
      </c>
      <c r="L47" s="140" t="e">
        <f t="shared" ca="1" si="0"/>
        <v>#N/A</v>
      </c>
      <c r="M47" s="140" t="e">
        <f t="shared" ca="1" si="1"/>
        <v>#N/A</v>
      </c>
      <c r="N47" s="70" t="e">
        <f t="shared" ca="1" si="2"/>
        <v>#N/A</v>
      </c>
    </row>
    <row r="48" spans="1:18" x14ac:dyDescent="0.15">
      <c r="A48" s="70">
        <v>47</v>
      </c>
      <c r="B48" s="70" t="e">
        <f>MATCH(A48,Bowling!$CS$5:$CS$34,0)</f>
        <v>#N/A</v>
      </c>
      <c r="C48" s="70" t="e">
        <f ca="1">OFFSET(Bowling!$B$4,BowlAves!B48,0)</f>
        <v>#N/A</v>
      </c>
      <c r="D48" s="138" t="e">
        <f t="array" aca="1" ref="D48:K48" ca="1">OFFSET(Bowling!$CG$4,BowlAves!B48,0,1,8)</f>
        <v>#N/A</v>
      </c>
      <c r="E48" s="74" t="e">
        <f ca="1"/>
        <v>#N/A</v>
      </c>
      <c r="F48" s="74" t="e">
        <f ca="1"/>
        <v>#N/A</v>
      </c>
      <c r="G48" s="74" t="e">
        <f ca="1"/>
        <v>#N/A</v>
      </c>
      <c r="H48" s="79" t="e">
        <f ca="1"/>
        <v>#N/A</v>
      </c>
      <c r="I48" s="139" t="e">
        <f ca="1"/>
        <v>#N/A</v>
      </c>
      <c r="J48" s="139" t="e">
        <f ca="1"/>
        <v>#N/A</v>
      </c>
      <c r="K48" s="140" t="e">
        <f ca="1"/>
        <v>#N/A</v>
      </c>
      <c r="L48" s="140" t="e">
        <f t="shared" ca="1" si="0"/>
        <v>#N/A</v>
      </c>
      <c r="M48" s="140" t="e">
        <f t="shared" ca="1" si="1"/>
        <v>#N/A</v>
      </c>
      <c r="N48" s="70" t="e">
        <f t="shared" ca="1" si="2"/>
        <v>#N/A</v>
      </c>
    </row>
    <row r="49" spans="1:14" x14ac:dyDescent="0.15">
      <c r="A49" s="70">
        <v>48</v>
      </c>
      <c r="B49" s="70" t="e">
        <f>MATCH(A49,Bowling!$CS$5:$CS$34,0)</f>
        <v>#N/A</v>
      </c>
      <c r="C49" s="70" t="e">
        <f ca="1">OFFSET(Bowling!$B$4,BowlAves!B49,0)</f>
        <v>#N/A</v>
      </c>
      <c r="D49" s="138" t="e">
        <f t="array" aca="1" ref="D49:K49" ca="1">OFFSET(Bowling!$CG$4,BowlAves!B49,0,1,8)</f>
        <v>#N/A</v>
      </c>
      <c r="E49" s="74" t="e">
        <f ca="1"/>
        <v>#N/A</v>
      </c>
      <c r="F49" s="74" t="e">
        <f ca="1"/>
        <v>#N/A</v>
      </c>
      <c r="G49" s="74" t="e">
        <f ca="1"/>
        <v>#N/A</v>
      </c>
      <c r="H49" s="79" t="e">
        <f ca="1"/>
        <v>#N/A</v>
      </c>
      <c r="I49" s="139" t="e">
        <f ca="1"/>
        <v>#N/A</v>
      </c>
      <c r="J49" s="139" t="e">
        <f ca="1"/>
        <v>#N/A</v>
      </c>
      <c r="K49" s="140" t="e">
        <f ca="1"/>
        <v>#N/A</v>
      </c>
      <c r="L49" s="140" t="e">
        <f t="shared" ca="1" si="0"/>
        <v>#N/A</v>
      </c>
      <c r="M49" s="140" t="e">
        <f t="shared" ca="1" si="1"/>
        <v>#N/A</v>
      </c>
      <c r="N49" s="70" t="e">
        <f t="shared" ca="1" si="2"/>
        <v>#N/A</v>
      </c>
    </row>
    <row r="50" spans="1:14" x14ac:dyDescent="0.15">
      <c r="A50" s="70">
        <v>49</v>
      </c>
      <c r="B50" s="70" t="e">
        <f>MATCH(A50,Bowling!$CS$5:$CS$34,0)</f>
        <v>#N/A</v>
      </c>
      <c r="C50" s="70" t="e">
        <f ca="1">OFFSET(Bowling!$B$4,BowlAves!B50,0)</f>
        <v>#N/A</v>
      </c>
      <c r="D50" s="138" t="e">
        <f t="array" aca="1" ref="D50:K50" ca="1">OFFSET(Bowling!$CG$4,BowlAves!B50,0,1,8)</f>
        <v>#N/A</v>
      </c>
      <c r="E50" s="74" t="e">
        <f ca="1"/>
        <v>#N/A</v>
      </c>
      <c r="F50" s="74" t="e">
        <f ca="1"/>
        <v>#N/A</v>
      </c>
      <c r="G50" s="74" t="e">
        <f ca="1"/>
        <v>#N/A</v>
      </c>
      <c r="H50" s="79" t="e">
        <f ca="1"/>
        <v>#N/A</v>
      </c>
      <c r="I50" s="139" t="e">
        <f ca="1"/>
        <v>#N/A</v>
      </c>
      <c r="J50" s="139" t="e">
        <f ca="1"/>
        <v>#N/A</v>
      </c>
      <c r="K50" s="140" t="e">
        <f ca="1"/>
        <v>#N/A</v>
      </c>
      <c r="L50" s="140" t="e">
        <f t="shared" ca="1" si="0"/>
        <v>#N/A</v>
      </c>
      <c r="M50" s="140" t="e">
        <f t="shared" ca="1" si="1"/>
        <v>#N/A</v>
      </c>
      <c r="N50" s="70" t="e">
        <f t="shared" ca="1" si="2"/>
        <v>#N/A</v>
      </c>
    </row>
    <row r="51" spans="1:14" x14ac:dyDescent="0.15">
      <c r="A51" s="70">
        <v>50</v>
      </c>
      <c r="B51" s="70" t="e">
        <f>MATCH(A51,Bowling!$CS$5:$CS$34,0)</f>
        <v>#N/A</v>
      </c>
      <c r="C51" s="70" t="e">
        <f ca="1">OFFSET(Bowling!$B$4,BowlAves!B51,0)</f>
        <v>#N/A</v>
      </c>
      <c r="D51" s="138" t="e">
        <f t="array" aca="1" ref="D51:K51" ca="1">OFFSET(Bowling!$CG$4,BowlAves!B51,0,1,8)</f>
        <v>#N/A</v>
      </c>
      <c r="E51" s="74" t="e">
        <f ca="1"/>
        <v>#N/A</v>
      </c>
      <c r="F51" s="74" t="e">
        <f ca="1"/>
        <v>#N/A</v>
      </c>
      <c r="G51" s="74" t="e">
        <f ca="1"/>
        <v>#N/A</v>
      </c>
      <c r="H51" s="79" t="e">
        <f ca="1"/>
        <v>#N/A</v>
      </c>
      <c r="I51" s="139" t="e">
        <f ca="1"/>
        <v>#N/A</v>
      </c>
      <c r="J51" s="139" t="e">
        <f ca="1"/>
        <v>#N/A</v>
      </c>
      <c r="K51" s="140" t="e">
        <f ca="1"/>
        <v>#N/A</v>
      </c>
      <c r="L51" s="140" t="e">
        <f t="shared" ca="1" si="0"/>
        <v>#N/A</v>
      </c>
      <c r="M51" s="140" t="e">
        <f t="shared" ca="1" si="1"/>
        <v>#N/A</v>
      </c>
      <c r="N51" s="70" t="e">
        <f t="shared" ca="1" si="2"/>
        <v>#N/A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59"/>
  <sheetViews>
    <sheetView workbookViewId="0">
      <selection activeCell="O39" sqref="O39"/>
    </sheetView>
  </sheetViews>
  <sheetFormatPr defaultRowHeight="10.5" x14ac:dyDescent="0.15"/>
  <cols>
    <col min="1" max="1" width="4.28515625" bestFit="1" customWidth="1"/>
    <col min="2" max="2" width="8.5703125" bestFit="1" customWidth="1"/>
    <col min="3" max="3" width="10.140625" bestFit="1" customWidth="1"/>
    <col min="4" max="4" width="10.42578125" bestFit="1" customWidth="1"/>
    <col min="7" max="7" width="13.7109375" bestFit="1" customWidth="1"/>
    <col min="8" max="12" width="8.42578125" customWidth="1"/>
    <col min="13" max="13" width="10.5703125" bestFit="1" customWidth="1"/>
  </cols>
  <sheetData>
    <row r="1" spans="1:13" x14ac:dyDescent="0.15">
      <c r="A1" t="s">
        <v>276</v>
      </c>
      <c r="F1" t="s">
        <v>277</v>
      </c>
    </row>
    <row r="2" spans="1:13" x14ac:dyDescent="0.15">
      <c r="A2">
        <v>51</v>
      </c>
      <c r="B2" t="s">
        <v>49</v>
      </c>
      <c r="C2" t="s">
        <v>251</v>
      </c>
      <c r="D2" s="136">
        <v>39201</v>
      </c>
      <c r="F2">
        <v>1</v>
      </c>
    </row>
    <row r="3" spans="1:13" x14ac:dyDescent="0.15">
      <c r="A3">
        <v>58</v>
      </c>
      <c r="B3" t="s">
        <v>194</v>
      </c>
      <c r="C3" t="s">
        <v>339</v>
      </c>
      <c r="D3" s="136">
        <v>39231</v>
      </c>
      <c r="F3">
        <v>2</v>
      </c>
    </row>
    <row r="4" spans="1:13" x14ac:dyDescent="0.15">
      <c r="A4">
        <v>50</v>
      </c>
      <c r="B4" t="s">
        <v>542</v>
      </c>
      <c r="C4" t="s">
        <v>382</v>
      </c>
      <c r="D4" s="136">
        <v>39243</v>
      </c>
      <c r="F4">
        <v>3</v>
      </c>
      <c r="G4">
        <v>48</v>
      </c>
      <c r="H4" t="s">
        <v>280</v>
      </c>
      <c r="I4">
        <v>32</v>
      </c>
      <c r="J4" t="s">
        <v>281</v>
      </c>
      <c r="K4">
        <v>18</v>
      </c>
      <c r="L4" t="s">
        <v>273</v>
      </c>
      <c r="M4" s="136">
        <v>39221</v>
      </c>
    </row>
    <row r="5" spans="1:13" x14ac:dyDescent="0.15">
      <c r="A5">
        <v>51</v>
      </c>
      <c r="B5" t="s">
        <v>542</v>
      </c>
      <c r="C5" t="s">
        <v>419</v>
      </c>
      <c r="D5" s="136">
        <v>39320</v>
      </c>
      <c r="F5">
        <v>4</v>
      </c>
      <c r="G5">
        <v>59</v>
      </c>
      <c r="H5" t="s">
        <v>528</v>
      </c>
      <c r="I5" t="s">
        <v>529</v>
      </c>
      <c r="J5" t="s">
        <v>281</v>
      </c>
      <c r="K5">
        <v>38</v>
      </c>
      <c r="L5" t="s">
        <v>362</v>
      </c>
      <c r="M5" s="136">
        <v>39333</v>
      </c>
    </row>
    <row r="6" spans="1:13" x14ac:dyDescent="0.15">
      <c r="F6">
        <v>5</v>
      </c>
    </row>
    <row r="7" spans="1:13" x14ac:dyDescent="0.15">
      <c r="F7">
        <v>6</v>
      </c>
    </row>
    <row r="8" spans="1:13" x14ac:dyDescent="0.15">
      <c r="F8">
        <v>7</v>
      </c>
    </row>
    <row r="9" spans="1:13" x14ac:dyDescent="0.15">
      <c r="F9">
        <v>8</v>
      </c>
    </row>
    <row r="10" spans="1:13" x14ac:dyDescent="0.15">
      <c r="F10">
        <v>9</v>
      </c>
    </row>
    <row r="11" spans="1:13" x14ac:dyDescent="0.15">
      <c r="F11">
        <v>10</v>
      </c>
    </row>
    <row r="30" spans="1:10" x14ac:dyDescent="0.15">
      <c r="A30" t="s">
        <v>278</v>
      </c>
      <c r="I30" t="s">
        <v>279</v>
      </c>
    </row>
    <row r="31" spans="1:10" x14ac:dyDescent="0.15">
      <c r="A31">
        <v>12.1</v>
      </c>
      <c r="B31">
        <v>1</v>
      </c>
      <c r="C31">
        <v>34</v>
      </c>
      <c r="D31">
        <v>8</v>
      </c>
      <c r="E31" t="s">
        <v>45</v>
      </c>
      <c r="F31" t="s">
        <v>362</v>
      </c>
      <c r="G31" s="136">
        <v>39236</v>
      </c>
      <c r="I31" t="s">
        <v>528</v>
      </c>
      <c r="J31">
        <v>1</v>
      </c>
    </row>
    <row r="32" spans="1:10" x14ac:dyDescent="0.15">
      <c r="A32">
        <v>10</v>
      </c>
      <c r="B32">
        <v>3</v>
      </c>
      <c r="C32">
        <v>35</v>
      </c>
      <c r="D32">
        <v>6</v>
      </c>
      <c r="E32" t="s">
        <v>154</v>
      </c>
      <c r="F32" t="s">
        <v>382</v>
      </c>
      <c r="G32" s="136">
        <v>39243</v>
      </c>
      <c r="I32" t="s">
        <v>281</v>
      </c>
      <c r="J32">
        <v>1</v>
      </c>
    </row>
    <row r="33" spans="1:13" x14ac:dyDescent="0.15">
      <c r="A33">
        <v>9</v>
      </c>
      <c r="B33">
        <v>0</v>
      </c>
      <c r="C33">
        <v>33</v>
      </c>
      <c r="D33">
        <v>6</v>
      </c>
      <c r="E33" t="s">
        <v>154</v>
      </c>
      <c r="F33" t="s">
        <v>419</v>
      </c>
      <c r="G33" s="136">
        <v>39320</v>
      </c>
    </row>
    <row r="43" spans="1:13" x14ac:dyDescent="0.15">
      <c r="C43" t="s">
        <v>13</v>
      </c>
      <c r="D43" t="s">
        <v>3</v>
      </c>
    </row>
    <row r="44" spans="1:13" x14ac:dyDescent="0.15">
      <c r="C44" t="s">
        <v>154</v>
      </c>
      <c r="D44" t="s">
        <v>233</v>
      </c>
      <c r="G44" s="152" t="s">
        <v>567</v>
      </c>
      <c r="H44" s="152" t="s">
        <v>3</v>
      </c>
      <c r="I44" s="153"/>
      <c r="J44" s="153"/>
      <c r="K44" s="153"/>
      <c r="L44" s="153"/>
      <c r="M44" s="154"/>
    </row>
    <row r="45" spans="1:13" x14ac:dyDescent="0.15">
      <c r="C45" t="s">
        <v>154</v>
      </c>
      <c r="D45" t="s">
        <v>233</v>
      </c>
      <c r="G45" s="152" t="s">
        <v>13</v>
      </c>
      <c r="H45" s="155" t="s">
        <v>233</v>
      </c>
      <c r="I45" s="156" t="s">
        <v>340</v>
      </c>
      <c r="J45" s="156" t="s">
        <v>301</v>
      </c>
      <c r="K45" s="156" t="s">
        <v>323</v>
      </c>
      <c r="L45" s="156" t="s">
        <v>363</v>
      </c>
      <c r="M45" s="157" t="s">
        <v>568</v>
      </c>
    </row>
    <row r="46" spans="1:13" x14ac:dyDescent="0.15">
      <c r="C46" t="s">
        <v>162</v>
      </c>
      <c r="D46" t="s">
        <v>301</v>
      </c>
      <c r="G46" s="155" t="s">
        <v>154</v>
      </c>
      <c r="H46" s="158">
        <v>5</v>
      </c>
      <c r="I46" s="159">
        <v>3</v>
      </c>
      <c r="J46" s="159"/>
      <c r="K46" s="159">
        <v>1</v>
      </c>
      <c r="L46" s="159">
        <v>1</v>
      </c>
      <c r="M46" s="160">
        <v>10</v>
      </c>
    </row>
    <row r="47" spans="1:13" x14ac:dyDescent="0.15">
      <c r="C47" t="s">
        <v>154</v>
      </c>
      <c r="D47" t="s">
        <v>323</v>
      </c>
      <c r="G47" s="161" t="s">
        <v>196</v>
      </c>
      <c r="H47" s="162">
        <v>1</v>
      </c>
      <c r="I47" s="163">
        <v>2</v>
      </c>
      <c r="J47" s="163"/>
      <c r="K47" s="163"/>
      <c r="L47" s="163"/>
      <c r="M47" s="164">
        <v>3</v>
      </c>
    </row>
    <row r="48" spans="1:13" x14ac:dyDescent="0.15">
      <c r="C48" t="s">
        <v>162</v>
      </c>
      <c r="D48" t="s">
        <v>340</v>
      </c>
      <c r="G48" s="161" t="s">
        <v>162</v>
      </c>
      <c r="H48" s="162"/>
      <c r="I48" s="163">
        <v>1</v>
      </c>
      <c r="J48" s="163">
        <v>1</v>
      </c>
      <c r="K48" s="163"/>
      <c r="L48" s="163"/>
      <c r="M48" s="164">
        <v>2</v>
      </c>
    </row>
    <row r="49" spans="3:13" x14ac:dyDescent="0.15">
      <c r="C49" t="s">
        <v>154</v>
      </c>
      <c r="D49" t="s">
        <v>363</v>
      </c>
      <c r="G49" s="161" t="s">
        <v>569</v>
      </c>
      <c r="H49" s="162"/>
      <c r="I49" s="163"/>
      <c r="J49" s="163">
        <v>1</v>
      </c>
      <c r="K49" s="163"/>
      <c r="L49" s="163"/>
      <c r="M49" s="164">
        <v>1</v>
      </c>
    </row>
    <row r="50" spans="3:13" x14ac:dyDescent="0.15">
      <c r="C50" t="s">
        <v>154</v>
      </c>
      <c r="D50" t="s">
        <v>233</v>
      </c>
      <c r="G50" s="165" t="s">
        <v>568</v>
      </c>
      <c r="H50" s="166">
        <v>6</v>
      </c>
      <c r="I50" s="167">
        <v>6</v>
      </c>
      <c r="J50" s="167">
        <v>2</v>
      </c>
      <c r="K50" s="167">
        <v>1</v>
      </c>
      <c r="L50" s="167">
        <v>1</v>
      </c>
      <c r="M50" s="168">
        <v>16</v>
      </c>
    </row>
    <row r="51" spans="3:13" x14ac:dyDescent="0.15">
      <c r="C51" t="s">
        <v>154</v>
      </c>
      <c r="D51" t="s">
        <v>340</v>
      </c>
    </row>
    <row r="52" spans="3:13" x14ac:dyDescent="0.15">
      <c r="C52" t="s">
        <v>154</v>
      </c>
      <c r="D52" t="s">
        <v>233</v>
      </c>
    </row>
    <row r="53" spans="3:13" x14ac:dyDescent="0.15">
      <c r="C53" t="e">
        <v>#N/A</v>
      </c>
      <c r="D53" t="s">
        <v>301</v>
      </c>
    </row>
    <row r="54" spans="3:13" x14ac:dyDescent="0.15">
      <c r="C54" t="s">
        <v>154</v>
      </c>
      <c r="D54" t="s">
        <v>340</v>
      </c>
    </row>
    <row r="55" spans="3:13" x14ac:dyDescent="0.15">
      <c r="C55" t="s">
        <v>196</v>
      </c>
      <c r="D55" t="s">
        <v>233</v>
      </c>
    </row>
    <row r="56" spans="3:13" x14ac:dyDescent="0.15">
      <c r="C56" t="s">
        <v>196</v>
      </c>
      <c r="D56" t="s">
        <v>340</v>
      </c>
    </row>
    <row r="57" spans="3:13" x14ac:dyDescent="0.15">
      <c r="C57" t="s">
        <v>154</v>
      </c>
      <c r="D57" t="s">
        <v>233</v>
      </c>
    </row>
    <row r="58" spans="3:13" x14ac:dyDescent="0.15">
      <c r="C58" t="s">
        <v>196</v>
      </c>
      <c r="D58" t="s">
        <v>340</v>
      </c>
    </row>
    <row r="59" spans="3:13" x14ac:dyDescent="0.15">
      <c r="C59" t="s">
        <v>154</v>
      </c>
      <c r="D59" t="s">
        <v>340</v>
      </c>
    </row>
  </sheetData>
  <phoneticPr fontId="10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86" customFormat="1" x14ac:dyDescent="0.15"/>
    <row r="2" spans="1:41" s="87" customFormat="1" x14ac:dyDescent="0.15"/>
    <row r="13" spans="1:41" s="6" customFormat="1" x14ac:dyDescent="0.15"/>
    <row r="14" spans="1:41" s="102" customFormat="1" x14ac:dyDescent="0.15">
      <c r="K14" s="106"/>
    </row>
    <row r="15" spans="1:41" x14ac:dyDescent="0.15">
      <c r="A15" s="85">
        <f t="array" ref="A15">SUM(IF(ISNA(A16:A26),0,A16:A26))</f>
        <v>0</v>
      </c>
      <c r="B15" s="85" t="e">
        <f t="shared" ref="B15:O15" si="0">SUM(B16:B26)</f>
        <v>#N/A</v>
      </c>
      <c r="C15" s="85" t="e">
        <f t="shared" si="0"/>
        <v>#N/A</v>
      </c>
      <c r="D15" s="85" t="e">
        <f t="shared" si="0"/>
        <v>#N/A</v>
      </c>
      <c r="E15" s="85" t="e">
        <f t="shared" si="0"/>
        <v>#N/A</v>
      </c>
      <c r="F15" s="85" t="e">
        <f t="shared" si="0"/>
        <v>#N/A</v>
      </c>
      <c r="G15" s="85" t="e">
        <f t="shared" si="0"/>
        <v>#N/A</v>
      </c>
      <c r="H15" s="85" t="e">
        <f t="shared" si="0"/>
        <v>#N/A</v>
      </c>
      <c r="I15" s="85" t="e">
        <f t="shared" si="0"/>
        <v>#N/A</v>
      </c>
      <c r="J15" s="85" t="e">
        <f t="shared" si="0"/>
        <v>#N/A</v>
      </c>
      <c r="K15" s="85" t="e">
        <f t="shared" si="0"/>
        <v>#N/A</v>
      </c>
      <c r="L15" s="85" t="e">
        <f t="shared" si="0"/>
        <v>#N/A</v>
      </c>
      <c r="M15" s="85" t="e">
        <f t="shared" si="0"/>
        <v>#N/A</v>
      </c>
      <c r="N15" s="85" t="e">
        <f t="shared" si="0"/>
        <v>#N/A</v>
      </c>
      <c r="O15" s="85" t="e">
        <f t="shared" si="0"/>
        <v>#N/A</v>
      </c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 t="e">
        <f t="shared" ref="Z15:AG15" si="1">SUM(Z16:Z26)</f>
        <v>#N/A</v>
      </c>
      <c r="AA15" s="85" t="e">
        <f t="shared" si="1"/>
        <v>#N/A</v>
      </c>
      <c r="AB15" s="85" t="e">
        <f t="shared" si="1"/>
        <v>#N/A</v>
      </c>
      <c r="AC15" s="85" t="e">
        <f t="shared" si="1"/>
        <v>#N/A</v>
      </c>
      <c r="AD15" s="85" t="e">
        <f t="shared" si="1"/>
        <v>#N/A</v>
      </c>
      <c r="AE15" s="85" t="e">
        <f t="shared" si="1"/>
        <v>#N/A</v>
      </c>
      <c r="AF15" s="85" t="e">
        <f t="shared" si="1"/>
        <v>#N/A</v>
      </c>
      <c r="AG15" s="85" t="e">
        <f t="shared" si="1"/>
        <v>#N/A</v>
      </c>
      <c r="AH15" s="85" t="e">
        <f t="shared" ref="AH15:AO15" si="2">SUM(AH16:AH26)</f>
        <v>#N/A</v>
      </c>
      <c r="AI15" s="85" t="e">
        <f t="shared" si="2"/>
        <v>#N/A</v>
      </c>
      <c r="AJ15" s="85" t="e">
        <f t="shared" si="2"/>
        <v>#N/A</v>
      </c>
      <c r="AK15" s="85" t="e">
        <f t="shared" si="2"/>
        <v>#N/A</v>
      </c>
      <c r="AL15" s="85" t="e">
        <f t="shared" si="2"/>
        <v>#N/A</v>
      </c>
      <c r="AM15" s="85" t="e">
        <f t="shared" si="2"/>
        <v>#N/A</v>
      </c>
      <c r="AN15" s="85" t="e">
        <f t="shared" si="2"/>
        <v>#N/A</v>
      </c>
      <c r="AO15" s="85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8" customFormat="1" x14ac:dyDescent="0.15">
      <c r="A28" s="89">
        <f>83-166</f>
        <v>-83</v>
      </c>
      <c r="B28" s="89"/>
      <c r="C28" s="89"/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  <c r="P28" s="89"/>
      <c r="Q28" s="89"/>
      <c r="R28" s="89"/>
      <c r="S28" s="89"/>
      <c r="T28" s="89"/>
      <c r="U28" s="89"/>
      <c r="V28" s="89"/>
      <c r="W28" s="89"/>
      <c r="X28" s="89"/>
      <c r="Y28" s="89"/>
      <c r="Z28" s="89"/>
      <c r="AA28" s="89"/>
      <c r="AB28" s="89"/>
      <c r="AC28" s="89"/>
      <c r="AD28" s="89"/>
      <c r="AE28" s="89"/>
      <c r="AF28" s="89">
        <v>-51</v>
      </c>
      <c r="AG28" s="89"/>
      <c r="AH28" s="89"/>
      <c r="AI28" s="89"/>
      <c r="AJ28" s="89"/>
      <c r="AK28" s="89"/>
      <c r="AL28" s="89"/>
      <c r="AM28" s="89"/>
      <c r="AN28" s="89"/>
      <c r="AO28" s="89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92" t="s">
        <v>81</v>
      </c>
      <c r="D44" s="92" t="s">
        <v>168</v>
      </c>
      <c r="E44" s="92" t="s">
        <v>82</v>
      </c>
      <c r="F44" s="92" t="s">
        <v>83</v>
      </c>
      <c r="G44" s="90" t="s">
        <v>84</v>
      </c>
      <c r="H44" s="91">
        <f>COUNTA(1:1)</f>
        <v>0</v>
      </c>
    </row>
    <row r="45" spans="1:41" x14ac:dyDescent="0.15">
      <c r="A45" s="70" t="s">
        <v>200</v>
      </c>
      <c r="B45" t="s">
        <v>203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139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70" t="s">
        <v>201</v>
      </c>
      <c r="B46" t="s">
        <v>209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369</v>
      </c>
      <c r="G46" t="s">
        <v>140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70" t="s">
        <v>136</v>
      </c>
      <c r="B47" t="s">
        <v>192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19</v>
      </c>
      <c r="G47" t="s">
        <v>139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70" t="s">
        <v>50</v>
      </c>
      <c r="B48" t="s">
        <v>75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45</v>
      </c>
      <c r="G48" t="s">
        <v>140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70" t="s">
        <v>62</v>
      </c>
      <c r="B49" t="s">
        <v>74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140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70" t="s">
        <v>102</v>
      </c>
      <c r="B50" t="s">
        <v>171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406</v>
      </c>
      <c r="G50" t="s">
        <v>140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70" t="s">
        <v>199</v>
      </c>
      <c r="B51" t="s">
        <v>204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316</v>
      </c>
      <c r="G51" t="s">
        <v>139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70" t="s">
        <v>52</v>
      </c>
      <c r="B52" t="s">
        <v>103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141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70" t="s">
        <v>166</v>
      </c>
      <c r="B53" t="s">
        <v>186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140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70" t="s">
        <v>54</v>
      </c>
      <c r="B54" t="s">
        <v>73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140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70" t="s">
        <v>43</v>
      </c>
      <c r="B55" t="s">
        <v>104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41</v>
      </c>
      <c r="G55" t="s">
        <v>141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70" t="s">
        <v>56</v>
      </c>
      <c r="B56" t="s">
        <v>76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33</v>
      </c>
      <c r="G56" t="s">
        <v>141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70" t="s">
        <v>58</v>
      </c>
      <c r="B57" t="s">
        <v>69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139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70" t="s">
        <v>57</v>
      </c>
      <c r="B58" t="s">
        <v>71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141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70" t="s">
        <v>44</v>
      </c>
      <c r="B59" t="s">
        <v>70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417</v>
      </c>
      <c r="G59" t="s">
        <v>141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70" t="s">
        <v>185</v>
      </c>
      <c r="B60" t="s">
        <v>205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139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70" t="s">
        <v>78</v>
      </c>
      <c r="B61" t="s">
        <v>105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139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70" t="s">
        <v>182</v>
      </c>
      <c r="B62" t="s">
        <v>181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139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70" t="s">
        <v>142</v>
      </c>
      <c r="B63" t="s">
        <v>143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50</v>
      </c>
      <c r="G63" t="s">
        <v>139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70" t="s">
        <v>47</v>
      </c>
      <c r="B64" t="s">
        <v>106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40</v>
      </c>
      <c r="G64" t="s">
        <v>140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70" t="s">
        <v>48</v>
      </c>
      <c r="B65" t="s">
        <v>68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66</v>
      </c>
      <c r="G65" t="s">
        <v>14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70" t="s">
        <v>61</v>
      </c>
      <c r="B66" t="s">
        <v>107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140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70" t="s">
        <v>202</v>
      </c>
      <c r="B67" t="s">
        <v>206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14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70" t="s">
        <v>179</v>
      </c>
      <c r="B68" t="s">
        <v>180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140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70" t="s">
        <v>64</v>
      </c>
      <c r="B69" t="s">
        <v>67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0</v>
      </c>
      <c r="G69" t="s">
        <v>140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70" t="s">
        <v>80</v>
      </c>
      <c r="B70" t="s">
        <v>77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14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70" t="s">
        <v>63</v>
      </c>
      <c r="B71" t="s">
        <v>72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60</v>
      </c>
      <c r="G71" t="s">
        <v>139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70" t="s">
        <v>79</v>
      </c>
      <c r="B72" t="s">
        <v>187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139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70" t="s">
        <v>137</v>
      </c>
      <c r="B73" t="s">
        <v>138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14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70" t="s">
        <v>60</v>
      </c>
      <c r="B74" t="s">
        <v>108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0</v>
      </c>
      <c r="G74" t="s">
        <v>139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70" t="s">
        <v>190</v>
      </c>
      <c r="B75" t="s">
        <v>207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140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70" t="s">
        <v>178</v>
      </c>
      <c r="B76" t="s">
        <v>188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139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70" t="s">
        <v>189</v>
      </c>
      <c r="B77" t="s">
        <v>208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139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70" t="s">
        <v>46</v>
      </c>
      <c r="B78" t="s">
        <v>65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14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70" t="s">
        <v>59</v>
      </c>
      <c r="B79" t="s">
        <v>109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58</v>
      </c>
      <c r="G79" t="s">
        <v>141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70" t="s">
        <v>55</v>
      </c>
      <c r="B80" t="s">
        <v>66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139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70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70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70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70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70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70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70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141</v>
      </c>
      <c r="H89">
        <f t="array" ref="H89">SUM(IF($G$45:$G$87=G89,1,0))</f>
        <v>6</v>
      </c>
    </row>
    <row r="90" spans="1:15" x14ac:dyDescent="0.15">
      <c r="G90" t="s">
        <v>139</v>
      </c>
      <c r="H90">
        <f t="array" ref="H90">SUM(IF($G$45:$G$87=G90,1,0))</f>
        <v>14</v>
      </c>
    </row>
    <row r="91" spans="1:15" x14ac:dyDescent="0.15">
      <c r="G91" t="s">
        <v>140</v>
      </c>
      <c r="H91">
        <f t="array" ref="H91">SUM(IF($G$45:$G$87=G91,1,0))</f>
        <v>11</v>
      </c>
    </row>
    <row r="92" spans="1:15" x14ac:dyDescent="0.15">
      <c r="G92" t="s">
        <v>14</v>
      </c>
      <c r="H92">
        <f t="array" ref="H92">SUM(IF($G$45:$G$87=G92,1,0))</f>
        <v>5</v>
      </c>
    </row>
    <row r="93" spans="1:15" x14ac:dyDescent="0.15">
      <c r="G93" t="s">
        <v>167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85</v>
      </c>
      <c r="C1" s="9">
        <v>89</v>
      </c>
    </row>
    <row r="2" spans="1:20" x14ac:dyDescent="0.2">
      <c r="A2" s="5" t="s">
        <v>86</v>
      </c>
      <c r="C2" s="9">
        <v>91</v>
      </c>
    </row>
    <row r="4" spans="1:20" ht="22.5" x14ac:dyDescent="0.2">
      <c r="A4" s="8"/>
      <c r="B4" s="8" t="s">
        <v>87</v>
      </c>
      <c r="C4" s="8" t="s">
        <v>88</v>
      </c>
      <c r="D4" s="8" t="s">
        <v>183</v>
      </c>
      <c r="E4" s="8" t="s">
        <v>89</v>
      </c>
      <c r="F4" s="8" t="s">
        <v>90</v>
      </c>
      <c r="G4" s="8" t="s">
        <v>91</v>
      </c>
      <c r="H4" s="8" t="s">
        <v>92</v>
      </c>
      <c r="I4" s="8" t="s">
        <v>93</v>
      </c>
      <c r="J4" s="8" t="s">
        <v>81</v>
      </c>
      <c r="K4" s="8" t="s">
        <v>225</v>
      </c>
      <c r="M4" s="8" t="s">
        <v>94</v>
      </c>
    </row>
    <row r="5" spans="1:20" x14ac:dyDescent="0.2">
      <c r="A5" s="70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IF(NOT(ISNA(E5)),5*OFFSET(Batting!$CE$4,E5,0,1,1),0)</f>
        <v>0</v>
      </c>
      <c r="E5" s="9" t="e">
        <f ca="1">MATCH(A5,Batting!$A$5:$A$56,0)</f>
        <v>#N/A</v>
      </c>
      <c r="F5" s="9">
        <f ca="1">IF(NOT(ISNA(E5)),OFFSET(Batting!$B$4,E5,$C$1,1,1),0)</f>
        <v>0</v>
      </c>
      <c r="G5" s="9" t="e">
        <f ca="1">MATCH(A5,Bowling!$A$5:$A$38,0)</f>
        <v>#N/A</v>
      </c>
      <c r="H5" s="9">
        <f ca="1">IF(NOT(ISNA(G5)),OFFSET(Bowling!$CO$4,G5,0,1,1),0)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2</v>
      </c>
      <c r="O5" s="5">
        <v>1</v>
      </c>
      <c r="P5" s="5" t="str">
        <f t="shared" ref="P5:P31" ca="1" si="1">OFFSET($B$4,N5,0)</f>
        <v>Adam Lestrelle</v>
      </c>
      <c r="Q5" s="7">
        <f t="shared" ref="Q5:Q31" ca="1" si="2">OFFSET($K$4,N5,0)</f>
        <v>184.5</v>
      </c>
      <c r="R5" s="5">
        <f t="shared" ref="R5:R46" ca="1" si="3">OFFSET($J$4,N5,0)</f>
        <v>2</v>
      </c>
    </row>
    <row r="6" spans="1:20" x14ac:dyDescent="0.2">
      <c r="A6" s="70" t="str">
        <f ca="1"/>
        <v>ADLE</v>
      </c>
      <c r="B6" t="str">
        <f ca="1"/>
        <v>Adam Lestrelle</v>
      </c>
      <c r="C6" s="9">
        <f t="shared" ca="1" si="0"/>
        <v>369</v>
      </c>
      <c r="D6" s="9">
        <f ca="1">IF(NOT(ISNA(E6)),5*OFFSET(Batting!$CE$4,E6,0,1,1),0)</f>
        <v>80</v>
      </c>
      <c r="E6" s="9">
        <f ca="1">MATCH(A6,Batting!$A$5:$A$56,0)</f>
        <v>21</v>
      </c>
      <c r="F6" s="9">
        <f ca="1">IF(NOT(ISNA(E6)),OFFSET(Batting!$B$4,E6,$C$1,1,1),0)</f>
        <v>65</v>
      </c>
      <c r="G6" s="9">
        <f ca="1">MATCH(A6,Bowling!$A$5:$A$38,0)</f>
        <v>17</v>
      </c>
      <c r="H6" s="9">
        <f ca="1">IF(NOT(ISNA(G6)),OFFSET(Bowling!$CO$4,G6,0,1,1),0)</f>
        <v>189</v>
      </c>
      <c r="I6" s="9">
        <f ca="1">IF(NOT(ISNA(E6)),OFFSET(Batting!$B$4,E6,$C$1+1,1,1),0)</f>
        <v>35</v>
      </c>
      <c r="J6" s="9">
        <f ca="1">VLOOKUP(A6,'Fantasy Teams'!$A$45:$C$87,3,FALSE)</f>
        <v>2</v>
      </c>
      <c r="K6" s="10">
        <f t="shared" ref="K6:K46" ca="1" si="4">INT(C6*1000/J6)/1000</f>
        <v>184.5</v>
      </c>
      <c r="L6" s="5">
        <f t="shared" ref="L6:L46" ca="1" si="5">K6+ROW(K6)/100000</f>
        <v>184.50005999999999</v>
      </c>
      <c r="M6" s="5">
        <f t="shared" ref="M6:M46" ca="1" si="6">RANK(L6,$L$5:$L$40)</f>
        <v>1</v>
      </c>
      <c r="N6" s="5">
        <f t="shared" ref="N6:N46" ca="1" si="7">MATCH(O6,$M$5:$M$55,0)</f>
        <v>7</v>
      </c>
      <c r="O6" s="5">
        <f>O5+1</f>
        <v>2</v>
      </c>
      <c r="P6" s="5" t="str">
        <f t="shared" ca="1" si="1"/>
        <v>Clive Edghill</v>
      </c>
      <c r="Q6" s="7">
        <f t="shared" ca="1" si="2"/>
        <v>158</v>
      </c>
      <c r="R6" s="5">
        <f t="shared" ca="1" si="3"/>
        <v>2</v>
      </c>
    </row>
    <row r="7" spans="1:20" x14ac:dyDescent="0.2">
      <c r="A7" s="70" t="str">
        <f ca="1"/>
        <v>AICO</v>
      </c>
      <c r="B7" t="str">
        <f ca="1"/>
        <v>Aiden Coloe</v>
      </c>
      <c r="C7" s="9">
        <f t="shared" ca="1" si="0"/>
        <v>19</v>
      </c>
      <c r="D7" s="9">
        <f ca="1">IF(NOT(ISNA(E7)),5*OFFSET(Batting!$CE$4,E7,0,1,1),0)</f>
        <v>10</v>
      </c>
      <c r="E7" s="9">
        <f ca="1">MATCH(A7,Batting!$A$5:$A$56,0)</f>
        <v>5</v>
      </c>
      <c r="F7" s="9">
        <f ca="1">IF(NOT(ISNA(E7)),OFFSET(Batting!$B$4,E7,$C$1,1,1),0)</f>
        <v>9</v>
      </c>
      <c r="G7" s="9">
        <f ca="1">MATCH(A7,Bowling!$A$5:$A$38,0)</f>
        <v>5</v>
      </c>
      <c r="H7" s="9">
        <f ca="1">IF(NOT(ISNA(G7)),OFFSET(Bowling!$CO$4,G7,0,1,1),0)</f>
        <v>0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6.3330000000000002</v>
      </c>
      <c r="L7" s="5">
        <f t="shared" ca="1" si="5"/>
        <v>6.3330700000000002</v>
      </c>
      <c r="M7" s="5">
        <f t="shared" ca="1" si="6"/>
        <v>11</v>
      </c>
      <c r="N7" s="5">
        <f t="shared" ca="1" si="7"/>
        <v>15</v>
      </c>
      <c r="O7" s="5">
        <f t="shared" ref="O7:O46" si="8">O6+1</f>
        <v>3</v>
      </c>
      <c r="P7" s="5" t="str">
        <f t="shared" ca="1" si="1"/>
        <v>Geoff Cooper</v>
      </c>
      <c r="Q7" s="7">
        <f t="shared" ca="1" si="2"/>
        <v>69.5</v>
      </c>
      <c r="R7" s="5">
        <f t="shared" ca="1" si="3"/>
        <v>6</v>
      </c>
    </row>
    <row r="8" spans="1:20" x14ac:dyDescent="0.2">
      <c r="A8" s="70" t="str">
        <f ca="1"/>
        <v>ANMA</v>
      </c>
      <c r="B8" t="str">
        <f ca="1"/>
        <v>Andy Mander</v>
      </c>
      <c r="C8" s="9">
        <f t="shared" ca="1" si="0"/>
        <v>45</v>
      </c>
      <c r="D8" s="9">
        <f ca="1">IF(NOT(ISNA(E8)),5*OFFSET(Batting!$CE$4,E8,0,1,1),0)</f>
        <v>10</v>
      </c>
      <c r="E8" s="9">
        <f ca="1">MATCH(A8,Batting!$A$5:$A$56,0)</f>
        <v>23</v>
      </c>
      <c r="F8" s="9">
        <f ca="1">IF(NOT(ISNA(E8)),OFFSET(Batting!$B$4,E8,$C$1,1,1),0)</f>
        <v>0</v>
      </c>
      <c r="G8" s="9">
        <f ca="1">MATCH(A8,Bowling!$A$5:$A$38,0)</f>
        <v>19</v>
      </c>
      <c r="H8" s="9">
        <f ca="1">IF(NOT(ISNA(G8)),OFFSET(Bowling!$CO$4,G8,0,1,1),0)</f>
        <v>35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7.5</v>
      </c>
      <c r="L8" s="5">
        <f t="shared" ca="1" si="5"/>
        <v>7.5000799999999996</v>
      </c>
      <c r="M8" s="5">
        <f t="shared" ca="1" si="6"/>
        <v>10</v>
      </c>
      <c r="N8" s="5">
        <f t="shared" ca="1" si="7"/>
        <v>6</v>
      </c>
      <c r="O8" s="5">
        <f t="shared" si="8"/>
        <v>4</v>
      </c>
      <c r="P8" s="5" t="str">
        <f t="shared" ca="1" si="1"/>
        <v>Chris Clark</v>
      </c>
      <c r="Q8" s="7">
        <f t="shared" ca="1" si="2"/>
        <v>67.665999999999997</v>
      </c>
      <c r="R8" s="5">
        <f t="shared" ca="1" si="3"/>
        <v>6</v>
      </c>
    </row>
    <row r="9" spans="1:20" x14ac:dyDescent="0.2">
      <c r="A9" s="70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IF(NOT(ISNA(E9)),5*OFFSET(Batting!$CE$4,E9,0,1,1),0)</f>
        <v>0</v>
      </c>
      <c r="E9" s="9" t="e">
        <f ca="1">MATCH(A9,Batting!$A$5:$A$56,0)</f>
        <v>#N/A</v>
      </c>
      <c r="F9" s="9">
        <f ca="1">IF(NOT(ISNA(E9)),OFFSET(Batting!$B$4,E9,$C$1,1,1),0)</f>
        <v>0</v>
      </c>
      <c r="G9" s="9" t="e">
        <f ca="1">MATCH(A9,Bowling!$A$5:$A$38,0)</f>
        <v>#N/A</v>
      </c>
      <c r="H9" s="9">
        <f ca="1">IF(NOT(ISNA(G9)),OFFSET(Bowling!$CO$4,G9,0,1,1),0)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35</v>
      </c>
      <c r="N9" s="5">
        <f t="shared" ca="1" si="7"/>
        <v>19</v>
      </c>
      <c r="O9" s="5">
        <f t="shared" si="8"/>
        <v>5</v>
      </c>
      <c r="P9" s="5" t="str">
        <f t="shared" ca="1" si="1"/>
        <v>Jeff Lestrelle</v>
      </c>
      <c r="Q9" s="7">
        <f t="shared" ca="1" si="2"/>
        <v>12.5</v>
      </c>
      <c r="R9" s="5">
        <f t="shared" ca="1" si="3"/>
        <v>4</v>
      </c>
    </row>
    <row r="10" spans="1:20" x14ac:dyDescent="0.2">
      <c r="A10" s="70" t="str">
        <f ca="1"/>
        <v>CHCL</v>
      </c>
      <c r="B10" t="str">
        <f ca="1"/>
        <v>Chris Clark</v>
      </c>
      <c r="C10" s="9">
        <f t="shared" ca="1" si="0"/>
        <v>406</v>
      </c>
      <c r="D10" s="9">
        <f ca="1">IF(NOT(ISNA(E10)),5*OFFSET(Batting!$CE$4,E10,0,1,1),0)</f>
        <v>60</v>
      </c>
      <c r="E10" s="9">
        <f ca="1">MATCH(A10,Batting!$A$5:$A$56,0)</f>
        <v>4</v>
      </c>
      <c r="F10" s="9">
        <f ca="1">IF(NOT(ISNA(E10)),OFFSET(Batting!$B$4,E10,$C$1,1,1),0)</f>
        <v>32</v>
      </c>
      <c r="G10" s="9">
        <f ca="1">MATCH(A10,Bowling!$A$5:$A$38,0)</f>
        <v>4</v>
      </c>
      <c r="H10" s="9">
        <f ca="1">IF(NOT(ISNA(G10)),OFFSET(Bowling!$CO$4,G10,0,1,1),0)</f>
        <v>304</v>
      </c>
      <c r="I10" s="9">
        <f ca="1">IF(NOT(ISNA(E10)),OFFSET(Batting!$B$4,E10,$C$1+1,1,1),0)</f>
        <v>10</v>
      </c>
      <c r="J10" s="9">
        <f ca="1">VLOOKUP(A10,'Fantasy Teams'!$A$45:$C$87,3,FALSE)</f>
        <v>6</v>
      </c>
      <c r="K10" s="10">
        <f t="shared" ca="1" si="4"/>
        <v>67.665999999999997</v>
      </c>
      <c r="L10" s="5">
        <f t="shared" ca="1" si="5"/>
        <v>67.6661</v>
      </c>
      <c r="M10" s="5">
        <f t="shared" ca="1" si="6"/>
        <v>4</v>
      </c>
      <c r="N10" s="5">
        <f t="shared" ca="1" si="7"/>
        <v>27</v>
      </c>
      <c r="O10" s="5">
        <f t="shared" si="8"/>
        <v>6</v>
      </c>
      <c r="P10" s="5" t="str">
        <f t="shared" ca="1" si="1"/>
        <v>Mike Woodhouse</v>
      </c>
      <c r="Q10" s="7">
        <f t="shared" ca="1" si="2"/>
        <v>12</v>
      </c>
      <c r="R10" s="5">
        <f t="shared" ca="1" si="3"/>
        <v>5</v>
      </c>
    </row>
    <row r="11" spans="1:20" x14ac:dyDescent="0.2">
      <c r="A11" s="70" t="str">
        <f ca="1"/>
        <v>CLED</v>
      </c>
      <c r="B11" t="str">
        <f ca="1"/>
        <v>Clive Edghill</v>
      </c>
      <c r="C11" s="9">
        <f t="shared" ca="1" si="0"/>
        <v>316</v>
      </c>
      <c r="D11" s="9">
        <f ca="1">IF(NOT(ISNA(E11)),5*OFFSET(Batting!$CE$4,E11,0,1,1),0)</f>
        <v>60</v>
      </c>
      <c r="E11" s="9">
        <f ca="1">MATCH(A11,Batting!$A$5:$A$56,0)</f>
        <v>10</v>
      </c>
      <c r="F11" s="9">
        <f ca="1">IF(NOT(ISNA(E11)),OFFSET(Batting!$B$4,E11,$C$1,1,1),0)</f>
        <v>251</v>
      </c>
      <c r="G11" s="9" t="e">
        <f ca="1">MATCH(A11,Bowling!$A$5:$A$38,0)</f>
        <v>#N/A</v>
      </c>
      <c r="H11" s="9">
        <f ca="1">IF(NOT(ISNA(G11)),OFFSET(Bowling!$CO$4,G11,0,1,1),0)</f>
        <v>0</v>
      </c>
      <c r="I11" s="9">
        <f ca="1">IF(NOT(ISNA(E11)),OFFSET(Batting!$B$4,E11,$C$1+1,1,1),0)</f>
        <v>5</v>
      </c>
      <c r="J11" s="9">
        <f ca="1">VLOOKUP(A11,'Fantasy Teams'!$A$45:$C$87,3,FALSE)</f>
        <v>2</v>
      </c>
      <c r="K11" s="10">
        <f t="shared" ca="1" si="4"/>
        <v>158</v>
      </c>
      <c r="L11" s="5">
        <f t="shared" ca="1" si="5"/>
        <v>158.00011000000001</v>
      </c>
      <c r="M11" s="5">
        <f t="shared" ca="1" si="6"/>
        <v>2</v>
      </c>
      <c r="N11" s="5">
        <f t="shared" ca="1" si="7"/>
        <v>12</v>
      </c>
      <c r="O11" s="5">
        <f t="shared" si="8"/>
        <v>7</v>
      </c>
      <c r="P11" s="5" t="str">
        <f t="shared" ca="1" si="1"/>
        <v>David Sharpe</v>
      </c>
      <c r="Q11" s="7">
        <f t="shared" ca="1" si="2"/>
        <v>11</v>
      </c>
      <c r="R11" s="5">
        <f t="shared" ca="1" si="3"/>
        <v>3</v>
      </c>
    </row>
    <row r="12" spans="1:20" x14ac:dyDescent="0.2">
      <c r="A12" s="70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IF(NOT(ISNA(E12)),5*OFFSET(Batting!$CE$4,E12,0,1,1),0)</f>
        <v>0</v>
      </c>
      <c r="E12" s="9">
        <f ca="1">MATCH(A12,Batting!$A$5:$A$56,0)</f>
        <v>24</v>
      </c>
      <c r="F12" s="9">
        <f ca="1">IF(NOT(ISNA(E12)),OFFSET(Batting!$B$4,E12,$C$1,1,1),0)</f>
        <v>0</v>
      </c>
      <c r="G12" s="9">
        <f ca="1">MATCH(A12,Bowling!$A$5:$A$38,0)</f>
        <v>20</v>
      </c>
      <c r="H12" s="9">
        <f ca="1">IF(NOT(ISNA(G12)),OFFSET(Bowling!$CO$4,G12,0,1,1),0)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34</v>
      </c>
      <c r="N12" s="5">
        <f t="shared" ca="1" si="7"/>
        <v>11</v>
      </c>
      <c r="O12" s="5">
        <f t="shared" si="8"/>
        <v>8</v>
      </c>
      <c r="P12" s="5" t="str">
        <f t="shared" ca="1" si="1"/>
        <v>David Brocks</v>
      </c>
      <c r="Q12" s="7">
        <f t="shared" ca="1" si="2"/>
        <v>10.25</v>
      </c>
      <c r="R12" s="5">
        <f t="shared" ca="1" si="3"/>
        <v>4</v>
      </c>
    </row>
    <row r="13" spans="1:20" x14ac:dyDescent="0.2">
      <c r="A13" s="70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IF(NOT(ISNA(E13)),5*OFFSET(Batting!$CE$4,E13,0,1,1),0)</f>
        <v>0</v>
      </c>
      <c r="E13" s="9" t="e">
        <f ca="1">MATCH(A13,Batting!$A$5:$A$56,0)</f>
        <v>#N/A</v>
      </c>
      <c r="F13" s="9">
        <f ca="1">IF(NOT(ISNA(E13)),OFFSET(Batting!$B$4,E13,$C$1,1,1),0)</f>
        <v>0</v>
      </c>
      <c r="G13" s="9" t="e">
        <f ca="1">MATCH(A13,Bowling!$A$5:$A$38,0)</f>
        <v>#N/A</v>
      </c>
      <c r="H13" s="9">
        <f ca="1">IF(NOT(ISNA(G13)),OFFSET(Bowling!$CO$4,G13,0,1,1),0)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33</v>
      </c>
      <c r="N13" s="5">
        <f t="shared" ca="1" si="7"/>
        <v>20</v>
      </c>
      <c r="O13" s="5">
        <f t="shared" si="8"/>
        <v>9</v>
      </c>
      <c r="P13" s="5" t="str">
        <f t="shared" ca="1" si="1"/>
        <v>John Elliston</v>
      </c>
      <c r="Q13" s="7">
        <f t="shared" ca="1" si="2"/>
        <v>8</v>
      </c>
      <c r="R13" s="5">
        <f t="shared" ca="1" si="3"/>
        <v>5</v>
      </c>
    </row>
    <row r="14" spans="1:20" x14ac:dyDescent="0.2">
      <c r="A14" s="70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IF(NOT(ISNA(E14)),5*OFFSET(Batting!$CE$4,E14,0,1,1),0)</f>
        <v>0</v>
      </c>
      <c r="E14" s="9" t="e">
        <f ca="1">MATCH(A14,Batting!$A$5:$A$56,0)</f>
        <v>#N/A</v>
      </c>
      <c r="F14" s="9">
        <f ca="1">IF(NOT(ISNA(E14)),OFFSET(Batting!$B$4,E14,$C$1,1,1),0)</f>
        <v>0</v>
      </c>
      <c r="G14" s="9" t="e">
        <f ca="1">MATCH(A14,Bowling!$A$5:$A$38,0)</f>
        <v>#N/A</v>
      </c>
      <c r="H14" s="9">
        <f ca="1">IF(NOT(ISNA(G14)),OFFSET(Bowling!$CO$4,G14,0,1,1),0)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32</v>
      </c>
      <c r="N14" s="5">
        <f t="shared" ca="1" si="7"/>
        <v>4</v>
      </c>
      <c r="O14" s="5">
        <f t="shared" si="8"/>
        <v>10</v>
      </c>
      <c r="P14" s="5" t="str">
        <f t="shared" ca="1" si="1"/>
        <v>Andy Mander</v>
      </c>
      <c r="Q14" s="7">
        <f t="shared" ca="1" si="2"/>
        <v>7.5</v>
      </c>
      <c r="R14" s="5">
        <f t="shared" ca="1" si="3"/>
        <v>6</v>
      </c>
    </row>
    <row r="15" spans="1:20" x14ac:dyDescent="0.2">
      <c r="A15" s="70" t="str">
        <f ca="1"/>
        <v>DABR</v>
      </c>
      <c r="B15" t="str">
        <f ca="1"/>
        <v>David Brocks</v>
      </c>
      <c r="C15" s="9">
        <f t="shared" ca="1" si="0"/>
        <v>41</v>
      </c>
      <c r="D15" s="9">
        <f ca="1">IF(NOT(ISNA(E15)),5*OFFSET(Batting!$CE$4,E15,0,1,1),0)</f>
        <v>10</v>
      </c>
      <c r="E15" s="9">
        <f ca="1">MATCH(A15,Batting!$A$5:$A$56,0)</f>
        <v>2</v>
      </c>
      <c r="F15" s="9">
        <f ca="1">IF(NOT(ISNA(E15)),OFFSET(Batting!$B$4,E15,$C$1,1,1),0)</f>
        <v>4</v>
      </c>
      <c r="G15" s="9">
        <f ca="1">MATCH(A15,Bowling!$A$5:$A$38,0)</f>
        <v>2</v>
      </c>
      <c r="H15" s="9">
        <f ca="1">IF(NOT(ISNA(G15)),OFFSET(Bowling!$CO$4,G15,0,1,1),0)</f>
        <v>22</v>
      </c>
      <c r="I15" s="9">
        <f ca="1">IF(NOT(ISNA(E15)),OFFSET(Batting!$B$4,E15,$C$1+1,1,1),0)</f>
        <v>5</v>
      </c>
      <c r="J15" s="9">
        <f ca="1">VLOOKUP(A15,'Fantasy Teams'!$A$45:$C$87,3,FALSE)</f>
        <v>4</v>
      </c>
      <c r="K15" s="10">
        <f t="shared" ca="1" si="4"/>
        <v>10.25</v>
      </c>
      <c r="L15" s="5">
        <f t="shared" ca="1" si="5"/>
        <v>10.25015</v>
      </c>
      <c r="M15" s="5">
        <f t="shared" ca="1" si="6"/>
        <v>8</v>
      </c>
      <c r="N15" s="5">
        <f t="shared" ca="1" si="7"/>
        <v>3</v>
      </c>
      <c r="O15" s="5">
        <f t="shared" si="8"/>
        <v>11</v>
      </c>
      <c r="P15" s="5" t="str">
        <f t="shared" ca="1" si="1"/>
        <v>Aiden Coloe</v>
      </c>
      <c r="Q15" s="7">
        <f t="shared" ca="1" si="2"/>
        <v>6.3330000000000002</v>
      </c>
      <c r="R15" s="5">
        <f t="shared" ca="1" si="3"/>
        <v>3</v>
      </c>
      <c r="S15" s="5">
        <f ca="1">SUM(R5:R15)</f>
        <v>46</v>
      </c>
      <c r="T15" s="108">
        <f t="array" aca="1" ref="T15" ca="1">SUM(Q5:Q15*R5:R15)</f>
        <v>1795.9950000000001</v>
      </c>
    </row>
    <row r="16" spans="1:20" x14ac:dyDescent="0.2">
      <c r="A16" s="70" t="str">
        <f ca="1"/>
        <v>DASH</v>
      </c>
      <c r="B16" t="str">
        <f ca="1"/>
        <v>David Sharpe</v>
      </c>
      <c r="C16" s="9">
        <f t="shared" ca="1" si="0"/>
        <v>33</v>
      </c>
      <c r="D16" s="9">
        <f ca="1">IF(NOT(ISNA(E16)),5*OFFSET(Batting!$CE$4,E16,0,1,1),0)</f>
        <v>10</v>
      </c>
      <c r="E16" s="9">
        <f ca="1">MATCH(A16,Batting!$A$5:$A$56,0)</f>
        <v>33</v>
      </c>
      <c r="F16" s="9">
        <f ca="1">IF(NOT(ISNA(E16)),OFFSET(Batting!$B$4,E16,$C$1,1,1),0)</f>
        <v>23</v>
      </c>
      <c r="G16" s="9">
        <f ca="1">MATCH(A16,Bowling!$A$5:$A$38,0)</f>
        <v>26</v>
      </c>
      <c r="H16" s="9">
        <f ca="1">IF(NOT(ISNA(G16)),OFFSET(Bowling!$CO$4,G16,0,1,1),0)</f>
        <v>0</v>
      </c>
      <c r="I16" s="9">
        <f ca="1">IF(NOT(ISNA(E16)),OFFSET(Batting!$B$4,E16,$C$1+1,1,1),0)</f>
        <v>0</v>
      </c>
      <c r="J16" s="9">
        <f ca="1">VLOOKUP(A16,'Fantasy Teams'!$A$45:$C$87,3,FALSE)</f>
        <v>3</v>
      </c>
      <c r="K16" s="10">
        <f t="shared" ca="1" si="4"/>
        <v>11</v>
      </c>
      <c r="L16" s="5">
        <f t="shared" ca="1" si="5"/>
        <v>11.000159999999999</v>
      </c>
      <c r="M16" s="5">
        <f t="shared" ca="1" si="6"/>
        <v>7</v>
      </c>
      <c r="N16" s="5">
        <f t="shared" ca="1" si="7"/>
        <v>21</v>
      </c>
      <c r="O16" s="5">
        <f t="shared" si="8"/>
        <v>12</v>
      </c>
      <c r="P16" s="5" t="str">
        <f t="shared" ca="1" si="1"/>
        <v>John Leadley</v>
      </c>
      <c r="Q16" s="7">
        <f t="shared" ca="1" si="2"/>
        <v>6</v>
      </c>
      <c r="R16" s="5">
        <f t="shared" ca="1" si="3"/>
        <v>11</v>
      </c>
    </row>
    <row r="17" spans="1:18" x14ac:dyDescent="0.2">
      <c r="A17" s="70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IF(NOT(ISNA(E17)),5*OFFSET(Batting!$CE$4,E17,0,1,1),0)</f>
        <v>0</v>
      </c>
      <c r="E17" s="9">
        <f ca="1">MATCH(A17,Batting!$A$5:$A$56,0)</f>
        <v>35</v>
      </c>
      <c r="F17" s="9">
        <f ca="1">IF(NOT(ISNA(E17)),OFFSET(Batting!$B$4,E17,$C$1,1,1),0)</f>
        <v>0</v>
      </c>
      <c r="G17" s="9" t="e">
        <f ca="1">MATCH(A17,Bowling!$A$5:$A$38,0)</f>
        <v>#N/A</v>
      </c>
      <c r="H17" s="9">
        <f ca="1">IF(NOT(ISNA(G17)),OFFSET(Bowling!$CO$4,G17,0,1,1),0)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31</v>
      </c>
      <c r="N17" s="5">
        <f t="shared" ca="1" si="7"/>
        <v>35</v>
      </c>
      <c r="O17" s="5">
        <f t="shared" si="8"/>
        <v>13</v>
      </c>
      <c r="P17" s="5" t="str">
        <f t="shared" ca="1" si="1"/>
        <v>Tony Springer</v>
      </c>
      <c r="Q17" s="7">
        <f t="shared" ca="1" si="2"/>
        <v>4.4610000000000003</v>
      </c>
      <c r="R17" s="5">
        <f t="shared" ca="1" si="3"/>
        <v>13</v>
      </c>
    </row>
    <row r="18" spans="1:18" x14ac:dyDescent="0.2">
      <c r="A18" s="70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IF(NOT(ISNA(E18)),5*OFFSET(Batting!$CE$4,E18,0,1,1),0)</f>
        <v>0</v>
      </c>
      <c r="E18" s="9" t="e">
        <f ca="1">MATCH(A18,Batting!$A$5:$A$56,0)</f>
        <v>#N/A</v>
      </c>
      <c r="F18" s="9">
        <f ca="1">IF(NOT(ISNA(E18)),OFFSET(Batting!$B$4,E18,$C$1,1,1),0)</f>
        <v>0</v>
      </c>
      <c r="G18" s="9" t="e">
        <f ca="1">MATCH(A18,Bowling!$A$5:$A$38,0)</f>
        <v>#N/A</v>
      </c>
      <c r="H18" s="9">
        <f ca="1">IF(NOT(ISNA(G18)),OFFSET(Bowling!$CO$4,G18,0,1,1),0)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30</v>
      </c>
      <c r="N18" s="5">
        <f t="shared" ca="1" si="7"/>
        <v>36</v>
      </c>
      <c r="O18" s="5">
        <f t="shared" si="8"/>
        <v>14</v>
      </c>
      <c r="P18" s="5" t="str">
        <f t="shared" ca="1" si="1"/>
        <v>Vince Reid</v>
      </c>
      <c r="Q18" s="7">
        <f t="shared" ca="1" si="2"/>
        <v>0</v>
      </c>
      <c r="R18" s="5">
        <f t="shared" ca="1" si="3"/>
        <v>4</v>
      </c>
    </row>
    <row r="19" spans="1:18" x14ac:dyDescent="0.2">
      <c r="A19" s="70" t="str">
        <f ca="1"/>
        <v>GECO</v>
      </c>
      <c r="B19" t="str">
        <f ca="1"/>
        <v>Geoff Cooper</v>
      </c>
      <c r="C19" s="9">
        <f t="shared" ca="1" si="9"/>
        <v>417</v>
      </c>
      <c r="D19" s="9">
        <f ca="1">IF(NOT(ISNA(E19)),5*OFFSET(Batting!$CE$4,E19,0,1,1),0)</f>
        <v>55</v>
      </c>
      <c r="E19" s="9">
        <f ca="1">MATCH(A19,Batting!$A$5:$A$56,0)</f>
        <v>6</v>
      </c>
      <c r="F19" s="9">
        <f ca="1">IF(NOT(ISNA(E19)),OFFSET(Batting!$B$4,E19,$C$1,1,1),0)</f>
        <v>65</v>
      </c>
      <c r="G19" s="9">
        <f ca="1">MATCH(A19,Bowling!$A$5:$A$38,0)</f>
        <v>6</v>
      </c>
      <c r="H19" s="9">
        <f ca="1">IF(NOT(ISNA(G19)),OFFSET(Bowling!$CO$4,G19,0,1,1),0)</f>
        <v>287</v>
      </c>
      <c r="I19" s="9">
        <f ca="1">IF(NOT(ISNA(E19)),OFFSET(Batting!$B$4,E19,$C$1+1,1,1),0)</f>
        <v>10</v>
      </c>
      <c r="J19" s="9">
        <f ca="1">VLOOKUP(A19,'Fantasy Teams'!$A$45:$C$87,3,FALSE)</f>
        <v>6</v>
      </c>
      <c r="K19" s="10">
        <f t="shared" ca="1" si="4"/>
        <v>69.5</v>
      </c>
      <c r="L19" s="5">
        <f t="shared" ca="1" si="5"/>
        <v>69.500190000000003</v>
      </c>
      <c r="M19" s="5">
        <f t="shared" ca="1" si="6"/>
        <v>3</v>
      </c>
      <c r="N19" s="5">
        <f t="shared" ca="1" si="7"/>
        <v>34</v>
      </c>
      <c r="O19" s="5">
        <f t="shared" si="8"/>
        <v>15</v>
      </c>
      <c r="P19" s="5" t="str">
        <f t="shared" ca="1" si="1"/>
        <v>Ted Dugdale</v>
      </c>
      <c r="Q19" s="7">
        <f t="shared" ca="1" si="2"/>
        <v>0</v>
      </c>
      <c r="R19" s="5">
        <f t="shared" ca="1" si="3"/>
        <v>3</v>
      </c>
    </row>
    <row r="20" spans="1:18" x14ac:dyDescent="0.2">
      <c r="A20" s="70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IF(NOT(ISNA(E20)),5*OFFSET(Batting!$CE$4,E20,0,1,1),0)</f>
        <v>0</v>
      </c>
      <c r="E20" s="9" t="e">
        <f ca="1">MATCH(A20,Batting!$A$5:$A$56,0)</f>
        <v>#N/A</v>
      </c>
      <c r="F20" s="9">
        <f ca="1">IF(NOT(ISNA(E20)),OFFSET(Batting!$B$4,E20,$C$1,1,1),0)</f>
        <v>0</v>
      </c>
      <c r="G20" s="9" t="e">
        <f ca="1">MATCH(A20,Bowling!$A$5:$A$38,0)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29</v>
      </c>
      <c r="N20" s="5">
        <f t="shared" ca="1" si="7"/>
        <v>33</v>
      </c>
      <c r="O20" s="5">
        <f t="shared" si="8"/>
        <v>16</v>
      </c>
      <c r="P20" s="5" t="str">
        <f t="shared" ca="1" si="1"/>
        <v>Steve Barry</v>
      </c>
      <c r="Q20" s="7">
        <f t="shared" ca="1" si="2"/>
        <v>0</v>
      </c>
      <c r="R20" s="5">
        <f t="shared" ca="1" si="3"/>
        <v>2</v>
      </c>
    </row>
    <row r="21" spans="1:18" x14ac:dyDescent="0.2">
      <c r="A21" s="70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IF(NOT(ISNA(E21)),5*OFFSET(Batting!$CE$4,E21,0,1,1),0)</f>
        <v>0</v>
      </c>
      <c r="E21" s="9" t="e">
        <f ca="1">MATCH(A21,Batting!$A$5:$A$56,0)</f>
        <v>#N/A</v>
      </c>
      <c r="F21" s="9">
        <f ca="1">IF(NOT(ISNA(E21)),OFFSET(Batting!$B$4,E21,$C$1,1,1),0)</f>
        <v>0</v>
      </c>
      <c r="G21" s="9" t="e">
        <f ca="1">MATCH(A21,Bowling!$A$5:$A$38,0)</f>
        <v>#N/A</v>
      </c>
      <c r="H21" s="9">
        <f ca="1">IF(NOT(ISNA(G21)),OFFSET(Bowling!$CO$4,G21,0,1,1),0)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28</v>
      </c>
      <c r="N21" s="5">
        <f t="shared" ca="1" si="7"/>
        <v>32</v>
      </c>
      <c r="O21" s="5">
        <f t="shared" si="8"/>
        <v>17</v>
      </c>
      <c r="P21" s="5" t="str">
        <f t="shared" ca="1" si="1"/>
        <v>Roy Odeneal</v>
      </c>
      <c r="Q21" s="7">
        <f t="shared" ca="1" si="2"/>
        <v>0</v>
      </c>
      <c r="R21" s="5">
        <f t="shared" ca="1" si="3"/>
        <v>2</v>
      </c>
    </row>
    <row r="22" spans="1:18" x14ac:dyDescent="0.2">
      <c r="A22" s="70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IF(NOT(ISNA(E22)),5*OFFSET(Batting!$CE$4,E22,0,1,1),0)</f>
        <v>0</v>
      </c>
      <c r="E22" s="9" t="e">
        <f ca="1">MATCH(A22,Batting!$A$5:$A$56,0)</f>
        <v>#N/A</v>
      </c>
      <c r="F22" s="9">
        <f ca="1">IF(NOT(ISNA(E22)),OFFSET(Batting!$B$4,E22,$C$1,1,1),0)</f>
        <v>0</v>
      </c>
      <c r="G22" s="9" t="e">
        <f ca="1">MATCH(A22,Bowling!$A$5:$A$38,0)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27</v>
      </c>
      <c r="N22" s="5">
        <f t="shared" ca="1" si="7"/>
        <v>31</v>
      </c>
      <c r="O22" s="5">
        <f t="shared" si="8"/>
        <v>18</v>
      </c>
      <c r="P22" s="5" t="str">
        <f t="shared" ca="1" si="1"/>
        <v>Ron Morris</v>
      </c>
      <c r="Q22" s="7">
        <f t="shared" ca="1" si="2"/>
        <v>0</v>
      </c>
      <c r="R22" s="5">
        <f t="shared" ca="1" si="3"/>
        <v>2</v>
      </c>
    </row>
    <row r="23" spans="1:18" x14ac:dyDescent="0.2">
      <c r="A23" s="70" t="str">
        <f ca="1"/>
        <v>JELE</v>
      </c>
      <c r="B23" t="str">
        <f ca="1"/>
        <v>Jeff Lestrelle</v>
      </c>
      <c r="C23" s="9">
        <f t="shared" ca="1" si="9"/>
        <v>50</v>
      </c>
      <c r="D23" s="9">
        <f ca="1">IF(NOT(ISNA(E23)),5*OFFSET(Batting!$CE$4,E23,0,1,1),0)</f>
        <v>5</v>
      </c>
      <c r="E23" s="9">
        <f ca="1">MATCH(A23,Batting!$A$5:$A$56,0)</f>
        <v>22</v>
      </c>
      <c r="F23" s="9">
        <f ca="1">IF(NOT(ISNA(E23)),OFFSET(Batting!$B$4,E23,$C$1,1,1),0)</f>
        <v>20</v>
      </c>
      <c r="G23" s="9">
        <f ca="1">MATCH(A23,Bowling!$A$5:$A$38,0)</f>
        <v>18</v>
      </c>
      <c r="H23" s="9">
        <f ca="1">IF(NOT(ISNA(G23)),OFFSET(Bowling!$CO$4,G23,0,1,1),0)</f>
        <v>25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12.5</v>
      </c>
      <c r="L23" s="5">
        <f t="shared" ca="1" si="5"/>
        <v>12.50023</v>
      </c>
      <c r="M23" s="5">
        <f t="shared" ca="1" si="6"/>
        <v>5</v>
      </c>
      <c r="N23" s="5">
        <f t="shared" ca="1" si="7"/>
        <v>30</v>
      </c>
      <c r="O23" s="5">
        <f t="shared" si="8"/>
        <v>19</v>
      </c>
      <c r="P23" s="5" t="str">
        <f t="shared" ca="1" si="1"/>
        <v>Rick Worthington</v>
      </c>
      <c r="Q23" s="7">
        <f t="shared" ca="1" si="2"/>
        <v>0</v>
      </c>
      <c r="R23" s="5">
        <f t="shared" ca="1" si="3"/>
        <v>4</v>
      </c>
    </row>
    <row r="24" spans="1:18" x14ac:dyDescent="0.2">
      <c r="A24" s="70" t="str">
        <f ca="1"/>
        <v>JOEL</v>
      </c>
      <c r="B24" t="str">
        <f ca="1"/>
        <v>John Elliston</v>
      </c>
      <c r="C24" s="9">
        <f t="shared" ca="1" si="9"/>
        <v>40</v>
      </c>
      <c r="D24" s="9">
        <f ca="1">IF(NOT(ISNA(E24)),5*OFFSET(Batting!$CE$4,E24,0,1,1),0)</f>
        <v>15</v>
      </c>
      <c r="E24" s="9">
        <f ca="1">MATCH(A24,Batting!$A$5:$A$56,0)</f>
        <v>12</v>
      </c>
      <c r="F24" s="9">
        <f ca="1">IF(NOT(ISNA(E24)),OFFSET(Batting!$B$4,E24,$C$1,1,1),0)</f>
        <v>-5</v>
      </c>
      <c r="G24" s="9">
        <f ca="1">MATCH(A24,Bowling!$A$5:$A$38,0)</f>
        <v>10</v>
      </c>
      <c r="H24" s="9">
        <f ca="1">IF(NOT(ISNA(G24)),OFFSET(Bowling!$CO$4,G24,0,1,1),0)</f>
        <v>20</v>
      </c>
      <c r="I24" s="9">
        <f ca="1">IF(NOT(ISNA(E24)),OFFSET(Batting!$B$4,E24,$C$1+1,1,1),0)</f>
        <v>10</v>
      </c>
      <c r="J24" s="9">
        <f ca="1">VLOOKUP(A24,'Fantasy Teams'!$A$45:$C$87,3,FALSE)</f>
        <v>5</v>
      </c>
      <c r="K24" s="10">
        <f t="shared" ca="1" si="4"/>
        <v>8</v>
      </c>
      <c r="L24" s="5">
        <f t="shared" ca="1" si="5"/>
        <v>8.0002399999999998</v>
      </c>
      <c r="M24" s="5">
        <f t="shared" ca="1" si="6"/>
        <v>9</v>
      </c>
      <c r="N24" s="5">
        <f t="shared" ca="1" si="7"/>
        <v>29</v>
      </c>
      <c r="O24" s="5">
        <f t="shared" si="8"/>
        <v>20</v>
      </c>
      <c r="P24" s="5" t="str">
        <f t="shared" ca="1" si="1"/>
        <v>Neil Mander</v>
      </c>
      <c r="Q24" s="7">
        <f t="shared" ca="1" si="2"/>
        <v>0</v>
      </c>
      <c r="R24" s="5">
        <f t="shared" ca="1" si="3"/>
        <v>9</v>
      </c>
    </row>
    <row r="25" spans="1:18" x14ac:dyDescent="0.2">
      <c r="A25" s="70" t="str">
        <f ca="1"/>
        <v>JOLE</v>
      </c>
      <c r="B25" t="str">
        <f ca="1"/>
        <v>John Leadley</v>
      </c>
      <c r="C25" s="9">
        <f t="shared" ca="1" si="9"/>
        <v>66</v>
      </c>
      <c r="D25" s="9">
        <f ca="1">IF(NOT(ISNA(E25)),5*OFFSET(Batting!$CE$4,E25,0,1,1),0)</f>
        <v>5</v>
      </c>
      <c r="E25" s="9">
        <f ca="1">MATCH(A25,Batting!$A$5:$A$56,0)</f>
        <v>20</v>
      </c>
      <c r="F25" s="9">
        <f ca="1">IF(NOT(ISNA(E25)),OFFSET(Batting!$B$4,E25,$C$1,1,1),0)</f>
        <v>61</v>
      </c>
      <c r="G25" s="9">
        <f ca="1">MATCH(A25,Bowling!$A$5:$A$38,0)</f>
        <v>16</v>
      </c>
      <c r="H25" s="9">
        <f ca="1">IF(NOT(ISNA(G25)),OFFSET(Bowling!$CO$4,G25,0,1,1),0)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6</v>
      </c>
      <c r="L25" s="5">
        <f t="shared" ca="1" si="5"/>
        <v>6.0002500000000003</v>
      </c>
      <c r="M25" s="5">
        <f t="shared" ca="1" si="6"/>
        <v>12</v>
      </c>
      <c r="N25" s="5">
        <f t="shared" ca="1" si="7"/>
        <v>28</v>
      </c>
      <c r="O25" s="5">
        <f t="shared" si="8"/>
        <v>21</v>
      </c>
      <c r="P25" s="5" t="str">
        <f t="shared" ca="1" si="1"/>
        <v>Naimish Patel</v>
      </c>
      <c r="Q25" s="7">
        <f t="shared" ca="1" si="2"/>
        <v>0</v>
      </c>
      <c r="R25" s="5">
        <f t="shared" ca="1" si="3"/>
        <v>3</v>
      </c>
    </row>
    <row r="26" spans="1:18" x14ac:dyDescent="0.2">
      <c r="A26" s="70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IF(NOT(ISNA(E26)),5*OFFSET(Batting!$CE$4,E26,0,1,1),0)</f>
        <v>0</v>
      </c>
      <c r="E26" s="9" t="e">
        <f ca="1">MATCH(A26,Batting!$A$5:$A$56,0)</f>
        <v>#N/A</v>
      </c>
      <c r="F26" s="9">
        <f ca="1">IF(NOT(ISNA(E26)),OFFSET(Batting!$B$4,E26,$C$1,1,1),0)</f>
        <v>0</v>
      </c>
      <c r="G26" s="9" t="e">
        <f ca="1">MATCH(A26,Bowling!$A$5:$A$38,0)</f>
        <v>#N/A</v>
      </c>
      <c r="H26" s="9">
        <f ca="1">IF(NOT(ISNA(G26)),OFFSET(Bowling!$CO$4,G26,0,1,1),0)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26</v>
      </c>
      <c r="N26" s="5">
        <f t="shared" ca="1" si="7"/>
        <v>26</v>
      </c>
      <c r="O26" s="5">
        <f t="shared" si="8"/>
        <v>22</v>
      </c>
      <c r="P26" s="5" t="str">
        <f t="shared" ca="1" si="1"/>
        <v>Mike Hosking</v>
      </c>
      <c r="Q26" s="7">
        <f t="shared" ca="1" si="2"/>
        <v>0</v>
      </c>
      <c r="R26" s="5">
        <f t="shared" ca="1" si="3"/>
        <v>3</v>
      </c>
    </row>
    <row r="27" spans="1:18" x14ac:dyDescent="0.2">
      <c r="A27" s="70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IF(NOT(ISNA(E27)),5*OFFSET(Batting!$CE$4,E27,0,1,1),0)</f>
        <v>0</v>
      </c>
      <c r="E27" s="9" t="e">
        <f ca="1">MATCH(A27,Batting!$A$5:$A$56,0)</f>
        <v>#N/A</v>
      </c>
      <c r="F27" s="9">
        <f ca="1">IF(NOT(ISNA(E27)),OFFSET(Batting!$B$4,E27,$C$1,1,1),0)</f>
        <v>0</v>
      </c>
      <c r="G27" s="9" t="e">
        <f ca="1">MATCH(A27,Bowling!$A$5:$A$38,0)</f>
        <v>#N/A</v>
      </c>
      <c r="H27" s="9">
        <f ca="1">IF(NOT(ISNA(G27)),OFFSET(Bowling!$CO$4,G27,0,1,1),0)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25</v>
      </c>
      <c r="N27" s="5">
        <f t="shared" ca="1" si="7"/>
        <v>25</v>
      </c>
      <c r="O27" s="5">
        <f t="shared" si="8"/>
        <v>23</v>
      </c>
      <c r="P27" s="5" t="str">
        <f t="shared" ca="1" si="1"/>
        <v>Mike Bowers</v>
      </c>
      <c r="Q27" s="7">
        <f t="shared" ca="1" si="2"/>
        <v>0</v>
      </c>
      <c r="R27" s="5">
        <f t="shared" ca="1" si="3"/>
        <v>3</v>
      </c>
    </row>
    <row r="28" spans="1:18" x14ac:dyDescent="0.2">
      <c r="A28" s="70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IF(NOT(ISNA(E28)),5*OFFSET(Batting!$CE$4,E28,0,1,1),0)</f>
        <v>0</v>
      </c>
      <c r="E28" s="9" t="e">
        <f ca="1">MATCH(A28,Batting!$A$5:$A$56,0)</f>
        <v>#N/A</v>
      </c>
      <c r="F28" s="9">
        <f ca="1">IF(NOT(ISNA(E28)),OFFSET(Batting!$B$4,E28,$C$1,1,1),0)</f>
        <v>0</v>
      </c>
      <c r="G28" s="9" t="e">
        <f ca="1">MATCH(A28,Bowling!$A$5:$A$38,0)</f>
        <v>#N/A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24</v>
      </c>
      <c r="N28" s="5">
        <f t="shared" ca="1" si="7"/>
        <v>24</v>
      </c>
      <c r="O28" s="5">
        <f t="shared" si="8"/>
        <v>24</v>
      </c>
      <c r="P28" s="5" t="str">
        <f t="shared" ca="1" si="1"/>
        <v>Mick Clark</v>
      </c>
      <c r="Q28" s="7">
        <f t="shared" ca="1" si="2"/>
        <v>0</v>
      </c>
      <c r="R28" s="5">
        <f t="shared" ca="1" si="3"/>
        <v>2</v>
      </c>
    </row>
    <row r="29" spans="1:18" x14ac:dyDescent="0.2">
      <c r="A29" s="70" t="str">
        <f ca="1"/>
        <v>MIBO</v>
      </c>
      <c r="B29" t="str">
        <f ca="1"/>
        <v>Mike Bowers</v>
      </c>
      <c r="C29" s="9">
        <f t="shared" ca="1" si="9"/>
        <v>0</v>
      </c>
      <c r="D29" s="9">
        <f ca="1">IF(NOT(ISNA(E29)),5*OFFSET(Batting!$CE$4,E29,0,1,1),0)</f>
        <v>0</v>
      </c>
      <c r="E29" s="9">
        <f ca="1">MATCH(A29,Batting!$A$5:$A$56,0)</f>
        <v>1</v>
      </c>
      <c r="F29" s="9">
        <f ca="1">IF(NOT(ISNA(E29)),OFFSET(Batting!$B$4,E29,$C$1,1,1),0)</f>
        <v>0</v>
      </c>
      <c r="G29" s="9">
        <f ca="1">MATCH(A29,Bowling!$A$5:$A$38,0)</f>
        <v>1</v>
      </c>
      <c r="H29" s="9">
        <f ca="1">IF(NOT(ISNA(G29)),OFFSET(Bowling!$CO$4,G29,0,1,1),0)</f>
        <v>0</v>
      </c>
      <c r="I29" s="9">
        <f ca="1">IF(NOT(ISNA(E29)),OFFSET(Batting!$B$4,E29,$C$1+1,1,1),0)</f>
        <v>0</v>
      </c>
      <c r="J29" s="9">
        <f ca="1">VLOOKUP(A29,'Fantasy Teams'!$A$45:$C$87,3,FALSE)</f>
        <v>3</v>
      </c>
      <c r="K29" s="10">
        <f t="shared" ca="1" si="4"/>
        <v>0</v>
      </c>
      <c r="L29" s="5">
        <f t="shared" ca="1" si="5"/>
        <v>2.9E-4</v>
      </c>
      <c r="M29" s="5">
        <f t="shared" ca="1" si="6"/>
        <v>23</v>
      </c>
      <c r="N29" s="5">
        <f t="shared" ca="1" si="7"/>
        <v>23</v>
      </c>
      <c r="O29" s="5">
        <f t="shared" si="8"/>
        <v>25</v>
      </c>
      <c r="P29" s="5" t="str">
        <f t="shared" ca="1" si="1"/>
        <v>Kieran Moore</v>
      </c>
      <c r="Q29" s="7">
        <f t="shared" ca="1" si="2"/>
        <v>0</v>
      </c>
      <c r="R29" s="5">
        <f t="shared" ca="1" si="3"/>
        <v>2</v>
      </c>
    </row>
    <row r="30" spans="1:18" x14ac:dyDescent="0.2">
      <c r="A30" s="70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IF(NOT(ISNA(E30)),5*OFFSET(Batting!$CE$4,E30,0,1,1),0)</f>
        <v>0</v>
      </c>
      <c r="E30" s="9" t="e">
        <f ca="1">MATCH(A30,Batting!$A$5:$A$56,0)</f>
        <v>#N/A</v>
      </c>
      <c r="F30" s="9">
        <f ca="1">IF(NOT(ISNA(E30)),OFFSET(Batting!$B$4,E30,$C$1,1,1),0)</f>
        <v>0</v>
      </c>
      <c r="G30" s="9" t="e">
        <f ca="1">MATCH(A30,Bowling!$A$5:$A$38,0)</f>
        <v>#N/A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22</v>
      </c>
      <c r="N30" s="5">
        <f t="shared" ca="1" si="7"/>
        <v>22</v>
      </c>
      <c r="O30" s="5">
        <f t="shared" si="8"/>
        <v>26</v>
      </c>
      <c r="P30" s="5" t="str">
        <f t="shared" ca="1" si="1"/>
        <v>Jon Worthy</v>
      </c>
      <c r="Q30" s="7">
        <f t="shared" ca="1" si="2"/>
        <v>0</v>
      </c>
      <c r="R30" s="5">
        <f t="shared" ca="1" si="3"/>
        <v>5</v>
      </c>
    </row>
    <row r="31" spans="1:18" x14ac:dyDescent="0.2">
      <c r="A31" s="70" t="str">
        <f ca="1"/>
        <v>MIWO</v>
      </c>
      <c r="B31" t="str">
        <f ca="1"/>
        <v>Mike Woodhouse</v>
      </c>
      <c r="C31" s="9">
        <f t="shared" ca="1" si="9"/>
        <v>60</v>
      </c>
      <c r="D31" s="9">
        <f ca="1">IF(NOT(ISNA(E31)),5*OFFSET(Batting!$CE$4,E31,0,1,1),0)</f>
        <v>10</v>
      </c>
      <c r="E31" s="9">
        <f ca="1">MATCH(A31,Batting!$A$5:$A$56,0)</f>
        <v>39</v>
      </c>
      <c r="F31" s="9">
        <f ca="1">IF(NOT(ISNA(E31)),OFFSET(Batting!$B$4,E31,$C$1,1,1),0)</f>
        <v>15</v>
      </c>
      <c r="G31" s="9">
        <f ca="1">MATCH(A31,Bowling!$A$5:$A$38,0)</f>
        <v>30</v>
      </c>
      <c r="H31" s="9">
        <f ca="1">IF(NOT(ISNA(G31)),OFFSET(Bowling!$CO$4,G31,0,1,1),0)</f>
        <v>30</v>
      </c>
      <c r="I31" s="9">
        <f ca="1">IF(NOT(ISNA(E31)),OFFSET(Batting!$B$4,E31,$C$1+1,1,1),0)</f>
        <v>5</v>
      </c>
      <c r="J31" s="9">
        <f ca="1">VLOOKUP(A31,'Fantasy Teams'!$A$45:$C$87,3,FALSE)</f>
        <v>5</v>
      </c>
      <c r="K31" s="10">
        <f t="shared" ca="1" si="4"/>
        <v>12</v>
      </c>
      <c r="L31" s="5">
        <f t="shared" ca="1" si="5"/>
        <v>12.000310000000001</v>
      </c>
      <c r="M31" s="5">
        <f t="shared" ca="1" si="6"/>
        <v>6</v>
      </c>
      <c r="N31" s="5">
        <f t="shared" ca="1" si="7"/>
        <v>18</v>
      </c>
      <c r="O31" s="5">
        <f t="shared" si="8"/>
        <v>27</v>
      </c>
      <c r="P31" s="5" t="str">
        <f t="shared" ca="1" si="1"/>
        <v>Jason Crisford</v>
      </c>
      <c r="Q31" s="7">
        <f t="shared" ca="1" si="2"/>
        <v>0</v>
      </c>
      <c r="R31" s="5">
        <f t="shared" ca="1" si="3"/>
        <v>2</v>
      </c>
    </row>
    <row r="32" spans="1:18" x14ac:dyDescent="0.2">
      <c r="A32" s="70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IF(NOT(ISNA(E32)),5*OFFSET(Batting!$CE$4,E32,0,1,1),0)</f>
        <v>0</v>
      </c>
      <c r="E32" s="9">
        <f ca="1">MATCH(A32,Batting!$A$5:$A$56,0)</f>
        <v>30</v>
      </c>
      <c r="F32" s="9">
        <f ca="1">IF(NOT(ISNA(E32)),OFFSET(Batting!$B$4,E32,$C$1,1,1),0)</f>
        <v>0</v>
      </c>
      <c r="G32" s="9" t="e">
        <f ca="1">MATCH(A32,Bowling!$A$5:$A$38,0)</f>
        <v>#N/A</v>
      </c>
      <c r="H32" s="9">
        <f ca="1">IF(NOT(ISNA(G32)),OFFSET(Bowling!$CO$4,G32,0,1,1),0)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21</v>
      </c>
      <c r="N32" s="5">
        <f t="shared" ca="1" si="7"/>
        <v>17</v>
      </c>
      <c r="O32" s="5">
        <f t="shared" si="8"/>
        <v>28</v>
      </c>
      <c r="P32" s="5" t="str">
        <f t="shared" ref="P32:P46" ca="1" si="10">OFFSET($B$4,N32,0)</f>
        <v>Glyn Angell</v>
      </c>
      <c r="Q32" s="7">
        <f t="shared" ref="Q32:Q46" ca="1" si="11">OFFSET($K$4,N32,0)</f>
        <v>0</v>
      </c>
      <c r="R32" s="5">
        <f t="shared" ca="1" si="3"/>
        <v>1</v>
      </c>
    </row>
    <row r="33" spans="1:18" x14ac:dyDescent="0.2">
      <c r="A33" s="70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IF(NOT(ISNA(E33)),5*OFFSET(Batting!$CE$4,E33,0,1,1),0)</f>
        <v>0</v>
      </c>
      <c r="E33" s="9">
        <f ca="1">MATCH(A33,Batting!$A$5:$A$56,0)</f>
        <v>25</v>
      </c>
      <c r="F33" s="9">
        <f ca="1">IF(NOT(ISNA(E33)),OFFSET(Batting!$B$4,E33,$C$1,1,1),0)</f>
        <v>0</v>
      </c>
      <c r="G33" s="9" t="e">
        <f ca="1">MATCH(A33,Bowling!$A$5:$A$38,0)</f>
        <v>#N/A</v>
      </c>
      <c r="H33" s="9">
        <f ca="1">IF(NOT(ISNA(G33)),OFFSET(Bowling!$CO$4,G33,0,1,1),0)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20</v>
      </c>
      <c r="N33" s="5">
        <f t="shared" ca="1" si="7"/>
        <v>16</v>
      </c>
      <c r="O33" s="5">
        <f t="shared" si="8"/>
        <v>29</v>
      </c>
      <c r="P33" s="5" t="str">
        <f t="shared" ca="1" si="10"/>
        <v>Glen Lilley</v>
      </c>
      <c r="Q33" s="7">
        <f t="shared" ca="1" si="11"/>
        <v>0</v>
      </c>
      <c r="R33" s="5">
        <f t="shared" ca="1" si="3"/>
        <v>2</v>
      </c>
    </row>
    <row r="34" spans="1:18" x14ac:dyDescent="0.2">
      <c r="A34" s="70" t="str">
        <f ca="1"/>
        <v>RIWO</v>
      </c>
      <c r="B34" t="str">
        <f ca="1"/>
        <v>Rick Worthington</v>
      </c>
      <c r="C34" s="9">
        <f t="shared" ca="1" si="12"/>
        <v>0</v>
      </c>
      <c r="D34" s="9">
        <f ca="1">IF(NOT(ISNA(E34)),5*OFFSET(Batting!$CE$4,E34,0,1,1),0)</f>
        <v>0</v>
      </c>
      <c r="E34" s="9">
        <f ca="1">MATCH(A34,Batting!$A$5:$A$56,0)</f>
        <v>40</v>
      </c>
      <c r="F34" s="9">
        <f ca="1">IF(NOT(ISNA(E34)),OFFSET(Batting!$B$4,E34,$C$1,1,1),0)</f>
        <v>0</v>
      </c>
      <c r="G34" s="9" t="e">
        <f ca="1">MATCH(A34,Bowling!$A$5:$A$38,0)</f>
        <v>#N/A</v>
      </c>
      <c r="H34" s="9">
        <f ca="1">IF(NOT(ISNA(G34)),OFFSET(Bowling!$CO$4,G34,0,1,1),0)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0</v>
      </c>
      <c r="L34" s="5">
        <f t="shared" ca="1" si="5"/>
        <v>3.4000000000000002E-4</v>
      </c>
      <c r="M34" s="5">
        <f t="shared" ca="1" si="6"/>
        <v>19</v>
      </c>
      <c r="N34" s="5">
        <f t="shared" ca="1" si="7"/>
        <v>14</v>
      </c>
      <c r="O34" s="5">
        <f t="shared" si="8"/>
        <v>30</v>
      </c>
      <c r="P34" s="5" t="str">
        <f t="shared" ca="1" si="10"/>
        <v>Del Shewan</v>
      </c>
      <c r="Q34" s="7">
        <f t="shared" ca="1" si="11"/>
        <v>0</v>
      </c>
      <c r="R34" s="5">
        <f t="shared" ca="1" si="3"/>
        <v>3</v>
      </c>
    </row>
    <row r="35" spans="1:18" x14ac:dyDescent="0.2">
      <c r="A35" s="70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IF(NOT(ISNA(E35)),5*OFFSET(Batting!$CE$4,E35,0,1,1),0)</f>
        <v>0</v>
      </c>
      <c r="E35" s="9" t="e">
        <f ca="1">MATCH(A35,Batting!$A$5:$A$56,0)</f>
        <v>#N/A</v>
      </c>
      <c r="F35" s="9">
        <f ca="1">IF(NOT(ISNA(E35)),OFFSET(Batting!$B$4,E35,$C$1,1,1),0)</f>
        <v>0</v>
      </c>
      <c r="G35" s="9" t="e">
        <f ca="1">MATCH(A35,Bowling!$A$5:$A$38,0)</f>
        <v>#N/A</v>
      </c>
      <c r="H35" s="9">
        <f ca="1">IF(NOT(ISNA(G35)),OFFSET(Bowling!$CO$4,G35,0,1,1),0)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18</v>
      </c>
      <c r="N35" s="5">
        <f t="shared" ca="1" si="7"/>
        <v>13</v>
      </c>
      <c r="O35" s="5">
        <f t="shared" si="8"/>
        <v>31</v>
      </c>
      <c r="P35" s="5" t="str">
        <f t="shared" ca="1" si="10"/>
        <v>David Snow</v>
      </c>
      <c r="Q35" s="7">
        <f t="shared" ca="1" si="11"/>
        <v>0</v>
      </c>
      <c r="R35" s="5">
        <f t="shared" ca="1" si="3"/>
        <v>3</v>
      </c>
    </row>
    <row r="36" spans="1:18" x14ac:dyDescent="0.2">
      <c r="A36" s="70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IF(NOT(ISNA(E36)),5*OFFSET(Batting!$CE$4,E36,0,1,1),0)</f>
        <v>0</v>
      </c>
      <c r="E36" s="9">
        <f ca="1">MATCH(A36,Batting!$A$5:$A$56,0)</f>
        <v>29</v>
      </c>
      <c r="F36" s="9">
        <f ca="1">IF(NOT(ISNA(E36)),OFFSET(Batting!$B$4,E36,$C$1,1,1),0)</f>
        <v>0</v>
      </c>
      <c r="G36" s="9" t="e">
        <f ca="1">MATCH(A36,Bowling!$A$5:$A$38,0)</f>
        <v>#N/A</v>
      </c>
      <c r="H36" s="9">
        <f ca="1">IF(NOT(ISNA(G36)),OFFSET(Bowling!$CO$4,G36,0,1,1),0)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17</v>
      </c>
      <c r="N36" s="5">
        <f t="shared" ca="1" si="7"/>
        <v>10</v>
      </c>
      <c r="O36" s="5">
        <f t="shared" si="8"/>
        <v>32</v>
      </c>
      <c r="P36" s="5" t="str">
        <f t="shared" ca="1" si="10"/>
        <v>Dave Morris</v>
      </c>
      <c r="Q36" s="7">
        <f t="shared" ca="1" si="11"/>
        <v>0</v>
      </c>
      <c r="R36" s="5">
        <f t="shared" ca="1" si="3"/>
        <v>5</v>
      </c>
    </row>
    <row r="37" spans="1:18" x14ac:dyDescent="0.2">
      <c r="A37" s="70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IF(NOT(ISNA(E37)),5*OFFSET(Batting!$CE$4,E37,0,1,1),0)</f>
        <v>0</v>
      </c>
      <c r="E37" s="9" t="e">
        <f ca="1">MATCH(A37,Batting!$A$5:$A$56,0)</f>
        <v>#N/A</v>
      </c>
      <c r="F37" s="9">
        <f ca="1">IF(NOT(ISNA(E37)),OFFSET(Batting!$B$4,E37,$C$1,1,1),0)</f>
        <v>0</v>
      </c>
      <c r="G37" s="9" t="e">
        <f ca="1">MATCH(A37,Bowling!$A$5:$A$38,0)</f>
        <v>#N/A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16</v>
      </c>
      <c r="N37" s="5">
        <f t="shared" ca="1" si="7"/>
        <v>9</v>
      </c>
      <c r="O37" s="5">
        <f t="shared" si="8"/>
        <v>33</v>
      </c>
      <c r="P37" s="5" t="str">
        <f t="shared" ca="1" si="10"/>
        <v>Daragh Corrigan</v>
      </c>
      <c r="Q37" s="7">
        <f t="shared" ca="1" si="11"/>
        <v>0</v>
      </c>
      <c r="R37" s="5">
        <f t="shared" ca="1" si="3"/>
        <v>2</v>
      </c>
    </row>
    <row r="38" spans="1:18" x14ac:dyDescent="0.2">
      <c r="A38" s="70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IF(NOT(ISNA(E38)),5*OFFSET(Batting!$CE$4,E38,0,1,1),0)</f>
        <v>0</v>
      </c>
      <c r="E38" s="9" t="e">
        <f ca="1">MATCH(A38,Batting!$A$5:$A$56,0)</f>
        <v>#N/A</v>
      </c>
      <c r="F38" s="9">
        <f ca="1">IF(NOT(ISNA(E38)),OFFSET(Batting!$B$4,E38,$C$1,1,1),0)</f>
        <v>0</v>
      </c>
      <c r="G38" s="9" t="e">
        <f ca="1">MATCH(A38,Bowling!$A$5:$A$38,0)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15</v>
      </c>
      <c r="N38" s="5">
        <f t="shared" ca="1" si="7"/>
        <v>8</v>
      </c>
      <c r="O38" s="5">
        <f t="shared" si="8"/>
        <v>34</v>
      </c>
      <c r="P38" s="5" t="str">
        <f t="shared" ca="1" si="10"/>
        <v>Colin Mander</v>
      </c>
      <c r="Q38" s="7">
        <f t="shared" ca="1" si="11"/>
        <v>0</v>
      </c>
      <c r="R38" s="5">
        <f t="shared" ca="1" si="3"/>
        <v>9</v>
      </c>
    </row>
    <row r="39" spans="1:18" x14ac:dyDescent="0.2">
      <c r="A39" s="70" t="str">
        <f ca="1"/>
        <v>TOSP</v>
      </c>
      <c r="B39" t="str">
        <f ca="1"/>
        <v>Tony Springer</v>
      </c>
      <c r="C39" s="9">
        <f t="shared" ca="1" si="12"/>
        <v>58</v>
      </c>
      <c r="D39" s="9">
        <f ca="1">IF(NOT(ISNA(E39)),5*OFFSET(Batting!$CE$4,E39,0,1,1),0)</f>
        <v>5</v>
      </c>
      <c r="E39" s="9">
        <f ca="1">MATCH(A39,Batting!$A$5:$A$56,0)</f>
        <v>36</v>
      </c>
      <c r="F39" s="9">
        <f ca="1">IF(NOT(ISNA(E39)),OFFSET(Batting!$B$4,E39,$C$1,1,1),0)</f>
        <v>32</v>
      </c>
      <c r="G39" s="9">
        <f ca="1">MATCH(A39,Bowling!$A$5:$A$38,0)</f>
        <v>28</v>
      </c>
      <c r="H39" s="9">
        <f ca="1">IF(NOT(ISNA(G39)),OFFSET(Bowling!$CO$4,G39,0,1,1),0)</f>
        <v>21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4.4610000000000003</v>
      </c>
      <c r="L39" s="5">
        <f t="shared" ca="1" si="5"/>
        <v>4.4613900000000006</v>
      </c>
      <c r="M39" s="5">
        <f t="shared" ca="1" si="6"/>
        <v>13</v>
      </c>
      <c r="N39" s="5">
        <f t="shared" ca="1" si="7"/>
        <v>5</v>
      </c>
      <c r="O39" s="5">
        <f t="shared" si="8"/>
        <v>35</v>
      </c>
      <c r="P39" s="5" t="str">
        <f t="shared" ca="1" si="10"/>
        <v>Bob Young</v>
      </c>
      <c r="Q39" s="7">
        <f t="shared" ca="1" si="11"/>
        <v>0</v>
      </c>
      <c r="R39" s="5">
        <f t="shared" ca="1" si="3"/>
        <v>4</v>
      </c>
    </row>
    <row r="40" spans="1:18" x14ac:dyDescent="0.2">
      <c r="A40" s="70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IF(NOT(ISNA(E40)),5*OFFSET(Batting!$CE$4,E40,0,1,1),0)</f>
        <v>0</v>
      </c>
      <c r="E40" s="9" t="e">
        <f ca="1">MATCH(A40,Batting!$A$5:$A$56,0)</f>
        <v>#N/A</v>
      </c>
      <c r="F40" s="9">
        <f ca="1">IF(NOT(ISNA(E40)),OFFSET(Batting!$B$4,E40,$C$1,1,1),0)</f>
        <v>0</v>
      </c>
      <c r="G40" s="9" t="e">
        <f ca="1">MATCH(A40,Bowling!$A$5:$A$38,0)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14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70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IF(NOT(ISNA(E41)),5*OFFSET(Batting!$CE$4,E41,0,1,1),0)</f>
        <v>0</v>
      </c>
      <c r="E41" s="9" t="e">
        <f ca="1">MATCH(A41,Batting!$A$5:$A$56,0)</f>
        <v>#N/A</v>
      </c>
      <c r="F41" s="9">
        <f ca="1">IF(NOT(ISNA(E41)),OFFSET(Batting!$B$4,E41,$C$1,1,1),0)</f>
        <v>0</v>
      </c>
      <c r="G41" s="9" t="e">
        <f ca="1">MATCH(A41,Bowling!$A$5:$A$38,0)</f>
        <v>#N/A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70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IF(NOT(ISNA(E42)),5*OFFSET(Batting!$CE$4,E42,0,1,1),0)</f>
        <v>0</v>
      </c>
      <c r="E42" s="9" t="e">
        <f ca="1">MATCH(A42,Batting!$A$5:$A$56,0)</f>
        <v>#N/A</v>
      </c>
      <c r="F42" s="9">
        <f ca="1">IF(NOT(ISNA(E42)),OFFSET(Batting!$B$4,E42,$C$1,1,1),0)</f>
        <v>0</v>
      </c>
      <c r="G42" s="9" t="e">
        <f ca="1">MATCH(A42,Bowling!$A$5:$A$38,0)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70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IF(NOT(ISNA(E43)),5*OFFSET(Batting!$CE$4,E43,0,1,1),0)</f>
        <v>0</v>
      </c>
      <c r="E43" s="9" t="e">
        <f ca="1">MATCH(A43,Batting!$A$5:$A$56,0)</f>
        <v>#N/A</v>
      </c>
      <c r="F43" s="9">
        <f ca="1">IF(NOT(ISNA(E43)),OFFSET(Batting!$B$4,E43,$C$1,1,1),0)</f>
        <v>0</v>
      </c>
      <c r="G43" s="9" t="e">
        <f ca="1">MATCH(A43,Bowling!$A$5:$A$38,0)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70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IF(NOT(ISNA(E44)),5*OFFSET(Batting!$CE$4,E44,0,1,1),0)</f>
        <v>0</v>
      </c>
      <c r="E44" s="9" t="e">
        <f ca="1">MATCH(A44,Batting!$A$5:$A$56,0)</f>
        <v>#N/A</v>
      </c>
      <c r="F44" s="9">
        <f ca="1">IF(NOT(ISNA(E44)),OFFSET(Batting!$B$4,E44,$C$1,1,1),0)</f>
        <v>0</v>
      </c>
      <c r="G44" s="9" t="e">
        <f ca="1">MATCH(A44,Bowling!$A$5:$A$38,0)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70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IF(NOT(ISNA(E45)),5*OFFSET(Batting!$CE$4,E45,0,1,1),0)</f>
        <v>0</v>
      </c>
      <c r="E45" s="9" t="e">
        <f ca="1">MATCH(A45,Batting!$A$5:$A$56,0)</f>
        <v>#N/A</v>
      </c>
      <c r="F45" s="9">
        <f ca="1">IF(NOT(ISNA(E45)),OFFSET(Batting!$B$4,E45,$C$1,1,1),0)</f>
        <v>0</v>
      </c>
      <c r="G45" s="9" t="e">
        <f ca="1">MATCH(A45,Bowling!$A$5:$A$38,0)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70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IF(NOT(ISNA(E46)),5*OFFSET(Batting!$CE$4,E46,0,1,1),0)</f>
        <v>0</v>
      </c>
      <c r="E46" s="9" t="e">
        <f ca="1">MATCH(A46,Batting!$A$5:$A$56,0)</f>
        <v>#N/A</v>
      </c>
      <c r="F46" s="9">
        <f ca="1">IF(NOT(ISNA(E46)),OFFSET(Batting!$B$4,E46,$C$1,1,1),0)</f>
        <v>0</v>
      </c>
      <c r="G46" s="9" t="e">
        <f ca="1">MATCH(A46,Bowling!$A$5:$A$38,0)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05"/>
    <col min="11" max="16384" width="9.140625" style="16"/>
  </cols>
  <sheetData>
    <row r="1" spans="1:10" ht="12.75" customHeight="1" x14ac:dyDescent="0.25">
      <c r="A1" s="13" t="s">
        <v>87</v>
      </c>
      <c r="B1" s="14" t="s">
        <v>95</v>
      </c>
      <c r="C1" s="14" t="s">
        <v>96</v>
      </c>
      <c r="D1" s="14" t="s">
        <v>90</v>
      </c>
      <c r="E1" s="14" t="s">
        <v>92</v>
      </c>
      <c r="F1" s="14" t="s">
        <v>93</v>
      </c>
      <c r="G1" s="14" t="s">
        <v>81</v>
      </c>
      <c r="H1" s="15" t="s">
        <v>97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9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369</v>
      </c>
      <c r="C3" s="18">
        <f ca="1">FantasyPts!D6</f>
        <v>80</v>
      </c>
      <c r="D3" s="18">
        <f ca="1">FantasyPts!F6</f>
        <v>65</v>
      </c>
      <c r="E3" s="18">
        <f ca="1">FantasyPts!H6</f>
        <v>189</v>
      </c>
      <c r="F3" s="18">
        <f ca="1">FantasyPts!I6</f>
        <v>35</v>
      </c>
      <c r="G3" s="18">
        <f ca="1">FantasyPts!J6</f>
        <v>2</v>
      </c>
      <c r="H3" s="19">
        <f ca="1">FantasyPts!K6</f>
        <v>184.5</v>
      </c>
      <c r="I3" s="16">
        <f t="shared" ref="I3:I38" ca="1" si="0">INT(B3/100+0.5)</f>
        <v>4</v>
      </c>
      <c r="J3" s="109">
        <f t="shared" ref="J3:J42" ca="1" si="1">I3-G3</f>
        <v>2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19</v>
      </c>
      <c r="C4" s="18">
        <f ca="1">FantasyPts!D7</f>
        <v>10</v>
      </c>
      <c r="D4" s="18">
        <f ca="1">FantasyPts!F7</f>
        <v>9</v>
      </c>
      <c r="E4" s="18">
        <f ca="1">FantasyPts!H7</f>
        <v>0</v>
      </c>
      <c r="F4" s="18">
        <f ca="1">FantasyPts!I7</f>
        <v>0</v>
      </c>
      <c r="G4" s="18">
        <f ca="1">FantasyPts!J7</f>
        <v>3</v>
      </c>
      <c r="H4" s="19">
        <f ca="1">FantasyPts!K7</f>
        <v>6.3330000000000002</v>
      </c>
      <c r="I4" s="16">
        <f t="shared" ca="1" si="0"/>
        <v>0</v>
      </c>
      <c r="J4" s="109">
        <f t="shared" ca="1" si="1"/>
        <v>-3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45</v>
      </c>
      <c r="C5" s="18">
        <f ca="1">FantasyPts!D8</f>
        <v>10</v>
      </c>
      <c r="D5" s="18">
        <f ca="1">FantasyPts!F8</f>
        <v>0</v>
      </c>
      <c r="E5" s="18">
        <f ca="1">FantasyPts!H8</f>
        <v>35</v>
      </c>
      <c r="F5" s="18">
        <f ca="1">FantasyPts!I8</f>
        <v>0</v>
      </c>
      <c r="G5" s="18">
        <f ca="1">FantasyPts!J8</f>
        <v>6</v>
      </c>
      <c r="H5" s="19">
        <f ca="1">FantasyPts!K8</f>
        <v>7.5</v>
      </c>
      <c r="I5" s="16">
        <f t="shared" ca="1" si="0"/>
        <v>0</v>
      </c>
      <c r="J5" s="109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9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406</v>
      </c>
      <c r="C7" s="18">
        <f ca="1">FantasyPts!D10</f>
        <v>60</v>
      </c>
      <c r="D7" s="18">
        <f ca="1">FantasyPts!F10</f>
        <v>32</v>
      </c>
      <c r="E7" s="18">
        <f ca="1">FantasyPts!H10</f>
        <v>304</v>
      </c>
      <c r="F7" s="18">
        <f ca="1">FantasyPts!I10</f>
        <v>10</v>
      </c>
      <c r="G7" s="18">
        <f ca="1">FantasyPts!J10</f>
        <v>6</v>
      </c>
      <c r="H7" s="19">
        <f ca="1">FantasyPts!K10</f>
        <v>67.665999999999997</v>
      </c>
      <c r="I7" s="16">
        <f t="shared" ca="1" si="0"/>
        <v>4</v>
      </c>
      <c r="J7" s="109">
        <f t="shared" ca="1" si="1"/>
        <v>-2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316</v>
      </c>
      <c r="C8" s="18">
        <f ca="1">FantasyPts!D11</f>
        <v>60</v>
      </c>
      <c r="D8" s="18">
        <f ca="1">FantasyPts!F11</f>
        <v>251</v>
      </c>
      <c r="E8" s="18">
        <f ca="1">FantasyPts!H11</f>
        <v>0</v>
      </c>
      <c r="F8" s="18">
        <f ca="1">FantasyPts!I11</f>
        <v>5</v>
      </c>
      <c r="G8" s="18">
        <f ca="1">FantasyPts!J11</f>
        <v>2</v>
      </c>
      <c r="H8" s="19">
        <f ca="1">FantasyPts!K11</f>
        <v>158</v>
      </c>
      <c r="I8" s="16">
        <f t="shared" ca="1" si="0"/>
        <v>3</v>
      </c>
      <c r="J8" s="109">
        <f t="shared" ca="1" si="1"/>
        <v>1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9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9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9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41</v>
      </c>
      <c r="C12" s="18">
        <f ca="1">FantasyPts!D15</f>
        <v>10</v>
      </c>
      <c r="D12" s="18">
        <f ca="1">FantasyPts!F15</f>
        <v>4</v>
      </c>
      <c r="E12" s="18">
        <f ca="1">FantasyPts!H15</f>
        <v>22</v>
      </c>
      <c r="F12" s="18">
        <f ca="1">FantasyPts!I15</f>
        <v>5</v>
      </c>
      <c r="G12" s="18">
        <f ca="1">FantasyPts!J15</f>
        <v>4</v>
      </c>
      <c r="H12" s="19">
        <f ca="1">FantasyPts!K15</f>
        <v>10.25</v>
      </c>
      <c r="I12" s="16">
        <f t="shared" ca="1" si="0"/>
        <v>0</v>
      </c>
      <c r="J12" s="109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33</v>
      </c>
      <c r="C13" s="18">
        <f ca="1">FantasyPts!D16</f>
        <v>10</v>
      </c>
      <c r="D13" s="18">
        <f ca="1">FantasyPts!F16</f>
        <v>23</v>
      </c>
      <c r="E13" s="18">
        <f ca="1">FantasyPts!H16</f>
        <v>0</v>
      </c>
      <c r="F13" s="18">
        <f ca="1">FantasyPts!I16</f>
        <v>0</v>
      </c>
      <c r="G13" s="18">
        <f ca="1">FantasyPts!J16</f>
        <v>3</v>
      </c>
      <c r="H13" s="19">
        <f ca="1">FantasyPts!K16</f>
        <v>11</v>
      </c>
      <c r="I13" s="16">
        <f t="shared" ca="1" si="0"/>
        <v>0</v>
      </c>
      <c r="J13" s="109">
        <f t="shared" ca="1" si="1"/>
        <v>-3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9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9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417</v>
      </c>
      <c r="C16" s="18">
        <f ca="1">FantasyPts!D19</f>
        <v>55</v>
      </c>
      <c r="D16" s="18">
        <f ca="1">FantasyPts!F19</f>
        <v>65</v>
      </c>
      <c r="E16" s="18">
        <f ca="1">FantasyPts!H19</f>
        <v>287</v>
      </c>
      <c r="F16" s="18">
        <f ca="1">FantasyPts!I19</f>
        <v>10</v>
      </c>
      <c r="G16" s="18">
        <f ca="1">FantasyPts!J19</f>
        <v>6</v>
      </c>
      <c r="H16" s="19">
        <f ca="1">FantasyPts!K19</f>
        <v>69.5</v>
      </c>
      <c r="I16" s="16">
        <f t="shared" ca="1" si="0"/>
        <v>4</v>
      </c>
      <c r="J16" s="109">
        <f t="shared" ca="1" si="1"/>
        <v>-2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9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9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9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50</v>
      </c>
      <c r="C20" s="18">
        <f ca="1">FantasyPts!D23</f>
        <v>5</v>
      </c>
      <c r="D20" s="18">
        <f ca="1">FantasyPts!F23</f>
        <v>20</v>
      </c>
      <c r="E20" s="18">
        <f ca="1">FantasyPts!H23</f>
        <v>25</v>
      </c>
      <c r="F20" s="18">
        <f ca="1">FantasyPts!I23</f>
        <v>0</v>
      </c>
      <c r="G20" s="18">
        <f ca="1">FantasyPts!J23</f>
        <v>4</v>
      </c>
      <c r="H20" s="19">
        <f ca="1">FantasyPts!K23</f>
        <v>12.5</v>
      </c>
      <c r="I20" s="16">
        <f t="shared" ca="1" si="0"/>
        <v>1</v>
      </c>
      <c r="J20" s="109">
        <f t="shared" ca="1" si="1"/>
        <v>-3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40</v>
      </c>
      <c r="C21" s="18">
        <f ca="1">FantasyPts!D24</f>
        <v>15</v>
      </c>
      <c r="D21" s="18">
        <f ca="1">FantasyPts!F24</f>
        <v>-5</v>
      </c>
      <c r="E21" s="18">
        <f ca="1">FantasyPts!H24</f>
        <v>20</v>
      </c>
      <c r="F21" s="18">
        <f ca="1">FantasyPts!I24</f>
        <v>10</v>
      </c>
      <c r="G21" s="18">
        <f ca="1">FantasyPts!J24</f>
        <v>5</v>
      </c>
      <c r="H21" s="19">
        <f ca="1">FantasyPts!K24</f>
        <v>8</v>
      </c>
      <c r="I21" s="16">
        <f t="shared" ca="1" si="0"/>
        <v>0</v>
      </c>
      <c r="J21" s="109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66</v>
      </c>
      <c r="C22" s="18">
        <f ca="1">FantasyPts!D25</f>
        <v>5</v>
      </c>
      <c r="D22" s="18">
        <f ca="1">FantasyPts!F25</f>
        <v>61</v>
      </c>
      <c r="E22" s="18">
        <f ca="1">FantasyPts!H25</f>
        <v>0</v>
      </c>
      <c r="F22" s="18">
        <f ca="1">FantasyPts!I25</f>
        <v>0</v>
      </c>
      <c r="G22" s="18">
        <f ca="1">FantasyPts!J25</f>
        <v>11</v>
      </c>
      <c r="H22" s="19">
        <f ca="1">FantasyPts!K25</f>
        <v>6</v>
      </c>
      <c r="I22" s="16">
        <f t="shared" ca="1" si="0"/>
        <v>1</v>
      </c>
      <c r="J22" s="109">
        <f t="shared" ca="1" si="1"/>
        <v>-10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9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9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9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0</v>
      </c>
      <c r="C26" s="18">
        <f ca="1">FantasyPts!D29</f>
        <v>0</v>
      </c>
      <c r="D26" s="18">
        <f ca="1">FantasyPts!F29</f>
        <v>0</v>
      </c>
      <c r="E26" s="18">
        <f ca="1">FantasyPts!H29</f>
        <v>0</v>
      </c>
      <c r="F26" s="18">
        <f ca="1">FantasyPts!I29</f>
        <v>0</v>
      </c>
      <c r="G26" s="18">
        <f ca="1">FantasyPts!J29</f>
        <v>3</v>
      </c>
      <c r="H26" s="19">
        <f ca="1">FantasyPts!K29</f>
        <v>0</v>
      </c>
      <c r="I26" s="16">
        <f t="shared" ca="1" si="0"/>
        <v>0</v>
      </c>
      <c r="J26" s="109">
        <f t="shared" ca="1" si="1"/>
        <v>-3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9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60</v>
      </c>
      <c r="C28" s="18">
        <f ca="1">FantasyPts!D31</f>
        <v>10</v>
      </c>
      <c r="D28" s="18">
        <f ca="1">FantasyPts!F31</f>
        <v>15</v>
      </c>
      <c r="E28" s="18">
        <f ca="1">FantasyPts!H31</f>
        <v>30</v>
      </c>
      <c r="F28" s="18">
        <f ca="1">FantasyPts!I31</f>
        <v>5</v>
      </c>
      <c r="G28" s="18">
        <f ca="1">FantasyPts!J31</f>
        <v>5</v>
      </c>
      <c r="H28" s="19">
        <f ca="1">FantasyPts!K31</f>
        <v>12</v>
      </c>
      <c r="I28" s="16">
        <f t="shared" ca="1" si="0"/>
        <v>1</v>
      </c>
      <c r="J28" s="109">
        <f t="shared" ca="1" si="1"/>
        <v>-4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9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9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0</v>
      </c>
      <c r="C31" s="18">
        <f ca="1">FantasyPts!D34</f>
        <v>0</v>
      </c>
      <c r="D31" s="18">
        <f ca="1">FantasyPts!F34</f>
        <v>0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0</v>
      </c>
      <c r="I31" s="16">
        <f t="shared" ca="1" si="0"/>
        <v>0</v>
      </c>
      <c r="J31" s="109">
        <f t="shared" ca="1" si="1"/>
        <v>-4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9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9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9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9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58</v>
      </c>
      <c r="C36" s="18">
        <f ca="1">FantasyPts!D39</f>
        <v>5</v>
      </c>
      <c r="D36" s="18">
        <f ca="1">FantasyPts!F39</f>
        <v>32</v>
      </c>
      <c r="E36" s="18">
        <f ca="1">FantasyPts!H39</f>
        <v>21</v>
      </c>
      <c r="F36" s="18">
        <f ca="1">FantasyPts!I39</f>
        <v>0</v>
      </c>
      <c r="G36" s="18">
        <f ca="1">FantasyPts!J39</f>
        <v>13</v>
      </c>
      <c r="H36" s="19">
        <f ca="1">FantasyPts!K39</f>
        <v>4.4610000000000003</v>
      </c>
      <c r="I36" s="16">
        <f t="shared" ca="1" si="0"/>
        <v>1</v>
      </c>
      <c r="J36" s="109">
        <f t="shared" ca="1" si="1"/>
        <v>-12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9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9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9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9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9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9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84" customWidth="1"/>
    <col min="2" max="2" width="18" style="83" customWidth="1"/>
    <col min="3" max="3" width="40.5703125" style="83" bestFit="1" customWidth="1"/>
    <col min="4" max="4" width="9.7109375" style="84" customWidth="1"/>
    <col min="5" max="8" width="9" style="83" customWidth="1"/>
    <col min="9" max="9" width="12.28515625" style="83" customWidth="1"/>
    <col min="10" max="10" width="9.140625" customWidth="1"/>
    <col min="11" max="15" width="5.85546875" style="83" customWidth="1"/>
    <col min="16" max="16" width="10.5703125" style="83" customWidth="1"/>
    <col min="17" max="17" width="9" style="83" customWidth="1"/>
    <col min="18" max="18" width="11.5703125" style="83" customWidth="1"/>
    <col min="19" max="16384" width="9" style="83"/>
  </cols>
  <sheetData>
    <row r="1" spans="1:27" x14ac:dyDescent="0.25">
      <c r="A1" s="82" t="s">
        <v>224</v>
      </c>
    </row>
    <row r="2" spans="1:27" x14ac:dyDescent="0.25">
      <c r="A2" s="82"/>
    </row>
    <row r="3" spans="1:27" ht="15" x14ac:dyDescent="0.3">
      <c r="A3" s="11" t="s">
        <v>216</v>
      </c>
      <c r="B3" s="12" t="s">
        <v>98</v>
      </c>
      <c r="C3" s="12" t="s">
        <v>99</v>
      </c>
      <c r="D3" s="11" t="s">
        <v>100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107"/>
      <c r="Q7" s="107"/>
      <c r="R7" s="107"/>
      <c r="S7" s="107"/>
      <c r="T7" s="107"/>
      <c r="U7" s="107"/>
      <c r="V7" s="107"/>
      <c r="W7" s="107"/>
      <c r="X7" s="107"/>
      <c r="Y7" s="107"/>
      <c r="Z7" s="107"/>
      <c r="AA7" s="107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  <c r="AA8" s="107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107"/>
      <c r="Q9" s="107"/>
      <c r="R9" s="107"/>
      <c r="S9" s="107"/>
      <c r="T9" s="107"/>
      <c r="U9" s="107"/>
      <c r="V9" s="107"/>
      <c r="W9" s="107"/>
      <c r="X9" s="107"/>
      <c r="Y9" s="107"/>
      <c r="Z9" s="107"/>
      <c r="AA9" s="107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83"/>
      <c r="D43" s="83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11</vt:i4>
      </vt:variant>
    </vt:vector>
  </HeadingPairs>
  <TitlesOfParts>
    <vt:vector size="21" baseType="lpstr">
      <vt:lpstr>Matches</vt:lpstr>
      <vt:lpstr>Batting</vt:lpstr>
      <vt:lpstr>Bowling</vt:lpstr>
      <vt:lpstr>BatAves</vt:lpstr>
      <vt:lpstr>BowlAves</vt:lpstr>
      <vt:lpstr>Other</vt:lpstr>
      <vt:lpstr>Fantasy Teams</vt:lpstr>
      <vt:lpstr>FantasyPts</vt:lpstr>
      <vt:lpstr>Player Stats</vt:lpstr>
      <vt:lpstr>League Table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Woodhouse</dc:creator>
  <cp:lastModifiedBy>Mike Woodhouse</cp:lastModifiedBy>
  <cp:lastPrinted>2008-02-21T13:34:41Z</cp:lastPrinted>
  <dcterms:created xsi:type="dcterms:W3CDTF">1995-07-17T18:41:11Z</dcterms:created>
  <dcterms:modified xsi:type="dcterms:W3CDTF">2023-11-21T15:53:35Z</dcterms:modified>
</cp:coreProperties>
</file>
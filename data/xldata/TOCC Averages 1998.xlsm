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-15" yWindow="0" windowWidth="19170" windowHeight="13005" tabRatio="519" activeTab="2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r:id="rId6"/>
    <sheet name="FantasyPts" sheetId="5" r:id="rId7"/>
    <sheet name="Player Stats" sheetId="6" r:id="rId8"/>
    <sheet name="League Table" sheetId="7" r:id="rId9"/>
    <sheet name="modFuncs" sheetId="8" state="veryHidden" r:id="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BatAves!$A$1:$I$50</definedName>
    <definedName name="_xlnm.Print_Area" localSheetId="4">BowlAves!$A$1:$K$31</definedName>
    <definedName name="_xlnm.Print_Area" localSheetId="0">Matches!$A$4:$N$59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1" i="2" l="1" a="1"/>
  <c r="AI1" i="2" s="1"/>
  <c r="A5" i="2"/>
  <c r="CO5" i="2"/>
  <c r="CO5" i="2" a="1"/>
  <c r="CP5" i="2" a="1"/>
  <c r="CP5" i="2" s="1"/>
  <c r="CR5" i="2"/>
  <c r="CR5" i="2" a="1"/>
  <c r="CS5" i="2" a="1"/>
  <c r="CS5" i="2" s="1"/>
  <c r="CT5" i="2" a="1"/>
  <c r="CT5" i="2" s="1"/>
  <c r="CU5" i="2" a="1"/>
  <c r="CU5" i="2" s="1"/>
  <c r="CV5" i="2" a="1"/>
  <c r="CV5" i="2" s="1"/>
  <c r="DF5" i="2"/>
  <c r="A6" i="2"/>
  <c r="CO6" i="2" a="1"/>
  <c r="CO6" i="2" s="1"/>
  <c r="CP6" i="2" a="1"/>
  <c r="CP6" i="2" s="1"/>
  <c r="CR6" i="2" a="1"/>
  <c r="CR6" i="2" s="1"/>
  <c r="CS6" i="2" a="1"/>
  <c r="CS6" i="2" s="1"/>
  <c r="CT6" i="2"/>
  <c r="CT6" i="2" a="1"/>
  <c r="CU6" i="2" a="1"/>
  <c r="CU6" i="2" s="1"/>
  <c r="CV6" i="2"/>
  <c r="CV6" i="2" a="1"/>
  <c r="DF6" i="2"/>
  <c r="A7" i="2"/>
  <c r="CO7" i="2" a="1"/>
  <c r="CO7" i="2" s="1"/>
  <c r="CP7" i="2"/>
  <c r="CP7" i="2" a="1"/>
  <c r="CR7" i="2" a="1"/>
  <c r="CR7" i="2" s="1"/>
  <c r="CS7" i="2"/>
  <c r="CS7" i="2" a="1"/>
  <c r="CT7" i="2" a="1"/>
  <c r="CT7" i="2" s="1"/>
  <c r="CU7" i="2"/>
  <c r="CU7" i="2" a="1"/>
  <c r="CV7" i="2" a="1"/>
  <c r="CV7" i="2" s="1"/>
  <c r="DF7" i="2"/>
  <c r="A8" i="2"/>
  <c r="CO8" i="2"/>
  <c r="CO8" i="2" a="1"/>
  <c r="CP8" i="2" a="1"/>
  <c r="CP8" i="2" s="1"/>
  <c r="CR8" i="2" a="1"/>
  <c r="CR8" i="2" s="1"/>
  <c r="CS8" i="2"/>
  <c r="CS8" i="2" a="1"/>
  <c r="CT8" i="2" a="1"/>
  <c r="CT8" i="2" s="1"/>
  <c r="CU8" i="2"/>
  <c r="CU8" i="2" a="1"/>
  <c r="CV8" i="2" a="1"/>
  <c r="CV8" i="2" s="1"/>
  <c r="DF8" i="2"/>
  <c r="CO9" i="2" a="1"/>
  <c r="CO9" i="2" s="1"/>
  <c r="CP9" i="2"/>
  <c r="CP9" i="2" a="1"/>
  <c r="CR9" i="2" a="1"/>
  <c r="CR9" i="2" s="1"/>
  <c r="CS9" i="2" a="1"/>
  <c r="CS9" i="2" s="1"/>
  <c r="CT9" i="2"/>
  <c r="CT9" i="2" a="1"/>
  <c r="CU9" i="2" a="1"/>
  <c r="CU9" i="2" s="1"/>
  <c r="CV9" i="2"/>
  <c r="CV9" i="2" a="1"/>
  <c r="DF9" i="2"/>
  <c r="CO10" i="2"/>
  <c r="CO10" i="2" a="1"/>
  <c r="CP10" i="2" a="1"/>
  <c r="CP10" i="2" s="1"/>
  <c r="CR10" i="2" a="1"/>
  <c r="CR10" i="2" s="1"/>
  <c r="CS10" i="2"/>
  <c r="CS10" i="2" a="1"/>
  <c r="CT10" i="2" a="1"/>
  <c r="CT10" i="2" s="1"/>
  <c r="CU10" i="2" a="1"/>
  <c r="CU10" i="2" s="1"/>
  <c r="CV10" i="2" a="1"/>
  <c r="CV10" i="2" s="1"/>
  <c r="DF10" i="2"/>
  <c r="A11" i="2"/>
  <c r="CO11" i="2"/>
  <c r="CO11" i="2" a="1"/>
  <c r="CP11" i="2" a="1"/>
  <c r="CP11" i="2" s="1"/>
  <c r="CR11" i="2" a="1"/>
  <c r="CR11" i="2" s="1"/>
  <c r="CS11" i="2" a="1"/>
  <c r="CS11" i="2" s="1"/>
  <c r="CT11" i="2"/>
  <c r="CT11" i="2" a="1"/>
  <c r="CU11" i="2" a="1"/>
  <c r="CU11" i="2" s="1"/>
  <c r="CV11" i="2"/>
  <c r="CV11" i="2" a="1"/>
  <c r="DF11" i="2"/>
  <c r="A12" i="2"/>
  <c r="CO12" i="2" a="1"/>
  <c r="CO12" i="2" s="1"/>
  <c r="CP12" i="2"/>
  <c r="CP12" i="2" a="1"/>
  <c r="CR12" i="2"/>
  <c r="CR12" i="2" a="1"/>
  <c r="CS12" i="2" a="1"/>
  <c r="CS12" i="2" s="1"/>
  <c r="CT12" i="2" a="1"/>
  <c r="CT12" i="2" s="1"/>
  <c r="CU12" i="2" a="1"/>
  <c r="CU12" i="2" s="1"/>
  <c r="CV12" i="2"/>
  <c r="CV12" i="2" a="1"/>
  <c r="DF12" i="2"/>
  <c r="A13" i="2"/>
  <c r="CO13" i="2" a="1"/>
  <c r="CO13" i="2" s="1"/>
  <c r="CP13" i="2" a="1"/>
  <c r="CP13" i="2" s="1"/>
  <c r="CR13" i="2" a="1"/>
  <c r="CR13" i="2" s="1"/>
  <c r="CS13" i="2"/>
  <c r="CS13" i="2" a="1"/>
  <c r="CT13" i="2" a="1"/>
  <c r="CT13" i="2" s="1"/>
  <c r="CU13" i="2"/>
  <c r="CU13" i="2" a="1"/>
  <c r="CV13" i="2" a="1"/>
  <c r="CV13" i="2" s="1"/>
  <c r="DF13" i="2"/>
  <c r="A14" i="2"/>
  <c r="CO14" i="2"/>
  <c r="CO14" i="2" a="1"/>
  <c r="CP14" i="2" a="1"/>
  <c r="CP14" i="2" s="1"/>
  <c r="CR14" i="2" a="1"/>
  <c r="CR14" i="2" s="1"/>
  <c r="CS14" i="2"/>
  <c r="CS14" i="2" a="1"/>
  <c r="CT14" i="2" a="1"/>
  <c r="CT14" i="2" s="1"/>
  <c r="CU14" i="2"/>
  <c r="CU14" i="2" a="1"/>
  <c r="CV14" i="2" a="1"/>
  <c r="CV14" i="2" s="1"/>
  <c r="DF14" i="2"/>
  <c r="A15" i="2"/>
  <c r="CO15" i="2"/>
  <c r="CO15" i="2" a="1"/>
  <c r="CP15" i="2" a="1"/>
  <c r="CP15" i="2" s="1"/>
  <c r="CR15" i="2"/>
  <c r="CR15" i="2" a="1"/>
  <c r="CS15" i="2" a="1"/>
  <c r="CS15" i="2" s="1"/>
  <c r="CT15" i="2"/>
  <c r="CT15" i="2" a="1"/>
  <c r="CU15" i="2" a="1"/>
  <c r="CU15" i="2" s="1"/>
  <c r="CV15" i="2" a="1"/>
  <c r="CV15" i="2" s="1"/>
  <c r="DF15" i="2"/>
  <c r="CO16" i="2" a="1"/>
  <c r="CO16" i="2" s="1"/>
  <c r="CP16" i="2" a="1"/>
  <c r="CP16" i="2" s="1"/>
  <c r="CR16" i="2" a="1"/>
  <c r="CR16" i="2" s="1"/>
  <c r="CS16" i="2"/>
  <c r="CS16" i="2" a="1"/>
  <c r="CT16" i="2" a="1"/>
  <c r="CT16" i="2" s="1"/>
  <c r="CU16" i="2"/>
  <c r="CU16" i="2" a="1"/>
  <c r="CV16" i="2" a="1"/>
  <c r="CV16" i="2" s="1"/>
  <c r="DF16" i="2"/>
  <c r="A17" i="2"/>
  <c r="CO17" i="2"/>
  <c r="CO17" i="2" a="1"/>
  <c r="CP17" i="2" a="1"/>
  <c r="CP17" i="2" s="1"/>
  <c r="CR17" i="2" a="1"/>
  <c r="CR17" i="2" s="1"/>
  <c r="CS17" i="2" a="1"/>
  <c r="CS17" i="2" s="1"/>
  <c r="CT17" i="2" a="1"/>
  <c r="CT17" i="2" s="1"/>
  <c r="CU17" i="2"/>
  <c r="CU17" i="2" a="1"/>
  <c r="CV17" i="2" a="1"/>
  <c r="CV17" i="2" s="1"/>
  <c r="DF17" i="2"/>
  <c r="A18" i="2"/>
  <c r="CO18" i="2" a="1"/>
  <c r="CO18" i="2" s="1"/>
  <c r="CP18" i="2" a="1"/>
  <c r="CP18" i="2" s="1"/>
  <c r="CR18" i="2"/>
  <c r="CR18" i="2" a="1"/>
  <c r="CS18" i="2" a="1"/>
  <c r="CS18" i="2" s="1"/>
  <c r="CT18" i="2"/>
  <c r="CT18" i="2" a="1"/>
  <c r="CU18" i="2" a="1"/>
  <c r="CU18" i="2" s="1"/>
  <c r="CV18" i="2" a="1"/>
  <c r="CV18" i="2" s="1"/>
  <c r="DF18" i="2"/>
  <c r="A19" i="2"/>
  <c r="CO19" i="2" a="1"/>
  <c r="CO19" i="2" s="1"/>
  <c r="CP19" i="2" a="1"/>
  <c r="CP19" i="2" s="1"/>
  <c r="CR19" i="2" a="1"/>
  <c r="CR19" i="2" s="1"/>
  <c r="CS19" i="2" a="1"/>
  <c r="CS19" i="2" s="1"/>
  <c r="CT19" i="2"/>
  <c r="CT19" i="2" a="1"/>
  <c r="CU19" i="2" a="1"/>
  <c r="CU19" i="2" s="1"/>
  <c r="CV19" i="2" a="1"/>
  <c r="CV19" i="2" s="1"/>
  <c r="DF19" i="2"/>
  <c r="A20" i="2"/>
  <c r="CO20" i="2" a="1"/>
  <c r="CO20" i="2" s="1"/>
  <c r="CP20" i="2"/>
  <c r="CP20" i="2" a="1"/>
  <c r="CR20" i="2" a="1"/>
  <c r="CR20" i="2" s="1"/>
  <c r="CS20" i="2" a="1"/>
  <c r="CS20" i="2" s="1"/>
  <c r="CT20" i="2" a="1"/>
  <c r="CT20" i="2" s="1"/>
  <c r="CU20" i="2" a="1"/>
  <c r="CU20" i="2" s="1"/>
  <c r="CV20" i="2" a="1"/>
  <c r="CV20" i="2" s="1"/>
  <c r="DF20" i="2"/>
  <c r="CO21" i="2" a="1"/>
  <c r="CO21" i="2" s="1"/>
  <c r="CP21" i="2" a="1"/>
  <c r="CP21" i="2" s="1"/>
  <c r="CR21" i="2" a="1"/>
  <c r="CR21" i="2" s="1"/>
  <c r="CS21" i="2" a="1"/>
  <c r="CS21" i="2" s="1"/>
  <c r="CT21" i="2"/>
  <c r="CT21" i="2" a="1"/>
  <c r="CU21" i="2" a="1"/>
  <c r="CU21" i="2" s="1"/>
  <c r="CV21" i="2" a="1"/>
  <c r="CV21" i="2" s="1"/>
  <c r="DF21" i="2"/>
  <c r="CO22" i="2" a="1"/>
  <c r="CO22" i="2" s="1"/>
  <c r="CP22" i="2" a="1"/>
  <c r="CP22" i="2" s="1"/>
  <c r="CR22" i="2" a="1"/>
  <c r="CR22" i="2" s="1"/>
  <c r="CS22" i="2" a="1"/>
  <c r="CS22" i="2" s="1"/>
  <c r="CT22" i="2" a="1"/>
  <c r="CT22" i="2" s="1"/>
  <c r="CU22" i="2" a="1"/>
  <c r="CU22" i="2" s="1"/>
  <c r="CV22" i="2" a="1"/>
  <c r="CV22" i="2" s="1"/>
  <c r="DF22" i="2"/>
  <c r="A23" i="2"/>
  <c r="CO23" i="2" a="1"/>
  <c r="CO23" i="2" s="1"/>
  <c r="CP23" i="2" a="1"/>
  <c r="CP23" i="2" s="1"/>
  <c r="CR23" i="2" a="1"/>
  <c r="CR23" i="2" s="1"/>
  <c r="CS23" i="2" a="1"/>
  <c r="CS23" i="2" s="1"/>
  <c r="CT23" i="2" a="1"/>
  <c r="CT23" i="2" s="1"/>
  <c r="CU23" i="2"/>
  <c r="CU23" i="2" a="1"/>
  <c r="CV23" i="2" a="1"/>
  <c r="CV23" i="2" s="1"/>
  <c r="DF23" i="2"/>
  <c r="CO24" i="2" a="1"/>
  <c r="CO24" i="2" s="1"/>
  <c r="CP24" i="2" a="1"/>
  <c r="CP24" i="2" s="1"/>
  <c r="CR24" i="2"/>
  <c r="CR24" i="2" a="1"/>
  <c r="CS24" i="2" a="1"/>
  <c r="CS24" i="2" s="1"/>
  <c r="CT24" i="2" a="1"/>
  <c r="CT24" i="2" s="1"/>
  <c r="CU24" i="2" a="1"/>
  <c r="CU24" i="2" s="1"/>
  <c r="CV24" i="2"/>
  <c r="CV24" i="2" a="1"/>
  <c r="DF24" i="2"/>
  <c r="A25" i="2"/>
  <c r="CO25" i="2" a="1"/>
  <c r="CO25" i="2" s="1"/>
  <c r="CP25" i="2" a="1"/>
  <c r="CP25" i="2" s="1"/>
  <c r="CR25" i="2" a="1"/>
  <c r="CR25" i="2" s="1"/>
  <c r="CS25" i="2"/>
  <c r="CS25" i="2" a="1"/>
  <c r="CT25" i="2" a="1"/>
  <c r="CT25" i="2" s="1"/>
  <c r="CU25" i="2" a="1"/>
  <c r="CU25" i="2" s="1"/>
  <c r="CV25" i="2" a="1"/>
  <c r="CV25" i="2" s="1"/>
  <c r="DF25" i="2"/>
  <c r="A26" i="2"/>
  <c r="CO26" i="2" a="1"/>
  <c r="CO26" i="2" s="1"/>
  <c r="CP26" i="2" a="1"/>
  <c r="CP26" i="2" s="1"/>
  <c r="CR26" i="2" a="1"/>
  <c r="CR26" i="2" s="1"/>
  <c r="CS26" i="2" a="1"/>
  <c r="CS26" i="2" s="1"/>
  <c r="CT26" i="2" a="1"/>
  <c r="CT26" i="2" s="1"/>
  <c r="CU26" i="2"/>
  <c r="CU26" i="2" a="1"/>
  <c r="CV26" i="2" a="1"/>
  <c r="CV26" i="2" s="1"/>
  <c r="DF26" i="2"/>
  <c r="A27" i="2"/>
  <c r="CO27" i="2" a="1"/>
  <c r="CO27" i="2" s="1"/>
  <c r="CP27" i="2" a="1"/>
  <c r="CP27" i="2" s="1"/>
  <c r="CR27" i="2"/>
  <c r="CR27" i="2" a="1"/>
  <c r="CS27" i="2" a="1"/>
  <c r="CS27" i="2" s="1"/>
  <c r="CT27" i="2" a="1"/>
  <c r="CT27" i="2" s="1"/>
  <c r="CU27" i="2" a="1"/>
  <c r="CU27" i="2" s="1"/>
  <c r="CV27" i="2" a="1"/>
  <c r="CV27" i="2" s="1"/>
  <c r="DF27" i="2"/>
  <c r="A28" i="2"/>
  <c r="CO28" i="2" a="1"/>
  <c r="CO28" i="2" s="1"/>
  <c r="CP28" i="2" a="1"/>
  <c r="CP28" i="2" s="1"/>
  <c r="CR28" i="2" a="1"/>
  <c r="CR28" i="2" s="1"/>
  <c r="CS28" i="2" a="1"/>
  <c r="CS28" i="2" s="1"/>
  <c r="CT28" i="2"/>
  <c r="CT28" i="2" a="1"/>
  <c r="CU28" i="2" a="1"/>
  <c r="CU28" i="2" s="1"/>
  <c r="CV28" i="2" a="1"/>
  <c r="CV28" i="2" s="1"/>
  <c r="DF28" i="2"/>
  <c r="CO29" i="2"/>
  <c r="CO29" i="2" a="1"/>
  <c r="CP29" i="2" a="1"/>
  <c r="CP29" i="2" s="1"/>
  <c r="CR29" i="2" a="1"/>
  <c r="CR29" i="2" s="1"/>
  <c r="CS29" i="2"/>
  <c r="CS29" i="2" a="1"/>
  <c r="CT29" i="2" a="1"/>
  <c r="CT29" i="2" s="1"/>
  <c r="CU29" i="2" a="1"/>
  <c r="CU29" i="2" s="1"/>
  <c r="CV29" i="2" a="1"/>
  <c r="CV29" i="2" s="1"/>
  <c r="DF29" i="2"/>
  <c r="A30" i="2"/>
  <c r="CO30" i="2"/>
  <c r="CO30" i="2" a="1"/>
  <c r="CP30" i="2" a="1"/>
  <c r="CP30" i="2" s="1"/>
  <c r="CR30" i="2" a="1"/>
  <c r="CR30" i="2" s="1"/>
  <c r="CS30" i="2" a="1"/>
  <c r="CS30" i="2" s="1"/>
  <c r="CT30" i="2"/>
  <c r="CT30" i="2" a="1"/>
  <c r="CU30" i="2" a="1"/>
  <c r="CU30" i="2" s="1"/>
  <c r="CV30" i="2" a="1"/>
  <c r="CV30" i="2" s="1"/>
  <c r="DF30" i="2"/>
  <c r="A31" i="2"/>
  <c r="CO31" i="2" a="1"/>
  <c r="CO31" i="2" s="1"/>
  <c r="CP31" i="2" a="1"/>
  <c r="CP31" i="2" s="1"/>
  <c r="CR31" i="2" a="1"/>
  <c r="CR31" i="2" s="1"/>
  <c r="CS31" i="2" a="1"/>
  <c r="CS31" i="2" s="1"/>
  <c r="CT31" i="2"/>
  <c r="CT31" i="2" a="1"/>
  <c r="CU31" i="2" a="1"/>
  <c r="CU31" i="2" s="1"/>
  <c r="CV31" i="2" a="1"/>
  <c r="CV31" i="2" s="1"/>
  <c r="DF31" i="2"/>
  <c r="A32" i="2"/>
  <c r="CO32" i="2" a="1"/>
  <c r="CO32" i="2" s="1"/>
  <c r="CP32" i="2" a="1"/>
  <c r="CP32" i="2" s="1"/>
  <c r="CR32" i="2" a="1"/>
  <c r="CR32" i="2" s="1"/>
  <c r="CS32" i="2"/>
  <c r="CS32" i="2" a="1"/>
  <c r="CT32" i="2" a="1"/>
  <c r="CT32" i="2" s="1"/>
  <c r="CU32" i="2" a="1"/>
  <c r="CU32" i="2" s="1"/>
  <c r="CV32" i="2" a="1"/>
  <c r="CV32" i="2" s="1"/>
  <c r="DF32" i="2"/>
  <c r="CO33" i="2" a="1"/>
  <c r="CO33" i="2" s="1"/>
  <c r="CP33" i="2" a="1"/>
  <c r="CP33" i="2" s="1"/>
  <c r="CR33" i="2" a="1"/>
  <c r="CR33" i="2" s="1"/>
  <c r="CS33" i="2"/>
  <c r="CS33" i="2" a="1"/>
  <c r="CT33" i="2" a="1"/>
  <c r="CT33" i="2" s="1"/>
  <c r="CU33" i="2" a="1"/>
  <c r="CU33" i="2" s="1"/>
  <c r="CV33" i="2" a="1"/>
  <c r="CV33" i="2" s="1"/>
  <c r="DF33" i="2"/>
  <c r="A34" i="2"/>
  <c r="CO34" i="2"/>
  <c r="CO34" i="2" a="1"/>
  <c r="CP34" i="2" a="1"/>
  <c r="CP34" i="2" s="1"/>
  <c r="CR34" i="2" a="1"/>
  <c r="CR34" i="2" s="1"/>
  <c r="CS34" i="2" a="1"/>
  <c r="CS34" i="2" s="1"/>
  <c r="CT34" i="2" a="1"/>
  <c r="CT34" i="2" s="1"/>
  <c r="CU34" i="2" a="1"/>
  <c r="CU34" i="2" s="1"/>
  <c r="CV34" i="2" a="1"/>
  <c r="CV34" i="2" s="1"/>
  <c r="DF34" i="2"/>
  <c r="A35" i="2"/>
  <c r="CO35" i="2" a="1"/>
  <c r="CO35" i="2" s="1"/>
  <c r="CP35" i="2" a="1"/>
  <c r="CP35" i="2" s="1"/>
  <c r="CR35" i="2"/>
  <c r="CR35" i="2" a="1"/>
  <c r="CS35" i="2" a="1"/>
  <c r="CS35" i="2" s="1"/>
  <c r="CT35" i="2" a="1"/>
  <c r="CT35" i="2" s="1"/>
  <c r="CU35" i="2" a="1"/>
  <c r="CU35" i="2" s="1"/>
  <c r="CV35" i="2"/>
  <c r="CV35" i="2" a="1"/>
  <c r="DF35" i="2"/>
  <c r="A36" i="2"/>
  <c r="CO36" i="2" a="1"/>
  <c r="CO36" i="2" s="1"/>
  <c r="CP36" i="2" a="1"/>
  <c r="CP36" i="2" s="1"/>
  <c r="CR36" i="2" a="1"/>
  <c r="CR36" i="2" s="1"/>
  <c r="CS36" i="2" a="1"/>
  <c r="CS36" i="2" s="1"/>
  <c r="CT36" i="2" a="1"/>
  <c r="CT36" i="2" s="1"/>
  <c r="CU36" i="2" a="1"/>
  <c r="CU36" i="2" s="1"/>
  <c r="CV36" i="2" a="1"/>
  <c r="CV36" i="2" s="1"/>
  <c r="DF36" i="2"/>
  <c r="CO37" i="2" a="1"/>
  <c r="CO37" i="2" s="1"/>
  <c r="CP37" i="2" a="1"/>
  <c r="CP37" i="2" s="1"/>
  <c r="CR37" i="2" a="1"/>
  <c r="CR37" i="2" s="1"/>
  <c r="CS37" i="2" a="1"/>
  <c r="CS37" i="2" s="1"/>
  <c r="CT37" i="2" a="1"/>
  <c r="CT37" i="2" s="1"/>
  <c r="CU37" i="2" a="1"/>
  <c r="CU37" i="2" s="1"/>
  <c r="CV37" i="2" a="1"/>
  <c r="CV37" i="2" s="1"/>
  <c r="DF37" i="2"/>
  <c r="CO38" i="2" a="1"/>
  <c r="CO38" i="2" s="1"/>
  <c r="CP38" i="2" a="1"/>
  <c r="CP38" i="2" s="1"/>
  <c r="CR38" i="2" a="1"/>
  <c r="CR38" i="2" s="1"/>
  <c r="CS38" i="2" a="1"/>
  <c r="CS38" i="2" s="1"/>
  <c r="CT38" i="2" a="1"/>
  <c r="CT38" i="2" s="1"/>
  <c r="CU38" i="2" a="1"/>
  <c r="CU38" i="2" s="1"/>
  <c r="CV38" i="2" a="1"/>
  <c r="CV38" i="2" s="1"/>
  <c r="DF38" i="2"/>
  <c r="A39" i="2"/>
  <c r="CO39" i="2" a="1"/>
  <c r="CO39" i="2" s="1"/>
  <c r="CP39" i="2" a="1"/>
  <c r="CP39" i="2" s="1"/>
  <c r="CR39" i="2"/>
  <c r="CR39" i="2" a="1"/>
  <c r="CS39" i="2"/>
  <c r="CS39" i="2" a="1"/>
  <c r="CT39" i="2" a="1"/>
  <c r="CT39" i="2" s="1"/>
  <c r="CU39" i="2" a="1"/>
  <c r="CU39" i="2" s="1"/>
  <c r="CV39" i="2" a="1"/>
  <c r="CV39" i="2" s="1"/>
  <c r="DF39" i="2"/>
  <c r="A40" i="2"/>
  <c r="CO40" i="2"/>
  <c r="CO40" i="2" a="1"/>
  <c r="CP40" i="2" a="1"/>
  <c r="CP40" i="2" s="1"/>
  <c r="CR40" i="2" a="1"/>
  <c r="CR40" i="2" s="1"/>
  <c r="CS40" i="2" a="1"/>
  <c r="CS40" i="2" s="1"/>
  <c r="CT40" i="2" a="1"/>
  <c r="CT40" i="2" s="1"/>
  <c r="CU40" i="2" a="1"/>
  <c r="CU40" i="2" s="1"/>
  <c r="CV40" i="2" a="1"/>
  <c r="CV40" i="2" s="1"/>
  <c r="DF40" i="2"/>
  <c r="A41" i="2"/>
  <c r="CO41" i="2" a="1"/>
  <c r="CO41" i="2" s="1"/>
  <c r="CP41" i="2" a="1"/>
  <c r="CP41" i="2" s="1"/>
  <c r="CR41" i="2"/>
  <c r="CR41" i="2" a="1"/>
  <c r="CS41" i="2"/>
  <c r="CS41" i="2" a="1"/>
  <c r="CT41" i="2"/>
  <c r="CT41" i="2" a="1"/>
  <c r="CU41" i="2" a="1"/>
  <c r="CU41" i="2" s="1"/>
  <c r="CV41" i="2" a="1"/>
  <c r="CV41" i="2" s="1"/>
  <c r="DF41" i="2"/>
  <c r="CO42" i="2" a="1"/>
  <c r="CO42" i="2" s="1"/>
  <c r="CP42" i="2" a="1"/>
  <c r="CP42" i="2" s="1"/>
  <c r="CR42" i="2" a="1"/>
  <c r="CR42" i="2" s="1"/>
  <c r="CS42" i="2" a="1"/>
  <c r="CS42" i="2" s="1"/>
  <c r="CT42" i="2" a="1"/>
  <c r="CT42" i="2" s="1"/>
  <c r="CU42" i="2"/>
  <c r="CU42" i="2" a="1"/>
  <c r="CV42" i="2" a="1"/>
  <c r="CV42" i="2" s="1"/>
  <c r="DF42" i="2"/>
  <c r="A43" i="2"/>
  <c r="CO43" i="2" a="1"/>
  <c r="CO43" i="2" s="1"/>
  <c r="CP43" i="2" a="1"/>
  <c r="CP43" i="2" s="1"/>
  <c r="CR43" i="2" a="1"/>
  <c r="CR43" i="2" s="1"/>
  <c r="CS43" i="2" a="1"/>
  <c r="CS43" i="2" s="1"/>
  <c r="CT43" i="2" a="1"/>
  <c r="CT43" i="2" s="1"/>
  <c r="CU43" i="2" a="1"/>
  <c r="CU43" i="2" s="1"/>
  <c r="CV43" i="2" a="1"/>
  <c r="CV43" i="2" s="1"/>
  <c r="DF43" i="2"/>
  <c r="A44" i="2"/>
  <c r="CO44" i="2" a="1"/>
  <c r="CO44" i="2" s="1"/>
  <c r="CP44" i="2" a="1"/>
  <c r="CP44" i="2" s="1"/>
  <c r="CR44" i="2" a="1"/>
  <c r="CR44" i="2" s="1"/>
  <c r="CS44" i="2" a="1"/>
  <c r="CS44" i="2" s="1"/>
  <c r="CT44" i="2"/>
  <c r="CT44" i="2" a="1"/>
  <c r="CU44" i="2" a="1"/>
  <c r="CU44" i="2" s="1"/>
  <c r="CV44" i="2" a="1"/>
  <c r="CV44" i="2" s="1"/>
  <c r="DF44" i="2"/>
  <c r="CO45" i="2" a="1"/>
  <c r="CO45" i="2" s="1"/>
  <c r="CP45" i="2" a="1"/>
  <c r="CP45" i="2" s="1"/>
  <c r="CR45" i="2" a="1"/>
  <c r="CR45" i="2" s="1"/>
  <c r="CS45" i="2" a="1"/>
  <c r="CS45" i="2" s="1"/>
  <c r="CT45" i="2" a="1"/>
  <c r="CT45" i="2" s="1"/>
  <c r="CU45" i="2"/>
  <c r="CU45" i="2" a="1"/>
  <c r="CV45" i="2" a="1"/>
  <c r="CV45" i="2" s="1"/>
  <c r="DF45" i="2"/>
  <c r="A46" i="2"/>
  <c r="CO46" i="2" a="1"/>
  <c r="CO46" i="2" s="1"/>
  <c r="CP46" i="2" a="1"/>
  <c r="CP46" i="2" s="1"/>
  <c r="CR46" i="2"/>
  <c r="CR46" i="2" a="1"/>
  <c r="CS46" i="2" a="1"/>
  <c r="CS46" i="2" s="1"/>
  <c r="CT46" i="2" a="1"/>
  <c r="CT46" i="2" s="1"/>
  <c r="CU46" i="2" a="1"/>
  <c r="CU46" i="2" s="1"/>
  <c r="CV46" i="2" a="1"/>
  <c r="CV46" i="2" s="1"/>
  <c r="DF46" i="2"/>
  <c r="A47" i="2"/>
  <c r="CO47" i="2" a="1"/>
  <c r="CO47" i="2" s="1"/>
  <c r="CP47" i="2" a="1"/>
  <c r="CP47" i="2" s="1"/>
  <c r="CR47" i="2" a="1"/>
  <c r="CR47" i="2" s="1"/>
  <c r="CS47" i="2" a="1"/>
  <c r="CS47" i="2" s="1"/>
  <c r="CT47" i="2" a="1"/>
  <c r="CT47" i="2" s="1"/>
  <c r="CU47" i="2" a="1"/>
  <c r="CU47" i="2" s="1"/>
  <c r="CV47" i="2" a="1"/>
  <c r="CV47" i="2" s="1"/>
  <c r="DF47" i="2"/>
  <c r="A48" i="2"/>
  <c r="CO48" i="2" a="1"/>
  <c r="CO48" i="2" s="1"/>
  <c r="CP48" i="2" a="1"/>
  <c r="CP48" i="2" s="1"/>
  <c r="CR48" i="2" a="1"/>
  <c r="CR48" i="2" s="1"/>
  <c r="CS48" i="2" a="1"/>
  <c r="CS48" i="2" s="1"/>
  <c r="CT48" i="2" a="1"/>
  <c r="CT48" i="2" s="1"/>
  <c r="CU48" i="2" a="1"/>
  <c r="CU48" i="2" s="1"/>
  <c r="CV48" i="2" a="1"/>
  <c r="CV48" i="2" s="1"/>
  <c r="DF48" i="2"/>
  <c r="A49" i="2"/>
  <c r="CO49" i="2" a="1"/>
  <c r="CO49" i="2" s="1"/>
  <c r="CP49" i="2" a="1"/>
  <c r="CP49" i="2" s="1"/>
  <c r="CR49" i="2"/>
  <c r="CR49" i="2" a="1"/>
  <c r="CS49" i="2"/>
  <c r="CS49" i="2" a="1"/>
  <c r="CT49" i="2"/>
  <c r="CT49" i="2" a="1"/>
  <c r="CU49" i="2"/>
  <c r="CU49" i="2" a="1"/>
  <c r="CV49" i="2"/>
  <c r="CV49" i="2" a="1"/>
  <c r="DF49" i="2"/>
  <c r="A50" i="2"/>
  <c r="CO50" i="2"/>
  <c r="CO50" i="2" a="1"/>
  <c r="CP50" i="2"/>
  <c r="CP50" i="2" a="1"/>
  <c r="CR50" i="2" a="1"/>
  <c r="CR50" i="2" s="1"/>
  <c r="CS50" i="2" a="1"/>
  <c r="CS50" i="2" s="1"/>
  <c r="CT50" i="2" a="1"/>
  <c r="CT50" i="2" s="1"/>
  <c r="CU50" i="2" a="1"/>
  <c r="CU50" i="2" s="1"/>
  <c r="CV50" i="2" a="1"/>
  <c r="CV50" i="2" s="1"/>
  <c r="DF50" i="2"/>
  <c r="A51" i="2"/>
  <c r="CO51" i="2" a="1"/>
  <c r="CO51" i="2" s="1"/>
  <c r="CP51" i="2" a="1"/>
  <c r="CP51" i="2" s="1"/>
  <c r="CR51" i="2" a="1"/>
  <c r="CR51" i="2" s="1"/>
  <c r="CS51" i="2" a="1"/>
  <c r="CS51" i="2" s="1"/>
  <c r="CT51" i="2" a="1"/>
  <c r="CT51" i="2" s="1"/>
  <c r="CU51" i="2" a="1"/>
  <c r="CU51" i="2" s="1"/>
  <c r="CV51" i="2" a="1"/>
  <c r="CV51" i="2" s="1"/>
  <c r="DF51" i="2"/>
  <c r="A52" i="2"/>
  <c r="CO52" i="2" a="1"/>
  <c r="CO52" i="2" s="1"/>
  <c r="CP52" i="2" a="1"/>
  <c r="CP52" i="2" s="1"/>
  <c r="CR52" i="2" a="1"/>
  <c r="CR52" i="2" s="1"/>
  <c r="CS52" i="2" a="1"/>
  <c r="CS52" i="2" s="1"/>
  <c r="CT52" i="2" a="1"/>
  <c r="CT52" i="2" s="1"/>
  <c r="CU52" i="2" a="1"/>
  <c r="CU52" i="2" s="1"/>
  <c r="CV52" i="2" a="1"/>
  <c r="CV52" i="2" s="1"/>
  <c r="DF52" i="2"/>
  <c r="A53" i="2"/>
  <c r="CO53" i="2" a="1"/>
  <c r="CO53" i="2" s="1"/>
  <c r="CP53" i="2" a="1"/>
  <c r="CP53" i="2" s="1"/>
  <c r="CR53" i="2"/>
  <c r="CR53" i="2" a="1"/>
  <c r="CS53" i="2"/>
  <c r="CS53" i="2" a="1"/>
  <c r="CT53" i="2"/>
  <c r="CT53" i="2" a="1"/>
  <c r="CU53" i="2"/>
  <c r="CU53" i="2" a="1"/>
  <c r="CV53" i="2"/>
  <c r="CV53" i="2" a="1"/>
  <c r="DF53" i="2"/>
  <c r="CO54" i="2" a="1"/>
  <c r="CO54" i="2" s="1"/>
  <c r="CP54" i="2" a="1"/>
  <c r="CP54" i="2" s="1"/>
  <c r="CR54" i="2" a="1"/>
  <c r="CR54" i="2" s="1"/>
  <c r="CS54" i="2" a="1"/>
  <c r="CS54" i="2" s="1"/>
  <c r="CT54" i="2" a="1"/>
  <c r="CT54" i="2" s="1"/>
  <c r="CU54" i="2" a="1"/>
  <c r="CU54" i="2" s="1"/>
  <c r="CV54" i="2" a="1"/>
  <c r="CV54" i="2" s="1"/>
  <c r="DF54" i="2"/>
  <c r="A55" i="2"/>
  <c r="CO55" i="2" a="1"/>
  <c r="CO55" i="2" s="1"/>
  <c r="CP55" i="2" a="1"/>
  <c r="CP55" i="2" s="1"/>
  <c r="CR55" i="2" a="1"/>
  <c r="CR55" i="2" s="1"/>
  <c r="CS55" i="2" a="1"/>
  <c r="CS55" i="2" s="1"/>
  <c r="CT55" i="2" a="1"/>
  <c r="CT55" i="2" s="1"/>
  <c r="CU55" i="2" a="1"/>
  <c r="CU55" i="2" s="1"/>
  <c r="CV55" i="2" a="1"/>
  <c r="CV55" i="2" s="1"/>
  <c r="DF55" i="2"/>
  <c r="A56" i="2"/>
  <c r="CO56" i="2" a="1"/>
  <c r="CO56" i="2" s="1"/>
  <c r="CP56" i="2" a="1"/>
  <c r="CP56" i="2" s="1"/>
  <c r="CR56" i="2"/>
  <c r="CR56" i="2" a="1"/>
  <c r="CS56" i="2"/>
  <c r="CS56" i="2" a="1"/>
  <c r="CT56" i="2"/>
  <c r="CT56" i="2" a="1"/>
  <c r="CU56" i="2"/>
  <c r="CU56" i="2" a="1"/>
  <c r="CV56" i="2"/>
  <c r="CV56" i="2" a="1"/>
  <c r="DF56" i="2"/>
  <c r="A57" i="2"/>
  <c r="CO57" i="2"/>
  <c r="CO57" i="2" a="1"/>
  <c r="CP57" i="2"/>
  <c r="CP57" i="2" a="1"/>
  <c r="CR57" i="2" a="1"/>
  <c r="CR57" i="2" s="1"/>
  <c r="CS57" i="2" a="1"/>
  <c r="CS57" i="2" s="1"/>
  <c r="CT57" i="2" a="1"/>
  <c r="CT57" i="2" s="1"/>
  <c r="CU57" i="2" a="1"/>
  <c r="CU57" i="2" s="1"/>
  <c r="CV57" i="2" a="1"/>
  <c r="CV57" i="2" s="1"/>
  <c r="DF57" i="2"/>
  <c r="A58" i="2"/>
  <c r="CO58" i="2" a="1"/>
  <c r="CO58" i="2" s="1"/>
  <c r="CP58" i="2" a="1"/>
  <c r="CP58" i="2" s="1"/>
  <c r="CR58" i="2" a="1"/>
  <c r="CR58" i="2" s="1"/>
  <c r="CS58" i="2" a="1"/>
  <c r="CS58" i="2" s="1"/>
  <c r="CT58" i="2" a="1"/>
  <c r="CT58" i="2" s="1"/>
  <c r="CU58" i="2" a="1"/>
  <c r="CU58" i="2" s="1"/>
  <c r="CV58" i="2" a="1"/>
  <c r="CV58" i="2" s="1"/>
  <c r="DF58" i="2"/>
  <c r="A59" i="2"/>
  <c r="CO59" i="2"/>
  <c r="CO59" i="2" a="1"/>
  <c r="CP59" i="2" a="1"/>
  <c r="CP59" i="2" s="1"/>
  <c r="CR59" i="2" a="1"/>
  <c r="CR59" i="2" s="1"/>
  <c r="CS59" i="2" a="1"/>
  <c r="CS59" i="2" s="1"/>
  <c r="CT59" i="2" a="1"/>
  <c r="CT59" i="2" s="1"/>
  <c r="CU59" i="2" a="1"/>
  <c r="CU59" i="2" s="1"/>
  <c r="CV59" i="2" a="1"/>
  <c r="CV59" i="2" s="1"/>
  <c r="DF59" i="2"/>
  <c r="DC61" i="2"/>
  <c r="D62" i="2"/>
  <c r="D62" i="2" a="1"/>
  <c r="E62" i="2" a="1"/>
  <c r="E62" i="2" s="1"/>
  <c r="F62" i="2" a="1"/>
  <c r="F62" i="2" s="1"/>
  <c r="G62" i="2" a="1"/>
  <c r="G62" i="2" s="1"/>
  <c r="H62" i="2" a="1"/>
  <c r="H62" i="2" s="1"/>
  <c r="I62" i="2" a="1"/>
  <c r="I62" i="2" s="1"/>
  <c r="J62" i="2" a="1"/>
  <c r="J62" i="2" s="1"/>
  <c r="K62" i="2" a="1"/>
  <c r="K62" i="2" s="1"/>
  <c r="L62" i="2"/>
  <c r="L62" i="2" a="1"/>
  <c r="M62" i="2" a="1"/>
  <c r="M62" i="2" s="1"/>
  <c r="N62" i="2" a="1"/>
  <c r="N62" i="2" s="1"/>
  <c r="O62" i="2" a="1"/>
  <c r="O62" i="2" s="1"/>
  <c r="P62" i="2" a="1"/>
  <c r="P62" i="2" s="1"/>
  <c r="Q62" i="2" a="1"/>
  <c r="Q62" i="2" s="1"/>
  <c r="R62" i="2" a="1"/>
  <c r="R62" i="2" s="1"/>
  <c r="S62" i="2" a="1"/>
  <c r="S62" i="2" s="1"/>
  <c r="T62" i="2" a="1"/>
  <c r="T62" i="2" s="1"/>
  <c r="U62" i="2" a="1"/>
  <c r="U62" i="2" s="1"/>
  <c r="V62" i="2"/>
  <c r="V62" i="2" a="1"/>
  <c r="W62" i="2" a="1"/>
  <c r="W62" i="2" s="1"/>
  <c r="X62" i="2" a="1"/>
  <c r="X62" i="2" s="1"/>
  <c r="Y62" i="2"/>
  <c r="Y62" i="2" a="1"/>
  <c r="Z62" i="2" a="1"/>
  <c r="Z62" i="2" s="1"/>
  <c r="AA62" i="2" a="1"/>
  <c r="AA62" i="2" s="1"/>
  <c r="AB62" i="2" a="1"/>
  <c r="AB62" i="2" s="1"/>
  <c r="AC62" i="2"/>
  <c r="AC62" i="2" a="1"/>
  <c r="AD62" i="2" a="1"/>
  <c r="AD62" i="2" s="1"/>
  <c r="AE62" i="2" a="1"/>
  <c r="AE62" i="2" s="1"/>
  <c r="AF62" i="2" a="1"/>
  <c r="AF62" i="2" s="1"/>
  <c r="AG62" i="2"/>
  <c r="AG62" i="2" a="1"/>
  <c r="AH62" i="2" a="1"/>
  <c r="AH62" i="2" s="1"/>
  <c r="AI62" i="2" a="1"/>
  <c r="AI62" i="2" s="1"/>
  <c r="AJ62" i="2" a="1"/>
  <c r="AJ62" i="2" s="1"/>
  <c r="AK62" i="2"/>
  <c r="AK62" i="2" a="1"/>
  <c r="AL62" i="2" a="1"/>
  <c r="AL62" i="2" s="1"/>
  <c r="AM62" i="2" a="1"/>
  <c r="AM62" i="2" s="1"/>
  <c r="AN62" i="2" a="1"/>
  <c r="AN62" i="2" s="1"/>
  <c r="AO62" i="2"/>
  <c r="AO62" i="2" a="1"/>
  <c r="AP62" i="2" a="1"/>
  <c r="AP62" i="2" s="1"/>
  <c r="AQ62" i="2" a="1"/>
  <c r="AQ62" i="2" s="1"/>
  <c r="AR62" i="2" a="1"/>
  <c r="AR62" i="2" s="1"/>
  <c r="AS62" i="2"/>
  <c r="AS62" i="2" a="1"/>
  <c r="AT62" i="2" a="1"/>
  <c r="AT62" i="2" s="1"/>
  <c r="AU62" i="2" a="1"/>
  <c r="AU62" i="2" s="1"/>
  <c r="AV62" i="2" a="1"/>
  <c r="AV62" i="2" s="1"/>
  <c r="AW62" i="2"/>
  <c r="AW62" i="2" a="1"/>
  <c r="AX62" i="2" a="1"/>
  <c r="AX62" i="2" s="1"/>
  <c r="AY62" i="2" a="1"/>
  <c r="AY62" i="2" s="1"/>
  <c r="AZ62" i="2" a="1"/>
  <c r="AZ62" i="2" s="1"/>
  <c r="BA62" i="2"/>
  <c r="BA62" i="2" a="1"/>
  <c r="BB62" i="2" a="1"/>
  <c r="BB62" i="2" s="1"/>
  <c r="BC62" i="2" a="1"/>
  <c r="BC62" i="2" s="1"/>
  <c r="BD62" i="2" a="1"/>
  <c r="BD62" i="2" s="1"/>
  <c r="BE62" i="2"/>
  <c r="BE62" i="2" a="1"/>
  <c r="BF62" i="2" a="1"/>
  <c r="BF62" i="2" s="1"/>
  <c r="BG62" i="2" a="1"/>
  <c r="BG62" i="2" s="1"/>
  <c r="D63" i="2" a="1"/>
  <c r="D63" i="2" s="1"/>
  <c r="E63" i="2" a="1"/>
  <c r="E63" i="2" s="1"/>
  <c r="F63" i="2" a="1"/>
  <c r="F63" i="2" s="1"/>
  <c r="G63" i="2" a="1"/>
  <c r="G63" i="2" s="1"/>
  <c r="H63" i="2" a="1"/>
  <c r="H63" i="2" s="1"/>
  <c r="I63" i="2" a="1"/>
  <c r="I63" i="2" s="1"/>
  <c r="J63" i="2"/>
  <c r="J63" i="2" a="1"/>
  <c r="K63" i="2" a="1"/>
  <c r="K63" i="2" s="1"/>
  <c r="L63" i="2" a="1"/>
  <c r="L63" i="2" s="1"/>
  <c r="M63" i="2" a="1"/>
  <c r="M63" i="2" s="1"/>
  <c r="N63" i="2"/>
  <c r="N63" i="2" a="1"/>
  <c r="O63" i="2" a="1"/>
  <c r="O63" i="2" s="1"/>
  <c r="P63" i="2" a="1"/>
  <c r="P63" i="2" s="1"/>
  <c r="Q63" i="2" a="1"/>
  <c r="Q63" i="2" s="1"/>
  <c r="R63" i="2" a="1"/>
  <c r="R63" i="2" s="1"/>
  <c r="S63" i="2" a="1"/>
  <c r="S63" i="2" s="1"/>
  <c r="T63" i="2"/>
  <c r="T63" i="2" a="1"/>
  <c r="U63" i="2" a="1"/>
  <c r="U63" i="2" s="1"/>
  <c r="V63" i="2" a="1"/>
  <c r="V63" i="2" s="1"/>
  <c r="W63" i="2" a="1"/>
  <c r="W63" i="2" s="1"/>
  <c r="X63" i="2" a="1"/>
  <c r="X63" i="2" s="1"/>
  <c r="Y63" i="2" a="1"/>
  <c r="Y63" i="2" s="1"/>
  <c r="Z63" i="2" a="1"/>
  <c r="Z63" i="2" s="1"/>
  <c r="AA63" i="2" a="1"/>
  <c r="AA63" i="2" s="1"/>
  <c r="AB63" i="2" a="1"/>
  <c r="AB63" i="2" s="1"/>
  <c r="AC63" i="2" a="1"/>
  <c r="AC63" i="2" s="1"/>
  <c r="AD63" i="2" a="1"/>
  <c r="AD63" i="2" s="1"/>
  <c r="AE63" i="2" a="1"/>
  <c r="AE63" i="2" s="1"/>
  <c r="AF63" i="2" a="1"/>
  <c r="AF63" i="2" s="1"/>
  <c r="AG63" i="2" a="1"/>
  <c r="AG63" i="2" s="1"/>
  <c r="AH63" i="2"/>
  <c r="AH63" i="2" a="1"/>
  <c r="AI63" i="2" a="1"/>
  <c r="AI63" i="2" s="1"/>
  <c r="AJ63" i="2" a="1"/>
  <c r="AJ63" i="2" s="1"/>
  <c r="AK63" i="2" a="1"/>
  <c r="AK63" i="2" s="1"/>
  <c r="AL63" i="2" a="1"/>
  <c r="AL63" i="2" s="1"/>
  <c r="AM63" i="2" a="1"/>
  <c r="AM63" i="2" s="1"/>
  <c r="AN63" i="2" a="1"/>
  <c r="AN63" i="2" s="1"/>
  <c r="AO63" i="2" a="1"/>
  <c r="AO63" i="2" s="1"/>
  <c r="AP63" i="2" a="1"/>
  <c r="AP63" i="2" s="1"/>
  <c r="AQ63" i="2" a="1"/>
  <c r="AQ63" i="2" s="1"/>
  <c r="AR63" i="2" a="1"/>
  <c r="AR63" i="2" s="1"/>
  <c r="AS63" i="2" a="1"/>
  <c r="AS63" i="2" s="1"/>
  <c r="AT63" i="2"/>
  <c r="AT63" i="2" a="1"/>
  <c r="AU63" i="2" a="1"/>
  <c r="AU63" i="2" s="1"/>
  <c r="AV63" i="2" a="1"/>
  <c r="AV63" i="2" s="1"/>
  <c r="AW63" i="2" a="1"/>
  <c r="AW63" i="2" s="1"/>
  <c r="AX63" i="2" a="1"/>
  <c r="AX63" i="2" s="1"/>
  <c r="AY63" i="2" a="1"/>
  <c r="AY63" i="2" s="1"/>
  <c r="AZ63" i="2"/>
  <c r="AZ63" i="2" a="1"/>
  <c r="BA63" i="2" a="1"/>
  <c r="BA63" i="2" s="1"/>
  <c r="BB63" i="2" a="1"/>
  <c r="BB63" i="2" s="1"/>
  <c r="BC63" i="2" a="1"/>
  <c r="BC63" i="2" s="1"/>
  <c r="BD63" i="2" a="1"/>
  <c r="BD63" i="2" s="1"/>
  <c r="BE63" i="2" a="1"/>
  <c r="BE63" i="2" s="1"/>
  <c r="BF63" i="2"/>
  <c r="BF63" i="2" a="1"/>
  <c r="BG63" i="2" a="1"/>
  <c r="BG63" i="2" s="1"/>
  <c r="B1" i="3" a="1"/>
  <c r="L1" i="3" s="1"/>
  <c r="C41" i="3" a="1"/>
  <c r="H41" i="3"/>
  <c r="M41" i="3"/>
  <c r="S41" i="3"/>
  <c r="X41" i="3"/>
  <c r="AC41" i="3"/>
  <c r="AI41" i="3"/>
  <c r="AN41" i="3"/>
  <c r="AS41" i="3"/>
  <c r="AY41" i="3"/>
  <c r="BD41" i="3"/>
  <c r="D42" i="3"/>
  <c r="J42" i="3"/>
  <c r="O42" i="3"/>
  <c r="T42" i="3"/>
  <c r="Z42" i="3"/>
  <c r="AE42" i="3"/>
  <c r="AJ42" i="3"/>
  <c r="AP42" i="3"/>
  <c r="AU42" i="3"/>
  <c r="AZ42" i="3"/>
  <c r="BF42" i="3"/>
  <c r="AL15" i="4"/>
  <c r="A16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AJ15" i="4" s="1"/>
  <c r="AK16" i="4"/>
  <c r="AK15" i="4" s="1"/>
  <c r="AL16" i="4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F15" i="4" s="1"/>
  <c r="G17" i="4"/>
  <c r="H17" i="4"/>
  <c r="I17" i="4"/>
  <c r="J17" i="4"/>
  <c r="K17" i="4"/>
  <c r="L17" i="4"/>
  <c r="M17" i="4"/>
  <c r="N17" i="4"/>
  <c r="N15" i="4" s="1"/>
  <c r="O17" i="4"/>
  <c r="P17" i="4"/>
  <c r="Q17" i="4"/>
  <c r="R17" i="4"/>
  <c r="S17" i="4"/>
  <c r="T17" i="4"/>
  <c r="U17" i="4"/>
  <c r="V17" i="4"/>
  <c r="V15" i="4" s="1"/>
  <c r="W17" i="4"/>
  <c r="X17" i="4"/>
  <c r="Y17" i="4"/>
  <c r="Z17" i="4"/>
  <c r="AA17" i="4"/>
  <c r="AB17" i="4"/>
  <c r="AC17" i="4"/>
  <c r="AD17" i="4"/>
  <c r="AD15" i="4" s="1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J29" i="4"/>
  <c r="AJ41" i="4" s="1"/>
  <c r="AJ42" i="4" s="1"/>
  <c r="AK29" i="4"/>
  <c r="AK41" i="4" s="1"/>
  <c r="AK42" i="4" s="1"/>
  <c r="AK43" i="4" s="1"/>
  <c r="AL29" i="4"/>
  <c r="AM29" i="4"/>
  <c r="AN29" i="4"/>
  <c r="AO29" i="4"/>
  <c r="AO41" i="4" s="1"/>
  <c r="AO42" i="4" s="1"/>
  <c r="AO43" i="4" s="1"/>
  <c r="AJ30" i="4"/>
  <c r="AK30" i="4"/>
  <c r="AL30" i="4"/>
  <c r="AM30" i="4"/>
  <c r="AN30" i="4"/>
  <c r="AO30" i="4"/>
  <c r="AJ31" i="4"/>
  <c r="AK31" i="4"/>
  <c r="AL31" i="4"/>
  <c r="AM31" i="4"/>
  <c r="AN31" i="4"/>
  <c r="AO31" i="4"/>
  <c r="AJ32" i="4"/>
  <c r="AK32" i="4"/>
  <c r="AL32" i="4"/>
  <c r="AM32" i="4"/>
  <c r="AN32" i="4"/>
  <c r="AO32" i="4"/>
  <c r="AJ33" i="4"/>
  <c r="AK33" i="4"/>
  <c r="AL33" i="4"/>
  <c r="AM33" i="4"/>
  <c r="AN33" i="4"/>
  <c r="AO33" i="4"/>
  <c r="AJ34" i="4"/>
  <c r="AK34" i="4"/>
  <c r="AL34" i="4"/>
  <c r="AM34" i="4"/>
  <c r="AN34" i="4"/>
  <c r="AO34" i="4"/>
  <c r="AJ35" i="4"/>
  <c r="AK35" i="4"/>
  <c r="AL35" i="4"/>
  <c r="AM35" i="4"/>
  <c r="AN35" i="4"/>
  <c r="AO35" i="4"/>
  <c r="AJ36" i="4"/>
  <c r="AK36" i="4"/>
  <c r="AL36" i="4"/>
  <c r="AM36" i="4"/>
  <c r="AN36" i="4"/>
  <c r="AO36" i="4"/>
  <c r="AJ37" i="4"/>
  <c r="AK37" i="4"/>
  <c r="AL37" i="4"/>
  <c r="AM37" i="4"/>
  <c r="AN37" i="4"/>
  <c r="AO37" i="4"/>
  <c r="AJ38" i="4"/>
  <c r="AK38" i="4"/>
  <c r="AL38" i="4"/>
  <c r="AM38" i="4"/>
  <c r="AN38" i="4"/>
  <c r="AO38" i="4"/>
  <c r="AJ39" i="4"/>
  <c r="AK39" i="4"/>
  <c r="AL39" i="4"/>
  <c r="AM39" i="4"/>
  <c r="AN39" i="4"/>
  <c r="AO39" i="4"/>
  <c r="AL41" i="4"/>
  <c r="AL42" i="4" s="1"/>
  <c r="AM41" i="4"/>
  <c r="AM42" i="4" s="1"/>
  <c r="AN41" i="4"/>
  <c r="AN42" i="4" s="1"/>
  <c r="AN43" i="4" s="1"/>
  <c r="H44" i="4"/>
  <c r="D45" i="4" a="1"/>
  <c r="D45" i="4" s="1"/>
  <c r="E45" i="4"/>
  <c r="D46" i="4" a="1"/>
  <c r="D46" i="4" s="1"/>
  <c r="E46" i="4"/>
  <c r="L46" i="4"/>
  <c r="D47" i="4" a="1"/>
  <c r="D47" i="4" s="1"/>
  <c r="E47" i="4"/>
  <c r="D48" i="4" a="1"/>
  <c r="D48" i="4" s="1"/>
  <c r="E48" i="4"/>
  <c r="D49" i="4" a="1"/>
  <c r="D49" i="4" s="1"/>
  <c r="E49" i="4"/>
  <c r="D50" i="4" a="1"/>
  <c r="D50" i="4" s="1"/>
  <c r="E50" i="4"/>
  <c r="D51" i="4"/>
  <c r="D51" i="4" a="1"/>
  <c r="E51" i="4"/>
  <c r="D52" i="4" a="1"/>
  <c r="D52" i="4" s="1"/>
  <c r="E52" i="4"/>
  <c r="D53" i="4" a="1"/>
  <c r="D53" i="4" s="1"/>
  <c r="E53" i="4"/>
  <c r="D54" i="4" a="1"/>
  <c r="D54" i="4" s="1"/>
  <c r="E54" i="4"/>
  <c r="D55" i="4" a="1"/>
  <c r="D55" i="4" s="1"/>
  <c r="E55" i="4"/>
  <c r="D56" i="4" a="1"/>
  <c r="D56" i="4" s="1"/>
  <c r="E56" i="4"/>
  <c r="D57" i="4" a="1"/>
  <c r="D57" i="4" s="1"/>
  <c r="E57" i="4"/>
  <c r="D58" i="4" a="1"/>
  <c r="D58" i="4" s="1"/>
  <c r="E58" i="4"/>
  <c r="D59" i="4"/>
  <c r="D59" i="4" a="1"/>
  <c r="E59" i="4"/>
  <c r="D60" i="4" a="1"/>
  <c r="D60" i="4" s="1"/>
  <c r="E60" i="4"/>
  <c r="D61" i="4" a="1"/>
  <c r="D61" i="4" s="1"/>
  <c r="E61" i="4"/>
  <c r="D62" i="4" a="1"/>
  <c r="D62" i="4" s="1"/>
  <c r="E62" i="4"/>
  <c r="D63" i="4"/>
  <c r="D63" i="4" a="1"/>
  <c r="E63" i="4"/>
  <c r="D64" i="4" a="1"/>
  <c r="D64" i="4" s="1"/>
  <c r="E64" i="4"/>
  <c r="D65" i="4" a="1"/>
  <c r="D65" i="4" s="1"/>
  <c r="E65" i="4"/>
  <c r="D66" i="4" a="1"/>
  <c r="D66" i="4" s="1"/>
  <c r="E66" i="4"/>
  <c r="D67" i="4"/>
  <c r="D67" i="4" a="1"/>
  <c r="E67" i="4"/>
  <c r="D68" i="4" a="1"/>
  <c r="D68" i="4" s="1"/>
  <c r="E68" i="4"/>
  <c r="D69" i="4" a="1"/>
  <c r="D69" i="4" s="1"/>
  <c r="E69" i="4"/>
  <c r="D70" i="4" a="1"/>
  <c r="D70" i="4" s="1"/>
  <c r="E70" i="4"/>
  <c r="D71" i="4"/>
  <c r="D71" i="4" a="1"/>
  <c r="E71" i="4"/>
  <c r="D72" i="4" a="1"/>
  <c r="D72" i="4" s="1"/>
  <c r="E72" i="4"/>
  <c r="D73" i="4" a="1"/>
  <c r="D73" i="4" s="1"/>
  <c r="E73" i="4"/>
  <c r="D74" i="4" a="1"/>
  <c r="D74" i="4" s="1"/>
  <c r="E74" i="4"/>
  <c r="D75" i="4"/>
  <c r="D75" i="4" a="1"/>
  <c r="E75" i="4"/>
  <c r="D76" i="4" a="1"/>
  <c r="D76" i="4" s="1"/>
  <c r="E76" i="4"/>
  <c r="D77" i="4" a="1"/>
  <c r="D77" i="4" s="1"/>
  <c r="E77" i="4"/>
  <c r="D78" i="4" a="1"/>
  <c r="D78" i="4" s="1"/>
  <c r="E78" i="4"/>
  <c r="D79" i="4"/>
  <c r="D79" i="4" a="1"/>
  <c r="E79" i="4"/>
  <c r="D80" i="4" a="1"/>
  <c r="D80" i="4" s="1"/>
  <c r="E80" i="4"/>
  <c r="D81" i="4" a="1"/>
  <c r="D81" i="4" s="1"/>
  <c r="E81" i="4"/>
  <c r="D82" i="4" a="1"/>
  <c r="D82" i="4" s="1"/>
  <c r="E82" i="4"/>
  <c r="D83" i="4"/>
  <c r="D83" i="4" a="1"/>
  <c r="E83" i="4"/>
  <c r="D84" i="4" a="1"/>
  <c r="D84" i="4" s="1"/>
  <c r="E84" i="4"/>
  <c r="D85" i="4" a="1"/>
  <c r="D85" i="4" s="1"/>
  <c r="E85" i="4"/>
  <c r="D86" i="4" a="1"/>
  <c r="D86" i="4" s="1"/>
  <c r="E86" i="4"/>
  <c r="H88" i="4" a="1"/>
  <c r="H88" i="4" s="1"/>
  <c r="H89" i="4" a="1"/>
  <c r="H89" i="4" s="1"/>
  <c r="H90" i="4" a="1"/>
  <c r="H90" i="4" s="1"/>
  <c r="H91" i="4" a="1"/>
  <c r="H91" i="4" s="1"/>
  <c r="E5" i="5"/>
  <c r="G5" i="5"/>
  <c r="H5" i="5" s="1"/>
  <c r="E2" i="6" s="1"/>
  <c r="J5" i="5"/>
  <c r="G2" i="6" s="1"/>
  <c r="E6" i="5"/>
  <c r="G6" i="5"/>
  <c r="H6" i="5" s="1"/>
  <c r="E3" i="6" s="1"/>
  <c r="J6" i="5"/>
  <c r="O6" i="5"/>
  <c r="E7" i="5"/>
  <c r="G7" i="5"/>
  <c r="J7" i="5"/>
  <c r="O7" i="5"/>
  <c r="E8" i="5"/>
  <c r="G8" i="5"/>
  <c r="J8" i="5"/>
  <c r="E9" i="5"/>
  <c r="G9" i="5"/>
  <c r="H9" i="5" s="1"/>
  <c r="E6" i="6" s="1"/>
  <c r="J9" i="5"/>
  <c r="G6" i="6" s="1"/>
  <c r="E10" i="5"/>
  <c r="G10" i="5"/>
  <c r="H10" i="5" s="1"/>
  <c r="E7" i="6" s="1"/>
  <c r="J10" i="5"/>
  <c r="E11" i="5"/>
  <c r="G11" i="5"/>
  <c r="J11" i="5"/>
  <c r="E12" i="5"/>
  <c r="G12" i="5"/>
  <c r="H12" i="5" s="1"/>
  <c r="E9" i="6" s="1"/>
  <c r="J12" i="5"/>
  <c r="E13" i="5"/>
  <c r="G13" i="5"/>
  <c r="J13" i="5"/>
  <c r="E14" i="5"/>
  <c r="G14" i="5"/>
  <c r="J14" i="5"/>
  <c r="E15" i="5"/>
  <c r="G15" i="5"/>
  <c r="H15" i="5" s="1"/>
  <c r="E12" i="6" s="1"/>
  <c r="J15" i="5"/>
  <c r="E16" i="5"/>
  <c r="G16" i="5"/>
  <c r="J16" i="5"/>
  <c r="E17" i="5"/>
  <c r="G17" i="5"/>
  <c r="J17" i="5"/>
  <c r="G14" i="6" s="1"/>
  <c r="E18" i="5"/>
  <c r="G18" i="5"/>
  <c r="H18" i="5" s="1"/>
  <c r="E15" i="6" s="1"/>
  <c r="J18" i="5"/>
  <c r="G15" i="6" s="1"/>
  <c r="E19" i="5"/>
  <c r="G19" i="5"/>
  <c r="J19" i="5"/>
  <c r="E20" i="5"/>
  <c r="G20" i="5"/>
  <c r="H20" i="5" s="1"/>
  <c r="E17" i="6" s="1"/>
  <c r="J20" i="5"/>
  <c r="E21" i="5"/>
  <c r="G21" i="5"/>
  <c r="J21" i="5"/>
  <c r="E22" i="5"/>
  <c r="G22" i="5"/>
  <c r="H22" i="5"/>
  <c r="E19" i="6" s="1"/>
  <c r="J22" i="5"/>
  <c r="G19" i="6" s="1"/>
  <c r="E23" i="5"/>
  <c r="G23" i="5"/>
  <c r="J23" i="5"/>
  <c r="G20" i="6" s="1"/>
  <c r="E24" i="5"/>
  <c r="G24" i="5"/>
  <c r="E25" i="5"/>
  <c r="G25" i="5"/>
  <c r="J25" i="5"/>
  <c r="G22" i="6" s="1"/>
  <c r="E26" i="5"/>
  <c r="G26" i="5"/>
  <c r="J26" i="5"/>
  <c r="G23" i="6" s="1"/>
  <c r="E27" i="5"/>
  <c r="G27" i="5"/>
  <c r="J27" i="5"/>
  <c r="G24" i="6" s="1"/>
  <c r="E28" i="5"/>
  <c r="G28" i="5"/>
  <c r="J28" i="5"/>
  <c r="E29" i="5"/>
  <c r="G29" i="5"/>
  <c r="J29" i="5"/>
  <c r="G26" i="6" s="1"/>
  <c r="E30" i="5"/>
  <c r="G30" i="5"/>
  <c r="J30" i="5"/>
  <c r="G27" i="6" s="1"/>
  <c r="E31" i="5"/>
  <c r="G31" i="5"/>
  <c r="J31" i="5"/>
  <c r="G28" i="6" s="1"/>
  <c r="E32" i="5"/>
  <c r="G32" i="5"/>
  <c r="H32" i="5" s="1"/>
  <c r="E29" i="6" s="1"/>
  <c r="J32" i="5"/>
  <c r="E33" i="5"/>
  <c r="G33" i="5"/>
  <c r="J33" i="5"/>
  <c r="G30" i="6" s="1"/>
  <c r="E34" i="5"/>
  <c r="G34" i="5"/>
  <c r="J34" i="5"/>
  <c r="G31" i="6" s="1"/>
  <c r="E35" i="5"/>
  <c r="G35" i="5"/>
  <c r="J35" i="5"/>
  <c r="G32" i="6" s="1"/>
  <c r="E36" i="5"/>
  <c r="G36" i="5"/>
  <c r="J36" i="5"/>
  <c r="E37" i="5"/>
  <c r="G37" i="5"/>
  <c r="J37" i="5"/>
  <c r="G34" i="6" s="1"/>
  <c r="E38" i="5"/>
  <c r="G38" i="5"/>
  <c r="H38" i="5" s="1"/>
  <c r="E35" i="6" s="1"/>
  <c r="J38" i="5"/>
  <c r="G35" i="6" s="1"/>
  <c r="E39" i="5"/>
  <c r="G39" i="5"/>
  <c r="J39" i="5"/>
  <c r="G36" i="6" s="1"/>
  <c r="E40" i="5"/>
  <c r="G40" i="5"/>
  <c r="H40" i="5" s="1"/>
  <c r="E37" i="6" s="1"/>
  <c r="J40" i="5"/>
  <c r="E41" i="5"/>
  <c r="G41" i="5"/>
  <c r="J41" i="5"/>
  <c r="G38" i="6" s="1"/>
  <c r="E42" i="5"/>
  <c r="G42" i="5"/>
  <c r="J42" i="5"/>
  <c r="G39" i="6" s="1"/>
  <c r="E43" i="5"/>
  <c r="G43" i="5"/>
  <c r="J43" i="5"/>
  <c r="G40" i="6" s="1"/>
  <c r="E44" i="5"/>
  <c r="G44" i="5"/>
  <c r="J44" i="5"/>
  <c r="E45" i="5"/>
  <c r="G45" i="5"/>
  <c r="J45" i="5"/>
  <c r="G42" i="6" s="1"/>
  <c r="E46" i="5"/>
  <c r="G46" i="5"/>
  <c r="J46" i="5"/>
  <c r="G43" i="6" s="1"/>
  <c r="A4" i="7"/>
  <c r="A5" i="7"/>
  <c r="C1" i="1" a="1"/>
  <c r="C1" i="1" s="1"/>
  <c r="D1" i="1" a="1"/>
  <c r="D1" i="1" s="1"/>
  <c r="C2" i="1" a="1"/>
  <c r="C2" i="1" s="1"/>
  <c r="C3" i="1" a="1"/>
  <c r="C3" i="1" s="1"/>
  <c r="A5" i="1"/>
  <c r="Y5" i="1"/>
  <c r="Z5" i="1"/>
  <c r="A6" i="1"/>
  <c r="Y6" i="1"/>
  <c r="Z6" i="1"/>
  <c r="A7" i="1"/>
  <c r="Y7" i="1"/>
  <c r="Z7" i="1"/>
  <c r="A8" i="1"/>
  <c r="Y8" i="1"/>
  <c r="Z8" i="1"/>
  <c r="A9" i="1"/>
  <c r="Y9" i="1"/>
  <c r="Z9" i="1"/>
  <c r="A10" i="1"/>
  <c r="Y10" i="1"/>
  <c r="Z10" i="1"/>
  <c r="A11" i="1"/>
  <c r="Y11" i="1"/>
  <c r="Z11" i="1"/>
  <c r="A12" i="1"/>
  <c r="Y12" i="1"/>
  <c r="Z12" i="1"/>
  <c r="A13" i="1"/>
  <c r="Y13" i="1"/>
  <c r="Z13" i="1"/>
  <c r="A14" i="1"/>
  <c r="Y14" i="1"/>
  <c r="Z14" i="1"/>
  <c r="A15" i="1"/>
  <c r="Y15" i="1"/>
  <c r="Z15" i="1"/>
  <c r="A16" i="1"/>
  <c r="Y16" i="1"/>
  <c r="Z16" i="1"/>
  <c r="A17" i="1"/>
  <c r="Y17" i="1"/>
  <c r="Z17" i="1"/>
  <c r="A18" i="1"/>
  <c r="Y18" i="1"/>
  <c r="Z18" i="1"/>
  <c r="A19" i="1"/>
  <c r="Y19" i="1"/>
  <c r="Z19" i="1"/>
  <c r="A20" i="1"/>
  <c r="Y20" i="1"/>
  <c r="Z20" i="1"/>
  <c r="A21" i="1"/>
  <c r="Y21" i="1"/>
  <c r="Z21" i="1"/>
  <c r="A22" i="1"/>
  <c r="Y22" i="1"/>
  <c r="Z22" i="1"/>
  <c r="A23" i="1"/>
  <c r="Y23" i="1"/>
  <c r="Z23" i="1"/>
  <c r="A24" i="1"/>
  <c r="Y24" i="1"/>
  <c r="Z24" i="1"/>
  <c r="A25" i="1"/>
  <c r="Y25" i="1"/>
  <c r="Z25" i="1"/>
  <c r="A26" i="1"/>
  <c r="Y26" i="1"/>
  <c r="Z26" i="1"/>
  <c r="A27" i="1"/>
  <c r="Y27" i="1"/>
  <c r="Z27" i="1"/>
  <c r="A28" i="1"/>
  <c r="Y28" i="1"/>
  <c r="Z28" i="1"/>
  <c r="A29" i="1"/>
  <c r="Y29" i="1"/>
  <c r="Z29" i="1"/>
  <c r="A30" i="1"/>
  <c r="Y30" i="1"/>
  <c r="Z30" i="1"/>
  <c r="A31" i="1"/>
  <c r="Y31" i="1"/>
  <c r="Z31" i="1"/>
  <c r="A32" i="1"/>
  <c r="Y32" i="1"/>
  <c r="Z32" i="1"/>
  <c r="A33" i="1"/>
  <c r="Y33" i="1"/>
  <c r="Z33" i="1"/>
  <c r="A34" i="1"/>
  <c r="Y34" i="1"/>
  <c r="Z34" i="1"/>
  <c r="A35" i="1"/>
  <c r="Y35" i="1"/>
  <c r="Z35" i="1"/>
  <c r="A36" i="1"/>
  <c r="Y36" i="1"/>
  <c r="Z36" i="1"/>
  <c r="A37" i="1"/>
  <c r="Y37" i="1"/>
  <c r="Z37" i="1"/>
  <c r="A38" i="1"/>
  <c r="Y38" i="1"/>
  <c r="Z38" i="1"/>
  <c r="A39" i="1"/>
  <c r="Y39" i="1"/>
  <c r="Z39" i="1"/>
  <c r="A40" i="1"/>
  <c r="Y40" i="1"/>
  <c r="Z40" i="1"/>
  <c r="A41" i="1"/>
  <c r="Y41" i="1"/>
  <c r="Z41" i="1"/>
  <c r="A42" i="1"/>
  <c r="Y42" i="1"/>
  <c r="Z42" i="1"/>
  <c r="A43" i="1"/>
  <c r="Y43" i="1"/>
  <c r="Z43" i="1"/>
  <c r="A44" i="1"/>
  <c r="Y44" i="1"/>
  <c r="Z44" i="1"/>
  <c r="A45" i="1"/>
  <c r="Y45" i="1"/>
  <c r="Z45" i="1"/>
  <c r="A46" i="1"/>
  <c r="Y46" i="1"/>
  <c r="Z46" i="1"/>
  <c r="A47" i="1"/>
  <c r="Y47" i="1"/>
  <c r="Z47" i="1"/>
  <c r="A48" i="1"/>
  <c r="Y48" i="1"/>
  <c r="Z48" i="1"/>
  <c r="A49" i="1"/>
  <c r="Y49" i="1"/>
  <c r="Z49" i="1"/>
  <c r="A50" i="1"/>
  <c r="Y50" i="1"/>
  <c r="Z50" i="1"/>
  <c r="A51" i="1"/>
  <c r="Y51" i="1"/>
  <c r="Z51" i="1"/>
  <c r="A52" i="1"/>
  <c r="Y52" i="1"/>
  <c r="Z52" i="1"/>
  <c r="A53" i="1"/>
  <c r="Y53" i="1"/>
  <c r="Z53" i="1"/>
  <c r="A54" i="1"/>
  <c r="Y54" i="1"/>
  <c r="Z54" i="1"/>
  <c r="A55" i="1"/>
  <c r="Y55" i="1"/>
  <c r="Z55" i="1"/>
  <c r="A56" i="1"/>
  <c r="Y56" i="1"/>
  <c r="Z56" i="1"/>
  <c r="A57" i="1"/>
  <c r="Y57" i="1"/>
  <c r="Z57" i="1"/>
  <c r="A58" i="1"/>
  <c r="Y58" i="1"/>
  <c r="Z58" i="1"/>
  <c r="A59" i="1"/>
  <c r="Y59" i="1"/>
  <c r="Z59" i="1"/>
  <c r="A60" i="1"/>
  <c r="Y60" i="1"/>
  <c r="Z60" i="1"/>
  <c r="A61" i="1"/>
  <c r="Y61" i="1"/>
  <c r="Z61" i="1"/>
  <c r="O63" i="1"/>
  <c r="P63" i="1"/>
  <c r="O65" i="1" a="1"/>
  <c r="O65" i="1" s="1"/>
  <c r="P65" i="1" a="1"/>
  <c r="P65" i="1" s="1"/>
  <c r="P67" i="1" s="1"/>
  <c r="Q65" i="1"/>
  <c r="R65" i="1"/>
  <c r="S65" i="1"/>
  <c r="T65" i="1"/>
  <c r="U65" i="1"/>
  <c r="V65" i="1"/>
  <c r="W65" i="1"/>
  <c r="X65" i="1"/>
  <c r="O66" i="1"/>
  <c r="O66" i="1" a="1"/>
  <c r="P66" i="1" a="1"/>
  <c r="P66" i="1" s="1"/>
  <c r="A2" i="6"/>
  <c r="A3" i="6"/>
  <c r="G3" i="6"/>
  <c r="A4" i="6"/>
  <c r="G4" i="6"/>
  <c r="A5" i="6"/>
  <c r="G5" i="6"/>
  <c r="A6" i="6"/>
  <c r="A7" i="6"/>
  <c r="G7" i="6"/>
  <c r="A8" i="6"/>
  <c r="G8" i="6"/>
  <c r="A9" i="6"/>
  <c r="G9" i="6"/>
  <c r="A10" i="6"/>
  <c r="G10" i="6"/>
  <c r="A11" i="6"/>
  <c r="G11" i="6"/>
  <c r="A12" i="6"/>
  <c r="G12" i="6"/>
  <c r="A13" i="6"/>
  <c r="G13" i="6"/>
  <c r="A14" i="6"/>
  <c r="A15" i="6"/>
  <c r="A16" i="6"/>
  <c r="G16" i="6"/>
  <c r="A17" i="6"/>
  <c r="G17" i="6"/>
  <c r="A18" i="6"/>
  <c r="G18" i="6"/>
  <c r="A19" i="6"/>
  <c r="A20" i="6"/>
  <c r="A21" i="6"/>
  <c r="G21" i="6"/>
  <c r="A22" i="6"/>
  <c r="A23" i="6"/>
  <c r="A24" i="6"/>
  <c r="A25" i="6"/>
  <c r="G25" i="6"/>
  <c r="A26" i="6"/>
  <c r="A27" i="6"/>
  <c r="A28" i="6"/>
  <c r="A29" i="6"/>
  <c r="G29" i="6"/>
  <c r="A30" i="6"/>
  <c r="A31" i="6"/>
  <c r="A32" i="6"/>
  <c r="A33" i="6"/>
  <c r="G33" i="6"/>
  <c r="A34" i="6"/>
  <c r="A35" i="6"/>
  <c r="A36" i="6"/>
  <c r="A37" i="6"/>
  <c r="G37" i="6"/>
  <c r="A38" i="6"/>
  <c r="A39" i="6"/>
  <c r="A40" i="6"/>
  <c r="A41" i="6"/>
  <c r="G41" i="6"/>
  <c r="A42" i="6"/>
  <c r="A43" i="6"/>
  <c r="AP3" i="2" l="1"/>
  <c r="T3" i="2"/>
  <c r="BN4" i="3"/>
  <c r="BR3" i="3"/>
  <c r="BU2" i="3"/>
  <c r="CC1" i="3"/>
  <c r="BB4" i="3"/>
  <c r="BJ3" i="3"/>
  <c r="BP1" i="3"/>
  <c r="Z4" i="3"/>
  <c r="AH3" i="3"/>
  <c r="AJ2" i="3"/>
  <c r="AN1" i="3"/>
  <c r="AU4" i="2"/>
  <c r="AU70" i="2" s="1"/>
  <c r="AJ2" i="2"/>
  <c r="BM2" i="3"/>
  <c r="P4" i="3"/>
  <c r="V3" i="3"/>
  <c r="AC2" i="3"/>
  <c r="AD1" i="3"/>
  <c r="Z4" i="2"/>
  <c r="Z70" i="2" s="1"/>
  <c r="O2" i="2"/>
  <c r="Y65" i="1"/>
  <c r="O8" i="5"/>
  <c r="CV61" i="2"/>
  <c r="CT61" i="2"/>
  <c r="CR61" i="2"/>
  <c r="CU61" i="2"/>
  <c r="D66" i="2" a="1"/>
  <c r="L47" i="4"/>
  <c r="AM43" i="4"/>
  <c r="AJ43" i="4"/>
  <c r="C41" i="3"/>
  <c r="F41" i="3"/>
  <c r="J41" i="3"/>
  <c r="N41" i="3"/>
  <c r="R41" i="3"/>
  <c r="V41" i="3"/>
  <c r="Z41" i="3"/>
  <c r="AD41" i="3"/>
  <c r="AH41" i="3"/>
  <c r="AL41" i="3"/>
  <c r="AP41" i="3"/>
  <c r="AT41" i="3"/>
  <c r="AX41" i="3"/>
  <c r="BB41" i="3"/>
  <c r="BF41" i="3"/>
  <c r="E42" i="3"/>
  <c r="I42" i="3"/>
  <c r="M42" i="3"/>
  <c r="Q42" i="3"/>
  <c r="U42" i="3"/>
  <c r="Y42" i="3"/>
  <c r="AC42" i="3"/>
  <c r="AG42" i="3"/>
  <c r="AK42" i="3"/>
  <c r="AO42" i="3"/>
  <c r="AS42" i="3"/>
  <c r="AW42" i="3"/>
  <c r="BA42" i="3"/>
  <c r="BE42" i="3"/>
  <c r="D41" i="3"/>
  <c r="I41" i="3"/>
  <c r="O41" i="3"/>
  <c r="T41" i="3"/>
  <c r="Y41" i="3"/>
  <c r="AE41" i="3"/>
  <c r="AJ41" i="3"/>
  <c r="AO41" i="3"/>
  <c r="AU41" i="3"/>
  <c r="AZ41" i="3"/>
  <c r="BE41" i="3"/>
  <c r="F42" i="3"/>
  <c r="K42" i="3"/>
  <c r="P42" i="3"/>
  <c r="V42" i="3"/>
  <c r="AA42" i="3"/>
  <c r="AF42" i="3"/>
  <c r="AL42" i="3"/>
  <c r="AQ42" i="3"/>
  <c r="AV42" i="3"/>
  <c r="BB42" i="3"/>
  <c r="E41" i="3"/>
  <c r="K41" i="3"/>
  <c r="P41" i="3"/>
  <c r="U41" i="3"/>
  <c r="AA41" i="3"/>
  <c r="AF41" i="3"/>
  <c r="AK41" i="3"/>
  <c r="AQ41" i="3"/>
  <c r="AV41" i="3"/>
  <c r="BA41" i="3"/>
  <c r="G42" i="3"/>
  <c r="L42" i="3"/>
  <c r="R42" i="3"/>
  <c r="W42" i="3"/>
  <c r="AB42" i="3"/>
  <c r="AH42" i="3"/>
  <c r="AM42" i="3"/>
  <c r="AR42" i="3"/>
  <c r="AX42" i="3"/>
  <c r="BC42" i="3"/>
  <c r="BW4" i="3"/>
  <c r="BH4" i="3"/>
  <c r="AU4" i="3"/>
  <c r="AF4" i="3"/>
  <c r="R4" i="3"/>
  <c r="D4" i="3"/>
  <c r="BT3" i="3"/>
  <c r="BE3" i="3"/>
  <c r="AR3" i="3"/>
  <c r="AC3" i="3"/>
  <c r="N3" i="3"/>
  <c r="CC2" i="3"/>
  <c r="BN2" i="3"/>
  <c r="AZ2" i="3"/>
  <c r="AL2" i="3"/>
  <c r="X2" i="3"/>
  <c r="I2" i="3"/>
  <c r="BX1" i="3"/>
  <c r="BI1" i="3"/>
  <c r="AT1" i="3"/>
  <c r="AG1" i="3"/>
  <c r="R1" i="3"/>
  <c r="AF15" i="4"/>
  <c r="AB15" i="4"/>
  <c r="X15" i="4"/>
  <c r="T15" i="4"/>
  <c r="P15" i="4"/>
  <c r="L15" i="4"/>
  <c r="H15" i="4"/>
  <c r="D15" i="4"/>
  <c r="C1" i="3"/>
  <c r="G1" i="3"/>
  <c r="K1" i="3"/>
  <c r="O1" i="3"/>
  <c r="S1" i="3"/>
  <c r="W1" i="3"/>
  <c r="AA1" i="3"/>
  <c r="AE1" i="3"/>
  <c r="AI1" i="3"/>
  <c r="AM1" i="3"/>
  <c r="AQ1" i="3"/>
  <c r="AU1" i="3"/>
  <c r="AY1" i="3"/>
  <c r="BC1" i="3"/>
  <c r="BG1" i="3"/>
  <c r="BK1" i="3"/>
  <c r="BO1" i="3"/>
  <c r="BS1" i="3"/>
  <c r="BW1" i="3"/>
  <c r="CA1" i="3"/>
  <c r="C2" i="3"/>
  <c r="G2" i="3"/>
  <c r="K2" i="3"/>
  <c r="O2" i="3"/>
  <c r="S2" i="3"/>
  <c r="W2" i="3"/>
  <c r="AA2" i="3"/>
  <c r="AE2" i="3"/>
  <c r="AI2" i="3"/>
  <c r="AM2" i="3"/>
  <c r="AQ2" i="3"/>
  <c r="AU2" i="3"/>
  <c r="AY2" i="3"/>
  <c r="BC2" i="3"/>
  <c r="BG2" i="3"/>
  <c r="BK2" i="3"/>
  <c r="BO2" i="3"/>
  <c r="BS2" i="3"/>
  <c r="BW2" i="3"/>
  <c r="CA2" i="3"/>
  <c r="C3" i="3"/>
  <c r="G3" i="3"/>
  <c r="K3" i="3"/>
  <c r="O3" i="3"/>
  <c r="S3" i="3"/>
  <c r="W3" i="3"/>
  <c r="AA3" i="3"/>
  <c r="AE3" i="3"/>
  <c r="AI3" i="3"/>
  <c r="AM3" i="3"/>
  <c r="AQ3" i="3"/>
  <c r="AU3" i="3"/>
  <c r="AY3" i="3"/>
  <c r="BC3" i="3"/>
  <c r="BG3" i="3"/>
  <c r="BK3" i="3"/>
  <c r="BO3" i="3"/>
  <c r="BS3" i="3"/>
  <c r="BW3" i="3"/>
  <c r="CA3" i="3"/>
  <c r="E4" i="3"/>
  <c r="I4" i="3"/>
  <c r="M4" i="3"/>
  <c r="Q4" i="3"/>
  <c r="U4" i="3"/>
  <c r="Y4" i="3"/>
  <c r="AC4" i="3"/>
  <c r="AG4" i="3"/>
  <c r="AK4" i="3"/>
  <c r="AO4" i="3"/>
  <c r="AS4" i="3"/>
  <c r="AW4" i="3"/>
  <c r="BA4" i="3"/>
  <c r="BE4" i="3"/>
  <c r="BI4" i="3"/>
  <c r="BM4" i="3"/>
  <c r="BQ4" i="3"/>
  <c r="BU4" i="3"/>
  <c r="BY4" i="3"/>
  <c r="CC4" i="3"/>
  <c r="E1" i="3"/>
  <c r="J1" i="3"/>
  <c r="P1" i="3"/>
  <c r="U1" i="3"/>
  <c r="Z1" i="3"/>
  <c r="AF1" i="3"/>
  <c r="AK1" i="3"/>
  <c r="AP1" i="3"/>
  <c r="AV1" i="3"/>
  <c r="BA1" i="3"/>
  <c r="BF1" i="3"/>
  <c r="BL1" i="3"/>
  <c r="BQ1" i="3"/>
  <c r="BV1" i="3"/>
  <c r="CB1" i="3"/>
  <c r="E2" i="3"/>
  <c r="J2" i="3"/>
  <c r="P2" i="3"/>
  <c r="U2" i="3"/>
  <c r="Z2" i="3"/>
  <c r="AF2" i="3"/>
  <c r="AK2" i="3"/>
  <c r="AP2" i="3"/>
  <c r="AV2" i="3"/>
  <c r="BA2" i="3"/>
  <c r="BF2" i="3"/>
  <c r="BL2" i="3"/>
  <c r="BQ2" i="3"/>
  <c r="BV2" i="3"/>
  <c r="CB2" i="3"/>
  <c r="E3" i="3"/>
  <c r="J3" i="3"/>
  <c r="P3" i="3"/>
  <c r="U3" i="3"/>
  <c r="Z3" i="3"/>
  <c r="AF3" i="3"/>
  <c r="AK3" i="3"/>
  <c r="AP3" i="3"/>
  <c r="AV3" i="3"/>
  <c r="BA3" i="3"/>
  <c r="BF3" i="3"/>
  <c r="BL3" i="3"/>
  <c r="BQ3" i="3"/>
  <c r="BV3" i="3"/>
  <c r="CB3" i="3"/>
  <c r="C4" i="3"/>
  <c r="H4" i="3"/>
  <c r="N4" i="3"/>
  <c r="S4" i="3"/>
  <c r="X4" i="3"/>
  <c r="AD4" i="3"/>
  <c r="AI4" i="3"/>
  <c r="AN4" i="3"/>
  <c r="AT4" i="3"/>
  <c r="AY4" i="3"/>
  <c r="BD4" i="3"/>
  <c r="BJ4" i="3"/>
  <c r="BO4" i="3"/>
  <c r="BT4" i="3"/>
  <c r="BZ4" i="3"/>
  <c r="F1" i="3"/>
  <c r="M1" i="3"/>
  <c r="T1" i="3"/>
  <c r="AB1" i="3"/>
  <c r="AH1" i="3"/>
  <c r="AO1" i="3"/>
  <c r="AW1" i="3"/>
  <c r="BD1" i="3"/>
  <c r="BJ1" i="3"/>
  <c r="BR1" i="3"/>
  <c r="BY1" i="3"/>
  <c r="D2" i="3"/>
  <c r="L2" i="3"/>
  <c r="R2" i="3"/>
  <c r="Y2" i="3"/>
  <c r="AG2" i="3"/>
  <c r="AN2" i="3"/>
  <c r="AT2" i="3"/>
  <c r="BB2" i="3"/>
  <c r="BI2" i="3"/>
  <c r="BP2" i="3"/>
  <c r="BX2" i="3"/>
  <c r="B3" i="3"/>
  <c r="I3" i="3"/>
  <c r="Q3" i="3"/>
  <c r="X3" i="3"/>
  <c r="AD3" i="3"/>
  <c r="AL3" i="3"/>
  <c r="AS3" i="3"/>
  <c r="AZ3" i="3"/>
  <c r="BH3" i="3"/>
  <c r="BN3" i="3"/>
  <c r="BU3" i="3"/>
  <c r="CC3" i="3"/>
  <c r="F4" i="3"/>
  <c r="L4" i="3"/>
  <c r="T4" i="3"/>
  <c r="AA4" i="3"/>
  <c r="AH4" i="3"/>
  <c r="AP4" i="3"/>
  <c r="AV4" i="3"/>
  <c r="BC4" i="3"/>
  <c r="BK4" i="3"/>
  <c r="BR4" i="3"/>
  <c r="BX4" i="3"/>
  <c r="B1" i="3"/>
  <c r="H1" i="3"/>
  <c r="N1" i="3"/>
  <c r="V1" i="3"/>
  <c r="AC1" i="3"/>
  <c r="AJ1" i="3"/>
  <c r="AR1" i="3"/>
  <c r="AX1" i="3"/>
  <c r="BE1" i="3"/>
  <c r="BM1" i="3"/>
  <c r="BT1" i="3"/>
  <c r="BZ1" i="3"/>
  <c r="F2" i="3"/>
  <c r="M2" i="3"/>
  <c r="T2" i="3"/>
  <c r="AB2" i="3"/>
  <c r="AH2" i="3"/>
  <c r="AO2" i="3"/>
  <c r="AW2" i="3"/>
  <c r="BD2" i="3"/>
  <c r="BJ2" i="3"/>
  <c r="BR2" i="3"/>
  <c r="BY2" i="3"/>
  <c r="D3" i="3"/>
  <c r="L3" i="3"/>
  <c r="R3" i="3"/>
  <c r="Y3" i="3"/>
  <c r="AG3" i="3"/>
  <c r="AN3" i="3"/>
  <c r="AT3" i="3"/>
  <c r="BB3" i="3"/>
  <c r="BI3" i="3"/>
  <c r="BP3" i="3"/>
  <c r="BX3" i="3"/>
  <c r="G4" i="3"/>
  <c r="O4" i="3"/>
  <c r="V4" i="3"/>
  <c r="AB4" i="3"/>
  <c r="AJ4" i="3"/>
  <c r="AQ4" i="3"/>
  <c r="AX4" i="3"/>
  <c r="BF4" i="3"/>
  <c r="BL4" i="3"/>
  <c r="BS4" i="3"/>
  <c r="CA4" i="3"/>
  <c r="CO62" i="2"/>
  <c r="CS61" i="2"/>
  <c r="D1" i="2"/>
  <c r="H1" i="2"/>
  <c r="L1" i="2"/>
  <c r="P1" i="2"/>
  <c r="T1" i="2"/>
  <c r="X1" i="2"/>
  <c r="AB1" i="2"/>
  <c r="AF1" i="2"/>
  <c r="AJ1" i="2"/>
  <c r="AN1" i="2"/>
  <c r="AR1" i="2"/>
  <c r="AV1" i="2"/>
  <c r="AZ1" i="2"/>
  <c r="BD1" i="2"/>
  <c r="BH1" i="2"/>
  <c r="BL1" i="2"/>
  <c r="BP1" i="2"/>
  <c r="BT1" i="2"/>
  <c r="BX1" i="2"/>
  <c r="CB1" i="2"/>
  <c r="D2" i="2"/>
  <c r="E1" i="2"/>
  <c r="I1" i="2"/>
  <c r="M1" i="2"/>
  <c r="Q1" i="2"/>
  <c r="U1" i="2"/>
  <c r="Y1" i="2"/>
  <c r="AC1" i="2"/>
  <c r="AG1" i="2"/>
  <c r="AK1" i="2"/>
  <c r="AO1" i="2"/>
  <c r="AS1" i="2"/>
  <c r="AW1" i="2"/>
  <c r="BA1" i="2"/>
  <c r="BE1" i="2"/>
  <c r="BI1" i="2"/>
  <c r="BM1" i="2"/>
  <c r="BQ1" i="2"/>
  <c r="BU1" i="2"/>
  <c r="BY1" i="2"/>
  <c r="CC1" i="2"/>
  <c r="E2" i="2"/>
  <c r="I2" i="2"/>
  <c r="M2" i="2"/>
  <c r="Q2" i="2"/>
  <c r="U2" i="2"/>
  <c r="Y2" i="2"/>
  <c r="AC2" i="2"/>
  <c r="AG2" i="2"/>
  <c r="AK2" i="2"/>
  <c r="AO2" i="2"/>
  <c r="AS2" i="2"/>
  <c r="AW2" i="2"/>
  <c r="BA2" i="2"/>
  <c r="BE2" i="2"/>
  <c r="BI2" i="2"/>
  <c r="BM2" i="2"/>
  <c r="BQ2" i="2"/>
  <c r="BU2" i="2"/>
  <c r="BY2" i="2"/>
  <c r="CC2" i="2"/>
  <c r="E3" i="2"/>
  <c r="I3" i="2"/>
  <c r="M3" i="2"/>
  <c r="Q3" i="2"/>
  <c r="U3" i="2"/>
  <c r="Y3" i="2"/>
  <c r="AC3" i="2"/>
  <c r="AG3" i="2"/>
  <c r="AK3" i="2"/>
  <c r="AO3" i="2"/>
  <c r="AS3" i="2"/>
  <c r="AW3" i="2"/>
  <c r="BA3" i="2"/>
  <c r="BE3" i="2"/>
  <c r="BI3" i="2"/>
  <c r="BM3" i="2"/>
  <c r="BQ3" i="2"/>
  <c r="BU3" i="2"/>
  <c r="BY3" i="2"/>
  <c r="CC3" i="2"/>
  <c r="E4" i="2"/>
  <c r="E70" i="2" s="1"/>
  <c r="I4" i="2"/>
  <c r="I70" i="2" s="1"/>
  <c r="M4" i="2"/>
  <c r="M70" i="2" s="1"/>
  <c r="Q4" i="2"/>
  <c r="Q70" i="2" s="1"/>
  <c r="U4" i="2"/>
  <c r="U70" i="2" s="1"/>
  <c r="Y4" i="2"/>
  <c r="Y70" i="2" s="1"/>
  <c r="AC4" i="2"/>
  <c r="AC70" i="2" s="1"/>
  <c r="AG4" i="2"/>
  <c r="AG70" i="2" s="1"/>
  <c r="AK4" i="2"/>
  <c r="AK70" i="2" s="1"/>
  <c r="AO4" i="2"/>
  <c r="AO70" i="2" s="1"/>
  <c r="AS4" i="2"/>
  <c r="AS70" i="2" s="1"/>
  <c r="AW4" i="2"/>
  <c r="AW70" i="2" s="1"/>
  <c r="BA4" i="2"/>
  <c r="BA70" i="2" s="1"/>
  <c r="BE4" i="2"/>
  <c r="BE70" i="2" s="1"/>
  <c r="BI4" i="2"/>
  <c r="BI70" i="2" s="1"/>
  <c r="BM4" i="2"/>
  <c r="BM70" i="2" s="1"/>
  <c r="BQ4" i="2"/>
  <c r="BQ70" i="2" s="1"/>
  <c r="BU4" i="2"/>
  <c r="BU70" i="2" s="1"/>
  <c r="BY4" i="2"/>
  <c r="BY70" i="2" s="1"/>
  <c r="CC4" i="2"/>
  <c r="CC70" i="2" s="1"/>
  <c r="F1" i="2"/>
  <c r="N1" i="2"/>
  <c r="V1" i="2"/>
  <c r="AD1" i="2"/>
  <c r="AL1" i="2"/>
  <c r="AT1" i="2"/>
  <c r="BB1" i="2"/>
  <c r="BJ1" i="2"/>
  <c r="BR1" i="2"/>
  <c r="BZ1" i="2"/>
  <c r="F2" i="2"/>
  <c r="K2" i="2"/>
  <c r="P2" i="2"/>
  <c r="V2" i="2"/>
  <c r="AA2" i="2"/>
  <c r="AF2" i="2"/>
  <c r="AL2" i="2"/>
  <c r="AQ2" i="2"/>
  <c r="AV2" i="2"/>
  <c r="BB2" i="2"/>
  <c r="BG2" i="2"/>
  <c r="BL2" i="2"/>
  <c r="BR2" i="2"/>
  <c r="BW2" i="2"/>
  <c r="CB2" i="2"/>
  <c r="F3" i="2"/>
  <c r="K3" i="2"/>
  <c r="P3" i="2"/>
  <c r="V3" i="2"/>
  <c r="AA3" i="2"/>
  <c r="AF3" i="2"/>
  <c r="AL3" i="2"/>
  <c r="AQ3" i="2"/>
  <c r="AV3" i="2"/>
  <c r="BB3" i="2"/>
  <c r="BG3" i="2"/>
  <c r="BL3" i="2"/>
  <c r="BR3" i="2"/>
  <c r="BW3" i="2"/>
  <c r="CB3" i="2"/>
  <c r="F4" i="2"/>
  <c r="F70" i="2" s="1"/>
  <c r="K4" i="2"/>
  <c r="K70" i="2" s="1"/>
  <c r="P4" i="2"/>
  <c r="P70" i="2" s="1"/>
  <c r="V4" i="2"/>
  <c r="V70" i="2" s="1"/>
  <c r="AA4" i="2"/>
  <c r="AA70" i="2" s="1"/>
  <c r="AF4" i="2"/>
  <c r="AF70" i="2" s="1"/>
  <c r="AL4" i="2"/>
  <c r="AL70" i="2" s="1"/>
  <c r="AQ4" i="2"/>
  <c r="AQ70" i="2" s="1"/>
  <c r="AV4" i="2"/>
  <c r="AV70" i="2" s="1"/>
  <c r="BB4" i="2"/>
  <c r="BB70" i="2" s="1"/>
  <c r="BG4" i="2"/>
  <c r="BG70" i="2" s="1"/>
  <c r="BL4" i="2"/>
  <c r="BL70" i="2" s="1"/>
  <c r="BR4" i="2"/>
  <c r="BR70" i="2" s="1"/>
  <c r="BW4" i="2"/>
  <c r="BW70" i="2" s="1"/>
  <c r="CB4" i="2"/>
  <c r="CB70" i="2" s="1"/>
  <c r="G1" i="2"/>
  <c r="O1" i="2"/>
  <c r="W1" i="2"/>
  <c r="AE1" i="2"/>
  <c r="AM1" i="2"/>
  <c r="AU1" i="2"/>
  <c r="BC1" i="2"/>
  <c r="BK1" i="2"/>
  <c r="BS1" i="2"/>
  <c r="CA1" i="2"/>
  <c r="G2" i="2"/>
  <c r="L2" i="2"/>
  <c r="R2" i="2"/>
  <c r="W2" i="2"/>
  <c r="AB2" i="2"/>
  <c r="AH2" i="2"/>
  <c r="AM2" i="2"/>
  <c r="AR2" i="2"/>
  <c r="AX2" i="2"/>
  <c r="BC2" i="2"/>
  <c r="BH2" i="2"/>
  <c r="BN2" i="2"/>
  <c r="BS2" i="2"/>
  <c r="BX2" i="2"/>
  <c r="CD2" i="2"/>
  <c r="G3" i="2"/>
  <c r="L3" i="2"/>
  <c r="R3" i="2"/>
  <c r="W3" i="2"/>
  <c r="AB3" i="2"/>
  <c r="AH3" i="2"/>
  <c r="AM3" i="2"/>
  <c r="AR3" i="2"/>
  <c r="AX3" i="2"/>
  <c r="BC3" i="2"/>
  <c r="BH3" i="2"/>
  <c r="BN3" i="2"/>
  <c r="BS3" i="2"/>
  <c r="BX3" i="2"/>
  <c r="CD3" i="2"/>
  <c r="G4" i="2"/>
  <c r="G70" i="2" s="1"/>
  <c r="L4" i="2"/>
  <c r="L70" i="2" s="1"/>
  <c r="R4" i="2"/>
  <c r="R70" i="2" s="1"/>
  <c r="W4" i="2"/>
  <c r="W70" i="2" s="1"/>
  <c r="AB4" i="2"/>
  <c r="AB70" i="2" s="1"/>
  <c r="AH4" i="2"/>
  <c r="AH70" i="2" s="1"/>
  <c r="AM4" i="2"/>
  <c r="AM70" i="2" s="1"/>
  <c r="AR4" i="2"/>
  <c r="AR70" i="2" s="1"/>
  <c r="AX4" i="2"/>
  <c r="AX70" i="2" s="1"/>
  <c r="BC4" i="2"/>
  <c r="BC70" i="2" s="1"/>
  <c r="BH4" i="2"/>
  <c r="BH70" i="2" s="1"/>
  <c r="BN4" i="2"/>
  <c r="BN70" i="2" s="1"/>
  <c r="BS4" i="2"/>
  <c r="BS70" i="2" s="1"/>
  <c r="BX4" i="2"/>
  <c r="BX70" i="2" s="1"/>
  <c r="CD4" i="2"/>
  <c r="CD70" i="2" s="1"/>
  <c r="C1" i="2"/>
  <c r="J1" i="2"/>
  <c r="R1" i="2"/>
  <c r="Z1" i="2"/>
  <c r="AH1" i="2"/>
  <c r="AP1" i="2"/>
  <c r="AX1" i="2"/>
  <c r="BF1" i="2"/>
  <c r="BN1" i="2"/>
  <c r="BV1" i="2"/>
  <c r="CD1" i="2"/>
  <c r="H2" i="2"/>
  <c r="N2" i="2"/>
  <c r="S2" i="2"/>
  <c r="X2" i="2"/>
  <c r="AD2" i="2"/>
  <c r="AI2" i="2"/>
  <c r="AN2" i="2"/>
  <c r="AT2" i="2"/>
  <c r="AY2" i="2"/>
  <c r="BD2" i="2"/>
  <c r="BJ2" i="2"/>
  <c r="BO2" i="2"/>
  <c r="BT2" i="2"/>
  <c r="BZ2" i="2"/>
  <c r="C3" i="2"/>
  <c r="H3" i="2"/>
  <c r="N3" i="2"/>
  <c r="S3" i="2"/>
  <c r="X3" i="2"/>
  <c r="AD3" i="2"/>
  <c r="AI3" i="2"/>
  <c r="AN3" i="2"/>
  <c r="AT3" i="2"/>
  <c r="AY3" i="2"/>
  <c r="BD3" i="2"/>
  <c r="BJ3" i="2"/>
  <c r="BO3" i="2"/>
  <c r="BT3" i="2"/>
  <c r="BZ3" i="2"/>
  <c r="C4" i="2"/>
  <c r="H4" i="2"/>
  <c r="H70" i="2" s="1"/>
  <c r="N4" i="2"/>
  <c r="N70" i="2" s="1"/>
  <c r="S4" i="2"/>
  <c r="S70" i="2" s="1"/>
  <c r="X4" i="2"/>
  <c r="X70" i="2" s="1"/>
  <c r="AD4" i="2"/>
  <c r="AD70" i="2" s="1"/>
  <c r="AI4" i="2"/>
  <c r="AI70" i="2" s="1"/>
  <c r="AN4" i="2"/>
  <c r="AN70" i="2" s="1"/>
  <c r="AT4" i="2"/>
  <c r="AT70" i="2" s="1"/>
  <c r="AY4" i="2"/>
  <c r="AY70" i="2" s="1"/>
  <c r="BD4" i="2"/>
  <c r="BD70" i="2" s="1"/>
  <c r="BJ4" i="2"/>
  <c r="BJ70" i="2" s="1"/>
  <c r="BO4" i="2"/>
  <c r="BO70" i="2" s="1"/>
  <c r="BT4" i="2"/>
  <c r="BT70" i="2" s="1"/>
  <c r="CA4" i="2"/>
  <c r="CA70" i="2" s="1"/>
  <c r="BK4" i="2"/>
  <c r="BK70" i="2" s="1"/>
  <c r="AP4" i="2"/>
  <c r="AP70" i="2" s="1"/>
  <c r="T4" i="2"/>
  <c r="T70" i="2" s="1"/>
  <c r="CA3" i="2"/>
  <c r="BF3" i="2"/>
  <c r="AJ3" i="2"/>
  <c r="O3" i="2"/>
  <c r="BV2" i="2"/>
  <c r="AZ2" i="2"/>
  <c r="AE2" i="2"/>
  <c r="J2" i="2"/>
  <c r="BG1" i="2"/>
  <c r="AA1" i="2"/>
  <c r="BZ4" i="2"/>
  <c r="BZ70" i="2" s="1"/>
  <c r="BF4" i="2"/>
  <c r="BF70" i="2" s="1"/>
  <c r="AJ4" i="2"/>
  <c r="AJ70" i="2" s="1"/>
  <c r="O4" i="2"/>
  <c r="O70" i="2" s="1"/>
  <c r="BV3" i="2"/>
  <c r="AZ3" i="2"/>
  <c r="AE3" i="2"/>
  <c r="J3" i="2"/>
  <c r="BP2" i="2"/>
  <c r="AU2" i="2"/>
  <c r="Z2" i="2"/>
  <c r="C2" i="2"/>
  <c r="AY1" i="2"/>
  <c r="S1" i="2"/>
  <c r="BV4" i="2"/>
  <c r="BV70" i="2" s="1"/>
  <c r="AZ4" i="2"/>
  <c r="AZ70" i="2" s="1"/>
  <c r="AE4" i="2"/>
  <c r="AE70" i="2" s="1"/>
  <c r="J4" i="2"/>
  <c r="J70" i="2" s="1"/>
  <c r="BP3" i="2"/>
  <c r="AU3" i="2"/>
  <c r="Z3" i="2"/>
  <c r="D3" i="2"/>
  <c r="BK2" i="2"/>
  <c r="AP2" i="2"/>
  <c r="T2" i="2"/>
  <c r="BW1" i="2"/>
  <c r="AQ1" i="2"/>
  <c r="K1" i="2"/>
  <c r="CH5" i="2"/>
  <c r="CE5" i="2"/>
  <c r="CM6" i="2"/>
  <c r="DA7" i="2"/>
  <c r="CX8" i="2"/>
  <c r="CM9" i="2"/>
  <c r="CQ10" i="2"/>
  <c r="CY11" i="2"/>
  <c r="CZ12" i="2"/>
  <c r="CG14" i="2"/>
  <c r="DB14" i="2"/>
  <c r="CW16" i="2"/>
  <c r="CQ17" i="2"/>
  <c r="CY18" i="2"/>
  <c r="CZ19" i="2"/>
  <c r="CH21" i="2"/>
  <c r="DA22" i="2"/>
  <c r="CX23" i="2"/>
  <c r="CM24" i="2"/>
  <c r="DA25" i="2"/>
  <c r="CX26" i="2"/>
  <c r="CE28" i="2"/>
  <c r="CG29" i="2"/>
  <c r="DB29" i="2"/>
  <c r="CI31" i="2"/>
  <c r="CN6" i="2"/>
  <c r="CK7" i="2"/>
  <c r="CH8" i="2"/>
  <c r="DA9" i="2"/>
  <c r="CI11" i="2"/>
  <c r="CW12" i="2"/>
  <c r="CQ13" i="2"/>
  <c r="CY14" i="2"/>
  <c r="CZ15" i="2"/>
  <c r="CX16" i="2"/>
  <c r="CE18" i="2"/>
  <c r="CN19" i="2"/>
  <c r="CK20" i="2"/>
  <c r="CE21" i="2"/>
  <c r="CG22" i="2"/>
  <c r="DB22" i="2"/>
  <c r="CW24" i="2"/>
  <c r="CQ25" i="2"/>
  <c r="CY26" i="2"/>
  <c r="CZ27" i="2"/>
  <c r="CH29" i="2"/>
  <c r="CM30" i="2"/>
  <c r="DA31" i="2"/>
  <c r="CX32" i="2"/>
  <c r="CM33" i="2"/>
  <c r="CK6" i="2"/>
  <c r="CH7" i="2"/>
  <c r="CM8" i="2"/>
  <c r="CQ9" i="2"/>
  <c r="CI10" i="2"/>
  <c r="CW11" i="2"/>
  <c r="CQ12" i="2"/>
  <c r="CY13" i="2"/>
  <c r="CZ14" i="2"/>
  <c r="CH16" i="2"/>
  <c r="CM17" i="2"/>
  <c r="DA18" i="2"/>
  <c r="CX19" i="2"/>
  <c r="CN21" i="2"/>
  <c r="CY22" i="2"/>
  <c r="CZ23" i="2"/>
  <c r="CX24" i="2"/>
  <c r="CE26" i="2"/>
  <c r="CN27" i="2"/>
  <c r="CK28" i="2"/>
  <c r="CE29" i="2"/>
  <c r="CN30" i="2"/>
  <c r="CK31" i="2"/>
  <c r="CH6" i="2"/>
  <c r="CM7" i="2"/>
  <c r="DA8" i="2"/>
  <c r="CW10" i="2"/>
  <c r="CQ11" i="2"/>
  <c r="CY12" i="2"/>
  <c r="CZ13" i="2"/>
  <c r="CG15" i="2"/>
  <c r="DB15" i="2"/>
  <c r="CZ16" i="2"/>
  <c r="CG18" i="2"/>
  <c r="DB18" i="2"/>
  <c r="CI20" i="2"/>
  <c r="CK21" i="2"/>
  <c r="CE22" i="2"/>
  <c r="CN23" i="2"/>
  <c r="DB27" i="2"/>
  <c r="CQ30" i="2"/>
  <c r="CZ32" i="2"/>
  <c r="CH34" i="2"/>
  <c r="CM35" i="2"/>
  <c r="DA36" i="2"/>
  <c r="CW38" i="2"/>
  <c r="CQ39" i="2"/>
  <c r="CY40" i="2"/>
  <c r="CZ41" i="2"/>
  <c r="CM5" i="2"/>
  <c r="CE6" i="2"/>
  <c r="CW7" i="2"/>
  <c r="DB8" i="2"/>
  <c r="CG10" i="2"/>
  <c r="CH11" i="2"/>
  <c r="CN13" i="2"/>
  <c r="CQ14" i="2"/>
  <c r="CN16" i="2"/>
  <c r="CX17" i="2"/>
  <c r="CI19" i="2"/>
  <c r="DA20" i="2"/>
  <c r="CG23" i="2"/>
  <c r="CE24" i="2"/>
  <c r="CW25" i="2"/>
  <c r="DB26" i="2"/>
  <c r="CM28" i="2"/>
  <c r="CX29" i="2"/>
  <c r="CM31" i="2"/>
  <c r="DA6" i="2"/>
  <c r="DB7" i="2"/>
  <c r="CH10" i="2"/>
  <c r="CZ11" i="2"/>
  <c r="CK13" i="2"/>
  <c r="CE15" i="2"/>
  <c r="CK16" i="2"/>
  <c r="CY17" i="2"/>
  <c r="CW19" i="2"/>
  <c r="CX20" i="2"/>
  <c r="CZ21" i="2"/>
  <c r="CH23" i="2"/>
  <c r="CG25" i="2"/>
  <c r="CH26" i="2"/>
  <c r="CN28" i="2"/>
  <c r="CE30" i="2"/>
  <c r="CW31" i="2"/>
  <c r="DB32" i="2"/>
  <c r="CZ5" i="2"/>
  <c r="DB6" i="2"/>
  <c r="CZ8" i="2"/>
  <c r="DB9" i="2"/>
  <c r="CN11" i="2"/>
  <c r="CX12" i="2"/>
  <c r="CI14" i="2"/>
  <c r="DA15" i="2"/>
  <c r="CZ17" i="2"/>
  <c r="CK19" i="2"/>
  <c r="CY20" i="2"/>
  <c r="CE23" i="2"/>
  <c r="CK24" i="2"/>
  <c r="CY25" i="2"/>
  <c r="CW27" i="2"/>
  <c r="CX28" i="2"/>
  <c r="CZ29" i="2"/>
  <c r="CQ31" i="2"/>
  <c r="CE7" i="2"/>
  <c r="CW8" i="2"/>
  <c r="DA10" i="2"/>
  <c r="DB11" i="2"/>
  <c r="CM13" i="2"/>
  <c r="CK15" i="2"/>
  <c r="CI16" i="2"/>
  <c r="DA17" i="2"/>
  <c r="CH19" i="2"/>
  <c r="CZ20" i="2"/>
  <c r="DB21" i="2"/>
  <c r="CW23" i="2"/>
  <c r="DA29" i="2"/>
  <c r="CN32" i="2"/>
  <c r="CY34" i="2"/>
  <c r="CN36" i="2"/>
  <c r="CN38" i="2"/>
  <c r="CX39" i="2"/>
  <c r="CI41" i="2"/>
  <c r="CQ42" i="2"/>
  <c r="CY43" i="2"/>
  <c r="CZ44" i="2"/>
  <c r="CX45" i="2"/>
  <c r="CE47" i="2"/>
  <c r="CN48" i="2"/>
  <c r="CK49" i="2"/>
  <c r="CH50" i="2"/>
  <c r="CM51" i="2"/>
  <c r="DA52" i="2"/>
  <c r="CX53" i="2"/>
  <c r="CM54" i="2"/>
  <c r="DA55" i="2"/>
  <c r="CX56" i="2"/>
  <c r="CE58" i="2"/>
  <c r="CY24" i="2"/>
  <c r="CX31" i="2"/>
  <c r="CY33" i="2"/>
  <c r="CZ34" i="2"/>
  <c r="CG36" i="2"/>
  <c r="DB36" i="2"/>
  <c r="CZ37" i="2"/>
  <c r="CX38" i="2"/>
  <c r="CE40" i="2"/>
  <c r="CN41" i="2"/>
  <c r="CY42" i="2"/>
  <c r="CZ43" i="2"/>
  <c r="CH45" i="2"/>
  <c r="CM46" i="2"/>
  <c r="CG27" i="2"/>
  <c r="CG33" i="2"/>
  <c r="DA34" i="2"/>
  <c r="CX35" i="2"/>
  <c r="CN37" i="2"/>
  <c r="CY38" i="2"/>
  <c r="CZ39" i="2"/>
  <c r="CG41" i="2"/>
  <c r="DB41" i="2"/>
  <c r="CZ42" i="2"/>
  <c r="CG44" i="2"/>
  <c r="DB44" i="2"/>
  <c r="CZ45" i="2"/>
  <c r="CG47" i="2"/>
  <c r="DB47" i="2"/>
  <c r="CI49" i="2"/>
  <c r="CW50" i="2"/>
  <c r="CQ51" i="2"/>
  <c r="CY52" i="2"/>
  <c r="CZ53" i="2"/>
  <c r="CX54" i="2"/>
  <c r="CN5" i="2"/>
  <c r="CX5" i="2"/>
  <c r="CG8" i="2"/>
  <c r="CI9" i="2"/>
  <c r="DB10" i="2"/>
  <c r="CW13" i="2"/>
  <c r="CH15" i="2"/>
  <c r="CK17" i="2"/>
  <c r="CM19" i="2"/>
  <c r="CN22" i="2"/>
  <c r="DB23" i="2"/>
  <c r="CG26" i="2"/>
  <c r="CY27" i="2"/>
  <c r="CQ29" i="2"/>
  <c r="CI5" i="2"/>
  <c r="CQ7" i="2"/>
  <c r="CW9" i="2"/>
  <c r="CN12" i="2"/>
  <c r="DB13" i="2"/>
  <c r="CG16" i="2"/>
  <c r="CI18" i="2"/>
  <c r="CG20" i="2"/>
  <c r="CM21" i="2"/>
  <c r="CY23" i="2"/>
  <c r="CX25" i="2"/>
  <c r="CM27" i="2"/>
  <c r="CI30" i="2"/>
  <c r="CK32" i="2"/>
  <c r="CK5" i="2"/>
  <c r="CY7" i="2"/>
  <c r="CK9" i="2"/>
  <c r="CZ10" i="2"/>
  <c r="DB12" i="2"/>
  <c r="CN15" i="2"/>
  <c r="CI17" i="2"/>
  <c r="CQ19" i="2"/>
  <c r="DA21" i="2"/>
  <c r="CG24" i="2"/>
  <c r="CI26" i="2"/>
  <c r="CG28" i="2"/>
  <c r="CM29" i="2"/>
  <c r="CQ5" i="2"/>
  <c r="CZ7" i="2"/>
  <c r="CN10" i="2"/>
  <c r="CH12" i="2"/>
  <c r="CW14" i="2"/>
  <c r="CE16" i="2"/>
  <c r="CK18" i="2"/>
  <c r="CE20" i="2"/>
  <c r="CX21" i="2"/>
  <c r="DA23" i="2"/>
  <c r="DB31" i="2"/>
  <c r="DB33" i="2"/>
  <c r="CW36" i="2"/>
  <c r="CG39" i="2"/>
  <c r="CE41" i="2"/>
  <c r="CX42" i="2"/>
  <c r="CI44" i="2"/>
  <c r="CQ45" i="2"/>
  <c r="CI47" i="2"/>
  <c r="DA48" i="2"/>
  <c r="DB49" i="2"/>
  <c r="CZ51" i="2"/>
  <c r="CK53" i="2"/>
  <c r="CI54" i="2"/>
  <c r="CG56" i="2"/>
  <c r="CH57" i="2"/>
  <c r="CH24" i="2"/>
  <c r="CE32" i="2"/>
  <c r="CI34" i="2"/>
  <c r="DA35" i="2"/>
  <c r="CE37" i="2"/>
  <c r="CK38" i="2"/>
  <c r="CY39" i="2"/>
  <c r="CW41" i="2"/>
  <c r="CI43" i="2"/>
  <c r="DA44" i="2"/>
  <c r="CI25" i="2"/>
  <c r="CY31" i="2"/>
  <c r="CW34" i="2"/>
  <c r="DB35" i="2"/>
  <c r="DA37" i="2"/>
  <c r="CM39" i="2"/>
  <c r="CK41" i="2"/>
  <c r="CI42" i="2"/>
  <c r="DA43" i="2"/>
  <c r="CE45" i="2"/>
  <c r="CW46" i="2"/>
  <c r="CX47" i="2"/>
  <c r="CM49" i="2"/>
  <c r="CG51" i="2"/>
  <c r="CH52" i="2"/>
  <c r="CG54" i="2"/>
  <c r="CH55" i="2"/>
  <c r="CM56" i="2"/>
  <c r="DA57" i="2"/>
  <c r="CX58" i="2"/>
  <c r="CK27" i="2"/>
  <c r="CN33" i="2"/>
  <c r="CZ38" i="2"/>
  <c r="CG43" i="2"/>
  <c r="DA47" i="2"/>
  <c r="DA49" i="2"/>
  <c r="DA51" i="2"/>
  <c r="DA53" i="2"/>
  <c r="CH56" i="2"/>
  <c r="CW58" i="2"/>
  <c r="DB59" i="2"/>
  <c r="Q65" i="2"/>
  <c r="AG65" i="2"/>
  <c r="AW65" i="2"/>
  <c r="I69" i="2"/>
  <c r="Y69" i="2"/>
  <c r="AO69" i="2"/>
  <c r="BE69" i="2"/>
  <c r="BU69" i="2"/>
  <c r="DA26" i="2"/>
  <c r="CY35" i="2"/>
  <c r="CG40" i="2"/>
  <c r="CK43" i="2"/>
  <c r="CG48" i="2"/>
  <c r="CG50" i="2"/>
  <c r="CG52" i="2"/>
  <c r="CY54" i="2"/>
  <c r="CK57" i="2"/>
  <c r="CX59" i="2"/>
  <c r="CK34" i="2"/>
  <c r="CK40" i="2"/>
  <c r="CG46" i="2"/>
  <c r="CI50" i="2"/>
  <c r="CE55" i="2"/>
  <c r="CG59" i="2"/>
  <c r="CN42" i="2"/>
  <c r="CQ46" i="2"/>
  <c r="CK50" i="2"/>
  <c r="CZ55" i="2"/>
  <c r="CI59" i="2"/>
  <c r="V65" i="2"/>
  <c r="AQ65" i="2"/>
  <c r="F69" i="2"/>
  <c r="AA69" i="2"/>
  <c r="AV69" i="2"/>
  <c r="BR69" i="2"/>
  <c r="CP5" i="3"/>
  <c r="CF7" i="3"/>
  <c r="CO8" i="3"/>
  <c r="CI10" i="3"/>
  <c r="CN11" i="3"/>
  <c r="CP13" i="3"/>
  <c r="CF15" i="3"/>
  <c r="CO16" i="3"/>
  <c r="CI18" i="3"/>
  <c r="CN19" i="3"/>
  <c r="CP21" i="3"/>
  <c r="CF23" i="3"/>
  <c r="CO24" i="3"/>
  <c r="CI26" i="3"/>
  <c r="CN27" i="3"/>
  <c r="CP29" i="3"/>
  <c r="CF31" i="3"/>
  <c r="CO32" i="3"/>
  <c r="CI34" i="3"/>
  <c r="CN35" i="3"/>
  <c r="CN56" i="2"/>
  <c r="N65" i="2"/>
  <c r="AP65" i="2"/>
  <c r="O69" i="2"/>
  <c r="AR69" i="2"/>
  <c r="BT69" i="2"/>
  <c r="CG6" i="3"/>
  <c r="CE9" i="3"/>
  <c r="CP10" i="3"/>
  <c r="CI13" i="3"/>
  <c r="CE15" i="3"/>
  <c r="CG17" i="3"/>
  <c r="CO19" i="3"/>
  <c r="CF21" i="3"/>
  <c r="CI24" i="3"/>
  <c r="CO25" i="3"/>
  <c r="CQ27" i="3"/>
  <c r="CJ30" i="3"/>
  <c r="CF32" i="3"/>
  <c r="CN34" i="3"/>
  <c r="CP36" i="3"/>
  <c r="CF38" i="3"/>
  <c r="I40" i="3"/>
  <c r="Y40" i="3"/>
  <c r="AO40" i="3"/>
  <c r="BE40" i="3"/>
  <c r="O44" i="3"/>
  <c r="AE44" i="3"/>
  <c r="AU44" i="3"/>
  <c r="J45" i="3"/>
  <c r="Z45" i="3"/>
  <c r="AP45" i="3"/>
  <c r="BF45" i="3"/>
  <c r="CW47" i="2"/>
  <c r="CM38" i="2"/>
  <c r="O65" i="2"/>
  <c r="AZ65" i="2"/>
  <c r="AM69" i="2"/>
  <c r="BX69" i="2"/>
  <c r="CN6" i="3"/>
  <c r="CI11" i="3"/>
  <c r="CG13" i="3"/>
  <c r="CG15" i="3"/>
  <c r="CI20" i="3"/>
  <c r="CH22" i="3"/>
  <c r="CF24" i="3"/>
  <c r="CJ29" i="3"/>
  <c r="CH31" i="3"/>
  <c r="CF33" i="3"/>
  <c r="CI36" i="3"/>
  <c r="CE38" i="3"/>
  <c r="O40" i="3"/>
  <c r="AJ40" i="3"/>
  <c r="BF40" i="3"/>
  <c r="T44" i="3"/>
  <c r="AO44" i="3"/>
  <c r="E45" i="3"/>
  <c r="AA45" i="3"/>
  <c r="AV45" i="3"/>
  <c r="K48" i="3"/>
  <c r="AA48" i="3"/>
  <c r="AQ48" i="3"/>
  <c r="D49" i="3"/>
  <c r="T49" i="3"/>
  <c r="AJ49" i="3"/>
  <c r="AZ49" i="3"/>
  <c r="M50" i="3"/>
  <c r="AC50" i="3"/>
  <c r="AS50" i="3"/>
  <c r="F51" i="3"/>
  <c r="V51" i="3"/>
  <c r="AL51" i="3"/>
  <c r="BB51" i="3"/>
  <c r="O52" i="3"/>
  <c r="AE52" i="3"/>
  <c r="AU52" i="3"/>
  <c r="H53" i="3"/>
  <c r="X53" i="3"/>
  <c r="AN53" i="3"/>
  <c r="BD53" i="3"/>
  <c r="Q54" i="3"/>
  <c r="AG54" i="3"/>
  <c r="AW54" i="3"/>
  <c r="J55" i="3"/>
  <c r="Z55" i="3"/>
  <c r="AP55" i="3"/>
  <c r="C56" i="3"/>
  <c r="S56" i="3"/>
  <c r="CG5" i="2"/>
  <c r="CI6" i="2"/>
  <c r="CK8" i="2"/>
  <c r="CZ9" i="2"/>
  <c r="CE12" i="2"/>
  <c r="DA13" i="2"/>
  <c r="CY15" i="2"/>
  <c r="DB17" i="2"/>
  <c r="CN20" i="2"/>
  <c r="CW22" i="2"/>
  <c r="CI24" i="2"/>
  <c r="CK26" i="2"/>
  <c r="CI28" i="2"/>
  <c r="CH30" i="2"/>
  <c r="CY5" i="2"/>
  <c r="CX7" i="2"/>
  <c r="CY10" i="2"/>
  <c r="DA12" i="2"/>
  <c r="CH14" i="2"/>
  <c r="CQ16" i="2"/>
  <c r="CM18" i="2"/>
  <c r="CQ20" i="2"/>
  <c r="CK22" i="2"/>
  <c r="CN24" i="2"/>
  <c r="DB25" i="2"/>
  <c r="CW28" i="2"/>
  <c r="CZ30" i="2"/>
  <c r="CQ32" i="2"/>
  <c r="CG6" i="2"/>
  <c r="CE8" i="2"/>
  <c r="CX9" i="2"/>
  <c r="DA11" i="2"/>
  <c r="CH13" i="2"/>
  <c r="CW15" i="2"/>
  <c r="CN18" i="2"/>
  <c r="DB19" i="2"/>
  <c r="CH22" i="2"/>
  <c r="CQ24" i="2"/>
  <c r="CM26" i="2"/>
  <c r="CQ28" i="2"/>
  <c r="CW30" i="2"/>
  <c r="DB5" i="2"/>
  <c r="CN8" i="2"/>
  <c r="CG11" i="2"/>
  <c r="CE13" i="2"/>
  <c r="DA14" i="2"/>
  <c r="CM16" i="2"/>
  <c r="CQ18" i="2"/>
  <c r="CM20" i="2"/>
  <c r="CI22" i="2"/>
  <c r="CN26" i="2"/>
  <c r="CI32" i="2"/>
  <c r="CE35" i="2"/>
  <c r="CH37" i="2"/>
  <c r="CK39" i="2"/>
  <c r="CM41" i="2"/>
  <c r="DB42" i="2"/>
  <c r="CM44" i="2"/>
  <c r="DB45" i="2"/>
  <c r="CM47" i="2"/>
  <c r="CG49" i="2"/>
  <c r="CY50" i="2"/>
  <c r="CN52" i="2"/>
  <c r="CQ53" i="2"/>
  <c r="CZ54" i="2"/>
  <c r="CK56" i="2"/>
  <c r="CY57" i="2"/>
  <c r="CE25" i="2"/>
  <c r="DA32" i="2"/>
  <c r="CM34" i="2"/>
  <c r="CK36" i="2"/>
  <c r="CI37" i="2"/>
  <c r="CQ38" i="2"/>
  <c r="CI40" i="2"/>
  <c r="DA41" i="2"/>
  <c r="CM43" i="2"/>
  <c r="CY45" i="2"/>
  <c r="CZ25" i="2"/>
  <c r="CW32" i="2"/>
  <c r="CG35" i="2"/>
  <c r="CH36" i="2"/>
  <c r="CH38" i="2"/>
  <c r="CN40" i="2"/>
  <c r="CQ41" i="2"/>
  <c r="CM42" i="2"/>
  <c r="CK44" i="2"/>
  <c r="CI45" i="2"/>
  <c r="DA46" i="2"/>
  <c r="CH48" i="2"/>
  <c r="DA5" i="2"/>
  <c r="CE9" i="2"/>
  <c r="CM12" i="2"/>
  <c r="CG17" i="2"/>
  <c r="CY21" i="2"/>
  <c r="CN25" i="2"/>
  <c r="CK29" i="2"/>
  <c r="CG7" i="2"/>
  <c r="CM11" i="2"/>
  <c r="CM15" i="2"/>
  <c r="DA19" i="2"/>
  <c r="CX22" i="2"/>
  <c r="CI27" i="2"/>
  <c r="CG32" i="2"/>
  <c r="CX6" i="2"/>
  <c r="CM10" i="2"/>
  <c r="CM14" i="2"/>
  <c r="CG19" i="2"/>
  <c r="CM23" i="2"/>
  <c r="DA27" i="2"/>
  <c r="CG31" i="2"/>
  <c r="CY9" i="2"/>
  <c r="CN14" i="2"/>
  <c r="CW17" i="2"/>
  <c r="CQ21" i="2"/>
  <c r="CK30" i="2"/>
  <c r="CZ35" i="2"/>
  <c r="CH40" i="2"/>
  <c r="CE44" i="2"/>
  <c r="CY46" i="2"/>
  <c r="CX49" i="2"/>
  <c r="CG53" i="2"/>
  <c r="CW55" i="2"/>
  <c r="CM58" i="2"/>
  <c r="CE34" i="2"/>
  <c r="CX36" i="2"/>
  <c r="CH39" i="2"/>
  <c r="CE43" i="2"/>
  <c r="CI46" i="2"/>
  <c r="CN34" i="2"/>
  <c r="CW37" i="2"/>
  <c r="DA40" i="2"/>
  <c r="CW43" i="2"/>
  <c r="CN46" i="2"/>
  <c r="CE49" i="2"/>
  <c r="CK51" i="2"/>
  <c r="CI53" i="2"/>
  <c r="DB54" i="2"/>
  <c r="CZ56" i="2"/>
  <c r="CK58" i="2"/>
  <c r="CY59" i="2"/>
  <c r="CZ36" i="2"/>
  <c r="CH41" i="2"/>
  <c r="CZ46" i="2"/>
  <c r="CE50" i="2"/>
  <c r="CM52" i="2"/>
  <c r="CI55" i="2"/>
  <c r="CE59" i="2"/>
  <c r="I65" i="2"/>
  <c r="AC65" i="2"/>
  <c r="BA65" i="2"/>
  <c r="Q69" i="2"/>
  <c r="AK69" i="2"/>
  <c r="BI69" i="2"/>
  <c r="CC69" i="2"/>
  <c r="CH35" i="2"/>
  <c r="DB40" i="2"/>
  <c r="DB46" i="2"/>
  <c r="CN49" i="2"/>
  <c r="CQ52" i="2"/>
  <c r="CX55" i="2"/>
  <c r="CK59" i="2"/>
  <c r="CQ34" i="2"/>
  <c r="CH44" i="2"/>
  <c r="CW49" i="2"/>
  <c r="DA56" i="2"/>
  <c r="CH33" i="2"/>
  <c r="CK46" i="2"/>
  <c r="CW51" i="2"/>
  <c r="CZ57" i="2"/>
  <c r="P65" i="2"/>
  <c r="AV65" i="2"/>
  <c r="P69" i="2"/>
  <c r="AQ69" i="2"/>
  <c r="BW69" i="2"/>
  <c r="CI6" i="3"/>
  <c r="CG8" i="3"/>
  <c r="CQ10" i="3"/>
  <c r="CO12" i="3"/>
  <c r="CQ14" i="3"/>
  <c r="CH17" i="3"/>
  <c r="CF19" i="3"/>
  <c r="CH21" i="3"/>
  <c r="CJ23" i="3"/>
  <c r="CP25" i="3"/>
  <c r="CJ27" i="3"/>
  <c r="CE30" i="3"/>
  <c r="CN31" i="3"/>
  <c r="CE34" i="3"/>
  <c r="CX37" i="2"/>
  <c r="CZ59" i="2"/>
  <c r="AI65" i="2"/>
  <c r="W69" i="2"/>
  <c r="BF69" i="2"/>
  <c r="CQ5" i="3"/>
  <c r="CJ9" i="3"/>
  <c r="CQ11" i="3"/>
  <c r="CO14" i="3"/>
  <c r="CH18" i="3"/>
  <c r="CJ20" i="3"/>
  <c r="CH23" i="3"/>
  <c r="CF26" i="3"/>
  <c r="CI29" i="3"/>
  <c r="CP31" i="3"/>
  <c r="CI35" i="3"/>
  <c r="CI37" i="3"/>
  <c r="E40" i="3"/>
  <c r="AC40" i="3"/>
  <c r="AW40" i="3"/>
  <c r="K44" i="3"/>
  <c r="AI44" i="3"/>
  <c r="BC44" i="3"/>
  <c r="V45" i="3"/>
  <c r="AT45" i="3"/>
  <c r="CI36" i="2"/>
  <c r="DA59" i="2"/>
  <c r="X65" i="2"/>
  <c r="CQ8" i="2"/>
  <c r="CK14" i="2"/>
  <c r="CE19" i="2"/>
  <c r="CZ24" i="2"/>
  <c r="CY30" i="2"/>
  <c r="CN9" i="2"/>
  <c r="CI15" i="2"/>
  <c r="DB20" i="2"/>
  <c r="CK25" i="2"/>
  <c r="CN31" i="2"/>
  <c r="CI8" i="2"/>
  <c r="CK12" i="2"/>
  <c r="CW18" i="2"/>
  <c r="DB24" i="2"/>
  <c r="CI29" i="2"/>
  <c r="CH9" i="2"/>
  <c r="CQ15" i="2"/>
  <c r="CY19" i="2"/>
  <c r="CN29" i="2"/>
  <c r="CY37" i="2"/>
  <c r="CK42" i="2"/>
  <c r="CH46" i="2"/>
  <c r="CE51" i="2"/>
  <c r="CE54" i="2"/>
  <c r="CI58" i="2"/>
  <c r="CN35" i="2"/>
  <c r="CG38" i="2"/>
  <c r="CH42" i="2"/>
  <c r="CW26" i="2"/>
  <c r="CQ35" i="2"/>
  <c r="CW40" i="2"/>
  <c r="CQ44" i="2"/>
  <c r="CQ47" i="2"/>
  <c r="DA50" i="2"/>
  <c r="CM53" i="2"/>
  <c r="CE56" i="2"/>
  <c r="CG58" i="2"/>
  <c r="CQ27" i="2"/>
  <c r="CQ37" i="2"/>
  <c r="CN45" i="2"/>
  <c r="CM50" i="2"/>
  <c r="CH54" i="2"/>
  <c r="CH58" i="2"/>
  <c r="M65" i="2"/>
  <c r="AO65" i="2"/>
  <c r="M69" i="2"/>
  <c r="AS69" i="2"/>
  <c r="BQ69" i="2"/>
  <c r="CX34" i="2"/>
  <c r="CY41" i="2"/>
  <c r="CQ48" i="2"/>
  <c r="CN51" i="2"/>
  <c r="CY56" i="2"/>
  <c r="CW29" i="2"/>
  <c r="CQ40" i="2"/>
  <c r="CX52" i="2"/>
  <c r="CZ58" i="2"/>
  <c r="DA45" i="2"/>
  <c r="CI52" i="2"/>
  <c r="F65" i="2"/>
  <c r="AL65" i="2"/>
  <c r="V69" i="2"/>
  <c r="BG69" i="2"/>
  <c r="CE6" i="3"/>
  <c r="CH9" i="3"/>
  <c r="CJ11" i="3"/>
  <c r="CI14" i="3"/>
  <c r="CP17" i="3"/>
  <c r="CG20" i="3"/>
  <c r="CQ22" i="3"/>
  <c r="CE26" i="3"/>
  <c r="CO28" i="3"/>
  <c r="CJ31" i="3"/>
  <c r="CQ34" i="3"/>
  <c r="DB55" i="2"/>
  <c r="AB65" i="2"/>
  <c r="AD69" i="2"/>
  <c r="CA69" i="2"/>
  <c r="CN8" i="3"/>
  <c r="CH12" i="3"/>
  <c r="CF16" i="3"/>
  <c r="CE20" i="3"/>
  <c r="CN24" i="3"/>
  <c r="CG27" i="3"/>
  <c r="CE31" i="3"/>
  <c r="CO35" i="3"/>
  <c r="CJ38" i="3"/>
  <c r="U40" i="3"/>
  <c r="BA40" i="3"/>
  <c r="W44" i="3"/>
  <c r="AY44" i="3"/>
  <c r="AD45" i="3"/>
  <c r="BB45" i="3"/>
  <c r="CM59" i="2"/>
  <c r="AH65" i="2"/>
  <c r="AB69" i="2"/>
  <c r="CG5" i="3"/>
  <c r="CE8" i="3"/>
  <c r="CP12" i="3"/>
  <c r="CE16" i="3"/>
  <c r="CI21" i="3"/>
  <c r="CO23" i="3"/>
  <c r="CQ29" i="3"/>
  <c r="CH32" i="3"/>
  <c r="CE35" i="3"/>
  <c r="CP38" i="3"/>
  <c r="Z40" i="3"/>
  <c r="AZ40" i="3"/>
  <c r="Y44" i="3"/>
  <c r="AZ44" i="3"/>
  <c r="U45" i="3"/>
  <c r="BA45" i="3"/>
  <c r="S48" i="3"/>
  <c r="AM48" i="3"/>
  <c r="H49" i="3"/>
  <c r="AB49" i="3"/>
  <c r="AV49" i="3"/>
  <c r="Q50" i="3"/>
  <c r="AK50" i="3"/>
  <c r="BE50" i="3"/>
  <c r="Z51" i="3"/>
  <c r="AT51" i="3"/>
  <c r="K52" i="3"/>
  <c r="AI52" i="3"/>
  <c r="BC52" i="3"/>
  <c r="T53" i="3"/>
  <c r="AR53" i="3"/>
  <c r="I54" i="3"/>
  <c r="AC54" i="3"/>
  <c r="BA54" i="3"/>
  <c r="R55" i="3"/>
  <c r="AL55" i="3"/>
  <c r="G56" i="3"/>
  <c r="AA56" i="3"/>
  <c r="AQ56" i="3"/>
  <c r="D57" i="3"/>
  <c r="T57" i="3"/>
  <c r="AJ57" i="3"/>
  <c r="AZ57" i="3"/>
  <c r="M58" i="3"/>
  <c r="AC58" i="3"/>
  <c r="AS58" i="3"/>
  <c r="F59" i="3"/>
  <c r="V59" i="3"/>
  <c r="AL59" i="3"/>
  <c r="BB59" i="3"/>
  <c r="O60" i="3"/>
  <c r="AE60" i="3"/>
  <c r="AU60" i="3"/>
  <c r="H61" i="3"/>
  <c r="X61" i="3"/>
  <c r="AN61" i="3"/>
  <c r="BD61" i="3"/>
  <c r="Q62" i="3"/>
  <c r="AG62" i="3"/>
  <c r="AW62" i="3"/>
  <c r="J63" i="3"/>
  <c r="Z63" i="3"/>
  <c r="AP63" i="3"/>
  <c r="C64" i="3"/>
  <c r="S64" i="3"/>
  <c r="AI64" i="3"/>
  <c r="AY64" i="3"/>
  <c r="L65" i="3"/>
  <c r="AB65" i="3"/>
  <c r="AR65" i="3"/>
  <c r="E66" i="3"/>
  <c r="U66" i="3"/>
  <c r="AK66" i="3"/>
  <c r="BA66" i="3"/>
  <c r="N67" i="3"/>
  <c r="AD67" i="3"/>
  <c r="AT67" i="3"/>
  <c r="G68" i="3"/>
  <c r="W68" i="3"/>
  <c r="AM68" i="3"/>
  <c r="BC68" i="3"/>
  <c r="P69" i="3"/>
  <c r="AF69" i="3"/>
  <c r="AV69" i="3"/>
  <c r="I70" i="3"/>
  <c r="Y70" i="3"/>
  <c r="AO70" i="3"/>
  <c r="BE70" i="3"/>
  <c r="R71" i="3"/>
  <c r="AH71" i="3"/>
  <c r="AX71" i="3"/>
  <c r="K72" i="3"/>
  <c r="AA72" i="3"/>
  <c r="AQ72" i="3"/>
  <c r="D73" i="3"/>
  <c r="T73" i="3"/>
  <c r="AJ73" i="3"/>
  <c r="AZ73" i="3"/>
  <c r="M74" i="3"/>
  <c r="AC74" i="3"/>
  <c r="AS74" i="3"/>
  <c r="F75" i="3"/>
  <c r="V75" i="3"/>
  <c r="AL75" i="3"/>
  <c r="BB75" i="3"/>
  <c r="O76" i="3"/>
  <c r="AE76" i="3"/>
  <c r="AU76" i="3"/>
  <c r="H77" i="3"/>
  <c r="X77" i="3"/>
  <c r="AN77" i="3"/>
  <c r="BD77" i="3"/>
  <c r="Q78" i="3"/>
  <c r="AG78" i="3"/>
  <c r="AW78" i="3"/>
  <c r="J79" i="3"/>
  <c r="Z79" i="3"/>
  <c r="AP79" i="3"/>
  <c r="C80" i="3"/>
  <c r="S80" i="3"/>
  <c r="AI80" i="3"/>
  <c r="AY80" i="3"/>
  <c r="L81" i="3"/>
  <c r="AB81" i="3"/>
  <c r="AR81" i="3"/>
  <c r="DB34" i="2"/>
  <c r="CH51" i="2"/>
  <c r="H65" i="2"/>
  <c r="AT65" i="2"/>
  <c r="AE69" i="2"/>
  <c r="BP69" i="2"/>
  <c r="CH6" i="3"/>
  <c r="CF8" i="3"/>
  <c r="CJ13" i="3"/>
  <c r="CH15" i="3"/>
  <c r="CF17" i="3"/>
  <c r="CJ21" i="3"/>
  <c r="CP23" i="3"/>
  <c r="CN25" i="3"/>
  <c r="CE28" i="3"/>
  <c r="CI32" i="3"/>
  <c r="CG34" i="3"/>
  <c r="CJ36" i="3"/>
  <c r="CG38" i="3"/>
  <c r="P40" i="3"/>
  <c r="AL40" i="3"/>
  <c r="E44" i="3"/>
  <c r="Z44" i="3"/>
  <c r="AV44" i="3"/>
  <c r="L45" i="3"/>
  <c r="AG45" i="3"/>
  <c r="BC45" i="3"/>
  <c r="P48" i="3"/>
  <c r="AF48" i="3"/>
  <c r="AV48" i="3"/>
  <c r="I49" i="3"/>
  <c r="Y49" i="3"/>
  <c r="AO49" i="3"/>
  <c r="CW5" i="2"/>
  <c r="CK10" i="2"/>
  <c r="CX14" i="2"/>
  <c r="CW20" i="2"/>
  <c r="CQ26" i="2"/>
  <c r="CE31" i="2"/>
  <c r="CE11" i="2"/>
  <c r="DB16" i="2"/>
  <c r="CI21" i="2"/>
  <c r="CE27" i="2"/>
  <c r="CE33" i="2"/>
  <c r="CG9" i="2"/>
  <c r="CE14" i="2"/>
  <c r="CH20" i="2"/>
  <c r="CH25" i="2"/>
  <c r="DA30" i="2"/>
  <c r="CK11" i="2"/>
  <c r="CX15" i="2"/>
  <c r="CG21" i="2"/>
  <c r="CQ33" i="2"/>
  <c r="DA38" i="2"/>
  <c r="CH43" i="2"/>
  <c r="CZ47" i="2"/>
  <c r="CI51" i="2"/>
  <c r="CN55" i="2"/>
  <c r="CX30" i="2"/>
  <c r="CW35" i="2"/>
  <c r="DB38" i="2"/>
  <c r="CN44" i="2"/>
  <c r="DB30" i="2"/>
  <c r="CY36" i="2"/>
  <c r="CX41" i="2"/>
  <c r="CX44" i="2"/>
  <c r="CY48" i="2"/>
  <c r="CX51" i="2"/>
  <c r="CK54" i="2"/>
  <c r="CI56" i="2"/>
  <c r="CQ58" i="2"/>
  <c r="CX27" i="2"/>
  <c r="CX40" i="2"/>
  <c r="CE48" i="2"/>
  <c r="CZ50" i="2"/>
  <c r="CW54" i="2"/>
  <c r="CQ59" i="2"/>
  <c r="U65" i="2"/>
  <c r="AS65" i="2"/>
  <c r="U69" i="2"/>
  <c r="AW69" i="2"/>
  <c r="BY69" i="2"/>
  <c r="CE36" i="2"/>
  <c r="DA42" i="2"/>
  <c r="DB48" i="2"/>
  <c r="DB52" i="2"/>
  <c r="CX57" i="2"/>
  <c r="DA33" i="2"/>
  <c r="CW45" i="2"/>
  <c r="CH53" i="2"/>
  <c r="CH28" i="2"/>
  <c r="CX46" i="2"/>
  <c r="CG55" i="2"/>
  <c r="K65" i="2"/>
  <c r="BB65" i="2"/>
  <c r="AF69" i="2"/>
  <c r="BL69" i="2"/>
  <c r="CQ6" i="3"/>
  <c r="CP9" i="3"/>
  <c r="CG12" i="3"/>
  <c r="CJ15" i="3"/>
  <c r="CE18" i="3"/>
  <c r="CO20" i="3"/>
  <c r="CN23" i="3"/>
  <c r="CQ26" i="3"/>
  <c r="CH29" i="3"/>
  <c r="CG32" i="3"/>
  <c r="CF35" i="3"/>
  <c r="CQ57" i="2"/>
  <c r="AX65" i="2"/>
  <c r="AJ69" i="2"/>
  <c r="CF5" i="3"/>
  <c r="CO9" i="3"/>
  <c r="CN13" i="3"/>
  <c r="CQ16" i="3"/>
  <c r="CP20" i="3"/>
  <c r="CE25" i="3"/>
  <c r="CH28" i="3"/>
  <c r="CQ32" i="3"/>
  <c r="CH36" i="3"/>
  <c r="CN38" i="3"/>
  <c r="AG40" i="3"/>
  <c r="C44" i="3"/>
  <c r="AA44" i="3"/>
  <c r="F45" i="3"/>
  <c r="AH45" i="3"/>
  <c r="CG34" i="2"/>
  <c r="CN54" i="2"/>
  <c r="AR65" i="2"/>
  <c r="AU69" i="2"/>
  <c r="CN5" i="3"/>
  <c r="CJ10" i="3"/>
  <c r="CO13" i="3"/>
  <c r="CE17" i="3"/>
  <c r="CO21" i="3"/>
  <c r="CF25" i="3"/>
  <c r="CH30" i="3"/>
  <c r="CN32" i="3"/>
  <c r="CN36" i="3"/>
  <c r="D40" i="3"/>
  <c r="AE40" i="3"/>
  <c r="D44" i="3"/>
  <c r="AD44" i="3"/>
  <c r="BE44" i="3"/>
  <c r="AF45" i="3"/>
  <c r="C48" i="3"/>
  <c r="W48" i="3"/>
  <c r="AU48" i="3"/>
  <c r="L49" i="3"/>
  <c r="AF49" i="3"/>
  <c r="BD49" i="3"/>
  <c r="U50" i="3"/>
  <c r="AO50" i="3"/>
  <c r="J51" i="3"/>
  <c r="AD51" i="3"/>
  <c r="AX51" i="3"/>
  <c r="S52" i="3"/>
  <c r="AM52" i="3"/>
  <c r="D53" i="3"/>
  <c r="AB53" i="3"/>
  <c r="AV53" i="3"/>
  <c r="M54" i="3"/>
  <c r="AK54" i="3"/>
  <c r="BE54" i="3"/>
  <c r="V55" i="3"/>
  <c r="AT55" i="3"/>
  <c r="K56" i="3"/>
  <c r="AE56" i="3"/>
  <c r="AU56" i="3"/>
  <c r="H57" i="3"/>
  <c r="X57" i="3"/>
  <c r="AN57" i="3"/>
  <c r="BD57" i="3"/>
  <c r="Q58" i="3"/>
  <c r="AG58" i="3"/>
  <c r="AW58" i="3"/>
  <c r="J59" i="3"/>
  <c r="Z59" i="3"/>
  <c r="AP59" i="3"/>
  <c r="C60" i="3"/>
  <c r="S60" i="3"/>
  <c r="AI60" i="3"/>
  <c r="AY60" i="3"/>
  <c r="L61" i="3"/>
  <c r="AB61" i="3"/>
  <c r="AR61" i="3"/>
  <c r="E62" i="3"/>
  <c r="U62" i="3"/>
  <c r="AK62" i="3"/>
  <c r="BA62" i="3"/>
  <c r="N63" i="3"/>
  <c r="AD63" i="3"/>
  <c r="AT63" i="3"/>
  <c r="G64" i="3"/>
  <c r="W64" i="3"/>
  <c r="AM64" i="3"/>
  <c r="BC64" i="3"/>
  <c r="P65" i="3"/>
  <c r="AF65" i="3"/>
  <c r="AV65" i="3"/>
  <c r="I66" i="3"/>
  <c r="Y66" i="3"/>
  <c r="AO66" i="3"/>
  <c r="BE66" i="3"/>
  <c r="R67" i="3"/>
  <c r="AH67" i="3"/>
  <c r="AX67" i="3"/>
  <c r="K68" i="3"/>
  <c r="AA68" i="3"/>
  <c r="AQ68" i="3"/>
  <c r="D69" i="3"/>
  <c r="T69" i="3"/>
  <c r="AJ69" i="3"/>
  <c r="AZ69" i="3"/>
  <c r="M70" i="3"/>
  <c r="AC70" i="3"/>
  <c r="AS70" i="3"/>
  <c r="F71" i="3"/>
  <c r="V71" i="3"/>
  <c r="AL71" i="3"/>
  <c r="BB71" i="3"/>
  <c r="O72" i="3"/>
  <c r="AE72" i="3"/>
  <c r="AU72" i="3"/>
  <c r="H73" i="3"/>
  <c r="X73" i="3"/>
  <c r="AN73" i="3"/>
  <c r="BD73" i="3"/>
  <c r="Q74" i="3"/>
  <c r="AG74" i="3"/>
  <c r="AW74" i="3"/>
  <c r="J75" i="3"/>
  <c r="Z75" i="3"/>
  <c r="AP75" i="3"/>
  <c r="C76" i="3"/>
  <c r="S76" i="3"/>
  <c r="AI76" i="3"/>
  <c r="AY76" i="3"/>
  <c r="L77" i="3"/>
  <c r="AB77" i="3"/>
  <c r="AR77" i="3"/>
  <c r="E78" i="3"/>
  <c r="U78" i="3"/>
  <c r="AK78" i="3"/>
  <c r="BA78" i="3"/>
  <c r="N79" i="3"/>
  <c r="AD79" i="3"/>
  <c r="AT79" i="3"/>
  <c r="G80" i="3"/>
  <c r="W80" i="3"/>
  <c r="AM80" i="3"/>
  <c r="BC80" i="3"/>
  <c r="P81" i="3"/>
  <c r="AF81" i="3"/>
  <c r="AV81" i="3"/>
  <c r="CG37" i="2"/>
  <c r="CK52" i="2"/>
  <c r="R65" i="2"/>
  <c r="BC65" i="2"/>
  <c r="AN69" i="2"/>
  <c r="BZ69" i="2"/>
  <c r="CO6" i="3"/>
  <c r="CF9" i="3"/>
  <c r="CQ13" i="3"/>
  <c r="CO15" i="3"/>
  <c r="CN17" i="3"/>
  <c r="CJ22" i="3"/>
  <c r="CH24" i="3"/>
  <c r="CG26" i="3"/>
  <c r="CE29" i="3"/>
  <c r="CP32" i="3"/>
  <c r="CO34" i="3"/>
  <c r="CO36" i="3"/>
  <c r="CQ38" i="3"/>
  <c r="V40" i="3"/>
  <c r="AQ40" i="3"/>
  <c r="J44" i="3"/>
  <c r="AF44" i="3"/>
  <c r="BA44" i="3"/>
  <c r="Q45" i="3"/>
  <c r="AM45" i="3"/>
  <c r="D48" i="3"/>
  <c r="T48" i="3"/>
  <c r="AJ48" i="3"/>
  <c r="AZ48" i="3"/>
  <c r="M49" i="3"/>
  <c r="AC49" i="3"/>
  <c r="AS49" i="3"/>
  <c r="F50" i="3"/>
  <c r="V50" i="3"/>
  <c r="AL50" i="3"/>
  <c r="BB50" i="3"/>
  <c r="O51" i="3"/>
  <c r="AE51" i="3"/>
  <c r="AU51" i="3"/>
  <c r="H52" i="3"/>
  <c r="X52" i="3"/>
  <c r="AN52" i="3"/>
  <c r="BD52" i="3"/>
  <c r="Q53" i="3"/>
  <c r="AG53" i="3"/>
  <c r="AW53" i="3"/>
  <c r="J54" i="3"/>
  <c r="Z54" i="3"/>
  <c r="AP54" i="3"/>
  <c r="C55" i="3"/>
  <c r="S55" i="3"/>
  <c r="AI55" i="3"/>
  <c r="AY55" i="3"/>
  <c r="L56" i="3"/>
  <c r="AB56" i="3"/>
  <c r="AR56" i="3"/>
  <c r="E57" i="3"/>
  <c r="U57" i="3"/>
  <c r="AK57" i="3"/>
  <c r="BA57" i="3"/>
  <c r="N58" i="3"/>
  <c r="AD58" i="3"/>
  <c r="AT58" i="3"/>
  <c r="G59" i="3"/>
  <c r="W59" i="3"/>
  <c r="AM59" i="3"/>
  <c r="BC59" i="3"/>
  <c r="P60" i="3"/>
  <c r="AF60" i="3"/>
  <c r="AV60" i="3"/>
  <c r="I61" i="3"/>
  <c r="Y61" i="3"/>
  <c r="AO61" i="3"/>
  <c r="BE61" i="3"/>
  <c r="R62" i="3"/>
  <c r="AH62" i="3"/>
  <c r="AX62" i="3"/>
  <c r="K63" i="3"/>
  <c r="AA63" i="3"/>
  <c r="AQ63" i="3"/>
  <c r="D64" i="3"/>
  <c r="T64" i="3"/>
  <c r="AJ64" i="3"/>
  <c r="AZ64" i="3"/>
  <c r="M65" i="3"/>
  <c r="AC65" i="3"/>
  <c r="AS65" i="3"/>
  <c r="F66" i="3"/>
  <c r="V66" i="3"/>
  <c r="AL66" i="3"/>
  <c r="BB66" i="3"/>
  <c r="O67" i="3"/>
  <c r="AE67" i="3"/>
  <c r="AU67" i="3"/>
  <c r="H68" i="3"/>
  <c r="X68" i="3"/>
  <c r="AN68" i="3"/>
  <c r="BD68" i="3"/>
  <c r="Q69" i="3"/>
  <c r="AG69" i="3"/>
  <c r="AW69" i="3"/>
  <c r="J70" i="3"/>
  <c r="Z70" i="3"/>
  <c r="AP70" i="3"/>
  <c r="C71" i="3"/>
  <c r="S71" i="3"/>
  <c r="AI71" i="3"/>
  <c r="AY71" i="3"/>
  <c r="L72" i="3"/>
  <c r="AB72" i="3"/>
  <c r="AR72" i="3"/>
  <c r="E73" i="3"/>
  <c r="U73" i="3"/>
  <c r="AK73" i="3"/>
  <c r="BA73" i="3"/>
  <c r="N74" i="3"/>
  <c r="AD74" i="3"/>
  <c r="AT74" i="3"/>
  <c r="G75" i="3"/>
  <c r="W75" i="3"/>
  <c r="AM75" i="3"/>
  <c r="BC75" i="3"/>
  <c r="P76" i="3"/>
  <c r="AF76" i="3"/>
  <c r="CN7" i="2"/>
  <c r="CH18" i="2"/>
  <c r="CZ28" i="2"/>
  <c r="CX13" i="2"/>
  <c r="DA24" i="2"/>
  <c r="CQ6" i="2"/>
  <c r="CE17" i="2"/>
  <c r="DB28" i="2"/>
  <c r="CI13" i="2"/>
  <c r="CZ22" i="2"/>
  <c r="CG42" i="2"/>
  <c r="CQ49" i="2"/>
  <c r="DB56" i="2"/>
  <c r="CM37" i="2"/>
  <c r="CE46" i="2"/>
  <c r="CI39" i="2"/>
  <c r="CK47" i="2"/>
  <c r="CE53" i="2"/>
  <c r="CW57" i="2"/>
  <c r="CK37" i="2"/>
  <c r="CZ48" i="2"/>
  <c r="CI57" i="2"/>
  <c r="AK65" i="2"/>
  <c r="AG69" i="2"/>
  <c r="CH32" i="2"/>
  <c r="CN47" i="2"/>
  <c r="CK55" i="2"/>
  <c r="DB37" i="2"/>
  <c r="CE57" i="2"/>
  <c r="CY49" i="2"/>
  <c r="AF65" i="2"/>
  <c r="BB69" i="2"/>
  <c r="CN7" i="3"/>
  <c r="CE14" i="3"/>
  <c r="CJ19" i="3"/>
  <c r="CH25" i="3"/>
  <c r="CQ30" i="3"/>
  <c r="CI48" i="2"/>
  <c r="H69" i="2"/>
  <c r="CI8" i="3"/>
  <c r="CP15" i="3"/>
  <c r="CG22" i="3"/>
  <c r="CO30" i="3"/>
  <c r="CQ37" i="3"/>
  <c r="AS40" i="3"/>
  <c r="AQ44" i="3"/>
  <c r="AX45" i="3"/>
  <c r="D65" i="2"/>
  <c r="BO69" i="2"/>
  <c r="CI12" i="3"/>
  <c r="CQ20" i="3"/>
  <c r="CQ28" i="3"/>
  <c r="CF34" i="3"/>
  <c r="T40" i="3"/>
  <c r="N44" i="3"/>
  <c r="P45" i="3"/>
  <c r="O48" i="3"/>
  <c r="BC48" i="3"/>
  <c r="AR49" i="3"/>
  <c r="AG50" i="3"/>
  <c r="R51" i="3"/>
  <c r="G52" i="3"/>
  <c r="AY52" i="3"/>
  <c r="AJ53" i="3"/>
  <c r="Y54" i="3"/>
  <c r="N55" i="3"/>
  <c r="BB55" i="3"/>
  <c r="AM56" i="3"/>
  <c r="P57" i="3"/>
  <c r="AV57" i="3"/>
  <c r="Y58" i="3"/>
  <c r="BE58" i="3"/>
  <c r="AH59" i="3"/>
  <c r="K60" i="3"/>
  <c r="AQ60" i="3"/>
  <c r="T61" i="3"/>
  <c r="AZ61" i="3"/>
  <c r="AC62" i="3"/>
  <c r="F63" i="3"/>
  <c r="AL63" i="3"/>
  <c r="O64" i="3"/>
  <c r="AU64" i="3"/>
  <c r="X65" i="3"/>
  <c r="BD65" i="3"/>
  <c r="AG66" i="3"/>
  <c r="J67" i="3"/>
  <c r="AP67" i="3"/>
  <c r="S68" i="3"/>
  <c r="AY68" i="3"/>
  <c r="AB69" i="3"/>
  <c r="E70" i="3"/>
  <c r="AK70" i="3"/>
  <c r="N71" i="3"/>
  <c r="AT71" i="3"/>
  <c r="W72" i="3"/>
  <c r="BC72" i="3"/>
  <c r="AF73" i="3"/>
  <c r="I74" i="3"/>
  <c r="AO74" i="3"/>
  <c r="R75" i="3"/>
  <c r="AX75" i="3"/>
  <c r="AA76" i="3"/>
  <c r="D77" i="3"/>
  <c r="AJ77" i="3"/>
  <c r="M78" i="3"/>
  <c r="AS78" i="3"/>
  <c r="V79" i="3"/>
  <c r="BB79" i="3"/>
  <c r="AE80" i="3"/>
  <c r="H81" i="3"/>
  <c r="AN81" i="3"/>
  <c r="CH49" i="2"/>
  <c r="AJ65" i="2"/>
  <c r="BH69" i="2"/>
  <c r="CO7" i="3"/>
  <c r="CP14" i="3"/>
  <c r="CE19" i="3"/>
  <c r="CG25" i="3"/>
  <c r="CQ31" i="3"/>
  <c r="CE36" i="3"/>
  <c r="K40" i="3"/>
  <c r="BB40" i="3"/>
  <c r="AP44" i="3"/>
  <c r="AB45" i="3"/>
  <c r="L48" i="3"/>
  <c r="AR48" i="3"/>
  <c r="U49" i="3"/>
  <c r="BA49" i="3"/>
  <c r="R50" i="3"/>
  <c r="AP50" i="3"/>
  <c r="G51" i="3"/>
  <c r="AA51" i="3"/>
  <c r="AY51" i="3"/>
  <c r="P52" i="3"/>
  <c r="AJ52" i="3"/>
  <c r="E53" i="3"/>
  <c r="Y53" i="3"/>
  <c r="AS53" i="3"/>
  <c r="N54" i="3"/>
  <c r="AH54" i="3"/>
  <c r="BB54" i="3"/>
  <c r="W55" i="3"/>
  <c r="AQ55" i="3"/>
  <c r="H56" i="3"/>
  <c r="AF56" i="3"/>
  <c r="AZ56" i="3"/>
  <c r="Q57" i="3"/>
  <c r="AO57" i="3"/>
  <c r="F58" i="3"/>
  <c r="Z58" i="3"/>
  <c r="AX58" i="3"/>
  <c r="O59" i="3"/>
  <c r="AI59" i="3"/>
  <c r="D60" i="3"/>
  <c r="X60" i="3"/>
  <c r="AR60" i="3"/>
  <c r="M61" i="3"/>
  <c r="AG61" i="3"/>
  <c r="BA61" i="3"/>
  <c r="V62" i="3"/>
  <c r="AP62" i="3"/>
  <c r="G63" i="3"/>
  <c r="AE63" i="3"/>
  <c r="AY63" i="3"/>
  <c r="P64" i="3"/>
  <c r="AN64" i="3"/>
  <c r="E65" i="3"/>
  <c r="Y65" i="3"/>
  <c r="AW65" i="3"/>
  <c r="N66" i="3"/>
  <c r="AH66" i="3"/>
  <c r="C67" i="3"/>
  <c r="W67" i="3"/>
  <c r="AQ67" i="3"/>
  <c r="L68" i="3"/>
  <c r="AF68" i="3"/>
  <c r="AZ68" i="3"/>
  <c r="U69" i="3"/>
  <c r="AO69" i="3"/>
  <c r="F70" i="3"/>
  <c r="AD70" i="3"/>
  <c r="AX70" i="3"/>
  <c r="O71" i="3"/>
  <c r="AM71" i="3"/>
  <c r="D72" i="3"/>
  <c r="X72" i="3"/>
  <c r="AV72" i="3"/>
  <c r="M73" i="3"/>
  <c r="AG73" i="3"/>
  <c r="BE73" i="3"/>
  <c r="V74" i="3"/>
  <c r="AP74" i="3"/>
  <c r="K75" i="3"/>
  <c r="AE75" i="3"/>
  <c r="AY75" i="3"/>
  <c r="T76" i="3"/>
  <c r="AN76" i="3"/>
  <c r="BD76" i="3"/>
  <c r="Q77" i="3"/>
  <c r="AG77" i="3"/>
  <c r="AW77" i="3"/>
  <c r="J78" i="3"/>
  <c r="Z78" i="3"/>
  <c r="AP78" i="3"/>
  <c r="C79" i="3"/>
  <c r="S79" i="3"/>
  <c r="AI79" i="3"/>
  <c r="AY79" i="3"/>
  <c r="L80" i="3"/>
  <c r="AB80" i="3"/>
  <c r="AR80" i="3"/>
  <c r="E81" i="3"/>
  <c r="U81" i="3"/>
  <c r="AK81" i="3"/>
  <c r="BA81" i="3"/>
  <c r="J65" i="2"/>
  <c r="X69" i="2"/>
  <c r="CJ5" i="3"/>
  <c r="CG9" i="3"/>
  <c r="CE13" i="3"/>
  <c r="CO18" i="3"/>
  <c r="CH27" i="3"/>
  <c r="CQ33" i="3"/>
  <c r="G40" i="3"/>
  <c r="AX40" i="3"/>
  <c r="AR44" i="3"/>
  <c r="AC45" i="3"/>
  <c r="Q48" i="3"/>
  <c r="AW48" i="3"/>
  <c r="Z49" i="3"/>
  <c r="C50" i="3"/>
  <c r="AI50" i="3"/>
  <c r="L51" i="3"/>
  <c r="AR51" i="3"/>
  <c r="U52" i="3"/>
  <c r="BA52" i="3"/>
  <c r="AD53" i="3"/>
  <c r="G54" i="3"/>
  <c r="AM54" i="3"/>
  <c r="P55" i="3"/>
  <c r="AV55" i="3"/>
  <c r="Y56" i="3"/>
  <c r="BE56" i="3"/>
  <c r="AH57" i="3"/>
  <c r="K58" i="3"/>
  <c r="AQ58" i="3"/>
  <c r="T59" i="3"/>
  <c r="AZ59" i="3"/>
  <c r="AC60" i="3"/>
  <c r="F61" i="3"/>
  <c r="AL61" i="3"/>
  <c r="O62" i="3"/>
  <c r="AU62" i="3"/>
  <c r="X63" i="3"/>
  <c r="BD63" i="3"/>
  <c r="AG64" i="3"/>
  <c r="J65" i="3"/>
  <c r="AP65" i="3"/>
  <c r="S66" i="3"/>
  <c r="AY66" i="3"/>
  <c r="AB67" i="3"/>
  <c r="E68" i="3"/>
  <c r="AK68" i="3"/>
  <c r="N69" i="3"/>
  <c r="AT69" i="3"/>
  <c r="W70" i="3"/>
  <c r="BC70" i="3"/>
  <c r="AF71" i="3"/>
  <c r="I72" i="3"/>
  <c r="AO72" i="3"/>
  <c r="R73" i="3"/>
  <c r="AX73" i="3"/>
  <c r="AA74" i="3"/>
  <c r="D75" i="3"/>
  <c r="AJ75" i="3"/>
  <c r="M76" i="3"/>
  <c r="AS76" i="3"/>
  <c r="V77" i="3"/>
  <c r="BB77" i="3"/>
  <c r="AE78" i="3"/>
  <c r="H79" i="3"/>
  <c r="AN79" i="3"/>
  <c r="Q80" i="3"/>
  <c r="AW80" i="3"/>
  <c r="Z81" i="3"/>
  <c r="CI38" i="2"/>
  <c r="L65" i="2"/>
  <c r="Z69" i="2"/>
  <c r="CI9" i="3"/>
  <c r="CF13" i="3"/>
  <c r="CP19" i="3"/>
  <c r="CJ26" i="3"/>
  <c r="CG30" i="3"/>
  <c r="CQ35" i="3"/>
  <c r="S40" i="3"/>
  <c r="M44" i="3"/>
  <c r="BD44" i="3"/>
  <c r="AO45" i="3"/>
  <c r="Z48" i="3"/>
  <c r="C49" i="3"/>
  <c r="AI49" i="3"/>
  <c r="L50" i="3"/>
  <c r="AR50" i="3"/>
  <c r="U51" i="3"/>
  <c r="BA51" i="3"/>
  <c r="AD52" i="3"/>
  <c r="G53" i="3"/>
  <c r="AM53" i="3"/>
  <c r="P54" i="3"/>
  <c r="AV54" i="3"/>
  <c r="Y55" i="3"/>
  <c r="BE55" i="3"/>
  <c r="AH56" i="3"/>
  <c r="K57" i="3"/>
  <c r="AQ57" i="3"/>
  <c r="T58" i="3"/>
  <c r="AZ58" i="3"/>
  <c r="AC59" i="3"/>
  <c r="F60" i="3"/>
  <c r="AL60" i="3"/>
  <c r="O61" i="3"/>
  <c r="AU61" i="3"/>
  <c r="X62" i="3"/>
  <c r="BD62" i="3"/>
  <c r="AG63" i="3"/>
  <c r="J64" i="3"/>
  <c r="AP64" i="3"/>
  <c r="S65" i="3"/>
  <c r="AY65" i="3"/>
  <c r="AB66" i="3"/>
  <c r="E67" i="3"/>
  <c r="AK67" i="3"/>
  <c r="N68" i="3"/>
  <c r="AT68" i="3"/>
  <c r="W69" i="3"/>
  <c r="BC69" i="3"/>
  <c r="AF70" i="3"/>
  <c r="I71" i="3"/>
  <c r="AO71" i="3"/>
  <c r="R72" i="3"/>
  <c r="AX72" i="3"/>
  <c r="AA73" i="3"/>
  <c r="D74" i="3"/>
  <c r="AJ74" i="3"/>
  <c r="M75" i="3"/>
  <c r="AS75" i="3"/>
  <c r="V76" i="3"/>
  <c r="BB76" i="3"/>
  <c r="AE77" i="3"/>
  <c r="H78" i="3"/>
  <c r="AN78" i="3"/>
  <c r="Q79" i="3"/>
  <c r="AW79" i="3"/>
  <c r="Z80" i="3"/>
  <c r="C81" i="3"/>
  <c r="AI81" i="3"/>
  <c r="BF65" i="2"/>
  <c r="CN9" i="3"/>
  <c r="CE21" i="3"/>
  <c r="CJ32" i="3"/>
  <c r="AR40" i="3"/>
  <c r="Y45" i="3"/>
  <c r="AL48" i="3"/>
  <c r="AU49" i="3"/>
  <c r="BD50" i="3"/>
  <c r="J52" i="3"/>
  <c r="S53" i="3"/>
  <c r="AB54" i="3"/>
  <c r="AK55" i="3"/>
  <c r="AT56" i="3"/>
  <c r="BC57" i="3"/>
  <c r="I59" i="3"/>
  <c r="R60" i="3"/>
  <c r="AA61" i="3"/>
  <c r="AJ62" i="3"/>
  <c r="AS63" i="3"/>
  <c r="BB64" i="3"/>
  <c r="H66" i="3"/>
  <c r="Q67" i="3"/>
  <c r="Z68" i="3"/>
  <c r="AI69" i="3"/>
  <c r="AR70" i="3"/>
  <c r="BA71" i="3"/>
  <c r="G73" i="3"/>
  <c r="P74" i="3"/>
  <c r="Y75" i="3"/>
  <c r="AH76" i="3"/>
  <c r="AQ77" i="3"/>
  <c r="AZ78" i="3"/>
  <c r="F80" i="3"/>
  <c r="O81" i="3"/>
  <c r="CQ55" i="2"/>
  <c r="CQ7" i="3"/>
  <c r="CH19" i="3"/>
  <c r="CN30" i="3"/>
  <c r="X40" i="3"/>
  <c r="AW44" i="3"/>
  <c r="M48" i="3"/>
  <c r="V49" i="3"/>
  <c r="AE50" i="3"/>
  <c r="AN51" i="3"/>
  <c r="AW52" i="3"/>
  <c r="C54" i="3"/>
  <c r="L55" i="3"/>
  <c r="U56" i="3"/>
  <c r="AD57" i="3"/>
  <c r="AM58" i="3"/>
  <c r="AV59" i="3"/>
  <c r="BE60" i="3"/>
  <c r="K62" i="3"/>
  <c r="T63" i="3"/>
  <c r="AC64" i="3"/>
  <c r="AL65" i="3"/>
  <c r="AU66" i="3"/>
  <c r="BD67" i="3"/>
  <c r="J69" i="3"/>
  <c r="S70" i="3"/>
  <c r="AB71" i="3"/>
  <c r="AK72" i="3"/>
  <c r="AT73" i="3"/>
  <c r="BC74" i="3"/>
  <c r="I76" i="3"/>
  <c r="R77" i="3"/>
  <c r="AA78" i="3"/>
  <c r="AJ79" i="3"/>
  <c r="AS80" i="3"/>
  <c r="BB81" i="3"/>
  <c r="N69" i="2"/>
  <c r="CN10" i="3"/>
  <c r="CQ23" i="3"/>
  <c r="CH35" i="3"/>
  <c r="AH40" i="3"/>
  <c r="AX44" i="3"/>
  <c r="N48" i="3"/>
  <c r="W49" i="3"/>
  <c r="AF50" i="3"/>
  <c r="AO51" i="3"/>
  <c r="AX52" i="3"/>
  <c r="D54" i="3"/>
  <c r="M55" i="3"/>
  <c r="V56" i="3"/>
  <c r="AE57" i="3"/>
  <c r="AN58" i="3"/>
  <c r="AW59" i="3"/>
  <c r="C61" i="3"/>
  <c r="L62" i="3"/>
  <c r="U63" i="3"/>
  <c r="AD64" i="3"/>
  <c r="AM65" i="3"/>
  <c r="AV66" i="3"/>
  <c r="BE67" i="3"/>
  <c r="K69" i="3"/>
  <c r="T70" i="3"/>
  <c r="AC71" i="3"/>
  <c r="AL72" i="3"/>
  <c r="AU73" i="3"/>
  <c r="BD74" i="3"/>
  <c r="J76" i="3"/>
  <c r="S77" i="3"/>
  <c r="AB78" i="3"/>
  <c r="AK79" i="3"/>
  <c r="AT80" i="3"/>
  <c r="BC81" i="3"/>
  <c r="AT49" i="3"/>
  <c r="Y52" i="3"/>
  <c r="AQ54" i="3"/>
  <c r="F57" i="3"/>
  <c r="AU58" i="3"/>
  <c r="AW60" i="3"/>
  <c r="AY62" i="3"/>
  <c r="AK64" i="3"/>
  <c r="AM66" i="3"/>
  <c r="AO68" i="3"/>
  <c r="T71" i="3"/>
  <c r="V73" i="3"/>
  <c r="X75" i="3"/>
  <c r="AP77" i="3"/>
  <c r="E80" i="3"/>
  <c r="BE68" i="3"/>
  <c r="AN65" i="2"/>
  <c r="CQ8" i="3"/>
  <c r="CJ18" i="3"/>
  <c r="CP27" i="3"/>
  <c r="BD40" i="3"/>
  <c r="X45" i="3"/>
  <c r="N49" i="3"/>
  <c r="BC50" i="3"/>
  <c r="AH53" i="3"/>
  <c r="AJ55" i="3"/>
  <c r="O58" i="3"/>
  <c r="J61" i="3"/>
  <c r="U64" i="3"/>
  <c r="BC66" i="3"/>
  <c r="AX69" i="3"/>
  <c r="AC72" i="3"/>
  <c r="H75" i="3"/>
  <c r="Z77" i="3"/>
  <c r="AR79" i="3"/>
  <c r="CI12" i="2"/>
  <c r="CQ23" i="2"/>
  <c r="CY8" i="2"/>
  <c r="CZ18" i="2"/>
  <c r="CY29" i="2"/>
  <c r="CG12" i="2"/>
  <c r="CI23" i="2"/>
  <c r="CI7" i="2"/>
  <c r="CX18" i="2"/>
  <c r="CI35" i="2"/>
  <c r="CK45" i="2"/>
  <c r="DB53" i="2"/>
  <c r="CK33" i="2"/>
  <c r="CX10" i="2"/>
  <c r="CK23" i="2"/>
  <c r="CW6" i="2"/>
  <c r="CH17" i="2"/>
  <c r="DA28" i="2"/>
  <c r="CE10" i="2"/>
  <c r="CW21" i="2"/>
  <c r="CY6" i="2"/>
  <c r="CN17" i="2"/>
  <c r="CX33" i="2"/>
  <c r="CG45" i="2"/>
  <c r="CW52" i="2"/>
  <c r="CH31" i="2"/>
  <c r="CM40" i="2"/>
  <c r="CZ33" i="2"/>
  <c r="CE42" i="2"/>
  <c r="CZ49" i="2"/>
  <c r="CQ54" i="2"/>
  <c r="DB58" i="2"/>
  <c r="CW42" i="2"/>
  <c r="CE52" i="2"/>
  <c r="CW59" i="2"/>
  <c r="BE65" i="2"/>
  <c r="BA69" i="2"/>
  <c r="CE38" i="2"/>
  <c r="CQ50" i="2"/>
  <c r="CY58" i="2"/>
  <c r="CY47" i="2"/>
  <c r="DA39" i="2"/>
  <c r="CG57" i="2"/>
  <c r="BG65" i="2"/>
  <c r="CB69" i="2"/>
  <c r="CE10" i="3"/>
  <c r="CN15" i="3"/>
  <c r="CE22" i="3"/>
  <c r="CF27" i="3"/>
  <c r="CH33" i="3"/>
  <c r="G65" i="2"/>
  <c r="AY69" i="2"/>
  <c r="CF10" i="3"/>
  <c r="CN18" i="3"/>
  <c r="CJ25" i="3"/>
  <c r="CG33" i="3"/>
  <c r="M40" i="3"/>
  <c r="G44" i="3"/>
  <c r="N45" i="3"/>
  <c r="CY44" i="2"/>
  <c r="J69" i="2"/>
  <c r="CF6" i="3"/>
  <c r="CG14" i="3"/>
  <c r="CO22" i="3"/>
  <c r="CP30" i="3"/>
  <c r="CJ37" i="3"/>
  <c r="AP40" i="3"/>
  <c r="AJ44" i="3"/>
  <c r="AK45" i="3"/>
  <c r="AE48" i="3"/>
  <c r="P49" i="3"/>
  <c r="E50" i="3"/>
  <c r="AW50" i="3"/>
  <c r="AH51" i="3"/>
  <c r="W52" i="3"/>
  <c r="L53" i="3"/>
  <c r="AZ53" i="3"/>
  <c r="AO54" i="3"/>
  <c r="AD55" i="3"/>
  <c r="O56" i="3"/>
  <c r="AY56" i="3"/>
  <c r="AB57" i="3"/>
  <c r="E58" i="3"/>
  <c r="AK58" i="3"/>
  <c r="N59" i="3"/>
  <c r="AT59" i="3"/>
  <c r="W60" i="3"/>
  <c r="BC60" i="3"/>
  <c r="AF61" i="3"/>
  <c r="I62" i="3"/>
  <c r="AO62" i="3"/>
  <c r="R63" i="3"/>
  <c r="AX63" i="3"/>
  <c r="AA64" i="3"/>
  <c r="D65" i="3"/>
  <c r="AJ65" i="3"/>
  <c r="M66" i="3"/>
  <c r="AS66" i="3"/>
  <c r="V67" i="3"/>
  <c r="BB67" i="3"/>
  <c r="AE68" i="3"/>
  <c r="H69" i="3"/>
  <c r="AN69" i="3"/>
  <c r="Q70" i="3"/>
  <c r="AW70" i="3"/>
  <c r="Z71" i="3"/>
  <c r="C72" i="3"/>
  <c r="AI72" i="3"/>
  <c r="L73" i="3"/>
  <c r="AR73" i="3"/>
  <c r="U74" i="3"/>
  <c r="BA74" i="3"/>
  <c r="AD75" i="3"/>
  <c r="G76" i="3"/>
  <c r="AM76" i="3"/>
  <c r="P77" i="3"/>
  <c r="AV77" i="3"/>
  <c r="Y78" i="3"/>
  <c r="BE78" i="3"/>
  <c r="AH79" i="3"/>
  <c r="K80" i="3"/>
  <c r="AQ80" i="3"/>
  <c r="T81" i="3"/>
  <c r="AZ81" i="3"/>
  <c r="CW53" i="2"/>
  <c r="L69" i="2"/>
  <c r="CI5" i="3"/>
  <c r="CJ12" i="3"/>
  <c r="CH16" i="3"/>
  <c r="CP22" i="3"/>
  <c r="CN26" i="3"/>
  <c r="CI33" i="3"/>
  <c r="CF37" i="3"/>
  <c r="AA40" i="3"/>
  <c r="P44" i="3"/>
  <c r="BF44" i="3"/>
  <c r="AR45" i="3"/>
  <c r="X48" i="3"/>
  <c r="BD48" i="3"/>
  <c r="AG49" i="3"/>
  <c r="BE49" i="3"/>
  <c r="Z50" i="3"/>
  <c r="AT50" i="3"/>
  <c r="K51" i="3"/>
  <c r="AI51" i="3"/>
  <c r="BC51" i="3"/>
  <c r="T52" i="3"/>
  <c r="AR52" i="3"/>
  <c r="I53" i="3"/>
  <c r="AC53" i="3"/>
  <c r="BA53" i="3"/>
  <c r="R54" i="3"/>
  <c r="AL54" i="3"/>
  <c r="G55" i="3"/>
  <c r="AA55" i="3"/>
  <c r="AU55" i="3"/>
  <c r="P56" i="3"/>
  <c r="AJ56" i="3"/>
  <c r="BD56" i="3"/>
  <c r="Y57" i="3"/>
  <c r="AS57" i="3"/>
  <c r="J58" i="3"/>
  <c r="AH58" i="3"/>
  <c r="BB58" i="3"/>
  <c r="S59" i="3"/>
  <c r="AQ59" i="3"/>
  <c r="H60" i="3"/>
  <c r="AB60" i="3"/>
  <c r="AZ60" i="3"/>
  <c r="Q61" i="3"/>
  <c r="AK61" i="3"/>
  <c r="F62" i="3"/>
  <c r="Z62" i="3"/>
  <c r="AT62" i="3"/>
  <c r="O63" i="3"/>
  <c r="AI63" i="3"/>
  <c r="BC63" i="3"/>
  <c r="X64" i="3"/>
  <c r="AR64" i="3"/>
  <c r="I65" i="3"/>
  <c r="AG65" i="3"/>
  <c r="BA65" i="3"/>
  <c r="R66" i="3"/>
  <c r="AP66" i="3"/>
  <c r="G67" i="3"/>
  <c r="AA67" i="3"/>
  <c r="AY67" i="3"/>
  <c r="P68" i="3"/>
  <c r="AJ68" i="3"/>
  <c r="E69" i="3"/>
  <c r="Y69" i="3"/>
  <c r="AS69" i="3"/>
  <c r="N70" i="3"/>
  <c r="AH70" i="3"/>
  <c r="BB70" i="3"/>
  <c r="W71" i="3"/>
  <c r="AQ71" i="3"/>
  <c r="H72" i="3"/>
  <c r="AF72" i="3"/>
  <c r="AZ72" i="3"/>
  <c r="Q73" i="3"/>
  <c r="AO73" i="3"/>
  <c r="F74" i="3"/>
  <c r="Z74" i="3"/>
  <c r="AX74" i="3"/>
  <c r="O75" i="3"/>
  <c r="AI75" i="3"/>
  <c r="D76" i="3"/>
  <c r="X76" i="3"/>
  <c r="AR76" i="3"/>
  <c r="E77" i="3"/>
  <c r="U77" i="3"/>
  <c r="AK77" i="3"/>
  <c r="BA77" i="3"/>
  <c r="N78" i="3"/>
  <c r="AD78" i="3"/>
  <c r="AT78" i="3"/>
  <c r="G79" i="3"/>
  <c r="W79" i="3"/>
  <c r="AM79" i="3"/>
  <c r="BC79" i="3"/>
  <c r="P80" i="3"/>
  <c r="AF80" i="3"/>
  <c r="AV80" i="3"/>
  <c r="I81" i="3"/>
  <c r="Y81" i="3"/>
  <c r="AO81" i="3"/>
  <c r="BE81" i="3"/>
  <c r="AD65" i="2"/>
  <c r="AP69" i="2"/>
  <c r="CJ6" i="3"/>
  <c r="CG10" i="3"/>
  <c r="CQ15" i="3"/>
  <c r="CJ24" i="3"/>
  <c r="CF28" i="3"/>
  <c r="CP34" i="3"/>
  <c r="R40" i="3"/>
  <c r="L44" i="3"/>
  <c r="BB44" i="3"/>
  <c r="AN45" i="3"/>
  <c r="Y48" i="3"/>
  <c r="BE48" i="3"/>
  <c r="AH49" i="3"/>
  <c r="K50" i="3"/>
  <c r="AQ50" i="3"/>
  <c r="T51" i="3"/>
  <c r="AZ51" i="3"/>
  <c r="AC52" i="3"/>
  <c r="F53" i="3"/>
  <c r="AL53" i="3"/>
  <c r="O54" i="3"/>
  <c r="AU54" i="3"/>
  <c r="X55" i="3"/>
  <c r="BD55" i="3"/>
  <c r="AG56" i="3"/>
  <c r="J57" i="3"/>
  <c r="AP57" i="3"/>
  <c r="S58" i="3"/>
  <c r="AY58" i="3"/>
  <c r="AB59" i="3"/>
  <c r="E60" i="3"/>
  <c r="AK60" i="3"/>
  <c r="N61" i="3"/>
  <c r="AT61" i="3"/>
  <c r="W62" i="3"/>
  <c r="BC62" i="3"/>
  <c r="AF63" i="3"/>
  <c r="I64" i="3"/>
  <c r="AO64" i="3"/>
  <c r="R65" i="3"/>
  <c r="AX65" i="3"/>
  <c r="AA66" i="3"/>
  <c r="D67" i="3"/>
  <c r="AJ67" i="3"/>
  <c r="M68" i="3"/>
  <c r="AS68" i="3"/>
  <c r="V69" i="3"/>
  <c r="BB69" i="3"/>
  <c r="AE70" i="3"/>
  <c r="H71" i="3"/>
  <c r="AN71" i="3"/>
  <c r="Q72" i="3"/>
  <c r="AW72" i="3"/>
  <c r="Z73" i="3"/>
  <c r="C74" i="3"/>
  <c r="AI74" i="3"/>
  <c r="L75" i="3"/>
  <c r="AR75" i="3"/>
  <c r="U76" i="3"/>
  <c r="BA76" i="3"/>
  <c r="AD77" i="3"/>
  <c r="G78" i="3"/>
  <c r="AM78" i="3"/>
  <c r="P79" i="3"/>
  <c r="AV79" i="3"/>
  <c r="Y80" i="3"/>
  <c r="BE80" i="3"/>
  <c r="AH81" i="3"/>
  <c r="CX50" i="2"/>
  <c r="AE65" i="2"/>
  <c r="AT69" i="2"/>
  <c r="CH10" i="3"/>
  <c r="CF14" i="3"/>
  <c r="CN20" i="3"/>
  <c r="CI27" i="3"/>
  <c r="CG31" i="3"/>
  <c r="CH37" i="3"/>
  <c r="AD40" i="3"/>
  <c r="X44" i="3"/>
  <c r="I45" i="3"/>
  <c r="AZ45" i="3"/>
  <c r="AH48" i="3"/>
  <c r="K49" i="3"/>
  <c r="AQ49" i="3"/>
  <c r="T50" i="3"/>
  <c r="AZ50" i="3"/>
  <c r="AC51" i="3"/>
  <c r="F52" i="3"/>
  <c r="AL52" i="3"/>
  <c r="O53" i="3"/>
  <c r="AU53" i="3"/>
  <c r="X54" i="3"/>
  <c r="BD54" i="3"/>
  <c r="AG55" i="3"/>
  <c r="J56" i="3"/>
  <c r="AP56" i="3"/>
  <c r="S57" i="3"/>
  <c r="AY57" i="3"/>
  <c r="AB58" i="3"/>
  <c r="E59" i="3"/>
  <c r="AK59" i="3"/>
  <c r="N60" i="3"/>
  <c r="AT60" i="3"/>
  <c r="W61" i="3"/>
  <c r="BC61" i="3"/>
  <c r="AF62" i="3"/>
  <c r="I63" i="3"/>
  <c r="AO63" i="3"/>
  <c r="R64" i="3"/>
  <c r="AX64" i="3"/>
  <c r="AA65" i="3"/>
  <c r="D66" i="3"/>
  <c r="AJ66" i="3"/>
  <c r="M67" i="3"/>
  <c r="AS67" i="3"/>
  <c r="V68" i="3"/>
  <c r="BB68" i="3"/>
  <c r="AE69" i="3"/>
  <c r="H70" i="3"/>
  <c r="AN70" i="3"/>
  <c r="Q71" i="3"/>
  <c r="AW71" i="3"/>
  <c r="Z72" i="3"/>
  <c r="C73" i="3"/>
  <c r="AI73" i="3"/>
  <c r="L74" i="3"/>
  <c r="AR74" i="3"/>
  <c r="U75" i="3"/>
  <c r="BA75" i="3"/>
  <c r="AD76" i="3"/>
  <c r="G77" i="3"/>
  <c r="AM77" i="3"/>
  <c r="P78" i="3"/>
  <c r="AV78" i="3"/>
  <c r="Y79" i="3"/>
  <c r="BE79" i="3"/>
  <c r="AH80" i="3"/>
  <c r="K81" i="3"/>
  <c r="AQ81" i="3"/>
  <c r="AH69" i="2"/>
  <c r="CI15" i="3"/>
  <c r="CQ24" i="3"/>
  <c r="CJ34" i="3"/>
  <c r="R44" i="3"/>
  <c r="AU45" i="3"/>
  <c r="BB48" i="3"/>
  <c r="H50" i="3"/>
  <c r="Q51" i="3"/>
  <c r="Z52" i="3"/>
  <c r="AI53" i="3"/>
  <c r="AR54" i="3"/>
  <c r="BA55" i="3"/>
  <c r="G57" i="3"/>
  <c r="P58" i="3"/>
  <c r="Y59" i="3"/>
  <c r="AH60" i="3"/>
  <c r="AQ61" i="3"/>
  <c r="AZ62" i="3"/>
  <c r="F64" i="3"/>
  <c r="O65" i="3"/>
  <c r="X66" i="3"/>
  <c r="AG67" i="3"/>
  <c r="AP68" i="3"/>
  <c r="AY69" i="3"/>
  <c r="E71" i="3"/>
  <c r="N72" i="3"/>
  <c r="W73" i="3"/>
  <c r="AF74" i="3"/>
  <c r="AO75" i="3"/>
  <c r="AX76" i="3"/>
  <c r="D78" i="3"/>
  <c r="M79" i="3"/>
  <c r="V80" i="3"/>
  <c r="AE81" i="3"/>
  <c r="W65" i="2"/>
  <c r="CQ9" i="3"/>
  <c r="CG21" i="3"/>
  <c r="CG36" i="3"/>
  <c r="AT40" i="3"/>
  <c r="M45" i="3"/>
  <c r="AC48" i="3"/>
  <c r="AL49" i="3"/>
  <c r="AU50" i="3"/>
  <c r="BD51" i="3"/>
  <c r="J53" i="3"/>
  <c r="S54" i="3"/>
  <c r="AB55" i="3"/>
  <c r="AK56" i="3"/>
  <c r="AT57" i="3"/>
  <c r="BC58" i="3"/>
  <c r="I60" i="3"/>
  <c r="R61" i="3"/>
  <c r="AA62" i="3"/>
  <c r="AJ63" i="3"/>
  <c r="AS64" i="3"/>
  <c r="BB65" i="3"/>
  <c r="H67" i="3"/>
  <c r="Q68" i="3"/>
  <c r="Z69" i="3"/>
  <c r="AI70" i="3"/>
  <c r="AR71" i="3"/>
  <c r="BA72" i="3"/>
  <c r="G74" i="3"/>
  <c r="P75" i="3"/>
  <c r="Y76" i="3"/>
  <c r="AH77" i="3"/>
  <c r="AQ78" i="3"/>
  <c r="AZ79" i="3"/>
  <c r="F81" i="3"/>
  <c r="CM32" i="2"/>
  <c r="AZ69" i="2"/>
  <c r="CI16" i="3"/>
  <c r="CQ25" i="3"/>
  <c r="CQ36" i="3"/>
  <c r="BC40" i="3"/>
  <c r="O45" i="3"/>
  <c r="AD48" i="3"/>
  <c r="AM49" i="3"/>
  <c r="AV50" i="3"/>
  <c r="BE51" i="3"/>
  <c r="K53" i="3"/>
  <c r="T54" i="3"/>
  <c r="AC55" i="3"/>
  <c r="AL56" i="3"/>
  <c r="AU57" i="3"/>
  <c r="BD58" i="3"/>
  <c r="J60" i="3"/>
  <c r="S61" i="3"/>
  <c r="AB62" i="3"/>
  <c r="AK63" i="3"/>
  <c r="AT64" i="3"/>
  <c r="BC65" i="3"/>
  <c r="I67" i="3"/>
  <c r="R68" i="3"/>
  <c r="AA69" i="3"/>
  <c r="AJ70" i="3"/>
  <c r="AS71" i="3"/>
  <c r="BB72" i="3"/>
  <c r="H74" i="3"/>
  <c r="Q75" i="3"/>
  <c r="Z76" i="3"/>
  <c r="AI77" i="3"/>
  <c r="AR78" i="3"/>
  <c r="BA79" i="3"/>
  <c r="G81" i="3"/>
  <c r="AI40" i="3"/>
  <c r="AM50" i="3"/>
  <c r="BE52" i="3"/>
  <c r="T55" i="3"/>
  <c r="V57" i="3"/>
  <c r="X59" i="3"/>
  <c r="Z61" i="3"/>
  <c r="L63" i="3"/>
  <c r="N65" i="3"/>
  <c r="P67" i="3"/>
  <c r="AH69" i="3"/>
  <c r="AZ71" i="3"/>
  <c r="BB73" i="3"/>
  <c r="AN75" i="3"/>
  <c r="S78" i="3"/>
  <c r="BA80" i="3"/>
  <c r="U80" i="3"/>
  <c r="R69" i="2"/>
  <c r="CO10" i="3"/>
  <c r="CH20" i="3"/>
  <c r="CO29" i="3"/>
  <c r="Q44" i="3"/>
  <c r="E48" i="3"/>
  <c r="AD49" i="3"/>
  <c r="AF51" i="3"/>
  <c r="AX53" i="3"/>
  <c r="M56" i="3"/>
  <c r="H59" i="3"/>
  <c r="C62" i="3"/>
  <c r="BA64" i="3"/>
  <c r="AF67" i="3"/>
  <c r="AA70" i="3"/>
  <c r="F73" i="3"/>
  <c r="BD75" i="3"/>
  <c r="C78" i="3"/>
  <c r="AK80" i="3"/>
  <c r="CG13" i="2"/>
  <c r="CZ26" i="2"/>
  <c r="CW48" i="2"/>
  <c r="CW44" i="2"/>
  <c r="CM45" i="2"/>
  <c r="CN57" i="2"/>
  <c r="CM48" i="2"/>
  <c r="Y65" i="2"/>
  <c r="CM25" i="2"/>
  <c r="CN53" i="2"/>
  <c r="DA54" i="2"/>
  <c r="AA65" i="2"/>
  <c r="CJ7" i="3"/>
  <c r="CQ18" i="3"/>
  <c r="CI30" i="3"/>
  <c r="BD65" i="2"/>
  <c r="CJ14" i="3"/>
  <c r="CN29" i="3"/>
  <c r="AK40" i="3"/>
  <c r="AL45" i="3"/>
  <c r="BD69" i="2"/>
  <c r="CQ19" i="3"/>
  <c r="CN33" i="3"/>
  <c r="I44" i="3"/>
  <c r="G48" i="3"/>
  <c r="AN49" i="3"/>
  <c r="N51" i="3"/>
  <c r="AQ52" i="3"/>
  <c r="U54" i="3"/>
  <c r="AX55" i="3"/>
  <c r="L57" i="3"/>
  <c r="U58" i="3"/>
  <c r="AD59" i="3"/>
  <c r="AM60" i="3"/>
  <c r="AV61" i="3"/>
  <c r="BE62" i="3"/>
  <c r="K64" i="3"/>
  <c r="T65" i="3"/>
  <c r="AC66" i="3"/>
  <c r="AL67" i="3"/>
  <c r="AU68" i="3"/>
  <c r="BD69" i="3"/>
  <c r="J71" i="3"/>
  <c r="S72" i="3"/>
  <c r="AB73" i="3"/>
  <c r="AK74" i="3"/>
  <c r="AT75" i="3"/>
  <c r="BC76" i="3"/>
  <c r="I78" i="3"/>
  <c r="R79" i="3"/>
  <c r="AA80" i="3"/>
  <c r="AJ81" i="3"/>
  <c r="Z65" i="2"/>
  <c r="CG7" i="3"/>
  <c r="CF18" i="3"/>
  <c r="CI31" i="3"/>
  <c r="F40" i="3"/>
  <c r="AK44" i="3"/>
  <c r="H48" i="3"/>
  <c r="Q49" i="3"/>
  <c r="N50" i="3"/>
  <c r="C51" i="3"/>
  <c r="AQ51" i="3"/>
  <c r="AF52" i="3"/>
  <c r="U53" i="3"/>
  <c r="F54" i="3"/>
  <c r="AX54" i="3"/>
  <c r="AM55" i="3"/>
  <c r="X56" i="3"/>
  <c r="M57" i="3"/>
  <c r="BE57" i="3"/>
  <c r="AP58" i="3"/>
  <c r="AE59" i="3"/>
  <c r="T60" i="3"/>
  <c r="E61" i="3"/>
  <c r="AW61" i="3"/>
  <c r="AL62" i="3"/>
  <c r="W63" i="3"/>
  <c r="L64" i="3"/>
  <c r="BD64" i="3"/>
  <c r="AO65" i="3"/>
  <c r="AD66" i="3"/>
  <c r="S67" i="3"/>
  <c r="D68" i="3"/>
  <c r="AV68" i="3"/>
  <c r="AK69" i="3"/>
  <c r="V70" i="3"/>
  <c r="K71" i="3"/>
  <c r="BC71" i="3"/>
  <c r="AN72" i="3"/>
  <c r="AC73" i="3"/>
  <c r="R74" i="3"/>
  <c r="C75" i="3"/>
  <c r="AU75" i="3"/>
  <c r="AJ76" i="3"/>
  <c r="M77" i="3"/>
  <c r="AS77" i="3"/>
  <c r="V78" i="3"/>
  <c r="BB78" i="3"/>
  <c r="AE79" i="3"/>
  <c r="H80" i="3"/>
  <c r="AN80" i="3"/>
  <c r="Q81" i="3"/>
  <c r="AW81" i="3"/>
  <c r="D69" i="2"/>
  <c r="CH8" i="3"/>
  <c r="CO17" i="3"/>
  <c r="CF30" i="3"/>
  <c r="AM40" i="3"/>
  <c r="S45" i="3"/>
  <c r="AO48" i="3"/>
  <c r="AX49" i="3"/>
  <c r="D51" i="3"/>
  <c r="M52" i="3"/>
  <c r="V53" i="3"/>
  <c r="AE54" i="3"/>
  <c r="AN55" i="3"/>
  <c r="AW56" i="3"/>
  <c r="C58" i="3"/>
  <c r="L59" i="3"/>
  <c r="U60" i="3"/>
  <c r="AD61" i="3"/>
  <c r="AM62" i="3"/>
  <c r="AV63" i="3"/>
  <c r="BE64" i="3"/>
  <c r="K66" i="3"/>
  <c r="T67" i="3"/>
  <c r="AC68" i="3"/>
  <c r="AL69" i="3"/>
  <c r="AU70" i="3"/>
  <c r="BD71" i="3"/>
  <c r="J73" i="3"/>
  <c r="S74" i="3"/>
  <c r="AB75" i="3"/>
  <c r="AK76" i="3"/>
  <c r="AT77" i="3"/>
  <c r="BC78" i="3"/>
  <c r="I80" i="3"/>
  <c r="R81" i="3"/>
  <c r="CN58" i="2"/>
  <c r="CJ8" i="3"/>
  <c r="CP18" i="3"/>
  <c r="CG29" i="3"/>
  <c r="H40" i="3"/>
  <c r="AS44" i="3"/>
  <c r="R48" i="3"/>
  <c r="AA49" i="3"/>
  <c r="AJ50" i="3"/>
  <c r="AS51" i="3"/>
  <c r="BB52" i="3"/>
  <c r="H54" i="3"/>
  <c r="Q55" i="3"/>
  <c r="Z56" i="3"/>
  <c r="AI57" i="3"/>
  <c r="AR58" i="3"/>
  <c r="BA59" i="3"/>
  <c r="G61" i="3"/>
  <c r="P62" i="3"/>
  <c r="Y63" i="3"/>
  <c r="AH64" i="3"/>
  <c r="AQ65" i="3"/>
  <c r="AZ66" i="3"/>
  <c r="F68" i="3"/>
  <c r="O69" i="3"/>
  <c r="X70" i="3"/>
  <c r="AG71" i="3"/>
  <c r="AP72" i="3"/>
  <c r="AY73" i="3"/>
  <c r="E75" i="3"/>
  <c r="N76" i="3"/>
  <c r="W77" i="3"/>
  <c r="AF78" i="3"/>
  <c r="AO79" i="3"/>
  <c r="AX80" i="3"/>
  <c r="S65" i="2"/>
  <c r="CG19" i="3"/>
  <c r="W40" i="3"/>
  <c r="V48" i="3"/>
  <c r="AN50" i="3"/>
  <c r="C53" i="3"/>
  <c r="U55" i="3"/>
  <c r="AM57" i="3"/>
  <c r="BE59" i="3"/>
  <c r="T62" i="3"/>
  <c r="AL64" i="3"/>
  <c r="BD66" i="3"/>
  <c r="S69" i="3"/>
  <c r="AK71" i="3"/>
  <c r="BC73" i="3"/>
  <c r="R76" i="3"/>
  <c r="AJ78" i="3"/>
  <c r="BB80" i="3"/>
  <c r="BV69" i="2"/>
  <c r="CP28" i="3"/>
  <c r="AB44" i="3"/>
  <c r="F49" i="3"/>
  <c r="X51" i="3"/>
  <c r="AP53" i="3"/>
  <c r="E56" i="3"/>
  <c r="W58" i="3"/>
  <c r="AO60" i="3"/>
  <c r="D63" i="3"/>
  <c r="V65" i="3"/>
  <c r="AN67" i="3"/>
  <c r="C70" i="3"/>
  <c r="U72" i="3"/>
  <c r="AM74" i="3"/>
  <c r="BE76" i="3"/>
  <c r="T79" i="3"/>
  <c r="AL81" i="3"/>
  <c r="CP8" i="3"/>
  <c r="CJ33" i="3"/>
  <c r="AC44" i="3"/>
  <c r="G49" i="3"/>
  <c r="Y51" i="3"/>
  <c r="AQ53" i="3"/>
  <c r="F56" i="3"/>
  <c r="X58" i="3"/>
  <c r="AP60" i="3"/>
  <c r="E63" i="3"/>
  <c r="W65" i="3"/>
  <c r="AO67" i="3"/>
  <c r="D70" i="3"/>
  <c r="V72" i="3"/>
  <c r="AN74" i="3"/>
  <c r="C77" i="3"/>
  <c r="U79" i="3"/>
  <c r="AM81" i="3"/>
  <c r="AV51" i="3"/>
  <c r="AC56" i="3"/>
  <c r="AG60" i="3"/>
  <c r="E64" i="3"/>
  <c r="I68" i="3"/>
  <c r="AS72" i="3"/>
  <c r="J77" i="3"/>
  <c r="AT81" i="3"/>
  <c r="CE5" i="3"/>
  <c r="CE24" i="3"/>
  <c r="C45" i="3"/>
  <c r="W50" i="3"/>
  <c r="D55" i="3"/>
  <c r="Q60" i="3"/>
  <c r="G66" i="3"/>
  <c r="AJ71" i="3"/>
  <c r="AW76" i="3"/>
  <c r="BC49" i="3"/>
  <c r="P66" i="3"/>
  <c r="AZ70" i="3"/>
  <c r="AG75" i="3"/>
  <c r="N80" i="3"/>
  <c r="AS45" i="3"/>
  <c r="BB57" i="3"/>
  <c r="AT65" i="3"/>
  <c r="K70" i="3"/>
  <c r="AY78" i="3"/>
  <c r="CG30" i="2"/>
  <c r="CI38" i="3"/>
  <c r="U48" i="3"/>
  <c r="AS56" i="3"/>
  <c r="AI62" i="3"/>
  <c r="AL73" i="3"/>
  <c r="AI78" i="3"/>
  <c r="CI33" i="2"/>
  <c r="CQ36" i="2"/>
  <c r="DB51" i="2"/>
  <c r="CW56" i="2"/>
  <c r="CQ43" i="2"/>
  <c r="CH47" i="2"/>
  <c r="CH13" i="3"/>
  <c r="CJ35" i="3"/>
  <c r="CH7" i="3"/>
  <c r="CE37" i="3"/>
  <c r="DB57" i="2"/>
  <c r="CJ28" i="3"/>
  <c r="J40" i="3"/>
  <c r="AY48" i="3"/>
  <c r="C52" i="3"/>
  <c r="F55" i="3"/>
  <c r="AR57" i="3"/>
  <c r="G60" i="3"/>
  <c r="Y62" i="3"/>
  <c r="AQ64" i="3"/>
  <c r="F67" i="3"/>
  <c r="X69" i="3"/>
  <c r="AY72" i="3"/>
  <c r="CZ6" i="2"/>
  <c r="CQ22" i="2"/>
  <c r="CX11" i="2"/>
  <c r="CQ56" i="2"/>
  <c r="CK35" i="2"/>
  <c r="CN50" i="2"/>
  <c r="CH59" i="2"/>
  <c r="CZ52" i="2"/>
  <c r="E69" i="2"/>
  <c r="CW39" i="2"/>
  <c r="CY28" i="2"/>
  <c r="CX43" i="2"/>
  <c r="K69" i="2"/>
  <c r="CF11" i="3"/>
  <c r="CI22" i="3"/>
  <c r="CP33" i="3"/>
  <c r="BN69" i="2"/>
  <c r="CI19" i="3"/>
  <c r="CH34" i="3"/>
  <c r="S44" i="3"/>
  <c r="CM55" i="2"/>
  <c r="CE7" i="3"/>
  <c r="CG23" i="3"/>
  <c r="CO37" i="3"/>
  <c r="AT44" i="3"/>
  <c r="AI48" i="3"/>
  <c r="I50" i="3"/>
  <c r="AP51" i="3"/>
  <c r="P53" i="3"/>
  <c r="AS54" i="3"/>
  <c r="W56" i="3"/>
  <c r="AF57" i="3"/>
  <c r="AO58" i="3"/>
  <c r="AX59" i="3"/>
  <c r="D61" i="3"/>
  <c r="M62" i="3"/>
  <c r="V63" i="3"/>
  <c r="AE64" i="3"/>
  <c r="AN65" i="3"/>
  <c r="AW66" i="3"/>
  <c r="C68" i="3"/>
  <c r="L69" i="3"/>
  <c r="U70" i="3"/>
  <c r="AD71" i="3"/>
  <c r="AM72" i="3"/>
  <c r="AV73" i="3"/>
  <c r="BE74" i="3"/>
  <c r="K76" i="3"/>
  <c r="T77" i="3"/>
  <c r="AC78" i="3"/>
  <c r="AL79" i="3"/>
  <c r="AU80" i="3"/>
  <c r="BD81" i="3"/>
  <c r="T69" i="2"/>
  <c r="CQ12" i="3"/>
  <c r="CI23" i="3"/>
  <c r="CO33" i="3"/>
  <c r="AF40" i="3"/>
  <c r="G45" i="3"/>
  <c r="AB48" i="3"/>
  <c r="AK49" i="3"/>
  <c r="AD50" i="3"/>
  <c r="S51" i="3"/>
  <c r="D52" i="3"/>
  <c r="AV52" i="3"/>
  <c r="AK53" i="3"/>
  <c r="V54" i="3"/>
  <c r="K55" i="3"/>
  <c r="BC55" i="3"/>
  <c r="AN56" i="3"/>
  <c r="AC57" i="3"/>
  <c r="R58" i="3"/>
  <c r="C59" i="3"/>
  <c r="AU59" i="3"/>
  <c r="AJ60" i="3"/>
  <c r="U61" i="3"/>
  <c r="J62" i="3"/>
  <c r="BB62" i="3"/>
  <c r="AM63" i="3"/>
  <c r="AB64" i="3"/>
  <c r="Q65" i="3"/>
  <c r="BE65" i="3"/>
  <c r="AT66" i="3"/>
  <c r="AI67" i="3"/>
  <c r="T68" i="3"/>
  <c r="I69" i="3"/>
  <c r="BA69" i="3"/>
  <c r="AL70" i="3"/>
  <c r="AA71" i="3"/>
  <c r="P72" i="3"/>
  <c r="BD72" i="3"/>
  <c r="AS73" i="3"/>
  <c r="AH74" i="3"/>
  <c r="S75" i="3"/>
  <c r="H76" i="3"/>
  <c r="AV76" i="3"/>
  <c r="Y77" i="3"/>
  <c r="BE77" i="3"/>
  <c r="AH78" i="3"/>
  <c r="K79" i="3"/>
  <c r="AQ79" i="3"/>
  <c r="T80" i="3"/>
  <c r="AZ80" i="3"/>
  <c r="AC81" i="3"/>
  <c r="CN39" i="2"/>
  <c r="BJ69" i="2"/>
  <c r="CE11" i="3"/>
  <c r="CI25" i="3"/>
  <c r="CP35" i="3"/>
  <c r="V44" i="3"/>
  <c r="AY45" i="3"/>
  <c r="J49" i="3"/>
  <c r="S50" i="3"/>
  <c r="AB51" i="3"/>
  <c r="AK52" i="3"/>
  <c r="AT53" i="3"/>
  <c r="BC54" i="3"/>
  <c r="I56" i="3"/>
  <c r="R57" i="3"/>
  <c r="AA58" i="3"/>
  <c r="AJ59" i="3"/>
  <c r="AS60" i="3"/>
  <c r="BB61" i="3"/>
  <c r="H63" i="3"/>
  <c r="Q64" i="3"/>
  <c r="Z65" i="3"/>
  <c r="AI66" i="3"/>
  <c r="AR67" i="3"/>
  <c r="BA68" i="3"/>
  <c r="G70" i="3"/>
  <c r="P71" i="3"/>
  <c r="Y72" i="3"/>
  <c r="AH73" i="3"/>
  <c r="AQ74" i="3"/>
  <c r="AZ75" i="3"/>
  <c r="F77" i="3"/>
  <c r="O78" i="3"/>
  <c r="X79" i="3"/>
  <c r="AG80" i="3"/>
  <c r="AP81" i="3"/>
  <c r="AY65" i="2"/>
  <c r="CH11" i="3"/>
  <c r="CN21" i="3"/>
  <c r="CE32" i="3"/>
  <c r="AN40" i="3"/>
  <c r="T45" i="3"/>
  <c r="AP48" i="3"/>
  <c r="AY49" i="3"/>
  <c r="E51" i="3"/>
  <c r="N52" i="3"/>
  <c r="W53" i="3"/>
  <c r="AF54" i="3"/>
  <c r="AO55" i="3"/>
  <c r="AX56" i="3"/>
  <c r="D58" i="3"/>
  <c r="M59" i="3"/>
  <c r="V60" i="3"/>
  <c r="AE61" i="3"/>
  <c r="AN62" i="3"/>
  <c r="AW63" i="3"/>
  <c r="C65" i="3"/>
  <c r="L66" i="3"/>
  <c r="U67" i="3"/>
  <c r="AD68" i="3"/>
  <c r="AM69" i="3"/>
  <c r="AV70" i="3"/>
  <c r="BE71" i="3"/>
  <c r="K73" i="3"/>
  <c r="T74" i="3"/>
  <c r="AC75" i="3"/>
  <c r="AL76" i="3"/>
  <c r="AU77" i="3"/>
  <c r="BD78" i="3"/>
  <c r="J80" i="3"/>
  <c r="S81" i="3"/>
  <c r="BS69" i="2"/>
  <c r="CO26" i="3"/>
  <c r="AN44" i="3"/>
  <c r="O49" i="3"/>
  <c r="AG51" i="3"/>
  <c r="AY53" i="3"/>
  <c r="N56" i="3"/>
  <c r="AF58" i="3"/>
  <c r="AX60" i="3"/>
  <c r="M63" i="3"/>
  <c r="AE65" i="3"/>
  <c r="AW67" i="3"/>
  <c r="L70" i="3"/>
  <c r="AD72" i="3"/>
  <c r="AV74" i="3"/>
  <c r="K77" i="3"/>
  <c r="AC79" i="3"/>
  <c r="AU81" i="3"/>
  <c r="CO11" i="3"/>
  <c r="CN37" i="3"/>
  <c r="AI45" i="3"/>
  <c r="BB49" i="3"/>
  <c r="Q52" i="3"/>
  <c r="AI54" i="3"/>
  <c r="BA56" i="3"/>
  <c r="P59" i="3"/>
  <c r="AH61" i="3"/>
  <c r="AZ63" i="3"/>
  <c r="O66" i="3"/>
  <c r="AG68" i="3"/>
  <c r="AY70" i="3"/>
  <c r="N73" i="3"/>
  <c r="AF75" i="3"/>
  <c r="AX77" i="3"/>
  <c r="M80" i="3"/>
  <c r="CW33" i="2"/>
  <c r="CG18" i="3"/>
  <c r="CH38" i="3"/>
  <c r="AJ45" i="3"/>
  <c r="R52" i="3"/>
  <c r="AJ54" i="3"/>
  <c r="BB56" i="3"/>
  <c r="Q59" i="3"/>
  <c r="AI61" i="3"/>
  <c r="BA63" i="3"/>
  <c r="AH68" i="3"/>
  <c r="O73" i="3"/>
  <c r="AY77" i="3"/>
  <c r="R53" i="3"/>
  <c r="AP61" i="3"/>
  <c r="O74" i="3"/>
  <c r="CN12" i="3"/>
  <c r="I52" i="3"/>
  <c r="Y68" i="3"/>
  <c r="DA16" i="2"/>
  <c r="CM22" i="2"/>
  <c r="CE39" i="2"/>
  <c r="CY32" i="2"/>
  <c r="AC69" i="2"/>
  <c r="CM36" i="2"/>
  <c r="AL69" i="2"/>
  <c r="CG24" i="3"/>
  <c r="CQ21" i="3"/>
  <c r="AM44" i="3"/>
  <c r="CP11" i="3"/>
  <c r="K45" i="3"/>
  <c r="Y50" i="3"/>
  <c r="AF53" i="3"/>
  <c r="AI56" i="3"/>
  <c r="BA58" i="3"/>
  <c r="P61" i="3"/>
  <c r="AH63" i="3"/>
  <c r="AZ65" i="3"/>
  <c r="O68" i="3"/>
  <c r="AG70" i="3"/>
  <c r="AP71" i="3"/>
  <c r="E74" i="3"/>
  <c r="N75" i="3"/>
  <c r="W76" i="3"/>
  <c r="AF77" i="3"/>
  <c r="AO78" i="3"/>
  <c r="AX79" i="3"/>
  <c r="D81" i="3"/>
  <c r="CX48" i="2"/>
  <c r="AX69" i="2"/>
  <c r="CH14" i="3"/>
  <c r="CP24" i="3"/>
  <c r="CG35" i="3"/>
  <c r="AV40" i="3"/>
  <c r="W45" i="3"/>
  <c r="AN48" i="3"/>
  <c r="AW49" i="3"/>
  <c r="AH50" i="3"/>
  <c r="W51" i="3"/>
  <c r="L52" i="3"/>
  <c r="AZ52" i="3"/>
  <c r="AO53" i="3"/>
  <c r="AD54" i="3"/>
  <c r="O55" i="3"/>
  <c r="D56" i="3"/>
  <c r="AV56" i="3"/>
  <c r="AG57" i="3"/>
  <c r="V58" i="3"/>
  <c r="K59" i="3"/>
  <c r="AY59" i="3"/>
  <c r="AN60" i="3"/>
  <c r="AC61" i="3"/>
  <c r="N62" i="3"/>
  <c r="C63" i="3"/>
  <c r="AU63" i="3"/>
  <c r="AF64" i="3"/>
  <c r="U65" i="3"/>
  <c r="J66" i="3"/>
  <c r="AX66" i="3"/>
  <c r="AM67" i="3"/>
  <c r="AB68" i="3"/>
  <c r="M69" i="3"/>
  <c r="BE69" i="3"/>
  <c r="AT70" i="3"/>
  <c r="AE71" i="3"/>
  <c r="T72" i="3"/>
  <c r="I73" i="3"/>
  <c r="AW73" i="3"/>
  <c r="AL74" i="3"/>
  <c r="AA75" i="3"/>
  <c r="L76" i="3"/>
  <c r="AZ76" i="3"/>
  <c r="AC77" i="3"/>
  <c r="F78" i="3"/>
  <c r="AL78" i="3"/>
  <c r="O79" i="3"/>
  <c r="AU79" i="3"/>
  <c r="X80" i="3"/>
  <c r="BD80" i="3"/>
  <c r="AG81" i="3"/>
  <c r="CY51" i="2"/>
  <c r="CD69" i="2"/>
  <c r="CE12" i="3"/>
  <c r="CH26" i="3"/>
  <c r="CG37" i="3"/>
  <c r="AG44" i="3"/>
  <c r="I48" i="3"/>
  <c r="R49" i="3"/>
  <c r="AA50" i="3"/>
  <c r="AJ51" i="3"/>
  <c r="AS52" i="3"/>
  <c r="BB53" i="3"/>
  <c r="H55" i="3"/>
  <c r="Q56" i="3"/>
  <c r="Z57" i="3"/>
  <c r="AI58" i="3"/>
  <c r="AR59" i="3"/>
  <c r="BA60" i="3"/>
  <c r="G62" i="3"/>
  <c r="P63" i="3"/>
  <c r="Y64" i="3"/>
  <c r="AH65" i="3"/>
  <c r="AQ66" i="3"/>
  <c r="AZ67" i="3"/>
  <c r="F69" i="3"/>
  <c r="O70" i="3"/>
  <c r="X71" i="3"/>
  <c r="AG72" i="3"/>
  <c r="AP73" i="3"/>
  <c r="AY74" i="3"/>
  <c r="E76" i="3"/>
  <c r="N77" i="3"/>
  <c r="W78" i="3"/>
  <c r="AF79" i="3"/>
  <c r="AO80" i="3"/>
  <c r="AX81" i="3"/>
  <c r="G69" i="2"/>
  <c r="CF12" i="3"/>
  <c r="CN22" i="3"/>
  <c r="CE33" i="3"/>
  <c r="AY40" i="3"/>
  <c r="AE45" i="3"/>
  <c r="AX48" i="3"/>
  <c r="D50" i="3"/>
  <c r="M51" i="3"/>
  <c r="V52" i="3"/>
  <c r="AE53" i="3"/>
  <c r="AN54" i="3"/>
  <c r="AW55" i="3"/>
  <c r="C57" i="3"/>
  <c r="L58" i="3"/>
  <c r="U59" i="3"/>
  <c r="AD60" i="3"/>
  <c r="AM61" i="3"/>
  <c r="AV62" i="3"/>
  <c r="BE63" i="3"/>
  <c r="K65" i="3"/>
  <c r="T66" i="3"/>
  <c r="AC67" i="3"/>
  <c r="AL68" i="3"/>
  <c r="AU69" i="3"/>
  <c r="BD70" i="3"/>
  <c r="J72" i="3"/>
  <c r="S73" i="3"/>
  <c r="AB74" i="3"/>
  <c r="AK75" i="3"/>
  <c r="AT76" i="3"/>
  <c r="BC77" i="3"/>
  <c r="I79" i="3"/>
  <c r="R80" i="3"/>
  <c r="AA81" i="3"/>
  <c r="CP7" i="3"/>
  <c r="CN28" i="3"/>
  <c r="D45" i="3"/>
  <c r="AE49" i="3"/>
  <c r="AW51" i="3"/>
  <c r="L54" i="3"/>
  <c r="AD56" i="3"/>
  <c r="AV58" i="3"/>
  <c r="K61" i="3"/>
  <c r="AC63" i="3"/>
  <c r="AU65" i="3"/>
  <c r="J68" i="3"/>
  <c r="AB70" i="3"/>
  <c r="AT72" i="3"/>
  <c r="I75" i="3"/>
  <c r="AA77" i="3"/>
  <c r="AS79" i="3"/>
  <c r="CY53" i="2"/>
  <c r="CJ17" i="3"/>
  <c r="C40" i="3"/>
  <c r="BD45" i="3"/>
  <c r="O50" i="3"/>
  <c r="AG52" i="3"/>
  <c r="AY54" i="3"/>
  <c r="N57" i="3"/>
  <c r="AF59" i="3"/>
  <c r="AX61" i="3"/>
  <c r="M64" i="3"/>
  <c r="AW68" i="3"/>
  <c r="L71" i="3"/>
  <c r="AD73" i="3"/>
  <c r="AV75" i="3"/>
  <c r="K78" i="3"/>
  <c r="AC80" i="3"/>
  <c r="AM65" i="2"/>
  <c r="CF20" i="3"/>
  <c r="L40" i="3"/>
  <c r="BE45" i="3"/>
  <c r="P50" i="3"/>
  <c r="AH52" i="3"/>
  <c r="AZ54" i="3"/>
  <c r="O57" i="3"/>
  <c r="AG59" i="3"/>
  <c r="AY61" i="3"/>
  <c r="N64" i="3"/>
  <c r="AF66" i="3"/>
  <c r="AX68" i="3"/>
  <c r="M71" i="3"/>
  <c r="AE73" i="3"/>
  <c r="AW75" i="3"/>
  <c r="L78" i="3"/>
  <c r="AD80" i="3"/>
  <c r="BA48" i="3"/>
  <c r="K54" i="3"/>
  <c r="AE58" i="3"/>
  <c r="S62" i="3"/>
  <c r="W66" i="3"/>
  <c r="AQ70" i="3"/>
  <c r="AU74" i="3"/>
  <c r="AB79" i="3"/>
  <c r="CZ31" i="2"/>
  <c r="CJ16" i="3"/>
  <c r="N40" i="3"/>
  <c r="AK48" i="3"/>
  <c r="AO52" i="3"/>
  <c r="AL57" i="3"/>
  <c r="AB63" i="3"/>
  <c r="R69" i="3"/>
  <c r="AE74" i="3"/>
  <c r="L79" i="3"/>
  <c r="CH27" i="2"/>
  <c r="CY16" i="2"/>
  <c r="DB39" i="2"/>
  <c r="CZ40" i="2"/>
  <c r="CN43" i="2"/>
  <c r="CY55" i="2"/>
  <c r="DB43" i="2"/>
  <c r="E65" i="2"/>
  <c r="BM69" i="2"/>
  <c r="DB50" i="2"/>
  <c r="CK48" i="2"/>
  <c r="DA58" i="2"/>
  <c r="CH5" i="3"/>
  <c r="CG16" i="3"/>
  <c r="CG28" i="3"/>
  <c r="T65" i="2"/>
  <c r="CG11" i="3"/>
  <c r="CP26" i="3"/>
  <c r="Q40" i="3"/>
  <c r="R45" i="3"/>
  <c r="S69" i="2"/>
  <c r="CN14" i="3"/>
  <c r="CO31" i="3"/>
  <c r="AU40" i="3"/>
  <c r="AQ45" i="3"/>
  <c r="X49" i="3"/>
  <c r="BA50" i="3"/>
  <c r="AA52" i="3"/>
  <c r="E54" i="3"/>
  <c r="AH55" i="3"/>
  <c r="BC56" i="3"/>
  <c r="I58" i="3"/>
  <c r="R59" i="3"/>
  <c r="AA60" i="3"/>
  <c r="AJ61" i="3"/>
  <c r="AS62" i="3"/>
  <c r="BB63" i="3"/>
  <c r="H65" i="3"/>
  <c r="Q66" i="3"/>
  <c r="Z67" i="3"/>
  <c r="AI68" i="3"/>
  <c r="AR69" i="3"/>
  <c r="BA70" i="3"/>
  <c r="G72" i="3"/>
  <c r="P73" i="3"/>
  <c r="Y74" i="3"/>
  <c r="AH75" i="3"/>
  <c r="AQ76" i="3"/>
  <c r="AZ77" i="3"/>
  <c r="F79" i="3"/>
  <c r="O80" i="3"/>
  <c r="X81" i="3"/>
  <c r="CN59" i="2"/>
  <c r="CO5" i="3"/>
  <c r="CN16" i="3"/>
  <c r="CE27" i="3"/>
  <c r="CP37" i="3"/>
  <c r="U44" i="3"/>
  <c r="AW45" i="3"/>
  <c r="E49" i="3"/>
  <c r="J50" i="3"/>
  <c r="M53" i="3"/>
  <c r="T56" i="3"/>
  <c r="AA59" i="3"/>
  <c r="AD62" i="3"/>
  <c r="AK65" i="3"/>
  <c r="AR68" i="3"/>
  <c r="AU71" i="3"/>
  <c r="BB74" i="3"/>
  <c r="AO77" i="3"/>
  <c r="D80" i="3"/>
  <c r="AU65" i="2"/>
  <c r="AB40" i="3"/>
  <c r="AY50" i="3"/>
  <c r="AF55" i="3"/>
  <c r="M60" i="3"/>
  <c r="AW64" i="3"/>
  <c r="AD69" i="3"/>
  <c r="K74" i="3"/>
  <c r="AU78" i="3"/>
  <c r="BK69" i="2"/>
  <c r="AH44" i="3"/>
  <c r="AK51" i="3"/>
  <c r="R56" i="3"/>
  <c r="BB60" i="3"/>
  <c r="AI65" i="3"/>
  <c r="P70" i="3"/>
  <c r="AZ74" i="3"/>
  <c r="AG79" i="3"/>
  <c r="CF36" i="3"/>
  <c r="E55" i="3"/>
  <c r="V64" i="3"/>
  <c r="AM73" i="3"/>
  <c r="AI69" i="2"/>
  <c r="H51" i="3"/>
  <c r="Y60" i="3"/>
  <c r="X67" i="3"/>
  <c r="AO76" i="3"/>
  <c r="CO27" i="3"/>
  <c r="AA53" i="3"/>
  <c r="AR62" i="3"/>
  <c r="F72" i="3"/>
  <c r="W81" i="3"/>
  <c r="AR63" i="3"/>
  <c r="AD81" i="3"/>
  <c r="G50" i="3"/>
  <c r="D71" i="3"/>
  <c r="Z66" i="3"/>
  <c r="AQ75" i="3"/>
  <c r="R78" i="3"/>
  <c r="CI7" i="3"/>
  <c r="H45" i="3"/>
  <c r="E52" i="3"/>
  <c r="V61" i="3"/>
  <c r="C66" i="3"/>
  <c r="AM70" i="3"/>
  <c r="T75" i="3"/>
  <c r="CQ17" i="3"/>
  <c r="J48" i="3"/>
  <c r="AT52" i="3"/>
  <c r="H62" i="3"/>
  <c r="AR66" i="3"/>
  <c r="Y71" i="3"/>
  <c r="F76" i="3"/>
  <c r="F48" i="3"/>
  <c r="W57" i="3"/>
  <c r="AN66" i="3"/>
  <c r="BE75" i="3"/>
  <c r="Z53" i="3"/>
  <c r="AQ62" i="3"/>
  <c r="AP69" i="3"/>
  <c r="D79" i="3"/>
  <c r="H44" i="3"/>
  <c r="AS55" i="3"/>
  <c r="X74" i="3"/>
  <c r="P51" i="3"/>
  <c r="AV67" i="3"/>
  <c r="BC69" i="2"/>
  <c r="Q76" i="3"/>
  <c r="AM51" i="3"/>
  <c r="AW57" i="3"/>
  <c r="H64" i="3"/>
  <c r="R70" i="3"/>
  <c r="AB76" i="3"/>
  <c r="M81" i="3"/>
  <c r="CP16" i="3"/>
  <c r="N53" i="3"/>
  <c r="AE62" i="3"/>
  <c r="AV71" i="3"/>
  <c r="J81" i="3"/>
  <c r="S49" i="3"/>
  <c r="AJ58" i="3"/>
  <c r="Q63" i="3"/>
  <c r="AH72" i="3"/>
  <c r="AY81" i="3"/>
  <c r="AO59" i="3"/>
  <c r="F44" i="3"/>
  <c r="F65" i="3"/>
  <c r="V81" i="3"/>
  <c r="H58" i="3"/>
  <c r="Y67" i="3"/>
  <c r="AZ55" i="3"/>
  <c r="CF22" i="3"/>
  <c r="N81" i="3"/>
  <c r="AE55" i="3"/>
  <c r="AS61" i="3"/>
  <c r="BC67" i="3"/>
  <c r="J74" i="3"/>
  <c r="I77" i="3"/>
  <c r="AS81" i="3"/>
  <c r="AP49" i="3"/>
  <c r="D59" i="3"/>
  <c r="U68" i="3"/>
  <c r="AL77" i="3"/>
  <c r="CO38" i="3"/>
  <c r="AB50" i="3"/>
  <c r="AS59" i="3"/>
  <c r="G69" i="3"/>
  <c r="X78" i="3"/>
  <c r="CI17" i="3"/>
  <c r="D62" i="3"/>
  <c r="AL80" i="3"/>
  <c r="AE66" i="3"/>
  <c r="CP6" i="3"/>
  <c r="Z60" i="3"/>
  <c r="E79" i="3"/>
  <c r="AG76" i="3"/>
  <c r="AD65" i="3"/>
  <c r="AX50" i="3"/>
  <c r="BE53" i="3"/>
  <c r="I57" i="3"/>
  <c r="L60" i="3"/>
  <c r="S63" i="3"/>
  <c r="AC69" i="3"/>
  <c r="AJ72" i="3"/>
  <c r="AJ80" i="3"/>
  <c r="AO56" i="3"/>
  <c r="BD79" i="3"/>
  <c r="AA57" i="3"/>
  <c r="AP80" i="3"/>
  <c r="CE23" i="3"/>
  <c r="G65" i="3"/>
  <c r="AA54" i="3"/>
  <c r="AT54" i="3"/>
  <c r="BD60" i="3"/>
  <c r="K67" i="3"/>
  <c r="Y73" i="3"/>
  <c r="AX78" i="3"/>
  <c r="AG48" i="3"/>
  <c r="AX57" i="3"/>
  <c r="L67" i="3"/>
  <c r="AC76" i="3"/>
  <c r="CI28" i="3"/>
  <c r="BC53" i="3"/>
  <c r="BA67" i="3"/>
  <c r="O77" i="3"/>
  <c r="X50" i="3"/>
  <c r="C69" i="3"/>
  <c r="T78" i="3"/>
  <c r="AR55" i="3"/>
  <c r="E72" i="3"/>
  <c r="AT48" i="3"/>
  <c r="AP76" i="3"/>
  <c r="M72" i="3"/>
  <c r="AN59" i="3"/>
  <c r="AB52" i="3"/>
  <c r="AL58" i="3"/>
  <c r="AV64" i="3"/>
  <c r="G71" i="3"/>
  <c r="AA79" i="3"/>
  <c r="CF29" i="3"/>
  <c r="W54" i="3"/>
  <c r="AN63" i="3"/>
  <c r="BE72" i="3"/>
  <c r="CM57" i="2"/>
  <c r="I55" i="3"/>
  <c r="Z64" i="3"/>
  <c r="AQ73" i="3"/>
  <c r="AP52" i="3"/>
  <c r="U71" i="3"/>
  <c r="AS48" i="3"/>
  <c r="G58" i="3"/>
  <c r="W74" i="3"/>
  <c r="I51" i="3"/>
  <c r="AQ69" i="3"/>
  <c r="BD59" i="3"/>
  <c r="AL44" i="3"/>
  <c r="CM29" i="3" l="1"/>
  <c r="H46" i="5"/>
  <c r="E43" i="6" s="1"/>
  <c r="CM22" i="3"/>
  <c r="CM36" i="3"/>
  <c r="AB43" i="3"/>
  <c r="H7" i="5"/>
  <c r="E4" i="6" s="1"/>
  <c r="I46" i="5"/>
  <c r="F43" i="6" s="1"/>
  <c r="AU43" i="3"/>
  <c r="H37" i="5"/>
  <c r="E34" i="6" s="1"/>
  <c r="Q43" i="3"/>
  <c r="I32" i="5"/>
  <c r="F29" i="6" s="1"/>
  <c r="N43" i="3"/>
  <c r="CK16" i="3"/>
  <c r="CR16" i="3" s="1"/>
  <c r="CL16" i="3"/>
  <c r="L43" i="3"/>
  <c r="CM20" i="3"/>
  <c r="CE40" i="3"/>
  <c r="C43" i="3"/>
  <c r="CK17" i="3"/>
  <c r="CL17" i="3"/>
  <c r="CR17" i="3"/>
  <c r="AY43" i="3"/>
  <c r="CM12" i="3"/>
  <c r="AV43" i="3"/>
  <c r="CF39" i="2"/>
  <c r="D29" i="5"/>
  <c r="C26" i="6" s="1"/>
  <c r="H16" i="5"/>
  <c r="E13" i="6" s="1"/>
  <c r="H33" i="5"/>
  <c r="E30" i="6" s="1"/>
  <c r="AN43" i="3"/>
  <c r="I29" i="5"/>
  <c r="F26" i="6" s="1"/>
  <c r="AF43" i="3"/>
  <c r="H41" i="5"/>
  <c r="E38" i="6" s="1"/>
  <c r="H45" i="5"/>
  <c r="E42" i="6" s="1"/>
  <c r="CM11" i="3"/>
  <c r="I38" i="5"/>
  <c r="F35" i="6" s="1"/>
  <c r="J43" i="3"/>
  <c r="CK28" i="3"/>
  <c r="CR28" i="3" s="1"/>
  <c r="CL28" i="3"/>
  <c r="CK35" i="3"/>
  <c r="CL35" i="3"/>
  <c r="CR35" i="3"/>
  <c r="CJ33" i="2"/>
  <c r="CL30" i="2"/>
  <c r="DC30" i="2" s="1"/>
  <c r="CE45" i="3"/>
  <c r="CK33" i="3"/>
  <c r="CL33" i="3"/>
  <c r="CR33" i="3"/>
  <c r="W43" i="3"/>
  <c r="H43" i="3"/>
  <c r="CK8" i="3"/>
  <c r="CL8" i="3"/>
  <c r="CR8" i="3"/>
  <c r="I45" i="5"/>
  <c r="F42" i="6" s="1"/>
  <c r="AM43" i="3"/>
  <c r="CM30" i="3"/>
  <c r="H24" i="5"/>
  <c r="E21" i="6" s="1"/>
  <c r="F43" i="3"/>
  <c r="CM18" i="3"/>
  <c r="AK43" i="3"/>
  <c r="CR14" i="3"/>
  <c r="CK14" i="3"/>
  <c r="CL14" i="3"/>
  <c r="CR7" i="3"/>
  <c r="CL7" i="3"/>
  <c r="CK7" i="3"/>
  <c r="I41" i="5"/>
  <c r="F38" i="6" s="1"/>
  <c r="I44" i="5"/>
  <c r="F41" i="6" s="1"/>
  <c r="CL13" i="2"/>
  <c r="DC13" i="2" s="1"/>
  <c r="H35" i="5"/>
  <c r="E32" i="6" s="1"/>
  <c r="H14" i="5"/>
  <c r="E11" i="6" s="1"/>
  <c r="AI43" i="3"/>
  <c r="BC43" i="3"/>
  <c r="AT43" i="3"/>
  <c r="CL34" i="3"/>
  <c r="CR34" i="3"/>
  <c r="CK34" i="3"/>
  <c r="AD43" i="3"/>
  <c r="CM14" i="3"/>
  <c r="R43" i="3"/>
  <c r="CM28" i="3"/>
  <c r="CK24" i="3"/>
  <c r="CL24" i="3"/>
  <c r="CR24" i="3"/>
  <c r="CL6" i="3"/>
  <c r="CR6" i="3"/>
  <c r="CK6" i="3"/>
  <c r="AA43" i="3"/>
  <c r="CM37" i="3"/>
  <c r="CL12" i="3"/>
  <c r="CK12" i="3"/>
  <c r="CR12" i="3" s="1"/>
  <c r="AP43" i="3"/>
  <c r="CK37" i="3"/>
  <c r="CR37" i="3" s="1"/>
  <c r="CL37" i="3"/>
  <c r="H29" i="5"/>
  <c r="E26" i="6" s="1"/>
  <c r="CM6" i="3"/>
  <c r="M43" i="3"/>
  <c r="CL25" i="3"/>
  <c r="CK25" i="3"/>
  <c r="CR25" i="3" s="1"/>
  <c r="CM10" i="3"/>
  <c r="CM27" i="3"/>
  <c r="CL57" i="2"/>
  <c r="DC57" i="2" s="1"/>
  <c r="CF38" i="2"/>
  <c r="D40" i="5"/>
  <c r="C37" i="6" s="1"/>
  <c r="CF52" i="2"/>
  <c r="CF42" i="2"/>
  <c r="CL45" i="2"/>
  <c r="DC45" i="2" s="1"/>
  <c r="I14" i="5"/>
  <c r="F11" i="6" s="1"/>
  <c r="CF10" i="2"/>
  <c r="CJ35" i="2"/>
  <c r="CJ7" i="2"/>
  <c r="CJ23" i="2"/>
  <c r="CL12" i="2"/>
  <c r="DC12" i="2" s="1"/>
  <c r="CJ12" i="2"/>
  <c r="BD43" i="3"/>
  <c r="CK18" i="3"/>
  <c r="CR18" i="3" s="1"/>
  <c r="CL18" i="3"/>
  <c r="AH43" i="3"/>
  <c r="X43" i="3"/>
  <c r="AR43" i="3"/>
  <c r="CK32" i="3"/>
  <c r="CR32" i="3" s="1"/>
  <c r="CL32" i="3"/>
  <c r="S43" i="3"/>
  <c r="CL26" i="3"/>
  <c r="CK26" i="3"/>
  <c r="CR26" i="3" s="1"/>
  <c r="CM13" i="3"/>
  <c r="CJ38" i="2"/>
  <c r="AX43" i="3"/>
  <c r="G43" i="3"/>
  <c r="H25" i="5"/>
  <c r="E22" i="6" s="1"/>
  <c r="CK5" i="3"/>
  <c r="CR5" i="3" s="1"/>
  <c r="CJ40" i="3"/>
  <c r="CL5" i="3"/>
  <c r="BB43" i="3"/>
  <c r="K43" i="3"/>
  <c r="T43" i="3"/>
  <c r="CM34" i="3"/>
  <c r="CO65" i="2"/>
  <c r="AS43" i="3"/>
  <c r="H36" i="5"/>
  <c r="E33" i="6" s="1"/>
  <c r="CJ48" i="2"/>
  <c r="CL19" i="3"/>
  <c r="CR19" i="3"/>
  <c r="CK19" i="3"/>
  <c r="D44" i="5"/>
  <c r="C41" i="6" s="1"/>
  <c r="CF57" i="2"/>
  <c r="I35" i="5"/>
  <c r="F32" i="6" s="1"/>
  <c r="CJ57" i="2"/>
  <c r="CF53" i="2"/>
  <c r="D41" i="5"/>
  <c r="C38" i="6" s="1"/>
  <c r="CJ39" i="2"/>
  <c r="CF46" i="2"/>
  <c r="D34" i="5"/>
  <c r="C31" i="6" s="1"/>
  <c r="CL42" i="2"/>
  <c r="DC42" i="2" s="1"/>
  <c r="CJ13" i="2"/>
  <c r="D14" i="5"/>
  <c r="C11" i="6" s="1"/>
  <c r="CF17" i="2"/>
  <c r="I7" i="5"/>
  <c r="F4" i="6" s="1"/>
  <c r="AQ43" i="3"/>
  <c r="V43" i="3"/>
  <c r="H44" i="5"/>
  <c r="E41" i="6" s="1"/>
  <c r="H42" i="5"/>
  <c r="E39" i="6" s="1"/>
  <c r="CL22" i="3"/>
  <c r="CR22" i="3"/>
  <c r="CK22" i="3"/>
  <c r="H21" i="5"/>
  <c r="E18" i="6" s="1"/>
  <c r="CM9" i="3"/>
  <c r="H8" i="5"/>
  <c r="E5" i="6" s="1"/>
  <c r="CL37" i="2"/>
  <c r="DC37" i="2" s="1"/>
  <c r="AE43" i="3"/>
  <c r="D43" i="3"/>
  <c r="CM25" i="3"/>
  <c r="H28" i="5"/>
  <c r="E25" i="6" s="1"/>
  <c r="CK10" i="3"/>
  <c r="CR10" i="3" s="1"/>
  <c r="CL10" i="3"/>
  <c r="CL34" i="2"/>
  <c r="DC34" i="2" s="1"/>
  <c r="CE44" i="3"/>
  <c r="AG43" i="3"/>
  <c r="H13" i="5"/>
  <c r="E10" i="6" s="1"/>
  <c r="CM5" i="3"/>
  <c r="CM35" i="3"/>
  <c r="H27" i="5"/>
  <c r="E24" i="6" s="1"/>
  <c r="CL15" i="3"/>
  <c r="CK15" i="3"/>
  <c r="CR15" i="3" s="1"/>
  <c r="CL55" i="2"/>
  <c r="DC55" i="2" s="1"/>
  <c r="D28" i="5"/>
  <c r="C25" i="6" s="1"/>
  <c r="CF36" i="2"/>
  <c r="D36" i="5"/>
  <c r="C33" i="6" s="1"/>
  <c r="CF48" i="2"/>
  <c r="CJ56" i="2"/>
  <c r="I33" i="5"/>
  <c r="F30" i="6" s="1"/>
  <c r="I42" i="5"/>
  <c r="F39" i="6" s="1"/>
  <c r="CJ51" i="2"/>
  <c r="CL21" i="2"/>
  <c r="DC21" i="2" s="1"/>
  <c r="CF14" i="2"/>
  <c r="D12" i="5"/>
  <c r="C9" i="6" s="1"/>
  <c r="CL9" i="2"/>
  <c r="DC9" i="2" s="1"/>
  <c r="CF33" i="2"/>
  <c r="D21" i="5"/>
  <c r="C18" i="6" s="1"/>
  <c r="CF27" i="2"/>
  <c r="CJ21" i="2"/>
  <c r="D9" i="5"/>
  <c r="C6" i="6" s="1"/>
  <c r="CF11" i="2"/>
  <c r="D24" i="5"/>
  <c r="C21" i="6" s="1"/>
  <c r="CF31" i="2"/>
  <c r="CW61" i="2"/>
  <c r="AL43" i="3"/>
  <c r="P43" i="3"/>
  <c r="CL36" i="3"/>
  <c r="CK36" i="3"/>
  <c r="CR36" i="3" s="1"/>
  <c r="CK21" i="3"/>
  <c r="CR21" i="3" s="1"/>
  <c r="CL21" i="3"/>
  <c r="CM17" i="3"/>
  <c r="CL13" i="3"/>
  <c r="CR13" i="3"/>
  <c r="CK13" i="3"/>
  <c r="CM8" i="3"/>
  <c r="AZ43" i="3"/>
  <c r="Z43" i="3"/>
  <c r="H30" i="5"/>
  <c r="E27" i="6" s="1"/>
  <c r="BA43" i="3"/>
  <c r="U43" i="3"/>
  <c r="CK38" i="3"/>
  <c r="CR38" i="3" s="1"/>
  <c r="CL38" i="3"/>
  <c r="H43" i="5"/>
  <c r="E40" i="6" s="1"/>
  <c r="CM16" i="3"/>
  <c r="CL31" i="3"/>
  <c r="CR31" i="3"/>
  <c r="CK31" i="3"/>
  <c r="H34" i="5"/>
  <c r="E31" i="6" s="1"/>
  <c r="CL11" i="3"/>
  <c r="CK11" i="3"/>
  <c r="CR11" i="3"/>
  <c r="CJ52" i="2"/>
  <c r="I39" i="5"/>
  <c r="F36" i="6" s="1"/>
  <c r="CL58" i="2"/>
  <c r="DC58" i="2" s="1"/>
  <c r="CF56" i="2"/>
  <c r="D43" i="5"/>
  <c r="C40" i="6" s="1"/>
  <c r="CL38" i="2"/>
  <c r="DC38" i="2" s="1"/>
  <c r="I27" i="5"/>
  <c r="F24" i="6" s="1"/>
  <c r="CJ58" i="2"/>
  <c r="CF54" i="2"/>
  <c r="D39" i="5"/>
  <c r="C36" i="6" s="1"/>
  <c r="CF51" i="2"/>
  <c r="CJ29" i="2"/>
  <c r="CJ8" i="2"/>
  <c r="I24" i="5"/>
  <c r="F21" i="6" s="1"/>
  <c r="CJ15" i="2"/>
  <c r="D16" i="5"/>
  <c r="C13" i="6" s="1"/>
  <c r="CF19" i="2"/>
  <c r="CJ36" i="2"/>
  <c r="AW43" i="3"/>
  <c r="AC43" i="3"/>
  <c r="E43" i="3"/>
  <c r="CM26" i="3"/>
  <c r="CL20" i="3"/>
  <c r="CR20" i="3"/>
  <c r="CK20" i="3"/>
  <c r="H19" i="5"/>
  <c r="E16" i="6" s="1"/>
  <c r="CL9" i="3"/>
  <c r="CK9" i="3"/>
  <c r="CR9" i="3"/>
  <c r="CQ3" i="3"/>
  <c r="CK27" i="3"/>
  <c r="CR27" i="3" s="1"/>
  <c r="CL27" i="3"/>
  <c r="CL23" i="3"/>
  <c r="CR23" i="3"/>
  <c r="CK23" i="3"/>
  <c r="CM19" i="3"/>
  <c r="H17" i="5"/>
  <c r="E14" i="6" s="1"/>
  <c r="I37" i="5"/>
  <c r="F34" i="6" s="1"/>
  <c r="CF59" i="2"/>
  <c r="D46" i="5"/>
  <c r="C43" i="6" s="1"/>
  <c r="CJ55" i="2"/>
  <c r="CF50" i="2"/>
  <c r="D38" i="5"/>
  <c r="C35" i="6" s="1"/>
  <c r="CJ53" i="2"/>
  <c r="D37" i="5"/>
  <c r="C34" i="6" s="1"/>
  <c r="CF49" i="2"/>
  <c r="I34" i="5"/>
  <c r="F31" i="6" s="1"/>
  <c r="I26" i="5"/>
  <c r="F23" i="6" s="1"/>
  <c r="CJ46" i="2"/>
  <c r="CF43" i="2"/>
  <c r="D32" i="5"/>
  <c r="C29" i="6" s="1"/>
  <c r="CF34" i="2"/>
  <c r="D26" i="5"/>
  <c r="C23" i="6" s="1"/>
  <c r="CL53" i="2"/>
  <c r="DC53" i="2" s="1"/>
  <c r="CF44" i="2"/>
  <c r="D33" i="5"/>
  <c r="C30" i="6" s="1"/>
  <c r="I12" i="5"/>
  <c r="F9" i="6" s="1"/>
  <c r="CL31" i="2"/>
  <c r="DC31" i="2" s="1"/>
  <c r="CL19" i="2"/>
  <c r="DC19" i="2" s="1"/>
  <c r="CL32" i="2"/>
  <c r="DC32" i="2" s="1"/>
  <c r="CJ27" i="2"/>
  <c r="CL7" i="2"/>
  <c r="DC7" i="2" s="1"/>
  <c r="I19" i="5"/>
  <c r="F16" i="6" s="1"/>
  <c r="CL17" i="2"/>
  <c r="DC17" i="2" s="1"/>
  <c r="CF9" i="2"/>
  <c r="DA61" i="2"/>
  <c r="CJ45" i="2"/>
  <c r="I30" i="5"/>
  <c r="F27" i="6" s="1"/>
  <c r="CL35" i="2"/>
  <c r="DC35" i="2" s="1"/>
  <c r="CJ40" i="2"/>
  <c r="CJ37" i="2"/>
  <c r="CF25" i="2"/>
  <c r="D19" i="5"/>
  <c r="C16" i="6" s="1"/>
  <c r="I40" i="5"/>
  <c r="F37" i="6" s="1"/>
  <c r="CL49" i="2"/>
  <c r="DC49" i="2" s="1"/>
  <c r="D27" i="5"/>
  <c r="C24" i="6" s="1"/>
  <c r="CF35" i="2"/>
  <c r="CJ32" i="2"/>
  <c r="I20" i="5"/>
  <c r="F17" i="6" s="1"/>
  <c r="CJ22" i="2"/>
  <c r="CF13" i="2"/>
  <c r="D11" i="5"/>
  <c r="C8" i="6" s="1"/>
  <c r="CL11" i="2"/>
  <c r="DC11" i="2" s="1"/>
  <c r="I8" i="5"/>
  <c r="F5" i="6" s="1"/>
  <c r="DB61" i="2"/>
  <c r="I15" i="5"/>
  <c r="F12" i="6" s="1"/>
  <c r="D8" i="5"/>
  <c r="C5" i="6" s="1"/>
  <c r="CF8" i="2"/>
  <c r="CL6" i="2"/>
  <c r="DC6" i="2" s="1"/>
  <c r="CY61" i="2"/>
  <c r="CJ28" i="2"/>
  <c r="CJ24" i="2"/>
  <c r="I17" i="5"/>
  <c r="F14" i="6" s="1"/>
  <c r="D10" i="5"/>
  <c r="C7" i="6" s="1"/>
  <c r="CF12" i="2"/>
  <c r="CJ6" i="2"/>
  <c r="CL5" i="2"/>
  <c r="DC5" i="2" s="1"/>
  <c r="CG65" i="2"/>
  <c r="BF43" i="3"/>
  <c r="AJ43" i="3"/>
  <c r="O43" i="3"/>
  <c r="CM33" i="3"/>
  <c r="CL29" i="3"/>
  <c r="CK29" i="3"/>
  <c r="CR29" i="3" s="1"/>
  <c r="CM24" i="3"/>
  <c r="BE43" i="3"/>
  <c r="AO43" i="3"/>
  <c r="Y43" i="3"/>
  <c r="I43" i="3"/>
  <c r="CM38" i="3"/>
  <c r="CM32" i="3"/>
  <c r="CK30" i="3"/>
  <c r="CR30" i="3" s="1"/>
  <c r="CL30" i="3"/>
  <c r="H31" i="5"/>
  <c r="E28" i="6" s="1"/>
  <c r="CM21" i="3"/>
  <c r="H26" i="5"/>
  <c r="E23" i="6" s="1"/>
  <c r="I43" i="5"/>
  <c r="F40" i="6" s="1"/>
  <c r="H39" i="5"/>
  <c r="E36" i="6" s="1"/>
  <c r="CM31" i="3"/>
  <c r="CM23" i="3"/>
  <c r="H23" i="5"/>
  <c r="E20" i="6" s="1"/>
  <c r="CM15" i="3"/>
  <c r="H11" i="5"/>
  <c r="E8" i="6" s="1"/>
  <c r="CM7" i="3"/>
  <c r="CP3" i="3"/>
  <c r="CJ59" i="2"/>
  <c r="CL59" i="2"/>
  <c r="DC59" i="2" s="1"/>
  <c r="D42" i="5"/>
  <c r="C39" i="6" s="1"/>
  <c r="CF55" i="2"/>
  <c r="CJ50" i="2"/>
  <c r="CL46" i="2"/>
  <c r="DC46" i="2" s="1"/>
  <c r="CL52" i="2"/>
  <c r="DC52" i="2" s="1"/>
  <c r="CL50" i="2"/>
  <c r="DC50" i="2" s="1"/>
  <c r="CL48" i="2"/>
  <c r="DC48" i="2" s="1"/>
  <c r="CL40" i="2"/>
  <c r="DC40" i="2" s="1"/>
  <c r="CL43" i="2"/>
  <c r="DC43" i="2" s="1"/>
  <c r="CL54" i="2"/>
  <c r="DC54" i="2" s="1"/>
  <c r="CL51" i="2"/>
  <c r="DC51" i="2" s="1"/>
  <c r="CF45" i="2"/>
  <c r="CJ42" i="2"/>
  <c r="CJ25" i="2"/>
  <c r="CJ43" i="2"/>
  <c r="CF37" i="2"/>
  <c r="CJ34" i="2"/>
  <c r="CF32" i="2"/>
  <c r="D25" i="5"/>
  <c r="C22" i="6" s="1"/>
  <c r="CL56" i="2"/>
  <c r="DC56" i="2" s="1"/>
  <c r="CJ54" i="2"/>
  <c r="CJ47" i="2"/>
  <c r="CJ44" i="2"/>
  <c r="CF41" i="2"/>
  <c r="D31" i="5"/>
  <c r="C28" i="6" s="1"/>
  <c r="CL39" i="2"/>
  <c r="DC39" i="2" s="1"/>
  <c r="CF20" i="2"/>
  <c r="D17" i="5"/>
  <c r="C14" i="6" s="1"/>
  <c r="CF16" i="2"/>
  <c r="CQ61" i="2"/>
  <c r="CL28" i="2"/>
  <c r="DC28" i="2" s="1"/>
  <c r="CJ26" i="2"/>
  <c r="CL24" i="2"/>
  <c r="DC24" i="2" s="1"/>
  <c r="CJ17" i="2"/>
  <c r="I13" i="5"/>
  <c r="F10" i="6" s="1"/>
  <c r="CK65" i="2"/>
  <c r="CJ30" i="2"/>
  <c r="CL20" i="2"/>
  <c r="DC20" i="2" s="1"/>
  <c r="CJ18" i="2"/>
  <c r="CL16" i="2"/>
  <c r="DC16" i="2" s="1"/>
  <c r="I10" i="5"/>
  <c r="F7" i="6" s="1"/>
  <c r="CJ5" i="2"/>
  <c r="CI65" i="2"/>
  <c r="CL26" i="2"/>
  <c r="DC26" i="2" s="1"/>
  <c r="CJ9" i="2"/>
  <c r="CL8" i="2"/>
  <c r="DC8" i="2" s="1"/>
  <c r="CX61" i="2"/>
  <c r="I5" i="5"/>
  <c r="F2" i="6" s="1"/>
  <c r="CJ49" i="2"/>
  <c r="CL47" i="2"/>
  <c r="DC47" i="2" s="1"/>
  <c r="CL44" i="2"/>
  <c r="DC44" i="2" s="1"/>
  <c r="CL41" i="2"/>
  <c r="DC41" i="2" s="1"/>
  <c r="CL33" i="2"/>
  <c r="DC33" i="2" s="1"/>
  <c r="CL27" i="2"/>
  <c r="DC27" i="2" s="1"/>
  <c r="I31" i="5"/>
  <c r="F28" i="6" s="1"/>
  <c r="D30" i="5"/>
  <c r="C27" i="6" s="1"/>
  <c r="CF40" i="2"/>
  <c r="CL36" i="2"/>
  <c r="DC36" i="2" s="1"/>
  <c r="CF58" i="2"/>
  <c r="D45" i="5"/>
  <c r="C42" i="6" s="1"/>
  <c r="I36" i="5"/>
  <c r="F33" i="6" s="1"/>
  <c r="CF47" i="2"/>
  <c r="D35" i="5"/>
  <c r="C32" i="6" s="1"/>
  <c r="CJ41" i="2"/>
  <c r="I28" i="5"/>
  <c r="F25" i="6" s="1"/>
  <c r="I25" i="5"/>
  <c r="F22" i="6" s="1"/>
  <c r="CJ16" i="2"/>
  <c r="CF7" i="2"/>
  <c r="D7" i="5"/>
  <c r="C4" i="6" s="1"/>
  <c r="CF23" i="2"/>
  <c r="D18" i="5"/>
  <c r="C15" i="6" s="1"/>
  <c r="CJ14" i="2"/>
  <c r="I9" i="5"/>
  <c r="F6" i="6" s="1"/>
  <c r="CZ61" i="2"/>
  <c r="CF30" i="2"/>
  <c r="D23" i="5"/>
  <c r="C20" i="6" s="1"/>
  <c r="I22" i="5"/>
  <c r="F19" i="6" s="1"/>
  <c r="CL25" i="2"/>
  <c r="DC25" i="2" s="1"/>
  <c r="D13" i="5"/>
  <c r="C10" i="6" s="1"/>
  <c r="CF15" i="2"/>
  <c r="CF24" i="2"/>
  <c r="CL23" i="2"/>
  <c r="DC23" i="2" s="1"/>
  <c r="CJ19" i="2"/>
  <c r="I11" i="5"/>
  <c r="F8" i="6" s="1"/>
  <c r="CL10" i="2"/>
  <c r="DC10" i="2" s="1"/>
  <c r="CF6" i="2"/>
  <c r="D6" i="5"/>
  <c r="C3" i="6" s="1"/>
  <c r="I18" i="5"/>
  <c r="F15" i="6" s="1"/>
  <c r="CF22" i="2"/>
  <c r="CJ20" i="2"/>
  <c r="CL18" i="2"/>
  <c r="DC18" i="2" s="1"/>
  <c r="CL15" i="2"/>
  <c r="DC15" i="2" s="1"/>
  <c r="DD15" i="2" s="1"/>
  <c r="I23" i="5"/>
  <c r="F20" i="6" s="1"/>
  <c r="CF29" i="2"/>
  <c r="I21" i="5"/>
  <c r="F18" i="6" s="1"/>
  <c r="CF26" i="2"/>
  <c r="D20" i="5"/>
  <c r="C17" i="6" s="1"/>
  <c r="CJ10" i="2"/>
  <c r="CL22" i="2"/>
  <c r="DC22" i="2" s="1"/>
  <c r="CF21" i="2"/>
  <c r="I16" i="5"/>
  <c r="F13" i="6" s="1"/>
  <c r="D15" i="5"/>
  <c r="C12" i="6" s="1"/>
  <c r="CF18" i="2"/>
  <c r="CJ11" i="2"/>
  <c r="I6" i="5"/>
  <c r="F3" i="6" s="1"/>
  <c r="CJ31" i="2"/>
  <c r="CL29" i="2"/>
  <c r="DC29" i="2" s="1"/>
  <c r="CF28" i="2"/>
  <c r="D22" i="5"/>
  <c r="C19" i="6" s="1"/>
  <c r="CL14" i="2"/>
  <c r="DC14" i="2" s="1"/>
  <c r="D5" i="5"/>
  <c r="C2" i="6" s="1"/>
  <c r="CF5" i="2"/>
  <c r="CH65" i="2"/>
  <c r="Z65" i="1"/>
  <c r="O67" i="1"/>
  <c r="AI15" i="4"/>
  <c r="AE15" i="4"/>
  <c r="AA15" i="4"/>
  <c r="W15" i="4"/>
  <c r="S15" i="4"/>
  <c r="O15" i="4"/>
  <c r="K15" i="4"/>
  <c r="G15" i="4"/>
  <c r="C15" i="4"/>
  <c r="AL43" i="4"/>
  <c r="L41" i="3"/>
  <c r="W41" i="3"/>
  <c r="CE41" i="3" s="1"/>
  <c r="AG41" i="3"/>
  <c r="AR41" i="3"/>
  <c r="BC41" i="3"/>
  <c r="H42" i="3"/>
  <c r="S42" i="3"/>
  <c r="AD42" i="3"/>
  <c r="AN42" i="3"/>
  <c r="AY42" i="3"/>
  <c r="G41" i="3"/>
  <c r="Q41" i="3"/>
  <c r="AB41" i="3"/>
  <c r="AM41" i="3"/>
  <c r="AW41" i="3"/>
  <c r="C42" i="3"/>
  <c r="CE42" i="3" s="1"/>
  <c r="N42" i="3"/>
  <c r="X42" i="3"/>
  <c r="AI42" i="3"/>
  <c r="AT42" i="3"/>
  <c r="BD42" i="3"/>
  <c r="AR4" i="3"/>
  <c r="J4" i="3"/>
  <c r="AX3" i="3"/>
  <c r="M3" i="3"/>
  <c r="BE2" i="3"/>
  <c r="Q2" i="3"/>
  <c r="BH1" i="3"/>
  <c r="X1" i="3"/>
  <c r="AC15" i="4"/>
  <c r="U15" i="4"/>
  <c r="M15" i="4"/>
  <c r="E15" i="4"/>
  <c r="BV4" i="3"/>
  <c r="AL4" i="3"/>
  <c r="BZ3" i="3"/>
  <c r="AO3" i="3"/>
  <c r="F3" i="3"/>
  <c r="AS2" i="3"/>
  <c r="H2" i="3"/>
  <c r="AZ1" i="3"/>
  <c r="AG15" i="4"/>
  <c r="Y15" i="4"/>
  <c r="Q15" i="4"/>
  <c r="I15" i="4"/>
  <c r="A15" i="4"/>
  <c r="AH15" i="4"/>
  <c r="Z15" i="4"/>
  <c r="R15" i="4"/>
  <c r="D1" i="3"/>
  <c r="Q1" i="3"/>
  <c r="AL1" i="3"/>
  <c r="BB1" i="3"/>
  <c r="BU1" i="3"/>
  <c r="N2" i="3"/>
  <c r="AD2" i="3"/>
  <c r="AX2" i="3"/>
  <c r="BT2" i="3"/>
  <c r="H3" i="3"/>
  <c r="AB3" i="3"/>
  <c r="AW3" i="3"/>
  <c r="BM3" i="3"/>
  <c r="B4" i="3"/>
  <c r="W4" i="3"/>
  <c r="AM4" i="3"/>
  <c r="BG4" i="3"/>
  <c r="CB4" i="3"/>
  <c r="I1" i="3"/>
  <c r="Y1" i="3"/>
  <c r="AS1" i="3"/>
  <c r="BN1" i="3"/>
  <c r="B2" i="3"/>
  <c r="V2" i="3"/>
  <c r="AR2" i="3"/>
  <c r="BH2" i="3"/>
  <c r="BZ2" i="3"/>
  <c r="T3" i="3"/>
  <c r="AJ3" i="3"/>
  <c r="BD3" i="3"/>
  <c r="BY3" i="3"/>
  <c r="K4" i="3"/>
  <c r="AE4" i="3"/>
  <c r="AZ4" i="3"/>
  <c r="BP4" i="3"/>
  <c r="CO61" i="2"/>
  <c r="J15" i="4"/>
  <c r="B15" i="4"/>
  <c r="CO63" i="2"/>
  <c r="D4" i="2"/>
  <c r="CA2" i="2"/>
  <c r="BO1" i="2"/>
  <c r="BP4" i="2"/>
  <c r="BP70" i="2" s="1"/>
  <c r="BK3" i="2"/>
  <c r="BF2" i="2"/>
  <c r="DD36" i="2"/>
  <c r="DD33" i="2"/>
  <c r="DD52" i="2"/>
  <c r="DD31" i="2"/>
  <c r="DD42" i="2"/>
  <c r="DD30" i="2"/>
  <c r="DD10" i="2"/>
  <c r="DD17" i="2"/>
  <c r="DD23" i="2"/>
  <c r="DD20" i="2"/>
  <c r="DD25" i="2"/>
  <c r="DD19" i="2"/>
  <c r="DD24" i="2"/>
  <c r="DD18" i="2"/>
  <c r="DD21" i="2"/>
  <c r="DD39" i="2"/>
  <c r="DD53" i="2"/>
  <c r="DD47" i="2"/>
  <c r="DD48" i="2"/>
  <c r="DD8" i="2"/>
  <c r="DD13" i="2"/>
  <c r="DD11" i="2"/>
  <c r="DD49" i="2"/>
  <c r="DD27" i="2"/>
  <c r="DD58" i="2"/>
  <c r="DD50" i="2"/>
  <c r="F13" i="5"/>
  <c r="D10" i="6" s="1"/>
  <c r="O9" i="5"/>
  <c r="F15" i="5"/>
  <c r="F16" i="5"/>
  <c r="F41" i="5"/>
  <c r="F43" i="5"/>
  <c r="D66" i="2"/>
  <c r="G66" i="2"/>
  <c r="G67" i="2" s="1"/>
  <c r="K66" i="2"/>
  <c r="K67" i="2" s="1"/>
  <c r="O66" i="2"/>
  <c r="O67" i="2" s="1"/>
  <c r="S66" i="2"/>
  <c r="S67" i="2" s="1"/>
  <c r="W66" i="2"/>
  <c r="W67" i="2" s="1"/>
  <c r="AA66" i="2"/>
  <c r="AA67" i="2" s="1"/>
  <c r="AE66" i="2"/>
  <c r="AE67" i="2" s="1"/>
  <c r="AI66" i="2"/>
  <c r="AI67" i="2" s="1"/>
  <c r="AM66" i="2"/>
  <c r="AM67" i="2" s="1"/>
  <c r="AQ66" i="2"/>
  <c r="AQ67" i="2" s="1"/>
  <c r="AU66" i="2"/>
  <c r="AU67" i="2" s="1"/>
  <c r="AY66" i="2"/>
  <c r="AY67" i="2" s="1"/>
  <c r="BC66" i="2"/>
  <c r="BC67" i="2" s="1"/>
  <c r="BG66" i="2"/>
  <c r="BG67" i="2" s="1"/>
  <c r="H66" i="2"/>
  <c r="H67" i="2" s="1"/>
  <c r="M66" i="2"/>
  <c r="M67" i="2" s="1"/>
  <c r="R66" i="2"/>
  <c r="R67" i="2" s="1"/>
  <c r="X66" i="2"/>
  <c r="X67" i="2" s="1"/>
  <c r="AC66" i="2"/>
  <c r="AC67" i="2" s="1"/>
  <c r="AH66" i="2"/>
  <c r="AH67" i="2" s="1"/>
  <c r="AN66" i="2"/>
  <c r="AN67" i="2" s="1"/>
  <c r="AS66" i="2"/>
  <c r="AS67" i="2" s="1"/>
  <c r="AX66" i="2"/>
  <c r="AX67" i="2" s="1"/>
  <c r="BD66" i="2"/>
  <c r="BD67" i="2" s="1"/>
  <c r="I66" i="2"/>
  <c r="I67" i="2" s="1"/>
  <c r="P66" i="2"/>
  <c r="P67" i="2" s="1"/>
  <c r="V66" i="2"/>
  <c r="V67" i="2" s="1"/>
  <c r="AD66" i="2"/>
  <c r="AD67" i="2" s="1"/>
  <c r="AK66" i="2"/>
  <c r="AK67" i="2" s="1"/>
  <c r="AR66" i="2"/>
  <c r="AR67" i="2" s="1"/>
  <c r="AZ66" i="2"/>
  <c r="AZ67" i="2" s="1"/>
  <c r="BF66" i="2"/>
  <c r="BF67" i="2" s="1"/>
  <c r="J66" i="2"/>
  <c r="J67" i="2" s="1"/>
  <c r="T66" i="2"/>
  <c r="T67" i="2" s="1"/>
  <c r="AB66" i="2"/>
  <c r="AB67" i="2" s="1"/>
  <c r="AL66" i="2"/>
  <c r="AL67" i="2" s="1"/>
  <c r="AV66" i="2"/>
  <c r="AV67" i="2" s="1"/>
  <c r="BE66" i="2"/>
  <c r="BE67" i="2" s="1"/>
  <c r="L66" i="2"/>
  <c r="L67" i="2" s="1"/>
  <c r="U66" i="2"/>
  <c r="U67" i="2" s="1"/>
  <c r="AF66" i="2"/>
  <c r="AF67" i="2" s="1"/>
  <c r="AO66" i="2"/>
  <c r="AO67" i="2" s="1"/>
  <c r="AW66" i="2"/>
  <c r="AW67" i="2" s="1"/>
  <c r="E66" i="2"/>
  <c r="E67" i="2" s="1"/>
  <c r="Y66" i="2"/>
  <c r="Y67" i="2" s="1"/>
  <c r="AP66" i="2"/>
  <c r="AP67" i="2" s="1"/>
  <c r="F66" i="2"/>
  <c r="F67" i="2" s="1"/>
  <c r="Z66" i="2"/>
  <c r="Z67" i="2" s="1"/>
  <c r="AT66" i="2"/>
  <c r="AT67" i="2" s="1"/>
  <c r="AG66" i="2"/>
  <c r="AG67" i="2" s="1"/>
  <c r="AJ66" i="2"/>
  <c r="AJ67" i="2" s="1"/>
  <c r="N66" i="2"/>
  <c r="N67" i="2" s="1"/>
  <c r="BA66" i="2"/>
  <c r="BA67" i="2" s="1"/>
  <c r="Q66" i="2"/>
  <c r="Q67" i="2" s="1"/>
  <c r="BB66" i="2"/>
  <c r="BB67" i="2" s="1"/>
  <c r="L48" i="4"/>
  <c r="A6" i="7"/>
  <c r="F9" i="5"/>
  <c r="F22" i="5"/>
  <c r="F29" i="5"/>
  <c r="F28" i="5"/>
  <c r="CF45" i="3"/>
  <c r="CG45" i="3" s="1"/>
  <c r="F40" i="5" l="1"/>
  <c r="F36" i="5"/>
  <c r="C36" i="5" s="1"/>
  <c r="F32" i="5"/>
  <c r="F24" i="5"/>
  <c r="F8" i="5"/>
  <c r="D5" i="6" s="1"/>
  <c r="F10" i="5"/>
  <c r="F11" i="5"/>
  <c r="C11" i="5" s="1"/>
  <c r="F21" i="5"/>
  <c r="C21" i="5" s="1"/>
  <c r="F33" i="5"/>
  <c r="C33" i="5" s="1"/>
  <c r="F7" i="5"/>
  <c r="C7" i="5" s="1"/>
  <c r="F31" i="5"/>
  <c r="D28" i="6" s="1"/>
  <c r="F20" i="5"/>
  <c r="D17" i="6" s="1"/>
  <c r="F42" i="5"/>
  <c r="C42" i="5" s="1"/>
  <c r="F5" i="5"/>
  <c r="CS38" i="3"/>
  <c r="CS16" i="3"/>
  <c r="CS30" i="3"/>
  <c r="CS29" i="3"/>
  <c r="CS37" i="3"/>
  <c r="CS28" i="3"/>
  <c r="CS27" i="3"/>
  <c r="CS18" i="3"/>
  <c r="CS35" i="3"/>
  <c r="CS23" i="3"/>
  <c r="CS13" i="3"/>
  <c r="CS20" i="3"/>
  <c r="CS8" i="3"/>
  <c r="CS15" i="3"/>
  <c r="CS34" i="3"/>
  <c r="CS22" i="3"/>
  <c r="CS11" i="3"/>
  <c r="CS17" i="3"/>
  <c r="CS36" i="3"/>
  <c r="CS9" i="3"/>
  <c r="CS5" i="3"/>
  <c r="B22" i="10" s="1"/>
  <c r="CS14" i="3"/>
  <c r="CS33" i="3"/>
  <c r="CS21" i="3"/>
  <c r="CS10" i="3"/>
  <c r="CS19" i="3"/>
  <c r="CS7" i="3"/>
  <c r="CS24" i="3"/>
  <c r="DD41" i="2"/>
  <c r="DD26" i="2"/>
  <c r="DD16" i="2"/>
  <c r="DD56" i="2"/>
  <c r="DD46" i="2"/>
  <c r="DD59" i="2"/>
  <c r="DD5" i="2"/>
  <c r="DD6" i="2"/>
  <c r="DD35" i="2"/>
  <c r="DD38" i="2"/>
  <c r="F38" i="5"/>
  <c r="C38" i="5" s="1"/>
  <c r="B35" i="6" s="1"/>
  <c r="CS31" i="3"/>
  <c r="DD9" i="2"/>
  <c r="DD55" i="2"/>
  <c r="DD37" i="2"/>
  <c r="DD57" i="2"/>
  <c r="CS12" i="3"/>
  <c r="DD40" i="2"/>
  <c r="DD28" i="2"/>
  <c r="DD43" i="2"/>
  <c r="DD45" i="2"/>
  <c r="DD29" i="2"/>
  <c r="DD22" i="2"/>
  <c r="DD44" i="2"/>
  <c r="DD34" i="2"/>
  <c r="CS26" i="3"/>
  <c r="CS32" i="3"/>
  <c r="DD12" i="2"/>
  <c r="CS6" i="3"/>
  <c r="B25" i="10" s="1"/>
  <c r="CE43" i="3"/>
  <c r="DD51" i="2"/>
  <c r="DD54" i="2"/>
  <c r="DD32" i="2"/>
  <c r="B10" i="9" s="1"/>
  <c r="DD14" i="2"/>
  <c r="DD7" i="2"/>
  <c r="CS25" i="3"/>
  <c r="F26" i="5"/>
  <c r="C26" i="5" s="1"/>
  <c r="K26" i="5" s="1"/>
  <c r="F44" i="5"/>
  <c r="C44" i="5" s="1"/>
  <c r="F39" i="5"/>
  <c r="D36" i="6" s="1"/>
  <c r="F27" i="5"/>
  <c r="C27" i="5" s="1"/>
  <c r="C8" i="5"/>
  <c r="K8" i="5" s="1"/>
  <c r="F12" i="5"/>
  <c r="D9" i="6" s="1"/>
  <c r="F30" i="5"/>
  <c r="C30" i="5" s="1"/>
  <c r="B27" i="6" s="1"/>
  <c r="F35" i="5"/>
  <c r="C35" i="5" s="1"/>
  <c r="F6" i="5"/>
  <c r="C6" i="5" s="1"/>
  <c r="F45" i="5"/>
  <c r="C45" i="5" s="1"/>
  <c r="F25" i="5"/>
  <c r="C25" i="5" s="1"/>
  <c r="F18" i="5"/>
  <c r="D15" i="6" s="1"/>
  <c r="F14" i="5"/>
  <c r="C14" i="5" s="1"/>
  <c r="F54" i="4" s="1"/>
  <c r="F46" i="5"/>
  <c r="D43" i="6" s="1"/>
  <c r="B18" i="10"/>
  <c r="D18" i="10" s="1" a="1"/>
  <c r="B12" i="10"/>
  <c r="C12" i="10" s="1"/>
  <c r="F23" i="5"/>
  <c r="D20" i="6" s="1"/>
  <c r="F34" i="5"/>
  <c r="B29" i="10"/>
  <c r="C29" i="10" s="1"/>
  <c r="B3" i="10"/>
  <c r="C3" i="10" s="1"/>
  <c r="F37" i="5"/>
  <c r="C37" i="5" s="1"/>
  <c r="DD61" i="2"/>
  <c r="F17" i="5"/>
  <c r="C17" i="5" s="1"/>
  <c r="F57" i="4" s="1"/>
  <c r="B17" i="10"/>
  <c r="C17" i="10" s="1"/>
  <c r="B4" i="10"/>
  <c r="C4" i="10" s="1"/>
  <c r="F19" i="5"/>
  <c r="C19" i="5" s="1"/>
  <c r="C5" i="5"/>
  <c r="F45" i="4" s="1"/>
  <c r="D2" i="6"/>
  <c r="C13" i="5"/>
  <c r="F53" i="4" s="1"/>
  <c r="CH45" i="3"/>
  <c r="C22" i="5"/>
  <c r="D19" i="6"/>
  <c r="D4" i="6"/>
  <c r="L49" i="4"/>
  <c r="A7" i="7"/>
  <c r="C24" i="5"/>
  <c r="D21" i="6"/>
  <c r="F78" i="4"/>
  <c r="K38" i="5"/>
  <c r="C20" i="5"/>
  <c r="B3" i="9"/>
  <c r="B5" i="9"/>
  <c r="B6" i="9"/>
  <c r="B7" i="9"/>
  <c r="B9" i="9"/>
  <c r="B11" i="9"/>
  <c r="B13" i="9"/>
  <c r="B14" i="9"/>
  <c r="B15" i="9"/>
  <c r="B17" i="9"/>
  <c r="B19" i="9"/>
  <c r="B21" i="9"/>
  <c r="B22" i="9"/>
  <c r="B23" i="9"/>
  <c r="B24" i="9"/>
  <c r="B25" i="9"/>
  <c r="B26" i="9"/>
  <c r="B27" i="9"/>
  <c r="B28" i="9"/>
  <c r="B30" i="9"/>
  <c r="B32" i="9"/>
  <c r="B34" i="9"/>
  <c r="B36" i="9"/>
  <c r="B38" i="9"/>
  <c r="B40" i="9"/>
  <c r="B42" i="9"/>
  <c r="B44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33" i="9"/>
  <c r="B41" i="9"/>
  <c r="B35" i="9"/>
  <c r="B43" i="9"/>
  <c r="B29" i="9"/>
  <c r="B37" i="9"/>
  <c r="B45" i="9"/>
  <c r="B31" i="9"/>
  <c r="B39" i="9"/>
  <c r="D30" i="6"/>
  <c r="D18" i="6"/>
  <c r="D6" i="6"/>
  <c r="C9" i="5"/>
  <c r="D33" i="6"/>
  <c r="C43" i="5"/>
  <c r="D40" i="6"/>
  <c r="C18" i="5"/>
  <c r="D29" i="6"/>
  <c r="C32" i="5"/>
  <c r="B5" i="6"/>
  <c r="D25" i="6"/>
  <c r="C28" i="5"/>
  <c r="C29" i="5"/>
  <c r="D26" i="6"/>
  <c r="K5" i="5"/>
  <c r="D67" i="2"/>
  <c r="CO67" i="2" s="1"/>
  <c r="CO70" i="2" s="1"/>
  <c r="CO66" i="2"/>
  <c r="C41" i="5"/>
  <c r="D38" i="6"/>
  <c r="C16" i="5"/>
  <c r="D13" i="6"/>
  <c r="C15" i="5"/>
  <c r="D12" i="6"/>
  <c r="C10" i="5"/>
  <c r="D7" i="6"/>
  <c r="C39" i="5"/>
  <c r="D37" i="6"/>
  <c r="C40" i="5"/>
  <c r="D39" i="6"/>
  <c r="O10" i="5"/>
  <c r="C22" i="10" l="1"/>
  <c r="D22" i="10" a="1"/>
  <c r="D4" i="10" a="1"/>
  <c r="F4" i="10" s="1"/>
  <c r="B26" i="10"/>
  <c r="C26" i="10" s="1"/>
  <c r="B31" i="10"/>
  <c r="D8" i="6"/>
  <c r="F48" i="4"/>
  <c r="B24" i="10"/>
  <c r="B11" i="10"/>
  <c r="B23" i="10"/>
  <c r="B13" i="10"/>
  <c r="B14" i="10"/>
  <c r="D32" i="6"/>
  <c r="B33" i="10"/>
  <c r="C31" i="5"/>
  <c r="B23" i="6"/>
  <c r="F66" i="4"/>
  <c r="D11" i="6"/>
  <c r="K17" i="5"/>
  <c r="D42" i="6"/>
  <c r="B11" i="6"/>
  <c r="D3" i="6"/>
  <c r="C23" i="5"/>
  <c r="D23" i="6"/>
  <c r="K14" i="5"/>
  <c r="D41" i="6"/>
  <c r="C46" i="5"/>
  <c r="B43" i="6" s="1"/>
  <c r="D35" i="6"/>
  <c r="C25" i="10"/>
  <c r="D25" i="10" a="1"/>
  <c r="F25" i="10" s="1"/>
  <c r="C11" i="10"/>
  <c r="D11" i="10" a="1"/>
  <c r="B20" i="9"/>
  <c r="B16" i="9"/>
  <c r="B12" i="9"/>
  <c r="F12" i="9" s="1"/>
  <c r="B8" i="9"/>
  <c r="B4" i="9"/>
  <c r="B15" i="10"/>
  <c r="D15" i="10" s="1" a="1"/>
  <c r="I15" i="10" s="1"/>
  <c r="B27" i="10"/>
  <c r="B6" i="10"/>
  <c r="C6" i="10" s="1"/>
  <c r="B5" i="10"/>
  <c r="B7" i="10"/>
  <c r="C7" i="10" s="1"/>
  <c r="B30" i="10"/>
  <c r="B9" i="10"/>
  <c r="B32" i="10"/>
  <c r="C32" i="10" s="1"/>
  <c r="B16" i="10"/>
  <c r="B8" i="10"/>
  <c r="D8" i="10" s="1" a="1"/>
  <c r="F8" i="10" s="1"/>
  <c r="B18" i="9"/>
  <c r="B20" i="10"/>
  <c r="B21" i="10"/>
  <c r="B10" i="10"/>
  <c r="B19" i="10"/>
  <c r="B28" i="10"/>
  <c r="B2" i="10"/>
  <c r="D7" i="10" a="1"/>
  <c r="D24" i="6"/>
  <c r="D26" i="10" a="1"/>
  <c r="D26" i="10" s="1"/>
  <c r="F70" i="4"/>
  <c r="B2" i="6"/>
  <c r="D22" i="6"/>
  <c r="D6" i="10" a="1"/>
  <c r="G6" i="10" s="1"/>
  <c r="C12" i="5"/>
  <c r="D34" i="6"/>
  <c r="K30" i="5"/>
  <c r="L30" i="5" s="1"/>
  <c r="D27" i="6"/>
  <c r="D12" i="10" a="1"/>
  <c r="E12" i="10" s="1"/>
  <c r="D17" i="10" a="1"/>
  <c r="E17" i="10" s="1"/>
  <c r="C34" i="5"/>
  <c r="D31" i="6"/>
  <c r="C18" i="10"/>
  <c r="B14" i="6"/>
  <c r="D16" i="6"/>
  <c r="D3" i="10" a="1"/>
  <c r="I3" i="10" s="1"/>
  <c r="D29" i="10" a="1"/>
  <c r="F29" i="10" s="1"/>
  <c r="D14" i="6"/>
  <c r="K13" i="5"/>
  <c r="L13" i="5" s="1"/>
  <c r="B10" i="6"/>
  <c r="F79" i="4"/>
  <c r="K39" i="5"/>
  <c r="B36" i="6"/>
  <c r="K11" i="5"/>
  <c r="F51" i="4"/>
  <c r="B8" i="6"/>
  <c r="F69" i="4"/>
  <c r="B26" i="6"/>
  <c r="K29" i="5"/>
  <c r="L8" i="5"/>
  <c r="H5" i="6"/>
  <c r="F76" i="4"/>
  <c r="K36" i="5"/>
  <c r="B33" i="6"/>
  <c r="J4" i="10"/>
  <c r="D4" i="10"/>
  <c r="E4" i="10"/>
  <c r="G4" i="10"/>
  <c r="F49" i="4"/>
  <c r="N34" i="4" s="1"/>
  <c r="B6" i="6"/>
  <c r="K9" i="5"/>
  <c r="H32" i="4"/>
  <c r="C30" i="4"/>
  <c r="O38" i="4"/>
  <c r="AG29" i="4"/>
  <c r="Q38" i="4"/>
  <c r="AB30" i="4"/>
  <c r="C31" i="9"/>
  <c r="G31" i="9"/>
  <c r="D31" i="9"/>
  <c r="H31" i="9"/>
  <c r="E31" i="9"/>
  <c r="F31" i="9"/>
  <c r="I31" i="9"/>
  <c r="C43" i="9"/>
  <c r="G43" i="9"/>
  <c r="D43" i="9"/>
  <c r="H43" i="9"/>
  <c r="E43" i="9"/>
  <c r="F43" i="9"/>
  <c r="I43" i="9"/>
  <c r="D61" i="9"/>
  <c r="H61" i="9"/>
  <c r="E61" i="9"/>
  <c r="I61" i="9"/>
  <c r="F61" i="9"/>
  <c r="G61" i="9"/>
  <c r="C61" i="9"/>
  <c r="D57" i="9"/>
  <c r="H57" i="9"/>
  <c r="E57" i="9"/>
  <c r="I57" i="9"/>
  <c r="F57" i="9"/>
  <c r="G57" i="9"/>
  <c r="C57" i="9"/>
  <c r="D53" i="9"/>
  <c r="H53" i="9"/>
  <c r="E53" i="9"/>
  <c r="I53" i="9"/>
  <c r="F53" i="9"/>
  <c r="G53" i="9"/>
  <c r="C53" i="9"/>
  <c r="D49" i="9"/>
  <c r="H49" i="9"/>
  <c r="E49" i="9"/>
  <c r="I49" i="9"/>
  <c r="F49" i="9"/>
  <c r="G49" i="9"/>
  <c r="C49" i="9"/>
  <c r="C44" i="9"/>
  <c r="G44" i="9"/>
  <c r="D44" i="9"/>
  <c r="H44" i="9"/>
  <c r="E44" i="9"/>
  <c r="F44" i="9"/>
  <c r="I44" i="9"/>
  <c r="C36" i="9"/>
  <c r="G36" i="9"/>
  <c r="D36" i="9"/>
  <c r="H36" i="9"/>
  <c r="E36" i="9"/>
  <c r="F36" i="9"/>
  <c r="I36" i="9"/>
  <c r="C28" i="9"/>
  <c r="G28" i="9"/>
  <c r="D28" i="9"/>
  <c r="H28" i="9"/>
  <c r="E28" i="9"/>
  <c r="F28" i="9"/>
  <c r="I28" i="9"/>
  <c r="F24" i="9"/>
  <c r="C24" i="9"/>
  <c r="G24" i="9"/>
  <c r="D24" i="9"/>
  <c r="H24" i="9"/>
  <c r="E24" i="9"/>
  <c r="I24" i="9"/>
  <c r="F20" i="9"/>
  <c r="C20" i="9"/>
  <c r="G20" i="9"/>
  <c r="D20" i="9"/>
  <c r="H20" i="9"/>
  <c r="E20" i="9"/>
  <c r="I20" i="9"/>
  <c r="F16" i="9"/>
  <c r="C16" i="9"/>
  <c r="G16" i="9"/>
  <c r="D16" i="9"/>
  <c r="H16" i="9"/>
  <c r="E16" i="9"/>
  <c r="I16" i="9"/>
  <c r="C12" i="9"/>
  <c r="G12" i="9"/>
  <c r="D12" i="9"/>
  <c r="E12" i="9"/>
  <c r="I12" i="9"/>
  <c r="F8" i="9"/>
  <c r="C8" i="9"/>
  <c r="G8" i="9"/>
  <c r="D8" i="9"/>
  <c r="H8" i="9"/>
  <c r="E8" i="9"/>
  <c r="I8" i="9"/>
  <c r="F4" i="9"/>
  <c r="C4" i="9"/>
  <c r="G4" i="9"/>
  <c r="D4" i="9"/>
  <c r="H4" i="9"/>
  <c r="E4" i="9"/>
  <c r="I4" i="9"/>
  <c r="F64" i="4"/>
  <c r="K24" i="5"/>
  <c r="B21" i="6"/>
  <c r="K23" i="5"/>
  <c r="F63" i="4"/>
  <c r="B20" i="6"/>
  <c r="D22" i="10"/>
  <c r="G22" i="10"/>
  <c r="K22" i="10"/>
  <c r="I22" i="10"/>
  <c r="J22" i="10"/>
  <c r="E22" i="10"/>
  <c r="F22" i="10"/>
  <c r="H22" i="10"/>
  <c r="K15" i="5"/>
  <c r="F55" i="4"/>
  <c r="B12" i="6"/>
  <c r="F81" i="4"/>
  <c r="B38" i="6"/>
  <c r="K41" i="5"/>
  <c r="V34" i="4"/>
  <c r="D36" i="4"/>
  <c r="H36" i="4"/>
  <c r="L36" i="4"/>
  <c r="X36" i="4"/>
  <c r="S34" i="4"/>
  <c r="AC36" i="4"/>
  <c r="P35" i="4"/>
  <c r="AG38" i="4"/>
  <c r="C35" i="4"/>
  <c r="K36" i="4"/>
  <c r="W35" i="4"/>
  <c r="Y33" i="4"/>
  <c r="O35" i="4"/>
  <c r="AA31" i="4"/>
  <c r="H11" i="10"/>
  <c r="G11" i="10"/>
  <c r="D11" i="10"/>
  <c r="J11" i="10"/>
  <c r="E11" i="10"/>
  <c r="K11" i="10"/>
  <c r="I11" i="10"/>
  <c r="F11" i="10"/>
  <c r="H10" i="6"/>
  <c r="L26" i="5"/>
  <c r="H23" i="6"/>
  <c r="K18" i="5"/>
  <c r="B15" i="6"/>
  <c r="F58" i="4"/>
  <c r="F84" i="4"/>
  <c r="K44" i="5"/>
  <c r="B41" i="6"/>
  <c r="C45" i="9"/>
  <c r="D45" i="9"/>
  <c r="H45" i="9"/>
  <c r="E45" i="9"/>
  <c r="I45" i="9"/>
  <c r="F45" i="9"/>
  <c r="G45" i="9"/>
  <c r="C35" i="9"/>
  <c r="G35" i="9"/>
  <c r="D35" i="9"/>
  <c r="H35" i="9"/>
  <c r="E35" i="9"/>
  <c r="F35" i="9"/>
  <c r="I35" i="9"/>
  <c r="D60" i="9"/>
  <c r="H60" i="9"/>
  <c r="E60" i="9"/>
  <c r="I60" i="9"/>
  <c r="F60" i="9"/>
  <c r="G60" i="9"/>
  <c r="C60" i="9"/>
  <c r="D56" i="9"/>
  <c r="H56" i="9"/>
  <c r="E56" i="9"/>
  <c r="I56" i="9"/>
  <c r="F56" i="9"/>
  <c r="G56" i="9"/>
  <c r="C56" i="9"/>
  <c r="D52" i="9"/>
  <c r="H52" i="9"/>
  <c r="E52" i="9"/>
  <c r="I52" i="9"/>
  <c r="F52" i="9"/>
  <c r="G52" i="9"/>
  <c r="C52" i="9"/>
  <c r="D48" i="9"/>
  <c r="H48" i="9"/>
  <c r="E48" i="9"/>
  <c r="I48" i="9"/>
  <c r="F48" i="9"/>
  <c r="G48" i="9"/>
  <c r="C48" i="9"/>
  <c r="C42" i="9"/>
  <c r="G42" i="9"/>
  <c r="D42" i="9"/>
  <c r="H42" i="9"/>
  <c r="E42" i="9"/>
  <c r="F42" i="9"/>
  <c r="I42" i="9"/>
  <c r="C34" i="9"/>
  <c r="G34" i="9"/>
  <c r="D34" i="9"/>
  <c r="H34" i="9"/>
  <c r="E34" i="9"/>
  <c r="F34" i="9"/>
  <c r="I34" i="9"/>
  <c r="C27" i="9"/>
  <c r="G27" i="9"/>
  <c r="D27" i="9"/>
  <c r="H27" i="9"/>
  <c r="E27" i="9"/>
  <c r="F27" i="9"/>
  <c r="I27" i="9"/>
  <c r="F23" i="9"/>
  <c r="C23" i="9"/>
  <c r="G23" i="9"/>
  <c r="D23" i="9"/>
  <c r="H23" i="9"/>
  <c r="E23" i="9"/>
  <c r="I23" i="9"/>
  <c r="F19" i="9"/>
  <c r="C19" i="9"/>
  <c r="G19" i="9"/>
  <c r="D19" i="9"/>
  <c r="H19" i="9"/>
  <c r="E19" i="9"/>
  <c r="I19" i="9"/>
  <c r="F15" i="9"/>
  <c r="C15" i="9"/>
  <c r="G15" i="9"/>
  <c r="D15" i="9"/>
  <c r="H15" i="9"/>
  <c r="E15" i="9"/>
  <c r="I15" i="9"/>
  <c r="F11" i="9"/>
  <c r="C11" i="9"/>
  <c r="G11" i="9"/>
  <c r="D11" i="9"/>
  <c r="H11" i="9"/>
  <c r="E11" i="9"/>
  <c r="I11" i="9"/>
  <c r="F7" i="9"/>
  <c r="C7" i="9"/>
  <c r="G7" i="9"/>
  <c r="D7" i="9"/>
  <c r="H7" i="9"/>
  <c r="E7" i="9"/>
  <c r="I7" i="9"/>
  <c r="F3" i="9"/>
  <c r="C3" i="9"/>
  <c r="G3" i="9"/>
  <c r="D3" i="9"/>
  <c r="H3" i="9"/>
  <c r="E3" i="9"/>
  <c r="I3" i="9"/>
  <c r="F65" i="4"/>
  <c r="B22" i="6"/>
  <c r="K25" i="5"/>
  <c r="E3" i="10"/>
  <c r="G29" i="10"/>
  <c r="I29" i="10"/>
  <c r="B3" i="6"/>
  <c r="K6" i="5"/>
  <c r="F46" i="4"/>
  <c r="K22" i="5"/>
  <c r="B19" i="6"/>
  <c r="F62" i="4"/>
  <c r="B39" i="6"/>
  <c r="F82" i="4"/>
  <c r="K42" i="5"/>
  <c r="E7" i="10"/>
  <c r="I7" i="10"/>
  <c r="G7" i="10"/>
  <c r="K7" i="10"/>
  <c r="J7" i="10"/>
  <c r="D7" i="10"/>
  <c r="F7" i="10"/>
  <c r="H7" i="10"/>
  <c r="H25" i="10"/>
  <c r="K25" i="10"/>
  <c r="F67" i="4"/>
  <c r="K27" i="5"/>
  <c r="B24" i="6"/>
  <c r="A31" i="4"/>
  <c r="W37" i="4"/>
  <c r="R38" i="4"/>
  <c r="AE34" i="4"/>
  <c r="G32" i="4"/>
  <c r="AA36" i="4"/>
  <c r="P38" i="4"/>
  <c r="AB35" i="4"/>
  <c r="U38" i="4"/>
  <c r="Y34" i="4"/>
  <c r="X38" i="4"/>
  <c r="E37" i="4"/>
  <c r="M38" i="4"/>
  <c r="L17" i="5"/>
  <c r="H14" i="6"/>
  <c r="L5" i="5"/>
  <c r="H2" i="6"/>
  <c r="F71" i="4"/>
  <c r="K31" i="5"/>
  <c r="B28" i="6"/>
  <c r="B30" i="4"/>
  <c r="AG39" i="4"/>
  <c r="AF37" i="4"/>
  <c r="D38" i="4"/>
  <c r="T38" i="4"/>
  <c r="K39" i="4"/>
  <c r="C31" i="4"/>
  <c r="AH39" i="4"/>
  <c r="B34" i="4"/>
  <c r="AH34" i="4"/>
  <c r="A32" i="4"/>
  <c r="AA34" i="4"/>
  <c r="AI34" i="4"/>
  <c r="U36" i="4"/>
  <c r="H37" i="4"/>
  <c r="AC33" i="4"/>
  <c r="W32" i="4"/>
  <c r="C32" i="4"/>
  <c r="Z32" i="4"/>
  <c r="F72" i="4"/>
  <c r="K32" i="5"/>
  <c r="B29" i="6"/>
  <c r="F73" i="4"/>
  <c r="B30" i="6"/>
  <c r="K33" i="5"/>
  <c r="C37" i="9"/>
  <c r="G37" i="9"/>
  <c r="D37" i="9"/>
  <c r="H37" i="9"/>
  <c r="E37" i="9"/>
  <c r="F37" i="9"/>
  <c r="I37" i="9"/>
  <c r="C41" i="9"/>
  <c r="G41" i="9"/>
  <c r="D41" i="9"/>
  <c r="H41" i="9"/>
  <c r="E41" i="9"/>
  <c r="F41" i="9"/>
  <c r="I41" i="9"/>
  <c r="D59" i="9"/>
  <c r="H59" i="9"/>
  <c r="E59" i="9"/>
  <c r="I59" i="9"/>
  <c r="F59" i="9"/>
  <c r="G59" i="9"/>
  <c r="C59" i="9"/>
  <c r="D55" i="9"/>
  <c r="H55" i="9"/>
  <c r="E55" i="9"/>
  <c r="I55" i="9"/>
  <c r="F55" i="9"/>
  <c r="G55" i="9"/>
  <c r="C55" i="9"/>
  <c r="D51" i="9"/>
  <c r="H51" i="9"/>
  <c r="E51" i="9"/>
  <c r="I51" i="9"/>
  <c r="F51" i="9"/>
  <c r="G51" i="9"/>
  <c r="C51" i="9"/>
  <c r="D47" i="9"/>
  <c r="H47" i="9"/>
  <c r="E47" i="9"/>
  <c r="I47" i="9"/>
  <c r="F47" i="9"/>
  <c r="G47" i="9"/>
  <c r="C47" i="9"/>
  <c r="C40" i="9"/>
  <c r="G40" i="9"/>
  <c r="D40" i="9"/>
  <c r="H40" i="9"/>
  <c r="E40" i="9"/>
  <c r="F40" i="9"/>
  <c r="I40" i="9"/>
  <c r="C32" i="9"/>
  <c r="G32" i="9"/>
  <c r="D32" i="9"/>
  <c r="H32" i="9"/>
  <c r="E32" i="9"/>
  <c r="F32" i="9"/>
  <c r="I32" i="9"/>
  <c r="F26" i="9"/>
  <c r="C26" i="9"/>
  <c r="G26" i="9"/>
  <c r="D26" i="9"/>
  <c r="H26" i="9"/>
  <c r="E26" i="9"/>
  <c r="I26" i="9"/>
  <c r="F22" i="9"/>
  <c r="C22" i="9"/>
  <c r="G22" i="9"/>
  <c r="D22" i="9"/>
  <c r="H22" i="9"/>
  <c r="E22" i="9"/>
  <c r="I22" i="9"/>
  <c r="F18" i="9"/>
  <c r="C18" i="9"/>
  <c r="G18" i="9"/>
  <c r="D18" i="9"/>
  <c r="H18" i="9"/>
  <c r="E18" i="9"/>
  <c r="I18" i="9"/>
  <c r="F14" i="9"/>
  <c r="C14" i="9"/>
  <c r="G14" i="9"/>
  <c r="D14" i="9"/>
  <c r="H14" i="9"/>
  <c r="E14" i="9"/>
  <c r="I14" i="9"/>
  <c r="F10" i="9"/>
  <c r="C10" i="9"/>
  <c r="G10" i="9"/>
  <c r="D10" i="9"/>
  <c r="H10" i="9"/>
  <c r="E10" i="9"/>
  <c r="I10" i="9"/>
  <c r="F6" i="9"/>
  <c r="C6" i="9"/>
  <c r="G6" i="9"/>
  <c r="D6" i="9"/>
  <c r="H6" i="9"/>
  <c r="E6" i="9"/>
  <c r="I6" i="9"/>
  <c r="L38" i="5"/>
  <c r="H35" i="6"/>
  <c r="L50" i="4"/>
  <c r="A8" i="7"/>
  <c r="O11" i="5"/>
  <c r="F77" i="4"/>
  <c r="I36" i="4" s="1"/>
  <c r="B34" i="6"/>
  <c r="K37" i="5"/>
  <c r="F80" i="4"/>
  <c r="K40" i="5"/>
  <c r="B37" i="6"/>
  <c r="B7" i="6"/>
  <c r="F50" i="4"/>
  <c r="K10" i="5"/>
  <c r="K16" i="5"/>
  <c r="F56" i="4"/>
  <c r="B13" i="6"/>
  <c r="F85" i="4"/>
  <c r="B42" i="6"/>
  <c r="K45" i="5"/>
  <c r="D18" i="10"/>
  <c r="G18" i="10"/>
  <c r="K18" i="10"/>
  <c r="E18" i="10"/>
  <c r="J18" i="10"/>
  <c r="F18" i="10"/>
  <c r="H18" i="10"/>
  <c r="I18" i="10"/>
  <c r="S29" i="4"/>
  <c r="I31" i="4"/>
  <c r="L32" i="4"/>
  <c r="G33" i="4"/>
  <c r="AA37" i="4"/>
  <c r="A39" i="4"/>
  <c r="D29" i="4"/>
  <c r="J31" i="4"/>
  <c r="R31" i="4"/>
  <c r="Z39" i="4"/>
  <c r="H34" i="4"/>
  <c r="V39" i="4"/>
  <c r="W39" i="4"/>
  <c r="K31" i="4"/>
  <c r="F68" i="4"/>
  <c r="K28" i="5"/>
  <c r="B25" i="6"/>
  <c r="F83" i="4"/>
  <c r="K43" i="5"/>
  <c r="B40" i="6"/>
  <c r="K19" i="5"/>
  <c r="F59" i="4"/>
  <c r="B16" i="6"/>
  <c r="K15" i="10"/>
  <c r="E15" i="10"/>
  <c r="K21" i="5"/>
  <c r="F61" i="4"/>
  <c r="B18" i="6"/>
  <c r="L14" i="5"/>
  <c r="H11" i="6"/>
  <c r="C39" i="9"/>
  <c r="G39" i="9"/>
  <c r="D39" i="9"/>
  <c r="H39" i="9"/>
  <c r="E39" i="9"/>
  <c r="F39" i="9"/>
  <c r="I39" i="9"/>
  <c r="C29" i="9"/>
  <c r="G29" i="9"/>
  <c r="D29" i="9"/>
  <c r="H29" i="9"/>
  <c r="E29" i="9"/>
  <c r="F29" i="9"/>
  <c r="I29" i="9"/>
  <c r="C33" i="9"/>
  <c r="G33" i="9"/>
  <c r="D33" i="9"/>
  <c r="H33" i="9"/>
  <c r="E33" i="9"/>
  <c r="F33" i="9"/>
  <c r="I33" i="9"/>
  <c r="D58" i="9"/>
  <c r="H58" i="9"/>
  <c r="E58" i="9"/>
  <c r="I58" i="9"/>
  <c r="F58" i="9"/>
  <c r="G58" i="9"/>
  <c r="C58" i="9"/>
  <c r="D54" i="9"/>
  <c r="H54" i="9"/>
  <c r="E54" i="9"/>
  <c r="I54" i="9"/>
  <c r="F54" i="9"/>
  <c r="G54" i="9"/>
  <c r="C54" i="9"/>
  <c r="D50" i="9"/>
  <c r="H50" i="9"/>
  <c r="E50" i="9"/>
  <c r="I50" i="9"/>
  <c r="F50" i="9"/>
  <c r="G50" i="9"/>
  <c r="C50" i="9"/>
  <c r="D46" i="9"/>
  <c r="H46" i="9"/>
  <c r="E46" i="9"/>
  <c r="I46" i="9"/>
  <c r="F46" i="9"/>
  <c r="G46" i="9"/>
  <c r="C46" i="9"/>
  <c r="C38" i="9"/>
  <c r="G38" i="9"/>
  <c r="D38" i="9"/>
  <c r="H38" i="9"/>
  <c r="E38" i="9"/>
  <c r="F38" i="9"/>
  <c r="I38" i="9"/>
  <c r="C30" i="9"/>
  <c r="G30" i="9"/>
  <c r="D30" i="9"/>
  <c r="H30" i="9"/>
  <c r="E30" i="9"/>
  <c r="F30" i="9"/>
  <c r="I30" i="9"/>
  <c r="F25" i="9"/>
  <c r="C25" i="9"/>
  <c r="G25" i="9"/>
  <c r="D25" i="9"/>
  <c r="H25" i="9"/>
  <c r="E25" i="9"/>
  <c r="I25" i="9"/>
  <c r="F21" i="9"/>
  <c r="C21" i="9"/>
  <c r="G21" i="9"/>
  <c r="D21" i="9"/>
  <c r="H21" i="9"/>
  <c r="E21" i="9"/>
  <c r="I21" i="9"/>
  <c r="F17" i="9"/>
  <c r="C17" i="9"/>
  <c r="G17" i="9"/>
  <c r="D17" i="9"/>
  <c r="H17" i="9"/>
  <c r="E17" i="9"/>
  <c r="I17" i="9"/>
  <c r="F13" i="9"/>
  <c r="C13" i="9"/>
  <c r="G13" i="9"/>
  <c r="D13" i="9"/>
  <c r="H13" i="9"/>
  <c r="E13" i="9"/>
  <c r="I13" i="9"/>
  <c r="F9" i="9"/>
  <c r="C9" i="9"/>
  <c r="G9" i="9"/>
  <c r="D9" i="9"/>
  <c r="H9" i="9"/>
  <c r="E9" i="9"/>
  <c r="I9" i="9"/>
  <c r="F5" i="9"/>
  <c r="C5" i="9"/>
  <c r="G5" i="9"/>
  <c r="D5" i="9"/>
  <c r="H5" i="9"/>
  <c r="E5" i="9"/>
  <c r="I5" i="9"/>
  <c r="K20" i="5"/>
  <c r="F60" i="4"/>
  <c r="B17" i="6"/>
  <c r="AD30" i="4"/>
  <c r="AA33" i="4"/>
  <c r="AB29" i="4"/>
  <c r="H33" i="4"/>
  <c r="V35" i="4"/>
  <c r="C38" i="4"/>
  <c r="T31" i="4"/>
  <c r="F32" i="4"/>
  <c r="N32" i="4"/>
  <c r="Z36" i="4"/>
  <c r="AC30" i="4"/>
  <c r="K7" i="5"/>
  <c r="F47" i="4"/>
  <c r="B4" i="6"/>
  <c r="F75" i="4"/>
  <c r="K35" i="5"/>
  <c r="B32" i="6"/>
  <c r="K4" i="10" l="1"/>
  <c r="H4" i="10"/>
  <c r="C14" i="10"/>
  <c r="D14" i="10" a="1"/>
  <c r="C24" i="10"/>
  <c r="D24" i="10" a="1"/>
  <c r="C13" i="10"/>
  <c r="D13" i="10" a="1"/>
  <c r="C33" i="10"/>
  <c r="D33" i="10" a="1"/>
  <c r="C23" i="10"/>
  <c r="D23" i="10" a="1"/>
  <c r="I4" i="10"/>
  <c r="C15" i="10"/>
  <c r="D31" i="10" a="1"/>
  <c r="C31" i="10"/>
  <c r="J17" i="10"/>
  <c r="F86" i="4"/>
  <c r="U37" i="4" s="1"/>
  <c r="R36" i="4"/>
  <c r="J15" i="10"/>
  <c r="F15" i="10"/>
  <c r="I25" i="10"/>
  <c r="D25" i="10"/>
  <c r="D15" i="10"/>
  <c r="H15" i="10"/>
  <c r="G25" i="10"/>
  <c r="J25" i="10"/>
  <c r="G15" i="10"/>
  <c r="E25" i="10"/>
  <c r="J6" i="10"/>
  <c r="D17" i="10"/>
  <c r="K8" i="10"/>
  <c r="D12" i="10"/>
  <c r="F26" i="10"/>
  <c r="D6" i="10"/>
  <c r="J12" i="10"/>
  <c r="F12" i="10"/>
  <c r="G8" i="10"/>
  <c r="H26" i="10"/>
  <c r="I12" i="10"/>
  <c r="K46" i="5"/>
  <c r="H29" i="10"/>
  <c r="K29" i="10"/>
  <c r="K12" i="10"/>
  <c r="G12" i="10"/>
  <c r="D29" i="10"/>
  <c r="J29" i="10"/>
  <c r="E29" i="10"/>
  <c r="H27" i="6"/>
  <c r="K6" i="10"/>
  <c r="H6" i="10"/>
  <c r="H12" i="9"/>
  <c r="E8" i="10"/>
  <c r="H8" i="10"/>
  <c r="D32" i="10" a="1"/>
  <c r="C19" i="10"/>
  <c r="D19" i="10" a="1"/>
  <c r="C9" i="10"/>
  <c r="D9" i="10" a="1"/>
  <c r="D10" i="10" a="1"/>
  <c r="C10" i="10"/>
  <c r="C30" i="10"/>
  <c r="D30" i="10" a="1"/>
  <c r="D27" i="10" a="1"/>
  <c r="C27" i="10"/>
  <c r="F6" i="10"/>
  <c r="I6" i="10"/>
  <c r="D8" i="10"/>
  <c r="J8" i="10"/>
  <c r="D2" i="10" a="1"/>
  <c r="C2" i="10"/>
  <c r="D21" i="10" a="1"/>
  <c r="C21" i="10"/>
  <c r="D16" i="10" a="1"/>
  <c r="C16" i="10"/>
  <c r="E6" i="10"/>
  <c r="I8" i="10"/>
  <c r="C8" i="10"/>
  <c r="C28" i="10"/>
  <c r="D28" i="10" a="1"/>
  <c r="D20" i="10" a="1"/>
  <c r="C20" i="10"/>
  <c r="D5" i="10" a="1"/>
  <c r="C5" i="10"/>
  <c r="H17" i="10"/>
  <c r="F17" i="10"/>
  <c r="E26" i="10"/>
  <c r="K26" i="10"/>
  <c r="O36" i="4"/>
  <c r="G17" i="10"/>
  <c r="K17" i="10"/>
  <c r="J26" i="10"/>
  <c r="G26" i="10"/>
  <c r="F52" i="4"/>
  <c r="D37" i="4" s="1"/>
  <c r="B9" i="6"/>
  <c r="K12" i="5"/>
  <c r="F3" i="10"/>
  <c r="I17" i="10"/>
  <c r="I26" i="10"/>
  <c r="H12" i="10"/>
  <c r="K3" i="10"/>
  <c r="H3" i="10"/>
  <c r="J3" i="10"/>
  <c r="D3" i="10"/>
  <c r="F74" i="4"/>
  <c r="K34" i="5"/>
  <c r="B31" i="6"/>
  <c r="G3" i="10"/>
  <c r="L43" i="5"/>
  <c r="H40" i="6"/>
  <c r="L51" i="4"/>
  <c r="A9" i="7"/>
  <c r="AI29" i="4"/>
  <c r="Y35" i="4"/>
  <c r="O30" i="4"/>
  <c r="M32" i="4"/>
  <c r="AA38" i="4"/>
  <c r="I30" i="4"/>
  <c r="L31" i="4"/>
  <c r="AH29" i="4"/>
  <c r="AE32" i="4"/>
  <c r="Z37" i="4"/>
  <c r="AF31" i="4"/>
  <c r="L21" i="5"/>
  <c r="H18" i="6"/>
  <c r="L28" i="5"/>
  <c r="H25" i="6"/>
  <c r="V30" i="4"/>
  <c r="A35" i="4"/>
  <c r="U35" i="4"/>
  <c r="N38" i="4"/>
  <c r="P34" i="4"/>
  <c r="AF34" i="4"/>
  <c r="L10" i="5"/>
  <c r="H7" i="6"/>
  <c r="L40" i="5"/>
  <c r="H37" i="6"/>
  <c r="U31" i="4"/>
  <c r="N31" i="4"/>
  <c r="AD32" i="4"/>
  <c r="A38" i="4"/>
  <c r="AE31" i="4"/>
  <c r="AG34" i="4"/>
  <c r="L31" i="5"/>
  <c r="H28" i="6"/>
  <c r="L42" i="5"/>
  <c r="H39" i="6"/>
  <c r="E39" i="4"/>
  <c r="AB33" i="4"/>
  <c r="I38" i="4"/>
  <c r="AE35" i="4"/>
  <c r="L44" i="5"/>
  <c r="H41" i="6"/>
  <c r="H15" i="6"/>
  <c r="L18" i="5"/>
  <c r="L41" i="5"/>
  <c r="H38" i="6"/>
  <c r="H20" i="6"/>
  <c r="L23" i="5"/>
  <c r="J34" i="4"/>
  <c r="AB36" i="4"/>
  <c r="Z31" i="4"/>
  <c r="V32" i="4"/>
  <c r="AE39" i="4"/>
  <c r="AA35" i="4"/>
  <c r="AD39" i="4"/>
  <c r="I33" i="4"/>
  <c r="H8" i="6"/>
  <c r="L11" i="5"/>
  <c r="Y31" i="4"/>
  <c r="P36" i="4"/>
  <c r="B31" i="4"/>
  <c r="D33" i="4"/>
  <c r="C34" i="4"/>
  <c r="J35" i="4"/>
  <c r="E36" i="4"/>
  <c r="X37" i="4"/>
  <c r="U34" i="4"/>
  <c r="H35" i="4"/>
  <c r="AF35" i="4"/>
  <c r="Q34" i="4"/>
  <c r="G35" i="4"/>
  <c r="L39" i="4"/>
  <c r="T35" i="4"/>
  <c r="W33" i="4"/>
  <c r="AD31" i="4"/>
  <c r="H30" i="4"/>
  <c r="E29" i="4"/>
  <c r="X31" i="4"/>
  <c r="J30" i="4"/>
  <c r="E31" i="4"/>
  <c r="AA39" i="4"/>
  <c r="F29" i="4"/>
  <c r="L6" i="5"/>
  <c r="H3" i="6"/>
  <c r="H12" i="6"/>
  <c r="L15" i="5"/>
  <c r="AE29" i="4"/>
  <c r="AH30" i="4"/>
  <c r="P32" i="4"/>
  <c r="AI30" i="4"/>
  <c r="F31" i="4"/>
  <c r="Q32" i="4"/>
  <c r="U32" i="4"/>
  <c r="G34" i="4"/>
  <c r="A36" i="4"/>
  <c r="Y36" i="4"/>
  <c r="J36" i="4"/>
  <c r="B37" i="4"/>
  <c r="R32" i="4"/>
  <c r="S32" i="4"/>
  <c r="M37" i="4"/>
  <c r="G30" i="4"/>
  <c r="D31" i="4"/>
  <c r="AB31" i="4"/>
  <c r="K32" i="4"/>
  <c r="J33" i="4"/>
  <c r="W29" i="4"/>
  <c r="K33" i="4"/>
  <c r="S33" i="4"/>
  <c r="E35" i="4"/>
  <c r="AG35" i="4"/>
  <c r="AA30" i="4"/>
  <c r="F35" i="4"/>
  <c r="M34" i="4"/>
  <c r="Q33" i="4"/>
  <c r="A34" i="4"/>
  <c r="G39" i="4"/>
  <c r="D34" i="4"/>
  <c r="T34" i="4"/>
  <c r="H39" i="4"/>
  <c r="AD37" i="4"/>
  <c r="Z33" i="4"/>
  <c r="K29" i="4"/>
  <c r="AA29" i="4"/>
  <c r="AG31" i="4"/>
  <c r="AF32" i="4"/>
  <c r="C37" i="4"/>
  <c r="B39" i="4"/>
  <c r="Q30" i="4"/>
  <c r="V33" i="4"/>
  <c r="P31" i="4"/>
  <c r="M30" i="4"/>
  <c r="AC29" i="4"/>
  <c r="S36" i="4"/>
  <c r="AE36" i="4"/>
  <c r="R33" i="4"/>
  <c r="I34" i="4"/>
  <c r="G37" i="4"/>
  <c r="P33" i="4"/>
  <c r="T33" i="4"/>
  <c r="K34" i="4"/>
  <c r="AB37" i="4"/>
  <c r="AC34" i="4"/>
  <c r="AH36" i="4"/>
  <c r="AI36" i="4"/>
  <c r="F36" i="4"/>
  <c r="D35" i="4"/>
  <c r="AD36" i="4"/>
  <c r="N39" i="4"/>
  <c r="R34" i="4"/>
  <c r="I35" i="4"/>
  <c r="E34" i="4"/>
  <c r="AG37" i="4"/>
  <c r="J37" i="4"/>
  <c r="B33" i="4"/>
  <c r="G36" i="4"/>
  <c r="N36" i="4"/>
  <c r="L35" i="5"/>
  <c r="H32" i="6"/>
  <c r="H4" i="6"/>
  <c r="L7" i="5"/>
  <c r="L20" i="5"/>
  <c r="H17" i="6"/>
  <c r="F30" i="4"/>
  <c r="Q31" i="4"/>
  <c r="AC31" i="4"/>
  <c r="H29" i="4"/>
  <c r="L29" i="4"/>
  <c r="K30" i="4"/>
  <c r="AG32" i="4"/>
  <c r="W34" i="4"/>
  <c r="Z35" i="4"/>
  <c r="A37" i="4"/>
  <c r="Y38" i="4"/>
  <c r="O32" i="4"/>
  <c r="C36" i="4"/>
  <c r="X30" i="4"/>
  <c r="S31" i="4"/>
  <c r="AF30" i="4"/>
  <c r="M31" i="4"/>
  <c r="AD34" i="4"/>
  <c r="AC39" i="4"/>
  <c r="T39" i="4"/>
  <c r="P39" i="4"/>
  <c r="X39" i="4"/>
  <c r="L45" i="5"/>
  <c r="H42" i="6"/>
  <c r="F38" i="4"/>
  <c r="J38" i="4"/>
  <c r="Q39" i="4"/>
  <c r="L33" i="4"/>
  <c r="K38" i="4"/>
  <c r="W38" i="4"/>
  <c r="AI38" i="4"/>
  <c r="A30" i="4"/>
  <c r="Y30" i="4"/>
  <c r="M33" i="4"/>
  <c r="I37" i="4"/>
  <c r="G31" i="4"/>
  <c r="AH37" i="4"/>
  <c r="R39" i="4"/>
  <c r="S39" i="4"/>
  <c r="H31" i="4"/>
  <c r="AA32" i="4"/>
  <c r="AB34" i="4"/>
  <c r="L37" i="5"/>
  <c r="H34" i="6"/>
  <c r="L33" i="5"/>
  <c r="H30" i="6"/>
  <c r="L32" i="5"/>
  <c r="H29" i="6"/>
  <c r="L27" i="5"/>
  <c r="H24" i="6"/>
  <c r="C29" i="4"/>
  <c r="O29" i="4"/>
  <c r="K37" i="4"/>
  <c r="AI37" i="4"/>
  <c r="V38" i="4"/>
  <c r="U39" i="4"/>
  <c r="A29" i="4"/>
  <c r="AG30" i="4"/>
  <c r="D39" i="4"/>
  <c r="B29" i="4"/>
  <c r="Z29" i="4"/>
  <c r="N33" i="4"/>
  <c r="F39" i="4"/>
  <c r="AF38" i="4"/>
  <c r="AC37" i="4"/>
  <c r="N30" i="4"/>
  <c r="R30" i="4"/>
  <c r="O33" i="4"/>
  <c r="S30" i="4"/>
  <c r="AF39" i="4"/>
  <c r="J32" i="4"/>
  <c r="L24" i="5"/>
  <c r="H21" i="6"/>
  <c r="L39" i="5"/>
  <c r="H36" i="6"/>
  <c r="O12" i="5"/>
  <c r="Z30" i="4"/>
  <c r="S37" i="4"/>
  <c r="I39" i="4"/>
  <c r="Q37" i="4"/>
  <c r="AD33" i="4"/>
  <c r="F37" i="4"/>
  <c r="V37" i="4"/>
  <c r="E38" i="4"/>
  <c r="L34" i="4"/>
  <c r="AC38" i="4"/>
  <c r="AC35" i="4"/>
  <c r="AE37" i="4"/>
  <c r="AD35" i="4"/>
  <c r="M36" i="4"/>
  <c r="U33" i="4"/>
  <c r="H16" i="6"/>
  <c r="L19" i="5"/>
  <c r="L16" i="5"/>
  <c r="H13" i="6"/>
  <c r="Z38" i="4"/>
  <c r="Y39" i="4"/>
  <c r="AH31" i="4"/>
  <c r="I32" i="4"/>
  <c r="AC32" i="4"/>
  <c r="X33" i="4"/>
  <c r="Q29" i="4"/>
  <c r="T30" i="4"/>
  <c r="U29" i="4"/>
  <c r="AI31" i="4"/>
  <c r="P30" i="4"/>
  <c r="C33" i="4"/>
  <c r="F34" i="4"/>
  <c r="T36" i="4"/>
  <c r="AF36" i="4"/>
  <c r="O37" i="4"/>
  <c r="V31" i="4"/>
  <c r="AH35" i="4"/>
  <c r="Q36" i="4"/>
  <c r="L37" i="4"/>
  <c r="P37" i="4"/>
  <c r="AE38" i="4"/>
  <c r="X35" i="4"/>
  <c r="Y37" i="4"/>
  <c r="K35" i="4"/>
  <c r="AI35" i="4"/>
  <c r="B32" i="4"/>
  <c r="A33" i="4"/>
  <c r="AB39" i="4"/>
  <c r="N37" i="4"/>
  <c r="H38" i="4"/>
  <c r="H19" i="6"/>
  <c r="L22" i="5"/>
  <c r="L25" i="5"/>
  <c r="H22" i="6"/>
  <c r="G29" i="4"/>
  <c r="D32" i="4"/>
  <c r="P29" i="4"/>
  <c r="T29" i="4"/>
  <c r="X29" i="4"/>
  <c r="AF29" i="4"/>
  <c r="AE30" i="4"/>
  <c r="E32" i="4"/>
  <c r="I29" i="4"/>
  <c r="Y29" i="4"/>
  <c r="B36" i="4"/>
  <c r="J29" i="4"/>
  <c r="R29" i="4"/>
  <c r="O31" i="4"/>
  <c r="N29" i="4"/>
  <c r="U30" i="4"/>
  <c r="AI33" i="4"/>
  <c r="Q35" i="4"/>
  <c r="AD38" i="4"/>
  <c r="AF33" i="4"/>
  <c r="O34" i="4"/>
  <c r="B35" i="4"/>
  <c r="R35" i="4"/>
  <c r="T37" i="4"/>
  <c r="E33" i="4"/>
  <c r="L38" i="4"/>
  <c r="AH33" i="4"/>
  <c r="V29" i="4"/>
  <c r="H6" i="6"/>
  <c r="L9" i="5"/>
  <c r="L36" i="5"/>
  <c r="H33" i="6"/>
  <c r="L29" i="5"/>
  <c r="H26" i="6"/>
  <c r="Z34" i="4"/>
  <c r="M39" i="4"/>
  <c r="W30" i="4"/>
  <c r="Y32" i="4"/>
  <c r="F33" i="4"/>
  <c r="X34" i="4"/>
  <c r="AB38" i="4"/>
  <c r="M35" i="4"/>
  <c r="AH38" i="4"/>
  <c r="N35" i="4"/>
  <c r="S38" i="4"/>
  <c r="J39" i="4"/>
  <c r="R37" i="4"/>
  <c r="L35" i="4"/>
  <c r="AI39" i="4"/>
  <c r="M29" i="4" l="1"/>
  <c r="I23" i="10"/>
  <c r="K23" i="10"/>
  <c r="F23" i="10"/>
  <c r="E23" i="10"/>
  <c r="H23" i="10"/>
  <c r="G23" i="10"/>
  <c r="D23" i="10"/>
  <c r="J23" i="10"/>
  <c r="G13" i="10"/>
  <c r="E13" i="10"/>
  <c r="D13" i="10"/>
  <c r="H13" i="10"/>
  <c r="F13" i="10"/>
  <c r="I13" i="10"/>
  <c r="J13" i="10"/>
  <c r="K13" i="10"/>
  <c r="D14" i="10"/>
  <c r="E14" i="10"/>
  <c r="G14" i="10"/>
  <c r="H14" i="10"/>
  <c r="K14" i="10"/>
  <c r="I14" i="10"/>
  <c r="F14" i="10"/>
  <c r="J14" i="10"/>
  <c r="F31" i="10"/>
  <c r="E31" i="10"/>
  <c r="K31" i="10"/>
  <c r="G31" i="10"/>
  <c r="D31" i="10"/>
  <c r="I31" i="10"/>
  <c r="H31" i="10"/>
  <c r="J31" i="10"/>
  <c r="F33" i="10"/>
  <c r="D33" i="10"/>
  <c r="J33" i="10"/>
  <c r="I33" i="10"/>
  <c r="E33" i="10"/>
  <c r="G33" i="10"/>
  <c r="K33" i="10"/>
  <c r="H33" i="10"/>
  <c r="H24" i="10"/>
  <c r="F24" i="10"/>
  <c r="E24" i="10"/>
  <c r="J24" i="10"/>
  <c r="I24" i="10"/>
  <c r="K24" i="10"/>
  <c r="D24" i="10"/>
  <c r="G24" i="10"/>
  <c r="S35" i="4"/>
  <c r="S41" i="4" s="1"/>
  <c r="S42" i="4" s="1"/>
  <c r="G38" i="4"/>
  <c r="G41" i="4" s="1"/>
  <c r="G42" i="4" s="1"/>
  <c r="AG36" i="4"/>
  <c r="W31" i="4"/>
  <c r="L46" i="5"/>
  <c r="H43" i="6"/>
  <c r="P41" i="4"/>
  <c r="P42" i="4" s="1"/>
  <c r="M41" i="4"/>
  <c r="M42" i="4" s="1"/>
  <c r="J20" i="10"/>
  <c r="G20" i="10"/>
  <c r="E20" i="10"/>
  <c r="D20" i="10"/>
  <c r="H20" i="10"/>
  <c r="I20" i="10"/>
  <c r="F20" i="10"/>
  <c r="K20" i="10"/>
  <c r="E19" i="10"/>
  <c r="K19" i="10"/>
  <c r="J19" i="10"/>
  <c r="F19" i="10"/>
  <c r="G19" i="10"/>
  <c r="D19" i="10"/>
  <c r="H19" i="10"/>
  <c r="I19" i="10"/>
  <c r="I28" i="10"/>
  <c r="J28" i="10"/>
  <c r="G28" i="10"/>
  <c r="K28" i="10"/>
  <c r="H28" i="10"/>
  <c r="F28" i="10"/>
  <c r="E28" i="10"/>
  <c r="D28" i="10"/>
  <c r="F21" i="10"/>
  <c r="H21" i="10"/>
  <c r="J21" i="10"/>
  <c r="D21" i="10"/>
  <c r="I21" i="10"/>
  <c r="E21" i="10"/>
  <c r="G21" i="10"/>
  <c r="K21" i="10"/>
  <c r="E27" i="10"/>
  <c r="J27" i="10"/>
  <c r="H27" i="10"/>
  <c r="K27" i="10"/>
  <c r="D27" i="10"/>
  <c r="F27" i="10"/>
  <c r="G27" i="10"/>
  <c r="I27" i="10"/>
  <c r="F10" i="10"/>
  <c r="I10" i="10"/>
  <c r="K10" i="10"/>
  <c r="J10" i="10"/>
  <c r="G10" i="10"/>
  <c r="D10" i="10"/>
  <c r="H10" i="10"/>
  <c r="E10" i="10"/>
  <c r="K5" i="10"/>
  <c r="I5" i="10"/>
  <c r="H5" i="10"/>
  <c r="J5" i="10"/>
  <c r="D5" i="10"/>
  <c r="E5" i="10"/>
  <c r="G5" i="10"/>
  <c r="F5" i="10"/>
  <c r="G30" i="10"/>
  <c r="I30" i="10"/>
  <c r="K30" i="10"/>
  <c r="E30" i="10"/>
  <c r="F30" i="10"/>
  <c r="J30" i="10"/>
  <c r="D30" i="10"/>
  <c r="H30" i="10"/>
  <c r="K9" i="10"/>
  <c r="I9" i="10"/>
  <c r="F9" i="10"/>
  <c r="E9" i="10"/>
  <c r="D9" i="10"/>
  <c r="J9" i="10"/>
  <c r="G9" i="10"/>
  <c r="H9" i="10"/>
  <c r="E32" i="10"/>
  <c r="G32" i="10"/>
  <c r="I32" i="10"/>
  <c r="H32" i="10"/>
  <c r="F32" i="10"/>
  <c r="J32" i="10"/>
  <c r="K32" i="10"/>
  <c r="D32" i="10"/>
  <c r="I16" i="10"/>
  <c r="D16" i="10"/>
  <c r="F16" i="10"/>
  <c r="J16" i="10"/>
  <c r="E16" i="10"/>
  <c r="G16" i="10"/>
  <c r="K16" i="10"/>
  <c r="H16" i="10"/>
  <c r="D2" i="10"/>
  <c r="K2" i="10"/>
  <c r="I2" i="10"/>
  <c r="E2" i="10"/>
  <c r="F2" i="10"/>
  <c r="H2" i="10"/>
  <c r="G2" i="10"/>
  <c r="J2" i="10"/>
  <c r="H9" i="6"/>
  <c r="L12" i="5"/>
  <c r="H31" i="6"/>
  <c r="L34" i="5"/>
  <c r="T32" i="4"/>
  <c r="T41" i="4" s="1"/>
  <c r="T42" i="4" s="1"/>
  <c r="B38" i="4"/>
  <c r="B41" i="4" s="1"/>
  <c r="B42" i="4" s="1"/>
  <c r="AD29" i="4"/>
  <c r="AD41" i="4" s="1"/>
  <c r="AD42" i="4" s="1"/>
  <c r="V36" i="4"/>
  <c r="AI32" i="4"/>
  <c r="AI41" i="4" s="1"/>
  <c r="AI42" i="4" s="1"/>
  <c r="X32" i="4"/>
  <c r="X41" i="4" s="1"/>
  <c r="X42" i="4" s="1"/>
  <c r="O39" i="4"/>
  <c r="O41" i="4" s="1"/>
  <c r="O42" i="4" s="1"/>
  <c r="AH32" i="4"/>
  <c r="AH41" i="4" s="1"/>
  <c r="AH42" i="4" s="1"/>
  <c r="W36" i="4"/>
  <c r="W41" i="4" s="1"/>
  <c r="W42" i="4" s="1"/>
  <c r="AB32" i="4"/>
  <c r="AB41" i="4" s="1"/>
  <c r="AB42" i="4" s="1"/>
  <c r="D30" i="4"/>
  <c r="D41" i="4" s="1"/>
  <c r="D42" i="4" s="1"/>
  <c r="AG33" i="4"/>
  <c r="AE33" i="4"/>
  <c r="AE41" i="4" s="1"/>
  <c r="AE42" i="4" s="1"/>
  <c r="C39" i="4"/>
  <c r="C41" i="4" s="1"/>
  <c r="C42" i="4" s="1"/>
  <c r="E30" i="4"/>
  <c r="E41" i="4" s="1"/>
  <c r="E42" i="4" s="1"/>
  <c r="L30" i="4"/>
  <c r="L41" i="4" s="1"/>
  <c r="L42" i="4" s="1"/>
  <c r="V41" i="4"/>
  <c r="V42" i="4" s="1"/>
  <c r="Y41" i="4"/>
  <c r="Y42" i="4" s="1"/>
  <c r="AF41" i="4"/>
  <c r="AF42" i="4" s="1"/>
  <c r="H41" i="4"/>
  <c r="H42" i="4" s="1"/>
  <c r="K41" i="4"/>
  <c r="K42" i="4" s="1"/>
  <c r="R41" i="4"/>
  <c r="R42" i="4" s="1"/>
  <c r="I41" i="4"/>
  <c r="I42" i="4" s="1"/>
  <c r="Q41" i="4"/>
  <c r="Q42" i="4" s="1"/>
  <c r="F41" i="4"/>
  <c r="F42" i="4" s="1"/>
  <c r="J41" i="4"/>
  <c r="J42" i="4" s="1"/>
  <c r="AC41" i="4"/>
  <c r="AC42" i="4" s="1"/>
  <c r="N41" i="4"/>
  <c r="N42" i="4" s="1"/>
  <c r="U41" i="4"/>
  <c r="U42" i="4" s="1"/>
  <c r="Z41" i="4"/>
  <c r="Z42" i="4" s="1"/>
  <c r="A41" i="4"/>
  <c r="A42" i="4" s="1"/>
  <c r="AA41" i="4"/>
  <c r="AA42" i="4" s="1"/>
  <c r="O13" i="5"/>
  <c r="L52" i="4"/>
  <c r="A10" i="7"/>
  <c r="AG41" i="4" l="1"/>
  <c r="AG42" i="4" s="1"/>
  <c r="AI43" i="4" s="1"/>
  <c r="M39" i="5"/>
  <c r="M13" i="5"/>
  <c r="M15" i="5"/>
  <c r="M41" i="5"/>
  <c r="M31" i="5"/>
  <c r="M12" i="5"/>
  <c r="M33" i="5"/>
  <c r="M42" i="5"/>
  <c r="M30" i="5"/>
  <c r="M7" i="5"/>
  <c r="M19" i="5"/>
  <c r="M36" i="5"/>
  <c r="M44" i="5"/>
  <c r="M45" i="5"/>
  <c r="M38" i="5"/>
  <c r="M43" i="5"/>
  <c r="M5" i="5"/>
  <c r="M29" i="5"/>
  <c r="M21" i="5"/>
  <c r="M37" i="5"/>
  <c r="M24" i="5"/>
  <c r="M9" i="5"/>
  <c r="M46" i="5"/>
  <c r="M43" i="4"/>
  <c r="M40" i="5"/>
  <c r="M11" i="5"/>
  <c r="M20" i="5"/>
  <c r="M17" i="5"/>
  <c r="M10" i="5"/>
  <c r="M16" i="5"/>
  <c r="M34" i="5"/>
  <c r="M26" i="5"/>
  <c r="M28" i="5"/>
  <c r="M27" i="5"/>
  <c r="M22" i="5"/>
  <c r="M8" i="5"/>
  <c r="M23" i="5"/>
  <c r="M25" i="5"/>
  <c r="M18" i="5"/>
  <c r="M35" i="5"/>
  <c r="M32" i="5"/>
  <c r="M14" i="5"/>
  <c r="M6" i="5"/>
  <c r="L43" i="4"/>
  <c r="Z43" i="4"/>
  <c r="E43" i="4"/>
  <c r="G43" i="4"/>
  <c r="Y43" i="4"/>
  <c r="D43" i="4"/>
  <c r="J43" i="4"/>
  <c r="C43" i="4"/>
  <c r="X43" i="4"/>
  <c r="V43" i="4"/>
  <c r="AB43" i="4"/>
  <c r="I43" i="4"/>
  <c r="O43" i="4"/>
  <c r="AA43" i="4"/>
  <c r="A43" i="4"/>
  <c r="R43" i="4"/>
  <c r="W43" i="4"/>
  <c r="B43" i="4"/>
  <c r="S43" i="4"/>
  <c r="O14" i="5"/>
  <c r="L53" i="4"/>
  <c r="A11" i="7"/>
  <c r="AG43" i="4" l="1"/>
  <c r="P43" i="4"/>
  <c r="AE43" i="4"/>
  <c r="H43" i="4"/>
  <c r="U43" i="4"/>
  <c r="T43" i="4"/>
  <c r="AF43" i="4"/>
  <c r="Q43" i="4"/>
  <c r="AD43" i="4"/>
  <c r="F43" i="4"/>
  <c r="AH43" i="4"/>
  <c r="AC43" i="4"/>
  <c r="K43" i="4"/>
  <c r="N43" i="4"/>
  <c r="N10" i="5"/>
  <c r="P10" i="5" s="1"/>
  <c r="N8" i="5"/>
  <c r="P8" i="5" s="1"/>
  <c r="N12" i="5"/>
  <c r="N6" i="5"/>
  <c r="P6" i="5" s="1"/>
  <c r="N7" i="5"/>
  <c r="Q7" i="5" s="1"/>
  <c r="N5" i="5"/>
  <c r="Q5" i="5" s="1"/>
  <c r="N9" i="5"/>
  <c r="N13" i="5"/>
  <c r="R13" i="5" s="1"/>
  <c r="N11" i="5"/>
  <c r="P11" i="5" s="1"/>
  <c r="H48" i="4"/>
  <c r="N14" i="5"/>
  <c r="O15" i="5"/>
  <c r="L54" i="4"/>
  <c r="A12" i="7"/>
  <c r="H53" i="4"/>
  <c r="P13" i="5"/>
  <c r="R10" i="5" l="1"/>
  <c r="H47" i="4"/>
  <c r="M47" i="4" s="1"/>
  <c r="B6" i="7" s="1"/>
  <c r="H49" i="4"/>
  <c r="K49" i="4" s="1"/>
  <c r="N49" i="4" s="1"/>
  <c r="C8" i="7" s="1"/>
  <c r="H52" i="4"/>
  <c r="K52" i="4" s="1"/>
  <c r="N52" i="4" s="1"/>
  <c r="C11" i="7" s="1"/>
  <c r="H51" i="4"/>
  <c r="K51" i="4" s="1"/>
  <c r="N51" i="4" s="1"/>
  <c r="C10" i="7" s="1"/>
  <c r="H50" i="4"/>
  <c r="K50" i="4" s="1"/>
  <c r="N50" i="4" s="1"/>
  <c r="C9" i="7" s="1"/>
  <c r="H45" i="4"/>
  <c r="K45" i="4" s="1"/>
  <c r="N45" i="4" s="1"/>
  <c r="C4" i="7" s="1"/>
  <c r="H46" i="4"/>
  <c r="K46" i="4" s="1"/>
  <c r="N46" i="4" s="1"/>
  <c r="C5" i="7" s="1"/>
  <c r="Q10" i="5"/>
  <c r="R6" i="5"/>
  <c r="Q13" i="5"/>
  <c r="R5" i="5"/>
  <c r="P5" i="5"/>
  <c r="Q6" i="5"/>
  <c r="P12" i="5"/>
  <c r="Q12" i="5"/>
  <c r="R12" i="5"/>
  <c r="R8" i="5"/>
  <c r="Q8" i="5"/>
  <c r="P7" i="5"/>
  <c r="R7" i="5"/>
  <c r="Q9" i="5"/>
  <c r="R9" i="5"/>
  <c r="P9" i="5"/>
  <c r="R11" i="5"/>
  <c r="Q11" i="5"/>
  <c r="M51" i="4"/>
  <c r="B10" i="7" s="1"/>
  <c r="O51" i="4"/>
  <c r="D10" i="7" s="1"/>
  <c r="O46" i="4"/>
  <c r="D5" i="7" s="1"/>
  <c r="O47" i="4"/>
  <c r="D6" i="7" s="1"/>
  <c r="M50" i="4"/>
  <c r="B9" i="7" s="1"/>
  <c r="O50" i="4"/>
  <c r="D9" i="7" s="1"/>
  <c r="O48" i="4"/>
  <c r="D7" i="7" s="1"/>
  <c r="M48" i="4"/>
  <c r="B7" i="7" s="1"/>
  <c r="K48" i="4"/>
  <c r="N48" i="4" s="1"/>
  <c r="C7" i="7" s="1"/>
  <c r="K53" i="4"/>
  <c r="N53" i="4" s="1"/>
  <c r="C12" i="7" s="1"/>
  <c r="M53" i="4"/>
  <c r="B12" i="7" s="1"/>
  <c r="O53" i="4"/>
  <c r="D12" i="7" s="1"/>
  <c r="R14" i="5"/>
  <c r="Q14" i="5"/>
  <c r="P14" i="5"/>
  <c r="N15" i="5"/>
  <c r="O16" i="5"/>
  <c r="H54" i="4"/>
  <c r="L55" i="4"/>
  <c r="A13" i="7"/>
  <c r="O49" i="4" l="1"/>
  <c r="D8" i="7" s="1"/>
  <c r="M49" i="4"/>
  <c r="B8" i="7" s="1"/>
  <c r="M45" i="4"/>
  <c r="B4" i="7" s="1"/>
  <c r="K47" i="4"/>
  <c r="N47" i="4" s="1"/>
  <c r="C6" i="7" s="1"/>
  <c r="O45" i="4"/>
  <c r="D4" i="7" s="1"/>
  <c r="M46" i="4"/>
  <c r="B5" i="7" s="1"/>
  <c r="M52" i="4"/>
  <c r="B11" i="7" s="1"/>
  <c r="O52" i="4"/>
  <c r="D11" i="7" s="1"/>
  <c r="L56" i="4"/>
  <c r="A14" i="7"/>
  <c r="H55" i="4"/>
  <c r="M54" i="4"/>
  <c r="B13" i="7" s="1"/>
  <c r="O54" i="4"/>
  <c r="D13" i="7" s="1"/>
  <c r="K54" i="4"/>
  <c r="N54" i="4" s="1"/>
  <c r="C13" i="7" s="1"/>
  <c r="O17" i="5"/>
  <c r="N16" i="5"/>
  <c r="R15" i="5"/>
  <c r="S15" i="5" s="1"/>
  <c r="P15" i="5"/>
  <c r="Q15" i="5"/>
  <c r="T15" i="5" l="1" a="1"/>
  <c r="T15" i="5" s="1"/>
  <c r="M55" i="4"/>
  <c r="B14" i="7" s="1"/>
  <c r="O55" i="4"/>
  <c r="D14" i="7" s="1"/>
  <c r="K55" i="4"/>
  <c r="N55" i="4" s="1"/>
  <c r="C14" i="7" s="1"/>
  <c r="Q16" i="5"/>
  <c r="R16" i="5"/>
  <c r="P16" i="5"/>
  <c r="O18" i="5"/>
  <c r="N17" i="5"/>
  <c r="H56" i="4"/>
  <c r="L57" i="4"/>
  <c r="A15" i="7"/>
  <c r="O19" i="5" l="1"/>
  <c r="N18" i="5"/>
  <c r="A16" i="7"/>
  <c r="H57" i="4"/>
  <c r="L58" i="4"/>
  <c r="P17" i="5"/>
  <c r="Q17" i="5"/>
  <c r="R17" i="5"/>
  <c r="M56" i="4"/>
  <c r="B15" i="7" s="1"/>
  <c r="O56" i="4"/>
  <c r="D15" i="7" s="1"/>
  <c r="K56" i="4"/>
  <c r="N56" i="4" s="1"/>
  <c r="C15" i="7" s="1"/>
  <c r="M57" i="4" l="1"/>
  <c r="B16" i="7" s="1"/>
  <c r="K57" i="4"/>
  <c r="N57" i="4" s="1"/>
  <c r="C16" i="7" s="1"/>
  <c r="O57" i="4"/>
  <c r="D16" i="7" s="1"/>
  <c r="P18" i="5"/>
  <c r="R18" i="5"/>
  <c r="Q18" i="5"/>
  <c r="H58" i="4"/>
  <c r="L59" i="4"/>
  <c r="A17" i="7"/>
  <c r="O20" i="5"/>
  <c r="N19" i="5"/>
  <c r="L60" i="4" l="1"/>
  <c r="A18" i="7"/>
  <c r="H59" i="4"/>
  <c r="R19" i="5"/>
  <c r="P19" i="5"/>
  <c r="Q19" i="5"/>
  <c r="M58" i="4"/>
  <c r="B17" i="7" s="1"/>
  <c r="O58" i="4"/>
  <c r="D17" i="7" s="1"/>
  <c r="K58" i="4"/>
  <c r="N58" i="4" s="1"/>
  <c r="C17" i="7" s="1"/>
  <c r="O21" i="5"/>
  <c r="N20" i="5"/>
  <c r="Q20" i="5" l="1"/>
  <c r="R20" i="5"/>
  <c r="P20" i="5"/>
  <c r="M59" i="4"/>
  <c r="B18" i="7" s="1"/>
  <c r="O59" i="4"/>
  <c r="D18" i="7" s="1"/>
  <c r="K59" i="4"/>
  <c r="N59" i="4" s="1"/>
  <c r="C18" i="7" s="1"/>
  <c r="O22" i="5"/>
  <c r="N21" i="5"/>
  <c r="H60" i="4"/>
  <c r="L61" i="4"/>
  <c r="A19" i="7"/>
  <c r="P21" i="5" l="1"/>
  <c r="Q21" i="5"/>
  <c r="R21" i="5"/>
  <c r="O23" i="5"/>
  <c r="N22" i="5"/>
  <c r="A20" i="7"/>
  <c r="H61" i="4"/>
  <c r="L62" i="4"/>
  <c r="M60" i="4"/>
  <c r="B19" i="7" s="1"/>
  <c r="O60" i="4"/>
  <c r="D19" i="7" s="1"/>
  <c r="K60" i="4"/>
  <c r="N60" i="4" s="1"/>
  <c r="C19" i="7" s="1"/>
  <c r="H62" i="4" l="1"/>
  <c r="L63" i="4"/>
  <c r="A21" i="7"/>
  <c r="N23" i="5"/>
  <c r="O24" i="5"/>
  <c r="M61" i="4"/>
  <c r="B20" i="7" s="1"/>
  <c r="K61" i="4"/>
  <c r="N61" i="4" s="1"/>
  <c r="C20" i="7" s="1"/>
  <c r="O61" i="4"/>
  <c r="D20" i="7" s="1"/>
  <c r="P22" i="5"/>
  <c r="Q22" i="5"/>
  <c r="R22" i="5"/>
  <c r="R23" i="5" l="1"/>
  <c r="Q23" i="5"/>
  <c r="P23" i="5"/>
  <c r="L64" i="4"/>
  <c r="A22" i="7"/>
  <c r="H63" i="4"/>
  <c r="N24" i="5"/>
  <c r="O25" i="5"/>
  <c r="M62" i="4"/>
  <c r="B21" i="7" s="1"/>
  <c r="O62" i="4"/>
  <c r="D21" i="7" s="1"/>
  <c r="K62" i="4"/>
  <c r="N62" i="4" s="1"/>
  <c r="C21" i="7" s="1"/>
  <c r="N25" i="5" l="1"/>
  <c r="O26" i="5"/>
  <c r="H64" i="4"/>
  <c r="L65" i="4"/>
  <c r="A23" i="7"/>
  <c r="P24" i="5"/>
  <c r="R24" i="5"/>
  <c r="Q24" i="5"/>
  <c r="M63" i="4"/>
  <c r="B22" i="7" s="1"/>
  <c r="O63" i="4"/>
  <c r="D22" i="7" s="1"/>
  <c r="K63" i="4"/>
  <c r="N63" i="4" s="1"/>
  <c r="C22" i="7" s="1"/>
  <c r="A24" i="7" l="1"/>
  <c r="H65" i="4"/>
  <c r="L66" i="4"/>
  <c r="M64" i="4"/>
  <c r="B23" i="7" s="1"/>
  <c r="O64" i="4"/>
  <c r="D23" i="7" s="1"/>
  <c r="K64" i="4"/>
  <c r="N64" i="4" s="1"/>
  <c r="C23" i="7" s="1"/>
  <c r="N26" i="5"/>
  <c r="O27" i="5"/>
  <c r="P25" i="5"/>
  <c r="R25" i="5"/>
  <c r="Q25" i="5"/>
  <c r="P26" i="5" l="1"/>
  <c r="R26" i="5"/>
  <c r="Q26" i="5"/>
  <c r="H66" i="4"/>
  <c r="L67" i="4"/>
  <c r="A25" i="7"/>
  <c r="M65" i="4"/>
  <c r="B24" i="7" s="1"/>
  <c r="K65" i="4"/>
  <c r="N65" i="4" s="1"/>
  <c r="C24" i="7" s="1"/>
  <c r="O65" i="4"/>
  <c r="D24" i="7" s="1"/>
  <c r="N27" i="5"/>
  <c r="O28" i="5"/>
  <c r="P27" i="5" l="1"/>
  <c r="R27" i="5"/>
  <c r="Q27" i="5"/>
  <c r="M66" i="4"/>
  <c r="B25" i="7" s="1"/>
  <c r="O66" i="4"/>
  <c r="D25" i="7" s="1"/>
  <c r="K66" i="4"/>
  <c r="N66" i="4" s="1"/>
  <c r="C25" i="7" s="1"/>
  <c r="N28" i="5"/>
  <c r="O29" i="5"/>
  <c r="L68" i="4"/>
  <c r="A26" i="7"/>
  <c r="H67" i="4"/>
  <c r="N29" i="5" l="1"/>
  <c r="O30" i="5"/>
  <c r="P28" i="5"/>
  <c r="R28" i="5"/>
  <c r="Q28" i="5"/>
  <c r="M67" i="4"/>
  <c r="B26" i="7" s="1"/>
  <c r="O67" i="4"/>
  <c r="D26" i="7" s="1"/>
  <c r="K67" i="4"/>
  <c r="N67" i="4" s="1"/>
  <c r="C26" i="7" s="1"/>
  <c r="H68" i="4"/>
  <c r="L69" i="4"/>
  <c r="A27" i="7"/>
  <c r="A28" i="7" l="1"/>
  <c r="H69" i="4"/>
  <c r="L70" i="4"/>
  <c r="N30" i="5"/>
  <c r="O31" i="5"/>
  <c r="M68" i="4"/>
  <c r="B27" i="7" s="1"/>
  <c r="O68" i="4"/>
  <c r="D27" i="7" s="1"/>
  <c r="K68" i="4"/>
  <c r="N68" i="4" s="1"/>
  <c r="C27" i="7" s="1"/>
  <c r="P29" i="5"/>
  <c r="R29" i="5"/>
  <c r="Q29" i="5"/>
  <c r="P30" i="5" l="1"/>
  <c r="R30" i="5"/>
  <c r="Q30" i="5"/>
  <c r="H70" i="4"/>
  <c r="L71" i="4"/>
  <c r="A29" i="7"/>
  <c r="M69" i="4"/>
  <c r="B28" i="7" s="1"/>
  <c r="K69" i="4"/>
  <c r="N69" i="4" s="1"/>
  <c r="C28" i="7" s="1"/>
  <c r="O69" i="4"/>
  <c r="D28" i="7" s="1"/>
  <c r="N31" i="5"/>
  <c r="O32" i="5"/>
  <c r="M70" i="4" l="1"/>
  <c r="B29" i="7" s="1"/>
  <c r="O70" i="4"/>
  <c r="D29" i="7" s="1"/>
  <c r="K70" i="4"/>
  <c r="N70" i="4" s="1"/>
  <c r="C29" i="7" s="1"/>
  <c r="N32" i="5"/>
  <c r="O33" i="5"/>
  <c r="P31" i="5"/>
  <c r="R31" i="5"/>
  <c r="Q31" i="5"/>
  <c r="L72" i="4"/>
  <c r="A30" i="7"/>
  <c r="H71" i="4"/>
  <c r="P32" i="5" l="1"/>
  <c r="R32" i="5"/>
  <c r="Q32" i="5"/>
  <c r="M71" i="4"/>
  <c r="B30" i="7" s="1"/>
  <c r="O71" i="4"/>
  <c r="D30" i="7" s="1"/>
  <c r="K71" i="4"/>
  <c r="N71" i="4" s="1"/>
  <c r="C30" i="7" s="1"/>
  <c r="H72" i="4"/>
  <c r="L73" i="4"/>
  <c r="A31" i="7"/>
  <c r="N33" i="5"/>
  <c r="O34" i="5"/>
  <c r="M72" i="4" l="1"/>
  <c r="B31" i="7" s="1"/>
  <c r="O72" i="4"/>
  <c r="D31" i="7" s="1"/>
  <c r="K72" i="4"/>
  <c r="N72" i="4" s="1"/>
  <c r="C31" i="7" s="1"/>
  <c r="A32" i="7"/>
  <c r="H73" i="4"/>
  <c r="L74" i="4"/>
  <c r="P33" i="5"/>
  <c r="R33" i="5"/>
  <c r="Q33" i="5"/>
  <c r="N34" i="5"/>
  <c r="O35" i="5"/>
  <c r="P34" i="5" l="1"/>
  <c r="R34" i="5"/>
  <c r="Q34" i="5"/>
  <c r="H74" i="4"/>
  <c r="L75" i="4"/>
  <c r="A33" i="7"/>
  <c r="N35" i="5"/>
  <c r="O36" i="5"/>
  <c r="M73" i="4"/>
  <c r="B32" i="7" s="1"/>
  <c r="K73" i="4"/>
  <c r="N73" i="4" s="1"/>
  <c r="C32" i="7" s="1"/>
  <c r="O73" i="4"/>
  <c r="D32" i="7" s="1"/>
  <c r="M74" i="4" l="1"/>
  <c r="B33" i="7" s="1"/>
  <c r="O74" i="4"/>
  <c r="D33" i="7" s="1"/>
  <c r="K74" i="4"/>
  <c r="N74" i="4" s="1"/>
  <c r="C33" i="7" s="1"/>
  <c r="P35" i="5"/>
  <c r="R35" i="5"/>
  <c r="Q35" i="5"/>
  <c r="N36" i="5"/>
  <c r="O37" i="5"/>
  <c r="L76" i="4"/>
  <c r="A34" i="7"/>
  <c r="H75" i="4"/>
  <c r="P36" i="5" l="1"/>
  <c r="R36" i="5"/>
  <c r="Q36" i="5"/>
  <c r="M75" i="4"/>
  <c r="B34" i="7" s="1"/>
  <c r="O75" i="4"/>
  <c r="D34" i="7" s="1"/>
  <c r="K75" i="4"/>
  <c r="N75" i="4" s="1"/>
  <c r="C34" i="7" s="1"/>
  <c r="N37" i="5"/>
  <c r="O38" i="5"/>
  <c r="H76" i="4"/>
  <c r="L77" i="4"/>
  <c r="A35" i="7"/>
  <c r="N38" i="5" l="1"/>
  <c r="O39" i="5"/>
  <c r="P37" i="5"/>
  <c r="R37" i="5"/>
  <c r="Q37" i="5"/>
  <c r="A36" i="7"/>
  <c r="H77" i="4"/>
  <c r="L78" i="4"/>
  <c r="M76" i="4"/>
  <c r="B35" i="7" s="1"/>
  <c r="O76" i="4"/>
  <c r="D35" i="7" s="1"/>
  <c r="K76" i="4"/>
  <c r="N76" i="4" s="1"/>
  <c r="C35" i="7" s="1"/>
  <c r="N39" i="5" l="1"/>
  <c r="O40" i="5"/>
  <c r="H78" i="4"/>
  <c r="L79" i="4"/>
  <c r="A37" i="7"/>
  <c r="M77" i="4"/>
  <c r="B36" i="7" s="1"/>
  <c r="K77" i="4"/>
  <c r="N77" i="4" s="1"/>
  <c r="C36" i="7" s="1"/>
  <c r="O77" i="4"/>
  <c r="D36" i="7" s="1"/>
  <c r="P38" i="5"/>
  <c r="R38" i="5"/>
  <c r="Q38" i="5"/>
  <c r="L80" i="4" l="1"/>
  <c r="A38" i="7"/>
  <c r="H79" i="4"/>
  <c r="M78" i="4"/>
  <c r="B37" i="7" s="1"/>
  <c r="O78" i="4"/>
  <c r="D37" i="7" s="1"/>
  <c r="K78" i="4"/>
  <c r="N78" i="4" s="1"/>
  <c r="C37" i="7" s="1"/>
  <c r="N40" i="5"/>
  <c r="O41" i="5"/>
  <c r="P39" i="5"/>
  <c r="R39" i="5"/>
  <c r="Q39" i="5"/>
  <c r="M79" i="4" l="1"/>
  <c r="B38" i="7" s="1"/>
  <c r="O79" i="4"/>
  <c r="D38" i="7" s="1"/>
  <c r="K79" i="4"/>
  <c r="N79" i="4" s="1"/>
  <c r="C38" i="7" s="1"/>
  <c r="N41" i="5"/>
  <c r="O42" i="5"/>
  <c r="P40" i="5"/>
  <c r="R40" i="5"/>
  <c r="Q40" i="5"/>
  <c r="H80" i="4"/>
  <c r="L81" i="4"/>
  <c r="P41" i="5" l="1"/>
  <c r="R41" i="5"/>
  <c r="Q41" i="5"/>
  <c r="H81" i="4"/>
  <c r="L82" i="4"/>
  <c r="M80" i="4"/>
  <c r="O80" i="4"/>
  <c r="K80" i="4"/>
  <c r="N80" i="4" s="1"/>
  <c r="N42" i="5"/>
  <c r="O43" i="5"/>
  <c r="M81" i="4" l="1"/>
  <c r="K81" i="4"/>
  <c r="N81" i="4" s="1"/>
  <c r="O81" i="4"/>
  <c r="N43" i="5"/>
  <c r="O44" i="5"/>
  <c r="P42" i="5"/>
  <c r="R42" i="5"/>
  <c r="Q42" i="5"/>
  <c r="H82" i="4"/>
  <c r="L83" i="4"/>
  <c r="P43" i="5" l="1"/>
  <c r="R43" i="5"/>
  <c r="Q43" i="5"/>
  <c r="L84" i="4"/>
  <c r="H83" i="4"/>
  <c r="M82" i="4"/>
  <c r="O82" i="4"/>
  <c r="K82" i="4"/>
  <c r="N82" i="4" s="1"/>
  <c r="N44" i="5"/>
  <c r="O45" i="5"/>
  <c r="H84" i="4" l="1"/>
  <c r="L85" i="4"/>
  <c r="N45" i="5"/>
  <c r="O46" i="5"/>
  <c r="N46" i="5" s="1"/>
  <c r="P44" i="5"/>
  <c r="R44" i="5"/>
  <c r="Q44" i="5"/>
  <c r="M83" i="4"/>
  <c r="O83" i="4"/>
  <c r="K83" i="4"/>
  <c r="N83" i="4" s="1"/>
  <c r="P46" i="5" l="1"/>
  <c r="R46" i="5"/>
  <c r="Q46" i="5"/>
  <c r="H85" i="4"/>
  <c r="L86" i="4"/>
  <c r="H86" i="4" s="1"/>
  <c r="P45" i="5"/>
  <c r="R45" i="5"/>
  <c r="Q45" i="5"/>
  <c r="M84" i="4"/>
  <c r="O84" i="4"/>
  <c r="K84" i="4"/>
  <c r="N84" i="4" s="1"/>
  <c r="M85" i="4" l="1"/>
  <c r="K85" i="4"/>
  <c r="N85" i="4" s="1"/>
  <c r="O85" i="4"/>
  <c r="M86" i="4"/>
  <c r="O86" i="4"/>
  <c r="K86" i="4"/>
  <c r="N86" i="4" s="1"/>
</calcChain>
</file>

<file path=xl/sharedStrings.xml><?xml version="1.0" encoding="utf-8"?>
<sst xmlns="http://schemas.openxmlformats.org/spreadsheetml/2006/main" count="2044" uniqueCount="1096">
  <si>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</si>
  <si>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</si>
  <si>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</si>
  <si>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</si>
  <si>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</si>
  <si>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</si>
  <si>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</si>
  <si>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</si>
  <si>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</si>
  <si>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</si>
  <si>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</si>
  <si>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</si>
  <si>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</si>
  <si>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</si>
  <si>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</si>
  <si>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</si>
  <si>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</si>
  <si>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</si>
  <si>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</si>
  <si>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</si>
  <si>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</si>
  <si>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</si>
  <si>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</si>
  <si>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</si>
  <si>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</si>
  <si>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Del</t>
  </si>
  <si>
    <t>Glyn</t>
  </si>
  <si>
    <t>John</t>
  </si>
  <si>
    <t>Mike</t>
  </si>
  <si>
    <t>Bowers</t>
  </si>
  <si>
    <t>David</t>
  </si>
  <si>
    <t>Brocks</t>
  </si>
  <si>
    <t>Geoff</t>
  </si>
  <si>
    <t>Brian</t>
  </si>
  <si>
    <t>Ted</t>
  </si>
  <si>
    <t>Dugdale</t>
  </si>
  <si>
    <t>Elliston</t>
  </si>
  <si>
    <t>Craig</t>
  </si>
  <si>
    <t>Tony</t>
  </si>
  <si>
    <t>Adrian</t>
  </si>
  <si>
    <t>Hawksworth</t>
  </si>
  <si>
    <t>Luke</t>
  </si>
  <si>
    <t>Hickey</t>
  </si>
  <si>
    <t>Paul</t>
  </si>
  <si>
    <t>Andy</t>
  </si>
  <si>
    <t>Colin</t>
  </si>
  <si>
    <t>Jeff</t>
  </si>
  <si>
    <t>Middleton</t>
  </si>
  <si>
    <t>Miller</t>
  </si>
  <si>
    <t>Dave</t>
  </si>
  <si>
    <t>Namish</t>
  </si>
  <si>
    <t>Patel</t>
  </si>
  <si>
    <t>Vince</t>
  </si>
  <si>
    <t>Reid</t>
  </si>
  <si>
    <t>Sharpe</t>
  </si>
  <si>
    <t>Shewan</t>
  </si>
  <si>
    <t>Simmons</t>
  </si>
  <si>
    <t>Springer</t>
  </si>
  <si>
    <t>Woodhouse</t>
  </si>
  <si>
    <t>Rick</t>
  </si>
  <si>
    <t>Worthington</t>
  </si>
  <si>
    <t>Jon</t>
  </si>
  <si>
    <t>Rob</t>
  </si>
  <si>
    <t>Bob</t>
  </si>
  <si>
    <t>Young</t>
  </si>
  <si>
    <t>Alex</t>
  </si>
  <si>
    <t>Chris</t>
  </si>
  <si>
    <t>Richard</t>
  </si>
  <si>
    <t>Austen</t>
  </si>
  <si>
    <t>Merritt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</si>
  <si>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</si>
  <si>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</si>
  <si>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</si>
  <si>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</si>
  <si>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</si>
  <si>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</si>
  <si>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</si>
  <si>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</si>
  <si>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</si>
  <si>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</si>
  <si>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</si>
  <si>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</si>
  <si>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</si>
  <si>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LUHI</t>
  </si>
  <si>
    <t>JOLE</t>
  </si>
  <si>
    <t>Leadley J</t>
  </si>
  <si>
    <t>ANMA</t>
  </si>
  <si>
    <t>Mander A</t>
  </si>
  <si>
    <t>COMA</t>
  </si>
  <si>
    <t>Mander C</t>
  </si>
  <si>
    <t>JEMI</t>
  </si>
  <si>
    <t>LEMI</t>
  </si>
  <si>
    <t>DAMO</t>
  </si>
  <si>
    <t>Morris D</t>
  </si>
  <si>
    <t>VIRE</t>
  </si>
  <si>
    <t>DASH</t>
  </si>
  <si>
    <t>DESH</t>
  </si>
  <si>
    <t>MISI</t>
  </si>
  <si>
    <t>DASN</t>
  </si>
  <si>
    <t>TOSP</t>
  </si>
  <si>
    <t>RIWO</t>
  </si>
  <si>
    <t>JOWO</t>
  </si>
  <si>
    <t>Worthy J</t>
  </si>
  <si>
    <t>ROWO</t>
  </si>
  <si>
    <t>Worthy R</t>
  </si>
  <si>
    <t>BOYO</t>
  </si>
  <si>
    <t>MIWO</t>
  </si>
  <si>
    <t>ADHA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</si>
  <si>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</si>
  <si>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</si>
  <si>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</si>
  <si>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</si>
  <si>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</si>
  <si>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</si>
  <si>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</si>
  <si>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Brian Davies</t>
  </si>
  <si>
    <t>Del Shewan</t>
  </si>
  <si>
    <t>Mike Woodhouse</t>
  </si>
  <si>
    <t>Dave Morris</t>
  </si>
  <si>
    <t>Paul Oakes</t>
  </si>
  <si>
    <t>Adrian Hawksworth</t>
  </si>
  <si>
    <t>Bob Young</t>
  </si>
  <si>
    <t>Andy Mander</t>
  </si>
  <si>
    <t>David Sharpe</t>
  </si>
  <si>
    <t>Mike Hosking</t>
  </si>
  <si>
    <t>GLAN</t>
  </si>
  <si>
    <t>BRDA</t>
  </si>
  <si>
    <t>NAPA</t>
  </si>
  <si>
    <t>MIHO</t>
  </si>
  <si>
    <t>GECH</t>
  </si>
  <si>
    <t>PAOA</t>
  </si>
  <si>
    <t>JOBA</t>
  </si>
  <si>
    <t>DATH</t>
  </si>
  <si>
    <t>Cost</t>
  </si>
  <si>
    <t>#times chosen</t>
  </si>
  <si>
    <t>Fpts Loc</t>
  </si>
  <si>
    <t>FantPts</t>
  </si>
  <si>
    <t>No Teams:</t>
  </si>
  <si>
    <t>BatPtsLoc</t>
  </si>
  <si>
    <t>BowlPtsLoc</t>
  </si>
  <si>
    <t>Name</t>
  </si>
  <si>
    <t>Total</t>
  </si>
  <si>
    <t>Appearance Pts</t>
  </si>
  <si>
    <t>BatLoc</t>
  </si>
  <si>
    <t>Batting</t>
  </si>
  <si>
    <t>BowlLoc</t>
  </si>
  <si>
    <t>Bowling</t>
  </si>
  <si>
    <t>Fielding</t>
  </si>
  <si>
    <t>Bangs/ Buck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</si>
  <si>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</si>
  <si>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</si>
  <si>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</si>
  <si>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</si>
  <si>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</si>
  <si>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</si>
  <si>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</si>
  <si>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</si>
  <si>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AUME</t>
  </si>
  <si>
    <t>RIHA</t>
  </si>
  <si>
    <t>CHCL</t>
  </si>
  <si>
    <t>ALHA</t>
  </si>
  <si>
    <t>Alex Hamilton</t>
  </si>
  <si>
    <t>Austen Merritt</t>
  </si>
  <si>
    <t>Chris Clarke</t>
  </si>
  <si>
    <t>Colin Mander</t>
  </si>
  <si>
    <t>David Brocks</t>
  </si>
  <si>
    <t>Dave Thatcher</t>
  </si>
  <si>
    <t>Geoff Chick</t>
  </si>
  <si>
    <t>Glyn Angell</t>
  </si>
  <si>
    <t>Jeff Middleton</t>
  </si>
  <si>
    <t>John Bailey</t>
  </si>
  <si>
    <t>John Elliston</t>
  </si>
  <si>
    <t>Jon Worthy</t>
  </si>
  <si>
    <t>Luke Hickey</t>
  </si>
  <si>
    <t>Mike Simmons</t>
  </si>
  <si>
    <t>Namish Patel</t>
  </si>
  <si>
    <t>Richard Hawksworth</t>
  </si>
  <si>
    <t>Rick Worthington</t>
  </si>
  <si>
    <t>Rob Worthy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</si>
  <si>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</si>
  <si>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</si>
  <si>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</si>
  <si>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</si>
  <si>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</si>
  <si>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</si>
  <si>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</si>
  <si>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</si>
  <si>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</si>
  <si>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</si>
  <si>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</si>
  <si>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</si>
  <si>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</si>
  <si>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Lestrelle</t>
  </si>
  <si>
    <t>Aidan</t>
  </si>
  <si>
    <t>Coloe</t>
  </si>
  <si>
    <t>Mander N</t>
  </si>
  <si>
    <t>Neil</t>
  </si>
  <si>
    <t>Ligory</t>
  </si>
  <si>
    <t>Kris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</si>
  <si>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</si>
  <si>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</si>
  <si>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</si>
  <si>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</si>
  <si>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</si>
  <si>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</si>
  <si>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</si>
  <si>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</si>
  <si>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Dugdale E</t>
  </si>
  <si>
    <t>Hawksworth A</t>
  </si>
  <si>
    <t>Hawksworth R</t>
  </si>
  <si>
    <t>Ct Wkt</t>
  </si>
  <si>
    <t>25+s</t>
  </si>
  <si>
    <t>Day</t>
  </si>
  <si>
    <t>Captain</t>
  </si>
  <si>
    <t>ALCH</t>
  </si>
  <si>
    <t>CRTH</t>
  </si>
  <si>
    <t>AICO</t>
  </si>
  <si>
    <t>PACO</t>
  </si>
  <si>
    <t>NEMA</t>
  </si>
  <si>
    <t>KRLI</t>
  </si>
  <si>
    <t>1998 Season</t>
  </si>
  <si>
    <t>Alex Ching</t>
  </si>
  <si>
    <t>Paul Cobberwaite</t>
  </si>
  <si>
    <t>Aidan Coloe</t>
  </si>
  <si>
    <t>Kris Ligory</t>
  </si>
  <si>
    <t>Neil Mander</t>
  </si>
  <si>
    <t>Craig Thomas</t>
  </si>
  <si>
    <t>Bat</t>
  </si>
  <si>
    <t>Bowl</t>
  </si>
  <si>
    <t>AR</t>
  </si>
  <si>
    <t>Andy's Ardnuts</t>
  </si>
  <si>
    <t>The XI Cricketeers</t>
  </si>
  <si>
    <t>JELE</t>
  </si>
  <si>
    <t>Neil's Noballmen</t>
  </si>
  <si>
    <t>Jeff Lestrelle</t>
  </si>
  <si>
    <t>It's Cricket Isn't It?</t>
  </si>
  <si>
    <t>Are They Still Alive?</t>
  </si>
  <si>
    <t>Blessed Are The Cheesemakers</t>
  </si>
  <si>
    <t>43 Seconds</t>
  </si>
  <si>
    <t>Bellybusters</t>
  </si>
  <si>
    <t>Cambridge Or Bust</t>
  </si>
  <si>
    <t>Sultans Of Swang</t>
  </si>
  <si>
    <t>Angry Beavers</t>
  </si>
  <si>
    <t>Saturday's Kids</t>
  </si>
  <si>
    <t>Marooned!</t>
  </si>
  <si>
    <t>Selsdon</t>
  </si>
  <si>
    <t>A</t>
  </si>
  <si>
    <t>West Wickham</t>
  </si>
  <si>
    <t>H</t>
  </si>
  <si>
    <t>Commonwealth Offices</t>
  </si>
  <si>
    <t>Norwood Exiles</t>
  </si>
  <si>
    <t>Falcon</t>
  </si>
  <si>
    <t>Corner Pin</t>
  </si>
  <si>
    <t>Thurlow Park RAFA</t>
  </si>
  <si>
    <t>Merton Saints</t>
  </si>
  <si>
    <t>Frensham</t>
  </si>
  <si>
    <t>Woodgreen</t>
  </si>
  <si>
    <t>Steeple Langford</t>
  </si>
  <si>
    <t>Cove</t>
  </si>
  <si>
    <t>Deansbank</t>
  </si>
  <si>
    <t>Bromley Common</t>
  </si>
  <si>
    <t>Tabard Pilgrims</t>
  </si>
  <si>
    <t>Mad Hatters</t>
  </si>
  <si>
    <t>Libri</t>
  </si>
  <si>
    <t>4 C's</t>
  </si>
  <si>
    <t>Hamsey Green</t>
  </si>
  <si>
    <t>Carshalton</t>
  </si>
  <si>
    <t>Addington</t>
  </si>
  <si>
    <t>Central YMCA</t>
  </si>
  <si>
    <t>Cobham</t>
  </si>
  <si>
    <t>Sunderland Supporters</t>
  </si>
  <si>
    <t>Murray</t>
  </si>
  <si>
    <t>LESSA Wanderers</t>
  </si>
  <si>
    <t>Flying Wickets</t>
  </si>
  <si>
    <t>Whyteleaf</t>
  </si>
  <si>
    <t>Riverside</t>
  </si>
  <si>
    <t>Hextable</t>
  </si>
  <si>
    <t>Estonia</t>
  </si>
  <si>
    <t>Clapham Old X</t>
  </si>
  <si>
    <t>Beddington</t>
  </si>
  <si>
    <t>East Cheam</t>
  </si>
  <si>
    <t>Wandsworth Gods</t>
  </si>
  <si>
    <t>Strange Daze</t>
  </si>
  <si>
    <t>Four-Star XI</t>
  </si>
  <si>
    <t>Unleaded XI</t>
  </si>
  <si>
    <t>Geoff's 1sts</t>
  </si>
  <si>
    <t>Geoff's 2nds</t>
  </si>
  <si>
    <t>Lesley Leadley</t>
  </si>
  <si>
    <t>Lesley's Lads</t>
  </si>
  <si>
    <t>Lesley's Boys</t>
  </si>
  <si>
    <t>Can He Hit The Ball?</t>
  </si>
  <si>
    <t>No Trophies Up North</t>
  </si>
  <si>
    <t>L</t>
  </si>
  <si>
    <t>TOCC</t>
  </si>
  <si>
    <t>Mander A 5-20, Tasker 53</t>
  </si>
  <si>
    <t>1/12/b/0/2.0</t>
  </si>
  <si>
    <t>2/15/c+/0/0.0</t>
  </si>
  <si>
    <t>3/4/c/0/0</t>
  </si>
  <si>
    <t>4/0/b/0/0</t>
  </si>
  <si>
    <t>5/10/c*/0/1.0</t>
  </si>
  <si>
    <t>6/16/c/0/2.0</t>
  </si>
  <si>
    <t>7/11/c/0/1.0</t>
  </si>
  <si>
    <t>Porter</t>
  </si>
  <si>
    <t>Dan</t>
  </si>
  <si>
    <t>8/21/b/0/4.0</t>
  </si>
  <si>
    <t>9/10/b/1/0.1</t>
  </si>
  <si>
    <t>10/6/no/0/1.0</t>
  </si>
  <si>
    <t>11/0/b/0/0</t>
  </si>
  <si>
    <t>8/1/21/1/1/0</t>
  </si>
  <si>
    <t>5/1/18/0/0/0</t>
  </si>
  <si>
    <t>6/0/23/2/1/0</t>
  </si>
  <si>
    <t>8/1/20/5/1/0</t>
  </si>
  <si>
    <t>6/1/25/1/1/0</t>
  </si>
  <si>
    <t>2/0/14/0/0/0</t>
  </si>
  <si>
    <t>Sue Dugdale</t>
  </si>
  <si>
    <t>Sir Nicholas Boot</t>
  </si>
  <si>
    <t>Snowy's Select XI</t>
  </si>
  <si>
    <t>Lukey's 1st XI</t>
  </si>
  <si>
    <t>Lukey's 2nd XI</t>
  </si>
  <si>
    <t>Fantasy Fulfillers</t>
  </si>
  <si>
    <t>D</t>
  </si>
  <si>
    <t>W</t>
  </si>
  <si>
    <t>Seaford</t>
  </si>
  <si>
    <t>Captain Name</t>
  </si>
  <si>
    <t>Lestrelle 3-7, Elliston 3-22</t>
  </si>
  <si>
    <t>1/14/c+/1/1.0</t>
  </si>
  <si>
    <t>2/3/c/0/0</t>
  </si>
  <si>
    <t>3/16/b*/0/1.0</t>
  </si>
  <si>
    <t>4/5/lb/0/0</t>
  </si>
  <si>
    <t>5/1/c/2/0.0</t>
  </si>
  <si>
    <t>6/5/c/0/0.0</t>
  </si>
  <si>
    <t>7/7/b/0/1.0</t>
  </si>
  <si>
    <t>8/4/c/0/1.0</t>
  </si>
  <si>
    <t>9/7/no/2/1.0</t>
  </si>
  <si>
    <t>10/13/no/0/2.0</t>
  </si>
  <si>
    <t>11/0/dnb/0/0</t>
  </si>
  <si>
    <t>Clark</t>
  </si>
  <si>
    <t>10/1/33/2/5/0</t>
  </si>
  <si>
    <t>11/4/16/0/0/1</t>
  </si>
  <si>
    <t>9/4/21/1/1/0</t>
  </si>
  <si>
    <t>7/3/7/3/0/0</t>
  </si>
  <si>
    <t>7/0/17/0/2/0</t>
  </si>
  <si>
    <t>8/2/22/3/2/0</t>
  </si>
  <si>
    <t>Got Any Cabbage?</t>
  </si>
  <si>
    <t>Shewan 93, Snow 41</t>
  </si>
  <si>
    <t>Leadley 38</t>
  </si>
  <si>
    <t>Cooper 5-38</t>
  </si>
  <si>
    <t>Worthington 25</t>
  </si>
  <si>
    <t>Cooper 3-18</t>
  </si>
  <si>
    <t>1/23/b/0/2.0</t>
  </si>
  <si>
    <t>2/93/c*/1/5.1</t>
  </si>
  <si>
    <t>3/2/b+/0/0</t>
  </si>
  <si>
    <t>4/41/b/0/4.2</t>
  </si>
  <si>
    <t>5/1/b/0/0</t>
  </si>
  <si>
    <t>Nick</t>
  </si>
  <si>
    <t>Catley</t>
  </si>
  <si>
    <t>6/2/b/1/0</t>
  </si>
  <si>
    <t>7/6/no/0/0</t>
  </si>
  <si>
    <t>8/3/no/0/0</t>
  </si>
  <si>
    <t>9/0/dnb/0/0</t>
  </si>
  <si>
    <t>10/0/dnb/0/0</t>
  </si>
  <si>
    <t>2/0/9/0/0/0</t>
  </si>
  <si>
    <t>2/0/9/0/1/0</t>
  </si>
  <si>
    <t>6/0/11/0/1/0</t>
  </si>
  <si>
    <t>5/0/19/1/4/0</t>
  </si>
  <si>
    <t>10/5/28/2/0/0</t>
  </si>
  <si>
    <t>2/0/17/0/3/0</t>
  </si>
  <si>
    <t>3/2/3/0/0/0</t>
  </si>
  <si>
    <t>5/2/7/2/0/0</t>
  </si>
  <si>
    <t>3/0/10/0/4/0</t>
  </si>
  <si>
    <t>9.4/0/38/5/0/0</t>
  </si>
  <si>
    <t>3/0/13/0/0/0</t>
  </si>
  <si>
    <t>11/0/40/1/0/0</t>
  </si>
  <si>
    <t>6/0/18/0/1/0</t>
  </si>
  <si>
    <t>13/3/24/1/1/0</t>
  </si>
  <si>
    <t>7/1/18/3/0/0</t>
  </si>
  <si>
    <t>0.4/0/1/1/0/0</t>
  </si>
  <si>
    <t>6/2/17/2/0/0</t>
  </si>
  <si>
    <t>1/1/0/0/0/0</t>
  </si>
  <si>
    <t>4/1/5/2/2/0</t>
  </si>
  <si>
    <t>9/3/10/1/2/0</t>
  </si>
  <si>
    <t>1/38/b/0/4.0</t>
  </si>
  <si>
    <t>2/17/b/0/0</t>
  </si>
  <si>
    <t>3/5/ro/0/1.0</t>
  </si>
  <si>
    <t>4/1/b/1/0</t>
  </si>
  <si>
    <t>5/0/c+/0/0</t>
  </si>
  <si>
    <t>6/0/b/2/0</t>
  </si>
  <si>
    <t>7/11/c/1/0</t>
  </si>
  <si>
    <t>8/22/b/0/2.0</t>
  </si>
  <si>
    <t>9/22/c/0/3.1</t>
  </si>
  <si>
    <t>10/5/c/0/0</t>
  </si>
  <si>
    <t>11/1/no*/1/0</t>
  </si>
  <si>
    <t>1/0/b/0/0</t>
  </si>
  <si>
    <t>2/2/b*/1/0</t>
  </si>
  <si>
    <t>3/19/ro/0/2.0</t>
  </si>
  <si>
    <t>5/18/c/0/1.0</t>
  </si>
  <si>
    <t>6/14/b/0/1.0</t>
  </si>
  <si>
    <t>7/25/b+/2.1/3.0</t>
  </si>
  <si>
    <t>8/8/c/0/0</t>
  </si>
  <si>
    <t>9/0/b/0/0</t>
  </si>
  <si>
    <t>10/4/no/0/0</t>
  </si>
  <si>
    <t>11/16/no/0/2.0</t>
  </si>
  <si>
    <t>Burgh Heath</t>
  </si>
  <si>
    <t>Worthington 36</t>
  </si>
  <si>
    <t>Morris 3-9, Springer 3-19</t>
  </si>
  <si>
    <t>1/18/b*+/1/2.0</t>
  </si>
  <si>
    <t>2/11/c/0/2.0</t>
  </si>
  <si>
    <t>3/18/b/0/3.0</t>
  </si>
  <si>
    <t>4/8/b/1/2.0</t>
  </si>
  <si>
    <t>5/1/lb/1/0</t>
  </si>
  <si>
    <t>6/36/c+/0/8.0</t>
  </si>
  <si>
    <t>7/27/c/0/3.0</t>
  </si>
  <si>
    <t>8/0/c/0/0</t>
  </si>
  <si>
    <t>9/0/c/1/0</t>
  </si>
  <si>
    <t>10/0/no/0/0</t>
  </si>
  <si>
    <t>11/3/b/0/0</t>
  </si>
  <si>
    <t>8/3/11/0/0/0</t>
  </si>
  <si>
    <t>6/1/13/2/0/0</t>
  </si>
  <si>
    <t>5/1/12/1/1/0</t>
  </si>
  <si>
    <t>3/0/13/0/1/0</t>
  </si>
  <si>
    <t>4/0/9/3</t>
  </si>
  <si>
    <t>4/0/19/3</t>
  </si>
  <si>
    <t>Thomas 6-44</t>
  </si>
  <si>
    <t>Leadley 76, Williams 5-32</t>
  </si>
  <si>
    <t>1/76/c/0/11.0</t>
  </si>
  <si>
    <t>2/7/st/0/0</t>
  </si>
  <si>
    <t>3/0/c+/2.0/0</t>
  </si>
  <si>
    <t>4/19/ro/0/2.0</t>
  </si>
  <si>
    <t>5/11/c/1/1.0</t>
  </si>
  <si>
    <t>6/0/c/0/0</t>
  </si>
  <si>
    <t>7/2/lb/1/0</t>
  </si>
  <si>
    <t>10/8/b/0/1.0</t>
  </si>
  <si>
    <t>11/0/no/0/0</t>
  </si>
  <si>
    <t>8/17/b*/2/4.0</t>
  </si>
  <si>
    <t>15/3/43/1/10/3</t>
  </si>
  <si>
    <t>9.2/2/31/0/0/0</t>
  </si>
  <si>
    <t>9/1/44/6/1/0</t>
  </si>
  <si>
    <t>7/1/20/2/0/0</t>
  </si>
  <si>
    <t>4/1/14/0/3/0</t>
  </si>
  <si>
    <t>Rank</t>
  </si>
  <si>
    <t>Mod Ave</t>
  </si>
  <si>
    <t>Worthy J 3-15</t>
  </si>
  <si>
    <t>Lestrelle 29, Mander N 28*</t>
  </si>
  <si>
    <t>Leadley 88*, Sharpe 35</t>
  </si>
  <si>
    <t>Thomas 3-14</t>
  </si>
  <si>
    <t>Mander N 3-14, Worthy J 3-16</t>
  </si>
  <si>
    <t>Mander A 25, Reid 20</t>
  </si>
  <si>
    <t>Mander N 41*, Brocks 36</t>
  </si>
  <si>
    <t>Nash 32, Worthy J 3-22, Elliston 3-26</t>
  </si>
  <si>
    <t>Reid 62*, Cooper 41, Sharpe 37*</t>
  </si>
  <si>
    <t>Springer 4-6, Brocks 3-22</t>
  </si>
  <si>
    <t>Randall 56</t>
  </si>
  <si>
    <t>Brocks 92</t>
  </si>
  <si>
    <t>1/35/lb+/1/4.1</t>
  </si>
  <si>
    <t>2/1/lb/0/0.0</t>
  </si>
  <si>
    <t>3/88/no/0/13.0</t>
  </si>
  <si>
    <t>4/2/c/1/0.0</t>
  </si>
  <si>
    <t>5/0/b/0/0</t>
  </si>
  <si>
    <t>6/32/no/0/3.1</t>
  </si>
  <si>
    <t>7/0/dnb/0/0</t>
  </si>
  <si>
    <t>8/0/dnb/1/0</t>
  </si>
  <si>
    <t>10/0/dnb*/1/0</t>
  </si>
  <si>
    <t>1.4/0/2/1/0/0</t>
  </si>
  <si>
    <t>1/0/4/0/0/0</t>
  </si>
  <si>
    <t>5/1/21/1/0/0</t>
  </si>
  <si>
    <t>9/7/6/2/0/0</t>
  </si>
  <si>
    <t>5/1/14/3/2/0</t>
  </si>
  <si>
    <t>5/1/31/2/1/0</t>
  </si>
  <si>
    <t>4/1/18/1/1/0</t>
  </si>
  <si>
    <t>1.5/0/6/1/0/0</t>
  </si>
  <si>
    <t>5/1/12/2/7/0</t>
  </si>
  <si>
    <t>9/3/16/3/0/0</t>
  </si>
  <si>
    <t>8/2/12/0/3/0</t>
  </si>
  <si>
    <t>3/1/8/0/0/0</t>
  </si>
  <si>
    <t>5/1/11/1/2/0</t>
  </si>
  <si>
    <t>7/2/14/3/5/0</t>
  </si>
  <si>
    <t>1/1/c/0/0</t>
  </si>
  <si>
    <t>2/20/b/3/3.0</t>
  </si>
  <si>
    <t>4/0/c/0/0</t>
  </si>
  <si>
    <t>5/2/b/0/0</t>
  </si>
  <si>
    <t>6/1/b/0/0</t>
  </si>
  <si>
    <t>7/1/b/0/0</t>
  </si>
  <si>
    <t>8/25/b/0/2.1</t>
  </si>
  <si>
    <t>9/14/no/0/2.0</t>
  </si>
  <si>
    <t>11/1/no/0/0</t>
  </si>
  <si>
    <t>3/11/lb+/0/2.0</t>
  </si>
  <si>
    <t>10/7/b*/0/1.0</t>
  </si>
  <si>
    <t>1/17/b+/1.0/3.0</t>
  </si>
  <si>
    <t>2/26/c*/0/4.0</t>
  </si>
  <si>
    <t>3/20/c/0/3.0</t>
  </si>
  <si>
    <t>4/13/c/0/2.0</t>
  </si>
  <si>
    <t>5/29/c/1/3.0</t>
  </si>
  <si>
    <t>6/28/no/0/4.0</t>
  </si>
  <si>
    <t>7/7/c/0/1.0</t>
  </si>
  <si>
    <t>8/0/no/0/0</t>
  </si>
  <si>
    <t>4/0/24/2/1/0</t>
  </si>
  <si>
    <t>1/0/10/0/0/0</t>
  </si>
  <si>
    <t>4/0/18/1/5/1</t>
  </si>
  <si>
    <t>9/3/15/3/1/0</t>
  </si>
  <si>
    <t>10/4/17/0/5/0</t>
  </si>
  <si>
    <t>6/2/38/0/2/0</t>
  </si>
  <si>
    <t>10/2/39/1/5/0</t>
  </si>
  <si>
    <t>1/16/c/0/1.0</t>
  </si>
  <si>
    <t>2/36/c/1/5.2</t>
  </si>
  <si>
    <t>3/0/b/1/0.0</t>
  </si>
  <si>
    <t>4/4/b/0/1.0</t>
  </si>
  <si>
    <t>5/4/b/0/1.0</t>
  </si>
  <si>
    <t>6/28/c+/1.0/1.0</t>
  </si>
  <si>
    <t>7/3/b/0/0</t>
  </si>
  <si>
    <t>8/41/no/3/4.0</t>
  </si>
  <si>
    <t>8/1/22/3/0/0</t>
  </si>
  <si>
    <t>7/2/12/2/0/0</t>
  </si>
  <si>
    <t>5/0/19/0/0/0</t>
  </si>
  <si>
    <t>6/0/26/3/1/0</t>
  </si>
  <si>
    <t>1.5/0/4/2/0/0</t>
  </si>
  <si>
    <t>1/16/c/0/2.0</t>
  </si>
  <si>
    <t>2/0/c/0/0</t>
  </si>
  <si>
    <t>3/41/c/0/7.0</t>
  </si>
  <si>
    <t>4/18/b/2/1.0</t>
  </si>
  <si>
    <t>5/49/lb*/0/6.2</t>
  </si>
  <si>
    <t>6/62/no/1/7.0</t>
  </si>
  <si>
    <t>7/37/no/0/3.1</t>
  </si>
  <si>
    <t>2/25/c/0/4.0</t>
  </si>
  <si>
    <t>3/92/c/0/9.4</t>
  </si>
  <si>
    <t>4/16/no/0/1.0</t>
  </si>
  <si>
    <t>6/0/dnb+/0/0</t>
  </si>
  <si>
    <t>8/0/dnb/0/0</t>
  </si>
  <si>
    <t>5/4/no*/2/0</t>
  </si>
  <si>
    <t>1/5/ro+/0/1.0</t>
  </si>
  <si>
    <t>8/3/22/3/1/0</t>
  </si>
  <si>
    <t>7/1/34/1/1/1</t>
  </si>
  <si>
    <t>3/1/13/1/0/0</t>
  </si>
  <si>
    <t>2.3/0/6/4/0/0</t>
  </si>
  <si>
    <t>8/1/44/2/2/0</t>
  </si>
  <si>
    <t>5/0/23/0/0/0</t>
  </si>
  <si>
    <t>4/0/22/0/0/0</t>
  </si>
  <si>
    <t>3/0/15/0/0/0</t>
  </si>
  <si>
    <t>3/0/16/1/0/0</t>
  </si>
  <si>
    <t>2/0/27/0/2/0</t>
  </si>
  <si>
    <t>Batting Averages</t>
  </si>
  <si>
    <t>High</t>
  </si>
  <si>
    <t>Bowling Averages</t>
  </si>
  <si>
    <t>ModAve</t>
  </si>
  <si>
    <t>Wickets</t>
  </si>
  <si>
    <t>Dugdale 29, Challoner 6-26</t>
  </si>
  <si>
    <t>Young 2-32</t>
  </si>
  <si>
    <t>1/29/c+/2/3.0</t>
  </si>
  <si>
    <t>Fives</t>
  </si>
  <si>
    <t>2/4/b*/0/0</t>
  </si>
  <si>
    <t>3/23/c/0/1.0</t>
  </si>
  <si>
    <t>4/5/b/0/0</t>
  </si>
  <si>
    <t>6/13/b/0/1.0</t>
  </si>
  <si>
    <t>7/1/c/1/0</t>
  </si>
  <si>
    <t>8/0/b/0/0</t>
  </si>
  <si>
    <t>9/9/b/0/1.0</t>
  </si>
  <si>
    <t>10/17/c/0/3.0</t>
  </si>
  <si>
    <t>11/5/no/0/1.0</t>
  </si>
  <si>
    <t>5/0/15/1/1/0</t>
  </si>
  <si>
    <t>8/1/26/0/2/0</t>
  </si>
  <si>
    <t>12/0/46/2/0/2</t>
  </si>
  <si>
    <t>8/0/32/2/0/0</t>
  </si>
  <si>
    <t>0.5/0/4/0/1/0</t>
  </si>
  <si>
    <t>Lally 50, Young 3-57</t>
  </si>
  <si>
    <t>Middleton 96, Hanna 4-29</t>
  </si>
  <si>
    <t>1/0/b*+/0/0</t>
  </si>
  <si>
    <t>2/6/b/0/1.0</t>
  </si>
  <si>
    <t>3/96/b/2/10.2</t>
  </si>
  <si>
    <t>4/32/c+/1.1/3.3</t>
  </si>
  <si>
    <t>5/9/b/0/0</t>
  </si>
  <si>
    <t>6/0/b/0/0</t>
  </si>
  <si>
    <t>8/0/b/1/0</t>
  </si>
  <si>
    <t>9/8/no/0/2.0</t>
  </si>
  <si>
    <t>10/2/b/0/0</t>
  </si>
  <si>
    <t>5/0/12/0/0/0</t>
  </si>
  <si>
    <t>7/1/22/2/0/0</t>
  </si>
  <si>
    <t>4/0/24/0/0/0</t>
  </si>
  <si>
    <t>11/2/33/1/2/0</t>
  </si>
  <si>
    <t>8/0/57/3/0/0</t>
  </si>
  <si>
    <t>4/0/18/2/1/0</t>
  </si>
  <si>
    <t>3/0/24/0/0/0</t>
  </si>
  <si>
    <t>Brocks 48, Hamilton 43</t>
  </si>
  <si>
    <t>Sharpe 2-9</t>
  </si>
  <si>
    <t>1/8/b/0/1.0</t>
  </si>
  <si>
    <t>2/11/b/0/1.0</t>
  </si>
  <si>
    <t>3/43/c+/2.0/5.0</t>
  </si>
  <si>
    <t>4/6/b/0/1.0</t>
  </si>
  <si>
    <t>5/48/c/1/5.2</t>
  </si>
  <si>
    <t>6/26/lb*/0/5.0</t>
  </si>
  <si>
    <t>7/1/c/0/0</t>
  </si>
  <si>
    <t>9/1/no/0/0</t>
  </si>
  <si>
    <t>10/1/no/0/0</t>
  </si>
  <si>
    <t>5/2/8/0/0/0</t>
  </si>
  <si>
    <t>6/2/9/2/1/0</t>
  </si>
  <si>
    <t>8/2/24/2/1/0</t>
  </si>
  <si>
    <t>9/3/16/1/0/1</t>
  </si>
  <si>
    <t>7/4/7/0/0/0</t>
  </si>
  <si>
    <t>6/0/24/2/6/2</t>
  </si>
  <si>
    <t>9/11/no*/0/2.0</t>
  </si>
  <si>
    <t>Morris 3-26</t>
  </si>
  <si>
    <t>Leadley 112*</t>
  </si>
  <si>
    <t>Leadley 58, Porter 49</t>
  </si>
  <si>
    <t>Porter 3-15</t>
  </si>
  <si>
    <t>1/112/no/0/16.2</t>
  </si>
  <si>
    <t>2/0/lb/0/0</t>
  </si>
  <si>
    <t>3/1/b/0/0</t>
  </si>
  <si>
    <t>4/1/c/0/0</t>
  </si>
  <si>
    <t>5/5/c/0/0</t>
  </si>
  <si>
    <t>6/9/b/0/0</t>
  </si>
  <si>
    <t>7/10/st/1/0</t>
  </si>
  <si>
    <t>8/5/no+/2/1.0</t>
  </si>
  <si>
    <t>10/0/dnb*/0/0</t>
  </si>
  <si>
    <t>1/58/st/0/6.2</t>
  </si>
  <si>
    <t>2/0/b/1/0</t>
  </si>
  <si>
    <t>3/14/b/0/2.0</t>
  </si>
  <si>
    <t>4/14/b+/0/2.0</t>
  </si>
  <si>
    <t>5/0/c/0/0</t>
  </si>
  <si>
    <t>6/10/c/0/0</t>
  </si>
  <si>
    <t>9/11/no/1/0</t>
  </si>
  <si>
    <t>11/0/dnb*/0/0</t>
  </si>
  <si>
    <t>13/1/54/3/0/0</t>
  </si>
  <si>
    <t>7/0/33/0/0/0</t>
  </si>
  <si>
    <t>7/0/30/0/0/0</t>
  </si>
  <si>
    <t>17/6/26/3/0/0</t>
  </si>
  <si>
    <t>3/1/6/0/0/0</t>
  </si>
  <si>
    <t>3/0/16/0/1/0</t>
  </si>
  <si>
    <t>6/2/24/1/3/0</t>
  </si>
  <si>
    <t>9/5/15/3/0/0</t>
  </si>
  <si>
    <t>10/2/19/0/4/0</t>
  </si>
  <si>
    <t>Beckenham IV</t>
  </si>
  <si>
    <t>Coulson 44, Young 4-35, Bowers 3-26</t>
  </si>
  <si>
    <t>Mander A 56, Springer 37</t>
  </si>
  <si>
    <t>1/15/c+/1.0/2.0</t>
  </si>
  <si>
    <t>2/4/c*/0/0</t>
  </si>
  <si>
    <t>3/0/c/1/0</t>
  </si>
  <si>
    <t>4/6/c/0/1.0</t>
  </si>
  <si>
    <t>5/37/c/1/6.0</t>
  </si>
  <si>
    <t>6/4/c/0/0</t>
  </si>
  <si>
    <t>7/0/b/0/0</t>
  </si>
  <si>
    <t>8/8/ro/0/2.0</t>
  </si>
  <si>
    <t>10/56/ro/0/3.5</t>
  </si>
  <si>
    <t>11/14/no/0/2.0</t>
  </si>
  <si>
    <t>6/3/12/1/0/0</t>
  </si>
  <si>
    <t>6/0/30/2/0/0</t>
  </si>
  <si>
    <t>11/3/35/4/0/0</t>
  </si>
  <si>
    <t>3/0/21/0/2/4</t>
  </si>
  <si>
    <t>5.1/1/26/3/0/0</t>
  </si>
  <si>
    <t>9/1/20/0/0/1</t>
  </si>
  <si>
    <t>1/15/c/0/3.0</t>
  </si>
  <si>
    <t>Cooper D</t>
  </si>
  <si>
    <t>Thomas C</t>
  </si>
  <si>
    <t>Thomas N</t>
  </si>
  <si>
    <t>8/1/14/0/0/0</t>
  </si>
  <si>
    <t>8/3/19/0/0/0</t>
  </si>
  <si>
    <t>14.5/0/59/8/1/0</t>
  </si>
  <si>
    <t>9/4/23/0/1/0</t>
  </si>
  <si>
    <t>7/1/21/2/3/0</t>
  </si>
  <si>
    <t>Bowers 8-59, Colyer 90</t>
  </si>
  <si>
    <t>1/4/b+/0/1.0</t>
  </si>
  <si>
    <t>2/26/no/0/5.0</t>
  </si>
  <si>
    <t>3/23/no/2/2.0</t>
  </si>
  <si>
    <t>4/0/dnb/0/0</t>
  </si>
  <si>
    <t>5/0/dnb+/0/0</t>
  </si>
  <si>
    <t>9/0/dnb/3/0</t>
  </si>
  <si>
    <t>1/49/c+/3.0/4.0</t>
  </si>
  <si>
    <t>2/0/b/0/0</t>
  </si>
  <si>
    <t>3/3/c/0/0</t>
  </si>
  <si>
    <t>4/5/c/0/0</t>
  </si>
  <si>
    <t>5/1/c/0/0</t>
  </si>
  <si>
    <t>6/2/c/0/0</t>
  </si>
  <si>
    <t>7/9/c/0/0</t>
  </si>
  <si>
    <t>8/4/b/1/1.0</t>
  </si>
  <si>
    <t>9/10/c*/0/0</t>
  </si>
  <si>
    <t>2/0/8/1/2/0</t>
  </si>
  <si>
    <t>8/4/13/2/3/0</t>
  </si>
  <si>
    <t>6/1/24/1/2/0</t>
  </si>
  <si>
    <t>8/2/12/2/3/0</t>
  </si>
  <si>
    <t>7/4/7/2/0/0</t>
  </si>
  <si>
    <t>10/5/11/0/0/0</t>
  </si>
  <si>
    <t>6/0/26/0/1/0</t>
  </si>
  <si>
    <t>1/2/c+/1.0/0</t>
  </si>
  <si>
    <t>2/7/c/0/0</t>
  </si>
  <si>
    <t>4/12/c/1/0.1</t>
  </si>
  <si>
    <t>6/2/lb/0/0</t>
  </si>
  <si>
    <t>7/0/b/1/0</t>
  </si>
  <si>
    <t>8/4/b/0/0</t>
  </si>
  <si>
    <t>9/8/no/0/0.1</t>
  </si>
  <si>
    <t>10/5/b/1/0</t>
  </si>
  <si>
    <t>11/0/c*/0/0</t>
  </si>
  <si>
    <t>Shewan 4-6, Reid 4-22</t>
  </si>
  <si>
    <t>Porter 29*, Trow 5-4</t>
  </si>
  <si>
    <t>1/2/b/1/0.0</t>
  </si>
  <si>
    <t>2/1/b/1/0</t>
  </si>
  <si>
    <t>3/3/b*/1/0</t>
  </si>
  <si>
    <t>4/0/c+/0/0</t>
  </si>
  <si>
    <t>5/1/lb/0/0</t>
  </si>
  <si>
    <t>6/29/no/0/3.0</t>
  </si>
  <si>
    <t>7/5/lb/0/1.0</t>
  </si>
  <si>
    <t>8/0/lb/1/0</t>
  </si>
  <si>
    <t>10/4/b/0/0</t>
  </si>
  <si>
    <t>5/3/6/0/0/0</t>
  </si>
  <si>
    <t>0.1/0/0/1/0/0</t>
  </si>
  <si>
    <t>6/5/1/0/1/0</t>
  </si>
  <si>
    <t>4/0/12/1/1/0</t>
  </si>
  <si>
    <t>5/0/25/0/1/0</t>
  </si>
  <si>
    <t>10/6/6/4/0/0</t>
  </si>
  <si>
    <t>7/0/22/4/1/0</t>
  </si>
  <si>
    <t>Hamilton 49</t>
  </si>
  <si>
    <t>Southern Railway</t>
  </si>
  <si>
    <t>ND</t>
  </si>
  <si>
    <t>1/0/dnb*/0/0</t>
  </si>
  <si>
    <t>2/0/dnb+/0/0</t>
  </si>
  <si>
    <t>3/0/dnb/1/0</t>
  </si>
  <si>
    <t>Clark 3-22</t>
  </si>
  <si>
    <t>5/0/dnb/0/0</t>
  </si>
  <si>
    <t>6/0/dnb/0/0</t>
  </si>
  <si>
    <t>7/0/dnb/1/0</t>
  </si>
  <si>
    <t>Keith</t>
  </si>
  <si>
    <t>11/0/dnb/1/0</t>
  </si>
  <si>
    <t>8/2/22/3/1/0</t>
  </si>
  <si>
    <t>12/2/38/2</t>
  </si>
  <si>
    <t>4/0/25/0</t>
  </si>
  <si>
    <t>Legless XI</t>
  </si>
  <si>
    <t>Cooper 4-22, Young 3-31</t>
  </si>
  <si>
    <t>Leadley 76, Woodhouse 27</t>
  </si>
  <si>
    <t>1/76/c/1/12.2</t>
  </si>
  <si>
    <t>3/0/lb/0/0</t>
  </si>
  <si>
    <t>2/27/b*/0/5.0</t>
  </si>
  <si>
    <t>5/10/b/0/2.0</t>
  </si>
  <si>
    <t>6/9/c/1/2.0</t>
  </si>
  <si>
    <t>7/11/no/0/1.0</t>
  </si>
  <si>
    <t>10/0/dnb/2/0</t>
  </si>
  <si>
    <t>6/1/31/0/4/0</t>
  </si>
  <si>
    <t>8/3/18/0/0/0</t>
  </si>
  <si>
    <t>7/1/22/4/0/0</t>
  </si>
  <si>
    <t>8/0/28/1/1/0</t>
  </si>
  <si>
    <t>6/0/31/3/1/0</t>
  </si>
  <si>
    <t>3/0/14/1/0/0</t>
  </si>
  <si>
    <t>2/1/9/0/0/0</t>
  </si>
  <si>
    <t>Sharpe 59, Springer 55</t>
  </si>
  <si>
    <t>Sharpe 52, Worthington 37</t>
  </si>
  <si>
    <t>Mander C 4-15, Porter 3-23</t>
  </si>
  <si>
    <t>Goodliffe 140, Vagg 71*</t>
  </si>
  <si>
    <t>Sharpe 52</t>
  </si>
  <si>
    <t>1/5/c+/0/0</t>
  </si>
  <si>
    <t>2/52/c/1/7.2</t>
  </si>
  <si>
    <t>3/27/c/0/2.1</t>
  </si>
  <si>
    <t>4/12/lb/1/1.1</t>
  </si>
  <si>
    <t>5/3/c/0/0</t>
  </si>
  <si>
    <t>6/8/b*/0/0</t>
  </si>
  <si>
    <t>7/13/b/0/0.2</t>
  </si>
  <si>
    <t>8/2/no/0/0</t>
  </si>
  <si>
    <t>9/4/b/0/0</t>
  </si>
  <si>
    <t>10/5/b/0/1.0</t>
  </si>
  <si>
    <t>1/0/c/0/0</t>
  </si>
  <si>
    <t>2/19/c/0/2.0</t>
  </si>
  <si>
    <t>3/2/b/0/0</t>
  </si>
  <si>
    <t>4/22/b*/0/3.0</t>
  </si>
  <si>
    <t>5/9/b/1/0</t>
  </si>
  <si>
    <t>6/9/lb+/2.0/2.0</t>
  </si>
  <si>
    <t>7/2/b/0/0</t>
  </si>
  <si>
    <t>8/5/c/0/1.0</t>
  </si>
  <si>
    <t>9/10/no/0/2.0</t>
  </si>
  <si>
    <t>10/11/no/0/0</t>
  </si>
  <si>
    <t>1/27/ro/0/2.0</t>
  </si>
  <si>
    <t>2/23/c+/0/2.0</t>
  </si>
  <si>
    <t>3/24/c/0/2.0</t>
  </si>
  <si>
    <t>5/0/c*/0/0</t>
  </si>
  <si>
    <t>6/18/b/0/1.0</t>
  </si>
  <si>
    <t>7/29/st/0/3.1</t>
  </si>
  <si>
    <t>8/3/c/0/0</t>
  </si>
  <si>
    <t>9/0/no/0/0</t>
  </si>
  <si>
    <t>10/0/c/0/0</t>
  </si>
  <si>
    <t>6/0/dnb+*/0/0</t>
  </si>
  <si>
    <t>2/2/c/0/0</t>
  </si>
  <si>
    <t>3/52/c/0/8.0</t>
  </si>
  <si>
    <t>4/37/b+/0/5.1</t>
  </si>
  <si>
    <t>5/8/b/0/0</t>
  </si>
  <si>
    <t>6/2/c*/0/0</t>
  </si>
  <si>
    <t>8/2/b/0/0</t>
  </si>
  <si>
    <t>10/0/b/0/0</t>
  </si>
  <si>
    <t>11/0/b/1/0</t>
  </si>
  <si>
    <t>1/2/b/0/0</t>
  </si>
  <si>
    <t>2/16/st/1/3.0</t>
  </si>
  <si>
    <t>3/59/st+/0/7.3</t>
  </si>
  <si>
    <t>4/55/lb*/0/10.1</t>
  </si>
  <si>
    <t>5/4/c/1/0</t>
  </si>
  <si>
    <t>6/7/c/0/1.0</t>
  </si>
  <si>
    <t>7/10/st/0/2.0</t>
  </si>
  <si>
    <t>8/14/no/0/2.1</t>
  </si>
  <si>
    <t>10/4/st/0/1.0</t>
  </si>
  <si>
    <t>5/0/40/0/2/0</t>
  </si>
  <si>
    <t>6/0/39/0/5/0</t>
  </si>
  <si>
    <t>9/3/18/0/1/0</t>
  </si>
  <si>
    <t>4.3/1/14/1/1/0</t>
  </si>
  <si>
    <t>7/0/35/2/3/1</t>
  </si>
  <si>
    <t>7/1/41/2/1/0</t>
  </si>
  <si>
    <t>5/1/10/0/0/0</t>
  </si>
  <si>
    <t>5/0/15/1/0/0</t>
  </si>
  <si>
    <t>5/1/16/0/0/0</t>
  </si>
  <si>
    <t>11/1/23/3/0/0</t>
  </si>
  <si>
    <t>9/4/15/4/0/0</t>
  </si>
  <si>
    <t>3/0/14/0/0/0</t>
  </si>
  <si>
    <t>3/0/10/1/0/0</t>
  </si>
  <si>
    <t>5/0/29/1/0/0</t>
  </si>
  <si>
    <t>2.5/0/18/0/0/0</t>
  </si>
  <si>
    <t>5/0/31/0/1/0</t>
  </si>
  <si>
    <t>7/0/35/0/0/0</t>
  </si>
  <si>
    <t>2/0/21/0/0/0</t>
  </si>
  <si>
    <t>2/0/22/0/0/0</t>
  </si>
  <si>
    <t>7/0/31/1/0/4</t>
  </si>
  <si>
    <t>9/0/45/0/0/0</t>
  </si>
  <si>
    <t>8.3/2/42/1/0/0</t>
  </si>
  <si>
    <t>5/0/42/0/0/0</t>
  </si>
  <si>
    <t>10/1/50/1/1/0</t>
  </si>
  <si>
    <t>15/5/39/1/0/0</t>
  </si>
  <si>
    <t>8/1/31/2/1/1</t>
  </si>
  <si>
    <t>9/3/22/2/2/0</t>
  </si>
  <si>
    <t>7/2/23/1/1/0</t>
  </si>
  <si>
    <t>4/0/21/0/1/0</t>
  </si>
  <si>
    <t>3/1/12/0/3/0</t>
  </si>
  <si>
    <t>8/1/35/1/1/0</t>
  </si>
  <si>
    <t>11/1/30/1/1/1</t>
  </si>
  <si>
    <t>11/2/58/3/2/0</t>
  </si>
  <si>
    <t>7/1/34/1/0/0</t>
  </si>
  <si>
    <t>12/3/40/1/1/0</t>
  </si>
  <si>
    <t>4/8/b+/0.1/2.0</t>
  </si>
  <si>
    <t>Cooper G 3-5, Sharpe 3-15, Beck 30</t>
  </si>
  <si>
    <t>Beck 6-30</t>
  </si>
  <si>
    <t>1/5/b/1/1.0</t>
  </si>
  <si>
    <t>2/7/c/1/1.0</t>
  </si>
  <si>
    <t>3/0/b/0/0</t>
  </si>
  <si>
    <t>4/14/ro*/0/1.0</t>
  </si>
  <si>
    <t>6/1/hw+/1/0</t>
  </si>
  <si>
    <t>7/13/b/1/1.0</t>
  </si>
  <si>
    <t>9/15/no/0/3.0</t>
  </si>
  <si>
    <t>11/2/no/2/0</t>
  </si>
  <si>
    <t>6/2/15/3/0/0</t>
  </si>
  <si>
    <t>6/1/25/3/2/0</t>
  </si>
  <si>
    <t>4/0/15/0/2/0</t>
  </si>
  <si>
    <t>4/3/5/3/0/0</t>
  </si>
  <si>
    <t>Sharpe 2-13</t>
  </si>
  <si>
    <t>3/0/13/2/0/0</t>
  </si>
  <si>
    <t>2.2/0/11/0/1/0</t>
  </si>
  <si>
    <t>2/0/dnb*/0/0</t>
  </si>
  <si>
    <t>3/0/dnb/0/0</t>
  </si>
  <si>
    <t>4/0/dnb+/0/0</t>
  </si>
  <si>
    <t>1/0/dnb/0/0</t>
  </si>
  <si>
    <t>Springer 53*, Sharpe 51, Worthington 51</t>
  </si>
  <si>
    <t>1/51/c/0/7.1</t>
  </si>
  <si>
    <t>2/6/b*/0/0</t>
  </si>
  <si>
    <t>3/51/c+/0/6.0</t>
  </si>
  <si>
    <t>4/2/b/0/0</t>
  </si>
  <si>
    <t>5/53/no/1/8.1</t>
  </si>
  <si>
    <t>9/0/33/2/1/0</t>
  </si>
  <si>
    <t>5/2/16/1/0/0</t>
  </si>
  <si>
    <t>5/2/5/0/0/0</t>
  </si>
  <si>
    <t>1/0/8/1/0/0</t>
  </si>
  <si>
    <t>3/0/9/1/1/0</t>
  </si>
  <si>
    <t>6/1/25/1/0/0</t>
  </si>
  <si>
    <t>10/1/47/1/1/0</t>
  </si>
  <si>
    <t>8/3/17/5/0/0</t>
  </si>
  <si>
    <t>4/2/4/1/2/0</t>
  </si>
  <si>
    <t>7/2/17/2/1/0</t>
  </si>
  <si>
    <t>1/32/lb/0/0</t>
  </si>
  <si>
    <t>2/11/ro+/2.0/0</t>
  </si>
  <si>
    <t>3/5/no/0/0</t>
  </si>
  <si>
    <t>4/5/no/0/0</t>
  </si>
  <si>
    <t>5/0/dnb*/3/0</t>
  </si>
  <si>
    <t>9/0/dnb/2/0</t>
  </si>
  <si>
    <t>Shewan 5-17</t>
  </si>
  <si>
    <t>Leadley 32</t>
  </si>
  <si>
    <t>Dugdale 32</t>
  </si>
  <si>
    <t>1/32/c+/0.1/3.0</t>
  </si>
  <si>
    <t>3/5/b*/0/0</t>
  </si>
  <si>
    <t>4/7/b/0/1.0</t>
  </si>
  <si>
    <t>Greenwood</t>
  </si>
  <si>
    <t>9/0/no/1/0</t>
  </si>
  <si>
    <t>10/0/lb/0/0</t>
  </si>
  <si>
    <t>7/1/24/1/0/1</t>
  </si>
  <si>
    <t>1/0/3/0/0/0</t>
  </si>
  <si>
    <t>2.2/1/7/1/0/0</t>
  </si>
  <si>
    <t>2/0/7/1/0/0</t>
  </si>
  <si>
    <t>8/3/7/0/0/0</t>
  </si>
  <si>
    <t>10/1/48/6/3/1</t>
  </si>
  <si>
    <t>6/2/10/0/1/0</t>
  </si>
  <si>
    <t>9/2/26/1/2/0</t>
  </si>
  <si>
    <t>6/1/34/0/0/0</t>
  </si>
  <si>
    <t>7/1/12/0/0/0</t>
  </si>
  <si>
    <t>6/0/24/0/0/0</t>
  </si>
  <si>
    <t>Porter 6-48</t>
  </si>
  <si>
    <t>Shewan 48, Worthy J 41</t>
  </si>
  <si>
    <t>1/0/b+/0/0</t>
  </si>
  <si>
    <t>2/48/b*/1/5.0</t>
  </si>
  <si>
    <t>3/11/b/1/1.0</t>
  </si>
  <si>
    <t>7/41/b/0/6.0</t>
  </si>
  <si>
    <t>8/12/b/0/2.0</t>
  </si>
  <si>
    <t>9/1/b/0/0</t>
  </si>
  <si>
    <t>10/4/no/0/1.0</t>
  </si>
  <si>
    <t>11/2/no/0/0</t>
  </si>
  <si>
    <t>1/7/c*/0/1.0</t>
  </si>
  <si>
    <t>2/32/b/0/3.0</t>
  </si>
  <si>
    <t>3/10/b+/0/1.0</t>
  </si>
  <si>
    <t>6/4/b/0/0</t>
  </si>
  <si>
    <t>8/29/c/0/5.1</t>
  </si>
  <si>
    <t>7/11/b/0/1.0</t>
  </si>
  <si>
    <t>4/12/b/0/2.0</t>
  </si>
  <si>
    <t>5/9/c/0/2.0</t>
  </si>
  <si>
    <t>1/8/c+/2.0/1.0</t>
  </si>
  <si>
    <t>2/61/c/0/11.1</t>
  </si>
  <si>
    <t>3/5/c/0/1.0</t>
  </si>
  <si>
    <t>4/24/b/0/3.1</t>
  </si>
  <si>
    <t>5/14/ro/0/2.0</t>
  </si>
  <si>
    <t>6/18/b*/0/0</t>
  </si>
  <si>
    <t>7/2/c/0/0</t>
  </si>
  <si>
    <t>8/18/c/1/2.0</t>
  </si>
  <si>
    <t>9/6/b/0/0</t>
  </si>
  <si>
    <t>10/3/no/0/0</t>
  </si>
  <si>
    <t>6/1/23/1/0/0</t>
  </si>
  <si>
    <t>6/1/26/0/0/0</t>
  </si>
  <si>
    <t>10/4/21/1/0/0</t>
  </si>
  <si>
    <t>7/2/12/1/0/0</t>
  </si>
  <si>
    <t>7/1/41/0/4/0</t>
  </si>
  <si>
    <t>3/0/25/0/1/0</t>
  </si>
  <si>
    <t>10/4/9/0/5/0</t>
  </si>
  <si>
    <t>12/0/39/4/1/0</t>
  </si>
  <si>
    <t>16/10/15/5/0/0</t>
  </si>
  <si>
    <t>5/0/16/0/1/2</t>
  </si>
  <si>
    <t>Mander A 5-15, Young 4-39</t>
  </si>
  <si>
    <t>Little 88</t>
  </si>
  <si>
    <t>Kercher 5-20</t>
  </si>
  <si>
    <t>Blendon</t>
  </si>
  <si>
    <t>Woodhouse 37, Brocks 29</t>
  </si>
  <si>
    <t>Hopton 51*</t>
  </si>
  <si>
    <t>1/2/b*/0/0</t>
  </si>
  <si>
    <t>2/13/b/0/1.1</t>
  </si>
  <si>
    <t>3/0/b/1/0</t>
  </si>
  <si>
    <t>4/11/b/0/2.0</t>
  </si>
  <si>
    <t>5/0/b/1/0</t>
  </si>
  <si>
    <t>6/0/lb/1/0</t>
  </si>
  <si>
    <t>7/4/b/0/1.0</t>
  </si>
  <si>
    <t>8/8/b+/0.1/2.0</t>
  </si>
  <si>
    <t>9/2/c/1/0</t>
  </si>
  <si>
    <t>10/12/c/0/0.2</t>
  </si>
  <si>
    <t>1/37/b/0/5.0</t>
  </si>
  <si>
    <t>2/29/b/0/3.0</t>
  </si>
  <si>
    <t>3/9/b/0/0</t>
  </si>
  <si>
    <t>5/1/ro/0/0</t>
  </si>
  <si>
    <t>6/0/lb/0/0</t>
  </si>
  <si>
    <t>7/17/no/0/1.0</t>
  </si>
  <si>
    <t>8/11/b/0/1.1</t>
  </si>
  <si>
    <t>9/4/c/0/0</t>
  </si>
  <si>
    <t>10/1/c/0/0</t>
  </si>
  <si>
    <t>11/8/no/1/1.0</t>
  </si>
  <si>
    <t>8/1/20/0/0/0</t>
  </si>
  <si>
    <t>8/3/17/0/0/0</t>
  </si>
  <si>
    <t>6/2/13/0/0/0</t>
  </si>
  <si>
    <t>10/1/49/2/0/0</t>
  </si>
  <si>
    <t>5/0/23/1/1/0</t>
  </si>
  <si>
    <t>6/1/32/1/1/0</t>
  </si>
  <si>
    <t>5/0/19/2/0/0</t>
  </si>
  <si>
    <t>8/0/28/0/4/0</t>
  </si>
  <si>
    <t>11/1/33/0/1/0</t>
  </si>
  <si>
    <t>8/0/46/1/0/0</t>
  </si>
  <si>
    <t>8/1/26/2/0/0</t>
  </si>
  <si>
    <t>3.5/0/25/0/1/0</t>
  </si>
  <si>
    <t>Mance 57, Porter 3-31</t>
  </si>
  <si>
    <t>Springer 36</t>
  </si>
  <si>
    <t>Worthington 63</t>
  </si>
  <si>
    <t>Springer 4-27</t>
  </si>
  <si>
    <t>1/4/b/1/1.0</t>
  </si>
  <si>
    <t>3/7/b+/0/0</t>
  </si>
  <si>
    <t>4/36/c*/0/2.2</t>
  </si>
  <si>
    <t>8/10/c/0/1.0</t>
  </si>
  <si>
    <t>Phil</t>
  </si>
  <si>
    <t>9/3/no/0/0</t>
  </si>
  <si>
    <t>10/18/b/0/3.0</t>
  </si>
  <si>
    <t>11/0/c/0/0</t>
  </si>
  <si>
    <t>1/3/lb/0/0</t>
  </si>
  <si>
    <t>2/16/c/0/1.0</t>
  </si>
  <si>
    <t>3/63/c+/1/6.2</t>
  </si>
  <si>
    <t>4/1/ro/0/0</t>
  </si>
  <si>
    <t>5/8/c/0/2.0</t>
  </si>
  <si>
    <t>6/0/b/1/0</t>
  </si>
  <si>
    <t>7/20/b/0/0</t>
  </si>
  <si>
    <t>8/7/no/0/1.0</t>
  </si>
  <si>
    <t>8/0/31/3/4/0</t>
  </si>
  <si>
    <t>11/2/44/0/6/0</t>
  </si>
  <si>
    <t>9/2/35/0/0/0</t>
  </si>
  <si>
    <t>9/0/27/1/0/0</t>
  </si>
  <si>
    <t>10/0/73/3/0/0</t>
  </si>
  <si>
    <t>13/7/27/4/0/1</t>
  </si>
  <si>
    <t>10/2/27/0/1/0</t>
  </si>
  <si>
    <t>6/2/13/2/1/0</t>
  </si>
  <si>
    <t>3/0/12/0/2/0</t>
  </si>
  <si>
    <t>2/0/2/1/0/0</t>
  </si>
  <si>
    <t>Scott 89, Sharpe 3-26</t>
  </si>
  <si>
    <t>1/12/b/1/1.0</t>
  </si>
  <si>
    <t>2/18/lb/0/3.0</t>
  </si>
  <si>
    <t>3/33/st/0/4.1</t>
  </si>
  <si>
    <t>4/31/no+*/1/5.1</t>
  </si>
  <si>
    <t>5/5/no/0/1.0</t>
  </si>
  <si>
    <t>6/0/dnb/1/0</t>
  </si>
  <si>
    <t>2/0/8/1/0/0</t>
  </si>
  <si>
    <t>7/3/12/2/0/1</t>
  </si>
  <si>
    <t>10/3/26/3/1/0</t>
  </si>
  <si>
    <t>6/0/35/1/1/0</t>
  </si>
  <si>
    <t>1.4/0/12/2/0/1</t>
  </si>
  <si>
    <t>1/0/5/0/0/0</t>
  </si>
  <si>
    <t>Zaman 56, Shewan 2-10</t>
  </si>
  <si>
    <t>Leadley 52</t>
  </si>
  <si>
    <t>1/52/b+/0/6.0</t>
  </si>
  <si>
    <t>2/4/c*/1/0.0</t>
  </si>
  <si>
    <t>3/5/c/0/0.0</t>
  </si>
  <si>
    <t>4/20/b/1/0.0</t>
  </si>
  <si>
    <t>5/21/c/0/1.0</t>
  </si>
  <si>
    <t>6/10/no/0/2.0</t>
  </si>
  <si>
    <t>7/0/no/0/0</t>
  </si>
  <si>
    <t>9/0/dnb/1/0</t>
  </si>
  <si>
    <t>10/0/dnb/1/0</t>
  </si>
  <si>
    <t>6/4/5/0/0/0</t>
  </si>
  <si>
    <t>12/5/16/0/2/1</t>
  </si>
  <si>
    <t>6/2/10/2/0/0</t>
  </si>
  <si>
    <t>7/3/14/0/0/0</t>
  </si>
  <si>
    <t>5/0/11/0/3/0</t>
  </si>
  <si>
    <t>5/0/23/2/1/0</t>
  </si>
  <si>
    <t>4/0/13/0/1/0</t>
  </si>
  <si>
    <t>5.2/0/18/1/0/0</t>
  </si>
  <si>
    <t>Haynes 80*</t>
  </si>
  <si>
    <t>Sharpe 61</t>
  </si>
  <si>
    <t>4/24/c*+/0/4.0</t>
  </si>
  <si>
    <t>2/28/no/2/3.0</t>
  </si>
  <si>
    <t>8/49/ro/0/7.0</t>
  </si>
  <si>
    <t>5/0/dnb+/1/0</t>
  </si>
  <si>
    <t>11/0/dnb*/1/0</t>
  </si>
  <si>
    <t>Worthy J 4-8, Elliston 4-24</t>
  </si>
  <si>
    <t>Leadley 73*</t>
  </si>
  <si>
    <t>5/0/8/4/0/0</t>
  </si>
  <si>
    <t>5/0/17/0/0/1</t>
  </si>
  <si>
    <t>6/1/12/2/0/0</t>
  </si>
  <si>
    <t>6.4/1/24/4/0/0</t>
  </si>
  <si>
    <t>2/1/20/0/0/0</t>
  </si>
  <si>
    <t>Final Table</t>
  </si>
  <si>
    <t>Angell G</t>
  </si>
  <si>
    <t>Bailey J</t>
  </si>
  <si>
    <t>Bowers M</t>
  </si>
  <si>
    <t>Brocks D</t>
  </si>
  <si>
    <t xml:space="preserve">Bromley </t>
  </si>
  <si>
    <t>Catley N</t>
  </si>
  <si>
    <t>Chick G</t>
  </si>
  <si>
    <t>Ching A</t>
  </si>
  <si>
    <t>Clark C</t>
  </si>
  <si>
    <t>Cobberwaite P</t>
  </si>
  <si>
    <t>Coloe A</t>
  </si>
  <si>
    <t>Davies B</t>
  </si>
  <si>
    <t>Elliston J</t>
  </si>
  <si>
    <t>Foster K</t>
  </si>
  <si>
    <t>Greenwood H</t>
  </si>
  <si>
    <t>Hamilton A</t>
  </si>
  <si>
    <t>Hammond P</t>
  </si>
  <si>
    <t>Hickey L</t>
  </si>
  <si>
    <t>Hosking M</t>
  </si>
  <si>
    <t>Jarman K</t>
  </si>
  <si>
    <t>Lestrelle J</t>
  </si>
  <si>
    <t>Ligory K</t>
  </si>
  <si>
    <t xml:space="preserve">Lochhead </t>
  </si>
  <si>
    <t xml:space="preserve">McGall </t>
  </si>
  <si>
    <t xml:space="preserve">McGetrick </t>
  </si>
  <si>
    <t>Merritt A</t>
  </si>
  <si>
    <t>Middleton J</t>
  </si>
  <si>
    <t>O'Connor J</t>
  </si>
  <si>
    <t>Oakes P</t>
  </si>
  <si>
    <t>Patel N</t>
  </si>
  <si>
    <t>Porter D</t>
  </si>
  <si>
    <t>Reid V</t>
  </si>
  <si>
    <t>Sharpe D</t>
  </si>
  <si>
    <t>Shewan D</t>
  </si>
  <si>
    <t>Simmons M</t>
  </si>
  <si>
    <t>Snow D</t>
  </si>
  <si>
    <t>Springer T</t>
  </si>
  <si>
    <t>Thatcher D</t>
  </si>
  <si>
    <t>Woodhouse M</t>
  </si>
  <si>
    <t>Worthington R</t>
  </si>
  <si>
    <t>Young R</t>
  </si>
  <si>
    <t>Opp Overs</t>
  </si>
  <si>
    <t>Sharpe 33, Springer 31*</t>
  </si>
  <si>
    <t>TOCC Overs</t>
  </si>
  <si>
    <t>Total balls</t>
  </si>
  <si>
    <t>Max Overs</t>
  </si>
  <si>
    <t>6/1/24/1/3/0</t>
  </si>
  <si>
    <t>4/0/5/1/2/0</t>
  </si>
  <si>
    <t>7/9/c/1/1.0</t>
  </si>
  <si>
    <t>6/5/ro/0/0</t>
  </si>
  <si>
    <t>5/2/c/0/0</t>
  </si>
  <si>
    <t>1/77/no/2/11.2</t>
  </si>
  <si>
    <t>[No play (rain)]</t>
  </si>
  <si>
    <t>6/0/15/0/0/0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</si>
</sst>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d"/>
    <numFmt numFmtId="165" formatCode="0.0"/>
    <numFmt numFmtId="166" formatCode="0;0;&quot;&quot;"/>
  </numFmts>
  <fonts count="13" x14ac:knownFonts="1">
    <font>
      <sz val="8"/>
      <name val="Verdana"/>
      <family val="2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  <family val="2"/>
    </font>
    <font>
      <sz val="9"/>
      <name val="Comic Sans MS"/>
      <family val="4"/>
    </font>
    <font>
      <sz val="10"/>
      <color indexed="10"/>
      <name val="Arial"/>
      <family val="2"/>
    </font>
    <font>
      <b/>
      <sz val="10"/>
      <name val="Arial"/>
      <family val="2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top"/>
    </xf>
  </cellStyleXfs>
  <cellXfs count="108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1" fillId="0" borderId="0" xfId="0" applyFont="1">
      <alignment vertical="top"/>
    </xf>
    <xf numFmtId="0" fontId="0" fillId="0" borderId="1" xfId="0" applyBorder="1">
      <alignment vertical="top"/>
    </xf>
    <xf numFmtId="2" fontId="1" fillId="0" borderId="0" xfId="0" applyNumberFormat="1" applyFont="1">
      <alignment vertical="top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>
      <alignment vertical="top"/>
    </xf>
    <xf numFmtId="0" fontId="3" fillId="0" borderId="0" xfId="0" applyFont="1">
      <alignment vertical="top"/>
    </xf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4" fillId="0" borderId="0" xfId="0" applyFont="1">
      <alignment vertical="top"/>
    </xf>
    <xf numFmtId="0" fontId="5" fillId="0" borderId="0" xfId="0" applyFont="1">
      <alignment vertical="top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6" fillId="0" borderId="0" xfId="0" applyFont="1">
      <alignment vertical="top"/>
    </xf>
    <xf numFmtId="0" fontId="1" fillId="0" borderId="2" xfId="0" applyFont="1" applyBorder="1">
      <alignment vertical="top"/>
    </xf>
    <xf numFmtId="0" fontId="1" fillId="0" borderId="3" xfId="0" applyFont="1" applyBorder="1" applyAlignment="1">
      <alignment vertical="top"/>
    </xf>
    <xf numFmtId="0" fontId="1" fillId="0" borderId="3" xfId="0" applyFont="1" applyBorder="1" applyAlignment="1">
      <alignment horizontal="center" vertical="top"/>
    </xf>
    <xf numFmtId="0" fontId="1" fillId="0" borderId="3" xfId="0" applyFont="1" applyBorder="1" applyAlignment="1">
      <alignment vertical="top" wrapText="1"/>
    </xf>
    <xf numFmtId="0" fontId="1" fillId="0" borderId="3" xfId="0" applyFont="1" applyBorder="1">
      <alignment vertical="top"/>
    </xf>
    <xf numFmtId="0" fontId="7" fillId="0" borderId="1" xfId="0" applyFont="1" applyBorder="1">
      <alignment vertical="top"/>
    </xf>
    <xf numFmtId="15" fontId="1" fillId="0" borderId="3" xfId="0" applyNumberFormat="1" applyFont="1" applyBorder="1" applyAlignment="1">
      <alignment horizontal="center" vertical="top"/>
    </xf>
    <xf numFmtId="0" fontId="8" fillId="0" borderId="2" xfId="0" applyFont="1" applyBorder="1" applyAlignment="1">
      <alignment vertical="top"/>
    </xf>
    <xf numFmtId="15" fontId="8" fillId="0" borderId="2" xfId="0" applyNumberFormat="1" applyFont="1" applyBorder="1" applyAlignment="1">
      <alignment horizontal="center" vertical="top"/>
    </xf>
    <xf numFmtId="0" fontId="8" fillId="0" borderId="2" xfId="0" applyFont="1" applyBorder="1" applyAlignment="1">
      <alignment horizontal="center" vertical="top"/>
    </xf>
    <xf numFmtId="0" fontId="8" fillId="0" borderId="2" xfId="0" applyFont="1" applyBorder="1" applyAlignment="1">
      <alignment vertical="top" wrapText="1"/>
    </xf>
    <xf numFmtId="0" fontId="8" fillId="0" borderId="2" xfId="0" applyFont="1" applyBorder="1">
      <alignment vertical="top"/>
    </xf>
    <xf numFmtId="0" fontId="8" fillId="0" borderId="3" xfId="0" applyFont="1" applyBorder="1" applyAlignment="1">
      <alignment vertical="top"/>
    </xf>
    <xf numFmtId="15" fontId="8" fillId="0" borderId="3" xfId="0" applyNumberFormat="1" applyFont="1" applyBorder="1" applyAlignment="1">
      <alignment horizontal="center" vertical="top"/>
    </xf>
    <xf numFmtId="0" fontId="8" fillId="0" borderId="3" xfId="0" applyFont="1" applyBorder="1" applyAlignment="1">
      <alignment horizontal="center" vertical="top"/>
    </xf>
    <xf numFmtId="0" fontId="8" fillId="0" borderId="3" xfId="0" applyFont="1" applyBorder="1" applyAlignment="1">
      <alignment vertical="top" wrapText="1"/>
    </xf>
    <xf numFmtId="0" fontId="8" fillId="0" borderId="3" xfId="0" applyFont="1" applyBorder="1">
      <alignment vertical="top"/>
    </xf>
    <xf numFmtId="164" fontId="8" fillId="0" borderId="3" xfId="0" applyNumberFormat="1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8" fillId="0" borderId="0" xfId="0" applyFont="1" applyBorder="1" applyAlignment="1">
      <alignment vertical="top"/>
    </xf>
    <xf numFmtId="15" fontId="8" fillId="0" borderId="0" xfId="0" applyNumberFormat="1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0" fontId="8" fillId="0" borderId="0" xfId="0" applyFont="1" applyBorder="1" applyAlignment="1">
      <alignment vertical="top" wrapText="1"/>
    </xf>
    <xf numFmtId="0" fontId="8" fillId="0" borderId="0" xfId="0" applyFont="1" applyBorder="1">
      <alignment vertical="top"/>
    </xf>
    <xf numFmtId="0" fontId="1" fillId="0" borderId="0" xfId="0" applyFont="1" applyBorder="1">
      <alignment vertical="top"/>
    </xf>
    <xf numFmtId="0" fontId="9" fillId="0" borderId="4" xfId="0" applyFont="1" applyBorder="1" applyAlignment="1">
      <alignment vertical="top"/>
    </xf>
    <xf numFmtId="15" fontId="9" fillId="0" borderId="4" xfId="0" applyNumberFormat="1" applyFont="1" applyBorder="1" applyAlignment="1">
      <alignment horizontal="center" vertical="top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>
      <alignment vertical="top"/>
    </xf>
    <xf numFmtId="0" fontId="10" fillId="0" borderId="4" xfId="0" applyFont="1" applyBorder="1">
      <alignment vertical="top"/>
    </xf>
    <xf numFmtId="0" fontId="9" fillId="0" borderId="0" xfId="0" applyFont="1" applyAlignment="1">
      <alignment horizontal="right"/>
    </xf>
    <xf numFmtId="15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right"/>
    </xf>
    <xf numFmtId="0" fontId="1" fillId="0" borderId="5" xfId="0" applyFont="1" applyBorder="1">
      <alignment vertical="top"/>
    </xf>
    <xf numFmtId="0" fontId="9" fillId="0" borderId="1" xfId="0" applyFont="1" applyBorder="1">
      <alignment vertical="top"/>
    </xf>
    <xf numFmtId="15" fontId="8" fillId="0" borderId="0" xfId="0" applyNumberFormat="1" applyFont="1" applyAlignment="1"/>
    <xf numFmtId="15" fontId="9" fillId="0" borderId="0" xfId="0" applyNumberFormat="1" applyFont="1" applyAlignment="1"/>
    <xf numFmtId="15" fontId="11" fillId="0" borderId="0" xfId="0" applyNumberFormat="1" applyFont="1" applyAlignment="1"/>
    <xf numFmtId="0" fontId="11" fillId="0" borderId="0" xfId="0" applyFont="1" applyAlignment="1"/>
    <xf numFmtId="0" fontId="9" fillId="0" borderId="0" xfId="0" applyFont="1" applyAlignment="1"/>
    <xf numFmtId="165" fontId="11" fillId="0" borderId="0" xfId="0" applyNumberFormat="1" applyFont="1" applyAlignment="1"/>
    <xf numFmtId="2" fontId="9" fillId="0" borderId="0" xfId="0" applyNumberFormat="1" applyFont="1" applyAlignment="1"/>
    <xf numFmtId="2" fontId="11" fillId="0" borderId="0" xfId="0" applyNumberFormat="1" applyFont="1" applyAlignment="1"/>
    <xf numFmtId="2" fontId="0" fillId="0" borderId="0" xfId="0" applyNumberFormat="1" applyAlignment="1"/>
    <xf numFmtId="0" fontId="9" fillId="0" borderId="0" xfId="0" applyFont="1" applyAlignment="1">
      <alignment horizontal="center"/>
    </xf>
    <xf numFmtId="0" fontId="9" fillId="0" borderId="0" xfId="0" applyFont="1">
      <alignment vertical="top"/>
    </xf>
    <xf numFmtId="164" fontId="8" fillId="0" borderId="2" xfId="0" applyNumberFormat="1" applyFont="1" applyBorder="1" applyAlignment="1">
      <alignment horizontal="center" vertical="top"/>
    </xf>
    <xf numFmtId="164" fontId="8" fillId="0" borderId="5" xfId="0" applyNumberFormat="1" applyFont="1" applyBorder="1" applyAlignment="1">
      <alignment horizontal="center" vertical="top"/>
    </xf>
    <xf numFmtId="164" fontId="8" fillId="0" borderId="0" xfId="0" applyNumberFormat="1" applyFont="1" applyBorder="1" applyAlignment="1">
      <alignment horizontal="center" vertical="top"/>
    </xf>
    <xf numFmtId="164" fontId="8" fillId="0" borderId="3" xfId="0" applyNumberFormat="1" applyFont="1" applyBorder="1" applyAlignment="1">
      <alignment horizontal="center" vertical="top"/>
    </xf>
    <xf numFmtId="0" fontId="9" fillId="0" borderId="0" xfId="0" applyFont="1" applyBorder="1" applyAlignment="1">
      <alignment vertical="top"/>
    </xf>
    <xf numFmtId="0" fontId="1" fillId="0" borderId="2" xfId="0" applyFont="1" applyBorder="1" applyAlignment="1">
      <alignment horizontal="center" vertical="top"/>
    </xf>
    <xf numFmtId="0" fontId="9" fillId="0" borderId="0" xfId="0" applyFont="1" applyBorder="1" applyAlignment="1">
      <alignment horizontal="center" vertical="top"/>
    </xf>
    <xf numFmtId="15" fontId="8" fillId="0" borderId="0" xfId="0" applyNumberFormat="1" applyFont="1">
      <alignment vertical="top"/>
    </xf>
    <xf numFmtId="15" fontId="8" fillId="0" borderId="0" xfId="0" applyNumberFormat="1" applyFont="1" applyAlignment="1">
      <alignment textRotation="90"/>
    </xf>
    <xf numFmtId="15" fontId="9" fillId="0" borderId="0" xfId="0" applyNumberFormat="1" applyFont="1">
      <alignment vertical="top"/>
    </xf>
    <xf numFmtId="15" fontId="11" fillId="0" borderId="0" xfId="0" applyNumberFormat="1" applyFont="1">
      <alignment vertical="top"/>
    </xf>
    <xf numFmtId="0" fontId="11" fillId="0" borderId="0" xfId="0" applyFont="1">
      <alignment vertical="top"/>
    </xf>
    <xf numFmtId="0" fontId="11" fillId="0" borderId="0" xfId="0" applyFont="1" applyAlignment="1">
      <alignment textRotation="90"/>
    </xf>
    <xf numFmtId="2" fontId="9" fillId="0" borderId="0" xfId="0" applyNumberFormat="1" applyFont="1">
      <alignment vertical="top"/>
    </xf>
    <xf numFmtId="166" fontId="11" fillId="0" borderId="0" xfId="0" applyNumberFormat="1" applyFont="1">
      <alignment vertical="top"/>
    </xf>
    <xf numFmtId="0" fontId="11" fillId="0" borderId="0" xfId="0" applyFont="1" applyAlignment="1">
      <alignment horizontal="right" vertical="top"/>
    </xf>
    <xf numFmtId="16" fontId="11" fillId="0" borderId="0" xfId="0" applyNumberFormat="1" applyFont="1">
      <alignment vertical="top"/>
    </xf>
    <xf numFmtId="0" fontId="11" fillId="0" borderId="0" xfId="0" applyNumberFormat="1" applyFont="1">
      <alignment vertical="top"/>
    </xf>
    <xf numFmtId="0" fontId="11" fillId="0" borderId="0" xfId="0" quotePrefix="1" applyFont="1">
      <alignment vertical="top"/>
    </xf>
    <xf numFmtId="2" fontId="11" fillId="0" borderId="0" xfId="0" applyNumberFormat="1" applyFont="1">
      <alignment vertical="top"/>
    </xf>
    <xf numFmtId="166" fontId="9" fillId="0" borderId="0" xfId="0" applyNumberFormat="1" applyFont="1">
      <alignment vertical="top"/>
    </xf>
    <xf numFmtId="0" fontId="0" fillId="0" borderId="0" xfId="0" applyAlignment="1">
      <alignment horizontal="right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 vertical="top"/>
    </xf>
    <xf numFmtId="2" fontId="9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2" fontId="9" fillId="0" borderId="0" xfId="0" applyNumberFormat="1" applyFon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9" fillId="0" borderId="0" xfId="0" applyFont="1" applyAlignment="1">
      <alignment horizontal="right" vertical="top"/>
    </xf>
    <xf numFmtId="17" fontId="11" fillId="0" borderId="0" xfId="0" applyNumberFormat="1" applyFont="1">
      <alignment vertical="top"/>
    </xf>
    <xf numFmtId="0" fontId="0" fillId="0" borderId="0" xfId="0" applyAlignment="1">
      <alignment horizontal="center" vertical="top"/>
    </xf>
    <xf numFmtId="15" fontId="12" fillId="0" borderId="0" xfId="0" applyNumberFormat="1" applyFont="1" applyAlignment="1">
      <alignment horizontal="left"/>
    </xf>
    <xf numFmtId="0" fontId="12" fillId="0" borderId="0" xfId="0" applyFont="1">
      <alignment vertical="top"/>
    </xf>
    <xf numFmtId="0" fontId="12" fillId="0" borderId="0" xfId="0" applyFont="1" applyAlignment="1">
      <alignment horizontal="center"/>
    </xf>
    <xf numFmtId="0" fontId="8" fillId="0" borderId="0" xfId="0" applyFont="1" applyFill="1">
      <alignment vertical="top"/>
    </xf>
    <xf numFmtId="165" fontId="8" fillId="0" borderId="2" xfId="0" applyNumberFormat="1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Z69"/>
  <sheetViews>
    <sheetView workbookViewId="0">
      <pane xSplit="5" ySplit="4" topLeftCell="F5" activePane="bottomRight" state="frozenSplit"/>
      <selection pane="topRight" activeCell="E1" sqref="E1"/>
      <selection pane="bottomLeft" activeCell="A3" sqref="A3"/>
      <selection pane="bottomRight" activeCell="J32" sqref="J32"/>
    </sheetView>
  </sheetViews>
  <sheetFormatPr defaultRowHeight="11.25" x14ac:dyDescent="0.15"/>
  <cols>
    <col min="1" max="1" width="5.7109375" style="24" customWidth="1"/>
    <col min="2" max="2" width="11.7109375" style="29" customWidth="1"/>
    <col min="3" max="3" width="25.5703125" style="26" customWidth="1"/>
    <col min="4" max="4" width="6.42578125" style="25" customWidth="1"/>
    <col min="5" max="5" width="6" style="25" customWidth="1"/>
    <col min="6" max="6" width="6.28515625" style="25" customWidth="1"/>
    <col min="7" max="7" width="5.42578125" style="24" bestFit="1" customWidth="1"/>
    <col min="8" max="8" width="5.5703125" style="25" bestFit="1" customWidth="1"/>
    <col min="9" max="9" width="9.7109375" style="25" hidden="1" customWidth="1"/>
    <col min="10" max="10" width="31.85546875" style="26" customWidth="1"/>
    <col min="11" max="11" width="5.42578125" style="24" bestFit="1" customWidth="1"/>
    <col min="12" max="12" width="5.5703125" style="25" bestFit="1" customWidth="1"/>
    <col min="13" max="13" width="6.42578125" style="25" hidden="1" customWidth="1"/>
    <col min="14" max="14" width="31.7109375" style="26" customWidth="1"/>
    <col min="15" max="15" width="11" style="26" customWidth="1"/>
    <col min="16" max="16" width="10.42578125" style="26" customWidth="1"/>
    <col min="17" max="17" width="8" style="27" bestFit="1" customWidth="1"/>
    <col min="18" max="18" width="8.7109375" style="27" bestFit="1" customWidth="1"/>
    <col min="19" max="19" width="7.42578125" style="27" bestFit="1" customWidth="1"/>
    <col min="20" max="20" width="8.42578125" style="27" bestFit="1" customWidth="1"/>
    <col min="21" max="21" width="6.85546875" style="27" bestFit="1" customWidth="1"/>
    <col min="22" max="22" width="7.5703125" style="27" bestFit="1" customWidth="1"/>
    <col min="23" max="23" width="6.28515625" style="27" bestFit="1" customWidth="1"/>
    <col min="24" max="24" width="7.28515625" style="27" bestFit="1" customWidth="1"/>
    <col min="25" max="16384" width="9.140625" style="27"/>
  </cols>
  <sheetData>
    <row r="1" spans="1:26" s="23" customFormat="1" x14ac:dyDescent="0.15">
      <c r="A1" s="30" t="s">
        <v>220</v>
      </c>
      <c r="B1" s="31"/>
      <c r="C1" s="41" t="str">
        <f t="array" ref="C1">"Won:"&amp;SUM(IF($E$5:$E$69="W",1,0))</f>
        <v>Won:17</v>
      </c>
      <c r="D1" s="32" t="str">
        <f t="array" ref="D1">"N/D:"&amp;SUM(IF($E$5:$E$69="ND",1,0))</f>
        <v>N/D:2</v>
      </c>
      <c r="E1" s="32"/>
      <c r="F1" s="32"/>
      <c r="H1" s="76"/>
      <c r="K1" s="30"/>
      <c r="L1" s="32"/>
      <c r="M1" s="32"/>
      <c r="N1" s="33"/>
      <c r="O1" s="33"/>
      <c r="P1" s="33"/>
      <c r="Q1" s="34"/>
      <c r="R1" s="34"/>
      <c r="S1" s="34"/>
      <c r="T1" s="34"/>
      <c r="U1" s="34"/>
      <c r="V1" s="34"/>
      <c r="W1" s="34"/>
      <c r="X1" s="34"/>
    </row>
    <row r="2" spans="1:26" s="47" customFormat="1" x14ac:dyDescent="0.15">
      <c r="A2" s="42"/>
      <c r="B2" s="43"/>
      <c r="C2" s="41" t="str">
        <f t="array" ref="C2">"Lost:"&amp;SUM(IF($E$5:$E$69="L",1,0))</f>
        <v>Lost:13</v>
      </c>
      <c r="D2" s="44"/>
      <c r="E2" s="44"/>
      <c r="F2" s="44"/>
      <c r="G2" s="75"/>
      <c r="H2" s="77"/>
      <c r="J2" s="75"/>
      <c r="K2" s="42"/>
      <c r="L2" s="44"/>
      <c r="M2" s="44"/>
      <c r="N2" s="45"/>
      <c r="O2" s="45"/>
      <c r="P2" s="45"/>
      <c r="Q2" s="46"/>
      <c r="R2" s="46"/>
      <c r="S2" s="46"/>
      <c r="T2" s="46"/>
      <c r="U2" s="46"/>
      <c r="V2" s="46"/>
      <c r="W2" s="46"/>
      <c r="X2" s="46"/>
    </row>
    <row r="3" spans="1:26" s="47" customFormat="1" ht="12" thickBot="1" x14ac:dyDescent="0.2">
      <c r="A3" s="42"/>
      <c r="B3" s="43"/>
      <c r="C3" s="41" t="str">
        <f t="array" ref="C3">"Drawn:"&amp;SUM(IF($E$5:$E$69="D",1,0))</f>
        <v>Drawn:13</v>
      </c>
      <c r="D3" s="44"/>
      <c r="E3" s="44"/>
      <c r="F3" s="44"/>
      <c r="G3" s="42"/>
      <c r="H3" s="44"/>
      <c r="I3" s="42"/>
      <c r="J3" s="45"/>
      <c r="K3" s="42"/>
      <c r="L3" s="44"/>
      <c r="M3" s="44"/>
      <c r="N3" s="45"/>
      <c r="O3" s="45"/>
      <c r="P3" s="45"/>
      <c r="Q3" s="46"/>
      <c r="R3" s="46"/>
      <c r="S3" s="46"/>
      <c r="T3" s="46"/>
      <c r="U3" s="46"/>
      <c r="V3" s="46"/>
      <c r="W3" s="46"/>
      <c r="X3" s="46"/>
    </row>
    <row r="4" spans="1:26" s="53" customFormat="1" ht="21.75" thickBot="1" x14ac:dyDescent="0.2">
      <c r="A4" s="50" t="s">
        <v>212</v>
      </c>
      <c r="B4" s="49" t="s">
        <v>0</v>
      </c>
      <c r="C4" s="51" t="s">
        <v>1</v>
      </c>
      <c r="D4" s="50" t="s">
        <v>2</v>
      </c>
      <c r="E4" s="50" t="s">
        <v>3</v>
      </c>
      <c r="F4" s="50"/>
      <c r="G4" s="48" t="s">
        <v>9</v>
      </c>
      <c r="H4" s="50" t="s">
        <v>73</v>
      </c>
      <c r="I4" s="50" t="s">
        <v>180</v>
      </c>
      <c r="J4" s="51"/>
      <c r="K4" s="48" t="s">
        <v>9</v>
      </c>
      <c r="L4" s="50" t="s">
        <v>73</v>
      </c>
      <c r="M4" s="50" t="s">
        <v>180</v>
      </c>
      <c r="N4" s="51"/>
      <c r="O4" s="51" t="s">
        <v>1083</v>
      </c>
      <c r="P4" s="51" t="s">
        <v>1085</v>
      </c>
      <c r="Q4" s="52" t="s">
        <v>182</v>
      </c>
      <c r="R4" s="52" t="s">
        <v>183</v>
      </c>
      <c r="S4" s="52" t="s">
        <v>184</v>
      </c>
      <c r="T4" s="52" t="s">
        <v>185</v>
      </c>
      <c r="U4" s="52" t="s">
        <v>186</v>
      </c>
      <c r="V4" s="52" t="s">
        <v>187</v>
      </c>
      <c r="W4" s="52" t="s">
        <v>188</v>
      </c>
      <c r="X4" s="52" t="s">
        <v>189</v>
      </c>
      <c r="Y4" s="53" t="s">
        <v>199</v>
      </c>
      <c r="Z4" s="53" t="s">
        <v>200</v>
      </c>
    </row>
    <row r="5" spans="1:26" s="23" customFormat="1" x14ac:dyDescent="0.15">
      <c r="A5" s="71">
        <f>WEEKDAY(B5)</f>
        <v>1</v>
      </c>
      <c r="B5" s="31">
        <v>35911</v>
      </c>
      <c r="C5" s="33" t="s">
        <v>245</v>
      </c>
      <c r="D5" s="32" t="s">
        <v>246</v>
      </c>
      <c r="E5" s="32"/>
      <c r="F5" s="32"/>
      <c r="G5" s="30"/>
      <c r="H5" s="32"/>
      <c r="I5" s="32" t="s">
        <v>181</v>
      </c>
      <c r="J5" s="107" t="s">
        <v>1094</v>
      </c>
      <c r="K5" s="30"/>
      <c r="L5" s="32"/>
      <c r="M5" s="32"/>
      <c r="N5" s="33"/>
      <c r="O5" s="106"/>
      <c r="P5" s="106"/>
      <c r="Q5" s="34">
        <v>0</v>
      </c>
      <c r="R5" s="34">
        <v>0</v>
      </c>
      <c r="S5" s="34">
        <v>0</v>
      </c>
      <c r="T5" s="34">
        <v>0</v>
      </c>
      <c r="U5" s="34">
        <v>0</v>
      </c>
      <c r="V5" s="34">
        <v>0</v>
      </c>
      <c r="W5" s="34">
        <v>0</v>
      </c>
      <c r="X5" s="34">
        <v>0</v>
      </c>
      <c r="Y5" s="23">
        <f>SUM(Q5:T5)</f>
        <v>0</v>
      </c>
      <c r="Z5" s="23">
        <f>SUM(U5:X5)</f>
        <v>0</v>
      </c>
    </row>
    <row r="6" spans="1:26" s="58" customFormat="1" x14ac:dyDescent="0.15">
      <c r="A6" s="72">
        <f>WEEKDAY(B6)</f>
        <v>7</v>
      </c>
      <c r="B6" s="31">
        <v>35917</v>
      </c>
      <c r="C6" s="33" t="s">
        <v>247</v>
      </c>
      <c r="D6" s="32" t="s">
        <v>248</v>
      </c>
      <c r="E6" s="32" t="s">
        <v>292</v>
      </c>
      <c r="F6" s="32" t="s">
        <v>293</v>
      </c>
      <c r="G6" s="30">
        <v>125</v>
      </c>
      <c r="H6" s="32">
        <v>10</v>
      </c>
      <c r="I6" s="32" t="s">
        <v>181</v>
      </c>
      <c r="J6" s="33"/>
      <c r="K6" s="30">
        <v>128</v>
      </c>
      <c r="L6" s="32">
        <v>9</v>
      </c>
      <c r="M6" s="32"/>
      <c r="N6" s="33" t="s">
        <v>294</v>
      </c>
      <c r="O6" s="106">
        <v>38.299999999999997</v>
      </c>
      <c r="P6" s="106">
        <v>35</v>
      </c>
      <c r="Q6" s="34">
        <v>4</v>
      </c>
      <c r="R6" s="34">
        <v>0</v>
      </c>
      <c r="S6" s="34">
        <v>7</v>
      </c>
      <c r="T6" s="34">
        <v>0</v>
      </c>
      <c r="U6" s="34">
        <v>7</v>
      </c>
      <c r="V6" s="34">
        <v>3</v>
      </c>
      <c r="W6" s="34">
        <v>10</v>
      </c>
      <c r="X6" s="34">
        <v>0</v>
      </c>
      <c r="Y6" s="23">
        <f t="shared" ref="Y6:Y61" si="0">SUM(Q6:T6)</f>
        <v>11</v>
      </c>
      <c r="Z6" s="23">
        <f t="shared" ref="Z6:Z61" si="1">SUM(U6:X6)</f>
        <v>20</v>
      </c>
    </row>
    <row r="7" spans="1:26" s="47" customFormat="1" x14ac:dyDescent="0.15">
      <c r="A7" s="72">
        <f t="shared" ref="A7:A21" si="2">WEEKDAY(B7)</f>
        <v>1</v>
      </c>
      <c r="B7" s="31">
        <v>35918</v>
      </c>
      <c r="C7" s="33" t="s">
        <v>249</v>
      </c>
      <c r="D7" s="32" t="s">
        <v>248</v>
      </c>
      <c r="E7" s="32" t="s">
        <v>320</v>
      </c>
      <c r="F7" s="32" t="s">
        <v>293</v>
      </c>
      <c r="G7" s="30">
        <v>185</v>
      </c>
      <c r="H7" s="32">
        <v>6</v>
      </c>
      <c r="I7" s="32" t="s">
        <v>181</v>
      </c>
      <c r="J7" s="33" t="s">
        <v>344</v>
      </c>
      <c r="K7" s="30">
        <v>118</v>
      </c>
      <c r="L7" s="32">
        <v>5</v>
      </c>
      <c r="M7" s="32"/>
      <c r="N7" s="33"/>
      <c r="O7" s="106">
        <v>38</v>
      </c>
      <c r="P7" s="106">
        <v>37</v>
      </c>
      <c r="Q7" s="34">
        <v>10</v>
      </c>
      <c r="R7" s="34">
        <v>0</v>
      </c>
      <c r="S7" s="34">
        <v>3</v>
      </c>
      <c r="T7" s="34">
        <v>2</v>
      </c>
      <c r="U7" s="34">
        <v>6</v>
      </c>
      <c r="V7" s="34">
        <v>2</v>
      </c>
      <c r="W7" s="34">
        <v>4</v>
      </c>
      <c r="X7" s="34">
        <v>2</v>
      </c>
      <c r="Y7" s="23">
        <f t="shared" si="0"/>
        <v>15</v>
      </c>
      <c r="Z7" s="23">
        <f t="shared" si="1"/>
        <v>14</v>
      </c>
    </row>
    <row r="8" spans="1:26" s="58" customFormat="1" x14ac:dyDescent="0.15">
      <c r="A8" s="72">
        <f t="shared" si="2"/>
        <v>2</v>
      </c>
      <c r="B8" s="31">
        <v>35919</v>
      </c>
      <c r="C8" s="33" t="s">
        <v>322</v>
      </c>
      <c r="D8" s="32" t="s">
        <v>246</v>
      </c>
      <c r="E8" s="32" t="s">
        <v>321</v>
      </c>
      <c r="F8" s="32" t="s">
        <v>293</v>
      </c>
      <c r="G8" s="30">
        <v>147</v>
      </c>
      <c r="H8" s="32">
        <v>10</v>
      </c>
      <c r="I8" s="32" t="s">
        <v>181</v>
      </c>
      <c r="J8" s="33" t="s">
        <v>345</v>
      </c>
      <c r="K8" s="30">
        <v>145</v>
      </c>
      <c r="L8" s="32">
        <v>10</v>
      </c>
      <c r="M8" s="32"/>
      <c r="N8" s="33" t="s">
        <v>346</v>
      </c>
      <c r="O8" s="106">
        <v>41.3</v>
      </c>
      <c r="P8" s="106">
        <v>42.4</v>
      </c>
      <c r="Q8" s="34">
        <v>2</v>
      </c>
      <c r="R8" s="34">
        <v>0</v>
      </c>
      <c r="S8" s="34">
        <v>3</v>
      </c>
      <c r="T8" s="34">
        <v>2</v>
      </c>
      <c r="U8" s="34">
        <v>10</v>
      </c>
      <c r="V8" s="34">
        <v>4</v>
      </c>
      <c r="W8" s="34">
        <v>3</v>
      </c>
      <c r="X8" s="34">
        <v>8</v>
      </c>
      <c r="Y8" s="23">
        <f t="shared" si="0"/>
        <v>7</v>
      </c>
      <c r="Z8" s="23">
        <f t="shared" si="1"/>
        <v>25</v>
      </c>
    </row>
    <row r="9" spans="1:26" s="47" customFormat="1" x14ac:dyDescent="0.15">
      <c r="A9" s="73">
        <f t="shared" si="2"/>
        <v>7</v>
      </c>
      <c r="B9" s="31">
        <v>35924</v>
      </c>
      <c r="C9" s="33" t="s">
        <v>250</v>
      </c>
      <c r="D9" s="32" t="s">
        <v>248</v>
      </c>
      <c r="E9" s="32" t="s">
        <v>320</v>
      </c>
      <c r="F9" s="32" t="s">
        <v>1</v>
      </c>
      <c r="G9" s="30">
        <v>114</v>
      </c>
      <c r="H9" s="32">
        <v>9</v>
      </c>
      <c r="I9" s="32" t="s">
        <v>181</v>
      </c>
      <c r="J9" s="33" t="s">
        <v>324</v>
      </c>
      <c r="K9" s="30">
        <v>92</v>
      </c>
      <c r="L9" s="32">
        <v>8</v>
      </c>
      <c r="M9" s="32"/>
      <c r="N9" s="33"/>
      <c r="O9" s="106">
        <v>31</v>
      </c>
      <c r="P9" s="106">
        <v>52</v>
      </c>
      <c r="Q9" s="34">
        <v>10</v>
      </c>
      <c r="R9" s="34">
        <v>1</v>
      </c>
      <c r="S9" s="34">
        <v>0</v>
      </c>
      <c r="T9" s="34">
        <v>1</v>
      </c>
      <c r="U9" s="34">
        <v>9</v>
      </c>
      <c r="V9" s="34">
        <v>0</v>
      </c>
      <c r="W9" s="34">
        <v>3</v>
      </c>
      <c r="X9" s="34">
        <v>5</v>
      </c>
      <c r="Y9" s="23">
        <f t="shared" si="0"/>
        <v>12</v>
      </c>
      <c r="Z9" s="23">
        <f t="shared" si="1"/>
        <v>17</v>
      </c>
    </row>
    <row r="10" spans="1:26" x14ac:dyDescent="0.15">
      <c r="A10" s="74">
        <f t="shared" si="2"/>
        <v>1</v>
      </c>
      <c r="B10" s="31">
        <v>35925</v>
      </c>
      <c r="C10" s="33" t="s">
        <v>251</v>
      </c>
      <c r="D10" s="32" t="s">
        <v>246</v>
      </c>
      <c r="E10" s="32" t="s">
        <v>321</v>
      </c>
      <c r="F10" s="32" t="s">
        <v>293</v>
      </c>
      <c r="G10" s="30">
        <v>126</v>
      </c>
      <c r="H10" s="32">
        <v>9</v>
      </c>
      <c r="I10" s="32" t="s">
        <v>181</v>
      </c>
      <c r="J10" s="33" t="s">
        <v>347</v>
      </c>
      <c r="K10" s="30">
        <v>62</v>
      </c>
      <c r="L10" s="32">
        <v>9</v>
      </c>
      <c r="M10" s="32"/>
      <c r="N10" s="33" t="s">
        <v>348</v>
      </c>
      <c r="O10" s="106">
        <v>45</v>
      </c>
      <c r="P10" s="106">
        <v>27.4</v>
      </c>
      <c r="Q10" s="34">
        <v>4</v>
      </c>
      <c r="R10" s="34">
        <v>0</v>
      </c>
      <c r="S10" s="34">
        <v>9</v>
      </c>
      <c r="T10" s="34">
        <v>2</v>
      </c>
      <c r="U10" s="34">
        <v>4</v>
      </c>
      <c r="V10" s="34">
        <v>2</v>
      </c>
      <c r="W10" s="34">
        <v>9</v>
      </c>
      <c r="X10" s="34">
        <v>5</v>
      </c>
      <c r="Y10" s="23">
        <f t="shared" si="0"/>
        <v>15</v>
      </c>
      <c r="Z10" s="23">
        <f t="shared" si="1"/>
        <v>20</v>
      </c>
    </row>
    <row r="11" spans="1:26" x14ac:dyDescent="0.15">
      <c r="A11" s="74">
        <f t="shared" si="2"/>
        <v>1</v>
      </c>
      <c r="B11" s="31">
        <v>35925</v>
      </c>
      <c r="C11" s="33" t="s">
        <v>252</v>
      </c>
      <c r="D11" s="32" t="s">
        <v>248</v>
      </c>
      <c r="E11" s="32" t="s">
        <v>321</v>
      </c>
      <c r="F11" s="32" t="s">
        <v>293</v>
      </c>
      <c r="G11" s="30">
        <v>188</v>
      </c>
      <c r="H11" s="32">
        <v>4</v>
      </c>
      <c r="I11" s="32" t="s">
        <v>181</v>
      </c>
      <c r="J11" s="33" t="s">
        <v>443</v>
      </c>
      <c r="K11" s="30">
        <v>109</v>
      </c>
      <c r="L11" s="32">
        <v>10</v>
      </c>
      <c r="M11" s="32"/>
      <c r="N11" s="33" t="s">
        <v>444</v>
      </c>
      <c r="O11" s="106">
        <v>40</v>
      </c>
      <c r="P11" s="106">
        <v>30.4</v>
      </c>
      <c r="Q11" s="34">
        <v>4</v>
      </c>
      <c r="R11" s="34">
        <v>0</v>
      </c>
      <c r="S11" s="34">
        <v>12</v>
      </c>
      <c r="T11" s="34">
        <v>1</v>
      </c>
      <c r="U11" s="34">
        <v>10</v>
      </c>
      <c r="V11" s="34">
        <v>0</v>
      </c>
      <c r="W11" s="34">
        <v>18</v>
      </c>
      <c r="X11" s="34">
        <v>2</v>
      </c>
      <c r="Y11" s="23">
        <f t="shared" si="0"/>
        <v>17</v>
      </c>
      <c r="Z11" s="23">
        <f t="shared" si="1"/>
        <v>30</v>
      </c>
    </row>
    <row r="12" spans="1:26" x14ac:dyDescent="0.15">
      <c r="A12" s="74">
        <f t="shared" si="2"/>
        <v>7</v>
      </c>
      <c r="B12" s="31">
        <v>35931</v>
      </c>
      <c r="C12" s="33" t="s">
        <v>402</v>
      </c>
      <c r="D12" s="32" t="s">
        <v>246</v>
      </c>
      <c r="E12" s="32" t="s">
        <v>321</v>
      </c>
      <c r="F12" s="32" t="s">
        <v>293</v>
      </c>
      <c r="G12" s="30">
        <v>134</v>
      </c>
      <c r="H12" s="32">
        <v>10</v>
      </c>
      <c r="I12" s="32" t="s">
        <v>181</v>
      </c>
      <c r="J12" s="33" t="s">
        <v>403</v>
      </c>
      <c r="K12" s="30">
        <v>87</v>
      </c>
      <c r="L12" s="32">
        <v>10</v>
      </c>
      <c r="M12" s="32"/>
      <c r="N12" s="33" t="s">
        <v>404</v>
      </c>
      <c r="O12" s="106">
        <v>36.299999999999997</v>
      </c>
      <c r="P12" s="106">
        <v>30</v>
      </c>
      <c r="Q12" s="34">
        <v>3</v>
      </c>
      <c r="R12" s="34">
        <v>0</v>
      </c>
      <c r="S12" s="34">
        <v>15</v>
      </c>
      <c r="T12" s="34">
        <v>6</v>
      </c>
      <c r="U12" s="34">
        <v>9</v>
      </c>
      <c r="V12" s="34">
        <v>1</v>
      </c>
      <c r="W12" s="34">
        <v>0</v>
      </c>
      <c r="X12" s="34">
        <v>2</v>
      </c>
      <c r="Y12" s="23">
        <f t="shared" si="0"/>
        <v>24</v>
      </c>
      <c r="Z12" s="23">
        <f t="shared" si="1"/>
        <v>12</v>
      </c>
    </row>
    <row r="13" spans="1:26" x14ac:dyDescent="0.15">
      <c r="A13" s="74">
        <f t="shared" si="2"/>
        <v>1</v>
      </c>
      <c r="B13" s="31">
        <v>35932</v>
      </c>
      <c r="C13" s="33" t="s">
        <v>253</v>
      </c>
      <c r="D13" s="32" t="s">
        <v>248</v>
      </c>
      <c r="E13" s="32" t="s">
        <v>292</v>
      </c>
      <c r="F13" s="32" t="s">
        <v>1</v>
      </c>
      <c r="G13" s="30">
        <v>166</v>
      </c>
      <c r="H13" s="32">
        <v>10</v>
      </c>
      <c r="I13" s="32" t="s">
        <v>181</v>
      </c>
      <c r="J13" s="33" t="s">
        <v>422</v>
      </c>
      <c r="K13" s="30">
        <v>164</v>
      </c>
      <c r="L13" s="32">
        <v>10</v>
      </c>
      <c r="M13" s="32"/>
      <c r="N13" s="33" t="s">
        <v>423</v>
      </c>
      <c r="O13" s="106">
        <v>39.4</v>
      </c>
      <c r="P13" s="106">
        <v>44.2</v>
      </c>
      <c r="Q13" s="34">
        <v>14</v>
      </c>
      <c r="R13" s="34">
        <v>3</v>
      </c>
      <c r="S13" s="34">
        <v>10</v>
      </c>
      <c r="T13" s="34">
        <v>2</v>
      </c>
      <c r="U13" s="34">
        <v>6</v>
      </c>
      <c r="V13" s="34">
        <v>4</v>
      </c>
      <c r="W13" s="34">
        <v>11</v>
      </c>
      <c r="X13" s="34">
        <v>3</v>
      </c>
      <c r="Y13" s="23">
        <f t="shared" si="0"/>
        <v>29</v>
      </c>
      <c r="Z13" s="23">
        <f t="shared" si="1"/>
        <v>24</v>
      </c>
    </row>
    <row r="14" spans="1:26" x14ac:dyDescent="0.15">
      <c r="A14" s="74">
        <f t="shared" si="2"/>
        <v>1</v>
      </c>
      <c r="B14" s="31">
        <v>35932</v>
      </c>
      <c r="C14" s="33" t="s">
        <v>254</v>
      </c>
      <c r="D14" s="32" t="s">
        <v>246</v>
      </c>
      <c r="E14" s="32" t="s">
        <v>321</v>
      </c>
      <c r="F14" s="32" t="s">
        <v>1</v>
      </c>
      <c r="G14" s="30">
        <v>87</v>
      </c>
      <c r="H14" s="32">
        <v>10</v>
      </c>
      <c r="I14" s="32" t="s">
        <v>181</v>
      </c>
      <c r="J14" s="33" t="s">
        <v>445</v>
      </c>
      <c r="K14" s="30">
        <v>88</v>
      </c>
      <c r="L14" s="32">
        <v>9</v>
      </c>
      <c r="M14" s="32"/>
      <c r="N14" s="33" t="s">
        <v>446</v>
      </c>
      <c r="O14" s="106">
        <v>22.4</v>
      </c>
      <c r="P14" s="106">
        <v>38.5</v>
      </c>
      <c r="Q14" s="34">
        <v>19</v>
      </c>
      <c r="R14" s="34">
        <v>0</v>
      </c>
      <c r="S14" s="34">
        <v>9</v>
      </c>
      <c r="T14" s="34">
        <v>2</v>
      </c>
      <c r="U14" s="34">
        <v>2</v>
      </c>
      <c r="V14" s="34">
        <v>2</v>
      </c>
      <c r="W14" s="34">
        <v>1</v>
      </c>
      <c r="X14" s="34">
        <v>0</v>
      </c>
      <c r="Y14" s="23">
        <f t="shared" si="0"/>
        <v>30</v>
      </c>
      <c r="Z14" s="23">
        <f t="shared" si="1"/>
        <v>5</v>
      </c>
    </row>
    <row r="15" spans="1:26" x14ac:dyDescent="0.15">
      <c r="A15" s="74">
        <f t="shared" si="2"/>
        <v>7</v>
      </c>
      <c r="B15" s="31">
        <v>35938</v>
      </c>
      <c r="C15" s="33" t="s">
        <v>255</v>
      </c>
      <c r="D15" s="32" t="s">
        <v>246</v>
      </c>
      <c r="E15" s="32" t="s">
        <v>321</v>
      </c>
      <c r="F15" s="32" t="s">
        <v>1</v>
      </c>
      <c r="G15" s="30">
        <v>166</v>
      </c>
      <c r="H15" s="32">
        <v>7</v>
      </c>
      <c r="I15" s="32" t="s">
        <v>181</v>
      </c>
      <c r="J15" s="33" t="s">
        <v>441</v>
      </c>
      <c r="K15" s="30">
        <v>171</v>
      </c>
      <c r="L15" s="32">
        <v>6</v>
      </c>
      <c r="M15" s="32"/>
      <c r="N15" s="33" t="s">
        <v>442</v>
      </c>
      <c r="O15" s="106">
        <v>32.299999999999997</v>
      </c>
      <c r="P15" s="106">
        <v>44</v>
      </c>
      <c r="Q15" s="34">
        <v>19</v>
      </c>
      <c r="R15" s="34">
        <v>4</v>
      </c>
      <c r="S15" s="34">
        <v>4</v>
      </c>
      <c r="T15" s="34">
        <v>1</v>
      </c>
      <c r="U15" s="34">
        <v>13</v>
      </c>
      <c r="V15" s="34">
        <v>4</v>
      </c>
      <c r="W15" s="34">
        <v>12</v>
      </c>
      <c r="X15" s="34">
        <v>2</v>
      </c>
      <c r="Y15" s="23">
        <f t="shared" si="0"/>
        <v>28</v>
      </c>
      <c r="Z15" s="23">
        <f t="shared" si="1"/>
        <v>31</v>
      </c>
    </row>
    <row r="16" spans="1:26" ht="21" x14ac:dyDescent="0.15">
      <c r="A16" s="74">
        <f t="shared" si="2"/>
        <v>1</v>
      </c>
      <c r="B16" s="31">
        <v>35939</v>
      </c>
      <c r="C16" s="33" t="s">
        <v>256</v>
      </c>
      <c r="D16" s="32" t="s">
        <v>246</v>
      </c>
      <c r="E16" s="32" t="s">
        <v>321</v>
      </c>
      <c r="F16" s="32" t="s">
        <v>293</v>
      </c>
      <c r="G16" s="30">
        <v>158</v>
      </c>
      <c r="H16" s="32">
        <v>7</v>
      </c>
      <c r="I16" s="32" t="s">
        <v>181</v>
      </c>
      <c r="J16" s="33" t="s">
        <v>447</v>
      </c>
      <c r="K16" s="30">
        <v>93</v>
      </c>
      <c r="L16" s="32">
        <v>10</v>
      </c>
      <c r="M16" s="32"/>
      <c r="N16" s="33" t="s">
        <v>448</v>
      </c>
      <c r="O16" s="106">
        <v>41</v>
      </c>
      <c r="P16" s="106">
        <v>27.5</v>
      </c>
      <c r="Q16" s="34">
        <v>1</v>
      </c>
      <c r="R16" s="34">
        <v>0</v>
      </c>
      <c r="S16" s="34">
        <v>10</v>
      </c>
      <c r="T16" s="34">
        <v>0</v>
      </c>
      <c r="U16" s="34">
        <v>7</v>
      </c>
      <c r="V16" s="34">
        <v>0</v>
      </c>
      <c r="W16" s="34">
        <v>8</v>
      </c>
      <c r="X16" s="34">
        <v>0</v>
      </c>
      <c r="Y16" s="23">
        <f t="shared" si="0"/>
        <v>11</v>
      </c>
      <c r="Z16" s="23">
        <f t="shared" si="1"/>
        <v>15</v>
      </c>
    </row>
    <row r="17" spans="1:26" x14ac:dyDescent="0.15">
      <c r="A17" s="74">
        <f t="shared" si="2"/>
        <v>2</v>
      </c>
      <c r="B17" s="31">
        <v>35940</v>
      </c>
      <c r="C17" s="33" t="s">
        <v>257</v>
      </c>
      <c r="D17" s="32" t="s">
        <v>246</v>
      </c>
      <c r="E17" s="32" t="s">
        <v>321</v>
      </c>
      <c r="F17" s="32" t="s">
        <v>293</v>
      </c>
      <c r="G17" s="30">
        <v>235</v>
      </c>
      <c r="H17" s="32">
        <v>5</v>
      </c>
      <c r="I17" s="32" t="s">
        <v>181</v>
      </c>
      <c r="J17" s="33" t="s">
        <v>449</v>
      </c>
      <c r="K17" s="30">
        <v>76</v>
      </c>
      <c r="L17" s="32">
        <v>10</v>
      </c>
      <c r="M17" s="32"/>
      <c r="N17" s="33" t="s">
        <v>450</v>
      </c>
      <c r="O17" s="106">
        <v>41</v>
      </c>
      <c r="P17" s="106">
        <v>20.3</v>
      </c>
      <c r="Q17" s="34">
        <v>2</v>
      </c>
      <c r="R17" s="34">
        <v>1</v>
      </c>
      <c r="S17" s="34">
        <v>1</v>
      </c>
      <c r="T17" s="34">
        <v>0</v>
      </c>
      <c r="U17" s="34">
        <v>5</v>
      </c>
      <c r="V17" s="34">
        <v>1</v>
      </c>
      <c r="W17" s="34">
        <v>3</v>
      </c>
      <c r="X17" s="34">
        <v>3</v>
      </c>
      <c r="Y17" s="23">
        <f t="shared" si="0"/>
        <v>4</v>
      </c>
      <c r="Z17" s="23">
        <f t="shared" si="1"/>
        <v>12</v>
      </c>
    </row>
    <row r="18" spans="1:26" x14ac:dyDescent="0.15">
      <c r="A18" s="74">
        <f t="shared" si="2"/>
        <v>3</v>
      </c>
      <c r="B18" s="31">
        <v>35941</v>
      </c>
      <c r="C18" s="33" t="s">
        <v>258</v>
      </c>
      <c r="D18" s="32" t="s">
        <v>246</v>
      </c>
      <c r="E18" s="32" t="s">
        <v>321</v>
      </c>
      <c r="F18" s="32" t="s">
        <v>1</v>
      </c>
      <c r="G18" s="30">
        <v>150</v>
      </c>
      <c r="H18" s="32">
        <v>3</v>
      </c>
      <c r="I18" s="32" t="s">
        <v>181</v>
      </c>
      <c r="J18" s="33" t="s">
        <v>451</v>
      </c>
      <c r="K18" s="30">
        <v>151</v>
      </c>
      <c r="L18" s="32">
        <v>3</v>
      </c>
      <c r="M18" s="32"/>
      <c r="N18" s="33" t="s">
        <v>452</v>
      </c>
      <c r="O18" s="106">
        <v>21</v>
      </c>
      <c r="P18" s="106">
        <v>25</v>
      </c>
      <c r="Q18" s="34">
        <v>4</v>
      </c>
      <c r="R18" s="34">
        <v>0</v>
      </c>
      <c r="S18" s="34">
        <v>2</v>
      </c>
      <c r="T18" s="34">
        <v>1</v>
      </c>
      <c r="U18" s="34">
        <v>1</v>
      </c>
      <c r="V18" s="34">
        <v>3</v>
      </c>
      <c r="W18" s="34">
        <v>2</v>
      </c>
      <c r="X18" s="34">
        <v>3</v>
      </c>
      <c r="Y18" s="23">
        <f t="shared" si="0"/>
        <v>7</v>
      </c>
      <c r="Z18" s="23">
        <f t="shared" si="1"/>
        <v>9</v>
      </c>
    </row>
    <row r="19" spans="1:26" x14ac:dyDescent="0.15">
      <c r="A19" s="74">
        <f t="shared" si="2"/>
        <v>7</v>
      </c>
      <c r="B19" s="31">
        <v>35945</v>
      </c>
      <c r="C19" s="33" t="s">
        <v>259</v>
      </c>
      <c r="D19" s="32" t="s">
        <v>248</v>
      </c>
      <c r="E19" s="32" t="s">
        <v>292</v>
      </c>
      <c r="F19" s="32" t="s">
        <v>293</v>
      </c>
      <c r="G19" s="30">
        <v>126</v>
      </c>
      <c r="H19" s="32">
        <v>10</v>
      </c>
      <c r="I19" s="32" t="s">
        <v>181</v>
      </c>
      <c r="J19" s="33" t="s">
        <v>544</v>
      </c>
      <c r="K19" s="30">
        <v>127</v>
      </c>
      <c r="L19" s="32">
        <v>5</v>
      </c>
      <c r="M19" s="32"/>
      <c r="N19" s="33" t="s">
        <v>545</v>
      </c>
      <c r="O19" s="106">
        <v>40.1</v>
      </c>
      <c r="P19" s="106">
        <v>33.5</v>
      </c>
      <c r="Q19" s="34">
        <v>4</v>
      </c>
      <c r="R19" s="34">
        <v>2</v>
      </c>
      <c r="S19" s="34">
        <v>2</v>
      </c>
      <c r="T19" s="34">
        <v>2</v>
      </c>
      <c r="U19" s="34">
        <v>5</v>
      </c>
      <c r="V19" s="34">
        <v>3</v>
      </c>
      <c r="W19" s="34">
        <v>8</v>
      </c>
      <c r="X19" s="34">
        <v>4</v>
      </c>
      <c r="Y19" s="23">
        <f t="shared" si="0"/>
        <v>10</v>
      </c>
      <c r="Z19" s="23">
        <f t="shared" si="1"/>
        <v>20</v>
      </c>
    </row>
    <row r="20" spans="1:26" x14ac:dyDescent="0.15">
      <c r="A20" s="74">
        <f t="shared" si="2"/>
        <v>1</v>
      </c>
      <c r="B20" s="31">
        <v>35946</v>
      </c>
      <c r="C20" s="33" t="s">
        <v>260</v>
      </c>
      <c r="D20" s="32" t="s">
        <v>248</v>
      </c>
      <c r="E20" s="32" t="s">
        <v>320</v>
      </c>
      <c r="F20" s="32" t="s">
        <v>293</v>
      </c>
      <c r="G20" s="30">
        <v>172</v>
      </c>
      <c r="H20" s="32">
        <v>8</v>
      </c>
      <c r="I20" s="32" t="s">
        <v>181</v>
      </c>
      <c r="J20" s="33" t="s">
        <v>580</v>
      </c>
      <c r="K20" s="30">
        <v>103</v>
      </c>
      <c r="L20" s="32">
        <v>7</v>
      </c>
      <c r="M20" s="32"/>
      <c r="N20" s="33" t="s">
        <v>581</v>
      </c>
      <c r="O20" s="106">
        <v>43</v>
      </c>
      <c r="P20" s="106">
        <v>44</v>
      </c>
      <c r="Q20" s="34">
        <v>7</v>
      </c>
      <c r="R20" s="34">
        <v>2</v>
      </c>
      <c r="S20" s="34">
        <v>3</v>
      </c>
      <c r="T20" s="34">
        <v>2</v>
      </c>
      <c r="U20" s="34">
        <v>7</v>
      </c>
      <c r="V20" s="34">
        <v>4</v>
      </c>
      <c r="W20" s="34">
        <v>9</v>
      </c>
      <c r="X20" s="34">
        <v>3</v>
      </c>
      <c r="Y20" s="23">
        <f t="shared" si="0"/>
        <v>14</v>
      </c>
      <c r="Z20" s="23">
        <f t="shared" si="1"/>
        <v>23</v>
      </c>
    </row>
    <row r="21" spans="1:26" x14ac:dyDescent="0.15">
      <c r="A21" s="74">
        <f t="shared" si="2"/>
        <v>1</v>
      </c>
      <c r="B21" s="31">
        <v>35946</v>
      </c>
      <c r="C21" s="33" t="s">
        <v>261</v>
      </c>
      <c r="D21" s="32" t="s">
        <v>246</v>
      </c>
      <c r="E21" s="32" t="s">
        <v>321</v>
      </c>
      <c r="F21" s="32" t="s">
        <v>1</v>
      </c>
      <c r="G21" s="30">
        <v>151</v>
      </c>
      <c r="H21" s="32">
        <v>6</v>
      </c>
      <c r="I21" s="32" t="s">
        <v>181</v>
      </c>
      <c r="J21" s="33" t="s">
        <v>598</v>
      </c>
      <c r="K21" s="30">
        <v>153</v>
      </c>
      <c r="L21" s="32">
        <v>6</v>
      </c>
      <c r="M21" s="32"/>
      <c r="N21" s="33" t="s">
        <v>599</v>
      </c>
      <c r="O21" s="106">
        <v>34</v>
      </c>
      <c r="P21" s="106">
        <v>47</v>
      </c>
      <c r="Q21" s="34">
        <v>0</v>
      </c>
      <c r="R21" s="34">
        <v>0</v>
      </c>
      <c r="S21" s="34">
        <v>2</v>
      </c>
      <c r="T21" s="34">
        <v>0</v>
      </c>
      <c r="U21" s="34">
        <v>5</v>
      </c>
      <c r="V21" s="34">
        <v>0</v>
      </c>
      <c r="W21" s="34">
        <v>4</v>
      </c>
      <c r="X21" s="34">
        <v>1</v>
      </c>
      <c r="Y21" s="23">
        <f t="shared" si="0"/>
        <v>2</v>
      </c>
      <c r="Z21" s="23">
        <f t="shared" si="1"/>
        <v>10</v>
      </c>
    </row>
    <row r="22" spans="1:26" x14ac:dyDescent="0.15">
      <c r="A22" s="74">
        <f t="shared" ref="A22:A38" si="3">WEEKDAY(B22)</f>
        <v>7</v>
      </c>
      <c r="B22" s="31">
        <v>35952</v>
      </c>
      <c r="C22" s="33" t="s">
        <v>262</v>
      </c>
      <c r="D22" s="32" t="s">
        <v>246</v>
      </c>
      <c r="E22" s="32" t="s">
        <v>320</v>
      </c>
      <c r="F22" s="32" t="s">
        <v>1</v>
      </c>
      <c r="G22" s="30">
        <v>202</v>
      </c>
      <c r="H22" s="32">
        <v>8</v>
      </c>
      <c r="I22" s="32" t="s">
        <v>181</v>
      </c>
      <c r="J22" s="33" t="s">
        <v>562</v>
      </c>
      <c r="K22" s="30">
        <v>182</v>
      </c>
      <c r="L22" s="32">
        <v>9</v>
      </c>
      <c r="M22" s="32"/>
      <c r="N22" s="33" t="s">
        <v>563</v>
      </c>
      <c r="O22" s="106">
        <v>38</v>
      </c>
      <c r="P22" s="106">
        <v>42</v>
      </c>
      <c r="Q22" s="34">
        <v>3</v>
      </c>
      <c r="R22" s="34">
        <v>0</v>
      </c>
      <c r="S22" s="34">
        <v>8</v>
      </c>
      <c r="T22" s="34">
        <v>4</v>
      </c>
      <c r="U22" s="34">
        <v>15</v>
      </c>
      <c r="V22" s="34">
        <v>0</v>
      </c>
      <c r="W22" s="34">
        <v>6</v>
      </c>
      <c r="X22" s="34">
        <v>1</v>
      </c>
      <c r="Y22" s="23">
        <f t="shared" si="0"/>
        <v>15</v>
      </c>
      <c r="Z22" s="23">
        <f t="shared" si="1"/>
        <v>22</v>
      </c>
    </row>
    <row r="23" spans="1:26" x14ac:dyDescent="0.15">
      <c r="A23" s="74">
        <f t="shared" si="3"/>
        <v>1</v>
      </c>
      <c r="B23" s="31">
        <v>35953</v>
      </c>
      <c r="C23" s="33" t="s">
        <v>255</v>
      </c>
      <c r="D23" s="32" t="s">
        <v>246</v>
      </c>
      <c r="E23" s="32" t="s">
        <v>292</v>
      </c>
      <c r="F23" s="32" t="s">
        <v>293</v>
      </c>
      <c r="G23" s="30">
        <v>190</v>
      </c>
      <c r="H23" s="32">
        <v>10</v>
      </c>
      <c r="I23" s="32" t="s">
        <v>181</v>
      </c>
      <c r="J23" s="33" t="s">
        <v>738</v>
      </c>
      <c r="K23" s="30">
        <v>193</v>
      </c>
      <c r="L23" s="32">
        <v>6</v>
      </c>
      <c r="M23" s="32"/>
      <c r="N23" s="33"/>
      <c r="O23" s="106">
        <v>38</v>
      </c>
      <c r="P23" s="106">
        <v>38.299999999999997</v>
      </c>
      <c r="Q23" s="34">
        <v>11</v>
      </c>
      <c r="R23" s="34">
        <v>1</v>
      </c>
      <c r="S23" s="34">
        <v>4</v>
      </c>
      <c r="T23" s="34">
        <v>1</v>
      </c>
      <c r="U23" s="34">
        <v>16</v>
      </c>
      <c r="V23" s="34">
        <v>1</v>
      </c>
      <c r="W23" s="34">
        <v>0</v>
      </c>
      <c r="X23" s="34">
        <v>1</v>
      </c>
      <c r="Y23" s="23">
        <f t="shared" si="0"/>
        <v>17</v>
      </c>
      <c r="Z23" s="23">
        <f t="shared" si="1"/>
        <v>18</v>
      </c>
    </row>
    <row r="24" spans="1:26" x14ac:dyDescent="0.15">
      <c r="A24" s="74">
        <f t="shared" si="3"/>
        <v>1</v>
      </c>
      <c r="B24" s="31">
        <v>35953</v>
      </c>
      <c r="C24" s="33" t="s">
        <v>254</v>
      </c>
      <c r="D24" s="32" t="s">
        <v>248</v>
      </c>
      <c r="E24" s="32" t="s">
        <v>320</v>
      </c>
      <c r="F24" s="32" t="s">
        <v>293</v>
      </c>
      <c r="G24" s="30">
        <v>172</v>
      </c>
      <c r="H24" s="32">
        <v>8</v>
      </c>
      <c r="I24" s="32" t="s">
        <v>181</v>
      </c>
      <c r="J24" s="33" t="s">
        <v>600</v>
      </c>
      <c r="K24" s="30">
        <v>103</v>
      </c>
      <c r="L24" s="32">
        <v>7</v>
      </c>
      <c r="M24" s="32"/>
      <c r="N24" s="33" t="s">
        <v>601</v>
      </c>
      <c r="O24" s="106">
        <v>43.5</v>
      </c>
      <c r="P24" s="106">
        <v>39</v>
      </c>
      <c r="Q24" s="34">
        <v>10</v>
      </c>
      <c r="R24" s="34">
        <v>0</v>
      </c>
      <c r="S24" s="34">
        <v>12</v>
      </c>
      <c r="T24" s="34">
        <v>1</v>
      </c>
      <c r="U24" s="34">
        <v>3</v>
      </c>
      <c r="V24" s="34">
        <v>1</v>
      </c>
      <c r="W24" s="34">
        <v>4</v>
      </c>
      <c r="X24" s="34">
        <v>4</v>
      </c>
      <c r="Y24" s="23">
        <f t="shared" si="0"/>
        <v>23</v>
      </c>
      <c r="Z24" s="23">
        <f t="shared" si="1"/>
        <v>12</v>
      </c>
    </row>
    <row r="25" spans="1:26" x14ac:dyDescent="0.15">
      <c r="A25" s="74">
        <f t="shared" si="3"/>
        <v>7</v>
      </c>
      <c r="B25" s="31">
        <v>35959</v>
      </c>
      <c r="C25" s="33" t="s">
        <v>247</v>
      </c>
      <c r="D25" s="32" t="s">
        <v>246</v>
      </c>
      <c r="E25" s="32"/>
      <c r="F25" s="32"/>
      <c r="G25" s="30"/>
      <c r="H25" s="32"/>
      <c r="I25" s="32" t="s">
        <v>181</v>
      </c>
      <c r="J25" s="33"/>
      <c r="K25" s="30"/>
      <c r="L25" s="32"/>
      <c r="M25" s="32"/>
      <c r="N25" s="33"/>
      <c r="O25" s="106"/>
      <c r="P25" s="106"/>
      <c r="Q25" s="34">
        <v>0</v>
      </c>
      <c r="R25" s="34">
        <v>0</v>
      </c>
      <c r="S25" s="34">
        <v>0</v>
      </c>
      <c r="T25" s="34">
        <v>0</v>
      </c>
      <c r="U25" s="34">
        <v>0</v>
      </c>
      <c r="V25" s="34">
        <v>0</v>
      </c>
      <c r="W25" s="34">
        <v>0</v>
      </c>
      <c r="X25" s="34">
        <v>0</v>
      </c>
      <c r="Y25" s="23">
        <f t="shared" si="0"/>
        <v>0</v>
      </c>
      <c r="Z25" s="23">
        <f t="shared" si="1"/>
        <v>0</v>
      </c>
    </row>
    <row r="26" spans="1:26" x14ac:dyDescent="0.15">
      <c r="A26" s="74">
        <f t="shared" si="3"/>
        <v>1</v>
      </c>
      <c r="B26" s="31">
        <v>35960</v>
      </c>
      <c r="C26" s="33" t="s">
        <v>263</v>
      </c>
      <c r="D26" s="32" t="s">
        <v>246</v>
      </c>
      <c r="E26" s="32"/>
      <c r="F26" s="32"/>
      <c r="G26" s="30"/>
      <c r="H26" s="32"/>
      <c r="I26" s="32" t="s">
        <v>181</v>
      </c>
      <c r="J26" s="33"/>
      <c r="K26" s="30"/>
      <c r="L26" s="32"/>
      <c r="M26" s="32"/>
      <c r="N26" s="33"/>
      <c r="O26" s="106"/>
      <c r="P26" s="106"/>
      <c r="Q26" s="34">
        <v>0</v>
      </c>
      <c r="R26" s="34">
        <v>0</v>
      </c>
      <c r="S26" s="34">
        <v>0</v>
      </c>
      <c r="T26" s="34">
        <v>0</v>
      </c>
      <c r="U26" s="34">
        <v>0</v>
      </c>
      <c r="V26" s="34">
        <v>0</v>
      </c>
      <c r="W26" s="34">
        <v>0</v>
      </c>
      <c r="X26" s="34">
        <v>0</v>
      </c>
      <c r="Y26" s="23">
        <f t="shared" si="0"/>
        <v>0</v>
      </c>
      <c r="Z26" s="23">
        <f t="shared" si="1"/>
        <v>0</v>
      </c>
    </row>
    <row r="27" spans="1:26" x14ac:dyDescent="0.15">
      <c r="A27" s="74">
        <f t="shared" si="3"/>
        <v>1</v>
      </c>
      <c r="B27" s="31">
        <v>35960</v>
      </c>
      <c r="C27" s="33" t="s">
        <v>264</v>
      </c>
      <c r="D27" s="32" t="s">
        <v>248</v>
      </c>
      <c r="E27" s="32" t="s">
        <v>321</v>
      </c>
      <c r="F27" s="32" t="s">
        <v>1</v>
      </c>
      <c r="G27" s="30">
        <v>108</v>
      </c>
      <c r="H27" s="32">
        <v>8</v>
      </c>
      <c r="I27" s="32" t="s">
        <v>181</v>
      </c>
      <c r="J27" s="33"/>
      <c r="K27" s="30">
        <v>110</v>
      </c>
      <c r="L27" s="32">
        <v>9</v>
      </c>
      <c r="M27" s="32"/>
      <c r="N27" s="33" t="s">
        <v>706</v>
      </c>
      <c r="O27" s="106">
        <v>36.200000000000003</v>
      </c>
      <c r="P27" s="106">
        <v>47</v>
      </c>
      <c r="Q27" s="34">
        <v>13</v>
      </c>
      <c r="R27" s="34">
        <v>0</v>
      </c>
      <c r="S27" s="34">
        <v>4</v>
      </c>
      <c r="T27" s="34">
        <v>4</v>
      </c>
      <c r="U27" s="34">
        <v>16</v>
      </c>
      <c r="V27" s="34">
        <v>0</v>
      </c>
      <c r="W27" s="34">
        <v>5</v>
      </c>
      <c r="X27" s="34">
        <v>0</v>
      </c>
      <c r="Y27" s="23">
        <f t="shared" si="0"/>
        <v>21</v>
      </c>
      <c r="Z27" s="23">
        <f t="shared" si="1"/>
        <v>21</v>
      </c>
    </row>
    <row r="28" spans="1:26" ht="11.25" customHeight="1" x14ac:dyDescent="0.15">
      <c r="A28" s="74">
        <f t="shared" si="3"/>
        <v>7</v>
      </c>
      <c r="B28" s="31">
        <v>35966</v>
      </c>
      <c r="C28" s="33" t="s">
        <v>628</v>
      </c>
      <c r="D28" s="32" t="s">
        <v>248</v>
      </c>
      <c r="E28" s="32" t="s">
        <v>292</v>
      </c>
      <c r="F28" s="32" t="s">
        <v>1</v>
      </c>
      <c r="G28" s="30">
        <v>160</v>
      </c>
      <c r="H28" s="32">
        <v>10</v>
      </c>
      <c r="I28" s="32" t="s">
        <v>181</v>
      </c>
      <c r="J28" s="33" t="s">
        <v>629</v>
      </c>
      <c r="K28" s="30">
        <v>156</v>
      </c>
      <c r="L28" s="32">
        <v>10</v>
      </c>
      <c r="M28" s="32"/>
      <c r="N28" s="33" t="s">
        <v>630</v>
      </c>
      <c r="O28" s="106">
        <v>35.299999999999997</v>
      </c>
      <c r="P28" s="106">
        <v>40.1</v>
      </c>
      <c r="Q28" s="34">
        <v>2</v>
      </c>
      <c r="R28" s="34">
        <v>7</v>
      </c>
      <c r="S28" s="34">
        <v>5</v>
      </c>
      <c r="T28" s="34">
        <v>1</v>
      </c>
      <c r="U28" s="34">
        <v>4</v>
      </c>
      <c r="V28" s="34">
        <v>0</v>
      </c>
      <c r="W28" s="34">
        <v>8</v>
      </c>
      <c r="X28" s="34">
        <v>0</v>
      </c>
      <c r="Y28" s="23">
        <f t="shared" si="0"/>
        <v>15</v>
      </c>
      <c r="Z28" s="23">
        <f t="shared" si="1"/>
        <v>12</v>
      </c>
    </row>
    <row r="29" spans="1:26" x14ac:dyDescent="0.15">
      <c r="A29" s="74">
        <f t="shared" si="3"/>
        <v>1</v>
      </c>
      <c r="B29" s="31">
        <v>35967</v>
      </c>
      <c r="C29" s="33" t="s">
        <v>266</v>
      </c>
      <c r="D29" s="32" t="s">
        <v>248</v>
      </c>
      <c r="E29" s="32" t="s">
        <v>320</v>
      </c>
      <c r="F29" s="32" t="s">
        <v>293</v>
      </c>
      <c r="G29" s="30">
        <v>137</v>
      </c>
      <c r="H29" s="32">
        <v>10</v>
      </c>
      <c r="I29" s="32" t="s">
        <v>181</v>
      </c>
      <c r="J29" s="33" t="s">
        <v>739</v>
      </c>
      <c r="K29" s="30">
        <v>114</v>
      </c>
      <c r="L29" s="32">
        <v>8</v>
      </c>
      <c r="M29" s="32"/>
      <c r="N29" s="33" t="s">
        <v>740</v>
      </c>
      <c r="O29" s="106">
        <v>41.5</v>
      </c>
      <c r="P29" s="106">
        <v>38</v>
      </c>
      <c r="Q29" s="34">
        <v>7</v>
      </c>
      <c r="R29" s="34">
        <v>0</v>
      </c>
      <c r="S29" s="34">
        <v>26</v>
      </c>
      <c r="T29" s="34">
        <v>3</v>
      </c>
      <c r="U29" s="34">
        <v>6</v>
      </c>
      <c r="V29" s="34">
        <v>0</v>
      </c>
      <c r="W29" s="34">
        <v>12</v>
      </c>
      <c r="X29" s="34">
        <v>1</v>
      </c>
      <c r="Y29" s="23">
        <f t="shared" si="0"/>
        <v>36</v>
      </c>
      <c r="Z29" s="23">
        <f t="shared" si="1"/>
        <v>19</v>
      </c>
    </row>
    <row r="30" spans="1:26" x14ac:dyDescent="0.15">
      <c r="A30" s="74">
        <f t="shared" si="3"/>
        <v>1</v>
      </c>
      <c r="B30" s="31">
        <v>35967</v>
      </c>
      <c r="C30" s="33" t="s">
        <v>267</v>
      </c>
      <c r="D30" s="32" t="s">
        <v>246</v>
      </c>
      <c r="E30" s="32" t="s">
        <v>292</v>
      </c>
      <c r="F30" s="32" t="s">
        <v>1</v>
      </c>
      <c r="G30" s="30">
        <v>207</v>
      </c>
      <c r="H30" s="32">
        <v>7</v>
      </c>
      <c r="I30" s="32" t="s">
        <v>181</v>
      </c>
      <c r="J30" s="33"/>
      <c r="K30" s="30">
        <v>51</v>
      </c>
      <c r="L30" s="32">
        <v>10</v>
      </c>
      <c r="M30" s="32"/>
      <c r="N30" s="33"/>
      <c r="O30" s="106">
        <v>28</v>
      </c>
      <c r="P30" s="106">
        <v>49</v>
      </c>
      <c r="Q30" s="34">
        <v>5</v>
      </c>
      <c r="R30" s="34">
        <v>1</v>
      </c>
      <c r="S30" s="34">
        <v>3</v>
      </c>
      <c r="T30" s="34">
        <v>5</v>
      </c>
      <c r="U30" s="34">
        <v>3</v>
      </c>
      <c r="V30" s="34">
        <v>0</v>
      </c>
      <c r="W30" s="34">
        <v>2</v>
      </c>
      <c r="X30" s="34">
        <v>4</v>
      </c>
      <c r="Y30" s="23">
        <f t="shared" si="0"/>
        <v>14</v>
      </c>
      <c r="Z30" s="23">
        <f t="shared" si="1"/>
        <v>9</v>
      </c>
    </row>
    <row r="31" spans="1:26" x14ac:dyDescent="0.15">
      <c r="A31" s="74">
        <f t="shared" si="3"/>
        <v>7</v>
      </c>
      <c r="B31" s="31">
        <v>35973</v>
      </c>
      <c r="C31" s="33" t="s">
        <v>268</v>
      </c>
      <c r="D31" s="32" t="s">
        <v>246</v>
      </c>
      <c r="E31" s="32" t="s">
        <v>320</v>
      </c>
      <c r="F31" s="32" t="s">
        <v>1</v>
      </c>
      <c r="G31" s="30">
        <v>144</v>
      </c>
      <c r="H31" s="32">
        <v>10</v>
      </c>
      <c r="I31" s="32" t="s">
        <v>181</v>
      </c>
      <c r="J31" s="33" t="s">
        <v>656</v>
      </c>
      <c r="K31" s="30">
        <v>58</v>
      </c>
      <c r="L31" s="32">
        <v>1</v>
      </c>
      <c r="M31" s="32"/>
      <c r="N31" s="33"/>
      <c r="O31" s="106">
        <v>11</v>
      </c>
      <c r="P31" s="106">
        <v>47.4</v>
      </c>
      <c r="Q31" s="34">
        <v>5</v>
      </c>
      <c r="R31" s="34">
        <v>0</v>
      </c>
      <c r="S31" s="34">
        <v>8</v>
      </c>
      <c r="T31" s="34">
        <v>4</v>
      </c>
      <c r="U31" s="34">
        <v>0</v>
      </c>
      <c r="V31" s="34">
        <v>0</v>
      </c>
      <c r="W31" s="34">
        <v>4</v>
      </c>
      <c r="X31" s="34">
        <v>1</v>
      </c>
      <c r="Y31" s="23">
        <f t="shared" si="0"/>
        <v>17</v>
      </c>
      <c r="Z31" s="23">
        <f t="shared" si="1"/>
        <v>5</v>
      </c>
    </row>
    <row r="32" spans="1:26" x14ac:dyDescent="0.15">
      <c r="A32" s="74">
        <f t="shared" si="3"/>
        <v>1</v>
      </c>
      <c r="B32" s="31">
        <v>35974</v>
      </c>
      <c r="C32" s="33" t="s">
        <v>269</v>
      </c>
      <c r="D32" s="32" t="s">
        <v>246</v>
      </c>
      <c r="E32" s="32" t="s">
        <v>292</v>
      </c>
      <c r="F32" s="32" t="s">
        <v>293</v>
      </c>
      <c r="G32" s="30">
        <v>147</v>
      </c>
      <c r="H32" s="32">
        <v>9</v>
      </c>
      <c r="I32" s="32" t="s">
        <v>181</v>
      </c>
      <c r="J32" s="33"/>
      <c r="K32" s="30">
        <v>148</v>
      </c>
      <c r="L32" s="32">
        <v>2</v>
      </c>
      <c r="M32" s="32"/>
      <c r="N32" s="33"/>
      <c r="O32" s="106">
        <v>35</v>
      </c>
      <c r="P32" s="106">
        <v>24.5</v>
      </c>
      <c r="Q32" s="34">
        <v>1</v>
      </c>
      <c r="R32" s="34">
        <v>0</v>
      </c>
      <c r="S32" s="34">
        <v>2</v>
      </c>
      <c r="T32" s="34">
        <v>0</v>
      </c>
      <c r="U32" s="34">
        <v>12</v>
      </c>
      <c r="V32" s="34">
        <v>2</v>
      </c>
      <c r="W32" s="34">
        <v>9</v>
      </c>
      <c r="X32" s="34">
        <v>2</v>
      </c>
      <c r="Y32" s="23">
        <f t="shared" si="0"/>
        <v>3</v>
      </c>
      <c r="Z32" s="23">
        <f t="shared" si="1"/>
        <v>25</v>
      </c>
    </row>
    <row r="33" spans="1:26" x14ac:dyDescent="0.15">
      <c r="A33" s="74">
        <f t="shared" si="3"/>
        <v>1</v>
      </c>
      <c r="B33" s="31">
        <v>35974</v>
      </c>
      <c r="C33" s="33" t="s">
        <v>270</v>
      </c>
      <c r="D33" s="32" t="s">
        <v>248</v>
      </c>
      <c r="E33" s="32" t="s">
        <v>292</v>
      </c>
      <c r="F33" s="32" t="s">
        <v>1</v>
      </c>
      <c r="G33" s="30">
        <v>84</v>
      </c>
      <c r="H33" s="32">
        <v>10</v>
      </c>
      <c r="I33" s="32" t="s">
        <v>181</v>
      </c>
      <c r="J33" s="33" t="s">
        <v>688</v>
      </c>
      <c r="K33" s="30">
        <v>60</v>
      </c>
      <c r="L33" s="32">
        <v>9</v>
      </c>
      <c r="M33" s="32"/>
      <c r="N33" s="33" t="s">
        <v>689</v>
      </c>
      <c r="O33" s="106">
        <v>30.3</v>
      </c>
      <c r="P33" s="106">
        <v>37.1</v>
      </c>
      <c r="Q33" s="34">
        <v>4</v>
      </c>
      <c r="R33" s="34">
        <v>0</v>
      </c>
      <c r="S33" s="34">
        <v>9</v>
      </c>
      <c r="T33" s="34">
        <v>4</v>
      </c>
      <c r="U33" s="34">
        <v>4</v>
      </c>
      <c r="V33" s="34">
        <v>0</v>
      </c>
      <c r="W33" s="34">
        <v>1</v>
      </c>
      <c r="X33" s="34">
        <v>1</v>
      </c>
      <c r="Y33" s="23">
        <f t="shared" si="0"/>
        <v>17</v>
      </c>
      <c r="Z33" s="23">
        <f t="shared" si="1"/>
        <v>6</v>
      </c>
    </row>
    <row r="34" spans="1:26" x14ac:dyDescent="0.15">
      <c r="A34" s="74">
        <f t="shared" si="3"/>
        <v>7</v>
      </c>
      <c r="B34" s="31">
        <v>35980</v>
      </c>
      <c r="C34" s="33" t="s">
        <v>259</v>
      </c>
      <c r="D34" s="32" t="s">
        <v>246</v>
      </c>
      <c r="E34" s="32"/>
      <c r="F34" s="32"/>
      <c r="G34" s="30"/>
      <c r="H34" s="32"/>
      <c r="I34" s="32" t="s">
        <v>181</v>
      </c>
      <c r="J34" s="33"/>
      <c r="K34" s="30"/>
      <c r="L34" s="32"/>
      <c r="M34" s="32"/>
      <c r="N34" s="33"/>
      <c r="O34" s="106"/>
      <c r="P34" s="106"/>
      <c r="Q34" s="34">
        <v>0</v>
      </c>
      <c r="R34" s="34">
        <v>0</v>
      </c>
      <c r="S34" s="34">
        <v>0</v>
      </c>
      <c r="T34" s="34">
        <v>0</v>
      </c>
      <c r="U34" s="34">
        <v>0</v>
      </c>
      <c r="V34" s="34">
        <v>0</v>
      </c>
      <c r="W34" s="34">
        <v>0</v>
      </c>
      <c r="X34" s="34">
        <v>0</v>
      </c>
      <c r="Y34" s="23">
        <f t="shared" si="0"/>
        <v>0</v>
      </c>
      <c r="Z34" s="23">
        <f t="shared" si="1"/>
        <v>0</v>
      </c>
    </row>
    <row r="35" spans="1:26" x14ac:dyDescent="0.15">
      <c r="A35" s="74">
        <f t="shared" si="3"/>
        <v>1</v>
      </c>
      <c r="B35" s="31">
        <v>35981</v>
      </c>
      <c r="C35" s="33" t="s">
        <v>271</v>
      </c>
      <c r="D35" s="32" t="s">
        <v>246</v>
      </c>
      <c r="E35" s="32" t="s">
        <v>292</v>
      </c>
      <c r="F35" s="32" t="s">
        <v>1</v>
      </c>
      <c r="G35" s="30">
        <v>247</v>
      </c>
      <c r="H35" s="32">
        <v>3</v>
      </c>
      <c r="I35" s="32" t="s">
        <v>181</v>
      </c>
      <c r="J35" s="33" t="s">
        <v>741</v>
      </c>
      <c r="K35" s="30">
        <v>140</v>
      </c>
      <c r="L35" s="32">
        <v>9</v>
      </c>
      <c r="M35" s="32"/>
      <c r="N35" s="33" t="s">
        <v>742</v>
      </c>
      <c r="O35" s="106">
        <v>39</v>
      </c>
      <c r="P35" s="106">
        <v>41.3</v>
      </c>
      <c r="Q35" s="34">
        <v>1</v>
      </c>
      <c r="R35" s="34">
        <v>4</v>
      </c>
      <c r="S35" s="34">
        <v>8</v>
      </c>
      <c r="T35" s="34">
        <v>5</v>
      </c>
      <c r="U35" s="34">
        <v>3</v>
      </c>
      <c r="V35" s="34">
        <v>3</v>
      </c>
      <c r="W35" s="34">
        <v>3</v>
      </c>
      <c r="X35" s="34">
        <v>0</v>
      </c>
      <c r="Y35" s="23">
        <f t="shared" si="0"/>
        <v>18</v>
      </c>
      <c r="Z35" s="23">
        <f t="shared" si="1"/>
        <v>9</v>
      </c>
    </row>
    <row r="36" spans="1:26" x14ac:dyDescent="0.15">
      <c r="A36" s="74">
        <f t="shared" si="3"/>
        <v>7</v>
      </c>
      <c r="B36" s="31">
        <v>35987</v>
      </c>
      <c r="C36" s="33" t="s">
        <v>707</v>
      </c>
      <c r="D36" s="32" t="s">
        <v>248</v>
      </c>
      <c r="E36" s="32" t="s">
        <v>708</v>
      </c>
      <c r="F36" s="32" t="s">
        <v>1</v>
      </c>
      <c r="G36" s="30">
        <v>90</v>
      </c>
      <c r="H36" s="32">
        <v>5</v>
      </c>
      <c r="I36" s="32" t="s">
        <v>181</v>
      </c>
      <c r="J36" s="33" t="s">
        <v>712</v>
      </c>
      <c r="K36" s="30">
        <v>0</v>
      </c>
      <c r="L36" s="32">
        <v>0</v>
      </c>
      <c r="M36" s="32"/>
      <c r="N36" s="33"/>
      <c r="O36" s="106">
        <v>0</v>
      </c>
      <c r="P36" s="106">
        <v>25</v>
      </c>
      <c r="Q36" s="34">
        <v>1</v>
      </c>
      <c r="R36" s="34">
        <v>0</v>
      </c>
      <c r="S36" s="34">
        <v>9</v>
      </c>
      <c r="T36" s="34">
        <v>1</v>
      </c>
      <c r="U36" s="34">
        <v>0</v>
      </c>
      <c r="V36" s="34">
        <v>0</v>
      </c>
      <c r="W36" s="34">
        <v>0</v>
      </c>
      <c r="X36" s="34">
        <v>0</v>
      </c>
      <c r="Y36" s="23">
        <f t="shared" si="0"/>
        <v>11</v>
      </c>
      <c r="Z36" s="23">
        <f t="shared" si="1"/>
        <v>0</v>
      </c>
    </row>
    <row r="37" spans="1:26" x14ac:dyDescent="0.15">
      <c r="A37" s="74">
        <f t="shared" si="3"/>
        <v>7</v>
      </c>
      <c r="B37" s="31">
        <v>35994</v>
      </c>
      <c r="C37" s="33" t="s">
        <v>721</v>
      </c>
      <c r="D37" s="32" t="s">
        <v>246</v>
      </c>
      <c r="E37" s="32" t="s">
        <v>321</v>
      </c>
      <c r="F37" s="32" t="s">
        <v>1</v>
      </c>
      <c r="G37" s="30">
        <v>164</v>
      </c>
      <c r="H37" s="32">
        <v>9</v>
      </c>
      <c r="I37" s="32"/>
      <c r="J37" s="33" t="s">
        <v>722</v>
      </c>
      <c r="K37" s="30">
        <v>165</v>
      </c>
      <c r="L37" s="32">
        <v>6</v>
      </c>
      <c r="M37" s="32"/>
      <c r="N37" s="33" t="s">
        <v>723</v>
      </c>
      <c r="O37" s="106">
        <v>32.1</v>
      </c>
      <c r="P37" s="106">
        <v>40</v>
      </c>
      <c r="Q37" s="34">
        <v>6</v>
      </c>
      <c r="R37" s="34">
        <v>0</v>
      </c>
      <c r="S37" s="34">
        <v>8</v>
      </c>
      <c r="T37" s="34">
        <v>6</v>
      </c>
      <c r="U37" s="34">
        <v>4</v>
      </c>
      <c r="V37" s="34">
        <v>0</v>
      </c>
      <c r="W37" s="34">
        <v>9</v>
      </c>
      <c r="X37" s="34">
        <v>11</v>
      </c>
      <c r="Y37" s="23">
        <f>SUM(Q37:T37)</f>
        <v>20</v>
      </c>
      <c r="Z37" s="23">
        <f>SUM(U37:X37)</f>
        <v>24</v>
      </c>
    </row>
    <row r="38" spans="1:26" x14ac:dyDescent="0.15">
      <c r="A38" s="74">
        <f t="shared" si="3"/>
        <v>1</v>
      </c>
      <c r="B38" s="31">
        <v>35995</v>
      </c>
      <c r="C38" s="33" t="s">
        <v>251</v>
      </c>
      <c r="D38" s="32" t="s">
        <v>248</v>
      </c>
      <c r="E38" s="32" t="s">
        <v>320</v>
      </c>
      <c r="F38" s="32" t="s">
        <v>1</v>
      </c>
      <c r="G38" s="30">
        <v>157</v>
      </c>
      <c r="H38" s="32">
        <v>7</v>
      </c>
      <c r="I38" s="32" t="s">
        <v>181</v>
      </c>
      <c r="J38" s="33"/>
      <c r="K38" s="30">
        <v>119</v>
      </c>
      <c r="L38" s="32">
        <v>8</v>
      </c>
      <c r="M38" s="32"/>
      <c r="N38" s="33"/>
      <c r="O38" s="106">
        <v>38</v>
      </c>
      <c r="P38" s="106">
        <v>46</v>
      </c>
      <c r="Q38" s="34">
        <v>9</v>
      </c>
      <c r="R38" s="34">
        <v>1</v>
      </c>
      <c r="S38" s="34">
        <v>7</v>
      </c>
      <c r="T38" s="34">
        <v>2</v>
      </c>
      <c r="U38" s="34">
        <v>9</v>
      </c>
      <c r="V38" s="34">
        <v>1</v>
      </c>
      <c r="W38" s="34">
        <v>17</v>
      </c>
      <c r="X38" s="34">
        <v>3</v>
      </c>
      <c r="Y38" s="23">
        <f t="shared" si="0"/>
        <v>19</v>
      </c>
      <c r="Z38" s="23">
        <f t="shared" si="1"/>
        <v>30</v>
      </c>
    </row>
    <row r="39" spans="1:26" x14ac:dyDescent="0.15">
      <c r="A39" s="74">
        <f t="shared" ref="A39:A54" si="4">WEEKDAY(B39)</f>
        <v>7</v>
      </c>
      <c r="B39" s="31">
        <v>36001</v>
      </c>
      <c r="C39" s="33" t="s">
        <v>272</v>
      </c>
      <c r="D39" s="32" t="s">
        <v>246</v>
      </c>
      <c r="E39" s="32" t="s">
        <v>321</v>
      </c>
      <c r="F39" s="32" t="s">
        <v>1</v>
      </c>
      <c r="G39" s="30">
        <v>63</v>
      </c>
      <c r="H39" s="32">
        <v>9</v>
      </c>
      <c r="I39" s="32" t="s">
        <v>181</v>
      </c>
      <c r="J39" s="33" t="s">
        <v>826</v>
      </c>
      <c r="K39" s="30">
        <v>65</v>
      </c>
      <c r="L39" s="32">
        <v>9</v>
      </c>
      <c r="M39" s="32"/>
      <c r="N39" s="33" t="s">
        <v>827</v>
      </c>
      <c r="O39" s="106">
        <v>26.5</v>
      </c>
      <c r="P39" s="106">
        <v>20</v>
      </c>
      <c r="Q39" s="34">
        <v>4</v>
      </c>
      <c r="R39" s="34">
        <v>0</v>
      </c>
      <c r="S39" s="34">
        <v>7</v>
      </c>
      <c r="T39" s="34">
        <v>1</v>
      </c>
      <c r="U39" s="34">
        <v>0</v>
      </c>
      <c r="V39" s="34">
        <v>0</v>
      </c>
      <c r="W39" s="34">
        <v>6</v>
      </c>
      <c r="X39" s="34">
        <v>2</v>
      </c>
      <c r="Y39" s="23">
        <f t="shared" si="0"/>
        <v>12</v>
      </c>
      <c r="Z39" s="23">
        <f t="shared" si="1"/>
        <v>8</v>
      </c>
    </row>
    <row r="40" spans="1:26" ht="21" x14ac:dyDescent="0.15">
      <c r="A40" s="74">
        <f t="shared" si="4"/>
        <v>1</v>
      </c>
      <c r="B40" s="31">
        <v>36002</v>
      </c>
      <c r="C40" s="33" t="s">
        <v>930</v>
      </c>
      <c r="D40" s="32" t="s">
        <v>248</v>
      </c>
      <c r="E40" s="32" t="s">
        <v>320</v>
      </c>
      <c r="F40" s="32" t="s">
        <v>293</v>
      </c>
      <c r="G40" s="30">
        <v>177</v>
      </c>
      <c r="H40" s="32">
        <v>4</v>
      </c>
      <c r="I40" s="32" t="s">
        <v>181</v>
      </c>
      <c r="J40" s="33" t="s">
        <v>847</v>
      </c>
      <c r="K40" s="30">
        <v>156</v>
      </c>
      <c r="L40" s="32">
        <v>7</v>
      </c>
      <c r="M40" s="32"/>
      <c r="N40" s="33"/>
      <c r="O40" s="106">
        <v>43.3</v>
      </c>
      <c r="P40" s="106">
        <v>39</v>
      </c>
      <c r="Q40" s="34">
        <v>3</v>
      </c>
      <c r="R40" s="34">
        <v>0</v>
      </c>
      <c r="S40" s="34">
        <v>7</v>
      </c>
      <c r="T40" s="34">
        <v>1</v>
      </c>
      <c r="U40" s="34">
        <v>2</v>
      </c>
      <c r="V40" s="34">
        <v>0</v>
      </c>
      <c r="W40" s="34">
        <v>1</v>
      </c>
      <c r="X40" s="34">
        <v>11</v>
      </c>
      <c r="Y40" s="23">
        <f t="shared" si="0"/>
        <v>11</v>
      </c>
      <c r="Z40" s="23">
        <f t="shared" si="1"/>
        <v>14</v>
      </c>
    </row>
    <row r="41" spans="1:26" x14ac:dyDescent="0.15">
      <c r="A41" s="74">
        <f t="shared" si="4"/>
        <v>7</v>
      </c>
      <c r="B41" s="31">
        <v>36008</v>
      </c>
      <c r="C41" s="33" t="s">
        <v>273</v>
      </c>
      <c r="D41" s="32" t="s">
        <v>248</v>
      </c>
      <c r="E41" s="32" t="s">
        <v>708</v>
      </c>
      <c r="F41" s="32" t="s">
        <v>1</v>
      </c>
      <c r="G41" s="30">
        <v>26</v>
      </c>
      <c r="H41" s="32">
        <v>2</v>
      </c>
      <c r="I41" s="32" t="s">
        <v>181</v>
      </c>
      <c r="J41" s="33" t="s">
        <v>840</v>
      </c>
      <c r="K41" s="30"/>
      <c r="L41" s="32"/>
      <c r="M41" s="32"/>
      <c r="N41" s="33"/>
      <c r="O41" s="106">
        <v>0</v>
      </c>
      <c r="P41" s="106">
        <v>5.2</v>
      </c>
      <c r="Q41" s="34">
        <v>1</v>
      </c>
      <c r="R41" s="34">
        <v>0</v>
      </c>
      <c r="S41" s="34">
        <v>2</v>
      </c>
      <c r="T41" s="34">
        <v>0</v>
      </c>
      <c r="U41" s="34">
        <v>0</v>
      </c>
      <c r="V41" s="34">
        <v>0</v>
      </c>
      <c r="W41" s="34">
        <v>0</v>
      </c>
      <c r="X41" s="34">
        <v>0</v>
      </c>
      <c r="Y41" s="23">
        <f t="shared" si="0"/>
        <v>3</v>
      </c>
      <c r="Z41" s="23">
        <f t="shared" si="1"/>
        <v>0</v>
      </c>
    </row>
    <row r="42" spans="1:26" x14ac:dyDescent="0.15">
      <c r="A42" s="74">
        <f t="shared" si="4"/>
        <v>1</v>
      </c>
      <c r="B42" s="31">
        <v>36009</v>
      </c>
      <c r="C42" s="33" t="s">
        <v>274</v>
      </c>
      <c r="D42" s="32" t="s">
        <v>246</v>
      </c>
      <c r="E42" s="32" t="s">
        <v>321</v>
      </c>
      <c r="F42" s="32" t="s">
        <v>1</v>
      </c>
      <c r="G42" s="30">
        <v>52</v>
      </c>
      <c r="H42" s="32">
        <v>10</v>
      </c>
      <c r="I42" s="32" t="s">
        <v>181</v>
      </c>
      <c r="J42" s="33" t="s">
        <v>869</v>
      </c>
      <c r="K42" s="30">
        <v>57</v>
      </c>
      <c r="L42" s="32">
        <v>2</v>
      </c>
      <c r="M42" s="32"/>
      <c r="N42" s="33" t="s">
        <v>870</v>
      </c>
      <c r="O42" s="106">
        <v>21.5</v>
      </c>
      <c r="P42" s="106">
        <v>22</v>
      </c>
      <c r="Q42" s="34">
        <v>4</v>
      </c>
      <c r="R42" s="34">
        <v>0</v>
      </c>
      <c r="S42" s="34">
        <v>1</v>
      </c>
      <c r="T42" s="34">
        <v>0</v>
      </c>
      <c r="U42" s="34">
        <v>1</v>
      </c>
      <c r="V42" s="34">
        <v>0</v>
      </c>
      <c r="W42" s="34">
        <v>2</v>
      </c>
      <c r="X42" s="34">
        <v>1</v>
      </c>
      <c r="Y42" s="23">
        <f t="shared" si="0"/>
        <v>5</v>
      </c>
      <c r="Z42" s="23">
        <f t="shared" si="1"/>
        <v>4</v>
      </c>
    </row>
    <row r="43" spans="1:26" x14ac:dyDescent="0.15">
      <c r="A43" s="74">
        <f t="shared" si="4"/>
        <v>7</v>
      </c>
      <c r="B43" s="31">
        <v>36015</v>
      </c>
      <c r="C43" s="33" t="s">
        <v>272</v>
      </c>
      <c r="D43" s="32" t="s">
        <v>246</v>
      </c>
      <c r="E43" s="32" t="s">
        <v>292</v>
      </c>
      <c r="F43" s="32" t="s">
        <v>293</v>
      </c>
      <c r="G43" s="30">
        <v>70</v>
      </c>
      <c r="H43" s="32">
        <v>9</v>
      </c>
      <c r="I43" s="32" t="s">
        <v>181</v>
      </c>
      <c r="J43" s="33" t="s">
        <v>871</v>
      </c>
      <c r="K43" s="30"/>
      <c r="L43" s="32"/>
      <c r="M43" s="32"/>
      <c r="N43" s="33"/>
      <c r="O43" s="106">
        <v>26.2</v>
      </c>
      <c r="P43" s="106">
        <v>18.2</v>
      </c>
      <c r="Q43" s="34">
        <v>0</v>
      </c>
      <c r="R43" s="34">
        <v>0</v>
      </c>
      <c r="S43" s="34">
        <v>0</v>
      </c>
      <c r="T43" s="34">
        <v>0</v>
      </c>
      <c r="U43" s="34">
        <v>0</v>
      </c>
      <c r="V43" s="34">
        <v>0</v>
      </c>
      <c r="W43" s="34">
        <v>0</v>
      </c>
      <c r="X43" s="34">
        <v>0</v>
      </c>
      <c r="Y43" s="23">
        <f t="shared" si="0"/>
        <v>0</v>
      </c>
      <c r="Z43" s="23">
        <f t="shared" si="1"/>
        <v>0</v>
      </c>
    </row>
    <row r="44" spans="1:26" x14ac:dyDescent="0.15">
      <c r="A44" s="74">
        <f t="shared" si="4"/>
        <v>1</v>
      </c>
      <c r="B44" s="31">
        <v>36016</v>
      </c>
      <c r="C44" s="33" t="s">
        <v>267</v>
      </c>
      <c r="D44" s="32" t="s">
        <v>248</v>
      </c>
      <c r="E44" s="32" t="s">
        <v>320</v>
      </c>
      <c r="F44" s="32" t="s">
        <v>1</v>
      </c>
      <c r="G44" s="30">
        <v>153</v>
      </c>
      <c r="H44" s="32">
        <v>7</v>
      </c>
      <c r="I44" s="32" t="s">
        <v>181</v>
      </c>
      <c r="J44" s="33" t="s">
        <v>889</v>
      </c>
      <c r="K44" s="30">
        <v>133</v>
      </c>
      <c r="L44" s="32">
        <v>9</v>
      </c>
      <c r="M44" s="32"/>
      <c r="N44" s="33" t="s">
        <v>890</v>
      </c>
      <c r="O44" s="106">
        <v>37</v>
      </c>
      <c r="P44" s="106">
        <v>47</v>
      </c>
      <c r="Q44" s="34">
        <v>6</v>
      </c>
      <c r="R44" s="34">
        <v>1</v>
      </c>
      <c r="S44" s="34">
        <v>3</v>
      </c>
      <c r="T44" s="34">
        <v>3</v>
      </c>
      <c r="U44" s="34">
        <v>0</v>
      </c>
      <c r="V44" s="34">
        <v>0</v>
      </c>
      <c r="W44" s="34">
        <v>6</v>
      </c>
      <c r="X44" s="34">
        <v>4</v>
      </c>
      <c r="Y44" s="23">
        <f t="shared" si="0"/>
        <v>13</v>
      </c>
      <c r="Z44" s="23">
        <f t="shared" si="1"/>
        <v>10</v>
      </c>
    </row>
    <row r="45" spans="1:26" x14ac:dyDescent="0.15">
      <c r="A45" s="74">
        <f t="shared" si="4"/>
        <v>7</v>
      </c>
      <c r="B45" s="31">
        <v>36022</v>
      </c>
      <c r="C45" s="33" t="s">
        <v>275</v>
      </c>
      <c r="D45" s="32" t="s">
        <v>248</v>
      </c>
      <c r="E45" s="32" t="s">
        <v>320</v>
      </c>
      <c r="F45" s="32" t="s">
        <v>293</v>
      </c>
      <c r="G45" s="30">
        <v>125</v>
      </c>
      <c r="H45" s="32">
        <v>10</v>
      </c>
      <c r="I45" s="32" t="s">
        <v>181</v>
      </c>
      <c r="J45" s="33" t="s">
        <v>871</v>
      </c>
      <c r="K45" s="30">
        <v>81</v>
      </c>
      <c r="L45" s="32">
        <v>9</v>
      </c>
      <c r="M45" s="32"/>
      <c r="N45" s="33" t="s">
        <v>927</v>
      </c>
      <c r="O45" s="106">
        <v>36</v>
      </c>
      <c r="P45" s="106">
        <v>43</v>
      </c>
      <c r="Q45" s="34">
        <v>7</v>
      </c>
      <c r="R45" s="34">
        <v>2</v>
      </c>
      <c r="S45" s="34">
        <v>1</v>
      </c>
      <c r="T45" s="34">
        <v>1</v>
      </c>
      <c r="U45" s="34">
        <v>5</v>
      </c>
      <c r="V45" s="34">
        <v>3</v>
      </c>
      <c r="W45" s="34">
        <v>1</v>
      </c>
      <c r="X45" s="34">
        <v>1</v>
      </c>
      <c r="Y45" s="23">
        <f t="shared" si="0"/>
        <v>11</v>
      </c>
      <c r="Z45" s="23">
        <f t="shared" si="1"/>
        <v>10</v>
      </c>
    </row>
    <row r="46" spans="1:26" x14ac:dyDescent="0.15">
      <c r="A46" s="74">
        <f t="shared" si="4"/>
        <v>1</v>
      </c>
      <c r="B46" s="31">
        <v>36023</v>
      </c>
      <c r="C46" s="33" t="s">
        <v>276</v>
      </c>
      <c r="D46" s="32" t="s">
        <v>248</v>
      </c>
      <c r="E46" s="32" t="s">
        <v>320</v>
      </c>
      <c r="F46" s="32" t="s">
        <v>1</v>
      </c>
      <c r="G46" s="30">
        <v>212</v>
      </c>
      <c r="H46" s="32">
        <v>4</v>
      </c>
      <c r="I46" s="32" t="s">
        <v>181</v>
      </c>
      <c r="J46" s="33" t="s">
        <v>1027</v>
      </c>
      <c r="K46" s="30">
        <v>181</v>
      </c>
      <c r="L46" s="32">
        <v>9</v>
      </c>
      <c r="M46" s="32"/>
      <c r="N46" s="33" t="s">
        <v>1028</v>
      </c>
      <c r="O46" s="106">
        <v>37</v>
      </c>
      <c r="P46" s="106">
        <v>45</v>
      </c>
      <c r="Q46" s="34">
        <v>5</v>
      </c>
      <c r="R46" s="34">
        <v>0</v>
      </c>
      <c r="S46" s="34">
        <v>35</v>
      </c>
      <c r="T46" s="34">
        <v>6</v>
      </c>
      <c r="U46" s="34">
        <v>4</v>
      </c>
      <c r="V46" s="34">
        <v>2</v>
      </c>
      <c r="W46" s="34">
        <v>7</v>
      </c>
      <c r="X46" s="34">
        <v>9</v>
      </c>
      <c r="Y46" s="23">
        <f t="shared" si="0"/>
        <v>46</v>
      </c>
      <c r="Z46" s="23">
        <f t="shared" si="1"/>
        <v>22</v>
      </c>
    </row>
    <row r="47" spans="1:26" x14ac:dyDescent="0.15">
      <c r="A47" s="74">
        <f t="shared" si="4"/>
        <v>7</v>
      </c>
      <c r="B47" s="31">
        <v>36029</v>
      </c>
      <c r="C47" s="33" t="s">
        <v>268</v>
      </c>
      <c r="D47" s="32" t="s">
        <v>248</v>
      </c>
      <c r="E47" s="32"/>
      <c r="F47" s="32"/>
      <c r="G47" s="30"/>
      <c r="H47" s="32"/>
      <c r="I47" s="32" t="s">
        <v>181</v>
      </c>
      <c r="J47" s="33"/>
      <c r="K47" s="30"/>
      <c r="L47" s="32"/>
      <c r="M47" s="32"/>
      <c r="N47" s="33"/>
      <c r="O47" s="106"/>
      <c r="P47" s="106"/>
      <c r="Q47" s="34">
        <v>0</v>
      </c>
      <c r="R47" s="34">
        <v>0</v>
      </c>
      <c r="S47" s="34">
        <v>0</v>
      </c>
      <c r="T47" s="34">
        <v>0</v>
      </c>
      <c r="U47" s="34">
        <v>0</v>
      </c>
      <c r="V47" s="34">
        <v>0</v>
      </c>
      <c r="W47" s="34">
        <v>0</v>
      </c>
      <c r="X47" s="34">
        <v>0</v>
      </c>
      <c r="Y47" s="23">
        <f t="shared" si="0"/>
        <v>0</v>
      </c>
      <c r="Z47" s="23">
        <f t="shared" si="1"/>
        <v>0</v>
      </c>
    </row>
    <row r="48" spans="1:26" x14ac:dyDescent="0.15">
      <c r="A48" s="74">
        <f t="shared" si="4"/>
        <v>1</v>
      </c>
      <c r="B48" s="31">
        <v>36030</v>
      </c>
      <c r="C48" s="33" t="s">
        <v>277</v>
      </c>
      <c r="D48" s="32" t="s">
        <v>248</v>
      </c>
      <c r="E48" s="32"/>
      <c r="F48" s="32"/>
      <c r="G48" s="30"/>
      <c r="H48" s="32"/>
      <c r="I48" s="32" t="s">
        <v>181</v>
      </c>
      <c r="J48" s="33"/>
      <c r="K48" s="30"/>
      <c r="L48" s="32"/>
      <c r="M48" s="32"/>
      <c r="N48" s="33"/>
      <c r="O48" s="106"/>
      <c r="P48" s="106"/>
      <c r="Q48" s="34">
        <v>0</v>
      </c>
      <c r="R48" s="34">
        <v>0</v>
      </c>
      <c r="S48" s="34">
        <v>0</v>
      </c>
      <c r="T48" s="34">
        <v>0</v>
      </c>
      <c r="U48" s="34">
        <v>0</v>
      </c>
      <c r="V48" s="34">
        <v>0</v>
      </c>
      <c r="W48" s="34">
        <v>0</v>
      </c>
      <c r="X48" s="34">
        <v>0</v>
      </c>
      <c r="Y48" s="23">
        <f t="shared" si="0"/>
        <v>0</v>
      </c>
      <c r="Z48" s="23">
        <f t="shared" si="1"/>
        <v>0</v>
      </c>
    </row>
    <row r="49" spans="1:26" x14ac:dyDescent="0.15">
      <c r="A49" s="74">
        <f t="shared" si="4"/>
        <v>7</v>
      </c>
      <c r="B49" s="31">
        <v>36036</v>
      </c>
      <c r="C49" s="33" t="s">
        <v>265</v>
      </c>
      <c r="D49" s="32" t="s">
        <v>246</v>
      </c>
      <c r="E49" s="32" t="s">
        <v>292</v>
      </c>
      <c r="F49" s="32" t="s">
        <v>1</v>
      </c>
      <c r="G49" s="30">
        <v>193</v>
      </c>
      <c r="H49" s="32">
        <v>6</v>
      </c>
      <c r="I49" s="32" t="s">
        <v>181</v>
      </c>
      <c r="J49" s="33" t="s">
        <v>928</v>
      </c>
      <c r="K49" s="30">
        <v>58</v>
      </c>
      <c r="L49" s="32">
        <v>10</v>
      </c>
      <c r="M49" s="32"/>
      <c r="N49" s="33" t="s">
        <v>929</v>
      </c>
      <c r="O49" s="106">
        <v>19</v>
      </c>
      <c r="P49" s="106">
        <v>48</v>
      </c>
      <c r="Q49" s="34">
        <v>2</v>
      </c>
      <c r="R49" s="34">
        <v>0</v>
      </c>
      <c r="S49" s="34">
        <v>4</v>
      </c>
      <c r="T49" s="34">
        <v>2</v>
      </c>
      <c r="U49" s="34">
        <v>3</v>
      </c>
      <c r="V49" s="34">
        <v>2</v>
      </c>
      <c r="W49" s="34">
        <v>1</v>
      </c>
      <c r="X49" s="34">
        <v>0</v>
      </c>
      <c r="Y49" s="23">
        <f t="shared" si="0"/>
        <v>8</v>
      </c>
      <c r="Z49" s="23">
        <f t="shared" si="1"/>
        <v>6</v>
      </c>
    </row>
    <row r="50" spans="1:26" x14ac:dyDescent="0.15">
      <c r="A50" s="74">
        <f t="shared" si="4"/>
        <v>1</v>
      </c>
      <c r="B50" s="31">
        <v>36037</v>
      </c>
      <c r="C50" s="33" t="s">
        <v>930</v>
      </c>
      <c r="D50" s="32" t="s">
        <v>246</v>
      </c>
      <c r="E50" s="32" t="s">
        <v>292</v>
      </c>
      <c r="F50" s="32" t="s">
        <v>293</v>
      </c>
      <c r="G50" s="30">
        <v>159</v>
      </c>
      <c r="H50" s="32">
        <v>9</v>
      </c>
      <c r="I50" s="32" t="s">
        <v>181</v>
      </c>
      <c r="J50" s="33" t="s">
        <v>931</v>
      </c>
      <c r="K50" s="30">
        <v>162</v>
      </c>
      <c r="L50" s="32">
        <v>3</v>
      </c>
      <c r="M50" s="32"/>
      <c r="N50" s="33" t="s">
        <v>932</v>
      </c>
      <c r="O50" s="106">
        <v>37</v>
      </c>
      <c r="P50" s="106">
        <v>37.5</v>
      </c>
      <c r="Q50" s="34">
        <v>6</v>
      </c>
      <c r="R50" s="34">
        <v>0</v>
      </c>
      <c r="S50" s="34">
        <v>2</v>
      </c>
      <c r="T50" s="34">
        <v>3</v>
      </c>
      <c r="U50" s="34">
        <v>8</v>
      </c>
      <c r="V50" s="34">
        <v>4</v>
      </c>
      <c r="W50" s="34">
        <v>4</v>
      </c>
      <c r="X50" s="34">
        <v>2</v>
      </c>
      <c r="Y50" s="23">
        <f t="shared" si="0"/>
        <v>11</v>
      </c>
      <c r="Z50" s="23">
        <f t="shared" si="1"/>
        <v>18</v>
      </c>
    </row>
    <row r="51" spans="1:26" x14ac:dyDescent="0.15">
      <c r="A51" s="74">
        <f t="shared" si="4"/>
        <v>7</v>
      </c>
      <c r="B51" s="31">
        <v>36043</v>
      </c>
      <c r="C51" s="33" t="s">
        <v>272</v>
      </c>
      <c r="D51" s="32" t="s">
        <v>248</v>
      </c>
      <c r="E51" s="32"/>
      <c r="F51" s="32"/>
      <c r="G51" s="30"/>
      <c r="H51" s="32"/>
      <c r="I51" s="32" t="s">
        <v>181</v>
      </c>
      <c r="J51" s="33"/>
      <c r="K51" s="30"/>
      <c r="L51" s="32"/>
      <c r="M51" s="32"/>
      <c r="N51" s="33"/>
      <c r="O51" s="106"/>
      <c r="P51" s="106"/>
      <c r="Q51" s="34">
        <v>0</v>
      </c>
      <c r="R51" s="34">
        <v>0</v>
      </c>
      <c r="S51" s="34">
        <v>0</v>
      </c>
      <c r="T51" s="34">
        <v>0</v>
      </c>
      <c r="U51" s="34">
        <v>0</v>
      </c>
      <c r="V51" s="34">
        <v>0</v>
      </c>
      <c r="W51" s="34">
        <v>0</v>
      </c>
      <c r="X51" s="34">
        <v>0</v>
      </c>
      <c r="Y51" s="23">
        <f t="shared" si="0"/>
        <v>0</v>
      </c>
      <c r="Z51" s="23">
        <f t="shared" si="1"/>
        <v>0</v>
      </c>
    </row>
    <row r="52" spans="1:26" x14ac:dyDescent="0.15">
      <c r="A52" s="74">
        <f t="shared" si="4"/>
        <v>1</v>
      </c>
      <c r="B52" s="31">
        <v>36044</v>
      </c>
      <c r="C52" s="33" t="s">
        <v>245</v>
      </c>
      <c r="D52" s="32" t="s">
        <v>248</v>
      </c>
      <c r="E52" s="32" t="s">
        <v>292</v>
      </c>
      <c r="F52" s="32" t="s">
        <v>1</v>
      </c>
      <c r="G52" s="30">
        <v>230</v>
      </c>
      <c r="H52" s="32">
        <v>8</v>
      </c>
      <c r="I52" s="32" t="s">
        <v>181</v>
      </c>
      <c r="J52" s="33" t="s">
        <v>965</v>
      </c>
      <c r="K52" s="30">
        <v>94</v>
      </c>
      <c r="L52" s="32">
        <v>10</v>
      </c>
      <c r="M52" s="32"/>
      <c r="N52" s="33" t="s">
        <v>966</v>
      </c>
      <c r="O52" s="106">
        <v>35.1</v>
      </c>
      <c r="P52" s="106">
        <v>47</v>
      </c>
      <c r="Q52" s="34">
        <v>13</v>
      </c>
      <c r="R52" s="34">
        <v>0</v>
      </c>
      <c r="S52" s="34">
        <v>16</v>
      </c>
      <c r="T52" s="34">
        <v>6</v>
      </c>
      <c r="U52" s="34">
        <v>8</v>
      </c>
      <c r="V52" s="34">
        <v>2</v>
      </c>
      <c r="W52" s="34">
        <v>6</v>
      </c>
      <c r="X52" s="34">
        <v>1</v>
      </c>
      <c r="Y52" s="23">
        <f t="shared" si="0"/>
        <v>35</v>
      </c>
      <c r="Z52" s="23">
        <f t="shared" si="1"/>
        <v>17</v>
      </c>
    </row>
    <row r="53" spans="1:26" x14ac:dyDescent="0.15">
      <c r="A53" s="74">
        <f t="shared" si="4"/>
        <v>1</v>
      </c>
      <c r="B53" s="31">
        <v>36044</v>
      </c>
      <c r="C53" s="33" t="s">
        <v>252</v>
      </c>
      <c r="D53" s="32" t="s">
        <v>246</v>
      </c>
      <c r="E53" s="32" t="s">
        <v>321</v>
      </c>
      <c r="F53" s="32" t="s">
        <v>1</v>
      </c>
      <c r="G53" s="30">
        <v>109</v>
      </c>
      <c r="H53" s="32">
        <v>10</v>
      </c>
      <c r="I53" s="32" t="s">
        <v>181</v>
      </c>
      <c r="J53" s="33" t="s">
        <v>1034</v>
      </c>
      <c r="K53" s="30">
        <v>110</v>
      </c>
      <c r="L53" s="32">
        <v>0</v>
      </c>
      <c r="M53" s="32"/>
      <c r="N53" s="33" t="s">
        <v>1035</v>
      </c>
      <c r="O53" s="106">
        <v>17.2</v>
      </c>
      <c r="P53" s="106">
        <v>30.4</v>
      </c>
      <c r="Q53" s="34">
        <v>0</v>
      </c>
      <c r="R53" s="34">
        <v>1</v>
      </c>
      <c r="S53" s="34">
        <v>12</v>
      </c>
      <c r="T53" s="34">
        <v>4</v>
      </c>
      <c r="U53" s="34">
        <v>4</v>
      </c>
      <c r="V53" s="34">
        <v>1</v>
      </c>
      <c r="W53" s="34">
        <v>0</v>
      </c>
      <c r="X53" s="34">
        <v>0</v>
      </c>
      <c r="Y53" s="23">
        <f t="shared" si="0"/>
        <v>17</v>
      </c>
      <c r="Z53" s="23">
        <f t="shared" si="1"/>
        <v>5</v>
      </c>
    </row>
    <row r="54" spans="1:26" x14ac:dyDescent="0.15">
      <c r="A54" s="74">
        <f t="shared" si="4"/>
        <v>7</v>
      </c>
      <c r="B54" s="31">
        <v>36050</v>
      </c>
      <c r="C54" s="33" t="s">
        <v>278</v>
      </c>
      <c r="D54" s="32" t="s">
        <v>248</v>
      </c>
      <c r="E54" s="32"/>
      <c r="F54" s="32"/>
      <c r="G54" s="30"/>
      <c r="H54" s="32"/>
      <c r="I54" s="32" t="s">
        <v>181</v>
      </c>
      <c r="J54" s="33"/>
      <c r="K54" s="30"/>
      <c r="L54" s="32"/>
      <c r="M54" s="32"/>
      <c r="N54" s="33"/>
      <c r="O54" s="106"/>
      <c r="P54" s="106"/>
      <c r="Q54" s="34">
        <v>0</v>
      </c>
      <c r="R54" s="34">
        <v>0</v>
      </c>
      <c r="S54" s="34">
        <v>0</v>
      </c>
      <c r="T54" s="34">
        <v>0</v>
      </c>
      <c r="U54" s="34">
        <v>0</v>
      </c>
      <c r="V54" s="34">
        <v>0</v>
      </c>
      <c r="W54" s="34">
        <v>0</v>
      </c>
      <c r="X54" s="34">
        <v>0</v>
      </c>
      <c r="Y54" s="23">
        <f t="shared" si="0"/>
        <v>0</v>
      </c>
      <c r="Z54" s="23">
        <f t="shared" si="1"/>
        <v>0</v>
      </c>
    </row>
    <row r="55" spans="1:26" x14ac:dyDescent="0.15">
      <c r="A55" s="74">
        <f t="shared" ref="A55:A61" si="5">WEEKDAY(B55)</f>
        <v>1</v>
      </c>
      <c r="B55" s="31">
        <v>36051</v>
      </c>
      <c r="C55" s="33" t="s">
        <v>279</v>
      </c>
      <c r="D55" s="32" t="s">
        <v>246</v>
      </c>
      <c r="E55" s="32" t="s">
        <v>321</v>
      </c>
      <c r="F55" s="32" t="s">
        <v>1</v>
      </c>
      <c r="G55" s="30">
        <v>114</v>
      </c>
      <c r="H55" s="32">
        <v>5</v>
      </c>
      <c r="I55" s="32" t="s">
        <v>181</v>
      </c>
      <c r="J55" s="33" t="s">
        <v>1008</v>
      </c>
      <c r="K55" s="30">
        <v>117</v>
      </c>
      <c r="L55" s="32">
        <v>5</v>
      </c>
      <c r="M55" s="32"/>
      <c r="N55" s="33" t="s">
        <v>1009</v>
      </c>
      <c r="O55" s="106">
        <v>32</v>
      </c>
      <c r="P55" s="106">
        <v>50.2</v>
      </c>
      <c r="Q55" s="34">
        <v>6</v>
      </c>
      <c r="R55" s="34">
        <v>2</v>
      </c>
      <c r="S55" s="34">
        <v>7</v>
      </c>
      <c r="T55" s="34">
        <v>0</v>
      </c>
      <c r="U55" s="34">
        <v>4</v>
      </c>
      <c r="V55" s="34">
        <v>0</v>
      </c>
      <c r="W55" s="34">
        <v>0</v>
      </c>
      <c r="X55" s="34">
        <v>1</v>
      </c>
      <c r="Y55" s="23">
        <f t="shared" si="0"/>
        <v>15</v>
      </c>
      <c r="Z55" s="23">
        <f t="shared" si="1"/>
        <v>5</v>
      </c>
    </row>
    <row r="56" spans="1:26" x14ac:dyDescent="0.15">
      <c r="A56" s="74">
        <f t="shared" si="5"/>
        <v>1</v>
      </c>
      <c r="B56" s="31">
        <v>36051</v>
      </c>
      <c r="C56" s="33" t="s">
        <v>280</v>
      </c>
      <c r="D56" s="32" t="s">
        <v>248</v>
      </c>
      <c r="E56" s="32" t="s">
        <v>320</v>
      </c>
      <c r="F56" s="32" t="s">
        <v>293</v>
      </c>
      <c r="G56" s="30">
        <v>131</v>
      </c>
      <c r="H56" s="32">
        <v>7</v>
      </c>
      <c r="I56" s="32" t="s">
        <v>181</v>
      </c>
      <c r="J56" s="33" t="s">
        <v>967</v>
      </c>
      <c r="K56" s="30">
        <v>99</v>
      </c>
      <c r="L56" s="32">
        <v>7</v>
      </c>
      <c r="M56" s="32"/>
      <c r="N56" s="33" t="s">
        <v>968</v>
      </c>
      <c r="O56" s="106">
        <v>43</v>
      </c>
      <c r="P56" s="106">
        <v>40</v>
      </c>
      <c r="Q56" s="34">
        <v>4</v>
      </c>
      <c r="R56" s="34">
        <v>1</v>
      </c>
      <c r="S56" s="34">
        <v>2</v>
      </c>
      <c r="T56" s="34">
        <v>1</v>
      </c>
      <c r="U56" s="34">
        <v>6</v>
      </c>
      <c r="V56" s="34">
        <v>1</v>
      </c>
      <c r="W56" s="34">
        <v>3</v>
      </c>
      <c r="X56" s="34">
        <v>3</v>
      </c>
      <c r="Y56" s="23">
        <f t="shared" si="0"/>
        <v>8</v>
      </c>
      <c r="Z56" s="23">
        <f t="shared" si="1"/>
        <v>13</v>
      </c>
    </row>
    <row r="57" spans="1:26" x14ac:dyDescent="0.15">
      <c r="A57" s="74">
        <f t="shared" si="5"/>
        <v>7</v>
      </c>
      <c r="B57" s="31">
        <v>36057</v>
      </c>
      <c r="C57" s="33" t="s">
        <v>262</v>
      </c>
      <c r="D57" s="32" t="s">
        <v>248</v>
      </c>
      <c r="E57" s="32"/>
      <c r="F57" s="32"/>
      <c r="G57" s="30"/>
      <c r="H57" s="32"/>
      <c r="I57" s="32" t="s">
        <v>181</v>
      </c>
      <c r="J57" s="33"/>
      <c r="K57" s="30"/>
      <c r="L57" s="32"/>
      <c r="M57" s="32"/>
      <c r="N57" s="33"/>
      <c r="O57" s="106"/>
      <c r="P57" s="106"/>
      <c r="Q57" s="34">
        <v>0</v>
      </c>
      <c r="R57" s="34">
        <v>0</v>
      </c>
      <c r="S57" s="34">
        <v>0</v>
      </c>
      <c r="T57" s="34">
        <v>0</v>
      </c>
      <c r="U57" s="34">
        <v>0</v>
      </c>
      <c r="V57" s="34">
        <v>0</v>
      </c>
      <c r="W57" s="34">
        <v>0</v>
      </c>
      <c r="X57" s="34">
        <v>0</v>
      </c>
      <c r="Y57" s="23">
        <f t="shared" si="0"/>
        <v>0</v>
      </c>
      <c r="Z57" s="23">
        <f t="shared" si="1"/>
        <v>0</v>
      </c>
    </row>
    <row r="58" spans="1:26" x14ac:dyDescent="0.15">
      <c r="A58" s="74">
        <f t="shared" si="5"/>
        <v>1</v>
      </c>
      <c r="B58" s="31">
        <v>36058</v>
      </c>
      <c r="C58" s="33" t="s">
        <v>271</v>
      </c>
      <c r="D58" s="32" t="s">
        <v>248</v>
      </c>
      <c r="E58" s="32" t="s">
        <v>321</v>
      </c>
      <c r="F58" s="32" t="s">
        <v>1</v>
      </c>
      <c r="G58" s="30">
        <v>107</v>
      </c>
      <c r="H58" s="32">
        <v>9</v>
      </c>
      <c r="I58" s="32" t="s">
        <v>181</v>
      </c>
      <c r="J58" s="33" t="s">
        <v>995</v>
      </c>
      <c r="K58" s="30">
        <v>108</v>
      </c>
      <c r="L58" s="32">
        <v>3</v>
      </c>
      <c r="M58" s="32"/>
      <c r="N58" s="33" t="s">
        <v>1084</v>
      </c>
      <c r="O58" s="106">
        <v>22</v>
      </c>
      <c r="P58" s="106">
        <v>27.4</v>
      </c>
      <c r="Q58" s="34">
        <v>2</v>
      </c>
      <c r="R58" s="34">
        <v>2</v>
      </c>
      <c r="S58" s="34">
        <v>6</v>
      </c>
      <c r="T58" s="34">
        <v>3</v>
      </c>
      <c r="U58" s="34">
        <v>1</v>
      </c>
      <c r="V58" s="34">
        <v>1</v>
      </c>
      <c r="W58" s="34">
        <v>4</v>
      </c>
      <c r="X58" s="34">
        <v>3</v>
      </c>
      <c r="Y58" s="23">
        <f t="shared" si="0"/>
        <v>13</v>
      </c>
      <c r="Z58" s="23">
        <f t="shared" si="1"/>
        <v>9</v>
      </c>
    </row>
    <row r="59" spans="1:26" x14ac:dyDescent="0.15">
      <c r="A59" s="74">
        <f t="shared" si="5"/>
        <v>7</v>
      </c>
      <c r="B59" s="31">
        <v>36064</v>
      </c>
      <c r="C59" s="33" t="s">
        <v>281</v>
      </c>
      <c r="D59" s="32" t="s">
        <v>248</v>
      </c>
      <c r="E59" s="32"/>
      <c r="F59" s="32"/>
      <c r="G59" s="30"/>
      <c r="H59" s="32"/>
      <c r="I59" s="32" t="s">
        <v>181</v>
      </c>
      <c r="J59" s="33"/>
      <c r="K59" s="30"/>
      <c r="L59" s="32"/>
      <c r="M59" s="32"/>
      <c r="N59" s="33"/>
      <c r="O59" s="106"/>
      <c r="P59" s="106"/>
      <c r="Q59" s="34">
        <v>0</v>
      </c>
      <c r="R59" s="34">
        <v>0</v>
      </c>
      <c r="S59" s="34">
        <v>0</v>
      </c>
      <c r="T59" s="34">
        <v>0</v>
      </c>
      <c r="U59" s="34">
        <v>0</v>
      </c>
      <c r="V59" s="34">
        <v>0</v>
      </c>
      <c r="W59" s="34">
        <v>0</v>
      </c>
      <c r="X59" s="34">
        <v>0</v>
      </c>
      <c r="Y59" s="23">
        <f t="shared" si="0"/>
        <v>0</v>
      </c>
      <c r="Z59" s="23">
        <f t="shared" si="1"/>
        <v>0</v>
      </c>
    </row>
    <row r="60" spans="1:26" x14ac:dyDescent="0.15">
      <c r="A60" s="74">
        <f t="shared" si="5"/>
        <v>7</v>
      </c>
      <c r="B60" s="31"/>
      <c r="C60" s="33"/>
      <c r="D60" s="32"/>
      <c r="E60" s="32"/>
      <c r="F60" s="32"/>
      <c r="G60" s="30"/>
      <c r="H60" s="32"/>
      <c r="I60" s="32" t="s">
        <v>181</v>
      </c>
      <c r="J60" s="33"/>
      <c r="K60" s="30"/>
      <c r="L60" s="32"/>
      <c r="M60" s="32"/>
      <c r="N60" s="33"/>
      <c r="O60" s="106"/>
      <c r="P60" s="106"/>
      <c r="Q60" s="34">
        <v>0</v>
      </c>
      <c r="R60" s="34">
        <v>0</v>
      </c>
      <c r="S60" s="34">
        <v>0</v>
      </c>
      <c r="T60" s="34">
        <v>0</v>
      </c>
      <c r="U60" s="34">
        <v>0</v>
      </c>
      <c r="V60" s="34">
        <v>0</v>
      </c>
      <c r="W60" s="34">
        <v>0</v>
      </c>
      <c r="X60" s="34">
        <v>0</v>
      </c>
      <c r="Y60" s="23">
        <f t="shared" si="0"/>
        <v>0</v>
      </c>
      <c r="Z60" s="23">
        <f t="shared" si="1"/>
        <v>0</v>
      </c>
    </row>
    <row r="61" spans="1:26" x14ac:dyDescent="0.15">
      <c r="A61" s="74">
        <f t="shared" si="5"/>
        <v>7</v>
      </c>
      <c r="B61" s="31"/>
      <c r="C61" s="33"/>
      <c r="D61" s="32"/>
      <c r="E61" s="32"/>
      <c r="F61" s="32"/>
      <c r="G61" s="30"/>
      <c r="H61" s="32"/>
      <c r="I61" s="32" t="s">
        <v>181</v>
      </c>
      <c r="J61" s="33"/>
      <c r="K61" s="30"/>
      <c r="L61" s="32"/>
      <c r="M61" s="32"/>
      <c r="N61" s="33"/>
      <c r="O61" s="106"/>
      <c r="P61" s="106"/>
      <c r="Q61" s="34">
        <v>0</v>
      </c>
      <c r="R61" s="34">
        <v>0</v>
      </c>
      <c r="S61" s="34">
        <v>0</v>
      </c>
      <c r="T61" s="34">
        <v>0</v>
      </c>
      <c r="U61" s="34">
        <v>0</v>
      </c>
      <c r="V61" s="34">
        <v>0</v>
      </c>
      <c r="W61" s="34">
        <v>0</v>
      </c>
      <c r="X61" s="34">
        <v>0</v>
      </c>
      <c r="Y61" s="23">
        <f t="shared" si="0"/>
        <v>0</v>
      </c>
      <c r="Z61" s="23">
        <f t="shared" si="1"/>
        <v>0</v>
      </c>
    </row>
    <row r="62" spans="1:26" x14ac:dyDescent="0.15">
      <c r="A62" s="40"/>
      <c r="B62" s="36"/>
      <c r="C62" s="38"/>
      <c r="D62" s="37"/>
      <c r="E62" s="37"/>
      <c r="F62" s="37"/>
      <c r="G62" s="35"/>
      <c r="H62" s="37"/>
      <c r="I62" s="37"/>
      <c r="J62" s="38"/>
      <c r="K62" s="35"/>
      <c r="L62" s="37"/>
      <c r="M62" s="37"/>
      <c r="N62" s="38"/>
      <c r="O62" s="38"/>
      <c r="P62" s="38"/>
      <c r="Q62" s="39"/>
      <c r="R62" s="39"/>
      <c r="S62" s="39"/>
      <c r="T62" s="39"/>
      <c r="U62" s="39"/>
      <c r="V62" s="39"/>
      <c r="W62" s="39"/>
      <c r="X62" s="39"/>
    </row>
    <row r="63" spans="1:26" x14ac:dyDescent="0.15">
      <c r="A63" s="40"/>
      <c r="B63" s="36"/>
      <c r="C63" s="38"/>
      <c r="D63" s="37"/>
      <c r="E63" s="37"/>
      <c r="F63" s="37"/>
      <c r="G63" s="35"/>
      <c r="H63" s="37"/>
      <c r="I63" s="37"/>
      <c r="J63" s="38"/>
      <c r="K63" s="35"/>
      <c r="L63" s="37"/>
      <c r="M63" s="37"/>
      <c r="N63" s="38" t="s">
        <v>1087</v>
      </c>
      <c r="O63" s="38">
        <f>MAX(O5:O61)</f>
        <v>45</v>
      </c>
      <c r="P63" s="38">
        <f>MAX(P5:P61)</f>
        <v>52</v>
      </c>
      <c r="Q63" s="39"/>
      <c r="R63" s="39"/>
      <c r="S63" s="39"/>
      <c r="T63" s="39"/>
      <c r="U63" s="39"/>
      <c r="V63" s="39"/>
      <c r="W63" s="39"/>
      <c r="X63" s="39"/>
    </row>
    <row r="64" spans="1:26" x14ac:dyDescent="0.15">
      <c r="A64" s="40"/>
      <c r="B64" s="36"/>
      <c r="C64" s="38"/>
      <c r="D64" s="37"/>
      <c r="E64" s="37"/>
      <c r="F64" s="37"/>
      <c r="G64" s="35"/>
      <c r="H64" s="37"/>
      <c r="I64" s="37"/>
      <c r="J64" s="38"/>
      <c r="K64" s="35"/>
      <c r="L64" s="37"/>
      <c r="M64" s="37"/>
      <c r="N64" s="38"/>
      <c r="O64" s="38"/>
      <c r="P64" s="38"/>
      <c r="Q64" s="39"/>
      <c r="R64" s="39"/>
      <c r="S64" s="39"/>
      <c r="T64" s="39"/>
      <c r="U64" s="39"/>
      <c r="V64" s="39"/>
      <c r="W64" s="39"/>
      <c r="X64" s="39"/>
    </row>
    <row r="65" spans="1:26" x14ac:dyDescent="0.15">
      <c r="A65" s="40"/>
      <c r="B65" s="36"/>
      <c r="C65" s="38"/>
      <c r="D65" s="37"/>
      <c r="E65" s="37"/>
      <c r="F65" s="37"/>
      <c r="G65" s="35"/>
      <c r="H65" s="37"/>
      <c r="I65" s="37"/>
      <c r="J65" s="38"/>
      <c r="K65" s="35"/>
      <c r="L65" s="37"/>
      <c r="M65" s="37"/>
      <c r="N65" s="38"/>
      <c r="O65" s="38">
        <f t="array" ref="O65">SUM(FLOOR(O5:O61,1))</f>
        <v>1457</v>
      </c>
      <c r="P65" s="38">
        <f t="array" ref="P65">SUM(FLOOR(P5:P61,1))</f>
        <v>1646</v>
      </c>
      <c r="Q65" s="39">
        <f>SUM(Q5:Q61)</f>
        <v>248</v>
      </c>
      <c r="R65" s="39">
        <f t="shared" ref="R65:Z65" si="6">SUM(R5:R61)</f>
        <v>36</v>
      </c>
      <c r="S65" s="39">
        <f t="shared" si="6"/>
        <v>310</v>
      </c>
      <c r="T65" s="39">
        <f t="shared" si="6"/>
        <v>96</v>
      </c>
      <c r="U65" s="39">
        <f t="shared" si="6"/>
        <v>247</v>
      </c>
      <c r="V65" s="39">
        <f t="shared" si="6"/>
        <v>57</v>
      </c>
      <c r="W65" s="39">
        <f t="shared" si="6"/>
        <v>226</v>
      </c>
      <c r="X65" s="39">
        <f t="shared" si="6"/>
        <v>110</v>
      </c>
      <c r="Y65" s="39">
        <f t="shared" si="6"/>
        <v>690</v>
      </c>
      <c r="Z65" s="39">
        <f t="shared" si="6"/>
        <v>640</v>
      </c>
    </row>
    <row r="66" spans="1:26" x14ac:dyDescent="0.15">
      <c r="A66" s="40"/>
      <c r="B66" s="36"/>
      <c r="C66" s="38"/>
      <c r="D66" s="37"/>
      <c r="E66" s="37"/>
      <c r="F66" s="37"/>
      <c r="G66" s="35"/>
      <c r="H66" s="37"/>
      <c r="I66" s="37"/>
      <c r="J66" s="38"/>
      <c r="K66" s="35"/>
      <c r="L66" s="37"/>
      <c r="M66" s="37"/>
      <c r="N66" s="38"/>
      <c r="O66" s="38">
        <f t="array" ref="O66">SUM(O5:O61-FLOOR(O5:O61,1))*10</f>
        <v>57.999999999999865</v>
      </c>
      <c r="P66" s="38">
        <f t="array" ref="P66">SUM(P5:P61-FLOOR(P5:P61,1))*10</f>
        <v>67.999999999999943</v>
      </c>
      <c r="Q66" s="39"/>
      <c r="R66" s="39"/>
      <c r="S66" s="39"/>
      <c r="T66" s="39"/>
      <c r="U66" s="39"/>
      <c r="V66" s="39"/>
      <c r="W66" s="39"/>
      <c r="X66" s="39"/>
    </row>
    <row r="67" spans="1:26" x14ac:dyDescent="0.15">
      <c r="A67" s="40"/>
      <c r="B67" s="36"/>
      <c r="C67" s="38"/>
      <c r="D67" s="37"/>
      <c r="E67" s="37"/>
      <c r="F67" s="37"/>
      <c r="G67" s="35"/>
      <c r="H67" s="37"/>
      <c r="I67" s="37"/>
      <c r="J67" s="38"/>
      <c r="K67" s="35"/>
      <c r="L67" s="37"/>
      <c r="M67" s="37"/>
      <c r="N67" s="38" t="s">
        <v>1086</v>
      </c>
      <c r="O67" s="38">
        <f>O65*6+O66</f>
        <v>8800</v>
      </c>
      <c r="P67" s="38">
        <f>P65*6+P66</f>
        <v>9944</v>
      </c>
      <c r="Q67" s="39"/>
      <c r="R67" s="39"/>
      <c r="S67" s="39"/>
      <c r="T67" s="39"/>
      <c r="U67" s="39"/>
      <c r="V67" s="39"/>
      <c r="W67" s="39"/>
      <c r="X67" s="39"/>
    </row>
    <row r="68" spans="1:26" x14ac:dyDescent="0.15">
      <c r="A68" s="40"/>
      <c r="B68" s="36"/>
      <c r="C68" s="38"/>
      <c r="D68" s="37"/>
      <c r="E68" s="37"/>
      <c r="F68" s="37"/>
      <c r="G68" s="35"/>
      <c r="H68" s="37"/>
      <c r="I68" s="37"/>
      <c r="J68" s="38"/>
      <c r="K68" s="35"/>
      <c r="L68" s="37"/>
      <c r="M68" s="37"/>
      <c r="N68" s="38"/>
      <c r="O68" s="38"/>
      <c r="P68" s="38"/>
      <c r="Q68" s="39"/>
      <c r="R68" s="39"/>
      <c r="S68" s="39"/>
      <c r="T68" s="39"/>
      <c r="U68" s="39"/>
      <c r="V68" s="39"/>
      <c r="W68" s="39"/>
      <c r="X68" s="39"/>
    </row>
    <row r="69" spans="1:26" x14ac:dyDescent="0.15">
      <c r="A69" s="40"/>
      <c r="B69" s="36"/>
      <c r="C69" s="38"/>
      <c r="D69" s="37"/>
      <c r="E69" s="37"/>
      <c r="F69" s="37"/>
      <c r="G69" s="35"/>
      <c r="H69" s="37"/>
      <c r="I69" s="37"/>
      <c r="J69" s="38"/>
      <c r="K69" s="35"/>
      <c r="L69" s="37"/>
      <c r="M69" s="37"/>
      <c r="N69" s="38"/>
      <c r="O69" s="38"/>
      <c r="P69" s="38"/>
      <c r="Q69" s="39"/>
      <c r="R69" s="39"/>
      <c r="S69" s="39"/>
      <c r="T69" s="39"/>
      <c r="U69" s="39"/>
      <c r="V69" s="39"/>
      <c r="W69" s="39"/>
      <c r="X69" s="39"/>
    </row>
  </sheetData>
  <phoneticPr fontId="8" type="noConversion"/>
  <printOptions horizontalCentered="1"/>
  <pageMargins left="0.35433070866141736" right="0.35433070866141736" top="0.39370078740157483" bottom="0.39370078740157483" header="0" footer="0"/>
  <pageSetup paperSize="9" scale="85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F70"/>
  <sheetViews>
    <sheetView workbookViewId="0">
      <pane xSplit="3" ySplit="4" topLeftCell="D23" activePane="bottomRight" state="frozenSplit"/>
      <selection pane="topRight" activeCell="C1" sqref="C1"/>
      <selection pane="bottomLeft" activeCell="AQ2" sqref="AQ2"/>
      <selection pane="bottomRight" activeCell="X4" sqref="X4"/>
    </sheetView>
  </sheetViews>
  <sheetFormatPr defaultRowHeight="10.5" x14ac:dyDescent="0.15"/>
  <cols>
    <col min="1" max="2" width="9.140625" style="82"/>
    <col min="3" max="3" width="12.85546875" style="82" bestFit="1" customWidth="1"/>
    <col min="4" max="4" width="5.140625" style="82" customWidth="1"/>
    <col min="5" max="19" width="3.5703125" style="82" customWidth="1"/>
    <col min="20" max="20" width="4.140625" style="82" customWidth="1"/>
    <col min="21" max="60" width="3.5703125" style="82" customWidth="1"/>
    <col min="61" max="82" width="3.28515625" style="82" customWidth="1"/>
    <col min="83" max="83" width="7.5703125" style="82" bestFit="1" customWidth="1"/>
    <col min="84" max="84" width="4.85546875" style="82" customWidth="1"/>
    <col min="85" max="85" width="4.42578125" style="82" customWidth="1"/>
    <col min="86" max="86" width="7.42578125" style="82" customWidth="1"/>
    <col min="87" max="87" width="8.140625" style="82" hidden="1" customWidth="1"/>
    <col min="88" max="88" width="5" style="82" bestFit="1" customWidth="1"/>
    <col min="89" max="89" width="5.28515625" style="82" customWidth="1"/>
    <col min="90" max="90" width="6.140625" style="70" bestFit="1" customWidth="1"/>
    <col min="91" max="91" width="6.7109375" style="82" customWidth="1"/>
    <col min="92" max="92" width="6.42578125" style="82" customWidth="1"/>
    <col min="93" max="93" width="5.5703125" style="82" bestFit="1" customWidth="1"/>
    <col min="94" max="94" width="4.42578125" style="82" customWidth="1"/>
    <col min="95" max="95" width="6" style="82" bestFit="1" customWidth="1"/>
    <col min="96" max="97" width="4.42578125" style="82" bestFit="1" customWidth="1"/>
    <col min="98" max="98" width="3.28515625" style="82" bestFit="1" customWidth="1"/>
    <col min="99" max="99" width="3.140625" style="82" bestFit="1" customWidth="1"/>
    <col min="100" max="100" width="3.42578125" style="82" bestFit="1" customWidth="1"/>
    <col min="101" max="101" width="7.5703125" style="82" bestFit="1" customWidth="1"/>
    <col min="102" max="103" width="5.42578125" style="82" bestFit="1" customWidth="1"/>
    <col min="104" max="104" width="9.5703125" style="82" bestFit="1" customWidth="1"/>
    <col min="105" max="105" width="6.5703125" style="82" bestFit="1" customWidth="1"/>
    <col min="106" max="106" width="5.140625" style="82" bestFit="1" customWidth="1"/>
    <col min="107" max="16384" width="9.140625" style="82"/>
  </cols>
  <sheetData>
    <row r="1" spans="1:110" s="81" customFormat="1" ht="50.25" customHeight="1" x14ac:dyDescent="0.15">
      <c r="A1" s="78"/>
      <c r="B1" s="78"/>
      <c r="C1" s="60" t="str">
        <f t="array" ref="C1:CD4">TRANSPOSE(Matches!B4:E84)</f>
        <v>Date</v>
      </c>
      <c r="D1" s="79">
        <v>35911</v>
      </c>
      <c r="E1" s="79">
        <v>35917</v>
      </c>
      <c r="F1" s="79">
        <v>35918</v>
      </c>
      <c r="G1" s="79">
        <v>35919</v>
      </c>
      <c r="H1" s="79">
        <v>35924</v>
      </c>
      <c r="I1" s="79">
        <v>35925</v>
      </c>
      <c r="J1" s="79">
        <v>35925</v>
      </c>
      <c r="K1" s="79">
        <v>35931</v>
      </c>
      <c r="L1" s="79">
        <v>35932</v>
      </c>
      <c r="M1" s="79">
        <v>35932</v>
      </c>
      <c r="N1" s="79">
        <v>35938</v>
      </c>
      <c r="O1" s="79">
        <v>35939</v>
      </c>
      <c r="P1" s="79">
        <v>35940</v>
      </c>
      <c r="Q1" s="79">
        <v>35941</v>
      </c>
      <c r="R1" s="79">
        <v>35945</v>
      </c>
      <c r="S1" s="79">
        <v>35946</v>
      </c>
      <c r="T1" s="79">
        <v>35946</v>
      </c>
      <c r="U1" s="79">
        <v>35952</v>
      </c>
      <c r="V1" s="79">
        <v>35953</v>
      </c>
      <c r="W1" s="79">
        <v>35953</v>
      </c>
      <c r="X1" s="79">
        <v>35959</v>
      </c>
      <c r="Y1" s="79">
        <v>35960</v>
      </c>
      <c r="Z1" s="79">
        <v>35960</v>
      </c>
      <c r="AA1" s="79">
        <v>35966</v>
      </c>
      <c r="AB1" s="79">
        <v>35967</v>
      </c>
      <c r="AC1" s="79">
        <v>35967</v>
      </c>
      <c r="AD1" s="79">
        <v>35973</v>
      </c>
      <c r="AE1" s="79">
        <v>35974</v>
      </c>
      <c r="AF1" s="79">
        <v>35974</v>
      </c>
      <c r="AG1" s="79">
        <v>35980</v>
      </c>
      <c r="AH1" s="79">
        <v>35981</v>
      </c>
      <c r="AI1" s="79">
        <v>35987</v>
      </c>
      <c r="AJ1" s="79">
        <v>35994</v>
      </c>
      <c r="AK1" s="79">
        <v>35995</v>
      </c>
      <c r="AL1" s="79">
        <v>36001</v>
      </c>
      <c r="AM1" s="79">
        <v>36002</v>
      </c>
      <c r="AN1" s="79">
        <v>36008</v>
      </c>
      <c r="AO1" s="79">
        <v>36009</v>
      </c>
      <c r="AP1" s="79">
        <v>36015</v>
      </c>
      <c r="AQ1" s="79">
        <v>36016</v>
      </c>
      <c r="AR1" s="79">
        <v>36022</v>
      </c>
      <c r="AS1" s="79">
        <v>36023</v>
      </c>
      <c r="AT1" s="79">
        <v>36029</v>
      </c>
      <c r="AU1" s="79">
        <v>36030</v>
      </c>
      <c r="AV1" s="79">
        <v>36036</v>
      </c>
      <c r="AW1" s="79">
        <v>36037</v>
      </c>
      <c r="AX1" s="79">
        <v>36043</v>
      </c>
      <c r="AY1" s="79">
        <v>36044</v>
      </c>
      <c r="AZ1" s="79">
        <v>36044</v>
      </c>
      <c r="BA1" s="79">
        <v>36050</v>
      </c>
      <c r="BB1" s="79">
        <v>36051</v>
      </c>
      <c r="BC1" s="79">
        <v>36051</v>
      </c>
      <c r="BD1" s="79">
        <v>36057</v>
      </c>
      <c r="BE1" s="79">
        <v>36058</v>
      </c>
      <c r="BF1" s="79">
        <v>36064</v>
      </c>
      <c r="BG1" s="79">
        <v>0</v>
      </c>
      <c r="BH1" s="79">
        <v>0</v>
      </c>
      <c r="BI1" s="79">
        <v>0</v>
      </c>
      <c r="BJ1" s="79">
        <v>0</v>
      </c>
      <c r="BK1" s="79">
        <v>0</v>
      </c>
      <c r="BL1" s="79">
        <v>0</v>
      </c>
      <c r="BM1" s="79">
        <v>0</v>
      </c>
      <c r="BN1" s="79">
        <v>0</v>
      </c>
      <c r="BO1" s="79">
        <v>0</v>
      </c>
      <c r="BP1" s="79">
        <v>0</v>
      </c>
      <c r="BQ1" s="79">
        <v>0</v>
      </c>
      <c r="BR1" s="79">
        <v>0</v>
      </c>
      <c r="BS1" s="79">
        <v>0</v>
      </c>
      <c r="BT1" s="79">
        <v>0</v>
      </c>
      <c r="BU1" s="79">
        <v>0</v>
      </c>
      <c r="BV1" s="79">
        <v>0</v>
      </c>
      <c r="BW1" s="79">
        <v>0</v>
      </c>
      <c r="BX1" s="79">
        <v>0</v>
      </c>
      <c r="BY1" s="79">
        <v>0</v>
      </c>
      <c r="BZ1" s="79">
        <v>0</v>
      </c>
      <c r="CA1" s="79">
        <v>0</v>
      </c>
      <c r="CB1" s="79">
        <v>0</v>
      </c>
      <c r="CC1" s="79">
        <v>0</v>
      </c>
      <c r="CD1" s="79">
        <v>0</v>
      </c>
      <c r="CE1" s="78"/>
      <c r="CF1" s="78"/>
      <c r="CG1" s="78"/>
      <c r="CH1" s="78"/>
      <c r="CI1" s="78"/>
      <c r="CJ1" s="78"/>
      <c r="CK1" s="78"/>
      <c r="CL1" s="80"/>
    </row>
    <row r="2" spans="1:110" ht="83.25" customHeight="1" x14ac:dyDescent="0.15">
      <c r="C2" s="63" t="str">
        <v>Opp</v>
      </c>
      <c r="D2" s="83" t="str">
        <v>Selsdon</v>
      </c>
      <c r="E2" s="83" t="str">
        <v>West Wickham</v>
      </c>
      <c r="F2" s="83" t="str">
        <v>Commonwealth Offices</v>
      </c>
      <c r="G2" s="83" t="str">
        <v>Seaford</v>
      </c>
      <c r="H2" s="83" t="str">
        <v>Norwood Exiles</v>
      </c>
      <c r="I2" s="83" t="str">
        <v>Falcon</v>
      </c>
      <c r="J2" s="83" t="str">
        <v>Corner Pin</v>
      </c>
      <c r="K2" s="83" t="str">
        <v>Burgh Heath</v>
      </c>
      <c r="L2" s="83" t="str">
        <v>Thurlow Park RAFA</v>
      </c>
      <c r="M2" s="83" t="str">
        <v>Merton Saints</v>
      </c>
      <c r="N2" s="83" t="str">
        <v>Frensham</v>
      </c>
      <c r="O2" s="83" t="str">
        <v>Woodgreen</v>
      </c>
      <c r="P2" s="83" t="str">
        <v>Steeple Langford</v>
      </c>
      <c r="Q2" s="83" t="str">
        <v>Cove</v>
      </c>
      <c r="R2" s="83" t="str">
        <v>Deansbank</v>
      </c>
      <c r="S2" s="83" t="str">
        <v>Bromley Common</v>
      </c>
      <c r="T2" s="83" t="str">
        <v>Tabard Pilgrims</v>
      </c>
      <c r="U2" s="83" t="str">
        <v>Mad Hatters</v>
      </c>
      <c r="V2" s="83" t="str">
        <v>Frensham</v>
      </c>
      <c r="W2" s="83" t="str">
        <v>Merton Saints</v>
      </c>
      <c r="X2" s="83" t="str">
        <v>West Wickham</v>
      </c>
      <c r="Y2" s="83" t="str">
        <v>Libri</v>
      </c>
      <c r="Z2" s="83" t="str">
        <v>4 C's</v>
      </c>
      <c r="AA2" s="83" t="str">
        <v>Beckenham IV</v>
      </c>
      <c r="AB2" s="83" t="str">
        <v>Carshalton</v>
      </c>
      <c r="AC2" s="83" t="str">
        <v>Addington</v>
      </c>
      <c r="AD2" s="83" t="str">
        <v>Central YMCA</v>
      </c>
      <c r="AE2" s="83" t="str">
        <v>Cobham</v>
      </c>
      <c r="AF2" s="83" t="str">
        <v>Sunderland Supporters</v>
      </c>
      <c r="AG2" s="83" t="str">
        <v>Deansbank</v>
      </c>
      <c r="AH2" s="83" t="str">
        <v>Murray</v>
      </c>
      <c r="AI2" s="83" t="str">
        <v>Southern Railway</v>
      </c>
      <c r="AJ2" s="83" t="str">
        <v>Legless XI</v>
      </c>
      <c r="AK2" s="83" t="str">
        <v>Falcon</v>
      </c>
      <c r="AL2" s="83" t="str">
        <v>LESSA Wanderers</v>
      </c>
      <c r="AM2" s="83" t="str">
        <v>Blendon</v>
      </c>
      <c r="AN2" s="83" t="str">
        <v>Flying Wickets</v>
      </c>
      <c r="AO2" s="83" t="str">
        <v>Whyteleaf</v>
      </c>
      <c r="AP2" s="83" t="str">
        <v>LESSA Wanderers</v>
      </c>
      <c r="AQ2" s="83" t="str">
        <v>Addington</v>
      </c>
      <c r="AR2" s="83" t="str">
        <v>Riverside</v>
      </c>
      <c r="AS2" s="83" t="str">
        <v>Hextable</v>
      </c>
      <c r="AT2" s="83" t="str">
        <v>Central YMCA</v>
      </c>
      <c r="AU2" s="83" t="str">
        <v>Estonia</v>
      </c>
      <c r="AV2" s="83" t="str">
        <v>Hamsey Green</v>
      </c>
      <c r="AW2" s="83" t="str">
        <v>Blendon</v>
      </c>
      <c r="AX2" s="83" t="str">
        <v>LESSA Wanderers</v>
      </c>
      <c r="AY2" s="83" t="str">
        <v>Selsdon</v>
      </c>
      <c r="AZ2" s="83" t="str">
        <v>Corner Pin</v>
      </c>
      <c r="BA2" s="83" t="str">
        <v>Clapham Old X</v>
      </c>
      <c r="BB2" s="83" t="str">
        <v>Beddington</v>
      </c>
      <c r="BC2" s="83" t="str">
        <v>East Cheam</v>
      </c>
      <c r="BD2" s="83" t="str">
        <v>Mad Hatters</v>
      </c>
      <c r="BE2" s="83" t="str">
        <v>Murray</v>
      </c>
      <c r="BF2" s="83" t="str">
        <v>Wandsworth Gods</v>
      </c>
      <c r="BG2" s="83">
        <v>0</v>
      </c>
      <c r="BH2" s="83">
        <v>0</v>
      </c>
      <c r="BI2" s="83">
        <v>0</v>
      </c>
      <c r="BJ2" s="83">
        <v>0</v>
      </c>
      <c r="BK2" s="83">
        <v>0</v>
      </c>
      <c r="BL2" s="83">
        <v>0</v>
      </c>
      <c r="BM2" s="83">
        <v>0</v>
      </c>
      <c r="BN2" s="83">
        <v>0</v>
      </c>
      <c r="BO2" s="83">
        <v>0</v>
      </c>
      <c r="BP2" s="83">
        <v>0</v>
      </c>
      <c r="BQ2" s="83">
        <v>0</v>
      </c>
      <c r="BR2" s="83">
        <v>0</v>
      </c>
      <c r="BS2" s="83">
        <v>0</v>
      </c>
      <c r="BT2" s="83">
        <v>0</v>
      </c>
      <c r="BU2" s="83">
        <v>0</v>
      </c>
      <c r="BV2" s="83">
        <v>0</v>
      </c>
      <c r="BW2" s="83">
        <v>0</v>
      </c>
      <c r="BX2" s="83">
        <v>0</v>
      </c>
      <c r="BY2" s="83">
        <v>0</v>
      </c>
      <c r="BZ2" s="83">
        <v>0</v>
      </c>
      <c r="CA2" s="83">
        <v>0</v>
      </c>
      <c r="CB2" s="83">
        <v>0</v>
      </c>
      <c r="CC2" s="83">
        <v>0</v>
      </c>
      <c r="CD2" s="83">
        <v>0</v>
      </c>
      <c r="CO2" s="82" t="s">
        <v>4</v>
      </c>
    </row>
    <row r="3" spans="1:110" x14ac:dyDescent="0.15">
      <c r="C3" s="63" t="str">
        <v>Venue</v>
      </c>
      <c r="D3" s="63" t="str">
        <v>A</v>
      </c>
      <c r="E3" s="63" t="str">
        <v>H</v>
      </c>
      <c r="F3" s="63" t="str">
        <v>H</v>
      </c>
      <c r="G3" s="63" t="str">
        <v>A</v>
      </c>
      <c r="H3" s="63" t="str">
        <v>H</v>
      </c>
      <c r="I3" s="63" t="str">
        <v>A</v>
      </c>
      <c r="J3" s="63" t="str">
        <v>H</v>
      </c>
      <c r="K3" s="63" t="str">
        <v>A</v>
      </c>
      <c r="L3" s="63" t="str">
        <v>H</v>
      </c>
      <c r="M3" s="63" t="str">
        <v>A</v>
      </c>
      <c r="N3" s="63" t="str">
        <v>A</v>
      </c>
      <c r="O3" s="63" t="str">
        <v>A</v>
      </c>
      <c r="P3" s="63" t="str">
        <v>A</v>
      </c>
      <c r="Q3" s="63" t="str">
        <v>A</v>
      </c>
      <c r="R3" s="63" t="str">
        <v>H</v>
      </c>
      <c r="S3" s="63" t="str">
        <v>H</v>
      </c>
      <c r="T3" s="63" t="str">
        <v>A</v>
      </c>
      <c r="U3" s="63" t="str">
        <v>A</v>
      </c>
      <c r="V3" s="63" t="str">
        <v>A</v>
      </c>
      <c r="W3" s="63" t="str">
        <v>H</v>
      </c>
      <c r="X3" s="63" t="str">
        <v>A</v>
      </c>
      <c r="Y3" s="63" t="str">
        <v>A</v>
      </c>
      <c r="Z3" s="63" t="str">
        <v>H</v>
      </c>
      <c r="AA3" s="63" t="str">
        <v>H</v>
      </c>
      <c r="AB3" s="63" t="str">
        <v>H</v>
      </c>
      <c r="AC3" s="63" t="str">
        <v>A</v>
      </c>
      <c r="AD3" s="63" t="str">
        <v>A</v>
      </c>
      <c r="AE3" s="63" t="str">
        <v>A</v>
      </c>
      <c r="AF3" s="63" t="str">
        <v>H</v>
      </c>
      <c r="AG3" s="63" t="str">
        <v>A</v>
      </c>
      <c r="AH3" s="63" t="str">
        <v>A</v>
      </c>
      <c r="AI3" s="63" t="str">
        <v>H</v>
      </c>
      <c r="AJ3" s="63" t="str">
        <v>A</v>
      </c>
      <c r="AK3" s="63" t="str">
        <v>H</v>
      </c>
      <c r="AL3" s="63" t="str">
        <v>A</v>
      </c>
      <c r="AM3" s="63" t="str">
        <v>H</v>
      </c>
      <c r="AN3" s="63" t="str">
        <v>H</v>
      </c>
      <c r="AO3" s="63" t="str">
        <v>A</v>
      </c>
      <c r="AP3" s="63" t="str">
        <v>A</v>
      </c>
      <c r="AQ3" s="63" t="str">
        <v>H</v>
      </c>
      <c r="AR3" s="63" t="str">
        <v>H</v>
      </c>
      <c r="AS3" s="63" t="str">
        <v>H</v>
      </c>
      <c r="AT3" s="63" t="str">
        <v>H</v>
      </c>
      <c r="AU3" s="63" t="str">
        <v>H</v>
      </c>
      <c r="AV3" s="63" t="str">
        <v>A</v>
      </c>
      <c r="AW3" s="63" t="str">
        <v>A</v>
      </c>
      <c r="AX3" s="63" t="str">
        <v>H</v>
      </c>
      <c r="AY3" s="63" t="str">
        <v>H</v>
      </c>
      <c r="AZ3" s="63" t="str">
        <v>A</v>
      </c>
      <c r="BA3" s="63" t="str">
        <v>H</v>
      </c>
      <c r="BB3" s="63" t="str">
        <v>A</v>
      </c>
      <c r="BC3" s="63" t="str">
        <v>H</v>
      </c>
      <c r="BD3" s="63" t="str">
        <v>H</v>
      </c>
      <c r="BE3" s="63" t="str">
        <v>H</v>
      </c>
      <c r="BF3" s="63" t="str">
        <v>H</v>
      </c>
      <c r="BG3" s="63">
        <v>0</v>
      </c>
      <c r="BH3" s="63">
        <v>0</v>
      </c>
      <c r="BI3" s="63">
        <v>0</v>
      </c>
      <c r="BJ3" s="63">
        <v>0</v>
      </c>
      <c r="BK3" s="63">
        <v>0</v>
      </c>
      <c r="BL3" s="63">
        <v>0</v>
      </c>
      <c r="BM3" s="63">
        <v>0</v>
      </c>
      <c r="BN3" s="63">
        <v>0</v>
      </c>
      <c r="BO3" s="63">
        <v>0</v>
      </c>
      <c r="BP3" s="63">
        <v>0</v>
      </c>
      <c r="BQ3" s="63">
        <v>0</v>
      </c>
      <c r="BR3" s="63">
        <v>0</v>
      </c>
      <c r="BS3" s="63">
        <v>0</v>
      </c>
      <c r="BT3" s="63">
        <v>0</v>
      </c>
      <c r="BU3" s="63">
        <v>0</v>
      </c>
      <c r="BV3" s="63">
        <v>0</v>
      </c>
      <c r="BW3" s="63">
        <v>0</v>
      </c>
      <c r="BX3" s="63">
        <v>0</v>
      </c>
      <c r="BY3" s="63">
        <v>0</v>
      </c>
      <c r="BZ3" s="63">
        <v>0</v>
      </c>
      <c r="CA3" s="63">
        <v>0</v>
      </c>
      <c r="CB3" s="63">
        <v>0</v>
      </c>
      <c r="CC3" s="63">
        <v>0</v>
      </c>
      <c r="CD3" s="63">
        <v>0</v>
      </c>
    </row>
    <row r="4" spans="1:110" x14ac:dyDescent="0.15">
      <c r="C4" s="63" t="str">
        <v>Result</v>
      </c>
      <c r="D4" s="82">
        <v>0</v>
      </c>
      <c r="E4" s="63" t="str">
        <v>L</v>
      </c>
      <c r="F4" s="63" t="str">
        <v>D</v>
      </c>
      <c r="G4" s="63" t="str">
        <v>W</v>
      </c>
      <c r="H4" s="63" t="str">
        <v>D</v>
      </c>
      <c r="I4" s="63" t="str">
        <v>W</v>
      </c>
      <c r="J4" s="63" t="str">
        <v>W</v>
      </c>
      <c r="K4" s="63" t="str">
        <v>W</v>
      </c>
      <c r="L4" s="63" t="str">
        <v>L</v>
      </c>
      <c r="M4" s="63" t="str">
        <v>W</v>
      </c>
      <c r="N4" s="63" t="str">
        <v>W</v>
      </c>
      <c r="O4" s="63" t="str">
        <v>W</v>
      </c>
      <c r="P4" s="63" t="str">
        <v>W</v>
      </c>
      <c r="Q4" s="63" t="str">
        <v>W</v>
      </c>
      <c r="R4" s="63" t="str">
        <v>L</v>
      </c>
      <c r="S4" s="63" t="str">
        <v>D</v>
      </c>
      <c r="T4" s="63" t="str">
        <v>W</v>
      </c>
      <c r="U4" s="63" t="str">
        <v>D</v>
      </c>
      <c r="V4" s="63" t="str">
        <v>L</v>
      </c>
      <c r="W4" s="63" t="str">
        <v>D</v>
      </c>
      <c r="X4" s="63">
        <v>0</v>
      </c>
      <c r="Y4" s="63">
        <v>0</v>
      </c>
      <c r="Z4" s="63" t="str">
        <v>W</v>
      </c>
      <c r="AA4" s="63" t="str">
        <v>L</v>
      </c>
      <c r="AB4" s="63" t="str">
        <v>D</v>
      </c>
      <c r="AC4" s="63" t="str">
        <v>L</v>
      </c>
      <c r="AD4" s="63" t="str">
        <v>D</v>
      </c>
      <c r="AE4" s="63" t="str">
        <v>L</v>
      </c>
      <c r="AF4" s="63" t="str">
        <v>L</v>
      </c>
      <c r="AG4" s="63">
        <v>0</v>
      </c>
      <c r="AH4" s="63" t="str">
        <v>L</v>
      </c>
      <c r="AI4" s="63" t="str">
        <v>ND</v>
      </c>
      <c r="AJ4" s="63" t="str">
        <v>W</v>
      </c>
      <c r="AK4" s="63" t="str">
        <v>D</v>
      </c>
      <c r="AL4" s="63" t="str">
        <v>W</v>
      </c>
      <c r="AM4" s="63" t="str">
        <v>D</v>
      </c>
      <c r="AN4" s="63" t="str">
        <v>ND</v>
      </c>
      <c r="AO4" s="63" t="str">
        <v>W</v>
      </c>
      <c r="AP4" s="63" t="str">
        <v>L</v>
      </c>
      <c r="AQ4" s="63" t="str">
        <v>D</v>
      </c>
      <c r="AR4" s="63" t="str">
        <v>D</v>
      </c>
      <c r="AS4" s="63" t="str">
        <v>D</v>
      </c>
      <c r="AT4" s="63">
        <v>0</v>
      </c>
      <c r="AU4" s="63">
        <v>0</v>
      </c>
      <c r="AV4" s="63" t="str">
        <v>L</v>
      </c>
      <c r="AW4" s="63" t="str">
        <v>L</v>
      </c>
      <c r="AX4" s="63">
        <v>0</v>
      </c>
      <c r="AY4" s="63" t="str">
        <v>L</v>
      </c>
      <c r="AZ4" s="63" t="str">
        <v>W</v>
      </c>
      <c r="BA4" s="63">
        <v>0</v>
      </c>
      <c r="BB4" s="63" t="str">
        <v>W</v>
      </c>
      <c r="BC4" s="63" t="str">
        <v>D</v>
      </c>
      <c r="BD4" s="63">
        <v>0</v>
      </c>
      <c r="BE4" s="63" t="str">
        <v>W</v>
      </c>
      <c r="BF4" s="63">
        <v>0</v>
      </c>
      <c r="BG4" s="63">
        <v>0</v>
      </c>
      <c r="BH4" s="63">
        <v>0</v>
      </c>
      <c r="BI4" s="63">
        <v>0</v>
      </c>
      <c r="BJ4" s="63">
        <v>0</v>
      </c>
      <c r="BK4" s="63">
        <v>0</v>
      </c>
      <c r="BL4" s="63">
        <v>0</v>
      </c>
      <c r="BM4" s="63">
        <v>0</v>
      </c>
      <c r="BN4" s="63">
        <v>0</v>
      </c>
      <c r="BO4" s="63">
        <v>0</v>
      </c>
      <c r="BP4" s="63">
        <v>0</v>
      </c>
      <c r="BQ4" s="63">
        <v>0</v>
      </c>
      <c r="BR4" s="63">
        <v>0</v>
      </c>
      <c r="BS4" s="63">
        <v>0</v>
      </c>
      <c r="BT4" s="63">
        <v>0</v>
      </c>
      <c r="BU4" s="63">
        <v>0</v>
      </c>
      <c r="BV4" s="63">
        <v>0</v>
      </c>
      <c r="BW4" s="63">
        <v>0</v>
      </c>
      <c r="BX4" s="63">
        <v>0</v>
      </c>
      <c r="BY4" s="63">
        <v>0</v>
      </c>
      <c r="BZ4" s="63">
        <v>0</v>
      </c>
      <c r="CA4" s="63">
        <v>0</v>
      </c>
      <c r="CB4" s="63">
        <v>0</v>
      </c>
      <c r="CC4" s="63">
        <v>0</v>
      </c>
      <c r="CD4" s="63">
        <v>0</v>
      </c>
      <c r="CE4" s="57" t="s">
        <v>5</v>
      </c>
      <c r="CF4" s="57" t="s">
        <v>6</v>
      </c>
      <c r="CG4" s="57" t="s">
        <v>7</v>
      </c>
      <c r="CH4" s="57" t="s">
        <v>8</v>
      </c>
      <c r="CI4" s="57" t="s">
        <v>206</v>
      </c>
      <c r="CJ4" s="57" t="s">
        <v>540</v>
      </c>
      <c r="CK4" s="57" t="s">
        <v>9</v>
      </c>
      <c r="CL4" s="54" t="s">
        <v>74</v>
      </c>
      <c r="CM4" s="82" t="s">
        <v>11</v>
      </c>
      <c r="CN4" s="82" t="s">
        <v>12</v>
      </c>
      <c r="CO4" s="57" t="s">
        <v>13</v>
      </c>
      <c r="CP4" s="57" t="s">
        <v>14</v>
      </c>
      <c r="CQ4" s="57" t="s">
        <v>15</v>
      </c>
      <c r="CR4" s="57" t="s">
        <v>16</v>
      </c>
      <c r="CS4" s="57" t="s">
        <v>17</v>
      </c>
      <c r="CT4" s="57" t="s">
        <v>18</v>
      </c>
      <c r="CU4" s="57" t="s">
        <v>19</v>
      </c>
      <c r="CV4" s="57" t="s">
        <v>20</v>
      </c>
      <c r="CW4" s="57" t="s">
        <v>21</v>
      </c>
      <c r="CX4" s="57" t="s">
        <v>22</v>
      </c>
      <c r="CY4" s="57" t="s">
        <v>23</v>
      </c>
      <c r="CZ4" s="57" t="s">
        <v>24</v>
      </c>
      <c r="DA4" s="82" t="s">
        <v>210</v>
      </c>
      <c r="DB4" s="82" t="s">
        <v>211</v>
      </c>
      <c r="DC4" s="82" t="s">
        <v>440</v>
      </c>
      <c r="DD4" s="82" t="s">
        <v>439</v>
      </c>
      <c r="DE4" s="82" t="s">
        <v>547</v>
      </c>
    </row>
    <row r="5" spans="1:110" x14ac:dyDescent="0.15">
      <c r="A5" s="82" t="str">
        <f>UPPER(LEFT(B5,2)&amp;LEFT(C5,2))</f>
        <v>GLAN</v>
      </c>
      <c r="B5" s="82" t="s">
        <v>26</v>
      </c>
      <c r="C5" s="82" t="s">
        <v>1042</v>
      </c>
      <c r="J5" s="82" t="s">
        <v>459</v>
      </c>
      <c r="AB5" s="82" t="s">
        <v>776</v>
      </c>
      <c r="AV5" s="82" t="s">
        <v>934</v>
      </c>
      <c r="AZ5" s="82" t="s">
        <v>1030</v>
      </c>
      <c r="CE5" s="82">
        <f t="shared" ref="CE5:CE14" si="0">BatSplit(D5:CD5,MatchesPlayed)</f>
        <v>4</v>
      </c>
      <c r="CF5" s="82">
        <f t="shared" ref="CF5:CF17" si="1">CE5-CG5</f>
        <v>1</v>
      </c>
      <c r="CG5" s="82">
        <f t="shared" ref="CG5:CG15" si="2">BatSplit(D5:CD5,InnsBattedIn)</f>
        <v>3</v>
      </c>
      <c r="CH5" s="82">
        <f t="shared" ref="CH5:CH17" si="3">BatSplit(D5:CD5,NotOuts)</f>
        <v>1</v>
      </c>
      <c r="CI5" s="82">
        <f t="shared" ref="CI5:CI17" si="4">BatSplit(D5:CD5,HighestScore)</f>
        <v>-28</v>
      </c>
      <c r="CJ5" s="82" t="str">
        <f>IF(CI5&lt;0,-CI5&amp;"*",CI5)</f>
        <v>28*</v>
      </c>
      <c r="CK5" s="82">
        <f t="shared" ref="CK5:CK17" si="5">BatSplit(D5:CD5,RunsScored)</f>
        <v>49</v>
      </c>
      <c r="CL5" s="84">
        <f>IF(CG5=CH5,0,CK5/(CG5-CH5))</f>
        <v>24.5</v>
      </c>
      <c r="CM5" s="82">
        <f t="shared" ref="CM5:CM17" si="6">BatSplit(D5:CD5,BatPts)</f>
        <v>69</v>
      </c>
      <c r="CN5" s="82">
        <f t="shared" ref="CN5:CN17" si="7">BatSplit(D5:CD5,FldPts)</f>
        <v>10</v>
      </c>
      <c r="CO5" s="85">
        <f t="array" ref="CO5">SUM(IF(ISERR(FIND("*",D5:CD5)),0,1))</f>
        <v>0</v>
      </c>
      <c r="CP5" s="85">
        <f t="array" ref="CP5">SUM(IF(ISERR(FIND("+",D5:CD5)),0,1))</f>
        <v>0</v>
      </c>
      <c r="CQ5" s="82">
        <f t="shared" ref="CQ5:CQ17" si="8">BatSplit(D5:CD5,Ducks)</f>
        <v>0</v>
      </c>
      <c r="CR5" s="85">
        <f t="array" ref="CR5">SUM(IF(ISERR(FIND(CR$4,$D5:$CD5)),0,1))</f>
        <v>2</v>
      </c>
      <c r="CS5" s="85">
        <f t="array" ref="CS5">SUM(IF(ISERR(FIND(CS$4,$D5:$CD5)),0,1))</f>
        <v>0</v>
      </c>
      <c r="CT5" s="85">
        <f t="array" ref="CT5">SUM(IF(ISERR(FIND(CT$4,$D5:$CD5)),0,1))</f>
        <v>0</v>
      </c>
      <c r="CU5" s="85">
        <f t="array" ref="CU5">SUM(IF(ISERR(FIND(CU$4,$D5:$CD5)),0,1))</f>
        <v>0</v>
      </c>
      <c r="CV5" s="85">
        <f t="array" ref="CV5">SUM(IF(ISERR(FIND(CV$4,$D5:$CD5)),0,1))</f>
        <v>0</v>
      </c>
      <c r="CW5" s="82">
        <f t="shared" ref="CW5:CW17" si="9">BatSplit(D5:CD5,Catches)</f>
        <v>2</v>
      </c>
      <c r="CX5" s="82">
        <f t="shared" ref="CX5:CX17" si="10">BatSplit(D5:CD5,Fours)</f>
        <v>4</v>
      </c>
      <c r="CY5" s="82">
        <f t="shared" ref="CY5:CY17" si="11">BatSplit(D5:CD5,Sixes)</f>
        <v>1</v>
      </c>
      <c r="CZ5" s="82">
        <f t="shared" ref="CZ5:CZ17" si="12">BatSplit(D5:CD5,Stumpings)</f>
        <v>0</v>
      </c>
      <c r="DA5" s="82">
        <f>BatSplit(D5:CD5,CaughtWkt)</f>
        <v>0</v>
      </c>
      <c r="DB5" s="82">
        <f>BatSplit(D5:CD5,TwentyFives)</f>
        <v>1</v>
      </c>
      <c r="DC5" s="82">
        <f>ROUND(IF(ISERROR(CL5),0,CL5),2)*100000+CE5*100+ROW(DB5)</f>
        <v>2450405</v>
      </c>
      <c r="DD5" s="82">
        <f>RANK(DC5,$DC$5:$DC$59)</f>
        <v>5</v>
      </c>
      <c r="DF5" s="82" t="str">
        <f>C5&amp;" "&amp;LEFT(B5,1)</f>
        <v>Angell G G</v>
      </c>
    </row>
    <row r="6" spans="1:110" x14ac:dyDescent="0.15">
      <c r="A6" s="82" t="str">
        <f t="shared" ref="A6:A59" si="13">UPPER(LEFT(B6,2)&amp;LEFT(C6,2))</f>
        <v>JOBA</v>
      </c>
      <c r="B6" s="82" t="s">
        <v>27</v>
      </c>
      <c r="C6" s="82" t="s">
        <v>1043</v>
      </c>
      <c r="CE6" s="82">
        <f t="shared" si="0"/>
        <v>0</v>
      </c>
      <c r="CF6" s="82">
        <f t="shared" si="1"/>
        <v>0</v>
      </c>
      <c r="CG6" s="82">
        <f t="shared" si="2"/>
        <v>0</v>
      </c>
      <c r="CH6" s="82">
        <f t="shared" si="3"/>
        <v>0</v>
      </c>
      <c r="CI6" s="82">
        <f t="shared" si="4"/>
        <v>0</v>
      </c>
      <c r="CJ6" s="86">
        <f t="shared" ref="CJ6:CJ59" si="14">IF(CI6&lt;0,-CI6&amp;"*",CI6)</f>
        <v>0</v>
      </c>
      <c r="CK6" s="82">
        <f t="shared" si="5"/>
        <v>0</v>
      </c>
      <c r="CL6" s="84">
        <f t="shared" ref="CL6:CL59" si="15">IF(CG6=CH6,0,CK6/(CG6-CH6))</f>
        <v>0</v>
      </c>
      <c r="CM6" s="82">
        <f t="shared" si="6"/>
        <v>0</v>
      </c>
      <c r="CN6" s="82">
        <f t="shared" si="7"/>
        <v>0</v>
      </c>
      <c r="CO6" s="85">
        <f t="array" ref="CO6">SUM(IF(ISERR(FIND("*",D6:CD6)),0,1))</f>
        <v>0</v>
      </c>
      <c r="CP6" s="85">
        <f t="array" ref="CP6">SUM(IF(ISERR(FIND("+",D6:CD6)),0,1))</f>
        <v>0</v>
      </c>
      <c r="CQ6" s="82">
        <f t="shared" si="8"/>
        <v>0</v>
      </c>
      <c r="CR6" s="85">
        <f t="array" ref="CR6">SUM(IF(ISERR(FIND(CR$4,$D6:$CD6)),0,1))</f>
        <v>0</v>
      </c>
      <c r="CS6" s="85">
        <f t="array" ref="CS6">SUM(IF(ISERR(FIND(CS$4,$D6:$CD6)),0,1))</f>
        <v>0</v>
      </c>
      <c r="CT6" s="85">
        <f t="array" ref="CT6">SUM(IF(ISERR(FIND(CT$4,$D6:$CD6)),0,1))</f>
        <v>0</v>
      </c>
      <c r="CU6" s="85">
        <f t="array" ref="CU6">SUM(IF(ISERR(FIND(CU$4,$D6:$CD6)),0,1))</f>
        <v>0</v>
      </c>
      <c r="CV6" s="85">
        <f t="array" ref="CV6">SUM(IF(ISERR(FIND(CV$4,$D6:$CD6)),0,1))</f>
        <v>0</v>
      </c>
      <c r="CW6" s="82">
        <f t="shared" si="9"/>
        <v>0</v>
      </c>
      <c r="CX6" s="82">
        <f t="shared" si="10"/>
        <v>0</v>
      </c>
      <c r="CY6" s="82">
        <f t="shared" si="11"/>
        <v>0</v>
      </c>
      <c r="CZ6" s="82">
        <f t="shared" si="12"/>
        <v>0</v>
      </c>
      <c r="DA6" s="82">
        <f t="shared" ref="DA6:DA59" si="16">BatSplit(D6:CD6,CaughtWkt)</f>
        <v>0</v>
      </c>
      <c r="DB6" s="82">
        <f t="shared" ref="DB6:DB59" si="17">BatSplit(D6:CD6,TwentyFives)</f>
        <v>0</v>
      </c>
      <c r="DC6" s="82">
        <f t="shared" ref="DC6:DC59" si="18">ROUND(IF(ISERROR(CL6),0,CL6),2)*100000+CE6*100+ROW(DB6)</f>
        <v>6</v>
      </c>
      <c r="DD6" s="82">
        <f t="shared" ref="DD6:DD59" si="19">RANK(DC6,$DC$5:$DC$59)</f>
        <v>55</v>
      </c>
      <c r="DF6" s="82" t="str">
        <f t="shared" ref="DF6:DF59" si="20">C6&amp;" "&amp;LEFT(B6,1)</f>
        <v>Bailey J J</v>
      </c>
    </row>
    <row r="7" spans="1:110" x14ac:dyDescent="0.15">
      <c r="A7" s="82" t="str">
        <f t="shared" si="13"/>
        <v>MIBO</v>
      </c>
      <c r="B7" s="82" t="s">
        <v>28</v>
      </c>
      <c r="C7" s="82" t="s">
        <v>1044</v>
      </c>
      <c r="H7" s="82" t="s">
        <v>331</v>
      </c>
      <c r="M7" s="82" t="s">
        <v>476</v>
      </c>
      <c r="O7" s="82" t="s">
        <v>505</v>
      </c>
      <c r="AA7" s="82" t="s">
        <v>636</v>
      </c>
      <c r="AD7" s="82" t="s">
        <v>662</v>
      </c>
      <c r="CE7" s="82">
        <f t="shared" si="0"/>
        <v>5</v>
      </c>
      <c r="CF7" s="82">
        <f t="shared" si="1"/>
        <v>1</v>
      </c>
      <c r="CG7" s="82">
        <f t="shared" si="2"/>
        <v>4</v>
      </c>
      <c r="CH7" s="82">
        <f t="shared" si="3"/>
        <v>0</v>
      </c>
      <c r="CI7" s="82">
        <f t="shared" si="4"/>
        <v>7</v>
      </c>
      <c r="CJ7" s="86">
        <f t="shared" si="14"/>
        <v>7</v>
      </c>
      <c r="CK7" s="82">
        <f t="shared" si="5"/>
        <v>16</v>
      </c>
      <c r="CL7" s="84">
        <f t="shared" si="15"/>
        <v>4</v>
      </c>
      <c r="CM7" s="82">
        <f t="shared" si="6"/>
        <v>41</v>
      </c>
      <c r="CN7" s="82">
        <f t="shared" si="7"/>
        <v>15</v>
      </c>
      <c r="CO7" s="85">
        <f t="array" ref="CO7">SUM(IF(ISERR(FIND("*",D7:CD7)),0,1))</f>
        <v>0</v>
      </c>
      <c r="CP7" s="85">
        <f t="array" ref="CP7">SUM(IF(ISERR(FIND("+",D7:CD7)),0,1))</f>
        <v>0</v>
      </c>
      <c r="CQ7" s="82">
        <f t="shared" si="8"/>
        <v>0</v>
      </c>
      <c r="CR7" s="85">
        <f t="array" ref="CR7">SUM(IF(ISERR(FIND(CR$4,$D7:$CD7)),0,1))</f>
        <v>2</v>
      </c>
      <c r="CS7" s="85">
        <f t="array" ref="CS7">SUM(IF(ISERR(FIND(CS$4,$D7:$CD7)),0,1))</f>
        <v>2</v>
      </c>
      <c r="CT7" s="85">
        <f t="array" ref="CT7">SUM(IF(ISERR(FIND(CT$4,$D7:$CD7)),0,1))</f>
        <v>0</v>
      </c>
      <c r="CU7" s="85">
        <f t="array" ref="CU7">SUM(IF(ISERR(FIND(CU$4,$D7:$CD7)),0,1))</f>
        <v>0</v>
      </c>
      <c r="CV7" s="85">
        <f t="array" ref="CV7">SUM(IF(ISERR(FIND(CV$4,$D7:$CD7)),0,1))</f>
        <v>0</v>
      </c>
      <c r="CW7" s="82">
        <f t="shared" si="9"/>
        <v>3</v>
      </c>
      <c r="CX7" s="82">
        <f t="shared" si="10"/>
        <v>2</v>
      </c>
      <c r="CY7" s="82">
        <f t="shared" si="11"/>
        <v>0</v>
      </c>
      <c r="CZ7" s="82">
        <f t="shared" si="12"/>
        <v>0</v>
      </c>
      <c r="DA7" s="82">
        <f t="shared" si="16"/>
        <v>0</v>
      </c>
      <c r="DB7" s="82">
        <f t="shared" si="17"/>
        <v>0</v>
      </c>
      <c r="DC7" s="82">
        <f t="shared" si="18"/>
        <v>400507</v>
      </c>
      <c r="DD7" s="82">
        <f t="shared" si="19"/>
        <v>35</v>
      </c>
      <c r="DF7" s="82" t="str">
        <f t="shared" si="20"/>
        <v>Bowers M M</v>
      </c>
    </row>
    <row r="8" spans="1:110" x14ac:dyDescent="0.15">
      <c r="A8" s="82" t="str">
        <f t="shared" si="13"/>
        <v>DABR</v>
      </c>
      <c r="B8" s="82" t="s">
        <v>30</v>
      </c>
      <c r="C8" s="82" t="s">
        <v>1045</v>
      </c>
      <c r="F8" s="82" t="s">
        <v>353</v>
      </c>
      <c r="K8" s="82" t="s">
        <v>407</v>
      </c>
      <c r="O8" s="82" t="s">
        <v>503</v>
      </c>
      <c r="P8" s="82" t="s">
        <v>335</v>
      </c>
      <c r="Q8" s="82" t="s">
        <v>523</v>
      </c>
      <c r="S8" s="82" t="s">
        <v>586</v>
      </c>
      <c r="AC8" s="82" t="s">
        <v>682</v>
      </c>
      <c r="AE8" s="82" t="s">
        <v>768</v>
      </c>
      <c r="AH8" s="82" t="s">
        <v>745</v>
      </c>
      <c r="AS8" s="82" t="s">
        <v>910</v>
      </c>
      <c r="AW8" s="82" t="s">
        <v>944</v>
      </c>
      <c r="BE8" s="82" t="s">
        <v>359</v>
      </c>
      <c r="CE8" s="82">
        <f t="shared" si="0"/>
        <v>12</v>
      </c>
      <c r="CF8" s="82">
        <f t="shared" si="1"/>
        <v>2</v>
      </c>
      <c r="CG8" s="82">
        <f t="shared" si="2"/>
        <v>10</v>
      </c>
      <c r="CH8" s="82">
        <f t="shared" si="3"/>
        <v>0</v>
      </c>
      <c r="CI8" s="82">
        <f t="shared" si="4"/>
        <v>92</v>
      </c>
      <c r="CJ8" s="86">
        <f t="shared" si="14"/>
        <v>92</v>
      </c>
      <c r="CK8" s="82">
        <f t="shared" si="5"/>
        <v>306</v>
      </c>
      <c r="CL8" s="84">
        <f t="shared" si="15"/>
        <v>30.6</v>
      </c>
      <c r="CM8" s="82">
        <f t="shared" si="6"/>
        <v>376</v>
      </c>
      <c r="CN8" s="82">
        <f t="shared" si="7"/>
        <v>10</v>
      </c>
      <c r="CO8" s="85">
        <f t="array" ref="CO8">SUM(IF(ISERR(FIND("*",D8:CD8)),0,1))</f>
        <v>0</v>
      </c>
      <c r="CP8" s="85">
        <f t="array" ref="CP8">SUM(IF(ISERR(FIND("+",D8:CD8)),0,1))</f>
        <v>0</v>
      </c>
      <c r="CQ8" s="82">
        <f t="shared" si="8"/>
        <v>0</v>
      </c>
      <c r="CR8" s="85">
        <f t="array" ref="CR8">SUM(IF(ISERR(FIND(CR$4,$D8:$CD8)),0,1))</f>
        <v>4</v>
      </c>
      <c r="CS8" s="85">
        <f t="array" ref="CS8">SUM(IF(ISERR(FIND(CS$4,$D8:$CD8)),0,1))</f>
        <v>4</v>
      </c>
      <c r="CT8" s="85">
        <f t="array" ref="CT8">SUM(IF(ISERR(FIND(CT$4,$D8:$CD8)),0,1))</f>
        <v>1</v>
      </c>
      <c r="CU8" s="85">
        <f t="array" ref="CU8">SUM(IF(ISERR(FIND(CU$4,$D8:$CD8)),0,1))</f>
        <v>1</v>
      </c>
      <c r="CV8" s="85">
        <f t="array" ref="CV8">SUM(IF(ISERR(FIND(CV$4,$D8:$CD8)),0,1))</f>
        <v>0</v>
      </c>
      <c r="CW8" s="82">
        <f t="shared" si="9"/>
        <v>2</v>
      </c>
      <c r="CX8" s="82">
        <f t="shared" si="10"/>
        <v>33</v>
      </c>
      <c r="CY8" s="82">
        <f t="shared" si="11"/>
        <v>11</v>
      </c>
      <c r="CZ8" s="82">
        <f t="shared" si="12"/>
        <v>0</v>
      </c>
      <c r="DA8" s="82">
        <f t="shared" si="16"/>
        <v>0</v>
      </c>
      <c r="DB8" s="82">
        <f t="shared" si="17"/>
        <v>6</v>
      </c>
      <c r="DC8" s="82">
        <f t="shared" si="18"/>
        <v>3061208</v>
      </c>
      <c r="DD8" s="82">
        <f t="shared" si="19"/>
        <v>4</v>
      </c>
      <c r="DF8" s="82" t="str">
        <f t="shared" si="20"/>
        <v>Brocks D D</v>
      </c>
    </row>
    <row r="9" spans="1:110" x14ac:dyDescent="0.15">
      <c r="C9" s="82" t="s">
        <v>1046</v>
      </c>
      <c r="M9" s="82" t="s">
        <v>479</v>
      </c>
      <c r="CE9" s="82">
        <f>BatSplit(D9:CD9,MatchesPlayed)</f>
        <v>1</v>
      </c>
      <c r="CF9" s="82">
        <f>CE9-CG9</f>
        <v>0</v>
      </c>
      <c r="CG9" s="82">
        <f>BatSplit(D9:CD9,InnsBattedIn)</f>
        <v>1</v>
      </c>
      <c r="CH9" s="82">
        <f>BatSplit(D9:CD9,NotOuts)</f>
        <v>0</v>
      </c>
      <c r="CI9" s="82">
        <f>BatSplit(D9:CD9,HighestScore)</f>
        <v>2</v>
      </c>
      <c r="CJ9" s="86">
        <f t="shared" si="14"/>
        <v>2</v>
      </c>
      <c r="CK9" s="82">
        <f>BatSplit(D9:CD9,RunsScored)</f>
        <v>2</v>
      </c>
      <c r="CL9" s="84">
        <f>IF(CG9=CH9,0,CK9/(CG9-CH9))</f>
        <v>2</v>
      </c>
      <c r="CM9" s="82">
        <f>BatSplit(D9:CD9,BatPts)</f>
        <v>7</v>
      </c>
      <c r="CN9" s="82">
        <f>BatSplit(D9:CD9,FldPts)</f>
        <v>0</v>
      </c>
      <c r="CO9" s="85">
        <f t="array" ref="CO9">SUM(IF(ISERR(FIND("*",D9:CD9)),0,1))</f>
        <v>0</v>
      </c>
      <c r="CP9" s="85">
        <f t="array" ref="CP9">SUM(IF(ISERR(FIND("+",D9:CD9)),0,1))</f>
        <v>0</v>
      </c>
      <c r="CQ9" s="82">
        <f>BatSplit(D9:CD9,Ducks)</f>
        <v>0</v>
      </c>
      <c r="CR9" s="85">
        <f t="array" ref="CR9">SUM(IF(ISERR(FIND(CR$4,$D9:$CD9)),0,1))</f>
        <v>1</v>
      </c>
      <c r="CS9" s="85">
        <f t="array" ref="CS9">SUM(IF(ISERR(FIND(CS$4,$D9:$CD9)),0,1))</f>
        <v>0</v>
      </c>
      <c r="CT9" s="85">
        <f t="array" ref="CT9">SUM(IF(ISERR(FIND(CT$4,$D9:$CD9)),0,1))</f>
        <v>0</v>
      </c>
      <c r="CU9" s="85">
        <f t="array" ref="CU9">SUM(IF(ISERR(FIND(CU$4,$D9:$CD9)),0,1))</f>
        <v>0</v>
      </c>
      <c r="CV9" s="85">
        <f t="array" ref="CV9">SUM(IF(ISERR(FIND(CV$4,$D9:$CD9)),0,1))</f>
        <v>0</v>
      </c>
      <c r="CW9" s="82">
        <f>BatSplit(D9:CD9,Catches)</f>
        <v>0</v>
      </c>
      <c r="CX9" s="82">
        <f>BatSplit(D9:CD9,Fours)</f>
        <v>0</v>
      </c>
      <c r="CY9" s="82">
        <f>BatSplit(D9:CD9,Sixes)</f>
        <v>0</v>
      </c>
      <c r="CZ9" s="82">
        <f>BatSplit(D9:CD9,Stumpings)</f>
        <v>0</v>
      </c>
      <c r="DA9" s="82">
        <f>BatSplit(D9:CD9,CaughtWkt)</f>
        <v>0</v>
      </c>
      <c r="DB9" s="82">
        <f>BatSplit(D9:CD9,TwentyFives)</f>
        <v>0</v>
      </c>
      <c r="DC9" s="82">
        <f t="shared" si="18"/>
        <v>200109</v>
      </c>
      <c r="DD9" s="82">
        <f t="shared" si="19"/>
        <v>42</v>
      </c>
      <c r="DF9" s="82" t="str">
        <f t="shared" si="20"/>
        <v xml:space="preserve">Bromley  </v>
      </c>
    </row>
    <row r="10" spans="1:110" x14ac:dyDescent="0.15">
      <c r="B10" s="82" t="s">
        <v>354</v>
      </c>
      <c r="C10" s="82" t="s">
        <v>1047</v>
      </c>
      <c r="F10" s="82" t="s">
        <v>356</v>
      </c>
      <c r="CE10" s="82">
        <f>BatSplit(D10:CD10,MatchesPlayed)</f>
        <v>1</v>
      </c>
      <c r="CF10" s="82">
        <f>CE10-CG10</f>
        <v>0</v>
      </c>
      <c r="CG10" s="82">
        <f>BatSplit(D10:CD10,InnsBattedIn)</f>
        <v>1</v>
      </c>
      <c r="CH10" s="82">
        <f>BatSplit(D10:CD10,NotOuts)</f>
        <v>0</v>
      </c>
      <c r="CI10" s="82">
        <f>BatSplit(D10:CD10,HighestScore)</f>
        <v>2</v>
      </c>
      <c r="CJ10" s="86">
        <f t="shared" si="14"/>
        <v>2</v>
      </c>
      <c r="CK10" s="82">
        <f>BatSplit(D10:CD10,RunsScored)</f>
        <v>2</v>
      </c>
      <c r="CL10" s="84">
        <f t="shared" si="15"/>
        <v>2</v>
      </c>
      <c r="CM10" s="82">
        <f>BatSplit(D10:CD10,BatPts)</f>
        <v>7</v>
      </c>
      <c r="CN10" s="82">
        <f>BatSplit(D10:CD10,FldPts)</f>
        <v>5</v>
      </c>
      <c r="CO10" s="85">
        <f t="array" ref="CO10">SUM(IF(ISERR(FIND("*",D10:CD10)),0,1))</f>
        <v>0</v>
      </c>
      <c r="CP10" s="85">
        <f t="array" ref="CP10">SUM(IF(ISERR(FIND("+",D10:CD10)),0,1))</f>
        <v>0</v>
      </c>
      <c r="CQ10" s="82">
        <f>BatSplit(D10:CD10,Ducks)</f>
        <v>0</v>
      </c>
      <c r="CR10" s="85">
        <f t="array" ref="CR10">SUM(IF(ISERR(FIND(CR$4,$D10:$CD10)),0,1))</f>
        <v>1</v>
      </c>
      <c r="CS10" s="85">
        <f t="array" ref="CS10">SUM(IF(ISERR(FIND(CS$4,$D10:$CD10)),0,1))</f>
        <v>0</v>
      </c>
      <c r="CT10" s="85">
        <f t="array" ref="CT10">SUM(IF(ISERR(FIND(CT$4,$D10:$CD10)),0,1))</f>
        <v>0</v>
      </c>
      <c r="CU10" s="85">
        <f t="array" ref="CU10">SUM(IF(ISERR(FIND(CU$4,$D10:$CD10)),0,1))</f>
        <v>0</v>
      </c>
      <c r="CV10" s="85">
        <f t="array" ref="CV10">SUM(IF(ISERR(FIND(CV$4,$D10:$CD10)),0,1))</f>
        <v>0</v>
      </c>
      <c r="CW10" s="82">
        <f>BatSplit(D10:CD10,Catches)</f>
        <v>1</v>
      </c>
      <c r="CX10" s="82">
        <f>BatSplit(D10:CD10,Fours)</f>
        <v>0</v>
      </c>
      <c r="CY10" s="82">
        <f>BatSplit(D10:CD10,Sixes)</f>
        <v>0</v>
      </c>
      <c r="CZ10" s="82">
        <f>BatSplit(D10:CD10,Stumpings)</f>
        <v>0</v>
      </c>
      <c r="DA10" s="82">
        <f>BatSplit(D10:CD10,CaughtWkt)</f>
        <v>0</v>
      </c>
      <c r="DB10" s="82">
        <f>BatSplit(D10:CD10,TwentyFives)</f>
        <v>0</v>
      </c>
      <c r="DC10" s="82">
        <f t="shared" si="18"/>
        <v>200110</v>
      </c>
      <c r="DD10" s="82">
        <f t="shared" si="19"/>
        <v>41</v>
      </c>
      <c r="DF10" s="82" t="str">
        <f t="shared" si="20"/>
        <v>Catley N N</v>
      </c>
    </row>
    <row r="11" spans="1:110" x14ac:dyDescent="0.15">
      <c r="A11" s="82" t="str">
        <f t="shared" si="13"/>
        <v>GECH</v>
      </c>
      <c r="B11" s="82" t="s">
        <v>32</v>
      </c>
      <c r="C11" s="82" t="s">
        <v>1048</v>
      </c>
      <c r="T11" s="82" t="s">
        <v>607</v>
      </c>
      <c r="CE11" s="82">
        <f t="shared" si="0"/>
        <v>1</v>
      </c>
      <c r="CF11" s="82">
        <f t="shared" si="1"/>
        <v>0</v>
      </c>
      <c r="CG11" s="82">
        <f t="shared" si="2"/>
        <v>1</v>
      </c>
      <c r="CH11" s="82">
        <f t="shared" si="3"/>
        <v>0</v>
      </c>
      <c r="CI11" s="82">
        <f t="shared" si="4"/>
        <v>9</v>
      </c>
      <c r="CJ11" s="86">
        <f t="shared" si="14"/>
        <v>9</v>
      </c>
      <c r="CK11" s="82">
        <f t="shared" si="5"/>
        <v>9</v>
      </c>
      <c r="CL11" s="84">
        <f t="shared" si="15"/>
        <v>9</v>
      </c>
      <c r="CM11" s="82">
        <f t="shared" si="6"/>
        <v>14</v>
      </c>
      <c r="CN11" s="82">
        <f t="shared" si="7"/>
        <v>0</v>
      </c>
      <c r="CO11" s="85">
        <f t="array" ref="CO11">SUM(IF(ISERR(FIND("*",D11:CD11)),0,1))</f>
        <v>0</v>
      </c>
      <c r="CP11" s="85">
        <f t="array" ref="CP11">SUM(IF(ISERR(FIND("+",D11:CD11)),0,1))</f>
        <v>0</v>
      </c>
      <c r="CQ11" s="82">
        <f t="shared" si="8"/>
        <v>0</v>
      </c>
      <c r="CR11" s="85">
        <f t="array" ref="CR11">SUM(IF(ISERR(FIND(CR$4,$D11:$CD11)),0,1))</f>
        <v>1</v>
      </c>
      <c r="CS11" s="85">
        <f t="array" ref="CS11">SUM(IF(ISERR(FIND(CS$4,$D11:$CD11)),0,1))</f>
        <v>0</v>
      </c>
      <c r="CT11" s="85">
        <f t="array" ref="CT11">SUM(IF(ISERR(FIND(CT$4,$D11:$CD11)),0,1))</f>
        <v>0</v>
      </c>
      <c r="CU11" s="85">
        <f t="array" ref="CU11">SUM(IF(ISERR(FIND(CU$4,$D11:$CD11)),0,1))</f>
        <v>0</v>
      </c>
      <c r="CV11" s="85">
        <f t="array" ref="CV11">SUM(IF(ISERR(FIND(CV$4,$D11:$CD11)),0,1))</f>
        <v>0</v>
      </c>
      <c r="CW11" s="82">
        <f t="shared" si="9"/>
        <v>0</v>
      </c>
      <c r="CX11" s="82">
        <f t="shared" si="10"/>
        <v>0</v>
      </c>
      <c r="CY11" s="82">
        <f t="shared" si="11"/>
        <v>0</v>
      </c>
      <c r="CZ11" s="82">
        <f t="shared" si="12"/>
        <v>0</v>
      </c>
      <c r="DA11" s="82">
        <f t="shared" si="16"/>
        <v>0</v>
      </c>
      <c r="DB11" s="82">
        <f t="shared" si="17"/>
        <v>0</v>
      </c>
      <c r="DC11" s="82">
        <f t="shared" si="18"/>
        <v>900111</v>
      </c>
      <c r="DD11" s="82">
        <f t="shared" si="19"/>
        <v>25</v>
      </c>
      <c r="DF11" s="82" t="str">
        <f t="shared" si="20"/>
        <v>Chick G G</v>
      </c>
    </row>
    <row r="12" spans="1:110" x14ac:dyDescent="0.15">
      <c r="A12" s="82" t="str">
        <f t="shared" si="13"/>
        <v>ALCH</v>
      </c>
      <c r="B12" s="82" t="s">
        <v>65</v>
      </c>
      <c r="C12" s="82" t="s">
        <v>1049</v>
      </c>
      <c r="CE12" s="82">
        <f t="shared" si="0"/>
        <v>0</v>
      </c>
      <c r="CF12" s="82">
        <f t="shared" si="1"/>
        <v>0</v>
      </c>
      <c r="CG12" s="82">
        <f t="shared" si="2"/>
        <v>0</v>
      </c>
      <c r="CH12" s="82">
        <f t="shared" si="3"/>
        <v>0</v>
      </c>
      <c r="CI12" s="82">
        <f t="shared" si="4"/>
        <v>0</v>
      </c>
      <c r="CJ12" s="86">
        <f t="shared" si="14"/>
        <v>0</v>
      </c>
      <c r="CK12" s="82">
        <f t="shared" si="5"/>
        <v>0</v>
      </c>
      <c r="CL12" s="84">
        <f t="shared" si="15"/>
        <v>0</v>
      </c>
      <c r="CM12" s="82">
        <f t="shared" si="6"/>
        <v>0</v>
      </c>
      <c r="CN12" s="82">
        <f t="shared" si="7"/>
        <v>0</v>
      </c>
      <c r="CO12" s="85">
        <f t="array" ref="CO12">SUM(IF(ISERR(FIND("*",D12:CD12)),0,1))</f>
        <v>0</v>
      </c>
      <c r="CP12" s="85">
        <f t="array" ref="CP12">SUM(IF(ISERR(FIND("+",D12:CD12)),0,1))</f>
        <v>0</v>
      </c>
      <c r="CQ12" s="82">
        <f t="shared" si="8"/>
        <v>0</v>
      </c>
      <c r="CR12" s="85">
        <f t="array" ref="CR12">SUM(IF(ISERR(FIND(CR$4,$D12:$CD12)),0,1))</f>
        <v>0</v>
      </c>
      <c r="CS12" s="85">
        <f t="array" ref="CS12">SUM(IF(ISERR(FIND(CS$4,$D12:$CD12)),0,1))</f>
        <v>0</v>
      </c>
      <c r="CT12" s="85">
        <f t="array" ref="CT12">SUM(IF(ISERR(FIND(CT$4,$D12:$CD12)),0,1))</f>
        <v>0</v>
      </c>
      <c r="CU12" s="85">
        <f t="array" ref="CU12">SUM(IF(ISERR(FIND(CU$4,$D12:$CD12)),0,1))</f>
        <v>0</v>
      </c>
      <c r="CV12" s="85">
        <f t="array" ref="CV12">SUM(IF(ISERR(FIND(CV$4,$D12:$CD12)),0,1))</f>
        <v>0</v>
      </c>
      <c r="CW12" s="82">
        <f t="shared" si="9"/>
        <v>0</v>
      </c>
      <c r="CX12" s="82">
        <f t="shared" si="10"/>
        <v>0</v>
      </c>
      <c r="CY12" s="82">
        <f t="shared" si="11"/>
        <v>0</v>
      </c>
      <c r="CZ12" s="82">
        <f t="shared" si="12"/>
        <v>0</v>
      </c>
      <c r="DA12" s="82">
        <f t="shared" si="16"/>
        <v>0</v>
      </c>
      <c r="DB12" s="82">
        <f t="shared" si="17"/>
        <v>0</v>
      </c>
      <c r="DC12" s="82">
        <f t="shared" si="18"/>
        <v>12</v>
      </c>
      <c r="DD12" s="82">
        <f t="shared" si="19"/>
        <v>54</v>
      </c>
      <c r="DF12" s="82" t="str">
        <f t="shared" si="20"/>
        <v>Ching A A</v>
      </c>
    </row>
    <row r="13" spans="1:110" x14ac:dyDescent="0.15">
      <c r="A13" s="82" t="str">
        <f t="shared" si="13"/>
        <v>CHCL</v>
      </c>
      <c r="B13" s="82" t="s">
        <v>66</v>
      </c>
      <c r="C13" s="82" t="s">
        <v>1050</v>
      </c>
      <c r="H13" s="82" t="s">
        <v>335</v>
      </c>
      <c r="K13" s="82" t="s">
        <v>415</v>
      </c>
      <c r="R13" s="82" t="s">
        <v>556</v>
      </c>
      <c r="U13" s="82" t="s">
        <v>571</v>
      </c>
      <c r="AD13" s="82" t="s">
        <v>526</v>
      </c>
      <c r="AI13" s="82" t="s">
        <v>714</v>
      </c>
      <c r="CE13" s="82">
        <f t="shared" si="0"/>
        <v>6</v>
      </c>
      <c r="CF13" s="82">
        <f t="shared" si="1"/>
        <v>3</v>
      </c>
      <c r="CG13" s="82">
        <f t="shared" si="2"/>
        <v>3</v>
      </c>
      <c r="CH13" s="82">
        <f t="shared" si="3"/>
        <v>2</v>
      </c>
      <c r="CI13" s="82">
        <f t="shared" si="4"/>
        <v>-8</v>
      </c>
      <c r="CJ13" s="86" t="str">
        <f t="shared" si="14"/>
        <v>8*</v>
      </c>
      <c r="CK13" s="82">
        <f t="shared" si="5"/>
        <v>16</v>
      </c>
      <c r="CL13" s="84">
        <f t="shared" si="15"/>
        <v>16</v>
      </c>
      <c r="CM13" s="82">
        <f t="shared" si="6"/>
        <v>46</v>
      </c>
      <c r="CN13" s="82">
        <f t="shared" si="7"/>
        <v>0</v>
      </c>
      <c r="CO13" s="85">
        <f t="array" ref="CO13">SUM(IF(ISERR(FIND("*",D13:CD13)),0,1))</f>
        <v>0</v>
      </c>
      <c r="CP13" s="85">
        <f t="array" ref="CP13">SUM(IF(ISERR(FIND("+",D13:CD13)),0,1))</f>
        <v>0</v>
      </c>
      <c r="CQ13" s="82">
        <f t="shared" si="8"/>
        <v>0</v>
      </c>
      <c r="CR13" s="85">
        <f t="array" ref="CR13">SUM(IF(ISERR(FIND(CR$4,$D13:$CD13)),0,1))</f>
        <v>1</v>
      </c>
      <c r="CS13" s="85">
        <f t="array" ref="CS13">SUM(IF(ISERR(FIND(CS$4,$D13:$CD13)),0,1))</f>
        <v>0</v>
      </c>
      <c r="CT13" s="85">
        <f t="array" ref="CT13">SUM(IF(ISERR(FIND(CT$4,$D13:$CD13)),0,1))</f>
        <v>0</v>
      </c>
      <c r="CU13" s="85">
        <f t="array" ref="CU13">SUM(IF(ISERR(FIND(CU$4,$D13:$CD13)),0,1))</f>
        <v>0</v>
      </c>
      <c r="CV13" s="85">
        <f t="array" ref="CV13">SUM(IF(ISERR(FIND(CV$4,$D13:$CD13)),0,1))</f>
        <v>0</v>
      </c>
      <c r="CW13" s="82">
        <f t="shared" si="9"/>
        <v>0</v>
      </c>
      <c r="CX13" s="82">
        <f t="shared" si="10"/>
        <v>3</v>
      </c>
      <c r="CY13" s="82">
        <f t="shared" si="11"/>
        <v>0</v>
      </c>
      <c r="CZ13" s="82">
        <f t="shared" si="12"/>
        <v>0</v>
      </c>
      <c r="DA13" s="82">
        <f t="shared" si="16"/>
        <v>0</v>
      </c>
      <c r="DB13" s="82">
        <f t="shared" si="17"/>
        <v>0</v>
      </c>
      <c r="DC13" s="82">
        <f t="shared" si="18"/>
        <v>1600613</v>
      </c>
      <c r="DD13" s="82">
        <f t="shared" si="19"/>
        <v>12</v>
      </c>
      <c r="DF13" s="82" t="str">
        <f t="shared" si="20"/>
        <v>Clark C C</v>
      </c>
    </row>
    <row r="14" spans="1:110" x14ac:dyDescent="0.15">
      <c r="A14" s="82" t="str">
        <f t="shared" si="13"/>
        <v>PACO</v>
      </c>
      <c r="B14" s="82" t="s">
        <v>43</v>
      </c>
      <c r="C14" s="82" t="s">
        <v>1051</v>
      </c>
      <c r="CE14" s="82">
        <f t="shared" si="0"/>
        <v>0</v>
      </c>
      <c r="CF14" s="82">
        <f t="shared" si="1"/>
        <v>0</v>
      </c>
      <c r="CG14" s="82">
        <f t="shared" si="2"/>
        <v>0</v>
      </c>
      <c r="CH14" s="82">
        <f t="shared" si="3"/>
        <v>0</v>
      </c>
      <c r="CI14" s="82">
        <f t="shared" si="4"/>
        <v>0</v>
      </c>
      <c r="CJ14" s="86">
        <f t="shared" si="14"/>
        <v>0</v>
      </c>
      <c r="CK14" s="82">
        <f t="shared" si="5"/>
        <v>0</v>
      </c>
      <c r="CL14" s="84">
        <f t="shared" si="15"/>
        <v>0</v>
      </c>
      <c r="CM14" s="82">
        <f t="shared" si="6"/>
        <v>0</v>
      </c>
      <c r="CN14" s="82">
        <f>BatSplit(D14:CD14,FldPts)</f>
        <v>0</v>
      </c>
      <c r="CO14" s="85">
        <f t="array" ref="CO14">SUM(IF(ISERR(FIND("*",D14:CD14)),0,1))</f>
        <v>0</v>
      </c>
      <c r="CP14" s="85">
        <f t="array" ref="CP14">SUM(IF(ISERR(FIND("+",D14:CD14)),0,1))</f>
        <v>0</v>
      </c>
      <c r="CQ14" s="82">
        <f t="shared" si="8"/>
        <v>0</v>
      </c>
      <c r="CR14" s="85">
        <f t="array" ref="CR14">SUM(IF(ISERR(FIND(CR$4,$D14:$CD14)),0,1))</f>
        <v>0</v>
      </c>
      <c r="CS14" s="85">
        <f t="array" ref="CS14">SUM(IF(ISERR(FIND(CS$4,$D14:$CD14)),0,1))</f>
        <v>0</v>
      </c>
      <c r="CT14" s="85">
        <f t="array" ref="CT14">SUM(IF(ISERR(FIND(CT$4,$D14:$CD14)),0,1))</f>
        <v>0</v>
      </c>
      <c r="CU14" s="85">
        <f t="array" ref="CU14">SUM(IF(ISERR(FIND(CU$4,$D14:$CD14)),0,1))</f>
        <v>0</v>
      </c>
      <c r="CV14" s="85">
        <f t="array" ref="CV14">SUM(IF(ISERR(FIND(CV$4,$D14:$CD14)),0,1))</f>
        <v>0</v>
      </c>
      <c r="CW14" s="82">
        <f t="shared" si="9"/>
        <v>0</v>
      </c>
      <c r="CX14" s="82">
        <f t="shared" si="10"/>
        <v>0</v>
      </c>
      <c r="CY14" s="82">
        <f t="shared" si="11"/>
        <v>0</v>
      </c>
      <c r="CZ14" s="82">
        <f t="shared" si="12"/>
        <v>0</v>
      </c>
      <c r="DA14" s="82">
        <f t="shared" si="16"/>
        <v>0</v>
      </c>
      <c r="DB14" s="82">
        <f t="shared" si="17"/>
        <v>0</v>
      </c>
      <c r="DC14" s="82">
        <f t="shared" si="18"/>
        <v>14</v>
      </c>
      <c r="DD14" s="82">
        <f t="shared" si="19"/>
        <v>53</v>
      </c>
      <c r="DF14" s="82" t="str">
        <f t="shared" si="20"/>
        <v>Cobberwaite P P</v>
      </c>
    </row>
    <row r="15" spans="1:110" x14ac:dyDescent="0.15">
      <c r="A15" s="82" t="str">
        <f t="shared" si="13"/>
        <v>AICO</v>
      </c>
      <c r="B15" s="82" t="s">
        <v>193</v>
      </c>
      <c r="C15" s="82" t="s">
        <v>1052</v>
      </c>
      <c r="L15" s="82" t="s">
        <v>430</v>
      </c>
      <c r="AF15" s="82" t="s">
        <v>691</v>
      </c>
      <c r="AK15" s="82" t="s">
        <v>757</v>
      </c>
      <c r="AO15" s="82" t="s">
        <v>868</v>
      </c>
      <c r="BC15" s="82" t="s">
        <v>980</v>
      </c>
      <c r="CE15" s="82">
        <f>BatSplit(D15:CD15,MatchesPlayed)</f>
        <v>5</v>
      </c>
      <c r="CF15" s="82">
        <f t="shared" si="1"/>
        <v>1</v>
      </c>
      <c r="CG15" s="82">
        <f t="shared" si="2"/>
        <v>4</v>
      </c>
      <c r="CH15" s="82">
        <f t="shared" si="3"/>
        <v>0</v>
      </c>
      <c r="CI15" s="82">
        <f t="shared" si="4"/>
        <v>9</v>
      </c>
      <c r="CJ15" s="86">
        <f t="shared" si="14"/>
        <v>9</v>
      </c>
      <c r="CK15" s="82">
        <f t="shared" si="5"/>
        <v>13</v>
      </c>
      <c r="CL15" s="84">
        <f t="shared" si="15"/>
        <v>3.25</v>
      </c>
      <c r="CM15" s="82">
        <f t="shared" si="6"/>
        <v>38</v>
      </c>
      <c r="CN15" s="82">
        <f t="shared" si="7"/>
        <v>25</v>
      </c>
      <c r="CO15" s="85">
        <f t="array" ref="CO15">SUM(IF(ISERR(FIND("*",D15:CD15)),0,1))</f>
        <v>0</v>
      </c>
      <c r="CP15" s="85">
        <f t="array" ref="CP15">SUM(IF(ISERR(FIND("+",D15:CD15)),0,1))</f>
        <v>0</v>
      </c>
      <c r="CQ15" s="82">
        <f t="shared" si="8"/>
        <v>0</v>
      </c>
      <c r="CR15" s="85">
        <f t="array" ref="CR15">SUM(IF(ISERR(FIND(CR$4,$D15:$CD15)),0,1))</f>
        <v>2</v>
      </c>
      <c r="CS15" s="85">
        <f t="array" ref="CS15">SUM(IF(ISERR(FIND(CS$4,$D15:$CD15)),0,1))</f>
        <v>0</v>
      </c>
      <c r="CT15" s="85">
        <f t="array" ref="CT15">SUM(IF(ISERR(FIND(CT$4,$D15:$CD15)),0,1))</f>
        <v>1</v>
      </c>
      <c r="CU15" s="85">
        <f t="array" ref="CU15">SUM(IF(ISERR(FIND(CU$4,$D15:$CD15)),0,1))</f>
        <v>0</v>
      </c>
      <c r="CV15" s="85">
        <f t="array" ref="CV15">SUM(IF(ISERR(FIND(CV$4,$D15:$CD15)),0,1))</f>
        <v>1</v>
      </c>
      <c r="CW15" s="82">
        <f t="shared" si="9"/>
        <v>5</v>
      </c>
      <c r="CX15" s="82">
        <f t="shared" si="10"/>
        <v>0</v>
      </c>
      <c r="CY15" s="82">
        <f t="shared" si="11"/>
        <v>0</v>
      </c>
      <c r="CZ15" s="82">
        <f t="shared" si="12"/>
        <v>0</v>
      </c>
      <c r="DA15" s="82">
        <f t="shared" si="16"/>
        <v>0</v>
      </c>
      <c r="DB15" s="82">
        <f t="shared" si="17"/>
        <v>0</v>
      </c>
      <c r="DC15" s="82">
        <f t="shared" si="18"/>
        <v>325515</v>
      </c>
      <c r="DD15" s="82">
        <f t="shared" si="19"/>
        <v>37</v>
      </c>
      <c r="DF15" s="82" t="str">
        <f t="shared" si="20"/>
        <v>Coloe A A</v>
      </c>
    </row>
    <row r="16" spans="1:110" x14ac:dyDescent="0.15">
      <c r="B16" s="82" t="s">
        <v>30</v>
      </c>
      <c r="C16" s="82" t="s">
        <v>648</v>
      </c>
      <c r="Q16" s="82" t="s">
        <v>335</v>
      </c>
      <c r="S16" s="82" t="s">
        <v>335</v>
      </c>
      <c r="U16" s="82" t="s">
        <v>570</v>
      </c>
      <c r="AC16" s="82" t="s">
        <v>684</v>
      </c>
      <c r="AE16" s="82" t="s">
        <v>770</v>
      </c>
      <c r="AL16" s="82" t="s">
        <v>615</v>
      </c>
      <c r="AN16" s="82" t="s">
        <v>360</v>
      </c>
      <c r="AZ16" s="82" t="s">
        <v>459</v>
      </c>
      <c r="CE16" s="82">
        <f>BatSplit(D16:CD16,MatchesPlayed)</f>
        <v>8</v>
      </c>
      <c r="CF16" s="82">
        <f>CE16-CG16</f>
        <v>4</v>
      </c>
      <c r="CG16" s="82">
        <f>BatSplit(D16:CD16,InnsBattedIn)</f>
        <v>4</v>
      </c>
      <c r="CH16" s="82">
        <f>BatSplit(D16:CD16,NotOuts)</f>
        <v>1</v>
      </c>
      <c r="CI16" s="82">
        <f>BatSplit(D16:CD16,HighestScore)</f>
        <v>4</v>
      </c>
      <c r="CJ16" s="86">
        <f t="shared" si="14"/>
        <v>4</v>
      </c>
      <c r="CK16" s="82">
        <f>BatSplit(D16:CD16,RunsScored)</f>
        <v>4</v>
      </c>
      <c r="CL16" s="84">
        <f>IF(CG16=CH16,0,CK16/(CG16-CH16))</f>
        <v>1.3333333333333333</v>
      </c>
      <c r="CM16" s="82">
        <f>BatSplit(D16:CD16,BatPts)</f>
        <v>34</v>
      </c>
      <c r="CN16" s="82">
        <f>BatSplit(D16:CD16,FldPts)</f>
        <v>5</v>
      </c>
      <c r="CO16" s="85">
        <f t="array" ref="CO16">SUM(IF(ISERR(FIND("*",D16:CD16)),0,1))</f>
        <v>0</v>
      </c>
      <c r="CP16" s="85">
        <f t="array" ref="CP16">SUM(IF(ISERR(FIND("+",D16:CD16)),0,1))</f>
        <v>0</v>
      </c>
      <c r="CQ16" s="82">
        <f>BatSplit(D16:CD16,Ducks)</f>
        <v>2</v>
      </c>
      <c r="CR16" s="85">
        <f t="array" ref="CR16">SUM(IF(ISERR(FIND(CR$4,$D16:$CD16)),0,1))</f>
        <v>2</v>
      </c>
      <c r="CS16" s="85">
        <f t="array" ref="CS16">SUM(IF(ISERR(FIND(CS$4,$D16:$CD16)),0,1))</f>
        <v>1</v>
      </c>
      <c r="CT16" s="85">
        <f t="array" ref="CT16">SUM(IF(ISERR(FIND(CT$4,$D16:$CD16)),0,1))</f>
        <v>0</v>
      </c>
      <c r="CU16" s="85">
        <f t="array" ref="CU16">SUM(IF(ISERR(FIND(CU$4,$D16:$CD16)),0,1))</f>
        <v>0</v>
      </c>
      <c r="CV16" s="85">
        <f t="array" ref="CV16">SUM(IF(ISERR(FIND(CV$4,$D16:$CD16)),0,1))</f>
        <v>0</v>
      </c>
      <c r="CW16" s="82">
        <f>BatSplit(D16:CD16,Catches)</f>
        <v>1</v>
      </c>
      <c r="CX16" s="82">
        <f>BatSplit(D16:CD16,Fours)</f>
        <v>0</v>
      </c>
      <c r="CY16" s="82">
        <f>BatSplit(D16:CD16,Sixes)</f>
        <v>0</v>
      </c>
      <c r="CZ16" s="82">
        <f>BatSplit(D16:CD16,Stumpings)</f>
        <v>0</v>
      </c>
      <c r="DA16" s="82">
        <f>BatSplit(D16:CD16,CaughtWkt)</f>
        <v>0</v>
      </c>
      <c r="DB16" s="82">
        <f>BatSplit(D16:CD16,TwentyFives)</f>
        <v>0</v>
      </c>
      <c r="DC16" s="82">
        <f t="shared" si="18"/>
        <v>133816</v>
      </c>
      <c r="DD16" s="82">
        <f t="shared" si="19"/>
        <v>43</v>
      </c>
      <c r="DF16" s="82" t="str">
        <f t="shared" si="20"/>
        <v>Cooper D D</v>
      </c>
    </row>
    <row r="17" spans="1:110" x14ac:dyDescent="0.15">
      <c r="A17" s="82" t="str">
        <f t="shared" si="13"/>
        <v>GECO</v>
      </c>
      <c r="B17" s="82" t="s">
        <v>32</v>
      </c>
      <c r="C17" s="82" t="s">
        <v>80</v>
      </c>
      <c r="G17" s="82" t="s">
        <v>386</v>
      </c>
      <c r="I17" s="82" t="s">
        <v>298</v>
      </c>
      <c r="L17" s="82" t="s">
        <v>425</v>
      </c>
      <c r="P17" s="82" t="s">
        <v>517</v>
      </c>
      <c r="Q17" s="82" t="s">
        <v>459</v>
      </c>
      <c r="S17" s="82" t="s">
        <v>582</v>
      </c>
      <c r="U17" s="82" t="s">
        <v>568</v>
      </c>
      <c r="W17" s="82" t="s">
        <v>616</v>
      </c>
      <c r="AC17" s="82" t="s">
        <v>680</v>
      </c>
      <c r="AE17" s="82" t="s">
        <v>763</v>
      </c>
      <c r="AJ17" s="82" t="s">
        <v>494</v>
      </c>
      <c r="AL17" s="82" t="s">
        <v>771</v>
      </c>
      <c r="AN17" s="82" t="s">
        <v>359</v>
      </c>
      <c r="AV17" s="82" t="s">
        <v>941</v>
      </c>
      <c r="AZ17" s="82" t="s">
        <v>526</v>
      </c>
      <c r="BB17" s="82" t="s">
        <v>1015</v>
      </c>
      <c r="BE17" s="82" t="s">
        <v>1001</v>
      </c>
      <c r="CE17" s="82">
        <f t="shared" ref="CE17:CE27" si="21">BatSplit(D17:CD17,MatchesPlayed)</f>
        <v>17</v>
      </c>
      <c r="CF17" s="82">
        <f t="shared" si="1"/>
        <v>4</v>
      </c>
      <c r="CG17" s="82">
        <f>BatSplit(D17:CD17,InnsBattedIn)</f>
        <v>13</v>
      </c>
      <c r="CH17" s="82">
        <f t="shared" si="3"/>
        <v>2</v>
      </c>
      <c r="CI17" s="82">
        <f t="shared" si="4"/>
        <v>41</v>
      </c>
      <c r="CJ17" s="86">
        <f t="shared" si="14"/>
        <v>41</v>
      </c>
      <c r="CK17" s="82">
        <f t="shared" si="5"/>
        <v>121</v>
      </c>
      <c r="CL17" s="84">
        <f t="shared" si="15"/>
        <v>11</v>
      </c>
      <c r="CM17" s="82">
        <f t="shared" si="6"/>
        <v>191</v>
      </c>
      <c r="CN17" s="82">
        <f t="shared" si="7"/>
        <v>20</v>
      </c>
      <c r="CO17" s="85">
        <f t="array" ref="CO17">SUM(IF(ISERR(FIND("*",D17:CD17)),0,1))</f>
        <v>0</v>
      </c>
      <c r="CP17" s="85">
        <f t="array" ref="CP17">SUM(IF(ISERR(FIND("+",D17:CD17)),0,1))</f>
        <v>0</v>
      </c>
      <c r="CQ17" s="82">
        <f t="shared" si="8"/>
        <v>3</v>
      </c>
      <c r="CR17" s="85">
        <f t="array" ref="CR17">SUM(IF(ISERR(FIND(CR$4,$D17:$CD17)),0,1))</f>
        <v>4</v>
      </c>
      <c r="CS17" s="85">
        <f t="array" ref="CS17">SUM(IF(ISERR(FIND(CS$4,$D17:$CD17)),0,1))</f>
        <v>5</v>
      </c>
      <c r="CT17" s="85">
        <f t="array" ref="CT17">SUM(IF(ISERR(FIND(CT$4,$D17:$CD17)),0,1))</f>
        <v>0</v>
      </c>
      <c r="CU17" s="85">
        <f t="array" ref="CU17">SUM(IF(ISERR(FIND(CU$4,$D17:$CD17)),0,1))</f>
        <v>1</v>
      </c>
      <c r="CV17" s="85">
        <f t="array" ref="CV17">SUM(IF(ISERR(FIND(CV$4,$D17:$CD17)),0,1))</f>
        <v>1</v>
      </c>
      <c r="CW17" s="82">
        <f t="shared" si="9"/>
        <v>4</v>
      </c>
      <c r="CX17" s="82">
        <f t="shared" si="10"/>
        <v>12</v>
      </c>
      <c r="CY17" s="82">
        <f t="shared" si="11"/>
        <v>0</v>
      </c>
      <c r="CZ17" s="82">
        <f t="shared" si="12"/>
        <v>0</v>
      </c>
      <c r="DA17" s="82">
        <f>BatSplit(D17:CD17,CaughtWkt)</f>
        <v>0</v>
      </c>
      <c r="DB17" s="82">
        <f t="shared" si="17"/>
        <v>2</v>
      </c>
      <c r="DC17" s="82">
        <f t="shared" si="18"/>
        <v>1101717</v>
      </c>
      <c r="DD17" s="82">
        <f t="shared" si="19"/>
        <v>21</v>
      </c>
      <c r="DF17" s="82" t="str">
        <f t="shared" si="20"/>
        <v>Cooper G G</v>
      </c>
    </row>
    <row r="18" spans="1:110" x14ac:dyDescent="0.15">
      <c r="A18" s="82" t="str">
        <f t="shared" si="13"/>
        <v>BRDA</v>
      </c>
      <c r="B18" s="82" t="s">
        <v>33</v>
      </c>
      <c r="C18" s="82" t="s">
        <v>1053</v>
      </c>
      <c r="CE18" s="82">
        <f t="shared" si="21"/>
        <v>0</v>
      </c>
      <c r="CF18" s="82">
        <f t="shared" ref="CF18:CF30" si="22">CE18-CG18</f>
        <v>0</v>
      </c>
      <c r="CG18" s="82">
        <f t="shared" ref="CG18:CG30" si="23">BatSplit(D18:CD18,InnsBattedIn)</f>
        <v>0</v>
      </c>
      <c r="CH18" s="82">
        <f t="shared" ref="CH18:CH30" si="24">BatSplit(D18:CD18,NotOuts)</f>
        <v>0</v>
      </c>
      <c r="CI18" s="82">
        <f t="shared" ref="CI18:CI30" si="25">BatSplit(D18:CD18,HighestScore)</f>
        <v>0</v>
      </c>
      <c r="CJ18" s="86">
        <f t="shared" si="14"/>
        <v>0</v>
      </c>
      <c r="CK18" s="82">
        <f t="shared" ref="CK18:CK28" si="26">BatSplit(D18:CD18,RunsScored)</f>
        <v>0</v>
      </c>
      <c r="CL18" s="84">
        <f t="shared" si="15"/>
        <v>0</v>
      </c>
      <c r="CM18" s="82">
        <f t="shared" ref="CM18:CM30" si="27">BatSplit(D18:CD18,BatPts)</f>
        <v>0</v>
      </c>
      <c r="CN18" s="82">
        <f t="shared" ref="CN18:CN28" si="28">BatSplit(D18:CD18,FldPts)</f>
        <v>0</v>
      </c>
      <c r="CO18" s="85">
        <f t="array" ref="CO18">SUM(IF(ISERR(FIND("*",D18:CD18)),0,1))</f>
        <v>0</v>
      </c>
      <c r="CP18" s="85">
        <f t="array" ref="CP18">SUM(IF(ISERR(FIND("+",D18:CD18)),0,1))</f>
        <v>0</v>
      </c>
      <c r="CQ18" s="82">
        <f t="shared" ref="CQ18:CQ30" si="29">BatSplit(D18:CD18,Ducks)</f>
        <v>0</v>
      </c>
      <c r="CR18" s="85">
        <f t="array" ref="CR18">SUM(IF(ISERR(FIND(CR$4,$D18:$CD18)),0,1))</f>
        <v>0</v>
      </c>
      <c r="CS18" s="85">
        <f t="array" ref="CS18">SUM(IF(ISERR(FIND(CS$4,$D18:$CD18)),0,1))</f>
        <v>0</v>
      </c>
      <c r="CT18" s="85">
        <f t="array" ref="CT18">SUM(IF(ISERR(FIND(CT$4,$D18:$CD18)),0,1))</f>
        <v>0</v>
      </c>
      <c r="CU18" s="85">
        <f t="array" ref="CU18">SUM(IF(ISERR(FIND(CU$4,$D18:$CD18)),0,1))</f>
        <v>0</v>
      </c>
      <c r="CV18" s="85">
        <f t="array" ref="CV18">SUM(IF(ISERR(FIND(CV$4,$D18:$CD18)),0,1))</f>
        <v>0</v>
      </c>
      <c r="CW18" s="82">
        <f t="shared" ref="CW18:CW30" si="30">BatSplit(D18:CD18,Catches)</f>
        <v>0</v>
      </c>
      <c r="CX18" s="82">
        <f t="shared" ref="CX18:CX30" si="31">BatSplit(D18:CD18,Fours)</f>
        <v>0</v>
      </c>
      <c r="CY18" s="82">
        <f t="shared" ref="CY18:CY30" si="32">BatSplit(D18:CD18,Sixes)</f>
        <v>0</v>
      </c>
      <c r="CZ18" s="82">
        <f t="shared" ref="CZ18:CZ30" si="33">BatSplit(D18:CD18,Stumpings)</f>
        <v>0</v>
      </c>
      <c r="DA18" s="82">
        <f t="shared" si="16"/>
        <v>0</v>
      </c>
      <c r="DB18" s="82">
        <f t="shared" si="17"/>
        <v>0</v>
      </c>
      <c r="DC18" s="82">
        <f t="shared" si="18"/>
        <v>18</v>
      </c>
      <c r="DD18" s="82">
        <f t="shared" si="19"/>
        <v>52</v>
      </c>
      <c r="DF18" s="82" t="str">
        <f t="shared" si="20"/>
        <v>Davies B B</v>
      </c>
    </row>
    <row r="19" spans="1:110" x14ac:dyDescent="0.15">
      <c r="A19" s="82" t="str">
        <f t="shared" si="13"/>
        <v>TEDU</v>
      </c>
      <c r="B19" s="82" t="s">
        <v>34</v>
      </c>
      <c r="C19" s="82" t="s">
        <v>207</v>
      </c>
      <c r="E19" s="82" t="s">
        <v>296</v>
      </c>
      <c r="G19" s="82" t="s">
        <v>382</v>
      </c>
      <c r="H19" s="82" t="s">
        <v>326</v>
      </c>
      <c r="N19" s="82" t="s">
        <v>487</v>
      </c>
      <c r="O19" s="82" t="s">
        <v>502</v>
      </c>
      <c r="Q19" s="82" t="s">
        <v>528</v>
      </c>
      <c r="R19" s="82" t="s">
        <v>546</v>
      </c>
      <c r="T19" s="82" t="s">
        <v>603</v>
      </c>
      <c r="AP19" s="82" t="s">
        <v>872</v>
      </c>
      <c r="AR19" s="82" t="s">
        <v>900</v>
      </c>
      <c r="BC19" s="82" t="s">
        <v>977</v>
      </c>
      <c r="CE19" s="82">
        <f t="shared" si="21"/>
        <v>11</v>
      </c>
      <c r="CF19" s="82">
        <f t="shared" si="22"/>
        <v>0</v>
      </c>
      <c r="CG19" s="82">
        <f t="shared" si="23"/>
        <v>11</v>
      </c>
      <c r="CH19" s="82">
        <f t="shared" si="24"/>
        <v>0</v>
      </c>
      <c r="CI19" s="82">
        <f t="shared" si="25"/>
        <v>32</v>
      </c>
      <c r="CJ19" s="86">
        <f t="shared" si="14"/>
        <v>32</v>
      </c>
      <c r="CK19" s="82">
        <f t="shared" si="26"/>
        <v>169</v>
      </c>
      <c r="CL19" s="84">
        <f t="shared" si="15"/>
        <v>15.363636363636363</v>
      </c>
      <c r="CM19" s="82">
        <f t="shared" si="27"/>
        <v>219</v>
      </c>
      <c r="CN19" s="82">
        <f t="shared" si="28"/>
        <v>16</v>
      </c>
      <c r="CO19" s="85">
        <f t="array" ref="CO19">SUM(IF(ISERR(FIND("*",D19:CD19)),0,1))</f>
        <v>0</v>
      </c>
      <c r="CP19" s="85">
        <f t="array" ref="CP19">SUM(IF(ISERR(FIND("+",D19:CD19)),0,1))</f>
        <v>5</v>
      </c>
      <c r="CQ19" s="82">
        <f t="shared" si="29"/>
        <v>1</v>
      </c>
      <c r="CR19" s="85">
        <f t="array" ref="CR19">SUM(IF(ISERR(FIND(CR$4,$D19:$CD19)),0,1))</f>
        <v>3</v>
      </c>
      <c r="CS19" s="85">
        <f t="array" ref="CS19">SUM(IF(ISERR(FIND(CS$4,$D19:$CD19)),0,1))</f>
        <v>5</v>
      </c>
      <c r="CT19" s="85">
        <f t="array" ref="CT19">SUM(IF(ISERR(FIND(CT$4,$D19:$CD19)),0,1))</f>
        <v>2</v>
      </c>
      <c r="CU19" s="85">
        <f t="array" ref="CU19">SUM(IF(ISERR(FIND(CU$4,$D19:$CD19)),0,1))</f>
        <v>0</v>
      </c>
      <c r="CV19" s="85">
        <f t="array" ref="CV19">SUM(IF(ISERR(FIND(CV$4,$D19:$CD19)),0,1))</f>
        <v>1</v>
      </c>
      <c r="CW19" s="82">
        <f t="shared" si="30"/>
        <v>3</v>
      </c>
      <c r="CX19" s="82">
        <f t="shared" si="31"/>
        <v>14</v>
      </c>
      <c r="CY19" s="82">
        <f t="shared" si="32"/>
        <v>0</v>
      </c>
      <c r="CZ19" s="82">
        <f t="shared" si="33"/>
        <v>1</v>
      </c>
      <c r="DA19" s="82">
        <f t="shared" si="16"/>
        <v>3</v>
      </c>
      <c r="DB19" s="82">
        <f t="shared" si="17"/>
        <v>3</v>
      </c>
      <c r="DC19" s="82">
        <f t="shared" si="18"/>
        <v>1537119</v>
      </c>
      <c r="DD19" s="82">
        <f t="shared" si="19"/>
        <v>13</v>
      </c>
      <c r="DE19" s="82">
        <v>1</v>
      </c>
      <c r="DF19" s="82" t="str">
        <f t="shared" si="20"/>
        <v>Dugdale E T</v>
      </c>
    </row>
    <row r="20" spans="1:110" x14ac:dyDescent="0.15">
      <c r="A20" s="82" t="str">
        <f t="shared" si="13"/>
        <v>JOEL</v>
      </c>
      <c r="B20" s="82" t="s">
        <v>27</v>
      </c>
      <c r="C20" s="82" t="s">
        <v>1054</v>
      </c>
      <c r="E20" s="82" t="s">
        <v>301</v>
      </c>
      <c r="H20" s="82" t="s">
        <v>332</v>
      </c>
      <c r="K20" s="82" t="s">
        <v>414</v>
      </c>
      <c r="N20" s="82" t="s">
        <v>360</v>
      </c>
      <c r="O20" s="82" t="s">
        <v>506</v>
      </c>
      <c r="T20" s="82" t="s">
        <v>359</v>
      </c>
      <c r="U20" s="82" t="s">
        <v>432</v>
      </c>
      <c r="W20" s="82" t="s">
        <v>618</v>
      </c>
      <c r="Z20" s="82" t="s">
        <v>669</v>
      </c>
      <c r="AC20" s="82" t="s">
        <v>686</v>
      </c>
      <c r="AF20" s="82" t="s">
        <v>692</v>
      </c>
      <c r="AK20" s="82" t="s">
        <v>761</v>
      </c>
      <c r="AM20" s="82" t="s">
        <v>359</v>
      </c>
      <c r="AQ20" s="82" t="s">
        <v>898</v>
      </c>
      <c r="AW20" s="82" t="s">
        <v>951</v>
      </c>
      <c r="AZ20" s="82" t="s">
        <v>1033</v>
      </c>
      <c r="BC20" s="82" t="s">
        <v>984</v>
      </c>
      <c r="CE20" s="82">
        <f t="shared" si="21"/>
        <v>17</v>
      </c>
      <c r="CF20" s="82">
        <f t="shared" si="22"/>
        <v>5</v>
      </c>
      <c r="CG20" s="82">
        <f t="shared" si="23"/>
        <v>12</v>
      </c>
      <c r="CH20" s="82">
        <f t="shared" si="24"/>
        <v>5</v>
      </c>
      <c r="CI20" s="82">
        <f t="shared" si="25"/>
        <v>11</v>
      </c>
      <c r="CJ20" s="86">
        <f t="shared" si="14"/>
        <v>11</v>
      </c>
      <c r="CK20" s="82">
        <f t="shared" si="26"/>
        <v>56</v>
      </c>
      <c r="CL20" s="84">
        <f t="shared" si="15"/>
        <v>8</v>
      </c>
      <c r="CM20" s="82">
        <f t="shared" si="27"/>
        <v>141</v>
      </c>
      <c r="CN20" s="82">
        <f t="shared" si="28"/>
        <v>15</v>
      </c>
      <c r="CO20" s="85">
        <f t="array" ref="CO20">SUM(IF(ISERR(FIND("*",D20:CD20)),0,1))</f>
        <v>3</v>
      </c>
      <c r="CP20" s="85">
        <f t="array" ref="CP20">SUM(IF(ISERR(FIND("+",D20:CD20)),0,1))</f>
        <v>0</v>
      </c>
      <c r="CQ20" s="82">
        <f t="shared" si="29"/>
        <v>0</v>
      </c>
      <c r="CR20" s="85">
        <f t="array" ref="CR20">SUM(IF(ISERR(FIND(CR$4,$D20:$CD20)),0,1))</f>
        <v>3</v>
      </c>
      <c r="CS20" s="85">
        <f t="array" ref="CS20">SUM(IF(ISERR(FIND(CS$4,$D20:$CD20)),0,1))</f>
        <v>4</v>
      </c>
      <c r="CT20" s="85">
        <f t="array" ref="CT20">SUM(IF(ISERR(FIND(CT$4,$D20:$CD20)),0,1))</f>
        <v>0</v>
      </c>
      <c r="CU20" s="85">
        <f t="array" ref="CU20">SUM(IF(ISERR(FIND(CU$4,$D20:$CD20)),0,1))</f>
        <v>0</v>
      </c>
      <c r="CV20" s="85">
        <f t="array" ref="CV20">SUM(IF(ISERR(FIND(CV$4,$D20:$CD20)),0,1))</f>
        <v>0</v>
      </c>
      <c r="CW20" s="82">
        <f t="shared" si="30"/>
        <v>3</v>
      </c>
      <c r="CX20" s="82">
        <f t="shared" si="31"/>
        <v>6</v>
      </c>
      <c r="CY20" s="82">
        <f t="shared" si="32"/>
        <v>0</v>
      </c>
      <c r="CZ20" s="82">
        <f t="shared" si="33"/>
        <v>0</v>
      </c>
      <c r="DA20" s="82">
        <f t="shared" si="16"/>
        <v>0</v>
      </c>
      <c r="DB20" s="82">
        <f t="shared" si="17"/>
        <v>0</v>
      </c>
      <c r="DC20" s="82">
        <f t="shared" si="18"/>
        <v>801720</v>
      </c>
      <c r="DD20" s="82">
        <f t="shared" si="19"/>
        <v>28</v>
      </c>
      <c r="DF20" s="82" t="str">
        <f t="shared" si="20"/>
        <v>Elliston J J</v>
      </c>
    </row>
    <row r="21" spans="1:110" x14ac:dyDescent="0.15">
      <c r="B21" s="82" t="s">
        <v>716</v>
      </c>
      <c r="C21" s="82" t="s">
        <v>1055</v>
      </c>
      <c r="AY21" s="82" t="s">
        <v>937</v>
      </c>
      <c r="CE21" s="82">
        <f>BatSplit(D21:CD21,MatchesPlayed)</f>
        <v>1</v>
      </c>
      <c r="CF21" s="82">
        <f>CE21-CG21</f>
        <v>0</v>
      </c>
      <c r="CG21" s="82">
        <f>BatSplit(D21:CD21,InnsBattedIn)</f>
        <v>1</v>
      </c>
      <c r="CH21" s="82">
        <f>BatSplit(D21:CD21,NotOuts)</f>
        <v>0</v>
      </c>
      <c r="CI21" s="82">
        <f>BatSplit(D21:CD21,HighestScore)</f>
        <v>0</v>
      </c>
      <c r="CJ21" s="86">
        <f t="shared" si="14"/>
        <v>0</v>
      </c>
      <c r="CK21" s="82">
        <f>BatSplit(D21:CD21,RunsScored)</f>
        <v>0</v>
      </c>
      <c r="CL21" s="84">
        <f>IF(CG21=CH21,0,CK21/(CG21-CH21))</f>
        <v>0</v>
      </c>
      <c r="CM21" s="82">
        <f>BatSplit(D21:CD21,BatPts)</f>
        <v>0</v>
      </c>
      <c r="CN21" s="82">
        <f>BatSplit(D21:CD21,FldPts)</f>
        <v>5</v>
      </c>
      <c r="CO21" s="85">
        <f t="array" ref="CO21">SUM(IF(ISERR(FIND("*",D21:CD21)),0,1))</f>
        <v>0</v>
      </c>
      <c r="CP21" s="85">
        <f t="array" ref="CP21">SUM(IF(ISERR(FIND("+",D21:CD21)),0,1))</f>
        <v>0</v>
      </c>
      <c r="CQ21" s="82">
        <f>BatSplit(D21:CD21,Ducks)</f>
        <v>1</v>
      </c>
      <c r="CR21" s="85">
        <f t="array" ref="CR21">SUM(IF(ISERR(FIND(CR$4,$D21:$CD21)),0,1))</f>
        <v>1</v>
      </c>
      <c r="CS21" s="85">
        <f t="array" ref="CS21">SUM(IF(ISERR(FIND(CS$4,$D21:$CD21)),0,1))</f>
        <v>0</v>
      </c>
      <c r="CT21" s="85">
        <f t="array" ref="CT21">SUM(IF(ISERR(FIND(CT$4,$D21:$CD21)),0,1))</f>
        <v>0</v>
      </c>
      <c r="CU21" s="85">
        <f t="array" ref="CU21">SUM(IF(ISERR(FIND(CU$4,$D21:$CD21)),0,1))</f>
        <v>0</v>
      </c>
      <c r="CV21" s="85">
        <f t="array" ref="CV21">SUM(IF(ISERR(FIND(CV$4,$D21:$CD21)),0,1))</f>
        <v>0</v>
      </c>
      <c r="CW21" s="82">
        <f>BatSplit(D21:CD21,Catches)</f>
        <v>1</v>
      </c>
      <c r="CX21" s="82">
        <f>BatSplit(D21:CD21,Fours)</f>
        <v>0</v>
      </c>
      <c r="CY21" s="82">
        <f>BatSplit(D21:CD21,Sixes)</f>
        <v>0</v>
      </c>
      <c r="CZ21" s="82">
        <f>BatSplit(D21:CD21,Stumpings)</f>
        <v>0</v>
      </c>
      <c r="DA21" s="82">
        <f>BatSplit(D21:CD21,CaughtWkt)</f>
        <v>0</v>
      </c>
      <c r="DB21" s="82">
        <f>BatSplit(D21:CD21,TwentyFives)</f>
        <v>0</v>
      </c>
      <c r="DC21" s="82">
        <f>ROUND(IF(ISERROR(CL21),0,CL21),2)*100000+CE21*100+ROW(DB21)</f>
        <v>121</v>
      </c>
      <c r="DD21" s="82">
        <f t="shared" si="19"/>
        <v>48</v>
      </c>
      <c r="DF21" s="82" t="str">
        <f t="shared" si="20"/>
        <v>Foster K K</v>
      </c>
    </row>
    <row r="22" spans="1:110" x14ac:dyDescent="0.15">
      <c r="B22" s="82" t="s">
        <v>248</v>
      </c>
      <c r="C22" s="82" t="s">
        <v>1056</v>
      </c>
      <c r="AP22" s="82" t="s">
        <v>1090</v>
      </c>
      <c r="CE22" s="82">
        <f>BatSplit(D22:CD22,MatchesPlayed)</f>
        <v>1</v>
      </c>
      <c r="CF22" s="82">
        <f>CE22-CG22</f>
        <v>0</v>
      </c>
      <c r="CG22" s="82">
        <f>BatSplit(D22:CD22,InnsBattedIn)</f>
        <v>1</v>
      </c>
      <c r="CH22" s="82">
        <f>BatSplit(D22:CD22,NotOuts)</f>
        <v>0</v>
      </c>
      <c r="CI22" s="82">
        <f>BatSplit(D22:CD22,HighestScore)</f>
        <v>9</v>
      </c>
      <c r="CJ22" s="86">
        <f t="shared" si="14"/>
        <v>9</v>
      </c>
      <c r="CK22" s="82">
        <f>BatSplit(D22:CD22,RunsScored)</f>
        <v>9</v>
      </c>
      <c r="CL22" s="84">
        <f>IF(CG22=CH22,0,CK22/(CG22-CH22))</f>
        <v>9</v>
      </c>
      <c r="CM22" s="82">
        <f>BatSplit(D22:CD22,BatPts)</f>
        <v>14</v>
      </c>
      <c r="CN22" s="82">
        <f>BatSplit(D22:CD22,FldPts)</f>
        <v>5</v>
      </c>
      <c r="CO22" s="85">
        <f t="array" ref="CO22">SUM(IF(ISERR(FIND("*",D22:CD22)),0,1))</f>
        <v>0</v>
      </c>
      <c r="CP22" s="85">
        <f t="array" ref="CP22">SUM(IF(ISERR(FIND("+",D22:CD22)),0,1))</f>
        <v>0</v>
      </c>
      <c r="CQ22" s="82">
        <f>BatSplit(D22:CD22,Ducks)</f>
        <v>0</v>
      </c>
      <c r="CR22" s="85">
        <f t="array" ref="CR22">SUM(IF(ISERR(FIND(CR$4,$D22:$CD22)),0,1))</f>
        <v>0</v>
      </c>
      <c r="CS22" s="85">
        <f t="array" ref="CS22">SUM(IF(ISERR(FIND(CS$4,$D22:$CD22)),0,1))</f>
        <v>1</v>
      </c>
      <c r="CT22" s="85">
        <f t="array" ref="CT22">SUM(IF(ISERR(FIND(CT$4,$D22:$CD22)),0,1))</f>
        <v>0</v>
      </c>
      <c r="CU22" s="85">
        <f t="array" ref="CU22">SUM(IF(ISERR(FIND(CU$4,$D22:$CD22)),0,1))</f>
        <v>0</v>
      </c>
      <c r="CV22" s="85">
        <f t="array" ref="CV22">SUM(IF(ISERR(FIND(CV$4,$D22:$CD22)),0,1))</f>
        <v>0</v>
      </c>
      <c r="CW22" s="82">
        <f>BatSplit(D22:CD22,Catches)</f>
        <v>1</v>
      </c>
      <c r="CX22" s="82">
        <f>BatSplit(D22:CD22,Fours)</f>
        <v>1</v>
      </c>
      <c r="CY22" s="82">
        <f>BatSplit(D22:CD22,Sixes)</f>
        <v>0</v>
      </c>
      <c r="CZ22" s="82">
        <f>BatSplit(D22:CD22,Stumpings)</f>
        <v>0</v>
      </c>
      <c r="DA22" s="82">
        <f>BatSplit(D22:CD22,CaughtWkt)</f>
        <v>0</v>
      </c>
      <c r="DB22" s="82">
        <f>BatSplit(D22:CD22,TwentyFives)</f>
        <v>0</v>
      </c>
      <c r="DC22" s="82">
        <f>ROUND(IF(ISERROR(CL22),0,CL22),2)*100000+CE22*100+ROW(DB22)</f>
        <v>900122</v>
      </c>
      <c r="DD22" s="82">
        <f t="shared" si="19"/>
        <v>24</v>
      </c>
      <c r="DF22" s="82" t="str">
        <f t="shared" si="20"/>
        <v>Greenwood H H</v>
      </c>
    </row>
    <row r="23" spans="1:110" x14ac:dyDescent="0.15">
      <c r="A23" s="82" t="str">
        <f t="shared" si="13"/>
        <v>ALHA</v>
      </c>
      <c r="B23" s="82" t="s">
        <v>65</v>
      </c>
      <c r="C23" s="82" t="s">
        <v>1057</v>
      </c>
      <c r="G23" s="82" t="s">
        <v>385</v>
      </c>
      <c r="H23" s="82" t="s">
        <v>325</v>
      </c>
      <c r="O23" s="82" t="s">
        <v>507</v>
      </c>
      <c r="P23" s="82" t="s">
        <v>515</v>
      </c>
      <c r="S23" s="82" t="s">
        <v>584</v>
      </c>
      <c r="Z23" s="82" t="s">
        <v>663</v>
      </c>
      <c r="AC23" s="82" t="s">
        <v>679</v>
      </c>
      <c r="AH23" s="82" t="s">
        <v>743</v>
      </c>
      <c r="AO23" s="82" t="s">
        <v>864</v>
      </c>
      <c r="AQ23" s="82" t="s">
        <v>891</v>
      </c>
      <c r="AZ23" s="82" t="s">
        <v>1032</v>
      </c>
      <c r="CE23" s="82">
        <f>BatSplit(D23:CD23,MatchesPlayed)</f>
        <v>11</v>
      </c>
      <c r="CF23" s="82">
        <f>CE23-CG23</f>
        <v>1</v>
      </c>
      <c r="CG23" s="82">
        <f>BatSplit(D23:CD23,InnsBattedIn)</f>
        <v>10</v>
      </c>
      <c r="CH23" s="82">
        <f>BatSplit(D23:CD23,NotOuts)</f>
        <v>0</v>
      </c>
      <c r="CI23" s="82">
        <f>BatSplit(D23:CD23,HighestScore)</f>
        <v>49</v>
      </c>
      <c r="CJ23" s="86">
        <f t="shared" si="14"/>
        <v>49</v>
      </c>
      <c r="CK23" s="82">
        <f>BatSplit(D23:CD23,RunsScored)</f>
        <v>168</v>
      </c>
      <c r="CL23" s="84">
        <f>IF(CG23=CH23,0,CK23/(CG23-CH23))</f>
        <v>16.8</v>
      </c>
      <c r="CM23" s="82">
        <f>BatSplit(D23:CD23,BatPts)</f>
        <v>213</v>
      </c>
      <c r="CN23" s="82">
        <f>BatSplit(D23:CD23,FldPts)</f>
        <v>22</v>
      </c>
      <c r="CO23" s="85">
        <f t="array" ref="CO23">SUM(IF(ISERR(FIND("*",D23:CD23)),0,1))</f>
        <v>0</v>
      </c>
      <c r="CP23" s="85">
        <f t="array" ref="CP23">SUM(IF(ISERR(FIND("+",D23:CD23)),0,1))</f>
        <v>10</v>
      </c>
      <c r="CQ23" s="82">
        <f>BatSplit(D23:CD23,Ducks)</f>
        <v>2</v>
      </c>
      <c r="CR23" s="85">
        <f t="array" ref="CR23">SUM(IF(ISERR(FIND(CR$4,$D23:$CD23)),0,1))</f>
        <v>1</v>
      </c>
      <c r="CS23" s="85">
        <f t="array" ref="CS23">SUM(IF(ISERR(FIND(CS$4,$D23:$CD23)),0,1))</f>
        <v>8</v>
      </c>
      <c r="CT23" s="85">
        <f t="array" ref="CT23">SUM(IF(ISERR(FIND(CT$4,$D23:$CD23)),0,1))</f>
        <v>0</v>
      </c>
      <c r="CU23" s="85">
        <f t="array" ref="CU23">SUM(IF(ISERR(FIND(CU$4,$D23:$CD23)),0,1))</f>
        <v>0</v>
      </c>
      <c r="CV23" s="85">
        <f t="array" ref="CV23">SUM(IF(ISERR(FIND(CV$4,$D23:$CD23)),0,1))</f>
        <v>1</v>
      </c>
      <c r="CW23" s="82">
        <f>BatSplit(D23:CD23,Catches)</f>
        <v>11</v>
      </c>
      <c r="CX23" s="82">
        <f>BatSplit(D23:CD23,Fours)</f>
        <v>13</v>
      </c>
      <c r="CY23" s="82">
        <f>BatSplit(D23:CD23,Sixes)</f>
        <v>0</v>
      </c>
      <c r="CZ23" s="82">
        <f>BatSplit(D23:CD23,Stumpings)</f>
        <v>0</v>
      </c>
      <c r="DA23" s="82">
        <f>BatSplit(D23:CD23,CaughtWkt)</f>
        <v>11</v>
      </c>
      <c r="DB23" s="82">
        <f>BatSplit(D23:CD23,TwentyFives)</f>
        <v>3</v>
      </c>
      <c r="DC23" s="82">
        <f>ROUND(IF(ISERROR(CL23),0,CL23),2)*100000+CE23*100+ROW(DB23)</f>
        <v>1681123</v>
      </c>
      <c r="DD23" s="82">
        <f t="shared" si="19"/>
        <v>11</v>
      </c>
      <c r="DF23" s="82" t="str">
        <f t="shared" si="20"/>
        <v>Hamilton A A</v>
      </c>
    </row>
    <row r="24" spans="1:110" x14ac:dyDescent="0.15">
      <c r="B24" s="82" t="s">
        <v>973</v>
      </c>
      <c r="C24" s="82" t="s">
        <v>1058</v>
      </c>
      <c r="AY24" s="82" t="s">
        <v>974</v>
      </c>
      <c r="CE24" s="82">
        <f>BatSplit(D24:CD24,MatchesPlayed)</f>
        <v>1</v>
      </c>
      <c r="CF24" s="82">
        <f>CE24-CG24</f>
        <v>0</v>
      </c>
      <c r="CG24" s="82">
        <f>BatSplit(D24:CD24,InnsBattedIn)</f>
        <v>1</v>
      </c>
      <c r="CH24" s="82">
        <f>BatSplit(D24:CD24,NotOuts)</f>
        <v>1</v>
      </c>
      <c r="CI24" s="82">
        <f>BatSplit(D24:CD24,HighestScore)</f>
        <v>-3</v>
      </c>
      <c r="CJ24" s="86" t="str">
        <f t="shared" si="14"/>
        <v>3*</v>
      </c>
      <c r="CK24" s="82">
        <f>BatSplit(D24:CD24,RunsScored)</f>
        <v>3</v>
      </c>
      <c r="CL24" s="84">
        <f>IF(CG24=CH24,0,CK24/(CG24-CH24))</f>
        <v>0</v>
      </c>
      <c r="CM24" s="82">
        <f>BatSplit(D24:CD24,BatPts)</f>
        <v>8</v>
      </c>
      <c r="CN24" s="82">
        <f>BatSplit(D24:CD24,FldPts)</f>
        <v>0</v>
      </c>
      <c r="CO24" s="85">
        <f t="array" ref="CO24">SUM(IF(ISERR(FIND("*",D24:CD24)),0,1))</f>
        <v>0</v>
      </c>
      <c r="CP24" s="85">
        <f t="array" ref="CP24">SUM(IF(ISERR(FIND("+",D24:CD24)),0,1))</f>
        <v>0</v>
      </c>
      <c r="CQ24" s="82">
        <f>BatSplit(D24:CD24,Ducks)</f>
        <v>0</v>
      </c>
      <c r="CR24" s="85">
        <f t="array" ref="CR24">SUM(IF(ISERR(FIND(CR$4,$D24:$CD24)),0,1))</f>
        <v>0</v>
      </c>
      <c r="CS24" s="85">
        <f t="array" ref="CS24">SUM(IF(ISERR(FIND(CS$4,$D24:$CD24)),0,1))</f>
        <v>0</v>
      </c>
      <c r="CT24" s="85">
        <f t="array" ref="CT24">SUM(IF(ISERR(FIND(CT$4,$D24:$CD24)),0,1))</f>
        <v>0</v>
      </c>
      <c r="CU24" s="85">
        <f t="array" ref="CU24">SUM(IF(ISERR(FIND(CU$4,$D24:$CD24)),0,1))</f>
        <v>0</v>
      </c>
      <c r="CV24" s="85">
        <f t="array" ref="CV24">SUM(IF(ISERR(FIND(CV$4,$D24:$CD24)),0,1))</f>
        <v>0</v>
      </c>
      <c r="CW24" s="82">
        <f>BatSplit(D24:CD24,Catches)</f>
        <v>0</v>
      </c>
      <c r="CX24" s="82">
        <f>BatSplit(D24:CD24,Fours)</f>
        <v>0</v>
      </c>
      <c r="CY24" s="82">
        <f>BatSplit(D24:CD24,Sixes)</f>
        <v>0</v>
      </c>
      <c r="CZ24" s="82">
        <f>BatSplit(D24:CD24,Stumpings)</f>
        <v>0</v>
      </c>
      <c r="DA24" s="82">
        <f>BatSplit(D24:CD24,CaughtWkt)</f>
        <v>0</v>
      </c>
      <c r="DB24" s="82">
        <f>BatSplit(D24:CD24,TwentyFives)</f>
        <v>0</v>
      </c>
      <c r="DC24" s="82">
        <f>ROUND(IF(ISERROR(CL24),0,CL24),2)*100000+CE24*100+ROW(DB24)</f>
        <v>124</v>
      </c>
      <c r="DD24" s="82">
        <f t="shared" si="19"/>
        <v>47</v>
      </c>
      <c r="DF24" s="82" t="str">
        <f t="shared" si="20"/>
        <v>Hammond P P</v>
      </c>
    </row>
    <row r="25" spans="1:110" x14ac:dyDescent="0.15">
      <c r="A25" s="82" t="str">
        <f t="shared" si="13"/>
        <v>ADHA</v>
      </c>
      <c r="B25" s="82" t="s">
        <v>39</v>
      </c>
      <c r="C25" s="82" t="s">
        <v>208</v>
      </c>
      <c r="E25" s="82" t="s">
        <v>295</v>
      </c>
      <c r="G25" s="82" t="s">
        <v>383</v>
      </c>
      <c r="CE25" s="82">
        <f t="shared" si="21"/>
        <v>2</v>
      </c>
      <c r="CF25" s="82">
        <f t="shared" si="22"/>
        <v>0</v>
      </c>
      <c r="CG25" s="82">
        <f t="shared" si="23"/>
        <v>2</v>
      </c>
      <c r="CH25" s="82">
        <f t="shared" si="24"/>
        <v>0</v>
      </c>
      <c r="CI25" s="82">
        <f t="shared" si="25"/>
        <v>12</v>
      </c>
      <c r="CJ25" s="86">
        <f t="shared" si="14"/>
        <v>12</v>
      </c>
      <c r="CK25" s="82">
        <f t="shared" si="26"/>
        <v>17</v>
      </c>
      <c r="CL25" s="84">
        <f t="shared" si="15"/>
        <v>8.5</v>
      </c>
      <c r="CM25" s="82">
        <f t="shared" si="27"/>
        <v>27</v>
      </c>
      <c r="CN25" s="82">
        <f t="shared" si="28"/>
        <v>0</v>
      </c>
      <c r="CO25" s="85">
        <f t="array" ref="CO25">SUM(IF(ISERR(FIND("*",D25:CD25)),0,1))</f>
        <v>0</v>
      </c>
      <c r="CP25" s="85">
        <f t="array" ref="CP25">SUM(IF(ISERR(FIND("+",D25:CD25)),0,1))</f>
        <v>0</v>
      </c>
      <c r="CQ25" s="82">
        <f t="shared" si="29"/>
        <v>0</v>
      </c>
      <c r="CR25" s="85">
        <f t="array" ref="CR25">SUM(IF(ISERR(FIND(CR$4,$D25:$CD25)),0,1))</f>
        <v>1</v>
      </c>
      <c r="CS25" s="85">
        <f t="array" ref="CS25">SUM(IF(ISERR(FIND(CS$4,$D25:$CD25)),0,1))</f>
        <v>0</v>
      </c>
      <c r="CT25" s="85">
        <f t="array" ref="CT25">SUM(IF(ISERR(FIND(CT$4,$D25:$CD25)),0,1))</f>
        <v>0</v>
      </c>
      <c r="CU25" s="85">
        <f t="array" ref="CU25">SUM(IF(ISERR(FIND(CU$4,$D25:$CD25)),0,1))</f>
        <v>0</v>
      </c>
      <c r="CV25" s="85">
        <f t="array" ref="CV25">SUM(IF(ISERR(FIND(CV$4,$D25:$CD25)),0,1))</f>
        <v>1</v>
      </c>
      <c r="CW25" s="82">
        <f t="shared" si="30"/>
        <v>0</v>
      </c>
      <c r="CX25" s="82">
        <f t="shared" si="31"/>
        <v>3</v>
      </c>
      <c r="CY25" s="82">
        <f t="shared" si="32"/>
        <v>0</v>
      </c>
      <c r="CZ25" s="82">
        <f t="shared" si="33"/>
        <v>0</v>
      </c>
      <c r="DA25" s="82">
        <f t="shared" si="16"/>
        <v>0</v>
      </c>
      <c r="DB25" s="82">
        <f t="shared" si="17"/>
        <v>0</v>
      </c>
      <c r="DC25" s="82">
        <f t="shared" si="18"/>
        <v>850225</v>
      </c>
      <c r="DD25" s="82">
        <f t="shared" si="19"/>
        <v>27</v>
      </c>
      <c r="DF25" s="82" t="str">
        <f t="shared" si="20"/>
        <v>Hawksworth A A</v>
      </c>
    </row>
    <row r="26" spans="1:110" x14ac:dyDescent="0.15">
      <c r="A26" s="82" t="str">
        <f t="shared" si="13"/>
        <v>RIHA</v>
      </c>
      <c r="B26" s="82" t="s">
        <v>67</v>
      </c>
      <c r="C26" s="82" t="s">
        <v>209</v>
      </c>
      <c r="CE26" s="82">
        <f t="shared" si="21"/>
        <v>0</v>
      </c>
      <c r="CF26" s="82">
        <f t="shared" si="22"/>
        <v>0</v>
      </c>
      <c r="CG26" s="82">
        <f t="shared" si="23"/>
        <v>0</v>
      </c>
      <c r="CH26" s="82">
        <f t="shared" si="24"/>
        <v>0</v>
      </c>
      <c r="CI26" s="82">
        <f>BatSplit(D26:CD26,HighestScore)</f>
        <v>0</v>
      </c>
      <c r="CJ26" s="86">
        <f t="shared" si="14"/>
        <v>0</v>
      </c>
      <c r="CK26" s="82">
        <f t="shared" si="26"/>
        <v>0</v>
      </c>
      <c r="CL26" s="84">
        <f t="shared" si="15"/>
        <v>0</v>
      </c>
      <c r="CM26" s="82">
        <f t="shared" si="27"/>
        <v>0</v>
      </c>
      <c r="CN26" s="82">
        <f t="shared" si="28"/>
        <v>0</v>
      </c>
      <c r="CO26" s="85">
        <f t="array" ref="CO26">SUM(IF(ISERR(FIND("*",D26:CD26)),0,1))</f>
        <v>0</v>
      </c>
      <c r="CP26" s="85">
        <f t="array" ref="CP26">SUM(IF(ISERR(FIND("+",D26:CD26)),0,1))</f>
        <v>0</v>
      </c>
      <c r="CQ26" s="82">
        <f t="shared" si="29"/>
        <v>0</v>
      </c>
      <c r="CR26" s="85">
        <f t="array" ref="CR26">SUM(IF(ISERR(FIND(CR$4,$D26:$CD26)),0,1))</f>
        <v>0</v>
      </c>
      <c r="CS26" s="85">
        <f t="array" ref="CS26">SUM(IF(ISERR(FIND(CS$4,$D26:$CD26)),0,1))</f>
        <v>0</v>
      </c>
      <c r="CT26" s="85">
        <f t="array" ref="CT26">SUM(IF(ISERR(FIND(CT$4,$D26:$CD26)),0,1))</f>
        <v>0</v>
      </c>
      <c r="CU26" s="85">
        <f t="array" ref="CU26">SUM(IF(ISERR(FIND(CU$4,$D26:$CD26)),0,1))</f>
        <v>0</v>
      </c>
      <c r="CV26" s="85">
        <f t="array" ref="CV26">SUM(IF(ISERR(FIND(CV$4,$D26:$CD26)),0,1))</f>
        <v>0</v>
      </c>
      <c r="CW26" s="82">
        <f t="shared" si="30"/>
        <v>0</v>
      </c>
      <c r="CX26" s="82">
        <f t="shared" si="31"/>
        <v>0</v>
      </c>
      <c r="CY26" s="82">
        <f t="shared" si="32"/>
        <v>0</v>
      </c>
      <c r="CZ26" s="82">
        <f t="shared" si="33"/>
        <v>0</v>
      </c>
      <c r="DA26" s="82">
        <f t="shared" si="16"/>
        <v>0</v>
      </c>
      <c r="DB26" s="82">
        <f t="shared" si="17"/>
        <v>0</v>
      </c>
      <c r="DC26" s="82">
        <f t="shared" si="18"/>
        <v>26</v>
      </c>
      <c r="DD26" s="82">
        <f t="shared" si="19"/>
        <v>51</v>
      </c>
      <c r="DF26" s="82" t="str">
        <f t="shared" si="20"/>
        <v>Hawksworth R R</v>
      </c>
    </row>
    <row r="27" spans="1:110" x14ac:dyDescent="0.15">
      <c r="A27" s="82" t="str">
        <f t="shared" si="13"/>
        <v>LUHI</v>
      </c>
      <c r="B27" s="82" t="s">
        <v>41</v>
      </c>
      <c r="C27" s="82" t="s">
        <v>1059</v>
      </c>
      <c r="F27" s="82" t="s">
        <v>335</v>
      </c>
      <c r="J27" s="82" t="s">
        <v>335</v>
      </c>
      <c r="M27" s="82" t="s">
        <v>483</v>
      </c>
      <c r="S27" s="82" t="s">
        <v>590</v>
      </c>
      <c r="V27" s="82" t="s">
        <v>307</v>
      </c>
      <c r="AC27" s="82" t="s">
        <v>683</v>
      </c>
      <c r="AF27" s="82" t="s">
        <v>697</v>
      </c>
      <c r="AK27" s="82" t="s">
        <v>335</v>
      </c>
      <c r="AM27" s="82" t="s">
        <v>526</v>
      </c>
      <c r="AO27" s="82" t="s">
        <v>460</v>
      </c>
      <c r="AQ27" s="82" t="s">
        <v>429</v>
      </c>
      <c r="AS27" s="82" t="s">
        <v>432</v>
      </c>
      <c r="AW27" s="82" t="s">
        <v>952</v>
      </c>
      <c r="AY27" s="82" t="s">
        <v>976</v>
      </c>
      <c r="BC27" s="82" t="s">
        <v>982</v>
      </c>
      <c r="CE27" s="82">
        <f t="shared" si="21"/>
        <v>15</v>
      </c>
      <c r="CF27" s="82">
        <f t="shared" si="22"/>
        <v>5</v>
      </c>
      <c r="CG27" s="82">
        <f t="shared" si="23"/>
        <v>10</v>
      </c>
      <c r="CH27" s="82">
        <f t="shared" si="24"/>
        <v>4</v>
      </c>
      <c r="CI27" s="82">
        <f t="shared" si="25"/>
        <v>-14</v>
      </c>
      <c r="CJ27" s="86" t="str">
        <f t="shared" si="14"/>
        <v>14*</v>
      </c>
      <c r="CK27" s="82">
        <f t="shared" si="26"/>
        <v>23</v>
      </c>
      <c r="CL27" s="84">
        <f t="shared" si="15"/>
        <v>3.8333333333333335</v>
      </c>
      <c r="CM27" s="82">
        <f t="shared" si="27"/>
        <v>68</v>
      </c>
      <c r="CN27" s="82">
        <f t="shared" si="28"/>
        <v>25</v>
      </c>
      <c r="CO27" s="85">
        <f t="array" ref="CO27">SUM(IF(ISERR(FIND("*",D27:CD27)),0,1))</f>
        <v>0</v>
      </c>
      <c r="CP27" s="85">
        <f t="array" ref="CP27">SUM(IF(ISERR(FIND("+",D27:CD27)),0,1))</f>
        <v>0</v>
      </c>
      <c r="CQ27" s="82">
        <f t="shared" si="29"/>
        <v>6</v>
      </c>
      <c r="CR27" s="85">
        <f t="array" ref="CR27">SUM(IF(ISERR(FIND(CR$4,$D27:$CD27)),0,1))</f>
        <v>3</v>
      </c>
      <c r="CS27" s="85">
        <f t="array" ref="CS27">SUM(IF(ISERR(FIND(CS$4,$D27:$CD27)),0,1))</f>
        <v>2</v>
      </c>
      <c r="CT27" s="85">
        <f t="array" ref="CT27">SUM(IF(ISERR(FIND(CT$4,$D27:$CD27)),0,1))</f>
        <v>1</v>
      </c>
      <c r="CU27" s="85">
        <f t="array" ref="CU27">SUM(IF(ISERR(FIND(CU$4,$D27:$CD27)),0,1))</f>
        <v>0</v>
      </c>
      <c r="CV27" s="85">
        <f t="array" ref="CV27">SUM(IF(ISERR(FIND(CV$4,$D27:$CD27)),0,1))</f>
        <v>0</v>
      </c>
      <c r="CW27" s="82">
        <f t="shared" si="30"/>
        <v>5</v>
      </c>
      <c r="CX27" s="82">
        <f t="shared" si="31"/>
        <v>3</v>
      </c>
      <c r="CY27" s="82">
        <f t="shared" si="32"/>
        <v>0</v>
      </c>
      <c r="CZ27" s="82">
        <f t="shared" si="33"/>
        <v>0</v>
      </c>
      <c r="DA27" s="82">
        <f t="shared" si="16"/>
        <v>0</v>
      </c>
      <c r="DB27" s="82">
        <f t="shared" si="17"/>
        <v>0</v>
      </c>
      <c r="DC27" s="82">
        <f t="shared" si="18"/>
        <v>384527</v>
      </c>
      <c r="DD27" s="82">
        <f t="shared" si="19"/>
        <v>36</v>
      </c>
      <c r="DF27" s="82" t="str">
        <f t="shared" si="20"/>
        <v>Hickey L L</v>
      </c>
    </row>
    <row r="28" spans="1:110" x14ac:dyDescent="0.15">
      <c r="A28" s="82" t="str">
        <f t="shared" si="13"/>
        <v>MIHO</v>
      </c>
      <c r="B28" s="82" t="s">
        <v>28</v>
      </c>
      <c r="C28" s="82" t="s">
        <v>1060</v>
      </c>
      <c r="M28" s="82" t="s">
        <v>485</v>
      </c>
      <c r="N28" s="82" t="s">
        <v>489</v>
      </c>
      <c r="P28" s="82" t="s">
        <v>516</v>
      </c>
      <c r="Q28" s="82" t="s">
        <v>525</v>
      </c>
      <c r="W28" s="82" t="s">
        <v>614</v>
      </c>
      <c r="AK28" s="82" t="s">
        <v>758</v>
      </c>
      <c r="AM28" s="82" t="s">
        <v>714</v>
      </c>
      <c r="AN28" s="82" t="s">
        <v>845</v>
      </c>
      <c r="AR28" s="82" t="s">
        <v>901</v>
      </c>
      <c r="CE28" s="82">
        <f t="shared" ref="CE28:CE34" si="34">BatSplit(D28:CD28,MatchesPlayed)</f>
        <v>9</v>
      </c>
      <c r="CF28" s="82">
        <f t="shared" si="22"/>
        <v>3</v>
      </c>
      <c r="CG28" s="82">
        <f t="shared" si="23"/>
        <v>6</v>
      </c>
      <c r="CH28" s="82">
        <f t="shared" si="24"/>
        <v>0</v>
      </c>
      <c r="CI28" s="82">
        <f t="shared" si="25"/>
        <v>20</v>
      </c>
      <c r="CJ28" s="86">
        <f t="shared" si="14"/>
        <v>20</v>
      </c>
      <c r="CK28" s="82">
        <f t="shared" si="26"/>
        <v>64</v>
      </c>
      <c r="CL28" s="84">
        <f t="shared" si="15"/>
        <v>10.666666666666666</v>
      </c>
      <c r="CM28" s="82">
        <f t="shared" si="27"/>
        <v>104</v>
      </c>
      <c r="CN28" s="82">
        <f t="shared" si="28"/>
        <v>4</v>
      </c>
      <c r="CO28" s="85">
        <f t="array" ref="CO28">SUM(IF(ISERR(FIND("*",D28:CD28)),0,1))</f>
        <v>0</v>
      </c>
      <c r="CP28" s="85">
        <f t="array" ref="CP28">SUM(IF(ISERR(FIND("+",D28:CD28)),0,1))</f>
        <v>6</v>
      </c>
      <c r="CQ28" s="82">
        <f t="shared" si="29"/>
        <v>1</v>
      </c>
      <c r="CR28" s="85">
        <f t="array" ref="CR28">SUM(IF(ISERR(FIND(CR$4,$D28:$CD28)),0,1))</f>
        <v>2</v>
      </c>
      <c r="CS28" s="85">
        <f t="array" ref="CS28">SUM(IF(ISERR(FIND(CS$4,$D28:$CD28)),0,1))</f>
        <v>2</v>
      </c>
      <c r="CT28" s="85">
        <f t="array" ref="CT28">SUM(IF(ISERR(FIND(CT$4,$D28:$CD28)),0,1))</f>
        <v>2</v>
      </c>
      <c r="CU28" s="85">
        <f t="array" ref="CU28">SUM(IF(ISERR(FIND(CU$4,$D28:$CD28)),0,1))</f>
        <v>0</v>
      </c>
      <c r="CV28" s="85">
        <f t="array" ref="CV28">SUM(IF(ISERR(FIND(CV$4,$D28:$CD28)),0,1))</f>
        <v>0</v>
      </c>
      <c r="CW28" s="82">
        <f t="shared" si="30"/>
        <v>2</v>
      </c>
      <c r="CX28" s="82">
        <f t="shared" si="31"/>
        <v>10</v>
      </c>
      <c r="CY28" s="82">
        <f t="shared" si="32"/>
        <v>0</v>
      </c>
      <c r="CZ28" s="82">
        <f t="shared" si="33"/>
        <v>0</v>
      </c>
      <c r="DA28" s="82">
        <f t="shared" si="16"/>
        <v>2</v>
      </c>
      <c r="DB28" s="82">
        <f t="shared" si="17"/>
        <v>0</v>
      </c>
      <c r="DC28" s="82">
        <f t="shared" si="18"/>
        <v>1067928</v>
      </c>
      <c r="DD28" s="82">
        <f t="shared" si="19"/>
        <v>22</v>
      </c>
      <c r="DF28" s="82" t="str">
        <f t="shared" si="20"/>
        <v>Hosking M M</v>
      </c>
    </row>
    <row r="29" spans="1:110" x14ac:dyDescent="0.15">
      <c r="B29" s="82" t="s">
        <v>716</v>
      </c>
      <c r="C29" s="82" t="s">
        <v>1061</v>
      </c>
      <c r="AI29" s="82" t="s">
        <v>360</v>
      </c>
      <c r="CE29" s="82">
        <f t="shared" si="34"/>
        <v>1</v>
      </c>
      <c r="CF29" s="82">
        <f>CE29-CG29</f>
        <v>1</v>
      </c>
      <c r="CG29" s="82">
        <f>BatSplit(D29:CD29,InnsBattedIn)</f>
        <v>0</v>
      </c>
      <c r="CH29" s="82">
        <f>BatSplit(D29:CD29,NotOuts)</f>
        <v>0</v>
      </c>
      <c r="CI29" s="82">
        <f>BatSplit(D29:CD29,HighestScore)</f>
        <v>0</v>
      </c>
      <c r="CJ29" s="86">
        <f t="shared" si="14"/>
        <v>0</v>
      </c>
      <c r="CK29" s="82">
        <f>BatSplit(D29:CD29,RunsScored)</f>
        <v>0</v>
      </c>
      <c r="CL29" s="84">
        <f>IF(CG29=CH29,0,CK29/(CG29-CH29))</f>
        <v>0</v>
      </c>
      <c r="CM29" s="82">
        <f>BatSplit(D29:CD29,BatPts)</f>
        <v>5</v>
      </c>
      <c r="CN29" s="82">
        <f>BatSplit(D29:CD29,FldPts)</f>
        <v>0</v>
      </c>
      <c r="CO29" s="85">
        <f t="array" ref="CO29">SUM(IF(ISERR(FIND("*",D29:CD29)),0,1))</f>
        <v>0</v>
      </c>
      <c r="CP29" s="85">
        <f t="array" ref="CP29">SUM(IF(ISERR(FIND("+",D29:CD29)),0,1))</f>
        <v>0</v>
      </c>
      <c r="CQ29" s="82">
        <f>BatSplit(D29:CD29,Ducks)</f>
        <v>0</v>
      </c>
      <c r="CR29" s="85">
        <f t="array" ref="CR29">SUM(IF(ISERR(FIND(CR$4,$D29:$CD29)),0,1))</f>
        <v>0</v>
      </c>
      <c r="CS29" s="85">
        <f t="array" ref="CS29">SUM(IF(ISERR(FIND(CS$4,$D29:$CD29)),0,1))</f>
        <v>0</v>
      </c>
      <c r="CT29" s="85">
        <f t="array" ref="CT29">SUM(IF(ISERR(FIND(CT$4,$D29:$CD29)),0,1))</f>
        <v>0</v>
      </c>
      <c r="CU29" s="85">
        <f t="array" ref="CU29">SUM(IF(ISERR(FIND(CU$4,$D29:$CD29)),0,1))</f>
        <v>0</v>
      </c>
      <c r="CV29" s="85">
        <f t="array" ref="CV29">SUM(IF(ISERR(FIND(CV$4,$D29:$CD29)),0,1))</f>
        <v>0</v>
      </c>
      <c r="CW29" s="82">
        <f>BatSplit(D29:CD29,Catches)</f>
        <v>0</v>
      </c>
      <c r="CX29" s="82">
        <f>BatSplit(D29:CD29,Fours)</f>
        <v>0</v>
      </c>
      <c r="CY29" s="82">
        <f>BatSplit(D29:CD29,Sixes)</f>
        <v>0</v>
      </c>
      <c r="CZ29" s="82">
        <f>BatSplit(D29:CD29,Stumpings)</f>
        <v>0</v>
      </c>
      <c r="DA29" s="82">
        <f>BatSplit(D29:CD29,CaughtWkt)</f>
        <v>0</v>
      </c>
      <c r="DB29" s="82">
        <f>BatSplit(D29:CD29,TwentyFives)</f>
        <v>0</v>
      </c>
      <c r="DC29" s="82">
        <f>ROUND(IF(ISERROR(CL29),0,CL29),2)*100000+CE29*100+ROW(DB29)</f>
        <v>129</v>
      </c>
      <c r="DD29" s="82">
        <f t="shared" si="19"/>
        <v>46</v>
      </c>
      <c r="DF29" s="82" t="str">
        <f t="shared" si="20"/>
        <v>Jarman K K</v>
      </c>
    </row>
    <row r="30" spans="1:110" x14ac:dyDescent="0.15">
      <c r="A30" s="82" t="str">
        <f t="shared" si="13"/>
        <v>JOLE</v>
      </c>
      <c r="B30" s="82" t="s">
        <v>27</v>
      </c>
      <c r="C30" s="82" t="s">
        <v>85</v>
      </c>
      <c r="F30" s="82" t="s">
        <v>349</v>
      </c>
      <c r="G30" s="82" t="s">
        <v>381</v>
      </c>
      <c r="J30" s="82" t="s">
        <v>455</v>
      </c>
      <c r="L30" s="82" t="s">
        <v>424</v>
      </c>
      <c r="T30" s="82" t="s">
        <v>602</v>
      </c>
      <c r="W30" s="82" t="s">
        <v>611</v>
      </c>
      <c r="AA30" s="82" t="s">
        <v>631</v>
      </c>
      <c r="AD30" s="82" t="s">
        <v>657</v>
      </c>
      <c r="AI30" s="82" t="s">
        <v>711</v>
      </c>
      <c r="AJ30" s="82" t="s">
        <v>724</v>
      </c>
      <c r="AN30" s="82" t="s">
        <v>846</v>
      </c>
      <c r="AO30" s="82" t="s">
        <v>863</v>
      </c>
      <c r="AZ30" s="82" t="s">
        <v>1093</v>
      </c>
      <c r="BB30" s="82" t="s">
        <v>1010</v>
      </c>
      <c r="CE30" s="82">
        <f t="shared" si="34"/>
        <v>14</v>
      </c>
      <c r="CF30" s="82">
        <f t="shared" si="22"/>
        <v>2</v>
      </c>
      <c r="CG30" s="82">
        <f t="shared" si="23"/>
        <v>12</v>
      </c>
      <c r="CH30" s="82">
        <f t="shared" si="24"/>
        <v>3</v>
      </c>
      <c r="CI30" s="82">
        <f t="shared" si="25"/>
        <v>-112</v>
      </c>
      <c r="CJ30" s="86" t="str">
        <f t="shared" si="14"/>
        <v>112*</v>
      </c>
      <c r="CK30" s="82">
        <f t="shared" ref="CK30:CK36" si="35">BatSplit(D30:CD30,RunsScored)</f>
        <v>651</v>
      </c>
      <c r="CL30" s="84">
        <f t="shared" si="15"/>
        <v>72.333333333333329</v>
      </c>
      <c r="CM30" s="82">
        <f t="shared" si="27"/>
        <v>791</v>
      </c>
      <c r="CN30" s="82">
        <f>BatSplit(D30:CD30,FldPts)</f>
        <v>22</v>
      </c>
      <c r="CO30" s="85">
        <f t="array" ref="CO30">SUM(IF(ISERR(FIND("*",D30:CD30)),0,1))</f>
        <v>0</v>
      </c>
      <c r="CP30" s="85">
        <f t="array" ref="CP30">SUM(IF(ISERR(FIND("+",D30:CD30)),0,1))</f>
        <v>3</v>
      </c>
      <c r="CQ30" s="82">
        <f t="shared" si="29"/>
        <v>0</v>
      </c>
      <c r="CR30" s="85">
        <f t="array" ref="CR30">SUM(IF(ISERR(FIND(CR$4,$D30:$CD30)),0,1))</f>
        <v>4</v>
      </c>
      <c r="CS30" s="85">
        <f t="array" ref="CS30">SUM(IF(ISERR(FIND(CS$4,$D30:$CD30)),0,1))</f>
        <v>3</v>
      </c>
      <c r="CT30" s="85">
        <f t="array" ref="CT30">SUM(IF(ISERR(FIND(CT$4,$D30:$CD30)),0,1))</f>
        <v>1</v>
      </c>
      <c r="CU30" s="85">
        <f t="array" ref="CU30">SUM(IF(ISERR(FIND(CU$4,$D30:$CD30)),0,1))</f>
        <v>1</v>
      </c>
      <c r="CV30" s="85">
        <f t="array" ref="CV30">SUM(IF(ISERR(FIND(CV$4,$D30:$CD30)),0,1))</f>
        <v>0</v>
      </c>
      <c r="CW30" s="82">
        <f t="shared" si="30"/>
        <v>5</v>
      </c>
      <c r="CX30" s="82">
        <f t="shared" si="31"/>
        <v>84</v>
      </c>
      <c r="CY30" s="82">
        <f t="shared" si="32"/>
        <v>8</v>
      </c>
      <c r="CZ30" s="82">
        <f t="shared" si="33"/>
        <v>0</v>
      </c>
      <c r="DA30" s="82">
        <f t="shared" si="16"/>
        <v>1</v>
      </c>
      <c r="DB30" s="82">
        <f t="shared" si="17"/>
        <v>9</v>
      </c>
      <c r="DC30" s="82">
        <f t="shared" si="18"/>
        <v>7234430</v>
      </c>
      <c r="DD30" s="82">
        <f t="shared" si="19"/>
        <v>1</v>
      </c>
      <c r="DF30" s="82" t="str">
        <f t="shared" si="20"/>
        <v>Leadley J J</v>
      </c>
    </row>
    <row r="31" spans="1:110" x14ac:dyDescent="0.15">
      <c r="A31" s="82" t="str">
        <f t="shared" si="13"/>
        <v>JELE</v>
      </c>
      <c r="B31" s="82" t="s">
        <v>46</v>
      </c>
      <c r="C31" s="82" t="s">
        <v>1062</v>
      </c>
      <c r="F31" s="82" t="s">
        <v>358</v>
      </c>
      <c r="G31" s="82" t="s">
        <v>387</v>
      </c>
      <c r="H31" s="82" t="s">
        <v>334</v>
      </c>
      <c r="K31" s="82" t="s">
        <v>408</v>
      </c>
      <c r="L31" s="82" t="s">
        <v>399</v>
      </c>
      <c r="N31" s="82" t="s">
        <v>491</v>
      </c>
      <c r="P31" s="82" t="s">
        <v>360</v>
      </c>
      <c r="Q31" s="82" t="s">
        <v>360</v>
      </c>
      <c r="R31" s="100" t="s">
        <v>551</v>
      </c>
      <c r="S31" s="82" t="s">
        <v>588</v>
      </c>
      <c r="U31" s="82" t="s">
        <v>572</v>
      </c>
      <c r="W31" s="82" t="s">
        <v>617</v>
      </c>
      <c r="Z31" s="82" t="s">
        <v>432</v>
      </c>
      <c r="AC31" s="82" t="s">
        <v>353</v>
      </c>
      <c r="AE31" s="82" t="s">
        <v>767</v>
      </c>
      <c r="AI31" s="82" t="s">
        <v>715</v>
      </c>
      <c r="AJ31" s="82" t="s">
        <v>729</v>
      </c>
      <c r="AL31" s="82" t="s">
        <v>829</v>
      </c>
      <c r="AR31" s="82" t="s">
        <v>904</v>
      </c>
      <c r="AV31" s="82" t="s">
        <v>939</v>
      </c>
      <c r="AW31" s="82" t="s">
        <v>947</v>
      </c>
      <c r="AZ31" s="82" t="s">
        <v>660</v>
      </c>
      <c r="BC31" s="82" t="s">
        <v>335</v>
      </c>
      <c r="BE31" s="82" t="s">
        <v>360</v>
      </c>
      <c r="CE31" s="82">
        <f t="shared" si="34"/>
        <v>24</v>
      </c>
      <c r="CF31" s="82">
        <f t="shared" ref="CF31:CF39" si="36">CE31-CG31</f>
        <v>6</v>
      </c>
      <c r="CG31" s="82">
        <f t="shared" ref="CG31:CG39" si="37">BatSplit(D31:CD31,InnsBattedIn)</f>
        <v>18</v>
      </c>
      <c r="CH31" s="82">
        <f t="shared" ref="CH31:CH39" si="38">BatSplit(D31:CD31,NotOuts)</f>
        <v>5</v>
      </c>
      <c r="CI31" s="82">
        <f t="shared" ref="CI31:CI39" si="39">BatSplit(D31:CD31,HighestScore)</f>
        <v>29</v>
      </c>
      <c r="CJ31" s="86">
        <f t="shared" si="14"/>
        <v>29</v>
      </c>
      <c r="CK31" s="82">
        <f t="shared" si="35"/>
        <v>143</v>
      </c>
      <c r="CL31" s="84">
        <f t="shared" si="15"/>
        <v>11</v>
      </c>
      <c r="CM31" s="82">
        <f t="shared" ref="CM31:CM39" si="40">BatSplit(D31:CD31,BatPts)</f>
        <v>253</v>
      </c>
      <c r="CN31" s="82">
        <f t="shared" ref="CN31:CN39" si="41">BatSplit(D31:CD31,FldPts)</f>
        <v>30</v>
      </c>
      <c r="CO31" s="85">
        <f t="array" ref="CO31">SUM(IF(ISERR(FIND("*",D31:CD31)),0,1))</f>
        <v>0</v>
      </c>
      <c r="CP31" s="85">
        <f t="array" ref="CP31">SUM(IF(ISERR(FIND("+",D31:CD31)),0,1))</f>
        <v>0</v>
      </c>
      <c r="CQ31" s="82">
        <f t="shared" ref="CQ31:CQ39" si="42">BatSplit(D31:CD31,Ducks)</f>
        <v>2</v>
      </c>
      <c r="CR31" s="85">
        <f t="array" ref="CR31">SUM(IF(ISERR(FIND(CR$4,$D31:$CD31)),0,1))</f>
        <v>8</v>
      </c>
      <c r="CS31" s="85">
        <f t="array" ref="CS31">SUM(IF(ISERR(FIND(CS$4,$D31:$CD31)),0,1))</f>
        <v>4</v>
      </c>
      <c r="CT31" s="85">
        <f t="array" ref="CT31">SUM(IF(ISERR(FIND(CT$4,$D31:$CD31)),0,1))</f>
        <v>1</v>
      </c>
      <c r="CU31" s="85">
        <f t="array" ref="CU31">SUM(IF(ISERR(FIND(CU$4,$D31:$CD31)),0,1))</f>
        <v>0</v>
      </c>
      <c r="CV31" s="85">
        <f t="array" ref="CV31">SUM(IF(ISERR(FIND(CV$4,$D31:$CD31)),0,1))</f>
        <v>0</v>
      </c>
      <c r="CW31" s="82">
        <f t="shared" ref="CW31:CW39" si="43">BatSplit(D31:CD31,Catches)</f>
        <v>6</v>
      </c>
      <c r="CX31" s="82">
        <f t="shared" ref="CX31:CX39" si="44">BatSplit(D31:CD31,Fours)</f>
        <v>13</v>
      </c>
      <c r="CY31" s="82">
        <f t="shared" ref="CY31:CY39" si="45">BatSplit(D31:CD31,Sixes)</f>
        <v>0</v>
      </c>
      <c r="CZ31" s="82">
        <f t="shared" ref="CZ31:CZ39" si="46">BatSplit(D31:CD31,Stumpings)</f>
        <v>0</v>
      </c>
      <c r="DA31" s="82">
        <f t="shared" si="16"/>
        <v>0</v>
      </c>
      <c r="DB31" s="82">
        <f t="shared" si="17"/>
        <v>1</v>
      </c>
      <c r="DC31" s="82">
        <f t="shared" si="18"/>
        <v>1102431</v>
      </c>
      <c r="DD31" s="82">
        <f t="shared" si="19"/>
        <v>20</v>
      </c>
      <c r="DF31" s="82" t="str">
        <f t="shared" si="20"/>
        <v>Lestrelle J J</v>
      </c>
    </row>
    <row r="32" spans="1:110" x14ac:dyDescent="0.15">
      <c r="A32" s="82" t="str">
        <f t="shared" si="13"/>
        <v>KRLI</v>
      </c>
      <c r="B32" s="82" t="s">
        <v>198</v>
      </c>
      <c r="C32" s="82" t="s">
        <v>1063</v>
      </c>
      <c r="AA32" s="82" t="s">
        <v>399</v>
      </c>
      <c r="AI32" s="82" t="s">
        <v>526</v>
      </c>
      <c r="AJ32" s="82" t="s">
        <v>728</v>
      </c>
      <c r="AL32" s="82" t="s">
        <v>553</v>
      </c>
      <c r="AS32" s="82" t="s">
        <v>916</v>
      </c>
      <c r="AZ32" s="82" t="s">
        <v>360</v>
      </c>
      <c r="BC32" s="82" t="s">
        <v>770</v>
      </c>
      <c r="BE32" s="82" t="s">
        <v>526</v>
      </c>
      <c r="CE32" s="82">
        <f t="shared" si="34"/>
        <v>8</v>
      </c>
      <c r="CF32" s="82">
        <f t="shared" si="36"/>
        <v>3</v>
      </c>
      <c r="CG32" s="82">
        <f t="shared" si="37"/>
        <v>5</v>
      </c>
      <c r="CH32" s="82">
        <f t="shared" si="38"/>
        <v>2</v>
      </c>
      <c r="CI32" s="82">
        <f t="shared" si="39"/>
        <v>9</v>
      </c>
      <c r="CJ32" s="86">
        <f t="shared" si="14"/>
        <v>9</v>
      </c>
      <c r="CK32" s="82">
        <f t="shared" si="35"/>
        <v>12</v>
      </c>
      <c r="CL32" s="84">
        <f t="shared" si="15"/>
        <v>4</v>
      </c>
      <c r="CM32" s="82">
        <f t="shared" si="40"/>
        <v>42</v>
      </c>
      <c r="CN32" s="82">
        <f t="shared" si="41"/>
        <v>5</v>
      </c>
      <c r="CO32" s="85">
        <f t="array" ref="CO32">SUM(IF(ISERR(FIND("*",D32:CD32)),0,1))</f>
        <v>0</v>
      </c>
      <c r="CP32" s="85">
        <f t="array" ref="CP32">SUM(IF(ISERR(FIND("+",D32:CD32)),0,1))</f>
        <v>0</v>
      </c>
      <c r="CQ32" s="82">
        <f t="shared" si="42"/>
        <v>2</v>
      </c>
      <c r="CR32" s="85">
        <f t="array" ref="CR32">SUM(IF(ISERR(FIND(CR$4,$D32:$CD32)),0,1))</f>
        <v>2</v>
      </c>
      <c r="CS32" s="85">
        <f t="array" ref="CS32">SUM(IF(ISERR(FIND(CS$4,$D32:$CD32)),0,1))</f>
        <v>1</v>
      </c>
      <c r="CT32" s="85">
        <f t="array" ref="CT32">SUM(IF(ISERR(FIND(CT$4,$D32:$CD32)),0,1))</f>
        <v>0</v>
      </c>
      <c r="CU32" s="85">
        <f t="array" ref="CU32">SUM(IF(ISERR(FIND(CU$4,$D32:$CD32)),0,1))</f>
        <v>0</v>
      </c>
      <c r="CV32" s="85">
        <f t="array" ref="CV32">SUM(IF(ISERR(FIND(CV$4,$D32:$CD32)),0,1))</f>
        <v>0</v>
      </c>
      <c r="CW32" s="82">
        <f t="shared" si="43"/>
        <v>1</v>
      </c>
      <c r="CX32" s="82">
        <f t="shared" si="44"/>
        <v>2</v>
      </c>
      <c r="CY32" s="82">
        <f t="shared" si="45"/>
        <v>0</v>
      </c>
      <c r="CZ32" s="82">
        <f t="shared" si="46"/>
        <v>0</v>
      </c>
      <c r="DA32" s="82">
        <f t="shared" si="16"/>
        <v>0</v>
      </c>
      <c r="DB32" s="82">
        <f t="shared" si="17"/>
        <v>0</v>
      </c>
      <c r="DC32" s="82">
        <f t="shared" si="18"/>
        <v>400832</v>
      </c>
      <c r="DD32" s="82">
        <f t="shared" si="19"/>
        <v>34</v>
      </c>
      <c r="DF32" s="82" t="str">
        <f t="shared" si="20"/>
        <v>Ligory K K</v>
      </c>
    </row>
    <row r="33" spans="1:110" x14ac:dyDescent="0.15">
      <c r="C33" s="82" t="s">
        <v>1064</v>
      </c>
      <c r="AK33" s="82" t="s">
        <v>759</v>
      </c>
      <c r="CE33" s="82">
        <f>BatSplit(D33:CD33,MatchesPlayed)</f>
        <v>1</v>
      </c>
      <c r="CF33" s="82">
        <f>CE33-CG33</f>
        <v>0</v>
      </c>
      <c r="CG33" s="82">
        <f>BatSplit(D33:CD33,InnsBattedIn)</f>
        <v>1</v>
      </c>
      <c r="CH33" s="82">
        <f>BatSplit(D33:CD33,NotOuts)</f>
        <v>0</v>
      </c>
      <c r="CI33" s="82">
        <f>BatSplit(D33:CD33,HighestScore)</f>
        <v>2</v>
      </c>
      <c r="CJ33" s="86">
        <f t="shared" si="14"/>
        <v>2</v>
      </c>
      <c r="CK33" s="82">
        <f>BatSplit(D33:CD33,RunsScored)</f>
        <v>2</v>
      </c>
      <c r="CL33" s="84">
        <f>IF(CG33=CH33,0,CK33/(CG33-CH33))</f>
        <v>2</v>
      </c>
      <c r="CM33" s="82">
        <f>BatSplit(D33:CD33,BatPts)</f>
        <v>7</v>
      </c>
      <c r="CN33" s="82">
        <f>BatSplit(D33:CD33,FldPts)</f>
        <v>0</v>
      </c>
      <c r="CO33" s="85">
        <f t="array" ref="CO33">SUM(IF(ISERR(FIND("*",D33:CD33)),0,1))</f>
        <v>0</v>
      </c>
      <c r="CP33" s="85">
        <f t="array" ref="CP33">SUM(IF(ISERR(FIND("+",D33:CD33)),0,1))</f>
        <v>0</v>
      </c>
      <c r="CQ33" s="82">
        <f>BatSplit(D33:CD33,Ducks)</f>
        <v>0</v>
      </c>
      <c r="CR33" s="85">
        <f t="array" ref="CR33">SUM(IF(ISERR(FIND(CR$4,$D33:$CD33)),0,1))</f>
        <v>1</v>
      </c>
      <c r="CS33" s="85">
        <f t="array" ref="CS33">SUM(IF(ISERR(FIND(CS$4,$D33:$CD33)),0,1))</f>
        <v>0</v>
      </c>
      <c r="CT33" s="85">
        <f t="array" ref="CT33">SUM(IF(ISERR(FIND(CT$4,$D33:$CD33)),0,1))</f>
        <v>0</v>
      </c>
      <c r="CU33" s="85">
        <f t="array" ref="CU33">SUM(IF(ISERR(FIND(CU$4,$D33:$CD33)),0,1))</f>
        <v>0</v>
      </c>
      <c r="CV33" s="85">
        <f t="array" ref="CV33">SUM(IF(ISERR(FIND(CV$4,$D33:$CD33)),0,1))</f>
        <v>0</v>
      </c>
      <c r="CW33" s="82">
        <f>BatSplit(D33:CD33,Catches)</f>
        <v>0</v>
      </c>
      <c r="CX33" s="82">
        <f>BatSplit(D33:CD33,Fours)</f>
        <v>0</v>
      </c>
      <c r="CY33" s="82">
        <f>BatSplit(D33:CD33,Sixes)</f>
        <v>0</v>
      </c>
      <c r="CZ33" s="82">
        <f>BatSplit(D33:CD33,Stumpings)</f>
        <v>0</v>
      </c>
      <c r="DA33" s="82">
        <f>BatSplit(D33:CD33,CaughtWkt)</f>
        <v>0</v>
      </c>
      <c r="DB33" s="82">
        <f>BatSplit(D33:CD33,TwentyFives)</f>
        <v>0</v>
      </c>
      <c r="DC33" s="82">
        <f>ROUND(IF(ISERROR(CL33),0,CL33),2)*100000+CE33*100+ROW(DB33)</f>
        <v>200133</v>
      </c>
      <c r="DD33" s="82">
        <f t="shared" si="19"/>
        <v>40</v>
      </c>
      <c r="DF33" s="82" t="str">
        <f t="shared" si="20"/>
        <v xml:space="preserve">Lochhead  </v>
      </c>
    </row>
    <row r="34" spans="1:110" x14ac:dyDescent="0.15">
      <c r="A34" s="82" t="str">
        <f t="shared" si="13"/>
        <v>ANMA</v>
      </c>
      <c r="B34" s="82" t="s">
        <v>44</v>
      </c>
      <c r="C34" s="82" t="s">
        <v>87</v>
      </c>
      <c r="E34" s="82" t="s">
        <v>305</v>
      </c>
      <c r="G34" s="82" t="s">
        <v>389</v>
      </c>
      <c r="I34" s="82" t="s">
        <v>401</v>
      </c>
      <c r="M34" s="82" t="s">
        <v>482</v>
      </c>
      <c r="N34" s="82" t="s">
        <v>359</v>
      </c>
      <c r="O34" s="82" t="s">
        <v>335</v>
      </c>
      <c r="R34" s="82" t="s">
        <v>555</v>
      </c>
      <c r="V34" s="82" t="s">
        <v>788</v>
      </c>
      <c r="AA34" s="82" t="s">
        <v>639</v>
      </c>
      <c r="AE34" s="82" t="s">
        <v>769</v>
      </c>
      <c r="AH34" s="82" t="s">
        <v>749</v>
      </c>
      <c r="AJ34" s="82" t="s">
        <v>359</v>
      </c>
      <c r="AQ34" s="82" t="s">
        <v>896</v>
      </c>
      <c r="AR34" s="82" t="s">
        <v>903</v>
      </c>
      <c r="AW34" s="82" t="s">
        <v>949</v>
      </c>
      <c r="AY34" s="82" t="s">
        <v>969</v>
      </c>
      <c r="BB34" s="82" t="s">
        <v>1014</v>
      </c>
      <c r="CE34" s="82">
        <f t="shared" si="34"/>
        <v>17</v>
      </c>
      <c r="CF34" s="82">
        <f t="shared" si="36"/>
        <v>3</v>
      </c>
      <c r="CG34" s="82">
        <f t="shared" si="37"/>
        <v>14</v>
      </c>
      <c r="CH34" s="82">
        <f t="shared" si="38"/>
        <v>2</v>
      </c>
      <c r="CI34" s="82">
        <f t="shared" si="39"/>
        <v>56</v>
      </c>
      <c r="CJ34" s="86">
        <f t="shared" si="14"/>
        <v>56</v>
      </c>
      <c r="CK34" s="82">
        <f t="shared" si="35"/>
        <v>242</v>
      </c>
      <c r="CL34" s="84">
        <f t="shared" si="15"/>
        <v>20.166666666666668</v>
      </c>
      <c r="CM34" s="82">
        <f t="shared" si="40"/>
        <v>337</v>
      </c>
      <c r="CN34" s="82">
        <f t="shared" si="41"/>
        <v>10</v>
      </c>
      <c r="CO34" s="85">
        <f t="array" ref="CO34">SUM(IF(ISERR(FIND("*",D34:CD34)),0,1))</f>
        <v>0</v>
      </c>
      <c r="CP34" s="85">
        <f t="array" ref="CP34">SUM(IF(ISERR(FIND("+",D34:CD34)),0,1))</f>
        <v>0</v>
      </c>
      <c r="CQ34" s="82">
        <f t="shared" si="42"/>
        <v>0</v>
      </c>
      <c r="CR34" s="85">
        <f t="array" ref="CR34">SUM(IF(ISERR(FIND(CR$4,$D34:$CD34)),0,1))</f>
        <v>6</v>
      </c>
      <c r="CS34" s="85">
        <f t="array" ref="CS34">SUM(IF(ISERR(FIND(CS$4,$D34:$CD34)),0,1))</f>
        <v>5</v>
      </c>
      <c r="CT34" s="85">
        <f t="array" ref="CT34">SUM(IF(ISERR(FIND(CT$4,$D34:$CD34)),0,1))</f>
        <v>0</v>
      </c>
      <c r="CU34" s="85">
        <f t="array" ref="CU34">SUM(IF(ISERR(FIND(CU$4,$D34:$CD34)),0,1))</f>
        <v>0</v>
      </c>
      <c r="CV34" s="85">
        <f t="array" ref="CV34">SUM(IF(ISERR(FIND(CV$4,$D34:$CD34)),0,1))</f>
        <v>1</v>
      </c>
      <c r="CW34" s="82">
        <f t="shared" si="43"/>
        <v>2</v>
      </c>
      <c r="CX34" s="82">
        <f t="shared" si="44"/>
        <v>23</v>
      </c>
      <c r="CY34" s="82">
        <f t="shared" si="45"/>
        <v>13</v>
      </c>
      <c r="CZ34" s="82">
        <f t="shared" si="46"/>
        <v>0</v>
      </c>
      <c r="DA34" s="82">
        <f t="shared" si="16"/>
        <v>0</v>
      </c>
      <c r="DB34" s="82">
        <f t="shared" si="17"/>
        <v>3</v>
      </c>
      <c r="DC34" s="82">
        <f t="shared" si="18"/>
        <v>2018734.0000000002</v>
      </c>
      <c r="DD34" s="82">
        <f t="shared" si="19"/>
        <v>9</v>
      </c>
      <c r="DF34" s="82" t="str">
        <f t="shared" si="20"/>
        <v>Mander A A</v>
      </c>
    </row>
    <row r="35" spans="1:110" x14ac:dyDescent="0.15">
      <c r="A35" s="82" t="str">
        <f t="shared" si="13"/>
        <v>COMA</v>
      </c>
      <c r="B35" s="82" t="s">
        <v>45</v>
      </c>
      <c r="C35" s="82" t="s">
        <v>89</v>
      </c>
      <c r="G35" s="82" t="s">
        <v>388</v>
      </c>
      <c r="I35" s="82" t="s">
        <v>399</v>
      </c>
      <c r="M35" s="82" t="s">
        <v>480</v>
      </c>
      <c r="N35" s="82" t="s">
        <v>493</v>
      </c>
      <c r="O35" s="82" t="s">
        <v>504</v>
      </c>
      <c r="R35" s="82" t="s">
        <v>553</v>
      </c>
      <c r="V35" s="82" t="s">
        <v>787</v>
      </c>
      <c r="AA35" s="82" t="s">
        <v>638</v>
      </c>
      <c r="AB35" s="82" t="s">
        <v>770</v>
      </c>
      <c r="AE35" s="82" t="s">
        <v>771</v>
      </c>
      <c r="AJ35" s="82" t="s">
        <v>730</v>
      </c>
      <c r="AQ35" s="82" t="s">
        <v>506</v>
      </c>
      <c r="AR35" s="82" t="s">
        <v>413</v>
      </c>
      <c r="AW35" s="82" t="s">
        <v>948</v>
      </c>
      <c r="BB35" s="82" t="s">
        <v>1016</v>
      </c>
      <c r="CE35" s="82">
        <f t="shared" ref="CE35:CE47" si="47">BatSplit(D35:CD35,MatchesPlayed)</f>
        <v>15</v>
      </c>
      <c r="CF35" s="82">
        <f t="shared" si="36"/>
        <v>1</v>
      </c>
      <c r="CG35" s="82">
        <f t="shared" si="37"/>
        <v>14</v>
      </c>
      <c r="CH35" s="82">
        <f t="shared" si="38"/>
        <v>3</v>
      </c>
      <c r="CI35" s="82">
        <f t="shared" si="39"/>
        <v>22</v>
      </c>
      <c r="CJ35" s="86">
        <f t="shared" si="14"/>
        <v>22</v>
      </c>
      <c r="CK35" s="82">
        <f t="shared" si="35"/>
        <v>69</v>
      </c>
      <c r="CL35" s="84">
        <f t="shared" si="15"/>
        <v>6.2727272727272725</v>
      </c>
      <c r="CM35" s="82">
        <f t="shared" si="40"/>
        <v>119</v>
      </c>
      <c r="CN35" s="82">
        <f>BatSplit(D35:CD35,FldPts)</f>
        <v>20</v>
      </c>
      <c r="CO35" s="85">
        <f t="array" ref="CO35">SUM(IF(ISERR(FIND("*",D35:CD35)),0,1))</f>
        <v>0</v>
      </c>
      <c r="CP35" s="85">
        <f t="array" ref="CP35">SUM(IF(ISERR(FIND("+",D35:CD35)),0,1))</f>
        <v>0</v>
      </c>
      <c r="CQ35" s="82">
        <f t="shared" si="42"/>
        <v>5</v>
      </c>
      <c r="CR35" s="85">
        <f t="array" ref="CR35">SUM(IF(ISERR(FIND(CR$4,$D35:$CD35)),0,1))</f>
        <v>6</v>
      </c>
      <c r="CS35" s="85">
        <f t="array" ref="CS35">SUM(IF(ISERR(FIND(CS$4,$D35:$CD35)),0,1))</f>
        <v>3</v>
      </c>
      <c r="CT35" s="85">
        <f t="array" ref="CT35">SUM(IF(ISERR(FIND(CT$4,$D35:$CD35)),0,1))</f>
        <v>0</v>
      </c>
      <c r="CU35" s="85">
        <f t="array" ref="CU35">SUM(IF(ISERR(FIND(CU$4,$D35:$CD35)),0,1))</f>
        <v>1</v>
      </c>
      <c r="CV35" s="85">
        <f t="array" ref="CV35">SUM(IF(ISERR(FIND(CV$4,$D35:$CD35)),0,1))</f>
        <v>1</v>
      </c>
      <c r="CW35" s="82">
        <f t="shared" si="43"/>
        <v>4</v>
      </c>
      <c r="CX35" s="82">
        <f t="shared" si="44"/>
        <v>9</v>
      </c>
      <c r="CY35" s="82">
        <f t="shared" si="45"/>
        <v>0</v>
      </c>
      <c r="CZ35" s="82">
        <f t="shared" si="46"/>
        <v>0</v>
      </c>
      <c r="DA35" s="82">
        <f t="shared" si="16"/>
        <v>0</v>
      </c>
      <c r="DB35" s="82">
        <f t="shared" si="17"/>
        <v>0</v>
      </c>
      <c r="DC35" s="82">
        <f t="shared" si="18"/>
        <v>628535</v>
      </c>
      <c r="DD35" s="82">
        <f t="shared" si="19"/>
        <v>30</v>
      </c>
      <c r="DF35" s="82" t="str">
        <f t="shared" si="20"/>
        <v>Mander C C</v>
      </c>
    </row>
    <row r="36" spans="1:110" x14ac:dyDescent="0.15">
      <c r="A36" s="82" t="str">
        <f t="shared" si="13"/>
        <v>NEMA</v>
      </c>
      <c r="B36" s="82" t="s">
        <v>196</v>
      </c>
      <c r="C36" s="82" t="s">
        <v>195</v>
      </c>
      <c r="G36" s="82" t="s">
        <v>390</v>
      </c>
      <c r="I36" s="82" t="s">
        <v>400</v>
      </c>
      <c r="M36" s="82" t="s">
        <v>484</v>
      </c>
      <c r="N36" s="82" t="s">
        <v>492</v>
      </c>
      <c r="O36" s="82" t="s">
        <v>509</v>
      </c>
      <c r="R36" s="82" t="s">
        <v>549</v>
      </c>
      <c r="V36" s="82" t="s">
        <v>782</v>
      </c>
      <c r="AA36" s="82" t="s">
        <v>633</v>
      </c>
      <c r="AB36" s="82" t="s">
        <v>773</v>
      </c>
      <c r="AE36" s="82" t="s">
        <v>765</v>
      </c>
      <c r="AH36" s="82" t="s">
        <v>751</v>
      </c>
      <c r="AQ36" s="82" t="s">
        <v>298</v>
      </c>
      <c r="AS36" s="82" t="s">
        <v>913</v>
      </c>
      <c r="AW36" s="82" t="s">
        <v>945</v>
      </c>
      <c r="AY36" s="82" t="s">
        <v>664</v>
      </c>
      <c r="BB36" s="82" t="s">
        <v>335</v>
      </c>
      <c r="CE36" s="82">
        <f t="shared" si="47"/>
        <v>16</v>
      </c>
      <c r="CF36" s="82">
        <f t="shared" si="36"/>
        <v>1</v>
      </c>
      <c r="CG36" s="82">
        <f t="shared" si="37"/>
        <v>15</v>
      </c>
      <c r="CH36" s="82">
        <f t="shared" si="38"/>
        <v>4</v>
      </c>
      <c r="CI36" s="82">
        <f t="shared" si="39"/>
        <v>-41</v>
      </c>
      <c r="CJ36" s="86" t="str">
        <f t="shared" si="14"/>
        <v>41*</v>
      </c>
      <c r="CK36" s="82">
        <f t="shared" si="35"/>
        <v>159</v>
      </c>
      <c r="CL36" s="84">
        <f t="shared" si="15"/>
        <v>14.454545454545455</v>
      </c>
      <c r="CM36" s="82">
        <f t="shared" si="40"/>
        <v>224</v>
      </c>
      <c r="CN36" s="82">
        <f t="shared" si="41"/>
        <v>25</v>
      </c>
      <c r="CO36" s="85">
        <f t="array" ref="CO36">SUM(IF(ISERR(FIND("*",D36:CD36)),0,1))</f>
        <v>0</v>
      </c>
      <c r="CP36" s="85">
        <f t="array" ref="CP36">SUM(IF(ISERR(FIND("+",D36:CD36)),0,1))</f>
        <v>0</v>
      </c>
      <c r="CQ36" s="82">
        <f t="shared" si="42"/>
        <v>3</v>
      </c>
      <c r="CR36" s="85">
        <f t="array" ref="CR36">SUM(IF(ISERR(FIND(CR$4,$D36:$CD36)),0,1))</f>
        <v>4</v>
      </c>
      <c r="CS36" s="85">
        <f t="array" ref="CS36">SUM(IF(ISERR(FIND(CS$4,$D36:$CD36)),0,1))</f>
        <v>6</v>
      </c>
      <c r="CT36" s="85">
        <f t="array" ref="CT36">SUM(IF(ISERR(FIND(CT$4,$D36:$CD36)),0,1))</f>
        <v>0</v>
      </c>
      <c r="CU36" s="85">
        <f t="array" ref="CU36">SUM(IF(ISERR(FIND(CU$4,$D36:$CD36)),0,1))</f>
        <v>1</v>
      </c>
      <c r="CV36" s="85">
        <f t="array" ref="CV36">SUM(IF(ISERR(FIND(CV$4,$D36:$CD36)),0,1))</f>
        <v>0</v>
      </c>
      <c r="CW36" s="82">
        <f t="shared" si="43"/>
        <v>5</v>
      </c>
      <c r="CX36" s="82">
        <f t="shared" si="44"/>
        <v>14</v>
      </c>
      <c r="CY36" s="82">
        <f t="shared" si="45"/>
        <v>0</v>
      </c>
      <c r="CZ36" s="82">
        <f t="shared" si="46"/>
        <v>0</v>
      </c>
      <c r="DA36" s="82">
        <f t="shared" si="16"/>
        <v>0</v>
      </c>
      <c r="DB36" s="82">
        <f t="shared" si="17"/>
        <v>2</v>
      </c>
      <c r="DC36" s="82">
        <f t="shared" si="18"/>
        <v>1446636</v>
      </c>
      <c r="DD36" s="82">
        <f t="shared" si="19"/>
        <v>14</v>
      </c>
      <c r="DF36" s="82" t="str">
        <f t="shared" si="20"/>
        <v>Mander N N</v>
      </c>
    </row>
    <row r="37" spans="1:110" x14ac:dyDescent="0.15">
      <c r="C37" s="82" t="s">
        <v>1065</v>
      </c>
      <c r="AH37" s="82" t="s">
        <v>432</v>
      </c>
      <c r="CE37" s="82">
        <f>BatSplit(D37:CD37,MatchesPlayed)</f>
        <v>1</v>
      </c>
      <c r="CF37" s="82">
        <f>CE37-CG37</f>
        <v>0</v>
      </c>
      <c r="CG37" s="82">
        <f>BatSplit(D37:CD37,InnsBattedIn)</f>
        <v>1</v>
      </c>
      <c r="CH37" s="82">
        <f>BatSplit(D37:CD37,NotOuts)</f>
        <v>1</v>
      </c>
      <c r="CI37" s="82">
        <f>BatSplit(D37:CD37,HighestScore)</f>
        <v>0</v>
      </c>
      <c r="CJ37" s="86">
        <f t="shared" si="14"/>
        <v>0</v>
      </c>
      <c r="CK37" s="82">
        <f>BatSplit(D37:CD37,RunsScored)</f>
        <v>0</v>
      </c>
      <c r="CL37" s="84">
        <f>IF(CG37=CH37,0,CK37/(CG37-CH37))</f>
        <v>0</v>
      </c>
      <c r="CM37" s="82">
        <f>BatSplit(D37:CD37,BatPts)</f>
        <v>5</v>
      </c>
      <c r="CN37" s="82">
        <f>BatSplit(D37:CD37,FldPts)</f>
        <v>0</v>
      </c>
      <c r="CO37" s="85">
        <f t="array" ref="CO37">SUM(IF(ISERR(FIND("*",D37:CD37)),0,1))</f>
        <v>0</v>
      </c>
      <c r="CP37" s="85">
        <f t="array" ref="CP37">SUM(IF(ISERR(FIND("+",D37:CD37)),0,1))</f>
        <v>0</v>
      </c>
      <c r="CQ37" s="82">
        <f>BatSplit(D37:CD37,Ducks)</f>
        <v>0</v>
      </c>
      <c r="CR37" s="85">
        <f t="array" ref="CR37">SUM(IF(ISERR(FIND(CR$4,$D37:$CD37)),0,1))</f>
        <v>0</v>
      </c>
      <c r="CS37" s="85">
        <f t="array" ref="CS37">SUM(IF(ISERR(FIND(CS$4,$D37:$CD37)),0,1))</f>
        <v>0</v>
      </c>
      <c r="CT37" s="85">
        <f t="array" ref="CT37">SUM(IF(ISERR(FIND(CT$4,$D37:$CD37)),0,1))</f>
        <v>0</v>
      </c>
      <c r="CU37" s="85">
        <f t="array" ref="CU37">SUM(IF(ISERR(FIND(CU$4,$D37:$CD37)),0,1))</f>
        <v>0</v>
      </c>
      <c r="CV37" s="85">
        <f t="array" ref="CV37">SUM(IF(ISERR(FIND(CV$4,$D37:$CD37)),0,1))</f>
        <v>0</v>
      </c>
      <c r="CW37" s="82">
        <f>BatSplit(D37:CD37,Catches)</f>
        <v>0</v>
      </c>
      <c r="CX37" s="82">
        <f>BatSplit(D37:CD37,Fours)</f>
        <v>0</v>
      </c>
      <c r="CY37" s="82">
        <f>BatSplit(D37:CD37,Sixes)</f>
        <v>0</v>
      </c>
      <c r="CZ37" s="82">
        <f>BatSplit(D37:CD37,Stumpings)</f>
        <v>0</v>
      </c>
      <c r="DA37" s="82">
        <f>BatSplit(D37:CD37,CaughtWkt)</f>
        <v>0</v>
      </c>
      <c r="DB37" s="82">
        <f>BatSplit(D37:CD37,TwentyFives)</f>
        <v>0</v>
      </c>
      <c r="DC37" s="82">
        <f>ROUND(IF(ISERROR(CL37),0,CL37),2)*100000+CE37*100+ROW(DB37)</f>
        <v>137</v>
      </c>
      <c r="DD37" s="82">
        <f t="shared" si="19"/>
        <v>45</v>
      </c>
      <c r="DF37" s="82" t="str">
        <f t="shared" si="20"/>
        <v xml:space="preserve">McGall  </v>
      </c>
    </row>
    <row r="38" spans="1:110" x14ac:dyDescent="0.15">
      <c r="C38" s="82" t="s">
        <v>1066</v>
      </c>
      <c r="T38" s="82" t="s">
        <v>606</v>
      </c>
      <c r="CE38" s="82">
        <f>BatSplit(D38:CD38,MatchesPlayed)</f>
        <v>1</v>
      </c>
      <c r="CF38" s="82">
        <f>CE38-CG38</f>
        <v>0</v>
      </c>
      <c r="CG38" s="82">
        <f>BatSplit(D38:CD38,InnsBattedIn)</f>
        <v>1</v>
      </c>
      <c r="CH38" s="82">
        <f>BatSplit(D38:CD38,NotOuts)</f>
        <v>0</v>
      </c>
      <c r="CI38" s="82">
        <f>BatSplit(D38:CD38,HighestScore)</f>
        <v>5</v>
      </c>
      <c r="CJ38" s="86">
        <f t="shared" si="14"/>
        <v>5</v>
      </c>
      <c r="CK38" s="82">
        <f>BatSplit(D38:CD38,RunsScored)</f>
        <v>5</v>
      </c>
      <c r="CL38" s="84">
        <f>IF(CG38=CH38,0,CK38/(CG38-CH38))</f>
        <v>5</v>
      </c>
      <c r="CM38" s="82">
        <f>BatSplit(D38:CD38,BatPts)</f>
        <v>10</v>
      </c>
      <c r="CN38" s="82">
        <f>BatSplit(D38:CD38,FldPts)</f>
        <v>0</v>
      </c>
      <c r="CO38" s="85">
        <f t="array" ref="CO38">SUM(IF(ISERR(FIND("*",D38:CD38)),0,1))</f>
        <v>0</v>
      </c>
      <c r="CP38" s="85">
        <f t="array" ref="CP38">SUM(IF(ISERR(FIND("+",D38:CD38)),0,1))</f>
        <v>0</v>
      </c>
      <c r="CQ38" s="82">
        <f>BatSplit(D38:CD38,Ducks)</f>
        <v>0</v>
      </c>
      <c r="CR38" s="85">
        <f t="array" ref="CR38">SUM(IF(ISERR(FIND(CR$4,$D38:$CD38)),0,1))</f>
        <v>0</v>
      </c>
      <c r="CS38" s="85">
        <f t="array" ref="CS38">SUM(IF(ISERR(FIND(CS$4,$D38:$CD38)),0,1))</f>
        <v>1</v>
      </c>
      <c r="CT38" s="85">
        <f t="array" ref="CT38">SUM(IF(ISERR(FIND(CT$4,$D38:$CD38)),0,1))</f>
        <v>0</v>
      </c>
      <c r="CU38" s="85">
        <f t="array" ref="CU38">SUM(IF(ISERR(FIND(CU$4,$D38:$CD38)),0,1))</f>
        <v>0</v>
      </c>
      <c r="CV38" s="85">
        <f t="array" ref="CV38">SUM(IF(ISERR(FIND(CV$4,$D38:$CD38)),0,1))</f>
        <v>0</v>
      </c>
      <c r="CW38" s="82">
        <f>BatSplit(D38:CD38,Catches)</f>
        <v>0</v>
      </c>
      <c r="CX38" s="82">
        <f>BatSplit(D38:CD38,Fours)</f>
        <v>0</v>
      </c>
      <c r="CY38" s="82">
        <f>BatSplit(D38:CD38,Sixes)</f>
        <v>0</v>
      </c>
      <c r="CZ38" s="82">
        <f>BatSplit(D38:CD38,Stumpings)</f>
        <v>0</v>
      </c>
      <c r="DA38" s="82">
        <f>BatSplit(D38:CD38,CaughtWkt)</f>
        <v>0</v>
      </c>
      <c r="DB38" s="82">
        <f>BatSplit(D38:CD38,TwentyFives)</f>
        <v>0</v>
      </c>
      <c r="DC38" s="82">
        <f>ROUND(IF(ISERROR(CL38),0,CL38),2)*100000+CE38*100+ROW(DB38)</f>
        <v>500138</v>
      </c>
      <c r="DD38" s="82">
        <f t="shared" si="19"/>
        <v>31</v>
      </c>
      <c r="DF38" s="82" t="str">
        <f t="shared" si="20"/>
        <v xml:space="preserve">McGetrick  </v>
      </c>
    </row>
    <row r="39" spans="1:110" x14ac:dyDescent="0.15">
      <c r="A39" s="82" t="str">
        <f t="shared" si="13"/>
        <v>AUME</v>
      </c>
      <c r="B39" s="82" t="s">
        <v>68</v>
      </c>
      <c r="C39" s="82" t="s">
        <v>1067</v>
      </c>
      <c r="T39" s="82" t="s">
        <v>335</v>
      </c>
      <c r="AF39" s="82" t="s">
        <v>693</v>
      </c>
      <c r="CE39" s="82">
        <f t="shared" si="47"/>
        <v>2</v>
      </c>
      <c r="CF39" s="82">
        <f t="shared" si="36"/>
        <v>1</v>
      </c>
      <c r="CG39" s="82">
        <f t="shared" si="37"/>
        <v>1</v>
      </c>
      <c r="CH39" s="82">
        <f t="shared" si="38"/>
        <v>0</v>
      </c>
      <c r="CI39" s="82">
        <f t="shared" si="39"/>
        <v>0</v>
      </c>
      <c r="CJ39" s="86">
        <f t="shared" si="14"/>
        <v>0</v>
      </c>
      <c r="CK39" s="82">
        <f t="shared" ref="CK39:CK47" si="48">BatSplit(D39:CD39,RunsScored)</f>
        <v>0</v>
      </c>
      <c r="CL39" s="84">
        <f t="shared" si="15"/>
        <v>0</v>
      </c>
      <c r="CM39" s="82">
        <f t="shared" si="40"/>
        <v>5</v>
      </c>
      <c r="CN39" s="82">
        <f t="shared" si="41"/>
        <v>0</v>
      </c>
      <c r="CO39" s="85">
        <f t="array" ref="CO39">SUM(IF(ISERR(FIND("*",D39:CD39)),0,1))</f>
        <v>0</v>
      </c>
      <c r="CP39" s="85">
        <f t="array" ref="CP39">SUM(IF(ISERR(FIND("+",D39:CD39)),0,1))</f>
        <v>1</v>
      </c>
      <c r="CQ39" s="82">
        <f t="shared" si="42"/>
        <v>1</v>
      </c>
      <c r="CR39" s="85">
        <f t="array" ref="CR39">SUM(IF(ISERR(FIND(CR$4,$D39:$CD39)),0,1))</f>
        <v>0</v>
      </c>
      <c r="CS39" s="85">
        <f t="array" ref="CS39">SUM(IF(ISERR(FIND(CS$4,$D39:$CD39)),0,1))</f>
        <v>1</v>
      </c>
      <c r="CT39" s="85">
        <f t="array" ref="CT39">SUM(IF(ISERR(FIND(CT$4,$D39:$CD39)),0,1))</f>
        <v>0</v>
      </c>
      <c r="CU39" s="85">
        <f t="array" ref="CU39">SUM(IF(ISERR(FIND(CU$4,$D39:$CD39)),0,1))</f>
        <v>0</v>
      </c>
      <c r="CV39" s="85">
        <f t="array" ref="CV39">SUM(IF(ISERR(FIND(CV$4,$D39:$CD39)),0,1))</f>
        <v>0</v>
      </c>
      <c r="CW39" s="82">
        <f t="shared" si="43"/>
        <v>0</v>
      </c>
      <c r="CX39" s="82">
        <f t="shared" si="44"/>
        <v>0</v>
      </c>
      <c r="CY39" s="82">
        <f t="shared" si="45"/>
        <v>0</v>
      </c>
      <c r="CZ39" s="82">
        <f t="shared" si="46"/>
        <v>0</v>
      </c>
      <c r="DA39" s="82">
        <f t="shared" si="16"/>
        <v>0</v>
      </c>
      <c r="DB39" s="82">
        <f t="shared" si="17"/>
        <v>0</v>
      </c>
      <c r="DC39" s="82">
        <f t="shared" si="18"/>
        <v>239</v>
      </c>
      <c r="DD39" s="82">
        <f t="shared" si="19"/>
        <v>44</v>
      </c>
      <c r="DF39" s="82" t="str">
        <f t="shared" si="20"/>
        <v>Merritt A A</v>
      </c>
    </row>
    <row r="40" spans="1:110" x14ac:dyDescent="0.15">
      <c r="A40" s="82" t="str">
        <f t="shared" si="13"/>
        <v>JEMI</v>
      </c>
      <c r="B40" s="82" t="s">
        <v>46</v>
      </c>
      <c r="C40" s="82" t="s">
        <v>1068</v>
      </c>
      <c r="H40" s="82" t="s">
        <v>333</v>
      </c>
      <c r="R40" s="82" t="s">
        <v>457</v>
      </c>
      <c r="U40" s="82" t="s">
        <v>566</v>
      </c>
      <c r="AD40" s="82" t="s">
        <v>659</v>
      </c>
      <c r="AI40" s="82" t="s">
        <v>660</v>
      </c>
      <c r="AJ40" s="82" t="s">
        <v>725</v>
      </c>
      <c r="AL40" s="82" t="s">
        <v>835</v>
      </c>
      <c r="AV40" s="82" t="s">
        <v>938</v>
      </c>
      <c r="BO40" s="87"/>
      <c r="CE40" s="82">
        <f t="shared" si="47"/>
        <v>8</v>
      </c>
      <c r="CF40" s="82">
        <f t="shared" ref="CF40:CF47" si="49">CE40-CG40</f>
        <v>1</v>
      </c>
      <c r="CG40" s="82">
        <f t="shared" ref="CG40:CG47" si="50">BatSplit(D40:CD40,InnsBattedIn)</f>
        <v>7</v>
      </c>
      <c r="CH40" s="82">
        <f t="shared" ref="CH40:CH47" si="51">BatSplit(D40:CD40,NotOuts)</f>
        <v>3</v>
      </c>
      <c r="CI40" s="82">
        <f t="shared" ref="CI40:CI47" si="52">BatSplit(D40:CD40,HighestScore)</f>
        <v>96</v>
      </c>
      <c r="CJ40" s="86">
        <f t="shared" si="14"/>
        <v>96</v>
      </c>
      <c r="CK40" s="82">
        <f t="shared" si="48"/>
        <v>128</v>
      </c>
      <c r="CL40" s="84">
        <f t="shared" si="15"/>
        <v>32</v>
      </c>
      <c r="CM40" s="82">
        <f t="shared" ref="CM40:CM47" si="53">BatSplit(D40:CD40,BatPts)</f>
        <v>163</v>
      </c>
      <c r="CN40" s="82">
        <f t="shared" ref="CN40:CN47" si="54">BatSplit(D40:CD40,FldPts)</f>
        <v>45</v>
      </c>
      <c r="CO40" s="85">
        <f t="array" ref="CO40">SUM(IF(ISERR(FIND("*",D40:CD40)),0,1))</f>
        <v>0</v>
      </c>
      <c r="CP40" s="85">
        <f t="array" ref="CP40">SUM(IF(ISERR(FIND("+",D40:CD40)),0,1))</f>
        <v>0</v>
      </c>
      <c r="CQ40" s="82">
        <f t="shared" ref="CQ40:CQ47" si="55">BatSplit(D40:CD40,Ducks)</f>
        <v>3</v>
      </c>
      <c r="CR40" s="85">
        <f t="array" ref="CR40">SUM(IF(ISERR(FIND(CR$4,$D40:$CD40)),0,1))</f>
        <v>2</v>
      </c>
      <c r="CS40" s="85">
        <f t="array" ref="CS40">SUM(IF(ISERR(FIND(CS$4,$D40:$CD40)),0,1))</f>
        <v>0</v>
      </c>
      <c r="CT40" s="85">
        <f t="array" ref="CT40">SUM(IF(ISERR(FIND(CT$4,$D40:$CD40)),0,1))</f>
        <v>2</v>
      </c>
      <c r="CU40" s="85">
        <f t="array" ref="CU40">SUM(IF(ISERR(FIND(CU$4,$D40:$CD40)),0,1))</f>
        <v>0</v>
      </c>
      <c r="CV40" s="85">
        <f t="array" ref="CV40">SUM(IF(ISERR(FIND(CV$4,$D40:$CD40)),0,1))</f>
        <v>0</v>
      </c>
      <c r="CW40" s="82">
        <f t="shared" ref="CW40:CW47" si="56">BatSplit(D40:CD40,Catches)</f>
        <v>9</v>
      </c>
      <c r="CX40" s="82">
        <f t="shared" ref="CX40:CX47" si="57">BatSplit(D40:CD40,Fours)</f>
        <v>13</v>
      </c>
      <c r="CY40" s="82">
        <f t="shared" ref="CY40:CY47" si="58">BatSplit(D40:CD40,Sixes)</f>
        <v>2</v>
      </c>
      <c r="CZ40" s="82">
        <f t="shared" ref="CZ40:CZ47" si="59">BatSplit(D40:CD40,Stumpings)</f>
        <v>0</v>
      </c>
      <c r="DA40" s="82">
        <f t="shared" si="16"/>
        <v>0</v>
      </c>
      <c r="DB40" s="82">
        <f t="shared" si="17"/>
        <v>1</v>
      </c>
      <c r="DC40" s="82">
        <f t="shared" si="18"/>
        <v>3200840</v>
      </c>
      <c r="DD40" s="82">
        <f t="shared" si="19"/>
        <v>3</v>
      </c>
      <c r="DE40" s="82">
        <v>1</v>
      </c>
      <c r="DF40" s="82" t="str">
        <f t="shared" si="20"/>
        <v>Middleton J J</v>
      </c>
    </row>
    <row r="41" spans="1:110" x14ac:dyDescent="0.15">
      <c r="A41" s="82" t="str">
        <f t="shared" si="13"/>
        <v>DAMO</v>
      </c>
      <c r="B41" s="82" t="s">
        <v>49</v>
      </c>
      <c r="C41" s="82" t="s">
        <v>93</v>
      </c>
      <c r="E41" s="82" t="s">
        <v>307</v>
      </c>
      <c r="G41" s="82" t="s">
        <v>391</v>
      </c>
      <c r="J41" s="82" t="s">
        <v>461</v>
      </c>
      <c r="K41" s="82" t="s">
        <v>409</v>
      </c>
      <c r="M41" s="82" t="s">
        <v>486</v>
      </c>
      <c r="N41" s="82" t="s">
        <v>335</v>
      </c>
      <c r="O41" s="82" t="s">
        <v>597</v>
      </c>
      <c r="Q41" s="82" t="s">
        <v>526</v>
      </c>
      <c r="T41" s="82" t="s">
        <v>610</v>
      </c>
      <c r="Z41" s="82" t="s">
        <v>671</v>
      </c>
      <c r="AC41" s="82" t="s">
        <v>687</v>
      </c>
      <c r="AK41" s="82" t="s">
        <v>754</v>
      </c>
      <c r="AM41" s="82" t="s">
        <v>360</v>
      </c>
      <c r="AN41" s="82" t="s">
        <v>526</v>
      </c>
      <c r="AP41" s="82" t="s">
        <v>877</v>
      </c>
      <c r="AQ41" s="82" t="s">
        <v>897</v>
      </c>
      <c r="AR41" s="82" t="s">
        <v>779</v>
      </c>
      <c r="AS41" s="82" t="s">
        <v>915</v>
      </c>
      <c r="AV41" s="82" t="s">
        <v>432</v>
      </c>
      <c r="AW41" s="82" t="s">
        <v>950</v>
      </c>
      <c r="AY41" s="82" t="s">
        <v>975</v>
      </c>
      <c r="BC41" s="82" t="s">
        <v>610</v>
      </c>
      <c r="BE41" s="82" t="s">
        <v>459</v>
      </c>
      <c r="CE41" s="82">
        <f t="shared" si="47"/>
        <v>23</v>
      </c>
      <c r="CF41" s="82">
        <f t="shared" si="49"/>
        <v>8</v>
      </c>
      <c r="CG41" s="82">
        <f t="shared" si="50"/>
        <v>15</v>
      </c>
      <c r="CH41" s="82">
        <f t="shared" si="51"/>
        <v>4</v>
      </c>
      <c r="CI41" s="82">
        <f t="shared" si="52"/>
        <v>19</v>
      </c>
      <c r="CJ41" s="86">
        <f t="shared" si="14"/>
        <v>19</v>
      </c>
      <c r="CK41" s="82">
        <f t="shared" si="48"/>
        <v>81</v>
      </c>
      <c r="CL41" s="84">
        <f t="shared" si="15"/>
        <v>7.3636363636363633</v>
      </c>
      <c r="CM41" s="82">
        <f t="shared" si="53"/>
        <v>176</v>
      </c>
      <c r="CN41" s="82">
        <f t="shared" si="54"/>
        <v>15</v>
      </c>
      <c r="CO41" s="85">
        <f t="array" ref="CO41">SUM(IF(ISERR(FIND("*",D41:CD41)),0,1))</f>
        <v>8</v>
      </c>
      <c r="CP41" s="85">
        <f t="array" ref="CP41">SUM(IF(ISERR(FIND("+",D41:CD41)),0,1))</f>
        <v>0</v>
      </c>
      <c r="CQ41" s="82">
        <f t="shared" si="55"/>
        <v>4</v>
      </c>
      <c r="CR41" s="85">
        <f t="array" ref="CR41">SUM(IF(ISERR(FIND(CR$4,$D41:$CD41)),0,1))</f>
        <v>5</v>
      </c>
      <c r="CS41" s="85">
        <f t="array" ref="CS41">SUM(IF(ISERR(FIND(CS$4,$D41:$CD41)),0,1))</f>
        <v>4</v>
      </c>
      <c r="CT41" s="85">
        <f t="array" ref="CT41">SUM(IF(ISERR(FIND(CT$4,$D41:$CD41)),0,1))</f>
        <v>2</v>
      </c>
      <c r="CU41" s="85">
        <f t="array" ref="CU41">SUM(IF(ISERR(FIND(CU$4,$D41:$CD41)),0,1))</f>
        <v>0</v>
      </c>
      <c r="CV41" s="85">
        <f t="array" ref="CV41">SUM(IF(ISERR(FIND(CV$4,$D41:$CD41)),0,1))</f>
        <v>0</v>
      </c>
      <c r="CW41" s="82">
        <f t="shared" si="56"/>
        <v>3</v>
      </c>
      <c r="CX41" s="82">
        <f t="shared" si="57"/>
        <v>9</v>
      </c>
      <c r="CY41" s="82">
        <f t="shared" si="58"/>
        <v>0</v>
      </c>
      <c r="CZ41" s="82">
        <f t="shared" si="59"/>
        <v>0</v>
      </c>
      <c r="DA41" s="82">
        <f t="shared" si="16"/>
        <v>0</v>
      </c>
      <c r="DB41" s="82">
        <f t="shared" si="17"/>
        <v>0</v>
      </c>
      <c r="DC41" s="82">
        <f t="shared" si="18"/>
        <v>738341</v>
      </c>
      <c r="DD41" s="82">
        <f t="shared" si="19"/>
        <v>29</v>
      </c>
      <c r="DF41" s="82" t="str">
        <f t="shared" si="20"/>
        <v>Morris D D</v>
      </c>
    </row>
    <row r="42" spans="1:110" x14ac:dyDescent="0.15">
      <c r="B42" s="82" t="s">
        <v>27</v>
      </c>
      <c r="C42" s="82" t="s">
        <v>1069</v>
      </c>
      <c r="AP42" s="82" t="s">
        <v>1092</v>
      </c>
      <c r="CE42" s="82">
        <f>BatSplit(D42:CD42,MatchesPlayed)</f>
        <v>1</v>
      </c>
      <c r="CF42" s="82">
        <f>CE42-CG42</f>
        <v>0</v>
      </c>
      <c r="CG42" s="82">
        <f>BatSplit(D42:CD42,InnsBattedIn)</f>
        <v>1</v>
      </c>
      <c r="CH42" s="82">
        <f>BatSplit(D42:CD42,NotOuts)</f>
        <v>0</v>
      </c>
      <c r="CI42" s="82">
        <f>BatSplit(D42:CD42,HighestScore)</f>
        <v>2</v>
      </c>
      <c r="CJ42" s="86">
        <f t="shared" si="14"/>
        <v>2</v>
      </c>
      <c r="CK42" s="82">
        <f>BatSplit(D42:CD42,RunsScored)</f>
        <v>2</v>
      </c>
      <c r="CL42" s="84">
        <f>IF(CG42=CH42,0,CK42/(CG42-CH42))</f>
        <v>2</v>
      </c>
      <c r="CM42" s="82">
        <f>BatSplit(D42:CD42,BatPts)</f>
        <v>7</v>
      </c>
      <c r="CN42" s="82">
        <f>BatSplit(D42:CD42,FldPts)</f>
        <v>0</v>
      </c>
      <c r="CO42" s="85">
        <f t="array" ref="CO42">SUM(IF(ISERR(FIND("*",D42:CD42)),0,1))</f>
        <v>0</v>
      </c>
      <c r="CP42" s="85">
        <f t="array" ref="CP42">SUM(IF(ISERR(FIND("+",D42:CD42)),0,1))</f>
        <v>0</v>
      </c>
      <c r="CQ42" s="82">
        <f>BatSplit(D42:CD42,Ducks)</f>
        <v>0</v>
      </c>
      <c r="CR42" s="85">
        <f t="array" ref="CR42">SUM(IF(ISERR(FIND(CR$4,$D42:$CD42)),0,1))</f>
        <v>0</v>
      </c>
      <c r="CS42" s="85">
        <f t="array" ref="CS42">SUM(IF(ISERR(FIND(CS$4,$D42:$CD42)),0,1))</f>
        <v>1</v>
      </c>
      <c r="CT42" s="85">
        <f t="array" ref="CT42">SUM(IF(ISERR(FIND(CT$4,$D42:$CD42)),0,1))</f>
        <v>0</v>
      </c>
      <c r="CU42" s="85">
        <f t="array" ref="CU42">SUM(IF(ISERR(FIND(CU$4,$D42:$CD42)),0,1))</f>
        <v>0</v>
      </c>
      <c r="CV42" s="85">
        <f t="array" ref="CV42">SUM(IF(ISERR(FIND(CV$4,$D42:$CD42)),0,1))</f>
        <v>0</v>
      </c>
      <c r="CW42" s="82">
        <f>BatSplit(D42:CD42,Catches)</f>
        <v>0</v>
      </c>
      <c r="CX42" s="82">
        <f>BatSplit(D42:CD42,Fours)</f>
        <v>0</v>
      </c>
      <c r="CY42" s="82">
        <f>BatSplit(D42:CD42,Sixes)</f>
        <v>0</v>
      </c>
      <c r="CZ42" s="82">
        <f>BatSplit(D42:CD42,Stumpings)</f>
        <v>0</v>
      </c>
      <c r="DA42" s="82">
        <f>BatSplit(D42:CD42,CaughtWkt)</f>
        <v>0</v>
      </c>
      <c r="DB42" s="82">
        <f>BatSplit(D42:CD42,TwentyFives)</f>
        <v>0</v>
      </c>
      <c r="DC42" s="82">
        <f>ROUND(IF(ISERROR(CL42),0,CL42),2)*100000+CE42*100+ROW(DB42)</f>
        <v>200142</v>
      </c>
      <c r="DD42" s="82">
        <f t="shared" si="19"/>
        <v>39</v>
      </c>
      <c r="DF42" s="82" t="str">
        <f t="shared" si="20"/>
        <v>O'Connor J J</v>
      </c>
    </row>
    <row r="43" spans="1:110" x14ac:dyDescent="0.15">
      <c r="A43" s="82" t="str">
        <f t="shared" si="13"/>
        <v>PAOA</v>
      </c>
      <c r="B43" s="82" t="s">
        <v>43</v>
      </c>
      <c r="C43" s="82" t="s">
        <v>1070</v>
      </c>
      <c r="E43" s="82" t="s">
        <v>298</v>
      </c>
      <c r="H43" s="82" t="s">
        <v>330</v>
      </c>
      <c r="I43" s="82" t="s">
        <v>398</v>
      </c>
      <c r="K43" s="82" t="s">
        <v>411</v>
      </c>
      <c r="M43" s="82" t="s">
        <v>478</v>
      </c>
      <c r="R43" s="82" t="s">
        <v>552</v>
      </c>
      <c r="T43" s="82" t="s">
        <v>605</v>
      </c>
      <c r="U43" s="82" t="s">
        <v>493</v>
      </c>
      <c r="W43" s="82" t="s">
        <v>481</v>
      </c>
      <c r="AA43" s="82" t="s">
        <v>637</v>
      </c>
      <c r="AB43" s="82" t="s">
        <v>779</v>
      </c>
      <c r="AD43" s="82" t="s">
        <v>459</v>
      </c>
      <c r="AF43" s="82" t="s">
        <v>694</v>
      </c>
      <c r="AH43" s="82" t="s">
        <v>750</v>
      </c>
      <c r="AI43" s="82" t="s">
        <v>359</v>
      </c>
      <c r="AL43" s="82" t="s">
        <v>830</v>
      </c>
      <c r="AN43" s="82" t="s">
        <v>459</v>
      </c>
      <c r="AP43" s="82" t="s">
        <v>1091</v>
      </c>
      <c r="AR43" s="82" t="s">
        <v>902</v>
      </c>
      <c r="AY43" s="82" t="s">
        <v>588</v>
      </c>
      <c r="BC43" s="82" t="s">
        <v>983</v>
      </c>
      <c r="CE43" s="82">
        <f t="shared" si="47"/>
        <v>21</v>
      </c>
      <c r="CF43" s="82">
        <f t="shared" si="49"/>
        <v>3</v>
      </c>
      <c r="CG43" s="82">
        <f t="shared" si="50"/>
        <v>18</v>
      </c>
      <c r="CH43" s="82">
        <f t="shared" si="51"/>
        <v>1</v>
      </c>
      <c r="CI43" s="82">
        <f t="shared" si="52"/>
        <v>27</v>
      </c>
      <c r="CJ43" s="86">
        <f t="shared" si="14"/>
        <v>27</v>
      </c>
      <c r="CK43" s="82">
        <f t="shared" si="48"/>
        <v>83</v>
      </c>
      <c r="CL43" s="84">
        <f t="shared" si="15"/>
        <v>4.882352941176471</v>
      </c>
      <c r="CM43" s="82">
        <f t="shared" si="53"/>
        <v>163</v>
      </c>
      <c r="CN43" s="82">
        <f t="shared" si="54"/>
        <v>5</v>
      </c>
      <c r="CO43" s="85">
        <f t="array" ref="CO43">SUM(IF(ISERR(FIND("*",D43:CD43)),0,1))</f>
        <v>0</v>
      </c>
      <c r="CP43" s="85">
        <f t="array" ref="CP43">SUM(IF(ISERR(FIND("+",D43:CD43)),0,1))</f>
        <v>0</v>
      </c>
      <c r="CQ43" s="82">
        <f t="shared" si="55"/>
        <v>5</v>
      </c>
      <c r="CR43" s="85">
        <f t="array" ref="CR43">SUM(IF(ISERR(FIND(CR$4,$D43:$CD43)),0,1))</f>
        <v>7</v>
      </c>
      <c r="CS43" s="85">
        <f t="array" ref="CS43">SUM(IF(ISERR(FIND(CS$4,$D43:$CD43)),0,1))</f>
        <v>8</v>
      </c>
      <c r="CT43" s="85">
        <f t="array" ref="CT43">SUM(IF(ISERR(FIND(CT$4,$D43:$CD43)),0,1))</f>
        <v>1</v>
      </c>
      <c r="CU43" s="85">
        <f t="array" ref="CU43">SUM(IF(ISERR(FIND(CU$4,$D43:$CD43)),0,1))</f>
        <v>0</v>
      </c>
      <c r="CV43" s="85">
        <f t="array" ref="CV43">SUM(IF(ISERR(FIND(CV$4,$D43:$CD43)),0,1))</f>
        <v>1</v>
      </c>
      <c r="CW43" s="82">
        <f t="shared" si="56"/>
        <v>1</v>
      </c>
      <c r="CX43" s="82">
        <f t="shared" si="57"/>
        <v>4</v>
      </c>
      <c r="CY43" s="82">
        <f t="shared" si="58"/>
        <v>0</v>
      </c>
      <c r="CZ43" s="82">
        <f t="shared" si="59"/>
        <v>0</v>
      </c>
      <c r="DA43" s="82">
        <f t="shared" si="16"/>
        <v>0</v>
      </c>
      <c r="DB43" s="82">
        <f t="shared" si="17"/>
        <v>1</v>
      </c>
      <c r="DC43" s="82">
        <f t="shared" si="18"/>
        <v>490143</v>
      </c>
      <c r="DD43" s="82">
        <f t="shared" si="19"/>
        <v>32</v>
      </c>
      <c r="DF43" s="82" t="str">
        <f t="shared" si="20"/>
        <v>Oakes P P</v>
      </c>
    </row>
    <row r="44" spans="1:110" x14ac:dyDescent="0.15">
      <c r="A44" s="82" t="str">
        <f t="shared" si="13"/>
        <v>NAPA</v>
      </c>
      <c r="B44" s="82" t="s">
        <v>50</v>
      </c>
      <c r="C44" s="82" t="s">
        <v>1071</v>
      </c>
      <c r="I44" s="82" t="s">
        <v>394</v>
      </c>
      <c r="L44" s="82" t="s">
        <v>428</v>
      </c>
      <c r="V44" s="82" t="s">
        <v>781</v>
      </c>
      <c r="Z44" s="82" t="s">
        <v>665</v>
      </c>
      <c r="AC44" s="82" t="s">
        <v>681</v>
      </c>
      <c r="AF44" s="82" t="s">
        <v>696</v>
      </c>
      <c r="AK44" s="82" t="s">
        <v>753</v>
      </c>
      <c r="AM44" s="82" t="s">
        <v>851</v>
      </c>
      <c r="AO44" s="82" t="s">
        <v>865</v>
      </c>
      <c r="AS44" s="82" t="s">
        <v>911</v>
      </c>
      <c r="BB44" s="82" t="s">
        <v>1012</v>
      </c>
      <c r="BE44" s="82" t="s">
        <v>997</v>
      </c>
      <c r="CE44" s="82">
        <f t="shared" si="47"/>
        <v>12</v>
      </c>
      <c r="CF44" s="82">
        <f t="shared" si="49"/>
        <v>0</v>
      </c>
      <c r="CG44" s="82">
        <f t="shared" si="50"/>
        <v>12</v>
      </c>
      <c r="CH44" s="82">
        <f t="shared" si="51"/>
        <v>1</v>
      </c>
      <c r="CI44" s="82">
        <f t="shared" si="52"/>
        <v>19</v>
      </c>
      <c r="CJ44" s="86">
        <f t="shared" si="14"/>
        <v>19</v>
      </c>
      <c r="CK44" s="82">
        <f t="shared" si="48"/>
        <v>96</v>
      </c>
      <c r="CL44" s="84">
        <f t="shared" si="15"/>
        <v>8.7272727272727266</v>
      </c>
      <c r="CM44" s="82">
        <f t="shared" si="53"/>
        <v>151</v>
      </c>
      <c r="CN44" s="82">
        <f t="shared" si="54"/>
        <v>10</v>
      </c>
      <c r="CO44" s="85">
        <f t="array" ref="CO44">SUM(IF(ISERR(FIND("*",D44:CD44)),0,1))</f>
        <v>0</v>
      </c>
      <c r="CP44" s="85">
        <f t="array" ref="CP44">SUM(IF(ISERR(FIND("+",D44:CD44)),0,1))</f>
        <v>0</v>
      </c>
      <c r="CQ44" s="82">
        <f t="shared" si="55"/>
        <v>1</v>
      </c>
      <c r="CR44" s="85">
        <f t="array" ref="CR44">SUM(IF(ISERR(FIND(CR$4,$D44:$CD44)),0,1))</f>
        <v>2</v>
      </c>
      <c r="CS44" s="85">
        <f t="array" ref="CS44">SUM(IF(ISERR(FIND(CS$4,$D44:$CD44)),0,1))</f>
        <v>5</v>
      </c>
      <c r="CT44" s="85">
        <f t="array" ref="CT44">SUM(IF(ISERR(FIND(CT$4,$D44:$CD44)),0,1))</f>
        <v>2</v>
      </c>
      <c r="CU44" s="85">
        <f t="array" ref="CU44">SUM(IF(ISERR(FIND(CU$4,$D44:$CD44)),0,1))</f>
        <v>0</v>
      </c>
      <c r="CV44" s="85">
        <f t="array" ref="CV44">SUM(IF(ISERR(FIND(CV$4,$D44:$CD44)),0,1))</f>
        <v>2</v>
      </c>
      <c r="CW44" s="82">
        <f t="shared" si="56"/>
        <v>2</v>
      </c>
      <c r="CX44" s="82">
        <f t="shared" si="57"/>
        <v>9</v>
      </c>
      <c r="CY44" s="82">
        <f t="shared" si="58"/>
        <v>1</v>
      </c>
      <c r="CZ44" s="82">
        <f t="shared" si="59"/>
        <v>0</v>
      </c>
      <c r="DA44" s="82">
        <f t="shared" si="16"/>
        <v>0</v>
      </c>
      <c r="DB44" s="82">
        <f t="shared" si="17"/>
        <v>0</v>
      </c>
      <c r="DC44" s="82">
        <f t="shared" si="18"/>
        <v>874244</v>
      </c>
      <c r="DD44" s="82">
        <f t="shared" si="19"/>
        <v>26</v>
      </c>
      <c r="DF44" s="82" t="str">
        <f t="shared" si="20"/>
        <v>Patel N N</v>
      </c>
    </row>
    <row r="45" spans="1:110" x14ac:dyDescent="0.15">
      <c r="B45" s="82" t="s">
        <v>303</v>
      </c>
      <c r="C45" s="82" t="s">
        <v>1072</v>
      </c>
      <c r="E45" s="82" t="s">
        <v>304</v>
      </c>
      <c r="I45" s="82" t="s">
        <v>396</v>
      </c>
      <c r="K45" s="82" t="s">
        <v>412</v>
      </c>
      <c r="U45" s="82" t="s">
        <v>569</v>
      </c>
      <c r="W45" s="105" t="s">
        <v>1031</v>
      </c>
      <c r="Z45" s="82" t="s">
        <v>670</v>
      </c>
      <c r="AB45" s="82" t="s">
        <v>778</v>
      </c>
      <c r="AF45" s="82" t="s">
        <v>695</v>
      </c>
      <c r="AK45" s="82" t="s">
        <v>760</v>
      </c>
      <c r="AQ45" s="82" t="s">
        <v>893</v>
      </c>
      <c r="AY45" s="82" t="s">
        <v>569</v>
      </c>
      <c r="CE45" s="82">
        <f>BatSplit(D45:CD45,MatchesPlayed)</f>
        <v>11</v>
      </c>
      <c r="CF45" s="82">
        <f>CE45-CG45</f>
        <v>0</v>
      </c>
      <c r="CG45" s="82">
        <f>BatSplit(D45:CD45,InnsBattedIn)</f>
        <v>11</v>
      </c>
      <c r="CH45" s="82">
        <f>BatSplit(D45:CD45,NotOuts)</f>
        <v>1</v>
      </c>
      <c r="CI45" s="82">
        <f>BatSplit(D45:CD45,HighestScore)</f>
        <v>49</v>
      </c>
      <c r="CJ45" s="86">
        <f t="shared" si="14"/>
        <v>49</v>
      </c>
      <c r="CK45" s="82">
        <f>BatSplit(D45:CD45,RunsScored)</f>
        <v>135</v>
      </c>
      <c r="CL45" s="84">
        <f t="shared" si="15"/>
        <v>13.5</v>
      </c>
      <c r="CM45" s="82">
        <f>BatSplit(D45:CD45,BatPts)</f>
        <v>175</v>
      </c>
      <c r="CN45" s="82">
        <f>BatSplit(D45:CD45,FldPts)</f>
        <v>10</v>
      </c>
      <c r="CO45" s="85">
        <f t="array" ref="CO45">SUM(IF(ISERR(FIND("*",D45:CD45)),0,1))</f>
        <v>0</v>
      </c>
      <c r="CP45" s="85">
        <f t="array" ref="CP45">SUM(IF(ISERR(FIND("+",D45:CD45)),0,1))</f>
        <v>0</v>
      </c>
      <c r="CQ45" s="82">
        <f>BatSplit(D45:CD45,Ducks)</f>
        <v>3</v>
      </c>
      <c r="CR45" s="85">
        <f t="array" ref="CR45">SUM(IF(ISERR(FIND(CR$4,$D45:$CD45)),0,1))</f>
        <v>7</v>
      </c>
      <c r="CS45" s="85">
        <f t="array" ref="CS45">SUM(IF(ISERR(FIND(CS$4,$D45:$CD45)),0,1))</f>
        <v>2</v>
      </c>
      <c r="CT45" s="85">
        <f t="array" ref="CT45">SUM(IF(ISERR(FIND(CT$4,$D45:$CD45)),0,1))</f>
        <v>0</v>
      </c>
      <c r="CU45" s="85">
        <f t="array" ref="CU45">SUM(IF(ISERR(FIND(CU$4,$D45:$CD45)),0,1))</f>
        <v>0</v>
      </c>
      <c r="CV45" s="85">
        <f t="array" ref="CV45">SUM(IF(ISERR(FIND(CV$4,$D45:$CD45)),0,1))</f>
        <v>1</v>
      </c>
      <c r="CW45" s="82">
        <f>BatSplit(D45:CD45,Catches)</f>
        <v>2</v>
      </c>
      <c r="CX45" s="82">
        <f>BatSplit(D45:CD45,Fours)</f>
        <v>18</v>
      </c>
      <c r="CY45" s="82">
        <f>BatSplit(D45:CD45,Sixes)</f>
        <v>0</v>
      </c>
      <c r="CZ45" s="82">
        <f>BatSplit(D45:CD45,Stumpings)</f>
        <v>0</v>
      </c>
      <c r="DA45" s="82">
        <f>BatSplit(D45:CD45,CaughtWkt)</f>
        <v>0</v>
      </c>
      <c r="DB45" s="82">
        <f>BatSplit(D45:CD45,TwentyFives)</f>
        <v>2</v>
      </c>
      <c r="DC45" s="82">
        <f t="shared" si="18"/>
        <v>1351145</v>
      </c>
      <c r="DD45" s="82">
        <f t="shared" si="19"/>
        <v>15</v>
      </c>
      <c r="DF45" s="82" t="str">
        <f t="shared" si="20"/>
        <v>Porter D D</v>
      </c>
    </row>
    <row r="46" spans="1:110" x14ac:dyDescent="0.15">
      <c r="A46" s="82" t="str">
        <f t="shared" si="13"/>
        <v>VIRE</v>
      </c>
      <c r="B46" s="82" t="s">
        <v>52</v>
      </c>
      <c r="C46" s="82" t="s">
        <v>1073</v>
      </c>
      <c r="E46" s="82" t="s">
        <v>300</v>
      </c>
      <c r="H46" s="82" t="s">
        <v>329</v>
      </c>
      <c r="I46" s="82" t="s">
        <v>395</v>
      </c>
      <c r="M46" s="82" t="s">
        <v>477</v>
      </c>
      <c r="O46" s="82" t="s">
        <v>508</v>
      </c>
      <c r="P46" s="82" t="s">
        <v>520</v>
      </c>
      <c r="T46" s="82" t="s">
        <v>608</v>
      </c>
      <c r="W46" s="82" t="s">
        <v>615</v>
      </c>
      <c r="Z46" s="82" t="s">
        <v>664</v>
      </c>
      <c r="AB46" s="82" t="s">
        <v>637</v>
      </c>
      <c r="AF46" s="82" t="s">
        <v>698</v>
      </c>
      <c r="AI46" s="82" t="s">
        <v>717</v>
      </c>
      <c r="AJ46" s="82" t="s">
        <v>727</v>
      </c>
      <c r="AL46" s="82" t="s">
        <v>828</v>
      </c>
      <c r="AN46" s="82" t="s">
        <v>713</v>
      </c>
      <c r="AP46" s="82" t="s">
        <v>412</v>
      </c>
      <c r="AR46" s="82" t="s">
        <v>906</v>
      </c>
      <c r="CE46" s="82">
        <f t="shared" si="47"/>
        <v>17</v>
      </c>
      <c r="CF46" s="82">
        <f t="shared" si="49"/>
        <v>2</v>
      </c>
      <c r="CG46" s="82">
        <f t="shared" si="50"/>
        <v>15</v>
      </c>
      <c r="CH46" s="82">
        <f t="shared" si="51"/>
        <v>1</v>
      </c>
      <c r="CI46" s="82">
        <f t="shared" si="52"/>
        <v>-62</v>
      </c>
      <c r="CJ46" s="86" t="str">
        <f t="shared" si="14"/>
        <v>62*</v>
      </c>
      <c r="CK46" s="82">
        <f t="shared" si="48"/>
        <v>158</v>
      </c>
      <c r="CL46" s="84">
        <f t="shared" si="15"/>
        <v>11.285714285714286</v>
      </c>
      <c r="CM46" s="82">
        <f t="shared" si="53"/>
        <v>233</v>
      </c>
      <c r="CN46" s="82">
        <f t="shared" si="54"/>
        <v>45</v>
      </c>
      <c r="CO46" s="85">
        <f t="array" ref="CO46">SUM(IF(ISERR(FIND("*",D46:CD46)),0,1))</f>
        <v>0</v>
      </c>
      <c r="CP46" s="85">
        <f t="array" ref="CP46">SUM(IF(ISERR(FIND("+",D46:CD46)),0,1))</f>
        <v>0</v>
      </c>
      <c r="CQ46" s="82">
        <f t="shared" si="55"/>
        <v>4</v>
      </c>
      <c r="CR46" s="85">
        <f t="array" ref="CR46">SUM(IF(ISERR(FIND(CR$4,$D46:$CD46)),0,1))</f>
        <v>7</v>
      </c>
      <c r="CS46" s="85">
        <f t="array" ref="CS46">SUM(IF(ISERR(FIND(CS$4,$D46:$CD46)),0,1))</f>
        <v>6</v>
      </c>
      <c r="CT46" s="85">
        <f t="array" ref="CT46">SUM(IF(ISERR(FIND(CT$4,$D46:$CD46)),0,1))</f>
        <v>0</v>
      </c>
      <c r="CU46" s="85">
        <f t="array" ref="CU46">SUM(IF(ISERR(FIND(CU$4,$D46:$CD46)),0,1))</f>
        <v>1</v>
      </c>
      <c r="CV46" s="85">
        <f t="array" ref="CV46">SUM(IF(ISERR(FIND(CV$4,$D46:$CD46)),0,1))</f>
        <v>0</v>
      </c>
      <c r="CW46" s="82">
        <f t="shared" si="56"/>
        <v>9</v>
      </c>
      <c r="CX46" s="82">
        <f t="shared" si="57"/>
        <v>18</v>
      </c>
      <c r="CY46" s="82">
        <f t="shared" si="58"/>
        <v>0</v>
      </c>
      <c r="CZ46" s="82">
        <f t="shared" si="59"/>
        <v>0</v>
      </c>
      <c r="DA46" s="82">
        <f t="shared" si="16"/>
        <v>0</v>
      </c>
      <c r="DB46" s="82">
        <f t="shared" si="17"/>
        <v>1</v>
      </c>
      <c r="DC46" s="82">
        <f t="shared" si="18"/>
        <v>1130746</v>
      </c>
      <c r="DD46" s="82">
        <f t="shared" si="19"/>
        <v>19</v>
      </c>
      <c r="DF46" s="82" t="str">
        <f t="shared" si="20"/>
        <v>Reid V V</v>
      </c>
    </row>
    <row r="47" spans="1:110" x14ac:dyDescent="0.15">
      <c r="A47" s="82" t="str">
        <f t="shared" si="13"/>
        <v>DASH</v>
      </c>
      <c r="B47" s="82" t="s">
        <v>30</v>
      </c>
      <c r="C47" s="82" t="s">
        <v>1074</v>
      </c>
      <c r="F47" s="82" t="s">
        <v>351</v>
      </c>
      <c r="J47" s="82" t="s">
        <v>453</v>
      </c>
      <c r="L47" s="82" t="s">
        <v>426</v>
      </c>
      <c r="P47" s="82" t="s">
        <v>521</v>
      </c>
      <c r="S47" s="82" t="s">
        <v>583</v>
      </c>
      <c r="V47" s="82" t="s">
        <v>783</v>
      </c>
      <c r="AB47" s="82" t="s">
        <v>774</v>
      </c>
      <c r="AD47" s="82" t="s">
        <v>658</v>
      </c>
      <c r="AE47" s="82" t="s">
        <v>764</v>
      </c>
      <c r="AH47" s="82" t="s">
        <v>744</v>
      </c>
      <c r="AI47" s="82" t="s">
        <v>713</v>
      </c>
      <c r="AL47" s="82" t="s">
        <v>833</v>
      </c>
      <c r="AM47" s="82" t="s">
        <v>848</v>
      </c>
      <c r="AN47" s="82" t="s">
        <v>844</v>
      </c>
      <c r="AS47" s="82" t="s">
        <v>908</v>
      </c>
      <c r="AV47" s="82" t="s">
        <v>935</v>
      </c>
      <c r="BE47" s="82" t="s">
        <v>998</v>
      </c>
      <c r="CE47" s="82">
        <f t="shared" si="47"/>
        <v>17</v>
      </c>
      <c r="CF47" s="82">
        <f t="shared" si="49"/>
        <v>2</v>
      </c>
      <c r="CG47" s="82">
        <f t="shared" si="50"/>
        <v>15</v>
      </c>
      <c r="CH47" s="82">
        <f t="shared" si="51"/>
        <v>2</v>
      </c>
      <c r="CI47" s="82">
        <f t="shared" si="52"/>
        <v>61</v>
      </c>
      <c r="CJ47" s="86">
        <f t="shared" si="14"/>
        <v>61</v>
      </c>
      <c r="CK47" s="82">
        <f t="shared" si="48"/>
        <v>455</v>
      </c>
      <c r="CL47" s="84">
        <f t="shared" si="15"/>
        <v>35</v>
      </c>
      <c r="CM47" s="82">
        <f t="shared" si="53"/>
        <v>580</v>
      </c>
      <c r="CN47" s="82">
        <f t="shared" si="54"/>
        <v>21</v>
      </c>
      <c r="CO47" s="85">
        <f t="array" ref="CO47">SUM(IF(ISERR(FIND("*",D47:CD47)),0,1))</f>
        <v>0</v>
      </c>
      <c r="CP47" s="85">
        <f t="array" ref="CP47">SUM(IF(ISERR(FIND("+",D47:CD47)),0,1))</f>
        <v>5</v>
      </c>
      <c r="CQ47" s="82">
        <f t="shared" si="55"/>
        <v>2</v>
      </c>
      <c r="CR47" s="85">
        <f t="array" ref="CR47">SUM(IF(ISERR(FIND(CR$4,$D47:$CD47)),0,1))</f>
        <v>4</v>
      </c>
      <c r="CS47" s="85">
        <f t="array" ref="CS47">SUM(IF(ISERR(FIND(CS$4,$D47:$CD47)),0,1))</f>
        <v>6</v>
      </c>
      <c r="CT47" s="85">
        <f t="array" ref="CT47">SUM(IF(ISERR(FIND(CT$4,$D47:$CD47)),0,1))</f>
        <v>1</v>
      </c>
      <c r="CU47" s="85">
        <f t="array" ref="CU47">SUM(IF(ISERR(FIND(CU$4,$D47:$CD47)),0,1))</f>
        <v>2</v>
      </c>
      <c r="CV47" s="85">
        <f t="array" ref="CV47">SUM(IF(ISERR(FIND(CV$4,$D47:$CD47)),0,1))</f>
        <v>0</v>
      </c>
      <c r="CW47" s="82">
        <f t="shared" si="56"/>
        <v>6</v>
      </c>
      <c r="CX47" s="82">
        <f t="shared" si="57"/>
        <v>60</v>
      </c>
      <c r="CY47" s="82">
        <f t="shared" si="58"/>
        <v>10</v>
      </c>
      <c r="CZ47" s="82">
        <f t="shared" si="59"/>
        <v>0</v>
      </c>
      <c r="DA47" s="82">
        <f t="shared" si="16"/>
        <v>3</v>
      </c>
      <c r="DB47" s="82">
        <f t="shared" si="17"/>
        <v>9</v>
      </c>
      <c r="DC47" s="82">
        <f t="shared" si="18"/>
        <v>3501747</v>
      </c>
      <c r="DD47" s="82">
        <f t="shared" si="19"/>
        <v>2</v>
      </c>
      <c r="DF47" s="82" t="str">
        <f t="shared" si="20"/>
        <v>Sharpe D D</v>
      </c>
    </row>
    <row r="48" spans="1:110" x14ac:dyDescent="0.15">
      <c r="A48" s="82" t="str">
        <f t="shared" si="13"/>
        <v>DESH</v>
      </c>
      <c r="B48" s="82" t="s">
        <v>25</v>
      </c>
      <c r="C48" s="82" t="s">
        <v>1075</v>
      </c>
      <c r="F48" s="82" t="s">
        <v>350</v>
      </c>
      <c r="I48" s="82" t="s">
        <v>393</v>
      </c>
      <c r="W48" s="82" t="s">
        <v>360</v>
      </c>
      <c r="AF48" s="82" t="s">
        <v>554</v>
      </c>
      <c r="AH48" s="82" t="s">
        <v>748</v>
      </c>
      <c r="AM48" s="82" t="s">
        <v>849</v>
      </c>
      <c r="AO48" s="82" t="s">
        <v>867</v>
      </c>
      <c r="AQ48" s="82" t="s">
        <v>892</v>
      </c>
      <c r="AS48" s="82" t="s">
        <v>912</v>
      </c>
      <c r="BB48" s="82" t="s">
        <v>1011</v>
      </c>
      <c r="CE48" s="82">
        <f t="shared" ref="CE48:CE59" si="60">BatSplit(D48:CD48,MatchesPlayed)</f>
        <v>10</v>
      </c>
      <c r="CF48" s="82">
        <f t="shared" ref="CF48:CF59" si="61">CE48-CG48</f>
        <v>2</v>
      </c>
      <c r="CG48" s="82">
        <f t="shared" ref="CG48:CG59" si="62">BatSplit(D48:CD48,InnsBattedIn)</f>
        <v>8</v>
      </c>
      <c r="CH48" s="82">
        <f t="shared" ref="CH48:CH59" si="63">BatSplit(D48:CD48,NotOuts)</f>
        <v>0</v>
      </c>
      <c r="CI48" s="82">
        <f t="shared" ref="CI48:CI59" si="64">BatSplit(D48:CD48,HighestScore)</f>
        <v>93</v>
      </c>
      <c r="CJ48" s="86">
        <f t="shared" si="14"/>
        <v>93</v>
      </c>
      <c r="CK48" s="82">
        <f t="shared" ref="CK48:CK59" si="65">BatSplit(D48:CD48,RunsScored)</f>
        <v>188</v>
      </c>
      <c r="CL48" s="84">
        <f t="shared" si="15"/>
        <v>23.5</v>
      </c>
      <c r="CM48" s="82">
        <f t="shared" ref="CM48:CM59" si="66">BatSplit(D48:CD48,BatPts)</f>
        <v>248</v>
      </c>
      <c r="CN48" s="82">
        <f t="shared" ref="CN48:CN59" si="67">BatSplit(D48:CD48,FldPts)</f>
        <v>35</v>
      </c>
      <c r="CO48" s="85">
        <f t="array" ref="CO48">SUM(IF(ISERR(FIND("*",D48:CD48)),0,1))</f>
        <v>8</v>
      </c>
      <c r="CP48" s="85">
        <f t="array" ref="CP48">SUM(IF(ISERR(FIND("+",D48:CD48)),0,1))</f>
        <v>0</v>
      </c>
      <c r="CQ48" s="82">
        <f t="shared" ref="CQ48:CQ59" si="68">BatSplit(D48:CD48,Ducks)</f>
        <v>0</v>
      </c>
      <c r="CR48" s="85">
        <f t="array" ref="CR48">SUM(IF(ISERR(FIND(CR$4,$D48:$CD48)),0,1))</f>
        <v>6</v>
      </c>
      <c r="CS48" s="85">
        <f t="array" ref="CS48">SUM(IF(ISERR(FIND(CS$4,$D48:$CD48)),0,1))</f>
        <v>2</v>
      </c>
      <c r="CT48" s="85">
        <f t="array" ref="CT48">SUM(IF(ISERR(FIND(CT$4,$D48:$CD48)),0,1))</f>
        <v>0</v>
      </c>
      <c r="CU48" s="85">
        <f t="array" ref="CU48">SUM(IF(ISERR(FIND(CU$4,$D48:$CD48)),0,1))</f>
        <v>0</v>
      </c>
      <c r="CV48" s="85">
        <f t="array" ref="CV48">SUM(IF(ISERR(FIND(CV$4,$D48:$CD48)),0,1))</f>
        <v>0</v>
      </c>
      <c r="CW48" s="82">
        <f t="shared" ref="CW48:CW59" si="69">BatSplit(D48:CD48,Catches)</f>
        <v>7</v>
      </c>
      <c r="CX48" s="82">
        <f t="shared" ref="CX48:CX59" si="70">BatSplit(D48:CD48,Fours)</f>
        <v>11</v>
      </c>
      <c r="CY48" s="82">
        <f t="shared" ref="CY48:CY59" si="71">BatSplit(D48:CD48,Sixes)</f>
        <v>1</v>
      </c>
      <c r="CZ48" s="82">
        <f t="shared" ref="CZ48:CZ59" si="72">BatSplit(D48:CD48,Stumpings)</f>
        <v>0</v>
      </c>
      <c r="DA48" s="82">
        <f t="shared" si="16"/>
        <v>0</v>
      </c>
      <c r="DB48" s="82">
        <f t="shared" si="17"/>
        <v>2</v>
      </c>
      <c r="DC48" s="82">
        <f t="shared" si="18"/>
        <v>2351048</v>
      </c>
      <c r="DD48" s="82">
        <f t="shared" si="19"/>
        <v>6</v>
      </c>
      <c r="DE48" s="82">
        <v>1</v>
      </c>
      <c r="DF48" s="82" t="str">
        <f t="shared" si="20"/>
        <v>Shewan D D</v>
      </c>
    </row>
    <row r="49" spans="1:110" x14ac:dyDescent="0.15">
      <c r="A49" s="82" t="str">
        <f t="shared" si="13"/>
        <v>MISI</v>
      </c>
      <c r="B49" s="82" t="s">
        <v>28</v>
      </c>
      <c r="C49" s="82" t="s">
        <v>1076</v>
      </c>
      <c r="CE49" s="82">
        <f t="shared" si="60"/>
        <v>0</v>
      </c>
      <c r="CF49" s="82">
        <f t="shared" si="61"/>
        <v>0</v>
      </c>
      <c r="CG49" s="82">
        <f t="shared" si="62"/>
        <v>0</v>
      </c>
      <c r="CH49" s="82">
        <f t="shared" si="63"/>
        <v>0</v>
      </c>
      <c r="CI49" s="88">
        <f t="shared" si="64"/>
        <v>0</v>
      </c>
      <c r="CJ49" s="86">
        <f t="shared" si="14"/>
        <v>0</v>
      </c>
      <c r="CK49" s="82">
        <f t="shared" si="65"/>
        <v>0</v>
      </c>
      <c r="CL49" s="84">
        <f t="shared" si="15"/>
        <v>0</v>
      </c>
      <c r="CM49" s="82">
        <f t="shared" si="66"/>
        <v>0</v>
      </c>
      <c r="CN49" s="82">
        <f t="shared" si="67"/>
        <v>0</v>
      </c>
      <c r="CO49" s="85">
        <f t="array" ref="CO49">SUM(IF(ISERR(FIND("*",D49:CD49)),0,1))</f>
        <v>0</v>
      </c>
      <c r="CP49" s="85">
        <f t="array" ref="CP49">SUM(IF(ISERR(FIND("+",D49:CD49)),0,1))</f>
        <v>0</v>
      </c>
      <c r="CQ49" s="82">
        <f t="shared" si="68"/>
        <v>0</v>
      </c>
      <c r="CR49" s="85">
        <f t="array" ref="CR49">SUM(IF(ISERR(FIND(CR$4,$D49:$CD49)),0,1))</f>
        <v>0</v>
      </c>
      <c r="CS49" s="85">
        <f t="array" ref="CS49">SUM(IF(ISERR(FIND(CS$4,$D49:$CD49)),0,1))</f>
        <v>0</v>
      </c>
      <c r="CT49" s="85">
        <f t="array" ref="CT49">SUM(IF(ISERR(FIND(CT$4,$D49:$CD49)),0,1))</f>
        <v>0</v>
      </c>
      <c r="CU49" s="85">
        <f t="array" ref="CU49">SUM(IF(ISERR(FIND(CU$4,$D49:$CD49)),0,1))</f>
        <v>0</v>
      </c>
      <c r="CV49" s="85">
        <f t="array" ref="CV49">SUM(IF(ISERR(FIND(CV$4,$D49:$CD49)),0,1))</f>
        <v>0</v>
      </c>
      <c r="CW49" s="82">
        <f t="shared" si="69"/>
        <v>0</v>
      </c>
      <c r="CX49" s="82">
        <f t="shared" si="70"/>
        <v>0</v>
      </c>
      <c r="CY49" s="82">
        <f t="shared" si="71"/>
        <v>0</v>
      </c>
      <c r="CZ49" s="82">
        <f t="shared" si="72"/>
        <v>0</v>
      </c>
      <c r="DA49" s="82">
        <f t="shared" si="16"/>
        <v>0</v>
      </c>
      <c r="DB49" s="82">
        <f t="shared" si="17"/>
        <v>0</v>
      </c>
      <c r="DC49" s="82">
        <f t="shared" si="18"/>
        <v>49</v>
      </c>
      <c r="DD49" s="82">
        <f t="shared" si="19"/>
        <v>50</v>
      </c>
      <c r="DF49" s="82" t="str">
        <f>C49&amp;" "&amp;LEFT(B49,1)</f>
        <v>Simmons M M</v>
      </c>
    </row>
    <row r="50" spans="1:110" x14ac:dyDescent="0.15">
      <c r="A50" s="82" t="str">
        <f t="shared" si="13"/>
        <v>DASN</v>
      </c>
      <c r="B50" s="82" t="s">
        <v>30</v>
      </c>
      <c r="C50" s="82" t="s">
        <v>1077</v>
      </c>
      <c r="F50" s="82" t="s">
        <v>352</v>
      </c>
      <c r="J50" s="82" t="s">
        <v>456</v>
      </c>
      <c r="L50" s="82" t="s">
        <v>429</v>
      </c>
      <c r="P50" s="82" t="s">
        <v>518</v>
      </c>
      <c r="R50" s="82" t="s">
        <v>550</v>
      </c>
      <c r="T50" s="82" t="s">
        <v>604</v>
      </c>
      <c r="W50" s="82" t="s">
        <v>613</v>
      </c>
      <c r="AA50" s="82" t="s">
        <v>634</v>
      </c>
      <c r="AC50" s="82" t="s">
        <v>604</v>
      </c>
      <c r="AK50" s="82" t="s">
        <v>755</v>
      </c>
      <c r="AO50" s="82" t="s">
        <v>866</v>
      </c>
      <c r="AP50" s="82" t="s">
        <v>874</v>
      </c>
      <c r="AR50" s="82" t="s">
        <v>905</v>
      </c>
      <c r="AV50" s="82" t="s">
        <v>936</v>
      </c>
      <c r="BB50" s="82" t="s">
        <v>1013</v>
      </c>
      <c r="CE50" s="82">
        <f t="shared" si="60"/>
        <v>15</v>
      </c>
      <c r="CF50" s="82">
        <f t="shared" si="61"/>
        <v>0</v>
      </c>
      <c r="CG50" s="82">
        <f t="shared" si="62"/>
        <v>15</v>
      </c>
      <c r="CH50" s="82">
        <f t="shared" si="63"/>
        <v>1</v>
      </c>
      <c r="CI50" s="82">
        <f t="shared" si="64"/>
        <v>41</v>
      </c>
      <c r="CJ50" s="86">
        <f t="shared" si="14"/>
        <v>41</v>
      </c>
      <c r="CK50" s="82">
        <f t="shared" si="65"/>
        <v>145</v>
      </c>
      <c r="CL50" s="84">
        <f t="shared" si="15"/>
        <v>10.357142857142858</v>
      </c>
      <c r="CM50" s="82">
        <f t="shared" si="66"/>
        <v>215</v>
      </c>
      <c r="CN50" s="82">
        <f t="shared" si="67"/>
        <v>20</v>
      </c>
      <c r="CO50" s="85">
        <f t="array" ref="CO50">SUM(IF(ISERR(FIND("*",D50:CD50)),0,1))</f>
        <v>0</v>
      </c>
      <c r="CP50" s="85">
        <f t="array" ref="CP50">SUM(IF(ISERR(FIND("+",D50:CD50)),0,1))</f>
        <v>0</v>
      </c>
      <c r="CQ50" s="82">
        <f t="shared" si="68"/>
        <v>1</v>
      </c>
      <c r="CR50" s="85">
        <f t="array" ref="CR50">SUM(IF(ISERR(FIND(CR$4,$D50:$CD50)),0,1))</f>
        <v>11</v>
      </c>
      <c r="CS50" s="85">
        <f t="array" ref="CS50">SUM(IF(ISERR(FIND(CS$4,$D50:$CD50)),0,1))</f>
        <v>3</v>
      </c>
      <c r="CT50" s="85">
        <f t="array" ref="CT50">SUM(IF(ISERR(FIND(CT$4,$D50:$CD50)),0,1))</f>
        <v>0</v>
      </c>
      <c r="CU50" s="85">
        <f t="array" ref="CU50">SUM(IF(ISERR(FIND(CU$4,$D50:$CD50)),0,1))</f>
        <v>0</v>
      </c>
      <c r="CV50" s="85">
        <f t="array" ref="CV50">SUM(IF(ISERR(FIND(CV$4,$D50:$CD50)),0,1))</f>
        <v>0</v>
      </c>
      <c r="CW50" s="82">
        <f t="shared" si="69"/>
        <v>4</v>
      </c>
      <c r="CX50" s="82">
        <f t="shared" si="70"/>
        <v>13</v>
      </c>
      <c r="CY50" s="82">
        <f t="shared" si="71"/>
        <v>2</v>
      </c>
      <c r="CZ50" s="82">
        <f t="shared" si="72"/>
        <v>0</v>
      </c>
      <c r="DA50" s="82">
        <f t="shared" si="16"/>
        <v>0</v>
      </c>
      <c r="DB50" s="82">
        <f t="shared" si="17"/>
        <v>1</v>
      </c>
      <c r="DC50" s="82">
        <f t="shared" si="18"/>
        <v>1037550</v>
      </c>
      <c r="DD50" s="82">
        <f t="shared" si="19"/>
        <v>23</v>
      </c>
      <c r="DF50" s="82" t="str">
        <f t="shared" si="20"/>
        <v>Snow D D</v>
      </c>
    </row>
    <row r="51" spans="1:110" x14ac:dyDescent="0.15">
      <c r="A51" s="82" t="str">
        <f t="shared" si="13"/>
        <v>TOSP</v>
      </c>
      <c r="B51" s="82" t="s">
        <v>38</v>
      </c>
      <c r="C51" s="82" t="s">
        <v>1078</v>
      </c>
      <c r="D51" s="89"/>
      <c r="J51" s="82" t="s">
        <v>454</v>
      </c>
      <c r="K51" s="82" t="s">
        <v>406</v>
      </c>
      <c r="L51" s="82" t="s">
        <v>433</v>
      </c>
      <c r="N51" s="82" t="s">
        <v>490</v>
      </c>
      <c r="P51" s="82" t="s">
        <v>460</v>
      </c>
      <c r="Q51" s="82" t="s">
        <v>527</v>
      </c>
      <c r="S51" s="82" t="s">
        <v>587</v>
      </c>
      <c r="V51" s="82" t="s">
        <v>784</v>
      </c>
      <c r="AA51" s="82" t="s">
        <v>635</v>
      </c>
      <c r="AB51" s="82" t="s">
        <v>777</v>
      </c>
      <c r="AD51" s="82" t="s">
        <v>660</v>
      </c>
      <c r="AE51" s="82" t="s">
        <v>766</v>
      </c>
      <c r="AK51" s="82" t="s">
        <v>756</v>
      </c>
      <c r="AL51" s="82" t="s">
        <v>834</v>
      </c>
      <c r="AM51" s="82" t="s">
        <v>852</v>
      </c>
      <c r="AP51" s="82" t="s">
        <v>516</v>
      </c>
      <c r="AS51" s="82" t="s">
        <v>909</v>
      </c>
      <c r="AV51" s="82" t="s">
        <v>937</v>
      </c>
      <c r="AW51" s="82" t="s">
        <v>1029</v>
      </c>
      <c r="AY51" s="82" t="s">
        <v>971</v>
      </c>
      <c r="BC51" s="82" t="s">
        <v>981</v>
      </c>
      <c r="BE51" s="82" t="s">
        <v>999</v>
      </c>
      <c r="CE51" s="82">
        <f t="shared" si="60"/>
        <v>22</v>
      </c>
      <c r="CF51" s="82">
        <f t="shared" si="61"/>
        <v>2</v>
      </c>
      <c r="CG51" s="82">
        <f t="shared" si="62"/>
        <v>20</v>
      </c>
      <c r="CH51" s="82">
        <f t="shared" si="63"/>
        <v>4</v>
      </c>
      <c r="CI51" s="82">
        <f t="shared" si="64"/>
        <v>55</v>
      </c>
      <c r="CJ51" s="86">
        <f t="shared" si="14"/>
        <v>55</v>
      </c>
      <c r="CK51" s="82">
        <f t="shared" si="65"/>
        <v>360</v>
      </c>
      <c r="CL51" s="84">
        <f t="shared" si="15"/>
        <v>22.5</v>
      </c>
      <c r="CM51" s="82">
        <f t="shared" si="66"/>
        <v>475</v>
      </c>
      <c r="CN51" s="82">
        <f t="shared" si="67"/>
        <v>42</v>
      </c>
      <c r="CO51" s="85">
        <f t="array" ref="CO51">SUM(IF(ISERR(FIND("*",D51:CD51)),0,1))</f>
        <v>10</v>
      </c>
      <c r="CP51" s="85">
        <f t="array" ref="CP51">SUM(IF(ISERR(FIND("+",D51:CD51)),0,1))</f>
        <v>2</v>
      </c>
      <c r="CQ51" s="82">
        <f t="shared" si="68"/>
        <v>3</v>
      </c>
      <c r="CR51" s="85">
        <f t="array" ref="CR51">SUM(IF(ISERR(FIND(CR$4,$D51:$CD51)),0,1))</f>
        <v>3</v>
      </c>
      <c r="CS51" s="85">
        <f t="array" ref="CS51">SUM(IF(ISERR(FIND(CS$4,$D51:$CD51)),0,1))</f>
        <v>10</v>
      </c>
      <c r="CT51" s="85">
        <f t="array" ref="CT51">SUM(IF(ISERR(FIND(CT$4,$D51:$CD51)),0,1))</f>
        <v>3</v>
      </c>
      <c r="CU51" s="85">
        <f t="array" ref="CU51">SUM(IF(ISERR(FIND(CU$4,$D51:$CD51)),0,1))</f>
        <v>0</v>
      </c>
      <c r="CV51" s="85">
        <f t="array" ref="CV51">SUM(IF(ISERR(FIND(CV$4,$D51:$CD51)),0,1))</f>
        <v>0</v>
      </c>
      <c r="CW51" s="82">
        <f t="shared" si="69"/>
        <v>9</v>
      </c>
      <c r="CX51" s="82">
        <f t="shared" si="70"/>
        <v>57</v>
      </c>
      <c r="CY51" s="82">
        <f t="shared" si="71"/>
        <v>5</v>
      </c>
      <c r="CZ51" s="82">
        <f t="shared" si="72"/>
        <v>0</v>
      </c>
      <c r="DA51" s="82">
        <f t="shared" si="16"/>
        <v>1</v>
      </c>
      <c r="DB51" s="82">
        <f t="shared" si="17"/>
        <v>6</v>
      </c>
      <c r="DC51" s="82">
        <f t="shared" si="18"/>
        <v>2252251</v>
      </c>
      <c r="DD51" s="82">
        <f t="shared" si="19"/>
        <v>7</v>
      </c>
      <c r="DF51" s="82" t="str">
        <f t="shared" si="20"/>
        <v>Springer T T</v>
      </c>
    </row>
    <row r="52" spans="1:110" x14ac:dyDescent="0.15">
      <c r="A52" s="82" t="str">
        <f t="shared" si="13"/>
        <v>DATH</v>
      </c>
      <c r="B52" s="82" t="s">
        <v>49</v>
      </c>
      <c r="C52" s="82" t="s">
        <v>1079</v>
      </c>
      <c r="D52" s="89"/>
      <c r="CE52" s="82">
        <f t="shared" si="60"/>
        <v>0</v>
      </c>
      <c r="CF52" s="82">
        <f t="shared" si="61"/>
        <v>0</v>
      </c>
      <c r="CG52" s="82">
        <f t="shared" si="62"/>
        <v>0</v>
      </c>
      <c r="CH52" s="82">
        <f t="shared" si="63"/>
        <v>0</v>
      </c>
      <c r="CI52" s="82">
        <f t="shared" si="64"/>
        <v>0</v>
      </c>
      <c r="CJ52" s="86">
        <f t="shared" si="14"/>
        <v>0</v>
      </c>
      <c r="CK52" s="82">
        <f t="shared" si="65"/>
        <v>0</v>
      </c>
      <c r="CL52" s="84">
        <f t="shared" si="15"/>
        <v>0</v>
      </c>
      <c r="CM52" s="82">
        <f t="shared" si="66"/>
        <v>0</v>
      </c>
      <c r="CN52" s="82">
        <f t="shared" si="67"/>
        <v>0</v>
      </c>
      <c r="CO52" s="85">
        <f t="array" ref="CO52">SUM(IF(ISERR(FIND("*",D52:CD52)),0,1))</f>
        <v>0</v>
      </c>
      <c r="CP52" s="85">
        <f t="array" ref="CP52">SUM(IF(ISERR(FIND("+",D52:CD52)),0,1))</f>
        <v>0</v>
      </c>
      <c r="CQ52" s="82">
        <f t="shared" si="68"/>
        <v>0</v>
      </c>
      <c r="CR52" s="85">
        <f t="array" ref="CR52">SUM(IF(ISERR(FIND(CR$4,$D52:$CD52)),0,1))</f>
        <v>0</v>
      </c>
      <c r="CS52" s="85">
        <f t="array" ref="CS52">SUM(IF(ISERR(FIND(CS$4,$D52:$CD52)),0,1))</f>
        <v>0</v>
      </c>
      <c r="CT52" s="85">
        <f t="array" ref="CT52">SUM(IF(ISERR(FIND(CT$4,$D52:$CD52)),0,1))</f>
        <v>0</v>
      </c>
      <c r="CU52" s="85">
        <f t="array" ref="CU52">SUM(IF(ISERR(FIND(CU$4,$D52:$CD52)),0,1))</f>
        <v>0</v>
      </c>
      <c r="CV52" s="85">
        <f t="array" ref="CV52">SUM(IF(ISERR(FIND(CV$4,$D52:$CD52)),0,1))</f>
        <v>0</v>
      </c>
      <c r="CW52" s="82">
        <f t="shared" si="69"/>
        <v>0</v>
      </c>
      <c r="CX52" s="82">
        <f t="shared" si="70"/>
        <v>0</v>
      </c>
      <c r="CY52" s="82">
        <f t="shared" si="71"/>
        <v>0</v>
      </c>
      <c r="CZ52" s="82">
        <f t="shared" si="72"/>
        <v>0</v>
      </c>
      <c r="DA52" s="82">
        <f t="shared" si="16"/>
        <v>0</v>
      </c>
      <c r="DB52" s="82">
        <f t="shared" si="17"/>
        <v>0</v>
      </c>
      <c r="DC52" s="82">
        <f t="shared" si="18"/>
        <v>52</v>
      </c>
      <c r="DD52" s="82">
        <f t="shared" si="19"/>
        <v>49</v>
      </c>
      <c r="DF52" s="82" t="str">
        <f t="shared" si="20"/>
        <v>Thatcher D D</v>
      </c>
    </row>
    <row r="53" spans="1:110" x14ac:dyDescent="0.15">
      <c r="A53" s="82" t="str">
        <f t="shared" si="13"/>
        <v>CRTH</v>
      </c>
      <c r="B53" s="82" t="s">
        <v>37</v>
      </c>
      <c r="C53" s="82" t="s">
        <v>649</v>
      </c>
      <c r="D53" s="89"/>
      <c r="F53" s="82" t="s">
        <v>359</v>
      </c>
      <c r="J53" s="82" t="s">
        <v>359</v>
      </c>
      <c r="L53" s="82" t="s">
        <v>432</v>
      </c>
      <c r="P53" s="82" t="s">
        <v>359</v>
      </c>
      <c r="S53" s="82" t="s">
        <v>589</v>
      </c>
      <c r="V53" s="82" t="s">
        <v>789</v>
      </c>
      <c r="Z53" s="82" t="s">
        <v>667</v>
      </c>
      <c r="AB53" s="82" t="s">
        <v>780</v>
      </c>
      <c r="AE53" s="82" t="s">
        <v>298</v>
      </c>
      <c r="AK53" s="82" t="s">
        <v>762</v>
      </c>
      <c r="AM53" s="82" t="s">
        <v>459</v>
      </c>
      <c r="AO53" s="82" t="s">
        <v>459</v>
      </c>
      <c r="AW53" s="82" t="s">
        <v>946</v>
      </c>
      <c r="AZ53" s="82" t="s">
        <v>714</v>
      </c>
      <c r="BB53" s="82" t="s">
        <v>1018</v>
      </c>
      <c r="BE53" s="82" t="s">
        <v>1000</v>
      </c>
      <c r="CE53" s="82">
        <f t="shared" si="60"/>
        <v>16</v>
      </c>
      <c r="CF53" s="82">
        <f t="shared" si="61"/>
        <v>7</v>
      </c>
      <c r="CG53" s="82">
        <f t="shared" si="62"/>
        <v>9</v>
      </c>
      <c r="CH53" s="82">
        <f t="shared" si="63"/>
        <v>4</v>
      </c>
      <c r="CI53" s="82">
        <f t="shared" si="64"/>
        <v>-11</v>
      </c>
      <c r="CJ53" s="86" t="str">
        <f t="shared" si="14"/>
        <v>11*</v>
      </c>
      <c r="CK53" s="82">
        <f t="shared" si="65"/>
        <v>23</v>
      </c>
      <c r="CL53" s="84">
        <f t="shared" si="15"/>
        <v>4.5999999999999996</v>
      </c>
      <c r="CM53" s="82">
        <f t="shared" si="66"/>
        <v>93</v>
      </c>
      <c r="CN53" s="82">
        <f t="shared" si="67"/>
        <v>10</v>
      </c>
      <c r="CO53" s="85">
        <f t="array" ref="CO53">SUM(IF(ISERR(FIND("*",D53:CD53)),0,1))</f>
        <v>0</v>
      </c>
      <c r="CP53" s="85">
        <f t="array" ref="CP53">SUM(IF(ISERR(FIND("+",D53:CD53)),0,1))</f>
        <v>0</v>
      </c>
      <c r="CQ53" s="82">
        <f t="shared" si="68"/>
        <v>2</v>
      </c>
      <c r="CR53" s="85">
        <f t="array" ref="CR53">SUM(IF(ISERR(FIND(CR$4,$D53:$CD53)),0,1))</f>
        <v>2</v>
      </c>
      <c r="CS53" s="85">
        <f t="array" ref="CS53">SUM(IF(ISERR(FIND(CS$4,$D53:$CD53)),0,1))</f>
        <v>1</v>
      </c>
      <c r="CT53" s="85">
        <f t="array" ref="CT53">SUM(IF(ISERR(FIND(CT$4,$D53:$CD53)),0,1))</f>
        <v>0</v>
      </c>
      <c r="CU53" s="85">
        <f t="array" ref="CU53">SUM(IF(ISERR(FIND(CU$4,$D53:$CD53)),0,1))</f>
        <v>1</v>
      </c>
      <c r="CV53" s="85">
        <f t="array" ref="CV53">SUM(IF(ISERR(FIND(CV$4,$D53:$CD53)),0,1))</f>
        <v>1</v>
      </c>
      <c r="CW53" s="82">
        <f t="shared" si="69"/>
        <v>2</v>
      </c>
      <c r="CX53" s="82">
        <f t="shared" si="70"/>
        <v>2</v>
      </c>
      <c r="CY53" s="82">
        <f t="shared" si="71"/>
        <v>0</v>
      </c>
      <c r="CZ53" s="82">
        <f t="shared" si="72"/>
        <v>0</v>
      </c>
      <c r="DA53" s="82">
        <f t="shared" si="16"/>
        <v>0</v>
      </c>
      <c r="DB53" s="82">
        <f t="shared" si="17"/>
        <v>0</v>
      </c>
      <c r="DC53" s="82">
        <f t="shared" si="18"/>
        <v>461652.99999999994</v>
      </c>
      <c r="DD53" s="82">
        <f t="shared" si="19"/>
        <v>33</v>
      </c>
      <c r="DF53" s="82" t="str">
        <f t="shared" si="20"/>
        <v>Thomas C C</v>
      </c>
    </row>
    <row r="54" spans="1:110" x14ac:dyDescent="0.15">
      <c r="B54" s="82" t="s">
        <v>354</v>
      </c>
      <c r="C54" s="82" t="s">
        <v>650</v>
      </c>
      <c r="D54" s="89"/>
      <c r="J54" s="82" t="s">
        <v>457</v>
      </c>
      <c r="Z54" s="82" t="s">
        <v>666</v>
      </c>
      <c r="CE54" s="82">
        <f>BatSplit(D54:CD54,MatchesPlayed)</f>
        <v>2</v>
      </c>
      <c r="CF54" s="82">
        <f>CE54-CG54</f>
        <v>0</v>
      </c>
      <c r="CG54" s="82">
        <f>BatSplit(D54:CD54,InnsBattedIn)</f>
        <v>2</v>
      </c>
      <c r="CH54" s="82">
        <f>BatSplit(D54:CD54,NotOuts)</f>
        <v>0</v>
      </c>
      <c r="CI54" s="82">
        <f>BatSplit(D54:CD54,HighestScore)</f>
        <v>5</v>
      </c>
      <c r="CJ54" s="86">
        <f t="shared" si="14"/>
        <v>5</v>
      </c>
      <c r="CK54" s="82">
        <f>BatSplit(D54:CD54,RunsScored)</f>
        <v>5</v>
      </c>
      <c r="CL54" s="84">
        <f>IF(CG54=CH54,0,CK54/(CG54-CH54))</f>
        <v>2.5</v>
      </c>
      <c r="CM54" s="82">
        <f>BatSplit(D54:CD54,BatPts)</f>
        <v>10</v>
      </c>
      <c r="CN54" s="82">
        <f>BatSplit(D54:CD54,FldPts)</f>
        <v>0</v>
      </c>
      <c r="CO54" s="85">
        <f t="array" ref="CO54">SUM(IF(ISERR(FIND("*",D54:CD54)),0,1))</f>
        <v>0</v>
      </c>
      <c r="CP54" s="85">
        <f t="array" ref="CP54">SUM(IF(ISERR(FIND("+",D54:CD54)),0,1))</f>
        <v>0</v>
      </c>
      <c r="CQ54" s="82">
        <f>BatSplit(D54:CD54,Ducks)</f>
        <v>1</v>
      </c>
      <c r="CR54" s="85">
        <f t="array" ref="CR54">SUM(IF(ISERR(FIND(CR$4,$D54:$CD54)),0,1))</f>
        <v>1</v>
      </c>
      <c r="CS54" s="85">
        <f t="array" ref="CS54">SUM(IF(ISERR(FIND(CS$4,$D54:$CD54)),0,1))</f>
        <v>1</v>
      </c>
      <c r="CT54" s="85">
        <f t="array" ref="CT54">SUM(IF(ISERR(FIND(CT$4,$D54:$CD54)),0,1))</f>
        <v>0</v>
      </c>
      <c r="CU54" s="85">
        <f t="array" ref="CU54">SUM(IF(ISERR(FIND(CU$4,$D54:$CD54)),0,1))</f>
        <v>0</v>
      </c>
      <c r="CV54" s="85">
        <f t="array" ref="CV54">SUM(IF(ISERR(FIND(CV$4,$D54:$CD54)),0,1))</f>
        <v>0</v>
      </c>
      <c r="CW54" s="82">
        <f>BatSplit(D54:CD54,Catches)</f>
        <v>0</v>
      </c>
      <c r="CX54" s="82">
        <f>BatSplit(D54:CD54,Fours)</f>
        <v>0</v>
      </c>
      <c r="CY54" s="82">
        <f>BatSplit(D54:CD54,Sixes)</f>
        <v>0</v>
      </c>
      <c r="CZ54" s="82">
        <f>BatSplit(D54:CD54,Stumpings)</f>
        <v>0</v>
      </c>
      <c r="DA54" s="82">
        <f>BatSplit(D54:CD54,CaughtWkt)</f>
        <v>0</v>
      </c>
      <c r="DB54" s="82">
        <f>BatSplit(D54:CD54,TwentyFives)</f>
        <v>0</v>
      </c>
      <c r="DC54" s="82">
        <f t="shared" si="18"/>
        <v>250254</v>
      </c>
      <c r="DD54" s="82">
        <f t="shared" si="19"/>
        <v>38</v>
      </c>
      <c r="DF54" s="82" t="str">
        <f t="shared" si="20"/>
        <v>Thomas N N</v>
      </c>
    </row>
    <row r="55" spans="1:110" x14ac:dyDescent="0.15">
      <c r="A55" s="82" t="str">
        <f t="shared" si="13"/>
        <v>MIWO</v>
      </c>
      <c r="B55" s="82" t="s">
        <v>28</v>
      </c>
      <c r="C55" s="82" t="s">
        <v>1080</v>
      </c>
      <c r="E55" s="82" t="s">
        <v>299</v>
      </c>
      <c r="H55" s="82" t="s">
        <v>327</v>
      </c>
      <c r="I55" s="82" t="s">
        <v>392</v>
      </c>
      <c r="K55" s="82" t="s">
        <v>405</v>
      </c>
      <c r="L55" s="82" t="s">
        <v>427</v>
      </c>
      <c r="N55" s="82" t="s">
        <v>488</v>
      </c>
      <c r="Q55" s="82" t="s">
        <v>524</v>
      </c>
      <c r="R55" s="82" t="s">
        <v>548</v>
      </c>
      <c r="S55" s="82" t="s">
        <v>585</v>
      </c>
      <c r="U55" s="82" t="s">
        <v>564</v>
      </c>
      <c r="W55" s="82" t="s">
        <v>612</v>
      </c>
      <c r="AA55" s="82" t="s">
        <v>632</v>
      </c>
      <c r="AB55" s="82" t="s">
        <v>647</v>
      </c>
      <c r="AD55" s="82" t="s">
        <v>772</v>
      </c>
      <c r="AF55" s="82" t="s">
        <v>690</v>
      </c>
      <c r="AH55" s="82" t="s">
        <v>747</v>
      </c>
      <c r="AI55" s="82" t="s">
        <v>709</v>
      </c>
      <c r="AJ55" s="82" t="s">
        <v>726</v>
      </c>
      <c r="AL55" s="82" t="s">
        <v>831</v>
      </c>
      <c r="AN55" s="82" t="s">
        <v>843</v>
      </c>
      <c r="AR55" s="82" t="s">
        <v>899</v>
      </c>
      <c r="AS55" s="82" t="s">
        <v>907</v>
      </c>
      <c r="AV55" s="82" t="s">
        <v>933</v>
      </c>
      <c r="AW55" s="82" t="s">
        <v>943</v>
      </c>
      <c r="AZ55" s="82" t="s">
        <v>844</v>
      </c>
      <c r="BC55" s="82" t="s">
        <v>978</v>
      </c>
      <c r="BE55" s="82" t="s">
        <v>996</v>
      </c>
      <c r="CE55" s="82">
        <f t="shared" si="60"/>
        <v>27</v>
      </c>
      <c r="CF55" s="82">
        <f t="shared" si="61"/>
        <v>4</v>
      </c>
      <c r="CG55" s="82">
        <f t="shared" si="62"/>
        <v>23</v>
      </c>
      <c r="CH55" s="82">
        <f t="shared" si="63"/>
        <v>1</v>
      </c>
      <c r="CI55" s="82">
        <f t="shared" si="64"/>
        <v>37</v>
      </c>
      <c r="CJ55" s="86">
        <f t="shared" si="14"/>
        <v>37</v>
      </c>
      <c r="CK55" s="82">
        <f t="shared" si="65"/>
        <v>262</v>
      </c>
      <c r="CL55" s="84">
        <f t="shared" si="15"/>
        <v>11.909090909090908</v>
      </c>
      <c r="CM55" s="82">
        <f t="shared" si="66"/>
        <v>382</v>
      </c>
      <c r="CN55" s="82">
        <f t="shared" si="67"/>
        <v>21</v>
      </c>
      <c r="CO55" s="85">
        <f t="array" ref="CO55">SUM(IF(ISERR(FIND("*",D55:CD55)),0,1))</f>
        <v>14</v>
      </c>
      <c r="CP55" s="85">
        <f t="array" ref="CP55">SUM(IF(ISERR(FIND("+",D55:CD55)),0,1))</f>
        <v>4</v>
      </c>
      <c r="CQ55" s="82">
        <f t="shared" si="68"/>
        <v>3</v>
      </c>
      <c r="CR55" s="85">
        <f t="array" ref="CR55">SUM(IF(ISERR(FIND(CR$4,$D55:$CD55)),0,1))</f>
        <v>12</v>
      </c>
      <c r="CS55" s="85">
        <f t="array" ref="CS55">SUM(IF(ISERR(FIND(CS$4,$D55:$CD55)),0,1))</f>
        <v>8</v>
      </c>
      <c r="CT55" s="85">
        <f t="array" ref="CT55">SUM(IF(ISERR(FIND(CT$4,$D55:$CD55)),0,1))</f>
        <v>0</v>
      </c>
      <c r="CU55" s="85">
        <f t="array" ref="CU55">SUM(IF(ISERR(FIND(CU$4,$D55:$CD55)),0,1))</f>
        <v>0</v>
      </c>
      <c r="CV55" s="85">
        <f t="array" ref="CV55">SUM(IF(ISERR(FIND(CV$4,$D55:$CD55)),0,1))</f>
        <v>2</v>
      </c>
      <c r="CW55" s="82">
        <f t="shared" si="69"/>
        <v>6</v>
      </c>
      <c r="CX55" s="82">
        <f t="shared" si="70"/>
        <v>30</v>
      </c>
      <c r="CY55" s="82">
        <f t="shared" si="71"/>
        <v>0</v>
      </c>
      <c r="CZ55" s="82">
        <f t="shared" si="72"/>
        <v>0</v>
      </c>
      <c r="DA55" s="82">
        <f t="shared" si="16"/>
        <v>3</v>
      </c>
      <c r="DB55" s="82">
        <f t="shared" si="17"/>
        <v>3</v>
      </c>
      <c r="DC55" s="82">
        <f t="shared" si="18"/>
        <v>1193755</v>
      </c>
      <c r="DD55" s="82">
        <f t="shared" si="19"/>
        <v>17</v>
      </c>
      <c r="DF55" s="82" t="str">
        <f t="shared" si="20"/>
        <v>Woodhouse M M</v>
      </c>
    </row>
    <row r="56" spans="1:110" x14ac:dyDescent="0.15">
      <c r="A56" s="82" t="str">
        <f t="shared" si="13"/>
        <v>RIWO</v>
      </c>
      <c r="B56" s="82" t="s">
        <v>59</v>
      </c>
      <c r="C56" s="82" t="s">
        <v>1081</v>
      </c>
      <c r="E56" s="82" t="s">
        <v>297</v>
      </c>
      <c r="G56" s="82" t="s">
        <v>384</v>
      </c>
      <c r="H56" s="82" t="s">
        <v>328</v>
      </c>
      <c r="I56" s="82" t="s">
        <v>397</v>
      </c>
      <c r="K56" s="82" t="s">
        <v>410</v>
      </c>
      <c r="P56" s="82" t="s">
        <v>519</v>
      </c>
      <c r="Q56" s="82" t="s">
        <v>522</v>
      </c>
      <c r="T56" s="82" t="s">
        <v>609</v>
      </c>
      <c r="U56" s="82" t="s">
        <v>567</v>
      </c>
      <c r="V56" s="82" t="s">
        <v>785</v>
      </c>
      <c r="AB56" s="82" t="s">
        <v>775</v>
      </c>
      <c r="AD56" s="82" t="s">
        <v>661</v>
      </c>
      <c r="AH56" s="82" t="s">
        <v>746</v>
      </c>
      <c r="AI56" s="82" t="s">
        <v>710</v>
      </c>
      <c r="AJ56" s="82" t="s">
        <v>825</v>
      </c>
      <c r="AL56" s="82" t="s">
        <v>832</v>
      </c>
      <c r="AM56" s="82" t="s">
        <v>850</v>
      </c>
      <c r="AO56" s="82" t="s">
        <v>360</v>
      </c>
      <c r="AP56" s="82" t="s">
        <v>873</v>
      </c>
      <c r="AV56" s="82" t="s">
        <v>940</v>
      </c>
      <c r="AY56" s="82" t="s">
        <v>970</v>
      </c>
      <c r="BC56" s="82" t="s">
        <v>979</v>
      </c>
      <c r="CE56" s="82">
        <f t="shared" si="60"/>
        <v>22</v>
      </c>
      <c r="CF56" s="82">
        <f t="shared" si="61"/>
        <v>3</v>
      </c>
      <c r="CG56" s="82">
        <f t="shared" si="62"/>
        <v>19</v>
      </c>
      <c r="CH56" s="82">
        <f t="shared" si="63"/>
        <v>1</v>
      </c>
      <c r="CI56" s="82">
        <f t="shared" si="64"/>
        <v>63</v>
      </c>
      <c r="CJ56" s="86">
        <f t="shared" si="14"/>
        <v>63</v>
      </c>
      <c r="CK56" s="82">
        <f t="shared" si="65"/>
        <v>378</v>
      </c>
      <c r="CL56" s="84">
        <f t="shared" si="15"/>
        <v>21</v>
      </c>
      <c r="CM56" s="82">
        <f t="shared" si="66"/>
        <v>508</v>
      </c>
      <c r="CN56" s="82">
        <f t="shared" si="67"/>
        <v>69</v>
      </c>
      <c r="CO56" s="85">
        <f t="array" ref="CO56">SUM(IF(ISERR(FIND("*",D56:CD56)),0,1))</f>
        <v>2</v>
      </c>
      <c r="CP56" s="85">
        <f t="array" ref="CP56">SUM(IF(ISERR(FIND("+",D56:CD56)),0,1))</f>
        <v>13</v>
      </c>
      <c r="CQ56" s="82">
        <f t="shared" si="68"/>
        <v>0</v>
      </c>
      <c r="CR56" s="85">
        <f t="array" ref="CR56">SUM(IF(ISERR(FIND(CR$4,$D56:$CD56)),0,1))</f>
        <v>7</v>
      </c>
      <c r="CS56" s="85">
        <f t="array" ref="CS56">SUM(IF(ISERR(FIND(CS$4,$D56:$CD56)),0,1))</f>
        <v>7</v>
      </c>
      <c r="CT56" s="85">
        <f t="array" ref="CT56">SUM(IF(ISERR(FIND(CT$4,$D56:$CD56)),0,1))</f>
        <v>3</v>
      </c>
      <c r="CU56" s="85">
        <f t="array" ref="CU56">SUM(IF(ISERR(FIND(CU$4,$D56:$CD56)),0,1))</f>
        <v>0</v>
      </c>
      <c r="CV56" s="85">
        <f t="array" ref="CV56">SUM(IF(ISERR(FIND(CV$4,$D56:$CD56)),0,1))</f>
        <v>0</v>
      </c>
      <c r="CW56" s="82">
        <f t="shared" si="69"/>
        <v>10</v>
      </c>
      <c r="CX56" s="82">
        <f t="shared" si="70"/>
        <v>47</v>
      </c>
      <c r="CY56" s="82">
        <f t="shared" si="71"/>
        <v>9</v>
      </c>
      <c r="CZ56" s="82">
        <f t="shared" si="72"/>
        <v>4</v>
      </c>
      <c r="DA56" s="82">
        <f t="shared" si="16"/>
        <v>7</v>
      </c>
      <c r="DB56" s="82">
        <f t="shared" si="17"/>
        <v>8</v>
      </c>
      <c r="DC56" s="82">
        <f t="shared" si="18"/>
        <v>2102256</v>
      </c>
      <c r="DD56" s="82">
        <f t="shared" si="19"/>
        <v>8</v>
      </c>
      <c r="DF56" s="82" t="str">
        <f t="shared" si="20"/>
        <v>Worthington R R</v>
      </c>
    </row>
    <row r="57" spans="1:110" x14ac:dyDescent="0.15">
      <c r="A57" s="82" t="str">
        <f t="shared" si="13"/>
        <v>JOWO</v>
      </c>
      <c r="B57" s="82" t="s">
        <v>61</v>
      </c>
      <c r="C57" s="82" t="s">
        <v>102</v>
      </c>
      <c r="F57" s="82" t="s">
        <v>357</v>
      </c>
      <c r="J57" s="82" t="s">
        <v>460</v>
      </c>
      <c r="M57" s="82" t="s">
        <v>481</v>
      </c>
      <c r="N57" s="82" t="s">
        <v>494</v>
      </c>
      <c r="O57" s="82" t="s">
        <v>360</v>
      </c>
      <c r="Q57" s="82" t="s">
        <v>359</v>
      </c>
      <c r="V57" s="82" t="s">
        <v>786</v>
      </c>
      <c r="Z57" s="82" t="s">
        <v>306</v>
      </c>
      <c r="AC57" s="82" t="s">
        <v>685</v>
      </c>
      <c r="AH57" s="82" t="s">
        <v>752</v>
      </c>
      <c r="AM57" s="82" t="s">
        <v>717</v>
      </c>
      <c r="AO57" s="82" t="s">
        <v>335</v>
      </c>
      <c r="AQ57" s="82" t="s">
        <v>894</v>
      </c>
      <c r="AS57" s="82" t="s">
        <v>914</v>
      </c>
      <c r="BB57" s="82" t="s">
        <v>1017</v>
      </c>
      <c r="BE57" s="82" t="s">
        <v>335</v>
      </c>
      <c r="CE57" s="82">
        <f t="shared" si="60"/>
        <v>16</v>
      </c>
      <c r="CF57" s="82">
        <f t="shared" si="61"/>
        <v>7</v>
      </c>
      <c r="CG57" s="82">
        <f t="shared" si="62"/>
        <v>9</v>
      </c>
      <c r="CH57" s="82">
        <f t="shared" si="63"/>
        <v>4</v>
      </c>
      <c r="CI57" s="82">
        <f t="shared" si="64"/>
        <v>41</v>
      </c>
      <c r="CJ57" s="86">
        <f t="shared" si="14"/>
        <v>41</v>
      </c>
      <c r="CK57" s="82">
        <f t="shared" si="65"/>
        <v>92</v>
      </c>
      <c r="CL57" s="84">
        <f t="shared" si="15"/>
        <v>18.399999999999999</v>
      </c>
      <c r="CM57" s="82">
        <f t="shared" si="66"/>
        <v>172</v>
      </c>
      <c r="CN57" s="82">
        <f t="shared" si="67"/>
        <v>20</v>
      </c>
      <c r="CO57" s="85">
        <f t="array" ref="CO57">SUM(IF(ISERR(FIND("*",D57:CD57)),0,1))</f>
        <v>0</v>
      </c>
      <c r="CP57" s="85">
        <f t="array" ref="CP57">SUM(IF(ISERR(FIND("+",D57:CD57)),0,1))</f>
        <v>0</v>
      </c>
      <c r="CQ57" s="82">
        <f t="shared" si="68"/>
        <v>0</v>
      </c>
      <c r="CR57" s="85">
        <f t="array" ref="CR57">SUM(IF(ISERR(FIND(CR$4,$D57:$CD57)),0,1))</f>
        <v>3</v>
      </c>
      <c r="CS57" s="85">
        <f t="array" ref="CS57">SUM(IF(ISERR(FIND(CS$4,$D57:$CD57)),0,1))</f>
        <v>2</v>
      </c>
      <c r="CT57" s="85">
        <f t="array" ref="CT57">SUM(IF(ISERR(FIND(CT$4,$D57:$CD57)),0,1))</f>
        <v>0</v>
      </c>
      <c r="CU57" s="85">
        <f t="array" ref="CU57">SUM(IF(ISERR(FIND(CU$4,$D57:$CD57)),0,1))</f>
        <v>0</v>
      </c>
      <c r="CV57" s="85">
        <f t="array" ref="CV57">SUM(IF(ISERR(FIND(CV$4,$D57:$CD57)),0,1))</f>
        <v>0</v>
      </c>
      <c r="CW57" s="82">
        <f t="shared" si="69"/>
        <v>4</v>
      </c>
      <c r="CX57" s="82">
        <f t="shared" si="70"/>
        <v>11</v>
      </c>
      <c r="CY57" s="82">
        <f t="shared" si="71"/>
        <v>1</v>
      </c>
      <c r="CZ57" s="82">
        <f t="shared" si="72"/>
        <v>0</v>
      </c>
      <c r="DA57" s="82">
        <f t="shared" si="16"/>
        <v>0</v>
      </c>
      <c r="DB57" s="82">
        <f t="shared" si="17"/>
        <v>1</v>
      </c>
      <c r="DC57" s="82">
        <f t="shared" si="18"/>
        <v>1841656.9999999998</v>
      </c>
      <c r="DD57" s="82">
        <f t="shared" si="19"/>
        <v>10</v>
      </c>
      <c r="DF57" s="82" t="str">
        <f t="shared" si="20"/>
        <v>Worthy J J</v>
      </c>
    </row>
    <row r="58" spans="1:110" x14ac:dyDescent="0.15">
      <c r="A58" s="82" t="str">
        <f t="shared" si="13"/>
        <v>ROWO</v>
      </c>
      <c r="B58" s="82" t="s">
        <v>62</v>
      </c>
      <c r="C58" s="82" t="s">
        <v>104</v>
      </c>
      <c r="F58" s="82" t="s">
        <v>360</v>
      </c>
      <c r="J58" s="82" t="s">
        <v>458</v>
      </c>
      <c r="L58" s="82" t="s">
        <v>431</v>
      </c>
      <c r="S58" s="82" t="s">
        <v>332</v>
      </c>
      <c r="V58" s="82" t="s">
        <v>399</v>
      </c>
      <c r="Z58" s="82" t="s">
        <v>668</v>
      </c>
      <c r="AO58" s="82" t="s">
        <v>714</v>
      </c>
      <c r="AQ58" s="82" t="s">
        <v>895</v>
      </c>
      <c r="AY58" s="82" t="s">
        <v>972</v>
      </c>
      <c r="BB58" s="82" t="s">
        <v>526</v>
      </c>
      <c r="CE58" s="82">
        <f t="shared" si="60"/>
        <v>10</v>
      </c>
      <c r="CF58" s="82">
        <f t="shared" si="61"/>
        <v>3</v>
      </c>
      <c r="CG58" s="82">
        <f t="shared" si="62"/>
        <v>7</v>
      </c>
      <c r="CH58" s="82">
        <f t="shared" si="63"/>
        <v>1</v>
      </c>
      <c r="CI58" s="82">
        <f t="shared" si="64"/>
        <v>-32</v>
      </c>
      <c r="CJ58" s="86" t="str">
        <f t="shared" si="14"/>
        <v>32*</v>
      </c>
      <c r="CK58" s="82">
        <f t="shared" si="65"/>
        <v>68</v>
      </c>
      <c r="CL58" s="84">
        <f t="shared" si="15"/>
        <v>11.333333333333334</v>
      </c>
      <c r="CM58" s="82">
        <f t="shared" si="66"/>
        <v>113</v>
      </c>
      <c r="CN58" s="82">
        <f t="shared" si="67"/>
        <v>0</v>
      </c>
      <c r="CO58" s="85">
        <f t="array" ref="CO58">SUM(IF(ISERR(FIND("*",D58:CD58)),0,1))</f>
        <v>0</v>
      </c>
      <c r="CP58" s="85">
        <f t="array" ref="CP58">SUM(IF(ISERR(FIND("+",D58:CD58)),0,1))</f>
        <v>0</v>
      </c>
      <c r="CQ58" s="82">
        <f t="shared" si="68"/>
        <v>1</v>
      </c>
      <c r="CR58" s="85">
        <f t="array" ref="CR58">SUM(IF(ISERR(FIND(CR$4,$D58:$CD58)),0,1))</f>
        <v>3</v>
      </c>
      <c r="CS58" s="85">
        <f t="array" ref="CS58">SUM(IF(ISERR(FIND(CS$4,$D58:$CD58)),0,1))</f>
        <v>3</v>
      </c>
      <c r="CT58" s="85">
        <f t="array" ref="CT58">SUM(IF(ISERR(FIND(CT$4,$D58:$CD58)),0,1))</f>
        <v>0</v>
      </c>
      <c r="CU58" s="85">
        <f t="array" ref="CU58">SUM(IF(ISERR(FIND(CU$4,$D58:$CD58)),0,1))</f>
        <v>0</v>
      </c>
      <c r="CV58" s="85">
        <f t="array" ref="CV58">SUM(IF(ISERR(FIND(CV$4,$D58:$CD58)),0,1))</f>
        <v>0</v>
      </c>
      <c r="CW58" s="82">
        <f t="shared" si="69"/>
        <v>0</v>
      </c>
      <c r="CX58" s="82">
        <f t="shared" si="70"/>
        <v>8</v>
      </c>
      <c r="CY58" s="82">
        <f t="shared" si="71"/>
        <v>1</v>
      </c>
      <c r="CZ58" s="82">
        <f t="shared" si="72"/>
        <v>0</v>
      </c>
      <c r="DA58" s="82">
        <f t="shared" si="16"/>
        <v>0</v>
      </c>
      <c r="DB58" s="82">
        <f t="shared" si="17"/>
        <v>1</v>
      </c>
      <c r="DC58" s="82">
        <f t="shared" si="18"/>
        <v>1134058</v>
      </c>
      <c r="DD58" s="82">
        <f t="shared" si="19"/>
        <v>18</v>
      </c>
      <c r="DF58" s="82" t="str">
        <f t="shared" si="20"/>
        <v>Worthy R R</v>
      </c>
    </row>
    <row r="59" spans="1:110" x14ac:dyDescent="0.15">
      <c r="A59" s="82" t="str">
        <f t="shared" si="13"/>
        <v>BOYO</v>
      </c>
      <c r="B59" s="82" t="s">
        <v>63</v>
      </c>
      <c r="C59" s="82" t="s">
        <v>1082</v>
      </c>
      <c r="E59" s="82" t="s">
        <v>306</v>
      </c>
      <c r="K59" s="82" t="s">
        <v>413</v>
      </c>
      <c r="R59" s="82" t="s">
        <v>554</v>
      </c>
      <c r="U59" s="82" t="s">
        <v>565</v>
      </c>
      <c r="AA59" s="82" t="s">
        <v>640</v>
      </c>
      <c r="AJ59" s="82" t="s">
        <v>335</v>
      </c>
      <c r="AN59" s="82" t="s">
        <v>714</v>
      </c>
      <c r="AP59" s="82" t="s">
        <v>876</v>
      </c>
      <c r="AR59" s="82" t="s">
        <v>484</v>
      </c>
      <c r="AV59" s="82" t="s">
        <v>942</v>
      </c>
      <c r="CE59" s="82">
        <f t="shared" si="60"/>
        <v>10</v>
      </c>
      <c r="CF59" s="82">
        <f t="shared" si="61"/>
        <v>2</v>
      </c>
      <c r="CG59" s="82">
        <f t="shared" si="62"/>
        <v>8</v>
      </c>
      <c r="CH59" s="82">
        <f t="shared" si="63"/>
        <v>4</v>
      </c>
      <c r="CI59" s="82">
        <f t="shared" si="64"/>
        <v>-14</v>
      </c>
      <c r="CJ59" s="86" t="str">
        <f t="shared" si="14"/>
        <v>14*</v>
      </c>
      <c r="CK59" s="82">
        <f t="shared" si="65"/>
        <v>48</v>
      </c>
      <c r="CL59" s="84">
        <f t="shared" si="15"/>
        <v>12</v>
      </c>
      <c r="CM59" s="82">
        <f t="shared" si="66"/>
        <v>93</v>
      </c>
      <c r="CN59" s="82">
        <f t="shared" si="67"/>
        <v>10</v>
      </c>
      <c r="CO59" s="85">
        <f t="array" ref="CO59">SUM(IF(ISERR(FIND("*",D59:CD59)),0,1))</f>
        <v>0</v>
      </c>
      <c r="CP59" s="85">
        <f t="array" ref="CP59">SUM(IF(ISERR(FIND("+",D59:CD59)),0,1))</f>
        <v>0</v>
      </c>
      <c r="CQ59" s="82">
        <f t="shared" si="68"/>
        <v>1</v>
      </c>
      <c r="CR59" s="85">
        <f t="array" ref="CR59">SUM(IF(ISERR(FIND(CR$4,$D59:$CD59)),0,1))</f>
        <v>2</v>
      </c>
      <c r="CS59" s="85">
        <f t="array" ref="CS59">SUM(IF(ISERR(FIND(CS$4,$D59:$CD59)),0,1))</f>
        <v>2</v>
      </c>
      <c r="CT59" s="85">
        <f t="array" ref="CT59">SUM(IF(ISERR(FIND(CT$4,$D59:$CD59)),0,1))</f>
        <v>0</v>
      </c>
      <c r="CU59" s="85">
        <f t="array" ref="CU59">SUM(IF(ISERR(FIND(CU$4,$D59:$CD59)),0,1))</f>
        <v>0</v>
      </c>
      <c r="CV59" s="85">
        <f t="array" ref="CV59">SUM(IF(ISERR(FIND(CV$4,$D59:$CD59)),0,1))</f>
        <v>0</v>
      </c>
      <c r="CW59" s="82">
        <f t="shared" si="69"/>
        <v>2</v>
      </c>
      <c r="CX59" s="82">
        <f t="shared" si="70"/>
        <v>5</v>
      </c>
      <c r="CY59" s="82">
        <f t="shared" si="71"/>
        <v>2</v>
      </c>
      <c r="CZ59" s="82">
        <f t="shared" si="72"/>
        <v>0</v>
      </c>
      <c r="DA59" s="82">
        <f t="shared" si="16"/>
        <v>0</v>
      </c>
      <c r="DB59" s="82">
        <f t="shared" si="17"/>
        <v>0</v>
      </c>
      <c r="DC59" s="82">
        <f t="shared" si="18"/>
        <v>1201059</v>
      </c>
      <c r="DD59" s="82">
        <f t="shared" si="19"/>
        <v>16</v>
      </c>
      <c r="DF59" s="82" t="str">
        <f t="shared" si="20"/>
        <v>Young R B</v>
      </c>
    </row>
    <row r="60" spans="1:110" x14ac:dyDescent="0.15">
      <c r="CJ60" s="86"/>
      <c r="CL60" s="84"/>
      <c r="CO60" s="85"/>
      <c r="CP60" s="85"/>
      <c r="CR60" s="85"/>
      <c r="CS60" s="85"/>
      <c r="CT60" s="85"/>
      <c r="CU60" s="85"/>
      <c r="CV60" s="85"/>
    </row>
    <row r="61" spans="1:110" x14ac:dyDescent="0.15">
      <c r="CO61" s="91">
        <f>SUM(CO5:CO60)</f>
        <v>45</v>
      </c>
      <c r="CP61" s="70"/>
      <c r="CQ61" s="70">
        <f t="shared" ref="CQ61:DB61" si="73">SUM(CQ5:CQ60)</f>
        <v>63</v>
      </c>
      <c r="CR61" s="91">
        <f t="shared" si="73"/>
        <v>149</v>
      </c>
      <c r="CS61" s="91">
        <f t="shared" si="73"/>
        <v>129</v>
      </c>
      <c r="CT61" s="91">
        <f t="shared" si="73"/>
        <v>23</v>
      </c>
      <c r="CU61" s="91">
        <f t="shared" si="73"/>
        <v>9</v>
      </c>
      <c r="CV61" s="91">
        <f t="shared" si="73"/>
        <v>14</v>
      </c>
      <c r="CW61" s="70">
        <f t="shared" si="73"/>
        <v>143</v>
      </c>
      <c r="CX61" s="70">
        <f t="shared" si="73"/>
        <v>564</v>
      </c>
      <c r="CY61" s="70">
        <f t="shared" si="73"/>
        <v>67</v>
      </c>
      <c r="CZ61" s="70">
        <f t="shared" si="73"/>
        <v>5</v>
      </c>
      <c r="DA61" s="70">
        <f t="shared" si="73"/>
        <v>31</v>
      </c>
      <c r="DB61" s="70">
        <f t="shared" si="73"/>
        <v>66</v>
      </c>
      <c r="DC61" s="82">
        <f>IF(ISERROR(CL61),0,CL61)</f>
        <v>0</v>
      </c>
      <c r="DD61" s="82">
        <f>RANK(DC61,$DC$5:$DC$61)</f>
        <v>56</v>
      </c>
    </row>
    <row r="62" spans="1:110" x14ac:dyDescent="0.15">
      <c r="C62" s="82" t="s">
        <v>213</v>
      </c>
      <c r="D62" s="82">
        <f t="array" ref="D62">SUM(IF(NOT(ISERR(FIND("*",D5:D59))),1,0))</f>
        <v>0</v>
      </c>
      <c r="E62" s="82">
        <f t="array" ref="E62">SUM(IF(NOT(ISERR(FIND("*",E5:E59))),1,0))</f>
        <v>1</v>
      </c>
      <c r="F62" s="82">
        <f t="array" ref="F62">SUM(IF(NOT(ISERR(FIND("*",F5:F59))),1,0))</f>
        <v>1</v>
      </c>
      <c r="G62" s="82">
        <f t="array" ref="G62">SUM(IF(NOT(ISERR(FIND("*",G5:G59))),1,0))</f>
        <v>1</v>
      </c>
      <c r="H62" s="82">
        <f t="array" ref="H62">SUM(IF(NOT(ISERR(FIND("*",H5:H59))),1,0))</f>
        <v>1</v>
      </c>
      <c r="I62" s="82">
        <f t="array" ref="I62">SUM(IF(NOT(ISERR(FIND("*",I5:I59))),1,0))</f>
        <v>1</v>
      </c>
      <c r="J62" s="82">
        <f t="array" ref="J62">SUM(IF(NOT(ISERR(FIND("*",J5:J59))),1,0))</f>
        <v>1</v>
      </c>
      <c r="K62" s="82">
        <f t="array" ref="K62">SUM(IF(NOT(ISERR(FIND("*",K5:K59))),1,0))</f>
        <v>1</v>
      </c>
      <c r="L62" s="82">
        <f t="array" ref="L62">SUM(IF(NOT(ISERR(FIND("*",L5:L59))),1,0))</f>
        <v>1</v>
      </c>
      <c r="M62" s="82">
        <f t="array" ref="M62">SUM(IF(NOT(ISERR(FIND("*",M5:M59))),1,0))</f>
        <v>1</v>
      </c>
      <c r="N62" s="82">
        <f t="array" ref="N62">SUM(IF(NOT(ISERR(FIND("*",N5:N59))),1,0))</f>
        <v>1</v>
      </c>
      <c r="O62" s="82">
        <f t="array" ref="O62">SUM(IF(NOT(ISERR(FIND("*",O5:O59))),1,0))</f>
        <v>1</v>
      </c>
      <c r="P62" s="82">
        <f t="array" ref="P62">SUM(IF(NOT(ISERR(FIND("*",P5:P59))),1,0))</f>
        <v>1</v>
      </c>
      <c r="Q62" s="82">
        <f t="array" ref="Q62">SUM(IF(NOT(ISERR(FIND("*",Q5:Q59))),1,0))</f>
        <v>1</v>
      </c>
      <c r="R62" s="82">
        <f t="array" ref="R62">SUM(IF(NOT(ISERR(FIND("*",R5:R59))),1,0))</f>
        <v>1</v>
      </c>
      <c r="S62" s="82">
        <f t="array" ref="S62">SUM(IF(NOT(ISERR(FIND("*",S5:S59))),1,0))</f>
        <v>1</v>
      </c>
      <c r="T62" s="82">
        <f t="array" ref="T62">SUM(IF(NOT(ISERR(FIND("*",T5:T59))),1,0))</f>
        <v>1</v>
      </c>
      <c r="U62" s="82">
        <f t="array" ref="U62">SUM(IF(NOT(ISERR(FIND("*",U5:U59))),1,0))</f>
        <v>1</v>
      </c>
      <c r="V62" s="82">
        <f t="array" ref="V62">SUM(IF(NOT(ISERR(FIND("*",V5:V59))),1,0))</f>
        <v>1</v>
      </c>
      <c r="W62" s="82">
        <f t="array" ref="W62">SUM(IF(NOT(ISERR(FIND("*",W5:W59))),1,0))</f>
        <v>1</v>
      </c>
      <c r="X62" s="82">
        <f t="array" ref="X62">SUM(IF(NOT(ISERR(FIND("*",X5:X59))),1,0))</f>
        <v>0</v>
      </c>
      <c r="Y62" s="82">
        <f t="array" ref="Y62">SUM(IF(NOT(ISERR(FIND("*",Y5:Y59))),1,0))</f>
        <v>0</v>
      </c>
      <c r="Z62" s="82">
        <f t="array" ref="Z62">SUM(IF(NOT(ISERR(FIND("*",Z5:Z59))),1,0))</f>
        <v>1</v>
      </c>
      <c r="AA62" s="82">
        <f t="array" ref="AA62">SUM(IF(NOT(ISERR(FIND("*",AA5:AA59))),1,0))</f>
        <v>1</v>
      </c>
      <c r="AB62" s="82">
        <f t="array" ref="AB62">SUM(IF(NOT(ISERR(FIND("*",AB5:AB59))),1,0))</f>
        <v>1</v>
      </c>
      <c r="AC62" s="82">
        <f t="array" ref="AC62">SUM(IF(NOT(ISERR(FIND("*",AC5:AC59))),1,0))</f>
        <v>1</v>
      </c>
      <c r="AD62" s="82">
        <f t="array" ref="AD62">SUM(IF(NOT(ISERR(FIND("*",AD5:AD59))),1,0))</f>
        <v>1</v>
      </c>
      <c r="AE62" s="82">
        <f t="array" ref="AE62">SUM(IF(NOT(ISERR(FIND("*",AE5:AE59))),1,0))</f>
        <v>1</v>
      </c>
      <c r="AF62" s="82">
        <f t="array" ref="AF62">SUM(IF(NOT(ISERR(FIND("*",AF5:AF59))),1,0))</f>
        <v>1</v>
      </c>
      <c r="AG62" s="82">
        <f t="array" ref="AG62">SUM(IF(NOT(ISERR(FIND("*",AG5:AG59))),1,0))</f>
        <v>0</v>
      </c>
      <c r="AH62" s="82">
        <f t="array" ref="AH62">SUM(IF(NOT(ISERR(FIND("*",AH5:AH59))),1,0))</f>
        <v>1</v>
      </c>
      <c r="AI62" s="82">
        <f t="array" ref="AI62">SUM(IF(NOT(ISERR(FIND("*",AI5:AI59))),1,0))</f>
        <v>1</v>
      </c>
      <c r="AJ62" s="82">
        <f t="array" ref="AJ62">SUM(IF(NOT(ISERR(FIND("*",AJ5:AJ59))),1,0))</f>
        <v>1</v>
      </c>
      <c r="AK62" s="82">
        <f t="array" ref="AK62">SUM(IF(NOT(ISERR(FIND("*",AK5:AK59))),1,0))</f>
        <v>1</v>
      </c>
      <c r="AL62" s="82">
        <f t="array" ref="AL62">SUM(IF(NOT(ISERR(FIND("*",AL5:AL59))),1,0))</f>
        <v>1</v>
      </c>
      <c r="AM62" s="82">
        <f t="array" ref="AM62">SUM(IF(NOT(ISERR(FIND("*",AM5:AM59))),1,0))</f>
        <v>1</v>
      </c>
      <c r="AN62" s="82">
        <f t="array" ref="AN62">SUM(IF(NOT(ISERR(FIND("*",AN5:AN59))),1,0))</f>
        <v>1</v>
      </c>
      <c r="AO62" s="82">
        <f t="array" ref="AO62">SUM(IF(NOT(ISERR(FIND("*",AO5:AO59))),1,0))</f>
        <v>1</v>
      </c>
      <c r="AP62" s="82">
        <f t="array" ref="AP62">SUM(IF(NOT(ISERR(FIND("*",AP5:AP59))),1,0))</f>
        <v>1</v>
      </c>
      <c r="AQ62" s="82">
        <f t="array" ref="AQ62">SUM(IF(NOT(ISERR(FIND("*",AQ5:AQ59))),1,0))</f>
        <v>1</v>
      </c>
      <c r="AR62" s="82">
        <f t="array" ref="AR62">SUM(IF(NOT(ISERR(FIND("*",AR5:AR59))),1,0))</f>
        <v>1</v>
      </c>
      <c r="AS62" s="82">
        <f t="array" ref="AS62">SUM(IF(NOT(ISERR(FIND("*",AS5:AS59))),1,0))</f>
        <v>1</v>
      </c>
      <c r="AT62" s="82">
        <f t="array" ref="AT62">SUM(IF(NOT(ISERR(FIND("*",AT5:AT59))),1,0))</f>
        <v>0</v>
      </c>
      <c r="AU62" s="82">
        <f t="array" ref="AU62">SUM(IF(NOT(ISERR(FIND("*",AU5:AU59))),1,0))</f>
        <v>0</v>
      </c>
      <c r="AV62" s="82">
        <f t="array" ref="AV62">SUM(IF(NOT(ISERR(FIND("*",AV5:AV59))),1,0))</f>
        <v>1</v>
      </c>
      <c r="AW62" s="82">
        <f t="array" ref="AW62">SUM(IF(NOT(ISERR(FIND("*",AW5:AW59))),1,0))</f>
        <v>1</v>
      </c>
      <c r="AX62" s="82">
        <f t="array" ref="AX62">SUM(IF(NOT(ISERR(FIND("*",AX5:AX59))),1,0))</f>
        <v>0</v>
      </c>
      <c r="AY62" s="82">
        <f t="array" ref="AY62">SUM(IF(NOT(ISERR(FIND("*",AY5:AY59))),1,0))</f>
        <v>1</v>
      </c>
      <c r="AZ62" s="82">
        <f t="array" ref="AZ62">SUM(IF(NOT(ISERR(FIND("*",AZ5:AZ59))),1,0))</f>
        <v>1</v>
      </c>
      <c r="BA62" s="82">
        <f t="array" ref="BA62">SUM(IF(NOT(ISERR(FIND("*",BA5:BA59))),1,0))</f>
        <v>0</v>
      </c>
      <c r="BB62" s="82">
        <f t="array" ref="BB62">SUM(IF(NOT(ISERR(FIND("*",BB5:BB59))),1,0))</f>
        <v>1</v>
      </c>
      <c r="BC62" s="82">
        <f t="array" ref="BC62">SUM(IF(NOT(ISERR(FIND("*",BC5:BC59))),1,0))</f>
        <v>1</v>
      </c>
      <c r="BD62" s="82">
        <f t="array" ref="BD62">SUM(IF(NOT(ISERR(FIND("*",BD5:BD59))),1,0))</f>
        <v>0</v>
      </c>
      <c r="BE62" s="82">
        <f t="array" ref="BE62">SUM(IF(NOT(ISERR(FIND("*",BE5:BE59))),1,0))</f>
        <v>1</v>
      </c>
      <c r="BF62" s="82">
        <f t="array" ref="BF62">SUM(IF(NOT(ISERR(FIND("*",BF5:BF59))),1,0))</f>
        <v>0</v>
      </c>
      <c r="BG62" s="82">
        <f t="array" ref="BG62">SUM(IF(NOT(ISERR(FIND("*",BG5:BG59))),1,0))</f>
        <v>0</v>
      </c>
      <c r="CO62" s="70">
        <f>SUM(D62:BG62)</f>
        <v>45</v>
      </c>
      <c r="CP62" s="70"/>
      <c r="CQ62" s="70"/>
      <c r="CR62" s="70"/>
      <c r="CS62" s="70"/>
      <c r="CT62" s="70"/>
      <c r="CU62" s="70"/>
      <c r="CV62" s="70"/>
      <c r="CW62" s="70"/>
      <c r="CX62" s="70"/>
      <c r="CY62" s="70"/>
      <c r="CZ62" s="70"/>
      <c r="DA62" s="70"/>
      <c r="DB62" s="70"/>
    </row>
    <row r="63" spans="1:110" x14ac:dyDescent="0.15">
      <c r="C63" s="82" t="s">
        <v>14</v>
      </c>
      <c r="D63" s="82">
        <f t="array" ref="D63">SUM(IF(NOT(ISERR(FIND("+",D5:D59))),1,0))</f>
        <v>0</v>
      </c>
      <c r="E63" s="82">
        <f t="array" ref="E63">SUM(IF(NOT(ISERR(FIND("+",E5:E59))),1,0))</f>
        <v>1</v>
      </c>
      <c r="F63" s="82">
        <f t="array" ref="F63">SUM(IF(NOT(ISERR(FIND("+",F5:F59))),1,0))</f>
        <v>1</v>
      </c>
      <c r="G63" s="82">
        <f t="array" ref="G63">SUM(IF(NOT(ISERR(FIND("+",G5:G59))),1,0))</f>
        <v>1</v>
      </c>
      <c r="H63" s="82">
        <f t="array" ref="H63">SUM(IF(NOT(ISERR(FIND("+",H5:H59))),1,0))</f>
        <v>1</v>
      </c>
      <c r="I63" s="82">
        <f t="array" ref="I63">SUM(IF(NOT(ISERR(FIND("+",I5:I59))),1,0))</f>
        <v>1</v>
      </c>
      <c r="J63" s="82">
        <f t="array" ref="J63">SUM(IF(NOT(ISERR(FIND("+",J5:J59))),1,0))</f>
        <v>1</v>
      </c>
      <c r="K63" s="82">
        <f t="array" ref="K63">SUM(IF(NOT(ISERR(FIND("+",K5:K59))),1,0))</f>
        <v>2</v>
      </c>
      <c r="L63" s="82">
        <f t="array" ref="L63">SUM(IF(NOT(ISERR(FIND("+",L5:L59))),1,0))</f>
        <v>1</v>
      </c>
      <c r="M63" s="82">
        <f t="array" ref="M63">SUM(IF(NOT(ISERR(FIND("+",M5:M59))),1,0))</f>
        <v>1</v>
      </c>
      <c r="N63" s="82">
        <f t="array" ref="N63">SUM(IF(NOT(ISERR(FIND("+",N5:N59))),1,0))</f>
        <v>1</v>
      </c>
      <c r="O63" s="82">
        <f t="array" ref="O63">SUM(IF(NOT(ISERR(FIND("+",O5:O59))),1,0))</f>
        <v>1</v>
      </c>
      <c r="P63" s="82">
        <f t="array" ref="P63">SUM(IF(NOT(ISERR(FIND("+",P5:P59))),1,0))</f>
        <v>0</v>
      </c>
      <c r="Q63" s="82">
        <f t="array" ref="Q63">SUM(IF(NOT(ISERR(FIND("+",Q5:Q59))),1,0))</f>
        <v>2</v>
      </c>
      <c r="R63" s="82">
        <f t="array" ref="R63">SUM(IF(NOT(ISERR(FIND("+",R5:R59))),1,0))</f>
        <v>1</v>
      </c>
      <c r="S63" s="82">
        <f t="array" ref="S63">SUM(IF(NOT(ISERR(FIND("+",S5:S59))),1,0))</f>
        <v>1</v>
      </c>
      <c r="T63" s="82">
        <f t="array" ref="T63">SUM(IF(NOT(ISERR(FIND("+",T5:T59))),1,0))</f>
        <v>1</v>
      </c>
      <c r="U63" s="82">
        <f t="array" ref="U63">SUM(IF(NOT(ISERR(FIND("+",U5:U59))),1,0))</f>
        <v>2</v>
      </c>
      <c r="V63" s="82">
        <f t="array" ref="V63">SUM(IF(NOT(ISERR(FIND("+",V5:V59))),1,0))</f>
        <v>1</v>
      </c>
      <c r="W63" s="82">
        <f t="array" ref="W63">SUM(IF(NOT(ISERR(FIND("+",W5:W59))),1,0))</f>
        <v>1</v>
      </c>
      <c r="X63" s="82">
        <f t="array" ref="X63">SUM(IF(NOT(ISERR(FIND("+",X5:X59))),1,0))</f>
        <v>0</v>
      </c>
      <c r="Y63" s="82">
        <f t="array" ref="Y63">SUM(IF(NOT(ISERR(FIND("+",Y5:Y59))),1,0))</f>
        <v>0</v>
      </c>
      <c r="Z63" s="82">
        <f t="array" ref="Z63">SUM(IF(NOT(ISERR(FIND("+",Z5:Z59))),1,0))</f>
        <v>1</v>
      </c>
      <c r="AA63" s="82">
        <f t="array" ref="AA63">SUM(IF(NOT(ISERR(FIND("+",AA5:AA59))),1,0))</f>
        <v>1</v>
      </c>
      <c r="AB63" s="82">
        <f t="array" ref="AB63">SUM(IF(NOT(ISERR(FIND("+",AB5:AB59))),1,0))</f>
        <v>1</v>
      </c>
      <c r="AC63" s="82">
        <f t="array" ref="AC63">SUM(IF(NOT(ISERR(FIND("+",AC5:AC59))),1,0))</f>
        <v>1</v>
      </c>
      <c r="AD63" s="82">
        <f t="array" ref="AD63">SUM(IF(NOT(ISERR(FIND("+",AD5:AD59))),1,0))</f>
        <v>3</v>
      </c>
      <c r="AE63" s="82">
        <f t="array" ref="AE63">SUM(IF(NOT(ISERR(FIND("+",AE5:AE59))),1,0))</f>
        <v>1</v>
      </c>
      <c r="AF63" s="82">
        <f t="array" ref="AF63">SUM(IF(NOT(ISERR(FIND("+",AF5:AF59))),1,0))</f>
        <v>1</v>
      </c>
      <c r="AG63" s="82">
        <f t="array" ref="AG63">SUM(IF(NOT(ISERR(FIND("+",AG5:AG59))),1,0))</f>
        <v>0</v>
      </c>
      <c r="AH63" s="82">
        <f t="array" ref="AH63">SUM(IF(NOT(ISERR(FIND("+",AH5:AH59))),1,0))</f>
        <v>1</v>
      </c>
      <c r="AI63" s="82">
        <f t="array" ref="AI63">SUM(IF(NOT(ISERR(FIND("+",AI5:AI59))),1,0))</f>
        <v>1</v>
      </c>
      <c r="AJ63" s="82">
        <f t="array" ref="AJ63">SUM(IF(NOT(ISERR(FIND("+",AJ5:AJ59))),1,0))</f>
        <v>1</v>
      </c>
      <c r="AK63" s="82">
        <f t="array" ref="AK63">SUM(IF(NOT(ISERR(FIND("+",AK5:AK59))),1,0))</f>
        <v>1</v>
      </c>
      <c r="AL63" s="82">
        <f t="array" ref="AL63">SUM(IF(NOT(ISERR(FIND("+",AL5:AL59))),1,0))</f>
        <v>1</v>
      </c>
      <c r="AM63" s="82">
        <f t="array" ref="AM63">SUM(IF(NOT(ISERR(FIND("+",AM5:AM59))),1,0))</f>
        <v>1</v>
      </c>
      <c r="AN63" s="82">
        <f t="array" ref="AN63">SUM(IF(NOT(ISERR(FIND("+",AN5:AN59))),1,0))</f>
        <v>1</v>
      </c>
      <c r="AO63" s="82">
        <f t="array" ref="AO63">SUM(IF(NOT(ISERR(FIND("+",AO5:AO59))),1,0))</f>
        <v>1</v>
      </c>
      <c r="AP63" s="82">
        <f t="array" ref="AP63">SUM(IF(NOT(ISERR(FIND("+",AP5:AP59))),1,0))</f>
        <v>1</v>
      </c>
      <c r="AQ63" s="82">
        <f t="array" ref="AQ63">SUM(IF(NOT(ISERR(FIND("+",AQ5:AQ59))),1,0))</f>
        <v>1</v>
      </c>
      <c r="AR63" s="82">
        <f t="array" ref="AR63">SUM(IF(NOT(ISERR(FIND("+",AR5:AR59))),1,0))</f>
        <v>1</v>
      </c>
      <c r="AS63" s="82">
        <f t="array" ref="AS63">SUM(IF(NOT(ISERR(FIND("+",AS5:AS59))),1,0))</f>
        <v>1</v>
      </c>
      <c r="AT63" s="82">
        <f t="array" ref="AT63">SUM(IF(NOT(ISERR(FIND("+",AT5:AT59))),1,0))</f>
        <v>0</v>
      </c>
      <c r="AU63" s="82">
        <f t="array" ref="AU63">SUM(IF(NOT(ISERR(FIND("+",AU5:AU59))),1,0))</f>
        <v>0</v>
      </c>
      <c r="AV63" s="82">
        <f t="array" ref="AV63">SUM(IF(NOT(ISERR(FIND("+",AV5:AV59))),1,0))</f>
        <v>1</v>
      </c>
      <c r="AW63" s="82">
        <f t="array" ref="AW63">SUM(IF(NOT(ISERR(FIND("+",AW5:AW59))),1,0))</f>
        <v>1</v>
      </c>
      <c r="AX63" s="82">
        <f t="array" ref="AX63">SUM(IF(NOT(ISERR(FIND("+",AX5:AX59))),1,0))</f>
        <v>0</v>
      </c>
      <c r="AY63" s="82">
        <f t="array" ref="AY63">SUM(IF(NOT(ISERR(FIND("+",AY5:AY59))),1,0))</f>
        <v>1</v>
      </c>
      <c r="AZ63" s="82">
        <f t="array" ref="AZ63">SUM(IF(NOT(ISERR(FIND("+",AZ5:AZ59))),1,0))</f>
        <v>1</v>
      </c>
      <c r="BA63" s="82">
        <f t="array" ref="BA63">SUM(IF(NOT(ISERR(FIND("+",BA5:BA59))),1,0))</f>
        <v>0</v>
      </c>
      <c r="BB63" s="82">
        <f t="array" ref="BB63">SUM(IF(NOT(ISERR(FIND("+",BB5:BB59))),1,0))</f>
        <v>1</v>
      </c>
      <c r="BC63" s="82">
        <f t="array" ref="BC63">SUM(IF(NOT(ISERR(FIND("+",BC5:BC59))),1,0))</f>
        <v>1</v>
      </c>
      <c r="BD63" s="82">
        <f t="array" ref="BD63">SUM(IF(NOT(ISERR(FIND("+",BD5:BD59))),1,0))</f>
        <v>0</v>
      </c>
      <c r="BE63" s="82">
        <f t="array" ref="BE63">SUM(IF(NOT(ISERR(FIND("+",BE5:BE59))),1,0))</f>
        <v>1</v>
      </c>
      <c r="BF63" s="82">
        <f t="array" ref="BF63">SUM(IF(NOT(ISERR(FIND("+",BF5:BF59))),1,0))</f>
        <v>0</v>
      </c>
      <c r="BG63" s="82">
        <f t="array" ref="BG63">SUM(IF(NOT(ISERR(FIND("+",BG5:BG59))),1,0))</f>
        <v>0</v>
      </c>
      <c r="CO63" s="70">
        <f>SUM(D63:BG63)</f>
        <v>49</v>
      </c>
      <c r="CP63" s="70"/>
      <c r="CQ63" s="70"/>
      <c r="CR63" s="70"/>
      <c r="CS63" s="70"/>
      <c r="CT63" s="70"/>
      <c r="CU63" s="70"/>
      <c r="CV63" s="70"/>
      <c r="CW63" s="70"/>
      <c r="CX63" s="70"/>
      <c r="CY63" s="70"/>
      <c r="CZ63" s="70"/>
      <c r="DA63" s="70"/>
      <c r="DB63" s="70"/>
    </row>
    <row r="65" spans="3:93" x14ac:dyDescent="0.15">
      <c r="C65" s="82" t="s">
        <v>201</v>
      </c>
      <c r="D65" s="82">
        <f>BatSplit(D5:D59,RunsScored)</f>
        <v>0</v>
      </c>
      <c r="E65" s="82">
        <f t="shared" ref="E65:BG65" si="74">BatSplit(E5:E59,RunsScored)</f>
        <v>105</v>
      </c>
      <c r="F65" s="82">
        <f t="shared" si="74"/>
        <v>171</v>
      </c>
      <c r="G65" s="82">
        <f t="shared" si="74"/>
        <v>122</v>
      </c>
      <c r="H65" s="82">
        <f t="shared" si="74"/>
        <v>75</v>
      </c>
      <c r="I65" s="82">
        <f t="shared" si="74"/>
        <v>106</v>
      </c>
      <c r="J65" s="82">
        <f t="shared" si="74"/>
        <v>158</v>
      </c>
      <c r="K65" s="82">
        <f t="shared" si="74"/>
        <v>122</v>
      </c>
      <c r="L65" s="82">
        <f t="shared" si="74"/>
        <v>140</v>
      </c>
      <c r="M65" s="82">
        <f t="shared" si="74"/>
        <v>83</v>
      </c>
      <c r="N65" s="82">
        <f t="shared" si="74"/>
        <v>140</v>
      </c>
      <c r="O65" s="82">
        <f t="shared" si="74"/>
        <v>143</v>
      </c>
      <c r="P65" s="82">
        <f t="shared" si="74"/>
        <v>223</v>
      </c>
      <c r="Q65" s="82">
        <f t="shared" si="74"/>
        <v>142</v>
      </c>
      <c r="R65" s="82">
        <f t="shared" si="74"/>
        <v>106</v>
      </c>
      <c r="S65" s="82">
        <f t="shared" si="74"/>
        <v>149</v>
      </c>
      <c r="T65" s="82">
        <f t="shared" si="74"/>
        <v>143</v>
      </c>
      <c r="U65" s="82">
        <f t="shared" si="74"/>
        <v>160</v>
      </c>
      <c r="V65" s="82">
        <f t="shared" si="74"/>
        <v>171</v>
      </c>
      <c r="W65" s="82">
        <f t="shared" si="74"/>
        <v>157</v>
      </c>
      <c r="X65" s="82">
        <f t="shared" si="74"/>
        <v>0</v>
      </c>
      <c r="Y65" s="82">
        <f t="shared" si="74"/>
        <v>0</v>
      </c>
      <c r="Z65" s="82">
        <f t="shared" si="74"/>
        <v>89</v>
      </c>
      <c r="AA65" s="82">
        <f t="shared" si="74"/>
        <v>144</v>
      </c>
      <c r="AB65" s="82">
        <f t="shared" si="74"/>
        <v>118</v>
      </c>
      <c r="AC65" s="82">
        <f t="shared" si="74"/>
        <v>42</v>
      </c>
      <c r="AD65" s="82">
        <f t="shared" si="74"/>
        <v>53</v>
      </c>
      <c r="AE65" s="82">
        <f t="shared" si="74"/>
        <v>124</v>
      </c>
      <c r="AF65" s="82">
        <f t="shared" si="74"/>
        <v>54</v>
      </c>
      <c r="AG65" s="82">
        <f t="shared" si="74"/>
        <v>0</v>
      </c>
      <c r="AH65" s="82">
        <f t="shared" si="74"/>
        <v>131</v>
      </c>
      <c r="AI65" s="82">
        <f t="shared" si="74"/>
        <v>0</v>
      </c>
      <c r="AJ65" s="82">
        <f t="shared" si="74"/>
        <v>141</v>
      </c>
      <c r="AK65" s="82">
        <f t="shared" si="74"/>
        <v>89</v>
      </c>
      <c r="AL65" s="82">
        <f t="shared" si="74"/>
        <v>57</v>
      </c>
      <c r="AM65" s="82">
        <f t="shared" si="74"/>
        <v>163</v>
      </c>
      <c r="AN65" s="82">
        <f t="shared" si="74"/>
        <v>0</v>
      </c>
      <c r="AO65" s="82">
        <f t="shared" si="74"/>
        <v>53</v>
      </c>
      <c r="AP65" s="82">
        <f t="shared" si="74"/>
        <v>60</v>
      </c>
      <c r="AQ65" s="82">
        <f t="shared" si="74"/>
        <v>123</v>
      </c>
      <c r="AR65" s="82">
        <f t="shared" si="74"/>
        <v>115</v>
      </c>
      <c r="AS65" s="82">
        <f t="shared" si="74"/>
        <v>159</v>
      </c>
      <c r="AT65" s="82">
        <f t="shared" si="74"/>
        <v>0</v>
      </c>
      <c r="AU65" s="82">
        <f t="shared" si="74"/>
        <v>0</v>
      </c>
      <c r="AV65" s="82">
        <f t="shared" si="74"/>
        <v>52</v>
      </c>
      <c r="AW65" s="82">
        <f t="shared" si="74"/>
        <v>141</v>
      </c>
      <c r="AX65" s="82">
        <f t="shared" si="74"/>
        <v>0</v>
      </c>
      <c r="AY65" s="82">
        <f t="shared" si="74"/>
        <v>79</v>
      </c>
      <c r="AZ65" s="82">
        <f t="shared" si="74"/>
        <v>105</v>
      </c>
      <c r="BA65" s="82">
        <f t="shared" si="74"/>
        <v>0</v>
      </c>
      <c r="BB65" s="82">
        <f t="shared" si="74"/>
        <v>112</v>
      </c>
      <c r="BC65" s="82">
        <f t="shared" si="74"/>
        <v>118</v>
      </c>
      <c r="BD65" s="82">
        <f t="shared" si="74"/>
        <v>0</v>
      </c>
      <c r="BE65" s="82">
        <f t="shared" si="74"/>
        <v>99</v>
      </c>
      <c r="BF65" s="82">
        <f t="shared" si="74"/>
        <v>0</v>
      </c>
      <c r="BG65" s="82">
        <f t="shared" si="74"/>
        <v>0</v>
      </c>
      <c r="CG65" s="82">
        <f>SUM(CG5:CG60)</f>
        <v>394</v>
      </c>
      <c r="CH65" s="82">
        <f>SUM(CH5:CH60)</f>
        <v>69</v>
      </c>
      <c r="CI65" s="82">
        <f>SUM(CI5:CI59)</f>
        <v>705</v>
      </c>
      <c r="CK65" s="82">
        <f>SUM(CK5:CK60)</f>
        <v>5037</v>
      </c>
      <c r="CO65" s="82">
        <f>SUM(D65:BG65)</f>
        <v>5037</v>
      </c>
    </row>
    <row r="66" spans="3:93" x14ac:dyDescent="0.15">
      <c r="C66" s="82" t="s">
        <v>200</v>
      </c>
      <c r="D66" s="82">
        <f t="array" ref="D66:BG66">TRANSPOSE(Matches!Z5:Z61)</f>
        <v>0</v>
      </c>
      <c r="E66" s="82">
        <v>20</v>
      </c>
      <c r="F66" s="82">
        <v>14</v>
      </c>
      <c r="G66" s="82">
        <v>25</v>
      </c>
      <c r="H66" s="82">
        <v>17</v>
      </c>
      <c r="I66" s="82">
        <v>20</v>
      </c>
      <c r="J66" s="82">
        <v>30</v>
      </c>
      <c r="K66" s="82">
        <v>12</v>
      </c>
      <c r="L66" s="82">
        <v>24</v>
      </c>
      <c r="M66" s="82">
        <v>5</v>
      </c>
      <c r="N66" s="82">
        <v>31</v>
      </c>
      <c r="O66" s="82">
        <v>15</v>
      </c>
      <c r="P66" s="82">
        <v>12</v>
      </c>
      <c r="Q66" s="82">
        <v>9</v>
      </c>
      <c r="R66" s="82">
        <v>20</v>
      </c>
      <c r="S66" s="82">
        <v>23</v>
      </c>
      <c r="T66" s="82">
        <v>10</v>
      </c>
      <c r="U66" s="82">
        <v>22</v>
      </c>
      <c r="V66" s="82">
        <v>18</v>
      </c>
      <c r="W66" s="82">
        <v>12</v>
      </c>
      <c r="X66" s="82">
        <v>0</v>
      </c>
      <c r="Y66" s="82">
        <v>0</v>
      </c>
      <c r="Z66" s="82">
        <v>21</v>
      </c>
      <c r="AA66" s="82">
        <v>12</v>
      </c>
      <c r="AB66" s="82">
        <v>19</v>
      </c>
      <c r="AC66" s="82">
        <v>9</v>
      </c>
      <c r="AD66" s="82">
        <v>5</v>
      </c>
      <c r="AE66" s="82">
        <v>25</v>
      </c>
      <c r="AF66" s="82">
        <v>6</v>
      </c>
      <c r="AG66" s="82">
        <v>0</v>
      </c>
      <c r="AH66" s="82">
        <v>9</v>
      </c>
      <c r="AI66" s="82">
        <v>0</v>
      </c>
      <c r="AJ66" s="82">
        <v>24</v>
      </c>
      <c r="AK66" s="82">
        <v>30</v>
      </c>
      <c r="AL66" s="82">
        <v>8</v>
      </c>
      <c r="AM66" s="82">
        <v>14</v>
      </c>
      <c r="AN66" s="82">
        <v>0</v>
      </c>
      <c r="AO66" s="82">
        <v>4</v>
      </c>
      <c r="AP66" s="82">
        <v>0</v>
      </c>
      <c r="AQ66" s="82">
        <v>10</v>
      </c>
      <c r="AR66" s="82">
        <v>10</v>
      </c>
      <c r="AS66" s="82">
        <v>22</v>
      </c>
      <c r="AT66" s="82">
        <v>0</v>
      </c>
      <c r="AU66" s="82">
        <v>0</v>
      </c>
      <c r="AV66" s="82">
        <v>6</v>
      </c>
      <c r="AW66" s="82">
        <v>18</v>
      </c>
      <c r="AX66" s="82">
        <v>0</v>
      </c>
      <c r="AY66" s="82">
        <v>17</v>
      </c>
      <c r="AZ66" s="82">
        <v>5</v>
      </c>
      <c r="BA66" s="82">
        <v>0</v>
      </c>
      <c r="BB66" s="82">
        <v>5</v>
      </c>
      <c r="BC66" s="82">
        <v>13</v>
      </c>
      <c r="BD66" s="82">
        <v>0</v>
      </c>
      <c r="BE66" s="82">
        <v>9</v>
      </c>
      <c r="BF66" s="82">
        <v>0</v>
      </c>
      <c r="BG66" s="82">
        <v>0</v>
      </c>
      <c r="CO66" s="82">
        <f>SUM(D66:BG66)</f>
        <v>640</v>
      </c>
    </row>
    <row r="67" spans="3:93" s="70" customFormat="1" x14ac:dyDescent="0.15">
      <c r="C67" s="70" t="s">
        <v>202</v>
      </c>
      <c r="D67" s="70">
        <f>D66+D65</f>
        <v>0</v>
      </c>
      <c r="E67" s="70">
        <f t="shared" ref="E67:BG67" si="75">E66+E65</f>
        <v>125</v>
      </c>
      <c r="F67" s="70">
        <f t="shared" si="75"/>
        <v>185</v>
      </c>
      <c r="G67" s="70">
        <f t="shared" si="75"/>
        <v>147</v>
      </c>
      <c r="H67" s="70">
        <f t="shared" si="75"/>
        <v>92</v>
      </c>
      <c r="I67" s="70">
        <f t="shared" si="75"/>
        <v>126</v>
      </c>
      <c r="J67" s="70">
        <f t="shared" si="75"/>
        <v>188</v>
      </c>
      <c r="K67" s="70">
        <f t="shared" si="75"/>
        <v>134</v>
      </c>
      <c r="L67" s="70">
        <f t="shared" si="75"/>
        <v>164</v>
      </c>
      <c r="M67" s="70">
        <f t="shared" si="75"/>
        <v>88</v>
      </c>
      <c r="N67" s="70">
        <f t="shared" si="75"/>
        <v>171</v>
      </c>
      <c r="O67" s="70">
        <f t="shared" si="75"/>
        <v>158</v>
      </c>
      <c r="P67" s="70">
        <f t="shared" si="75"/>
        <v>235</v>
      </c>
      <c r="Q67" s="70">
        <f t="shared" si="75"/>
        <v>151</v>
      </c>
      <c r="R67" s="70">
        <f t="shared" si="75"/>
        <v>126</v>
      </c>
      <c r="S67" s="70">
        <f t="shared" si="75"/>
        <v>172</v>
      </c>
      <c r="T67" s="70">
        <f t="shared" si="75"/>
        <v>153</v>
      </c>
      <c r="U67" s="70">
        <f t="shared" si="75"/>
        <v>182</v>
      </c>
      <c r="V67" s="70">
        <f t="shared" si="75"/>
        <v>189</v>
      </c>
      <c r="W67" s="70">
        <f t="shared" si="75"/>
        <v>169</v>
      </c>
      <c r="X67" s="70">
        <f t="shared" si="75"/>
        <v>0</v>
      </c>
      <c r="Y67" s="70">
        <f t="shared" si="75"/>
        <v>0</v>
      </c>
      <c r="Z67" s="70">
        <f t="shared" si="75"/>
        <v>110</v>
      </c>
      <c r="AA67" s="70">
        <f t="shared" si="75"/>
        <v>156</v>
      </c>
      <c r="AB67" s="70">
        <f t="shared" si="75"/>
        <v>137</v>
      </c>
      <c r="AC67" s="70">
        <f t="shared" si="75"/>
        <v>51</v>
      </c>
      <c r="AD67" s="70">
        <f t="shared" si="75"/>
        <v>58</v>
      </c>
      <c r="AE67" s="70">
        <f t="shared" si="75"/>
        <v>149</v>
      </c>
      <c r="AF67" s="70">
        <f t="shared" si="75"/>
        <v>60</v>
      </c>
      <c r="AG67" s="70">
        <f t="shared" si="75"/>
        <v>0</v>
      </c>
      <c r="AH67" s="70">
        <f t="shared" si="75"/>
        <v>140</v>
      </c>
      <c r="AI67" s="70">
        <f t="shared" si="75"/>
        <v>0</v>
      </c>
      <c r="AJ67" s="70">
        <f t="shared" si="75"/>
        <v>165</v>
      </c>
      <c r="AK67" s="70">
        <f t="shared" si="75"/>
        <v>119</v>
      </c>
      <c r="AL67" s="70">
        <f t="shared" si="75"/>
        <v>65</v>
      </c>
      <c r="AM67" s="70">
        <f t="shared" si="75"/>
        <v>177</v>
      </c>
      <c r="AN67" s="70">
        <f t="shared" si="75"/>
        <v>0</v>
      </c>
      <c r="AO67" s="70">
        <f t="shared" si="75"/>
        <v>57</v>
      </c>
      <c r="AP67" s="70">
        <f t="shared" si="75"/>
        <v>60</v>
      </c>
      <c r="AQ67" s="70">
        <f t="shared" si="75"/>
        <v>133</v>
      </c>
      <c r="AR67" s="70">
        <f t="shared" si="75"/>
        <v>125</v>
      </c>
      <c r="AS67" s="70">
        <f t="shared" si="75"/>
        <v>181</v>
      </c>
      <c r="AT67" s="70">
        <f t="shared" si="75"/>
        <v>0</v>
      </c>
      <c r="AU67" s="70">
        <f t="shared" si="75"/>
        <v>0</v>
      </c>
      <c r="AV67" s="70">
        <f t="shared" si="75"/>
        <v>58</v>
      </c>
      <c r="AW67" s="70">
        <f t="shared" si="75"/>
        <v>159</v>
      </c>
      <c r="AX67" s="70">
        <f t="shared" si="75"/>
        <v>0</v>
      </c>
      <c r="AY67" s="70">
        <f t="shared" si="75"/>
        <v>96</v>
      </c>
      <c r="AZ67" s="70">
        <f t="shared" si="75"/>
        <v>110</v>
      </c>
      <c r="BA67" s="70">
        <f t="shared" si="75"/>
        <v>0</v>
      </c>
      <c r="BB67" s="70">
        <f t="shared" si="75"/>
        <v>117</v>
      </c>
      <c r="BC67" s="70">
        <f t="shared" si="75"/>
        <v>131</v>
      </c>
      <c r="BD67" s="70">
        <f t="shared" si="75"/>
        <v>0</v>
      </c>
      <c r="BE67" s="70">
        <f t="shared" si="75"/>
        <v>108</v>
      </c>
      <c r="BF67" s="70">
        <f t="shared" si="75"/>
        <v>0</v>
      </c>
      <c r="BG67" s="70">
        <f t="shared" si="75"/>
        <v>0</v>
      </c>
      <c r="CO67" s="70">
        <f>SUM(D67:BG67)</f>
        <v>5677</v>
      </c>
    </row>
    <row r="68" spans="3:93" x14ac:dyDescent="0.15">
      <c r="D68" s="63"/>
    </row>
    <row r="69" spans="3:93" x14ac:dyDescent="0.15">
      <c r="C69" s="82" t="s">
        <v>323</v>
      </c>
      <c r="D69" s="63" t="e">
        <f t="shared" ref="D69:AI69" ca="1" si="76">OFFSET($C$4,findcellcontaining("*",D5:D59),0)</f>
        <v>#N/A</v>
      </c>
      <c r="E69" s="63" t="str">
        <f t="shared" ca="1" si="76"/>
        <v>Woodhouse M</v>
      </c>
      <c r="F69" s="63" t="str">
        <f t="shared" ca="1" si="76"/>
        <v>Shewan D</v>
      </c>
      <c r="G69" s="63" t="str">
        <f t="shared" ca="1" si="76"/>
        <v>Morris D</v>
      </c>
      <c r="H69" s="63" t="str">
        <f t="shared" ca="1" si="76"/>
        <v>Woodhouse M</v>
      </c>
      <c r="I69" s="63" t="str">
        <f t="shared" ca="1" si="76"/>
        <v>Shewan D</v>
      </c>
      <c r="J69" s="63" t="str">
        <f t="shared" ca="1" si="76"/>
        <v>Morris D</v>
      </c>
      <c r="K69" s="63" t="str">
        <f t="shared" ca="1" si="76"/>
        <v>Woodhouse M</v>
      </c>
      <c r="L69" s="63" t="str">
        <f t="shared" ca="1" si="76"/>
        <v>Springer T</v>
      </c>
      <c r="M69" s="63" t="str">
        <f t="shared" ca="1" si="76"/>
        <v>Morris D</v>
      </c>
      <c r="N69" s="63" t="str">
        <f t="shared" ca="1" si="76"/>
        <v>Woodhouse M</v>
      </c>
      <c r="O69" s="63" t="str">
        <f t="shared" ca="1" si="76"/>
        <v>Morris D</v>
      </c>
      <c r="P69" s="63" t="str">
        <f t="shared" ca="1" si="76"/>
        <v>Worthington R</v>
      </c>
      <c r="Q69" s="63" t="str">
        <f t="shared" ca="1" si="76"/>
        <v>Springer T</v>
      </c>
      <c r="R69" s="63" t="str">
        <f t="shared" ca="1" si="76"/>
        <v>Woodhouse M</v>
      </c>
      <c r="S69" s="63" t="str">
        <f t="shared" ca="1" si="76"/>
        <v>Springer T</v>
      </c>
      <c r="T69" s="63" t="str">
        <f t="shared" ca="1" si="76"/>
        <v>Morris D</v>
      </c>
      <c r="U69" s="63" t="str">
        <f t="shared" ca="1" si="76"/>
        <v>Woodhouse M</v>
      </c>
      <c r="V69" s="63" t="str">
        <f t="shared" ca="1" si="76"/>
        <v>Springer T</v>
      </c>
      <c r="W69" s="63" t="str">
        <f t="shared" ca="1" si="76"/>
        <v>Elliston J</v>
      </c>
      <c r="X69" s="63" t="e">
        <f t="shared" ca="1" si="76"/>
        <v>#N/A</v>
      </c>
      <c r="Y69" s="63" t="e">
        <f t="shared" ca="1" si="76"/>
        <v>#N/A</v>
      </c>
      <c r="Z69" s="63" t="str">
        <f t="shared" ca="1" si="76"/>
        <v>Morris D</v>
      </c>
      <c r="AA69" s="63" t="str">
        <f t="shared" ca="1" si="76"/>
        <v>Woodhouse M</v>
      </c>
      <c r="AB69" s="63" t="str">
        <f t="shared" ca="1" si="76"/>
        <v>Springer T</v>
      </c>
      <c r="AC69" s="63" t="str">
        <f t="shared" ca="1" si="76"/>
        <v>Morris D</v>
      </c>
      <c r="AD69" s="63" t="str">
        <f t="shared" ca="1" si="76"/>
        <v>Woodhouse M</v>
      </c>
      <c r="AE69" s="63" t="str">
        <f t="shared" ca="1" si="76"/>
        <v>Springer T</v>
      </c>
      <c r="AF69" s="63" t="str">
        <f t="shared" ca="1" si="76"/>
        <v>Elliston J</v>
      </c>
      <c r="AG69" s="63" t="e">
        <f t="shared" ca="1" si="76"/>
        <v>#N/A</v>
      </c>
      <c r="AH69" s="63" t="str">
        <f t="shared" ca="1" si="76"/>
        <v>Shewan D</v>
      </c>
      <c r="AI69" s="63" t="str">
        <f t="shared" ca="1" si="76"/>
        <v>Woodhouse M</v>
      </c>
      <c r="AJ69" s="63" t="str">
        <f t="shared" ref="AJ69:BO69" ca="1" si="77">OFFSET($C$4,findcellcontaining("*",AJ5:AJ59),0)</f>
        <v>Woodhouse M</v>
      </c>
      <c r="AK69" s="63" t="str">
        <f t="shared" ca="1" si="77"/>
        <v>Springer T</v>
      </c>
      <c r="AL69" s="63" t="str">
        <f t="shared" ca="1" si="77"/>
        <v>Woodhouse M</v>
      </c>
      <c r="AM69" s="63" t="str">
        <f t="shared" ca="1" si="77"/>
        <v>Shewan D</v>
      </c>
      <c r="AN69" s="63" t="str">
        <f t="shared" ca="1" si="77"/>
        <v>Woodhouse M</v>
      </c>
      <c r="AO69" s="63" t="str">
        <f t="shared" ca="1" si="77"/>
        <v>Shewan D</v>
      </c>
      <c r="AP69" s="63" t="str">
        <f t="shared" ca="1" si="77"/>
        <v>Worthington R</v>
      </c>
      <c r="AQ69" s="63" t="str">
        <f t="shared" ca="1" si="77"/>
        <v>Shewan D</v>
      </c>
      <c r="AR69" s="63" t="str">
        <f t="shared" ca="1" si="77"/>
        <v>Woodhouse M</v>
      </c>
      <c r="AS69" s="63" t="str">
        <f t="shared" ca="1" si="77"/>
        <v>Shewan D</v>
      </c>
      <c r="AT69" s="63" t="e">
        <f t="shared" ca="1" si="77"/>
        <v>#N/A</v>
      </c>
      <c r="AU69" s="63" t="e">
        <f t="shared" ca="1" si="77"/>
        <v>#N/A</v>
      </c>
      <c r="AV69" s="63" t="str">
        <f t="shared" ca="1" si="77"/>
        <v>Woodhouse M</v>
      </c>
      <c r="AW69" s="63" t="str">
        <f t="shared" ca="1" si="77"/>
        <v>Springer T</v>
      </c>
      <c r="AX69" s="63" t="e">
        <f t="shared" ca="1" si="77"/>
        <v>#N/A</v>
      </c>
      <c r="AY69" s="63" t="str">
        <f t="shared" ca="1" si="77"/>
        <v>Springer T</v>
      </c>
      <c r="AZ69" s="63" t="str">
        <f t="shared" ca="1" si="77"/>
        <v>Elliston J</v>
      </c>
      <c r="BA69" s="63" t="e">
        <f t="shared" ca="1" si="77"/>
        <v>#N/A</v>
      </c>
      <c r="BB69" s="63" t="str">
        <f t="shared" ca="1" si="77"/>
        <v>Shewan D</v>
      </c>
      <c r="BC69" s="63" t="str">
        <f t="shared" ca="1" si="77"/>
        <v>Morris D</v>
      </c>
      <c r="BD69" s="63" t="e">
        <f t="shared" ca="1" si="77"/>
        <v>#N/A</v>
      </c>
      <c r="BE69" s="63" t="str">
        <f t="shared" ca="1" si="77"/>
        <v>Springer T</v>
      </c>
      <c r="BF69" s="63" t="e">
        <f t="shared" ca="1" si="77"/>
        <v>#N/A</v>
      </c>
      <c r="BG69" s="63" t="e">
        <f t="shared" ca="1" si="77"/>
        <v>#N/A</v>
      </c>
      <c r="BH69" s="63" t="e">
        <f t="shared" ca="1" si="77"/>
        <v>#N/A</v>
      </c>
      <c r="BI69" s="63" t="e">
        <f t="shared" ca="1" si="77"/>
        <v>#N/A</v>
      </c>
      <c r="BJ69" s="63" t="e">
        <f t="shared" ca="1" si="77"/>
        <v>#N/A</v>
      </c>
      <c r="BK69" s="63" t="e">
        <f t="shared" ca="1" si="77"/>
        <v>#N/A</v>
      </c>
      <c r="BL69" s="63" t="e">
        <f t="shared" ca="1" si="77"/>
        <v>#N/A</v>
      </c>
      <c r="BM69" s="63" t="e">
        <f t="shared" ca="1" si="77"/>
        <v>#N/A</v>
      </c>
      <c r="BN69" s="63" t="e">
        <f t="shared" ca="1" si="77"/>
        <v>#N/A</v>
      </c>
      <c r="BO69" s="63" t="e">
        <f t="shared" ca="1" si="77"/>
        <v>#N/A</v>
      </c>
      <c r="BP69" s="63" t="e">
        <f t="shared" ref="BP69:CD69" ca="1" si="78">OFFSET($C$4,findcellcontaining("*",BP5:BP59),0)</f>
        <v>#N/A</v>
      </c>
      <c r="BQ69" s="63" t="e">
        <f t="shared" ca="1" si="78"/>
        <v>#N/A</v>
      </c>
      <c r="BR69" s="63" t="e">
        <f t="shared" ca="1" si="78"/>
        <v>#N/A</v>
      </c>
      <c r="BS69" s="63" t="e">
        <f t="shared" ca="1" si="78"/>
        <v>#N/A</v>
      </c>
      <c r="BT69" s="63" t="e">
        <f t="shared" ca="1" si="78"/>
        <v>#N/A</v>
      </c>
      <c r="BU69" s="63" t="e">
        <f t="shared" ca="1" si="78"/>
        <v>#N/A</v>
      </c>
      <c r="BV69" s="63" t="e">
        <f t="shared" ca="1" si="78"/>
        <v>#N/A</v>
      </c>
      <c r="BW69" s="63" t="e">
        <f t="shared" ca="1" si="78"/>
        <v>#N/A</v>
      </c>
      <c r="BX69" s="63" t="e">
        <f t="shared" ca="1" si="78"/>
        <v>#N/A</v>
      </c>
      <c r="BY69" s="63" t="e">
        <f t="shared" ca="1" si="78"/>
        <v>#N/A</v>
      </c>
      <c r="BZ69" s="63" t="e">
        <f t="shared" ca="1" si="78"/>
        <v>#N/A</v>
      </c>
      <c r="CA69" s="63" t="e">
        <f t="shared" ca="1" si="78"/>
        <v>#N/A</v>
      </c>
      <c r="CB69" s="63" t="e">
        <f t="shared" ca="1" si="78"/>
        <v>#N/A</v>
      </c>
      <c r="CC69" s="63" t="e">
        <f t="shared" ca="1" si="78"/>
        <v>#N/A</v>
      </c>
      <c r="CD69" s="63" t="e">
        <f t="shared" ca="1" si="78"/>
        <v>#N/A</v>
      </c>
    </row>
    <row r="70" spans="3:93" x14ac:dyDescent="0.15">
      <c r="E70" s="82" t="str">
        <f>E4</f>
        <v>L</v>
      </c>
      <c r="F70" s="82" t="str">
        <f t="shared" ref="F70:BQ70" si="79">F4</f>
        <v>D</v>
      </c>
      <c r="G70" s="82" t="str">
        <f t="shared" si="79"/>
        <v>W</v>
      </c>
      <c r="H70" s="82" t="str">
        <f t="shared" si="79"/>
        <v>D</v>
      </c>
      <c r="I70" s="82" t="str">
        <f t="shared" si="79"/>
        <v>W</v>
      </c>
      <c r="J70" s="82" t="str">
        <f t="shared" si="79"/>
        <v>W</v>
      </c>
      <c r="K70" s="82" t="str">
        <f t="shared" si="79"/>
        <v>W</v>
      </c>
      <c r="L70" s="82" t="str">
        <f t="shared" si="79"/>
        <v>L</v>
      </c>
      <c r="M70" s="82" t="str">
        <f t="shared" si="79"/>
        <v>W</v>
      </c>
      <c r="N70" s="82" t="str">
        <f t="shared" si="79"/>
        <v>W</v>
      </c>
      <c r="O70" s="82" t="str">
        <f t="shared" si="79"/>
        <v>W</v>
      </c>
      <c r="P70" s="82" t="str">
        <f t="shared" si="79"/>
        <v>W</v>
      </c>
      <c r="Q70" s="82" t="str">
        <f t="shared" si="79"/>
        <v>W</v>
      </c>
      <c r="R70" s="82" t="str">
        <f t="shared" si="79"/>
        <v>L</v>
      </c>
      <c r="S70" s="82" t="str">
        <f t="shared" si="79"/>
        <v>D</v>
      </c>
      <c r="T70" s="82" t="str">
        <f t="shared" si="79"/>
        <v>W</v>
      </c>
      <c r="U70" s="82" t="str">
        <f t="shared" si="79"/>
        <v>D</v>
      </c>
      <c r="V70" s="82" t="str">
        <f t="shared" si="79"/>
        <v>L</v>
      </c>
      <c r="W70" s="82" t="str">
        <f t="shared" si="79"/>
        <v>D</v>
      </c>
      <c r="X70" s="82">
        <f t="shared" si="79"/>
        <v>0</v>
      </c>
      <c r="Y70" s="82">
        <f t="shared" si="79"/>
        <v>0</v>
      </c>
      <c r="Z70" s="82" t="str">
        <f t="shared" si="79"/>
        <v>W</v>
      </c>
      <c r="AA70" s="82" t="str">
        <f t="shared" si="79"/>
        <v>L</v>
      </c>
      <c r="AB70" s="82" t="str">
        <f t="shared" si="79"/>
        <v>D</v>
      </c>
      <c r="AC70" s="82" t="str">
        <f t="shared" si="79"/>
        <v>L</v>
      </c>
      <c r="AD70" s="82" t="str">
        <f t="shared" si="79"/>
        <v>D</v>
      </c>
      <c r="AE70" s="82" t="str">
        <f t="shared" si="79"/>
        <v>L</v>
      </c>
      <c r="AF70" s="82" t="str">
        <f t="shared" si="79"/>
        <v>L</v>
      </c>
      <c r="AG70" s="82">
        <f t="shared" si="79"/>
        <v>0</v>
      </c>
      <c r="AH70" s="82" t="str">
        <f t="shared" si="79"/>
        <v>L</v>
      </c>
      <c r="AI70" s="82" t="str">
        <f t="shared" si="79"/>
        <v>ND</v>
      </c>
      <c r="AJ70" s="82" t="str">
        <f t="shared" si="79"/>
        <v>W</v>
      </c>
      <c r="AK70" s="82" t="str">
        <f t="shared" si="79"/>
        <v>D</v>
      </c>
      <c r="AL70" s="82" t="str">
        <f t="shared" si="79"/>
        <v>W</v>
      </c>
      <c r="AM70" s="82" t="str">
        <f t="shared" si="79"/>
        <v>D</v>
      </c>
      <c r="AN70" s="82" t="str">
        <f t="shared" si="79"/>
        <v>ND</v>
      </c>
      <c r="AO70" s="82" t="str">
        <f t="shared" si="79"/>
        <v>W</v>
      </c>
      <c r="AP70" s="82" t="str">
        <f t="shared" si="79"/>
        <v>L</v>
      </c>
      <c r="AQ70" s="82" t="str">
        <f t="shared" si="79"/>
        <v>D</v>
      </c>
      <c r="AR70" s="82" t="str">
        <f t="shared" si="79"/>
        <v>D</v>
      </c>
      <c r="AS70" s="82" t="str">
        <f t="shared" si="79"/>
        <v>D</v>
      </c>
      <c r="AT70" s="82">
        <f t="shared" si="79"/>
        <v>0</v>
      </c>
      <c r="AU70" s="82">
        <f t="shared" si="79"/>
        <v>0</v>
      </c>
      <c r="AV70" s="82" t="str">
        <f t="shared" si="79"/>
        <v>L</v>
      </c>
      <c r="AW70" s="82" t="str">
        <f t="shared" si="79"/>
        <v>L</v>
      </c>
      <c r="AX70" s="82">
        <f t="shared" si="79"/>
        <v>0</v>
      </c>
      <c r="AY70" s="82" t="str">
        <f t="shared" si="79"/>
        <v>L</v>
      </c>
      <c r="AZ70" s="82" t="str">
        <f t="shared" si="79"/>
        <v>W</v>
      </c>
      <c r="BA70" s="82">
        <f t="shared" si="79"/>
        <v>0</v>
      </c>
      <c r="BB70" s="82" t="str">
        <f t="shared" si="79"/>
        <v>W</v>
      </c>
      <c r="BC70" s="82" t="str">
        <f t="shared" si="79"/>
        <v>D</v>
      </c>
      <c r="BD70" s="82">
        <f t="shared" si="79"/>
        <v>0</v>
      </c>
      <c r="BE70" s="82" t="str">
        <f t="shared" si="79"/>
        <v>W</v>
      </c>
      <c r="BF70" s="82">
        <f t="shared" si="79"/>
        <v>0</v>
      </c>
      <c r="BG70" s="82">
        <f t="shared" si="79"/>
        <v>0</v>
      </c>
      <c r="BH70" s="82">
        <f t="shared" si="79"/>
        <v>0</v>
      </c>
      <c r="BI70" s="82">
        <f t="shared" si="79"/>
        <v>0</v>
      </c>
      <c r="BJ70" s="82">
        <f t="shared" si="79"/>
        <v>0</v>
      </c>
      <c r="BK70" s="82">
        <f t="shared" si="79"/>
        <v>0</v>
      </c>
      <c r="BL70" s="82">
        <f t="shared" si="79"/>
        <v>0</v>
      </c>
      <c r="BM70" s="82">
        <f t="shared" si="79"/>
        <v>0</v>
      </c>
      <c r="BN70" s="82">
        <f t="shared" si="79"/>
        <v>0</v>
      </c>
      <c r="BO70" s="82">
        <f t="shared" si="79"/>
        <v>0</v>
      </c>
      <c r="BP70" s="82">
        <f t="shared" si="79"/>
        <v>0</v>
      </c>
      <c r="BQ70" s="82">
        <f t="shared" si="79"/>
        <v>0</v>
      </c>
      <c r="BR70" s="82">
        <f t="shared" ref="BR70:CD70" si="80">BR4</f>
        <v>0</v>
      </c>
      <c r="BS70" s="82">
        <f t="shared" si="80"/>
        <v>0</v>
      </c>
      <c r="BT70" s="82">
        <f t="shared" si="80"/>
        <v>0</v>
      </c>
      <c r="BU70" s="82">
        <f t="shared" si="80"/>
        <v>0</v>
      </c>
      <c r="BV70" s="82">
        <f t="shared" si="80"/>
        <v>0</v>
      </c>
      <c r="BW70" s="82">
        <f t="shared" si="80"/>
        <v>0</v>
      </c>
      <c r="BX70" s="82">
        <f t="shared" si="80"/>
        <v>0</v>
      </c>
      <c r="BY70" s="82">
        <f t="shared" si="80"/>
        <v>0</v>
      </c>
      <c r="BZ70" s="82">
        <f t="shared" si="80"/>
        <v>0</v>
      </c>
      <c r="CA70" s="82">
        <f t="shared" si="80"/>
        <v>0</v>
      </c>
      <c r="CB70" s="82">
        <f t="shared" si="80"/>
        <v>0</v>
      </c>
      <c r="CC70" s="82">
        <f t="shared" si="80"/>
        <v>0</v>
      </c>
      <c r="CD70" s="82">
        <f t="shared" si="80"/>
        <v>0</v>
      </c>
      <c r="CO70" s="90">
        <f>CO67/(CG65-CH65)</f>
        <v>17.467692307692307</v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S81"/>
  <sheetViews>
    <sheetView tabSelected="1" workbookViewId="0">
      <pane xSplit="2" ySplit="4" topLeftCell="C5" activePane="bottomRight" state="frozenSplit"/>
      <selection activeCell="AG24" sqref="AG24"/>
      <selection pane="topRight" activeCell="AG24" sqref="AG24"/>
      <selection pane="bottomLeft" activeCell="AG24" sqref="AG24"/>
      <selection pane="bottomRight" activeCell="BB12" sqref="BB12"/>
    </sheetView>
  </sheetViews>
  <sheetFormatPr defaultRowHeight="10.5" x14ac:dyDescent="0.15"/>
  <cols>
    <col min="1" max="1" width="6.28515625" style="2" bestFit="1" customWidth="1"/>
    <col min="2" max="2" width="13.7109375" style="2" bestFit="1" customWidth="1"/>
    <col min="3" max="58" width="3.28515625" style="2" customWidth="1"/>
    <col min="59" max="81" width="2.85546875" style="2" bestFit="1" customWidth="1"/>
    <col min="82" max="82" width="9.140625" style="2"/>
    <col min="83" max="83" width="5.5703125" style="63" bestFit="1" customWidth="1"/>
    <col min="84" max="84" width="5" style="63" bestFit="1" customWidth="1"/>
    <col min="85" max="85" width="5.85546875" style="63" bestFit="1" customWidth="1"/>
    <col min="86" max="86" width="7" style="63" bestFit="1" customWidth="1"/>
    <col min="87" max="88" width="5" style="63" bestFit="1" customWidth="1"/>
    <col min="89" max="89" width="6.140625" style="64" bestFit="1" customWidth="1"/>
    <col min="90" max="90" width="5.5703125" style="63" bestFit="1" customWidth="1"/>
    <col min="91" max="91" width="4.85546875" style="63" bestFit="1" customWidth="1"/>
    <col min="92" max="92" width="4.7109375" style="56" bestFit="1" customWidth="1"/>
    <col min="93" max="93" width="7.85546875" style="63" bestFit="1" customWidth="1"/>
    <col min="94" max="94" width="5.85546875" style="63" bestFit="1" customWidth="1"/>
    <col min="95" max="95" width="7.5703125" style="6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7" s="3" customFormat="1" ht="50.25" customHeight="1" x14ac:dyDescent="0.15">
      <c r="B1" s="3" t="str">
        <f t="array" ref="B1:CC4">TRANSPOSE(Matches!B4:E84)</f>
        <v>Date</v>
      </c>
      <c r="C1" s="4">
        <v>35911</v>
      </c>
      <c r="D1" s="4">
        <v>35917</v>
      </c>
      <c r="E1" s="4">
        <v>35918</v>
      </c>
      <c r="F1" s="4">
        <v>35919</v>
      </c>
      <c r="G1" s="4">
        <v>35924</v>
      </c>
      <c r="H1" s="4">
        <v>35925</v>
      </c>
      <c r="I1" s="4">
        <v>35925</v>
      </c>
      <c r="J1" s="4">
        <v>35931</v>
      </c>
      <c r="K1" s="4">
        <v>35932</v>
      </c>
      <c r="L1" s="4">
        <v>35932</v>
      </c>
      <c r="M1" s="4">
        <v>35938</v>
      </c>
      <c r="N1" s="4">
        <v>35939</v>
      </c>
      <c r="O1" s="4">
        <v>35940</v>
      </c>
      <c r="P1" s="4">
        <v>35941</v>
      </c>
      <c r="Q1" s="4">
        <v>35945</v>
      </c>
      <c r="R1" s="4">
        <v>35946</v>
      </c>
      <c r="S1" s="4">
        <v>35946</v>
      </c>
      <c r="T1" s="4">
        <v>35952</v>
      </c>
      <c r="U1" s="4">
        <v>35953</v>
      </c>
      <c r="V1" s="4">
        <v>35953</v>
      </c>
      <c r="W1" s="4">
        <v>35959</v>
      </c>
      <c r="X1" s="4">
        <v>35960</v>
      </c>
      <c r="Y1" s="4">
        <v>35960</v>
      </c>
      <c r="Z1" s="4">
        <v>35966</v>
      </c>
      <c r="AA1" s="4">
        <v>35967</v>
      </c>
      <c r="AB1" s="4">
        <v>35967</v>
      </c>
      <c r="AC1" s="4">
        <v>35973</v>
      </c>
      <c r="AD1" s="4">
        <v>35974</v>
      </c>
      <c r="AE1" s="4">
        <v>35974</v>
      </c>
      <c r="AF1" s="4">
        <v>35980</v>
      </c>
      <c r="AG1" s="4">
        <v>35981</v>
      </c>
      <c r="AH1" s="4">
        <v>35987</v>
      </c>
      <c r="AI1" s="4">
        <v>35994</v>
      </c>
      <c r="AJ1" s="4">
        <v>35995</v>
      </c>
      <c r="AK1" s="4">
        <v>36001</v>
      </c>
      <c r="AL1" s="4">
        <v>36002</v>
      </c>
      <c r="AM1" s="4">
        <v>36008</v>
      </c>
      <c r="AN1" s="4">
        <v>36009</v>
      </c>
      <c r="AO1" s="4">
        <v>36015</v>
      </c>
      <c r="AP1" s="4">
        <v>36016</v>
      </c>
      <c r="AQ1" s="4">
        <v>36022</v>
      </c>
      <c r="AR1" s="4">
        <v>36023</v>
      </c>
      <c r="AS1" s="4">
        <v>36029</v>
      </c>
      <c r="AT1" s="4">
        <v>36030</v>
      </c>
      <c r="AU1" s="4">
        <v>36036</v>
      </c>
      <c r="AV1" s="4">
        <v>36037</v>
      </c>
      <c r="AW1" s="4">
        <v>36043</v>
      </c>
      <c r="AX1" s="4">
        <v>36044</v>
      </c>
      <c r="AY1" s="4">
        <v>36044</v>
      </c>
      <c r="AZ1" s="4">
        <v>36050</v>
      </c>
      <c r="BA1" s="4">
        <v>36051</v>
      </c>
      <c r="BB1" s="4">
        <v>36051</v>
      </c>
      <c r="BC1" s="4">
        <v>36057</v>
      </c>
      <c r="BD1" s="4">
        <v>36058</v>
      </c>
      <c r="BE1" s="4">
        <v>36064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>
        <v>0</v>
      </c>
      <c r="CE1" s="60"/>
      <c r="CF1" s="60"/>
      <c r="CG1" s="60"/>
      <c r="CH1" s="60"/>
      <c r="CI1" s="60"/>
      <c r="CJ1" s="60"/>
      <c r="CK1" s="61"/>
      <c r="CL1" s="62"/>
      <c r="CM1" s="62"/>
      <c r="CN1" s="55"/>
      <c r="CO1" s="62"/>
      <c r="CP1" s="62"/>
      <c r="CQ1" s="62"/>
    </row>
    <row r="2" spans="1:97" ht="87.75" customHeight="1" x14ac:dyDescent="0.15">
      <c r="B2" s="2" t="str">
        <v>Opp</v>
      </c>
      <c r="C2" s="1" t="str">
        <v>Selsdon</v>
      </c>
      <c r="D2" s="1" t="str">
        <v>West Wickham</v>
      </c>
      <c r="E2" s="1" t="str">
        <v>Commonwealth Offices</v>
      </c>
      <c r="F2" s="1" t="str">
        <v>Seaford</v>
      </c>
      <c r="G2" s="1" t="str">
        <v>Norwood Exiles</v>
      </c>
      <c r="H2" s="1" t="str">
        <v>Falcon</v>
      </c>
      <c r="I2" s="1" t="str">
        <v>Corner Pin</v>
      </c>
      <c r="J2" s="1" t="str">
        <v>Burgh Heath</v>
      </c>
      <c r="K2" s="1" t="str">
        <v>Thurlow Park RAFA</v>
      </c>
      <c r="L2" s="1" t="str">
        <v>Merton Saints</v>
      </c>
      <c r="M2" s="1" t="str">
        <v>Frensham</v>
      </c>
      <c r="N2" s="1" t="str">
        <v>Woodgreen</v>
      </c>
      <c r="O2" s="1" t="str">
        <v>Steeple Langford</v>
      </c>
      <c r="P2" s="1" t="str">
        <v>Cove</v>
      </c>
      <c r="Q2" s="1" t="str">
        <v>Deansbank</v>
      </c>
      <c r="R2" s="1" t="str">
        <v>Bromley Common</v>
      </c>
      <c r="S2" s="1" t="str">
        <v>Tabard Pilgrims</v>
      </c>
      <c r="T2" s="1" t="str">
        <v>Mad Hatters</v>
      </c>
      <c r="U2" s="1" t="str">
        <v>Frensham</v>
      </c>
      <c r="V2" s="1" t="str">
        <v>Merton Saints</v>
      </c>
      <c r="W2" s="1" t="str">
        <v>West Wickham</v>
      </c>
      <c r="X2" s="1" t="str">
        <v>Libri</v>
      </c>
      <c r="Y2" s="1" t="str">
        <v>4 C's</v>
      </c>
      <c r="Z2" s="1" t="str">
        <v>Beckenham IV</v>
      </c>
      <c r="AA2" s="1" t="str">
        <v>Carshalton</v>
      </c>
      <c r="AB2" s="1" t="str">
        <v>Addington</v>
      </c>
      <c r="AC2" s="1" t="str">
        <v>Central YMCA</v>
      </c>
      <c r="AD2" s="1" t="str">
        <v>Cobham</v>
      </c>
      <c r="AE2" s="1" t="str">
        <v>Sunderland Supporters</v>
      </c>
      <c r="AF2" s="1" t="str">
        <v>Deansbank</v>
      </c>
      <c r="AG2" s="1" t="str">
        <v>Murray</v>
      </c>
      <c r="AH2" s="1" t="str">
        <v>Southern Railway</v>
      </c>
      <c r="AI2" s="1" t="str">
        <v>Legless XI</v>
      </c>
      <c r="AJ2" s="1" t="str">
        <v>Falcon</v>
      </c>
      <c r="AK2" s="1" t="str">
        <v>LESSA Wanderers</v>
      </c>
      <c r="AL2" s="1" t="str">
        <v>Blendon</v>
      </c>
      <c r="AM2" s="1" t="str">
        <v>Flying Wickets</v>
      </c>
      <c r="AN2" s="1" t="str">
        <v>Whyteleaf</v>
      </c>
      <c r="AO2" s="1" t="str">
        <v>LESSA Wanderers</v>
      </c>
      <c r="AP2" s="1" t="str">
        <v>Addington</v>
      </c>
      <c r="AQ2" s="1" t="str">
        <v>Riverside</v>
      </c>
      <c r="AR2" s="1" t="str">
        <v>Hextable</v>
      </c>
      <c r="AS2" s="1" t="str">
        <v>Central YMCA</v>
      </c>
      <c r="AT2" s="1" t="str">
        <v>Estonia</v>
      </c>
      <c r="AU2" s="1" t="str">
        <v>Hamsey Green</v>
      </c>
      <c r="AV2" s="1" t="str">
        <v>Blendon</v>
      </c>
      <c r="AW2" s="1" t="str">
        <v>LESSA Wanderers</v>
      </c>
      <c r="AX2" s="1" t="str">
        <v>Selsdon</v>
      </c>
      <c r="AY2" s="1" t="str">
        <v>Corner Pin</v>
      </c>
      <c r="AZ2" s="1" t="str">
        <v>Clapham Old X</v>
      </c>
      <c r="BA2" s="1" t="str">
        <v>Beddington</v>
      </c>
      <c r="BB2" s="1" t="str">
        <v>East Cheam</v>
      </c>
      <c r="BC2" s="1" t="str">
        <v>Mad Hatters</v>
      </c>
      <c r="BD2" s="1" t="str">
        <v>Murray</v>
      </c>
      <c r="BE2" s="1" t="str">
        <v>Wandsworth Gods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>
        <v>0</v>
      </c>
    </row>
    <row r="3" spans="1:97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H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A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A</v>
      </c>
      <c r="U3" s="1" t="str">
        <v>A</v>
      </c>
      <c r="V3" s="1" t="str">
        <v>H</v>
      </c>
      <c r="W3" s="1" t="str">
        <v>A</v>
      </c>
      <c r="X3" s="1" t="str">
        <v>A</v>
      </c>
      <c r="Y3" s="1" t="str">
        <v>H</v>
      </c>
      <c r="Z3" s="1" t="str">
        <v>H</v>
      </c>
      <c r="AA3" s="1" t="str">
        <v>H</v>
      </c>
      <c r="AB3" s="1" t="str">
        <v>A</v>
      </c>
      <c r="AC3" s="1" t="str">
        <v>A</v>
      </c>
      <c r="AD3" s="1" t="str">
        <v>A</v>
      </c>
      <c r="AE3" s="1" t="str">
        <v>H</v>
      </c>
      <c r="AF3" s="1" t="str">
        <v>A</v>
      </c>
      <c r="AG3" s="1" t="str">
        <v>A</v>
      </c>
      <c r="AH3" s="1" t="str">
        <v>H</v>
      </c>
      <c r="AI3" s="1" t="str">
        <v>A</v>
      </c>
      <c r="AJ3" s="1" t="str">
        <v>H</v>
      </c>
      <c r="AK3" s="1" t="str">
        <v>A</v>
      </c>
      <c r="AL3" s="1" t="str">
        <v>H</v>
      </c>
      <c r="AM3" s="1" t="str">
        <v>H</v>
      </c>
      <c r="AN3" s="1" t="str">
        <v>A</v>
      </c>
      <c r="AO3" s="1" t="str">
        <v>A</v>
      </c>
      <c r="AP3" s="1" t="str">
        <v>H</v>
      </c>
      <c r="AQ3" s="1" t="str">
        <v>H</v>
      </c>
      <c r="AR3" s="1" t="str">
        <v>H</v>
      </c>
      <c r="AS3" s="1" t="str">
        <v>H</v>
      </c>
      <c r="AT3" s="1" t="str">
        <v>H</v>
      </c>
      <c r="AU3" s="1" t="str">
        <v>A</v>
      </c>
      <c r="AV3" s="1" t="str">
        <v>A</v>
      </c>
      <c r="AW3" s="1" t="str">
        <v>H</v>
      </c>
      <c r="AX3" s="1" t="str">
        <v>H</v>
      </c>
      <c r="AY3" s="1" t="str">
        <v>A</v>
      </c>
      <c r="AZ3" s="1" t="str">
        <v>H</v>
      </c>
      <c r="BA3" s="1" t="str">
        <v>A</v>
      </c>
      <c r="BB3" s="1" t="str">
        <v>H</v>
      </c>
      <c r="BC3" s="1" t="str">
        <v>H</v>
      </c>
      <c r="BD3" s="1" t="str">
        <v>H</v>
      </c>
      <c r="BE3" s="1" t="str">
        <v>H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>
        <v>0</v>
      </c>
      <c r="CP3" s="63">
        <f>SUM(CP5:CP44)</f>
        <v>241</v>
      </c>
      <c r="CQ3" s="63">
        <f>SUM(CQ5:CQ44)</f>
        <v>32</v>
      </c>
    </row>
    <row r="4" spans="1:97" ht="11.25" customHeight="1" x14ac:dyDescent="0.15">
      <c r="B4" s="2" t="str">
        <v>Result</v>
      </c>
      <c r="C4" s="1">
        <v>0</v>
      </c>
      <c r="D4" s="1" t="str">
        <v>L</v>
      </c>
      <c r="E4" s="1" t="str">
        <v>D</v>
      </c>
      <c r="F4" s="1" t="str">
        <v>W</v>
      </c>
      <c r="G4" s="1" t="str">
        <v>D</v>
      </c>
      <c r="H4" s="1" t="str">
        <v>W</v>
      </c>
      <c r="I4" s="1" t="str">
        <v>W</v>
      </c>
      <c r="J4" s="1" t="str">
        <v>W</v>
      </c>
      <c r="K4" s="1" t="str">
        <v>L</v>
      </c>
      <c r="L4" s="1" t="str">
        <v>W</v>
      </c>
      <c r="M4" s="1" t="str">
        <v>W</v>
      </c>
      <c r="N4" s="1" t="str">
        <v>W</v>
      </c>
      <c r="O4" s="1" t="str">
        <v>W</v>
      </c>
      <c r="P4" s="1" t="str">
        <v>W</v>
      </c>
      <c r="Q4" s="1" t="str">
        <v>L</v>
      </c>
      <c r="R4" s="1" t="str">
        <v>D</v>
      </c>
      <c r="S4" s="1" t="str">
        <v>W</v>
      </c>
      <c r="T4" s="1" t="str">
        <v>D</v>
      </c>
      <c r="U4" s="1" t="str">
        <v>L</v>
      </c>
      <c r="V4" s="1" t="str">
        <v>D</v>
      </c>
      <c r="W4" s="1">
        <v>0</v>
      </c>
      <c r="X4" s="1">
        <v>0</v>
      </c>
      <c r="Y4" s="1" t="str">
        <v>W</v>
      </c>
      <c r="Z4" s="1" t="str">
        <v>L</v>
      </c>
      <c r="AA4" s="1" t="str">
        <v>D</v>
      </c>
      <c r="AB4" s="1" t="str">
        <v>L</v>
      </c>
      <c r="AC4" s="1" t="str">
        <v>D</v>
      </c>
      <c r="AD4" s="1" t="str">
        <v>L</v>
      </c>
      <c r="AE4" s="1" t="str">
        <v>L</v>
      </c>
      <c r="AF4" s="1">
        <v>0</v>
      </c>
      <c r="AG4" s="1" t="str">
        <v>L</v>
      </c>
      <c r="AH4" s="1" t="str">
        <v>ND</v>
      </c>
      <c r="AI4" s="1" t="str">
        <v>W</v>
      </c>
      <c r="AJ4" s="1" t="str">
        <v>D</v>
      </c>
      <c r="AK4" s="1" t="str">
        <v>W</v>
      </c>
      <c r="AL4" s="1" t="str">
        <v>D</v>
      </c>
      <c r="AM4" s="1" t="str">
        <v>ND</v>
      </c>
      <c r="AN4" s="1" t="str">
        <v>W</v>
      </c>
      <c r="AO4" s="1" t="str">
        <v>L</v>
      </c>
      <c r="AP4" s="1" t="str">
        <v>D</v>
      </c>
      <c r="AQ4" s="1" t="str">
        <v>D</v>
      </c>
      <c r="AR4" s="1" t="str">
        <v>D</v>
      </c>
      <c r="AS4" s="1">
        <v>0</v>
      </c>
      <c r="AT4" s="1">
        <v>0</v>
      </c>
      <c r="AU4" s="1" t="str">
        <v>L</v>
      </c>
      <c r="AV4" s="1" t="str">
        <v>L</v>
      </c>
      <c r="AW4" s="1">
        <v>0</v>
      </c>
      <c r="AX4" s="1" t="str">
        <v>L</v>
      </c>
      <c r="AY4" s="1" t="str">
        <v>W</v>
      </c>
      <c r="AZ4" s="1">
        <v>0</v>
      </c>
      <c r="BA4" s="1" t="str">
        <v>W</v>
      </c>
      <c r="BB4" s="1" t="str">
        <v>D</v>
      </c>
      <c r="BC4" s="1">
        <v>0</v>
      </c>
      <c r="BD4" s="1" t="str">
        <v>W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>
        <v>0</v>
      </c>
      <c r="CE4" s="57" t="s">
        <v>7</v>
      </c>
      <c r="CF4" s="57" t="s">
        <v>70</v>
      </c>
      <c r="CG4" s="57" t="s">
        <v>71</v>
      </c>
      <c r="CH4" s="57" t="s">
        <v>72</v>
      </c>
      <c r="CI4" s="57" t="s">
        <v>9</v>
      </c>
      <c r="CJ4" s="57" t="s">
        <v>73</v>
      </c>
      <c r="CK4" s="54" t="s">
        <v>74</v>
      </c>
      <c r="CL4" s="57" t="s">
        <v>75</v>
      </c>
      <c r="CM4" s="57" t="s">
        <v>76</v>
      </c>
      <c r="CN4" s="56" t="s">
        <v>156</v>
      </c>
      <c r="CO4" s="63" t="s">
        <v>77</v>
      </c>
      <c r="CP4" s="63" t="s">
        <v>190</v>
      </c>
      <c r="CQ4" s="63" t="s">
        <v>191</v>
      </c>
      <c r="CR4" s="92" t="s">
        <v>542</v>
      </c>
      <c r="CS4" s="2" t="s">
        <v>439</v>
      </c>
    </row>
    <row r="5" spans="1:97" ht="11.25" customHeight="1" x14ac:dyDescent="0.15">
      <c r="A5" s="2" t="s">
        <v>108</v>
      </c>
      <c r="B5" s="2" t="s">
        <v>29</v>
      </c>
      <c r="G5" s="2" t="s">
        <v>339</v>
      </c>
      <c r="Z5" s="2" t="s">
        <v>645</v>
      </c>
      <c r="AC5" s="2" t="s">
        <v>653</v>
      </c>
      <c r="CE5" s="63">
        <f>BowlSplit(C5:BC5,InnsBowledIn)</f>
        <v>3</v>
      </c>
      <c r="CF5" s="63">
        <f t="shared" ref="CF5:CF32" si="0">BowlSplit(C5:CC5,BallsBowled)</f>
        <v>174</v>
      </c>
      <c r="CG5" s="65">
        <f t="shared" ref="CG5:CG32" si="1">BowlSplit(C5:CC5,OversBowled)</f>
        <v>29</v>
      </c>
      <c r="CH5" s="63">
        <f t="shared" ref="CH5:CH32" si="2">BowlSplit(C5:CC5,Maidens)</f>
        <v>5</v>
      </c>
      <c r="CI5" s="63">
        <f t="shared" ref="CI5:CI32" si="3">BowlSplit(C5:CC5,RunsConceded)</f>
        <v>106</v>
      </c>
      <c r="CJ5" s="63">
        <f t="shared" ref="CJ5:CJ32" si="4">BowlSplit(C5:CC5,WicketsTaken)</f>
        <v>12</v>
      </c>
      <c r="CK5" s="66">
        <f>IF(CJ5&gt;0,CI5/CJ5,"")</f>
        <v>8.8333333333333339</v>
      </c>
      <c r="CL5" s="67">
        <f>IF(CJ5&gt;0,CF5/CJ5,"")</f>
        <v>14.5</v>
      </c>
      <c r="CM5" s="67">
        <f>IF(CF5&gt;0,6*CI5/CF5,"")</f>
        <v>3.6551724137931036</v>
      </c>
      <c r="CN5" s="56" t="str">
        <f t="shared" ref="CN5:CN32" si="5">BowlSplit(C5:CC5,BestBowling)</f>
        <v>8-59</v>
      </c>
      <c r="CO5" s="63">
        <f t="shared" ref="CO5:CO32" si="6">BowlSplit(C5:CC5,BowlPts)</f>
        <v>155</v>
      </c>
      <c r="CP5" s="63">
        <f t="shared" ref="CP5:CP32" si="7">BowlSplit(C5:CC5,Wides)</f>
        <v>2</v>
      </c>
      <c r="CQ5" s="63">
        <f t="shared" ref="CQ5:CQ32" si="8">BowlSplit(C5:CC5,NoBalls)</f>
        <v>0</v>
      </c>
      <c r="CR5" s="68">
        <f>IF(CJ5&gt;0,CK5,IF(CF5&gt;0,CF5+1000,99999))+ROW(CQ5)/10000</f>
        <v>8.8338333333333345</v>
      </c>
      <c r="CS5" s="2">
        <f>RANK(CR5,$CR$5:$CR$38,1)</f>
        <v>2</v>
      </c>
    </row>
    <row r="6" spans="1:97" ht="11.25" customHeight="1" x14ac:dyDescent="0.15">
      <c r="A6" s="2" t="s">
        <v>78</v>
      </c>
      <c r="B6" s="2" t="s">
        <v>31</v>
      </c>
      <c r="E6" s="2" t="s">
        <v>363</v>
      </c>
      <c r="J6" s="2" t="s">
        <v>418</v>
      </c>
      <c r="M6" s="68"/>
      <c r="N6" s="2" t="s">
        <v>514</v>
      </c>
      <c r="O6" s="2" t="s">
        <v>529</v>
      </c>
      <c r="P6" s="2" t="s">
        <v>533</v>
      </c>
      <c r="R6" s="2" t="s">
        <v>593</v>
      </c>
      <c r="AB6" s="2" t="s">
        <v>824</v>
      </c>
      <c r="AD6" s="2" t="s">
        <v>805</v>
      </c>
      <c r="AG6" s="2" t="s">
        <v>809</v>
      </c>
      <c r="AR6" s="2" t="s">
        <v>918</v>
      </c>
      <c r="AV6" s="2" t="s">
        <v>960</v>
      </c>
      <c r="BD6" s="2" t="s">
        <v>1002</v>
      </c>
      <c r="CE6" s="63">
        <f t="shared" ref="CE6:CE32" si="9">BowlSplit(C6:CC6,InnsBowledIn)</f>
        <v>12</v>
      </c>
      <c r="CF6" s="63">
        <f t="shared" si="0"/>
        <v>461</v>
      </c>
      <c r="CG6" s="65">
        <f t="shared" si="1"/>
        <v>76.5</v>
      </c>
      <c r="CH6" s="63">
        <f t="shared" si="2"/>
        <v>11</v>
      </c>
      <c r="CI6" s="63">
        <f t="shared" si="3"/>
        <v>281</v>
      </c>
      <c r="CJ6" s="63">
        <f t="shared" si="4"/>
        <v>13</v>
      </c>
      <c r="CK6" s="66">
        <f t="shared" ref="CK6:CK32" si="10">IF(CJ6&gt;0,CI6/CJ6,"")</f>
        <v>21.615384615384617</v>
      </c>
      <c r="CL6" s="67">
        <f t="shared" ref="CL6:CL32" si="11">IF(CJ6&gt;0,CF6/CJ6,"")</f>
        <v>35.46153846153846</v>
      </c>
      <c r="CM6" s="67">
        <f t="shared" ref="CM6:CM32" si="12">IF(CF6&gt;0,6*CI6/CF6,"")</f>
        <v>3.6572668112798263</v>
      </c>
      <c r="CN6" s="56" t="str">
        <f t="shared" si="5"/>
        <v>3-22</v>
      </c>
      <c r="CO6" s="63">
        <f t="shared" si="6"/>
        <v>186</v>
      </c>
      <c r="CP6" s="63">
        <f t="shared" si="7"/>
        <v>12</v>
      </c>
      <c r="CQ6" s="63">
        <f t="shared" si="8"/>
        <v>4</v>
      </c>
      <c r="CR6" s="68">
        <f t="shared" ref="CR6:CR38" si="13">IF(CJ6&gt;0,CK6,IF(CF6&gt;0,CF6+1000,99999))+ROW(CQ6)/10000</f>
        <v>21.615984615384615</v>
      </c>
      <c r="CS6" s="2">
        <f t="shared" ref="CS6:CS38" si="14">RANK(CR6,$CR$5:$CR$38,1)</f>
        <v>18</v>
      </c>
    </row>
    <row r="7" spans="1:97" ht="11.25" customHeight="1" x14ac:dyDescent="0.15">
      <c r="B7" s="2" t="s">
        <v>355</v>
      </c>
      <c r="E7" s="2" t="s">
        <v>364</v>
      </c>
      <c r="M7" s="68"/>
      <c r="CE7" s="63">
        <f>BowlSplit(C7:CC7,InnsBowledIn)</f>
        <v>1</v>
      </c>
      <c r="CF7" s="63">
        <f>BowlSplit(C7:CC7,BallsBowled)</f>
        <v>30</v>
      </c>
      <c r="CG7" s="65">
        <f>BowlSplit(C7:CC7,OversBowled)</f>
        <v>5</v>
      </c>
      <c r="CH7" s="63">
        <f>BowlSplit(C7:CC7,Maidens)</f>
        <v>0</v>
      </c>
      <c r="CI7" s="63">
        <f>BowlSplit(C7:CC7,RunsConceded)</f>
        <v>19</v>
      </c>
      <c r="CJ7" s="63">
        <f>BowlSplit(C7:CC7,WicketsTaken)</f>
        <v>1</v>
      </c>
      <c r="CK7" s="66">
        <f>IF(CJ7&gt;0,CI7/CJ7,"")</f>
        <v>19</v>
      </c>
      <c r="CL7" s="67">
        <f>IF(CJ7&gt;0,CF7/CJ7,"")</f>
        <v>30</v>
      </c>
      <c r="CM7" s="67">
        <f>IF(CF7&gt;0,6*CI7/CF7,"")</f>
        <v>3.8</v>
      </c>
      <c r="CN7" s="56" t="str">
        <f>BowlSplit(C7:CC7,BestBowling)</f>
        <v>1-19</v>
      </c>
      <c r="CO7" s="63">
        <f>BowlSplit(C7:CC7,BowlPts)</f>
        <v>15</v>
      </c>
      <c r="CP7" s="63">
        <f>BowlSplit(C7:CC7,Wides)</f>
        <v>4</v>
      </c>
      <c r="CQ7" s="63">
        <f>BowlSplit(C7:CC7,NoBalls)</f>
        <v>0</v>
      </c>
      <c r="CR7" s="68">
        <f t="shared" si="13"/>
        <v>19.000699999999998</v>
      </c>
      <c r="CS7" s="2">
        <f t="shared" si="14"/>
        <v>16</v>
      </c>
    </row>
    <row r="8" spans="1:97" ht="11.25" customHeight="1" x14ac:dyDescent="0.15">
      <c r="A8" s="2" t="s">
        <v>159</v>
      </c>
      <c r="B8" s="2" t="s">
        <v>336</v>
      </c>
      <c r="G8" s="2" t="s">
        <v>338</v>
      </c>
      <c r="J8" s="2" t="s">
        <v>417</v>
      </c>
      <c r="Q8" s="2" t="s">
        <v>559</v>
      </c>
      <c r="T8" s="2" t="s">
        <v>574</v>
      </c>
      <c r="AC8" s="2" t="s">
        <v>651</v>
      </c>
      <c r="AH8" s="2" t="s">
        <v>718</v>
      </c>
      <c r="CE8" s="63">
        <f t="shared" si="9"/>
        <v>6</v>
      </c>
      <c r="CF8" s="63">
        <f t="shared" si="0"/>
        <v>312</v>
      </c>
      <c r="CG8" s="65">
        <f t="shared" si="1"/>
        <v>52</v>
      </c>
      <c r="CH8" s="63">
        <f t="shared" si="2"/>
        <v>9</v>
      </c>
      <c r="CI8" s="63">
        <f t="shared" si="3"/>
        <v>133</v>
      </c>
      <c r="CJ8" s="63">
        <f t="shared" si="4"/>
        <v>9</v>
      </c>
      <c r="CK8" s="66">
        <f t="shared" si="10"/>
        <v>14.777777777777779</v>
      </c>
      <c r="CL8" s="67">
        <f t="shared" si="11"/>
        <v>34.666666666666664</v>
      </c>
      <c r="CM8" s="67">
        <f t="shared" si="12"/>
        <v>2.5576923076923075</v>
      </c>
      <c r="CN8" s="56" t="str">
        <f t="shared" si="5"/>
        <v>3-22</v>
      </c>
      <c r="CO8" s="63">
        <f t="shared" si="6"/>
        <v>149</v>
      </c>
      <c r="CP8" s="63">
        <f t="shared" si="7"/>
        <v>1</v>
      </c>
      <c r="CQ8" s="63">
        <f t="shared" si="8"/>
        <v>3</v>
      </c>
      <c r="CR8" s="68">
        <f t="shared" si="13"/>
        <v>14.778577777777778</v>
      </c>
      <c r="CS8" s="2">
        <f t="shared" si="14"/>
        <v>10</v>
      </c>
    </row>
    <row r="9" spans="1:97" ht="11.25" customHeight="1" x14ac:dyDescent="0.15">
      <c r="A9" s="2" t="s">
        <v>216</v>
      </c>
      <c r="B9" s="2" t="s">
        <v>194</v>
      </c>
      <c r="M9" s="68"/>
      <c r="AE9" s="2" t="s">
        <v>699</v>
      </c>
      <c r="CE9" s="63">
        <f t="shared" si="9"/>
        <v>1</v>
      </c>
      <c r="CF9" s="63">
        <f t="shared" si="0"/>
        <v>30</v>
      </c>
      <c r="CG9" s="65">
        <f t="shared" si="1"/>
        <v>5</v>
      </c>
      <c r="CH9" s="63">
        <f t="shared" si="2"/>
        <v>3</v>
      </c>
      <c r="CI9" s="63">
        <f t="shared" si="3"/>
        <v>6</v>
      </c>
      <c r="CJ9" s="63">
        <f t="shared" si="4"/>
        <v>0</v>
      </c>
      <c r="CK9" s="66" t="str">
        <f t="shared" si="10"/>
        <v/>
      </c>
      <c r="CL9" s="67" t="str">
        <f t="shared" si="11"/>
        <v/>
      </c>
      <c r="CM9" s="67">
        <f t="shared" si="12"/>
        <v>1.2</v>
      </c>
      <c r="CN9" s="56" t="str">
        <f t="shared" si="5"/>
        <v>0-6</v>
      </c>
      <c r="CO9" s="63">
        <f t="shared" si="6"/>
        <v>13</v>
      </c>
      <c r="CP9" s="63">
        <f t="shared" si="7"/>
        <v>0</v>
      </c>
      <c r="CQ9" s="63">
        <f t="shared" si="8"/>
        <v>0</v>
      </c>
      <c r="CR9" s="68">
        <f t="shared" si="13"/>
        <v>1030.0009</v>
      </c>
      <c r="CS9" s="2">
        <f t="shared" si="14"/>
        <v>30</v>
      </c>
    </row>
    <row r="10" spans="1:97" ht="11.25" customHeight="1" x14ac:dyDescent="0.15">
      <c r="A10" s="2" t="s">
        <v>79</v>
      </c>
      <c r="B10" s="2" t="s">
        <v>80</v>
      </c>
      <c r="F10" s="2" t="s">
        <v>370</v>
      </c>
      <c r="H10" s="2" t="s">
        <v>375</v>
      </c>
      <c r="K10" s="2" t="s">
        <v>437</v>
      </c>
      <c r="O10" s="2" t="s">
        <v>531</v>
      </c>
      <c r="P10" s="2" t="s">
        <v>536</v>
      </c>
      <c r="R10" s="2" t="s">
        <v>591</v>
      </c>
      <c r="T10" s="2" t="s">
        <v>575</v>
      </c>
      <c r="V10" s="2" t="s">
        <v>625</v>
      </c>
      <c r="AB10" s="2" t="s">
        <v>820</v>
      </c>
      <c r="AD10" s="2" t="s">
        <v>802</v>
      </c>
      <c r="AI10" s="2" t="s">
        <v>733</v>
      </c>
      <c r="AK10" s="2" t="s">
        <v>839</v>
      </c>
      <c r="AU10" s="2" t="s">
        <v>956</v>
      </c>
      <c r="AY10" s="2" t="s">
        <v>1038</v>
      </c>
      <c r="BA10" s="2" t="s">
        <v>1022</v>
      </c>
      <c r="BD10" s="2" t="s">
        <v>1005</v>
      </c>
      <c r="CE10" s="63">
        <f t="shared" si="9"/>
        <v>16</v>
      </c>
      <c r="CF10" s="63">
        <f t="shared" si="0"/>
        <v>574</v>
      </c>
      <c r="CG10" s="65">
        <f t="shared" si="1"/>
        <v>95.4</v>
      </c>
      <c r="CH10" s="63">
        <f t="shared" si="2"/>
        <v>17</v>
      </c>
      <c r="CI10" s="63">
        <f t="shared" si="3"/>
        <v>342</v>
      </c>
      <c r="CJ10" s="63">
        <f t="shared" si="4"/>
        <v>26</v>
      </c>
      <c r="CK10" s="66">
        <f t="shared" si="10"/>
        <v>13.153846153846153</v>
      </c>
      <c r="CL10" s="67">
        <f t="shared" si="11"/>
        <v>22.076923076923077</v>
      </c>
      <c r="CM10" s="67">
        <f t="shared" si="12"/>
        <v>3.5749128919860627</v>
      </c>
      <c r="CN10" s="56" t="str">
        <f t="shared" si="5"/>
        <v>5-38</v>
      </c>
      <c r="CO10" s="63">
        <f t="shared" si="6"/>
        <v>347</v>
      </c>
      <c r="CP10" s="63">
        <f t="shared" si="7"/>
        <v>5</v>
      </c>
      <c r="CQ10" s="63">
        <f t="shared" si="8"/>
        <v>0</v>
      </c>
      <c r="CR10" s="68">
        <f t="shared" si="13"/>
        <v>13.154846153846153</v>
      </c>
      <c r="CS10" s="2">
        <f t="shared" si="14"/>
        <v>8</v>
      </c>
    </row>
    <row r="11" spans="1:97" ht="11.25" customHeight="1" x14ac:dyDescent="0.15">
      <c r="A11" s="2" t="s">
        <v>81</v>
      </c>
      <c r="B11" s="2" t="s">
        <v>35</v>
      </c>
      <c r="M11" s="68"/>
      <c r="CE11" s="63">
        <f t="shared" si="9"/>
        <v>0</v>
      </c>
      <c r="CF11" s="63">
        <f t="shared" si="0"/>
        <v>0</v>
      </c>
      <c r="CG11" s="65">
        <f t="shared" si="1"/>
        <v>0</v>
      </c>
      <c r="CH11" s="63">
        <f t="shared" si="2"/>
        <v>0</v>
      </c>
      <c r="CI11" s="63">
        <f t="shared" si="3"/>
        <v>0</v>
      </c>
      <c r="CJ11" s="63">
        <f t="shared" si="4"/>
        <v>0</v>
      </c>
      <c r="CK11" s="66" t="str">
        <f t="shared" si="10"/>
        <v/>
      </c>
      <c r="CL11" s="67" t="str">
        <f t="shared" si="11"/>
        <v/>
      </c>
      <c r="CM11" s="67" t="str">
        <f t="shared" si="12"/>
        <v/>
      </c>
      <c r="CN11" s="56" t="str">
        <f t="shared" si="5"/>
        <v/>
      </c>
      <c r="CO11" s="63">
        <f t="shared" si="6"/>
        <v>0</v>
      </c>
      <c r="CP11" s="63">
        <f t="shared" si="7"/>
        <v>0</v>
      </c>
      <c r="CQ11" s="63">
        <f t="shared" si="8"/>
        <v>0</v>
      </c>
      <c r="CR11" s="68">
        <f t="shared" si="13"/>
        <v>99999.001099999994</v>
      </c>
      <c r="CS11" s="2">
        <f t="shared" si="14"/>
        <v>31</v>
      </c>
    </row>
    <row r="12" spans="1:97" ht="11.25" customHeight="1" x14ac:dyDescent="0.15">
      <c r="A12" s="2" t="s">
        <v>82</v>
      </c>
      <c r="B12" s="2" t="s">
        <v>36</v>
      </c>
      <c r="D12" s="2" t="s">
        <v>309</v>
      </c>
      <c r="G12" s="2" t="s">
        <v>342</v>
      </c>
      <c r="M12" s="2" t="s">
        <v>500</v>
      </c>
      <c r="N12" s="2" t="s">
        <v>513</v>
      </c>
      <c r="S12" s="2" t="s">
        <v>621</v>
      </c>
      <c r="T12" s="2" t="s">
        <v>578</v>
      </c>
      <c r="V12" s="2" t="s">
        <v>1089</v>
      </c>
      <c r="Y12" s="2" t="s">
        <v>674</v>
      </c>
      <c r="AB12" s="2" t="s">
        <v>822</v>
      </c>
      <c r="AE12" s="2" t="s">
        <v>700</v>
      </c>
      <c r="AJ12" s="2" t="s">
        <v>817</v>
      </c>
      <c r="AL12" s="2" t="s">
        <v>857</v>
      </c>
      <c r="AP12" s="2" t="s">
        <v>887</v>
      </c>
      <c r="AV12" s="2" t="s">
        <v>962</v>
      </c>
      <c r="AY12" s="2" t="s">
        <v>1039</v>
      </c>
      <c r="BB12" s="2" t="s">
        <v>1095</v>
      </c>
      <c r="CE12" s="63">
        <f t="shared" si="9"/>
        <v>16</v>
      </c>
      <c r="CF12" s="63">
        <f t="shared" si="0"/>
        <v>569</v>
      </c>
      <c r="CG12" s="65">
        <f t="shared" si="1"/>
        <v>94.5</v>
      </c>
      <c r="CH12" s="63">
        <f t="shared" si="2"/>
        <v>12</v>
      </c>
      <c r="CI12" s="63">
        <f t="shared" si="3"/>
        <v>368</v>
      </c>
      <c r="CJ12" s="63">
        <f t="shared" si="4"/>
        <v>21</v>
      </c>
      <c r="CK12" s="66">
        <f t="shared" si="10"/>
        <v>17.523809523809526</v>
      </c>
      <c r="CL12" s="67">
        <f t="shared" si="11"/>
        <v>27.095238095238095</v>
      </c>
      <c r="CM12" s="67">
        <f t="shared" si="12"/>
        <v>3.8804920913884007</v>
      </c>
      <c r="CN12" s="56" t="str">
        <f t="shared" si="5"/>
        <v>4-24</v>
      </c>
      <c r="CO12" s="63">
        <f t="shared" si="6"/>
        <v>277</v>
      </c>
      <c r="CP12" s="63">
        <f t="shared" si="7"/>
        <v>14</v>
      </c>
      <c r="CQ12" s="63">
        <f t="shared" si="8"/>
        <v>0</v>
      </c>
      <c r="CR12" s="68">
        <f t="shared" si="13"/>
        <v>17.525009523809526</v>
      </c>
      <c r="CS12" s="2">
        <f t="shared" si="14"/>
        <v>12</v>
      </c>
    </row>
    <row r="13" spans="1:97" ht="11.25" customHeight="1" x14ac:dyDescent="0.15">
      <c r="B13" s="2" t="s">
        <v>875</v>
      </c>
      <c r="AO13" s="2" t="s">
        <v>880</v>
      </c>
      <c r="CE13" s="63">
        <f>BowlSplit(C13:CC13,InnsBowledIn)</f>
        <v>1</v>
      </c>
      <c r="CF13" s="63">
        <f>BowlSplit(C13:CC13,BallsBowled)</f>
        <v>14</v>
      </c>
      <c r="CG13" s="65">
        <f>BowlSplit(C13:CC13,OversBowled)</f>
        <v>2.2000000000000002</v>
      </c>
      <c r="CH13" s="63">
        <f>BowlSplit(C13:CC13,Maidens)</f>
        <v>1</v>
      </c>
      <c r="CI13" s="63">
        <f>BowlSplit(C13:CC13,RunsConceded)</f>
        <v>7</v>
      </c>
      <c r="CJ13" s="63">
        <f>BowlSplit(C13:CC13,WicketsTaken)</f>
        <v>1</v>
      </c>
      <c r="CK13" s="66">
        <f>IF(CJ13&gt;0,CI13/CJ13,"")</f>
        <v>7</v>
      </c>
      <c r="CL13" s="67">
        <f>IF(CJ13&gt;0,CF13/CJ13,"")</f>
        <v>14</v>
      </c>
      <c r="CM13" s="67">
        <f>IF(CF13&gt;0,6*CI13/CF13,"")</f>
        <v>3</v>
      </c>
      <c r="CN13" s="56" t="str">
        <f>BowlSplit(C13:CC13,BestBowling)</f>
        <v>1-7</v>
      </c>
      <c r="CO13" s="63">
        <f>BowlSplit(C13:CC13,BowlPts)</f>
        <v>16</v>
      </c>
      <c r="CP13" s="63">
        <f>BowlSplit(C13:CC13,Wides)</f>
        <v>0</v>
      </c>
      <c r="CQ13" s="63">
        <f>BowlSplit(C13:CC13,NoBalls)</f>
        <v>0</v>
      </c>
      <c r="CR13" s="68">
        <f>IF(CJ13&gt;0,CK13,IF(CF13&gt;0,CF13+1000,99999))+ROW(CQ13)/10000</f>
        <v>7.0012999999999996</v>
      </c>
      <c r="CS13" s="2">
        <f t="shared" si="14"/>
        <v>1</v>
      </c>
    </row>
    <row r="14" spans="1:97" ht="11.25" customHeight="1" x14ac:dyDescent="0.15">
      <c r="A14" s="2" t="s">
        <v>107</v>
      </c>
      <c r="B14" s="2" t="s">
        <v>40</v>
      </c>
      <c r="CE14" s="63">
        <f t="shared" si="9"/>
        <v>0</v>
      </c>
      <c r="CF14" s="63">
        <f t="shared" si="0"/>
        <v>0</v>
      </c>
      <c r="CG14" s="65">
        <f t="shared" si="1"/>
        <v>0</v>
      </c>
      <c r="CH14" s="63">
        <f t="shared" si="2"/>
        <v>0</v>
      </c>
      <c r="CI14" s="63">
        <f t="shared" si="3"/>
        <v>0</v>
      </c>
      <c r="CJ14" s="63">
        <f t="shared" si="4"/>
        <v>0</v>
      </c>
      <c r="CK14" s="66" t="str">
        <f t="shared" si="10"/>
        <v/>
      </c>
      <c r="CL14" s="67" t="str">
        <f t="shared" si="11"/>
        <v/>
      </c>
      <c r="CM14" s="67" t="str">
        <f t="shared" si="12"/>
        <v/>
      </c>
      <c r="CN14" s="56" t="str">
        <f t="shared" si="5"/>
        <v/>
      </c>
      <c r="CO14" s="63">
        <f t="shared" si="6"/>
        <v>0</v>
      </c>
      <c r="CP14" s="63">
        <f t="shared" si="7"/>
        <v>0</v>
      </c>
      <c r="CQ14" s="63">
        <f t="shared" si="8"/>
        <v>0</v>
      </c>
      <c r="CR14" s="68">
        <f t="shared" si="13"/>
        <v>99999.001399999994</v>
      </c>
      <c r="CS14" s="2">
        <f t="shared" si="14"/>
        <v>32</v>
      </c>
    </row>
    <row r="15" spans="1:97" ht="11.25" customHeight="1" x14ac:dyDescent="0.15">
      <c r="A15" s="2" t="s">
        <v>83</v>
      </c>
      <c r="B15" s="2" t="s">
        <v>42</v>
      </c>
      <c r="E15" s="2" t="s">
        <v>369</v>
      </c>
      <c r="I15" s="2" t="s">
        <v>468</v>
      </c>
      <c r="L15" s="2" t="s">
        <v>473</v>
      </c>
      <c r="M15" s="68"/>
      <c r="R15" s="2" t="s">
        <v>361</v>
      </c>
      <c r="U15" s="2" t="s">
        <v>795</v>
      </c>
      <c r="AE15" s="2" t="s">
        <v>703</v>
      </c>
      <c r="AJ15" s="2" t="s">
        <v>819</v>
      </c>
      <c r="AR15" s="2" t="s">
        <v>922</v>
      </c>
      <c r="BB15" s="2" t="s">
        <v>994</v>
      </c>
      <c r="CE15" s="63">
        <f t="shared" si="9"/>
        <v>9</v>
      </c>
      <c r="CF15" s="63">
        <f t="shared" si="0"/>
        <v>192</v>
      </c>
      <c r="CG15" s="65">
        <f t="shared" si="1"/>
        <v>32</v>
      </c>
      <c r="CH15" s="63">
        <f t="shared" si="2"/>
        <v>4</v>
      </c>
      <c r="CI15" s="63">
        <f t="shared" si="3"/>
        <v>150</v>
      </c>
      <c r="CJ15" s="63">
        <f t="shared" si="4"/>
        <v>4</v>
      </c>
      <c r="CK15" s="66">
        <f t="shared" si="10"/>
        <v>37.5</v>
      </c>
      <c r="CL15" s="67">
        <f t="shared" si="11"/>
        <v>48</v>
      </c>
      <c r="CM15" s="67">
        <f t="shared" si="12"/>
        <v>4.6875</v>
      </c>
      <c r="CN15" s="56" t="str">
        <f t="shared" si="5"/>
        <v>2-41</v>
      </c>
      <c r="CO15" s="63">
        <f t="shared" si="6"/>
        <v>59</v>
      </c>
      <c r="CP15" s="63">
        <f t="shared" si="7"/>
        <v>11</v>
      </c>
      <c r="CQ15" s="63">
        <f t="shared" si="8"/>
        <v>0</v>
      </c>
      <c r="CR15" s="68">
        <f t="shared" si="13"/>
        <v>37.5015</v>
      </c>
      <c r="CS15" s="2">
        <f t="shared" si="14"/>
        <v>25</v>
      </c>
    </row>
    <row r="16" spans="1:97" ht="11.25" customHeight="1" x14ac:dyDescent="0.15">
      <c r="A16" s="2" t="s">
        <v>84</v>
      </c>
      <c r="B16" s="2" t="s">
        <v>85</v>
      </c>
      <c r="E16" s="2" t="s">
        <v>362</v>
      </c>
      <c r="I16" s="2" t="s">
        <v>463</v>
      </c>
      <c r="M16" s="68"/>
      <c r="S16" s="2" t="s">
        <v>619</v>
      </c>
      <c r="AC16" s="2" t="s">
        <v>655</v>
      </c>
      <c r="CE16" s="63">
        <f t="shared" si="9"/>
        <v>4</v>
      </c>
      <c r="CF16" s="63">
        <f t="shared" si="0"/>
        <v>138</v>
      </c>
      <c r="CG16" s="65">
        <f t="shared" si="1"/>
        <v>23</v>
      </c>
      <c r="CH16" s="63">
        <f t="shared" si="2"/>
        <v>2</v>
      </c>
      <c r="CI16" s="63">
        <f t="shared" si="3"/>
        <v>88</v>
      </c>
      <c r="CJ16" s="63">
        <f t="shared" si="4"/>
        <v>5</v>
      </c>
      <c r="CK16" s="66">
        <f t="shared" si="10"/>
        <v>17.600000000000001</v>
      </c>
      <c r="CL16" s="67">
        <f t="shared" si="11"/>
        <v>27.6</v>
      </c>
      <c r="CM16" s="67">
        <f t="shared" si="12"/>
        <v>3.8260869565217392</v>
      </c>
      <c r="CN16" s="56" t="str">
        <f t="shared" si="5"/>
        <v>3-54</v>
      </c>
      <c r="CO16" s="63">
        <f t="shared" si="6"/>
        <v>57</v>
      </c>
      <c r="CP16" s="63">
        <f t="shared" si="7"/>
        <v>4</v>
      </c>
      <c r="CQ16" s="63">
        <f t="shared" si="8"/>
        <v>0</v>
      </c>
      <c r="CR16" s="68">
        <f t="shared" si="13"/>
        <v>17.601600000000001</v>
      </c>
      <c r="CS16" s="2">
        <f t="shared" si="14"/>
        <v>13</v>
      </c>
    </row>
    <row r="17" spans="1:97" ht="11.25" customHeight="1" x14ac:dyDescent="0.15">
      <c r="A17" s="2" t="s">
        <v>232</v>
      </c>
      <c r="B17" s="2" t="s">
        <v>192</v>
      </c>
      <c r="E17" s="2" t="s">
        <v>366</v>
      </c>
      <c r="G17" s="2" t="s">
        <v>340</v>
      </c>
      <c r="K17" s="2" t="s">
        <v>438</v>
      </c>
      <c r="O17" s="2" t="s">
        <v>530</v>
      </c>
      <c r="P17" s="2" t="s">
        <v>538</v>
      </c>
      <c r="R17" s="2" t="s">
        <v>378</v>
      </c>
      <c r="T17" s="2" t="s">
        <v>579</v>
      </c>
      <c r="V17" s="2" t="s">
        <v>1088</v>
      </c>
      <c r="Y17" s="2" t="s">
        <v>678</v>
      </c>
      <c r="AD17" s="2" t="s">
        <v>804</v>
      </c>
      <c r="AI17" s="2" t="s">
        <v>737</v>
      </c>
      <c r="AU17" s="2" t="s">
        <v>957</v>
      </c>
      <c r="AY17" s="2" t="s">
        <v>1040</v>
      </c>
      <c r="BB17" s="2" t="s">
        <v>992</v>
      </c>
      <c r="BD17" s="2" t="s">
        <v>1006</v>
      </c>
      <c r="CE17" s="63">
        <f t="shared" si="9"/>
        <v>15</v>
      </c>
      <c r="CF17" s="63">
        <f t="shared" si="0"/>
        <v>345</v>
      </c>
      <c r="CG17" s="65">
        <f t="shared" si="1"/>
        <v>57.3</v>
      </c>
      <c r="CH17" s="63">
        <f t="shared" si="2"/>
        <v>11</v>
      </c>
      <c r="CI17" s="63">
        <f t="shared" si="3"/>
        <v>268</v>
      </c>
      <c r="CJ17" s="63">
        <f t="shared" si="4"/>
        <v>10</v>
      </c>
      <c r="CK17" s="66">
        <f t="shared" si="10"/>
        <v>26.8</v>
      </c>
      <c r="CL17" s="67">
        <f t="shared" si="11"/>
        <v>34.5</v>
      </c>
      <c r="CM17" s="67">
        <f t="shared" si="12"/>
        <v>4.660869565217391</v>
      </c>
      <c r="CN17" s="56" t="str">
        <f t="shared" si="5"/>
        <v>3-7</v>
      </c>
      <c r="CO17" s="63">
        <f t="shared" si="6"/>
        <v>116</v>
      </c>
      <c r="CP17" s="63">
        <f t="shared" si="7"/>
        <v>15</v>
      </c>
      <c r="CQ17" s="63">
        <f t="shared" si="8"/>
        <v>2</v>
      </c>
      <c r="CR17" s="68">
        <f t="shared" si="13"/>
        <v>26.8017</v>
      </c>
      <c r="CS17" s="2">
        <f t="shared" si="14"/>
        <v>23</v>
      </c>
    </row>
    <row r="18" spans="1:97" ht="11.25" customHeight="1" x14ac:dyDescent="0.15">
      <c r="A18" s="2" t="s">
        <v>219</v>
      </c>
      <c r="B18" s="2" t="s">
        <v>197</v>
      </c>
      <c r="Z18" s="2" t="s">
        <v>644</v>
      </c>
      <c r="AI18" s="2" t="s">
        <v>736</v>
      </c>
      <c r="AK18" s="2" t="s">
        <v>838</v>
      </c>
      <c r="AR18" s="2" t="s">
        <v>736</v>
      </c>
      <c r="AY18" s="2" t="s">
        <v>955</v>
      </c>
      <c r="BB18" s="2" t="s">
        <v>993</v>
      </c>
      <c r="CE18" s="63">
        <f t="shared" si="9"/>
        <v>6</v>
      </c>
      <c r="CF18" s="63">
        <f t="shared" si="0"/>
        <v>132</v>
      </c>
      <c r="CG18" s="65">
        <f t="shared" si="1"/>
        <v>22</v>
      </c>
      <c r="CH18" s="63">
        <f t="shared" si="2"/>
        <v>2</v>
      </c>
      <c r="CI18" s="63">
        <f t="shared" si="3"/>
        <v>89</v>
      </c>
      <c r="CJ18" s="63">
        <f t="shared" si="4"/>
        <v>2</v>
      </c>
      <c r="CK18" s="66">
        <f t="shared" si="10"/>
        <v>44.5</v>
      </c>
      <c r="CL18" s="67">
        <f t="shared" si="11"/>
        <v>66</v>
      </c>
      <c r="CM18" s="67">
        <f t="shared" si="12"/>
        <v>4.0454545454545459</v>
      </c>
      <c r="CN18" s="56" t="str">
        <f t="shared" si="5"/>
        <v>1-14</v>
      </c>
      <c r="CO18" s="63">
        <f t="shared" si="6"/>
        <v>32</v>
      </c>
      <c r="CP18" s="63">
        <f t="shared" si="7"/>
        <v>6</v>
      </c>
      <c r="CQ18" s="63">
        <f t="shared" si="8"/>
        <v>4</v>
      </c>
      <c r="CR18" s="68">
        <f t="shared" si="13"/>
        <v>44.501800000000003</v>
      </c>
      <c r="CS18" s="2">
        <f t="shared" si="14"/>
        <v>26</v>
      </c>
    </row>
    <row r="19" spans="1:97" ht="11.25" customHeight="1" x14ac:dyDescent="0.15">
      <c r="A19" s="2" t="s">
        <v>86</v>
      </c>
      <c r="B19" s="2" t="s">
        <v>87</v>
      </c>
      <c r="D19" s="2" t="s">
        <v>311</v>
      </c>
      <c r="F19" s="2" t="s">
        <v>372</v>
      </c>
      <c r="H19" s="2" t="s">
        <v>380</v>
      </c>
      <c r="L19" s="2" t="s">
        <v>472</v>
      </c>
      <c r="M19" s="2" t="s">
        <v>499</v>
      </c>
      <c r="N19" s="2" t="s">
        <v>511</v>
      </c>
      <c r="Q19" s="2" t="s">
        <v>558</v>
      </c>
      <c r="U19" s="2" t="s">
        <v>792</v>
      </c>
      <c r="Z19" s="2" t="s">
        <v>642</v>
      </c>
      <c r="AD19" s="2" t="s">
        <v>806</v>
      </c>
      <c r="AG19" s="2" t="s">
        <v>811</v>
      </c>
      <c r="AI19" s="2" t="s">
        <v>732</v>
      </c>
      <c r="AP19" s="2" t="s">
        <v>885</v>
      </c>
      <c r="AQ19" s="2" t="s">
        <v>925</v>
      </c>
      <c r="AV19" s="2" t="s">
        <v>961</v>
      </c>
      <c r="AX19" s="2" t="s">
        <v>988</v>
      </c>
      <c r="BA19" s="2" t="s">
        <v>1026</v>
      </c>
      <c r="CE19" s="63">
        <f t="shared" si="9"/>
        <v>17</v>
      </c>
      <c r="CF19" s="63">
        <f t="shared" si="0"/>
        <v>899</v>
      </c>
      <c r="CG19" s="65">
        <f t="shared" si="1"/>
        <v>149.5</v>
      </c>
      <c r="CH19" s="63">
        <f t="shared" si="2"/>
        <v>34</v>
      </c>
      <c r="CI19" s="63">
        <f t="shared" si="3"/>
        <v>399</v>
      </c>
      <c r="CJ19" s="63">
        <f t="shared" si="4"/>
        <v>20</v>
      </c>
      <c r="CK19" s="66">
        <f t="shared" si="10"/>
        <v>19.95</v>
      </c>
      <c r="CL19" s="67">
        <f t="shared" si="11"/>
        <v>44.95</v>
      </c>
      <c r="CM19" s="67">
        <f t="shared" si="12"/>
        <v>2.6629588431590658</v>
      </c>
      <c r="CN19" s="56" t="str">
        <f t="shared" si="5"/>
        <v>5-15</v>
      </c>
      <c r="CO19" s="63">
        <f t="shared" si="6"/>
        <v>359</v>
      </c>
      <c r="CP19" s="63">
        <f t="shared" si="7"/>
        <v>17</v>
      </c>
      <c r="CQ19" s="63">
        <f t="shared" si="8"/>
        <v>0</v>
      </c>
      <c r="CR19" s="68">
        <f t="shared" si="13"/>
        <v>19.951899999999998</v>
      </c>
      <c r="CS19" s="2">
        <f t="shared" si="14"/>
        <v>17</v>
      </c>
    </row>
    <row r="20" spans="1:97" ht="11.25" customHeight="1" x14ac:dyDescent="0.15">
      <c r="A20" s="2" t="s">
        <v>88</v>
      </c>
      <c r="B20" s="2" t="s">
        <v>89</v>
      </c>
      <c r="F20" s="2" t="s">
        <v>371</v>
      </c>
      <c r="H20" s="2" t="s">
        <v>378</v>
      </c>
      <c r="L20" s="2" t="s">
        <v>470</v>
      </c>
      <c r="M20" s="2" t="s">
        <v>497</v>
      </c>
      <c r="N20" s="2" t="s">
        <v>512</v>
      </c>
      <c r="Q20" s="2" t="s">
        <v>561</v>
      </c>
      <c r="U20" s="2" t="s">
        <v>791</v>
      </c>
      <c r="Z20" s="2" t="s">
        <v>641</v>
      </c>
      <c r="AA20" s="2" t="s">
        <v>800</v>
      </c>
      <c r="AD20" s="2" t="s">
        <v>807</v>
      </c>
      <c r="AI20" s="2" t="s">
        <v>734</v>
      </c>
      <c r="AQ20" s="2" t="s">
        <v>926</v>
      </c>
      <c r="AV20" s="2" t="s">
        <v>964</v>
      </c>
      <c r="BA20" s="2" t="s">
        <v>1023</v>
      </c>
      <c r="CE20" s="63">
        <f t="shared" si="9"/>
        <v>14</v>
      </c>
      <c r="CF20" s="63">
        <f t="shared" si="0"/>
        <v>382</v>
      </c>
      <c r="CG20" s="65">
        <f t="shared" si="1"/>
        <v>63.4</v>
      </c>
      <c r="CH20" s="63">
        <f t="shared" si="2"/>
        <v>9</v>
      </c>
      <c r="CI20" s="63">
        <f t="shared" si="3"/>
        <v>233</v>
      </c>
      <c r="CJ20" s="63">
        <f t="shared" si="4"/>
        <v>9</v>
      </c>
      <c r="CK20" s="66">
        <f t="shared" si="10"/>
        <v>25.888888888888889</v>
      </c>
      <c r="CL20" s="67">
        <f t="shared" si="11"/>
        <v>42.444444444444443</v>
      </c>
      <c r="CM20" s="67">
        <f t="shared" si="12"/>
        <v>3.6596858638743455</v>
      </c>
      <c r="CN20" s="56" t="str">
        <f t="shared" si="5"/>
        <v>4-15</v>
      </c>
      <c r="CO20" s="63">
        <f t="shared" si="6"/>
        <v>149</v>
      </c>
      <c r="CP20" s="63">
        <f t="shared" si="7"/>
        <v>24</v>
      </c>
      <c r="CQ20" s="63">
        <f t="shared" si="8"/>
        <v>3</v>
      </c>
      <c r="CR20" s="68">
        <f t="shared" si="13"/>
        <v>25.890888888888888</v>
      </c>
      <c r="CS20" s="2">
        <f t="shared" si="14"/>
        <v>22</v>
      </c>
    </row>
    <row r="21" spans="1:97" ht="11.25" customHeight="1" x14ac:dyDescent="0.15">
      <c r="A21" s="2" t="s">
        <v>218</v>
      </c>
      <c r="B21" s="2" t="s">
        <v>195</v>
      </c>
      <c r="F21" s="2" t="s">
        <v>373</v>
      </c>
      <c r="H21" s="2" t="s">
        <v>379</v>
      </c>
      <c r="L21" s="2" t="s">
        <v>475</v>
      </c>
      <c r="M21" s="68" t="s">
        <v>496</v>
      </c>
      <c r="AA21" s="2" t="s">
        <v>796</v>
      </c>
      <c r="AG21" s="2" t="s">
        <v>812</v>
      </c>
      <c r="BA21" s="2" t="s">
        <v>1025</v>
      </c>
      <c r="CE21" s="63">
        <f t="shared" si="9"/>
        <v>7</v>
      </c>
      <c r="CF21" s="63">
        <f t="shared" si="0"/>
        <v>192</v>
      </c>
      <c r="CG21" s="65">
        <f t="shared" si="1"/>
        <v>32</v>
      </c>
      <c r="CH21" s="63">
        <f t="shared" si="2"/>
        <v>4</v>
      </c>
      <c r="CI21" s="63">
        <f t="shared" si="3"/>
        <v>112</v>
      </c>
      <c r="CJ21" s="63">
        <f t="shared" si="4"/>
        <v>5</v>
      </c>
      <c r="CK21" s="66">
        <f t="shared" si="10"/>
        <v>22.4</v>
      </c>
      <c r="CL21" s="67">
        <f t="shared" si="11"/>
        <v>38.4</v>
      </c>
      <c r="CM21" s="67">
        <f t="shared" si="12"/>
        <v>3.5</v>
      </c>
      <c r="CN21" s="56" t="str">
        <f t="shared" si="5"/>
        <v>3-14</v>
      </c>
      <c r="CO21" s="63">
        <f t="shared" si="6"/>
        <v>84</v>
      </c>
      <c r="CP21" s="63">
        <f t="shared" si="7"/>
        <v>9</v>
      </c>
      <c r="CQ21" s="63">
        <f t="shared" si="8"/>
        <v>0</v>
      </c>
      <c r="CR21" s="68">
        <f t="shared" si="13"/>
        <v>22.402099999999997</v>
      </c>
      <c r="CS21" s="2">
        <f t="shared" si="14"/>
        <v>21</v>
      </c>
    </row>
    <row r="22" spans="1:97" ht="11.25" customHeight="1" x14ac:dyDescent="0.15">
      <c r="A22" s="2" t="s">
        <v>157</v>
      </c>
      <c r="B22" s="2" t="s">
        <v>69</v>
      </c>
      <c r="S22" s="2" t="s">
        <v>623</v>
      </c>
      <c r="CE22" s="63">
        <f>BowlSplit(C22:CC22,InnsBowledIn)</f>
        <v>1</v>
      </c>
      <c r="CF22" s="63">
        <f>BowlSplit(C22:CC22,BallsBowled)</f>
        <v>18</v>
      </c>
      <c r="CG22" s="65">
        <f>BowlSplit(C22:CC22,OversBowled)</f>
        <v>3</v>
      </c>
      <c r="CH22" s="63">
        <f>BowlSplit(C22:CC22,Maidens)</f>
        <v>1</v>
      </c>
      <c r="CI22" s="63">
        <f>BowlSplit(C22:CC22,RunsConceded)</f>
        <v>6</v>
      </c>
      <c r="CJ22" s="63">
        <f>BowlSplit(C22:CC22,WicketsTaken)</f>
        <v>0</v>
      </c>
      <c r="CK22" s="66" t="str">
        <f>IF(CJ22&gt;0,CI22/CJ22,"")</f>
        <v/>
      </c>
      <c r="CL22" s="67" t="str">
        <f>IF(CJ22&gt;0,CF22/CJ22,"")</f>
        <v/>
      </c>
      <c r="CM22" s="67">
        <f>IF(CF22&gt;0,6*CI22/CF22,"")</f>
        <v>2</v>
      </c>
      <c r="CN22" s="56" t="str">
        <f>BowlSplit(C22:CC22,BestBowling)</f>
        <v>0-6</v>
      </c>
      <c r="CO22" s="63">
        <f>BowlSplit(C22:CC22,BowlPts)</f>
        <v>11</v>
      </c>
      <c r="CP22" s="63">
        <f>BowlSplit(C22:CC22,Wides)</f>
        <v>0</v>
      </c>
      <c r="CQ22" s="63">
        <f>BowlSplit(C22:CC22,NoBalls)</f>
        <v>0</v>
      </c>
      <c r="CR22" s="68">
        <f t="shared" si="13"/>
        <v>1018.0022</v>
      </c>
      <c r="CS22" s="2">
        <f t="shared" si="14"/>
        <v>29</v>
      </c>
    </row>
    <row r="23" spans="1:97" ht="11.25" customHeight="1" x14ac:dyDescent="0.15">
      <c r="A23" s="2" t="s">
        <v>90</v>
      </c>
      <c r="B23" s="2" t="s">
        <v>47</v>
      </c>
      <c r="G23" s="2" t="s">
        <v>337</v>
      </c>
      <c r="M23" s="68"/>
      <c r="Q23" s="2" t="s">
        <v>557</v>
      </c>
      <c r="T23" s="2" t="s">
        <v>573</v>
      </c>
      <c r="AH23" s="2" t="s">
        <v>378</v>
      </c>
      <c r="AI23" s="2" t="s">
        <v>731</v>
      </c>
      <c r="AU23" s="2" t="s">
        <v>955</v>
      </c>
      <c r="CE23" s="63">
        <f t="shared" si="9"/>
        <v>6</v>
      </c>
      <c r="CF23" s="63">
        <f t="shared" si="0"/>
        <v>198</v>
      </c>
      <c r="CG23" s="65">
        <f t="shared" si="1"/>
        <v>33</v>
      </c>
      <c r="CH23" s="63">
        <f t="shared" si="2"/>
        <v>5</v>
      </c>
      <c r="CI23" s="63">
        <f t="shared" si="3"/>
        <v>104</v>
      </c>
      <c r="CJ23" s="63">
        <f t="shared" si="4"/>
        <v>3</v>
      </c>
      <c r="CK23" s="66">
        <f t="shared" si="10"/>
        <v>34.666666666666664</v>
      </c>
      <c r="CL23" s="67">
        <f t="shared" si="11"/>
        <v>66</v>
      </c>
      <c r="CM23" s="67">
        <f t="shared" si="12"/>
        <v>3.1515151515151514</v>
      </c>
      <c r="CN23" s="56" t="str">
        <f t="shared" si="5"/>
        <v>2-33</v>
      </c>
      <c r="CO23" s="63">
        <f t="shared" si="6"/>
        <v>70</v>
      </c>
      <c r="CP23" s="63">
        <f t="shared" si="7"/>
        <v>10</v>
      </c>
      <c r="CQ23" s="63">
        <f t="shared" si="8"/>
        <v>0</v>
      </c>
      <c r="CR23" s="68">
        <f t="shared" si="13"/>
        <v>34.668966666666662</v>
      </c>
      <c r="CS23" s="2">
        <f t="shared" si="14"/>
        <v>24</v>
      </c>
    </row>
    <row r="24" spans="1:97" ht="11.25" customHeight="1" x14ac:dyDescent="0.15">
      <c r="A24" s="2" t="s">
        <v>91</v>
      </c>
      <c r="B24" s="2" t="s">
        <v>48</v>
      </c>
      <c r="M24" s="68"/>
      <c r="CE24" s="63">
        <f t="shared" si="9"/>
        <v>0</v>
      </c>
      <c r="CF24" s="63">
        <f t="shared" si="0"/>
        <v>0</v>
      </c>
      <c r="CG24" s="65">
        <f t="shared" si="1"/>
        <v>0</v>
      </c>
      <c r="CH24" s="63">
        <f t="shared" si="2"/>
        <v>0</v>
      </c>
      <c r="CI24" s="63">
        <f t="shared" si="3"/>
        <v>0</v>
      </c>
      <c r="CJ24" s="63">
        <f t="shared" si="4"/>
        <v>0</v>
      </c>
      <c r="CK24" s="66" t="str">
        <f t="shared" si="10"/>
        <v/>
      </c>
      <c r="CL24" s="67" t="str">
        <f t="shared" si="11"/>
        <v/>
      </c>
      <c r="CM24" s="67" t="str">
        <f t="shared" si="12"/>
        <v/>
      </c>
      <c r="CN24" s="56" t="str">
        <f t="shared" si="5"/>
        <v/>
      </c>
      <c r="CO24" s="63">
        <f t="shared" si="6"/>
        <v>0</v>
      </c>
      <c r="CP24" s="63">
        <f t="shared" si="7"/>
        <v>0</v>
      </c>
      <c r="CQ24" s="63">
        <f t="shared" si="8"/>
        <v>0</v>
      </c>
      <c r="CR24" s="68">
        <f t="shared" si="13"/>
        <v>99999.002399999998</v>
      </c>
      <c r="CS24" s="2">
        <f t="shared" si="14"/>
        <v>33</v>
      </c>
    </row>
    <row r="25" spans="1:97" ht="11.25" customHeight="1" x14ac:dyDescent="0.15">
      <c r="A25" s="2" t="s">
        <v>92</v>
      </c>
      <c r="B25" s="2" t="s">
        <v>93</v>
      </c>
      <c r="D25" s="2" t="s">
        <v>312</v>
      </c>
      <c r="F25" s="2" t="s">
        <v>374</v>
      </c>
      <c r="I25" s="2" t="s">
        <v>467</v>
      </c>
      <c r="J25" s="2" t="s">
        <v>420</v>
      </c>
      <c r="L25" s="2" t="s">
        <v>474</v>
      </c>
      <c r="M25" s="68" t="s">
        <v>501</v>
      </c>
      <c r="P25" s="2" t="s">
        <v>537</v>
      </c>
      <c r="S25" s="2" t="s">
        <v>622</v>
      </c>
      <c r="Y25" s="2" t="s">
        <v>676</v>
      </c>
      <c r="AB25" s="2" t="s">
        <v>823</v>
      </c>
      <c r="AJ25" s="2" t="s">
        <v>814</v>
      </c>
      <c r="AL25" s="2" t="s">
        <v>858</v>
      </c>
      <c r="AO25" s="2" t="s">
        <v>888</v>
      </c>
      <c r="AP25" s="2" t="s">
        <v>886</v>
      </c>
      <c r="AQ25" s="2" t="s">
        <v>923</v>
      </c>
      <c r="AR25" s="2" t="s">
        <v>921</v>
      </c>
      <c r="AU25" s="2" t="s">
        <v>959</v>
      </c>
      <c r="AV25" s="2" t="s">
        <v>963</v>
      </c>
      <c r="AX25" s="2" t="s">
        <v>989</v>
      </c>
      <c r="BB25" s="2" t="s">
        <v>991</v>
      </c>
      <c r="BD25" s="2" t="s">
        <v>1007</v>
      </c>
      <c r="CE25" s="63">
        <f t="shared" si="9"/>
        <v>21</v>
      </c>
      <c r="CF25" s="63">
        <f t="shared" si="0"/>
        <v>966</v>
      </c>
      <c r="CG25" s="65">
        <f t="shared" si="1"/>
        <v>161</v>
      </c>
      <c r="CH25" s="63">
        <f t="shared" si="2"/>
        <v>34</v>
      </c>
      <c r="CI25" s="63">
        <f t="shared" si="3"/>
        <v>544</v>
      </c>
      <c r="CJ25" s="63">
        <f t="shared" si="4"/>
        <v>25</v>
      </c>
      <c r="CK25" s="66">
        <f t="shared" si="10"/>
        <v>21.76</v>
      </c>
      <c r="CL25" s="67">
        <f t="shared" si="11"/>
        <v>38.64</v>
      </c>
      <c r="CM25" s="67">
        <f t="shared" si="12"/>
        <v>3.3788819875776399</v>
      </c>
      <c r="CN25" s="56" t="str">
        <f t="shared" si="5"/>
        <v>3-9</v>
      </c>
      <c r="CO25" s="63">
        <f t="shared" si="6"/>
        <v>354</v>
      </c>
      <c r="CP25" s="63">
        <f t="shared" si="7"/>
        <v>20</v>
      </c>
      <c r="CQ25" s="63">
        <f t="shared" si="8"/>
        <v>0</v>
      </c>
      <c r="CR25" s="68">
        <f t="shared" si="13"/>
        <v>21.762500000000003</v>
      </c>
      <c r="CS25" s="2">
        <f t="shared" si="14"/>
        <v>19</v>
      </c>
    </row>
    <row r="26" spans="1:97" ht="11.25" customHeight="1" x14ac:dyDescent="0.15">
      <c r="A26" s="2" t="s">
        <v>127</v>
      </c>
      <c r="B26" s="2" t="s">
        <v>51</v>
      </c>
      <c r="M26" s="68"/>
      <c r="AE26" s="2" t="s">
        <v>702</v>
      </c>
      <c r="CE26" s="63">
        <f t="shared" si="9"/>
        <v>1</v>
      </c>
      <c r="CF26" s="63">
        <f t="shared" si="0"/>
        <v>24</v>
      </c>
      <c r="CG26" s="65">
        <f t="shared" si="1"/>
        <v>4</v>
      </c>
      <c r="CH26" s="63">
        <f t="shared" si="2"/>
        <v>0</v>
      </c>
      <c r="CI26" s="63">
        <f t="shared" si="3"/>
        <v>12</v>
      </c>
      <c r="CJ26" s="63">
        <f t="shared" si="4"/>
        <v>1</v>
      </c>
      <c r="CK26" s="66">
        <f t="shared" si="10"/>
        <v>12</v>
      </c>
      <c r="CL26" s="67">
        <f t="shared" si="11"/>
        <v>24</v>
      </c>
      <c r="CM26" s="67">
        <f t="shared" si="12"/>
        <v>3</v>
      </c>
      <c r="CN26" s="56" t="str">
        <f t="shared" si="5"/>
        <v>1-12</v>
      </c>
      <c r="CO26" s="63">
        <f t="shared" si="6"/>
        <v>15</v>
      </c>
      <c r="CP26" s="63">
        <f t="shared" si="7"/>
        <v>1</v>
      </c>
      <c r="CQ26" s="63">
        <f t="shared" si="8"/>
        <v>0</v>
      </c>
      <c r="CR26" s="68">
        <f t="shared" si="13"/>
        <v>12.002599999999999</v>
      </c>
      <c r="CS26" s="2">
        <f t="shared" si="14"/>
        <v>6</v>
      </c>
    </row>
    <row r="27" spans="1:97" ht="11.25" customHeight="1" x14ac:dyDescent="0.15">
      <c r="B27" s="2" t="s">
        <v>302</v>
      </c>
      <c r="D27" s="2" t="s">
        <v>308</v>
      </c>
      <c r="H27" s="2" t="s">
        <v>377</v>
      </c>
      <c r="J27" s="2" t="s">
        <v>416</v>
      </c>
      <c r="M27" s="68"/>
      <c r="T27" s="2" t="s">
        <v>576</v>
      </c>
      <c r="V27" s="2" t="s">
        <v>626</v>
      </c>
      <c r="Y27" s="2" t="s">
        <v>675</v>
      </c>
      <c r="AA27" s="2" t="s">
        <v>799</v>
      </c>
      <c r="AE27" s="2" t="s">
        <v>701</v>
      </c>
      <c r="AJ27" s="2" t="s">
        <v>816</v>
      </c>
      <c r="AP27" s="2" t="s">
        <v>883</v>
      </c>
      <c r="AX27" s="2" t="s">
        <v>985</v>
      </c>
      <c r="CE27" s="63">
        <f>BowlSplit(C27:CC27,InnsBowledIn)</f>
        <v>11</v>
      </c>
      <c r="CF27" s="63">
        <f>BowlSplit(C27:CC27,BallsBowled)</f>
        <v>564</v>
      </c>
      <c r="CG27" s="65">
        <f>BowlSplit(C27:CC27,OversBowled)</f>
        <v>94</v>
      </c>
      <c r="CH27" s="63">
        <f>BowlSplit(C27:CC27,Maidens)</f>
        <v>25</v>
      </c>
      <c r="CI27" s="63">
        <f>BowlSplit(C27:CC27,RunsConceded)</f>
        <v>234</v>
      </c>
      <c r="CJ27" s="63">
        <f>BowlSplit(C27:CC27,WicketsTaken)</f>
        <v>23</v>
      </c>
      <c r="CK27" s="66">
        <f>IF(CJ27&gt;0,CI27/CJ27,"")</f>
        <v>10.173913043478262</v>
      </c>
      <c r="CL27" s="67">
        <f>IF(CJ27&gt;0,CF27/CJ27,"")</f>
        <v>24.521739130434781</v>
      </c>
      <c r="CM27" s="67">
        <f>IF(CF27&gt;0,6*CI27/CF27,"")</f>
        <v>2.4893617021276597</v>
      </c>
      <c r="CN27" s="56" t="str">
        <f>BowlSplit(C27:CC27,BestBowling)</f>
        <v>6-48</v>
      </c>
      <c r="CO27" s="63">
        <f>BowlSplit(C27:CC27,BowlPts)</f>
        <v>355</v>
      </c>
      <c r="CP27" s="63">
        <f>BowlSplit(C27:CC27,Wides)</f>
        <v>16</v>
      </c>
      <c r="CQ27" s="63">
        <f>BowlSplit(C27:CC27,NoBalls)</f>
        <v>1</v>
      </c>
      <c r="CR27" s="68">
        <f t="shared" si="13"/>
        <v>10.176613043478262</v>
      </c>
      <c r="CS27" s="2">
        <f t="shared" si="14"/>
        <v>3</v>
      </c>
    </row>
    <row r="28" spans="1:97" ht="11.25" customHeight="1" x14ac:dyDescent="0.15">
      <c r="A28" s="2" t="s">
        <v>94</v>
      </c>
      <c r="B28" s="2" t="s">
        <v>53</v>
      </c>
      <c r="D28" s="2" t="s">
        <v>313</v>
      </c>
      <c r="G28" s="2" t="s">
        <v>341</v>
      </c>
      <c r="H28" s="2" t="s">
        <v>376</v>
      </c>
      <c r="L28" s="2" t="s">
        <v>469</v>
      </c>
      <c r="S28" s="2" t="s">
        <v>620</v>
      </c>
      <c r="V28" s="2" t="s">
        <v>624</v>
      </c>
      <c r="AE28" s="2" t="s">
        <v>705</v>
      </c>
      <c r="AH28" s="2" t="s">
        <v>720</v>
      </c>
      <c r="CE28" s="63">
        <f t="shared" si="9"/>
        <v>8</v>
      </c>
      <c r="CF28" s="63">
        <f t="shared" si="0"/>
        <v>195</v>
      </c>
      <c r="CG28" s="65">
        <f t="shared" si="1"/>
        <v>32.299999999999997</v>
      </c>
      <c r="CH28" s="63">
        <f t="shared" si="2"/>
        <v>0</v>
      </c>
      <c r="CI28" s="63">
        <f t="shared" si="3"/>
        <v>134</v>
      </c>
      <c r="CJ28" s="63">
        <f t="shared" si="4"/>
        <v>6</v>
      </c>
      <c r="CK28" s="66">
        <f t="shared" si="10"/>
        <v>22.333333333333332</v>
      </c>
      <c r="CL28" s="67">
        <f t="shared" si="11"/>
        <v>32.5</v>
      </c>
      <c r="CM28" s="67">
        <f t="shared" si="12"/>
        <v>4.1230769230769226</v>
      </c>
      <c r="CN28" s="56" t="str">
        <f t="shared" si="5"/>
        <v>4-22</v>
      </c>
      <c r="CO28" s="63">
        <f t="shared" si="6"/>
        <v>75</v>
      </c>
      <c r="CP28" s="63">
        <f t="shared" si="7"/>
        <v>4</v>
      </c>
      <c r="CQ28" s="63">
        <f t="shared" si="8"/>
        <v>0</v>
      </c>
      <c r="CR28" s="68">
        <f t="shared" si="13"/>
        <v>22.336133333333333</v>
      </c>
      <c r="CS28" s="2">
        <f t="shared" si="14"/>
        <v>20</v>
      </c>
    </row>
    <row r="29" spans="1:97" ht="11.25" customHeight="1" x14ac:dyDescent="0.15">
      <c r="A29" s="2" t="s">
        <v>95</v>
      </c>
      <c r="B29" s="2" t="s">
        <v>54</v>
      </c>
      <c r="M29" s="68"/>
      <c r="R29" s="2" t="s">
        <v>592</v>
      </c>
      <c r="AA29" s="2" t="s">
        <v>797</v>
      </c>
      <c r="AC29" s="2" t="s">
        <v>654</v>
      </c>
      <c r="AG29" s="2" t="s">
        <v>808</v>
      </c>
      <c r="AH29" s="2" t="s">
        <v>719</v>
      </c>
      <c r="AK29" s="2" t="s">
        <v>836</v>
      </c>
      <c r="AL29" s="2" t="s">
        <v>853</v>
      </c>
      <c r="AM29" s="2" t="s">
        <v>841</v>
      </c>
      <c r="AR29" s="2" t="s">
        <v>371</v>
      </c>
      <c r="AU29" s="2" t="s">
        <v>953</v>
      </c>
      <c r="BD29" s="2" t="s">
        <v>1004</v>
      </c>
      <c r="CE29" s="63">
        <f t="shared" si="9"/>
        <v>11</v>
      </c>
      <c r="CF29" s="63">
        <f t="shared" si="0"/>
        <v>438</v>
      </c>
      <c r="CG29" s="65">
        <f t="shared" si="1"/>
        <v>73</v>
      </c>
      <c r="CH29" s="63">
        <f t="shared" si="2"/>
        <v>14</v>
      </c>
      <c r="CI29" s="63">
        <f t="shared" si="3"/>
        <v>227</v>
      </c>
      <c r="CJ29" s="63">
        <f t="shared" si="4"/>
        <v>15</v>
      </c>
      <c r="CK29" s="66">
        <f t="shared" si="10"/>
        <v>15.133333333333333</v>
      </c>
      <c r="CL29" s="67">
        <f t="shared" si="11"/>
        <v>29.2</v>
      </c>
      <c r="CM29" s="67">
        <f t="shared" si="12"/>
        <v>3.1095890410958904</v>
      </c>
      <c r="CN29" s="56" t="str">
        <f t="shared" si="5"/>
        <v>3-15</v>
      </c>
      <c r="CO29" s="63">
        <f t="shared" si="6"/>
        <v>224</v>
      </c>
      <c r="CP29" s="63">
        <f t="shared" si="7"/>
        <v>4</v>
      </c>
      <c r="CQ29" s="63">
        <f t="shared" si="8"/>
        <v>0</v>
      </c>
      <c r="CR29" s="68">
        <f t="shared" si="13"/>
        <v>15.136233333333333</v>
      </c>
      <c r="CS29" s="2">
        <f t="shared" si="14"/>
        <v>11</v>
      </c>
    </row>
    <row r="30" spans="1:97" ht="11.25" customHeight="1" x14ac:dyDescent="0.15">
      <c r="A30" s="2" t="s">
        <v>96</v>
      </c>
      <c r="B30" s="2" t="s">
        <v>55</v>
      </c>
      <c r="E30" s="2" t="s">
        <v>361</v>
      </c>
      <c r="V30" s="2" t="s">
        <v>627</v>
      </c>
      <c r="AE30" s="2" t="s">
        <v>704</v>
      </c>
      <c r="AG30" s="2" t="s">
        <v>810</v>
      </c>
      <c r="AL30" s="2" t="s">
        <v>854</v>
      </c>
      <c r="AN30" s="2" t="s">
        <v>860</v>
      </c>
      <c r="AP30" s="2" t="s">
        <v>882</v>
      </c>
      <c r="AR30" s="2" t="s">
        <v>919</v>
      </c>
      <c r="BA30" s="2" t="s">
        <v>1021</v>
      </c>
      <c r="CE30" s="63">
        <f t="shared" si="9"/>
        <v>9</v>
      </c>
      <c r="CF30" s="63">
        <f t="shared" si="0"/>
        <v>408</v>
      </c>
      <c r="CG30" s="65">
        <f t="shared" si="1"/>
        <v>68</v>
      </c>
      <c r="CH30" s="63">
        <f t="shared" si="2"/>
        <v>22</v>
      </c>
      <c r="CI30" s="63">
        <f t="shared" si="3"/>
        <v>150</v>
      </c>
      <c r="CJ30" s="63">
        <f t="shared" si="4"/>
        <v>13</v>
      </c>
      <c r="CK30" s="66">
        <f t="shared" si="10"/>
        <v>11.538461538461538</v>
      </c>
      <c r="CL30" s="67">
        <f t="shared" si="11"/>
        <v>31.384615384615383</v>
      </c>
      <c r="CM30" s="67">
        <f t="shared" si="12"/>
        <v>2.2058823529411766</v>
      </c>
      <c r="CN30" s="56" t="str">
        <f t="shared" si="5"/>
        <v>5-17</v>
      </c>
      <c r="CO30" s="63">
        <f t="shared" si="6"/>
        <v>222</v>
      </c>
      <c r="CP30" s="63">
        <f t="shared" si="7"/>
        <v>4</v>
      </c>
      <c r="CQ30" s="63">
        <f t="shared" si="8"/>
        <v>0</v>
      </c>
      <c r="CR30" s="68">
        <f t="shared" si="13"/>
        <v>11.541461538461538</v>
      </c>
      <c r="CS30" s="2">
        <f t="shared" si="14"/>
        <v>4</v>
      </c>
    </row>
    <row r="31" spans="1:97" ht="11.25" customHeight="1" x14ac:dyDescent="0.15">
      <c r="A31" s="2" t="s">
        <v>97</v>
      </c>
      <c r="B31" s="2" t="s">
        <v>56</v>
      </c>
      <c r="M31" s="68"/>
      <c r="CE31" s="63">
        <f t="shared" si="9"/>
        <v>0</v>
      </c>
      <c r="CF31" s="63">
        <f t="shared" si="0"/>
        <v>0</v>
      </c>
      <c r="CG31" s="65">
        <f t="shared" si="1"/>
        <v>0</v>
      </c>
      <c r="CH31" s="63">
        <f t="shared" si="2"/>
        <v>0</v>
      </c>
      <c r="CI31" s="63">
        <f t="shared" si="3"/>
        <v>0</v>
      </c>
      <c r="CJ31" s="63">
        <f t="shared" si="4"/>
        <v>0</v>
      </c>
      <c r="CK31" s="66" t="str">
        <f t="shared" si="10"/>
        <v/>
      </c>
      <c r="CL31" s="67" t="str">
        <f t="shared" si="11"/>
        <v/>
      </c>
      <c r="CM31" s="67" t="str">
        <f t="shared" si="12"/>
        <v/>
      </c>
      <c r="CN31" s="56" t="str">
        <f t="shared" si="5"/>
        <v/>
      </c>
      <c r="CO31" s="63">
        <f t="shared" si="6"/>
        <v>0</v>
      </c>
      <c r="CP31" s="63">
        <f t="shared" si="7"/>
        <v>0</v>
      </c>
      <c r="CQ31" s="63">
        <f t="shared" si="8"/>
        <v>0</v>
      </c>
      <c r="CR31" s="68">
        <f t="shared" si="13"/>
        <v>99999.003100000002</v>
      </c>
      <c r="CS31" s="2">
        <f t="shared" si="14"/>
        <v>34</v>
      </c>
    </row>
    <row r="32" spans="1:97" ht="11.25" customHeight="1" x14ac:dyDescent="0.15">
      <c r="A32" s="2" t="s">
        <v>99</v>
      </c>
      <c r="B32" s="2" t="s">
        <v>57</v>
      </c>
      <c r="I32" s="2" t="s">
        <v>462</v>
      </c>
      <c r="J32" s="2" t="s">
        <v>421</v>
      </c>
      <c r="K32" s="2" t="s">
        <v>435</v>
      </c>
      <c r="M32" s="2" t="s">
        <v>495</v>
      </c>
      <c r="O32" s="2" t="s">
        <v>532</v>
      </c>
      <c r="P32" s="2" t="s">
        <v>535</v>
      </c>
      <c r="R32" s="2" t="s">
        <v>594</v>
      </c>
      <c r="U32" s="2" t="s">
        <v>790</v>
      </c>
      <c r="Z32" s="2" t="s">
        <v>646</v>
      </c>
      <c r="AA32" s="2" t="s">
        <v>798</v>
      </c>
      <c r="AC32" s="2" t="s">
        <v>652</v>
      </c>
      <c r="AD32" s="2" t="s">
        <v>803</v>
      </c>
      <c r="AJ32" s="2" t="s">
        <v>815</v>
      </c>
      <c r="AK32" s="2" t="s">
        <v>837</v>
      </c>
      <c r="AL32" s="2" t="s">
        <v>855</v>
      </c>
      <c r="AO32" s="2" t="s">
        <v>878</v>
      </c>
      <c r="AR32" s="2" t="s">
        <v>917</v>
      </c>
      <c r="AU32" s="2" t="s">
        <v>954</v>
      </c>
      <c r="AX32" s="2" t="s">
        <v>987</v>
      </c>
      <c r="BB32" s="2" t="s">
        <v>990</v>
      </c>
      <c r="CE32" s="63">
        <f t="shared" si="9"/>
        <v>20</v>
      </c>
      <c r="CF32" s="63">
        <f t="shared" si="0"/>
        <v>771</v>
      </c>
      <c r="CG32" s="65">
        <f t="shared" si="1"/>
        <v>128.30000000000001</v>
      </c>
      <c r="CH32" s="63">
        <f t="shared" si="2"/>
        <v>28</v>
      </c>
      <c r="CI32" s="63">
        <f t="shared" si="3"/>
        <v>431</v>
      </c>
      <c r="CJ32" s="63">
        <f t="shared" si="4"/>
        <v>23</v>
      </c>
      <c r="CK32" s="66">
        <f t="shared" si="10"/>
        <v>18.739130434782609</v>
      </c>
      <c r="CL32" s="67">
        <f t="shared" si="11"/>
        <v>33.521739130434781</v>
      </c>
      <c r="CM32" s="67">
        <f t="shared" si="12"/>
        <v>3.3540856031128405</v>
      </c>
      <c r="CN32" s="56" t="str">
        <f t="shared" si="5"/>
        <v>4-6</v>
      </c>
      <c r="CO32" s="63">
        <f t="shared" si="6"/>
        <v>348</v>
      </c>
      <c r="CP32" s="63">
        <f t="shared" si="7"/>
        <v>6</v>
      </c>
      <c r="CQ32" s="63">
        <f t="shared" si="8"/>
        <v>5</v>
      </c>
      <c r="CR32" s="68">
        <f t="shared" si="13"/>
        <v>18.742330434782609</v>
      </c>
      <c r="CS32" s="2">
        <f t="shared" si="14"/>
        <v>15</v>
      </c>
    </row>
    <row r="33" spans="1:97" x14ac:dyDescent="0.15">
      <c r="A33" s="2" t="s">
        <v>215</v>
      </c>
      <c r="B33" s="2" t="s">
        <v>649</v>
      </c>
      <c r="E33" s="2" t="s">
        <v>367</v>
      </c>
      <c r="I33" s="2" t="s">
        <v>466</v>
      </c>
      <c r="K33" s="2" t="s">
        <v>436</v>
      </c>
      <c r="R33" s="2" t="s">
        <v>596</v>
      </c>
      <c r="U33" s="2" t="s">
        <v>794</v>
      </c>
      <c r="Y33" s="2" t="s">
        <v>672</v>
      </c>
      <c r="AA33" s="2" t="s">
        <v>801</v>
      </c>
      <c r="AJ33" s="2" t="s">
        <v>818</v>
      </c>
      <c r="AL33" s="2" t="s">
        <v>856</v>
      </c>
      <c r="AN33" s="2" t="s">
        <v>841</v>
      </c>
      <c r="AY33" s="2" t="s">
        <v>1037</v>
      </c>
      <c r="BA33" s="2" t="s">
        <v>1024</v>
      </c>
      <c r="CE33" s="63">
        <f t="shared" ref="CE33:CE38" si="15">BowlSplit(C33:CC33,InnsBowledIn)</f>
        <v>12</v>
      </c>
      <c r="CF33" s="63">
        <f t="shared" ref="CF33:CF38" si="16">BowlSplit(C33:CC33,BallsBowled)</f>
        <v>318</v>
      </c>
      <c r="CG33" s="65">
        <f t="shared" ref="CG33:CG38" si="17">BowlSplit(C33:CC33,OversBowled)</f>
        <v>53</v>
      </c>
      <c r="CH33" s="63">
        <f t="shared" ref="CH33:CH38" si="18">BowlSplit(C33:CC33,Maidens)</f>
        <v>4</v>
      </c>
      <c r="CI33" s="63">
        <f t="shared" ref="CI33:CI38" si="19">BowlSplit(C33:CC33,RunsConceded)</f>
        <v>224</v>
      </c>
      <c r="CJ33" s="63">
        <f t="shared" ref="CJ33:CJ38" si="20">BowlSplit(C33:CC33,WicketsTaken)</f>
        <v>19</v>
      </c>
      <c r="CK33" s="66">
        <f t="shared" ref="CK33:CK38" si="21">IF(CJ33&gt;0,CI33/CJ33,"")</f>
        <v>11.789473684210526</v>
      </c>
      <c r="CL33" s="67">
        <f t="shared" ref="CL33:CL38" si="22">IF(CJ33&gt;0,CF33/CJ33,"")</f>
        <v>16.736842105263158</v>
      </c>
      <c r="CM33" s="67">
        <f t="shared" ref="CM33:CM38" si="23">IF(CF33&gt;0,6*CI33/CF33,"")</f>
        <v>4.2264150943396226</v>
      </c>
      <c r="CN33" s="56" t="str">
        <f t="shared" ref="CN33:CN38" si="24">BowlSplit(C33:CC33,BestBowling)</f>
        <v>6-44</v>
      </c>
      <c r="CO33" s="63">
        <f t="shared" ref="CO33:CO38" si="25">BowlSplit(C33:CC33,BowlPts)</f>
        <v>219</v>
      </c>
      <c r="CP33" s="63">
        <f t="shared" ref="CP33:CP38" si="26">BowlSplit(C33:CC33,Wides)</f>
        <v>16</v>
      </c>
      <c r="CQ33" s="63">
        <f t="shared" ref="CQ33:CQ38" si="27">BowlSplit(C33:CC33,NoBalls)</f>
        <v>4</v>
      </c>
      <c r="CR33" s="68">
        <f t="shared" si="13"/>
        <v>11.792773684210525</v>
      </c>
      <c r="CS33" s="2">
        <f t="shared" si="14"/>
        <v>5</v>
      </c>
    </row>
    <row r="34" spans="1:97" x14ac:dyDescent="0.15">
      <c r="A34" s="2" t="s">
        <v>106</v>
      </c>
      <c r="B34" s="2" t="s">
        <v>58</v>
      </c>
      <c r="AM34" s="2" t="s">
        <v>842</v>
      </c>
      <c r="CE34" s="63">
        <f t="shared" si="15"/>
        <v>1</v>
      </c>
      <c r="CF34" s="63">
        <f t="shared" si="16"/>
        <v>14</v>
      </c>
      <c r="CG34" s="65">
        <f t="shared" si="17"/>
        <v>2.2000000000000002</v>
      </c>
      <c r="CH34" s="63">
        <f t="shared" si="18"/>
        <v>0</v>
      </c>
      <c r="CI34" s="63">
        <f t="shared" si="19"/>
        <v>11</v>
      </c>
      <c r="CJ34" s="63">
        <f t="shared" si="20"/>
        <v>0</v>
      </c>
      <c r="CK34" s="66" t="str">
        <f t="shared" si="21"/>
        <v/>
      </c>
      <c r="CL34" s="67" t="str">
        <f t="shared" si="22"/>
        <v/>
      </c>
      <c r="CM34" s="67">
        <f t="shared" si="23"/>
        <v>4.7142857142857144</v>
      </c>
      <c r="CN34" s="56" t="str">
        <f t="shared" si="24"/>
        <v>0-11</v>
      </c>
      <c r="CO34" s="63">
        <f t="shared" si="25"/>
        <v>0</v>
      </c>
      <c r="CP34" s="63">
        <f t="shared" si="26"/>
        <v>1</v>
      </c>
      <c r="CQ34" s="63">
        <f t="shared" si="27"/>
        <v>0</v>
      </c>
      <c r="CR34" s="68">
        <f>IF(CJ34&gt;0,CK34,IF(CF34&gt;0,CF34+1000,99999))+ROW(CQ34)/10000</f>
        <v>1014.0034000000001</v>
      </c>
      <c r="CS34" s="2">
        <f t="shared" si="14"/>
        <v>28</v>
      </c>
    </row>
    <row r="35" spans="1:97" x14ac:dyDescent="0.15">
      <c r="A35" s="2" t="s">
        <v>100</v>
      </c>
      <c r="B35" s="2" t="s">
        <v>60</v>
      </c>
      <c r="AO35" s="2" t="s">
        <v>879</v>
      </c>
      <c r="CE35" s="63">
        <f t="shared" si="15"/>
        <v>1</v>
      </c>
      <c r="CF35" s="63">
        <f t="shared" si="16"/>
        <v>6</v>
      </c>
      <c r="CG35" s="65">
        <f t="shared" si="17"/>
        <v>1</v>
      </c>
      <c r="CH35" s="63">
        <f t="shared" si="18"/>
        <v>0</v>
      </c>
      <c r="CI35" s="63">
        <f t="shared" si="19"/>
        <v>3</v>
      </c>
      <c r="CJ35" s="63">
        <f t="shared" si="20"/>
        <v>0</v>
      </c>
      <c r="CK35" s="66" t="str">
        <f t="shared" si="21"/>
        <v/>
      </c>
      <c r="CL35" s="67" t="str">
        <f t="shared" si="22"/>
        <v/>
      </c>
      <c r="CM35" s="67">
        <f t="shared" si="23"/>
        <v>3</v>
      </c>
      <c r="CN35" s="56" t="str">
        <f t="shared" si="24"/>
        <v>0-3</v>
      </c>
      <c r="CO35" s="63">
        <f t="shared" si="25"/>
        <v>5</v>
      </c>
      <c r="CP35" s="63">
        <f t="shared" si="26"/>
        <v>0</v>
      </c>
      <c r="CQ35" s="63">
        <f t="shared" si="27"/>
        <v>0</v>
      </c>
      <c r="CR35" s="68">
        <f t="shared" si="13"/>
        <v>1006.0035</v>
      </c>
      <c r="CS35" s="2">
        <f t="shared" si="14"/>
        <v>27</v>
      </c>
    </row>
    <row r="36" spans="1:97" x14ac:dyDescent="0.15">
      <c r="A36" s="2" t="s">
        <v>101</v>
      </c>
      <c r="B36" s="2" t="s">
        <v>102</v>
      </c>
      <c r="E36" s="2" t="s">
        <v>365</v>
      </c>
      <c r="I36" s="2" t="s">
        <v>465</v>
      </c>
      <c r="L36" s="2" t="s">
        <v>471</v>
      </c>
      <c r="M36" s="2" t="s">
        <v>498</v>
      </c>
      <c r="N36" s="2" t="s">
        <v>510</v>
      </c>
      <c r="P36" s="2" t="s">
        <v>534</v>
      </c>
      <c r="Y36" s="2" t="s">
        <v>677</v>
      </c>
      <c r="AB36" s="2" t="s">
        <v>821</v>
      </c>
      <c r="AG36" s="2" t="s">
        <v>813</v>
      </c>
      <c r="AL36" s="2" t="s">
        <v>859</v>
      </c>
      <c r="AN36" s="2" t="s">
        <v>862</v>
      </c>
      <c r="AP36" s="2" t="s">
        <v>884</v>
      </c>
      <c r="AR36" s="2" t="s">
        <v>920</v>
      </c>
      <c r="AY36" s="2" t="s">
        <v>1036</v>
      </c>
      <c r="BA36" s="2" t="s">
        <v>1019</v>
      </c>
      <c r="BD36" s="2" t="s">
        <v>1003</v>
      </c>
      <c r="CE36" s="63">
        <f t="shared" si="15"/>
        <v>16</v>
      </c>
      <c r="CF36" s="63">
        <f t="shared" si="16"/>
        <v>774</v>
      </c>
      <c r="CG36" s="65">
        <f t="shared" si="17"/>
        <v>129</v>
      </c>
      <c r="CH36" s="63">
        <f t="shared" si="18"/>
        <v>40</v>
      </c>
      <c r="CI36" s="63">
        <f t="shared" si="19"/>
        <v>312</v>
      </c>
      <c r="CJ36" s="63">
        <f t="shared" si="20"/>
        <v>25</v>
      </c>
      <c r="CK36" s="66">
        <f t="shared" si="21"/>
        <v>12.48</v>
      </c>
      <c r="CL36" s="67">
        <f t="shared" si="22"/>
        <v>30.96</v>
      </c>
      <c r="CM36" s="67">
        <f t="shared" si="23"/>
        <v>2.4186046511627906</v>
      </c>
      <c r="CN36" s="56" t="str">
        <f t="shared" si="24"/>
        <v>4-8</v>
      </c>
      <c r="CO36" s="63">
        <f t="shared" si="25"/>
        <v>420</v>
      </c>
      <c r="CP36" s="63">
        <f t="shared" si="26"/>
        <v>6</v>
      </c>
      <c r="CQ36" s="63">
        <f t="shared" si="27"/>
        <v>2</v>
      </c>
      <c r="CR36" s="68">
        <f t="shared" si="13"/>
        <v>12.483600000000001</v>
      </c>
      <c r="CS36" s="2">
        <f t="shared" si="14"/>
        <v>7</v>
      </c>
    </row>
    <row r="37" spans="1:97" x14ac:dyDescent="0.15">
      <c r="A37" s="2" t="s">
        <v>103</v>
      </c>
      <c r="B37" s="2" t="s">
        <v>104</v>
      </c>
      <c r="E37" s="2" t="s">
        <v>368</v>
      </c>
      <c r="I37" s="2" t="s">
        <v>464</v>
      </c>
      <c r="K37" s="2" t="s">
        <v>434</v>
      </c>
      <c r="R37" s="2" t="s">
        <v>595</v>
      </c>
      <c r="U37" s="2" t="s">
        <v>793</v>
      </c>
      <c r="Y37" s="2" t="s">
        <v>673</v>
      </c>
      <c r="AN37" s="2" t="s">
        <v>861</v>
      </c>
      <c r="AP37" s="2" t="s">
        <v>496</v>
      </c>
      <c r="AQ37" s="2" t="s">
        <v>924</v>
      </c>
      <c r="AX37" s="2" t="s">
        <v>986</v>
      </c>
      <c r="BA37" s="2" t="s">
        <v>1020</v>
      </c>
      <c r="CE37" s="63">
        <f t="shared" si="15"/>
        <v>11</v>
      </c>
      <c r="CF37" s="63">
        <f t="shared" si="16"/>
        <v>507</v>
      </c>
      <c r="CG37" s="65">
        <f t="shared" si="17"/>
        <v>84.3</v>
      </c>
      <c r="CH37" s="63">
        <f t="shared" si="18"/>
        <v>24</v>
      </c>
      <c r="CI37" s="63">
        <f t="shared" si="19"/>
        <v>218</v>
      </c>
      <c r="CJ37" s="63">
        <f t="shared" si="20"/>
        <v>12</v>
      </c>
      <c r="CK37" s="66">
        <f t="shared" si="21"/>
        <v>18.166666666666668</v>
      </c>
      <c r="CL37" s="67">
        <f t="shared" si="22"/>
        <v>42.25</v>
      </c>
      <c r="CM37" s="67">
        <f t="shared" si="23"/>
        <v>2.5798816568047336</v>
      </c>
      <c r="CN37" s="56" t="str">
        <f t="shared" si="24"/>
        <v>4-39</v>
      </c>
      <c r="CO37" s="63">
        <f t="shared" si="25"/>
        <v>209</v>
      </c>
      <c r="CP37" s="63">
        <f t="shared" si="26"/>
        <v>25</v>
      </c>
      <c r="CQ37" s="63">
        <f t="shared" si="27"/>
        <v>4</v>
      </c>
      <c r="CR37" s="68">
        <f t="shared" si="13"/>
        <v>18.170366666666666</v>
      </c>
      <c r="CS37" s="2">
        <f t="shared" si="14"/>
        <v>14</v>
      </c>
    </row>
    <row r="38" spans="1:97" x14ac:dyDescent="0.15">
      <c r="A38" s="2" t="s">
        <v>105</v>
      </c>
      <c r="B38" s="2" t="s">
        <v>64</v>
      </c>
      <c r="D38" s="2" t="s">
        <v>310</v>
      </c>
      <c r="J38" s="2" t="s">
        <v>419</v>
      </c>
      <c r="Q38" s="2" t="s">
        <v>560</v>
      </c>
      <c r="T38" s="2" t="s">
        <v>577</v>
      </c>
      <c r="Z38" s="2" t="s">
        <v>643</v>
      </c>
      <c r="AI38" s="2" t="s">
        <v>735</v>
      </c>
      <c r="AO38" s="2" t="s">
        <v>881</v>
      </c>
      <c r="AU38" s="2" t="s">
        <v>958</v>
      </c>
      <c r="CE38" s="63">
        <f t="shared" si="15"/>
        <v>8</v>
      </c>
      <c r="CF38" s="63">
        <f t="shared" si="16"/>
        <v>300</v>
      </c>
      <c r="CG38" s="65">
        <f t="shared" si="17"/>
        <v>50</v>
      </c>
      <c r="CH38" s="63">
        <f t="shared" si="18"/>
        <v>4</v>
      </c>
      <c r="CI38" s="63">
        <f t="shared" si="19"/>
        <v>230</v>
      </c>
      <c r="CJ38" s="63">
        <f t="shared" si="20"/>
        <v>16</v>
      </c>
      <c r="CK38" s="66">
        <f t="shared" si="21"/>
        <v>14.375</v>
      </c>
      <c r="CL38" s="67">
        <f t="shared" si="22"/>
        <v>18.75</v>
      </c>
      <c r="CM38" s="67">
        <f t="shared" si="23"/>
        <v>4.5999999999999996</v>
      </c>
      <c r="CN38" s="56" t="str">
        <f t="shared" si="24"/>
        <v>4-35</v>
      </c>
      <c r="CO38" s="63">
        <f t="shared" si="25"/>
        <v>164</v>
      </c>
      <c r="CP38" s="63">
        <f t="shared" si="26"/>
        <v>4</v>
      </c>
      <c r="CQ38" s="63">
        <f t="shared" si="27"/>
        <v>0</v>
      </c>
      <c r="CR38" s="68">
        <f t="shared" si="13"/>
        <v>14.3788</v>
      </c>
      <c r="CS38" s="2">
        <f t="shared" si="14"/>
        <v>9</v>
      </c>
    </row>
    <row r="40" spans="1:97" x14ac:dyDescent="0.15">
      <c r="B40" s="2" t="s">
        <v>203</v>
      </c>
      <c r="C40" s="2">
        <f>BowlSplit(C5:C38,RunsConceded)</f>
        <v>0</v>
      </c>
      <c r="D40" s="2">
        <f t="shared" ref="D40:BF40" si="28">BowlSplit(D5:D38,RunsConceded)</f>
        <v>121</v>
      </c>
      <c r="E40" s="2">
        <f t="shared" si="28"/>
        <v>113</v>
      </c>
      <c r="F40" s="2">
        <f t="shared" si="28"/>
        <v>133</v>
      </c>
      <c r="G40" s="2">
        <f t="shared" si="28"/>
        <v>116</v>
      </c>
      <c r="H40" s="2">
        <f t="shared" si="28"/>
        <v>51</v>
      </c>
      <c r="I40" s="2">
        <f t="shared" si="28"/>
        <v>96</v>
      </c>
      <c r="J40" s="2">
        <f t="shared" si="28"/>
        <v>77</v>
      </c>
      <c r="K40" s="2">
        <f t="shared" si="28"/>
        <v>152</v>
      </c>
      <c r="L40" s="2">
        <f t="shared" si="28"/>
        <v>79</v>
      </c>
      <c r="M40" s="2">
        <f t="shared" si="28"/>
        <v>161</v>
      </c>
      <c r="N40" s="2">
        <f t="shared" si="28"/>
        <v>83</v>
      </c>
      <c r="O40" s="2">
        <f t="shared" si="28"/>
        <v>75</v>
      </c>
      <c r="P40" s="2">
        <f t="shared" si="28"/>
        <v>147</v>
      </c>
      <c r="Q40" s="2">
        <f t="shared" si="28"/>
        <v>123</v>
      </c>
      <c r="R40" s="2">
        <f t="shared" si="28"/>
        <v>97</v>
      </c>
      <c r="S40" s="2">
        <f t="shared" si="28"/>
        <v>149</v>
      </c>
      <c r="T40" s="2">
        <f t="shared" si="28"/>
        <v>190</v>
      </c>
      <c r="U40" s="2">
        <f t="shared" si="28"/>
        <v>187</v>
      </c>
      <c r="V40" s="2">
        <f t="shared" si="28"/>
        <v>103</v>
      </c>
      <c r="W40" s="2">
        <f t="shared" si="28"/>
        <v>0</v>
      </c>
      <c r="X40" s="2">
        <f t="shared" si="28"/>
        <v>0</v>
      </c>
      <c r="Y40" s="2">
        <f t="shared" si="28"/>
        <v>101</v>
      </c>
      <c r="Z40" s="2">
        <f t="shared" si="28"/>
        <v>144</v>
      </c>
      <c r="AA40" s="2">
        <f t="shared" si="28"/>
        <v>93</v>
      </c>
      <c r="AB40" s="2">
        <f t="shared" si="28"/>
        <v>197</v>
      </c>
      <c r="AC40" s="2">
        <f t="shared" si="28"/>
        <v>136</v>
      </c>
      <c r="AD40" s="2">
        <f t="shared" si="28"/>
        <v>144</v>
      </c>
      <c r="AE40" s="2">
        <f t="shared" si="28"/>
        <v>72</v>
      </c>
      <c r="AF40" s="2">
        <f t="shared" si="28"/>
        <v>0</v>
      </c>
      <c r="AG40" s="2">
        <f t="shared" si="28"/>
        <v>232</v>
      </c>
      <c r="AH40" s="2">
        <f t="shared" si="28"/>
        <v>85</v>
      </c>
      <c r="AI40" s="2">
        <f t="shared" si="28"/>
        <v>153</v>
      </c>
      <c r="AJ40" s="2">
        <f t="shared" si="28"/>
        <v>148</v>
      </c>
      <c r="AK40" s="2">
        <f t="shared" si="28"/>
        <v>60</v>
      </c>
      <c r="AL40" s="2">
        <f t="shared" si="28"/>
        <v>143</v>
      </c>
      <c r="AM40" s="2">
        <f t="shared" si="28"/>
        <v>24</v>
      </c>
      <c r="AN40" s="2">
        <f t="shared" si="28"/>
        <v>51</v>
      </c>
      <c r="AO40" s="2">
        <f t="shared" si="28"/>
        <v>65</v>
      </c>
      <c r="AP40" s="2">
        <f t="shared" si="28"/>
        <v>147</v>
      </c>
      <c r="AQ40" s="2">
        <f t="shared" si="28"/>
        <v>79</v>
      </c>
      <c r="AR40" s="2">
        <f t="shared" si="28"/>
        <v>175</v>
      </c>
      <c r="AS40" s="2">
        <f t="shared" si="28"/>
        <v>0</v>
      </c>
      <c r="AT40" s="2">
        <f t="shared" si="28"/>
        <v>0</v>
      </c>
      <c r="AU40" s="2">
        <f t="shared" si="28"/>
        <v>173</v>
      </c>
      <c r="AV40" s="2">
        <f t="shared" si="28"/>
        <v>158</v>
      </c>
      <c r="AW40" s="2">
        <f t="shared" si="28"/>
        <v>0</v>
      </c>
      <c r="AX40" s="2">
        <f t="shared" si="28"/>
        <v>210</v>
      </c>
      <c r="AY40" s="2">
        <f t="shared" si="28"/>
        <v>94</v>
      </c>
      <c r="AZ40" s="2">
        <f t="shared" si="28"/>
        <v>0</v>
      </c>
      <c r="BA40" s="2">
        <f t="shared" si="28"/>
        <v>110</v>
      </c>
      <c r="BB40" s="2">
        <f t="shared" si="28"/>
        <v>96</v>
      </c>
      <c r="BC40" s="2">
        <f t="shared" si="28"/>
        <v>0</v>
      </c>
      <c r="BD40" s="2">
        <f t="shared" si="28"/>
        <v>98</v>
      </c>
      <c r="BE40" s="2">
        <f t="shared" si="28"/>
        <v>0</v>
      </c>
      <c r="BF40" s="2">
        <f t="shared" si="28"/>
        <v>0</v>
      </c>
      <c r="CE40" s="63">
        <f>SUM(C40:BF40)</f>
        <v>5441</v>
      </c>
      <c r="CJ40" s="63">
        <f>SUM(CJ5:CJ38)</f>
        <v>319</v>
      </c>
    </row>
    <row r="41" spans="1:97" x14ac:dyDescent="0.15">
      <c r="B41" s="2" t="s">
        <v>204</v>
      </c>
      <c r="C41" s="2">
        <f t="array" ref="C41:BF42">TRANSPOSE(Matches!S5:T61)</f>
        <v>0</v>
      </c>
      <c r="D41" s="2">
        <v>7</v>
      </c>
      <c r="E41" s="2">
        <v>3</v>
      </c>
      <c r="F41" s="2">
        <v>3</v>
      </c>
      <c r="G41" s="2">
        <v>0</v>
      </c>
      <c r="H41" s="2">
        <v>9</v>
      </c>
      <c r="I41" s="2">
        <v>12</v>
      </c>
      <c r="J41" s="2">
        <v>15</v>
      </c>
      <c r="K41" s="2">
        <v>10</v>
      </c>
      <c r="L41" s="2">
        <v>9</v>
      </c>
      <c r="M41" s="2">
        <v>4</v>
      </c>
      <c r="N41" s="2">
        <v>10</v>
      </c>
      <c r="O41" s="2">
        <v>1</v>
      </c>
      <c r="P41" s="2">
        <v>2</v>
      </c>
      <c r="Q41" s="2">
        <v>2</v>
      </c>
      <c r="R41" s="2">
        <v>3</v>
      </c>
      <c r="S41" s="2">
        <v>2</v>
      </c>
      <c r="T41" s="2">
        <v>8</v>
      </c>
      <c r="U41" s="2">
        <v>4</v>
      </c>
      <c r="V41" s="2">
        <v>12</v>
      </c>
      <c r="W41" s="2">
        <v>0</v>
      </c>
      <c r="X41" s="2">
        <v>0</v>
      </c>
      <c r="Y41" s="2">
        <v>4</v>
      </c>
      <c r="Z41" s="2">
        <v>5</v>
      </c>
      <c r="AA41" s="2">
        <v>26</v>
      </c>
      <c r="AB41" s="2">
        <v>3</v>
      </c>
      <c r="AC41" s="2">
        <v>8</v>
      </c>
      <c r="AD41" s="2">
        <v>2</v>
      </c>
      <c r="AE41" s="2">
        <v>9</v>
      </c>
      <c r="AF41" s="2">
        <v>0</v>
      </c>
      <c r="AG41" s="2">
        <v>8</v>
      </c>
      <c r="AH41" s="2">
        <v>9</v>
      </c>
      <c r="AI41" s="2">
        <v>8</v>
      </c>
      <c r="AJ41" s="2">
        <v>7</v>
      </c>
      <c r="AK41" s="2">
        <v>7</v>
      </c>
      <c r="AL41" s="2">
        <v>7</v>
      </c>
      <c r="AM41" s="2">
        <v>2</v>
      </c>
      <c r="AN41" s="2">
        <v>1</v>
      </c>
      <c r="AO41" s="2">
        <v>0</v>
      </c>
      <c r="AP41" s="2">
        <v>3</v>
      </c>
      <c r="AQ41" s="2">
        <v>1</v>
      </c>
      <c r="AR41" s="2">
        <v>35</v>
      </c>
      <c r="AS41" s="2">
        <v>0</v>
      </c>
      <c r="AT41" s="2">
        <v>0</v>
      </c>
      <c r="AU41" s="2">
        <v>4</v>
      </c>
      <c r="AV41" s="2">
        <v>2</v>
      </c>
      <c r="AW41" s="2">
        <v>0</v>
      </c>
      <c r="AX41" s="2">
        <v>16</v>
      </c>
      <c r="AY41" s="2">
        <v>12</v>
      </c>
      <c r="AZ41" s="2">
        <v>0</v>
      </c>
      <c r="BA41" s="2">
        <v>7</v>
      </c>
      <c r="BB41" s="2">
        <v>2</v>
      </c>
      <c r="BC41" s="2">
        <v>0</v>
      </c>
      <c r="BD41" s="2">
        <v>6</v>
      </c>
      <c r="BE41" s="2">
        <v>0</v>
      </c>
      <c r="BF41" s="2">
        <v>0</v>
      </c>
      <c r="CE41" s="63">
        <f>SUM(C41:BF41)</f>
        <v>310</v>
      </c>
    </row>
    <row r="42" spans="1:97" x14ac:dyDescent="0.15">
      <c r="B42" s="2" t="s">
        <v>205</v>
      </c>
      <c r="C42" s="2">
        <v>0</v>
      </c>
      <c r="D42" s="2">
        <v>0</v>
      </c>
      <c r="E42" s="2">
        <v>2</v>
      </c>
      <c r="F42" s="2">
        <v>2</v>
      </c>
      <c r="G42" s="2">
        <v>1</v>
      </c>
      <c r="H42" s="2">
        <v>2</v>
      </c>
      <c r="I42" s="2">
        <v>1</v>
      </c>
      <c r="J42" s="2">
        <v>6</v>
      </c>
      <c r="K42" s="2">
        <v>2</v>
      </c>
      <c r="L42" s="2">
        <v>2</v>
      </c>
      <c r="M42" s="2">
        <v>1</v>
      </c>
      <c r="N42" s="2">
        <v>0</v>
      </c>
      <c r="O42" s="2">
        <v>0</v>
      </c>
      <c r="P42" s="2">
        <v>1</v>
      </c>
      <c r="Q42" s="2">
        <v>2</v>
      </c>
      <c r="R42" s="2">
        <v>2</v>
      </c>
      <c r="S42" s="2">
        <v>0</v>
      </c>
      <c r="T42" s="2">
        <v>4</v>
      </c>
      <c r="U42" s="2">
        <v>1</v>
      </c>
      <c r="V42" s="2">
        <v>1</v>
      </c>
      <c r="W42" s="2">
        <v>0</v>
      </c>
      <c r="X42" s="2">
        <v>0</v>
      </c>
      <c r="Y42" s="2">
        <v>4</v>
      </c>
      <c r="Z42" s="2">
        <v>1</v>
      </c>
      <c r="AA42" s="2">
        <v>3</v>
      </c>
      <c r="AB42" s="2">
        <v>5</v>
      </c>
      <c r="AC42" s="2">
        <v>4</v>
      </c>
      <c r="AD42" s="2">
        <v>0</v>
      </c>
      <c r="AE42" s="2">
        <v>4</v>
      </c>
      <c r="AF42" s="2">
        <v>0</v>
      </c>
      <c r="AG42" s="2">
        <v>5</v>
      </c>
      <c r="AH42" s="2">
        <v>1</v>
      </c>
      <c r="AI42" s="2">
        <v>6</v>
      </c>
      <c r="AJ42" s="2">
        <v>2</v>
      </c>
      <c r="AK42" s="2">
        <v>1</v>
      </c>
      <c r="AL42" s="2">
        <v>1</v>
      </c>
      <c r="AM42" s="2">
        <v>0</v>
      </c>
      <c r="AN42" s="2">
        <v>0</v>
      </c>
      <c r="AO42" s="2">
        <v>0</v>
      </c>
      <c r="AP42" s="2">
        <v>3</v>
      </c>
      <c r="AQ42" s="2">
        <v>1</v>
      </c>
      <c r="AR42" s="2">
        <v>6</v>
      </c>
      <c r="AS42" s="2">
        <v>0</v>
      </c>
      <c r="AT42" s="2">
        <v>0</v>
      </c>
      <c r="AU42" s="2">
        <v>2</v>
      </c>
      <c r="AV42" s="2">
        <v>3</v>
      </c>
      <c r="AW42" s="2">
        <v>0</v>
      </c>
      <c r="AX42" s="2">
        <v>6</v>
      </c>
      <c r="AY42" s="2">
        <v>4</v>
      </c>
      <c r="AZ42" s="2">
        <v>0</v>
      </c>
      <c r="BA42" s="2">
        <v>0</v>
      </c>
      <c r="BB42" s="2">
        <v>1</v>
      </c>
      <c r="BC42" s="2">
        <v>0</v>
      </c>
      <c r="BD42" s="2">
        <v>3</v>
      </c>
      <c r="BE42" s="2">
        <v>0</v>
      </c>
      <c r="BF42" s="2">
        <v>0</v>
      </c>
      <c r="CE42" s="63">
        <f>SUM(C42:BF42)</f>
        <v>96</v>
      </c>
    </row>
    <row r="43" spans="1:97" s="64" customFormat="1" x14ac:dyDescent="0.15">
      <c r="B43" s="64" t="s">
        <v>202</v>
      </c>
      <c r="C43" s="64">
        <f>SUM(C40:C42)</f>
        <v>0</v>
      </c>
      <c r="D43" s="64">
        <f t="shared" ref="D43:BF43" si="29">SUM(D40:D42)</f>
        <v>128</v>
      </c>
      <c r="E43" s="64">
        <f t="shared" si="29"/>
        <v>118</v>
      </c>
      <c r="F43" s="64">
        <f t="shared" si="29"/>
        <v>138</v>
      </c>
      <c r="G43" s="64">
        <f t="shared" si="29"/>
        <v>117</v>
      </c>
      <c r="H43" s="64">
        <f t="shared" si="29"/>
        <v>62</v>
      </c>
      <c r="I43" s="64">
        <f t="shared" si="29"/>
        <v>109</v>
      </c>
      <c r="J43" s="64">
        <f t="shared" si="29"/>
        <v>98</v>
      </c>
      <c r="K43" s="64">
        <f t="shared" si="29"/>
        <v>164</v>
      </c>
      <c r="L43" s="64">
        <f t="shared" si="29"/>
        <v>90</v>
      </c>
      <c r="M43" s="64">
        <f t="shared" si="29"/>
        <v>166</v>
      </c>
      <c r="N43" s="64">
        <f t="shared" si="29"/>
        <v>93</v>
      </c>
      <c r="O43" s="64">
        <f t="shared" si="29"/>
        <v>76</v>
      </c>
      <c r="P43" s="64">
        <f t="shared" si="29"/>
        <v>150</v>
      </c>
      <c r="Q43" s="64">
        <f t="shared" si="29"/>
        <v>127</v>
      </c>
      <c r="R43" s="64">
        <f t="shared" si="29"/>
        <v>102</v>
      </c>
      <c r="S43" s="64">
        <f t="shared" si="29"/>
        <v>151</v>
      </c>
      <c r="T43" s="64">
        <f t="shared" si="29"/>
        <v>202</v>
      </c>
      <c r="U43" s="64">
        <f t="shared" si="29"/>
        <v>192</v>
      </c>
      <c r="V43" s="64">
        <f t="shared" si="29"/>
        <v>116</v>
      </c>
      <c r="W43" s="64">
        <f t="shared" si="29"/>
        <v>0</v>
      </c>
      <c r="X43" s="64">
        <f t="shared" si="29"/>
        <v>0</v>
      </c>
      <c r="Y43" s="64">
        <f t="shared" si="29"/>
        <v>109</v>
      </c>
      <c r="Z43" s="64">
        <f t="shared" si="29"/>
        <v>150</v>
      </c>
      <c r="AA43" s="64">
        <f t="shared" si="29"/>
        <v>122</v>
      </c>
      <c r="AB43" s="64">
        <f t="shared" si="29"/>
        <v>205</v>
      </c>
      <c r="AC43" s="64">
        <f t="shared" si="29"/>
        <v>148</v>
      </c>
      <c r="AD43" s="64">
        <f t="shared" si="29"/>
        <v>146</v>
      </c>
      <c r="AE43" s="64">
        <f t="shared" si="29"/>
        <v>85</v>
      </c>
      <c r="AF43" s="64">
        <f t="shared" si="29"/>
        <v>0</v>
      </c>
      <c r="AG43" s="64">
        <f t="shared" si="29"/>
        <v>245</v>
      </c>
      <c r="AH43" s="64">
        <f t="shared" si="29"/>
        <v>95</v>
      </c>
      <c r="AI43" s="64">
        <f t="shared" si="29"/>
        <v>167</v>
      </c>
      <c r="AJ43" s="64">
        <f t="shared" si="29"/>
        <v>157</v>
      </c>
      <c r="AK43" s="64">
        <f t="shared" si="29"/>
        <v>68</v>
      </c>
      <c r="AL43" s="64">
        <f t="shared" si="29"/>
        <v>151</v>
      </c>
      <c r="AM43" s="64">
        <f t="shared" si="29"/>
        <v>26</v>
      </c>
      <c r="AN43" s="64">
        <f t="shared" si="29"/>
        <v>52</v>
      </c>
      <c r="AO43" s="64">
        <f t="shared" si="29"/>
        <v>65</v>
      </c>
      <c r="AP43" s="64">
        <f t="shared" si="29"/>
        <v>153</v>
      </c>
      <c r="AQ43" s="64">
        <f t="shared" si="29"/>
        <v>81</v>
      </c>
      <c r="AR43" s="64">
        <f t="shared" si="29"/>
        <v>216</v>
      </c>
      <c r="AS43" s="64">
        <f t="shared" si="29"/>
        <v>0</v>
      </c>
      <c r="AT43" s="64">
        <f t="shared" si="29"/>
        <v>0</v>
      </c>
      <c r="AU43" s="64">
        <f t="shared" si="29"/>
        <v>179</v>
      </c>
      <c r="AV43" s="64">
        <f t="shared" si="29"/>
        <v>163</v>
      </c>
      <c r="AW43" s="64">
        <f t="shared" si="29"/>
        <v>0</v>
      </c>
      <c r="AX43" s="64">
        <f t="shared" si="29"/>
        <v>232</v>
      </c>
      <c r="AY43" s="64">
        <f t="shared" si="29"/>
        <v>110</v>
      </c>
      <c r="AZ43" s="64">
        <f t="shared" si="29"/>
        <v>0</v>
      </c>
      <c r="BA43" s="64">
        <f t="shared" si="29"/>
        <v>117</v>
      </c>
      <c r="BB43" s="64">
        <f t="shared" si="29"/>
        <v>99</v>
      </c>
      <c r="BC43" s="64">
        <f t="shared" si="29"/>
        <v>0</v>
      </c>
      <c r="BD43" s="64">
        <f t="shared" si="29"/>
        <v>107</v>
      </c>
      <c r="BE43" s="64">
        <f t="shared" si="29"/>
        <v>0</v>
      </c>
      <c r="BF43" s="64">
        <f t="shared" si="29"/>
        <v>0</v>
      </c>
      <c r="CE43" s="64">
        <f>SUM(C43:BF43)</f>
        <v>5847</v>
      </c>
      <c r="CN43" s="69"/>
    </row>
    <row r="44" spans="1:97" x14ac:dyDescent="0.15">
      <c r="B44" s="2" t="s">
        <v>71</v>
      </c>
      <c r="C44" s="2">
        <f>BowlSplit(C5:C38,OversBowled)</f>
        <v>0</v>
      </c>
      <c r="D44" s="2">
        <f t="shared" ref="D44:BF44" si="30">BowlSplit(D5:D38,OversBowled)</f>
        <v>35</v>
      </c>
      <c r="E44" s="2">
        <f t="shared" si="30"/>
        <v>38</v>
      </c>
      <c r="F44" s="2">
        <f t="shared" si="30"/>
        <v>42.4</v>
      </c>
      <c r="G44" s="2">
        <f t="shared" si="30"/>
        <v>52</v>
      </c>
      <c r="H44" s="2">
        <f t="shared" si="30"/>
        <v>27.4</v>
      </c>
      <c r="I44" s="2">
        <f t="shared" si="30"/>
        <v>30.4</v>
      </c>
      <c r="J44" s="2">
        <f t="shared" si="30"/>
        <v>30</v>
      </c>
      <c r="K44" s="2">
        <f t="shared" si="30"/>
        <v>44.2</v>
      </c>
      <c r="L44" s="2">
        <f t="shared" si="30"/>
        <v>38.5</v>
      </c>
      <c r="M44" s="2">
        <f t="shared" si="30"/>
        <v>44</v>
      </c>
      <c r="N44" s="2">
        <f t="shared" si="30"/>
        <v>27.5</v>
      </c>
      <c r="O44" s="2">
        <f t="shared" si="30"/>
        <v>20.3</v>
      </c>
      <c r="P44" s="2">
        <f t="shared" si="30"/>
        <v>25</v>
      </c>
      <c r="Q44" s="2">
        <f t="shared" si="30"/>
        <v>33.5</v>
      </c>
      <c r="R44" s="2">
        <f t="shared" si="30"/>
        <v>44</v>
      </c>
      <c r="S44" s="2">
        <f t="shared" si="30"/>
        <v>47</v>
      </c>
      <c r="T44" s="2">
        <f t="shared" si="30"/>
        <v>42</v>
      </c>
      <c r="U44" s="2">
        <f t="shared" si="30"/>
        <v>38.299999999999997</v>
      </c>
      <c r="V44" s="2">
        <f t="shared" si="30"/>
        <v>38</v>
      </c>
      <c r="W44" s="2">
        <f t="shared" si="30"/>
        <v>0</v>
      </c>
      <c r="X44" s="2">
        <f t="shared" si="30"/>
        <v>0</v>
      </c>
      <c r="Y44" s="2">
        <f t="shared" si="30"/>
        <v>47</v>
      </c>
      <c r="Z44" s="2">
        <f t="shared" si="30"/>
        <v>40.1</v>
      </c>
      <c r="AA44" s="2">
        <f t="shared" si="30"/>
        <v>38</v>
      </c>
      <c r="AB44" s="2">
        <f t="shared" si="30"/>
        <v>49</v>
      </c>
      <c r="AC44" s="2">
        <f t="shared" si="30"/>
        <v>46.5</v>
      </c>
      <c r="AD44" s="2">
        <f t="shared" si="30"/>
        <v>24.5</v>
      </c>
      <c r="AE44" s="2">
        <f t="shared" si="30"/>
        <v>37.1</v>
      </c>
      <c r="AF44" s="2">
        <f t="shared" si="30"/>
        <v>0</v>
      </c>
      <c r="AG44" s="2">
        <f t="shared" si="30"/>
        <v>41.3</v>
      </c>
      <c r="AH44" s="2">
        <f t="shared" si="30"/>
        <v>25</v>
      </c>
      <c r="AI44" s="2">
        <f t="shared" si="30"/>
        <v>40</v>
      </c>
      <c r="AJ44" s="2">
        <f t="shared" si="30"/>
        <v>46</v>
      </c>
      <c r="AK44" s="2">
        <f t="shared" si="30"/>
        <v>20</v>
      </c>
      <c r="AL44" s="2">
        <f t="shared" si="30"/>
        <v>39</v>
      </c>
      <c r="AM44" s="2">
        <f t="shared" si="30"/>
        <v>5.2</v>
      </c>
      <c r="AN44" s="2">
        <f t="shared" si="30"/>
        <v>22</v>
      </c>
      <c r="AO44" s="2">
        <f t="shared" si="30"/>
        <v>18.2</v>
      </c>
      <c r="AP44" s="2">
        <f t="shared" si="30"/>
        <v>47</v>
      </c>
      <c r="AQ44" s="2">
        <f t="shared" si="30"/>
        <v>43</v>
      </c>
      <c r="AR44" s="2">
        <f t="shared" si="30"/>
        <v>45</v>
      </c>
      <c r="AS44" s="2">
        <f t="shared" si="30"/>
        <v>0</v>
      </c>
      <c r="AT44" s="2">
        <f t="shared" si="30"/>
        <v>0</v>
      </c>
      <c r="AU44" s="2">
        <f t="shared" si="30"/>
        <v>48</v>
      </c>
      <c r="AV44" s="2">
        <f t="shared" si="30"/>
        <v>38.5</v>
      </c>
      <c r="AW44" s="2">
        <f t="shared" si="30"/>
        <v>0</v>
      </c>
      <c r="AX44" s="2">
        <f t="shared" si="30"/>
        <v>47</v>
      </c>
      <c r="AY44" s="2">
        <f t="shared" si="30"/>
        <v>30.4</v>
      </c>
      <c r="AZ44" s="2">
        <f t="shared" si="30"/>
        <v>0</v>
      </c>
      <c r="BA44" s="2">
        <f t="shared" si="30"/>
        <v>50.2</v>
      </c>
      <c r="BB44" s="2">
        <f t="shared" si="30"/>
        <v>40</v>
      </c>
      <c r="BC44" s="2">
        <f t="shared" si="30"/>
        <v>0</v>
      </c>
      <c r="BD44" s="2">
        <f t="shared" si="30"/>
        <v>27.4</v>
      </c>
      <c r="BE44" s="2">
        <f t="shared" si="30"/>
        <v>0</v>
      </c>
      <c r="BF44" s="2">
        <f t="shared" si="30"/>
        <v>0</v>
      </c>
      <c r="CE44" s="63">
        <f>MAX(C44:CC44)</f>
        <v>52</v>
      </c>
    </row>
    <row r="45" spans="1:97" x14ac:dyDescent="0.15">
      <c r="B45" s="2" t="s">
        <v>70</v>
      </c>
      <c r="C45" s="2">
        <f>BowlSplit(C5:C38,BallsBowled)</f>
        <v>0</v>
      </c>
      <c r="D45" s="2">
        <f t="shared" ref="D45:BF45" si="31">BowlSplit(D5:D38,BallsBowled)</f>
        <v>210</v>
      </c>
      <c r="E45" s="2">
        <f t="shared" si="31"/>
        <v>228</v>
      </c>
      <c r="F45" s="2">
        <f t="shared" si="31"/>
        <v>256</v>
      </c>
      <c r="G45" s="2">
        <f t="shared" si="31"/>
        <v>312</v>
      </c>
      <c r="H45" s="2">
        <f t="shared" si="31"/>
        <v>166</v>
      </c>
      <c r="I45" s="2">
        <f t="shared" si="31"/>
        <v>184</v>
      </c>
      <c r="J45" s="2">
        <f t="shared" si="31"/>
        <v>180</v>
      </c>
      <c r="K45" s="2">
        <f t="shared" si="31"/>
        <v>266</v>
      </c>
      <c r="L45" s="2">
        <f t="shared" si="31"/>
        <v>233</v>
      </c>
      <c r="M45" s="2">
        <f t="shared" si="31"/>
        <v>264</v>
      </c>
      <c r="N45" s="2">
        <f t="shared" si="31"/>
        <v>167</v>
      </c>
      <c r="O45" s="2">
        <f t="shared" si="31"/>
        <v>123</v>
      </c>
      <c r="P45" s="2">
        <f t="shared" si="31"/>
        <v>150</v>
      </c>
      <c r="Q45" s="2">
        <f t="shared" si="31"/>
        <v>203</v>
      </c>
      <c r="R45" s="2">
        <f t="shared" si="31"/>
        <v>264</v>
      </c>
      <c r="S45" s="2">
        <f t="shared" si="31"/>
        <v>282</v>
      </c>
      <c r="T45" s="2">
        <f t="shared" si="31"/>
        <v>252</v>
      </c>
      <c r="U45" s="2">
        <f t="shared" si="31"/>
        <v>231</v>
      </c>
      <c r="V45" s="2">
        <f t="shared" si="31"/>
        <v>228</v>
      </c>
      <c r="W45" s="2">
        <f t="shared" si="31"/>
        <v>0</v>
      </c>
      <c r="X45" s="2">
        <f t="shared" si="31"/>
        <v>0</v>
      </c>
      <c r="Y45" s="2">
        <f t="shared" si="31"/>
        <v>282</v>
      </c>
      <c r="Z45" s="2">
        <f t="shared" si="31"/>
        <v>241</v>
      </c>
      <c r="AA45" s="2">
        <f t="shared" si="31"/>
        <v>228</v>
      </c>
      <c r="AB45" s="2">
        <f t="shared" si="31"/>
        <v>294</v>
      </c>
      <c r="AC45" s="2">
        <f t="shared" si="31"/>
        <v>281</v>
      </c>
      <c r="AD45" s="2">
        <f t="shared" si="31"/>
        <v>149</v>
      </c>
      <c r="AE45" s="2">
        <f t="shared" si="31"/>
        <v>223</v>
      </c>
      <c r="AF45" s="2">
        <f t="shared" si="31"/>
        <v>0</v>
      </c>
      <c r="AG45" s="2">
        <f t="shared" si="31"/>
        <v>249</v>
      </c>
      <c r="AH45" s="2">
        <f t="shared" si="31"/>
        <v>150</v>
      </c>
      <c r="AI45" s="2">
        <f t="shared" si="31"/>
        <v>240</v>
      </c>
      <c r="AJ45" s="2">
        <f t="shared" si="31"/>
        <v>276</v>
      </c>
      <c r="AK45" s="2">
        <f t="shared" si="31"/>
        <v>120</v>
      </c>
      <c r="AL45" s="2">
        <f t="shared" si="31"/>
        <v>234</v>
      </c>
      <c r="AM45" s="2">
        <f t="shared" si="31"/>
        <v>32</v>
      </c>
      <c r="AN45" s="2">
        <f t="shared" si="31"/>
        <v>132</v>
      </c>
      <c r="AO45" s="2">
        <f t="shared" si="31"/>
        <v>110</v>
      </c>
      <c r="AP45" s="2">
        <f t="shared" si="31"/>
        <v>282</v>
      </c>
      <c r="AQ45" s="2">
        <f t="shared" si="31"/>
        <v>258</v>
      </c>
      <c r="AR45" s="2">
        <f t="shared" si="31"/>
        <v>270</v>
      </c>
      <c r="AS45" s="2">
        <f t="shared" si="31"/>
        <v>0</v>
      </c>
      <c r="AT45" s="2">
        <f t="shared" si="31"/>
        <v>0</v>
      </c>
      <c r="AU45" s="2">
        <f t="shared" si="31"/>
        <v>288</v>
      </c>
      <c r="AV45" s="2">
        <f t="shared" si="31"/>
        <v>233</v>
      </c>
      <c r="AW45" s="2">
        <f t="shared" si="31"/>
        <v>0</v>
      </c>
      <c r="AX45" s="2">
        <f t="shared" si="31"/>
        <v>282</v>
      </c>
      <c r="AY45" s="2">
        <f t="shared" si="31"/>
        <v>184</v>
      </c>
      <c r="AZ45" s="2">
        <f t="shared" si="31"/>
        <v>0</v>
      </c>
      <c r="BA45" s="2">
        <f t="shared" si="31"/>
        <v>302</v>
      </c>
      <c r="BB45" s="2">
        <f t="shared" si="31"/>
        <v>240</v>
      </c>
      <c r="BC45" s="2">
        <f t="shared" si="31"/>
        <v>0</v>
      </c>
      <c r="BD45" s="2">
        <f t="shared" si="31"/>
        <v>166</v>
      </c>
      <c r="BE45" s="2">
        <f t="shared" si="31"/>
        <v>0</v>
      </c>
      <c r="BF45" s="2">
        <f t="shared" si="31"/>
        <v>0</v>
      </c>
      <c r="CE45" s="63">
        <f>SUM(C45:BF45)</f>
        <v>9945</v>
      </c>
      <c r="CF45" s="63">
        <f>INT(CE45/6)</f>
        <v>1657</v>
      </c>
      <c r="CG45" s="63">
        <f>CE45-CF45*6</f>
        <v>3</v>
      </c>
      <c r="CH45" s="63">
        <f>CF45+CG45/10</f>
        <v>1657.3</v>
      </c>
    </row>
    <row r="48" spans="1:97" x14ac:dyDescent="0.15">
      <c r="C48" s="2" t="str">
        <f t="shared" ref="C48:AH48" si="32">IF(BowlSplit(C5,WicketsTaken)&gt;=5,C5,"")</f>
        <v/>
      </c>
      <c r="D48" s="2" t="str">
        <f t="shared" si="32"/>
        <v/>
      </c>
      <c r="E48" s="2" t="str">
        <f t="shared" si="32"/>
        <v/>
      </c>
      <c r="F48" s="2" t="str">
        <f t="shared" si="32"/>
        <v/>
      </c>
      <c r="G48" s="2" t="str">
        <f t="shared" si="32"/>
        <v/>
      </c>
      <c r="H48" s="2" t="str">
        <f t="shared" si="32"/>
        <v/>
      </c>
      <c r="I48" s="2" t="str">
        <f t="shared" si="32"/>
        <v/>
      </c>
      <c r="J48" s="2" t="str">
        <f t="shared" si="32"/>
        <v/>
      </c>
      <c r="K48" s="2" t="str">
        <f t="shared" si="32"/>
        <v/>
      </c>
      <c r="L48" s="2" t="str">
        <f t="shared" si="32"/>
        <v/>
      </c>
      <c r="M48" s="2" t="str">
        <f t="shared" si="32"/>
        <v/>
      </c>
      <c r="N48" s="2" t="str">
        <f t="shared" si="32"/>
        <v/>
      </c>
      <c r="O48" s="2" t="str">
        <f t="shared" si="32"/>
        <v/>
      </c>
      <c r="P48" s="2" t="str">
        <f t="shared" si="32"/>
        <v/>
      </c>
      <c r="Q48" s="2" t="str">
        <f t="shared" si="32"/>
        <v/>
      </c>
      <c r="R48" s="2" t="str">
        <f t="shared" si="32"/>
        <v/>
      </c>
      <c r="S48" s="2" t="str">
        <f t="shared" si="32"/>
        <v/>
      </c>
      <c r="T48" s="2" t="str">
        <f t="shared" si="32"/>
        <v/>
      </c>
      <c r="U48" s="2" t="str">
        <f t="shared" si="32"/>
        <v/>
      </c>
      <c r="V48" s="2" t="str">
        <f t="shared" si="32"/>
        <v/>
      </c>
      <c r="W48" s="2" t="str">
        <f t="shared" si="32"/>
        <v/>
      </c>
      <c r="X48" s="2" t="str">
        <f t="shared" si="32"/>
        <v/>
      </c>
      <c r="Y48" s="2" t="str">
        <f t="shared" si="32"/>
        <v/>
      </c>
      <c r="Z48" s="2" t="str">
        <f t="shared" si="32"/>
        <v/>
      </c>
      <c r="AA48" s="2" t="str">
        <f t="shared" si="32"/>
        <v/>
      </c>
      <c r="AB48" s="2" t="str">
        <f t="shared" si="32"/>
        <v/>
      </c>
      <c r="AC48" s="2" t="str">
        <f t="shared" si="32"/>
        <v>14.5/0/59/8/1/0</v>
      </c>
      <c r="AD48" s="2" t="str">
        <f t="shared" si="32"/>
        <v/>
      </c>
      <c r="AE48" s="2" t="str">
        <f t="shared" si="32"/>
        <v/>
      </c>
      <c r="AF48" s="2" t="str">
        <f t="shared" si="32"/>
        <v/>
      </c>
      <c r="AG48" s="2" t="str">
        <f t="shared" si="32"/>
        <v/>
      </c>
      <c r="AH48" s="2" t="str">
        <f t="shared" si="32"/>
        <v/>
      </c>
      <c r="AI48" s="2" t="str">
        <f t="shared" ref="AI48:BE48" si="33">IF(BowlSplit(AI5,WicketsTaken)&gt;=5,AI5,"")</f>
        <v/>
      </c>
      <c r="AJ48" s="2" t="str">
        <f t="shared" si="33"/>
        <v/>
      </c>
      <c r="AK48" s="2" t="str">
        <f t="shared" si="33"/>
        <v/>
      </c>
      <c r="AL48" s="2" t="str">
        <f t="shared" si="33"/>
        <v/>
      </c>
      <c r="AM48" s="2" t="str">
        <f t="shared" si="33"/>
        <v/>
      </c>
      <c r="AN48" s="2" t="str">
        <f t="shared" si="33"/>
        <v/>
      </c>
      <c r="AO48" s="2" t="str">
        <f t="shared" si="33"/>
        <v/>
      </c>
      <c r="AP48" s="2" t="str">
        <f t="shared" si="33"/>
        <v/>
      </c>
      <c r="AQ48" s="2" t="str">
        <f t="shared" si="33"/>
        <v/>
      </c>
      <c r="AR48" s="2" t="str">
        <f t="shared" si="33"/>
        <v/>
      </c>
      <c r="AS48" s="2" t="str">
        <f t="shared" si="33"/>
        <v/>
      </c>
      <c r="AT48" s="2" t="str">
        <f t="shared" si="33"/>
        <v/>
      </c>
      <c r="AU48" s="2" t="str">
        <f t="shared" si="33"/>
        <v/>
      </c>
      <c r="AV48" s="2" t="str">
        <f t="shared" si="33"/>
        <v/>
      </c>
      <c r="AW48" s="2" t="str">
        <f t="shared" si="33"/>
        <v/>
      </c>
      <c r="AX48" s="2" t="str">
        <f t="shared" si="33"/>
        <v/>
      </c>
      <c r="AY48" s="2" t="str">
        <f t="shared" si="33"/>
        <v/>
      </c>
      <c r="AZ48" s="2" t="str">
        <f t="shared" si="33"/>
        <v/>
      </c>
      <c r="BA48" s="2" t="str">
        <f t="shared" si="33"/>
        <v/>
      </c>
      <c r="BB48" s="2" t="str">
        <f t="shared" si="33"/>
        <v/>
      </c>
      <c r="BC48" s="2" t="str">
        <f t="shared" si="33"/>
        <v/>
      </c>
      <c r="BD48" s="2" t="str">
        <f t="shared" si="33"/>
        <v/>
      </c>
      <c r="BE48" s="2" t="str">
        <f t="shared" si="33"/>
        <v/>
      </c>
    </row>
    <row r="49" spans="3:83" x14ac:dyDescent="0.15">
      <c r="C49" s="2" t="str">
        <f t="shared" ref="C49:AH49" si="34">IF(BowlSplit(C6,WicketsTaken)&gt;=5,C6,"")</f>
        <v/>
      </c>
      <c r="D49" s="2" t="str">
        <f t="shared" si="34"/>
        <v/>
      </c>
      <c r="E49" s="2" t="str">
        <f t="shared" si="34"/>
        <v/>
      </c>
      <c r="F49" s="2" t="str">
        <f t="shared" si="34"/>
        <v/>
      </c>
      <c r="G49" s="2" t="str">
        <f t="shared" si="34"/>
        <v/>
      </c>
      <c r="H49" s="2" t="str">
        <f t="shared" si="34"/>
        <v/>
      </c>
      <c r="I49" s="2" t="str">
        <f t="shared" si="34"/>
        <v/>
      </c>
      <c r="J49" s="2" t="str">
        <f t="shared" si="34"/>
        <v/>
      </c>
      <c r="K49" s="2" t="str">
        <f t="shared" si="34"/>
        <v/>
      </c>
      <c r="L49" s="2" t="str">
        <f t="shared" si="34"/>
        <v/>
      </c>
      <c r="M49" s="2" t="str">
        <f t="shared" si="34"/>
        <v/>
      </c>
      <c r="N49" s="2" t="str">
        <f t="shared" si="34"/>
        <v/>
      </c>
      <c r="O49" s="2" t="str">
        <f t="shared" si="34"/>
        <v/>
      </c>
      <c r="P49" s="2" t="str">
        <f t="shared" si="34"/>
        <v/>
      </c>
      <c r="Q49" s="2" t="str">
        <f t="shared" si="34"/>
        <v/>
      </c>
      <c r="R49" s="2" t="str">
        <f t="shared" si="34"/>
        <v/>
      </c>
      <c r="S49" s="2" t="str">
        <f t="shared" si="34"/>
        <v/>
      </c>
      <c r="T49" s="2" t="str">
        <f t="shared" si="34"/>
        <v/>
      </c>
      <c r="U49" s="2" t="str">
        <f t="shared" si="34"/>
        <v/>
      </c>
      <c r="V49" s="2" t="str">
        <f t="shared" si="34"/>
        <v/>
      </c>
      <c r="W49" s="2" t="str">
        <f t="shared" si="34"/>
        <v/>
      </c>
      <c r="X49" s="2" t="str">
        <f t="shared" si="34"/>
        <v/>
      </c>
      <c r="Y49" s="2" t="str">
        <f t="shared" si="34"/>
        <v/>
      </c>
      <c r="Z49" s="2" t="str">
        <f t="shared" si="34"/>
        <v/>
      </c>
      <c r="AA49" s="2" t="str">
        <f t="shared" si="34"/>
        <v/>
      </c>
      <c r="AB49" s="2" t="str">
        <f t="shared" si="34"/>
        <v/>
      </c>
      <c r="AC49" s="2" t="str">
        <f t="shared" si="34"/>
        <v/>
      </c>
      <c r="AD49" s="2" t="str">
        <f t="shared" si="34"/>
        <v/>
      </c>
      <c r="AE49" s="2" t="str">
        <f t="shared" si="34"/>
        <v/>
      </c>
      <c r="AF49" s="2" t="str">
        <f t="shared" si="34"/>
        <v/>
      </c>
      <c r="AG49" s="2" t="str">
        <f t="shared" si="34"/>
        <v/>
      </c>
      <c r="AH49" s="2" t="str">
        <f t="shared" si="34"/>
        <v/>
      </c>
      <c r="AI49" s="2" t="str">
        <f t="shared" ref="AI49:BE49" si="35">IF(BowlSplit(AI6,WicketsTaken)&gt;=5,AI6,"")</f>
        <v/>
      </c>
      <c r="AJ49" s="2" t="str">
        <f t="shared" si="35"/>
        <v/>
      </c>
      <c r="AK49" s="2" t="str">
        <f t="shared" si="35"/>
        <v/>
      </c>
      <c r="AL49" s="2" t="str">
        <f t="shared" si="35"/>
        <v/>
      </c>
      <c r="AM49" s="2" t="str">
        <f t="shared" si="35"/>
        <v/>
      </c>
      <c r="AN49" s="2" t="str">
        <f t="shared" si="35"/>
        <v/>
      </c>
      <c r="AO49" s="2" t="str">
        <f t="shared" si="35"/>
        <v/>
      </c>
      <c r="AP49" s="2" t="str">
        <f t="shared" si="35"/>
        <v/>
      </c>
      <c r="AQ49" s="2" t="str">
        <f t="shared" si="35"/>
        <v/>
      </c>
      <c r="AR49" s="2" t="str">
        <f t="shared" si="35"/>
        <v/>
      </c>
      <c r="AS49" s="2" t="str">
        <f t="shared" si="35"/>
        <v/>
      </c>
      <c r="AT49" s="2" t="str">
        <f t="shared" si="35"/>
        <v/>
      </c>
      <c r="AU49" s="2" t="str">
        <f t="shared" si="35"/>
        <v/>
      </c>
      <c r="AV49" s="2" t="str">
        <f t="shared" si="35"/>
        <v/>
      </c>
      <c r="AW49" s="2" t="str">
        <f t="shared" si="35"/>
        <v/>
      </c>
      <c r="AX49" s="2" t="str">
        <f t="shared" si="35"/>
        <v/>
      </c>
      <c r="AY49" s="2" t="str">
        <f t="shared" si="35"/>
        <v/>
      </c>
      <c r="AZ49" s="2" t="str">
        <f t="shared" si="35"/>
        <v/>
      </c>
      <c r="BA49" s="2" t="str">
        <f t="shared" si="35"/>
        <v/>
      </c>
      <c r="BB49" s="2" t="str">
        <f t="shared" si="35"/>
        <v/>
      </c>
      <c r="BC49" s="2" t="str">
        <f t="shared" si="35"/>
        <v/>
      </c>
      <c r="BD49" s="2" t="str">
        <f t="shared" si="35"/>
        <v/>
      </c>
      <c r="BE49" s="2" t="str">
        <f t="shared" si="35"/>
        <v/>
      </c>
    </row>
    <row r="50" spans="3:83" x14ac:dyDescent="0.15">
      <c r="C50" s="2" t="str">
        <f t="shared" ref="C50:AH50" si="36">IF(BowlSplit(C7,WicketsTaken)&gt;=5,C7,"")</f>
        <v/>
      </c>
      <c r="D50" s="2" t="str">
        <f t="shared" si="36"/>
        <v/>
      </c>
      <c r="E50" s="2" t="str">
        <f t="shared" si="36"/>
        <v/>
      </c>
      <c r="F50" s="2" t="str">
        <f t="shared" si="36"/>
        <v/>
      </c>
      <c r="G50" s="2" t="str">
        <f t="shared" si="36"/>
        <v/>
      </c>
      <c r="H50" s="2" t="str">
        <f t="shared" si="36"/>
        <v/>
      </c>
      <c r="I50" s="2" t="str">
        <f t="shared" si="36"/>
        <v/>
      </c>
      <c r="J50" s="2" t="str">
        <f t="shared" si="36"/>
        <v/>
      </c>
      <c r="K50" s="2" t="str">
        <f t="shared" si="36"/>
        <v/>
      </c>
      <c r="L50" s="2" t="str">
        <f t="shared" si="36"/>
        <v/>
      </c>
      <c r="M50" s="2" t="str">
        <f t="shared" si="36"/>
        <v/>
      </c>
      <c r="N50" s="2" t="str">
        <f t="shared" si="36"/>
        <v/>
      </c>
      <c r="O50" s="2" t="str">
        <f t="shared" si="36"/>
        <v/>
      </c>
      <c r="P50" s="2" t="str">
        <f t="shared" si="36"/>
        <v/>
      </c>
      <c r="Q50" s="2" t="str">
        <f t="shared" si="36"/>
        <v/>
      </c>
      <c r="R50" s="2" t="str">
        <f t="shared" si="36"/>
        <v/>
      </c>
      <c r="S50" s="2" t="str">
        <f t="shared" si="36"/>
        <v/>
      </c>
      <c r="T50" s="2" t="str">
        <f t="shared" si="36"/>
        <v/>
      </c>
      <c r="U50" s="2" t="str">
        <f t="shared" si="36"/>
        <v/>
      </c>
      <c r="V50" s="2" t="str">
        <f t="shared" si="36"/>
        <v/>
      </c>
      <c r="W50" s="2" t="str">
        <f t="shared" si="36"/>
        <v/>
      </c>
      <c r="X50" s="2" t="str">
        <f t="shared" si="36"/>
        <v/>
      </c>
      <c r="Y50" s="2" t="str">
        <f t="shared" si="36"/>
        <v/>
      </c>
      <c r="Z50" s="2" t="str">
        <f t="shared" si="36"/>
        <v/>
      </c>
      <c r="AA50" s="2" t="str">
        <f t="shared" si="36"/>
        <v/>
      </c>
      <c r="AB50" s="2" t="str">
        <f t="shared" si="36"/>
        <v/>
      </c>
      <c r="AC50" s="2" t="str">
        <f t="shared" si="36"/>
        <v/>
      </c>
      <c r="AD50" s="2" t="str">
        <f t="shared" si="36"/>
        <v/>
      </c>
      <c r="AE50" s="2" t="str">
        <f t="shared" si="36"/>
        <v/>
      </c>
      <c r="AF50" s="2" t="str">
        <f t="shared" si="36"/>
        <v/>
      </c>
      <c r="AG50" s="2" t="str">
        <f t="shared" si="36"/>
        <v/>
      </c>
      <c r="AH50" s="2" t="str">
        <f t="shared" si="36"/>
        <v/>
      </c>
      <c r="AI50" s="2" t="str">
        <f t="shared" ref="AI50:BE50" si="37">IF(BowlSplit(AI7,WicketsTaken)&gt;=5,AI7,"")</f>
        <v/>
      </c>
      <c r="AJ50" s="2" t="str">
        <f t="shared" si="37"/>
        <v/>
      </c>
      <c r="AK50" s="2" t="str">
        <f t="shared" si="37"/>
        <v/>
      </c>
      <c r="AL50" s="2" t="str">
        <f t="shared" si="37"/>
        <v/>
      </c>
      <c r="AM50" s="2" t="str">
        <f t="shared" si="37"/>
        <v/>
      </c>
      <c r="AN50" s="2" t="str">
        <f t="shared" si="37"/>
        <v/>
      </c>
      <c r="AO50" s="2" t="str">
        <f t="shared" si="37"/>
        <v/>
      </c>
      <c r="AP50" s="2" t="str">
        <f t="shared" si="37"/>
        <v/>
      </c>
      <c r="AQ50" s="2" t="str">
        <f t="shared" si="37"/>
        <v/>
      </c>
      <c r="AR50" s="2" t="str">
        <f t="shared" si="37"/>
        <v/>
      </c>
      <c r="AS50" s="2" t="str">
        <f t="shared" si="37"/>
        <v/>
      </c>
      <c r="AT50" s="2" t="str">
        <f t="shared" si="37"/>
        <v/>
      </c>
      <c r="AU50" s="2" t="str">
        <f t="shared" si="37"/>
        <v/>
      </c>
      <c r="AV50" s="2" t="str">
        <f t="shared" si="37"/>
        <v/>
      </c>
      <c r="AW50" s="2" t="str">
        <f t="shared" si="37"/>
        <v/>
      </c>
      <c r="AX50" s="2" t="str">
        <f t="shared" si="37"/>
        <v/>
      </c>
      <c r="AY50" s="2" t="str">
        <f t="shared" si="37"/>
        <v/>
      </c>
      <c r="AZ50" s="2" t="str">
        <f t="shared" si="37"/>
        <v/>
      </c>
      <c r="BA50" s="2" t="str">
        <f t="shared" si="37"/>
        <v/>
      </c>
      <c r="BB50" s="2" t="str">
        <f t="shared" si="37"/>
        <v/>
      </c>
      <c r="BC50" s="2" t="str">
        <f t="shared" si="37"/>
        <v/>
      </c>
      <c r="BD50" s="2" t="str">
        <f t="shared" si="37"/>
        <v/>
      </c>
      <c r="BE50" s="2" t="str">
        <f t="shared" si="37"/>
        <v/>
      </c>
    </row>
    <row r="51" spans="3:83" x14ac:dyDescent="0.15">
      <c r="C51" s="2" t="str">
        <f t="shared" ref="C51:AH51" si="38">IF(BowlSplit(C8,WicketsTaken)&gt;=5,C8,"")</f>
        <v/>
      </c>
      <c r="D51" s="2" t="str">
        <f t="shared" si="38"/>
        <v/>
      </c>
      <c r="E51" s="2" t="str">
        <f t="shared" si="38"/>
        <v/>
      </c>
      <c r="F51" s="2" t="str">
        <f t="shared" si="38"/>
        <v/>
      </c>
      <c r="G51" s="2" t="str">
        <f t="shared" si="38"/>
        <v/>
      </c>
      <c r="H51" s="2" t="str">
        <f t="shared" si="38"/>
        <v/>
      </c>
      <c r="I51" s="2" t="str">
        <f t="shared" si="38"/>
        <v/>
      </c>
      <c r="J51" s="2" t="str">
        <f t="shared" si="38"/>
        <v/>
      </c>
      <c r="K51" s="2" t="str">
        <f t="shared" si="38"/>
        <v/>
      </c>
      <c r="L51" s="2" t="str">
        <f t="shared" si="38"/>
        <v/>
      </c>
      <c r="M51" s="2" t="str">
        <f t="shared" si="38"/>
        <v/>
      </c>
      <c r="N51" s="2" t="str">
        <f t="shared" si="38"/>
        <v/>
      </c>
      <c r="O51" s="2" t="str">
        <f t="shared" si="38"/>
        <v/>
      </c>
      <c r="P51" s="2" t="str">
        <f t="shared" si="38"/>
        <v/>
      </c>
      <c r="Q51" s="2" t="str">
        <f t="shared" si="38"/>
        <v/>
      </c>
      <c r="R51" s="2" t="str">
        <f t="shared" si="38"/>
        <v/>
      </c>
      <c r="S51" s="2" t="str">
        <f t="shared" si="38"/>
        <v/>
      </c>
      <c r="T51" s="2" t="str">
        <f t="shared" si="38"/>
        <v/>
      </c>
      <c r="U51" s="2" t="str">
        <f t="shared" si="38"/>
        <v/>
      </c>
      <c r="V51" s="2" t="str">
        <f t="shared" si="38"/>
        <v/>
      </c>
      <c r="W51" s="2" t="str">
        <f t="shared" si="38"/>
        <v/>
      </c>
      <c r="X51" s="2" t="str">
        <f t="shared" si="38"/>
        <v/>
      </c>
      <c r="Y51" s="2" t="str">
        <f t="shared" si="38"/>
        <v/>
      </c>
      <c r="Z51" s="2" t="str">
        <f t="shared" si="38"/>
        <v/>
      </c>
      <c r="AA51" s="2" t="str">
        <f t="shared" si="38"/>
        <v/>
      </c>
      <c r="AB51" s="2" t="str">
        <f t="shared" si="38"/>
        <v/>
      </c>
      <c r="AC51" s="2" t="str">
        <f t="shared" si="38"/>
        <v/>
      </c>
      <c r="AD51" s="2" t="str">
        <f t="shared" si="38"/>
        <v/>
      </c>
      <c r="AE51" s="2" t="str">
        <f t="shared" si="38"/>
        <v/>
      </c>
      <c r="AF51" s="2" t="str">
        <f t="shared" si="38"/>
        <v/>
      </c>
      <c r="AG51" s="2" t="str">
        <f t="shared" si="38"/>
        <v/>
      </c>
      <c r="AH51" s="2" t="str">
        <f t="shared" si="38"/>
        <v/>
      </c>
      <c r="AI51" s="2" t="str">
        <f t="shared" ref="AI51:BE51" si="39">IF(BowlSplit(AI8,WicketsTaken)&gt;=5,AI8,"")</f>
        <v/>
      </c>
      <c r="AJ51" s="2" t="str">
        <f t="shared" si="39"/>
        <v/>
      </c>
      <c r="AK51" s="2" t="str">
        <f t="shared" si="39"/>
        <v/>
      </c>
      <c r="AL51" s="2" t="str">
        <f t="shared" si="39"/>
        <v/>
      </c>
      <c r="AM51" s="2" t="str">
        <f t="shared" si="39"/>
        <v/>
      </c>
      <c r="AN51" s="2" t="str">
        <f t="shared" si="39"/>
        <v/>
      </c>
      <c r="AO51" s="2" t="str">
        <f t="shared" si="39"/>
        <v/>
      </c>
      <c r="AP51" s="2" t="str">
        <f t="shared" si="39"/>
        <v/>
      </c>
      <c r="AQ51" s="2" t="str">
        <f t="shared" si="39"/>
        <v/>
      </c>
      <c r="AR51" s="2" t="str">
        <f t="shared" si="39"/>
        <v/>
      </c>
      <c r="AS51" s="2" t="str">
        <f t="shared" si="39"/>
        <v/>
      </c>
      <c r="AT51" s="2" t="str">
        <f t="shared" si="39"/>
        <v/>
      </c>
      <c r="AU51" s="2" t="str">
        <f t="shared" si="39"/>
        <v/>
      </c>
      <c r="AV51" s="2" t="str">
        <f t="shared" si="39"/>
        <v/>
      </c>
      <c r="AW51" s="2" t="str">
        <f t="shared" si="39"/>
        <v/>
      </c>
      <c r="AX51" s="2" t="str">
        <f t="shared" si="39"/>
        <v/>
      </c>
      <c r="AY51" s="2" t="str">
        <f t="shared" si="39"/>
        <v/>
      </c>
      <c r="AZ51" s="2" t="str">
        <f t="shared" si="39"/>
        <v/>
      </c>
      <c r="BA51" s="2" t="str">
        <f t="shared" si="39"/>
        <v/>
      </c>
      <c r="BB51" s="2" t="str">
        <f t="shared" si="39"/>
        <v/>
      </c>
      <c r="BC51" s="2" t="str">
        <f t="shared" si="39"/>
        <v/>
      </c>
      <c r="BD51" s="2" t="str">
        <f t="shared" si="39"/>
        <v/>
      </c>
      <c r="BE51" s="2" t="str">
        <f t="shared" si="39"/>
        <v/>
      </c>
    </row>
    <row r="52" spans="3:83" x14ac:dyDescent="0.15">
      <c r="C52" s="2" t="str">
        <f t="shared" ref="C52:AH52" si="40">IF(BowlSplit(C9,WicketsTaken)&gt;=5,C9,"")</f>
        <v/>
      </c>
      <c r="D52" s="2" t="str">
        <f t="shared" si="40"/>
        <v/>
      </c>
      <c r="E52" s="2" t="str">
        <f t="shared" si="40"/>
        <v/>
      </c>
      <c r="F52" s="2" t="str">
        <f t="shared" si="40"/>
        <v/>
      </c>
      <c r="G52" s="2" t="str">
        <f t="shared" si="40"/>
        <v/>
      </c>
      <c r="H52" s="2" t="str">
        <f t="shared" si="40"/>
        <v/>
      </c>
      <c r="I52" s="2" t="str">
        <f t="shared" si="40"/>
        <v/>
      </c>
      <c r="J52" s="2" t="str">
        <f t="shared" si="40"/>
        <v/>
      </c>
      <c r="K52" s="2" t="str">
        <f t="shared" si="40"/>
        <v/>
      </c>
      <c r="L52" s="2" t="str">
        <f t="shared" si="40"/>
        <v/>
      </c>
      <c r="M52" s="2" t="str">
        <f t="shared" si="40"/>
        <v/>
      </c>
      <c r="N52" s="2" t="str">
        <f t="shared" si="40"/>
        <v/>
      </c>
      <c r="O52" s="2" t="str">
        <f t="shared" si="40"/>
        <v/>
      </c>
      <c r="P52" s="2" t="str">
        <f t="shared" si="40"/>
        <v/>
      </c>
      <c r="Q52" s="2" t="str">
        <f t="shared" si="40"/>
        <v/>
      </c>
      <c r="R52" s="2" t="str">
        <f t="shared" si="40"/>
        <v/>
      </c>
      <c r="S52" s="2" t="str">
        <f t="shared" si="40"/>
        <v/>
      </c>
      <c r="T52" s="2" t="str">
        <f t="shared" si="40"/>
        <v/>
      </c>
      <c r="U52" s="2" t="str">
        <f t="shared" si="40"/>
        <v/>
      </c>
      <c r="V52" s="2" t="str">
        <f t="shared" si="40"/>
        <v/>
      </c>
      <c r="W52" s="2" t="str">
        <f t="shared" si="40"/>
        <v/>
      </c>
      <c r="X52" s="2" t="str">
        <f t="shared" si="40"/>
        <v/>
      </c>
      <c r="Y52" s="2" t="str">
        <f t="shared" si="40"/>
        <v/>
      </c>
      <c r="Z52" s="2" t="str">
        <f t="shared" si="40"/>
        <v/>
      </c>
      <c r="AA52" s="2" t="str">
        <f t="shared" si="40"/>
        <v/>
      </c>
      <c r="AB52" s="2" t="str">
        <f t="shared" si="40"/>
        <v/>
      </c>
      <c r="AC52" s="2" t="str">
        <f t="shared" si="40"/>
        <v/>
      </c>
      <c r="AD52" s="2" t="str">
        <f t="shared" si="40"/>
        <v/>
      </c>
      <c r="AE52" s="2" t="str">
        <f t="shared" si="40"/>
        <v/>
      </c>
      <c r="AF52" s="2" t="str">
        <f t="shared" si="40"/>
        <v/>
      </c>
      <c r="AG52" s="2" t="str">
        <f t="shared" si="40"/>
        <v/>
      </c>
      <c r="AH52" s="2" t="str">
        <f t="shared" si="40"/>
        <v/>
      </c>
      <c r="AI52" s="2" t="str">
        <f t="shared" ref="AI52:BE52" si="41">IF(BowlSplit(AI9,WicketsTaken)&gt;=5,AI9,"")</f>
        <v/>
      </c>
      <c r="AJ52" s="2" t="str">
        <f t="shared" si="41"/>
        <v/>
      </c>
      <c r="AK52" s="2" t="str">
        <f t="shared" si="41"/>
        <v/>
      </c>
      <c r="AL52" s="2" t="str">
        <f t="shared" si="41"/>
        <v/>
      </c>
      <c r="AM52" s="2" t="str">
        <f t="shared" si="41"/>
        <v/>
      </c>
      <c r="AN52" s="2" t="str">
        <f t="shared" si="41"/>
        <v/>
      </c>
      <c r="AO52" s="2" t="str">
        <f t="shared" si="41"/>
        <v/>
      </c>
      <c r="AP52" s="2" t="str">
        <f t="shared" si="41"/>
        <v/>
      </c>
      <c r="AQ52" s="2" t="str">
        <f t="shared" si="41"/>
        <v/>
      </c>
      <c r="AR52" s="2" t="str">
        <f t="shared" si="41"/>
        <v/>
      </c>
      <c r="AS52" s="2" t="str">
        <f t="shared" si="41"/>
        <v/>
      </c>
      <c r="AT52" s="2" t="str">
        <f t="shared" si="41"/>
        <v/>
      </c>
      <c r="AU52" s="2" t="str">
        <f t="shared" si="41"/>
        <v/>
      </c>
      <c r="AV52" s="2" t="str">
        <f t="shared" si="41"/>
        <v/>
      </c>
      <c r="AW52" s="2" t="str">
        <f t="shared" si="41"/>
        <v/>
      </c>
      <c r="AX52" s="2" t="str">
        <f t="shared" si="41"/>
        <v/>
      </c>
      <c r="AY52" s="2" t="str">
        <f t="shared" si="41"/>
        <v/>
      </c>
      <c r="AZ52" s="2" t="str">
        <f t="shared" si="41"/>
        <v/>
      </c>
      <c r="BA52" s="2" t="str">
        <f t="shared" si="41"/>
        <v/>
      </c>
      <c r="BB52" s="2" t="str">
        <f t="shared" si="41"/>
        <v/>
      </c>
      <c r="BC52" s="2" t="str">
        <f t="shared" si="41"/>
        <v/>
      </c>
      <c r="BD52" s="2" t="str">
        <f t="shared" si="41"/>
        <v/>
      </c>
      <c r="BE52" s="2" t="str">
        <f t="shared" si="41"/>
        <v/>
      </c>
    </row>
    <row r="53" spans="3:83" x14ac:dyDescent="0.15">
      <c r="C53" s="2" t="str">
        <f t="shared" ref="C53:AH53" si="42">IF(BowlSplit(C10,WicketsTaken)&gt;=5,C10,"")</f>
        <v/>
      </c>
      <c r="D53" s="2" t="str">
        <f t="shared" si="42"/>
        <v/>
      </c>
      <c r="E53" s="2" t="str">
        <f t="shared" si="42"/>
        <v/>
      </c>
      <c r="F53" s="2" t="str">
        <f t="shared" si="42"/>
        <v>9.4/0/38/5/0/0</v>
      </c>
      <c r="G53" s="2" t="str">
        <f t="shared" si="42"/>
        <v/>
      </c>
      <c r="H53" s="2" t="str">
        <f t="shared" si="42"/>
        <v/>
      </c>
      <c r="I53" s="2" t="str">
        <f t="shared" si="42"/>
        <v/>
      </c>
      <c r="J53" s="2" t="str">
        <f t="shared" si="42"/>
        <v/>
      </c>
      <c r="K53" s="2" t="str">
        <f t="shared" si="42"/>
        <v/>
      </c>
      <c r="L53" s="2" t="str">
        <f t="shared" si="42"/>
        <v/>
      </c>
      <c r="M53" s="2" t="str">
        <f t="shared" si="42"/>
        <v/>
      </c>
      <c r="N53" s="2" t="str">
        <f t="shared" si="42"/>
        <v/>
      </c>
      <c r="O53" s="2" t="str">
        <f t="shared" si="42"/>
        <v/>
      </c>
      <c r="P53" s="2" t="str">
        <f t="shared" si="42"/>
        <v/>
      </c>
      <c r="Q53" s="2" t="str">
        <f t="shared" si="42"/>
        <v/>
      </c>
      <c r="R53" s="2" t="str">
        <f t="shared" si="42"/>
        <v/>
      </c>
      <c r="S53" s="2" t="str">
        <f t="shared" si="42"/>
        <v/>
      </c>
      <c r="T53" s="2" t="str">
        <f t="shared" si="42"/>
        <v/>
      </c>
      <c r="U53" s="2" t="str">
        <f t="shared" si="42"/>
        <v/>
      </c>
      <c r="V53" s="2" t="str">
        <f t="shared" si="42"/>
        <v/>
      </c>
      <c r="W53" s="2" t="str">
        <f t="shared" si="42"/>
        <v/>
      </c>
      <c r="X53" s="2" t="str">
        <f t="shared" si="42"/>
        <v/>
      </c>
      <c r="Y53" s="2" t="str">
        <f t="shared" si="42"/>
        <v/>
      </c>
      <c r="Z53" s="2" t="str">
        <f t="shared" si="42"/>
        <v/>
      </c>
      <c r="AA53" s="2" t="str">
        <f t="shared" si="42"/>
        <v/>
      </c>
      <c r="AB53" s="2" t="str">
        <f t="shared" si="42"/>
        <v/>
      </c>
      <c r="AC53" s="2" t="str">
        <f t="shared" si="42"/>
        <v/>
      </c>
      <c r="AD53" s="2" t="str">
        <f t="shared" si="42"/>
        <v/>
      </c>
      <c r="AE53" s="2" t="str">
        <f t="shared" si="42"/>
        <v/>
      </c>
      <c r="AF53" s="2" t="str">
        <f t="shared" si="42"/>
        <v/>
      </c>
      <c r="AG53" s="2" t="str">
        <f t="shared" si="42"/>
        <v/>
      </c>
      <c r="AH53" s="2" t="str">
        <f t="shared" si="42"/>
        <v/>
      </c>
      <c r="AI53" s="2" t="str">
        <f t="shared" ref="AI53:BE53" si="43">IF(BowlSplit(AI10,WicketsTaken)&gt;=5,AI10,"")</f>
        <v/>
      </c>
      <c r="AJ53" s="2" t="str">
        <f t="shared" si="43"/>
        <v/>
      </c>
      <c r="AK53" s="2" t="str">
        <f t="shared" si="43"/>
        <v/>
      </c>
      <c r="AL53" s="2" t="str">
        <f t="shared" si="43"/>
        <v/>
      </c>
      <c r="AM53" s="2" t="str">
        <f t="shared" si="43"/>
        <v/>
      </c>
      <c r="AN53" s="2" t="str">
        <f t="shared" si="43"/>
        <v/>
      </c>
      <c r="AO53" s="2" t="str">
        <f t="shared" si="43"/>
        <v/>
      </c>
      <c r="AP53" s="2" t="str">
        <f t="shared" si="43"/>
        <v/>
      </c>
      <c r="AQ53" s="2" t="str">
        <f t="shared" si="43"/>
        <v/>
      </c>
      <c r="AR53" s="2" t="str">
        <f t="shared" si="43"/>
        <v/>
      </c>
      <c r="AS53" s="2" t="str">
        <f t="shared" si="43"/>
        <v/>
      </c>
      <c r="AT53" s="2" t="str">
        <f t="shared" si="43"/>
        <v/>
      </c>
      <c r="AU53" s="2" t="str">
        <f t="shared" si="43"/>
        <v/>
      </c>
      <c r="AV53" s="2" t="str">
        <f t="shared" si="43"/>
        <v/>
      </c>
      <c r="AW53" s="2" t="str">
        <f t="shared" si="43"/>
        <v/>
      </c>
      <c r="AX53" s="2" t="str">
        <f t="shared" si="43"/>
        <v/>
      </c>
      <c r="AY53" s="2" t="str">
        <f t="shared" si="43"/>
        <v/>
      </c>
      <c r="AZ53" s="2" t="str">
        <f t="shared" si="43"/>
        <v/>
      </c>
      <c r="BA53" s="2" t="str">
        <f t="shared" si="43"/>
        <v/>
      </c>
      <c r="BB53" s="2" t="str">
        <f t="shared" si="43"/>
        <v/>
      </c>
      <c r="BC53" s="2" t="str">
        <f t="shared" si="43"/>
        <v/>
      </c>
      <c r="BD53" s="2" t="str">
        <f t="shared" si="43"/>
        <v/>
      </c>
      <c r="BE53" s="2" t="str">
        <f t="shared" si="43"/>
        <v/>
      </c>
      <c r="CE53" s="67"/>
    </row>
    <row r="54" spans="3:83" x14ac:dyDescent="0.15">
      <c r="C54" s="2" t="str">
        <f t="shared" ref="C54:AH54" si="44">IF(BowlSplit(C11,WicketsTaken)&gt;=5,C11,"")</f>
        <v/>
      </c>
      <c r="D54" s="2" t="str">
        <f t="shared" si="44"/>
        <v/>
      </c>
      <c r="E54" s="2" t="str">
        <f t="shared" si="44"/>
        <v/>
      </c>
      <c r="F54" s="2" t="str">
        <f t="shared" si="44"/>
        <v/>
      </c>
      <c r="G54" s="2" t="str">
        <f t="shared" si="44"/>
        <v/>
      </c>
      <c r="H54" s="2" t="str">
        <f t="shared" si="44"/>
        <v/>
      </c>
      <c r="I54" s="2" t="str">
        <f t="shared" si="44"/>
        <v/>
      </c>
      <c r="J54" s="2" t="str">
        <f t="shared" si="44"/>
        <v/>
      </c>
      <c r="K54" s="2" t="str">
        <f t="shared" si="44"/>
        <v/>
      </c>
      <c r="L54" s="2" t="str">
        <f t="shared" si="44"/>
        <v/>
      </c>
      <c r="M54" s="2" t="str">
        <f t="shared" si="44"/>
        <v/>
      </c>
      <c r="N54" s="2" t="str">
        <f t="shared" si="44"/>
        <v/>
      </c>
      <c r="O54" s="2" t="str">
        <f t="shared" si="44"/>
        <v/>
      </c>
      <c r="P54" s="2" t="str">
        <f t="shared" si="44"/>
        <v/>
      </c>
      <c r="Q54" s="2" t="str">
        <f t="shared" si="44"/>
        <v/>
      </c>
      <c r="R54" s="2" t="str">
        <f t="shared" si="44"/>
        <v/>
      </c>
      <c r="S54" s="2" t="str">
        <f t="shared" si="44"/>
        <v/>
      </c>
      <c r="T54" s="2" t="str">
        <f t="shared" si="44"/>
        <v/>
      </c>
      <c r="U54" s="2" t="str">
        <f t="shared" si="44"/>
        <v/>
      </c>
      <c r="V54" s="2" t="str">
        <f t="shared" si="44"/>
        <v/>
      </c>
      <c r="W54" s="2" t="str">
        <f t="shared" si="44"/>
        <v/>
      </c>
      <c r="X54" s="2" t="str">
        <f t="shared" si="44"/>
        <v/>
      </c>
      <c r="Y54" s="2" t="str">
        <f t="shared" si="44"/>
        <v/>
      </c>
      <c r="Z54" s="2" t="str">
        <f t="shared" si="44"/>
        <v/>
      </c>
      <c r="AA54" s="2" t="str">
        <f t="shared" si="44"/>
        <v/>
      </c>
      <c r="AB54" s="2" t="str">
        <f t="shared" si="44"/>
        <v/>
      </c>
      <c r="AC54" s="2" t="str">
        <f t="shared" si="44"/>
        <v/>
      </c>
      <c r="AD54" s="2" t="str">
        <f t="shared" si="44"/>
        <v/>
      </c>
      <c r="AE54" s="2" t="str">
        <f t="shared" si="44"/>
        <v/>
      </c>
      <c r="AF54" s="2" t="str">
        <f t="shared" si="44"/>
        <v/>
      </c>
      <c r="AG54" s="2" t="str">
        <f t="shared" si="44"/>
        <v/>
      </c>
      <c r="AH54" s="2" t="str">
        <f t="shared" si="44"/>
        <v/>
      </c>
      <c r="AI54" s="2" t="str">
        <f t="shared" ref="AI54:BE54" si="45">IF(BowlSplit(AI11,WicketsTaken)&gt;=5,AI11,"")</f>
        <v/>
      </c>
      <c r="AJ54" s="2" t="str">
        <f t="shared" si="45"/>
        <v/>
      </c>
      <c r="AK54" s="2" t="str">
        <f t="shared" si="45"/>
        <v/>
      </c>
      <c r="AL54" s="2" t="str">
        <f t="shared" si="45"/>
        <v/>
      </c>
      <c r="AM54" s="2" t="str">
        <f t="shared" si="45"/>
        <v/>
      </c>
      <c r="AN54" s="2" t="str">
        <f t="shared" si="45"/>
        <v/>
      </c>
      <c r="AO54" s="2" t="str">
        <f t="shared" si="45"/>
        <v/>
      </c>
      <c r="AP54" s="2" t="str">
        <f t="shared" si="45"/>
        <v/>
      </c>
      <c r="AQ54" s="2" t="str">
        <f t="shared" si="45"/>
        <v/>
      </c>
      <c r="AR54" s="2" t="str">
        <f t="shared" si="45"/>
        <v/>
      </c>
      <c r="AS54" s="2" t="str">
        <f t="shared" si="45"/>
        <v/>
      </c>
      <c r="AT54" s="2" t="str">
        <f t="shared" si="45"/>
        <v/>
      </c>
      <c r="AU54" s="2" t="str">
        <f t="shared" si="45"/>
        <v/>
      </c>
      <c r="AV54" s="2" t="str">
        <f t="shared" si="45"/>
        <v/>
      </c>
      <c r="AW54" s="2" t="str">
        <f t="shared" si="45"/>
        <v/>
      </c>
      <c r="AX54" s="2" t="str">
        <f t="shared" si="45"/>
        <v/>
      </c>
      <c r="AY54" s="2" t="str">
        <f t="shared" si="45"/>
        <v/>
      </c>
      <c r="AZ54" s="2" t="str">
        <f t="shared" si="45"/>
        <v/>
      </c>
      <c r="BA54" s="2" t="str">
        <f t="shared" si="45"/>
        <v/>
      </c>
      <c r="BB54" s="2" t="str">
        <f t="shared" si="45"/>
        <v/>
      </c>
      <c r="BC54" s="2" t="str">
        <f t="shared" si="45"/>
        <v/>
      </c>
      <c r="BD54" s="2" t="str">
        <f t="shared" si="45"/>
        <v/>
      </c>
      <c r="BE54" s="2" t="str">
        <f t="shared" si="45"/>
        <v/>
      </c>
    </row>
    <row r="55" spans="3:83" x14ac:dyDescent="0.15">
      <c r="C55" s="2" t="str">
        <f t="shared" ref="C55:AH55" si="46">IF(BowlSplit(C12,WicketsTaken)&gt;=5,C12,"")</f>
        <v/>
      </c>
      <c r="D55" s="2" t="str">
        <f t="shared" si="46"/>
        <v/>
      </c>
      <c r="E55" s="2" t="str">
        <f t="shared" si="46"/>
        <v/>
      </c>
      <c r="F55" s="2" t="str">
        <f t="shared" si="46"/>
        <v/>
      </c>
      <c r="G55" s="2" t="str">
        <f t="shared" si="46"/>
        <v/>
      </c>
      <c r="H55" s="2" t="str">
        <f t="shared" si="46"/>
        <v/>
      </c>
      <c r="I55" s="2" t="str">
        <f t="shared" si="46"/>
        <v/>
      </c>
      <c r="J55" s="2" t="str">
        <f t="shared" si="46"/>
        <v/>
      </c>
      <c r="K55" s="2" t="str">
        <f t="shared" si="46"/>
        <v/>
      </c>
      <c r="L55" s="2" t="str">
        <f t="shared" si="46"/>
        <v/>
      </c>
      <c r="M55" s="2" t="str">
        <f t="shared" si="46"/>
        <v/>
      </c>
      <c r="N55" s="2" t="str">
        <f t="shared" si="46"/>
        <v/>
      </c>
      <c r="O55" s="2" t="str">
        <f t="shared" si="46"/>
        <v/>
      </c>
      <c r="P55" s="2" t="str">
        <f t="shared" si="46"/>
        <v/>
      </c>
      <c r="Q55" s="2" t="str">
        <f t="shared" si="46"/>
        <v/>
      </c>
      <c r="R55" s="2" t="str">
        <f t="shared" si="46"/>
        <v/>
      </c>
      <c r="S55" s="2" t="str">
        <f t="shared" si="46"/>
        <v/>
      </c>
      <c r="T55" s="2" t="str">
        <f t="shared" si="46"/>
        <v/>
      </c>
      <c r="U55" s="2" t="str">
        <f t="shared" si="46"/>
        <v/>
      </c>
      <c r="V55" s="2" t="str">
        <f t="shared" si="46"/>
        <v/>
      </c>
      <c r="W55" s="2" t="str">
        <f t="shared" si="46"/>
        <v/>
      </c>
      <c r="X55" s="2" t="str">
        <f t="shared" si="46"/>
        <v/>
      </c>
      <c r="Y55" s="2" t="str">
        <f t="shared" si="46"/>
        <v/>
      </c>
      <c r="Z55" s="2" t="str">
        <f t="shared" si="46"/>
        <v/>
      </c>
      <c r="AA55" s="2" t="str">
        <f t="shared" si="46"/>
        <v/>
      </c>
      <c r="AB55" s="2" t="str">
        <f t="shared" si="46"/>
        <v/>
      </c>
      <c r="AC55" s="2" t="str">
        <f t="shared" si="46"/>
        <v/>
      </c>
      <c r="AD55" s="2" t="str">
        <f t="shared" si="46"/>
        <v/>
      </c>
      <c r="AE55" s="2" t="str">
        <f t="shared" si="46"/>
        <v/>
      </c>
      <c r="AF55" s="2" t="str">
        <f t="shared" si="46"/>
        <v/>
      </c>
      <c r="AG55" s="2" t="str">
        <f t="shared" si="46"/>
        <v/>
      </c>
      <c r="AH55" s="2" t="str">
        <f t="shared" si="46"/>
        <v/>
      </c>
      <c r="AI55" s="2" t="str">
        <f t="shared" ref="AI55:BE55" si="47">IF(BowlSplit(AI12,WicketsTaken)&gt;=5,AI12,"")</f>
        <v/>
      </c>
      <c r="AJ55" s="2" t="str">
        <f t="shared" si="47"/>
        <v/>
      </c>
      <c r="AK55" s="2" t="str">
        <f t="shared" si="47"/>
        <v/>
      </c>
      <c r="AL55" s="2" t="str">
        <f t="shared" si="47"/>
        <v/>
      </c>
      <c r="AM55" s="2" t="str">
        <f t="shared" si="47"/>
        <v/>
      </c>
      <c r="AN55" s="2" t="str">
        <f t="shared" si="47"/>
        <v/>
      </c>
      <c r="AO55" s="2" t="str">
        <f t="shared" si="47"/>
        <v/>
      </c>
      <c r="AP55" s="2" t="str">
        <f t="shared" si="47"/>
        <v/>
      </c>
      <c r="AQ55" s="2" t="str">
        <f t="shared" si="47"/>
        <v/>
      </c>
      <c r="AR55" s="2" t="str">
        <f t="shared" si="47"/>
        <v/>
      </c>
      <c r="AS55" s="2" t="str">
        <f t="shared" si="47"/>
        <v/>
      </c>
      <c r="AT55" s="2" t="str">
        <f t="shared" si="47"/>
        <v/>
      </c>
      <c r="AU55" s="2" t="str">
        <f t="shared" si="47"/>
        <v/>
      </c>
      <c r="AV55" s="2" t="str">
        <f t="shared" si="47"/>
        <v/>
      </c>
      <c r="AW55" s="2" t="str">
        <f t="shared" si="47"/>
        <v/>
      </c>
      <c r="AX55" s="2" t="str">
        <f t="shared" si="47"/>
        <v/>
      </c>
      <c r="AY55" s="2" t="str">
        <f t="shared" si="47"/>
        <v/>
      </c>
      <c r="AZ55" s="2" t="str">
        <f t="shared" si="47"/>
        <v/>
      </c>
      <c r="BA55" s="2" t="str">
        <f t="shared" si="47"/>
        <v/>
      </c>
      <c r="BB55" s="2" t="str">
        <f t="shared" si="47"/>
        <v/>
      </c>
      <c r="BC55" s="2" t="str">
        <f t="shared" si="47"/>
        <v/>
      </c>
      <c r="BD55" s="2" t="str">
        <f t="shared" si="47"/>
        <v/>
      </c>
      <c r="BE55" s="2" t="str">
        <f t="shared" si="47"/>
        <v/>
      </c>
    </row>
    <row r="56" spans="3:83" x14ac:dyDescent="0.15">
      <c r="C56" s="2" t="str">
        <f t="shared" ref="C56:AH56" si="48">IF(BowlSplit(C13,WicketsTaken)&gt;=5,C13,"")</f>
        <v/>
      </c>
      <c r="D56" s="2" t="str">
        <f t="shared" si="48"/>
        <v/>
      </c>
      <c r="E56" s="2" t="str">
        <f t="shared" si="48"/>
        <v/>
      </c>
      <c r="F56" s="2" t="str">
        <f t="shared" si="48"/>
        <v/>
      </c>
      <c r="G56" s="2" t="str">
        <f t="shared" si="48"/>
        <v/>
      </c>
      <c r="H56" s="2" t="str">
        <f t="shared" si="48"/>
        <v/>
      </c>
      <c r="I56" s="2" t="str">
        <f t="shared" si="48"/>
        <v/>
      </c>
      <c r="J56" s="2" t="str">
        <f t="shared" si="48"/>
        <v/>
      </c>
      <c r="K56" s="2" t="str">
        <f t="shared" si="48"/>
        <v/>
      </c>
      <c r="L56" s="2" t="str">
        <f t="shared" si="48"/>
        <v/>
      </c>
      <c r="M56" s="2" t="str">
        <f t="shared" si="48"/>
        <v/>
      </c>
      <c r="N56" s="2" t="str">
        <f t="shared" si="48"/>
        <v/>
      </c>
      <c r="O56" s="2" t="str">
        <f t="shared" si="48"/>
        <v/>
      </c>
      <c r="P56" s="2" t="str">
        <f t="shared" si="48"/>
        <v/>
      </c>
      <c r="Q56" s="2" t="str">
        <f t="shared" si="48"/>
        <v/>
      </c>
      <c r="R56" s="2" t="str">
        <f t="shared" si="48"/>
        <v/>
      </c>
      <c r="S56" s="2" t="str">
        <f t="shared" si="48"/>
        <v/>
      </c>
      <c r="T56" s="2" t="str">
        <f t="shared" si="48"/>
        <v/>
      </c>
      <c r="U56" s="2" t="str">
        <f t="shared" si="48"/>
        <v/>
      </c>
      <c r="V56" s="2" t="str">
        <f t="shared" si="48"/>
        <v/>
      </c>
      <c r="W56" s="2" t="str">
        <f t="shared" si="48"/>
        <v/>
      </c>
      <c r="X56" s="2" t="str">
        <f t="shared" si="48"/>
        <v/>
      </c>
      <c r="Y56" s="2" t="str">
        <f t="shared" si="48"/>
        <v/>
      </c>
      <c r="Z56" s="2" t="str">
        <f t="shared" si="48"/>
        <v/>
      </c>
      <c r="AA56" s="2" t="str">
        <f t="shared" si="48"/>
        <v/>
      </c>
      <c r="AB56" s="2" t="str">
        <f t="shared" si="48"/>
        <v/>
      </c>
      <c r="AC56" s="2" t="str">
        <f t="shared" si="48"/>
        <v/>
      </c>
      <c r="AD56" s="2" t="str">
        <f t="shared" si="48"/>
        <v/>
      </c>
      <c r="AE56" s="2" t="str">
        <f t="shared" si="48"/>
        <v/>
      </c>
      <c r="AF56" s="2" t="str">
        <f t="shared" si="48"/>
        <v/>
      </c>
      <c r="AG56" s="2" t="str">
        <f t="shared" si="48"/>
        <v/>
      </c>
      <c r="AH56" s="2" t="str">
        <f t="shared" si="48"/>
        <v/>
      </c>
      <c r="AI56" s="2" t="str">
        <f t="shared" ref="AI56:BE56" si="49">IF(BowlSplit(AI13,WicketsTaken)&gt;=5,AI13,"")</f>
        <v/>
      </c>
      <c r="AJ56" s="2" t="str">
        <f t="shared" si="49"/>
        <v/>
      </c>
      <c r="AK56" s="2" t="str">
        <f t="shared" si="49"/>
        <v/>
      </c>
      <c r="AL56" s="2" t="str">
        <f t="shared" si="49"/>
        <v/>
      </c>
      <c r="AM56" s="2" t="str">
        <f t="shared" si="49"/>
        <v/>
      </c>
      <c r="AN56" s="2" t="str">
        <f t="shared" si="49"/>
        <v/>
      </c>
      <c r="AO56" s="2" t="str">
        <f t="shared" si="49"/>
        <v/>
      </c>
      <c r="AP56" s="2" t="str">
        <f t="shared" si="49"/>
        <v/>
      </c>
      <c r="AQ56" s="2" t="str">
        <f t="shared" si="49"/>
        <v/>
      </c>
      <c r="AR56" s="2" t="str">
        <f t="shared" si="49"/>
        <v/>
      </c>
      <c r="AS56" s="2" t="str">
        <f t="shared" si="49"/>
        <v/>
      </c>
      <c r="AT56" s="2" t="str">
        <f t="shared" si="49"/>
        <v/>
      </c>
      <c r="AU56" s="2" t="str">
        <f t="shared" si="49"/>
        <v/>
      </c>
      <c r="AV56" s="2" t="str">
        <f t="shared" si="49"/>
        <v/>
      </c>
      <c r="AW56" s="2" t="str">
        <f t="shared" si="49"/>
        <v/>
      </c>
      <c r="AX56" s="2" t="str">
        <f t="shared" si="49"/>
        <v/>
      </c>
      <c r="AY56" s="2" t="str">
        <f t="shared" si="49"/>
        <v/>
      </c>
      <c r="AZ56" s="2" t="str">
        <f t="shared" si="49"/>
        <v/>
      </c>
      <c r="BA56" s="2" t="str">
        <f t="shared" si="49"/>
        <v/>
      </c>
      <c r="BB56" s="2" t="str">
        <f t="shared" si="49"/>
        <v/>
      </c>
      <c r="BC56" s="2" t="str">
        <f t="shared" si="49"/>
        <v/>
      </c>
      <c r="BD56" s="2" t="str">
        <f t="shared" si="49"/>
        <v/>
      </c>
      <c r="BE56" s="2" t="str">
        <f t="shared" si="49"/>
        <v/>
      </c>
    </row>
    <row r="57" spans="3:83" x14ac:dyDescent="0.15">
      <c r="C57" s="2" t="str">
        <f t="shared" ref="C57:AH57" si="50">IF(BowlSplit(C14,WicketsTaken)&gt;=5,C14,"")</f>
        <v/>
      </c>
      <c r="D57" s="2" t="str">
        <f t="shared" si="50"/>
        <v/>
      </c>
      <c r="E57" s="2" t="str">
        <f t="shared" si="50"/>
        <v/>
      </c>
      <c r="F57" s="2" t="str">
        <f t="shared" si="50"/>
        <v/>
      </c>
      <c r="G57" s="2" t="str">
        <f t="shared" si="50"/>
        <v/>
      </c>
      <c r="H57" s="2" t="str">
        <f t="shared" si="50"/>
        <v/>
      </c>
      <c r="I57" s="2" t="str">
        <f t="shared" si="50"/>
        <v/>
      </c>
      <c r="J57" s="2" t="str">
        <f t="shared" si="50"/>
        <v/>
      </c>
      <c r="K57" s="2" t="str">
        <f t="shared" si="50"/>
        <v/>
      </c>
      <c r="L57" s="2" t="str">
        <f t="shared" si="50"/>
        <v/>
      </c>
      <c r="M57" s="2" t="str">
        <f t="shared" si="50"/>
        <v/>
      </c>
      <c r="N57" s="2" t="str">
        <f t="shared" si="50"/>
        <v/>
      </c>
      <c r="O57" s="2" t="str">
        <f t="shared" si="50"/>
        <v/>
      </c>
      <c r="P57" s="2" t="str">
        <f t="shared" si="50"/>
        <v/>
      </c>
      <c r="Q57" s="2" t="str">
        <f t="shared" si="50"/>
        <v/>
      </c>
      <c r="R57" s="2" t="str">
        <f t="shared" si="50"/>
        <v/>
      </c>
      <c r="S57" s="2" t="str">
        <f t="shared" si="50"/>
        <v/>
      </c>
      <c r="T57" s="2" t="str">
        <f t="shared" si="50"/>
        <v/>
      </c>
      <c r="U57" s="2" t="str">
        <f t="shared" si="50"/>
        <v/>
      </c>
      <c r="V57" s="2" t="str">
        <f t="shared" si="50"/>
        <v/>
      </c>
      <c r="W57" s="2" t="str">
        <f t="shared" si="50"/>
        <v/>
      </c>
      <c r="X57" s="2" t="str">
        <f t="shared" si="50"/>
        <v/>
      </c>
      <c r="Y57" s="2" t="str">
        <f t="shared" si="50"/>
        <v/>
      </c>
      <c r="Z57" s="2" t="str">
        <f t="shared" si="50"/>
        <v/>
      </c>
      <c r="AA57" s="2" t="str">
        <f t="shared" si="50"/>
        <v/>
      </c>
      <c r="AB57" s="2" t="str">
        <f t="shared" si="50"/>
        <v/>
      </c>
      <c r="AC57" s="2" t="str">
        <f t="shared" si="50"/>
        <v/>
      </c>
      <c r="AD57" s="2" t="str">
        <f t="shared" si="50"/>
        <v/>
      </c>
      <c r="AE57" s="2" t="str">
        <f t="shared" si="50"/>
        <v/>
      </c>
      <c r="AF57" s="2" t="str">
        <f t="shared" si="50"/>
        <v/>
      </c>
      <c r="AG57" s="2" t="str">
        <f t="shared" si="50"/>
        <v/>
      </c>
      <c r="AH57" s="2" t="str">
        <f t="shared" si="50"/>
        <v/>
      </c>
      <c r="AI57" s="2" t="str">
        <f t="shared" ref="AI57:BE57" si="51">IF(BowlSplit(AI14,WicketsTaken)&gt;=5,AI14,"")</f>
        <v/>
      </c>
      <c r="AJ57" s="2" t="str">
        <f t="shared" si="51"/>
        <v/>
      </c>
      <c r="AK57" s="2" t="str">
        <f t="shared" si="51"/>
        <v/>
      </c>
      <c r="AL57" s="2" t="str">
        <f t="shared" si="51"/>
        <v/>
      </c>
      <c r="AM57" s="2" t="str">
        <f t="shared" si="51"/>
        <v/>
      </c>
      <c r="AN57" s="2" t="str">
        <f t="shared" si="51"/>
        <v/>
      </c>
      <c r="AO57" s="2" t="str">
        <f t="shared" si="51"/>
        <v/>
      </c>
      <c r="AP57" s="2" t="str">
        <f t="shared" si="51"/>
        <v/>
      </c>
      <c r="AQ57" s="2" t="str">
        <f t="shared" si="51"/>
        <v/>
      </c>
      <c r="AR57" s="2" t="str">
        <f t="shared" si="51"/>
        <v/>
      </c>
      <c r="AS57" s="2" t="str">
        <f t="shared" si="51"/>
        <v/>
      </c>
      <c r="AT57" s="2" t="str">
        <f t="shared" si="51"/>
        <v/>
      </c>
      <c r="AU57" s="2" t="str">
        <f t="shared" si="51"/>
        <v/>
      </c>
      <c r="AV57" s="2" t="str">
        <f t="shared" si="51"/>
        <v/>
      </c>
      <c r="AW57" s="2" t="str">
        <f t="shared" si="51"/>
        <v/>
      </c>
      <c r="AX57" s="2" t="str">
        <f t="shared" si="51"/>
        <v/>
      </c>
      <c r="AY57" s="2" t="str">
        <f t="shared" si="51"/>
        <v/>
      </c>
      <c r="AZ57" s="2" t="str">
        <f t="shared" si="51"/>
        <v/>
      </c>
      <c r="BA57" s="2" t="str">
        <f t="shared" si="51"/>
        <v/>
      </c>
      <c r="BB57" s="2" t="str">
        <f t="shared" si="51"/>
        <v/>
      </c>
      <c r="BC57" s="2" t="str">
        <f t="shared" si="51"/>
        <v/>
      </c>
      <c r="BD57" s="2" t="str">
        <f t="shared" si="51"/>
        <v/>
      </c>
      <c r="BE57" s="2" t="str">
        <f t="shared" si="51"/>
        <v/>
      </c>
    </row>
    <row r="58" spans="3:83" x14ac:dyDescent="0.15">
      <c r="C58" s="2" t="str">
        <f t="shared" ref="C58:AH58" si="52">IF(BowlSplit(C15,WicketsTaken)&gt;=5,C15,"")</f>
        <v/>
      </c>
      <c r="D58" s="2" t="str">
        <f t="shared" si="52"/>
        <v/>
      </c>
      <c r="E58" s="2" t="str">
        <f t="shared" si="52"/>
        <v/>
      </c>
      <c r="F58" s="2" t="str">
        <f t="shared" si="52"/>
        <v/>
      </c>
      <c r="G58" s="2" t="str">
        <f t="shared" si="52"/>
        <v/>
      </c>
      <c r="H58" s="2" t="str">
        <f t="shared" si="52"/>
        <v/>
      </c>
      <c r="I58" s="2" t="str">
        <f t="shared" si="52"/>
        <v/>
      </c>
      <c r="J58" s="2" t="str">
        <f t="shared" si="52"/>
        <v/>
      </c>
      <c r="K58" s="2" t="str">
        <f t="shared" si="52"/>
        <v/>
      </c>
      <c r="L58" s="2" t="str">
        <f t="shared" si="52"/>
        <v/>
      </c>
      <c r="M58" s="2" t="str">
        <f t="shared" si="52"/>
        <v/>
      </c>
      <c r="N58" s="2" t="str">
        <f t="shared" si="52"/>
        <v/>
      </c>
      <c r="O58" s="2" t="str">
        <f t="shared" si="52"/>
        <v/>
      </c>
      <c r="P58" s="2" t="str">
        <f t="shared" si="52"/>
        <v/>
      </c>
      <c r="Q58" s="2" t="str">
        <f t="shared" si="52"/>
        <v/>
      </c>
      <c r="R58" s="2" t="str">
        <f t="shared" si="52"/>
        <v/>
      </c>
      <c r="S58" s="2" t="str">
        <f t="shared" si="52"/>
        <v/>
      </c>
      <c r="T58" s="2" t="str">
        <f t="shared" si="52"/>
        <v/>
      </c>
      <c r="U58" s="2" t="str">
        <f t="shared" si="52"/>
        <v/>
      </c>
      <c r="V58" s="2" t="str">
        <f t="shared" si="52"/>
        <v/>
      </c>
      <c r="W58" s="2" t="str">
        <f t="shared" si="52"/>
        <v/>
      </c>
      <c r="X58" s="2" t="str">
        <f t="shared" si="52"/>
        <v/>
      </c>
      <c r="Y58" s="2" t="str">
        <f t="shared" si="52"/>
        <v/>
      </c>
      <c r="Z58" s="2" t="str">
        <f t="shared" si="52"/>
        <v/>
      </c>
      <c r="AA58" s="2" t="str">
        <f t="shared" si="52"/>
        <v/>
      </c>
      <c r="AB58" s="2" t="str">
        <f t="shared" si="52"/>
        <v/>
      </c>
      <c r="AC58" s="2" t="str">
        <f t="shared" si="52"/>
        <v/>
      </c>
      <c r="AD58" s="2" t="str">
        <f t="shared" si="52"/>
        <v/>
      </c>
      <c r="AE58" s="2" t="str">
        <f t="shared" si="52"/>
        <v/>
      </c>
      <c r="AF58" s="2" t="str">
        <f t="shared" si="52"/>
        <v/>
      </c>
      <c r="AG58" s="2" t="str">
        <f t="shared" si="52"/>
        <v/>
      </c>
      <c r="AH58" s="2" t="str">
        <f t="shared" si="52"/>
        <v/>
      </c>
      <c r="AI58" s="2" t="str">
        <f t="shared" ref="AI58:BE58" si="53">IF(BowlSplit(AI15,WicketsTaken)&gt;=5,AI15,"")</f>
        <v/>
      </c>
      <c r="AJ58" s="2" t="str">
        <f t="shared" si="53"/>
        <v/>
      </c>
      <c r="AK58" s="2" t="str">
        <f t="shared" si="53"/>
        <v/>
      </c>
      <c r="AL58" s="2" t="str">
        <f t="shared" si="53"/>
        <v/>
      </c>
      <c r="AM58" s="2" t="str">
        <f t="shared" si="53"/>
        <v/>
      </c>
      <c r="AN58" s="2" t="str">
        <f t="shared" si="53"/>
        <v/>
      </c>
      <c r="AO58" s="2" t="str">
        <f t="shared" si="53"/>
        <v/>
      </c>
      <c r="AP58" s="2" t="str">
        <f t="shared" si="53"/>
        <v/>
      </c>
      <c r="AQ58" s="2" t="str">
        <f t="shared" si="53"/>
        <v/>
      </c>
      <c r="AR58" s="2" t="str">
        <f t="shared" si="53"/>
        <v/>
      </c>
      <c r="AS58" s="2" t="str">
        <f t="shared" si="53"/>
        <v/>
      </c>
      <c r="AT58" s="2" t="str">
        <f t="shared" si="53"/>
        <v/>
      </c>
      <c r="AU58" s="2" t="str">
        <f t="shared" si="53"/>
        <v/>
      </c>
      <c r="AV58" s="2" t="str">
        <f t="shared" si="53"/>
        <v/>
      </c>
      <c r="AW58" s="2" t="str">
        <f t="shared" si="53"/>
        <v/>
      </c>
      <c r="AX58" s="2" t="str">
        <f t="shared" si="53"/>
        <v/>
      </c>
      <c r="AY58" s="2" t="str">
        <f t="shared" si="53"/>
        <v/>
      </c>
      <c r="AZ58" s="2" t="str">
        <f t="shared" si="53"/>
        <v/>
      </c>
      <c r="BA58" s="2" t="str">
        <f t="shared" si="53"/>
        <v/>
      </c>
      <c r="BB58" s="2" t="str">
        <f t="shared" si="53"/>
        <v/>
      </c>
      <c r="BC58" s="2" t="str">
        <f t="shared" si="53"/>
        <v/>
      </c>
      <c r="BD58" s="2" t="str">
        <f t="shared" si="53"/>
        <v/>
      </c>
      <c r="BE58" s="2" t="str">
        <f t="shared" si="53"/>
        <v/>
      </c>
    </row>
    <row r="59" spans="3:83" x14ac:dyDescent="0.15">
      <c r="C59" s="2" t="str">
        <f t="shared" ref="C59:AH59" si="54">IF(BowlSplit(C16,WicketsTaken)&gt;=5,C16,"")</f>
        <v/>
      </c>
      <c r="D59" s="2" t="str">
        <f t="shared" si="54"/>
        <v/>
      </c>
      <c r="E59" s="2" t="str">
        <f t="shared" si="54"/>
        <v/>
      </c>
      <c r="F59" s="2" t="str">
        <f t="shared" si="54"/>
        <v/>
      </c>
      <c r="G59" s="2" t="str">
        <f t="shared" si="54"/>
        <v/>
      </c>
      <c r="H59" s="2" t="str">
        <f t="shared" si="54"/>
        <v/>
      </c>
      <c r="I59" s="2" t="str">
        <f t="shared" si="54"/>
        <v/>
      </c>
      <c r="J59" s="2" t="str">
        <f t="shared" si="54"/>
        <v/>
      </c>
      <c r="K59" s="2" t="str">
        <f t="shared" si="54"/>
        <v/>
      </c>
      <c r="L59" s="2" t="str">
        <f t="shared" si="54"/>
        <v/>
      </c>
      <c r="M59" s="2" t="str">
        <f t="shared" si="54"/>
        <v/>
      </c>
      <c r="N59" s="2" t="str">
        <f t="shared" si="54"/>
        <v/>
      </c>
      <c r="O59" s="2" t="str">
        <f t="shared" si="54"/>
        <v/>
      </c>
      <c r="P59" s="2" t="str">
        <f t="shared" si="54"/>
        <v/>
      </c>
      <c r="Q59" s="2" t="str">
        <f t="shared" si="54"/>
        <v/>
      </c>
      <c r="R59" s="2" t="str">
        <f t="shared" si="54"/>
        <v/>
      </c>
      <c r="S59" s="2" t="str">
        <f t="shared" si="54"/>
        <v/>
      </c>
      <c r="T59" s="2" t="str">
        <f t="shared" si="54"/>
        <v/>
      </c>
      <c r="U59" s="2" t="str">
        <f t="shared" si="54"/>
        <v/>
      </c>
      <c r="V59" s="2" t="str">
        <f t="shared" si="54"/>
        <v/>
      </c>
      <c r="W59" s="2" t="str">
        <f t="shared" si="54"/>
        <v/>
      </c>
      <c r="X59" s="2" t="str">
        <f t="shared" si="54"/>
        <v/>
      </c>
      <c r="Y59" s="2" t="str">
        <f t="shared" si="54"/>
        <v/>
      </c>
      <c r="Z59" s="2" t="str">
        <f t="shared" si="54"/>
        <v/>
      </c>
      <c r="AA59" s="2" t="str">
        <f t="shared" si="54"/>
        <v/>
      </c>
      <c r="AB59" s="2" t="str">
        <f t="shared" si="54"/>
        <v/>
      </c>
      <c r="AC59" s="2" t="str">
        <f t="shared" si="54"/>
        <v/>
      </c>
      <c r="AD59" s="2" t="str">
        <f t="shared" si="54"/>
        <v/>
      </c>
      <c r="AE59" s="2" t="str">
        <f t="shared" si="54"/>
        <v/>
      </c>
      <c r="AF59" s="2" t="str">
        <f t="shared" si="54"/>
        <v/>
      </c>
      <c r="AG59" s="2" t="str">
        <f t="shared" si="54"/>
        <v/>
      </c>
      <c r="AH59" s="2" t="str">
        <f t="shared" si="54"/>
        <v/>
      </c>
      <c r="AI59" s="2" t="str">
        <f t="shared" ref="AI59:BE59" si="55">IF(BowlSplit(AI16,WicketsTaken)&gt;=5,AI16,"")</f>
        <v/>
      </c>
      <c r="AJ59" s="2" t="str">
        <f t="shared" si="55"/>
        <v/>
      </c>
      <c r="AK59" s="2" t="str">
        <f t="shared" si="55"/>
        <v/>
      </c>
      <c r="AL59" s="2" t="str">
        <f t="shared" si="55"/>
        <v/>
      </c>
      <c r="AM59" s="2" t="str">
        <f t="shared" si="55"/>
        <v/>
      </c>
      <c r="AN59" s="2" t="str">
        <f t="shared" si="55"/>
        <v/>
      </c>
      <c r="AO59" s="2" t="str">
        <f t="shared" si="55"/>
        <v/>
      </c>
      <c r="AP59" s="2" t="str">
        <f t="shared" si="55"/>
        <v/>
      </c>
      <c r="AQ59" s="2" t="str">
        <f t="shared" si="55"/>
        <v/>
      </c>
      <c r="AR59" s="2" t="str">
        <f t="shared" si="55"/>
        <v/>
      </c>
      <c r="AS59" s="2" t="str">
        <f t="shared" si="55"/>
        <v/>
      </c>
      <c r="AT59" s="2" t="str">
        <f t="shared" si="55"/>
        <v/>
      </c>
      <c r="AU59" s="2" t="str">
        <f t="shared" si="55"/>
        <v/>
      </c>
      <c r="AV59" s="2" t="str">
        <f t="shared" si="55"/>
        <v/>
      </c>
      <c r="AW59" s="2" t="str">
        <f t="shared" si="55"/>
        <v/>
      </c>
      <c r="AX59" s="2" t="str">
        <f t="shared" si="55"/>
        <v/>
      </c>
      <c r="AY59" s="2" t="str">
        <f t="shared" si="55"/>
        <v/>
      </c>
      <c r="AZ59" s="2" t="str">
        <f t="shared" si="55"/>
        <v/>
      </c>
      <c r="BA59" s="2" t="str">
        <f t="shared" si="55"/>
        <v/>
      </c>
      <c r="BB59" s="2" t="str">
        <f t="shared" si="55"/>
        <v/>
      </c>
      <c r="BC59" s="2" t="str">
        <f t="shared" si="55"/>
        <v/>
      </c>
      <c r="BD59" s="2" t="str">
        <f t="shared" si="55"/>
        <v/>
      </c>
      <c r="BE59" s="2" t="str">
        <f t="shared" si="55"/>
        <v/>
      </c>
    </row>
    <row r="60" spans="3:83" x14ac:dyDescent="0.15">
      <c r="C60" s="2" t="str">
        <f t="shared" ref="C60:AH60" si="56">IF(BowlSplit(C17,WicketsTaken)&gt;=5,C17,"")</f>
        <v/>
      </c>
      <c r="D60" s="2" t="str">
        <f t="shared" si="56"/>
        <v/>
      </c>
      <c r="E60" s="2" t="str">
        <f t="shared" si="56"/>
        <v/>
      </c>
      <c r="F60" s="2" t="str">
        <f t="shared" si="56"/>
        <v/>
      </c>
      <c r="G60" s="2" t="str">
        <f t="shared" si="56"/>
        <v/>
      </c>
      <c r="H60" s="2" t="str">
        <f t="shared" si="56"/>
        <v/>
      </c>
      <c r="I60" s="2" t="str">
        <f t="shared" si="56"/>
        <v/>
      </c>
      <c r="J60" s="2" t="str">
        <f t="shared" si="56"/>
        <v/>
      </c>
      <c r="K60" s="2" t="str">
        <f t="shared" si="56"/>
        <v/>
      </c>
      <c r="L60" s="2" t="str">
        <f t="shared" si="56"/>
        <v/>
      </c>
      <c r="M60" s="2" t="str">
        <f t="shared" si="56"/>
        <v/>
      </c>
      <c r="N60" s="2" t="str">
        <f t="shared" si="56"/>
        <v/>
      </c>
      <c r="O60" s="2" t="str">
        <f t="shared" si="56"/>
        <v/>
      </c>
      <c r="P60" s="2" t="str">
        <f t="shared" si="56"/>
        <v/>
      </c>
      <c r="Q60" s="2" t="str">
        <f t="shared" si="56"/>
        <v/>
      </c>
      <c r="R60" s="2" t="str">
        <f t="shared" si="56"/>
        <v/>
      </c>
      <c r="S60" s="2" t="str">
        <f t="shared" si="56"/>
        <v/>
      </c>
      <c r="T60" s="2" t="str">
        <f t="shared" si="56"/>
        <v/>
      </c>
      <c r="U60" s="2" t="str">
        <f t="shared" si="56"/>
        <v/>
      </c>
      <c r="V60" s="2" t="str">
        <f t="shared" si="56"/>
        <v/>
      </c>
      <c r="W60" s="2" t="str">
        <f t="shared" si="56"/>
        <v/>
      </c>
      <c r="X60" s="2" t="str">
        <f t="shared" si="56"/>
        <v/>
      </c>
      <c r="Y60" s="2" t="str">
        <f t="shared" si="56"/>
        <v/>
      </c>
      <c r="Z60" s="2" t="str">
        <f t="shared" si="56"/>
        <v/>
      </c>
      <c r="AA60" s="2" t="str">
        <f t="shared" si="56"/>
        <v/>
      </c>
      <c r="AB60" s="2" t="str">
        <f t="shared" si="56"/>
        <v/>
      </c>
      <c r="AC60" s="2" t="str">
        <f t="shared" si="56"/>
        <v/>
      </c>
      <c r="AD60" s="2" t="str">
        <f t="shared" si="56"/>
        <v/>
      </c>
      <c r="AE60" s="2" t="str">
        <f t="shared" si="56"/>
        <v/>
      </c>
      <c r="AF60" s="2" t="str">
        <f t="shared" si="56"/>
        <v/>
      </c>
      <c r="AG60" s="2" t="str">
        <f t="shared" si="56"/>
        <v/>
      </c>
      <c r="AH60" s="2" t="str">
        <f t="shared" si="56"/>
        <v/>
      </c>
      <c r="AI60" s="2" t="str">
        <f t="shared" ref="AI60:BE60" si="57">IF(BowlSplit(AI17,WicketsTaken)&gt;=5,AI17,"")</f>
        <v/>
      </c>
      <c r="AJ60" s="2" t="str">
        <f t="shared" si="57"/>
        <v/>
      </c>
      <c r="AK60" s="2" t="str">
        <f t="shared" si="57"/>
        <v/>
      </c>
      <c r="AL60" s="2" t="str">
        <f t="shared" si="57"/>
        <v/>
      </c>
      <c r="AM60" s="2" t="str">
        <f t="shared" si="57"/>
        <v/>
      </c>
      <c r="AN60" s="2" t="str">
        <f t="shared" si="57"/>
        <v/>
      </c>
      <c r="AO60" s="2" t="str">
        <f t="shared" si="57"/>
        <v/>
      </c>
      <c r="AP60" s="2" t="str">
        <f t="shared" si="57"/>
        <v/>
      </c>
      <c r="AQ60" s="2" t="str">
        <f t="shared" si="57"/>
        <v/>
      </c>
      <c r="AR60" s="2" t="str">
        <f t="shared" si="57"/>
        <v/>
      </c>
      <c r="AS60" s="2" t="str">
        <f t="shared" si="57"/>
        <v/>
      </c>
      <c r="AT60" s="2" t="str">
        <f t="shared" si="57"/>
        <v/>
      </c>
      <c r="AU60" s="2" t="str">
        <f t="shared" si="57"/>
        <v/>
      </c>
      <c r="AV60" s="2" t="str">
        <f t="shared" si="57"/>
        <v/>
      </c>
      <c r="AW60" s="2" t="str">
        <f t="shared" si="57"/>
        <v/>
      </c>
      <c r="AX60" s="2" t="str">
        <f t="shared" si="57"/>
        <v/>
      </c>
      <c r="AY60" s="2" t="str">
        <f t="shared" si="57"/>
        <v/>
      </c>
      <c r="AZ60" s="2" t="str">
        <f t="shared" si="57"/>
        <v/>
      </c>
      <c r="BA60" s="2" t="str">
        <f t="shared" si="57"/>
        <v/>
      </c>
      <c r="BB60" s="2" t="str">
        <f t="shared" si="57"/>
        <v/>
      </c>
      <c r="BC60" s="2" t="str">
        <f t="shared" si="57"/>
        <v/>
      </c>
      <c r="BD60" s="2" t="str">
        <f t="shared" si="57"/>
        <v/>
      </c>
      <c r="BE60" s="2" t="str">
        <f t="shared" si="57"/>
        <v/>
      </c>
    </row>
    <row r="61" spans="3:83" x14ac:dyDescent="0.15">
      <c r="C61" s="2" t="str">
        <f t="shared" ref="C61:AH61" si="58">IF(BowlSplit(C18,WicketsTaken)&gt;=5,C18,"")</f>
        <v/>
      </c>
      <c r="D61" s="2" t="str">
        <f t="shared" si="58"/>
        <v/>
      </c>
      <c r="E61" s="2" t="str">
        <f t="shared" si="58"/>
        <v/>
      </c>
      <c r="F61" s="2" t="str">
        <f t="shared" si="58"/>
        <v/>
      </c>
      <c r="G61" s="2" t="str">
        <f t="shared" si="58"/>
        <v/>
      </c>
      <c r="H61" s="2" t="str">
        <f t="shared" si="58"/>
        <v/>
      </c>
      <c r="I61" s="2" t="str">
        <f t="shared" si="58"/>
        <v/>
      </c>
      <c r="J61" s="2" t="str">
        <f t="shared" si="58"/>
        <v/>
      </c>
      <c r="K61" s="2" t="str">
        <f t="shared" si="58"/>
        <v/>
      </c>
      <c r="L61" s="2" t="str">
        <f t="shared" si="58"/>
        <v/>
      </c>
      <c r="M61" s="2" t="str">
        <f t="shared" si="58"/>
        <v/>
      </c>
      <c r="N61" s="2" t="str">
        <f t="shared" si="58"/>
        <v/>
      </c>
      <c r="O61" s="2" t="str">
        <f t="shared" si="58"/>
        <v/>
      </c>
      <c r="P61" s="2" t="str">
        <f t="shared" si="58"/>
        <v/>
      </c>
      <c r="Q61" s="2" t="str">
        <f t="shared" si="58"/>
        <v/>
      </c>
      <c r="R61" s="2" t="str">
        <f t="shared" si="58"/>
        <v/>
      </c>
      <c r="S61" s="2" t="str">
        <f t="shared" si="58"/>
        <v/>
      </c>
      <c r="T61" s="2" t="str">
        <f t="shared" si="58"/>
        <v/>
      </c>
      <c r="U61" s="2" t="str">
        <f t="shared" si="58"/>
        <v/>
      </c>
      <c r="V61" s="2" t="str">
        <f t="shared" si="58"/>
        <v/>
      </c>
      <c r="W61" s="2" t="str">
        <f t="shared" si="58"/>
        <v/>
      </c>
      <c r="X61" s="2" t="str">
        <f t="shared" si="58"/>
        <v/>
      </c>
      <c r="Y61" s="2" t="str">
        <f t="shared" si="58"/>
        <v/>
      </c>
      <c r="Z61" s="2" t="str">
        <f t="shared" si="58"/>
        <v/>
      </c>
      <c r="AA61" s="2" t="str">
        <f t="shared" si="58"/>
        <v/>
      </c>
      <c r="AB61" s="2" t="str">
        <f t="shared" si="58"/>
        <v/>
      </c>
      <c r="AC61" s="2" t="str">
        <f t="shared" si="58"/>
        <v/>
      </c>
      <c r="AD61" s="2" t="str">
        <f t="shared" si="58"/>
        <v/>
      </c>
      <c r="AE61" s="2" t="str">
        <f t="shared" si="58"/>
        <v/>
      </c>
      <c r="AF61" s="2" t="str">
        <f t="shared" si="58"/>
        <v/>
      </c>
      <c r="AG61" s="2" t="str">
        <f t="shared" si="58"/>
        <v/>
      </c>
      <c r="AH61" s="2" t="str">
        <f t="shared" si="58"/>
        <v/>
      </c>
      <c r="AI61" s="2" t="str">
        <f t="shared" ref="AI61:BE61" si="59">IF(BowlSplit(AI18,WicketsTaken)&gt;=5,AI18,"")</f>
        <v/>
      </c>
      <c r="AJ61" s="2" t="str">
        <f t="shared" si="59"/>
        <v/>
      </c>
      <c r="AK61" s="2" t="str">
        <f t="shared" si="59"/>
        <v/>
      </c>
      <c r="AL61" s="2" t="str">
        <f t="shared" si="59"/>
        <v/>
      </c>
      <c r="AM61" s="2" t="str">
        <f t="shared" si="59"/>
        <v/>
      </c>
      <c r="AN61" s="2" t="str">
        <f t="shared" si="59"/>
        <v/>
      </c>
      <c r="AO61" s="2" t="str">
        <f t="shared" si="59"/>
        <v/>
      </c>
      <c r="AP61" s="2" t="str">
        <f t="shared" si="59"/>
        <v/>
      </c>
      <c r="AQ61" s="2" t="str">
        <f t="shared" si="59"/>
        <v/>
      </c>
      <c r="AR61" s="2" t="str">
        <f t="shared" si="59"/>
        <v/>
      </c>
      <c r="AS61" s="2" t="str">
        <f t="shared" si="59"/>
        <v/>
      </c>
      <c r="AT61" s="2" t="str">
        <f t="shared" si="59"/>
        <v/>
      </c>
      <c r="AU61" s="2" t="str">
        <f t="shared" si="59"/>
        <v/>
      </c>
      <c r="AV61" s="2" t="str">
        <f t="shared" si="59"/>
        <v/>
      </c>
      <c r="AW61" s="2" t="str">
        <f t="shared" si="59"/>
        <v/>
      </c>
      <c r="AX61" s="2" t="str">
        <f t="shared" si="59"/>
        <v/>
      </c>
      <c r="AY61" s="2" t="str">
        <f t="shared" si="59"/>
        <v/>
      </c>
      <c r="AZ61" s="2" t="str">
        <f t="shared" si="59"/>
        <v/>
      </c>
      <c r="BA61" s="2" t="str">
        <f t="shared" si="59"/>
        <v/>
      </c>
      <c r="BB61" s="2" t="str">
        <f t="shared" si="59"/>
        <v/>
      </c>
      <c r="BC61" s="2" t="str">
        <f t="shared" si="59"/>
        <v/>
      </c>
      <c r="BD61" s="2" t="str">
        <f t="shared" si="59"/>
        <v/>
      </c>
      <c r="BE61" s="2" t="str">
        <f t="shared" si="59"/>
        <v/>
      </c>
    </row>
    <row r="62" spans="3:83" x14ac:dyDescent="0.15">
      <c r="C62" s="2" t="str">
        <f t="shared" ref="C62:AH62" si="60">IF(BowlSplit(C19,WicketsTaken)&gt;=5,C19,"")</f>
        <v/>
      </c>
      <c r="D62" s="2" t="str">
        <f t="shared" si="60"/>
        <v>8/1/20/5/1/0</v>
      </c>
      <c r="E62" s="2" t="str">
        <f t="shared" si="60"/>
        <v/>
      </c>
      <c r="F62" s="2" t="str">
        <f t="shared" si="60"/>
        <v/>
      </c>
      <c r="G62" s="2" t="str">
        <f t="shared" si="60"/>
        <v/>
      </c>
      <c r="H62" s="2" t="str">
        <f t="shared" si="60"/>
        <v/>
      </c>
      <c r="I62" s="2" t="str">
        <f t="shared" si="60"/>
        <v/>
      </c>
      <c r="J62" s="2" t="str">
        <f t="shared" si="60"/>
        <v/>
      </c>
      <c r="K62" s="2" t="str">
        <f t="shared" si="60"/>
        <v/>
      </c>
      <c r="L62" s="2" t="str">
        <f t="shared" si="60"/>
        <v/>
      </c>
      <c r="M62" s="2" t="str">
        <f t="shared" si="60"/>
        <v/>
      </c>
      <c r="N62" s="2" t="str">
        <f t="shared" si="60"/>
        <v/>
      </c>
      <c r="O62" s="2" t="str">
        <f t="shared" si="60"/>
        <v/>
      </c>
      <c r="P62" s="2" t="str">
        <f t="shared" si="60"/>
        <v/>
      </c>
      <c r="Q62" s="2" t="str">
        <f t="shared" si="60"/>
        <v/>
      </c>
      <c r="R62" s="2" t="str">
        <f t="shared" si="60"/>
        <v/>
      </c>
      <c r="S62" s="2" t="str">
        <f t="shared" si="60"/>
        <v/>
      </c>
      <c r="T62" s="2" t="str">
        <f t="shared" si="60"/>
        <v/>
      </c>
      <c r="U62" s="2" t="str">
        <f t="shared" si="60"/>
        <v/>
      </c>
      <c r="V62" s="2" t="str">
        <f t="shared" si="60"/>
        <v/>
      </c>
      <c r="W62" s="2" t="str">
        <f t="shared" si="60"/>
        <v/>
      </c>
      <c r="X62" s="2" t="str">
        <f t="shared" si="60"/>
        <v/>
      </c>
      <c r="Y62" s="2" t="str">
        <f t="shared" si="60"/>
        <v/>
      </c>
      <c r="Z62" s="2" t="str">
        <f t="shared" si="60"/>
        <v/>
      </c>
      <c r="AA62" s="2" t="str">
        <f t="shared" si="60"/>
        <v/>
      </c>
      <c r="AB62" s="2" t="str">
        <f t="shared" si="60"/>
        <v/>
      </c>
      <c r="AC62" s="2" t="str">
        <f t="shared" si="60"/>
        <v/>
      </c>
      <c r="AD62" s="2" t="str">
        <f t="shared" si="60"/>
        <v/>
      </c>
      <c r="AE62" s="2" t="str">
        <f t="shared" si="60"/>
        <v/>
      </c>
      <c r="AF62" s="2" t="str">
        <f t="shared" si="60"/>
        <v/>
      </c>
      <c r="AG62" s="2" t="str">
        <f t="shared" si="60"/>
        <v/>
      </c>
      <c r="AH62" s="2" t="str">
        <f t="shared" si="60"/>
        <v/>
      </c>
      <c r="AI62" s="2" t="str">
        <f t="shared" ref="AI62:BE62" si="61">IF(BowlSplit(AI19,WicketsTaken)&gt;=5,AI19,"")</f>
        <v/>
      </c>
      <c r="AJ62" s="2" t="str">
        <f t="shared" si="61"/>
        <v/>
      </c>
      <c r="AK62" s="2" t="str">
        <f t="shared" si="61"/>
        <v/>
      </c>
      <c r="AL62" s="2" t="str">
        <f t="shared" si="61"/>
        <v/>
      </c>
      <c r="AM62" s="2" t="str">
        <f t="shared" si="61"/>
        <v/>
      </c>
      <c r="AN62" s="2" t="str">
        <f t="shared" si="61"/>
        <v/>
      </c>
      <c r="AO62" s="2" t="str">
        <f t="shared" si="61"/>
        <v/>
      </c>
      <c r="AP62" s="2" t="str">
        <f t="shared" si="61"/>
        <v/>
      </c>
      <c r="AQ62" s="2" t="str">
        <f t="shared" si="61"/>
        <v>16/10/15/5/0/0</v>
      </c>
      <c r="AR62" s="2" t="str">
        <f t="shared" si="61"/>
        <v/>
      </c>
      <c r="AS62" s="2" t="str">
        <f t="shared" si="61"/>
        <v/>
      </c>
      <c r="AT62" s="2" t="str">
        <f t="shared" si="61"/>
        <v/>
      </c>
      <c r="AU62" s="2" t="str">
        <f t="shared" si="61"/>
        <v/>
      </c>
      <c r="AV62" s="2" t="str">
        <f t="shared" si="61"/>
        <v/>
      </c>
      <c r="AW62" s="2" t="str">
        <f t="shared" si="61"/>
        <v/>
      </c>
      <c r="AX62" s="2" t="str">
        <f t="shared" si="61"/>
        <v/>
      </c>
      <c r="AY62" s="2" t="str">
        <f t="shared" si="61"/>
        <v/>
      </c>
      <c r="AZ62" s="2" t="str">
        <f t="shared" si="61"/>
        <v/>
      </c>
      <c r="BA62" s="2" t="str">
        <f t="shared" si="61"/>
        <v/>
      </c>
      <c r="BB62" s="2" t="str">
        <f t="shared" si="61"/>
        <v/>
      </c>
      <c r="BC62" s="2" t="str">
        <f t="shared" si="61"/>
        <v/>
      </c>
      <c r="BD62" s="2" t="str">
        <f t="shared" si="61"/>
        <v/>
      </c>
      <c r="BE62" s="2" t="str">
        <f t="shared" si="61"/>
        <v/>
      </c>
    </row>
    <row r="63" spans="3:83" x14ac:dyDescent="0.15">
      <c r="C63" s="2" t="str">
        <f t="shared" ref="C63:AH63" si="62">IF(BowlSplit(C20,WicketsTaken)&gt;=5,C20,"")</f>
        <v/>
      </c>
      <c r="D63" s="2" t="str">
        <f t="shared" si="62"/>
        <v/>
      </c>
      <c r="E63" s="2" t="str">
        <f t="shared" si="62"/>
        <v/>
      </c>
      <c r="F63" s="2" t="str">
        <f t="shared" si="62"/>
        <v/>
      </c>
      <c r="G63" s="2" t="str">
        <f t="shared" si="62"/>
        <v/>
      </c>
      <c r="H63" s="2" t="str">
        <f t="shared" si="62"/>
        <v/>
      </c>
      <c r="I63" s="2" t="str">
        <f t="shared" si="62"/>
        <v/>
      </c>
      <c r="J63" s="2" t="str">
        <f t="shared" si="62"/>
        <v/>
      </c>
      <c r="K63" s="2" t="str">
        <f t="shared" si="62"/>
        <v/>
      </c>
      <c r="L63" s="2" t="str">
        <f t="shared" si="62"/>
        <v/>
      </c>
      <c r="M63" s="2" t="str">
        <f t="shared" si="62"/>
        <v/>
      </c>
      <c r="N63" s="2" t="str">
        <f t="shared" si="62"/>
        <v/>
      </c>
      <c r="O63" s="2" t="str">
        <f t="shared" si="62"/>
        <v/>
      </c>
      <c r="P63" s="2" t="str">
        <f t="shared" si="62"/>
        <v/>
      </c>
      <c r="Q63" s="2" t="str">
        <f t="shared" si="62"/>
        <v/>
      </c>
      <c r="R63" s="2" t="str">
        <f t="shared" si="62"/>
        <v/>
      </c>
      <c r="S63" s="2" t="str">
        <f t="shared" si="62"/>
        <v/>
      </c>
      <c r="T63" s="2" t="str">
        <f t="shared" si="62"/>
        <v/>
      </c>
      <c r="U63" s="2" t="str">
        <f t="shared" si="62"/>
        <v/>
      </c>
      <c r="V63" s="2" t="str">
        <f t="shared" si="62"/>
        <v/>
      </c>
      <c r="W63" s="2" t="str">
        <f t="shared" si="62"/>
        <v/>
      </c>
      <c r="X63" s="2" t="str">
        <f t="shared" si="62"/>
        <v/>
      </c>
      <c r="Y63" s="2" t="str">
        <f t="shared" si="62"/>
        <v/>
      </c>
      <c r="Z63" s="2" t="str">
        <f t="shared" si="62"/>
        <v/>
      </c>
      <c r="AA63" s="2" t="str">
        <f t="shared" si="62"/>
        <v/>
      </c>
      <c r="AB63" s="2" t="str">
        <f t="shared" si="62"/>
        <v/>
      </c>
      <c r="AC63" s="2" t="str">
        <f t="shared" si="62"/>
        <v/>
      </c>
      <c r="AD63" s="2" t="str">
        <f t="shared" si="62"/>
        <v/>
      </c>
      <c r="AE63" s="2" t="str">
        <f t="shared" si="62"/>
        <v/>
      </c>
      <c r="AF63" s="2" t="str">
        <f t="shared" si="62"/>
        <v/>
      </c>
      <c r="AG63" s="2" t="str">
        <f t="shared" si="62"/>
        <v/>
      </c>
      <c r="AH63" s="2" t="str">
        <f t="shared" si="62"/>
        <v/>
      </c>
      <c r="AI63" s="2" t="str">
        <f t="shared" ref="AI63:BE63" si="63">IF(BowlSplit(AI20,WicketsTaken)&gt;=5,AI20,"")</f>
        <v/>
      </c>
      <c r="AJ63" s="2" t="str">
        <f t="shared" si="63"/>
        <v/>
      </c>
      <c r="AK63" s="2" t="str">
        <f t="shared" si="63"/>
        <v/>
      </c>
      <c r="AL63" s="2" t="str">
        <f t="shared" si="63"/>
        <v/>
      </c>
      <c r="AM63" s="2" t="str">
        <f t="shared" si="63"/>
        <v/>
      </c>
      <c r="AN63" s="2" t="str">
        <f t="shared" si="63"/>
        <v/>
      </c>
      <c r="AO63" s="2" t="str">
        <f t="shared" si="63"/>
        <v/>
      </c>
      <c r="AP63" s="2" t="str">
        <f t="shared" si="63"/>
        <v/>
      </c>
      <c r="AQ63" s="2" t="str">
        <f t="shared" si="63"/>
        <v/>
      </c>
      <c r="AR63" s="2" t="str">
        <f t="shared" si="63"/>
        <v/>
      </c>
      <c r="AS63" s="2" t="str">
        <f t="shared" si="63"/>
        <v/>
      </c>
      <c r="AT63" s="2" t="str">
        <f t="shared" si="63"/>
        <v/>
      </c>
      <c r="AU63" s="2" t="str">
        <f t="shared" si="63"/>
        <v/>
      </c>
      <c r="AV63" s="2" t="str">
        <f t="shared" si="63"/>
        <v/>
      </c>
      <c r="AW63" s="2" t="str">
        <f t="shared" si="63"/>
        <v/>
      </c>
      <c r="AX63" s="2" t="str">
        <f t="shared" si="63"/>
        <v/>
      </c>
      <c r="AY63" s="2" t="str">
        <f t="shared" si="63"/>
        <v/>
      </c>
      <c r="AZ63" s="2" t="str">
        <f t="shared" si="63"/>
        <v/>
      </c>
      <c r="BA63" s="2" t="str">
        <f t="shared" si="63"/>
        <v/>
      </c>
      <c r="BB63" s="2" t="str">
        <f t="shared" si="63"/>
        <v/>
      </c>
      <c r="BC63" s="2" t="str">
        <f t="shared" si="63"/>
        <v/>
      </c>
      <c r="BD63" s="2" t="str">
        <f t="shared" si="63"/>
        <v/>
      </c>
      <c r="BE63" s="2" t="str">
        <f t="shared" si="63"/>
        <v/>
      </c>
    </row>
    <row r="64" spans="3:83" x14ac:dyDescent="0.15">
      <c r="C64" s="2" t="str">
        <f t="shared" ref="C64:AH64" si="64">IF(BowlSplit(C21,WicketsTaken)&gt;=5,C21,"")</f>
        <v/>
      </c>
      <c r="D64" s="2" t="str">
        <f t="shared" si="64"/>
        <v/>
      </c>
      <c r="E64" s="2" t="str">
        <f t="shared" si="64"/>
        <v/>
      </c>
      <c r="F64" s="2" t="str">
        <f t="shared" si="64"/>
        <v/>
      </c>
      <c r="G64" s="2" t="str">
        <f t="shared" si="64"/>
        <v/>
      </c>
      <c r="H64" s="2" t="str">
        <f t="shared" si="64"/>
        <v/>
      </c>
      <c r="I64" s="2" t="str">
        <f t="shared" si="64"/>
        <v/>
      </c>
      <c r="J64" s="2" t="str">
        <f t="shared" si="64"/>
        <v/>
      </c>
      <c r="K64" s="2" t="str">
        <f t="shared" si="64"/>
        <v/>
      </c>
      <c r="L64" s="2" t="str">
        <f t="shared" si="64"/>
        <v/>
      </c>
      <c r="M64" s="2" t="str">
        <f t="shared" si="64"/>
        <v/>
      </c>
      <c r="N64" s="2" t="str">
        <f t="shared" si="64"/>
        <v/>
      </c>
      <c r="O64" s="2" t="str">
        <f t="shared" si="64"/>
        <v/>
      </c>
      <c r="P64" s="2" t="str">
        <f t="shared" si="64"/>
        <v/>
      </c>
      <c r="Q64" s="2" t="str">
        <f t="shared" si="64"/>
        <v/>
      </c>
      <c r="R64" s="2" t="str">
        <f t="shared" si="64"/>
        <v/>
      </c>
      <c r="S64" s="2" t="str">
        <f t="shared" si="64"/>
        <v/>
      </c>
      <c r="T64" s="2" t="str">
        <f t="shared" si="64"/>
        <v/>
      </c>
      <c r="U64" s="2" t="str">
        <f t="shared" si="64"/>
        <v/>
      </c>
      <c r="V64" s="2" t="str">
        <f t="shared" si="64"/>
        <v/>
      </c>
      <c r="W64" s="2" t="str">
        <f t="shared" si="64"/>
        <v/>
      </c>
      <c r="X64" s="2" t="str">
        <f t="shared" si="64"/>
        <v/>
      </c>
      <c r="Y64" s="2" t="str">
        <f t="shared" si="64"/>
        <v/>
      </c>
      <c r="Z64" s="2" t="str">
        <f t="shared" si="64"/>
        <v/>
      </c>
      <c r="AA64" s="2" t="str">
        <f t="shared" si="64"/>
        <v/>
      </c>
      <c r="AB64" s="2" t="str">
        <f t="shared" si="64"/>
        <v/>
      </c>
      <c r="AC64" s="2" t="str">
        <f t="shared" si="64"/>
        <v/>
      </c>
      <c r="AD64" s="2" t="str">
        <f t="shared" si="64"/>
        <v/>
      </c>
      <c r="AE64" s="2" t="str">
        <f t="shared" si="64"/>
        <v/>
      </c>
      <c r="AF64" s="2" t="str">
        <f t="shared" si="64"/>
        <v/>
      </c>
      <c r="AG64" s="2" t="str">
        <f t="shared" si="64"/>
        <v/>
      </c>
      <c r="AH64" s="2" t="str">
        <f t="shared" si="64"/>
        <v/>
      </c>
      <c r="AI64" s="2" t="str">
        <f t="shared" ref="AI64:BE64" si="65">IF(BowlSplit(AI21,WicketsTaken)&gt;=5,AI21,"")</f>
        <v/>
      </c>
      <c r="AJ64" s="2" t="str">
        <f t="shared" si="65"/>
        <v/>
      </c>
      <c r="AK64" s="2" t="str">
        <f t="shared" si="65"/>
        <v/>
      </c>
      <c r="AL64" s="2" t="str">
        <f t="shared" si="65"/>
        <v/>
      </c>
      <c r="AM64" s="2" t="str">
        <f t="shared" si="65"/>
        <v/>
      </c>
      <c r="AN64" s="2" t="str">
        <f t="shared" si="65"/>
        <v/>
      </c>
      <c r="AO64" s="2" t="str">
        <f t="shared" si="65"/>
        <v/>
      </c>
      <c r="AP64" s="2" t="str">
        <f t="shared" si="65"/>
        <v/>
      </c>
      <c r="AQ64" s="2" t="str">
        <f t="shared" si="65"/>
        <v/>
      </c>
      <c r="AR64" s="2" t="str">
        <f t="shared" si="65"/>
        <v/>
      </c>
      <c r="AS64" s="2" t="str">
        <f t="shared" si="65"/>
        <v/>
      </c>
      <c r="AT64" s="2" t="str">
        <f t="shared" si="65"/>
        <v/>
      </c>
      <c r="AU64" s="2" t="str">
        <f t="shared" si="65"/>
        <v/>
      </c>
      <c r="AV64" s="2" t="str">
        <f t="shared" si="65"/>
        <v/>
      </c>
      <c r="AW64" s="2" t="str">
        <f t="shared" si="65"/>
        <v/>
      </c>
      <c r="AX64" s="2" t="str">
        <f t="shared" si="65"/>
        <v/>
      </c>
      <c r="AY64" s="2" t="str">
        <f t="shared" si="65"/>
        <v/>
      </c>
      <c r="AZ64" s="2" t="str">
        <f t="shared" si="65"/>
        <v/>
      </c>
      <c r="BA64" s="2" t="str">
        <f t="shared" si="65"/>
        <v/>
      </c>
      <c r="BB64" s="2" t="str">
        <f t="shared" si="65"/>
        <v/>
      </c>
      <c r="BC64" s="2" t="str">
        <f t="shared" si="65"/>
        <v/>
      </c>
      <c r="BD64" s="2" t="str">
        <f t="shared" si="65"/>
        <v/>
      </c>
      <c r="BE64" s="2" t="str">
        <f t="shared" si="65"/>
        <v/>
      </c>
    </row>
    <row r="65" spans="3:57" x14ac:dyDescent="0.15">
      <c r="C65" s="2" t="str">
        <f t="shared" ref="C65:AH65" si="66">IF(BowlSplit(C22,WicketsTaken)&gt;=5,C22,"")</f>
        <v/>
      </c>
      <c r="D65" s="2" t="str">
        <f t="shared" si="66"/>
        <v/>
      </c>
      <c r="E65" s="2" t="str">
        <f t="shared" si="66"/>
        <v/>
      </c>
      <c r="F65" s="2" t="str">
        <f t="shared" si="66"/>
        <v/>
      </c>
      <c r="G65" s="2" t="str">
        <f t="shared" si="66"/>
        <v/>
      </c>
      <c r="H65" s="2" t="str">
        <f t="shared" si="66"/>
        <v/>
      </c>
      <c r="I65" s="2" t="str">
        <f t="shared" si="66"/>
        <v/>
      </c>
      <c r="J65" s="2" t="str">
        <f t="shared" si="66"/>
        <v/>
      </c>
      <c r="K65" s="2" t="str">
        <f t="shared" si="66"/>
        <v/>
      </c>
      <c r="L65" s="2" t="str">
        <f t="shared" si="66"/>
        <v/>
      </c>
      <c r="M65" s="2" t="str">
        <f t="shared" si="66"/>
        <v/>
      </c>
      <c r="N65" s="2" t="str">
        <f t="shared" si="66"/>
        <v/>
      </c>
      <c r="O65" s="2" t="str">
        <f t="shared" si="66"/>
        <v/>
      </c>
      <c r="P65" s="2" t="str">
        <f t="shared" si="66"/>
        <v/>
      </c>
      <c r="Q65" s="2" t="str">
        <f t="shared" si="66"/>
        <v/>
      </c>
      <c r="R65" s="2" t="str">
        <f t="shared" si="66"/>
        <v/>
      </c>
      <c r="S65" s="2" t="str">
        <f t="shared" si="66"/>
        <v/>
      </c>
      <c r="T65" s="2" t="str">
        <f t="shared" si="66"/>
        <v/>
      </c>
      <c r="U65" s="2" t="str">
        <f t="shared" si="66"/>
        <v/>
      </c>
      <c r="V65" s="2" t="str">
        <f t="shared" si="66"/>
        <v/>
      </c>
      <c r="W65" s="2" t="str">
        <f t="shared" si="66"/>
        <v/>
      </c>
      <c r="X65" s="2" t="str">
        <f t="shared" si="66"/>
        <v/>
      </c>
      <c r="Y65" s="2" t="str">
        <f t="shared" si="66"/>
        <v/>
      </c>
      <c r="Z65" s="2" t="str">
        <f t="shared" si="66"/>
        <v/>
      </c>
      <c r="AA65" s="2" t="str">
        <f t="shared" si="66"/>
        <v/>
      </c>
      <c r="AB65" s="2" t="str">
        <f t="shared" si="66"/>
        <v/>
      </c>
      <c r="AC65" s="2" t="str">
        <f t="shared" si="66"/>
        <v/>
      </c>
      <c r="AD65" s="2" t="str">
        <f t="shared" si="66"/>
        <v/>
      </c>
      <c r="AE65" s="2" t="str">
        <f t="shared" si="66"/>
        <v/>
      </c>
      <c r="AF65" s="2" t="str">
        <f t="shared" si="66"/>
        <v/>
      </c>
      <c r="AG65" s="2" t="str">
        <f t="shared" si="66"/>
        <v/>
      </c>
      <c r="AH65" s="2" t="str">
        <f t="shared" si="66"/>
        <v/>
      </c>
      <c r="AI65" s="2" t="str">
        <f t="shared" ref="AI65:BE65" si="67">IF(BowlSplit(AI22,WicketsTaken)&gt;=5,AI22,"")</f>
        <v/>
      </c>
      <c r="AJ65" s="2" t="str">
        <f t="shared" si="67"/>
        <v/>
      </c>
      <c r="AK65" s="2" t="str">
        <f t="shared" si="67"/>
        <v/>
      </c>
      <c r="AL65" s="2" t="str">
        <f t="shared" si="67"/>
        <v/>
      </c>
      <c r="AM65" s="2" t="str">
        <f t="shared" si="67"/>
        <v/>
      </c>
      <c r="AN65" s="2" t="str">
        <f t="shared" si="67"/>
        <v/>
      </c>
      <c r="AO65" s="2" t="str">
        <f t="shared" si="67"/>
        <v/>
      </c>
      <c r="AP65" s="2" t="str">
        <f t="shared" si="67"/>
        <v/>
      </c>
      <c r="AQ65" s="2" t="str">
        <f t="shared" si="67"/>
        <v/>
      </c>
      <c r="AR65" s="2" t="str">
        <f t="shared" si="67"/>
        <v/>
      </c>
      <c r="AS65" s="2" t="str">
        <f t="shared" si="67"/>
        <v/>
      </c>
      <c r="AT65" s="2" t="str">
        <f t="shared" si="67"/>
        <v/>
      </c>
      <c r="AU65" s="2" t="str">
        <f t="shared" si="67"/>
        <v/>
      </c>
      <c r="AV65" s="2" t="str">
        <f t="shared" si="67"/>
        <v/>
      </c>
      <c r="AW65" s="2" t="str">
        <f t="shared" si="67"/>
        <v/>
      </c>
      <c r="AX65" s="2" t="str">
        <f t="shared" si="67"/>
        <v/>
      </c>
      <c r="AY65" s="2" t="str">
        <f t="shared" si="67"/>
        <v/>
      </c>
      <c r="AZ65" s="2" t="str">
        <f t="shared" si="67"/>
        <v/>
      </c>
      <c r="BA65" s="2" t="str">
        <f t="shared" si="67"/>
        <v/>
      </c>
      <c r="BB65" s="2" t="str">
        <f t="shared" si="67"/>
        <v/>
      </c>
      <c r="BC65" s="2" t="str">
        <f t="shared" si="67"/>
        <v/>
      </c>
      <c r="BD65" s="2" t="str">
        <f t="shared" si="67"/>
        <v/>
      </c>
      <c r="BE65" s="2" t="str">
        <f t="shared" si="67"/>
        <v/>
      </c>
    </row>
    <row r="66" spans="3:57" x14ac:dyDescent="0.15">
      <c r="C66" s="2" t="str">
        <f t="shared" ref="C66:AH66" si="68">IF(BowlSplit(C23,WicketsTaken)&gt;=5,C23,"")</f>
        <v/>
      </c>
      <c r="D66" s="2" t="str">
        <f t="shared" si="68"/>
        <v/>
      </c>
      <c r="E66" s="2" t="str">
        <f t="shared" si="68"/>
        <v/>
      </c>
      <c r="F66" s="2" t="str">
        <f t="shared" si="68"/>
        <v/>
      </c>
      <c r="G66" s="2" t="str">
        <f t="shared" si="68"/>
        <v/>
      </c>
      <c r="H66" s="2" t="str">
        <f t="shared" si="68"/>
        <v/>
      </c>
      <c r="I66" s="2" t="str">
        <f t="shared" si="68"/>
        <v/>
      </c>
      <c r="J66" s="2" t="str">
        <f t="shared" si="68"/>
        <v/>
      </c>
      <c r="K66" s="2" t="str">
        <f t="shared" si="68"/>
        <v/>
      </c>
      <c r="L66" s="2" t="str">
        <f t="shared" si="68"/>
        <v/>
      </c>
      <c r="M66" s="2" t="str">
        <f t="shared" si="68"/>
        <v/>
      </c>
      <c r="N66" s="2" t="str">
        <f t="shared" si="68"/>
        <v/>
      </c>
      <c r="O66" s="2" t="str">
        <f t="shared" si="68"/>
        <v/>
      </c>
      <c r="P66" s="2" t="str">
        <f t="shared" si="68"/>
        <v/>
      </c>
      <c r="Q66" s="2" t="str">
        <f t="shared" si="68"/>
        <v/>
      </c>
      <c r="R66" s="2" t="str">
        <f t="shared" si="68"/>
        <v/>
      </c>
      <c r="S66" s="2" t="str">
        <f t="shared" si="68"/>
        <v/>
      </c>
      <c r="T66" s="2" t="str">
        <f t="shared" si="68"/>
        <v/>
      </c>
      <c r="U66" s="2" t="str">
        <f t="shared" si="68"/>
        <v/>
      </c>
      <c r="V66" s="2" t="str">
        <f t="shared" si="68"/>
        <v/>
      </c>
      <c r="W66" s="2" t="str">
        <f t="shared" si="68"/>
        <v/>
      </c>
      <c r="X66" s="2" t="str">
        <f t="shared" si="68"/>
        <v/>
      </c>
      <c r="Y66" s="2" t="str">
        <f t="shared" si="68"/>
        <v/>
      </c>
      <c r="Z66" s="2" t="str">
        <f t="shared" si="68"/>
        <v/>
      </c>
      <c r="AA66" s="2" t="str">
        <f t="shared" si="68"/>
        <v/>
      </c>
      <c r="AB66" s="2" t="str">
        <f t="shared" si="68"/>
        <v/>
      </c>
      <c r="AC66" s="2" t="str">
        <f t="shared" si="68"/>
        <v/>
      </c>
      <c r="AD66" s="2" t="str">
        <f t="shared" si="68"/>
        <v/>
      </c>
      <c r="AE66" s="2" t="str">
        <f t="shared" si="68"/>
        <v/>
      </c>
      <c r="AF66" s="2" t="str">
        <f t="shared" si="68"/>
        <v/>
      </c>
      <c r="AG66" s="2" t="str">
        <f t="shared" si="68"/>
        <v/>
      </c>
      <c r="AH66" s="2" t="str">
        <f t="shared" si="68"/>
        <v/>
      </c>
      <c r="AI66" s="2" t="str">
        <f t="shared" ref="AI66:BE66" si="69">IF(BowlSplit(AI23,WicketsTaken)&gt;=5,AI23,"")</f>
        <v/>
      </c>
      <c r="AJ66" s="2" t="str">
        <f t="shared" si="69"/>
        <v/>
      </c>
      <c r="AK66" s="2" t="str">
        <f t="shared" si="69"/>
        <v/>
      </c>
      <c r="AL66" s="2" t="str">
        <f t="shared" si="69"/>
        <v/>
      </c>
      <c r="AM66" s="2" t="str">
        <f t="shared" si="69"/>
        <v/>
      </c>
      <c r="AN66" s="2" t="str">
        <f t="shared" si="69"/>
        <v/>
      </c>
      <c r="AO66" s="2" t="str">
        <f t="shared" si="69"/>
        <v/>
      </c>
      <c r="AP66" s="2" t="str">
        <f t="shared" si="69"/>
        <v/>
      </c>
      <c r="AQ66" s="2" t="str">
        <f t="shared" si="69"/>
        <v/>
      </c>
      <c r="AR66" s="2" t="str">
        <f t="shared" si="69"/>
        <v/>
      </c>
      <c r="AS66" s="2" t="str">
        <f t="shared" si="69"/>
        <v/>
      </c>
      <c r="AT66" s="2" t="str">
        <f t="shared" si="69"/>
        <v/>
      </c>
      <c r="AU66" s="2" t="str">
        <f t="shared" si="69"/>
        <v/>
      </c>
      <c r="AV66" s="2" t="str">
        <f t="shared" si="69"/>
        <v/>
      </c>
      <c r="AW66" s="2" t="str">
        <f t="shared" si="69"/>
        <v/>
      </c>
      <c r="AX66" s="2" t="str">
        <f t="shared" si="69"/>
        <v/>
      </c>
      <c r="AY66" s="2" t="str">
        <f t="shared" si="69"/>
        <v/>
      </c>
      <c r="AZ66" s="2" t="str">
        <f t="shared" si="69"/>
        <v/>
      </c>
      <c r="BA66" s="2" t="str">
        <f t="shared" si="69"/>
        <v/>
      </c>
      <c r="BB66" s="2" t="str">
        <f t="shared" si="69"/>
        <v/>
      </c>
      <c r="BC66" s="2" t="str">
        <f t="shared" si="69"/>
        <v/>
      </c>
      <c r="BD66" s="2" t="str">
        <f t="shared" si="69"/>
        <v/>
      </c>
      <c r="BE66" s="2" t="str">
        <f t="shared" si="69"/>
        <v/>
      </c>
    </row>
    <row r="67" spans="3:57" x14ac:dyDescent="0.15">
      <c r="C67" s="2" t="str">
        <f t="shared" ref="C67:AH67" si="70">IF(BowlSplit(C24,WicketsTaken)&gt;=5,C24,"")</f>
        <v/>
      </c>
      <c r="D67" s="2" t="str">
        <f t="shared" si="70"/>
        <v/>
      </c>
      <c r="E67" s="2" t="str">
        <f t="shared" si="70"/>
        <v/>
      </c>
      <c r="F67" s="2" t="str">
        <f t="shared" si="70"/>
        <v/>
      </c>
      <c r="G67" s="2" t="str">
        <f t="shared" si="70"/>
        <v/>
      </c>
      <c r="H67" s="2" t="str">
        <f t="shared" si="70"/>
        <v/>
      </c>
      <c r="I67" s="2" t="str">
        <f t="shared" si="70"/>
        <v/>
      </c>
      <c r="J67" s="2" t="str">
        <f t="shared" si="70"/>
        <v/>
      </c>
      <c r="K67" s="2" t="str">
        <f t="shared" si="70"/>
        <v/>
      </c>
      <c r="L67" s="2" t="str">
        <f t="shared" si="70"/>
        <v/>
      </c>
      <c r="M67" s="2" t="str">
        <f t="shared" si="70"/>
        <v/>
      </c>
      <c r="N67" s="2" t="str">
        <f t="shared" si="70"/>
        <v/>
      </c>
      <c r="O67" s="2" t="str">
        <f t="shared" si="70"/>
        <v/>
      </c>
      <c r="P67" s="2" t="str">
        <f t="shared" si="70"/>
        <v/>
      </c>
      <c r="Q67" s="2" t="str">
        <f t="shared" si="70"/>
        <v/>
      </c>
      <c r="R67" s="2" t="str">
        <f t="shared" si="70"/>
        <v/>
      </c>
      <c r="S67" s="2" t="str">
        <f t="shared" si="70"/>
        <v/>
      </c>
      <c r="T67" s="2" t="str">
        <f t="shared" si="70"/>
        <v/>
      </c>
      <c r="U67" s="2" t="str">
        <f t="shared" si="70"/>
        <v/>
      </c>
      <c r="V67" s="2" t="str">
        <f t="shared" si="70"/>
        <v/>
      </c>
      <c r="W67" s="2" t="str">
        <f t="shared" si="70"/>
        <v/>
      </c>
      <c r="X67" s="2" t="str">
        <f t="shared" si="70"/>
        <v/>
      </c>
      <c r="Y67" s="2" t="str">
        <f t="shared" si="70"/>
        <v/>
      </c>
      <c r="Z67" s="2" t="str">
        <f t="shared" si="70"/>
        <v/>
      </c>
      <c r="AA67" s="2" t="str">
        <f t="shared" si="70"/>
        <v/>
      </c>
      <c r="AB67" s="2" t="str">
        <f t="shared" si="70"/>
        <v/>
      </c>
      <c r="AC67" s="2" t="str">
        <f t="shared" si="70"/>
        <v/>
      </c>
      <c r="AD67" s="2" t="str">
        <f t="shared" si="70"/>
        <v/>
      </c>
      <c r="AE67" s="2" t="str">
        <f t="shared" si="70"/>
        <v/>
      </c>
      <c r="AF67" s="2" t="str">
        <f t="shared" si="70"/>
        <v/>
      </c>
      <c r="AG67" s="2" t="str">
        <f t="shared" si="70"/>
        <v/>
      </c>
      <c r="AH67" s="2" t="str">
        <f t="shared" si="70"/>
        <v/>
      </c>
      <c r="AI67" s="2" t="str">
        <f t="shared" ref="AI67:BE67" si="71">IF(BowlSplit(AI24,WicketsTaken)&gt;=5,AI24,"")</f>
        <v/>
      </c>
      <c r="AJ67" s="2" t="str">
        <f t="shared" si="71"/>
        <v/>
      </c>
      <c r="AK67" s="2" t="str">
        <f t="shared" si="71"/>
        <v/>
      </c>
      <c r="AL67" s="2" t="str">
        <f t="shared" si="71"/>
        <v/>
      </c>
      <c r="AM67" s="2" t="str">
        <f t="shared" si="71"/>
        <v/>
      </c>
      <c r="AN67" s="2" t="str">
        <f t="shared" si="71"/>
        <v/>
      </c>
      <c r="AO67" s="2" t="str">
        <f t="shared" si="71"/>
        <v/>
      </c>
      <c r="AP67" s="2" t="str">
        <f t="shared" si="71"/>
        <v/>
      </c>
      <c r="AQ67" s="2" t="str">
        <f t="shared" si="71"/>
        <v/>
      </c>
      <c r="AR67" s="2" t="str">
        <f t="shared" si="71"/>
        <v/>
      </c>
      <c r="AS67" s="2" t="str">
        <f t="shared" si="71"/>
        <v/>
      </c>
      <c r="AT67" s="2" t="str">
        <f t="shared" si="71"/>
        <v/>
      </c>
      <c r="AU67" s="2" t="str">
        <f t="shared" si="71"/>
        <v/>
      </c>
      <c r="AV67" s="2" t="str">
        <f t="shared" si="71"/>
        <v/>
      </c>
      <c r="AW67" s="2" t="str">
        <f t="shared" si="71"/>
        <v/>
      </c>
      <c r="AX67" s="2" t="str">
        <f t="shared" si="71"/>
        <v/>
      </c>
      <c r="AY67" s="2" t="str">
        <f t="shared" si="71"/>
        <v/>
      </c>
      <c r="AZ67" s="2" t="str">
        <f t="shared" si="71"/>
        <v/>
      </c>
      <c r="BA67" s="2" t="str">
        <f t="shared" si="71"/>
        <v/>
      </c>
      <c r="BB67" s="2" t="str">
        <f t="shared" si="71"/>
        <v/>
      </c>
      <c r="BC67" s="2" t="str">
        <f t="shared" si="71"/>
        <v/>
      </c>
      <c r="BD67" s="2" t="str">
        <f t="shared" si="71"/>
        <v/>
      </c>
      <c r="BE67" s="2" t="str">
        <f t="shared" si="71"/>
        <v/>
      </c>
    </row>
    <row r="68" spans="3:57" x14ac:dyDescent="0.15">
      <c r="C68" s="2" t="str">
        <f t="shared" ref="C68:AH68" si="72">IF(BowlSplit(C25,WicketsTaken)&gt;=5,C25,"")</f>
        <v/>
      </c>
      <c r="D68" s="2" t="str">
        <f t="shared" si="72"/>
        <v/>
      </c>
      <c r="E68" s="2" t="str">
        <f t="shared" si="72"/>
        <v/>
      </c>
      <c r="F68" s="2" t="str">
        <f t="shared" si="72"/>
        <v/>
      </c>
      <c r="G68" s="2" t="str">
        <f t="shared" si="72"/>
        <v/>
      </c>
      <c r="H68" s="2" t="str">
        <f t="shared" si="72"/>
        <v/>
      </c>
      <c r="I68" s="2" t="str">
        <f t="shared" si="72"/>
        <v/>
      </c>
      <c r="J68" s="2" t="str">
        <f t="shared" si="72"/>
        <v/>
      </c>
      <c r="K68" s="2" t="str">
        <f t="shared" si="72"/>
        <v/>
      </c>
      <c r="L68" s="2" t="str">
        <f t="shared" si="72"/>
        <v/>
      </c>
      <c r="M68" s="2" t="str">
        <f t="shared" si="72"/>
        <v/>
      </c>
      <c r="N68" s="2" t="str">
        <f t="shared" si="72"/>
        <v/>
      </c>
      <c r="O68" s="2" t="str">
        <f t="shared" si="72"/>
        <v/>
      </c>
      <c r="P68" s="2" t="str">
        <f t="shared" si="72"/>
        <v/>
      </c>
      <c r="Q68" s="2" t="str">
        <f t="shared" si="72"/>
        <v/>
      </c>
      <c r="R68" s="2" t="str">
        <f t="shared" si="72"/>
        <v/>
      </c>
      <c r="S68" s="2" t="str">
        <f t="shared" si="72"/>
        <v/>
      </c>
      <c r="T68" s="2" t="str">
        <f t="shared" si="72"/>
        <v/>
      </c>
      <c r="U68" s="2" t="str">
        <f t="shared" si="72"/>
        <v/>
      </c>
      <c r="V68" s="2" t="str">
        <f t="shared" si="72"/>
        <v/>
      </c>
      <c r="W68" s="2" t="str">
        <f t="shared" si="72"/>
        <v/>
      </c>
      <c r="X68" s="2" t="str">
        <f t="shared" si="72"/>
        <v/>
      </c>
      <c r="Y68" s="2" t="str">
        <f t="shared" si="72"/>
        <v/>
      </c>
      <c r="Z68" s="2" t="str">
        <f t="shared" si="72"/>
        <v/>
      </c>
      <c r="AA68" s="2" t="str">
        <f t="shared" si="72"/>
        <v/>
      </c>
      <c r="AB68" s="2" t="str">
        <f t="shared" si="72"/>
        <v/>
      </c>
      <c r="AC68" s="2" t="str">
        <f t="shared" si="72"/>
        <v/>
      </c>
      <c r="AD68" s="2" t="str">
        <f t="shared" si="72"/>
        <v/>
      </c>
      <c r="AE68" s="2" t="str">
        <f t="shared" si="72"/>
        <v/>
      </c>
      <c r="AF68" s="2" t="str">
        <f t="shared" si="72"/>
        <v/>
      </c>
      <c r="AG68" s="2" t="str">
        <f t="shared" si="72"/>
        <v/>
      </c>
      <c r="AH68" s="2" t="str">
        <f t="shared" si="72"/>
        <v/>
      </c>
      <c r="AI68" s="2" t="str">
        <f t="shared" ref="AI68:BE68" si="73">IF(BowlSplit(AI25,WicketsTaken)&gt;=5,AI25,"")</f>
        <v/>
      </c>
      <c r="AJ68" s="2" t="str">
        <f t="shared" si="73"/>
        <v/>
      </c>
      <c r="AK68" s="2" t="str">
        <f t="shared" si="73"/>
        <v/>
      </c>
      <c r="AL68" s="2" t="str">
        <f t="shared" si="73"/>
        <v/>
      </c>
      <c r="AM68" s="2" t="str">
        <f t="shared" si="73"/>
        <v/>
      </c>
      <c r="AN68" s="2" t="str">
        <f t="shared" si="73"/>
        <v/>
      </c>
      <c r="AO68" s="2" t="str">
        <f t="shared" si="73"/>
        <v/>
      </c>
      <c r="AP68" s="2" t="str">
        <f t="shared" si="73"/>
        <v/>
      </c>
      <c r="AQ68" s="2" t="str">
        <f t="shared" si="73"/>
        <v/>
      </c>
      <c r="AR68" s="2" t="str">
        <f t="shared" si="73"/>
        <v/>
      </c>
      <c r="AS68" s="2" t="str">
        <f t="shared" si="73"/>
        <v/>
      </c>
      <c r="AT68" s="2" t="str">
        <f t="shared" si="73"/>
        <v/>
      </c>
      <c r="AU68" s="2" t="str">
        <f t="shared" si="73"/>
        <v/>
      </c>
      <c r="AV68" s="2" t="str">
        <f t="shared" si="73"/>
        <v/>
      </c>
      <c r="AW68" s="2" t="str">
        <f t="shared" si="73"/>
        <v/>
      </c>
      <c r="AX68" s="2" t="str">
        <f t="shared" si="73"/>
        <v/>
      </c>
      <c r="AY68" s="2" t="str">
        <f t="shared" si="73"/>
        <v/>
      </c>
      <c r="AZ68" s="2" t="str">
        <f t="shared" si="73"/>
        <v/>
      </c>
      <c r="BA68" s="2" t="str">
        <f t="shared" si="73"/>
        <v/>
      </c>
      <c r="BB68" s="2" t="str">
        <f t="shared" si="73"/>
        <v/>
      </c>
      <c r="BC68" s="2" t="str">
        <f t="shared" si="73"/>
        <v/>
      </c>
      <c r="BD68" s="2" t="str">
        <f t="shared" si="73"/>
        <v/>
      </c>
      <c r="BE68" s="2" t="str">
        <f t="shared" si="73"/>
        <v/>
      </c>
    </row>
    <row r="69" spans="3:57" x14ac:dyDescent="0.15">
      <c r="C69" s="2" t="str">
        <f t="shared" ref="C69:AH69" si="74">IF(BowlSplit(C26,WicketsTaken)&gt;=5,C26,"")</f>
        <v/>
      </c>
      <c r="D69" s="2" t="str">
        <f t="shared" si="74"/>
        <v/>
      </c>
      <c r="E69" s="2" t="str">
        <f t="shared" si="74"/>
        <v/>
      </c>
      <c r="F69" s="2" t="str">
        <f t="shared" si="74"/>
        <v/>
      </c>
      <c r="G69" s="2" t="str">
        <f t="shared" si="74"/>
        <v/>
      </c>
      <c r="H69" s="2" t="str">
        <f t="shared" si="74"/>
        <v/>
      </c>
      <c r="I69" s="2" t="str">
        <f t="shared" si="74"/>
        <v/>
      </c>
      <c r="J69" s="2" t="str">
        <f t="shared" si="74"/>
        <v/>
      </c>
      <c r="K69" s="2" t="str">
        <f t="shared" si="74"/>
        <v/>
      </c>
      <c r="L69" s="2" t="str">
        <f t="shared" si="74"/>
        <v/>
      </c>
      <c r="M69" s="2" t="str">
        <f t="shared" si="74"/>
        <v/>
      </c>
      <c r="N69" s="2" t="str">
        <f t="shared" si="74"/>
        <v/>
      </c>
      <c r="O69" s="2" t="str">
        <f t="shared" si="74"/>
        <v/>
      </c>
      <c r="P69" s="2" t="str">
        <f t="shared" si="74"/>
        <v/>
      </c>
      <c r="Q69" s="2" t="str">
        <f t="shared" si="74"/>
        <v/>
      </c>
      <c r="R69" s="2" t="str">
        <f t="shared" si="74"/>
        <v/>
      </c>
      <c r="S69" s="2" t="str">
        <f t="shared" si="74"/>
        <v/>
      </c>
      <c r="T69" s="2" t="str">
        <f t="shared" si="74"/>
        <v/>
      </c>
      <c r="U69" s="2" t="str">
        <f t="shared" si="74"/>
        <v/>
      </c>
      <c r="V69" s="2" t="str">
        <f t="shared" si="74"/>
        <v/>
      </c>
      <c r="W69" s="2" t="str">
        <f t="shared" si="74"/>
        <v/>
      </c>
      <c r="X69" s="2" t="str">
        <f t="shared" si="74"/>
        <v/>
      </c>
      <c r="Y69" s="2" t="str">
        <f t="shared" si="74"/>
        <v/>
      </c>
      <c r="Z69" s="2" t="str">
        <f t="shared" si="74"/>
        <v/>
      </c>
      <c r="AA69" s="2" t="str">
        <f t="shared" si="74"/>
        <v/>
      </c>
      <c r="AB69" s="2" t="str">
        <f t="shared" si="74"/>
        <v/>
      </c>
      <c r="AC69" s="2" t="str">
        <f t="shared" si="74"/>
        <v/>
      </c>
      <c r="AD69" s="2" t="str">
        <f t="shared" si="74"/>
        <v/>
      </c>
      <c r="AE69" s="2" t="str">
        <f t="shared" si="74"/>
        <v/>
      </c>
      <c r="AF69" s="2" t="str">
        <f t="shared" si="74"/>
        <v/>
      </c>
      <c r="AG69" s="2" t="str">
        <f t="shared" si="74"/>
        <v/>
      </c>
      <c r="AH69" s="2" t="str">
        <f t="shared" si="74"/>
        <v/>
      </c>
      <c r="AI69" s="2" t="str">
        <f t="shared" ref="AI69:BE69" si="75">IF(BowlSplit(AI26,WicketsTaken)&gt;=5,AI26,"")</f>
        <v/>
      </c>
      <c r="AJ69" s="2" t="str">
        <f t="shared" si="75"/>
        <v/>
      </c>
      <c r="AK69" s="2" t="str">
        <f t="shared" si="75"/>
        <v/>
      </c>
      <c r="AL69" s="2" t="str">
        <f t="shared" si="75"/>
        <v/>
      </c>
      <c r="AM69" s="2" t="str">
        <f t="shared" si="75"/>
        <v/>
      </c>
      <c r="AN69" s="2" t="str">
        <f t="shared" si="75"/>
        <v/>
      </c>
      <c r="AO69" s="2" t="str">
        <f t="shared" si="75"/>
        <v/>
      </c>
      <c r="AP69" s="2" t="str">
        <f t="shared" si="75"/>
        <v/>
      </c>
      <c r="AQ69" s="2" t="str">
        <f t="shared" si="75"/>
        <v/>
      </c>
      <c r="AR69" s="2" t="str">
        <f t="shared" si="75"/>
        <v/>
      </c>
      <c r="AS69" s="2" t="str">
        <f t="shared" si="75"/>
        <v/>
      </c>
      <c r="AT69" s="2" t="str">
        <f t="shared" si="75"/>
        <v/>
      </c>
      <c r="AU69" s="2" t="str">
        <f t="shared" si="75"/>
        <v/>
      </c>
      <c r="AV69" s="2" t="str">
        <f t="shared" si="75"/>
        <v/>
      </c>
      <c r="AW69" s="2" t="str">
        <f t="shared" si="75"/>
        <v/>
      </c>
      <c r="AX69" s="2" t="str">
        <f t="shared" si="75"/>
        <v/>
      </c>
      <c r="AY69" s="2" t="str">
        <f t="shared" si="75"/>
        <v/>
      </c>
      <c r="AZ69" s="2" t="str">
        <f t="shared" si="75"/>
        <v/>
      </c>
      <c r="BA69" s="2" t="str">
        <f t="shared" si="75"/>
        <v/>
      </c>
      <c r="BB69" s="2" t="str">
        <f t="shared" si="75"/>
        <v/>
      </c>
      <c r="BC69" s="2" t="str">
        <f t="shared" si="75"/>
        <v/>
      </c>
      <c r="BD69" s="2" t="str">
        <f t="shared" si="75"/>
        <v/>
      </c>
      <c r="BE69" s="2" t="str">
        <f t="shared" si="75"/>
        <v/>
      </c>
    </row>
    <row r="70" spans="3:57" x14ac:dyDescent="0.15">
      <c r="C70" s="2" t="str">
        <f t="shared" ref="C70:AH70" si="76">IF(BowlSplit(C27,WicketsTaken)&gt;=5,C27,"")</f>
        <v/>
      </c>
      <c r="D70" s="2" t="str">
        <f t="shared" si="76"/>
        <v/>
      </c>
      <c r="E70" s="2" t="str">
        <f t="shared" si="76"/>
        <v/>
      </c>
      <c r="F70" s="2" t="str">
        <f t="shared" si="76"/>
        <v/>
      </c>
      <c r="G70" s="2" t="str">
        <f t="shared" si="76"/>
        <v/>
      </c>
      <c r="H70" s="2" t="str">
        <f t="shared" si="76"/>
        <v/>
      </c>
      <c r="I70" s="2" t="str">
        <f t="shared" si="76"/>
        <v/>
      </c>
      <c r="J70" s="2" t="str">
        <f t="shared" si="76"/>
        <v/>
      </c>
      <c r="K70" s="2" t="str">
        <f t="shared" si="76"/>
        <v/>
      </c>
      <c r="L70" s="2" t="str">
        <f t="shared" si="76"/>
        <v/>
      </c>
      <c r="M70" s="2" t="str">
        <f t="shared" si="76"/>
        <v/>
      </c>
      <c r="N70" s="2" t="str">
        <f t="shared" si="76"/>
        <v/>
      </c>
      <c r="O70" s="2" t="str">
        <f t="shared" si="76"/>
        <v/>
      </c>
      <c r="P70" s="2" t="str">
        <f t="shared" si="76"/>
        <v/>
      </c>
      <c r="Q70" s="2" t="str">
        <f t="shared" si="76"/>
        <v/>
      </c>
      <c r="R70" s="2" t="str">
        <f t="shared" si="76"/>
        <v/>
      </c>
      <c r="S70" s="2" t="str">
        <f t="shared" si="76"/>
        <v/>
      </c>
      <c r="T70" s="2" t="str">
        <f t="shared" si="76"/>
        <v/>
      </c>
      <c r="U70" s="2" t="str">
        <f t="shared" si="76"/>
        <v/>
      </c>
      <c r="V70" s="2" t="str">
        <f t="shared" si="76"/>
        <v/>
      </c>
      <c r="W70" s="2" t="str">
        <f t="shared" si="76"/>
        <v/>
      </c>
      <c r="X70" s="2" t="str">
        <f t="shared" si="76"/>
        <v/>
      </c>
      <c r="Y70" s="2" t="str">
        <f t="shared" si="76"/>
        <v/>
      </c>
      <c r="Z70" s="2" t="str">
        <f t="shared" si="76"/>
        <v/>
      </c>
      <c r="AA70" s="2" t="str">
        <f t="shared" si="76"/>
        <v/>
      </c>
      <c r="AB70" s="2" t="str">
        <f t="shared" si="76"/>
        <v/>
      </c>
      <c r="AC70" s="2" t="str">
        <f t="shared" si="76"/>
        <v/>
      </c>
      <c r="AD70" s="2" t="str">
        <f t="shared" si="76"/>
        <v/>
      </c>
      <c r="AE70" s="2" t="str">
        <f t="shared" si="76"/>
        <v/>
      </c>
      <c r="AF70" s="2" t="str">
        <f t="shared" si="76"/>
        <v/>
      </c>
      <c r="AG70" s="2" t="str">
        <f t="shared" si="76"/>
        <v/>
      </c>
      <c r="AH70" s="2" t="str">
        <f t="shared" si="76"/>
        <v/>
      </c>
      <c r="AI70" s="2" t="str">
        <f t="shared" ref="AI70:BE70" si="77">IF(BowlSplit(AI27,WicketsTaken)&gt;=5,AI27,"")</f>
        <v/>
      </c>
      <c r="AJ70" s="2" t="str">
        <f t="shared" si="77"/>
        <v/>
      </c>
      <c r="AK70" s="2" t="str">
        <f t="shared" si="77"/>
        <v/>
      </c>
      <c r="AL70" s="2" t="str">
        <f t="shared" si="77"/>
        <v/>
      </c>
      <c r="AM70" s="2" t="str">
        <f t="shared" si="77"/>
        <v/>
      </c>
      <c r="AN70" s="2" t="str">
        <f t="shared" si="77"/>
        <v/>
      </c>
      <c r="AO70" s="2" t="str">
        <f t="shared" si="77"/>
        <v/>
      </c>
      <c r="AP70" s="2" t="str">
        <f t="shared" si="77"/>
        <v>10/1/48/6/3/1</v>
      </c>
      <c r="AQ70" s="2" t="str">
        <f t="shared" si="77"/>
        <v/>
      </c>
      <c r="AR70" s="2" t="str">
        <f t="shared" si="77"/>
        <v/>
      </c>
      <c r="AS70" s="2" t="str">
        <f t="shared" si="77"/>
        <v/>
      </c>
      <c r="AT70" s="2" t="str">
        <f t="shared" si="77"/>
        <v/>
      </c>
      <c r="AU70" s="2" t="str">
        <f t="shared" si="77"/>
        <v/>
      </c>
      <c r="AV70" s="2" t="str">
        <f t="shared" si="77"/>
        <v/>
      </c>
      <c r="AW70" s="2" t="str">
        <f t="shared" si="77"/>
        <v/>
      </c>
      <c r="AX70" s="2" t="str">
        <f t="shared" si="77"/>
        <v/>
      </c>
      <c r="AY70" s="2" t="str">
        <f t="shared" si="77"/>
        <v/>
      </c>
      <c r="AZ70" s="2" t="str">
        <f t="shared" si="77"/>
        <v/>
      </c>
      <c r="BA70" s="2" t="str">
        <f t="shared" si="77"/>
        <v/>
      </c>
      <c r="BB70" s="2" t="str">
        <f t="shared" si="77"/>
        <v/>
      </c>
      <c r="BC70" s="2" t="str">
        <f t="shared" si="77"/>
        <v/>
      </c>
      <c r="BD70" s="2" t="str">
        <f t="shared" si="77"/>
        <v/>
      </c>
      <c r="BE70" s="2" t="str">
        <f t="shared" si="77"/>
        <v/>
      </c>
    </row>
    <row r="71" spans="3:57" x14ac:dyDescent="0.15">
      <c r="C71" s="2" t="str">
        <f t="shared" ref="C71:AH71" si="78">IF(BowlSplit(C28,WicketsTaken)&gt;=5,C28,"")</f>
        <v/>
      </c>
      <c r="D71" s="2" t="str">
        <f t="shared" si="78"/>
        <v/>
      </c>
      <c r="E71" s="2" t="str">
        <f t="shared" si="78"/>
        <v/>
      </c>
      <c r="F71" s="2" t="str">
        <f t="shared" si="78"/>
        <v/>
      </c>
      <c r="G71" s="2" t="str">
        <f t="shared" si="78"/>
        <v/>
      </c>
      <c r="H71" s="2" t="str">
        <f t="shared" si="78"/>
        <v/>
      </c>
      <c r="I71" s="2" t="str">
        <f t="shared" si="78"/>
        <v/>
      </c>
      <c r="J71" s="2" t="str">
        <f t="shared" si="78"/>
        <v/>
      </c>
      <c r="K71" s="2" t="str">
        <f t="shared" si="78"/>
        <v/>
      </c>
      <c r="L71" s="2" t="str">
        <f t="shared" si="78"/>
        <v/>
      </c>
      <c r="M71" s="2" t="str">
        <f t="shared" si="78"/>
        <v/>
      </c>
      <c r="N71" s="2" t="str">
        <f t="shared" si="78"/>
        <v/>
      </c>
      <c r="O71" s="2" t="str">
        <f t="shared" si="78"/>
        <v/>
      </c>
      <c r="P71" s="2" t="str">
        <f t="shared" si="78"/>
        <v/>
      </c>
      <c r="Q71" s="2" t="str">
        <f t="shared" si="78"/>
        <v/>
      </c>
      <c r="R71" s="2" t="str">
        <f t="shared" si="78"/>
        <v/>
      </c>
      <c r="S71" s="2" t="str">
        <f t="shared" si="78"/>
        <v/>
      </c>
      <c r="T71" s="2" t="str">
        <f t="shared" si="78"/>
        <v/>
      </c>
      <c r="U71" s="2" t="str">
        <f t="shared" si="78"/>
        <v/>
      </c>
      <c r="V71" s="2" t="str">
        <f t="shared" si="78"/>
        <v/>
      </c>
      <c r="W71" s="2" t="str">
        <f t="shared" si="78"/>
        <v/>
      </c>
      <c r="X71" s="2" t="str">
        <f t="shared" si="78"/>
        <v/>
      </c>
      <c r="Y71" s="2" t="str">
        <f t="shared" si="78"/>
        <v/>
      </c>
      <c r="Z71" s="2" t="str">
        <f t="shared" si="78"/>
        <v/>
      </c>
      <c r="AA71" s="2" t="str">
        <f t="shared" si="78"/>
        <v/>
      </c>
      <c r="AB71" s="2" t="str">
        <f t="shared" si="78"/>
        <v/>
      </c>
      <c r="AC71" s="2" t="str">
        <f t="shared" si="78"/>
        <v/>
      </c>
      <c r="AD71" s="2" t="str">
        <f t="shared" si="78"/>
        <v/>
      </c>
      <c r="AE71" s="2" t="str">
        <f t="shared" si="78"/>
        <v/>
      </c>
      <c r="AF71" s="2" t="str">
        <f t="shared" si="78"/>
        <v/>
      </c>
      <c r="AG71" s="2" t="str">
        <f t="shared" si="78"/>
        <v/>
      </c>
      <c r="AH71" s="2" t="str">
        <f t="shared" si="78"/>
        <v/>
      </c>
      <c r="AI71" s="2" t="str">
        <f t="shared" ref="AI71:BE71" si="79">IF(BowlSplit(AI28,WicketsTaken)&gt;=5,AI28,"")</f>
        <v/>
      </c>
      <c r="AJ71" s="2" t="str">
        <f t="shared" si="79"/>
        <v/>
      </c>
      <c r="AK71" s="2" t="str">
        <f t="shared" si="79"/>
        <v/>
      </c>
      <c r="AL71" s="2" t="str">
        <f t="shared" si="79"/>
        <v/>
      </c>
      <c r="AM71" s="2" t="str">
        <f t="shared" si="79"/>
        <v/>
      </c>
      <c r="AN71" s="2" t="str">
        <f t="shared" si="79"/>
        <v/>
      </c>
      <c r="AO71" s="2" t="str">
        <f t="shared" si="79"/>
        <v/>
      </c>
      <c r="AP71" s="2" t="str">
        <f t="shared" si="79"/>
        <v/>
      </c>
      <c r="AQ71" s="2" t="str">
        <f t="shared" si="79"/>
        <v/>
      </c>
      <c r="AR71" s="2" t="str">
        <f t="shared" si="79"/>
        <v/>
      </c>
      <c r="AS71" s="2" t="str">
        <f t="shared" si="79"/>
        <v/>
      </c>
      <c r="AT71" s="2" t="str">
        <f t="shared" si="79"/>
        <v/>
      </c>
      <c r="AU71" s="2" t="str">
        <f t="shared" si="79"/>
        <v/>
      </c>
      <c r="AV71" s="2" t="str">
        <f t="shared" si="79"/>
        <v/>
      </c>
      <c r="AW71" s="2" t="str">
        <f t="shared" si="79"/>
        <v/>
      </c>
      <c r="AX71" s="2" t="str">
        <f t="shared" si="79"/>
        <v/>
      </c>
      <c r="AY71" s="2" t="str">
        <f t="shared" si="79"/>
        <v/>
      </c>
      <c r="AZ71" s="2" t="str">
        <f t="shared" si="79"/>
        <v/>
      </c>
      <c r="BA71" s="2" t="str">
        <f t="shared" si="79"/>
        <v/>
      </c>
      <c r="BB71" s="2" t="str">
        <f t="shared" si="79"/>
        <v/>
      </c>
      <c r="BC71" s="2" t="str">
        <f t="shared" si="79"/>
        <v/>
      </c>
      <c r="BD71" s="2" t="str">
        <f t="shared" si="79"/>
        <v/>
      </c>
      <c r="BE71" s="2" t="str">
        <f t="shared" si="79"/>
        <v/>
      </c>
    </row>
    <row r="72" spans="3:57" x14ac:dyDescent="0.15">
      <c r="C72" s="2" t="str">
        <f t="shared" ref="C72:AH72" si="80">IF(BowlSplit(C29,WicketsTaken)&gt;=5,C29,"")</f>
        <v/>
      </c>
      <c r="D72" s="2" t="str">
        <f t="shared" si="80"/>
        <v/>
      </c>
      <c r="E72" s="2" t="str">
        <f t="shared" si="80"/>
        <v/>
      </c>
      <c r="F72" s="2" t="str">
        <f t="shared" si="80"/>
        <v/>
      </c>
      <c r="G72" s="2" t="str">
        <f t="shared" si="80"/>
        <v/>
      </c>
      <c r="H72" s="2" t="str">
        <f t="shared" si="80"/>
        <v/>
      </c>
      <c r="I72" s="2" t="str">
        <f t="shared" si="80"/>
        <v/>
      </c>
      <c r="J72" s="2" t="str">
        <f t="shared" si="80"/>
        <v/>
      </c>
      <c r="K72" s="2" t="str">
        <f t="shared" si="80"/>
        <v/>
      </c>
      <c r="L72" s="2" t="str">
        <f t="shared" si="80"/>
        <v/>
      </c>
      <c r="M72" s="2" t="str">
        <f t="shared" si="80"/>
        <v/>
      </c>
      <c r="N72" s="2" t="str">
        <f t="shared" si="80"/>
        <v/>
      </c>
      <c r="O72" s="2" t="str">
        <f t="shared" si="80"/>
        <v/>
      </c>
      <c r="P72" s="2" t="str">
        <f t="shared" si="80"/>
        <v/>
      </c>
      <c r="Q72" s="2" t="str">
        <f t="shared" si="80"/>
        <v/>
      </c>
      <c r="R72" s="2" t="str">
        <f t="shared" si="80"/>
        <v/>
      </c>
      <c r="S72" s="2" t="str">
        <f t="shared" si="80"/>
        <v/>
      </c>
      <c r="T72" s="2" t="str">
        <f t="shared" si="80"/>
        <v/>
      </c>
      <c r="U72" s="2" t="str">
        <f t="shared" si="80"/>
        <v/>
      </c>
      <c r="V72" s="2" t="str">
        <f t="shared" si="80"/>
        <v/>
      </c>
      <c r="W72" s="2" t="str">
        <f t="shared" si="80"/>
        <v/>
      </c>
      <c r="X72" s="2" t="str">
        <f t="shared" si="80"/>
        <v/>
      </c>
      <c r="Y72" s="2" t="str">
        <f t="shared" si="80"/>
        <v/>
      </c>
      <c r="Z72" s="2" t="str">
        <f t="shared" si="80"/>
        <v/>
      </c>
      <c r="AA72" s="2" t="str">
        <f t="shared" si="80"/>
        <v/>
      </c>
      <c r="AB72" s="2" t="str">
        <f t="shared" si="80"/>
        <v/>
      </c>
      <c r="AC72" s="2" t="str">
        <f t="shared" si="80"/>
        <v/>
      </c>
      <c r="AD72" s="2" t="str">
        <f t="shared" si="80"/>
        <v/>
      </c>
      <c r="AE72" s="2" t="str">
        <f t="shared" si="80"/>
        <v/>
      </c>
      <c r="AF72" s="2" t="str">
        <f t="shared" si="80"/>
        <v/>
      </c>
      <c r="AG72" s="2" t="str">
        <f t="shared" si="80"/>
        <v/>
      </c>
      <c r="AH72" s="2" t="str">
        <f t="shared" si="80"/>
        <v/>
      </c>
      <c r="AI72" s="2" t="str">
        <f t="shared" ref="AI72:BE72" si="81">IF(BowlSplit(AI29,WicketsTaken)&gt;=5,AI29,"")</f>
        <v/>
      </c>
      <c r="AJ72" s="2" t="str">
        <f t="shared" si="81"/>
        <v/>
      </c>
      <c r="AK72" s="2" t="str">
        <f t="shared" si="81"/>
        <v/>
      </c>
      <c r="AL72" s="2" t="str">
        <f t="shared" si="81"/>
        <v/>
      </c>
      <c r="AM72" s="2" t="str">
        <f t="shared" si="81"/>
        <v/>
      </c>
      <c r="AN72" s="2" t="str">
        <f t="shared" si="81"/>
        <v/>
      </c>
      <c r="AO72" s="2" t="str">
        <f t="shared" si="81"/>
        <v/>
      </c>
      <c r="AP72" s="2" t="str">
        <f t="shared" si="81"/>
        <v/>
      </c>
      <c r="AQ72" s="2" t="str">
        <f t="shared" si="81"/>
        <v/>
      </c>
      <c r="AR72" s="2" t="str">
        <f t="shared" si="81"/>
        <v/>
      </c>
      <c r="AS72" s="2" t="str">
        <f t="shared" si="81"/>
        <v/>
      </c>
      <c r="AT72" s="2" t="str">
        <f t="shared" si="81"/>
        <v/>
      </c>
      <c r="AU72" s="2" t="str">
        <f t="shared" si="81"/>
        <v/>
      </c>
      <c r="AV72" s="2" t="str">
        <f t="shared" si="81"/>
        <v/>
      </c>
      <c r="AW72" s="2" t="str">
        <f t="shared" si="81"/>
        <v/>
      </c>
      <c r="AX72" s="2" t="str">
        <f t="shared" si="81"/>
        <v/>
      </c>
      <c r="AY72" s="2" t="str">
        <f t="shared" si="81"/>
        <v/>
      </c>
      <c r="AZ72" s="2" t="str">
        <f t="shared" si="81"/>
        <v/>
      </c>
      <c r="BA72" s="2" t="str">
        <f t="shared" si="81"/>
        <v/>
      </c>
      <c r="BB72" s="2" t="str">
        <f t="shared" si="81"/>
        <v/>
      </c>
      <c r="BC72" s="2" t="str">
        <f t="shared" si="81"/>
        <v/>
      </c>
      <c r="BD72" s="2" t="str">
        <f t="shared" si="81"/>
        <v/>
      </c>
      <c r="BE72" s="2" t="str">
        <f t="shared" si="81"/>
        <v/>
      </c>
    </row>
    <row r="73" spans="3:57" x14ac:dyDescent="0.15">
      <c r="C73" s="2" t="str">
        <f t="shared" ref="C73:AH73" si="82">IF(BowlSplit(C30,WicketsTaken)&gt;=5,C30,"")</f>
        <v/>
      </c>
      <c r="D73" s="2" t="str">
        <f t="shared" si="82"/>
        <v/>
      </c>
      <c r="E73" s="2" t="str">
        <f t="shared" si="82"/>
        <v/>
      </c>
      <c r="F73" s="2" t="str">
        <f t="shared" si="82"/>
        <v/>
      </c>
      <c r="G73" s="2" t="str">
        <f t="shared" si="82"/>
        <v/>
      </c>
      <c r="H73" s="2" t="str">
        <f t="shared" si="82"/>
        <v/>
      </c>
      <c r="I73" s="2" t="str">
        <f t="shared" si="82"/>
        <v/>
      </c>
      <c r="J73" s="2" t="str">
        <f t="shared" si="82"/>
        <v/>
      </c>
      <c r="K73" s="2" t="str">
        <f t="shared" si="82"/>
        <v/>
      </c>
      <c r="L73" s="2" t="str">
        <f t="shared" si="82"/>
        <v/>
      </c>
      <c r="M73" s="2" t="str">
        <f t="shared" si="82"/>
        <v/>
      </c>
      <c r="N73" s="2" t="str">
        <f t="shared" si="82"/>
        <v/>
      </c>
      <c r="O73" s="2" t="str">
        <f t="shared" si="82"/>
        <v/>
      </c>
      <c r="P73" s="2" t="str">
        <f t="shared" si="82"/>
        <v/>
      </c>
      <c r="Q73" s="2" t="str">
        <f t="shared" si="82"/>
        <v/>
      </c>
      <c r="R73" s="2" t="str">
        <f t="shared" si="82"/>
        <v/>
      </c>
      <c r="S73" s="2" t="str">
        <f t="shared" si="82"/>
        <v/>
      </c>
      <c r="T73" s="2" t="str">
        <f t="shared" si="82"/>
        <v/>
      </c>
      <c r="U73" s="2" t="str">
        <f t="shared" si="82"/>
        <v/>
      </c>
      <c r="V73" s="2" t="str">
        <f t="shared" si="82"/>
        <v/>
      </c>
      <c r="W73" s="2" t="str">
        <f t="shared" si="82"/>
        <v/>
      </c>
      <c r="X73" s="2" t="str">
        <f t="shared" si="82"/>
        <v/>
      </c>
      <c r="Y73" s="2" t="str">
        <f t="shared" si="82"/>
        <v/>
      </c>
      <c r="Z73" s="2" t="str">
        <f t="shared" si="82"/>
        <v/>
      </c>
      <c r="AA73" s="2" t="str">
        <f t="shared" si="82"/>
        <v/>
      </c>
      <c r="AB73" s="2" t="str">
        <f t="shared" si="82"/>
        <v/>
      </c>
      <c r="AC73" s="2" t="str">
        <f t="shared" si="82"/>
        <v/>
      </c>
      <c r="AD73" s="2" t="str">
        <f t="shared" si="82"/>
        <v/>
      </c>
      <c r="AE73" s="2" t="str">
        <f t="shared" si="82"/>
        <v/>
      </c>
      <c r="AF73" s="2" t="str">
        <f t="shared" si="82"/>
        <v/>
      </c>
      <c r="AG73" s="2" t="str">
        <f t="shared" si="82"/>
        <v/>
      </c>
      <c r="AH73" s="2" t="str">
        <f t="shared" si="82"/>
        <v/>
      </c>
      <c r="AI73" s="2" t="str">
        <f t="shared" ref="AI73:BE73" si="83">IF(BowlSplit(AI30,WicketsTaken)&gt;=5,AI30,"")</f>
        <v/>
      </c>
      <c r="AJ73" s="2" t="str">
        <f t="shared" si="83"/>
        <v/>
      </c>
      <c r="AK73" s="2" t="str">
        <f t="shared" si="83"/>
        <v/>
      </c>
      <c r="AL73" s="2" t="str">
        <f t="shared" si="83"/>
        <v/>
      </c>
      <c r="AM73" s="2" t="str">
        <f t="shared" si="83"/>
        <v/>
      </c>
      <c r="AN73" s="2" t="str">
        <f t="shared" si="83"/>
        <v>8/3/17/5/0/0</v>
      </c>
      <c r="AO73" s="2" t="str">
        <f t="shared" si="83"/>
        <v/>
      </c>
      <c r="AP73" s="2" t="str">
        <f t="shared" si="83"/>
        <v/>
      </c>
      <c r="AQ73" s="2" t="str">
        <f t="shared" si="83"/>
        <v/>
      </c>
      <c r="AR73" s="2" t="str">
        <f t="shared" si="83"/>
        <v/>
      </c>
      <c r="AS73" s="2" t="str">
        <f t="shared" si="83"/>
        <v/>
      </c>
      <c r="AT73" s="2" t="str">
        <f t="shared" si="83"/>
        <v/>
      </c>
      <c r="AU73" s="2" t="str">
        <f t="shared" si="83"/>
        <v/>
      </c>
      <c r="AV73" s="2" t="str">
        <f t="shared" si="83"/>
        <v/>
      </c>
      <c r="AW73" s="2" t="str">
        <f t="shared" si="83"/>
        <v/>
      </c>
      <c r="AX73" s="2" t="str">
        <f t="shared" si="83"/>
        <v/>
      </c>
      <c r="AY73" s="2" t="str">
        <f t="shared" si="83"/>
        <v/>
      </c>
      <c r="AZ73" s="2" t="str">
        <f t="shared" si="83"/>
        <v/>
      </c>
      <c r="BA73" s="2" t="str">
        <f t="shared" si="83"/>
        <v/>
      </c>
      <c r="BB73" s="2" t="str">
        <f t="shared" si="83"/>
        <v/>
      </c>
      <c r="BC73" s="2" t="str">
        <f t="shared" si="83"/>
        <v/>
      </c>
      <c r="BD73" s="2" t="str">
        <f t="shared" si="83"/>
        <v/>
      </c>
      <c r="BE73" s="2" t="str">
        <f t="shared" si="83"/>
        <v/>
      </c>
    </row>
    <row r="74" spans="3:57" x14ac:dyDescent="0.15">
      <c r="C74" s="2" t="str">
        <f t="shared" ref="C74:AH74" si="84">IF(BowlSplit(C31,WicketsTaken)&gt;=5,C31,"")</f>
        <v/>
      </c>
      <c r="D74" s="2" t="str">
        <f t="shared" si="84"/>
        <v/>
      </c>
      <c r="E74" s="2" t="str">
        <f t="shared" si="84"/>
        <v/>
      </c>
      <c r="F74" s="2" t="str">
        <f t="shared" si="84"/>
        <v/>
      </c>
      <c r="G74" s="2" t="str">
        <f t="shared" si="84"/>
        <v/>
      </c>
      <c r="H74" s="2" t="str">
        <f t="shared" si="84"/>
        <v/>
      </c>
      <c r="I74" s="2" t="str">
        <f t="shared" si="84"/>
        <v/>
      </c>
      <c r="J74" s="2" t="str">
        <f t="shared" si="84"/>
        <v/>
      </c>
      <c r="K74" s="2" t="str">
        <f t="shared" si="84"/>
        <v/>
      </c>
      <c r="L74" s="2" t="str">
        <f t="shared" si="84"/>
        <v/>
      </c>
      <c r="M74" s="2" t="str">
        <f t="shared" si="84"/>
        <v/>
      </c>
      <c r="N74" s="2" t="str">
        <f t="shared" si="84"/>
        <v/>
      </c>
      <c r="O74" s="2" t="str">
        <f t="shared" si="84"/>
        <v/>
      </c>
      <c r="P74" s="2" t="str">
        <f t="shared" si="84"/>
        <v/>
      </c>
      <c r="Q74" s="2" t="str">
        <f t="shared" si="84"/>
        <v/>
      </c>
      <c r="R74" s="2" t="str">
        <f t="shared" si="84"/>
        <v/>
      </c>
      <c r="S74" s="2" t="str">
        <f t="shared" si="84"/>
        <v/>
      </c>
      <c r="T74" s="2" t="str">
        <f t="shared" si="84"/>
        <v/>
      </c>
      <c r="U74" s="2" t="str">
        <f t="shared" si="84"/>
        <v/>
      </c>
      <c r="V74" s="2" t="str">
        <f t="shared" si="84"/>
        <v/>
      </c>
      <c r="W74" s="2" t="str">
        <f t="shared" si="84"/>
        <v/>
      </c>
      <c r="X74" s="2" t="str">
        <f t="shared" si="84"/>
        <v/>
      </c>
      <c r="Y74" s="2" t="str">
        <f t="shared" si="84"/>
        <v/>
      </c>
      <c r="Z74" s="2" t="str">
        <f t="shared" si="84"/>
        <v/>
      </c>
      <c r="AA74" s="2" t="str">
        <f t="shared" si="84"/>
        <v/>
      </c>
      <c r="AB74" s="2" t="str">
        <f t="shared" si="84"/>
        <v/>
      </c>
      <c r="AC74" s="2" t="str">
        <f t="shared" si="84"/>
        <v/>
      </c>
      <c r="AD74" s="2" t="str">
        <f t="shared" si="84"/>
        <v/>
      </c>
      <c r="AE74" s="2" t="str">
        <f t="shared" si="84"/>
        <v/>
      </c>
      <c r="AF74" s="2" t="str">
        <f t="shared" si="84"/>
        <v/>
      </c>
      <c r="AG74" s="2" t="str">
        <f t="shared" si="84"/>
        <v/>
      </c>
      <c r="AH74" s="2" t="str">
        <f t="shared" si="84"/>
        <v/>
      </c>
      <c r="AI74" s="2" t="str">
        <f t="shared" ref="AI74:BE74" si="85">IF(BowlSplit(AI31,WicketsTaken)&gt;=5,AI31,"")</f>
        <v/>
      </c>
      <c r="AJ74" s="2" t="str">
        <f t="shared" si="85"/>
        <v/>
      </c>
      <c r="AK74" s="2" t="str">
        <f t="shared" si="85"/>
        <v/>
      </c>
      <c r="AL74" s="2" t="str">
        <f t="shared" si="85"/>
        <v/>
      </c>
      <c r="AM74" s="2" t="str">
        <f t="shared" si="85"/>
        <v/>
      </c>
      <c r="AN74" s="2" t="str">
        <f t="shared" si="85"/>
        <v/>
      </c>
      <c r="AO74" s="2" t="str">
        <f t="shared" si="85"/>
        <v/>
      </c>
      <c r="AP74" s="2" t="str">
        <f t="shared" si="85"/>
        <v/>
      </c>
      <c r="AQ74" s="2" t="str">
        <f t="shared" si="85"/>
        <v/>
      </c>
      <c r="AR74" s="2" t="str">
        <f t="shared" si="85"/>
        <v/>
      </c>
      <c r="AS74" s="2" t="str">
        <f t="shared" si="85"/>
        <v/>
      </c>
      <c r="AT74" s="2" t="str">
        <f t="shared" si="85"/>
        <v/>
      </c>
      <c r="AU74" s="2" t="str">
        <f t="shared" si="85"/>
        <v/>
      </c>
      <c r="AV74" s="2" t="str">
        <f t="shared" si="85"/>
        <v/>
      </c>
      <c r="AW74" s="2" t="str">
        <f t="shared" si="85"/>
        <v/>
      </c>
      <c r="AX74" s="2" t="str">
        <f t="shared" si="85"/>
        <v/>
      </c>
      <c r="AY74" s="2" t="str">
        <f t="shared" si="85"/>
        <v/>
      </c>
      <c r="AZ74" s="2" t="str">
        <f t="shared" si="85"/>
        <v/>
      </c>
      <c r="BA74" s="2" t="str">
        <f t="shared" si="85"/>
        <v/>
      </c>
      <c r="BB74" s="2" t="str">
        <f t="shared" si="85"/>
        <v/>
      </c>
      <c r="BC74" s="2" t="str">
        <f t="shared" si="85"/>
        <v/>
      </c>
      <c r="BD74" s="2" t="str">
        <f t="shared" si="85"/>
        <v/>
      </c>
      <c r="BE74" s="2" t="str">
        <f t="shared" si="85"/>
        <v/>
      </c>
    </row>
    <row r="75" spans="3:57" x14ac:dyDescent="0.15">
      <c r="C75" s="2" t="str">
        <f t="shared" ref="C75:AH75" si="86">IF(BowlSplit(C32,WicketsTaken)&gt;=5,C32,"")</f>
        <v/>
      </c>
      <c r="D75" s="2" t="str">
        <f t="shared" si="86"/>
        <v/>
      </c>
      <c r="E75" s="2" t="str">
        <f t="shared" si="86"/>
        <v/>
      </c>
      <c r="F75" s="2" t="str">
        <f t="shared" si="86"/>
        <v/>
      </c>
      <c r="G75" s="2" t="str">
        <f t="shared" si="86"/>
        <v/>
      </c>
      <c r="H75" s="2" t="str">
        <f t="shared" si="86"/>
        <v/>
      </c>
      <c r="I75" s="2" t="str">
        <f t="shared" si="86"/>
        <v/>
      </c>
      <c r="J75" s="2" t="str">
        <f t="shared" si="86"/>
        <v/>
      </c>
      <c r="K75" s="2" t="str">
        <f t="shared" si="86"/>
        <v/>
      </c>
      <c r="L75" s="2" t="str">
        <f t="shared" si="86"/>
        <v/>
      </c>
      <c r="M75" s="2" t="str">
        <f t="shared" si="86"/>
        <v/>
      </c>
      <c r="N75" s="2" t="str">
        <f t="shared" si="86"/>
        <v/>
      </c>
      <c r="O75" s="2" t="str">
        <f t="shared" si="86"/>
        <v/>
      </c>
      <c r="P75" s="2" t="str">
        <f t="shared" si="86"/>
        <v/>
      </c>
      <c r="Q75" s="2" t="str">
        <f t="shared" si="86"/>
        <v/>
      </c>
      <c r="R75" s="2" t="str">
        <f t="shared" si="86"/>
        <v/>
      </c>
      <c r="S75" s="2" t="str">
        <f t="shared" si="86"/>
        <v/>
      </c>
      <c r="T75" s="2" t="str">
        <f t="shared" si="86"/>
        <v/>
      </c>
      <c r="U75" s="2" t="str">
        <f t="shared" si="86"/>
        <v/>
      </c>
      <c r="V75" s="2" t="str">
        <f t="shared" si="86"/>
        <v/>
      </c>
      <c r="W75" s="2" t="str">
        <f t="shared" si="86"/>
        <v/>
      </c>
      <c r="X75" s="2" t="str">
        <f t="shared" si="86"/>
        <v/>
      </c>
      <c r="Y75" s="2" t="str">
        <f t="shared" si="86"/>
        <v/>
      </c>
      <c r="Z75" s="2" t="str">
        <f t="shared" si="86"/>
        <v/>
      </c>
      <c r="AA75" s="2" t="str">
        <f t="shared" si="86"/>
        <v/>
      </c>
      <c r="AB75" s="2" t="str">
        <f t="shared" si="86"/>
        <v/>
      </c>
      <c r="AC75" s="2" t="str">
        <f t="shared" si="86"/>
        <v/>
      </c>
      <c r="AD75" s="2" t="str">
        <f t="shared" si="86"/>
        <v/>
      </c>
      <c r="AE75" s="2" t="str">
        <f t="shared" si="86"/>
        <v/>
      </c>
      <c r="AF75" s="2" t="str">
        <f t="shared" si="86"/>
        <v/>
      </c>
      <c r="AG75" s="2" t="str">
        <f t="shared" si="86"/>
        <v/>
      </c>
      <c r="AH75" s="2" t="str">
        <f t="shared" si="86"/>
        <v/>
      </c>
      <c r="AI75" s="2" t="str">
        <f t="shared" ref="AI75:BE75" si="87">IF(BowlSplit(AI32,WicketsTaken)&gt;=5,AI32,"")</f>
        <v/>
      </c>
      <c r="AJ75" s="2" t="str">
        <f t="shared" si="87"/>
        <v/>
      </c>
      <c r="AK75" s="2" t="str">
        <f t="shared" si="87"/>
        <v/>
      </c>
      <c r="AL75" s="2" t="str">
        <f t="shared" si="87"/>
        <v/>
      </c>
      <c r="AM75" s="2" t="str">
        <f t="shared" si="87"/>
        <v/>
      </c>
      <c r="AN75" s="2" t="str">
        <f t="shared" si="87"/>
        <v/>
      </c>
      <c r="AO75" s="2" t="str">
        <f t="shared" si="87"/>
        <v/>
      </c>
      <c r="AP75" s="2" t="str">
        <f t="shared" si="87"/>
        <v/>
      </c>
      <c r="AQ75" s="2" t="str">
        <f t="shared" si="87"/>
        <v/>
      </c>
      <c r="AR75" s="2" t="str">
        <f t="shared" si="87"/>
        <v/>
      </c>
      <c r="AS75" s="2" t="str">
        <f t="shared" si="87"/>
        <v/>
      </c>
      <c r="AT75" s="2" t="str">
        <f t="shared" si="87"/>
        <v/>
      </c>
      <c r="AU75" s="2" t="str">
        <f t="shared" si="87"/>
        <v/>
      </c>
      <c r="AV75" s="2" t="str">
        <f t="shared" si="87"/>
        <v/>
      </c>
      <c r="AW75" s="2" t="str">
        <f t="shared" si="87"/>
        <v/>
      </c>
      <c r="AX75" s="2" t="str">
        <f t="shared" si="87"/>
        <v/>
      </c>
      <c r="AY75" s="2" t="str">
        <f t="shared" si="87"/>
        <v/>
      </c>
      <c r="AZ75" s="2" t="str">
        <f t="shared" si="87"/>
        <v/>
      </c>
      <c r="BA75" s="2" t="str">
        <f t="shared" si="87"/>
        <v/>
      </c>
      <c r="BB75" s="2" t="str">
        <f t="shared" si="87"/>
        <v/>
      </c>
      <c r="BC75" s="2" t="str">
        <f t="shared" si="87"/>
        <v/>
      </c>
      <c r="BD75" s="2" t="str">
        <f t="shared" si="87"/>
        <v/>
      </c>
      <c r="BE75" s="2" t="str">
        <f t="shared" si="87"/>
        <v/>
      </c>
    </row>
    <row r="76" spans="3:57" x14ac:dyDescent="0.15">
      <c r="C76" s="2" t="str">
        <f t="shared" ref="C76:AH76" si="88">IF(BowlSplit(C33,WicketsTaken)&gt;=5,C33,"")</f>
        <v/>
      </c>
      <c r="D76" s="2" t="str">
        <f t="shared" si="88"/>
        <v/>
      </c>
      <c r="E76" s="2" t="str">
        <f t="shared" si="88"/>
        <v/>
      </c>
      <c r="F76" s="2" t="str">
        <f t="shared" si="88"/>
        <v/>
      </c>
      <c r="G76" s="2" t="str">
        <f t="shared" si="88"/>
        <v/>
      </c>
      <c r="H76" s="2" t="str">
        <f t="shared" si="88"/>
        <v/>
      </c>
      <c r="I76" s="2" t="str">
        <f t="shared" si="88"/>
        <v/>
      </c>
      <c r="J76" s="2" t="str">
        <f t="shared" si="88"/>
        <v/>
      </c>
      <c r="K76" s="2" t="str">
        <f t="shared" si="88"/>
        <v>9/1/44/6/1/0</v>
      </c>
      <c r="L76" s="2" t="str">
        <f t="shared" si="88"/>
        <v/>
      </c>
      <c r="M76" s="2" t="str">
        <f t="shared" si="88"/>
        <v/>
      </c>
      <c r="N76" s="2" t="str">
        <f t="shared" si="88"/>
        <v/>
      </c>
      <c r="O76" s="2" t="str">
        <f t="shared" si="88"/>
        <v/>
      </c>
      <c r="P76" s="2" t="str">
        <f t="shared" si="88"/>
        <v/>
      </c>
      <c r="Q76" s="2" t="str">
        <f t="shared" si="88"/>
        <v/>
      </c>
      <c r="R76" s="2" t="str">
        <f t="shared" si="88"/>
        <v/>
      </c>
      <c r="S76" s="2" t="str">
        <f t="shared" si="88"/>
        <v/>
      </c>
      <c r="T76" s="2" t="str">
        <f t="shared" si="88"/>
        <v/>
      </c>
      <c r="U76" s="2" t="str">
        <f t="shared" si="88"/>
        <v/>
      </c>
      <c r="V76" s="2" t="str">
        <f t="shared" si="88"/>
        <v/>
      </c>
      <c r="W76" s="2" t="str">
        <f t="shared" si="88"/>
        <v/>
      </c>
      <c r="X76" s="2" t="str">
        <f t="shared" si="88"/>
        <v/>
      </c>
      <c r="Y76" s="2" t="str">
        <f t="shared" si="88"/>
        <v/>
      </c>
      <c r="Z76" s="2" t="str">
        <f t="shared" si="88"/>
        <v/>
      </c>
      <c r="AA76" s="2" t="str">
        <f t="shared" si="88"/>
        <v/>
      </c>
      <c r="AB76" s="2" t="str">
        <f t="shared" si="88"/>
        <v/>
      </c>
      <c r="AC76" s="2" t="str">
        <f t="shared" si="88"/>
        <v/>
      </c>
      <c r="AD76" s="2" t="str">
        <f t="shared" si="88"/>
        <v/>
      </c>
      <c r="AE76" s="2" t="str">
        <f t="shared" si="88"/>
        <v/>
      </c>
      <c r="AF76" s="2" t="str">
        <f t="shared" si="88"/>
        <v/>
      </c>
      <c r="AG76" s="2" t="str">
        <f t="shared" si="88"/>
        <v/>
      </c>
      <c r="AH76" s="2" t="str">
        <f t="shared" si="88"/>
        <v/>
      </c>
      <c r="AI76" s="2" t="str">
        <f t="shared" ref="AI76:BE76" si="89">IF(BowlSplit(AI33,WicketsTaken)&gt;=5,AI33,"")</f>
        <v/>
      </c>
      <c r="AJ76" s="2" t="str">
        <f t="shared" si="89"/>
        <v/>
      </c>
      <c r="AK76" s="2" t="str">
        <f t="shared" si="89"/>
        <v/>
      </c>
      <c r="AL76" s="2" t="str">
        <f t="shared" si="89"/>
        <v/>
      </c>
      <c r="AM76" s="2" t="str">
        <f t="shared" si="89"/>
        <v/>
      </c>
      <c r="AN76" s="2" t="str">
        <f t="shared" si="89"/>
        <v/>
      </c>
      <c r="AO76" s="2" t="str">
        <f t="shared" si="89"/>
        <v/>
      </c>
      <c r="AP76" s="2" t="str">
        <f t="shared" si="89"/>
        <v/>
      </c>
      <c r="AQ76" s="2" t="str">
        <f t="shared" si="89"/>
        <v/>
      </c>
      <c r="AR76" s="2" t="str">
        <f t="shared" si="89"/>
        <v/>
      </c>
      <c r="AS76" s="2" t="str">
        <f t="shared" si="89"/>
        <v/>
      </c>
      <c r="AT76" s="2" t="str">
        <f t="shared" si="89"/>
        <v/>
      </c>
      <c r="AU76" s="2" t="str">
        <f t="shared" si="89"/>
        <v/>
      </c>
      <c r="AV76" s="2" t="str">
        <f t="shared" si="89"/>
        <v/>
      </c>
      <c r="AW76" s="2" t="str">
        <f t="shared" si="89"/>
        <v/>
      </c>
      <c r="AX76" s="2" t="str">
        <f t="shared" si="89"/>
        <v/>
      </c>
      <c r="AY76" s="2" t="str">
        <f t="shared" si="89"/>
        <v/>
      </c>
      <c r="AZ76" s="2" t="str">
        <f t="shared" si="89"/>
        <v/>
      </c>
      <c r="BA76" s="2" t="str">
        <f t="shared" si="89"/>
        <v/>
      </c>
      <c r="BB76" s="2" t="str">
        <f t="shared" si="89"/>
        <v/>
      </c>
      <c r="BC76" s="2" t="str">
        <f t="shared" si="89"/>
        <v/>
      </c>
      <c r="BD76" s="2" t="str">
        <f t="shared" si="89"/>
        <v/>
      </c>
      <c r="BE76" s="2" t="str">
        <f t="shared" si="89"/>
        <v/>
      </c>
    </row>
    <row r="77" spans="3:57" x14ac:dyDescent="0.15">
      <c r="C77" s="2" t="str">
        <f t="shared" ref="C77:AH77" si="90">IF(BowlSplit(C34,WicketsTaken)&gt;=5,C34,"")</f>
        <v/>
      </c>
      <c r="D77" s="2" t="str">
        <f t="shared" si="90"/>
        <v/>
      </c>
      <c r="E77" s="2" t="str">
        <f t="shared" si="90"/>
        <v/>
      </c>
      <c r="F77" s="2" t="str">
        <f t="shared" si="90"/>
        <v/>
      </c>
      <c r="G77" s="2" t="str">
        <f t="shared" si="90"/>
        <v/>
      </c>
      <c r="H77" s="2" t="str">
        <f t="shared" si="90"/>
        <v/>
      </c>
      <c r="I77" s="2" t="str">
        <f t="shared" si="90"/>
        <v/>
      </c>
      <c r="J77" s="2" t="str">
        <f t="shared" si="90"/>
        <v/>
      </c>
      <c r="K77" s="2" t="str">
        <f t="shared" si="90"/>
        <v/>
      </c>
      <c r="L77" s="2" t="str">
        <f t="shared" si="90"/>
        <v/>
      </c>
      <c r="M77" s="2" t="str">
        <f t="shared" si="90"/>
        <v/>
      </c>
      <c r="N77" s="2" t="str">
        <f t="shared" si="90"/>
        <v/>
      </c>
      <c r="O77" s="2" t="str">
        <f t="shared" si="90"/>
        <v/>
      </c>
      <c r="P77" s="2" t="str">
        <f t="shared" si="90"/>
        <v/>
      </c>
      <c r="Q77" s="2" t="str">
        <f t="shared" si="90"/>
        <v/>
      </c>
      <c r="R77" s="2" t="str">
        <f t="shared" si="90"/>
        <v/>
      </c>
      <c r="S77" s="2" t="str">
        <f t="shared" si="90"/>
        <v/>
      </c>
      <c r="T77" s="2" t="str">
        <f t="shared" si="90"/>
        <v/>
      </c>
      <c r="U77" s="2" t="str">
        <f t="shared" si="90"/>
        <v/>
      </c>
      <c r="V77" s="2" t="str">
        <f t="shared" si="90"/>
        <v/>
      </c>
      <c r="W77" s="2" t="str">
        <f t="shared" si="90"/>
        <v/>
      </c>
      <c r="X77" s="2" t="str">
        <f t="shared" si="90"/>
        <v/>
      </c>
      <c r="Y77" s="2" t="str">
        <f t="shared" si="90"/>
        <v/>
      </c>
      <c r="Z77" s="2" t="str">
        <f t="shared" si="90"/>
        <v/>
      </c>
      <c r="AA77" s="2" t="str">
        <f t="shared" si="90"/>
        <v/>
      </c>
      <c r="AB77" s="2" t="str">
        <f t="shared" si="90"/>
        <v/>
      </c>
      <c r="AC77" s="2" t="str">
        <f t="shared" si="90"/>
        <v/>
      </c>
      <c r="AD77" s="2" t="str">
        <f t="shared" si="90"/>
        <v/>
      </c>
      <c r="AE77" s="2" t="str">
        <f t="shared" si="90"/>
        <v/>
      </c>
      <c r="AF77" s="2" t="str">
        <f t="shared" si="90"/>
        <v/>
      </c>
      <c r="AG77" s="2" t="str">
        <f t="shared" si="90"/>
        <v/>
      </c>
      <c r="AH77" s="2" t="str">
        <f t="shared" si="90"/>
        <v/>
      </c>
      <c r="AI77" s="2" t="str">
        <f t="shared" ref="AI77:BE77" si="91">IF(BowlSplit(AI34,WicketsTaken)&gt;=5,AI34,"")</f>
        <v/>
      </c>
      <c r="AJ77" s="2" t="str">
        <f t="shared" si="91"/>
        <v/>
      </c>
      <c r="AK77" s="2" t="str">
        <f t="shared" si="91"/>
        <v/>
      </c>
      <c r="AL77" s="2" t="str">
        <f t="shared" si="91"/>
        <v/>
      </c>
      <c r="AM77" s="2" t="str">
        <f t="shared" si="91"/>
        <v/>
      </c>
      <c r="AN77" s="2" t="str">
        <f t="shared" si="91"/>
        <v/>
      </c>
      <c r="AO77" s="2" t="str">
        <f t="shared" si="91"/>
        <v/>
      </c>
      <c r="AP77" s="2" t="str">
        <f t="shared" si="91"/>
        <v/>
      </c>
      <c r="AQ77" s="2" t="str">
        <f t="shared" si="91"/>
        <v/>
      </c>
      <c r="AR77" s="2" t="str">
        <f t="shared" si="91"/>
        <v/>
      </c>
      <c r="AS77" s="2" t="str">
        <f t="shared" si="91"/>
        <v/>
      </c>
      <c r="AT77" s="2" t="str">
        <f t="shared" si="91"/>
        <v/>
      </c>
      <c r="AU77" s="2" t="str">
        <f t="shared" si="91"/>
        <v/>
      </c>
      <c r="AV77" s="2" t="str">
        <f t="shared" si="91"/>
        <v/>
      </c>
      <c r="AW77" s="2" t="str">
        <f t="shared" si="91"/>
        <v/>
      </c>
      <c r="AX77" s="2" t="str">
        <f t="shared" si="91"/>
        <v/>
      </c>
      <c r="AY77" s="2" t="str">
        <f t="shared" si="91"/>
        <v/>
      </c>
      <c r="AZ77" s="2" t="str">
        <f t="shared" si="91"/>
        <v/>
      </c>
      <c r="BA77" s="2" t="str">
        <f t="shared" si="91"/>
        <v/>
      </c>
      <c r="BB77" s="2" t="str">
        <f t="shared" si="91"/>
        <v/>
      </c>
      <c r="BC77" s="2" t="str">
        <f t="shared" si="91"/>
        <v/>
      </c>
      <c r="BD77" s="2" t="str">
        <f t="shared" si="91"/>
        <v/>
      </c>
      <c r="BE77" s="2" t="str">
        <f t="shared" si="91"/>
        <v/>
      </c>
    </row>
    <row r="78" spans="3:57" x14ac:dyDescent="0.15">
      <c r="C78" s="2" t="str">
        <f t="shared" ref="C78:AH78" si="92">IF(BowlSplit(C35,WicketsTaken)&gt;=5,C35,"")</f>
        <v/>
      </c>
      <c r="D78" s="2" t="str">
        <f t="shared" si="92"/>
        <v/>
      </c>
      <c r="E78" s="2" t="str">
        <f t="shared" si="92"/>
        <v/>
      </c>
      <c r="F78" s="2" t="str">
        <f t="shared" si="92"/>
        <v/>
      </c>
      <c r="G78" s="2" t="str">
        <f t="shared" si="92"/>
        <v/>
      </c>
      <c r="H78" s="2" t="str">
        <f t="shared" si="92"/>
        <v/>
      </c>
      <c r="I78" s="2" t="str">
        <f t="shared" si="92"/>
        <v/>
      </c>
      <c r="J78" s="2" t="str">
        <f t="shared" si="92"/>
        <v/>
      </c>
      <c r="K78" s="2" t="str">
        <f t="shared" si="92"/>
        <v/>
      </c>
      <c r="L78" s="2" t="str">
        <f t="shared" si="92"/>
        <v/>
      </c>
      <c r="M78" s="2" t="str">
        <f t="shared" si="92"/>
        <v/>
      </c>
      <c r="N78" s="2" t="str">
        <f t="shared" si="92"/>
        <v/>
      </c>
      <c r="O78" s="2" t="str">
        <f t="shared" si="92"/>
        <v/>
      </c>
      <c r="P78" s="2" t="str">
        <f t="shared" si="92"/>
        <v/>
      </c>
      <c r="Q78" s="2" t="str">
        <f t="shared" si="92"/>
        <v/>
      </c>
      <c r="R78" s="2" t="str">
        <f t="shared" si="92"/>
        <v/>
      </c>
      <c r="S78" s="2" t="str">
        <f t="shared" si="92"/>
        <v/>
      </c>
      <c r="T78" s="2" t="str">
        <f t="shared" si="92"/>
        <v/>
      </c>
      <c r="U78" s="2" t="str">
        <f t="shared" si="92"/>
        <v/>
      </c>
      <c r="V78" s="2" t="str">
        <f t="shared" si="92"/>
        <v/>
      </c>
      <c r="W78" s="2" t="str">
        <f t="shared" si="92"/>
        <v/>
      </c>
      <c r="X78" s="2" t="str">
        <f t="shared" si="92"/>
        <v/>
      </c>
      <c r="Y78" s="2" t="str">
        <f t="shared" si="92"/>
        <v/>
      </c>
      <c r="Z78" s="2" t="str">
        <f t="shared" si="92"/>
        <v/>
      </c>
      <c r="AA78" s="2" t="str">
        <f t="shared" si="92"/>
        <v/>
      </c>
      <c r="AB78" s="2" t="str">
        <f t="shared" si="92"/>
        <v/>
      </c>
      <c r="AC78" s="2" t="str">
        <f t="shared" si="92"/>
        <v/>
      </c>
      <c r="AD78" s="2" t="str">
        <f t="shared" si="92"/>
        <v/>
      </c>
      <c r="AE78" s="2" t="str">
        <f t="shared" si="92"/>
        <v/>
      </c>
      <c r="AF78" s="2" t="str">
        <f t="shared" si="92"/>
        <v/>
      </c>
      <c r="AG78" s="2" t="str">
        <f t="shared" si="92"/>
        <v/>
      </c>
      <c r="AH78" s="2" t="str">
        <f t="shared" si="92"/>
        <v/>
      </c>
      <c r="AI78" s="2" t="str">
        <f t="shared" ref="AI78:BE78" si="93">IF(BowlSplit(AI35,WicketsTaken)&gt;=5,AI35,"")</f>
        <v/>
      </c>
      <c r="AJ78" s="2" t="str">
        <f t="shared" si="93"/>
        <v/>
      </c>
      <c r="AK78" s="2" t="str">
        <f t="shared" si="93"/>
        <v/>
      </c>
      <c r="AL78" s="2" t="str">
        <f t="shared" si="93"/>
        <v/>
      </c>
      <c r="AM78" s="2" t="str">
        <f t="shared" si="93"/>
        <v/>
      </c>
      <c r="AN78" s="2" t="str">
        <f t="shared" si="93"/>
        <v/>
      </c>
      <c r="AO78" s="2" t="str">
        <f t="shared" si="93"/>
        <v/>
      </c>
      <c r="AP78" s="2" t="str">
        <f t="shared" si="93"/>
        <v/>
      </c>
      <c r="AQ78" s="2" t="str">
        <f t="shared" si="93"/>
        <v/>
      </c>
      <c r="AR78" s="2" t="str">
        <f t="shared" si="93"/>
        <v/>
      </c>
      <c r="AS78" s="2" t="str">
        <f t="shared" si="93"/>
        <v/>
      </c>
      <c r="AT78" s="2" t="str">
        <f t="shared" si="93"/>
        <v/>
      </c>
      <c r="AU78" s="2" t="str">
        <f t="shared" si="93"/>
        <v/>
      </c>
      <c r="AV78" s="2" t="str">
        <f t="shared" si="93"/>
        <v/>
      </c>
      <c r="AW78" s="2" t="str">
        <f t="shared" si="93"/>
        <v/>
      </c>
      <c r="AX78" s="2" t="str">
        <f t="shared" si="93"/>
        <v/>
      </c>
      <c r="AY78" s="2" t="str">
        <f t="shared" si="93"/>
        <v/>
      </c>
      <c r="AZ78" s="2" t="str">
        <f t="shared" si="93"/>
        <v/>
      </c>
      <c r="BA78" s="2" t="str">
        <f t="shared" si="93"/>
        <v/>
      </c>
      <c r="BB78" s="2" t="str">
        <f t="shared" si="93"/>
        <v/>
      </c>
      <c r="BC78" s="2" t="str">
        <f t="shared" si="93"/>
        <v/>
      </c>
      <c r="BD78" s="2" t="str">
        <f t="shared" si="93"/>
        <v/>
      </c>
      <c r="BE78" s="2" t="str">
        <f t="shared" si="93"/>
        <v/>
      </c>
    </row>
    <row r="79" spans="3:57" x14ac:dyDescent="0.15">
      <c r="C79" s="2" t="str">
        <f t="shared" ref="C79:AH79" si="94">IF(BowlSplit(C36,WicketsTaken)&gt;=5,C36,"")</f>
        <v/>
      </c>
      <c r="D79" s="2" t="str">
        <f t="shared" si="94"/>
        <v/>
      </c>
      <c r="E79" s="2" t="str">
        <f t="shared" si="94"/>
        <v/>
      </c>
      <c r="F79" s="2" t="str">
        <f t="shared" si="94"/>
        <v/>
      </c>
      <c r="G79" s="2" t="str">
        <f t="shared" si="94"/>
        <v/>
      </c>
      <c r="H79" s="2" t="str">
        <f t="shared" si="94"/>
        <v/>
      </c>
      <c r="I79" s="2" t="str">
        <f t="shared" si="94"/>
        <v/>
      </c>
      <c r="J79" s="2" t="str">
        <f t="shared" si="94"/>
        <v/>
      </c>
      <c r="K79" s="2" t="str">
        <f t="shared" si="94"/>
        <v/>
      </c>
      <c r="L79" s="2" t="str">
        <f t="shared" si="94"/>
        <v/>
      </c>
      <c r="M79" s="2" t="str">
        <f t="shared" si="94"/>
        <v/>
      </c>
      <c r="N79" s="2" t="str">
        <f t="shared" si="94"/>
        <v/>
      </c>
      <c r="O79" s="2" t="str">
        <f t="shared" si="94"/>
        <v/>
      </c>
      <c r="P79" s="2" t="str">
        <f t="shared" si="94"/>
        <v/>
      </c>
      <c r="Q79" s="2" t="str">
        <f t="shared" si="94"/>
        <v/>
      </c>
      <c r="R79" s="2" t="str">
        <f t="shared" si="94"/>
        <v/>
      </c>
      <c r="S79" s="2" t="str">
        <f t="shared" si="94"/>
        <v/>
      </c>
      <c r="T79" s="2" t="str">
        <f t="shared" si="94"/>
        <v/>
      </c>
      <c r="U79" s="2" t="str">
        <f t="shared" si="94"/>
        <v/>
      </c>
      <c r="V79" s="2" t="str">
        <f t="shared" si="94"/>
        <v/>
      </c>
      <c r="W79" s="2" t="str">
        <f t="shared" si="94"/>
        <v/>
      </c>
      <c r="X79" s="2" t="str">
        <f t="shared" si="94"/>
        <v/>
      </c>
      <c r="Y79" s="2" t="str">
        <f t="shared" si="94"/>
        <v/>
      </c>
      <c r="Z79" s="2" t="str">
        <f t="shared" si="94"/>
        <v/>
      </c>
      <c r="AA79" s="2" t="str">
        <f t="shared" si="94"/>
        <v/>
      </c>
      <c r="AB79" s="2" t="str">
        <f t="shared" si="94"/>
        <v/>
      </c>
      <c r="AC79" s="2" t="str">
        <f t="shared" si="94"/>
        <v/>
      </c>
      <c r="AD79" s="2" t="str">
        <f t="shared" si="94"/>
        <v/>
      </c>
      <c r="AE79" s="2" t="str">
        <f t="shared" si="94"/>
        <v/>
      </c>
      <c r="AF79" s="2" t="str">
        <f t="shared" si="94"/>
        <v/>
      </c>
      <c r="AG79" s="2" t="str">
        <f t="shared" si="94"/>
        <v/>
      </c>
      <c r="AH79" s="2" t="str">
        <f t="shared" si="94"/>
        <v/>
      </c>
      <c r="AI79" s="2" t="str">
        <f t="shared" ref="AI79:BE79" si="95">IF(BowlSplit(AI36,WicketsTaken)&gt;=5,AI36,"")</f>
        <v/>
      </c>
      <c r="AJ79" s="2" t="str">
        <f t="shared" si="95"/>
        <v/>
      </c>
      <c r="AK79" s="2" t="str">
        <f t="shared" si="95"/>
        <v/>
      </c>
      <c r="AL79" s="2" t="str">
        <f t="shared" si="95"/>
        <v/>
      </c>
      <c r="AM79" s="2" t="str">
        <f t="shared" si="95"/>
        <v/>
      </c>
      <c r="AN79" s="2" t="str">
        <f t="shared" si="95"/>
        <v/>
      </c>
      <c r="AO79" s="2" t="str">
        <f t="shared" si="95"/>
        <v/>
      </c>
      <c r="AP79" s="2" t="str">
        <f t="shared" si="95"/>
        <v/>
      </c>
      <c r="AQ79" s="2" t="str">
        <f t="shared" si="95"/>
        <v/>
      </c>
      <c r="AR79" s="2" t="str">
        <f t="shared" si="95"/>
        <v/>
      </c>
      <c r="AS79" s="2" t="str">
        <f t="shared" si="95"/>
        <v/>
      </c>
      <c r="AT79" s="2" t="str">
        <f t="shared" si="95"/>
        <v/>
      </c>
      <c r="AU79" s="2" t="str">
        <f t="shared" si="95"/>
        <v/>
      </c>
      <c r="AV79" s="2" t="str">
        <f t="shared" si="95"/>
        <v/>
      </c>
      <c r="AW79" s="2" t="str">
        <f t="shared" si="95"/>
        <v/>
      </c>
      <c r="AX79" s="2" t="str">
        <f t="shared" si="95"/>
        <v/>
      </c>
      <c r="AY79" s="2" t="str">
        <f t="shared" si="95"/>
        <v/>
      </c>
      <c r="AZ79" s="2" t="str">
        <f t="shared" si="95"/>
        <v/>
      </c>
      <c r="BA79" s="2" t="str">
        <f t="shared" si="95"/>
        <v/>
      </c>
      <c r="BB79" s="2" t="str">
        <f t="shared" si="95"/>
        <v/>
      </c>
      <c r="BC79" s="2" t="str">
        <f t="shared" si="95"/>
        <v/>
      </c>
      <c r="BD79" s="2" t="str">
        <f t="shared" si="95"/>
        <v/>
      </c>
      <c r="BE79" s="2" t="str">
        <f t="shared" si="95"/>
        <v/>
      </c>
    </row>
    <row r="80" spans="3:57" x14ac:dyDescent="0.15">
      <c r="C80" s="2" t="str">
        <f t="shared" ref="C80:AH80" si="96">IF(BowlSplit(C37,WicketsTaken)&gt;=5,C37,"")</f>
        <v/>
      </c>
      <c r="D80" s="2" t="str">
        <f t="shared" si="96"/>
        <v/>
      </c>
      <c r="E80" s="2" t="str">
        <f t="shared" si="96"/>
        <v/>
      </c>
      <c r="F80" s="2" t="str">
        <f t="shared" si="96"/>
        <v/>
      </c>
      <c r="G80" s="2" t="str">
        <f t="shared" si="96"/>
        <v/>
      </c>
      <c r="H80" s="2" t="str">
        <f t="shared" si="96"/>
        <v/>
      </c>
      <c r="I80" s="2" t="str">
        <f t="shared" si="96"/>
        <v/>
      </c>
      <c r="J80" s="2" t="str">
        <f t="shared" si="96"/>
        <v/>
      </c>
      <c r="K80" s="2" t="str">
        <f t="shared" si="96"/>
        <v/>
      </c>
      <c r="L80" s="2" t="str">
        <f t="shared" si="96"/>
        <v/>
      </c>
      <c r="M80" s="2" t="str">
        <f t="shared" si="96"/>
        <v/>
      </c>
      <c r="N80" s="2" t="str">
        <f t="shared" si="96"/>
        <v/>
      </c>
      <c r="O80" s="2" t="str">
        <f t="shared" si="96"/>
        <v/>
      </c>
      <c r="P80" s="2" t="str">
        <f t="shared" si="96"/>
        <v/>
      </c>
      <c r="Q80" s="2" t="str">
        <f t="shared" si="96"/>
        <v/>
      </c>
      <c r="R80" s="2" t="str">
        <f t="shared" si="96"/>
        <v/>
      </c>
      <c r="S80" s="2" t="str">
        <f t="shared" si="96"/>
        <v/>
      </c>
      <c r="T80" s="2" t="str">
        <f t="shared" si="96"/>
        <v/>
      </c>
      <c r="U80" s="2" t="str">
        <f t="shared" si="96"/>
        <v/>
      </c>
      <c r="V80" s="2" t="str">
        <f t="shared" si="96"/>
        <v/>
      </c>
      <c r="W80" s="2" t="str">
        <f t="shared" si="96"/>
        <v/>
      </c>
      <c r="X80" s="2" t="str">
        <f t="shared" si="96"/>
        <v/>
      </c>
      <c r="Y80" s="2" t="str">
        <f t="shared" si="96"/>
        <v/>
      </c>
      <c r="Z80" s="2" t="str">
        <f t="shared" si="96"/>
        <v/>
      </c>
      <c r="AA80" s="2" t="str">
        <f t="shared" si="96"/>
        <v/>
      </c>
      <c r="AB80" s="2" t="str">
        <f t="shared" si="96"/>
        <v/>
      </c>
      <c r="AC80" s="2" t="str">
        <f t="shared" si="96"/>
        <v/>
      </c>
      <c r="AD80" s="2" t="str">
        <f t="shared" si="96"/>
        <v/>
      </c>
      <c r="AE80" s="2" t="str">
        <f t="shared" si="96"/>
        <v/>
      </c>
      <c r="AF80" s="2" t="str">
        <f t="shared" si="96"/>
        <v/>
      </c>
      <c r="AG80" s="2" t="str">
        <f t="shared" si="96"/>
        <v/>
      </c>
      <c r="AH80" s="2" t="str">
        <f t="shared" si="96"/>
        <v/>
      </c>
      <c r="AI80" s="2" t="str">
        <f t="shared" ref="AI80:BE80" si="97">IF(BowlSplit(AI37,WicketsTaken)&gt;=5,AI37,"")</f>
        <v/>
      </c>
      <c r="AJ80" s="2" t="str">
        <f t="shared" si="97"/>
        <v/>
      </c>
      <c r="AK80" s="2" t="str">
        <f t="shared" si="97"/>
        <v/>
      </c>
      <c r="AL80" s="2" t="str">
        <f t="shared" si="97"/>
        <v/>
      </c>
      <c r="AM80" s="2" t="str">
        <f t="shared" si="97"/>
        <v/>
      </c>
      <c r="AN80" s="2" t="str">
        <f t="shared" si="97"/>
        <v/>
      </c>
      <c r="AO80" s="2" t="str">
        <f t="shared" si="97"/>
        <v/>
      </c>
      <c r="AP80" s="2" t="str">
        <f t="shared" si="97"/>
        <v/>
      </c>
      <c r="AQ80" s="2" t="str">
        <f t="shared" si="97"/>
        <v/>
      </c>
      <c r="AR80" s="2" t="str">
        <f t="shared" si="97"/>
        <v/>
      </c>
      <c r="AS80" s="2" t="str">
        <f t="shared" si="97"/>
        <v/>
      </c>
      <c r="AT80" s="2" t="str">
        <f t="shared" si="97"/>
        <v/>
      </c>
      <c r="AU80" s="2" t="str">
        <f t="shared" si="97"/>
        <v/>
      </c>
      <c r="AV80" s="2" t="str">
        <f t="shared" si="97"/>
        <v/>
      </c>
      <c r="AW80" s="2" t="str">
        <f t="shared" si="97"/>
        <v/>
      </c>
      <c r="AX80" s="2" t="str">
        <f t="shared" si="97"/>
        <v/>
      </c>
      <c r="AY80" s="2" t="str">
        <f t="shared" si="97"/>
        <v/>
      </c>
      <c r="AZ80" s="2" t="str">
        <f t="shared" si="97"/>
        <v/>
      </c>
      <c r="BA80" s="2" t="str">
        <f t="shared" si="97"/>
        <v/>
      </c>
      <c r="BB80" s="2" t="str">
        <f t="shared" si="97"/>
        <v/>
      </c>
      <c r="BC80" s="2" t="str">
        <f t="shared" si="97"/>
        <v/>
      </c>
      <c r="BD80" s="2" t="str">
        <f t="shared" si="97"/>
        <v/>
      </c>
      <c r="BE80" s="2" t="str">
        <f t="shared" si="97"/>
        <v/>
      </c>
    </row>
    <row r="81" spans="3:57" x14ac:dyDescent="0.15">
      <c r="C81" s="2" t="str">
        <f t="shared" ref="C81:AH81" si="98">IF(BowlSplit(C38,WicketsTaken)&gt;=5,C38,"")</f>
        <v/>
      </c>
      <c r="D81" s="2" t="str">
        <f t="shared" si="98"/>
        <v/>
      </c>
      <c r="E81" s="2" t="str">
        <f t="shared" si="98"/>
        <v/>
      </c>
      <c r="F81" s="2" t="str">
        <f t="shared" si="98"/>
        <v/>
      </c>
      <c r="G81" s="2" t="str">
        <f t="shared" si="98"/>
        <v/>
      </c>
      <c r="H81" s="2" t="str">
        <f t="shared" si="98"/>
        <v/>
      </c>
      <c r="I81" s="2" t="str">
        <f t="shared" si="98"/>
        <v/>
      </c>
      <c r="J81" s="2" t="str">
        <f t="shared" si="98"/>
        <v/>
      </c>
      <c r="K81" s="2" t="str">
        <f t="shared" si="98"/>
        <v/>
      </c>
      <c r="L81" s="2" t="str">
        <f t="shared" si="98"/>
        <v/>
      </c>
      <c r="M81" s="2" t="str">
        <f t="shared" si="98"/>
        <v/>
      </c>
      <c r="N81" s="2" t="str">
        <f t="shared" si="98"/>
        <v/>
      </c>
      <c r="O81" s="2" t="str">
        <f t="shared" si="98"/>
        <v/>
      </c>
      <c r="P81" s="2" t="str">
        <f t="shared" si="98"/>
        <v/>
      </c>
      <c r="Q81" s="2" t="str">
        <f t="shared" si="98"/>
        <v/>
      </c>
      <c r="R81" s="2" t="str">
        <f t="shared" si="98"/>
        <v/>
      </c>
      <c r="S81" s="2" t="str">
        <f t="shared" si="98"/>
        <v/>
      </c>
      <c r="T81" s="2" t="str">
        <f t="shared" si="98"/>
        <v/>
      </c>
      <c r="U81" s="2" t="str">
        <f t="shared" si="98"/>
        <v/>
      </c>
      <c r="V81" s="2" t="str">
        <f t="shared" si="98"/>
        <v/>
      </c>
      <c r="W81" s="2" t="str">
        <f t="shared" si="98"/>
        <v/>
      </c>
      <c r="X81" s="2" t="str">
        <f t="shared" si="98"/>
        <v/>
      </c>
      <c r="Y81" s="2" t="str">
        <f t="shared" si="98"/>
        <v/>
      </c>
      <c r="Z81" s="2" t="str">
        <f t="shared" si="98"/>
        <v/>
      </c>
      <c r="AA81" s="2" t="str">
        <f t="shared" si="98"/>
        <v/>
      </c>
      <c r="AB81" s="2" t="str">
        <f t="shared" si="98"/>
        <v/>
      </c>
      <c r="AC81" s="2" t="str">
        <f t="shared" si="98"/>
        <v/>
      </c>
      <c r="AD81" s="2" t="str">
        <f t="shared" si="98"/>
        <v/>
      </c>
      <c r="AE81" s="2" t="str">
        <f t="shared" si="98"/>
        <v/>
      </c>
      <c r="AF81" s="2" t="str">
        <f t="shared" si="98"/>
        <v/>
      </c>
      <c r="AG81" s="2" t="str">
        <f t="shared" si="98"/>
        <v/>
      </c>
      <c r="AH81" s="2" t="str">
        <f t="shared" si="98"/>
        <v/>
      </c>
      <c r="AI81" s="2" t="str">
        <f t="shared" ref="AI81:BE81" si="99">IF(BowlSplit(AI38,WicketsTaken)&gt;=5,AI38,"")</f>
        <v/>
      </c>
      <c r="AJ81" s="2" t="str">
        <f t="shared" si="99"/>
        <v/>
      </c>
      <c r="AK81" s="2" t="str">
        <f t="shared" si="99"/>
        <v/>
      </c>
      <c r="AL81" s="2" t="str">
        <f t="shared" si="99"/>
        <v/>
      </c>
      <c r="AM81" s="2" t="str">
        <f t="shared" si="99"/>
        <v/>
      </c>
      <c r="AN81" s="2" t="str">
        <f t="shared" si="99"/>
        <v/>
      </c>
      <c r="AO81" s="2" t="str">
        <f t="shared" si="99"/>
        <v/>
      </c>
      <c r="AP81" s="2" t="str">
        <f t="shared" si="99"/>
        <v/>
      </c>
      <c r="AQ81" s="2" t="str">
        <f t="shared" si="99"/>
        <v/>
      </c>
      <c r="AR81" s="2" t="str">
        <f t="shared" si="99"/>
        <v/>
      </c>
      <c r="AS81" s="2" t="str">
        <f t="shared" si="99"/>
        <v/>
      </c>
      <c r="AT81" s="2" t="str">
        <f t="shared" si="99"/>
        <v/>
      </c>
      <c r="AU81" s="2" t="str">
        <f t="shared" si="99"/>
        <v/>
      </c>
      <c r="AV81" s="2" t="str">
        <f t="shared" si="99"/>
        <v/>
      </c>
      <c r="AW81" s="2" t="str">
        <f t="shared" si="99"/>
        <v/>
      </c>
      <c r="AX81" s="2" t="str">
        <f t="shared" si="99"/>
        <v/>
      </c>
      <c r="AY81" s="2" t="str">
        <f t="shared" si="99"/>
        <v/>
      </c>
      <c r="AZ81" s="2" t="str">
        <f t="shared" si="99"/>
        <v/>
      </c>
      <c r="BA81" s="2" t="str">
        <f t="shared" si="99"/>
        <v/>
      </c>
      <c r="BB81" s="2" t="str">
        <f t="shared" si="99"/>
        <v/>
      </c>
      <c r="BC81" s="2" t="str">
        <f t="shared" si="99"/>
        <v/>
      </c>
      <c r="BD81" s="2" t="str">
        <f t="shared" si="99"/>
        <v/>
      </c>
      <c r="BE81" s="2" t="str">
        <f t="shared" si="99"/>
        <v/>
      </c>
    </row>
  </sheetData>
  <phoneticPr fontId="8" type="noConversion"/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1"/>
  <sheetViews>
    <sheetView workbookViewId="0">
      <selection activeCell="H20" sqref="H20"/>
    </sheetView>
  </sheetViews>
  <sheetFormatPr defaultRowHeight="10.5" x14ac:dyDescent="0.15"/>
  <cols>
    <col min="2" max="2" width="0" hidden="1" customWidth="1"/>
    <col min="3" max="3" width="12.5703125" bestFit="1" customWidth="1"/>
    <col min="4" max="8" width="9.140625" style="93"/>
    <col min="9" max="9" width="9.140625" style="99"/>
  </cols>
  <sheetData>
    <row r="1" spans="1:9" x14ac:dyDescent="0.15">
      <c r="A1" t="s">
        <v>539</v>
      </c>
    </row>
    <row r="2" spans="1:9" x14ac:dyDescent="0.15">
      <c r="C2" t="s">
        <v>140</v>
      </c>
      <c r="D2" s="93" t="s">
        <v>5</v>
      </c>
      <c r="E2" s="93" t="s">
        <v>7</v>
      </c>
      <c r="F2" s="93" t="s">
        <v>8</v>
      </c>
      <c r="G2" s="93" t="s">
        <v>540</v>
      </c>
      <c r="H2" s="93" t="s">
        <v>9</v>
      </c>
      <c r="I2" s="99" t="s">
        <v>10</v>
      </c>
    </row>
    <row r="3" spans="1:9" x14ac:dyDescent="0.15">
      <c r="A3">
        <v>1</v>
      </c>
      <c r="B3">
        <f>MATCH(A3,Batting!$DD$5:$DD$59,0)</f>
        <v>26</v>
      </c>
      <c r="C3" t="str">
        <f ca="1">OFFSET(Batting!$C$4,BatAves!$B3,0)</f>
        <v>Leadley J</v>
      </c>
      <c r="D3" s="93">
        <f ca="1">OFFSET(Batting!$CE$4,BatAves!$B3,0)</f>
        <v>14</v>
      </c>
      <c r="E3" s="93">
        <f ca="1">OFFSET(Batting!$CG$4,BatAves!$B3,0)</f>
        <v>12</v>
      </c>
      <c r="F3" s="93">
        <f ca="1">OFFSET(Batting!$CH$4,BatAves!$B3,0)</f>
        <v>3</v>
      </c>
      <c r="G3" s="93" t="str">
        <f ca="1">OFFSET(Batting!$CJ$4,BatAves!$B3,0)</f>
        <v>112*</v>
      </c>
      <c r="H3" s="93">
        <f ca="1">OFFSET(Batting!$CK$4,BatAves!$B3,0)</f>
        <v>651</v>
      </c>
      <c r="I3" s="97">
        <f ca="1">OFFSET(Batting!$CL$4,BatAves!$B3,0)</f>
        <v>72.333333333333329</v>
      </c>
    </row>
    <row r="4" spans="1:9" x14ac:dyDescent="0.15">
      <c r="A4">
        <v>2</v>
      </c>
      <c r="B4">
        <f>MATCH(A4,Batting!$DD$5:$DD$59,0)</f>
        <v>43</v>
      </c>
      <c r="C4" t="str">
        <f ca="1">OFFSET(Batting!$C$4,BatAves!$B4,0)</f>
        <v>Sharpe D</v>
      </c>
      <c r="D4" s="93">
        <f ca="1">OFFSET(Batting!$CE$4,BatAves!$B4,0)</f>
        <v>17</v>
      </c>
      <c r="E4" s="93">
        <f ca="1">OFFSET(Batting!$CG$4,BatAves!$B4,0)</f>
        <v>15</v>
      </c>
      <c r="F4" s="93">
        <f ca="1">OFFSET(Batting!$CH$4,BatAves!$B4,0)</f>
        <v>2</v>
      </c>
      <c r="G4" s="93">
        <f ca="1">OFFSET(Batting!$CJ$4,BatAves!$B4,0)</f>
        <v>61</v>
      </c>
      <c r="H4" s="93">
        <f ca="1">OFFSET(Batting!$CK$4,BatAves!$B4,0)</f>
        <v>455</v>
      </c>
      <c r="I4" s="97">
        <f ca="1">OFFSET(Batting!$CL$4,BatAves!$B4,0)</f>
        <v>35</v>
      </c>
    </row>
    <row r="5" spans="1:9" x14ac:dyDescent="0.15">
      <c r="A5">
        <v>3</v>
      </c>
      <c r="B5">
        <f>MATCH(A5,Batting!$DD$5:$DD$59,0)</f>
        <v>36</v>
      </c>
      <c r="C5" t="str">
        <f ca="1">OFFSET(Batting!$C$4,BatAves!$B5,0)</f>
        <v>Middleton J</v>
      </c>
      <c r="D5" s="93">
        <f ca="1">OFFSET(Batting!$CE$4,BatAves!$B5,0)</f>
        <v>8</v>
      </c>
      <c r="E5" s="93">
        <f ca="1">OFFSET(Batting!$CG$4,BatAves!$B5,0)</f>
        <v>7</v>
      </c>
      <c r="F5" s="93">
        <f ca="1">OFFSET(Batting!$CH$4,BatAves!$B5,0)</f>
        <v>3</v>
      </c>
      <c r="G5" s="93">
        <f ca="1">OFFSET(Batting!$CJ$4,BatAves!$B5,0)</f>
        <v>96</v>
      </c>
      <c r="H5" s="93">
        <f ca="1">OFFSET(Batting!$CK$4,BatAves!$B5,0)</f>
        <v>128</v>
      </c>
      <c r="I5" s="97">
        <f ca="1">OFFSET(Batting!$CL$4,BatAves!$B5,0)</f>
        <v>32</v>
      </c>
    </row>
    <row r="6" spans="1:9" x14ac:dyDescent="0.15">
      <c r="A6">
        <v>4</v>
      </c>
      <c r="B6">
        <f>MATCH(A6,Batting!$DD$5:$DD$59,0)</f>
        <v>4</v>
      </c>
      <c r="C6" t="str">
        <f ca="1">OFFSET(Batting!$C$4,BatAves!$B6,0)</f>
        <v>Brocks D</v>
      </c>
      <c r="D6" s="93">
        <f ca="1">OFFSET(Batting!$CE$4,BatAves!$B6,0)</f>
        <v>12</v>
      </c>
      <c r="E6" s="93">
        <f ca="1">OFFSET(Batting!$CG$4,BatAves!$B6,0)</f>
        <v>10</v>
      </c>
      <c r="F6" s="93">
        <f ca="1">OFFSET(Batting!$CH$4,BatAves!$B6,0)</f>
        <v>0</v>
      </c>
      <c r="G6" s="93">
        <f ca="1">OFFSET(Batting!$CJ$4,BatAves!$B6,0)</f>
        <v>92</v>
      </c>
      <c r="H6" s="93">
        <f ca="1">OFFSET(Batting!$CK$4,BatAves!$B6,0)</f>
        <v>306</v>
      </c>
      <c r="I6" s="97">
        <f ca="1">OFFSET(Batting!$CL$4,BatAves!$B6,0)</f>
        <v>30.6</v>
      </c>
    </row>
    <row r="7" spans="1:9" x14ac:dyDescent="0.15">
      <c r="A7">
        <v>5</v>
      </c>
      <c r="B7">
        <f>MATCH(A7,Batting!$DD$5:$DD$59,0)</f>
        <v>1</v>
      </c>
      <c r="C7" t="str">
        <f ca="1">OFFSET(Batting!$C$4,BatAves!$B7,0)</f>
        <v>Angell G</v>
      </c>
      <c r="D7" s="93">
        <f ca="1">OFFSET(Batting!$CE$4,BatAves!$B7,0)</f>
        <v>4</v>
      </c>
      <c r="E7" s="93">
        <f ca="1">OFFSET(Batting!$CG$4,BatAves!$B7,0)</f>
        <v>3</v>
      </c>
      <c r="F7" s="93">
        <f ca="1">OFFSET(Batting!$CH$4,BatAves!$B7,0)</f>
        <v>1</v>
      </c>
      <c r="G7" s="93" t="str">
        <f ca="1">OFFSET(Batting!$CJ$4,BatAves!$B7,0)</f>
        <v>28*</v>
      </c>
      <c r="H7" s="93">
        <f ca="1">OFFSET(Batting!$CK$4,BatAves!$B7,0)</f>
        <v>49</v>
      </c>
      <c r="I7" s="97">
        <f ca="1">OFFSET(Batting!$CL$4,BatAves!$B7,0)</f>
        <v>24.5</v>
      </c>
    </row>
    <row r="8" spans="1:9" x14ac:dyDescent="0.15">
      <c r="A8">
        <v>6</v>
      </c>
      <c r="B8">
        <f>MATCH(A8,Batting!$DD$5:$DD$59,0)</f>
        <v>44</v>
      </c>
      <c r="C8" t="str">
        <f ca="1">OFFSET(Batting!$C$4,BatAves!$B8,0)</f>
        <v>Shewan D</v>
      </c>
      <c r="D8" s="93">
        <f ca="1">OFFSET(Batting!$CE$4,BatAves!$B8,0)</f>
        <v>10</v>
      </c>
      <c r="E8" s="93">
        <f ca="1">OFFSET(Batting!$CG$4,BatAves!$B8,0)</f>
        <v>8</v>
      </c>
      <c r="F8" s="93">
        <f ca="1">OFFSET(Batting!$CH$4,BatAves!$B8,0)</f>
        <v>0</v>
      </c>
      <c r="G8" s="93">
        <f ca="1">OFFSET(Batting!$CJ$4,BatAves!$B8,0)</f>
        <v>93</v>
      </c>
      <c r="H8" s="93">
        <f ca="1">OFFSET(Batting!$CK$4,BatAves!$B8,0)</f>
        <v>188</v>
      </c>
      <c r="I8" s="97">
        <f ca="1">OFFSET(Batting!$CL$4,BatAves!$B8,0)</f>
        <v>23.5</v>
      </c>
    </row>
    <row r="9" spans="1:9" x14ac:dyDescent="0.15">
      <c r="A9">
        <v>7</v>
      </c>
      <c r="B9">
        <f>MATCH(A9,Batting!$DD$5:$DD$59,0)</f>
        <v>47</v>
      </c>
      <c r="C9" t="str">
        <f ca="1">OFFSET(Batting!$C$4,BatAves!$B9,0)</f>
        <v>Springer T</v>
      </c>
      <c r="D9" s="93">
        <f ca="1">OFFSET(Batting!$CE$4,BatAves!$B9,0)</f>
        <v>22</v>
      </c>
      <c r="E9" s="93">
        <f ca="1">OFFSET(Batting!$CG$4,BatAves!$B9,0)</f>
        <v>20</v>
      </c>
      <c r="F9" s="93">
        <f ca="1">OFFSET(Batting!$CH$4,BatAves!$B9,0)</f>
        <v>4</v>
      </c>
      <c r="G9" s="93">
        <f ca="1">OFFSET(Batting!$CJ$4,BatAves!$B9,0)</f>
        <v>55</v>
      </c>
      <c r="H9" s="93">
        <f ca="1">OFFSET(Batting!$CK$4,BatAves!$B9,0)</f>
        <v>360</v>
      </c>
      <c r="I9" s="97">
        <f ca="1">OFFSET(Batting!$CL$4,BatAves!$B9,0)</f>
        <v>22.5</v>
      </c>
    </row>
    <row r="10" spans="1:9" x14ac:dyDescent="0.15">
      <c r="A10">
        <v>8</v>
      </c>
      <c r="B10">
        <f>MATCH(A10,Batting!$DD$5:$DD$59,0)</f>
        <v>52</v>
      </c>
      <c r="C10" t="str">
        <f ca="1">OFFSET(Batting!$C$4,BatAves!$B10,0)</f>
        <v>Worthington R</v>
      </c>
      <c r="D10" s="93">
        <f ca="1">OFFSET(Batting!$CE$4,BatAves!$B10,0)</f>
        <v>22</v>
      </c>
      <c r="E10" s="93">
        <f ca="1">OFFSET(Batting!$CG$4,BatAves!$B10,0)</f>
        <v>19</v>
      </c>
      <c r="F10" s="93">
        <f ca="1">OFFSET(Batting!$CH$4,BatAves!$B10,0)</f>
        <v>1</v>
      </c>
      <c r="G10" s="93">
        <f ca="1">OFFSET(Batting!$CJ$4,BatAves!$B10,0)</f>
        <v>63</v>
      </c>
      <c r="H10" s="93">
        <f ca="1">OFFSET(Batting!$CK$4,BatAves!$B10,0)</f>
        <v>378</v>
      </c>
      <c r="I10" s="97">
        <f ca="1">OFFSET(Batting!$CL$4,BatAves!$B10,0)</f>
        <v>21</v>
      </c>
    </row>
    <row r="11" spans="1:9" x14ac:dyDescent="0.15">
      <c r="A11">
        <v>9</v>
      </c>
      <c r="B11">
        <f>MATCH(A11,Batting!$DD$5:$DD$59,0)</f>
        <v>30</v>
      </c>
      <c r="C11" t="str">
        <f ca="1">OFFSET(Batting!$C$4,BatAves!$B11,0)</f>
        <v>Mander A</v>
      </c>
      <c r="D11" s="93">
        <f ca="1">OFFSET(Batting!$CE$4,BatAves!$B11,0)</f>
        <v>17</v>
      </c>
      <c r="E11" s="93">
        <f ca="1">OFFSET(Batting!$CG$4,BatAves!$B11,0)</f>
        <v>14</v>
      </c>
      <c r="F11" s="93">
        <f ca="1">OFFSET(Batting!$CH$4,BatAves!$B11,0)</f>
        <v>2</v>
      </c>
      <c r="G11" s="93">
        <f ca="1">OFFSET(Batting!$CJ$4,BatAves!$B11,0)</f>
        <v>56</v>
      </c>
      <c r="H11" s="93">
        <f ca="1">OFFSET(Batting!$CK$4,BatAves!$B11,0)</f>
        <v>242</v>
      </c>
      <c r="I11" s="97">
        <f ca="1">OFFSET(Batting!$CL$4,BatAves!$B11,0)</f>
        <v>20.166666666666668</v>
      </c>
    </row>
    <row r="12" spans="1:9" x14ac:dyDescent="0.15">
      <c r="A12">
        <v>10</v>
      </c>
      <c r="B12">
        <f>MATCH(A12,Batting!$DD$5:$DD$59,0)</f>
        <v>53</v>
      </c>
      <c r="C12" t="str">
        <f ca="1">OFFSET(Batting!$C$4,BatAves!$B12,0)</f>
        <v>Worthy J</v>
      </c>
      <c r="D12" s="93">
        <f ca="1">OFFSET(Batting!$CE$4,BatAves!$B12,0)</f>
        <v>16</v>
      </c>
      <c r="E12" s="93">
        <f ca="1">OFFSET(Batting!$CG$4,BatAves!$B12,0)</f>
        <v>9</v>
      </c>
      <c r="F12" s="93">
        <f ca="1">OFFSET(Batting!$CH$4,BatAves!$B12,0)</f>
        <v>4</v>
      </c>
      <c r="G12" s="93">
        <f ca="1">OFFSET(Batting!$CJ$4,BatAves!$B12,0)</f>
        <v>41</v>
      </c>
      <c r="H12" s="93">
        <f ca="1">OFFSET(Batting!$CK$4,BatAves!$B12,0)</f>
        <v>92</v>
      </c>
      <c r="I12" s="97">
        <f ca="1">OFFSET(Batting!$CL$4,BatAves!$B12,0)</f>
        <v>18.399999999999999</v>
      </c>
    </row>
    <row r="13" spans="1:9" x14ac:dyDescent="0.15">
      <c r="A13">
        <v>11</v>
      </c>
      <c r="B13">
        <f>MATCH(A13,Batting!$DD$5:$DD$59,0)</f>
        <v>19</v>
      </c>
      <c r="C13" t="str">
        <f ca="1">OFFSET(Batting!$C$4,BatAves!$B13,0)</f>
        <v>Hamilton A</v>
      </c>
      <c r="D13" s="93">
        <f ca="1">OFFSET(Batting!$CE$4,BatAves!$B13,0)</f>
        <v>11</v>
      </c>
      <c r="E13" s="93">
        <f ca="1">OFFSET(Batting!$CG$4,BatAves!$B13,0)</f>
        <v>10</v>
      </c>
      <c r="F13" s="93">
        <f ca="1">OFFSET(Batting!$CH$4,BatAves!$B13,0)</f>
        <v>0</v>
      </c>
      <c r="G13" s="93">
        <f ca="1">OFFSET(Batting!$CJ$4,BatAves!$B13,0)</f>
        <v>49</v>
      </c>
      <c r="H13" s="93">
        <f ca="1">OFFSET(Batting!$CK$4,BatAves!$B13,0)</f>
        <v>168</v>
      </c>
      <c r="I13" s="97">
        <f ca="1">OFFSET(Batting!$CL$4,BatAves!$B13,0)</f>
        <v>16.8</v>
      </c>
    </row>
    <row r="14" spans="1:9" x14ac:dyDescent="0.15">
      <c r="A14">
        <v>12</v>
      </c>
      <c r="B14">
        <f>MATCH(A14,Batting!$DD$5:$DD$59,0)</f>
        <v>9</v>
      </c>
      <c r="C14" t="str">
        <f ca="1">OFFSET(Batting!$C$4,BatAves!$B14,0)</f>
        <v>Clark C</v>
      </c>
      <c r="D14" s="93">
        <f ca="1">OFFSET(Batting!$CE$4,BatAves!$B14,0)</f>
        <v>6</v>
      </c>
      <c r="E14" s="93">
        <f ca="1">OFFSET(Batting!$CG$4,BatAves!$B14,0)</f>
        <v>3</v>
      </c>
      <c r="F14" s="93">
        <f ca="1">OFFSET(Batting!$CH$4,BatAves!$B14,0)</f>
        <v>2</v>
      </c>
      <c r="G14" s="93" t="str">
        <f ca="1">OFFSET(Batting!$CJ$4,BatAves!$B14,0)</f>
        <v>8*</v>
      </c>
      <c r="H14" s="93">
        <f ca="1">OFFSET(Batting!$CK$4,BatAves!$B14,0)</f>
        <v>16</v>
      </c>
      <c r="I14" s="97">
        <f ca="1">OFFSET(Batting!$CL$4,BatAves!$B14,0)</f>
        <v>16</v>
      </c>
    </row>
    <row r="15" spans="1:9" x14ac:dyDescent="0.15">
      <c r="A15">
        <v>13</v>
      </c>
      <c r="B15">
        <f>MATCH(A15,Batting!$DD$5:$DD$59,0)</f>
        <v>15</v>
      </c>
      <c r="C15" t="str">
        <f ca="1">OFFSET(Batting!$C$4,BatAves!$B15,0)</f>
        <v>Dugdale E</v>
      </c>
      <c r="D15" s="93">
        <f ca="1">OFFSET(Batting!$CE$4,BatAves!$B15,0)</f>
        <v>11</v>
      </c>
      <c r="E15" s="93">
        <f ca="1">OFFSET(Batting!$CG$4,BatAves!$B15,0)</f>
        <v>11</v>
      </c>
      <c r="F15" s="93">
        <f ca="1">OFFSET(Batting!$CH$4,BatAves!$B15,0)</f>
        <v>0</v>
      </c>
      <c r="G15" s="93">
        <f ca="1">OFFSET(Batting!$CJ$4,BatAves!$B15,0)</f>
        <v>32</v>
      </c>
      <c r="H15" s="93">
        <f ca="1">OFFSET(Batting!$CK$4,BatAves!$B15,0)</f>
        <v>169</v>
      </c>
      <c r="I15" s="97">
        <f ca="1">OFFSET(Batting!$CL$4,BatAves!$B15,0)</f>
        <v>15.363636363636363</v>
      </c>
    </row>
    <row r="16" spans="1:9" x14ac:dyDescent="0.15">
      <c r="A16">
        <v>14</v>
      </c>
      <c r="B16">
        <f>MATCH(A16,Batting!$DD$5:$DD$59,0)</f>
        <v>32</v>
      </c>
      <c r="C16" t="str">
        <f ca="1">OFFSET(Batting!$C$4,BatAves!$B16,0)</f>
        <v>Mander N</v>
      </c>
      <c r="D16" s="93">
        <f ca="1">OFFSET(Batting!$CE$4,BatAves!$B16,0)</f>
        <v>16</v>
      </c>
      <c r="E16" s="93">
        <f ca="1">OFFSET(Batting!$CG$4,BatAves!$B16,0)</f>
        <v>15</v>
      </c>
      <c r="F16" s="93">
        <f ca="1">OFFSET(Batting!$CH$4,BatAves!$B16,0)</f>
        <v>4</v>
      </c>
      <c r="G16" s="93" t="str">
        <f ca="1">OFFSET(Batting!$CJ$4,BatAves!$B16,0)</f>
        <v>41*</v>
      </c>
      <c r="H16" s="93">
        <f ca="1">OFFSET(Batting!$CK$4,BatAves!$B16,0)</f>
        <v>159</v>
      </c>
      <c r="I16" s="97">
        <f ca="1">OFFSET(Batting!$CL$4,BatAves!$B16,0)</f>
        <v>14.454545454545455</v>
      </c>
    </row>
    <row r="17" spans="1:9" x14ac:dyDescent="0.15">
      <c r="A17">
        <v>15</v>
      </c>
      <c r="B17">
        <f>MATCH(A17,Batting!$DD$5:$DD$59,0)</f>
        <v>41</v>
      </c>
      <c r="C17" t="str">
        <f ca="1">OFFSET(Batting!$C$4,BatAves!$B17,0)</f>
        <v>Porter D</v>
      </c>
      <c r="D17" s="93">
        <f ca="1">OFFSET(Batting!$CE$4,BatAves!$B17,0)</f>
        <v>11</v>
      </c>
      <c r="E17" s="93">
        <f ca="1">OFFSET(Batting!$CG$4,BatAves!$B17,0)</f>
        <v>11</v>
      </c>
      <c r="F17" s="93">
        <f ca="1">OFFSET(Batting!$CH$4,BatAves!$B17,0)</f>
        <v>1</v>
      </c>
      <c r="G17" s="93">
        <f ca="1">OFFSET(Batting!$CJ$4,BatAves!$B17,0)</f>
        <v>49</v>
      </c>
      <c r="H17" s="93">
        <f ca="1">OFFSET(Batting!$CK$4,BatAves!$B17,0)</f>
        <v>135</v>
      </c>
      <c r="I17" s="97">
        <f ca="1">OFFSET(Batting!$CL$4,BatAves!$B17,0)</f>
        <v>13.5</v>
      </c>
    </row>
    <row r="18" spans="1:9" x14ac:dyDescent="0.15">
      <c r="A18">
        <v>16</v>
      </c>
      <c r="B18">
        <f>MATCH(A18,Batting!$DD$5:$DD$59,0)</f>
        <v>55</v>
      </c>
      <c r="C18" t="str">
        <f ca="1">OFFSET(Batting!$C$4,BatAves!$B18,0)</f>
        <v>Young R</v>
      </c>
      <c r="D18" s="93">
        <f ca="1">OFFSET(Batting!$CE$4,BatAves!$B18,0)</f>
        <v>10</v>
      </c>
      <c r="E18" s="93">
        <f ca="1">OFFSET(Batting!$CG$4,BatAves!$B18,0)</f>
        <v>8</v>
      </c>
      <c r="F18" s="93">
        <f ca="1">OFFSET(Batting!$CH$4,BatAves!$B18,0)</f>
        <v>4</v>
      </c>
      <c r="G18" s="93" t="str">
        <f ca="1">OFFSET(Batting!$CJ$4,BatAves!$B18,0)</f>
        <v>14*</v>
      </c>
      <c r="H18" s="93">
        <f ca="1">OFFSET(Batting!$CK$4,BatAves!$B18,0)</f>
        <v>48</v>
      </c>
      <c r="I18" s="97">
        <f ca="1">OFFSET(Batting!$CL$4,BatAves!$B18,0)</f>
        <v>12</v>
      </c>
    </row>
    <row r="19" spans="1:9" x14ac:dyDescent="0.15">
      <c r="A19">
        <v>17</v>
      </c>
      <c r="B19">
        <f>MATCH(A19,Batting!$DD$5:$DD$59,0)</f>
        <v>51</v>
      </c>
      <c r="C19" t="str">
        <f ca="1">OFFSET(Batting!$C$4,BatAves!$B19,0)</f>
        <v>Woodhouse M</v>
      </c>
      <c r="D19" s="93">
        <f ca="1">OFFSET(Batting!$CE$4,BatAves!$B19,0)</f>
        <v>27</v>
      </c>
      <c r="E19" s="93">
        <f ca="1">OFFSET(Batting!$CG$4,BatAves!$B19,0)</f>
        <v>23</v>
      </c>
      <c r="F19" s="93">
        <f ca="1">OFFSET(Batting!$CH$4,BatAves!$B19,0)</f>
        <v>1</v>
      </c>
      <c r="G19" s="93">
        <f ca="1">OFFSET(Batting!$CJ$4,BatAves!$B19,0)</f>
        <v>37</v>
      </c>
      <c r="H19" s="93">
        <f ca="1">OFFSET(Batting!$CK$4,BatAves!$B19,0)</f>
        <v>262</v>
      </c>
      <c r="I19" s="97">
        <f ca="1">OFFSET(Batting!$CL$4,BatAves!$B19,0)</f>
        <v>11.909090909090908</v>
      </c>
    </row>
    <row r="20" spans="1:9" x14ac:dyDescent="0.15">
      <c r="A20">
        <v>18</v>
      </c>
      <c r="B20">
        <f>MATCH(A20,Batting!$DD$5:$DD$59,0)</f>
        <v>54</v>
      </c>
      <c r="C20" t="str">
        <f ca="1">OFFSET(Batting!$C$4,BatAves!$B20,0)</f>
        <v>Worthy R</v>
      </c>
      <c r="D20" s="93">
        <f ca="1">OFFSET(Batting!$CE$4,BatAves!$B20,0)</f>
        <v>10</v>
      </c>
      <c r="E20" s="93">
        <f ca="1">OFFSET(Batting!$CG$4,BatAves!$B20,0)</f>
        <v>7</v>
      </c>
      <c r="F20" s="93">
        <f ca="1">OFFSET(Batting!$CH$4,BatAves!$B20,0)</f>
        <v>1</v>
      </c>
      <c r="G20" s="93" t="str">
        <f ca="1">OFFSET(Batting!$CJ$4,BatAves!$B20,0)</f>
        <v>32*</v>
      </c>
      <c r="H20" s="93">
        <f ca="1">OFFSET(Batting!$CK$4,BatAves!$B20,0)</f>
        <v>68</v>
      </c>
      <c r="I20" s="97">
        <f ca="1">OFFSET(Batting!$CL$4,BatAves!$B20,0)</f>
        <v>11.333333333333334</v>
      </c>
    </row>
    <row r="21" spans="1:9" x14ac:dyDescent="0.15">
      <c r="A21">
        <v>19</v>
      </c>
      <c r="B21">
        <f>MATCH(A21,Batting!$DD$5:$DD$59,0)</f>
        <v>42</v>
      </c>
      <c r="C21" t="str">
        <f ca="1">OFFSET(Batting!$C$4,BatAves!$B21,0)</f>
        <v>Reid V</v>
      </c>
      <c r="D21" s="93">
        <f ca="1">OFFSET(Batting!$CE$4,BatAves!$B21,0)</f>
        <v>17</v>
      </c>
      <c r="E21" s="93">
        <f ca="1">OFFSET(Batting!$CG$4,BatAves!$B21,0)</f>
        <v>15</v>
      </c>
      <c r="F21" s="93">
        <f ca="1">OFFSET(Batting!$CH$4,BatAves!$B21,0)</f>
        <v>1</v>
      </c>
      <c r="G21" s="93" t="str">
        <f ca="1">OFFSET(Batting!$CJ$4,BatAves!$B21,0)</f>
        <v>62*</v>
      </c>
      <c r="H21" s="93">
        <f ca="1">OFFSET(Batting!$CK$4,BatAves!$B21,0)</f>
        <v>158</v>
      </c>
      <c r="I21" s="97">
        <f ca="1">OFFSET(Batting!$CL$4,BatAves!$B21,0)</f>
        <v>11.285714285714286</v>
      </c>
    </row>
    <row r="22" spans="1:9" x14ac:dyDescent="0.15">
      <c r="A22">
        <v>20</v>
      </c>
      <c r="B22">
        <f>MATCH(A22,Batting!$DD$5:$DD$59,0)</f>
        <v>27</v>
      </c>
      <c r="C22" t="str">
        <f ca="1">OFFSET(Batting!$C$4,BatAves!$B22,0)</f>
        <v>Lestrelle J</v>
      </c>
      <c r="D22" s="93">
        <f ca="1">OFFSET(Batting!$CE$4,BatAves!$B22,0)</f>
        <v>24</v>
      </c>
      <c r="E22" s="93">
        <f ca="1">OFFSET(Batting!$CG$4,BatAves!$B22,0)</f>
        <v>18</v>
      </c>
      <c r="F22" s="93">
        <f ca="1">OFFSET(Batting!$CH$4,BatAves!$B22,0)</f>
        <v>5</v>
      </c>
      <c r="G22" s="93">
        <f ca="1">OFFSET(Batting!$CJ$4,BatAves!$B22,0)</f>
        <v>29</v>
      </c>
      <c r="H22" s="93">
        <f ca="1">OFFSET(Batting!$CK$4,BatAves!$B22,0)</f>
        <v>143</v>
      </c>
      <c r="I22" s="97">
        <f ca="1">OFFSET(Batting!$CL$4,BatAves!$B22,0)</f>
        <v>11</v>
      </c>
    </row>
    <row r="23" spans="1:9" x14ac:dyDescent="0.15">
      <c r="A23">
        <v>21</v>
      </c>
      <c r="B23">
        <f>MATCH(A23,Batting!$DD$5:$DD$59,0)</f>
        <v>13</v>
      </c>
      <c r="C23" t="str">
        <f ca="1">OFFSET(Batting!$C$4,BatAves!$B23,0)</f>
        <v>Cooper G</v>
      </c>
      <c r="D23" s="93">
        <f ca="1">OFFSET(Batting!$CE$4,BatAves!$B23,0)</f>
        <v>17</v>
      </c>
      <c r="E23" s="93">
        <f ca="1">OFFSET(Batting!$CG$4,BatAves!$B23,0)</f>
        <v>13</v>
      </c>
      <c r="F23" s="93">
        <f ca="1">OFFSET(Batting!$CH$4,BatAves!$B23,0)</f>
        <v>2</v>
      </c>
      <c r="G23" s="93">
        <f ca="1">OFFSET(Batting!$CJ$4,BatAves!$B23,0)</f>
        <v>41</v>
      </c>
      <c r="H23" s="93">
        <f ca="1">OFFSET(Batting!$CK$4,BatAves!$B23,0)</f>
        <v>121</v>
      </c>
      <c r="I23" s="97">
        <f ca="1">OFFSET(Batting!$CL$4,BatAves!$B23,0)</f>
        <v>11</v>
      </c>
    </row>
    <row r="24" spans="1:9" x14ac:dyDescent="0.15">
      <c r="A24">
        <v>22</v>
      </c>
      <c r="B24">
        <f>MATCH(A24,Batting!$DD$5:$DD$59,0)</f>
        <v>24</v>
      </c>
      <c r="C24" t="str">
        <f ca="1">OFFSET(Batting!$C$4,BatAves!$B24,0)</f>
        <v>Hosking M</v>
      </c>
      <c r="D24" s="93">
        <f ca="1">OFFSET(Batting!$CE$4,BatAves!$B24,0)</f>
        <v>9</v>
      </c>
      <c r="E24" s="93">
        <f ca="1">OFFSET(Batting!$CG$4,BatAves!$B24,0)</f>
        <v>6</v>
      </c>
      <c r="F24" s="93">
        <f ca="1">OFFSET(Batting!$CH$4,BatAves!$B24,0)</f>
        <v>0</v>
      </c>
      <c r="G24" s="93">
        <f ca="1">OFFSET(Batting!$CJ$4,BatAves!$B24,0)</f>
        <v>20</v>
      </c>
      <c r="H24" s="93">
        <f ca="1">OFFSET(Batting!$CK$4,BatAves!$B24,0)</f>
        <v>64</v>
      </c>
      <c r="I24" s="97">
        <f ca="1">OFFSET(Batting!$CL$4,BatAves!$B24,0)</f>
        <v>10.666666666666666</v>
      </c>
    </row>
    <row r="25" spans="1:9" x14ac:dyDescent="0.15">
      <c r="A25">
        <v>23</v>
      </c>
      <c r="B25">
        <f>MATCH(A25,Batting!$DD$5:$DD$59,0)</f>
        <v>46</v>
      </c>
      <c r="C25" t="str">
        <f ca="1">OFFSET(Batting!$C$4,BatAves!$B25,0)</f>
        <v>Snow D</v>
      </c>
      <c r="D25" s="93">
        <f ca="1">OFFSET(Batting!$CE$4,BatAves!$B25,0)</f>
        <v>15</v>
      </c>
      <c r="E25" s="93">
        <f ca="1">OFFSET(Batting!$CG$4,BatAves!$B25,0)</f>
        <v>15</v>
      </c>
      <c r="F25" s="93">
        <f ca="1">OFFSET(Batting!$CH$4,BatAves!$B25,0)</f>
        <v>1</v>
      </c>
      <c r="G25" s="93">
        <f ca="1">OFFSET(Batting!$CJ$4,BatAves!$B25,0)</f>
        <v>41</v>
      </c>
      <c r="H25" s="93">
        <f ca="1">OFFSET(Batting!$CK$4,BatAves!$B25,0)</f>
        <v>145</v>
      </c>
      <c r="I25" s="97">
        <f ca="1">OFFSET(Batting!$CL$4,BatAves!$B25,0)</f>
        <v>10.357142857142858</v>
      </c>
    </row>
    <row r="26" spans="1:9" x14ac:dyDescent="0.15">
      <c r="A26">
        <v>24</v>
      </c>
      <c r="B26">
        <f>MATCH(A26,Batting!$DD$5:$DD$59,0)</f>
        <v>18</v>
      </c>
      <c r="C26" t="str">
        <f ca="1">OFFSET(Batting!$C$4,BatAves!$B26,0)</f>
        <v>Greenwood H</v>
      </c>
      <c r="D26" s="93">
        <f ca="1">OFFSET(Batting!$CE$4,BatAves!$B26,0)</f>
        <v>1</v>
      </c>
      <c r="E26" s="93">
        <f ca="1">OFFSET(Batting!$CG$4,BatAves!$B26,0)</f>
        <v>1</v>
      </c>
      <c r="F26" s="93">
        <f ca="1">OFFSET(Batting!$CH$4,BatAves!$B26,0)</f>
        <v>0</v>
      </c>
      <c r="G26" s="93">
        <f ca="1">OFFSET(Batting!$CJ$4,BatAves!$B26,0)</f>
        <v>9</v>
      </c>
      <c r="H26" s="93">
        <f ca="1">OFFSET(Batting!$CK$4,BatAves!$B26,0)</f>
        <v>9</v>
      </c>
      <c r="I26" s="97">
        <f ca="1">OFFSET(Batting!$CL$4,BatAves!$B26,0)</f>
        <v>9</v>
      </c>
    </row>
    <row r="27" spans="1:9" x14ac:dyDescent="0.15">
      <c r="A27">
        <v>25</v>
      </c>
      <c r="B27">
        <f>MATCH(A27,Batting!$DD$5:$DD$59,0)</f>
        <v>7</v>
      </c>
      <c r="C27" t="str">
        <f ca="1">OFFSET(Batting!$C$4,BatAves!$B27,0)</f>
        <v>Chick G</v>
      </c>
      <c r="D27" s="93">
        <f ca="1">OFFSET(Batting!$CE$4,BatAves!$B27,0)</f>
        <v>1</v>
      </c>
      <c r="E27" s="93">
        <f ca="1">OFFSET(Batting!$CG$4,BatAves!$B27,0)</f>
        <v>1</v>
      </c>
      <c r="F27" s="93">
        <f ca="1">OFFSET(Batting!$CH$4,BatAves!$B27,0)</f>
        <v>0</v>
      </c>
      <c r="G27" s="93">
        <f ca="1">OFFSET(Batting!$CJ$4,BatAves!$B27,0)</f>
        <v>9</v>
      </c>
      <c r="H27" s="93">
        <f ca="1">OFFSET(Batting!$CK$4,BatAves!$B27,0)</f>
        <v>9</v>
      </c>
      <c r="I27" s="97">
        <f ca="1">OFFSET(Batting!$CL$4,BatAves!$B27,0)</f>
        <v>9</v>
      </c>
    </row>
    <row r="28" spans="1:9" x14ac:dyDescent="0.15">
      <c r="A28">
        <v>26</v>
      </c>
      <c r="B28">
        <f>MATCH(A28,Batting!$DD$5:$DD$59,0)</f>
        <v>40</v>
      </c>
      <c r="C28" t="str">
        <f ca="1">OFFSET(Batting!$C$4,BatAves!$B28,0)</f>
        <v>Patel N</v>
      </c>
      <c r="D28" s="93">
        <f ca="1">OFFSET(Batting!$CE$4,BatAves!$B28,0)</f>
        <v>12</v>
      </c>
      <c r="E28" s="93">
        <f ca="1">OFFSET(Batting!$CG$4,BatAves!$B28,0)</f>
        <v>12</v>
      </c>
      <c r="F28" s="93">
        <f ca="1">OFFSET(Batting!$CH$4,BatAves!$B28,0)</f>
        <v>1</v>
      </c>
      <c r="G28" s="93">
        <f ca="1">OFFSET(Batting!$CJ$4,BatAves!$B28,0)</f>
        <v>19</v>
      </c>
      <c r="H28" s="93">
        <f ca="1">OFFSET(Batting!$CK$4,BatAves!$B28,0)</f>
        <v>96</v>
      </c>
      <c r="I28" s="97">
        <f ca="1">OFFSET(Batting!$CL$4,BatAves!$B28,0)</f>
        <v>8.7272727272727266</v>
      </c>
    </row>
    <row r="29" spans="1:9" x14ac:dyDescent="0.15">
      <c r="A29">
        <v>27</v>
      </c>
      <c r="B29">
        <f>MATCH(A29,Batting!$DD$5:$DD$59,0)</f>
        <v>21</v>
      </c>
      <c r="C29" t="str">
        <f ca="1">OFFSET(Batting!$C$4,BatAves!$B29,0)</f>
        <v>Hawksworth A</v>
      </c>
      <c r="D29" s="93">
        <f ca="1">OFFSET(Batting!$CE$4,BatAves!$B29,0)</f>
        <v>2</v>
      </c>
      <c r="E29" s="93">
        <f ca="1">OFFSET(Batting!$CG$4,BatAves!$B29,0)</f>
        <v>2</v>
      </c>
      <c r="F29" s="93">
        <f ca="1">OFFSET(Batting!$CH$4,BatAves!$B29,0)</f>
        <v>0</v>
      </c>
      <c r="G29" s="93">
        <f ca="1">OFFSET(Batting!$CJ$4,BatAves!$B29,0)</f>
        <v>12</v>
      </c>
      <c r="H29" s="93">
        <f ca="1">OFFSET(Batting!$CK$4,BatAves!$B29,0)</f>
        <v>17</v>
      </c>
      <c r="I29" s="97">
        <f ca="1">OFFSET(Batting!$CL$4,BatAves!$B29,0)</f>
        <v>8.5</v>
      </c>
    </row>
    <row r="30" spans="1:9" x14ac:dyDescent="0.15">
      <c r="A30">
        <v>28</v>
      </c>
      <c r="B30">
        <f>MATCH(A30,Batting!$DD$5:$DD$59,0)</f>
        <v>16</v>
      </c>
      <c r="C30" t="str">
        <f ca="1">OFFSET(Batting!$C$4,BatAves!$B30,0)</f>
        <v>Elliston J</v>
      </c>
      <c r="D30" s="93">
        <f ca="1">OFFSET(Batting!$CE$4,BatAves!$B30,0)</f>
        <v>17</v>
      </c>
      <c r="E30" s="93">
        <f ca="1">OFFSET(Batting!$CG$4,BatAves!$B30,0)</f>
        <v>12</v>
      </c>
      <c r="F30" s="93">
        <f ca="1">OFFSET(Batting!$CH$4,BatAves!$B30,0)</f>
        <v>5</v>
      </c>
      <c r="G30" s="93">
        <f ca="1">OFFSET(Batting!$CJ$4,BatAves!$B30,0)</f>
        <v>11</v>
      </c>
      <c r="H30" s="93">
        <f ca="1">OFFSET(Batting!$CK$4,BatAves!$B30,0)</f>
        <v>56</v>
      </c>
      <c r="I30" s="97">
        <f ca="1">OFFSET(Batting!$CL$4,BatAves!$B30,0)</f>
        <v>8</v>
      </c>
    </row>
    <row r="31" spans="1:9" x14ac:dyDescent="0.15">
      <c r="A31">
        <v>29</v>
      </c>
      <c r="B31">
        <f>MATCH(A31,Batting!$DD$5:$DD$59,0)</f>
        <v>37</v>
      </c>
      <c r="C31" t="str">
        <f ca="1">OFFSET(Batting!$C$4,BatAves!$B31,0)</f>
        <v>Morris D</v>
      </c>
      <c r="D31" s="93">
        <f ca="1">OFFSET(Batting!$CE$4,BatAves!$B31,0)</f>
        <v>23</v>
      </c>
      <c r="E31" s="93">
        <f ca="1">OFFSET(Batting!$CG$4,BatAves!$B31,0)</f>
        <v>15</v>
      </c>
      <c r="F31" s="93">
        <f ca="1">OFFSET(Batting!$CH$4,BatAves!$B31,0)</f>
        <v>4</v>
      </c>
      <c r="G31" s="93">
        <f ca="1">OFFSET(Batting!$CJ$4,BatAves!$B31,0)</f>
        <v>19</v>
      </c>
      <c r="H31" s="93">
        <f ca="1">OFFSET(Batting!$CK$4,BatAves!$B31,0)</f>
        <v>81</v>
      </c>
      <c r="I31" s="97">
        <f ca="1">OFFSET(Batting!$CL$4,BatAves!$B31,0)</f>
        <v>7.3636363636363633</v>
      </c>
    </row>
    <row r="32" spans="1:9" x14ac:dyDescent="0.15">
      <c r="A32">
        <v>30</v>
      </c>
      <c r="B32">
        <f>MATCH(A32,Batting!$DD$5:$DD$59,0)</f>
        <v>31</v>
      </c>
      <c r="C32" t="str">
        <f ca="1">OFFSET(Batting!$C$4,BatAves!$B32,0)</f>
        <v>Mander C</v>
      </c>
      <c r="D32" s="93">
        <f ca="1">OFFSET(Batting!$CE$4,BatAves!$B32,0)</f>
        <v>15</v>
      </c>
      <c r="E32" s="93">
        <f ca="1">OFFSET(Batting!$CG$4,BatAves!$B32,0)</f>
        <v>14</v>
      </c>
      <c r="F32" s="93">
        <f ca="1">OFFSET(Batting!$CH$4,BatAves!$B32,0)</f>
        <v>3</v>
      </c>
      <c r="G32" s="93">
        <f ca="1">OFFSET(Batting!$CJ$4,BatAves!$B32,0)</f>
        <v>22</v>
      </c>
      <c r="H32" s="93">
        <f ca="1">OFFSET(Batting!$CK$4,BatAves!$B32,0)</f>
        <v>69</v>
      </c>
      <c r="I32" s="97">
        <f ca="1">OFFSET(Batting!$CL$4,BatAves!$B32,0)</f>
        <v>6.2727272727272725</v>
      </c>
    </row>
    <row r="33" spans="1:9" x14ac:dyDescent="0.15">
      <c r="A33">
        <v>31</v>
      </c>
      <c r="B33">
        <f>MATCH(A33,Batting!$DD$5:$DD$59,0)</f>
        <v>34</v>
      </c>
      <c r="C33" t="str">
        <f ca="1">OFFSET(Batting!$C$4,BatAves!$B33,0)</f>
        <v xml:space="preserve">McGetrick </v>
      </c>
      <c r="D33" s="93">
        <f ca="1">OFFSET(Batting!$CE$4,BatAves!$B33,0)</f>
        <v>1</v>
      </c>
      <c r="E33" s="93">
        <f ca="1">OFFSET(Batting!$CG$4,BatAves!$B33,0)</f>
        <v>1</v>
      </c>
      <c r="F33" s="93">
        <f ca="1">OFFSET(Batting!$CH$4,BatAves!$B33,0)</f>
        <v>0</v>
      </c>
      <c r="G33" s="93">
        <f ca="1">OFFSET(Batting!$CJ$4,BatAves!$B33,0)</f>
        <v>5</v>
      </c>
      <c r="H33" s="93">
        <f ca="1">OFFSET(Batting!$CK$4,BatAves!$B33,0)</f>
        <v>5</v>
      </c>
      <c r="I33" s="97">
        <f ca="1">OFFSET(Batting!$CL$4,BatAves!$B33,0)</f>
        <v>5</v>
      </c>
    </row>
    <row r="34" spans="1:9" x14ac:dyDescent="0.15">
      <c r="A34">
        <v>32</v>
      </c>
      <c r="B34">
        <f>MATCH(A34,Batting!$DD$5:$DD$59,0)</f>
        <v>39</v>
      </c>
      <c r="C34" t="str">
        <f ca="1">OFFSET(Batting!$C$4,BatAves!$B34,0)</f>
        <v>Oakes P</v>
      </c>
      <c r="D34" s="93">
        <f ca="1">OFFSET(Batting!$CE$4,BatAves!$B34,0)</f>
        <v>21</v>
      </c>
      <c r="E34" s="93">
        <f ca="1">OFFSET(Batting!$CG$4,BatAves!$B34,0)</f>
        <v>18</v>
      </c>
      <c r="F34" s="93">
        <f ca="1">OFFSET(Batting!$CH$4,BatAves!$B34,0)</f>
        <v>1</v>
      </c>
      <c r="G34" s="93">
        <f ca="1">OFFSET(Batting!$CJ$4,BatAves!$B34,0)</f>
        <v>27</v>
      </c>
      <c r="H34" s="93">
        <f ca="1">OFFSET(Batting!$CK$4,BatAves!$B34,0)</f>
        <v>83</v>
      </c>
      <c r="I34" s="97">
        <f ca="1">OFFSET(Batting!$CL$4,BatAves!$B34,0)</f>
        <v>4.882352941176471</v>
      </c>
    </row>
    <row r="35" spans="1:9" x14ac:dyDescent="0.15">
      <c r="A35">
        <v>33</v>
      </c>
      <c r="B35">
        <f>MATCH(A35,Batting!$DD$5:$DD$59,0)</f>
        <v>49</v>
      </c>
      <c r="C35" t="str">
        <f ca="1">OFFSET(Batting!$C$4,BatAves!$B35,0)</f>
        <v>Thomas C</v>
      </c>
      <c r="D35" s="93">
        <f ca="1">OFFSET(Batting!$CE$4,BatAves!$B35,0)</f>
        <v>16</v>
      </c>
      <c r="E35" s="93">
        <f ca="1">OFFSET(Batting!$CG$4,BatAves!$B35,0)</f>
        <v>9</v>
      </c>
      <c r="F35" s="93">
        <f ca="1">OFFSET(Batting!$CH$4,BatAves!$B35,0)</f>
        <v>4</v>
      </c>
      <c r="G35" s="93" t="str">
        <f ca="1">OFFSET(Batting!$CJ$4,BatAves!$B35,0)</f>
        <v>11*</v>
      </c>
      <c r="H35" s="93">
        <f ca="1">OFFSET(Batting!$CK$4,BatAves!$B35,0)</f>
        <v>23</v>
      </c>
      <c r="I35" s="97">
        <f ca="1">OFFSET(Batting!$CL$4,BatAves!$B35,0)</f>
        <v>4.5999999999999996</v>
      </c>
    </row>
    <row r="36" spans="1:9" x14ac:dyDescent="0.15">
      <c r="A36">
        <v>34</v>
      </c>
      <c r="B36">
        <f>MATCH(A36,Batting!$DD$5:$DD$59,0)</f>
        <v>28</v>
      </c>
      <c r="C36" t="str">
        <f ca="1">OFFSET(Batting!$C$4,BatAves!$B36,0)</f>
        <v>Ligory K</v>
      </c>
      <c r="D36" s="93">
        <f ca="1">OFFSET(Batting!$CE$4,BatAves!$B36,0)</f>
        <v>8</v>
      </c>
      <c r="E36" s="93">
        <f ca="1">OFFSET(Batting!$CG$4,BatAves!$B36,0)</f>
        <v>5</v>
      </c>
      <c r="F36" s="93">
        <f ca="1">OFFSET(Batting!$CH$4,BatAves!$B36,0)</f>
        <v>2</v>
      </c>
      <c r="G36" s="93">
        <f ca="1">OFFSET(Batting!$CJ$4,BatAves!$B36,0)</f>
        <v>9</v>
      </c>
      <c r="H36" s="93">
        <f ca="1">OFFSET(Batting!$CK$4,BatAves!$B36,0)</f>
        <v>12</v>
      </c>
      <c r="I36" s="97">
        <f ca="1">OFFSET(Batting!$CL$4,BatAves!$B36,0)</f>
        <v>4</v>
      </c>
    </row>
    <row r="37" spans="1:9" x14ac:dyDescent="0.15">
      <c r="A37">
        <v>35</v>
      </c>
      <c r="B37">
        <f>MATCH(A37,Batting!$DD$5:$DD$59,0)</f>
        <v>3</v>
      </c>
      <c r="C37" t="str">
        <f ca="1">OFFSET(Batting!$C$4,BatAves!$B37,0)</f>
        <v>Bowers M</v>
      </c>
      <c r="D37" s="93">
        <f ca="1">OFFSET(Batting!$CE$4,BatAves!$B37,0)</f>
        <v>5</v>
      </c>
      <c r="E37" s="93">
        <f ca="1">OFFSET(Batting!$CG$4,BatAves!$B37,0)</f>
        <v>4</v>
      </c>
      <c r="F37" s="93">
        <f ca="1">OFFSET(Batting!$CH$4,BatAves!$B37,0)</f>
        <v>0</v>
      </c>
      <c r="G37" s="93">
        <f ca="1">OFFSET(Batting!$CJ$4,BatAves!$B37,0)</f>
        <v>7</v>
      </c>
      <c r="H37" s="93">
        <f ca="1">OFFSET(Batting!$CK$4,BatAves!$B37,0)</f>
        <v>16</v>
      </c>
      <c r="I37" s="97">
        <f ca="1">OFFSET(Batting!$CL$4,BatAves!$B37,0)</f>
        <v>4</v>
      </c>
    </row>
    <row r="38" spans="1:9" x14ac:dyDescent="0.15">
      <c r="A38">
        <v>36</v>
      </c>
      <c r="B38">
        <f>MATCH(A38,Batting!$DD$5:$DD$59,0)</f>
        <v>23</v>
      </c>
      <c r="C38" t="str">
        <f ca="1">OFFSET(Batting!$C$4,BatAves!$B38,0)</f>
        <v>Hickey L</v>
      </c>
      <c r="D38" s="93">
        <f ca="1">OFFSET(Batting!$CE$4,BatAves!$B38,0)</f>
        <v>15</v>
      </c>
      <c r="E38" s="93">
        <f ca="1">OFFSET(Batting!$CG$4,BatAves!$B38,0)</f>
        <v>10</v>
      </c>
      <c r="F38" s="93">
        <f ca="1">OFFSET(Batting!$CH$4,BatAves!$B38,0)</f>
        <v>4</v>
      </c>
      <c r="G38" s="93" t="str">
        <f ca="1">OFFSET(Batting!$CJ$4,BatAves!$B38,0)</f>
        <v>14*</v>
      </c>
      <c r="H38" s="93">
        <f ca="1">OFFSET(Batting!$CK$4,BatAves!$B38,0)</f>
        <v>23</v>
      </c>
      <c r="I38" s="97">
        <f ca="1">OFFSET(Batting!$CL$4,BatAves!$B38,0)</f>
        <v>3.8333333333333335</v>
      </c>
    </row>
    <row r="39" spans="1:9" x14ac:dyDescent="0.15">
      <c r="A39">
        <v>37</v>
      </c>
      <c r="B39">
        <f>MATCH(A39,Batting!$DD$5:$DD$59,0)</f>
        <v>11</v>
      </c>
      <c r="C39" t="str">
        <f ca="1">OFFSET(Batting!$C$4,BatAves!$B39,0)</f>
        <v>Coloe A</v>
      </c>
      <c r="D39" s="93">
        <f ca="1">OFFSET(Batting!$CE$4,BatAves!$B39,0)</f>
        <v>5</v>
      </c>
      <c r="E39" s="93">
        <f ca="1">OFFSET(Batting!$CG$4,BatAves!$B39,0)</f>
        <v>4</v>
      </c>
      <c r="F39" s="93">
        <f ca="1">OFFSET(Batting!$CH$4,BatAves!$B39,0)</f>
        <v>0</v>
      </c>
      <c r="G39" s="93">
        <f ca="1">OFFSET(Batting!$CJ$4,BatAves!$B39,0)</f>
        <v>9</v>
      </c>
      <c r="H39" s="93">
        <f ca="1">OFFSET(Batting!$CK$4,BatAves!$B39,0)</f>
        <v>13</v>
      </c>
      <c r="I39" s="97">
        <f ca="1">OFFSET(Batting!$CL$4,BatAves!$B39,0)</f>
        <v>3.25</v>
      </c>
    </row>
    <row r="40" spans="1:9" x14ac:dyDescent="0.15">
      <c r="A40">
        <v>38</v>
      </c>
      <c r="B40">
        <f>MATCH(A40,Batting!$DD$5:$DD$59,0)</f>
        <v>50</v>
      </c>
      <c r="C40" t="str">
        <f ca="1">OFFSET(Batting!$C$4,BatAves!$B40,0)</f>
        <v>Thomas N</v>
      </c>
      <c r="D40" s="93">
        <f ca="1">OFFSET(Batting!$CE$4,BatAves!$B40,0)</f>
        <v>2</v>
      </c>
      <c r="E40" s="93">
        <f ca="1">OFFSET(Batting!$CG$4,BatAves!$B40,0)</f>
        <v>2</v>
      </c>
      <c r="F40" s="93">
        <f ca="1">OFFSET(Batting!$CH$4,BatAves!$B40,0)</f>
        <v>0</v>
      </c>
      <c r="G40" s="93">
        <f ca="1">OFFSET(Batting!$CJ$4,BatAves!$B40,0)</f>
        <v>5</v>
      </c>
      <c r="H40" s="93">
        <f ca="1">OFFSET(Batting!$CK$4,BatAves!$B40,0)</f>
        <v>5</v>
      </c>
      <c r="I40" s="97">
        <f ca="1">OFFSET(Batting!$CL$4,BatAves!$B40,0)</f>
        <v>2.5</v>
      </c>
    </row>
    <row r="41" spans="1:9" x14ac:dyDescent="0.15">
      <c r="A41">
        <v>39</v>
      </c>
      <c r="B41">
        <f>MATCH(A41,Batting!$DD$5:$DD$59,0)</f>
        <v>38</v>
      </c>
      <c r="C41" t="str">
        <f ca="1">OFFSET(Batting!$C$4,BatAves!$B41,0)</f>
        <v>O'Connor J</v>
      </c>
      <c r="D41" s="93">
        <f ca="1">OFFSET(Batting!$CE$4,BatAves!$B41,0)</f>
        <v>1</v>
      </c>
      <c r="E41" s="93">
        <f ca="1">OFFSET(Batting!$CG$4,BatAves!$B41,0)</f>
        <v>1</v>
      </c>
      <c r="F41" s="93">
        <f ca="1">OFFSET(Batting!$CH$4,BatAves!$B41,0)</f>
        <v>0</v>
      </c>
      <c r="G41" s="93">
        <f ca="1">OFFSET(Batting!$CJ$4,BatAves!$B41,0)</f>
        <v>2</v>
      </c>
      <c r="H41" s="93">
        <f ca="1">OFFSET(Batting!$CK$4,BatAves!$B41,0)</f>
        <v>2</v>
      </c>
      <c r="I41" s="97">
        <f ca="1">OFFSET(Batting!$CL$4,BatAves!$B41,0)</f>
        <v>2</v>
      </c>
    </row>
    <row r="42" spans="1:9" x14ac:dyDescent="0.15">
      <c r="A42">
        <v>40</v>
      </c>
      <c r="B42">
        <f>MATCH(A42,Batting!$DD$5:$DD$59,0)</f>
        <v>29</v>
      </c>
      <c r="C42" t="str">
        <f ca="1">OFFSET(Batting!$C$4,BatAves!$B42,0)</f>
        <v xml:space="preserve">Lochhead </v>
      </c>
      <c r="D42" s="93">
        <f ca="1">OFFSET(Batting!$CE$4,BatAves!$B42,0)</f>
        <v>1</v>
      </c>
      <c r="E42" s="93">
        <f ca="1">OFFSET(Batting!$CG$4,BatAves!$B42,0)</f>
        <v>1</v>
      </c>
      <c r="F42" s="93">
        <f ca="1">OFFSET(Batting!$CH$4,BatAves!$B42,0)</f>
        <v>0</v>
      </c>
      <c r="G42" s="93">
        <f ca="1">OFFSET(Batting!$CJ$4,BatAves!$B42,0)</f>
        <v>2</v>
      </c>
      <c r="H42" s="93">
        <f ca="1">OFFSET(Batting!$CK$4,BatAves!$B42,0)</f>
        <v>2</v>
      </c>
      <c r="I42" s="97">
        <f ca="1">OFFSET(Batting!$CL$4,BatAves!$B42,0)</f>
        <v>2</v>
      </c>
    </row>
    <row r="43" spans="1:9" x14ac:dyDescent="0.15">
      <c r="A43">
        <v>41</v>
      </c>
      <c r="B43">
        <f>MATCH(A43,Batting!$DD$5:$DD$59,0)</f>
        <v>6</v>
      </c>
      <c r="C43" t="str">
        <f ca="1">OFFSET(Batting!$C$4,BatAves!$B43,0)</f>
        <v>Catley N</v>
      </c>
      <c r="D43" s="93">
        <f ca="1">OFFSET(Batting!$CE$4,BatAves!$B43,0)</f>
        <v>1</v>
      </c>
      <c r="E43" s="93">
        <f ca="1">OFFSET(Batting!$CG$4,BatAves!$B43,0)</f>
        <v>1</v>
      </c>
      <c r="F43" s="93">
        <f ca="1">OFFSET(Batting!$CH$4,BatAves!$B43,0)</f>
        <v>0</v>
      </c>
      <c r="G43" s="93">
        <f ca="1">OFFSET(Batting!$CJ$4,BatAves!$B43,0)</f>
        <v>2</v>
      </c>
      <c r="H43" s="93">
        <f ca="1">OFFSET(Batting!$CK$4,BatAves!$B43,0)</f>
        <v>2</v>
      </c>
      <c r="I43" s="97">
        <f ca="1">OFFSET(Batting!$CL$4,BatAves!$B43,0)</f>
        <v>2</v>
      </c>
    </row>
    <row r="44" spans="1:9" x14ac:dyDescent="0.15">
      <c r="A44">
        <v>42</v>
      </c>
      <c r="B44">
        <f>MATCH(A44,Batting!$DD$5:$DD$59,0)</f>
        <v>5</v>
      </c>
      <c r="C44" t="str">
        <f ca="1">OFFSET(Batting!$C$4,BatAves!$B44,0)</f>
        <v xml:space="preserve">Bromley </v>
      </c>
      <c r="D44" s="93">
        <f ca="1">OFFSET(Batting!$CE$4,BatAves!$B44,0)</f>
        <v>1</v>
      </c>
      <c r="E44" s="93">
        <f ca="1">OFFSET(Batting!$CG$4,BatAves!$B44,0)</f>
        <v>1</v>
      </c>
      <c r="F44" s="93">
        <f ca="1">OFFSET(Batting!$CH$4,BatAves!$B44,0)</f>
        <v>0</v>
      </c>
      <c r="G44" s="93">
        <f ca="1">OFFSET(Batting!$CJ$4,BatAves!$B44,0)</f>
        <v>2</v>
      </c>
      <c r="H44" s="93">
        <f ca="1">OFFSET(Batting!$CK$4,BatAves!$B44,0)</f>
        <v>2</v>
      </c>
      <c r="I44" s="97">
        <f ca="1">OFFSET(Batting!$CL$4,BatAves!$B44,0)</f>
        <v>2</v>
      </c>
    </row>
    <row r="45" spans="1:9" x14ac:dyDescent="0.15">
      <c r="A45">
        <v>43</v>
      </c>
      <c r="B45">
        <f>MATCH(A45,Batting!$DD$5:$DD$59,0)</f>
        <v>12</v>
      </c>
      <c r="C45" t="str">
        <f ca="1">OFFSET(Batting!$C$4,BatAves!$B45,0)</f>
        <v>Cooper D</v>
      </c>
      <c r="D45" s="93">
        <f ca="1">OFFSET(Batting!$CE$4,BatAves!$B45,0)</f>
        <v>8</v>
      </c>
      <c r="E45" s="93">
        <f ca="1">OFFSET(Batting!$CG$4,BatAves!$B45,0)</f>
        <v>4</v>
      </c>
      <c r="F45" s="93">
        <f ca="1">OFFSET(Batting!$CH$4,BatAves!$B45,0)</f>
        <v>1</v>
      </c>
      <c r="G45" s="93">
        <f ca="1">OFFSET(Batting!$CJ$4,BatAves!$B45,0)</f>
        <v>4</v>
      </c>
      <c r="H45" s="93">
        <f ca="1">OFFSET(Batting!$CK$4,BatAves!$B45,0)</f>
        <v>4</v>
      </c>
      <c r="I45" s="97">
        <f ca="1">OFFSET(Batting!$CL$4,BatAves!$B45,0)</f>
        <v>1.3333333333333333</v>
      </c>
    </row>
    <row r="46" spans="1:9" x14ac:dyDescent="0.15">
      <c r="A46">
        <v>44</v>
      </c>
      <c r="B46">
        <f>MATCH(A46,Batting!$DD$5:$DD$59,0)</f>
        <v>35</v>
      </c>
      <c r="C46" t="str">
        <f ca="1">OFFSET(Batting!$C$4,BatAves!$B46,0)</f>
        <v>Merritt A</v>
      </c>
      <c r="D46" s="93">
        <f ca="1">OFFSET(Batting!$CE$4,BatAves!$B46,0)</f>
        <v>2</v>
      </c>
      <c r="E46" s="93">
        <f ca="1">OFFSET(Batting!$CG$4,BatAves!$B46,0)</f>
        <v>1</v>
      </c>
      <c r="F46" s="93">
        <f ca="1">OFFSET(Batting!$CH$4,BatAves!$B46,0)</f>
        <v>0</v>
      </c>
      <c r="G46" s="93">
        <f ca="1">OFFSET(Batting!$CJ$4,BatAves!$B46,0)</f>
        <v>0</v>
      </c>
      <c r="H46" s="93">
        <f ca="1">OFFSET(Batting!$CK$4,BatAves!$B46,0)</f>
        <v>0</v>
      </c>
      <c r="I46" s="97">
        <f ca="1">OFFSET(Batting!$CL$4,BatAves!$B46,0)</f>
        <v>0</v>
      </c>
    </row>
    <row r="47" spans="1:9" x14ac:dyDescent="0.15">
      <c r="A47">
        <v>45</v>
      </c>
      <c r="B47">
        <f>MATCH(A47,Batting!$DD$5:$DD$59,0)</f>
        <v>33</v>
      </c>
      <c r="C47" t="str">
        <f ca="1">OFFSET(Batting!$C$4,BatAves!$B47,0)</f>
        <v xml:space="preserve">McGall </v>
      </c>
      <c r="D47" s="93">
        <f ca="1">OFFSET(Batting!$CE$4,BatAves!$B47,0)</f>
        <v>1</v>
      </c>
      <c r="E47" s="93">
        <f ca="1">OFFSET(Batting!$CG$4,BatAves!$B47,0)</f>
        <v>1</v>
      </c>
      <c r="F47" s="93">
        <f ca="1">OFFSET(Batting!$CH$4,BatAves!$B47,0)</f>
        <v>1</v>
      </c>
      <c r="G47" s="93">
        <f ca="1">OFFSET(Batting!$CJ$4,BatAves!$B47,0)</f>
        <v>0</v>
      </c>
      <c r="H47" s="93">
        <f ca="1">OFFSET(Batting!$CK$4,BatAves!$B47,0)</f>
        <v>0</v>
      </c>
      <c r="I47" s="97">
        <f ca="1">OFFSET(Batting!$CL$4,BatAves!$B47,0)</f>
        <v>0</v>
      </c>
    </row>
    <row r="48" spans="1:9" x14ac:dyDescent="0.15">
      <c r="A48">
        <v>46</v>
      </c>
      <c r="B48">
        <f>MATCH(A48,Batting!$DD$5:$DD$59,0)</f>
        <v>25</v>
      </c>
      <c r="C48" t="str">
        <f ca="1">OFFSET(Batting!$C$4,BatAves!$B48,0)</f>
        <v>Jarman K</v>
      </c>
      <c r="D48" s="93">
        <f ca="1">OFFSET(Batting!$CE$4,BatAves!$B48,0)</f>
        <v>1</v>
      </c>
      <c r="E48" s="93">
        <f ca="1">OFFSET(Batting!$CG$4,BatAves!$B48,0)</f>
        <v>0</v>
      </c>
      <c r="F48" s="93">
        <f ca="1">OFFSET(Batting!$CH$4,BatAves!$B48,0)</f>
        <v>0</v>
      </c>
      <c r="G48" s="93">
        <f ca="1">OFFSET(Batting!$CJ$4,BatAves!$B48,0)</f>
        <v>0</v>
      </c>
      <c r="H48" s="93">
        <f ca="1">OFFSET(Batting!$CK$4,BatAves!$B48,0)</f>
        <v>0</v>
      </c>
      <c r="I48" s="97">
        <f ca="1">OFFSET(Batting!$CL$4,BatAves!$B48,0)</f>
        <v>0</v>
      </c>
    </row>
    <row r="49" spans="1:9" x14ac:dyDescent="0.15">
      <c r="A49">
        <v>47</v>
      </c>
      <c r="B49">
        <f>MATCH(A49,Batting!$DD$5:$DD$59,0)</f>
        <v>20</v>
      </c>
      <c r="C49" t="str">
        <f ca="1">OFFSET(Batting!$C$4,BatAves!$B49,0)</f>
        <v>Hammond P</v>
      </c>
      <c r="D49" s="93">
        <f ca="1">OFFSET(Batting!$CE$4,BatAves!$B49,0)</f>
        <v>1</v>
      </c>
      <c r="E49" s="93">
        <f ca="1">OFFSET(Batting!$CG$4,BatAves!$B49,0)</f>
        <v>1</v>
      </c>
      <c r="F49" s="93">
        <f ca="1">OFFSET(Batting!$CH$4,BatAves!$B49,0)</f>
        <v>1</v>
      </c>
      <c r="G49" s="93" t="str">
        <f ca="1">OFFSET(Batting!$CJ$4,BatAves!$B49,0)</f>
        <v>3*</v>
      </c>
      <c r="H49" s="93">
        <f ca="1">OFFSET(Batting!$CK$4,BatAves!$B49,0)</f>
        <v>3</v>
      </c>
      <c r="I49" s="97">
        <f ca="1">OFFSET(Batting!$CL$4,BatAves!$B49,0)</f>
        <v>0</v>
      </c>
    </row>
    <row r="50" spans="1:9" x14ac:dyDescent="0.15">
      <c r="A50">
        <v>48</v>
      </c>
      <c r="B50">
        <f>MATCH(A50,Batting!$DD$5:$DD$59,0)</f>
        <v>17</v>
      </c>
      <c r="C50" t="str">
        <f ca="1">OFFSET(Batting!$C$4,BatAves!$B50,0)</f>
        <v>Foster K</v>
      </c>
      <c r="D50" s="93">
        <f ca="1">OFFSET(Batting!$CE$4,BatAves!$B50,0)</f>
        <v>1</v>
      </c>
      <c r="E50" s="93">
        <f ca="1">OFFSET(Batting!$CG$4,BatAves!$B50,0)</f>
        <v>1</v>
      </c>
      <c r="F50" s="93">
        <f ca="1">OFFSET(Batting!$CH$4,BatAves!$B50,0)</f>
        <v>0</v>
      </c>
      <c r="G50" s="93">
        <f ca="1">OFFSET(Batting!$CJ$4,BatAves!$B50,0)</f>
        <v>0</v>
      </c>
      <c r="H50" s="93">
        <f ca="1">OFFSET(Batting!$CK$4,BatAves!$B50,0)</f>
        <v>0</v>
      </c>
      <c r="I50" s="97">
        <f ca="1">OFFSET(Batting!$CL$4,BatAves!$B50,0)</f>
        <v>0</v>
      </c>
    </row>
    <row r="51" spans="1:9" x14ac:dyDescent="0.15">
      <c r="A51">
        <v>49</v>
      </c>
      <c r="B51">
        <f>MATCH(A51,Batting!$DD$5:$DD$59,0)</f>
        <v>48</v>
      </c>
      <c r="C51" t="str">
        <f ca="1">OFFSET(Batting!$C$4,BatAves!$B51,0)</f>
        <v>Thatcher D</v>
      </c>
      <c r="D51" s="93">
        <f ca="1">OFFSET(Batting!$CE$4,BatAves!$B51,0)</f>
        <v>0</v>
      </c>
      <c r="E51" s="93">
        <f ca="1">OFFSET(Batting!$CG$4,BatAves!$B51,0)</f>
        <v>0</v>
      </c>
      <c r="F51" s="93">
        <f ca="1">OFFSET(Batting!$CH$4,BatAves!$B51,0)</f>
        <v>0</v>
      </c>
      <c r="G51" s="93">
        <f ca="1">OFFSET(Batting!$CJ$4,BatAves!$B51,0)</f>
        <v>0</v>
      </c>
      <c r="H51" s="93">
        <f ca="1">OFFSET(Batting!$CK$4,BatAves!$B51,0)</f>
        <v>0</v>
      </c>
      <c r="I51" s="97">
        <f ca="1">OFFSET(Batting!$CL$4,BatAves!$B51,0)</f>
        <v>0</v>
      </c>
    </row>
    <row r="52" spans="1:9" x14ac:dyDescent="0.15">
      <c r="A52">
        <v>50</v>
      </c>
      <c r="B52">
        <f>MATCH(A52,Batting!$DD$5:$DD$59,0)</f>
        <v>45</v>
      </c>
      <c r="C52" t="str">
        <f ca="1">OFFSET(Batting!$C$4,BatAves!$B52,0)</f>
        <v>Simmons M</v>
      </c>
      <c r="D52" s="93">
        <f ca="1">OFFSET(Batting!$CE$4,BatAves!$B52,0)</f>
        <v>0</v>
      </c>
      <c r="E52" s="93">
        <f ca="1">OFFSET(Batting!$CG$4,BatAves!$B52,0)</f>
        <v>0</v>
      </c>
      <c r="F52" s="93">
        <f ca="1">OFFSET(Batting!$CH$4,BatAves!$B52,0)</f>
        <v>0</v>
      </c>
      <c r="G52" s="93">
        <f ca="1">OFFSET(Batting!$CJ$4,BatAves!$B52,0)</f>
        <v>0</v>
      </c>
      <c r="H52" s="93">
        <f ca="1">OFFSET(Batting!$CK$4,BatAves!$B52,0)</f>
        <v>0</v>
      </c>
      <c r="I52" s="97">
        <f ca="1">OFFSET(Batting!$CL$4,BatAves!$B52,0)</f>
        <v>0</v>
      </c>
    </row>
    <row r="53" spans="1:9" x14ac:dyDescent="0.15">
      <c r="A53">
        <v>51</v>
      </c>
      <c r="B53">
        <f>MATCH(A53,Batting!$DD$5:$DD$59,0)</f>
        <v>22</v>
      </c>
      <c r="C53" t="str">
        <f ca="1">OFFSET(Batting!$C$4,BatAves!$B53,0)</f>
        <v>Hawksworth R</v>
      </c>
      <c r="D53" s="93">
        <f ca="1">OFFSET(Batting!$CE$4,BatAves!$B53,0)</f>
        <v>0</v>
      </c>
      <c r="E53" s="93">
        <f ca="1">OFFSET(Batting!$CG$4,BatAves!$B53,0)</f>
        <v>0</v>
      </c>
      <c r="F53" s="93">
        <f ca="1">OFFSET(Batting!$CH$4,BatAves!$B53,0)</f>
        <v>0</v>
      </c>
      <c r="G53" s="93">
        <f ca="1">OFFSET(Batting!$CJ$4,BatAves!$B53,0)</f>
        <v>0</v>
      </c>
      <c r="H53" s="93">
        <f ca="1">OFFSET(Batting!$CK$4,BatAves!$B53,0)</f>
        <v>0</v>
      </c>
      <c r="I53" s="97">
        <f ca="1">OFFSET(Batting!$CL$4,BatAves!$B53,0)</f>
        <v>0</v>
      </c>
    </row>
    <row r="54" spans="1:9" x14ac:dyDescent="0.15">
      <c r="A54">
        <v>52</v>
      </c>
      <c r="B54">
        <f>MATCH(A54,Batting!$DD$5:$DD$59,0)</f>
        <v>14</v>
      </c>
      <c r="C54" t="str">
        <f ca="1">OFFSET(Batting!$C$4,BatAves!$B54,0)</f>
        <v>Davies B</v>
      </c>
      <c r="D54" s="93">
        <f ca="1">OFFSET(Batting!$CE$4,BatAves!$B54,0)</f>
        <v>0</v>
      </c>
      <c r="E54" s="93">
        <f ca="1">OFFSET(Batting!$CG$4,BatAves!$B54,0)</f>
        <v>0</v>
      </c>
      <c r="F54" s="93">
        <f ca="1">OFFSET(Batting!$CH$4,BatAves!$B54,0)</f>
        <v>0</v>
      </c>
      <c r="G54" s="93">
        <f ca="1">OFFSET(Batting!$CJ$4,BatAves!$B54,0)</f>
        <v>0</v>
      </c>
      <c r="H54" s="93">
        <f ca="1">OFFSET(Batting!$CK$4,BatAves!$B54,0)</f>
        <v>0</v>
      </c>
      <c r="I54" s="97">
        <f ca="1">OFFSET(Batting!$CL$4,BatAves!$B54,0)</f>
        <v>0</v>
      </c>
    </row>
    <row r="55" spans="1:9" x14ac:dyDescent="0.15">
      <c r="A55">
        <v>53</v>
      </c>
      <c r="B55">
        <f>MATCH(A55,Batting!$DD$5:$DD$59,0)</f>
        <v>10</v>
      </c>
      <c r="C55" t="str">
        <f ca="1">OFFSET(Batting!$C$4,BatAves!$B55,0)</f>
        <v>Cobberwaite P</v>
      </c>
      <c r="D55" s="93">
        <f ca="1">OFFSET(Batting!$CE$4,BatAves!$B55,0)</f>
        <v>0</v>
      </c>
      <c r="E55" s="93">
        <f ca="1">OFFSET(Batting!$CG$4,BatAves!$B55,0)</f>
        <v>0</v>
      </c>
      <c r="F55" s="93">
        <f ca="1">OFFSET(Batting!$CH$4,BatAves!$B55,0)</f>
        <v>0</v>
      </c>
      <c r="G55" s="93">
        <f ca="1">OFFSET(Batting!$CJ$4,BatAves!$B55,0)</f>
        <v>0</v>
      </c>
      <c r="H55" s="93">
        <f ca="1">OFFSET(Batting!$CK$4,BatAves!$B55,0)</f>
        <v>0</v>
      </c>
      <c r="I55" s="97">
        <f ca="1">OFFSET(Batting!$CL$4,BatAves!$B55,0)</f>
        <v>0</v>
      </c>
    </row>
    <row r="56" spans="1:9" x14ac:dyDescent="0.15">
      <c r="A56">
        <v>54</v>
      </c>
      <c r="B56">
        <f>MATCH(A56,Batting!$DD$5:$DD$59,0)</f>
        <v>8</v>
      </c>
      <c r="C56" t="str">
        <f ca="1">OFFSET(Batting!$C$4,BatAves!$B56,0)</f>
        <v>Ching A</v>
      </c>
      <c r="D56" s="93">
        <f ca="1">OFFSET(Batting!$CE$4,BatAves!$B56,0)</f>
        <v>0</v>
      </c>
      <c r="E56" s="93">
        <f ca="1">OFFSET(Batting!$CG$4,BatAves!$B56,0)</f>
        <v>0</v>
      </c>
      <c r="F56" s="93">
        <f ca="1">OFFSET(Batting!$CH$4,BatAves!$B56,0)</f>
        <v>0</v>
      </c>
      <c r="G56" s="93">
        <f ca="1">OFFSET(Batting!$CJ$4,BatAves!$B56,0)</f>
        <v>0</v>
      </c>
      <c r="H56" s="93">
        <f ca="1">OFFSET(Batting!$CK$4,BatAves!$B56,0)</f>
        <v>0</v>
      </c>
      <c r="I56" s="97">
        <f ca="1">OFFSET(Batting!$CL$4,BatAves!$B56,0)</f>
        <v>0</v>
      </c>
    </row>
    <row r="57" spans="1:9" x14ac:dyDescent="0.15">
      <c r="A57">
        <v>55</v>
      </c>
      <c r="B57">
        <f>MATCH(A57,Batting!$DD$5:$DD$59,0)</f>
        <v>2</v>
      </c>
      <c r="C57" t="str">
        <f ca="1">OFFSET(Batting!$C$4,BatAves!$B57,0)</f>
        <v>Bailey J</v>
      </c>
      <c r="D57" s="93">
        <f ca="1">OFFSET(Batting!$CE$4,BatAves!$B57,0)</f>
        <v>0</v>
      </c>
      <c r="E57" s="93">
        <f ca="1">OFFSET(Batting!$CG$4,BatAves!$B57,0)</f>
        <v>0</v>
      </c>
      <c r="F57" s="93">
        <f ca="1">OFFSET(Batting!$CH$4,BatAves!$B57,0)</f>
        <v>0</v>
      </c>
      <c r="G57" s="93">
        <f ca="1">OFFSET(Batting!$CJ$4,BatAves!$B57,0)</f>
        <v>0</v>
      </c>
      <c r="H57" s="93">
        <f ca="1">OFFSET(Batting!$CK$4,BatAves!$B57,0)</f>
        <v>0</v>
      </c>
      <c r="I57" s="97">
        <f ca="1">OFFSET(Batting!$CL$4,BatAves!$B57,0)</f>
        <v>0</v>
      </c>
    </row>
    <row r="58" spans="1:9" x14ac:dyDescent="0.15">
      <c r="A58">
        <v>56</v>
      </c>
      <c r="B58" t="e">
        <f>MATCH(A58,Batting!$DD$5:$DD$59,0)</f>
        <v>#N/A</v>
      </c>
      <c r="C58" t="e">
        <f ca="1">OFFSET(Batting!$C$4,BatAves!$B58,0)</f>
        <v>#N/A</v>
      </c>
      <c r="D58" s="93" t="e">
        <f ca="1">OFFSET(Batting!$CE$4,BatAves!$B58,0)</f>
        <v>#N/A</v>
      </c>
      <c r="E58" s="93" t="e">
        <f ca="1">OFFSET(Batting!$CG$4,BatAves!$B58,0)</f>
        <v>#N/A</v>
      </c>
      <c r="F58" s="93" t="e">
        <f ca="1">OFFSET(Batting!$CH$4,BatAves!$B58,0)</f>
        <v>#N/A</v>
      </c>
      <c r="G58" s="93" t="e">
        <f ca="1">OFFSET(Batting!$CJ$4,BatAves!$B58,0)</f>
        <v>#N/A</v>
      </c>
      <c r="H58" s="93" t="e">
        <f ca="1">OFFSET(Batting!$CK$4,BatAves!$B58,0)</f>
        <v>#N/A</v>
      </c>
      <c r="I58" s="97" t="e">
        <f ca="1">OFFSET(Batting!$CL$4,BatAves!$B58,0)</f>
        <v>#N/A</v>
      </c>
    </row>
    <row r="59" spans="1:9" x14ac:dyDescent="0.15">
      <c r="A59">
        <v>57</v>
      </c>
      <c r="B59" t="e">
        <f>MATCH(A59,Batting!$DD$5:$DD$59,0)</f>
        <v>#N/A</v>
      </c>
      <c r="C59" t="e">
        <f ca="1">OFFSET(Batting!$C$4,BatAves!$B59,0)</f>
        <v>#N/A</v>
      </c>
      <c r="D59" s="93" t="e">
        <f ca="1">OFFSET(Batting!$CE$4,BatAves!$B59,0)</f>
        <v>#N/A</v>
      </c>
      <c r="E59" s="93" t="e">
        <f ca="1">OFFSET(Batting!$CG$4,BatAves!$B59,0)</f>
        <v>#N/A</v>
      </c>
      <c r="F59" s="93" t="e">
        <f ca="1">OFFSET(Batting!$CH$4,BatAves!$B59,0)</f>
        <v>#N/A</v>
      </c>
      <c r="G59" s="93" t="e">
        <f ca="1">OFFSET(Batting!$CJ$4,BatAves!$B59,0)</f>
        <v>#N/A</v>
      </c>
      <c r="H59" s="93" t="e">
        <f ca="1">OFFSET(Batting!$CK$4,BatAves!$B59,0)</f>
        <v>#N/A</v>
      </c>
      <c r="I59" s="97" t="e">
        <f ca="1">OFFSET(Batting!$CL$4,BatAves!$B59,0)</f>
        <v>#N/A</v>
      </c>
    </row>
    <row r="60" spans="1:9" x14ac:dyDescent="0.15">
      <c r="A60">
        <v>58</v>
      </c>
      <c r="B60" t="e">
        <f>MATCH(A60,Batting!$DD$5:$DD$59,0)</f>
        <v>#N/A</v>
      </c>
      <c r="C60" t="e">
        <f ca="1">OFFSET(Batting!$C$4,BatAves!$B60,0)</f>
        <v>#N/A</v>
      </c>
      <c r="D60" s="93" t="e">
        <f ca="1">OFFSET(Batting!$CE$4,BatAves!$B60,0)</f>
        <v>#N/A</v>
      </c>
      <c r="E60" s="93" t="e">
        <f ca="1">OFFSET(Batting!$CG$4,BatAves!$B60,0)</f>
        <v>#N/A</v>
      </c>
      <c r="F60" s="93" t="e">
        <f ca="1">OFFSET(Batting!$CH$4,BatAves!$B60,0)</f>
        <v>#N/A</v>
      </c>
      <c r="G60" s="93" t="e">
        <f ca="1">OFFSET(Batting!$CJ$4,BatAves!$B60,0)</f>
        <v>#N/A</v>
      </c>
      <c r="H60" s="93" t="e">
        <f ca="1">OFFSET(Batting!$CK$4,BatAves!$B60,0)</f>
        <v>#N/A</v>
      </c>
      <c r="I60" s="97" t="e">
        <f ca="1">OFFSET(Batting!$CL$4,BatAves!$B60,0)</f>
        <v>#N/A</v>
      </c>
    </row>
    <row r="61" spans="1:9" x14ac:dyDescent="0.15">
      <c r="A61">
        <v>59</v>
      </c>
      <c r="B61" t="e">
        <f>MATCH(A61,Batting!$DD$5:$DD$59,0)</f>
        <v>#N/A</v>
      </c>
      <c r="C61" t="e">
        <f ca="1">OFFSET(Batting!$C$4,BatAves!$B61,0)</f>
        <v>#N/A</v>
      </c>
      <c r="D61" s="93" t="e">
        <f ca="1">OFFSET(Batting!$CE$4,BatAves!$B61,0)</f>
        <v>#N/A</v>
      </c>
      <c r="E61" s="93" t="e">
        <f ca="1">OFFSET(Batting!$CG$4,BatAves!$B61,0)</f>
        <v>#N/A</v>
      </c>
      <c r="F61" s="93" t="e">
        <f ca="1">OFFSET(Batting!$CH$4,BatAves!$B61,0)</f>
        <v>#N/A</v>
      </c>
      <c r="G61" s="93" t="e">
        <f ca="1">OFFSET(Batting!$CJ$4,BatAves!$B61,0)</f>
        <v>#N/A</v>
      </c>
      <c r="H61" s="93" t="e">
        <f ca="1">OFFSET(Batting!$CK$4,BatAves!$B61,0)</f>
        <v>#N/A</v>
      </c>
      <c r="I61" s="97" t="e">
        <f ca="1">OFFSET(Batting!$CL$4,BatAves!$B61,0)</f>
        <v>#N/A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33"/>
  <sheetViews>
    <sheetView workbookViewId="0">
      <selection sqref="A1:K33"/>
    </sheetView>
  </sheetViews>
  <sheetFormatPr defaultRowHeight="10.5" x14ac:dyDescent="0.15"/>
  <cols>
    <col min="2" max="2" width="0" hidden="1" customWidth="1"/>
    <col min="3" max="3" width="10.85546875" bestFit="1" customWidth="1"/>
    <col min="4" max="4" width="6.5703125" style="98" customWidth="1"/>
    <col min="5" max="7" width="6.5703125" style="93" customWidth="1"/>
    <col min="8" max="8" width="6.5703125" style="97" customWidth="1"/>
    <col min="9" max="10" width="6.5703125" style="94" customWidth="1"/>
    <col min="11" max="11" width="6.5703125" style="93" customWidth="1"/>
  </cols>
  <sheetData>
    <row r="1" spans="1:11" x14ac:dyDescent="0.15">
      <c r="A1" t="s">
        <v>541</v>
      </c>
      <c r="D1" s="98" t="s">
        <v>71</v>
      </c>
      <c r="E1" s="93" t="s">
        <v>72</v>
      </c>
      <c r="F1" s="93" t="s">
        <v>9</v>
      </c>
      <c r="G1" s="93" t="s">
        <v>543</v>
      </c>
      <c r="H1" s="95" t="s">
        <v>74</v>
      </c>
      <c r="I1" s="96" t="s">
        <v>75</v>
      </c>
      <c r="J1" s="96" t="s">
        <v>76</v>
      </c>
      <c r="K1" s="57" t="s">
        <v>156</v>
      </c>
    </row>
    <row r="2" spans="1:11" x14ac:dyDescent="0.15">
      <c r="A2">
        <v>1</v>
      </c>
      <c r="B2">
        <f>MATCH(A2,Bowling!$CS$5:$CS$38,0)</f>
        <v>9</v>
      </c>
      <c r="C2" t="str">
        <f ca="1">OFFSET(Bowling!$B$4,BowlAves!B2,0)</f>
        <v>Greenwood</v>
      </c>
      <c r="D2" s="98">
        <f t="array" aca="1" ref="D2:K2" ca="1">OFFSET(Bowling!$CG$4,BowlAves!B2,0,1,8)</f>
        <v>2.2000000000000002</v>
      </c>
      <c r="E2" s="93">
        <f ca="1"/>
        <v>1</v>
      </c>
      <c r="F2" s="93">
        <f ca="1"/>
        <v>7</v>
      </c>
      <c r="G2" s="93">
        <f ca="1"/>
        <v>1</v>
      </c>
      <c r="H2" s="97">
        <f ca="1"/>
        <v>7</v>
      </c>
      <c r="I2" s="94">
        <f ca="1"/>
        <v>14</v>
      </c>
      <c r="J2" s="94">
        <f ca="1"/>
        <v>3</v>
      </c>
      <c r="K2" s="101" t="str">
        <f ca="1"/>
        <v>1-7</v>
      </c>
    </row>
    <row r="3" spans="1:11" x14ac:dyDescent="0.15">
      <c r="A3">
        <v>2</v>
      </c>
      <c r="B3">
        <f>MATCH(A3,Bowling!$CS$5:$CS$38,0)</f>
        <v>1</v>
      </c>
      <c r="C3" t="str">
        <f ca="1">OFFSET(Bowling!$B$4,BowlAves!B3,0)</f>
        <v>Bowers</v>
      </c>
      <c r="D3" s="98">
        <f t="array" aca="1" ref="D3:K3" ca="1">OFFSET(Bowling!$CG$4,BowlAves!B3,0,1,8)</f>
        <v>29</v>
      </c>
      <c r="E3" s="93">
        <f ca="1"/>
        <v>5</v>
      </c>
      <c r="F3" s="93">
        <f ca="1"/>
        <v>106</v>
      </c>
      <c r="G3" s="93">
        <f ca="1"/>
        <v>12</v>
      </c>
      <c r="H3" s="97">
        <f ca="1"/>
        <v>8.8333333333333339</v>
      </c>
      <c r="I3" s="94">
        <f ca="1"/>
        <v>14.5</v>
      </c>
      <c r="J3" s="94">
        <f ca="1"/>
        <v>3.6551724137931036</v>
      </c>
      <c r="K3" s="101" t="str">
        <f ca="1"/>
        <v>8-59</v>
      </c>
    </row>
    <row r="4" spans="1:11" x14ac:dyDescent="0.15">
      <c r="A4">
        <v>3</v>
      </c>
      <c r="B4">
        <f>MATCH(A4,Bowling!$CS$5:$CS$38,0)</f>
        <v>23</v>
      </c>
      <c r="C4" t="str">
        <f ca="1">OFFSET(Bowling!$B$4,BowlAves!B4,0)</f>
        <v>Porter</v>
      </c>
      <c r="D4" s="98">
        <f t="array" aca="1" ref="D4:K4" ca="1">OFFSET(Bowling!$CG$4,BowlAves!B4,0,1,8)</f>
        <v>94</v>
      </c>
      <c r="E4" s="93">
        <f ca="1"/>
        <v>25</v>
      </c>
      <c r="F4" s="93">
        <f ca="1"/>
        <v>234</v>
      </c>
      <c r="G4" s="93">
        <f ca="1"/>
        <v>23</v>
      </c>
      <c r="H4" s="97">
        <f ca="1"/>
        <v>10.173913043478262</v>
      </c>
      <c r="I4" s="94">
        <f ca="1"/>
        <v>24.521739130434781</v>
      </c>
      <c r="J4" s="94">
        <f ca="1"/>
        <v>2.4893617021276597</v>
      </c>
      <c r="K4" s="101" t="str">
        <f ca="1"/>
        <v>6-48</v>
      </c>
    </row>
    <row r="5" spans="1:11" x14ac:dyDescent="0.15">
      <c r="A5">
        <v>4</v>
      </c>
      <c r="B5">
        <f>MATCH(A5,Bowling!$CS$5:$CS$38,0)</f>
        <v>26</v>
      </c>
      <c r="C5" t="str">
        <f ca="1">OFFSET(Bowling!$B$4,BowlAves!B5,0)</f>
        <v>Shewan</v>
      </c>
      <c r="D5" s="98">
        <f t="array" aca="1" ref="D5:K5" ca="1">OFFSET(Bowling!$CG$4,BowlAves!B5,0,1,8)</f>
        <v>68</v>
      </c>
      <c r="E5" s="93">
        <f ca="1"/>
        <v>22</v>
      </c>
      <c r="F5" s="93">
        <f ca="1"/>
        <v>150</v>
      </c>
      <c r="G5" s="93">
        <f ca="1"/>
        <v>13</v>
      </c>
      <c r="H5" s="97">
        <f ca="1"/>
        <v>11.538461538461538</v>
      </c>
      <c r="I5" s="94">
        <f ca="1"/>
        <v>31.384615384615383</v>
      </c>
      <c r="J5" s="94">
        <f ca="1"/>
        <v>2.2058823529411766</v>
      </c>
      <c r="K5" s="101" t="str">
        <f ca="1"/>
        <v>5-17</v>
      </c>
    </row>
    <row r="6" spans="1:11" x14ac:dyDescent="0.15">
      <c r="A6">
        <v>5</v>
      </c>
      <c r="B6">
        <f>MATCH(A6,Bowling!$CS$5:$CS$38,0)</f>
        <v>29</v>
      </c>
      <c r="C6" t="str">
        <f ca="1">OFFSET(Bowling!$B$4,BowlAves!B6,0)</f>
        <v>Thomas C</v>
      </c>
      <c r="D6" s="98">
        <f t="array" aca="1" ref="D6:K6" ca="1">OFFSET(Bowling!$CG$4,BowlAves!B6,0,1,8)</f>
        <v>53</v>
      </c>
      <c r="E6" s="93">
        <f ca="1"/>
        <v>4</v>
      </c>
      <c r="F6" s="93">
        <f ca="1"/>
        <v>224</v>
      </c>
      <c r="G6" s="93">
        <f ca="1"/>
        <v>19</v>
      </c>
      <c r="H6" s="97">
        <f ca="1"/>
        <v>11.789473684210526</v>
      </c>
      <c r="I6" s="94">
        <f ca="1"/>
        <v>16.736842105263158</v>
      </c>
      <c r="J6" s="94">
        <f ca="1"/>
        <v>4.2264150943396226</v>
      </c>
      <c r="K6" s="101" t="str">
        <f ca="1"/>
        <v>6-44</v>
      </c>
    </row>
    <row r="7" spans="1:11" x14ac:dyDescent="0.15">
      <c r="A7">
        <v>6</v>
      </c>
      <c r="B7">
        <f>MATCH(A7,Bowling!$CS$5:$CS$38,0)</f>
        <v>22</v>
      </c>
      <c r="C7" t="str">
        <f ca="1">OFFSET(Bowling!$B$4,BowlAves!B7,0)</f>
        <v>Patel</v>
      </c>
      <c r="D7" s="98">
        <f t="array" aca="1" ref="D7:K7" ca="1">OFFSET(Bowling!$CG$4,BowlAves!B7,0,1,8)</f>
        <v>4</v>
      </c>
      <c r="E7" s="93">
        <f ca="1"/>
        <v>0</v>
      </c>
      <c r="F7" s="93">
        <f ca="1"/>
        <v>12</v>
      </c>
      <c r="G7" s="93">
        <f ca="1"/>
        <v>1</v>
      </c>
      <c r="H7" s="97">
        <f ca="1"/>
        <v>12</v>
      </c>
      <c r="I7" s="94">
        <f ca="1"/>
        <v>24</v>
      </c>
      <c r="J7" s="94">
        <f ca="1"/>
        <v>3</v>
      </c>
      <c r="K7" s="101" t="str">
        <f ca="1"/>
        <v>1-12</v>
      </c>
    </row>
    <row r="8" spans="1:11" x14ac:dyDescent="0.15">
      <c r="A8">
        <v>7</v>
      </c>
      <c r="B8">
        <f>MATCH(A8,Bowling!$CS$5:$CS$38,0)</f>
        <v>32</v>
      </c>
      <c r="C8" t="str">
        <f ca="1">OFFSET(Bowling!$B$4,BowlAves!B8,0)</f>
        <v>Worthy J</v>
      </c>
      <c r="D8" s="98">
        <f t="array" aca="1" ref="D8:K8" ca="1">OFFSET(Bowling!$CG$4,BowlAves!B8,0,1,8)</f>
        <v>129</v>
      </c>
      <c r="E8" s="93">
        <f ca="1"/>
        <v>40</v>
      </c>
      <c r="F8" s="93">
        <f ca="1"/>
        <v>312</v>
      </c>
      <c r="G8" s="93">
        <f ca="1"/>
        <v>25</v>
      </c>
      <c r="H8" s="97">
        <f ca="1"/>
        <v>12.48</v>
      </c>
      <c r="I8" s="94">
        <f ca="1"/>
        <v>30.96</v>
      </c>
      <c r="J8" s="94">
        <f ca="1"/>
        <v>2.4186046511627906</v>
      </c>
      <c r="K8" s="101" t="str">
        <f ca="1"/>
        <v>4-8</v>
      </c>
    </row>
    <row r="9" spans="1:11" x14ac:dyDescent="0.15">
      <c r="A9">
        <v>8</v>
      </c>
      <c r="B9">
        <f>MATCH(A9,Bowling!$CS$5:$CS$38,0)</f>
        <v>6</v>
      </c>
      <c r="C9" t="str">
        <f ca="1">OFFSET(Bowling!$B$4,BowlAves!B9,0)</f>
        <v>Cooper G</v>
      </c>
      <c r="D9" s="98">
        <f t="array" aca="1" ref="D9:K9" ca="1">OFFSET(Bowling!$CG$4,BowlAves!B9,0,1,8)</f>
        <v>95.4</v>
      </c>
      <c r="E9" s="93">
        <f ca="1"/>
        <v>17</v>
      </c>
      <c r="F9" s="93">
        <f ca="1"/>
        <v>342</v>
      </c>
      <c r="G9" s="93">
        <f ca="1"/>
        <v>26</v>
      </c>
      <c r="H9" s="97">
        <f ca="1"/>
        <v>13.153846153846153</v>
      </c>
      <c r="I9" s="94">
        <f ca="1"/>
        <v>22.076923076923077</v>
      </c>
      <c r="J9" s="94">
        <f ca="1"/>
        <v>3.5749128919860627</v>
      </c>
      <c r="K9" s="101" t="str">
        <f ca="1"/>
        <v>5-38</v>
      </c>
    </row>
    <row r="10" spans="1:11" x14ac:dyDescent="0.15">
      <c r="A10">
        <v>9</v>
      </c>
      <c r="B10">
        <f>MATCH(A10,Bowling!$CS$5:$CS$38,0)</f>
        <v>34</v>
      </c>
      <c r="C10" t="str">
        <f ca="1">OFFSET(Bowling!$B$4,BowlAves!B10,0)</f>
        <v>Young</v>
      </c>
      <c r="D10" s="98">
        <f t="array" aca="1" ref="D10:K10" ca="1">OFFSET(Bowling!$CG$4,BowlAves!B10,0,1,8)</f>
        <v>50</v>
      </c>
      <c r="E10" s="93">
        <f ca="1"/>
        <v>4</v>
      </c>
      <c r="F10" s="93">
        <f ca="1"/>
        <v>230</v>
      </c>
      <c r="G10" s="93">
        <f ca="1"/>
        <v>16</v>
      </c>
      <c r="H10" s="97">
        <f ca="1"/>
        <v>14.375</v>
      </c>
      <c r="I10" s="94">
        <f ca="1"/>
        <v>18.75</v>
      </c>
      <c r="J10" s="94">
        <f ca="1"/>
        <v>4.5999999999999996</v>
      </c>
      <c r="K10" s="101" t="str">
        <f ca="1"/>
        <v>4-35</v>
      </c>
    </row>
    <row r="11" spans="1:11" x14ac:dyDescent="0.15">
      <c r="A11">
        <v>10</v>
      </c>
      <c r="B11">
        <f>MATCH(A11,Bowling!$CS$5:$CS$38,0)</f>
        <v>4</v>
      </c>
      <c r="C11" t="str">
        <f ca="1">OFFSET(Bowling!$B$4,BowlAves!B11,0)</f>
        <v>Clark</v>
      </c>
      <c r="D11" s="98">
        <f t="array" aca="1" ref="D11:K11" ca="1">OFFSET(Bowling!$CG$4,BowlAves!B11,0,1,8)</f>
        <v>52</v>
      </c>
      <c r="E11" s="93">
        <f ca="1"/>
        <v>9</v>
      </c>
      <c r="F11" s="93">
        <f ca="1"/>
        <v>133</v>
      </c>
      <c r="G11" s="93">
        <f ca="1"/>
        <v>9</v>
      </c>
      <c r="H11" s="97">
        <f ca="1"/>
        <v>14.777777777777779</v>
      </c>
      <c r="I11" s="94">
        <f ca="1"/>
        <v>34.666666666666664</v>
      </c>
      <c r="J11" s="94">
        <f ca="1"/>
        <v>2.5576923076923075</v>
      </c>
      <c r="K11" s="101" t="str">
        <f ca="1"/>
        <v>3-22</v>
      </c>
    </row>
    <row r="12" spans="1:11" x14ac:dyDescent="0.15">
      <c r="A12">
        <v>11</v>
      </c>
      <c r="B12">
        <f>MATCH(A12,Bowling!$CS$5:$CS$38,0)</f>
        <v>25</v>
      </c>
      <c r="C12" t="str">
        <f ca="1">OFFSET(Bowling!$B$4,BowlAves!B12,0)</f>
        <v>Sharpe</v>
      </c>
      <c r="D12" s="98">
        <f t="array" aca="1" ref="D12:K12" ca="1">OFFSET(Bowling!$CG$4,BowlAves!B12,0,1,8)</f>
        <v>73</v>
      </c>
      <c r="E12" s="93">
        <f ca="1"/>
        <v>14</v>
      </c>
      <c r="F12" s="93">
        <f ca="1"/>
        <v>227</v>
      </c>
      <c r="G12" s="93">
        <f ca="1"/>
        <v>15</v>
      </c>
      <c r="H12" s="97">
        <f ca="1"/>
        <v>15.133333333333333</v>
      </c>
      <c r="I12" s="94">
        <f ca="1"/>
        <v>29.2</v>
      </c>
      <c r="J12" s="94">
        <f ca="1"/>
        <v>3.1095890410958904</v>
      </c>
      <c r="K12" s="101" t="str">
        <f ca="1"/>
        <v>3-15</v>
      </c>
    </row>
    <row r="13" spans="1:11" x14ac:dyDescent="0.15">
      <c r="A13">
        <v>12</v>
      </c>
      <c r="B13">
        <f>MATCH(A13,Bowling!$CS$5:$CS$38,0)</f>
        <v>8</v>
      </c>
      <c r="C13" t="str">
        <f ca="1">OFFSET(Bowling!$B$4,BowlAves!B13,0)</f>
        <v>Elliston</v>
      </c>
      <c r="D13" s="98">
        <f t="array" aca="1" ref="D13:K13" ca="1">OFFSET(Bowling!$CG$4,BowlAves!B13,0,1,8)</f>
        <v>94.5</v>
      </c>
      <c r="E13" s="93">
        <f ca="1"/>
        <v>12</v>
      </c>
      <c r="F13" s="93">
        <f ca="1"/>
        <v>368</v>
      </c>
      <c r="G13" s="93">
        <f ca="1"/>
        <v>21</v>
      </c>
      <c r="H13" s="97">
        <f ca="1"/>
        <v>17.523809523809526</v>
      </c>
      <c r="I13" s="94">
        <f ca="1"/>
        <v>27.095238095238095</v>
      </c>
      <c r="J13" s="94">
        <f ca="1"/>
        <v>3.8804920913884007</v>
      </c>
      <c r="K13" s="101" t="str">
        <f ca="1"/>
        <v>4-24</v>
      </c>
    </row>
    <row r="14" spans="1:11" x14ac:dyDescent="0.15">
      <c r="A14">
        <v>13</v>
      </c>
      <c r="B14">
        <f>MATCH(A14,Bowling!$CS$5:$CS$38,0)</f>
        <v>12</v>
      </c>
      <c r="C14" t="str">
        <f ca="1">OFFSET(Bowling!$B$4,BowlAves!B14,0)</f>
        <v>Leadley J</v>
      </c>
      <c r="D14" s="98">
        <f t="array" aca="1" ref="D14:K14" ca="1">OFFSET(Bowling!$CG$4,BowlAves!B14,0,1,8)</f>
        <v>23</v>
      </c>
      <c r="E14" s="93">
        <f ca="1"/>
        <v>2</v>
      </c>
      <c r="F14" s="93">
        <f ca="1"/>
        <v>88</v>
      </c>
      <c r="G14" s="93">
        <f ca="1"/>
        <v>5</v>
      </c>
      <c r="H14" s="97">
        <f ca="1"/>
        <v>17.600000000000001</v>
      </c>
      <c r="I14" s="94">
        <f ca="1"/>
        <v>27.6</v>
      </c>
      <c r="J14" s="94">
        <f ca="1"/>
        <v>3.8260869565217392</v>
      </c>
      <c r="K14" s="101" t="str">
        <f ca="1"/>
        <v>3-54</v>
      </c>
    </row>
    <row r="15" spans="1:11" x14ac:dyDescent="0.15">
      <c r="A15">
        <v>14</v>
      </c>
      <c r="B15">
        <f>MATCH(A15,Bowling!$CS$5:$CS$38,0)</f>
        <v>33</v>
      </c>
      <c r="C15" t="str">
        <f ca="1">OFFSET(Bowling!$B$4,BowlAves!B15,0)</f>
        <v>Worthy R</v>
      </c>
      <c r="D15" s="98">
        <f t="array" aca="1" ref="D15:K15" ca="1">OFFSET(Bowling!$CG$4,BowlAves!B15,0,1,8)</f>
        <v>84.3</v>
      </c>
      <c r="E15" s="93">
        <f ca="1"/>
        <v>24</v>
      </c>
      <c r="F15" s="93">
        <f ca="1"/>
        <v>218</v>
      </c>
      <c r="G15" s="93">
        <f ca="1"/>
        <v>12</v>
      </c>
      <c r="H15" s="97">
        <f ca="1"/>
        <v>18.166666666666668</v>
      </c>
      <c r="I15" s="94">
        <f ca="1"/>
        <v>42.25</v>
      </c>
      <c r="J15" s="94">
        <f ca="1"/>
        <v>2.5798816568047336</v>
      </c>
      <c r="K15" s="101" t="str">
        <f ca="1"/>
        <v>4-39</v>
      </c>
    </row>
    <row r="16" spans="1:11" x14ac:dyDescent="0.15">
      <c r="A16">
        <v>15</v>
      </c>
      <c r="B16">
        <f>MATCH(A16,Bowling!$CS$5:$CS$38,0)</f>
        <v>28</v>
      </c>
      <c r="C16" t="str">
        <f ca="1">OFFSET(Bowling!$B$4,BowlAves!B16,0)</f>
        <v>Springer</v>
      </c>
      <c r="D16" s="98">
        <f t="array" aca="1" ref="D16:K16" ca="1">OFFSET(Bowling!$CG$4,BowlAves!B16,0,1,8)</f>
        <v>128.30000000000001</v>
      </c>
      <c r="E16" s="93">
        <f ca="1"/>
        <v>28</v>
      </c>
      <c r="F16" s="93">
        <f ca="1"/>
        <v>431</v>
      </c>
      <c r="G16" s="93">
        <f ca="1"/>
        <v>23</v>
      </c>
      <c r="H16" s="97">
        <f ca="1"/>
        <v>18.739130434782609</v>
      </c>
      <c r="I16" s="94">
        <f ca="1"/>
        <v>33.521739130434781</v>
      </c>
      <c r="J16" s="94">
        <f ca="1"/>
        <v>3.3540856031128405</v>
      </c>
      <c r="K16" s="101" t="str">
        <f ca="1"/>
        <v>4-6</v>
      </c>
    </row>
    <row r="17" spans="1:11" x14ac:dyDescent="0.15">
      <c r="A17">
        <v>16</v>
      </c>
      <c r="B17">
        <f>MATCH(A17,Bowling!$CS$5:$CS$38,0)</f>
        <v>3</v>
      </c>
      <c r="C17" t="str">
        <f ca="1">OFFSET(Bowling!$B$4,BowlAves!B17,0)</f>
        <v>Catley</v>
      </c>
      <c r="D17" s="98">
        <f t="array" aca="1" ref="D17:K17" ca="1">OFFSET(Bowling!$CG$4,BowlAves!B17,0,1,8)</f>
        <v>5</v>
      </c>
      <c r="E17" s="93">
        <f ca="1"/>
        <v>0</v>
      </c>
      <c r="F17" s="93">
        <f ca="1"/>
        <v>19</v>
      </c>
      <c r="G17" s="93">
        <f ca="1"/>
        <v>1</v>
      </c>
      <c r="H17" s="97">
        <f ca="1"/>
        <v>19</v>
      </c>
      <c r="I17" s="94">
        <f ca="1"/>
        <v>30</v>
      </c>
      <c r="J17" s="94">
        <f ca="1"/>
        <v>3.8</v>
      </c>
      <c r="K17" s="101" t="str">
        <f ca="1"/>
        <v>1-19</v>
      </c>
    </row>
    <row r="18" spans="1:11" x14ac:dyDescent="0.15">
      <c r="A18">
        <v>17</v>
      </c>
      <c r="B18">
        <f>MATCH(A18,Bowling!$CS$5:$CS$38,0)</f>
        <v>15</v>
      </c>
      <c r="C18" t="str">
        <f ca="1">OFFSET(Bowling!$B$4,BowlAves!B18,0)</f>
        <v>Mander A</v>
      </c>
      <c r="D18" s="98">
        <f t="array" aca="1" ref="D18:K18" ca="1">OFFSET(Bowling!$CG$4,BowlAves!B18,0,1,8)</f>
        <v>149.5</v>
      </c>
      <c r="E18" s="93">
        <f ca="1"/>
        <v>34</v>
      </c>
      <c r="F18" s="93">
        <f ca="1"/>
        <v>399</v>
      </c>
      <c r="G18" s="93">
        <f ca="1"/>
        <v>20</v>
      </c>
      <c r="H18" s="97">
        <f ca="1"/>
        <v>19.95</v>
      </c>
      <c r="I18" s="94">
        <f ca="1"/>
        <v>44.95</v>
      </c>
      <c r="J18" s="94">
        <f ca="1"/>
        <v>2.6629588431590658</v>
      </c>
      <c r="K18" s="101" t="str">
        <f ca="1"/>
        <v>5-15</v>
      </c>
    </row>
    <row r="19" spans="1:11" x14ac:dyDescent="0.15">
      <c r="A19">
        <v>18</v>
      </c>
      <c r="B19">
        <f>MATCH(A19,Bowling!$CS$5:$CS$38,0)</f>
        <v>2</v>
      </c>
      <c r="C19" t="str">
        <f ca="1">OFFSET(Bowling!$B$4,BowlAves!B19,0)</f>
        <v>Brocks</v>
      </c>
      <c r="D19" s="98">
        <f t="array" aca="1" ref="D19:K19" ca="1">OFFSET(Bowling!$CG$4,BowlAves!B19,0,1,8)</f>
        <v>76.5</v>
      </c>
      <c r="E19" s="93">
        <f ca="1"/>
        <v>11</v>
      </c>
      <c r="F19" s="93">
        <f ca="1"/>
        <v>281</v>
      </c>
      <c r="G19" s="93">
        <f ca="1"/>
        <v>13</v>
      </c>
      <c r="H19" s="97">
        <f ca="1"/>
        <v>21.615384615384617</v>
      </c>
      <c r="I19" s="94">
        <f ca="1"/>
        <v>35.46153846153846</v>
      </c>
      <c r="J19" s="94">
        <f ca="1"/>
        <v>3.6572668112798263</v>
      </c>
      <c r="K19" s="101" t="str">
        <f ca="1"/>
        <v>3-22</v>
      </c>
    </row>
    <row r="20" spans="1:11" x14ac:dyDescent="0.15">
      <c r="A20">
        <v>19</v>
      </c>
      <c r="B20">
        <f>MATCH(A20,Bowling!$CS$5:$CS$38,0)</f>
        <v>21</v>
      </c>
      <c r="C20" t="str">
        <f ca="1">OFFSET(Bowling!$B$4,BowlAves!B20,0)</f>
        <v>Morris D</v>
      </c>
      <c r="D20" s="98">
        <f t="array" aca="1" ref="D20:K20" ca="1">OFFSET(Bowling!$CG$4,BowlAves!B20,0,1,8)</f>
        <v>161</v>
      </c>
      <c r="E20" s="93">
        <f ca="1"/>
        <v>34</v>
      </c>
      <c r="F20" s="93">
        <f ca="1"/>
        <v>544</v>
      </c>
      <c r="G20" s="93">
        <f ca="1"/>
        <v>25</v>
      </c>
      <c r="H20" s="97">
        <f ca="1"/>
        <v>21.76</v>
      </c>
      <c r="I20" s="94">
        <f ca="1"/>
        <v>38.64</v>
      </c>
      <c r="J20" s="94">
        <f ca="1"/>
        <v>3.3788819875776399</v>
      </c>
      <c r="K20" s="101" t="str">
        <f ca="1"/>
        <v>3-9</v>
      </c>
    </row>
    <row r="21" spans="1:11" x14ac:dyDescent="0.15">
      <c r="A21">
        <v>20</v>
      </c>
      <c r="B21">
        <f>MATCH(A21,Bowling!$CS$5:$CS$38,0)</f>
        <v>24</v>
      </c>
      <c r="C21" t="str">
        <f ca="1">OFFSET(Bowling!$B$4,BowlAves!B21,0)</f>
        <v>Reid</v>
      </c>
      <c r="D21" s="98">
        <f t="array" aca="1" ref="D21:K21" ca="1">OFFSET(Bowling!$CG$4,BowlAves!B21,0,1,8)</f>
        <v>32.299999999999997</v>
      </c>
      <c r="E21" s="93">
        <f ca="1"/>
        <v>0</v>
      </c>
      <c r="F21" s="93">
        <f ca="1"/>
        <v>134</v>
      </c>
      <c r="G21" s="93">
        <f ca="1"/>
        <v>6</v>
      </c>
      <c r="H21" s="97">
        <f ca="1"/>
        <v>22.333333333333332</v>
      </c>
      <c r="I21" s="94">
        <f ca="1"/>
        <v>32.5</v>
      </c>
      <c r="J21" s="94">
        <f ca="1"/>
        <v>4.1230769230769226</v>
      </c>
      <c r="K21" s="101" t="str">
        <f ca="1"/>
        <v>4-22</v>
      </c>
    </row>
    <row r="22" spans="1:11" x14ac:dyDescent="0.15">
      <c r="A22">
        <v>21</v>
      </c>
      <c r="B22">
        <f>MATCH(A22,Bowling!$CS$5:$CS$38,0)</f>
        <v>17</v>
      </c>
      <c r="C22" t="str">
        <f ca="1">OFFSET(Bowling!$B$4,BowlAves!B22,0)</f>
        <v>Mander N</v>
      </c>
      <c r="D22" s="98">
        <f t="array" aca="1" ref="D22:K22" ca="1">OFFSET(Bowling!$CG$4,BowlAves!B22,0,1,8)</f>
        <v>32</v>
      </c>
      <c r="E22" s="93">
        <f ca="1"/>
        <v>4</v>
      </c>
      <c r="F22" s="93">
        <f ca="1"/>
        <v>112</v>
      </c>
      <c r="G22" s="93">
        <f ca="1"/>
        <v>5</v>
      </c>
      <c r="H22" s="97">
        <f ca="1"/>
        <v>22.4</v>
      </c>
      <c r="I22" s="94">
        <f ca="1"/>
        <v>38.4</v>
      </c>
      <c r="J22" s="94">
        <f ca="1"/>
        <v>3.5</v>
      </c>
      <c r="K22" s="101" t="str">
        <f ca="1"/>
        <v>3-14</v>
      </c>
    </row>
    <row r="23" spans="1:11" x14ac:dyDescent="0.15">
      <c r="A23">
        <v>22</v>
      </c>
      <c r="B23">
        <f>MATCH(A23,Bowling!$CS$5:$CS$38,0)</f>
        <v>16</v>
      </c>
      <c r="C23" t="str">
        <f ca="1">OFFSET(Bowling!$B$4,BowlAves!B23,0)</f>
        <v>Mander C</v>
      </c>
      <c r="D23" s="98">
        <f t="array" aca="1" ref="D23:K23" ca="1">OFFSET(Bowling!$CG$4,BowlAves!B23,0,1,8)</f>
        <v>63.4</v>
      </c>
      <c r="E23" s="93">
        <f ca="1"/>
        <v>9</v>
      </c>
      <c r="F23" s="93">
        <f ca="1"/>
        <v>233</v>
      </c>
      <c r="G23" s="93">
        <f ca="1"/>
        <v>9</v>
      </c>
      <c r="H23" s="97">
        <f ca="1"/>
        <v>25.888888888888889</v>
      </c>
      <c r="I23" s="94">
        <f ca="1"/>
        <v>42.444444444444443</v>
      </c>
      <c r="J23" s="94">
        <f ca="1"/>
        <v>3.6596858638743455</v>
      </c>
      <c r="K23" s="101" t="str">
        <f ca="1"/>
        <v>4-15</v>
      </c>
    </row>
    <row r="24" spans="1:11" x14ac:dyDescent="0.15">
      <c r="A24">
        <v>23</v>
      </c>
      <c r="B24">
        <f>MATCH(A24,Bowling!$CS$5:$CS$38,0)</f>
        <v>13</v>
      </c>
      <c r="C24" t="str">
        <f ca="1">OFFSET(Bowling!$B$4,BowlAves!B24,0)</f>
        <v>Lestrelle</v>
      </c>
      <c r="D24" s="98">
        <f t="array" aca="1" ref="D24:K24" ca="1">OFFSET(Bowling!$CG$4,BowlAves!B24,0,1,8)</f>
        <v>57.3</v>
      </c>
      <c r="E24" s="93">
        <f ca="1"/>
        <v>11</v>
      </c>
      <c r="F24" s="93">
        <f ca="1"/>
        <v>268</v>
      </c>
      <c r="G24" s="93">
        <f ca="1"/>
        <v>10</v>
      </c>
      <c r="H24" s="97">
        <f ca="1"/>
        <v>26.8</v>
      </c>
      <c r="I24" s="94">
        <f ca="1"/>
        <v>34.5</v>
      </c>
      <c r="J24" s="94">
        <f ca="1"/>
        <v>4.660869565217391</v>
      </c>
      <c r="K24" s="101" t="str">
        <f ca="1"/>
        <v>3-7</v>
      </c>
    </row>
    <row r="25" spans="1:11" x14ac:dyDescent="0.15">
      <c r="A25">
        <v>24</v>
      </c>
      <c r="B25">
        <f>MATCH(A25,Bowling!$CS$5:$CS$38,0)</f>
        <v>19</v>
      </c>
      <c r="C25" t="str">
        <f ca="1">OFFSET(Bowling!$B$4,BowlAves!B25,0)</f>
        <v>Middleton</v>
      </c>
      <c r="D25" s="98">
        <f t="array" aca="1" ref="D25:K25" ca="1">OFFSET(Bowling!$CG$4,BowlAves!B25,0,1,8)</f>
        <v>33</v>
      </c>
      <c r="E25" s="93">
        <f ca="1"/>
        <v>5</v>
      </c>
      <c r="F25" s="93">
        <f ca="1"/>
        <v>104</v>
      </c>
      <c r="G25" s="93">
        <f ca="1"/>
        <v>3</v>
      </c>
      <c r="H25" s="97">
        <f ca="1"/>
        <v>34.666666666666664</v>
      </c>
      <c r="I25" s="94">
        <f ca="1"/>
        <v>66</v>
      </c>
      <c r="J25" s="94">
        <f ca="1"/>
        <v>3.1515151515151514</v>
      </c>
      <c r="K25" s="101" t="str">
        <f ca="1"/>
        <v>2-33</v>
      </c>
    </row>
    <row r="26" spans="1:11" x14ac:dyDescent="0.15">
      <c r="A26">
        <v>25</v>
      </c>
      <c r="B26">
        <f>MATCH(A26,Bowling!$CS$5:$CS$38,0)</f>
        <v>11</v>
      </c>
      <c r="C26" t="str">
        <f ca="1">OFFSET(Bowling!$B$4,BowlAves!B26,0)</f>
        <v>Hickey</v>
      </c>
      <c r="D26" s="98">
        <f t="array" aca="1" ref="D26:K26" ca="1">OFFSET(Bowling!$CG$4,BowlAves!B26,0,1,8)</f>
        <v>32</v>
      </c>
      <c r="E26" s="93">
        <f ca="1"/>
        <v>4</v>
      </c>
      <c r="F26" s="93">
        <f ca="1"/>
        <v>150</v>
      </c>
      <c r="G26" s="93">
        <f ca="1"/>
        <v>4</v>
      </c>
      <c r="H26" s="97">
        <f ca="1"/>
        <v>37.5</v>
      </c>
      <c r="I26" s="94">
        <f ca="1"/>
        <v>48</v>
      </c>
      <c r="J26" s="94">
        <f ca="1"/>
        <v>4.6875</v>
      </c>
      <c r="K26" s="101" t="str">
        <f ca="1"/>
        <v>2-41</v>
      </c>
    </row>
    <row r="27" spans="1:11" x14ac:dyDescent="0.15">
      <c r="A27">
        <v>26</v>
      </c>
      <c r="B27">
        <f>MATCH(A27,Bowling!$CS$5:$CS$38,0)</f>
        <v>14</v>
      </c>
      <c r="C27" t="str">
        <f ca="1">OFFSET(Bowling!$B$4,BowlAves!B27,0)</f>
        <v>Ligory</v>
      </c>
      <c r="D27" s="98">
        <f t="array" aca="1" ref="D27:K27" ca="1">OFFSET(Bowling!$CG$4,BowlAves!B27,0,1,8)</f>
        <v>22</v>
      </c>
      <c r="E27" s="93">
        <f ca="1"/>
        <v>2</v>
      </c>
      <c r="F27" s="93">
        <f ca="1"/>
        <v>89</v>
      </c>
      <c r="G27" s="93">
        <f ca="1"/>
        <v>2</v>
      </c>
      <c r="H27" s="97">
        <f ca="1"/>
        <v>44.5</v>
      </c>
      <c r="I27" s="94">
        <f ca="1"/>
        <v>66</v>
      </c>
      <c r="J27" s="94">
        <f ca="1"/>
        <v>4.0454545454545459</v>
      </c>
      <c r="K27" s="101" t="str">
        <f ca="1"/>
        <v>1-14</v>
      </c>
    </row>
    <row r="28" spans="1:11" x14ac:dyDescent="0.15">
      <c r="A28">
        <v>27</v>
      </c>
      <c r="B28">
        <f>MATCH(A28,Bowling!$CS$5:$CS$38,0)</f>
        <v>31</v>
      </c>
      <c r="C28" t="str">
        <f ca="1">OFFSET(Bowling!$B$4,BowlAves!B28,0)</f>
        <v>Worthington</v>
      </c>
      <c r="D28" s="98">
        <f t="array" aca="1" ref="D28:K28" ca="1">OFFSET(Bowling!$CG$4,BowlAves!B28,0,1,8)</f>
        <v>1</v>
      </c>
      <c r="E28" s="93">
        <f ca="1"/>
        <v>0</v>
      </c>
      <c r="F28" s="93">
        <f ca="1"/>
        <v>3</v>
      </c>
      <c r="G28" s="93">
        <f ca="1"/>
        <v>0</v>
      </c>
      <c r="H28" s="97" t="str">
        <f ca="1"/>
        <v/>
      </c>
      <c r="I28" s="94" t="str">
        <f ca="1"/>
        <v/>
      </c>
      <c r="J28" s="94">
        <f ca="1"/>
        <v>3</v>
      </c>
      <c r="K28" s="101" t="str">
        <f ca="1"/>
        <v>0-3</v>
      </c>
    </row>
    <row r="29" spans="1:11" x14ac:dyDescent="0.15">
      <c r="A29">
        <v>28</v>
      </c>
      <c r="B29">
        <f>MATCH(A29,Bowling!$CS$5:$CS$38,0)</f>
        <v>30</v>
      </c>
      <c r="C29" t="str">
        <f ca="1">OFFSET(Bowling!$B$4,BowlAves!B29,0)</f>
        <v>Woodhouse</v>
      </c>
      <c r="D29" s="98">
        <f t="array" aca="1" ref="D29:K29" ca="1">OFFSET(Bowling!$CG$4,BowlAves!B29,0,1,8)</f>
        <v>2.2000000000000002</v>
      </c>
      <c r="E29" s="93">
        <f ca="1"/>
        <v>0</v>
      </c>
      <c r="F29" s="93">
        <f ca="1"/>
        <v>11</v>
      </c>
      <c r="G29" s="93">
        <f ca="1"/>
        <v>0</v>
      </c>
      <c r="H29" s="97" t="str">
        <f ca="1"/>
        <v/>
      </c>
      <c r="I29" s="94" t="str">
        <f ca="1"/>
        <v/>
      </c>
      <c r="J29" s="94">
        <f ca="1"/>
        <v>4.7142857142857144</v>
      </c>
      <c r="K29" s="101" t="str">
        <f ca="1"/>
        <v>0-11</v>
      </c>
    </row>
    <row r="30" spans="1:11" x14ac:dyDescent="0.15">
      <c r="A30">
        <v>29</v>
      </c>
      <c r="B30">
        <f>MATCH(A30,Bowling!$CS$5:$CS$38,0)</f>
        <v>18</v>
      </c>
      <c r="C30" t="str">
        <f ca="1">OFFSET(Bowling!$B$4,BowlAves!B30,0)</f>
        <v>Merritt</v>
      </c>
      <c r="D30" s="98">
        <f t="array" aca="1" ref="D30:K30" ca="1">OFFSET(Bowling!$CG$4,BowlAves!B30,0,1,8)</f>
        <v>3</v>
      </c>
      <c r="E30" s="93">
        <f ca="1"/>
        <v>1</v>
      </c>
      <c r="F30" s="93">
        <f ca="1"/>
        <v>6</v>
      </c>
      <c r="G30" s="93">
        <f ca="1"/>
        <v>0</v>
      </c>
      <c r="H30" s="97" t="str">
        <f ca="1"/>
        <v/>
      </c>
      <c r="I30" s="94" t="str">
        <f ca="1"/>
        <v/>
      </c>
      <c r="J30" s="94">
        <f ca="1"/>
        <v>2</v>
      </c>
      <c r="K30" s="101" t="str">
        <f ca="1"/>
        <v>0-6</v>
      </c>
    </row>
    <row r="31" spans="1:11" x14ac:dyDescent="0.15">
      <c r="A31">
        <v>30</v>
      </c>
      <c r="B31">
        <f>MATCH(A31,Bowling!$CS$5:$CS$38,0)</f>
        <v>5</v>
      </c>
      <c r="C31" t="str">
        <f ca="1">OFFSET(Bowling!$B$4,BowlAves!B31,0)</f>
        <v>Coloe</v>
      </c>
      <c r="D31" s="98">
        <f t="array" aca="1" ref="D31:K31" ca="1">OFFSET(Bowling!$CG$4,BowlAves!B31,0,1,8)</f>
        <v>5</v>
      </c>
      <c r="E31" s="93">
        <f ca="1"/>
        <v>3</v>
      </c>
      <c r="F31" s="93">
        <f ca="1"/>
        <v>6</v>
      </c>
      <c r="G31" s="93">
        <f ca="1"/>
        <v>0</v>
      </c>
      <c r="H31" s="97" t="str">
        <f ca="1"/>
        <v/>
      </c>
      <c r="I31" s="94" t="str">
        <f ca="1"/>
        <v/>
      </c>
      <c r="J31" s="94">
        <f ca="1"/>
        <v>1.2</v>
      </c>
      <c r="K31" s="101" t="str">
        <f ca="1"/>
        <v>0-6</v>
      </c>
    </row>
    <row r="32" spans="1:11" x14ac:dyDescent="0.15">
      <c r="A32">
        <v>31</v>
      </c>
      <c r="B32">
        <f>MATCH(A32,Bowling!$CS$5:$CS$38,0)</f>
        <v>7</v>
      </c>
      <c r="C32" t="str">
        <f ca="1">OFFSET(Bowling!$B$4,BowlAves!B32,0)</f>
        <v>Dugdale</v>
      </c>
      <c r="D32" s="98">
        <f t="array" aca="1" ref="D32:K32" ca="1">OFFSET(Bowling!$CG$4,BowlAves!B32,0,1,8)</f>
        <v>0</v>
      </c>
      <c r="E32" s="93">
        <f ca="1"/>
        <v>0</v>
      </c>
      <c r="F32" s="93">
        <f ca="1"/>
        <v>0</v>
      </c>
      <c r="G32" s="93">
        <f ca="1"/>
        <v>0</v>
      </c>
      <c r="H32" s="97" t="str">
        <f ca="1"/>
        <v/>
      </c>
      <c r="I32" s="94" t="str">
        <f ca="1"/>
        <v/>
      </c>
      <c r="J32" s="94" t="str">
        <f ca="1"/>
        <v/>
      </c>
      <c r="K32" s="101" t="str">
        <f ca="1"/>
        <v/>
      </c>
    </row>
    <row r="33" spans="1:11" x14ac:dyDescent="0.15">
      <c r="A33">
        <v>32</v>
      </c>
      <c r="B33">
        <f>MATCH(A33,Bowling!$CS$5:$CS$38,0)</f>
        <v>10</v>
      </c>
      <c r="C33" t="str">
        <f ca="1">OFFSET(Bowling!$B$4,BowlAves!B33,0)</f>
        <v>Hawksworth</v>
      </c>
      <c r="D33" s="98">
        <f t="array" aca="1" ref="D33:K33" ca="1">OFFSET(Bowling!$CG$4,BowlAves!B33,0,1,8)</f>
        <v>0</v>
      </c>
      <c r="E33" s="93">
        <f ca="1"/>
        <v>0</v>
      </c>
      <c r="F33" s="93">
        <f ca="1"/>
        <v>0</v>
      </c>
      <c r="G33" s="93">
        <f ca="1"/>
        <v>0</v>
      </c>
      <c r="H33" s="97" t="str">
        <f ca="1"/>
        <v/>
      </c>
      <c r="I33" s="94" t="str">
        <f ca="1"/>
        <v/>
      </c>
      <c r="J33" s="94" t="str">
        <f ca="1"/>
        <v/>
      </c>
      <c r="K33" s="101" t="str">
        <f ca="1"/>
        <v/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1"/>
  <sheetViews>
    <sheetView topLeftCell="P1" workbookViewId="0">
      <selection activeCell="Q46" sqref="Q46"/>
    </sheetView>
  </sheetViews>
  <sheetFormatPr defaultColWidth="11.5703125" defaultRowHeight="10.5" x14ac:dyDescent="0.15"/>
  <sheetData>
    <row r="1" spans="1:41" s="6" customFormat="1" x14ac:dyDescent="0.15">
      <c r="A1" s="6" t="s">
        <v>122</v>
      </c>
      <c r="B1" s="6" t="s">
        <v>164</v>
      </c>
      <c r="C1" s="6" t="s">
        <v>225</v>
      </c>
      <c r="D1" s="6" t="s">
        <v>110</v>
      </c>
      <c r="E1" s="6" t="s">
        <v>110</v>
      </c>
      <c r="F1" s="6" t="s">
        <v>161</v>
      </c>
      <c r="G1" s="6" t="s">
        <v>111</v>
      </c>
      <c r="H1" s="6" t="s">
        <v>111</v>
      </c>
      <c r="I1" s="6" t="s">
        <v>116</v>
      </c>
      <c r="J1" s="6" t="s">
        <v>116</v>
      </c>
      <c r="K1" s="6" t="s">
        <v>116</v>
      </c>
      <c r="L1" s="6" t="s">
        <v>117</v>
      </c>
      <c r="M1" s="6" t="s">
        <v>117</v>
      </c>
      <c r="N1" s="6" t="s">
        <v>117</v>
      </c>
      <c r="O1" s="6" t="s">
        <v>118</v>
      </c>
      <c r="P1" s="6" t="s">
        <v>112</v>
      </c>
      <c r="Q1" s="6" t="s">
        <v>112</v>
      </c>
      <c r="R1" s="6" t="s">
        <v>114</v>
      </c>
      <c r="S1" s="6" t="s">
        <v>114</v>
      </c>
      <c r="T1" s="6" t="s">
        <v>287</v>
      </c>
      <c r="U1" s="6" t="s">
        <v>287</v>
      </c>
      <c r="V1" s="6" t="s">
        <v>234</v>
      </c>
      <c r="W1" s="6" t="s">
        <v>234</v>
      </c>
      <c r="X1" s="6" t="s">
        <v>119</v>
      </c>
      <c r="Y1" s="6" t="s">
        <v>314</v>
      </c>
      <c r="Z1" s="6" t="s">
        <v>109</v>
      </c>
      <c r="AA1" s="6" t="s">
        <v>109</v>
      </c>
      <c r="AB1" s="6" t="s">
        <v>315</v>
      </c>
      <c r="AC1" s="6" t="s">
        <v>113</v>
      </c>
      <c r="AD1" s="6" t="s">
        <v>173</v>
      </c>
      <c r="AE1" s="6" t="s">
        <v>173</v>
      </c>
      <c r="AF1" s="6" t="s">
        <v>123</v>
      </c>
      <c r="AG1" s="6" t="s">
        <v>168</v>
      </c>
      <c r="AH1" s="6" t="s">
        <v>124</v>
      </c>
      <c r="AI1" s="6" t="s">
        <v>124</v>
      </c>
    </row>
    <row r="2" spans="1:41" s="6" customFormat="1" x14ac:dyDescent="0.15">
      <c r="A2" s="6" t="s">
        <v>230</v>
      </c>
      <c r="B2" s="6" t="s">
        <v>231</v>
      </c>
      <c r="C2" s="6" t="s">
        <v>233</v>
      </c>
      <c r="D2" s="6" t="s">
        <v>235</v>
      </c>
      <c r="E2" s="6" t="s">
        <v>236</v>
      </c>
      <c r="F2" s="6" t="s">
        <v>237</v>
      </c>
      <c r="G2" s="6" t="s">
        <v>238</v>
      </c>
      <c r="H2" s="6" t="s">
        <v>239</v>
      </c>
      <c r="I2" s="6" t="s">
        <v>240</v>
      </c>
      <c r="J2" s="6" t="s">
        <v>241</v>
      </c>
      <c r="K2" s="6" t="s">
        <v>242</v>
      </c>
      <c r="L2" s="6" t="s">
        <v>343</v>
      </c>
      <c r="M2" s="6" t="s">
        <v>243</v>
      </c>
      <c r="N2" s="6" t="s">
        <v>244</v>
      </c>
      <c r="O2" s="6" t="s">
        <v>282</v>
      </c>
      <c r="P2" s="6" t="s">
        <v>283</v>
      </c>
      <c r="Q2" s="6" t="s">
        <v>284</v>
      </c>
      <c r="R2" s="6" t="s">
        <v>285</v>
      </c>
      <c r="S2" s="6" t="s">
        <v>286</v>
      </c>
      <c r="T2" s="6" t="s">
        <v>288</v>
      </c>
      <c r="U2" s="6" t="s">
        <v>289</v>
      </c>
      <c r="V2" s="6" t="s">
        <v>290</v>
      </c>
      <c r="X2" s="6" t="s">
        <v>291</v>
      </c>
      <c r="AC2" s="6" t="s">
        <v>316</v>
      </c>
      <c r="AD2" s="6" t="s">
        <v>317</v>
      </c>
      <c r="AE2" s="6" t="s">
        <v>318</v>
      </c>
      <c r="AF2" s="6" t="s">
        <v>319</v>
      </c>
    </row>
    <row r="3" spans="1:41" x14ac:dyDescent="0.15">
      <c r="A3" t="s">
        <v>160</v>
      </c>
      <c r="B3" t="s">
        <v>160</v>
      </c>
      <c r="C3" t="s">
        <v>160</v>
      </c>
      <c r="D3" t="s">
        <v>216</v>
      </c>
      <c r="E3" t="s">
        <v>158</v>
      </c>
      <c r="F3" t="s">
        <v>214</v>
      </c>
      <c r="G3" t="s">
        <v>84</v>
      </c>
      <c r="H3" t="s">
        <v>107</v>
      </c>
      <c r="I3" t="s">
        <v>84</v>
      </c>
      <c r="J3" t="s">
        <v>84</v>
      </c>
      <c r="K3" t="s">
        <v>106</v>
      </c>
      <c r="L3" t="s">
        <v>107</v>
      </c>
      <c r="M3" t="s">
        <v>105</v>
      </c>
      <c r="N3" t="s">
        <v>84</v>
      </c>
      <c r="O3" t="s">
        <v>160</v>
      </c>
      <c r="P3" t="s">
        <v>84</v>
      </c>
      <c r="Q3" t="s">
        <v>130</v>
      </c>
      <c r="R3" t="s">
        <v>84</v>
      </c>
      <c r="S3" t="s">
        <v>216</v>
      </c>
      <c r="T3" t="s">
        <v>84</v>
      </c>
      <c r="U3" t="s">
        <v>130</v>
      </c>
      <c r="V3" t="s">
        <v>232</v>
      </c>
      <c r="W3" t="s">
        <v>92</v>
      </c>
      <c r="X3" t="s">
        <v>84</v>
      </c>
      <c r="Y3" t="s">
        <v>84</v>
      </c>
      <c r="Z3" t="s">
        <v>160</v>
      </c>
      <c r="AA3" t="s">
        <v>106</v>
      </c>
      <c r="AB3" t="s">
        <v>98</v>
      </c>
      <c r="AC3" t="s">
        <v>106</v>
      </c>
      <c r="AD3" t="s">
        <v>94</v>
      </c>
      <c r="AE3" t="s">
        <v>218</v>
      </c>
      <c r="AF3" t="s">
        <v>84</v>
      </c>
      <c r="AG3" t="s">
        <v>79</v>
      </c>
      <c r="AH3" t="s">
        <v>128</v>
      </c>
      <c r="AI3" t="s">
        <v>128</v>
      </c>
    </row>
    <row r="4" spans="1:41" x14ac:dyDescent="0.15">
      <c r="A4" t="s">
        <v>81</v>
      </c>
      <c r="B4" t="s">
        <v>78</v>
      </c>
      <c r="C4" t="s">
        <v>79</v>
      </c>
      <c r="D4" t="s">
        <v>94</v>
      </c>
      <c r="E4" t="s">
        <v>94</v>
      </c>
      <c r="F4" t="s">
        <v>107</v>
      </c>
      <c r="G4" t="s">
        <v>132</v>
      </c>
      <c r="H4" t="s">
        <v>158</v>
      </c>
      <c r="I4" t="s">
        <v>128</v>
      </c>
      <c r="J4" t="s">
        <v>214</v>
      </c>
      <c r="K4" t="s">
        <v>107</v>
      </c>
      <c r="L4" t="s">
        <v>94</v>
      </c>
      <c r="M4" t="s">
        <v>106</v>
      </c>
      <c r="N4" t="s">
        <v>215</v>
      </c>
      <c r="O4" t="s">
        <v>128</v>
      </c>
      <c r="P4" t="s">
        <v>130</v>
      </c>
      <c r="Q4" t="s">
        <v>106</v>
      </c>
      <c r="R4" t="s">
        <v>215</v>
      </c>
      <c r="S4" t="s">
        <v>215</v>
      </c>
      <c r="T4" t="s">
        <v>130</v>
      </c>
      <c r="U4" t="s">
        <v>84</v>
      </c>
      <c r="V4" t="s">
        <v>103</v>
      </c>
      <c r="W4" t="s">
        <v>159</v>
      </c>
      <c r="X4" t="s">
        <v>107</v>
      </c>
      <c r="Y4" t="s">
        <v>81</v>
      </c>
      <c r="Z4" t="s">
        <v>95</v>
      </c>
      <c r="AA4" t="s">
        <v>92</v>
      </c>
      <c r="AB4" t="s">
        <v>79</v>
      </c>
      <c r="AC4" t="s">
        <v>98</v>
      </c>
      <c r="AD4" t="s">
        <v>98</v>
      </c>
      <c r="AE4" t="s">
        <v>84</v>
      </c>
      <c r="AF4" t="s">
        <v>107</v>
      </c>
      <c r="AG4" t="s">
        <v>160</v>
      </c>
      <c r="AH4" t="s">
        <v>218</v>
      </c>
      <c r="AI4" t="s">
        <v>218</v>
      </c>
    </row>
    <row r="5" spans="1:41" x14ac:dyDescent="0.15">
      <c r="A5" t="s">
        <v>90</v>
      </c>
      <c r="B5" t="s">
        <v>108</v>
      </c>
      <c r="C5" t="s">
        <v>78</v>
      </c>
      <c r="D5" t="s">
        <v>132</v>
      </c>
      <c r="E5" t="s">
        <v>214</v>
      </c>
      <c r="F5" t="s">
        <v>218</v>
      </c>
      <c r="G5" t="s">
        <v>81</v>
      </c>
      <c r="H5" t="s">
        <v>81</v>
      </c>
      <c r="I5" t="s">
        <v>216</v>
      </c>
      <c r="J5" t="s">
        <v>216</v>
      </c>
      <c r="K5" t="s">
        <v>216</v>
      </c>
      <c r="L5" t="s">
        <v>128</v>
      </c>
      <c r="M5" t="s">
        <v>100</v>
      </c>
      <c r="N5" t="s">
        <v>127</v>
      </c>
      <c r="O5" t="s">
        <v>84</v>
      </c>
      <c r="P5" t="s">
        <v>106</v>
      </c>
      <c r="Q5" t="s">
        <v>107</v>
      </c>
      <c r="R5" t="s">
        <v>216</v>
      </c>
      <c r="S5" t="s">
        <v>107</v>
      </c>
      <c r="T5" t="s">
        <v>98</v>
      </c>
      <c r="U5" t="s">
        <v>127</v>
      </c>
      <c r="V5" t="s">
        <v>88</v>
      </c>
      <c r="W5" t="s">
        <v>105</v>
      </c>
      <c r="X5" t="s">
        <v>158</v>
      </c>
      <c r="Y5" t="s">
        <v>108</v>
      </c>
      <c r="Z5" t="s">
        <v>96</v>
      </c>
      <c r="AA5" t="s">
        <v>82</v>
      </c>
      <c r="AB5" t="s">
        <v>132</v>
      </c>
      <c r="AC5" t="s">
        <v>107</v>
      </c>
      <c r="AD5" t="s">
        <v>158</v>
      </c>
      <c r="AE5" t="s">
        <v>127</v>
      </c>
      <c r="AF5" t="s">
        <v>128</v>
      </c>
      <c r="AG5" t="s">
        <v>106</v>
      </c>
      <c r="AH5" t="s">
        <v>130</v>
      </c>
      <c r="AI5" t="s">
        <v>130</v>
      </c>
    </row>
    <row r="6" spans="1:41" x14ac:dyDescent="0.15">
      <c r="A6" t="s">
        <v>86</v>
      </c>
      <c r="B6" t="s">
        <v>88</v>
      </c>
      <c r="C6" t="s">
        <v>86</v>
      </c>
      <c r="D6" t="s">
        <v>84</v>
      </c>
      <c r="E6" t="s">
        <v>84</v>
      </c>
      <c r="F6" t="s">
        <v>98</v>
      </c>
      <c r="G6" t="s">
        <v>90</v>
      </c>
      <c r="H6" t="s">
        <v>79</v>
      </c>
      <c r="I6" t="s">
        <v>130</v>
      </c>
      <c r="J6" t="s">
        <v>215</v>
      </c>
      <c r="K6" t="s">
        <v>132</v>
      </c>
      <c r="L6" t="s">
        <v>216</v>
      </c>
      <c r="M6" t="s">
        <v>128</v>
      </c>
      <c r="N6" t="s">
        <v>98</v>
      </c>
      <c r="O6" t="s">
        <v>107</v>
      </c>
      <c r="P6" t="s">
        <v>218</v>
      </c>
      <c r="Q6" t="s">
        <v>218</v>
      </c>
      <c r="R6" t="s">
        <v>218</v>
      </c>
      <c r="S6" t="s">
        <v>218</v>
      </c>
      <c r="T6" t="s">
        <v>94</v>
      </c>
      <c r="U6" t="s">
        <v>218</v>
      </c>
      <c r="V6" t="s">
        <v>96</v>
      </c>
      <c r="W6" t="s">
        <v>86</v>
      </c>
      <c r="X6" t="s">
        <v>94</v>
      </c>
      <c r="Y6" t="s">
        <v>159</v>
      </c>
      <c r="Z6" t="s">
        <v>86</v>
      </c>
      <c r="AA6" t="s">
        <v>81</v>
      </c>
      <c r="AB6" t="s">
        <v>94</v>
      </c>
      <c r="AC6" t="s">
        <v>130</v>
      </c>
      <c r="AD6" t="s">
        <v>127</v>
      </c>
      <c r="AE6" t="s">
        <v>128</v>
      </c>
      <c r="AF6" t="s">
        <v>106</v>
      </c>
      <c r="AG6" t="s">
        <v>107</v>
      </c>
      <c r="AH6" t="s">
        <v>94</v>
      </c>
      <c r="AI6" t="s">
        <v>94</v>
      </c>
    </row>
    <row r="7" spans="1:41" x14ac:dyDescent="0.15">
      <c r="A7" t="s">
        <v>88</v>
      </c>
      <c r="B7" t="s">
        <v>157</v>
      </c>
      <c r="C7" t="s">
        <v>88</v>
      </c>
      <c r="D7" t="s">
        <v>108</v>
      </c>
      <c r="E7" t="s">
        <v>232</v>
      </c>
      <c r="F7" t="s">
        <v>159</v>
      </c>
      <c r="G7" t="s">
        <v>216</v>
      </c>
      <c r="H7" t="s">
        <v>98</v>
      </c>
      <c r="I7" t="s">
        <v>96</v>
      </c>
      <c r="J7" t="s">
        <v>132</v>
      </c>
      <c r="K7" t="s">
        <v>92</v>
      </c>
      <c r="L7" t="s">
        <v>81</v>
      </c>
      <c r="M7" t="s">
        <v>81</v>
      </c>
      <c r="N7" t="s">
        <v>160</v>
      </c>
      <c r="O7" t="s">
        <v>215</v>
      </c>
      <c r="P7" t="s">
        <v>101</v>
      </c>
      <c r="Q7" t="s">
        <v>92</v>
      </c>
      <c r="R7" t="s">
        <v>219</v>
      </c>
      <c r="S7" t="s">
        <v>92</v>
      </c>
      <c r="T7" t="s">
        <v>101</v>
      </c>
      <c r="U7" t="s">
        <v>83</v>
      </c>
      <c r="V7" t="s">
        <v>106</v>
      </c>
      <c r="W7" t="s">
        <v>158</v>
      </c>
      <c r="X7" t="s">
        <v>130</v>
      </c>
      <c r="Y7" t="s">
        <v>82</v>
      </c>
      <c r="Z7" t="s">
        <v>92</v>
      </c>
      <c r="AA7" t="s">
        <v>98</v>
      </c>
      <c r="AB7" t="s">
        <v>131</v>
      </c>
      <c r="AC7" t="s">
        <v>86</v>
      </c>
      <c r="AD7" t="s">
        <v>95</v>
      </c>
      <c r="AE7" t="s">
        <v>94</v>
      </c>
      <c r="AF7" t="s">
        <v>232</v>
      </c>
      <c r="AG7" t="s">
        <v>94</v>
      </c>
      <c r="AH7" t="s">
        <v>232</v>
      </c>
      <c r="AI7" t="s">
        <v>232</v>
      </c>
    </row>
    <row r="8" spans="1:41" x14ac:dyDescent="0.15">
      <c r="A8" t="s">
        <v>92</v>
      </c>
      <c r="B8" t="s">
        <v>86</v>
      </c>
      <c r="C8" t="s">
        <v>108</v>
      </c>
      <c r="D8" t="s">
        <v>92</v>
      </c>
      <c r="E8" t="s">
        <v>157</v>
      </c>
      <c r="F8" t="s">
        <v>88</v>
      </c>
      <c r="G8" t="s">
        <v>218</v>
      </c>
      <c r="H8" t="s">
        <v>216</v>
      </c>
      <c r="I8" t="s">
        <v>219</v>
      </c>
      <c r="J8" t="s">
        <v>96</v>
      </c>
      <c r="K8" t="s">
        <v>101</v>
      </c>
      <c r="L8" t="s">
        <v>95</v>
      </c>
      <c r="M8" t="s">
        <v>92</v>
      </c>
      <c r="N8" t="s">
        <v>129</v>
      </c>
      <c r="O8" t="s">
        <v>232</v>
      </c>
      <c r="P8" t="s">
        <v>103</v>
      </c>
      <c r="Q8" t="s">
        <v>108</v>
      </c>
      <c r="R8" t="s">
        <v>157</v>
      </c>
      <c r="S8" t="s">
        <v>82</v>
      </c>
      <c r="T8" t="s">
        <v>92</v>
      </c>
      <c r="U8" t="s">
        <v>108</v>
      </c>
      <c r="V8" t="s">
        <v>82</v>
      </c>
      <c r="W8" t="s">
        <v>107</v>
      </c>
      <c r="X8" t="s">
        <v>159</v>
      </c>
      <c r="Y8" t="s">
        <v>90</v>
      </c>
      <c r="Z8" t="s">
        <v>159</v>
      </c>
      <c r="AA8" t="s">
        <v>86</v>
      </c>
      <c r="AB8" t="s">
        <v>81</v>
      </c>
      <c r="AC8" t="s">
        <v>101</v>
      </c>
      <c r="AD8" t="s">
        <v>100</v>
      </c>
      <c r="AE8" t="s">
        <v>90</v>
      </c>
      <c r="AF8" t="s">
        <v>103</v>
      </c>
      <c r="AG8" t="s">
        <v>127</v>
      </c>
      <c r="AH8" t="s">
        <v>86</v>
      </c>
      <c r="AI8" t="s">
        <v>86</v>
      </c>
    </row>
    <row r="9" spans="1:41" x14ac:dyDescent="0.15">
      <c r="A9" t="s">
        <v>103</v>
      </c>
      <c r="B9" t="s">
        <v>232</v>
      </c>
      <c r="C9" t="s">
        <v>82</v>
      </c>
      <c r="D9" t="s">
        <v>101</v>
      </c>
      <c r="E9" t="s">
        <v>92</v>
      </c>
      <c r="F9" t="s">
        <v>92</v>
      </c>
      <c r="G9" t="s">
        <v>108</v>
      </c>
      <c r="H9" t="s">
        <v>108</v>
      </c>
      <c r="I9" t="s">
        <v>157</v>
      </c>
      <c r="J9" t="s">
        <v>108</v>
      </c>
      <c r="K9" t="s">
        <v>88</v>
      </c>
      <c r="L9" t="s">
        <v>99</v>
      </c>
      <c r="M9" t="s">
        <v>99</v>
      </c>
      <c r="N9" t="s">
        <v>99</v>
      </c>
      <c r="O9" t="s">
        <v>82</v>
      </c>
      <c r="P9" t="s">
        <v>82</v>
      </c>
      <c r="Q9" t="s">
        <v>232</v>
      </c>
      <c r="R9" t="s">
        <v>232</v>
      </c>
      <c r="S9" t="s">
        <v>105</v>
      </c>
      <c r="T9" t="s">
        <v>108</v>
      </c>
      <c r="U9" t="s">
        <v>103</v>
      </c>
      <c r="V9" t="s">
        <v>98</v>
      </c>
      <c r="W9" t="s">
        <v>82</v>
      </c>
      <c r="X9" t="s">
        <v>88</v>
      </c>
      <c r="Y9" t="s">
        <v>128</v>
      </c>
      <c r="Z9" t="s">
        <v>107</v>
      </c>
      <c r="AA9" t="s">
        <v>96</v>
      </c>
      <c r="AB9" t="s">
        <v>90</v>
      </c>
      <c r="AC9" t="s">
        <v>83</v>
      </c>
      <c r="AD9" t="s">
        <v>83</v>
      </c>
      <c r="AE9" t="s">
        <v>131</v>
      </c>
      <c r="AF9" t="s">
        <v>108</v>
      </c>
      <c r="AG9" t="s">
        <v>92</v>
      </c>
      <c r="AH9" t="s">
        <v>88</v>
      </c>
      <c r="AI9" t="s">
        <v>88</v>
      </c>
    </row>
    <row r="10" spans="1:41" x14ac:dyDescent="0.15">
      <c r="A10" t="s">
        <v>218</v>
      </c>
      <c r="B10" t="s">
        <v>84</v>
      </c>
      <c r="C10" t="s">
        <v>107</v>
      </c>
      <c r="D10" t="s">
        <v>82</v>
      </c>
      <c r="E10" t="s">
        <v>108</v>
      </c>
      <c r="F10" t="s">
        <v>101</v>
      </c>
      <c r="G10" t="s">
        <v>157</v>
      </c>
      <c r="H10" t="s">
        <v>82</v>
      </c>
      <c r="I10" t="s">
        <v>97</v>
      </c>
      <c r="J10" t="s">
        <v>218</v>
      </c>
      <c r="K10" t="s">
        <v>82</v>
      </c>
      <c r="L10" t="s">
        <v>82</v>
      </c>
      <c r="M10" t="s">
        <v>83</v>
      </c>
      <c r="N10" t="s">
        <v>157</v>
      </c>
      <c r="O10" t="s">
        <v>105</v>
      </c>
      <c r="P10" t="s">
        <v>108</v>
      </c>
      <c r="Q10" t="s">
        <v>88</v>
      </c>
      <c r="R10" t="s">
        <v>105</v>
      </c>
      <c r="S10" t="s">
        <v>219</v>
      </c>
      <c r="T10" t="s">
        <v>88</v>
      </c>
      <c r="U10" t="s">
        <v>86</v>
      </c>
      <c r="V10" t="s">
        <v>94</v>
      </c>
      <c r="W10" t="s">
        <v>94</v>
      </c>
      <c r="X10" t="s">
        <v>82</v>
      </c>
      <c r="Y10" t="s">
        <v>218</v>
      </c>
      <c r="Z10" t="s">
        <v>98</v>
      </c>
      <c r="AA10" t="s">
        <v>90</v>
      </c>
      <c r="AB10" t="s">
        <v>96</v>
      </c>
      <c r="AC10" t="s">
        <v>82</v>
      </c>
      <c r="AD10" t="s">
        <v>101</v>
      </c>
      <c r="AE10" t="s">
        <v>219</v>
      </c>
      <c r="AF10" t="s">
        <v>88</v>
      </c>
      <c r="AG10" t="s">
        <v>105</v>
      </c>
      <c r="AH10" t="s">
        <v>101</v>
      </c>
      <c r="AI10" t="s">
        <v>101</v>
      </c>
    </row>
    <row r="11" spans="1:41" x14ac:dyDescent="0.15">
      <c r="A11" t="s">
        <v>107</v>
      </c>
      <c r="B11" t="s">
        <v>218</v>
      </c>
      <c r="C11" t="s">
        <v>106</v>
      </c>
      <c r="D11" t="s">
        <v>217</v>
      </c>
      <c r="E11" t="s">
        <v>90</v>
      </c>
      <c r="F11" t="s">
        <v>95</v>
      </c>
      <c r="G11" t="s">
        <v>101</v>
      </c>
      <c r="H11" t="s">
        <v>86</v>
      </c>
      <c r="I11" t="s">
        <v>81</v>
      </c>
      <c r="J11" t="s">
        <v>157</v>
      </c>
      <c r="K11" t="s">
        <v>160</v>
      </c>
      <c r="L11" t="s">
        <v>88</v>
      </c>
      <c r="M11" t="s">
        <v>218</v>
      </c>
      <c r="N11" t="s">
        <v>88</v>
      </c>
      <c r="O11" t="s">
        <v>88</v>
      </c>
      <c r="P11" t="s">
        <v>88</v>
      </c>
      <c r="Q11" t="s">
        <v>95</v>
      </c>
      <c r="R11" t="s">
        <v>99</v>
      </c>
      <c r="S11" t="s">
        <v>95</v>
      </c>
      <c r="T11" t="s">
        <v>232</v>
      </c>
      <c r="U11" t="s">
        <v>105</v>
      </c>
      <c r="V11" t="s">
        <v>95</v>
      </c>
      <c r="W11" t="s">
        <v>90</v>
      </c>
      <c r="X11" t="s">
        <v>108</v>
      </c>
      <c r="Y11" t="s">
        <v>88</v>
      </c>
      <c r="Z11" t="s">
        <v>128</v>
      </c>
      <c r="AA11" t="s">
        <v>216</v>
      </c>
      <c r="AB11" t="s">
        <v>101</v>
      </c>
      <c r="AC11" t="s">
        <v>160</v>
      </c>
      <c r="AD11" t="s">
        <v>92</v>
      </c>
      <c r="AE11" t="s">
        <v>83</v>
      </c>
      <c r="AF11" t="s">
        <v>78</v>
      </c>
      <c r="AG11" t="s">
        <v>157</v>
      </c>
      <c r="AH11" t="s">
        <v>81</v>
      </c>
      <c r="AI11" t="s">
        <v>160</v>
      </c>
    </row>
    <row r="12" spans="1:41" x14ac:dyDescent="0.15">
      <c r="A12" t="s">
        <v>127</v>
      </c>
      <c r="B12" t="s">
        <v>94</v>
      </c>
      <c r="C12" t="s">
        <v>98</v>
      </c>
      <c r="D12" t="s">
        <v>78</v>
      </c>
      <c r="E12" t="s">
        <v>95</v>
      </c>
      <c r="F12" t="s">
        <v>81</v>
      </c>
      <c r="G12" t="s">
        <v>105</v>
      </c>
      <c r="H12" t="s">
        <v>88</v>
      </c>
      <c r="I12" t="s">
        <v>131</v>
      </c>
      <c r="J12" t="s">
        <v>81</v>
      </c>
      <c r="K12" t="s">
        <v>81</v>
      </c>
      <c r="L12" t="s">
        <v>232</v>
      </c>
      <c r="M12" t="s">
        <v>90</v>
      </c>
      <c r="N12" t="s">
        <v>103</v>
      </c>
      <c r="O12" t="s">
        <v>79</v>
      </c>
      <c r="P12" t="s">
        <v>90</v>
      </c>
      <c r="Q12" t="s">
        <v>79</v>
      </c>
      <c r="R12" t="s">
        <v>90</v>
      </c>
      <c r="S12" t="s">
        <v>99</v>
      </c>
      <c r="T12" t="s">
        <v>78</v>
      </c>
      <c r="U12" t="s">
        <v>90</v>
      </c>
      <c r="V12" t="s">
        <v>160</v>
      </c>
      <c r="W12" t="s">
        <v>81</v>
      </c>
      <c r="X12" t="s">
        <v>90</v>
      </c>
      <c r="Y12" t="s">
        <v>107</v>
      </c>
      <c r="Z12" t="s">
        <v>130</v>
      </c>
      <c r="AA12" t="s">
        <v>128</v>
      </c>
      <c r="AB12" t="s">
        <v>159</v>
      </c>
      <c r="AC12" t="s">
        <v>95</v>
      </c>
      <c r="AD12" t="s">
        <v>232</v>
      </c>
      <c r="AE12" t="s">
        <v>88</v>
      </c>
      <c r="AF12" t="s">
        <v>160</v>
      </c>
      <c r="AG12" t="s">
        <v>82</v>
      </c>
      <c r="AH12" t="s">
        <v>99</v>
      </c>
      <c r="AI12" t="s">
        <v>81</v>
      </c>
    </row>
    <row r="13" spans="1:41" s="6" customFormat="1" x14ac:dyDescent="0.15">
      <c r="A13" s="6" t="s">
        <v>216</v>
      </c>
      <c r="B13" s="6" t="s">
        <v>106</v>
      </c>
      <c r="C13" s="6" t="s">
        <v>94</v>
      </c>
      <c r="D13" s="6" t="s">
        <v>160</v>
      </c>
      <c r="E13" s="6" t="s">
        <v>131</v>
      </c>
      <c r="F13" s="6" t="s">
        <v>160</v>
      </c>
      <c r="G13" s="6" t="s">
        <v>92</v>
      </c>
      <c r="H13" s="6" t="s">
        <v>92</v>
      </c>
      <c r="I13" s="6" t="s">
        <v>95</v>
      </c>
      <c r="J13" s="6" t="s">
        <v>99</v>
      </c>
      <c r="K13" s="6" t="s">
        <v>78</v>
      </c>
      <c r="L13" s="6" t="s">
        <v>108</v>
      </c>
      <c r="M13" s="6" t="s">
        <v>159</v>
      </c>
      <c r="N13" s="6" t="s">
        <v>101</v>
      </c>
      <c r="O13" s="6" t="s">
        <v>94</v>
      </c>
      <c r="P13" s="6" t="s">
        <v>100</v>
      </c>
      <c r="Q13" s="6" t="s">
        <v>81</v>
      </c>
      <c r="R13" s="6" t="s">
        <v>81</v>
      </c>
      <c r="S13" s="6" t="s">
        <v>81</v>
      </c>
      <c r="T13" s="6" t="s">
        <v>100</v>
      </c>
      <c r="U13" s="6" t="s">
        <v>160</v>
      </c>
      <c r="V13" s="6" t="s">
        <v>216</v>
      </c>
      <c r="W13" s="6" t="s">
        <v>216</v>
      </c>
      <c r="X13" s="6" t="s">
        <v>100</v>
      </c>
      <c r="Y13" s="6" t="s">
        <v>130</v>
      </c>
      <c r="Z13" s="6" t="s">
        <v>216</v>
      </c>
      <c r="AA13" s="6" t="s">
        <v>214</v>
      </c>
      <c r="AB13" s="6" t="s">
        <v>88</v>
      </c>
      <c r="AC13" s="6" t="s">
        <v>100</v>
      </c>
      <c r="AD13" s="6" t="s">
        <v>96</v>
      </c>
      <c r="AE13" s="6" t="s">
        <v>96</v>
      </c>
      <c r="AF13" s="6" t="s">
        <v>215</v>
      </c>
      <c r="AG13" s="6" t="s">
        <v>78</v>
      </c>
      <c r="AH13" s="6" t="s">
        <v>78</v>
      </c>
      <c r="AI13" s="6" t="s">
        <v>99</v>
      </c>
    </row>
    <row r="14" spans="1:41" s="6" customFormat="1" ht="12.75" x14ac:dyDescent="0.15">
      <c r="A14" s="28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E14" s="59"/>
      <c r="AF14" s="59"/>
    </row>
    <row r="15" spans="1:41" x14ac:dyDescent="0.15">
      <c r="A15">
        <f>SUM(A16:A26)</f>
        <v>54</v>
      </c>
      <c r="B15">
        <f t="shared" ref="B15:Q15" si="0">SUM(B16:B26)</f>
        <v>55</v>
      </c>
      <c r="C15">
        <f t="shared" si="0"/>
        <v>55</v>
      </c>
      <c r="D15">
        <f t="shared" si="0"/>
        <v>55</v>
      </c>
      <c r="E15">
        <f t="shared" si="0"/>
        <v>55</v>
      </c>
      <c r="F15">
        <f t="shared" si="0"/>
        <v>55</v>
      </c>
      <c r="G15">
        <f t="shared" si="0"/>
        <v>55</v>
      </c>
      <c r="H15">
        <f t="shared" si="0"/>
        <v>55</v>
      </c>
      <c r="I15">
        <f t="shared" si="0"/>
        <v>55</v>
      </c>
      <c r="J15">
        <f t="shared" si="0"/>
        <v>55</v>
      </c>
      <c r="K15">
        <f t="shared" si="0"/>
        <v>55</v>
      </c>
      <c r="L15">
        <f t="shared" si="0"/>
        <v>55</v>
      </c>
      <c r="M15">
        <f t="shared" si="0"/>
        <v>55</v>
      </c>
      <c r="N15">
        <f t="shared" si="0"/>
        <v>55</v>
      </c>
      <c r="O15">
        <f t="shared" si="0"/>
        <v>55</v>
      </c>
      <c r="P15">
        <f t="shared" si="0"/>
        <v>55</v>
      </c>
      <c r="Q15">
        <f t="shared" si="0"/>
        <v>55</v>
      </c>
      <c r="R15">
        <f t="shared" ref="R15:AG15" si="1">SUM(R16:R26)</f>
        <v>55</v>
      </c>
      <c r="S15">
        <f t="shared" si="1"/>
        <v>55</v>
      </c>
      <c r="T15">
        <f t="shared" si="1"/>
        <v>55</v>
      </c>
      <c r="U15">
        <f t="shared" si="1"/>
        <v>54</v>
      </c>
      <c r="V15">
        <f t="shared" si="1"/>
        <v>55</v>
      </c>
      <c r="W15">
        <f t="shared" si="1"/>
        <v>55</v>
      </c>
      <c r="X15">
        <f t="shared" si="1"/>
        <v>55</v>
      </c>
      <c r="Y15">
        <f t="shared" si="1"/>
        <v>55</v>
      </c>
      <c r="Z15">
        <f t="shared" si="1"/>
        <v>54</v>
      </c>
      <c r="AA15">
        <f t="shared" si="1"/>
        <v>55</v>
      </c>
      <c r="AB15">
        <f t="shared" si="1"/>
        <v>55</v>
      </c>
      <c r="AC15">
        <f t="shared" si="1"/>
        <v>55</v>
      </c>
      <c r="AD15">
        <f t="shared" si="1"/>
        <v>55</v>
      </c>
      <c r="AE15">
        <f t="shared" si="1"/>
        <v>49</v>
      </c>
      <c r="AF15">
        <f t="shared" si="1"/>
        <v>54</v>
      </c>
      <c r="AG15">
        <f t="shared" si="1"/>
        <v>54</v>
      </c>
      <c r="AH15">
        <f t="shared" ref="AH15:AO15" si="2">SUM(AH16:AH26)</f>
        <v>53</v>
      </c>
      <c r="AI15">
        <f t="shared" si="2"/>
        <v>54</v>
      </c>
      <c r="AJ15" t="e">
        <f t="shared" si="2"/>
        <v>#N/A</v>
      </c>
      <c r="AK15" t="e">
        <f t="shared" si="2"/>
        <v>#N/A</v>
      </c>
      <c r="AL15" t="e">
        <f t="shared" si="2"/>
        <v>#N/A</v>
      </c>
      <c r="AM15" t="e">
        <f t="shared" si="2"/>
        <v>#N/A</v>
      </c>
      <c r="AN15" t="e">
        <f t="shared" si="2"/>
        <v>#N/A</v>
      </c>
      <c r="AO15" t="e">
        <f t="shared" si="2"/>
        <v>#N/A</v>
      </c>
    </row>
    <row r="16" spans="1:41" x14ac:dyDescent="0.15">
      <c r="A16">
        <f>VLOOKUP(A3,$A$45:$C$96,3,FALSE)</f>
        <v>7</v>
      </c>
      <c r="B16">
        <f t="shared" ref="B16:AO16" si="3">VLOOKUP(B3,$A$45:$C$96,3,FALSE)</f>
        <v>7</v>
      </c>
      <c r="C16">
        <f t="shared" si="3"/>
        <v>7</v>
      </c>
      <c r="D16">
        <f t="shared" si="3"/>
        <v>1</v>
      </c>
      <c r="E16">
        <f t="shared" si="3"/>
        <v>5</v>
      </c>
      <c r="F16">
        <f t="shared" si="3"/>
        <v>1</v>
      </c>
      <c r="G16">
        <f t="shared" si="3"/>
        <v>14</v>
      </c>
      <c r="H16">
        <f t="shared" si="3"/>
        <v>5</v>
      </c>
      <c r="I16">
        <f t="shared" si="3"/>
        <v>14</v>
      </c>
      <c r="J16">
        <f t="shared" si="3"/>
        <v>14</v>
      </c>
      <c r="K16">
        <f t="shared" si="3"/>
        <v>5</v>
      </c>
      <c r="L16">
        <f t="shared" si="3"/>
        <v>5</v>
      </c>
      <c r="M16">
        <f t="shared" si="3"/>
        <v>4</v>
      </c>
      <c r="N16">
        <f t="shared" si="3"/>
        <v>14</v>
      </c>
      <c r="O16">
        <f t="shared" si="3"/>
        <v>7</v>
      </c>
      <c r="P16">
        <f t="shared" si="3"/>
        <v>14</v>
      </c>
      <c r="Q16">
        <f t="shared" si="3"/>
        <v>2</v>
      </c>
      <c r="R16">
        <f t="shared" si="3"/>
        <v>14</v>
      </c>
      <c r="S16">
        <f t="shared" si="3"/>
        <v>1</v>
      </c>
      <c r="T16">
        <f t="shared" si="3"/>
        <v>14</v>
      </c>
      <c r="U16">
        <f t="shared" si="3"/>
        <v>2</v>
      </c>
      <c r="V16">
        <f t="shared" si="3"/>
        <v>3</v>
      </c>
      <c r="W16">
        <f t="shared" si="3"/>
        <v>6</v>
      </c>
      <c r="X16">
        <f t="shared" si="3"/>
        <v>14</v>
      </c>
      <c r="Y16">
        <f t="shared" si="3"/>
        <v>14</v>
      </c>
      <c r="Z16">
        <f t="shared" si="3"/>
        <v>7</v>
      </c>
      <c r="AA16">
        <f t="shared" si="3"/>
        <v>5</v>
      </c>
      <c r="AB16">
        <f t="shared" si="3"/>
        <v>4</v>
      </c>
      <c r="AC16">
        <f t="shared" si="3"/>
        <v>5</v>
      </c>
      <c r="AD16">
        <f t="shared" si="3"/>
        <v>4</v>
      </c>
      <c r="AE16">
        <f t="shared" si="3"/>
        <v>2</v>
      </c>
      <c r="AF16">
        <f t="shared" si="3"/>
        <v>14</v>
      </c>
      <c r="AG16">
        <f t="shared" si="3"/>
        <v>7</v>
      </c>
      <c r="AH16">
        <f t="shared" si="3"/>
        <v>2</v>
      </c>
      <c r="AI16">
        <f t="shared" si="3"/>
        <v>2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>
        <f t="shared" ref="A17:AO17" si="4">VLOOKUP(A4,$A$45:$C$96,3,FALSE)</f>
        <v>10</v>
      </c>
      <c r="B17">
        <f t="shared" si="4"/>
        <v>6</v>
      </c>
      <c r="C17">
        <f t="shared" si="4"/>
        <v>7</v>
      </c>
      <c r="D17">
        <f t="shared" si="4"/>
        <v>4</v>
      </c>
      <c r="E17">
        <f t="shared" si="4"/>
        <v>4</v>
      </c>
      <c r="F17">
        <f t="shared" si="4"/>
        <v>5</v>
      </c>
      <c r="G17">
        <f t="shared" si="4"/>
        <v>2</v>
      </c>
      <c r="H17">
        <f t="shared" si="4"/>
        <v>5</v>
      </c>
      <c r="I17">
        <f t="shared" si="4"/>
        <v>2</v>
      </c>
      <c r="J17">
        <f t="shared" si="4"/>
        <v>1</v>
      </c>
      <c r="K17">
        <f t="shared" si="4"/>
        <v>5</v>
      </c>
      <c r="L17">
        <f t="shared" si="4"/>
        <v>4</v>
      </c>
      <c r="M17">
        <f t="shared" si="4"/>
        <v>5</v>
      </c>
      <c r="N17">
        <f t="shared" si="4"/>
        <v>1</v>
      </c>
      <c r="O17">
        <f t="shared" si="4"/>
        <v>2</v>
      </c>
      <c r="P17">
        <f t="shared" si="4"/>
        <v>2</v>
      </c>
      <c r="Q17">
        <f t="shared" si="4"/>
        <v>5</v>
      </c>
      <c r="R17">
        <f t="shared" si="4"/>
        <v>1</v>
      </c>
      <c r="S17">
        <f t="shared" si="4"/>
        <v>1</v>
      </c>
      <c r="T17">
        <f t="shared" si="4"/>
        <v>2</v>
      </c>
      <c r="U17">
        <f t="shared" si="4"/>
        <v>14</v>
      </c>
      <c r="V17">
        <f t="shared" si="4"/>
        <v>5</v>
      </c>
      <c r="W17">
        <f t="shared" si="4"/>
        <v>3</v>
      </c>
      <c r="X17">
        <f t="shared" si="4"/>
        <v>5</v>
      </c>
      <c r="Y17">
        <f t="shared" si="4"/>
        <v>10</v>
      </c>
      <c r="Z17">
        <f t="shared" si="4"/>
        <v>9</v>
      </c>
      <c r="AA17">
        <f t="shared" si="4"/>
        <v>6</v>
      </c>
      <c r="AB17">
        <f t="shared" si="4"/>
        <v>7</v>
      </c>
      <c r="AC17">
        <f t="shared" si="4"/>
        <v>4</v>
      </c>
      <c r="AD17">
        <f t="shared" si="4"/>
        <v>4</v>
      </c>
      <c r="AE17">
        <f t="shared" si="4"/>
        <v>14</v>
      </c>
      <c r="AF17">
        <f t="shared" si="4"/>
        <v>5</v>
      </c>
      <c r="AG17">
        <f t="shared" si="4"/>
        <v>7</v>
      </c>
      <c r="AH17">
        <f t="shared" si="4"/>
        <v>2</v>
      </c>
      <c r="AI17">
        <f t="shared" si="4"/>
        <v>2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>
        <f t="shared" ref="A18:AO18" si="5">VLOOKUP(A5,$A$45:$C$96,3,FALSE)</f>
        <v>6</v>
      </c>
      <c r="B18">
        <f t="shared" si="5"/>
        <v>3</v>
      </c>
      <c r="C18">
        <f t="shared" si="5"/>
        <v>6</v>
      </c>
      <c r="D18">
        <f t="shared" si="5"/>
        <v>2</v>
      </c>
      <c r="E18">
        <f t="shared" si="5"/>
        <v>1</v>
      </c>
      <c r="F18">
        <f t="shared" si="5"/>
        <v>2</v>
      </c>
      <c r="G18">
        <f t="shared" si="5"/>
        <v>10</v>
      </c>
      <c r="H18">
        <f t="shared" si="5"/>
        <v>10</v>
      </c>
      <c r="I18">
        <f t="shared" si="5"/>
        <v>1</v>
      </c>
      <c r="J18">
        <f t="shared" si="5"/>
        <v>1</v>
      </c>
      <c r="K18">
        <f t="shared" si="5"/>
        <v>1</v>
      </c>
      <c r="L18">
        <f t="shared" si="5"/>
        <v>2</v>
      </c>
      <c r="M18">
        <f t="shared" si="5"/>
        <v>5</v>
      </c>
      <c r="N18">
        <f t="shared" si="5"/>
        <v>3</v>
      </c>
      <c r="O18">
        <f t="shared" si="5"/>
        <v>14</v>
      </c>
      <c r="P18">
        <f t="shared" si="5"/>
        <v>5</v>
      </c>
      <c r="Q18">
        <f t="shared" si="5"/>
        <v>5</v>
      </c>
      <c r="R18">
        <f t="shared" si="5"/>
        <v>1</v>
      </c>
      <c r="S18">
        <f t="shared" si="5"/>
        <v>5</v>
      </c>
      <c r="T18">
        <f t="shared" si="5"/>
        <v>4</v>
      </c>
      <c r="U18">
        <f t="shared" si="5"/>
        <v>3</v>
      </c>
      <c r="V18">
        <f t="shared" si="5"/>
        <v>3</v>
      </c>
      <c r="W18">
        <f t="shared" si="5"/>
        <v>4</v>
      </c>
      <c r="X18">
        <f t="shared" si="5"/>
        <v>5</v>
      </c>
      <c r="Y18">
        <f t="shared" si="5"/>
        <v>3</v>
      </c>
      <c r="Z18">
        <f t="shared" si="5"/>
        <v>9</v>
      </c>
      <c r="AA18">
        <f t="shared" si="5"/>
        <v>5</v>
      </c>
      <c r="AB18">
        <f t="shared" si="5"/>
        <v>2</v>
      </c>
      <c r="AC18">
        <f t="shared" si="5"/>
        <v>5</v>
      </c>
      <c r="AD18">
        <f t="shared" si="5"/>
        <v>5</v>
      </c>
      <c r="AE18">
        <f t="shared" si="5"/>
        <v>3</v>
      </c>
      <c r="AF18">
        <f t="shared" si="5"/>
        <v>2</v>
      </c>
      <c r="AG18">
        <f t="shared" si="5"/>
        <v>5</v>
      </c>
      <c r="AH18">
        <f t="shared" si="5"/>
        <v>2</v>
      </c>
      <c r="AI18">
        <f t="shared" si="5"/>
        <v>2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>
        <f t="shared" ref="A19:AO19" si="6">VLOOKUP(A6,$A$45:$C$96,3,FALSE)</f>
        <v>6</v>
      </c>
      <c r="B19">
        <f t="shared" si="6"/>
        <v>3</v>
      </c>
      <c r="C19">
        <f t="shared" si="6"/>
        <v>6</v>
      </c>
      <c r="D19">
        <f t="shared" si="6"/>
        <v>14</v>
      </c>
      <c r="E19">
        <f t="shared" si="6"/>
        <v>14</v>
      </c>
      <c r="F19">
        <f t="shared" si="6"/>
        <v>4</v>
      </c>
      <c r="G19">
        <f t="shared" si="6"/>
        <v>6</v>
      </c>
      <c r="H19">
        <f t="shared" si="6"/>
        <v>7</v>
      </c>
      <c r="I19">
        <f t="shared" si="6"/>
        <v>2</v>
      </c>
      <c r="J19">
        <f t="shared" si="6"/>
        <v>1</v>
      </c>
      <c r="K19">
        <f t="shared" si="6"/>
        <v>2</v>
      </c>
      <c r="L19">
        <f t="shared" si="6"/>
        <v>1</v>
      </c>
      <c r="M19">
        <f t="shared" si="6"/>
        <v>2</v>
      </c>
      <c r="N19">
        <f t="shared" si="6"/>
        <v>4</v>
      </c>
      <c r="O19">
        <f t="shared" si="6"/>
        <v>5</v>
      </c>
      <c r="P19">
        <f t="shared" si="6"/>
        <v>2</v>
      </c>
      <c r="Q19">
        <f t="shared" si="6"/>
        <v>2</v>
      </c>
      <c r="R19">
        <f t="shared" si="6"/>
        <v>2</v>
      </c>
      <c r="S19">
        <f t="shared" si="6"/>
        <v>2</v>
      </c>
      <c r="T19">
        <f t="shared" si="6"/>
        <v>4</v>
      </c>
      <c r="U19">
        <f t="shared" si="6"/>
        <v>2</v>
      </c>
      <c r="V19">
        <f t="shared" si="6"/>
        <v>9</v>
      </c>
      <c r="W19">
        <f t="shared" si="6"/>
        <v>6</v>
      </c>
      <c r="X19">
        <f t="shared" si="6"/>
        <v>4</v>
      </c>
      <c r="Y19">
        <f t="shared" si="6"/>
        <v>3</v>
      </c>
      <c r="Z19">
        <f t="shared" si="6"/>
        <v>6</v>
      </c>
      <c r="AA19">
        <f t="shared" si="6"/>
        <v>10</v>
      </c>
      <c r="AB19">
        <f t="shared" si="6"/>
        <v>4</v>
      </c>
      <c r="AC19">
        <f t="shared" si="6"/>
        <v>2</v>
      </c>
      <c r="AD19">
        <f t="shared" si="6"/>
        <v>3</v>
      </c>
      <c r="AE19">
        <f t="shared" si="6"/>
        <v>2</v>
      </c>
      <c r="AF19">
        <f t="shared" si="6"/>
        <v>5</v>
      </c>
      <c r="AG19">
        <f t="shared" si="6"/>
        <v>5</v>
      </c>
      <c r="AH19">
        <f t="shared" si="6"/>
        <v>4</v>
      </c>
      <c r="AI19">
        <f t="shared" si="6"/>
        <v>4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>
        <f t="shared" ref="A20:AO20" si="7">VLOOKUP(A7,$A$45:$C$96,3,FALSE)</f>
        <v>3</v>
      </c>
      <c r="B20">
        <f t="shared" si="7"/>
        <v>2</v>
      </c>
      <c r="C20">
        <f t="shared" si="7"/>
        <v>3</v>
      </c>
      <c r="D20">
        <f t="shared" si="7"/>
        <v>3</v>
      </c>
      <c r="E20">
        <f t="shared" si="7"/>
        <v>3</v>
      </c>
      <c r="F20">
        <f t="shared" si="7"/>
        <v>3</v>
      </c>
      <c r="G20">
        <f t="shared" si="7"/>
        <v>1</v>
      </c>
      <c r="H20">
        <f t="shared" si="7"/>
        <v>4</v>
      </c>
      <c r="I20">
        <f t="shared" si="7"/>
        <v>9</v>
      </c>
      <c r="J20">
        <f t="shared" si="7"/>
        <v>2</v>
      </c>
      <c r="K20">
        <f t="shared" si="7"/>
        <v>6</v>
      </c>
      <c r="L20">
        <f t="shared" si="7"/>
        <v>10</v>
      </c>
      <c r="M20">
        <f t="shared" si="7"/>
        <v>10</v>
      </c>
      <c r="N20">
        <f t="shared" si="7"/>
        <v>7</v>
      </c>
      <c r="O20">
        <f t="shared" si="7"/>
        <v>1</v>
      </c>
      <c r="P20">
        <f t="shared" si="7"/>
        <v>5</v>
      </c>
      <c r="Q20">
        <f t="shared" si="7"/>
        <v>6</v>
      </c>
      <c r="R20">
        <f t="shared" si="7"/>
        <v>2</v>
      </c>
      <c r="S20">
        <f t="shared" si="7"/>
        <v>6</v>
      </c>
      <c r="T20">
        <f t="shared" si="7"/>
        <v>5</v>
      </c>
      <c r="U20">
        <f t="shared" si="7"/>
        <v>2</v>
      </c>
      <c r="V20">
        <f t="shared" si="7"/>
        <v>5</v>
      </c>
      <c r="W20">
        <f t="shared" si="7"/>
        <v>5</v>
      </c>
      <c r="X20">
        <f t="shared" si="7"/>
        <v>2</v>
      </c>
      <c r="Y20">
        <f t="shared" si="7"/>
        <v>5</v>
      </c>
      <c r="Z20">
        <f t="shared" si="7"/>
        <v>6</v>
      </c>
      <c r="AA20">
        <f t="shared" si="7"/>
        <v>4</v>
      </c>
      <c r="AB20">
        <f t="shared" si="7"/>
        <v>2</v>
      </c>
      <c r="AC20">
        <f t="shared" si="7"/>
        <v>6</v>
      </c>
      <c r="AD20">
        <f t="shared" si="7"/>
        <v>9</v>
      </c>
      <c r="AE20">
        <f t="shared" si="7"/>
        <v>4</v>
      </c>
      <c r="AF20">
        <f t="shared" si="7"/>
        <v>3</v>
      </c>
      <c r="AG20">
        <f t="shared" si="7"/>
        <v>4</v>
      </c>
      <c r="AH20">
        <f t="shared" si="7"/>
        <v>3</v>
      </c>
      <c r="AI20">
        <f t="shared" si="7"/>
        <v>3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>
        <f t="shared" ref="A21:AO21" si="8">VLOOKUP(A8,$A$45:$C$96,3,FALSE)</f>
        <v>6</v>
      </c>
      <c r="B21">
        <f t="shared" si="8"/>
        <v>6</v>
      </c>
      <c r="C21">
        <f t="shared" si="8"/>
        <v>3</v>
      </c>
      <c r="D21">
        <f t="shared" si="8"/>
        <v>6</v>
      </c>
      <c r="E21">
        <f t="shared" si="8"/>
        <v>2</v>
      </c>
      <c r="F21">
        <f t="shared" si="8"/>
        <v>3</v>
      </c>
      <c r="G21">
        <f t="shared" si="8"/>
        <v>2</v>
      </c>
      <c r="H21">
        <f t="shared" si="8"/>
        <v>1</v>
      </c>
      <c r="I21">
        <f t="shared" si="8"/>
        <v>2</v>
      </c>
      <c r="J21">
        <f t="shared" si="8"/>
        <v>9</v>
      </c>
      <c r="K21">
        <f t="shared" si="8"/>
        <v>5</v>
      </c>
      <c r="L21">
        <f t="shared" si="8"/>
        <v>9</v>
      </c>
      <c r="M21">
        <f t="shared" si="8"/>
        <v>6</v>
      </c>
      <c r="N21">
        <f t="shared" si="8"/>
        <v>1</v>
      </c>
      <c r="O21">
        <f t="shared" si="8"/>
        <v>3</v>
      </c>
      <c r="P21">
        <f t="shared" si="8"/>
        <v>5</v>
      </c>
      <c r="Q21">
        <f t="shared" si="8"/>
        <v>3</v>
      </c>
      <c r="R21">
        <f t="shared" si="8"/>
        <v>2</v>
      </c>
      <c r="S21">
        <f t="shared" si="8"/>
        <v>5</v>
      </c>
      <c r="T21">
        <f t="shared" si="8"/>
        <v>6</v>
      </c>
      <c r="U21">
        <f t="shared" si="8"/>
        <v>3</v>
      </c>
      <c r="V21">
        <f t="shared" si="8"/>
        <v>5</v>
      </c>
      <c r="W21">
        <f t="shared" si="8"/>
        <v>5</v>
      </c>
      <c r="X21">
        <f t="shared" si="8"/>
        <v>3</v>
      </c>
      <c r="Y21">
        <f t="shared" si="8"/>
        <v>6</v>
      </c>
      <c r="Z21">
        <f t="shared" si="8"/>
        <v>3</v>
      </c>
      <c r="AA21">
        <f t="shared" si="8"/>
        <v>6</v>
      </c>
      <c r="AB21">
        <f t="shared" si="8"/>
        <v>10</v>
      </c>
      <c r="AC21">
        <f t="shared" si="8"/>
        <v>5</v>
      </c>
      <c r="AD21">
        <f t="shared" si="8"/>
        <v>5</v>
      </c>
      <c r="AE21">
        <f t="shared" si="8"/>
        <v>6</v>
      </c>
      <c r="AF21">
        <f t="shared" si="8"/>
        <v>5</v>
      </c>
      <c r="AG21">
        <f t="shared" si="8"/>
        <v>3</v>
      </c>
      <c r="AH21">
        <f t="shared" si="8"/>
        <v>6</v>
      </c>
      <c r="AI21">
        <f t="shared" si="8"/>
        <v>6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>
        <f t="shared" ref="A22:AO22" si="9">VLOOKUP(A9,$A$45:$C$96,3,FALSE)</f>
        <v>5</v>
      </c>
      <c r="B22">
        <f t="shared" si="9"/>
        <v>3</v>
      </c>
      <c r="C22">
        <f t="shared" si="9"/>
        <v>5</v>
      </c>
      <c r="D22">
        <f t="shared" si="9"/>
        <v>5</v>
      </c>
      <c r="E22">
        <f t="shared" si="9"/>
        <v>6</v>
      </c>
      <c r="F22">
        <f t="shared" si="9"/>
        <v>6</v>
      </c>
      <c r="G22">
        <f t="shared" si="9"/>
        <v>3</v>
      </c>
      <c r="H22">
        <f t="shared" si="9"/>
        <v>3</v>
      </c>
      <c r="I22">
        <f t="shared" si="9"/>
        <v>2</v>
      </c>
      <c r="J22">
        <f t="shared" si="9"/>
        <v>3</v>
      </c>
      <c r="K22">
        <f t="shared" si="9"/>
        <v>3</v>
      </c>
      <c r="L22">
        <f t="shared" si="9"/>
        <v>10</v>
      </c>
      <c r="M22">
        <f t="shared" si="9"/>
        <v>10</v>
      </c>
      <c r="N22">
        <f t="shared" si="9"/>
        <v>10</v>
      </c>
      <c r="O22">
        <f t="shared" si="9"/>
        <v>5</v>
      </c>
      <c r="P22">
        <f t="shared" si="9"/>
        <v>5</v>
      </c>
      <c r="Q22">
        <f t="shared" si="9"/>
        <v>3</v>
      </c>
      <c r="R22">
        <f t="shared" si="9"/>
        <v>3</v>
      </c>
      <c r="S22">
        <f t="shared" si="9"/>
        <v>4</v>
      </c>
      <c r="T22">
        <f t="shared" si="9"/>
        <v>3</v>
      </c>
      <c r="U22">
        <f t="shared" si="9"/>
        <v>5</v>
      </c>
      <c r="V22">
        <f t="shared" si="9"/>
        <v>4</v>
      </c>
      <c r="W22">
        <f t="shared" si="9"/>
        <v>5</v>
      </c>
      <c r="X22">
        <f t="shared" si="9"/>
        <v>3</v>
      </c>
      <c r="Y22">
        <f t="shared" si="9"/>
        <v>2</v>
      </c>
      <c r="Z22">
        <f t="shared" si="9"/>
        <v>5</v>
      </c>
      <c r="AA22">
        <f t="shared" si="9"/>
        <v>9</v>
      </c>
      <c r="AB22">
        <f t="shared" si="9"/>
        <v>6</v>
      </c>
      <c r="AC22">
        <f t="shared" si="9"/>
        <v>2</v>
      </c>
      <c r="AD22">
        <f t="shared" si="9"/>
        <v>2</v>
      </c>
      <c r="AE22">
        <f t="shared" si="9"/>
        <v>2</v>
      </c>
      <c r="AF22">
        <f t="shared" si="9"/>
        <v>3</v>
      </c>
      <c r="AG22">
        <f t="shared" si="9"/>
        <v>6</v>
      </c>
      <c r="AH22">
        <f t="shared" si="9"/>
        <v>3</v>
      </c>
      <c r="AI22">
        <f t="shared" si="9"/>
        <v>3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>
        <f t="shared" ref="A23:AO23" si="10">VLOOKUP(A10,$A$45:$C$96,3,FALSE)</f>
        <v>2</v>
      </c>
      <c r="B23">
        <f t="shared" si="10"/>
        <v>14</v>
      </c>
      <c r="C23">
        <f t="shared" si="10"/>
        <v>5</v>
      </c>
      <c r="D23">
        <f t="shared" si="10"/>
        <v>5</v>
      </c>
      <c r="E23">
        <f t="shared" si="10"/>
        <v>3</v>
      </c>
      <c r="F23">
        <f t="shared" si="10"/>
        <v>5</v>
      </c>
      <c r="G23">
        <f t="shared" si="10"/>
        <v>2</v>
      </c>
      <c r="H23">
        <f t="shared" si="10"/>
        <v>5</v>
      </c>
      <c r="I23">
        <f t="shared" si="10"/>
        <v>2</v>
      </c>
      <c r="J23">
        <f t="shared" si="10"/>
        <v>2</v>
      </c>
      <c r="K23">
        <f t="shared" si="10"/>
        <v>5</v>
      </c>
      <c r="L23">
        <f t="shared" si="10"/>
        <v>5</v>
      </c>
      <c r="M23">
        <f t="shared" si="10"/>
        <v>2</v>
      </c>
      <c r="N23">
        <f t="shared" si="10"/>
        <v>2</v>
      </c>
      <c r="O23">
        <f t="shared" si="10"/>
        <v>4</v>
      </c>
      <c r="P23">
        <f t="shared" si="10"/>
        <v>3</v>
      </c>
      <c r="Q23">
        <f t="shared" si="10"/>
        <v>3</v>
      </c>
      <c r="R23">
        <f t="shared" si="10"/>
        <v>4</v>
      </c>
      <c r="S23">
        <f t="shared" si="10"/>
        <v>2</v>
      </c>
      <c r="T23">
        <f t="shared" si="10"/>
        <v>3</v>
      </c>
      <c r="U23">
        <f t="shared" si="10"/>
        <v>6</v>
      </c>
      <c r="V23">
        <f t="shared" si="10"/>
        <v>4</v>
      </c>
      <c r="W23">
        <f t="shared" si="10"/>
        <v>4</v>
      </c>
      <c r="X23">
        <f t="shared" si="10"/>
        <v>5</v>
      </c>
      <c r="Y23">
        <f t="shared" si="10"/>
        <v>2</v>
      </c>
      <c r="Z23">
        <f t="shared" si="10"/>
        <v>4</v>
      </c>
      <c r="AA23">
        <f t="shared" si="10"/>
        <v>6</v>
      </c>
      <c r="AB23">
        <f t="shared" si="10"/>
        <v>9</v>
      </c>
      <c r="AC23">
        <f t="shared" si="10"/>
        <v>5</v>
      </c>
      <c r="AD23">
        <f t="shared" si="10"/>
        <v>5</v>
      </c>
      <c r="AE23">
        <f t="shared" si="10"/>
        <v>2</v>
      </c>
      <c r="AF23">
        <f t="shared" si="10"/>
        <v>3</v>
      </c>
      <c r="AG23">
        <f t="shared" si="10"/>
        <v>4</v>
      </c>
      <c r="AH23">
        <f t="shared" si="10"/>
        <v>5</v>
      </c>
      <c r="AI23">
        <f t="shared" si="10"/>
        <v>5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>
        <f t="shared" ref="A24:AO24" si="11">VLOOKUP(A11,$A$45:$C$96,3,FALSE)</f>
        <v>5</v>
      </c>
      <c r="B24">
        <f t="shared" si="11"/>
        <v>2</v>
      </c>
      <c r="C24">
        <f t="shared" si="11"/>
        <v>5</v>
      </c>
      <c r="D24">
        <f t="shared" si="11"/>
        <v>2</v>
      </c>
      <c r="E24">
        <f t="shared" si="11"/>
        <v>6</v>
      </c>
      <c r="F24">
        <f t="shared" si="11"/>
        <v>9</v>
      </c>
      <c r="G24">
        <f t="shared" si="11"/>
        <v>5</v>
      </c>
      <c r="H24">
        <f t="shared" si="11"/>
        <v>6</v>
      </c>
      <c r="I24">
        <f t="shared" si="11"/>
        <v>10</v>
      </c>
      <c r="J24">
        <f t="shared" si="11"/>
        <v>2</v>
      </c>
      <c r="K24">
        <f t="shared" si="11"/>
        <v>7</v>
      </c>
      <c r="L24">
        <f t="shared" si="11"/>
        <v>3</v>
      </c>
      <c r="M24">
        <f t="shared" si="11"/>
        <v>2</v>
      </c>
      <c r="N24">
        <f t="shared" si="11"/>
        <v>3</v>
      </c>
      <c r="O24">
        <f t="shared" si="11"/>
        <v>3</v>
      </c>
      <c r="P24">
        <f t="shared" si="11"/>
        <v>3</v>
      </c>
      <c r="Q24">
        <f t="shared" si="11"/>
        <v>9</v>
      </c>
      <c r="R24">
        <f t="shared" si="11"/>
        <v>10</v>
      </c>
      <c r="S24">
        <f t="shared" si="11"/>
        <v>9</v>
      </c>
      <c r="T24">
        <f t="shared" si="11"/>
        <v>3</v>
      </c>
      <c r="U24">
        <f t="shared" si="11"/>
        <v>4</v>
      </c>
      <c r="V24">
        <f t="shared" si="11"/>
        <v>9</v>
      </c>
      <c r="W24">
        <f t="shared" si="11"/>
        <v>6</v>
      </c>
      <c r="X24">
        <f t="shared" si="11"/>
        <v>3</v>
      </c>
      <c r="Y24">
        <f t="shared" si="11"/>
        <v>3</v>
      </c>
      <c r="Z24">
        <f t="shared" si="11"/>
        <v>2</v>
      </c>
      <c r="AA24">
        <f t="shared" si="11"/>
        <v>1</v>
      </c>
      <c r="AB24">
        <f t="shared" si="11"/>
        <v>5</v>
      </c>
      <c r="AC24">
        <f t="shared" si="11"/>
        <v>7</v>
      </c>
      <c r="AD24">
        <f t="shared" si="11"/>
        <v>6</v>
      </c>
      <c r="AE24">
        <f t="shared" si="11"/>
        <v>2</v>
      </c>
      <c r="AF24">
        <f t="shared" si="11"/>
        <v>6</v>
      </c>
      <c r="AG24">
        <f t="shared" si="11"/>
        <v>2</v>
      </c>
      <c r="AH24">
        <f t="shared" si="11"/>
        <v>10</v>
      </c>
      <c r="AI24">
        <f t="shared" si="11"/>
        <v>7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>
        <f t="shared" ref="A25:AO25" si="12">VLOOKUP(A12,$A$45:$C$96,3,FALSE)</f>
        <v>3</v>
      </c>
      <c r="B25">
        <f t="shared" si="12"/>
        <v>4</v>
      </c>
      <c r="C25">
        <f t="shared" si="12"/>
        <v>4</v>
      </c>
      <c r="D25">
        <f t="shared" si="12"/>
        <v>6</v>
      </c>
      <c r="E25">
        <f t="shared" si="12"/>
        <v>9</v>
      </c>
      <c r="F25">
        <f t="shared" si="12"/>
        <v>10</v>
      </c>
      <c r="G25">
        <f t="shared" si="12"/>
        <v>4</v>
      </c>
      <c r="H25">
        <f t="shared" si="12"/>
        <v>3</v>
      </c>
      <c r="I25">
        <f t="shared" si="12"/>
        <v>2</v>
      </c>
      <c r="J25">
        <f t="shared" si="12"/>
        <v>10</v>
      </c>
      <c r="K25">
        <f t="shared" si="12"/>
        <v>10</v>
      </c>
      <c r="L25">
        <f t="shared" si="12"/>
        <v>3</v>
      </c>
      <c r="M25">
        <f t="shared" si="12"/>
        <v>6</v>
      </c>
      <c r="N25">
        <f t="shared" si="12"/>
        <v>5</v>
      </c>
      <c r="O25">
        <f t="shared" si="12"/>
        <v>7</v>
      </c>
      <c r="P25">
        <f t="shared" si="12"/>
        <v>6</v>
      </c>
      <c r="Q25">
        <f t="shared" si="12"/>
        <v>7</v>
      </c>
      <c r="R25">
        <f t="shared" si="12"/>
        <v>6</v>
      </c>
      <c r="S25">
        <f t="shared" si="12"/>
        <v>10</v>
      </c>
      <c r="T25">
        <f t="shared" si="12"/>
        <v>6</v>
      </c>
      <c r="U25">
        <f t="shared" si="12"/>
        <v>6</v>
      </c>
      <c r="V25">
        <f t="shared" si="12"/>
        <v>7</v>
      </c>
      <c r="W25">
        <f t="shared" si="12"/>
        <v>10</v>
      </c>
      <c r="X25">
        <f t="shared" si="12"/>
        <v>6</v>
      </c>
      <c r="Y25">
        <f t="shared" si="12"/>
        <v>5</v>
      </c>
      <c r="Z25">
        <f t="shared" si="12"/>
        <v>2</v>
      </c>
      <c r="AA25">
        <f t="shared" si="12"/>
        <v>2</v>
      </c>
      <c r="AB25">
        <f t="shared" si="12"/>
        <v>3</v>
      </c>
      <c r="AC25">
        <f t="shared" si="12"/>
        <v>9</v>
      </c>
      <c r="AD25">
        <f t="shared" si="12"/>
        <v>3</v>
      </c>
      <c r="AE25">
        <f t="shared" si="12"/>
        <v>3</v>
      </c>
      <c r="AF25">
        <f t="shared" si="12"/>
        <v>7</v>
      </c>
      <c r="AG25">
        <f t="shared" si="12"/>
        <v>5</v>
      </c>
      <c r="AH25">
        <f t="shared" si="12"/>
        <v>10</v>
      </c>
      <c r="AI25">
        <f t="shared" si="12"/>
        <v>10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>
        <f t="shared" ref="A26:AO26" si="13">VLOOKUP(A13,$A$45:$C$96,3,FALSE)</f>
        <v>1</v>
      </c>
      <c r="B26">
        <f t="shared" si="13"/>
        <v>5</v>
      </c>
      <c r="C26">
        <f t="shared" si="13"/>
        <v>4</v>
      </c>
      <c r="D26">
        <f t="shared" si="13"/>
        <v>7</v>
      </c>
      <c r="E26">
        <f t="shared" si="13"/>
        <v>2</v>
      </c>
      <c r="F26">
        <f t="shared" si="13"/>
        <v>7</v>
      </c>
      <c r="G26">
        <f t="shared" si="13"/>
        <v>6</v>
      </c>
      <c r="H26">
        <f t="shared" si="13"/>
        <v>6</v>
      </c>
      <c r="I26">
        <f t="shared" si="13"/>
        <v>9</v>
      </c>
      <c r="J26">
        <f t="shared" si="13"/>
        <v>10</v>
      </c>
      <c r="K26">
        <f t="shared" si="13"/>
        <v>6</v>
      </c>
      <c r="L26">
        <f t="shared" si="13"/>
        <v>3</v>
      </c>
      <c r="M26">
        <f t="shared" si="13"/>
        <v>3</v>
      </c>
      <c r="N26">
        <f t="shared" si="13"/>
        <v>5</v>
      </c>
      <c r="O26">
        <f t="shared" si="13"/>
        <v>4</v>
      </c>
      <c r="P26">
        <f t="shared" si="13"/>
        <v>5</v>
      </c>
      <c r="Q26">
        <f t="shared" si="13"/>
        <v>10</v>
      </c>
      <c r="R26">
        <f t="shared" si="13"/>
        <v>10</v>
      </c>
      <c r="S26">
        <f t="shared" si="13"/>
        <v>10</v>
      </c>
      <c r="T26">
        <f t="shared" si="13"/>
        <v>5</v>
      </c>
      <c r="U26">
        <f t="shared" si="13"/>
        <v>7</v>
      </c>
      <c r="V26">
        <f t="shared" si="13"/>
        <v>1</v>
      </c>
      <c r="W26">
        <f t="shared" si="13"/>
        <v>1</v>
      </c>
      <c r="X26">
        <f t="shared" si="13"/>
        <v>5</v>
      </c>
      <c r="Y26">
        <f t="shared" si="13"/>
        <v>2</v>
      </c>
      <c r="Z26">
        <f t="shared" si="13"/>
        <v>1</v>
      </c>
      <c r="AA26">
        <f t="shared" si="13"/>
        <v>1</v>
      </c>
      <c r="AB26">
        <f t="shared" si="13"/>
        <v>3</v>
      </c>
      <c r="AC26">
        <f t="shared" si="13"/>
        <v>5</v>
      </c>
      <c r="AD26">
        <f t="shared" si="13"/>
        <v>9</v>
      </c>
      <c r="AE26">
        <f t="shared" si="13"/>
        <v>9</v>
      </c>
      <c r="AF26">
        <f t="shared" si="13"/>
        <v>1</v>
      </c>
      <c r="AG26">
        <f t="shared" si="13"/>
        <v>6</v>
      </c>
      <c r="AH26">
        <f t="shared" si="13"/>
        <v>6</v>
      </c>
      <c r="AI26">
        <f t="shared" si="13"/>
        <v>10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ht="12.75" x14ac:dyDescent="0.15">
      <c r="A28" s="22">
        <v>0</v>
      </c>
      <c r="B28" s="22">
        <v>0</v>
      </c>
      <c r="C28" s="22">
        <v>0</v>
      </c>
      <c r="D28" s="22">
        <v>0</v>
      </c>
      <c r="E28" s="22">
        <v>0</v>
      </c>
      <c r="F28" s="22">
        <v>0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 s="22">
        <v>0</v>
      </c>
      <c r="AG28" s="22">
        <v>0</v>
      </c>
      <c r="AH28" s="22">
        <v>-100</v>
      </c>
      <c r="AI28" s="22">
        <v>-100</v>
      </c>
      <c r="AJ28" s="22">
        <v>0</v>
      </c>
      <c r="AK28" s="22">
        <v>0</v>
      </c>
      <c r="AL28" s="22">
        <v>0</v>
      </c>
      <c r="AM28" s="22">
        <v>0</v>
      </c>
      <c r="AN28" s="22">
        <v>0</v>
      </c>
      <c r="AO28" s="22">
        <v>0</v>
      </c>
    </row>
    <row r="29" spans="1:41" x14ac:dyDescent="0.15">
      <c r="A29">
        <f ca="1">VLOOKUP(A3,$A$45:$F$86,6,FALSE)</f>
        <v>235</v>
      </c>
      <c r="B29">
        <f t="shared" ref="B29:AO29" ca="1" si="14">VLOOKUP(B3,$A$45:$F$86,6,FALSE)</f>
        <v>235</v>
      </c>
      <c r="C29">
        <f t="shared" ca="1" si="14"/>
        <v>235</v>
      </c>
      <c r="D29">
        <f t="shared" ca="1" si="14"/>
        <v>76</v>
      </c>
      <c r="E29">
        <f t="shared" ca="1" si="14"/>
        <v>0</v>
      </c>
      <c r="F29">
        <f t="shared" ca="1" si="14"/>
        <v>0</v>
      </c>
      <c r="G29">
        <f t="shared" ca="1" si="14"/>
        <v>870</v>
      </c>
      <c r="H29">
        <f t="shared" ca="1" si="14"/>
        <v>27</v>
      </c>
      <c r="I29">
        <f t="shared" ca="1" si="14"/>
        <v>870</v>
      </c>
      <c r="J29">
        <f t="shared" ca="1" si="14"/>
        <v>870</v>
      </c>
      <c r="K29">
        <f t="shared" ca="1" si="14"/>
        <v>403</v>
      </c>
      <c r="L29">
        <f t="shared" ca="1" si="14"/>
        <v>27</v>
      </c>
      <c r="M29">
        <f t="shared" ca="1" si="14"/>
        <v>267</v>
      </c>
      <c r="N29">
        <f t="shared" ca="1" si="14"/>
        <v>870</v>
      </c>
      <c r="O29">
        <f t="shared" ca="1" si="14"/>
        <v>235</v>
      </c>
      <c r="P29">
        <f t="shared" ca="1" si="14"/>
        <v>870</v>
      </c>
      <c r="Q29">
        <f t="shared" ca="1" si="14"/>
        <v>168</v>
      </c>
      <c r="R29">
        <f t="shared" ca="1" si="14"/>
        <v>870</v>
      </c>
      <c r="S29">
        <f t="shared" ca="1" si="14"/>
        <v>76</v>
      </c>
      <c r="T29">
        <f t="shared" ca="1" si="14"/>
        <v>870</v>
      </c>
      <c r="U29">
        <f t="shared" ca="1" si="14"/>
        <v>168</v>
      </c>
      <c r="V29">
        <f t="shared" ca="1" si="14"/>
        <v>399</v>
      </c>
      <c r="W29">
        <f t="shared" ca="1" si="14"/>
        <v>545</v>
      </c>
      <c r="X29">
        <f t="shared" ca="1" si="14"/>
        <v>870</v>
      </c>
      <c r="Y29">
        <f t="shared" ca="1" si="14"/>
        <v>870</v>
      </c>
      <c r="Z29">
        <f t="shared" ca="1" si="14"/>
        <v>235</v>
      </c>
      <c r="AA29">
        <f t="shared" ca="1" si="14"/>
        <v>403</v>
      </c>
      <c r="AB29">
        <f t="shared" ca="1" si="14"/>
        <v>235</v>
      </c>
      <c r="AC29">
        <f t="shared" ca="1" si="14"/>
        <v>403</v>
      </c>
      <c r="AD29">
        <f t="shared" ca="1" si="14"/>
        <v>353</v>
      </c>
      <c r="AE29">
        <f t="shared" ca="1" si="14"/>
        <v>333</v>
      </c>
      <c r="AF29">
        <f t="shared" ca="1" si="14"/>
        <v>870</v>
      </c>
      <c r="AG29">
        <f t="shared" ca="1" si="14"/>
        <v>558</v>
      </c>
      <c r="AH29">
        <f t="shared" ca="1" si="14"/>
        <v>108</v>
      </c>
      <c r="AI29">
        <f t="shared" ca="1" si="14"/>
        <v>108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>
        <f t="shared" ref="A30:AO30" ca="1" si="15">VLOOKUP(A4,$A$45:$F$86,6,FALSE)</f>
        <v>235</v>
      </c>
      <c r="B30">
        <f t="shared" ca="1" si="15"/>
        <v>572</v>
      </c>
      <c r="C30">
        <f t="shared" ca="1" si="15"/>
        <v>558</v>
      </c>
      <c r="D30">
        <f t="shared" ca="1" si="15"/>
        <v>353</v>
      </c>
      <c r="E30">
        <f t="shared" ca="1" si="15"/>
        <v>353</v>
      </c>
      <c r="F30">
        <f t="shared" ca="1" si="15"/>
        <v>27</v>
      </c>
      <c r="G30">
        <f t="shared" ca="1" si="15"/>
        <v>0</v>
      </c>
      <c r="H30">
        <f t="shared" ca="1" si="15"/>
        <v>0</v>
      </c>
      <c r="I30">
        <f t="shared" ca="1" si="15"/>
        <v>108</v>
      </c>
      <c r="J30">
        <f t="shared" ca="1" si="15"/>
        <v>0</v>
      </c>
      <c r="K30">
        <f t="shared" ca="1" si="15"/>
        <v>27</v>
      </c>
      <c r="L30">
        <f t="shared" ca="1" si="15"/>
        <v>353</v>
      </c>
      <c r="M30">
        <f t="shared" ca="1" si="15"/>
        <v>403</v>
      </c>
      <c r="N30">
        <f t="shared" ca="1" si="15"/>
        <v>322</v>
      </c>
      <c r="O30">
        <f t="shared" ca="1" si="15"/>
        <v>108</v>
      </c>
      <c r="P30">
        <f t="shared" ca="1" si="15"/>
        <v>168</v>
      </c>
      <c r="Q30">
        <f t="shared" ca="1" si="15"/>
        <v>403</v>
      </c>
      <c r="R30">
        <f t="shared" ca="1" si="15"/>
        <v>322</v>
      </c>
      <c r="S30">
        <f t="shared" ca="1" si="15"/>
        <v>322</v>
      </c>
      <c r="T30">
        <f t="shared" ca="1" si="15"/>
        <v>168</v>
      </c>
      <c r="U30">
        <f t="shared" ca="1" si="15"/>
        <v>870</v>
      </c>
      <c r="V30">
        <f t="shared" ca="1" si="15"/>
        <v>322</v>
      </c>
      <c r="W30">
        <f t="shared" ca="1" si="15"/>
        <v>195</v>
      </c>
      <c r="X30">
        <f t="shared" ca="1" si="15"/>
        <v>27</v>
      </c>
      <c r="Y30">
        <f t="shared" ca="1" si="15"/>
        <v>235</v>
      </c>
      <c r="Z30">
        <f t="shared" ca="1" si="15"/>
        <v>825</v>
      </c>
      <c r="AA30">
        <f t="shared" ca="1" si="15"/>
        <v>545</v>
      </c>
      <c r="AB30">
        <f t="shared" ca="1" si="15"/>
        <v>558</v>
      </c>
      <c r="AC30">
        <f t="shared" ca="1" si="15"/>
        <v>235</v>
      </c>
      <c r="AD30">
        <f t="shared" ca="1" si="15"/>
        <v>235</v>
      </c>
      <c r="AE30">
        <f t="shared" ca="1" si="15"/>
        <v>870</v>
      </c>
      <c r="AF30">
        <f t="shared" ca="1" si="15"/>
        <v>27</v>
      </c>
      <c r="AG30">
        <f t="shared" ca="1" si="15"/>
        <v>235</v>
      </c>
      <c r="AH30">
        <f t="shared" ca="1" si="15"/>
        <v>333</v>
      </c>
      <c r="AI30">
        <f t="shared" ca="1" si="15"/>
        <v>333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>
        <f t="shared" ref="A31:AO31" ca="1" si="16">VLOOKUP(A5,$A$45:$F$86,6,FALSE)</f>
        <v>278</v>
      </c>
      <c r="B31">
        <f t="shared" ca="1" si="16"/>
        <v>211</v>
      </c>
      <c r="C31">
        <f t="shared" ca="1" si="16"/>
        <v>572</v>
      </c>
      <c r="D31">
        <f t="shared" ca="1" si="16"/>
        <v>0</v>
      </c>
      <c r="E31">
        <f t="shared" ca="1" si="16"/>
        <v>0</v>
      </c>
      <c r="F31">
        <f t="shared" ca="1" si="16"/>
        <v>333</v>
      </c>
      <c r="G31">
        <f t="shared" ca="1" si="16"/>
        <v>235</v>
      </c>
      <c r="H31">
        <f t="shared" ca="1" si="16"/>
        <v>235</v>
      </c>
      <c r="I31">
        <f t="shared" ca="1" si="16"/>
        <v>76</v>
      </c>
      <c r="J31">
        <f t="shared" ca="1" si="16"/>
        <v>76</v>
      </c>
      <c r="K31">
        <f t="shared" ca="1" si="16"/>
        <v>76</v>
      </c>
      <c r="L31">
        <f t="shared" ca="1" si="16"/>
        <v>108</v>
      </c>
      <c r="M31">
        <f t="shared" ca="1" si="16"/>
        <v>582</v>
      </c>
      <c r="N31">
        <f t="shared" ca="1" si="16"/>
        <v>176</v>
      </c>
      <c r="O31">
        <f t="shared" ca="1" si="16"/>
        <v>870</v>
      </c>
      <c r="P31">
        <f t="shared" ca="1" si="16"/>
        <v>403</v>
      </c>
      <c r="Q31">
        <f t="shared" ca="1" si="16"/>
        <v>27</v>
      </c>
      <c r="R31">
        <f t="shared" ca="1" si="16"/>
        <v>76</v>
      </c>
      <c r="S31">
        <f t="shared" ca="1" si="16"/>
        <v>27</v>
      </c>
      <c r="T31">
        <f t="shared" ca="1" si="16"/>
        <v>235</v>
      </c>
      <c r="U31">
        <f t="shared" ca="1" si="16"/>
        <v>176</v>
      </c>
      <c r="V31">
        <f t="shared" ca="1" si="16"/>
        <v>288</v>
      </c>
      <c r="W31">
        <f t="shared" ca="1" si="16"/>
        <v>267</v>
      </c>
      <c r="X31">
        <f t="shared" ca="1" si="16"/>
        <v>0</v>
      </c>
      <c r="Y31">
        <f t="shared" ca="1" si="16"/>
        <v>211</v>
      </c>
      <c r="Z31">
        <f t="shared" ca="1" si="16"/>
        <v>505</v>
      </c>
      <c r="AA31">
        <f t="shared" ca="1" si="16"/>
        <v>433</v>
      </c>
      <c r="AB31">
        <f t="shared" ca="1" si="16"/>
        <v>0</v>
      </c>
      <c r="AC31">
        <f t="shared" ca="1" si="16"/>
        <v>27</v>
      </c>
      <c r="AD31">
        <f t="shared" ca="1" si="16"/>
        <v>0</v>
      </c>
      <c r="AE31">
        <f t="shared" ca="1" si="16"/>
        <v>176</v>
      </c>
      <c r="AF31">
        <f t="shared" ca="1" si="16"/>
        <v>108</v>
      </c>
      <c r="AG31">
        <f t="shared" ca="1" si="16"/>
        <v>403</v>
      </c>
      <c r="AH31">
        <f t="shared" ca="1" si="16"/>
        <v>168</v>
      </c>
      <c r="AI31">
        <f t="shared" ca="1" si="16"/>
        <v>168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>
        <f t="shared" ref="A32:AO32" ca="1" si="17">VLOOKUP(A6,$A$45:$F$86,6,FALSE)</f>
        <v>706</v>
      </c>
      <c r="B32">
        <f t="shared" ca="1" si="17"/>
        <v>288</v>
      </c>
      <c r="C32">
        <f t="shared" ca="1" si="17"/>
        <v>706</v>
      </c>
      <c r="D32">
        <f t="shared" ca="1" si="17"/>
        <v>870</v>
      </c>
      <c r="E32">
        <f t="shared" ca="1" si="17"/>
        <v>870</v>
      </c>
      <c r="F32">
        <f t="shared" ca="1" si="17"/>
        <v>235</v>
      </c>
      <c r="G32">
        <f t="shared" ca="1" si="17"/>
        <v>278</v>
      </c>
      <c r="H32">
        <f t="shared" ca="1" si="17"/>
        <v>558</v>
      </c>
      <c r="I32">
        <f t="shared" ca="1" si="17"/>
        <v>168</v>
      </c>
      <c r="J32">
        <f t="shared" ca="1" si="17"/>
        <v>322</v>
      </c>
      <c r="K32">
        <f t="shared" ca="1" si="17"/>
        <v>0</v>
      </c>
      <c r="L32">
        <f t="shared" ca="1" si="17"/>
        <v>76</v>
      </c>
      <c r="M32">
        <f t="shared" ca="1" si="17"/>
        <v>108</v>
      </c>
      <c r="N32">
        <f t="shared" ca="1" si="17"/>
        <v>235</v>
      </c>
      <c r="O32">
        <f t="shared" ca="1" si="17"/>
        <v>27</v>
      </c>
      <c r="P32">
        <f t="shared" ca="1" si="17"/>
        <v>333</v>
      </c>
      <c r="Q32">
        <f t="shared" ca="1" si="17"/>
        <v>333</v>
      </c>
      <c r="R32">
        <f t="shared" ca="1" si="17"/>
        <v>333</v>
      </c>
      <c r="S32">
        <f t="shared" ca="1" si="17"/>
        <v>333</v>
      </c>
      <c r="T32">
        <f t="shared" ca="1" si="17"/>
        <v>353</v>
      </c>
      <c r="U32">
        <f t="shared" ca="1" si="17"/>
        <v>333</v>
      </c>
      <c r="V32">
        <f t="shared" ca="1" si="17"/>
        <v>505</v>
      </c>
      <c r="W32">
        <f t="shared" ca="1" si="17"/>
        <v>706</v>
      </c>
      <c r="X32">
        <f t="shared" ca="1" si="17"/>
        <v>353</v>
      </c>
      <c r="Y32">
        <f t="shared" ca="1" si="17"/>
        <v>195</v>
      </c>
      <c r="Z32">
        <f t="shared" ca="1" si="17"/>
        <v>706</v>
      </c>
      <c r="AA32">
        <f t="shared" ca="1" si="17"/>
        <v>235</v>
      </c>
      <c r="AB32">
        <f t="shared" ca="1" si="17"/>
        <v>353</v>
      </c>
      <c r="AC32">
        <f t="shared" ca="1" si="17"/>
        <v>168</v>
      </c>
      <c r="AD32">
        <f t="shared" ca="1" si="17"/>
        <v>176</v>
      </c>
      <c r="AE32">
        <f t="shared" ca="1" si="17"/>
        <v>108</v>
      </c>
      <c r="AF32">
        <f t="shared" ca="1" si="17"/>
        <v>403</v>
      </c>
      <c r="AG32">
        <f t="shared" ca="1" si="17"/>
        <v>27</v>
      </c>
      <c r="AH32">
        <f t="shared" ca="1" si="17"/>
        <v>353</v>
      </c>
      <c r="AI32">
        <f t="shared" ca="1" si="17"/>
        <v>353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>
        <f t="shared" ref="A33:AO33" ca="1" si="18">VLOOKUP(A7,$A$45:$F$86,6,FALSE)</f>
        <v>288</v>
      </c>
      <c r="B33">
        <f t="shared" ca="1" si="18"/>
        <v>16</v>
      </c>
      <c r="C33">
        <f t="shared" ca="1" si="18"/>
        <v>288</v>
      </c>
      <c r="D33">
        <f t="shared" ca="1" si="18"/>
        <v>211</v>
      </c>
      <c r="E33">
        <f t="shared" ca="1" si="18"/>
        <v>399</v>
      </c>
      <c r="F33">
        <f t="shared" ca="1" si="18"/>
        <v>195</v>
      </c>
      <c r="G33">
        <f t="shared" ca="1" si="18"/>
        <v>76</v>
      </c>
      <c r="H33">
        <f t="shared" ca="1" si="18"/>
        <v>235</v>
      </c>
      <c r="I33">
        <f t="shared" ca="1" si="18"/>
        <v>505</v>
      </c>
      <c r="J33">
        <f t="shared" ca="1" si="18"/>
        <v>0</v>
      </c>
      <c r="K33">
        <f t="shared" ca="1" si="18"/>
        <v>545</v>
      </c>
      <c r="L33">
        <f t="shared" ca="1" si="18"/>
        <v>235</v>
      </c>
      <c r="M33">
        <f t="shared" ca="1" si="18"/>
        <v>235</v>
      </c>
      <c r="N33">
        <f t="shared" ca="1" si="18"/>
        <v>235</v>
      </c>
      <c r="O33">
        <f t="shared" ca="1" si="18"/>
        <v>322</v>
      </c>
      <c r="P33">
        <f t="shared" ca="1" si="18"/>
        <v>612</v>
      </c>
      <c r="Q33">
        <f t="shared" ca="1" si="18"/>
        <v>545</v>
      </c>
      <c r="R33">
        <f t="shared" ca="1" si="18"/>
        <v>79</v>
      </c>
      <c r="S33">
        <f t="shared" ca="1" si="18"/>
        <v>545</v>
      </c>
      <c r="T33">
        <f t="shared" ca="1" si="18"/>
        <v>612</v>
      </c>
      <c r="U33">
        <f t="shared" ca="1" si="18"/>
        <v>152</v>
      </c>
      <c r="V33">
        <f t="shared" ca="1" si="18"/>
        <v>403</v>
      </c>
      <c r="W33">
        <f t="shared" ca="1" si="18"/>
        <v>0</v>
      </c>
      <c r="X33">
        <f t="shared" ca="1" si="18"/>
        <v>168</v>
      </c>
      <c r="Y33">
        <f t="shared" ca="1" si="18"/>
        <v>433</v>
      </c>
      <c r="Z33">
        <f t="shared" ca="1" si="18"/>
        <v>545</v>
      </c>
      <c r="AA33">
        <f t="shared" ca="1" si="18"/>
        <v>235</v>
      </c>
      <c r="AB33">
        <f t="shared" ca="1" si="18"/>
        <v>0</v>
      </c>
      <c r="AC33">
        <f t="shared" ca="1" si="18"/>
        <v>706</v>
      </c>
      <c r="AD33">
        <f t="shared" ca="1" si="18"/>
        <v>825</v>
      </c>
      <c r="AE33">
        <f t="shared" ca="1" si="18"/>
        <v>353</v>
      </c>
      <c r="AF33">
        <f t="shared" ca="1" si="18"/>
        <v>399</v>
      </c>
      <c r="AG33">
        <f t="shared" ca="1" si="18"/>
        <v>353</v>
      </c>
      <c r="AH33">
        <f t="shared" ca="1" si="18"/>
        <v>399</v>
      </c>
      <c r="AI33">
        <f t="shared" ca="1" si="18"/>
        <v>399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>
        <f t="shared" ref="A34:AO34" ca="1" si="19">VLOOKUP(A8,$A$45:$F$86,6,FALSE)</f>
        <v>545</v>
      </c>
      <c r="B34">
        <f t="shared" ca="1" si="19"/>
        <v>706</v>
      </c>
      <c r="C34">
        <f t="shared" ca="1" si="19"/>
        <v>211</v>
      </c>
      <c r="D34">
        <f t="shared" ca="1" si="19"/>
        <v>545</v>
      </c>
      <c r="E34">
        <f t="shared" ca="1" si="19"/>
        <v>16</v>
      </c>
      <c r="F34">
        <f t="shared" ca="1" si="19"/>
        <v>288</v>
      </c>
      <c r="G34">
        <f t="shared" ca="1" si="19"/>
        <v>333</v>
      </c>
      <c r="H34">
        <f t="shared" ca="1" si="19"/>
        <v>76</v>
      </c>
      <c r="I34">
        <f t="shared" ca="1" si="19"/>
        <v>79</v>
      </c>
      <c r="J34">
        <f t="shared" ca="1" si="19"/>
        <v>505</v>
      </c>
      <c r="K34">
        <f t="shared" ca="1" si="19"/>
        <v>612</v>
      </c>
      <c r="L34">
        <f t="shared" ca="1" si="19"/>
        <v>825</v>
      </c>
      <c r="M34">
        <f t="shared" ca="1" si="19"/>
        <v>545</v>
      </c>
      <c r="N34">
        <f t="shared" ca="1" si="19"/>
        <v>14</v>
      </c>
      <c r="O34">
        <f t="shared" ca="1" si="19"/>
        <v>399</v>
      </c>
      <c r="P34">
        <f t="shared" ca="1" si="19"/>
        <v>322</v>
      </c>
      <c r="Q34">
        <f t="shared" ca="1" si="19"/>
        <v>211</v>
      </c>
      <c r="R34">
        <f t="shared" ca="1" si="19"/>
        <v>16</v>
      </c>
      <c r="S34">
        <f t="shared" ca="1" si="19"/>
        <v>433</v>
      </c>
      <c r="T34">
        <f t="shared" ca="1" si="19"/>
        <v>545</v>
      </c>
      <c r="U34">
        <f t="shared" ca="1" si="19"/>
        <v>211</v>
      </c>
      <c r="V34">
        <f t="shared" ca="1" si="19"/>
        <v>433</v>
      </c>
      <c r="W34">
        <f t="shared" ca="1" si="19"/>
        <v>27</v>
      </c>
      <c r="X34">
        <f t="shared" ca="1" si="19"/>
        <v>195</v>
      </c>
      <c r="Y34">
        <f t="shared" ca="1" si="19"/>
        <v>278</v>
      </c>
      <c r="Z34">
        <f t="shared" ca="1" si="19"/>
        <v>195</v>
      </c>
      <c r="AA34">
        <f t="shared" ca="1" si="19"/>
        <v>706</v>
      </c>
      <c r="AB34">
        <f t="shared" ca="1" si="19"/>
        <v>235</v>
      </c>
      <c r="AC34">
        <f t="shared" ca="1" si="19"/>
        <v>612</v>
      </c>
      <c r="AD34">
        <f t="shared" ca="1" si="19"/>
        <v>582</v>
      </c>
      <c r="AE34">
        <f t="shared" ca="1" si="19"/>
        <v>278</v>
      </c>
      <c r="AF34">
        <f t="shared" ca="1" si="19"/>
        <v>322</v>
      </c>
      <c r="AG34">
        <f t="shared" ca="1" si="19"/>
        <v>176</v>
      </c>
      <c r="AH34">
        <f t="shared" ca="1" si="19"/>
        <v>706</v>
      </c>
      <c r="AI34">
        <f t="shared" ca="1" si="19"/>
        <v>706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>
        <f t="shared" ref="A35:AO35" ca="1" si="20">VLOOKUP(A9,$A$45:$F$86,6,FALSE)</f>
        <v>322</v>
      </c>
      <c r="B35">
        <f t="shared" ca="1" si="20"/>
        <v>399</v>
      </c>
      <c r="C35">
        <f t="shared" ca="1" si="20"/>
        <v>433</v>
      </c>
      <c r="D35">
        <f t="shared" ca="1" si="20"/>
        <v>612</v>
      </c>
      <c r="E35">
        <f t="shared" ca="1" si="20"/>
        <v>545</v>
      </c>
      <c r="F35">
        <f t="shared" ca="1" si="20"/>
        <v>545</v>
      </c>
      <c r="G35">
        <f t="shared" ca="1" si="20"/>
        <v>211</v>
      </c>
      <c r="H35">
        <f t="shared" ca="1" si="20"/>
        <v>211</v>
      </c>
      <c r="I35">
        <f t="shared" ca="1" si="20"/>
        <v>16</v>
      </c>
      <c r="J35">
        <f t="shared" ca="1" si="20"/>
        <v>211</v>
      </c>
      <c r="K35">
        <f t="shared" ca="1" si="20"/>
        <v>288</v>
      </c>
      <c r="L35">
        <f t="shared" ca="1" si="20"/>
        <v>865</v>
      </c>
      <c r="M35">
        <f t="shared" ca="1" si="20"/>
        <v>865</v>
      </c>
      <c r="N35">
        <f t="shared" ca="1" si="20"/>
        <v>865</v>
      </c>
      <c r="O35">
        <f t="shared" ca="1" si="20"/>
        <v>433</v>
      </c>
      <c r="P35">
        <f t="shared" ca="1" si="20"/>
        <v>433</v>
      </c>
      <c r="Q35">
        <f t="shared" ca="1" si="20"/>
        <v>399</v>
      </c>
      <c r="R35">
        <f t="shared" ca="1" si="20"/>
        <v>399</v>
      </c>
      <c r="S35">
        <f t="shared" ca="1" si="20"/>
        <v>267</v>
      </c>
      <c r="T35">
        <f t="shared" ca="1" si="20"/>
        <v>211</v>
      </c>
      <c r="U35">
        <f t="shared" ca="1" si="20"/>
        <v>322</v>
      </c>
      <c r="V35">
        <f t="shared" ca="1" si="20"/>
        <v>235</v>
      </c>
      <c r="W35">
        <f t="shared" ca="1" si="20"/>
        <v>433</v>
      </c>
      <c r="X35">
        <f t="shared" ca="1" si="20"/>
        <v>288</v>
      </c>
      <c r="Y35">
        <f t="shared" ca="1" si="20"/>
        <v>108</v>
      </c>
      <c r="Z35">
        <f t="shared" ca="1" si="20"/>
        <v>27</v>
      </c>
      <c r="AA35">
        <f t="shared" ca="1" si="20"/>
        <v>505</v>
      </c>
      <c r="AB35">
        <f t="shared" ca="1" si="20"/>
        <v>278</v>
      </c>
      <c r="AC35">
        <f t="shared" ca="1" si="20"/>
        <v>152</v>
      </c>
      <c r="AD35">
        <f t="shared" ca="1" si="20"/>
        <v>152</v>
      </c>
      <c r="AE35">
        <f t="shared" ca="1" si="20"/>
        <v>0</v>
      </c>
      <c r="AF35">
        <f t="shared" ca="1" si="20"/>
        <v>211</v>
      </c>
      <c r="AG35">
        <f t="shared" ca="1" si="20"/>
        <v>545</v>
      </c>
      <c r="AH35">
        <f t="shared" ca="1" si="20"/>
        <v>288</v>
      </c>
      <c r="AI35">
        <f t="shared" ca="1" si="20"/>
        <v>288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>
        <f t="shared" ref="A36:AO36" ca="1" si="21">VLOOKUP(A10,$A$45:$F$86,6,FALSE)</f>
        <v>333</v>
      </c>
      <c r="B36">
        <f t="shared" ca="1" si="21"/>
        <v>870</v>
      </c>
      <c r="C36">
        <f t="shared" ca="1" si="21"/>
        <v>27</v>
      </c>
      <c r="D36">
        <f t="shared" ca="1" si="21"/>
        <v>433</v>
      </c>
      <c r="E36">
        <f t="shared" ca="1" si="21"/>
        <v>211</v>
      </c>
      <c r="F36">
        <f t="shared" ca="1" si="21"/>
        <v>612</v>
      </c>
      <c r="G36">
        <f t="shared" ca="1" si="21"/>
        <v>16</v>
      </c>
      <c r="H36">
        <f t="shared" ca="1" si="21"/>
        <v>433</v>
      </c>
      <c r="I36">
        <f t="shared" ca="1" si="21"/>
        <v>0</v>
      </c>
      <c r="J36">
        <f t="shared" ca="1" si="21"/>
        <v>333</v>
      </c>
      <c r="K36">
        <f t="shared" ca="1" si="21"/>
        <v>433</v>
      </c>
      <c r="L36">
        <f t="shared" ca="1" si="21"/>
        <v>433</v>
      </c>
      <c r="M36">
        <f t="shared" ca="1" si="21"/>
        <v>152</v>
      </c>
      <c r="N36">
        <f t="shared" ca="1" si="21"/>
        <v>16</v>
      </c>
      <c r="O36">
        <f t="shared" ca="1" si="21"/>
        <v>267</v>
      </c>
      <c r="P36">
        <f t="shared" ca="1" si="21"/>
        <v>211</v>
      </c>
      <c r="Q36">
        <f t="shared" ca="1" si="21"/>
        <v>288</v>
      </c>
      <c r="R36">
        <f t="shared" ca="1" si="21"/>
        <v>267</v>
      </c>
      <c r="S36">
        <f t="shared" ca="1" si="21"/>
        <v>79</v>
      </c>
      <c r="T36">
        <f t="shared" ca="1" si="21"/>
        <v>288</v>
      </c>
      <c r="U36">
        <f t="shared" ca="1" si="21"/>
        <v>706</v>
      </c>
      <c r="V36">
        <f t="shared" ca="1" si="21"/>
        <v>353</v>
      </c>
      <c r="W36">
        <f t="shared" ca="1" si="21"/>
        <v>353</v>
      </c>
      <c r="X36">
        <f t="shared" ca="1" si="21"/>
        <v>433</v>
      </c>
      <c r="Y36">
        <f t="shared" ca="1" si="21"/>
        <v>333</v>
      </c>
      <c r="Z36">
        <f t="shared" ca="1" si="21"/>
        <v>235</v>
      </c>
      <c r="AA36">
        <f t="shared" ca="1" si="21"/>
        <v>278</v>
      </c>
      <c r="AB36">
        <f t="shared" ca="1" si="21"/>
        <v>505</v>
      </c>
      <c r="AC36">
        <f t="shared" ca="1" si="21"/>
        <v>433</v>
      </c>
      <c r="AD36">
        <f t="shared" ca="1" si="21"/>
        <v>612</v>
      </c>
      <c r="AE36">
        <f t="shared" ca="1" si="21"/>
        <v>79</v>
      </c>
      <c r="AF36">
        <f t="shared" ca="1" si="21"/>
        <v>288</v>
      </c>
      <c r="AG36">
        <f t="shared" ca="1" si="21"/>
        <v>267</v>
      </c>
      <c r="AH36">
        <f t="shared" ca="1" si="21"/>
        <v>612</v>
      </c>
      <c r="AI36">
        <f t="shared" ca="1" si="21"/>
        <v>612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>
        <f t="shared" ref="A37:AO37" ca="1" si="22">VLOOKUP(A11,$A$45:$F$86,6,FALSE)</f>
        <v>27</v>
      </c>
      <c r="B37">
        <f t="shared" ca="1" si="22"/>
        <v>333</v>
      </c>
      <c r="C37">
        <f t="shared" ca="1" si="22"/>
        <v>403</v>
      </c>
      <c r="D37">
        <f t="shared" ca="1" si="22"/>
        <v>0</v>
      </c>
      <c r="E37">
        <f t="shared" ca="1" si="22"/>
        <v>278</v>
      </c>
      <c r="F37">
        <f t="shared" ca="1" si="22"/>
        <v>825</v>
      </c>
      <c r="G37">
        <f t="shared" ca="1" si="22"/>
        <v>612</v>
      </c>
      <c r="H37">
        <f t="shared" ca="1" si="22"/>
        <v>706</v>
      </c>
      <c r="I37">
        <f t="shared" ca="1" si="22"/>
        <v>235</v>
      </c>
      <c r="J37">
        <f t="shared" ca="1" si="22"/>
        <v>16</v>
      </c>
      <c r="K37">
        <f t="shared" ca="1" si="22"/>
        <v>235</v>
      </c>
      <c r="L37">
        <f t="shared" ca="1" si="22"/>
        <v>288</v>
      </c>
      <c r="M37">
        <f t="shared" ca="1" si="22"/>
        <v>333</v>
      </c>
      <c r="N37">
        <f t="shared" ca="1" si="22"/>
        <v>288</v>
      </c>
      <c r="O37">
        <f t="shared" ca="1" si="22"/>
        <v>288</v>
      </c>
      <c r="P37">
        <f t="shared" ca="1" si="22"/>
        <v>288</v>
      </c>
      <c r="Q37">
        <f t="shared" ca="1" si="22"/>
        <v>825</v>
      </c>
      <c r="R37">
        <f t="shared" ca="1" si="22"/>
        <v>865</v>
      </c>
      <c r="S37">
        <f t="shared" ca="1" si="22"/>
        <v>825</v>
      </c>
      <c r="T37">
        <f t="shared" ca="1" si="22"/>
        <v>399</v>
      </c>
      <c r="U37">
        <f t="shared" ca="1" si="22"/>
        <v>267</v>
      </c>
      <c r="V37">
        <f t="shared" ca="1" si="22"/>
        <v>825</v>
      </c>
      <c r="W37">
        <f t="shared" ca="1" si="22"/>
        <v>278</v>
      </c>
      <c r="X37">
        <f t="shared" ca="1" si="22"/>
        <v>211</v>
      </c>
      <c r="Y37">
        <f t="shared" ca="1" si="22"/>
        <v>288</v>
      </c>
      <c r="Z37">
        <f t="shared" ca="1" si="22"/>
        <v>108</v>
      </c>
      <c r="AA37">
        <f t="shared" ca="1" si="22"/>
        <v>76</v>
      </c>
      <c r="AB37">
        <f t="shared" ca="1" si="22"/>
        <v>612</v>
      </c>
      <c r="AC37">
        <f t="shared" ca="1" si="22"/>
        <v>235</v>
      </c>
      <c r="AD37">
        <f t="shared" ca="1" si="22"/>
        <v>545</v>
      </c>
      <c r="AE37">
        <f t="shared" ca="1" si="22"/>
        <v>152</v>
      </c>
      <c r="AF37">
        <f t="shared" ca="1" si="22"/>
        <v>572</v>
      </c>
      <c r="AG37">
        <f t="shared" ca="1" si="22"/>
        <v>16</v>
      </c>
      <c r="AH37">
        <f t="shared" ca="1" si="22"/>
        <v>235</v>
      </c>
      <c r="AI37">
        <f t="shared" ca="1" si="22"/>
        <v>235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>
        <f t="shared" ref="A38:AO38" ca="1" si="23">VLOOKUP(A12,$A$45:$F$86,6,FALSE)</f>
        <v>176</v>
      </c>
      <c r="B38">
        <f t="shared" ca="1" si="23"/>
        <v>353</v>
      </c>
      <c r="C38">
        <f t="shared" ca="1" si="23"/>
        <v>235</v>
      </c>
      <c r="D38">
        <f t="shared" ca="1" si="23"/>
        <v>572</v>
      </c>
      <c r="E38">
        <f t="shared" ca="1" si="23"/>
        <v>825</v>
      </c>
      <c r="F38">
        <f t="shared" ca="1" si="23"/>
        <v>235</v>
      </c>
      <c r="G38">
        <f t="shared" ca="1" si="23"/>
        <v>267</v>
      </c>
      <c r="H38">
        <f t="shared" ca="1" si="23"/>
        <v>288</v>
      </c>
      <c r="I38">
        <f t="shared" ca="1" si="23"/>
        <v>0</v>
      </c>
      <c r="J38">
        <f t="shared" ca="1" si="23"/>
        <v>235</v>
      </c>
      <c r="K38">
        <f t="shared" ca="1" si="23"/>
        <v>235</v>
      </c>
      <c r="L38">
        <f t="shared" ca="1" si="23"/>
        <v>399</v>
      </c>
      <c r="M38">
        <f t="shared" ca="1" si="23"/>
        <v>278</v>
      </c>
      <c r="N38">
        <f t="shared" ca="1" si="23"/>
        <v>322</v>
      </c>
      <c r="O38">
        <f t="shared" ca="1" si="23"/>
        <v>558</v>
      </c>
      <c r="P38">
        <f t="shared" ca="1" si="23"/>
        <v>278</v>
      </c>
      <c r="Q38">
        <f t="shared" ca="1" si="23"/>
        <v>558</v>
      </c>
      <c r="R38">
        <f t="shared" ca="1" si="23"/>
        <v>278</v>
      </c>
      <c r="S38">
        <f t="shared" ca="1" si="23"/>
        <v>865</v>
      </c>
      <c r="T38">
        <f t="shared" ca="1" si="23"/>
        <v>572</v>
      </c>
      <c r="U38">
        <f t="shared" ca="1" si="23"/>
        <v>278</v>
      </c>
      <c r="V38">
        <f t="shared" ca="1" si="23"/>
        <v>235</v>
      </c>
      <c r="W38">
        <f t="shared" ca="1" si="23"/>
        <v>235</v>
      </c>
      <c r="X38">
        <f t="shared" ca="1" si="23"/>
        <v>278</v>
      </c>
      <c r="Y38">
        <f t="shared" ca="1" si="23"/>
        <v>27</v>
      </c>
      <c r="Z38">
        <f t="shared" ca="1" si="23"/>
        <v>168</v>
      </c>
      <c r="AA38">
        <f t="shared" ca="1" si="23"/>
        <v>108</v>
      </c>
      <c r="AB38">
        <f t="shared" ca="1" si="23"/>
        <v>195</v>
      </c>
      <c r="AC38">
        <f t="shared" ca="1" si="23"/>
        <v>825</v>
      </c>
      <c r="AD38">
        <f t="shared" ca="1" si="23"/>
        <v>399</v>
      </c>
      <c r="AE38">
        <f t="shared" ca="1" si="23"/>
        <v>288</v>
      </c>
      <c r="AF38">
        <f t="shared" ca="1" si="23"/>
        <v>235</v>
      </c>
      <c r="AG38">
        <f t="shared" ca="1" si="23"/>
        <v>433</v>
      </c>
      <c r="AH38">
        <f t="shared" ca="1" si="23"/>
        <v>865</v>
      </c>
      <c r="AI38">
        <f t="shared" ca="1" si="23"/>
        <v>235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>
        <f t="shared" ref="A39:AO39" ca="1" si="24">VLOOKUP(A13,$A$45:$F$86,6,FALSE)</f>
        <v>76</v>
      </c>
      <c r="B39">
        <f t="shared" ca="1" si="24"/>
        <v>403</v>
      </c>
      <c r="C39">
        <f t="shared" ca="1" si="24"/>
        <v>353</v>
      </c>
      <c r="D39">
        <f t="shared" ca="1" si="24"/>
        <v>235</v>
      </c>
      <c r="E39">
        <f t="shared" ca="1" si="24"/>
        <v>0</v>
      </c>
      <c r="F39">
        <f t="shared" ca="1" si="24"/>
        <v>235</v>
      </c>
      <c r="G39">
        <f t="shared" ca="1" si="24"/>
        <v>545</v>
      </c>
      <c r="H39">
        <f t="shared" ca="1" si="24"/>
        <v>545</v>
      </c>
      <c r="I39">
        <f t="shared" ca="1" si="24"/>
        <v>825</v>
      </c>
      <c r="J39">
        <f t="shared" ca="1" si="24"/>
        <v>865</v>
      </c>
      <c r="K39">
        <f t="shared" ca="1" si="24"/>
        <v>572</v>
      </c>
      <c r="L39">
        <f t="shared" ca="1" si="24"/>
        <v>211</v>
      </c>
      <c r="M39">
        <f t="shared" ca="1" si="24"/>
        <v>195</v>
      </c>
      <c r="N39">
        <f t="shared" ca="1" si="24"/>
        <v>612</v>
      </c>
      <c r="O39">
        <f t="shared" ca="1" si="24"/>
        <v>353</v>
      </c>
      <c r="P39">
        <f t="shared" ca="1" si="24"/>
        <v>582</v>
      </c>
      <c r="Q39">
        <f t="shared" ca="1" si="24"/>
        <v>235</v>
      </c>
      <c r="R39">
        <f t="shared" ca="1" si="24"/>
        <v>235</v>
      </c>
      <c r="S39">
        <f t="shared" ca="1" si="24"/>
        <v>235</v>
      </c>
      <c r="T39">
        <f t="shared" ca="1" si="24"/>
        <v>582</v>
      </c>
      <c r="U39">
        <f t="shared" ca="1" si="24"/>
        <v>235</v>
      </c>
      <c r="V39">
        <f t="shared" ca="1" si="24"/>
        <v>76</v>
      </c>
      <c r="W39">
        <f t="shared" ca="1" si="24"/>
        <v>76</v>
      </c>
      <c r="X39">
        <f t="shared" ca="1" si="24"/>
        <v>582</v>
      </c>
      <c r="Y39">
        <f t="shared" ca="1" si="24"/>
        <v>168</v>
      </c>
      <c r="Z39">
        <f t="shared" ca="1" si="24"/>
        <v>76</v>
      </c>
      <c r="AA39">
        <f t="shared" ca="1" si="24"/>
        <v>0</v>
      </c>
      <c r="AB39">
        <f t="shared" ca="1" si="24"/>
        <v>288</v>
      </c>
      <c r="AC39">
        <f t="shared" ca="1" si="24"/>
        <v>582</v>
      </c>
      <c r="AD39">
        <f t="shared" ca="1" si="24"/>
        <v>505</v>
      </c>
      <c r="AE39">
        <f t="shared" ca="1" si="24"/>
        <v>505</v>
      </c>
      <c r="AF39">
        <f t="shared" ca="1" si="24"/>
        <v>322</v>
      </c>
      <c r="AG39">
        <f t="shared" ca="1" si="24"/>
        <v>572</v>
      </c>
      <c r="AH39">
        <f t="shared" ca="1" si="24"/>
        <v>572</v>
      </c>
      <c r="AI39">
        <f t="shared" ca="1" si="24"/>
        <v>865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>
        <f ca="1">SUM(A28:A39)</f>
        <v>3221</v>
      </c>
      <c r="B41">
        <f t="shared" ref="B41:AO41" ca="1" si="25">SUM(B28:B39)</f>
        <v>4386</v>
      </c>
      <c r="C41">
        <f t="shared" ca="1" si="25"/>
        <v>4021</v>
      </c>
      <c r="D41">
        <f t="shared" ca="1" si="25"/>
        <v>3907</v>
      </c>
      <c r="E41">
        <f t="shared" ca="1" si="25"/>
        <v>3497</v>
      </c>
      <c r="F41">
        <f t="shared" ca="1" si="25"/>
        <v>3530</v>
      </c>
      <c r="G41">
        <f t="shared" ca="1" si="25"/>
        <v>3443</v>
      </c>
      <c r="H41">
        <f t="shared" ca="1" si="25"/>
        <v>3314</v>
      </c>
      <c r="I41">
        <f t="shared" ca="1" si="25"/>
        <v>2882</v>
      </c>
      <c r="J41">
        <f t="shared" ca="1" si="25"/>
        <v>3433</v>
      </c>
      <c r="K41">
        <f t="shared" ca="1" si="25"/>
        <v>3426</v>
      </c>
      <c r="L41">
        <f t="shared" ca="1" si="25"/>
        <v>3820</v>
      </c>
      <c r="M41">
        <f t="shared" ca="1" si="25"/>
        <v>3963</v>
      </c>
      <c r="N41">
        <f t="shared" ca="1" si="25"/>
        <v>3955</v>
      </c>
      <c r="O41">
        <f t="shared" ca="1" si="25"/>
        <v>3860</v>
      </c>
      <c r="P41">
        <f t="shared" ca="1" si="25"/>
        <v>4500</v>
      </c>
      <c r="Q41">
        <f t="shared" ca="1" si="25"/>
        <v>3992</v>
      </c>
      <c r="R41">
        <f t="shared" ca="1" si="25"/>
        <v>3740</v>
      </c>
      <c r="S41">
        <f t="shared" ca="1" si="25"/>
        <v>4007</v>
      </c>
      <c r="T41">
        <f t="shared" ca="1" si="25"/>
        <v>4835</v>
      </c>
      <c r="U41">
        <f t="shared" ca="1" si="25"/>
        <v>3718</v>
      </c>
      <c r="V41">
        <f t="shared" ca="1" si="25"/>
        <v>4074</v>
      </c>
      <c r="W41">
        <f t="shared" ca="1" si="25"/>
        <v>3115</v>
      </c>
      <c r="X41">
        <f t="shared" ca="1" si="25"/>
        <v>3405</v>
      </c>
      <c r="Y41">
        <f t="shared" ca="1" si="25"/>
        <v>3146</v>
      </c>
      <c r="Z41">
        <f t="shared" ca="1" si="25"/>
        <v>3625</v>
      </c>
      <c r="AA41">
        <f t="shared" ca="1" si="25"/>
        <v>3524</v>
      </c>
      <c r="AB41">
        <f t="shared" ca="1" si="25"/>
        <v>3259</v>
      </c>
      <c r="AC41">
        <f t="shared" ca="1" si="25"/>
        <v>4378</v>
      </c>
      <c r="AD41">
        <f t="shared" ca="1" si="25"/>
        <v>4384</v>
      </c>
      <c r="AE41">
        <f t="shared" ca="1" si="25"/>
        <v>3142</v>
      </c>
      <c r="AF41">
        <f t="shared" ca="1" si="25"/>
        <v>3757</v>
      </c>
      <c r="AG41">
        <f t="shared" ca="1" si="25"/>
        <v>3585</v>
      </c>
      <c r="AH41">
        <f t="shared" ca="1" si="25"/>
        <v>4539</v>
      </c>
      <c r="AI41">
        <f t="shared" ca="1" si="25"/>
        <v>4202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>
        <f ca="1">A41+COLUMN(A41)/1000</f>
        <v>3221.0010000000002</v>
      </c>
      <c r="B42">
        <f t="shared" ref="B42:AO42" ca="1" si="26">B41+COLUMN(B41)/1000</f>
        <v>4386.0020000000004</v>
      </c>
      <c r="C42">
        <f t="shared" ca="1" si="26"/>
        <v>4021.0030000000002</v>
      </c>
      <c r="D42">
        <f t="shared" ca="1" si="26"/>
        <v>3907.0039999999999</v>
      </c>
      <c r="E42">
        <f t="shared" ca="1" si="26"/>
        <v>3497.0050000000001</v>
      </c>
      <c r="F42">
        <f t="shared" ca="1" si="26"/>
        <v>3530.0059999999999</v>
      </c>
      <c r="G42">
        <f t="shared" ca="1" si="26"/>
        <v>3443.0070000000001</v>
      </c>
      <c r="H42">
        <f t="shared" ca="1" si="26"/>
        <v>3314.0079999999998</v>
      </c>
      <c r="I42">
        <f t="shared" ca="1" si="26"/>
        <v>2882.009</v>
      </c>
      <c r="J42">
        <f t="shared" ca="1" si="26"/>
        <v>3433.01</v>
      </c>
      <c r="K42">
        <f t="shared" ca="1" si="26"/>
        <v>3426.011</v>
      </c>
      <c r="L42">
        <f t="shared" ca="1" si="26"/>
        <v>3820.0120000000002</v>
      </c>
      <c r="M42">
        <f t="shared" ca="1" si="26"/>
        <v>3963.0129999999999</v>
      </c>
      <c r="N42">
        <f t="shared" ca="1" si="26"/>
        <v>3955.0140000000001</v>
      </c>
      <c r="O42">
        <f t="shared" ca="1" si="26"/>
        <v>3860.0149999999999</v>
      </c>
      <c r="P42">
        <f t="shared" ca="1" si="26"/>
        <v>4500.0159999999996</v>
      </c>
      <c r="Q42">
        <f t="shared" ca="1" si="26"/>
        <v>3992.0169999999998</v>
      </c>
      <c r="R42">
        <f t="shared" ca="1" si="26"/>
        <v>3740.018</v>
      </c>
      <c r="S42">
        <f t="shared" ca="1" si="26"/>
        <v>4007.0189999999998</v>
      </c>
      <c r="T42">
        <f t="shared" ca="1" si="26"/>
        <v>4835.0200000000004</v>
      </c>
      <c r="U42">
        <f t="shared" ca="1" si="26"/>
        <v>3718.0210000000002</v>
      </c>
      <c r="V42">
        <f t="shared" ca="1" si="26"/>
        <v>4074.0219999999999</v>
      </c>
      <c r="W42">
        <f t="shared" ca="1" si="26"/>
        <v>3115.0230000000001</v>
      </c>
      <c r="X42">
        <f t="shared" ca="1" si="26"/>
        <v>3405.0239999999999</v>
      </c>
      <c r="Y42">
        <f t="shared" ca="1" si="26"/>
        <v>3146.0250000000001</v>
      </c>
      <c r="Z42">
        <f t="shared" ca="1" si="26"/>
        <v>3625.0259999999998</v>
      </c>
      <c r="AA42">
        <f t="shared" ca="1" si="26"/>
        <v>3524.027</v>
      </c>
      <c r="AB42">
        <f t="shared" ca="1" si="26"/>
        <v>3259.0279999999998</v>
      </c>
      <c r="AC42">
        <f t="shared" ca="1" si="26"/>
        <v>4378.0290000000005</v>
      </c>
      <c r="AD42">
        <f t="shared" ca="1" si="26"/>
        <v>4384.03</v>
      </c>
      <c r="AE42">
        <f t="shared" ca="1" si="26"/>
        <v>3142.0309999999999</v>
      </c>
      <c r="AF42">
        <f t="shared" ca="1" si="26"/>
        <v>3757.0320000000002</v>
      </c>
      <c r="AG42">
        <f t="shared" ca="1" si="26"/>
        <v>3585.0329999999999</v>
      </c>
      <c r="AH42">
        <f t="shared" ca="1" si="26"/>
        <v>4539.0339999999997</v>
      </c>
      <c r="AI42">
        <f t="shared" ca="1" si="26"/>
        <v>4202.0349999999999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>
        <f ca="1">RANK(A42,OFFSET($A$42,0,0,1,NumFantTeams))</f>
        <v>31</v>
      </c>
      <c r="B43">
        <f t="shared" ref="B43:AO43" ca="1" si="27">RANK(B42,OFFSET($A$42,0,0,1,NumFantTeams))</f>
        <v>4</v>
      </c>
      <c r="C43">
        <f t="shared" ca="1" si="27"/>
        <v>9</v>
      </c>
      <c r="D43">
        <f t="shared" ca="1" si="27"/>
        <v>14</v>
      </c>
      <c r="E43">
        <f t="shared" ca="1" si="27"/>
        <v>24</v>
      </c>
      <c r="F43">
        <f t="shared" ca="1" si="27"/>
        <v>22</v>
      </c>
      <c r="G43">
        <f t="shared" ca="1" si="27"/>
        <v>25</v>
      </c>
      <c r="H43">
        <f t="shared" ca="1" si="27"/>
        <v>29</v>
      </c>
      <c r="I43">
        <f t="shared" ca="1" si="27"/>
        <v>35</v>
      </c>
      <c r="J43">
        <f t="shared" ca="1" si="27"/>
        <v>26</v>
      </c>
      <c r="K43">
        <f t="shared" ca="1" si="27"/>
        <v>27</v>
      </c>
      <c r="L43">
        <f t="shared" ca="1" si="27"/>
        <v>16</v>
      </c>
      <c r="M43">
        <f t="shared" ca="1" si="27"/>
        <v>12</v>
      </c>
      <c r="N43">
        <f t="shared" ca="1" si="27"/>
        <v>13</v>
      </c>
      <c r="O43">
        <f t="shared" ca="1" si="27"/>
        <v>15</v>
      </c>
      <c r="P43">
        <f t="shared" ca="1" si="27"/>
        <v>3</v>
      </c>
      <c r="Q43">
        <f t="shared" ca="1" si="27"/>
        <v>11</v>
      </c>
      <c r="R43">
        <f t="shared" ca="1" si="27"/>
        <v>18</v>
      </c>
      <c r="S43">
        <f t="shared" ca="1" si="27"/>
        <v>10</v>
      </c>
      <c r="T43">
        <f t="shared" ca="1" si="27"/>
        <v>1</v>
      </c>
      <c r="U43">
        <f t="shared" ca="1" si="27"/>
        <v>19</v>
      </c>
      <c r="V43">
        <f t="shared" ca="1" si="27"/>
        <v>8</v>
      </c>
      <c r="W43">
        <f t="shared" ca="1" si="27"/>
        <v>34</v>
      </c>
      <c r="X43">
        <f t="shared" ca="1" si="27"/>
        <v>28</v>
      </c>
      <c r="Y43">
        <f t="shared" ca="1" si="27"/>
        <v>32</v>
      </c>
      <c r="Z43">
        <f t="shared" ca="1" si="27"/>
        <v>20</v>
      </c>
      <c r="AA43">
        <f t="shared" ca="1" si="27"/>
        <v>23</v>
      </c>
      <c r="AB43">
        <f t="shared" ca="1" si="27"/>
        <v>30</v>
      </c>
      <c r="AC43">
        <f t="shared" ca="1" si="27"/>
        <v>6</v>
      </c>
      <c r="AD43">
        <f t="shared" ca="1" si="27"/>
        <v>5</v>
      </c>
      <c r="AE43">
        <f t="shared" ca="1" si="27"/>
        <v>33</v>
      </c>
      <c r="AF43">
        <f t="shared" ca="1" si="27"/>
        <v>17</v>
      </c>
      <c r="AG43">
        <f t="shared" ca="1" si="27"/>
        <v>21</v>
      </c>
      <c r="AH43">
        <f t="shared" ca="1" si="27"/>
        <v>2</v>
      </c>
      <c r="AI43">
        <f t="shared" ca="1" si="27"/>
        <v>7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t="s">
        <v>133</v>
      </c>
      <c r="D44" t="s">
        <v>134</v>
      </c>
      <c r="E44" t="s">
        <v>135</v>
      </c>
      <c r="F44" t="s">
        <v>136</v>
      </c>
      <c r="G44" t="s">
        <v>137</v>
      </c>
      <c r="H44">
        <f>COUNTA(1:1)</f>
        <v>35</v>
      </c>
    </row>
    <row r="45" spans="1:41" x14ac:dyDescent="0.15">
      <c r="A45" s="82" t="s">
        <v>125</v>
      </c>
      <c r="B45" t="s">
        <v>168</v>
      </c>
      <c r="C45">
        <v>1</v>
      </c>
      <c r="D45">
        <f t="array" ref="D45">SUM(IF($3:$13=A45,1,0))</f>
        <v>0</v>
      </c>
      <c r="E45">
        <f>MATCH(A45,FantasyPts!$A$5:$A$57,0)</f>
        <v>1</v>
      </c>
      <c r="F45">
        <f ca="1">OFFSET(FantasyPts!$C$4,'Fantasy Teams'!E45,0)</f>
        <v>79</v>
      </c>
      <c r="G45" t="s">
        <v>227</v>
      </c>
      <c r="H45">
        <f ca="1">MATCH(L45,OFFSET($A$43,0,0,1,$H$44),0)</f>
        <v>20</v>
      </c>
      <c r="K45" t="str">
        <f ca="1">OFFSET($A$2,0,H45-1)</f>
        <v>Lesley's Lads</v>
      </c>
      <c r="L45">
        <v>1</v>
      </c>
      <c r="M45" t="str">
        <f ca="1">OFFSET($A$1,0,H45-1)</f>
        <v>Lesley Leadley</v>
      </c>
      <c r="N45" t="str">
        <f ca="1">IF(K45=0,"",K45)</f>
        <v>Lesley's Lads</v>
      </c>
      <c r="O45">
        <f ca="1">OFFSET($A$41,0,H45-1)</f>
        <v>4835</v>
      </c>
    </row>
    <row r="46" spans="1:41" x14ac:dyDescent="0.15">
      <c r="A46" s="82" t="s">
        <v>131</v>
      </c>
      <c r="B46" t="s">
        <v>170</v>
      </c>
      <c r="C46">
        <v>2</v>
      </c>
      <c r="D46">
        <f t="array" ref="D46">SUM(IF($3:$13=A46,1,0))</f>
        <v>4</v>
      </c>
      <c r="E46">
        <f>MATCH(A46,FantasyPts!$A$5:$A$57,0)</f>
        <v>2</v>
      </c>
      <c r="F46">
        <f ca="1">OFFSET(FantasyPts!$C$4,'Fantasy Teams'!E46,0)</f>
        <v>0</v>
      </c>
      <c r="G46" t="s">
        <v>14</v>
      </c>
      <c r="H46">
        <f t="shared" ref="H46:H61" ca="1" si="28">MATCH(L46,OFFSET($A$43,0,0,1,$H$44),0)</f>
        <v>34</v>
      </c>
      <c r="K46">
        <f t="shared" ref="K46:K86" ca="1" si="29">OFFSET($A$2,0,H46-1)</f>
        <v>0</v>
      </c>
      <c r="L46">
        <f t="shared" ref="L46:L77" si="30">L45+1</f>
        <v>2</v>
      </c>
      <c r="M46" t="str">
        <f t="shared" ref="M46:M86" ca="1" si="31">OFFSET($A$1,0,H46-1)</f>
        <v>Mike Hosking</v>
      </c>
      <c r="N46" t="str">
        <f t="shared" ref="N46:N61" ca="1" si="32">IF(K46=0,"",K46)</f>
        <v/>
      </c>
      <c r="O46">
        <f t="shared" ref="O46:O86" ca="1" si="33">OFFSET($A$41,0,H46-1)</f>
        <v>4539</v>
      </c>
    </row>
    <row r="47" spans="1:41" x14ac:dyDescent="0.15">
      <c r="A47" s="82" t="s">
        <v>108</v>
      </c>
      <c r="B47" t="s">
        <v>111</v>
      </c>
      <c r="C47">
        <v>3</v>
      </c>
      <c r="D47">
        <f t="array" ref="D47">SUM(IF($3:$13=A47,1,0))</f>
        <v>15</v>
      </c>
      <c r="E47">
        <f>MATCH(A47,FantasyPts!$A$5:$A$57,0)</f>
        <v>3</v>
      </c>
      <c r="F47">
        <f ca="1">OFFSET(FantasyPts!$C$4,'Fantasy Teams'!E47,0)</f>
        <v>211</v>
      </c>
      <c r="G47" t="s">
        <v>228</v>
      </c>
      <c r="H47">
        <f t="shared" ca="1" si="28"/>
        <v>16</v>
      </c>
      <c r="K47" t="str">
        <f t="shared" ca="1" si="29"/>
        <v>Four-Star XI</v>
      </c>
      <c r="L47">
        <f t="shared" si="30"/>
        <v>3</v>
      </c>
      <c r="M47" t="str">
        <f t="shared" ca="1" si="31"/>
        <v>John Leadley</v>
      </c>
      <c r="N47" t="str">
        <f t="shared" ca="1" si="32"/>
        <v>Four-Star XI</v>
      </c>
      <c r="O47">
        <f t="shared" ca="1" si="33"/>
        <v>4500</v>
      </c>
    </row>
    <row r="48" spans="1:41" x14ac:dyDescent="0.15">
      <c r="A48" s="82" t="s">
        <v>78</v>
      </c>
      <c r="B48" t="s">
        <v>165</v>
      </c>
      <c r="C48">
        <v>6</v>
      </c>
      <c r="D48">
        <f t="array" ref="D48">SUM(IF($3:$13=A48,1,0))</f>
        <v>8</v>
      </c>
      <c r="E48">
        <f>MATCH(A48,FantasyPts!$A$5:$A$57,0)</f>
        <v>4</v>
      </c>
      <c r="F48">
        <f ca="1">OFFSET(FantasyPts!$C$4,'Fantasy Teams'!E48,0)</f>
        <v>572</v>
      </c>
      <c r="G48" t="s">
        <v>229</v>
      </c>
      <c r="H48">
        <f t="shared" ca="1" si="28"/>
        <v>2</v>
      </c>
      <c r="K48" t="str">
        <f t="shared" ca="1" si="29"/>
        <v>The XI Cricketeers</v>
      </c>
      <c r="L48">
        <f t="shared" si="30"/>
        <v>4</v>
      </c>
      <c r="M48" t="str">
        <f t="shared" ca="1" si="31"/>
        <v>Colin Mander</v>
      </c>
      <c r="N48" t="str">
        <f t="shared" ca="1" si="32"/>
        <v>The XI Cricketeers</v>
      </c>
      <c r="O48">
        <f t="shared" ca="1" si="33"/>
        <v>4386</v>
      </c>
    </row>
    <row r="49" spans="1:15" x14ac:dyDescent="0.15">
      <c r="A49" s="82" t="s">
        <v>129</v>
      </c>
      <c r="B49" t="s">
        <v>167</v>
      </c>
      <c r="C49">
        <v>1</v>
      </c>
      <c r="D49">
        <f t="array" ref="D49">SUM(IF($3:$13=A49,1,0))</f>
        <v>1</v>
      </c>
      <c r="E49">
        <f>MATCH(A49,FantasyPts!$A$5:$A$57,0)</f>
        <v>5</v>
      </c>
      <c r="F49">
        <f ca="1">OFFSET(FantasyPts!$C$4,'Fantasy Teams'!E49,0)</f>
        <v>14</v>
      </c>
      <c r="G49" t="s">
        <v>227</v>
      </c>
      <c r="H49">
        <f t="shared" ca="1" si="28"/>
        <v>30</v>
      </c>
      <c r="K49" t="str">
        <f t="shared" ca="1" si="29"/>
        <v>Lukey's 1st XI</v>
      </c>
      <c r="L49">
        <f t="shared" si="30"/>
        <v>5</v>
      </c>
      <c r="M49" t="str">
        <f t="shared" ca="1" si="31"/>
        <v>Luke Hickey</v>
      </c>
      <c r="N49" t="str">
        <f t="shared" ca="1" si="32"/>
        <v>Lukey's 1st XI</v>
      </c>
      <c r="O49">
        <f t="shared" ca="1" si="33"/>
        <v>4384</v>
      </c>
    </row>
    <row r="50" spans="1:15" x14ac:dyDescent="0.15">
      <c r="A50" s="82" t="s">
        <v>214</v>
      </c>
      <c r="B50" t="s">
        <v>221</v>
      </c>
      <c r="C50">
        <v>1</v>
      </c>
      <c r="D50">
        <f t="array" ref="D50">SUM(IF($3:$13=A50,1,0))</f>
        <v>4</v>
      </c>
      <c r="E50">
        <f>MATCH(A50,FantasyPts!$A$5:$A$57,0)</f>
        <v>6</v>
      </c>
      <c r="F50">
        <f ca="1">OFFSET(FantasyPts!$C$4,'Fantasy Teams'!E50,0)</f>
        <v>0</v>
      </c>
      <c r="G50" t="s">
        <v>227</v>
      </c>
      <c r="H50">
        <f t="shared" ca="1" si="28"/>
        <v>29</v>
      </c>
      <c r="K50" t="str">
        <f t="shared" ca="1" si="29"/>
        <v>Snowy's Select XI</v>
      </c>
      <c r="L50">
        <f t="shared" si="30"/>
        <v>6</v>
      </c>
      <c r="M50" t="str">
        <f t="shared" ca="1" si="31"/>
        <v>David Snow</v>
      </c>
      <c r="N50" t="str">
        <f t="shared" ca="1" si="32"/>
        <v>Snowy's Select XI</v>
      </c>
      <c r="O50">
        <f t="shared" ca="1" si="33"/>
        <v>4378</v>
      </c>
    </row>
    <row r="51" spans="1:15" x14ac:dyDescent="0.15">
      <c r="A51" s="82" t="s">
        <v>159</v>
      </c>
      <c r="B51" t="s">
        <v>163</v>
      </c>
      <c r="C51">
        <v>3</v>
      </c>
      <c r="D51">
        <f t="array" ref="D51">SUM(IF($3:$13=A51,1,0))</f>
        <v>7</v>
      </c>
      <c r="E51">
        <f>MATCH(A51,FantasyPts!$A$5:$A$57,0)</f>
        <v>7</v>
      </c>
      <c r="F51">
        <f ca="1">OFFSET(FantasyPts!$C$4,'Fantasy Teams'!E51,0)</f>
        <v>195</v>
      </c>
      <c r="G51" t="s">
        <v>228</v>
      </c>
      <c r="H51">
        <f t="shared" ca="1" si="28"/>
        <v>35</v>
      </c>
      <c r="K51">
        <f t="shared" ca="1" si="29"/>
        <v>0</v>
      </c>
      <c r="L51">
        <f t="shared" si="30"/>
        <v>7</v>
      </c>
      <c r="M51" t="str">
        <f t="shared" ca="1" si="31"/>
        <v>Mike Hosking</v>
      </c>
      <c r="N51" t="str">
        <f t="shared" ca="1" si="32"/>
        <v/>
      </c>
      <c r="O51">
        <f t="shared" ca="1" si="33"/>
        <v>4202</v>
      </c>
    </row>
    <row r="52" spans="1:15" x14ac:dyDescent="0.15">
      <c r="A52" s="82" t="s">
        <v>217</v>
      </c>
      <c r="B52" t="s">
        <v>222</v>
      </c>
      <c r="C52">
        <v>2</v>
      </c>
      <c r="D52">
        <f t="array" ref="D52">SUM(IF($3:$13=A52,1,0))</f>
        <v>1</v>
      </c>
      <c r="E52">
        <f>MATCH(A52,FantasyPts!$A$5:$A$57,0)</f>
        <v>8</v>
      </c>
      <c r="F52">
        <f ca="1">OFFSET(FantasyPts!$C$4,'Fantasy Teams'!E52,0)</f>
        <v>0</v>
      </c>
      <c r="G52" t="s">
        <v>227</v>
      </c>
      <c r="H52">
        <f t="shared" ca="1" si="28"/>
        <v>22</v>
      </c>
      <c r="K52" t="str">
        <f t="shared" ca="1" si="29"/>
        <v>Can He Hit The Ball?</v>
      </c>
      <c r="L52">
        <f t="shared" si="30"/>
        <v>8</v>
      </c>
      <c r="M52" t="str">
        <f t="shared" ca="1" si="31"/>
        <v>Jeff Lestrelle</v>
      </c>
      <c r="N52" t="str">
        <f t="shared" ca="1" si="32"/>
        <v>Can He Hit The Ball?</v>
      </c>
      <c r="O52">
        <f t="shared" ca="1" si="33"/>
        <v>4074</v>
      </c>
    </row>
    <row r="53" spans="1:15" x14ac:dyDescent="0.15">
      <c r="A53" s="82" t="s">
        <v>216</v>
      </c>
      <c r="B53" t="s">
        <v>223</v>
      </c>
      <c r="C53">
        <v>1</v>
      </c>
      <c r="D53">
        <f t="array" ref="D53">SUM(IF($3:$13=A53,1,0))</f>
        <v>14</v>
      </c>
      <c r="E53">
        <f>MATCH(A53,FantasyPts!$A$5:$A$57,0)</f>
        <v>9</v>
      </c>
      <c r="F53">
        <f ca="1">OFFSET(FantasyPts!$C$4,'Fantasy Teams'!E53,0)</f>
        <v>76</v>
      </c>
      <c r="G53" t="s">
        <v>227</v>
      </c>
      <c r="H53">
        <f t="shared" ca="1" si="28"/>
        <v>3</v>
      </c>
      <c r="K53" t="str">
        <f t="shared" ca="1" si="29"/>
        <v>Neil's Noballmen</v>
      </c>
      <c r="L53">
        <f t="shared" si="30"/>
        <v>9</v>
      </c>
      <c r="M53" t="str">
        <f t="shared" ca="1" si="31"/>
        <v>Neil Mander</v>
      </c>
      <c r="N53" t="str">
        <f t="shared" ca="1" si="32"/>
        <v>Neil's Noballmen</v>
      </c>
      <c r="O53">
        <f t="shared" ca="1" si="33"/>
        <v>4021</v>
      </c>
    </row>
    <row r="54" spans="1:15" x14ac:dyDescent="0.15">
      <c r="A54" s="82" t="s">
        <v>79</v>
      </c>
      <c r="B54" t="s">
        <v>114</v>
      </c>
      <c r="C54">
        <v>7</v>
      </c>
      <c r="D54">
        <f t="array" ref="D54">SUM(IF($3:$13=A54,1,0))</f>
        <v>6</v>
      </c>
      <c r="E54">
        <f>MATCH(A54,FantasyPts!$A$5:$A$57,0)</f>
        <v>10</v>
      </c>
      <c r="F54">
        <f ca="1">OFFSET(FantasyPts!$C$4,'Fantasy Teams'!E54,0)</f>
        <v>558</v>
      </c>
      <c r="G54" t="s">
        <v>229</v>
      </c>
      <c r="H54">
        <f t="shared" ca="1" si="28"/>
        <v>19</v>
      </c>
      <c r="K54" t="str">
        <f t="shared" ca="1" si="29"/>
        <v>Geoff's 2nds</v>
      </c>
      <c r="L54">
        <f t="shared" si="30"/>
        <v>10</v>
      </c>
      <c r="M54" t="str">
        <f t="shared" ca="1" si="31"/>
        <v>Geoff Cooper</v>
      </c>
      <c r="N54" t="str">
        <f t="shared" ca="1" si="32"/>
        <v>Geoff's 2nds</v>
      </c>
      <c r="O54">
        <f t="shared" ca="1" si="33"/>
        <v>4007</v>
      </c>
    </row>
    <row r="55" spans="1:15" x14ac:dyDescent="0.15">
      <c r="A55" s="82" t="s">
        <v>126</v>
      </c>
      <c r="B55" t="s">
        <v>115</v>
      </c>
      <c r="C55">
        <v>1</v>
      </c>
      <c r="D55">
        <f t="array" ref="D55">SUM(IF($3:$13=A55,1,0))</f>
        <v>0</v>
      </c>
      <c r="E55">
        <f>MATCH(A55,FantasyPts!$A$5:$A$57,0)</f>
        <v>11</v>
      </c>
      <c r="F55">
        <f ca="1">OFFSET(FantasyPts!$C$4,'Fantasy Teams'!E55,0)</f>
        <v>0</v>
      </c>
      <c r="G55" t="s">
        <v>227</v>
      </c>
      <c r="H55">
        <f t="shared" ca="1" si="28"/>
        <v>17</v>
      </c>
      <c r="K55" t="str">
        <f t="shared" ca="1" si="29"/>
        <v>Unleaded XI</v>
      </c>
      <c r="L55">
        <f t="shared" si="30"/>
        <v>11</v>
      </c>
      <c r="M55" t="str">
        <f t="shared" ca="1" si="31"/>
        <v>John Leadley</v>
      </c>
      <c r="N55" t="str">
        <f t="shared" ca="1" si="32"/>
        <v>Unleaded XI</v>
      </c>
      <c r="O55">
        <f t="shared" ca="1" si="33"/>
        <v>3992</v>
      </c>
    </row>
    <row r="56" spans="1:15" x14ac:dyDescent="0.15">
      <c r="A56" s="82" t="s">
        <v>81</v>
      </c>
      <c r="B56" t="s">
        <v>109</v>
      </c>
      <c r="C56">
        <v>10</v>
      </c>
      <c r="D56">
        <f t="array" ref="D56">SUM(IF($3:$13=A56,1,0))</f>
        <v>18</v>
      </c>
      <c r="E56">
        <f>MATCH(A56,FantasyPts!$A$5:$A$57,0)</f>
        <v>12</v>
      </c>
      <c r="F56">
        <f ca="1">OFFSET(FantasyPts!$C$4,'Fantasy Teams'!E56,0)</f>
        <v>235</v>
      </c>
      <c r="G56" t="s">
        <v>14</v>
      </c>
      <c r="H56">
        <f t="shared" ca="1" si="28"/>
        <v>13</v>
      </c>
      <c r="K56" t="str">
        <f t="shared" ca="1" si="29"/>
        <v>Saturday's Kids</v>
      </c>
      <c r="L56">
        <f t="shared" si="30"/>
        <v>12</v>
      </c>
      <c r="M56" t="str">
        <f t="shared" ca="1" si="31"/>
        <v>Mike Woodhouse</v>
      </c>
      <c r="N56" t="str">
        <f t="shared" ca="1" si="32"/>
        <v>Saturday's Kids</v>
      </c>
      <c r="O56">
        <f t="shared" ca="1" si="33"/>
        <v>3963</v>
      </c>
    </row>
    <row r="57" spans="1:15" x14ac:dyDescent="0.15">
      <c r="A57" s="82" t="s">
        <v>82</v>
      </c>
      <c r="B57" t="s">
        <v>171</v>
      </c>
      <c r="C57">
        <v>5</v>
      </c>
      <c r="D57">
        <f t="array" ref="D57">SUM(IF($3:$13=A57,1,0))</f>
        <v>15</v>
      </c>
      <c r="E57">
        <f>MATCH(A57,FantasyPts!$A$5:$A$57,0)</f>
        <v>13</v>
      </c>
      <c r="F57">
        <f ca="1">OFFSET(FantasyPts!$C$4,'Fantasy Teams'!E57,0)</f>
        <v>433</v>
      </c>
      <c r="G57" t="s">
        <v>228</v>
      </c>
      <c r="H57">
        <f t="shared" ca="1" si="28"/>
        <v>14</v>
      </c>
      <c r="K57" t="str">
        <f t="shared" ca="1" si="29"/>
        <v>Marooned!</v>
      </c>
      <c r="L57">
        <f t="shared" si="30"/>
        <v>13</v>
      </c>
      <c r="M57" t="str">
        <f t="shared" ca="1" si="31"/>
        <v>Mike Woodhouse</v>
      </c>
      <c r="N57" t="str">
        <f t="shared" ca="1" si="32"/>
        <v>Marooned!</v>
      </c>
      <c r="O57">
        <f t="shared" ca="1" si="33"/>
        <v>3955</v>
      </c>
    </row>
    <row r="58" spans="1:15" x14ac:dyDescent="0.15">
      <c r="A58" s="82" t="s">
        <v>160</v>
      </c>
      <c r="B58" t="s">
        <v>161</v>
      </c>
      <c r="C58">
        <v>7</v>
      </c>
      <c r="D58">
        <f t="array" ref="D58">SUM(IF($3:$13=A58,1,0))</f>
        <v>15</v>
      </c>
      <c r="E58">
        <f>MATCH(A58,FantasyPts!$A$5:$A$57,0)</f>
        <v>14</v>
      </c>
      <c r="F58">
        <f ca="1">OFFSET(FantasyPts!$C$4,'Fantasy Teams'!E58,0)</f>
        <v>235</v>
      </c>
      <c r="G58" t="s">
        <v>14</v>
      </c>
      <c r="H58">
        <f t="shared" ca="1" si="28"/>
        <v>4</v>
      </c>
      <c r="K58" t="str">
        <f t="shared" ca="1" si="29"/>
        <v>It's Cricket Isn't It?</v>
      </c>
      <c r="L58">
        <f t="shared" si="30"/>
        <v>14</v>
      </c>
      <c r="M58" t="str">
        <f t="shared" ca="1" si="31"/>
        <v>Vince Reid</v>
      </c>
      <c r="N58" t="str">
        <f t="shared" ca="1" si="32"/>
        <v>It's Cricket Isn't It?</v>
      </c>
      <c r="O58">
        <f t="shared" ca="1" si="33"/>
        <v>3907</v>
      </c>
    </row>
    <row r="59" spans="1:15" x14ac:dyDescent="0.15">
      <c r="A59" s="82" t="s">
        <v>107</v>
      </c>
      <c r="B59" t="s">
        <v>120</v>
      </c>
      <c r="C59">
        <v>5</v>
      </c>
      <c r="D59">
        <f t="array" ref="D59">SUM(IF($3:$13=A59,1,0))</f>
        <v>16</v>
      </c>
      <c r="E59">
        <f>MATCH(A59,FantasyPts!$A$5:$A$57,0)</f>
        <v>15</v>
      </c>
      <c r="F59">
        <f ca="1">OFFSET(FantasyPts!$C$4,'Fantasy Teams'!E59,0)</f>
        <v>27</v>
      </c>
      <c r="G59" t="s">
        <v>227</v>
      </c>
      <c r="H59">
        <f t="shared" ca="1" si="28"/>
        <v>15</v>
      </c>
      <c r="K59" t="str">
        <f t="shared" ca="1" si="29"/>
        <v>Strange Daze</v>
      </c>
      <c r="L59">
        <f t="shared" si="30"/>
        <v>15</v>
      </c>
      <c r="M59" t="str">
        <f t="shared" ca="1" si="31"/>
        <v>Dave Morris</v>
      </c>
      <c r="N59" t="str">
        <f t="shared" ca="1" si="32"/>
        <v>Strange Daze</v>
      </c>
      <c r="O59">
        <f t="shared" ca="1" si="33"/>
        <v>3860</v>
      </c>
    </row>
    <row r="60" spans="1:15" x14ac:dyDescent="0.15">
      <c r="A60" s="82" t="s">
        <v>158</v>
      </c>
      <c r="B60" t="s">
        <v>176</v>
      </c>
      <c r="C60">
        <v>5</v>
      </c>
      <c r="D60">
        <f t="array" ref="D60">SUM(IF($3:$13=A60,1,0))</f>
        <v>5</v>
      </c>
      <c r="E60">
        <f>MATCH(A60,FantasyPts!$A$5:$A$57,0)</f>
        <v>16</v>
      </c>
      <c r="F60">
        <f ca="1">OFFSET(FantasyPts!$C$4,'Fantasy Teams'!E60,0)</f>
        <v>0</v>
      </c>
      <c r="G60" t="s">
        <v>227</v>
      </c>
      <c r="H60">
        <f t="shared" ca="1" si="28"/>
        <v>12</v>
      </c>
      <c r="K60" t="str">
        <f t="shared" ca="1" si="29"/>
        <v>Got Any Cabbage?</v>
      </c>
      <c r="L60">
        <f t="shared" si="30"/>
        <v>16</v>
      </c>
      <c r="M60" t="str">
        <f t="shared" ca="1" si="31"/>
        <v>Mike Woodhouse</v>
      </c>
      <c r="N60" t="str">
        <f t="shared" ca="1" si="32"/>
        <v>Got Any Cabbage?</v>
      </c>
      <c r="O60">
        <f t="shared" ca="1" si="33"/>
        <v>3820</v>
      </c>
    </row>
    <row r="61" spans="1:15" x14ac:dyDescent="0.15">
      <c r="A61" s="82" t="s">
        <v>83</v>
      </c>
      <c r="B61" t="s">
        <v>173</v>
      </c>
      <c r="C61">
        <v>2</v>
      </c>
      <c r="D61">
        <f t="array" ref="D61">SUM(IF($3:$13=A61,1,0))</f>
        <v>5</v>
      </c>
      <c r="E61">
        <f>MATCH(A61,FantasyPts!$A$5:$A$57,0)</f>
        <v>17</v>
      </c>
      <c r="F61">
        <f ca="1">OFFSET(FantasyPts!$C$4,'Fantasy Teams'!E61,0)</f>
        <v>152</v>
      </c>
      <c r="G61" t="s">
        <v>228</v>
      </c>
      <c r="H61">
        <f t="shared" ca="1" si="28"/>
        <v>32</v>
      </c>
      <c r="K61" t="str">
        <f t="shared" ca="1" si="29"/>
        <v>Fantasy Fulfillers</v>
      </c>
      <c r="L61">
        <f t="shared" si="30"/>
        <v>17</v>
      </c>
      <c r="M61" t="str">
        <f t="shared" ca="1" si="31"/>
        <v>David Sharpe</v>
      </c>
      <c r="N61" t="str">
        <f t="shared" ca="1" si="32"/>
        <v>Fantasy Fulfillers</v>
      </c>
      <c r="O61">
        <f t="shared" ca="1" si="33"/>
        <v>3757</v>
      </c>
    </row>
    <row r="62" spans="1:15" x14ac:dyDescent="0.15">
      <c r="A62" s="82" t="s">
        <v>128</v>
      </c>
      <c r="B62" t="s">
        <v>124</v>
      </c>
      <c r="C62">
        <v>2</v>
      </c>
      <c r="D62">
        <f t="array" ref="D62">SUM(IF($3:$13=A62,1,0))</f>
        <v>11</v>
      </c>
      <c r="E62">
        <f>MATCH(A62,FantasyPts!$A$5:$A$57,0)</f>
        <v>18</v>
      </c>
      <c r="F62">
        <f ca="1">OFFSET(FantasyPts!$C$4,'Fantasy Teams'!E62,0)</f>
        <v>108</v>
      </c>
      <c r="G62" t="s">
        <v>227</v>
      </c>
      <c r="H62">
        <f t="shared" ref="H62:H77" ca="1" si="34">MATCH(L62,OFFSET($A$43,0,0,1,$H$44),0)</f>
        <v>18</v>
      </c>
      <c r="K62" t="str">
        <f t="shared" ca="1" si="29"/>
        <v>Geoff's 1sts</v>
      </c>
      <c r="L62">
        <f t="shared" si="30"/>
        <v>18</v>
      </c>
      <c r="M62" t="str">
        <f t="shared" ca="1" si="31"/>
        <v>Geoff Cooper</v>
      </c>
      <c r="N62" t="str">
        <f t="shared" ref="N62:N77" ca="1" si="35">IF(K62=0,"",K62)</f>
        <v>Geoff's 1sts</v>
      </c>
      <c r="O62">
        <f t="shared" ca="1" si="33"/>
        <v>3740</v>
      </c>
    </row>
    <row r="63" spans="1:15" x14ac:dyDescent="0.15">
      <c r="A63" s="82" t="s">
        <v>84</v>
      </c>
      <c r="B63" t="s">
        <v>112</v>
      </c>
      <c r="C63">
        <v>14</v>
      </c>
      <c r="D63">
        <f t="array" ref="D63">SUM(IF($3:$13=A63,1,0))</f>
        <v>16</v>
      </c>
      <c r="E63">
        <f>MATCH(A63,FantasyPts!$A$5:$A$57,0)</f>
        <v>19</v>
      </c>
      <c r="F63">
        <f ca="1">OFFSET(FantasyPts!$C$4,'Fantasy Teams'!E63,0)</f>
        <v>870</v>
      </c>
      <c r="G63" t="s">
        <v>227</v>
      </c>
      <c r="H63">
        <f t="shared" ca="1" si="34"/>
        <v>21</v>
      </c>
      <c r="K63" t="str">
        <f t="shared" ca="1" si="29"/>
        <v>Lesley's Boys</v>
      </c>
      <c r="L63">
        <f t="shared" si="30"/>
        <v>19</v>
      </c>
      <c r="M63" t="str">
        <f t="shared" ca="1" si="31"/>
        <v>Lesley Leadley</v>
      </c>
      <c r="N63" t="str">
        <f t="shared" ca="1" si="35"/>
        <v>Lesley's Boys</v>
      </c>
      <c r="O63">
        <f t="shared" ca="1" si="33"/>
        <v>3718</v>
      </c>
    </row>
    <row r="64" spans="1:15" x14ac:dyDescent="0.15">
      <c r="A64" s="82" t="s">
        <v>232</v>
      </c>
      <c r="B64" t="s">
        <v>234</v>
      </c>
      <c r="C64">
        <v>3</v>
      </c>
      <c r="D64">
        <f t="array" ref="D64">SUM(IF($3:$13=A64,1,0))</f>
        <v>12</v>
      </c>
      <c r="E64">
        <f>MATCH(A64,FantasyPts!$A$5:$A$57,0)</f>
        <v>20</v>
      </c>
      <c r="F64">
        <f ca="1">OFFSET(FantasyPts!$C$4,'Fantasy Teams'!E64,0)</f>
        <v>399</v>
      </c>
      <c r="G64" t="s">
        <v>228</v>
      </c>
      <c r="H64">
        <f t="shared" ca="1" si="34"/>
        <v>26</v>
      </c>
      <c r="K64">
        <f t="shared" ca="1" si="29"/>
        <v>0</v>
      </c>
      <c r="L64">
        <f t="shared" si="30"/>
        <v>20</v>
      </c>
      <c r="M64" t="str">
        <f t="shared" ca="1" si="31"/>
        <v>Ted Dugdale</v>
      </c>
      <c r="N64" t="str">
        <f t="shared" ca="1" si="35"/>
        <v/>
      </c>
      <c r="O64">
        <f t="shared" ca="1" si="33"/>
        <v>3625</v>
      </c>
    </row>
    <row r="65" spans="1:15" x14ac:dyDescent="0.15">
      <c r="A65" s="82" t="s">
        <v>219</v>
      </c>
      <c r="B65" t="s">
        <v>224</v>
      </c>
      <c r="C65">
        <v>2</v>
      </c>
      <c r="D65">
        <f t="array" ref="D65">SUM(IF($3:$13=A65,1,0))</f>
        <v>4</v>
      </c>
      <c r="E65">
        <f>MATCH(A65,FantasyPts!$A$5:$A$57,0)</f>
        <v>21</v>
      </c>
      <c r="F65">
        <f ca="1">OFFSET(FantasyPts!$C$4,'Fantasy Teams'!E65,0)</f>
        <v>79</v>
      </c>
      <c r="G65" t="s">
        <v>228</v>
      </c>
      <c r="H65">
        <f t="shared" ca="1" si="34"/>
        <v>33</v>
      </c>
      <c r="K65">
        <f t="shared" ca="1" si="29"/>
        <v>0</v>
      </c>
      <c r="L65">
        <f t="shared" si="30"/>
        <v>21</v>
      </c>
      <c r="M65" t="str">
        <f t="shared" ca="1" si="31"/>
        <v>Glyn Angell</v>
      </c>
      <c r="N65" t="str">
        <f t="shared" ca="1" si="35"/>
        <v/>
      </c>
      <c r="O65">
        <f t="shared" ca="1" si="33"/>
        <v>3585</v>
      </c>
    </row>
    <row r="66" spans="1:15" x14ac:dyDescent="0.15">
      <c r="A66" s="82" t="s">
        <v>86</v>
      </c>
      <c r="B66" t="s">
        <v>122</v>
      </c>
      <c r="C66">
        <v>6</v>
      </c>
      <c r="D66">
        <f t="array" ref="D66">SUM(IF($3:$13=A66,1,0))</f>
        <v>11</v>
      </c>
      <c r="E66">
        <f>MATCH(A66,FantasyPts!$A$5:$A$57,0)</f>
        <v>22</v>
      </c>
      <c r="F66">
        <f ca="1">OFFSET(FantasyPts!$C$4,'Fantasy Teams'!E66,0)</f>
        <v>706</v>
      </c>
      <c r="G66" t="s">
        <v>228</v>
      </c>
      <c r="H66">
        <f t="shared" ca="1" si="34"/>
        <v>6</v>
      </c>
      <c r="K66" t="str">
        <f t="shared" ca="1" si="29"/>
        <v>Blessed Are The Cheesemakers</v>
      </c>
      <c r="L66">
        <f t="shared" si="30"/>
        <v>22</v>
      </c>
      <c r="M66" t="str">
        <f t="shared" ca="1" si="31"/>
        <v>Alex Hamilton</v>
      </c>
      <c r="N66" t="str">
        <f t="shared" ca="1" si="35"/>
        <v>Blessed Are The Cheesemakers</v>
      </c>
      <c r="O66">
        <f t="shared" ca="1" si="33"/>
        <v>3530</v>
      </c>
    </row>
    <row r="67" spans="1:15" x14ac:dyDescent="0.15">
      <c r="A67" s="82" t="s">
        <v>88</v>
      </c>
      <c r="B67" t="s">
        <v>164</v>
      </c>
      <c r="C67">
        <v>3</v>
      </c>
      <c r="D67">
        <f t="array" ref="D67">SUM(IF($3:$13=A67,1,0))</f>
        <v>20</v>
      </c>
      <c r="E67">
        <f>MATCH(A67,FantasyPts!$A$5:$A$57,0)</f>
        <v>23</v>
      </c>
      <c r="F67">
        <f ca="1">OFFSET(FantasyPts!$C$4,'Fantasy Teams'!E67,0)</f>
        <v>288</v>
      </c>
      <c r="G67" t="s">
        <v>228</v>
      </c>
      <c r="H67">
        <f t="shared" ca="1" si="34"/>
        <v>27</v>
      </c>
      <c r="K67">
        <f t="shared" ca="1" si="29"/>
        <v>0</v>
      </c>
      <c r="L67">
        <f t="shared" si="30"/>
        <v>23</v>
      </c>
      <c r="M67" t="str">
        <f t="shared" ca="1" si="31"/>
        <v>Ted Dugdale</v>
      </c>
      <c r="N67" t="str">
        <f t="shared" ca="1" si="35"/>
        <v/>
      </c>
      <c r="O67">
        <f t="shared" ca="1" si="33"/>
        <v>3524</v>
      </c>
    </row>
    <row r="68" spans="1:15" x14ac:dyDescent="0.15">
      <c r="A68" s="82" t="s">
        <v>218</v>
      </c>
      <c r="B68" t="s">
        <v>225</v>
      </c>
      <c r="C68">
        <v>2</v>
      </c>
      <c r="D68">
        <f t="array" ref="D68">SUM(IF($3:$13=A68,1,0))</f>
        <v>15</v>
      </c>
      <c r="E68">
        <f>MATCH(A68,FantasyPts!$A$5:$A$57,0)</f>
        <v>24</v>
      </c>
      <c r="F68">
        <f ca="1">OFFSET(FantasyPts!$C$4,'Fantasy Teams'!E68,0)</f>
        <v>333</v>
      </c>
      <c r="G68" t="s">
        <v>227</v>
      </c>
      <c r="H68">
        <f t="shared" ca="1" si="34"/>
        <v>5</v>
      </c>
      <c r="K68" t="str">
        <f t="shared" ca="1" si="29"/>
        <v>Are They Still Alive?</v>
      </c>
      <c r="L68">
        <f t="shared" si="30"/>
        <v>24</v>
      </c>
      <c r="M68" t="str">
        <f t="shared" ca="1" si="31"/>
        <v>Vince Reid</v>
      </c>
      <c r="N68" t="str">
        <f t="shared" ca="1" si="35"/>
        <v>Are They Still Alive?</v>
      </c>
      <c r="O68">
        <f t="shared" ca="1" si="33"/>
        <v>3497</v>
      </c>
    </row>
    <row r="69" spans="1:15" x14ac:dyDescent="0.15">
      <c r="A69" s="82" t="s">
        <v>157</v>
      </c>
      <c r="B69" t="s">
        <v>162</v>
      </c>
      <c r="C69">
        <v>2</v>
      </c>
      <c r="D69">
        <f t="array" ref="D69">SUM(IF($3:$13=A69,1,0))</f>
        <v>8</v>
      </c>
      <c r="E69">
        <f>MATCH(A69,FantasyPts!$A$5:$A$57,0)</f>
        <v>25</v>
      </c>
      <c r="F69">
        <f ca="1">OFFSET(FantasyPts!$C$4,'Fantasy Teams'!E69,0)</f>
        <v>16</v>
      </c>
      <c r="G69" t="s">
        <v>228</v>
      </c>
      <c r="H69">
        <f t="shared" ca="1" si="34"/>
        <v>7</v>
      </c>
      <c r="K69" t="str">
        <f t="shared" ca="1" si="29"/>
        <v>43 Seconds</v>
      </c>
      <c r="L69">
        <f t="shared" si="30"/>
        <v>25</v>
      </c>
      <c r="M69" t="str">
        <f t="shared" ca="1" si="31"/>
        <v>Mike Bowers</v>
      </c>
      <c r="N69" t="str">
        <f t="shared" ca="1" si="35"/>
        <v>43 Seconds</v>
      </c>
      <c r="O69">
        <f t="shared" ca="1" si="33"/>
        <v>3443</v>
      </c>
    </row>
    <row r="70" spans="1:15" x14ac:dyDescent="0.15">
      <c r="A70" s="82" t="s">
        <v>90</v>
      </c>
      <c r="B70" t="s">
        <v>169</v>
      </c>
      <c r="C70">
        <v>6</v>
      </c>
      <c r="D70">
        <f t="array" ref="D70">SUM(IF($3:$13=A70,1,0))</f>
        <v>13</v>
      </c>
      <c r="E70">
        <f>MATCH(A70,FantasyPts!$A$5:$A$57,0)</f>
        <v>26</v>
      </c>
      <c r="F70">
        <f ca="1">OFFSET(FantasyPts!$C$4,'Fantasy Teams'!E70,0)</f>
        <v>278</v>
      </c>
      <c r="G70" t="s">
        <v>229</v>
      </c>
      <c r="H70">
        <f t="shared" ca="1" si="34"/>
        <v>10</v>
      </c>
      <c r="K70" t="str">
        <f t="shared" ca="1" si="29"/>
        <v>Sultans Of Swang</v>
      </c>
      <c r="L70">
        <f t="shared" si="30"/>
        <v>26</v>
      </c>
      <c r="M70" t="str">
        <f t="shared" ca="1" si="31"/>
        <v>Del Shewan</v>
      </c>
      <c r="N70" t="str">
        <f t="shared" ca="1" si="35"/>
        <v>Sultans Of Swang</v>
      </c>
      <c r="O70">
        <f t="shared" ca="1" si="33"/>
        <v>3433</v>
      </c>
    </row>
    <row r="71" spans="1:15" x14ac:dyDescent="0.15">
      <c r="A71" s="82" t="s">
        <v>92</v>
      </c>
      <c r="B71" t="s">
        <v>118</v>
      </c>
      <c r="C71">
        <v>6</v>
      </c>
      <c r="D71">
        <f t="array" ref="D71">SUM(IF($3:$13=A71,1,0))</f>
        <v>16</v>
      </c>
      <c r="E71">
        <f>MATCH(A71,FantasyPts!$A$5:$A$57,0)</f>
        <v>27</v>
      </c>
      <c r="F71">
        <f ca="1">OFFSET(FantasyPts!$C$4,'Fantasy Teams'!E71,0)</f>
        <v>545</v>
      </c>
      <c r="G71" t="s">
        <v>228</v>
      </c>
      <c r="H71">
        <f t="shared" ca="1" si="34"/>
        <v>11</v>
      </c>
      <c r="K71" t="str">
        <f t="shared" ca="1" si="29"/>
        <v>Angry Beavers</v>
      </c>
      <c r="L71">
        <f t="shared" si="30"/>
        <v>27</v>
      </c>
      <c r="M71" t="str">
        <f t="shared" ca="1" si="31"/>
        <v>Del Shewan</v>
      </c>
      <c r="N71" t="str">
        <f t="shared" ca="1" si="35"/>
        <v>Angry Beavers</v>
      </c>
      <c r="O71">
        <f t="shared" ca="1" si="33"/>
        <v>3426</v>
      </c>
    </row>
    <row r="72" spans="1:15" x14ac:dyDescent="0.15">
      <c r="A72" s="82" t="s">
        <v>130</v>
      </c>
      <c r="B72" t="s">
        <v>119</v>
      </c>
      <c r="C72">
        <v>2</v>
      </c>
      <c r="D72">
        <f t="array" ref="D72">SUM(IF($3:$13=A72,1,0))</f>
        <v>11</v>
      </c>
      <c r="E72">
        <f>MATCH(A72,FantasyPts!$A$5:$A$57,0)</f>
        <v>28</v>
      </c>
      <c r="F72">
        <f ca="1">OFFSET(FantasyPts!$C$4,'Fantasy Teams'!E72,0)</f>
        <v>168</v>
      </c>
      <c r="G72" t="s">
        <v>227</v>
      </c>
      <c r="H72">
        <f t="shared" ca="1" si="34"/>
        <v>24</v>
      </c>
      <c r="K72" t="str">
        <f t="shared" ca="1" si="29"/>
        <v>No Trophies Up North</v>
      </c>
      <c r="L72">
        <f t="shared" si="30"/>
        <v>28</v>
      </c>
      <c r="M72" t="str">
        <f t="shared" ca="1" si="31"/>
        <v>Paul Oakes</v>
      </c>
      <c r="N72" t="str">
        <f t="shared" ca="1" si="35"/>
        <v>No Trophies Up North</v>
      </c>
      <c r="O72">
        <f t="shared" ca="1" si="33"/>
        <v>3405</v>
      </c>
    </row>
    <row r="73" spans="1:15" x14ac:dyDescent="0.15">
      <c r="A73" s="82" t="s">
        <v>127</v>
      </c>
      <c r="B73" t="s">
        <v>175</v>
      </c>
      <c r="C73">
        <v>3</v>
      </c>
      <c r="D73">
        <f t="array" ref="D73">SUM(IF($3:$13=A73,1,0))</f>
        <v>6</v>
      </c>
      <c r="E73">
        <f>MATCH(A73,FantasyPts!$A$5:$A$57,0)</f>
        <v>29</v>
      </c>
      <c r="F73">
        <f ca="1">OFFSET(FantasyPts!$C$4,'Fantasy Teams'!E73,0)</f>
        <v>176</v>
      </c>
      <c r="G73" t="s">
        <v>227</v>
      </c>
      <c r="H73">
        <f t="shared" ca="1" si="34"/>
        <v>8</v>
      </c>
      <c r="K73" t="str">
        <f t="shared" ca="1" si="29"/>
        <v>Bellybusters</v>
      </c>
      <c r="L73">
        <f t="shared" si="30"/>
        <v>29</v>
      </c>
      <c r="M73" t="str">
        <f t="shared" ca="1" si="31"/>
        <v>Mike Bowers</v>
      </c>
      <c r="N73" t="str">
        <f t="shared" ca="1" si="35"/>
        <v>Bellybusters</v>
      </c>
      <c r="O73">
        <f t="shared" ca="1" si="33"/>
        <v>3314</v>
      </c>
    </row>
    <row r="74" spans="1:15" x14ac:dyDescent="0.15">
      <c r="A74" s="82" t="s">
        <v>94</v>
      </c>
      <c r="B74" t="s">
        <v>110</v>
      </c>
      <c r="C74">
        <v>4</v>
      </c>
      <c r="D74">
        <f t="array" ref="D74">SUM(IF($3:$13=A74,1,0))</f>
        <v>16</v>
      </c>
      <c r="E74">
        <f>MATCH(A74,FantasyPts!$A$5:$A$57,0)</f>
        <v>30</v>
      </c>
      <c r="F74">
        <f ca="1">OFFSET(FantasyPts!$C$4,'Fantasy Teams'!E74,0)</f>
        <v>353</v>
      </c>
      <c r="G74" t="s">
        <v>227</v>
      </c>
      <c r="H74">
        <f t="shared" ca="1" si="34"/>
        <v>28</v>
      </c>
      <c r="K74">
        <f t="shared" ca="1" si="29"/>
        <v>0</v>
      </c>
      <c r="L74">
        <f t="shared" si="30"/>
        <v>30</v>
      </c>
      <c r="M74" t="str">
        <f t="shared" ca="1" si="31"/>
        <v>Sir Nicholas Boot</v>
      </c>
      <c r="N74" t="str">
        <f t="shared" ca="1" si="35"/>
        <v/>
      </c>
      <c r="O74">
        <f t="shared" ca="1" si="33"/>
        <v>3259</v>
      </c>
    </row>
    <row r="75" spans="1:15" x14ac:dyDescent="0.15">
      <c r="A75" s="82" t="s">
        <v>95</v>
      </c>
      <c r="B75" t="s">
        <v>123</v>
      </c>
      <c r="C75">
        <v>9</v>
      </c>
      <c r="D75">
        <f t="array" ref="D75">SUM(IF($3:$13=A75,1,0))</f>
        <v>10</v>
      </c>
      <c r="E75">
        <f>MATCH(A75,FantasyPts!$A$5:$A$57,0)</f>
        <v>31</v>
      </c>
      <c r="F75">
        <f ca="1">OFFSET(FantasyPts!$C$4,'Fantasy Teams'!E75,0)</f>
        <v>825</v>
      </c>
      <c r="G75" t="s">
        <v>229</v>
      </c>
      <c r="H75">
        <f t="shared" ca="1" si="34"/>
        <v>1</v>
      </c>
      <c r="K75" t="str">
        <f t="shared" ca="1" si="29"/>
        <v>Andy's Ardnuts</v>
      </c>
      <c r="L75">
        <f t="shared" si="30"/>
        <v>31</v>
      </c>
      <c r="M75" t="str">
        <f t="shared" ca="1" si="31"/>
        <v>Andy Mander</v>
      </c>
      <c r="N75" t="str">
        <f t="shared" ca="1" si="35"/>
        <v>Andy's Ardnuts</v>
      </c>
      <c r="O75">
        <f t="shared" ca="1" si="33"/>
        <v>3221</v>
      </c>
    </row>
    <row r="76" spans="1:15" x14ac:dyDescent="0.15">
      <c r="A76" s="82" t="s">
        <v>96</v>
      </c>
      <c r="B76" t="s">
        <v>116</v>
      </c>
      <c r="C76">
        <v>9</v>
      </c>
      <c r="D76">
        <f t="array" ref="D76">SUM(IF($3:$13=A76,1,0))</f>
        <v>8</v>
      </c>
      <c r="E76">
        <f>MATCH(A76,FantasyPts!$A$5:$A$57,0)</f>
        <v>32</v>
      </c>
      <c r="F76">
        <f ca="1">OFFSET(FantasyPts!$C$4,'Fantasy Teams'!E76,0)</f>
        <v>505</v>
      </c>
      <c r="G76" t="s">
        <v>228</v>
      </c>
      <c r="H76">
        <f t="shared" ca="1" si="34"/>
        <v>25</v>
      </c>
      <c r="K76">
        <f t="shared" ca="1" si="29"/>
        <v>0</v>
      </c>
      <c r="L76">
        <f t="shared" si="30"/>
        <v>32</v>
      </c>
      <c r="M76" t="str">
        <f t="shared" ca="1" si="31"/>
        <v>Sue Dugdale</v>
      </c>
      <c r="N76" t="str">
        <f t="shared" ca="1" si="35"/>
        <v/>
      </c>
      <c r="O76">
        <f t="shared" ca="1" si="33"/>
        <v>3146</v>
      </c>
    </row>
    <row r="77" spans="1:15" x14ac:dyDescent="0.15">
      <c r="A77" s="82" t="s">
        <v>97</v>
      </c>
      <c r="B77" t="s">
        <v>174</v>
      </c>
      <c r="C77">
        <v>2</v>
      </c>
      <c r="D77">
        <f t="array" ref="D77">SUM(IF($3:$13=A77,1,0))</f>
        <v>1</v>
      </c>
      <c r="E77">
        <f>MATCH(A77,FantasyPts!$A$5:$A$57,0)</f>
        <v>33</v>
      </c>
      <c r="F77">
        <f ca="1">OFFSET(FantasyPts!$C$4,'Fantasy Teams'!E77,0)</f>
        <v>0</v>
      </c>
      <c r="G77" t="s">
        <v>228</v>
      </c>
      <c r="H77">
        <f t="shared" ca="1" si="34"/>
        <v>31</v>
      </c>
      <c r="K77" t="str">
        <f t="shared" ca="1" si="29"/>
        <v>Lukey's 2nd XI</v>
      </c>
      <c r="L77">
        <f t="shared" si="30"/>
        <v>33</v>
      </c>
      <c r="M77" t="str">
        <f t="shared" ca="1" si="31"/>
        <v>Luke Hickey</v>
      </c>
      <c r="N77" t="str">
        <f t="shared" ca="1" si="35"/>
        <v>Lukey's 2nd XI</v>
      </c>
      <c r="O77">
        <f t="shared" ca="1" si="33"/>
        <v>3142</v>
      </c>
    </row>
    <row r="78" spans="1:15" x14ac:dyDescent="0.15">
      <c r="A78" s="82" t="s">
        <v>98</v>
      </c>
      <c r="B78" t="s">
        <v>113</v>
      </c>
      <c r="C78">
        <v>4</v>
      </c>
      <c r="D78">
        <f t="array" ref="D78">SUM(IF($3:$13=A78,1,0))</f>
        <v>11</v>
      </c>
      <c r="E78">
        <f>MATCH(A78,FantasyPts!$A$5:$A$57,0)</f>
        <v>34</v>
      </c>
      <c r="F78">
        <f ca="1">OFFSET(FantasyPts!$C$4,'Fantasy Teams'!E78,0)</f>
        <v>235</v>
      </c>
      <c r="G78" t="s">
        <v>227</v>
      </c>
      <c r="H78">
        <f t="shared" ref="H78:H86" ca="1" si="36">MATCH(L78,OFFSET($A$43,0,0,1,$H$44),0)</f>
        <v>23</v>
      </c>
      <c r="K78">
        <f t="shared" ca="1" si="29"/>
        <v>0</v>
      </c>
      <c r="L78">
        <f t="shared" ref="L78:L86" si="37">L77+1</f>
        <v>34</v>
      </c>
      <c r="M78" t="str">
        <f t="shared" ca="1" si="31"/>
        <v>Jeff Lestrelle</v>
      </c>
      <c r="N78" t="str">
        <f t="shared" ref="N78:N86" ca="1" si="38">IF(K78=0,"",K78)</f>
        <v/>
      </c>
      <c r="O78">
        <f t="shared" ca="1" si="33"/>
        <v>3115</v>
      </c>
    </row>
    <row r="79" spans="1:15" x14ac:dyDescent="0.15">
      <c r="A79" s="82" t="s">
        <v>99</v>
      </c>
      <c r="B79" t="s">
        <v>179</v>
      </c>
      <c r="C79">
        <v>10</v>
      </c>
      <c r="D79">
        <f t="array" ref="D79">SUM(IF($3:$13=A79,1,0))</f>
        <v>8</v>
      </c>
      <c r="E79">
        <f>MATCH(A79,FantasyPts!$A$5:$A$57,0)</f>
        <v>35</v>
      </c>
      <c r="F79">
        <f ca="1">OFFSET(FantasyPts!$C$4,'Fantasy Teams'!E79,0)</f>
        <v>865</v>
      </c>
      <c r="G79" t="s">
        <v>229</v>
      </c>
      <c r="H79">
        <f t="shared" ca="1" si="36"/>
        <v>9</v>
      </c>
      <c r="K79" t="str">
        <f t="shared" ca="1" si="29"/>
        <v>Cambridge Or Bust</v>
      </c>
      <c r="L79">
        <f t="shared" si="37"/>
        <v>35</v>
      </c>
      <c r="M79" t="str">
        <f t="shared" ca="1" si="31"/>
        <v>Del Shewan</v>
      </c>
      <c r="N79" t="str">
        <f t="shared" ca="1" si="38"/>
        <v>Cambridge Or Bust</v>
      </c>
      <c r="O79">
        <f t="shared" ca="1" si="33"/>
        <v>2882</v>
      </c>
    </row>
    <row r="80" spans="1:15" x14ac:dyDescent="0.15">
      <c r="A80" s="82" t="s">
        <v>132</v>
      </c>
      <c r="B80" t="s">
        <v>166</v>
      </c>
      <c r="C80">
        <v>2</v>
      </c>
      <c r="D80">
        <f t="array" ref="D80">SUM(IF($3:$13=A80,1,0))</f>
        <v>5</v>
      </c>
      <c r="E80">
        <f>MATCH(A80,FantasyPts!$A$5:$A$57,0)</f>
        <v>36</v>
      </c>
      <c r="F80">
        <f ca="1">OFFSET(FantasyPts!$C$4,'Fantasy Teams'!E80,0)</f>
        <v>0</v>
      </c>
      <c r="G80" t="s">
        <v>227</v>
      </c>
      <c r="H80" t="e">
        <f t="shared" ca="1" si="36"/>
        <v>#N/A</v>
      </c>
      <c r="K80" t="e">
        <f t="shared" ca="1" si="29"/>
        <v>#N/A</v>
      </c>
      <c r="L80">
        <f t="shared" si="37"/>
        <v>36</v>
      </c>
      <c r="M80" t="e">
        <f t="shared" ca="1" si="31"/>
        <v>#N/A</v>
      </c>
      <c r="N80" t="e">
        <f t="shared" ca="1" si="38"/>
        <v>#N/A</v>
      </c>
      <c r="O80" t="e">
        <f t="shared" ca="1" si="33"/>
        <v>#N/A</v>
      </c>
    </row>
    <row r="81" spans="1:15" x14ac:dyDescent="0.15">
      <c r="A81" s="82" t="s">
        <v>215</v>
      </c>
      <c r="B81" t="s">
        <v>226</v>
      </c>
      <c r="C81">
        <v>1</v>
      </c>
      <c r="D81">
        <f t="array" ref="D81">SUM(IF($3:$13=A81,1,0))</f>
        <v>6</v>
      </c>
      <c r="E81">
        <f>MATCH(A81,FantasyPts!$A$5:$A$57,0)</f>
        <v>37</v>
      </c>
      <c r="F81">
        <f ca="1">OFFSET(FantasyPts!$C$4,'Fantasy Teams'!E81,0)</f>
        <v>322</v>
      </c>
      <c r="G81" t="s">
        <v>227</v>
      </c>
      <c r="H81" t="e">
        <f t="shared" ca="1" si="36"/>
        <v>#N/A</v>
      </c>
      <c r="K81" t="e">
        <f t="shared" ca="1" si="29"/>
        <v>#N/A</v>
      </c>
      <c r="L81">
        <f t="shared" si="37"/>
        <v>37</v>
      </c>
      <c r="M81" t="e">
        <f t="shared" ca="1" si="31"/>
        <v>#N/A</v>
      </c>
      <c r="N81" t="e">
        <f t="shared" ca="1" si="38"/>
        <v>#N/A</v>
      </c>
      <c r="O81" t="e">
        <f t="shared" ca="1" si="33"/>
        <v>#N/A</v>
      </c>
    </row>
    <row r="82" spans="1:15" x14ac:dyDescent="0.15">
      <c r="A82" s="82" t="s">
        <v>106</v>
      </c>
      <c r="B82" t="s">
        <v>117</v>
      </c>
      <c r="C82">
        <v>5</v>
      </c>
      <c r="D82">
        <f t="array" ref="D82">SUM(IF($3:$13=A82,1,0))</f>
        <v>11</v>
      </c>
      <c r="E82">
        <f>MATCH(A82,FantasyPts!$A$5:$A$57,0)</f>
        <v>38</v>
      </c>
      <c r="F82">
        <f ca="1">OFFSET(FantasyPts!$C$4,'Fantasy Teams'!E82,0)</f>
        <v>403</v>
      </c>
      <c r="G82" t="s">
        <v>227</v>
      </c>
      <c r="H82" t="e">
        <f t="shared" ca="1" si="36"/>
        <v>#N/A</v>
      </c>
      <c r="K82" t="e">
        <f t="shared" ca="1" si="29"/>
        <v>#N/A</v>
      </c>
      <c r="L82">
        <f t="shared" si="37"/>
        <v>38</v>
      </c>
      <c r="M82" t="e">
        <f t="shared" ca="1" si="31"/>
        <v>#N/A</v>
      </c>
      <c r="N82" t="e">
        <f t="shared" ca="1" si="38"/>
        <v>#N/A</v>
      </c>
      <c r="O82" t="e">
        <f t="shared" ca="1" si="33"/>
        <v>#N/A</v>
      </c>
    </row>
    <row r="83" spans="1:15" x14ac:dyDescent="0.15">
      <c r="A83" s="82" t="s">
        <v>100</v>
      </c>
      <c r="B83" t="s">
        <v>177</v>
      </c>
      <c r="C83">
        <v>5</v>
      </c>
      <c r="D83">
        <f t="array" ref="D83">SUM(IF($3:$13=A83,1,0))</f>
        <v>6</v>
      </c>
      <c r="E83">
        <f>MATCH(A83,FantasyPts!$A$5:$A$57,0)</f>
        <v>39</v>
      </c>
      <c r="F83">
        <f ca="1">OFFSET(FantasyPts!$C$4,'Fantasy Teams'!E83,0)</f>
        <v>582</v>
      </c>
      <c r="G83" t="s">
        <v>14</v>
      </c>
      <c r="H83" t="e">
        <f t="shared" ca="1" si="36"/>
        <v>#N/A</v>
      </c>
      <c r="K83" t="e">
        <f t="shared" ca="1" si="29"/>
        <v>#N/A</v>
      </c>
      <c r="L83">
        <f t="shared" si="37"/>
        <v>39</v>
      </c>
      <c r="M83" t="e">
        <f t="shared" ca="1" si="31"/>
        <v>#N/A</v>
      </c>
      <c r="N83" t="e">
        <f t="shared" ca="1" si="38"/>
        <v>#N/A</v>
      </c>
      <c r="O83" t="e">
        <f t="shared" ca="1" si="33"/>
        <v>#N/A</v>
      </c>
    </row>
    <row r="84" spans="1:15" x14ac:dyDescent="0.15">
      <c r="A84" s="82" t="s">
        <v>101</v>
      </c>
      <c r="B84" t="s">
        <v>172</v>
      </c>
      <c r="C84">
        <v>5</v>
      </c>
      <c r="D84">
        <f t="array" ref="D84">SUM(IF($3:$13=A84,1,0))</f>
        <v>12</v>
      </c>
      <c r="E84">
        <f>MATCH(A84,FantasyPts!$A$5:$A$57,0)</f>
        <v>40</v>
      </c>
      <c r="F84">
        <f ca="1">OFFSET(FantasyPts!$C$4,'Fantasy Teams'!E84,0)</f>
        <v>612</v>
      </c>
      <c r="G84" t="s">
        <v>228</v>
      </c>
      <c r="H84" t="e">
        <f t="shared" ca="1" si="36"/>
        <v>#N/A</v>
      </c>
      <c r="K84" t="e">
        <f t="shared" ca="1" si="29"/>
        <v>#N/A</v>
      </c>
      <c r="L84">
        <f t="shared" si="37"/>
        <v>40</v>
      </c>
      <c r="M84" t="e">
        <f t="shared" ca="1" si="31"/>
        <v>#N/A</v>
      </c>
      <c r="N84" t="e">
        <f t="shared" ca="1" si="38"/>
        <v>#N/A</v>
      </c>
      <c r="O84" t="e">
        <f t="shared" ca="1" si="33"/>
        <v>#N/A</v>
      </c>
    </row>
    <row r="85" spans="1:15" x14ac:dyDescent="0.15">
      <c r="A85" s="82" t="s">
        <v>103</v>
      </c>
      <c r="B85" t="s">
        <v>178</v>
      </c>
      <c r="C85">
        <v>5</v>
      </c>
      <c r="D85">
        <f t="array" ref="D85">SUM(IF($3:$13=A85,1,0))</f>
        <v>6</v>
      </c>
      <c r="E85">
        <f>MATCH(A85,FantasyPts!$A$5:$A$57,0)</f>
        <v>41</v>
      </c>
      <c r="F85">
        <f ca="1">OFFSET(FantasyPts!$C$4,'Fantasy Teams'!E85,0)</f>
        <v>322</v>
      </c>
      <c r="G85" t="s">
        <v>228</v>
      </c>
      <c r="H85" t="e">
        <f t="shared" ca="1" si="36"/>
        <v>#N/A</v>
      </c>
      <c r="K85" t="e">
        <f t="shared" ca="1" si="29"/>
        <v>#N/A</v>
      </c>
      <c r="L85">
        <f t="shared" si="37"/>
        <v>41</v>
      </c>
      <c r="M85" t="e">
        <f t="shared" ca="1" si="31"/>
        <v>#N/A</v>
      </c>
      <c r="N85" t="e">
        <f t="shared" ca="1" si="38"/>
        <v>#N/A</v>
      </c>
      <c r="O85" t="e">
        <f t="shared" ca="1" si="33"/>
        <v>#N/A</v>
      </c>
    </row>
    <row r="86" spans="1:15" x14ac:dyDescent="0.15">
      <c r="A86" s="82" t="s">
        <v>105</v>
      </c>
      <c r="B86" t="s">
        <v>121</v>
      </c>
      <c r="C86">
        <v>4</v>
      </c>
      <c r="D86">
        <f t="array" ref="D86">SUM(IF($3:$13=A86,1,0))</f>
        <v>8</v>
      </c>
      <c r="E86">
        <f>MATCH(A86,FantasyPts!$A$5:$A$57,0)</f>
        <v>42</v>
      </c>
      <c r="F86">
        <f ca="1">OFFSET(FantasyPts!$C$4,'Fantasy Teams'!E86,0)</f>
        <v>267</v>
      </c>
      <c r="G86" t="s">
        <v>228</v>
      </c>
      <c r="H86" t="e">
        <f t="shared" ca="1" si="36"/>
        <v>#N/A</v>
      </c>
      <c r="K86" t="e">
        <f t="shared" ca="1" si="29"/>
        <v>#N/A</v>
      </c>
      <c r="L86">
        <f t="shared" si="37"/>
        <v>42</v>
      </c>
      <c r="M86" t="e">
        <f t="shared" ca="1" si="31"/>
        <v>#N/A</v>
      </c>
      <c r="N86" t="e">
        <f t="shared" ca="1" si="38"/>
        <v>#N/A</v>
      </c>
      <c r="O86" t="e">
        <f t="shared" ca="1" si="33"/>
        <v>#N/A</v>
      </c>
    </row>
    <row r="88" spans="1:15" x14ac:dyDescent="0.15">
      <c r="G88" t="s">
        <v>229</v>
      </c>
      <c r="H88">
        <f t="array" ref="H88">SUM(IF($G$45:$G$86=G88,1,0))</f>
        <v>5</v>
      </c>
    </row>
    <row r="89" spans="1:15" x14ac:dyDescent="0.15">
      <c r="G89" t="s">
        <v>227</v>
      </c>
      <c r="H89">
        <f t="array" ref="H89">SUM(IF($G$45:$G$86=G89,1,0))</f>
        <v>18</v>
      </c>
    </row>
    <row r="90" spans="1:15" x14ac:dyDescent="0.15">
      <c r="G90" t="s">
        <v>228</v>
      </c>
      <c r="H90">
        <f t="array" ref="H90">SUM(IF($G$45:$G$86=G90,1,0))</f>
        <v>15</v>
      </c>
    </row>
    <row r="91" spans="1:15" x14ac:dyDescent="0.15">
      <c r="G91" t="s">
        <v>14</v>
      </c>
      <c r="H91">
        <f t="array" ref="H91">SUM(IF($G$45:$G$86=G91,1,0))</f>
        <v>4</v>
      </c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workbookViewId="0">
      <selection activeCell="I42" sqref="I42"/>
    </sheetView>
  </sheetViews>
  <sheetFormatPr defaultRowHeight="11.25" x14ac:dyDescent="0.2"/>
  <cols>
    <col min="1" max="1" width="11.7109375" style="5" customWidth="1"/>
    <col min="2" max="2" width="17.5703125" style="5" bestFit="1" customWidth="1"/>
    <col min="3" max="3" width="9.5703125" style="9" customWidth="1"/>
    <col min="4" max="4" width="9.5703125" style="5" customWidth="1"/>
    <col min="5" max="5" width="9.570312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140625" style="5" bestFit="1" customWidth="1"/>
    <col min="11" max="11" width="5.85546875" style="5" bestFit="1" customWidth="1"/>
    <col min="12" max="12" width="7.85546875" style="5" bestFit="1" customWidth="1"/>
    <col min="13" max="13" width="6.42578125" style="5" bestFit="1" customWidth="1"/>
    <col min="14" max="14" width="9.140625" style="5"/>
    <col min="15" max="15" width="4.42578125" style="5" customWidth="1"/>
    <col min="16" max="16" width="15" style="5" customWidth="1"/>
    <col min="17" max="17" width="10.42578125" style="7" customWidth="1"/>
    <col min="18" max="16384" width="9.140625" style="5"/>
  </cols>
  <sheetData>
    <row r="1" spans="1:20" x14ac:dyDescent="0.2">
      <c r="A1" s="5" t="s">
        <v>138</v>
      </c>
      <c r="C1" s="9">
        <v>89</v>
      </c>
    </row>
    <row r="2" spans="1:20" x14ac:dyDescent="0.2">
      <c r="A2" s="5" t="s">
        <v>139</v>
      </c>
      <c r="C2" s="9">
        <v>91</v>
      </c>
    </row>
    <row r="4" spans="1:20" ht="22.5" x14ac:dyDescent="0.2">
      <c r="A4" s="8"/>
      <c r="B4" s="8" t="s">
        <v>140</v>
      </c>
      <c r="C4" s="8" t="s">
        <v>141</v>
      </c>
      <c r="D4" s="8" t="s">
        <v>142</v>
      </c>
      <c r="E4" s="8" t="s">
        <v>143</v>
      </c>
      <c r="F4" s="8" t="s">
        <v>144</v>
      </c>
      <c r="G4" s="8" t="s">
        <v>145</v>
      </c>
      <c r="H4" s="8" t="s">
        <v>146</v>
      </c>
      <c r="I4" s="8" t="s">
        <v>147</v>
      </c>
      <c r="J4" s="8" t="s">
        <v>133</v>
      </c>
      <c r="K4" s="8" t="s">
        <v>148</v>
      </c>
      <c r="M4" s="8" t="s">
        <v>149</v>
      </c>
    </row>
    <row r="5" spans="1:20" x14ac:dyDescent="0.2">
      <c r="A5" s="82" t="s">
        <v>125</v>
      </c>
      <c r="B5" t="s">
        <v>168</v>
      </c>
      <c r="C5" s="9">
        <f t="shared" ref="C5:C17" ca="1" si="0">F5+H5+I5+D5</f>
        <v>79</v>
      </c>
      <c r="D5" s="9">
        <f ca="1">IF(NOT(ISNA(E5)),5*OFFSET(Batting!$CE$4,E5,0,1,1),0)</f>
        <v>20</v>
      </c>
      <c r="E5" s="9">
        <f>MATCH(A5,Batting!$A$5:$A$71,0)</f>
        <v>1</v>
      </c>
      <c r="F5" s="9">
        <f ca="1">IF(NOT(ISNA(E5)),OFFSET(Batting!$B$4,E5,$C$1,1,1)-D5,0)</f>
        <v>49</v>
      </c>
      <c r="G5" s="9" t="e">
        <f>MATCH(A5,Bowling!$A$5:$A$42,0)</f>
        <v>#N/A</v>
      </c>
      <c r="H5" s="9">
        <f ca="1">IF(NOT(ISNA(G5)),OFFSET(Bowling!$CO$4,G5,0,1,1),0)</f>
        <v>0</v>
      </c>
      <c r="I5" s="9">
        <f ca="1">IF(NOT(ISNA(E5)),OFFSET(Batting!$B$4,E5,$C$1+1,1,1),0)</f>
        <v>10</v>
      </c>
      <c r="J5" s="9">
        <f>VLOOKUP(A5,'Fantasy Teams'!$A$45:$C$86,3,FALSE)</f>
        <v>1</v>
      </c>
      <c r="K5" s="10">
        <f ca="1">INT(C5*1000/J5)/1000</f>
        <v>79</v>
      </c>
      <c r="L5" s="5">
        <f ca="1">K5+ROW(K5)/100000</f>
        <v>79.000050000000002</v>
      </c>
      <c r="M5" s="5">
        <f ca="1">RANK(L5,$L$5:$L$46)</f>
        <v>17</v>
      </c>
      <c r="N5" s="5">
        <f ca="1">MATCH(O5,$M$5:$M$55,0)</f>
        <v>37</v>
      </c>
      <c r="O5" s="5">
        <v>1</v>
      </c>
      <c r="P5" s="5" t="str">
        <f t="shared" ref="P5:P31" ca="1" si="1">OFFSET($B$4,N5,0)</f>
        <v>Craig Thomas</v>
      </c>
      <c r="Q5" s="7">
        <f t="shared" ref="Q5:Q31" ca="1" si="2">OFFSET($K$4,N5,0)</f>
        <v>322</v>
      </c>
      <c r="R5" s="5">
        <f t="shared" ref="R5:R46" ca="1" si="3">OFFSET($J$4,N5,0)</f>
        <v>1</v>
      </c>
    </row>
    <row r="6" spans="1:20" x14ac:dyDescent="0.2">
      <c r="A6" s="82" t="s">
        <v>131</v>
      </c>
      <c r="B6" t="s">
        <v>170</v>
      </c>
      <c r="C6" s="9">
        <f t="shared" ca="1" si="0"/>
        <v>0</v>
      </c>
      <c r="D6" s="9">
        <f ca="1">IF(NOT(ISNA(E6)),5*OFFSET(Batting!$CE$4,E6,0,1,1),0)</f>
        <v>0</v>
      </c>
      <c r="E6" s="9">
        <f>MATCH(A6,Batting!$A$5:$A$71,0)</f>
        <v>2</v>
      </c>
      <c r="F6" s="9">
        <f ca="1">IF(NOT(ISNA(E6)),OFFSET(Batting!$B$4,E6,$C$1,1,1)-D6,0)</f>
        <v>0</v>
      </c>
      <c r="G6" s="9" t="e">
        <f>MATCH(A6,Bowling!$A$5:$A$42,0)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>VLOOKUP(A6,'Fantasy Teams'!$A$45:$C$86,3,FALSE)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RANK(L6,$L$5:$L$46)</f>
        <v>42</v>
      </c>
      <c r="N6" s="5">
        <f t="shared" ref="N6:N46" ca="1" si="7">MATCH(O6,$M$5:$M$55,0)</f>
        <v>24</v>
      </c>
      <c r="O6" s="5">
        <f>O5+1</f>
        <v>2</v>
      </c>
      <c r="P6" s="5" t="str">
        <f t="shared" ca="1" si="1"/>
        <v>Neil Mander</v>
      </c>
      <c r="Q6" s="7">
        <f t="shared" ca="1" si="2"/>
        <v>166.5</v>
      </c>
      <c r="R6" s="5">
        <f t="shared" ca="1" si="3"/>
        <v>2</v>
      </c>
    </row>
    <row r="7" spans="1:20" x14ac:dyDescent="0.2">
      <c r="A7" s="82" t="s">
        <v>108</v>
      </c>
      <c r="B7" t="s">
        <v>111</v>
      </c>
      <c r="C7" s="9">
        <f t="shared" ca="1" si="0"/>
        <v>211</v>
      </c>
      <c r="D7" s="9">
        <f ca="1">IF(NOT(ISNA(E7)),5*OFFSET(Batting!$CE$4,E7,0,1,1),0)</f>
        <v>25</v>
      </c>
      <c r="E7" s="9">
        <f>MATCH(A7,Batting!$A$5:$A$71,0)</f>
        <v>3</v>
      </c>
      <c r="F7" s="9">
        <f ca="1">IF(NOT(ISNA(E7)),OFFSET(Batting!$B$4,E7,$C$1,1,1)-D7,0)</f>
        <v>16</v>
      </c>
      <c r="G7" s="9">
        <f>MATCH(A7,Bowling!$A$5:$A$42,0)</f>
        <v>1</v>
      </c>
      <c r="H7" s="9">
        <f ca="1">IF(NOT(ISNA(G7)),OFFSET(Bowling!$CO$4,G7,0,1,1),0)</f>
        <v>155</v>
      </c>
      <c r="I7" s="9">
        <f ca="1">IF(NOT(ISNA(E7)),OFFSET(Batting!$B$4,E7,$C$1+1,1,1),0)</f>
        <v>15</v>
      </c>
      <c r="J7" s="9">
        <f>VLOOKUP(A7,'Fantasy Teams'!$A$45:$C$86,3,FALSE)</f>
        <v>3</v>
      </c>
      <c r="K7" s="10">
        <f t="shared" ca="1" si="4"/>
        <v>70.332999999999998</v>
      </c>
      <c r="L7" s="5">
        <f t="shared" ca="1" si="5"/>
        <v>70.333069999999992</v>
      </c>
      <c r="M7" s="5">
        <f t="shared" ca="1" si="6"/>
        <v>20</v>
      </c>
      <c r="N7" s="5">
        <f t="shared" ca="1" si="7"/>
        <v>20</v>
      </c>
      <c r="O7" s="5">
        <f t="shared" ref="O7:O46" si="8">O6+1</f>
        <v>3</v>
      </c>
      <c r="P7" s="5" t="str">
        <f t="shared" ca="1" si="1"/>
        <v>Jeff Lestrelle</v>
      </c>
      <c r="Q7" s="7">
        <f t="shared" ca="1" si="2"/>
        <v>133</v>
      </c>
      <c r="R7" s="5">
        <f t="shared" ca="1" si="3"/>
        <v>3</v>
      </c>
    </row>
    <row r="8" spans="1:20" x14ac:dyDescent="0.2">
      <c r="A8" s="82" t="s">
        <v>78</v>
      </c>
      <c r="B8" t="s">
        <v>165</v>
      </c>
      <c r="C8" s="9">
        <f t="shared" ca="1" si="0"/>
        <v>572</v>
      </c>
      <c r="D8" s="9">
        <f ca="1">IF(NOT(ISNA(E8)),5*OFFSET(Batting!$CE$4,E8,0,1,1),0)</f>
        <v>60</v>
      </c>
      <c r="E8" s="9">
        <f>MATCH(A8,Batting!$A$5:$A$71,0)</f>
        <v>4</v>
      </c>
      <c r="F8" s="9">
        <f ca="1">IF(NOT(ISNA(E8)),OFFSET(Batting!$B$4,E8,$C$1,1,1)-D8,0)</f>
        <v>316</v>
      </c>
      <c r="G8" s="9">
        <f>MATCH(A8,Bowling!$A$5:$A$42,0)</f>
        <v>2</v>
      </c>
      <c r="H8" s="9">
        <f ca="1">IF(NOT(ISNA(G8)),OFFSET(Bowling!$CO$4,G8,0,1,1),0)</f>
        <v>186</v>
      </c>
      <c r="I8" s="9">
        <f ca="1">IF(NOT(ISNA(E8)),OFFSET(Batting!$B$4,E8,$C$1+1,1,1),0)</f>
        <v>10</v>
      </c>
      <c r="J8" s="9">
        <f>VLOOKUP(A8,'Fantasy Teams'!$A$45:$C$86,3,FALSE)</f>
        <v>6</v>
      </c>
      <c r="K8" s="10">
        <f t="shared" ca="1" si="4"/>
        <v>95.332999999999998</v>
      </c>
      <c r="L8" s="5">
        <f t="shared" ca="1" si="5"/>
        <v>95.333079999999995</v>
      </c>
      <c r="M8" s="5">
        <f t="shared" ca="1" si="6"/>
        <v>8</v>
      </c>
      <c r="N8" s="5">
        <f t="shared" ca="1" si="7"/>
        <v>40</v>
      </c>
      <c r="O8" s="5">
        <f t="shared" si="8"/>
        <v>4</v>
      </c>
      <c r="P8" s="5" t="str">
        <f t="shared" ca="1" si="1"/>
        <v>Jon Worthy</v>
      </c>
      <c r="Q8" s="7">
        <f t="shared" ca="1" si="2"/>
        <v>122.4</v>
      </c>
      <c r="R8" s="5">
        <f t="shared" ca="1" si="3"/>
        <v>5</v>
      </c>
    </row>
    <row r="9" spans="1:20" x14ac:dyDescent="0.2">
      <c r="A9" s="82" t="s">
        <v>129</v>
      </c>
      <c r="B9" t="s">
        <v>167</v>
      </c>
      <c r="C9" s="9">
        <f t="shared" ca="1" si="0"/>
        <v>14</v>
      </c>
      <c r="D9" s="9">
        <f ca="1">IF(NOT(ISNA(E9)),5*OFFSET(Batting!$CE$4,E9,0,1,1),0)</f>
        <v>5</v>
      </c>
      <c r="E9" s="9">
        <f>MATCH(A9,Batting!$A$5:$A$71,0)</f>
        <v>7</v>
      </c>
      <c r="F9" s="9">
        <f ca="1">IF(NOT(ISNA(E9)),OFFSET(Batting!$B$4,E9,$C$1,1,1)-D9,0)</f>
        <v>9</v>
      </c>
      <c r="G9" s="9" t="e">
        <f>MATCH(A9,Bowling!$A$5:$A$42,0)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>VLOOKUP(A9,'Fantasy Teams'!$A$45:$C$86,3,FALSE)</f>
        <v>1</v>
      </c>
      <c r="K9" s="10">
        <f t="shared" ca="1" si="4"/>
        <v>14</v>
      </c>
      <c r="L9" s="5">
        <f t="shared" ca="1" si="5"/>
        <v>14.00009</v>
      </c>
      <c r="M9" s="5">
        <f t="shared" ca="1" si="6"/>
        <v>33</v>
      </c>
      <c r="N9" s="5">
        <f t="shared" ca="1" si="7"/>
        <v>22</v>
      </c>
      <c r="O9" s="5">
        <f t="shared" si="8"/>
        <v>5</v>
      </c>
      <c r="P9" s="5" t="str">
        <f t="shared" ca="1" si="1"/>
        <v>Andy Mander</v>
      </c>
      <c r="Q9" s="7">
        <f t="shared" ca="1" si="2"/>
        <v>117.666</v>
      </c>
      <c r="R9" s="5">
        <f t="shared" ca="1" si="3"/>
        <v>6</v>
      </c>
    </row>
    <row r="10" spans="1:20" x14ac:dyDescent="0.2">
      <c r="A10" s="82" t="s">
        <v>214</v>
      </c>
      <c r="B10" t="s">
        <v>221</v>
      </c>
      <c r="C10" s="9">
        <f t="shared" ca="1" si="0"/>
        <v>0</v>
      </c>
      <c r="D10" s="9">
        <f ca="1">IF(NOT(ISNA(E10)),5*OFFSET(Batting!$CE$4,E10,0,1,1),0)</f>
        <v>0</v>
      </c>
      <c r="E10" s="9">
        <f>MATCH(A10,Batting!$A$5:$A$71,0)</f>
        <v>8</v>
      </c>
      <c r="F10" s="9">
        <f ca="1">IF(NOT(ISNA(E10)),OFFSET(Batting!$B$4,E10,$C$1,1,1)-D10,0)</f>
        <v>0</v>
      </c>
      <c r="G10" s="9" t="e">
        <f>MATCH(A10,Bowling!$A$5:$A$42,0)</f>
        <v>#N/A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>VLOOKUP(A10,'Fantasy Teams'!$A$45:$C$86,3,FALSE)</f>
        <v>1</v>
      </c>
      <c r="K10" s="10">
        <f t="shared" ca="1" si="4"/>
        <v>0</v>
      </c>
      <c r="L10" s="5">
        <f t="shared" ca="1" si="5"/>
        <v>1E-4</v>
      </c>
      <c r="M10" s="5">
        <f t="shared" ca="1" si="6"/>
        <v>41</v>
      </c>
      <c r="N10" s="5">
        <f t="shared" ca="1" si="7"/>
        <v>39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116.4</v>
      </c>
      <c r="R10" s="5">
        <f t="shared" ca="1" si="3"/>
        <v>5</v>
      </c>
    </row>
    <row r="11" spans="1:20" x14ac:dyDescent="0.2">
      <c r="A11" s="82" t="s">
        <v>159</v>
      </c>
      <c r="B11" t="s">
        <v>163</v>
      </c>
      <c r="C11" s="9">
        <f t="shared" ca="1" si="0"/>
        <v>195</v>
      </c>
      <c r="D11" s="9">
        <f ca="1">IF(NOT(ISNA(E11)),5*OFFSET(Batting!$CE$4,E11,0,1,1),0)</f>
        <v>30</v>
      </c>
      <c r="E11" s="9">
        <f>MATCH(A11,Batting!$A$5:$A$71,0)</f>
        <v>9</v>
      </c>
      <c r="F11" s="9">
        <f ca="1">IF(NOT(ISNA(E11)),OFFSET(Batting!$B$4,E11,$C$1,1,1)-D11,0)</f>
        <v>16</v>
      </c>
      <c r="G11" s="9">
        <f>MATCH(A11,Bowling!$A$5:$A$42,0)</f>
        <v>4</v>
      </c>
      <c r="H11" s="9">
        <f ca="1">IF(NOT(ISNA(G11)),OFFSET(Bowling!$CO$4,G11,0,1,1),0)</f>
        <v>149</v>
      </c>
      <c r="I11" s="9">
        <f ca="1">IF(NOT(ISNA(E11)),OFFSET(Batting!$B$4,E11,$C$1+1,1,1),0)</f>
        <v>0</v>
      </c>
      <c r="J11" s="9">
        <f>VLOOKUP(A11,'Fantasy Teams'!$A$45:$C$86,3,FALSE)</f>
        <v>3</v>
      </c>
      <c r="K11" s="10">
        <f t="shared" ca="1" si="4"/>
        <v>65</v>
      </c>
      <c r="L11" s="5">
        <f t="shared" ca="1" si="5"/>
        <v>65.000110000000006</v>
      </c>
      <c r="M11" s="5">
        <f t="shared" ca="1" si="6"/>
        <v>22</v>
      </c>
      <c r="N11" s="5">
        <f t="shared" ca="1" si="7"/>
        <v>23</v>
      </c>
      <c r="O11" s="5">
        <f t="shared" si="8"/>
        <v>7</v>
      </c>
      <c r="P11" s="5" t="str">
        <f t="shared" ca="1" si="1"/>
        <v>Colin Mander</v>
      </c>
      <c r="Q11" s="7">
        <f t="shared" ca="1" si="2"/>
        <v>96</v>
      </c>
      <c r="R11" s="5">
        <f t="shared" ca="1" si="3"/>
        <v>3</v>
      </c>
    </row>
    <row r="12" spans="1:20" x14ac:dyDescent="0.2">
      <c r="A12" s="82" t="s">
        <v>217</v>
      </c>
      <c r="B12" t="s">
        <v>222</v>
      </c>
      <c r="C12" s="9">
        <f t="shared" ca="1" si="0"/>
        <v>0</v>
      </c>
      <c r="D12" s="9">
        <f ca="1">IF(NOT(ISNA(E12)),5*OFFSET(Batting!$CE$4,E12,0,1,1),0)</f>
        <v>0</v>
      </c>
      <c r="E12" s="9">
        <f>MATCH(A12,Batting!$A$5:$A$71,0)</f>
        <v>10</v>
      </c>
      <c r="F12" s="9">
        <f ca="1">IF(NOT(ISNA(E12)),OFFSET(Batting!$B$4,E12,$C$1,1,1)-D12,0)</f>
        <v>0</v>
      </c>
      <c r="G12" s="9" t="e">
        <f>MATCH(A12,Bowling!$A$5:$A$42,0)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>VLOOKUP(A12,'Fantasy Teams'!$A$45:$C$86,3,FALSE)</f>
        <v>2</v>
      </c>
      <c r="K12" s="10">
        <f t="shared" ca="1" si="4"/>
        <v>0</v>
      </c>
      <c r="L12" s="5">
        <f t="shared" ca="1" si="5"/>
        <v>1.2E-4</v>
      </c>
      <c r="M12" s="5">
        <f t="shared" ca="1" si="6"/>
        <v>40</v>
      </c>
      <c r="N12" s="5">
        <f t="shared" ca="1" si="7"/>
        <v>4</v>
      </c>
      <c r="O12" s="5">
        <f t="shared" si="8"/>
        <v>8</v>
      </c>
      <c r="P12" s="5" t="str">
        <f t="shared" ca="1" si="1"/>
        <v>David Brocks</v>
      </c>
      <c r="Q12" s="7">
        <f t="shared" ca="1" si="2"/>
        <v>95.332999999999998</v>
      </c>
      <c r="R12" s="5">
        <f t="shared" ca="1" si="3"/>
        <v>6</v>
      </c>
    </row>
    <row r="13" spans="1:20" x14ac:dyDescent="0.2">
      <c r="A13" s="82" t="s">
        <v>216</v>
      </c>
      <c r="B13" t="s">
        <v>223</v>
      </c>
      <c r="C13" s="9">
        <f t="shared" ca="1" si="0"/>
        <v>76</v>
      </c>
      <c r="D13" s="9">
        <f ca="1">IF(NOT(ISNA(E13)),5*OFFSET(Batting!$CE$4,E13,0,1,1),0)</f>
        <v>25</v>
      </c>
      <c r="E13" s="9">
        <f>MATCH(A13,Batting!$A$5:$A$71,0)</f>
        <v>11</v>
      </c>
      <c r="F13" s="9">
        <f ca="1">IF(NOT(ISNA(E13)),OFFSET(Batting!$B$4,E13,$C$1,1,1)-D13,0)</f>
        <v>13</v>
      </c>
      <c r="G13" s="9">
        <f>MATCH(A13,Bowling!$A$5:$A$42,0)</f>
        <v>5</v>
      </c>
      <c r="H13" s="9">
        <f ca="1">IF(NOT(ISNA(G13)),OFFSET(Bowling!$CO$4,G13,0,1,1),0)</f>
        <v>13</v>
      </c>
      <c r="I13" s="9">
        <f ca="1">IF(NOT(ISNA(E13)),OFFSET(Batting!$B$4,E13,$C$1+1,1,1),0)</f>
        <v>25</v>
      </c>
      <c r="J13" s="9">
        <f>VLOOKUP(A13,'Fantasy Teams'!$A$45:$C$86,3,FALSE)</f>
        <v>1</v>
      </c>
      <c r="K13" s="10">
        <f t="shared" ca="1" si="4"/>
        <v>76</v>
      </c>
      <c r="L13" s="5">
        <f t="shared" ca="1" si="5"/>
        <v>76.000129999999999</v>
      </c>
      <c r="M13" s="5">
        <f t="shared" ca="1" si="6"/>
        <v>19</v>
      </c>
      <c r="N13" s="5">
        <f t="shared" ca="1" si="7"/>
        <v>31</v>
      </c>
      <c r="O13" s="5">
        <f t="shared" si="8"/>
        <v>9</v>
      </c>
      <c r="P13" s="5" t="str">
        <f t="shared" ca="1" si="1"/>
        <v>David Sharpe</v>
      </c>
      <c r="Q13" s="7">
        <f t="shared" ca="1" si="2"/>
        <v>91.665999999999997</v>
      </c>
      <c r="R13" s="5">
        <f t="shared" ca="1" si="3"/>
        <v>9</v>
      </c>
    </row>
    <row r="14" spans="1:20" x14ac:dyDescent="0.2">
      <c r="A14" s="82" t="s">
        <v>79</v>
      </c>
      <c r="B14" t="s">
        <v>114</v>
      </c>
      <c r="C14" s="9">
        <f t="shared" ca="1" si="0"/>
        <v>558</v>
      </c>
      <c r="D14" s="9">
        <f ca="1">IF(NOT(ISNA(E14)),5*OFFSET(Batting!$CE$4,E14,0,1,1),0)</f>
        <v>85</v>
      </c>
      <c r="E14" s="9">
        <f>MATCH(A14,Batting!$A$5:$A$71,0)</f>
        <v>13</v>
      </c>
      <c r="F14" s="9">
        <f ca="1">IF(NOT(ISNA(E14)),OFFSET(Batting!$B$4,E14,$C$1,1,1)-D14,0)</f>
        <v>106</v>
      </c>
      <c r="G14" s="9">
        <f>MATCH(A14,Bowling!$A$5:$A$42,0)</f>
        <v>6</v>
      </c>
      <c r="H14" s="9">
        <f ca="1">IF(NOT(ISNA(G14)),OFFSET(Bowling!$CO$4,G14,0,1,1),0)</f>
        <v>347</v>
      </c>
      <c r="I14" s="9">
        <f ca="1">IF(NOT(ISNA(E14)),OFFSET(Batting!$B$4,E14,$C$1+1,1,1),0)</f>
        <v>20</v>
      </c>
      <c r="J14" s="9">
        <f>VLOOKUP(A14,'Fantasy Teams'!$A$45:$C$86,3,FALSE)</f>
        <v>7</v>
      </c>
      <c r="K14" s="10">
        <f t="shared" ca="1" si="4"/>
        <v>79.713999999999999</v>
      </c>
      <c r="L14" s="5">
        <f t="shared" ca="1" si="5"/>
        <v>79.71414</v>
      </c>
      <c r="M14" s="5">
        <f t="shared" ca="1" si="6"/>
        <v>16</v>
      </c>
      <c r="N14" s="5">
        <f t="shared" ca="1" si="7"/>
        <v>27</v>
      </c>
      <c r="O14" s="5">
        <f t="shared" si="8"/>
        <v>10</v>
      </c>
      <c r="P14" s="5" t="str">
        <f t="shared" ca="1" si="1"/>
        <v>Dave Morris</v>
      </c>
      <c r="Q14" s="7">
        <f t="shared" ca="1" si="2"/>
        <v>90.832999999999998</v>
      </c>
      <c r="R14" s="5">
        <f t="shared" ca="1" si="3"/>
        <v>6</v>
      </c>
    </row>
    <row r="15" spans="1:20" x14ac:dyDescent="0.2">
      <c r="A15" s="82" t="s">
        <v>126</v>
      </c>
      <c r="B15" t="s">
        <v>115</v>
      </c>
      <c r="C15" s="9">
        <f t="shared" ca="1" si="0"/>
        <v>0</v>
      </c>
      <c r="D15" s="9">
        <f ca="1">IF(NOT(ISNA(E15)),5*OFFSET(Batting!$CE$4,E15,0,1,1),0)</f>
        <v>0</v>
      </c>
      <c r="E15" s="9">
        <f>MATCH(A15,Batting!$A$5:$A$71,0)</f>
        <v>14</v>
      </c>
      <c r="F15" s="9">
        <f ca="1">IF(NOT(ISNA(E15)),OFFSET(Batting!$B$4,E15,$C$1,1,1)-D15,0)</f>
        <v>0</v>
      </c>
      <c r="G15" s="9" t="e">
        <f>MATCH(A15,Bowling!$A$5:$A$42,0)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>VLOOKUP(A15,'Fantasy Teams'!$A$45:$C$86,3,FALSE)</f>
        <v>1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39</v>
      </c>
      <c r="N15" s="5">
        <f t="shared" ca="1" si="7"/>
        <v>30</v>
      </c>
      <c r="O15" s="5">
        <f t="shared" si="8"/>
        <v>11</v>
      </c>
      <c r="P15" s="5" t="str">
        <f t="shared" ca="1" si="1"/>
        <v>Vince Reid</v>
      </c>
      <c r="Q15" s="7">
        <f t="shared" ca="1" si="2"/>
        <v>88.25</v>
      </c>
      <c r="R15" s="5">
        <f t="shared" ca="1" si="3"/>
        <v>4</v>
      </c>
      <c r="S15" s="5">
        <f ca="1">SUM(R5:R15)</f>
        <v>50</v>
      </c>
      <c r="T15" s="5">
        <f t="array" aca="1" ref="T15" ca="1">SUM(Q5:Q15*R5:R15)</f>
        <v>5536.9860000000008</v>
      </c>
    </row>
    <row r="16" spans="1:20" x14ac:dyDescent="0.2">
      <c r="A16" s="82" t="s">
        <v>81</v>
      </c>
      <c r="B16" t="s">
        <v>109</v>
      </c>
      <c r="C16" s="9">
        <f t="shared" ca="1" si="0"/>
        <v>235</v>
      </c>
      <c r="D16" s="9">
        <f ca="1">IF(NOT(ISNA(E16)),5*OFFSET(Batting!$CE$4,E16,0,1,1),0)</f>
        <v>55</v>
      </c>
      <c r="E16" s="9">
        <f>MATCH(A16,Batting!$A$5:$A$71,0)</f>
        <v>15</v>
      </c>
      <c r="F16" s="9">
        <f ca="1">IF(NOT(ISNA(E16)),OFFSET(Batting!$B$4,E16,$C$1,1,1)-D16,0)</f>
        <v>164</v>
      </c>
      <c r="G16" s="9">
        <f>MATCH(A16,Bowling!$A$5:$A$42,0)</f>
        <v>7</v>
      </c>
      <c r="H16" s="9">
        <f ca="1">IF(NOT(ISNA(G16)),OFFSET(Bowling!$CO$4,G16,0,1,1),0)</f>
        <v>0</v>
      </c>
      <c r="I16" s="9">
        <f ca="1">IF(NOT(ISNA(E16)),OFFSET(Batting!$B$4,E16,$C$1+1,1,1),0)</f>
        <v>16</v>
      </c>
      <c r="J16" s="9">
        <f>VLOOKUP(A16,'Fantasy Teams'!$A$45:$C$86,3,FALSE)</f>
        <v>10</v>
      </c>
      <c r="K16" s="10">
        <f t="shared" ca="1" si="4"/>
        <v>23.5</v>
      </c>
      <c r="L16" s="5">
        <f t="shared" ca="1" si="5"/>
        <v>23.500160000000001</v>
      </c>
      <c r="M16" s="5">
        <f t="shared" ca="1" si="6"/>
        <v>32</v>
      </c>
      <c r="N16" s="5">
        <f t="shared" ca="1" si="7"/>
        <v>13</v>
      </c>
      <c r="O16" s="5">
        <f t="shared" si="8"/>
        <v>12</v>
      </c>
      <c r="P16" s="5" t="str">
        <f t="shared" ca="1" si="1"/>
        <v>John Elliston</v>
      </c>
      <c r="Q16" s="7">
        <f t="shared" ca="1" si="2"/>
        <v>86.6</v>
      </c>
      <c r="R16" s="5">
        <f t="shared" ca="1" si="3"/>
        <v>5</v>
      </c>
    </row>
    <row r="17" spans="1:18" x14ac:dyDescent="0.2">
      <c r="A17" s="82" t="s">
        <v>82</v>
      </c>
      <c r="B17" t="s">
        <v>171</v>
      </c>
      <c r="C17" s="9">
        <f t="shared" ca="1" si="0"/>
        <v>433</v>
      </c>
      <c r="D17" s="9">
        <f ca="1">IF(NOT(ISNA(E17)),5*OFFSET(Batting!$CE$4,E17,0,1,1),0)</f>
        <v>85</v>
      </c>
      <c r="E17" s="9">
        <f>MATCH(A17,Batting!$A$5:$A$71,0)</f>
        <v>16</v>
      </c>
      <c r="F17" s="9">
        <f ca="1">IF(NOT(ISNA(E17)),OFFSET(Batting!$B$4,E17,$C$1,1,1)-D17,0)</f>
        <v>56</v>
      </c>
      <c r="G17" s="9">
        <f>MATCH(A17,Bowling!$A$5:$A$42,0)</f>
        <v>8</v>
      </c>
      <c r="H17" s="9">
        <f ca="1">IF(NOT(ISNA(G17)),OFFSET(Bowling!$CO$4,G17,0,1,1),0)</f>
        <v>277</v>
      </c>
      <c r="I17" s="9">
        <f ca="1">IF(NOT(ISNA(E17)),OFFSET(Batting!$B$4,E17,$C$1+1,1,1),0)</f>
        <v>15</v>
      </c>
      <c r="J17" s="9">
        <f>VLOOKUP(A17,'Fantasy Teams'!$A$45:$C$86,3,FALSE)</f>
        <v>5</v>
      </c>
      <c r="K17" s="10">
        <f t="shared" ca="1" si="4"/>
        <v>86.6</v>
      </c>
      <c r="L17" s="5">
        <f t="shared" ca="1" si="5"/>
        <v>86.600169999999991</v>
      </c>
      <c r="M17" s="5">
        <f t="shared" ca="1" si="6"/>
        <v>12</v>
      </c>
      <c r="N17" s="5">
        <f t="shared" ca="1" si="7"/>
        <v>35</v>
      </c>
      <c r="O17" s="5">
        <f t="shared" si="8"/>
        <v>13</v>
      </c>
      <c r="P17" s="5" t="str">
        <f t="shared" ca="1" si="1"/>
        <v>Tony Springer</v>
      </c>
      <c r="Q17" s="7">
        <f t="shared" ca="1" si="2"/>
        <v>86.5</v>
      </c>
      <c r="R17" s="5">
        <f t="shared" ca="1" si="3"/>
        <v>10</v>
      </c>
    </row>
    <row r="18" spans="1:18" x14ac:dyDescent="0.2">
      <c r="A18" s="82" t="s">
        <v>160</v>
      </c>
      <c r="B18" t="s">
        <v>161</v>
      </c>
      <c r="C18" s="9">
        <f t="shared" ref="C18:C32" ca="1" si="9">F18+H18+I18+D18</f>
        <v>235</v>
      </c>
      <c r="D18" s="9">
        <f ca="1">IF(NOT(ISNA(E18)),5*OFFSET(Batting!$CE$4,E18,0,1,1),0)</f>
        <v>55</v>
      </c>
      <c r="E18" s="9">
        <f>MATCH(A18,Batting!$A$5:$A$71,0)</f>
        <v>19</v>
      </c>
      <c r="F18" s="9">
        <f ca="1">IF(NOT(ISNA(E18)),OFFSET(Batting!$B$4,E18,$C$1,1,1)-D18,0)</f>
        <v>158</v>
      </c>
      <c r="G18" s="9" t="e">
        <f>MATCH(A18,Bowling!$A$5:$A$42,0)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22</v>
      </c>
      <c r="J18" s="9">
        <f>VLOOKUP(A18,'Fantasy Teams'!$A$45:$C$86,3,FALSE)</f>
        <v>7</v>
      </c>
      <c r="K18" s="10">
        <f t="shared" ca="1" si="4"/>
        <v>33.570999999999998</v>
      </c>
      <c r="L18" s="5">
        <f t="shared" ca="1" si="5"/>
        <v>33.571179999999998</v>
      </c>
      <c r="M18" s="5">
        <f t="shared" ca="1" si="6"/>
        <v>31</v>
      </c>
      <c r="N18" s="5">
        <f t="shared" ca="1" si="7"/>
        <v>28</v>
      </c>
      <c r="O18" s="5">
        <f t="shared" si="8"/>
        <v>14</v>
      </c>
      <c r="P18" s="5" t="str">
        <f t="shared" ca="1" si="1"/>
        <v>Paul Oakes</v>
      </c>
      <c r="Q18" s="7">
        <f t="shared" ca="1" si="2"/>
        <v>84</v>
      </c>
      <c r="R18" s="5">
        <f t="shared" ca="1" si="3"/>
        <v>2</v>
      </c>
    </row>
    <row r="19" spans="1:18" x14ac:dyDescent="0.2">
      <c r="A19" s="82" t="s">
        <v>107</v>
      </c>
      <c r="B19" t="s">
        <v>120</v>
      </c>
      <c r="C19" s="9">
        <f t="shared" ca="1" si="9"/>
        <v>27</v>
      </c>
      <c r="D19" s="9">
        <f ca="1">IF(NOT(ISNA(E19)),5*OFFSET(Batting!$CE$4,E19,0,1,1),0)</f>
        <v>10</v>
      </c>
      <c r="E19" s="9">
        <f>MATCH(A19,Batting!$A$5:$A$71,0)</f>
        <v>21</v>
      </c>
      <c r="F19" s="9">
        <f ca="1">IF(NOT(ISNA(E19)),OFFSET(Batting!$B$4,E19,$C$1,1,1)-D19,0)</f>
        <v>17</v>
      </c>
      <c r="G19" s="9">
        <f>MATCH(A19,Bowling!$A$5:$A$42,0)</f>
        <v>10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>VLOOKUP(A19,'Fantasy Teams'!$A$45:$C$86,3,FALSE)</f>
        <v>5</v>
      </c>
      <c r="K19" s="10">
        <f t="shared" ca="1" si="4"/>
        <v>5.4</v>
      </c>
      <c r="L19" s="5">
        <f t="shared" ca="1" si="5"/>
        <v>5.4001900000000003</v>
      </c>
      <c r="M19" s="5">
        <f t="shared" ca="1" si="6"/>
        <v>35</v>
      </c>
      <c r="N19" s="5">
        <f t="shared" ca="1" si="7"/>
        <v>38</v>
      </c>
      <c r="O19" s="5">
        <f t="shared" si="8"/>
        <v>15</v>
      </c>
      <c r="P19" s="5" t="str">
        <f t="shared" ca="1" si="1"/>
        <v>Mike Woodhouse</v>
      </c>
      <c r="Q19" s="7">
        <f t="shared" ca="1" si="2"/>
        <v>80.599999999999994</v>
      </c>
      <c r="R19" s="5">
        <f t="shared" ca="1" si="3"/>
        <v>5</v>
      </c>
    </row>
    <row r="20" spans="1:18" x14ac:dyDescent="0.2">
      <c r="A20" s="82" t="s">
        <v>158</v>
      </c>
      <c r="B20" t="s">
        <v>176</v>
      </c>
      <c r="C20" s="9">
        <f t="shared" ca="1" si="9"/>
        <v>0</v>
      </c>
      <c r="D20" s="9">
        <f ca="1">IF(NOT(ISNA(E20)),5*OFFSET(Batting!$CE$4,E20,0,1,1),0)</f>
        <v>0</v>
      </c>
      <c r="E20" s="9">
        <f>MATCH(A20,Batting!$A$5:$A$71,0)</f>
        <v>22</v>
      </c>
      <c r="F20" s="9">
        <f ca="1">IF(NOT(ISNA(E20)),OFFSET(Batting!$B$4,E20,$C$1,1,1)-D20,0)</f>
        <v>0</v>
      </c>
      <c r="G20" s="9" t="e">
        <f>MATCH(A20,Bowling!$A$5:$A$42,0)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>VLOOKUP(A20,'Fantasy Teams'!$A$45:$C$86,3,FALSE)</f>
        <v>5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38</v>
      </c>
      <c r="N20" s="5">
        <f t="shared" ca="1" si="7"/>
        <v>10</v>
      </c>
      <c r="O20" s="5">
        <f t="shared" si="8"/>
        <v>16</v>
      </c>
      <c r="P20" s="5" t="str">
        <f t="shared" ca="1" si="1"/>
        <v>Geoff Cooper</v>
      </c>
      <c r="Q20" s="7">
        <f t="shared" ca="1" si="2"/>
        <v>79.713999999999999</v>
      </c>
      <c r="R20" s="5">
        <f t="shared" ca="1" si="3"/>
        <v>7</v>
      </c>
    </row>
    <row r="21" spans="1:18" x14ac:dyDescent="0.2">
      <c r="A21" s="82" t="s">
        <v>83</v>
      </c>
      <c r="B21" t="s">
        <v>173</v>
      </c>
      <c r="C21" s="9">
        <f t="shared" ca="1" si="9"/>
        <v>152</v>
      </c>
      <c r="D21" s="9">
        <f ca="1">IF(NOT(ISNA(E21)),5*OFFSET(Batting!$CE$4,E21,0,1,1),0)</f>
        <v>75</v>
      </c>
      <c r="E21" s="9">
        <f>MATCH(A21,Batting!$A$5:$A$71,0)</f>
        <v>23</v>
      </c>
      <c r="F21" s="9">
        <f ca="1">IF(NOT(ISNA(E21)),OFFSET(Batting!$B$4,E21,$C$1,1,1)-D21,0)</f>
        <v>-7</v>
      </c>
      <c r="G21" s="9">
        <f>MATCH(A21,Bowling!$A$5:$A$42,0)</f>
        <v>11</v>
      </c>
      <c r="H21" s="9">
        <f ca="1">IF(NOT(ISNA(G21)),OFFSET(Bowling!$CO$4,G21,0,1,1),0)</f>
        <v>59</v>
      </c>
      <c r="I21" s="9">
        <f ca="1">IF(NOT(ISNA(E21)),OFFSET(Batting!$B$4,E21,$C$1+1,1,1),0)</f>
        <v>25</v>
      </c>
      <c r="J21" s="9">
        <f>VLOOKUP(A21,'Fantasy Teams'!$A$45:$C$86,3,FALSE)</f>
        <v>2</v>
      </c>
      <c r="K21" s="10">
        <f t="shared" ca="1" si="4"/>
        <v>76</v>
      </c>
      <c r="L21" s="5">
        <f t="shared" ca="1" si="5"/>
        <v>76.000209999999996</v>
      </c>
      <c r="M21" s="5">
        <f t="shared" ca="1" si="6"/>
        <v>18</v>
      </c>
      <c r="N21" s="5">
        <f t="shared" ca="1" si="7"/>
        <v>1</v>
      </c>
      <c r="O21" s="5">
        <f t="shared" si="8"/>
        <v>17</v>
      </c>
      <c r="P21" s="5" t="str">
        <f t="shared" ca="1" si="1"/>
        <v>Glyn Angell</v>
      </c>
      <c r="Q21" s="7">
        <f t="shared" ca="1" si="2"/>
        <v>79</v>
      </c>
      <c r="R21" s="5">
        <f t="shared" ca="1" si="3"/>
        <v>1</v>
      </c>
    </row>
    <row r="22" spans="1:18" x14ac:dyDescent="0.2">
      <c r="A22" s="82" t="s">
        <v>128</v>
      </c>
      <c r="B22" t="s">
        <v>124</v>
      </c>
      <c r="C22" s="9">
        <f t="shared" ca="1" si="9"/>
        <v>108</v>
      </c>
      <c r="D22" s="9">
        <f ca="1">IF(NOT(ISNA(E22)),5*OFFSET(Batting!$CE$4,E22,0,1,1),0)</f>
        <v>45</v>
      </c>
      <c r="E22" s="9">
        <f>MATCH(A22,Batting!$A$5:$A$71,0)</f>
        <v>24</v>
      </c>
      <c r="F22" s="9">
        <f ca="1">IF(NOT(ISNA(E22)),OFFSET(Batting!$B$4,E22,$C$1,1,1)-D22,0)</f>
        <v>59</v>
      </c>
      <c r="G22" s="9" t="e">
        <f>MATCH(A22,Bowling!$A$5:$A$42,0)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4</v>
      </c>
      <c r="J22" s="9">
        <f>VLOOKUP(A22,'Fantasy Teams'!$A$45:$C$86,3,FALSE)</f>
        <v>2</v>
      </c>
      <c r="K22" s="10">
        <f t="shared" ca="1" si="4"/>
        <v>54</v>
      </c>
      <c r="L22" s="5">
        <f t="shared" ca="1" si="5"/>
        <v>54.000219999999999</v>
      </c>
      <c r="M22" s="5">
        <f t="shared" ca="1" si="6"/>
        <v>28</v>
      </c>
      <c r="N22" s="5">
        <f t="shared" ca="1" si="7"/>
        <v>17</v>
      </c>
      <c r="O22" s="5">
        <f t="shared" si="8"/>
        <v>18</v>
      </c>
      <c r="P22" s="5" t="str">
        <f t="shared" ca="1" si="1"/>
        <v>Luke Hickey</v>
      </c>
      <c r="Q22" s="7">
        <f t="shared" ca="1" si="2"/>
        <v>76</v>
      </c>
      <c r="R22" s="5">
        <f t="shared" ca="1" si="3"/>
        <v>2</v>
      </c>
    </row>
    <row r="23" spans="1:18" x14ac:dyDescent="0.2">
      <c r="A23" s="82" t="s">
        <v>84</v>
      </c>
      <c r="B23" t="s">
        <v>112</v>
      </c>
      <c r="C23" s="9">
        <f t="shared" ca="1" si="9"/>
        <v>870</v>
      </c>
      <c r="D23" s="9">
        <f ca="1">IF(NOT(ISNA(E23)),5*OFFSET(Batting!$CE$4,E23,0,1,1),0)</f>
        <v>70</v>
      </c>
      <c r="E23" s="9">
        <f>MATCH(A23,Batting!$A$5:$A$71,0)</f>
        <v>26</v>
      </c>
      <c r="F23" s="9">
        <f ca="1">IF(NOT(ISNA(E23)),OFFSET(Batting!$B$4,E23,$C$1,1,1)-D23,0)</f>
        <v>721</v>
      </c>
      <c r="G23" s="9">
        <f>MATCH(A23,Bowling!$A$5:$A$42,0)</f>
        <v>12</v>
      </c>
      <c r="H23" s="9">
        <f ca="1">IF(NOT(ISNA(G23)),OFFSET(Bowling!$CO$4,G23,0,1,1),0)</f>
        <v>57</v>
      </c>
      <c r="I23" s="9">
        <f ca="1">IF(NOT(ISNA(E23)),OFFSET(Batting!$B$4,E23,$C$1+1,1,1),0)</f>
        <v>22</v>
      </c>
      <c r="J23" s="9">
        <f>VLOOKUP(A23,'Fantasy Teams'!$A$45:$C$86,3,FALSE)</f>
        <v>14</v>
      </c>
      <c r="K23" s="10">
        <f t="shared" ca="1" si="4"/>
        <v>62.142000000000003</v>
      </c>
      <c r="L23" s="5">
        <f t="shared" ca="1" si="5"/>
        <v>62.142230000000005</v>
      </c>
      <c r="M23" s="5">
        <f t="shared" ca="1" si="6"/>
        <v>24</v>
      </c>
      <c r="N23" s="5">
        <f t="shared" ca="1" si="7"/>
        <v>9</v>
      </c>
      <c r="O23" s="5">
        <f t="shared" si="8"/>
        <v>19</v>
      </c>
      <c r="P23" s="5" t="str">
        <f t="shared" ca="1" si="1"/>
        <v>Aidan Coloe</v>
      </c>
      <c r="Q23" s="7">
        <f t="shared" ca="1" si="2"/>
        <v>76</v>
      </c>
      <c r="R23" s="5">
        <f t="shared" ca="1" si="3"/>
        <v>1</v>
      </c>
    </row>
    <row r="24" spans="1:18" x14ac:dyDescent="0.2">
      <c r="A24" s="82" t="s">
        <v>232</v>
      </c>
      <c r="B24" t="s">
        <v>234</v>
      </c>
      <c r="C24" s="9">
        <f t="shared" ca="1" si="9"/>
        <v>399</v>
      </c>
      <c r="D24" s="9">
        <f ca="1">IF(NOT(ISNA(E24)),5*OFFSET(Batting!$CE$4,E24,0,1,1),0)</f>
        <v>120</v>
      </c>
      <c r="E24" s="9">
        <f>MATCH(A24,Batting!$A$5:$A$71,0)</f>
        <v>27</v>
      </c>
      <c r="F24" s="9">
        <f ca="1">IF(NOT(ISNA(E24)),OFFSET(Batting!$B$4,E24,$C$1,1,1)-D24,0)</f>
        <v>133</v>
      </c>
      <c r="G24" s="9">
        <f>MATCH(A24,Bowling!$A$5:$A$42,0)</f>
        <v>13</v>
      </c>
      <c r="H24" s="9">
        <f ca="1">IF(NOT(ISNA(G24)),OFFSET(Bowling!$CO$4,G24,0,1,1),0)</f>
        <v>116</v>
      </c>
      <c r="I24" s="9">
        <f ca="1">IF(NOT(ISNA(E24)),OFFSET(Batting!$B$4,E24,$C$1+1,1,1),0)</f>
        <v>30</v>
      </c>
      <c r="J24" s="9">
        <v>3</v>
      </c>
      <c r="K24" s="10">
        <f t="shared" ca="1" si="4"/>
        <v>133</v>
      </c>
      <c r="L24" s="5">
        <f t="shared" ca="1" si="5"/>
        <v>133.00023999999999</v>
      </c>
      <c r="M24" s="5">
        <f t="shared" ca="1" si="6"/>
        <v>3</v>
      </c>
      <c r="N24" s="5">
        <f t="shared" ca="1" si="7"/>
        <v>3</v>
      </c>
      <c r="O24" s="5">
        <f t="shared" si="8"/>
        <v>20</v>
      </c>
      <c r="P24" s="5" t="str">
        <f t="shared" ca="1" si="1"/>
        <v>Mike Bowers</v>
      </c>
      <c r="Q24" s="7">
        <f t="shared" ca="1" si="2"/>
        <v>70.332999999999998</v>
      </c>
      <c r="R24" s="5">
        <f t="shared" ca="1" si="3"/>
        <v>3</v>
      </c>
    </row>
    <row r="25" spans="1:18" x14ac:dyDescent="0.2">
      <c r="A25" s="82" t="s">
        <v>219</v>
      </c>
      <c r="B25" t="s">
        <v>224</v>
      </c>
      <c r="C25" s="9">
        <f t="shared" ca="1" si="9"/>
        <v>79</v>
      </c>
      <c r="D25" s="9">
        <f ca="1">IF(NOT(ISNA(E25)),5*OFFSET(Batting!$CE$4,E25,0,1,1),0)</f>
        <v>40</v>
      </c>
      <c r="E25" s="9">
        <f>MATCH(A25,Batting!$A$5:$A$71,0)</f>
        <v>28</v>
      </c>
      <c r="F25" s="9">
        <f ca="1">IF(NOT(ISNA(E25)),OFFSET(Batting!$B$4,E25,$C$1,1,1)-D25,0)</f>
        <v>2</v>
      </c>
      <c r="G25" s="9">
        <f>MATCH(A25,Bowling!$A$5:$A$42,0)</f>
        <v>14</v>
      </c>
      <c r="H25" s="9">
        <f ca="1">IF(NOT(ISNA(G25)),OFFSET(Bowling!$CO$4,G25,0,1,1),0)</f>
        <v>32</v>
      </c>
      <c r="I25" s="9">
        <f ca="1">IF(NOT(ISNA(E25)),OFFSET(Batting!$B$4,E25,$C$1+1,1,1),0)</f>
        <v>5</v>
      </c>
      <c r="J25" s="9">
        <f>VLOOKUP(A25,'Fantasy Teams'!$A$45:$C$86,3,FALSE)</f>
        <v>2</v>
      </c>
      <c r="K25" s="10">
        <f t="shared" ca="1" si="4"/>
        <v>39.5</v>
      </c>
      <c r="L25" s="5">
        <f t="shared" ca="1" si="5"/>
        <v>39.500250000000001</v>
      </c>
      <c r="M25" s="5">
        <f t="shared" ca="1" si="6"/>
        <v>30</v>
      </c>
      <c r="N25" s="5">
        <f t="shared" ca="1" si="7"/>
        <v>42</v>
      </c>
      <c r="O25" s="5">
        <f t="shared" si="8"/>
        <v>21</v>
      </c>
      <c r="P25" s="5" t="str">
        <f t="shared" ca="1" si="1"/>
        <v>Bob Young</v>
      </c>
      <c r="Q25" s="7">
        <f t="shared" ca="1" si="2"/>
        <v>66.75</v>
      </c>
      <c r="R25" s="5">
        <f t="shared" ca="1" si="3"/>
        <v>4</v>
      </c>
    </row>
    <row r="26" spans="1:18" x14ac:dyDescent="0.2">
      <c r="A26" s="82" t="s">
        <v>86</v>
      </c>
      <c r="B26" t="s">
        <v>122</v>
      </c>
      <c r="C26" s="9">
        <f t="shared" ca="1" si="9"/>
        <v>706</v>
      </c>
      <c r="D26" s="9">
        <f ca="1">IF(NOT(ISNA(E26)),5*OFFSET(Batting!$CE$4,E26,0,1,1),0)</f>
        <v>85</v>
      </c>
      <c r="E26" s="9">
        <f>MATCH(A26,Batting!$A$5:$A$71,0)</f>
        <v>30</v>
      </c>
      <c r="F26" s="9">
        <f ca="1">IF(NOT(ISNA(E26)),OFFSET(Batting!$B$4,E26,$C$1,1,1)-D26,0)</f>
        <v>252</v>
      </c>
      <c r="G26" s="9">
        <f>MATCH(A26,Bowling!$A$5:$A$42,0)</f>
        <v>15</v>
      </c>
      <c r="H26" s="9">
        <f ca="1">IF(NOT(ISNA(G26)),OFFSET(Bowling!$CO$4,G26,0,1,1),0)</f>
        <v>359</v>
      </c>
      <c r="I26" s="9">
        <f ca="1">IF(NOT(ISNA(E26)),OFFSET(Batting!$B$4,E26,$C$1+1,1,1),0)</f>
        <v>10</v>
      </c>
      <c r="J26" s="9">
        <f>VLOOKUP(A26,'Fantasy Teams'!$A$45:$C$86,3,FALSE)</f>
        <v>6</v>
      </c>
      <c r="K26" s="10">
        <f t="shared" ca="1" si="4"/>
        <v>117.666</v>
      </c>
      <c r="L26" s="5">
        <f t="shared" ca="1" si="5"/>
        <v>117.66625999999999</v>
      </c>
      <c r="M26" s="5">
        <f t="shared" ca="1" si="6"/>
        <v>5</v>
      </c>
      <c r="N26" s="5">
        <f t="shared" ca="1" si="7"/>
        <v>7</v>
      </c>
      <c r="O26" s="5">
        <f t="shared" si="8"/>
        <v>22</v>
      </c>
      <c r="P26" s="5" t="str">
        <f t="shared" ca="1" si="1"/>
        <v>Chris Clarke</v>
      </c>
      <c r="Q26" s="7">
        <f t="shared" ca="1" si="2"/>
        <v>65</v>
      </c>
      <c r="R26" s="5">
        <f t="shared" ca="1" si="3"/>
        <v>3</v>
      </c>
    </row>
    <row r="27" spans="1:18" x14ac:dyDescent="0.2">
      <c r="A27" s="82" t="s">
        <v>88</v>
      </c>
      <c r="B27" t="s">
        <v>164</v>
      </c>
      <c r="C27" s="9">
        <f t="shared" ca="1" si="9"/>
        <v>288</v>
      </c>
      <c r="D27" s="9">
        <f ca="1">IF(NOT(ISNA(E27)),5*OFFSET(Batting!$CE$4,E27,0,1,1),0)</f>
        <v>75</v>
      </c>
      <c r="E27" s="9">
        <f>MATCH(A27,Batting!$A$5:$A$71,0)</f>
        <v>31</v>
      </c>
      <c r="F27" s="9">
        <f ca="1">IF(NOT(ISNA(E27)),OFFSET(Batting!$B$4,E27,$C$1,1,1)-D27,0)</f>
        <v>44</v>
      </c>
      <c r="G27" s="9">
        <f>MATCH(A27,Bowling!$A$5:$A$42,0)</f>
        <v>16</v>
      </c>
      <c r="H27" s="9">
        <f ca="1">IF(NOT(ISNA(G27)),OFFSET(Bowling!$CO$4,G27,0,1,1),0)</f>
        <v>149</v>
      </c>
      <c r="I27" s="9">
        <f ca="1">IF(NOT(ISNA(E27)),OFFSET(Batting!$B$4,E27,$C$1+1,1,1),0)</f>
        <v>20</v>
      </c>
      <c r="J27" s="9">
        <f>VLOOKUP(A27,'Fantasy Teams'!$A$45:$C$86,3,FALSE)</f>
        <v>3</v>
      </c>
      <c r="K27" s="10">
        <f t="shared" ca="1" si="4"/>
        <v>96</v>
      </c>
      <c r="L27" s="5">
        <f t="shared" ca="1" si="5"/>
        <v>96.00027</v>
      </c>
      <c r="M27" s="5">
        <f t="shared" ca="1" si="6"/>
        <v>7</v>
      </c>
      <c r="N27" s="5">
        <f t="shared" ca="1" si="7"/>
        <v>41</v>
      </c>
      <c r="O27" s="5">
        <f t="shared" si="8"/>
        <v>23</v>
      </c>
      <c r="P27" s="5" t="str">
        <f t="shared" ca="1" si="1"/>
        <v>Rob Worthy</v>
      </c>
      <c r="Q27" s="7">
        <f t="shared" ca="1" si="2"/>
        <v>64.400000000000006</v>
      </c>
      <c r="R27" s="5">
        <f t="shared" ca="1" si="3"/>
        <v>5</v>
      </c>
    </row>
    <row r="28" spans="1:18" x14ac:dyDescent="0.2">
      <c r="A28" s="82" t="s">
        <v>218</v>
      </c>
      <c r="B28" t="s">
        <v>225</v>
      </c>
      <c r="C28" s="9">
        <f t="shared" ca="1" si="9"/>
        <v>333</v>
      </c>
      <c r="D28" s="9">
        <f ca="1">IF(NOT(ISNA(E28)),5*OFFSET(Batting!$CE$4,E28,0,1,1),0)</f>
        <v>80</v>
      </c>
      <c r="E28" s="9">
        <f>MATCH(A28,Batting!$A$5:$A$71,0)</f>
        <v>32</v>
      </c>
      <c r="F28" s="9">
        <f ca="1">IF(NOT(ISNA(E28)),OFFSET(Batting!$B$4,E28,$C$1,1,1)-D28,0)</f>
        <v>144</v>
      </c>
      <c r="G28" s="9">
        <f>MATCH(A28,Bowling!$A$5:$A$42,0)</f>
        <v>17</v>
      </c>
      <c r="H28" s="9">
        <f ca="1">IF(NOT(ISNA(G28)),OFFSET(Bowling!$CO$4,G28,0,1,1),0)</f>
        <v>84</v>
      </c>
      <c r="I28" s="9">
        <f ca="1">IF(NOT(ISNA(E28)),OFFSET(Batting!$B$4,E28,$C$1+1,1,1),0)</f>
        <v>25</v>
      </c>
      <c r="J28" s="9">
        <f>VLOOKUP(A28,'Fantasy Teams'!$A$45:$C$86,3,FALSE)</f>
        <v>2</v>
      </c>
      <c r="K28" s="10">
        <f t="shared" ca="1" si="4"/>
        <v>166.5</v>
      </c>
      <c r="L28" s="5">
        <f t="shared" ca="1" si="5"/>
        <v>166.50028</v>
      </c>
      <c r="M28" s="5">
        <f t="shared" ca="1" si="6"/>
        <v>2</v>
      </c>
      <c r="N28" s="5">
        <f t="shared" ca="1" si="7"/>
        <v>19</v>
      </c>
      <c r="O28" s="5">
        <f t="shared" si="8"/>
        <v>24</v>
      </c>
      <c r="P28" s="5" t="str">
        <f t="shared" ca="1" si="1"/>
        <v>John Leadley</v>
      </c>
      <c r="Q28" s="7">
        <f t="shared" ca="1" si="2"/>
        <v>62.142000000000003</v>
      </c>
      <c r="R28" s="5">
        <f t="shared" ca="1" si="3"/>
        <v>14</v>
      </c>
    </row>
    <row r="29" spans="1:18" x14ac:dyDescent="0.2">
      <c r="A29" s="82" t="s">
        <v>157</v>
      </c>
      <c r="B29" t="s">
        <v>162</v>
      </c>
      <c r="C29" s="9">
        <f t="shared" ca="1" si="9"/>
        <v>16</v>
      </c>
      <c r="D29" s="9">
        <f ca="1">IF(NOT(ISNA(E29)),5*OFFSET(Batting!$CE$4,E29,0,1,1),0)</f>
        <v>10</v>
      </c>
      <c r="E29" s="9">
        <f>MATCH(A29,Batting!$A$5:$A$71,0)</f>
        <v>35</v>
      </c>
      <c r="F29" s="9">
        <f ca="1">IF(NOT(ISNA(E29)),OFFSET(Batting!$B$4,E29,$C$1,1,1)-D29,0)</f>
        <v>-5</v>
      </c>
      <c r="G29" s="9">
        <f>MATCH(A29,Bowling!$A$5:$A$42,0)</f>
        <v>18</v>
      </c>
      <c r="H29" s="9">
        <f ca="1">IF(NOT(ISNA(G29)),OFFSET(Bowling!$CO$4,G29,0,1,1),0)</f>
        <v>11</v>
      </c>
      <c r="I29" s="9">
        <f ca="1">IF(NOT(ISNA(E29)),OFFSET(Batting!$B$4,E29,$C$1+1,1,1),0)</f>
        <v>0</v>
      </c>
      <c r="J29" s="9">
        <f>VLOOKUP(A29,'Fantasy Teams'!$A$45:$C$86,3,FALSE)</f>
        <v>2</v>
      </c>
      <c r="K29" s="10">
        <f t="shared" ca="1" si="4"/>
        <v>8</v>
      </c>
      <c r="L29" s="5">
        <f t="shared" ca="1" si="5"/>
        <v>8.0002899999999997</v>
      </c>
      <c r="M29" s="5">
        <f t="shared" ca="1" si="6"/>
        <v>34</v>
      </c>
      <c r="N29" s="5">
        <f t="shared" ca="1" si="7"/>
        <v>34</v>
      </c>
      <c r="O29" s="5">
        <f t="shared" si="8"/>
        <v>25</v>
      </c>
      <c r="P29" s="5" t="str">
        <f t="shared" ca="1" si="1"/>
        <v>David Snow</v>
      </c>
      <c r="Q29" s="7">
        <f t="shared" ca="1" si="2"/>
        <v>58.75</v>
      </c>
      <c r="R29" s="5">
        <f t="shared" ca="1" si="3"/>
        <v>4</v>
      </c>
    </row>
    <row r="30" spans="1:18" x14ac:dyDescent="0.2">
      <c r="A30" s="82" t="s">
        <v>90</v>
      </c>
      <c r="B30" t="s">
        <v>169</v>
      </c>
      <c r="C30" s="9">
        <f t="shared" ca="1" si="9"/>
        <v>278</v>
      </c>
      <c r="D30" s="9">
        <f ca="1">IF(NOT(ISNA(E30)),5*OFFSET(Batting!$CE$4,E30,0,1,1),0)</f>
        <v>40</v>
      </c>
      <c r="E30" s="9">
        <f>MATCH(A30,Batting!$A$5:$A$71,0)</f>
        <v>36</v>
      </c>
      <c r="F30" s="9">
        <f ca="1">IF(NOT(ISNA(E30)),OFFSET(Batting!$B$4,E30,$C$1,1,1)-D30,0)</f>
        <v>123</v>
      </c>
      <c r="G30" s="9">
        <f>MATCH(A30,Bowling!$A$5:$A$42,0)</f>
        <v>19</v>
      </c>
      <c r="H30" s="9">
        <f ca="1">IF(NOT(ISNA(G30)),OFFSET(Bowling!$CO$4,G30,0,1,1),0)</f>
        <v>70</v>
      </c>
      <c r="I30" s="9">
        <f ca="1">IF(NOT(ISNA(E30)),OFFSET(Batting!$B$4,E30,$C$1+1,1,1),0)</f>
        <v>45</v>
      </c>
      <c r="J30" s="9">
        <f>VLOOKUP(A30,'Fantasy Teams'!$A$45:$C$86,3,FALSE)</f>
        <v>6</v>
      </c>
      <c r="K30" s="10">
        <f t="shared" ca="1" si="4"/>
        <v>46.332999999999998</v>
      </c>
      <c r="L30" s="5">
        <f t="shared" ca="1" si="5"/>
        <v>46.333300000000001</v>
      </c>
      <c r="M30" s="5">
        <f t="shared" ca="1" si="6"/>
        <v>29</v>
      </c>
      <c r="N30" s="5">
        <f t="shared" ca="1" si="7"/>
        <v>29</v>
      </c>
      <c r="O30" s="5">
        <f t="shared" si="8"/>
        <v>26</v>
      </c>
      <c r="P30" s="5" t="str">
        <f t="shared" ca="1" si="1"/>
        <v>Namish Patel</v>
      </c>
      <c r="Q30" s="7">
        <f t="shared" ca="1" si="2"/>
        <v>58.665999999999997</v>
      </c>
      <c r="R30" s="5">
        <f t="shared" ca="1" si="3"/>
        <v>3</v>
      </c>
    </row>
    <row r="31" spans="1:18" x14ac:dyDescent="0.2">
      <c r="A31" s="82" t="s">
        <v>92</v>
      </c>
      <c r="B31" t="s">
        <v>118</v>
      </c>
      <c r="C31" s="9">
        <f t="shared" ca="1" si="9"/>
        <v>545</v>
      </c>
      <c r="D31" s="9">
        <f ca="1">IF(NOT(ISNA(E31)),5*OFFSET(Batting!$CE$4,E31,0,1,1),0)</f>
        <v>115</v>
      </c>
      <c r="E31" s="9">
        <f>MATCH(A31,Batting!$A$5:$A$71,0)</f>
        <v>37</v>
      </c>
      <c r="F31" s="9">
        <f ca="1">IF(NOT(ISNA(E31)),OFFSET(Batting!$B$4,E31,$C$1,1,1)-D31,0)</f>
        <v>61</v>
      </c>
      <c r="G31" s="9">
        <f>MATCH(A31,Bowling!$A$5:$A$42,0)</f>
        <v>21</v>
      </c>
      <c r="H31" s="9">
        <f ca="1">IF(NOT(ISNA(G31)),OFFSET(Bowling!$CO$4,G31,0,1,1),0)</f>
        <v>354</v>
      </c>
      <c r="I31" s="9">
        <f ca="1">IF(NOT(ISNA(E31)),OFFSET(Batting!$B$4,E31,$C$1+1,1,1),0)</f>
        <v>15</v>
      </c>
      <c r="J31" s="9">
        <f>VLOOKUP(A31,'Fantasy Teams'!$A$45:$C$86,3,FALSE)</f>
        <v>6</v>
      </c>
      <c r="K31" s="10">
        <f t="shared" ca="1" si="4"/>
        <v>90.832999999999998</v>
      </c>
      <c r="L31" s="5">
        <f t="shared" ca="1" si="5"/>
        <v>90.833309999999997</v>
      </c>
      <c r="M31" s="5">
        <f t="shared" ca="1" si="6"/>
        <v>10</v>
      </c>
      <c r="N31" s="5">
        <f t="shared" ca="1" si="7"/>
        <v>32</v>
      </c>
      <c r="O31" s="5">
        <f t="shared" si="8"/>
        <v>27</v>
      </c>
      <c r="P31" s="5" t="str">
        <f t="shared" ca="1" si="1"/>
        <v>Del Shewan</v>
      </c>
      <c r="Q31" s="7">
        <f t="shared" ca="1" si="2"/>
        <v>56.110999999999997</v>
      </c>
      <c r="R31" s="5">
        <f t="shared" ca="1" si="3"/>
        <v>9</v>
      </c>
    </row>
    <row r="32" spans="1:18" x14ac:dyDescent="0.2">
      <c r="A32" s="82" t="s">
        <v>130</v>
      </c>
      <c r="B32" t="s">
        <v>119</v>
      </c>
      <c r="C32" s="9">
        <f t="shared" ca="1" si="9"/>
        <v>168</v>
      </c>
      <c r="D32" s="9">
        <f ca="1">IF(NOT(ISNA(E32)),5*OFFSET(Batting!$CE$4,E32,0,1,1),0)</f>
        <v>105</v>
      </c>
      <c r="E32" s="9">
        <f>MATCH(A32,Batting!$A$5:$A$71,0)</f>
        <v>39</v>
      </c>
      <c r="F32" s="9">
        <f ca="1">IF(NOT(ISNA(E32)),OFFSET(Batting!$B$4,E32,$C$1,1,1)-D32,0)</f>
        <v>58</v>
      </c>
      <c r="G32" s="9" t="e">
        <f>MATCH(A32,Bowling!$A$5:$A$42,0)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5</v>
      </c>
      <c r="J32" s="9">
        <f>VLOOKUP(A32,'Fantasy Teams'!$A$45:$C$86,3,FALSE)</f>
        <v>2</v>
      </c>
      <c r="K32" s="10">
        <f t="shared" ca="1" si="4"/>
        <v>84</v>
      </c>
      <c r="L32" s="5">
        <f t="shared" ca="1" si="5"/>
        <v>84.000320000000002</v>
      </c>
      <c r="M32" s="5">
        <f t="shared" ca="1" si="6"/>
        <v>14</v>
      </c>
      <c r="N32" s="5">
        <f t="shared" ca="1" si="7"/>
        <v>18</v>
      </c>
      <c r="O32" s="5">
        <f t="shared" si="8"/>
        <v>28</v>
      </c>
      <c r="P32" s="5" t="str">
        <f t="shared" ref="P32:P46" ca="1" si="10">OFFSET($B$4,N32,0)</f>
        <v>Mike Hosking</v>
      </c>
      <c r="Q32" s="7">
        <f t="shared" ref="Q32:Q46" ca="1" si="11">OFFSET($K$4,N32,0)</f>
        <v>54</v>
      </c>
      <c r="R32" s="5">
        <f t="shared" ca="1" si="3"/>
        <v>2</v>
      </c>
    </row>
    <row r="33" spans="1:18" x14ac:dyDescent="0.2">
      <c r="A33" s="82" t="s">
        <v>127</v>
      </c>
      <c r="B33" t="s">
        <v>175</v>
      </c>
      <c r="C33" s="9">
        <f t="shared" ref="C33:C43" ca="1" si="12">F33+H33+I33+D33</f>
        <v>176</v>
      </c>
      <c r="D33" s="9">
        <f ca="1">IF(NOT(ISNA(E33)),5*OFFSET(Batting!$CE$4,E33,0,1,1),0)</f>
        <v>60</v>
      </c>
      <c r="E33" s="9">
        <f>MATCH(A33,Batting!$A$5:$A$71,0)</f>
        <v>40</v>
      </c>
      <c r="F33" s="9">
        <f ca="1">IF(NOT(ISNA(E33)),OFFSET(Batting!$B$4,E33,$C$1,1,1)-D33,0)</f>
        <v>91</v>
      </c>
      <c r="G33" s="9">
        <f>MATCH(A33,Bowling!$A$5:$A$42,0)</f>
        <v>22</v>
      </c>
      <c r="H33" s="9">
        <f ca="1">IF(NOT(ISNA(G33)),OFFSET(Bowling!$CO$4,G33,0,1,1),0)</f>
        <v>15</v>
      </c>
      <c r="I33" s="9">
        <f ca="1">IF(NOT(ISNA(E33)),OFFSET(Batting!$B$4,E33,$C$1+1,1,1),0)</f>
        <v>10</v>
      </c>
      <c r="J33" s="9">
        <f>VLOOKUP(A33,'Fantasy Teams'!$A$45:$C$86,3,FALSE)</f>
        <v>3</v>
      </c>
      <c r="K33" s="10">
        <f t="shared" ca="1" si="4"/>
        <v>58.665999999999997</v>
      </c>
      <c r="L33" s="5">
        <f t="shared" ca="1" si="5"/>
        <v>58.666329999999995</v>
      </c>
      <c r="M33" s="5">
        <f t="shared" ca="1" si="6"/>
        <v>26</v>
      </c>
      <c r="N33" s="5">
        <f t="shared" ca="1" si="7"/>
        <v>26</v>
      </c>
      <c r="O33" s="5">
        <f t="shared" si="8"/>
        <v>29</v>
      </c>
      <c r="P33" s="5" t="str">
        <f t="shared" ca="1" si="10"/>
        <v>Jeff Middleton</v>
      </c>
      <c r="Q33" s="7">
        <f t="shared" ca="1" si="11"/>
        <v>46.332999999999998</v>
      </c>
      <c r="R33" s="5">
        <f t="shared" ca="1" si="3"/>
        <v>6</v>
      </c>
    </row>
    <row r="34" spans="1:18" x14ac:dyDescent="0.2">
      <c r="A34" s="82" t="s">
        <v>94</v>
      </c>
      <c r="B34" t="s">
        <v>110</v>
      </c>
      <c r="C34" s="9">
        <f t="shared" ca="1" si="12"/>
        <v>353</v>
      </c>
      <c r="D34" s="9">
        <f ca="1">IF(NOT(ISNA(E34)),5*OFFSET(Batting!$CE$4,E34,0,1,1),0)</f>
        <v>85</v>
      </c>
      <c r="E34" s="9">
        <f>MATCH(A34,Batting!$A$5:$A$71,0)</f>
        <v>42</v>
      </c>
      <c r="F34" s="9">
        <f ca="1">IF(NOT(ISNA(E34)),OFFSET(Batting!$B$4,E34,$C$1,1,1)-D34,0)</f>
        <v>148</v>
      </c>
      <c r="G34" s="9">
        <f>MATCH(A34,Bowling!$A$5:$A$42,0)</f>
        <v>24</v>
      </c>
      <c r="H34" s="9">
        <f ca="1">IF(NOT(ISNA(G34)),OFFSET(Bowling!$CO$4,G34,0,1,1),0)</f>
        <v>75</v>
      </c>
      <c r="I34" s="9">
        <f ca="1">IF(NOT(ISNA(E34)),OFFSET(Batting!$B$4,E34,$C$1+1,1,1),0)</f>
        <v>45</v>
      </c>
      <c r="J34" s="9">
        <f>VLOOKUP(A34,'Fantasy Teams'!$A$45:$C$86,3,FALSE)</f>
        <v>4</v>
      </c>
      <c r="K34" s="10">
        <f t="shared" ca="1" si="4"/>
        <v>88.25</v>
      </c>
      <c r="L34" s="5">
        <f t="shared" ca="1" si="5"/>
        <v>88.250339999999994</v>
      </c>
      <c r="M34" s="5">
        <f t="shared" ca="1" si="6"/>
        <v>11</v>
      </c>
      <c r="N34" s="5">
        <f t="shared" ca="1" si="7"/>
        <v>21</v>
      </c>
      <c r="O34" s="5">
        <f t="shared" si="8"/>
        <v>30</v>
      </c>
      <c r="P34" s="5" t="str">
        <f t="shared" ca="1" si="10"/>
        <v>Kris Ligory</v>
      </c>
      <c r="Q34" s="7">
        <f t="shared" ca="1" si="11"/>
        <v>39.5</v>
      </c>
      <c r="R34" s="5">
        <f t="shared" ca="1" si="3"/>
        <v>2</v>
      </c>
    </row>
    <row r="35" spans="1:18" x14ac:dyDescent="0.2">
      <c r="A35" s="82" t="s">
        <v>95</v>
      </c>
      <c r="B35" t="s">
        <v>123</v>
      </c>
      <c r="C35" s="9">
        <f t="shared" ca="1" si="12"/>
        <v>825</v>
      </c>
      <c r="D35" s="9">
        <f ca="1">IF(NOT(ISNA(E35)),5*OFFSET(Batting!$CE$4,E35,0,1,1),0)</f>
        <v>85</v>
      </c>
      <c r="E35" s="9">
        <f>MATCH(A35,Batting!$A$5:$A$71,0)</f>
        <v>43</v>
      </c>
      <c r="F35" s="9">
        <f ca="1">IF(NOT(ISNA(E35)),OFFSET(Batting!$B$4,E35,$C$1,1,1)-D35,0)</f>
        <v>495</v>
      </c>
      <c r="G35" s="9">
        <f>MATCH(A35,Bowling!$A$5:$A$42,0)</f>
        <v>25</v>
      </c>
      <c r="H35" s="9">
        <f ca="1">IF(NOT(ISNA(G35)),OFFSET(Bowling!$CO$4,G35,0,1,1),0)</f>
        <v>224</v>
      </c>
      <c r="I35" s="9">
        <f ca="1">IF(NOT(ISNA(E35)),OFFSET(Batting!$B$4,E35,$C$1+1,1,1),0)</f>
        <v>21</v>
      </c>
      <c r="J35" s="9">
        <f>VLOOKUP(A35,'Fantasy Teams'!$A$45:$C$86,3,FALSE)</f>
        <v>9</v>
      </c>
      <c r="K35" s="10">
        <f t="shared" ca="1" si="4"/>
        <v>91.665999999999997</v>
      </c>
      <c r="L35" s="5">
        <f t="shared" ca="1" si="5"/>
        <v>91.666349999999994</v>
      </c>
      <c r="M35" s="5">
        <f t="shared" ca="1" si="6"/>
        <v>9</v>
      </c>
      <c r="N35" s="5">
        <f t="shared" ca="1" si="7"/>
        <v>14</v>
      </c>
      <c r="O35" s="5">
        <f t="shared" si="8"/>
        <v>31</v>
      </c>
      <c r="P35" s="5" t="str">
        <f t="shared" ca="1" si="10"/>
        <v>Alex Hamilton</v>
      </c>
      <c r="Q35" s="7">
        <f t="shared" ca="1" si="11"/>
        <v>33.570999999999998</v>
      </c>
      <c r="R35" s="5">
        <f t="shared" ca="1" si="3"/>
        <v>7</v>
      </c>
    </row>
    <row r="36" spans="1:18" x14ac:dyDescent="0.2">
      <c r="A36" s="82" t="s">
        <v>96</v>
      </c>
      <c r="B36" t="s">
        <v>116</v>
      </c>
      <c r="C36" s="9">
        <f t="shared" ca="1" si="12"/>
        <v>505</v>
      </c>
      <c r="D36" s="9">
        <f ca="1">IF(NOT(ISNA(E36)),5*OFFSET(Batting!$CE$4,E36,0,1,1),0)</f>
        <v>50</v>
      </c>
      <c r="E36" s="9">
        <f>MATCH(A36,Batting!$A$5:$A$71,0)</f>
        <v>44</v>
      </c>
      <c r="F36" s="9">
        <f ca="1">IF(NOT(ISNA(E36)),OFFSET(Batting!$B$4,E36,$C$1,1,1)-D36,0)</f>
        <v>198</v>
      </c>
      <c r="G36" s="9">
        <f>MATCH(A36,Bowling!$A$5:$A$42,0)</f>
        <v>26</v>
      </c>
      <c r="H36" s="9">
        <f ca="1">IF(NOT(ISNA(G36)),OFFSET(Bowling!$CO$4,G36,0,1,1),0)</f>
        <v>222</v>
      </c>
      <c r="I36" s="9">
        <f ca="1">IF(NOT(ISNA(E36)),OFFSET(Batting!$B$4,E36,$C$1+1,1,1),0)</f>
        <v>35</v>
      </c>
      <c r="J36" s="9">
        <f>VLOOKUP(A36,'Fantasy Teams'!$A$45:$C$86,3,FALSE)</f>
        <v>9</v>
      </c>
      <c r="K36" s="10">
        <f t="shared" ca="1" si="4"/>
        <v>56.110999999999997</v>
      </c>
      <c r="L36" s="5">
        <f t="shared" ca="1" si="5"/>
        <v>56.111359999999998</v>
      </c>
      <c r="M36" s="5">
        <f t="shared" ca="1" si="6"/>
        <v>27</v>
      </c>
      <c r="N36" s="5">
        <f t="shared" ca="1" si="7"/>
        <v>12</v>
      </c>
      <c r="O36" s="5">
        <f t="shared" si="8"/>
        <v>32</v>
      </c>
      <c r="P36" s="5" t="str">
        <f t="shared" ca="1" si="10"/>
        <v>Ted Dugdale</v>
      </c>
      <c r="Q36" s="7">
        <f t="shared" ca="1" si="11"/>
        <v>23.5</v>
      </c>
      <c r="R36" s="5">
        <f t="shared" ca="1" si="3"/>
        <v>10</v>
      </c>
    </row>
    <row r="37" spans="1:18" x14ac:dyDescent="0.2">
      <c r="A37" s="82" t="s">
        <v>97</v>
      </c>
      <c r="B37" t="s">
        <v>174</v>
      </c>
      <c r="C37" s="9">
        <f t="shared" ca="1" si="12"/>
        <v>0</v>
      </c>
      <c r="D37" s="9">
        <f ca="1">IF(NOT(ISNA(E37)),5*OFFSET(Batting!$CE$4,E37,0,1,1),0)</f>
        <v>0</v>
      </c>
      <c r="E37" s="9">
        <f>MATCH(A37,Batting!$A$5:$A$71,0)</f>
        <v>45</v>
      </c>
      <c r="F37" s="9">
        <f ca="1">IF(NOT(ISNA(E37)),OFFSET(Batting!$B$4,E37,$C$1,1,1)-D37,0)</f>
        <v>0</v>
      </c>
      <c r="G37" s="9">
        <f>MATCH(A37,Bowling!$A$5:$A$42,0)</f>
        <v>27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>VLOOKUP(A37,'Fantasy Teams'!$A$45:$C$86,3,FALSE)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37</v>
      </c>
      <c r="N37" s="5">
        <f t="shared" ca="1" si="7"/>
        <v>5</v>
      </c>
      <c r="O37" s="5">
        <f t="shared" si="8"/>
        <v>33</v>
      </c>
      <c r="P37" s="5" t="str">
        <f t="shared" ca="1" si="10"/>
        <v>Geoff Chick</v>
      </c>
      <c r="Q37" s="7">
        <f t="shared" ca="1" si="11"/>
        <v>14</v>
      </c>
      <c r="R37" s="5">
        <f t="shared" ca="1" si="3"/>
        <v>1</v>
      </c>
    </row>
    <row r="38" spans="1:18" x14ac:dyDescent="0.2">
      <c r="A38" s="82" t="s">
        <v>98</v>
      </c>
      <c r="B38" t="s">
        <v>113</v>
      </c>
      <c r="C38" s="9">
        <f t="shared" ca="1" si="12"/>
        <v>235</v>
      </c>
      <c r="D38" s="9">
        <f ca="1">IF(NOT(ISNA(E38)),5*OFFSET(Batting!$CE$4,E38,0,1,1),0)</f>
        <v>75</v>
      </c>
      <c r="E38" s="9">
        <f>MATCH(A38,Batting!$A$5:$A$71,0)</f>
        <v>46</v>
      </c>
      <c r="F38" s="9">
        <f ca="1">IF(NOT(ISNA(E38)),OFFSET(Batting!$B$4,E38,$C$1,1,1)-D38,0)</f>
        <v>140</v>
      </c>
      <c r="G38" s="9" t="e">
        <f>MATCH(A38,Bowling!$A$5:$A$42,0)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20</v>
      </c>
      <c r="J38" s="9">
        <f>VLOOKUP(A38,'Fantasy Teams'!$A$45:$C$86,3,FALSE)</f>
        <v>4</v>
      </c>
      <c r="K38" s="10">
        <f t="shared" ca="1" si="4"/>
        <v>58.75</v>
      </c>
      <c r="L38" s="5">
        <f t="shared" ca="1" si="5"/>
        <v>58.75038</v>
      </c>
      <c r="M38" s="5">
        <f t="shared" ca="1" si="6"/>
        <v>25</v>
      </c>
      <c r="N38" s="5">
        <f t="shared" ca="1" si="7"/>
        <v>25</v>
      </c>
      <c r="O38" s="5">
        <f t="shared" si="8"/>
        <v>34</v>
      </c>
      <c r="P38" s="5" t="str">
        <f t="shared" ca="1" si="10"/>
        <v>Austen Merritt</v>
      </c>
      <c r="Q38" s="7">
        <f t="shared" ca="1" si="11"/>
        <v>8</v>
      </c>
      <c r="R38" s="5">
        <f t="shared" ca="1" si="3"/>
        <v>2</v>
      </c>
    </row>
    <row r="39" spans="1:18" x14ac:dyDescent="0.2">
      <c r="A39" s="82" t="s">
        <v>99</v>
      </c>
      <c r="B39" t="s">
        <v>179</v>
      </c>
      <c r="C39" s="9">
        <f t="shared" ca="1" si="12"/>
        <v>865</v>
      </c>
      <c r="D39" s="9">
        <f ca="1">IF(NOT(ISNA(E39)),5*OFFSET(Batting!$CE$4,E39,0,1,1),0)</f>
        <v>110</v>
      </c>
      <c r="E39" s="9">
        <f>MATCH(A39,Batting!$A$5:$A$71,0)</f>
        <v>47</v>
      </c>
      <c r="F39" s="9">
        <f ca="1">IF(NOT(ISNA(E39)),OFFSET(Batting!$B$4,E39,$C$1,1,1)-D39,0)</f>
        <v>365</v>
      </c>
      <c r="G39" s="9">
        <f>MATCH(A39,Bowling!$A$5:$A$42,0)</f>
        <v>28</v>
      </c>
      <c r="H39" s="9">
        <f ca="1">IF(NOT(ISNA(G39)),OFFSET(Bowling!$CO$4,G39,0,1,1),0)</f>
        <v>348</v>
      </c>
      <c r="I39" s="9">
        <f ca="1">IF(NOT(ISNA(E39)),OFFSET(Batting!$B$4,E39,$C$1+1,1,1),0)</f>
        <v>42</v>
      </c>
      <c r="J39" s="9">
        <f>VLOOKUP(A39,'Fantasy Teams'!$A$45:$C$86,3,FALSE)</f>
        <v>10</v>
      </c>
      <c r="K39" s="10">
        <f t="shared" ca="1" si="4"/>
        <v>86.5</v>
      </c>
      <c r="L39" s="5">
        <f t="shared" ca="1" si="5"/>
        <v>86.500389999999996</v>
      </c>
      <c r="M39" s="5">
        <f t="shared" ca="1" si="6"/>
        <v>13</v>
      </c>
      <c r="N39" s="5">
        <f t="shared" ca="1" si="7"/>
        <v>15</v>
      </c>
      <c r="O39" s="5">
        <f t="shared" si="8"/>
        <v>35</v>
      </c>
      <c r="P39" s="5" t="str">
        <f t="shared" ca="1" si="10"/>
        <v>Adrian Hawksworth</v>
      </c>
      <c r="Q39" s="7">
        <f t="shared" ca="1" si="11"/>
        <v>5.4</v>
      </c>
      <c r="R39" s="5">
        <f t="shared" ca="1" si="3"/>
        <v>5</v>
      </c>
    </row>
    <row r="40" spans="1:18" x14ac:dyDescent="0.2">
      <c r="A40" s="82" t="s">
        <v>132</v>
      </c>
      <c r="B40" t="s">
        <v>166</v>
      </c>
      <c r="C40" s="9">
        <f t="shared" ca="1" si="12"/>
        <v>0</v>
      </c>
      <c r="D40" s="9">
        <f ca="1">IF(NOT(ISNA(E40)),5*OFFSET(Batting!$CE$4,E40,0,1,1),0)</f>
        <v>0</v>
      </c>
      <c r="E40" s="9">
        <f>MATCH(A40,Batting!$A$5:$A$71,0)</f>
        <v>48</v>
      </c>
      <c r="F40" s="9">
        <f ca="1">IF(NOT(ISNA(E40)),OFFSET(Batting!$B$4,E40,$C$1,1,1)-D40,0)</f>
        <v>0</v>
      </c>
      <c r="G40" s="9" t="e">
        <f>MATCH(A40,Bowling!$A$5:$A$42,0)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>VLOOKUP(A40,'Fantasy Teams'!$A$45:$C$86,3,FALSE)</f>
        <v>2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36</v>
      </c>
      <c r="N40" s="5">
        <f t="shared" ca="1" si="7"/>
        <v>36</v>
      </c>
      <c r="O40" s="5">
        <f t="shared" si="8"/>
        <v>36</v>
      </c>
      <c r="P40" s="5" t="str">
        <f t="shared" ca="1" si="10"/>
        <v>Dave Thatcher</v>
      </c>
      <c r="Q40" s="7">
        <f t="shared" ca="1" si="11"/>
        <v>0</v>
      </c>
      <c r="R40" s="5">
        <f t="shared" ca="1" si="3"/>
        <v>2</v>
      </c>
    </row>
    <row r="41" spans="1:18" x14ac:dyDescent="0.2">
      <c r="A41" s="82" t="s">
        <v>215</v>
      </c>
      <c r="B41" t="s">
        <v>226</v>
      </c>
      <c r="C41" s="9">
        <f t="shared" ca="1" si="12"/>
        <v>322</v>
      </c>
      <c r="D41" s="9">
        <f ca="1">IF(NOT(ISNA(E41)),5*OFFSET(Batting!$CE$4,E41,0,1,1),0)</f>
        <v>80</v>
      </c>
      <c r="E41" s="9">
        <f>MATCH(A41,Batting!$A$5:$A$71,0)</f>
        <v>49</v>
      </c>
      <c r="F41" s="9">
        <f ca="1">IF(NOT(ISNA(E41)),OFFSET(Batting!$B$4,E41,$C$1,1,1)-D41,0)</f>
        <v>13</v>
      </c>
      <c r="G41" s="9">
        <f>MATCH(A41,Bowling!$A$5:$A$42,0)</f>
        <v>29</v>
      </c>
      <c r="H41" s="9">
        <f ca="1">IF(NOT(ISNA(G41)),OFFSET(Bowling!$CO$4,G41,0,1,1),0)</f>
        <v>219</v>
      </c>
      <c r="I41" s="9">
        <f ca="1">IF(NOT(ISNA(E41)),OFFSET(Batting!$B$4,E41,$C$1+1,1,1),0)</f>
        <v>10</v>
      </c>
      <c r="J41" s="9">
        <f>VLOOKUP(A41,'Fantasy Teams'!$A$45:$C$86,3,FALSE)</f>
        <v>1</v>
      </c>
      <c r="K41" s="10">
        <f t="shared" ca="1" si="4"/>
        <v>322</v>
      </c>
      <c r="L41" s="5">
        <f t="shared" ca="1" si="5"/>
        <v>322.00040999999999</v>
      </c>
      <c r="M41" s="5">
        <f t="shared" ca="1" si="6"/>
        <v>1</v>
      </c>
      <c r="N41" s="5">
        <f t="shared" ca="1" si="7"/>
        <v>33</v>
      </c>
      <c r="O41" s="5">
        <f t="shared" si="8"/>
        <v>37</v>
      </c>
      <c r="P41" s="5" t="str">
        <f t="shared" ca="1" si="10"/>
        <v>Mike Simmons</v>
      </c>
      <c r="Q41" s="7">
        <f t="shared" ca="1" si="11"/>
        <v>0</v>
      </c>
      <c r="R41" s="5">
        <f t="shared" ca="1" si="3"/>
        <v>2</v>
      </c>
    </row>
    <row r="42" spans="1:18" x14ac:dyDescent="0.2">
      <c r="A42" s="82" t="s">
        <v>106</v>
      </c>
      <c r="B42" t="s">
        <v>117</v>
      </c>
      <c r="C42" s="9">
        <f t="shared" ca="1" si="12"/>
        <v>403</v>
      </c>
      <c r="D42" s="9">
        <f ca="1">IF(NOT(ISNA(E42)),5*OFFSET(Batting!$CE$4,E42,0,1,1),0)</f>
        <v>135</v>
      </c>
      <c r="E42" s="9">
        <f>MATCH(A42,Batting!$A$5:$A$71,0)</f>
        <v>51</v>
      </c>
      <c r="F42" s="9">
        <f ca="1">IF(NOT(ISNA(E42)),OFFSET(Batting!$B$4,E42,$C$1,1,1)-D42,0)</f>
        <v>247</v>
      </c>
      <c r="G42" s="9">
        <f>MATCH(A42,Bowling!$A$5:$A$42,0)</f>
        <v>30</v>
      </c>
      <c r="H42" s="9">
        <f ca="1">IF(NOT(ISNA(G42)),OFFSET(Bowling!$CO$4,G42,0,1,1),0)</f>
        <v>0</v>
      </c>
      <c r="I42" s="9">
        <f ca="1">IF(NOT(ISNA(E42)),OFFSET(Batting!$B$4,E42,$C$1+1,1,1),0)</f>
        <v>21</v>
      </c>
      <c r="J42" s="9">
        <f>VLOOKUP(A42,'Fantasy Teams'!$A$45:$C$86,3,FALSE)</f>
        <v>5</v>
      </c>
      <c r="K42" s="10">
        <f t="shared" ca="1" si="4"/>
        <v>80.599999999999994</v>
      </c>
      <c r="L42" s="5">
        <f t="shared" ca="1" si="5"/>
        <v>80.60042</v>
      </c>
      <c r="M42" s="5">
        <f t="shared" ca="1" si="6"/>
        <v>15</v>
      </c>
      <c r="N42" s="5">
        <f t="shared" ca="1" si="7"/>
        <v>16</v>
      </c>
      <c r="O42" s="5">
        <f t="shared" si="8"/>
        <v>38</v>
      </c>
      <c r="P42" s="5" t="str">
        <f t="shared" ca="1" si="10"/>
        <v>Richard Hawksworth</v>
      </c>
      <c r="Q42" s="7">
        <f t="shared" ca="1" si="11"/>
        <v>0</v>
      </c>
      <c r="R42" s="5">
        <f t="shared" ca="1" si="3"/>
        <v>5</v>
      </c>
    </row>
    <row r="43" spans="1:18" x14ac:dyDescent="0.2">
      <c r="A43" s="82" t="s">
        <v>100</v>
      </c>
      <c r="B43" t="s">
        <v>177</v>
      </c>
      <c r="C43" s="9">
        <f t="shared" ca="1" si="12"/>
        <v>582</v>
      </c>
      <c r="D43" s="9">
        <f ca="1">IF(NOT(ISNA(E43)),5*OFFSET(Batting!$CE$4,E43,0,1,1),0)</f>
        <v>110</v>
      </c>
      <c r="E43" s="9">
        <f>MATCH(A43,Batting!$A$5:$A$71,0)</f>
        <v>52</v>
      </c>
      <c r="F43" s="9">
        <f ca="1">IF(NOT(ISNA(E43)),OFFSET(Batting!$B$4,E43,$C$1,1,1)-D43,0)</f>
        <v>398</v>
      </c>
      <c r="G43" s="9">
        <f>MATCH(A43,Bowling!$A$5:$A$42,0)</f>
        <v>31</v>
      </c>
      <c r="H43" s="9">
        <f ca="1">IF(NOT(ISNA(G43)),OFFSET(Bowling!$CO$4,G43,0,1,1),0)</f>
        <v>5</v>
      </c>
      <c r="I43" s="9">
        <f ca="1">IF(NOT(ISNA(E43)),OFFSET(Batting!$B$4,E43,$C$1+1,1,1),0)</f>
        <v>69</v>
      </c>
      <c r="J43" s="9">
        <f>VLOOKUP(A43,'Fantasy Teams'!$A$45:$C$86,3,FALSE)</f>
        <v>5</v>
      </c>
      <c r="K43" s="10">
        <f t="shared" ca="1" si="4"/>
        <v>116.4</v>
      </c>
      <c r="L43" s="5">
        <f t="shared" ca="1" si="5"/>
        <v>116.40043</v>
      </c>
      <c r="M43" s="5">
        <f t="shared" ca="1" si="6"/>
        <v>6</v>
      </c>
      <c r="N43" s="5">
        <f t="shared" ca="1" si="7"/>
        <v>11</v>
      </c>
      <c r="O43" s="5">
        <f t="shared" si="8"/>
        <v>39</v>
      </c>
      <c r="P43" s="5" t="str">
        <f t="shared" ca="1" si="10"/>
        <v>Brian Davies</v>
      </c>
      <c r="Q43" s="7">
        <f t="shared" ca="1" si="11"/>
        <v>0</v>
      </c>
      <c r="R43" s="5">
        <f t="shared" ca="1" si="3"/>
        <v>1</v>
      </c>
    </row>
    <row r="44" spans="1:18" x14ac:dyDescent="0.2">
      <c r="A44" s="82" t="s">
        <v>101</v>
      </c>
      <c r="B44" t="s">
        <v>172</v>
      </c>
      <c r="C44" s="9">
        <f ca="1">F44+H44+I44+D44</f>
        <v>612</v>
      </c>
      <c r="D44" s="9">
        <f ca="1">IF(NOT(ISNA(E44)),5*OFFSET(Batting!$CE$4,E44,0,1,1),0)</f>
        <v>80</v>
      </c>
      <c r="E44" s="9">
        <f>MATCH(A44,Batting!$A$5:$A$71,0)</f>
        <v>53</v>
      </c>
      <c r="F44" s="9">
        <f ca="1">IF(NOT(ISNA(E44)),OFFSET(Batting!$B$4,E44,$C$1,1,1)-D44,0)</f>
        <v>92</v>
      </c>
      <c r="G44" s="9">
        <f>MATCH(A44,Bowling!$A$5:$A$42,0)</f>
        <v>32</v>
      </c>
      <c r="H44" s="9">
        <f ca="1">IF(NOT(ISNA(G44)),OFFSET(Bowling!$CO$4,G44,0,1,1),0)</f>
        <v>420</v>
      </c>
      <c r="I44" s="9">
        <f ca="1">IF(NOT(ISNA(E44)),OFFSET(Batting!$B$4,E44,$C$1+1,1,1),0)</f>
        <v>20</v>
      </c>
      <c r="J44" s="9">
        <f>VLOOKUP(A44,'Fantasy Teams'!$A$45:$C$86,3,FALSE)</f>
        <v>5</v>
      </c>
      <c r="K44" s="10">
        <f t="shared" ca="1" si="4"/>
        <v>122.4</v>
      </c>
      <c r="L44" s="5">
        <f t="shared" ca="1" si="5"/>
        <v>122.40044</v>
      </c>
      <c r="M44" s="5">
        <f t="shared" ca="1" si="6"/>
        <v>4</v>
      </c>
      <c r="N44" s="5">
        <f t="shared" ca="1" si="7"/>
        <v>8</v>
      </c>
      <c r="O44" s="5">
        <f t="shared" si="8"/>
        <v>40</v>
      </c>
      <c r="P44" s="5" t="str">
        <f t="shared" ca="1" si="10"/>
        <v>Paul Cobberwaite</v>
      </c>
      <c r="Q44" s="7">
        <f t="shared" ca="1" si="11"/>
        <v>0</v>
      </c>
      <c r="R44" s="5">
        <f t="shared" ca="1" si="3"/>
        <v>2</v>
      </c>
    </row>
    <row r="45" spans="1:18" x14ac:dyDescent="0.2">
      <c r="A45" s="82" t="s">
        <v>103</v>
      </c>
      <c r="B45" t="s">
        <v>178</v>
      </c>
      <c r="C45" s="9">
        <f ca="1">F45+H45+I45+D45</f>
        <v>322</v>
      </c>
      <c r="D45" s="9">
        <f ca="1">IF(NOT(ISNA(E45)),5*OFFSET(Batting!$CE$4,E45,0,1,1),0)</f>
        <v>50</v>
      </c>
      <c r="E45" s="9">
        <f>MATCH(A45,Batting!$A$5:$A$71,0)</f>
        <v>54</v>
      </c>
      <c r="F45" s="9">
        <f ca="1">IF(NOT(ISNA(E45)),OFFSET(Batting!$B$4,E45,$C$1,1,1)-D45,0)</f>
        <v>63</v>
      </c>
      <c r="G45" s="9">
        <f>MATCH(A45,Bowling!$A$5:$A$42,0)</f>
        <v>33</v>
      </c>
      <c r="H45" s="9">
        <f ca="1">IF(NOT(ISNA(G45)),OFFSET(Bowling!$CO$4,G45,0,1,1),0)</f>
        <v>209</v>
      </c>
      <c r="I45" s="9">
        <f ca="1">IF(NOT(ISNA(E45)),OFFSET(Batting!$B$4,E45,$C$1+1,1,1),0)</f>
        <v>0</v>
      </c>
      <c r="J45" s="9">
        <f>VLOOKUP(A45,'Fantasy Teams'!$A$45:$C$86,3,FALSE)</f>
        <v>5</v>
      </c>
      <c r="K45" s="10">
        <f t="shared" ca="1" si="4"/>
        <v>64.400000000000006</v>
      </c>
      <c r="L45" s="5">
        <f t="shared" ca="1" si="5"/>
        <v>64.400450000000006</v>
      </c>
      <c r="M45" s="5">
        <f t="shared" ca="1" si="6"/>
        <v>23</v>
      </c>
      <c r="N45" s="5">
        <f t="shared" ca="1" si="7"/>
        <v>6</v>
      </c>
      <c r="O45" s="5">
        <f t="shared" si="8"/>
        <v>41</v>
      </c>
      <c r="P45" s="5" t="str">
        <f t="shared" ca="1" si="10"/>
        <v>Alex Ching</v>
      </c>
      <c r="Q45" s="7">
        <f t="shared" ca="1" si="11"/>
        <v>0</v>
      </c>
      <c r="R45" s="5">
        <f t="shared" ca="1" si="3"/>
        <v>1</v>
      </c>
    </row>
    <row r="46" spans="1:18" x14ac:dyDescent="0.2">
      <c r="A46" s="82" t="s">
        <v>105</v>
      </c>
      <c r="B46" t="s">
        <v>121</v>
      </c>
      <c r="C46" s="9">
        <f ca="1">F46+H46+I46+D46</f>
        <v>267</v>
      </c>
      <c r="D46" s="9">
        <f ca="1">IF(NOT(ISNA(E46)),5*OFFSET(Batting!$CE$4,E46,0,1,1),0)</f>
        <v>50</v>
      </c>
      <c r="E46" s="9">
        <f>MATCH(A46,Batting!$A$5:$A$71,0)</f>
        <v>55</v>
      </c>
      <c r="F46" s="9">
        <f ca="1">IF(NOT(ISNA(E46)),OFFSET(Batting!$B$4,E46,$C$1,1,1)-D46,0)</f>
        <v>43</v>
      </c>
      <c r="G46" s="9">
        <f>MATCH(A46,Bowling!$A$5:$A$42,0)</f>
        <v>34</v>
      </c>
      <c r="H46" s="9">
        <f ca="1">IF(NOT(ISNA(G46)),OFFSET(Bowling!$CO$4,G46,0,1,1),0)</f>
        <v>164</v>
      </c>
      <c r="I46" s="9">
        <f ca="1">IF(NOT(ISNA(E46)),OFFSET(Batting!$B$4,E46,$C$1+1,1,1),0)</f>
        <v>10</v>
      </c>
      <c r="J46" s="9">
        <f>VLOOKUP(A46,'Fantasy Teams'!$A$45:$C$86,3,FALSE)</f>
        <v>4</v>
      </c>
      <c r="K46" s="10">
        <f t="shared" ca="1" si="4"/>
        <v>66.75</v>
      </c>
      <c r="L46" s="5">
        <f t="shared" ca="1" si="5"/>
        <v>66.750460000000004</v>
      </c>
      <c r="M46" s="5">
        <f t="shared" ca="1" si="6"/>
        <v>21</v>
      </c>
      <c r="N46" s="5">
        <f t="shared" ca="1" si="7"/>
        <v>2</v>
      </c>
      <c r="O46" s="5">
        <f t="shared" si="8"/>
        <v>42</v>
      </c>
      <c r="P46" s="5" t="str">
        <f t="shared" ca="1" si="10"/>
        <v>John Bailey</v>
      </c>
      <c r="Q46" s="7">
        <f t="shared" ca="1" si="11"/>
        <v>0</v>
      </c>
      <c r="R46" s="5">
        <f t="shared" ca="1" si="3"/>
        <v>2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46"/>
  <sheetViews>
    <sheetView workbookViewId="0">
      <selection activeCell="A17" sqref="A17"/>
    </sheetView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16384" width="9.140625" style="16"/>
  </cols>
  <sheetData>
    <row r="1" spans="1:8" ht="12.75" customHeight="1" x14ac:dyDescent="0.25">
      <c r="A1" s="13" t="s">
        <v>140</v>
      </c>
      <c r="B1" s="14" t="s">
        <v>150</v>
      </c>
      <c r="C1" s="14" t="s">
        <v>151</v>
      </c>
      <c r="D1" s="14" t="s">
        <v>144</v>
      </c>
      <c r="E1" s="14" t="s">
        <v>146</v>
      </c>
      <c r="F1" s="14" t="s">
        <v>147</v>
      </c>
      <c r="G1" s="14" t="s">
        <v>133</v>
      </c>
      <c r="H1" s="15" t="s">
        <v>152</v>
      </c>
    </row>
    <row r="2" spans="1:8" ht="12.75" customHeight="1" x14ac:dyDescent="0.3">
      <c r="A2" s="17" t="str">
        <f>FantasyPts!B5</f>
        <v>Glyn Angell</v>
      </c>
      <c r="B2" s="18">
        <f ca="1">FantasyPts!C5</f>
        <v>79</v>
      </c>
      <c r="C2" s="18">
        <f ca="1">FantasyPts!D5</f>
        <v>20</v>
      </c>
      <c r="D2" s="18">
        <f ca="1">FantasyPts!F5</f>
        <v>49</v>
      </c>
      <c r="E2" s="18">
        <f ca="1">FantasyPts!H5</f>
        <v>0</v>
      </c>
      <c r="F2" s="18">
        <f ca="1">FantasyPts!I5</f>
        <v>10</v>
      </c>
      <c r="G2" s="18">
        <f>FantasyPts!J5</f>
        <v>1</v>
      </c>
      <c r="H2" s="19">
        <f ca="1">FantasyPts!K5</f>
        <v>79</v>
      </c>
    </row>
    <row r="3" spans="1:8" ht="12.75" customHeight="1" x14ac:dyDescent="0.3">
      <c r="A3" s="17" t="str">
        <f>FantasyPts!B6</f>
        <v>John Bailey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>FantasyPts!J6</f>
        <v>2</v>
      </c>
      <c r="H3" s="19">
        <f ca="1">FantasyPts!K6</f>
        <v>0</v>
      </c>
    </row>
    <row r="4" spans="1:8" ht="12.75" customHeight="1" x14ac:dyDescent="0.3">
      <c r="A4" s="17" t="str">
        <f>FantasyPts!B7</f>
        <v>Mike Bowers</v>
      </c>
      <c r="B4" s="18">
        <f ca="1">FantasyPts!C7</f>
        <v>211</v>
      </c>
      <c r="C4" s="18">
        <f ca="1">FantasyPts!D7</f>
        <v>25</v>
      </c>
      <c r="D4" s="18">
        <f ca="1">FantasyPts!F7</f>
        <v>16</v>
      </c>
      <c r="E4" s="18">
        <f ca="1">FantasyPts!H7</f>
        <v>155</v>
      </c>
      <c r="F4" s="18">
        <f ca="1">FantasyPts!I7</f>
        <v>15</v>
      </c>
      <c r="G4" s="18">
        <f>FantasyPts!J7</f>
        <v>3</v>
      </c>
      <c r="H4" s="19">
        <f ca="1">FantasyPts!K7</f>
        <v>70.332999999999998</v>
      </c>
    </row>
    <row r="5" spans="1:8" ht="12.75" customHeight="1" x14ac:dyDescent="0.3">
      <c r="A5" s="17" t="str">
        <f>FantasyPts!B8</f>
        <v>David Brocks</v>
      </c>
      <c r="B5" s="18">
        <f ca="1">FantasyPts!C8</f>
        <v>572</v>
      </c>
      <c r="C5" s="18">
        <f ca="1">FantasyPts!D8</f>
        <v>60</v>
      </c>
      <c r="D5" s="18">
        <f ca="1">FantasyPts!F8</f>
        <v>316</v>
      </c>
      <c r="E5" s="18">
        <f ca="1">FantasyPts!H8</f>
        <v>186</v>
      </c>
      <c r="F5" s="18">
        <f ca="1">FantasyPts!I8</f>
        <v>10</v>
      </c>
      <c r="G5" s="18">
        <f>FantasyPts!J8</f>
        <v>6</v>
      </c>
      <c r="H5" s="19">
        <f ca="1">FantasyPts!K8</f>
        <v>95.332999999999998</v>
      </c>
    </row>
    <row r="6" spans="1:8" ht="12.75" customHeight="1" x14ac:dyDescent="0.3">
      <c r="A6" s="17" t="str">
        <f>FantasyPts!B9</f>
        <v>Geoff Chick</v>
      </c>
      <c r="B6" s="18">
        <f ca="1">FantasyPts!C9</f>
        <v>14</v>
      </c>
      <c r="C6" s="18">
        <f ca="1">FantasyPts!D9</f>
        <v>5</v>
      </c>
      <c r="D6" s="18">
        <f ca="1">FantasyPts!F9</f>
        <v>9</v>
      </c>
      <c r="E6" s="18">
        <f ca="1">FantasyPts!H9</f>
        <v>0</v>
      </c>
      <c r="F6" s="18">
        <f ca="1">FantasyPts!I9</f>
        <v>0</v>
      </c>
      <c r="G6" s="18">
        <f>FantasyPts!J9</f>
        <v>1</v>
      </c>
      <c r="H6" s="19">
        <f ca="1">FantasyPts!K9</f>
        <v>14</v>
      </c>
    </row>
    <row r="7" spans="1:8" ht="12.75" customHeight="1" x14ac:dyDescent="0.3">
      <c r="A7" s="17" t="str">
        <f>FantasyPts!B10</f>
        <v>Alex Ching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>FantasyPts!J10</f>
        <v>1</v>
      </c>
      <c r="H7" s="19">
        <f ca="1">FantasyPts!K10</f>
        <v>0</v>
      </c>
    </row>
    <row r="8" spans="1:8" ht="12.75" customHeight="1" x14ac:dyDescent="0.3">
      <c r="A8" s="17" t="str">
        <f>FantasyPts!B11</f>
        <v>Chris Clarke</v>
      </c>
      <c r="B8" s="18">
        <f ca="1">FantasyPts!C11</f>
        <v>195</v>
      </c>
      <c r="C8" s="18">
        <f ca="1">FantasyPts!D11</f>
        <v>30</v>
      </c>
      <c r="D8" s="18">
        <f ca="1">FantasyPts!F11</f>
        <v>16</v>
      </c>
      <c r="E8" s="18">
        <f ca="1">FantasyPts!H11</f>
        <v>149</v>
      </c>
      <c r="F8" s="18">
        <f ca="1">FantasyPts!I11</f>
        <v>0</v>
      </c>
      <c r="G8" s="18">
        <f>FantasyPts!J11</f>
        <v>3</v>
      </c>
      <c r="H8" s="19">
        <f ca="1">FantasyPts!K11</f>
        <v>65</v>
      </c>
    </row>
    <row r="9" spans="1:8" ht="12.75" customHeight="1" x14ac:dyDescent="0.3">
      <c r="A9" s="17" t="str">
        <f>FantasyPts!B12</f>
        <v>Paul Cobberwaite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>FantasyPts!J12</f>
        <v>2</v>
      </c>
      <c r="H9" s="19">
        <f ca="1">FantasyPts!K12</f>
        <v>0</v>
      </c>
    </row>
    <row r="10" spans="1:8" ht="12.75" customHeight="1" x14ac:dyDescent="0.3">
      <c r="A10" s="17" t="str">
        <f>FantasyPts!B13</f>
        <v>Aidan Coloe</v>
      </c>
      <c r="B10" s="18">
        <f ca="1">FantasyPts!C13</f>
        <v>76</v>
      </c>
      <c r="C10" s="18">
        <f ca="1">FantasyPts!D13</f>
        <v>25</v>
      </c>
      <c r="D10" s="18">
        <f ca="1">FantasyPts!F13</f>
        <v>13</v>
      </c>
      <c r="E10" s="18">
        <f ca="1">FantasyPts!H13</f>
        <v>13</v>
      </c>
      <c r="F10" s="18">
        <f ca="1">FantasyPts!I13</f>
        <v>25</v>
      </c>
      <c r="G10" s="18">
        <f>FantasyPts!J13</f>
        <v>1</v>
      </c>
      <c r="H10" s="19">
        <f ca="1">FantasyPts!K13</f>
        <v>76</v>
      </c>
    </row>
    <row r="11" spans="1:8" ht="12.75" customHeight="1" x14ac:dyDescent="0.3">
      <c r="A11" s="17" t="str">
        <f>FantasyPts!B14</f>
        <v>Geoff Cooper</v>
      </c>
      <c r="B11" s="18">
        <f ca="1">FantasyPts!C14</f>
        <v>558</v>
      </c>
      <c r="C11" s="18">
        <f ca="1">FantasyPts!D14</f>
        <v>85</v>
      </c>
      <c r="D11" s="18">
        <f ca="1">FantasyPts!F14</f>
        <v>106</v>
      </c>
      <c r="E11" s="18">
        <f ca="1">FantasyPts!H14</f>
        <v>347</v>
      </c>
      <c r="F11" s="18">
        <f ca="1">FantasyPts!I14</f>
        <v>20</v>
      </c>
      <c r="G11" s="18">
        <f>FantasyPts!J14</f>
        <v>7</v>
      </c>
      <c r="H11" s="19">
        <f ca="1">FantasyPts!K14</f>
        <v>79.713999999999999</v>
      </c>
    </row>
    <row r="12" spans="1:8" ht="12.75" customHeight="1" x14ac:dyDescent="0.3">
      <c r="A12" s="17" t="str">
        <f>FantasyPts!B15</f>
        <v>Brian Davies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>FantasyPts!J15</f>
        <v>1</v>
      </c>
      <c r="H12" s="19">
        <f ca="1">FantasyPts!K15</f>
        <v>0</v>
      </c>
    </row>
    <row r="13" spans="1:8" ht="12.75" customHeight="1" x14ac:dyDescent="0.3">
      <c r="A13" s="17" t="str">
        <f>FantasyPts!B16</f>
        <v>Ted Dugdale</v>
      </c>
      <c r="B13" s="18">
        <f ca="1">FantasyPts!C16</f>
        <v>235</v>
      </c>
      <c r="C13" s="18">
        <f ca="1">FantasyPts!D16</f>
        <v>55</v>
      </c>
      <c r="D13" s="18">
        <f ca="1">FantasyPts!F16</f>
        <v>164</v>
      </c>
      <c r="E13" s="18">
        <f ca="1">FantasyPts!H16</f>
        <v>0</v>
      </c>
      <c r="F13" s="18">
        <f ca="1">FantasyPts!I16</f>
        <v>16</v>
      </c>
      <c r="G13" s="18">
        <f>FantasyPts!J16</f>
        <v>10</v>
      </c>
      <c r="H13" s="19">
        <f ca="1">FantasyPts!K16</f>
        <v>23.5</v>
      </c>
    </row>
    <row r="14" spans="1:8" ht="12.75" customHeight="1" x14ac:dyDescent="0.3">
      <c r="A14" s="17" t="str">
        <f>FantasyPts!B17</f>
        <v>John Elliston</v>
      </c>
      <c r="B14" s="18">
        <f ca="1">FantasyPts!C17</f>
        <v>433</v>
      </c>
      <c r="C14" s="18">
        <f ca="1">FantasyPts!D17</f>
        <v>85</v>
      </c>
      <c r="D14" s="18">
        <f ca="1">FantasyPts!F17</f>
        <v>56</v>
      </c>
      <c r="E14" s="18">
        <f ca="1">FantasyPts!H17</f>
        <v>277</v>
      </c>
      <c r="F14" s="18">
        <f ca="1">FantasyPts!I17</f>
        <v>15</v>
      </c>
      <c r="G14" s="18">
        <f>FantasyPts!J17</f>
        <v>5</v>
      </c>
      <c r="H14" s="19">
        <f ca="1">FantasyPts!K17</f>
        <v>86.6</v>
      </c>
    </row>
    <row r="15" spans="1:8" ht="12.75" customHeight="1" x14ac:dyDescent="0.3">
      <c r="A15" s="17" t="str">
        <f>FantasyPts!B18</f>
        <v>Alex Hamilton</v>
      </c>
      <c r="B15" s="18">
        <f ca="1">FantasyPts!C18</f>
        <v>235</v>
      </c>
      <c r="C15" s="18">
        <f ca="1">FantasyPts!D18</f>
        <v>55</v>
      </c>
      <c r="D15" s="18">
        <f ca="1">FantasyPts!F18</f>
        <v>158</v>
      </c>
      <c r="E15" s="18">
        <f ca="1">FantasyPts!H18</f>
        <v>0</v>
      </c>
      <c r="F15" s="18">
        <f ca="1">FantasyPts!I18</f>
        <v>22</v>
      </c>
      <c r="G15" s="18">
        <f>FantasyPts!J18</f>
        <v>7</v>
      </c>
      <c r="H15" s="19">
        <f ca="1">FantasyPts!K18</f>
        <v>33.570999999999998</v>
      </c>
    </row>
    <row r="16" spans="1:8" ht="12.75" customHeight="1" x14ac:dyDescent="0.3">
      <c r="A16" s="17" t="str">
        <f>FantasyPts!B19</f>
        <v>Adrian Hawksworth</v>
      </c>
      <c r="B16" s="18">
        <f ca="1">FantasyPts!C19</f>
        <v>27</v>
      </c>
      <c r="C16" s="18">
        <f ca="1">FantasyPts!D19</f>
        <v>10</v>
      </c>
      <c r="D16" s="18">
        <f ca="1">FantasyPts!F19</f>
        <v>17</v>
      </c>
      <c r="E16" s="18">
        <f ca="1">FantasyPts!H19</f>
        <v>0</v>
      </c>
      <c r="F16" s="18">
        <f ca="1">FantasyPts!I19</f>
        <v>0</v>
      </c>
      <c r="G16" s="18">
        <f>FantasyPts!J19</f>
        <v>5</v>
      </c>
      <c r="H16" s="19">
        <f ca="1">FantasyPts!K19</f>
        <v>5.4</v>
      </c>
    </row>
    <row r="17" spans="1:8" ht="12.75" customHeight="1" x14ac:dyDescent="0.3">
      <c r="A17" s="17" t="str">
        <f>FantasyPts!B20</f>
        <v>Richard Hawksworth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>FantasyPts!J20</f>
        <v>5</v>
      </c>
      <c r="H17" s="19">
        <f ca="1">FantasyPts!K20</f>
        <v>0</v>
      </c>
    </row>
    <row r="18" spans="1:8" ht="12.75" customHeight="1" x14ac:dyDescent="0.3">
      <c r="A18" s="17" t="str">
        <f>FantasyPts!B21</f>
        <v>Luke Hickey</v>
      </c>
      <c r="B18" s="18">
        <f ca="1">FantasyPts!C21</f>
        <v>152</v>
      </c>
      <c r="C18" s="18">
        <f ca="1">FantasyPts!D21</f>
        <v>75</v>
      </c>
      <c r="D18" s="18">
        <f ca="1">FantasyPts!F21</f>
        <v>-7</v>
      </c>
      <c r="E18" s="18">
        <f ca="1">FantasyPts!H21</f>
        <v>59</v>
      </c>
      <c r="F18" s="18">
        <f ca="1">FantasyPts!I21</f>
        <v>25</v>
      </c>
      <c r="G18" s="18">
        <f>FantasyPts!J21</f>
        <v>2</v>
      </c>
      <c r="H18" s="19">
        <f ca="1">FantasyPts!K21</f>
        <v>76</v>
      </c>
    </row>
    <row r="19" spans="1:8" ht="12.75" customHeight="1" x14ac:dyDescent="0.3">
      <c r="A19" s="17" t="str">
        <f>FantasyPts!B22</f>
        <v>Mike Hosking</v>
      </c>
      <c r="B19" s="18">
        <f ca="1">FantasyPts!C22</f>
        <v>108</v>
      </c>
      <c r="C19" s="18">
        <f ca="1">FantasyPts!D22</f>
        <v>45</v>
      </c>
      <c r="D19" s="18">
        <f ca="1">FantasyPts!F22</f>
        <v>59</v>
      </c>
      <c r="E19" s="18">
        <f ca="1">FantasyPts!H22</f>
        <v>0</v>
      </c>
      <c r="F19" s="18">
        <f ca="1">FantasyPts!I22</f>
        <v>4</v>
      </c>
      <c r="G19" s="18">
        <f>FantasyPts!J22</f>
        <v>2</v>
      </c>
      <c r="H19" s="19">
        <f ca="1">FantasyPts!K22</f>
        <v>54</v>
      </c>
    </row>
    <row r="20" spans="1:8" ht="12.75" customHeight="1" x14ac:dyDescent="0.3">
      <c r="A20" s="17" t="str">
        <f>FantasyPts!B23</f>
        <v>John Leadley</v>
      </c>
      <c r="B20" s="18">
        <f ca="1">FantasyPts!C23</f>
        <v>870</v>
      </c>
      <c r="C20" s="18">
        <f ca="1">FantasyPts!D23</f>
        <v>70</v>
      </c>
      <c r="D20" s="18">
        <f ca="1">FantasyPts!F23</f>
        <v>721</v>
      </c>
      <c r="E20" s="18">
        <f ca="1">FantasyPts!H23</f>
        <v>57</v>
      </c>
      <c r="F20" s="18">
        <f ca="1">FantasyPts!I23</f>
        <v>22</v>
      </c>
      <c r="G20" s="18">
        <f>FantasyPts!J23</f>
        <v>14</v>
      </c>
      <c r="H20" s="19">
        <f ca="1">FantasyPts!K23</f>
        <v>62.142000000000003</v>
      </c>
    </row>
    <row r="21" spans="1:8" ht="12.75" customHeight="1" x14ac:dyDescent="0.3">
      <c r="A21" s="17" t="str">
        <f>FantasyPts!B24</f>
        <v>Jeff Lestrelle</v>
      </c>
      <c r="B21" s="18">
        <f ca="1">FantasyPts!C24</f>
        <v>399</v>
      </c>
      <c r="C21" s="18">
        <f ca="1">FantasyPts!D24</f>
        <v>120</v>
      </c>
      <c r="D21" s="18">
        <f ca="1">FantasyPts!F24</f>
        <v>133</v>
      </c>
      <c r="E21" s="18">
        <f ca="1">FantasyPts!H24</f>
        <v>116</v>
      </c>
      <c r="F21" s="18">
        <f ca="1">FantasyPts!I24</f>
        <v>30</v>
      </c>
      <c r="G21" s="18">
        <f>FantasyPts!J24</f>
        <v>3</v>
      </c>
      <c r="H21" s="19">
        <f ca="1">FantasyPts!K24</f>
        <v>133</v>
      </c>
    </row>
    <row r="22" spans="1:8" ht="12.75" customHeight="1" x14ac:dyDescent="0.3">
      <c r="A22" s="17" t="str">
        <f>FantasyPts!B25</f>
        <v>Kris Ligory</v>
      </c>
      <c r="B22" s="18">
        <f ca="1">FantasyPts!C25</f>
        <v>79</v>
      </c>
      <c r="C22" s="18">
        <f ca="1">FantasyPts!D25</f>
        <v>40</v>
      </c>
      <c r="D22" s="18">
        <f ca="1">FantasyPts!F25</f>
        <v>2</v>
      </c>
      <c r="E22" s="18">
        <f ca="1">FantasyPts!H25</f>
        <v>32</v>
      </c>
      <c r="F22" s="18">
        <f ca="1">FantasyPts!I25</f>
        <v>5</v>
      </c>
      <c r="G22" s="18">
        <f>FantasyPts!J25</f>
        <v>2</v>
      </c>
      <c r="H22" s="19">
        <f ca="1">FantasyPts!K25</f>
        <v>39.5</v>
      </c>
    </row>
    <row r="23" spans="1:8" ht="12.75" customHeight="1" x14ac:dyDescent="0.3">
      <c r="A23" s="17" t="str">
        <f>FantasyPts!B26</f>
        <v>Andy Mander</v>
      </c>
      <c r="B23" s="18">
        <f ca="1">FantasyPts!C26</f>
        <v>706</v>
      </c>
      <c r="C23" s="18">
        <f ca="1">FantasyPts!D26</f>
        <v>85</v>
      </c>
      <c r="D23" s="18">
        <f ca="1">FantasyPts!F26</f>
        <v>252</v>
      </c>
      <c r="E23" s="18">
        <f ca="1">FantasyPts!H26</f>
        <v>359</v>
      </c>
      <c r="F23" s="18">
        <f ca="1">FantasyPts!I26</f>
        <v>10</v>
      </c>
      <c r="G23" s="18">
        <f>FantasyPts!J26</f>
        <v>6</v>
      </c>
      <c r="H23" s="19">
        <f ca="1">FantasyPts!K26</f>
        <v>117.666</v>
      </c>
    </row>
    <row r="24" spans="1:8" ht="12.75" customHeight="1" x14ac:dyDescent="0.3">
      <c r="A24" s="17" t="str">
        <f>FantasyPts!B27</f>
        <v>Colin Mander</v>
      </c>
      <c r="B24" s="18">
        <f ca="1">FantasyPts!C27</f>
        <v>288</v>
      </c>
      <c r="C24" s="18">
        <f ca="1">FantasyPts!D27</f>
        <v>75</v>
      </c>
      <c r="D24" s="18">
        <f ca="1">FantasyPts!F27</f>
        <v>44</v>
      </c>
      <c r="E24" s="18">
        <f ca="1">FantasyPts!H27</f>
        <v>149</v>
      </c>
      <c r="F24" s="18">
        <f ca="1">FantasyPts!I27</f>
        <v>20</v>
      </c>
      <c r="G24" s="18">
        <f>FantasyPts!J27</f>
        <v>3</v>
      </c>
      <c r="H24" s="19">
        <f ca="1">FantasyPts!K27</f>
        <v>96</v>
      </c>
    </row>
    <row r="25" spans="1:8" ht="12.75" customHeight="1" x14ac:dyDescent="0.3">
      <c r="A25" s="17" t="str">
        <f>FantasyPts!B28</f>
        <v>Neil Mander</v>
      </c>
      <c r="B25" s="18">
        <f ca="1">FantasyPts!C28</f>
        <v>333</v>
      </c>
      <c r="C25" s="18">
        <f ca="1">FantasyPts!D28</f>
        <v>80</v>
      </c>
      <c r="D25" s="18">
        <f ca="1">FantasyPts!F28</f>
        <v>144</v>
      </c>
      <c r="E25" s="18">
        <f ca="1">FantasyPts!H28</f>
        <v>84</v>
      </c>
      <c r="F25" s="18">
        <f ca="1">FantasyPts!I28</f>
        <v>25</v>
      </c>
      <c r="G25" s="18">
        <f>FantasyPts!J28</f>
        <v>2</v>
      </c>
      <c r="H25" s="19">
        <f ca="1">FantasyPts!K28</f>
        <v>166.5</v>
      </c>
    </row>
    <row r="26" spans="1:8" ht="12.75" customHeight="1" x14ac:dyDescent="0.3">
      <c r="A26" s="17" t="str">
        <f>FantasyPts!B29</f>
        <v>Austen Merritt</v>
      </c>
      <c r="B26" s="18">
        <f ca="1">FantasyPts!C29</f>
        <v>16</v>
      </c>
      <c r="C26" s="18">
        <f ca="1">FantasyPts!D29</f>
        <v>10</v>
      </c>
      <c r="D26" s="18">
        <f ca="1">FantasyPts!F29</f>
        <v>-5</v>
      </c>
      <c r="E26" s="18">
        <f ca="1">FantasyPts!H29</f>
        <v>11</v>
      </c>
      <c r="F26" s="18">
        <f ca="1">FantasyPts!I29</f>
        <v>0</v>
      </c>
      <c r="G26" s="18">
        <f>FantasyPts!J29</f>
        <v>2</v>
      </c>
      <c r="H26" s="19">
        <f ca="1">FantasyPts!K29</f>
        <v>8</v>
      </c>
    </row>
    <row r="27" spans="1:8" ht="12.75" customHeight="1" x14ac:dyDescent="0.3">
      <c r="A27" s="17" t="str">
        <f>FantasyPts!B30</f>
        <v>Jeff Middleton</v>
      </c>
      <c r="B27" s="18">
        <f ca="1">FantasyPts!C30</f>
        <v>278</v>
      </c>
      <c r="C27" s="18">
        <f ca="1">FantasyPts!D30</f>
        <v>40</v>
      </c>
      <c r="D27" s="18">
        <f ca="1">FantasyPts!F30</f>
        <v>123</v>
      </c>
      <c r="E27" s="18">
        <f ca="1">FantasyPts!H30</f>
        <v>70</v>
      </c>
      <c r="F27" s="18">
        <f ca="1">FantasyPts!I30</f>
        <v>45</v>
      </c>
      <c r="G27" s="18">
        <f>FantasyPts!J30</f>
        <v>6</v>
      </c>
      <c r="H27" s="19">
        <f ca="1">FantasyPts!K30</f>
        <v>46.332999999999998</v>
      </c>
    </row>
    <row r="28" spans="1:8" ht="12.75" customHeight="1" x14ac:dyDescent="0.3">
      <c r="A28" s="17" t="str">
        <f>FantasyPts!B31</f>
        <v>Dave Morris</v>
      </c>
      <c r="B28" s="18">
        <f ca="1">FantasyPts!C31</f>
        <v>545</v>
      </c>
      <c r="C28" s="18">
        <f ca="1">FantasyPts!D31</f>
        <v>115</v>
      </c>
      <c r="D28" s="18">
        <f ca="1">FantasyPts!F31</f>
        <v>61</v>
      </c>
      <c r="E28" s="18">
        <f ca="1">FantasyPts!H31</f>
        <v>354</v>
      </c>
      <c r="F28" s="18">
        <f ca="1">FantasyPts!I31</f>
        <v>15</v>
      </c>
      <c r="G28" s="18">
        <f>FantasyPts!J31</f>
        <v>6</v>
      </c>
      <c r="H28" s="19">
        <f ca="1">FantasyPts!K31</f>
        <v>90.832999999999998</v>
      </c>
    </row>
    <row r="29" spans="1:8" ht="12.75" customHeight="1" x14ac:dyDescent="0.3">
      <c r="A29" s="17" t="str">
        <f>FantasyPts!B32</f>
        <v>Paul Oakes</v>
      </c>
      <c r="B29" s="18">
        <f ca="1">FantasyPts!C32</f>
        <v>168</v>
      </c>
      <c r="C29" s="18">
        <f ca="1">FantasyPts!D32</f>
        <v>105</v>
      </c>
      <c r="D29" s="18">
        <f ca="1">FantasyPts!F32</f>
        <v>58</v>
      </c>
      <c r="E29" s="18">
        <f ca="1">FantasyPts!H32</f>
        <v>0</v>
      </c>
      <c r="F29" s="18">
        <f ca="1">FantasyPts!I32</f>
        <v>5</v>
      </c>
      <c r="G29" s="18">
        <f>FantasyPts!J32</f>
        <v>2</v>
      </c>
      <c r="H29" s="19">
        <f ca="1">FantasyPts!K32</f>
        <v>84</v>
      </c>
    </row>
    <row r="30" spans="1:8" ht="12.75" customHeight="1" x14ac:dyDescent="0.3">
      <c r="A30" s="17" t="str">
        <f>FantasyPts!B33</f>
        <v>Namish Patel</v>
      </c>
      <c r="B30" s="18">
        <f ca="1">FantasyPts!C33</f>
        <v>176</v>
      </c>
      <c r="C30" s="18">
        <f ca="1">FantasyPts!D33</f>
        <v>60</v>
      </c>
      <c r="D30" s="18">
        <f ca="1">FantasyPts!F33</f>
        <v>91</v>
      </c>
      <c r="E30" s="18">
        <f ca="1">FantasyPts!H33</f>
        <v>15</v>
      </c>
      <c r="F30" s="18">
        <f ca="1">FantasyPts!I33</f>
        <v>10</v>
      </c>
      <c r="G30" s="18">
        <f>FantasyPts!J33</f>
        <v>3</v>
      </c>
      <c r="H30" s="19">
        <f ca="1">FantasyPts!K33</f>
        <v>58.665999999999997</v>
      </c>
    </row>
    <row r="31" spans="1:8" ht="12.75" customHeight="1" x14ac:dyDescent="0.3">
      <c r="A31" s="17" t="str">
        <f>FantasyPts!B34</f>
        <v>Vince Reid</v>
      </c>
      <c r="B31" s="18">
        <f ca="1">FantasyPts!C34</f>
        <v>353</v>
      </c>
      <c r="C31" s="18">
        <f ca="1">FantasyPts!D34</f>
        <v>85</v>
      </c>
      <c r="D31" s="18">
        <f ca="1">FantasyPts!F34</f>
        <v>148</v>
      </c>
      <c r="E31" s="18">
        <f ca="1">FantasyPts!H34</f>
        <v>75</v>
      </c>
      <c r="F31" s="18">
        <f ca="1">FantasyPts!I34</f>
        <v>45</v>
      </c>
      <c r="G31" s="18">
        <f>FantasyPts!J34</f>
        <v>4</v>
      </c>
      <c r="H31" s="19">
        <f ca="1">FantasyPts!K34</f>
        <v>88.25</v>
      </c>
    </row>
    <row r="32" spans="1:8" ht="12.75" customHeight="1" x14ac:dyDescent="0.3">
      <c r="A32" s="17" t="str">
        <f>FantasyPts!B35</f>
        <v>David Sharpe</v>
      </c>
      <c r="B32" s="18">
        <f ca="1">FantasyPts!C35</f>
        <v>825</v>
      </c>
      <c r="C32" s="18">
        <f ca="1">FantasyPts!D35</f>
        <v>85</v>
      </c>
      <c r="D32" s="18">
        <f ca="1">FantasyPts!F35</f>
        <v>495</v>
      </c>
      <c r="E32" s="18">
        <f ca="1">FantasyPts!H35</f>
        <v>224</v>
      </c>
      <c r="F32" s="18">
        <f ca="1">FantasyPts!I35</f>
        <v>21</v>
      </c>
      <c r="G32" s="18">
        <f>FantasyPts!J35</f>
        <v>9</v>
      </c>
      <c r="H32" s="19">
        <f ca="1">FantasyPts!K35</f>
        <v>91.665999999999997</v>
      </c>
    </row>
    <row r="33" spans="1:8" ht="12.75" customHeight="1" x14ac:dyDescent="0.3">
      <c r="A33" s="17" t="str">
        <f>FantasyPts!B36</f>
        <v>Del Shewan</v>
      </c>
      <c r="B33" s="18">
        <f ca="1">FantasyPts!C36</f>
        <v>505</v>
      </c>
      <c r="C33" s="18">
        <f ca="1">FantasyPts!D36</f>
        <v>50</v>
      </c>
      <c r="D33" s="18">
        <f ca="1">FantasyPts!F36</f>
        <v>198</v>
      </c>
      <c r="E33" s="18">
        <f ca="1">FantasyPts!H36</f>
        <v>222</v>
      </c>
      <c r="F33" s="18">
        <f ca="1">FantasyPts!I36</f>
        <v>35</v>
      </c>
      <c r="G33" s="18">
        <f>FantasyPts!J36</f>
        <v>9</v>
      </c>
      <c r="H33" s="19">
        <f ca="1">FantasyPts!K36</f>
        <v>56.110999999999997</v>
      </c>
    </row>
    <row r="34" spans="1:8" ht="12.75" customHeight="1" x14ac:dyDescent="0.3">
      <c r="A34" s="17" t="str">
        <f>FantasyPts!B37</f>
        <v>Mike Simmons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>FantasyPts!J37</f>
        <v>2</v>
      </c>
      <c r="H34" s="19">
        <f ca="1">FantasyPts!K37</f>
        <v>0</v>
      </c>
    </row>
    <row r="35" spans="1:8" ht="12.75" customHeight="1" x14ac:dyDescent="0.3">
      <c r="A35" s="17" t="str">
        <f>FantasyPts!B38</f>
        <v>David Snow</v>
      </c>
      <c r="B35" s="18">
        <f ca="1">FantasyPts!C38</f>
        <v>235</v>
      </c>
      <c r="C35" s="18">
        <f ca="1">FantasyPts!D38</f>
        <v>75</v>
      </c>
      <c r="D35" s="18">
        <f ca="1">FantasyPts!F38</f>
        <v>140</v>
      </c>
      <c r="E35" s="18">
        <f ca="1">FantasyPts!H38</f>
        <v>0</v>
      </c>
      <c r="F35" s="18">
        <f ca="1">FantasyPts!I38</f>
        <v>20</v>
      </c>
      <c r="G35" s="18">
        <f>FantasyPts!J38</f>
        <v>4</v>
      </c>
      <c r="H35" s="19">
        <f ca="1">FantasyPts!K38</f>
        <v>58.75</v>
      </c>
    </row>
    <row r="36" spans="1:8" ht="12.75" customHeight="1" x14ac:dyDescent="0.3">
      <c r="A36" s="17" t="str">
        <f>FantasyPts!B39</f>
        <v>Tony Springer</v>
      </c>
      <c r="B36" s="18">
        <f ca="1">FantasyPts!C39</f>
        <v>865</v>
      </c>
      <c r="C36" s="18">
        <f ca="1">FantasyPts!D39</f>
        <v>110</v>
      </c>
      <c r="D36" s="18">
        <f ca="1">FantasyPts!F39</f>
        <v>365</v>
      </c>
      <c r="E36" s="18">
        <f ca="1">FantasyPts!H39</f>
        <v>348</v>
      </c>
      <c r="F36" s="18">
        <f ca="1">FantasyPts!I39</f>
        <v>42</v>
      </c>
      <c r="G36" s="18">
        <f>FantasyPts!J39</f>
        <v>10</v>
      </c>
      <c r="H36" s="19">
        <f ca="1">FantasyPts!K39</f>
        <v>86.5</v>
      </c>
    </row>
    <row r="37" spans="1:8" ht="12.75" customHeight="1" x14ac:dyDescent="0.3">
      <c r="A37" s="17" t="str">
        <f>FantasyPts!B40</f>
        <v>Dave Thatcher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>FantasyPts!J40</f>
        <v>2</v>
      </c>
      <c r="H37" s="19">
        <f ca="1">FantasyPts!K40</f>
        <v>0</v>
      </c>
    </row>
    <row r="38" spans="1:8" ht="12.75" customHeight="1" x14ac:dyDescent="0.3">
      <c r="A38" s="17" t="str">
        <f>FantasyPts!B41</f>
        <v>Craig Thomas</v>
      </c>
      <c r="B38" s="18">
        <f ca="1">FantasyPts!C41</f>
        <v>322</v>
      </c>
      <c r="C38" s="18">
        <f ca="1">FantasyPts!D41</f>
        <v>80</v>
      </c>
      <c r="D38" s="18">
        <f ca="1">FantasyPts!F41</f>
        <v>13</v>
      </c>
      <c r="E38" s="18">
        <f ca="1">FantasyPts!H41</f>
        <v>219</v>
      </c>
      <c r="F38" s="18">
        <f ca="1">FantasyPts!I41</f>
        <v>10</v>
      </c>
      <c r="G38" s="18">
        <f>FantasyPts!J41</f>
        <v>1</v>
      </c>
      <c r="H38" s="19">
        <f ca="1">FantasyPts!K41</f>
        <v>322</v>
      </c>
    </row>
    <row r="39" spans="1:8" ht="12.75" customHeight="1" x14ac:dyDescent="0.3">
      <c r="A39" s="17" t="str">
        <f>FantasyPts!B42</f>
        <v>Mike Woodhouse</v>
      </c>
      <c r="B39" s="18">
        <f ca="1">FantasyPts!C42</f>
        <v>403</v>
      </c>
      <c r="C39" s="18">
        <f ca="1">FantasyPts!D42</f>
        <v>135</v>
      </c>
      <c r="D39" s="18">
        <f ca="1">FantasyPts!F42</f>
        <v>247</v>
      </c>
      <c r="E39" s="18">
        <f ca="1">FantasyPts!H42</f>
        <v>0</v>
      </c>
      <c r="F39" s="18">
        <f ca="1">FantasyPts!I42</f>
        <v>21</v>
      </c>
      <c r="G39" s="18">
        <f>FantasyPts!J42</f>
        <v>5</v>
      </c>
      <c r="H39" s="19">
        <f ca="1">FantasyPts!K42</f>
        <v>80.599999999999994</v>
      </c>
    </row>
    <row r="40" spans="1:8" ht="12.75" customHeight="1" x14ac:dyDescent="0.3">
      <c r="A40" s="17" t="str">
        <f>FantasyPts!B43</f>
        <v>Rick Worthington</v>
      </c>
      <c r="B40" s="18">
        <f ca="1">FantasyPts!C43</f>
        <v>582</v>
      </c>
      <c r="C40" s="18">
        <f ca="1">FantasyPts!D43</f>
        <v>110</v>
      </c>
      <c r="D40" s="18">
        <f ca="1">FantasyPts!F43</f>
        <v>398</v>
      </c>
      <c r="E40" s="18">
        <f ca="1">FantasyPts!H43</f>
        <v>5</v>
      </c>
      <c r="F40" s="18">
        <f ca="1">FantasyPts!I43</f>
        <v>69</v>
      </c>
      <c r="G40" s="18">
        <f>FantasyPts!J43</f>
        <v>5</v>
      </c>
      <c r="H40" s="19">
        <f ca="1">FantasyPts!K43</f>
        <v>116.4</v>
      </c>
    </row>
    <row r="41" spans="1:8" ht="12.75" customHeight="1" x14ac:dyDescent="0.3">
      <c r="A41" s="17" t="str">
        <f>FantasyPts!B44</f>
        <v>Jon Worthy</v>
      </c>
      <c r="B41" s="18">
        <f ca="1">FantasyPts!C44</f>
        <v>612</v>
      </c>
      <c r="C41" s="18">
        <f ca="1">FantasyPts!D44</f>
        <v>80</v>
      </c>
      <c r="D41" s="18">
        <f ca="1">FantasyPts!F44</f>
        <v>92</v>
      </c>
      <c r="E41" s="18">
        <f ca="1">FantasyPts!H44</f>
        <v>420</v>
      </c>
      <c r="F41" s="18">
        <f ca="1">FantasyPts!I44</f>
        <v>20</v>
      </c>
      <c r="G41" s="18">
        <f>FantasyPts!J44</f>
        <v>5</v>
      </c>
      <c r="H41" s="19">
        <f ca="1">FantasyPts!K44</f>
        <v>122.4</v>
      </c>
    </row>
    <row r="42" spans="1:8" ht="12.75" customHeight="1" x14ac:dyDescent="0.3">
      <c r="A42" s="17" t="str">
        <f>FantasyPts!B45</f>
        <v>Rob Worthy</v>
      </c>
      <c r="B42" s="18">
        <f ca="1">FantasyPts!C45</f>
        <v>322</v>
      </c>
      <c r="C42" s="18">
        <f ca="1">FantasyPts!D45</f>
        <v>50</v>
      </c>
      <c r="D42" s="18">
        <f ca="1">FantasyPts!F45</f>
        <v>63</v>
      </c>
      <c r="E42" s="18">
        <f ca="1">FantasyPts!H45</f>
        <v>209</v>
      </c>
      <c r="F42" s="18">
        <f ca="1">FantasyPts!I45</f>
        <v>0</v>
      </c>
      <c r="G42" s="18">
        <f>FantasyPts!J45</f>
        <v>5</v>
      </c>
      <c r="H42" s="19">
        <f ca="1">FantasyPts!K45</f>
        <v>64.400000000000006</v>
      </c>
    </row>
    <row r="43" spans="1:8" ht="12.75" customHeight="1" x14ac:dyDescent="0.3">
      <c r="A43" s="17" t="str">
        <f>FantasyPts!B46</f>
        <v>Bob Young</v>
      </c>
      <c r="B43" s="18">
        <f ca="1">FantasyPts!C46</f>
        <v>267</v>
      </c>
      <c r="C43" s="18">
        <f ca="1">FantasyPts!D46</f>
        <v>50</v>
      </c>
      <c r="D43" s="18">
        <f ca="1">FantasyPts!F46</f>
        <v>43</v>
      </c>
      <c r="E43" s="18">
        <f ca="1">FantasyPts!H46</f>
        <v>164</v>
      </c>
      <c r="F43" s="18">
        <f ca="1">FantasyPts!I46</f>
        <v>10</v>
      </c>
      <c r="G43" s="18">
        <f>FantasyPts!J46</f>
        <v>4</v>
      </c>
      <c r="H43" s="19">
        <f ca="1">FantasyPts!K46</f>
        <v>66.75</v>
      </c>
    </row>
    <row r="44" spans="1:8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8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8" ht="12.75" customHeight="1" x14ac:dyDescent="0.3">
      <c r="A46" s="17"/>
      <c r="B46" s="18"/>
      <c r="C46" s="18"/>
      <c r="D46" s="18"/>
      <c r="E46" s="18"/>
      <c r="F46" s="18"/>
      <c r="G46" s="18"/>
      <c r="H46" s="19"/>
    </row>
  </sheetData>
  <phoneticPr fontId="8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"/>
  <sheetViews>
    <sheetView workbookViewId="0"/>
  </sheetViews>
  <sheetFormatPr defaultColWidth="9" defaultRowHeight="12.75" x14ac:dyDescent="0.25"/>
  <cols>
    <col min="1" max="1" width="9.5703125" style="104" customWidth="1"/>
    <col min="2" max="2" width="30.28515625" style="103" customWidth="1"/>
    <col min="3" max="3" width="31.42578125" style="103" customWidth="1"/>
    <col min="4" max="4" width="9.7109375" style="104" customWidth="1"/>
    <col min="5" max="16384" width="9" style="103"/>
  </cols>
  <sheetData>
    <row r="1" spans="1:4" x14ac:dyDescent="0.25">
      <c r="A1" s="102" t="s">
        <v>1041</v>
      </c>
    </row>
    <row r="2" spans="1:4" x14ac:dyDescent="0.25">
      <c r="A2" s="102"/>
    </row>
    <row r="3" spans="1:4" ht="15" x14ac:dyDescent="0.3">
      <c r="A3" s="11"/>
      <c r="B3" s="12" t="s">
        <v>153</v>
      </c>
      <c r="C3" s="12" t="s">
        <v>154</v>
      </c>
      <c r="D3" s="11" t="s">
        <v>155</v>
      </c>
    </row>
    <row r="4" spans="1:4" ht="15" x14ac:dyDescent="0.3">
      <c r="A4" s="11">
        <f>'Fantasy Teams'!L45</f>
        <v>1</v>
      </c>
      <c r="B4" s="12" t="str">
        <f ca="1">'Fantasy Teams'!M45</f>
        <v>Lesley Leadley</v>
      </c>
      <c r="C4" s="12" t="str">
        <f ca="1">'Fantasy Teams'!N45</f>
        <v>Lesley's Lads</v>
      </c>
      <c r="D4" s="11">
        <f ca="1">'Fantasy Teams'!O45</f>
        <v>4835</v>
      </c>
    </row>
    <row r="5" spans="1:4" ht="15" x14ac:dyDescent="0.3">
      <c r="A5" s="11">
        <f>'Fantasy Teams'!L46</f>
        <v>2</v>
      </c>
      <c r="B5" s="12" t="str">
        <f ca="1">'Fantasy Teams'!M46</f>
        <v>Mike Hosking</v>
      </c>
      <c r="C5" s="12" t="str">
        <f ca="1">'Fantasy Teams'!N46</f>
        <v/>
      </c>
      <c r="D5" s="11">
        <f ca="1">'Fantasy Teams'!O46</f>
        <v>4539</v>
      </c>
    </row>
    <row r="6" spans="1:4" ht="15" x14ac:dyDescent="0.3">
      <c r="A6" s="11">
        <f>'Fantasy Teams'!L47</f>
        <v>3</v>
      </c>
      <c r="B6" s="12" t="str">
        <f ca="1">'Fantasy Teams'!M47</f>
        <v>John Leadley</v>
      </c>
      <c r="C6" s="12" t="str">
        <f ca="1">'Fantasy Teams'!N47</f>
        <v>Four-Star XI</v>
      </c>
      <c r="D6" s="11">
        <f ca="1">'Fantasy Teams'!O47</f>
        <v>4500</v>
      </c>
    </row>
    <row r="7" spans="1:4" ht="15" x14ac:dyDescent="0.3">
      <c r="A7" s="11">
        <f>'Fantasy Teams'!L48</f>
        <v>4</v>
      </c>
      <c r="B7" s="12" t="str">
        <f ca="1">'Fantasy Teams'!M48</f>
        <v>Colin Mander</v>
      </c>
      <c r="C7" s="12" t="str">
        <f ca="1">'Fantasy Teams'!N48</f>
        <v>The XI Cricketeers</v>
      </c>
      <c r="D7" s="11">
        <f ca="1">'Fantasy Teams'!O48</f>
        <v>4386</v>
      </c>
    </row>
    <row r="8" spans="1:4" ht="15" x14ac:dyDescent="0.3">
      <c r="A8" s="11">
        <f>'Fantasy Teams'!L49</f>
        <v>5</v>
      </c>
      <c r="B8" s="12" t="str">
        <f ca="1">'Fantasy Teams'!M49</f>
        <v>Luke Hickey</v>
      </c>
      <c r="C8" s="12" t="str">
        <f ca="1">'Fantasy Teams'!N49</f>
        <v>Lukey's 1st XI</v>
      </c>
      <c r="D8" s="11">
        <f ca="1">'Fantasy Teams'!O49</f>
        <v>4384</v>
      </c>
    </row>
    <row r="9" spans="1:4" ht="15" x14ac:dyDescent="0.3">
      <c r="A9" s="11">
        <f>'Fantasy Teams'!L50</f>
        <v>6</v>
      </c>
      <c r="B9" s="12" t="str">
        <f ca="1">'Fantasy Teams'!M50</f>
        <v>David Snow</v>
      </c>
      <c r="C9" s="12" t="str">
        <f ca="1">'Fantasy Teams'!N50</f>
        <v>Snowy's Select XI</v>
      </c>
      <c r="D9" s="11">
        <f ca="1">'Fantasy Teams'!O50</f>
        <v>4378</v>
      </c>
    </row>
    <row r="10" spans="1:4" ht="15" x14ac:dyDescent="0.3">
      <c r="A10" s="11">
        <f>'Fantasy Teams'!L51</f>
        <v>7</v>
      </c>
      <c r="B10" s="12" t="str">
        <f ca="1">'Fantasy Teams'!M51</f>
        <v>Mike Hosking</v>
      </c>
      <c r="C10" s="12" t="str">
        <f ca="1">'Fantasy Teams'!N51</f>
        <v/>
      </c>
      <c r="D10" s="11">
        <f ca="1">'Fantasy Teams'!O51</f>
        <v>4202</v>
      </c>
    </row>
    <row r="11" spans="1:4" ht="15" x14ac:dyDescent="0.3">
      <c r="A11" s="11">
        <f>'Fantasy Teams'!L52</f>
        <v>8</v>
      </c>
      <c r="B11" s="12" t="str">
        <f ca="1">'Fantasy Teams'!M52</f>
        <v>Jeff Lestrelle</v>
      </c>
      <c r="C11" s="12" t="str">
        <f ca="1">'Fantasy Teams'!N52</f>
        <v>Can He Hit The Ball?</v>
      </c>
      <c r="D11" s="11">
        <f ca="1">'Fantasy Teams'!O52</f>
        <v>4074</v>
      </c>
    </row>
    <row r="12" spans="1:4" ht="15" x14ac:dyDescent="0.3">
      <c r="A12" s="11">
        <f>'Fantasy Teams'!L53</f>
        <v>9</v>
      </c>
      <c r="B12" s="12" t="str">
        <f ca="1">'Fantasy Teams'!M53</f>
        <v>Neil Mander</v>
      </c>
      <c r="C12" s="12" t="str">
        <f ca="1">'Fantasy Teams'!N53</f>
        <v>Neil's Noballmen</v>
      </c>
      <c r="D12" s="11">
        <f ca="1">'Fantasy Teams'!O53</f>
        <v>4021</v>
      </c>
    </row>
    <row r="13" spans="1:4" ht="15" x14ac:dyDescent="0.3">
      <c r="A13" s="11">
        <f>'Fantasy Teams'!L54</f>
        <v>10</v>
      </c>
      <c r="B13" s="12" t="str">
        <f ca="1">'Fantasy Teams'!M54</f>
        <v>Geoff Cooper</v>
      </c>
      <c r="C13" s="12" t="str">
        <f ca="1">'Fantasy Teams'!N54</f>
        <v>Geoff's 2nds</v>
      </c>
      <c r="D13" s="11">
        <f ca="1">'Fantasy Teams'!O54</f>
        <v>4007</v>
      </c>
    </row>
    <row r="14" spans="1:4" ht="15" x14ac:dyDescent="0.3">
      <c r="A14" s="11">
        <f>'Fantasy Teams'!L55</f>
        <v>11</v>
      </c>
      <c r="B14" s="12" t="str">
        <f ca="1">'Fantasy Teams'!M55</f>
        <v>John Leadley</v>
      </c>
      <c r="C14" s="12" t="str">
        <f ca="1">'Fantasy Teams'!N55</f>
        <v>Unleaded XI</v>
      </c>
      <c r="D14" s="11">
        <f ca="1">'Fantasy Teams'!O55</f>
        <v>3992</v>
      </c>
    </row>
    <row r="15" spans="1:4" ht="15" x14ac:dyDescent="0.3">
      <c r="A15" s="11">
        <f>'Fantasy Teams'!L56</f>
        <v>12</v>
      </c>
      <c r="B15" s="12" t="str">
        <f ca="1">'Fantasy Teams'!M56</f>
        <v>Mike Woodhouse</v>
      </c>
      <c r="C15" s="12" t="str">
        <f ca="1">'Fantasy Teams'!N56</f>
        <v>Saturday's Kids</v>
      </c>
      <c r="D15" s="11">
        <f ca="1">'Fantasy Teams'!O56</f>
        <v>3963</v>
      </c>
    </row>
    <row r="16" spans="1:4" ht="15" x14ac:dyDescent="0.3">
      <c r="A16" s="11">
        <f>'Fantasy Teams'!L57</f>
        <v>13</v>
      </c>
      <c r="B16" s="12" t="str">
        <f ca="1">'Fantasy Teams'!M57</f>
        <v>Mike Woodhouse</v>
      </c>
      <c r="C16" s="12" t="str">
        <f ca="1">'Fantasy Teams'!N57</f>
        <v>Marooned!</v>
      </c>
      <c r="D16" s="11">
        <f ca="1">'Fantasy Teams'!O57</f>
        <v>3955</v>
      </c>
    </row>
    <row r="17" spans="1:4" ht="15" x14ac:dyDescent="0.3">
      <c r="A17" s="11">
        <f>'Fantasy Teams'!L58</f>
        <v>14</v>
      </c>
      <c r="B17" s="12" t="str">
        <f ca="1">'Fantasy Teams'!M58</f>
        <v>Vince Reid</v>
      </c>
      <c r="C17" s="12" t="str">
        <f ca="1">'Fantasy Teams'!N58</f>
        <v>It's Cricket Isn't It?</v>
      </c>
      <c r="D17" s="11">
        <f ca="1">'Fantasy Teams'!O58</f>
        <v>3907</v>
      </c>
    </row>
    <row r="18" spans="1:4" ht="15" x14ac:dyDescent="0.3">
      <c r="A18" s="11">
        <f>'Fantasy Teams'!L59</f>
        <v>15</v>
      </c>
      <c r="B18" s="12" t="str">
        <f ca="1">'Fantasy Teams'!M59</f>
        <v>Dave Morris</v>
      </c>
      <c r="C18" s="12" t="str">
        <f ca="1">'Fantasy Teams'!N59</f>
        <v>Strange Daze</v>
      </c>
      <c r="D18" s="11">
        <f ca="1">'Fantasy Teams'!O59</f>
        <v>3860</v>
      </c>
    </row>
    <row r="19" spans="1:4" ht="15" x14ac:dyDescent="0.3">
      <c r="A19" s="11">
        <f>'Fantasy Teams'!L60</f>
        <v>16</v>
      </c>
      <c r="B19" s="12" t="str">
        <f ca="1">'Fantasy Teams'!M60</f>
        <v>Mike Woodhouse</v>
      </c>
      <c r="C19" s="12" t="str">
        <f ca="1">'Fantasy Teams'!N60</f>
        <v>Got Any Cabbage?</v>
      </c>
      <c r="D19" s="11">
        <f ca="1">'Fantasy Teams'!O60</f>
        <v>3820</v>
      </c>
    </row>
    <row r="20" spans="1:4" ht="15" x14ac:dyDescent="0.3">
      <c r="A20" s="11">
        <f>'Fantasy Teams'!L61</f>
        <v>17</v>
      </c>
      <c r="B20" s="12" t="str">
        <f ca="1">'Fantasy Teams'!M61</f>
        <v>David Sharpe</v>
      </c>
      <c r="C20" s="12" t="str">
        <f ca="1">'Fantasy Teams'!N61</f>
        <v>Fantasy Fulfillers</v>
      </c>
      <c r="D20" s="11">
        <f ca="1">'Fantasy Teams'!O61</f>
        <v>3757</v>
      </c>
    </row>
    <row r="21" spans="1:4" ht="15" x14ac:dyDescent="0.3">
      <c r="A21" s="11">
        <f>'Fantasy Teams'!L62</f>
        <v>18</v>
      </c>
      <c r="B21" s="12" t="str">
        <f ca="1">'Fantasy Teams'!M62</f>
        <v>Geoff Cooper</v>
      </c>
      <c r="C21" s="12" t="str">
        <f ca="1">'Fantasy Teams'!N62</f>
        <v>Geoff's 1sts</v>
      </c>
      <c r="D21" s="11">
        <f ca="1">'Fantasy Teams'!O62</f>
        <v>3740</v>
      </c>
    </row>
    <row r="22" spans="1:4" ht="15" x14ac:dyDescent="0.3">
      <c r="A22" s="11">
        <f>'Fantasy Teams'!L63</f>
        <v>19</v>
      </c>
      <c r="B22" s="12" t="str">
        <f ca="1">'Fantasy Teams'!M63</f>
        <v>Lesley Leadley</v>
      </c>
      <c r="C22" s="12" t="str">
        <f ca="1">'Fantasy Teams'!N63</f>
        <v>Lesley's Boys</v>
      </c>
      <c r="D22" s="11">
        <f ca="1">'Fantasy Teams'!O63</f>
        <v>3718</v>
      </c>
    </row>
    <row r="23" spans="1:4" ht="15" x14ac:dyDescent="0.3">
      <c r="A23" s="11">
        <f>'Fantasy Teams'!L64</f>
        <v>20</v>
      </c>
      <c r="B23" s="12" t="str">
        <f ca="1">'Fantasy Teams'!M64</f>
        <v>Ted Dugdale</v>
      </c>
      <c r="C23" s="12" t="str">
        <f ca="1">'Fantasy Teams'!N64</f>
        <v/>
      </c>
      <c r="D23" s="11">
        <f ca="1">'Fantasy Teams'!O64</f>
        <v>3625</v>
      </c>
    </row>
    <row r="24" spans="1:4" ht="15" x14ac:dyDescent="0.3">
      <c r="A24" s="11">
        <f>'Fantasy Teams'!L65</f>
        <v>21</v>
      </c>
      <c r="B24" s="12" t="str">
        <f ca="1">'Fantasy Teams'!M65</f>
        <v>Glyn Angell</v>
      </c>
      <c r="C24" s="12" t="str">
        <f ca="1">'Fantasy Teams'!N65</f>
        <v/>
      </c>
      <c r="D24" s="11">
        <f ca="1">'Fantasy Teams'!O65</f>
        <v>3585</v>
      </c>
    </row>
    <row r="25" spans="1:4" ht="15" x14ac:dyDescent="0.3">
      <c r="A25" s="11">
        <f>'Fantasy Teams'!L66</f>
        <v>22</v>
      </c>
      <c r="B25" s="12" t="str">
        <f ca="1">'Fantasy Teams'!M66</f>
        <v>Alex Hamilton</v>
      </c>
      <c r="C25" s="12" t="str">
        <f ca="1">'Fantasy Teams'!N66</f>
        <v>Blessed Are The Cheesemakers</v>
      </c>
      <c r="D25" s="11">
        <f ca="1">'Fantasy Teams'!O66</f>
        <v>3530</v>
      </c>
    </row>
    <row r="26" spans="1:4" ht="15" x14ac:dyDescent="0.3">
      <c r="A26" s="11">
        <f>'Fantasy Teams'!L67</f>
        <v>23</v>
      </c>
      <c r="B26" s="12" t="str">
        <f ca="1">'Fantasy Teams'!M67</f>
        <v>Ted Dugdale</v>
      </c>
      <c r="C26" s="12" t="str">
        <f ca="1">'Fantasy Teams'!N67</f>
        <v/>
      </c>
      <c r="D26" s="11">
        <f ca="1">'Fantasy Teams'!O67</f>
        <v>3524</v>
      </c>
    </row>
    <row r="27" spans="1:4" ht="15" x14ac:dyDescent="0.3">
      <c r="A27" s="11">
        <f>'Fantasy Teams'!L68</f>
        <v>24</v>
      </c>
      <c r="B27" s="12" t="str">
        <f ca="1">'Fantasy Teams'!M68</f>
        <v>Vince Reid</v>
      </c>
      <c r="C27" s="12" t="str">
        <f ca="1">'Fantasy Teams'!N68</f>
        <v>Are They Still Alive?</v>
      </c>
      <c r="D27" s="11">
        <f ca="1">'Fantasy Teams'!O68</f>
        <v>3497</v>
      </c>
    </row>
    <row r="28" spans="1:4" ht="15" x14ac:dyDescent="0.3">
      <c r="A28" s="11">
        <f>'Fantasy Teams'!L69</f>
        <v>25</v>
      </c>
      <c r="B28" s="12" t="str">
        <f ca="1">'Fantasy Teams'!M69</f>
        <v>Mike Bowers</v>
      </c>
      <c r="C28" s="12" t="str">
        <f ca="1">'Fantasy Teams'!N69</f>
        <v>43 Seconds</v>
      </c>
      <c r="D28" s="11">
        <f ca="1">'Fantasy Teams'!O69</f>
        <v>3443</v>
      </c>
    </row>
    <row r="29" spans="1:4" ht="15" x14ac:dyDescent="0.3">
      <c r="A29" s="11">
        <f>'Fantasy Teams'!L70</f>
        <v>26</v>
      </c>
      <c r="B29" s="12" t="str">
        <f ca="1">'Fantasy Teams'!M70</f>
        <v>Del Shewan</v>
      </c>
      <c r="C29" s="12" t="str">
        <f ca="1">'Fantasy Teams'!N70</f>
        <v>Sultans Of Swang</v>
      </c>
      <c r="D29" s="11">
        <f ca="1">'Fantasy Teams'!O70</f>
        <v>3433</v>
      </c>
    </row>
    <row r="30" spans="1:4" ht="15" x14ac:dyDescent="0.3">
      <c r="A30" s="11">
        <f>'Fantasy Teams'!L71</f>
        <v>27</v>
      </c>
      <c r="B30" s="12" t="str">
        <f ca="1">'Fantasy Teams'!M71</f>
        <v>Del Shewan</v>
      </c>
      <c r="C30" s="12" t="str">
        <f ca="1">'Fantasy Teams'!N71</f>
        <v>Angry Beavers</v>
      </c>
      <c r="D30" s="11">
        <f ca="1">'Fantasy Teams'!O71</f>
        <v>3426</v>
      </c>
    </row>
    <row r="31" spans="1:4" ht="15" x14ac:dyDescent="0.3">
      <c r="A31" s="11">
        <f>'Fantasy Teams'!L72</f>
        <v>28</v>
      </c>
      <c r="B31" s="12" t="str">
        <f ca="1">'Fantasy Teams'!M72</f>
        <v>Paul Oakes</v>
      </c>
      <c r="C31" s="12" t="str">
        <f ca="1">'Fantasy Teams'!N72</f>
        <v>No Trophies Up North</v>
      </c>
      <c r="D31" s="11">
        <f ca="1">'Fantasy Teams'!O72</f>
        <v>3405</v>
      </c>
    </row>
    <row r="32" spans="1:4" ht="15" x14ac:dyDescent="0.3">
      <c r="A32" s="11">
        <f>'Fantasy Teams'!L73</f>
        <v>29</v>
      </c>
      <c r="B32" s="12" t="str">
        <f ca="1">'Fantasy Teams'!M73</f>
        <v>Mike Bowers</v>
      </c>
      <c r="C32" s="12" t="str">
        <f ca="1">'Fantasy Teams'!N73</f>
        <v>Bellybusters</v>
      </c>
      <c r="D32" s="11">
        <f ca="1">'Fantasy Teams'!O73</f>
        <v>3314</v>
      </c>
    </row>
    <row r="33" spans="1:4" ht="15" x14ac:dyDescent="0.3">
      <c r="A33" s="11">
        <f>'Fantasy Teams'!L74</f>
        <v>30</v>
      </c>
      <c r="B33" s="12" t="str">
        <f ca="1">'Fantasy Teams'!M74</f>
        <v>Sir Nicholas Boot</v>
      </c>
      <c r="C33" s="12" t="str">
        <f ca="1">'Fantasy Teams'!N74</f>
        <v/>
      </c>
      <c r="D33" s="11">
        <f ca="1">'Fantasy Teams'!O74</f>
        <v>3259</v>
      </c>
    </row>
    <row r="34" spans="1:4" ht="15" x14ac:dyDescent="0.3">
      <c r="A34" s="11">
        <f>'Fantasy Teams'!L75</f>
        <v>31</v>
      </c>
      <c r="B34" s="12" t="str">
        <f ca="1">'Fantasy Teams'!M75</f>
        <v>Andy Mander</v>
      </c>
      <c r="C34" s="12" t="str">
        <f ca="1">'Fantasy Teams'!N75</f>
        <v>Andy's Ardnuts</v>
      </c>
      <c r="D34" s="11">
        <f ca="1">'Fantasy Teams'!O75</f>
        <v>3221</v>
      </c>
    </row>
    <row r="35" spans="1:4" ht="15" x14ac:dyDescent="0.3">
      <c r="A35" s="11">
        <f>'Fantasy Teams'!L76</f>
        <v>32</v>
      </c>
      <c r="B35" s="12" t="str">
        <f ca="1">'Fantasy Teams'!M76</f>
        <v>Sue Dugdale</v>
      </c>
      <c r="C35" s="12" t="str">
        <f ca="1">'Fantasy Teams'!N76</f>
        <v/>
      </c>
      <c r="D35" s="11">
        <f ca="1">'Fantasy Teams'!O76</f>
        <v>3146</v>
      </c>
    </row>
    <row r="36" spans="1:4" ht="15" x14ac:dyDescent="0.3">
      <c r="A36" s="11">
        <f>'Fantasy Teams'!L77</f>
        <v>33</v>
      </c>
      <c r="B36" s="12" t="str">
        <f ca="1">'Fantasy Teams'!M77</f>
        <v>Luke Hickey</v>
      </c>
      <c r="C36" s="12" t="str">
        <f ca="1">'Fantasy Teams'!N77</f>
        <v>Lukey's 2nd XI</v>
      </c>
      <c r="D36" s="11">
        <f ca="1">'Fantasy Teams'!O77</f>
        <v>3142</v>
      </c>
    </row>
    <row r="37" spans="1:4" ht="15" x14ac:dyDescent="0.3">
      <c r="A37" s="11">
        <f>'Fantasy Teams'!L78</f>
        <v>34</v>
      </c>
      <c r="B37" s="12" t="str">
        <f ca="1">'Fantasy Teams'!M78</f>
        <v>Jeff Lestrelle</v>
      </c>
      <c r="C37" s="12" t="str">
        <f ca="1">'Fantasy Teams'!N78</f>
        <v/>
      </c>
      <c r="D37" s="11">
        <f ca="1">'Fantasy Teams'!O78</f>
        <v>3115</v>
      </c>
    </row>
    <row r="38" spans="1:4" ht="15" x14ac:dyDescent="0.3">
      <c r="A38" s="11">
        <f>'Fantasy Teams'!L79</f>
        <v>35</v>
      </c>
      <c r="B38" s="12" t="str">
        <f ca="1">'Fantasy Teams'!M79</f>
        <v>Del Shewan</v>
      </c>
      <c r="C38" s="12" t="str">
        <f ca="1">'Fantasy Teams'!N79</f>
        <v>Cambridge Or Bust</v>
      </c>
      <c r="D38" s="11">
        <f ca="1">'Fantasy Teams'!O79</f>
        <v>2882</v>
      </c>
    </row>
    <row r="39" spans="1:4" x14ac:dyDescent="0.15">
      <c r="A39" s="103"/>
      <c r="D39" s="103"/>
    </row>
    <row r="40" spans="1:4" x14ac:dyDescent="0.15">
      <c r="A40" s="103"/>
      <c r="D40" s="103"/>
    </row>
    <row r="41" spans="1:4" x14ac:dyDescent="0.15">
      <c r="A41" s="103"/>
      <c r="D41" s="103"/>
    </row>
    <row r="42" spans="1:4" x14ac:dyDescent="0.15">
      <c r="A42" s="103"/>
      <c r="D42" s="103"/>
    </row>
    <row r="43" spans="1:4" x14ac:dyDescent="0.15">
      <c r="A43" s="103"/>
      <c r="D43" s="103"/>
    </row>
  </sheetData>
  <phoneticPr fontId="8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NumFantTeams</vt:lpstr>
      <vt:lpstr>BatAves!Print_Area</vt:lpstr>
      <vt:lpstr>BowlAves!Print_Area</vt:lpstr>
      <vt:lpstr>Matches!Print_Area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Woodhouse</dc:creator>
  <cp:lastModifiedBy>Mike Woodhouse</cp:lastModifiedBy>
  <cp:lastPrinted>1998-11-08T18:57:20Z</cp:lastPrinted>
  <dcterms:created xsi:type="dcterms:W3CDTF">1995-07-17T18:41:11Z</dcterms:created>
  <dcterms:modified xsi:type="dcterms:W3CDTF">2023-11-20T15:47:38Z</dcterms:modified>
</cp:coreProperties>
</file>
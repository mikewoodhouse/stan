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648" firstSheet="1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Sheet3" sheetId="15" r:id="rId10"/>
    <sheet name="Sheet2" sheetId="14" r:id="rId11"/>
    <sheet name="Sheet1" sheetId="13" r:id="rId12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Batting!$D$61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Bowling!$A$1:$AR$32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3"/>
  </pivotCaches>
</workbook>
</file>

<file path=xl/calcChain.xml><?xml version="1.0" encoding="utf-8"?>
<calcChain xmlns="http://schemas.openxmlformats.org/spreadsheetml/2006/main">
  <c r="J35" i="13" l="1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CN32" i="3"/>
  <c r="CP32" i="3"/>
  <c r="CG32" i="3"/>
  <c r="CE32" i="3"/>
  <c r="CI32" i="3"/>
  <c r="CJ32" i="3"/>
  <c r="CH32" i="3"/>
  <c r="CO32" i="3"/>
  <c r="CQ32" i="3"/>
  <c r="CF32" i="3"/>
  <c r="CK32" i="3" l="1"/>
  <c r="CR32" i="3" s="1"/>
  <c r="CT32" i="3"/>
  <c r="CM32" i="3"/>
  <c r="CL32" i="3"/>
  <c r="CO31" i="3"/>
  <c r="CI31" i="3"/>
  <c r="CF31" i="3"/>
  <c r="CP31" i="3"/>
  <c r="CG31" i="3"/>
  <c r="CE31" i="3"/>
  <c r="CJ31" i="3"/>
  <c r="CQ31" i="3"/>
  <c r="CH31" i="3"/>
  <c r="CN31" i="3"/>
  <c r="CK31" i="3" l="1"/>
  <c r="CT31" i="3"/>
  <c r="CM31" i="3"/>
  <c r="CR31" i="3"/>
  <c r="CL31" i="3"/>
  <c r="CN30" i="3"/>
  <c r="CO30" i="3"/>
  <c r="CH30" i="3"/>
  <c r="CQ30" i="3"/>
  <c r="CP30" i="3"/>
  <c r="CI30" i="3"/>
  <c r="CF30" i="3"/>
  <c r="CE30" i="3"/>
  <c r="CJ30" i="3"/>
  <c r="CG30" i="3"/>
  <c r="CK30" i="3" l="1"/>
  <c r="CT30" i="3"/>
  <c r="CM30" i="3"/>
  <c r="CR30" i="3"/>
  <c r="CL30" i="3"/>
  <c r="CE29" i="3"/>
  <c r="CN29" i="3"/>
  <c r="CG29" i="3"/>
  <c r="CH29" i="3"/>
  <c r="CI29" i="3"/>
  <c r="CJ29" i="3"/>
  <c r="CQ29" i="3"/>
  <c r="CO29" i="3"/>
  <c r="CP29" i="3"/>
  <c r="CF29" i="3"/>
  <c r="CK29" i="3" l="1"/>
  <c r="CT29" i="3"/>
  <c r="CM29" i="3"/>
  <c r="CR29" i="3"/>
  <c r="CL29" i="3"/>
  <c r="CE28" i="3"/>
  <c r="CN28" i="3"/>
  <c r="CG28" i="3"/>
  <c r="CH28" i="3"/>
  <c r="CI28" i="3"/>
  <c r="CQ28" i="3"/>
  <c r="CO28" i="3"/>
  <c r="CP28" i="3"/>
  <c r="CF28" i="3"/>
  <c r="CJ28" i="3"/>
  <c r="CK28" i="3" l="1"/>
  <c r="CT28" i="3"/>
  <c r="CM28" i="3"/>
  <c r="CR28" i="3"/>
  <c r="CL28" i="3"/>
  <c r="CE27" i="3"/>
  <c r="CQ27" i="3"/>
  <c r="CG27" i="3"/>
  <c r="CH27" i="3"/>
  <c r="CI27" i="3"/>
  <c r="CJ27" i="3"/>
  <c r="CN27" i="3"/>
  <c r="CO27" i="3"/>
  <c r="CP27" i="3"/>
  <c r="CF27" i="3"/>
  <c r="CK27" i="3" l="1"/>
  <c r="CR27" i="3" s="1"/>
  <c r="CT27" i="3"/>
  <c r="CM27" i="3"/>
  <c r="CL27" i="3"/>
  <c r="CP26" i="3"/>
  <c r="CQ26" i="3"/>
  <c r="CG26" i="3"/>
  <c r="CF26" i="3"/>
  <c r="CJ26" i="3"/>
  <c r="CO26" i="3"/>
  <c r="CE26" i="3"/>
  <c r="CH26" i="3"/>
  <c r="CI26" i="3"/>
  <c r="CN26" i="3"/>
  <c r="CK26" i="3" l="1"/>
  <c r="CR26" i="3" s="1"/>
  <c r="CT26" i="3"/>
  <c r="CM26" i="3"/>
  <c r="CL26" i="3"/>
  <c r="CE25" i="3"/>
  <c r="CO25" i="3"/>
  <c r="CH25" i="3"/>
  <c r="CF25" i="3"/>
  <c r="CN25" i="3"/>
  <c r="CQ25" i="3"/>
  <c r="CG25" i="3"/>
  <c r="CJ25" i="3"/>
  <c r="CI25" i="3"/>
  <c r="CP25" i="3"/>
  <c r="CK25" i="3" l="1"/>
  <c r="CT25" i="3"/>
  <c r="CM25" i="3"/>
  <c r="CL25" i="3"/>
  <c r="CR25" i="3"/>
  <c r="CN24" i="3"/>
  <c r="CP24" i="3"/>
  <c r="CG24" i="3"/>
  <c r="CF24" i="3"/>
  <c r="CE24" i="3"/>
  <c r="CJ24" i="3"/>
  <c r="CI24" i="3"/>
  <c r="CQ24" i="3"/>
  <c r="CO24" i="3"/>
  <c r="CH24" i="3"/>
  <c r="CK24" i="3" l="1"/>
  <c r="CR24" i="3" s="1"/>
  <c r="CT24" i="3"/>
  <c r="CM24" i="3"/>
  <c r="CL24" i="3"/>
  <c r="CE23" i="3"/>
  <c r="CN23" i="3"/>
  <c r="CO23" i="3"/>
  <c r="CH23" i="3"/>
  <c r="CQ23" i="3"/>
  <c r="CG23" i="3"/>
  <c r="CF23" i="3"/>
  <c r="CP23" i="3"/>
  <c r="CJ23" i="3"/>
  <c r="CI23" i="3"/>
  <c r="CK23" i="3" l="1"/>
  <c r="CR23" i="3" s="1"/>
  <c r="CT23" i="3"/>
  <c r="CM23" i="3"/>
  <c r="CL23" i="3"/>
  <c r="CE22" i="3"/>
  <c r="CF22" i="3"/>
  <c r="CJ22" i="3"/>
  <c r="CH22" i="3"/>
  <c r="CI22" i="3"/>
  <c r="CO22" i="3"/>
  <c r="CQ22" i="3"/>
  <c r="CN22" i="3"/>
  <c r="CP22" i="3"/>
  <c r="CG22" i="3"/>
  <c r="CK22" i="3" l="1"/>
  <c r="CT22" i="3"/>
  <c r="CM22" i="3"/>
  <c r="CL22" i="3"/>
  <c r="CR22" i="3"/>
  <c r="CE21" i="3"/>
  <c r="CF21" i="3"/>
  <c r="CG21" i="3"/>
  <c r="CH21" i="3"/>
  <c r="CO21" i="3"/>
  <c r="CI21" i="3"/>
  <c r="CP21" i="3"/>
  <c r="CQ21" i="3"/>
  <c r="CJ21" i="3"/>
  <c r="CN21" i="3"/>
  <c r="CK21" i="3" l="1"/>
  <c r="CT21" i="3"/>
  <c r="CM21" i="3"/>
  <c r="CR21" i="3"/>
  <c r="CL21" i="3"/>
  <c r="CE20" i="3"/>
  <c r="CF20" i="3"/>
  <c r="CG20" i="3"/>
  <c r="CH20" i="3"/>
  <c r="CN20" i="3"/>
  <c r="CI20" i="3"/>
  <c r="CJ20" i="3"/>
  <c r="CO20" i="3"/>
  <c r="CP20" i="3"/>
  <c r="CQ20" i="3"/>
  <c r="CK20" i="3" l="1"/>
  <c r="CR20" i="3" s="1"/>
  <c r="CT20" i="3"/>
  <c r="CM20" i="3"/>
  <c r="CL20" i="3"/>
  <c r="CE19" i="3"/>
  <c r="CN19" i="3"/>
  <c r="CG19" i="3"/>
  <c r="CH19" i="3"/>
  <c r="CI19" i="3"/>
  <c r="CJ19" i="3"/>
  <c r="CO19" i="3"/>
  <c r="CF19" i="3"/>
  <c r="CQ19" i="3"/>
  <c r="CP19" i="3"/>
  <c r="CK19" i="3" l="1"/>
  <c r="CT19" i="3"/>
  <c r="CM19" i="3"/>
  <c r="CR19" i="3"/>
  <c r="CL19" i="3"/>
  <c r="CI18" i="3"/>
  <c r="CH18" i="3"/>
  <c r="CG18" i="3"/>
  <c r="CO18" i="3"/>
  <c r="CN18" i="3"/>
  <c r="CJ18" i="3"/>
  <c r="CP18" i="3"/>
  <c r="CQ18" i="3"/>
  <c r="CF18" i="3"/>
  <c r="CE18" i="3"/>
  <c r="CK18" i="3" l="1"/>
  <c r="CT18" i="3"/>
  <c r="CM18" i="3"/>
  <c r="CL18" i="3"/>
  <c r="CR18" i="3"/>
  <c r="CE17" i="3"/>
  <c r="CO17" i="3"/>
  <c r="CG17" i="3"/>
  <c r="CN17" i="3"/>
  <c r="CH17" i="3"/>
  <c r="CQ17" i="3"/>
  <c r="CI17" i="3"/>
  <c r="CF17" i="3"/>
  <c r="CJ17" i="3"/>
  <c r="CP17" i="3"/>
  <c r="CK17" i="3" l="1"/>
  <c r="CR17" i="3" s="1"/>
  <c r="CT17" i="3"/>
  <c r="CM17" i="3"/>
  <c r="CL17" i="3"/>
  <c r="CO16" i="3"/>
  <c r="CG16" i="3"/>
  <c r="CP16" i="3"/>
  <c r="CF16" i="3"/>
  <c r="CJ16" i="3"/>
  <c r="CE16" i="3"/>
  <c r="CI16" i="3"/>
  <c r="CN16" i="3"/>
  <c r="CH16" i="3"/>
  <c r="CQ16" i="3"/>
  <c r="CK16" i="3" l="1"/>
  <c r="CT16" i="3"/>
  <c r="CM16" i="3"/>
  <c r="CL16" i="3"/>
  <c r="CR16" i="3"/>
  <c r="CI15" i="3"/>
  <c r="CN15" i="3"/>
  <c r="CQ15" i="3"/>
  <c r="CO15" i="3"/>
  <c r="CF15" i="3"/>
  <c r="CG15" i="3"/>
  <c r="CP15" i="3"/>
  <c r="CJ15" i="3"/>
  <c r="CE15" i="3"/>
  <c r="CH15" i="3"/>
  <c r="CK15" i="3" l="1"/>
  <c r="CR15" i="3" s="1"/>
  <c r="CT15" i="3"/>
  <c r="CM15" i="3"/>
  <c r="CL15" i="3"/>
  <c r="B41" i="3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P37" i="2" l="1" a="1"/>
  <c r="CP37" i="2" s="1"/>
  <c r="CO37" i="2" a="1"/>
  <c r="CO37" i="2" s="1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X78" i="3"/>
  <c r="AH77" i="3"/>
  <c r="AR73" i="3"/>
  <c r="L73" i="3"/>
  <c r="V72" i="3"/>
  <c r="AF70" i="3"/>
  <c r="AP69" i="3"/>
  <c r="AM78" i="3"/>
  <c r="G78" i="3"/>
  <c r="Q77" i="3"/>
  <c r="AA73" i="3"/>
  <c r="AK72" i="3"/>
  <c r="E72" i="3"/>
  <c r="O70" i="3"/>
  <c r="Y69" i="3"/>
  <c r="AI68" i="3"/>
  <c r="C68" i="3"/>
  <c r="M67" i="3"/>
  <c r="Z68" i="3"/>
  <c r="D67" i="3"/>
  <c r="J66" i="3"/>
  <c r="T65" i="3"/>
  <c r="AD64" i="3"/>
  <c r="AN63" i="3"/>
  <c r="H63" i="3"/>
  <c r="R62" i="3"/>
  <c r="AB61" i="3"/>
  <c r="AL60" i="3"/>
  <c r="F60" i="3"/>
  <c r="P59" i="3"/>
  <c r="Z58" i="3"/>
  <c r="AL78" i="3"/>
  <c r="F78" i="3"/>
  <c r="P77" i="3"/>
  <c r="Z73" i="3"/>
  <c r="AJ72" i="3"/>
  <c r="D72" i="3"/>
  <c r="N70" i="3"/>
  <c r="X69" i="3"/>
  <c r="U78" i="3"/>
  <c r="AE77" i="3"/>
  <c r="AO73" i="3"/>
  <c r="I73" i="3"/>
  <c r="S72" i="3"/>
  <c r="AC70" i="3"/>
  <c r="AM69" i="3"/>
  <c r="G69" i="3"/>
  <c r="Q68" i="3"/>
  <c r="AA67" i="3"/>
  <c r="L69" i="3"/>
  <c r="AF67" i="3"/>
  <c r="X66" i="3"/>
  <c r="AH65" i="3"/>
  <c r="AR64" i="3"/>
  <c r="L64" i="3"/>
  <c r="V63" i="3"/>
  <c r="AF62" i="3"/>
  <c r="AP61" i="3"/>
  <c r="J61" i="3"/>
  <c r="T60" i="3"/>
  <c r="AD59" i="3"/>
  <c r="AN58" i="3"/>
  <c r="H58" i="3"/>
  <c r="AJ78" i="3"/>
  <c r="D78" i="3"/>
  <c r="N77" i="3"/>
  <c r="X73" i="3"/>
  <c r="AH72" i="3"/>
  <c r="AR70" i="3"/>
  <c r="L70" i="3"/>
  <c r="V69" i="3"/>
  <c r="S78" i="3"/>
  <c r="AC77" i="3"/>
  <c r="AM73" i="3"/>
  <c r="G73" i="3"/>
  <c r="Q72" i="3"/>
  <c r="AA70" i="3"/>
  <c r="AK69" i="3"/>
  <c r="E69" i="3"/>
  <c r="O68" i="3"/>
  <c r="Y67" i="3"/>
  <c r="H69" i="3"/>
  <c r="AB67" i="3"/>
  <c r="V66" i="3"/>
  <c r="AF65" i="3"/>
  <c r="AP64" i="3"/>
  <c r="J64" i="3"/>
  <c r="T63" i="3"/>
  <c r="AD62" i="3"/>
  <c r="AN61" i="3"/>
  <c r="H61" i="3"/>
  <c r="R60" i="3"/>
  <c r="AB59" i="3"/>
  <c r="V73" i="3"/>
  <c r="T69" i="3"/>
  <c r="E73" i="3"/>
  <c r="C69" i="3"/>
  <c r="X67" i="3"/>
  <c r="H64" i="3"/>
  <c r="F61" i="3"/>
  <c r="AJ58" i="3"/>
  <c r="N73" i="3"/>
  <c r="AO78" i="3"/>
  <c r="AM72" i="3"/>
  <c r="AK68" i="3"/>
  <c r="H67" i="3"/>
  <c r="AP63" i="3"/>
  <c r="AN60" i="3"/>
  <c r="AD58" i="3"/>
  <c r="V57" i="3"/>
  <c r="AF56" i="3"/>
  <c r="AP55" i="3"/>
  <c r="AP67" i="3"/>
  <c r="AC66" i="3"/>
  <c r="AM65" i="3"/>
  <c r="G65" i="3"/>
  <c r="Q64" i="3"/>
  <c r="AA63" i="3"/>
  <c r="AK62" i="3"/>
  <c r="E62" i="3"/>
  <c r="O61" i="3"/>
  <c r="Y60" i="3"/>
  <c r="AI59" i="3"/>
  <c r="C59" i="3"/>
  <c r="M58" i="3"/>
  <c r="P78" i="3"/>
  <c r="Z77" i="3"/>
  <c r="AJ73" i="3"/>
  <c r="D73" i="3"/>
  <c r="N72" i="3"/>
  <c r="X70" i="3"/>
  <c r="AH69" i="3"/>
  <c r="AE78" i="3"/>
  <c r="AO77" i="3"/>
  <c r="I77" i="3"/>
  <c r="S73" i="3"/>
  <c r="AC72" i="3"/>
  <c r="AM70" i="3"/>
  <c r="G70" i="3"/>
  <c r="Q69" i="3"/>
  <c r="AA68" i="3"/>
  <c r="AK67" i="3"/>
  <c r="E67" i="3"/>
  <c r="J68" i="3"/>
  <c r="AH66" i="3"/>
  <c r="AR65" i="3"/>
  <c r="L65" i="3"/>
  <c r="V64" i="3"/>
  <c r="AF63" i="3"/>
  <c r="AP62" i="3"/>
  <c r="J62" i="3"/>
  <c r="T61" i="3"/>
  <c r="AD60" i="3"/>
  <c r="AN59" i="3"/>
  <c r="H59" i="3"/>
  <c r="R58" i="3"/>
  <c r="AD78" i="3"/>
  <c r="AN77" i="3"/>
  <c r="H77" i="3"/>
  <c r="R73" i="3"/>
  <c r="AB72" i="3"/>
  <c r="AL70" i="3"/>
  <c r="F70" i="3"/>
  <c r="P69" i="3"/>
  <c r="M78" i="3"/>
  <c r="W77" i="3"/>
  <c r="AG73" i="3"/>
  <c r="AQ72" i="3"/>
  <c r="K72" i="3"/>
  <c r="U70" i="3"/>
  <c r="AE69" i="3"/>
  <c r="AO68" i="3"/>
  <c r="I68" i="3"/>
  <c r="S67" i="3"/>
  <c r="AL68" i="3"/>
  <c r="P67" i="3"/>
  <c r="P66" i="3"/>
  <c r="Z65" i="3"/>
  <c r="AJ64" i="3"/>
  <c r="D64" i="3"/>
  <c r="N63" i="3"/>
  <c r="X62" i="3"/>
  <c r="AH61" i="3"/>
  <c r="AR60" i="3"/>
  <c r="L60" i="3"/>
  <c r="V59" i="3"/>
  <c r="AF58" i="3"/>
  <c r="AP57" i="3"/>
  <c r="AB78" i="3"/>
  <c r="AL77" i="3"/>
  <c r="F77" i="3"/>
  <c r="P73" i="3"/>
  <c r="Z72" i="3"/>
  <c r="AJ70" i="3"/>
  <c r="D70" i="3"/>
  <c r="AQ78" i="3"/>
  <c r="K78" i="3"/>
  <c r="U77" i="3"/>
  <c r="AE73" i="3"/>
  <c r="AO72" i="3"/>
  <c r="I72" i="3"/>
  <c r="S70" i="3"/>
  <c r="AC69" i="3"/>
  <c r="AM68" i="3"/>
  <c r="G68" i="3"/>
  <c r="Q67" i="3"/>
  <c r="AH68" i="3"/>
  <c r="L67" i="3"/>
  <c r="N66" i="3"/>
  <c r="X65" i="3"/>
  <c r="AH64" i="3"/>
  <c r="AR63" i="3"/>
  <c r="L63" i="3"/>
  <c r="V62" i="3"/>
  <c r="AF61" i="3"/>
  <c r="AP60" i="3"/>
  <c r="J60" i="3"/>
  <c r="AH78" i="3"/>
  <c r="AF72" i="3"/>
  <c r="Q78" i="3"/>
  <c r="O72" i="3"/>
  <c r="M68" i="3"/>
  <c r="T66" i="3"/>
  <c r="R63" i="3"/>
  <c r="P60" i="3"/>
  <c r="Z78" i="3"/>
  <c r="X72" i="3"/>
  <c r="I78" i="3"/>
  <c r="G72" i="3"/>
  <c r="E68" i="3"/>
  <c r="L66" i="3"/>
  <c r="J63" i="3"/>
  <c r="H60" i="3"/>
  <c r="N58" i="3"/>
  <c r="N57" i="3"/>
  <c r="X56" i="3"/>
  <c r="F69" i="3"/>
  <c r="Z67" i="3"/>
  <c r="U66" i="3"/>
  <c r="AE65" i="3"/>
  <c r="AO64" i="3"/>
  <c r="I64" i="3"/>
  <c r="S63" i="3"/>
  <c r="AC62" i="3"/>
  <c r="AM61" i="3"/>
  <c r="G61" i="3"/>
  <c r="Q60" i="3"/>
  <c r="AA59" i="3"/>
  <c r="AK58" i="3"/>
  <c r="E58" i="3"/>
  <c r="AN78" i="3"/>
  <c r="H78" i="3"/>
  <c r="R77" i="3"/>
  <c r="AB73" i="3"/>
  <c r="AL72" i="3"/>
  <c r="F72" i="3"/>
  <c r="P70" i="3"/>
  <c r="Z69" i="3"/>
  <c r="W78" i="3"/>
  <c r="AG77" i="3"/>
  <c r="AQ73" i="3"/>
  <c r="K73" i="3"/>
  <c r="U72" i="3"/>
  <c r="AE70" i="3"/>
  <c r="AO69" i="3"/>
  <c r="I69" i="3"/>
  <c r="S68" i="3"/>
  <c r="AC67" i="3"/>
  <c r="AM66" i="3"/>
  <c r="AJ67" i="3"/>
  <c r="Z66" i="3"/>
  <c r="AJ65" i="3"/>
  <c r="D65" i="3"/>
  <c r="N64" i="3"/>
  <c r="X63" i="3"/>
  <c r="AH62" i="3"/>
  <c r="AR61" i="3"/>
  <c r="L61" i="3"/>
  <c r="V60" i="3"/>
  <c r="AF59" i="3"/>
  <c r="AP58" i="3"/>
  <c r="J58" i="3"/>
  <c r="V78" i="3"/>
  <c r="AF77" i="3"/>
  <c r="AP73" i="3"/>
  <c r="J73" i="3"/>
  <c r="T72" i="3"/>
  <c r="AD70" i="3"/>
  <c r="AN69" i="3"/>
  <c r="AK78" i="3"/>
  <c r="E78" i="3"/>
  <c r="O77" i="3"/>
  <c r="Y73" i="3"/>
  <c r="AI72" i="3"/>
  <c r="C72" i="3"/>
  <c r="M70" i="3"/>
  <c r="W69" i="3"/>
  <c r="AG68" i="3"/>
  <c r="AQ67" i="3"/>
  <c r="K67" i="3"/>
  <c r="V68" i="3"/>
  <c r="AP66" i="3"/>
  <c r="H66" i="3"/>
  <c r="R65" i="3"/>
  <c r="AB64" i="3"/>
  <c r="AL63" i="3"/>
  <c r="F63" i="3"/>
  <c r="P62" i="3"/>
  <c r="Z61" i="3"/>
  <c r="AJ60" i="3"/>
  <c r="D60" i="3"/>
  <c r="N59" i="3"/>
  <c r="X58" i="3"/>
  <c r="AH57" i="3"/>
  <c r="T78" i="3"/>
  <c r="AD77" i="3"/>
  <c r="AN73" i="3"/>
  <c r="H73" i="3"/>
  <c r="R72" i="3"/>
  <c r="AB70" i="3"/>
  <c r="AL69" i="3"/>
  <c r="AI78" i="3"/>
  <c r="C78" i="3"/>
  <c r="M77" i="3"/>
  <c r="W73" i="3"/>
  <c r="AG72" i="3"/>
  <c r="AQ70" i="3"/>
  <c r="K70" i="3"/>
  <c r="U69" i="3"/>
  <c r="AE68" i="3"/>
  <c r="AO67" i="3"/>
  <c r="I67" i="3"/>
  <c r="R68" i="3"/>
  <c r="AL66" i="3"/>
  <c r="F66" i="3"/>
  <c r="P65" i="3"/>
  <c r="Z64" i="3"/>
  <c r="AJ63" i="3"/>
  <c r="D63" i="3"/>
  <c r="N62" i="3"/>
  <c r="X61" i="3"/>
  <c r="AH60" i="3"/>
  <c r="AR59" i="3"/>
  <c r="AR77" i="3"/>
  <c r="AP70" i="3"/>
  <c r="AA77" i="3"/>
  <c r="Y70" i="3"/>
  <c r="W67" i="3"/>
  <c r="AD65" i="3"/>
  <c r="AB62" i="3"/>
  <c r="Z59" i="3"/>
  <c r="AJ77" i="3"/>
  <c r="AH70" i="3"/>
  <c r="S77" i="3"/>
  <c r="Q70" i="3"/>
  <c r="O67" i="3"/>
  <c r="V65" i="3"/>
  <c r="T62" i="3"/>
  <c r="T59" i="3"/>
  <c r="AN57" i="3"/>
  <c r="F57" i="3"/>
  <c r="P56" i="3"/>
  <c r="AF68" i="3"/>
  <c r="J67" i="3"/>
  <c r="M66" i="3"/>
  <c r="W65" i="3"/>
  <c r="AG64" i="3"/>
  <c r="AQ63" i="3"/>
  <c r="K63" i="3"/>
  <c r="U62" i="3"/>
  <c r="AE61" i="3"/>
  <c r="AO60" i="3"/>
  <c r="I60" i="3"/>
  <c r="S59" i="3"/>
  <c r="AC58" i="3"/>
  <c r="AM57" i="3"/>
  <c r="AF78" i="3"/>
  <c r="AP77" i="3"/>
  <c r="J77" i="3"/>
  <c r="T73" i="3"/>
  <c r="AD72" i="3"/>
  <c r="AN70" i="3"/>
  <c r="H70" i="3"/>
  <c r="R69" i="3"/>
  <c r="O78" i="3"/>
  <c r="Y77" i="3"/>
  <c r="AI73" i="3"/>
  <c r="C73" i="3"/>
  <c r="M72" i="3"/>
  <c r="W70" i="3"/>
  <c r="AG69" i="3"/>
  <c r="AQ68" i="3"/>
  <c r="K68" i="3"/>
  <c r="U67" i="3"/>
  <c r="AP68" i="3"/>
  <c r="T67" i="3"/>
  <c r="R66" i="3"/>
  <c r="AB65" i="3"/>
  <c r="AL64" i="3"/>
  <c r="F64" i="3"/>
  <c r="P63" i="3"/>
  <c r="Z62" i="3"/>
  <c r="AJ61" i="3"/>
  <c r="D61" i="3"/>
  <c r="N60" i="3"/>
  <c r="X59" i="3"/>
  <c r="AH58" i="3"/>
  <c r="AR57" i="3"/>
  <c r="N78" i="3"/>
  <c r="X77" i="3"/>
  <c r="AH73" i="3"/>
  <c r="AR72" i="3"/>
  <c r="L72" i="3"/>
  <c r="V70" i="3"/>
  <c r="AF69" i="3"/>
  <c r="AC78" i="3"/>
  <c r="AM77" i="3"/>
  <c r="G77" i="3"/>
  <c r="Q73" i="3"/>
  <c r="AA72" i="3"/>
  <c r="AK70" i="3"/>
  <c r="E70" i="3"/>
  <c r="O69" i="3"/>
  <c r="Y68" i="3"/>
  <c r="AI67" i="3"/>
  <c r="C67" i="3"/>
  <c r="F68" i="3"/>
  <c r="AF66" i="3"/>
  <c r="AP65" i="3"/>
  <c r="J65" i="3"/>
  <c r="T64" i="3"/>
  <c r="AD63" i="3"/>
  <c r="AN62" i="3"/>
  <c r="H62" i="3"/>
  <c r="R61" i="3"/>
  <c r="AB60" i="3"/>
  <c r="AL59" i="3"/>
  <c r="F59" i="3"/>
  <c r="P58" i="3"/>
  <c r="AR78" i="3"/>
  <c r="L78" i="3"/>
  <c r="V77" i="3"/>
  <c r="AF73" i="3"/>
  <c r="AP72" i="3"/>
  <c r="J72" i="3"/>
  <c r="T70" i="3"/>
  <c r="AD69" i="3"/>
  <c r="AA78" i="3"/>
  <c r="AK77" i="3"/>
  <c r="E77" i="3"/>
  <c r="O73" i="3"/>
  <c r="Y72" i="3"/>
  <c r="AI70" i="3"/>
  <c r="C70" i="3"/>
  <c r="M69" i="3"/>
  <c r="W68" i="3"/>
  <c r="AG67" i="3"/>
  <c r="AQ66" i="3"/>
  <c r="AR67" i="3"/>
  <c r="AD66" i="3"/>
  <c r="AN65" i="3"/>
  <c r="H65" i="3"/>
  <c r="R64" i="3"/>
  <c r="AB63" i="3"/>
  <c r="AL62" i="3"/>
  <c r="F62" i="3"/>
  <c r="P61" i="3"/>
  <c r="Z60" i="3"/>
  <c r="AJ59" i="3"/>
  <c r="L77" i="3"/>
  <c r="J70" i="3"/>
  <c r="AK73" i="3"/>
  <c r="AI69" i="3"/>
  <c r="D69" i="3"/>
  <c r="AN64" i="3"/>
  <c r="AL61" i="3"/>
  <c r="J59" i="3"/>
  <c r="D77" i="3"/>
  <c r="AR69" i="3"/>
  <c r="AC73" i="3"/>
  <c r="AA69" i="3"/>
  <c r="AD68" i="3"/>
  <c r="AF64" i="3"/>
  <c r="AD61" i="3"/>
  <c r="D59" i="3"/>
  <c r="AD57" i="3"/>
  <c r="AN56" i="3"/>
  <c r="H56" i="3"/>
  <c r="P68" i="3"/>
  <c r="AK66" i="3"/>
  <c r="E66" i="3"/>
  <c r="O65" i="3"/>
  <c r="Y64" i="3"/>
  <c r="AI63" i="3"/>
  <c r="C63" i="3"/>
  <c r="M62" i="3"/>
  <c r="W61" i="3"/>
  <c r="AG60" i="3"/>
  <c r="AQ59" i="3"/>
  <c r="K59" i="3"/>
  <c r="U58" i="3"/>
  <c r="AE57" i="3"/>
  <c r="AO56" i="3"/>
  <c r="W57" i="3"/>
  <c r="Y56" i="3"/>
  <c r="AI55" i="3"/>
  <c r="C55" i="3"/>
  <c r="AL54" i="3"/>
  <c r="D54" i="3"/>
  <c r="N53" i="3"/>
  <c r="X52" i="3"/>
  <c r="AH51" i="3"/>
  <c r="AR50" i="3"/>
  <c r="R78" i="3"/>
  <c r="P72" i="3"/>
  <c r="AQ77" i="3"/>
  <c r="AO70" i="3"/>
  <c r="AM67" i="3"/>
  <c r="D66" i="3"/>
  <c r="AR62" i="3"/>
  <c r="AP59" i="3"/>
  <c r="L58" i="3"/>
  <c r="L57" i="3"/>
  <c r="V56" i="3"/>
  <c r="AR68" i="3"/>
  <c r="V67" i="3"/>
  <c r="S66" i="3"/>
  <c r="AC65" i="3"/>
  <c r="AM64" i="3"/>
  <c r="G64" i="3"/>
  <c r="Q63" i="3"/>
  <c r="AA62" i="3"/>
  <c r="AK61" i="3"/>
  <c r="E61" i="3"/>
  <c r="O60" i="3"/>
  <c r="Y59" i="3"/>
  <c r="AI58" i="3"/>
  <c r="C58" i="3"/>
  <c r="M57" i="3"/>
  <c r="W56" i="3"/>
  <c r="AG55" i="3"/>
  <c r="AQ54" i="3"/>
  <c r="AH54" i="3"/>
  <c r="AR53" i="3"/>
  <c r="L53" i="3"/>
  <c r="AN72" i="3"/>
  <c r="AB66" i="3"/>
  <c r="AJ57" i="3"/>
  <c r="L56" i="3"/>
  <c r="AR66" i="3"/>
  <c r="S65" i="3"/>
  <c r="AM63" i="3"/>
  <c r="Q62" i="3"/>
  <c r="AK60" i="3"/>
  <c r="O59" i="3"/>
  <c r="AI57" i="3"/>
  <c r="M56" i="3"/>
  <c r="AJ55" i="3"/>
  <c r="AH53" i="3"/>
  <c r="T52" i="3"/>
  <c r="T51" i="3"/>
  <c r="R50" i="3"/>
  <c r="AB49" i="3"/>
  <c r="AL48" i="3"/>
  <c r="F48" i="3"/>
  <c r="P47" i="3"/>
  <c r="Z46" i="3"/>
  <c r="AJ45" i="3"/>
  <c r="D45" i="3"/>
  <c r="N44" i="3"/>
  <c r="X43" i="3"/>
  <c r="AF42" i="3"/>
  <c r="J55" i="3"/>
  <c r="K54" i="3"/>
  <c r="U53" i="3"/>
  <c r="AE52" i="3"/>
  <c r="AO51" i="3"/>
  <c r="AI77" i="3"/>
  <c r="AJ62" i="3"/>
  <c r="P57" i="3"/>
  <c r="J69" i="3"/>
  <c r="W66" i="3"/>
  <c r="AQ64" i="3"/>
  <c r="U63" i="3"/>
  <c r="AO61" i="3"/>
  <c r="S60" i="3"/>
  <c r="AM58" i="3"/>
  <c r="Q57" i="3"/>
  <c r="AK55" i="3"/>
  <c r="AP54" i="3"/>
  <c r="P53" i="3"/>
  <c r="F52" i="3"/>
  <c r="F51" i="3"/>
  <c r="H50" i="3"/>
  <c r="R49" i="3"/>
  <c r="AB48" i="3"/>
  <c r="AL47" i="3"/>
  <c r="F47" i="3"/>
  <c r="P46" i="3"/>
  <c r="Z45" i="3"/>
  <c r="AJ44" i="3"/>
  <c r="D44" i="3"/>
  <c r="N43" i="3"/>
  <c r="L42" i="3"/>
  <c r="AG54" i="3"/>
  <c r="AQ53" i="3"/>
  <c r="K53" i="3"/>
  <c r="U52" i="3"/>
  <c r="AE51" i="3"/>
  <c r="AO50" i="3"/>
  <c r="I50" i="3"/>
  <c r="S49" i="3"/>
  <c r="AC48" i="3"/>
  <c r="AM47" i="3"/>
  <c r="G47" i="3"/>
  <c r="Q46" i="3"/>
  <c r="AA45" i="3"/>
  <c r="AK44" i="3"/>
  <c r="E44" i="3"/>
  <c r="O43" i="3"/>
  <c r="Y42" i="3"/>
  <c r="AH42" i="3"/>
  <c r="O46" i="3"/>
  <c r="I45" i="3"/>
  <c r="AQ69" i="3"/>
  <c r="L59" i="3"/>
  <c r="AJ56" i="3"/>
  <c r="H68" i="3"/>
  <c r="AQ65" i="3"/>
  <c r="U64" i="3"/>
  <c r="O57" i="3"/>
  <c r="Q56" i="3"/>
  <c r="AA55" i="3"/>
  <c r="AK54" i="3"/>
  <c r="AB54" i="3"/>
  <c r="AL53" i="3"/>
  <c r="F53" i="3"/>
  <c r="P52" i="3"/>
  <c r="Z51" i="3"/>
  <c r="AJ50" i="3"/>
  <c r="AB77" i="3"/>
  <c r="Z70" i="3"/>
  <c r="K77" i="3"/>
  <c r="I70" i="3"/>
  <c r="G67" i="3"/>
  <c r="N65" i="3"/>
  <c r="L62" i="3"/>
  <c r="R59" i="3"/>
  <c r="AL57" i="3"/>
  <c r="D57" i="3"/>
  <c r="N56" i="3"/>
  <c r="AB68" i="3"/>
  <c r="F67" i="3"/>
  <c r="K66" i="3"/>
  <c r="U65" i="3"/>
  <c r="AE64" i="3"/>
  <c r="AO63" i="3"/>
  <c r="I63" i="3"/>
  <c r="S62" i="3"/>
  <c r="AC61" i="3"/>
  <c r="AM60" i="3"/>
  <c r="G60" i="3"/>
  <c r="Q59" i="3"/>
  <c r="AA58" i="3"/>
  <c r="AK57" i="3"/>
  <c r="E57" i="3"/>
  <c r="O56" i="3"/>
  <c r="Y55" i="3"/>
  <c r="AI54" i="3"/>
  <c r="Z54" i="3"/>
  <c r="AJ53" i="3"/>
  <c r="D53" i="3"/>
  <c r="Y78" i="3"/>
  <c r="Z63" i="3"/>
  <c r="R57" i="3"/>
  <c r="N69" i="3"/>
  <c r="Y66" i="3"/>
  <c r="C65" i="3"/>
  <c r="W63" i="3"/>
  <c r="AQ61" i="3"/>
  <c r="U60" i="3"/>
  <c r="AO58" i="3"/>
  <c r="S57" i="3"/>
  <c r="AM55" i="3"/>
  <c r="D55" i="3"/>
  <c r="R53" i="3"/>
  <c r="J52" i="3"/>
  <c r="H51" i="3"/>
  <c r="J50" i="3"/>
  <c r="T49" i="3"/>
  <c r="AD48" i="3"/>
  <c r="AN47" i="3"/>
  <c r="H47" i="3"/>
  <c r="R46" i="3"/>
  <c r="AB45" i="3"/>
  <c r="AL44" i="3"/>
  <c r="F44" i="3"/>
  <c r="P43" i="3"/>
  <c r="P42" i="3"/>
  <c r="AJ54" i="3"/>
  <c r="C54" i="3"/>
  <c r="M53" i="3"/>
  <c r="W52" i="3"/>
  <c r="AG51" i="3"/>
  <c r="AG70" i="3"/>
  <c r="AH59" i="3"/>
  <c r="AP56" i="3"/>
  <c r="T68" i="3"/>
  <c r="G66" i="3"/>
  <c r="AA64" i="3"/>
  <c r="E63" i="3"/>
  <c r="Y61" i="3"/>
  <c r="C60" i="3"/>
  <c r="W58" i="3"/>
  <c r="AQ56" i="3"/>
  <c r="U55" i="3"/>
  <c r="V54" i="3"/>
  <c r="AP52" i="3"/>
  <c r="AL51" i="3"/>
  <c r="AL50" i="3"/>
  <c r="AP49" i="3"/>
  <c r="J49" i="3"/>
  <c r="T48" i="3"/>
  <c r="AD47" i="3"/>
  <c r="AN46" i="3"/>
  <c r="H46" i="3"/>
  <c r="R45" i="3"/>
  <c r="AB44" i="3"/>
  <c r="AL43" i="3"/>
  <c r="F43" i="3"/>
  <c r="AL55" i="3"/>
  <c r="Y54" i="3"/>
  <c r="AI53" i="3"/>
  <c r="C53" i="3"/>
  <c r="M52" i="3"/>
  <c r="W51" i="3"/>
  <c r="AG50" i="3"/>
  <c r="AQ49" i="3"/>
  <c r="K49" i="3"/>
  <c r="U48" i="3"/>
  <c r="AE47" i="3"/>
  <c r="AO46" i="3"/>
  <c r="I46" i="3"/>
  <c r="S45" i="3"/>
  <c r="AC44" i="3"/>
  <c r="AM43" i="3"/>
  <c r="G43" i="3"/>
  <c r="Q42" i="3"/>
  <c r="R42" i="3"/>
  <c r="AO45" i="3"/>
  <c r="T77" i="3"/>
  <c r="AO66" i="3"/>
  <c r="F58" i="3"/>
  <c r="T56" i="3"/>
  <c r="R67" i="3"/>
  <c r="AA65" i="3"/>
  <c r="G57" i="3"/>
  <c r="I56" i="3"/>
  <c r="S55" i="3"/>
  <c r="AB55" i="3"/>
  <c r="T54" i="3"/>
  <c r="AD53" i="3"/>
  <c r="AN52" i="3"/>
  <c r="H52" i="3"/>
  <c r="R51" i="3"/>
  <c r="AB50" i="3"/>
  <c r="AL73" i="3"/>
  <c r="AJ69" i="3"/>
  <c r="U73" i="3"/>
  <c r="S69" i="3"/>
  <c r="N68" i="3"/>
  <c r="X64" i="3"/>
  <c r="V61" i="3"/>
  <c r="AR58" i="3"/>
  <c r="AB57" i="3"/>
  <c r="AL56" i="3"/>
  <c r="F56" i="3"/>
  <c r="L68" i="3"/>
  <c r="AI66" i="3"/>
  <c r="C66" i="3"/>
  <c r="M65" i="3"/>
  <c r="W64" i="3"/>
  <c r="AG63" i="3"/>
  <c r="AQ62" i="3"/>
  <c r="K62" i="3"/>
  <c r="U61" i="3"/>
  <c r="AE60" i="3"/>
  <c r="AO59" i="3"/>
  <c r="I59" i="3"/>
  <c r="S58" i="3"/>
  <c r="AC57" i="3"/>
  <c r="AM56" i="3"/>
  <c r="G56" i="3"/>
  <c r="Q55" i="3"/>
  <c r="X55" i="3"/>
  <c r="R54" i="3"/>
  <c r="AB53" i="3"/>
  <c r="AL52" i="3"/>
  <c r="W72" i="3"/>
  <c r="X60" i="3"/>
  <c r="AR56" i="3"/>
  <c r="X68" i="3"/>
  <c r="I66" i="3"/>
  <c r="AC64" i="3"/>
  <c r="G63" i="3"/>
  <c r="AA61" i="3"/>
  <c r="E60" i="3"/>
  <c r="Y58" i="3"/>
  <c r="C57" i="3"/>
  <c r="W55" i="3"/>
  <c r="X54" i="3"/>
  <c r="AR52" i="3"/>
  <c r="AN51" i="3"/>
  <c r="AN50" i="3"/>
  <c r="AR49" i="3"/>
  <c r="L49" i="3"/>
  <c r="V48" i="3"/>
  <c r="AF47" i="3"/>
  <c r="AP46" i="3"/>
  <c r="J46" i="3"/>
  <c r="T45" i="3"/>
  <c r="AD44" i="3"/>
  <c r="AN43" i="3"/>
  <c r="H43" i="3"/>
  <c r="DD37" i="2"/>
  <c r="AA54" i="3"/>
  <c r="AK53" i="3"/>
  <c r="E53" i="3"/>
  <c r="O52" i="3"/>
  <c r="J78" i="3"/>
  <c r="AE67" i="3"/>
  <c r="T58" i="3"/>
  <c r="Z56" i="3"/>
  <c r="AD67" i="3"/>
  <c r="AG65" i="3"/>
  <c r="K64" i="3"/>
  <c r="AE62" i="3"/>
  <c r="I61" i="3"/>
  <c r="AC59" i="3"/>
  <c r="G58" i="3"/>
  <c r="AA56" i="3"/>
  <c r="E55" i="3"/>
  <c r="F54" i="3"/>
  <c r="AB52" i="3"/>
  <c r="AB51" i="3"/>
  <c r="Z50" i="3"/>
  <c r="AH49" i="3"/>
  <c r="AR48" i="3"/>
  <c r="L48" i="3"/>
  <c r="V47" i="3"/>
  <c r="AF46" i="3"/>
  <c r="AP45" i="3"/>
  <c r="J45" i="3"/>
  <c r="T44" i="3"/>
  <c r="AD43" i="3"/>
  <c r="AN42" i="3"/>
  <c r="V55" i="3"/>
  <c r="Q54" i="3"/>
  <c r="AA53" i="3"/>
  <c r="AK52" i="3"/>
  <c r="E52" i="3"/>
  <c r="O51" i="3"/>
  <c r="Y50" i="3"/>
  <c r="AI49" i="3"/>
  <c r="C49" i="3"/>
  <c r="M48" i="3"/>
  <c r="W47" i="3"/>
  <c r="AG46" i="3"/>
  <c r="AQ45" i="3"/>
  <c r="K45" i="3"/>
  <c r="U44" i="3"/>
  <c r="AE43" i="3"/>
  <c r="AO42" i="3"/>
  <c r="I42" i="3"/>
  <c r="U53" i="2"/>
  <c r="AG45" i="3"/>
  <c r="AG56" i="3"/>
  <c r="AQ55" i="3"/>
  <c r="K55" i="3"/>
  <c r="L55" i="3"/>
  <c r="L54" i="3"/>
  <c r="V53" i="3"/>
  <c r="AF52" i="3"/>
  <c r="AP51" i="3"/>
  <c r="J51" i="3"/>
  <c r="T50" i="3"/>
  <c r="F73" i="3"/>
  <c r="AG78" i="3"/>
  <c r="AE72" i="3"/>
  <c r="AC68" i="3"/>
  <c r="AJ66" i="3"/>
  <c r="AH63" i="3"/>
  <c r="AF60" i="3"/>
  <c r="AB58" i="3"/>
  <c r="T57" i="3"/>
  <c r="AD56" i="3"/>
  <c r="AN55" i="3"/>
  <c r="AL67" i="3"/>
  <c r="AA66" i="3"/>
  <c r="AK65" i="3"/>
  <c r="E65" i="3"/>
  <c r="O64" i="3"/>
  <c r="Y63" i="3"/>
  <c r="AI62" i="3"/>
  <c r="C62" i="3"/>
  <c r="M61" i="3"/>
  <c r="W60" i="3"/>
  <c r="AG59" i="3"/>
  <c r="AQ58" i="3"/>
  <c r="K58" i="3"/>
  <c r="U57" i="3"/>
  <c r="AE56" i="3"/>
  <c r="AO55" i="3"/>
  <c r="I55" i="3"/>
  <c r="H55" i="3"/>
  <c r="J54" i="3"/>
  <c r="T53" i="3"/>
  <c r="AP78" i="3"/>
  <c r="U68" i="3"/>
  <c r="V58" i="3"/>
  <c r="AB56" i="3"/>
  <c r="AH67" i="3"/>
  <c r="AI65" i="3"/>
  <c r="M64" i="3"/>
  <c r="AG62" i="3"/>
  <c r="K61" i="3"/>
  <c r="AE59" i="3"/>
  <c r="I58" i="3"/>
  <c r="AC56" i="3"/>
  <c r="G55" i="3"/>
  <c r="H54" i="3"/>
  <c r="AD52" i="3"/>
  <c r="AD51" i="3"/>
  <c r="AD50" i="3"/>
  <c r="AJ49" i="3"/>
  <c r="D49" i="3"/>
  <c r="N48" i="3"/>
  <c r="X47" i="3"/>
  <c r="AH46" i="3"/>
  <c r="AR45" i="3"/>
  <c r="L45" i="3"/>
  <c r="V44" i="3"/>
  <c r="AF43" i="3"/>
  <c r="AP42" i="3"/>
  <c r="Z55" i="3"/>
  <c r="S54" i="3"/>
  <c r="AC53" i="3"/>
  <c r="AM52" i="3"/>
  <c r="G52" i="3"/>
  <c r="H72" i="3"/>
  <c r="AL65" i="3"/>
  <c r="AF57" i="3"/>
  <c r="J56" i="3"/>
  <c r="AN66" i="3"/>
  <c r="Q65" i="3"/>
  <c r="AK63" i="3"/>
  <c r="O62" i="3"/>
  <c r="AI60" i="3"/>
  <c r="M59" i="3"/>
  <c r="AG57" i="3"/>
  <c r="K56" i="3"/>
  <c r="AF55" i="3"/>
  <c r="AF53" i="3"/>
  <c r="R52" i="3"/>
  <c r="P51" i="3"/>
  <c r="P50" i="3"/>
  <c r="Z49" i="3"/>
  <c r="AJ48" i="3"/>
  <c r="D48" i="3"/>
  <c r="N47" i="3"/>
  <c r="X46" i="3"/>
  <c r="AH45" i="3"/>
  <c r="AR44" i="3"/>
  <c r="L44" i="3"/>
  <c r="V43" i="3"/>
  <c r="AB42" i="3"/>
  <c r="F55" i="3"/>
  <c r="I54" i="3"/>
  <c r="S53" i="3"/>
  <c r="AC52" i="3"/>
  <c r="AM51" i="3"/>
  <c r="G51" i="3"/>
  <c r="Q50" i="3"/>
  <c r="AA49" i="3"/>
  <c r="AK48" i="3"/>
  <c r="E48" i="3"/>
  <c r="O47" i="3"/>
  <c r="Y46" i="3"/>
  <c r="AI45" i="3"/>
  <c r="AG42" i="3"/>
  <c r="R70" i="3"/>
  <c r="Z57" i="3"/>
  <c r="AG66" i="3"/>
  <c r="E64" i="3"/>
  <c r="Y62" i="3"/>
  <c r="C61" i="3"/>
  <c r="W59" i="3"/>
  <c r="AQ57" i="3"/>
  <c r="U56" i="3"/>
  <c r="AO54" i="3"/>
  <c r="AP53" i="3"/>
  <c r="Z52" i="3"/>
  <c r="X51" i="3"/>
  <c r="X50" i="3"/>
  <c r="AF49" i="3"/>
  <c r="AP48" i="3"/>
  <c r="J48" i="3"/>
  <c r="T47" i="3"/>
  <c r="AD46" i="3"/>
  <c r="AN45" i="3"/>
  <c r="H45" i="3"/>
  <c r="R44" i="3"/>
  <c r="AB43" i="3"/>
  <c r="AL42" i="3"/>
  <c r="R55" i="3"/>
  <c r="O54" i="3"/>
  <c r="Y53" i="3"/>
  <c r="AI52" i="3"/>
  <c r="C52" i="3"/>
  <c r="M51" i="3"/>
  <c r="W50" i="3"/>
  <c r="AG49" i="3"/>
  <c r="AQ48" i="3"/>
  <c r="K48" i="3"/>
  <c r="U47" i="3"/>
  <c r="W46" i="3"/>
  <c r="AN67" i="3"/>
  <c r="Y65" i="3"/>
  <c r="U59" i="3"/>
  <c r="AN53" i="3"/>
  <c r="AD49" i="3"/>
  <c r="AB46" i="3"/>
  <c r="Z43" i="3"/>
  <c r="W53" i="3"/>
  <c r="C51" i="3"/>
  <c r="W49" i="3"/>
  <c r="AQ47" i="3"/>
  <c r="U46" i="3"/>
  <c r="AQ44" i="3"/>
  <c r="P64" i="3"/>
  <c r="I65" i="3"/>
  <c r="E59" i="3"/>
  <c r="X53" i="3"/>
  <c r="V49" i="3"/>
  <c r="T46" i="3"/>
  <c r="R43" i="3"/>
  <c r="O53" i="3"/>
  <c r="AQ50" i="3"/>
  <c r="U49" i="3"/>
  <c r="AO47" i="3"/>
  <c r="S46" i="3"/>
  <c r="AO44" i="3"/>
  <c r="AO43" i="3"/>
  <c r="AM42" i="3"/>
  <c r="DA37" i="2"/>
  <c r="AH56" i="3"/>
  <c r="O58" i="3"/>
  <c r="F49" i="3"/>
  <c r="AH43" i="3"/>
  <c r="I51" i="3"/>
  <c r="G48" i="3"/>
  <c r="AK45" i="3"/>
  <c r="AI43" i="3"/>
  <c r="AD42" i="3"/>
  <c r="K43" i="3"/>
  <c r="M73" i="3"/>
  <c r="O66" i="3"/>
  <c r="K60" i="3"/>
  <c r="AD54" i="3"/>
  <c r="D50" i="3"/>
  <c r="AR46" i="3"/>
  <c r="AP43" i="3"/>
  <c r="AM53" i="3"/>
  <c r="K51" i="3"/>
  <c r="AE49" i="3"/>
  <c r="I48" i="3"/>
  <c r="AC46" i="3"/>
  <c r="G45" i="3"/>
  <c r="G44" i="3"/>
  <c r="E43" i="3"/>
  <c r="E42" i="3"/>
  <c r="K69" i="3"/>
  <c r="AI56" i="3"/>
  <c r="Z47" i="3"/>
  <c r="U54" i="3"/>
  <c r="C50" i="3"/>
  <c r="AA46" i="3"/>
  <c r="Y43" i="3"/>
  <c r="K44" i="3"/>
  <c r="AE42" i="3"/>
  <c r="AF79" i="3"/>
  <c r="N81" i="3"/>
  <c r="AN79" i="3"/>
  <c r="T81" i="3"/>
  <c r="AB80" i="3"/>
  <c r="E81" i="3"/>
  <c r="AM79" i="3"/>
  <c r="AL81" i="3"/>
  <c r="C45" i="3"/>
  <c r="T53" i="2"/>
  <c r="C77" i="3"/>
  <c r="J57" i="3"/>
  <c r="Q66" i="3"/>
  <c r="AE63" i="3"/>
  <c r="I62" i="3"/>
  <c r="AC60" i="3"/>
  <c r="G59" i="3"/>
  <c r="AA57" i="3"/>
  <c r="E56" i="3"/>
  <c r="T55" i="3"/>
  <c r="Z53" i="3"/>
  <c r="N52" i="3"/>
  <c r="N51" i="3"/>
  <c r="N50" i="3"/>
  <c r="X49" i="3"/>
  <c r="AH48" i="3"/>
  <c r="AR47" i="3"/>
  <c r="L47" i="3"/>
  <c r="V46" i="3"/>
  <c r="AF45" i="3"/>
  <c r="AP44" i="3"/>
  <c r="J44" i="3"/>
  <c r="T43" i="3"/>
  <c r="X42" i="3"/>
  <c r="AR54" i="3"/>
  <c r="G54" i="3"/>
  <c r="Q53" i="3"/>
  <c r="AA52" i="3"/>
  <c r="AK51" i="3"/>
  <c r="E51" i="3"/>
  <c r="O50" i="3"/>
  <c r="Y49" i="3"/>
  <c r="AI48" i="3"/>
  <c r="C48" i="3"/>
  <c r="M47" i="3"/>
  <c r="G46" i="3"/>
  <c r="D58" i="3"/>
  <c r="C64" i="3"/>
  <c r="AO57" i="3"/>
  <c r="V52" i="3"/>
  <c r="AN48" i="3"/>
  <c r="AL45" i="3"/>
  <c r="AJ42" i="3"/>
  <c r="AG52" i="3"/>
  <c r="AC50" i="3"/>
  <c r="G49" i="3"/>
  <c r="AA47" i="3"/>
  <c r="E46" i="3"/>
  <c r="AG44" i="3"/>
  <c r="X57" i="3"/>
  <c r="AC63" i="3"/>
  <c r="Y57" i="3"/>
  <c r="L52" i="3"/>
  <c r="AF48" i="3"/>
  <c r="AD45" i="3"/>
  <c r="T42" i="3"/>
  <c r="Y52" i="3"/>
  <c r="AA50" i="3"/>
  <c r="E49" i="3"/>
  <c r="Y47" i="3"/>
  <c r="C46" i="3"/>
  <c r="AE44" i="3"/>
  <c r="AC43" i="3"/>
  <c r="AC42" i="3"/>
  <c r="V42" i="3"/>
  <c r="D68" i="3"/>
  <c r="M55" i="3"/>
  <c r="P48" i="3"/>
  <c r="AD55" i="3"/>
  <c r="S50" i="3"/>
  <c r="AG47" i="3"/>
  <c r="E45" i="3"/>
  <c r="M43" i="3"/>
  <c r="J42" i="3"/>
  <c r="U42" i="3"/>
  <c r="U79" i="3" s="1"/>
  <c r="N61" i="3"/>
  <c r="AI64" i="3"/>
  <c r="AE58" i="3"/>
  <c r="H53" i="3"/>
  <c r="N49" i="3"/>
  <c r="L46" i="3"/>
  <c r="J43" i="3"/>
  <c r="G53" i="3"/>
  <c r="AK50" i="3"/>
  <c r="O49" i="3"/>
  <c r="AI47" i="3"/>
  <c r="M46" i="3"/>
  <c r="AM44" i="3"/>
  <c r="AK43" i="3"/>
  <c r="AK80" i="3" s="1"/>
  <c r="AK42" i="3"/>
  <c r="CY37" i="2"/>
  <c r="AO65" i="3"/>
  <c r="N54" i="3"/>
  <c r="D46" i="3"/>
  <c r="AO52" i="3"/>
  <c r="M49" i="3"/>
  <c r="U45" i="3"/>
  <c r="C43" i="3"/>
  <c r="AG43" i="3"/>
  <c r="K42" i="3"/>
  <c r="AE79" i="3"/>
  <c r="K81" i="3"/>
  <c r="H80" i="3"/>
  <c r="AD81" i="3"/>
  <c r="AK79" i="3"/>
  <c r="N80" i="3"/>
  <c r="AJ81" i="3"/>
  <c r="AE81" i="3"/>
  <c r="Y79" i="3"/>
  <c r="U81" i="3"/>
  <c r="M80" i="3"/>
  <c r="P79" i="3"/>
  <c r="AB79" i="3"/>
  <c r="R79" i="3"/>
  <c r="Q79" i="3"/>
  <c r="AK81" i="3"/>
  <c r="CK37" i="2"/>
  <c r="M44" i="3"/>
  <c r="E47" i="3"/>
  <c r="F65" i="3"/>
  <c r="D56" i="3"/>
  <c r="K65" i="3"/>
  <c r="O63" i="3"/>
  <c r="AI61" i="3"/>
  <c r="M60" i="3"/>
  <c r="AG58" i="3"/>
  <c r="K57" i="3"/>
  <c r="AE55" i="3"/>
  <c r="AF54" i="3"/>
  <c r="J53" i="3"/>
  <c r="D52" i="3"/>
  <c r="D51" i="3"/>
  <c r="F50" i="3"/>
  <c r="P49" i="3"/>
  <c r="Z48" i="3"/>
  <c r="AJ47" i="3"/>
  <c r="D47" i="3"/>
  <c r="N46" i="3"/>
  <c r="X45" i="3"/>
  <c r="AH44" i="3"/>
  <c r="AR43" i="3"/>
  <c r="AR80" i="3" s="1"/>
  <c r="L43" i="3"/>
  <c r="H42" i="3"/>
  <c r="AE54" i="3"/>
  <c r="AO53" i="3"/>
  <c r="I53" i="3"/>
  <c r="S52" i="3"/>
  <c r="AC51" i="3"/>
  <c r="AM50" i="3"/>
  <c r="G50" i="3"/>
  <c r="Q49" i="3"/>
  <c r="AA48" i="3"/>
  <c r="AK47" i="3"/>
  <c r="AM46" i="3"/>
  <c r="Y45" i="3"/>
  <c r="R56" i="3"/>
  <c r="W62" i="3"/>
  <c r="S56" i="3"/>
  <c r="V51" i="3"/>
  <c r="H48" i="3"/>
  <c r="F45" i="3"/>
  <c r="N55" i="3"/>
  <c r="AQ51" i="3"/>
  <c r="M50" i="3"/>
  <c r="AG48" i="3"/>
  <c r="K47" i="3"/>
  <c r="AE45" i="3"/>
  <c r="W44" i="3"/>
  <c r="AR55" i="3"/>
  <c r="G62" i="3"/>
  <c r="C56" i="3"/>
  <c r="L51" i="3"/>
  <c r="AP47" i="3"/>
  <c r="AN44" i="3"/>
  <c r="AN81" i="3" s="1"/>
  <c r="AN54" i="3"/>
  <c r="AI51" i="3"/>
  <c r="K50" i="3"/>
  <c r="AE48" i="3"/>
  <c r="I47" i="3"/>
  <c r="AC45" i="3"/>
  <c r="S44" i="3"/>
  <c r="S81" i="3" s="1"/>
  <c r="S43" i="3"/>
  <c r="S42" i="3"/>
  <c r="S79" i="3" s="1"/>
  <c r="DB37" i="2"/>
  <c r="S64" i="3"/>
  <c r="AH52" i="3"/>
  <c r="AJ46" i="3"/>
  <c r="AE53" i="3"/>
  <c r="AC49" i="3"/>
  <c r="AQ46" i="3"/>
  <c r="AI44" i="3"/>
  <c r="AI42" i="3"/>
  <c r="AI79" i="3" s="1"/>
  <c r="CQ37" i="2"/>
  <c r="DC37" i="2"/>
  <c r="H57" i="3"/>
  <c r="M63" i="3"/>
  <c r="I57" i="3"/>
  <c r="AR51" i="3"/>
  <c r="X48" i="3"/>
  <c r="V45" i="3"/>
  <c r="D42" i="3"/>
  <c r="D79" i="3" s="1"/>
  <c r="Q52" i="3"/>
  <c r="U50" i="3"/>
  <c r="AO48" i="3"/>
  <c r="S47" i="3"/>
  <c r="AM45" i="3"/>
  <c r="AA44" i="3"/>
  <c r="AA43" i="3"/>
  <c r="AA42" i="3"/>
  <c r="N42" i="3"/>
  <c r="N79" i="3" s="1"/>
  <c r="AM62" i="3"/>
  <c r="AF51" i="3"/>
  <c r="X44" i="3"/>
  <c r="X81" i="3" s="1"/>
  <c r="Y51" i="3"/>
  <c r="W48" i="3"/>
  <c r="Y44" i="3"/>
  <c r="W42" i="3"/>
  <c r="U43" i="3"/>
  <c r="Z42" i="3"/>
  <c r="W43" i="3"/>
  <c r="Q45" i="3"/>
  <c r="D62" i="3"/>
  <c r="AN68" i="3"/>
  <c r="AK64" i="3"/>
  <c r="AO62" i="3"/>
  <c r="S61" i="3"/>
  <c r="AM59" i="3"/>
  <c r="Q58" i="3"/>
  <c r="AK56" i="3"/>
  <c r="O55" i="3"/>
  <c r="P54" i="3"/>
  <c r="AJ52" i="3"/>
  <c r="AJ51" i="3"/>
  <c r="AH50" i="3"/>
  <c r="AN49" i="3"/>
  <c r="H49" i="3"/>
  <c r="R48" i="3"/>
  <c r="AB47" i="3"/>
  <c r="AL46" i="3"/>
  <c r="F46" i="3"/>
  <c r="P45" i="3"/>
  <c r="Z44" i="3"/>
  <c r="AJ43" i="3"/>
  <c r="D43" i="3"/>
  <c r="D80" i="3" s="1"/>
  <c r="AH55" i="3"/>
  <c r="W54" i="3"/>
  <c r="AG53" i="3"/>
  <c r="AQ52" i="3"/>
  <c r="K52" i="3"/>
  <c r="U51" i="3"/>
  <c r="AE50" i="3"/>
  <c r="AO49" i="3"/>
  <c r="I49" i="3"/>
  <c r="S48" i="3"/>
  <c r="AC47" i="3"/>
  <c r="AE46" i="3"/>
  <c r="AD73" i="3"/>
  <c r="N67" i="3"/>
  <c r="AQ60" i="3"/>
  <c r="AM54" i="3"/>
  <c r="V50" i="3"/>
  <c r="R47" i="3"/>
  <c r="P44" i="3"/>
  <c r="M54" i="3"/>
  <c r="S51" i="3"/>
  <c r="AM49" i="3"/>
  <c r="Q48" i="3"/>
  <c r="AK46" i="3"/>
  <c r="O45" i="3"/>
  <c r="AB69" i="3"/>
  <c r="AE66" i="3"/>
  <c r="AA60" i="3"/>
  <c r="P55" i="3"/>
  <c r="L50" i="3"/>
  <c r="J47" i="3"/>
  <c r="H44" i="3"/>
  <c r="E54" i="3"/>
  <c r="Q51" i="3"/>
  <c r="AK49" i="3"/>
  <c r="O48" i="3"/>
  <c r="AI46" i="3"/>
  <c r="M45" i="3"/>
  <c r="I44" i="3"/>
  <c r="I43" i="3"/>
  <c r="I80" i="3" s="1"/>
  <c r="G42" i="3"/>
  <c r="AL58" i="3"/>
  <c r="Q61" i="3"/>
  <c r="AF50" i="3"/>
  <c r="N45" i="3"/>
  <c r="I52" i="3"/>
  <c r="AM48" i="3"/>
  <c r="K46" i="3"/>
  <c r="O44" i="3"/>
  <c r="O81" i="3" s="1"/>
  <c r="M42" i="3"/>
  <c r="M79" i="3" s="1"/>
  <c r="AQ43" i="3"/>
  <c r="AQ80" i="3" s="1"/>
  <c r="F42" i="3"/>
  <c r="AJ68" i="3"/>
  <c r="AG61" i="3"/>
  <c r="AC55" i="3"/>
  <c r="AP50" i="3"/>
  <c r="AH47" i="3"/>
  <c r="AF44" i="3"/>
  <c r="AC54" i="3"/>
  <c r="AA51" i="3"/>
  <c r="E50" i="3"/>
  <c r="Y48" i="3"/>
  <c r="C47" i="3"/>
  <c r="W45" i="3"/>
  <c r="Q44" i="3"/>
  <c r="Q81" i="3" s="1"/>
  <c r="Q43" i="3"/>
  <c r="O42" i="3"/>
  <c r="O79" i="3" s="1"/>
  <c r="CZ37" i="2"/>
  <c r="AK59" i="3"/>
  <c r="AL49" i="3"/>
  <c r="AR42" i="3"/>
  <c r="AI50" i="3"/>
  <c r="Q47" i="3"/>
  <c r="C44" i="3"/>
  <c r="V53" i="2"/>
  <c r="AQ42" i="3"/>
  <c r="Z79" i="3"/>
  <c r="U80" i="3"/>
  <c r="AQ81" i="3"/>
  <c r="AN80" i="3"/>
  <c r="E79" i="3"/>
  <c r="AA80" i="3"/>
  <c r="E80" i="3"/>
  <c r="K80" i="3"/>
  <c r="D81" i="3"/>
  <c r="AO80" i="3"/>
  <c r="AH81" i="3"/>
  <c r="AH80" i="3"/>
  <c r="C81" i="3"/>
  <c r="AI80" i="3"/>
  <c r="AB81" i="3"/>
  <c r="AJ80" i="3"/>
  <c r="AM80" i="3"/>
  <c r="AF81" i="3"/>
  <c r="T79" i="3"/>
  <c r="AI81" i="3"/>
  <c r="V79" i="3"/>
  <c r="AO81" i="3"/>
  <c r="K79" i="3"/>
  <c r="W81" i="3"/>
  <c r="AD79" i="3"/>
  <c r="J80" i="3"/>
  <c r="H79" i="3"/>
  <c r="J79" i="3"/>
  <c r="Y81" i="3"/>
  <c r="J81" i="3"/>
  <c r="L80" i="3"/>
  <c r="AP79" i="3"/>
  <c r="F80" i="3"/>
  <c r="X79" i="3"/>
  <c r="Z80" i="3"/>
  <c r="S80" i="3"/>
  <c r="W80" i="3"/>
  <c r="Y80" i="3"/>
  <c r="G80" i="3"/>
  <c r="I81" i="3"/>
  <c r="Z81" i="3"/>
  <c r="AA81" i="3"/>
  <c r="AG81" i="3"/>
  <c r="CN37" i="2"/>
  <c r="AO79" i="3"/>
  <c r="P80" i="3"/>
  <c r="Q80" i="3"/>
  <c r="M81" i="3"/>
  <c r="R80" i="3"/>
  <c r="AC79" i="3"/>
  <c r="AA79" i="3"/>
  <c r="AG79" i="3"/>
  <c r="AL80" i="3"/>
  <c r="T80" i="3"/>
  <c r="P81" i="3"/>
  <c r="R81" i="3"/>
  <c r="L81" i="3"/>
  <c r="G79" i="3"/>
  <c r="AR81" i="3"/>
  <c r="AC81" i="3"/>
  <c r="X80" i="3"/>
  <c r="L79" i="3"/>
  <c r="AH79" i="3"/>
  <c r="AL79" i="3"/>
  <c r="O80" i="3"/>
  <c r="W79" i="3"/>
  <c r="F81" i="3"/>
  <c r="V80" i="3"/>
  <c r="G81" i="3"/>
  <c r="AP81" i="3"/>
  <c r="AJ79" i="3"/>
  <c r="I79" i="3"/>
  <c r="H81" i="3"/>
  <c r="AF80" i="3"/>
  <c r="AQ79" i="3"/>
  <c r="AR79" i="3"/>
  <c r="AM81" i="3"/>
  <c r="AE80" i="3"/>
  <c r="AG80" i="3"/>
  <c r="F79" i="3"/>
  <c r="AD80" i="3"/>
  <c r="AC80" i="3"/>
  <c r="C80" i="3"/>
  <c r="AP80" i="3"/>
  <c r="V81" i="3"/>
  <c r="CM37" i="2"/>
  <c r="CH37" i="2"/>
  <c r="CI37" i="2"/>
  <c r="CG37" i="2"/>
  <c r="CY25" i="2"/>
  <c r="DC25" i="2"/>
  <c r="DA25" i="2"/>
  <c r="CZ25" i="2"/>
  <c r="CE37" i="2"/>
  <c r="DB25" i="2"/>
  <c r="DD25" i="2"/>
  <c r="CQ25" i="2"/>
  <c r="CF37" i="2" l="1"/>
  <c r="CL37" i="2"/>
  <c r="DE37" i="2" s="1"/>
  <c r="CX37" i="2"/>
  <c r="CJ37" i="2"/>
  <c r="DI37" i="2"/>
  <c r="DH37" i="2"/>
  <c r="CP25" i="2" a="1"/>
  <c r="CP25" i="2" s="1"/>
  <c r="CO25" i="2" a="1"/>
  <c r="CO25" i="2" s="1"/>
  <c r="CN25" i="2"/>
  <c r="CK25" i="2"/>
  <c r="CM25" i="2"/>
  <c r="DH25" i="2" l="1"/>
  <c r="CH25" i="2"/>
  <c r="CI25" i="2"/>
  <c r="CG25" i="2"/>
  <c r="DI25" i="2" l="1"/>
  <c r="CL25" i="2"/>
  <c r="CJ25" i="2"/>
  <c r="CE25" i="2"/>
  <c r="DA18" i="2"/>
  <c r="DD18" i="2"/>
  <c r="CY18" i="2"/>
  <c r="DB18" i="2"/>
  <c r="CZ18" i="2"/>
  <c r="DC18" i="2"/>
  <c r="CF25" i="2" l="1"/>
  <c r="DE25" i="2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N18" i="2"/>
  <c r="CM18" i="2"/>
  <c r="CK18" i="2"/>
  <c r="DH18" i="2" l="1"/>
  <c r="CI18" i="2"/>
  <c r="CH18" i="2"/>
  <c r="CG18" i="2"/>
  <c r="DI18" i="2" l="1"/>
  <c r="CL18" i="2"/>
  <c r="CJ18" i="2"/>
  <c r="CZ16" i="2"/>
  <c r="DC16" i="2"/>
  <c r="CY16" i="2"/>
  <c r="CE18" i="2"/>
  <c r="DD16" i="2"/>
  <c r="DB16" i="2"/>
  <c r="DA16" i="2"/>
  <c r="CF18" i="2" l="1"/>
  <c r="DE18" i="2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K16" i="2"/>
  <c r="CM16" i="2"/>
  <c r="CN16" i="2"/>
  <c r="DH16" i="2" l="1"/>
  <c r="CH16" i="2"/>
  <c r="CG16" i="2"/>
  <c r="CI16" i="2"/>
  <c r="DI16" i="2" l="1"/>
  <c r="CL16" i="2"/>
  <c r="CJ16" i="2"/>
  <c r="CZ9" i="2"/>
  <c r="DC9" i="2"/>
  <c r="CE16" i="2"/>
  <c r="DD9" i="2"/>
  <c r="CY9" i="2"/>
  <c r="DB9" i="2"/>
  <c r="DA9" i="2"/>
  <c r="CF16" i="2" l="1"/>
  <c r="DE16" i="2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M9" i="2"/>
  <c r="CN9" i="2"/>
  <c r="CK9" i="2"/>
  <c r="DH9" i="2" l="1"/>
  <c r="CH9" i="2"/>
  <c r="CI9" i="2"/>
  <c r="CG9" i="2"/>
  <c r="DI9" i="2" l="1"/>
  <c r="CL9" i="2"/>
  <c r="CJ9" i="2"/>
  <c r="CP7" i="3"/>
  <c r="DD26" i="2"/>
  <c r="CQ9" i="3"/>
  <c r="DB26" i="2"/>
  <c r="CQ13" i="3"/>
  <c r="CJ9" i="3"/>
  <c r="CG13" i="3"/>
  <c r="CI9" i="3"/>
  <c r="CH7" i="3"/>
  <c r="CO13" i="3"/>
  <c r="CY26" i="2"/>
  <c r="CQ7" i="3"/>
  <c r="CG7" i="3"/>
  <c r="DC26" i="2"/>
  <c r="CF9" i="3"/>
  <c r="CG9" i="3"/>
  <c r="CF13" i="3"/>
  <c r="CF7" i="3"/>
  <c r="CH9" i="3"/>
  <c r="DA26" i="2"/>
  <c r="CP13" i="3"/>
  <c r="CJ13" i="3"/>
  <c r="CO9" i="3"/>
  <c r="CN9" i="3"/>
  <c r="CH13" i="3"/>
  <c r="CN7" i="3"/>
  <c r="CZ26" i="2"/>
  <c r="CI13" i="3"/>
  <c r="CO7" i="3"/>
  <c r="CE9" i="3"/>
  <c r="CN13" i="3"/>
  <c r="CP9" i="3"/>
  <c r="CE13" i="3"/>
  <c r="CJ7" i="3"/>
  <c r="CI7" i="3"/>
  <c r="CE7" i="3"/>
  <c r="CE9" i="2"/>
  <c r="CK7" i="3" l="1"/>
  <c r="CK13" i="3"/>
  <c r="CR13" i="3" s="1"/>
  <c r="CK9" i="3"/>
  <c r="CF9" i="2"/>
  <c r="DE9" i="2"/>
  <c r="CT9" i="3"/>
  <c r="CM9" i="3"/>
  <c r="CR9" i="3"/>
  <c r="CL9" i="3"/>
  <c r="CT13" i="3"/>
  <c r="CM13" i="3"/>
  <c r="CL13" i="3"/>
  <c r="CT7" i="3"/>
  <c r="CM7" i="3"/>
  <c r="CR7" i="3"/>
  <c r="CL7" i="3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M26" i="2"/>
  <c r="CN26" i="2"/>
  <c r="CK26" i="2"/>
  <c r="DH26" i="2" l="1"/>
  <c r="CH26" i="2"/>
  <c r="CI26" i="2"/>
  <c r="CG26" i="2"/>
  <c r="DI26" i="2" l="1"/>
  <c r="CL26" i="2"/>
  <c r="CJ26" i="2"/>
  <c r="CZ7" i="2"/>
  <c r="DC7" i="2"/>
  <c r="CY7" i="2"/>
  <c r="CE26" i="2"/>
  <c r="DD7" i="2"/>
  <c r="DB7" i="2"/>
  <c r="DA7" i="2"/>
  <c r="CF26" i="2" l="1"/>
  <c r="DE26" i="2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M7" i="2"/>
  <c r="CN7" i="2"/>
  <c r="CK7" i="2"/>
  <c r="DH7" i="2" l="1"/>
  <c r="CI7" i="2"/>
  <c r="CG7" i="2"/>
  <c r="CH7" i="2"/>
  <c r="DI7" i="2" l="1"/>
  <c r="CL7" i="2"/>
  <c r="CJ7" i="2"/>
  <c r="DA33" i="2"/>
  <c r="DD33" i="2"/>
  <c r="CZ33" i="2"/>
  <c r="DC33" i="2"/>
  <c r="CE7" i="2"/>
  <c r="DB33" i="2"/>
  <c r="CY33" i="2"/>
  <c r="CF7" i="2" l="1"/>
  <c r="DE7" i="2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K33" i="2"/>
  <c r="CM33" i="2"/>
  <c r="CN33" i="2"/>
  <c r="DH33" i="2" l="1"/>
  <c r="CG33" i="2"/>
  <c r="CI33" i="2"/>
  <c r="CH33" i="2"/>
  <c r="DI33" i="2" l="1"/>
  <c r="CL33" i="2"/>
  <c r="CJ33" i="2"/>
  <c r="CE33" i="2"/>
  <c r="CF33" i="2" l="1"/>
  <c r="DE33" i="2"/>
  <c r="DD32" i="2"/>
  <c r="DB32" i="2"/>
  <c r="DC32" i="2"/>
  <c r="CY32" i="2"/>
  <c r="DA32" i="2"/>
  <c r="CZ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M32" i="2"/>
  <c r="CN32" i="2"/>
  <c r="CK32" i="2"/>
  <c r="DH32" i="2" l="1"/>
  <c r="CH32" i="2"/>
  <c r="CI32" i="2"/>
  <c r="CG32" i="2"/>
  <c r="DI32" i="2" l="1"/>
  <c r="CL32" i="2"/>
  <c r="CJ32" i="2"/>
  <c r="CE32" i="2"/>
  <c r="CF32" i="2" l="1"/>
  <c r="DE32" i="2"/>
  <c r="AD20" i="1"/>
  <c r="AC20" i="1"/>
  <c r="AB20" i="1"/>
  <c r="AA20" i="1"/>
  <c r="Z20" i="1"/>
  <c r="Y20" i="1"/>
  <c r="AD19" i="1"/>
  <c r="AC19" i="1"/>
  <c r="AB19" i="1"/>
  <c r="AA19" i="1"/>
  <c r="Z19" i="1"/>
  <c r="Y19" i="1"/>
  <c r="AD18" i="1"/>
  <c r="AC18" i="1"/>
  <c r="AB18" i="1"/>
  <c r="AA18" i="1"/>
  <c r="Z18" i="1"/>
  <c r="Y18" i="1"/>
  <c r="AD17" i="1"/>
  <c r="AC17" i="1"/>
  <c r="AB17" i="1"/>
  <c r="AA17" i="1"/>
  <c r="Z17" i="1"/>
  <c r="Y17" i="1"/>
  <c r="AD16" i="1"/>
  <c r="AC16" i="1"/>
  <c r="AB16" i="1"/>
  <c r="AA16" i="1"/>
  <c r="Z16" i="1"/>
  <c r="Y16" i="1"/>
  <c r="AD15" i="1"/>
  <c r="AC15" i="1"/>
  <c r="AB15" i="1"/>
  <c r="AA15" i="1"/>
  <c r="Z15" i="1"/>
  <c r="Y15" i="1"/>
  <c r="AD14" i="1"/>
  <c r="AC14" i="1"/>
  <c r="AB14" i="1"/>
  <c r="AA14" i="1"/>
  <c r="Z14" i="1"/>
  <c r="Y14" i="1"/>
  <c r="AD13" i="1"/>
  <c r="AC13" i="1"/>
  <c r="AB13" i="1"/>
  <c r="AA13" i="1"/>
  <c r="Z13" i="1"/>
  <c r="Y13" i="1"/>
  <c r="AD12" i="1"/>
  <c r="AC12" i="1"/>
  <c r="AB12" i="1"/>
  <c r="AA12" i="1"/>
  <c r="Z12" i="1"/>
  <c r="Y12" i="1"/>
  <c r="AD11" i="1"/>
  <c r="AC11" i="1"/>
  <c r="AB11" i="1"/>
  <c r="AA11" i="1"/>
  <c r="Z11" i="1"/>
  <c r="Y11" i="1"/>
  <c r="AD10" i="1"/>
  <c r="AC10" i="1"/>
  <c r="AB10" i="1"/>
  <c r="AA10" i="1"/>
  <c r="Z10" i="1"/>
  <c r="Y10" i="1"/>
  <c r="AD9" i="1"/>
  <c r="AC9" i="1"/>
  <c r="AB9" i="1"/>
  <c r="AA9" i="1"/>
  <c r="Z9" i="1"/>
  <c r="Y9" i="1"/>
  <c r="AD8" i="1"/>
  <c r="AC8" i="1"/>
  <c r="AB8" i="1"/>
  <c r="AA8" i="1"/>
  <c r="Z8" i="1"/>
  <c r="Y8" i="1"/>
  <c r="AD7" i="1"/>
  <c r="AC7" i="1"/>
  <c r="AB7" i="1"/>
  <c r="AA7" i="1"/>
  <c r="Z7" i="1"/>
  <c r="Y7" i="1"/>
  <c r="AD6" i="1"/>
  <c r="AC6" i="1"/>
  <c r="AB6" i="1"/>
  <c r="AA6" i="1"/>
  <c r="Z6" i="1"/>
  <c r="Y6" i="1"/>
  <c r="AD5" i="1"/>
  <c r="AC5" i="1"/>
  <c r="AB5" i="1"/>
  <c r="AA5" i="1"/>
  <c r="Z5" i="1"/>
  <c r="Y5" i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P12" i="2" a="1"/>
  <c r="CP12" i="2" s="1"/>
  <c r="CO12" i="2" a="1"/>
  <c r="CO12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P17" i="2" a="1"/>
  <c r="CP17" i="2" s="1"/>
  <c r="CO17" i="2" a="1"/>
  <c r="CO17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P6" i="2" a="1"/>
  <c r="CP6" i="2" s="1"/>
  <c r="CO6" i="2" a="1"/>
  <c r="CO6" i="2" s="1"/>
  <c r="Z23" i="1"/>
  <c r="Y23" i="1"/>
  <c r="Z22" i="1"/>
  <c r="Y22" i="1"/>
  <c r="Z21" i="1"/>
  <c r="Y21" i="1"/>
  <c r="C41" i="3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P24" i="2" a="1"/>
  <c r="CP24" i="2" s="1"/>
  <c r="CO24" i="2" a="1"/>
  <c r="CO24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P23" i="2" a="1"/>
  <c r="CP23" i="2" s="1"/>
  <c r="CO23" i="2" a="1"/>
  <c r="CO23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P22" i="2" a="1"/>
  <c r="CP22" i="2" s="1"/>
  <c r="CO22" i="2" a="1"/>
  <c r="CO22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P21" i="2" a="1"/>
  <c r="CP21" i="2" s="1"/>
  <c r="CO21" i="2" a="1"/>
  <c r="CO21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P20" i="2" a="1"/>
  <c r="CP20" i="2" s="1"/>
  <c r="CO20" i="2" a="1"/>
  <c r="CO20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P19" i="2" a="1"/>
  <c r="CP19" i="2" s="1"/>
  <c r="CO19" i="2" a="1"/>
  <c r="CO19" i="2" s="1"/>
  <c r="C1" i="2" a="1"/>
  <c r="C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W5" i="2" a="1"/>
  <c r="CW5" i="2" s="1"/>
  <c r="CO8" i="2" a="1"/>
  <c r="CO8" i="2" s="1"/>
  <c r="CP8" i="2" a="1"/>
  <c r="CP8" i="2" s="1"/>
  <c r="CR8" i="2" a="1"/>
  <c r="CR8" i="2" s="1"/>
  <c r="CS8" i="2" a="1"/>
  <c r="CS8" i="2" s="1"/>
  <c r="CT8" i="2" a="1"/>
  <c r="CT8" i="2" s="1"/>
  <c r="CU8" i="2" a="1"/>
  <c r="CU8" i="2" s="1"/>
  <c r="CV8" i="2" a="1"/>
  <c r="CV8" i="2" s="1"/>
  <c r="CW8" i="2" a="1"/>
  <c r="CW8" i="2" s="1"/>
  <c r="CO10" i="2" a="1"/>
  <c r="CO10" i="2" s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CW10" i="2" a="1"/>
  <c r="CW10" i="2" s="1"/>
  <c r="CO11" i="2" a="1"/>
  <c r="CO11" i="2" s="1"/>
  <c r="CP11" i="2" a="1"/>
  <c r="CP11" i="2" s="1"/>
  <c r="CR11" i="2" a="1"/>
  <c r="CR11" i="2" s="1"/>
  <c r="CS11" i="2" a="1"/>
  <c r="CS11" i="2" s="1"/>
  <c r="CT11" i="2" a="1"/>
  <c r="CT11" i="2" s="1"/>
  <c r="CU11" i="2" a="1"/>
  <c r="CU11" i="2" s="1"/>
  <c r="CV11" i="2" a="1"/>
  <c r="CV11" i="2" s="1"/>
  <c r="CW11" i="2" a="1"/>
  <c r="CW11" i="2" s="1"/>
  <c r="CO13" i="2" a="1"/>
  <c r="CO13" i="2" s="1"/>
  <c r="CP13" i="2" a="1"/>
  <c r="CP13" i="2" s="1"/>
  <c r="CR13" i="2" a="1"/>
  <c r="CR13" i="2" s="1"/>
  <c r="CS13" i="2" a="1"/>
  <c r="CS13" i="2" s="1"/>
  <c r="CT13" i="2" a="1"/>
  <c r="CT13" i="2" s="1"/>
  <c r="CU13" i="2" a="1"/>
  <c r="CU13" i="2" s="1"/>
  <c r="CV13" i="2" a="1"/>
  <c r="CV13" i="2" s="1"/>
  <c r="CW13" i="2" a="1"/>
  <c r="CW13" i="2" s="1"/>
  <c r="CO14" i="2" a="1"/>
  <c r="CO14" i="2" s="1"/>
  <c r="CP14" i="2" a="1"/>
  <c r="CP14" i="2" s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CW14" i="2" a="1"/>
  <c r="CW14" i="2" s="1"/>
  <c r="CO15" i="2" a="1"/>
  <c r="CO15" i="2" s="1"/>
  <c r="CP15" i="2" a="1"/>
  <c r="CP15" i="2" s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W15" i="2" a="1"/>
  <c r="CW15" i="2" s="1"/>
  <c r="CO27" i="2" a="1"/>
  <c r="CO27" i="2" s="1"/>
  <c r="CP27" i="2" a="1"/>
  <c r="CP27" i="2" s="1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CW27" i="2" a="1"/>
  <c r="CW27" i="2" s="1"/>
  <c r="CO28" i="2" a="1"/>
  <c r="CO28" i="2" s="1"/>
  <c r="CP28" i="2" a="1"/>
  <c r="CP28" i="2" s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W28" i="2" a="1"/>
  <c r="CW28" i="2" s="1"/>
  <c r="CO29" i="2" a="1"/>
  <c r="CO29" i="2" s="1"/>
  <c r="CP29" i="2" a="1"/>
  <c r="CP29" i="2" s="1"/>
  <c r="CR29" i="2" a="1"/>
  <c r="CR29" i="2" s="1"/>
  <c r="CS29" i="2" a="1"/>
  <c r="CS29" i="2" s="1"/>
  <c r="CT29" i="2" a="1"/>
  <c r="CT29" i="2" s="1"/>
  <c r="CU29" i="2" a="1"/>
  <c r="CU29" i="2" s="1"/>
  <c r="CV29" i="2" a="1"/>
  <c r="CV29" i="2" s="1"/>
  <c r="CW29" i="2" a="1"/>
  <c r="CW29" i="2" s="1"/>
  <c r="CO30" i="2" a="1"/>
  <c r="CO30" i="2" s="1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W30" i="2" a="1"/>
  <c r="CW30" i="2" s="1"/>
  <c r="CO31" i="2" a="1"/>
  <c r="CO31" i="2" s="1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O34" i="2" a="1"/>
  <c r="CO34" i="2" s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W34" i="2" a="1"/>
  <c r="CW34" i="2" s="1"/>
  <c r="CO35" i="2" a="1"/>
  <c r="CO35" i="2" s="1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W35" i="2" a="1"/>
  <c r="CW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8" i="2" a="1"/>
  <c r="CO38" i="2" s="1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W38" i="2" a="1"/>
  <c r="CW38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N41" i="2" a="1"/>
  <c r="N41" i="2" s="1"/>
  <c r="O41" i="2" a="1"/>
  <c r="O41" i="2" s="1"/>
  <c r="P41" i="2" a="1"/>
  <c r="P41" i="2" s="1"/>
  <c r="Q41" i="2" a="1"/>
  <c r="Q41" i="2" s="1"/>
  <c r="R41" i="2" a="1"/>
  <c r="R41" i="2" s="1"/>
  <c r="S41" i="2" a="1"/>
  <c r="S41" i="2" s="1"/>
  <c r="T41" i="2" a="1"/>
  <c r="T41" i="2" s="1"/>
  <c r="U41" i="2" a="1"/>
  <c r="U41" i="2" s="1"/>
  <c r="V41" i="2" a="1"/>
  <c r="V41" i="2" s="1"/>
  <c r="W41" i="2" a="1"/>
  <c r="W41" i="2" s="1"/>
  <c r="X41" i="2" a="1"/>
  <c r="X41" i="2" s="1"/>
  <c r="Y41" i="2" a="1"/>
  <c r="Y41" i="2" s="1"/>
  <c r="Z41" i="2" a="1"/>
  <c r="Z41" i="2" s="1"/>
  <c r="AA41" i="2" a="1"/>
  <c r="AA41" i="2" s="1"/>
  <c r="AB41" i="2" a="1"/>
  <c r="AB41" i="2" s="1"/>
  <c r="AC41" i="2" a="1"/>
  <c r="AC41" i="2" s="1"/>
  <c r="AD41" i="2" a="1"/>
  <c r="AD41" i="2" s="1"/>
  <c r="AE41" i="2" a="1"/>
  <c r="AE41" i="2" s="1"/>
  <c r="AF41" i="2" a="1"/>
  <c r="AF41" i="2" s="1"/>
  <c r="AG41" i="2" a="1"/>
  <c r="AG41" i="2" s="1"/>
  <c r="AH41" i="2" a="1"/>
  <c r="AH41" i="2" s="1"/>
  <c r="AI41" i="2" a="1"/>
  <c r="AI41" i="2" s="1"/>
  <c r="AJ41" i="2" a="1"/>
  <c r="AJ41" i="2" s="1"/>
  <c r="AK41" i="2" a="1"/>
  <c r="AK41" i="2" s="1"/>
  <c r="AL41" i="2" a="1"/>
  <c r="AL41" i="2" s="1"/>
  <c r="AM41" i="2" a="1"/>
  <c r="AM41" i="2" s="1"/>
  <c r="AN41" i="2" a="1"/>
  <c r="AN41" i="2" s="1"/>
  <c r="AO41" i="2" a="1"/>
  <c r="AO41" i="2" s="1"/>
  <c r="AP41" i="2" a="1"/>
  <c r="AP41" i="2" s="1"/>
  <c r="AQ41" i="2" a="1"/>
  <c r="AQ41" i="2" s="1"/>
  <c r="AR41" i="2" a="1"/>
  <c r="AR41" i="2" s="1"/>
  <c r="AS41" i="2" a="1"/>
  <c r="AS41" i="2" s="1"/>
  <c r="AT41" i="2" a="1"/>
  <c r="AT41" i="2" s="1"/>
  <c r="AU41" i="2" a="1"/>
  <c r="AU41" i="2" s="1"/>
  <c r="AV41" i="2" a="1"/>
  <c r="AV41" i="2" s="1"/>
  <c r="AW41" i="2" a="1"/>
  <c r="AW41" i="2" s="1"/>
  <c r="AX41" i="2" a="1"/>
  <c r="AX41" i="2" s="1"/>
  <c r="AY41" i="2" a="1"/>
  <c r="AY41" i="2" s="1"/>
  <c r="AZ41" i="2" a="1"/>
  <c r="AZ41" i="2" s="1"/>
  <c r="BA41" i="2" a="1"/>
  <c r="BA41" i="2" s="1"/>
  <c r="BB41" i="2" a="1"/>
  <c r="BB41" i="2" s="1"/>
  <c r="BC41" i="2" a="1"/>
  <c r="BC41" i="2" s="1"/>
  <c r="BD41" i="2" a="1"/>
  <c r="BD41" i="2" s="1"/>
  <c r="BE41" i="2" a="1"/>
  <c r="BE41" i="2" s="1"/>
  <c r="BF41" i="2" a="1"/>
  <c r="BF41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Q42" i="2" a="1"/>
  <c r="Q42" i="2" s="1"/>
  <c r="R42" i="2" a="1"/>
  <c r="R42" i="2" s="1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Y42" i="2" a="1"/>
  <c r="Y42" i="2" s="1"/>
  <c r="Z42" i="2" a="1"/>
  <c r="Z42" i="2" s="1"/>
  <c r="AA42" i="2" a="1"/>
  <c r="AA42" i="2" s="1"/>
  <c r="AB42" i="2" a="1"/>
  <c r="AB42" i="2" s="1"/>
  <c r="AC42" i="2" a="1"/>
  <c r="AC42" i="2" s="1"/>
  <c r="AD42" i="2" a="1"/>
  <c r="AD42" i="2" s="1"/>
  <c r="AE42" i="2" a="1"/>
  <c r="AE42" i="2" s="1"/>
  <c r="AF42" i="2" a="1"/>
  <c r="AF42" i="2" s="1"/>
  <c r="AG42" i="2" a="1"/>
  <c r="AG42" i="2" s="1"/>
  <c r="AH42" i="2" a="1"/>
  <c r="AH42" i="2" s="1"/>
  <c r="AI42" i="2" a="1"/>
  <c r="AI42" i="2" s="1"/>
  <c r="AJ42" i="2" a="1"/>
  <c r="AJ42" i="2" s="1"/>
  <c r="AK42" i="2" a="1"/>
  <c r="AK42" i="2" s="1"/>
  <c r="AL42" i="2" a="1"/>
  <c r="AL42" i="2" s="1"/>
  <c r="AM42" i="2" a="1"/>
  <c r="AM42" i="2" s="1"/>
  <c r="AN42" i="2" a="1"/>
  <c r="AN42" i="2" s="1"/>
  <c r="AO42" i="2" a="1"/>
  <c r="AO42" i="2" s="1"/>
  <c r="AP42" i="2" a="1"/>
  <c r="AP42" i="2" s="1"/>
  <c r="AQ42" i="2" a="1"/>
  <c r="AQ42" i="2" s="1"/>
  <c r="AR42" i="2" a="1"/>
  <c r="AR42" i="2" s="1"/>
  <c r="AS42" i="2" a="1"/>
  <c r="AS42" i="2" s="1"/>
  <c r="AT42" i="2" a="1"/>
  <c r="AT42" i="2" s="1"/>
  <c r="AU42" i="2" a="1"/>
  <c r="AU42" i="2" s="1"/>
  <c r="AV42" i="2" a="1"/>
  <c r="AV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BD42" i="2" a="1"/>
  <c r="BD42" i="2" s="1"/>
  <c r="BE42" i="2" a="1"/>
  <c r="BE42" i="2" s="1"/>
  <c r="BF42" i="2" a="1"/>
  <c r="BF42" i="2" s="1"/>
  <c r="B1" i="3" a="1"/>
  <c r="B1" i="3" s="1"/>
  <c r="C35" i="3" a="1"/>
  <c r="C35" i="3" s="1"/>
  <c r="C40" i="3" a="1"/>
  <c r="C40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H29" i="4"/>
  <c r="H41" i="4" s="1"/>
  <c r="H42" i="4" s="1"/>
  <c r="I29" i="4"/>
  <c r="J29" i="4"/>
  <c r="J41" i="4" s="1"/>
  <c r="J42" i="4" s="1"/>
  <c r="K29" i="4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B29" i="4"/>
  <c r="AB41" i="4" s="1"/>
  <c r="AB42" i="4" s="1"/>
  <c r="AC29" i="4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A42" i="4" s="1"/>
  <c r="C41" i="4"/>
  <c r="C42" i="4" s="1"/>
  <c r="E41" i="4"/>
  <c r="E42" i="4" s="1"/>
  <c r="G41" i="4"/>
  <c r="G42" i="4" s="1"/>
  <c r="I41" i="4"/>
  <c r="I42" i="4" s="1"/>
  <c r="K41" i="4"/>
  <c r="K42" i="4" s="1"/>
  <c r="M41" i="4"/>
  <c r="M42" i="4" s="1"/>
  <c r="O41" i="4"/>
  <c r="O42" i="4" s="1"/>
  <c r="AA41" i="4"/>
  <c r="AA42" i="4" s="1"/>
  <c r="AC41" i="4"/>
  <c r="AC42" i="4" s="1"/>
  <c r="AE41" i="4"/>
  <c r="AE42" i="4" s="1"/>
  <c r="AG41" i="4"/>
  <c r="AG42" i="4" s="1"/>
  <c r="AI41" i="4"/>
  <c r="AI42" i="4" s="1"/>
  <c r="AK41" i="4"/>
  <c r="AK42" i="4" s="1"/>
  <c r="AM41" i="4"/>
  <c r="AM42" i="4" s="1"/>
  <c r="AO41" i="4"/>
  <c r="AO42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A21" i="1"/>
  <c r="AB21" i="1"/>
  <c r="AC21" i="1"/>
  <c r="AD21" i="1"/>
  <c r="A22" i="1"/>
  <c r="AA22" i="1"/>
  <c r="AB22" i="1"/>
  <c r="AC22" i="1"/>
  <c r="AD22" i="1"/>
  <c r="A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Y63" i="1"/>
  <c r="O64" i="1" a="1"/>
  <c r="O64" i="1" s="1"/>
  <c r="P64" i="1" a="1"/>
  <c r="P64" i="1" s="1"/>
  <c r="S65" i="1"/>
  <c r="W65" i="1"/>
  <c r="AO43" i="4"/>
  <c r="AM43" i="4"/>
  <c r="AK43" i="4"/>
  <c r="AI43" i="4"/>
  <c r="AG43" i="4"/>
  <c r="AE43" i="4"/>
  <c r="AC43" i="4"/>
  <c r="AA43" i="4"/>
  <c r="O43" i="4"/>
  <c r="M43" i="4"/>
  <c r="K43" i="4"/>
  <c r="I43" i="4"/>
  <c r="G43" i="4"/>
  <c r="E43" i="4"/>
  <c r="C43" i="4"/>
  <c r="L48" i="4" l="1"/>
  <c r="A7" i="7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0" i="2"/>
  <c r="CE42" i="2"/>
  <c r="AB3" i="1" a="1"/>
  <c r="AB3" i="1" s="1"/>
  <c r="AC63" i="1"/>
  <c r="BN40" i="3"/>
  <c r="AH40" i="3"/>
  <c r="AX40" i="3"/>
  <c r="R40" i="3"/>
  <c r="K36" i="3"/>
  <c r="BV40" i="3"/>
  <c r="BF40" i="3"/>
  <c r="AP40" i="3"/>
  <c r="Z40" i="3"/>
  <c r="J40" i="3"/>
  <c r="AQ36" i="3"/>
  <c r="AH35" i="3"/>
  <c r="K46" i="4"/>
  <c r="N46" i="4" s="1"/>
  <c r="C5" i="7" s="1"/>
  <c r="AA36" i="3"/>
  <c r="AX35" i="3"/>
  <c r="R35" i="3"/>
  <c r="BZ40" i="3"/>
  <c r="BR40" i="3"/>
  <c r="BJ40" i="3"/>
  <c r="BB40" i="3"/>
  <c r="AT40" i="3"/>
  <c r="AL40" i="3"/>
  <c r="AD40" i="3"/>
  <c r="V40" i="3"/>
  <c r="N40" i="3"/>
  <c r="F40" i="3"/>
  <c r="AY36" i="3"/>
  <c r="AI36" i="3"/>
  <c r="S36" i="3"/>
  <c r="C36" i="3"/>
  <c r="AP35" i="3"/>
  <c r="Z35" i="3"/>
  <c r="J35" i="3"/>
  <c r="BC36" i="3"/>
  <c r="AU36" i="3"/>
  <c r="AM36" i="3"/>
  <c r="AE36" i="3"/>
  <c r="W36" i="3"/>
  <c r="O36" i="3"/>
  <c r="G36" i="3"/>
  <c r="BB35" i="3"/>
  <c r="AT35" i="3"/>
  <c r="AL35" i="3"/>
  <c r="AD35" i="3"/>
  <c r="V35" i="3"/>
  <c r="N35" i="3"/>
  <c r="F35" i="3"/>
  <c r="CB40" i="3"/>
  <c r="BX40" i="3"/>
  <c r="BT40" i="3"/>
  <c r="BP40" i="3"/>
  <c r="BL40" i="3"/>
  <c r="BH40" i="3"/>
  <c r="BD40" i="3"/>
  <c r="AZ40" i="3"/>
  <c r="AV40" i="3"/>
  <c r="AR40" i="3"/>
  <c r="AN40" i="3"/>
  <c r="AJ40" i="3"/>
  <c r="AF40" i="3"/>
  <c r="AB40" i="3"/>
  <c r="X40" i="3"/>
  <c r="T40" i="3"/>
  <c r="P40" i="3"/>
  <c r="L40" i="3"/>
  <c r="H40" i="3"/>
  <c r="D40" i="3"/>
  <c r="BE36" i="3"/>
  <c r="BA36" i="3"/>
  <c r="AW36" i="3"/>
  <c r="AS36" i="3"/>
  <c r="AO36" i="3"/>
  <c r="AK36" i="3"/>
  <c r="AG36" i="3"/>
  <c r="AC36" i="3"/>
  <c r="Y36" i="3"/>
  <c r="U36" i="3"/>
  <c r="Q36" i="3"/>
  <c r="M36" i="3"/>
  <c r="I36" i="3"/>
  <c r="E36" i="3"/>
  <c r="BD35" i="3"/>
  <c r="AZ35" i="3"/>
  <c r="AV35" i="3"/>
  <c r="AR35" i="3"/>
  <c r="AN35" i="3"/>
  <c r="AJ35" i="3"/>
  <c r="AF35" i="3"/>
  <c r="AB35" i="3"/>
  <c r="X35" i="3"/>
  <c r="T35" i="3"/>
  <c r="P35" i="3"/>
  <c r="L35" i="3"/>
  <c r="H35" i="3"/>
  <c r="D35" i="3"/>
  <c r="BD36" i="3"/>
  <c r="BB36" i="3"/>
  <c r="AZ36" i="3"/>
  <c r="AX36" i="3"/>
  <c r="AV36" i="3"/>
  <c r="AT36" i="3"/>
  <c r="AR36" i="3"/>
  <c r="AP36" i="3"/>
  <c r="AN36" i="3"/>
  <c r="AL36" i="3"/>
  <c r="AJ36" i="3"/>
  <c r="AH36" i="3"/>
  <c r="AF36" i="3"/>
  <c r="AD36" i="3"/>
  <c r="AB36" i="3"/>
  <c r="Z36" i="3"/>
  <c r="X36" i="3"/>
  <c r="V36" i="3"/>
  <c r="T36" i="3"/>
  <c r="R36" i="3"/>
  <c r="P36" i="3"/>
  <c r="N36" i="3"/>
  <c r="L36" i="3"/>
  <c r="J36" i="3"/>
  <c r="H36" i="3"/>
  <c r="F36" i="3"/>
  <c r="D36" i="3"/>
  <c r="BE35" i="3"/>
  <c r="BC35" i="3"/>
  <c r="BA35" i="3"/>
  <c r="AY35" i="3"/>
  <c r="AW35" i="3"/>
  <c r="AU35" i="3"/>
  <c r="AS35" i="3"/>
  <c r="AQ35" i="3"/>
  <c r="AO35" i="3"/>
  <c r="AM35" i="3"/>
  <c r="AK35" i="3"/>
  <c r="AI35" i="3"/>
  <c r="AG35" i="3"/>
  <c r="AE35" i="3"/>
  <c r="AC35" i="3"/>
  <c r="AA35" i="3"/>
  <c r="Y35" i="3"/>
  <c r="W35" i="3"/>
  <c r="U35" i="3"/>
  <c r="S35" i="3"/>
  <c r="Q35" i="3"/>
  <c r="O35" i="3"/>
  <c r="M35" i="3"/>
  <c r="K35" i="3"/>
  <c r="I35" i="3"/>
  <c r="G35" i="3"/>
  <c r="E35" i="3"/>
  <c r="CC40" i="3"/>
  <c r="CA40" i="3"/>
  <c r="BY40" i="3"/>
  <c r="BW40" i="3"/>
  <c r="BU40" i="3"/>
  <c r="BS40" i="3"/>
  <c r="BQ40" i="3"/>
  <c r="BO40" i="3"/>
  <c r="BM40" i="3"/>
  <c r="BK40" i="3"/>
  <c r="BI40" i="3"/>
  <c r="BG40" i="3"/>
  <c r="BE40" i="3"/>
  <c r="BC40" i="3"/>
  <c r="BA40" i="3"/>
  <c r="AY40" i="3"/>
  <c r="AW40" i="3"/>
  <c r="AU40" i="3"/>
  <c r="AS40" i="3"/>
  <c r="AQ40" i="3"/>
  <c r="AO40" i="3"/>
  <c r="AM40" i="3"/>
  <c r="AK40" i="3"/>
  <c r="AI40" i="3"/>
  <c r="AG40" i="3"/>
  <c r="AE40" i="3"/>
  <c r="AC40" i="3"/>
  <c r="AA40" i="3"/>
  <c r="Y40" i="3"/>
  <c r="W40" i="3"/>
  <c r="U40" i="3"/>
  <c r="S40" i="3"/>
  <c r="Q40" i="3"/>
  <c r="O40" i="3"/>
  <c r="M40" i="3"/>
  <c r="K40" i="3"/>
  <c r="I40" i="3"/>
  <c r="G40" i="3"/>
  <c r="E40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0" i="2"/>
  <c r="CS40" i="2"/>
  <c r="CP40" i="2"/>
  <c r="CE41" i="2"/>
  <c r="CV40" i="2"/>
  <c r="CT40" i="2"/>
  <c r="CO40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O17" i="5"/>
  <c r="Z63" i="1"/>
  <c r="D45" i="2" a="1"/>
  <c r="AA2" i="1"/>
  <c r="AA63" i="1"/>
  <c r="AA3" i="1" a="1"/>
  <c r="AA3" i="1" s="1"/>
  <c r="AD63" i="1"/>
  <c r="AB63" i="1"/>
  <c r="CO42" i="2"/>
  <c r="P65" i="1"/>
  <c r="P66" i="1" s="1"/>
  <c r="H93" i="4"/>
  <c r="A5" i="5" s="1" a="1"/>
  <c r="CO41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N53" i="2"/>
  <c r="CE35" i="2"/>
  <c r="CE20" i="2"/>
  <c r="CE15" i="2"/>
  <c r="CI8" i="3"/>
  <c r="DD17" i="2"/>
  <c r="CY22" i="2"/>
  <c r="CZ8" i="2"/>
  <c r="DD27" i="2"/>
  <c r="CQ36" i="2"/>
  <c r="AY44" i="2"/>
  <c r="D51" i="2"/>
  <c r="CO12" i="3"/>
  <c r="BD34" i="3"/>
  <c r="H39" i="3"/>
  <c r="CI20" i="2"/>
  <c r="CY31" i="2"/>
  <c r="AE48" i="2"/>
  <c r="AC34" i="3"/>
  <c r="AS39" i="3"/>
  <c r="M48" i="2"/>
  <c r="S39" i="3"/>
  <c r="BD44" i="2"/>
  <c r="O39" i="3"/>
  <c r="CH15" i="2"/>
  <c r="CK12" i="2"/>
  <c r="CK11" i="2"/>
  <c r="CI14" i="3"/>
  <c r="CN17" i="2"/>
  <c r="CN24" i="2"/>
  <c r="CM5" i="2"/>
  <c r="CZ15" i="2"/>
  <c r="DD34" i="2"/>
  <c r="AK44" i="2"/>
  <c r="R50" i="2"/>
  <c r="CP10" i="3"/>
  <c r="AP34" i="3"/>
  <c r="AX38" i="3"/>
  <c r="BF39" i="3"/>
  <c r="DA28" i="2"/>
  <c r="BF44" i="2"/>
  <c r="CN14" i="3"/>
  <c r="Q39" i="3"/>
  <c r="L44" i="2"/>
  <c r="S38" i="3"/>
  <c r="DA38" i="2"/>
  <c r="O38" i="3"/>
  <c r="CH5" i="2"/>
  <c r="CG19" i="2"/>
  <c r="CK5" i="2"/>
  <c r="CK38" i="2"/>
  <c r="CM6" i="2"/>
  <c r="CI23" i="2"/>
  <c r="CI21" i="2"/>
  <c r="CM14" i="2"/>
  <c r="CZ31" i="2"/>
  <c r="W44" i="2"/>
  <c r="D50" i="2"/>
  <c r="CE8" i="3"/>
  <c r="AB34" i="3"/>
  <c r="AJ38" i="3"/>
  <c r="AR39" i="3"/>
  <c r="CI15" i="2"/>
  <c r="AD44" i="2"/>
  <c r="CQ8" i="3"/>
  <c r="AS38" i="3"/>
  <c r="DC30" i="2"/>
  <c r="S34" i="3"/>
  <c r="CY30" i="2"/>
  <c r="O34" i="3"/>
  <c r="CH13" i="2"/>
  <c r="E53" i="2"/>
  <c r="CK30" i="2"/>
  <c r="CE31" i="2"/>
  <c r="DA17" i="2"/>
  <c r="CQ24" i="2"/>
  <c r="DA19" i="2"/>
  <c r="DB11" i="2"/>
  <c r="CM30" i="2"/>
  <c r="I44" i="2"/>
  <c r="R48" i="2"/>
  <c r="Z51" i="2"/>
  <c r="N34" i="3"/>
  <c r="V38" i="3"/>
  <c r="AD39" i="3"/>
  <c r="CN11" i="2"/>
  <c r="DC38" i="2"/>
  <c r="S51" i="2"/>
  <c r="Q38" i="3"/>
  <c r="CY14" i="2"/>
  <c r="CO8" i="3"/>
  <c r="CN13" i="2"/>
  <c r="CG5" i="3"/>
  <c r="F53" i="2"/>
  <c r="S53" i="2"/>
  <c r="CG23" i="2"/>
  <c r="CG22" i="2"/>
  <c r="CQ12" i="2"/>
  <c r="CN6" i="2"/>
  <c r="CY21" i="2"/>
  <c r="CQ10" i="2"/>
  <c r="DB28" i="2"/>
  <c r="CM38" i="2"/>
  <c r="D48" i="2"/>
  <c r="L51" i="2"/>
  <c r="CO14" i="3"/>
  <c r="H38" i="3"/>
  <c r="P39" i="3"/>
  <c r="CN5" i="2"/>
  <c r="CI35" i="2"/>
  <c r="R53" i="2"/>
  <c r="AE51" i="2"/>
  <c r="CG27" i="2"/>
  <c r="CQ29" i="2"/>
  <c r="AT38" i="3"/>
  <c r="CN38" i="2"/>
  <c r="CH23" i="2"/>
  <c r="CQ6" i="2"/>
  <c r="DB30" i="2"/>
  <c r="T34" i="3"/>
  <c r="N44" i="2"/>
  <c r="E39" i="3"/>
  <c r="AY34" i="3"/>
  <c r="AU34" i="3"/>
  <c r="CG24" i="2"/>
  <c r="CK36" i="2"/>
  <c r="CZ23" i="2"/>
  <c r="CZ13" i="2"/>
  <c r="Q44" i="2"/>
  <c r="CH5" i="3"/>
  <c r="AD38" i="3"/>
  <c r="DC13" i="2"/>
  <c r="CI5" i="3"/>
  <c r="DC28" i="2"/>
  <c r="DA27" i="2"/>
  <c r="CE10" i="2"/>
  <c r="CG6" i="3"/>
  <c r="CQ34" i="2"/>
  <c r="AJ34" i="3"/>
  <c r="AT44" i="2"/>
  <c r="CH19" i="2"/>
  <c r="K53" i="2"/>
  <c r="CK27" i="2"/>
  <c r="CK28" i="2"/>
  <c r="CM12" i="2"/>
  <c r="DD24" i="2"/>
  <c r="CY20" i="2"/>
  <c r="CM11" i="2"/>
  <c r="CZ29" i="2"/>
  <c r="DD38" i="2"/>
  <c r="L48" i="2"/>
  <c r="T51" i="2"/>
  <c r="H34" i="3"/>
  <c r="P38" i="3"/>
  <c r="X39" i="3"/>
  <c r="CI10" i="2"/>
  <c r="DA36" i="2"/>
  <c r="G51" i="2"/>
  <c r="E38" i="3"/>
  <c r="CI11" i="2"/>
  <c r="U51" i="2"/>
  <c r="DC8" i="2"/>
  <c r="I51" i="2"/>
  <c r="L53" i="2"/>
  <c r="CH36" i="2"/>
  <c r="CG21" i="2"/>
  <c r="CG17" i="2"/>
  <c r="CF5" i="3"/>
  <c r="CZ17" i="2"/>
  <c r="CN22" i="2"/>
  <c r="DB8" i="2"/>
  <c r="CM28" i="2"/>
  <c r="CZ36" i="2"/>
  <c r="BA44" i="2"/>
  <c r="F51" i="2"/>
  <c r="CQ12" i="3"/>
  <c r="BF34" i="3"/>
  <c r="J39" i="3"/>
  <c r="DD19" i="2"/>
  <c r="DC31" i="2"/>
  <c r="G50" i="2"/>
  <c r="AG34" i="3"/>
  <c r="AW39" i="3"/>
  <c r="U48" i="2"/>
  <c r="AA39" i="3"/>
  <c r="I48" i="2"/>
  <c r="W39" i="3"/>
  <c r="CH17" i="2"/>
  <c r="CE12" i="2"/>
  <c r="CE11" i="2"/>
  <c r="DD12" i="2"/>
  <c r="DD6" i="2"/>
  <c r="DC23" i="2"/>
  <c r="CQ5" i="2"/>
  <c r="DB15" i="2"/>
  <c r="CM35" i="2"/>
  <c r="AM44" i="2"/>
  <c r="T50" i="2"/>
  <c r="CE11" i="3"/>
  <c r="AR34" i="3"/>
  <c r="AZ38" i="3"/>
  <c r="CM22" i="2"/>
  <c r="CI29" i="2"/>
  <c r="G48" i="2"/>
  <c r="E34" i="3"/>
  <c r="U39" i="3"/>
  <c r="T44" i="2"/>
  <c r="AA38" i="3"/>
  <c r="H44" i="2"/>
  <c r="W38" i="3"/>
  <c r="CE5" i="2"/>
  <c r="CK19" i="2"/>
  <c r="CG6" i="2"/>
  <c r="CJ11" i="3"/>
  <c r="CF6" i="3"/>
  <c r="DD22" i="2"/>
  <c r="DD20" i="2"/>
  <c r="CQ14" i="2"/>
  <c r="DB31" i="2"/>
  <c r="Y44" i="2"/>
  <c r="F50" i="2"/>
  <c r="CG8" i="3"/>
  <c r="AD34" i="3"/>
  <c r="AL38" i="3"/>
  <c r="AT39" i="3"/>
  <c r="CY15" i="2"/>
  <c r="AH44" i="2"/>
  <c r="CI10" i="3"/>
  <c r="AW38" i="3"/>
  <c r="DA31" i="2"/>
  <c r="AA34" i="3"/>
  <c r="CN31" i="2"/>
  <c r="W34" i="3"/>
  <c r="CH20" i="2"/>
  <c r="CG8" i="2"/>
  <c r="CE30" i="2"/>
  <c r="CG35" i="2"/>
  <c r="CY17" i="2"/>
  <c r="CM24" i="2"/>
  <c r="CY19" i="2"/>
  <c r="DD11" i="2"/>
  <c r="CQ30" i="2"/>
  <c r="K44" i="2"/>
  <c r="T48" i="2"/>
  <c r="AB51" i="2"/>
  <c r="P34" i="3"/>
  <c r="X38" i="3"/>
  <c r="AF39" i="3"/>
  <c r="DA11" i="2"/>
  <c r="F44" i="2"/>
  <c r="CG15" i="2"/>
  <c r="CI28" i="2"/>
  <c r="CJ5" i="3"/>
  <c r="AG44" i="2"/>
  <c r="DA8" i="2"/>
  <c r="C38" i="3"/>
  <c r="CE8" i="2"/>
  <c r="DB23" i="2"/>
  <c r="O44" i="2"/>
  <c r="AB38" i="3"/>
  <c r="AA50" i="2"/>
  <c r="CY8" i="2"/>
  <c r="CY5" i="2"/>
  <c r="CH30" i="2"/>
  <c r="CK24" i="2"/>
  <c r="CI24" i="2"/>
  <c r="CE36" i="2"/>
  <c r="DA6" i="2"/>
  <c r="CQ23" i="2"/>
  <c r="DB21" i="2"/>
  <c r="DB13" i="2"/>
  <c r="CM31" i="2"/>
  <c r="S44" i="2"/>
  <c r="AB48" i="2"/>
  <c r="CN5" i="3"/>
  <c r="X34" i="3"/>
  <c r="AF38" i="3"/>
  <c r="AN39" i="3"/>
  <c r="CN14" i="2"/>
  <c r="V44" i="2"/>
  <c r="CQ5" i="3"/>
  <c r="AK38" i="3"/>
  <c r="CN29" i="2"/>
  <c r="C34" i="3"/>
  <c r="CY28" i="2"/>
  <c r="CG14" i="3"/>
  <c r="CH29" i="2"/>
  <c r="I53" i="2"/>
  <c r="CE27" i="2"/>
  <c r="CG31" i="2"/>
  <c r="CQ17" i="2"/>
  <c r="DB24" i="2"/>
  <c r="CN20" i="2"/>
  <c r="CQ11" i="2"/>
  <c r="DB29" i="2"/>
  <c r="E44" i="2"/>
  <c r="N48" i="2"/>
  <c r="V51" i="2"/>
  <c r="J34" i="3"/>
  <c r="R38" i="3"/>
  <c r="Z39" i="3"/>
  <c r="CY10" i="2"/>
  <c r="CI38" i="2"/>
  <c r="K51" i="2"/>
  <c r="I38" i="3"/>
  <c r="DC11" i="2"/>
  <c r="AC51" i="2"/>
  <c r="DA10" i="2"/>
  <c r="Q51" i="2"/>
  <c r="J53" i="2"/>
  <c r="CH38" i="2"/>
  <c r="CK21" i="2"/>
  <c r="CK17" i="2"/>
  <c r="CJ10" i="3"/>
  <c r="CI17" i="2"/>
  <c r="DC21" i="2"/>
  <c r="DD8" i="2"/>
  <c r="CQ28" i="2"/>
  <c r="DB36" i="2"/>
  <c r="BC44" i="2"/>
  <c r="H51" i="2"/>
  <c r="CF14" i="3"/>
  <c r="D38" i="3"/>
  <c r="L39" i="3"/>
  <c r="CZ19" i="2"/>
  <c r="CN34" i="2"/>
  <c r="K50" i="2"/>
  <c r="AK34" i="3"/>
  <c r="BA39" i="3"/>
  <c r="AC48" i="2"/>
  <c r="AI39" i="3"/>
  <c r="Q48" i="2"/>
  <c r="AE39" i="3"/>
  <c r="CH22" i="2"/>
  <c r="CG13" i="2"/>
  <c r="CG14" i="2"/>
  <c r="DB12" i="2"/>
  <c r="CZ6" i="2"/>
  <c r="DA23" i="2"/>
  <c r="CZ5" i="2"/>
  <c r="DD15" i="2"/>
  <c r="CQ35" i="2"/>
  <c r="AO44" i="2"/>
  <c r="V50" i="2"/>
  <c r="CG11" i="3"/>
  <c r="AT34" i="3"/>
  <c r="BB38" i="3"/>
  <c r="DD21" i="2"/>
  <c r="CY29" i="2"/>
  <c r="K48" i="2"/>
  <c r="I34" i="3"/>
  <c r="Y39" i="3"/>
  <c r="AB44" i="2"/>
  <c r="AI38" i="3"/>
  <c r="P44" i="2"/>
  <c r="AE38" i="3"/>
  <c r="CH6" i="2"/>
  <c r="CE19" i="2"/>
  <c r="CK6" i="2"/>
  <c r="CJ6" i="3"/>
  <c r="CQ6" i="3"/>
  <c r="DB22" i="2"/>
  <c r="CZ20" i="2"/>
  <c r="CZ14" i="2"/>
  <c r="DD31" i="2"/>
  <c r="AA44" i="2"/>
  <c r="H50" i="2"/>
  <c r="CN8" i="3"/>
  <c r="AF34" i="3"/>
  <c r="AN38" i="3"/>
  <c r="AV39" i="3"/>
  <c r="DC15" i="2"/>
  <c r="AL44" i="2"/>
  <c r="CZ27" i="2"/>
  <c r="DA15" i="2"/>
  <c r="DA24" i="2"/>
  <c r="R51" i="2"/>
  <c r="AX44" i="2"/>
  <c r="CI36" i="2"/>
  <c r="CK34" i="2"/>
  <c r="CQ22" i="2"/>
  <c r="X48" i="2"/>
  <c r="AJ39" i="3"/>
  <c r="CQ11" i="3"/>
  <c r="CY36" i="2"/>
  <c r="CN35" i="2"/>
  <c r="CH27" i="2"/>
  <c r="CE34" i="2"/>
  <c r="DC6" i="2"/>
  <c r="CI22" i="2"/>
  <c r="CH14" i="2"/>
  <c r="CG12" i="2"/>
  <c r="CG11" i="2"/>
  <c r="CF10" i="3"/>
  <c r="DB17" i="2"/>
  <c r="CY24" i="2"/>
  <c r="CI19" i="2"/>
  <c r="CQ15" i="2"/>
  <c r="DB34" i="2"/>
  <c r="AI44" i="2"/>
  <c r="P50" i="2"/>
  <c r="CN10" i="3"/>
  <c r="AN34" i="3"/>
  <c r="AV38" i="3"/>
  <c r="BD39" i="3"/>
  <c r="CN28" i="2"/>
  <c r="BB44" i="2"/>
  <c r="CE14" i="3"/>
  <c r="M39" i="3"/>
  <c r="D44" i="2"/>
  <c r="K38" i="3"/>
  <c r="DC36" i="2"/>
  <c r="G38" i="3"/>
  <c r="CH34" i="2"/>
  <c r="CE24" i="2"/>
  <c r="CG5" i="2"/>
  <c r="CG38" i="2"/>
  <c r="CY6" i="2"/>
  <c r="CM23" i="2"/>
  <c r="CQ21" i="2"/>
  <c r="DD13" i="2"/>
  <c r="CQ31" i="2"/>
  <c r="U44" i="2"/>
  <c r="AD48" i="2"/>
  <c r="CP5" i="3"/>
  <c r="Z34" i="3"/>
  <c r="AH38" i="3"/>
  <c r="AP39" i="3"/>
  <c r="DA14" i="2"/>
  <c r="Z44" i="2"/>
  <c r="CH8" i="3"/>
  <c r="AO38" i="3"/>
  <c r="CI30" i="2"/>
  <c r="K34" i="3"/>
  <c r="DA29" i="2"/>
  <c r="G34" i="3"/>
  <c r="CH12" i="2"/>
  <c r="G53" i="2"/>
  <c r="CG30" i="2"/>
  <c r="CK31" i="2"/>
  <c r="DC17" i="2"/>
  <c r="CZ24" i="2"/>
  <c r="DC19" i="2"/>
  <c r="CZ11" i="2"/>
  <c r="DD29" i="2"/>
  <c r="G44" i="2"/>
  <c r="P48" i="2"/>
  <c r="X51" i="2"/>
  <c r="L34" i="3"/>
  <c r="T38" i="3"/>
  <c r="AB39" i="3"/>
  <c r="DC10" i="2"/>
  <c r="CY38" i="2"/>
  <c r="O51" i="2"/>
  <c r="M38" i="3"/>
  <c r="DA13" i="2"/>
  <c r="CO5" i="3"/>
  <c r="CY11" i="2"/>
  <c r="Y51" i="2"/>
  <c r="H53" i="2"/>
  <c r="CE38" i="2"/>
  <c r="CE21" i="2"/>
  <c r="CE17" i="2"/>
  <c r="CJ14" i="3"/>
  <c r="DB6" i="2"/>
  <c r="DA21" i="2"/>
  <c r="CM10" i="2"/>
  <c r="CZ28" i="2"/>
  <c r="DD36" i="2"/>
  <c r="BE44" i="2"/>
  <c r="J51" i="2"/>
  <c r="CH14" i="3"/>
  <c r="F38" i="3"/>
  <c r="N39" i="3"/>
  <c r="CM19" i="2"/>
  <c r="DA34" i="2"/>
  <c r="O50" i="2"/>
  <c r="AO34" i="3"/>
  <c r="BE39" i="3"/>
  <c r="I50" i="2"/>
  <c r="AQ39" i="3"/>
  <c r="Y48" i="2"/>
  <c r="AM39" i="3"/>
  <c r="CH28" i="2"/>
  <c r="CK13" i="2"/>
  <c r="CK14" i="2"/>
  <c r="CZ12" i="2"/>
  <c r="CI6" i="2"/>
  <c r="CY23" i="2"/>
  <c r="DB5" i="2"/>
  <c r="CM27" i="2"/>
  <c r="CZ35" i="2"/>
  <c r="AQ44" i="2"/>
  <c r="X50" i="2"/>
  <c r="CN11" i="3"/>
  <c r="AV34" i="3"/>
  <c r="BD38" i="3"/>
  <c r="CZ21" i="2"/>
  <c r="DC29" i="2"/>
  <c r="O48" i="2"/>
  <c r="AZ34" i="3"/>
  <c r="CH24" i="2"/>
  <c r="DD10" i="2"/>
  <c r="F34" i="3"/>
  <c r="BE34" i="3"/>
  <c r="BC34" i="3"/>
  <c r="CG36" i="2"/>
  <c r="CQ13" i="2"/>
  <c r="CE5" i="3"/>
  <c r="CY13" i="2"/>
  <c r="BA34" i="3"/>
  <c r="E51" i="2"/>
  <c r="U50" i="2"/>
  <c r="CH35" i="2"/>
  <c r="CK15" i="2"/>
  <c r="CN12" i="2"/>
  <c r="CQ8" i="2"/>
  <c r="CM36" i="2"/>
  <c r="AD50" i="2"/>
  <c r="BB34" i="3"/>
  <c r="CQ20" i="2"/>
  <c r="AA48" i="2"/>
  <c r="AO39" i="3"/>
  <c r="K39" i="3"/>
  <c r="G39" i="3"/>
  <c r="CJ8" i="3"/>
  <c r="DD14" i="2"/>
  <c r="CE10" i="3"/>
  <c r="CY27" i="2"/>
  <c r="U38" i="3"/>
  <c r="CO10" i="3"/>
  <c r="CF8" i="3"/>
  <c r="Q53" i="2"/>
  <c r="CK22" i="2"/>
  <c r="CF12" i="3"/>
  <c r="CZ10" i="2"/>
  <c r="CQ38" i="2"/>
  <c r="N51" i="2"/>
  <c r="J38" i="3"/>
  <c r="DA5" i="2"/>
  <c r="W50" i="2"/>
  <c r="DC5" i="2"/>
  <c r="C42" i="3"/>
  <c r="P53" i="2"/>
  <c r="DB27" i="2"/>
  <c r="CH12" i="3"/>
  <c r="CI31" i="2"/>
  <c r="E48" i="2"/>
  <c r="CK29" i="2"/>
  <c r="AE44" i="2"/>
  <c r="W51" i="2"/>
  <c r="AJ44" i="2"/>
  <c r="AM38" i="3"/>
  <c r="CK23" i="2"/>
  <c r="CO6" i="3"/>
  <c r="DB14" i="2"/>
  <c r="F48" i="2"/>
  <c r="AH34" i="3"/>
  <c r="CI27" i="2"/>
  <c r="AW34" i="3"/>
  <c r="AQ34" i="3"/>
  <c r="BC39" i="3"/>
  <c r="CP6" i="3"/>
  <c r="AU44" i="2"/>
  <c r="DB20" i="2"/>
  <c r="AC38" i="3"/>
  <c r="C39" i="3"/>
  <c r="CH11" i="2"/>
  <c r="CG28" i="2"/>
  <c r="DA20" i="2"/>
  <c r="DB38" i="2"/>
  <c r="AL34" i="3"/>
  <c r="DC27" i="2"/>
  <c r="I39" i="3"/>
  <c r="AC50" i="2"/>
  <c r="CE22" i="2"/>
  <c r="DB10" i="2"/>
  <c r="P51" i="2"/>
  <c r="CN8" i="2"/>
  <c r="AS34" i="3"/>
  <c r="Q50" i="2"/>
  <c r="E50" i="2"/>
  <c r="CE28" i="2"/>
  <c r="CE14" i="2"/>
  <c r="CH6" i="3"/>
  <c r="DD5" i="2"/>
  <c r="DB35" i="2"/>
  <c r="Z50" i="2"/>
  <c r="AX34" i="3"/>
  <c r="CM21" i="2"/>
  <c r="S48" i="2"/>
  <c r="AG39" i="3"/>
  <c r="AY38" i="3"/>
  <c r="AU38" i="3"/>
  <c r="M44" i="2"/>
  <c r="CI13" i="2"/>
  <c r="M51" i="2"/>
  <c r="CI5" i="2"/>
  <c r="CE13" i="2"/>
  <c r="AS44" i="2"/>
  <c r="CN30" i="2"/>
  <c r="CK20" i="2"/>
  <c r="DD30" i="2"/>
  <c r="V34" i="3"/>
  <c r="R44" i="2"/>
  <c r="CP14" i="3"/>
  <c r="CG10" i="2"/>
  <c r="L50" i="2"/>
  <c r="M34" i="3"/>
  <c r="AQ38" i="3"/>
  <c r="D53" i="2"/>
  <c r="CE6" i="2"/>
  <c r="CZ22" i="2"/>
  <c r="DD28" i="2"/>
  <c r="J50" i="2"/>
  <c r="AP38" i="3"/>
  <c r="CY35" i="2"/>
  <c r="BE38" i="3"/>
  <c r="DC34" i="2"/>
  <c r="CH31" i="2"/>
  <c r="DC22" i="2"/>
  <c r="AB50" i="2"/>
  <c r="DA30" i="2"/>
  <c r="AK39" i="3"/>
  <c r="AN44" i="2"/>
  <c r="M53" i="2"/>
  <c r="CY12" i="2"/>
  <c r="CQ19" i="2"/>
  <c r="J48" i="2"/>
  <c r="N38" i="3"/>
  <c r="CN36" i="2"/>
  <c r="CN10" i="2"/>
  <c r="CH8" i="2"/>
  <c r="DA12" i="2"/>
  <c r="CM29" i="2"/>
  <c r="D34" i="3"/>
  <c r="DC35" i="2"/>
  <c r="BA38" i="3"/>
  <c r="AI34" i="3"/>
  <c r="AE34" i="3"/>
  <c r="CK8" i="2"/>
  <c r="CK35" i="2"/>
  <c r="DD23" i="2"/>
  <c r="CM13" i="2"/>
  <c r="AD51" i="2"/>
  <c r="AA51" i="2"/>
  <c r="O53" i="2"/>
  <c r="CZ38" i="2"/>
  <c r="AY39" i="3"/>
  <c r="CN23" i="2"/>
  <c r="BF38" i="3"/>
  <c r="AR44" i="2"/>
  <c r="CI12" i="3"/>
  <c r="AW44" i="2"/>
  <c r="F39" i="3"/>
  <c r="Y34" i="3"/>
  <c r="AV44" i="2"/>
  <c r="DC24" i="2"/>
  <c r="AR38" i="3"/>
  <c r="AC39" i="3"/>
  <c r="CI14" i="2"/>
  <c r="CH10" i="2"/>
  <c r="CJ12" i="3"/>
  <c r="CN21" i="2"/>
  <c r="CM34" i="2"/>
  <c r="CP8" i="3"/>
  <c r="R39" i="3"/>
  <c r="AP44" i="2"/>
  <c r="DA35" i="2"/>
  <c r="M50" i="2"/>
  <c r="CG20" i="2"/>
  <c r="CM8" i="2"/>
  <c r="CE12" i="3"/>
  <c r="W48" i="2"/>
  <c r="AZ44" i="2"/>
  <c r="CF11" i="3"/>
  <c r="CE29" i="2"/>
  <c r="CI12" i="2"/>
  <c r="CM15" i="2"/>
  <c r="N50" i="2"/>
  <c r="V39" i="3"/>
  <c r="CN6" i="3"/>
  <c r="S50" i="2"/>
  <c r="CQ27" i="2"/>
  <c r="DA22" i="2"/>
  <c r="Z48" i="2"/>
  <c r="AL39" i="3"/>
  <c r="AG38" i="3"/>
  <c r="CG12" i="3"/>
  <c r="DB19" i="2"/>
  <c r="AZ39" i="3"/>
  <c r="CN15" i="2"/>
  <c r="X44" i="2"/>
  <c r="CG29" i="2"/>
  <c r="DC12" i="2"/>
  <c r="CM20" i="2"/>
  <c r="AC44" i="2"/>
  <c r="CQ14" i="3"/>
  <c r="AX39" i="3"/>
  <c r="CH11" i="3"/>
  <c r="Y50" i="2"/>
  <c r="AM34" i="3"/>
  <c r="CI6" i="3"/>
  <c r="DD35" i="2"/>
  <c r="D39" i="3"/>
  <c r="U34" i="3"/>
  <c r="CP12" i="3"/>
  <c r="BC38" i="3"/>
  <c r="CK10" i="2"/>
  <c r="CE6" i="3"/>
  <c r="CZ34" i="2"/>
  <c r="CH10" i="3"/>
  <c r="BB39" i="3"/>
  <c r="CN12" i="3"/>
  <c r="CI8" i="2"/>
  <c r="CE23" i="2"/>
  <c r="DC20" i="2"/>
  <c r="H48" i="2"/>
  <c r="T39" i="3"/>
  <c r="CQ10" i="3"/>
  <c r="CY34" i="2"/>
  <c r="CI34" i="2"/>
  <c r="CH21" i="2"/>
  <c r="CG34" i="2"/>
  <c r="CM17" i="2"/>
  <c r="CN19" i="2"/>
  <c r="CZ30" i="2"/>
  <c r="V48" i="2"/>
  <c r="R34" i="3"/>
  <c r="AH39" i="3"/>
  <c r="J44" i="2"/>
  <c r="Y38" i="3"/>
  <c r="CO11" i="3"/>
  <c r="CG10" i="3"/>
  <c r="Z38" i="3"/>
  <c r="CN27" i="2"/>
  <c r="DC14" i="2"/>
  <c r="AE50" i="2"/>
  <c r="L38" i="3"/>
  <c r="AU39" i="3"/>
  <c r="CI11" i="3"/>
  <c r="CP11" i="3"/>
  <c r="Q34" i="3"/>
  <c r="AF44" i="2"/>
  <c r="AG76" i="3"/>
  <c r="AK76" i="3"/>
  <c r="AR75" i="3"/>
  <c r="F71" i="3"/>
  <c r="AO71" i="3"/>
  <c r="M75" i="3"/>
  <c r="S75" i="3"/>
  <c r="S76" i="3"/>
  <c r="R71" i="3"/>
  <c r="C79" i="3"/>
  <c r="AG75" i="3"/>
  <c r="H75" i="3"/>
  <c r="V75" i="3"/>
  <c r="L76" i="3"/>
  <c r="AG71" i="3"/>
  <c r="E75" i="3"/>
  <c r="AL71" i="3"/>
  <c r="U75" i="3"/>
  <c r="T71" i="3"/>
  <c r="Y76" i="3"/>
  <c r="S71" i="3"/>
  <c r="G71" i="3"/>
  <c r="O76" i="3"/>
  <c r="H71" i="3"/>
  <c r="AH76" i="3"/>
  <c r="D76" i="3"/>
  <c r="K76" i="3"/>
  <c r="AN75" i="3"/>
  <c r="N76" i="3"/>
  <c r="AR76" i="3"/>
  <c r="AO75" i="3"/>
  <c r="M76" i="3"/>
  <c r="AJ76" i="3"/>
  <c r="W76" i="3"/>
  <c r="AN71" i="3"/>
  <c r="AJ71" i="3"/>
  <c r="AK71" i="3"/>
  <c r="V71" i="3"/>
  <c r="AB71" i="3"/>
  <c r="C75" i="3"/>
  <c r="AA76" i="3"/>
  <c r="Z75" i="3"/>
  <c r="AM71" i="3"/>
  <c r="AO76" i="3"/>
  <c r="X75" i="3"/>
  <c r="AL75" i="3"/>
  <c r="AB76" i="3"/>
  <c r="I75" i="3"/>
  <c r="AK75" i="3"/>
  <c r="L75" i="3"/>
  <c r="J75" i="3"/>
  <c r="AD75" i="3"/>
  <c r="AE75" i="3"/>
  <c r="AE76" i="3"/>
  <c r="AR71" i="3"/>
  <c r="AH75" i="3"/>
  <c r="H76" i="3"/>
  <c r="Q71" i="3"/>
  <c r="U71" i="3"/>
  <c r="G76" i="3"/>
  <c r="P76" i="3"/>
  <c r="AD76" i="3"/>
  <c r="E71" i="3"/>
  <c r="Q76" i="3"/>
  <c r="C71" i="3"/>
  <c r="AI71" i="3"/>
  <c r="R76" i="3"/>
  <c r="AL76" i="3"/>
  <c r="P71" i="3"/>
  <c r="AD71" i="3"/>
  <c r="T75" i="3"/>
  <c r="Z76" i="3"/>
  <c r="AN76" i="3"/>
  <c r="V76" i="3"/>
  <c r="AI75" i="3"/>
  <c r="Z71" i="3"/>
  <c r="AC75" i="3"/>
  <c r="AF76" i="3"/>
  <c r="K71" i="3"/>
  <c r="D71" i="3"/>
  <c r="W71" i="3"/>
  <c r="R75" i="3"/>
  <c r="C76" i="3"/>
  <c r="Q75" i="3"/>
  <c r="G75" i="3"/>
  <c r="T76" i="3"/>
  <c r="AP75" i="3"/>
  <c r="F76" i="3"/>
  <c r="AM76" i="3"/>
  <c r="N71" i="3"/>
  <c r="D75" i="3"/>
  <c r="J76" i="3"/>
  <c r="X76" i="3"/>
  <c r="N75" i="3"/>
  <c r="AC76" i="3"/>
  <c r="AB75" i="3"/>
  <c r="AA71" i="3"/>
  <c r="AA75" i="3"/>
  <c r="O75" i="3"/>
  <c r="J71" i="3"/>
  <c r="X71" i="3"/>
  <c r="AE71" i="3"/>
  <c r="AQ71" i="3"/>
  <c r="Y71" i="3"/>
  <c r="AF71" i="3"/>
  <c r="F75" i="3"/>
  <c r="AJ75" i="3"/>
  <c r="AP76" i="3"/>
  <c r="AC71" i="3"/>
  <c r="I76" i="3"/>
  <c r="AM75" i="3"/>
  <c r="E76" i="3"/>
  <c r="AQ76" i="3"/>
  <c r="O71" i="3"/>
  <c r="L71" i="3"/>
  <c r="AP71" i="3"/>
  <c r="P75" i="3"/>
  <c r="AQ75" i="3"/>
  <c r="AI76" i="3"/>
  <c r="Y75" i="3"/>
  <c r="I71" i="3"/>
  <c r="K75" i="3"/>
  <c r="AH71" i="3"/>
  <c r="W75" i="3"/>
  <c r="AF75" i="3"/>
  <c r="M71" i="3"/>
  <c r="U76" i="3"/>
  <c r="CL34" i="2" l="1"/>
  <c r="DE34" i="2" s="1"/>
  <c r="CJ34" i="2"/>
  <c r="CF23" i="2"/>
  <c r="CJ8" i="2"/>
  <c r="DH10" i="2"/>
  <c r="CL29" i="2"/>
  <c r="DE29" i="2" s="1"/>
  <c r="DI27" i="2"/>
  <c r="CJ12" i="2"/>
  <c r="CF29" i="2"/>
  <c r="CT11" i="3"/>
  <c r="CM11" i="3"/>
  <c r="CL20" i="2"/>
  <c r="DE20" i="2" s="1"/>
  <c r="CK12" i="3"/>
  <c r="CR12" i="3" s="1"/>
  <c r="CL12" i="3"/>
  <c r="CJ14" i="2"/>
  <c r="DH35" i="2"/>
  <c r="DH8" i="2"/>
  <c r="DI19" i="2"/>
  <c r="CF6" i="2"/>
  <c r="CL10" i="2"/>
  <c r="DE10" i="2" s="1"/>
  <c r="DH20" i="2"/>
  <c r="CF13" i="2"/>
  <c r="CJ5" i="2"/>
  <c r="CI44" i="2"/>
  <c r="CJ13" i="2"/>
  <c r="DD40" i="2"/>
  <c r="CF14" i="2"/>
  <c r="CF28" i="2"/>
  <c r="CF22" i="2"/>
  <c r="CL28" i="2"/>
  <c r="DE28" i="2" s="1"/>
  <c r="CE39" i="3"/>
  <c r="CJ27" i="2"/>
  <c r="DH23" i="2"/>
  <c r="DH29" i="2"/>
  <c r="CJ31" i="2"/>
  <c r="DC40" i="2"/>
  <c r="DA40" i="2"/>
  <c r="DI38" i="2"/>
  <c r="CM12" i="3"/>
  <c r="CT12" i="3"/>
  <c r="DH22" i="2"/>
  <c r="CM8" i="3"/>
  <c r="CT8" i="3"/>
  <c r="CL8" i="3"/>
  <c r="CK8" i="3"/>
  <c r="CR8" i="3" s="1"/>
  <c r="DI20" i="2"/>
  <c r="DI8" i="2"/>
  <c r="DH15" i="2"/>
  <c r="DI13" i="2"/>
  <c r="CL36" i="2"/>
  <c r="DE36" i="2" s="1"/>
  <c r="CX36" i="2"/>
  <c r="DB40" i="2"/>
  <c r="CJ6" i="2"/>
  <c r="DH14" i="2"/>
  <c r="DH13" i="2"/>
  <c r="CR14" i="3"/>
  <c r="CK14" i="3"/>
  <c r="CL14" i="3"/>
  <c r="CF17" i="2"/>
  <c r="CF21" i="2"/>
  <c r="CF38" i="2"/>
  <c r="DH31" i="2"/>
  <c r="CL30" i="2"/>
  <c r="DE30" i="2" s="1"/>
  <c r="CJ30" i="2"/>
  <c r="CP3" i="3"/>
  <c r="DI31" i="2"/>
  <c r="DI21" i="2"/>
  <c r="CL38" i="2"/>
  <c r="DE38" i="2" s="1"/>
  <c r="CX38" i="2"/>
  <c r="CL5" i="2"/>
  <c r="DE5" i="2" s="1"/>
  <c r="CG44" i="2"/>
  <c r="CF24" i="2"/>
  <c r="CE44" i="2"/>
  <c r="CO44" i="2"/>
  <c r="DI15" i="2"/>
  <c r="CJ19" i="2"/>
  <c r="CM10" i="3"/>
  <c r="CT10" i="3"/>
  <c r="CL11" i="2"/>
  <c r="DE11" i="2" s="1"/>
  <c r="CL12" i="2"/>
  <c r="DE12" i="2" s="1"/>
  <c r="CJ22" i="2"/>
  <c r="CF34" i="2"/>
  <c r="DI22" i="2"/>
  <c r="DH34" i="2"/>
  <c r="CJ36" i="2"/>
  <c r="CL6" i="3"/>
  <c r="CK6" i="3"/>
  <c r="CR6" i="3" s="1"/>
  <c r="DH6" i="2"/>
  <c r="CF19" i="2"/>
  <c r="DI35" i="2"/>
  <c r="CZ40" i="2"/>
  <c r="CL14" i="2"/>
  <c r="DE14" i="2" s="1"/>
  <c r="CL13" i="2"/>
  <c r="DE13" i="2" s="1"/>
  <c r="CT14" i="3"/>
  <c r="CM14" i="3"/>
  <c r="DI28" i="2"/>
  <c r="CJ17" i="2"/>
  <c r="CK10" i="3"/>
  <c r="CR10" i="3"/>
  <c r="CL10" i="3"/>
  <c r="DH17" i="2"/>
  <c r="DH21" i="2"/>
  <c r="CJ38" i="2"/>
  <c r="DI11" i="2"/>
  <c r="DI17" i="2"/>
  <c r="CL31" i="2"/>
  <c r="DE31" i="2" s="1"/>
  <c r="CF27" i="2"/>
  <c r="CE34" i="3"/>
  <c r="CQ3" i="3"/>
  <c r="DI23" i="2"/>
  <c r="CF36" i="2"/>
  <c r="CJ24" i="2"/>
  <c r="DH24" i="2"/>
  <c r="CY40" i="2"/>
  <c r="CF8" i="2"/>
  <c r="CE38" i="3"/>
  <c r="CR5" i="3"/>
  <c r="CK5" i="3"/>
  <c r="CL5" i="3"/>
  <c r="CJ34" i="3"/>
  <c r="CJ28" i="2"/>
  <c r="CL15" i="2"/>
  <c r="DE15" i="2" s="1"/>
  <c r="DI30" i="2"/>
  <c r="CL35" i="2"/>
  <c r="DE35" i="2" s="1"/>
  <c r="CX35" i="2"/>
  <c r="CF30" i="2"/>
  <c r="CL8" i="2"/>
  <c r="DE8" i="2" s="1"/>
  <c r="DF18" i="2" s="1"/>
  <c r="DI14" i="2"/>
  <c r="CM6" i="3"/>
  <c r="CT6" i="3"/>
  <c r="CK11" i="3"/>
  <c r="CR11" i="3" s="1"/>
  <c r="CS11" i="3" s="1"/>
  <c r="CL11" i="3"/>
  <c r="CL6" i="2"/>
  <c r="DE6" i="2" s="1"/>
  <c r="DH19" i="2"/>
  <c r="CF5" i="2"/>
  <c r="CJ29" i="2"/>
  <c r="CQ40" i="2"/>
  <c r="DI5" i="2"/>
  <c r="CF11" i="2"/>
  <c r="CF12" i="2"/>
  <c r="CT5" i="3"/>
  <c r="CF34" i="3"/>
  <c r="CM5" i="3"/>
  <c r="CL17" i="2"/>
  <c r="DE17" i="2" s="1"/>
  <c r="CL21" i="2"/>
  <c r="DE21" i="2" s="1"/>
  <c r="CJ11" i="2"/>
  <c r="CJ10" i="2"/>
  <c r="DH28" i="2"/>
  <c r="DH27" i="2"/>
  <c r="DI34" i="2"/>
  <c r="CF10" i="2"/>
  <c r="DH36" i="2"/>
  <c r="CL24" i="2"/>
  <c r="DE24" i="2" s="1"/>
  <c r="DI6" i="2"/>
  <c r="DI29" i="2"/>
  <c r="CL27" i="2"/>
  <c r="DE27" i="2" s="1"/>
  <c r="CJ35" i="2"/>
  <c r="DI10" i="2"/>
  <c r="DI12" i="2"/>
  <c r="CL22" i="2"/>
  <c r="DE22" i="2" s="1"/>
  <c r="CL23" i="2"/>
  <c r="DE23" i="2" s="1"/>
  <c r="DI24" i="2"/>
  <c r="CF31" i="2"/>
  <c r="DH30" i="2"/>
  <c r="CJ15" i="2"/>
  <c r="B50" i="2"/>
  <c r="CJ21" i="2"/>
  <c r="CJ23" i="2"/>
  <c r="DH38" i="2"/>
  <c r="CK44" i="2"/>
  <c r="DH5" i="2"/>
  <c r="CL19" i="2"/>
  <c r="DE19" i="2" s="1"/>
  <c r="CH44" i="2"/>
  <c r="DH11" i="2"/>
  <c r="DH12" i="2"/>
  <c r="CJ20" i="2"/>
  <c r="B51" i="2"/>
  <c r="DI36" i="2"/>
  <c r="CF15" i="2"/>
  <c r="CF20" i="2"/>
  <c r="CF35" i="2"/>
  <c r="G37" i="3"/>
  <c r="W37" i="3"/>
  <c r="AM37" i="3"/>
  <c r="BC37" i="3"/>
  <c r="AA37" i="3"/>
  <c r="AI37" i="3"/>
  <c r="C37" i="3"/>
  <c r="E37" i="3"/>
  <c r="M37" i="3"/>
  <c r="U37" i="3"/>
  <c r="AC37" i="3"/>
  <c r="AK37" i="3"/>
  <c r="AS37" i="3"/>
  <c r="BA37" i="3"/>
  <c r="H48" i="4"/>
  <c r="L49" i="4"/>
  <c r="DF37" i="2"/>
  <c r="DF25" i="2"/>
  <c r="DF16" i="2"/>
  <c r="DF9" i="2"/>
  <c r="I37" i="3"/>
  <c r="AB37" i="3"/>
  <c r="L37" i="3"/>
  <c r="AR37" i="3"/>
  <c r="AO37" i="3"/>
  <c r="Y37" i="3"/>
  <c r="BE37" i="3"/>
  <c r="D37" i="3"/>
  <c r="T37" i="3"/>
  <c r="AJ37" i="3"/>
  <c r="AZ37" i="3"/>
  <c r="AY37" i="3"/>
  <c r="S37" i="3"/>
  <c r="H37" i="3"/>
  <c r="P37" i="3"/>
  <c r="X37" i="3"/>
  <c r="AF37" i="3"/>
  <c r="AN37" i="3"/>
  <c r="AV37" i="3"/>
  <c r="BD37" i="3"/>
  <c r="Q37" i="3"/>
  <c r="AG37" i="3"/>
  <c r="AW37" i="3"/>
  <c r="N37" i="3"/>
  <c r="R37" i="3"/>
  <c r="Z37" i="3"/>
  <c r="AD37" i="3"/>
  <c r="AH37" i="3"/>
  <c r="AT37" i="3"/>
  <c r="O37" i="3"/>
  <c r="AE37" i="3"/>
  <c r="AU37" i="3"/>
  <c r="AQ37" i="3"/>
  <c r="K37" i="3"/>
  <c r="F37" i="3"/>
  <c r="V37" i="3"/>
  <c r="AL37" i="3"/>
  <c r="BB37" i="3"/>
  <c r="J37" i="3"/>
  <c r="AP37" i="3"/>
  <c r="AX37" i="3"/>
  <c r="DF26" i="2"/>
  <c r="DF7" i="2"/>
  <c r="DF33" i="2"/>
  <c r="DF32" i="2"/>
  <c r="DF8" i="2"/>
  <c r="CE35" i="3"/>
  <c r="CE36" i="3"/>
  <c r="CR41" i="2"/>
  <c r="CR42" i="2" s="1"/>
  <c r="DF19" i="2"/>
  <c r="DF12" i="2"/>
  <c r="DF20" i="2"/>
  <c r="DF23" i="2"/>
  <c r="DF30" i="2"/>
  <c r="DF5" i="2"/>
  <c r="DF6" i="2"/>
  <c r="DF15" i="2"/>
  <c r="DF17" i="2"/>
  <c r="DF28" i="2"/>
  <c r="DF35" i="2"/>
  <c r="DF24" i="2"/>
  <c r="DF29" i="2"/>
  <c r="DF13" i="2"/>
  <c r="DF21" i="2"/>
  <c r="DF27" i="2"/>
  <c r="DF34" i="2"/>
  <c r="DF10" i="2"/>
  <c r="DF11" i="2"/>
  <c r="DF14" i="2"/>
  <c r="DF22" i="2"/>
  <c r="DF31" i="2"/>
  <c r="DF36" i="2"/>
  <c r="DF38" i="2"/>
  <c r="AA65" i="1"/>
  <c r="O67" i="1"/>
  <c r="D45" i="2"/>
  <c r="E45" i="2"/>
  <c r="E46" i="2" s="1"/>
  <c r="G45" i="2"/>
  <c r="G46" i="2" s="1"/>
  <c r="I45" i="2"/>
  <c r="I46" i="2" s="1"/>
  <c r="K45" i="2"/>
  <c r="K46" i="2" s="1"/>
  <c r="M45" i="2"/>
  <c r="M46" i="2" s="1"/>
  <c r="O45" i="2"/>
  <c r="O46" i="2" s="1"/>
  <c r="Q45" i="2"/>
  <c r="Q46" i="2" s="1"/>
  <c r="S45" i="2"/>
  <c r="S46" i="2" s="1"/>
  <c r="U45" i="2"/>
  <c r="U46" i="2" s="1"/>
  <c r="W45" i="2"/>
  <c r="W46" i="2" s="1"/>
  <c r="Y45" i="2"/>
  <c r="Y46" i="2" s="1"/>
  <c r="AA45" i="2"/>
  <c r="AA46" i="2" s="1"/>
  <c r="AC45" i="2"/>
  <c r="AC46" i="2" s="1"/>
  <c r="AE45" i="2"/>
  <c r="AE46" i="2" s="1"/>
  <c r="AG45" i="2"/>
  <c r="AG46" i="2" s="1"/>
  <c r="AI45" i="2"/>
  <c r="AI46" i="2" s="1"/>
  <c r="AK45" i="2"/>
  <c r="AK46" i="2" s="1"/>
  <c r="AM45" i="2"/>
  <c r="AM46" i="2" s="1"/>
  <c r="AO45" i="2"/>
  <c r="AO46" i="2" s="1"/>
  <c r="AQ45" i="2"/>
  <c r="AQ46" i="2" s="1"/>
  <c r="AS45" i="2"/>
  <c r="AS46" i="2" s="1"/>
  <c r="AU45" i="2"/>
  <c r="AU46" i="2" s="1"/>
  <c r="AV45" i="2"/>
  <c r="AV46" i="2" s="1"/>
  <c r="AW45" i="2"/>
  <c r="AW46" i="2" s="1"/>
  <c r="AX45" i="2"/>
  <c r="AX46" i="2" s="1"/>
  <c r="AY45" i="2"/>
  <c r="AY46" i="2" s="1"/>
  <c r="AZ45" i="2"/>
  <c r="AZ46" i="2" s="1"/>
  <c r="BA45" i="2"/>
  <c r="BA46" i="2" s="1"/>
  <c r="BB45" i="2"/>
  <c r="BB46" i="2" s="1"/>
  <c r="BC45" i="2"/>
  <c r="BC46" i="2" s="1"/>
  <c r="BD45" i="2"/>
  <c r="BD46" i="2" s="1"/>
  <c r="BE45" i="2"/>
  <c r="BE46" i="2" s="1"/>
  <c r="BF45" i="2"/>
  <c r="BF46" i="2" s="1"/>
  <c r="H45" i="2"/>
  <c r="H46" i="2" s="1"/>
  <c r="L45" i="2"/>
  <c r="L46" i="2" s="1"/>
  <c r="P45" i="2"/>
  <c r="P46" i="2" s="1"/>
  <c r="T45" i="2"/>
  <c r="T46" i="2" s="1"/>
  <c r="X45" i="2"/>
  <c r="X46" i="2" s="1"/>
  <c r="AB45" i="2"/>
  <c r="AB46" i="2" s="1"/>
  <c r="AF45" i="2"/>
  <c r="AF46" i="2" s="1"/>
  <c r="AJ45" i="2"/>
  <c r="AJ46" i="2" s="1"/>
  <c r="AN45" i="2"/>
  <c r="AN46" i="2" s="1"/>
  <c r="AR45" i="2"/>
  <c r="AR46" i="2" s="1"/>
  <c r="F45" i="2"/>
  <c r="F46" i="2" s="1"/>
  <c r="J45" i="2"/>
  <c r="J46" i="2" s="1"/>
  <c r="N45" i="2"/>
  <c r="N46" i="2" s="1"/>
  <c r="R45" i="2"/>
  <c r="R46" i="2" s="1"/>
  <c r="V45" i="2"/>
  <c r="V46" i="2" s="1"/>
  <c r="Z45" i="2"/>
  <c r="Z46" i="2" s="1"/>
  <c r="AD45" i="2"/>
  <c r="AD46" i="2" s="1"/>
  <c r="AH45" i="2"/>
  <c r="AH46" i="2" s="1"/>
  <c r="AL45" i="2"/>
  <c r="AL46" i="2" s="1"/>
  <c r="AP45" i="2"/>
  <c r="AP46" i="2" s="1"/>
  <c r="AT45" i="2"/>
  <c r="AT46" i="2" s="1"/>
  <c r="CE37" i="3"/>
  <c r="CF39" i="3"/>
  <c r="CG39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46" i="2"/>
  <c r="E74" i="3"/>
  <c r="AK74" i="3"/>
  <c r="G74" i="3"/>
  <c r="AA74" i="3"/>
  <c r="M74" i="3"/>
  <c r="W74" i="3"/>
  <c r="AI74" i="3"/>
  <c r="U74" i="3"/>
  <c r="AM74" i="3"/>
  <c r="C74" i="3"/>
  <c r="AC74" i="3"/>
  <c r="AD74" i="3"/>
  <c r="Z74" i="3"/>
  <c r="AE74" i="3"/>
  <c r="AH74" i="3"/>
  <c r="AJ74" i="3"/>
  <c r="AR74" i="3"/>
  <c r="T74" i="3"/>
  <c r="H74" i="3"/>
  <c r="V74" i="3"/>
  <c r="J74" i="3"/>
  <c r="AP74" i="3"/>
  <c r="AG74" i="3"/>
  <c r="K74" i="3"/>
  <c r="O74" i="3"/>
  <c r="Q74" i="3"/>
  <c r="N74" i="3"/>
  <c r="AL74" i="3"/>
  <c r="L74" i="3"/>
  <c r="Y74" i="3"/>
  <c r="D74" i="3"/>
  <c r="S74" i="3"/>
  <c r="AB74" i="3"/>
  <c r="I74" i="3"/>
  <c r="R74" i="3"/>
  <c r="AO74" i="3"/>
  <c r="P74" i="3"/>
  <c r="X74" i="3"/>
  <c r="AN74" i="3"/>
  <c r="AQ74" i="3"/>
  <c r="F74" i="3"/>
  <c r="AF74" i="3"/>
  <c r="CS27" i="3" l="1"/>
  <c r="CS19" i="3"/>
  <c r="CS30" i="3"/>
  <c r="CS22" i="3"/>
  <c r="CS10" i="3"/>
  <c r="CS25" i="3"/>
  <c r="CS17" i="3"/>
  <c r="CS28" i="3"/>
  <c r="CS20" i="3"/>
  <c r="CS9" i="3"/>
  <c r="CS6" i="3"/>
  <c r="CS31" i="3"/>
  <c r="CS23" i="3"/>
  <c r="CS16" i="3"/>
  <c r="CS26" i="3"/>
  <c r="CS18" i="3"/>
  <c r="CS13" i="3"/>
  <c r="CS14" i="3"/>
  <c r="CS5" i="3"/>
  <c r="B12" i="10" s="1"/>
  <c r="CS29" i="3"/>
  <c r="CS21" i="3"/>
  <c r="CS32" i="3"/>
  <c r="CS24" i="3"/>
  <c r="CS15" i="3"/>
  <c r="CS7" i="3"/>
  <c r="CS8" i="3"/>
  <c r="B51" i="10" s="1"/>
  <c r="CS12" i="3"/>
  <c r="B19" i="10"/>
  <c r="H49" i="4"/>
  <c r="A8" i="7"/>
  <c r="L50" i="4"/>
  <c r="B43" i="10"/>
  <c r="B28" i="10"/>
  <c r="B14" i="10"/>
  <c r="C14" i="10" s="1"/>
  <c r="M48" i="4"/>
  <c r="B7" i="7" s="1"/>
  <c r="K48" i="4"/>
  <c r="N48" i="4" s="1"/>
  <c r="C7" i="7" s="1"/>
  <c r="O48" i="4"/>
  <c r="D7" i="7" s="1"/>
  <c r="CG37" i="3"/>
  <c r="CH37" i="3" a="1"/>
  <c r="CH37" i="3" s="1"/>
  <c r="I40" i="9"/>
  <c r="I21" i="9"/>
  <c r="B21" i="9" s="1"/>
  <c r="I16" i="9"/>
  <c r="F16" i="9" s="1"/>
  <c r="I53" i="9"/>
  <c r="D53" i="9" s="1"/>
  <c r="I8" i="9"/>
  <c r="I32" i="9"/>
  <c r="G32" i="9" s="1"/>
  <c r="I48" i="9"/>
  <c r="D48" i="9" s="1"/>
  <c r="B7" i="10"/>
  <c r="D7" i="10" s="1" a="1"/>
  <c r="B36" i="10"/>
  <c r="B20" i="10"/>
  <c r="D20" i="10" s="1" a="1"/>
  <c r="B38" i="10"/>
  <c r="D38" i="10" s="1" a="1"/>
  <c r="B22" i="10"/>
  <c r="B6" i="10"/>
  <c r="D6" i="10" s="1" a="1"/>
  <c r="B39" i="10"/>
  <c r="D39" i="10" s="1" a="1"/>
  <c r="B31" i="10"/>
  <c r="B23" i="10"/>
  <c r="D23" i="10" s="1" a="1"/>
  <c r="I24" i="9"/>
  <c r="D24" i="9" s="1"/>
  <c r="I5" i="9"/>
  <c r="D5" i="9" s="1"/>
  <c r="I37" i="9"/>
  <c r="I29" i="9"/>
  <c r="D29" i="9" s="1"/>
  <c r="I56" i="9"/>
  <c r="F56" i="9" s="1"/>
  <c r="I13" i="9"/>
  <c r="F13" i="9" s="1"/>
  <c r="I45" i="9"/>
  <c r="I57" i="9"/>
  <c r="D57" i="9" s="1"/>
  <c r="I4" i="9"/>
  <c r="C4" i="9" s="1"/>
  <c r="I12" i="9"/>
  <c r="G12" i="9" s="1"/>
  <c r="I20" i="9"/>
  <c r="I28" i="9"/>
  <c r="E28" i="9" s="1"/>
  <c r="I36" i="9"/>
  <c r="B36" i="9" s="1"/>
  <c r="I44" i="9"/>
  <c r="H44" i="9" s="1"/>
  <c r="I52" i="9"/>
  <c r="I60" i="9"/>
  <c r="H60" i="9" s="1"/>
  <c r="I9" i="9"/>
  <c r="F9" i="9" s="1"/>
  <c r="I17" i="9"/>
  <c r="H17" i="9" s="1"/>
  <c r="I25" i="9"/>
  <c r="I33" i="9"/>
  <c r="E33" i="9" s="1"/>
  <c r="I41" i="9"/>
  <c r="F41" i="9" s="1"/>
  <c r="I49" i="9"/>
  <c r="H49" i="9" s="1"/>
  <c r="B5" i="10"/>
  <c r="C5" i="10" s="1"/>
  <c r="B48" i="10"/>
  <c r="D48" i="10" s="1" a="1"/>
  <c r="B40" i="10"/>
  <c r="D40" i="10" s="1" a="1"/>
  <c r="B32" i="10"/>
  <c r="D32" i="10" s="1" a="1"/>
  <c r="B24" i="10"/>
  <c r="B16" i="10"/>
  <c r="D16" i="10" s="1" a="1"/>
  <c r="B8" i="10"/>
  <c r="D8" i="10" s="1" a="1"/>
  <c r="B50" i="10"/>
  <c r="C50" i="10" s="1"/>
  <c r="B42" i="10"/>
  <c r="C42" i="10" s="1"/>
  <c r="B34" i="10"/>
  <c r="C34" i="10" s="1"/>
  <c r="B26" i="10"/>
  <c r="D26" i="10" s="1" a="1"/>
  <c r="B18" i="10"/>
  <c r="C18" i="10" s="1"/>
  <c r="B10" i="10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B2" i="9" s="1"/>
  <c r="I6" i="9"/>
  <c r="D6" i="9" s="1"/>
  <c r="I10" i="9"/>
  <c r="G10" i="9" s="1"/>
  <c r="I14" i="9"/>
  <c r="D14" i="9" s="1"/>
  <c r="I18" i="9"/>
  <c r="C18" i="9" s="1"/>
  <c r="I22" i="9"/>
  <c r="D22" i="9" s="1"/>
  <c r="I26" i="9"/>
  <c r="F26" i="9" s="1"/>
  <c r="I30" i="9"/>
  <c r="D30" i="9" s="1"/>
  <c r="I34" i="9"/>
  <c r="B34" i="9" s="1"/>
  <c r="I38" i="9"/>
  <c r="D38" i="9" s="1"/>
  <c r="I42" i="9"/>
  <c r="F42" i="9" s="1"/>
  <c r="I46" i="9"/>
  <c r="D46" i="9" s="1"/>
  <c r="I50" i="9"/>
  <c r="C50" i="9" s="1"/>
  <c r="I54" i="9"/>
  <c r="D54" i="9" s="1"/>
  <c r="I58" i="9"/>
  <c r="F58" i="9" s="1"/>
  <c r="I3" i="9"/>
  <c r="B3" i="9" s="1"/>
  <c r="I7" i="9"/>
  <c r="F7" i="9" s="1"/>
  <c r="I11" i="9"/>
  <c r="D11" i="9" s="1"/>
  <c r="I15" i="9"/>
  <c r="D15" i="9" s="1"/>
  <c r="I19" i="9"/>
  <c r="B19" i="9" s="1"/>
  <c r="I23" i="9"/>
  <c r="B23" i="9" s="1"/>
  <c r="I27" i="9"/>
  <c r="B27" i="9" s="1"/>
  <c r="I31" i="9"/>
  <c r="D31" i="9" s="1"/>
  <c r="I35" i="9"/>
  <c r="B35" i="9" s="1"/>
  <c r="I39" i="9"/>
  <c r="D39" i="9" s="1"/>
  <c r="I43" i="9"/>
  <c r="D43" i="9" s="1"/>
  <c r="I47" i="9"/>
  <c r="F47" i="9" s="1"/>
  <c r="I51" i="9"/>
  <c r="D51" i="9" s="1"/>
  <c r="I55" i="9"/>
  <c r="D55" i="9" s="1"/>
  <c r="CS42" i="2"/>
  <c r="CT42" i="2"/>
  <c r="CV42" i="2"/>
  <c r="CU42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E26" i="9"/>
  <c r="E42" i="9"/>
  <c r="C54" i="9"/>
  <c r="B15" i="9"/>
  <c r="H31" i="9"/>
  <c r="G47" i="9"/>
  <c r="D24" i="10" a="1"/>
  <c r="C24" i="10"/>
  <c r="D42" i="10" a="1"/>
  <c r="D10" i="10" a="1"/>
  <c r="C10" i="10"/>
  <c r="D36" i="10" a="1"/>
  <c r="C36" i="10"/>
  <c r="D28" i="10" a="1"/>
  <c r="C28" i="10"/>
  <c r="D22" i="10" a="1"/>
  <c r="C22" i="10"/>
  <c r="D43" i="10" a="1"/>
  <c r="C43" i="10"/>
  <c r="D31" i="10" a="1"/>
  <c r="C31" i="10"/>
  <c r="D19" i="10" a="1"/>
  <c r="C19" i="10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8" i="9"/>
  <c r="E8" i="9"/>
  <c r="G8" i="9"/>
  <c r="B8" i="9"/>
  <c r="F8" i="9"/>
  <c r="H8" i="9"/>
  <c r="C8" i="9"/>
  <c r="H12" i="9"/>
  <c r="D20" i="9"/>
  <c r="C20" i="9"/>
  <c r="F20" i="9"/>
  <c r="H20" i="9"/>
  <c r="E20" i="9"/>
  <c r="B20" i="9"/>
  <c r="G20" i="9"/>
  <c r="D40" i="9"/>
  <c r="E40" i="9"/>
  <c r="G40" i="9"/>
  <c r="B40" i="9"/>
  <c r="F40" i="9"/>
  <c r="H40" i="9"/>
  <c r="C40" i="9"/>
  <c r="F44" i="9"/>
  <c r="D52" i="9"/>
  <c r="C52" i="9"/>
  <c r="F52" i="9"/>
  <c r="H52" i="9"/>
  <c r="E52" i="9"/>
  <c r="B52" i="9"/>
  <c r="G52" i="9"/>
  <c r="C5" i="9"/>
  <c r="E5" i="9"/>
  <c r="D13" i="9"/>
  <c r="G13" i="9"/>
  <c r="B17" i="9"/>
  <c r="D25" i="9"/>
  <c r="C25" i="9"/>
  <c r="F25" i="9"/>
  <c r="H25" i="9"/>
  <c r="B25" i="9"/>
  <c r="G25" i="9"/>
  <c r="E25" i="9"/>
  <c r="B37" i="9"/>
  <c r="F37" i="9"/>
  <c r="D37" i="9"/>
  <c r="E37" i="9"/>
  <c r="G37" i="9"/>
  <c r="H37" i="9"/>
  <c r="C37" i="9"/>
  <c r="D45" i="9"/>
  <c r="C45" i="9"/>
  <c r="F45" i="9"/>
  <c r="H45" i="9"/>
  <c r="B45" i="9"/>
  <c r="G45" i="9"/>
  <c r="E45" i="9"/>
  <c r="D49" i="9"/>
  <c r="G49" i="9"/>
  <c r="H53" i="9"/>
  <c r="CO45" i="2"/>
  <c r="D46" i="2"/>
  <c r="CE45" i="2"/>
  <c r="CH39" i="3"/>
  <c r="D12" i="10" l="1" a="1"/>
  <c r="C12" i="10"/>
  <c r="C51" i="10"/>
  <c r="D51" i="10" a="1"/>
  <c r="G51" i="10" s="1"/>
  <c r="B47" i="10"/>
  <c r="C47" i="10" s="1"/>
  <c r="B4" i="10"/>
  <c r="D4" i="10" s="1" a="1"/>
  <c r="B27" i="10"/>
  <c r="D27" i="10" s="1" a="1"/>
  <c r="G27" i="10" s="1"/>
  <c r="B30" i="10"/>
  <c r="C30" i="10" s="1"/>
  <c r="B15" i="10"/>
  <c r="D15" i="10" s="1" a="1"/>
  <c r="B44" i="10"/>
  <c r="D44" i="10" s="1" a="1"/>
  <c r="B3" i="10"/>
  <c r="D3" i="10" s="1" a="1"/>
  <c r="G3" i="10" s="1"/>
  <c r="B11" i="10"/>
  <c r="B46" i="10"/>
  <c r="B35" i="10"/>
  <c r="E21" i="9"/>
  <c r="H51" i="9"/>
  <c r="D58" i="9"/>
  <c r="L58" i="9" s="1"/>
  <c r="H10" i="9"/>
  <c r="C33" i="9"/>
  <c r="B60" i="9"/>
  <c r="H32" i="9"/>
  <c r="B14" i="9"/>
  <c r="B29" i="9"/>
  <c r="C21" i="9"/>
  <c r="F32" i="9"/>
  <c r="H19" i="9"/>
  <c r="B46" i="9"/>
  <c r="D5" i="10" a="1"/>
  <c r="G5" i="10" s="1"/>
  <c r="C47" i="9"/>
  <c r="F31" i="9"/>
  <c r="G15" i="9"/>
  <c r="E58" i="9"/>
  <c r="D42" i="9"/>
  <c r="D26" i="9"/>
  <c r="L26" i="9" s="1"/>
  <c r="E10" i="9"/>
  <c r="D47" i="9"/>
  <c r="L47" i="9" s="1"/>
  <c r="B31" i="9"/>
  <c r="F15" i="9"/>
  <c r="C58" i="9"/>
  <c r="B42" i="9"/>
  <c r="B26" i="9"/>
  <c r="D10" i="9"/>
  <c r="L10" i="9" s="1"/>
  <c r="B47" i="9"/>
  <c r="G31" i="9"/>
  <c r="H15" i="9"/>
  <c r="B58" i="9"/>
  <c r="C42" i="9"/>
  <c r="C26" i="9"/>
  <c r="F10" i="9"/>
  <c r="C41" i="10"/>
  <c r="E57" i="9"/>
  <c r="F33" i="9"/>
  <c r="F28" i="9"/>
  <c r="H57" i="9"/>
  <c r="H29" i="9"/>
  <c r="G60" i="9"/>
  <c r="B28" i="9"/>
  <c r="C3" i="10"/>
  <c r="C23" i="10"/>
  <c r="D14" i="10" a="1"/>
  <c r="K14" i="10" s="1"/>
  <c r="G51" i="9"/>
  <c r="D50" i="9"/>
  <c r="L50" i="9" s="1"/>
  <c r="F57" i="9"/>
  <c r="H33" i="9"/>
  <c r="G29" i="9"/>
  <c r="D21" i="9"/>
  <c r="F60" i="9"/>
  <c r="E32" i="9"/>
  <c r="D28" i="9"/>
  <c r="J28" i="9" s="1"/>
  <c r="C44" i="10"/>
  <c r="C40" i="10"/>
  <c r="F35" i="9"/>
  <c r="F3" i="9"/>
  <c r="B30" i="9"/>
  <c r="C37" i="10"/>
  <c r="B41" i="9"/>
  <c r="C7" i="9"/>
  <c r="D33" i="9"/>
  <c r="F29" i="9"/>
  <c r="C60" i="9"/>
  <c r="G36" i="9"/>
  <c r="D32" i="9"/>
  <c r="J32" i="9" s="1"/>
  <c r="B24" i="9"/>
  <c r="B16" i="9"/>
  <c r="C59" i="9"/>
  <c r="E23" i="9"/>
  <c r="E30" i="9"/>
  <c r="G9" i="9"/>
  <c r="B56" i="9"/>
  <c r="C2" i="9"/>
  <c r="C16" i="9"/>
  <c r="C8" i="10"/>
  <c r="H39" i="9"/>
  <c r="C9" i="9"/>
  <c r="C56" i="9"/>
  <c r="H48" i="9"/>
  <c r="E4" i="9"/>
  <c r="C15" i="10"/>
  <c r="C6" i="10"/>
  <c r="D30" i="10" a="1"/>
  <c r="K30" i="10" s="1"/>
  <c r="C26" i="10"/>
  <c r="H55" i="9"/>
  <c r="F39" i="9"/>
  <c r="E19" i="9"/>
  <c r="C34" i="9"/>
  <c r="E18" i="9"/>
  <c r="G2" i="9"/>
  <c r="C16" i="10"/>
  <c r="G41" i="9"/>
  <c r="C36" i="9"/>
  <c r="D4" i="9"/>
  <c r="G7" i="9"/>
  <c r="E50" i="9"/>
  <c r="G34" i="9"/>
  <c r="D18" i="9"/>
  <c r="B9" i="9"/>
  <c r="D56" i="9"/>
  <c r="L56" i="9" s="1"/>
  <c r="G48" i="9"/>
  <c r="H36" i="9"/>
  <c r="G24" i="9"/>
  <c r="D16" i="9"/>
  <c r="H4" i="9"/>
  <c r="E55" i="9"/>
  <c r="G39" i="9"/>
  <c r="D23" i="9"/>
  <c r="L23" i="9" s="1"/>
  <c r="B7" i="9"/>
  <c r="H50" i="9"/>
  <c r="H34" i="9"/>
  <c r="E34" i="9"/>
  <c r="H2" i="9"/>
  <c r="E2" i="9"/>
  <c r="G57" i="9"/>
  <c r="C57" i="9"/>
  <c r="C41" i="9"/>
  <c r="D41" i="9"/>
  <c r="L41" i="9" s="1"/>
  <c r="G33" i="9"/>
  <c r="B33" i="9"/>
  <c r="E29" i="9"/>
  <c r="H21" i="9"/>
  <c r="F21" i="9"/>
  <c r="H9" i="9"/>
  <c r="E60" i="9"/>
  <c r="D60" i="9"/>
  <c r="J60" i="9" s="1"/>
  <c r="H56" i="9"/>
  <c r="B48" i="9"/>
  <c r="C48" i="9"/>
  <c r="F36" i="9"/>
  <c r="D36" i="9"/>
  <c r="L36" i="9" s="1"/>
  <c r="B32" i="9"/>
  <c r="C28" i="9"/>
  <c r="G28" i="9"/>
  <c r="H24" i="9"/>
  <c r="E24" i="9"/>
  <c r="H16" i="9"/>
  <c r="G4" i="9"/>
  <c r="F4" i="9"/>
  <c r="C27" i="10"/>
  <c r="D47" i="10" a="1"/>
  <c r="K47" i="10" s="1"/>
  <c r="C20" i="10"/>
  <c r="G59" i="9"/>
  <c r="G55" i="9"/>
  <c r="C55" i="9"/>
  <c r="C51" i="9"/>
  <c r="E39" i="9"/>
  <c r="H35" i="9"/>
  <c r="H23" i="9"/>
  <c r="F23" i="9"/>
  <c r="F19" i="9"/>
  <c r="H7" i="9"/>
  <c r="H3" i="9"/>
  <c r="G50" i="9"/>
  <c r="F50" i="9"/>
  <c r="H46" i="9"/>
  <c r="F34" i="9"/>
  <c r="D34" i="9"/>
  <c r="J34" i="9" s="1"/>
  <c r="G18" i="9"/>
  <c r="F18" i="9"/>
  <c r="H14" i="9"/>
  <c r="F2" i="9"/>
  <c r="D2" i="9"/>
  <c r="D2" i="10" a="1"/>
  <c r="K2" i="10" s="1"/>
  <c r="C48" i="10"/>
  <c r="E41" i="9"/>
  <c r="D9" i="9"/>
  <c r="J9" i="9" s="1"/>
  <c r="E56" i="9"/>
  <c r="F48" i="9"/>
  <c r="E36" i="9"/>
  <c r="C24" i="9"/>
  <c r="E16" i="9"/>
  <c r="F55" i="9"/>
  <c r="B39" i="9"/>
  <c r="C23" i="9"/>
  <c r="D7" i="9"/>
  <c r="J7" i="9" s="1"/>
  <c r="H18" i="9"/>
  <c r="B57" i="9"/>
  <c r="H41" i="9"/>
  <c r="C29" i="9"/>
  <c r="G21" i="9"/>
  <c r="E9" i="9"/>
  <c r="G56" i="9"/>
  <c r="E48" i="9"/>
  <c r="C32" i="9"/>
  <c r="H28" i="9"/>
  <c r="F24" i="9"/>
  <c r="G16" i="9"/>
  <c r="B4" i="9"/>
  <c r="H59" i="9"/>
  <c r="B55" i="9"/>
  <c r="C39" i="9"/>
  <c r="E35" i="9"/>
  <c r="G23" i="9"/>
  <c r="E7" i="9"/>
  <c r="E3" i="9"/>
  <c r="B50" i="9"/>
  <c r="C46" i="9"/>
  <c r="H30" i="9"/>
  <c r="B18" i="9"/>
  <c r="C14" i="9"/>
  <c r="D34" i="10" a="1"/>
  <c r="I34" i="10" s="1"/>
  <c r="F17" i="9"/>
  <c r="B13" i="9"/>
  <c r="G5" i="9"/>
  <c r="G44" i="9"/>
  <c r="C44" i="9"/>
  <c r="F12" i="9"/>
  <c r="C11" i="9"/>
  <c r="F53" i="9"/>
  <c r="B49" i="9"/>
  <c r="E53" i="9"/>
  <c r="C53" i="9"/>
  <c r="F49" i="9"/>
  <c r="E17" i="9"/>
  <c r="C17" i="9"/>
  <c r="H13" i="9"/>
  <c r="H5" i="9"/>
  <c r="B44" i="9"/>
  <c r="D44" i="9"/>
  <c r="J44" i="9" s="1"/>
  <c r="E12" i="9"/>
  <c r="F27" i="9"/>
  <c r="G53" i="9"/>
  <c r="E49" i="9"/>
  <c r="C49" i="9"/>
  <c r="G17" i="9"/>
  <c r="D17" i="9"/>
  <c r="L17" i="9" s="1"/>
  <c r="C13" i="9"/>
  <c r="F5" i="9"/>
  <c r="E44" i="9"/>
  <c r="D12" i="9"/>
  <c r="J12" i="9" s="1"/>
  <c r="C43" i="9"/>
  <c r="E38" i="9"/>
  <c r="D18" i="10" a="1"/>
  <c r="K18" i="10" s="1"/>
  <c r="B53" i="9"/>
  <c r="E13" i="9"/>
  <c r="B5" i="9"/>
  <c r="B12" i="9"/>
  <c r="C7" i="10"/>
  <c r="C39" i="10"/>
  <c r="C38" i="10"/>
  <c r="H47" i="9"/>
  <c r="G43" i="9"/>
  <c r="E31" i="9"/>
  <c r="H27" i="9"/>
  <c r="E15" i="9"/>
  <c r="G11" i="9"/>
  <c r="H58" i="9"/>
  <c r="B54" i="9"/>
  <c r="H42" i="9"/>
  <c r="H38" i="9"/>
  <c r="H26" i="9"/>
  <c r="H22" i="9"/>
  <c r="B10" i="9"/>
  <c r="H6" i="9"/>
  <c r="C32" i="10"/>
  <c r="K49" i="4"/>
  <c r="N49" i="4" s="1"/>
  <c r="C8" i="7" s="1"/>
  <c r="M49" i="4"/>
  <c r="B8" i="7" s="1"/>
  <c r="O49" i="4"/>
  <c r="D8" i="7" s="1"/>
  <c r="C12" i="9"/>
  <c r="E47" i="9"/>
  <c r="H43" i="9"/>
  <c r="C31" i="9"/>
  <c r="E27" i="9"/>
  <c r="C15" i="9"/>
  <c r="H11" i="9"/>
  <c r="G58" i="9"/>
  <c r="H54" i="9"/>
  <c r="G42" i="9"/>
  <c r="B38" i="9"/>
  <c r="G26" i="9"/>
  <c r="B22" i="9"/>
  <c r="C10" i="9"/>
  <c r="B6" i="9"/>
  <c r="D45" i="10" a="1"/>
  <c r="I45" i="10" s="1"/>
  <c r="D50" i="10" a="1"/>
  <c r="G50" i="10" s="1"/>
  <c r="E22" i="9"/>
  <c r="E6" i="9"/>
  <c r="A9" i="7"/>
  <c r="L51" i="4"/>
  <c r="H50" i="4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L22" i="9" s="1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L45" i="9"/>
  <c r="J45" i="9"/>
  <c r="J29" i="9"/>
  <c r="L13" i="9"/>
  <c r="J13" i="9"/>
  <c r="L48" i="9"/>
  <c r="J48" i="9"/>
  <c r="L8" i="9"/>
  <c r="J8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H27" i="10"/>
  <c r="E31" i="10"/>
  <c r="G31" i="10"/>
  <c r="I31" i="10"/>
  <c r="K31" i="10"/>
  <c r="F31" i="10"/>
  <c r="J31" i="10"/>
  <c r="D31" i="10"/>
  <c r="H31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51" i="10"/>
  <c r="E6" i="10"/>
  <c r="G6" i="10"/>
  <c r="I6" i="10"/>
  <c r="K6" i="10"/>
  <c r="D6" i="10"/>
  <c r="H6" i="10"/>
  <c r="F6" i="10"/>
  <c r="J6" i="10"/>
  <c r="E22" i="10"/>
  <c r="G22" i="10"/>
  <c r="I22" i="10"/>
  <c r="K22" i="10"/>
  <c r="D22" i="10"/>
  <c r="H22" i="10"/>
  <c r="F22" i="10"/>
  <c r="J22" i="10"/>
  <c r="E38" i="10"/>
  <c r="G38" i="10"/>
  <c r="I38" i="10"/>
  <c r="K38" i="10"/>
  <c r="D38" i="10"/>
  <c r="H38" i="10"/>
  <c r="F38" i="10"/>
  <c r="J38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L46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E16" i="10"/>
  <c r="G16" i="10"/>
  <c r="I16" i="10"/>
  <c r="K16" i="10"/>
  <c r="D16" i="10"/>
  <c r="H16" i="10"/>
  <c r="F16" i="10"/>
  <c r="J16" i="10"/>
  <c r="E32" i="10"/>
  <c r="G32" i="10"/>
  <c r="I32" i="10"/>
  <c r="K32" i="10"/>
  <c r="D32" i="10"/>
  <c r="H32" i="10"/>
  <c r="F32" i="10"/>
  <c r="J32" i="10"/>
  <c r="E48" i="10"/>
  <c r="G48" i="10"/>
  <c r="I48" i="10"/>
  <c r="K48" i="10"/>
  <c r="D48" i="10"/>
  <c r="H48" i="10"/>
  <c r="F48" i="10"/>
  <c r="J48" i="10"/>
  <c r="L53" i="9"/>
  <c r="J53" i="9"/>
  <c r="L37" i="9"/>
  <c r="J37" i="9"/>
  <c r="L5" i="9"/>
  <c r="J5" i="9"/>
  <c r="L40" i="9"/>
  <c r="J40" i="9"/>
  <c r="L24" i="9"/>
  <c r="J24" i="9"/>
  <c r="I8" i="5"/>
  <c r="F5" i="6" s="1"/>
  <c r="D8" i="5"/>
  <c r="C5" i="6" s="1"/>
  <c r="F8" i="5"/>
  <c r="CO46" i="2"/>
  <c r="CE46" i="2"/>
  <c r="CH47" i="2" s="1"/>
  <c r="L57" i="9"/>
  <c r="J57" i="9"/>
  <c r="L49" i="9"/>
  <c r="J49" i="9"/>
  <c r="L25" i="9"/>
  <c r="J25" i="9"/>
  <c r="L52" i="9"/>
  <c r="J52" i="9"/>
  <c r="L20" i="9"/>
  <c r="J20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L55" i="9"/>
  <c r="J55" i="9"/>
  <c r="L39" i="9"/>
  <c r="J39" i="9"/>
  <c r="J31" i="9"/>
  <c r="L15" i="9"/>
  <c r="J15" i="9"/>
  <c r="L42" i="9"/>
  <c r="J42" i="9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F27" i="10" l="1"/>
  <c r="F3" i="10"/>
  <c r="K27" i="10"/>
  <c r="K3" i="10"/>
  <c r="F45" i="10"/>
  <c r="F5" i="10"/>
  <c r="E5" i="10"/>
  <c r="F51" i="10"/>
  <c r="L2" i="9"/>
  <c r="L31" i="9"/>
  <c r="L12" i="9"/>
  <c r="H5" i="10"/>
  <c r="K5" i="10"/>
  <c r="K51" i="10"/>
  <c r="L9" i="9"/>
  <c r="D51" i="10"/>
  <c r="L29" i="9"/>
  <c r="L33" i="9"/>
  <c r="L21" i="9"/>
  <c r="H51" i="10"/>
  <c r="D5" i="10"/>
  <c r="I5" i="10"/>
  <c r="I51" i="10"/>
  <c r="D27" i="10"/>
  <c r="N27" i="10" s="1"/>
  <c r="I27" i="10"/>
  <c r="D3" i="10"/>
  <c r="I3" i="10"/>
  <c r="J5" i="10"/>
  <c r="J51" i="10"/>
  <c r="J27" i="10"/>
  <c r="J3" i="10"/>
  <c r="D11" i="10" a="1"/>
  <c r="C11" i="10"/>
  <c r="C4" i="10"/>
  <c r="L18" i="9"/>
  <c r="L4" i="9"/>
  <c r="D35" i="10" a="1"/>
  <c r="C35" i="10"/>
  <c r="L16" i="9"/>
  <c r="D46" i="10" a="1"/>
  <c r="C46" i="10"/>
  <c r="J2" i="9"/>
  <c r="L28" i="9"/>
  <c r="J17" i="9"/>
  <c r="J45" i="10"/>
  <c r="I30" i="10"/>
  <c r="G34" i="10"/>
  <c r="L34" i="10" s="1"/>
  <c r="J58" i="9"/>
  <c r="G45" i="10"/>
  <c r="N45" i="10" s="1"/>
  <c r="J23" i="9"/>
  <c r="J26" i="9"/>
  <c r="E45" i="10"/>
  <c r="L60" i="9"/>
  <c r="J10" i="9"/>
  <c r="L7" i="9"/>
  <c r="H45" i="10"/>
  <c r="K45" i="10"/>
  <c r="E21" i="10"/>
  <c r="J16" i="9"/>
  <c r="J56" i="9"/>
  <c r="D45" i="10"/>
  <c r="F14" i="10"/>
  <c r="J36" i="9"/>
  <c r="I14" i="10"/>
  <c r="J47" i="9"/>
  <c r="H34" i="10"/>
  <c r="F30" i="10"/>
  <c r="D34" i="10"/>
  <c r="G30" i="10"/>
  <c r="N30" i="10" s="1"/>
  <c r="G14" i="10"/>
  <c r="L14" i="10" s="1"/>
  <c r="L34" i="9"/>
  <c r="J34" i="10"/>
  <c r="K34" i="10"/>
  <c r="F18" i="10"/>
  <c r="D30" i="10"/>
  <c r="E30" i="10"/>
  <c r="D14" i="10"/>
  <c r="E14" i="10"/>
  <c r="E34" i="10"/>
  <c r="K13" i="10"/>
  <c r="H30" i="10"/>
  <c r="H14" i="10"/>
  <c r="F34" i="10"/>
  <c r="I18" i="10"/>
  <c r="J30" i="10"/>
  <c r="J14" i="10"/>
  <c r="J50" i="9"/>
  <c r="L32" i="9"/>
  <c r="D50" i="10"/>
  <c r="D2" i="10"/>
  <c r="J21" i="9"/>
  <c r="E50" i="10"/>
  <c r="I2" i="10"/>
  <c r="D47" i="10"/>
  <c r="L44" i="9"/>
  <c r="I47" i="10"/>
  <c r="J50" i="10"/>
  <c r="K50" i="10"/>
  <c r="J2" i="10"/>
  <c r="G2" i="10"/>
  <c r="J47" i="10"/>
  <c r="G47" i="10"/>
  <c r="N47" i="10" s="1"/>
  <c r="J33" i="9"/>
  <c r="F50" i="10"/>
  <c r="I50" i="10"/>
  <c r="F2" i="10"/>
  <c r="E2" i="10"/>
  <c r="F47" i="10"/>
  <c r="E47" i="10"/>
  <c r="H50" i="10"/>
  <c r="H2" i="10"/>
  <c r="H47" i="10"/>
  <c r="J4" i="9"/>
  <c r="J18" i="9"/>
  <c r="J41" i="9"/>
  <c r="H18" i="10"/>
  <c r="G18" i="10"/>
  <c r="D18" i="10"/>
  <c r="E18" i="10"/>
  <c r="J18" i="10"/>
  <c r="K50" i="4"/>
  <c r="N50" i="4" s="1"/>
  <c r="C9" i="7" s="1"/>
  <c r="O50" i="4"/>
  <c r="D9" i="7" s="1"/>
  <c r="M50" i="4"/>
  <c r="B9" i="7" s="1"/>
  <c r="H51" i="4"/>
  <c r="L52" i="4"/>
  <c r="A10" i="7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48" i="10"/>
  <c r="N48" i="10"/>
  <c r="N32" i="10"/>
  <c r="L32" i="10"/>
  <c r="N16" i="10"/>
  <c r="L16" i="10"/>
  <c r="L50" i="10"/>
  <c r="N50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N38" i="10"/>
  <c r="L38" i="10"/>
  <c r="N22" i="10"/>
  <c r="L22" i="10"/>
  <c r="N6" i="10"/>
  <c r="L6" i="10"/>
  <c r="N51" i="10"/>
  <c r="L51" i="10"/>
  <c r="L43" i="10"/>
  <c r="N43" i="10"/>
  <c r="L39" i="10"/>
  <c r="N39" i="10"/>
  <c r="L31" i="10"/>
  <c r="N31" i="10"/>
  <c r="L27" i="10"/>
  <c r="L23" i="10"/>
  <c r="N23" i="10"/>
  <c r="L19" i="10"/>
  <c r="N19" i="10"/>
  <c r="L15" i="10"/>
  <c r="N15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5" i="10" l="1"/>
  <c r="P1" i="10" a="1"/>
  <c r="P1" i="10" s="1"/>
  <c r="M43" i="10" s="1"/>
  <c r="N14" i="10"/>
  <c r="K30" i="9"/>
  <c r="N2" i="10"/>
  <c r="N18" i="10"/>
  <c r="K35" i="10"/>
  <c r="H35" i="10"/>
  <c r="E35" i="10"/>
  <c r="F35" i="10"/>
  <c r="G35" i="10"/>
  <c r="J35" i="10"/>
  <c r="I35" i="10"/>
  <c r="D35" i="10"/>
  <c r="K46" i="10"/>
  <c r="J46" i="10"/>
  <c r="E46" i="10"/>
  <c r="D46" i="10"/>
  <c r="G46" i="10"/>
  <c r="H46" i="10"/>
  <c r="I46" i="10"/>
  <c r="F46" i="10"/>
  <c r="K11" i="10"/>
  <c r="H11" i="10"/>
  <c r="E11" i="10"/>
  <c r="F11" i="10"/>
  <c r="G11" i="10"/>
  <c r="J11" i="10"/>
  <c r="I11" i="10"/>
  <c r="D11" i="10"/>
  <c r="L45" i="10"/>
  <c r="N34" i="10"/>
  <c r="L30" i="10"/>
  <c r="L18" i="10"/>
  <c r="K50" i="9"/>
  <c r="L47" i="10"/>
  <c r="L2" i="10"/>
  <c r="O51" i="4"/>
  <c r="D10" i="7" s="1"/>
  <c r="K51" i="4"/>
  <c r="N51" i="4" s="1"/>
  <c r="C10" i="7" s="1"/>
  <c r="M51" i="4"/>
  <c r="B10" i="7" s="1"/>
  <c r="A11" i="7"/>
  <c r="H52" i="4"/>
  <c r="L53" i="4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K5" i="9"/>
  <c r="K53" i="9"/>
  <c r="K32" i="9"/>
  <c r="K37" i="9"/>
  <c r="K40" i="9"/>
  <c r="K24" i="9"/>
  <c r="K39" i="9"/>
  <c r="K34" i="9"/>
  <c r="N13" i="10"/>
  <c r="K57" i="9"/>
  <c r="K12" i="9"/>
  <c r="K25" i="9"/>
  <c r="K10" i="9"/>
  <c r="K55" i="9"/>
  <c r="M51" i="10"/>
  <c r="M42" i="10"/>
  <c r="M40" i="10"/>
  <c r="M49" i="10"/>
  <c r="M50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M36" i="10"/>
  <c r="M34" i="10"/>
  <c r="M33" i="10"/>
  <c r="M32" i="10"/>
  <c r="M3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1" i="10" l="1"/>
  <c r="M44" i="10"/>
  <c r="M48" i="10"/>
  <c r="M37" i="10"/>
  <c r="M38" i="10"/>
  <c r="M39" i="10"/>
  <c r="M45" i="10"/>
  <c r="R1" i="10" a="1"/>
  <c r="R1" i="10" s="1"/>
  <c r="M16" i="9"/>
  <c r="T16" i="9" s="1"/>
  <c r="M30" i="10"/>
  <c r="M27" i="9"/>
  <c r="Q27" i="9" s="1"/>
  <c r="M47" i="10"/>
  <c r="M9" i="9"/>
  <c r="S9" i="9" s="1"/>
  <c r="M2" i="9"/>
  <c r="T2" i="9" s="1"/>
  <c r="M19" i="9"/>
  <c r="Q19" i="9" s="1"/>
  <c r="M7" i="9"/>
  <c r="Q7" i="9" s="1"/>
  <c r="M32" i="9"/>
  <c r="T32" i="9" s="1"/>
  <c r="M41" i="9"/>
  <c r="S41" i="9" s="1"/>
  <c r="M18" i="9"/>
  <c r="T18" i="9" s="1"/>
  <c r="L11" i="10"/>
  <c r="M18" i="10" s="1"/>
  <c r="N11" i="10"/>
  <c r="N46" i="10"/>
  <c r="L46" i="10"/>
  <c r="M46" i="10" s="1"/>
  <c r="N35" i="10"/>
  <c r="L35" i="10"/>
  <c r="M35" i="10" s="1"/>
  <c r="H53" i="4"/>
  <c r="A12" i="7"/>
  <c r="L54" i="4"/>
  <c r="O52" i="4"/>
  <c r="D11" i="7" s="1"/>
  <c r="M52" i="4"/>
  <c r="B11" i="7" s="1"/>
  <c r="K52" i="4"/>
  <c r="N52" i="4" s="1"/>
  <c r="C11" i="7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" i="9"/>
  <c r="S3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T9" i="9"/>
  <c r="O19" i="9"/>
  <c r="S16" i="9"/>
  <c r="P9" i="9"/>
  <c r="Q9" i="9"/>
  <c r="S35" i="9"/>
  <c r="R27" i="9"/>
  <c r="R32" i="9"/>
  <c r="O16" i="9"/>
  <c r="R16" i="9"/>
  <c r="T27" i="9"/>
  <c r="P19" i="9"/>
  <c r="Q32" i="9"/>
  <c r="Q16" i="9"/>
  <c r="P16" i="9"/>
  <c r="O33" i="9"/>
  <c r="R9" i="9"/>
  <c r="O9" i="9"/>
  <c r="Q18" i="9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P27" i="9" l="1"/>
  <c r="S19" i="9"/>
  <c r="O27" i="9"/>
  <c r="S27" i="9"/>
  <c r="P7" i="9"/>
  <c r="T33" i="9"/>
  <c r="S15" i="9"/>
  <c r="Q33" i="9"/>
  <c r="P2" i="9"/>
  <c r="R2" i="9"/>
  <c r="S2" i="9"/>
  <c r="Q2" i="9"/>
  <c r="O41" i="9"/>
  <c r="O2" i="9"/>
  <c r="P25" i="9"/>
  <c r="T7" i="9"/>
  <c r="S7" i="9"/>
  <c r="O7" i="9"/>
  <c r="Q15" i="9"/>
  <c r="P42" i="9"/>
  <c r="M21" i="10"/>
  <c r="T39" i="9"/>
  <c r="S18" i="9"/>
  <c r="Q10" i="9"/>
  <c r="R41" i="9"/>
  <c r="O18" i="9"/>
  <c r="O8" i="9"/>
  <c r="R18" i="9"/>
  <c r="Q24" i="9"/>
  <c r="R7" i="9"/>
  <c r="P18" i="9"/>
  <c r="P8" i="9"/>
  <c r="P41" i="9"/>
  <c r="M5" i="10"/>
  <c r="S32" i="9"/>
  <c r="M28" i="10"/>
  <c r="R25" i="9"/>
  <c r="P32" i="9"/>
  <c r="T19" i="9"/>
  <c r="O32" i="9"/>
  <c r="R19" i="9"/>
  <c r="Q41" i="9"/>
  <c r="T25" i="9"/>
  <c r="T41" i="9"/>
  <c r="M24" i="10"/>
  <c r="M6" i="10"/>
  <c r="M16" i="10"/>
  <c r="M14" i="10"/>
  <c r="M22" i="10"/>
  <c r="M20" i="10"/>
  <c r="M8" i="10"/>
  <c r="M17" i="10"/>
  <c r="M7" i="10"/>
  <c r="M23" i="10"/>
  <c r="M2" i="10"/>
  <c r="M11" i="10"/>
  <c r="M4" i="10"/>
  <c r="M10" i="10"/>
  <c r="M9" i="10"/>
  <c r="M25" i="10"/>
  <c r="M15" i="10"/>
  <c r="M12" i="10"/>
  <c r="M26" i="10"/>
  <c r="M13" i="10"/>
  <c r="M29" i="10"/>
  <c r="M19" i="10"/>
  <c r="M27" i="10"/>
  <c r="M3" i="10"/>
  <c r="Q42" i="9"/>
  <c r="S12" i="9"/>
  <c r="S42" i="9"/>
  <c r="O3" i="9"/>
  <c r="R24" i="9"/>
  <c r="O42" i="9"/>
  <c r="P24" i="9"/>
  <c r="O24" i="9"/>
  <c r="O39" i="9"/>
  <c r="R33" i="9"/>
  <c r="T35" i="9"/>
  <c r="O23" i="9"/>
  <c r="R35" i="9"/>
  <c r="T15" i="9"/>
  <c r="O25" i="9"/>
  <c r="P35" i="9"/>
  <c r="S26" i="9"/>
  <c r="Q25" i="9"/>
  <c r="R15" i="9"/>
  <c r="R26" i="9"/>
  <c r="P10" i="9"/>
  <c r="P26" i="9"/>
  <c r="S10" i="9"/>
  <c r="S8" i="9"/>
  <c r="O10" i="9"/>
  <c r="O38" i="9"/>
  <c r="S40" i="9"/>
  <c r="T37" i="9"/>
  <c r="P34" i="9"/>
  <c r="S28" i="9"/>
  <c r="P4" i="9"/>
  <c r="R34" i="9"/>
  <c r="Q34" i="9"/>
  <c r="O17" i="9"/>
  <c r="Q40" i="9"/>
  <c r="O34" i="9"/>
  <c r="T17" i="9"/>
  <c r="S34" i="9"/>
  <c r="Q39" i="9"/>
  <c r="A13" i="7"/>
  <c r="H54" i="4"/>
  <c r="L55" i="4"/>
  <c r="S38" i="9"/>
  <c r="O53" i="4"/>
  <c r="D12" i="7" s="1"/>
  <c r="K53" i="4"/>
  <c r="N53" i="4" s="1"/>
  <c r="C12" i="7" s="1"/>
  <c r="M53" i="4"/>
  <c r="B12" i="7" s="1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Q3" i="10" l="1" a="1"/>
  <c r="Q22" i="10" a="1"/>
  <c r="Q11" i="10" a="1"/>
  <c r="Q25" i="10" a="1"/>
  <c r="Q21" i="10" a="1"/>
  <c r="Q16" i="10" a="1"/>
  <c r="Q9" i="10" a="1"/>
  <c r="Q15" i="10" a="1"/>
  <c r="Q7" i="10" a="1"/>
  <c r="Q24" i="10" a="1"/>
  <c r="Q19" i="10" a="1"/>
  <c r="Q14" i="10" a="1"/>
  <c r="Q6" i="10" a="1"/>
  <c r="Q13" i="10" a="1"/>
  <c r="Q4" i="10" a="1"/>
  <c r="Q23" i="10" a="1"/>
  <c r="Q18" i="10" a="1"/>
  <c r="Q12" i="10" a="1"/>
  <c r="Q5" i="10" a="1"/>
  <c r="Q10" i="10" a="1"/>
  <c r="Q17" i="10" a="1"/>
  <c r="Q20" i="10" a="1"/>
  <c r="Q8" i="10" a="1"/>
  <c r="L56" i="4"/>
  <c r="A14" i="7"/>
  <c r="H55" i="4"/>
  <c r="O54" i="4"/>
  <c r="D13" i="7" s="1"/>
  <c r="M54" i="4"/>
  <c r="B13" i="7" s="1"/>
  <c r="K54" i="4"/>
  <c r="N54" i="4" s="1"/>
  <c r="C13" i="7" s="1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Q13" i="10" l="1"/>
  <c r="W13" i="10"/>
  <c r="X13" i="10"/>
  <c r="S13" i="10"/>
  <c r="Y13" i="10"/>
  <c r="R13" i="10"/>
  <c r="U13" i="10"/>
  <c r="V13" i="10"/>
  <c r="T13" i="10"/>
  <c r="U6" i="10"/>
  <c r="R6" i="10"/>
  <c r="S6" i="10"/>
  <c r="V6" i="10"/>
  <c r="T6" i="10"/>
  <c r="X6" i="10"/>
  <c r="Y6" i="10"/>
  <c r="Q6" i="10"/>
  <c r="W6" i="10"/>
  <c r="X7" i="10"/>
  <c r="Y7" i="10"/>
  <c r="Q7" i="10"/>
  <c r="T7" i="10"/>
  <c r="R7" i="10"/>
  <c r="V7" i="10"/>
  <c r="W7" i="10"/>
  <c r="U7" i="10"/>
  <c r="S7" i="10"/>
  <c r="S21" i="10"/>
  <c r="X21" i="10"/>
  <c r="W21" i="10"/>
  <c r="V21" i="10"/>
  <c r="R21" i="10"/>
  <c r="T21" i="10"/>
  <c r="U21" i="10"/>
  <c r="Y21" i="10"/>
  <c r="Q21" i="10"/>
  <c r="V10" i="10"/>
  <c r="S10" i="10"/>
  <c r="T10" i="10"/>
  <c r="X10" i="10"/>
  <c r="Y10" i="10"/>
  <c r="Q10" i="10"/>
  <c r="R10" i="10"/>
  <c r="W10" i="10"/>
  <c r="U10" i="10"/>
  <c r="R23" i="10"/>
  <c r="S23" i="10"/>
  <c r="W23" i="10"/>
  <c r="X23" i="10"/>
  <c r="Y23" i="10"/>
  <c r="Q23" i="10"/>
  <c r="V23" i="10"/>
  <c r="U23" i="10"/>
  <c r="T23" i="10"/>
  <c r="X14" i="10"/>
  <c r="V14" i="10"/>
  <c r="W14" i="10"/>
  <c r="R14" i="10"/>
  <c r="Q14" i="10"/>
  <c r="T14" i="10"/>
  <c r="U14" i="10"/>
  <c r="S14" i="10"/>
  <c r="Y14" i="10"/>
  <c r="R15" i="10"/>
  <c r="X15" i="10"/>
  <c r="U15" i="10"/>
  <c r="V15" i="10"/>
  <c r="Q15" i="10"/>
  <c r="W15" i="10"/>
  <c r="S15" i="10"/>
  <c r="T15" i="10"/>
  <c r="Y15" i="10"/>
  <c r="T25" i="10"/>
  <c r="U25" i="10"/>
  <c r="Y25" i="10"/>
  <c r="R25" i="10"/>
  <c r="S25" i="10"/>
  <c r="X25" i="10"/>
  <c r="Q25" i="10"/>
  <c r="V25" i="10"/>
  <c r="W25" i="10"/>
  <c r="Y12" i="10"/>
  <c r="Q12" i="10"/>
  <c r="U12" i="10"/>
  <c r="X12" i="10"/>
  <c r="W12" i="10"/>
  <c r="R12" i="10"/>
  <c r="V12" i="10"/>
  <c r="T12" i="10"/>
  <c r="S12" i="10"/>
  <c r="R17" i="10"/>
  <c r="X17" i="10"/>
  <c r="Y17" i="10"/>
  <c r="Q17" i="10"/>
  <c r="U17" i="10"/>
  <c r="V17" i="10"/>
  <c r="W17" i="10"/>
  <c r="T17" i="10"/>
  <c r="S17" i="10"/>
  <c r="X8" i="10"/>
  <c r="U8" i="10"/>
  <c r="V8" i="10"/>
  <c r="W8" i="10"/>
  <c r="S8" i="10"/>
  <c r="T8" i="10"/>
  <c r="Y8" i="10"/>
  <c r="Q8" i="10"/>
  <c r="R8" i="10"/>
  <c r="W5" i="10"/>
  <c r="X5" i="10"/>
  <c r="S5" i="10"/>
  <c r="U5" i="10"/>
  <c r="V5" i="10"/>
  <c r="T5" i="10"/>
  <c r="Y5" i="10"/>
  <c r="Q5" i="10"/>
  <c r="R5" i="10"/>
  <c r="W4" i="10"/>
  <c r="S4" i="10"/>
  <c r="T4" i="10"/>
  <c r="U4" i="10"/>
  <c r="V4" i="10"/>
  <c r="Y4" i="10"/>
  <c r="Q4" i="10"/>
  <c r="R4" i="10"/>
  <c r="X4" i="10"/>
  <c r="V19" i="10"/>
  <c r="T19" i="10"/>
  <c r="R19" i="10"/>
  <c r="S19" i="10"/>
  <c r="U19" i="10"/>
  <c r="X19" i="10"/>
  <c r="Y19" i="10"/>
  <c r="Q19" i="10"/>
  <c r="W19" i="10"/>
  <c r="X9" i="10"/>
  <c r="W9" i="10"/>
  <c r="R9" i="10"/>
  <c r="T9" i="10"/>
  <c r="S9" i="10"/>
  <c r="V9" i="10"/>
  <c r="U9" i="10"/>
  <c r="Y9" i="10"/>
  <c r="Q9" i="10"/>
  <c r="U11" i="10"/>
  <c r="V11" i="10"/>
  <c r="Q11" i="10"/>
  <c r="X11" i="10"/>
  <c r="S11" i="10"/>
  <c r="T11" i="10"/>
  <c r="Y11" i="10"/>
  <c r="R11" i="10"/>
  <c r="W11" i="10"/>
  <c r="W20" i="10"/>
  <c r="R20" i="10"/>
  <c r="S20" i="10"/>
  <c r="T20" i="10"/>
  <c r="V20" i="10"/>
  <c r="Y20" i="10"/>
  <c r="Q20" i="10"/>
  <c r="X20" i="10"/>
  <c r="U20" i="10"/>
  <c r="Q24" i="10"/>
  <c r="V24" i="10"/>
  <c r="W24" i="10"/>
  <c r="R24" i="10"/>
  <c r="X24" i="10"/>
  <c r="T24" i="10"/>
  <c r="U24" i="10"/>
  <c r="S24" i="10"/>
  <c r="Y24" i="10"/>
  <c r="W16" i="10"/>
  <c r="X16" i="10"/>
  <c r="S16" i="10"/>
  <c r="U16" i="10"/>
  <c r="V16" i="10"/>
  <c r="T16" i="10"/>
  <c r="R16" i="10"/>
  <c r="Y16" i="10"/>
  <c r="Q16" i="10"/>
  <c r="W22" i="10"/>
  <c r="T22" i="10"/>
  <c r="U22" i="10"/>
  <c r="X22" i="10"/>
  <c r="Y22" i="10"/>
  <c r="R22" i="10"/>
  <c r="S22" i="10"/>
  <c r="Q22" i="10"/>
  <c r="V22" i="10"/>
  <c r="V18" i="10"/>
  <c r="W18" i="10"/>
  <c r="R18" i="10"/>
  <c r="T18" i="10"/>
  <c r="U18" i="10"/>
  <c r="S18" i="10"/>
  <c r="Q18" i="10"/>
  <c r="X18" i="10"/>
  <c r="Y18" i="10"/>
  <c r="Q3" i="10"/>
  <c r="S3" i="10"/>
  <c r="Y3" i="10"/>
  <c r="V3" i="10"/>
  <c r="U3" i="10"/>
  <c r="T3" i="10"/>
  <c r="W3" i="10"/>
  <c r="X3" i="10"/>
  <c r="R3" i="10"/>
  <c r="K55" i="4"/>
  <c r="N55" i="4" s="1"/>
  <c r="C14" i="7" s="1"/>
  <c r="O55" i="4"/>
  <c r="D14" i="7" s="1"/>
  <c r="M55" i="4"/>
  <c r="B14" i="7" s="1"/>
  <c r="H56" i="4"/>
  <c r="A15" i="7"/>
  <c r="L57" i="4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O56" i="4" l="1"/>
  <c r="D15" i="7" s="1"/>
  <c r="K56" i="4"/>
  <c r="N56" i="4" s="1"/>
  <c r="C15" i="7" s="1"/>
  <c r="M56" i="4"/>
  <c r="B15" i="7" s="1"/>
  <c r="H57" i="4"/>
  <c r="L58" i="4"/>
  <c r="A16" i="7"/>
  <c r="T15" i="5" a="1"/>
  <c r="T15" i="5" s="1"/>
  <c r="S15" i="5"/>
  <c r="O27" i="5"/>
  <c r="N26" i="5"/>
  <c r="P25" i="5"/>
  <c r="R25" i="5"/>
  <c r="Q25" i="5"/>
  <c r="M57" i="4" l="1"/>
  <c r="B16" i="7" s="1"/>
  <c r="K57" i="4"/>
  <c r="N57" i="4" s="1"/>
  <c r="C16" i="7" s="1"/>
  <c r="O57" i="4"/>
  <c r="D16" i="7" s="1"/>
  <c r="H58" i="4"/>
  <c r="A17" i="7"/>
  <c r="L59" i="4"/>
  <c r="Q26" i="5"/>
  <c r="P26" i="5"/>
  <c r="R26" i="5"/>
  <c r="O28" i="5"/>
  <c r="N27" i="5"/>
  <c r="K58" i="4" l="1"/>
  <c r="N58" i="4" s="1"/>
  <c r="C17" i="7" s="1"/>
  <c r="O58" i="4"/>
  <c r="D17" i="7" s="1"/>
  <c r="M58" i="4"/>
  <c r="B17" i="7" s="1"/>
  <c r="H59" i="4"/>
  <c r="L60" i="4"/>
  <c r="A18" i="7"/>
  <c r="O29" i="5"/>
  <c r="N28" i="5"/>
  <c r="P27" i="5"/>
  <c r="R27" i="5"/>
  <c r="Q27" i="5"/>
  <c r="K59" i="4" l="1"/>
  <c r="N59" i="4" s="1"/>
  <c r="C18" i="7" s="1"/>
  <c r="M59" i="4"/>
  <c r="B18" i="7" s="1"/>
  <c r="O59" i="4"/>
  <c r="D18" i="7" s="1"/>
  <c r="H60" i="4"/>
  <c r="A19" i="7"/>
  <c r="L61" i="4"/>
  <c r="Q28" i="5"/>
  <c r="P28" i="5"/>
  <c r="R28" i="5"/>
  <c r="O30" i="5"/>
  <c r="N29" i="5"/>
  <c r="O60" i="4" l="1"/>
  <c r="D19" i="7" s="1"/>
  <c r="K60" i="4"/>
  <c r="N60" i="4" s="1"/>
  <c r="C19" i="7" s="1"/>
  <c r="M60" i="4"/>
  <c r="B19" i="7" s="1"/>
  <c r="H61" i="4"/>
  <c r="L62" i="4"/>
  <c r="A20" i="7"/>
  <c r="P29" i="5"/>
  <c r="R29" i="5"/>
  <c r="Q29" i="5"/>
  <c r="O31" i="5"/>
  <c r="N30" i="5"/>
  <c r="O61" i="4" l="1"/>
  <c r="D20" i="7" s="1"/>
  <c r="M61" i="4"/>
  <c r="B20" i="7" s="1"/>
  <c r="K61" i="4"/>
  <c r="N61" i="4" s="1"/>
  <c r="C20" i="7" s="1"/>
  <c r="H62" i="4"/>
  <c r="L63" i="4"/>
  <c r="A21" i="7"/>
  <c r="O32" i="5"/>
  <c r="N31" i="5"/>
  <c r="Q30" i="5"/>
  <c r="P30" i="5"/>
  <c r="R30" i="5"/>
  <c r="K62" i="4" l="1"/>
  <c r="N62" i="4" s="1"/>
  <c r="C21" i="7" s="1"/>
  <c r="O62" i="4"/>
  <c r="D21" i="7" s="1"/>
  <c r="M62" i="4"/>
  <c r="B21" i="7" s="1"/>
  <c r="H63" i="4"/>
  <c r="L64" i="4"/>
  <c r="A22" i="7"/>
  <c r="P31" i="5"/>
  <c r="R31" i="5"/>
  <c r="Q31" i="5"/>
  <c r="O33" i="5"/>
  <c r="N32" i="5"/>
  <c r="K63" i="4" l="1"/>
  <c r="N63" i="4" s="1"/>
  <c r="C22" i="7" s="1"/>
  <c r="M63" i="4"/>
  <c r="B22" i="7" s="1"/>
  <c r="O63" i="4"/>
  <c r="D22" i="7" s="1"/>
  <c r="H64" i="4"/>
  <c r="A23" i="7"/>
  <c r="L65" i="4"/>
  <c r="Q32" i="5"/>
  <c r="P32" i="5"/>
  <c r="R32" i="5"/>
  <c r="O34" i="5"/>
  <c r="N33" i="5"/>
  <c r="O64" i="4" l="1"/>
  <c r="D23" i="7" s="1"/>
  <c r="M64" i="4"/>
  <c r="B23" i="7" s="1"/>
  <c r="K64" i="4"/>
  <c r="N64" i="4" s="1"/>
  <c r="C23" i="7" s="1"/>
  <c r="H65" i="4"/>
  <c r="A24" i="7"/>
  <c r="L66" i="4"/>
  <c r="P33" i="5"/>
  <c r="R33" i="5"/>
  <c r="Q33" i="5"/>
  <c r="O35" i="5"/>
  <c r="N34" i="5"/>
  <c r="K65" i="4" l="1"/>
  <c r="N65" i="4" s="1"/>
  <c r="C24" i="7" s="1"/>
  <c r="O65" i="4"/>
  <c r="D24" i="7" s="1"/>
  <c r="M65" i="4"/>
  <c r="B24" i="7" s="1"/>
  <c r="H66" i="4"/>
  <c r="L67" i="4"/>
  <c r="A25" i="7"/>
  <c r="O36" i="5"/>
  <c r="N35" i="5"/>
  <c r="Q34" i="5"/>
  <c r="P34" i="5"/>
  <c r="R34" i="5"/>
  <c r="K66" i="4" l="1"/>
  <c r="N66" i="4" s="1"/>
  <c r="C25" i="7" s="1"/>
  <c r="O66" i="4"/>
  <c r="D25" i="7" s="1"/>
  <c r="M66" i="4"/>
  <c r="B25" i="7" s="1"/>
  <c r="H67" i="4"/>
  <c r="L68" i="4"/>
  <c r="A26" i="7"/>
  <c r="O37" i="5"/>
  <c r="N36" i="5"/>
  <c r="P35" i="5"/>
  <c r="R35" i="5"/>
  <c r="Q35" i="5"/>
  <c r="K67" i="4" l="1"/>
  <c r="N67" i="4" s="1"/>
  <c r="C26" i="7" s="1"/>
  <c r="O67" i="4"/>
  <c r="D26" i="7" s="1"/>
  <c r="M67" i="4"/>
  <c r="B26" i="7" s="1"/>
  <c r="H68" i="4"/>
  <c r="A27" i="7"/>
  <c r="L69" i="4"/>
  <c r="Q36" i="5"/>
  <c r="P36" i="5"/>
  <c r="R36" i="5"/>
  <c r="O38" i="5"/>
  <c r="N37" i="5"/>
  <c r="O68" i="4" l="1"/>
  <c r="D27" i="7" s="1"/>
  <c r="K68" i="4"/>
  <c r="N68" i="4" s="1"/>
  <c r="C27" i="7" s="1"/>
  <c r="M68" i="4"/>
  <c r="B27" i="7" s="1"/>
  <c r="H69" i="4"/>
  <c r="A28" i="7"/>
  <c r="L70" i="4"/>
  <c r="P37" i="5"/>
  <c r="R37" i="5"/>
  <c r="Q37" i="5"/>
  <c r="O39" i="5"/>
  <c r="N38" i="5"/>
  <c r="O69" i="4" l="1"/>
  <c r="D28" i="7" s="1"/>
  <c r="K69" i="4"/>
  <c r="N69" i="4" s="1"/>
  <c r="C28" i="7" s="1"/>
  <c r="M69" i="4"/>
  <c r="B28" i="7" s="1"/>
  <c r="H70" i="4"/>
  <c r="A29" i="7"/>
  <c r="L71" i="4"/>
  <c r="O40" i="5"/>
  <c r="N39" i="5"/>
  <c r="Q38" i="5"/>
  <c r="P38" i="5"/>
  <c r="R38" i="5"/>
  <c r="K70" i="4" l="1"/>
  <c r="N70" i="4" s="1"/>
  <c r="C29" i="7" s="1"/>
  <c r="M70" i="4"/>
  <c r="B29" i="7" s="1"/>
  <c r="O70" i="4"/>
  <c r="D29" i="7" s="1"/>
  <c r="L72" i="4"/>
  <c r="A30" i="7"/>
  <c r="H71" i="4"/>
  <c r="P39" i="5"/>
  <c r="R39" i="5"/>
  <c r="Q39" i="5"/>
  <c r="O41" i="5"/>
  <c r="N40" i="5"/>
  <c r="H72" i="4" l="1"/>
  <c r="L73" i="4"/>
  <c r="A31" i="7"/>
  <c r="K71" i="4"/>
  <c r="N71" i="4" s="1"/>
  <c r="C30" i="7" s="1"/>
  <c r="O71" i="4"/>
  <c r="D30" i="7" s="1"/>
  <c r="M71" i="4"/>
  <c r="B30" i="7" s="1"/>
  <c r="Q40" i="5"/>
  <c r="P40" i="5"/>
  <c r="R40" i="5"/>
  <c r="O42" i="5"/>
  <c r="N41" i="5"/>
  <c r="A32" i="7" l="1"/>
  <c r="H73" i="4"/>
  <c r="L74" i="4"/>
  <c r="O72" i="4"/>
  <c r="D31" i="7" s="1"/>
  <c r="M72" i="4"/>
  <c r="B31" i="7" s="1"/>
  <c r="K72" i="4"/>
  <c r="N72" i="4" s="1"/>
  <c r="C31" i="7" s="1"/>
  <c r="P41" i="5"/>
  <c r="R41" i="5"/>
  <c r="Q41" i="5"/>
  <c r="O43" i="5"/>
  <c r="N42" i="5"/>
  <c r="H74" i="4" l="1"/>
  <c r="A33" i="7"/>
  <c r="L75" i="4"/>
  <c r="K73" i="4"/>
  <c r="N73" i="4" s="1"/>
  <c r="C32" i="7" s="1"/>
  <c r="O73" i="4"/>
  <c r="D32" i="7" s="1"/>
  <c r="M73" i="4"/>
  <c r="B32" i="7" s="1"/>
  <c r="O44" i="5"/>
  <c r="N43" i="5"/>
  <c r="Q42" i="5"/>
  <c r="P42" i="5"/>
  <c r="R42" i="5"/>
  <c r="L76" i="4" l="1"/>
  <c r="A34" i="7"/>
  <c r="H75" i="4"/>
  <c r="K74" i="4"/>
  <c r="N74" i="4" s="1"/>
  <c r="C33" i="7" s="1"/>
  <c r="O74" i="4"/>
  <c r="D33" i="7" s="1"/>
  <c r="M74" i="4"/>
  <c r="B33" i="7" s="1"/>
  <c r="P43" i="5"/>
  <c r="R43" i="5"/>
  <c r="Q43" i="5"/>
  <c r="O45" i="5"/>
  <c r="N44" i="5"/>
  <c r="M75" i="4" l="1"/>
  <c r="B34" i="7" s="1"/>
  <c r="O75" i="4"/>
  <c r="D34" i="7" s="1"/>
  <c r="K75" i="4"/>
  <c r="N75" i="4" s="1"/>
  <c r="C34" i="7" s="1"/>
  <c r="H76" i="4"/>
  <c r="A35" i="7"/>
  <c r="L77" i="4"/>
  <c r="O46" i="5"/>
  <c r="N46" i="5" s="1"/>
  <c r="N45" i="5"/>
  <c r="Q44" i="5"/>
  <c r="P44" i="5"/>
  <c r="R44" i="5"/>
  <c r="L78" i="4" l="1"/>
  <c r="H77" i="4"/>
  <c r="A36" i="7"/>
  <c r="M76" i="4"/>
  <c r="B35" i="7" s="1"/>
  <c r="K76" i="4"/>
  <c r="N76" i="4" s="1"/>
  <c r="C35" i="7" s="1"/>
  <c r="O76" i="4"/>
  <c r="D35" i="7" s="1"/>
  <c r="P45" i="5"/>
  <c r="R45" i="5"/>
  <c r="Q45" i="5"/>
  <c r="Q46" i="5"/>
  <c r="P46" i="5"/>
  <c r="R46" i="5"/>
  <c r="O77" i="4" l="1"/>
  <c r="D36" i="7" s="1"/>
  <c r="K77" i="4"/>
  <c r="N77" i="4" s="1"/>
  <c r="C36" i="7" s="1"/>
  <c r="M77" i="4"/>
  <c r="B36" i="7" s="1"/>
  <c r="H78" i="4"/>
  <c r="L79" i="4"/>
  <c r="A37" i="7"/>
  <c r="K78" i="4" l="1"/>
  <c r="N78" i="4" s="1"/>
  <c r="C37" i="7" s="1"/>
  <c r="O78" i="4"/>
  <c r="D37" i="7" s="1"/>
  <c r="M78" i="4"/>
  <c r="B37" i="7" s="1"/>
  <c r="H79" i="4"/>
  <c r="L80" i="4"/>
  <c r="A38" i="7"/>
  <c r="K79" i="4" l="1"/>
  <c r="N79" i="4" s="1"/>
  <c r="C38" i="7" s="1"/>
  <c r="M79" i="4"/>
  <c r="B38" i="7" s="1"/>
  <c r="O79" i="4"/>
  <c r="D38" i="7" s="1"/>
  <c r="H80" i="4"/>
  <c r="L81" i="4"/>
  <c r="A39" i="7"/>
  <c r="O80" i="4" l="1"/>
  <c r="D39" i="7" s="1"/>
  <c r="M80" i="4"/>
  <c r="B39" i="7" s="1"/>
  <c r="K80" i="4"/>
  <c r="N80" i="4" s="1"/>
  <c r="C39" i="7" s="1"/>
  <c r="H81" i="4"/>
  <c r="A40" i="7"/>
  <c r="L82" i="4"/>
  <c r="M81" i="4" l="1"/>
  <c r="B40" i="7" s="1"/>
  <c r="K81" i="4"/>
  <c r="N81" i="4" s="1"/>
  <c r="C40" i="7" s="1"/>
  <c r="O81" i="4"/>
  <c r="D40" i="7" s="1"/>
  <c r="H82" i="4"/>
  <c r="L83" i="4"/>
  <c r="O82" i="4" l="1"/>
  <c r="M82" i="4"/>
  <c r="K82" i="4"/>
  <c r="N82" i="4" s="1"/>
  <c r="H83" i="4"/>
  <c r="L84" i="4"/>
  <c r="K83" i="4" l="1"/>
  <c r="N83" i="4" s="1"/>
  <c r="O83" i="4"/>
  <c r="M83" i="4"/>
  <c r="L85" i="4"/>
  <c r="H84" i="4"/>
  <c r="H85" i="4" l="1"/>
  <c r="L86" i="4"/>
  <c r="L87" i="4" s="1"/>
  <c r="O84" i="4"/>
  <c r="M84" i="4"/>
  <c r="K84" i="4"/>
  <c r="N84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<sst xmlns="http://schemas.openxmlformats.org/spreadsheetml/2006/main" count="1205" uniqueCount="631">
  <si>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</si>
  <si>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</si>
  <si>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</si>
  <si>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</si>
  <si>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</si>
  <si>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</si>
  <si>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</si>
  <si>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</si>
  <si>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</si>
  <si>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</si>
  <si>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</si>
  <si>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</si>
  <si>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</si>
  <si>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</si>
  <si>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</si>
  <si>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</si>
  <si>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</si>
  <si>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</si>
  <si>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</si>
  <si>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</si>
  <si>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</si>
  <si>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</si>
  <si>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</si>
  <si>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</si>
  <si>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</si>
  <si>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</si>
  <si>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</si>
  <si>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</si>
  <si>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</si>
  <si>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</si>
  <si>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</si>
  <si>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</si>
  <si>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</si>
  <si>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</si>
  <si>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</si>
  <si>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</si>
  <si>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</si>
  <si>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</si>
  <si>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</si>
  <si>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</si>
  <si>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</si>
  <si>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</si>
  <si>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</si>
  <si>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</si>
  <si>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</si>
  <si>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</si>
  <si>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</si>
  <si>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</si>
  <si>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</si>
  <si>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</si>
  <si>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</si>
  <si>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</si>
  <si>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</si>
  <si>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</si>
  <si>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</si>
  <si>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</si>
  <si>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</si>
  <si>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</si>
  <si>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</si>
  <si>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</si>
  <si>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</si>
  <si>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</si>
  <si>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</si>
  <si>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</si>
  <si>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</si>
  <si>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</si>
  <si>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</si>
  <si>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</si>
  <si>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</si>
  <si>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</si>
  <si>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</si>
  <si>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</si>
  <si>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</si>
  <si>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</si>
  <si>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</si>
  <si>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</si>
  <si>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</si>
  <si>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</si>
  <si>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</si>
  <si>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</si>
  <si>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</si>
  <si>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</si>
  <si>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</si>
  <si>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</si>
  <si>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</si>
  <si>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</si>
  <si>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</si>
  <si>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</si>
  <si>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</si>
  <si>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</si>
  <si>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</si>
  <si>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</si>
  <si>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</si>
  <si>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</si>
  <si>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</si>
  <si>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</si>
  <si>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</si>
  <si>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</si>
  <si>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</si>
  <si>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</si>
  <si>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</si>
  <si>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</si>
  <si>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</si>
  <si>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</si>
  <si>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</si>
  <si>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</si>
  <si>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</si>
  <si>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</si>
  <si>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</si>
  <si>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</si>
  <si>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</si>
  <si>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</si>
  <si>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</si>
  <si>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</si>
  <si>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</si>
  <si>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</si>
  <si>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</si>
  <si>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</si>
  <si>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</si>
  <si>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</si>
  <si>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</si>
  <si>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</si>
  <si>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</si>
  <si>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</si>
  <si>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</si>
  <si>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</si>
  <si>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</si>
  <si>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</si>
  <si>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</si>
  <si>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</si>
  <si>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</si>
  <si>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</si>
  <si>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</si>
  <si>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</si>
  <si>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</si>
  <si>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</si>
  <si>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</si>
  <si>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</si>
  <si>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</si>
  <si>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</si>
  <si>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</si>
  <si>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</si>
  <si>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</si>
  <si>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</si>
  <si>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</si>
  <si>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</si>
  <si>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</si>
  <si>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</si>
  <si>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</si>
  <si>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Coloe A</t>
  </si>
  <si>
    <t>Lestrelle J</t>
  </si>
  <si>
    <t>Sharpe D</t>
  </si>
  <si>
    <t>Springer T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</si>
  <si>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</si>
  <si>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</si>
  <si>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</si>
  <si>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</si>
  <si>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</si>
  <si>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</si>
  <si>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</si>
  <si>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</si>
  <si>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</si>
  <si>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</si>
  <si>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</si>
  <si>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</si>
  <si>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</si>
  <si>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</si>
  <si>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</si>
  <si>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</si>
  <si>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</si>
  <si>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</si>
  <si>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</si>
  <si>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</si>
  <si>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</si>
  <si>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</si>
  <si>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</si>
  <si>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</si>
  <si>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</si>
  <si>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</si>
  <si>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</si>
  <si>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</si>
  <si>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</si>
  <si>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</si>
  <si>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</si>
  <si>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</si>
  <si>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</si>
  <si>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</si>
  <si>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</si>
  <si>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</si>
  <si>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</si>
  <si>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</si>
  <si>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</si>
  <si>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</si>
  <si>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</si>
  <si>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</si>
  <si>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</si>
  <si>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</si>
  <si>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</si>
  <si>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</si>
  <si>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TOCC Runs</t>
  </si>
  <si>
    <t>Opp Runs</t>
  </si>
  <si>
    <t>TOCC Wkts</t>
  </si>
  <si>
    <t>Opp Wkts</t>
  </si>
  <si>
    <t>Pos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</si>
  <si>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</si>
  <si>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</si>
  <si>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</si>
  <si>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</si>
  <si>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</si>
  <si>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</si>
  <si>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</si>
  <si>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</si>
  <si>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</si>
  <si>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</si>
  <si>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</si>
  <si>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</si>
  <si>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A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</si>
  <si>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</si>
  <si>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</si>
  <si>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</si>
  <si>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</si>
  <si>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</si>
  <si>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</si>
  <si>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</si>
  <si>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</si>
  <si>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</si>
  <si>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</si>
  <si>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</si>
  <si>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Rollins R</t>
  </si>
  <si>
    <t>Johnson A</t>
  </si>
  <si>
    <t>Daniel</t>
  </si>
  <si>
    <t>Edghill D</t>
  </si>
  <si>
    <t>de Souza C</t>
  </si>
  <si>
    <t>Clayton</t>
  </si>
  <si>
    <t>Seymour C</t>
  </si>
  <si>
    <t>H</t>
  </si>
  <si>
    <t>Queries</t>
  </si>
  <si>
    <t>11/0/dnb*/0/0</t>
  </si>
  <si>
    <t>Phil</t>
  </si>
  <si>
    <t>Chaffey P</t>
  </si>
  <si>
    <t>10/0/dnb*/0/0</t>
  </si>
  <si>
    <t>Churchleigh</t>
  </si>
  <si>
    <t>ND</t>
  </si>
  <si>
    <t>7/0/dnb/0/0</t>
  </si>
  <si>
    <t>9/0/dnb/0/0</t>
  </si>
  <si>
    <t>10/0/dnb/0/0</t>
  </si>
  <si>
    <t>11/0/dnb/0/0</t>
  </si>
  <si>
    <t>TOCC</t>
  </si>
  <si>
    <t>L</t>
  </si>
  <si>
    <t>Alex</t>
  </si>
  <si>
    <t>Gibb A</t>
  </si>
  <si>
    <t>4/0/b/1/0</t>
  </si>
  <si>
    <t>5/0/b/0/0</t>
  </si>
  <si>
    <t>Beddington</t>
  </si>
  <si>
    <t>W</t>
  </si>
  <si>
    <t>5/1/c/0/0</t>
  </si>
  <si>
    <t>Vishwa</t>
  </si>
  <si>
    <t>Norwood Exiles</t>
  </si>
  <si>
    <t>4/0/lb/0/0</t>
  </si>
  <si>
    <t>4/0/27/0</t>
  </si>
  <si>
    <t>Sanderstead</t>
  </si>
  <si>
    <t>3/0/19/0</t>
  </si>
  <si>
    <t>11/0/dnb/1/0</t>
  </si>
  <si>
    <t>3/0/25/0</t>
  </si>
  <si>
    <t>9/1/c/0/0</t>
  </si>
  <si>
    <t>8/0/dnb*/1/0</t>
  </si>
  <si>
    <t>3/0/10/1</t>
  </si>
  <si>
    <t>2/9/b/0/1.0</t>
  </si>
  <si>
    <t>10/7/no/0/0</t>
  </si>
  <si>
    <t>Middleton J</t>
  </si>
  <si>
    <t>6/0/28/1</t>
  </si>
  <si>
    <t>N/O</t>
  </si>
  <si>
    <t>4/0/38/1</t>
  </si>
  <si>
    <t>Davies R</t>
  </si>
  <si>
    <t>Ray</t>
  </si>
  <si>
    <t>8/0/dnb/0/0</t>
  </si>
  <si>
    <t>5/0/dnb/0/0</t>
  </si>
  <si>
    <t>6/0/dnb/0/0</t>
  </si>
  <si>
    <t>Robinson Lakeside</t>
  </si>
  <si>
    <t>John Fisher Lamgas</t>
  </si>
  <si>
    <t>Middleton 5-30</t>
  </si>
  <si>
    <t>Middleton 57</t>
  </si>
  <si>
    <t>Middleton 48</t>
  </si>
  <si>
    <t>Singh 4-34</t>
  </si>
  <si>
    <t>Middleton 5-38</t>
  </si>
  <si>
    <t>Banforth 102</t>
  </si>
  <si>
    <t>Morden Corinthians</t>
  </si>
  <si>
    <t>Middleton 39</t>
  </si>
  <si>
    <t>Patel 51*</t>
  </si>
  <si>
    <t>Orpington</t>
  </si>
  <si>
    <t>Cooper 4-12</t>
  </si>
  <si>
    <t>Statics</t>
  </si>
  <si>
    <t>Old Josephians</t>
  </si>
  <si>
    <t>LESSA Wanderers</t>
  </si>
  <si>
    <t>Feroz 97*, Seymour 5-45</t>
  </si>
  <si>
    <t>Macca 4-21</t>
  </si>
  <si>
    <t>Norwood</t>
  </si>
  <si>
    <t>Sayeed 112</t>
  </si>
  <si>
    <t>Wright 4-41</t>
  </si>
  <si>
    <t>Aston 3-3</t>
  </si>
  <si>
    <t>Kingstonian</t>
  </si>
  <si>
    <t>Clark 4-28</t>
  </si>
  <si>
    <t>Middleton 38*</t>
  </si>
  <si>
    <t>Somerville 52*</t>
  </si>
  <si>
    <t>Greyling 43, Somerville 4-20</t>
  </si>
  <si>
    <t>Seymour 3-9</t>
  </si>
  <si>
    <t>Sharpe 63*</t>
  </si>
  <si>
    <t>Gibb 78</t>
  </si>
  <si>
    <t>Stevenson R 79*, Knight O 57</t>
  </si>
  <si>
    <t>2008 Season</t>
  </si>
  <si>
    <t>1/6/c/0/1.0</t>
  </si>
  <si>
    <t>2/23/no/0/2.0</t>
  </si>
  <si>
    <t>3/1/lb/0/0</t>
  </si>
  <si>
    <t>4/1/no/0/0</t>
  </si>
  <si>
    <t>3/0/34/0</t>
  </si>
  <si>
    <t>Singh R</t>
  </si>
  <si>
    <t>8/1/45/1</t>
  </si>
  <si>
    <t>10/2/30/5</t>
  </si>
  <si>
    <t>9/1/29/1</t>
  </si>
  <si>
    <t>4/0/21/0</t>
  </si>
  <si>
    <t>1/5/c+/0.1/0</t>
  </si>
  <si>
    <t>2/1/lb/0/0</t>
  </si>
  <si>
    <t>3/15/b/0/2.0</t>
  </si>
  <si>
    <t>4/57/c/0/7.0</t>
  </si>
  <si>
    <t>Ricky</t>
  </si>
  <si>
    <t>5/5/c/0/1.0</t>
  </si>
  <si>
    <t>6/2/b/0/0</t>
  </si>
  <si>
    <t>7/1/b/0/0</t>
  </si>
  <si>
    <t>8/3/b*/0/0</t>
  </si>
  <si>
    <t>9/5/no/0/0</t>
  </si>
  <si>
    <t>10/13/b/0/0</t>
  </si>
  <si>
    <t>1/0/b/1/0</t>
  </si>
  <si>
    <t>2/9/c/0/0</t>
  </si>
  <si>
    <t>3/15/c/0/2.0</t>
  </si>
  <si>
    <t>4/7/b/0/1.0</t>
  </si>
  <si>
    <t>5/4/b/0/0</t>
  </si>
  <si>
    <t>6/3/ro/0/0</t>
  </si>
  <si>
    <t>7/11/b/0/0.1</t>
  </si>
  <si>
    <t>8/4/b/0/0</t>
  </si>
  <si>
    <t>9/8/b/0/1.0</t>
  </si>
  <si>
    <t>10/7/no/1/1.0</t>
  </si>
  <si>
    <t>11/4/c*/0/0</t>
  </si>
  <si>
    <t>3/15/c+/0/2.0</t>
  </si>
  <si>
    <t>2/0/b/0/0</t>
  </si>
  <si>
    <t>3/0/c/0/0</t>
  </si>
  <si>
    <t>4/48/c/0/5.2</t>
  </si>
  <si>
    <t>5/21/c/0/1.0</t>
  </si>
  <si>
    <t>6/5/c*/0/0</t>
  </si>
  <si>
    <t>Harry</t>
  </si>
  <si>
    <t>Singh H</t>
  </si>
  <si>
    <t>7/14/c/1/0</t>
  </si>
  <si>
    <t>8/18/c/0/2.0</t>
  </si>
  <si>
    <t>10/6/b/1/1.0</t>
  </si>
  <si>
    <t>11/2/no/0/0</t>
  </si>
  <si>
    <t>3/0/c+/1.0/0</t>
  </si>
  <si>
    <t>8/1/41/2</t>
  </si>
  <si>
    <t>7/0/29/1</t>
  </si>
  <si>
    <t>1/0/20/0</t>
  </si>
  <si>
    <t>0.1/0/6/0</t>
  </si>
  <si>
    <t>5/1/31/1</t>
  </si>
  <si>
    <t>10/2/34/4</t>
  </si>
  <si>
    <t>11/0/43/1</t>
  </si>
  <si>
    <t>5/0/30/2</t>
  </si>
  <si>
    <t>1.5/0/15/0</t>
  </si>
  <si>
    <t>9/18/c/0/3.1</t>
  </si>
  <si>
    <t>1/25/lb/0/2.0</t>
  </si>
  <si>
    <t>3/10/c+/0/0</t>
  </si>
  <si>
    <t>4/9/lb/0/0</t>
  </si>
  <si>
    <t>6/0/b/0/0</t>
  </si>
  <si>
    <t>6/17/c/0/1.0</t>
  </si>
  <si>
    <t>7/7/no/0/1.0</t>
  </si>
  <si>
    <t>8/0/no/0/0</t>
  </si>
  <si>
    <t>11/0/dnb*/2/0</t>
  </si>
  <si>
    <t>10/0/30/0</t>
  </si>
  <si>
    <t>6/1/36/0</t>
  </si>
  <si>
    <t>13/3/38/5</t>
  </si>
  <si>
    <t>6/1/22/0</t>
  </si>
  <si>
    <t>7/1/22/1</t>
  </si>
  <si>
    <t>5/0/24/0</t>
  </si>
  <si>
    <t>8/2/29/0</t>
  </si>
  <si>
    <t>6/0/36/1</t>
  </si>
  <si>
    <t>5/0/36/0</t>
  </si>
  <si>
    <t>Chitnavis B</t>
  </si>
  <si>
    <t>6/1/31/2</t>
  </si>
  <si>
    <t>1/20/c/0/3.0</t>
  </si>
  <si>
    <t>2/5/lb/0/0</t>
  </si>
  <si>
    <t>3/2/c+/0/0</t>
  </si>
  <si>
    <t>4/3/c/0/0</t>
  </si>
  <si>
    <t>6/17/b/1/2.0</t>
  </si>
  <si>
    <t>7/7/c/1/1.0</t>
  </si>
  <si>
    <t>8/5/lb/0/0</t>
  </si>
  <si>
    <t>9/10/b/0/2.0</t>
  </si>
  <si>
    <t>11/20/c*/0/5.0</t>
  </si>
  <si>
    <t>8/1/28/2</t>
  </si>
  <si>
    <t>6/0/12/1</t>
  </si>
  <si>
    <t>8/1/22/2</t>
  </si>
  <si>
    <t>8/0/26/1</t>
  </si>
  <si>
    <t>5/0/18/0</t>
  </si>
  <si>
    <t>3/1/16/0</t>
  </si>
  <si>
    <t>2/0/15/0</t>
  </si>
  <si>
    <t>1/0/c/0/0</t>
  </si>
  <si>
    <t>Martin</t>
  </si>
  <si>
    <t>3/6/c/1/0</t>
  </si>
  <si>
    <t>5/39/b/0/6.0</t>
  </si>
  <si>
    <t>6/2/c+/1.0/0</t>
  </si>
  <si>
    <t>7/1/c/0/0</t>
  </si>
  <si>
    <t>8/8/b/0/1.0</t>
  </si>
  <si>
    <t>9/7/b*/0/1.0</t>
  </si>
  <si>
    <t>10/11/no/0/0</t>
  </si>
  <si>
    <t>11/5/c/0/0</t>
  </si>
  <si>
    <t>2/1/c/0/0</t>
  </si>
  <si>
    <t>3/19/b/0/3.0</t>
  </si>
  <si>
    <t>4/0/lb/1/0</t>
  </si>
  <si>
    <t>5/31/c/0/4.1</t>
  </si>
  <si>
    <t>6/24/b+/0/2.0</t>
  </si>
  <si>
    <t>7/13/c*/1/1/0</t>
  </si>
  <si>
    <t>8/2/b/2/0</t>
  </si>
  <si>
    <t>Mark</t>
  </si>
  <si>
    <t>Clarkson M</t>
  </si>
  <si>
    <t>9/15/c/2/2.0</t>
  </si>
  <si>
    <t>10/0/c/0/0/</t>
  </si>
  <si>
    <t>11/1/no/0/0</t>
  </si>
  <si>
    <t>6/4/5/0</t>
  </si>
  <si>
    <t>6/1/23/2</t>
  </si>
  <si>
    <t>5/0/12/4</t>
  </si>
  <si>
    <t>4/1/21/1</t>
  </si>
  <si>
    <t>3/0/4/2</t>
  </si>
  <si>
    <t>2.5/0/8/1</t>
  </si>
  <si>
    <t>1/22/lb/0/1.0</t>
  </si>
  <si>
    <t>2/21/b/0/2.0</t>
  </si>
  <si>
    <t>3/11/b/0/2.0</t>
  </si>
  <si>
    <t>4/2/c+/0/0</t>
  </si>
  <si>
    <t>7/11/b/0/2.0</t>
  </si>
  <si>
    <t>9/5/c/0/1.0</t>
  </si>
  <si>
    <t>10/2/c/0/0</t>
  </si>
  <si>
    <t>5/2/17/0</t>
  </si>
  <si>
    <t>6/1/27/0</t>
  </si>
  <si>
    <t>8/2/34/1</t>
  </si>
  <si>
    <t>4/0/18/1</t>
  </si>
  <si>
    <t>4/0/11/0</t>
  </si>
  <si>
    <t>1.5/0/17/0</t>
  </si>
  <si>
    <t>3/0/8/2</t>
  </si>
  <si>
    <t>Wright P</t>
  </si>
  <si>
    <t>3/0/20/0</t>
  </si>
  <si>
    <t>3/0/21/0</t>
  </si>
  <si>
    <t>2/0/4/1</t>
  </si>
  <si>
    <t>1/0/4/1</t>
  </si>
  <si>
    <t>1/29/no/0/3.0</t>
  </si>
  <si>
    <t>2/19/lb/0/1.0</t>
  </si>
  <si>
    <t>4/12/no/0/1.0</t>
  </si>
  <si>
    <t>5/0/dnb+/0/0</t>
  </si>
  <si>
    <t>1/9/ro+/0/0</t>
  </si>
  <si>
    <t>2/7/c/0/0</t>
  </si>
  <si>
    <t>3/15/no/0/1.0</t>
  </si>
  <si>
    <t>4/1/c/0/0</t>
  </si>
  <si>
    <t>6/8/ro/1/0.1</t>
  </si>
  <si>
    <t>7/3/no/0/0</t>
  </si>
  <si>
    <t>2/0/3/1</t>
  </si>
  <si>
    <t>2/0/7/0</t>
  </si>
  <si>
    <t>2/0/5/1</t>
  </si>
  <si>
    <t>2/1/10/1</t>
  </si>
  <si>
    <t>1/0/1/1</t>
  </si>
  <si>
    <t>1/0/2/2</t>
  </si>
  <si>
    <t>8/1/27/0</t>
  </si>
  <si>
    <t>4/1/21/0</t>
  </si>
  <si>
    <t>8/1/36/1</t>
  </si>
  <si>
    <t>8/1/48/2</t>
  </si>
  <si>
    <t>7/0/45/5</t>
  </si>
  <si>
    <t>2/1/7/0</t>
  </si>
  <si>
    <t>1/0/c/1/0</t>
  </si>
  <si>
    <t>2/3/b/1/0</t>
  </si>
  <si>
    <t>3/8/b+/0/2.0</t>
  </si>
  <si>
    <t>4/15/c/0/2.0</t>
  </si>
  <si>
    <t>5/0/b/1/1.0</t>
  </si>
  <si>
    <t>6/6/b/0/0</t>
  </si>
  <si>
    <t>7/6/b/0/1.0</t>
  </si>
  <si>
    <t>8/0/lb/0/0</t>
  </si>
  <si>
    <t>9/0/c/1/0</t>
  </si>
  <si>
    <t>10/0/no/0/0</t>
  </si>
  <si>
    <t>11/4/b*/0/1.0</t>
  </si>
  <si>
    <t>12/2/37/1</t>
  </si>
  <si>
    <t>8/1/29/1</t>
  </si>
  <si>
    <t>11/0/35/1</t>
  </si>
  <si>
    <t>8/2/36/0</t>
  </si>
  <si>
    <t>4/0/26/1</t>
  </si>
  <si>
    <t>1/0/12/0</t>
  </si>
  <si>
    <t>1/12/lb/0/1.0</t>
  </si>
  <si>
    <t>2/8/c+/1.0/2.0</t>
  </si>
  <si>
    <t>4/2/lb/1/0</t>
  </si>
  <si>
    <t>5/25/b/0/2.0</t>
  </si>
  <si>
    <t>Lovell</t>
  </si>
  <si>
    <t>6/15/ro/0/0</t>
  </si>
  <si>
    <t>7/35/c/0/3.1</t>
  </si>
  <si>
    <t>8/22/no/0/3.0</t>
  </si>
  <si>
    <t>9/0/no/0/0</t>
  </si>
  <si>
    <t>5/0/30/1</t>
  </si>
  <si>
    <t>6/1/20/0</t>
  </si>
  <si>
    <t>5/0/33/0</t>
  </si>
  <si>
    <t>6/0/40/1</t>
  </si>
  <si>
    <t>8/0/53/1</t>
  </si>
  <si>
    <t>5/0/33/1</t>
  </si>
  <si>
    <t>1/22/b+/0/3.0</t>
  </si>
  <si>
    <t>2/4/c/0/1.0</t>
  </si>
  <si>
    <t>3/4/ro/0/1.0</t>
  </si>
  <si>
    <t>4/0/c/0/0</t>
  </si>
  <si>
    <t>5/0/c/0/0</t>
  </si>
  <si>
    <t>6/25/c/1/3.0</t>
  </si>
  <si>
    <t>7/7/c/0/0</t>
  </si>
  <si>
    <t>8/2/no/0/0</t>
  </si>
  <si>
    <t>9/11/no/0/0</t>
  </si>
  <si>
    <t>6/0/21/0</t>
  </si>
  <si>
    <t>9/5/14/0</t>
  </si>
  <si>
    <t>8.2/2/26/2</t>
  </si>
  <si>
    <t>12/1/44/2</t>
  </si>
  <si>
    <t>3/1/10/1</t>
  </si>
  <si>
    <t>9/0/41/4</t>
  </si>
  <si>
    <t>1/8/b+/1.0/2.0</t>
  </si>
  <si>
    <t>3/6/b/0/1.0</t>
  </si>
  <si>
    <t>4/2/c/1/0</t>
  </si>
  <si>
    <t>5/2/ro/0/0</t>
  </si>
  <si>
    <t>6/9/no/0/0</t>
  </si>
  <si>
    <t>7/6/b/0/0</t>
  </si>
  <si>
    <t>8/1/no/0/0</t>
  </si>
  <si>
    <t>9/0/dnb/1/0</t>
  </si>
  <si>
    <t>7/1/25/1</t>
  </si>
  <si>
    <t>7/1/28/4</t>
  </si>
  <si>
    <t>8/0/19/0</t>
  </si>
  <si>
    <t>8.4/1/14/2</t>
  </si>
  <si>
    <t>1/0/7/1</t>
  </si>
  <si>
    <t>1/8/b/0/1.0</t>
  </si>
  <si>
    <t>3/8/lb/2/0.1</t>
  </si>
  <si>
    <t>4/29/lb+/0/1.0</t>
  </si>
  <si>
    <t>5/38/no/0/5.1</t>
  </si>
  <si>
    <t>6/3/no/0/0</t>
  </si>
  <si>
    <t>8/0/dnb*/0/0</t>
  </si>
  <si>
    <t>Missen</t>
  </si>
  <si>
    <t>1/30/b/0/0</t>
  </si>
  <si>
    <t>2/43/b+/2.0/5.0</t>
  </si>
  <si>
    <t>3/2/b/0/0</t>
  </si>
  <si>
    <t>4/2/b/0/0</t>
  </si>
  <si>
    <t>6/5/ro/0/0</t>
  </si>
  <si>
    <t>7/14/no/0/0</t>
  </si>
  <si>
    <t>8/11/lb*/0/2.0</t>
  </si>
  <si>
    <t>11/1/35/1</t>
  </si>
  <si>
    <t>6/1/23/1</t>
  </si>
  <si>
    <t>9/2/20/2</t>
  </si>
  <si>
    <t>2/0/11/0</t>
  </si>
  <si>
    <t>7/1/28/0</t>
  </si>
  <si>
    <t>5.3/0/7/1</t>
  </si>
  <si>
    <t>6.1/3/17/2</t>
  </si>
  <si>
    <t>4/0/13/0</t>
  </si>
  <si>
    <t>4/0/8/1</t>
  </si>
  <si>
    <t>4/0/15/1</t>
  </si>
  <si>
    <t>5/0/9/3</t>
  </si>
  <si>
    <t>4/0/22/0</t>
  </si>
  <si>
    <t>2/1/2/1</t>
  </si>
  <si>
    <t>1/0/lb/0/0</t>
  </si>
  <si>
    <t>2/11/b/0/0</t>
  </si>
  <si>
    <t>3/63/no/2/4.2</t>
  </si>
  <si>
    <t>5/17/no+/0/1.0</t>
  </si>
  <si>
    <t>1/11/c/0/2.0</t>
  </si>
  <si>
    <t>2/6/b/0/1.0</t>
  </si>
  <si>
    <t>3/6/c/0/1.0</t>
  </si>
  <si>
    <t>Gibb B</t>
  </si>
  <si>
    <t>6/2/c/0/0</t>
  </si>
  <si>
    <t>5/78/c/1/10.0</t>
  </si>
  <si>
    <t>4/21/ro/0/2.0</t>
  </si>
  <si>
    <t>8/3/c/0/0</t>
  </si>
  <si>
    <t>9/1/b*/0/0</t>
  </si>
  <si>
    <t>10/20/b/0/3.0</t>
  </si>
  <si>
    <t>Engel W</t>
  </si>
  <si>
    <t>Will</t>
  </si>
  <si>
    <t>Ben</t>
  </si>
  <si>
    <t>5/1/12/1</t>
  </si>
  <si>
    <t>8/2/31/3</t>
  </si>
  <si>
    <t>6/0/32/1</t>
  </si>
  <si>
    <t>3/0/26/0</t>
  </si>
  <si>
    <t>6/1/38/0</t>
  </si>
  <si>
    <t>0.1/0/5/0</t>
  </si>
  <si>
    <t>Gibb A 1-0-78-78</t>
  </si>
  <si>
    <t>Missen 1-0-30-30</t>
  </si>
  <si>
    <t>Wright P 3-1-25-45</t>
  </si>
  <si>
    <t>Martin 2-0-31-37</t>
  </si>
  <si>
    <t>Singh H 3-0-15-35</t>
  </si>
  <si>
    <t>Rollins R 3-0-19-29</t>
  </si>
  <si>
    <t>Chitnavis B 2-0-15-18</t>
  </si>
  <si>
    <t>Davies R 1-0-8-8</t>
  </si>
  <si>
    <t>Leadley J 1-0-6-6</t>
  </si>
  <si>
    <t>Edghill D 4-1-5-5</t>
  </si>
  <si>
    <t>Wiseman R 1-0-0-0</t>
  </si>
  <si>
    <t>Lestrelle J 1-1-23*-23</t>
  </si>
  <si>
    <t>Bowers M 1-1-1*-1</t>
  </si>
  <si>
    <t>Woodhouse M 1-0-0-0</t>
  </si>
  <si>
    <t>Lovell 4-0-15-31</t>
  </si>
  <si>
    <t>Engel W 1-0-3-3</t>
  </si>
  <si>
    <t>Gibb B 1-0-2-2</t>
  </si>
  <si>
    <t>Edghill C 2-1-10-1,</t>
  </si>
  <si>
    <t>Missen 9-2-20-2,</t>
  </si>
  <si>
    <t>Sharpe D 23.1-5-75-6,</t>
  </si>
  <si>
    <t>Wright P 20-0-106-6,</t>
  </si>
  <si>
    <t>Gibb B 4-0-18-1,</t>
  </si>
  <si>
    <t>Clarkson M 37.2-5-162-8,</t>
  </si>
  <si>
    <t>Lovell 6-0-26-1,</t>
  </si>
  <si>
    <t>de Souza C 25.4-3-117-4,</t>
  </si>
  <si>
    <t>Clark C 60-9-215-7,</t>
  </si>
  <si>
    <t>Engel W 6-0-32-1,</t>
  </si>
  <si>
    <t>Edghill D 14-3-72-2,</t>
  </si>
  <si>
    <t>Chitnavis B 4-0-38-1,</t>
  </si>
  <si>
    <t>Greyling R 29-1-120-3,</t>
  </si>
  <si>
    <t>Chaffey P 27-1-161-3,</t>
  </si>
  <si>
    <t>Johnson A 10-0-69-1,</t>
  </si>
  <si>
    <t>Lestrelle A 37.5-3-183-1,</t>
  </si>
  <si>
    <t>Smith C 0.1-0-5-0,</t>
  </si>
  <si>
    <t>Wiseman R 2-1-7-0,</t>
  </si>
  <si>
    <t>Bowers M 3-0-26-0,</t>
  </si>
  <si>
    <t>0</t>
  </si>
  <si>
    <t>5</t>
  </si>
  <si>
    <t>2</t>
  </si>
  <si>
    <t>3</t>
  </si>
  <si>
    <t>1</t>
  </si>
  <si>
    <t>5 (4)</t>
  </si>
  <si>
    <t>1 (1)</t>
  </si>
  <si>
    <t>4</t>
  </si>
  <si>
    <t>Row Labels</t>
  </si>
  <si>
    <t>#N/A</t>
  </si>
  <si>
    <t>Grand Total</t>
  </si>
  <si>
    <t>Column Labels</t>
  </si>
  <si>
    <t>Count of Result</t>
  </si>
  <si>
    <t>Gibbs A</t>
  </si>
  <si>
    <t>Gibbs B</t>
  </si>
  <si>
    <t>Martin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</si>
</sst>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57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10" fontId="10" fillId="0" borderId="0" xfId="0" applyNumberFormat="1" applyFont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165" fontId="10" fillId="0" borderId="0" xfId="0" applyNumberFormat="1" applyFont="1" applyAlignment="1">
      <alignment horizontal="right" vertical="top"/>
    </xf>
    <xf numFmtId="2" fontId="10" fillId="0" borderId="0" xfId="0" applyNumberFormat="1" applyFont="1" applyAlignment="1">
      <alignment horizontal="right" vertical="top"/>
    </xf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18" fillId="0" borderId="2" xfId="0" applyFont="1" applyBorder="1" applyAlignment="1">
      <alignment horizontal="left" vertical="top"/>
    </xf>
    <xf numFmtId="2" fontId="15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20" fillId="0" borderId="0" xfId="0" applyFont="1">
      <alignment vertical="top"/>
    </xf>
    <xf numFmtId="0" fontId="10" fillId="0" borderId="0" xfId="0" applyNumberFormat="1" applyFont="1">
      <alignment vertical="top"/>
    </xf>
    <xf numFmtId="0" fontId="20" fillId="0" borderId="0" xfId="0" applyNumberFormat="1" applyFont="1">
      <alignment vertical="top"/>
    </xf>
    <xf numFmtId="0" fontId="15" fillId="0" borderId="0" xfId="0" applyNumberFormat="1" applyFont="1" applyAlignment="1">
      <alignment horizontal="center" vertical="top"/>
    </xf>
    <xf numFmtId="0" fontId="10" fillId="0" borderId="0" xfId="0" applyNumberFormat="1" applyFont="1" applyAlignment="1">
      <alignment horizontal="center"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39881.015610416667" createdVersion="3" refreshedVersion="3" minRefreshableVersion="3" recordCount="19">
  <cacheSource type="worksheet">
    <worksheetSource ref="H59:I78" sheet="Sheet1"/>
  </cacheSource>
  <cacheFields count="2">
    <cacheField name="Capt Name" numFmtId="0">
      <sharedItems count="4">
        <s v="Clark C"/>
        <s v="Cooper G"/>
        <s v="Lestrelle A"/>
        <e v="#N/A"/>
      </sharedItems>
    </cacheField>
    <cacheField name="Result" numFmtId="0">
      <sharedItems count="4">
        <s v="ND"/>
        <s v="L"/>
        <s v="D"/>
        <s v="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x v="0"/>
    <x v="0"/>
  </r>
  <r>
    <x v="0"/>
    <x v="1"/>
  </r>
  <r>
    <x v="0"/>
    <x v="1"/>
  </r>
  <r>
    <x v="0"/>
    <x v="1"/>
  </r>
  <r>
    <x v="0"/>
    <x v="2"/>
  </r>
  <r>
    <x v="0"/>
    <x v="1"/>
  </r>
  <r>
    <x v="0"/>
    <x v="3"/>
  </r>
  <r>
    <x v="0"/>
    <x v="3"/>
  </r>
  <r>
    <x v="0"/>
    <x v="1"/>
  </r>
  <r>
    <x v="0"/>
    <x v="2"/>
  </r>
  <r>
    <x v="0"/>
    <x v="2"/>
  </r>
  <r>
    <x v="0"/>
    <x v="2"/>
  </r>
  <r>
    <x v="0"/>
    <x v="3"/>
  </r>
  <r>
    <x v="0"/>
    <x v="3"/>
  </r>
  <r>
    <x v="0"/>
    <x v="1"/>
  </r>
  <r>
    <x v="1"/>
    <x v="1"/>
  </r>
  <r>
    <x v="1"/>
    <x v="3"/>
  </r>
  <r>
    <x v="2"/>
    <x v="1"/>
  </r>
  <r>
    <x v="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9" firstHeaderRow="1" firstDataRow="2" firstDataCol="1"/>
  <pivotFields count="2">
    <pivotField axis="axisRow" showAll="0">
      <items count="5">
        <item x="0"/>
        <item x="1"/>
        <item x="2"/>
        <item x="3"/>
        <item t="default"/>
      </items>
    </pivotField>
    <pivotField axis="axisCol" dataField="1" showAll="0">
      <items count="5">
        <item x="2"/>
        <item x="1"/>
        <item x="0"/>
        <item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Result" fld="1" subtotal="count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1:B2" totalsRowShown="0">
  <autoFilter ref="A1:B2"/>
  <tableColumns count="2">
    <tableColumn id="1" name="Capt Name"/>
    <tableColumn id="2" name="Resul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E67"/>
  <sheetViews>
    <sheetView showGridLines="0" workbookViewId="0">
      <pane xSplit="3" ySplit="4" topLeftCell="E5" activePane="bottomRight" state="frozenSplit"/>
      <selection pane="topRight" activeCell="O1" sqref="O1"/>
      <selection pane="bottomLeft" activeCell="K43" sqref="K43"/>
      <selection pane="bottomRight" activeCell="K12" sqref="K12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1" s="22" customFormat="1" ht="12.75" x14ac:dyDescent="0.15">
      <c r="A1" s="103" t="s">
        <v>309</v>
      </c>
      <c r="B1" s="29"/>
      <c r="C1" s="39" t="str">
        <f t="array" ref="C1">"Won:"&amp;SUM(IF($E$5:$E$67="W",1,0))</f>
        <v>Won:5</v>
      </c>
      <c r="D1" s="102" t="str">
        <f t="array" ref="D1">"N/D:"&amp;SUM(IF($E$5:$E$67="ND",1,0))</f>
        <v>N/D:1</v>
      </c>
      <c r="E1" s="30"/>
      <c r="F1" s="30"/>
      <c r="H1" s="64"/>
      <c r="J1" s="98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1" s="45" customFormat="1" x14ac:dyDescent="0.15">
      <c r="A2" s="40"/>
      <c r="B2" s="41"/>
      <c r="C2" s="39" t="str">
        <f t="array" ref="C2">"Lost:"&amp;SUM(IF($E$5:$E$67="L",1,0))</f>
        <v>Lost:9</v>
      </c>
      <c r="D2" s="65" t="str">
        <f t="array" ref="D2">"Tied:"&amp;SUM(IF($E$5:$E$67="T",1,0))</f>
        <v>Tied:0</v>
      </c>
      <c r="E2" s="42"/>
      <c r="F2" s="42"/>
      <c r="G2" s="63"/>
      <c r="H2" s="65"/>
      <c r="J2" s="99"/>
      <c r="K2" s="40"/>
      <c r="L2" s="42"/>
      <c r="M2" s="42"/>
      <c r="N2" s="43" t="s">
        <v>221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208</v>
      </c>
      <c r="AA2" s="45">
        <f>MAX(AA5:AA59)</f>
        <v>191</v>
      </c>
      <c r="AB2" s="45">
        <f>MAX(AB5:AB59)</f>
        <v>230</v>
      </c>
    </row>
    <row r="3" spans="1:31" s="45" customFormat="1" ht="12" thickBot="1" x14ac:dyDescent="0.2">
      <c r="A3" s="40"/>
      <c r="B3" s="41"/>
      <c r="C3" s="39" t="str">
        <f t="array" ref="C3">"Drawn:"&amp;SUM(IF($E$5:$E$67="D",1,0))</f>
        <v>Drawn:4</v>
      </c>
      <c r="D3" s="42"/>
      <c r="E3" s="42"/>
      <c r="F3" s="42"/>
      <c r="G3" s="40"/>
      <c r="H3" s="42"/>
      <c r="I3" s="40"/>
      <c r="J3" s="95"/>
      <c r="K3" s="40"/>
      <c r="L3" s="42"/>
      <c r="M3" s="42"/>
      <c r="N3" s="43" t="s">
        <v>222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209</v>
      </c>
      <c r="AA3" s="45">
        <f t="array" ref="AA3">MIN(IF(AA5:AA59=0,99999,AA5:AA59))</f>
        <v>37</v>
      </c>
      <c r="AB3" s="45">
        <f t="array" ref="AB3">MIN(IF(AB5:AB59&lt;=0,99999,AB5:AB59))</f>
        <v>32</v>
      </c>
    </row>
    <row r="4" spans="1:31" s="46" customFormat="1" ht="32.25" thickBot="1" x14ac:dyDescent="0.2">
      <c r="A4" s="111" t="s">
        <v>129</v>
      </c>
      <c r="B4" s="112" t="s">
        <v>0</v>
      </c>
      <c r="C4" s="113" t="s">
        <v>1</v>
      </c>
      <c r="D4" s="111" t="s">
        <v>2</v>
      </c>
      <c r="E4" s="111" t="s">
        <v>3</v>
      </c>
      <c r="F4" s="111" t="s">
        <v>160</v>
      </c>
      <c r="G4" s="113" t="s">
        <v>9</v>
      </c>
      <c r="H4" s="111" t="s">
        <v>37</v>
      </c>
      <c r="I4" s="111" t="s">
        <v>107</v>
      </c>
      <c r="J4" s="114"/>
      <c r="K4" s="113" t="s">
        <v>9</v>
      </c>
      <c r="L4" s="111" t="s">
        <v>37</v>
      </c>
      <c r="M4" s="111" t="s">
        <v>107</v>
      </c>
      <c r="N4" s="113"/>
      <c r="O4" s="113" t="s">
        <v>185</v>
      </c>
      <c r="P4" s="113" t="s">
        <v>186</v>
      </c>
      <c r="Q4" s="113" t="s">
        <v>109</v>
      </c>
      <c r="R4" s="115" t="s">
        <v>110</v>
      </c>
      <c r="S4" s="115" t="s">
        <v>111</v>
      </c>
      <c r="T4" s="115" t="s">
        <v>112</v>
      </c>
      <c r="U4" s="115" t="s">
        <v>113</v>
      </c>
      <c r="V4" s="115" t="s">
        <v>114</v>
      </c>
      <c r="W4" s="115" t="s">
        <v>115</v>
      </c>
      <c r="X4" s="115" t="s">
        <v>116</v>
      </c>
      <c r="Y4" s="115" t="s">
        <v>119</v>
      </c>
      <c r="Z4" s="115" t="s">
        <v>120</v>
      </c>
      <c r="AA4" s="116" t="s">
        <v>199</v>
      </c>
      <c r="AB4" s="116" t="s">
        <v>200</v>
      </c>
      <c r="AC4" s="116" t="s">
        <v>201</v>
      </c>
      <c r="AD4" s="116" t="s">
        <v>202</v>
      </c>
      <c r="AE4" s="46" t="s">
        <v>236</v>
      </c>
    </row>
    <row r="5" spans="1:31" s="22" customFormat="1" x14ac:dyDescent="0.15">
      <c r="A5" s="117" t="str">
        <f t="shared" ref="A5:A59" si="0">TEXT(WEEKDAY(B5),"ddd")</f>
        <v>Sun</v>
      </c>
      <c r="B5" s="118">
        <v>39565</v>
      </c>
      <c r="C5" s="119" t="s">
        <v>279</v>
      </c>
      <c r="D5" s="120" t="s">
        <v>216</v>
      </c>
      <c r="E5" s="120" t="s">
        <v>242</v>
      </c>
      <c r="F5" s="120" t="s">
        <v>247</v>
      </c>
      <c r="G5" s="121">
        <v>37</v>
      </c>
      <c r="H5" s="120">
        <v>2</v>
      </c>
      <c r="I5" s="120"/>
      <c r="J5" s="122"/>
      <c r="K5" s="121"/>
      <c r="L5" s="120"/>
      <c r="M5" s="120"/>
      <c r="N5" s="119"/>
      <c r="O5" s="123">
        <v>13</v>
      </c>
      <c r="P5" s="123"/>
      <c r="Q5" s="124"/>
      <c r="R5" s="124"/>
      <c r="S5" s="124"/>
      <c r="T5" s="124"/>
      <c r="U5" s="124">
        <v>3</v>
      </c>
      <c r="V5" s="124">
        <v>1</v>
      </c>
      <c r="W5" s="124">
        <v>2</v>
      </c>
      <c r="X5" s="124">
        <v>0</v>
      </c>
      <c r="Y5" s="124">
        <f t="shared" ref="Y5:Y20" si="1">SUM(Q5:T5)</f>
        <v>0</v>
      </c>
      <c r="Z5" s="124">
        <f t="shared" ref="Z5:Z20" si="2">SUM(U5:X5)</f>
        <v>6</v>
      </c>
      <c r="AA5" s="124">
        <f t="shared" ref="AA5:AA20" si="3">IF(F5="TOCC",G5,K5)</f>
        <v>37</v>
      </c>
      <c r="AB5" s="124">
        <f t="shared" ref="AB5:AB20" si="4">IF(F5&lt;&gt;"TOCC",G5,K5)</f>
        <v>0</v>
      </c>
      <c r="AC5" s="124">
        <f t="shared" ref="AC5:AC20" si="5">IF(F5="TOCC",H5,L5)</f>
        <v>2</v>
      </c>
      <c r="AD5" s="124">
        <f t="shared" ref="AD5:AD20" si="6">IF(F5&lt;&gt;"TOCC",H5,L5)</f>
        <v>0</v>
      </c>
    </row>
    <row r="6" spans="1:31" s="51" customFormat="1" x14ac:dyDescent="0.15">
      <c r="A6" s="117" t="str">
        <f>TEXT(WEEKDAY(B6),"ddd")</f>
        <v>Sun</v>
      </c>
      <c r="B6" s="118">
        <v>39579</v>
      </c>
      <c r="C6" s="119" t="s">
        <v>278</v>
      </c>
      <c r="D6" s="120" t="s">
        <v>235</v>
      </c>
      <c r="E6" s="120" t="s">
        <v>248</v>
      </c>
      <c r="F6" s="120" t="s">
        <v>1</v>
      </c>
      <c r="G6" s="121">
        <v>182</v>
      </c>
      <c r="H6" s="120">
        <v>7</v>
      </c>
      <c r="I6" s="120"/>
      <c r="J6" s="122" t="s">
        <v>280</v>
      </c>
      <c r="K6" s="121">
        <v>129</v>
      </c>
      <c r="L6" s="120">
        <v>10</v>
      </c>
      <c r="M6" s="120"/>
      <c r="N6" s="119" t="s">
        <v>281</v>
      </c>
      <c r="O6" s="123">
        <v>38.299999999999997</v>
      </c>
      <c r="P6" s="123">
        <v>37</v>
      </c>
      <c r="Q6" s="124">
        <v>16</v>
      </c>
      <c r="R6" s="124">
        <v>0</v>
      </c>
      <c r="S6" s="124">
        <v>2</v>
      </c>
      <c r="T6" s="124">
        <v>1</v>
      </c>
      <c r="U6" s="124">
        <v>12</v>
      </c>
      <c r="V6" s="124">
        <v>2</v>
      </c>
      <c r="W6" s="124">
        <v>6</v>
      </c>
      <c r="X6" s="124">
        <v>2</v>
      </c>
      <c r="Y6" s="124">
        <f t="shared" si="1"/>
        <v>19</v>
      </c>
      <c r="Z6" s="124">
        <f t="shared" si="2"/>
        <v>22</v>
      </c>
      <c r="AA6" s="124">
        <f t="shared" si="3"/>
        <v>129</v>
      </c>
      <c r="AB6" s="124">
        <f t="shared" si="4"/>
        <v>182</v>
      </c>
      <c r="AC6" s="124">
        <f t="shared" si="5"/>
        <v>10</v>
      </c>
      <c r="AD6" s="124">
        <f t="shared" si="6"/>
        <v>7</v>
      </c>
      <c r="AE6" s="22"/>
    </row>
    <row r="7" spans="1:31" s="45" customFormat="1" x14ac:dyDescent="0.15">
      <c r="A7" s="117" t="str">
        <f t="shared" si="0"/>
        <v>Sat</v>
      </c>
      <c r="B7" s="118">
        <v>39592</v>
      </c>
      <c r="C7" s="119" t="s">
        <v>241</v>
      </c>
      <c r="D7" s="120" t="s">
        <v>216</v>
      </c>
      <c r="E7" s="120" t="s">
        <v>248</v>
      </c>
      <c r="F7" s="120" t="s">
        <v>247</v>
      </c>
      <c r="G7" s="121">
        <v>95</v>
      </c>
      <c r="H7" s="120">
        <v>10</v>
      </c>
      <c r="I7" s="120"/>
      <c r="J7" s="122"/>
      <c r="K7" s="121">
        <v>96</v>
      </c>
      <c r="L7" s="120">
        <v>3</v>
      </c>
      <c r="M7" s="120"/>
      <c r="N7" s="119"/>
      <c r="O7" s="123">
        <v>38.5</v>
      </c>
      <c r="P7" s="123">
        <v>16.100000000000001</v>
      </c>
      <c r="Q7" s="124">
        <v>4</v>
      </c>
      <c r="R7" s="124">
        <v>0</v>
      </c>
      <c r="S7" s="124">
        <v>0</v>
      </c>
      <c r="T7" s="124">
        <v>0</v>
      </c>
      <c r="U7" s="124">
        <v>10</v>
      </c>
      <c r="V7" s="124">
        <v>9</v>
      </c>
      <c r="W7" s="124">
        <v>4</v>
      </c>
      <c r="X7" s="124">
        <v>0</v>
      </c>
      <c r="Y7" s="124">
        <f t="shared" si="1"/>
        <v>4</v>
      </c>
      <c r="Z7" s="124">
        <f t="shared" si="2"/>
        <v>23</v>
      </c>
      <c r="AA7" s="124">
        <f t="shared" si="3"/>
        <v>95</v>
      </c>
      <c r="AB7" s="124">
        <f t="shared" si="4"/>
        <v>96</v>
      </c>
      <c r="AC7" s="124">
        <f t="shared" si="5"/>
        <v>10</v>
      </c>
      <c r="AD7" s="124">
        <f t="shared" si="6"/>
        <v>3</v>
      </c>
    </row>
    <row r="8" spans="1:31" s="51" customFormat="1" x14ac:dyDescent="0.15">
      <c r="A8" s="117" t="str">
        <f t="shared" si="0"/>
        <v>Sun</v>
      </c>
      <c r="B8" s="118">
        <v>39600</v>
      </c>
      <c r="C8" s="119" t="s">
        <v>253</v>
      </c>
      <c r="D8" s="120" t="s">
        <v>216</v>
      </c>
      <c r="E8" s="120" t="s">
        <v>248</v>
      </c>
      <c r="F8" s="120" t="s">
        <v>247</v>
      </c>
      <c r="G8" s="121">
        <v>155</v>
      </c>
      <c r="H8" s="120">
        <v>10</v>
      </c>
      <c r="I8" s="120"/>
      <c r="J8" s="145" t="s">
        <v>282</v>
      </c>
      <c r="K8" s="121">
        <v>156</v>
      </c>
      <c r="L8" s="120">
        <v>8</v>
      </c>
      <c r="M8" s="120"/>
      <c r="N8" s="119" t="s">
        <v>283</v>
      </c>
      <c r="O8" s="123">
        <v>42.2</v>
      </c>
      <c r="P8" s="123">
        <v>32.5</v>
      </c>
      <c r="Q8" s="124">
        <v>1</v>
      </c>
      <c r="R8" s="124">
        <v>1</v>
      </c>
      <c r="S8" s="124">
        <v>7</v>
      </c>
      <c r="T8" s="124">
        <v>2</v>
      </c>
      <c r="U8" s="124">
        <v>15</v>
      </c>
      <c r="V8" s="124">
        <v>2</v>
      </c>
      <c r="W8" s="124">
        <v>4</v>
      </c>
      <c r="X8" s="124">
        <v>2</v>
      </c>
      <c r="Y8" s="124">
        <f t="shared" si="1"/>
        <v>11</v>
      </c>
      <c r="Z8" s="124">
        <f t="shared" si="2"/>
        <v>23</v>
      </c>
      <c r="AA8" s="124">
        <f t="shared" si="3"/>
        <v>155</v>
      </c>
      <c r="AB8" s="124">
        <f t="shared" si="4"/>
        <v>156</v>
      </c>
      <c r="AC8" s="124">
        <f t="shared" si="5"/>
        <v>10</v>
      </c>
      <c r="AD8" s="124">
        <f t="shared" si="6"/>
        <v>8</v>
      </c>
    </row>
    <row r="9" spans="1:31" s="45" customFormat="1" x14ac:dyDescent="0.15">
      <c r="A9" s="117" t="str">
        <f t="shared" si="0"/>
        <v>Sun</v>
      </c>
      <c r="B9" s="118">
        <v>39607</v>
      </c>
      <c r="C9" s="119" t="s">
        <v>256</v>
      </c>
      <c r="D9" s="120" t="s">
        <v>235</v>
      </c>
      <c r="E9" s="120" t="s">
        <v>217</v>
      </c>
      <c r="F9" s="120" t="s">
        <v>1</v>
      </c>
      <c r="G9" s="121">
        <v>190</v>
      </c>
      <c r="H9" s="120">
        <v>7</v>
      </c>
      <c r="I9" s="120"/>
      <c r="J9" s="122" t="s">
        <v>284</v>
      </c>
      <c r="K9" s="121">
        <v>81</v>
      </c>
      <c r="L9" s="120">
        <v>6</v>
      </c>
      <c r="M9" s="120"/>
      <c r="N9" s="119"/>
      <c r="O9" s="123">
        <v>42</v>
      </c>
      <c r="P9" s="123">
        <v>46</v>
      </c>
      <c r="Q9" s="124">
        <v>11</v>
      </c>
      <c r="R9" s="124">
        <v>0</v>
      </c>
      <c r="S9" s="124">
        <v>1</v>
      </c>
      <c r="T9" s="124">
        <v>3</v>
      </c>
      <c r="U9" s="124">
        <v>3</v>
      </c>
      <c r="V9" s="124">
        <v>2</v>
      </c>
      <c r="W9" s="124">
        <v>3</v>
      </c>
      <c r="X9" s="124">
        <v>4</v>
      </c>
      <c r="Y9" s="124">
        <f t="shared" si="1"/>
        <v>15</v>
      </c>
      <c r="Z9" s="124">
        <f t="shared" si="2"/>
        <v>12</v>
      </c>
      <c r="AA9" s="124">
        <f t="shared" si="3"/>
        <v>81</v>
      </c>
      <c r="AB9" s="124">
        <f t="shared" si="4"/>
        <v>190</v>
      </c>
      <c r="AC9" s="124">
        <f t="shared" si="5"/>
        <v>6</v>
      </c>
      <c r="AD9" s="124">
        <f t="shared" si="6"/>
        <v>7</v>
      </c>
    </row>
    <row r="10" spans="1:31" x14ac:dyDescent="0.15">
      <c r="A10" s="117" t="str">
        <f t="shared" si="0"/>
        <v>Sun</v>
      </c>
      <c r="B10" s="118">
        <v>39614</v>
      </c>
      <c r="C10" s="119" t="s">
        <v>260</v>
      </c>
      <c r="D10" s="120" t="s">
        <v>216</v>
      </c>
      <c r="E10" s="120" t="s">
        <v>248</v>
      </c>
      <c r="F10" s="120" t="s">
        <v>1</v>
      </c>
      <c r="G10" s="121">
        <v>230</v>
      </c>
      <c r="H10" s="120">
        <v>5</v>
      </c>
      <c r="I10" s="120"/>
      <c r="J10" s="122" t="s">
        <v>285</v>
      </c>
      <c r="K10" s="121">
        <v>136</v>
      </c>
      <c r="L10" s="120">
        <v>10</v>
      </c>
      <c r="M10" s="120"/>
      <c r="N10" s="119"/>
      <c r="O10" s="123">
        <v>39.200000000000003</v>
      </c>
      <c r="P10" s="123">
        <v>40</v>
      </c>
      <c r="Q10" s="124">
        <v>10</v>
      </c>
      <c r="R10" s="124">
        <v>4</v>
      </c>
      <c r="S10" s="124">
        <v>5</v>
      </c>
      <c r="T10" s="124">
        <v>2</v>
      </c>
      <c r="U10" s="124">
        <v>25</v>
      </c>
      <c r="V10" s="124">
        <v>12</v>
      </c>
      <c r="W10" s="124">
        <v>3</v>
      </c>
      <c r="X10" s="124">
        <v>0</v>
      </c>
      <c r="Y10" s="124">
        <f t="shared" si="1"/>
        <v>21</v>
      </c>
      <c r="Z10" s="124">
        <f t="shared" si="2"/>
        <v>40</v>
      </c>
      <c r="AA10" s="124">
        <f t="shared" si="3"/>
        <v>136</v>
      </c>
      <c r="AB10" s="124">
        <f t="shared" si="4"/>
        <v>230</v>
      </c>
      <c r="AC10" s="124">
        <f t="shared" si="5"/>
        <v>10</v>
      </c>
      <c r="AD10" s="124">
        <f t="shared" si="6"/>
        <v>5</v>
      </c>
    </row>
    <row r="11" spans="1:31" x14ac:dyDescent="0.15">
      <c r="A11" s="117" t="str">
        <f t="shared" si="0"/>
        <v>Sat</v>
      </c>
      <c r="B11" s="118">
        <v>39620</v>
      </c>
      <c r="C11" s="119" t="s">
        <v>286</v>
      </c>
      <c r="D11" s="120" t="s">
        <v>216</v>
      </c>
      <c r="E11" s="120" t="s">
        <v>248</v>
      </c>
      <c r="F11" s="120" t="s">
        <v>1</v>
      </c>
      <c r="G11" s="121">
        <v>152</v>
      </c>
      <c r="H11" s="120">
        <v>7</v>
      </c>
      <c r="I11" s="120"/>
      <c r="J11" s="122" t="s">
        <v>288</v>
      </c>
      <c r="K11" s="121">
        <v>111</v>
      </c>
      <c r="L11" s="120">
        <v>10</v>
      </c>
      <c r="M11" s="120"/>
      <c r="N11" s="119" t="s">
        <v>287</v>
      </c>
      <c r="O11" s="123">
        <v>36.4</v>
      </c>
      <c r="P11" s="123">
        <v>40</v>
      </c>
      <c r="Q11" s="124">
        <v>17</v>
      </c>
      <c r="R11" s="124">
        <v>2</v>
      </c>
      <c r="S11" s="124">
        <v>10</v>
      </c>
      <c r="T11" s="124">
        <v>5</v>
      </c>
      <c r="U11" s="124">
        <v>14</v>
      </c>
      <c r="V11" s="124">
        <v>2</v>
      </c>
      <c r="W11" s="124">
        <v>6</v>
      </c>
      <c r="X11" s="124">
        <v>1</v>
      </c>
      <c r="Y11" s="124">
        <f t="shared" si="1"/>
        <v>34</v>
      </c>
      <c r="Z11" s="124">
        <f t="shared" si="2"/>
        <v>23</v>
      </c>
      <c r="AA11" s="124">
        <f t="shared" si="3"/>
        <v>111</v>
      </c>
      <c r="AB11" s="124">
        <f t="shared" si="4"/>
        <v>152</v>
      </c>
      <c r="AC11" s="124">
        <f t="shared" si="5"/>
        <v>10</v>
      </c>
      <c r="AD11" s="124">
        <f t="shared" si="6"/>
        <v>7</v>
      </c>
    </row>
    <row r="12" spans="1:31" x14ac:dyDescent="0.15">
      <c r="A12" s="117" t="str">
        <f t="shared" si="0"/>
        <v>Sat</v>
      </c>
      <c r="B12" s="118">
        <v>39627</v>
      </c>
      <c r="C12" s="119" t="s">
        <v>289</v>
      </c>
      <c r="D12" s="120" t="s">
        <v>235</v>
      </c>
      <c r="E12" s="120" t="s">
        <v>254</v>
      </c>
      <c r="F12" s="120" t="s">
        <v>247</v>
      </c>
      <c r="G12" s="121">
        <v>126</v>
      </c>
      <c r="H12" s="120">
        <v>10</v>
      </c>
      <c r="I12" s="120"/>
      <c r="J12" s="122"/>
      <c r="K12" s="121">
        <v>82</v>
      </c>
      <c r="L12" s="120">
        <v>10</v>
      </c>
      <c r="M12" s="120"/>
      <c r="N12" s="122" t="s">
        <v>290</v>
      </c>
      <c r="O12" s="123">
        <v>34.5</v>
      </c>
      <c r="P12" s="123">
        <v>26.5</v>
      </c>
      <c r="Q12" s="124">
        <v>10</v>
      </c>
      <c r="R12" s="124">
        <v>2</v>
      </c>
      <c r="S12" s="124">
        <v>8</v>
      </c>
      <c r="T12" s="124">
        <v>1</v>
      </c>
      <c r="U12" s="124">
        <v>15</v>
      </c>
      <c r="V12" s="124">
        <v>3</v>
      </c>
      <c r="W12" s="124">
        <v>2</v>
      </c>
      <c r="X12" s="124">
        <v>0</v>
      </c>
      <c r="Y12" s="124">
        <f t="shared" si="1"/>
        <v>21</v>
      </c>
      <c r="Z12" s="124">
        <f t="shared" si="2"/>
        <v>20</v>
      </c>
      <c r="AA12" s="124">
        <f t="shared" si="3"/>
        <v>126</v>
      </c>
      <c r="AB12" s="124">
        <f t="shared" si="4"/>
        <v>82</v>
      </c>
      <c r="AC12" s="124">
        <f t="shared" si="5"/>
        <v>10</v>
      </c>
      <c r="AD12" s="124">
        <f t="shared" si="6"/>
        <v>10</v>
      </c>
    </row>
    <row r="13" spans="1:31" x14ac:dyDescent="0.15">
      <c r="A13" s="117" t="str">
        <f t="shared" si="0"/>
        <v>Sun</v>
      </c>
      <c r="B13" s="118">
        <v>39635</v>
      </c>
      <c r="C13" s="119" t="s">
        <v>257</v>
      </c>
      <c r="D13" s="120" t="s">
        <v>216</v>
      </c>
      <c r="E13" s="120" t="s">
        <v>248</v>
      </c>
      <c r="F13" s="120" t="s">
        <v>247</v>
      </c>
      <c r="G13" s="121">
        <v>127</v>
      </c>
      <c r="H13" s="120">
        <v>10</v>
      </c>
      <c r="I13" s="120"/>
      <c r="J13" s="122"/>
      <c r="K13" s="121">
        <v>129</v>
      </c>
      <c r="L13" s="120">
        <v>2</v>
      </c>
      <c r="M13" s="120"/>
      <c r="N13" s="119"/>
      <c r="O13" s="123">
        <v>35.1</v>
      </c>
      <c r="P13" s="123">
        <v>28.5</v>
      </c>
      <c r="Q13" s="124">
        <v>4</v>
      </c>
      <c r="R13" s="124">
        <v>2</v>
      </c>
      <c r="S13" s="124">
        <v>14</v>
      </c>
      <c r="T13" s="124">
        <v>1</v>
      </c>
      <c r="U13" s="124">
        <v>14</v>
      </c>
      <c r="V13" s="124">
        <v>3</v>
      </c>
      <c r="W13" s="124">
        <v>6</v>
      </c>
      <c r="X13" s="124">
        <v>8</v>
      </c>
      <c r="Y13" s="124">
        <f t="shared" si="1"/>
        <v>21</v>
      </c>
      <c r="Z13" s="124">
        <f t="shared" si="2"/>
        <v>31</v>
      </c>
      <c r="AA13" s="124">
        <f t="shared" si="3"/>
        <v>127</v>
      </c>
      <c r="AB13" s="124">
        <f t="shared" si="4"/>
        <v>129</v>
      </c>
      <c r="AC13" s="124">
        <f t="shared" si="5"/>
        <v>10</v>
      </c>
      <c r="AD13" s="124">
        <f t="shared" si="6"/>
        <v>2</v>
      </c>
    </row>
    <row r="14" spans="1:31" x14ac:dyDescent="0.15">
      <c r="A14" s="117" t="str">
        <f t="shared" si="0"/>
        <v>Sun</v>
      </c>
      <c r="B14" s="118">
        <v>39642</v>
      </c>
      <c r="C14" s="119" t="s">
        <v>291</v>
      </c>
      <c r="D14" s="120" t="s">
        <v>235</v>
      </c>
      <c r="E14" s="120" t="s">
        <v>254</v>
      </c>
      <c r="F14" s="120" t="s">
        <v>1</v>
      </c>
      <c r="G14" s="121">
        <v>73</v>
      </c>
      <c r="H14" s="120">
        <v>7</v>
      </c>
      <c r="I14" s="120"/>
      <c r="J14" s="122"/>
      <c r="K14" s="121">
        <v>74</v>
      </c>
      <c r="L14" s="120">
        <v>2</v>
      </c>
      <c r="M14" s="120"/>
      <c r="N14" s="119"/>
      <c r="O14" s="123">
        <v>12.1</v>
      </c>
      <c r="P14" s="123">
        <v>15</v>
      </c>
      <c r="Q14" s="124">
        <v>10</v>
      </c>
      <c r="R14" s="124">
        <v>2</v>
      </c>
      <c r="S14" s="124">
        <v>5</v>
      </c>
      <c r="T14" s="124">
        <v>2</v>
      </c>
      <c r="U14" s="124">
        <v>11</v>
      </c>
      <c r="V14" s="124">
        <v>1</v>
      </c>
      <c r="W14" s="124">
        <v>1</v>
      </c>
      <c r="X14" s="124">
        <v>1</v>
      </c>
      <c r="Y14" s="124">
        <f t="shared" si="1"/>
        <v>19</v>
      </c>
      <c r="Z14" s="124">
        <f t="shared" si="2"/>
        <v>14</v>
      </c>
      <c r="AA14" s="124">
        <f t="shared" si="3"/>
        <v>74</v>
      </c>
      <c r="AB14" s="124">
        <f t="shared" si="4"/>
        <v>73</v>
      </c>
      <c r="AC14" s="124">
        <f t="shared" si="5"/>
        <v>2</v>
      </c>
      <c r="AD14" s="124">
        <f t="shared" si="6"/>
        <v>7</v>
      </c>
    </row>
    <row r="15" spans="1:31" x14ac:dyDescent="0.15">
      <c r="A15" s="117" t="str">
        <f t="shared" si="0"/>
        <v>Sun</v>
      </c>
      <c r="B15" s="118">
        <v>39642</v>
      </c>
      <c r="C15" s="119" t="s">
        <v>292</v>
      </c>
      <c r="D15" s="120" t="s">
        <v>235</v>
      </c>
      <c r="E15" s="120" t="s">
        <v>254</v>
      </c>
      <c r="F15" s="120" t="s">
        <v>247</v>
      </c>
      <c r="G15" s="121">
        <v>60</v>
      </c>
      <c r="H15" s="120">
        <v>5</v>
      </c>
      <c r="I15" s="120"/>
      <c r="J15" s="122"/>
      <c r="K15" s="121">
        <v>32</v>
      </c>
      <c r="L15" s="120">
        <v>8</v>
      </c>
      <c r="M15" s="120"/>
      <c r="N15" s="119"/>
      <c r="O15" s="123">
        <v>10</v>
      </c>
      <c r="P15" s="123">
        <v>10</v>
      </c>
      <c r="Q15" s="124">
        <v>6</v>
      </c>
      <c r="R15" s="124">
        <v>4</v>
      </c>
      <c r="S15" s="124">
        <v>2</v>
      </c>
      <c r="T15" s="124">
        <v>2</v>
      </c>
      <c r="U15" s="124">
        <v>13</v>
      </c>
      <c r="V15" s="124">
        <v>0</v>
      </c>
      <c r="W15" s="124">
        <v>1</v>
      </c>
      <c r="X15" s="124">
        <v>2</v>
      </c>
      <c r="Y15" s="124">
        <f t="shared" si="1"/>
        <v>14</v>
      </c>
      <c r="Z15" s="124">
        <f t="shared" si="2"/>
        <v>16</v>
      </c>
      <c r="AA15" s="124">
        <f t="shared" si="3"/>
        <v>60</v>
      </c>
      <c r="AB15" s="124">
        <f t="shared" si="4"/>
        <v>32</v>
      </c>
      <c r="AC15" s="124">
        <f t="shared" si="5"/>
        <v>5</v>
      </c>
      <c r="AD15" s="124">
        <f t="shared" si="6"/>
        <v>8</v>
      </c>
      <c r="AE15" s="22"/>
    </row>
    <row r="16" spans="1:31" x14ac:dyDescent="0.15">
      <c r="A16" s="117" t="str">
        <f t="shared" si="0"/>
        <v>Sat</v>
      </c>
      <c r="B16" s="118">
        <v>39648</v>
      </c>
      <c r="C16" s="119" t="s">
        <v>293</v>
      </c>
      <c r="D16" s="120" t="s">
        <v>216</v>
      </c>
      <c r="E16" s="120" t="s">
        <v>248</v>
      </c>
      <c r="F16" s="120" t="s">
        <v>1</v>
      </c>
      <c r="G16" s="121">
        <v>214</v>
      </c>
      <c r="H16" s="120">
        <v>8</v>
      </c>
      <c r="I16" s="120"/>
      <c r="J16" s="122" t="s">
        <v>294</v>
      </c>
      <c r="K16" s="121">
        <v>55</v>
      </c>
      <c r="L16" s="120">
        <v>10</v>
      </c>
      <c r="M16" s="120"/>
      <c r="N16" s="119" t="s">
        <v>295</v>
      </c>
      <c r="O16" s="123">
        <v>18.5</v>
      </c>
      <c r="P16" s="123">
        <v>40</v>
      </c>
      <c r="Q16" s="124">
        <v>4</v>
      </c>
      <c r="R16" s="124">
        <v>1</v>
      </c>
      <c r="S16" s="124">
        <v>3</v>
      </c>
      <c r="T16" s="124">
        <v>2</v>
      </c>
      <c r="U16" s="124">
        <v>0</v>
      </c>
      <c r="V16" s="124">
        <v>2</v>
      </c>
      <c r="W16" s="124">
        <v>6</v>
      </c>
      <c r="X16" s="124">
        <v>1</v>
      </c>
      <c r="Y16" s="124">
        <f t="shared" si="1"/>
        <v>10</v>
      </c>
      <c r="Z16" s="124">
        <f t="shared" si="2"/>
        <v>9</v>
      </c>
      <c r="AA16" s="124">
        <f t="shared" si="3"/>
        <v>55</v>
      </c>
      <c r="AB16" s="124">
        <f t="shared" si="4"/>
        <v>214</v>
      </c>
      <c r="AC16" s="124">
        <f t="shared" si="5"/>
        <v>10</v>
      </c>
      <c r="AD16" s="124">
        <f t="shared" si="6"/>
        <v>8</v>
      </c>
    </row>
    <row r="17" spans="1:30" x14ac:dyDescent="0.15">
      <c r="A17" s="117" t="str">
        <f t="shared" si="0"/>
        <v>Sun</v>
      </c>
      <c r="B17" s="118">
        <v>39656</v>
      </c>
      <c r="C17" s="119" t="s">
        <v>296</v>
      </c>
      <c r="D17" s="120" t="s">
        <v>235</v>
      </c>
      <c r="E17" s="120" t="s">
        <v>217</v>
      </c>
      <c r="F17" s="120" t="s">
        <v>1</v>
      </c>
      <c r="G17" s="121">
        <v>182</v>
      </c>
      <c r="H17" s="120">
        <v>6</v>
      </c>
      <c r="I17" s="120"/>
      <c r="J17" s="122"/>
      <c r="K17" s="121">
        <v>166</v>
      </c>
      <c r="L17" s="120">
        <v>7</v>
      </c>
      <c r="M17" s="120"/>
      <c r="N17" s="119"/>
      <c r="O17" s="123">
        <v>41</v>
      </c>
      <c r="P17" s="123">
        <v>44</v>
      </c>
      <c r="Q17" s="124">
        <v>11</v>
      </c>
      <c r="R17" s="124">
        <v>1</v>
      </c>
      <c r="S17" s="124">
        <v>4</v>
      </c>
      <c r="T17" s="124">
        <v>7</v>
      </c>
      <c r="U17" s="124">
        <v>12</v>
      </c>
      <c r="V17" s="124">
        <v>5</v>
      </c>
      <c r="W17" s="124">
        <v>9</v>
      </c>
      <c r="X17" s="124">
        <v>2</v>
      </c>
      <c r="Y17" s="124">
        <f t="shared" si="1"/>
        <v>23</v>
      </c>
      <c r="Z17" s="124">
        <f t="shared" si="2"/>
        <v>28</v>
      </c>
      <c r="AA17" s="124">
        <f t="shared" si="3"/>
        <v>166</v>
      </c>
      <c r="AB17" s="124">
        <f t="shared" si="4"/>
        <v>182</v>
      </c>
      <c r="AC17" s="124">
        <f t="shared" si="5"/>
        <v>7</v>
      </c>
      <c r="AD17" s="124">
        <f t="shared" si="6"/>
        <v>6</v>
      </c>
    </row>
    <row r="18" spans="1:30" x14ac:dyDescent="0.15">
      <c r="A18" s="117" t="str">
        <f t="shared" si="0"/>
        <v>Sun</v>
      </c>
      <c r="B18" s="118">
        <v>39663</v>
      </c>
      <c r="C18" s="119" t="s">
        <v>286</v>
      </c>
      <c r="D18" s="120" t="s">
        <v>235</v>
      </c>
      <c r="E18" s="120" t="s">
        <v>217</v>
      </c>
      <c r="F18" s="120" t="s">
        <v>1</v>
      </c>
      <c r="G18" s="121">
        <v>216</v>
      </c>
      <c r="H18" s="120">
        <v>5</v>
      </c>
      <c r="I18" s="120"/>
      <c r="J18" s="122" t="s">
        <v>297</v>
      </c>
      <c r="K18" s="121">
        <v>88</v>
      </c>
      <c r="L18" s="120">
        <v>7</v>
      </c>
      <c r="M18" s="120"/>
      <c r="N18" s="119"/>
      <c r="O18" s="123">
        <v>26</v>
      </c>
      <c r="P18" s="123">
        <v>35</v>
      </c>
      <c r="Q18" s="124">
        <v>6</v>
      </c>
      <c r="R18" s="124">
        <v>1</v>
      </c>
      <c r="S18" s="124">
        <v>5</v>
      </c>
      <c r="T18" s="124">
        <v>3</v>
      </c>
      <c r="U18" s="124">
        <v>1</v>
      </c>
      <c r="V18" s="124">
        <v>6</v>
      </c>
      <c r="W18" s="124">
        <v>5</v>
      </c>
      <c r="X18" s="124">
        <v>1</v>
      </c>
      <c r="Y18" s="124">
        <f t="shared" si="1"/>
        <v>15</v>
      </c>
      <c r="Z18" s="124">
        <f t="shared" si="2"/>
        <v>13</v>
      </c>
      <c r="AA18" s="124">
        <f t="shared" si="3"/>
        <v>88</v>
      </c>
      <c r="AB18" s="124">
        <f t="shared" si="4"/>
        <v>216</v>
      </c>
      <c r="AC18" s="124">
        <f t="shared" si="5"/>
        <v>7</v>
      </c>
      <c r="AD18" s="124">
        <f t="shared" si="6"/>
        <v>5</v>
      </c>
    </row>
    <row r="19" spans="1:30" x14ac:dyDescent="0.15">
      <c r="A19" s="117" t="str">
        <f t="shared" si="0"/>
        <v>Sun</v>
      </c>
      <c r="B19" s="118">
        <v>39670</v>
      </c>
      <c r="C19" s="119" t="s">
        <v>279</v>
      </c>
      <c r="D19" s="120" t="s">
        <v>235</v>
      </c>
      <c r="E19" s="120" t="s">
        <v>217</v>
      </c>
      <c r="F19" s="120" t="s">
        <v>1</v>
      </c>
      <c r="G19" s="121">
        <v>167</v>
      </c>
      <c r="H19" s="120">
        <v>9</v>
      </c>
      <c r="I19" s="120"/>
      <c r="J19" s="122" t="s">
        <v>298</v>
      </c>
      <c r="K19" s="121">
        <v>50</v>
      </c>
      <c r="L19" s="120">
        <v>6</v>
      </c>
      <c r="M19" s="120"/>
      <c r="N19" s="119" t="s">
        <v>299</v>
      </c>
      <c r="O19" s="123">
        <v>24.5</v>
      </c>
      <c r="P19" s="123">
        <v>47.2</v>
      </c>
      <c r="Q19" s="124">
        <v>7</v>
      </c>
      <c r="R19" s="124">
        <v>3</v>
      </c>
      <c r="S19" s="124">
        <v>2</v>
      </c>
      <c r="T19" s="124">
        <v>1</v>
      </c>
      <c r="U19" s="124">
        <v>1</v>
      </c>
      <c r="V19" s="124">
        <v>1</v>
      </c>
      <c r="W19" s="124">
        <v>15</v>
      </c>
      <c r="X19" s="124">
        <v>0</v>
      </c>
      <c r="Y19" s="124">
        <f t="shared" si="1"/>
        <v>13</v>
      </c>
      <c r="Z19" s="124">
        <f t="shared" si="2"/>
        <v>17</v>
      </c>
      <c r="AA19" s="124">
        <f t="shared" si="3"/>
        <v>50</v>
      </c>
      <c r="AB19" s="124">
        <f t="shared" si="4"/>
        <v>167</v>
      </c>
      <c r="AC19" s="124">
        <f t="shared" si="5"/>
        <v>6</v>
      </c>
      <c r="AD19" s="124">
        <f t="shared" si="6"/>
        <v>9</v>
      </c>
    </row>
    <row r="20" spans="1:30" x14ac:dyDescent="0.15">
      <c r="A20" s="117" t="str">
        <f t="shared" si="0"/>
        <v>Sat</v>
      </c>
      <c r="B20" s="118">
        <v>39676</v>
      </c>
      <c r="C20" s="119" t="s">
        <v>300</v>
      </c>
      <c r="D20" s="120" t="s">
        <v>216</v>
      </c>
      <c r="E20" s="120" t="s">
        <v>254</v>
      </c>
      <c r="F20" s="120" t="s">
        <v>1</v>
      </c>
      <c r="G20" s="121">
        <v>101</v>
      </c>
      <c r="H20" s="120">
        <v>9</v>
      </c>
      <c r="I20" s="120"/>
      <c r="J20" s="122" t="s">
        <v>301</v>
      </c>
      <c r="K20" s="121">
        <v>102</v>
      </c>
      <c r="L20" s="120">
        <v>4</v>
      </c>
      <c r="M20" s="120"/>
      <c r="N20" s="119" t="s">
        <v>302</v>
      </c>
      <c r="O20" s="123">
        <v>28</v>
      </c>
      <c r="P20" s="123">
        <v>31.4</v>
      </c>
      <c r="Q20" s="124">
        <v>8</v>
      </c>
      <c r="R20" s="124">
        <v>2</v>
      </c>
      <c r="S20" s="124">
        <v>6</v>
      </c>
      <c r="T20" s="124">
        <v>2</v>
      </c>
      <c r="U20" s="124">
        <v>12</v>
      </c>
      <c r="V20" s="124">
        <v>0</v>
      </c>
      <c r="W20" s="124">
        <v>0</v>
      </c>
      <c r="X20" s="124">
        <v>1</v>
      </c>
      <c r="Y20" s="124">
        <f t="shared" si="1"/>
        <v>18</v>
      </c>
      <c r="Z20" s="124">
        <f t="shared" si="2"/>
        <v>13</v>
      </c>
      <c r="AA20" s="124">
        <f t="shared" si="3"/>
        <v>102</v>
      </c>
      <c r="AB20" s="124">
        <f t="shared" si="4"/>
        <v>101</v>
      </c>
      <c r="AC20" s="124">
        <f t="shared" si="5"/>
        <v>4</v>
      </c>
      <c r="AD20" s="124">
        <f t="shared" si="6"/>
        <v>9</v>
      </c>
    </row>
    <row r="21" spans="1:30" x14ac:dyDescent="0.15">
      <c r="A21" s="117" t="str">
        <f t="shared" si="0"/>
        <v>Sun</v>
      </c>
      <c r="B21" s="118">
        <v>39684</v>
      </c>
      <c r="C21" s="119" t="s">
        <v>257</v>
      </c>
      <c r="D21" s="120" t="s">
        <v>235</v>
      </c>
      <c r="E21" s="120" t="s">
        <v>248</v>
      </c>
      <c r="F21" s="120" t="s">
        <v>247</v>
      </c>
      <c r="G21" s="121">
        <v>129</v>
      </c>
      <c r="H21" s="120">
        <v>10</v>
      </c>
      <c r="I21" s="120"/>
      <c r="J21" s="122" t="s">
        <v>304</v>
      </c>
      <c r="K21" s="121">
        <v>130</v>
      </c>
      <c r="L21" s="120">
        <v>6</v>
      </c>
      <c r="M21" s="120"/>
      <c r="N21" s="119" t="s">
        <v>303</v>
      </c>
      <c r="O21" s="123">
        <v>42</v>
      </c>
      <c r="P21" s="123">
        <v>40.299999999999997</v>
      </c>
      <c r="Q21" s="124">
        <v>12</v>
      </c>
      <c r="R21" s="124">
        <v>5</v>
      </c>
      <c r="S21" s="124">
        <v>4</v>
      </c>
      <c r="T21" s="124">
        <v>0</v>
      </c>
      <c r="U21" s="124">
        <v>17</v>
      </c>
      <c r="V21" s="124">
        <v>1</v>
      </c>
      <c r="W21" s="124">
        <v>3</v>
      </c>
      <c r="X21" s="124">
        <v>0</v>
      </c>
      <c r="Y21" s="124">
        <f t="shared" ref="Y21:Y23" si="7">SUM(Q21:T21)</f>
        <v>21</v>
      </c>
      <c r="Z21" s="124">
        <f t="shared" ref="Z21:Z23" si="8">SUM(U21:X21)</f>
        <v>21</v>
      </c>
      <c r="AA21" s="124">
        <f t="shared" ref="AA21:AA59" si="9">IF(F21="TOCC",G21,K21)</f>
        <v>129</v>
      </c>
      <c r="AB21" s="124">
        <f t="shared" ref="AB21:AB59" si="10">IF(F21&lt;&gt;"TOCC",G21,K21)</f>
        <v>130</v>
      </c>
      <c r="AC21" s="124">
        <f t="shared" ref="AC21:AC59" si="11">IF(F21="TOCC",H21,L21)</f>
        <v>10</v>
      </c>
      <c r="AD21" s="124">
        <f t="shared" ref="AD21:AD59" si="12">IF(F21&lt;&gt;"TOCC",H21,L21)</f>
        <v>6</v>
      </c>
    </row>
    <row r="22" spans="1:30" x14ac:dyDescent="0.15">
      <c r="A22" s="117" t="str">
        <f t="shared" si="0"/>
        <v>Sun</v>
      </c>
      <c r="B22" s="118">
        <v>39691</v>
      </c>
      <c r="C22" s="119" t="s">
        <v>293</v>
      </c>
      <c r="D22" s="120" t="s">
        <v>235</v>
      </c>
      <c r="E22" s="120" t="s">
        <v>254</v>
      </c>
      <c r="F22" s="120" t="s">
        <v>1</v>
      </c>
      <c r="G22" s="121">
        <v>105</v>
      </c>
      <c r="H22" s="120">
        <v>9</v>
      </c>
      <c r="I22" s="120"/>
      <c r="J22" s="122" t="s">
        <v>305</v>
      </c>
      <c r="K22" s="121">
        <v>106</v>
      </c>
      <c r="L22" s="120">
        <v>3</v>
      </c>
      <c r="M22" s="120"/>
      <c r="N22" s="119" t="s">
        <v>306</v>
      </c>
      <c r="O22" s="123">
        <v>29</v>
      </c>
      <c r="P22" s="123">
        <v>29.1</v>
      </c>
      <c r="Q22" s="124">
        <v>15</v>
      </c>
      <c r="R22" s="124">
        <v>9</v>
      </c>
      <c r="S22" s="124">
        <v>2</v>
      </c>
      <c r="T22" s="124">
        <v>3</v>
      </c>
      <c r="U22" s="124">
        <v>9</v>
      </c>
      <c r="V22" s="124">
        <v>0</v>
      </c>
      <c r="W22" s="124">
        <v>4</v>
      </c>
      <c r="X22" s="124">
        <v>2</v>
      </c>
      <c r="Y22" s="124">
        <f t="shared" si="7"/>
        <v>29</v>
      </c>
      <c r="Z22" s="124">
        <f t="shared" si="8"/>
        <v>15</v>
      </c>
      <c r="AA22" s="124">
        <f t="shared" si="9"/>
        <v>106</v>
      </c>
      <c r="AB22" s="124">
        <f t="shared" si="10"/>
        <v>105</v>
      </c>
      <c r="AC22" s="124">
        <f t="shared" si="11"/>
        <v>3</v>
      </c>
      <c r="AD22" s="124">
        <f t="shared" si="12"/>
        <v>9</v>
      </c>
    </row>
    <row r="23" spans="1:30" x14ac:dyDescent="0.15">
      <c r="A23" s="117" t="str">
        <f t="shared" si="0"/>
        <v>Sun</v>
      </c>
      <c r="B23" s="118">
        <v>39712</v>
      </c>
      <c r="C23" s="119" t="s">
        <v>260</v>
      </c>
      <c r="D23" s="120" t="s">
        <v>216</v>
      </c>
      <c r="E23" s="120" t="s">
        <v>248</v>
      </c>
      <c r="F23" s="120" t="s">
        <v>247</v>
      </c>
      <c r="G23" s="121">
        <v>191</v>
      </c>
      <c r="H23" s="120">
        <v>10</v>
      </c>
      <c r="I23" s="120"/>
      <c r="J23" s="122" t="s">
        <v>307</v>
      </c>
      <c r="K23" s="121">
        <v>193</v>
      </c>
      <c r="L23" s="120">
        <v>6</v>
      </c>
      <c r="M23" s="120"/>
      <c r="N23" s="119" t="s">
        <v>308</v>
      </c>
      <c r="O23" s="123">
        <v>44.3</v>
      </c>
      <c r="P23" s="123">
        <v>36.1</v>
      </c>
      <c r="Q23" s="124">
        <v>18</v>
      </c>
      <c r="R23" s="124">
        <v>5</v>
      </c>
      <c r="S23" s="124">
        <v>8</v>
      </c>
      <c r="T23" s="124">
        <v>3</v>
      </c>
      <c r="U23" s="124">
        <v>22</v>
      </c>
      <c r="V23" s="124">
        <v>1</v>
      </c>
      <c r="W23" s="124">
        <v>3</v>
      </c>
      <c r="X23" s="124">
        <v>3</v>
      </c>
      <c r="Y23" s="124">
        <f t="shared" si="7"/>
        <v>34</v>
      </c>
      <c r="Z23" s="124">
        <f t="shared" si="8"/>
        <v>29</v>
      </c>
      <c r="AA23" s="124">
        <f t="shared" si="9"/>
        <v>191</v>
      </c>
      <c r="AB23" s="124">
        <f t="shared" si="10"/>
        <v>193</v>
      </c>
      <c r="AC23" s="124">
        <f t="shared" si="11"/>
        <v>10</v>
      </c>
      <c r="AD23" s="124">
        <f t="shared" si="12"/>
        <v>6</v>
      </c>
    </row>
    <row r="24" spans="1:30" x14ac:dyDescent="0.15">
      <c r="A24" s="117" t="str">
        <f t="shared" si="0"/>
        <v>Sat</v>
      </c>
      <c r="B24" s="118"/>
      <c r="C24" s="119"/>
      <c r="D24" s="120"/>
      <c r="E24" s="120"/>
      <c r="F24" s="120"/>
      <c r="G24" s="121"/>
      <c r="H24" s="120"/>
      <c r="I24" s="120"/>
      <c r="J24" s="122"/>
      <c r="K24" s="121"/>
      <c r="L24" s="120"/>
      <c r="M24" s="120"/>
      <c r="N24" s="119"/>
      <c r="O24" s="123"/>
      <c r="P24" s="123"/>
      <c r="Q24" s="124"/>
      <c r="R24" s="124"/>
      <c r="S24" s="124"/>
      <c r="T24" s="124"/>
      <c r="U24" s="124"/>
      <c r="V24" s="124"/>
      <c r="W24" s="124"/>
      <c r="X24" s="124"/>
      <c r="Y24" s="124">
        <f t="shared" ref="Y24:Y59" si="13">SUM(Q24:T24)</f>
        <v>0</v>
      </c>
      <c r="Z24" s="124">
        <f t="shared" ref="Z24:Z59" si="14">SUM(U24:X24)</f>
        <v>0</v>
      </c>
      <c r="AA24" s="124">
        <f t="shared" si="9"/>
        <v>0</v>
      </c>
      <c r="AB24" s="124">
        <f t="shared" si="10"/>
        <v>0</v>
      </c>
      <c r="AC24" s="124">
        <f t="shared" si="11"/>
        <v>0</v>
      </c>
      <c r="AD24" s="124">
        <f t="shared" si="12"/>
        <v>0</v>
      </c>
    </row>
    <row r="25" spans="1:30" x14ac:dyDescent="0.15">
      <c r="A25" s="117" t="str">
        <f t="shared" si="0"/>
        <v>Sat</v>
      </c>
      <c r="B25" s="118"/>
      <c r="C25" s="119"/>
      <c r="D25" s="120"/>
      <c r="E25" s="120"/>
      <c r="F25" s="120"/>
      <c r="G25" s="121"/>
      <c r="H25" s="120"/>
      <c r="I25" s="120"/>
      <c r="J25" s="122"/>
      <c r="K25" s="121"/>
      <c r="L25" s="120"/>
      <c r="M25" s="120"/>
      <c r="N25" s="131"/>
      <c r="O25" s="123"/>
      <c r="P25" s="123"/>
      <c r="Q25" s="124"/>
      <c r="R25" s="124"/>
      <c r="S25" s="124"/>
      <c r="T25" s="124"/>
      <c r="U25" s="124"/>
      <c r="V25" s="124"/>
      <c r="W25" s="124"/>
      <c r="X25" s="124"/>
      <c r="Y25" s="124">
        <f t="shared" si="13"/>
        <v>0</v>
      </c>
      <c r="Z25" s="124">
        <f t="shared" si="14"/>
        <v>0</v>
      </c>
      <c r="AA25" s="124">
        <f t="shared" si="9"/>
        <v>0</v>
      </c>
      <c r="AB25" s="124">
        <f t="shared" si="10"/>
        <v>0</v>
      </c>
      <c r="AC25" s="124">
        <f t="shared" si="11"/>
        <v>0</v>
      </c>
      <c r="AD25" s="124">
        <f t="shared" si="12"/>
        <v>0</v>
      </c>
    </row>
    <row r="26" spans="1:30" x14ac:dyDescent="0.15">
      <c r="A26" s="117" t="str">
        <f t="shared" si="0"/>
        <v>Sat</v>
      </c>
      <c r="B26" s="118"/>
      <c r="C26" s="119"/>
      <c r="D26" s="120"/>
      <c r="E26" s="120"/>
      <c r="F26" s="120"/>
      <c r="G26" s="121"/>
      <c r="H26" s="120"/>
      <c r="I26" s="120"/>
      <c r="J26" s="122"/>
      <c r="K26" s="121"/>
      <c r="L26" s="120"/>
      <c r="M26" s="120"/>
      <c r="N26" s="119"/>
      <c r="O26" s="123"/>
      <c r="P26" s="123"/>
      <c r="Q26" s="124"/>
      <c r="R26" s="124"/>
      <c r="S26" s="124"/>
      <c r="T26" s="124"/>
      <c r="U26" s="124"/>
      <c r="V26" s="124"/>
      <c r="W26" s="124"/>
      <c r="X26" s="124"/>
      <c r="Y26" s="124">
        <f t="shared" si="13"/>
        <v>0</v>
      </c>
      <c r="Z26" s="124">
        <f t="shared" si="14"/>
        <v>0</v>
      </c>
      <c r="AA26" s="124">
        <f t="shared" si="9"/>
        <v>0</v>
      </c>
      <c r="AB26" s="124">
        <f t="shared" si="10"/>
        <v>0</v>
      </c>
      <c r="AC26" s="124">
        <f t="shared" si="11"/>
        <v>0</v>
      </c>
      <c r="AD26" s="124">
        <f t="shared" si="12"/>
        <v>0</v>
      </c>
    </row>
    <row r="27" spans="1:30" x14ac:dyDescent="0.15">
      <c r="A27" s="117" t="str">
        <f t="shared" si="0"/>
        <v>Sat</v>
      </c>
      <c r="B27" s="118"/>
      <c r="C27" s="119"/>
      <c r="D27" s="120"/>
      <c r="E27" s="120"/>
      <c r="F27" s="120"/>
      <c r="G27" s="121"/>
      <c r="H27" s="120"/>
      <c r="I27" s="120"/>
      <c r="J27" s="122"/>
      <c r="K27" s="121"/>
      <c r="L27" s="120"/>
      <c r="M27" s="120"/>
      <c r="N27" s="119"/>
      <c r="O27" s="123"/>
      <c r="P27" s="123"/>
      <c r="Q27" s="124"/>
      <c r="R27" s="124"/>
      <c r="S27" s="124"/>
      <c r="T27" s="124"/>
      <c r="U27" s="124"/>
      <c r="V27" s="124"/>
      <c r="W27" s="124"/>
      <c r="X27" s="124"/>
      <c r="Y27" s="124">
        <f t="shared" si="13"/>
        <v>0</v>
      </c>
      <c r="Z27" s="124">
        <f t="shared" si="14"/>
        <v>0</v>
      </c>
      <c r="AA27" s="124">
        <f t="shared" si="9"/>
        <v>0</v>
      </c>
      <c r="AB27" s="124">
        <f t="shared" si="10"/>
        <v>0</v>
      </c>
      <c r="AC27" s="124">
        <f t="shared" si="11"/>
        <v>0</v>
      </c>
      <c r="AD27" s="124">
        <f t="shared" si="12"/>
        <v>0</v>
      </c>
    </row>
    <row r="28" spans="1:30" x14ac:dyDescent="0.15">
      <c r="A28" s="117" t="str">
        <f t="shared" si="0"/>
        <v>Sat</v>
      </c>
      <c r="B28" s="118"/>
      <c r="C28" s="119"/>
      <c r="D28" s="120"/>
      <c r="E28" s="120"/>
      <c r="F28" s="120"/>
      <c r="G28" s="121"/>
      <c r="H28" s="120"/>
      <c r="I28" s="120"/>
      <c r="J28" s="122"/>
      <c r="K28" s="121"/>
      <c r="L28" s="120"/>
      <c r="M28" s="120"/>
      <c r="N28" s="119"/>
      <c r="O28" s="123"/>
      <c r="P28" s="123"/>
      <c r="Q28" s="124"/>
      <c r="R28" s="124"/>
      <c r="S28" s="124"/>
      <c r="T28" s="124"/>
      <c r="U28" s="124"/>
      <c r="V28" s="124"/>
      <c r="W28" s="124"/>
      <c r="X28" s="124"/>
      <c r="Y28" s="124">
        <f t="shared" si="13"/>
        <v>0</v>
      </c>
      <c r="Z28" s="124">
        <f t="shared" si="14"/>
        <v>0</v>
      </c>
      <c r="AA28" s="124">
        <f t="shared" si="9"/>
        <v>0</v>
      </c>
      <c r="AB28" s="124">
        <f t="shared" si="10"/>
        <v>0</v>
      </c>
      <c r="AC28" s="124">
        <f t="shared" si="11"/>
        <v>0</v>
      </c>
      <c r="AD28" s="124">
        <f t="shared" si="12"/>
        <v>0</v>
      </c>
    </row>
    <row r="29" spans="1:30" x14ac:dyDescent="0.15">
      <c r="A29" s="117" t="str">
        <f t="shared" si="0"/>
        <v>Sat</v>
      </c>
      <c r="B29" s="118"/>
      <c r="C29" s="119"/>
      <c r="D29" s="120"/>
      <c r="E29" s="120"/>
      <c r="F29" s="120"/>
      <c r="G29" s="121"/>
      <c r="H29" s="120"/>
      <c r="I29" s="120"/>
      <c r="J29" s="122"/>
      <c r="K29" s="121"/>
      <c r="L29" s="120"/>
      <c r="M29" s="120"/>
      <c r="N29" s="119"/>
      <c r="O29" s="123"/>
      <c r="P29" s="123"/>
      <c r="Q29" s="124"/>
      <c r="R29" s="124"/>
      <c r="S29" s="124"/>
      <c r="T29" s="124"/>
      <c r="U29" s="124"/>
      <c r="V29" s="124"/>
      <c r="W29" s="124"/>
      <c r="X29" s="124"/>
      <c r="Y29" s="124">
        <f t="shared" si="13"/>
        <v>0</v>
      </c>
      <c r="Z29" s="124">
        <f t="shared" si="14"/>
        <v>0</v>
      </c>
      <c r="AA29" s="124">
        <f t="shared" si="9"/>
        <v>0</v>
      </c>
      <c r="AB29" s="124">
        <f t="shared" si="10"/>
        <v>0</v>
      </c>
      <c r="AC29" s="124">
        <f t="shared" si="11"/>
        <v>0</v>
      </c>
      <c r="AD29" s="124">
        <f t="shared" si="12"/>
        <v>0</v>
      </c>
    </row>
    <row r="30" spans="1:30" x14ac:dyDescent="0.15">
      <c r="A30" s="117" t="str">
        <f t="shared" si="0"/>
        <v>Sat</v>
      </c>
      <c r="B30" s="118"/>
      <c r="C30" s="119"/>
      <c r="D30" s="120"/>
      <c r="E30" s="120"/>
      <c r="F30" s="120"/>
      <c r="G30" s="121"/>
      <c r="H30" s="120"/>
      <c r="I30" s="120"/>
      <c r="J30" s="122"/>
      <c r="K30" s="121"/>
      <c r="L30" s="120"/>
      <c r="M30" s="120"/>
      <c r="N30" s="119"/>
      <c r="O30" s="123"/>
      <c r="P30" s="123"/>
      <c r="Q30" s="124"/>
      <c r="R30" s="124"/>
      <c r="S30" s="124"/>
      <c r="T30" s="124"/>
      <c r="U30" s="124"/>
      <c r="V30" s="124"/>
      <c r="W30" s="124"/>
      <c r="X30" s="124"/>
      <c r="Y30" s="124">
        <f t="shared" si="13"/>
        <v>0</v>
      </c>
      <c r="Z30" s="124">
        <f t="shared" si="14"/>
        <v>0</v>
      </c>
      <c r="AA30" s="124">
        <f t="shared" si="9"/>
        <v>0</v>
      </c>
      <c r="AB30" s="124">
        <f t="shared" si="10"/>
        <v>0</v>
      </c>
      <c r="AC30" s="124">
        <f t="shared" si="11"/>
        <v>0</v>
      </c>
      <c r="AD30" s="124">
        <f t="shared" si="12"/>
        <v>0</v>
      </c>
    </row>
    <row r="31" spans="1:30" x14ac:dyDescent="0.15">
      <c r="A31" s="117" t="str">
        <f t="shared" si="0"/>
        <v>Sat</v>
      </c>
      <c r="B31" s="118"/>
      <c r="C31" s="119"/>
      <c r="D31" s="120"/>
      <c r="E31" s="120"/>
      <c r="F31" s="120"/>
      <c r="G31" s="121"/>
      <c r="H31" s="120"/>
      <c r="I31" s="120"/>
      <c r="J31" s="122"/>
      <c r="K31" s="121"/>
      <c r="L31" s="120"/>
      <c r="M31" s="120"/>
      <c r="N31" s="119"/>
      <c r="O31" s="123"/>
      <c r="P31" s="123"/>
      <c r="Q31" s="124"/>
      <c r="R31" s="124"/>
      <c r="S31" s="124"/>
      <c r="T31" s="124"/>
      <c r="U31" s="124"/>
      <c r="V31" s="124"/>
      <c r="W31" s="124"/>
      <c r="X31" s="124"/>
      <c r="Y31" s="124">
        <f t="shared" si="13"/>
        <v>0</v>
      </c>
      <c r="Z31" s="124">
        <f t="shared" si="14"/>
        <v>0</v>
      </c>
      <c r="AA31" s="124">
        <f t="shared" si="9"/>
        <v>0</v>
      </c>
      <c r="AB31" s="124">
        <f t="shared" si="10"/>
        <v>0</v>
      </c>
      <c r="AC31" s="124">
        <f t="shared" si="11"/>
        <v>0</v>
      </c>
      <c r="AD31" s="124">
        <f t="shared" si="12"/>
        <v>0</v>
      </c>
    </row>
    <row r="32" spans="1:30" x14ac:dyDescent="0.15">
      <c r="A32" s="117" t="str">
        <f t="shared" si="0"/>
        <v>Sat</v>
      </c>
      <c r="B32" s="118"/>
      <c r="C32" s="119"/>
      <c r="D32" s="120"/>
      <c r="E32" s="120"/>
      <c r="F32" s="120"/>
      <c r="G32" s="121"/>
      <c r="H32" s="120"/>
      <c r="I32" s="120"/>
      <c r="J32" s="122"/>
      <c r="K32" s="121"/>
      <c r="L32" s="120"/>
      <c r="M32" s="120"/>
      <c r="N32" s="119"/>
      <c r="O32" s="123"/>
      <c r="P32" s="123"/>
      <c r="Q32" s="124"/>
      <c r="R32" s="124"/>
      <c r="S32" s="124"/>
      <c r="T32" s="124"/>
      <c r="U32" s="124"/>
      <c r="V32" s="124"/>
      <c r="W32" s="124"/>
      <c r="X32" s="124"/>
      <c r="Y32" s="124">
        <f t="shared" si="13"/>
        <v>0</v>
      </c>
      <c r="Z32" s="124">
        <f t="shared" si="14"/>
        <v>0</v>
      </c>
      <c r="AA32" s="124">
        <f t="shared" si="9"/>
        <v>0</v>
      </c>
      <c r="AB32" s="124">
        <f t="shared" si="10"/>
        <v>0</v>
      </c>
      <c r="AC32" s="124">
        <f t="shared" si="11"/>
        <v>0</v>
      </c>
      <c r="AD32" s="124">
        <f t="shared" si="12"/>
        <v>0</v>
      </c>
    </row>
    <row r="33" spans="1:30" x14ac:dyDescent="0.15">
      <c r="A33" s="117" t="str">
        <f t="shared" si="0"/>
        <v>Sat</v>
      </c>
      <c r="B33" s="118"/>
      <c r="C33" s="119"/>
      <c r="D33" s="120"/>
      <c r="E33" s="120"/>
      <c r="F33" s="120"/>
      <c r="G33" s="121"/>
      <c r="H33" s="120"/>
      <c r="I33" s="120"/>
      <c r="J33" s="122"/>
      <c r="K33" s="121"/>
      <c r="L33" s="120"/>
      <c r="M33" s="120"/>
      <c r="N33" s="119"/>
      <c r="O33" s="123"/>
      <c r="P33" s="123"/>
      <c r="Q33" s="124"/>
      <c r="R33" s="124"/>
      <c r="S33" s="124"/>
      <c r="T33" s="124"/>
      <c r="U33" s="124"/>
      <c r="V33" s="124"/>
      <c r="W33" s="124"/>
      <c r="X33" s="124"/>
      <c r="Y33" s="124">
        <f t="shared" si="13"/>
        <v>0</v>
      </c>
      <c r="Z33" s="124">
        <f t="shared" si="14"/>
        <v>0</v>
      </c>
      <c r="AA33" s="124">
        <f t="shared" si="9"/>
        <v>0</v>
      </c>
      <c r="AB33" s="124">
        <f t="shared" si="10"/>
        <v>0</v>
      </c>
      <c r="AC33" s="124">
        <f t="shared" si="11"/>
        <v>0</v>
      </c>
      <c r="AD33" s="124">
        <f t="shared" si="12"/>
        <v>0</v>
      </c>
    </row>
    <row r="34" spans="1:30" x14ac:dyDescent="0.15">
      <c r="A34" s="117" t="str">
        <f t="shared" si="0"/>
        <v>Sat</v>
      </c>
      <c r="B34" s="118"/>
      <c r="C34" s="119"/>
      <c r="D34" s="120"/>
      <c r="E34" s="120"/>
      <c r="F34" s="120"/>
      <c r="G34" s="121"/>
      <c r="H34" s="120"/>
      <c r="I34" s="120"/>
      <c r="J34" s="122"/>
      <c r="K34" s="121"/>
      <c r="L34" s="120"/>
      <c r="M34" s="120"/>
      <c r="N34" s="119"/>
      <c r="O34" s="123"/>
      <c r="P34" s="123"/>
      <c r="Q34" s="124"/>
      <c r="R34" s="124"/>
      <c r="S34" s="124"/>
      <c r="T34" s="124"/>
      <c r="U34" s="124"/>
      <c r="V34" s="124"/>
      <c r="W34" s="124"/>
      <c r="X34" s="124"/>
      <c r="Y34" s="124">
        <f t="shared" si="13"/>
        <v>0</v>
      </c>
      <c r="Z34" s="124">
        <f t="shared" si="14"/>
        <v>0</v>
      </c>
      <c r="AA34" s="124">
        <f t="shared" si="9"/>
        <v>0</v>
      </c>
      <c r="AB34" s="124">
        <f t="shared" si="10"/>
        <v>0</v>
      </c>
      <c r="AC34" s="124">
        <f t="shared" si="11"/>
        <v>0</v>
      </c>
      <c r="AD34" s="124">
        <f t="shared" si="12"/>
        <v>0</v>
      </c>
    </row>
    <row r="35" spans="1:30" x14ac:dyDescent="0.15">
      <c r="A35" s="117" t="str">
        <f t="shared" si="0"/>
        <v>Sat</v>
      </c>
      <c r="B35" s="118"/>
      <c r="C35" s="119"/>
      <c r="D35" s="120"/>
      <c r="E35" s="120"/>
      <c r="F35" s="120"/>
      <c r="G35" s="121"/>
      <c r="H35" s="120"/>
      <c r="I35" s="120"/>
      <c r="J35" s="122"/>
      <c r="K35" s="121"/>
      <c r="L35" s="120"/>
      <c r="M35" s="120"/>
      <c r="N35" s="119"/>
      <c r="O35" s="123"/>
      <c r="P35" s="123"/>
      <c r="Q35" s="124"/>
      <c r="R35" s="124"/>
      <c r="S35" s="124"/>
      <c r="T35" s="124"/>
      <c r="U35" s="124"/>
      <c r="V35" s="124"/>
      <c r="W35" s="124"/>
      <c r="X35" s="124"/>
      <c r="Y35" s="124">
        <f t="shared" si="13"/>
        <v>0</v>
      </c>
      <c r="Z35" s="124">
        <f t="shared" si="14"/>
        <v>0</v>
      </c>
      <c r="AA35" s="124">
        <f t="shared" si="9"/>
        <v>0</v>
      </c>
      <c r="AB35" s="124">
        <f t="shared" si="10"/>
        <v>0</v>
      </c>
      <c r="AC35" s="124">
        <f t="shared" si="11"/>
        <v>0</v>
      </c>
      <c r="AD35" s="124">
        <f t="shared" si="12"/>
        <v>0</v>
      </c>
    </row>
    <row r="36" spans="1:30" x14ac:dyDescent="0.15">
      <c r="A36" s="117" t="str">
        <f t="shared" si="0"/>
        <v>Sat</v>
      </c>
      <c r="B36" s="118"/>
      <c r="C36" s="119"/>
      <c r="D36" s="120"/>
      <c r="E36" s="120"/>
      <c r="F36" s="120"/>
      <c r="G36" s="121"/>
      <c r="H36" s="120"/>
      <c r="I36" s="120"/>
      <c r="J36" s="122"/>
      <c r="K36" s="121"/>
      <c r="L36" s="120"/>
      <c r="M36" s="120"/>
      <c r="N36" s="119"/>
      <c r="O36" s="123"/>
      <c r="P36" s="123"/>
      <c r="Q36" s="124"/>
      <c r="R36" s="124"/>
      <c r="S36" s="124"/>
      <c r="T36" s="124"/>
      <c r="U36" s="124"/>
      <c r="V36" s="124"/>
      <c r="W36" s="124"/>
      <c r="X36" s="124"/>
      <c r="Y36" s="124">
        <f t="shared" si="13"/>
        <v>0</v>
      </c>
      <c r="Z36" s="124">
        <f t="shared" si="14"/>
        <v>0</v>
      </c>
      <c r="AA36" s="124">
        <f t="shared" si="9"/>
        <v>0</v>
      </c>
      <c r="AB36" s="124">
        <f t="shared" si="10"/>
        <v>0</v>
      </c>
      <c r="AC36" s="124">
        <f t="shared" si="11"/>
        <v>0</v>
      </c>
      <c r="AD36" s="124">
        <f t="shared" si="12"/>
        <v>0</v>
      </c>
    </row>
    <row r="37" spans="1:30" x14ac:dyDescent="0.15">
      <c r="A37" s="117" t="str">
        <f t="shared" si="0"/>
        <v>Sat</v>
      </c>
      <c r="B37" s="118"/>
      <c r="C37" s="119"/>
      <c r="D37" s="120"/>
      <c r="E37" s="120"/>
      <c r="F37" s="120"/>
      <c r="G37" s="121"/>
      <c r="H37" s="120"/>
      <c r="I37" s="120"/>
      <c r="J37" s="122"/>
      <c r="K37" s="121"/>
      <c r="L37" s="120"/>
      <c r="M37" s="120"/>
      <c r="N37" s="119"/>
      <c r="O37" s="123"/>
      <c r="P37" s="123"/>
      <c r="Q37" s="124"/>
      <c r="R37" s="124"/>
      <c r="S37" s="124"/>
      <c r="T37" s="124"/>
      <c r="U37" s="124"/>
      <c r="V37" s="124"/>
      <c r="W37" s="124"/>
      <c r="X37" s="124"/>
      <c r="Y37" s="124">
        <f t="shared" si="13"/>
        <v>0</v>
      </c>
      <c r="Z37" s="124">
        <f t="shared" si="14"/>
        <v>0</v>
      </c>
      <c r="AA37" s="124">
        <f t="shared" si="9"/>
        <v>0</v>
      </c>
      <c r="AB37" s="124">
        <f t="shared" si="10"/>
        <v>0</v>
      </c>
      <c r="AC37" s="124">
        <f t="shared" si="11"/>
        <v>0</v>
      </c>
      <c r="AD37" s="124">
        <f t="shared" si="12"/>
        <v>0</v>
      </c>
    </row>
    <row r="38" spans="1:30" x14ac:dyDescent="0.15">
      <c r="A38" s="117" t="str">
        <f t="shared" si="0"/>
        <v>Sat</v>
      </c>
      <c r="B38" s="118"/>
      <c r="C38" s="119"/>
      <c r="D38" s="120"/>
      <c r="E38" s="120"/>
      <c r="F38" s="120"/>
      <c r="G38" s="121"/>
      <c r="H38" s="120"/>
      <c r="I38" s="120"/>
      <c r="J38" s="122"/>
      <c r="K38" s="121"/>
      <c r="L38" s="120"/>
      <c r="M38" s="120"/>
      <c r="N38" s="119"/>
      <c r="O38" s="123"/>
      <c r="P38" s="123"/>
      <c r="Q38" s="124"/>
      <c r="R38" s="124"/>
      <c r="S38" s="124"/>
      <c r="T38" s="124"/>
      <c r="U38" s="124"/>
      <c r="V38" s="124"/>
      <c r="W38" s="124"/>
      <c r="X38" s="124"/>
      <c r="Y38" s="124">
        <f t="shared" si="13"/>
        <v>0</v>
      </c>
      <c r="Z38" s="124">
        <f t="shared" si="14"/>
        <v>0</v>
      </c>
      <c r="AA38" s="124">
        <f t="shared" si="9"/>
        <v>0</v>
      </c>
      <c r="AB38" s="124">
        <f t="shared" si="10"/>
        <v>0</v>
      </c>
      <c r="AC38" s="124">
        <f t="shared" si="11"/>
        <v>0</v>
      </c>
      <c r="AD38" s="124">
        <f t="shared" si="12"/>
        <v>0</v>
      </c>
    </row>
    <row r="39" spans="1:30" x14ac:dyDescent="0.15">
      <c r="A39" s="117" t="str">
        <f t="shared" si="0"/>
        <v>Sat</v>
      </c>
      <c r="B39" s="118"/>
      <c r="C39" s="119"/>
      <c r="D39" s="120"/>
      <c r="E39" s="120"/>
      <c r="F39" s="120"/>
      <c r="G39" s="121"/>
      <c r="H39" s="120"/>
      <c r="I39" s="120"/>
      <c r="J39" s="122"/>
      <c r="K39" s="121"/>
      <c r="L39" s="120"/>
      <c r="M39" s="120"/>
      <c r="N39" s="119"/>
      <c r="O39" s="123"/>
      <c r="P39" s="123"/>
      <c r="Q39" s="124"/>
      <c r="R39" s="124"/>
      <c r="S39" s="124"/>
      <c r="T39" s="124"/>
      <c r="U39" s="124"/>
      <c r="V39" s="124"/>
      <c r="W39" s="124"/>
      <c r="X39" s="124"/>
      <c r="Y39" s="124">
        <f t="shared" si="13"/>
        <v>0</v>
      </c>
      <c r="Z39" s="124">
        <f t="shared" si="14"/>
        <v>0</v>
      </c>
      <c r="AA39" s="124">
        <f t="shared" si="9"/>
        <v>0</v>
      </c>
      <c r="AB39" s="124">
        <f t="shared" si="10"/>
        <v>0</v>
      </c>
      <c r="AC39" s="124">
        <f t="shared" si="11"/>
        <v>0</v>
      </c>
      <c r="AD39" s="124">
        <f t="shared" si="12"/>
        <v>0</v>
      </c>
    </row>
    <row r="40" spans="1:30" x14ac:dyDescent="0.15">
      <c r="A40" s="117" t="str">
        <f t="shared" si="0"/>
        <v>Sat</v>
      </c>
      <c r="B40" s="118"/>
      <c r="C40" s="119"/>
      <c r="D40" s="120"/>
      <c r="E40" s="120"/>
      <c r="F40" s="120"/>
      <c r="G40" s="121"/>
      <c r="H40" s="120"/>
      <c r="I40" s="120"/>
      <c r="J40" s="122"/>
      <c r="K40" s="121"/>
      <c r="L40" s="120"/>
      <c r="M40" s="120"/>
      <c r="N40" s="119"/>
      <c r="O40" s="123"/>
      <c r="P40" s="123"/>
      <c r="Q40" s="124"/>
      <c r="R40" s="124"/>
      <c r="S40" s="124"/>
      <c r="T40" s="124"/>
      <c r="U40" s="124"/>
      <c r="V40" s="124"/>
      <c r="W40" s="124"/>
      <c r="X40" s="124"/>
      <c r="Y40" s="124">
        <f t="shared" si="13"/>
        <v>0</v>
      </c>
      <c r="Z40" s="124">
        <f t="shared" si="14"/>
        <v>0</v>
      </c>
      <c r="AA40" s="124">
        <f t="shared" si="9"/>
        <v>0</v>
      </c>
      <c r="AB40" s="124">
        <f t="shared" si="10"/>
        <v>0</v>
      </c>
      <c r="AC40" s="124">
        <f t="shared" si="11"/>
        <v>0</v>
      </c>
      <c r="AD40" s="124">
        <f t="shared" si="12"/>
        <v>0</v>
      </c>
    </row>
    <row r="41" spans="1:30" x14ac:dyDescent="0.15">
      <c r="A41" s="117" t="str">
        <f t="shared" si="0"/>
        <v>Sat</v>
      </c>
      <c r="B41" s="118"/>
      <c r="C41" s="119"/>
      <c r="D41" s="120"/>
      <c r="E41" s="120"/>
      <c r="F41" s="120"/>
      <c r="G41" s="121"/>
      <c r="H41" s="120"/>
      <c r="I41" s="120"/>
      <c r="J41" s="122"/>
      <c r="K41" s="121"/>
      <c r="L41" s="120"/>
      <c r="M41" s="120"/>
      <c r="N41" s="119"/>
      <c r="O41" s="123"/>
      <c r="P41" s="123"/>
      <c r="Q41" s="124"/>
      <c r="R41" s="124"/>
      <c r="S41" s="124"/>
      <c r="T41" s="124"/>
      <c r="U41" s="124"/>
      <c r="V41" s="124"/>
      <c r="W41" s="124"/>
      <c r="X41" s="124"/>
      <c r="Y41" s="124">
        <f t="shared" si="13"/>
        <v>0</v>
      </c>
      <c r="Z41" s="124">
        <f t="shared" si="14"/>
        <v>0</v>
      </c>
      <c r="AA41" s="124">
        <f t="shared" si="9"/>
        <v>0</v>
      </c>
      <c r="AB41" s="124">
        <f t="shared" si="10"/>
        <v>0</v>
      </c>
      <c r="AC41" s="124">
        <f t="shared" si="11"/>
        <v>0</v>
      </c>
      <c r="AD41" s="124">
        <f t="shared" si="12"/>
        <v>0</v>
      </c>
    </row>
    <row r="42" spans="1:30" x14ac:dyDescent="0.15">
      <c r="A42" s="117" t="str">
        <f t="shared" si="0"/>
        <v>Sat</v>
      </c>
      <c r="B42" s="118"/>
      <c r="C42" s="119"/>
      <c r="D42" s="120"/>
      <c r="E42" s="120"/>
      <c r="F42" s="120"/>
      <c r="G42" s="121"/>
      <c r="H42" s="120"/>
      <c r="I42" s="120"/>
      <c r="J42" s="122"/>
      <c r="K42" s="121"/>
      <c r="L42" s="120"/>
      <c r="M42" s="120"/>
      <c r="N42" s="119"/>
      <c r="O42" s="123"/>
      <c r="P42" s="123"/>
      <c r="Q42" s="124"/>
      <c r="R42" s="124"/>
      <c r="S42" s="124"/>
      <c r="T42" s="124"/>
      <c r="U42" s="124"/>
      <c r="V42" s="124"/>
      <c r="W42" s="124"/>
      <c r="X42" s="124"/>
      <c r="Y42" s="124">
        <f t="shared" si="13"/>
        <v>0</v>
      </c>
      <c r="Z42" s="124">
        <f t="shared" si="14"/>
        <v>0</v>
      </c>
      <c r="AA42" s="124">
        <f t="shared" si="9"/>
        <v>0</v>
      </c>
      <c r="AB42" s="124">
        <f t="shared" si="10"/>
        <v>0</v>
      </c>
      <c r="AC42" s="124">
        <f t="shared" si="11"/>
        <v>0</v>
      </c>
      <c r="AD42" s="124">
        <f t="shared" si="12"/>
        <v>0</v>
      </c>
    </row>
    <row r="43" spans="1:30" x14ac:dyDescent="0.15">
      <c r="A43" s="117" t="str">
        <f t="shared" si="0"/>
        <v>Sat</v>
      </c>
      <c r="B43" s="118"/>
      <c r="C43" s="119"/>
      <c r="D43" s="120"/>
      <c r="E43" s="120"/>
      <c r="F43" s="120"/>
      <c r="G43" s="121"/>
      <c r="H43" s="120"/>
      <c r="I43" s="120"/>
      <c r="J43" s="122"/>
      <c r="K43" s="121"/>
      <c r="L43" s="120"/>
      <c r="M43" s="120"/>
      <c r="N43" s="119"/>
      <c r="O43" s="123"/>
      <c r="P43" s="123"/>
      <c r="Q43" s="124"/>
      <c r="R43" s="124"/>
      <c r="S43" s="124"/>
      <c r="T43" s="124"/>
      <c r="U43" s="124"/>
      <c r="V43" s="124"/>
      <c r="W43" s="124"/>
      <c r="X43" s="124"/>
      <c r="Y43" s="124">
        <f t="shared" si="13"/>
        <v>0</v>
      </c>
      <c r="Z43" s="124">
        <f t="shared" si="14"/>
        <v>0</v>
      </c>
      <c r="AA43" s="124">
        <f t="shared" si="9"/>
        <v>0</v>
      </c>
      <c r="AB43" s="124">
        <f t="shared" si="10"/>
        <v>0</v>
      </c>
      <c r="AC43" s="124">
        <f t="shared" si="11"/>
        <v>0</v>
      </c>
      <c r="AD43" s="124">
        <f t="shared" si="12"/>
        <v>0</v>
      </c>
    </row>
    <row r="44" spans="1:30" x14ac:dyDescent="0.15">
      <c r="A44" s="117" t="str">
        <f t="shared" si="0"/>
        <v>Sat</v>
      </c>
      <c r="B44" s="118"/>
      <c r="C44" s="119"/>
      <c r="D44" s="120"/>
      <c r="E44" s="120"/>
      <c r="F44" s="120"/>
      <c r="G44" s="121"/>
      <c r="H44" s="120"/>
      <c r="I44" s="120"/>
      <c r="J44" s="122"/>
      <c r="K44" s="121"/>
      <c r="L44" s="120"/>
      <c r="M44" s="120"/>
      <c r="N44" s="119"/>
      <c r="O44" s="123"/>
      <c r="P44" s="123"/>
      <c r="Q44" s="124"/>
      <c r="R44" s="124"/>
      <c r="S44" s="124"/>
      <c r="T44" s="124"/>
      <c r="U44" s="124"/>
      <c r="V44" s="124"/>
      <c r="W44" s="124"/>
      <c r="X44" s="124"/>
      <c r="Y44" s="124">
        <f t="shared" si="13"/>
        <v>0</v>
      </c>
      <c r="Z44" s="124">
        <f t="shared" si="14"/>
        <v>0</v>
      </c>
      <c r="AA44" s="124">
        <f t="shared" si="9"/>
        <v>0</v>
      </c>
      <c r="AB44" s="124">
        <f t="shared" si="10"/>
        <v>0</v>
      </c>
      <c r="AC44" s="124">
        <f t="shared" si="11"/>
        <v>0</v>
      </c>
      <c r="AD44" s="124">
        <f t="shared" si="12"/>
        <v>0</v>
      </c>
    </row>
    <row r="45" spans="1:30" x14ac:dyDescent="0.15">
      <c r="A45" s="117" t="str">
        <f t="shared" si="0"/>
        <v>Sat</v>
      </c>
      <c r="B45" s="118"/>
      <c r="C45" s="119"/>
      <c r="D45" s="120"/>
      <c r="E45" s="120"/>
      <c r="F45" s="120"/>
      <c r="G45" s="121"/>
      <c r="H45" s="120"/>
      <c r="I45" s="120"/>
      <c r="J45" s="122"/>
      <c r="K45" s="121"/>
      <c r="L45" s="120"/>
      <c r="M45" s="120"/>
      <c r="N45" s="119"/>
      <c r="O45" s="123"/>
      <c r="P45" s="123"/>
      <c r="Q45" s="124"/>
      <c r="R45" s="124"/>
      <c r="S45" s="124"/>
      <c r="T45" s="124"/>
      <c r="U45" s="124"/>
      <c r="V45" s="124"/>
      <c r="W45" s="124"/>
      <c r="X45" s="124"/>
      <c r="Y45" s="124">
        <f t="shared" si="13"/>
        <v>0</v>
      </c>
      <c r="Z45" s="124">
        <f t="shared" si="14"/>
        <v>0</v>
      </c>
      <c r="AA45" s="124">
        <f t="shared" si="9"/>
        <v>0</v>
      </c>
      <c r="AB45" s="124">
        <f t="shared" si="10"/>
        <v>0</v>
      </c>
      <c r="AC45" s="124">
        <f t="shared" si="11"/>
        <v>0</v>
      </c>
      <c r="AD45" s="124">
        <f t="shared" si="12"/>
        <v>0</v>
      </c>
    </row>
    <row r="46" spans="1:30" x14ac:dyDescent="0.15">
      <c r="A46" s="117" t="str">
        <f t="shared" si="0"/>
        <v>Sat</v>
      </c>
      <c r="B46" s="118"/>
      <c r="C46" s="119"/>
      <c r="D46" s="120"/>
      <c r="E46" s="120"/>
      <c r="F46" s="120"/>
      <c r="G46" s="121"/>
      <c r="H46" s="120"/>
      <c r="I46" s="120"/>
      <c r="J46" s="122"/>
      <c r="K46" s="121"/>
      <c r="L46" s="120"/>
      <c r="M46" s="120"/>
      <c r="N46" s="119"/>
      <c r="O46" s="123"/>
      <c r="P46" s="123"/>
      <c r="Q46" s="124"/>
      <c r="R46" s="124"/>
      <c r="S46" s="124"/>
      <c r="T46" s="124"/>
      <c r="U46" s="124"/>
      <c r="V46" s="124"/>
      <c r="W46" s="124"/>
      <c r="X46" s="124"/>
      <c r="Y46" s="124">
        <f>SUM(Q46:T46)</f>
        <v>0</v>
      </c>
      <c r="Z46" s="124">
        <f>SUM(U46:X46)</f>
        <v>0</v>
      </c>
      <c r="AA46" s="124">
        <f>IF(F46="TOCC",G46,K46)</f>
        <v>0</v>
      </c>
      <c r="AB46" s="124">
        <f>IF(F46&lt;&gt;"TOCC",G46,K46)</f>
        <v>0</v>
      </c>
      <c r="AC46" s="124">
        <f>IF(F46="TOCC",H46,L46)</f>
        <v>0</v>
      </c>
      <c r="AD46" s="124">
        <f>IF(F46&lt;&gt;"TOCC",H46,L46)</f>
        <v>0</v>
      </c>
    </row>
    <row r="47" spans="1:30" x14ac:dyDescent="0.15">
      <c r="A47" s="117" t="str">
        <f t="shared" si="0"/>
        <v>Sat</v>
      </c>
      <c r="B47" s="118"/>
      <c r="C47" s="119"/>
      <c r="D47" s="120"/>
      <c r="E47" s="120"/>
      <c r="F47" s="120"/>
      <c r="G47" s="121"/>
      <c r="H47" s="120"/>
      <c r="I47" s="120"/>
      <c r="J47" s="122"/>
      <c r="K47" s="121"/>
      <c r="L47" s="120"/>
      <c r="M47" s="120"/>
      <c r="N47" s="119"/>
      <c r="O47" s="123"/>
      <c r="P47" s="123"/>
      <c r="Q47" s="124"/>
      <c r="R47" s="124"/>
      <c r="S47" s="124"/>
      <c r="T47" s="124"/>
      <c r="U47" s="124"/>
      <c r="V47" s="124"/>
      <c r="W47" s="124"/>
      <c r="X47" s="124"/>
      <c r="Y47" s="124">
        <f>SUM(Q47:T47)</f>
        <v>0</v>
      </c>
      <c r="Z47" s="124">
        <f>SUM(U47:X47)</f>
        <v>0</v>
      </c>
      <c r="AA47" s="124">
        <f t="shared" si="9"/>
        <v>0</v>
      </c>
      <c r="AB47" s="124">
        <f t="shared" si="10"/>
        <v>0</v>
      </c>
      <c r="AC47" s="124">
        <f t="shared" si="11"/>
        <v>0</v>
      </c>
      <c r="AD47" s="124">
        <f t="shared" si="12"/>
        <v>0</v>
      </c>
    </row>
    <row r="48" spans="1:30" x14ac:dyDescent="0.15">
      <c r="A48" s="117" t="str">
        <f t="shared" si="0"/>
        <v>Sat</v>
      </c>
      <c r="B48" s="118"/>
      <c r="C48" s="119"/>
      <c r="D48" s="120"/>
      <c r="E48" s="120"/>
      <c r="F48" s="120"/>
      <c r="G48" s="121"/>
      <c r="H48" s="120"/>
      <c r="I48" s="120"/>
      <c r="J48" s="122"/>
      <c r="K48" s="121"/>
      <c r="L48" s="120"/>
      <c r="M48" s="120"/>
      <c r="N48" s="119"/>
      <c r="O48" s="123"/>
      <c r="P48" s="123"/>
      <c r="Q48" s="124"/>
      <c r="R48" s="124"/>
      <c r="S48" s="124"/>
      <c r="T48" s="124"/>
      <c r="U48" s="124"/>
      <c r="V48" s="124"/>
      <c r="W48" s="124"/>
      <c r="X48" s="124"/>
      <c r="Y48" s="124">
        <f t="shared" si="13"/>
        <v>0</v>
      </c>
      <c r="Z48" s="124">
        <f t="shared" si="14"/>
        <v>0</v>
      </c>
      <c r="AA48" s="124">
        <f t="shared" si="9"/>
        <v>0</v>
      </c>
      <c r="AB48" s="124">
        <f t="shared" si="10"/>
        <v>0</v>
      </c>
      <c r="AC48" s="124">
        <f t="shared" si="11"/>
        <v>0</v>
      </c>
      <c r="AD48" s="124">
        <f t="shared" si="12"/>
        <v>0</v>
      </c>
    </row>
    <row r="49" spans="1:30" x14ac:dyDescent="0.15">
      <c r="A49" s="117" t="str">
        <f t="shared" si="0"/>
        <v>Sat</v>
      </c>
      <c r="B49" s="118"/>
      <c r="C49" s="119"/>
      <c r="D49" s="120"/>
      <c r="E49" s="120"/>
      <c r="F49" s="120"/>
      <c r="G49" s="121"/>
      <c r="H49" s="120"/>
      <c r="I49" s="120"/>
      <c r="J49" s="122"/>
      <c r="K49" s="121"/>
      <c r="L49" s="120"/>
      <c r="M49" s="120"/>
      <c r="N49" s="119"/>
      <c r="O49" s="123"/>
      <c r="P49" s="123"/>
      <c r="Q49" s="124"/>
      <c r="R49" s="124"/>
      <c r="S49" s="124"/>
      <c r="T49" s="124"/>
      <c r="U49" s="124"/>
      <c r="V49" s="124"/>
      <c r="W49" s="124"/>
      <c r="X49" s="124"/>
      <c r="Y49" s="124">
        <f t="shared" si="13"/>
        <v>0</v>
      </c>
      <c r="Z49" s="124">
        <f t="shared" si="14"/>
        <v>0</v>
      </c>
      <c r="AA49" s="124">
        <f t="shared" si="9"/>
        <v>0</v>
      </c>
      <c r="AB49" s="124">
        <f t="shared" si="10"/>
        <v>0</v>
      </c>
      <c r="AC49" s="124">
        <f t="shared" si="11"/>
        <v>0</v>
      </c>
      <c r="AD49" s="124">
        <f t="shared" si="12"/>
        <v>0</v>
      </c>
    </row>
    <row r="50" spans="1:30" x14ac:dyDescent="0.15">
      <c r="A50" s="117" t="str">
        <f t="shared" si="0"/>
        <v>Sat</v>
      </c>
      <c r="B50" s="118"/>
      <c r="C50" s="119"/>
      <c r="D50" s="120"/>
      <c r="E50" s="120"/>
      <c r="F50" s="120"/>
      <c r="G50" s="121"/>
      <c r="H50" s="120"/>
      <c r="I50" s="120"/>
      <c r="J50" s="122"/>
      <c r="K50" s="121"/>
      <c r="L50" s="120"/>
      <c r="M50" s="120"/>
      <c r="N50" s="119"/>
      <c r="O50" s="123"/>
      <c r="P50" s="123"/>
      <c r="Q50" s="124"/>
      <c r="R50" s="124"/>
      <c r="S50" s="124"/>
      <c r="T50" s="124"/>
      <c r="U50" s="124"/>
      <c r="V50" s="124"/>
      <c r="W50" s="124"/>
      <c r="X50" s="124"/>
      <c r="Y50" s="124">
        <f t="shared" si="13"/>
        <v>0</v>
      </c>
      <c r="Z50" s="124">
        <f t="shared" si="14"/>
        <v>0</v>
      </c>
      <c r="AA50" s="124">
        <f t="shared" si="9"/>
        <v>0</v>
      </c>
      <c r="AB50" s="124">
        <f t="shared" si="10"/>
        <v>0</v>
      </c>
      <c r="AC50" s="124">
        <f t="shared" si="11"/>
        <v>0</v>
      </c>
      <c r="AD50" s="124">
        <f t="shared" si="12"/>
        <v>0</v>
      </c>
    </row>
    <row r="51" spans="1:30" x14ac:dyDescent="0.15">
      <c r="A51" s="117" t="str">
        <f t="shared" si="0"/>
        <v>Sat</v>
      </c>
      <c r="B51" s="118"/>
      <c r="C51" s="119"/>
      <c r="D51" s="120"/>
      <c r="E51" s="120"/>
      <c r="F51" s="120"/>
      <c r="G51" s="121"/>
      <c r="H51" s="120"/>
      <c r="I51" s="120"/>
      <c r="J51" s="122"/>
      <c r="K51" s="121"/>
      <c r="L51" s="120"/>
      <c r="M51" s="120"/>
      <c r="N51" s="119"/>
      <c r="O51" s="123"/>
      <c r="P51" s="123"/>
      <c r="Q51" s="124"/>
      <c r="R51" s="124"/>
      <c r="S51" s="124"/>
      <c r="T51" s="124"/>
      <c r="U51" s="124"/>
      <c r="V51" s="124"/>
      <c r="W51" s="124"/>
      <c r="X51" s="124"/>
      <c r="Y51" s="124">
        <f t="shared" si="13"/>
        <v>0</v>
      </c>
      <c r="Z51" s="124">
        <f t="shared" si="14"/>
        <v>0</v>
      </c>
      <c r="AA51" s="124">
        <f t="shared" si="9"/>
        <v>0</v>
      </c>
      <c r="AB51" s="124">
        <f t="shared" si="10"/>
        <v>0</v>
      </c>
      <c r="AC51" s="124">
        <f t="shared" si="11"/>
        <v>0</v>
      </c>
      <c r="AD51" s="124">
        <f t="shared" si="12"/>
        <v>0</v>
      </c>
    </row>
    <row r="52" spans="1:30" x14ac:dyDescent="0.15">
      <c r="A52" s="117" t="str">
        <f t="shared" si="0"/>
        <v>Sat</v>
      </c>
      <c r="B52" s="118"/>
      <c r="C52" s="119"/>
      <c r="D52" s="120"/>
      <c r="E52" s="120"/>
      <c r="F52" s="120"/>
      <c r="G52" s="121"/>
      <c r="H52" s="120"/>
      <c r="I52" s="120"/>
      <c r="J52" s="122"/>
      <c r="K52" s="121"/>
      <c r="L52" s="120"/>
      <c r="M52" s="120"/>
      <c r="N52" s="119"/>
      <c r="O52" s="123"/>
      <c r="P52" s="123"/>
      <c r="Q52" s="124"/>
      <c r="R52" s="124"/>
      <c r="S52" s="124"/>
      <c r="T52" s="124"/>
      <c r="U52" s="124"/>
      <c r="V52" s="124"/>
      <c r="W52" s="124"/>
      <c r="X52" s="124"/>
      <c r="Y52" s="124">
        <f t="shared" si="13"/>
        <v>0</v>
      </c>
      <c r="Z52" s="124">
        <f t="shared" si="14"/>
        <v>0</v>
      </c>
      <c r="AA52" s="124">
        <f t="shared" si="9"/>
        <v>0</v>
      </c>
      <c r="AB52" s="124">
        <f t="shared" si="10"/>
        <v>0</v>
      </c>
      <c r="AC52" s="124">
        <f t="shared" si="11"/>
        <v>0</v>
      </c>
      <c r="AD52" s="124">
        <f t="shared" si="12"/>
        <v>0</v>
      </c>
    </row>
    <row r="53" spans="1:30" x14ac:dyDescent="0.15">
      <c r="A53" s="117" t="str">
        <f t="shared" si="0"/>
        <v>Sat</v>
      </c>
      <c r="B53" s="118"/>
      <c r="C53" s="119"/>
      <c r="D53" s="120"/>
      <c r="E53" s="120"/>
      <c r="F53" s="120"/>
      <c r="G53" s="121"/>
      <c r="H53" s="120"/>
      <c r="I53" s="120"/>
      <c r="J53" s="122"/>
      <c r="K53" s="121"/>
      <c r="L53" s="120"/>
      <c r="M53" s="120"/>
      <c r="N53" s="119"/>
      <c r="O53" s="123"/>
      <c r="P53" s="123"/>
      <c r="Q53" s="124"/>
      <c r="R53" s="124"/>
      <c r="S53" s="124"/>
      <c r="T53" s="124"/>
      <c r="U53" s="124"/>
      <c r="V53" s="124"/>
      <c r="W53" s="124"/>
      <c r="X53" s="124"/>
      <c r="Y53" s="124">
        <f t="shared" si="13"/>
        <v>0</v>
      </c>
      <c r="Z53" s="124">
        <f t="shared" si="14"/>
        <v>0</v>
      </c>
      <c r="AA53" s="124">
        <f t="shared" si="9"/>
        <v>0</v>
      </c>
      <c r="AB53" s="124">
        <f t="shared" si="10"/>
        <v>0</v>
      </c>
      <c r="AC53" s="124">
        <f t="shared" si="11"/>
        <v>0</v>
      </c>
      <c r="AD53" s="124">
        <f t="shared" si="12"/>
        <v>0</v>
      </c>
    </row>
    <row r="54" spans="1:30" x14ac:dyDescent="0.15">
      <c r="A54" s="117" t="str">
        <f t="shared" si="0"/>
        <v>Sat</v>
      </c>
      <c r="B54" s="118"/>
      <c r="C54" s="125"/>
      <c r="D54" s="120"/>
      <c r="E54" s="120"/>
      <c r="F54" s="120"/>
      <c r="G54" s="121"/>
      <c r="H54" s="120"/>
      <c r="I54" s="120"/>
      <c r="J54" s="122"/>
      <c r="K54" s="121"/>
      <c r="L54" s="120"/>
      <c r="M54" s="120"/>
      <c r="N54" s="119"/>
      <c r="O54" s="123"/>
      <c r="P54" s="123"/>
      <c r="Q54" s="124"/>
      <c r="R54" s="124"/>
      <c r="S54" s="124"/>
      <c r="T54" s="124"/>
      <c r="U54" s="124"/>
      <c r="V54" s="124"/>
      <c r="W54" s="124"/>
      <c r="X54" s="124"/>
      <c r="Y54" s="124">
        <f t="shared" si="13"/>
        <v>0</v>
      </c>
      <c r="Z54" s="124">
        <f t="shared" si="14"/>
        <v>0</v>
      </c>
      <c r="AA54" s="124">
        <f t="shared" si="9"/>
        <v>0</v>
      </c>
      <c r="AB54" s="124">
        <f t="shared" si="10"/>
        <v>0</v>
      </c>
      <c r="AC54" s="124">
        <f t="shared" si="11"/>
        <v>0</v>
      </c>
      <c r="AD54" s="124">
        <f t="shared" si="12"/>
        <v>0</v>
      </c>
    </row>
    <row r="55" spans="1:30" x14ac:dyDescent="0.15">
      <c r="A55" s="117" t="str">
        <f t="shared" si="0"/>
        <v>Sat</v>
      </c>
      <c r="B55" s="118"/>
      <c r="C55" s="119"/>
      <c r="D55" s="120"/>
      <c r="E55" s="120"/>
      <c r="F55" s="120"/>
      <c r="G55" s="121"/>
      <c r="H55" s="120"/>
      <c r="I55" s="120"/>
      <c r="J55" s="122"/>
      <c r="K55" s="121"/>
      <c r="L55" s="120"/>
      <c r="M55" s="120"/>
      <c r="N55" s="119"/>
      <c r="O55" s="123"/>
      <c r="P55" s="123"/>
      <c r="Q55" s="124"/>
      <c r="R55" s="124"/>
      <c r="S55" s="124"/>
      <c r="T55" s="124"/>
      <c r="U55" s="124"/>
      <c r="V55" s="124"/>
      <c r="W55" s="124"/>
      <c r="X55" s="124"/>
      <c r="Y55" s="124">
        <f t="shared" si="13"/>
        <v>0</v>
      </c>
      <c r="Z55" s="124">
        <f t="shared" si="14"/>
        <v>0</v>
      </c>
      <c r="AA55" s="124">
        <f t="shared" si="9"/>
        <v>0</v>
      </c>
      <c r="AB55" s="124">
        <f t="shared" si="10"/>
        <v>0</v>
      </c>
      <c r="AC55" s="124">
        <f t="shared" si="11"/>
        <v>0</v>
      </c>
      <c r="AD55" s="124">
        <f t="shared" si="12"/>
        <v>0</v>
      </c>
    </row>
    <row r="56" spans="1:30" x14ac:dyDescent="0.15">
      <c r="A56" s="117" t="str">
        <f t="shared" si="0"/>
        <v>Sat</v>
      </c>
      <c r="B56" s="118"/>
      <c r="C56" s="119"/>
      <c r="D56" s="120"/>
      <c r="E56" s="120"/>
      <c r="F56" s="120"/>
      <c r="G56" s="121"/>
      <c r="H56" s="120"/>
      <c r="I56" s="120"/>
      <c r="J56" s="122"/>
      <c r="K56" s="121"/>
      <c r="L56" s="120"/>
      <c r="M56" s="120"/>
      <c r="N56" s="119"/>
      <c r="O56" s="123"/>
      <c r="P56" s="123"/>
      <c r="Q56" s="124"/>
      <c r="R56" s="124"/>
      <c r="S56" s="124"/>
      <c r="T56" s="124"/>
      <c r="U56" s="124"/>
      <c r="V56" s="124"/>
      <c r="W56" s="124"/>
      <c r="X56" s="124"/>
      <c r="Y56" s="124">
        <f t="shared" si="13"/>
        <v>0</v>
      </c>
      <c r="Z56" s="124">
        <f t="shared" si="14"/>
        <v>0</v>
      </c>
      <c r="AA56" s="124">
        <f t="shared" si="9"/>
        <v>0</v>
      </c>
      <c r="AB56" s="124">
        <f t="shared" si="10"/>
        <v>0</v>
      </c>
      <c r="AC56" s="124">
        <f t="shared" si="11"/>
        <v>0</v>
      </c>
      <c r="AD56" s="124">
        <f t="shared" si="12"/>
        <v>0</v>
      </c>
    </row>
    <row r="57" spans="1:30" x14ac:dyDescent="0.15">
      <c r="A57" s="117" t="str">
        <f t="shared" si="0"/>
        <v>Sat</v>
      </c>
      <c r="B57" s="118"/>
      <c r="C57" s="119"/>
      <c r="D57" s="120"/>
      <c r="E57" s="120"/>
      <c r="F57" s="120"/>
      <c r="G57" s="121"/>
      <c r="H57" s="120"/>
      <c r="I57" s="120"/>
      <c r="J57" s="122"/>
      <c r="K57" s="121"/>
      <c r="L57" s="120"/>
      <c r="M57" s="120"/>
      <c r="N57" s="119"/>
      <c r="O57" s="123"/>
      <c r="P57" s="123"/>
      <c r="Q57" s="124"/>
      <c r="R57" s="124"/>
      <c r="S57" s="124"/>
      <c r="T57" s="124"/>
      <c r="U57" s="124"/>
      <c r="V57" s="124"/>
      <c r="W57" s="124"/>
      <c r="X57" s="124"/>
      <c r="Y57" s="124">
        <f t="shared" si="13"/>
        <v>0</v>
      </c>
      <c r="Z57" s="124">
        <f t="shared" si="14"/>
        <v>0</v>
      </c>
      <c r="AA57" s="124">
        <f t="shared" si="9"/>
        <v>0</v>
      </c>
      <c r="AB57" s="124">
        <f t="shared" si="10"/>
        <v>0</v>
      </c>
      <c r="AC57" s="124">
        <f t="shared" si="11"/>
        <v>0</v>
      </c>
      <c r="AD57" s="124">
        <f t="shared" si="12"/>
        <v>0</v>
      </c>
    </row>
    <row r="58" spans="1:30" x14ac:dyDescent="0.15">
      <c r="A58" s="117" t="str">
        <f t="shared" si="0"/>
        <v>Sat</v>
      </c>
      <c r="B58" s="118"/>
      <c r="C58" s="119"/>
      <c r="D58" s="120"/>
      <c r="E58" s="120"/>
      <c r="F58" s="120"/>
      <c r="G58" s="121"/>
      <c r="H58" s="120"/>
      <c r="I58" s="120" t="s">
        <v>108</v>
      </c>
      <c r="J58" s="122"/>
      <c r="K58" s="121"/>
      <c r="L58" s="120"/>
      <c r="M58" s="120"/>
      <c r="N58" s="119"/>
      <c r="O58" s="123"/>
      <c r="P58" s="123"/>
      <c r="Q58" s="124"/>
      <c r="R58" s="124"/>
      <c r="S58" s="124"/>
      <c r="T58" s="124"/>
      <c r="U58" s="124"/>
      <c r="V58" s="124"/>
      <c r="W58" s="124"/>
      <c r="X58" s="124"/>
      <c r="Y58" s="124">
        <f t="shared" si="13"/>
        <v>0</v>
      </c>
      <c r="Z58" s="124">
        <f t="shared" si="14"/>
        <v>0</v>
      </c>
      <c r="AA58" s="124">
        <f t="shared" si="9"/>
        <v>0</v>
      </c>
      <c r="AB58" s="124">
        <f t="shared" si="10"/>
        <v>0</v>
      </c>
      <c r="AC58" s="124">
        <f t="shared" si="11"/>
        <v>0</v>
      </c>
      <c r="AD58" s="124">
        <f t="shared" si="12"/>
        <v>0</v>
      </c>
    </row>
    <row r="59" spans="1:30" x14ac:dyDescent="0.15">
      <c r="A59" s="117" t="str">
        <f t="shared" si="0"/>
        <v>Sat</v>
      </c>
      <c r="B59" s="118"/>
      <c r="C59" s="119"/>
      <c r="D59" s="120"/>
      <c r="E59" s="120"/>
      <c r="F59" s="120"/>
      <c r="G59" s="121"/>
      <c r="H59" s="120"/>
      <c r="I59" s="120" t="s">
        <v>108</v>
      </c>
      <c r="J59" s="122"/>
      <c r="K59" s="121"/>
      <c r="L59" s="120"/>
      <c r="M59" s="120"/>
      <c r="N59" s="119"/>
      <c r="O59" s="123"/>
      <c r="P59" s="123"/>
      <c r="Q59" s="124"/>
      <c r="R59" s="124"/>
      <c r="S59" s="124"/>
      <c r="T59" s="124"/>
      <c r="U59" s="124"/>
      <c r="V59" s="124"/>
      <c r="W59" s="124"/>
      <c r="X59" s="124"/>
      <c r="Y59" s="124">
        <f t="shared" si="13"/>
        <v>0</v>
      </c>
      <c r="Z59" s="124">
        <f t="shared" si="14"/>
        <v>0</v>
      </c>
      <c r="AA59" s="124">
        <f t="shared" si="9"/>
        <v>0</v>
      </c>
      <c r="AB59" s="124">
        <f t="shared" si="10"/>
        <v>0</v>
      </c>
      <c r="AC59" s="124">
        <f t="shared" si="11"/>
        <v>0</v>
      </c>
      <c r="AD59" s="124">
        <f t="shared" si="12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6"/>
      <c r="K61" s="33"/>
      <c r="L61" s="35"/>
      <c r="M61" s="35"/>
      <c r="N61" s="36" t="s">
        <v>156</v>
      </c>
      <c r="O61" s="36">
        <f>MAX(O5:O59)</f>
        <v>44.3</v>
      </c>
      <c r="P61" s="36">
        <f>MAX(P5:P59)</f>
        <v>47.2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6"/>
      <c r="K63" s="33"/>
      <c r="L63" s="35"/>
      <c r="M63" s="35"/>
      <c r="N63" s="36"/>
      <c r="O63" s="36">
        <f t="array" ref="O63">SUM(FLOOR(O5:O59,1))</f>
        <v>591</v>
      </c>
      <c r="P63" s="36">
        <f t="array" ref="P63">SUM(FLOOR(P5:P59,1))</f>
        <v>592</v>
      </c>
      <c r="Q63" s="37">
        <f>SUM(Q5:Q59)</f>
        <v>170</v>
      </c>
      <c r="R63" s="37">
        <f t="shared" ref="R63:Z63" si="15">SUM(R5:R59)</f>
        <v>44</v>
      </c>
      <c r="S63" s="37">
        <f t="shared" si="15"/>
        <v>88</v>
      </c>
      <c r="T63" s="37">
        <f t="shared" si="15"/>
        <v>40</v>
      </c>
      <c r="U63" s="37">
        <f t="shared" si="15"/>
        <v>209</v>
      </c>
      <c r="V63" s="37">
        <f t="shared" si="15"/>
        <v>53</v>
      </c>
      <c r="W63" s="37">
        <f t="shared" si="15"/>
        <v>83</v>
      </c>
      <c r="X63" s="37">
        <f t="shared" si="15"/>
        <v>30</v>
      </c>
      <c r="Y63" s="37">
        <f t="shared" si="15"/>
        <v>342</v>
      </c>
      <c r="Z63" s="37">
        <f t="shared" si="15"/>
        <v>375</v>
      </c>
      <c r="AA63" s="26">
        <f>SUM(AA5:AA59)</f>
        <v>2018</v>
      </c>
      <c r="AB63" s="26">
        <f>SUM(AB5:AB59)</f>
        <v>2630</v>
      </c>
      <c r="AC63" s="26">
        <f>SUM(AC5:AC59)</f>
        <v>142</v>
      </c>
      <c r="AD63" s="26">
        <f>SUM(AD5:AD59)</f>
        <v>122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6"/>
      <c r="K64" s="33"/>
      <c r="L64" s="35"/>
      <c r="M64" s="35"/>
      <c r="N64" s="36"/>
      <c r="O64" s="36">
        <f t="array" ref="O64">SUM(O5:O59-FLOOR(O5:O59,1))*10</f>
        <v>36</v>
      </c>
      <c r="P64" s="36">
        <f t="array" ref="P64">SUM(P5:P59-FLOOR(P5:P59,1))*10</f>
        <v>27.000000000000028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6"/>
      <c r="K65" s="33"/>
      <c r="L65" s="35"/>
      <c r="M65" s="35"/>
      <c r="N65" s="36" t="s">
        <v>155</v>
      </c>
      <c r="O65" s="36">
        <f>O63*6+O64</f>
        <v>3582</v>
      </c>
      <c r="P65" s="36">
        <f>P63*6+P64</f>
        <v>3579</v>
      </c>
      <c r="Q65" s="37"/>
      <c r="R65" s="37"/>
      <c r="S65" s="37">
        <f>MAX(S7:S59)</f>
        <v>14</v>
      </c>
      <c r="T65" s="37"/>
      <c r="U65" s="37"/>
      <c r="V65" s="37"/>
      <c r="W65" s="37">
        <f>MAX(W7:W59)</f>
        <v>15</v>
      </c>
      <c r="X65" s="37"/>
      <c r="Z65" s="26" t="s">
        <v>38</v>
      </c>
      <c r="AA65" s="26">
        <f>AA63/AC63</f>
        <v>14.211267605633802</v>
      </c>
      <c r="AB65" s="26">
        <f>AB63/AD63</f>
        <v>21.557377049180328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6"/>
      <c r="K66" s="33"/>
      <c r="L66" s="35"/>
      <c r="M66" s="35"/>
      <c r="N66" s="36" t="s">
        <v>206</v>
      </c>
      <c r="O66" s="36">
        <f>INT(O65/6)+(O65-INT(O65/6)*6)/10</f>
        <v>597</v>
      </c>
      <c r="P66" s="36">
        <f>INT(P65/6)+(P65-INT(P65/6)*6)/10</f>
        <v>596.29999999999995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6"/>
      <c r="K67" s="33"/>
      <c r="L67" s="35"/>
      <c r="M67" s="35"/>
      <c r="N67" s="36" t="s">
        <v>207</v>
      </c>
      <c r="O67" s="36">
        <f>AA63/O65*100</f>
        <v>56.337241764377445</v>
      </c>
      <c r="P67" s="36">
        <f>AB63/P65*100</f>
        <v>73.48421346744901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2"/>
  <sheetViews>
    <sheetView tabSelected="1" workbookViewId="0">
      <pane xSplit="3" ySplit="4" topLeftCell="T5" activePane="bottomRight" state="frozenSplit"/>
      <selection pane="topRight" activeCell="D1" sqref="D1"/>
      <selection pane="bottomLeft" activeCell="A4" sqref="A4"/>
      <selection pane="bottomRight" activeCell="C27" sqref="C27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2851562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39565</v>
      </c>
      <c r="E1" s="67">
        <v>39579</v>
      </c>
      <c r="F1" s="67">
        <v>39592</v>
      </c>
      <c r="G1" s="67">
        <v>39600</v>
      </c>
      <c r="H1" s="67">
        <v>39607</v>
      </c>
      <c r="I1" s="67">
        <v>39614</v>
      </c>
      <c r="J1" s="67">
        <v>39620</v>
      </c>
      <c r="K1" s="67">
        <v>39627</v>
      </c>
      <c r="L1" s="67">
        <v>39635</v>
      </c>
      <c r="M1" s="67">
        <v>39642</v>
      </c>
      <c r="N1" s="67">
        <v>39642</v>
      </c>
      <c r="O1" s="67">
        <v>39648</v>
      </c>
      <c r="P1" s="67">
        <v>39656</v>
      </c>
      <c r="Q1" s="67">
        <v>39663</v>
      </c>
      <c r="R1" s="67">
        <v>39670</v>
      </c>
      <c r="S1" s="67">
        <v>39676</v>
      </c>
      <c r="T1" s="67">
        <v>39684</v>
      </c>
      <c r="U1" s="67">
        <v>39691</v>
      </c>
      <c r="V1" s="67">
        <v>39712</v>
      </c>
      <c r="W1" s="67">
        <v>0</v>
      </c>
      <c r="X1" s="67">
        <v>0</v>
      </c>
      <c r="Y1" s="67">
        <v>0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John Fisher Lamgas</v>
      </c>
      <c r="E2" s="71" t="str">
        <v>Robinson Lakeside</v>
      </c>
      <c r="F2" s="71" t="str">
        <v>Churchleigh</v>
      </c>
      <c r="G2" s="71" t="str">
        <v>Beddington</v>
      </c>
      <c r="H2" s="71" t="str">
        <v>Vishwa</v>
      </c>
      <c r="I2" s="71" t="str">
        <v>Sanderstead</v>
      </c>
      <c r="J2" s="71" t="str">
        <v>Morden Corinthians</v>
      </c>
      <c r="K2" s="71" t="str">
        <v>Orpington</v>
      </c>
      <c r="L2" s="71" t="str">
        <v>Norwood Exiles</v>
      </c>
      <c r="M2" s="71" t="str">
        <v>Statics</v>
      </c>
      <c r="N2" s="71" t="str">
        <v>Old Josephians</v>
      </c>
      <c r="O2" s="71" t="str">
        <v>LESSA Wanderers</v>
      </c>
      <c r="P2" s="71" t="str">
        <v>Norwood</v>
      </c>
      <c r="Q2" s="71" t="str">
        <v>Morden Corinthians</v>
      </c>
      <c r="R2" s="71" t="str">
        <v>John Fisher Lamgas</v>
      </c>
      <c r="S2" s="71" t="str">
        <v>Kingstonian</v>
      </c>
      <c r="T2" s="71" t="str">
        <v>Norwood Exiles</v>
      </c>
      <c r="U2" s="71" t="str">
        <v>LESSA Wanderers</v>
      </c>
      <c r="V2" s="71" t="str">
        <v>Sanderstead</v>
      </c>
      <c r="W2" s="71">
        <v>0</v>
      </c>
      <c r="X2" s="71">
        <v>0</v>
      </c>
      <c r="Y2" s="71">
        <v>0</v>
      </c>
      <c r="Z2" s="71">
        <v>0</v>
      </c>
      <c r="AA2" s="71">
        <v>0</v>
      </c>
      <c r="AB2" s="71">
        <v>0</v>
      </c>
      <c r="AC2" s="71">
        <v>0</v>
      </c>
      <c r="AD2" s="71">
        <v>0</v>
      </c>
      <c r="AE2" s="71">
        <v>0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A</v>
      </c>
      <c r="E3" s="55" t="str">
        <v>H</v>
      </c>
      <c r="F3" s="55" t="str">
        <v>A</v>
      </c>
      <c r="G3" s="55" t="str">
        <v>A</v>
      </c>
      <c r="H3" s="55" t="str">
        <v>H</v>
      </c>
      <c r="I3" s="55" t="str">
        <v>A</v>
      </c>
      <c r="J3" s="55" t="str">
        <v>A</v>
      </c>
      <c r="K3" s="55" t="str">
        <v>H</v>
      </c>
      <c r="L3" s="55" t="str">
        <v>A</v>
      </c>
      <c r="M3" s="55" t="str">
        <v>H</v>
      </c>
      <c r="N3" s="55" t="str">
        <v>H</v>
      </c>
      <c r="O3" s="55" t="str">
        <v>A</v>
      </c>
      <c r="P3" s="55" t="str">
        <v>H</v>
      </c>
      <c r="Q3" s="55" t="str">
        <v>H</v>
      </c>
      <c r="R3" s="55" t="str">
        <v>H</v>
      </c>
      <c r="S3" s="55" t="str">
        <v>A</v>
      </c>
      <c r="T3" s="55" t="str">
        <v>H</v>
      </c>
      <c r="U3" s="55" t="str">
        <v>H</v>
      </c>
      <c r="V3" s="55" t="str">
        <v>A</v>
      </c>
      <c r="W3" s="55">
        <v>0</v>
      </c>
      <c r="X3" s="55">
        <v>0</v>
      </c>
      <c r="Y3" s="55">
        <v>0</v>
      </c>
      <c r="Z3" s="55">
        <v>0</v>
      </c>
      <c r="AA3" s="55">
        <v>0</v>
      </c>
      <c r="AB3" s="55">
        <v>0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ND</v>
      </c>
      <c r="E4" s="55" t="str">
        <v>L</v>
      </c>
      <c r="F4" s="55" t="str">
        <v>L</v>
      </c>
      <c r="G4" s="55" t="str">
        <v>L</v>
      </c>
      <c r="H4" s="55" t="str">
        <v>D</v>
      </c>
      <c r="I4" s="55" t="str">
        <v>L</v>
      </c>
      <c r="J4" s="55" t="str">
        <v>L</v>
      </c>
      <c r="K4" s="55" t="str">
        <v>W</v>
      </c>
      <c r="L4" s="55" t="str">
        <v>L</v>
      </c>
      <c r="M4" s="55" t="str">
        <v>W</v>
      </c>
      <c r="N4" s="55" t="str">
        <v>W</v>
      </c>
      <c r="O4" s="55" t="str">
        <v>L</v>
      </c>
      <c r="P4" s="55" t="str">
        <v>D</v>
      </c>
      <c r="Q4" s="55" t="str">
        <v>D</v>
      </c>
      <c r="R4" s="55" t="str">
        <v>D</v>
      </c>
      <c r="S4" s="55" t="str">
        <v>W</v>
      </c>
      <c r="T4" s="55" t="str">
        <v>L</v>
      </c>
      <c r="U4" s="55" t="str">
        <v>W</v>
      </c>
      <c r="V4" s="55" t="str">
        <v>L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126</v>
      </c>
      <c r="CJ4" s="50" t="s">
        <v>142</v>
      </c>
      <c r="CK4" s="50" t="s">
        <v>9</v>
      </c>
      <c r="CL4" s="47" t="s">
        <v>38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215</v>
      </c>
      <c r="CX4" s="50"/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127</v>
      </c>
      <c r="DD4" s="70" t="s">
        <v>128</v>
      </c>
      <c r="DE4" s="70" t="s">
        <v>140</v>
      </c>
      <c r="DF4" s="70" t="s">
        <v>139</v>
      </c>
      <c r="DG4" s="70" t="s">
        <v>146</v>
      </c>
      <c r="DH4" s="70" t="s">
        <v>161</v>
      </c>
      <c r="DI4" s="70" t="s">
        <v>163</v>
      </c>
    </row>
    <row r="5" spans="1:113" x14ac:dyDescent="0.15">
      <c r="A5" s="70" t="s">
        <v>61</v>
      </c>
      <c r="B5" s="70" t="s">
        <v>26</v>
      </c>
      <c r="C5" s="70" t="s">
        <v>147</v>
      </c>
      <c r="V5" t="s">
        <v>421</v>
      </c>
      <c r="CE5" s="70">
        <f>BatSplit(D5:CD5,MatchesPlayed)</f>
        <v>1</v>
      </c>
      <c r="CF5" s="70">
        <f>CE5-CG5</f>
        <v>0</v>
      </c>
      <c r="CG5" s="70">
        <f>BatSplit(D5:CD5,InnsBattedIn)</f>
        <v>1</v>
      </c>
      <c r="CH5" s="70">
        <f>BatSplit(D5:CD5,NotOuts)</f>
        <v>1</v>
      </c>
      <c r="CI5" s="70">
        <f>BatSplit(D5:CD5,HighestScore)</f>
        <v>-1</v>
      </c>
      <c r="CJ5" s="74" t="str">
        <f t="shared" ref="CJ5:CJ38" si="0">IF(CI5&lt;0,-CI5&amp;"*",CI5)</f>
        <v>1*</v>
      </c>
      <c r="CK5" s="70">
        <f>BatSplit(D5:CD5,RunsScored)</f>
        <v>1</v>
      </c>
      <c r="CL5" s="72">
        <f>IF(CG5=CH5,0,CK5/(CG5-CH5))</f>
        <v>0</v>
      </c>
      <c r="CM5" s="70">
        <f>BatSplit(D5:CD5,BatPts)</f>
        <v>1</v>
      </c>
      <c r="CN5" s="70">
        <f>BatSplit(D5:CD5,FldPts)</f>
        <v>0</v>
      </c>
      <c r="CO5" s="73">
        <f t="array" ref="CO5">SUM(IF(ISERR(FIND("*",D5:CD5)),0,1))</f>
        <v>0</v>
      </c>
      <c r="CP5" s="73">
        <f t="array" ref="CP5">SUM(IF(ISERR(FIND("+",D5:CD5)),0,1))</f>
        <v>0</v>
      </c>
      <c r="CQ5" s="70">
        <f>BatSplit(D5:CD5,Ducks)</f>
        <v>0</v>
      </c>
      <c r="CR5" s="73">
        <f t="array" ref="CR5">SUM(IF(ISERR(FIND(CR$4,$D5:$CD5)),0,1))</f>
        <v>0</v>
      </c>
      <c r="CS5" s="73">
        <f t="array" ref="CS5">SUM(IF(ISERR(FIND(CS$4,$D5:$CD5)),0,1))</f>
        <v>0</v>
      </c>
      <c r="CT5" s="73">
        <f t="array" ref="CT5">SUM(IF(ISERR(FIND(CT$4,$D5:$CD5)),0,1))</f>
        <v>0</v>
      </c>
      <c r="CU5" s="73">
        <f t="array" ref="CU5">SUM(IF(ISERR(FIND(CU$4,$D5:$CD5)),0,1))</f>
        <v>0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/>
      <c r="CY5" s="73">
        <f>BatSplit(D5:CD5,Catches)</f>
        <v>0</v>
      </c>
      <c r="CZ5" s="73">
        <f>BatSplit(D5:CD5,Fours)</f>
        <v>0</v>
      </c>
      <c r="DA5" s="73">
        <f>BatSplit(D5:CD5,Sixes)</f>
        <v>0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101.01005000000001</v>
      </c>
      <c r="DF5" s="70">
        <f t="shared" ref="DF5:DF38" si="1">RANK(DE5,$DE$5:$DE$38)</f>
        <v>33</v>
      </c>
      <c r="DG5" s="70">
        <v>0</v>
      </c>
      <c r="DH5" s="92" t="str">
        <f>IF(CK5&gt;=50,(CZ5*4+DA5*6+DG5*5)/CK5,"")</f>
        <v/>
      </c>
      <c r="DI5" s="100" t="e">
        <f>CQ5/(CG5-CH5)</f>
        <v>#DIV/0!</v>
      </c>
    </row>
    <row r="6" spans="1:113" x14ac:dyDescent="0.15">
      <c r="B6" s="70" t="s">
        <v>238</v>
      </c>
      <c r="C6" s="70" t="s">
        <v>239</v>
      </c>
      <c r="D6" t="s">
        <v>246</v>
      </c>
      <c r="E6" t="s">
        <v>330</v>
      </c>
      <c r="F6" t="s">
        <v>338</v>
      </c>
      <c r="G6" t="s">
        <v>353</v>
      </c>
      <c r="H6" t="s">
        <v>244</v>
      </c>
      <c r="I6" t="s">
        <v>391</v>
      </c>
      <c r="J6" t="s">
        <v>405</v>
      </c>
      <c r="CE6" s="70">
        <f>BatSplit(D6:CD6,MatchesPlayed)</f>
        <v>7</v>
      </c>
      <c r="CF6" s="70">
        <f>CE6-CG6</f>
        <v>2</v>
      </c>
      <c r="CG6" s="70">
        <f>BatSplit(D6:CD6,InnsBattedIn)</f>
        <v>5</v>
      </c>
      <c r="CH6" s="70">
        <f>BatSplit(D6:CD6,NotOuts)</f>
        <v>1</v>
      </c>
      <c r="CI6" s="70">
        <f>BatSplit(D6:CD6,HighestScore)</f>
        <v>13</v>
      </c>
      <c r="CJ6" s="74">
        <f t="shared" si="0"/>
        <v>13</v>
      </c>
      <c r="CK6" s="70">
        <f>BatSplit(D6:CD6,RunsScored)</f>
        <v>30</v>
      </c>
      <c r="CL6" s="72">
        <f>IF(CG6=CH6,0,CK6/(CG6-CH6))</f>
        <v>7.5</v>
      </c>
      <c r="CM6" s="70">
        <f>BatSplit(D6:CD6,BatPts)</f>
        <v>30</v>
      </c>
      <c r="CN6" s="70">
        <f>BatSplit(D6:CD6,FldPts)</f>
        <v>0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>BatSplit(D6:CD6,Ducks)</f>
        <v>0</v>
      </c>
      <c r="CR6" s="73">
        <f t="array" ref="CR6">SUM(IF(ISERR(FIND(CR$4,$D6:$CD6)),0,1))</f>
        <v>3</v>
      </c>
      <c r="CS6" s="73">
        <f t="array" ref="CS6">SUM(IF(ISERR(FIND(CS$4,$D6:$CD6)),0,1))</f>
        <v>1</v>
      </c>
      <c r="CT6" s="73">
        <f t="array" ref="CT6">SUM(IF(ISERR(FIND(CT$4,$D6:$CD6)),0,1))</f>
        <v>0</v>
      </c>
      <c r="CU6" s="73">
        <f t="array" ref="CU6">SUM(IF(ISERR(FIND(CU$4,$D6:$CD6)),0,1))</f>
        <v>0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/>
      <c r="CY6" s="73">
        <f>BatSplit(D6:CD6,Catches)</f>
        <v>0</v>
      </c>
      <c r="CZ6" s="73">
        <f>BatSplit(D6:CD6,Fours)</f>
        <v>2</v>
      </c>
      <c r="DA6" s="73">
        <f>BatSplit(D6:CD6,Sixes)</f>
        <v>0</v>
      </c>
      <c r="DB6" s="73">
        <f>BatSplit(D6:CD6,Stumpings)</f>
        <v>0</v>
      </c>
      <c r="DC6" s="73">
        <f>BatSplit(D6:CD6,CaughtWkt)</f>
        <v>0</v>
      </c>
      <c r="DD6" s="73">
        <f>BatSplit(D6:CD6,TwentyFives)</f>
        <v>0</v>
      </c>
      <c r="DE6" s="70">
        <f>ROUND(IF(ISERROR(CL6),0,CL6),2)*100000+CG6*100+CE6+CK6/100+ROW()/100000</f>
        <v>750507.30006000004</v>
      </c>
      <c r="DF6" s="70">
        <f t="shared" si="1"/>
        <v>21</v>
      </c>
      <c r="DG6" s="70">
        <v>0</v>
      </c>
      <c r="DH6" s="92" t="str">
        <f>IF(CK6&gt;=50,(CZ6*4+DA6*6+DG6*5)/CK6,"")</f>
        <v/>
      </c>
      <c r="DI6" s="100">
        <f>CQ6/(CG6-CH6)</f>
        <v>0</v>
      </c>
    </row>
    <row r="7" spans="1:113" x14ac:dyDescent="0.15">
      <c r="C7" s="133" t="s">
        <v>382</v>
      </c>
      <c r="D7"/>
      <c r="E7"/>
      <c r="F7"/>
      <c r="G7"/>
      <c r="H7"/>
      <c r="I7" t="s">
        <v>387</v>
      </c>
      <c r="O7" t="s">
        <v>472</v>
      </c>
      <c r="CE7" s="70">
        <f>BatSplit(D7:CD7,MatchesPlayed)</f>
        <v>2</v>
      </c>
      <c r="CF7" s="70">
        <f>CE7-CG7</f>
        <v>0</v>
      </c>
      <c r="CG7" s="70">
        <f>BatSplit(D7:CD7,InnsBattedIn)</f>
        <v>2</v>
      </c>
      <c r="CH7" s="70">
        <f>BatSplit(D7:CD7,NotOuts)</f>
        <v>0</v>
      </c>
      <c r="CI7" s="70">
        <f>BatSplit(D7:CD7,HighestScore)</f>
        <v>15</v>
      </c>
      <c r="CJ7" s="74">
        <f t="shared" ref="CJ7" si="2">IF(CI7&lt;0,-CI7&amp;"*",CI7)</f>
        <v>15</v>
      </c>
      <c r="CK7" s="70">
        <f>BatSplit(D7:CD7,RunsScored)</f>
        <v>18</v>
      </c>
      <c r="CL7" s="72">
        <f>IF(CG7=CH7,0,CK7/(CG7-CH7))</f>
        <v>9</v>
      </c>
      <c r="CM7" s="70">
        <f>BatSplit(D7:CD7,BatPts)</f>
        <v>18</v>
      </c>
      <c r="CN7" s="70">
        <f>BatSplit(D7:CD7,FldPts)</f>
        <v>0</v>
      </c>
      <c r="CO7" s="73">
        <f t="array" ref="CO7">SUM(IF(ISERR(FIND("*",D7:CD7)),0,1))</f>
        <v>0</v>
      </c>
      <c r="CP7" s="73">
        <f t="array" ref="CP7">SUM(IF(ISERR(FIND("+",D7:CD7)),0,1))</f>
        <v>0</v>
      </c>
      <c r="CQ7" s="70">
        <f>BatSplit(D7:CD7,Ducks)</f>
        <v>0</v>
      </c>
      <c r="CR7" s="73">
        <f t="array" ref="CR7">SUM(IF(ISERR(FIND(CR$4,$D7:$CD7)),0,1))</f>
        <v>0</v>
      </c>
      <c r="CS7" s="73">
        <f t="array" ref="CS7">SUM(IF(ISERR(FIND(CS$4,$D7:$CD7)),0,1))</f>
        <v>2</v>
      </c>
      <c r="CT7" s="73">
        <f t="array" ref="CT7">SUM(IF(ISERR(FIND(CT$4,$D7:$CD7)),0,1))</f>
        <v>0</v>
      </c>
      <c r="CU7" s="73">
        <f t="array" ref="CU7">SUM(IF(ISERR(FIND(CU$4,$D7:$CD7)),0,1))</f>
        <v>0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/>
      <c r="CY7" s="73">
        <f>BatSplit(D7:CD7,Catches)</f>
        <v>0</v>
      </c>
      <c r="CZ7" s="73">
        <f>BatSplit(D7:CD7,Fours)</f>
        <v>2</v>
      </c>
      <c r="DA7" s="73">
        <f>BatSplit(D7:CD7,Sixes)</f>
        <v>0</v>
      </c>
      <c r="DB7" s="73">
        <f>BatSplit(D7:CD7,Stumpings)</f>
        <v>0</v>
      </c>
      <c r="DC7" s="73">
        <f>BatSplit(D7:CD7,CaughtWkt)</f>
        <v>0</v>
      </c>
      <c r="DD7" s="73">
        <f>BatSplit(D7:CD7,TwentyFives)</f>
        <v>0</v>
      </c>
      <c r="DE7" s="70">
        <f>ROUND(IF(ISERROR(CL7),0,CL7),2)*100000+CG7*100+CE7+CK7/100+ROW()/100000</f>
        <v>900202.18007</v>
      </c>
      <c r="DF7" s="70">
        <f t="shared" si="1"/>
        <v>17</v>
      </c>
      <c r="DG7" s="70">
        <v>0</v>
      </c>
      <c r="DH7" s="92" t="str">
        <f>IF(CK7&gt;=50,(CZ7*4+DA7*6+DG7*5)/CK7,"")</f>
        <v/>
      </c>
      <c r="DI7" s="100">
        <f>CQ7/(CG7-CH7)</f>
        <v>0</v>
      </c>
    </row>
    <row r="8" spans="1:113" x14ac:dyDescent="0.15">
      <c r="A8" s="70" t="s">
        <v>99</v>
      </c>
      <c r="B8" s="70" t="s">
        <v>33</v>
      </c>
      <c r="C8" s="70" t="s">
        <v>148</v>
      </c>
      <c r="D8" t="s">
        <v>240</v>
      </c>
      <c r="E8" t="s">
        <v>328</v>
      </c>
      <c r="F8" t="s">
        <v>341</v>
      </c>
      <c r="G8" t="s">
        <v>347</v>
      </c>
      <c r="H8" t="s">
        <v>372</v>
      </c>
      <c r="I8" t="s">
        <v>392</v>
      </c>
      <c r="L8" s="133" t="s">
        <v>434</v>
      </c>
      <c r="M8" s="133" t="s">
        <v>265</v>
      </c>
      <c r="N8" s="133" t="s">
        <v>237</v>
      </c>
      <c r="O8" s="133" t="s">
        <v>479</v>
      </c>
      <c r="P8" s="133" t="s">
        <v>237</v>
      </c>
      <c r="Q8" s="133" t="s">
        <v>237</v>
      </c>
      <c r="R8" t="s">
        <v>372</v>
      </c>
      <c r="S8" t="s">
        <v>534</v>
      </c>
      <c r="U8" s="133" t="s">
        <v>237</v>
      </c>
      <c r="V8" s="133" t="s">
        <v>568</v>
      </c>
      <c r="CE8" s="70">
        <f>BatSplit(D8:CD8,MatchesPlayed)</f>
        <v>16</v>
      </c>
      <c r="CF8" s="70">
        <f>CE8-CG8</f>
        <v>9</v>
      </c>
      <c r="CG8" s="70">
        <f>BatSplit(D8:CD8,InnsBattedIn)</f>
        <v>7</v>
      </c>
      <c r="CH8" s="70">
        <f>BatSplit(D8:CD8,NotOuts)</f>
        <v>0</v>
      </c>
      <c r="CI8" s="70">
        <f>BatSplit(D8:CD8,HighestScore)</f>
        <v>20</v>
      </c>
      <c r="CJ8" s="74">
        <f t="shared" si="0"/>
        <v>20</v>
      </c>
      <c r="CK8" s="70">
        <f>BatSplit(D8:CD8,RunsScored)</f>
        <v>39</v>
      </c>
      <c r="CL8" s="72">
        <f>IF(CG8=CH8,0,CK8/(CG8-CH8))</f>
        <v>5.5714285714285712</v>
      </c>
      <c r="CM8" s="70">
        <f>BatSplit(D8:CD8,BatPts)</f>
        <v>39</v>
      </c>
      <c r="CN8" s="70">
        <f>BatSplit(D8:CD8,FldPts)</f>
        <v>25</v>
      </c>
      <c r="CO8" s="73">
        <f t="array" ref="CO8">SUM(IF(ISERR(FIND("*",D8:CD8)),0,1))</f>
        <v>15</v>
      </c>
      <c r="CP8" s="73">
        <f t="array" ref="CP8">SUM(IF(ISERR(FIND("+",D8:CD8)),0,1))</f>
        <v>0</v>
      </c>
      <c r="CQ8" s="70">
        <f>BatSplit(D8:CD8,Ducks)</f>
        <v>0</v>
      </c>
      <c r="CR8" s="73">
        <f t="array" ref="CR8">SUM(IF(ISERR(FIND(CR$4,$D8:$CD8)),0,1))</f>
        <v>3</v>
      </c>
      <c r="CS8" s="73">
        <f t="array" ref="CS8">SUM(IF(ISERR(FIND(CS$4,$D8:$CD8)),0,1))</f>
        <v>4</v>
      </c>
      <c r="CT8" s="73">
        <f t="array" ref="CT8">SUM(IF(ISERR(FIND(CT$4,$D8:$CD8)),0,1))</f>
        <v>0</v>
      </c>
      <c r="CU8" s="73">
        <f t="array" ref="CU8">SUM(IF(ISERR(FIND(CU$4,$D8:$CD8)),0,1))</f>
        <v>0</v>
      </c>
      <c r="CV8" s="73">
        <f t="array" ref="CV8">SUM(IF(ISERR(FIND(CV$4,$D8:$CD8)),0,1))</f>
        <v>0</v>
      </c>
      <c r="CW8" s="73">
        <f t="array" ref="CW8">SUM(IF(ISERR(FIND(CW$4,$D8:$CD8)),0,1))</f>
        <v>0</v>
      </c>
      <c r="CX8" s="73"/>
      <c r="CY8" s="73">
        <f>BatSplit(D8:CD8,Catches)</f>
        <v>5</v>
      </c>
      <c r="CZ8" s="73">
        <f>BatSplit(D8:CD8,Fours)</f>
        <v>6</v>
      </c>
      <c r="DA8" s="73">
        <f>BatSplit(D8:CD8,Sixes)</f>
        <v>0</v>
      </c>
      <c r="DB8" s="73">
        <f>BatSplit(D8:CD8,Stumpings)</f>
        <v>0</v>
      </c>
      <c r="DC8" s="73">
        <f>BatSplit(D8:CD8,CaughtWkt)</f>
        <v>0</v>
      </c>
      <c r="DD8" s="73">
        <f>BatSplit(D8:CD8,TwentyFives)</f>
        <v>0</v>
      </c>
      <c r="DE8" s="70">
        <f>ROUND(IF(ISERROR(CL8),0,CL8),2)*100000+CG8*100+CE8+CK8/100+ROW()/100000</f>
        <v>557716.39008000004</v>
      </c>
      <c r="DF8" s="70">
        <f t="shared" si="1"/>
        <v>27</v>
      </c>
      <c r="DG8" s="70">
        <v>0</v>
      </c>
      <c r="DH8" s="92" t="str">
        <f>IF(CK8&gt;=50,(CZ8*4+DA8*6+DG8*5)/CK8,"")</f>
        <v/>
      </c>
      <c r="DI8" s="100">
        <f>CQ8/(CG8-CH8)</f>
        <v>0</v>
      </c>
    </row>
    <row r="9" spans="1:113" x14ac:dyDescent="0.15">
      <c r="B9" s="133" t="s">
        <v>417</v>
      </c>
      <c r="C9" s="133" t="s">
        <v>418</v>
      </c>
      <c r="D9"/>
      <c r="E9"/>
      <c r="F9"/>
      <c r="G9"/>
      <c r="H9"/>
      <c r="I9"/>
      <c r="K9" t="s">
        <v>419</v>
      </c>
      <c r="L9" t="s">
        <v>432</v>
      </c>
      <c r="N9" s="133"/>
      <c r="O9" t="s">
        <v>475</v>
      </c>
      <c r="P9" t="s">
        <v>492</v>
      </c>
      <c r="Q9" t="s">
        <v>504</v>
      </c>
      <c r="R9" t="s">
        <v>521</v>
      </c>
      <c r="U9" s="133" t="s">
        <v>243</v>
      </c>
      <c r="V9"/>
      <c r="CE9" s="70">
        <f>BatSplit(D9:CD9,MatchesPlayed)</f>
        <v>7</v>
      </c>
      <c r="CF9" s="70">
        <f>CE9-CG9</f>
        <v>1</v>
      </c>
      <c r="CG9" s="70">
        <f>BatSplit(D9:CD9,InnsBattedIn)</f>
        <v>6</v>
      </c>
      <c r="CH9" s="70">
        <f>BatSplit(D9:CD9,NotOuts)</f>
        <v>0</v>
      </c>
      <c r="CI9" s="70">
        <f>BatSplit(D9:CD9,HighestScore)</f>
        <v>35</v>
      </c>
      <c r="CJ9" s="74">
        <f t="shared" ref="CJ9" si="3">IF(CI9&lt;0,-CI9&amp;"*",CI9)</f>
        <v>35</v>
      </c>
      <c r="CK9" s="70">
        <f>BatSplit(D9:CD9,RunsScored)</f>
        <v>73</v>
      </c>
      <c r="CL9" s="72">
        <f>IF(CG9=CH9,0,CK9/(CG9-CH9))</f>
        <v>12.166666666666666</v>
      </c>
      <c r="CM9" s="70">
        <f>BatSplit(D9:CD9,BatPts)</f>
        <v>68</v>
      </c>
      <c r="CN9" s="70">
        <f>BatSplit(D9:CD9,FldPts)</f>
        <v>10</v>
      </c>
      <c r="CO9" s="73">
        <f t="array" ref="CO9">SUM(IF(ISERR(FIND("*",D9:CD9)),0,1))</f>
        <v>0</v>
      </c>
      <c r="CP9" s="73">
        <f t="array" ref="CP9">SUM(IF(ISERR(FIND("+",D9:CD9)),0,1))</f>
        <v>0</v>
      </c>
      <c r="CQ9" s="70">
        <f>BatSplit(D9:CD9,Ducks)</f>
        <v>1</v>
      </c>
      <c r="CR9" s="73">
        <f t="array" ref="CR9">SUM(IF(ISERR(FIND(CR$4,$D9:$CD9)),0,1))</f>
        <v>3</v>
      </c>
      <c r="CS9" s="73">
        <f t="array" ref="CS9">SUM(IF(ISERR(FIND(CS$4,$D9:$CD9)),0,1))</f>
        <v>3</v>
      </c>
      <c r="CT9" s="73">
        <f t="array" ref="CT9">SUM(IF(ISERR(FIND(CT$4,$D9:$CD9)),0,1))</f>
        <v>0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/>
      <c r="CY9" s="73">
        <f>BatSplit(D9:CD9,Catches)</f>
        <v>2</v>
      </c>
      <c r="CZ9" s="73">
        <f>BatSplit(D9:CD9,Fours)</f>
        <v>8</v>
      </c>
      <c r="DA9" s="73">
        <f>BatSplit(D9:CD9,Sixes)</f>
        <v>1</v>
      </c>
      <c r="DB9" s="73">
        <f>BatSplit(D9:CD9,Stumpings)</f>
        <v>0</v>
      </c>
      <c r="DC9" s="73">
        <f>BatSplit(D9:CD9,CaughtWkt)</f>
        <v>0</v>
      </c>
      <c r="DD9" s="73">
        <f>BatSplit(D9:CD9,TwentyFives)</f>
        <v>1</v>
      </c>
      <c r="DE9" s="70">
        <f>ROUND(IF(ISERROR(CL9),0,CL9),2)*100000+CG9*100+CE9+CK9/100+ROW()/100000</f>
        <v>1217607.73009</v>
      </c>
      <c r="DF9" s="70">
        <f t="shared" si="1"/>
        <v>9</v>
      </c>
      <c r="DG9" s="70">
        <v>0</v>
      </c>
      <c r="DH9" s="92">
        <f>IF(CK9&gt;=50,(CZ9*4+DA9*6+DG9*5)/CK9,"")</f>
        <v>0.52054794520547942</v>
      </c>
      <c r="DI9" s="100">
        <f>CQ9/(CG9-CH9)</f>
        <v>0.16666666666666666</v>
      </c>
    </row>
    <row r="10" spans="1:113" x14ac:dyDescent="0.15">
      <c r="A10" s="70" t="s">
        <v>131</v>
      </c>
      <c r="B10" s="70" t="s">
        <v>179</v>
      </c>
      <c r="C10" s="70" t="s">
        <v>149</v>
      </c>
      <c r="D10" s="133" t="s">
        <v>313</v>
      </c>
      <c r="E10" s="133" t="s">
        <v>321</v>
      </c>
      <c r="G10" s="133" t="s">
        <v>331</v>
      </c>
      <c r="H10" s="133" t="s">
        <v>365</v>
      </c>
      <c r="K10" t="s">
        <v>410</v>
      </c>
      <c r="M10"/>
      <c r="P10" s="133"/>
      <c r="Q10" t="s">
        <v>502</v>
      </c>
      <c r="R10" t="s">
        <v>518</v>
      </c>
      <c r="S10"/>
      <c r="T10"/>
      <c r="V10" s="133"/>
      <c r="CE10" s="70">
        <f t="shared" ref="CE10:CE34" si="4">BatSplit(D10:CD10,MatchesPlayed)</f>
        <v>7</v>
      </c>
      <c r="CF10" s="70">
        <f t="shared" ref="CF10:CF34" si="5">CE10-CG10</f>
        <v>0</v>
      </c>
      <c r="CG10" s="70">
        <f t="shared" ref="CG10:CG34" si="6">BatSplit(D10:CD10,InnsBattedIn)</f>
        <v>7</v>
      </c>
      <c r="CH10" s="70">
        <f t="shared" ref="CH10:CH34" si="7">BatSplit(D10:CD10,NotOuts)</f>
        <v>1</v>
      </c>
      <c r="CI10" s="70">
        <f t="shared" ref="CI10:CI34" si="8">BatSplit(D10:CD10,HighestScore)</f>
        <v>25</v>
      </c>
      <c r="CJ10" s="74">
        <f t="shared" si="0"/>
        <v>25</v>
      </c>
      <c r="CK10" s="70">
        <f t="shared" ref="CK10:CK34" si="9">BatSplit(D10:CD10,RunsScored)</f>
        <v>34</v>
      </c>
      <c r="CL10" s="72">
        <f t="shared" ref="CL10:CL34" si="10">IF(CG10=CH10,0,CK10/(CG10-CH10))</f>
        <v>5.666666666666667</v>
      </c>
      <c r="CM10" s="70">
        <f t="shared" ref="CM10:CM34" si="11">BatSplit(D10:CD10,BatPts)</f>
        <v>29</v>
      </c>
      <c r="CN10" s="70">
        <f t="shared" ref="CN10:CN34" si="12">BatSplit(D10:CD10,FldPts)</f>
        <v>10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ref="CQ10:CQ34" si="13">BatSplit(D10:CD10,Ducks)</f>
        <v>1</v>
      </c>
      <c r="CR10" s="73">
        <f t="array" ref="CR10">SUM(IF(ISERR(FIND(CR$4,$D10:$CD10)),0,1))</f>
        <v>1</v>
      </c>
      <c r="CS10" s="73">
        <f t="array" ref="CS10">SUM(IF(ISERR(FIND(CS$4,$D10:$CD10)),0,1))</f>
        <v>3</v>
      </c>
      <c r="CT10" s="73">
        <f t="array" ref="CT10">SUM(IF(ISERR(FIND(CT$4,$D10:$CD10)),0,1))</f>
        <v>2</v>
      </c>
      <c r="CU10" s="73">
        <f t="array" ref="CU10">SUM(IF(ISERR(FIND(CU$4,$D10:$CD10)),0,1))</f>
        <v>0</v>
      </c>
      <c r="CV10" s="73">
        <f t="array" ref="CV10">SUM(IF(ISERR(FIND(CV$4,$D10:$CD10)),0,1))</f>
        <v>0</v>
      </c>
      <c r="CW10" s="73">
        <f t="array" ref="CW10">SUM(IF(ISERR(FIND(CW$4,$D10:$CD10)),0,1))</f>
        <v>0</v>
      </c>
      <c r="CX10" s="73"/>
      <c r="CY10" s="73">
        <f t="shared" ref="CY10:CY34" si="14">BatSplit(D10:CD10,Catches)</f>
        <v>2</v>
      </c>
      <c r="CZ10" s="73">
        <f t="shared" ref="CZ10:CZ34" si="15">BatSplit(D10:CD10,Fours)</f>
        <v>3</v>
      </c>
      <c r="DA10" s="73">
        <f t="shared" ref="DA10:DA34" si="16">BatSplit(D10:CD10,Sixes)</f>
        <v>0</v>
      </c>
      <c r="DB10" s="73">
        <f t="shared" ref="DB10:DB34" si="17">BatSplit(D10:CD10,Stumpings)</f>
        <v>0</v>
      </c>
      <c r="DC10" s="73">
        <f t="shared" ref="DC10:DC34" si="18">BatSplit(D10:CD10,CaughtWkt)</f>
        <v>0</v>
      </c>
      <c r="DD10" s="73">
        <f t="shared" ref="DD10:DD34" si="19">BatSplit(D10:CD10,TwentyFives)</f>
        <v>1</v>
      </c>
      <c r="DE10" s="70">
        <f t="shared" ref="DE10:DE34" si="20">ROUND(IF(ISERROR(CL10),0,CL10),2)*100000+CG10*100+CE10+CK10/100+ROW()/100000</f>
        <v>567707.34009999991</v>
      </c>
      <c r="DF10" s="70">
        <f t="shared" si="1"/>
        <v>26</v>
      </c>
      <c r="DG10" s="70">
        <v>0</v>
      </c>
      <c r="DH10" s="92" t="str">
        <f t="shared" ref="DH10:DH34" si="21">IF(CK10&gt;=50,(CZ10*4+DA10*6+DG10*5)/CK10,"")</f>
        <v/>
      </c>
      <c r="DI10" s="100">
        <f t="shared" ref="DI10:DI34" si="22">CQ10/(CG10-CH10)</f>
        <v>0.16666666666666666</v>
      </c>
    </row>
    <row r="11" spans="1:113" x14ac:dyDescent="0.15">
      <c r="A11" s="70" t="s">
        <v>43</v>
      </c>
      <c r="B11" s="70" t="s">
        <v>28</v>
      </c>
      <c r="C11" s="70" t="s">
        <v>44</v>
      </c>
      <c r="D11" s="133" t="s">
        <v>244</v>
      </c>
      <c r="E11" s="133" t="s">
        <v>329</v>
      </c>
      <c r="F11" s="133" t="s">
        <v>340</v>
      </c>
      <c r="G11" s="133" t="s">
        <v>352</v>
      </c>
      <c r="H11" s="133" t="s">
        <v>343</v>
      </c>
      <c r="I11" s="133" t="s">
        <v>268</v>
      </c>
      <c r="J11" s="62" t="s">
        <v>407</v>
      </c>
      <c r="K11" s="133" t="s">
        <v>415</v>
      </c>
      <c r="L11" s="133" t="s">
        <v>369</v>
      </c>
      <c r="M11" s="133" t="s">
        <v>244</v>
      </c>
      <c r="N11" s="133" t="s">
        <v>244</v>
      </c>
      <c r="O11" s="133" t="s">
        <v>478</v>
      </c>
      <c r="P11" s="133" t="s">
        <v>245</v>
      </c>
      <c r="Q11" s="133" t="s">
        <v>509</v>
      </c>
      <c r="R11" s="133" t="s">
        <v>245</v>
      </c>
      <c r="S11" s="133" t="s">
        <v>243</v>
      </c>
      <c r="T11" s="133" t="s">
        <v>541</v>
      </c>
      <c r="U11" s="133"/>
      <c r="V11" s="133"/>
      <c r="CE11" s="70">
        <f t="shared" si="4"/>
        <v>17</v>
      </c>
      <c r="CF11" s="70">
        <f t="shared" si="5"/>
        <v>6</v>
      </c>
      <c r="CG11" s="70">
        <f t="shared" si="6"/>
        <v>11</v>
      </c>
      <c r="CH11" s="70">
        <f t="shared" si="7"/>
        <v>6</v>
      </c>
      <c r="CI11" s="70">
        <f t="shared" si="8"/>
        <v>17</v>
      </c>
      <c r="CJ11" s="74">
        <f t="shared" si="0"/>
        <v>17</v>
      </c>
      <c r="CK11" s="70">
        <f t="shared" si="9"/>
        <v>87</v>
      </c>
      <c r="CL11" s="72">
        <f t="shared" si="10"/>
        <v>17.399999999999999</v>
      </c>
      <c r="CM11" s="70">
        <f t="shared" si="11"/>
        <v>82</v>
      </c>
      <c r="CN11" s="70">
        <f t="shared" si="12"/>
        <v>15</v>
      </c>
      <c r="CO11" s="73">
        <f t="array" ref="CO11">SUM(IF(ISERR(FIND("*",D11:CD11)),0,1))</f>
        <v>2</v>
      </c>
      <c r="CP11" s="73">
        <f t="array" ref="CP11">SUM(IF(ISERR(FIND("+",D11:CD11)),0,1))</f>
        <v>0</v>
      </c>
      <c r="CQ11" s="70">
        <f t="shared" si="13"/>
        <v>1</v>
      </c>
      <c r="CR11" s="73">
        <f t="array" ref="CR11">SUM(IF(ISERR(FIND(CR$4,$D11:$CD11)),0,1))</f>
        <v>3</v>
      </c>
      <c r="CS11" s="73">
        <f t="array" ref="CS11">SUM(IF(ISERR(FIND(CS$4,$D11:$CD11)),0,1))</f>
        <v>2</v>
      </c>
      <c r="CT11" s="73">
        <f t="array" ref="CT11">SUM(IF(ISERR(FIND(CT$4,$D11:$CD11)),0,1))</f>
        <v>0</v>
      </c>
      <c r="CU11" s="73">
        <f t="array" ref="CU11">SUM(IF(ISERR(FIND(CU$4,$D11:$CD11)),0,1))</f>
        <v>0</v>
      </c>
      <c r="CV11" s="73">
        <f t="array" ref="CV11">SUM(IF(ISERR(FIND(CV$4,$D11:$CD11)),0,1))</f>
        <v>0</v>
      </c>
      <c r="CW11" s="73">
        <f t="array" ref="CW11">SUM(IF(ISERR(FIND(CW$4,$D11:$CD11)),0,1))</f>
        <v>0</v>
      </c>
      <c r="CX11" s="73"/>
      <c r="CY11" s="73">
        <f t="shared" si="14"/>
        <v>3</v>
      </c>
      <c r="CZ11" s="73">
        <f t="shared" si="15"/>
        <v>5</v>
      </c>
      <c r="DA11" s="73">
        <f t="shared" si="16"/>
        <v>0</v>
      </c>
      <c r="DB11" s="73">
        <f t="shared" si="17"/>
        <v>0</v>
      </c>
      <c r="DC11" s="73">
        <f t="shared" si="18"/>
        <v>0</v>
      </c>
      <c r="DD11" s="73">
        <f t="shared" si="19"/>
        <v>0</v>
      </c>
      <c r="DE11" s="70">
        <f t="shared" si="20"/>
        <v>1741117.8701099998</v>
      </c>
      <c r="DF11" s="70">
        <f t="shared" si="1"/>
        <v>7</v>
      </c>
      <c r="DG11" s="70">
        <v>0</v>
      </c>
      <c r="DH11" s="92">
        <f t="shared" si="21"/>
        <v>0.22988505747126436</v>
      </c>
      <c r="DI11" s="100">
        <f t="shared" si="22"/>
        <v>0.2</v>
      </c>
    </row>
    <row r="12" spans="1:113" x14ac:dyDescent="0.15">
      <c r="B12" s="70" t="s">
        <v>274</v>
      </c>
      <c r="C12" s="70" t="s">
        <v>273</v>
      </c>
      <c r="F12" t="s">
        <v>339</v>
      </c>
      <c r="CE12" s="70">
        <f>BatSplit(D12:CD12,MatchesPlayed)</f>
        <v>1</v>
      </c>
      <c r="CF12" s="70">
        <f>CE12-CG12</f>
        <v>0</v>
      </c>
      <c r="CG12" s="70">
        <f>BatSplit(D12:CD12,InnsBattedIn)</f>
        <v>1</v>
      </c>
      <c r="CH12" s="70">
        <f>BatSplit(D12:CD12,NotOuts)</f>
        <v>0</v>
      </c>
      <c r="CI12" s="70">
        <f>BatSplit(D12:CD12,HighestScore)</f>
        <v>8</v>
      </c>
      <c r="CJ12" s="74">
        <f t="shared" si="0"/>
        <v>8</v>
      </c>
      <c r="CK12" s="70">
        <f>BatSplit(D12:CD12,RunsScored)</f>
        <v>8</v>
      </c>
      <c r="CL12" s="72">
        <f>IF(CG12=CH12,0,CK12/(CG12-CH12))</f>
        <v>8</v>
      </c>
      <c r="CM12" s="70">
        <f>BatSplit(D12:CD12,BatPts)</f>
        <v>8</v>
      </c>
      <c r="CN12" s="70">
        <f>BatSplit(D12:CD12,FldPts)</f>
        <v>0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>BatSplit(D12:CD12,Ducks)</f>
        <v>0</v>
      </c>
      <c r="CR12" s="73">
        <f t="array" ref="CR12">SUM(IF(ISERR(FIND(CR$4,$D12:$CD12)),0,1))</f>
        <v>1</v>
      </c>
      <c r="CS12" s="73">
        <f t="array" ref="CS12">SUM(IF(ISERR(FIND(CS$4,$D12:$CD12)),0,1))</f>
        <v>0</v>
      </c>
      <c r="CT12" s="73">
        <f t="array" ref="CT12">SUM(IF(ISERR(FIND(CT$4,$D12:$CD12)),0,1))</f>
        <v>0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73"/>
      <c r="CY12" s="73">
        <f>BatSplit(D12:CD12,Catches)</f>
        <v>0</v>
      </c>
      <c r="CZ12" s="73">
        <f>BatSplit(D12:CD12,Fours)</f>
        <v>1</v>
      </c>
      <c r="DA12" s="73">
        <f>BatSplit(D12:CD12,Sixes)</f>
        <v>0</v>
      </c>
      <c r="DB12" s="73">
        <f>BatSplit(D12:CD12,Stumpings)</f>
        <v>0</v>
      </c>
      <c r="DC12" s="73">
        <f>BatSplit(D12:CD12,CaughtWkt)</f>
        <v>0</v>
      </c>
      <c r="DD12" s="73">
        <f>BatSplit(D12:CD12,TwentyFives)</f>
        <v>0</v>
      </c>
      <c r="DE12" s="70">
        <f>ROUND(IF(ISERROR(CL12),0,CL12),2)*100000+CG12*100+CE12+CK12/100+ROW()/100000</f>
        <v>800101.08011999994</v>
      </c>
      <c r="DF12" s="70">
        <f t="shared" si="1"/>
        <v>19</v>
      </c>
      <c r="DG12" s="70">
        <v>0</v>
      </c>
      <c r="DH12" s="92" t="str">
        <f>IF(CK12&gt;=50,(CZ12*4+DA12*6+DG12*5)/CK12,"")</f>
        <v/>
      </c>
      <c r="DI12" s="100">
        <f>CQ12/(CG12-CH12)</f>
        <v>0</v>
      </c>
    </row>
    <row r="13" spans="1:113" x14ac:dyDescent="0.15">
      <c r="B13" s="70" t="s">
        <v>233</v>
      </c>
      <c r="C13" s="70" t="s">
        <v>232</v>
      </c>
      <c r="K13" s="133" t="s">
        <v>421</v>
      </c>
      <c r="L13" t="s">
        <v>246</v>
      </c>
      <c r="M13"/>
      <c r="O13" t="s">
        <v>473</v>
      </c>
      <c r="P13"/>
      <c r="Q13"/>
      <c r="R13" t="s">
        <v>520</v>
      </c>
      <c r="T13" t="s">
        <v>264</v>
      </c>
      <c r="U13" t="s">
        <v>275</v>
      </c>
      <c r="V13" t="s">
        <v>569</v>
      </c>
      <c r="CE13" s="70">
        <f t="shared" si="4"/>
        <v>7</v>
      </c>
      <c r="CF13" s="70">
        <f t="shared" si="5"/>
        <v>2</v>
      </c>
      <c r="CG13" s="70">
        <f t="shared" si="6"/>
        <v>5</v>
      </c>
      <c r="CH13" s="70">
        <f t="shared" si="7"/>
        <v>2</v>
      </c>
      <c r="CI13" s="70">
        <f t="shared" si="8"/>
        <v>20</v>
      </c>
      <c r="CJ13" s="74">
        <f t="shared" si="0"/>
        <v>20</v>
      </c>
      <c r="CK13" s="70">
        <f t="shared" si="9"/>
        <v>31</v>
      </c>
      <c r="CL13" s="72">
        <f t="shared" si="10"/>
        <v>10.333333333333334</v>
      </c>
      <c r="CM13" s="70">
        <f t="shared" si="11"/>
        <v>26</v>
      </c>
      <c r="CN13" s="70">
        <f t="shared" si="12"/>
        <v>5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 t="shared" si="13"/>
        <v>1</v>
      </c>
      <c r="CR13" s="73">
        <f t="array" ref="CR13">SUM(IF(ISERR(FIND(CR$4,$D13:$CD13)),0,1))</f>
        <v>2</v>
      </c>
      <c r="CS13" s="73">
        <f t="array" ref="CS13">SUM(IF(ISERR(FIND(CS$4,$D13:$CD13)),0,1))</f>
        <v>1</v>
      </c>
      <c r="CT13" s="73">
        <f t="array" ref="CT13">SUM(IF(ISERR(FIND(CT$4,$D13:$CD13)),0,1))</f>
        <v>0</v>
      </c>
      <c r="CU13" s="73">
        <f t="array" ref="CU13">SUM(IF(ISERR(FIND(CU$4,$D13:$CD13)),0,1))</f>
        <v>0</v>
      </c>
      <c r="CV13" s="73">
        <f t="array" ref="CV13">SUM(IF(ISERR(FIND(CV$4,$D13:$CD13)),0,1))</f>
        <v>0</v>
      </c>
      <c r="CW13" s="73">
        <f t="array" ref="CW13">SUM(IF(ISERR(FIND(CW$4,$D13:$CD13)),0,1))</f>
        <v>0</v>
      </c>
      <c r="CX13" s="73"/>
      <c r="CY13" s="73">
        <f t="shared" si="14"/>
        <v>1</v>
      </c>
      <c r="CZ13" s="73">
        <f t="shared" si="15"/>
        <v>4</v>
      </c>
      <c r="DA13" s="73">
        <f t="shared" si="16"/>
        <v>0</v>
      </c>
      <c r="DB13" s="73">
        <f t="shared" si="17"/>
        <v>0</v>
      </c>
      <c r="DC13" s="73">
        <f t="shared" si="18"/>
        <v>0</v>
      </c>
      <c r="DD13" s="73">
        <f t="shared" si="19"/>
        <v>0</v>
      </c>
      <c r="DE13" s="70">
        <f t="shared" si="20"/>
        <v>1033507.31013</v>
      </c>
      <c r="DF13" s="70">
        <f t="shared" si="1"/>
        <v>13</v>
      </c>
      <c r="DG13" s="70">
        <v>0</v>
      </c>
      <c r="DH13" s="92" t="str">
        <f t="shared" si="21"/>
        <v/>
      </c>
      <c r="DI13" s="100">
        <f t="shared" si="22"/>
        <v>0.33333333333333331</v>
      </c>
    </row>
    <row r="14" spans="1:113" x14ac:dyDescent="0.15">
      <c r="A14" s="70" t="s">
        <v>187</v>
      </c>
      <c r="B14" s="70" t="s">
        <v>181</v>
      </c>
      <c r="C14" s="70" t="s">
        <v>182</v>
      </c>
      <c r="E14" s="133" t="s">
        <v>262</v>
      </c>
      <c r="G14" s="133" t="s">
        <v>346</v>
      </c>
      <c r="H14" s="133" t="s">
        <v>369</v>
      </c>
      <c r="I14" s="133" t="s">
        <v>384</v>
      </c>
      <c r="J14" s="133" t="s">
        <v>400</v>
      </c>
      <c r="K14" s="133" t="s">
        <v>400</v>
      </c>
      <c r="L14" s="133" t="s">
        <v>428</v>
      </c>
      <c r="M14" s="133" t="s">
        <v>448</v>
      </c>
      <c r="N14" s="133" t="s">
        <v>245</v>
      </c>
      <c r="O14" s="133" t="s">
        <v>469</v>
      </c>
      <c r="P14" s="133" t="s">
        <v>486</v>
      </c>
      <c r="Q14"/>
      <c r="T14" s="133"/>
      <c r="U14" t="s">
        <v>556</v>
      </c>
      <c r="V14" t="s">
        <v>560</v>
      </c>
      <c r="CE14" s="70">
        <f t="shared" si="4"/>
        <v>13</v>
      </c>
      <c r="CF14" s="70">
        <f t="shared" si="5"/>
        <v>2</v>
      </c>
      <c r="CG14" s="70">
        <f t="shared" si="6"/>
        <v>11</v>
      </c>
      <c r="CH14" s="70">
        <f t="shared" si="7"/>
        <v>0</v>
      </c>
      <c r="CI14" s="70">
        <f t="shared" si="8"/>
        <v>22</v>
      </c>
      <c r="CJ14" s="74">
        <f t="shared" si="0"/>
        <v>22</v>
      </c>
      <c r="CK14" s="70">
        <f t="shared" si="9"/>
        <v>122</v>
      </c>
      <c r="CL14" s="72">
        <f t="shared" si="10"/>
        <v>11.090909090909092</v>
      </c>
      <c r="CM14" s="70">
        <f t="shared" si="11"/>
        <v>102</v>
      </c>
      <c r="CN14" s="70">
        <f t="shared" si="12"/>
        <v>10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3"/>
        <v>4</v>
      </c>
      <c r="CR14" s="73">
        <f t="array" ref="CR14">SUM(IF(ISERR(FIND(CR$4,$D14:$CD14)),0,1))</f>
        <v>0</v>
      </c>
      <c r="CS14" s="73">
        <f t="array" ref="CS14">SUM(IF(ISERR(FIND(CS$4,$D14:$CD14)),0,1))</f>
        <v>7</v>
      </c>
      <c r="CT14" s="73">
        <f t="array" ref="CT14">SUM(IF(ISERR(FIND(CT$4,$D14:$CD14)),0,1))</f>
        <v>4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73"/>
      <c r="CY14" s="73">
        <f t="shared" si="14"/>
        <v>2</v>
      </c>
      <c r="CZ14" s="73">
        <f t="shared" si="15"/>
        <v>10</v>
      </c>
      <c r="DA14" s="73">
        <f t="shared" si="16"/>
        <v>0</v>
      </c>
      <c r="DB14" s="73">
        <f t="shared" si="17"/>
        <v>0</v>
      </c>
      <c r="DC14" s="73">
        <f t="shared" si="18"/>
        <v>0</v>
      </c>
      <c r="DD14" s="73">
        <f t="shared" si="19"/>
        <v>0</v>
      </c>
      <c r="DE14" s="70">
        <f t="shared" si="20"/>
        <v>1110114.2201399999</v>
      </c>
      <c r="DF14" s="70">
        <f t="shared" si="1"/>
        <v>11</v>
      </c>
      <c r="DG14" s="70">
        <v>0</v>
      </c>
      <c r="DH14" s="92">
        <f t="shared" si="21"/>
        <v>0.32786885245901637</v>
      </c>
      <c r="DI14" s="100">
        <f t="shared" si="22"/>
        <v>0.36363636363636365</v>
      </c>
    </row>
    <row r="15" spans="1:113" x14ac:dyDescent="0.15">
      <c r="B15" s="70" t="s">
        <v>230</v>
      </c>
      <c r="C15" s="70" t="s">
        <v>231</v>
      </c>
      <c r="J15" t="s">
        <v>409</v>
      </c>
      <c r="K15" t="s">
        <v>420</v>
      </c>
      <c r="O15" t="s">
        <v>477</v>
      </c>
      <c r="P15" t="s">
        <v>494</v>
      </c>
      <c r="CE15" s="70">
        <f t="shared" si="4"/>
        <v>4</v>
      </c>
      <c r="CF15" s="70">
        <f t="shared" si="5"/>
        <v>0</v>
      </c>
      <c r="CG15" s="70">
        <f t="shared" si="6"/>
        <v>4</v>
      </c>
      <c r="CH15" s="70">
        <f t="shared" si="7"/>
        <v>1</v>
      </c>
      <c r="CI15" s="70">
        <f t="shared" si="8"/>
        <v>5</v>
      </c>
      <c r="CJ15" s="74">
        <f t="shared" si="0"/>
        <v>5</v>
      </c>
      <c r="CK15" s="70">
        <f t="shared" si="9"/>
        <v>5</v>
      </c>
      <c r="CL15" s="72">
        <f t="shared" si="10"/>
        <v>1.6666666666666667</v>
      </c>
      <c r="CM15" s="70">
        <f t="shared" si="11"/>
        <v>-5</v>
      </c>
      <c r="CN15" s="70">
        <f t="shared" si="12"/>
        <v>5</v>
      </c>
      <c r="CO15" s="73">
        <f t="array" ref="CO15">SUM(IF(ISERR(FIND("*",D15:CD15)),0,1))</f>
        <v>0</v>
      </c>
      <c r="CP15" s="73">
        <f t="array" ref="CP15">SUM(IF(ISERR(FIND("+",D15:CD15)),0,1))</f>
        <v>0</v>
      </c>
      <c r="CQ15" s="70">
        <f t="shared" si="13"/>
        <v>2</v>
      </c>
      <c r="CR15" s="73">
        <f t="array" ref="CR15">SUM(IF(ISERR(FIND(CR$4,$D15:$CD15)),0,1))</f>
        <v>0</v>
      </c>
      <c r="CS15" s="73">
        <f t="array" ref="CS15">SUM(IF(ISERR(FIND(CS$4,$D15:$CD15)),0,1))</f>
        <v>3</v>
      </c>
      <c r="CT15" s="73">
        <f t="array" ref="CT15">SUM(IF(ISERR(FIND(CT$4,$D15:$CD15)),0,1))</f>
        <v>0</v>
      </c>
      <c r="CU15" s="73">
        <f t="array" ref="CU15">SUM(IF(ISERR(FIND(CU$4,$D15:$CD15)),0,1))</f>
        <v>0</v>
      </c>
      <c r="CV15" s="73">
        <f t="array" ref="CV15">SUM(IF(ISERR(FIND(CV$4,$D15:$CD15)),0,1))</f>
        <v>0</v>
      </c>
      <c r="CW15" s="73">
        <f t="array" ref="CW15">SUM(IF(ISERR(FIND(CW$4,$D15:$CD15)),0,1))</f>
        <v>0</v>
      </c>
      <c r="CX15" s="73"/>
      <c r="CY15" s="73">
        <f t="shared" si="14"/>
        <v>1</v>
      </c>
      <c r="CZ15" s="73">
        <f t="shared" si="15"/>
        <v>0</v>
      </c>
      <c r="DA15" s="73">
        <f t="shared" si="16"/>
        <v>0</v>
      </c>
      <c r="DB15" s="73">
        <f t="shared" si="17"/>
        <v>0</v>
      </c>
      <c r="DC15" s="73">
        <f t="shared" si="18"/>
        <v>0</v>
      </c>
      <c r="DD15" s="73">
        <f t="shared" si="19"/>
        <v>0</v>
      </c>
      <c r="DE15" s="70">
        <f t="shared" si="20"/>
        <v>167404.05015</v>
      </c>
      <c r="DF15" s="70">
        <f t="shared" si="1"/>
        <v>30</v>
      </c>
      <c r="DG15" s="70">
        <v>0</v>
      </c>
      <c r="DH15" s="92" t="str">
        <f t="shared" si="21"/>
        <v/>
      </c>
      <c r="DI15" s="100">
        <f t="shared" si="22"/>
        <v>0.66666666666666663</v>
      </c>
    </row>
    <row r="16" spans="1:113" x14ac:dyDescent="0.15">
      <c r="B16" s="133" t="s">
        <v>571</v>
      </c>
      <c r="C16" t="s">
        <v>570</v>
      </c>
      <c r="T16"/>
      <c r="V16" t="s">
        <v>567</v>
      </c>
      <c r="CE16" s="70">
        <f t="shared" ref="CE16" si="23">BatSplit(D16:CD16,MatchesPlayed)</f>
        <v>1</v>
      </c>
      <c r="CF16" s="70">
        <f t="shared" ref="CF16" si="24">CE16-CG16</f>
        <v>0</v>
      </c>
      <c r="CG16" s="70">
        <f t="shared" ref="CG16" si="25">BatSplit(D16:CD16,InnsBattedIn)</f>
        <v>1</v>
      </c>
      <c r="CH16" s="70">
        <f t="shared" ref="CH16" si="26">BatSplit(D16:CD16,NotOuts)</f>
        <v>0</v>
      </c>
      <c r="CI16" s="70">
        <f t="shared" ref="CI16" si="27">BatSplit(D16:CD16,HighestScore)</f>
        <v>3</v>
      </c>
      <c r="CJ16" s="74">
        <f t="shared" ref="CJ16" si="28">IF(CI16&lt;0,-CI16&amp;"*",CI16)</f>
        <v>3</v>
      </c>
      <c r="CK16" s="70">
        <f t="shared" ref="CK16" si="29">BatSplit(D16:CD16,RunsScored)</f>
        <v>3</v>
      </c>
      <c r="CL16" s="72">
        <f t="shared" ref="CL16" si="30">IF(CG16=CH16,0,CK16/(CG16-CH16))</f>
        <v>3</v>
      </c>
      <c r="CM16" s="70">
        <f t="shared" ref="CM16" si="31">BatSplit(D16:CD16,BatPts)</f>
        <v>3</v>
      </c>
      <c r="CN16" s="70">
        <f t="shared" ref="CN16" si="32">BatSplit(D16:CD16,FldPts)</f>
        <v>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 t="shared" ref="CQ16" si="33">BatSplit(D16:CD16,Ducks)</f>
        <v>0</v>
      </c>
      <c r="CR16" s="73">
        <f t="array" ref="CR16">SUM(IF(ISERR(FIND(CR$4,$D16:$CD16)),0,1))</f>
        <v>0</v>
      </c>
      <c r="CS16" s="73">
        <f t="array" ref="CS16">SUM(IF(ISERR(FIND(CS$4,$D16:$CD16)),0,1))</f>
        <v>1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0</v>
      </c>
      <c r="CW16" s="73">
        <f t="array" ref="CW16">SUM(IF(ISERR(FIND(CW$4,$D16:$CD16)),0,1))</f>
        <v>0</v>
      </c>
      <c r="CX16" s="73"/>
      <c r="CY16" s="73">
        <f t="shared" ref="CY16" si="34">BatSplit(D16:CD16,Catches)</f>
        <v>0</v>
      </c>
      <c r="CZ16" s="73">
        <f t="shared" ref="CZ16" si="35">BatSplit(D16:CD16,Fours)</f>
        <v>0</v>
      </c>
      <c r="DA16" s="73">
        <f t="shared" ref="DA16" si="36">BatSplit(D16:CD16,Sixes)</f>
        <v>0</v>
      </c>
      <c r="DB16" s="73">
        <f t="shared" ref="DB16" si="37">BatSplit(D16:CD16,Stumpings)</f>
        <v>0</v>
      </c>
      <c r="DC16" s="73">
        <f t="shared" ref="DC16" si="38">BatSplit(D16:CD16,CaughtWkt)</f>
        <v>0</v>
      </c>
      <c r="DD16" s="73">
        <f t="shared" ref="DD16" si="39">BatSplit(D16:CD16,TwentyFives)</f>
        <v>0</v>
      </c>
      <c r="DE16" s="70">
        <f t="shared" ref="DE16" si="40">ROUND(IF(ISERROR(CL16),0,CL16),2)*100000+CG16*100+CE16+CK16/100+ROW()/100000</f>
        <v>300101.03016000002</v>
      </c>
      <c r="DF16" s="70">
        <f t="shared" si="1"/>
        <v>28</v>
      </c>
      <c r="DG16" s="70">
        <v>0</v>
      </c>
      <c r="DH16" s="92" t="str">
        <f t="shared" ref="DH16" si="41">IF(CK16&gt;=50,(CZ16*4+DA16*6+DG16*5)/CK16,"")</f>
        <v/>
      </c>
      <c r="DI16" s="100">
        <f t="shared" ref="DI16" si="42">CQ16/(CG16-CH16)</f>
        <v>0</v>
      </c>
    </row>
    <row r="17" spans="1:113" x14ac:dyDescent="0.15">
      <c r="B17" s="70" t="s">
        <v>249</v>
      </c>
      <c r="C17" s="133" t="s">
        <v>628</v>
      </c>
      <c r="V17" t="s">
        <v>565</v>
      </c>
      <c r="CE17" s="70">
        <f>BatSplit(D17:CD17,MatchesPlayed)</f>
        <v>1</v>
      </c>
      <c r="CF17" s="70">
        <f>CE17-CG17</f>
        <v>0</v>
      </c>
      <c r="CG17" s="70">
        <f>BatSplit(D17:CD17,InnsBattedIn)</f>
        <v>1</v>
      </c>
      <c r="CH17" s="70">
        <f>BatSplit(D17:CD17,NotOuts)</f>
        <v>0</v>
      </c>
      <c r="CI17" s="70">
        <f>BatSplit(D17:CD17,HighestScore)</f>
        <v>78</v>
      </c>
      <c r="CJ17" s="74">
        <f t="shared" si="0"/>
        <v>78</v>
      </c>
      <c r="CK17" s="70">
        <f>BatSplit(D17:CD17,RunsScored)</f>
        <v>78</v>
      </c>
      <c r="CL17" s="72">
        <f>IF(CG17=CH17,0,CK17/(CG17-CH17))</f>
        <v>78</v>
      </c>
      <c r="CM17" s="70">
        <f>BatSplit(D17:CD17,BatPts)</f>
        <v>88</v>
      </c>
      <c r="CN17" s="70">
        <f>BatSplit(D17:CD17,FldPts)</f>
        <v>5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>BatSplit(D17:CD17,Ducks)</f>
        <v>0</v>
      </c>
      <c r="CR17" s="73">
        <f t="array" ref="CR17">SUM(IF(ISERR(FIND(CR$4,$D17:$CD17)),0,1))</f>
        <v>0</v>
      </c>
      <c r="CS17" s="73">
        <f t="array" ref="CS17">SUM(IF(ISERR(FIND(CS$4,$D17:$CD17)),0,1))</f>
        <v>1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73"/>
      <c r="CY17" s="73">
        <f>BatSplit(D17:CD17,Catches)</f>
        <v>1</v>
      </c>
      <c r="CZ17" s="73">
        <f>BatSplit(D17:CD17,Fours)</f>
        <v>10</v>
      </c>
      <c r="DA17" s="73">
        <f>BatSplit(D17:CD17,Sixes)</f>
        <v>0</v>
      </c>
      <c r="DB17" s="73">
        <f>BatSplit(D17:CD17,Stumpings)</f>
        <v>0</v>
      </c>
      <c r="DC17" s="73">
        <f>BatSplit(D17:CD17,CaughtWkt)</f>
        <v>0</v>
      </c>
      <c r="DD17" s="73">
        <f>BatSplit(D17:CD17,TwentyFives)</f>
        <v>1</v>
      </c>
      <c r="DE17" s="70">
        <f>ROUND(IF(ISERROR(CL17),0,CL17),2)*100000+CG17*100+CE17+CK17/100+ROW()/100000</f>
        <v>7800101.7801700002</v>
      </c>
      <c r="DF17" s="70">
        <f t="shared" si="1"/>
        <v>1</v>
      </c>
      <c r="DG17" s="70">
        <v>0</v>
      </c>
      <c r="DH17" s="92">
        <f>IF(CK17&gt;=50,(CZ17*4+DA17*6+DG17*5)/CK17,"")</f>
        <v>0.51282051282051277</v>
      </c>
      <c r="DI17" s="100">
        <f>CQ17/(CG17-CH17)</f>
        <v>0</v>
      </c>
    </row>
    <row r="18" spans="1:113" x14ac:dyDescent="0.15">
      <c r="B18" s="133" t="s">
        <v>572</v>
      </c>
      <c r="C18" s="133" t="s">
        <v>629</v>
      </c>
      <c r="V18" t="s">
        <v>564</v>
      </c>
      <c r="CE18" s="70">
        <f>BatSplit(D18:CD18,MatchesPlayed)</f>
        <v>1</v>
      </c>
      <c r="CF18" s="70">
        <f>CE18-CG18</f>
        <v>0</v>
      </c>
      <c r="CG18" s="70">
        <f>BatSplit(D18:CD18,InnsBattedIn)</f>
        <v>1</v>
      </c>
      <c r="CH18" s="70">
        <f>BatSplit(D18:CD18,NotOuts)</f>
        <v>0</v>
      </c>
      <c r="CI18" s="70">
        <f>BatSplit(D18:CD18,HighestScore)</f>
        <v>2</v>
      </c>
      <c r="CJ18" s="74">
        <f t="shared" ref="CJ18" si="43">IF(CI18&lt;0,-CI18&amp;"*",CI18)</f>
        <v>2</v>
      </c>
      <c r="CK18" s="70">
        <f>BatSplit(D18:CD18,RunsScored)</f>
        <v>2</v>
      </c>
      <c r="CL18" s="72">
        <f>IF(CG18=CH18,0,CK18/(CG18-CH18))</f>
        <v>2</v>
      </c>
      <c r="CM18" s="70">
        <f>BatSplit(D18:CD18,BatPts)</f>
        <v>2</v>
      </c>
      <c r="CN18" s="70">
        <f>BatSplit(D18:CD18,FldPts)</f>
        <v>0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>
        <f>BatSplit(D18:CD18,Ducks)</f>
        <v>0</v>
      </c>
      <c r="CR18" s="73">
        <f t="array" ref="CR18">SUM(IF(ISERR(FIND(CR$4,$D18:$CD18)),0,1))</f>
        <v>0</v>
      </c>
      <c r="CS18" s="73">
        <f t="array" ref="CS18">SUM(IF(ISERR(FIND(CS$4,$D18:$CD18)),0,1))</f>
        <v>1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73"/>
      <c r="CY18" s="73">
        <f>BatSplit(D18:CD18,Catches)</f>
        <v>0</v>
      </c>
      <c r="CZ18" s="73">
        <f>BatSplit(D18:CD18,Fours)</f>
        <v>0</v>
      </c>
      <c r="DA18" s="73">
        <f>BatSplit(D18:CD18,Sixes)</f>
        <v>0</v>
      </c>
      <c r="DB18" s="73">
        <f>BatSplit(D18:CD18,Stumpings)</f>
        <v>0</v>
      </c>
      <c r="DC18" s="73">
        <f>BatSplit(D18:CD18,CaughtWkt)</f>
        <v>0</v>
      </c>
      <c r="DD18" s="73">
        <f>BatSplit(D18:CD18,TwentyFives)</f>
        <v>0</v>
      </c>
      <c r="DE18" s="70">
        <f>ROUND(IF(ISERROR(CL18),0,CL18),2)*100000+CG18*100+CE18+CK18/100+ROW()/100000</f>
        <v>200101.02017999999</v>
      </c>
      <c r="DF18" s="70">
        <f t="shared" si="1"/>
        <v>29</v>
      </c>
      <c r="DG18" s="70">
        <v>0</v>
      </c>
      <c r="DH18" s="92" t="str">
        <f>IF(CK18&gt;=50,(CZ18*4+DA18*6+DG18*5)/CK18,"")</f>
        <v/>
      </c>
      <c r="DI18" s="100">
        <f>CQ18/(CG18-CH18)</f>
        <v>0</v>
      </c>
    </row>
    <row r="19" spans="1:113" x14ac:dyDescent="0.15">
      <c r="B19" s="70" t="s">
        <v>204</v>
      </c>
      <c r="C19" s="70" t="s">
        <v>205</v>
      </c>
      <c r="H19" t="s">
        <v>370</v>
      </c>
      <c r="I19" t="s">
        <v>388</v>
      </c>
      <c r="J19" t="s">
        <v>267</v>
      </c>
      <c r="L19" s="133" t="s">
        <v>429</v>
      </c>
      <c r="M19" s="133" t="s">
        <v>447</v>
      </c>
      <c r="N19" s="133" t="s">
        <v>456</v>
      </c>
      <c r="P19" s="133" t="s">
        <v>487</v>
      </c>
      <c r="Q19" s="133" t="s">
        <v>501</v>
      </c>
      <c r="R19" s="133" t="s">
        <v>516</v>
      </c>
      <c r="T19" s="133" t="s">
        <v>537</v>
      </c>
      <c r="CE19" s="70">
        <f t="shared" ref="CE19:CE24" si="44">BatSplit(D19:CD19,MatchesPlayed)</f>
        <v>10</v>
      </c>
      <c r="CF19" s="70">
        <f t="shared" ref="CF19:CF24" si="45">CE19-CG19</f>
        <v>0</v>
      </c>
      <c r="CG19" s="70">
        <f t="shared" ref="CG19:CG24" si="46">BatSplit(D19:CD19,InnsBattedIn)</f>
        <v>10</v>
      </c>
      <c r="CH19" s="70">
        <f t="shared" ref="CH19:CH24" si="47">BatSplit(D19:CD19,NotOuts)</f>
        <v>3</v>
      </c>
      <c r="CI19" s="70">
        <f t="shared" ref="CI19:CI24" si="48">BatSplit(D19:CD19,HighestScore)</f>
        <v>43</v>
      </c>
      <c r="CJ19" s="74">
        <f t="shared" ref="CJ19:CJ24" si="49">IF(CI19&lt;0,-CI19&amp;"*",CI19)</f>
        <v>43</v>
      </c>
      <c r="CK19" s="70">
        <f t="shared" ref="CK19:CK24" si="50">BatSplit(D19:CD19,RunsScored)</f>
        <v>167</v>
      </c>
      <c r="CL19" s="72">
        <f t="shared" ref="CL19:CL24" si="51">IF(CG19=CH19,0,CK19/(CG19-CH19))</f>
        <v>23.857142857142858</v>
      </c>
      <c r="CM19" s="70">
        <f t="shared" ref="CM19:CM24" si="52">BatSplit(D19:CD19,BatPts)</f>
        <v>167</v>
      </c>
      <c r="CN19" s="70">
        <f t="shared" ref="CN19:CN24" si="53">BatSplit(D19:CD19,FldPts)</f>
        <v>5</v>
      </c>
      <c r="CO19" s="73">
        <f t="array" ref="CO19">SUM(IF(ISERR(FIND("*",D19:CD19)),0,1))</f>
        <v>0</v>
      </c>
      <c r="CP19" s="73">
        <f t="array" ref="CP19">SUM(IF(ISERR(FIND("+",D19:CD19)),0,1))</f>
        <v>4</v>
      </c>
      <c r="CQ19" s="70">
        <f t="shared" ref="CQ19:CQ24" si="54">BatSplit(D19:CD19,Ducks)</f>
        <v>0</v>
      </c>
      <c r="CR19" s="73">
        <f t="array" ref="CR19">SUM(IF(ISERR(FIND(CR$4,$D19:$CD19)),0,1))</f>
        <v>6</v>
      </c>
      <c r="CS19" s="73">
        <f t="array" ref="CS19">SUM(IF(ISERR(FIND(CS$4,$D19:$CD19)),0,1))</f>
        <v>1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73"/>
      <c r="CY19" s="73">
        <f t="shared" ref="CY19:CY24" si="55">BatSplit(D19:CD19,Catches)</f>
        <v>5</v>
      </c>
      <c r="CZ19" s="73">
        <f t="shared" ref="CZ19:CZ24" si="56">BatSplit(D19:CD19,Fours)</f>
        <v>21</v>
      </c>
      <c r="DA19" s="73">
        <f t="shared" ref="DA19:DA24" si="57">BatSplit(D19:CD19,Sixes)</f>
        <v>0</v>
      </c>
      <c r="DB19" s="73">
        <f t="shared" ref="DB19:DB24" si="58">BatSplit(D19:CD19,Stumpings)</f>
        <v>0</v>
      </c>
      <c r="DC19" s="73">
        <f t="shared" ref="DC19:DC24" si="59">BatSplit(D19:CD19,CaughtWkt)</f>
        <v>4</v>
      </c>
      <c r="DD19" s="73">
        <f t="shared" ref="DD19:DD24" si="60">BatSplit(D19:CD19,TwentyFives)</f>
        <v>2</v>
      </c>
      <c r="DE19" s="70">
        <f t="shared" ref="DE19:DE24" si="61">ROUND(IF(ISERROR(CL19),0,CL19),2)*100000+CG19*100+CE19+CK19/100+ROW()/100000</f>
        <v>2387011.67019</v>
      </c>
      <c r="DF19" s="70">
        <f t="shared" si="1"/>
        <v>4</v>
      </c>
      <c r="DG19" s="70">
        <v>0</v>
      </c>
      <c r="DH19" s="92">
        <f t="shared" ref="DH19:DH24" si="62">IF(CK19&gt;=50,(CZ19*4+DA19*6+DG19*5)/CK19,"")</f>
        <v>0.50299401197604787</v>
      </c>
      <c r="DI19" s="100">
        <f t="shared" ref="DI19:DI24" si="63">CQ19/(CG19-CH19)</f>
        <v>0</v>
      </c>
    </row>
    <row r="20" spans="1:113" x14ac:dyDescent="0.15">
      <c r="B20" s="70" t="s">
        <v>29</v>
      </c>
      <c r="C20" s="70" t="s">
        <v>229</v>
      </c>
      <c r="D20" t="s">
        <v>277</v>
      </c>
      <c r="E20" t="s">
        <v>326</v>
      </c>
      <c r="F20" t="s">
        <v>335</v>
      </c>
      <c r="G20" s="62" t="s">
        <v>354</v>
      </c>
      <c r="H20" t="s">
        <v>371</v>
      </c>
      <c r="I20" t="s">
        <v>252</v>
      </c>
      <c r="J20" t="s">
        <v>406</v>
      </c>
      <c r="K20" t="s">
        <v>414</v>
      </c>
      <c r="L20" t="s">
        <v>431</v>
      </c>
      <c r="M20" t="s">
        <v>450</v>
      </c>
      <c r="N20" t="s">
        <v>451</v>
      </c>
      <c r="Q20" s="133" t="s">
        <v>508</v>
      </c>
      <c r="S20" t="s">
        <v>531</v>
      </c>
      <c r="U20" t="s">
        <v>559</v>
      </c>
      <c r="V20" s="133"/>
      <c r="CE20" s="70">
        <f t="shared" si="44"/>
        <v>14</v>
      </c>
      <c r="CF20" s="70">
        <f t="shared" si="45"/>
        <v>2</v>
      </c>
      <c r="CG20" s="70">
        <f t="shared" si="46"/>
        <v>12</v>
      </c>
      <c r="CH20" s="70">
        <f t="shared" si="47"/>
        <v>3</v>
      </c>
      <c r="CI20" s="70">
        <f t="shared" si="48"/>
        <v>29</v>
      </c>
      <c r="CJ20" s="74">
        <f t="shared" si="49"/>
        <v>29</v>
      </c>
      <c r="CK20" s="70">
        <f t="shared" si="50"/>
        <v>97</v>
      </c>
      <c r="CL20" s="72">
        <f t="shared" si="51"/>
        <v>10.777777777777779</v>
      </c>
      <c r="CM20" s="70">
        <f t="shared" si="52"/>
        <v>87</v>
      </c>
      <c r="CN20" s="70">
        <f t="shared" si="53"/>
        <v>0</v>
      </c>
      <c r="CO20" s="73">
        <f t="array" ref="CO20">SUM(IF(ISERR(FIND("*",D20:CD20)),0,1))</f>
        <v>0</v>
      </c>
      <c r="CP20" s="73">
        <f t="array" ref="CP20">SUM(IF(ISERR(FIND("+",D20:CD20)),0,1))</f>
        <v>7</v>
      </c>
      <c r="CQ20" s="70">
        <f t="shared" si="54"/>
        <v>2</v>
      </c>
      <c r="CR20" s="73">
        <f t="array" ref="CR20">SUM(IF(ISERR(FIND(CR$4,$D20:$CD20)),0,1))</f>
        <v>5</v>
      </c>
      <c r="CS20" s="73">
        <f t="array" ref="CS20">SUM(IF(ISERR(FIND(CS$4,$D20:$CD20)),0,1))</f>
        <v>2</v>
      </c>
      <c r="CT20" s="73">
        <f t="array" ref="CT20">SUM(IF(ISERR(FIND(CT$4,$D20:$CD20)),0,1))</f>
        <v>1</v>
      </c>
      <c r="CU20" s="73">
        <f t="array" ref="CU20">SUM(IF(ISERR(FIND(CU$4,$D20:$CD20)),0,1))</f>
        <v>0</v>
      </c>
      <c r="CV20" s="73">
        <f t="array" ref="CV20">SUM(IF(ISERR(FIND(CV$4,$D20:$CD20)),0,1))</f>
        <v>1</v>
      </c>
      <c r="CW20" s="73">
        <f t="array" ref="CW20">SUM(IF(ISERR(FIND(CW$4,$D20:$CD20)),0,1))</f>
        <v>0</v>
      </c>
      <c r="CX20" s="73"/>
      <c r="CY20" s="73">
        <f t="shared" si="55"/>
        <v>1</v>
      </c>
      <c r="CZ20" s="73">
        <f t="shared" si="56"/>
        <v>5</v>
      </c>
      <c r="DA20" s="73">
        <f t="shared" si="57"/>
        <v>0</v>
      </c>
      <c r="DB20" s="73">
        <f t="shared" si="58"/>
        <v>0</v>
      </c>
      <c r="DC20" s="73">
        <f t="shared" si="59"/>
        <v>1</v>
      </c>
      <c r="DD20" s="73">
        <f t="shared" si="60"/>
        <v>1</v>
      </c>
      <c r="DE20" s="70">
        <f t="shared" si="61"/>
        <v>1079214.9701999999</v>
      </c>
      <c r="DF20" s="70">
        <f t="shared" si="1"/>
        <v>12</v>
      </c>
      <c r="DG20" s="70">
        <v>0</v>
      </c>
      <c r="DH20" s="92">
        <f t="shared" si="62"/>
        <v>0.20618556701030927</v>
      </c>
      <c r="DI20" s="100">
        <f t="shared" si="63"/>
        <v>0.22222222222222221</v>
      </c>
    </row>
    <row r="21" spans="1:113" x14ac:dyDescent="0.15">
      <c r="B21" s="70" t="s">
        <v>219</v>
      </c>
      <c r="C21" s="70" t="s">
        <v>218</v>
      </c>
      <c r="I21" t="s">
        <v>389</v>
      </c>
      <c r="M21" t="s">
        <v>243</v>
      </c>
      <c r="N21" t="s">
        <v>453</v>
      </c>
      <c r="Q21" t="s">
        <v>505</v>
      </c>
      <c r="R21" t="s">
        <v>522</v>
      </c>
      <c r="T21" t="s">
        <v>540</v>
      </c>
      <c r="U21" t="s">
        <v>277</v>
      </c>
      <c r="V21"/>
      <c r="CE21" s="70">
        <f t="shared" si="44"/>
        <v>7</v>
      </c>
      <c r="CF21" s="70">
        <f t="shared" si="45"/>
        <v>2</v>
      </c>
      <c r="CG21" s="70">
        <f t="shared" si="46"/>
        <v>5</v>
      </c>
      <c r="CH21" s="70">
        <f t="shared" si="47"/>
        <v>2</v>
      </c>
      <c r="CI21" s="70">
        <f t="shared" si="48"/>
        <v>-15</v>
      </c>
      <c r="CJ21" s="74" t="str">
        <f t="shared" si="49"/>
        <v>15*</v>
      </c>
      <c r="CK21" s="70">
        <f t="shared" si="50"/>
        <v>28</v>
      </c>
      <c r="CL21" s="72">
        <f t="shared" si="51"/>
        <v>9.3333333333333339</v>
      </c>
      <c r="CM21" s="70">
        <f t="shared" si="52"/>
        <v>23</v>
      </c>
      <c r="CN21" s="70">
        <f t="shared" si="53"/>
        <v>5</v>
      </c>
      <c r="CO21" s="73">
        <f t="array" ref="CO21">SUM(IF(ISERR(FIND("*",D21:CD21)),0,1))</f>
        <v>0</v>
      </c>
      <c r="CP21" s="73">
        <f t="array" ref="CP21">SUM(IF(ISERR(FIND("+",D21:CD21)),0,1))</f>
        <v>0</v>
      </c>
      <c r="CQ21" s="70">
        <f t="shared" si="54"/>
        <v>1</v>
      </c>
      <c r="CR21" s="73">
        <f t="array" ref="CR21">SUM(IF(ISERR(FIND(CR$4,$D21:$CD21)),0,1))</f>
        <v>0</v>
      </c>
      <c r="CS21" s="73">
        <f t="array" ref="CS21">SUM(IF(ISERR(FIND(CS$4,$D21:$CD21)),0,1))</f>
        <v>2</v>
      </c>
      <c r="CT21" s="73">
        <f t="array" ref="CT21">SUM(IF(ISERR(FIND(CT$4,$D21:$CD21)),0,1))</f>
        <v>0</v>
      </c>
      <c r="CU21" s="73">
        <f t="array" ref="CU21">SUM(IF(ISERR(FIND(CU$4,$D21:$CD21)),0,1))</f>
        <v>0</v>
      </c>
      <c r="CV21" s="73">
        <f t="array" ref="CV21">SUM(IF(ISERR(FIND(CV$4,$D21:$CD21)),0,1))</f>
        <v>1</v>
      </c>
      <c r="CW21" s="73">
        <f t="array" ref="CW21">SUM(IF(ISERR(FIND(CW$4,$D21:$CD21)),0,1))</f>
        <v>0</v>
      </c>
      <c r="CX21" s="73"/>
      <c r="CY21" s="73">
        <f t="shared" si="55"/>
        <v>1</v>
      </c>
      <c r="CZ21" s="73">
        <f t="shared" si="56"/>
        <v>2</v>
      </c>
      <c r="DA21" s="73">
        <f t="shared" si="57"/>
        <v>0</v>
      </c>
      <c r="DB21" s="73">
        <f t="shared" si="58"/>
        <v>0</v>
      </c>
      <c r="DC21" s="73">
        <f t="shared" si="59"/>
        <v>0</v>
      </c>
      <c r="DD21" s="73">
        <f t="shared" si="60"/>
        <v>0</v>
      </c>
      <c r="DE21" s="70">
        <f t="shared" si="61"/>
        <v>933507.28021</v>
      </c>
      <c r="DF21" s="70">
        <f t="shared" si="1"/>
        <v>16</v>
      </c>
      <c r="DG21" s="70">
        <v>0</v>
      </c>
      <c r="DH21" s="92" t="str">
        <f t="shared" si="62"/>
        <v/>
      </c>
      <c r="DI21" s="100">
        <f t="shared" si="63"/>
        <v>0.33333333333333331</v>
      </c>
    </row>
    <row r="22" spans="1:113" x14ac:dyDescent="0.15">
      <c r="A22" s="70" t="s">
        <v>47</v>
      </c>
      <c r="B22" s="70" t="s">
        <v>25</v>
      </c>
      <c r="C22" s="70" t="s">
        <v>48</v>
      </c>
      <c r="D22" s="133" t="s">
        <v>310</v>
      </c>
      <c r="V22"/>
      <c r="CE22" s="70">
        <f t="shared" si="44"/>
        <v>1</v>
      </c>
      <c r="CF22" s="70">
        <f t="shared" si="45"/>
        <v>0</v>
      </c>
      <c r="CG22" s="70">
        <f t="shared" si="46"/>
        <v>1</v>
      </c>
      <c r="CH22" s="70">
        <f t="shared" si="47"/>
        <v>0</v>
      </c>
      <c r="CI22" s="70">
        <f t="shared" si="48"/>
        <v>6</v>
      </c>
      <c r="CJ22" s="74">
        <f t="shared" si="49"/>
        <v>6</v>
      </c>
      <c r="CK22" s="70">
        <f t="shared" si="50"/>
        <v>6</v>
      </c>
      <c r="CL22" s="72">
        <f t="shared" si="51"/>
        <v>6</v>
      </c>
      <c r="CM22" s="70">
        <f t="shared" si="52"/>
        <v>6</v>
      </c>
      <c r="CN22" s="70">
        <f t="shared" si="53"/>
        <v>0</v>
      </c>
      <c r="CO22" s="73">
        <f t="array" ref="CO22">SUM(IF(ISERR(FIND("*",D22:CD22)),0,1))</f>
        <v>0</v>
      </c>
      <c r="CP22" s="73">
        <f t="array" ref="CP22">SUM(IF(ISERR(FIND("+",D22:CD22)),0,1))</f>
        <v>0</v>
      </c>
      <c r="CQ22" s="70">
        <f t="shared" si="54"/>
        <v>0</v>
      </c>
      <c r="CR22" s="73">
        <f t="array" ref="CR22">SUM(IF(ISERR(FIND(CR$4,$D22:$CD22)),0,1))</f>
        <v>0</v>
      </c>
      <c r="CS22" s="73">
        <f t="array" ref="CS22">SUM(IF(ISERR(FIND(CS$4,$D22:$CD22)),0,1))</f>
        <v>1</v>
      </c>
      <c r="CT22" s="73">
        <f t="array" ref="CT22">SUM(IF(ISERR(FIND(CT$4,$D22:$CD22)),0,1))</f>
        <v>0</v>
      </c>
      <c r="CU22" s="73">
        <f t="array" ref="CU22">SUM(IF(ISERR(FIND(CU$4,$D22:$CD22)),0,1))</f>
        <v>0</v>
      </c>
      <c r="CV22" s="73">
        <f t="array" ref="CV22">SUM(IF(ISERR(FIND(CV$4,$D22:$CD22)),0,1))</f>
        <v>0</v>
      </c>
      <c r="CW22" s="73">
        <f t="array" ref="CW22">SUM(IF(ISERR(FIND(CW$4,$D22:$CD22)),0,1))</f>
        <v>0</v>
      </c>
      <c r="CX22" s="73"/>
      <c r="CY22" s="73">
        <f t="shared" si="55"/>
        <v>0</v>
      </c>
      <c r="CZ22" s="73">
        <f t="shared" si="56"/>
        <v>1</v>
      </c>
      <c r="DA22" s="73">
        <f t="shared" si="57"/>
        <v>0</v>
      </c>
      <c r="DB22" s="73">
        <f t="shared" si="58"/>
        <v>0</v>
      </c>
      <c r="DC22" s="73">
        <f t="shared" si="59"/>
        <v>0</v>
      </c>
      <c r="DD22" s="73">
        <f t="shared" si="60"/>
        <v>0</v>
      </c>
      <c r="DE22" s="70">
        <f t="shared" si="61"/>
        <v>600101.0602200001</v>
      </c>
      <c r="DF22" s="70">
        <f t="shared" si="1"/>
        <v>24</v>
      </c>
      <c r="DG22" s="70">
        <v>0</v>
      </c>
      <c r="DH22" s="92" t="str">
        <f t="shared" si="62"/>
        <v/>
      </c>
      <c r="DI22" s="100">
        <f t="shared" si="63"/>
        <v>0</v>
      </c>
    </row>
    <row r="23" spans="1:113" x14ac:dyDescent="0.15">
      <c r="A23" s="70" t="s">
        <v>189</v>
      </c>
      <c r="B23" s="70" t="s">
        <v>183</v>
      </c>
      <c r="C23" s="70" t="s">
        <v>184</v>
      </c>
      <c r="D23" t="s">
        <v>276</v>
      </c>
      <c r="E23" t="s">
        <v>322</v>
      </c>
      <c r="F23" t="s">
        <v>332</v>
      </c>
      <c r="G23" t="s">
        <v>343</v>
      </c>
      <c r="L23" t="s">
        <v>338</v>
      </c>
      <c r="R23" t="s">
        <v>343</v>
      </c>
      <c r="S23" t="s">
        <v>529</v>
      </c>
      <c r="T23" t="s">
        <v>542</v>
      </c>
      <c r="U23" t="s">
        <v>245</v>
      </c>
      <c r="V23" t="s">
        <v>562</v>
      </c>
      <c r="CE23" s="70">
        <f t="shared" si="44"/>
        <v>10</v>
      </c>
      <c r="CF23" s="70">
        <f t="shared" si="45"/>
        <v>2</v>
      </c>
      <c r="CG23" s="70">
        <f t="shared" si="46"/>
        <v>8</v>
      </c>
      <c r="CH23" s="70">
        <f t="shared" si="47"/>
        <v>0</v>
      </c>
      <c r="CI23" s="70">
        <f t="shared" si="48"/>
        <v>15</v>
      </c>
      <c r="CJ23" s="74">
        <f t="shared" si="49"/>
        <v>15</v>
      </c>
      <c r="CK23" s="70">
        <f t="shared" si="50"/>
        <v>53</v>
      </c>
      <c r="CL23" s="72">
        <f t="shared" si="51"/>
        <v>6.625</v>
      </c>
      <c r="CM23" s="70">
        <f t="shared" si="52"/>
        <v>43</v>
      </c>
      <c r="CN23" s="70">
        <f t="shared" si="53"/>
        <v>0</v>
      </c>
      <c r="CO23" s="73">
        <f t="array" ref="CO23">SUM(IF(ISERR(FIND("*",D23:CD23)),0,1))</f>
        <v>1</v>
      </c>
      <c r="CP23" s="73">
        <f t="array" ref="CP23">SUM(IF(ISERR(FIND("+",D23:CD23)),0,1))</f>
        <v>0</v>
      </c>
      <c r="CQ23" s="70">
        <f t="shared" si="54"/>
        <v>2</v>
      </c>
      <c r="CR23" s="73">
        <f t="array" ref="CR23">SUM(IF(ISERR(FIND(CR$4,$D23:$CD23)),0,1))</f>
        <v>5</v>
      </c>
      <c r="CS23" s="73">
        <f t="array" ref="CS23">SUM(IF(ISERR(FIND(CS$4,$D23:$CD23)),0,1))</f>
        <v>2</v>
      </c>
      <c r="CT23" s="73">
        <f t="array" ref="CT23">SUM(IF(ISERR(FIND(CT$4,$D23:$CD23)),0,1))</f>
        <v>1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73"/>
      <c r="CY23" s="73">
        <f t="shared" si="55"/>
        <v>0</v>
      </c>
      <c r="CZ23" s="73">
        <f t="shared" si="56"/>
        <v>6</v>
      </c>
      <c r="DA23" s="73">
        <f t="shared" si="57"/>
        <v>0</v>
      </c>
      <c r="DB23" s="73">
        <f t="shared" si="58"/>
        <v>0</v>
      </c>
      <c r="DC23" s="73">
        <f t="shared" si="59"/>
        <v>0</v>
      </c>
      <c r="DD23" s="73">
        <f t="shared" si="60"/>
        <v>0</v>
      </c>
      <c r="DE23" s="70">
        <f t="shared" si="61"/>
        <v>663810.53023000003</v>
      </c>
      <c r="DF23" s="70">
        <f t="shared" si="1"/>
        <v>22</v>
      </c>
      <c r="DG23" s="70">
        <v>0</v>
      </c>
      <c r="DH23" s="92">
        <f t="shared" si="62"/>
        <v>0.45283018867924529</v>
      </c>
      <c r="DI23" s="100">
        <f t="shared" si="63"/>
        <v>0.25</v>
      </c>
    </row>
    <row r="24" spans="1:113" x14ac:dyDescent="0.15">
      <c r="A24" s="70" t="s">
        <v>137</v>
      </c>
      <c r="B24" s="70" t="s">
        <v>31</v>
      </c>
      <c r="C24" s="70" t="s">
        <v>150</v>
      </c>
      <c r="D24" s="133" t="s">
        <v>311</v>
      </c>
      <c r="Q24"/>
      <c r="CE24" s="70">
        <f t="shared" si="44"/>
        <v>1</v>
      </c>
      <c r="CF24" s="70">
        <f t="shared" si="45"/>
        <v>0</v>
      </c>
      <c r="CG24" s="70">
        <f t="shared" si="46"/>
        <v>1</v>
      </c>
      <c r="CH24" s="70">
        <f t="shared" si="47"/>
        <v>1</v>
      </c>
      <c r="CI24" s="70">
        <f t="shared" si="48"/>
        <v>-23</v>
      </c>
      <c r="CJ24" s="74" t="str">
        <f t="shared" si="49"/>
        <v>23*</v>
      </c>
      <c r="CK24" s="70">
        <f t="shared" si="50"/>
        <v>23</v>
      </c>
      <c r="CL24" s="72">
        <f t="shared" si="51"/>
        <v>0</v>
      </c>
      <c r="CM24" s="70">
        <f t="shared" si="52"/>
        <v>23</v>
      </c>
      <c r="CN24" s="70">
        <f t="shared" si="53"/>
        <v>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 t="shared" si="54"/>
        <v>0</v>
      </c>
      <c r="CR24" s="73">
        <f t="array" ref="CR24">SUM(IF(ISERR(FIND(CR$4,$D24:$CD24)),0,1))</f>
        <v>0</v>
      </c>
      <c r="CS24" s="73">
        <f t="array" ref="CS24">SUM(IF(ISERR(FIND(CS$4,$D24:$CD24)),0,1))</f>
        <v>0</v>
      </c>
      <c r="CT24" s="73">
        <f t="array" ref="CT24">SUM(IF(ISERR(FIND(CT$4,$D24:$CD24)),0,1))</f>
        <v>0</v>
      </c>
      <c r="CU24" s="73">
        <f t="array" ref="CU24">SUM(IF(ISERR(FIND(CU$4,$D24:$CD24)),0,1))</f>
        <v>0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73"/>
      <c r="CY24" s="73">
        <f t="shared" si="55"/>
        <v>0</v>
      </c>
      <c r="CZ24" s="73">
        <f t="shared" si="56"/>
        <v>2</v>
      </c>
      <c r="DA24" s="73">
        <f t="shared" si="57"/>
        <v>0</v>
      </c>
      <c r="DB24" s="73">
        <f t="shared" si="58"/>
        <v>0</v>
      </c>
      <c r="DC24" s="73">
        <f t="shared" si="59"/>
        <v>0</v>
      </c>
      <c r="DD24" s="73">
        <f t="shared" si="60"/>
        <v>0</v>
      </c>
      <c r="DE24" s="70">
        <f t="shared" si="61"/>
        <v>101.23024000000001</v>
      </c>
      <c r="DF24" s="70">
        <f t="shared" si="1"/>
        <v>32</v>
      </c>
      <c r="DG24" s="70">
        <v>0</v>
      </c>
      <c r="DH24" s="92" t="str">
        <f t="shared" si="62"/>
        <v/>
      </c>
      <c r="DI24" s="100" t="e">
        <f t="shared" si="63"/>
        <v>#DIV/0!</v>
      </c>
    </row>
    <row r="25" spans="1:113" x14ac:dyDescent="0.15">
      <c r="C25" t="s">
        <v>490</v>
      </c>
      <c r="D25" s="133"/>
      <c r="P25" t="s">
        <v>491</v>
      </c>
      <c r="Q25"/>
      <c r="S25" t="s">
        <v>470</v>
      </c>
      <c r="T25" t="s">
        <v>539</v>
      </c>
      <c r="U25" t="s">
        <v>557</v>
      </c>
      <c r="CE25" s="70">
        <f t="shared" ref="CE25" si="64">BatSplit(D25:CD25,MatchesPlayed)</f>
        <v>4</v>
      </c>
      <c r="CF25" s="70">
        <f t="shared" ref="CF25" si="65">CE25-CG25</f>
        <v>0</v>
      </c>
      <c r="CG25" s="70">
        <f t="shared" ref="CG25" si="66">BatSplit(D25:CD25,InnsBattedIn)</f>
        <v>4</v>
      </c>
      <c r="CH25" s="70">
        <f t="shared" ref="CH25" si="67">BatSplit(D25:CD25,NotOuts)</f>
        <v>0</v>
      </c>
      <c r="CI25" s="70">
        <f t="shared" ref="CI25" si="68">BatSplit(D25:CD25,HighestScore)</f>
        <v>15</v>
      </c>
      <c r="CJ25" s="74">
        <f t="shared" ref="CJ25" si="69">IF(CI25&lt;0,-CI25&amp;"*",CI25)</f>
        <v>15</v>
      </c>
      <c r="CK25" s="70">
        <f t="shared" ref="CK25" si="70">BatSplit(D25:CD25,RunsScored)</f>
        <v>31</v>
      </c>
      <c r="CL25" s="72">
        <f t="shared" ref="CL25" si="71">IF(CG25=CH25,0,CK25/(CG25-CH25))</f>
        <v>7.75</v>
      </c>
      <c r="CM25" s="70">
        <f t="shared" ref="CM25" si="72">BatSplit(D25:CD25,BatPts)</f>
        <v>31</v>
      </c>
      <c r="CN25" s="70">
        <f t="shared" ref="CN25" si="73">BatSplit(D25:CD25,FldPts)</f>
        <v>5</v>
      </c>
      <c r="CO25" s="73">
        <f t="array" ref="CO25">SUM(IF(ISERR(FIND("*",D25:CD25)),0,1))</f>
        <v>0</v>
      </c>
      <c r="CP25" s="73">
        <f t="array" ref="CP25">SUM(IF(ISERR(FIND("+",D25:CD25)),0,1))</f>
        <v>0</v>
      </c>
      <c r="CQ25" s="70">
        <f t="shared" ref="CQ25" si="74">BatSplit(D25:CD25,Ducks)</f>
        <v>0</v>
      </c>
      <c r="CR25" s="73">
        <f t="array" ref="CR25">SUM(IF(ISERR(FIND(CR$4,$D25:$CD25)),0,1))</f>
        <v>3</v>
      </c>
      <c r="CS25" s="73">
        <f t="array" ref="CS25">SUM(IF(ISERR(FIND(CS$4,$D25:$CD25)),0,1))</f>
        <v>0</v>
      </c>
      <c r="CT25" s="73">
        <f t="array" ref="CT25">SUM(IF(ISERR(FIND(CT$4,$D25:$CD25)),0,1))</f>
        <v>0</v>
      </c>
      <c r="CU25" s="73">
        <f t="array" ref="CU25">SUM(IF(ISERR(FIND(CU$4,$D25:$CD25)),0,1))</f>
        <v>0</v>
      </c>
      <c r="CV25" s="73">
        <f t="array" ref="CV25">SUM(IF(ISERR(FIND(CV$4,$D25:$CD25)),0,1))</f>
        <v>1</v>
      </c>
      <c r="CW25" s="73">
        <f t="array" ref="CW25">SUM(IF(ISERR(FIND(CW$4,$D25:$CD25)),0,1))</f>
        <v>0</v>
      </c>
      <c r="CX25" s="73"/>
      <c r="CY25" s="73">
        <f t="shared" ref="CY25" si="75">BatSplit(D25:CD25,Catches)</f>
        <v>1</v>
      </c>
      <c r="CZ25" s="73">
        <f t="shared" ref="CZ25" si="76">BatSplit(D25:CD25,Fours)</f>
        <v>0</v>
      </c>
      <c r="DA25" s="73">
        <f t="shared" ref="DA25" si="77">BatSplit(D25:CD25,Sixes)</f>
        <v>0</v>
      </c>
      <c r="DB25" s="73">
        <f t="shared" ref="DB25" si="78">BatSplit(D25:CD25,Stumpings)</f>
        <v>0</v>
      </c>
      <c r="DC25" s="73">
        <f t="shared" ref="DC25" si="79">BatSplit(D25:CD25,CaughtWkt)</f>
        <v>0</v>
      </c>
      <c r="DD25" s="73">
        <f t="shared" ref="DD25" si="80">BatSplit(D25:CD25,TwentyFives)</f>
        <v>0</v>
      </c>
      <c r="DE25" s="70">
        <f t="shared" ref="DE25" si="81">ROUND(IF(ISERROR(CL25),0,CL25),2)*100000+CG25*100+CE25+CK25/100+ROW()/100000</f>
        <v>775404.3102500001</v>
      </c>
      <c r="DF25" s="70">
        <f t="shared" si="1"/>
        <v>20</v>
      </c>
      <c r="DG25" s="70">
        <v>0</v>
      </c>
      <c r="DH25" s="92" t="str">
        <f t="shared" ref="DH25" si="82">IF(CK25&gt;=50,(CZ25*4+DA25*6+DG25*5)/CK25,"")</f>
        <v/>
      </c>
      <c r="DI25" s="100">
        <f t="shared" ref="DI25" si="83">CQ25/(CG25-CH25)</f>
        <v>0</v>
      </c>
    </row>
    <row r="26" spans="1:113" x14ac:dyDescent="0.15">
      <c r="C26" s="133" t="s">
        <v>630</v>
      </c>
      <c r="J26" t="s">
        <v>402</v>
      </c>
      <c r="K26" t="s">
        <v>413</v>
      </c>
      <c r="CE26" s="70">
        <f t="shared" ref="CE26" si="84">BatSplit(D26:CD26,MatchesPlayed)</f>
        <v>2</v>
      </c>
      <c r="CF26" s="70">
        <f t="shared" ref="CF26" si="85">CE26-CG26</f>
        <v>0</v>
      </c>
      <c r="CG26" s="70">
        <f t="shared" ref="CG26" si="86">BatSplit(D26:CD26,InnsBattedIn)</f>
        <v>2</v>
      </c>
      <c r="CH26" s="70">
        <f t="shared" ref="CH26" si="87">BatSplit(D26:CD26,NotOuts)</f>
        <v>0</v>
      </c>
      <c r="CI26" s="70">
        <f t="shared" ref="CI26" si="88">BatSplit(D26:CD26,HighestScore)</f>
        <v>31</v>
      </c>
      <c r="CJ26" s="74">
        <f t="shared" ref="CJ26" si="89">IF(CI26&lt;0,-CI26&amp;"*",CI26)</f>
        <v>31</v>
      </c>
      <c r="CK26" s="70">
        <f t="shared" ref="CK26" si="90">BatSplit(D26:CD26,RunsScored)</f>
        <v>37</v>
      </c>
      <c r="CL26" s="72">
        <f t="shared" ref="CL26" si="91">IF(CG26=CH26,0,CK26/(CG26-CH26))</f>
        <v>18.5</v>
      </c>
      <c r="CM26" s="70">
        <f t="shared" ref="CM26" si="92">BatSplit(D26:CD26,BatPts)</f>
        <v>37</v>
      </c>
      <c r="CN26" s="70">
        <f t="shared" ref="CN26" si="93">BatSplit(D26:CD26,FldPts)</f>
        <v>5</v>
      </c>
      <c r="CO26" s="73">
        <f t="array" ref="CO26">SUM(IF(ISERR(FIND("*",D26:CD26)),0,1))</f>
        <v>0</v>
      </c>
      <c r="CP26" s="73">
        <f t="array" ref="CP26">SUM(IF(ISERR(FIND("+",D26:CD26)),0,1))</f>
        <v>0</v>
      </c>
      <c r="CQ26" s="70">
        <f t="shared" ref="CQ26" si="94">BatSplit(D26:CD26,Ducks)</f>
        <v>0</v>
      </c>
      <c r="CR26" s="73">
        <f t="array" ref="CR26">SUM(IF(ISERR(FIND(CR$4,$D26:$CD26)),0,1))</f>
        <v>0</v>
      </c>
      <c r="CS26" s="73">
        <f t="array" ref="CS26">SUM(IF(ISERR(FIND(CS$4,$D26:$CD26)),0,1))</f>
        <v>2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0</v>
      </c>
      <c r="CW26" s="73">
        <f t="array" ref="CW26">SUM(IF(ISERR(FIND(CW$4,$D26:$CD26)),0,1))</f>
        <v>0</v>
      </c>
      <c r="CX26" s="73"/>
      <c r="CY26" s="73">
        <f t="shared" ref="CY26" si="95">BatSplit(D26:CD26,Catches)</f>
        <v>1</v>
      </c>
      <c r="CZ26" s="73">
        <f t="shared" ref="CZ26" si="96">BatSplit(D26:CD26,Fours)</f>
        <v>4</v>
      </c>
      <c r="DA26" s="73">
        <f t="shared" ref="DA26" si="97">BatSplit(D26:CD26,Sixes)</f>
        <v>1</v>
      </c>
      <c r="DB26" s="73">
        <f t="shared" ref="DB26" si="98">BatSplit(D26:CD26,Stumpings)</f>
        <v>0</v>
      </c>
      <c r="DC26" s="73">
        <f t="shared" ref="DC26" si="99">BatSplit(D26:CD26,CaughtWkt)</f>
        <v>0</v>
      </c>
      <c r="DD26" s="73">
        <f t="shared" ref="DD26" si="100">BatSplit(D26:CD26,TwentyFives)</f>
        <v>1</v>
      </c>
      <c r="DE26" s="70">
        <f t="shared" ref="DE26" si="101">ROUND(IF(ISERROR(CL26),0,CL26),2)*100000+CG26*100+CE26+CK26/100+ROW()/100000</f>
        <v>1850202.37026</v>
      </c>
      <c r="DF26" s="70">
        <f t="shared" si="1"/>
        <v>6</v>
      </c>
      <c r="DG26" s="70">
        <v>0</v>
      </c>
      <c r="DH26" s="92" t="str">
        <f t="shared" ref="DH26" si="102">IF(CK26&gt;=50,(CZ26*4+DA26*6+DG26*5)/CK26,"")</f>
        <v/>
      </c>
      <c r="DI26" s="100">
        <f t="shared" ref="DI26" si="103">CQ26/(CG26-CH26)</f>
        <v>0</v>
      </c>
    </row>
    <row r="27" spans="1:113" x14ac:dyDescent="0.15">
      <c r="B27" s="70" t="s">
        <v>31</v>
      </c>
      <c r="C27" s="70" t="s">
        <v>269</v>
      </c>
      <c r="E27" t="s">
        <v>323</v>
      </c>
      <c r="F27" t="s">
        <v>334</v>
      </c>
      <c r="G27" t="s">
        <v>345</v>
      </c>
      <c r="H27" t="s">
        <v>367</v>
      </c>
      <c r="J27" s="133" t="s">
        <v>403</v>
      </c>
      <c r="K27" s="133" t="s">
        <v>412</v>
      </c>
      <c r="N27" s="133"/>
      <c r="O27" s="133"/>
      <c r="P27" s="133"/>
      <c r="Q27"/>
      <c r="S27" t="s">
        <v>532</v>
      </c>
      <c r="T27" s="133"/>
      <c r="U27" s="133"/>
      <c r="CE27" s="70">
        <f t="shared" si="4"/>
        <v>7</v>
      </c>
      <c r="CF27" s="70">
        <f t="shared" si="5"/>
        <v>0</v>
      </c>
      <c r="CG27" s="70">
        <f t="shared" si="6"/>
        <v>7</v>
      </c>
      <c r="CH27" s="70">
        <f t="shared" si="7"/>
        <v>1</v>
      </c>
      <c r="CI27" s="70">
        <f t="shared" si="8"/>
        <v>57</v>
      </c>
      <c r="CJ27" s="74">
        <f t="shared" si="0"/>
        <v>57</v>
      </c>
      <c r="CK27" s="70">
        <f t="shared" si="9"/>
        <v>198</v>
      </c>
      <c r="CL27" s="72">
        <f t="shared" si="10"/>
        <v>33</v>
      </c>
      <c r="CM27" s="70">
        <f t="shared" si="11"/>
        <v>203</v>
      </c>
      <c r="CN27" s="70">
        <f t="shared" si="12"/>
        <v>5</v>
      </c>
      <c r="CO27" s="73">
        <f t="array" ref="CO27">SUM(IF(ISERR(FIND("*",D27:CD27)),0,1))</f>
        <v>0</v>
      </c>
      <c r="CP27" s="73">
        <f t="array" ref="CP27">SUM(IF(ISERR(FIND("+",D27:CD27)),0,1))</f>
        <v>0</v>
      </c>
      <c r="CQ27" s="70">
        <f t="shared" si="13"/>
        <v>1</v>
      </c>
      <c r="CR27" s="73">
        <f t="array" ref="CR27">SUM(IF(ISERR(FIND(CR$4,$D27:$CD27)),0,1))</f>
        <v>2</v>
      </c>
      <c r="CS27" s="73">
        <f t="array" ref="CS27">SUM(IF(ISERR(FIND(CS$4,$D27:$CD27)),0,1))</f>
        <v>2</v>
      </c>
      <c r="CT27" s="73">
        <f t="array" ref="CT27">SUM(IF(ISERR(FIND(CT$4,$D27:$CD27)),0,1))</f>
        <v>2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73"/>
      <c r="CY27" s="73">
        <f t="shared" si="14"/>
        <v>1</v>
      </c>
      <c r="CZ27" s="73">
        <f t="shared" si="15"/>
        <v>24</v>
      </c>
      <c r="DA27" s="73">
        <f t="shared" si="16"/>
        <v>3</v>
      </c>
      <c r="DB27" s="73">
        <f t="shared" si="17"/>
        <v>0</v>
      </c>
      <c r="DC27" s="73">
        <f t="shared" si="18"/>
        <v>0</v>
      </c>
      <c r="DD27" s="73">
        <f t="shared" si="19"/>
        <v>4</v>
      </c>
      <c r="DE27" s="70">
        <f t="shared" si="20"/>
        <v>3300708.9802700002</v>
      </c>
      <c r="DF27" s="70">
        <f t="shared" si="1"/>
        <v>2</v>
      </c>
      <c r="DG27" s="70">
        <v>0</v>
      </c>
      <c r="DH27" s="92">
        <f t="shared" si="21"/>
        <v>0.5757575757575758</v>
      </c>
      <c r="DI27" s="100">
        <f t="shared" si="22"/>
        <v>0.16666666666666666</v>
      </c>
    </row>
    <row r="28" spans="1:113" x14ac:dyDescent="0.15">
      <c r="C28" t="s">
        <v>535</v>
      </c>
      <c r="S28"/>
      <c r="T28" t="s">
        <v>536</v>
      </c>
      <c r="CE28" s="70">
        <f t="shared" si="4"/>
        <v>1</v>
      </c>
      <c r="CF28" s="70">
        <f t="shared" si="5"/>
        <v>0</v>
      </c>
      <c r="CG28" s="70">
        <f t="shared" si="6"/>
        <v>1</v>
      </c>
      <c r="CH28" s="70">
        <f t="shared" si="7"/>
        <v>0</v>
      </c>
      <c r="CI28" s="70">
        <f t="shared" si="8"/>
        <v>30</v>
      </c>
      <c r="CJ28" s="74">
        <f t="shared" si="0"/>
        <v>30</v>
      </c>
      <c r="CK28" s="70">
        <f t="shared" si="9"/>
        <v>30</v>
      </c>
      <c r="CL28" s="72">
        <f t="shared" si="10"/>
        <v>30</v>
      </c>
      <c r="CM28" s="70">
        <f t="shared" si="11"/>
        <v>30</v>
      </c>
      <c r="CN28" s="70">
        <f t="shared" si="12"/>
        <v>0</v>
      </c>
      <c r="CO28" s="73">
        <f t="array" ref="CO28">SUM(IF(ISERR(FIND("*",D28:CD28)),0,1))</f>
        <v>0</v>
      </c>
      <c r="CP28" s="73">
        <f t="array" ref="CP28">SUM(IF(ISERR(FIND("+",D28:CD28)),0,1))</f>
        <v>0</v>
      </c>
      <c r="CQ28" s="70">
        <f t="shared" si="13"/>
        <v>0</v>
      </c>
      <c r="CR28" s="73">
        <f t="array" ref="CR28">SUM(IF(ISERR(FIND(CR$4,$D28:$CD28)),0,1))</f>
        <v>1</v>
      </c>
      <c r="CS28" s="73">
        <f t="array" ref="CS28">SUM(IF(ISERR(FIND(CS$4,$D28:$CD28)),0,1))</f>
        <v>0</v>
      </c>
      <c r="CT28" s="73">
        <f t="array" ref="CT28">SUM(IF(ISERR(FIND(CT$4,$D28:$CD28)),0,1))</f>
        <v>0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73"/>
      <c r="CY28" s="73">
        <f t="shared" si="14"/>
        <v>0</v>
      </c>
      <c r="CZ28" s="73">
        <f t="shared" si="15"/>
        <v>0</v>
      </c>
      <c r="DA28" s="73">
        <f t="shared" si="16"/>
        <v>0</v>
      </c>
      <c r="DB28" s="73">
        <f t="shared" si="17"/>
        <v>0</v>
      </c>
      <c r="DC28" s="73">
        <f t="shared" si="18"/>
        <v>0</v>
      </c>
      <c r="DD28" s="73">
        <f t="shared" si="19"/>
        <v>1</v>
      </c>
      <c r="DE28" s="70">
        <f t="shared" si="20"/>
        <v>3000101.3002799996</v>
      </c>
      <c r="DF28" s="70">
        <f t="shared" si="1"/>
        <v>3</v>
      </c>
      <c r="DG28" s="70">
        <v>0</v>
      </c>
      <c r="DH28" s="92" t="str">
        <f t="shared" si="21"/>
        <v/>
      </c>
      <c r="DI28" s="100">
        <f t="shared" si="22"/>
        <v>0</v>
      </c>
    </row>
    <row r="29" spans="1:113" x14ac:dyDescent="0.15">
      <c r="B29" s="70" t="s">
        <v>213</v>
      </c>
      <c r="C29" s="70" t="s">
        <v>228</v>
      </c>
      <c r="K29" t="s">
        <v>411</v>
      </c>
      <c r="O29" s="133"/>
      <c r="Q29" t="s">
        <v>503</v>
      </c>
      <c r="R29" t="s">
        <v>517</v>
      </c>
      <c r="T29" s="133"/>
      <c r="V29" s="133"/>
      <c r="CE29" s="70">
        <f t="shared" si="4"/>
        <v>3</v>
      </c>
      <c r="CF29" s="70">
        <f t="shared" si="5"/>
        <v>0</v>
      </c>
      <c r="CG29" s="70">
        <f t="shared" si="6"/>
        <v>3</v>
      </c>
      <c r="CH29" s="70">
        <f t="shared" si="7"/>
        <v>0</v>
      </c>
      <c r="CI29" s="70">
        <f t="shared" si="8"/>
        <v>19</v>
      </c>
      <c r="CJ29" s="74">
        <f t="shared" si="0"/>
        <v>19</v>
      </c>
      <c r="CK29" s="70">
        <f t="shared" si="9"/>
        <v>29</v>
      </c>
      <c r="CL29" s="72">
        <f t="shared" si="10"/>
        <v>9.6666666666666661</v>
      </c>
      <c r="CM29" s="70">
        <f t="shared" si="11"/>
        <v>29</v>
      </c>
      <c r="CN29" s="70">
        <f t="shared" si="12"/>
        <v>0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>
        <f t="shared" si="13"/>
        <v>0</v>
      </c>
      <c r="CR29" s="73">
        <f t="array" ref="CR29">SUM(IF(ISERR(FIND(CR$4,$D29:$CD29)),0,1))</f>
        <v>2</v>
      </c>
      <c r="CS29" s="73">
        <f t="array" ref="CS29">SUM(IF(ISERR(FIND(CS$4,$D29:$CD29)),0,1))</f>
        <v>0</v>
      </c>
      <c r="CT29" s="73">
        <f t="array" ref="CT29">SUM(IF(ISERR(FIND(CT$4,$D29:$CD29)),0,1))</f>
        <v>0</v>
      </c>
      <c r="CU29" s="73">
        <f t="array" ref="CU29">SUM(IF(ISERR(FIND(CU$4,$D29:$CD29)),0,1))</f>
        <v>0</v>
      </c>
      <c r="CV29" s="73">
        <f t="array" ref="CV29">SUM(IF(ISERR(FIND(CV$4,$D29:$CD29)),0,1))</f>
        <v>1</v>
      </c>
      <c r="CW29" s="73">
        <f t="array" ref="CW29">SUM(IF(ISERR(FIND(CW$4,$D29:$CD29)),0,1))</f>
        <v>0</v>
      </c>
      <c r="CX29" s="73"/>
      <c r="CY29" s="73">
        <f t="shared" si="14"/>
        <v>0</v>
      </c>
      <c r="CZ29" s="73">
        <f t="shared" si="15"/>
        <v>5</v>
      </c>
      <c r="DA29" s="73">
        <f t="shared" si="16"/>
        <v>0</v>
      </c>
      <c r="DB29" s="73">
        <f t="shared" si="17"/>
        <v>0</v>
      </c>
      <c r="DC29" s="73">
        <f t="shared" si="18"/>
        <v>0</v>
      </c>
      <c r="DD29" s="73">
        <f t="shared" si="19"/>
        <v>0</v>
      </c>
      <c r="DE29" s="70">
        <f t="shared" si="20"/>
        <v>967303.29029000003</v>
      </c>
      <c r="DF29" s="70">
        <f t="shared" si="1"/>
        <v>15</v>
      </c>
      <c r="DG29" s="70">
        <v>0</v>
      </c>
      <c r="DH29" s="92" t="str">
        <f t="shared" si="21"/>
        <v/>
      </c>
      <c r="DI29" s="100">
        <f t="shared" si="22"/>
        <v>0</v>
      </c>
    </row>
    <row r="30" spans="1:113" x14ac:dyDescent="0.15">
      <c r="B30" s="70" t="s">
        <v>33</v>
      </c>
      <c r="C30" s="70" t="s">
        <v>234</v>
      </c>
      <c r="F30" t="s">
        <v>336</v>
      </c>
      <c r="H30" t="s">
        <v>245</v>
      </c>
      <c r="I30" t="s">
        <v>385</v>
      </c>
      <c r="J30" t="s">
        <v>408</v>
      </c>
      <c r="K30" t="s">
        <v>416</v>
      </c>
      <c r="L30" t="s">
        <v>433</v>
      </c>
      <c r="M30" t="s">
        <v>246</v>
      </c>
      <c r="N30" t="s">
        <v>255</v>
      </c>
      <c r="O30" t="s">
        <v>470</v>
      </c>
      <c r="P30" t="s">
        <v>493</v>
      </c>
      <c r="Q30" t="s">
        <v>245</v>
      </c>
      <c r="R30"/>
      <c r="S30" t="s">
        <v>533</v>
      </c>
      <c r="T30" t="s">
        <v>538</v>
      </c>
      <c r="U30" t="s">
        <v>244</v>
      </c>
      <c r="CE30" s="70">
        <f t="shared" si="4"/>
        <v>14</v>
      </c>
      <c r="CF30" s="70">
        <f t="shared" si="5"/>
        <v>4</v>
      </c>
      <c r="CG30" s="70">
        <f t="shared" si="6"/>
        <v>10</v>
      </c>
      <c r="CH30" s="70">
        <f t="shared" si="7"/>
        <v>3</v>
      </c>
      <c r="CI30" s="70">
        <f t="shared" si="8"/>
        <v>-22</v>
      </c>
      <c r="CJ30" s="74" t="str">
        <f t="shared" si="0"/>
        <v>22*</v>
      </c>
      <c r="CK30" s="70">
        <f t="shared" si="9"/>
        <v>57</v>
      </c>
      <c r="CL30" s="72">
        <f t="shared" si="10"/>
        <v>8.1428571428571423</v>
      </c>
      <c r="CM30" s="70">
        <f t="shared" si="11"/>
        <v>57</v>
      </c>
      <c r="CN30" s="70">
        <f t="shared" si="12"/>
        <v>15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>
        <f t="shared" si="13"/>
        <v>0</v>
      </c>
      <c r="CR30" s="73">
        <f t="array" ref="CR30">SUM(IF(ISERR(FIND(CR$4,$D30:$CD30)),0,1))</f>
        <v>3</v>
      </c>
      <c r="CS30" s="73">
        <f t="array" ref="CS30">SUM(IF(ISERR(FIND(CS$4,$D30:$CD30)),0,1))</f>
        <v>2</v>
      </c>
      <c r="CT30" s="73">
        <f t="array" ref="CT30">SUM(IF(ISERR(FIND(CT$4,$D30:$CD30)),0,1))</f>
        <v>1</v>
      </c>
      <c r="CU30" s="73">
        <f t="array" ref="CU30">SUM(IF(ISERR(FIND(CU$4,$D30:$CD30)),0,1))</f>
        <v>0</v>
      </c>
      <c r="CV30" s="73">
        <f t="array" ref="CV30">SUM(IF(ISERR(FIND(CV$4,$D30:$CD30)),0,1))</f>
        <v>1</v>
      </c>
      <c r="CW30" s="73">
        <f t="array" ref="CW30">SUM(IF(ISERR(FIND(CW$4,$D30:$CD30)),0,1))</f>
        <v>0</v>
      </c>
      <c r="CX30" s="73"/>
      <c r="CY30" s="73">
        <f t="shared" si="14"/>
        <v>3</v>
      </c>
      <c r="CZ30" s="73">
        <f t="shared" si="15"/>
        <v>4</v>
      </c>
      <c r="DA30" s="73">
        <f t="shared" si="16"/>
        <v>0</v>
      </c>
      <c r="DB30" s="73">
        <f t="shared" si="17"/>
        <v>0</v>
      </c>
      <c r="DC30" s="73">
        <f t="shared" si="18"/>
        <v>0</v>
      </c>
      <c r="DD30" s="73">
        <f t="shared" si="19"/>
        <v>0</v>
      </c>
      <c r="DE30" s="70">
        <f t="shared" si="20"/>
        <v>815014.5702999999</v>
      </c>
      <c r="DF30" s="70">
        <f t="shared" si="1"/>
        <v>18</v>
      </c>
      <c r="DG30" s="70">
        <v>0</v>
      </c>
      <c r="DH30" s="92">
        <f t="shared" si="21"/>
        <v>0.2807017543859649</v>
      </c>
      <c r="DI30" s="100">
        <f t="shared" si="22"/>
        <v>0</v>
      </c>
    </row>
    <row r="31" spans="1:113" x14ac:dyDescent="0.15">
      <c r="A31" s="70" t="s">
        <v>53</v>
      </c>
      <c r="B31" s="70" t="s">
        <v>27</v>
      </c>
      <c r="C31" s="70" t="s">
        <v>151</v>
      </c>
      <c r="E31" s="133" t="s">
        <v>320</v>
      </c>
      <c r="J31" t="s">
        <v>258</v>
      </c>
      <c r="L31" t="s">
        <v>430</v>
      </c>
      <c r="M31" t="s">
        <v>344</v>
      </c>
      <c r="N31" t="s">
        <v>275</v>
      </c>
      <c r="R31"/>
      <c r="S31" t="s">
        <v>530</v>
      </c>
      <c r="U31" t="s">
        <v>558</v>
      </c>
      <c r="CE31" s="70">
        <f t="shared" si="4"/>
        <v>7</v>
      </c>
      <c r="CF31" s="70">
        <f t="shared" si="5"/>
        <v>1</v>
      </c>
      <c r="CG31" s="70">
        <f t="shared" si="6"/>
        <v>6</v>
      </c>
      <c r="CH31" s="70">
        <f t="shared" si="7"/>
        <v>1</v>
      </c>
      <c r="CI31" s="70">
        <f t="shared" si="8"/>
        <v>-63</v>
      </c>
      <c r="CJ31" s="74" t="str">
        <f t="shared" si="0"/>
        <v>63*</v>
      </c>
      <c r="CK31" s="70">
        <f t="shared" si="9"/>
        <v>87</v>
      </c>
      <c r="CL31" s="72">
        <f t="shared" si="10"/>
        <v>17.399999999999999</v>
      </c>
      <c r="CM31" s="70">
        <f t="shared" si="11"/>
        <v>87</v>
      </c>
      <c r="CN31" s="70">
        <f t="shared" si="12"/>
        <v>20</v>
      </c>
      <c r="CO31" s="73">
        <f t="array" ref="CO31">SUM(IF(ISERR(FIND("*",D31:CD31)),0,1))</f>
        <v>0</v>
      </c>
      <c r="CP31" s="73">
        <f t="array" ref="CP31">SUM(IF(ISERR(FIND("+",D31:CD31)),0,1))</f>
        <v>1</v>
      </c>
      <c r="CQ31" s="70">
        <f t="shared" si="13"/>
        <v>2</v>
      </c>
      <c r="CR31" s="73">
        <f t="array" ref="CR31">SUM(IF(ISERR(FIND(CR$4,$D31:$CD31)),0,1))</f>
        <v>1</v>
      </c>
      <c r="CS31" s="73">
        <f t="array" ref="CS31">SUM(IF(ISERR(FIND(CS$4,$D31:$CD31)),0,1))</f>
        <v>2</v>
      </c>
      <c r="CT31" s="73">
        <f t="array" ref="CT31">SUM(IF(ISERR(FIND(CT$4,$D31:$CD31)),0,1))</f>
        <v>2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73"/>
      <c r="CY31" s="73">
        <f t="shared" si="14"/>
        <v>4</v>
      </c>
      <c r="CZ31" s="73">
        <f t="shared" si="15"/>
        <v>6</v>
      </c>
      <c r="DA31" s="73">
        <f t="shared" si="16"/>
        <v>3</v>
      </c>
      <c r="DB31" s="73">
        <f t="shared" si="17"/>
        <v>1</v>
      </c>
      <c r="DC31" s="73">
        <f t="shared" si="18"/>
        <v>0</v>
      </c>
      <c r="DD31" s="73">
        <f t="shared" si="19"/>
        <v>1</v>
      </c>
      <c r="DE31" s="70">
        <f t="shared" si="20"/>
        <v>1740607.8703099999</v>
      </c>
      <c r="DF31" s="70">
        <f t="shared" si="1"/>
        <v>8</v>
      </c>
      <c r="DG31" s="70">
        <v>0</v>
      </c>
      <c r="DH31" s="92">
        <f t="shared" si="21"/>
        <v>0.48275862068965519</v>
      </c>
      <c r="DI31" s="100">
        <f t="shared" si="22"/>
        <v>0.4</v>
      </c>
    </row>
    <row r="32" spans="1:113" x14ac:dyDescent="0.15">
      <c r="B32" s="133" t="s">
        <v>348</v>
      </c>
      <c r="C32" s="133" t="s">
        <v>349</v>
      </c>
      <c r="E32" s="133"/>
      <c r="G32" t="s">
        <v>350</v>
      </c>
      <c r="M32" s="133"/>
      <c r="P32" t="s">
        <v>333</v>
      </c>
      <c r="R32"/>
      <c r="U32"/>
      <c r="V32" t="s">
        <v>561</v>
      </c>
      <c r="CE32" s="70">
        <f t="shared" ref="CE32:CE33" si="104">BatSplit(D32:CD32,MatchesPlayed)</f>
        <v>3</v>
      </c>
      <c r="CF32" s="70">
        <f t="shared" ref="CF32:CF33" si="105">CE32-CG32</f>
        <v>0</v>
      </c>
      <c r="CG32" s="70">
        <f t="shared" ref="CG32:CG33" si="106">BatSplit(D32:CD32,InnsBattedIn)</f>
        <v>3</v>
      </c>
      <c r="CH32" s="70">
        <f t="shared" ref="CH32:CH33" si="107">BatSplit(D32:CD32,NotOuts)</f>
        <v>0</v>
      </c>
      <c r="CI32" s="70">
        <f t="shared" ref="CI32:CI33" si="108">BatSplit(D32:CD32,HighestScore)</f>
        <v>15</v>
      </c>
      <c r="CJ32" s="74">
        <f t="shared" ref="CJ32:CJ33" si="109">IF(CI32&lt;0,-CI32&amp;"*",CI32)</f>
        <v>15</v>
      </c>
      <c r="CK32" s="70">
        <f t="shared" ref="CK32:CK33" si="110">BatSplit(D32:CD32,RunsScored)</f>
        <v>35</v>
      </c>
      <c r="CL32" s="72">
        <f t="shared" ref="CL32:CL33" si="111">IF(CG32=CH32,0,CK32/(CG32-CH32))</f>
        <v>11.666666666666666</v>
      </c>
      <c r="CM32" s="70">
        <f t="shared" ref="CM32:CM33" si="112">BatSplit(D32:CD32,BatPts)</f>
        <v>35</v>
      </c>
      <c r="CN32" s="70">
        <f t="shared" ref="CN32:CN33" si="113">BatSplit(D32:CD32,FldPts)</f>
        <v>5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>
        <f t="shared" ref="CQ32:CQ33" si="114">BatSplit(D32:CD32,Ducks)</f>
        <v>0</v>
      </c>
      <c r="CR32" s="73">
        <f t="array" ref="CR32">SUM(IF(ISERR(FIND(CR$4,$D32:$CD32)),0,1))</f>
        <v>1</v>
      </c>
      <c r="CS32" s="73">
        <f t="array" ref="CS32">SUM(IF(ISERR(FIND(CS$4,$D32:$CD32)),0,1))</f>
        <v>2</v>
      </c>
      <c r="CT32" s="73">
        <f t="array" ref="CT32">SUM(IF(ISERR(FIND(CT$4,$D32:$CD32)),0,1))</f>
        <v>0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73"/>
      <c r="CY32" s="73">
        <f t="shared" ref="CY32:CY33" si="115">BatSplit(D32:CD32,Catches)</f>
        <v>1</v>
      </c>
      <c r="CZ32" s="73">
        <f t="shared" ref="CZ32:CZ33" si="116">BatSplit(D32:CD32,Fours)</f>
        <v>3</v>
      </c>
      <c r="DA32" s="73">
        <f t="shared" ref="DA32:DA33" si="117">BatSplit(D32:CD32,Sixes)</f>
        <v>0</v>
      </c>
      <c r="DB32" s="73">
        <f t="shared" ref="DB32:DB33" si="118">BatSplit(D32:CD32,Stumpings)</f>
        <v>0</v>
      </c>
      <c r="DC32" s="73">
        <f t="shared" ref="DC32:DC33" si="119">BatSplit(D32:CD32,CaughtWkt)</f>
        <v>0</v>
      </c>
      <c r="DD32" s="73">
        <f t="shared" ref="DD32:DD33" si="120">BatSplit(D32:CD32,TwentyFives)</f>
        <v>0</v>
      </c>
      <c r="DE32" s="70">
        <f t="shared" ref="DE32:DE33" si="121">ROUND(IF(ISERROR(CL32),0,CL32),2)*100000+CG32*100+CE32+CK32/100+ROW()/100000</f>
        <v>1167303.3503200002</v>
      </c>
      <c r="DF32" s="70">
        <f t="shared" si="1"/>
        <v>10</v>
      </c>
      <c r="DG32" s="70">
        <v>0</v>
      </c>
      <c r="DH32" s="92" t="str">
        <f t="shared" ref="DH32:DH33" si="122">IF(CK32&gt;=50,(CZ32*4+DA32*6+DG32*5)/CK32,"")</f>
        <v/>
      </c>
      <c r="DI32" s="100">
        <f t="shared" ref="DI32:DI33" si="123">CQ32/(CG32-CH32)</f>
        <v>0</v>
      </c>
    </row>
    <row r="33" spans="1:113" x14ac:dyDescent="0.15">
      <c r="B33" s="133" t="s">
        <v>324</v>
      </c>
      <c r="C33" s="133" t="s">
        <v>315</v>
      </c>
      <c r="E33" t="s">
        <v>325</v>
      </c>
      <c r="G33" t="s">
        <v>364</v>
      </c>
      <c r="M33" t="s">
        <v>245</v>
      </c>
      <c r="N33" t="s">
        <v>454</v>
      </c>
      <c r="P33" t="s">
        <v>489</v>
      </c>
      <c r="R33"/>
      <c r="U33"/>
      <c r="V33" t="s">
        <v>405</v>
      </c>
      <c r="CE33" s="70">
        <f t="shared" si="104"/>
        <v>6</v>
      </c>
      <c r="CF33" s="70">
        <f t="shared" si="105"/>
        <v>1</v>
      </c>
      <c r="CG33" s="70">
        <f t="shared" si="106"/>
        <v>5</v>
      </c>
      <c r="CH33" s="70">
        <f t="shared" si="107"/>
        <v>0</v>
      </c>
      <c r="CI33" s="70">
        <f t="shared" si="108"/>
        <v>25</v>
      </c>
      <c r="CJ33" s="74">
        <f t="shared" si="109"/>
        <v>25</v>
      </c>
      <c r="CK33" s="70">
        <f t="shared" si="110"/>
        <v>50</v>
      </c>
      <c r="CL33" s="72">
        <f t="shared" si="111"/>
        <v>10</v>
      </c>
      <c r="CM33" s="70">
        <f t="shared" si="112"/>
        <v>50</v>
      </c>
      <c r="CN33" s="70">
        <f t="shared" si="113"/>
        <v>0</v>
      </c>
      <c r="CO33" s="73">
        <f t="array" ref="CO33">SUM(IF(ISERR(FIND("*",D33:CD33)),0,1))</f>
        <v>0</v>
      </c>
      <c r="CP33" s="73">
        <f t="array" ref="CP33">SUM(IF(ISERR(FIND("+",D33:CD33)),0,1))</f>
        <v>0</v>
      </c>
      <c r="CQ33" s="70">
        <f t="shared" si="114"/>
        <v>0</v>
      </c>
      <c r="CR33" s="73">
        <f t="array" ref="CR33">SUM(IF(ISERR(FIND(CR$4,$D33:$CD33)),0,1))</f>
        <v>1</v>
      </c>
      <c r="CS33" s="73">
        <f t="array" ref="CS33">SUM(IF(ISERR(FIND(CS$4,$D33:$CD33)),0,1))</f>
        <v>4</v>
      </c>
      <c r="CT33" s="73">
        <f t="array" ref="CT33">SUM(IF(ISERR(FIND(CT$4,$D33:$CD33)),0,1))</f>
        <v>0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73"/>
      <c r="CY33" s="73">
        <f t="shared" si="115"/>
        <v>0</v>
      </c>
      <c r="CZ33" s="73">
        <f t="shared" si="116"/>
        <v>6</v>
      </c>
      <c r="DA33" s="73">
        <f t="shared" si="117"/>
        <v>1</v>
      </c>
      <c r="DB33" s="73">
        <f t="shared" si="118"/>
        <v>0</v>
      </c>
      <c r="DC33" s="73">
        <f t="shared" si="119"/>
        <v>0</v>
      </c>
      <c r="DD33" s="73">
        <f t="shared" si="120"/>
        <v>1</v>
      </c>
      <c r="DE33" s="70">
        <f t="shared" si="121"/>
        <v>1000506.50033</v>
      </c>
      <c r="DF33" s="70">
        <f t="shared" si="1"/>
        <v>14</v>
      </c>
      <c r="DG33" s="70">
        <v>0</v>
      </c>
      <c r="DH33" s="92">
        <f t="shared" si="122"/>
        <v>0.6</v>
      </c>
      <c r="DI33" s="100">
        <f t="shared" si="123"/>
        <v>0</v>
      </c>
    </row>
    <row r="34" spans="1:113" x14ac:dyDescent="0.15">
      <c r="B34" s="70" t="s">
        <v>30</v>
      </c>
      <c r="C34" s="70" t="s">
        <v>220</v>
      </c>
      <c r="D34" t="s">
        <v>243</v>
      </c>
      <c r="E34" t="s">
        <v>327</v>
      </c>
      <c r="F34" t="s">
        <v>337</v>
      </c>
      <c r="G34" t="s">
        <v>351</v>
      </c>
      <c r="H34" t="s">
        <v>368</v>
      </c>
      <c r="I34" t="s">
        <v>390</v>
      </c>
      <c r="L34" s="133" t="s">
        <v>255</v>
      </c>
      <c r="M34" s="133" t="s">
        <v>277</v>
      </c>
      <c r="N34" s="133" t="s">
        <v>452</v>
      </c>
      <c r="O34" s="133" t="s">
        <v>474</v>
      </c>
      <c r="P34" s="133" t="s">
        <v>488</v>
      </c>
      <c r="Q34" s="133" t="s">
        <v>507</v>
      </c>
      <c r="R34" s="133" t="s">
        <v>519</v>
      </c>
      <c r="T34" s="133" t="s">
        <v>505</v>
      </c>
      <c r="U34" s="133" t="s">
        <v>251</v>
      </c>
      <c r="V34" s="133" t="s">
        <v>566</v>
      </c>
      <c r="CE34" s="70">
        <f t="shared" si="4"/>
        <v>16</v>
      </c>
      <c r="CF34" s="70">
        <f t="shared" si="5"/>
        <v>2</v>
      </c>
      <c r="CG34" s="70">
        <f t="shared" si="6"/>
        <v>14</v>
      </c>
      <c r="CH34" s="70">
        <f t="shared" si="7"/>
        <v>0</v>
      </c>
      <c r="CI34" s="70">
        <f t="shared" si="8"/>
        <v>21</v>
      </c>
      <c r="CJ34" s="74">
        <f t="shared" si="0"/>
        <v>21</v>
      </c>
      <c r="CK34" s="70">
        <f t="shared" si="9"/>
        <v>81</v>
      </c>
      <c r="CL34" s="72">
        <f t="shared" si="10"/>
        <v>5.7857142857142856</v>
      </c>
      <c r="CM34" s="70">
        <f t="shared" si="11"/>
        <v>66</v>
      </c>
      <c r="CN34" s="70">
        <f t="shared" si="12"/>
        <v>10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 t="shared" si="13"/>
        <v>3</v>
      </c>
      <c r="CR34" s="73">
        <f t="array" ref="CR34">SUM(IF(ISERR(FIND(CR$4,$D34:$CD34)),0,1))</f>
        <v>5</v>
      </c>
      <c r="CS34" s="73">
        <f t="array" ref="CS34">SUM(IF(ISERR(FIND(CS$4,$D34:$CD34)),0,1))</f>
        <v>5</v>
      </c>
      <c r="CT34" s="73">
        <f t="array" ref="CT34">SUM(IF(ISERR(FIND(CT$4,$D34:$CD34)),0,1))</f>
        <v>2</v>
      </c>
      <c r="CU34" s="73">
        <f t="array" ref="CU34">SUM(IF(ISERR(FIND(CU$4,$D34:$CD34)),0,1))</f>
        <v>0</v>
      </c>
      <c r="CV34" s="73">
        <f t="array" ref="CV34">SUM(IF(ISERR(FIND(CV$4,$D34:$CD34)),0,1))</f>
        <v>2</v>
      </c>
      <c r="CW34" s="73">
        <f t="array" ref="CW34">SUM(IF(ISERR(FIND(CW$4,$D34:$CD34)),0,1))</f>
        <v>0</v>
      </c>
      <c r="CX34" s="73"/>
      <c r="CY34" s="73">
        <f t="shared" si="14"/>
        <v>2</v>
      </c>
      <c r="CZ34" s="73">
        <f t="shared" si="15"/>
        <v>4</v>
      </c>
      <c r="DA34" s="73">
        <f t="shared" si="16"/>
        <v>1</v>
      </c>
      <c r="DB34" s="73">
        <f t="shared" si="17"/>
        <v>0</v>
      </c>
      <c r="DC34" s="73">
        <f t="shared" si="18"/>
        <v>0</v>
      </c>
      <c r="DD34" s="73">
        <f t="shared" si="19"/>
        <v>0</v>
      </c>
      <c r="DE34" s="70">
        <f t="shared" si="20"/>
        <v>580416.81034000008</v>
      </c>
      <c r="DF34" s="70">
        <f t="shared" si="1"/>
        <v>25</v>
      </c>
      <c r="DG34" s="70">
        <v>0</v>
      </c>
      <c r="DH34" s="92">
        <f t="shared" si="21"/>
        <v>0.27160493827160492</v>
      </c>
      <c r="DI34" s="100">
        <f t="shared" si="22"/>
        <v>0.21428571428571427</v>
      </c>
    </row>
    <row r="35" spans="1:113" x14ac:dyDescent="0.15">
      <c r="B35" s="70" t="s">
        <v>213</v>
      </c>
      <c r="C35" s="70" t="s">
        <v>214</v>
      </c>
      <c r="D35" t="s">
        <v>275</v>
      </c>
      <c r="O35" t="s">
        <v>476</v>
      </c>
      <c r="Q35"/>
      <c r="CE35" s="70">
        <f>BatSplit(D35:CD35,MatchesPlayed)</f>
        <v>2</v>
      </c>
      <c r="CF35" s="70">
        <f>CE35-CG35</f>
        <v>1</v>
      </c>
      <c r="CG35" s="70">
        <f>BatSplit(D35:CD35,InnsBattedIn)</f>
        <v>1</v>
      </c>
      <c r="CH35" s="70">
        <f>BatSplit(D35:CD35,NotOuts)</f>
        <v>0</v>
      </c>
      <c r="CI35" s="70">
        <f>BatSplit(D35:CD35,HighestScore)</f>
        <v>0</v>
      </c>
      <c r="CJ35" s="74">
        <f t="shared" si="0"/>
        <v>0</v>
      </c>
      <c r="CK35" s="70">
        <f>BatSplit(D35:CD35,RunsScored)</f>
        <v>0</v>
      </c>
      <c r="CL35" s="72">
        <f>IF(CG35=CH35,0,CK35/(CG35-CH35))</f>
        <v>0</v>
      </c>
      <c r="CM35" s="70">
        <f>BatSplit(D35:CD35,BatPts)</f>
        <v>-5</v>
      </c>
      <c r="CN35" s="70">
        <f>BatSplit(D35:CD35,FldPts)</f>
        <v>0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>BatSplit(D35:CD35,Ducks)</f>
        <v>1</v>
      </c>
      <c r="CR35" s="73">
        <f t="array" ref="CR35">SUM(IF(ISERR(FIND(CR$4,$D35:$CD35)),0,1))</f>
        <v>0</v>
      </c>
      <c r="CS35" s="73">
        <f t="array" ref="CS35">SUM(IF(ISERR(FIND(CS$4,$D35:$CD35)),0,1))</f>
        <v>0</v>
      </c>
      <c r="CT35" s="73">
        <f t="array" ref="CT35">SUM(IF(ISERR(FIND(CT$4,$D35:$CD35)),0,1))</f>
        <v>1</v>
      </c>
      <c r="CU35" s="73">
        <f t="array" ref="CU35">SUM(IF(ISERR(FIND(CU$4,$D35:$CD35)),0,1))</f>
        <v>0</v>
      </c>
      <c r="CV35" s="73">
        <f t="array" ref="CV35">SUM(IF(ISERR(FIND(CV$4,$D35:$CD35)),0,1))</f>
        <v>0</v>
      </c>
      <c r="CW35" s="73">
        <f t="array" ref="CW35">SUM(IF(ISERR(FIND(CW$4,$D35:$CD35)),0,1))</f>
        <v>0</v>
      </c>
      <c r="CX35" s="132" t="str">
        <f>IF(CG35-CH35&gt;=10,MAX(CR35:CW35)/(CG35-CH35),"")</f>
        <v/>
      </c>
      <c r="CY35" s="73">
        <f>BatSplit(D35:CD35,Catches)</f>
        <v>0</v>
      </c>
      <c r="CZ35" s="73">
        <f>BatSplit(D35:CD35,Fours)</f>
        <v>0</v>
      </c>
      <c r="DA35" s="73">
        <f>BatSplit(D35:CD35,Sixes)</f>
        <v>0</v>
      </c>
      <c r="DB35" s="73">
        <f>BatSplit(D35:CD35,Stumpings)</f>
        <v>0</v>
      </c>
      <c r="DC35" s="73">
        <f>BatSplit(D35:CD35,CaughtWkt)</f>
        <v>0</v>
      </c>
      <c r="DD35" s="73">
        <f>BatSplit(D35:CD35,TwentyFives)</f>
        <v>0</v>
      </c>
      <c r="DE35" s="70">
        <f>ROUND(IF(ISERROR(CL35),0,CL35),2)*100000+CG35*100+CE35+CK35/100+ROW()/100000</f>
        <v>102.00035</v>
      </c>
      <c r="DF35" s="70">
        <f t="shared" si="1"/>
        <v>31</v>
      </c>
      <c r="DG35" s="70">
        <v>0</v>
      </c>
      <c r="DH35" s="92" t="str">
        <f>IF(CK35&gt;=50,(CZ35*4+DA35*6+DG35*5)/CK35,"")</f>
        <v/>
      </c>
      <c r="DI35" s="100">
        <f>CQ35/(CG35-CH35)</f>
        <v>1</v>
      </c>
    </row>
    <row r="36" spans="1:113" x14ac:dyDescent="0.15">
      <c r="A36" s="70" t="s">
        <v>60</v>
      </c>
      <c r="B36" s="70" t="s">
        <v>26</v>
      </c>
      <c r="C36" s="70" t="s">
        <v>153</v>
      </c>
      <c r="F36" t="s">
        <v>331</v>
      </c>
      <c r="N36"/>
      <c r="R36"/>
      <c r="S36"/>
      <c r="T36"/>
      <c r="V36" s="133"/>
      <c r="CE36" s="70">
        <f>BatSplit(D36:CD36,MatchesPlayed)</f>
        <v>1</v>
      </c>
      <c r="CF36" s="70">
        <f>CE36-CG36</f>
        <v>0</v>
      </c>
      <c r="CG36" s="70">
        <f>BatSplit(D36:CD36,InnsBattedIn)</f>
        <v>1</v>
      </c>
      <c r="CH36" s="70">
        <f>BatSplit(D36:CD36,NotOuts)</f>
        <v>0</v>
      </c>
      <c r="CI36" s="70">
        <f>BatSplit(D36:CD36,HighestScore)</f>
        <v>0</v>
      </c>
      <c r="CJ36" s="74">
        <f t="shared" si="0"/>
        <v>0</v>
      </c>
      <c r="CK36" s="70">
        <f>BatSplit(D36:CD36,RunsScored)</f>
        <v>0</v>
      </c>
      <c r="CL36" s="72">
        <f>IF(CG36=CH36,0,CK36/(CG36-CH36))</f>
        <v>0</v>
      </c>
      <c r="CM36" s="70">
        <f>BatSplit(D36:CD36,BatPts)</f>
        <v>-5</v>
      </c>
      <c r="CN36" s="70">
        <f>BatSplit(D36:CD36,FldPts)</f>
        <v>5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>BatSplit(D36:CD36,Ducks)</f>
        <v>1</v>
      </c>
      <c r="CR36" s="73">
        <f t="array" ref="CR36">SUM(IF(ISERR(FIND(CR$4,$D36:$CD36)),0,1))</f>
        <v>1</v>
      </c>
      <c r="CS36" s="73">
        <f t="array" ref="CS36">SUM(IF(ISERR(FIND(CS$4,$D36:$CD36)),0,1))</f>
        <v>0</v>
      </c>
      <c r="CT36" s="73">
        <f t="array" ref="CT36">SUM(IF(ISERR(FIND(CT$4,$D36:$CD36)),0,1))</f>
        <v>0</v>
      </c>
      <c r="CU36" s="73">
        <f t="array" ref="CU36">SUM(IF(ISERR(FIND(CU$4,$D36:$CD36)),0,1))</f>
        <v>0</v>
      </c>
      <c r="CV36" s="73">
        <f t="array" ref="CV36">SUM(IF(ISERR(FIND(CV$4,$D36:$CD36)),0,1))</f>
        <v>0</v>
      </c>
      <c r="CW36" s="73">
        <f t="array" ref="CW36">SUM(IF(ISERR(FIND(CW$4,$D36:$CD36)),0,1))</f>
        <v>0</v>
      </c>
      <c r="CX36" s="132" t="str">
        <f>IF(CG36-CH36&gt;=10,MAX(CR36:CW36)/(CG36-CH36),"")</f>
        <v/>
      </c>
      <c r="CY36" s="73">
        <f>BatSplit(D36:CD36,Catches)</f>
        <v>1</v>
      </c>
      <c r="CZ36" s="73">
        <f>BatSplit(D36:CD36,Fours)</f>
        <v>0</v>
      </c>
      <c r="DA36" s="73">
        <f>BatSplit(D36:CD36,Sixes)</f>
        <v>0</v>
      </c>
      <c r="DB36" s="73">
        <f>BatSplit(D36:CD36,Stumpings)</f>
        <v>0</v>
      </c>
      <c r="DC36" s="73">
        <f>BatSplit(D36:CD36,CaughtWkt)</f>
        <v>0</v>
      </c>
      <c r="DD36" s="73">
        <f>BatSplit(D36:CD36,TwentyFives)</f>
        <v>0</v>
      </c>
      <c r="DE36" s="70">
        <f>ROUND(IF(ISERROR(CL36),0,CL36),2)*100000+CG36*100+CE36+CK36/100+ROW()/100000</f>
        <v>101.00036</v>
      </c>
      <c r="DF36" s="70">
        <f t="shared" si="1"/>
        <v>34</v>
      </c>
      <c r="DG36" s="70">
        <v>0</v>
      </c>
      <c r="DH36" s="92" t="str">
        <f>IF(CK36&gt;=50,(CZ36*4+DA36*6+DG36*5)/CK36,"")</f>
        <v/>
      </c>
      <c r="DI36" s="100">
        <f>CQ36/(CG36-CH36)</f>
        <v>1</v>
      </c>
    </row>
    <row r="37" spans="1:113" x14ac:dyDescent="0.15">
      <c r="A37" s="70" t="s">
        <v>57</v>
      </c>
      <c r="B37" s="70" t="s">
        <v>32</v>
      </c>
      <c r="C37" s="70" t="s">
        <v>154</v>
      </c>
      <c r="D37" s="133" t="s">
        <v>312</v>
      </c>
      <c r="F37" s="62" t="s">
        <v>342</v>
      </c>
      <c r="H37" s="133" t="s">
        <v>366</v>
      </c>
      <c r="I37" s="62" t="s">
        <v>386</v>
      </c>
      <c r="J37" s="62" t="s">
        <v>404</v>
      </c>
      <c r="N37"/>
      <c r="O37" t="s">
        <v>471</v>
      </c>
      <c r="R37"/>
      <c r="S37"/>
      <c r="T37"/>
      <c r="V37" s="133"/>
      <c r="CE37" s="70">
        <f>BatSplit(D37:CD37,MatchesPlayed)</f>
        <v>6</v>
      </c>
      <c r="CF37" s="70">
        <f>CE37-CG37</f>
        <v>0</v>
      </c>
      <c r="CG37" s="70">
        <f>BatSplit(D37:CD37,InnsBattedIn)</f>
        <v>6</v>
      </c>
      <c r="CH37" s="70">
        <f>BatSplit(D37:CD37,NotOuts)</f>
        <v>0</v>
      </c>
      <c r="CI37" s="70">
        <f>BatSplit(D37:CD37,HighestScore)</f>
        <v>15</v>
      </c>
      <c r="CJ37" s="74">
        <f t="shared" ref="CJ37" si="124">IF(CI37&lt;0,-CI37&amp;"*",CI37)</f>
        <v>15</v>
      </c>
      <c r="CK37" s="70">
        <f>BatSplit(D37:CD37,RunsScored)</f>
        <v>38</v>
      </c>
      <c r="CL37" s="72">
        <f>IF(CG37=CH37,0,CK37/(CG37-CH37))</f>
        <v>6.333333333333333</v>
      </c>
      <c r="CM37" s="70">
        <f>BatSplit(D37:CD37,BatPts)</f>
        <v>38</v>
      </c>
      <c r="CN37" s="70">
        <f>BatSplit(D37:CD37,FldPts)</f>
        <v>0</v>
      </c>
      <c r="CO37" s="73">
        <f t="array" ref="CO37">SUM(IF(ISERR(FIND("*",D37:CD37)),0,1))</f>
        <v>0</v>
      </c>
      <c r="CP37" s="73">
        <f t="array" ref="CP37">SUM(IF(ISERR(FIND("+",D37:CD37)),0,1))</f>
        <v>5</v>
      </c>
      <c r="CQ37" s="70">
        <f>BatSplit(D37:CD37,Ducks)</f>
        <v>0</v>
      </c>
      <c r="CR37" s="73">
        <f t="array" ref="CR37">SUM(IF(ISERR(FIND(CR$4,$D37:$CD37)),0,1))</f>
        <v>1</v>
      </c>
      <c r="CS37" s="73">
        <f t="array" ref="CS37">SUM(IF(ISERR(FIND(CS$4,$D37:$CD37)),0,1))</f>
        <v>4</v>
      </c>
      <c r="CT37" s="73">
        <f t="array" ref="CT37">SUM(IF(ISERR(FIND(CT$4,$D37:$CD37)),0,1))</f>
        <v>1</v>
      </c>
      <c r="CU37" s="73">
        <f t="array" ref="CU37">SUM(IF(ISERR(FIND(CU$4,$D37:$CD37)),0,1))</f>
        <v>0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132" t="str">
        <f>IF(CG37-CH37&gt;=10,MAX(CR37:CW37)/(CG37-CH37),"")</f>
        <v/>
      </c>
      <c r="CY37" s="73">
        <f>BatSplit(D37:CD37,Catches)</f>
        <v>1</v>
      </c>
      <c r="CZ37" s="73">
        <f>BatSplit(D37:CD37,Fours)</f>
        <v>4</v>
      </c>
      <c r="DA37" s="73">
        <f>BatSplit(D37:CD37,Sixes)</f>
        <v>0</v>
      </c>
      <c r="DB37" s="73">
        <f>BatSplit(D37:CD37,Stumpings)</f>
        <v>0</v>
      </c>
      <c r="DC37" s="73">
        <f>BatSplit(D37:CD37,CaughtWkt)</f>
        <v>1</v>
      </c>
      <c r="DD37" s="73">
        <f>BatSplit(D37:CD37,TwentyFives)</f>
        <v>0</v>
      </c>
      <c r="DE37" s="70">
        <f>ROUND(IF(ISERROR(CL37),0,CL37),2)*100000+CG37*100+CE37+CK37/100+ROW()/100000</f>
        <v>633606.38037000003</v>
      </c>
      <c r="DF37" s="70">
        <f t="shared" si="1"/>
        <v>23</v>
      </c>
      <c r="DG37" s="70">
        <v>0</v>
      </c>
      <c r="DH37" s="92" t="str">
        <f>IF(CK37&gt;=50,(CZ37*4+DA37*6+DG37*5)/CK37,"")</f>
        <v/>
      </c>
      <c r="DI37" s="100">
        <f>CQ37/(CG37-CH37)</f>
        <v>0</v>
      </c>
    </row>
    <row r="38" spans="1:113" x14ac:dyDescent="0.15">
      <c r="B38" t="s">
        <v>198</v>
      </c>
      <c r="C38" t="s">
        <v>442</v>
      </c>
      <c r="D38" s="133"/>
      <c r="E38" s="133"/>
      <c r="F38" s="133"/>
      <c r="G38" s="133"/>
      <c r="H38" s="133"/>
      <c r="I38" s="133"/>
      <c r="J38" s="133"/>
      <c r="M38" t="s">
        <v>449</v>
      </c>
      <c r="N38" t="s">
        <v>455</v>
      </c>
      <c r="O38"/>
      <c r="Q38" t="s">
        <v>506</v>
      </c>
      <c r="R38" t="s">
        <v>523</v>
      </c>
      <c r="S38"/>
      <c r="U38"/>
      <c r="CE38" s="70">
        <f>BatSplit(D38:CD38,MatchesPlayed)</f>
        <v>4</v>
      </c>
      <c r="CF38" s="70">
        <f>CE38-CG38</f>
        <v>1</v>
      </c>
      <c r="CG38" s="70">
        <f>BatSplit(D38:CD38,InnsBattedIn)</f>
        <v>3</v>
      </c>
      <c r="CH38" s="70">
        <f>BatSplit(D38:CD38,NotOuts)</f>
        <v>1</v>
      </c>
      <c r="CI38" s="70">
        <f>BatSplit(D38:CD38,HighestScore)</f>
        <v>25</v>
      </c>
      <c r="CJ38" s="74">
        <f t="shared" si="0"/>
        <v>25</v>
      </c>
      <c r="CK38" s="70">
        <f>BatSplit(D38:CD38,RunsScored)</f>
        <v>45</v>
      </c>
      <c r="CL38" s="72">
        <f>IF(CG38=CH38,0,CK38/(CG38-CH38))</f>
        <v>22.5</v>
      </c>
      <c r="CM38" s="70">
        <f>BatSplit(D38:CD38,BatPts)</f>
        <v>45</v>
      </c>
      <c r="CN38" s="70">
        <f>BatSplit(D38:CD38,FldPts)</f>
        <v>15</v>
      </c>
      <c r="CO38" s="73">
        <f t="array" ref="CO38">SUM(IF(ISERR(FIND("*",D38:CD38)),0,1))</f>
        <v>0</v>
      </c>
      <c r="CP38" s="73">
        <f t="array" ref="CP38">SUM(IF(ISERR(FIND("+",D38:CD38)),0,1))</f>
        <v>0</v>
      </c>
      <c r="CQ38" s="70">
        <f>BatSplit(D38:CD38,Ducks)</f>
        <v>0</v>
      </c>
      <c r="CR38" s="73">
        <f t="array" ref="CR38">SUM(IF(ISERR(FIND(CR$4,$D38:$CD38)),0,1))</f>
        <v>0</v>
      </c>
      <c r="CS38" s="73">
        <f t="array" ref="CS38">SUM(IF(ISERR(FIND(CS$4,$D38:$CD38)),0,1))</f>
        <v>1</v>
      </c>
      <c r="CT38" s="73">
        <f t="array" ref="CT38">SUM(IF(ISERR(FIND(CT$4,$D38:$CD38)),0,1))</f>
        <v>0</v>
      </c>
      <c r="CU38" s="73">
        <f t="array" ref="CU38">SUM(IF(ISERR(FIND(CU$4,$D38:$CD38)),0,1))</f>
        <v>0</v>
      </c>
      <c r="CV38" s="73">
        <f t="array" ref="CV38">SUM(IF(ISERR(FIND(CV$4,$D38:$CD38)),0,1))</f>
        <v>1</v>
      </c>
      <c r="CW38" s="73">
        <f t="array" ref="CW38">SUM(IF(ISERR(FIND(CW$4,$D38:$CD38)),0,1))</f>
        <v>0</v>
      </c>
      <c r="CX38" s="132" t="str">
        <f>IF(CG38-CH38&gt;=10,MAX(CR38:CW38)/(CG38-CH38),"")</f>
        <v/>
      </c>
      <c r="CY38" s="73">
        <f>BatSplit(D38:CD38,Catches)</f>
        <v>3</v>
      </c>
      <c r="CZ38" s="73">
        <f>BatSplit(D38:CD38,Fours)</f>
        <v>4</v>
      </c>
      <c r="DA38" s="73">
        <f>BatSplit(D38:CD38,Sixes)</f>
        <v>1</v>
      </c>
      <c r="DB38" s="73">
        <f>BatSplit(D38:CD38,Stumpings)</f>
        <v>0</v>
      </c>
      <c r="DC38" s="73">
        <f>BatSplit(D38:CD38,CaughtWkt)</f>
        <v>0</v>
      </c>
      <c r="DD38" s="73">
        <f>BatSplit(D38:CD38,TwentyFives)</f>
        <v>1</v>
      </c>
      <c r="DE38" s="70">
        <f>ROUND(IF(ISERROR(CL38),0,CL38),2)*100000+CG38*100+CE38+CK38/100+ROW()/100000</f>
        <v>2250304.4503800003</v>
      </c>
      <c r="DF38" s="70">
        <f t="shared" si="1"/>
        <v>5</v>
      </c>
      <c r="DG38" s="70">
        <v>0</v>
      </c>
      <c r="DH38" s="92" t="str">
        <f>IF(CK38&gt;=50,(CZ38*4+DA38*6+DG38*5)/CK38,"")</f>
        <v/>
      </c>
      <c r="DI38" s="100">
        <f>CQ38/(CG38-CH38)</f>
        <v>0</v>
      </c>
    </row>
    <row r="39" spans="1:113" x14ac:dyDescent="0.15">
      <c r="CJ39" s="74"/>
      <c r="CL39" s="72"/>
      <c r="CO39" s="73"/>
      <c r="CP39" s="73"/>
      <c r="CR39" s="73"/>
      <c r="CS39" s="73"/>
      <c r="CT39" s="73"/>
      <c r="CU39" s="73"/>
      <c r="CV39" s="73"/>
      <c r="CW39" s="73"/>
      <c r="CX39" s="73"/>
    </row>
    <row r="40" spans="1:113" x14ac:dyDescent="0.15">
      <c r="CO40" s="93">
        <f t="shared" ref="CO40:CV40" si="125">SUM(CO5:CO39)</f>
        <v>18</v>
      </c>
      <c r="CP40" s="93">
        <f t="shared" si="125"/>
        <v>17</v>
      </c>
      <c r="CQ40" s="62">
        <f t="shared" si="125"/>
        <v>23</v>
      </c>
      <c r="CR40" s="75">
        <f t="shared" si="125"/>
        <v>53</v>
      </c>
      <c r="CS40" s="75">
        <f t="shared" si="125"/>
        <v>61</v>
      </c>
      <c r="CT40" s="75">
        <f t="shared" si="125"/>
        <v>17</v>
      </c>
      <c r="CU40" s="75">
        <f t="shared" si="125"/>
        <v>0</v>
      </c>
      <c r="CV40" s="75">
        <f t="shared" si="125"/>
        <v>8</v>
      </c>
      <c r="CW40" s="75"/>
      <c r="CX40" s="75"/>
      <c r="CY40" s="62">
        <f t="shared" ref="CY40:DD40" si="126">SUM(CY5:CY39)</f>
        <v>42</v>
      </c>
      <c r="CZ40" s="62">
        <f t="shared" si="126"/>
        <v>152</v>
      </c>
      <c r="DA40" s="62">
        <f t="shared" si="126"/>
        <v>11</v>
      </c>
      <c r="DB40" s="62">
        <f t="shared" si="126"/>
        <v>1</v>
      </c>
      <c r="DC40" s="62">
        <f t="shared" si="126"/>
        <v>6</v>
      </c>
      <c r="DD40" s="62">
        <f t="shared" si="126"/>
        <v>15</v>
      </c>
    </row>
    <row r="41" spans="1:113" x14ac:dyDescent="0.15">
      <c r="C41" s="70" t="s">
        <v>130</v>
      </c>
      <c r="D41" s="70">
        <f t="array" ref="D41">SUM(IF(NOT(ISERR(FIND("*",D5:D38))),1,0))</f>
        <v>1</v>
      </c>
      <c r="E41" s="70">
        <f t="array" ref="E41">SUM(IF(NOT(ISERR(FIND("*",E5:E38))),1,0))</f>
        <v>1</v>
      </c>
      <c r="F41" s="70">
        <f t="array" ref="F41">SUM(IF(NOT(ISERR(FIND("*",F5:F38))),1,0))</f>
        <v>1</v>
      </c>
      <c r="G41" s="70">
        <f t="array" ref="G41">SUM(IF(NOT(ISERR(FIND("*",G5:G38))),1,0))</f>
        <v>1</v>
      </c>
      <c r="H41" s="70">
        <f t="array" ref="H41">SUM(IF(NOT(ISERR(FIND("*",H5:H38))),1,0))</f>
        <v>1</v>
      </c>
      <c r="I41" s="70">
        <f t="array" ref="I41">SUM(IF(NOT(ISERR(FIND("*",I5:I38))),1,0))</f>
        <v>1</v>
      </c>
      <c r="J41" s="70">
        <f t="array" ref="J41">SUM(IF(NOT(ISERR(FIND("*",J5:J38))),1,0))</f>
        <v>1</v>
      </c>
      <c r="K41" s="70">
        <f t="array" ref="K41">SUM(IF(NOT(ISERR(FIND("*",K5:K38))),1,0))</f>
        <v>1</v>
      </c>
      <c r="L41" s="70">
        <f t="array" ref="L41">SUM(IF(NOT(ISERR(FIND("*",L5:L38))),1,0))</f>
        <v>0</v>
      </c>
      <c r="M41" s="70">
        <f t="array" ref="M41">SUM(IF(NOT(ISERR(FIND("*",M5:M38))),1,0))</f>
        <v>1</v>
      </c>
      <c r="N41" s="70">
        <f t="array" ref="N41">SUM(IF(NOT(ISERR(FIND("*",N5:N38))),1,0))</f>
        <v>1</v>
      </c>
      <c r="O41" s="70">
        <f t="array" ref="O41">SUM(IF(NOT(ISERR(FIND("*",O5:O38))),1,0))</f>
        <v>1</v>
      </c>
      <c r="P41" s="70">
        <f t="array" ref="P41">SUM(IF(NOT(ISERR(FIND("*",P5:P38))),1,0))</f>
        <v>1</v>
      </c>
      <c r="Q41" s="70">
        <f t="array" ref="Q41">SUM(IF(NOT(ISERR(FIND("*",Q5:Q38))),1,0))</f>
        <v>1</v>
      </c>
      <c r="R41" s="70">
        <f t="array" ref="R41">SUM(IF(NOT(ISERR(FIND("*",R5:R38))),1,0))</f>
        <v>1</v>
      </c>
      <c r="S41" s="70">
        <f t="array" ref="S41">SUM(IF(NOT(ISERR(FIND("*",S5:S38))),1,0))</f>
        <v>1</v>
      </c>
      <c r="T41" s="70">
        <f t="array" ref="T41">SUM(IF(NOT(ISERR(FIND("*",T5:T38))),1,0))</f>
        <v>1</v>
      </c>
      <c r="U41" s="70">
        <f t="array" ref="U41">SUM(IF(NOT(ISERR(FIND("*",U5:U38))),1,0))</f>
        <v>1</v>
      </c>
      <c r="V41" s="70">
        <f t="array" ref="V41">SUM(IF(NOT(ISERR(FIND("*",V5:V38))),1,0))</f>
        <v>1</v>
      </c>
      <c r="W41" s="70">
        <f t="array" ref="W41">SUM(IF(NOT(ISERR(FIND("*",W5:W38))),1,0))</f>
        <v>0</v>
      </c>
      <c r="X41" s="70">
        <f t="array" ref="X41">SUM(IF(NOT(ISERR(FIND("*",X5:X38))),1,0))</f>
        <v>0</v>
      </c>
      <c r="Y41" s="70">
        <f t="array" ref="Y41">SUM(IF(NOT(ISERR(FIND("*",Y5:Y38))),1,0))</f>
        <v>0</v>
      </c>
      <c r="Z41" s="70">
        <f t="array" ref="Z41">SUM(IF(NOT(ISERR(FIND("*",Z5:Z38))),1,0))</f>
        <v>0</v>
      </c>
      <c r="AA41" s="70">
        <f t="array" ref="AA41">SUM(IF(NOT(ISERR(FIND("*",AA5:AA38))),1,0))</f>
        <v>0</v>
      </c>
      <c r="AB41" s="70">
        <f t="array" ref="AB41">SUM(IF(NOT(ISERR(FIND("*",AB5:AB38))),1,0))</f>
        <v>0</v>
      </c>
      <c r="AC41" s="70">
        <f t="array" ref="AC41">SUM(IF(NOT(ISERR(FIND("*",AC5:AC38))),1,0))</f>
        <v>0</v>
      </c>
      <c r="AD41" s="70">
        <f t="array" ref="AD41">SUM(IF(NOT(ISERR(FIND("*",AD5:AD38))),1,0))</f>
        <v>0</v>
      </c>
      <c r="AE41" s="70">
        <f t="array" ref="AE41">SUM(IF(NOT(ISERR(FIND("*",AE5:AE38))),1,0))</f>
        <v>0</v>
      </c>
      <c r="AF41" s="70">
        <f t="array" ref="AF41">SUM(IF(NOT(ISERR(FIND("*",AF5:AF38))),1,0))</f>
        <v>0</v>
      </c>
      <c r="AG41" s="70">
        <f t="array" ref="AG41">SUM(IF(NOT(ISERR(FIND("*",AG5:AG38))),1,0))</f>
        <v>0</v>
      </c>
      <c r="AH41" s="70">
        <f t="array" ref="AH41">SUM(IF(NOT(ISERR(FIND("*",AH5:AH38))),1,0))</f>
        <v>0</v>
      </c>
      <c r="AI41" s="70">
        <f t="array" ref="AI41">SUM(IF(NOT(ISERR(FIND("*",AI5:AI38))),1,0))</f>
        <v>0</v>
      </c>
      <c r="AJ41" s="70">
        <f t="array" ref="AJ41">SUM(IF(NOT(ISERR(FIND("*",AJ5:AJ38))),1,0))</f>
        <v>0</v>
      </c>
      <c r="AK41" s="70">
        <f t="array" ref="AK41">SUM(IF(NOT(ISERR(FIND("*",AK5:AK38))),1,0))</f>
        <v>0</v>
      </c>
      <c r="AL41" s="70">
        <f t="array" ref="AL41">SUM(IF(NOT(ISERR(FIND("*",AL5:AL38))),1,0))</f>
        <v>0</v>
      </c>
      <c r="AM41" s="70">
        <f t="array" ref="AM41">SUM(IF(NOT(ISERR(FIND("*",AM5:AM38))),1,0))</f>
        <v>0</v>
      </c>
      <c r="AN41" s="70">
        <f t="array" ref="AN41">SUM(IF(NOT(ISERR(FIND("*",AN5:AN38))),1,0))</f>
        <v>0</v>
      </c>
      <c r="AO41" s="70">
        <f t="array" ref="AO41">SUM(IF(NOT(ISERR(FIND("*",AO5:AO38))),1,0))</f>
        <v>0</v>
      </c>
      <c r="AP41" s="70">
        <f t="array" ref="AP41">SUM(IF(NOT(ISERR(FIND("*",AP5:AP38))),1,0))</f>
        <v>0</v>
      </c>
      <c r="AQ41" s="70">
        <f t="array" ref="AQ41">SUM(IF(NOT(ISERR(FIND("*",AQ5:AQ38))),1,0))</f>
        <v>0</v>
      </c>
      <c r="AR41" s="70">
        <f t="array" ref="AR41">SUM(IF(NOT(ISERR(FIND("*",AR5:AR38))),1,0))</f>
        <v>0</v>
      </c>
      <c r="AS41" s="70">
        <f t="array" ref="AS41">SUM(IF(NOT(ISERR(FIND("*",AS5:AS38))),1,0))</f>
        <v>0</v>
      </c>
      <c r="AT41" s="70">
        <f t="array" ref="AT41">SUM(IF(NOT(ISERR(FIND("*",AT5:AT38))),1,0))</f>
        <v>0</v>
      </c>
      <c r="AU41" s="70">
        <f t="array" ref="AU41">SUM(IF(NOT(ISERR(FIND("*",AU5:AU38))),1,0))</f>
        <v>0</v>
      </c>
      <c r="AV41" s="70">
        <f t="array" ref="AV41">SUM(IF(NOT(ISERR(FIND("*",AV5:AV38))),1,0))</f>
        <v>0</v>
      </c>
      <c r="AW41" s="70">
        <f t="array" ref="AW41">SUM(IF(NOT(ISERR(FIND("*",AW5:AW38))),1,0))</f>
        <v>0</v>
      </c>
      <c r="AX41" s="70">
        <f t="array" ref="AX41">SUM(IF(NOT(ISERR(FIND("*",AX5:AX38))),1,0))</f>
        <v>0</v>
      </c>
      <c r="AY41" s="70">
        <f t="array" ref="AY41">SUM(IF(NOT(ISERR(FIND("*",AY5:AY38))),1,0))</f>
        <v>0</v>
      </c>
      <c r="AZ41" s="70">
        <f t="array" ref="AZ41">SUM(IF(NOT(ISERR(FIND("*",AZ5:AZ38))),1,0))</f>
        <v>0</v>
      </c>
      <c r="BA41" s="70">
        <f t="array" ref="BA41">SUM(IF(NOT(ISERR(FIND("*",BA5:BA38))),1,0))</f>
        <v>0</v>
      </c>
      <c r="BB41" s="70">
        <f t="array" ref="BB41">SUM(IF(NOT(ISERR(FIND("*",BB5:BB38))),1,0))</f>
        <v>0</v>
      </c>
      <c r="BC41" s="70">
        <f t="array" ref="BC41">SUM(IF(NOT(ISERR(FIND("*",BC5:BC38))),1,0))</f>
        <v>0</v>
      </c>
      <c r="BD41" s="70">
        <f t="array" ref="BD41">SUM(IF(NOT(ISERR(FIND("*",BD5:BD38))),1,0))</f>
        <v>0</v>
      </c>
      <c r="BE41" s="70">
        <f t="array" ref="BE41">SUM(IF(NOT(ISERR(FIND("*",BE5:BE38))),1,0))</f>
        <v>0</v>
      </c>
      <c r="BF41" s="70">
        <f t="array" ref="BF41">SUM(IF(NOT(ISERR(FIND("*",BF5:BF38))),1,0))</f>
        <v>0</v>
      </c>
      <c r="CE41" s="70">
        <f>SUM(D41:BF41)</f>
        <v>18</v>
      </c>
      <c r="CO41" s="94">
        <f>SUM(D41:BF41)</f>
        <v>18</v>
      </c>
      <c r="CP41" s="62"/>
      <c r="CQ41" s="62"/>
      <c r="CR41" s="75">
        <f>SUM(CR40:CV40)</f>
        <v>139</v>
      </c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</row>
    <row r="42" spans="1:113" x14ac:dyDescent="0.15">
      <c r="C42" s="70" t="s">
        <v>14</v>
      </c>
      <c r="D42" s="70">
        <f t="array" ref="D42">SUM(IF(NOT(ISERR(FIND("+",D5:D38))),1,0))</f>
        <v>0</v>
      </c>
      <c r="E42" s="70">
        <f t="array" ref="E42">SUM(IF(NOT(ISERR(FIND("+",E5:E38))),1,0))</f>
        <v>1</v>
      </c>
      <c r="F42" s="70">
        <f t="array" ref="F42">SUM(IF(NOT(ISERR(FIND("+",F5:F38))),1,0))</f>
        <v>1</v>
      </c>
      <c r="G42" s="70">
        <f t="array" ref="G42">SUM(IF(NOT(ISERR(FIND("+",G5:G38))),1,0))</f>
        <v>1</v>
      </c>
      <c r="H42" s="70">
        <f t="array" ref="H42">SUM(IF(NOT(ISERR(FIND("+",H5:H38))),1,0))</f>
        <v>1</v>
      </c>
      <c r="I42" s="70">
        <f t="array" ref="I42">SUM(IF(NOT(ISERR(FIND("+",I5:I38))),1,0))</f>
        <v>1</v>
      </c>
      <c r="J42" s="70">
        <f t="array" ref="J42">SUM(IF(NOT(ISERR(FIND("+",J5:J38))),1,0))</f>
        <v>1</v>
      </c>
      <c r="K42" s="70">
        <f t="array" ref="K42">SUM(IF(NOT(ISERR(FIND("+",K5:K38))),1,0))</f>
        <v>1</v>
      </c>
      <c r="L42" s="70">
        <f t="array" ref="L42">SUM(IF(NOT(ISERR(FIND("+",L5:L38))),1,0))</f>
        <v>1</v>
      </c>
      <c r="M42" s="70">
        <f t="array" ref="M42">SUM(IF(NOT(ISERR(FIND("+",M5:M38))),1,0))</f>
        <v>1</v>
      </c>
      <c r="N42" s="70">
        <f t="array" ref="N42">SUM(IF(NOT(ISERR(FIND("+",N5:N38))),1,0))</f>
        <v>1</v>
      </c>
      <c r="O42" s="70">
        <f t="array" ref="O42">SUM(IF(NOT(ISERR(FIND("+",O5:O38))),1,0))</f>
        <v>1</v>
      </c>
      <c r="P42" s="70">
        <f t="array" ref="P42">SUM(IF(NOT(ISERR(FIND("+",P5:P38))),1,0))</f>
        <v>1</v>
      </c>
      <c r="Q42" s="70">
        <f t="array" ref="Q42">SUM(IF(NOT(ISERR(FIND("+",Q5:Q38))),1,0))</f>
        <v>1</v>
      </c>
      <c r="R42" s="70">
        <f t="array" ref="R42">SUM(IF(NOT(ISERR(FIND("+",R5:R38))),1,0))</f>
        <v>1</v>
      </c>
      <c r="S42" s="70">
        <f t="array" ref="S42">SUM(IF(NOT(ISERR(FIND("+",S5:S38))),1,0))</f>
        <v>1</v>
      </c>
      <c r="T42" s="70">
        <f t="array" ref="T42">SUM(IF(NOT(ISERR(FIND("+",T5:T38))),1,0))</f>
        <v>1</v>
      </c>
      <c r="U42" s="70">
        <f t="array" ref="U42">SUM(IF(NOT(ISERR(FIND("+",U5:U38))),1,0))</f>
        <v>1</v>
      </c>
      <c r="V42" s="70">
        <f t="array" ref="V42">SUM(IF(NOT(ISERR(FIND("+",V5:V38))),1,0))</f>
        <v>0</v>
      </c>
      <c r="W42" s="70">
        <f t="array" ref="W42">SUM(IF(NOT(ISERR(FIND("+",W5:W38))),1,0))</f>
        <v>0</v>
      </c>
      <c r="X42" s="70">
        <f t="array" ref="X42">SUM(IF(NOT(ISERR(FIND("+",X5:X38))),1,0))</f>
        <v>0</v>
      </c>
      <c r="Y42" s="70">
        <f t="array" ref="Y42">SUM(IF(NOT(ISERR(FIND("+",Y5:Y38))),1,0))</f>
        <v>0</v>
      </c>
      <c r="Z42" s="70">
        <f t="array" ref="Z42">SUM(IF(NOT(ISERR(FIND("+",Z5:Z38))),1,0))</f>
        <v>0</v>
      </c>
      <c r="AA42" s="70">
        <f t="array" ref="AA42">SUM(IF(NOT(ISERR(FIND("+",AA5:AA38))),1,0))</f>
        <v>0</v>
      </c>
      <c r="AB42" s="70">
        <f t="array" ref="AB42">SUM(IF(NOT(ISERR(FIND("+",AB5:AB38))),1,0))</f>
        <v>0</v>
      </c>
      <c r="AC42" s="70">
        <f t="array" ref="AC42">SUM(IF(NOT(ISERR(FIND("+",AC5:AC38))),1,0))</f>
        <v>0</v>
      </c>
      <c r="AD42" s="70">
        <f t="array" ref="AD42">SUM(IF(NOT(ISERR(FIND("+",AD5:AD38))),1,0))</f>
        <v>0</v>
      </c>
      <c r="AE42" s="70">
        <f t="array" ref="AE42">SUM(IF(NOT(ISERR(FIND("+",AE5:AE38))),1,0))</f>
        <v>0</v>
      </c>
      <c r="AF42" s="70">
        <f t="array" ref="AF42">SUM(IF(NOT(ISERR(FIND("+",AF5:AF38))),1,0))</f>
        <v>0</v>
      </c>
      <c r="AG42" s="70">
        <f t="array" ref="AG42">SUM(IF(NOT(ISERR(FIND("+",AG5:AG38))),1,0))</f>
        <v>0</v>
      </c>
      <c r="AH42" s="70">
        <f t="array" ref="AH42">SUM(IF(NOT(ISERR(FIND("+",AH5:AH38))),1,0))</f>
        <v>0</v>
      </c>
      <c r="AI42" s="70">
        <f t="array" ref="AI42">SUM(IF(NOT(ISERR(FIND("+",AI5:AI38))),1,0))</f>
        <v>0</v>
      </c>
      <c r="AJ42" s="70">
        <f t="array" ref="AJ42">SUM(IF(NOT(ISERR(FIND("+",AJ5:AJ38))),1,0))</f>
        <v>0</v>
      </c>
      <c r="AK42" s="70">
        <f t="array" ref="AK42">SUM(IF(NOT(ISERR(FIND("+",AK5:AK38))),1,0))</f>
        <v>0</v>
      </c>
      <c r="AL42" s="70">
        <f t="array" ref="AL42">SUM(IF(NOT(ISERR(FIND("+",AL5:AL38))),1,0))</f>
        <v>0</v>
      </c>
      <c r="AM42" s="70">
        <f t="array" ref="AM42">SUM(IF(NOT(ISERR(FIND("+",AM5:AM38))),1,0))</f>
        <v>0</v>
      </c>
      <c r="AN42" s="70">
        <f t="array" ref="AN42">SUM(IF(NOT(ISERR(FIND("+",AN5:AN38))),1,0))</f>
        <v>0</v>
      </c>
      <c r="AO42" s="70">
        <f t="array" ref="AO42">SUM(IF(NOT(ISERR(FIND("+",AO5:AO38))),1,0))</f>
        <v>0</v>
      </c>
      <c r="AP42" s="70">
        <f t="array" ref="AP42">SUM(IF(NOT(ISERR(FIND("+",AP5:AP38))),1,0))</f>
        <v>0</v>
      </c>
      <c r="AQ42" s="70">
        <f t="array" ref="AQ42">SUM(IF(NOT(ISERR(FIND("+",AQ5:AQ38))),1,0))</f>
        <v>0</v>
      </c>
      <c r="AR42" s="70">
        <f t="array" ref="AR42">SUM(IF(NOT(ISERR(FIND("+",AR5:AR38))),1,0))</f>
        <v>0</v>
      </c>
      <c r="AS42" s="70">
        <f t="array" ref="AS42">SUM(IF(NOT(ISERR(FIND("+",AS5:AS38))),1,0))</f>
        <v>0</v>
      </c>
      <c r="AT42" s="70">
        <f t="array" ref="AT42">SUM(IF(NOT(ISERR(FIND("+",AT5:AT38))),1,0))</f>
        <v>0</v>
      </c>
      <c r="AU42" s="70">
        <f t="array" ref="AU42">SUM(IF(NOT(ISERR(FIND("+",AU5:AU38))),1,0))</f>
        <v>0</v>
      </c>
      <c r="AV42" s="70">
        <f t="array" ref="AV42">SUM(IF(NOT(ISERR(FIND("+",AV5:AV38))),1,0))</f>
        <v>0</v>
      </c>
      <c r="AW42" s="70">
        <f t="array" ref="AW42">SUM(IF(NOT(ISERR(FIND("+",AW5:AW38))),1,0))</f>
        <v>0</v>
      </c>
      <c r="AX42" s="70">
        <f t="array" ref="AX42">SUM(IF(NOT(ISERR(FIND("+",AX5:AX38))),1,0))</f>
        <v>0</v>
      </c>
      <c r="AY42" s="70">
        <f t="array" ref="AY42">SUM(IF(NOT(ISERR(FIND("+",AY5:AY38))),1,0))</f>
        <v>0</v>
      </c>
      <c r="AZ42" s="70">
        <f t="array" ref="AZ42">SUM(IF(NOT(ISERR(FIND("+",AZ5:AZ38))),1,0))</f>
        <v>0</v>
      </c>
      <c r="BA42" s="70">
        <f t="array" ref="BA42">SUM(IF(NOT(ISERR(FIND("+",BA5:BA38))),1,0))</f>
        <v>0</v>
      </c>
      <c r="BB42" s="70">
        <f t="array" ref="BB42">SUM(IF(NOT(ISERR(FIND("+",BB5:BB38))),1,0))</f>
        <v>0</v>
      </c>
      <c r="BC42" s="70">
        <f t="array" ref="BC42">SUM(IF(NOT(ISERR(FIND("+",BC5:BC38))),1,0))</f>
        <v>0</v>
      </c>
      <c r="BD42" s="70">
        <f t="array" ref="BD42">SUM(IF(NOT(ISERR(FIND("+",BD5:BD38))),1,0))</f>
        <v>0</v>
      </c>
      <c r="BE42" s="70">
        <f t="array" ref="BE42">SUM(IF(NOT(ISERR(FIND("+",BE5:BE38))),1,0))</f>
        <v>0</v>
      </c>
      <c r="BF42" s="70">
        <f t="array" ref="BF42">SUM(IF(NOT(ISERR(FIND("+",BF5:BF38))),1,0))</f>
        <v>0</v>
      </c>
      <c r="CE42" s="70">
        <f>SUM(D42:BF42)</f>
        <v>17</v>
      </c>
      <c r="CO42" s="94">
        <f>SUM(D42:BF42)</f>
        <v>17</v>
      </c>
      <c r="CP42" s="62"/>
      <c r="CQ42" s="62"/>
      <c r="CR42" s="110">
        <f>CR40/$CR$41</f>
        <v>0.38129496402877699</v>
      </c>
      <c r="CS42" s="110">
        <f>CS40/$CR$41</f>
        <v>0.43884892086330934</v>
      </c>
      <c r="CT42" s="110">
        <f>CT40/$CR$41</f>
        <v>0.1223021582733813</v>
      </c>
      <c r="CU42" s="110">
        <f>CU40/$CR$41</f>
        <v>0</v>
      </c>
      <c r="CV42" s="110">
        <f>CV40/$CR$41</f>
        <v>5.7553956834532377E-2</v>
      </c>
      <c r="CW42" s="110"/>
      <c r="CX42" s="110"/>
      <c r="CY42" s="62"/>
      <c r="CZ42" s="62"/>
      <c r="DA42" s="62"/>
      <c r="DB42" s="62"/>
      <c r="DC42" s="62"/>
      <c r="DD42" s="62"/>
    </row>
    <row r="44" spans="1:113" x14ac:dyDescent="0.15">
      <c r="C44" s="70" t="s">
        <v>121</v>
      </c>
      <c r="D44" s="70">
        <f t="shared" ref="D44:AI44" si="127">BatSplit(D5:D38,RunsScored)</f>
        <v>31</v>
      </c>
      <c r="E44" s="70">
        <f t="shared" si="127"/>
        <v>107</v>
      </c>
      <c r="F44" s="70">
        <f t="shared" si="127"/>
        <v>72</v>
      </c>
      <c r="G44" s="70">
        <f t="shared" si="127"/>
        <v>132</v>
      </c>
      <c r="H44" s="70">
        <f t="shared" si="127"/>
        <v>68</v>
      </c>
      <c r="I44" s="70">
        <f t="shared" si="127"/>
        <v>96</v>
      </c>
      <c r="J44" s="70">
        <f t="shared" si="127"/>
        <v>88</v>
      </c>
      <c r="K44" s="70">
        <f t="shared" si="127"/>
        <v>106</v>
      </c>
      <c r="L44" s="70">
        <f t="shared" si="127"/>
        <v>96</v>
      </c>
      <c r="M44" s="70">
        <f t="shared" si="127"/>
        <v>60</v>
      </c>
      <c r="N44" s="70">
        <f t="shared" si="127"/>
        <v>44</v>
      </c>
      <c r="O44" s="70">
        <f t="shared" si="127"/>
        <v>42</v>
      </c>
      <c r="P44" s="70">
        <f t="shared" si="127"/>
        <v>134</v>
      </c>
      <c r="Q44" s="70">
        <f t="shared" si="127"/>
        <v>75</v>
      </c>
      <c r="R44" s="70">
        <f t="shared" si="127"/>
        <v>34</v>
      </c>
      <c r="S44" s="70">
        <f t="shared" si="127"/>
        <v>89</v>
      </c>
      <c r="T44" s="70">
        <f t="shared" si="127"/>
        <v>108</v>
      </c>
      <c r="U44" s="70">
        <f t="shared" si="127"/>
        <v>91</v>
      </c>
      <c r="V44" s="70">
        <f t="shared" si="127"/>
        <v>150</v>
      </c>
      <c r="W44" s="70">
        <f t="shared" si="127"/>
        <v>0</v>
      </c>
      <c r="X44" s="70">
        <f t="shared" si="127"/>
        <v>0</v>
      </c>
      <c r="Y44" s="70">
        <f t="shared" si="127"/>
        <v>0</v>
      </c>
      <c r="Z44" s="70">
        <f t="shared" si="127"/>
        <v>0</v>
      </c>
      <c r="AA44" s="70">
        <f t="shared" si="127"/>
        <v>0</v>
      </c>
      <c r="AB44" s="70">
        <f t="shared" si="127"/>
        <v>0</v>
      </c>
      <c r="AC44" s="70">
        <f t="shared" si="127"/>
        <v>0</v>
      </c>
      <c r="AD44" s="70">
        <f t="shared" si="127"/>
        <v>0</v>
      </c>
      <c r="AE44" s="70">
        <f t="shared" si="127"/>
        <v>0</v>
      </c>
      <c r="AF44" s="70">
        <f t="shared" si="127"/>
        <v>0</v>
      </c>
      <c r="AG44" s="70">
        <f t="shared" si="127"/>
        <v>0</v>
      </c>
      <c r="AH44" s="70">
        <f t="shared" si="127"/>
        <v>0</v>
      </c>
      <c r="AI44" s="70">
        <f t="shared" si="127"/>
        <v>0</v>
      </c>
      <c r="AJ44" s="70">
        <f t="shared" ref="AJ44:BF44" si="128">BatSplit(AJ5:AJ38,RunsScored)</f>
        <v>0</v>
      </c>
      <c r="AK44" s="70">
        <f t="shared" si="128"/>
        <v>0</v>
      </c>
      <c r="AL44" s="70">
        <f t="shared" si="128"/>
        <v>0</v>
      </c>
      <c r="AM44" s="70">
        <f t="shared" si="128"/>
        <v>0</v>
      </c>
      <c r="AN44" s="70">
        <f t="shared" si="128"/>
        <v>0</v>
      </c>
      <c r="AO44" s="70">
        <f t="shared" si="128"/>
        <v>0</v>
      </c>
      <c r="AP44" s="70">
        <f t="shared" si="128"/>
        <v>0</v>
      </c>
      <c r="AQ44" s="70">
        <f t="shared" si="128"/>
        <v>0</v>
      </c>
      <c r="AR44" s="70">
        <f t="shared" si="128"/>
        <v>0</v>
      </c>
      <c r="AS44" s="70">
        <f t="shared" si="128"/>
        <v>0</v>
      </c>
      <c r="AT44" s="70">
        <f t="shared" si="128"/>
        <v>0</v>
      </c>
      <c r="AU44" s="70">
        <f t="shared" si="128"/>
        <v>0</v>
      </c>
      <c r="AV44" s="70">
        <f t="shared" si="128"/>
        <v>0</v>
      </c>
      <c r="AW44" s="70">
        <f t="shared" si="128"/>
        <v>0</v>
      </c>
      <c r="AX44" s="70">
        <f t="shared" si="128"/>
        <v>0</v>
      </c>
      <c r="AY44" s="70">
        <f t="shared" si="128"/>
        <v>0</v>
      </c>
      <c r="AZ44" s="70">
        <f t="shared" si="128"/>
        <v>0</v>
      </c>
      <c r="BA44" s="70">
        <f t="shared" si="128"/>
        <v>0</v>
      </c>
      <c r="BB44" s="70">
        <f t="shared" si="128"/>
        <v>0</v>
      </c>
      <c r="BC44" s="70">
        <f t="shared" si="128"/>
        <v>0</v>
      </c>
      <c r="BD44" s="70">
        <f t="shared" si="128"/>
        <v>0</v>
      </c>
      <c r="BE44" s="70">
        <f t="shared" si="128"/>
        <v>0</v>
      </c>
      <c r="BF44" s="70">
        <f t="shared" si="128"/>
        <v>0</v>
      </c>
      <c r="CE44" s="70">
        <f>SUM(D44:BD44)</f>
        <v>1623</v>
      </c>
      <c r="CG44" s="70">
        <f>SUM(CG5:CG39)</f>
        <v>166</v>
      </c>
      <c r="CH44" s="70">
        <f>SUM(CH5:CH39)</f>
        <v>27</v>
      </c>
      <c r="CI44" s="70">
        <f>SUM(CI5:CI38)</f>
        <v>485</v>
      </c>
      <c r="CK44" s="70">
        <f>SUM(CK5:CK39)</f>
        <v>1623</v>
      </c>
      <c r="CO44" s="70">
        <f>SUM(D44:BF44)</f>
        <v>1623</v>
      </c>
    </row>
    <row r="45" spans="1:113" x14ac:dyDescent="0.15">
      <c r="C45" s="70" t="s">
        <v>120</v>
      </c>
      <c r="D45" s="70">
        <f t="array" ref="D45:BF45">TRANSPOSE(Matches!Z5:Z59)</f>
        <v>6</v>
      </c>
      <c r="E45" s="70">
        <v>22</v>
      </c>
      <c r="F45" s="70">
        <v>23</v>
      </c>
      <c r="G45" s="70">
        <v>23</v>
      </c>
      <c r="H45" s="70">
        <v>12</v>
      </c>
      <c r="I45" s="70">
        <v>40</v>
      </c>
      <c r="J45" s="70">
        <v>23</v>
      </c>
      <c r="K45" s="70">
        <v>20</v>
      </c>
      <c r="L45" s="70">
        <v>31</v>
      </c>
      <c r="M45" s="70">
        <v>14</v>
      </c>
      <c r="N45" s="70">
        <v>16</v>
      </c>
      <c r="O45" s="70">
        <v>9</v>
      </c>
      <c r="P45" s="70">
        <v>28</v>
      </c>
      <c r="Q45" s="70">
        <v>13</v>
      </c>
      <c r="R45" s="70">
        <v>17</v>
      </c>
      <c r="S45" s="70">
        <v>13</v>
      </c>
      <c r="T45" s="70">
        <v>21</v>
      </c>
      <c r="U45" s="70">
        <v>15</v>
      </c>
      <c r="V45" s="70">
        <v>29</v>
      </c>
      <c r="W45" s="70">
        <v>0</v>
      </c>
      <c r="X45" s="70">
        <v>0</v>
      </c>
      <c r="Y45" s="70">
        <v>0</v>
      </c>
      <c r="Z45" s="70">
        <v>0</v>
      </c>
      <c r="AA45" s="70">
        <v>0</v>
      </c>
      <c r="AB45" s="70">
        <v>0</v>
      </c>
      <c r="AC45" s="70">
        <v>0</v>
      </c>
      <c r="AD45" s="70">
        <v>0</v>
      </c>
      <c r="AE45" s="70">
        <v>0</v>
      </c>
      <c r="AF45" s="70">
        <v>0</v>
      </c>
      <c r="AG45" s="70">
        <v>0</v>
      </c>
      <c r="AH45" s="70">
        <v>0</v>
      </c>
      <c r="AI45" s="70">
        <v>0</v>
      </c>
      <c r="AJ45" s="70">
        <v>0</v>
      </c>
      <c r="AK45" s="70">
        <v>0</v>
      </c>
      <c r="AL45" s="70">
        <v>0</v>
      </c>
      <c r="AM45" s="70">
        <v>0</v>
      </c>
      <c r="AN45" s="70">
        <v>0</v>
      </c>
      <c r="AO45" s="70">
        <v>0</v>
      </c>
      <c r="AP45" s="70">
        <v>0</v>
      </c>
      <c r="AQ45" s="70">
        <v>0</v>
      </c>
      <c r="AR45" s="70">
        <v>0</v>
      </c>
      <c r="AS45" s="70">
        <v>0</v>
      </c>
      <c r="AT45" s="70">
        <v>0</v>
      </c>
      <c r="AU45" s="70">
        <v>0</v>
      </c>
      <c r="AV45" s="70">
        <v>0</v>
      </c>
      <c r="AW45" s="70">
        <v>0</v>
      </c>
      <c r="AX45" s="70">
        <v>0</v>
      </c>
      <c r="AY45" s="70">
        <v>0</v>
      </c>
      <c r="AZ45" s="70">
        <v>0</v>
      </c>
      <c r="BA45" s="70">
        <v>0</v>
      </c>
      <c r="BB45" s="70">
        <v>0</v>
      </c>
      <c r="BC45" s="70">
        <v>0</v>
      </c>
      <c r="BD45" s="70">
        <v>0</v>
      </c>
      <c r="BE45" s="70">
        <v>0</v>
      </c>
      <c r="BF45" s="70">
        <v>0</v>
      </c>
      <c r="CE45" s="70">
        <f>SUM(D45:BD45)</f>
        <v>375</v>
      </c>
      <c r="CO45" s="70">
        <f>SUM(D45:BF45)</f>
        <v>375</v>
      </c>
    </row>
    <row r="46" spans="1:113" s="62" customFormat="1" x14ac:dyDescent="0.15">
      <c r="C46" s="62" t="s">
        <v>122</v>
      </c>
      <c r="D46" s="62">
        <f>D45+D44</f>
        <v>37</v>
      </c>
      <c r="E46" s="62">
        <f t="shared" ref="E46:BF46" si="129">E45+E44</f>
        <v>129</v>
      </c>
      <c r="F46" s="62">
        <f t="shared" si="129"/>
        <v>95</v>
      </c>
      <c r="G46" s="62">
        <f t="shared" si="129"/>
        <v>155</v>
      </c>
      <c r="H46" s="62">
        <f t="shared" si="129"/>
        <v>80</v>
      </c>
      <c r="I46" s="62">
        <f t="shared" si="129"/>
        <v>136</v>
      </c>
      <c r="J46" s="62">
        <f t="shared" si="129"/>
        <v>111</v>
      </c>
      <c r="K46" s="62">
        <f t="shared" si="129"/>
        <v>126</v>
      </c>
      <c r="L46" s="62">
        <f t="shared" si="129"/>
        <v>127</v>
      </c>
      <c r="M46" s="62">
        <f t="shared" si="129"/>
        <v>74</v>
      </c>
      <c r="N46" s="62">
        <f t="shared" si="129"/>
        <v>60</v>
      </c>
      <c r="O46" s="62">
        <f t="shared" si="129"/>
        <v>51</v>
      </c>
      <c r="P46" s="62">
        <f t="shared" si="129"/>
        <v>162</v>
      </c>
      <c r="Q46" s="62">
        <f t="shared" si="129"/>
        <v>88</v>
      </c>
      <c r="R46" s="62">
        <f t="shared" si="129"/>
        <v>51</v>
      </c>
      <c r="S46" s="62">
        <f t="shared" si="129"/>
        <v>102</v>
      </c>
      <c r="T46" s="62">
        <f t="shared" si="129"/>
        <v>129</v>
      </c>
      <c r="U46" s="62">
        <f t="shared" si="129"/>
        <v>106</v>
      </c>
      <c r="V46" s="62">
        <f t="shared" si="129"/>
        <v>179</v>
      </c>
      <c r="W46" s="62">
        <f t="shared" si="129"/>
        <v>0</v>
      </c>
      <c r="X46" s="62">
        <f t="shared" si="129"/>
        <v>0</v>
      </c>
      <c r="Y46" s="62">
        <f t="shared" si="129"/>
        <v>0</v>
      </c>
      <c r="Z46" s="62">
        <f t="shared" si="129"/>
        <v>0</v>
      </c>
      <c r="AA46" s="62">
        <f t="shared" si="129"/>
        <v>0</v>
      </c>
      <c r="AB46" s="62">
        <f t="shared" si="129"/>
        <v>0</v>
      </c>
      <c r="AC46" s="62">
        <f t="shared" si="129"/>
        <v>0</v>
      </c>
      <c r="AD46" s="62">
        <f t="shared" si="129"/>
        <v>0</v>
      </c>
      <c r="AE46" s="62">
        <f t="shared" si="129"/>
        <v>0</v>
      </c>
      <c r="AF46" s="62">
        <f t="shared" si="129"/>
        <v>0</v>
      </c>
      <c r="AG46" s="62">
        <f t="shared" si="129"/>
        <v>0</v>
      </c>
      <c r="AH46" s="62">
        <f t="shared" si="129"/>
        <v>0</v>
      </c>
      <c r="AI46" s="62">
        <f t="shared" si="129"/>
        <v>0</v>
      </c>
      <c r="AJ46" s="62">
        <f t="shared" si="129"/>
        <v>0</v>
      </c>
      <c r="AK46" s="62">
        <f t="shared" si="129"/>
        <v>0</v>
      </c>
      <c r="AL46" s="62">
        <f t="shared" si="129"/>
        <v>0</v>
      </c>
      <c r="AM46" s="62">
        <f t="shared" si="129"/>
        <v>0</v>
      </c>
      <c r="AN46" s="62">
        <f t="shared" si="129"/>
        <v>0</v>
      </c>
      <c r="AO46" s="62">
        <f t="shared" si="129"/>
        <v>0</v>
      </c>
      <c r="AP46" s="62">
        <f t="shared" si="129"/>
        <v>0</v>
      </c>
      <c r="AQ46" s="62">
        <f t="shared" si="129"/>
        <v>0</v>
      </c>
      <c r="AR46" s="62">
        <f t="shared" si="129"/>
        <v>0</v>
      </c>
      <c r="AS46" s="62">
        <f t="shared" si="129"/>
        <v>0</v>
      </c>
      <c r="AT46" s="62">
        <f t="shared" si="129"/>
        <v>0</v>
      </c>
      <c r="AU46" s="62">
        <f>AU45+AU44</f>
        <v>0</v>
      </c>
      <c r="AV46" s="62">
        <f t="shared" si="129"/>
        <v>0</v>
      </c>
      <c r="AW46" s="62">
        <f t="shared" si="129"/>
        <v>0</v>
      </c>
      <c r="AX46" s="62">
        <f t="shared" si="129"/>
        <v>0</v>
      </c>
      <c r="AY46" s="62">
        <f t="shared" si="129"/>
        <v>0</v>
      </c>
      <c r="AZ46" s="62">
        <f t="shared" si="129"/>
        <v>0</v>
      </c>
      <c r="BA46" s="62">
        <f t="shared" si="129"/>
        <v>0</v>
      </c>
      <c r="BB46" s="62">
        <f t="shared" si="129"/>
        <v>0</v>
      </c>
      <c r="BC46" s="62">
        <f t="shared" si="129"/>
        <v>0</v>
      </c>
      <c r="BD46" s="62">
        <f t="shared" si="129"/>
        <v>0</v>
      </c>
      <c r="BE46" s="62">
        <f t="shared" si="129"/>
        <v>0</v>
      </c>
      <c r="BF46" s="62">
        <f t="shared" si="129"/>
        <v>0</v>
      </c>
      <c r="CE46" s="70">
        <f>SUM(D46:BD46)</f>
        <v>1998</v>
      </c>
      <c r="CG46" s="70" t="s">
        <v>37</v>
      </c>
      <c r="CH46" s="70">
        <f>CG44-CH44</f>
        <v>139</v>
      </c>
      <c r="CI46" s="70"/>
      <c r="CJ46" s="70"/>
      <c r="CK46" s="70"/>
      <c r="CO46" s="62">
        <f>SUM(D46:BF46)</f>
        <v>1998</v>
      </c>
    </row>
    <row r="47" spans="1:113" x14ac:dyDescent="0.15">
      <c r="D47" s="55"/>
      <c r="CG47" s="70" t="s">
        <v>38</v>
      </c>
      <c r="CH47" s="70">
        <f>CE46/CH46</f>
        <v>14.37410071942446</v>
      </c>
    </row>
    <row r="48" spans="1:113" s="126" customFormat="1" x14ac:dyDescent="0.15">
      <c r="C48" s="126" t="s">
        <v>227</v>
      </c>
      <c r="D48" s="127" t="str">
        <f>INDEX($C$5:$C$38,findcellcontaining("*",D5:D38))</f>
        <v>Clark C</v>
      </c>
      <c r="E48" s="127" t="str">
        <f>INDEX($C$5:$C$38,findcellcontaining("*",E5:E38))</f>
        <v>Clark C</v>
      </c>
      <c r="F48" s="127" t="str">
        <f>INDEX($C$5:$C$38,findcellcontaining("*",F5:F38))</f>
        <v>Clark C</v>
      </c>
      <c r="G48" s="127" t="str">
        <f>INDEX($C$5:$C$38,findcellcontaining("*",G5:G38))</f>
        <v>Clark C</v>
      </c>
      <c r="H48" s="127" t="str">
        <f>INDEX($C$5:$C$38,findcellcontaining("*",H5:H38))</f>
        <v>Clark C</v>
      </c>
      <c r="I48" s="127" t="str">
        <f>INDEX($C$5:$C$38,findcellcontaining("*",I5:I38))</f>
        <v>Clark C</v>
      </c>
      <c r="J48" s="127" t="str">
        <f>INDEX($C$5:$C$38,findcellcontaining("*",J5:J38))</f>
        <v>Cooper G</v>
      </c>
      <c r="K48" s="127" t="str">
        <f>INDEX($C$5:$C$38,findcellcontaining("*",K5:K38))</f>
        <v>Cooper G</v>
      </c>
      <c r="L48" s="127" t="e">
        <f>INDEX($C$5:$C$38,findcellcontaining("*",L5:L38))</f>
        <v>#N/A</v>
      </c>
      <c r="M48" s="127" t="str">
        <f>INDEX($C$5:$C$38,findcellcontaining("*",M5:M38))</f>
        <v>Clark C</v>
      </c>
      <c r="N48" s="127" t="str">
        <f>INDEX($C$5:$C$38,findcellcontaining("*",N5:N38))</f>
        <v>Clark C</v>
      </c>
      <c r="O48" s="127" t="str">
        <f>INDEX($C$5:$C$38,findcellcontaining("*",O5:O38))</f>
        <v>Clark C</v>
      </c>
      <c r="P48" s="127" t="str">
        <f>INDEX($C$5:$C$38,findcellcontaining("*",P5:P38))</f>
        <v>Clark C</v>
      </c>
      <c r="Q48" s="127" t="str">
        <f>INDEX($C$5:$C$38,findcellcontaining("*",Q5:Q38))</f>
        <v>Clark C</v>
      </c>
      <c r="R48" s="127" t="str">
        <f>INDEX($C$5:$C$38,findcellcontaining("*",R5:R38))</f>
        <v>Clark C</v>
      </c>
      <c r="S48" s="127" t="str">
        <f>INDEX($C$5:$C$38,findcellcontaining("*",S5:S38))</f>
        <v>Clark C</v>
      </c>
      <c r="T48" s="127" t="str">
        <f>INDEX($C$5:$C$38,findcellcontaining("*",T5:T38))</f>
        <v>Lestrelle A</v>
      </c>
      <c r="U48" s="127" t="str">
        <f>INDEX($C$5:$C$38,findcellcontaining("*",U5:U38))</f>
        <v>Clark C</v>
      </c>
      <c r="V48" s="127" t="str">
        <f>INDEX($C$5:$C$38,findcellcontaining("*",V5:V38))</f>
        <v>Clark C</v>
      </c>
      <c r="W48" s="127" t="e">
        <f>INDEX($C$5:$C$38,findcellcontaining("*",W5:W38))</f>
        <v>#N/A</v>
      </c>
      <c r="X48" s="127" t="e">
        <f>INDEX($C$5:$C$38,findcellcontaining("*",X5:X38))</f>
        <v>#N/A</v>
      </c>
      <c r="Y48" s="127" t="e">
        <f>INDEX($C$5:$C$38,findcellcontaining("*",Y5:Y38))</f>
        <v>#N/A</v>
      </c>
      <c r="Z48" s="127" t="e">
        <f>INDEX($C$5:$C$38,findcellcontaining("*",Z5:Z38))</f>
        <v>#N/A</v>
      </c>
      <c r="AA48" s="127" t="e">
        <f>INDEX($C$5:$C$38,findcellcontaining("*",AA5:AA38))</f>
        <v>#N/A</v>
      </c>
      <c r="AB48" s="127" t="e">
        <f>INDEX($C$5:$C$38,findcellcontaining("*",AB5:AB38))</f>
        <v>#N/A</v>
      </c>
      <c r="AC48" s="127" t="e">
        <f>INDEX($C$5:$C$38,findcellcontaining("*",AC5:AC38))</f>
        <v>#N/A</v>
      </c>
      <c r="AD48" s="127" t="e">
        <f>INDEX($C$5:$C$38,findcellcontaining("*",AD5:AD38))</f>
        <v>#N/A</v>
      </c>
      <c r="AE48" s="127" t="e">
        <f>INDEX($C$5:$C$38,findcellcontaining("*",AE5:AE38))</f>
        <v>#N/A</v>
      </c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  <c r="BM48" s="127"/>
      <c r="BN48" s="127"/>
      <c r="BO48" s="127"/>
      <c r="BP48" s="127"/>
      <c r="BQ48" s="127"/>
      <c r="BR48" s="127"/>
      <c r="BS48" s="127"/>
      <c r="BT48" s="127"/>
      <c r="BU48" s="127"/>
      <c r="BV48" s="127"/>
      <c r="BW48" s="127"/>
      <c r="BX48" s="127"/>
      <c r="BY48" s="127"/>
      <c r="BZ48" s="127"/>
      <c r="CA48" s="127"/>
      <c r="CB48" s="127"/>
      <c r="CC48" s="127"/>
      <c r="CD48" s="127"/>
      <c r="CL48" s="128"/>
    </row>
    <row r="49" spans="2:93" s="126" customFormat="1" x14ac:dyDescent="0.15">
      <c r="C49" s="130"/>
      <c r="CL49" s="128"/>
      <c r="CO49" s="129"/>
    </row>
    <row r="50" spans="2:93" s="126" customFormat="1" x14ac:dyDescent="0.15">
      <c r="B50" s="126">
        <f>MAX(D50:AE50)</f>
        <v>3</v>
      </c>
      <c r="C50" s="126" t="s">
        <v>23</v>
      </c>
      <c r="D50" s="126">
        <f>BatSplit(D5:D38,Sixes)</f>
        <v>0</v>
      </c>
      <c r="E50" s="126">
        <f t="shared" ref="E50:AE50" si="130">BatSplit(E5:E38,Sixes)</f>
        <v>0</v>
      </c>
      <c r="F50" s="126">
        <f t="shared" si="130"/>
        <v>1</v>
      </c>
      <c r="G50" s="126">
        <f t="shared" si="130"/>
        <v>3</v>
      </c>
      <c r="H50" s="126">
        <f t="shared" si="130"/>
        <v>0</v>
      </c>
      <c r="I50" s="126">
        <f t="shared" si="130"/>
        <v>0</v>
      </c>
      <c r="J50" s="126">
        <f t="shared" si="130"/>
        <v>0</v>
      </c>
      <c r="K50" s="126">
        <f t="shared" si="130"/>
        <v>1</v>
      </c>
      <c r="L50" s="126">
        <f t="shared" si="130"/>
        <v>0</v>
      </c>
      <c r="M50" s="126">
        <f t="shared" si="130"/>
        <v>0</v>
      </c>
      <c r="N50" s="126">
        <f t="shared" si="130"/>
        <v>1</v>
      </c>
      <c r="O50" s="126">
        <f t="shared" si="130"/>
        <v>0</v>
      </c>
      <c r="P50" s="126">
        <f t="shared" si="130"/>
        <v>1</v>
      </c>
      <c r="Q50" s="126">
        <f t="shared" si="130"/>
        <v>0</v>
      </c>
      <c r="R50" s="126">
        <f t="shared" si="130"/>
        <v>0</v>
      </c>
      <c r="S50" s="126">
        <f t="shared" si="130"/>
        <v>2</v>
      </c>
      <c r="T50" s="126">
        <f t="shared" si="130"/>
        <v>0</v>
      </c>
      <c r="U50" s="126">
        <f t="shared" si="130"/>
        <v>2</v>
      </c>
      <c r="V50" s="126">
        <f t="shared" si="130"/>
        <v>0</v>
      </c>
      <c r="W50" s="126">
        <f t="shared" si="130"/>
        <v>0</v>
      </c>
      <c r="X50" s="126">
        <f t="shared" si="130"/>
        <v>0</v>
      </c>
      <c r="Y50" s="126">
        <f t="shared" si="130"/>
        <v>0</v>
      </c>
      <c r="Z50" s="126">
        <f t="shared" si="130"/>
        <v>0</v>
      </c>
      <c r="AA50" s="126">
        <f t="shared" si="130"/>
        <v>0</v>
      </c>
      <c r="AB50" s="126">
        <f t="shared" si="130"/>
        <v>0</v>
      </c>
      <c r="AC50" s="126">
        <f t="shared" si="130"/>
        <v>0</v>
      </c>
      <c r="AD50" s="126">
        <f t="shared" si="130"/>
        <v>0</v>
      </c>
      <c r="AE50" s="126">
        <f t="shared" si="130"/>
        <v>0</v>
      </c>
      <c r="CL50" s="128"/>
    </row>
    <row r="51" spans="2:93" s="126" customFormat="1" x14ac:dyDescent="0.15">
      <c r="B51" s="126">
        <f>MAX(D51:AE51)</f>
        <v>19</v>
      </c>
      <c r="C51" s="126" t="s">
        <v>22</v>
      </c>
      <c r="D51" s="126">
        <f>BatSplit(D5:D38,Fours)</f>
        <v>3</v>
      </c>
      <c r="E51" s="126">
        <f t="shared" ref="E51:AE51" si="131">BatSplit(E5:E38,Fours)</f>
        <v>10</v>
      </c>
      <c r="F51" s="126">
        <f t="shared" si="131"/>
        <v>5</v>
      </c>
      <c r="G51" s="126">
        <f t="shared" si="131"/>
        <v>12</v>
      </c>
      <c r="H51" s="126">
        <f t="shared" si="131"/>
        <v>4</v>
      </c>
      <c r="I51" s="126">
        <f t="shared" si="131"/>
        <v>13</v>
      </c>
      <c r="J51" s="126">
        <f t="shared" si="131"/>
        <v>9</v>
      </c>
      <c r="K51" s="126">
        <f t="shared" si="131"/>
        <v>12</v>
      </c>
      <c r="L51" s="126">
        <f t="shared" si="131"/>
        <v>9</v>
      </c>
      <c r="M51" s="126">
        <f t="shared" si="131"/>
        <v>5</v>
      </c>
      <c r="N51" s="126">
        <f t="shared" si="131"/>
        <v>1</v>
      </c>
      <c r="O51" s="126">
        <f t="shared" si="131"/>
        <v>7</v>
      </c>
      <c r="P51" s="126">
        <f t="shared" si="131"/>
        <v>13</v>
      </c>
      <c r="Q51" s="126">
        <f t="shared" si="131"/>
        <v>8</v>
      </c>
      <c r="R51" s="126">
        <f t="shared" si="131"/>
        <v>3</v>
      </c>
      <c r="S51" s="126">
        <f t="shared" si="131"/>
        <v>7</v>
      </c>
      <c r="T51" s="126">
        <f t="shared" si="131"/>
        <v>7</v>
      </c>
      <c r="U51" s="126">
        <f t="shared" si="131"/>
        <v>5</v>
      </c>
      <c r="V51" s="126">
        <f t="shared" si="131"/>
        <v>19</v>
      </c>
      <c r="W51" s="126">
        <f t="shared" si="131"/>
        <v>0</v>
      </c>
      <c r="X51" s="126">
        <f t="shared" si="131"/>
        <v>0</v>
      </c>
      <c r="Y51" s="126">
        <f t="shared" si="131"/>
        <v>0</v>
      </c>
      <c r="Z51" s="126">
        <f t="shared" si="131"/>
        <v>0</v>
      </c>
      <c r="AA51" s="126">
        <f t="shared" si="131"/>
        <v>0</v>
      </c>
      <c r="AB51" s="126">
        <f t="shared" si="131"/>
        <v>0</v>
      </c>
      <c r="AC51" s="126">
        <f t="shared" si="131"/>
        <v>0</v>
      </c>
      <c r="AD51" s="126">
        <f t="shared" si="131"/>
        <v>0</v>
      </c>
      <c r="AE51" s="126">
        <f t="shared" si="131"/>
        <v>0</v>
      </c>
      <c r="CL51" s="128"/>
    </row>
    <row r="52" spans="2:93" s="126" customFormat="1" x14ac:dyDescent="0.15">
      <c r="CL52" s="128"/>
    </row>
    <row r="53" spans="2:93" s="126" customFormat="1" x14ac:dyDescent="0.15">
      <c r="D53" s="126">
        <f t="shared" ref="D53:V53" si="132">MAX(BatSplit(D5:D38,HighestScore))</f>
        <v>-23</v>
      </c>
      <c r="E53" s="126">
        <f t="shared" si="132"/>
        <v>57</v>
      </c>
      <c r="F53" s="126">
        <f t="shared" si="132"/>
        <v>15</v>
      </c>
      <c r="G53" s="126">
        <f t="shared" si="132"/>
        <v>48</v>
      </c>
      <c r="H53" s="126">
        <f t="shared" si="132"/>
        <v>25</v>
      </c>
      <c r="I53" s="126">
        <f t="shared" si="132"/>
        <v>20</v>
      </c>
      <c r="J53" s="126">
        <f t="shared" si="132"/>
        <v>39</v>
      </c>
      <c r="K53" s="126">
        <f t="shared" si="132"/>
        <v>31</v>
      </c>
      <c r="L53" s="126">
        <f t="shared" si="132"/>
        <v>22</v>
      </c>
      <c r="M53" s="126">
        <f t="shared" si="132"/>
        <v>-29</v>
      </c>
      <c r="N53" s="126">
        <f t="shared" si="132"/>
        <v>-15</v>
      </c>
      <c r="O53" s="126">
        <f t="shared" si="132"/>
        <v>15</v>
      </c>
      <c r="P53" s="126">
        <f t="shared" si="132"/>
        <v>35</v>
      </c>
      <c r="Q53" s="126">
        <f t="shared" si="132"/>
        <v>25</v>
      </c>
      <c r="R53" s="126">
        <f t="shared" si="132"/>
        <v>-9</v>
      </c>
      <c r="S53" s="126">
        <f t="shared" si="132"/>
        <v>-38</v>
      </c>
      <c r="T53" s="126">
        <f t="shared" si="132"/>
        <v>43</v>
      </c>
      <c r="U53" s="126">
        <f t="shared" si="132"/>
        <v>-63</v>
      </c>
      <c r="V53" s="126">
        <f t="shared" si="132"/>
        <v>78</v>
      </c>
      <c r="CL53" s="128"/>
    </row>
    <row r="54" spans="2:93" s="126" customFormat="1" x14ac:dyDescent="0.15">
      <c r="CL54" s="128"/>
    </row>
    <row r="55" spans="2:93" s="126" customFormat="1" x14ac:dyDescent="0.15">
      <c r="CL55" s="128"/>
    </row>
    <row r="56" spans="2:93" s="126" customFormat="1" x14ac:dyDescent="0.15">
      <c r="CL56" s="128"/>
    </row>
    <row r="57" spans="2:93" s="126" customFormat="1" x14ac:dyDescent="0.15">
      <c r="CL57" s="128"/>
    </row>
    <row r="58" spans="2:93" s="126" customFormat="1" x14ac:dyDescent="0.15">
      <c r="CL58" s="128"/>
    </row>
    <row r="59" spans="2:93" s="126" customFormat="1" x14ac:dyDescent="0.15">
      <c r="CL59" s="128"/>
    </row>
    <row r="60" spans="2:93" customFormat="1" x14ac:dyDescent="0.15"/>
    <row r="61" spans="2:93" customFormat="1" x14ac:dyDescent="0.15"/>
    <row r="62" spans="2:93" customFormat="1" x14ac:dyDescent="0.15"/>
    <row r="63" spans="2:93" customFormat="1" x14ac:dyDescent="0.15"/>
    <row r="64" spans="2:93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</sheetData>
  <phoneticPr fontId="0" type="noConversion"/>
  <conditionalFormatting sqref="CE50:CE59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81"/>
  <sheetViews>
    <sheetView zoomScaleNormal="100" workbookViewId="0">
      <pane xSplit="2" ySplit="4" topLeftCell="CE5" activePane="bottomRight" state="frozenSplit"/>
      <selection pane="topRight" activeCell="B1" sqref="B1"/>
      <selection pane="bottomLeft" activeCell="A5" sqref="A5"/>
      <selection pane="bottomRight" activeCell="B17" sqref="B17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39565</v>
      </c>
      <c r="D1" s="4">
        <v>39579</v>
      </c>
      <c r="E1" s="4">
        <v>39592</v>
      </c>
      <c r="F1" s="4">
        <v>39600</v>
      </c>
      <c r="G1" s="4">
        <v>39607</v>
      </c>
      <c r="H1" s="4">
        <v>39614</v>
      </c>
      <c r="I1" s="4">
        <v>39620</v>
      </c>
      <c r="J1" s="4">
        <v>39627</v>
      </c>
      <c r="K1" s="4">
        <v>39635</v>
      </c>
      <c r="L1" s="4">
        <v>39642</v>
      </c>
      <c r="M1" s="4">
        <v>39642</v>
      </c>
      <c r="N1" s="4">
        <v>39648</v>
      </c>
      <c r="O1" s="4">
        <v>39656</v>
      </c>
      <c r="P1" s="4">
        <v>39663</v>
      </c>
      <c r="Q1" s="4">
        <v>39670</v>
      </c>
      <c r="R1" s="4">
        <v>39676</v>
      </c>
      <c r="S1" s="4">
        <v>39684</v>
      </c>
      <c r="T1" s="4">
        <v>39691</v>
      </c>
      <c r="U1" s="4">
        <v>39712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John Fisher Lamgas</v>
      </c>
      <c r="D2" s="1" t="str">
        <v>Robinson Lakeside</v>
      </c>
      <c r="E2" s="1" t="str">
        <v>Churchleigh</v>
      </c>
      <c r="F2" s="1" t="str">
        <v>Beddington</v>
      </c>
      <c r="G2" s="1" t="str">
        <v>Vishwa</v>
      </c>
      <c r="H2" s="1" t="str">
        <v>Sanderstead</v>
      </c>
      <c r="I2" s="1" t="str">
        <v>Morden Corinthians</v>
      </c>
      <c r="J2" s="1" t="str">
        <v>Orpington</v>
      </c>
      <c r="K2" s="1" t="str">
        <v>Norwood Exiles</v>
      </c>
      <c r="L2" s="1" t="str">
        <v>Statics</v>
      </c>
      <c r="M2" s="1" t="str">
        <v>Old Josephians</v>
      </c>
      <c r="N2" s="1" t="str">
        <v>LESSA Wanderers</v>
      </c>
      <c r="O2" s="1" t="str">
        <v>Norwood</v>
      </c>
      <c r="P2" s="1" t="str">
        <v>Morden Corinthians</v>
      </c>
      <c r="Q2" s="1" t="str">
        <v>John Fisher Lamgas</v>
      </c>
      <c r="R2" s="1" t="str">
        <v>Kingstonian</v>
      </c>
      <c r="S2" s="1" t="str">
        <v>Norwood Exiles</v>
      </c>
      <c r="T2" s="1" t="str">
        <v>LESSA Wanderers</v>
      </c>
      <c r="U2" s="1" t="str">
        <v>Sanderstead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A</v>
      </c>
      <c r="D3" s="1" t="str">
        <v>H</v>
      </c>
      <c r="E3" s="1" t="str">
        <v>A</v>
      </c>
      <c r="F3" s="1" t="str">
        <v>A</v>
      </c>
      <c r="G3" s="1" t="str">
        <v>H</v>
      </c>
      <c r="H3" s="1" t="str">
        <v>A</v>
      </c>
      <c r="I3" s="1" t="str">
        <v>A</v>
      </c>
      <c r="J3" s="1" t="str">
        <v>H</v>
      </c>
      <c r="K3" s="1" t="str">
        <v>A</v>
      </c>
      <c r="L3" s="1" t="str">
        <v>H</v>
      </c>
      <c r="M3" s="1" t="str">
        <v>H</v>
      </c>
      <c r="N3" s="1" t="str">
        <v>A</v>
      </c>
      <c r="O3" s="1" t="str">
        <v>H</v>
      </c>
      <c r="P3" s="1" t="str">
        <v>H</v>
      </c>
      <c r="Q3" s="1" t="str">
        <v>H</v>
      </c>
      <c r="R3" s="1" t="str">
        <v>A</v>
      </c>
      <c r="S3" s="1" t="str">
        <v>H</v>
      </c>
      <c r="T3" s="1" t="str">
        <v>H</v>
      </c>
      <c r="U3" s="1" t="str">
        <v>A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SUM(CP5:CP38)</f>
        <v>0</v>
      </c>
      <c r="CQ3" s="55">
        <f>SUM(CQ5:CQ38)</f>
        <v>0</v>
      </c>
    </row>
    <row r="4" spans="1:98" ht="11.25" customHeight="1" x14ac:dyDescent="0.15">
      <c r="B4" s="2" t="str">
        <v>Result</v>
      </c>
      <c r="C4" s="1" t="str">
        <v>ND</v>
      </c>
      <c r="D4" s="1" t="str">
        <v>L</v>
      </c>
      <c r="E4" s="1" t="str">
        <v>L</v>
      </c>
      <c r="F4" s="1" t="str">
        <v>L</v>
      </c>
      <c r="G4" s="1" t="str">
        <v>D</v>
      </c>
      <c r="H4" s="1" t="str">
        <v>L</v>
      </c>
      <c r="I4" s="1" t="str">
        <v>L</v>
      </c>
      <c r="J4" s="1" t="str">
        <v>W</v>
      </c>
      <c r="K4" s="1" t="str">
        <v>L</v>
      </c>
      <c r="L4" s="1" t="str">
        <v>W</v>
      </c>
      <c r="M4" s="1" t="str">
        <v>W</v>
      </c>
      <c r="N4" s="1" t="str">
        <v>L</v>
      </c>
      <c r="O4" s="1" t="str">
        <v>D</v>
      </c>
      <c r="P4" s="1" t="str">
        <v>D</v>
      </c>
      <c r="Q4" s="1" t="str">
        <v>D</v>
      </c>
      <c r="R4" s="1" t="str">
        <v>W</v>
      </c>
      <c r="S4" s="1" t="str">
        <v>L</v>
      </c>
      <c r="T4" s="1" t="str">
        <v>W</v>
      </c>
      <c r="U4" s="1" t="str">
        <v>L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34</v>
      </c>
      <c r="CG4" s="50" t="s">
        <v>35</v>
      </c>
      <c r="CH4" s="50" t="s">
        <v>36</v>
      </c>
      <c r="CI4" s="50" t="s">
        <v>9</v>
      </c>
      <c r="CJ4" s="50" t="s">
        <v>37</v>
      </c>
      <c r="CK4" s="47" t="s">
        <v>38</v>
      </c>
      <c r="CL4" s="50" t="s">
        <v>39</v>
      </c>
      <c r="CM4" s="50" t="s">
        <v>40</v>
      </c>
      <c r="CN4" s="49" t="s">
        <v>98</v>
      </c>
      <c r="CO4" s="55" t="s">
        <v>41</v>
      </c>
      <c r="CP4" s="55" t="s">
        <v>117</v>
      </c>
      <c r="CQ4" s="55" t="s">
        <v>118</v>
      </c>
      <c r="CR4" s="76" t="s">
        <v>144</v>
      </c>
      <c r="CS4" s="2" t="s">
        <v>139</v>
      </c>
      <c r="CT4" s="2" t="s">
        <v>212</v>
      </c>
    </row>
    <row r="5" spans="1:98" ht="11.25" customHeight="1" x14ac:dyDescent="0.15">
      <c r="A5" s="2" t="s">
        <v>61</v>
      </c>
      <c r="B5" s="2" t="s">
        <v>147</v>
      </c>
      <c r="U5" s="2" t="s">
        <v>576</v>
      </c>
      <c r="CE5" s="55">
        <f t="shared" ref="CE5:CE11" si="0">BowlSplit(C5:BC5,InnsBowledIn)</f>
        <v>1</v>
      </c>
      <c r="CF5" s="55">
        <f t="shared" ref="CF5:CF11" si="1">BowlSplit(C5:CC5,BallsBowled)</f>
        <v>18</v>
      </c>
      <c r="CG5" s="57">
        <f t="shared" ref="CG5:CG11" si="2">BowlSplit(C5:CC5,OversBowled)</f>
        <v>3</v>
      </c>
      <c r="CH5" s="55">
        <f t="shared" ref="CH5:CH11" si="3">BowlSplit(C5:CC5,Maidens)</f>
        <v>0</v>
      </c>
      <c r="CI5" s="55">
        <f t="shared" ref="CI5:CI11" si="4">BowlSplit(C5:CC5,RunsConceded)</f>
        <v>26</v>
      </c>
      <c r="CJ5" s="55">
        <f t="shared" ref="CJ5:CJ11" si="5">BowlSplit(C5:CC5,WicketsTaken)</f>
        <v>0</v>
      </c>
      <c r="CK5" s="58" t="str">
        <f>IF(CJ5&gt;0,ROUND(CI5/CJ5,2),"")</f>
        <v/>
      </c>
      <c r="CL5" s="59" t="str">
        <f t="shared" ref="CL5:CL11" si="6">IF(CJ5&gt;0,CF5/CJ5,"")</f>
        <v/>
      </c>
      <c r="CM5" s="59">
        <f t="shared" ref="CM5:CM11" si="7">IF(CF5&gt;0,6*CI5/CF5,"")</f>
        <v>8.6666666666666661</v>
      </c>
      <c r="CN5" s="49" t="str">
        <f t="shared" ref="CN5:CN11" si="8">BowlSplit(C5:CC5,BestBowling)</f>
        <v>0-26</v>
      </c>
      <c r="CO5" s="55">
        <f t="shared" ref="CO5:CO11" si="9">BowlSplit(C5:CC5,BowlPts)</f>
        <v>-5</v>
      </c>
      <c r="CP5" s="55">
        <f t="shared" ref="CP5:CP11" si="10">BowlSplit(C5:CC5,Wides)</f>
        <v>0</v>
      </c>
      <c r="CQ5" s="55">
        <f t="shared" ref="CQ5:CQ11" si="11">BowlSplit(C5:CC5,NoBalls)</f>
        <v>0</v>
      </c>
      <c r="CR5" s="60">
        <f t="shared" ref="CR5:CR11" si="12">IF(CJ5&gt;0,CK5,IF(CF5&gt;0,CF5+1000,99999))+ROW(CQ5)/10000</f>
        <v>1018.0005</v>
      </c>
      <c r="CS5" s="2">
        <f t="shared" ref="CS5:CS14" si="13">RANK(CR5,$CR$5:$CR$32,1)</f>
        <v>23</v>
      </c>
      <c r="CT5" s="109" t="str">
        <f t="shared" ref="CT5:CT11" si="14">IF(CF5&gt;=120,CH5/CF5*6,"")</f>
        <v/>
      </c>
    </row>
    <row r="6" spans="1:98" ht="11.25" customHeight="1" x14ac:dyDescent="0.15">
      <c r="B6" s="2" t="s">
        <v>239</v>
      </c>
      <c r="D6" s="2" t="s">
        <v>319</v>
      </c>
      <c r="E6" s="2" t="s">
        <v>357</v>
      </c>
      <c r="F6" s="2" t="s">
        <v>362</v>
      </c>
      <c r="G6" s="2" t="s">
        <v>374</v>
      </c>
      <c r="H6" s="2" t="s">
        <v>380</v>
      </c>
      <c r="I6" s="2" t="s">
        <v>397</v>
      </c>
      <c r="M6" s="60"/>
      <c r="CE6" s="55">
        <f t="shared" si="0"/>
        <v>6</v>
      </c>
      <c r="CF6" s="55">
        <f t="shared" si="1"/>
        <v>162</v>
      </c>
      <c r="CG6" s="57">
        <f t="shared" si="2"/>
        <v>27</v>
      </c>
      <c r="CH6" s="55">
        <f t="shared" si="3"/>
        <v>1</v>
      </c>
      <c r="CI6" s="55">
        <f t="shared" si="4"/>
        <v>161</v>
      </c>
      <c r="CJ6" s="55">
        <f t="shared" si="5"/>
        <v>3</v>
      </c>
      <c r="CK6" s="58">
        <f t="shared" ref="CK6:CK32" si="15">IF(CJ6&gt;0,ROUND(CI6/CJ6,2),"")</f>
        <v>53.67</v>
      </c>
      <c r="CL6" s="59">
        <f t="shared" si="6"/>
        <v>54</v>
      </c>
      <c r="CM6" s="59">
        <f t="shared" si="7"/>
        <v>5.9629629629629628</v>
      </c>
      <c r="CN6" s="49" t="str">
        <f t="shared" si="8"/>
        <v>2-30</v>
      </c>
      <c r="CO6" s="55">
        <f t="shared" si="9"/>
        <v>11</v>
      </c>
      <c r="CP6" s="55">
        <f t="shared" si="10"/>
        <v>0</v>
      </c>
      <c r="CQ6" s="55">
        <f t="shared" si="11"/>
        <v>0</v>
      </c>
      <c r="CR6" s="60">
        <f t="shared" si="12"/>
        <v>53.6706</v>
      </c>
      <c r="CS6" s="2">
        <f t="shared" si="13"/>
        <v>18</v>
      </c>
      <c r="CT6" s="109">
        <f t="shared" si="14"/>
        <v>3.7037037037037035E-2</v>
      </c>
    </row>
    <row r="7" spans="1:98" ht="11.25" customHeight="1" x14ac:dyDescent="0.15">
      <c r="B7" s="2" t="s">
        <v>382</v>
      </c>
      <c r="H7" s="2" t="s">
        <v>272</v>
      </c>
      <c r="M7" s="60"/>
      <c r="CE7" s="55">
        <f t="shared" ref="CE7" si="16">BowlSplit(C7:BC7,InnsBowledIn)</f>
        <v>1</v>
      </c>
      <c r="CF7" s="55">
        <f t="shared" ref="CF7" si="17">BowlSplit(C7:CC7,BallsBowled)</f>
        <v>24</v>
      </c>
      <c r="CG7" s="57">
        <f t="shared" ref="CG7" si="18">BowlSplit(C7:CC7,OversBowled)</f>
        <v>4</v>
      </c>
      <c r="CH7" s="55">
        <f t="shared" ref="CH7" si="19">BowlSplit(C7:CC7,Maidens)</f>
        <v>0</v>
      </c>
      <c r="CI7" s="55">
        <f t="shared" ref="CI7" si="20">BowlSplit(C7:CC7,RunsConceded)</f>
        <v>38</v>
      </c>
      <c r="CJ7" s="55">
        <f t="shared" ref="CJ7" si="21">BowlSplit(C7:CC7,WicketsTaken)</f>
        <v>1</v>
      </c>
      <c r="CK7" s="58">
        <f t="shared" si="15"/>
        <v>38</v>
      </c>
      <c r="CL7" s="59">
        <f t="shared" ref="CL7" si="22">IF(CJ7&gt;0,CF7/CJ7,"")</f>
        <v>24</v>
      </c>
      <c r="CM7" s="59">
        <f t="shared" ref="CM7" si="23">IF(CF7&gt;0,6*CI7/CF7,"")</f>
        <v>9.5</v>
      </c>
      <c r="CN7" s="49" t="str">
        <f t="shared" ref="CN7" si="24">BowlSplit(C7:CC7,BestBowling)</f>
        <v>1-38</v>
      </c>
      <c r="CO7" s="55">
        <f t="shared" ref="CO7" si="25">BowlSplit(C7:CC7,BowlPts)</f>
        <v>5</v>
      </c>
      <c r="CP7" s="55">
        <f t="shared" ref="CP7" si="26">BowlSplit(C7:CC7,Wides)</f>
        <v>0</v>
      </c>
      <c r="CQ7" s="55">
        <f t="shared" ref="CQ7" si="27">BowlSplit(C7:CC7,NoBalls)</f>
        <v>0</v>
      </c>
      <c r="CR7" s="60">
        <f t="shared" ref="CR7" si="28">IF(CJ7&gt;0,CK7,IF(CF7&gt;0,CF7+1000,99999))+ROW(CQ7)/10000</f>
        <v>38.000700000000002</v>
      </c>
      <c r="CS7" s="2">
        <f t="shared" si="13"/>
        <v>16</v>
      </c>
      <c r="CT7" s="109" t="str">
        <f t="shared" ref="CT7" si="29">IF(CF7&gt;=120,CH7/CF7*6,"")</f>
        <v/>
      </c>
    </row>
    <row r="8" spans="1:98" ht="11.25" customHeight="1" x14ac:dyDescent="0.15">
      <c r="A8" s="2" t="s">
        <v>99</v>
      </c>
      <c r="B8" s="2" t="s">
        <v>148</v>
      </c>
      <c r="D8" s="134" t="s">
        <v>261</v>
      </c>
      <c r="G8" s="2" t="s">
        <v>373</v>
      </c>
      <c r="H8" s="2" t="s">
        <v>378</v>
      </c>
      <c r="L8" s="2" t="s">
        <v>445</v>
      </c>
      <c r="M8" s="60"/>
      <c r="N8" s="2" t="s">
        <v>463</v>
      </c>
      <c r="O8" s="2" t="s">
        <v>484</v>
      </c>
      <c r="P8" s="2" t="s">
        <v>496</v>
      </c>
      <c r="Q8" s="2" t="s">
        <v>511</v>
      </c>
      <c r="R8" s="2" t="s">
        <v>525</v>
      </c>
      <c r="T8" s="2" t="s">
        <v>555</v>
      </c>
      <c r="U8" s="2" t="s">
        <v>319</v>
      </c>
      <c r="CE8" s="55">
        <f t="shared" si="0"/>
        <v>11</v>
      </c>
      <c r="CF8" s="55">
        <f t="shared" si="1"/>
        <v>360</v>
      </c>
      <c r="CG8" s="57">
        <f t="shared" si="2"/>
        <v>60</v>
      </c>
      <c r="CH8" s="55">
        <f t="shared" si="3"/>
        <v>9</v>
      </c>
      <c r="CI8" s="55">
        <f t="shared" si="4"/>
        <v>215</v>
      </c>
      <c r="CJ8" s="55">
        <f t="shared" si="5"/>
        <v>7</v>
      </c>
      <c r="CK8" s="58">
        <f t="shared" si="15"/>
        <v>30.71</v>
      </c>
      <c r="CL8" s="59">
        <f t="shared" si="6"/>
        <v>51.428571428571431</v>
      </c>
      <c r="CM8" s="59">
        <f t="shared" si="7"/>
        <v>3.5833333333333335</v>
      </c>
      <c r="CN8" s="49" t="str">
        <f t="shared" si="8"/>
        <v>4-28</v>
      </c>
      <c r="CO8" s="55">
        <f t="shared" si="9"/>
        <v>109</v>
      </c>
      <c r="CP8" s="55">
        <f t="shared" si="10"/>
        <v>0</v>
      </c>
      <c r="CQ8" s="55">
        <f t="shared" si="11"/>
        <v>0</v>
      </c>
      <c r="CR8" s="60">
        <f t="shared" si="12"/>
        <v>30.710800000000003</v>
      </c>
      <c r="CS8" s="2">
        <f t="shared" si="13"/>
        <v>13</v>
      </c>
      <c r="CT8" s="109">
        <f t="shared" si="14"/>
        <v>0.15000000000000002</v>
      </c>
    </row>
    <row r="9" spans="1:98" ht="11.25" customHeight="1" x14ac:dyDescent="0.15">
      <c r="B9" s="2" t="s">
        <v>418</v>
      </c>
      <c r="D9" s="134"/>
      <c r="J9" s="2" t="s">
        <v>425</v>
      </c>
      <c r="M9" s="60"/>
      <c r="N9" s="2" t="s">
        <v>466</v>
      </c>
      <c r="O9" s="2" t="s">
        <v>481</v>
      </c>
      <c r="P9" s="2" t="s">
        <v>495</v>
      </c>
      <c r="Q9" s="2" t="s">
        <v>512</v>
      </c>
      <c r="T9" s="2" t="s">
        <v>551</v>
      </c>
      <c r="CE9" s="55">
        <f t="shared" ref="CE9" si="30">BowlSplit(C9:BC9,InnsBowledIn)</f>
        <v>6</v>
      </c>
      <c r="CF9" s="55">
        <f t="shared" ref="CF9" si="31">BowlSplit(C9:CC9,BallsBowled)</f>
        <v>224</v>
      </c>
      <c r="CG9" s="57">
        <f t="shared" ref="CG9" si="32">BowlSplit(C9:CC9,OversBowled)</f>
        <v>37.200000000000003</v>
      </c>
      <c r="CH9" s="55">
        <f t="shared" ref="CH9" si="33">BowlSplit(C9:CC9,Maidens)</f>
        <v>5</v>
      </c>
      <c r="CI9" s="55">
        <f t="shared" ref="CI9" si="34">BowlSplit(C9:CC9,RunsConceded)</f>
        <v>162</v>
      </c>
      <c r="CJ9" s="55">
        <f t="shared" ref="CJ9" si="35">BowlSplit(C9:CC9,WicketsTaken)</f>
        <v>8</v>
      </c>
      <c r="CK9" s="58">
        <f t="shared" si="15"/>
        <v>20.25</v>
      </c>
      <c r="CL9" s="59">
        <f t="shared" ref="CL9" si="36">IF(CJ9&gt;0,CF9/CJ9,"")</f>
        <v>28</v>
      </c>
      <c r="CM9" s="59">
        <f t="shared" ref="CM9" si="37">IF(CF9&gt;0,6*CI9/CF9,"")</f>
        <v>4.3392857142857144</v>
      </c>
      <c r="CN9" s="49" t="str">
        <f t="shared" ref="CN9" si="38">BowlSplit(C9:CC9,BestBowling)</f>
        <v>2-26</v>
      </c>
      <c r="CO9" s="55">
        <f t="shared" ref="CO9" si="39">BowlSplit(C9:CC9,BowlPts)</f>
        <v>90</v>
      </c>
      <c r="CP9" s="55">
        <f t="shared" ref="CP9" si="40">BowlSplit(C9:CC9,Wides)</f>
        <v>0</v>
      </c>
      <c r="CQ9" s="55">
        <f t="shared" ref="CQ9" si="41">BowlSplit(C9:CC9,NoBalls)</f>
        <v>0</v>
      </c>
      <c r="CR9" s="60">
        <f t="shared" ref="CR9" si="42">IF(CJ9&gt;0,CK9,IF(CF9&gt;0,CF9+1000,99999))+ROW(CQ9)/10000</f>
        <v>20.250900000000001</v>
      </c>
      <c r="CS9" s="2">
        <f t="shared" si="13"/>
        <v>9</v>
      </c>
      <c r="CT9" s="109">
        <f t="shared" ref="CT9" si="43">IF(CF9&gt;=120,CH9/CF9*6,"")</f>
        <v>0.13392857142857142</v>
      </c>
    </row>
    <row r="10" spans="1:98" ht="11.25" customHeight="1" x14ac:dyDescent="0.15">
      <c r="A10" s="2" t="s">
        <v>131</v>
      </c>
      <c r="B10" s="2" t="s">
        <v>149</v>
      </c>
      <c r="CE10" s="55">
        <f t="shared" si="0"/>
        <v>0</v>
      </c>
      <c r="CF10" s="55">
        <f t="shared" si="1"/>
        <v>0</v>
      </c>
      <c r="CG10" s="57">
        <f t="shared" si="2"/>
        <v>0</v>
      </c>
      <c r="CH10" s="55">
        <f t="shared" si="3"/>
        <v>0</v>
      </c>
      <c r="CI10" s="55">
        <f t="shared" si="4"/>
        <v>0</v>
      </c>
      <c r="CJ10" s="55">
        <f t="shared" si="5"/>
        <v>0</v>
      </c>
      <c r="CK10" s="58" t="str">
        <f t="shared" si="15"/>
        <v/>
      </c>
      <c r="CL10" s="59" t="str">
        <f t="shared" si="6"/>
        <v/>
      </c>
      <c r="CM10" s="59" t="str">
        <f t="shared" si="7"/>
        <v/>
      </c>
      <c r="CN10" s="49" t="str">
        <f t="shared" si="8"/>
        <v/>
      </c>
      <c r="CO10" s="55">
        <f t="shared" si="9"/>
        <v>0</v>
      </c>
      <c r="CP10" s="55">
        <f t="shared" si="10"/>
        <v>0</v>
      </c>
      <c r="CQ10" s="55">
        <f t="shared" si="11"/>
        <v>0</v>
      </c>
      <c r="CR10" s="60">
        <f t="shared" si="12"/>
        <v>99999.001000000004</v>
      </c>
      <c r="CS10" s="2">
        <f t="shared" si="13"/>
        <v>24</v>
      </c>
      <c r="CT10" s="109" t="str">
        <f t="shared" si="14"/>
        <v/>
      </c>
    </row>
    <row r="11" spans="1:98" ht="11.25" customHeight="1" x14ac:dyDescent="0.15">
      <c r="A11" s="2" t="s">
        <v>43</v>
      </c>
      <c r="B11" s="2" t="s">
        <v>44</v>
      </c>
      <c r="D11" s="2" t="s">
        <v>318</v>
      </c>
      <c r="E11" s="2" t="s">
        <v>356</v>
      </c>
      <c r="F11" s="2" t="s">
        <v>361</v>
      </c>
      <c r="G11" s="2" t="s">
        <v>376</v>
      </c>
      <c r="H11" s="2" t="s">
        <v>379</v>
      </c>
      <c r="I11" s="2" t="s">
        <v>395</v>
      </c>
      <c r="J11" s="2" t="s">
        <v>424</v>
      </c>
      <c r="K11" s="2" t="s">
        <v>437</v>
      </c>
      <c r="L11" s="2" t="s">
        <v>446</v>
      </c>
      <c r="M11" s="60" t="s">
        <v>457</v>
      </c>
      <c r="N11" s="2" t="s">
        <v>465</v>
      </c>
      <c r="O11" s="2" t="s">
        <v>482</v>
      </c>
      <c r="P11" s="2" t="s">
        <v>497</v>
      </c>
      <c r="Q11" s="2" t="s">
        <v>513</v>
      </c>
      <c r="R11" s="2" t="s">
        <v>527</v>
      </c>
      <c r="CE11" s="55">
        <f t="shared" si="0"/>
        <v>15</v>
      </c>
      <c r="CF11" s="55">
        <f t="shared" si="1"/>
        <v>658</v>
      </c>
      <c r="CG11" s="57">
        <f t="shared" si="2"/>
        <v>109.4</v>
      </c>
      <c r="CH11" s="55">
        <f t="shared" si="3"/>
        <v>10</v>
      </c>
      <c r="CI11" s="55">
        <f t="shared" si="4"/>
        <v>389</v>
      </c>
      <c r="CJ11" s="55">
        <f t="shared" si="5"/>
        <v>18</v>
      </c>
      <c r="CK11" s="58">
        <f t="shared" si="15"/>
        <v>21.61</v>
      </c>
      <c r="CL11" s="59">
        <f t="shared" si="6"/>
        <v>36.555555555555557</v>
      </c>
      <c r="CM11" s="59">
        <f t="shared" si="7"/>
        <v>3.547112462006079</v>
      </c>
      <c r="CN11" s="49" t="str">
        <f t="shared" si="8"/>
        <v>4-12</v>
      </c>
      <c r="CO11" s="55">
        <f t="shared" si="9"/>
        <v>255</v>
      </c>
      <c r="CP11" s="55">
        <f t="shared" si="10"/>
        <v>0</v>
      </c>
      <c r="CQ11" s="55">
        <f t="shared" si="11"/>
        <v>0</v>
      </c>
      <c r="CR11" s="60">
        <f t="shared" si="12"/>
        <v>21.6111</v>
      </c>
      <c r="CS11" s="2">
        <f t="shared" si="13"/>
        <v>10</v>
      </c>
      <c r="CT11" s="109">
        <f t="shared" si="14"/>
        <v>9.1185410334346503E-2</v>
      </c>
    </row>
    <row r="12" spans="1:98" ht="11.25" customHeight="1" x14ac:dyDescent="0.15">
      <c r="B12" s="2" t="s">
        <v>232</v>
      </c>
      <c r="J12" s="2" t="s">
        <v>427</v>
      </c>
      <c r="K12" s="2" t="s">
        <v>440</v>
      </c>
      <c r="M12" s="60"/>
      <c r="N12" s="2" t="s">
        <v>263</v>
      </c>
      <c r="Q12" s="2" t="s">
        <v>514</v>
      </c>
      <c r="S12" s="2" t="s">
        <v>544</v>
      </c>
      <c r="T12" s="2" t="s">
        <v>554</v>
      </c>
      <c r="U12" s="2" t="s">
        <v>573</v>
      </c>
      <c r="CE12" s="55">
        <f t="shared" ref="CE12:CE14" si="44">BowlSplit(C12:BC12,InnsBowledIn)</f>
        <v>7</v>
      </c>
      <c r="CF12" s="55">
        <f t="shared" ref="CF12:CF14" si="45">BowlSplit(C12:CC12,BallsBowled)</f>
        <v>154</v>
      </c>
      <c r="CG12" s="57">
        <f t="shared" ref="CG12:CG14" si="46">BowlSplit(C12:CC12,OversBowled)</f>
        <v>25.4</v>
      </c>
      <c r="CH12" s="55">
        <f t="shared" ref="CH12:CH14" si="47">BowlSplit(C12:CC12,Maidens)</f>
        <v>3</v>
      </c>
      <c r="CI12" s="55">
        <f t="shared" ref="CI12:CI14" si="48">BowlSplit(C12:CC12,RunsConceded)</f>
        <v>117</v>
      </c>
      <c r="CJ12" s="55">
        <f t="shared" ref="CJ12:CJ14" si="49">BowlSplit(C12:CC12,WicketsTaken)</f>
        <v>4</v>
      </c>
      <c r="CK12" s="58">
        <f t="shared" si="15"/>
        <v>29.25</v>
      </c>
      <c r="CL12" s="59">
        <f t="shared" ref="CL12:CL14" si="50">IF(CJ12&gt;0,CF12/CJ12,"")</f>
        <v>38.5</v>
      </c>
      <c r="CM12" s="59">
        <f t="shared" ref="CM12:CM14" si="51">IF(CF12&gt;0,6*CI12/CF12,"")</f>
        <v>4.5584415584415581</v>
      </c>
      <c r="CN12" s="49" t="str">
        <f t="shared" ref="CN12:CN14" si="52">BowlSplit(C12:CC12,BestBowling)</f>
        <v>1-8</v>
      </c>
      <c r="CO12" s="55">
        <f t="shared" ref="CO12:CO14" si="53">BowlSplit(C12:CC12,BowlPts)</f>
        <v>58</v>
      </c>
      <c r="CP12" s="55">
        <f t="shared" ref="CP12:CP14" si="54">BowlSplit(C12:CC12,Wides)</f>
        <v>0</v>
      </c>
      <c r="CQ12" s="55">
        <f t="shared" ref="CQ12:CQ14" si="55">BowlSplit(C12:CC12,NoBalls)</f>
        <v>0</v>
      </c>
      <c r="CR12" s="60">
        <f t="shared" ref="CR12:CR14" si="56">IF(CJ12&gt;0,CK12,IF(CF12&gt;0,CF12+1000,99999))+ROW(CQ12)/10000</f>
        <v>29.251200000000001</v>
      </c>
      <c r="CS12" s="2">
        <f t="shared" si="13"/>
        <v>12</v>
      </c>
      <c r="CT12" s="109">
        <f t="shared" ref="CT12:CT14" si="57">IF(CF12&gt;=120,CH12/CF12*6,"")</f>
        <v>0.11688311688311688</v>
      </c>
    </row>
    <row r="13" spans="1:98" ht="11.25" customHeight="1" x14ac:dyDescent="0.15">
      <c r="B13" s="2" t="s">
        <v>182</v>
      </c>
      <c r="M13" s="60" t="s">
        <v>460</v>
      </c>
      <c r="CE13" s="55">
        <f t="shared" ref="CE13" si="58">BowlSplit(C13:BC13,InnsBowledIn)</f>
        <v>1</v>
      </c>
      <c r="CF13" s="55">
        <f t="shared" ref="CF13" si="59">BowlSplit(C13:CC13,BallsBowled)</f>
        <v>12</v>
      </c>
      <c r="CG13" s="57">
        <f t="shared" ref="CG13" si="60">BowlSplit(C13:CC13,OversBowled)</f>
        <v>2</v>
      </c>
      <c r="CH13" s="55">
        <f t="shared" ref="CH13" si="61">BowlSplit(C13:CC13,Maidens)</f>
        <v>1</v>
      </c>
      <c r="CI13" s="55">
        <f t="shared" ref="CI13" si="62">BowlSplit(C13:CC13,RunsConceded)</f>
        <v>10</v>
      </c>
      <c r="CJ13" s="55">
        <f t="shared" ref="CJ13" si="63">BowlSplit(C13:CC13,WicketsTaken)</f>
        <v>1</v>
      </c>
      <c r="CK13" s="58">
        <f t="shared" si="15"/>
        <v>10</v>
      </c>
      <c r="CL13" s="59">
        <f t="shared" ref="CL13" si="64">IF(CJ13&gt;0,CF13/CJ13,"")</f>
        <v>12</v>
      </c>
      <c r="CM13" s="59">
        <f t="shared" ref="CM13" si="65">IF(CF13&gt;0,6*CI13/CF13,"")</f>
        <v>5</v>
      </c>
      <c r="CN13" s="49" t="str">
        <f t="shared" ref="CN13" si="66">BowlSplit(C13:CC13,BestBowling)</f>
        <v>1-10</v>
      </c>
      <c r="CO13" s="55">
        <f t="shared" ref="CO13" si="67">BowlSplit(C13:CC13,BowlPts)</f>
        <v>11</v>
      </c>
      <c r="CP13" s="55">
        <f t="shared" ref="CP13" si="68">BowlSplit(C13:CC13,Wides)</f>
        <v>0</v>
      </c>
      <c r="CQ13" s="55">
        <f t="shared" ref="CQ13" si="69">BowlSplit(C13:CC13,NoBalls)</f>
        <v>0</v>
      </c>
      <c r="CR13" s="60">
        <f t="shared" ref="CR13" si="70">IF(CJ13&gt;0,CK13,IF(CF13&gt;0,CF13+1000,99999))+ROW(CQ13)/10000</f>
        <v>10.001300000000001</v>
      </c>
      <c r="CS13" s="2">
        <f t="shared" si="13"/>
        <v>1</v>
      </c>
      <c r="CT13" s="109" t="str">
        <f t="shared" ref="CT13" si="71">IF(CF13&gt;=120,CH13/CF13*6,"")</f>
        <v/>
      </c>
    </row>
    <row r="14" spans="1:98" ht="11.25" customHeight="1" x14ac:dyDescent="0.15">
      <c r="B14" s="2" t="s">
        <v>231</v>
      </c>
      <c r="I14" s="2" t="s">
        <v>398</v>
      </c>
      <c r="J14" s="2" t="s">
        <v>423</v>
      </c>
      <c r="M14" s="60"/>
      <c r="N14" s="2" t="s">
        <v>464</v>
      </c>
      <c r="O14" s="2" t="s">
        <v>485</v>
      </c>
      <c r="CE14" s="55">
        <f t="shared" si="44"/>
        <v>4</v>
      </c>
      <c r="CF14" s="55">
        <f t="shared" si="45"/>
        <v>84</v>
      </c>
      <c r="CG14" s="57">
        <f t="shared" si="46"/>
        <v>14</v>
      </c>
      <c r="CH14" s="55">
        <f t="shared" si="47"/>
        <v>3</v>
      </c>
      <c r="CI14" s="55">
        <f t="shared" si="48"/>
        <v>72</v>
      </c>
      <c r="CJ14" s="55">
        <f t="shared" si="49"/>
        <v>2</v>
      </c>
      <c r="CK14" s="58">
        <f t="shared" si="15"/>
        <v>36</v>
      </c>
      <c r="CL14" s="59">
        <f t="shared" si="50"/>
        <v>42</v>
      </c>
      <c r="CM14" s="59">
        <f t="shared" si="51"/>
        <v>5.1428571428571432</v>
      </c>
      <c r="CN14" s="49" t="str">
        <f t="shared" si="52"/>
        <v>2-23</v>
      </c>
      <c r="CO14" s="55">
        <f t="shared" si="53"/>
        <v>13</v>
      </c>
      <c r="CP14" s="55">
        <f t="shared" si="54"/>
        <v>0</v>
      </c>
      <c r="CQ14" s="55">
        <f t="shared" si="55"/>
        <v>0</v>
      </c>
      <c r="CR14" s="60">
        <f t="shared" si="56"/>
        <v>36.001399999999997</v>
      </c>
      <c r="CS14" s="2">
        <f t="shared" si="13"/>
        <v>15</v>
      </c>
      <c r="CT14" s="109" t="str">
        <f t="shared" si="57"/>
        <v/>
      </c>
    </row>
    <row r="15" spans="1:98" ht="11.25" customHeight="1" x14ac:dyDescent="0.15">
      <c r="B15" s="2" t="s">
        <v>570</v>
      </c>
      <c r="U15" s="2" t="s">
        <v>575</v>
      </c>
      <c r="CE15" s="55">
        <f t="shared" ref="CE15:CE32" si="72">BowlSplit(C15:BC15,InnsBowledIn)</f>
        <v>1</v>
      </c>
      <c r="CF15" s="55">
        <f t="shared" ref="CF15:CF32" si="73">BowlSplit(C15:CC15,BallsBowled)</f>
        <v>36</v>
      </c>
      <c r="CG15" s="57">
        <f t="shared" ref="CG15:CG32" si="74">BowlSplit(C15:CC15,OversBowled)</f>
        <v>6</v>
      </c>
      <c r="CH15" s="55">
        <f t="shared" ref="CH15:CH32" si="75">BowlSplit(C15:CC15,Maidens)</f>
        <v>0</v>
      </c>
      <c r="CI15" s="55">
        <f t="shared" ref="CI15:CI32" si="76">BowlSplit(C15:CC15,RunsConceded)</f>
        <v>32</v>
      </c>
      <c r="CJ15" s="55">
        <f t="shared" ref="CJ15:CJ32" si="77">BowlSplit(C15:CC15,WicketsTaken)</f>
        <v>1</v>
      </c>
      <c r="CK15" s="58">
        <f t="shared" si="15"/>
        <v>32</v>
      </c>
      <c r="CL15" s="59">
        <f t="shared" ref="CL15:CL32" si="78">IF(CJ15&gt;0,CF15/CJ15,"")</f>
        <v>36</v>
      </c>
      <c r="CM15" s="59">
        <f t="shared" ref="CM15:CM32" si="79">IF(CF15&gt;0,6*CI15/CF15,"")</f>
        <v>5.333333333333333</v>
      </c>
      <c r="CN15" s="49" t="str">
        <f t="shared" ref="CN15:CN32" si="80">BowlSplit(C15:CC15,BestBowling)</f>
        <v>1-32</v>
      </c>
      <c r="CO15" s="55">
        <f t="shared" ref="CO15:CO32" si="81">BowlSplit(C15:CC15,BowlPts)</f>
        <v>5</v>
      </c>
      <c r="CP15" s="55">
        <f t="shared" ref="CP15:CP32" si="82">BowlSplit(C15:CC15,Wides)</f>
        <v>0</v>
      </c>
      <c r="CQ15" s="55">
        <f t="shared" ref="CQ15:CQ32" si="83">BowlSplit(C15:CC15,NoBalls)</f>
        <v>0</v>
      </c>
      <c r="CR15" s="60">
        <f t="shared" ref="CR15:CR32" si="84">IF(CJ15&gt;0,CK15,IF(CF15&gt;0,CF15+1000,99999))+ROW(CQ15)/10000</f>
        <v>32.0015</v>
      </c>
      <c r="CS15" s="2">
        <f t="shared" ref="CS15:CS32" si="85">RANK(CR15,$CR$5:$CR$32,1)</f>
        <v>14</v>
      </c>
      <c r="CT15" s="109" t="str">
        <f t="shared" ref="CT15:CT32" si="86">IF(CF15&gt;=120,CH15/CF15*6,"")</f>
        <v/>
      </c>
    </row>
    <row r="16" spans="1:98" ht="11.25" customHeight="1" x14ac:dyDescent="0.15">
      <c r="B16" s="2" t="s">
        <v>629</v>
      </c>
      <c r="U16" s="2" t="s">
        <v>438</v>
      </c>
      <c r="CE16" s="55">
        <f t="shared" si="72"/>
        <v>1</v>
      </c>
      <c r="CF16" s="55">
        <f t="shared" si="73"/>
        <v>24</v>
      </c>
      <c r="CG16" s="57">
        <f t="shared" si="74"/>
        <v>4</v>
      </c>
      <c r="CH16" s="55">
        <f t="shared" si="75"/>
        <v>0</v>
      </c>
      <c r="CI16" s="55">
        <f t="shared" si="76"/>
        <v>18</v>
      </c>
      <c r="CJ16" s="55">
        <f t="shared" si="77"/>
        <v>1</v>
      </c>
      <c r="CK16" s="58">
        <f t="shared" si="15"/>
        <v>18</v>
      </c>
      <c r="CL16" s="59">
        <f t="shared" si="78"/>
        <v>24</v>
      </c>
      <c r="CM16" s="59">
        <f t="shared" si="79"/>
        <v>4.5</v>
      </c>
      <c r="CN16" s="49" t="str">
        <f t="shared" si="80"/>
        <v>1-18</v>
      </c>
      <c r="CO16" s="55">
        <f t="shared" si="81"/>
        <v>10</v>
      </c>
      <c r="CP16" s="55">
        <f t="shared" si="82"/>
        <v>0</v>
      </c>
      <c r="CQ16" s="55">
        <f t="shared" si="83"/>
        <v>0</v>
      </c>
      <c r="CR16" s="60">
        <f t="shared" si="84"/>
        <v>18.0016</v>
      </c>
      <c r="CS16" s="2">
        <f t="shared" si="85"/>
        <v>8</v>
      </c>
      <c r="CT16" s="109" t="str">
        <f t="shared" si="86"/>
        <v/>
      </c>
    </row>
    <row r="17" spans="1:98" ht="11.25" customHeight="1" x14ac:dyDescent="0.15">
      <c r="B17" s="2" t="s">
        <v>205</v>
      </c>
      <c r="G17" s="2" t="s">
        <v>259</v>
      </c>
      <c r="H17" s="2" t="s">
        <v>270</v>
      </c>
      <c r="I17" s="2" t="s">
        <v>394</v>
      </c>
      <c r="K17" s="2" t="s">
        <v>438</v>
      </c>
      <c r="M17" s="2" t="s">
        <v>458</v>
      </c>
      <c r="S17" s="2" t="s">
        <v>547</v>
      </c>
      <c r="CE17" s="55">
        <f t="shared" si="72"/>
        <v>6</v>
      </c>
      <c r="CF17" s="55">
        <f t="shared" si="73"/>
        <v>174</v>
      </c>
      <c r="CG17" s="57">
        <f t="shared" si="74"/>
        <v>29</v>
      </c>
      <c r="CH17" s="55">
        <f t="shared" si="75"/>
        <v>1</v>
      </c>
      <c r="CI17" s="55">
        <f t="shared" si="76"/>
        <v>120</v>
      </c>
      <c r="CJ17" s="55">
        <f t="shared" si="77"/>
        <v>3</v>
      </c>
      <c r="CK17" s="58">
        <f t="shared" si="15"/>
        <v>40</v>
      </c>
      <c r="CL17" s="59">
        <f t="shared" si="78"/>
        <v>58</v>
      </c>
      <c r="CM17" s="59">
        <f t="shared" si="79"/>
        <v>4.1379310344827589</v>
      </c>
      <c r="CN17" s="49" t="str">
        <f t="shared" si="80"/>
        <v>1-12</v>
      </c>
      <c r="CO17" s="55">
        <f t="shared" si="81"/>
        <v>41</v>
      </c>
      <c r="CP17" s="55">
        <f t="shared" si="82"/>
        <v>0</v>
      </c>
      <c r="CQ17" s="55">
        <f t="shared" si="83"/>
        <v>0</v>
      </c>
      <c r="CR17" s="60">
        <f t="shared" si="84"/>
        <v>40.0017</v>
      </c>
      <c r="CS17" s="2">
        <f t="shared" si="85"/>
        <v>17</v>
      </c>
      <c r="CT17" s="109">
        <f t="shared" si="86"/>
        <v>3.4482758620689655E-2</v>
      </c>
    </row>
    <row r="18" spans="1:98" ht="11.25" customHeight="1" x14ac:dyDescent="0.15">
      <c r="B18" s="2" t="s">
        <v>229</v>
      </c>
      <c r="H18" s="2" t="s">
        <v>381</v>
      </c>
      <c r="M18" s="60"/>
      <c r="P18" s="2" t="s">
        <v>500</v>
      </c>
      <c r="CE18" s="55">
        <f t="shared" si="72"/>
        <v>2</v>
      </c>
      <c r="CF18" s="55">
        <f t="shared" si="73"/>
        <v>60</v>
      </c>
      <c r="CG18" s="57">
        <f t="shared" si="74"/>
        <v>10</v>
      </c>
      <c r="CH18" s="55">
        <f t="shared" si="75"/>
        <v>0</v>
      </c>
      <c r="CI18" s="55">
        <f t="shared" si="76"/>
        <v>69</v>
      </c>
      <c r="CJ18" s="55">
        <f t="shared" si="77"/>
        <v>1</v>
      </c>
      <c r="CK18" s="58">
        <f t="shared" si="15"/>
        <v>69</v>
      </c>
      <c r="CL18" s="59">
        <f t="shared" si="78"/>
        <v>60</v>
      </c>
      <c r="CM18" s="59">
        <f t="shared" si="79"/>
        <v>6.9</v>
      </c>
      <c r="CN18" s="49" t="str">
        <f t="shared" si="80"/>
        <v>1-33</v>
      </c>
      <c r="CO18" s="55">
        <f t="shared" si="81"/>
        <v>0</v>
      </c>
      <c r="CP18" s="55">
        <f t="shared" si="82"/>
        <v>0</v>
      </c>
      <c r="CQ18" s="55">
        <f t="shared" si="83"/>
        <v>0</v>
      </c>
      <c r="CR18" s="60">
        <f t="shared" si="84"/>
        <v>69.001800000000003</v>
      </c>
      <c r="CS18" s="2">
        <f t="shared" si="85"/>
        <v>19</v>
      </c>
      <c r="CT18" s="109" t="str">
        <f t="shared" si="86"/>
        <v/>
      </c>
    </row>
    <row r="19" spans="1:98" ht="11.25" customHeight="1" x14ac:dyDescent="0.15">
      <c r="A19" s="2" t="s">
        <v>47</v>
      </c>
      <c r="B19" s="2" t="s">
        <v>48</v>
      </c>
      <c r="CE19" s="55">
        <f t="shared" si="72"/>
        <v>0</v>
      </c>
      <c r="CF19" s="55">
        <f t="shared" si="73"/>
        <v>0</v>
      </c>
      <c r="CG19" s="57">
        <f t="shared" si="74"/>
        <v>0</v>
      </c>
      <c r="CH19" s="55">
        <f t="shared" si="75"/>
        <v>0</v>
      </c>
      <c r="CI19" s="55">
        <f t="shared" si="76"/>
        <v>0</v>
      </c>
      <c r="CJ19" s="55">
        <f t="shared" si="77"/>
        <v>0</v>
      </c>
      <c r="CK19" s="58" t="str">
        <f t="shared" si="15"/>
        <v/>
      </c>
      <c r="CL19" s="59" t="str">
        <f t="shared" si="78"/>
        <v/>
      </c>
      <c r="CM19" s="59" t="str">
        <f t="shared" si="79"/>
        <v/>
      </c>
      <c r="CN19" s="49" t="str">
        <f t="shared" si="80"/>
        <v/>
      </c>
      <c r="CO19" s="55">
        <f t="shared" si="81"/>
        <v>0</v>
      </c>
      <c r="CP19" s="55">
        <f t="shared" si="82"/>
        <v>0</v>
      </c>
      <c r="CQ19" s="55">
        <f t="shared" si="83"/>
        <v>0</v>
      </c>
      <c r="CR19" s="60">
        <f t="shared" si="84"/>
        <v>99999.001900000003</v>
      </c>
      <c r="CS19" s="2">
        <f t="shared" si="85"/>
        <v>25</v>
      </c>
      <c r="CT19" s="109" t="str">
        <f t="shared" si="86"/>
        <v/>
      </c>
    </row>
    <row r="20" spans="1:98" ht="11.25" customHeight="1" x14ac:dyDescent="0.15">
      <c r="A20" s="2" t="s">
        <v>189</v>
      </c>
      <c r="B20" s="2" t="s">
        <v>184</v>
      </c>
      <c r="D20" s="2" t="s">
        <v>314</v>
      </c>
      <c r="F20" s="2" t="s">
        <v>363</v>
      </c>
      <c r="K20" s="2" t="s">
        <v>436</v>
      </c>
      <c r="Q20" s="2" t="s">
        <v>510</v>
      </c>
      <c r="S20" s="2" t="s">
        <v>543</v>
      </c>
      <c r="T20" s="2" t="s">
        <v>550</v>
      </c>
      <c r="U20" s="2" t="s">
        <v>577</v>
      </c>
      <c r="CE20" s="55">
        <f t="shared" si="72"/>
        <v>7</v>
      </c>
      <c r="CF20" s="55">
        <f t="shared" si="73"/>
        <v>227</v>
      </c>
      <c r="CG20" s="57">
        <f t="shared" si="74"/>
        <v>37.5</v>
      </c>
      <c r="CH20" s="55">
        <f t="shared" si="75"/>
        <v>3</v>
      </c>
      <c r="CI20" s="55">
        <f t="shared" si="76"/>
        <v>183</v>
      </c>
      <c r="CJ20" s="55">
        <f t="shared" si="77"/>
        <v>1</v>
      </c>
      <c r="CK20" s="58">
        <f t="shared" si="15"/>
        <v>183</v>
      </c>
      <c r="CL20" s="59">
        <f t="shared" si="78"/>
        <v>227</v>
      </c>
      <c r="CM20" s="59">
        <f t="shared" si="79"/>
        <v>4.8370044052863435</v>
      </c>
      <c r="CN20" s="49" t="str">
        <f t="shared" si="80"/>
        <v>1-35</v>
      </c>
      <c r="CO20" s="55">
        <f t="shared" si="81"/>
        <v>13</v>
      </c>
      <c r="CP20" s="55">
        <f t="shared" si="82"/>
        <v>0</v>
      </c>
      <c r="CQ20" s="55">
        <f t="shared" si="83"/>
        <v>0</v>
      </c>
      <c r="CR20" s="60">
        <f t="shared" si="84"/>
        <v>183.00200000000001</v>
      </c>
      <c r="CS20" s="2">
        <f t="shared" si="85"/>
        <v>20</v>
      </c>
      <c r="CT20" s="109">
        <f t="shared" si="86"/>
        <v>7.9295154185022032E-2</v>
      </c>
    </row>
    <row r="21" spans="1:98" ht="11.25" customHeight="1" x14ac:dyDescent="0.15">
      <c r="A21" s="2" t="s">
        <v>137</v>
      </c>
      <c r="B21" s="2" t="s">
        <v>150</v>
      </c>
      <c r="CE21" s="55">
        <f t="shared" si="72"/>
        <v>0</v>
      </c>
      <c r="CF21" s="55">
        <f t="shared" si="73"/>
        <v>0</v>
      </c>
      <c r="CG21" s="57">
        <f t="shared" si="74"/>
        <v>0</v>
      </c>
      <c r="CH21" s="55">
        <f t="shared" si="75"/>
        <v>0</v>
      </c>
      <c r="CI21" s="55">
        <f t="shared" si="76"/>
        <v>0</v>
      </c>
      <c r="CJ21" s="55">
        <f t="shared" si="77"/>
        <v>0</v>
      </c>
      <c r="CK21" s="58" t="str">
        <f t="shared" si="15"/>
        <v/>
      </c>
      <c r="CL21" s="59" t="str">
        <f t="shared" si="78"/>
        <v/>
      </c>
      <c r="CM21" s="59" t="str">
        <f t="shared" si="79"/>
        <v/>
      </c>
      <c r="CN21" s="49" t="str">
        <f t="shared" si="80"/>
        <v/>
      </c>
      <c r="CO21" s="55">
        <f t="shared" si="81"/>
        <v>0</v>
      </c>
      <c r="CP21" s="55">
        <f t="shared" si="82"/>
        <v>0</v>
      </c>
      <c r="CQ21" s="55">
        <f t="shared" si="83"/>
        <v>0</v>
      </c>
      <c r="CR21" s="60">
        <f t="shared" si="84"/>
        <v>99999.002099999998</v>
      </c>
      <c r="CS21" s="2">
        <f t="shared" si="85"/>
        <v>26</v>
      </c>
      <c r="CT21" s="109" t="str">
        <f t="shared" si="86"/>
        <v/>
      </c>
    </row>
    <row r="22" spans="1:98" ht="11.25" customHeight="1" x14ac:dyDescent="0.15">
      <c r="B22" s="2" t="s">
        <v>490</v>
      </c>
      <c r="S22" s="2" t="s">
        <v>546</v>
      </c>
      <c r="T22" s="2" t="s">
        <v>552</v>
      </c>
      <c r="CE22" s="55">
        <f t="shared" si="72"/>
        <v>2</v>
      </c>
      <c r="CF22" s="55">
        <f t="shared" si="73"/>
        <v>36</v>
      </c>
      <c r="CG22" s="57">
        <f t="shared" si="74"/>
        <v>6</v>
      </c>
      <c r="CH22" s="55">
        <f t="shared" si="75"/>
        <v>0</v>
      </c>
      <c r="CI22" s="55">
        <f t="shared" si="76"/>
        <v>26</v>
      </c>
      <c r="CJ22" s="55">
        <f t="shared" si="77"/>
        <v>1</v>
      </c>
      <c r="CK22" s="58">
        <f t="shared" si="15"/>
        <v>26</v>
      </c>
      <c r="CL22" s="59">
        <f t="shared" si="78"/>
        <v>36</v>
      </c>
      <c r="CM22" s="59">
        <f t="shared" si="79"/>
        <v>4.333333333333333</v>
      </c>
      <c r="CN22" s="49" t="str">
        <f t="shared" si="80"/>
        <v>1-15</v>
      </c>
      <c r="CO22" s="55">
        <f t="shared" si="81"/>
        <v>10</v>
      </c>
      <c r="CP22" s="55">
        <f t="shared" si="82"/>
        <v>0</v>
      </c>
      <c r="CQ22" s="55">
        <f t="shared" si="83"/>
        <v>0</v>
      </c>
      <c r="CR22" s="60">
        <f t="shared" si="84"/>
        <v>26.002199999999998</v>
      </c>
      <c r="CS22" s="2">
        <f t="shared" si="85"/>
        <v>11</v>
      </c>
      <c r="CT22" s="109" t="str">
        <f t="shared" si="86"/>
        <v/>
      </c>
    </row>
    <row r="23" spans="1:98" ht="11.25" customHeight="1" x14ac:dyDescent="0.15">
      <c r="B23" s="2" t="s">
        <v>269</v>
      </c>
      <c r="D23" s="2" t="s">
        <v>317</v>
      </c>
      <c r="E23" s="2" t="s">
        <v>355</v>
      </c>
      <c r="F23" s="2" t="s">
        <v>359</v>
      </c>
      <c r="G23" s="2" t="s">
        <v>375</v>
      </c>
      <c r="I23" s="2" t="s">
        <v>393</v>
      </c>
      <c r="J23" s="2" t="s">
        <v>422</v>
      </c>
      <c r="M23" s="60"/>
      <c r="R23" s="2" t="s">
        <v>524</v>
      </c>
      <c r="CE23" s="55">
        <f t="shared" si="72"/>
        <v>7</v>
      </c>
      <c r="CF23" s="55">
        <f t="shared" si="73"/>
        <v>342</v>
      </c>
      <c r="CG23" s="57">
        <f t="shared" si="74"/>
        <v>57</v>
      </c>
      <c r="CH23" s="55">
        <f t="shared" si="75"/>
        <v>13</v>
      </c>
      <c r="CI23" s="55">
        <f t="shared" si="76"/>
        <v>198</v>
      </c>
      <c r="CJ23" s="55">
        <f t="shared" si="77"/>
        <v>16</v>
      </c>
      <c r="CK23" s="58">
        <f t="shared" si="15"/>
        <v>12.38</v>
      </c>
      <c r="CL23" s="59">
        <f t="shared" si="78"/>
        <v>21.375</v>
      </c>
      <c r="CM23" s="59">
        <f t="shared" si="79"/>
        <v>3.4736842105263159</v>
      </c>
      <c r="CN23" s="49" t="str">
        <f t="shared" si="80"/>
        <v>5-30</v>
      </c>
      <c r="CO23" s="55">
        <f t="shared" si="81"/>
        <v>208</v>
      </c>
      <c r="CP23" s="55">
        <f t="shared" si="82"/>
        <v>0</v>
      </c>
      <c r="CQ23" s="55">
        <f t="shared" si="83"/>
        <v>0</v>
      </c>
      <c r="CR23" s="60">
        <f t="shared" si="84"/>
        <v>12.382300000000001</v>
      </c>
      <c r="CS23" s="2">
        <f t="shared" si="85"/>
        <v>3</v>
      </c>
      <c r="CT23" s="109">
        <f t="shared" si="86"/>
        <v>0.22807017543859648</v>
      </c>
    </row>
    <row r="24" spans="1:98" ht="11.25" customHeight="1" x14ac:dyDescent="0.15">
      <c r="B24" s="2" t="s">
        <v>535</v>
      </c>
      <c r="M24" s="60"/>
      <c r="S24" s="2" t="s">
        <v>545</v>
      </c>
      <c r="CE24" s="55">
        <f t="shared" si="72"/>
        <v>1</v>
      </c>
      <c r="CF24" s="55">
        <f t="shared" si="73"/>
        <v>54</v>
      </c>
      <c r="CG24" s="57">
        <f t="shared" si="74"/>
        <v>9</v>
      </c>
      <c r="CH24" s="55">
        <f t="shared" si="75"/>
        <v>2</v>
      </c>
      <c r="CI24" s="55">
        <f t="shared" si="76"/>
        <v>20</v>
      </c>
      <c r="CJ24" s="55">
        <f t="shared" si="77"/>
        <v>2</v>
      </c>
      <c r="CK24" s="58">
        <f t="shared" si="15"/>
        <v>10</v>
      </c>
      <c r="CL24" s="59">
        <f t="shared" si="78"/>
        <v>27</v>
      </c>
      <c r="CM24" s="59">
        <f t="shared" si="79"/>
        <v>2.2222222222222223</v>
      </c>
      <c r="CN24" s="49" t="str">
        <f t="shared" si="80"/>
        <v>2-20</v>
      </c>
      <c r="CO24" s="55">
        <f t="shared" si="81"/>
        <v>32</v>
      </c>
      <c r="CP24" s="55">
        <f t="shared" si="82"/>
        <v>0</v>
      </c>
      <c r="CQ24" s="55">
        <f t="shared" si="83"/>
        <v>0</v>
      </c>
      <c r="CR24" s="60">
        <f t="shared" si="84"/>
        <v>10.0024</v>
      </c>
      <c r="CS24" s="2">
        <f t="shared" si="85"/>
        <v>2</v>
      </c>
      <c r="CT24" s="109" t="str">
        <f t="shared" si="86"/>
        <v/>
      </c>
    </row>
    <row r="25" spans="1:98" ht="11.25" customHeight="1" x14ac:dyDescent="0.15">
      <c r="B25" s="2" t="s">
        <v>234</v>
      </c>
      <c r="E25" s="2" t="s">
        <v>358</v>
      </c>
      <c r="G25" s="2" t="s">
        <v>377</v>
      </c>
      <c r="H25" s="2" t="s">
        <v>383</v>
      </c>
      <c r="I25" s="2" t="s">
        <v>399</v>
      </c>
      <c r="J25" s="2" t="s">
        <v>426</v>
      </c>
      <c r="K25" s="2" t="s">
        <v>439</v>
      </c>
      <c r="L25" s="2" t="s">
        <v>444</v>
      </c>
      <c r="M25" s="60" t="s">
        <v>461</v>
      </c>
      <c r="N25" s="2" t="s">
        <v>467</v>
      </c>
      <c r="O25" s="2" t="s">
        <v>483</v>
      </c>
      <c r="P25" s="2" t="s">
        <v>499</v>
      </c>
      <c r="R25" s="2" t="s">
        <v>526</v>
      </c>
      <c r="S25" s="2" t="s">
        <v>548</v>
      </c>
      <c r="T25" s="2" t="s">
        <v>553</v>
      </c>
      <c r="CE25" s="55">
        <f t="shared" si="72"/>
        <v>14</v>
      </c>
      <c r="CF25" s="55">
        <f t="shared" si="73"/>
        <v>406</v>
      </c>
      <c r="CG25" s="57">
        <f t="shared" si="74"/>
        <v>67.400000000000006</v>
      </c>
      <c r="CH25" s="55">
        <f t="shared" si="75"/>
        <v>4</v>
      </c>
      <c r="CI25" s="55">
        <f t="shared" si="76"/>
        <v>280</v>
      </c>
      <c r="CJ25" s="55">
        <f t="shared" si="77"/>
        <v>16</v>
      </c>
      <c r="CK25" s="58">
        <f t="shared" si="15"/>
        <v>17.5</v>
      </c>
      <c r="CL25" s="59">
        <f t="shared" si="78"/>
        <v>25.375</v>
      </c>
      <c r="CM25" s="59">
        <f t="shared" si="79"/>
        <v>4.1379310344827589</v>
      </c>
      <c r="CN25" s="49" t="str">
        <f t="shared" si="80"/>
        <v>5-45</v>
      </c>
      <c r="CO25" s="55">
        <f t="shared" si="81"/>
        <v>204</v>
      </c>
      <c r="CP25" s="55">
        <f t="shared" si="82"/>
        <v>0</v>
      </c>
      <c r="CQ25" s="55">
        <f t="shared" si="83"/>
        <v>0</v>
      </c>
      <c r="CR25" s="60">
        <f t="shared" si="84"/>
        <v>17.502500000000001</v>
      </c>
      <c r="CS25" s="2">
        <f t="shared" si="85"/>
        <v>6</v>
      </c>
      <c r="CT25" s="109">
        <f t="shared" si="86"/>
        <v>5.9113300492610835E-2</v>
      </c>
    </row>
    <row r="26" spans="1:98" ht="11.25" customHeight="1" x14ac:dyDescent="0.15">
      <c r="A26" s="2" t="s">
        <v>53</v>
      </c>
      <c r="B26" s="2" t="s">
        <v>151</v>
      </c>
      <c r="I26" s="2" t="s">
        <v>396</v>
      </c>
      <c r="K26" s="2" t="s">
        <v>435</v>
      </c>
      <c r="L26" s="2" t="s">
        <v>441</v>
      </c>
      <c r="R26" s="2" t="s">
        <v>528</v>
      </c>
      <c r="T26" s="2" t="s">
        <v>549</v>
      </c>
      <c r="CE26" s="55">
        <f t="shared" si="72"/>
        <v>5</v>
      </c>
      <c r="CF26" s="55">
        <f t="shared" si="73"/>
        <v>139</v>
      </c>
      <c r="CG26" s="57">
        <f t="shared" si="74"/>
        <v>23.1</v>
      </c>
      <c r="CH26" s="55">
        <f t="shared" si="75"/>
        <v>5</v>
      </c>
      <c r="CI26" s="55">
        <f t="shared" si="76"/>
        <v>75</v>
      </c>
      <c r="CJ26" s="55">
        <f t="shared" si="77"/>
        <v>6</v>
      </c>
      <c r="CK26" s="58">
        <f t="shared" si="15"/>
        <v>12.5</v>
      </c>
      <c r="CL26" s="59">
        <f t="shared" si="78"/>
        <v>23.166666666666668</v>
      </c>
      <c r="CM26" s="59">
        <f t="shared" si="79"/>
        <v>3.2374100719424459</v>
      </c>
      <c r="CN26" s="49" t="str">
        <f t="shared" si="80"/>
        <v>2-8</v>
      </c>
      <c r="CO26" s="55">
        <f t="shared" si="81"/>
        <v>90</v>
      </c>
      <c r="CP26" s="55">
        <f t="shared" si="82"/>
        <v>0</v>
      </c>
      <c r="CQ26" s="55">
        <f t="shared" si="83"/>
        <v>0</v>
      </c>
      <c r="CR26" s="60">
        <f t="shared" si="84"/>
        <v>12.502599999999999</v>
      </c>
      <c r="CS26" s="2">
        <f t="shared" si="85"/>
        <v>4</v>
      </c>
      <c r="CT26" s="109">
        <f t="shared" si="86"/>
        <v>0.21582733812949639</v>
      </c>
    </row>
    <row r="27" spans="1:98" ht="11.25" customHeight="1" x14ac:dyDescent="0.15">
      <c r="B27" s="2" t="s">
        <v>315</v>
      </c>
      <c r="D27" s="2" t="s">
        <v>316</v>
      </c>
      <c r="F27" s="2" t="s">
        <v>360</v>
      </c>
      <c r="L27" s="2" t="s">
        <v>266</v>
      </c>
      <c r="M27" s="2" t="s">
        <v>462</v>
      </c>
      <c r="O27" s="2" t="s">
        <v>480</v>
      </c>
      <c r="U27" s="2" t="s">
        <v>574</v>
      </c>
      <c r="CE27" s="55">
        <f t="shared" si="72"/>
        <v>6</v>
      </c>
      <c r="CF27" s="55">
        <f t="shared" si="73"/>
        <v>252</v>
      </c>
      <c r="CG27" s="57">
        <f t="shared" si="74"/>
        <v>42</v>
      </c>
      <c r="CH27" s="55">
        <f t="shared" si="75"/>
        <v>7</v>
      </c>
      <c r="CI27" s="55">
        <f t="shared" si="76"/>
        <v>159</v>
      </c>
      <c r="CJ27" s="55">
        <f t="shared" si="77"/>
        <v>12</v>
      </c>
      <c r="CK27" s="58">
        <f t="shared" si="15"/>
        <v>13.25</v>
      </c>
      <c r="CL27" s="59">
        <f t="shared" si="78"/>
        <v>21</v>
      </c>
      <c r="CM27" s="59">
        <f t="shared" si="79"/>
        <v>3.7857142857142856</v>
      </c>
      <c r="CN27" s="49" t="str">
        <f t="shared" si="80"/>
        <v>4-34</v>
      </c>
      <c r="CO27" s="55">
        <f t="shared" si="81"/>
        <v>152</v>
      </c>
      <c r="CP27" s="55">
        <f t="shared" si="82"/>
        <v>0</v>
      </c>
      <c r="CQ27" s="55">
        <f t="shared" si="83"/>
        <v>0</v>
      </c>
      <c r="CR27" s="60">
        <f t="shared" si="84"/>
        <v>13.252700000000001</v>
      </c>
      <c r="CS27" s="2">
        <f t="shared" si="85"/>
        <v>5</v>
      </c>
      <c r="CT27" s="109">
        <f t="shared" si="86"/>
        <v>0.16666666666666666</v>
      </c>
    </row>
    <row r="28" spans="1:98" ht="11.25" customHeight="1" x14ac:dyDescent="0.15">
      <c r="B28" s="2" t="s">
        <v>220</v>
      </c>
      <c r="M28" s="60"/>
      <c r="U28" s="2" t="s">
        <v>578</v>
      </c>
      <c r="CE28" s="55">
        <f t="shared" si="72"/>
        <v>1</v>
      </c>
      <c r="CF28" s="55">
        <f t="shared" si="73"/>
        <v>1</v>
      </c>
      <c r="CG28" s="57">
        <f t="shared" si="74"/>
        <v>0.1</v>
      </c>
      <c r="CH28" s="55">
        <f t="shared" si="75"/>
        <v>0</v>
      </c>
      <c r="CI28" s="55">
        <f t="shared" si="76"/>
        <v>5</v>
      </c>
      <c r="CJ28" s="55">
        <f t="shared" si="77"/>
        <v>0</v>
      </c>
      <c r="CK28" s="58" t="str">
        <f t="shared" si="15"/>
        <v/>
      </c>
      <c r="CL28" s="59" t="str">
        <f t="shared" si="78"/>
        <v/>
      </c>
      <c r="CM28" s="59">
        <f t="shared" si="79"/>
        <v>30</v>
      </c>
      <c r="CN28" s="49" t="str">
        <f t="shared" si="80"/>
        <v>0-5</v>
      </c>
      <c r="CO28" s="55">
        <f t="shared" si="81"/>
        <v>-5</v>
      </c>
      <c r="CP28" s="55">
        <f t="shared" si="82"/>
        <v>0</v>
      </c>
      <c r="CQ28" s="55">
        <f t="shared" si="83"/>
        <v>0</v>
      </c>
      <c r="CR28" s="60">
        <f t="shared" si="84"/>
        <v>1001.0028</v>
      </c>
      <c r="CS28" s="2">
        <f t="shared" si="85"/>
        <v>21</v>
      </c>
      <c r="CT28" s="109" t="str">
        <f t="shared" si="86"/>
        <v/>
      </c>
    </row>
    <row r="29" spans="1:98" ht="11.25" customHeight="1" x14ac:dyDescent="0.15">
      <c r="A29" s="2" t="s">
        <v>56</v>
      </c>
      <c r="B29" s="2" t="s">
        <v>152</v>
      </c>
      <c r="CE29" s="55">
        <f t="shared" si="72"/>
        <v>0</v>
      </c>
      <c r="CF29" s="55">
        <f t="shared" si="73"/>
        <v>0</v>
      </c>
      <c r="CG29" s="57">
        <f t="shared" si="74"/>
        <v>0</v>
      </c>
      <c r="CH29" s="55">
        <f t="shared" si="75"/>
        <v>0</v>
      </c>
      <c r="CI29" s="55">
        <f t="shared" si="76"/>
        <v>0</v>
      </c>
      <c r="CJ29" s="55">
        <f t="shared" si="77"/>
        <v>0</v>
      </c>
      <c r="CK29" s="58" t="str">
        <f t="shared" si="15"/>
        <v/>
      </c>
      <c r="CL29" s="59" t="str">
        <f t="shared" si="78"/>
        <v/>
      </c>
      <c r="CM29" s="59" t="str">
        <f t="shared" si="79"/>
        <v/>
      </c>
      <c r="CN29" s="49" t="str">
        <f t="shared" si="80"/>
        <v/>
      </c>
      <c r="CO29" s="55">
        <f t="shared" si="81"/>
        <v>0</v>
      </c>
      <c r="CP29" s="55">
        <f t="shared" si="82"/>
        <v>0</v>
      </c>
      <c r="CQ29" s="55">
        <f t="shared" si="83"/>
        <v>0</v>
      </c>
      <c r="CR29" s="60">
        <f t="shared" si="84"/>
        <v>99999.002900000007</v>
      </c>
      <c r="CS29" s="2">
        <f t="shared" si="85"/>
        <v>27</v>
      </c>
      <c r="CT29" s="109" t="str">
        <f t="shared" si="86"/>
        <v/>
      </c>
    </row>
    <row r="30" spans="1:98" ht="11.25" customHeight="1" x14ac:dyDescent="0.15">
      <c r="B30" s="2" t="s">
        <v>214</v>
      </c>
      <c r="N30" s="2" t="s">
        <v>468</v>
      </c>
      <c r="CE30" s="55">
        <f t="shared" si="72"/>
        <v>1</v>
      </c>
      <c r="CF30" s="55">
        <f t="shared" si="73"/>
        <v>12</v>
      </c>
      <c r="CG30" s="57">
        <f t="shared" si="74"/>
        <v>2</v>
      </c>
      <c r="CH30" s="55">
        <f t="shared" si="75"/>
        <v>1</v>
      </c>
      <c r="CI30" s="55">
        <f t="shared" si="76"/>
        <v>7</v>
      </c>
      <c r="CJ30" s="55">
        <f t="shared" si="77"/>
        <v>0</v>
      </c>
      <c r="CK30" s="58" t="str">
        <f t="shared" si="15"/>
        <v/>
      </c>
      <c r="CL30" s="59" t="str">
        <f t="shared" si="78"/>
        <v/>
      </c>
      <c r="CM30" s="59">
        <f t="shared" si="79"/>
        <v>3.5</v>
      </c>
      <c r="CN30" s="49" t="str">
        <f t="shared" si="80"/>
        <v>0-7</v>
      </c>
      <c r="CO30" s="55">
        <f t="shared" si="81"/>
        <v>6</v>
      </c>
      <c r="CP30" s="55">
        <f t="shared" si="82"/>
        <v>0</v>
      </c>
      <c r="CQ30" s="55">
        <f t="shared" si="83"/>
        <v>0</v>
      </c>
      <c r="CR30" s="60">
        <f t="shared" si="84"/>
        <v>1012.003</v>
      </c>
      <c r="CS30" s="2">
        <f t="shared" si="85"/>
        <v>22</v>
      </c>
      <c r="CT30" s="109" t="str">
        <f t="shared" si="86"/>
        <v/>
      </c>
    </row>
    <row r="31" spans="1:98" ht="11.25" customHeight="1" x14ac:dyDescent="0.15">
      <c r="A31" s="2" t="s">
        <v>60</v>
      </c>
      <c r="B31" s="2" t="s">
        <v>153</v>
      </c>
      <c r="CE31" s="55">
        <f t="shared" si="72"/>
        <v>0</v>
      </c>
      <c r="CF31" s="55">
        <f t="shared" si="73"/>
        <v>0</v>
      </c>
      <c r="CG31" s="57">
        <f t="shared" si="74"/>
        <v>0</v>
      </c>
      <c r="CH31" s="55">
        <f t="shared" si="75"/>
        <v>0</v>
      </c>
      <c r="CI31" s="55">
        <f t="shared" si="76"/>
        <v>0</v>
      </c>
      <c r="CJ31" s="55">
        <f t="shared" si="77"/>
        <v>0</v>
      </c>
      <c r="CK31" s="58" t="str">
        <f t="shared" si="15"/>
        <v/>
      </c>
      <c r="CL31" s="59" t="str">
        <f t="shared" si="78"/>
        <v/>
      </c>
      <c r="CM31" s="59" t="str">
        <f t="shared" si="79"/>
        <v/>
      </c>
      <c r="CN31" s="49" t="str">
        <f t="shared" si="80"/>
        <v/>
      </c>
      <c r="CO31" s="55">
        <f t="shared" si="81"/>
        <v>0</v>
      </c>
      <c r="CP31" s="55">
        <f t="shared" si="82"/>
        <v>0</v>
      </c>
      <c r="CQ31" s="55">
        <f t="shared" si="83"/>
        <v>0</v>
      </c>
      <c r="CR31" s="60">
        <f t="shared" si="84"/>
        <v>99999.003100000002</v>
      </c>
      <c r="CS31" s="2">
        <f t="shared" si="85"/>
        <v>28</v>
      </c>
      <c r="CT31" s="109" t="str">
        <f t="shared" si="86"/>
        <v/>
      </c>
    </row>
    <row r="32" spans="1:98" ht="11.25" customHeight="1" x14ac:dyDescent="0.15">
      <c r="B32" s="2" t="s">
        <v>442</v>
      </c>
      <c r="L32" s="2" t="s">
        <v>443</v>
      </c>
      <c r="M32" s="2" t="s">
        <v>459</v>
      </c>
      <c r="P32" s="2" t="s">
        <v>498</v>
      </c>
      <c r="Q32" s="2" t="s">
        <v>515</v>
      </c>
      <c r="CE32" s="55">
        <f t="shared" si="72"/>
        <v>4</v>
      </c>
      <c r="CF32" s="55">
        <f t="shared" si="73"/>
        <v>120</v>
      </c>
      <c r="CG32" s="57">
        <f t="shared" si="74"/>
        <v>20</v>
      </c>
      <c r="CH32" s="55">
        <f t="shared" si="75"/>
        <v>0</v>
      </c>
      <c r="CI32" s="55">
        <f t="shared" si="76"/>
        <v>106</v>
      </c>
      <c r="CJ32" s="55">
        <f t="shared" si="77"/>
        <v>6</v>
      </c>
      <c r="CK32" s="58">
        <f t="shared" si="15"/>
        <v>17.670000000000002</v>
      </c>
      <c r="CL32" s="59">
        <f t="shared" si="78"/>
        <v>20</v>
      </c>
      <c r="CM32" s="59">
        <f t="shared" si="79"/>
        <v>5.3</v>
      </c>
      <c r="CN32" s="49" t="str">
        <f t="shared" si="80"/>
        <v>4-41</v>
      </c>
      <c r="CO32" s="55">
        <f t="shared" si="81"/>
        <v>60</v>
      </c>
      <c r="CP32" s="55">
        <f t="shared" si="82"/>
        <v>0</v>
      </c>
      <c r="CQ32" s="55">
        <f t="shared" si="83"/>
        <v>0</v>
      </c>
      <c r="CR32" s="60">
        <f t="shared" si="84"/>
        <v>17.673200000000001</v>
      </c>
      <c r="CS32" s="2">
        <f t="shared" si="85"/>
        <v>7</v>
      </c>
      <c r="CT32" s="109">
        <f t="shared" si="86"/>
        <v>0</v>
      </c>
    </row>
    <row r="34" spans="2:92" x14ac:dyDescent="0.15">
      <c r="B34" s="2" t="s">
        <v>123</v>
      </c>
      <c r="C34" s="2">
        <f t="shared" ref="C34:AH34" si="87">BowlSplit(C5:C32,RunsConceded)</f>
        <v>0</v>
      </c>
      <c r="D34" s="2">
        <f t="shared" si="87"/>
        <v>178</v>
      </c>
      <c r="E34" s="2">
        <f t="shared" si="87"/>
        <v>96</v>
      </c>
      <c r="F34" s="2">
        <f t="shared" si="87"/>
        <v>153</v>
      </c>
      <c r="G34" s="2">
        <f t="shared" si="87"/>
        <v>175</v>
      </c>
      <c r="H34" s="2">
        <f t="shared" si="87"/>
        <v>222</v>
      </c>
      <c r="I34" s="2">
        <f t="shared" si="87"/>
        <v>137</v>
      </c>
      <c r="J34" s="2">
        <f t="shared" si="87"/>
        <v>73</v>
      </c>
      <c r="K34" s="2">
        <f t="shared" si="87"/>
        <v>124</v>
      </c>
      <c r="L34" s="2">
        <f t="shared" si="87"/>
        <v>67</v>
      </c>
      <c r="M34" s="2">
        <f t="shared" si="87"/>
        <v>28</v>
      </c>
      <c r="N34" s="2">
        <f t="shared" si="87"/>
        <v>209</v>
      </c>
      <c r="O34" s="2">
        <f t="shared" si="87"/>
        <v>175</v>
      </c>
      <c r="P34" s="2">
        <f t="shared" si="87"/>
        <v>209</v>
      </c>
      <c r="Q34" s="2">
        <f>BowlSplit(Q5:Q32,RunsConceded)</f>
        <v>156</v>
      </c>
      <c r="R34" s="2">
        <f>BowlSplit(R5:R32,RunsConceded)</f>
        <v>93</v>
      </c>
      <c r="S34" s="2">
        <f t="shared" si="87"/>
        <v>124</v>
      </c>
      <c r="T34" s="2">
        <f t="shared" si="87"/>
        <v>86</v>
      </c>
      <c r="U34" s="2">
        <f t="shared" si="87"/>
        <v>183</v>
      </c>
      <c r="V34" s="2">
        <f t="shared" si="87"/>
        <v>0</v>
      </c>
      <c r="W34" s="2">
        <f t="shared" si="87"/>
        <v>0</v>
      </c>
      <c r="X34" s="2">
        <f t="shared" si="87"/>
        <v>0</v>
      </c>
      <c r="Y34" s="2">
        <f t="shared" si="87"/>
        <v>0</v>
      </c>
      <c r="Z34" s="2">
        <f t="shared" si="87"/>
        <v>0</v>
      </c>
      <c r="AA34" s="2">
        <f t="shared" si="87"/>
        <v>0</v>
      </c>
      <c r="AB34" s="2">
        <f t="shared" si="87"/>
        <v>0</v>
      </c>
      <c r="AC34" s="2">
        <f t="shared" si="87"/>
        <v>0</v>
      </c>
      <c r="AD34" s="2">
        <f t="shared" si="87"/>
        <v>0</v>
      </c>
      <c r="AE34" s="2">
        <f t="shared" si="87"/>
        <v>0</v>
      </c>
      <c r="AF34" s="2">
        <f t="shared" si="87"/>
        <v>0</v>
      </c>
      <c r="AG34" s="2">
        <f t="shared" si="87"/>
        <v>0</v>
      </c>
      <c r="AH34" s="2">
        <f t="shared" si="87"/>
        <v>0</v>
      </c>
      <c r="AI34" s="2">
        <f t="shared" ref="AI34:BF34" si="88">BowlSplit(AI5:AI32,RunsConceded)</f>
        <v>0</v>
      </c>
      <c r="AJ34" s="2">
        <f t="shared" si="88"/>
        <v>0</v>
      </c>
      <c r="AK34" s="2">
        <f t="shared" si="88"/>
        <v>0</v>
      </c>
      <c r="AL34" s="2">
        <f t="shared" si="88"/>
        <v>0</v>
      </c>
      <c r="AM34" s="2">
        <f t="shared" si="88"/>
        <v>0</v>
      </c>
      <c r="AN34" s="2">
        <f t="shared" si="88"/>
        <v>0</v>
      </c>
      <c r="AO34" s="2">
        <f t="shared" si="88"/>
        <v>0</v>
      </c>
      <c r="AP34" s="2">
        <f t="shared" si="88"/>
        <v>0</v>
      </c>
      <c r="AQ34" s="2">
        <f t="shared" si="88"/>
        <v>0</v>
      </c>
      <c r="AR34" s="2">
        <f t="shared" si="88"/>
        <v>0</v>
      </c>
      <c r="AS34" s="2">
        <f t="shared" si="88"/>
        <v>0</v>
      </c>
      <c r="AT34" s="2">
        <f t="shared" si="88"/>
        <v>0</v>
      </c>
      <c r="AU34" s="2">
        <f t="shared" si="88"/>
        <v>0</v>
      </c>
      <c r="AV34" s="2">
        <f t="shared" si="88"/>
        <v>0</v>
      </c>
      <c r="AW34" s="2">
        <f t="shared" si="88"/>
        <v>0</v>
      </c>
      <c r="AX34" s="2">
        <f t="shared" si="88"/>
        <v>0</v>
      </c>
      <c r="AY34" s="2">
        <f t="shared" si="88"/>
        <v>0</v>
      </c>
      <c r="AZ34" s="2">
        <f t="shared" si="88"/>
        <v>0</v>
      </c>
      <c r="BA34" s="2">
        <f t="shared" si="88"/>
        <v>0</v>
      </c>
      <c r="BB34" s="2">
        <f t="shared" si="88"/>
        <v>0</v>
      </c>
      <c r="BC34" s="2">
        <f t="shared" si="88"/>
        <v>0</v>
      </c>
      <c r="BD34" s="2">
        <f t="shared" si="88"/>
        <v>0</v>
      </c>
      <c r="BE34" s="2">
        <f t="shared" si="88"/>
        <v>0</v>
      </c>
      <c r="BF34" s="2">
        <f t="shared" si="88"/>
        <v>0</v>
      </c>
      <c r="CE34" s="55">
        <f>SUM(C34:BF34)</f>
        <v>2488</v>
      </c>
      <c r="CF34" s="55">
        <f>SUM(CF5:CF32)</f>
        <v>3579</v>
      </c>
      <c r="CJ34" s="55">
        <f>SUM(CJ5:CJ32)</f>
        <v>110</v>
      </c>
    </row>
    <row r="35" spans="2:92" x14ac:dyDescent="0.15">
      <c r="B35" s="2" t="s">
        <v>124</v>
      </c>
      <c r="C35" s="2">
        <f t="array" ref="C35:BE36">TRANSPOSE(Matches!S5:T59)</f>
        <v>0</v>
      </c>
      <c r="D35" s="2">
        <v>2</v>
      </c>
      <c r="E35" s="2">
        <v>0</v>
      </c>
      <c r="F35" s="2">
        <v>7</v>
      </c>
      <c r="G35" s="2">
        <v>1</v>
      </c>
      <c r="H35" s="2">
        <v>5</v>
      </c>
      <c r="I35" s="2">
        <v>10</v>
      </c>
      <c r="J35" s="2">
        <v>8</v>
      </c>
      <c r="K35" s="2">
        <v>14</v>
      </c>
      <c r="L35" s="2">
        <v>5</v>
      </c>
      <c r="M35" s="2">
        <v>2</v>
      </c>
      <c r="N35" s="2">
        <v>3</v>
      </c>
      <c r="O35" s="2">
        <v>4</v>
      </c>
      <c r="P35" s="2">
        <v>5</v>
      </c>
      <c r="Q35" s="2">
        <v>2</v>
      </c>
      <c r="R35" s="2">
        <v>6</v>
      </c>
      <c r="S35" s="2">
        <v>4</v>
      </c>
      <c r="T35" s="2">
        <v>2</v>
      </c>
      <c r="U35" s="2">
        <v>8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CE35" s="55">
        <f>SUM(C35:BF35)</f>
        <v>88</v>
      </c>
    </row>
    <row r="36" spans="2:92" x14ac:dyDescent="0.15">
      <c r="B36" s="2" t="s">
        <v>125</v>
      </c>
      <c r="C36" s="2">
        <v>0</v>
      </c>
      <c r="D36" s="2">
        <v>1</v>
      </c>
      <c r="E36" s="2">
        <v>0</v>
      </c>
      <c r="F36" s="2">
        <v>2</v>
      </c>
      <c r="G36" s="2">
        <v>3</v>
      </c>
      <c r="H36" s="2">
        <v>2</v>
      </c>
      <c r="I36" s="2">
        <v>5</v>
      </c>
      <c r="J36" s="2">
        <v>1</v>
      </c>
      <c r="K36" s="2">
        <v>1</v>
      </c>
      <c r="L36" s="2">
        <v>2</v>
      </c>
      <c r="M36" s="2">
        <v>2</v>
      </c>
      <c r="N36" s="2">
        <v>2</v>
      </c>
      <c r="O36" s="2">
        <v>7</v>
      </c>
      <c r="P36" s="2">
        <v>3</v>
      </c>
      <c r="Q36" s="2">
        <v>1</v>
      </c>
      <c r="R36" s="2">
        <v>2</v>
      </c>
      <c r="S36" s="2">
        <v>0</v>
      </c>
      <c r="T36" s="2">
        <v>3</v>
      </c>
      <c r="U36" s="2">
        <v>3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CE36" s="55">
        <f>SUM(C36:BF36)</f>
        <v>40</v>
      </c>
      <c r="CG36" s="55" t="s">
        <v>164</v>
      </c>
      <c r="CH36" s="55" t="s">
        <v>165</v>
      </c>
    </row>
    <row r="37" spans="2:92" s="56" customFormat="1" x14ac:dyDescent="0.15">
      <c r="B37" s="56" t="s">
        <v>122</v>
      </c>
      <c r="C37" s="56">
        <f>SUM(C34:C36)</f>
        <v>0</v>
      </c>
      <c r="D37" s="56">
        <f t="shared" ref="D37:BE37" si="89">SUM(D34:D36)</f>
        <v>181</v>
      </c>
      <c r="E37" s="56">
        <f t="shared" si="89"/>
        <v>96</v>
      </c>
      <c r="F37" s="56">
        <f t="shared" si="89"/>
        <v>162</v>
      </c>
      <c r="G37" s="56">
        <f t="shared" si="89"/>
        <v>179</v>
      </c>
      <c r="H37" s="56">
        <f t="shared" si="89"/>
        <v>229</v>
      </c>
      <c r="I37" s="56">
        <f t="shared" si="89"/>
        <v>152</v>
      </c>
      <c r="J37" s="56">
        <f t="shared" si="89"/>
        <v>82</v>
      </c>
      <c r="K37" s="56">
        <f t="shared" si="89"/>
        <v>139</v>
      </c>
      <c r="L37" s="56">
        <f t="shared" si="89"/>
        <v>74</v>
      </c>
      <c r="M37" s="56">
        <f t="shared" si="89"/>
        <v>32</v>
      </c>
      <c r="N37" s="56">
        <f t="shared" si="89"/>
        <v>214</v>
      </c>
      <c r="O37" s="56">
        <f t="shared" si="89"/>
        <v>186</v>
      </c>
      <c r="P37" s="56">
        <f t="shared" si="89"/>
        <v>217</v>
      </c>
      <c r="Q37" s="56">
        <f t="shared" si="89"/>
        <v>159</v>
      </c>
      <c r="R37" s="56">
        <f t="shared" si="89"/>
        <v>101</v>
      </c>
      <c r="S37" s="56">
        <f t="shared" si="89"/>
        <v>128</v>
      </c>
      <c r="T37" s="56">
        <f t="shared" si="89"/>
        <v>91</v>
      </c>
      <c r="U37" s="56">
        <f t="shared" si="89"/>
        <v>194</v>
      </c>
      <c r="V37" s="56">
        <f t="shared" si="89"/>
        <v>0</v>
      </c>
      <c r="W37" s="56">
        <f t="shared" si="89"/>
        <v>0</v>
      </c>
      <c r="X37" s="56">
        <f t="shared" si="89"/>
        <v>0</v>
      </c>
      <c r="Y37" s="56">
        <f t="shared" si="89"/>
        <v>0</v>
      </c>
      <c r="Z37" s="56">
        <f t="shared" si="89"/>
        <v>0</v>
      </c>
      <c r="AA37" s="56">
        <f t="shared" si="89"/>
        <v>0</v>
      </c>
      <c r="AB37" s="56">
        <f t="shared" si="89"/>
        <v>0</v>
      </c>
      <c r="AC37" s="56">
        <f t="shared" si="89"/>
        <v>0</v>
      </c>
      <c r="AD37" s="56">
        <f t="shared" si="89"/>
        <v>0</v>
      </c>
      <c r="AE37" s="56">
        <f t="shared" si="89"/>
        <v>0</v>
      </c>
      <c r="AF37" s="56">
        <f t="shared" si="89"/>
        <v>0</v>
      </c>
      <c r="AG37" s="56">
        <f t="shared" si="89"/>
        <v>0</v>
      </c>
      <c r="AH37" s="56">
        <f t="shared" si="89"/>
        <v>0</v>
      </c>
      <c r="AI37" s="56">
        <f t="shared" si="89"/>
        <v>0</v>
      </c>
      <c r="AJ37" s="56">
        <f t="shared" si="89"/>
        <v>0</v>
      </c>
      <c r="AK37" s="56">
        <f t="shared" si="89"/>
        <v>0</v>
      </c>
      <c r="AL37" s="56">
        <f t="shared" si="89"/>
        <v>0</v>
      </c>
      <c r="AM37" s="56">
        <f t="shared" si="89"/>
        <v>0</v>
      </c>
      <c r="AN37" s="56">
        <f t="shared" si="89"/>
        <v>0</v>
      </c>
      <c r="AO37" s="56">
        <f t="shared" si="89"/>
        <v>0</v>
      </c>
      <c r="AP37" s="56">
        <f t="shared" si="89"/>
        <v>0</v>
      </c>
      <c r="AQ37" s="56">
        <f t="shared" si="89"/>
        <v>0</v>
      </c>
      <c r="AR37" s="56">
        <f t="shared" si="89"/>
        <v>0</v>
      </c>
      <c r="AS37" s="56">
        <f t="shared" si="89"/>
        <v>0</v>
      </c>
      <c r="AT37" s="56">
        <f t="shared" si="89"/>
        <v>0</v>
      </c>
      <c r="AU37" s="56">
        <f t="shared" si="89"/>
        <v>0</v>
      </c>
      <c r="AV37" s="56">
        <f t="shared" si="89"/>
        <v>0</v>
      </c>
      <c r="AW37" s="56">
        <f t="shared" si="89"/>
        <v>0</v>
      </c>
      <c r="AX37" s="56">
        <f t="shared" si="89"/>
        <v>0</v>
      </c>
      <c r="AY37" s="56">
        <f t="shared" si="89"/>
        <v>0</v>
      </c>
      <c r="AZ37" s="56">
        <f t="shared" si="89"/>
        <v>0</v>
      </c>
      <c r="BA37" s="56">
        <f t="shared" si="89"/>
        <v>0</v>
      </c>
      <c r="BB37" s="56">
        <f t="shared" si="89"/>
        <v>0</v>
      </c>
      <c r="BC37" s="56">
        <f t="shared" si="89"/>
        <v>0</v>
      </c>
      <c r="BD37" s="56">
        <f t="shared" si="89"/>
        <v>0</v>
      </c>
      <c r="BE37" s="56">
        <f t="shared" si="89"/>
        <v>0</v>
      </c>
      <c r="CE37" s="56">
        <f>SUM(C37:BF37)</f>
        <v>2616</v>
      </c>
      <c r="CG37" s="56">
        <f>MAX(C37:CB37)</f>
        <v>229</v>
      </c>
      <c r="CH37" s="56">
        <f t="array" ref="CH37">MIN(IF(C37:CB37&gt;0,C37:CB37,9999))</f>
        <v>32</v>
      </c>
      <c r="CN37" s="61"/>
    </row>
    <row r="38" spans="2:92" x14ac:dyDescent="0.15">
      <c r="B38" s="2" t="s">
        <v>35</v>
      </c>
      <c r="C38" s="2">
        <f t="shared" ref="C38:AH38" si="90">BowlSplit(C5:C32,OversBowled)</f>
        <v>0</v>
      </c>
      <c r="D38" s="2">
        <f t="shared" si="90"/>
        <v>37</v>
      </c>
      <c r="E38" s="2">
        <f t="shared" si="90"/>
        <v>16.100000000000001</v>
      </c>
      <c r="F38" s="2">
        <f t="shared" si="90"/>
        <v>32.5</v>
      </c>
      <c r="G38" s="2">
        <f t="shared" si="90"/>
        <v>46</v>
      </c>
      <c r="H38" s="2">
        <f t="shared" si="90"/>
        <v>40</v>
      </c>
      <c r="I38" s="2">
        <f t="shared" si="90"/>
        <v>40</v>
      </c>
      <c r="J38" s="2">
        <f t="shared" si="90"/>
        <v>26.5</v>
      </c>
      <c r="K38" s="2">
        <f t="shared" si="90"/>
        <v>28.5</v>
      </c>
      <c r="L38" s="2">
        <f t="shared" si="90"/>
        <v>15</v>
      </c>
      <c r="M38" s="2">
        <f t="shared" si="90"/>
        <v>10</v>
      </c>
      <c r="N38" s="2">
        <f t="shared" si="90"/>
        <v>40</v>
      </c>
      <c r="O38" s="2">
        <f t="shared" si="90"/>
        <v>44</v>
      </c>
      <c r="P38" s="2">
        <f t="shared" si="90"/>
        <v>35</v>
      </c>
      <c r="Q38" s="2">
        <f>BowlSplit(Q5:Q32,OversBowled)</f>
        <v>47.2</v>
      </c>
      <c r="R38" s="2">
        <f>BowlSplit(R5:R32,OversBowled)</f>
        <v>31.4</v>
      </c>
      <c r="S38" s="2">
        <f t="shared" si="90"/>
        <v>40.299999999999997</v>
      </c>
      <c r="T38" s="2">
        <f t="shared" si="90"/>
        <v>29.1</v>
      </c>
      <c r="U38" s="2">
        <f t="shared" si="90"/>
        <v>36.1</v>
      </c>
      <c r="V38" s="2">
        <f t="shared" si="90"/>
        <v>0</v>
      </c>
      <c r="W38" s="2">
        <f t="shared" si="90"/>
        <v>0</v>
      </c>
      <c r="X38" s="2">
        <f t="shared" si="90"/>
        <v>0</v>
      </c>
      <c r="Y38" s="2">
        <f t="shared" si="90"/>
        <v>0</v>
      </c>
      <c r="Z38" s="2">
        <f t="shared" si="90"/>
        <v>0</v>
      </c>
      <c r="AA38" s="2">
        <f t="shared" si="90"/>
        <v>0</v>
      </c>
      <c r="AB38" s="2">
        <f t="shared" si="90"/>
        <v>0</v>
      </c>
      <c r="AC38" s="2">
        <f t="shared" si="90"/>
        <v>0</v>
      </c>
      <c r="AD38" s="2">
        <f t="shared" si="90"/>
        <v>0</v>
      </c>
      <c r="AE38" s="2">
        <f t="shared" si="90"/>
        <v>0</v>
      </c>
      <c r="AF38" s="2">
        <f t="shared" si="90"/>
        <v>0</v>
      </c>
      <c r="AG38" s="2">
        <f t="shared" si="90"/>
        <v>0</v>
      </c>
      <c r="AH38" s="2">
        <f t="shared" si="90"/>
        <v>0</v>
      </c>
      <c r="AI38" s="2">
        <f t="shared" ref="AI38:BF38" si="91">BowlSplit(AI5:AI32,OversBowled)</f>
        <v>0</v>
      </c>
      <c r="AJ38" s="2">
        <f t="shared" si="91"/>
        <v>0</v>
      </c>
      <c r="AK38" s="2">
        <f t="shared" si="91"/>
        <v>0</v>
      </c>
      <c r="AL38" s="2">
        <f t="shared" si="91"/>
        <v>0</v>
      </c>
      <c r="AM38" s="2">
        <f t="shared" si="91"/>
        <v>0</v>
      </c>
      <c r="AN38" s="2">
        <f t="shared" si="91"/>
        <v>0</v>
      </c>
      <c r="AO38" s="2">
        <f t="shared" si="91"/>
        <v>0</v>
      </c>
      <c r="AP38" s="2">
        <f t="shared" si="91"/>
        <v>0</v>
      </c>
      <c r="AQ38" s="2">
        <f t="shared" si="91"/>
        <v>0</v>
      </c>
      <c r="AR38" s="2">
        <f t="shared" si="91"/>
        <v>0</v>
      </c>
      <c r="AS38" s="2">
        <f t="shared" si="91"/>
        <v>0</v>
      </c>
      <c r="AT38" s="2">
        <f t="shared" si="91"/>
        <v>0</v>
      </c>
      <c r="AU38" s="2">
        <f t="shared" si="91"/>
        <v>0</v>
      </c>
      <c r="AV38" s="2">
        <f t="shared" si="91"/>
        <v>0</v>
      </c>
      <c r="AW38" s="2">
        <f t="shared" si="91"/>
        <v>0</v>
      </c>
      <c r="AX38" s="2">
        <f t="shared" si="91"/>
        <v>0</v>
      </c>
      <c r="AY38" s="2">
        <f t="shared" si="91"/>
        <v>0</v>
      </c>
      <c r="AZ38" s="2">
        <f t="shared" si="91"/>
        <v>0</v>
      </c>
      <c r="BA38" s="2">
        <f t="shared" si="91"/>
        <v>0</v>
      </c>
      <c r="BB38" s="2">
        <f t="shared" si="91"/>
        <v>0</v>
      </c>
      <c r="BC38" s="2">
        <f t="shared" si="91"/>
        <v>0</v>
      </c>
      <c r="BD38" s="2">
        <f t="shared" si="91"/>
        <v>0</v>
      </c>
      <c r="BE38" s="2">
        <f t="shared" si="91"/>
        <v>0</v>
      </c>
      <c r="BF38" s="2">
        <f t="shared" si="91"/>
        <v>0</v>
      </c>
      <c r="CE38" s="55">
        <f>MAX(C38:CC38)</f>
        <v>47.2</v>
      </c>
    </row>
    <row r="39" spans="2:92" x14ac:dyDescent="0.15">
      <c r="B39" s="2" t="s">
        <v>34</v>
      </c>
      <c r="C39" s="2">
        <f t="shared" ref="C39:N39" si="92">BowlSplit(C5:C32,BallsBowled)</f>
        <v>0</v>
      </c>
      <c r="D39" s="2">
        <f t="shared" si="92"/>
        <v>222</v>
      </c>
      <c r="E39" s="2">
        <f t="shared" si="92"/>
        <v>97</v>
      </c>
      <c r="F39" s="2">
        <f t="shared" si="92"/>
        <v>197</v>
      </c>
      <c r="G39" s="2">
        <f t="shared" si="92"/>
        <v>276</v>
      </c>
      <c r="H39" s="2">
        <f t="shared" si="92"/>
        <v>240</v>
      </c>
      <c r="I39" s="2">
        <f t="shared" si="92"/>
        <v>240</v>
      </c>
      <c r="J39" s="2">
        <f t="shared" si="92"/>
        <v>161</v>
      </c>
      <c r="K39" s="2">
        <f t="shared" si="92"/>
        <v>173</v>
      </c>
      <c r="L39" s="2">
        <f t="shared" si="92"/>
        <v>90</v>
      </c>
      <c r="M39" s="2">
        <f t="shared" si="92"/>
        <v>60</v>
      </c>
      <c r="N39" s="2">
        <f t="shared" si="92"/>
        <v>240</v>
      </c>
      <c r="O39" s="2">
        <f>BowlSplit(T5:T32,BallsBowled)</f>
        <v>175</v>
      </c>
      <c r="P39" s="2">
        <f t="shared" ref="P39:BF39" si="93">BowlSplit(P5:P32,BallsBowled)</f>
        <v>210</v>
      </c>
      <c r="Q39" s="2">
        <f>BowlSplit(Q5:Q32,BallsBowled)</f>
        <v>284</v>
      </c>
      <c r="R39" s="2">
        <f>BowlSplit(R5:R32,BallsBowled)</f>
        <v>190</v>
      </c>
      <c r="S39" s="2">
        <f t="shared" si="93"/>
        <v>243</v>
      </c>
      <c r="T39" s="2">
        <f t="shared" si="93"/>
        <v>175</v>
      </c>
      <c r="U39" s="2">
        <f t="shared" si="93"/>
        <v>217</v>
      </c>
      <c r="V39" s="2">
        <f t="shared" si="93"/>
        <v>0</v>
      </c>
      <c r="W39" s="2">
        <f t="shared" si="93"/>
        <v>0</v>
      </c>
      <c r="X39" s="2">
        <f t="shared" si="93"/>
        <v>0</v>
      </c>
      <c r="Y39" s="2">
        <f t="shared" si="93"/>
        <v>0</v>
      </c>
      <c r="Z39" s="2">
        <f t="shared" si="93"/>
        <v>0</v>
      </c>
      <c r="AA39" s="2">
        <f t="shared" si="93"/>
        <v>0</v>
      </c>
      <c r="AB39" s="2">
        <f t="shared" si="93"/>
        <v>0</v>
      </c>
      <c r="AC39" s="2">
        <f t="shared" si="93"/>
        <v>0</v>
      </c>
      <c r="AD39" s="2">
        <f t="shared" si="93"/>
        <v>0</v>
      </c>
      <c r="AE39" s="2">
        <f t="shared" si="93"/>
        <v>0</v>
      </c>
      <c r="AF39" s="2">
        <f t="shared" si="93"/>
        <v>0</v>
      </c>
      <c r="AG39" s="2">
        <f t="shared" si="93"/>
        <v>0</v>
      </c>
      <c r="AH39" s="2">
        <f t="shared" si="93"/>
        <v>0</v>
      </c>
      <c r="AI39" s="2">
        <f t="shared" si="93"/>
        <v>0</v>
      </c>
      <c r="AJ39" s="2">
        <f t="shared" si="93"/>
        <v>0</v>
      </c>
      <c r="AK39" s="2">
        <f t="shared" si="93"/>
        <v>0</v>
      </c>
      <c r="AL39" s="2">
        <f t="shared" si="93"/>
        <v>0</v>
      </c>
      <c r="AM39" s="2">
        <f t="shared" si="93"/>
        <v>0</v>
      </c>
      <c r="AN39" s="2">
        <f t="shared" si="93"/>
        <v>0</v>
      </c>
      <c r="AO39" s="2">
        <f t="shared" si="93"/>
        <v>0</v>
      </c>
      <c r="AP39" s="2">
        <f t="shared" si="93"/>
        <v>0</v>
      </c>
      <c r="AQ39" s="2">
        <f t="shared" si="93"/>
        <v>0</v>
      </c>
      <c r="AR39" s="2">
        <f t="shared" si="93"/>
        <v>0</v>
      </c>
      <c r="AS39" s="2">
        <f t="shared" si="93"/>
        <v>0</v>
      </c>
      <c r="AT39" s="2">
        <f t="shared" si="93"/>
        <v>0</v>
      </c>
      <c r="AU39" s="2">
        <f t="shared" si="93"/>
        <v>0</v>
      </c>
      <c r="AV39" s="2">
        <f t="shared" si="93"/>
        <v>0</v>
      </c>
      <c r="AW39" s="2">
        <f t="shared" si="93"/>
        <v>0</v>
      </c>
      <c r="AX39" s="2">
        <f t="shared" si="93"/>
        <v>0</v>
      </c>
      <c r="AY39" s="2">
        <f t="shared" si="93"/>
        <v>0</v>
      </c>
      <c r="AZ39" s="2">
        <f t="shared" si="93"/>
        <v>0</v>
      </c>
      <c r="BA39" s="2">
        <f t="shared" si="93"/>
        <v>0</v>
      </c>
      <c r="BB39" s="2">
        <f t="shared" si="93"/>
        <v>0</v>
      </c>
      <c r="BC39" s="2">
        <f t="shared" si="93"/>
        <v>0</v>
      </c>
      <c r="BD39" s="2">
        <f t="shared" si="93"/>
        <v>0</v>
      </c>
      <c r="BE39" s="2">
        <f t="shared" si="93"/>
        <v>0</v>
      </c>
      <c r="BF39" s="2">
        <f t="shared" si="93"/>
        <v>0</v>
      </c>
      <c r="CE39" s="55">
        <f>SUM(C39:BF39)</f>
        <v>3490</v>
      </c>
      <c r="CF39" s="55">
        <f>INT(CE39/6)</f>
        <v>581</v>
      </c>
      <c r="CG39" s="55">
        <f>CE39-CF39*6</f>
        <v>4</v>
      </c>
      <c r="CH39" s="55">
        <f>CF39+CG39/10</f>
        <v>581.4</v>
      </c>
    </row>
    <row r="40" spans="2:92" x14ac:dyDescent="0.15">
      <c r="B40" s="2" t="s">
        <v>172</v>
      </c>
      <c r="C40" s="2">
        <f t="array" ref="C40:CC40">TRANSPOSE(Matches!P5:P59)</f>
        <v>0</v>
      </c>
      <c r="D40" s="2">
        <v>37</v>
      </c>
      <c r="E40" s="2">
        <v>16.100000000000001</v>
      </c>
      <c r="F40" s="2">
        <v>32.5</v>
      </c>
      <c r="G40" s="2">
        <v>46</v>
      </c>
      <c r="H40" s="2">
        <v>40</v>
      </c>
      <c r="I40" s="2">
        <v>40</v>
      </c>
      <c r="J40" s="2">
        <v>26.5</v>
      </c>
      <c r="K40" s="2">
        <v>28.5</v>
      </c>
      <c r="L40" s="2">
        <v>15</v>
      </c>
      <c r="M40" s="2">
        <v>10</v>
      </c>
      <c r="N40" s="2">
        <v>40</v>
      </c>
      <c r="O40" s="2">
        <v>44</v>
      </c>
      <c r="P40" s="2">
        <v>35</v>
      </c>
      <c r="Q40" s="2">
        <v>47.2</v>
      </c>
      <c r="R40" s="2">
        <v>31.4</v>
      </c>
      <c r="S40" s="2">
        <v>40.299999999999997</v>
      </c>
      <c r="T40" s="2">
        <v>29.1</v>
      </c>
      <c r="U40" s="2">
        <v>36.1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 t="e">
        <v>#N/A</v>
      </c>
      <c r="BG40" s="2" t="e">
        <v>#N/A</v>
      </c>
      <c r="BH40" s="2" t="e">
        <v>#N/A</v>
      </c>
      <c r="BI40" s="2" t="e">
        <v>#N/A</v>
      </c>
      <c r="BJ40" s="2" t="e">
        <v>#N/A</v>
      </c>
      <c r="BK40" s="2" t="e">
        <v>#N/A</v>
      </c>
      <c r="BL40" s="2" t="e">
        <v>#N/A</v>
      </c>
      <c r="BM40" s="2" t="e">
        <v>#N/A</v>
      </c>
      <c r="BN40" s="2" t="e">
        <v>#N/A</v>
      </c>
      <c r="BO40" s="2" t="e">
        <v>#N/A</v>
      </c>
      <c r="BP40" s="2" t="e">
        <v>#N/A</v>
      </c>
      <c r="BQ40" s="2" t="e">
        <v>#N/A</v>
      </c>
      <c r="BR40" s="2" t="e">
        <v>#N/A</v>
      </c>
      <c r="BS40" s="2" t="e">
        <v>#N/A</v>
      </c>
      <c r="BT40" s="2" t="e">
        <v>#N/A</v>
      </c>
      <c r="BU40" s="2" t="e">
        <v>#N/A</v>
      </c>
      <c r="BV40" s="2" t="e">
        <v>#N/A</v>
      </c>
      <c r="BW40" s="2" t="e">
        <v>#N/A</v>
      </c>
      <c r="BX40" s="2" t="e">
        <v>#N/A</v>
      </c>
      <c r="BY40" s="2" t="e">
        <v>#N/A</v>
      </c>
      <c r="BZ40" s="2" t="e">
        <v>#N/A</v>
      </c>
      <c r="CA40" s="2" t="e">
        <v>#N/A</v>
      </c>
      <c r="CB40" s="2" t="e">
        <v>#N/A</v>
      </c>
      <c r="CC40" s="2" t="e">
        <v>#N/A</v>
      </c>
    </row>
    <row r="41" spans="2:92" x14ac:dyDescent="0.15">
      <c r="B41" s="2">
        <f>WicketsTaken</f>
        <v>4</v>
      </c>
      <c r="C41" s="2">
        <f>WicketsTaken</f>
        <v>4</v>
      </c>
    </row>
    <row r="42" spans="2:92" x14ac:dyDescent="0.15">
      <c r="B42" s="2">
        <v>5</v>
      </c>
      <c r="C42" s="2">
        <f t="shared" ref="C42" si="94">BowlSplit(C5,$C$41)</f>
        <v>0</v>
      </c>
      <c r="D42" s="2">
        <f t="shared" ref="D42:AR42" si="95">BowlSplit(D5,$C$41)</f>
        <v>0</v>
      </c>
      <c r="E42" s="2">
        <f t="shared" si="95"/>
        <v>0</v>
      </c>
      <c r="F42" s="2">
        <f t="shared" si="95"/>
        <v>0</v>
      </c>
      <c r="G42" s="2">
        <f t="shared" si="95"/>
        <v>0</v>
      </c>
      <c r="H42" s="2">
        <f t="shared" si="95"/>
        <v>0</v>
      </c>
      <c r="I42" s="2">
        <f t="shared" si="95"/>
        <v>0</v>
      </c>
      <c r="J42" s="2">
        <f t="shared" si="95"/>
        <v>0</v>
      </c>
      <c r="K42" s="2">
        <f t="shared" si="95"/>
        <v>0</v>
      </c>
      <c r="L42" s="2">
        <f t="shared" si="95"/>
        <v>0</v>
      </c>
      <c r="M42" s="2">
        <f t="shared" si="95"/>
        <v>0</v>
      </c>
      <c r="N42" s="2">
        <f t="shared" si="95"/>
        <v>0</v>
      </c>
      <c r="O42" s="2">
        <f t="shared" si="95"/>
        <v>0</v>
      </c>
      <c r="P42" s="2">
        <f t="shared" si="95"/>
        <v>0</v>
      </c>
      <c r="Q42" s="2">
        <f t="shared" si="95"/>
        <v>0</v>
      </c>
      <c r="R42" s="2">
        <f t="shared" si="95"/>
        <v>0</v>
      </c>
      <c r="S42" s="2">
        <f t="shared" si="95"/>
        <v>0</v>
      </c>
      <c r="T42" s="2">
        <f t="shared" si="95"/>
        <v>0</v>
      </c>
      <c r="U42" s="2">
        <f t="shared" si="95"/>
        <v>0</v>
      </c>
      <c r="V42" s="2">
        <f t="shared" si="95"/>
        <v>0</v>
      </c>
      <c r="W42" s="2">
        <f t="shared" si="95"/>
        <v>0</v>
      </c>
      <c r="X42" s="2">
        <f t="shared" si="95"/>
        <v>0</v>
      </c>
      <c r="Y42" s="2">
        <f t="shared" si="95"/>
        <v>0</v>
      </c>
      <c r="Z42" s="2">
        <f t="shared" si="95"/>
        <v>0</v>
      </c>
      <c r="AA42" s="2">
        <f t="shared" si="95"/>
        <v>0</v>
      </c>
      <c r="AB42" s="2">
        <f t="shared" si="95"/>
        <v>0</v>
      </c>
      <c r="AC42" s="2">
        <f t="shared" si="95"/>
        <v>0</v>
      </c>
      <c r="AD42" s="2">
        <f t="shared" si="95"/>
        <v>0</v>
      </c>
      <c r="AE42" s="2">
        <f t="shared" si="95"/>
        <v>0</v>
      </c>
      <c r="AF42" s="2">
        <f t="shared" si="95"/>
        <v>0</v>
      </c>
      <c r="AG42" s="2">
        <f t="shared" si="95"/>
        <v>0</v>
      </c>
      <c r="AH42" s="2">
        <f t="shared" si="95"/>
        <v>0</v>
      </c>
      <c r="AI42" s="2">
        <f t="shared" si="95"/>
        <v>0</v>
      </c>
      <c r="AJ42" s="2">
        <f t="shared" si="95"/>
        <v>0</v>
      </c>
      <c r="AK42" s="2">
        <f t="shared" si="95"/>
        <v>0</v>
      </c>
      <c r="AL42" s="2">
        <f t="shared" si="95"/>
        <v>0</v>
      </c>
      <c r="AM42" s="2">
        <f t="shared" si="95"/>
        <v>0</v>
      </c>
      <c r="AN42" s="2">
        <f t="shared" si="95"/>
        <v>0</v>
      </c>
      <c r="AO42" s="2">
        <f t="shared" si="95"/>
        <v>0</v>
      </c>
      <c r="AP42" s="2">
        <f t="shared" si="95"/>
        <v>0</v>
      </c>
      <c r="AQ42" s="2">
        <f t="shared" si="95"/>
        <v>0</v>
      </c>
      <c r="AR42" s="2">
        <f t="shared" si="95"/>
        <v>0</v>
      </c>
    </row>
    <row r="43" spans="2:92" x14ac:dyDescent="0.15">
      <c r="C43" s="2">
        <f t="shared" ref="C43:AR43" si="96">BowlSplit(C6,$C$41)</f>
        <v>0</v>
      </c>
      <c r="D43" s="2">
        <f t="shared" si="96"/>
        <v>0</v>
      </c>
      <c r="E43" s="2">
        <f t="shared" si="96"/>
        <v>0</v>
      </c>
      <c r="F43" s="2">
        <f t="shared" si="96"/>
        <v>2</v>
      </c>
      <c r="G43" s="2">
        <f t="shared" si="96"/>
        <v>0</v>
      </c>
      <c r="H43" s="2">
        <f t="shared" si="96"/>
        <v>1</v>
      </c>
      <c r="I43" s="2">
        <f t="shared" si="96"/>
        <v>0</v>
      </c>
      <c r="J43" s="2">
        <f t="shared" si="96"/>
        <v>0</v>
      </c>
      <c r="K43" s="2">
        <f t="shared" si="96"/>
        <v>0</v>
      </c>
      <c r="L43" s="2">
        <f t="shared" si="96"/>
        <v>0</v>
      </c>
      <c r="M43" s="2">
        <f t="shared" si="96"/>
        <v>0</v>
      </c>
      <c r="N43" s="2">
        <f t="shared" si="96"/>
        <v>0</v>
      </c>
      <c r="O43" s="2">
        <f t="shared" si="96"/>
        <v>0</v>
      </c>
      <c r="P43" s="2">
        <f t="shared" si="96"/>
        <v>0</v>
      </c>
      <c r="Q43" s="2">
        <f t="shared" si="96"/>
        <v>0</v>
      </c>
      <c r="R43" s="2">
        <f t="shared" si="96"/>
        <v>0</v>
      </c>
      <c r="S43" s="2">
        <f t="shared" si="96"/>
        <v>0</v>
      </c>
      <c r="T43" s="2">
        <f t="shared" si="96"/>
        <v>0</v>
      </c>
      <c r="U43" s="2">
        <f t="shared" si="96"/>
        <v>0</v>
      </c>
      <c r="V43" s="2">
        <f t="shared" si="96"/>
        <v>0</v>
      </c>
      <c r="W43" s="2">
        <f t="shared" si="96"/>
        <v>0</v>
      </c>
      <c r="X43" s="2">
        <f t="shared" si="96"/>
        <v>0</v>
      </c>
      <c r="Y43" s="2">
        <f t="shared" si="96"/>
        <v>0</v>
      </c>
      <c r="Z43" s="2">
        <f t="shared" si="96"/>
        <v>0</v>
      </c>
      <c r="AA43" s="2">
        <f t="shared" si="96"/>
        <v>0</v>
      </c>
      <c r="AB43" s="2">
        <f t="shared" si="96"/>
        <v>0</v>
      </c>
      <c r="AC43" s="2">
        <f t="shared" si="96"/>
        <v>0</v>
      </c>
      <c r="AD43" s="2">
        <f t="shared" si="96"/>
        <v>0</v>
      </c>
      <c r="AE43" s="2">
        <f t="shared" si="96"/>
        <v>0</v>
      </c>
      <c r="AF43" s="2">
        <f t="shared" si="96"/>
        <v>0</v>
      </c>
      <c r="AG43" s="2">
        <f t="shared" si="96"/>
        <v>0</v>
      </c>
      <c r="AH43" s="2">
        <f t="shared" si="96"/>
        <v>0</v>
      </c>
      <c r="AI43" s="2">
        <f t="shared" si="96"/>
        <v>0</v>
      </c>
      <c r="AJ43" s="2">
        <f t="shared" si="96"/>
        <v>0</v>
      </c>
      <c r="AK43" s="2">
        <f t="shared" si="96"/>
        <v>0</v>
      </c>
      <c r="AL43" s="2">
        <f t="shared" si="96"/>
        <v>0</v>
      </c>
      <c r="AM43" s="2">
        <f t="shared" si="96"/>
        <v>0</v>
      </c>
      <c r="AN43" s="2">
        <f t="shared" si="96"/>
        <v>0</v>
      </c>
      <c r="AO43" s="2">
        <f t="shared" si="96"/>
        <v>0</v>
      </c>
      <c r="AP43" s="2">
        <f t="shared" si="96"/>
        <v>0</v>
      </c>
      <c r="AQ43" s="2">
        <f t="shared" si="96"/>
        <v>0</v>
      </c>
      <c r="AR43" s="2">
        <f t="shared" si="96"/>
        <v>0</v>
      </c>
    </row>
    <row r="44" spans="2:92" x14ac:dyDescent="0.15">
      <c r="C44" s="2">
        <f t="shared" ref="C44:AR44" si="97">BowlSplit(C7,$C$41)</f>
        <v>0</v>
      </c>
      <c r="D44" s="2">
        <f t="shared" si="97"/>
        <v>0</v>
      </c>
      <c r="E44" s="2">
        <f t="shared" si="97"/>
        <v>0</v>
      </c>
      <c r="F44" s="2">
        <f t="shared" si="97"/>
        <v>0</v>
      </c>
      <c r="G44" s="2">
        <f t="shared" si="97"/>
        <v>0</v>
      </c>
      <c r="H44" s="2">
        <f t="shared" si="97"/>
        <v>1</v>
      </c>
      <c r="I44" s="2">
        <f t="shared" si="97"/>
        <v>0</v>
      </c>
      <c r="J44" s="2">
        <f t="shared" si="97"/>
        <v>0</v>
      </c>
      <c r="K44" s="2">
        <f t="shared" si="97"/>
        <v>0</v>
      </c>
      <c r="L44" s="2">
        <f t="shared" si="97"/>
        <v>0</v>
      </c>
      <c r="M44" s="2">
        <f t="shared" si="97"/>
        <v>0</v>
      </c>
      <c r="N44" s="2">
        <f t="shared" si="97"/>
        <v>0</v>
      </c>
      <c r="O44" s="2">
        <f t="shared" si="97"/>
        <v>0</v>
      </c>
      <c r="P44" s="2">
        <f t="shared" si="97"/>
        <v>0</v>
      </c>
      <c r="Q44" s="2">
        <f t="shared" si="97"/>
        <v>0</v>
      </c>
      <c r="R44" s="2">
        <f t="shared" si="97"/>
        <v>0</v>
      </c>
      <c r="S44" s="2">
        <f t="shared" si="97"/>
        <v>0</v>
      </c>
      <c r="T44" s="2">
        <f t="shared" si="97"/>
        <v>0</v>
      </c>
      <c r="U44" s="2">
        <f t="shared" si="97"/>
        <v>0</v>
      </c>
      <c r="V44" s="2">
        <f t="shared" si="97"/>
        <v>0</v>
      </c>
      <c r="W44" s="2">
        <f t="shared" si="97"/>
        <v>0</v>
      </c>
      <c r="X44" s="2">
        <f t="shared" si="97"/>
        <v>0</v>
      </c>
      <c r="Y44" s="2">
        <f t="shared" si="97"/>
        <v>0</v>
      </c>
      <c r="Z44" s="2">
        <f t="shared" si="97"/>
        <v>0</v>
      </c>
      <c r="AA44" s="2">
        <f t="shared" si="97"/>
        <v>0</v>
      </c>
      <c r="AB44" s="2">
        <f t="shared" si="97"/>
        <v>0</v>
      </c>
      <c r="AC44" s="2">
        <f t="shared" si="97"/>
        <v>0</v>
      </c>
      <c r="AD44" s="2">
        <f t="shared" si="97"/>
        <v>0</v>
      </c>
      <c r="AE44" s="2">
        <f t="shared" si="97"/>
        <v>0</v>
      </c>
      <c r="AF44" s="2">
        <f t="shared" si="97"/>
        <v>0</v>
      </c>
      <c r="AG44" s="2">
        <f t="shared" si="97"/>
        <v>0</v>
      </c>
      <c r="AH44" s="2">
        <f t="shared" si="97"/>
        <v>0</v>
      </c>
      <c r="AI44" s="2">
        <f t="shared" si="97"/>
        <v>0</v>
      </c>
      <c r="AJ44" s="2">
        <f t="shared" si="97"/>
        <v>0</v>
      </c>
      <c r="AK44" s="2">
        <f t="shared" si="97"/>
        <v>0</v>
      </c>
      <c r="AL44" s="2">
        <f t="shared" si="97"/>
        <v>0</v>
      </c>
      <c r="AM44" s="2">
        <f t="shared" si="97"/>
        <v>0</v>
      </c>
      <c r="AN44" s="2">
        <f t="shared" si="97"/>
        <v>0</v>
      </c>
      <c r="AO44" s="2">
        <f t="shared" si="97"/>
        <v>0</v>
      </c>
      <c r="AP44" s="2">
        <f t="shared" si="97"/>
        <v>0</v>
      </c>
      <c r="AQ44" s="2">
        <f t="shared" si="97"/>
        <v>0</v>
      </c>
      <c r="AR44" s="2">
        <f t="shared" si="97"/>
        <v>0</v>
      </c>
    </row>
    <row r="45" spans="2:92" x14ac:dyDescent="0.15">
      <c r="C45" s="2">
        <f t="shared" ref="C45:AR45" si="98">BowlSplit(C8,$C$41)</f>
        <v>0</v>
      </c>
      <c r="D45" s="2">
        <f t="shared" si="98"/>
        <v>0</v>
      </c>
      <c r="E45" s="2">
        <f t="shared" si="98"/>
        <v>0</v>
      </c>
      <c r="F45" s="2">
        <f t="shared" si="98"/>
        <v>0</v>
      </c>
      <c r="G45" s="2">
        <f t="shared" si="98"/>
        <v>0</v>
      </c>
      <c r="H45" s="2">
        <f t="shared" si="98"/>
        <v>0</v>
      </c>
      <c r="I45" s="2">
        <f t="shared" si="98"/>
        <v>0</v>
      </c>
      <c r="J45" s="2">
        <f t="shared" si="98"/>
        <v>0</v>
      </c>
      <c r="K45" s="2">
        <f t="shared" si="98"/>
        <v>0</v>
      </c>
      <c r="L45" s="2">
        <f t="shared" si="98"/>
        <v>1</v>
      </c>
      <c r="M45" s="2">
        <f t="shared" si="98"/>
        <v>0</v>
      </c>
      <c r="N45" s="2">
        <f t="shared" si="98"/>
        <v>0</v>
      </c>
      <c r="O45" s="2">
        <f t="shared" si="98"/>
        <v>1</v>
      </c>
      <c r="P45" s="2">
        <f t="shared" si="98"/>
        <v>0</v>
      </c>
      <c r="Q45" s="2">
        <f t="shared" si="98"/>
        <v>0</v>
      </c>
      <c r="R45" s="2">
        <f t="shared" si="98"/>
        <v>4</v>
      </c>
      <c r="S45" s="2">
        <f t="shared" si="98"/>
        <v>0</v>
      </c>
      <c r="T45" s="2">
        <f t="shared" si="98"/>
        <v>1</v>
      </c>
      <c r="U45" s="2">
        <f t="shared" si="98"/>
        <v>0</v>
      </c>
      <c r="V45" s="2">
        <f t="shared" si="98"/>
        <v>0</v>
      </c>
      <c r="W45" s="2">
        <f t="shared" si="98"/>
        <v>0</v>
      </c>
      <c r="X45" s="2">
        <f t="shared" si="98"/>
        <v>0</v>
      </c>
      <c r="Y45" s="2">
        <f t="shared" si="98"/>
        <v>0</v>
      </c>
      <c r="Z45" s="2">
        <f t="shared" si="98"/>
        <v>0</v>
      </c>
      <c r="AA45" s="2">
        <f t="shared" si="98"/>
        <v>0</v>
      </c>
      <c r="AB45" s="2">
        <f t="shared" si="98"/>
        <v>0</v>
      </c>
      <c r="AC45" s="2">
        <f t="shared" si="98"/>
        <v>0</v>
      </c>
      <c r="AD45" s="2">
        <f t="shared" si="98"/>
        <v>0</v>
      </c>
      <c r="AE45" s="2">
        <f t="shared" si="98"/>
        <v>0</v>
      </c>
      <c r="AF45" s="2">
        <f t="shared" si="98"/>
        <v>0</v>
      </c>
      <c r="AG45" s="2">
        <f t="shared" si="98"/>
        <v>0</v>
      </c>
      <c r="AH45" s="2">
        <f t="shared" si="98"/>
        <v>0</v>
      </c>
      <c r="AI45" s="2">
        <f t="shared" si="98"/>
        <v>0</v>
      </c>
      <c r="AJ45" s="2">
        <f t="shared" si="98"/>
        <v>0</v>
      </c>
      <c r="AK45" s="2">
        <f t="shared" si="98"/>
        <v>0</v>
      </c>
      <c r="AL45" s="2">
        <f t="shared" si="98"/>
        <v>0</v>
      </c>
      <c r="AM45" s="2">
        <f t="shared" si="98"/>
        <v>0</v>
      </c>
      <c r="AN45" s="2">
        <f t="shared" si="98"/>
        <v>0</v>
      </c>
      <c r="AO45" s="2">
        <f t="shared" si="98"/>
        <v>0</v>
      </c>
      <c r="AP45" s="2">
        <f t="shared" si="98"/>
        <v>0</v>
      </c>
      <c r="AQ45" s="2">
        <f t="shared" si="98"/>
        <v>0</v>
      </c>
      <c r="AR45" s="2">
        <f t="shared" si="98"/>
        <v>0</v>
      </c>
    </row>
    <row r="46" spans="2:92" x14ac:dyDescent="0.15">
      <c r="C46" s="2">
        <f t="shared" ref="C46:AR46" si="99">BowlSplit(C9,$C$41)</f>
        <v>0</v>
      </c>
      <c r="D46" s="2">
        <f t="shared" si="99"/>
        <v>0</v>
      </c>
      <c r="E46" s="2">
        <f t="shared" si="99"/>
        <v>0</v>
      </c>
      <c r="F46" s="2">
        <f t="shared" si="99"/>
        <v>0</v>
      </c>
      <c r="G46" s="2">
        <f t="shared" si="99"/>
        <v>0</v>
      </c>
      <c r="H46" s="2">
        <f t="shared" si="99"/>
        <v>0</v>
      </c>
      <c r="I46" s="2">
        <f t="shared" si="99"/>
        <v>0</v>
      </c>
      <c r="J46" s="2">
        <f t="shared" si="99"/>
        <v>1</v>
      </c>
      <c r="K46" s="2">
        <f t="shared" si="99"/>
        <v>0</v>
      </c>
      <c r="L46" s="2">
        <f t="shared" si="99"/>
        <v>0</v>
      </c>
      <c r="M46" s="2">
        <f t="shared" si="99"/>
        <v>0</v>
      </c>
      <c r="N46" s="2">
        <f t="shared" si="99"/>
        <v>2</v>
      </c>
      <c r="O46" s="2">
        <f t="shared" si="99"/>
        <v>1</v>
      </c>
      <c r="P46" s="2">
        <f t="shared" si="99"/>
        <v>1</v>
      </c>
      <c r="Q46" s="2">
        <f t="shared" si="99"/>
        <v>2</v>
      </c>
      <c r="R46" s="2">
        <f t="shared" si="99"/>
        <v>0</v>
      </c>
      <c r="S46" s="2">
        <f t="shared" si="99"/>
        <v>0</v>
      </c>
      <c r="T46" s="2">
        <f t="shared" si="99"/>
        <v>1</v>
      </c>
      <c r="U46" s="2">
        <f t="shared" si="99"/>
        <v>0</v>
      </c>
      <c r="V46" s="2">
        <f t="shared" si="99"/>
        <v>0</v>
      </c>
      <c r="W46" s="2">
        <f t="shared" si="99"/>
        <v>0</v>
      </c>
      <c r="X46" s="2">
        <f t="shared" si="99"/>
        <v>0</v>
      </c>
      <c r="Y46" s="2">
        <f t="shared" si="99"/>
        <v>0</v>
      </c>
      <c r="Z46" s="2">
        <f t="shared" si="99"/>
        <v>0</v>
      </c>
      <c r="AA46" s="2">
        <f t="shared" si="99"/>
        <v>0</v>
      </c>
      <c r="AB46" s="2">
        <f t="shared" si="99"/>
        <v>0</v>
      </c>
      <c r="AC46" s="2">
        <f t="shared" si="99"/>
        <v>0</v>
      </c>
      <c r="AD46" s="2">
        <f t="shared" si="99"/>
        <v>0</v>
      </c>
      <c r="AE46" s="2">
        <f t="shared" si="99"/>
        <v>0</v>
      </c>
      <c r="AF46" s="2">
        <f t="shared" si="99"/>
        <v>0</v>
      </c>
      <c r="AG46" s="2">
        <f t="shared" si="99"/>
        <v>0</v>
      </c>
      <c r="AH46" s="2">
        <f t="shared" si="99"/>
        <v>0</v>
      </c>
      <c r="AI46" s="2">
        <f t="shared" si="99"/>
        <v>0</v>
      </c>
      <c r="AJ46" s="2">
        <f t="shared" si="99"/>
        <v>0</v>
      </c>
      <c r="AK46" s="2">
        <f t="shared" si="99"/>
        <v>0</v>
      </c>
      <c r="AL46" s="2">
        <f t="shared" si="99"/>
        <v>0</v>
      </c>
      <c r="AM46" s="2">
        <f t="shared" si="99"/>
        <v>0</v>
      </c>
      <c r="AN46" s="2">
        <f t="shared" si="99"/>
        <v>0</v>
      </c>
      <c r="AO46" s="2">
        <f t="shared" si="99"/>
        <v>0</v>
      </c>
      <c r="AP46" s="2">
        <f t="shared" si="99"/>
        <v>0</v>
      </c>
      <c r="AQ46" s="2">
        <f t="shared" si="99"/>
        <v>0</v>
      </c>
      <c r="AR46" s="2">
        <f t="shared" si="99"/>
        <v>0</v>
      </c>
    </row>
    <row r="47" spans="2:92" x14ac:dyDescent="0.15">
      <c r="C47" s="2">
        <f t="shared" ref="C47:AR47" si="100">BowlSplit(C10,$C$41)</f>
        <v>0</v>
      </c>
      <c r="D47" s="2">
        <f t="shared" si="100"/>
        <v>0</v>
      </c>
      <c r="E47" s="2">
        <f t="shared" si="100"/>
        <v>0</v>
      </c>
      <c r="F47" s="2">
        <f t="shared" si="100"/>
        <v>0</v>
      </c>
      <c r="G47" s="2">
        <f t="shared" si="100"/>
        <v>0</v>
      </c>
      <c r="H47" s="2">
        <f t="shared" si="100"/>
        <v>0</v>
      </c>
      <c r="I47" s="2">
        <f t="shared" si="100"/>
        <v>0</v>
      </c>
      <c r="J47" s="2">
        <f t="shared" si="100"/>
        <v>0</v>
      </c>
      <c r="K47" s="2">
        <f t="shared" si="100"/>
        <v>0</v>
      </c>
      <c r="L47" s="2">
        <f t="shared" si="100"/>
        <v>0</v>
      </c>
      <c r="M47" s="2">
        <f t="shared" si="100"/>
        <v>0</v>
      </c>
      <c r="N47" s="2">
        <f t="shared" si="100"/>
        <v>0</v>
      </c>
      <c r="O47" s="2">
        <f t="shared" si="100"/>
        <v>0</v>
      </c>
      <c r="P47" s="2">
        <f t="shared" si="100"/>
        <v>0</v>
      </c>
      <c r="Q47" s="2">
        <f t="shared" si="100"/>
        <v>0</v>
      </c>
      <c r="R47" s="2">
        <f t="shared" si="100"/>
        <v>0</v>
      </c>
      <c r="S47" s="2">
        <f t="shared" si="100"/>
        <v>0</v>
      </c>
      <c r="T47" s="2">
        <f t="shared" si="100"/>
        <v>0</v>
      </c>
      <c r="U47" s="2">
        <f t="shared" si="100"/>
        <v>0</v>
      </c>
      <c r="V47" s="2">
        <f t="shared" si="100"/>
        <v>0</v>
      </c>
      <c r="W47" s="2">
        <f t="shared" si="100"/>
        <v>0</v>
      </c>
      <c r="X47" s="2">
        <f t="shared" si="100"/>
        <v>0</v>
      </c>
      <c r="Y47" s="2">
        <f t="shared" si="100"/>
        <v>0</v>
      </c>
      <c r="Z47" s="2">
        <f t="shared" si="100"/>
        <v>0</v>
      </c>
      <c r="AA47" s="2">
        <f t="shared" si="100"/>
        <v>0</v>
      </c>
      <c r="AB47" s="2">
        <f t="shared" si="100"/>
        <v>0</v>
      </c>
      <c r="AC47" s="2">
        <f t="shared" si="100"/>
        <v>0</v>
      </c>
      <c r="AD47" s="2">
        <f t="shared" si="100"/>
        <v>0</v>
      </c>
      <c r="AE47" s="2">
        <f t="shared" si="100"/>
        <v>0</v>
      </c>
      <c r="AF47" s="2">
        <f t="shared" si="100"/>
        <v>0</v>
      </c>
      <c r="AG47" s="2">
        <f t="shared" si="100"/>
        <v>0</v>
      </c>
      <c r="AH47" s="2">
        <f t="shared" si="100"/>
        <v>0</v>
      </c>
      <c r="AI47" s="2">
        <f t="shared" si="100"/>
        <v>0</v>
      </c>
      <c r="AJ47" s="2">
        <f t="shared" si="100"/>
        <v>0</v>
      </c>
      <c r="AK47" s="2">
        <f t="shared" si="100"/>
        <v>0</v>
      </c>
      <c r="AL47" s="2">
        <f t="shared" si="100"/>
        <v>0</v>
      </c>
      <c r="AM47" s="2">
        <f t="shared" si="100"/>
        <v>0</v>
      </c>
      <c r="AN47" s="2">
        <f t="shared" si="100"/>
        <v>0</v>
      </c>
      <c r="AO47" s="2">
        <f t="shared" si="100"/>
        <v>0</v>
      </c>
      <c r="AP47" s="2">
        <f t="shared" si="100"/>
        <v>0</v>
      </c>
      <c r="AQ47" s="2">
        <f t="shared" si="100"/>
        <v>0</v>
      </c>
      <c r="AR47" s="2">
        <f t="shared" si="100"/>
        <v>0</v>
      </c>
      <c r="CE47" s="59"/>
    </row>
    <row r="48" spans="2:92" x14ac:dyDescent="0.15">
      <c r="C48" s="2">
        <f t="shared" ref="C48:AR48" si="101">BowlSplit(C11,$C$41)</f>
        <v>0</v>
      </c>
      <c r="D48" s="2">
        <f t="shared" si="101"/>
        <v>1</v>
      </c>
      <c r="E48" s="2">
        <f t="shared" si="101"/>
        <v>1</v>
      </c>
      <c r="F48" s="2">
        <f t="shared" si="101"/>
        <v>1</v>
      </c>
      <c r="G48" s="2">
        <f t="shared" si="101"/>
        <v>0</v>
      </c>
      <c r="H48" s="2">
        <f t="shared" si="101"/>
        <v>0</v>
      </c>
      <c r="I48" s="2">
        <f t="shared" si="101"/>
        <v>2</v>
      </c>
      <c r="J48" s="2">
        <f t="shared" si="101"/>
        <v>4</v>
      </c>
      <c r="K48" s="2">
        <f t="shared" si="101"/>
        <v>1</v>
      </c>
      <c r="L48" s="2">
        <f t="shared" si="101"/>
        <v>1</v>
      </c>
      <c r="M48" s="2">
        <f t="shared" si="101"/>
        <v>1</v>
      </c>
      <c r="N48" s="2">
        <f t="shared" si="101"/>
        <v>1</v>
      </c>
      <c r="O48" s="2">
        <f t="shared" si="101"/>
        <v>1</v>
      </c>
      <c r="P48" s="2">
        <f t="shared" si="101"/>
        <v>0</v>
      </c>
      <c r="Q48" s="2">
        <f t="shared" si="101"/>
        <v>2</v>
      </c>
      <c r="R48" s="2">
        <f t="shared" si="101"/>
        <v>2</v>
      </c>
      <c r="S48" s="2">
        <f t="shared" si="101"/>
        <v>0</v>
      </c>
      <c r="T48" s="2">
        <f t="shared" si="101"/>
        <v>0</v>
      </c>
      <c r="U48" s="2">
        <f t="shared" si="101"/>
        <v>0</v>
      </c>
      <c r="V48" s="2">
        <f t="shared" si="101"/>
        <v>0</v>
      </c>
      <c r="W48" s="2">
        <f t="shared" si="101"/>
        <v>0</v>
      </c>
      <c r="X48" s="2">
        <f t="shared" si="101"/>
        <v>0</v>
      </c>
      <c r="Y48" s="2">
        <f t="shared" si="101"/>
        <v>0</v>
      </c>
      <c r="Z48" s="2">
        <f t="shared" si="101"/>
        <v>0</v>
      </c>
      <c r="AA48" s="2">
        <f t="shared" si="101"/>
        <v>0</v>
      </c>
      <c r="AB48" s="2">
        <f t="shared" si="101"/>
        <v>0</v>
      </c>
      <c r="AC48" s="2">
        <f t="shared" si="101"/>
        <v>0</v>
      </c>
      <c r="AD48" s="2">
        <f t="shared" si="101"/>
        <v>0</v>
      </c>
      <c r="AE48" s="2">
        <f t="shared" si="101"/>
        <v>0</v>
      </c>
      <c r="AF48" s="2">
        <f t="shared" si="101"/>
        <v>0</v>
      </c>
      <c r="AG48" s="2">
        <f t="shared" si="101"/>
        <v>0</v>
      </c>
      <c r="AH48" s="2">
        <f t="shared" si="101"/>
        <v>0</v>
      </c>
      <c r="AI48" s="2">
        <f t="shared" si="101"/>
        <v>0</v>
      </c>
      <c r="AJ48" s="2">
        <f t="shared" si="101"/>
        <v>0</v>
      </c>
      <c r="AK48" s="2">
        <f t="shared" si="101"/>
        <v>0</v>
      </c>
      <c r="AL48" s="2">
        <f t="shared" si="101"/>
        <v>0</v>
      </c>
      <c r="AM48" s="2">
        <f t="shared" si="101"/>
        <v>0</v>
      </c>
      <c r="AN48" s="2">
        <f t="shared" si="101"/>
        <v>0</v>
      </c>
      <c r="AO48" s="2">
        <f t="shared" si="101"/>
        <v>0</v>
      </c>
      <c r="AP48" s="2">
        <f t="shared" si="101"/>
        <v>0</v>
      </c>
      <c r="AQ48" s="2">
        <f t="shared" si="101"/>
        <v>0</v>
      </c>
      <c r="AR48" s="2">
        <f t="shared" si="101"/>
        <v>0</v>
      </c>
    </row>
    <row r="49" spans="3:44" x14ac:dyDescent="0.15">
      <c r="C49" s="2">
        <f t="shared" ref="C49:AR49" si="102">BowlSplit(C12,$C$41)</f>
        <v>0</v>
      </c>
      <c r="D49" s="2">
        <f t="shared" si="102"/>
        <v>0</v>
      </c>
      <c r="E49" s="2">
        <f t="shared" si="102"/>
        <v>0</v>
      </c>
      <c r="F49" s="2">
        <f t="shared" si="102"/>
        <v>0</v>
      </c>
      <c r="G49" s="2">
        <f t="shared" si="102"/>
        <v>0</v>
      </c>
      <c r="H49" s="2">
        <f t="shared" si="102"/>
        <v>0</v>
      </c>
      <c r="I49" s="2">
        <f t="shared" si="102"/>
        <v>0</v>
      </c>
      <c r="J49" s="2">
        <f t="shared" si="102"/>
        <v>1</v>
      </c>
      <c r="K49" s="2">
        <f t="shared" si="102"/>
        <v>0</v>
      </c>
      <c r="L49" s="2">
        <f t="shared" si="102"/>
        <v>0</v>
      </c>
      <c r="M49" s="2">
        <f t="shared" si="102"/>
        <v>0</v>
      </c>
      <c r="N49" s="2">
        <f t="shared" si="102"/>
        <v>0</v>
      </c>
      <c r="O49" s="2">
        <f t="shared" si="102"/>
        <v>0</v>
      </c>
      <c r="P49" s="2">
        <f t="shared" si="102"/>
        <v>0</v>
      </c>
      <c r="Q49" s="2">
        <f t="shared" si="102"/>
        <v>1</v>
      </c>
      <c r="R49" s="2">
        <f t="shared" si="102"/>
        <v>0</v>
      </c>
      <c r="S49" s="2">
        <f t="shared" si="102"/>
        <v>1</v>
      </c>
      <c r="T49" s="2">
        <f t="shared" si="102"/>
        <v>0</v>
      </c>
      <c r="U49" s="2">
        <f t="shared" si="102"/>
        <v>1</v>
      </c>
      <c r="V49" s="2">
        <f t="shared" si="102"/>
        <v>0</v>
      </c>
      <c r="W49" s="2">
        <f t="shared" si="102"/>
        <v>0</v>
      </c>
      <c r="X49" s="2">
        <f t="shared" si="102"/>
        <v>0</v>
      </c>
      <c r="Y49" s="2">
        <f t="shared" si="102"/>
        <v>0</v>
      </c>
      <c r="Z49" s="2">
        <f t="shared" si="102"/>
        <v>0</v>
      </c>
      <c r="AA49" s="2">
        <f t="shared" si="102"/>
        <v>0</v>
      </c>
      <c r="AB49" s="2">
        <f t="shared" si="102"/>
        <v>0</v>
      </c>
      <c r="AC49" s="2">
        <f t="shared" si="102"/>
        <v>0</v>
      </c>
      <c r="AD49" s="2">
        <f t="shared" si="102"/>
        <v>0</v>
      </c>
      <c r="AE49" s="2">
        <f t="shared" si="102"/>
        <v>0</v>
      </c>
      <c r="AF49" s="2">
        <f t="shared" si="102"/>
        <v>0</v>
      </c>
      <c r="AG49" s="2">
        <f t="shared" si="102"/>
        <v>0</v>
      </c>
      <c r="AH49" s="2">
        <f t="shared" si="102"/>
        <v>0</v>
      </c>
      <c r="AI49" s="2">
        <f t="shared" si="102"/>
        <v>0</v>
      </c>
      <c r="AJ49" s="2">
        <f t="shared" si="102"/>
        <v>0</v>
      </c>
      <c r="AK49" s="2">
        <f t="shared" si="102"/>
        <v>0</v>
      </c>
      <c r="AL49" s="2">
        <f t="shared" si="102"/>
        <v>0</v>
      </c>
      <c r="AM49" s="2">
        <f t="shared" si="102"/>
        <v>0</v>
      </c>
      <c r="AN49" s="2">
        <f t="shared" si="102"/>
        <v>0</v>
      </c>
      <c r="AO49" s="2">
        <f t="shared" si="102"/>
        <v>0</v>
      </c>
      <c r="AP49" s="2">
        <f t="shared" si="102"/>
        <v>0</v>
      </c>
      <c r="AQ49" s="2">
        <f t="shared" si="102"/>
        <v>0</v>
      </c>
      <c r="AR49" s="2">
        <f t="shared" si="102"/>
        <v>0</v>
      </c>
    </row>
    <row r="50" spans="3:44" x14ac:dyDescent="0.15">
      <c r="C50" s="2">
        <f t="shared" ref="C50:AR50" si="103">BowlSplit(C13,$C$41)</f>
        <v>0</v>
      </c>
      <c r="D50" s="2">
        <f t="shared" si="103"/>
        <v>0</v>
      </c>
      <c r="E50" s="2">
        <f t="shared" si="103"/>
        <v>0</v>
      </c>
      <c r="F50" s="2">
        <f t="shared" si="103"/>
        <v>0</v>
      </c>
      <c r="G50" s="2">
        <f t="shared" si="103"/>
        <v>0</v>
      </c>
      <c r="H50" s="2">
        <f t="shared" si="103"/>
        <v>0</v>
      </c>
      <c r="I50" s="2">
        <f t="shared" si="103"/>
        <v>0</v>
      </c>
      <c r="J50" s="2">
        <f t="shared" si="103"/>
        <v>0</v>
      </c>
      <c r="K50" s="2">
        <f t="shared" si="103"/>
        <v>0</v>
      </c>
      <c r="L50" s="2">
        <f t="shared" si="103"/>
        <v>0</v>
      </c>
      <c r="M50" s="2">
        <f t="shared" si="103"/>
        <v>1</v>
      </c>
      <c r="N50" s="2">
        <f t="shared" si="103"/>
        <v>0</v>
      </c>
      <c r="O50" s="2">
        <f t="shared" si="103"/>
        <v>0</v>
      </c>
      <c r="P50" s="2">
        <f t="shared" si="103"/>
        <v>0</v>
      </c>
      <c r="Q50" s="2">
        <f t="shared" si="103"/>
        <v>0</v>
      </c>
      <c r="R50" s="2">
        <f t="shared" si="103"/>
        <v>0</v>
      </c>
      <c r="S50" s="2">
        <f t="shared" si="103"/>
        <v>0</v>
      </c>
      <c r="T50" s="2">
        <f t="shared" si="103"/>
        <v>0</v>
      </c>
      <c r="U50" s="2">
        <f t="shared" si="103"/>
        <v>0</v>
      </c>
      <c r="V50" s="2">
        <f t="shared" si="103"/>
        <v>0</v>
      </c>
      <c r="W50" s="2">
        <f t="shared" si="103"/>
        <v>0</v>
      </c>
      <c r="X50" s="2">
        <f t="shared" si="103"/>
        <v>0</v>
      </c>
      <c r="Y50" s="2">
        <f t="shared" si="103"/>
        <v>0</v>
      </c>
      <c r="Z50" s="2">
        <f t="shared" si="103"/>
        <v>0</v>
      </c>
      <c r="AA50" s="2">
        <f t="shared" si="103"/>
        <v>0</v>
      </c>
      <c r="AB50" s="2">
        <f t="shared" si="103"/>
        <v>0</v>
      </c>
      <c r="AC50" s="2">
        <f t="shared" si="103"/>
        <v>0</v>
      </c>
      <c r="AD50" s="2">
        <f t="shared" si="103"/>
        <v>0</v>
      </c>
      <c r="AE50" s="2">
        <f t="shared" si="103"/>
        <v>0</v>
      </c>
      <c r="AF50" s="2">
        <f t="shared" si="103"/>
        <v>0</v>
      </c>
      <c r="AG50" s="2">
        <f t="shared" si="103"/>
        <v>0</v>
      </c>
      <c r="AH50" s="2">
        <f t="shared" si="103"/>
        <v>0</v>
      </c>
      <c r="AI50" s="2">
        <f t="shared" si="103"/>
        <v>0</v>
      </c>
      <c r="AJ50" s="2">
        <f t="shared" si="103"/>
        <v>0</v>
      </c>
      <c r="AK50" s="2">
        <f t="shared" si="103"/>
        <v>0</v>
      </c>
      <c r="AL50" s="2">
        <f t="shared" si="103"/>
        <v>0</v>
      </c>
      <c r="AM50" s="2">
        <f t="shared" si="103"/>
        <v>0</v>
      </c>
      <c r="AN50" s="2">
        <f t="shared" si="103"/>
        <v>0</v>
      </c>
      <c r="AO50" s="2">
        <f t="shared" si="103"/>
        <v>0</v>
      </c>
      <c r="AP50" s="2">
        <f t="shared" si="103"/>
        <v>0</v>
      </c>
      <c r="AQ50" s="2">
        <f t="shared" si="103"/>
        <v>0</v>
      </c>
      <c r="AR50" s="2">
        <f t="shared" si="103"/>
        <v>0</v>
      </c>
    </row>
    <row r="51" spans="3:44" x14ac:dyDescent="0.15">
      <c r="C51" s="2">
        <f t="shared" ref="C51:AR51" si="104">BowlSplit(C14,$C$41)</f>
        <v>0</v>
      </c>
      <c r="D51" s="2">
        <f t="shared" si="104"/>
        <v>0</v>
      </c>
      <c r="E51" s="2">
        <f t="shared" si="104"/>
        <v>0</v>
      </c>
      <c r="F51" s="2">
        <f t="shared" si="104"/>
        <v>0</v>
      </c>
      <c r="G51" s="2">
        <f t="shared" si="104"/>
        <v>0</v>
      </c>
      <c r="H51" s="2">
        <f t="shared" si="104"/>
        <v>0</v>
      </c>
      <c r="I51" s="2">
        <f t="shared" si="104"/>
        <v>0</v>
      </c>
      <c r="J51" s="2">
        <f t="shared" si="104"/>
        <v>2</v>
      </c>
      <c r="K51" s="2">
        <f t="shared" si="104"/>
        <v>0</v>
      </c>
      <c r="L51" s="2">
        <f t="shared" si="104"/>
        <v>0</v>
      </c>
      <c r="M51" s="2">
        <f t="shared" si="104"/>
        <v>0</v>
      </c>
      <c r="N51" s="2">
        <f t="shared" si="104"/>
        <v>0</v>
      </c>
      <c r="O51" s="2">
        <f t="shared" si="104"/>
        <v>0</v>
      </c>
      <c r="P51" s="2">
        <f t="shared" si="104"/>
        <v>0</v>
      </c>
      <c r="Q51" s="2">
        <f t="shared" si="104"/>
        <v>0</v>
      </c>
      <c r="R51" s="2">
        <f t="shared" si="104"/>
        <v>0</v>
      </c>
      <c r="S51" s="2">
        <f t="shared" si="104"/>
        <v>0</v>
      </c>
      <c r="T51" s="2">
        <f t="shared" si="104"/>
        <v>0</v>
      </c>
      <c r="U51" s="2">
        <f t="shared" si="104"/>
        <v>0</v>
      </c>
      <c r="V51" s="2">
        <f t="shared" si="104"/>
        <v>0</v>
      </c>
      <c r="W51" s="2">
        <f t="shared" si="104"/>
        <v>0</v>
      </c>
      <c r="X51" s="2">
        <f t="shared" si="104"/>
        <v>0</v>
      </c>
      <c r="Y51" s="2">
        <f t="shared" si="104"/>
        <v>0</v>
      </c>
      <c r="Z51" s="2">
        <f t="shared" si="104"/>
        <v>0</v>
      </c>
      <c r="AA51" s="2">
        <f t="shared" si="104"/>
        <v>0</v>
      </c>
      <c r="AB51" s="2">
        <f t="shared" si="104"/>
        <v>0</v>
      </c>
      <c r="AC51" s="2">
        <f t="shared" si="104"/>
        <v>0</v>
      </c>
      <c r="AD51" s="2">
        <f t="shared" si="104"/>
        <v>0</v>
      </c>
      <c r="AE51" s="2">
        <f t="shared" si="104"/>
        <v>0</v>
      </c>
      <c r="AF51" s="2">
        <f t="shared" si="104"/>
        <v>0</v>
      </c>
      <c r="AG51" s="2">
        <f t="shared" si="104"/>
        <v>0</v>
      </c>
      <c r="AH51" s="2">
        <f t="shared" si="104"/>
        <v>0</v>
      </c>
      <c r="AI51" s="2">
        <f t="shared" si="104"/>
        <v>0</v>
      </c>
      <c r="AJ51" s="2">
        <f t="shared" si="104"/>
        <v>0</v>
      </c>
      <c r="AK51" s="2">
        <f t="shared" si="104"/>
        <v>0</v>
      </c>
      <c r="AL51" s="2">
        <f t="shared" si="104"/>
        <v>0</v>
      </c>
      <c r="AM51" s="2">
        <f t="shared" si="104"/>
        <v>0</v>
      </c>
      <c r="AN51" s="2">
        <f t="shared" si="104"/>
        <v>0</v>
      </c>
      <c r="AO51" s="2">
        <f t="shared" si="104"/>
        <v>0</v>
      </c>
      <c r="AP51" s="2">
        <f t="shared" si="104"/>
        <v>0</v>
      </c>
      <c r="AQ51" s="2">
        <f t="shared" si="104"/>
        <v>0</v>
      </c>
      <c r="AR51" s="2">
        <f t="shared" si="104"/>
        <v>0</v>
      </c>
    </row>
    <row r="52" spans="3:44" x14ac:dyDescent="0.15">
      <c r="C52" s="2">
        <f t="shared" ref="C52:AR52" si="105">BowlSplit(C15,$C$41)</f>
        <v>0</v>
      </c>
      <c r="D52" s="2">
        <f t="shared" si="105"/>
        <v>0</v>
      </c>
      <c r="E52" s="2">
        <f t="shared" si="105"/>
        <v>0</v>
      </c>
      <c r="F52" s="2">
        <f t="shared" si="105"/>
        <v>0</v>
      </c>
      <c r="G52" s="2">
        <f t="shared" si="105"/>
        <v>0</v>
      </c>
      <c r="H52" s="2">
        <f t="shared" si="105"/>
        <v>0</v>
      </c>
      <c r="I52" s="2">
        <f t="shared" si="105"/>
        <v>0</v>
      </c>
      <c r="J52" s="2">
        <f t="shared" si="105"/>
        <v>0</v>
      </c>
      <c r="K52" s="2">
        <f t="shared" si="105"/>
        <v>0</v>
      </c>
      <c r="L52" s="2">
        <f t="shared" si="105"/>
        <v>0</v>
      </c>
      <c r="M52" s="2">
        <f t="shared" si="105"/>
        <v>0</v>
      </c>
      <c r="N52" s="2">
        <f t="shared" si="105"/>
        <v>0</v>
      </c>
      <c r="O52" s="2">
        <f t="shared" si="105"/>
        <v>0</v>
      </c>
      <c r="P52" s="2">
        <f t="shared" si="105"/>
        <v>0</v>
      </c>
      <c r="Q52" s="2">
        <f t="shared" si="105"/>
        <v>0</v>
      </c>
      <c r="R52" s="2">
        <f t="shared" si="105"/>
        <v>0</v>
      </c>
      <c r="S52" s="2">
        <f t="shared" si="105"/>
        <v>0</v>
      </c>
      <c r="T52" s="2">
        <f t="shared" si="105"/>
        <v>0</v>
      </c>
      <c r="U52" s="2">
        <f t="shared" si="105"/>
        <v>1</v>
      </c>
      <c r="V52" s="2">
        <f t="shared" si="105"/>
        <v>0</v>
      </c>
      <c r="W52" s="2">
        <f t="shared" si="105"/>
        <v>0</v>
      </c>
      <c r="X52" s="2">
        <f t="shared" si="105"/>
        <v>0</v>
      </c>
      <c r="Y52" s="2">
        <f t="shared" si="105"/>
        <v>0</v>
      </c>
      <c r="Z52" s="2">
        <f t="shared" si="105"/>
        <v>0</v>
      </c>
      <c r="AA52" s="2">
        <f t="shared" si="105"/>
        <v>0</v>
      </c>
      <c r="AB52" s="2">
        <f t="shared" si="105"/>
        <v>0</v>
      </c>
      <c r="AC52" s="2">
        <f t="shared" si="105"/>
        <v>0</v>
      </c>
      <c r="AD52" s="2">
        <f t="shared" si="105"/>
        <v>0</v>
      </c>
      <c r="AE52" s="2">
        <f t="shared" si="105"/>
        <v>0</v>
      </c>
      <c r="AF52" s="2">
        <f t="shared" si="105"/>
        <v>0</v>
      </c>
      <c r="AG52" s="2">
        <f t="shared" si="105"/>
        <v>0</v>
      </c>
      <c r="AH52" s="2">
        <f t="shared" si="105"/>
        <v>0</v>
      </c>
      <c r="AI52" s="2">
        <f t="shared" si="105"/>
        <v>0</v>
      </c>
      <c r="AJ52" s="2">
        <f t="shared" si="105"/>
        <v>0</v>
      </c>
      <c r="AK52" s="2">
        <f t="shared" si="105"/>
        <v>0</v>
      </c>
      <c r="AL52" s="2">
        <f t="shared" si="105"/>
        <v>0</v>
      </c>
      <c r="AM52" s="2">
        <f t="shared" si="105"/>
        <v>0</v>
      </c>
      <c r="AN52" s="2">
        <f t="shared" si="105"/>
        <v>0</v>
      </c>
      <c r="AO52" s="2">
        <f t="shared" si="105"/>
        <v>0</v>
      </c>
      <c r="AP52" s="2">
        <f t="shared" si="105"/>
        <v>0</v>
      </c>
      <c r="AQ52" s="2">
        <f t="shared" si="105"/>
        <v>0</v>
      </c>
      <c r="AR52" s="2">
        <f t="shared" si="105"/>
        <v>0</v>
      </c>
    </row>
    <row r="53" spans="3:44" x14ac:dyDescent="0.15">
      <c r="C53" s="2">
        <f t="shared" ref="C53:AR53" si="106">BowlSplit(C16,$C$41)</f>
        <v>0</v>
      </c>
      <c r="D53" s="2">
        <f t="shared" si="106"/>
        <v>0</v>
      </c>
      <c r="E53" s="2">
        <f t="shared" si="106"/>
        <v>0</v>
      </c>
      <c r="F53" s="2">
        <f t="shared" si="106"/>
        <v>0</v>
      </c>
      <c r="G53" s="2">
        <f t="shared" si="106"/>
        <v>0</v>
      </c>
      <c r="H53" s="2">
        <f t="shared" si="106"/>
        <v>0</v>
      </c>
      <c r="I53" s="2">
        <f t="shared" si="106"/>
        <v>0</v>
      </c>
      <c r="J53" s="2">
        <f t="shared" si="106"/>
        <v>0</v>
      </c>
      <c r="K53" s="2">
        <f t="shared" si="106"/>
        <v>0</v>
      </c>
      <c r="L53" s="2">
        <f t="shared" si="106"/>
        <v>0</v>
      </c>
      <c r="M53" s="2">
        <f t="shared" si="106"/>
        <v>0</v>
      </c>
      <c r="N53" s="2">
        <f t="shared" si="106"/>
        <v>0</v>
      </c>
      <c r="O53" s="2">
        <f t="shared" si="106"/>
        <v>0</v>
      </c>
      <c r="P53" s="2">
        <f t="shared" si="106"/>
        <v>0</v>
      </c>
      <c r="Q53" s="2">
        <f t="shared" si="106"/>
        <v>0</v>
      </c>
      <c r="R53" s="2">
        <f t="shared" si="106"/>
        <v>0</v>
      </c>
      <c r="S53" s="2">
        <f t="shared" si="106"/>
        <v>0</v>
      </c>
      <c r="T53" s="2">
        <f t="shared" si="106"/>
        <v>0</v>
      </c>
      <c r="U53" s="2">
        <f t="shared" si="106"/>
        <v>1</v>
      </c>
      <c r="V53" s="2">
        <f t="shared" si="106"/>
        <v>0</v>
      </c>
      <c r="W53" s="2">
        <f t="shared" si="106"/>
        <v>0</v>
      </c>
      <c r="X53" s="2">
        <f t="shared" si="106"/>
        <v>0</v>
      </c>
      <c r="Y53" s="2">
        <f t="shared" si="106"/>
        <v>0</v>
      </c>
      <c r="Z53" s="2">
        <f t="shared" si="106"/>
        <v>0</v>
      </c>
      <c r="AA53" s="2">
        <f t="shared" si="106"/>
        <v>0</v>
      </c>
      <c r="AB53" s="2">
        <f t="shared" si="106"/>
        <v>0</v>
      </c>
      <c r="AC53" s="2">
        <f t="shared" si="106"/>
        <v>0</v>
      </c>
      <c r="AD53" s="2">
        <f t="shared" si="106"/>
        <v>0</v>
      </c>
      <c r="AE53" s="2">
        <f t="shared" si="106"/>
        <v>0</v>
      </c>
      <c r="AF53" s="2">
        <f t="shared" si="106"/>
        <v>0</v>
      </c>
      <c r="AG53" s="2">
        <f t="shared" si="106"/>
        <v>0</v>
      </c>
      <c r="AH53" s="2">
        <f t="shared" si="106"/>
        <v>0</v>
      </c>
      <c r="AI53" s="2">
        <f t="shared" si="106"/>
        <v>0</v>
      </c>
      <c r="AJ53" s="2">
        <f t="shared" si="106"/>
        <v>0</v>
      </c>
      <c r="AK53" s="2">
        <f t="shared" si="106"/>
        <v>0</v>
      </c>
      <c r="AL53" s="2">
        <f t="shared" si="106"/>
        <v>0</v>
      </c>
      <c r="AM53" s="2">
        <f t="shared" si="106"/>
        <v>0</v>
      </c>
      <c r="AN53" s="2">
        <f t="shared" si="106"/>
        <v>0</v>
      </c>
      <c r="AO53" s="2">
        <f t="shared" si="106"/>
        <v>0</v>
      </c>
      <c r="AP53" s="2">
        <f t="shared" si="106"/>
        <v>0</v>
      </c>
      <c r="AQ53" s="2">
        <f t="shared" si="106"/>
        <v>0</v>
      </c>
      <c r="AR53" s="2">
        <f t="shared" si="106"/>
        <v>0</v>
      </c>
    </row>
    <row r="54" spans="3:44" x14ac:dyDescent="0.15">
      <c r="C54" s="2">
        <f t="shared" ref="C54:AR54" si="107">BowlSplit(C17,$C$41)</f>
        <v>0</v>
      </c>
      <c r="D54" s="2">
        <f t="shared" si="107"/>
        <v>0</v>
      </c>
      <c r="E54" s="2">
        <f t="shared" si="107"/>
        <v>0</v>
      </c>
      <c r="F54" s="2">
        <f t="shared" si="107"/>
        <v>0</v>
      </c>
      <c r="G54" s="2">
        <f t="shared" si="107"/>
        <v>0</v>
      </c>
      <c r="H54" s="2">
        <f t="shared" si="107"/>
        <v>1</v>
      </c>
      <c r="I54" s="2">
        <f t="shared" si="107"/>
        <v>1</v>
      </c>
      <c r="J54" s="2">
        <f t="shared" si="107"/>
        <v>0</v>
      </c>
      <c r="K54" s="2">
        <f t="shared" si="107"/>
        <v>1</v>
      </c>
      <c r="L54" s="2">
        <f t="shared" si="107"/>
        <v>0</v>
      </c>
      <c r="M54" s="2">
        <f t="shared" si="107"/>
        <v>0</v>
      </c>
      <c r="N54" s="2">
        <f t="shared" si="107"/>
        <v>0</v>
      </c>
      <c r="O54" s="2">
        <f t="shared" si="107"/>
        <v>0</v>
      </c>
      <c r="P54" s="2">
        <f t="shared" si="107"/>
        <v>0</v>
      </c>
      <c r="Q54" s="2">
        <f t="shared" si="107"/>
        <v>0</v>
      </c>
      <c r="R54" s="2">
        <f t="shared" si="107"/>
        <v>0</v>
      </c>
      <c r="S54" s="2">
        <f t="shared" si="107"/>
        <v>0</v>
      </c>
      <c r="T54" s="2">
        <f t="shared" si="107"/>
        <v>0</v>
      </c>
      <c r="U54" s="2">
        <f t="shared" si="107"/>
        <v>0</v>
      </c>
      <c r="V54" s="2">
        <f t="shared" si="107"/>
        <v>0</v>
      </c>
      <c r="W54" s="2">
        <f t="shared" si="107"/>
        <v>0</v>
      </c>
      <c r="X54" s="2">
        <f t="shared" si="107"/>
        <v>0</v>
      </c>
      <c r="Y54" s="2">
        <f t="shared" si="107"/>
        <v>0</v>
      </c>
      <c r="Z54" s="2">
        <f t="shared" si="107"/>
        <v>0</v>
      </c>
      <c r="AA54" s="2">
        <f t="shared" si="107"/>
        <v>0</v>
      </c>
      <c r="AB54" s="2">
        <f t="shared" si="107"/>
        <v>0</v>
      </c>
      <c r="AC54" s="2">
        <f t="shared" si="107"/>
        <v>0</v>
      </c>
      <c r="AD54" s="2">
        <f t="shared" si="107"/>
        <v>0</v>
      </c>
      <c r="AE54" s="2">
        <f t="shared" si="107"/>
        <v>0</v>
      </c>
      <c r="AF54" s="2">
        <f t="shared" si="107"/>
        <v>0</v>
      </c>
      <c r="AG54" s="2">
        <f t="shared" si="107"/>
        <v>0</v>
      </c>
      <c r="AH54" s="2">
        <f t="shared" si="107"/>
        <v>0</v>
      </c>
      <c r="AI54" s="2">
        <f t="shared" si="107"/>
        <v>0</v>
      </c>
      <c r="AJ54" s="2">
        <f t="shared" si="107"/>
        <v>0</v>
      </c>
      <c r="AK54" s="2">
        <f t="shared" si="107"/>
        <v>0</v>
      </c>
      <c r="AL54" s="2">
        <f t="shared" si="107"/>
        <v>0</v>
      </c>
      <c r="AM54" s="2">
        <f t="shared" si="107"/>
        <v>0</v>
      </c>
      <c r="AN54" s="2">
        <f t="shared" si="107"/>
        <v>0</v>
      </c>
      <c r="AO54" s="2">
        <f t="shared" si="107"/>
        <v>0</v>
      </c>
      <c r="AP54" s="2">
        <f t="shared" si="107"/>
        <v>0</v>
      </c>
      <c r="AQ54" s="2">
        <f t="shared" si="107"/>
        <v>0</v>
      </c>
      <c r="AR54" s="2">
        <f t="shared" si="107"/>
        <v>0</v>
      </c>
    </row>
    <row r="55" spans="3:44" x14ac:dyDescent="0.15">
      <c r="C55" s="2">
        <f t="shared" ref="C55:AR55" si="108">BowlSplit(C18,$C$41)</f>
        <v>0</v>
      </c>
      <c r="D55" s="2">
        <f t="shared" si="108"/>
        <v>0</v>
      </c>
      <c r="E55" s="2">
        <f t="shared" si="108"/>
        <v>0</v>
      </c>
      <c r="F55" s="2">
        <f t="shared" si="108"/>
        <v>0</v>
      </c>
      <c r="G55" s="2">
        <f t="shared" si="108"/>
        <v>0</v>
      </c>
      <c r="H55" s="2">
        <f t="shared" si="108"/>
        <v>0</v>
      </c>
      <c r="I55" s="2">
        <f t="shared" si="108"/>
        <v>0</v>
      </c>
      <c r="J55" s="2">
        <f t="shared" si="108"/>
        <v>0</v>
      </c>
      <c r="K55" s="2">
        <f t="shared" si="108"/>
        <v>0</v>
      </c>
      <c r="L55" s="2">
        <f t="shared" si="108"/>
        <v>0</v>
      </c>
      <c r="M55" s="2">
        <f t="shared" si="108"/>
        <v>0</v>
      </c>
      <c r="N55" s="2">
        <f t="shared" si="108"/>
        <v>0</v>
      </c>
      <c r="O55" s="2">
        <f t="shared" si="108"/>
        <v>0</v>
      </c>
      <c r="P55" s="2">
        <f t="shared" si="108"/>
        <v>1</v>
      </c>
      <c r="Q55" s="2">
        <f t="shared" si="108"/>
        <v>0</v>
      </c>
      <c r="R55" s="2">
        <f t="shared" si="108"/>
        <v>0</v>
      </c>
      <c r="S55" s="2">
        <f t="shared" si="108"/>
        <v>0</v>
      </c>
      <c r="T55" s="2">
        <f t="shared" si="108"/>
        <v>0</v>
      </c>
      <c r="U55" s="2">
        <f t="shared" si="108"/>
        <v>0</v>
      </c>
      <c r="V55" s="2">
        <f t="shared" si="108"/>
        <v>0</v>
      </c>
      <c r="W55" s="2">
        <f t="shared" si="108"/>
        <v>0</v>
      </c>
      <c r="X55" s="2">
        <f t="shared" si="108"/>
        <v>0</v>
      </c>
      <c r="Y55" s="2">
        <f t="shared" si="108"/>
        <v>0</v>
      </c>
      <c r="Z55" s="2">
        <f t="shared" si="108"/>
        <v>0</v>
      </c>
      <c r="AA55" s="2">
        <f t="shared" si="108"/>
        <v>0</v>
      </c>
      <c r="AB55" s="2">
        <f t="shared" si="108"/>
        <v>0</v>
      </c>
      <c r="AC55" s="2">
        <f t="shared" si="108"/>
        <v>0</v>
      </c>
      <c r="AD55" s="2">
        <f t="shared" si="108"/>
        <v>0</v>
      </c>
      <c r="AE55" s="2">
        <f t="shared" si="108"/>
        <v>0</v>
      </c>
      <c r="AF55" s="2">
        <f t="shared" si="108"/>
        <v>0</v>
      </c>
      <c r="AG55" s="2">
        <f t="shared" si="108"/>
        <v>0</v>
      </c>
      <c r="AH55" s="2">
        <f t="shared" si="108"/>
        <v>0</v>
      </c>
      <c r="AI55" s="2">
        <f t="shared" si="108"/>
        <v>0</v>
      </c>
      <c r="AJ55" s="2">
        <f t="shared" si="108"/>
        <v>0</v>
      </c>
      <c r="AK55" s="2">
        <f t="shared" si="108"/>
        <v>0</v>
      </c>
      <c r="AL55" s="2">
        <f t="shared" si="108"/>
        <v>0</v>
      </c>
      <c r="AM55" s="2">
        <f t="shared" si="108"/>
        <v>0</v>
      </c>
      <c r="AN55" s="2">
        <f t="shared" si="108"/>
        <v>0</v>
      </c>
      <c r="AO55" s="2">
        <f t="shared" si="108"/>
        <v>0</v>
      </c>
      <c r="AP55" s="2">
        <f t="shared" si="108"/>
        <v>0</v>
      </c>
      <c r="AQ55" s="2">
        <f t="shared" si="108"/>
        <v>0</v>
      </c>
      <c r="AR55" s="2">
        <f t="shared" si="108"/>
        <v>0</v>
      </c>
    </row>
    <row r="56" spans="3:44" x14ac:dyDescent="0.15">
      <c r="C56" s="2">
        <f t="shared" ref="C56:AR56" si="109">BowlSplit(C19,$C$41)</f>
        <v>0</v>
      </c>
      <c r="D56" s="2">
        <f t="shared" si="109"/>
        <v>0</v>
      </c>
      <c r="E56" s="2">
        <f t="shared" si="109"/>
        <v>0</v>
      </c>
      <c r="F56" s="2">
        <f t="shared" si="109"/>
        <v>0</v>
      </c>
      <c r="G56" s="2">
        <f t="shared" si="109"/>
        <v>0</v>
      </c>
      <c r="H56" s="2">
        <f t="shared" si="109"/>
        <v>0</v>
      </c>
      <c r="I56" s="2">
        <f t="shared" si="109"/>
        <v>0</v>
      </c>
      <c r="J56" s="2">
        <f t="shared" si="109"/>
        <v>0</v>
      </c>
      <c r="K56" s="2">
        <f t="shared" si="109"/>
        <v>0</v>
      </c>
      <c r="L56" s="2">
        <f t="shared" si="109"/>
        <v>0</v>
      </c>
      <c r="M56" s="2">
        <f t="shared" si="109"/>
        <v>0</v>
      </c>
      <c r="N56" s="2">
        <f t="shared" si="109"/>
        <v>0</v>
      </c>
      <c r="O56" s="2">
        <f t="shared" si="109"/>
        <v>0</v>
      </c>
      <c r="P56" s="2">
        <f t="shared" si="109"/>
        <v>0</v>
      </c>
      <c r="Q56" s="2">
        <f t="shared" si="109"/>
        <v>0</v>
      </c>
      <c r="R56" s="2">
        <f t="shared" si="109"/>
        <v>0</v>
      </c>
      <c r="S56" s="2">
        <f t="shared" si="109"/>
        <v>0</v>
      </c>
      <c r="T56" s="2">
        <f t="shared" si="109"/>
        <v>0</v>
      </c>
      <c r="U56" s="2">
        <f t="shared" si="109"/>
        <v>0</v>
      </c>
      <c r="V56" s="2">
        <f t="shared" si="109"/>
        <v>0</v>
      </c>
      <c r="W56" s="2">
        <f t="shared" si="109"/>
        <v>0</v>
      </c>
      <c r="X56" s="2">
        <f t="shared" si="109"/>
        <v>0</v>
      </c>
      <c r="Y56" s="2">
        <f t="shared" si="109"/>
        <v>0</v>
      </c>
      <c r="Z56" s="2">
        <f t="shared" si="109"/>
        <v>0</v>
      </c>
      <c r="AA56" s="2">
        <f t="shared" si="109"/>
        <v>0</v>
      </c>
      <c r="AB56" s="2">
        <f t="shared" si="109"/>
        <v>0</v>
      </c>
      <c r="AC56" s="2">
        <f t="shared" si="109"/>
        <v>0</v>
      </c>
      <c r="AD56" s="2">
        <f t="shared" si="109"/>
        <v>0</v>
      </c>
      <c r="AE56" s="2">
        <f t="shared" si="109"/>
        <v>0</v>
      </c>
      <c r="AF56" s="2">
        <f t="shared" si="109"/>
        <v>0</v>
      </c>
      <c r="AG56" s="2">
        <f t="shared" si="109"/>
        <v>0</v>
      </c>
      <c r="AH56" s="2">
        <f t="shared" si="109"/>
        <v>0</v>
      </c>
      <c r="AI56" s="2">
        <f t="shared" si="109"/>
        <v>0</v>
      </c>
      <c r="AJ56" s="2">
        <f t="shared" si="109"/>
        <v>0</v>
      </c>
      <c r="AK56" s="2">
        <f t="shared" si="109"/>
        <v>0</v>
      </c>
      <c r="AL56" s="2">
        <f t="shared" si="109"/>
        <v>0</v>
      </c>
      <c r="AM56" s="2">
        <f t="shared" si="109"/>
        <v>0</v>
      </c>
      <c r="AN56" s="2">
        <f t="shared" si="109"/>
        <v>0</v>
      </c>
      <c r="AO56" s="2">
        <f t="shared" si="109"/>
        <v>0</v>
      </c>
      <c r="AP56" s="2">
        <f t="shared" si="109"/>
        <v>0</v>
      </c>
      <c r="AQ56" s="2">
        <f t="shared" si="109"/>
        <v>0</v>
      </c>
      <c r="AR56" s="2">
        <f t="shared" si="109"/>
        <v>0</v>
      </c>
    </row>
    <row r="57" spans="3:44" x14ac:dyDescent="0.15">
      <c r="C57" s="2">
        <f t="shared" ref="C57:AR57" si="110">BowlSplit(C20,$C$41)</f>
        <v>0</v>
      </c>
      <c r="D57" s="2">
        <f t="shared" si="110"/>
        <v>0</v>
      </c>
      <c r="E57" s="2">
        <f t="shared" si="110"/>
        <v>0</v>
      </c>
      <c r="F57" s="2">
        <f t="shared" si="110"/>
        <v>0</v>
      </c>
      <c r="G57" s="2">
        <f t="shared" si="110"/>
        <v>0</v>
      </c>
      <c r="H57" s="2">
        <f t="shared" si="110"/>
        <v>0</v>
      </c>
      <c r="I57" s="2">
        <f t="shared" si="110"/>
        <v>0</v>
      </c>
      <c r="J57" s="2">
        <f t="shared" si="110"/>
        <v>0</v>
      </c>
      <c r="K57" s="2">
        <f t="shared" si="110"/>
        <v>0</v>
      </c>
      <c r="L57" s="2">
        <f t="shared" si="110"/>
        <v>0</v>
      </c>
      <c r="M57" s="2">
        <f t="shared" si="110"/>
        <v>0</v>
      </c>
      <c r="N57" s="2">
        <f t="shared" si="110"/>
        <v>0</v>
      </c>
      <c r="O57" s="2">
        <f t="shared" si="110"/>
        <v>0</v>
      </c>
      <c r="P57" s="2">
        <f t="shared" si="110"/>
        <v>0</v>
      </c>
      <c r="Q57" s="2">
        <f t="shared" si="110"/>
        <v>0</v>
      </c>
      <c r="R57" s="2">
        <f t="shared" si="110"/>
        <v>0</v>
      </c>
      <c r="S57" s="2">
        <f t="shared" si="110"/>
        <v>1</v>
      </c>
      <c r="T57" s="2">
        <f t="shared" si="110"/>
        <v>0</v>
      </c>
      <c r="U57" s="2">
        <f t="shared" si="110"/>
        <v>0</v>
      </c>
      <c r="V57" s="2">
        <f t="shared" si="110"/>
        <v>0</v>
      </c>
      <c r="W57" s="2">
        <f t="shared" si="110"/>
        <v>0</v>
      </c>
      <c r="X57" s="2">
        <f t="shared" si="110"/>
        <v>0</v>
      </c>
      <c r="Y57" s="2">
        <f t="shared" si="110"/>
        <v>0</v>
      </c>
      <c r="Z57" s="2">
        <f t="shared" si="110"/>
        <v>0</v>
      </c>
      <c r="AA57" s="2">
        <f t="shared" si="110"/>
        <v>0</v>
      </c>
      <c r="AB57" s="2">
        <f t="shared" si="110"/>
        <v>0</v>
      </c>
      <c r="AC57" s="2">
        <f t="shared" si="110"/>
        <v>0</v>
      </c>
      <c r="AD57" s="2">
        <f t="shared" si="110"/>
        <v>0</v>
      </c>
      <c r="AE57" s="2">
        <f t="shared" si="110"/>
        <v>0</v>
      </c>
      <c r="AF57" s="2">
        <f t="shared" si="110"/>
        <v>0</v>
      </c>
      <c r="AG57" s="2">
        <f t="shared" si="110"/>
        <v>0</v>
      </c>
      <c r="AH57" s="2">
        <f t="shared" si="110"/>
        <v>0</v>
      </c>
      <c r="AI57" s="2">
        <f t="shared" si="110"/>
        <v>0</v>
      </c>
      <c r="AJ57" s="2">
        <f t="shared" si="110"/>
        <v>0</v>
      </c>
      <c r="AK57" s="2">
        <f t="shared" si="110"/>
        <v>0</v>
      </c>
      <c r="AL57" s="2">
        <f t="shared" si="110"/>
        <v>0</v>
      </c>
      <c r="AM57" s="2">
        <f t="shared" si="110"/>
        <v>0</v>
      </c>
      <c r="AN57" s="2">
        <f t="shared" si="110"/>
        <v>0</v>
      </c>
      <c r="AO57" s="2">
        <f t="shared" si="110"/>
        <v>0</v>
      </c>
      <c r="AP57" s="2">
        <f t="shared" si="110"/>
        <v>0</v>
      </c>
      <c r="AQ57" s="2">
        <f t="shared" si="110"/>
        <v>0</v>
      </c>
      <c r="AR57" s="2">
        <f t="shared" si="110"/>
        <v>0</v>
      </c>
    </row>
    <row r="58" spans="3:44" x14ac:dyDescent="0.15">
      <c r="C58" s="2">
        <f t="shared" ref="C58:AR58" si="111">BowlSplit(C21,$C$41)</f>
        <v>0</v>
      </c>
      <c r="D58" s="2">
        <f t="shared" si="111"/>
        <v>0</v>
      </c>
      <c r="E58" s="2">
        <f t="shared" si="111"/>
        <v>0</v>
      </c>
      <c r="F58" s="2">
        <f t="shared" si="111"/>
        <v>0</v>
      </c>
      <c r="G58" s="2">
        <f t="shared" si="111"/>
        <v>0</v>
      </c>
      <c r="H58" s="2">
        <f t="shared" si="111"/>
        <v>0</v>
      </c>
      <c r="I58" s="2">
        <f t="shared" si="111"/>
        <v>0</v>
      </c>
      <c r="J58" s="2">
        <f t="shared" si="111"/>
        <v>0</v>
      </c>
      <c r="K58" s="2">
        <f t="shared" si="111"/>
        <v>0</v>
      </c>
      <c r="L58" s="2">
        <f t="shared" si="111"/>
        <v>0</v>
      </c>
      <c r="M58" s="2">
        <f t="shared" si="111"/>
        <v>0</v>
      </c>
      <c r="N58" s="2">
        <f t="shared" si="111"/>
        <v>0</v>
      </c>
      <c r="O58" s="2">
        <f t="shared" si="111"/>
        <v>0</v>
      </c>
      <c r="P58" s="2">
        <f t="shared" si="111"/>
        <v>0</v>
      </c>
      <c r="Q58" s="2">
        <f t="shared" si="111"/>
        <v>0</v>
      </c>
      <c r="R58" s="2">
        <f t="shared" si="111"/>
        <v>0</v>
      </c>
      <c r="S58" s="2">
        <f t="shared" si="111"/>
        <v>0</v>
      </c>
      <c r="T58" s="2">
        <f t="shared" si="111"/>
        <v>0</v>
      </c>
      <c r="U58" s="2">
        <f t="shared" si="111"/>
        <v>0</v>
      </c>
      <c r="V58" s="2">
        <f t="shared" si="111"/>
        <v>0</v>
      </c>
      <c r="W58" s="2">
        <f t="shared" si="111"/>
        <v>0</v>
      </c>
      <c r="X58" s="2">
        <f t="shared" si="111"/>
        <v>0</v>
      </c>
      <c r="Y58" s="2">
        <f t="shared" si="111"/>
        <v>0</v>
      </c>
      <c r="Z58" s="2">
        <f t="shared" si="111"/>
        <v>0</v>
      </c>
      <c r="AA58" s="2">
        <f t="shared" si="111"/>
        <v>0</v>
      </c>
      <c r="AB58" s="2">
        <f t="shared" si="111"/>
        <v>0</v>
      </c>
      <c r="AC58" s="2">
        <f t="shared" si="111"/>
        <v>0</v>
      </c>
      <c r="AD58" s="2">
        <f t="shared" si="111"/>
        <v>0</v>
      </c>
      <c r="AE58" s="2">
        <f t="shared" si="111"/>
        <v>0</v>
      </c>
      <c r="AF58" s="2">
        <f t="shared" si="111"/>
        <v>0</v>
      </c>
      <c r="AG58" s="2">
        <f t="shared" si="111"/>
        <v>0</v>
      </c>
      <c r="AH58" s="2">
        <f t="shared" si="111"/>
        <v>0</v>
      </c>
      <c r="AI58" s="2">
        <f t="shared" si="111"/>
        <v>0</v>
      </c>
      <c r="AJ58" s="2">
        <f t="shared" si="111"/>
        <v>0</v>
      </c>
      <c r="AK58" s="2">
        <f t="shared" si="111"/>
        <v>0</v>
      </c>
      <c r="AL58" s="2">
        <f t="shared" si="111"/>
        <v>0</v>
      </c>
      <c r="AM58" s="2">
        <f t="shared" si="111"/>
        <v>0</v>
      </c>
      <c r="AN58" s="2">
        <f t="shared" si="111"/>
        <v>0</v>
      </c>
      <c r="AO58" s="2">
        <f t="shared" si="111"/>
        <v>0</v>
      </c>
      <c r="AP58" s="2">
        <f t="shared" si="111"/>
        <v>0</v>
      </c>
      <c r="AQ58" s="2">
        <f t="shared" si="111"/>
        <v>0</v>
      </c>
      <c r="AR58" s="2">
        <f t="shared" si="111"/>
        <v>0</v>
      </c>
    </row>
    <row r="59" spans="3:44" x14ac:dyDescent="0.15">
      <c r="C59" s="2">
        <f t="shared" ref="C59:AR59" si="112">BowlSplit(C22,$C$41)</f>
        <v>0</v>
      </c>
      <c r="D59" s="2">
        <f t="shared" si="112"/>
        <v>0</v>
      </c>
      <c r="E59" s="2">
        <f t="shared" si="112"/>
        <v>0</v>
      </c>
      <c r="F59" s="2">
        <f t="shared" si="112"/>
        <v>0</v>
      </c>
      <c r="G59" s="2">
        <f t="shared" si="112"/>
        <v>0</v>
      </c>
      <c r="H59" s="2">
        <f t="shared" si="112"/>
        <v>0</v>
      </c>
      <c r="I59" s="2">
        <f t="shared" si="112"/>
        <v>0</v>
      </c>
      <c r="J59" s="2">
        <f t="shared" si="112"/>
        <v>0</v>
      </c>
      <c r="K59" s="2">
        <f t="shared" si="112"/>
        <v>0</v>
      </c>
      <c r="L59" s="2">
        <f t="shared" si="112"/>
        <v>0</v>
      </c>
      <c r="M59" s="2">
        <f t="shared" si="112"/>
        <v>0</v>
      </c>
      <c r="N59" s="2">
        <f t="shared" si="112"/>
        <v>0</v>
      </c>
      <c r="O59" s="2">
        <f t="shared" si="112"/>
        <v>0</v>
      </c>
      <c r="P59" s="2">
        <f t="shared" si="112"/>
        <v>0</v>
      </c>
      <c r="Q59" s="2">
        <f t="shared" si="112"/>
        <v>0</v>
      </c>
      <c r="R59" s="2">
        <f t="shared" si="112"/>
        <v>0</v>
      </c>
      <c r="S59" s="2">
        <f t="shared" si="112"/>
        <v>0</v>
      </c>
      <c r="T59" s="2">
        <f t="shared" si="112"/>
        <v>1</v>
      </c>
      <c r="U59" s="2">
        <f t="shared" si="112"/>
        <v>0</v>
      </c>
      <c r="V59" s="2">
        <f t="shared" si="112"/>
        <v>0</v>
      </c>
      <c r="W59" s="2">
        <f t="shared" si="112"/>
        <v>0</v>
      </c>
      <c r="X59" s="2">
        <f t="shared" si="112"/>
        <v>0</v>
      </c>
      <c r="Y59" s="2">
        <f t="shared" si="112"/>
        <v>0</v>
      </c>
      <c r="Z59" s="2">
        <f t="shared" si="112"/>
        <v>0</v>
      </c>
      <c r="AA59" s="2">
        <f t="shared" si="112"/>
        <v>0</v>
      </c>
      <c r="AB59" s="2">
        <f t="shared" si="112"/>
        <v>0</v>
      </c>
      <c r="AC59" s="2">
        <f t="shared" si="112"/>
        <v>0</v>
      </c>
      <c r="AD59" s="2">
        <f t="shared" si="112"/>
        <v>0</v>
      </c>
      <c r="AE59" s="2">
        <f t="shared" si="112"/>
        <v>0</v>
      </c>
      <c r="AF59" s="2">
        <f t="shared" si="112"/>
        <v>0</v>
      </c>
      <c r="AG59" s="2">
        <f t="shared" si="112"/>
        <v>0</v>
      </c>
      <c r="AH59" s="2">
        <f t="shared" si="112"/>
        <v>0</v>
      </c>
      <c r="AI59" s="2">
        <f t="shared" si="112"/>
        <v>0</v>
      </c>
      <c r="AJ59" s="2">
        <f t="shared" si="112"/>
        <v>0</v>
      </c>
      <c r="AK59" s="2">
        <f t="shared" si="112"/>
        <v>0</v>
      </c>
      <c r="AL59" s="2">
        <f t="shared" si="112"/>
        <v>0</v>
      </c>
      <c r="AM59" s="2">
        <f t="shared" si="112"/>
        <v>0</v>
      </c>
      <c r="AN59" s="2">
        <f t="shared" si="112"/>
        <v>0</v>
      </c>
      <c r="AO59" s="2">
        <f t="shared" si="112"/>
        <v>0</v>
      </c>
      <c r="AP59" s="2">
        <f t="shared" si="112"/>
        <v>0</v>
      </c>
      <c r="AQ59" s="2">
        <f t="shared" si="112"/>
        <v>0</v>
      </c>
      <c r="AR59" s="2">
        <f t="shared" si="112"/>
        <v>0</v>
      </c>
    </row>
    <row r="60" spans="3:44" x14ac:dyDescent="0.15">
      <c r="C60" s="2">
        <f t="shared" ref="C60:AR60" si="113">BowlSplit(C23,$C$41)</f>
        <v>0</v>
      </c>
      <c r="D60" s="2">
        <f t="shared" si="113"/>
        <v>5</v>
      </c>
      <c r="E60" s="2">
        <f t="shared" si="113"/>
        <v>2</v>
      </c>
      <c r="F60" s="2">
        <f t="shared" si="113"/>
        <v>1</v>
      </c>
      <c r="G60" s="2">
        <f t="shared" si="113"/>
        <v>5</v>
      </c>
      <c r="H60" s="2">
        <f t="shared" si="113"/>
        <v>0</v>
      </c>
      <c r="I60" s="2">
        <f t="shared" si="113"/>
        <v>2</v>
      </c>
      <c r="J60" s="2">
        <f t="shared" si="113"/>
        <v>0</v>
      </c>
      <c r="K60" s="2">
        <f t="shared" si="113"/>
        <v>0</v>
      </c>
      <c r="L60" s="2">
        <f t="shared" si="113"/>
        <v>0</v>
      </c>
      <c r="M60" s="2">
        <f t="shared" si="113"/>
        <v>0</v>
      </c>
      <c r="N60" s="2">
        <f t="shared" si="113"/>
        <v>0</v>
      </c>
      <c r="O60" s="2">
        <f t="shared" si="113"/>
        <v>0</v>
      </c>
      <c r="P60" s="2">
        <f t="shared" si="113"/>
        <v>0</v>
      </c>
      <c r="Q60" s="2">
        <f t="shared" si="113"/>
        <v>0</v>
      </c>
      <c r="R60" s="2">
        <f t="shared" si="113"/>
        <v>1</v>
      </c>
      <c r="S60" s="2">
        <f t="shared" si="113"/>
        <v>0</v>
      </c>
      <c r="T60" s="2">
        <f t="shared" si="113"/>
        <v>0</v>
      </c>
      <c r="U60" s="2">
        <f t="shared" si="113"/>
        <v>0</v>
      </c>
      <c r="V60" s="2">
        <f t="shared" si="113"/>
        <v>0</v>
      </c>
      <c r="W60" s="2">
        <f t="shared" si="113"/>
        <v>0</v>
      </c>
      <c r="X60" s="2">
        <f t="shared" si="113"/>
        <v>0</v>
      </c>
      <c r="Y60" s="2">
        <f t="shared" si="113"/>
        <v>0</v>
      </c>
      <c r="Z60" s="2">
        <f t="shared" si="113"/>
        <v>0</v>
      </c>
      <c r="AA60" s="2">
        <f t="shared" si="113"/>
        <v>0</v>
      </c>
      <c r="AB60" s="2">
        <f t="shared" si="113"/>
        <v>0</v>
      </c>
      <c r="AC60" s="2">
        <f t="shared" si="113"/>
        <v>0</v>
      </c>
      <c r="AD60" s="2">
        <f t="shared" si="113"/>
        <v>0</v>
      </c>
      <c r="AE60" s="2">
        <f t="shared" si="113"/>
        <v>0</v>
      </c>
      <c r="AF60" s="2">
        <f t="shared" si="113"/>
        <v>0</v>
      </c>
      <c r="AG60" s="2">
        <f t="shared" si="113"/>
        <v>0</v>
      </c>
      <c r="AH60" s="2">
        <f t="shared" si="113"/>
        <v>0</v>
      </c>
      <c r="AI60" s="2">
        <f t="shared" si="113"/>
        <v>0</v>
      </c>
      <c r="AJ60" s="2">
        <f t="shared" si="113"/>
        <v>0</v>
      </c>
      <c r="AK60" s="2">
        <f t="shared" si="113"/>
        <v>0</v>
      </c>
      <c r="AL60" s="2">
        <f t="shared" si="113"/>
        <v>0</v>
      </c>
      <c r="AM60" s="2">
        <f t="shared" si="113"/>
        <v>0</v>
      </c>
      <c r="AN60" s="2">
        <f t="shared" si="113"/>
        <v>0</v>
      </c>
      <c r="AO60" s="2">
        <f t="shared" si="113"/>
        <v>0</v>
      </c>
      <c r="AP60" s="2">
        <f t="shared" si="113"/>
        <v>0</v>
      </c>
      <c r="AQ60" s="2">
        <f t="shared" si="113"/>
        <v>0</v>
      </c>
      <c r="AR60" s="2">
        <f t="shared" si="113"/>
        <v>0</v>
      </c>
    </row>
    <row r="61" spans="3:44" x14ac:dyDescent="0.15">
      <c r="C61" s="2">
        <f t="shared" ref="C61:AR61" si="114">BowlSplit(C24,$C$41)</f>
        <v>0</v>
      </c>
      <c r="D61" s="2">
        <f t="shared" si="114"/>
        <v>0</v>
      </c>
      <c r="E61" s="2">
        <f t="shared" si="114"/>
        <v>0</v>
      </c>
      <c r="F61" s="2">
        <f t="shared" si="114"/>
        <v>0</v>
      </c>
      <c r="G61" s="2">
        <f t="shared" si="114"/>
        <v>0</v>
      </c>
      <c r="H61" s="2">
        <f t="shared" si="114"/>
        <v>0</v>
      </c>
      <c r="I61" s="2">
        <f t="shared" si="114"/>
        <v>0</v>
      </c>
      <c r="J61" s="2">
        <f t="shared" si="114"/>
        <v>0</v>
      </c>
      <c r="K61" s="2">
        <f t="shared" si="114"/>
        <v>0</v>
      </c>
      <c r="L61" s="2">
        <f t="shared" si="114"/>
        <v>0</v>
      </c>
      <c r="M61" s="2">
        <f t="shared" si="114"/>
        <v>0</v>
      </c>
      <c r="N61" s="2">
        <f t="shared" si="114"/>
        <v>0</v>
      </c>
      <c r="O61" s="2">
        <f t="shared" si="114"/>
        <v>0</v>
      </c>
      <c r="P61" s="2">
        <f t="shared" si="114"/>
        <v>0</v>
      </c>
      <c r="Q61" s="2">
        <f t="shared" si="114"/>
        <v>0</v>
      </c>
      <c r="R61" s="2">
        <f t="shared" si="114"/>
        <v>0</v>
      </c>
      <c r="S61" s="2">
        <f t="shared" si="114"/>
        <v>2</v>
      </c>
      <c r="T61" s="2">
        <f t="shared" si="114"/>
        <v>0</v>
      </c>
      <c r="U61" s="2">
        <f t="shared" si="114"/>
        <v>0</v>
      </c>
      <c r="V61" s="2">
        <f t="shared" si="114"/>
        <v>0</v>
      </c>
      <c r="W61" s="2">
        <f t="shared" si="114"/>
        <v>0</v>
      </c>
      <c r="X61" s="2">
        <f t="shared" si="114"/>
        <v>0</v>
      </c>
      <c r="Y61" s="2">
        <f t="shared" si="114"/>
        <v>0</v>
      </c>
      <c r="Z61" s="2">
        <f t="shared" si="114"/>
        <v>0</v>
      </c>
      <c r="AA61" s="2">
        <f t="shared" si="114"/>
        <v>0</v>
      </c>
      <c r="AB61" s="2">
        <f t="shared" si="114"/>
        <v>0</v>
      </c>
      <c r="AC61" s="2">
        <f t="shared" si="114"/>
        <v>0</v>
      </c>
      <c r="AD61" s="2">
        <f t="shared" si="114"/>
        <v>0</v>
      </c>
      <c r="AE61" s="2">
        <f t="shared" si="114"/>
        <v>0</v>
      </c>
      <c r="AF61" s="2">
        <f t="shared" si="114"/>
        <v>0</v>
      </c>
      <c r="AG61" s="2">
        <f t="shared" si="114"/>
        <v>0</v>
      </c>
      <c r="AH61" s="2">
        <f t="shared" si="114"/>
        <v>0</v>
      </c>
      <c r="AI61" s="2">
        <f t="shared" si="114"/>
        <v>0</v>
      </c>
      <c r="AJ61" s="2">
        <f t="shared" si="114"/>
        <v>0</v>
      </c>
      <c r="AK61" s="2">
        <f t="shared" si="114"/>
        <v>0</v>
      </c>
      <c r="AL61" s="2">
        <f t="shared" si="114"/>
        <v>0</v>
      </c>
      <c r="AM61" s="2">
        <f t="shared" si="114"/>
        <v>0</v>
      </c>
      <c r="AN61" s="2">
        <f t="shared" si="114"/>
        <v>0</v>
      </c>
      <c r="AO61" s="2">
        <f t="shared" si="114"/>
        <v>0</v>
      </c>
      <c r="AP61" s="2">
        <f t="shared" si="114"/>
        <v>0</v>
      </c>
      <c r="AQ61" s="2">
        <f t="shared" si="114"/>
        <v>0</v>
      </c>
      <c r="AR61" s="2">
        <f t="shared" si="114"/>
        <v>0</v>
      </c>
    </row>
    <row r="62" spans="3:44" x14ac:dyDescent="0.15">
      <c r="C62" s="2">
        <f t="shared" ref="C62:AR62" si="115">BowlSplit(C25,$C$41)</f>
        <v>0</v>
      </c>
      <c r="D62" s="2">
        <f t="shared" si="115"/>
        <v>0</v>
      </c>
      <c r="E62" s="2">
        <f t="shared" si="115"/>
        <v>0</v>
      </c>
      <c r="F62" s="2">
        <f t="shared" si="115"/>
        <v>0</v>
      </c>
      <c r="G62" s="2">
        <f t="shared" si="115"/>
        <v>1</v>
      </c>
      <c r="H62" s="2">
        <f t="shared" si="115"/>
        <v>2</v>
      </c>
      <c r="I62" s="2">
        <f t="shared" si="115"/>
        <v>0</v>
      </c>
      <c r="J62" s="2">
        <f t="shared" si="115"/>
        <v>2</v>
      </c>
      <c r="K62" s="2">
        <f t="shared" si="115"/>
        <v>0</v>
      </c>
      <c r="L62" s="2">
        <f t="shared" si="115"/>
        <v>0</v>
      </c>
      <c r="M62" s="2">
        <f t="shared" si="115"/>
        <v>1</v>
      </c>
      <c r="N62" s="2">
        <f t="shared" si="115"/>
        <v>5</v>
      </c>
      <c r="O62" s="2">
        <f t="shared" si="115"/>
        <v>0</v>
      </c>
      <c r="P62" s="2">
        <f t="shared" si="115"/>
        <v>1</v>
      </c>
      <c r="Q62" s="2">
        <f t="shared" si="115"/>
        <v>0</v>
      </c>
      <c r="R62" s="2">
        <f t="shared" si="115"/>
        <v>0</v>
      </c>
      <c r="S62" s="2">
        <f t="shared" si="115"/>
        <v>1</v>
      </c>
      <c r="T62" s="2">
        <f t="shared" si="115"/>
        <v>3</v>
      </c>
      <c r="U62" s="2">
        <f t="shared" si="115"/>
        <v>0</v>
      </c>
      <c r="V62" s="2">
        <f t="shared" si="115"/>
        <v>0</v>
      </c>
      <c r="W62" s="2">
        <f t="shared" si="115"/>
        <v>0</v>
      </c>
      <c r="X62" s="2">
        <f t="shared" si="115"/>
        <v>0</v>
      </c>
      <c r="Y62" s="2">
        <f t="shared" si="115"/>
        <v>0</v>
      </c>
      <c r="Z62" s="2">
        <f t="shared" si="115"/>
        <v>0</v>
      </c>
      <c r="AA62" s="2">
        <f t="shared" si="115"/>
        <v>0</v>
      </c>
      <c r="AB62" s="2">
        <f t="shared" si="115"/>
        <v>0</v>
      </c>
      <c r="AC62" s="2">
        <f t="shared" si="115"/>
        <v>0</v>
      </c>
      <c r="AD62" s="2">
        <f t="shared" si="115"/>
        <v>0</v>
      </c>
      <c r="AE62" s="2">
        <f t="shared" si="115"/>
        <v>0</v>
      </c>
      <c r="AF62" s="2">
        <f t="shared" si="115"/>
        <v>0</v>
      </c>
      <c r="AG62" s="2">
        <f t="shared" si="115"/>
        <v>0</v>
      </c>
      <c r="AH62" s="2">
        <f t="shared" si="115"/>
        <v>0</v>
      </c>
      <c r="AI62" s="2">
        <f t="shared" si="115"/>
        <v>0</v>
      </c>
      <c r="AJ62" s="2">
        <f t="shared" si="115"/>
        <v>0</v>
      </c>
      <c r="AK62" s="2">
        <f t="shared" si="115"/>
        <v>0</v>
      </c>
      <c r="AL62" s="2">
        <f t="shared" si="115"/>
        <v>0</v>
      </c>
      <c r="AM62" s="2">
        <f t="shared" si="115"/>
        <v>0</v>
      </c>
      <c r="AN62" s="2">
        <f t="shared" si="115"/>
        <v>0</v>
      </c>
      <c r="AO62" s="2">
        <f t="shared" si="115"/>
        <v>0</v>
      </c>
      <c r="AP62" s="2">
        <f t="shared" si="115"/>
        <v>0</v>
      </c>
      <c r="AQ62" s="2">
        <f t="shared" si="115"/>
        <v>0</v>
      </c>
      <c r="AR62" s="2">
        <f t="shared" si="115"/>
        <v>0</v>
      </c>
    </row>
    <row r="63" spans="3:44" x14ac:dyDescent="0.15">
      <c r="C63" s="2">
        <f t="shared" ref="C63:AR63" si="116">BowlSplit(C26,$C$41)</f>
        <v>0</v>
      </c>
      <c r="D63" s="2">
        <f t="shared" si="116"/>
        <v>0</v>
      </c>
      <c r="E63" s="2">
        <f t="shared" si="116"/>
        <v>0</v>
      </c>
      <c r="F63" s="2">
        <f t="shared" si="116"/>
        <v>0</v>
      </c>
      <c r="G63" s="2">
        <f t="shared" si="116"/>
        <v>0</v>
      </c>
      <c r="H63" s="2">
        <f t="shared" si="116"/>
        <v>0</v>
      </c>
      <c r="I63" s="2">
        <f t="shared" si="116"/>
        <v>1</v>
      </c>
      <c r="J63" s="2">
        <f t="shared" si="116"/>
        <v>0</v>
      </c>
      <c r="K63" s="2">
        <f t="shared" si="116"/>
        <v>0</v>
      </c>
      <c r="L63" s="2">
        <f t="shared" si="116"/>
        <v>2</v>
      </c>
      <c r="M63" s="2">
        <f t="shared" si="116"/>
        <v>0</v>
      </c>
      <c r="N63" s="2">
        <f t="shared" si="116"/>
        <v>0</v>
      </c>
      <c r="O63" s="2">
        <f t="shared" si="116"/>
        <v>0</v>
      </c>
      <c r="P63" s="2">
        <f t="shared" si="116"/>
        <v>0</v>
      </c>
      <c r="Q63" s="2">
        <f t="shared" si="116"/>
        <v>0</v>
      </c>
      <c r="R63" s="2">
        <f t="shared" si="116"/>
        <v>1</v>
      </c>
      <c r="S63" s="2">
        <f t="shared" si="116"/>
        <v>0</v>
      </c>
      <c r="T63" s="2">
        <f t="shared" si="116"/>
        <v>2</v>
      </c>
      <c r="U63" s="2">
        <f t="shared" si="116"/>
        <v>0</v>
      </c>
      <c r="V63" s="2">
        <f t="shared" si="116"/>
        <v>0</v>
      </c>
      <c r="W63" s="2">
        <f t="shared" si="116"/>
        <v>0</v>
      </c>
      <c r="X63" s="2">
        <f t="shared" si="116"/>
        <v>0</v>
      </c>
      <c r="Y63" s="2">
        <f t="shared" si="116"/>
        <v>0</v>
      </c>
      <c r="Z63" s="2">
        <f t="shared" si="116"/>
        <v>0</v>
      </c>
      <c r="AA63" s="2">
        <f t="shared" si="116"/>
        <v>0</v>
      </c>
      <c r="AB63" s="2">
        <f t="shared" si="116"/>
        <v>0</v>
      </c>
      <c r="AC63" s="2">
        <f t="shared" si="116"/>
        <v>0</v>
      </c>
      <c r="AD63" s="2">
        <f t="shared" si="116"/>
        <v>0</v>
      </c>
      <c r="AE63" s="2">
        <f t="shared" si="116"/>
        <v>0</v>
      </c>
      <c r="AF63" s="2">
        <f t="shared" si="116"/>
        <v>0</v>
      </c>
      <c r="AG63" s="2">
        <f t="shared" si="116"/>
        <v>0</v>
      </c>
      <c r="AH63" s="2">
        <f t="shared" si="116"/>
        <v>0</v>
      </c>
      <c r="AI63" s="2">
        <f t="shared" si="116"/>
        <v>0</v>
      </c>
      <c r="AJ63" s="2">
        <f t="shared" si="116"/>
        <v>0</v>
      </c>
      <c r="AK63" s="2">
        <f t="shared" si="116"/>
        <v>0</v>
      </c>
      <c r="AL63" s="2">
        <f t="shared" si="116"/>
        <v>0</v>
      </c>
      <c r="AM63" s="2">
        <f t="shared" si="116"/>
        <v>0</v>
      </c>
      <c r="AN63" s="2">
        <f t="shared" si="116"/>
        <v>0</v>
      </c>
      <c r="AO63" s="2">
        <f t="shared" si="116"/>
        <v>0</v>
      </c>
      <c r="AP63" s="2">
        <f t="shared" si="116"/>
        <v>0</v>
      </c>
      <c r="AQ63" s="2">
        <f t="shared" si="116"/>
        <v>0</v>
      </c>
      <c r="AR63" s="2">
        <f t="shared" si="116"/>
        <v>0</v>
      </c>
    </row>
    <row r="64" spans="3:44" x14ac:dyDescent="0.15">
      <c r="C64" s="2">
        <f t="shared" ref="C64:AR64" si="117">BowlSplit(C27,$C$41)</f>
        <v>0</v>
      </c>
      <c r="D64" s="2">
        <f t="shared" si="117"/>
        <v>1</v>
      </c>
      <c r="E64" s="2">
        <f t="shared" si="117"/>
        <v>0</v>
      </c>
      <c r="F64" s="2">
        <f t="shared" si="117"/>
        <v>4</v>
      </c>
      <c r="G64" s="2">
        <f t="shared" si="117"/>
        <v>0</v>
      </c>
      <c r="H64" s="2">
        <f t="shared" si="117"/>
        <v>0</v>
      </c>
      <c r="I64" s="2">
        <f t="shared" si="117"/>
        <v>0</v>
      </c>
      <c r="J64" s="2">
        <f t="shared" si="117"/>
        <v>0</v>
      </c>
      <c r="K64" s="2">
        <f t="shared" si="117"/>
        <v>0</v>
      </c>
      <c r="L64" s="2">
        <f t="shared" si="117"/>
        <v>1</v>
      </c>
      <c r="M64" s="2">
        <f t="shared" si="117"/>
        <v>2</v>
      </c>
      <c r="N64" s="2">
        <f t="shared" si="117"/>
        <v>0</v>
      </c>
      <c r="O64" s="2">
        <f t="shared" si="117"/>
        <v>1</v>
      </c>
      <c r="P64" s="2">
        <f t="shared" si="117"/>
        <v>0</v>
      </c>
      <c r="Q64" s="2">
        <f t="shared" si="117"/>
        <v>0</v>
      </c>
      <c r="R64" s="2">
        <f t="shared" si="117"/>
        <v>0</v>
      </c>
      <c r="S64" s="2">
        <f t="shared" si="117"/>
        <v>0</v>
      </c>
      <c r="T64" s="2">
        <f t="shared" si="117"/>
        <v>0</v>
      </c>
      <c r="U64" s="2">
        <f t="shared" si="117"/>
        <v>3</v>
      </c>
      <c r="V64" s="2">
        <f t="shared" si="117"/>
        <v>0</v>
      </c>
      <c r="W64" s="2">
        <f t="shared" si="117"/>
        <v>0</v>
      </c>
      <c r="X64" s="2">
        <f t="shared" si="117"/>
        <v>0</v>
      </c>
      <c r="Y64" s="2">
        <f t="shared" si="117"/>
        <v>0</v>
      </c>
      <c r="Z64" s="2">
        <f t="shared" si="117"/>
        <v>0</v>
      </c>
      <c r="AA64" s="2">
        <f t="shared" si="117"/>
        <v>0</v>
      </c>
      <c r="AB64" s="2">
        <f t="shared" si="117"/>
        <v>0</v>
      </c>
      <c r="AC64" s="2">
        <f t="shared" si="117"/>
        <v>0</v>
      </c>
      <c r="AD64" s="2">
        <f t="shared" si="117"/>
        <v>0</v>
      </c>
      <c r="AE64" s="2">
        <f t="shared" si="117"/>
        <v>0</v>
      </c>
      <c r="AF64" s="2">
        <f t="shared" si="117"/>
        <v>0</v>
      </c>
      <c r="AG64" s="2">
        <f t="shared" si="117"/>
        <v>0</v>
      </c>
      <c r="AH64" s="2">
        <f t="shared" si="117"/>
        <v>0</v>
      </c>
      <c r="AI64" s="2">
        <f t="shared" si="117"/>
        <v>0</v>
      </c>
      <c r="AJ64" s="2">
        <f t="shared" si="117"/>
        <v>0</v>
      </c>
      <c r="AK64" s="2">
        <f t="shared" si="117"/>
        <v>0</v>
      </c>
      <c r="AL64" s="2">
        <f t="shared" si="117"/>
        <v>0</v>
      </c>
      <c r="AM64" s="2">
        <f t="shared" si="117"/>
        <v>0</v>
      </c>
      <c r="AN64" s="2">
        <f t="shared" si="117"/>
        <v>0</v>
      </c>
      <c r="AO64" s="2">
        <f t="shared" si="117"/>
        <v>0</v>
      </c>
      <c r="AP64" s="2">
        <f t="shared" si="117"/>
        <v>0</v>
      </c>
      <c r="AQ64" s="2">
        <f t="shared" si="117"/>
        <v>0</v>
      </c>
      <c r="AR64" s="2">
        <f t="shared" si="117"/>
        <v>0</v>
      </c>
    </row>
    <row r="65" spans="3:44" x14ac:dyDescent="0.15">
      <c r="C65" s="2">
        <f t="shared" ref="C65:AR65" si="118">BowlSplit(C28,$C$41)</f>
        <v>0</v>
      </c>
      <c r="D65" s="2">
        <f t="shared" si="118"/>
        <v>0</v>
      </c>
      <c r="E65" s="2">
        <f t="shared" si="118"/>
        <v>0</v>
      </c>
      <c r="F65" s="2">
        <f t="shared" si="118"/>
        <v>0</v>
      </c>
      <c r="G65" s="2">
        <f t="shared" si="118"/>
        <v>0</v>
      </c>
      <c r="H65" s="2">
        <f t="shared" si="118"/>
        <v>0</v>
      </c>
      <c r="I65" s="2">
        <f t="shared" si="118"/>
        <v>0</v>
      </c>
      <c r="J65" s="2">
        <f t="shared" si="118"/>
        <v>0</v>
      </c>
      <c r="K65" s="2">
        <f t="shared" si="118"/>
        <v>0</v>
      </c>
      <c r="L65" s="2">
        <f t="shared" si="118"/>
        <v>0</v>
      </c>
      <c r="M65" s="2">
        <f t="shared" si="118"/>
        <v>0</v>
      </c>
      <c r="N65" s="2">
        <f t="shared" si="118"/>
        <v>0</v>
      </c>
      <c r="O65" s="2">
        <f t="shared" si="118"/>
        <v>0</v>
      </c>
      <c r="P65" s="2">
        <f t="shared" si="118"/>
        <v>0</v>
      </c>
      <c r="Q65" s="2">
        <f t="shared" si="118"/>
        <v>0</v>
      </c>
      <c r="R65" s="2">
        <f t="shared" si="118"/>
        <v>0</v>
      </c>
      <c r="S65" s="2">
        <f t="shared" si="118"/>
        <v>0</v>
      </c>
      <c r="T65" s="2">
        <f t="shared" si="118"/>
        <v>0</v>
      </c>
      <c r="U65" s="2">
        <f t="shared" si="118"/>
        <v>0</v>
      </c>
      <c r="V65" s="2">
        <f t="shared" si="118"/>
        <v>0</v>
      </c>
      <c r="W65" s="2">
        <f t="shared" si="118"/>
        <v>0</v>
      </c>
      <c r="X65" s="2">
        <f t="shared" si="118"/>
        <v>0</v>
      </c>
      <c r="Y65" s="2">
        <f t="shared" si="118"/>
        <v>0</v>
      </c>
      <c r="Z65" s="2">
        <f t="shared" si="118"/>
        <v>0</v>
      </c>
      <c r="AA65" s="2">
        <f t="shared" si="118"/>
        <v>0</v>
      </c>
      <c r="AB65" s="2">
        <f t="shared" si="118"/>
        <v>0</v>
      </c>
      <c r="AC65" s="2">
        <f t="shared" si="118"/>
        <v>0</v>
      </c>
      <c r="AD65" s="2">
        <f t="shared" si="118"/>
        <v>0</v>
      </c>
      <c r="AE65" s="2">
        <f t="shared" si="118"/>
        <v>0</v>
      </c>
      <c r="AF65" s="2">
        <f t="shared" si="118"/>
        <v>0</v>
      </c>
      <c r="AG65" s="2">
        <f t="shared" si="118"/>
        <v>0</v>
      </c>
      <c r="AH65" s="2">
        <f t="shared" si="118"/>
        <v>0</v>
      </c>
      <c r="AI65" s="2">
        <f t="shared" si="118"/>
        <v>0</v>
      </c>
      <c r="AJ65" s="2">
        <f t="shared" si="118"/>
        <v>0</v>
      </c>
      <c r="AK65" s="2">
        <f t="shared" si="118"/>
        <v>0</v>
      </c>
      <c r="AL65" s="2">
        <f t="shared" si="118"/>
        <v>0</v>
      </c>
      <c r="AM65" s="2">
        <f t="shared" si="118"/>
        <v>0</v>
      </c>
      <c r="AN65" s="2">
        <f t="shared" si="118"/>
        <v>0</v>
      </c>
      <c r="AO65" s="2">
        <f t="shared" si="118"/>
        <v>0</v>
      </c>
      <c r="AP65" s="2">
        <f t="shared" si="118"/>
        <v>0</v>
      </c>
      <c r="AQ65" s="2">
        <f t="shared" si="118"/>
        <v>0</v>
      </c>
      <c r="AR65" s="2">
        <f t="shared" si="118"/>
        <v>0</v>
      </c>
    </row>
    <row r="66" spans="3:44" x14ac:dyDescent="0.15">
      <c r="C66" s="2">
        <f t="shared" ref="C66:AR66" si="119">BowlSplit(C29,$C$41)</f>
        <v>0</v>
      </c>
      <c r="D66" s="2">
        <f t="shared" si="119"/>
        <v>0</v>
      </c>
      <c r="E66" s="2">
        <f t="shared" si="119"/>
        <v>0</v>
      </c>
      <c r="F66" s="2">
        <f t="shared" si="119"/>
        <v>0</v>
      </c>
      <c r="G66" s="2">
        <f t="shared" si="119"/>
        <v>0</v>
      </c>
      <c r="H66" s="2">
        <f t="shared" si="119"/>
        <v>0</v>
      </c>
      <c r="I66" s="2">
        <f t="shared" si="119"/>
        <v>0</v>
      </c>
      <c r="J66" s="2">
        <f t="shared" si="119"/>
        <v>0</v>
      </c>
      <c r="K66" s="2">
        <f t="shared" si="119"/>
        <v>0</v>
      </c>
      <c r="L66" s="2">
        <f t="shared" si="119"/>
        <v>0</v>
      </c>
      <c r="M66" s="2">
        <f t="shared" si="119"/>
        <v>0</v>
      </c>
      <c r="N66" s="2">
        <f t="shared" si="119"/>
        <v>0</v>
      </c>
      <c r="O66" s="2">
        <f t="shared" si="119"/>
        <v>0</v>
      </c>
      <c r="P66" s="2">
        <f t="shared" si="119"/>
        <v>0</v>
      </c>
      <c r="Q66" s="2">
        <f t="shared" si="119"/>
        <v>0</v>
      </c>
      <c r="R66" s="2">
        <f t="shared" si="119"/>
        <v>0</v>
      </c>
      <c r="S66" s="2">
        <f t="shared" si="119"/>
        <v>0</v>
      </c>
      <c r="T66" s="2">
        <f t="shared" si="119"/>
        <v>0</v>
      </c>
      <c r="U66" s="2">
        <f t="shared" si="119"/>
        <v>0</v>
      </c>
      <c r="V66" s="2">
        <f t="shared" si="119"/>
        <v>0</v>
      </c>
      <c r="W66" s="2">
        <f t="shared" si="119"/>
        <v>0</v>
      </c>
      <c r="X66" s="2">
        <f t="shared" si="119"/>
        <v>0</v>
      </c>
      <c r="Y66" s="2">
        <f t="shared" si="119"/>
        <v>0</v>
      </c>
      <c r="Z66" s="2">
        <f t="shared" si="119"/>
        <v>0</v>
      </c>
      <c r="AA66" s="2">
        <f t="shared" si="119"/>
        <v>0</v>
      </c>
      <c r="AB66" s="2">
        <f t="shared" si="119"/>
        <v>0</v>
      </c>
      <c r="AC66" s="2">
        <f t="shared" si="119"/>
        <v>0</v>
      </c>
      <c r="AD66" s="2">
        <f t="shared" si="119"/>
        <v>0</v>
      </c>
      <c r="AE66" s="2">
        <f t="shared" si="119"/>
        <v>0</v>
      </c>
      <c r="AF66" s="2">
        <f t="shared" si="119"/>
        <v>0</v>
      </c>
      <c r="AG66" s="2">
        <f t="shared" si="119"/>
        <v>0</v>
      </c>
      <c r="AH66" s="2">
        <f t="shared" si="119"/>
        <v>0</v>
      </c>
      <c r="AI66" s="2">
        <f t="shared" si="119"/>
        <v>0</v>
      </c>
      <c r="AJ66" s="2">
        <f t="shared" si="119"/>
        <v>0</v>
      </c>
      <c r="AK66" s="2">
        <f t="shared" si="119"/>
        <v>0</v>
      </c>
      <c r="AL66" s="2">
        <f t="shared" si="119"/>
        <v>0</v>
      </c>
      <c r="AM66" s="2">
        <f t="shared" si="119"/>
        <v>0</v>
      </c>
      <c r="AN66" s="2">
        <f t="shared" si="119"/>
        <v>0</v>
      </c>
      <c r="AO66" s="2">
        <f t="shared" si="119"/>
        <v>0</v>
      </c>
      <c r="AP66" s="2">
        <f t="shared" si="119"/>
        <v>0</v>
      </c>
      <c r="AQ66" s="2">
        <f t="shared" si="119"/>
        <v>0</v>
      </c>
      <c r="AR66" s="2">
        <f t="shared" si="119"/>
        <v>0</v>
      </c>
    </row>
    <row r="67" spans="3:44" x14ac:dyDescent="0.15">
      <c r="C67" s="2">
        <f t="shared" ref="C67:AR67" si="120">BowlSplit(C30,$C$41)</f>
        <v>0</v>
      </c>
      <c r="D67" s="2">
        <f t="shared" si="120"/>
        <v>0</v>
      </c>
      <c r="E67" s="2">
        <f t="shared" si="120"/>
        <v>0</v>
      </c>
      <c r="F67" s="2">
        <f t="shared" si="120"/>
        <v>0</v>
      </c>
      <c r="G67" s="2">
        <f t="shared" si="120"/>
        <v>0</v>
      </c>
      <c r="H67" s="2">
        <f t="shared" si="120"/>
        <v>0</v>
      </c>
      <c r="I67" s="2">
        <f t="shared" si="120"/>
        <v>0</v>
      </c>
      <c r="J67" s="2">
        <f t="shared" si="120"/>
        <v>0</v>
      </c>
      <c r="K67" s="2">
        <f t="shared" si="120"/>
        <v>0</v>
      </c>
      <c r="L67" s="2">
        <f t="shared" si="120"/>
        <v>0</v>
      </c>
      <c r="M67" s="2">
        <f t="shared" si="120"/>
        <v>0</v>
      </c>
      <c r="N67" s="2">
        <f t="shared" si="120"/>
        <v>0</v>
      </c>
      <c r="O67" s="2">
        <f t="shared" si="120"/>
        <v>0</v>
      </c>
      <c r="P67" s="2">
        <f t="shared" si="120"/>
        <v>0</v>
      </c>
      <c r="Q67" s="2">
        <f t="shared" si="120"/>
        <v>0</v>
      </c>
      <c r="R67" s="2">
        <f t="shared" si="120"/>
        <v>0</v>
      </c>
      <c r="S67" s="2">
        <f t="shared" si="120"/>
        <v>0</v>
      </c>
      <c r="T67" s="2">
        <f t="shared" si="120"/>
        <v>0</v>
      </c>
      <c r="U67" s="2">
        <f t="shared" si="120"/>
        <v>0</v>
      </c>
      <c r="V67" s="2">
        <f t="shared" si="120"/>
        <v>0</v>
      </c>
      <c r="W67" s="2">
        <f t="shared" si="120"/>
        <v>0</v>
      </c>
      <c r="X67" s="2">
        <f t="shared" si="120"/>
        <v>0</v>
      </c>
      <c r="Y67" s="2">
        <f t="shared" si="120"/>
        <v>0</v>
      </c>
      <c r="Z67" s="2">
        <f t="shared" si="120"/>
        <v>0</v>
      </c>
      <c r="AA67" s="2">
        <f t="shared" si="120"/>
        <v>0</v>
      </c>
      <c r="AB67" s="2">
        <f t="shared" si="120"/>
        <v>0</v>
      </c>
      <c r="AC67" s="2">
        <f t="shared" si="120"/>
        <v>0</v>
      </c>
      <c r="AD67" s="2">
        <f t="shared" si="120"/>
        <v>0</v>
      </c>
      <c r="AE67" s="2">
        <f t="shared" si="120"/>
        <v>0</v>
      </c>
      <c r="AF67" s="2">
        <f t="shared" si="120"/>
        <v>0</v>
      </c>
      <c r="AG67" s="2">
        <f t="shared" si="120"/>
        <v>0</v>
      </c>
      <c r="AH67" s="2">
        <f t="shared" si="120"/>
        <v>0</v>
      </c>
      <c r="AI67" s="2">
        <f t="shared" si="120"/>
        <v>0</v>
      </c>
      <c r="AJ67" s="2">
        <f t="shared" si="120"/>
        <v>0</v>
      </c>
      <c r="AK67" s="2">
        <f t="shared" si="120"/>
        <v>0</v>
      </c>
      <c r="AL67" s="2">
        <f t="shared" si="120"/>
        <v>0</v>
      </c>
      <c r="AM67" s="2">
        <f t="shared" si="120"/>
        <v>0</v>
      </c>
      <c r="AN67" s="2">
        <f t="shared" si="120"/>
        <v>0</v>
      </c>
      <c r="AO67" s="2">
        <f t="shared" si="120"/>
        <v>0</v>
      </c>
      <c r="AP67" s="2">
        <f t="shared" si="120"/>
        <v>0</v>
      </c>
      <c r="AQ67" s="2">
        <f t="shared" si="120"/>
        <v>0</v>
      </c>
      <c r="AR67" s="2">
        <f t="shared" si="120"/>
        <v>0</v>
      </c>
    </row>
    <row r="68" spans="3:44" x14ac:dyDescent="0.15">
      <c r="C68" s="2">
        <f t="shared" ref="C68:AR68" si="121">BowlSplit(C31,$C$41)</f>
        <v>0</v>
      </c>
      <c r="D68" s="2">
        <f t="shared" si="121"/>
        <v>0</v>
      </c>
      <c r="E68" s="2">
        <f t="shared" si="121"/>
        <v>0</v>
      </c>
      <c r="F68" s="2">
        <f t="shared" si="121"/>
        <v>0</v>
      </c>
      <c r="G68" s="2">
        <f t="shared" si="121"/>
        <v>0</v>
      </c>
      <c r="H68" s="2">
        <f t="shared" si="121"/>
        <v>0</v>
      </c>
      <c r="I68" s="2">
        <f t="shared" si="121"/>
        <v>0</v>
      </c>
      <c r="J68" s="2">
        <f t="shared" si="121"/>
        <v>0</v>
      </c>
      <c r="K68" s="2">
        <f t="shared" si="121"/>
        <v>0</v>
      </c>
      <c r="L68" s="2">
        <f t="shared" si="121"/>
        <v>0</v>
      </c>
      <c r="M68" s="2">
        <f t="shared" si="121"/>
        <v>0</v>
      </c>
      <c r="N68" s="2">
        <f t="shared" si="121"/>
        <v>0</v>
      </c>
      <c r="O68" s="2">
        <f t="shared" si="121"/>
        <v>0</v>
      </c>
      <c r="P68" s="2">
        <f t="shared" si="121"/>
        <v>0</v>
      </c>
      <c r="Q68" s="2">
        <f t="shared" si="121"/>
        <v>0</v>
      </c>
      <c r="R68" s="2">
        <f t="shared" si="121"/>
        <v>0</v>
      </c>
      <c r="S68" s="2">
        <f t="shared" si="121"/>
        <v>0</v>
      </c>
      <c r="T68" s="2">
        <f t="shared" si="121"/>
        <v>0</v>
      </c>
      <c r="U68" s="2">
        <f t="shared" si="121"/>
        <v>0</v>
      </c>
      <c r="V68" s="2">
        <f t="shared" si="121"/>
        <v>0</v>
      </c>
      <c r="W68" s="2">
        <f t="shared" si="121"/>
        <v>0</v>
      </c>
      <c r="X68" s="2">
        <f t="shared" si="121"/>
        <v>0</v>
      </c>
      <c r="Y68" s="2">
        <f t="shared" si="121"/>
        <v>0</v>
      </c>
      <c r="Z68" s="2">
        <f t="shared" si="121"/>
        <v>0</v>
      </c>
      <c r="AA68" s="2">
        <f t="shared" si="121"/>
        <v>0</v>
      </c>
      <c r="AB68" s="2">
        <f t="shared" si="121"/>
        <v>0</v>
      </c>
      <c r="AC68" s="2">
        <f t="shared" si="121"/>
        <v>0</v>
      </c>
      <c r="AD68" s="2">
        <f t="shared" si="121"/>
        <v>0</v>
      </c>
      <c r="AE68" s="2">
        <f t="shared" si="121"/>
        <v>0</v>
      </c>
      <c r="AF68" s="2">
        <f t="shared" si="121"/>
        <v>0</v>
      </c>
      <c r="AG68" s="2">
        <f t="shared" si="121"/>
        <v>0</v>
      </c>
      <c r="AH68" s="2">
        <f t="shared" si="121"/>
        <v>0</v>
      </c>
      <c r="AI68" s="2">
        <f t="shared" si="121"/>
        <v>0</v>
      </c>
      <c r="AJ68" s="2">
        <f t="shared" si="121"/>
        <v>0</v>
      </c>
      <c r="AK68" s="2">
        <f t="shared" si="121"/>
        <v>0</v>
      </c>
      <c r="AL68" s="2">
        <f t="shared" si="121"/>
        <v>0</v>
      </c>
      <c r="AM68" s="2">
        <f t="shared" si="121"/>
        <v>0</v>
      </c>
      <c r="AN68" s="2">
        <f t="shared" si="121"/>
        <v>0</v>
      </c>
      <c r="AO68" s="2">
        <f t="shared" si="121"/>
        <v>0</v>
      </c>
      <c r="AP68" s="2">
        <f t="shared" si="121"/>
        <v>0</v>
      </c>
      <c r="AQ68" s="2">
        <f t="shared" si="121"/>
        <v>0</v>
      </c>
      <c r="AR68" s="2">
        <f t="shared" si="121"/>
        <v>0</v>
      </c>
    </row>
    <row r="69" spans="3:44" x14ac:dyDescent="0.15">
      <c r="C69" s="2">
        <f t="shared" ref="C69:AR69" si="122">BowlSplit(C32,$C$41)</f>
        <v>0</v>
      </c>
      <c r="D69" s="2">
        <f t="shared" si="122"/>
        <v>0</v>
      </c>
      <c r="E69" s="2">
        <f t="shared" si="122"/>
        <v>0</v>
      </c>
      <c r="F69" s="2">
        <f t="shared" si="122"/>
        <v>0</v>
      </c>
      <c r="G69" s="2">
        <f t="shared" si="122"/>
        <v>0</v>
      </c>
      <c r="H69" s="2">
        <f t="shared" si="122"/>
        <v>0</v>
      </c>
      <c r="I69" s="2">
        <f t="shared" si="122"/>
        <v>0</v>
      </c>
      <c r="J69" s="2">
        <f t="shared" si="122"/>
        <v>0</v>
      </c>
      <c r="K69" s="2">
        <f t="shared" si="122"/>
        <v>0</v>
      </c>
      <c r="L69" s="2">
        <f t="shared" si="122"/>
        <v>0</v>
      </c>
      <c r="M69" s="2">
        <f t="shared" si="122"/>
        <v>1</v>
      </c>
      <c r="N69" s="2">
        <f t="shared" si="122"/>
        <v>0</v>
      </c>
      <c r="O69" s="2">
        <f t="shared" si="122"/>
        <v>0</v>
      </c>
      <c r="P69" s="2">
        <f t="shared" si="122"/>
        <v>1</v>
      </c>
      <c r="Q69" s="2">
        <f t="shared" si="122"/>
        <v>4</v>
      </c>
      <c r="R69" s="2">
        <f t="shared" si="122"/>
        <v>0</v>
      </c>
      <c r="S69" s="2">
        <f t="shared" si="122"/>
        <v>0</v>
      </c>
      <c r="T69" s="2">
        <f t="shared" si="122"/>
        <v>0</v>
      </c>
      <c r="U69" s="2">
        <f t="shared" si="122"/>
        <v>0</v>
      </c>
      <c r="V69" s="2">
        <f t="shared" si="122"/>
        <v>0</v>
      </c>
      <c r="W69" s="2">
        <f t="shared" si="122"/>
        <v>0</v>
      </c>
      <c r="X69" s="2">
        <f t="shared" si="122"/>
        <v>0</v>
      </c>
      <c r="Y69" s="2">
        <f t="shared" si="122"/>
        <v>0</v>
      </c>
      <c r="Z69" s="2">
        <f t="shared" si="122"/>
        <v>0</v>
      </c>
      <c r="AA69" s="2">
        <f t="shared" si="122"/>
        <v>0</v>
      </c>
      <c r="AB69" s="2">
        <f t="shared" si="122"/>
        <v>0</v>
      </c>
      <c r="AC69" s="2">
        <f t="shared" si="122"/>
        <v>0</v>
      </c>
      <c r="AD69" s="2">
        <f t="shared" si="122"/>
        <v>0</v>
      </c>
      <c r="AE69" s="2">
        <f t="shared" si="122"/>
        <v>0</v>
      </c>
      <c r="AF69" s="2">
        <f t="shared" si="122"/>
        <v>0</v>
      </c>
      <c r="AG69" s="2">
        <f t="shared" si="122"/>
        <v>0</v>
      </c>
      <c r="AH69" s="2">
        <f t="shared" si="122"/>
        <v>0</v>
      </c>
      <c r="AI69" s="2">
        <f t="shared" si="122"/>
        <v>0</v>
      </c>
      <c r="AJ69" s="2">
        <f t="shared" si="122"/>
        <v>0</v>
      </c>
      <c r="AK69" s="2">
        <f t="shared" si="122"/>
        <v>0</v>
      </c>
      <c r="AL69" s="2">
        <f t="shared" si="122"/>
        <v>0</v>
      </c>
      <c r="AM69" s="2">
        <f t="shared" si="122"/>
        <v>0</v>
      </c>
      <c r="AN69" s="2">
        <f t="shared" si="122"/>
        <v>0</v>
      </c>
      <c r="AO69" s="2">
        <f t="shared" si="122"/>
        <v>0</v>
      </c>
      <c r="AP69" s="2">
        <f t="shared" si="122"/>
        <v>0</v>
      </c>
      <c r="AQ69" s="2">
        <f t="shared" si="122"/>
        <v>0</v>
      </c>
      <c r="AR69" s="2">
        <f t="shared" si="122"/>
        <v>0</v>
      </c>
    </row>
    <row r="70" spans="3:44" x14ac:dyDescent="0.15">
      <c r="C70" s="2">
        <f t="shared" ref="C70:AR70" si="123">BowlSplit(C33,$C$41)</f>
        <v>0</v>
      </c>
      <c r="D70" s="2">
        <f t="shared" si="123"/>
        <v>0</v>
      </c>
      <c r="E70" s="2">
        <f t="shared" si="123"/>
        <v>0</v>
      </c>
      <c r="F70" s="2">
        <f t="shared" si="123"/>
        <v>0</v>
      </c>
      <c r="G70" s="2">
        <f t="shared" si="123"/>
        <v>0</v>
      </c>
      <c r="H70" s="2">
        <f t="shared" si="123"/>
        <v>0</v>
      </c>
      <c r="I70" s="2">
        <f t="shared" si="123"/>
        <v>0</v>
      </c>
      <c r="J70" s="2">
        <f t="shared" si="123"/>
        <v>0</v>
      </c>
      <c r="K70" s="2">
        <f t="shared" si="123"/>
        <v>0</v>
      </c>
      <c r="L70" s="2">
        <f t="shared" si="123"/>
        <v>0</v>
      </c>
      <c r="M70" s="2">
        <f t="shared" si="123"/>
        <v>0</v>
      </c>
      <c r="N70" s="2">
        <f t="shared" si="123"/>
        <v>0</v>
      </c>
      <c r="O70" s="2">
        <f t="shared" si="123"/>
        <v>0</v>
      </c>
      <c r="P70" s="2">
        <f t="shared" si="123"/>
        <v>0</v>
      </c>
      <c r="Q70" s="2">
        <f t="shared" si="123"/>
        <v>0</v>
      </c>
      <c r="R70" s="2">
        <f t="shared" si="123"/>
        <v>0</v>
      </c>
      <c r="S70" s="2">
        <f t="shared" si="123"/>
        <v>0</v>
      </c>
      <c r="T70" s="2">
        <f t="shared" si="123"/>
        <v>0</v>
      </c>
      <c r="U70" s="2">
        <f t="shared" si="123"/>
        <v>0</v>
      </c>
      <c r="V70" s="2">
        <f t="shared" si="123"/>
        <v>0</v>
      </c>
      <c r="W70" s="2">
        <f t="shared" si="123"/>
        <v>0</v>
      </c>
      <c r="X70" s="2">
        <f t="shared" si="123"/>
        <v>0</v>
      </c>
      <c r="Y70" s="2">
        <f t="shared" si="123"/>
        <v>0</v>
      </c>
      <c r="Z70" s="2">
        <f t="shared" si="123"/>
        <v>0</v>
      </c>
      <c r="AA70" s="2">
        <f t="shared" si="123"/>
        <v>0</v>
      </c>
      <c r="AB70" s="2">
        <f t="shared" si="123"/>
        <v>0</v>
      </c>
      <c r="AC70" s="2">
        <f t="shared" si="123"/>
        <v>0</v>
      </c>
      <c r="AD70" s="2">
        <f t="shared" si="123"/>
        <v>0</v>
      </c>
      <c r="AE70" s="2">
        <f t="shared" si="123"/>
        <v>0</v>
      </c>
      <c r="AF70" s="2">
        <f t="shared" si="123"/>
        <v>0</v>
      </c>
      <c r="AG70" s="2">
        <f t="shared" si="123"/>
        <v>0</v>
      </c>
      <c r="AH70" s="2">
        <f t="shared" si="123"/>
        <v>0</v>
      </c>
      <c r="AI70" s="2">
        <f t="shared" si="123"/>
        <v>0</v>
      </c>
      <c r="AJ70" s="2">
        <f t="shared" si="123"/>
        <v>0</v>
      </c>
      <c r="AK70" s="2">
        <f t="shared" si="123"/>
        <v>0</v>
      </c>
      <c r="AL70" s="2">
        <f t="shared" si="123"/>
        <v>0</v>
      </c>
      <c r="AM70" s="2">
        <f t="shared" si="123"/>
        <v>0</v>
      </c>
      <c r="AN70" s="2">
        <f t="shared" si="123"/>
        <v>0</v>
      </c>
      <c r="AO70" s="2">
        <f t="shared" si="123"/>
        <v>0</v>
      </c>
      <c r="AP70" s="2">
        <f t="shared" si="123"/>
        <v>0</v>
      </c>
      <c r="AQ70" s="2">
        <f t="shared" si="123"/>
        <v>0</v>
      </c>
      <c r="AR70" s="2">
        <f t="shared" si="123"/>
        <v>0</v>
      </c>
    </row>
    <row r="71" spans="3:44" x14ac:dyDescent="0.15">
      <c r="C71" s="2" t="e">
        <f t="shared" ref="C71:AR71" si="124">BowlSplit(C34,$C$41)</f>
        <v>#VALUE!</v>
      </c>
      <c r="D71" s="2" t="e">
        <f t="shared" si="124"/>
        <v>#VALUE!</v>
      </c>
      <c r="E71" s="2" t="e">
        <f t="shared" si="124"/>
        <v>#VALUE!</v>
      </c>
      <c r="F71" s="2" t="e">
        <f t="shared" si="124"/>
        <v>#VALUE!</v>
      </c>
      <c r="G71" s="2" t="e">
        <f t="shared" si="124"/>
        <v>#VALUE!</v>
      </c>
      <c r="H71" s="2" t="e">
        <f t="shared" si="124"/>
        <v>#VALUE!</v>
      </c>
      <c r="I71" s="2" t="e">
        <f t="shared" si="124"/>
        <v>#VALUE!</v>
      </c>
      <c r="J71" s="2" t="e">
        <f t="shared" si="124"/>
        <v>#VALUE!</v>
      </c>
      <c r="K71" s="2" t="e">
        <f t="shared" si="124"/>
        <v>#VALUE!</v>
      </c>
      <c r="L71" s="2" t="e">
        <f t="shared" si="124"/>
        <v>#VALUE!</v>
      </c>
      <c r="M71" s="2" t="e">
        <f t="shared" si="124"/>
        <v>#VALUE!</v>
      </c>
      <c r="N71" s="2" t="e">
        <f t="shared" si="124"/>
        <v>#VALUE!</v>
      </c>
      <c r="O71" s="2" t="e">
        <f t="shared" si="124"/>
        <v>#VALUE!</v>
      </c>
      <c r="P71" s="2" t="e">
        <f t="shared" si="124"/>
        <v>#VALUE!</v>
      </c>
      <c r="Q71" s="2" t="e">
        <f t="shared" si="124"/>
        <v>#VALUE!</v>
      </c>
      <c r="R71" s="2" t="e">
        <f t="shared" si="124"/>
        <v>#VALUE!</v>
      </c>
      <c r="S71" s="2" t="e">
        <f t="shared" si="124"/>
        <v>#VALUE!</v>
      </c>
      <c r="T71" s="2" t="e">
        <f t="shared" si="124"/>
        <v>#VALUE!</v>
      </c>
      <c r="U71" s="2" t="e">
        <f t="shared" si="124"/>
        <v>#VALUE!</v>
      </c>
      <c r="V71" s="2" t="e">
        <f t="shared" si="124"/>
        <v>#VALUE!</v>
      </c>
      <c r="W71" s="2" t="e">
        <f t="shared" si="124"/>
        <v>#VALUE!</v>
      </c>
      <c r="X71" s="2" t="e">
        <f t="shared" si="124"/>
        <v>#VALUE!</v>
      </c>
      <c r="Y71" s="2" t="e">
        <f t="shared" si="124"/>
        <v>#VALUE!</v>
      </c>
      <c r="Z71" s="2" t="e">
        <f t="shared" si="124"/>
        <v>#VALUE!</v>
      </c>
      <c r="AA71" s="2" t="e">
        <f t="shared" si="124"/>
        <v>#VALUE!</v>
      </c>
      <c r="AB71" s="2" t="e">
        <f t="shared" si="124"/>
        <v>#VALUE!</v>
      </c>
      <c r="AC71" s="2" t="e">
        <f t="shared" si="124"/>
        <v>#VALUE!</v>
      </c>
      <c r="AD71" s="2" t="e">
        <f t="shared" si="124"/>
        <v>#VALUE!</v>
      </c>
      <c r="AE71" s="2" t="e">
        <f t="shared" si="124"/>
        <v>#VALUE!</v>
      </c>
      <c r="AF71" s="2" t="e">
        <f t="shared" si="124"/>
        <v>#VALUE!</v>
      </c>
      <c r="AG71" s="2" t="e">
        <f t="shared" si="124"/>
        <v>#VALUE!</v>
      </c>
      <c r="AH71" s="2" t="e">
        <f t="shared" si="124"/>
        <v>#VALUE!</v>
      </c>
      <c r="AI71" s="2" t="e">
        <f t="shared" si="124"/>
        <v>#VALUE!</v>
      </c>
      <c r="AJ71" s="2" t="e">
        <f t="shared" si="124"/>
        <v>#VALUE!</v>
      </c>
      <c r="AK71" s="2" t="e">
        <f t="shared" si="124"/>
        <v>#VALUE!</v>
      </c>
      <c r="AL71" s="2" t="e">
        <f t="shared" si="124"/>
        <v>#VALUE!</v>
      </c>
      <c r="AM71" s="2" t="e">
        <f t="shared" si="124"/>
        <v>#VALUE!</v>
      </c>
      <c r="AN71" s="2" t="e">
        <f t="shared" si="124"/>
        <v>#VALUE!</v>
      </c>
      <c r="AO71" s="2" t="e">
        <f t="shared" si="124"/>
        <v>#VALUE!</v>
      </c>
      <c r="AP71" s="2" t="e">
        <f t="shared" si="124"/>
        <v>#VALUE!</v>
      </c>
      <c r="AQ71" s="2" t="e">
        <f t="shared" si="124"/>
        <v>#VALUE!</v>
      </c>
      <c r="AR71" s="2" t="e">
        <f t="shared" si="124"/>
        <v>#VALUE!</v>
      </c>
    </row>
    <row r="72" spans="3:44" x14ac:dyDescent="0.15">
      <c r="C72" s="2" t="e">
        <f t="shared" ref="C72:AR72" si="125">BowlSplit(C35,$C$41)</f>
        <v>#VALUE!</v>
      </c>
      <c r="D72" s="2" t="e">
        <f t="shared" si="125"/>
        <v>#VALUE!</v>
      </c>
      <c r="E72" s="2" t="e">
        <f t="shared" si="125"/>
        <v>#VALUE!</v>
      </c>
      <c r="F72" s="2" t="e">
        <f t="shared" si="125"/>
        <v>#VALUE!</v>
      </c>
      <c r="G72" s="2" t="e">
        <f t="shared" si="125"/>
        <v>#VALUE!</v>
      </c>
      <c r="H72" s="2" t="e">
        <f t="shared" si="125"/>
        <v>#VALUE!</v>
      </c>
      <c r="I72" s="2" t="e">
        <f t="shared" si="125"/>
        <v>#VALUE!</v>
      </c>
      <c r="J72" s="2" t="e">
        <f t="shared" si="125"/>
        <v>#VALUE!</v>
      </c>
      <c r="K72" s="2" t="e">
        <f t="shared" si="125"/>
        <v>#VALUE!</v>
      </c>
      <c r="L72" s="2" t="e">
        <f t="shared" si="125"/>
        <v>#VALUE!</v>
      </c>
      <c r="M72" s="2" t="e">
        <f t="shared" si="125"/>
        <v>#VALUE!</v>
      </c>
      <c r="N72" s="2" t="e">
        <f t="shared" si="125"/>
        <v>#VALUE!</v>
      </c>
      <c r="O72" s="2" t="e">
        <f t="shared" si="125"/>
        <v>#VALUE!</v>
      </c>
      <c r="P72" s="2" t="e">
        <f t="shared" si="125"/>
        <v>#VALUE!</v>
      </c>
      <c r="Q72" s="2" t="e">
        <f t="shared" si="125"/>
        <v>#VALUE!</v>
      </c>
      <c r="R72" s="2" t="e">
        <f t="shared" si="125"/>
        <v>#VALUE!</v>
      </c>
      <c r="S72" s="2" t="e">
        <f t="shared" si="125"/>
        <v>#VALUE!</v>
      </c>
      <c r="T72" s="2" t="e">
        <f t="shared" si="125"/>
        <v>#VALUE!</v>
      </c>
      <c r="U72" s="2" t="e">
        <f t="shared" si="125"/>
        <v>#VALUE!</v>
      </c>
      <c r="V72" s="2" t="e">
        <f t="shared" si="125"/>
        <v>#VALUE!</v>
      </c>
      <c r="W72" s="2" t="e">
        <f t="shared" si="125"/>
        <v>#VALUE!</v>
      </c>
      <c r="X72" s="2" t="e">
        <f t="shared" si="125"/>
        <v>#VALUE!</v>
      </c>
      <c r="Y72" s="2" t="e">
        <f t="shared" si="125"/>
        <v>#VALUE!</v>
      </c>
      <c r="Z72" s="2" t="e">
        <f t="shared" si="125"/>
        <v>#VALUE!</v>
      </c>
      <c r="AA72" s="2" t="e">
        <f t="shared" si="125"/>
        <v>#VALUE!</v>
      </c>
      <c r="AB72" s="2" t="e">
        <f t="shared" si="125"/>
        <v>#VALUE!</v>
      </c>
      <c r="AC72" s="2" t="e">
        <f t="shared" si="125"/>
        <v>#VALUE!</v>
      </c>
      <c r="AD72" s="2" t="e">
        <f t="shared" si="125"/>
        <v>#VALUE!</v>
      </c>
      <c r="AE72" s="2" t="e">
        <f t="shared" si="125"/>
        <v>#VALUE!</v>
      </c>
      <c r="AF72" s="2" t="e">
        <f t="shared" si="125"/>
        <v>#VALUE!</v>
      </c>
      <c r="AG72" s="2" t="e">
        <f t="shared" si="125"/>
        <v>#VALUE!</v>
      </c>
      <c r="AH72" s="2" t="e">
        <f t="shared" si="125"/>
        <v>#VALUE!</v>
      </c>
      <c r="AI72" s="2" t="e">
        <f t="shared" si="125"/>
        <v>#VALUE!</v>
      </c>
      <c r="AJ72" s="2" t="e">
        <f t="shared" si="125"/>
        <v>#VALUE!</v>
      </c>
      <c r="AK72" s="2" t="e">
        <f t="shared" si="125"/>
        <v>#VALUE!</v>
      </c>
      <c r="AL72" s="2" t="e">
        <f t="shared" si="125"/>
        <v>#VALUE!</v>
      </c>
      <c r="AM72" s="2" t="e">
        <f t="shared" si="125"/>
        <v>#VALUE!</v>
      </c>
      <c r="AN72" s="2" t="e">
        <f t="shared" si="125"/>
        <v>#VALUE!</v>
      </c>
      <c r="AO72" s="2" t="e">
        <f t="shared" si="125"/>
        <v>#VALUE!</v>
      </c>
      <c r="AP72" s="2" t="e">
        <f t="shared" si="125"/>
        <v>#VALUE!</v>
      </c>
      <c r="AQ72" s="2" t="e">
        <f t="shared" si="125"/>
        <v>#VALUE!</v>
      </c>
      <c r="AR72" s="2" t="e">
        <f t="shared" si="125"/>
        <v>#VALUE!</v>
      </c>
    </row>
    <row r="73" spans="3:44" x14ac:dyDescent="0.15">
      <c r="C73" s="2" t="e">
        <f t="shared" ref="C73:AR73" si="126">BowlSplit(C36,$C$41)</f>
        <v>#VALUE!</v>
      </c>
      <c r="D73" s="2" t="e">
        <f t="shared" si="126"/>
        <v>#VALUE!</v>
      </c>
      <c r="E73" s="2" t="e">
        <f t="shared" si="126"/>
        <v>#VALUE!</v>
      </c>
      <c r="F73" s="2" t="e">
        <f t="shared" si="126"/>
        <v>#VALUE!</v>
      </c>
      <c r="G73" s="2" t="e">
        <f t="shared" si="126"/>
        <v>#VALUE!</v>
      </c>
      <c r="H73" s="2" t="e">
        <f t="shared" si="126"/>
        <v>#VALUE!</v>
      </c>
      <c r="I73" s="2" t="e">
        <f t="shared" si="126"/>
        <v>#VALUE!</v>
      </c>
      <c r="J73" s="2" t="e">
        <f t="shared" si="126"/>
        <v>#VALUE!</v>
      </c>
      <c r="K73" s="2" t="e">
        <f t="shared" si="126"/>
        <v>#VALUE!</v>
      </c>
      <c r="L73" s="2" t="e">
        <f t="shared" si="126"/>
        <v>#VALUE!</v>
      </c>
      <c r="M73" s="2" t="e">
        <f t="shared" si="126"/>
        <v>#VALUE!</v>
      </c>
      <c r="N73" s="2" t="e">
        <f t="shared" si="126"/>
        <v>#VALUE!</v>
      </c>
      <c r="O73" s="2" t="e">
        <f t="shared" si="126"/>
        <v>#VALUE!</v>
      </c>
      <c r="P73" s="2" t="e">
        <f t="shared" si="126"/>
        <v>#VALUE!</v>
      </c>
      <c r="Q73" s="2" t="e">
        <f t="shared" si="126"/>
        <v>#VALUE!</v>
      </c>
      <c r="R73" s="2" t="e">
        <f t="shared" si="126"/>
        <v>#VALUE!</v>
      </c>
      <c r="S73" s="2" t="e">
        <f t="shared" si="126"/>
        <v>#VALUE!</v>
      </c>
      <c r="T73" s="2" t="e">
        <f t="shared" si="126"/>
        <v>#VALUE!</v>
      </c>
      <c r="U73" s="2" t="e">
        <f t="shared" si="126"/>
        <v>#VALUE!</v>
      </c>
      <c r="V73" s="2" t="e">
        <f t="shared" si="126"/>
        <v>#VALUE!</v>
      </c>
      <c r="W73" s="2" t="e">
        <f t="shared" si="126"/>
        <v>#VALUE!</v>
      </c>
      <c r="X73" s="2" t="e">
        <f t="shared" si="126"/>
        <v>#VALUE!</v>
      </c>
      <c r="Y73" s="2" t="e">
        <f t="shared" si="126"/>
        <v>#VALUE!</v>
      </c>
      <c r="Z73" s="2" t="e">
        <f t="shared" si="126"/>
        <v>#VALUE!</v>
      </c>
      <c r="AA73" s="2" t="e">
        <f t="shared" si="126"/>
        <v>#VALUE!</v>
      </c>
      <c r="AB73" s="2" t="e">
        <f t="shared" si="126"/>
        <v>#VALUE!</v>
      </c>
      <c r="AC73" s="2" t="e">
        <f t="shared" si="126"/>
        <v>#VALUE!</v>
      </c>
      <c r="AD73" s="2" t="e">
        <f t="shared" si="126"/>
        <v>#VALUE!</v>
      </c>
      <c r="AE73" s="2" t="e">
        <f t="shared" si="126"/>
        <v>#VALUE!</v>
      </c>
      <c r="AF73" s="2" t="e">
        <f t="shared" si="126"/>
        <v>#VALUE!</v>
      </c>
      <c r="AG73" s="2" t="e">
        <f t="shared" si="126"/>
        <v>#VALUE!</v>
      </c>
      <c r="AH73" s="2" t="e">
        <f t="shared" si="126"/>
        <v>#VALUE!</v>
      </c>
      <c r="AI73" s="2" t="e">
        <f t="shared" si="126"/>
        <v>#VALUE!</v>
      </c>
      <c r="AJ73" s="2" t="e">
        <f t="shared" si="126"/>
        <v>#VALUE!</v>
      </c>
      <c r="AK73" s="2" t="e">
        <f t="shared" si="126"/>
        <v>#VALUE!</v>
      </c>
      <c r="AL73" s="2" t="e">
        <f t="shared" si="126"/>
        <v>#VALUE!</v>
      </c>
      <c r="AM73" s="2" t="e">
        <f t="shared" si="126"/>
        <v>#VALUE!</v>
      </c>
      <c r="AN73" s="2" t="e">
        <f t="shared" si="126"/>
        <v>#VALUE!</v>
      </c>
      <c r="AO73" s="2" t="e">
        <f t="shared" si="126"/>
        <v>#VALUE!</v>
      </c>
      <c r="AP73" s="2" t="e">
        <f t="shared" si="126"/>
        <v>#VALUE!</v>
      </c>
      <c r="AQ73" s="2" t="e">
        <f t="shared" si="126"/>
        <v>#VALUE!</v>
      </c>
      <c r="AR73" s="2" t="e">
        <f t="shared" si="126"/>
        <v>#VALUE!</v>
      </c>
    </row>
    <row r="74" spans="3:44" x14ac:dyDescent="0.15">
      <c r="C74" s="2" t="e">
        <f t="shared" ref="C74:AR74" si="127">BowlSplit(C37,$C$41)</f>
        <v>#VALUE!</v>
      </c>
      <c r="D74" s="2" t="e">
        <f t="shared" si="127"/>
        <v>#VALUE!</v>
      </c>
      <c r="E74" s="2" t="e">
        <f t="shared" si="127"/>
        <v>#VALUE!</v>
      </c>
      <c r="F74" s="2" t="e">
        <f t="shared" si="127"/>
        <v>#VALUE!</v>
      </c>
      <c r="G74" s="2" t="e">
        <f t="shared" si="127"/>
        <v>#VALUE!</v>
      </c>
      <c r="H74" s="2" t="e">
        <f t="shared" si="127"/>
        <v>#VALUE!</v>
      </c>
      <c r="I74" s="2" t="e">
        <f t="shared" si="127"/>
        <v>#VALUE!</v>
      </c>
      <c r="J74" s="2" t="e">
        <f t="shared" si="127"/>
        <v>#VALUE!</v>
      </c>
      <c r="K74" s="2" t="e">
        <f t="shared" si="127"/>
        <v>#VALUE!</v>
      </c>
      <c r="L74" s="2" t="e">
        <f t="shared" si="127"/>
        <v>#VALUE!</v>
      </c>
      <c r="M74" s="2" t="e">
        <f t="shared" si="127"/>
        <v>#VALUE!</v>
      </c>
      <c r="N74" s="2" t="e">
        <f t="shared" si="127"/>
        <v>#VALUE!</v>
      </c>
      <c r="O74" s="2" t="e">
        <f t="shared" si="127"/>
        <v>#VALUE!</v>
      </c>
      <c r="P74" s="2" t="e">
        <f t="shared" si="127"/>
        <v>#VALUE!</v>
      </c>
      <c r="Q74" s="2" t="e">
        <f t="shared" si="127"/>
        <v>#VALUE!</v>
      </c>
      <c r="R74" s="2" t="e">
        <f t="shared" si="127"/>
        <v>#VALUE!</v>
      </c>
      <c r="S74" s="2" t="e">
        <f t="shared" si="127"/>
        <v>#VALUE!</v>
      </c>
      <c r="T74" s="2" t="e">
        <f t="shared" si="127"/>
        <v>#VALUE!</v>
      </c>
      <c r="U74" s="2" t="e">
        <f t="shared" si="127"/>
        <v>#VALUE!</v>
      </c>
      <c r="V74" s="2" t="e">
        <f t="shared" si="127"/>
        <v>#VALUE!</v>
      </c>
      <c r="W74" s="2" t="e">
        <f t="shared" si="127"/>
        <v>#VALUE!</v>
      </c>
      <c r="X74" s="2" t="e">
        <f t="shared" si="127"/>
        <v>#VALUE!</v>
      </c>
      <c r="Y74" s="2" t="e">
        <f t="shared" si="127"/>
        <v>#VALUE!</v>
      </c>
      <c r="Z74" s="2" t="e">
        <f t="shared" si="127"/>
        <v>#VALUE!</v>
      </c>
      <c r="AA74" s="2" t="e">
        <f t="shared" si="127"/>
        <v>#VALUE!</v>
      </c>
      <c r="AB74" s="2" t="e">
        <f t="shared" si="127"/>
        <v>#VALUE!</v>
      </c>
      <c r="AC74" s="2" t="e">
        <f t="shared" si="127"/>
        <v>#VALUE!</v>
      </c>
      <c r="AD74" s="2" t="e">
        <f t="shared" si="127"/>
        <v>#VALUE!</v>
      </c>
      <c r="AE74" s="2" t="e">
        <f t="shared" si="127"/>
        <v>#VALUE!</v>
      </c>
      <c r="AF74" s="2" t="e">
        <f t="shared" si="127"/>
        <v>#VALUE!</v>
      </c>
      <c r="AG74" s="2" t="e">
        <f t="shared" si="127"/>
        <v>#VALUE!</v>
      </c>
      <c r="AH74" s="2" t="e">
        <f t="shared" si="127"/>
        <v>#VALUE!</v>
      </c>
      <c r="AI74" s="2" t="e">
        <f t="shared" si="127"/>
        <v>#VALUE!</v>
      </c>
      <c r="AJ74" s="2" t="e">
        <f t="shared" si="127"/>
        <v>#VALUE!</v>
      </c>
      <c r="AK74" s="2" t="e">
        <f t="shared" si="127"/>
        <v>#VALUE!</v>
      </c>
      <c r="AL74" s="2" t="e">
        <f t="shared" si="127"/>
        <v>#VALUE!</v>
      </c>
      <c r="AM74" s="2" t="e">
        <f t="shared" si="127"/>
        <v>#VALUE!</v>
      </c>
      <c r="AN74" s="2" t="e">
        <f t="shared" si="127"/>
        <v>#VALUE!</v>
      </c>
      <c r="AO74" s="2" t="e">
        <f t="shared" si="127"/>
        <v>#VALUE!</v>
      </c>
      <c r="AP74" s="2" t="e">
        <f t="shared" si="127"/>
        <v>#VALUE!</v>
      </c>
      <c r="AQ74" s="2" t="e">
        <f t="shared" si="127"/>
        <v>#VALUE!</v>
      </c>
      <c r="AR74" s="2" t="e">
        <f t="shared" si="127"/>
        <v>#VALUE!</v>
      </c>
    </row>
    <row r="75" spans="3:44" x14ac:dyDescent="0.15">
      <c r="C75" s="2" t="e">
        <f t="shared" ref="C75:AR75" si="128">BowlSplit(C38,$C$41)</f>
        <v>#VALUE!</v>
      </c>
      <c r="D75" s="2" t="e">
        <f t="shared" si="128"/>
        <v>#VALUE!</v>
      </c>
      <c r="E75" s="2" t="e">
        <f t="shared" si="128"/>
        <v>#VALUE!</v>
      </c>
      <c r="F75" s="2" t="e">
        <f t="shared" si="128"/>
        <v>#VALUE!</v>
      </c>
      <c r="G75" s="2" t="e">
        <f t="shared" si="128"/>
        <v>#VALUE!</v>
      </c>
      <c r="H75" s="2" t="e">
        <f t="shared" si="128"/>
        <v>#VALUE!</v>
      </c>
      <c r="I75" s="2" t="e">
        <f t="shared" si="128"/>
        <v>#VALUE!</v>
      </c>
      <c r="J75" s="2" t="e">
        <f t="shared" si="128"/>
        <v>#VALUE!</v>
      </c>
      <c r="K75" s="2" t="e">
        <f t="shared" si="128"/>
        <v>#VALUE!</v>
      </c>
      <c r="L75" s="2" t="e">
        <f t="shared" si="128"/>
        <v>#VALUE!</v>
      </c>
      <c r="M75" s="2" t="e">
        <f t="shared" si="128"/>
        <v>#VALUE!</v>
      </c>
      <c r="N75" s="2" t="e">
        <f t="shared" si="128"/>
        <v>#VALUE!</v>
      </c>
      <c r="O75" s="2" t="e">
        <f t="shared" si="128"/>
        <v>#VALUE!</v>
      </c>
      <c r="P75" s="2" t="e">
        <f t="shared" si="128"/>
        <v>#VALUE!</v>
      </c>
      <c r="Q75" s="2" t="e">
        <f t="shared" si="128"/>
        <v>#VALUE!</v>
      </c>
      <c r="R75" s="2" t="e">
        <f t="shared" si="128"/>
        <v>#VALUE!</v>
      </c>
      <c r="S75" s="2" t="e">
        <f t="shared" si="128"/>
        <v>#VALUE!</v>
      </c>
      <c r="T75" s="2" t="e">
        <f t="shared" si="128"/>
        <v>#VALUE!</v>
      </c>
      <c r="U75" s="2" t="e">
        <f t="shared" si="128"/>
        <v>#VALUE!</v>
      </c>
      <c r="V75" s="2" t="e">
        <f t="shared" si="128"/>
        <v>#VALUE!</v>
      </c>
      <c r="W75" s="2" t="e">
        <f t="shared" si="128"/>
        <v>#VALUE!</v>
      </c>
      <c r="X75" s="2" t="e">
        <f t="shared" si="128"/>
        <v>#VALUE!</v>
      </c>
      <c r="Y75" s="2" t="e">
        <f t="shared" si="128"/>
        <v>#VALUE!</v>
      </c>
      <c r="Z75" s="2" t="e">
        <f t="shared" si="128"/>
        <v>#VALUE!</v>
      </c>
      <c r="AA75" s="2" t="e">
        <f t="shared" si="128"/>
        <v>#VALUE!</v>
      </c>
      <c r="AB75" s="2" t="e">
        <f t="shared" si="128"/>
        <v>#VALUE!</v>
      </c>
      <c r="AC75" s="2" t="e">
        <f t="shared" si="128"/>
        <v>#VALUE!</v>
      </c>
      <c r="AD75" s="2" t="e">
        <f t="shared" si="128"/>
        <v>#VALUE!</v>
      </c>
      <c r="AE75" s="2" t="e">
        <f t="shared" si="128"/>
        <v>#VALUE!</v>
      </c>
      <c r="AF75" s="2" t="e">
        <f t="shared" si="128"/>
        <v>#VALUE!</v>
      </c>
      <c r="AG75" s="2" t="e">
        <f t="shared" si="128"/>
        <v>#VALUE!</v>
      </c>
      <c r="AH75" s="2" t="e">
        <f t="shared" si="128"/>
        <v>#VALUE!</v>
      </c>
      <c r="AI75" s="2" t="e">
        <f t="shared" si="128"/>
        <v>#VALUE!</v>
      </c>
      <c r="AJ75" s="2" t="e">
        <f t="shared" si="128"/>
        <v>#VALUE!</v>
      </c>
      <c r="AK75" s="2" t="e">
        <f t="shared" si="128"/>
        <v>#VALUE!</v>
      </c>
      <c r="AL75" s="2" t="e">
        <f t="shared" si="128"/>
        <v>#VALUE!</v>
      </c>
      <c r="AM75" s="2" t="e">
        <f t="shared" si="128"/>
        <v>#VALUE!</v>
      </c>
      <c r="AN75" s="2" t="e">
        <f t="shared" si="128"/>
        <v>#VALUE!</v>
      </c>
      <c r="AO75" s="2" t="e">
        <f t="shared" si="128"/>
        <v>#VALUE!</v>
      </c>
      <c r="AP75" s="2" t="e">
        <f t="shared" si="128"/>
        <v>#VALUE!</v>
      </c>
      <c r="AQ75" s="2" t="e">
        <f t="shared" si="128"/>
        <v>#VALUE!</v>
      </c>
      <c r="AR75" s="2" t="e">
        <f t="shared" si="128"/>
        <v>#VALUE!</v>
      </c>
    </row>
    <row r="76" spans="3:44" x14ac:dyDescent="0.15">
      <c r="C76" s="2" t="e">
        <f t="shared" ref="C76:AR76" si="129">BowlSplit(C39,$C$41)</f>
        <v>#VALUE!</v>
      </c>
      <c r="D76" s="2" t="e">
        <f t="shared" si="129"/>
        <v>#VALUE!</v>
      </c>
      <c r="E76" s="2" t="e">
        <f t="shared" si="129"/>
        <v>#VALUE!</v>
      </c>
      <c r="F76" s="2" t="e">
        <f t="shared" si="129"/>
        <v>#VALUE!</v>
      </c>
      <c r="G76" s="2" t="e">
        <f t="shared" si="129"/>
        <v>#VALUE!</v>
      </c>
      <c r="H76" s="2" t="e">
        <f t="shared" si="129"/>
        <v>#VALUE!</v>
      </c>
      <c r="I76" s="2" t="e">
        <f t="shared" si="129"/>
        <v>#VALUE!</v>
      </c>
      <c r="J76" s="2" t="e">
        <f t="shared" si="129"/>
        <v>#VALUE!</v>
      </c>
      <c r="K76" s="2" t="e">
        <f t="shared" si="129"/>
        <v>#VALUE!</v>
      </c>
      <c r="L76" s="2" t="e">
        <f t="shared" si="129"/>
        <v>#VALUE!</v>
      </c>
      <c r="M76" s="2" t="e">
        <f t="shared" si="129"/>
        <v>#VALUE!</v>
      </c>
      <c r="N76" s="2" t="e">
        <f t="shared" si="129"/>
        <v>#VALUE!</v>
      </c>
      <c r="O76" s="2" t="e">
        <f t="shared" si="129"/>
        <v>#VALUE!</v>
      </c>
      <c r="P76" s="2" t="e">
        <f t="shared" si="129"/>
        <v>#VALUE!</v>
      </c>
      <c r="Q76" s="2" t="e">
        <f t="shared" si="129"/>
        <v>#VALUE!</v>
      </c>
      <c r="R76" s="2" t="e">
        <f t="shared" si="129"/>
        <v>#VALUE!</v>
      </c>
      <c r="S76" s="2" t="e">
        <f t="shared" si="129"/>
        <v>#VALUE!</v>
      </c>
      <c r="T76" s="2" t="e">
        <f t="shared" si="129"/>
        <v>#VALUE!</v>
      </c>
      <c r="U76" s="2" t="e">
        <f t="shared" si="129"/>
        <v>#VALUE!</v>
      </c>
      <c r="V76" s="2" t="e">
        <f t="shared" si="129"/>
        <v>#VALUE!</v>
      </c>
      <c r="W76" s="2" t="e">
        <f t="shared" si="129"/>
        <v>#VALUE!</v>
      </c>
      <c r="X76" s="2" t="e">
        <f t="shared" si="129"/>
        <v>#VALUE!</v>
      </c>
      <c r="Y76" s="2" t="e">
        <f t="shared" si="129"/>
        <v>#VALUE!</v>
      </c>
      <c r="Z76" s="2" t="e">
        <f t="shared" si="129"/>
        <v>#VALUE!</v>
      </c>
      <c r="AA76" s="2" t="e">
        <f t="shared" si="129"/>
        <v>#VALUE!</v>
      </c>
      <c r="AB76" s="2" t="e">
        <f t="shared" si="129"/>
        <v>#VALUE!</v>
      </c>
      <c r="AC76" s="2" t="e">
        <f t="shared" si="129"/>
        <v>#VALUE!</v>
      </c>
      <c r="AD76" s="2" t="e">
        <f t="shared" si="129"/>
        <v>#VALUE!</v>
      </c>
      <c r="AE76" s="2" t="e">
        <f t="shared" si="129"/>
        <v>#VALUE!</v>
      </c>
      <c r="AF76" s="2" t="e">
        <f t="shared" si="129"/>
        <v>#VALUE!</v>
      </c>
      <c r="AG76" s="2" t="e">
        <f t="shared" si="129"/>
        <v>#VALUE!</v>
      </c>
      <c r="AH76" s="2" t="e">
        <f t="shared" si="129"/>
        <v>#VALUE!</v>
      </c>
      <c r="AI76" s="2" t="e">
        <f t="shared" si="129"/>
        <v>#VALUE!</v>
      </c>
      <c r="AJ76" s="2" t="e">
        <f t="shared" si="129"/>
        <v>#VALUE!</v>
      </c>
      <c r="AK76" s="2" t="e">
        <f t="shared" si="129"/>
        <v>#VALUE!</v>
      </c>
      <c r="AL76" s="2" t="e">
        <f t="shared" si="129"/>
        <v>#VALUE!</v>
      </c>
      <c r="AM76" s="2" t="e">
        <f t="shared" si="129"/>
        <v>#VALUE!</v>
      </c>
      <c r="AN76" s="2" t="e">
        <f t="shared" si="129"/>
        <v>#VALUE!</v>
      </c>
      <c r="AO76" s="2" t="e">
        <f t="shared" si="129"/>
        <v>#VALUE!</v>
      </c>
      <c r="AP76" s="2" t="e">
        <f t="shared" si="129"/>
        <v>#VALUE!</v>
      </c>
      <c r="AQ76" s="2" t="e">
        <f t="shared" si="129"/>
        <v>#VALUE!</v>
      </c>
      <c r="AR76" s="2" t="e">
        <f t="shared" si="129"/>
        <v>#VALUE!</v>
      </c>
    </row>
    <row r="77" spans="3:44" x14ac:dyDescent="0.15">
      <c r="C77" s="2" t="e">
        <f t="shared" ref="C77:AR77" si="130">BowlSplit(C40,$C$41)</f>
        <v>#VALUE!</v>
      </c>
      <c r="D77" s="2" t="e">
        <f t="shared" si="130"/>
        <v>#VALUE!</v>
      </c>
      <c r="E77" s="2" t="e">
        <f t="shared" si="130"/>
        <v>#VALUE!</v>
      </c>
      <c r="F77" s="2" t="e">
        <f t="shared" si="130"/>
        <v>#VALUE!</v>
      </c>
      <c r="G77" s="2" t="e">
        <f t="shared" si="130"/>
        <v>#VALUE!</v>
      </c>
      <c r="H77" s="2" t="e">
        <f t="shared" si="130"/>
        <v>#VALUE!</v>
      </c>
      <c r="I77" s="2" t="e">
        <f t="shared" si="130"/>
        <v>#VALUE!</v>
      </c>
      <c r="J77" s="2" t="e">
        <f t="shared" si="130"/>
        <v>#VALUE!</v>
      </c>
      <c r="K77" s="2" t="e">
        <f t="shared" si="130"/>
        <v>#VALUE!</v>
      </c>
      <c r="L77" s="2" t="e">
        <f t="shared" si="130"/>
        <v>#VALUE!</v>
      </c>
      <c r="M77" s="2" t="e">
        <f t="shared" si="130"/>
        <v>#VALUE!</v>
      </c>
      <c r="N77" s="2" t="e">
        <f t="shared" si="130"/>
        <v>#VALUE!</v>
      </c>
      <c r="O77" s="2" t="e">
        <f t="shared" si="130"/>
        <v>#VALUE!</v>
      </c>
      <c r="P77" s="2" t="e">
        <f t="shared" si="130"/>
        <v>#VALUE!</v>
      </c>
      <c r="Q77" s="2" t="e">
        <f t="shared" si="130"/>
        <v>#VALUE!</v>
      </c>
      <c r="R77" s="2" t="e">
        <f t="shared" si="130"/>
        <v>#VALUE!</v>
      </c>
      <c r="S77" s="2" t="e">
        <f t="shared" si="130"/>
        <v>#VALUE!</v>
      </c>
      <c r="T77" s="2" t="e">
        <f t="shared" si="130"/>
        <v>#VALUE!</v>
      </c>
      <c r="U77" s="2" t="e">
        <f t="shared" si="130"/>
        <v>#VALUE!</v>
      </c>
      <c r="V77" s="2" t="e">
        <f t="shared" si="130"/>
        <v>#VALUE!</v>
      </c>
      <c r="W77" s="2" t="e">
        <f t="shared" si="130"/>
        <v>#VALUE!</v>
      </c>
      <c r="X77" s="2" t="e">
        <f t="shared" si="130"/>
        <v>#VALUE!</v>
      </c>
      <c r="Y77" s="2" t="e">
        <f t="shared" si="130"/>
        <v>#VALUE!</v>
      </c>
      <c r="Z77" s="2" t="e">
        <f t="shared" si="130"/>
        <v>#VALUE!</v>
      </c>
      <c r="AA77" s="2" t="e">
        <f t="shared" si="130"/>
        <v>#VALUE!</v>
      </c>
      <c r="AB77" s="2" t="e">
        <f t="shared" si="130"/>
        <v>#VALUE!</v>
      </c>
      <c r="AC77" s="2" t="e">
        <f t="shared" si="130"/>
        <v>#VALUE!</v>
      </c>
      <c r="AD77" s="2" t="e">
        <f t="shared" si="130"/>
        <v>#VALUE!</v>
      </c>
      <c r="AE77" s="2" t="e">
        <f t="shared" si="130"/>
        <v>#VALUE!</v>
      </c>
      <c r="AF77" s="2" t="e">
        <f t="shared" si="130"/>
        <v>#VALUE!</v>
      </c>
      <c r="AG77" s="2" t="e">
        <f t="shared" si="130"/>
        <v>#VALUE!</v>
      </c>
      <c r="AH77" s="2" t="e">
        <f t="shared" si="130"/>
        <v>#VALUE!</v>
      </c>
      <c r="AI77" s="2" t="e">
        <f t="shared" si="130"/>
        <v>#VALUE!</v>
      </c>
      <c r="AJ77" s="2" t="e">
        <f t="shared" si="130"/>
        <v>#VALUE!</v>
      </c>
      <c r="AK77" s="2" t="e">
        <f t="shared" si="130"/>
        <v>#VALUE!</v>
      </c>
      <c r="AL77" s="2" t="e">
        <f t="shared" si="130"/>
        <v>#VALUE!</v>
      </c>
      <c r="AM77" s="2" t="e">
        <f t="shared" si="130"/>
        <v>#VALUE!</v>
      </c>
      <c r="AN77" s="2" t="e">
        <f t="shared" si="130"/>
        <v>#VALUE!</v>
      </c>
      <c r="AO77" s="2" t="e">
        <f t="shared" si="130"/>
        <v>#VALUE!</v>
      </c>
      <c r="AP77" s="2" t="e">
        <f t="shared" si="130"/>
        <v>#VALUE!</v>
      </c>
      <c r="AQ77" s="2" t="e">
        <f t="shared" si="130"/>
        <v>#VALUE!</v>
      </c>
      <c r="AR77" s="2" t="e">
        <f t="shared" si="130"/>
        <v>#VALUE!</v>
      </c>
    </row>
    <row r="78" spans="3:44" x14ac:dyDescent="0.15">
      <c r="C78" s="2" t="e">
        <f t="shared" ref="C78:AR78" si="131">BowlSplit(C41,$C$41)</f>
        <v>#VALUE!</v>
      </c>
      <c r="D78" s="2">
        <f t="shared" si="131"/>
        <v>0</v>
      </c>
      <c r="E78" s="2">
        <f t="shared" si="131"/>
        <v>0</v>
      </c>
      <c r="F78" s="2">
        <f t="shared" si="131"/>
        <v>0</v>
      </c>
      <c r="G78" s="2">
        <f t="shared" si="131"/>
        <v>0</v>
      </c>
      <c r="H78" s="2">
        <f t="shared" si="131"/>
        <v>0</v>
      </c>
      <c r="I78" s="2">
        <f t="shared" si="131"/>
        <v>0</v>
      </c>
      <c r="J78" s="2">
        <f t="shared" si="131"/>
        <v>0</v>
      </c>
      <c r="K78" s="2">
        <f t="shared" si="131"/>
        <v>0</v>
      </c>
      <c r="L78" s="2">
        <f t="shared" si="131"/>
        <v>0</v>
      </c>
      <c r="M78" s="2">
        <f t="shared" si="131"/>
        <v>0</v>
      </c>
      <c r="N78" s="2">
        <f t="shared" si="131"/>
        <v>0</v>
      </c>
      <c r="O78" s="2">
        <f t="shared" si="131"/>
        <v>0</v>
      </c>
      <c r="P78" s="2">
        <f t="shared" si="131"/>
        <v>0</v>
      </c>
      <c r="Q78" s="2">
        <f t="shared" si="131"/>
        <v>0</v>
      </c>
      <c r="R78" s="2">
        <f t="shared" si="131"/>
        <v>0</v>
      </c>
      <c r="S78" s="2">
        <f t="shared" si="131"/>
        <v>0</v>
      </c>
      <c r="T78" s="2">
        <f t="shared" si="131"/>
        <v>0</v>
      </c>
      <c r="U78" s="2">
        <f t="shared" si="131"/>
        <v>0</v>
      </c>
      <c r="V78" s="2">
        <f t="shared" si="131"/>
        <v>0</v>
      </c>
      <c r="W78" s="2">
        <f t="shared" si="131"/>
        <v>0</v>
      </c>
      <c r="X78" s="2">
        <f t="shared" si="131"/>
        <v>0</v>
      </c>
      <c r="Y78" s="2">
        <f t="shared" si="131"/>
        <v>0</v>
      </c>
      <c r="Z78" s="2">
        <f t="shared" si="131"/>
        <v>0</v>
      </c>
      <c r="AA78" s="2">
        <f t="shared" si="131"/>
        <v>0</v>
      </c>
      <c r="AB78" s="2">
        <f t="shared" si="131"/>
        <v>0</v>
      </c>
      <c r="AC78" s="2">
        <f t="shared" si="131"/>
        <v>0</v>
      </c>
      <c r="AD78" s="2">
        <f t="shared" si="131"/>
        <v>0</v>
      </c>
      <c r="AE78" s="2">
        <f t="shared" si="131"/>
        <v>0</v>
      </c>
      <c r="AF78" s="2">
        <f t="shared" si="131"/>
        <v>0</v>
      </c>
      <c r="AG78" s="2">
        <f t="shared" si="131"/>
        <v>0</v>
      </c>
      <c r="AH78" s="2">
        <f t="shared" si="131"/>
        <v>0</v>
      </c>
      <c r="AI78" s="2">
        <f t="shared" si="131"/>
        <v>0</v>
      </c>
      <c r="AJ78" s="2">
        <f t="shared" si="131"/>
        <v>0</v>
      </c>
      <c r="AK78" s="2">
        <f t="shared" si="131"/>
        <v>0</v>
      </c>
      <c r="AL78" s="2">
        <f t="shared" si="131"/>
        <v>0</v>
      </c>
      <c r="AM78" s="2">
        <f t="shared" si="131"/>
        <v>0</v>
      </c>
      <c r="AN78" s="2">
        <f t="shared" si="131"/>
        <v>0</v>
      </c>
      <c r="AO78" s="2">
        <f t="shared" si="131"/>
        <v>0</v>
      </c>
      <c r="AP78" s="2">
        <f t="shared" si="131"/>
        <v>0</v>
      </c>
      <c r="AQ78" s="2">
        <f t="shared" si="131"/>
        <v>0</v>
      </c>
      <c r="AR78" s="2">
        <f t="shared" si="131"/>
        <v>0</v>
      </c>
    </row>
    <row r="79" spans="3:44" x14ac:dyDescent="0.15">
      <c r="C79" s="2" t="e">
        <f t="shared" ref="C79:AR79" si="132">BowlSplit(C42,$C$41)</f>
        <v>#VALUE!</v>
      </c>
      <c r="D79" s="2" t="e">
        <f t="shared" si="132"/>
        <v>#VALUE!</v>
      </c>
      <c r="E79" s="2" t="e">
        <f t="shared" si="132"/>
        <v>#VALUE!</v>
      </c>
      <c r="F79" s="2" t="e">
        <f t="shared" si="132"/>
        <v>#VALUE!</v>
      </c>
      <c r="G79" s="2" t="e">
        <f t="shared" si="132"/>
        <v>#VALUE!</v>
      </c>
      <c r="H79" s="2" t="e">
        <f t="shared" si="132"/>
        <v>#VALUE!</v>
      </c>
      <c r="I79" s="2" t="e">
        <f t="shared" si="132"/>
        <v>#VALUE!</v>
      </c>
      <c r="J79" s="2" t="e">
        <f t="shared" si="132"/>
        <v>#VALUE!</v>
      </c>
      <c r="K79" s="2" t="e">
        <f t="shared" si="132"/>
        <v>#VALUE!</v>
      </c>
      <c r="L79" s="2" t="e">
        <f t="shared" si="132"/>
        <v>#VALUE!</v>
      </c>
      <c r="M79" s="2" t="e">
        <f t="shared" si="132"/>
        <v>#VALUE!</v>
      </c>
      <c r="N79" s="2" t="e">
        <f t="shared" si="132"/>
        <v>#VALUE!</v>
      </c>
      <c r="O79" s="2" t="e">
        <f t="shared" si="132"/>
        <v>#VALUE!</v>
      </c>
      <c r="P79" s="2" t="e">
        <f t="shared" si="132"/>
        <v>#VALUE!</v>
      </c>
      <c r="Q79" s="2" t="e">
        <f t="shared" si="132"/>
        <v>#VALUE!</v>
      </c>
      <c r="R79" s="2" t="e">
        <f t="shared" si="132"/>
        <v>#VALUE!</v>
      </c>
      <c r="S79" s="2" t="e">
        <f t="shared" si="132"/>
        <v>#VALUE!</v>
      </c>
      <c r="T79" s="2" t="e">
        <f t="shared" si="132"/>
        <v>#VALUE!</v>
      </c>
      <c r="U79" s="2" t="e">
        <f t="shared" si="132"/>
        <v>#VALUE!</v>
      </c>
      <c r="V79" s="2" t="e">
        <f t="shared" si="132"/>
        <v>#VALUE!</v>
      </c>
      <c r="W79" s="2" t="e">
        <f t="shared" si="132"/>
        <v>#VALUE!</v>
      </c>
      <c r="X79" s="2" t="e">
        <f t="shared" si="132"/>
        <v>#VALUE!</v>
      </c>
      <c r="Y79" s="2" t="e">
        <f t="shared" si="132"/>
        <v>#VALUE!</v>
      </c>
      <c r="Z79" s="2" t="e">
        <f t="shared" si="132"/>
        <v>#VALUE!</v>
      </c>
      <c r="AA79" s="2" t="e">
        <f t="shared" si="132"/>
        <v>#VALUE!</v>
      </c>
      <c r="AB79" s="2" t="e">
        <f t="shared" si="132"/>
        <v>#VALUE!</v>
      </c>
      <c r="AC79" s="2" t="e">
        <f t="shared" si="132"/>
        <v>#VALUE!</v>
      </c>
      <c r="AD79" s="2" t="e">
        <f t="shared" si="132"/>
        <v>#VALUE!</v>
      </c>
      <c r="AE79" s="2" t="e">
        <f t="shared" si="132"/>
        <v>#VALUE!</v>
      </c>
      <c r="AF79" s="2" t="e">
        <f t="shared" si="132"/>
        <v>#VALUE!</v>
      </c>
      <c r="AG79" s="2" t="e">
        <f t="shared" si="132"/>
        <v>#VALUE!</v>
      </c>
      <c r="AH79" s="2" t="e">
        <f t="shared" si="132"/>
        <v>#VALUE!</v>
      </c>
      <c r="AI79" s="2" t="e">
        <f t="shared" si="132"/>
        <v>#VALUE!</v>
      </c>
      <c r="AJ79" s="2" t="e">
        <f t="shared" si="132"/>
        <v>#VALUE!</v>
      </c>
      <c r="AK79" s="2" t="e">
        <f t="shared" si="132"/>
        <v>#VALUE!</v>
      </c>
      <c r="AL79" s="2" t="e">
        <f t="shared" si="132"/>
        <v>#VALUE!</v>
      </c>
      <c r="AM79" s="2" t="e">
        <f t="shared" si="132"/>
        <v>#VALUE!</v>
      </c>
      <c r="AN79" s="2" t="e">
        <f t="shared" si="132"/>
        <v>#VALUE!</v>
      </c>
      <c r="AO79" s="2" t="e">
        <f t="shared" si="132"/>
        <v>#VALUE!</v>
      </c>
      <c r="AP79" s="2" t="e">
        <f t="shared" si="132"/>
        <v>#VALUE!</v>
      </c>
      <c r="AQ79" s="2" t="e">
        <f t="shared" si="132"/>
        <v>#VALUE!</v>
      </c>
      <c r="AR79" s="2" t="e">
        <f t="shared" si="132"/>
        <v>#VALUE!</v>
      </c>
    </row>
    <row r="80" spans="3:44" x14ac:dyDescent="0.15">
      <c r="C80" s="2" t="e">
        <f t="shared" ref="C80:AR80" si="133">BowlSplit(C43,$C$41)</f>
        <v>#VALUE!</v>
      </c>
      <c r="D80" s="2" t="e">
        <f t="shared" si="133"/>
        <v>#VALUE!</v>
      </c>
      <c r="E80" s="2" t="e">
        <f t="shared" si="133"/>
        <v>#VALUE!</v>
      </c>
      <c r="F80" s="2" t="e">
        <f t="shared" si="133"/>
        <v>#VALUE!</v>
      </c>
      <c r="G80" s="2" t="e">
        <f t="shared" si="133"/>
        <v>#VALUE!</v>
      </c>
      <c r="H80" s="2" t="e">
        <f t="shared" si="133"/>
        <v>#VALUE!</v>
      </c>
      <c r="I80" s="2" t="e">
        <f t="shared" si="133"/>
        <v>#VALUE!</v>
      </c>
      <c r="J80" s="2" t="e">
        <f t="shared" si="133"/>
        <v>#VALUE!</v>
      </c>
      <c r="K80" s="2" t="e">
        <f t="shared" si="133"/>
        <v>#VALUE!</v>
      </c>
      <c r="L80" s="2" t="e">
        <f t="shared" si="133"/>
        <v>#VALUE!</v>
      </c>
      <c r="M80" s="2" t="e">
        <f t="shared" si="133"/>
        <v>#VALUE!</v>
      </c>
      <c r="N80" s="2" t="e">
        <f t="shared" si="133"/>
        <v>#VALUE!</v>
      </c>
      <c r="O80" s="2" t="e">
        <f t="shared" si="133"/>
        <v>#VALUE!</v>
      </c>
      <c r="P80" s="2" t="e">
        <f t="shared" si="133"/>
        <v>#VALUE!</v>
      </c>
      <c r="Q80" s="2" t="e">
        <f t="shared" si="133"/>
        <v>#VALUE!</v>
      </c>
      <c r="R80" s="2" t="e">
        <f t="shared" si="133"/>
        <v>#VALUE!</v>
      </c>
      <c r="S80" s="2" t="e">
        <f t="shared" si="133"/>
        <v>#VALUE!</v>
      </c>
      <c r="T80" s="2" t="e">
        <f t="shared" si="133"/>
        <v>#VALUE!</v>
      </c>
      <c r="U80" s="2" t="e">
        <f t="shared" si="133"/>
        <v>#VALUE!</v>
      </c>
      <c r="V80" s="2" t="e">
        <f t="shared" si="133"/>
        <v>#VALUE!</v>
      </c>
      <c r="W80" s="2" t="e">
        <f t="shared" si="133"/>
        <v>#VALUE!</v>
      </c>
      <c r="X80" s="2" t="e">
        <f t="shared" si="133"/>
        <v>#VALUE!</v>
      </c>
      <c r="Y80" s="2" t="e">
        <f t="shared" si="133"/>
        <v>#VALUE!</v>
      </c>
      <c r="Z80" s="2" t="e">
        <f t="shared" si="133"/>
        <v>#VALUE!</v>
      </c>
      <c r="AA80" s="2" t="e">
        <f t="shared" si="133"/>
        <v>#VALUE!</v>
      </c>
      <c r="AB80" s="2" t="e">
        <f t="shared" si="133"/>
        <v>#VALUE!</v>
      </c>
      <c r="AC80" s="2" t="e">
        <f t="shared" si="133"/>
        <v>#VALUE!</v>
      </c>
      <c r="AD80" s="2" t="e">
        <f t="shared" si="133"/>
        <v>#VALUE!</v>
      </c>
      <c r="AE80" s="2" t="e">
        <f t="shared" si="133"/>
        <v>#VALUE!</v>
      </c>
      <c r="AF80" s="2" t="e">
        <f t="shared" si="133"/>
        <v>#VALUE!</v>
      </c>
      <c r="AG80" s="2" t="e">
        <f t="shared" si="133"/>
        <v>#VALUE!</v>
      </c>
      <c r="AH80" s="2" t="e">
        <f t="shared" si="133"/>
        <v>#VALUE!</v>
      </c>
      <c r="AI80" s="2" t="e">
        <f t="shared" si="133"/>
        <v>#VALUE!</v>
      </c>
      <c r="AJ80" s="2" t="e">
        <f t="shared" si="133"/>
        <v>#VALUE!</v>
      </c>
      <c r="AK80" s="2" t="e">
        <f t="shared" si="133"/>
        <v>#VALUE!</v>
      </c>
      <c r="AL80" s="2" t="e">
        <f t="shared" si="133"/>
        <v>#VALUE!</v>
      </c>
      <c r="AM80" s="2" t="e">
        <f t="shared" si="133"/>
        <v>#VALUE!</v>
      </c>
      <c r="AN80" s="2" t="e">
        <f t="shared" si="133"/>
        <v>#VALUE!</v>
      </c>
      <c r="AO80" s="2" t="e">
        <f t="shared" si="133"/>
        <v>#VALUE!</v>
      </c>
      <c r="AP80" s="2" t="e">
        <f t="shared" si="133"/>
        <v>#VALUE!</v>
      </c>
      <c r="AQ80" s="2" t="e">
        <f t="shared" si="133"/>
        <v>#VALUE!</v>
      </c>
      <c r="AR80" s="2" t="e">
        <f t="shared" si="133"/>
        <v>#VALUE!</v>
      </c>
    </row>
    <row r="81" spans="3:44" x14ac:dyDescent="0.15">
      <c r="C81" s="2" t="e">
        <f t="shared" ref="C81:AR81" si="134">BowlSplit(C44,$C$41)</f>
        <v>#VALUE!</v>
      </c>
      <c r="D81" s="2" t="e">
        <f t="shared" si="134"/>
        <v>#VALUE!</v>
      </c>
      <c r="E81" s="2" t="e">
        <f t="shared" si="134"/>
        <v>#VALUE!</v>
      </c>
      <c r="F81" s="2" t="e">
        <f t="shared" si="134"/>
        <v>#VALUE!</v>
      </c>
      <c r="G81" s="2" t="e">
        <f t="shared" si="134"/>
        <v>#VALUE!</v>
      </c>
      <c r="H81" s="2" t="e">
        <f t="shared" si="134"/>
        <v>#VALUE!</v>
      </c>
      <c r="I81" s="2" t="e">
        <f t="shared" si="134"/>
        <v>#VALUE!</v>
      </c>
      <c r="J81" s="2" t="e">
        <f t="shared" si="134"/>
        <v>#VALUE!</v>
      </c>
      <c r="K81" s="2" t="e">
        <f t="shared" si="134"/>
        <v>#VALUE!</v>
      </c>
      <c r="L81" s="2" t="e">
        <f t="shared" si="134"/>
        <v>#VALUE!</v>
      </c>
      <c r="M81" s="2" t="e">
        <f t="shared" si="134"/>
        <v>#VALUE!</v>
      </c>
      <c r="N81" s="2" t="e">
        <f t="shared" si="134"/>
        <v>#VALUE!</v>
      </c>
      <c r="O81" s="2" t="e">
        <f t="shared" si="134"/>
        <v>#VALUE!</v>
      </c>
      <c r="P81" s="2" t="e">
        <f t="shared" si="134"/>
        <v>#VALUE!</v>
      </c>
      <c r="Q81" s="2" t="e">
        <f t="shared" si="134"/>
        <v>#VALUE!</v>
      </c>
      <c r="R81" s="2" t="e">
        <f t="shared" si="134"/>
        <v>#VALUE!</v>
      </c>
      <c r="S81" s="2" t="e">
        <f t="shared" si="134"/>
        <v>#VALUE!</v>
      </c>
      <c r="T81" s="2" t="e">
        <f t="shared" si="134"/>
        <v>#VALUE!</v>
      </c>
      <c r="U81" s="2" t="e">
        <f t="shared" si="134"/>
        <v>#VALUE!</v>
      </c>
      <c r="V81" s="2" t="e">
        <f t="shared" si="134"/>
        <v>#VALUE!</v>
      </c>
      <c r="W81" s="2" t="e">
        <f t="shared" si="134"/>
        <v>#VALUE!</v>
      </c>
      <c r="X81" s="2" t="e">
        <f t="shared" si="134"/>
        <v>#VALUE!</v>
      </c>
      <c r="Y81" s="2" t="e">
        <f t="shared" si="134"/>
        <v>#VALUE!</v>
      </c>
      <c r="Z81" s="2" t="e">
        <f t="shared" si="134"/>
        <v>#VALUE!</v>
      </c>
      <c r="AA81" s="2" t="e">
        <f t="shared" si="134"/>
        <v>#VALUE!</v>
      </c>
      <c r="AB81" s="2" t="e">
        <f t="shared" si="134"/>
        <v>#VALUE!</v>
      </c>
      <c r="AC81" s="2" t="e">
        <f t="shared" si="134"/>
        <v>#VALUE!</v>
      </c>
      <c r="AD81" s="2" t="e">
        <f t="shared" si="134"/>
        <v>#VALUE!</v>
      </c>
      <c r="AE81" s="2" t="e">
        <f t="shared" si="134"/>
        <v>#VALUE!</v>
      </c>
      <c r="AF81" s="2" t="e">
        <f t="shared" si="134"/>
        <v>#VALUE!</v>
      </c>
      <c r="AG81" s="2" t="e">
        <f t="shared" si="134"/>
        <v>#VALUE!</v>
      </c>
      <c r="AH81" s="2" t="e">
        <f t="shared" si="134"/>
        <v>#VALUE!</v>
      </c>
      <c r="AI81" s="2" t="e">
        <f t="shared" si="134"/>
        <v>#VALUE!</v>
      </c>
      <c r="AJ81" s="2" t="e">
        <f t="shared" si="134"/>
        <v>#VALUE!</v>
      </c>
      <c r="AK81" s="2" t="e">
        <f t="shared" si="134"/>
        <v>#VALUE!</v>
      </c>
      <c r="AL81" s="2" t="e">
        <f t="shared" si="134"/>
        <v>#VALUE!</v>
      </c>
      <c r="AM81" s="2" t="e">
        <f t="shared" si="134"/>
        <v>#VALUE!</v>
      </c>
      <c r="AN81" s="2" t="e">
        <f t="shared" si="134"/>
        <v>#VALUE!</v>
      </c>
      <c r="AO81" s="2" t="e">
        <f t="shared" si="134"/>
        <v>#VALUE!</v>
      </c>
      <c r="AP81" s="2" t="e">
        <f t="shared" si="134"/>
        <v>#VALUE!</v>
      </c>
      <c r="AQ81" s="2" t="e">
        <f t="shared" si="134"/>
        <v>#VALUE!</v>
      </c>
      <c r="AR81" s="2" t="e">
        <f t="shared" si="134"/>
        <v>#VALUE!</v>
      </c>
    </row>
  </sheetData>
  <phoneticPr fontId="0" type="noConversion"/>
  <conditionalFormatting sqref="AG93:AG104 AU42:BB84 AS42:AT92 C73:AR92">
    <cfRule type="cellIs" dxfId="2" priority="3" stopIfTrue="1" operator="greaterThan">
      <formula>5</formula>
    </cfRule>
  </conditionalFormatting>
  <conditionalFormatting sqref="C40:CC40">
    <cfRule type="cellIs" dxfId="1" priority="4" stopIfTrue="1" operator="notEqual">
      <formula>C38</formula>
    </cfRule>
  </conditionalFormatting>
  <conditionalFormatting sqref="C42:AR81">
    <cfRule type="cellIs" dxfId="0" priority="5" stopIfTrue="1" operator="equal">
      <formula>$B$42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workbookViewId="0">
      <selection activeCell="H2" sqref="H2"/>
    </sheetView>
  </sheetViews>
  <sheetFormatPr defaultRowHeight="10.5" x14ac:dyDescent="0.15"/>
  <cols>
    <col min="1" max="1" width="17.28515625" style="70" bestFit="1" customWidth="1"/>
    <col min="2" max="2" width="12.7109375" style="70" bestFit="1" customWidth="1"/>
    <col min="3" max="3" width="7.5703125" style="74" bestFit="1" customWidth="1"/>
    <col min="4" max="4" width="5.28515625" style="74" bestFit="1" customWidth="1"/>
    <col min="5" max="5" width="7.140625" style="74" bestFit="1" customWidth="1"/>
    <col min="6" max="7" width="5.28515625" style="74" bestFit="1" customWidth="1"/>
    <col min="8" max="8" width="8.85546875" style="80" bestFit="1" customWidth="1"/>
    <col min="9" max="9" width="5.28515625" style="70" bestFit="1" customWidth="1"/>
    <col min="10" max="11" width="9.140625" style="70"/>
    <col min="12" max="12" width="21.5703125" style="70" bestFit="1" customWidth="1"/>
    <col min="13" max="13" width="9.140625" style="70"/>
    <col min="14" max="14" width="12.7109375" style="137" bestFit="1" customWidth="1"/>
    <col min="15" max="15" width="13.140625" style="139" bestFit="1" customWidth="1"/>
    <col min="16" max="16" width="4.5703125" style="137" bestFit="1" customWidth="1"/>
    <col min="17" max="17" width="7.140625" style="137" bestFit="1" customWidth="1"/>
    <col min="18" max="18" width="5" style="140" bestFit="1" customWidth="1"/>
    <col min="19" max="19" width="5" style="137" bestFit="1" customWidth="1"/>
    <col min="20" max="20" width="8.85546875" style="138" bestFit="1" customWidth="1"/>
    <col min="21" max="16384" width="9.140625" style="70"/>
  </cols>
  <sheetData>
    <row r="1" spans="1:23" ht="12.75" x14ac:dyDescent="0.15">
      <c r="A1" s="62" t="s">
        <v>141</v>
      </c>
      <c r="C1" s="74" t="s">
        <v>5</v>
      </c>
      <c r="D1" s="74" t="s">
        <v>7</v>
      </c>
      <c r="E1" s="74" t="s">
        <v>8</v>
      </c>
      <c r="F1" s="74" t="s">
        <v>142</v>
      </c>
      <c r="G1" s="74" t="s">
        <v>9</v>
      </c>
      <c r="H1" s="80" t="s">
        <v>10</v>
      </c>
      <c r="J1" s="74"/>
      <c r="L1" s="70" t="s">
        <v>226</v>
      </c>
      <c r="M1" s="70">
        <f t="array" aca="1" ref="M1" ca="1">SUM(IF(NOT(ISNA(B2:B60)),1,0))</f>
        <v>34</v>
      </c>
      <c r="N1" s="141"/>
      <c r="O1" s="144" t="s">
        <v>84</v>
      </c>
      <c r="P1" s="142" t="s">
        <v>7</v>
      </c>
      <c r="Q1" s="142" t="s">
        <v>271</v>
      </c>
      <c r="R1" s="142" t="s">
        <v>142</v>
      </c>
      <c r="S1" s="142" t="s">
        <v>9</v>
      </c>
      <c r="T1" s="142" t="s">
        <v>38</v>
      </c>
    </row>
    <row r="2" spans="1:23" ht="12.75" x14ac:dyDescent="0.15">
      <c r="A2" s="70">
        <v>1</v>
      </c>
      <c r="B2" s="70" t="str">
        <f ca="1">OFFSET(Batting!$C$4,BatAves!$I2,0)</f>
        <v>Gibbs A</v>
      </c>
      <c r="C2" s="74">
        <f ca="1">OFFSET(Batting!$CE$4,BatAves!$I2,0)</f>
        <v>1</v>
      </c>
      <c r="D2" s="74">
        <f ca="1">OFFSET(Batting!$CG$4,BatAves!$I2,0)</f>
        <v>1</v>
      </c>
      <c r="E2" s="74">
        <f ca="1">OFFSET(Batting!$CH$4,BatAves!$I2,0)</f>
        <v>0</v>
      </c>
      <c r="F2" s="74">
        <f ca="1">OFFSET(Batting!$CJ$4,BatAves!$I2,0)</f>
        <v>78</v>
      </c>
      <c r="G2" s="74">
        <f ca="1">OFFSET(Batting!$CK$4,BatAves!$I2,0)</f>
        <v>78</v>
      </c>
      <c r="H2" s="79">
        <f ca="1">OFFSET(Batting!$CL$4,BatAves!$I2,0)</f>
        <v>78</v>
      </c>
      <c r="I2" s="70">
        <f>MATCH(A2,Batting!$DF$5:$DF$38,0)</f>
        <v>13</v>
      </c>
      <c r="J2" s="70">
        <f ca="1">IF(D2&gt;=5,A2,1000+A2)</f>
        <v>1001</v>
      </c>
      <c r="K2" s="70">
        <f ca="1">RANK(J2,OFFSET($J$2,0,0,$M$1,1),-1)</f>
        <v>18</v>
      </c>
      <c r="L2" s="70" t="str">
        <f ca="1">IF(D2&lt;5,B2&amp;" "&amp;D2&amp;"-"&amp;E2&amp;"-"&amp;F2&amp;"-"&amp;G2,"")</f>
        <v>Gibbs A 1-0-78-78</v>
      </c>
      <c r="M2" s="70">
        <f ca="1">MATCH(N2,OFFSET($K$2,0,0,$M$1,1),0)</f>
        <v>2</v>
      </c>
      <c r="N2" s="141">
        <v>1</v>
      </c>
      <c r="O2" s="141" t="str">
        <f ca="1">OFFSET(B$1,$M2,0)</f>
        <v>Middleton J</v>
      </c>
      <c r="P2" s="141">
        <f ca="1">OFFSET(D$1,$M2,0)</f>
        <v>7</v>
      </c>
      <c r="Q2" s="141">
        <f ca="1">OFFSET(E$1,$M2,0)</f>
        <v>1</v>
      </c>
      <c r="R2" s="141">
        <f ca="1">OFFSET(F$1,$M2,0)</f>
        <v>57</v>
      </c>
      <c r="S2" s="141">
        <f ca="1">OFFSET(G$1,$M2,0)</f>
        <v>198</v>
      </c>
      <c r="T2" s="143">
        <f ca="1">OFFSET(H$1,$M2,0)</f>
        <v>33</v>
      </c>
      <c r="U2" s="74"/>
      <c r="W2" s="70" t="s">
        <v>225</v>
      </c>
    </row>
    <row r="3" spans="1:23" ht="12.75" x14ac:dyDescent="0.15">
      <c r="A3" s="70">
        <v>2</v>
      </c>
      <c r="B3" s="70" t="str">
        <f ca="1">OFFSET(Batting!$C$4,BatAves!$I3,0)</f>
        <v>Middleton J</v>
      </c>
      <c r="C3" s="74">
        <f ca="1">OFFSET(Batting!$CE$4,BatAves!$I3,0)</f>
        <v>7</v>
      </c>
      <c r="D3" s="74">
        <f ca="1">OFFSET(Batting!$CG$4,BatAves!$I3,0)</f>
        <v>7</v>
      </c>
      <c r="E3" s="74">
        <f ca="1">OFFSET(Batting!$CH$4,BatAves!$I3,0)</f>
        <v>1</v>
      </c>
      <c r="F3" s="74">
        <f ca="1">OFFSET(Batting!$CJ$4,BatAves!$I3,0)</f>
        <v>57</v>
      </c>
      <c r="G3" s="74">
        <f ca="1">OFFSET(Batting!$CK$4,BatAves!$I3,0)</f>
        <v>198</v>
      </c>
      <c r="H3" s="79">
        <f ca="1">OFFSET(Batting!$CL$4,BatAves!$I3,0)</f>
        <v>33</v>
      </c>
      <c r="I3" s="70">
        <f>MATCH(A3,Batting!$DF$5:$DF$38,0)</f>
        <v>23</v>
      </c>
      <c r="J3" s="70">
        <f t="shared" ref="J3:J60" ca="1" si="0">IF(D3&gt;=5,A3,1000+A3)</f>
        <v>2</v>
      </c>
      <c r="K3" s="70">
        <f t="shared" ref="K3:K60" ca="1" si="1">RANK(J3,OFFSET($J$2,0,0,$M$1,1),-1)</f>
        <v>1</v>
      </c>
      <c r="L3" s="70" t="str">
        <f t="shared" ref="L3:L60" ca="1" si="2">IF(D3&lt;5,B3&amp;" "&amp;D3&amp;"-"&amp;E3&amp;"-"&amp;F3&amp;"-"&amp;G3,"")</f>
        <v/>
      </c>
      <c r="M3" s="70">
        <f t="shared" ref="M3:M43" ca="1" si="3">MATCH(N3,OFFSET($K$2,0,0,$M$1,1),0)</f>
        <v>4</v>
      </c>
      <c r="N3" s="141">
        <v>2</v>
      </c>
      <c r="O3" s="141" t="str">
        <f t="shared" ref="O3:O43" ca="1" si="4">OFFSET(B$1,$M3,0)</f>
        <v>Greyling R</v>
      </c>
      <c r="P3" s="141">
        <f t="shared" ref="P3:P43" ca="1" si="5">OFFSET(D$1,$M3,0)</f>
        <v>10</v>
      </c>
      <c r="Q3" s="141">
        <f t="shared" ref="Q3:Q43" ca="1" si="6">OFFSET(E$1,$M3,0)</f>
        <v>3</v>
      </c>
      <c r="R3" s="141">
        <f t="shared" ref="R3:R43" ca="1" si="7">OFFSET(F$1,$M3,0)</f>
        <v>43</v>
      </c>
      <c r="S3" s="141">
        <f t="shared" ref="S3:S43" ca="1" si="8">OFFSET(G$1,$M3,0)</f>
        <v>167</v>
      </c>
      <c r="T3" s="143">
        <f t="shared" ref="T3:T43" ca="1" si="9">OFFSET(H$1,$M3,0)</f>
        <v>23.857142857142858</v>
      </c>
      <c r="W3" s="70" t="s">
        <v>225</v>
      </c>
    </row>
    <row r="4" spans="1:23" ht="12.75" x14ac:dyDescent="0.15">
      <c r="A4" s="70">
        <v>3</v>
      </c>
      <c r="B4" s="70" t="str">
        <f ca="1">OFFSET(Batting!$C$4,BatAves!$I4,0)</f>
        <v>Missen</v>
      </c>
      <c r="C4" s="74">
        <f ca="1">OFFSET(Batting!$CE$4,BatAves!$I4,0)</f>
        <v>1</v>
      </c>
      <c r="D4" s="74">
        <f ca="1">OFFSET(Batting!$CG$4,BatAves!$I4,0)</f>
        <v>1</v>
      </c>
      <c r="E4" s="74">
        <f ca="1">OFFSET(Batting!$CH$4,BatAves!$I4,0)</f>
        <v>0</v>
      </c>
      <c r="F4" s="74">
        <f ca="1">OFFSET(Batting!$CJ$4,BatAves!$I4,0)</f>
        <v>30</v>
      </c>
      <c r="G4" s="74">
        <f ca="1">OFFSET(Batting!$CK$4,BatAves!$I4,0)</f>
        <v>30</v>
      </c>
      <c r="H4" s="79">
        <f ca="1">OFFSET(Batting!$CL$4,BatAves!$I4,0)</f>
        <v>30</v>
      </c>
      <c r="I4" s="70">
        <f>MATCH(A4,Batting!$DF$5:$DF$38,0)</f>
        <v>24</v>
      </c>
      <c r="J4" s="70">
        <f t="shared" ca="1" si="0"/>
        <v>1003</v>
      </c>
      <c r="K4" s="70">
        <f t="shared" ca="1" si="1"/>
        <v>19</v>
      </c>
      <c r="L4" s="70" t="str">
        <f t="shared" ca="1" si="2"/>
        <v>Missen 1-0-30-30</v>
      </c>
      <c r="M4" s="70">
        <f t="shared" ca="1" si="3"/>
        <v>7</v>
      </c>
      <c r="N4" s="141">
        <v>3</v>
      </c>
      <c r="O4" s="141" t="str">
        <f t="shared" ca="1" si="4"/>
        <v>Cooper G</v>
      </c>
      <c r="P4" s="141">
        <f t="shared" ca="1" si="5"/>
        <v>11</v>
      </c>
      <c r="Q4" s="141">
        <f t="shared" ca="1" si="6"/>
        <v>6</v>
      </c>
      <c r="R4" s="141">
        <f t="shared" ca="1" si="7"/>
        <v>17</v>
      </c>
      <c r="S4" s="141">
        <f t="shared" ca="1" si="8"/>
        <v>87</v>
      </c>
      <c r="T4" s="143">
        <f t="shared" ca="1" si="9"/>
        <v>17.399999999999999</v>
      </c>
      <c r="W4" s="70" t="s">
        <v>225</v>
      </c>
    </row>
    <row r="5" spans="1:23" ht="12.75" x14ac:dyDescent="0.15">
      <c r="A5" s="70">
        <v>4</v>
      </c>
      <c r="B5" s="70" t="str">
        <f ca="1">OFFSET(Batting!$C$4,BatAves!$I5,0)</f>
        <v>Greyling R</v>
      </c>
      <c r="C5" s="74">
        <f ca="1">OFFSET(Batting!$CE$4,BatAves!$I5,0)</f>
        <v>10</v>
      </c>
      <c r="D5" s="74">
        <f ca="1">OFFSET(Batting!$CG$4,BatAves!$I5,0)</f>
        <v>10</v>
      </c>
      <c r="E5" s="74">
        <f ca="1">OFFSET(Batting!$CH$4,BatAves!$I5,0)</f>
        <v>3</v>
      </c>
      <c r="F5" s="74">
        <f ca="1">OFFSET(Batting!$CJ$4,BatAves!$I5,0)</f>
        <v>43</v>
      </c>
      <c r="G5" s="74">
        <f ca="1">OFFSET(Batting!$CK$4,BatAves!$I5,0)</f>
        <v>167</v>
      </c>
      <c r="H5" s="79">
        <f ca="1">OFFSET(Batting!$CL$4,BatAves!$I5,0)</f>
        <v>23.857142857142858</v>
      </c>
      <c r="I5" s="70">
        <f>MATCH(A5,Batting!$DF$5:$DF$38,0)</f>
        <v>15</v>
      </c>
      <c r="J5" s="70">
        <f t="shared" ca="1" si="0"/>
        <v>4</v>
      </c>
      <c r="K5" s="70">
        <f t="shared" ca="1" si="1"/>
        <v>2</v>
      </c>
      <c r="L5" s="70" t="str">
        <f t="shared" ca="1" si="2"/>
        <v/>
      </c>
      <c r="M5" s="70">
        <f t="shared" ca="1" si="3"/>
        <v>8</v>
      </c>
      <c r="N5" s="141">
        <v>4</v>
      </c>
      <c r="O5" s="141" t="str">
        <f t="shared" ca="1" si="4"/>
        <v>Sharpe D</v>
      </c>
      <c r="P5" s="141">
        <f t="shared" ca="1" si="5"/>
        <v>6</v>
      </c>
      <c r="Q5" s="141">
        <f t="shared" ca="1" si="6"/>
        <v>1</v>
      </c>
      <c r="R5" s="141" t="str">
        <f t="shared" ca="1" si="7"/>
        <v>63*</v>
      </c>
      <c r="S5" s="141">
        <f t="shared" ca="1" si="8"/>
        <v>87</v>
      </c>
      <c r="T5" s="143">
        <f t="shared" ca="1" si="9"/>
        <v>17.399999999999999</v>
      </c>
      <c r="W5" s="70" t="s">
        <v>225</v>
      </c>
    </row>
    <row r="6" spans="1:23" ht="12.75" x14ac:dyDescent="0.15">
      <c r="A6" s="70">
        <v>5</v>
      </c>
      <c r="B6" s="70" t="str">
        <f ca="1">OFFSET(Batting!$C$4,BatAves!$I6,0)</f>
        <v>Wright P</v>
      </c>
      <c r="C6" s="74">
        <f ca="1">OFFSET(Batting!$CE$4,BatAves!$I6,0)</f>
        <v>4</v>
      </c>
      <c r="D6" s="74">
        <f ca="1">OFFSET(Batting!$CG$4,BatAves!$I6,0)</f>
        <v>3</v>
      </c>
      <c r="E6" s="74">
        <f ca="1">OFFSET(Batting!$CH$4,BatAves!$I6,0)</f>
        <v>1</v>
      </c>
      <c r="F6" s="74">
        <f ca="1">OFFSET(Batting!$CJ$4,BatAves!$I6,0)</f>
        <v>25</v>
      </c>
      <c r="G6" s="74">
        <f ca="1">OFFSET(Batting!$CK$4,BatAves!$I6,0)</f>
        <v>45</v>
      </c>
      <c r="H6" s="79">
        <f ca="1">OFFSET(Batting!$CL$4,BatAves!$I6,0)</f>
        <v>22.5</v>
      </c>
      <c r="I6" s="70">
        <f>MATCH(A6,Batting!$DF$5:$DF$38,0)</f>
        <v>34</v>
      </c>
      <c r="J6" s="70">
        <f t="shared" ca="1" si="0"/>
        <v>1005</v>
      </c>
      <c r="K6" s="70">
        <f t="shared" ca="1" si="1"/>
        <v>20</v>
      </c>
      <c r="L6" s="70" t="str">
        <f t="shared" ca="1" si="2"/>
        <v>Wright P 3-1-25-45</v>
      </c>
      <c r="M6" s="70">
        <f t="shared" ca="1" si="3"/>
        <v>9</v>
      </c>
      <c r="N6" s="141">
        <v>5</v>
      </c>
      <c r="O6" s="141" t="str">
        <f t="shared" ca="1" si="4"/>
        <v>Clarkson M</v>
      </c>
      <c r="P6" s="141">
        <f t="shared" ca="1" si="5"/>
        <v>6</v>
      </c>
      <c r="Q6" s="141">
        <f t="shared" ca="1" si="6"/>
        <v>0</v>
      </c>
      <c r="R6" s="141">
        <f t="shared" ca="1" si="7"/>
        <v>35</v>
      </c>
      <c r="S6" s="141">
        <f t="shared" ca="1" si="8"/>
        <v>73</v>
      </c>
      <c r="T6" s="143">
        <f t="shared" ca="1" si="9"/>
        <v>12.166666666666666</v>
      </c>
      <c r="W6" s="70" t="s">
        <v>225</v>
      </c>
    </row>
    <row r="7" spans="1:23" ht="12.75" x14ac:dyDescent="0.15">
      <c r="A7" s="70">
        <v>6</v>
      </c>
      <c r="B7" s="70" t="str">
        <f ca="1">OFFSET(Batting!$C$4,BatAves!$I7,0)</f>
        <v>Martin T</v>
      </c>
      <c r="C7" s="74">
        <f ca="1">OFFSET(Batting!$CE$4,BatAves!$I7,0)</f>
        <v>2</v>
      </c>
      <c r="D7" s="74">
        <f ca="1">OFFSET(Batting!$CG$4,BatAves!$I7,0)</f>
        <v>2</v>
      </c>
      <c r="E7" s="74">
        <f ca="1">OFFSET(Batting!$CH$4,BatAves!$I7,0)</f>
        <v>0</v>
      </c>
      <c r="F7" s="74">
        <f ca="1">OFFSET(Batting!$CJ$4,BatAves!$I7,0)</f>
        <v>31</v>
      </c>
      <c r="G7" s="74">
        <f ca="1">OFFSET(Batting!$CK$4,BatAves!$I7,0)</f>
        <v>37</v>
      </c>
      <c r="H7" s="79">
        <f ca="1">OFFSET(Batting!$CL$4,BatAves!$I7,0)</f>
        <v>18.5</v>
      </c>
      <c r="I7" s="70">
        <f>MATCH(A7,Batting!$DF$5:$DF$38,0)</f>
        <v>22</v>
      </c>
      <c r="J7" s="70">
        <f t="shared" ca="1" si="0"/>
        <v>1006</v>
      </c>
      <c r="K7" s="70">
        <f t="shared" ca="1" si="1"/>
        <v>21</v>
      </c>
      <c r="L7" s="70" t="str">
        <f t="shared" ca="1" si="2"/>
        <v>Martin T 2-0-31-37</v>
      </c>
      <c r="M7" s="70">
        <f t="shared" ca="1" si="3"/>
        <v>11</v>
      </c>
      <c r="N7" s="141">
        <v>6</v>
      </c>
      <c r="O7" s="141" t="str">
        <f t="shared" ca="1" si="4"/>
        <v>Edghill C</v>
      </c>
      <c r="P7" s="141">
        <f t="shared" ca="1" si="5"/>
        <v>11</v>
      </c>
      <c r="Q7" s="141">
        <f t="shared" ca="1" si="6"/>
        <v>0</v>
      </c>
      <c r="R7" s="141">
        <f t="shared" ca="1" si="7"/>
        <v>22</v>
      </c>
      <c r="S7" s="141">
        <f t="shared" ca="1" si="8"/>
        <v>122</v>
      </c>
      <c r="T7" s="143">
        <f t="shared" ca="1" si="9"/>
        <v>11.090909090909092</v>
      </c>
      <c r="W7" s="70" t="s">
        <v>225</v>
      </c>
    </row>
    <row r="8" spans="1:23" ht="12.75" x14ac:dyDescent="0.15">
      <c r="A8" s="70">
        <v>7</v>
      </c>
      <c r="B8" s="70" t="str">
        <f ca="1">OFFSET(Batting!$C$4,BatAves!$I8,0)</f>
        <v>Cooper G</v>
      </c>
      <c r="C8" s="74">
        <f ca="1">OFFSET(Batting!$CE$4,BatAves!$I8,0)</f>
        <v>17</v>
      </c>
      <c r="D8" s="74">
        <f ca="1">OFFSET(Batting!$CG$4,BatAves!$I8,0)</f>
        <v>11</v>
      </c>
      <c r="E8" s="74">
        <f ca="1">OFFSET(Batting!$CH$4,BatAves!$I8,0)</f>
        <v>6</v>
      </c>
      <c r="F8" s="74">
        <f ca="1">OFFSET(Batting!$CJ$4,BatAves!$I8,0)</f>
        <v>17</v>
      </c>
      <c r="G8" s="74">
        <f ca="1">OFFSET(Batting!$CK$4,BatAves!$I8,0)</f>
        <v>87</v>
      </c>
      <c r="H8" s="79">
        <f ca="1">OFFSET(Batting!$CL$4,BatAves!$I8,0)</f>
        <v>17.399999999999999</v>
      </c>
      <c r="I8" s="70">
        <f>MATCH(A8,Batting!$DF$5:$DF$38,0)</f>
        <v>7</v>
      </c>
      <c r="J8" s="70">
        <f t="shared" ca="1" si="0"/>
        <v>7</v>
      </c>
      <c r="K8" s="70">
        <f t="shared" ca="1" si="1"/>
        <v>3</v>
      </c>
      <c r="L8" s="70" t="str">
        <f t="shared" ca="1" si="2"/>
        <v/>
      </c>
      <c r="M8" s="70">
        <f t="shared" ca="1" si="3"/>
        <v>12</v>
      </c>
      <c r="N8" s="141">
        <v>7</v>
      </c>
      <c r="O8" s="141" t="str">
        <f t="shared" ca="1" si="4"/>
        <v>Johnson A</v>
      </c>
      <c r="P8" s="141">
        <f t="shared" ca="1" si="5"/>
        <v>12</v>
      </c>
      <c r="Q8" s="141">
        <f t="shared" ca="1" si="6"/>
        <v>3</v>
      </c>
      <c r="R8" s="141">
        <f t="shared" ca="1" si="7"/>
        <v>29</v>
      </c>
      <c r="S8" s="141">
        <f t="shared" ca="1" si="8"/>
        <v>97</v>
      </c>
      <c r="T8" s="143">
        <f t="shared" ca="1" si="9"/>
        <v>10.777777777777779</v>
      </c>
      <c r="W8" s="70" t="s">
        <v>225</v>
      </c>
    </row>
    <row r="9" spans="1:23" ht="12.75" x14ac:dyDescent="0.15">
      <c r="A9" s="70">
        <v>8</v>
      </c>
      <c r="B9" s="70" t="str">
        <f ca="1">OFFSET(Batting!$C$4,BatAves!$I9,0)</f>
        <v>Sharpe D</v>
      </c>
      <c r="C9" s="74">
        <f ca="1">OFFSET(Batting!$CE$4,BatAves!$I9,0)</f>
        <v>7</v>
      </c>
      <c r="D9" s="74">
        <f ca="1">OFFSET(Batting!$CG$4,BatAves!$I9,0)</f>
        <v>6</v>
      </c>
      <c r="E9" s="74">
        <f ca="1">OFFSET(Batting!$CH$4,BatAves!$I9,0)</f>
        <v>1</v>
      </c>
      <c r="F9" s="74" t="str">
        <f ca="1">OFFSET(Batting!$CJ$4,BatAves!$I9,0)</f>
        <v>63*</v>
      </c>
      <c r="G9" s="74">
        <f ca="1">OFFSET(Batting!$CK$4,BatAves!$I9,0)</f>
        <v>87</v>
      </c>
      <c r="H9" s="79">
        <f ca="1">OFFSET(Batting!$CL$4,BatAves!$I9,0)</f>
        <v>17.399999999999999</v>
      </c>
      <c r="I9" s="70">
        <f>MATCH(A9,Batting!$DF$5:$DF$38,0)</f>
        <v>27</v>
      </c>
      <c r="J9" s="70">
        <f t="shared" ca="1" si="0"/>
        <v>8</v>
      </c>
      <c r="K9" s="70">
        <f t="shared" ca="1" si="1"/>
        <v>4</v>
      </c>
      <c r="L9" s="70" t="str">
        <f t="shared" ca="1" si="2"/>
        <v/>
      </c>
      <c r="M9" s="70">
        <f t="shared" ca="1" si="3"/>
        <v>13</v>
      </c>
      <c r="N9" s="141">
        <v>8</v>
      </c>
      <c r="O9" s="141" t="str">
        <f t="shared" ca="1" si="4"/>
        <v>de Souza C</v>
      </c>
      <c r="P9" s="141">
        <f t="shared" ca="1" si="5"/>
        <v>5</v>
      </c>
      <c r="Q9" s="141">
        <f t="shared" ca="1" si="6"/>
        <v>2</v>
      </c>
      <c r="R9" s="141">
        <f t="shared" ca="1" si="7"/>
        <v>20</v>
      </c>
      <c r="S9" s="141">
        <f t="shared" ca="1" si="8"/>
        <v>31</v>
      </c>
      <c r="T9" s="143">
        <f t="shared" ca="1" si="9"/>
        <v>10.333333333333334</v>
      </c>
      <c r="W9" s="70" t="s">
        <v>225</v>
      </c>
    </row>
    <row r="10" spans="1:23" ht="12.75" x14ac:dyDescent="0.15">
      <c r="A10" s="70">
        <v>9</v>
      </c>
      <c r="B10" s="70" t="str">
        <f ca="1">OFFSET(Batting!$C$4,BatAves!$I10,0)</f>
        <v>Clarkson M</v>
      </c>
      <c r="C10" s="74">
        <f ca="1">OFFSET(Batting!$CE$4,BatAves!$I10,0)</f>
        <v>7</v>
      </c>
      <c r="D10" s="74">
        <f ca="1">OFFSET(Batting!$CG$4,BatAves!$I10,0)</f>
        <v>6</v>
      </c>
      <c r="E10" s="74">
        <f ca="1">OFFSET(Batting!$CH$4,BatAves!$I10,0)</f>
        <v>0</v>
      </c>
      <c r="F10" s="74">
        <f ca="1">OFFSET(Batting!$CJ$4,BatAves!$I10,0)</f>
        <v>35</v>
      </c>
      <c r="G10" s="74">
        <f ca="1">OFFSET(Batting!$CK$4,BatAves!$I10,0)</f>
        <v>73</v>
      </c>
      <c r="H10" s="79">
        <f ca="1">OFFSET(Batting!$CL$4,BatAves!$I10,0)</f>
        <v>12.166666666666666</v>
      </c>
      <c r="I10" s="70">
        <f>MATCH(A10,Batting!$DF$5:$DF$38,0)</f>
        <v>5</v>
      </c>
      <c r="J10" s="70">
        <f t="shared" ca="1" si="0"/>
        <v>9</v>
      </c>
      <c r="K10" s="70">
        <f t="shared" ca="1" si="1"/>
        <v>5</v>
      </c>
      <c r="L10" s="70" t="str">
        <f t="shared" ca="1" si="2"/>
        <v/>
      </c>
      <c r="M10" s="70">
        <f t="shared" ca="1" si="3"/>
        <v>14</v>
      </c>
      <c r="N10" s="141">
        <v>9</v>
      </c>
      <c r="O10" s="141" t="str">
        <f t="shared" ca="1" si="4"/>
        <v>Singh R</v>
      </c>
      <c r="P10" s="141">
        <f t="shared" ca="1" si="5"/>
        <v>5</v>
      </c>
      <c r="Q10" s="141">
        <f t="shared" ca="1" si="6"/>
        <v>0</v>
      </c>
      <c r="R10" s="141">
        <f t="shared" ca="1" si="7"/>
        <v>25</v>
      </c>
      <c r="S10" s="141">
        <f t="shared" ca="1" si="8"/>
        <v>50</v>
      </c>
      <c r="T10" s="143">
        <f t="shared" ca="1" si="9"/>
        <v>10</v>
      </c>
      <c r="W10" s="70" t="s">
        <v>225</v>
      </c>
    </row>
    <row r="11" spans="1:23" ht="12.75" x14ac:dyDescent="0.15">
      <c r="A11" s="70">
        <v>10</v>
      </c>
      <c r="B11" s="70" t="str">
        <f ca="1">OFFSET(Batting!$C$4,BatAves!$I11,0)</f>
        <v>Singh H</v>
      </c>
      <c r="C11" s="74">
        <f ca="1">OFFSET(Batting!$CE$4,BatAves!$I11,0)</f>
        <v>3</v>
      </c>
      <c r="D11" s="74">
        <f ca="1">OFFSET(Batting!$CG$4,BatAves!$I11,0)</f>
        <v>3</v>
      </c>
      <c r="E11" s="74">
        <f ca="1">OFFSET(Batting!$CH$4,BatAves!$I11,0)</f>
        <v>0</v>
      </c>
      <c r="F11" s="74">
        <f ca="1">OFFSET(Batting!$CJ$4,BatAves!$I11,0)</f>
        <v>15</v>
      </c>
      <c r="G11" s="74">
        <f ca="1">OFFSET(Batting!$CK$4,BatAves!$I11,0)</f>
        <v>35</v>
      </c>
      <c r="H11" s="79">
        <f ca="1">OFFSET(Batting!$CL$4,BatAves!$I11,0)</f>
        <v>11.666666666666666</v>
      </c>
      <c r="I11" s="70">
        <f>MATCH(A11,Batting!$DF$5:$DF$38,0)</f>
        <v>28</v>
      </c>
      <c r="J11" s="70">
        <f t="shared" ca="1" si="0"/>
        <v>1010</v>
      </c>
      <c r="K11" s="70">
        <f t="shared" ca="1" si="1"/>
        <v>22</v>
      </c>
      <c r="L11" s="70" t="str">
        <f t="shared" ca="1" si="2"/>
        <v>Singh H 3-0-15-35</v>
      </c>
      <c r="M11" s="70">
        <f t="shared" ca="1" si="3"/>
        <v>16</v>
      </c>
      <c r="N11" s="141">
        <v>10</v>
      </c>
      <c r="O11" s="141" t="str">
        <f t="shared" ca="1" si="4"/>
        <v>Kiernan M</v>
      </c>
      <c r="P11" s="141">
        <f t="shared" ca="1" si="5"/>
        <v>5</v>
      </c>
      <c r="Q11" s="141">
        <f t="shared" ca="1" si="6"/>
        <v>2</v>
      </c>
      <c r="R11" s="141" t="str">
        <f t="shared" ca="1" si="7"/>
        <v>15*</v>
      </c>
      <c r="S11" s="141">
        <f t="shared" ca="1" si="8"/>
        <v>28</v>
      </c>
      <c r="T11" s="143">
        <f t="shared" ca="1" si="9"/>
        <v>9.3333333333333339</v>
      </c>
      <c r="W11" s="70" t="s">
        <v>225</v>
      </c>
    </row>
    <row r="12" spans="1:23" ht="12.75" x14ac:dyDescent="0.15">
      <c r="A12" s="70">
        <v>11</v>
      </c>
      <c r="B12" s="70" t="str">
        <f ca="1">OFFSET(Batting!$C$4,BatAves!$I12,0)</f>
        <v>Edghill C</v>
      </c>
      <c r="C12" s="74">
        <f ca="1">OFFSET(Batting!$CE$4,BatAves!$I12,0)</f>
        <v>13</v>
      </c>
      <c r="D12" s="74">
        <f ca="1">OFFSET(Batting!$CG$4,BatAves!$I12,0)</f>
        <v>11</v>
      </c>
      <c r="E12" s="74">
        <f ca="1">OFFSET(Batting!$CH$4,BatAves!$I12,0)</f>
        <v>0</v>
      </c>
      <c r="F12" s="74">
        <f ca="1">OFFSET(Batting!$CJ$4,BatAves!$I12,0)</f>
        <v>22</v>
      </c>
      <c r="G12" s="74">
        <f ca="1">OFFSET(Batting!$CK$4,BatAves!$I12,0)</f>
        <v>122</v>
      </c>
      <c r="H12" s="79">
        <f ca="1">OFFSET(Batting!$CL$4,BatAves!$I12,0)</f>
        <v>11.090909090909092</v>
      </c>
      <c r="I12" s="70">
        <f>MATCH(A12,Batting!$DF$5:$DF$38,0)</f>
        <v>10</v>
      </c>
      <c r="J12" s="70">
        <f t="shared" ca="1" si="0"/>
        <v>11</v>
      </c>
      <c r="K12" s="70">
        <f t="shared" ca="1" si="1"/>
        <v>6</v>
      </c>
      <c r="L12" s="70" t="str">
        <f t="shared" ca="1" si="2"/>
        <v/>
      </c>
      <c r="M12" s="70">
        <f t="shared" ca="1" si="3"/>
        <v>18</v>
      </c>
      <c r="N12" s="141">
        <v>11</v>
      </c>
      <c r="O12" s="141" t="str">
        <f t="shared" ca="1" si="4"/>
        <v>Seymour C</v>
      </c>
      <c r="P12" s="141">
        <f t="shared" ca="1" si="5"/>
        <v>10</v>
      </c>
      <c r="Q12" s="141">
        <f t="shared" ca="1" si="6"/>
        <v>3</v>
      </c>
      <c r="R12" s="141" t="str">
        <f t="shared" ca="1" si="7"/>
        <v>22*</v>
      </c>
      <c r="S12" s="141">
        <f t="shared" ca="1" si="8"/>
        <v>57</v>
      </c>
      <c r="T12" s="143">
        <f t="shared" ca="1" si="9"/>
        <v>8.1428571428571423</v>
      </c>
      <c r="W12" s="70" t="s">
        <v>225</v>
      </c>
    </row>
    <row r="13" spans="1:23" ht="12.75" x14ac:dyDescent="0.15">
      <c r="A13" s="70">
        <v>12</v>
      </c>
      <c r="B13" s="70" t="str">
        <f ca="1">OFFSET(Batting!$C$4,BatAves!$I13,0)</f>
        <v>Johnson A</v>
      </c>
      <c r="C13" s="74">
        <f ca="1">OFFSET(Batting!$CE$4,BatAves!$I13,0)</f>
        <v>14</v>
      </c>
      <c r="D13" s="74">
        <f ca="1">OFFSET(Batting!$CG$4,BatAves!$I13,0)</f>
        <v>12</v>
      </c>
      <c r="E13" s="74">
        <f ca="1">OFFSET(Batting!$CH$4,BatAves!$I13,0)</f>
        <v>3</v>
      </c>
      <c r="F13" s="74">
        <f ca="1">OFFSET(Batting!$CJ$4,BatAves!$I13,0)</f>
        <v>29</v>
      </c>
      <c r="G13" s="74">
        <f ca="1">OFFSET(Batting!$CK$4,BatAves!$I13,0)</f>
        <v>97</v>
      </c>
      <c r="H13" s="79">
        <f ca="1">OFFSET(Batting!$CL$4,BatAves!$I13,0)</f>
        <v>10.777777777777779</v>
      </c>
      <c r="I13" s="70">
        <f>MATCH(A13,Batting!$DF$5:$DF$38,0)</f>
        <v>16</v>
      </c>
      <c r="J13" s="70">
        <f t="shared" ca="1" si="0"/>
        <v>12</v>
      </c>
      <c r="K13" s="70">
        <f t="shared" ca="1" si="1"/>
        <v>7</v>
      </c>
      <c r="L13" s="70" t="str">
        <f t="shared" ca="1" si="2"/>
        <v/>
      </c>
      <c r="M13" s="70">
        <f t="shared" ca="1" si="3"/>
        <v>21</v>
      </c>
      <c r="N13" s="141">
        <v>12</v>
      </c>
      <c r="O13" s="141" t="str">
        <f t="shared" ca="1" si="4"/>
        <v>Chaffey P</v>
      </c>
      <c r="P13" s="141">
        <f t="shared" ca="1" si="5"/>
        <v>5</v>
      </c>
      <c r="Q13" s="141">
        <f t="shared" ca="1" si="6"/>
        <v>1</v>
      </c>
      <c r="R13" s="141">
        <f t="shared" ca="1" si="7"/>
        <v>13</v>
      </c>
      <c r="S13" s="141">
        <f t="shared" ca="1" si="8"/>
        <v>30</v>
      </c>
      <c r="T13" s="143">
        <f t="shared" ca="1" si="9"/>
        <v>7.5</v>
      </c>
      <c r="W13" s="70" t="s">
        <v>225</v>
      </c>
    </row>
    <row r="14" spans="1:23" ht="12.75" x14ac:dyDescent="0.15">
      <c r="A14" s="70">
        <v>13</v>
      </c>
      <c r="B14" s="70" t="str">
        <f ca="1">OFFSET(Batting!$C$4,BatAves!$I14,0)</f>
        <v>de Souza C</v>
      </c>
      <c r="C14" s="74">
        <f ca="1">OFFSET(Batting!$CE$4,BatAves!$I14,0)</f>
        <v>7</v>
      </c>
      <c r="D14" s="74">
        <f ca="1">OFFSET(Batting!$CG$4,BatAves!$I14,0)</f>
        <v>5</v>
      </c>
      <c r="E14" s="74">
        <f ca="1">OFFSET(Batting!$CH$4,BatAves!$I14,0)</f>
        <v>2</v>
      </c>
      <c r="F14" s="74">
        <f ca="1">OFFSET(Batting!$CJ$4,BatAves!$I14,0)</f>
        <v>20</v>
      </c>
      <c r="G14" s="74">
        <f ca="1">OFFSET(Batting!$CK$4,BatAves!$I14,0)</f>
        <v>31</v>
      </c>
      <c r="H14" s="79">
        <f ca="1">OFFSET(Batting!$CL$4,BatAves!$I14,0)</f>
        <v>10.333333333333334</v>
      </c>
      <c r="I14" s="70">
        <f>MATCH(A14,Batting!$DF$5:$DF$38,0)</f>
        <v>9</v>
      </c>
      <c r="J14" s="70">
        <f t="shared" ca="1" si="0"/>
        <v>13</v>
      </c>
      <c r="K14" s="70">
        <f t="shared" ca="1" si="1"/>
        <v>8</v>
      </c>
      <c r="L14" s="70" t="str">
        <f t="shared" ca="1" si="2"/>
        <v/>
      </c>
      <c r="M14" s="70">
        <f t="shared" ca="1" si="3"/>
        <v>22</v>
      </c>
      <c r="N14" s="141">
        <v>13</v>
      </c>
      <c r="O14" s="141" t="str">
        <f t="shared" ca="1" si="4"/>
        <v>Lestrelle A</v>
      </c>
      <c r="P14" s="141">
        <f t="shared" ca="1" si="5"/>
        <v>8</v>
      </c>
      <c r="Q14" s="141">
        <f t="shared" ca="1" si="6"/>
        <v>0</v>
      </c>
      <c r="R14" s="141">
        <f t="shared" ca="1" si="7"/>
        <v>15</v>
      </c>
      <c r="S14" s="141">
        <f t="shared" ca="1" si="8"/>
        <v>53</v>
      </c>
      <c r="T14" s="143">
        <f t="shared" ca="1" si="9"/>
        <v>6.625</v>
      </c>
      <c r="W14" s="70" t="s">
        <v>225</v>
      </c>
    </row>
    <row r="15" spans="1:23" ht="12.75" x14ac:dyDescent="0.15">
      <c r="A15" s="70">
        <v>14</v>
      </c>
      <c r="B15" s="70" t="str">
        <f ca="1">OFFSET(Batting!$C$4,BatAves!$I15,0)</f>
        <v>Singh R</v>
      </c>
      <c r="C15" s="74">
        <f ca="1">OFFSET(Batting!$CE$4,BatAves!$I15,0)</f>
        <v>6</v>
      </c>
      <c r="D15" s="74">
        <f ca="1">OFFSET(Batting!$CG$4,BatAves!$I15,0)</f>
        <v>5</v>
      </c>
      <c r="E15" s="74">
        <f ca="1">OFFSET(Batting!$CH$4,BatAves!$I15,0)</f>
        <v>0</v>
      </c>
      <c r="F15" s="74">
        <f ca="1">OFFSET(Batting!$CJ$4,BatAves!$I15,0)</f>
        <v>25</v>
      </c>
      <c r="G15" s="74">
        <f ca="1">OFFSET(Batting!$CK$4,BatAves!$I15,0)</f>
        <v>50</v>
      </c>
      <c r="H15" s="79">
        <f ca="1">OFFSET(Batting!$CL$4,BatAves!$I15,0)</f>
        <v>10</v>
      </c>
      <c r="I15" s="70">
        <f>MATCH(A15,Batting!$DF$5:$DF$38,0)</f>
        <v>29</v>
      </c>
      <c r="J15" s="70">
        <f t="shared" ca="1" si="0"/>
        <v>14</v>
      </c>
      <c r="K15" s="70">
        <f t="shared" ca="1" si="1"/>
        <v>9</v>
      </c>
      <c r="L15" s="70" t="str">
        <f t="shared" ca="1" si="2"/>
        <v/>
      </c>
      <c r="M15" s="70">
        <f t="shared" ca="1" si="3"/>
        <v>23</v>
      </c>
      <c r="N15" s="141">
        <v>14</v>
      </c>
      <c r="O15" s="141" t="str">
        <f t="shared" ca="1" si="4"/>
        <v>Worthington R</v>
      </c>
      <c r="P15" s="141">
        <f t="shared" ca="1" si="5"/>
        <v>6</v>
      </c>
      <c r="Q15" s="141">
        <f t="shared" ca="1" si="6"/>
        <v>0</v>
      </c>
      <c r="R15" s="141">
        <f t="shared" ca="1" si="7"/>
        <v>15</v>
      </c>
      <c r="S15" s="141">
        <f t="shared" ca="1" si="8"/>
        <v>38</v>
      </c>
      <c r="T15" s="143">
        <f t="shared" ca="1" si="9"/>
        <v>6.333333333333333</v>
      </c>
      <c r="W15" s="70" t="s">
        <v>225</v>
      </c>
    </row>
    <row r="16" spans="1:23" ht="12.75" x14ac:dyDescent="0.15">
      <c r="A16" s="70">
        <v>15</v>
      </c>
      <c r="B16" s="70" t="str">
        <f ca="1">OFFSET(Batting!$C$4,BatAves!$I16,0)</f>
        <v>Rollins R</v>
      </c>
      <c r="C16" s="74">
        <f ca="1">OFFSET(Batting!$CE$4,BatAves!$I16,0)</f>
        <v>3</v>
      </c>
      <c r="D16" s="74">
        <f ca="1">OFFSET(Batting!$CG$4,BatAves!$I16,0)</f>
        <v>3</v>
      </c>
      <c r="E16" s="74">
        <f ca="1">OFFSET(Batting!$CH$4,BatAves!$I16,0)</f>
        <v>0</v>
      </c>
      <c r="F16" s="74">
        <f ca="1">OFFSET(Batting!$CJ$4,BatAves!$I16,0)</f>
        <v>19</v>
      </c>
      <c r="G16" s="74">
        <f ca="1">OFFSET(Batting!$CK$4,BatAves!$I16,0)</f>
        <v>29</v>
      </c>
      <c r="H16" s="79">
        <f ca="1">OFFSET(Batting!$CL$4,BatAves!$I16,0)</f>
        <v>9.6666666666666661</v>
      </c>
      <c r="I16" s="70">
        <f>MATCH(A16,Batting!$DF$5:$DF$38,0)</f>
        <v>25</v>
      </c>
      <c r="J16" s="70">
        <f t="shared" ca="1" si="0"/>
        <v>1015</v>
      </c>
      <c r="K16" s="70">
        <f t="shared" ca="1" si="1"/>
        <v>23</v>
      </c>
      <c r="L16" s="70" t="str">
        <f t="shared" ca="1" si="2"/>
        <v>Rollins R 3-0-19-29</v>
      </c>
      <c r="M16" s="70">
        <f t="shared" ca="1" si="3"/>
        <v>25</v>
      </c>
      <c r="N16" s="141">
        <v>15</v>
      </c>
      <c r="O16" s="141" t="str">
        <f t="shared" ca="1" si="4"/>
        <v>Smith C</v>
      </c>
      <c r="P16" s="141">
        <f t="shared" ca="1" si="5"/>
        <v>14</v>
      </c>
      <c r="Q16" s="141">
        <f t="shared" ca="1" si="6"/>
        <v>0</v>
      </c>
      <c r="R16" s="141">
        <f t="shared" ca="1" si="7"/>
        <v>21</v>
      </c>
      <c r="S16" s="141">
        <f t="shared" ca="1" si="8"/>
        <v>81</v>
      </c>
      <c r="T16" s="143">
        <f t="shared" ca="1" si="9"/>
        <v>5.7857142857142856</v>
      </c>
      <c r="W16" s="70" t="s">
        <v>225</v>
      </c>
    </row>
    <row r="17" spans="1:23" ht="12.75" x14ac:dyDescent="0.15">
      <c r="A17" s="70">
        <v>16</v>
      </c>
      <c r="B17" s="70" t="str">
        <f ca="1">OFFSET(Batting!$C$4,BatAves!$I17,0)</f>
        <v>Kiernan M</v>
      </c>
      <c r="C17" s="74">
        <f ca="1">OFFSET(Batting!$CE$4,BatAves!$I17,0)</f>
        <v>7</v>
      </c>
      <c r="D17" s="74">
        <f ca="1">OFFSET(Batting!$CG$4,BatAves!$I17,0)</f>
        <v>5</v>
      </c>
      <c r="E17" s="74">
        <f ca="1">OFFSET(Batting!$CH$4,BatAves!$I17,0)</f>
        <v>2</v>
      </c>
      <c r="F17" s="74" t="str">
        <f ca="1">OFFSET(Batting!$CJ$4,BatAves!$I17,0)</f>
        <v>15*</v>
      </c>
      <c r="G17" s="74">
        <f ca="1">OFFSET(Batting!$CK$4,BatAves!$I17,0)</f>
        <v>28</v>
      </c>
      <c r="H17" s="79">
        <f ca="1">OFFSET(Batting!$CL$4,BatAves!$I17,0)</f>
        <v>9.3333333333333339</v>
      </c>
      <c r="I17" s="70">
        <f>MATCH(A17,Batting!$DF$5:$DF$38,0)</f>
        <v>17</v>
      </c>
      <c r="J17" s="70">
        <f t="shared" ca="1" si="0"/>
        <v>16</v>
      </c>
      <c r="K17" s="70">
        <f t="shared" ca="1" si="1"/>
        <v>10</v>
      </c>
      <c r="L17" s="70" t="str">
        <f t="shared" ca="1" si="2"/>
        <v/>
      </c>
      <c r="M17" s="70">
        <f t="shared" ca="1" si="3"/>
        <v>26</v>
      </c>
      <c r="N17" s="141">
        <v>16</v>
      </c>
      <c r="O17" s="141" t="str">
        <f t="shared" ca="1" si="4"/>
        <v>Coloe A</v>
      </c>
      <c r="P17" s="141">
        <f t="shared" ca="1" si="5"/>
        <v>7</v>
      </c>
      <c r="Q17" s="141">
        <f t="shared" ca="1" si="6"/>
        <v>1</v>
      </c>
      <c r="R17" s="141">
        <f t="shared" ca="1" si="7"/>
        <v>25</v>
      </c>
      <c r="S17" s="141">
        <f t="shared" ca="1" si="8"/>
        <v>34</v>
      </c>
      <c r="T17" s="143">
        <f t="shared" ca="1" si="9"/>
        <v>5.666666666666667</v>
      </c>
      <c r="W17" s="70" t="s">
        <v>225</v>
      </c>
    </row>
    <row r="18" spans="1:23" ht="12.75" x14ac:dyDescent="0.15">
      <c r="A18" s="70">
        <v>17</v>
      </c>
      <c r="B18" s="70" t="str">
        <f ca="1">OFFSET(Batting!$C$4,BatAves!$I18,0)</f>
        <v>Chitnavis B</v>
      </c>
      <c r="C18" s="74">
        <f ca="1">OFFSET(Batting!$CE$4,BatAves!$I18,0)</f>
        <v>2</v>
      </c>
      <c r="D18" s="74">
        <f ca="1">OFFSET(Batting!$CG$4,BatAves!$I18,0)</f>
        <v>2</v>
      </c>
      <c r="E18" s="74">
        <f ca="1">OFFSET(Batting!$CH$4,BatAves!$I18,0)</f>
        <v>0</v>
      </c>
      <c r="F18" s="74">
        <f ca="1">OFFSET(Batting!$CJ$4,BatAves!$I18,0)</f>
        <v>15</v>
      </c>
      <c r="G18" s="74">
        <f ca="1">OFFSET(Batting!$CK$4,BatAves!$I18,0)</f>
        <v>18</v>
      </c>
      <c r="H18" s="79">
        <f ca="1">OFFSET(Batting!$CL$4,BatAves!$I18,0)</f>
        <v>9</v>
      </c>
      <c r="I18" s="70">
        <f>MATCH(A18,Batting!$DF$5:$DF$38,0)</f>
        <v>3</v>
      </c>
      <c r="J18" s="70">
        <f t="shared" ca="1" si="0"/>
        <v>1017</v>
      </c>
      <c r="K18" s="70">
        <f t="shared" ca="1" si="1"/>
        <v>24</v>
      </c>
      <c r="L18" s="70" t="str">
        <f t="shared" ca="1" si="2"/>
        <v>Chitnavis B 2-0-15-18</v>
      </c>
      <c r="M18" s="70">
        <f t="shared" ca="1" si="3"/>
        <v>27</v>
      </c>
      <c r="N18" s="141">
        <v>17</v>
      </c>
      <c r="O18" s="141" t="str">
        <f t="shared" ca="1" si="4"/>
        <v>Clark C</v>
      </c>
      <c r="P18" s="141">
        <f t="shared" ca="1" si="5"/>
        <v>7</v>
      </c>
      <c r="Q18" s="141">
        <f t="shared" ca="1" si="6"/>
        <v>0</v>
      </c>
      <c r="R18" s="141">
        <f t="shared" ca="1" si="7"/>
        <v>20</v>
      </c>
      <c r="S18" s="141">
        <f t="shared" ca="1" si="8"/>
        <v>39</v>
      </c>
      <c r="T18" s="143">
        <f t="shared" ca="1" si="9"/>
        <v>5.5714285714285712</v>
      </c>
      <c r="W18" s="70" t="s">
        <v>225</v>
      </c>
    </row>
    <row r="19" spans="1:23" ht="12.75" x14ac:dyDescent="0.15">
      <c r="A19" s="70">
        <v>18</v>
      </c>
      <c r="B19" s="70" t="str">
        <f ca="1">OFFSET(Batting!$C$4,BatAves!$I19,0)</f>
        <v>Seymour C</v>
      </c>
      <c r="C19" s="74">
        <f ca="1">OFFSET(Batting!$CE$4,BatAves!$I19,0)</f>
        <v>14</v>
      </c>
      <c r="D19" s="74">
        <f ca="1">OFFSET(Batting!$CG$4,BatAves!$I19,0)</f>
        <v>10</v>
      </c>
      <c r="E19" s="74">
        <f ca="1">OFFSET(Batting!$CH$4,BatAves!$I19,0)</f>
        <v>3</v>
      </c>
      <c r="F19" s="74" t="str">
        <f ca="1">OFFSET(Batting!$CJ$4,BatAves!$I19,0)</f>
        <v>22*</v>
      </c>
      <c r="G19" s="74">
        <f ca="1">OFFSET(Batting!$CK$4,BatAves!$I19,0)</f>
        <v>57</v>
      </c>
      <c r="H19" s="79">
        <f ca="1">OFFSET(Batting!$CL$4,BatAves!$I19,0)</f>
        <v>8.1428571428571423</v>
      </c>
      <c r="I19" s="70">
        <f>MATCH(A19,Batting!$DF$5:$DF$38,0)</f>
        <v>26</v>
      </c>
      <c r="J19" s="70">
        <f t="shared" ca="1" si="0"/>
        <v>18</v>
      </c>
      <c r="K19" s="70">
        <f t="shared" ca="1" si="1"/>
        <v>11</v>
      </c>
      <c r="L19" s="70" t="str">
        <f t="shared" ca="1" si="2"/>
        <v/>
      </c>
      <c r="M19" s="70">
        <f t="shared" ca="1" si="3"/>
        <v>1</v>
      </c>
      <c r="N19" s="141">
        <v>18</v>
      </c>
      <c r="O19" s="141" t="str">
        <f t="shared" ca="1" si="4"/>
        <v>Gibbs A</v>
      </c>
      <c r="P19" s="141">
        <f t="shared" ca="1" si="5"/>
        <v>1</v>
      </c>
      <c r="Q19" s="141">
        <f t="shared" ca="1" si="6"/>
        <v>0</v>
      </c>
      <c r="R19" s="141">
        <f t="shared" ca="1" si="7"/>
        <v>78</v>
      </c>
      <c r="S19" s="141">
        <f t="shared" ca="1" si="8"/>
        <v>78</v>
      </c>
      <c r="T19" s="143">
        <f t="shared" ca="1" si="9"/>
        <v>78</v>
      </c>
      <c r="V19" s="70" t="s">
        <v>225</v>
      </c>
      <c r="W19" s="70" t="s">
        <v>225</v>
      </c>
    </row>
    <row r="20" spans="1:23" ht="12.75" x14ac:dyDescent="0.15">
      <c r="A20" s="70">
        <v>19</v>
      </c>
      <c r="B20" s="70" t="str">
        <f ca="1">OFFSET(Batting!$C$4,BatAves!$I20,0)</f>
        <v>Davies R</v>
      </c>
      <c r="C20" s="74">
        <f ca="1">OFFSET(Batting!$CE$4,BatAves!$I20,0)</f>
        <v>1</v>
      </c>
      <c r="D20" s="74">
        <f ca="1">OFFSET(Batting!$CG$4,BatAves!$I20,0)</f>
        <v>1</v>
      </c>
      <c r="E20" s="74">
        <f ca="1">OFFSET(Batting!$CH$4,BatAves!$I20,0)</f>
        <v>0</v>
      </c>
      <c r="F20" s="74">
        <f ca="1">OFFSET(Batting!$CJ$4,BatAves!$I20,0)</f>
        <v>8</v>
      </c>
      <c r="G20" s="74">
        <f ca="1">OFFSET(Batting!$CK$4,BatAves!$I20,0)</f>
        <v>8</v>
      </c>
      <c r="H20" s="79">
        <f ca="1">OFFSET(Batting!$CL$4,BatAves!$I20,0)</f>
        <v>8</v>
      </c>
      <c r="I20" s="70">
        <f>MATCH(A20,Batting!$DF$5:$DF$38,0)</f>
        <v>8</v>
      </c>
      <c r="J20" s="70">
        <f t="shared" ca="1" si="0"/>
        <v>1019</v>
      </c>
      <c r="K20" s="70">
        <f t="shared" ca="1" si="1"/>
        <v>25</v>
      </c>
      <c r="L20" s="70" t="str">
        <f t="shared" ca="1" si="2"/>
        <v>Davies R 1-0-8-8</v>
      </c>
      <c r="M20" s="70">
        <f t="shared" ca="1" si="3"/>
        <v>3</v>
      </c>
      <c r="N20" s="141">
        <v>19</v>
      </c>
      <c r="O20" s="141" t="str">
        <f t="shared" ca="1" si="4"/>
        <v>Missen</v>
      </c>
      <c r="P20" s="141">
        <f t="shared" ca="1" si="5"/>
        <v>1</v>
      </c>
      <c r="Q20" s="141">
        <f t="shared" ca="1" si="6"/>
        <v>0</v>
      </c>
      <c r="R20" s="141">
        <f t="shared" ca="1" si="7"/>
        <v>30</v>
      </c>
      <c r="S20" s="141">
        <f t="shared" ca="1" si="8"/>
        <v>30</v>
      </c>
      <c r="T20" s="143">
        <f t="shared" ca="1" si="9"/>
        <v>30</v>
      </c>
      <c r="V20" s="70" t="s">
        <v>225</v>
      </c>
      <c r="W20" s="70" t="s">
        <v>225</v>
      </c>
    </row>
    <row r="21" spans="1:23" ht="12.75" x14ac:dyDescent="0.15">
      <c r="A21" s="70">
        <v>20</v>
      </c>
      <c r="B21" s="70" t="str">
        <f ca="1">OFFSET(Batting!$C$4,BatAves!$I21,0)</f>
        <v>Lovell</v>
      </c>
      <c r="C21" s="74">
        <f ca="1">OFFSET(Batting!$CE$4,BatAves!$I21,0)</f>
        <v>4</v>
      </c>
      <c r="D21" s="74">
        <f ca="1">OFFSET(Batting!$CG$4,BatAves!$I21,0)</f>
        <v>4</v>
      </c>
      <c r="E21" s="74">
        <f ca="1">OFFSET(Batting!$CH$4,BatAves!$I21,0)</f>
        <v>0</v>
      </c>
      <c r="F21" s="74">
        <f ca="1">OFFSET(Batting!$CJ$4,BatAves!$I21,0)</f>
        <v>15</v>
      </c>
      <c r="G21" s="74">
        <f ca="1">OFFSET(Batting!$CK$4,BatAves!$I21,0)</f>
        <v>31</v>
      </c>
      <c r="H21" s="79">
        <f ca="1">OFFSET(Batting!$CL$4,BatAves!$I21,0)</f>
        <v>7.75</v>
      </c>
      <c r="I21" s="70">
        <f>MATCH(A21,Batting!$DF$5:$DF$38,0)</f>
        <v>21</v>
      </c>
      <c r="J21" s="70">
        <f t="shared" ca="1" si="0"/>
        <v>1020</v>
      </c>
      <c r="K21" s="70">
        <f t="shared" ca="1" si="1"/>
        <v>26</v>
      </c>
      <c r="L21" s="70" t="str">
        <f t="shared" ca="1" si="2"/>
        <v>Lovell 4-0-15-31</v>
      </c>
      <c r="M21" s="70">
        <f t="shared" ca="1" si="3"/>
        <v>5</v>
      </c>
      <c r="N21" s="141">
        <v>20</v>
      </c>
      <c r="O21" s="141" t="str">
        <f t="shared" ca="1" si="4"/>
        <v>Wright P</v>
      </c>
      <c r="P21" s="141">
        <f t="shared" ca="1" si="5"/>
        <v>3</v>
      </c>
      <c r="Q21" s="141">
        <f t="shared" ca="1" si="6"/>
        <v>1</v>
      </c>
      <c r="R21" s="141">
        <f t="shared" ca="1" si="7"/>
        <v>25</v>
      </c>
      <c r="S21" s="141">
        <f t="shared" ca="1" si="8"/>
        <v>45</v>
      </c>
      <c r="T21" s="143">
        <f t="shared" ca="1" si="9"/>
        <v>22.5</v>
      </c>
      <c r="V21" s="70" t="s">
        <v>225</v>
      </c>
      <c r="W21" s="70" t="s">
        <v>225</v>
      </c>
    </row>
    <row r="22" spans="1:23" ht="12.75" x14ac:dyDescent="0.15">
      <c r="A22" s="70">
        <v>21</v>
      </c>
      <c r="B22" s="70" t="str">
        <f ca="1">OFFSET(Batting!$C$4,BatAves!$I22,0)</f>
        <v>Chaffey P</v>
      </c>
      <c r="C22" s="74">
        <f ca="1">OFFSET(Batting!$CE$4,BatAves!$I22,0)</f>
        <v>7</v>
      </c>
      <c r="D22" s="74">
        <f ca="1">OFFSET(Batting!$CG$4,BatAves!$I22,0)</f>
        <v>5</v>
      </c>
      <c r="E22" s="74">
        <f ca="1">OFFSET(Batting!$CH$4,BatAves!$I22,0)</f>
        <v>1</v>
      </c>
      <c r="F22" s="74">
        <f ca="1">OFFSET(Batting!$CJ$4,BatAves!$I22,0)</f>
        <v>13</v>
      </c>
      <c r="G22" s="74">
        <f ca="1">OFFSET(Batting!$CK$4,BatAves!$I22,0)</f>
        <v>30</v>
      </c>
      <c r="H22" s="79">
        <f ca="1">OFFSET(Batting!$CL$4,BatAves!$I22,0)</f>
        <v>7.5</v>
      </c>
      <c r="I22" s="70">
        <f>MATCH(A22,Batting!$DF$5:$DF$38,0)</f>
        <v>2</v>
      </c>
      <c r="J22" s="70">
        <f t="shared" ca="1" si="0"/>
        <v>21</v>
      </c>
      <c r="K22" s="70">
        <f t="shared" ca="1" si="1"/>
        <v>12</v>
      </c>
      <c r="L22" s="70" t="str">
        <f t="shared" ca="1" si="2"/>
        <v/>
      </c>
      <c r="M22" s="70">
        <f t="shared" ca="1" si="3"/>
        <v>6</v>
      </c>
      <c r="N22" s="141">
        <v>21</v>
      </c>
      <c r="O22" s="141" t="str">
        <f t="shared" ca="1" si="4"/>
        <v>Martin T</v>
      </c>
      <c r="P22" s="141">
        <f t="shared" ca="1" si="5"/>
        <v>2</v>
      </c>
      <c r="Q22" s="141">
        <f t="shared" ca="1" si="6"/>
        <v>0</v>
      </c>
      <c r="R22" s="141">
        <f t="shared" ca="1" si="7"/>
        <v>31</v>
      </c>
      <c r="S22" s="141">
        <f t="shared" ca="1" si="8"/>
        <v>37</v>
      </c>
      <c r="T22" s="143">
        <f t="shared" ca="1" si="9"/>
        <v>18.5</v>
      </c>
      <c r="V22" s="70" t="s">
        <v>225</v>
      </c>
      <c r="W22" s="70" t="s">
        <v>225</v>
      </c>
    </row>
    <row r="23" spans="1:23" ht="12.75" x14ac:dyDescent="0.15">
      <c r="A23" s="70">
        <v>22</v>
      </c>
      <c r="B23" s="70" t="str">
        <f ca="1">OFFSET(Batting!$C$4,BatAves!$I23,0)</f>
        <v>Lestrelle A</v>
      </c>
      <c r="C23" s="74">
        <f ca="1">OFFSET(Batting!$CE$4,BatAves!$I23,0)</f>
        <v>10</v>
      </c>
      <c r="D23" s="74">
        <f ca="1">OFFSET(Batting!$CG$4,BatAves!$I23,0)</f>
        <v>8</v>
      </c>
      <c r="E23" s="74">
        <f ca="1">OFFSET(Batting!$CH$4,BatAves!$I23,0)</f>
        <v>0</v>
      </c>
      <c r="F23" s="74">
        <f ca="1">OFFSET(Batting!$CJ$4,BatAves!$I23,0)</f>
        <v>15</v>
      </c>
      <c r="G23" s="74">
        <f ca="1">OFFSET(Batting!$CK$4,BatAves!$I23,0)</f>
        <v>53</v>
      </c>
      <c r="H23" s="79">
        <f ca="1">OFFSET(Batting!$CL$4,BatAves!$I23,0)</f>
        <v>6.625</v>
      </c>
      <c r="I23" s="70">
        <f>MATCH(A23,Batting!$DF$5:$DF$38,0)</f>
        <v>19</v>
      </c>
      <c r="J23" s="70">
        <f t="shared" ca="1" si="0"/>
        <v>22</v>
      </c>
      <c r="K23" s="70">
        <f t="shared" ca="1" si="1"/>
        <v>13</v>
      </c>
      <c r="L23" s="70" t="str">
        <f t="shared" ca="1" si="2"/>
        <v/>
      </c>
      <c r="M23" s="70">
        <f t="shared" ca="1" si="3"/>
        <v>10</v>
      </c>
      <c r="N23" s="141">
        <v>22</v>
      </c>
      <c r="O23" s="141" t="str">
        <f t="shared" ca="1" si="4"/>
        <v>Singh H</v>
      </c>
      <c r="P23" s="141">
        <f t="shared" ca="1" si="5"/>
        <v>3</v>
      </c>
      <c r="Q23" s="141">
        <f t="shared" ca="1" si="6"/>
        <v>0</v>
      </c>
      <c r="R23" s="141">
        <f t="shared" ca="1" si="7"/>
        <v>15</v>
      </c>
      <c r="S23" s="141">
        <f t="shared" ca="1" si="8"/>
        <v>35</v>
      </c>
      <c r="T23" s="143">
        <f t="shared" ca="1" si="9"/>
        <v>11.666666666666666</v>
      </c>
      <c r="V23" s="70" t="s">
        <v>225</v>
      </c>
      <c r="W23" s="70" t="s">
        <v>225</v>
      </c>
    </row>
    <row r="24" spans="1:23" ht="12.75" x14ac:dyDescent="0.15">
      <c r="A24" s="70">
        <v>23</v>
      </c>
      <c r="B24" s="70" t="str">
        <f ca="1">OFFSET(Batting!$C$4,BatAves!$I24,0)</f>
        <v>Worthington R</v>
      </c>
      <c r="C24" s="74">
        <f ca="1">OFFSET(Batting!$CE$4,BatAves!$I24,0)</f>
        <v>6</v>
      </c>
      <c r="D24" s="74">
        <f ca="1">OFFSET(Batting!$CG$4,BatAves!$I24,0)</f>
        <v>6</v>
      </c>
      <c r="E24" s="74">
        <f ca="1">OFFSET(Batting!$CH$4,BatAves!$I24,0)</f>
        <v>0</v>
      </c>
      <c r="F24" s="74">
        <f ca="1">OFFSET(Batting!$CJ$4,BatAves!$I24,0)</f>
        <v>15</v>
      </c>
      <c r="G24" s="74">
        <f ca="1">OFFSET(Batting!$CK$4,BatAves!$I24,0)</f>
        <v>38</v>
      </c>
      <c r="H24" s="79">
        <f ca="1">OFFSET(Batting!$CL$4,BatAves!$I24,0)</f>
        <v>6.333333333333333</v>
      </c>
      <c r="I24" s="70">
        <f>MATCH(A24,Batting!$DF$5:$DF$38,0)</f>
        <v>33</v>
      </c>
      <c r="J24" s="70">
        <f t="shared" ca="1" si="0"/>
        <v>23</v>
      </c>
      <c r="K24" s="70">
        <f t="shared" ca="1" si="1"/>
        <v>14</v>
      </c>
      <c r="L24" s="70" t="str">
        <f t="shared" ca="1" si="2"/>
        <v/>
      </c>
      <c r="M24" s="70">
        <f t="shared" ca="1" si="3"/>
        <v>15</v>
      </c>
      <c r="N24" s="141">
        <v>23</v>
      </c>
      <c r="O24" s="141" t="str">
        <f t="shared" ca="1" si="4"/>
        <v>Rollins R</v>
      </c>
      <c r="P24" s="141">
        <f t="shared" ca="1" si="5"/>
        <v>3</v>
      </c>
      <c r="Q24" s="141">
        <f t="shared" ca="1" si="6"/>
        <v>0</v>
      </c>
      <c r="R24" s="141">
        <f t="shared" ca="1" si="7"/>
        <v>19</v>
      </c>
      <c r="S24" s="141">
        <f t="shared" ca="1" si="8"/>
        <v>29</v>
      </c>
      <c r="T24" s="143">
        <f t="shared" ca="1" si="9"/>
        <v>9.6666666666666661</v>
      </c>
      <c r="V24" s="70" t="s">
        <v>225</v>
      </c>
    </row>
    <row r="25" spans="1:23" ht="12.75" x14ac:dyDescent="0.15">
      <c r="A25" s="70">
        <v>24</v>
      </c>
      <c r="B25" s="70" t="str">
        <f ca="1">OFFSET(Batting!$C$4,BatAves!$I25,0)</f>
        <v>Leadley J</v>
      </c>
      <c r="C25" s="74">
        <f ca="1">OFFSET(Batting!$CE$4,BatAves!$I25,0)</f>
        <v>1</v>
      </c>
      <c r="D25" s="74">
        <f ca="1">OFFSET(Batting!$CG$4,BatAves!$I25,0)</f>
        <v>1</v>
      </c>
      <c r="E25" s="74">
        <f ca="1">OFFSET(Batting!$CH$4,BatAves!$I25,0)</f>
        <v>0</v>
      </c>
      <c r="F25" s="74">
        <f ca="1">OFFSET(Batting!$CJ$4,BatAves!$I25,0)</f>
        <v>6</v>
      </c>
      <c r="G25" s="74">
        <f ca="1">OFFSET(Batting!$CK$4,BatAves!$I25,0)</f>
        <v>6</v>
      </c>
      <c r="H25" s="79">
        <f ca="1">OFFSET(Batting!$CL$4,BatAves!$I25,0)</f>
        <v>6</v>
      </c>
      <c r="I25" s="70">
        <f>MATCH(A25,Batting!$DF$5:$DF$38,0)</f>
        <v>18</v>
      </c>
      <c r="J25" s="70">
        <f t="shared" ca="1" si="0"/>
        <v>1024</v>
      </c>
      <c r="K25" s="70">
        <f t="shared" ca="1" si="1"/>
        <v>27</v>
      </c>
      <c r="L25" s="70" t="str">
        <f t="shared" ca="1" si="2"/>
        <v>Leadley J 1-0-6-6</v>
      </c>
      <c r="M25" s="70">
        <f t="shared" ca="1" si="3"/>
        <v>17</v>
      </c>
      <c r="N25" s="141">
        <v>24</v>
      </c>
      <c r="O25" s="141" t="str">
        <f t="shared" ca="1" si="4"/>
        <v>Chitnavis B</v>
      </c>
      <c r="P25" s="141">
        <f t="shared" ca="1" si="5"/>
        <v>2</v>
      </c>
      <c r="Q25" s="141">
        <f t="shared" ca="1" si="6"/>
        <v>0</v>
      </c>
      <c r="R25" s="141">
        <f t="shared" ca="1" si="7"/>
        <v>15</v>
      </c>
      <c r="S25" s="141">
        <f t="shared" ca="1" si="8"/>
        <v>18</v>
      </c>
      <c r="T25" s="143">
        <f t="shared" ca="1" si="9"/>
        <v>9</v>
      </c>
      <c r="V25" s="70" t="s">
        <v>225</v>
      </c>
    </row>
    <row r="26" spans="1:23" ht="12.75" x14ac:dyDescent="0.15">
      <c r="A26" s="70">
        <v>25</v>
      </c>
      <c r="B26" s="70" t="str">
        <f ca="1">OFFSET(Batting!$C$4,BatAves!$I26,0)</f>
        <v>Smith C</v>
      </c>
      <c r="C26" s="74">
        <f ca="1">OFFSET(Batting!$CE$4,BatAves!$I26,0)</f>
        <v>16</v>
      </c>
      <c r="D26" s="74">
        <f ca="1">OFFSET(Batting!$CG$4,BatAves!$I26,0)</f>
        <v>14</v>
      </c>
      <c r="E26" s="74">
        <f ca="1">OFFSET(Batting!$CH$4,BatAves!$I26,0)</f>
        <v>0</v>
      </c>
      <c r="F26" s="74">
        <f ca="1">OFFSET(Batting!$CJ$4,BatAves!$I26,0)</f>
        <v>21</v>
      </c>
      <c r="G26" s="74">
        <f ca="1">OFFSET(Batting!$CK$4,BatAves!$I26,0)</f>
        <v>81</v>
      </c>
      <c r="H26" s="79">
        <f ca="1">OFFSET(Batting!$CL$4,BatAves!$I26,0)</f>
        <v>5.7857142857142856</v>
      </c>
      <c r="I26" s="70">
        <f>MATCH(A26,Batting!$DF$5:$DF$38,0)</f>
        <v>30</v>
      </c>
      <c r="J26" s="70">
        <f t="shared" ca="1" si="0"/>
        <v>25</v>
      </c>
      <c r="K26" s="70">
        <f t="shared" ca="1" si="1"/>
        <v>15</v>
      </c>
      <c r="L26" s="70" t="str">
        <f t="shared" ca="1" si="2"/>
        <v/>
      </c>
      <c r="M26" s="70">
        <f t="shared" ca="1" si="3"/>
        <v>19</v>
      </c>
      <c r="N26" s="141">
        <v>25</v>
      </c>
      <c r="O26" s="141" t="str">
        <f t="shared" ca="1" si="4"/>
        <v>Davies R</v>
      </c>
      <c r="P26" s="141">
        <f t="shared" ca="1" si="5"/>
        <v>1</v>
      </c>
      <c r="Q26" s="141">
        <f t="shared" ca="1" si="6"/>
        <v>0</v>
      </c>
      <c r="R26" s="141">
        <f t="shared" ca="1" si="7"/>
        <v>8</v>
      </c>
      <c r="S26" s="141">
        <f t="shared" ca="1" si="8"/>
        <v>8</v>
      </c>
      <c r="T26" s="143">
        <f t="shared" ca="1" si="9"/>
        <v>8</v>
      </c>
      <c r="V26" s="70" t="s">
        <v>225</v>
      </c>
    </row>
    <row r="27" spans="1:23" ht="12.75" x14ac:dyDescent="0.15">
      <c r="A27" s="70">
        <v>26</v>
      </c>
      <c r="B27" s="70" t="str">
        <f ca="1">OFFSET(Batting!$C$4,BatAves!$I27,0)</f>
        <v>Coloe A</v>
      </c>
      <c r="C27" s="74">
        <f ca="1">OFFSET(Batting!$CE$4,BatAves!$I27,0)</f>
        <v>7</v>
      </c>
      <c r="D27" s="74">
        <f ca="1">OFFSET(Batting!$CG$4,BatAves!$I27,0)</f>
        <v>7</v>
      </c>
      <c r="E27" s="74">
        <f ca="1">OFFSET(Batting!$CH$4,BatAves!$I27,0)</f>
        <v>1</v>
      </c>
      <c r="F27" s="74">
        <f ca="1">OFFSET(Batting!$CJ$4,BatAves!$I27,0)</f>
        <v>25</v>
      </c>
      <c r="G27" s="74">
        <f ca="1">OFFSET(Batting!$CK$4,BatAves!$I27,0)</f>
        <v>34</v>
      </c>
      <c r="H27" s="79">
        <f ca="1">OFFSET(Batting!$CL$4,BatAves!$I27,0)</f>
        <v>5.666666666666667</v>
      </c>
      <c r="I27" s="70">
        <f>MATCH(A27,Batting!$DF$5:$DF$38,0)</f>
        <v>6</v>
      </c>
      <c r="J27" s="70">
        <f t="shared" ca="1" si="0"/>
        <v>26</v>
      </c>
      <c r="K27" s="70">
        <f t="shared" ca="1" si="1"/>
        <v>16</v>
      </c>
      <c r="L27" s="70" t="str">
        <f t="shared" ca="1" si="2"/>
        <v/>
      </c>
      <c r="M27" s="70">
        <f t="shared" ca="1" si="3"/>
        <v>20</v>
      </c>
      <c r="N27" s="141">
        <v>26</v>
      </c>
      <c r="O27" s="141" t="str">
        <f t="shared" ca="1" si="4"/>
        <v>Lovell</v>
      </c>
      <c r="P27" s="141">
        <f t="shared" ca="1" si="5"/>
        <v>4</v>
      </c>
      <c r="Q27" s="141">
        <f t="shared" ca="1" si="6"/>
        <v>0</v>
      </c>
      <c r="R27" s="141">
        <f t="shared" ca="1" si="7"/>
        <v>15</v>
      </c>
      <c r="S27" s="141">
        <f t="shared" ca="1" si="8"/>
        <v>31</v>
      </c>
      <c r="T27" s="143">
        <f t="shared" ca="1" si="9"/>
        <v>7.75</v>
      </c>
      <c r="V27" s="70" t="s">
        <v>225</v>
      </c>
    </row>
    <row r="28" spans="1:23" ht="12.75" x14ac:dyDescent="0.15">
      <c r="A28" s="70">
        <v>27</v>
      </c>
      <c r="B28" s="70" t="str">
        <f ca="1">OFFSET(Batting!$C$4,BatAves!$I28,0)</f>
        <v>Clark C</v>
      </c>
      <c r="C28" s="74">
        <f ca="1">OFFSET(Batting!$CE$4,BatAves!$I28,0)</f>
        <v>16</v>
      </c>
      <c r="D28" s="74">
        <f ca="1">OFFSET(Batting!$CG$4,BatAves!$I28,0)</f>
        <v>7</v>
      </c>
      <c r="E28" s="74">
        <f ca="1">OFFSET(Batting!$CH$4,BatAves!$I28,0)</f>
        <v>0</v>
      </c>
      <c r="F28" s="74">
        <f ca="1">OFFSET(Batting!$CJ$4,BatAves!$I28,0)</f>
        <v>20</v>
      </c>
      <c r="G28" s="74">
        <f ca="1">OFFSET(Batting!$CK$4,BatAves!$I28,0)</f>
        <v>39</v>
      </c>
      <c r="H28" s="79">
        <f ca="1">OFFSET(Batting!$CL$4,BatAves!$I28,0)</f>
        <v>5.5714285714285712</v>
      </c>
      <c r="I28" s="70">
        <f>MATCH(A28,Batting!$DF$5:$DF$38,0)</f>
        <v>4</v>
      </c>
      <c r="J28" s="70">
        <f t="shared" ca="1" si="0"/>
        <v>27</v>
      </c>
      <c r="K28" s="70">
        <f t="shared" ca="1" si="1"/>
        <v>17</v>
      </c>
      <c r="L28" s="70" t="str">
        <f t="shared" ca="1" si="2"/>
        <v/>
      </c>
      <c r="M28" s="70">
        <f t="shared" ca="1" si="3"/>
        <v>24</v>
      </c>
      <c r="N28" s="141">
        <v>27</v>
      </c>
      <c r="O28" s="141" t="str">
        <f t="shared" ca="1" si="4"/>
        <v>Leadley J</v>
      </c>
      <c r="P28" s="141">
        <f t="shared" ca="1" si="5"/>
        <v>1</v>
      </c>
      <c r="Q28" s="141">
        <f t="shared" ca="1" si="6"/>
        <v>0</v>
      </c>
      <c r="R28" s="141">
        <f t="shared" ca="1" si="7"/>
        <v>6</v>
      </c>
      <c r="S28" s="141">
        <f t="shared" ca="1" si="8"/>
        <v>6</v>
      </c>
      <c r="T28" s="143">
        <f t="shared" ca="1" si="9"/>
        <v>6</v>
      </c>
      <c r="V28" s="70" t="s">
        <v>225</v>
      </c>
    </row>
    <row r="29" spans="1:23" ht="12.75" x14ac:dyDescent="0.15">
      <c r="A29" s="70">
        <v>28</v>
      </c>
      <c r="B29" s="70" t="str">
        <f ca="1">OFFSET(Batting!$C$4,BatAves!$I29,0)</f>
        <v>Engel W</v>
      </c>
      <c r="C29" s="74">
        <f ca="1">OFFSET(Batting!$CE$4,BatAves!$I29,0)</f>
        <v>1</v>
      </c>
      <c r="D29" s="74">
        <f ca="1">OFFSET(Batting!$CG$4,BatAves!$I29,0)</f>
        <v>1</v>
      </c>
      <c r="E29" s="74">
        <f ca="1">OFFSET(Batting!$CH$4,BatAves!$I29,0)</f>
        <v>0</v>
      </c>
      <c r="F29" s="74">
        <f ca="1">OFFSET(Batting!$CJ$4,BatAves!$I29,0)</f>
        <v>3</v>
      </c>
      <c r="G29" s="74">
        <f ca="1">OFFSET(Batting!$CK$4,BatAves!$I29,0)</f>
        <v>3</v>
      </c>
      <c r="H29" s="79">
        <f ca="1">OFFSET(Batting!$CL$4,BatAves!$I29,0)</f>
        <v>3</v>
      </c>
      <c r="I29" s="70">
        <f>MATCH(A29,Batting!$DF$5:$DF$38,0)</f>
        <v>12</v>
      </c>
      <c r="J29" s="70">
        <f t="shared" ca="1" si="0"/>
        <v>1028</v>
      </c>
      <c r="K29" s="70">
        <f t="shared" ca="1" si="1"/>
        <v>28</v>
      </c>
      <c r="L29" s="70" t="str">
        <f t="shared" ca="1" si="2"/>
        <v>Engel W 1-0-3-3</v>
      </c>
      <c r="M29" s="70">
        <f t="shared" ca="1" si="3"/>
        <v>28</v>
      </c>
      <c r="N29" s="141">
        <v>28</v>
      </c>
      <c r="O29" s="141" t="str">
        <f t="shared" ca="1" si="4"/>
        <v>Engel W</v>
      </c>
      <c r="P29" s="141">
        <f t="shared" ca="1" si="5"/>
        <v>1</v>
      </c>
      <c r="Q29" s="141">
        <f t="shared" ca="1" si="6"/>
        <v>0</v>
      </c>
      <c r="R29" s="141">
        <f t="shared" ca="1" si="7"/>
        <v>3</v>
      </c>
      <c r="S29" s="141">
        <f t="shared" ca="1" si="8"/>
        <v>3</v>
      </c>
      <c r="T29" s="143">
        <f t="shared" ca="1" si="9"/>
        <v>3</v>
      </c>
      <c r="V29" s="70" t="s">
        <v>225</v>
      </c>
    </row>
    <row r="30" spans="1:23" ht="12.75" x14ac:dyDescent="0.15">
      <c r="A30" s="70">
        <v>29</v>
      </c>
      <c r="B30" s="70" t="str">
        <f ca="1">OFFSET(Batting!$C$4,BatAves!$I30,0)</f>
        <v>Gibbs B</v>
      </c>
      <c r="C30" s="74">
        <f ca="1">OFFSET(Batting!$CE$4,BatAves!$I30,0)</f>
        <v>1</v>
      </c>
      <c r="D30" s="74">
        <f ca="1">OFFSET(Batting!$CG$4,BatAves!$I30,0)</f>
        <v>1</v>
      </c>
      <c r="E30" s="74">
        <f ca="1">OFFSET(Batting!$CH$4,BatAves!$I30,0)</f>
        <v>0</v>
      </c>
      <c r="F30" s="74">
        <f ca="1">OFFSET(Batting!$CJ$4,BatAves!$I30,0)</f>
        <v>2</v>
      </c>
      <c r="G30" s="74">
        <f ca="1">OFFSET(Batting!$CK$4,BatAves!$I30,0)</f>
        <v>2</v>
      </c>
      <c r="H30" s="79">
        <f ca="1">OFFSET(Batting!$CL$4,BatAves!$I30,0)</f>
        <v>2</v>
      </c>
      <c r="I30" s="70">
        <f>MATCH(A30,Batting!$DF$5:$DF$38,0)</f>
        <v>14</v>
      </c>
      <c r="J30" s="70">
        <f t="shared" ca="1" si="0"/>
        <v>1029</v>
      </c>
      <c r="K30" s="70">
        <f t="shared" ca="1" si="1"/>
        <v>29</v>
      </c>
      <c r="L30" s="70" t="str">
        <f t="shared" ca="1" si="2"/>
        <v>Gibbs B 1-0-2-2</v>
      </c>
      <c r="M30" s="70">
        <f t="shared" ca="1" si="3"/>
        <v>29</v>
      </c>
      <c r="N30" s="141">
        <v>29</v>
      </c>
      <c r="O30" s="141" t="str">
        <f t="shared" ca="1" si="4"/>
        <v>Gibbs B</v>
      </c>
      <c r="P30" s="141">
        <f t="shared" ca="1" si="5"/>
        <v>1</v>
      </c>
      <c r="Q30" s="141">
        <f t="shared" ca="1" si="6"/>
        <v>0</v>
      </c>
      <c r="R30" s="141">
        <f t="shared" ca="1" si="7"/>
        <v>2</v>
      </c>
      <c r="S30" s="141">
        <f t="shared" ca="1" si="8"/>
        <v>2</v>
      </c>
      <c r="T30" s="143">
        <f t="shared" ca="1" si="9"/>
        <v>2</v>
      </c>
      <c r="V30" s="70" t="s">
        <v>225</v>
      </c>
    </row>
    <row r="31" spans="1:23" ht="12.75" x14ac:dyDescent="0.15">
      <c r="A31" s="70">
        <v>30</v>
      </c>
      <c r="B31" s="70" t="str">
        <f ca="1">OFFSET(Batting!$C$4,BatAves!$I31,0)</f>
        <v>Edghill D</v>
      </c>
      <c r="C31" s="74">
        <f ca="1">OFFSET(Batting!$CE$4,BatAves!$I31,0)</f>
        <v>4</v>
      </c>
      <c r="D31" s="74">
        <f ca="1">OFFSET(Batting!$CG$4,BatAves!$I31,0)</f>
        <v>4</v>
      </c>
      <c r="E31" s="74">
        <f ca="1">OFFSET(Batting!$CH$4,BatAves!$I31,0)</f>
        <v>1</v>
      </c>
      <c r="F31" s="74">
        <f ca="1">OFFSET(Batting!$CJ$4,BatAves!$I31,0)</f>
        <v>5</v>
      </c>
      <c r="G31" s="74">
        <f ca="1">OFFSET(Batting!$CK$4,BatAves!$I31,0)</f>
        <v>5</v>
      </c>
      <c r="H31" s="79">
        <f ca="1">OFFSET(Batting!$CL$4,BatAves!$I31,0)</f>
        <v>1.6666666666666667</v>
      </c>
      <c r="I31" s="70">
        <f>MATCH(A31,Batting!$DF$5:$DF$38,0)</f>
        <v>11</v>
      </c>
      <c r="J31" s="70">
        <f t="shared" ca="1" si="0"/>
        <v>1030</v>
      </c>
      <c r="K31" s="70">
        <f t="shared" ca="1" si="1"/>
        <v>30</v>
      </c>
      <c r="L31" s="70" t="str">
        <f t="shared" ca="1" si="2"/>
        <v>Edghill D 4-1-5-5</v>
      </c>
      <c r="M31" s="70">
        <f t="shared" ca="1" si="3"/>
        <v>30</v>
      </c>
      <c r="N31" s="141">
        <v>30</v>
      </c>
      <c r="O31" s="141" t="str">
        <f t="shared" ca="1" si="4"/>
        <v>Edghill D</v>
      </c>
      <c r="P31" s="141">
        <f t="shared" ca="1" si="5"/>
        <v>4</v>
      </c>
      <c r="Q31" s="141">
        <f t="shared" ca="1" si="6"/>
        <v>1</v>
      </c>
      <c r="R31" s="141">
        <f t="shared" ca="1" si="7"/>
        <v>5</v>
      </c>
      <c r="S31" s="141">
        <f t="shared" ca="1" si="8"/>
        <v>5</v>
      </c>
      <c r="T31" s="143">
        <f t="shared" ca="1" si="9"/>
        <v>1.6666666666666667</v>
      </c>
      <c r="V31" s="70" t="s">
        <v>225</v>
      </c>
    </row>
    <row r="32" spans="1:23" ht="12.75" x14ac:dyDescent="0.15">
      <c r="A32" s="70">
        <v>31</v>
      </c>
      <c r="B32" s="70" t="str">
        <f ca="1">OFFSET(Batting!$C$4,BatAves!$I32,0)</f>
        <v>Wiseman R</v>
      </c>
      <c r="C32" s="74">
        <f ca="1">OFFSET(Batting!$CE$4,BatAves!$I32,0)</f>
        <v>2</v>
      </c>
      <c r="D32" s="74">
        <f ca="1">OFFSET(Batting!$CG$4,BatAves!$I32,0)</f>
        <v>1</v>
      </c>
      <c r="E32" s="74">
        <f ca="1">OFFSET(Batting!$CH$4,BatAves!$I32,0)</f>
        <v>0</v>
      </c>
      <c r="F32" s="74">
        <f ca="1">OFFSET(Batting!$CJ$4,BatAves!$I32,0)</f>
        <v>0</v>
      </c>
      <c r="G32" s="74">
        <f ca="1">OFFSET(Batting!$CK$4,BatAves!$I32,0)</f>
        <v>0</v>
      </c>
      <c r="H32" s="79">
        <f ca="1">OFFSET(Batting!$CL$4,BatAves!$I32,0)</f>
        <v>0</v>
      </c>
      <c r="I32" s="70">
        <f>MATCH(A32,Batting!$DF$5:$DF$38,0)</f>
        <v>31</v>
      </c>
      <c r="J32" s="70">
        <f t="shared" ca="1" si="0"/>
        <v>1031</v>
      </c>
      <c r="K32" s="70">
        <f t="shared" ca="1" si="1"/>
        <v>31</v>
      </c>
      <c r="L32" s="70" t="str">
        <f t="shared" ca="1" si="2"/>
        <v>Wiseman R 1-0-0-0</v>
      </c>
      <c r="M32" s="70">
        <f t="shared" ca="1" si="3"/>
        <v>31</v>
      </c>
      <c r="N32" s="141">
        <v>31</v>
      </c>
      <c r="O32" s="141" t="str">
        <f t="shared" ca="1" si="4"/>
        <v>Wiseman R</v>
      </c>
      <c r="P32" s="141">
        <f t="shared" ca="1" si="5"/>
        <v>1</v>
      </c>
      <c r="Q32" s="141">
        <f t="shared" ca="1" si="6"/>
        <v>0</v>
      </c>
      <c r="R32" s="141">
        <f t="shared" ca="1" si="7"/>
        <v>0</v>
      </c>
      <c r="S32" s="141">
        <f t="shared" ca="1" si="8"/>
        <v>0</v>
      </c>
      <c r="T32" s="143">
        <f t="shared" ca="1" si="9"/>
        <v>0</v>
      </c>
      <c r="V32" s="70" t="s">
        <v>225</v>
      </c>
    </row>
    <row r="33" spans="1:22" ht="12.75" x14ac:dyDescent="0.15">
      <c r="A33" s="70">
        <v>32</v>
      </c>
      <c r="B33" s="70" t="str">
        <f ca="1">OFFSET(Batting!$C$4,BatAves!$I33,0)</f>
        <v>Lestrelle J</v>
      </c>
      <c r="C33" s="74">
        <f ca="1">OFFSET(Batting!$CE$4,BatAves!$I33,0)</f>
        <v>1</v>
      </c>
      <c r="D33" s="74">
        <f ca="1">OFFSET(Batting!$CG$4,BatAves!$I33,0)</f>
        <v>1</v>
      </c>
      <c r="E33" s="74">
        <f ca="1">OFFSET(Batting!$CH$4,BatAves!$I33,0)</f>
        <v>1</v>
      </c>
      <c r="F33" s="74" t="str">
        <f ca="1">OFFSET(Batting!$CJ$4,BatAves!$I33,0)</f>
        <v>23*</v>
      </c>
      <c r="G33" s="74">
        <f ca="1">OFFSET(Batting!$CK$4,BatAves!$I33,0)</f>
        <v>23</v>
      </c>
      <c r="H33" s="79">
        <f ca="1">OFFSET(Batting!$CL$4,BatAves!$I33,0)</f>
        <v>0</v>
      </c>
      <c r="I33" s="70">
        <f>MATCH(A33,Batting!$DF$5:$DF$38,0)</f>
        <v>20</v>
      </c>
      <c r="J33" s="70">
        <f t="shared" ca="1" si="0"/>
        <v>1032</v>
      </c>
      <c r="K33" s="70">
        <f t="shared" ca="1" si="1"/>
        <v>32</v>
      </c>
      <c r="L33" s="70" t="str">
        <f t="shared" ca="1" si="2"/>
        <v>Lestrelle J 1-1-23*-23</v>
      </c>
      <c r="M33" s="70">
        <f t="shared" ca="1" si="3"/>
        <v>32</v>
      </c>
      <c r="N33" s="141">
        <v>32</v>
      </c>
      <c r="O33" s="141" t="str">
        <f t="shared" ca="1" si="4"/>
        <v>Lestrelle J</v>
      </c>
      <c r="P33" s="141">
        <f t="shared" ca="1" si="5"/>
        <v>1</v>
      </c>
      <c r="Q33" s="141">
        <f t="shared" ca="1" si="6"/>
        <v>1</v>
      </c>
      <c r="R33" s="141" t="str">
        <f t="shared" ca="1" si="7"/>
        <v>23*</v>
      </c>
      <c r="S33" s="141">
        <f t="shared" ca="1" si="8"/>
        <v>23</v>
      </c>
      <c r="T33" s="143">
        <f t="shared" ca="1" si="9"/>
        <v>0</v>
      </c>
      <c r="V33" s="70" t="s">
        <v>225</v>
      </c>
    </row>
    <row r="34" spans="1:22" ht="12.75" x14ac:dyDescent="0.15">
      <c r="A34" s="70">
        <v>33</v>
      </c>
      <c r="B34" s="70" t="str">
        <f ca="1">OFFSET(Batting!$C$4,BatAves!$I34,0)</f>
        <v>Bowers M</v>
      </c>
      <c r="C34" s="74">
        <f ca="1">OFFSET(Batting!$CE$4,BatAves!$I34,0)</f>
        <v>1</v>
      </c>
      <c r="D34" s="74">
        <f ca="1">OFFSET(Batting!$CG$4,BatAves!$I34,0)</f>
        <v>1</v>
      </c>
      <c r="E34" s="74">
        <f ca="1">OFFSET(Batting!$CH$4,BatAves!$I34,0)</f>
        <v>1</v>
      </c>
      <c r="F34" s="74" t="str">
        <f ca="1">OFFSET(Batting!$CJ$4,BatAves!$I34,0)</f>
        <v>1*</v>
      </c>
      <c r="G34" s="74">
        <f ca="1">OFFSET(Batting!$CK$4,BatAves!$I34,0)</f>
        <v>1</v>
      </c>
      <c r="H34" s="79">
        <f ca="1">OFFSET(Batting!$CL$4,BatAves!$I34,0)</f>
        <v>0</v>
      </c>
      <c r="I34" s="70">
        <f>MATCH(A34,Batting!$DF$5:$DF$38,0)</f>
        <v>1</v>
      </c>
      <c r="J34" s="70">
        <f t="shared" ca="1" si="0"/>
        <v>1033</v>
      </c>
      <c r="K34" s="70">
        <f t="shared" ca="1" si="1"/>
        <v>33</v>
      </c>
      <c r="L34" s="70" t="str">
        <f t="shared" ca="1" si="2"/>
        <v>Bowers M 1-1-1*-1</v>
      </c>
      <c r="M34" s="70">
        <f t="shared" ca="1" si="3"/>
        <v>33</v>
      </c>
      <c r="N34" s="141">
        <v>33</v>
      </c>
      <c r="O34" s="141" t="str">
        <f t="shared" ca="1" si="4"/>
        <v>Bowers M</v>
      </c>
      <c r="P34" s="141">
        <f t="shared" ca="1" si="5"/>
        <v>1</v>
      </c>
      <c r="Q34" s="141">
        <f t="shared" ca="1" si="6"/>
        <v>1</v>
      </c>
      <c r="R34" s="141" t="str">
        <f t="shared" ca="1" si="7"/>
        <v>1*</v>
      </c>
      <c r="S34" s="141">
        <f t="shared" ca="1" si="8"/>
        <v>1</v>
      </c>
      <c r="T34" s="143">
        <f t="shared" ca="1" si="9"/>
        <v>0</v>
      </c>
      <c r="V34" s="70" t="s">
        <v>225</v>
      </c>
    </row>
    <row r="35" spans="1:22" ht="12.75" x14ac:dyDescent="0.15">
      <c r="A35" s="70">
        <v>34</v>
      </c>
      <c r="B35" s="70" t="str">
        <f ca="1">OFFSET(Batting!$C$4,BatAves!$I35,0)</f>
        <v>Woodhouse M</v>
      </c>
      <c r="C35" s="74">
        <f ca="1">OFFSET(Batting!$CE$4,BatAves!$I35,0)</f>
        <v>1</v>
      </c>
      <c r="D35" s="74">
        <f ca="1">OFFSET(Batting!$CG$4,BatAves!$I35,0)</f>
        <v>1</v>
      </c>
      <c r="E35" s="74">
        <f ca="1">OFFSET(Batting!$CH$4,BatAves!$I35,0)</f>
        <v>0</v>
      </c>
      <c r="F35" s="74">
        <f ca="1">OFFSET(Batting!$CJ$4,BatAves!$I35,0)</f>
        <v>0</v>
      </c>
      <c r="G35" s="74">
        <f ca="1">OFFSET(Batting!$CK$4,BatAves!$I35,0)</f>
        <v>0</v>
      </c>
      <c r="H35" s="79">
        <f ca="1">OFFSET(Batting!$CL$4,BatAves!$I35,0)</f>
        <v>0</v>
      </c>
      <c r="I35" s="70">
        <f>MATCH(A35,Batting!$DF$5:$DF$38,0)</f>
        <v>32</v>
      </c>
      <c r="J35" s="70">
        <f t="shared" ca="1" si="0"/>
        <v>1034</v>
      </c>
      <c r="K35" s="70">
        <f t="shared" ca="1" si="1"/>
        <v>34</v>
      </c>
      <c r="L35" s="70" t="str">
        <f t="shared" ca="1" si="2"/>
        <v>Woodhouse M 1-0-0-0</v>
      </c>
      <c r="M35" s="70">
        <f t="shared" ca="1" si="3"/>
        <v>34</v>
      </c>
      <c r="N35" s="141">
        <v>34</v>
      </c>
      <c r="O35" s="141" t="str">
        <f t="shared" ca="1" si="4"/>
        <v>Woodhouse M</v>
      </c>
      <c r="P35" s="141">
        <f t="shared" ca="1" si="5"/>
        <v>1</v>
      </c>
      <c r="Q35" s="141">
        <f t="shared" ca="1" si="6"/>
        <v>0</v>
      </c>
      <c r="R35" s="141">
        <f t="shared" ca="1" si="7"/>
        <v>0</v>
      </c>
      <c r="S35" s="141">
        <f t="shared" ca="1" si="8"/>
        <v>0</v>
      </c>
      <c r="T35" s="143">
        <f t="shared" ca="1" si="9"/>
        <v>0</v>
      </c>
      <c r="V35" s="70" t="s">
        <v>225</v>
      </c>
    </row>
    <row r="36" spans="1:22" ht="12.75" x14ac:dyDescent="0.15">
      <c r="A36" s="70">
        <v>35</v>
      </c>
      <c r="B36" s="70" t="e">
        <f ca="1">OFFSET(Batting!$C$4,BatAves!$I36,0)</f>
        <v>#N/A</v>
      </c>
      <c r="C36" s="74" t="e">
        <f ca="1">OFFSET(Batting!$CE$4,BatAves!$I36,0)</f>
        <v>#N/A</v>
      </c>
      <c r="D36" s="74" t="e">
        <f ca="1">OFFSET(Batting!$CG$4,BatAves!$I36,0)</f>
        <v>#N/A</v>
      </c>
      <c r="E36" s="74" t="e">
        <f ca="1">OFFSET(Batting!$CH$4,BatAves!$I36,0)</f>
        <v>#N/A</v>
      </c>
      <c r="F36" s="74" t="e">
        <f ca="1">OFFSET(Batting!$CJ$4,BatAves!$I36,0)</f>
        <v>#N/A</v>
      </c>
      <c r="G36" s="74" t="e">
        <f ca="1">OFFSET(Batting!$CK$4,BatAves!$I36,0)</f>
        <v>#N/A</v>
      </c>
      <c r="H36" s="79" t="e">
        <f ca="1">OFFSET(Batting!$CL$4,BatAves!$I36,0)</f>
        <v>#N/A</v>
      </c>
      <c r="I36" s="70" t="e">
        <f>MATCH(A36,Batting!$DF$5:$DF$38,0)</f>
        <v>#N/A</v>
      </c>
      <c r="J36" s="70" t="e">
        <f t="shared" ca="1" si="0"/>
        <v>#N/A</v>
      </c>
      <c r="K36" s="70" t="e">
        <f t="shared" ca="1" si="1"/>
        <v>#N/A</v>
      </c>
      <c r="L36" s="70" t="e">
        <f t="shared" ca="1" si="2"/>
        <v>#N/A</v>
      </c>
      <c r="M36" s="70" t="e">
        <f t="shared" ca="1" si="3"/>
        <v>#N/A</v>
      </c>
      <c r="N36" s="141">
        <v>35</v>
      </c>
      <c r="O36" s="141" t="e">
        <f t="shared" ca="1" si="4"/>
        <v>#N/A</v>
      </c>
      <c r="P36" s="141" t="e">
        <f t="shared" ca="1" si="5"/>
        <v>#N/A</v>
      </c>
      <c r="Q36" s="141" t="e">
        <f t="shared" ca="1" si="6"/>
        <v>#N/A</v>
      </c>
      <c r="R36" s="141" t="e">
        <f t="shared" ca="1" si="7"/>
        <v>#N/A</v>
      </c>
      <c r="S36" s="141" t="e">
        <f t="shared" ca="1" si="8"/>
        <v>#N/A</v>
      </c>
      <c r="T36" s="143" t="e">
        <f t="shared" ca="1" si="9"/>
        <v>#N/A</v>
      </c>
      <c r="V36" s="70" t="s">
        <v>591</v>
      </c>
    </row>
    <row r="37" spans="1:22" ht="12.75" x14ac:dyDescent="0.15">
      <c r="A37" s="70">
        <v>36</v>
      </c>
      <c r="B37" s="70" t="e">
        <f ca="1">OFFSET(Batting!$C$4,BatAves!$I37,0)</f>
        <v>#N/A</v>
      </c>
      <c r="C37" s="74" t="e">
        <f ca="1">OFFSET(Batting!$CE$4,BatAves!$I37,0)</f>
        <v>#N/A</v>
      </c>
      <c r="D37" s="74" t="e">
        <f ca="1">OFFSET(Batting!$CG$4,BatAves!$I37,0)</f>
        <v>#N/A</v>
      </c>
      <c r="E37" s="74" t="e">
        <f ca="1">OFFSET(Batting!$CH$4,BatAves!$I37,0)</f>
        <v>#N/A</v>
      </c>
      <c r="F37" s="74" t="e">
        <f ca="1">OFFSET(Batting!$CJ$4,BatAves!$I37,0)</f>
        <v>#N/A</v>
      </c>
      <c r="G37" s="74" t="e">
        <f ca="1">OFFSET(Batting!$CK$4,BatAves!$I37,0)</f>
        <v>#N/A</v>
      </c>
      <c r="H37" s="79" t="e">
        <f ca="1">OFFSET(Batting!$CL$4,BatAves!$I37,0)</f>
        <v>#N/A</v>
      </c>
      <c r="I37" s="70" t="e">
        <f>MATCH(A37,Batting!$DF$5:$DF$38,0)</f>
        <v>#N/A</v>
      </c>
      <c r="J37" s="70" t="e">
        <f t="shared" ca="1" si="0"/>
        <v>#N/A</v>
      </c>
      <c r="K37" s="70" t="e">
        <f t="shared" ca="1" si="1"/>
        <v>#N/A</v>
      </c>
      <c r="L37" s="70" t="e">
        <f t="shared" ca="1" si="2"/>
        <v>#N/A</v>
      </c>
      <c r="M37" s="70" t="e">
        <f t="shared" ca="1" si="3"/>
        <v>#N/A</v>
      </c>
      <c r="N37" s="141">
        <v>36</v>
      </c>
      <c r="O37" s="141" t="e">
        <f t="shared" ca="1" si="4"/>
        <v>#N/A</v>
      </c>
      <c r="P37" s="141" t="e">
        <f t="shared" ca="1" si="5"/>
        <v>#N/A</v>
      </c>
      <c r="Q37" s="141" t="e">
        <f t="shared" ca="1" si="6"/>
        <v>#N/A</v>
      </c>
      <c r="R37" s="141" t="e">
        <f t="shared" ca="1" si="7"/>
        <v>#N/A</v>
      </c>
      <c r="S37" s="141" t="e">
        <f t="shared" ca="1" si="8"/>
        <v>#N/A</v>
      </c>
      <c r="T37" s="143" t="e">
        <f t="shared" ca="1" si="9"/>
        <v>#N/A</v>
      </c>
      <c r="V37" s="70" t="s">
        <v>585</v>
      </c>
    </row>
    <row r="38" spans="1:22" ht="12.75" x14ac:dyDescent="0.15">
      <c r="A38" s="70">
        <v>37</v>
      </c>
      <c r="B38" s="70" t="e">
        <f ca="1">OFFSET(Batting!$C$4,BatAves!$I38,0)</f>
        <v>#N/A</v>
      </c>
      <c r="C38" s="74" t="e">
        <f ca="1">OFFSET(Batting!$CE$4,BatAves!$I38,0)</f>
        <v>#N/A</v>
      </c>
      <c r="D38" s="74" t="e">
        <f ca="1">OFFSET(Batting!$CG$4,BatAves!$I38,0)</f>
        <v>#N/A</v>
      </c>
      <c r="E38" s="74" t="e">
        <f ca="1">OFFSET(Batting!$CH$4,BatAves!$I38,0)</f>
        <v>#N/A</v>
      </c>
      <c r="F38" s="74" t="e">
        <f ca="1">OFFSET(Batting!$CJ$4,BatAves!$I38,0)</f>
        <v>#N/A</v>
      </c>
      <c r="G38" s="74" t="e">
        <f ca="1">OFFSET(Batting!$CK$4,BatAves!$I38,0)</f>
        <v>#N/A</v>
      </c>
      <c r="H38" s="79" t="e">
        <f ca="1">OFFSET(Batting!$CL$4,BatAves!$I38,0)</f>
        <v>#N/A</v>
      </c>
      <c r="I38" s="70" t="e">
        <f>MATCH(A38,Batting!$DF$5:$DF$38,0)</f>
        <v>#N/A</v>
      </c>
      <c r="J38" s="70" t="e">
        <f t="shared" ca="1" si="0"/>
        <v>#N/A</v>
      </c>
      <c r="K38" s="70" t="e">
        <f t="shared" ca="1" si="1"/>
        <v>#N/A</v>
      </c>
      <c r="L38" s="70" t="e">
        <f t="shared" ca="1" si="2"/>
        <v>#N/A</v>
      </c>
      <c r="M38" s="70" t="e">
        <f t="shared" ca="1" si="3"/>
        <v>#N/A</v>
      </c>
      <c r="N38" s="141">
        <v>37</v>
      </c>
      <c r="O38" s="141" t="e">
        <f t="shared" ca="1" si="4"/>
        <v>#N/A</v>
      </c>
      <c r="P38" s="141" t="e">
        <f t="shared" ca="1" si="5"/>
        <v>#N/A</v>
      </c>
      <c r="Q38" s="141" t="e">
        <f t="shared" ca="1" si="6"/>
        <v>#N/A</v>
      </c>
      <c r="R38" s="141" t="e">
        <f t="shared" ca="1" si="7"/>
        <v>#N/A</v>
      </c>
      <c r="S38" s="141" t="e">
        <f t="shared" ca="1" si="8"/>
        <v>#N/A</v>
      </c>
      <c r="T38" s="143" t="e">
        <f t="shared" ca="1" si="9"/>
        <v>#N/A</v>
      </c>
      <c r="V38" s="70" t="s">
        <v>586</v>
      </c>
    </row>
    <row r="39" spans="1:22" ht="12.75" x14ac:dyDescent="0.15">
      <c r="A39" s="70">
        <v>38</v>
      </c>
      <c r="B39" s="70" t="e">
        <f ca="1">OFFSET(Batting!$C$4,BatAves!$I39,0)</f>
        <v>#N/A</v>
      </c>
      <c r="C39" s="74" t="e">
        <f ca="1">OFFSET(Batting!$CE$4,BatAves!$I39,0)</f>
        <v>#N/A</v>
      </c>
      <c r="D39" s="74" t="e">
        <f ca="1">OFFSET(Batting!$CG$4,BatAves!$I39,0)</f>
        <v>#N/A</v>
      </c>
      <c r="E39" s="74" t="e">
        <f ca="1">OFFSET(Batting!$CH$4,BatAves!$I39,0)</f>
        <v>#N/A</v>
      </c>
      <c r="F39" s="74" t="e">
        <f ca="1">OFFSET(Batting!$CJ$4,BatAves!$I39,0)</f>
        <v>#N/A</v>
      </c>
      <c r="G39" s="74" t="e">
        <f ca="1">OFFSET(Batting!$CK$4,BatAves!$I39,0)</f>
        <v>#N/A</v>
      </c>
      <c r="H39" s="79" t="e">
        <f ca="1">OFFSET(Batting!$CL$4,BatAves!$I39,0)</f>
        <v>#N/A</v>
      </c>
      <c r="I39" s="70" t="e">
        <f>MATCH(A39,Batting!$DF$5:$DF$38,0)</f>
        <v>#N/A</v>
      </c>
      <c r="J39" s="70" t="e">
        <f t="shared" ca="1" si="0"/>
        <v>#N/A</v>
      </c>
      <c r="K39" s="70" t="e">
        <f t="shared" ca="1" si="1"/>
        <v>#N/A</v>
      </c>
      <c r="L39" s="70" t="e">
        <f t="shared" ca="1" si="2"/>
        <v>#N/A</v>
      </c>
      <c r="M39" s="70" t="e">
        <f t="shared" ca="1" si="3"/>
        <v>#N/A</v>
      </c>
      <c r="N39" s="141">
        <v>38</v>
      </c>
      <c r="O39" s="141" t="e">
        <f t="shared" ca="1" si="4"/>
        <v>#N/A</v>
      </c>
      <c r="P39" s="141" t="e">
        <f t="shared" ca="1" si="5"/>
        <v>#N/A</v>
      </c>
      <c r="Q39" s="141" t="e">
        <f t="shared" ca="1" si="6"/>
        <v>#N/A</v>
      </c>
      <c r="R39" s="141" t="e">
        <f t="shared" ca="1" si="7"/>
        <v>#N/A</v>
      </c>
      <c r="S39" s="141" t="e">
        <f t="shared" ca="1" si="8"/>
        <v>#N/A</v>
      </c>
      <c r="T39" s="143" t="e">
        <f t="shared" ca="1" si="9"/>
        <v>#N/A</v>
      </c>
      <c r="V39" s="70" t="s">
        <v>588</v>
      </c>
    </row>
    <row r="40" spans="1:22" ht="12.75" x14ac:dyDescent="0.15">
      <c r="A40" s="70">
        <v>39</v>
      </c>
      <c r="B40" s="70" t="e">
        <f ca="1">OFFSET(Batting!$C$4,BatAves!$I40,0)</f>
        <v>#N/A</v>
      </c>
      <c r="C40" s="74" t="e">
        <f ca="1">OFFSET(Batting!$CE$4,BatAves!$I40,0)</f>
        <v>#N/A</v>
      </c>
      <c r="D40" s="74" t="e">
        <f ca="1">OFFSET(Batting!$CG$4,BatAves!$I40,0)</f>
        <v>#N/A</v>
      </c>
      <c r="E40" s="74" t="e">
        <f ca="1">OFFSET(Batting!$CH$4,BatAves!$I40,0)</f>
        <v>#N/A</v>
      </c>
      <c r="F40" s="74" t="e">
        <f ca="1">OFFSET(Batting!$CJ$4,BatAves!$I40,0)</f>
        <v>#N/A</v>
      </c>
      <c r="G40" s="74" t="e">
        <f ca="1">OFFSET(Batting!$CK$4,BatAves!$I40,0)</f>
        <v>#N/A</v>
      </c>
      <c r="H40" s="79" t="e">
        <f ca="1">OFFSET(Batting!$CL$4,BatAves!$I40,0)</f>
        <v>#N/A</v>
      </c>
      <c r="I40" s="70" t="e">
        <f>MATCH(A40,Batting!$DF$5:$DF$38,0)</f>
        <v>#N/A</v>
      </c>
      <c r="J40" s="70" t="e">
        <f t="shared" ca="1" si="0"/>
        <v>#N/A</v>
      </c>
      <c r="K40" s="70" t="e">
        <f t="shared" ca="1" si="1"/>
        <v>#N/A</v>
      </c>
      <c r="L40" s="70" t="e">
        <f t="shared" ca="1" si="2"/>
        <v>#N/A</v>
      </c>
      <c r="M40" s="70" t="e">
        <f t="shared" ca="1" si="3"/>
        <v>#N/A</v>
      </c>
      <c r="N40" s="141">
        <v>39</v>
      </c>
      <c r="O40" s="141" t="e">
        <f t="shared" ca="1" si="4"/>
        <v>#N/A</v>
      </c>
      <c r="P40" s="141" t="e">
        <f t="shared" ca="1" si="5"/>
        <v>#N/A</v>
      </c>
      <c r="Q40" s="141" t="e">
        <f t="shared" ca="1" si="6"/>
        <v>#N/A</v>
      </c>
      <c r="R40" s="141" t="e">
        <f t="shared" ca="1" si="7"/>
        <v>#N/A</v>
      </c>
      <c r="S40" s="141" t="e">
        <f t="shared" ca="1" si="8"/>
        <v>#N/A</v>
      </c>
      <c r="T40" s="143" t="e">
        <f t="shared" ca="1" si="9"/>
        <v>#N/A</v>
      </c>
      <c r="V40" s="70" t="s">
        <v>594</v>
      </c>
    </row>
    <row r="41" spans="1:22" ht="12.75" x14ac:dyDescent="0.15">
      <c r="A41" s="70">
        <v>40</v>
      </c>
      <c r="B41" s="70" t="e">
        <f ca="1">OFFSET(Batting!$C$4,BatAves!$I41,0)</f>
        <v>#N/A</v>
      </c>
      <c r="C41" s="74" t="e">
        <f ca="1">OFFSET(Batting!$CE$4,BatAves!$I41,0)</f>
        <v>#N/A</v>
      </c>
      <c r="D41" s="74" t="e">
        <f ca="1">OFFSET(Batting!$CG$4,BatAves!$I41,0)</f>
        <v>#N/A</v>
      </c>
      <c r="E41" s="74" t="e">
        <f ca="1">OFFSET(Batting!$CH$4,BatAves!$I41,0)</f>
        <v>#N/A</v>
      </c>
      <c r="F41" s="74" t="e">
        <f ca="1">OFFSET(Batting!$CJ$4,BatAves!$I41,0)</f>
        <v>#N/A</v>
      </c>
      <c r="G41" s="74" t="e">
        <f ca="1">OFFSET(Batting!$CK$4,BatAves!$I41,0)</f>
        <v>#N/A</v>
      </c>
      <c r="H41" s="79" t="e">
        <f ca="1">OFFSET(Batting!$CL$4,BatAves!$I41,0)</f>
        <v>#N/A</v>
      </c>
      <c r="I41" s="70" t="e">
        <f>MATCH(A41,Batting!$DF$5:$DF$38,0)</f>
        <v>#N/A</v>
      </c>
      <c r="J41" s="70" t="e">
        <f t="shared" ca="1" si="0"/>
        <v>#N/A</v>
      </c>
      <c r="K41" s="70" t="e">
        <f t="shared" ca="1" si="1"/>
        <v>#N/A</v>
      </c>
      <c r="L41" s="70" t="e">
        <f t="shared" ca="1" si="2"/>
        <v>#N/A</v>
      </c>
      <c r="M41" s="70" t="e">
        <f t="shared" ca="1" si="3"/>
        <v>#N/A</v>
      </c>
      <c r="N41" s="141">
        <v>40</v>
      </c>
      <c r="O41" s="141" t="e">
        <f t="shared" ca="1" si="4"/>
        <v>#N/A</v>
      </c>
      <c r="P41" s="141" t="e">
        <f t="shared" ca="1" si="5"/>
        <v>#N/A</v>
      </c>
      <c r="Q41" s="141" t="e">
        <f t="shared" ca="1" si="6"/>
        <v>#N/A</v>
      </c>
      <c r="R41" s="141" t="e">
        <f t="shared" ca="1" si="7"/>
        <v>#N/A</v>
      </c>
      <c r="S41" s="141" t="e">
        <f t="shared" ca="1" si="8"/>
        <v>#N/A</v>
      </c>
      <c r="T41" s="143" t="e">
        <f t="shared" ca="1" si="9"/>
        <v>#N/A</v>
      </c>
      <c r="V41" s="70" t="s">
        <v>579</v>
      </c>
    </row>
    <row r="42" spans="1:22" x14ac:dyDescent="0.15">
      <c r="A42" s="70">
        <v>41</v>
      </c>
      <c r="B42" s="70" t="e">
        <f ca="1">OFFSET(Batting!$C$4,BatAves!$I42,0)</f>
        <v>#N/A</v>
      </c>
      <c r="C42" s="74" t="e">
        <f ca="1">OFFSET(Batting!$CE$4,BatAves!$I42,0)</f>
        <v>#N/A</v>
      </c>
      <c r="D42" s="74" t="e">
        <f ca="1">OFFSET(Batting!$CG$4,BatAves!$I42,0)</f>
        <v>#N/A</v>
      </c>
      <c r="E42" s="74" t="e">
        <f ca="1">OFFSET(Batting!$CH$4,BatAves!$I42,0)</f>
        <v>#N/A</v>
      </c>
      <c r="F42" s="74" t="e">
        <f ca="1">OFFSET(Batting!$CJ$4,BatAves!$I42,0)</f>
        <v>#N/A</v>
      </c>
      <c r="G42" s="74" t="e">
        <f ca="1">OFFSET(Batting!$CK$4,BatAves!$I42,0)</f>
        <v>#N/A</v>
      </c>
      <c r="H42" s="79" t="e">
        <f ca="1">OFFSET(Batting!$CL$4,BatAves!$I42,0)</f>
        <v>#N/A</v>
      </c>
      <c r="I42" s="70" t="e">
        <f>MATCH(A42,Batting!$DF$5:$DF$38,0)</f>
        <v>#N/A</v>
      </c>
      <c r="J42" s="70" t="e">
        <f t="shared" ca="1" si="0"/>
        <v>#N/A</v>
      </c>
      <c r="K42" s="70" t="e">
        <f t="shared" ca="1" si="1"/>
        <v>#N/A</v>
      </c>
      <c r="L42" s="70" t="e">
        <f t="shared" ca="1" si="2"/>
        <v>#N/A</v>
      </c>
      <c r="M42" s="70" t="e">
        <f t="shared" ca="1" si="3"/>
        <v>#N/A</v>
      </c>
      <c r="N42" s="137">
        <v>41</v>
      </c>
      <c r="O42" s="137" t="e">
        <f t="shared" ca="1" si="4"/>
        <v>#N/A</v>
      </c>
      <c r="P42" s="137" t="e">
        <f t="shared" ca="1" si="5"/>
        <v>#N/A</v>
      </c>
      <c r="Q42" s="137" t="e">
        <f t="shared" ca="1" si="6"/>
        <v>#N/A</v>
      </c>
      <c r="R42" s="137" t="e">
        <f t="shared" ca="1" si="7"/>
        <v>#N/A</v>
      </c>
      <c r="S42" s="137" t="e">
        <f t="shared" ca="1" si="8"/>
        <v>#N/A</v>
      </c>
      <c r="T42" s="138" t="e">
        <f t="shared" ca="1" si="9"/>
        <v>#N/A</v>
      </c>
      <c r="V42" s="70" t="s">
        <v>595</v>
      </c>
    </row>
    <row r="43" spans="1:22" x14ac:dyDescent="0.15">
      <c r="A43" s="70">
        <v>42</v>
      </c>
      <c r="B43" s="70" t="e">
        <f ca="1">OFFSET(Batting!$C$4,BatAves!$I43,0)</f>
        <v>#N/A</v>
      </c>
      <c r="C43" s="74" t="e">
        <f ca="1">OFFSET(Batting!$CE$4,BatAves!$I43,0)</f>
        <v>#N/A</v>
      </c>
      <c r="D43" s="74" t="e">
        <f ca="1">OFFSET(Batting!$CG$4,BatAves!$I43,0)</f>
        <v>#N/A</v>
      </c>
      <c r="E43" s="74" t="e">
        <f ca="1">OFFSET(Batting!$CH$4,BatAves!$I43,0)</f>
        <v>#N/A</v>
      </c>
      <c r="F43" s="74" t="e">
        <f ca="1">OFFSET(Batting!$CJ$4,BatAves!$I43,0)</f>
        <v>#N/A</v>
      </c>
      <c r="G43" s="74" t="e">
        <f ca="1">OFFSET(Batting!$CK$4,BatAves!$I43,0)</f>
        <v>#N/A</v>
      </c>
      <c r="H43" s="79" t="e">
        <f ca="1">OFFSET(Batting!$CL$4,BatAves!$I43,0)</f>
        <v>#N/A</v>
      </c>
      <c r="I43" s="70" t="e">
        <f>MATCH(A43,Batting!$DF$5:$DF$38,0)</f>
        <v>#N/A</v>
      </c>
      <c r="J43" s="70" t="e">
        <f t="shared" ca="1" si="0"/>
        <v>#N/A</v>
      </c>
      <c r="K43" s="70" t="e">
        <f t="shared" ca="1" si="1"/>
        <v>#N/A</v>
      </c>
      <c r="L43" s="70" t="e">
        <f t="shared" ca="1" si="2"/>
        <v>#N/A</v>
      </c>
      <c r="M43" s="70" t="e">
        <f t="shared" ca="1" si="3"/>
        <v>#N/A</v>
      </c>
      <c r="N43" s="137">
        <v>42</v>
      </c>
      <c r="O43" s="137" t="e">
        <f t="shared" ca="1" si="4"/>
        <v>#N/A</v>
      </c>
      <c r="P43" s="137" t="e">
        <f t="shared" ca="1" si="5"/>
        <v>#N/A</v>
      </c>
      <c r="Q43" s="137" t="e">
        <f t="shared" ca="1" si="6"/>
        <v>#N/A</v>
      </c>
      <c r="R43" s="137" t="e">
        <f t="shared" ca="1" si="7"/>
        <v>#N/A</v>
      </c>
      <c r="S43" s="137" t="e">
        <f t="shared" ca="1" si="8"/>
        <v>#N/A</v>
      </c>
      <c r="T43" s="138" t="e">
        <f t="shared" ca="1" si="9"/>
        <v>#N/A</v>
      </c>
      <c r="V43" s="70" t="s">
        <v>587</v>
      </c>
    </row>
    <row r="44" spans="1:22" x14ac:dyDescent="0.15">
      <c r="A44" s="70">
        <v>43</v>
      </c>
      <c r="B44" s="70" t="e">
        <f ca="1">OFFSET(Batting!$C$4,BatAves!$I44,0)</f>
        <v>#N/A</v>
      </c>
      <c r="C44" s="74" t="e">
        <f ca="1">OFFSET(Batting!$CE$4,BatAves!$I44,0)</f>
        <v>#N/A</v>
      </c>
      <c r="D44" s="74" t="e">
        <f ca="1">OFFSET(Batting!$CG$4,BatAves!$I44,0)</f>
        <v>#N/A</v>
      </c>
      <c r="E44" s="74" t="e">
        <f ca="1">OFFSET(Batting!$CH$4,BatAves!$I44,0)</f>
        <v>#N/A</v>
      </c>
      <c r="F44" s="74" t="e">
        <f ca="1">OFFSET(Batting!$CJ$4,BatAves!$I44,0)</f>
        <v>#N/A</v>
      </c>
      <c r="G44" s="74" t="e">
        <f ca="1">OFFSET(Batting!$CK$4,BatAves!$I44,0)</f>
        <v>#N/A</v>
      </c>
      <c r="H44" s="79" t="e">
        <f ca="1">OFFSET(Batting!$CL$4,BatAves!$I44,0)</f>
        <v>#N/A</v>
      </c>
      <c r="I44" s="70" t="e">
        <f>MATCH(A44,Batting!$DF$5:$DF$38,0)</f>
        <v>#N/A</v>
      </c>
      <c r="J44" s="70" t="e">
        <f t="shared" ca="1" si="0"/>
        <v>#N/A</v>
      </c>
      <c r="K44" s="70" t="e">
        <f t="shared" ca="1" si="1"/>
        <v>#N/A</v>
      </c>
      <c r="L44" s="70" t="e">
        <f t="shared" ca="1" si="2"/>
        <v>#N/A</v>
      </c>
      <c r="V44" s="70" t="s">
        <v>590</v>
      </c>
    </row>
    <row r="45" spans="1:22" x14ac:dyDescent="0.15">
      <c r="A45" s="70">
        <v>44</v>
      </c>
      <c r="B45" s="70" t="e">
        <f ca="1">OFFSET(Batting!$C$4,BatAves!$I45,0)</f>
        <v>#N/A</v>
      </c>
      <c r="C45" s="74" t="e">
        <f ca="1">OFFSET(Batting!$CE$4,BatAves!$I45,0)</f>
        <v>#N/A</v>
      </c>
      <c r="D45" s="74" t="e">
        <f ca="1">OFFSET(Batting!$CG$4,BatAves!$I45,0)</f>
        <v>#N/A</v>
      </c>
      <c r="E45" s="74" t="e">
        <f ca="1">OFFSET(Batting!$CH$4,BatAves!$I45,0)</f>
        <v>#N/A</v>
      </c>
      <c r="F45" s="74" t="e">
        <f ca="1">OFFSET(Batting!$CJ$4,BatAves!$I45,0)</f>
        <v>#N/A</v>
      </c>
      <c r="G45" s="74" t="e">
        <f ca="1">OFFSET(Batting!$CK$4,BatAves!$I45,0)</f>
        <v>#N/A</v>
      </c>
      <c r="H45" s="79" t="e">
        <f ca="1">OFFSET(Batting!$CL$4,BatAves!$I45,0)</f>
        <v>#N/A</v>
      </c>
      <c r="I45" s="70" t="e">
        <f>MATCH(A45,Batting!$DF$5:$DF$38,0)</f>
        <v>#N/A</v>
      </c>
      <c r="J45" s="70" t="e">
        <f t="shared" ca="1" si="0"/>
        <v>#N/A</v>
      </c>
      <c r="K45" s="70" t="e">
        <f t="shared" ca="1" si="1"/>
        <v>#N/A</v>
      </c>
      <c r="L45" s="70" t="e">
        <f t="shared" ca="1" si="2"/>
        <v>#N/A</v>
      </c>
      <c r="V45" s="70" t="s">
        <v>593</v>
      </c>
    </row>
    <row r="46" spans="1:22" x14ac:dyDescent="0.15">
      <c r="A46" s="70">
        <v>45</v>
      </c>
      <c r="B46" s="70" t="e">
        <f ca="1">OFFSET(Batting!$C$4,BatAves!$I46,0)</f>
        <v>#N/A</v>
      </c>
      <c r="C46" s="74" t="e">
        <f ca="1">OFFSET(Batting!$CE$4,BatAves!$I46,0)</f>
        <v>#N/A</v>
      </c>
      <c r="D46" s="74" t="e">
        <f ca="1">OFFSET(Batting!$CG$4,BatAves!$I46,0)</f>
        <v>#N/A</v>
      </c>
      <c r="E46" s="74" t="e">
        <f ca="1">OFFSET(Batting!$CH$4,BatAves!$I46,0)</f>
        <v>#N/A</v>
      </c>
      <c r="F46" s="74" t="e">
        <f ca="1">OFFSET(Batting!$CJ$4,BatAves!$I46,0)</f>
        <v>#N/A</v>
      </c>
      <c r="G46" s="74" t="e">
        <f ca="1">OFFSET(Batting!$CK$4,BatAves!$I46,0)</f>
        <v>#N/A</v>
      </c>
      <c r="H46" s="79" t="e">
        <f ca="1">OFFSET(Batting!$CL$4,BatAves!$I46,0)</f>
        <v>#N/A</v>
      </c>
      <c r="I46" s="70" t="e">
        <f>MATCH(A46,Batting!$DF$5:$DF$38,0)</f>
        <v>#N/A</v>
      </c>
      <c r="J46" s="70" t="e">
        <f t="shared" ca="1" si="0"/>
        <v>#N/A</v>
      </c>
      <c r="K46" s="70" t="e">
        <f t="shared" ca="1" si="1"/>
        <v>#N/A</v>
      </c>
      <c r="L46" s="70" t="e">
        <f t="shared" ca="1" si="2"/>
        <v>#N/A</v>
      </c>
      <c r="V46" s="70" t="s">
        <v>582</v>
      </c>
    </row>
    <row r="47" spans="1:22" x14ac:dyDescent="0.15">
      <c r="A47" s="70">
        <v>46</v>
      </c>
      <c r="B47" s="70" t="e">
        <f ca="1">OFFSET(Batting!$C$4,BatAves!$I47,0)</f>
        <v>#N/A</v>
      </c>
      <c r="C47" s="74" t="e">
        <f ca="1">OFFSET(Batting!$CE$4,BatAves!$I47,0)</f>
        <v>#N/A</v>
      </c>
      <c r="D47" s="74" t="e">
        <f ca="1">OFFSET(Batting!$CG$4,BatAves!$I47,0)</f>
        <v>#N/A</v>
      </c>
      <c r="E47" s="74" t="e">
        <f ca="1">OFFSET(Batting!$CH$4,BatAves!$I47,0)</f>
        <v>#N/A</v>
      </c>
      <c r="F47" s="74" t="e">
        <f ca="1">OFFSET(Batting!$CJ$4,BatAves!$I47,0)</f>
        <v>#N/A</v>
      </c>
      <c r="G47" s="74" t="e">
        <f ca="1">OFFSET(Batting!$CK$4,BatAves!$I47,0)</f>
        <v>#N/A</v>
      </c>
      <c r="H47" s="79" t="e">
        <f ca="1">OFFSET(Batting!$CL$4,BatAves!$I47,0)</f>
        <v>#N/A</v>
      </c>
      <c r="I47" s="70" t="e">
        <f>MATCH(A47,Batting!$DF$5:$DF$38,0)</f>
        <v>#N/A</v>
      </c>
      <c r="J47" s="70" t="e">
        <f t="shared" ca="1" si="0"/>
        <v>#N/A</v>
      </c>
      <c r="K47" s="70" t="e">
        <f t="shared" ca="1" si="1"/>
        <v>#N/A</v>
      </c>
      <c r="L47" s="70" t="e">
        <f t="shared" ca="1" si="2"/>
        <v>#N/A</v>
      </c>
      <c r="O47" s="139" t="s">
        <v>225</v>
      </c>
      <c r="V47" s="70" t="s">
        <v>580</v>
      </c>
    </row>
    <row r="48" spans="1:22" x14ac:dyDescent="0.15">
      <c r="A48" s="70">
        <v>47</v>
      </c>
      <c r="B48" s="70" t="e">
        <f ca="1">OFFSET(Batting!$C$4,BatAves!$I48,0)</f>
        <v>#N/A</v>
      </c>
      <c r="C48" s="74" t="e">
        <f ca="1">OFFSET(Batting!$CE$4,BatAves!$I48,0)</f>
        <v>#N/A</v>
      </c>
      <c r="D48" s="74" t="e">
        <f ca="1">OFFSET(Batting!$CG$4,BatAves!$I48,0)</f>
        <v>#N/A</v>
      </c>
      <c r="E48" s="74" t="e">
        <f ca="1">OFFSET(Batting!$CH$4,BatAves!$I48,0)</f>
        <v>#N/A</v>
      </c>
      <c r="F48" s="74" t="e">
        <f ca="1">OFFSET(Batting!$CJ$4,BatAves!$I48,0)</f>
        <v>#N/A</v>
      </c>
      <c r="G48" s="74" t="e">
        <f ca="1">OFFSET(Batting!$CK$4,BatAves!$I48,0)</f>
        <v>#N/A</v>
      </c>
      <c r="H48" s="79" t="e">
        <f ca="1">OFFSET(Batting!$CL$4,BatAves!$I48,0)</f>
        <v>#N/A</v>
      </c>
      <c r="I48" s="70" t="e">
        <f>MATCH(A48,Batting!$DF$5:$DF$38,0)</f>
        <v>#N/A</v>
      </c>
      <c r="J48" s="70" t="e">
        <f t="shared" ca="1" si="0"/>
        <v>#N/A</v>
      </c>
      <c r="K48" s="70" t="e">
        <f t="shared" ca="1" si="1"/>
        <v>#N/A</v>
      </c>
      <c r="L48" s="70" t="e">
        <f t="shared" ca="1" si="2"/>
        <v>#N/A</v>
      </c>
      <c r="O48" s="139" t="s">
        <v>225</v>
      </c>
      <c r="V48" s="70" t="s">
        <v>584</v>
      </c>
    </row>
    <row r="49" spans="1:22" x14ac:dyDescent="0.15">
      <c r="A49" s="70">
        <v>48</v>
      </c>
      <c r="B49" s="70" t="e">
        <f ca="1">OFFSET(Batting!$C$4,BatAves!$I49,0)</f>
        <v>#N/A</v>
      </c>
      <c r="C49" s="74" t="e">
        <f ca="1">OFFSET(Batting!$CE$4,BatAves!$I49,0)</f>
        <v>#N/A</v>
      </c>
      <c r="D49" s="74" t="e">
        <f ca="1">OFFSET(Batting!$CG$4,BatAves!$I49,0)</f>
        <v>#N/A</v>
      </c>
      <c r="E49" s="74" t="e">
        <f ca="1">OFFSET(Batting!$CH$4,BatAves!$I49,0)</f>
        <v>#N/A</v>
      </c>
      <c r="F49" s="74" t="e">
        <f ca="1">OFFSET(Batting!$CJ$4,BatAves!$I49,0)</f>
        <v>#N/A</v>
      </c>
      <c r="G49" s="74" t="e">
        <f ca="1">OFFSET(Batting!$CK$4,BatAves!$I49,0)</f>
        <v>#N/A</v>
      </c>
      <c r="H49" s="79" t="e">
        <f ca="1">OFFSET(Batting!$CL$4,BatAves!$I49,0)</f>
        <v>#N/A</v>
      </c>
      <c r="I49" s="70" t="e">
        <f>MATCH(A49,Batting!$DF$5:$DF$38,0)</f>
        <v>#N/A</v>
      </c>
      <c r="J49" s="70" t="e">
        <f t="shared" ca="1" si="0"/>
        <v>#N/A</v>
      </c>
      <c r="K49" s="70" t="e">
        <f t="shared" ca="1" si="1"/>
        <v>#N/A</v>
      </c>
      <c r="L49" s="70" t="e">
        <f t="shared" ca="1" si="2"/>
        <v>#N/A</v>
      </c>
      <c r="O49" s="139" t="s">
        <v>225</v>
      </c>
      <c r="V49" s="70" t="s">
        <v>583</v>
      </c>
    </row>
    <row r="50" spans="1:22" x14ac:dyDescent="0.15">
      <c r="A50" s="70">
        <v>49</v>
      </c>
      <c r="B50" s="70" t="e">
        <f ca="1">OFFSET(Batting!$C$4,BatAves!$I50,0)</f>
        <v>#N/A</v>
      </c>
      <c r="C50" s="74" t="e">
        <f ca="1">OFFSET(Batting!$CE$4,BatAves!$I50,0)</f>
        <v>#N/A</v>
      </c>
      <c r="D50" s="74" t="e">
        <f ca="1">OFFSET(Batting!$CG$4,BatAves!$I50,0)</f>
        <v>#N/A</v>
      </c>
      <c r="E50" s="74" t="e">
        <f ca="1">OFFSET(Batting!$CH$4,BatAves!$I50,0)</f>
        <v>#N/A</v>
      </c>
      <c r="F50" s="74" t="e">
        <f ca="1">OFFSET(Batting!$CJ$4,BatAves!$I50,0)</f>
        <v>#N/A</v>
      </c>
      <c r="G50" s="74" t="e">
        <f ca="1">OFFSET(Batting!$CK$4,BatAves!$I50,0)</f>
        <v>#N/A</v>
      </c>
      <c r="H50" s="79" t="e">
        <f ca="1">OFFSET(Batting!$CL$4,BatAves!$I50,0)</f>
        <v>#N/A</v>
      </c>
      <c r="I50" s="70" t="e">
        <f>MATCH(A50,Batting!$DF$5:$DF$38,0)</f>
        <v>#N/A</v>
      </c>
      <c r="J50" s="70" t="e">
        <f t="shared" ca="1" si="0"/>
        <v>#N/A</v>
      </c>
      <c r="K50" s="70" t="e">
        <f t="shared" ca="1" si="1"/>
        <v>#N/A</v>
      </c>
      <c r="L50" s="70" t="e">
        <f t="shared" ca="1" si="2"/>
        <v>#N/A</v>
      </c>
      <c r="O50" s="139" t="s">
        <v>225</v>
      </c>
      <c r="V50" s="70" t="s">
        <v>589</v>
      </c>
    </row>
    <row r="51" spans="1:22" x14ac:dyDescent="0.15">
      <c r="A51" s="70">
        <v>50</v>
      </c>
      <c r="B51" s="70" t="e">
        <f ca="1">OFFSET(Batting!$C$4,BatAves!$I51,0)</f>
        <v>#N/A</v>
      </c>
      <c r="C51" s="74" t="e">
        <f ca="1">OFFSET(Batting!$CE$4,BatAves!$I51,0)</f>
        <v>#N/A</v>
      </c>
      <c r="D51" s="74" t="e">
        <f ca="1">OFFSET(Batting!$CG$4,BatAves!$I51,0)</f>
        <v>#N/A</v>
      </c>
      <c r="E51" s="74" t="e">
        <f ca="1">OFFSET(Batting!$CH$4,BatAves!$I51,0)</f>
        <v>#N/A</v>
      </c>
      <c r="F51" s="74" t="e">
        <f ca="1">OFFSET(Batting!$CJ$4,BatAves!$I51,0)</f>
        <v>#N/A</v>
      </c>
      <c r="G51" s="74" t="e">
        <f ca="1">OFFSET(Batting!$CK$4,BatAves!$I51,0)</f>
        <v>#N/A</v>
      </c>
      <c r="H51" s="79" t="e">
        <f ca="1">OFFSET(Batting!$CL$4,BatAves!$I51,0)</f>
        <v>#N/A</v>
      </c>
      <c r="I51" s="70" t="e">
        <f>MATCH(A51,Batting!$DF$5:$DF$38,0)</f>
        <v>#N/A</v>
      </c>
      <c r="J51" s="70" t="e">
        <f t="shared" ca="1" si="0"/>
        <v>#N/A</v>
      </c>
      <c r="K51" s="70" t="e">
        <f t="shared" ca="1" si="1"/>
        <v>#N/A</v>
      </c>
      <c r="L51" s="70" t="e">
        <f t="shared" ca="1" si="2"/>
        <v>#N/A</v>
      </c>
      <c r="O51" s="139" t="s">
        <v>225</v>
      </c>
      <c r="V51" s="70" t="s">
        <v>592</v>
      </c>
    </row>
    <row r="52" spans="1:22" x14ac:dyDescent="0.15">
      <c r="A52" s="70">
        <v>51</v>
      </c>
      <c r="B52" s="70" t="e">
        <f ca="1">OFFSET(Batting!$C$4,BatAves!$I52,0)</f>
        <v>#N/A</v>
      </c>
      <c r="C52" s="74" t="e">
        <f ca="1">OFFSET(Batting!$CE$4,BatAves!$I52,0)</f>
        <v>#N/A</v>
      </c>
      <c r="D52" s="74" t="e">
        <f ca="1">OFFSET(Batting!$CG$4,BatAves!$I52,0)</f>
        <v>#N/A</v>
      </c>
      <c r="E52" s="74" t="e">
        <f ca="1">OFFSET(Batting!$CH$4,BatAves!$I52,0)</f>
        <v>#N/A</v>
      </c>
      <c r="F52" s="74" t="e">
        <f ca="1">OFFSET(Batting!$CJ$4,BatAves!$I52,0)</f>
        <v>#N/A</v>
      </c>
      <c r="G52" s="74" t="e">
        <f ca="1">OFFSET(Batting!$CK$4,BatAves!$I52,0)</f>
        <v>#N/A</v>
      </c>
      <c r="H52" s="79" t="e">
        <f ca="1">OFFSET(Batting!$CL$4,BatAves!$I52,0)</f>
        <v>#N/A</v>
      </c>
      <c r="I52" s="70" t="e">
        <f>MATCH(A52,Batting!$DF$5:$DF$38,0)</f>
        <v>#N/A</v>
      </c>
      <c r="J52" s="70" t="e">
        <f t="shared" ca="1" si="0"/>
        <v>#N/A</v>
      </c>
      <c r="K52" s="70" t="e">
        <f t="shared" ca="1" si="1"/>
        <v>#N/A</v>
      </c>
      <c r="L52" s="70" t="e">
        <f t="shared" ca="1" si="2"/>
        <v>#N/A</v>
      </c>
      <c r="O52" s="139" t="s">
        <v>225</v>
      </c>
      <c r="V52" s="70" t="s">
        <v>581</v>
      </c>
    </row>
    <row r="53" spans="1:22" x14ac:dyDescent="0.15">
      <c r="A53" s="70">
        <v>52</v>
      </c>
      <c r="B53" s="70" t="e">
        <f ca="1">OFFSET(Batting!$C$4,BatAves!$I53,0)</f>
        <v>#N/A</v>
      </c>
      <c r="C53" s="74" t="e">
        <f ca="1">OFFSET(Batting!$CE$4,BatAves!$I53,0)</f>
        <v>#N/A</v>
      </c>
      <c r="D53" s="74" t="e">
        <f ca="1">OFFSET(Batting!$CG$4,BatAves!$I53,0)</f>
        <v>#N/A</v>
      </c>
      <c r="E53" s="74" t="e">
        <f ca="1">OFFSET(Batting!$CH$4,BatAves!$I53,0)</f>
        <v>#N/A</v>
      </c>
      <c r="F53" s="74" t="e">
        <f ca="1">OFFSET(Batting!$CJ$4,BatAves!$I53,0)</f>
        <v>#N/A</v>
      </c>
      <c r="G53" s="74" t="e">
        <f ca="1">OFFSET(Batting!$CK$4,BatAves!$I53,0)</f>
        <v>#N/A</v>
      </c>
      <c r="H53" s="79" t="e">
        <f ca="1">OFFSET(Batting!$CL$4,BatAves!$I53,0)</f>
        <v>#N/A</v>
      </c>
      <c r="I53" s="70" t="e">
        <f>MATCH(A53,Batting!$DF$5:$DF$38,0)</f>
        <v>#N/A</v>
      </c>
      <c r="J53" s="70" t="e">
        <f t="shared" ca="1" si="0"/>
        <v>#N/A</v>
      </c>
      <c r="K53" s="70" t="e">
        <f t="shared" ca="1" si="1"/>
        <v>#N/A</v>
      </c>
      <c r="L53" s="70" t="e">
        <f t="shared" ca="1" si="2"/>
        <v>#N/A</v>
      </c>
      <c r="O53" s="139" t="s">
        <v>225</v>
      </c>
    </row>
    <row r="54" spans="1:22" x14ac:dyDescent="0.15">
      <c r="A54" s="70">
        <v>53</v>
      </c>
      <c r="B54" s="70" t="e">
        <f ca="1">OFFSET(Batting!$C$4,BatAves!$I54,0)</f>
        <v>#N/A</v>
      </c>
      <c r="C54" s="74" t="e">
        <f ca="1">OFFSET(Batting!$CE$4,BatAves!$I54,0)</f>
        <v>#N/A</v>
      </c>
      <c r="D54" s="74" t="e">
        <f ca="1">OFFSET(Batting!$CG$4,BatAves!$I54,0)</f>
        <v>#N/A</v>
      </c>
      <c r="E54" s="74" t="e">
        <f ca="1">OFFSET(Batting!$CH$4,BatAves!$I54,0)</f>
        <v>#N/A</v>
      </c>
      <c r="F54" s="74" t="e">
        <f ca="1">OFFSET(Batting!$CJ$4,BatAves!$I54,0)</f>
        <v>#N/A</v>
      </c>
      <c r="G54" s="74" t="e">
        <f ca="1">OFFSET(Batting!$CK$4,BatAves!$I54,0)</f>
        <v>#N/A</v>
      </c>
      <c r="H54" s="79" t="e">
        <f ca="1">OFFSET(Batting!$CL$4,BatAves!$I54,0)</f>
        <v>#N/A</v>
      </c>
      <c r="I54" s="70" t="e">
        <f>MATCH(A54,Batting!$DF$5:$DF$38,0)</f>
        <v>#N/A</v>
      </c>
      <c r="J54" s="70" t="e">
        <f t="shared" ca="1" si="0"/>
        <v>#N/A</v>
      </c>
      <c r="K54" s="70" t="e">
        <f t="shared" ca="1" si="1"/>
        <v>#N/A</v>
      </c>
      <c r="L54" s="70" t="e">
        <f t="shared" ca="1" si="2"/>
        <v>#N/A</v>
      </c>
      <c r="O54" s="139" t="s">
        <v>225</v>
      </c>
    </row>
    <row r="55" spans="1:22" x14ac:dyDescent="0.15">
      <c r="A55" s="70">
        <v>54</v>
      </c>
      <c r="B55" s="70" t="e">
        <f ca="1">OFFSET(Batting!$C$4,BatAves!$I55,0)</f>
        <v>#N/A</v>
      </c>
      <c r="C55" s="74" t="e">
        <f ca="1">OFFSET(Batting!$CE$4,BatAves!$I55,0)</f>
        <v>#N/A</v>
      </c>
      <c r="D55" s="74" t="e">
        <f ca="1">OFFSET(Batting!$CG$4,BatAves!$I55,0)</f>
        <v>#N/A</v>
      </c>
      <c r="E55" s="74" t="e">
        <f ca="1">OFFSET(Batting!$CH$4,BatAves!$I55,0)</f>
        <v>#N/A</v>
      </c>
      <c r="F55" s="74" t="e">
        <f ca="1">OFFSET(Batting!$CJ$4,BatAves!$I55,0)</f>
        <v>#N/A</v>
      </c>
      <c r="G55" s="74" t="e">
        <f ca="1">OFFSET(Batting!$CK$4,BatAves!$I55,0)</f>
        <v>#N/A</v>
      </c>
      <c r="H55" s="79" t="e">
        <f ca="1">OFFSET(Batting!$CL$4,BatAves!$I55,0)</f>
        <v>#N/A</v>
      </c>
      <c r="I55" s="70" t="e">
        <f>MATCH(A55,Batting!$DF$5:$DF$38,0)</f>
        <v>#N/A</v>
      </c>
      <c r="J55" s="70" t="e">
        <f t="shared" ca="1" si="0"/>
        <v>#N/A</v>
      </c>
      <c r="K55" s="70" t="e">
        <f t="shared" ca="1" si="1"/>
        <v>#N/A</v>
      </c>
      <c r="L55" s="70" t="e">
        <f t="shared" ca="1" si="2"/>
        <v>#N/A</v>
      </c>
      <c r="O55" s="139" t="s">
        <v>225</v>
      </c>
    </row>
    <row r="56" spans="1:22" x14ac:dyDescent="0.15">
      <c r="A56" s="70">
        <v>55</v>
      </c>
      <c r="B56" s="70" t="e">
        <f ca="1">OFFSET(Batting!$C$4,BatAves!$I56,0)</f>
        <v>#N/A</v>
      </c>
      <c r="C56" s="74" t="e">
        <f ca="1">OFFSET(Batting!$CE$4,BatAves!$I56,0)</f>
        <v>#N/A</v>
      </c>
      <c r="D56" s="74" t="e">
        <f ca="1">OFFSET(Batting!$CG$4,BatAves!$I56,0)</f>
        <v>#N/A</v>
      </c>
      <c r="E56" s="74" t="e">
        <f ca="1">OFFSET(Batting!$CH$4,BatAves!$I56,0)</f>
        <v>#N/A</v>
      </c>
      <c r="F56" s="74" t="e">
        <f ca="1">OFFSET(Batting!$CJ$4,BatAves!$I56,0)</f>
        <v>#N/A</v>
      </c>
      <c r="G56" s="74" t="e">
        <f ca="1">OFFSET(Batting!$CK$4,BatAves!$I56,0)</f>
        <v>#N/A</v>
      </c>
      <c r="H56" s="79" t="e">
        <f ca="1">OFFSET(Batting!$CL$4,BatAves!$I56,0)</f>
        <v>#N/A</v>
      </c>
      <c r="I56" s="70" t="e">
        <f>MATCH(A56,Batting!$DF$5:$DF$38,0)</f>
        <v>#N/A</v>
      </c>
      <c r="J56" s="70" t="e">
        <f t="shared" ca="1" si="0"/>
        <v>#N/A</v>
      </c>
      <c r="K56" s="70" t="e">
        <f t="shared" ca="1" si="1"/>
        <v>#N/A</v>
      </c>
      <c r="L56" s="70" t="e">
        <f t="shared" ca="1" si="2"/>
        <v>#N/A</v>
      </c>
      <c r="O56" s="139" t="s">
        <v>225</v>
      </c>
    </row>
    <row r="57" spans="1:22" x14ac:dyDescent="0.15">
      <c r="A57" s="70">
        <v>56</v>
      </c>
      <c r="B57" s="70" t="e">
        <f ca="1">OFFSET(Batting!$C$4,BatAves!$I57,0)</f>
        <v>#N/A</v>
      </c>
      <c r="C57" s="74" t="e">
        <f ca="1">OFFSET(Batting!$CE$4,BatAves!$I57,0)</f>
        <v>#N/A</v>
      </c>
      <c r="D57" s="74" t="e">
        <f ca="1">OFFSET(Batting!$CG$4,BatAves!$I57,0)</f>
        <v>#N/A</v>
      </c>
      <c r="E57" s="74" t="e">
        <f ca="1">OFFSET(Batting!$CH$4,BatAves!$I57,0)</f>
        <v>#N/A</v>
      </c>
      <c r="F57" s="74" t="e">
        <f ca="1">OFFSET(Batting!$CJ$4,BatAves!$I57,0)</f>
        <v>#N/A</v>
      </c>
      <c r="G57" s="74" t="e">
        <f ca="1">OFFSET(Batting!$CK$4,BatAves!$I57,0)</f>
        <v>#N/A</v>
      </c>
      <c r="H57" s="79" t="e">
        <f ca="1">OFFSET(Batting!$CL$4,BatAves!$I57,0)</f>
        <v>#N/A</v>
      </c>
      <c r="I57" s="70" t="e">
        <f>MATCH(A57,Batting!$DF$5:$DF$38,0)</f>
        <v>#N/A</v>
      </c>
      <c r="J57" s="70" t="e">
        <f t="shared" ca="1" si="0"/>
        <v>#N/A</v>
      </c>
      <c r="K57" s="70" t="e">
        <f t="shared" ca="1" si="1"/>
        <v>#N/A</v>
      </c>
      <c r="L57" s="70" t="e">
        <f t="shared" ca="1" si="2"/>
        <v>#N/A</v>
      </c>
      <c r="O57" s="139" t="s">
        <v>225</v>
      </c>
    </row>
    <row r="58" spans="1:22" x14ac:dyDescent="0.15">
      <c r="A58" s="70">
        <v>57</v>
      </c>
      <c r="B58" s="70" t="e">
        <f ca="1">OFFSET(Batting!$C$4,BatAves!$I58,0)</f>
        <v>#N/A</v>
      </c>
      <c r="C58" s="74" t="e">
        <f ca="1">OFFSET(Batting!$CE$4,BatAves!$I58,0)</f>
        <v>#N/A</v>
      </c>
      <c r="D58" s="74" t="e">
        <f ca="1">OFFSET(Batting!$CG$4,BatAves!$I58,0)</f>
        <v>#N/A</v>
      </c>
      <c r="E58" s="74" t="e">
        <f ca="1">OFFSET(Batting!$CH$4,BatAves!$I58,0)</f>
        <v>#N/A</v>
      </c>
      <c r="F58" s="74" t="e">
        <f ca="1">OFFSET(Batting!$CJ$4,BatAves!$I58,0)</f>
        <v>#N/A</v>
      </c>
      <c r="G58" s="74" t="e">
        <f ca="1">OFFSET(Batting!$CK$4,BatAves!$I58,0)</f>
        <v>#N/A</v>
      </c>
      <c r="H58" s="79" t="e">
        <f ca="1">OFFSET(Batting!$CL$4,BatAves!$I58,0)</f>
        <v>#N/A</v>
      </c>
      <c r="I58" s="70" t="e">
        <f>MATCH(A58,Batting!$DF$5:$DF$38,0)</f>
        <v>#N/A</v>
      </c>
      <c r="J58" s="70" t="e">
        <f t="shared" ca="1" si="0"/>
        <v>#N/A</v>
      </c>
      <c r="K58" s="70" t="e">
        <f t="shared" ca="1" si="1"/>
        <v>#N/A</v>
      </c>
      <c r="L58" s="70" t="e">
        <f t="shared" ca="1" si="2"/>
        <v>#N/A</v>
      </c>
      <c r="O58" s="139" t="s">
        <v>225</v>
      </c>
    </row>
    <row r="59" spans="1:22" x14ac:dyDescent="0.15">
      <c r="A59" s="70">
        <v>58</v>
      </c>
      <c r="B59" s="70" t="e">
        <f ca="1">OFFSET(Batting!$C$4,BatAves!$I59,0)</f>
        <v>#N/A</v>
      </c>
      <c r="C59" s="74" t="e">
        <f ca="1">OFFSET(Batting!$CE$4,BatAves!$I59,0)</f>
        <v>#N/A</v>
      </c>
      <c r="D59" s="74" t="e">
        <f ca="1">OFFSET(Batting!$CG$4,BatAves!$I59,0)</f>
        <v>#N/A</v>
      </c>
      <c r="E59" s="74" t="e">
        <f ca="1">OFFSET(Batting!$CH$4,BatAves!$I59,0)</f>
        <v>#N/A</v>
      </c>
      <c r="F59" s="74" t="e">
        <f ca="1">OFFSET(Batting!$CJ$4,BatAves!$I59,0)</f>
        <v>#N/A</v>
      </c>
      <c r="G59" s="74" t="e">
        <f ca="1">OFFSET(Batting!$CK$4,BatAves!$I59,0)</f>
        <v>#N/A</v>
      </c>
      <c r="H59" s="79" t="e">
        <f ca="1">OFFSET(Batting!$CL$4,BatAves!$I59,0)</f>
        <v>#N/A</v>
      </c>
      <c r="I59" s="70" t="e">
        <f>MATCH(A59,Batting!$DF$5:$DF$38,0)</f>
        <v>#N/A</v>
      </c>
      <c r="J59" s="70" t="e">
        <f t="shared" ca="1" si="0"/>
        <v>#N/A</v>
      </c>
      <c r="K59" s="70" t="e">
        <f t="shared" ca="1" si="1"/>
        <v>#N/A</v>
      </c>
      <c r="L59" s="70" t="e">
        <f t="shared" ca="1" si="2"/>
        <v>#N/A</v>
      </c>
      <c r="O59" s="139" t="s">
        <v>225</v>
      </c>
    </row>
    <row r="60" spans="1:22" x14ac:dyDescent="0.15">
      <c r="A60" s="70">
        <v>59</v>
      </c>
      <c r="B60" s="70" t="e">
        <f ca="1">OFFSET(Batting!$C$4,BatAves!$I60,0)</f>
        <v>#N/A</v>
      </c>
      <c r="C60" s="74" t="e">
        <f ca="1">OFFSET(Batting!$CE$4,BatAves!$I60,0)</f>
        <v>#N/A</v>
      </c>
      <c r="D60" s="74" t="e">
        <f ca="1">OFFSET(Batting!$CG$4,BatAves!$I60,0)</f>
        <v>#N/A</v>
      </c>
      <c r="E60" s="74" t="e">
        <f ca="1">OFFSET(Batting!$CH$4,BatAves!$I60,0)</f>
        <v>#N/A</v>
      </c>
      <c r="F60" s="74" t="e">
        <f ca="1">OFFSET(Batting!$CJ$4,BatAves!$I60,0)</f>
        <v>#N/A</v>
      </c>
      <c r="G60" s="74" t="e">
        <f ca="1">OFFSET(Batting!$CK$4,BatAves!$I60,0)</f>
        <v>#N/A</v>
      </c>
      <c r="H60" s="79" t="e">
        <f ca="1">OFFSET(Batting!$CL$4,BatAves!$I60,0)</f>
        <v>#N/A</v>
      </c>
      <c r="I60" s="70" t="e">
        <f>MATCH(A60,Batting!$DF$5:$DF$38,0)</f>
        <v>#N/A</v>
      </c>
      <c r="J60" s="70" t="e">
        <f t="shared" ca="1" si="0"/>
        <v>#N/A</v>
      </c>
      <c r="K60" s="70" t="e">
        <f t="shared" ca="1" si="1"/>
        <v>#N/A</v>
      </c>
      <c r="L60" s="70" t="e">
        <f t="shared" ca="1" si="2"/>
        <v>#N/A</v>
      </c>
      <c r="O60" s="139" t="s">
        <v>225</v>
      </c>
    </row>
    <row r="61" spans="1:22" x14ac:dyDescent="0.15">
      <c r="O61" s="139" t="s">
        <v>225</v>
      </c>
    </row>
    <row r="62" spans="1:22" x14ac:dyDescent="0.15">
      <c r="O62" s="139" t="s">
        <v>225</v>
      </c>
    </row>
    <row r="63" spans="1:22" x14ac:dyDescent="0.15">
      <c r="O63" s="139" t="s">
        <v>225</v>
      </c>
    </row>
    <row r="64" spans="1:22" x14ac:dyDescent="0.15">
      <c r="O64" s="139" t="s">
        <v>225</v>
      </c>
    </row>
    <row r="65" spans="15:15" x14ac:dyDescent="0.15">
      <c r="O65" s="139" t="s">
        <v>225</v>
      </c>
    </row>
    <row r="66" spans="15:15" x14ac:dyDescent="0.15">
      <c r="O66" s="139" t="s">
        <v>225</v>
      </c>
    </row>
    <row r="67" spans="15:15" x14ac:dyDescent="0.15">
      <c r="O67" s="139" t="s">
        <v>225</v>
      </c>
    </row>
    <row r="68" spans="15:15" x14ac:dyDescent="0.15">
      <c r="O68" s="139" t="s">
        <v>225</v>
      </c>
    </row>
    <row r="69" spans="15:15" x14ac:dyDescent="0.15">
      <c r="O69" s="139" t="s">
        <v>225</v>
      </c>
    </row>
    <row r="70" spans="15:15" x14ac:dyDescent="0.15">
      <c r="O70" s="139" t="s">
        <v>225</v>
      </c>
    </row>
    <row r="71" spans="15:15" x14ac:dyDescent="0.15">
      <c r="O71" s="139" t="s">
        <v>225</v>
      </c>
    </row>
    <row r="72" spans="15:15" x14ac:dyDescent="0.15">
      <c r="O72" s="139" t="s">
        <v>225</v>
      </c>
    </row>
    <row r="73" spans="15:15" x14ac:dyDescent="0.15">
      <c r="O73" s="139" t="s">
        <v>225</v>
      </c>
    </row>
    <row r="74" spans="15:15" x14ac:dyDescent="0.15">
      <c r="O74" s="139" t="s">
        <v>225</v>
      </c>
    </row>
    <row r="75" spans="15:15" x14ac:dyDescent="0.15">
      <c r="O75" s="139" t="s">
        <v>225</v>
      </c>
    </row>
    <row r="76" spans="15:15" x14ac:dyDescent="0.15">
      <c r="O76" s="139" t="s">
        <v>225</v>
      </c>
    </row>
    <row r="77" spans="15:15" x14ac:dyDescent="0.15">
      <c r="O77" s="139" t="s">
        <v>225</v>
      </c>
    </row>
    <row r="78" spans="15:15" x14ac:dyDescent="0.15">
      <c r="O78" s="139" t="s">
        <v>225</v>
      </c>
    </row>
    <row r="79" spans="15:15" x14ac:dyDescent="0.15">
      <c r="O79" s="139" t="s">
        <v>225</v>
      </c>
    </row>
    <row r="80" spans="15:15" x14ac:dyDescent="0.15">
      <c r="O80" s="139" t="s">
        <v>225</v>
      </c>
    </row>
    <row r="81" spans="15:15" x14ac:dyDescent="0.15">
      <c r="O81" s="139" t="s">
        <v>225</v>
      </c>
    </row>
    <row r="82" spans="15:15" x14ac:dyDescent="0.15">
      <c r="O82" s="139" t="s">
        <v>225</v>
      </c>
    </row>
    <row r="83" spans="15:15" x14ac:dyDescent="0.15">
      <c r="O83" s="139" t="s">
        <v>225</v>
      </c>
    </row>
    <row r="84" spans="15:15" x14ac:dyDescent="0.15">
      <c r="O84" s="139" t="s">
        <v>225</v>
      </c>
    </row>
    <row r="85" spans="15:15" x14ac:dyDescent="0.15">
      <c r="O85" s="139" t="s">
        <v>225</v>
      </c>
    </row>
  </sheetData>
  <sortState ref="V19:V52">
    <sortCondition ref="V19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7"/>
  <sheetViews>
    <sheetView topLeftCell="A19" workbookViewId="0">
      <selection activeCell="R39" sqref="R39:R57"/>
    </sheetView>
  </sheetViews>
  <sheetFormatPr defaultRowHeight="10.5" x14ac:dyDescent="0.15"/>
  <cols>
    <col min="1" max="1" width="4.42578125" style="70" customWidth="1"/>
    <col min="2" max="2" width="3" style="70" hidden="1" customWidth="1"/>
    <col min="3" max="3" width="12.5703125" style="70" bestFit="1" customWidth="1"/>
    <col min="4" max="4" width="5.85546875" style="135" bestFit="1" customWidth="1"/>
    <col min="5" max="5" width="5.140625" style="74" bestFit="1" customWidth="1"/>
    <col min="6" max="6" width="5" style="74" bestFit="1" customWidth="1"/>
    <col min="7" max="7" width="7.28515625" style="74" bestFit="1" customWidth="1"/>
    <col min="8" max="8" width="7.28515625" style="79" bestFit="1" customWidth="1"/>
    <col min="9" max="9" width="6.5703125" style="136" bestFit="1" customWidth="1"/>
    <col min="10" max="10" width="5.5703125" style="136" bestFit="1" customWidth="1"/>
    <col min="11" max="11" width="4.7109375" style="74" bestFit="1" customWidth="1"/>
    <col min="12" max="12" width="5.28515625" style="74" bestFit="1" customWidth="1"/>
    <col min="13" max="13" width="5.85546875" style="74" bestFit="1" customWidth="1"/>
    <col min="14" max="14" width="23.5703125" style="70" bestFit="1" customWidth="1"/>
    <col min="15" max="15" width="9.85546875" style="70" bestFit="1" customWidth="1"/>
    <col min="16" max="16" width="9.140625" style="70"/>
    <col min="17" max="17" width="10.85546875" style="70" bestFit="1" customWidth="1"/>
    <col min="18" max="18" width="13.140625" style="70" bestFit="1" customWidth="1"/>
    <col min="19" max="19" width="9.140625" style="150"/>
    <col min="20" max="21" width="9.140625" style="70"/>
    <col min="22" max="22" width="9.140625" style="62"/>
    <col min="23" max="23" width="9.140625" style="133"/>
    <col min="24" max="16384" width="9.140625" style="70"/>
  </cols>
  <sheetData>
    <row r="1" spans="1:26" x14ac:dyDescent="0.15">
      <c r="A1" s="62" t="s">
        <v>143</v>
      </c>
      <c r="D1" s="135" t="s">
        <v>35</v>
      </c>
      <c r="E1" s="74" t="s">
        <v>36</v>
      </c>
      <c r="F1" s="74" t="s">
        <v>9</v>
      </c>
      <c r="G1" s="74" t="s">
        <v>145</v>
      </c>
      <c r="H1" s="77" t="s">
        <v>38</v>
      </c>
      <c r="I1" s="78" t="s">
        <v>39</v>
      </c>
      <c r="J1" s="78" t="s">
        <v>40</v>
      </c>
      <c r="K1" s="50" t="s">
        <v>98</v>
      </c>
      <c r="L1" s="50"/>
      <c r="M1" s="50"/>
      <c r="O1" s="70" t="s">
        <v>223</v>
      </c>
      <c r="P1" s="70">
        <f t="array" aca="1" ref="P1" ca="1">SUM(IF(NOT(ISNA(C2:C51)),1,0))</f>
        <v>28</v>
      </c>
      <c r="Q1" s="70" t="s">
        <v>224</v>
      </c>
      <c r="R1" s="70">
        <f t="array" aca="1" ref="R1" ca="1">SUM(IF(OFFSET(G2,0,0,P1,1)&gt;=10,1,0))</f>
        <v>4</v>
      </c>
    </row>
    <row r="2" spans="1:26" ht="12.75" x14ac:dyDescent="0.15">
      <c r="A2" s="70">
        <v>1</v>
      </c>
      <c r="B2" s="70">
        <f>MATCH(A2,Bowling!$CS$5:$CS$32,0)</f>
        <v>9</v>
      </c>
      <c r="C2" s="70" t="str">
        <f ca="1">OFFSET(Bowling!$B$4,BowlAves!B2,0)</f>
        <v>Edghill C</v>
      </c>
      <c r="D2" s="135">
        <f t="array" aca="1" ref="D2:K2" ca="1">OFFSET(Bowling!$CG$4,BowlAves!B2,0,1,8)</f>
        <v>2</v>
      </c>
      <c r="E2" s="74">
        <f ca="1"/>
        <v>1</v>
      </c>
      <c r="F2" s="74">
        <f ca="1"/>
        <v>10</v>
      </c>
      <c r="G2" s="74">
        <f ca="1"/>
        <v>1</v>
      </c>
      <c r="H2" s="79">
        <f ca="1"/>
        <v>10</v>
      </c>
      <c r="I2" s="136">
        <f ca="1"/>
        <v>12</v>
      </c>
      <c r="J2" s="136">
        <f ca="1"/>
        <v>5</v>
      </c>
      <c r="K2" s="137" t="str">
        <f ca="1"/>
        <v>1-10</v>
      </c>
      <c r="L2" s="137">
        <f ca="1">IF(G2&gt;=10,A2,1000+A2)</f>
        <v>1001</v>
      </c>
      <c r="M2" s="137">
        <f ca="1">RANK(L2,OFFSET($L$2,0,0,$P$1,1),-1)</f>
        <v>5</v>
      </c>
      <c r="N2" s="70" t="str">
        <f ca="1">IF(G2&gt;=10,"",C2&amp;" "&amp;D2&amp;"-"&amp;E2&amp;"-"&amp;F2&amp;"-"&amp;G2&amp;",")</f>
        <v>Edghill C 2-1-10-1,</v>
      </c>
      <c r="Q2" s="149" t="s">
        <v>84</v>
      </c>
      <c r="R2" s="149" t="s">
        <v>35</v>
      </c>
      <c r="S2" s="151" t="s">
        <v>36</v>
      </c>
      <c r="T2" s="149" t="s">
        <v>9</v>
      </c>
      <c r="U2" s="149" t="s">
        <v>145</v>
      </c>
      <c r="V2" s="149" t="s">
        <v>38</v>
      </c>
      <c r="W2" s="149" t="s">
        <v>39</v>
      </c>
      <c r="X2" s="149" t="s">
        <v>40</v>
      </c>
      <c r="Y2" s="149" t="s">
        <v>98</v>
      </c>
    </row>
    <row r="3" spans="1:26" ht="12.75" x14ac:dyDescent="0.2">
      <c r="A3" s="70">
        <v>2</v>
      </c>
      <c r="B3" s="70">
        <f>MATCH(A3,Bowling!$CS$5:$CS$32,0)</f>
        <v>20</v>
      </c>
      <c r="C3" s="70" t="str">
        <f ca="1">OFFSET(Bowling!$B$4,BowlAves!B3,0)</f>
        <v>Missen</v>
      </c>
      <c r="D3" s="135">
        <f t="array" aca="1" ref="D3:K3" ca="1">OFFSET(Bowling!$CG$4,BowlAves!B3,0,1,8)</f>
        <v>9</v>
      </c>
      <c r="E3" s="74">
        <f ca="1"/>
        <v>2</v>
      </c>
      <c r="F3" s="74">
        <f ca="1"/>
        <v>20</v>
      </c>
      <c r="G3" s="74">
        <f ca="1"/>
        <v>2</v>
      </c>
      <c r="H3" s="79">
        <f ca="1"/>
        <v>10</v>
      </c>
      <c r="I3" s="136">
        <f ca="1"/>
        <v>27</v>
      </c>
      <c r="J3" s="136">
        <f ca="1"/>
        <v>2.2222222222222223</v>
      </c>
      <c r="K3" s="137" t="str">
        <f ca="1"/>
        <v>2-20</v>
      </c>
      <c r="L3" s="137">
        <f t="shared" ref="L3:L51" ca="1" si="0">IF(G3&gt;=10,A3,1000+A3)</f>
        <v>1002</v>
      </c>
      <c r="M3" s="137">
        <f t="shared" ref="M3:M51" ca="1" si="1">RANK(L3,OFFSET($L$2,0,0,$P$1,1),-1)</f>
        <v>6</v>
      </c>
      <c r="N3" s="70" t="str">
        <f t="shared" ref="N3:N51" ca="1" si="2">IF(G3&gt;=10,"",C3&amp;" "&amp;D3&amp;"-"&amp;E3&amp;"-"&amp;F3&amp;"-"&amp;G3&amp;",")</f>
        <v>Missen 9-2-20-2,</v>
      </c>
      <c r="P3" s="106">
        <v>1</v>
      </c>
      <c r="Q3" s="141" t="str">
        <f t="array" aca="1" ref="Q3:Y3" ca="1">OFFSET($C$2,MATCH(P3,$M$2:$M$51,0)-1,0,1,9)</f>
        <v>Middleton J</v>
      </c>
      <c r="R3" s="141">
        <f ca="1"/>
        <v>57</v>
      </c>
      <c r="S3" s="152">
        <f ca="1"/>
        <v>13</v>
      </c>
      <c r="T3" s="141">
        <f ca="1"/>
        <v>198</v>
      </c>
      <c r="U3" s="141">
        <f ca="1"/>
        <v>16</v>
      </c>
      <c r="V3" s="142">
        <f ca="1"/>
        <v>12.38</v>
      </c>
      <c r="W3" s="146">
        <f ca="1"/>
        <v>21.375</v>
      </c>
      <c r="X3" s="146">
        <f ca="1"/>
        <v>3.4736842105263159</v>
      </c>
      <c r="Y3" s="146" t="str">
        <f ca="1"/>
        <v>5-30</v>
      </c>
      <c r="Z3" s="49"/>
    </row>
    <row r="4" spans="1:26" ht="12.75" x14ac:dyDescent="0.2">
      <c r="A4" s="70">
        <v>3</v>
      </c>
      <c r="B4" s="70">
        <f>MATCH(A4,Bowling!$CS$5:$CS$32,0)</f>
        <v>19</v>
      </c>
      <c r="C4" s="70" t="str">
        <f ca="1">OFFSET(Bowling!$B$4,BowlAves!B4,0)</f>
        <v>Middleton J</v>
      </c>
      <c r="D4" s="135">
        <f t="array" aca="1" ref="D4:K4" ca="1">OFFSET(Bowling!$CG$4,BowlAves!B4,0,1,8)</f>
        <v>57</v>
      </c>
      <c r="E4" s="74">
        <f ca="1"/>
        <v>13</v>
      </c>
      <c r="F4" s="74">
        <f ca="1"/>
        <v>198</v>
      </c>
      <c r="G4" s="74">
        <f ca="1"/>
        <v>16</v>
      </c>
      <c r="H4" s="79">
        <f ca="1"/>
        <v>12.38</v>
      </c>
      <c r="I4" s="136">
        <f ca="1"/>
        <v>21.375</v>
      </c>
      <c r="J4" s="136">
        <f ca="1"/>
        <v>3.4736842105263159</v>
      </c>
      <c r="K4" s="137" t="str">
        <f ca="1"/>
        <v>5-30</v>
      </c>
      <c r="L4" s="137">
        <f t="shared" ca="1" si="0"/>
        <v>3</v>
      </c>
      <c r="M4" s="137">
        <f t="shared" ca="1" si="1"/>
        <v>1</v>
      </c>
      <c r="N4" s="70" t="str">
        <f t="shared" ca="1" si="2"/>
        <v/>
      </c>
      <c r="P4" s="106">
        <v>2</v>
      </c>
      <c r="Q4" s="141" t="str">
        <f t="array" aca="1" ref="Q4:Y4" ca="1">OFFSET($C$2,MATCH(P4,$M$2:$M$51,0)-1,0,1,9)</f>
        <v>Singh R</v>
      </c>
      <c r="R4" s="141">
        <f ca="1"/>
        <v>42</v>
      </c>
      <c r="S4" s="152">
        <f ca="1"/>
        <v>7</v>
      </c>
      <c r="T4" s="141">
        <f ca="1"/>
        <v>159</v>
      </c>
      <c r="U4" s="141">
        <f ca="1"/>
        <v>12</v>
      </c>
      <c r="V4" s="142">
        <f ca="1"/>
        <v>13.25</v>
      </c>
      <c r="W4" s="146">
        <f ca="1"/>
        <v>21</v>
      </c>
      <c r="X4" s="146">
        <f ca="1"/>
        <v>3.7857142857142856</v>
      </c>
      <c r="Y4" s="146" t="str">
        <f ca="1"/>
        <v>4-34</v>
      </c>
      <c r="Z4" s="137"/>
    </row>
    <row r="5" spans="1:26" ht="12.75" x14ac:dyDescent="0.2">
      <c r="A5" s="70">
        <v>4</v>
      </c>
      <c r="B5" s="70">
        <f>MATCH(A5,Bowling!$CS$5:$CS$32,0)</f>
        <v>22</v>
      </c>
      <c r="C5" s="70" t="str">
        <f ca="1">OFFSET(Bowling!$B$4,BowlAves!B5,0)</f>
        <v>Sharpe D</v>
      </c>
      <c r="D5" s="135">
        <f t="array" aca="1" ref="D5:K5" ca="1">OFFSET(Bowling!$CG$4,BowlAves!B5,0,1,8)</f>
        <v>23.1</v>
      </c>
      <c r="E5" s="74">
        <f ca="1"/>
        <v>5</v>
      </c>
      <c r="F5" s="74">
        <f ca="1"/>
        <v>75</v>
      </c>
      <c r="G5" s="74">
        <f ca="1"/>
        <v>6</v>
      </c>
      <c r="H5" s="79">
        <f ca="1"/>
        <v>12.5</v>
      </c>
      <c r="I5" s="136">
        <f ca="1"/>
        <v>23.166666666666668</v>
      </c>
      <c r="J5" s="136">
        <f ca="1"/>
        <v>3.2374100719424459</v>
      </c>
      <c r="K5" s="137" t="str">
        <f ca="1"/>
        <v>2-8</v>
      </c>
      <c r="L5" s="137">
        <f t="shared" ca="1" si="0"/>
        <v>1004</v>
      </c>
      <c r="M5" s="137">
        <f t="shared" ca="1" si="1"/>
        <v>7</v>
      </c>
      <c r="N5" s="70" t="str">
        <f t="shared" ca="1" si="2"/>
        <v>Sharpe D 23.1-5-75-6,</v>
      </c>
      <c r="P5" s="106">
        <v>3</v>
      </c>
      <c r="Q5" s="141" t="str">
        <f t="array" aca="1" ref="Q5:Y5" ca="1">OFFSET($C$2,MATCH(P5,$M$2:$M$51,0)-1,0,1,9)</f>
        <v>Seymour C</v>
      </c>
      <c r="R5" s="141">
        <f ca="1"/>
        <v>67.400000000000006</v>
      </c>
      <c r="S5" s="152">
        <f ca="1"/>
        <v>4</v>
      </c>
      <c r="T5" s="141">
        <f ca="1"/>
        <v>280</v>
      </c>
      <c r="U5" s="141">
        <f ca="1"/>
        <v>16</v>
      </c>
      <c r="V5" s="142">
        <f ca="1"/>
        <v>17.5</v>
      </c>
      <c r="W5" s="146">
        <f ca="1"/>
        <v>25.375</v>
      </c>
      <c r="X5" s="146">
        <f ca="1"/>
        <v>4.1379310344827589</v>
      </c>
      <c r="Y5" s="146" t="str">
        <f ca="1"/>
        <v>5-45</v>
      </c>
      <c r="Z5" s="137"/>
    </row>
    <row r="6" spans="1:26" ht="12.75" x14ac:dyDescent="0.2">
      <c r="A6" s="70">
        <v>5</v>
      </c>
      <c r="B6" s="70">
        <f>MATCH(A6,Bowling!$CS$5:$CS$32,0)</f>
        <v>23</v>
      </c>
      <c r="C6" s="70" t="str">
        <f ca="1">OFFSET(Bowling!$B$4,BowlAves!B6,0)</f>
        <v>Singh R</v>
      </c>
      <c r="D6" s="135">
        <f t="array" aca="1" ref="D6:K6" ca="1">OFFSET(Bowling!$CG$4,BowlAves!B6,0,1,8)</f>
        <v>42</v>
      </c>
      <c r="E6" s="74">
        <f ca="1"/>
        <v>7</v>
      </c>
      <c r="F6" s="74">
        <f ca="1"/>
        <v>159</v>
      </c>
      <c r="G6" s="74">
        <f ca="1"/>
        <v>12</v>
      </c>
      <c r="H6" s="79">
        <f ca="1"/>
        <v>13.25</v>
      </c>
      <c r="I6" s="136">
        <f ca="1"/>
        <v>21</v>
      </c>
      <c r="J6" s="136">
        <f ca="1"/>
        <v>3.7857142857142856</v>
      </c>
      <c r="K6" s="137" t="str">
        <f ca="1"/>
        <v>4-34</v>
      </c>
      <c r="L6" s="137">
        <f t="shared" ca="1" si="0"/>
        <v>5</v>
      </c>
      <c r="M6" s="137">
        <f t="shared" ca="1" si="1"/>
        <v>2</v>
      </c>
      <c r="N6" s="70" t="str">
        <f t="shared" ca="1" si="2"/>
        <v/>
      </c>
      <c r="P6" s="106">
        <v>4</v>
      </c>
      <c r="Q6" s="141" t="str">
        <f t="array" aca="1" ref="Q6:Y6" ca="1">OFFSET($C$2,MATCH(P6,$M$2:$M$51,0)-1,0,1,9)</f>
        <v>Cooper G</v>
      </c>
      <c r="R6" s="141">
        <f ca="1"/>
        <v>109.4</v>
      </c>
      <c r="S6" s="152">
        <f ca="1"/>
        <v>10</v>
      </c>
      <c r="T6" s="141">
        <f ca="1"/>
        <v>389</v>
      </c>
      <c r="U6" s="141">
        <f ca="1"/>
        <v>18</v>
      </c>
      <c r="V6" s="142">
        <f ca="1"/>
        <v>21.61</v>
      </c>
      <c r="W6" s="146">
        <f ca="1"/>
        <v>36.555555555555557</v>
      </c>
      <c r="X6" s="146">
        <f ca="1"/>
        <v>3.547112462006079</v>
      </c>
      <c r="Y6" s="146" t="str">
        <f ca="1"/>
        <v>4-12</v>
      </c>
      <c r="Z6" s="137"/>
    </row>
    <row r="7" spans="1:26" ht="12.75" x14ac:dyDescent="0.2">
      <c r="A7" s="70">
        <v>6</v>
      </c>
      <c r="B7" s="70">
        <f>MATCH(A7,Bowling!$CS$5:$CS$32,0)</f>
        <v>21</v>
      </c>
      <c r="C7" s="70" t="str">
        <f ca="1">OFFSET(Bowling!$B$4,BowlAves!B7,0)</f>
        <v>Seymour C</v>
      </c>
      <c r="D7" s="135">
        <f t="array" aca="1" ref="D7:K7" ca="1">OFFSET(Bowling!$CG$4,BowlAves!B7,0,1,8)</f>
        <v>67.400000000000006</v>
      </c>
      <c r="E7" s="74">
        <f ca="1"/>
        <v>4</v>
      </c>
      <c r="F7" s="74">
        <f ca="1"/>
        <v>280</v>
      </c>
      <c r="G7" s="74">
        <f ca="1"/>
        <v>16</v>
      </c>
      <c r="H7" s="79">
        <f ca="1"/>
        <v>17.5</v>
      </c>
      <c r="I7" s="136">
        <f ca="1"/>
        <v>25.375</v>
      </c>
      <c r="J7" s="136">
        <f ca="1"/>
        <v>4.1379310344827589</v>
      </c>
      <c r="K7" s="137" t="str">
        <f ca="1"/>
        <v>5-45</v>
      </c>
      <c r="L7" s="137">
        <f t="shared" ca="1" si="0"/>
        <v>6</v>
      </c>
      <c r="M7" s="137">
        <f t="shared" ca="1" si="1"/>
        <v>3</v>
      </c>
      <c r="N7" s="70" t="str">
        <f t="shared" ca="1" si="2"/>
        <v/>
      </c>
      <c r="P7" s="106">
        <v>5</v>
      </c>
      <c r="Q7" s="141" t="str">
        <f t="array" aca="1" ref="Q7:Y7" ca="1">OFFSET($C$2,MATCH(P7,$M$2:$M$51,0)-1,0,1,9)</f>
        <v>Edghill C</v>
      </c>
      <c r="R7" s="141">
        <f ca="1"/>
        <v>2</v>
      </c>
      <c r="S7" s="152">
        <f ca="1"/>
        <v>1</v>
      </c>
      <c r="T7" s="141">
        <f ca="1"/>
        <v>10</v>
      </c>
      <c r="U7" s="141">
        <f ca="1"/>
        <v>1</v>
      </c>
      <c r="V7" s="142">
        <f ca="1"/>
        <v>10</v>
      </c>
      <c r="W7" s="146">
        <f ca="1"/>
        <v>12</v>
      </c>
      <c r="X7" s="146">
        <f ca="1"/>
        <v>5</v>
      </c>
      <c r="Y7" s="146" t="str">
        <f ca="1"/>
        <v>1-10</v>
      </c>
      <c r="Z7" s="137"/>
    </row>
    <row r="8" spans="1:26" ht="12.75" x14ac:dyDescent="0.2">
      <c r="A8" s="70">
        <v>7</v>
      </c>
      <c r="B8" s="70">
        <f>MATCH(A8,Bowling!$CS$5:$CS$32,0)</f>
        <v>28</v>
      </c>
      <c r="C8" s="70" t="str">
        <f ca="1">OFFSET(Bowling!$B$4,BowlAves!B8,0)</f>
        <v>Wright P</v>
      </c>
      <c r="D8" s="135">
        <f t="array" aca="1" ref="D8:K8" ca="1">OFFSET(Bowling!$CG$4,BowlAves!B8,0,1,8)</f>
        <v>20</v>
      </c>
      <c r="E8" s="74">
        <f ca="1"/>
        <v>0</v>
      </c>
      <c r="F8" s="74">
        <f ca="1"/>
        <v>106</v>
      </c>
      <c r="G8" s="74">
        <f ca="1"/>
        <v>6</v>
      </c>
      <c r="H8" s="79">
        <f ca="1"/>
        <v>17.670000000000002</v>
      </c>
      <c r="I8" s="136">
        <f ca="1"/>
        <v>20</v>
      </c>
      <c r="J8" s="136">
        <f ca="1"/>
        <v>5.3</v>
      </c>
      <c r="K8" s="137" t="str">
        <f ca="1"/>
        <v>4-41</v>
      </c>
      <c r="L8" s="137">
        <f t="shared" ca="1" si="0"/>
        <v>1007</v>
      </c>
      <c r="M8" s="137">
        <f t="shared" ca="1" si="1"/>
        <v>8</v>
      </c>
      <c r="N8" s="70" t="str">
        <f t="shared" ca="1" si="2"/>
        <v>Wright P 20-0-106-6,</v>
      </c>
      <c r="P8" s="106">
        <v>6</v>
      </c>
      <c r="Q8" s="141" t="str">
        <f t="array" aca="1" ref="Q8:Y8" ca="1">OFFSET($C$2,MATCH(P8,$M$2:$M$51,0)-1,0,1,9)</f>
        <v>Missen</v>
      </c>
      <c r="R8" s="141">
        <f ca="1"/>
        <v>9</v>
      </c>
      <c r="S8" s="152">
        <f ca="1"/>
        <v>2</v>
      </c>
      <c r="T8" s="141">
        <f ca="1"/>
        <v>20</v>
      </c>
      <c r="U8" s="141">
        <f ca="1"/>
        <v>2</v>
      </c>
      <c r="V8" s="142">
        <f ca="1"/>
        <v>10</v>
      </c>
      <c r="W8" s="146">
        <f ca="1"/>
        <v>27</v>
      </c>
      <c r="X8" s="146">
        <f ca="1"/>
        <v>2.2222222222222223</v>
      </c>
      <c r="Y8" s="146" t="str">
        <f ca="1"/>
        <v>2-20</v>
      </c>
      <c r="Z8" s="137"/>
    </row>
    <row r="9" spans="1:26" ht="12.75" x14ac:dyDescent="0.2">
      <c r="A9" s="70">
        <v>8</v>
      </c>
      <c r="B9" s="70">
        <f>MATCH(A9,Bowling!$CS$5:$CS$32,0)</f>
        <v>12</v>
      </c>
      <c r="C9" s="70" t="str">
        <f ca="1">OFFSET(Bowling!$B$4,BowlAves!B9,0)</f>
        <v>Gibbs B</v>
      </c>
      <c r="D9" s="135">
        <f t="array" aca="1" ref="D9:K9" ca="1">OFFSET(Bowling!$CG$4,BowlAves!B9,0,1,8)</f>
        <v>4</v>
      </c>
      <c r="E9" s="74">
        <f ca="1"/>
        <v>0</v>
      </c>
      <c r="F9" s="74">
        <f ca="1"/>
        <v>18</v>
      </c>
      <c r="G9" s="74">
        <f ca="1"/>
        <v>1</v>
      </c>
      <c r="H9" s="79">
        <f ca="1"/>
        <v>18</v>
      </c>
      <c r="I9" s="136">
        <f ca="1"/>
        <v>24</v>
      </c>
      <c r="J9" s="136">
        <f ca="1"/>
        <v>4.5</v>
      </c>
      <c r="K9" s="137" t="str">
        <f ca="1"/>
        <v>1-18</v>
      </c>
      <c r="L9" s="137">
        <f t="shared" ca="1" si="0"/>
        <v>1008</v>
      </c>
      <c r="M9" s="137">
        <f t="shared" ca="1" si="1"/>
        <v>9</v>
      </c>
      <c r="N9" s="70" t="str">
        <f t="shared" ca="1" si="2"/>
        <v>Gibbs B 4-0-18-1,</v>
      </c>
      <c r="P9" s="106">
        <v>7</v>
      </c>
      <c r="Q9" s="141" t="str">
        <f t="array" aca="1" ref="Q9:Y9" ca="1">OFFSET($C$2,MATCH(P9,$M$2:$M$51,0)-1,0,1,9)</f>
        <v>Sharpe D</v>
      </c>
      <c r="R9" s="141">
        <f ca="1"/>
        <v>23.1</v>
      </c>
      <c r="S9" s="152">
        <f ca="1"/>
        <v>5</v>
      </c>
      <c r="T9" s="141">
        <f ca="1"/>
        <v>75</v>
      </c>
      <c r="U9" s="141">
        <f ca="1"/>
        <v>6</v>
      </c>
      <c r="V9" s="142">
        <f ca="1"/>
        <v>12.5</v>
      </c>
      <c r="W9" s="146">
        <f ca="1"/>
        <v>23.166666666666668</v>
      </c>
      <c r="X9" s="146">
        <f ca="1"/>
        <v>3.2374100719424459</v>
      </c>
      <c r="Y9" s="146" t="str">
        <f ca="1"/>
        <v>2-8</v>
      </c>
      <c r="Z9" s="137"/>
    </row>
    <row r="10" spans="1:26" ht="12.75" x14ac:dyDescent="0.2">
      <c r="A10" s="70">
        <v>9</v>
      </c>
      <c r="B10" s="70">
        <f>MATCH(A10,Bowling!$CS$5:$CS$32,0)</f>
        <v>5</v>
      </c>
      <c r="C10" s="70" t="str">
        <f ca="1">OFFSET(Bowling!$B$4,BowlAves!B10,0)</f>
        <v>Clarkson M</v>
      </c>
      <c r="D10" s="135">
        <f t="array" aca="1" ref="D10:K10" ca="1">OFFSET(Bowling!$CG$4,BowlAves!B10,0,1,8)</f>
        <v>37.200000000000003</v>
      </c>
      <c r="E10" s="74">
        <f ca="1"/>
        <v>5</v>
      </c>
      <c r="F10" s="74">
        <f ca="1"/>
        <v>162</v>
      </c>
      <c r="G10" s="74">
        <f ca="1"/>
        <v>8</v>
      </c>
      <c r="H10" s="79">
        <f ca="1"/>
        <v>20.25</v>
      </c>
      <c r="I10" s="136">
        <f ca="1"/>
        <v>28</v>
      </c>
      <c r="J10" s="136">
        <f ca="1"/>
        <v>4.3392857142857144</v>
      </c>
      <c r="K10" s="137" t="str">
        <f ca="1"/>
        <v>2-26</v>
      </c>
      <c r="L10" s="137">
        <f t="shared" ca="1" si="0"/>
        <v>1009</v>
      </c>
      <c r="M10" s="137">
        <f t="shared" ca="1" si="1"/>
        <v>10</v>
      </c>
      <c r="N10" s="70" t="str">
        <f t="shared" ca="1" si="2"/>
        <v>Clarkson M 37.2-5-162-8,</v>
      </c>
      <c r="P10" s="106">
        <v>8</v>
      </c>
      <c r="Q10" s="141" t="str">
        <f t="array" aca="1" ref="Q10:Y10" ca="1">OFFSET($C$2,MATCH(P10,$M$2:$M$51,0)-1,0,1,9)</f>
        <v>Wright P</v>
      </c>
      <c r="R10" s="141">
        <f ca="1"/>
        <v>20</v>
      </c>
      <c r="S10" s="152">
        <f ca="1"/>
        <v>0</v>
      </c>
      <c r="T10" s="141">
        <f ca="1"/>
        <v>106</v>
      </c>
      <c r="U10" s="141">
        <f ca="1"/>
        <v>6</v>
      </c>
      <c r="V10" s="142">
        <f ca="1"/>
        <v>17.670000000000002</v>
      </c>
      <c r="W10" s="146">
        <f ca="1"/>
        <v>20</v>
      </c>
      <c r="X10" s="146">
        <f ca="1"/>
        <v>5.3</v>
      </c>
      <c r="Y10" s="146" t="str">
        <f ca="1"/>
        <v>4-41</v>
      </c>
      <c r="Z10" s="137"/>
    </row>
    <row r="11" spans="1:26" ht="12.75" x14ac:dyDescent="0.2">
      <c r="A11" s="70">
        <v>10</v>
      </c>
      <c r="B11" s="70">
        <f>MATCH(A11,Bowling!$CS$5:$CS$32,0)</f>
        <v>7</v>
      </c>
      <c r="C11" s="70" t="str">
        <f ca="1">OFFSET(Bowling!$B$4,BowlAves!B11,0)</f>
        <v>Cooper G</v>
      </c>
      <c r="D11" s="135">
        <f t="array" aca="1" ref="D11:K11" ca="1">OFFSET(Bowling!$CG$4,BowlAves!B11,0,1,8)</f>
        <v>109.4</v>
      </c>
      <c r="E11" s="74">
        <f ca="1"/>
        <v>10</v>
      </c>
      <c r="F11" s="74">
        <f ca="1"/>
        <v>389</v>
      </c>
      <c r="G11" s="74">
        <f ca="1"/>
        <v>18</v>
      </c>
      <c r="H11" s="79">
        <f ca="1"/>
        <v>21.61</v>
      </c>
      <c r="I11" s="136">
        <f ca="1"/>
        <v>36.555555555555557</v>
      </c>
      <c r="J11" s="136">
        <f ca="1"/>
        <v>3.547112462006079</v>
      </c>
      <c r="K11" s="137" t="str">
        <f ca="1"/>
        <v>4-12</v>
      </c>
      <c r="L11" s="137">
        <f t="shared" ca="1" si="0"/>
        <v>10</v>
      </c>
      <c r="M11" s="137">
        <f t="shared" ca="1" si="1"/>
        <v>4</v>
      </c>
      <c r="N11" s="70" t="str">
        <f t="shared" ca="1" si="2"/>
        <v/>
      </c>
      <c r="P11" s="106">
        <v>9</v>
      </c>
      <c r="Q11" s="141" t="str">
        <f t="array" aca="1" ref="Q11:Y11" ca="1">OFFSET($C$2,MATCH(P11,$M$2:$M$51,0)-1,0,1,9)</f>
        <v>Gibbs B</v>
      </c>
      <c r="R11" s="141">
        <f ca="1"/>
        <v>4</v>
      </c>
      <c r="S11" s="152">
        <f ca="1"/>
        <v>0</v>
      </c>
      <c r="T11" s="141">
        <f ca="1"/>
        <v>18</v>
      </c>
      <c r="U11" s="141">
        <f ca="1"/>
        <v>1</v>
      </c>
      <c r="V11" s="142">
        <f ca="1"/>
        <v>18</v>
      </c>
      <c r="W11" s="146">
        <f ca="1"/>
        <v>24</v>
      </c>
      <c r="X11" s="146">
        <f ca="1"/>
        <v>4.5</v>
      </c>
      <c r="Y11" s="146" t="str">
        <f ca="1"/>
        <v>1-18</v>
      </c>
      <c r="Z11" s="137"/>
    </row>
    <row r="12" spans="1:26" ht="12.75" x14ac:dyDescent="0.2">
      <c r="A12" s="70">
        <v>11</v>
      </c>
      <c r="B12" s="70">
        <f>MATCH(A12,Bowling!$CS$5:$CS$32,0)</f>
        <v>18</v>
      </c>
      <c r="C12" s="70" t="str">
        <f ca="1">OFFSET(Bowling!$B$4,BowlAves!B12,0)</f>
        <v>Lovell</v>
      </c>
      <c r="D12" s="135">
        <f t="array" aca="1" ref="D12:K12" ca="1">OFFSET(Bowling!$CG$4,BowlAves!B12,0,1,8)</f>
        <v>6</v>
      </c>
      <c r="E12" s="74">
        <f ca="1"/>
        <v>0</v>
      </c>
      <c r="F12" s="74">
        <f ca="1"/>
        <v>26</v>
      </c>
      <c r="G12" s="74">
        <f ca="1"/>
        <v>1</v>
      </c>
      <c r="H12" s="79">
        <f ca="1"/>
        <v>26</v>
      </c>
      <c r="I12" s="136">
        <f ca="1"/>
        <v>36</v>
      </c>
      <c r="J12" s="136">
        <f ca="1"/>
        <v>4.333333333333333</v>
      </c>
      <c r="K12" s="137" t="str">
        <f ca="1"/>
        <v>1-15</v>
      </c>
      <c r="L12" s="137">
        <f t="shared" ca="1" si="0"/>
        <v>1011</v>
      </c>
      <c r="M12" s="137">
        <f t="shared" ca="1" si="1"/>
        <v>11</v>
      </c>
      <c r="N12" s="70" t="str">
        <f t="shared" ca="1" si="2"/>
        <v>Lovell 6-0-26-1,</v>
      </c>
      <c r="P12" s="106">
        <v>10</v>
      </c>
      <c r="Q12" s="141" t="str">
        <f t="array" aca="1" ref="Q12:Y12" ca="1">OFFSET($C$2,MATCH(P12,$M$2:$M$51,0)-1,0,1,9)</f>
        <v>Clarkson M</v>
      </c>
      <c r="R12" s="141">
        <f ca="1"/>
        <v>37.200000000000003</v>
      </c>
      <c r="S12" s="152">
        <f ca="1"/>
        <v>5</v>
      </c>
      <c r="T12" s="141">
        <f ca="1"/>
        <v>162</v>
      </c>
      <c r="U12" s="141">
        <f ca="1"/>
        <v>8</v>
      </c>
      <c r="V12" s="142">
        <f ca="1"/>
        <v>20.25</v>
      </c>
      <c r="W12" s="146">
        <f ca="1"/>
        <v>28</v>
      </c>
      <c r="X12" s="146">
        <f ca="1"/>
        <v>4.3392857142857144</v>
      </c>
      <c r="Y12" s="146" t="str">
        <f ca="1"/>
        <v>2-26</v>
      </c>
      <c r="Z12" s="137"/>
    </row>
    <row r="13" spans="1:26" ht="12.75" x14ac:dyDescent="0.2">
      <c r="A13" s="70">
        <v>12</v>
      </c>
      <c r="B13" s="70">
        <f>MATCH(A13,Bowling!$CS$5:$CS$32,0)</f>
        <v>8</v>
      </c>
      <c r="C13" s="70" t="str">
        <f ca="1">OFFSET(Bowling!$B$4,BowlAves!B13,0)</f>
        <v>de Souza C</v>
      </c>
      <c r="D13" s="135">
        <f t="array" aca="1" ref="D13:K13" ca="1">OFFSET(Bowling!$CG$4,BowlAves!B13,0,1,8)</f>
        <v>25.4</v>
      </c>
      <c r="E13" s="74">
        <f ca="1"/>
        <v>3</v>
      </c>
      <c r="F13" s="74">
        <f ca="1"/>
        <v>117</v>
      </c>
      <c r="G13" s="74">
        <f ca="1"/>
        <v>4</v>
      </c>
      <c r="H13" s="79">
        <f ca="1"/>
        <v>29.25</v>
      </c>
      <c r="I13" s="136">
        <f ca="1"/>
        <v>38.5</v>
      </c>
      <c r="J13" s="136">
        <f ca="1"/>
        <v>4.5584415584415581</v>
      </c>
      <c r="K13" s="137" t="str">
        <f ca="1"/>
        <v>1-8</v>
      </c>
      <c r="L13" s="137">
        <f t="shared" ca="1" si="0"/>
        <v>1012</v>
      </c>
      <c r="M13" s="137">
        <f t="shared" ca="1" si="1"/>
        <v>12</v>
      </c>
      <c r="N13" s="70" t="str">
        <f t="shared" ca="1" si="2"/>
        <v>de Souza C 25.4-3-117-4,</v>
      </c>
      <c r="P13" s="106">
        <v>11</v>
      </c>
      <c r="Q13" s="141" t="str">
        <f t="array" aca="1" ref="Q13:Y13" ca="1">OFFSET($C$2,MATCH(P13,$M$2:$M$51,0)-1,0,1,9)</f>
        <v>Lovell</v>
      </c>
      <c r="R13" s="141">
        <f ca="1"/>
        <v>6</v>
      </c>
      <c r="S13" s="152">
        <f ca="1"/>
        <v>0</v>
      </c>
      <c r="T13" s="141">
        <f ca="1"/>
        <v>26</v>
      </c>
      <c r="U13" s="141">
        <f ca="1"/>
        <v>1</v>
      </c>
      <c r="V13" s="142">
        <f ca="1"/>
        <v>26</v>
      </c>
      <c r="W13" s="146">
        <f ca="1"/>
        <v>36</v>
      </c>
      <c r="X13" s="146">
        <f ca="1"/>
        <v>4.333333333333333</v>
      </c>
      <c r="Y13" s="146" t="str">
        <f ca="1"/>
        <v>1-15</v>
      </c>
      <c r="Z13" s="137"/>
    </row>
    <row r="14" spans="1:26" ht="12.75" x14ac:dyDescent="0.2">
      <c r="A14" s="70">
        <v>13</v>
      </c>
      <c r="B14" s="70">
        <f>MATCH(A14,Bowling!$CS$5:$CS$32,0)</f>
        <v>4</v>
      </c>
      <c r="C14" s="70" t="str">
        <f ca="1">OFFSET(Bowling!$B$4,BowlAves!B14,0)</f>
        <v>Clark C</v>
      </c>
      <c r="D14" s="135">
        <f t="array" aca="1" ref="D14:K14" ca="1">OFFSET(Bowling!$CG$4,BowlAves!B14,0,1,8)</f>
        <v>60</v>
      </c>
      <c r="E14" s="74">
        <f ca="1"/>
        <v>9</v>
      </c>
      <c r="F14" s="74">
        <f ca="1"/>
        <v>215</v>
      </c>
      <c r="G14" s="74">
        <f ca="1"/>
        <v>7</v>
      </c>
      <c r="H14" s="79">
        <f ca="1"/>
        <v>30.71</v>
      </c>
      <c r="I14" s="136">
        <f ca="1"/>
        <v>51.428571428571431</v>
      </c>
      <c r="J14" s="136">
        <f ca="1"/>
        <v>3.5833333333333335</v>
      </c>
      <c r="K14" s="137" t="str">
        <f ca="1"/>
        <v>4-28</v>
      </c>
      <c r="L14" s="137">
        <f t="shared" ca="1" si="0"/>
        <v>1013</v>
      </c>
      <c r="M14" s="137">
        <f t="shared" ca="1" si="1"/>
        <v>13</v>
      </c>
      <c r="N14" s="70" t="str">
        <f t="shared" ca="1" si="2"/>
        <v>Clark C 60-9-215-7,</v>
      </c>
      <c r="P14" s="106">
        <v>12</v>
      </c>
      <c r="Q14" s="141" t="str">
        <f t="array" aca="1" ref="Q14:Y14" ca="1">OFFSET($C$2,MATCH(P14,$M$2:$M$51,0)-1,0,1,9)</f>
        <v>de Souza C</v>
      </c>
      <c r="R14" s="141">
        <f ca="1"/>
        <v>25.4</v>
      </c>
      <c r="S14" s="152">
        <f ca="1"/>
        <v>3</v>
      </c>
      <c r="T14" s="141">
        <f ca="1"/>
        <v>117</v>
      </c>
      <c r="U14" s="141">
        <f ca="1"/>
        <v>4</v>
      </c>
      <c r="V14" s="142">
        <f ca="1"/>
        <v>29.25</v>
      </c>
      <c r="W14" s="146">
        <f ca="1"/>
        <v>38.5</v>
      </c>
      <c r="X14" s="146">
        <f ca="1"/>
        <v>4.5584415584415581</v>
      </c>
      <c r="Y14" s="146" t="str">
        <f ca="1"/>
        <v>1-8</v>
      </c>
      <c r="Z14" s="137"/>
    </row>
    <row r="15" spans="1:26" ht="12.75" x14ac:dyDescent="0.2">
      <c r="A15" s="70">
        <v>14</v>
      </c>
      <c r="B15" s="70">
        <f>MATCH(A15,Bowling!$CS$5:$CS$32,0)</f>
        <v>11</v>
      </c>
      <c r="C15" s="70" t="str">
        <f ca="1">OFFSET(Bowling!$B$4,BowlAves!B15,0)</f>
        <v>Engel W</v>
      </c>
      <c r="D15" s="135">
        <f t="array" aca="1" ref="D15:K15" ca="1">OFFSET(Bowling!$CG$4,BowlAves!B15,0,1,8)</f>
        <v>6</v>
      </c>
      <c r="E15" s="74">
        <f ca="1"/>
        <v>0</v>
      </c>
      <c r="F15" s="74">
        <f ca="1"/>
        <v>32</v>
      </c>
      <c r="G15" s="74">
        <f ca="1"/>
        <v>1</v>
      </c>
      <c r="H15" s="79">
        <f ca="1"/>
        <v>32</v>
      </c>
      <c r="I15" s="136">
        <f ca="1"/>
        <v>36</v>
      </c>
      <c r="J15" s="136">
        <f ca="1"/>
        <v>5.333333333333333</v>
      </c>
      <c r="K15" s="137" t="str">
        <f ca="1"/>
        <v>1-32</v>
      </c>
      <c r="L15" s="137">
        <f t="shared" ca="1" si="0"/>
        <v>1014</v>
      </c>
      <c r="M15" s="137">
        <f t="shared" ca="1" si="1"/>
        <v>14</v>
      </c>
      <c r="N15" s="70" t="str">
        <f t="shared" ca="1" si="2"/>
        <v>Engel W 6-0-32-1,</v>
      </c>
      <c r="P15" s="106">
        <v>13</v>
      </c>
      <c r="Q15" s="141" t="str">
        <f t="array" aca="1" ref="Q15:Y15" ca="1">OFFSET($C$2,MATCH(P15,$M$2:$M$51,0)-1,0,1,9)</f>
        <v>Clark C</v>
      </c>
      <c r="R15" s="141">
        <f ca="1"/>
        <v>60</v>
      </c>
      <c r="S15" s="152">
        <f ca="1"/>
        <v>9</v>
      </c>
      <c r="T15" s="141">
        <f ca="1"/>
        <v>215</v>
      </c>
      <c r="U15" s="141">
        <f ca="1"/>
        <v>7</v>
      </c>
      <c r="V15" s="142">
        <f ca="1"/>
        <v>30.71</v>
      </c>
      <c r="W15" s="146">
        <f ca="1"/>
        <v>51.428571428571431</v>
      </c>
      <c r="X15" s="146">
        <f ca="1"/>
        <v>3.5833333333333335</v>
      </c>
      <c r="Y15" s="146" t="str">
        <f ca="1"/>
        <v>4-28</v>
      </c>
      <c r="Z15" s="137"/>
    </row>
    <row r="16" spans="1:26" ht="12.75" x14ac:dyDescent="0.2">
      <c r="A16" s="70">
        <v>15</v>
      </c>
      <c r="B16" s="70">
        <f>MATCH(A16,Bowling!$CS$5:$CS$32,0)</f>
        <v>10</v>
      </c>
      <c r="C16" s="70" t="str">
        <f ca="1">OFFSET(Bowling!$B$4,BowlAves!B16,0)</f>
        <v>Edghill D</v>
      </c>
      <c r="D16" s="135">
        <f t="array" aca="1" ref="D16:K16" ca="1">OFFSET(Bowling!$CG$4,BowlAves!B16,0,1,8)</f>
        <v>14</v>
      </c>
      <c r="E16" s="74">
        <f ca="1"/>
        <v>3</v>
      </c>
      <c r="F16" s="74">
        <f ca="1"/>
        <v>72</v>
      </c>
      <c r="G16" s="74">
        <f ca="1"/>
        <v>2</v>
      </c>
      <c r="H16" s="79">
        <f ca="1"/>
        <v>36</v>
      </c>
      <c r="I16" s="136">
        <f ca="1"/>
        <v>42</v>
      </c>
      <c r="J16" s="136">
        <f ca="1"/>
        <v>5.1428571428571432</v>
      </c>
      <c r="K16" s="137" t="str">
        <f ca="1"/>
        <v>2-23</v>
      </c>
      <c r="L16" s="137">
        <f t="shared" ca="1" si="0"/>
        <v>1015</v>
      </c>
      <c r="M16" s="137">
        <f t="shared" ca="1" si="1"/>
        <v>15</v>
      </c>
      <c r="N16" s="70" t="str">
        <f t="shared" ca="1" si="2"/>
        <v>Edghill D 14-3-72-2,</v>
      </c>
      <c r="P16" s="106">
        <v>14</v>
      </c>
      <c r="Q16" s="141" t="str">
        <f t="array" aca="1" ref="Q16:Y16" ca="1">OFFSET($C$2,MATCH(P16,$M$2:$M$51,0)-1,0,1,9)</f>
        <v>Engel W</v>
      </c>
      <c r="R16" s="141">
        <f ca="1"/>
        <v>6</v>
      </c>
      <c r="S16" s="152">
        <f ca="1"/>
        <v>0</v>
      </c>
      <c r="T16" s="141">
        <f ca="1"/>
        <v>32</v>
      </c>
      <c r="U16" s="141">
        <f ca="1"/>
        <v>1</v>
      </c>
      <c r="V16" s="142">
        <f ca="1"/>
        <v>32</v>
      </c>
      <c r="W16" s="146">
        <f ca="1"/>
        <v>36</v>
      </c>
      <c r="X16" s="146">
        <f ca="1"/>
        <v>5.333333333333333</v>
      </c>
      <c r="Y16" s="146" t="str">
        <f ca="1"/>
        <v>1-32</v>
      </c>
      <c r="Z16" s="137"/>
    </row>
    <row r="17" spans="1:26" ht="12.75" x14ac:dyDescent="0.2">
      <c r="A17" s="70">
        <v>16</v>
      </c>
      <c r="B17" s="70">
        <f>MATCH(A17,Bowling!$CS$5:$CS$32,0)</f>
        <v>3</v>
      </c>
      <c r="C17" s="70" t="str">
        <f ca="1">OFFSET(Bowling!$B$4,BowlAves!B17,0)</f>
        <v>Chitnavis B</v>
      </c>
      <c r="D17" s="135">
        <f t="array" aca="1" ref="D17:K17" ca="1">OFFSET(Bowling!$CG$4,BowlAves!B17,0,1,8)</f>
        <v>4</v>
      </c>
      <c r="E17" s="74">
        <f ca="1"/>
        <v>0</v>
      </c>
      <c r="F17" s="74">
        <f ca="1"/>
        <v>38</v>
      </c>
      <c r="G17" s="74">
        <f ca="1"/>
        <v>1</v>
      </c>
      <c r="H17" s="79">
        <f ca="1"/>
        <v>38</v>
      </c>
      <c r="I17" s="136">
        <f ca="1"/>
        <v>24</v>
      </c>
      <c r="J17" s="136">
        <f ca="1"/>
        <v>9.5</v>
      </c>
      <c r="K17" s="137" t="str">
        <f ca="1"/>
        <v>1-38</v>
      </c>
      <c r="L17" s="137">
        <f t="shared" ca="1" si="0"/>
        <v>1016</v>
      </c>
      <c r="M17" s="137">
        <f t="shared" ca="1" si="1"/>
        <v>16</v>
      </c>
      <c r="N17" s="70" t="str">
        <f t="shared" ca="1" si="2"/>
        <v>Chitnavis B 4-0-38-1,</v>
      </c>
      <c r="P17" s="106">
        <v>15</v>
      </c>
      <c r="Q17" s="141" t="str">
        <f t="array" aca="1" ref="Q17:Y17" ca="1">OFFSET($C$2,MATCH(P17,$M$2:$M$51,0)-1,0,1,9)</f>
        <v>Edghill D</v>
      </c>
      <c r="R17" s="141">
        <f ca="1"/>
        <v>14</v>
      </c>
      <c r="S17" s="152">
        <f ca="1"/>
        <v>3</v>
      </c>
      <c r="T17" s="141">
        <f ca="1"/>
        <v>72</v>
      </c>
      <c r="U17" s="141">
        <f ca="1"/>
        <v>2</v>
      </c>
      <c r="V17" s="142">
        <f ca="1"/>
        <v>36</v>
      </c>
      <c r="W17" s="146">
        <f ca="1"/>
        <v>42</v>
      </c>
      <c r="X17" s="146">
        <f ca="1"/>
        <v>5.1428571428571432</v>
      </c>
      <c r="Y17" s="146" t="str">
        <f ca="1"/>
        <v>2-23</v>
      </c>
      <c r="Z17" s="137"/>
    </row>
    <row r="18" spans="1:26" ht="12.75" x14ac:dyDescent="0.2">
      <c r="A18" s="70">
        <v>17</v>
      </c>
      <c r="B18" s="70">
        <f>MATCH(A18,Bowling!$CS$5:$CS$32,0)</f>
        <v>13</v>
      </c>
      <c r="C18" s="70" t="str">
        <f ca="1">OFFSET(Bowling!$B$4,BowlAves!B18,0)</f>
        <v>Greyling R</v>
      </c>
      <c r="D18" s="135">
        <f t="array" aca="1" ref="D18:K18" ca="1">OFFSET(Bowling!$CG$4,BowlAves!B18,0,1,8)</f>
        <v>29</v>
      </c>
      <c r="E18" s="74">
        <f ca="1"/>
        <v>1</v>
      </c>
      <c r="F18" s="74">
        <f ca="1"/>
        <v>120</v>
      </c>
      <c r="G18" s="74">
        <f ca="1"/>
        <v>3</v>
      </c>
      <c r="H18" s="79">
        <f ca="1"/>
        <v>40</v>
      </c>
      <c r="I18" s="136">
        <f ca="1"/>
        <v>58</v>
      </c>
      <c r="J18" s="136">
        <f ca="1"/>
        <v>4.1379310344827589</v>
      </c>
      <c r="K18" s="137" t="str">
        <f ca="1"/>
        <v>1-12</v>
      </c>
      <c r="L18" s="137">
        <f t="shared" ca="1" si="0"/>
        <v>1017</v>
      </c>
      <c r="M18" s="137">
        <f t="shared" ca="1" si="1"/>
        <v>17</v>
      </c>
      <c r="N18" s="70" t="str">
        <f t="shared" ca="1" si="2"/>
        <v>Greyling R 29-1-120-3,</v>
      </c>
      <c r="P18" s="106">
        <v>16</v>
      </c>
      <c r="Q18" s="141" t="str">
        <f t="array" aca="1" ref="Q18:Y18" ca="1">OFFSET($C$2,MATCH(P18,$M$2:$M$51,0)-1,0,1,9)</f>
        <v>Chitnavis B</v>
      </c>
      <c r="R18" s="141">
        <f ca="1"/>
        <v>4</v>
      </c>
      <c r="S18" s="152">
        <f ca="1"/>
        <v>0</v>
      </c>
      <c r="T18" s="141">
        <f ca="1"/>
        <v>38</v>
      </c>
      <c r="U18" s="141">
        <f ca="1"/>
        <v>1</v>
      </c>
      <c r="V18" s="142">
        <f ca="1"/>
        <v>38</v>
      </c>
      <c r="W18" s="146">
        <f ca="1"/>
        <v>24</v>
      </c>
      <c r="X18" s="146">
        <f ca="1"/>
        <v>9.5</v>
      </c>
      <c r="Y18" s="146" t="str">
        <f ca="1"/>
        <v>1-38</v>
      </c>
      <c r="Z18" s="137"/>
    </row>
    <row r="19" spans="1:26" ht="12.75" x14ac:dyDescent="0.2">
      <c r="A19" s="70">
        <v>18</v>
      </c>
      <c r="B19" s="70">
        <f>MATCH(A19,Bowling!$CS$5:$CS$32,0)</f>
        <v>2</v>
      </c>
      <c r="C19" s="70" t="str">
        <f ca="1">OFFSET(Bowling!$B$4,BowlAves!B19,0)</f>
        <v>Chaffey P</v>
      </c>
      <c r="D19" s="135">
        <f t="array" aca="1" ref="D19:K19" ca="1">OFFSET(Bowling!$CG$4,BowlAves!B19,0,1,8)</f>
        <v>27</v>
      </c>
      <c r="E19" s="74">
        <f ca="1"/>
        <v>1</v>
      </c>
      <c r="F19" s="74">
        <f ca="1"/>
        <v>161</v>
      </c>
      <c r="G19" s="74">
        <f ca="1"/>
        <v>3</v>
      </c>
      <c r="H19" s="79">
        <f ca="1"/>
        <v>53.67</v>
      </c>
      <c r="I19" s="136">
        <f ca="1"/>
        <v>54</v>
      </c>
      <c r="J19" s="136">
        <f ca="1"/>
        <v>5.9629629629629628</v>
      </c>
      <c r="K19" s="137" t="str">
        <f ca="1"/>
        <v>2-30</v>
      </c>
      <c r="L19" s="137">
        <f t="shared" ca="1" si="0"/>
        <v>1018</v>
      </c>
      <c r="M19" s="137">
        <f t="shared" ca="1" si="1"/>
        <v>18</v>
      </c>
      <c r="N19" s="70" t="str">
        <f t="shared" ca="1" si="2"/>
        <v>Chaffey P 27-1-161-3,</v>
      </c>
      <c r="P19" s="106">
        <v>17</v>
      </c>
      <c r="Q19" s="141" t="str">
        <f t="array" aca="1" ref="Q19:Y19" ca="1">OFFSET($C$2,MATCH(P19,$M$2:$M$51,0)-1,0,1,9)</f>
        <v>Greyling R</v>
      </c>
      <c r="R19" s="141">
        <f ca="1"/>
        <v>29</v>
      </c>
      <c r="S19" s="152">
        <f ca="1"/>
        <v>1</v>
      </c>
      <c r="T19" s="141">
        <f ca="1"/>
        <v>120</v>
      </c>
      <c r="U19" s="141">
        <f ca="1"/>
        <v>3</v>
      </c>
      <c r="V19" s="142">
        <f ca="1"/>
        <v>40</v>
      </c>
      <c r="W19" s="146">
        <f ca="1"/>
        <v>58</v>
      </c>
      <c r="X19" s="146">
        <f ca="1"/>
        <v>4.1379310344827589</v>
      </c>
      <c r="Y19" s="146" t="str">
        <f ca="1"/>
        <v>1-12</v>
      </c>
      <c r="Z19" s="137"/>
    </row>
    <row r="20" spans="1:26" ht="12.75" x14ac:dyDescent="0.2">
      <c r="A20" s="70">
        <v>19</v>
      </c>
      <c r="B20" s="70">
        <f>MATCH(A20,Bowling!$CS$5:$CS$32,0)</f>
        <v>14</v>
      </c>
      <c r="C20" s="70" t="str">
        <f ca="1">OFFSET(Bowling!$B$4,BowlAves!B20,0)</f>
        <v>Johnson A</v>
      </c>
      <c r="D20" s="135">
        <f t="array" aca="1" ref="D20:K20" ca="1">OFFSET(Bowling!$CG$4,BowlAves!B20,0,1,8)</f>
        <v>10</v>
      </c>
      <c r="E20" s="74">
        <f ca="1"/>
        <v>0</v>
      </c>
      <c r="F20" s="74">
        <f ca="1"/>
        <v>69</v>
      </c>
      <c r="G20" s="74">
        <f ca="1"/>
        <v>1</v>
      </c>
      <c r="H20" s="79">
        <f ca="1"/>
        <v>69</v>
      </c>
      <c r="I20" s="136">
        <f ca="1"/>
        <v>60</v>
      </c>
      <c r="J20" s="136">
        <f ca="1"/>
        <v>6.9</v>
      </c>
      <c r="K20" s="137" t="str">
        <f ca="1"/>
        <v>1-33</v>
      </c>
      <c r="L20" s="137">
        <f t="shared" ca="1" si="0"/>
        <v>1019</v>
      </c>
      <c r="M20" s="137">
        <f t="shared" ca="1" si="1"/>
        <v>19</v>
      </c>
      <c r="N20" s="70" t="str">
        <f t="shared" ca="1" si="2"/>
        <v>Johnson A 10-0-69-1,</v>
      </c>
      <c r="P20" s="106">
        <v>18</v>
      </c>
      <c r="Q20" s="141" t="str">
        <f t="array" aca="1" ref="Q20:Y20" ca="1">OFFSET($C$2,MATCH(P20,$M$2:$M$51,0)-1,0,1,9)</f>
        <v>Chaffey P</v>
      </c>
      <c r="R20" s="141">
        <f ca="1"/>
        <v>27</v>
      </c>
      <c r="S20" s="152">
        <f ca="1"/>
        <v>1</v>
      </c>
      <c r="T20" s="141">
        <f ca="1"/>
        <v>161</v>
      </c>
      <c r="U20" s="141">
        <f ca="1"/>
        <v>3</v>
      </c>
      <c r="V20" s="142">
        <f ca="1"/>
        <v>53.67</v>
      </c>
      <c r="W20" s="146">
        <f ca="1"/>
        <v>54</v>
      </c>
      <c r="X20" s="146">
        <f ca="1"/>
        <v>5.9629629629629628</v>
      </c>
      <c r="Y20" s="146" t="str">
        <f ca="1"/>
        <v>2-30</v>
      </c>
      <c r="Z20" s="137"/>
    </row>
    <row r="21" spans="1:26" ht="12.75" x14ac:dyDescent="0.2">
      <c r="A21" s="70">
        <v>20</v>
      </c>
      <c r="B21" s="70">
        <f>MATCH(A21,Bowling!$CS$5:$CS$32,0)</f>
        <v>16</v>
      </c>
      <c r="C21" s="70" t="str">
        <f ca="1">OFFSET(Bowling!$B$4,BowlAves!B21,0)</f>
        <v>Lestrelle A</v>
      </c>
      <c r="D21" s="135">
        <f t="array" aca="1" ref="D21:K21" ca="1">OFFSET(Bowling!$CG$4,BowlAves!B21,0,1,8)</f>
        <v>37.5</v>
      </c>
      <c r="E21" s="74">
        <f ca="1"/>
        <v>3</v>
      </c>
      <c r="F21" s="74">
        <f ca="1"/>
        <v>183</v>
      </c>
      <c r="G21" s="74">
        <f ca="1"/>
        <v>1</v>
      </c>
      <c r="H21" s="79">
        <f ca="1"/>
        <v>183</v>
      </c>
      <c r="I21" s="136">
        <f ca="1"/>
        <v>227</v>
      </c>
      <c r="J21" s="136">
        <f ca="1"/>
        <v>4.8370044052863435</v>
      </c>
      <c r="K21" s="137" t="str">
        <f ca="1"/>
        <v>1-35</v>
      </c>
      <c r="L21" s="137">
        <f t="shared" ca="1" si="0"/>
        <v>1020</v>
      </c>
      <c r="M21" s="137">
        <f t="shared" ca="1" si="1"/>
        <v>20</v>
      </c>
      <c r="N21" s="70" t="str">
        <f t="shared" ca="1" si="2"/>
        <v>Lestrelle A 37.5-3-183-1,</v>
      </c>
      <c r="P21" s="106">
        <v>19</v>
      </c>
      <c r="Q21" s="141" t="str">
        <f t="array" aca="1" ref="Q21:Y21" ca="1">OFFSET($C$2,MATCH(P21,$M$2:$M$51,0)-1,0,1,9)</f>
        <v>Johnson A</v>
      </c>
      <c r="R21" s="141">
        <f ca="1"/>
        <v>10</v>
      </c>
      <c r="S21" s="152">
        <f ca="1"/>
        <v>0</v>
      </c>
      <c r="T21" s="141">
        <f ca="1"/>
        <v>69</v>
      </c>
      <c r="U21" s="141">
        <f ca="1"/>
        <v>1</v>
      </c>
      <c r="V21" s="142">
        <f ca="1"/>
        <v>69</v>
      </c>
      <c r="W21" s="146">
        <f ca="1"/>
        <v>60</v>
      </c>
      <c r="X21" s="146">
        <f ca="1"/>
        <v>6.9</v>
      </c>
      <c r="Y21" s="146" t="str">
        <f ca="1"/>
        <v>1-33</v>
      </c>
      <c r="Z21" s="137"/>
    </row>
    <row r="22" spans="1:26" ht="12.75" x14ac:dyDescent="0.2">
      <c r="A22" s="70">
        <v>21</v>
      </c>
      <c r="B22" s="70">
        <f>MATCH(A22,Bowling!$CS$5:$CS$32,0)</f>
        <v>24</v>
      </c>
      <c r="C22" s="70" t="str">
        <f ca="1">OFFSET(Bowling!$B$4,BowlAves!B22,0)</f>
        <v>Smith C</v>
      </c>
      <c r="D22" s="135">
        <f t="array" aca="1" ref="D22:K22" ca="1">OFFSET(Bowling!$CG$4,BowlAves!B22,0,1,8)</f>
        <v>0.1</v>
      </c>
      <c r="E22" s="74">
        <f ca="1"/>
        <v>0</v>
      </c>
      <c r="F22" s="74">
        <f ca="1"/>
        <v>5</v>
      </c>
      <c r="G22" s="74">
        <f ca="1"/>
        <v>0</v>
      </c>
      <c r="H22" s="79" t="str">
        <f ca="1"/>
        <v/>
      </c>
      <c r="I22" s="136" t="str">
        <f ca="1"/>
        <v/>
      </c>
      <c r="J22" s="136">
        <f ca="1"/>
        <v>30</v>
      </c>
      <c r="K22" s="137" t="str">
        <f ca="1"/>
        <v>0-5</v>
      </c>
      <c r="L22" s="137">
        <f t="shared" ca="1" si="0"/>
        <v>1021</v>
      </c>
      <c r="M22" s="137">
        <f t="shared" ca="1" si="1"/>
        <v>21</v>
      </c>
      <c r="N22" s="70" t="str">
        <f t="shared" ca="1" si="2"/>
        <v>Smith C 0.1-0-5-0,</v>
      </c>
      <c r="P22" s="106">
        <v>20</v>
      </c>
      <c r="Q22" s="141" t="str">
        <f t="array" aca="1" ref="Q22:Y22" ca="1">OFFSET($C$2,MATCH(P22,$M$2:$M$51,0)-1,0,1,9)</f>
        <v>Lestrelle A</v>
      </c>
      <c r="R22" s="141">
        <f ca="1"/>
        <v>37.5</v>
      </c>
      <c r="S22" s="152">
        <f ca="1"/>
        <v>3</v>
      </c>
      <c r="T22" s="141">
        <f ca="1"/>
        <v>183</v>
      </c>
      <c r="U22" s="141">
        <f ca="1"/>
        <v>1</v>
      </c>
      <c r="V22" s="142">
        <f ca="1"/>
        <v>183</v>
      </c>
      <c r="W22" s="146">
        <f ca="1"/>
        <v>227</v>
      </c>
      <c r="X22" s="146">
        <f ca="1"/>
        <v>4.8370044052863435</v>
      </c>
      <c r="Y22" s="146" t="str">
        <f ca="1"/>
        <v>1-35</v>
      </c>
      <c r="Z22" s="137"/>
    </row>
    <row r="23" spans="1:26" ht="12.75" x14ac:dyDescent="0.2">
      <c r="A23" s="70">
        <v>22</v>
      </c>
      <c r="B23" s="70">
        <f>MATCH(A23,Bowling!$CS$5:$CS$32,0)</f>
        <v>26</v>
      </c>
      <c r="C23" s="70" t="str">
        <f ca="1">OFFSET(Bowling!$B$4,BowlAves!B23,0)</f>
        <v>Wiseman R</v>
      </c>
      <c r="D23" s="135">
        <f t="array" aca="1" ref="D23:K23" ca="1">OFFSET(Bowling!$CG$4,BowlAves!B23,0,1,8)</f>
        <v>2</v>
      </c>
      <c r="E23" s="74">
        <f ca="1"/>
        <v>1</v>
      </c>
      <c r="F23" s="74">
        <f ca="1"/>
        <v>7</v>
      </c>
      <c r="G23" s="74">
        <f ca="1"/>
        <v>0</v>
      </c>
      <c r="H23" s="79" t="str">
        <f ca="1"/>
        <v/>
      </c>
      <c r="I23" s="136" t="str">
        <f ca="1"/>
        <v/>
      </c>
      <c r="J23" s="136">
        <f ca="1"/>
        <v>3.5</v>
      </c>
      <c r="K23" s="137" t="str">
        <f ca="1"/>
        <v>0-7</v>
      </c>
      <c r="L23" s="137">
        <f t="shared" ca="1" si="0"/>
        <v>1022</v>
      </c>
      <c r="M23" s="137">
        <f t="shared" ca="1" si="1"/>
        <v>22</v>
      </c>
      <c r="N23" s="70" t="str">
        <f t="shared" ca="1" si="2"/>
        <v>Wiseman R 2-1-7-0,</v>
      </c>
      <c r="P23" s="106">
        <v>21</v>
      </c>
      <c r="Q23" s="141" t="str">
        <f t="array" aca="1" ref="Q23:Y23" ca="1">OFFSET($C$2,MATCH(P23,$M$2:$M$51,0)-1,0,1,9)</f>
        <v>Smith C</v>
      </c>
      <c r="R23" s="141">
        <f ca="1"/>
        <v>0.1</v>
      </c>
      <c r="S23" s="152">
        <f ca="1"/>
        <v>0</v>
      </c>
      <c r="T23" s="141">
        <f ca="1"/>
        <v>5</v>
      </c>
      <c r="U23" s="141">
        <f ca="1"/>
        <v>0</v>
      </c>
      <c r="V23" s="142" t="str">
        <f ca="1"/>
        <v/>
      </c>
      <c r="W23" s="146" t="str">
        <f ca="1"/>
        <v/>
      </c>
      <c r="X23" s="146">
        <f ca="1"/>
        <v>30</v>
      </c>
      <c r="Y23" s="146" t="str">
        <f ca="1"/>
        <v>0-5</v>
      </c>
      <c r="Z23" s="137"/>
    </row>
    <row r="24" spans="1:26" ht="12.75" x14ac:dyDescent="0.2">
      <c r="A24" s="70">
        <v>23</v>
      </c>
      <c r="B24" s="70">
        <f>MATCH(A24,Bowling!$CS$5:$CS$32,0)</f>
        <v>1</v>
      </c>
      <c r="C24" s="70" t="str">
        <f ca="1">OFFSET(Bowling!$B$4,BowlAves!B24,0)</f>
        <v>Bowers M</v>
      </c>
      <c r="D24" s="135">
        <f t="array" aca="1" ref="D24:K24" ca="1">OFFSET(Bowling!$CG$4,BowlAves!B24,0,1,8)</f>
        <v>3</v>
      </c>
      <c r="E24" s="74">
        <f ca="1"/>
        <v>0</v>
      </c>
      <c r="F24" s="74">
        <f ca="1"/>
        <v>26</v>
      </c>
      <c r="G24" s="74">
        <f ca="1"/>
        <v>0</v>
      </c>
      <c r="H24" s="79" t="str">
        <f ca="1"/>
        <v/>
      </c>
      <c r="I24" s="136" t="str">
        <f ca="1"/>
        <v/>
      </c>
      <c r="J24" s="136">
        <f ca="1"/>
        <v>8.6666666666666661</v>
      </c>
      <c r="K24" s="137" t="str">
        <f ca="1"/>
        <v>0-26</v>
      </c>
      <c r="L24" s="137">
        <f t="shared" ca="1" si="0"/>
        <v>1023</v>
      </c>
      <c r="M24" s="137">
        <f t="shared" ca="1" si="1"/>
        <v>23</v>
      </c>
      <c r="N24" s="70" t="str">
        <f t="shared" ca="1" si="2"/>
        <v>Bowers M 3-0-26-0,</v>
      </c>
      <c r="P24" s="106">
        <v>22</v>
      </c>
      <c r="Q24" s="141" t="str">
        <f t="array" aca="1" ref="Q24:Y24" ca="1">OFFSET($C$2,MATCH(P24,$M$2:$M$51,0)-1,0,1,9)</f>
        <v>Wiseman R</v>
      </c>
      <c r="R24" s="141">
        <f ca="1"/>
        <v>2</v>
      </c>
      <c r="S24" s="152">
        <f ca="1"/>
        <v>1</v>
      </c>
      <c r="T24" s="141">
        <f ca="1"/>
        <v>7</v>
      </c>
      <c r="U24" s="141">
        <f ca="1"/>
        <v>0</v>
      </c>
      <c r="V24" s="142" t="str">
        <f ca="1"/>
        <v/>
      </c>
      <c r="W24" s="146" t="str">
        <f ca="1"/>
        <v/>
      </c>
      <c r="X24" s="146">
        <f ca="1"/>
        <v>3.5</v>
      </c>
      <c r="Y24" s="146" t="str">
        <f ca="1"/>
        <v>0-7</v>
      </c>
      <c r="Z24" s="137"/>
    </row>
    <row r="25" spans="1:26" ht="12.75" x14ac:dyDescent="0.2">
      <c r="A25" s="70">
        <v>24</v>
      </c>
      <c r="B25" s="70">
        <f>MATCH(A25,Bowling!$CS$5:$CS$32,0)</f>
        <v>6</v>
      </c>
      <c r="C25" s="70" t="str">
        <f ca="1">OFFSET(Bowling!$B$4,BowlAves!B25,0)</f>
        <v>Coloe A</v>
      </c>
      <c r="D25" s="135">
        <f t="array" aca="1" ref="D25:K25" ca="1">OFFSET(Bowling!$CG$4,BowlAves!B25,0,1,8)</f>
        <v>0</v>
      </c>
      <c r="E25" s="74">
        <f ca="1"/>
        <v>0</v>
      </c>
      <c r="F25" s="74">
        <f ca="1"/>
        <v>0</v>
      </c>
      <c r="G25" s="74">
        <f ca="1"/>
        <v>0</v>
      </c>
      <c r="H25" s="79" t="str">
        <f ca="1"/>
        <v/>
      </c>
      <c r="I25" s="136" t="str">
        <f ca="1"/>
        <v/>
      </c>
      <c r="J25" s="136" t="str">
        <f ca="1"/>
        <v/>
      </c>
      <c r="K25" s="137" t="str">
        <f ca="1"/>
        <v/>
      </c>
      <c r="L25" s="137">
        <f t="shared" ca="1" si="0"/>
        <v>1024</v>
      </c>
      <c r="M25" s="137">
        <f t="shared" ca="1" si="1"/>
        <v>24</v>
      </c>
      <c r="N25" s="70" t="str">
        <f t="shared" ca="1" si="2"/>
        <v>Coloe A 0-0-0-0,</v>
      </c>
      <c r="P25" s="106">
        <v>23</v>
      </c>
      <c r="Q25" s="141" t="str">
        <f t="array" aca="1" ref="Q25:Y25" ca="1">OFFSET($C$2,MATCH(P25,$M$2:$M$51,0)-1,0,1,9)</f>
        <v>Bowers M</v>
      </c>
      <c r="R25" s="141">
        <f ca="1"/>
        <v>3</v>
      </c>
      <c r="S25" s="152">
        <f ca="1"/>
        <v>0</v>
      </c>
      <c r="T25" s="141">
        <f ca="1"/>
        <v>26</v>
      </c>
      <c r="U25" s="141">
        <f ca="1"/>
        <v>0</v>
      </c>
      <c r="V25" s="142" t="str">
        <f ca="1"/>
        <v/>
      </c>
      <c r="W25" s="146" t="str">
        <f ca="1"/>
        <v/>
      </c>
      <c r="X25" s="146">
        <f ca="1"/>
        <v>8.6666666666666661</v>
      </c>
      <c r="Y25" s="146" t="str">
        <f ca="1"/>
        <v>0-26</v>
      </c>
      <c r="Z25" s="137"/>
    </row>
    <row r="26" spans="1:26" x14ac:dyDescent="0.15">
      <c r="A26" s="70">
        <v>25</v>
      </c>
      <c r="B26" s="70">
        <f>MATCH(A26,Bowling!$CS$5:$CS$32,0)</f>
        <v>15</v>
      </c>
      <c r="C26" s="70" t="str">
        <f ca="1">OFFSET(Bowling!$B$4,BowlAves!B26,0)</f>
        <v>Leadley J</v>
      </c>
      <c r="D26" s="135">
        <f t="array" aca="1" ref="D26:K26" ca="1">OFFSET(Bowling!$CG$4,BowlAves!B26,0,1,8)</f>
        <v>0</v>
      </c>
      <c r="E26" s="74">
        <f ca="1"/>
        <v>0</v>
      </c>
      <c r="F26" s="74">
        <f ca="1"/>
        <v>0</v>
      </c>
      <c r="G26" s="74">
        <f ca="1"/>
        <v>0</v>
      </c>
      <c r="H26" s="79" t="str">
        <f ca="1"/>
        <v/>
      </c>
      <c r="I26" s="136" t="str">
        <f ca="1"/>
        <v/>
      </c>
      <c r="J26" s="136" t="str">
        <f ca="1"/>
        <v/>
      </c>
      <c r="K26" s="137" t="str">
        <f ca="1"/>
        <v/>
      </c>
      <c r="L26" s="137">
        <f t="shared" ca="1" si="0"/>
        <v>1025</v>
      </c>
      <c r="M26" s="137">
        <f t="shared" ca="1" si="1"/>
        <v>25</v>
      </c>
      <c r="N26" s="70" t="str">
        <f t="shared" ca="1" si="2"/>
        <v>Leadley J 0-0-0-0,</v>
      </c>
      <c r="Q26" s="137"/>
      <c r="R26" s="137"/>
      <c r="S26" s="153"/>
      <c r="T26" s="137"/>
      <c r="U26" s="137"/>
      <c r="V26" s="148"/>
      <c r="W26" s="147"/>
      <c r="X26" s="138"/>
      <c r="Y26" s="138"/>
      <c r="Z26" s="137"/>
    </row>
    <row r="27" spans="1:26" x14ac:dyDescent="0.15">
      <c r="A27" s="70">
        <v>26</v>
      </c>
      <c r="B27" s="70">
        <f>MATCH(A27,Bowling!$CS$5:$CS$32,0)</f>
        <v>17</v>
      </c>
      <c r="C27" s="70" t="str">
        <f ca="1">OFFSET(Bowling!$B$4,BowlAves!B27,0)</f>
        <v>Lestrelle J</v>
      </c>
      <c r="D27" s="135">
        <f t="array" aca="1" ref="D27:K27" ca="1">OFFSET(Bowling!$CG$4,BowlAves!B27,0,1,8)</f>
        <v>0</v>
      </c>
      <c r="E27" s="74">
        <f ca="1"/>
        <v>0</v>
      </c>
      <c r="F27" s="74">
        <f ca="1"/>
        <v>0</v>
      </c>
      <c r="G27" s="74">
        <f ca="1"/>
        <v>0</v>
      </c>
      <c r="H27" s="79" t="str">
        <f ca="1"/>
        <v/>
      </c>
      <c r="I27" s="136" t="str">
        <f ca="1"/>
        <v/>
      </c>
      <c r="J27" s="136" t="str">
        <f ca="1"/>
        <v/>
      </c>
      <c r="K27" s="137" t="str">
        <f ca="1"/>
        <v/>
      </c>
      <c r="L27" s="137">
        <f t="shared" ca="1" si="0"/>
        <v>1026</v>
      </c>
      <c r="M27" s="137">
        <f t="shared" ca="1" si="1"/>
        <v>26</v>
      </c>
      <c r="N27" s="70" t="str">
        <f t="shared" ca="1" si="2"/>
        <v>Lestrelle J 0-0-0-0,</v>
      </c>
      <c r="Q27" s="137"/>
      <c r="R27" s="137"/>
      <c r="S27" s="153"/>
      <c r="T27" s="137"/>
      <c r="U27" s="137"/>
      <c r="V27" s="148"/>
      <c r="W27" s="147"/>
      <c r="X27" s="138"/>
      <c r="Y27" s="138"/>
      <c r="Z27" s="137"/>
    </row>
    <row r="28" spans="1:26" x14ac:dyDescent="0.15">
      <c r="A28" s="70">
        <v>27</v>
      </c>
      <c r="B28" s="70">
        <f>MATCH(A28,Bowling!$CS$5:$CS$32,0)</f>
        <v>25</v>
      </c>
      <c r="C28" s="70" t="str">
        <f ca="1">OFFSET(Bowling!$B$4,BowlAves!B28,0)</f>
        <v>Springer T</v>
      </c>
      <c r="D28" s="135">
        <f t="array" aca="1" ref="D28:K28" ca="1">OFFSET(Bowling!$CG$4,BowlAves!B28,0,1,8)</f>
        <v>0</v>
      </c>
      <c r="E28" s="74">
        <f ca="1"/>
        <v>0</v>
      </c>
      <c r="F28" s="74">
        <f ca="1"/>
        <v>0</v>
      </c>
      <c r="G28" s="74">
        <f ca="1"/>
        <v>0</v>
      </c>
      <c r="H28" s="79" t="str">
        <f ca="1"/>
        <v/>
      </c>
      <c r="I28" s="136" t="str">
        <f ca="1"/>
        <v/>
      </c>
      <c r="J28" s="136" t="str">
        <f ca="1"/>
        <v/>
      </c>
      <c r="K28" s="137" t="str">
        <f ca="1"/>
        <v/>
      </c>
      <c r="L28" s="137">
        <f t="shared" ca="1" si="0"/>
        <v>1027</v>
      </c>
      <c r="M28" s="137">
        <f t="shared" ca="1" si="1"/>
        <v>27</v>
      </c>
      <c r="N28" s="70" t="str">
        <f t="shared" ca="1" si="2"/>
        <v>Springer T 0-0-0-0,</v>
      </c>
      <c r="Q28" s="137"/>
      <c r="R28" s="137"/>
      <c r="S28" s="153"/>
      <c r="T28" s="137"/>
      <c r="U28" s="137"/>
      <c r="V28" s="148"/>
      <c r="W28" s="147"/>
      <c r="X28" s="138"/>
      <c r="Y28" s="138"/>
      <c r="Z28" s="137"/>
    </row>
    <row r="29" spans="1:26" x14ac:dyDescent="0.15">
      <c r="A29" s="70">
        <v>28</v>
      </c>
      <c r="B29" s="70">
        <f>MATCH(A29,Bowling!$CS$5:$CS$32,0)</f>
        <v>27</v>
      </c>
      <c r="C29" s="70" t="str">
        <f ca="1">OFFSET(Bowling!$B$4,BowlAves!B29,0)</f>
        <v>Woodhouse M</v>
      </c>
      <c r="D29" s="135">
        <f t="array" aca="1" ref="D29:K29" ca="1">OFFSET(Bowling!$CG$4,BowlAves!B29,0,1,8)</f>
        <v>0</v>
      </c>
      <c r="E29" s="74">
        <f ca="1"/>
        <v>0</v>
      </c>
      <c r="F29" s="74">
        <f ca="1"/>
        <v>0</v>
      </c>
      <c r="G29" s="74">
        <f ca="1"/>
        <v>0</v>
      </c>
      <c r="H29" s="79" t="str">
        <f ca="1"/>
        <v/>
      </c>
      <c r="I29" s="136" t="str">
        <f ca="1"/>
        <v/>
      </c>
      <c r="J29" s="136" t="str">
        <f ca="1"/>
        <v/>
      </c>
      <c r="K29" s="137" t="str">
        <f ca="1"/>
        <v/>
      </c>
      <c r="L29" s="137">
        <f t="shared" ca="1" si="0"/>
        <v>1028</v>
      </c>
      <c r="M29" s="137">
        <f t="shared" ca="1" si="1"/>
        <v>28</v>
      </c>
      <c r="N29" s="70" t="str">
        <f t="shared" ca="1" si="2"/>
        <v>Woodhouse M 0-0-0-0,</v>
      </c>
      <c r="Q29" s="137"/>
      <c r="R29" s="137"/>
      <c r="S29" s="153"/>
      <c r="T29" s="137"/>
      <c r="U29" s="137"/>
      <c r="V29" s="148"/>
      <c r="W29" s="147"/>
      <c r="X29" s="138"/>
      <c r="Y29" s="138"/>
      <c r="Z29" s="137"/>
    </row>
    <row r="30" spans="1:26" x14ac:dyDescent="0.15">
      <c r="A30" s="70">
        <v>29</v>
      </c>
      <c r="B30" s="70" t="e">
        <f>MATCH(A30,Bowling!$CS$5:$CS$32,0)</f>
        <v>#N/A</v>
      </c>
      <c r="C30" s="70" t="e">
        <f ca="1">OFFSET(Bowling!$B$4,BowlAves!B30,0)</f>
        <v>#N/A</v>
      </c>
      <c r="D30" s="135" t="e">
        <f t="array" aca="1" ref="D30:K30" ca="1">OFFSET(Bowling!$CG$4,BowlAves!B30,0,1,8)</f>
        <v>#N/A</v>
      </c>
      <c r="E30" s="74" t="e">
        <f ca="1"/>
        <v>#N/A</v>
      </c>
      <c r="F30" s="74" t="e">
        <f ca="1"/>
        <v>#N/A</v>
      </c>
      <c r="G30" s="74" t="e">
        <f ca="1"/>
        <v>#N/A</v>
      </c>
      <c r="H30" s="79" t="e">
        <f ca="1"/>
        <v>#N/A</v>
      </c>
      <c r="I30" s="136" t="e">
        <f ca="1"/>
        <v>#N/A</v>
      </c>
      <c r="J30" s="136" t="e">
        <f ca="1"/>
        <v>#N/A</v>
      </c>
      <c r="K30" s="137" t="e">
        <f ca="1"/>
        <v>#N/A</v>
      </c>
      <c r="L30" s="137" t="e">
        <f t="shared" ca="1" si="0"/>
        <v>#N/A</v>
      </c>
      <c r="M30" s="137" t="e">
        <f t="shared" ca="1" si="1"/>
        <v>#N/A</v>
      </c>
      <c r="N30" s="70" t="e">
        <f t="shared" ca="1" si="2"/>
        <v>#N/A</v>
      </c>
    </row>
    <row r="31" spans="1:26" x14ac:dyDescent="0.15">
      <c r="A31" s="70">
        <v>30</v>
      </c>
      <c r="B31" s="70" t="e">
        <f>MATCH(A31,Bowling!$CS$5:$CS$32,0)</f>
        <v>#N/A</v>
      </c>
      <c r="C31" s="70" t="e">
        <f ca="1">OFFSET(Bowling!$B$4,BowlAves!B31,0)</f>
        <v>#N/A</v>
      </c>
      <c r="D31" s="135" t="e">
        <f t="array" aca="1" ref="D31:K31" ca="1">OFFSET(Bowling!$CG$4,BowlAves!B31,0,1,8)</f>
        <v>#N/A</v>
      </c>
      <c r="E31" s="74" t="e">
        <f ca="1"/>
        <v>#N/A</v>
      </c>
      <c r="F31" s="74" t="e">
        <f ca="1"/>
        <v>#N/A</v>
      </c>
      <c r="G31" s="74" t="e">
        <f ca="1"/>
        <v>#N/A</v>
      </c>
      <c r="H31" s="79" t="e">
        <f ca="1"/>
        <v>#N/A</v>
      </c>
      <c r="I31" s="136" t="e">
        <f ca="1"/>
        <v>#N/A</v>
      </c>
      <c r="J31" s="136" t="e">
        <f ca="1"/>
        <v>#N/A</v>
      </c>
      <c r="K31" s="137" t="e">
        <f ca="1"/>
        <v>#N/A</v>
      </c>
      <c r="L31" s="137" t="e">
        <f t="shared" ca="1" si="0"/>
        <v>#N/A</v>
      </c>
      <c r="M31" s="137" t="e">
        <f t="shared" ca="1" si="1"/>
        <v>#N/A</v>
      </c>
      <c r="N31" s="70" t="e">
        <f t="shared" ca="1" si="2"/>
        <v>#N/A</v>
      </c>
    </row>
    <row r="32" spans="1:26" x14ac:dyDescent="0.15">
      <c r="A32" s="70">
        <v>31</v>
      </c>
      <c r="B32" s="70" t="e">
        <f>MATCH(A32,Bowling!$CS$5:$CS$32,0)</f>
        <v>#N/A</v>
      </c>
      <c r="C32" s="70" t="e">
        <f ca="1">OFFSET(Bowling!$B$4,BowlAves!B32,0)</f>
        <v>#N/A</v>
      </c>
      <c r="D32" s="135" t="e">
        <f t="array" aca="1" ref="D32:K32" ca="1">OFFSET(Bowling!$CG$4,BowlAves!B32,0,1,8)</f>
        <v>#N/A</v>
      </c>
      <c r="E32" s="74" t="e">
        <f ca="1"/>
        <v>#N/A</v>
      </c>
      <c r="F32" s="74" t="e">
        <f ca="1"/>
        <v>#N/A</v>
      </c>
      <c r="G32" s="74" t="e">
        <f ca="1"/>
        <v>#N/A</v>
      </c>
      <c r="H32" s="79" t="e">
        <f ca="1"/>
        <v>#N/A</v>
      </c>
      <c r="I32" s="136" t="e">
        <f ca="1"/>
        <v>#N/A</v>
      </c>
      <c r="J32" s="136" t="e">
        <f ca="1"/>
        <v>#N/A</v>
      </c>
      <c r="K32" s="137" t="e">
        <f ca="1"/>
        <v>#N/A</v>
      </c>
      <c r="L32" s="137" t="e">
        <f t="shared" ca="1" si="0"/>
        <v>#N/A</v>
      </c>
      <c r="M32" s="137" t="e">
        <f t="shared" ca="1" si="1"/>
        <v>#N/A</v>
      </c>
      <c r="N32" s="70" t="e">
        <f t="shared" ca="1" si="2"/>
        <v>#N/A</v>
      </c>
    </row>
    <row r="33" spans="1:18" x14ac:dyDescent="0.15">
      <c r="A33" s="70">
        <v>32</v>
      </c>
      <c r="B33" s="70" t="e">
        <f>MATCH(A33,Bowling!$CS$5:$CS$32,0)</f>
        <v>#N/A</v>
      </c>
      <c r="C33" s="70" t="e">
        <f ca="1">OFFSET(Bowling!$B$4,BowlAves!B33,0)</f>
        <v>#N/A</v>
      </c>
      <c r="D33" s="135" t="e">
        <f t="array" aca="1" ref="D33:K33" ca="1">OFFSET(Bowling!$CG$4,BowlAves!B33,0,1,8)</f>
        <v>#N/A</v>
      </c>
      <c r="E33" s="74" t="e">
        <f ca="1"/>
        <v>#N/A</v>
      </c>
      <c r="F33" s="74" t="e">
        <f ca="1"/>
        <v>#N/A</v>
      </c>
      <c r="G33" s="74" t="e">
        <f ca="1"/>
        <v>#N/A</v>
      </c>
      <c r="H33" s="79" t="e">
        <f ca="1"/>
        <v>#N/A</v>
      </c>
      <c r="I33" s="136" t="e">
        <f ca="1"/>
        <v>#N/A</v>
      </c>
      <c r="J33" s="136" t="e">
        <f ca="1"/>
        <v>#N/A</v>
      </c>
      <c r="K33" s="137" t="e">
        <f ca="1"/>
        <v>#N/A</v>
      </c>
      <c r="L33" s="137" t="e">
        <f t="shared" ca="1" si="0"/>
        <v>#N/A</v>
      </c>
      <c r="M33" s="137" t="e">
        <f t="shared" ca="1" si="1"/>
        <v>#N/A</v>
      </c>
      <c r="N33" s="70" t="e">
        <f t="shared" ca="1" si="2"/>
        <v>#N/A</v>
      </c>
    </row>
    <row r="34" spans="1:18" x14ac:dyDescent="0.15">
      <c r="A34" s="70">
        <v>33</v>
      </c>
      <c r="B34" s="70" t="e">
        <f>MATCH(A34,Bowling!$CS$5:$CS$32,0)</f>
        <v>#N/A</v>
      </c>
      <c r="C34" s="70" t="e">
        <f ca="1">OFFSET(Bowling!$B$4,BowlAves!B34,0)</f>
        <v>#N/A</v>
      </c>
      <c r="D34" s="135" t="e">
        <f t="array" aca="1" ref="D34:K34" ca="1">OFFSET(Bowling!$CG$4,BowlAves!B34,0,1,8)</f>
        <v>#N/A</v>
      </c>
      <c r="E34" s="74" t="e">
        <f ca="1"/>
        <v>#N/A</v>
      </c>
      <c r="F34" s="74" t="e">
        <f ca="1"/>
        <v>#N/A</v>
      </c>
      <c r="G34" s="74" t="e">
        <f ca="1"/>
        <v>#N/A</v>
      </c>
      <c r="H34" s="79" t="e">
        <f ca="1"/>
        <v>#N/A</v>
      </c>
      <c r="I34" s="136" t="e">
        <f ca="1"/>
        <v>#N/A</v>
      </c>
      <c r="J34" s="136" t="e">
        <f ca="1"/>
        <v>#N/A</v>
      </c>
      <c r="K34" s="137" t="e">
        <f ca="1"/>
        <v>#N/A</v>
      </c>
      <c r="L34" s="137" t="e">
        <f t="shared" ca="1" si="0"/>
        <v>#N/A</v>
      </c>
      <c r="M34" s="137" t="e">
        <f t="shared" ca="1" si="1"/>
        <v>#N/A</v>
      </c>
      <c r="N34" s="70" t="e">
        <f t="shared" ca="1" si="2"/>
        <v>#N/A</v>
      </c>
    </row>
    <row r="35" spans="1:18" x14ac:dyDescent="0.15">
      <c r="A35" s="70">
        <v>34</v>
      </c>
      <c r="B35" s="70" t="e">
        <f>MATCH(A35,Bowling!$CS$5:$CS$32,0)</f>
        <v>#N/A</v>
      </c>
      <c r="C35" s="70" t="e">
        <f ca="1">OFFSET(Bowling!$B$4,BowlAves!B35,0)</f>
        <v>#N/A</v>
      </c>
      <c r="D35" s="135" t="e">
        <f t="array" aca="1" ref="D35:K35" ca="1">OFFSET(Bowling!$CG$4,BowlAves!B35,0,1,8)</f>
        <v>#N/A</v>
      </c>
      <c r="E35" s="74" t="e">
        <f ca="1"/>
        <v>#N/A</v>
      </c>
      <c r="F35" s="74" t="e">
        <f ca="1"/>
        <v>#N/A</v>
      </c>
      <c r="G35" s="74" t="e">
        <f ca="1"/>
        <v>#N/A</v>
      </c>
      <c r="H35" s="79" t="e">
        <f ca="1"/>
        <v>#N/A</v>
      </c>
      <c r="I35" s="136" t="e">
        <f ca="1"/>
        <v>#N/A</v>
      </c>
      <c r="J35" s="136" t="e">
        <f ca="1"/>
        <v>#N/A</v>
      </c>
      <c r="K35" s="137" t="e">
        <f ca="1"/>
        <v>#N/A</v>
      </c>
      <c r="L35" s="137" t="e">
        <f t="shared" ca="1" si="0"/>
        <v>#N/A</v>
      </c>
      <c r="M35" s="137" t="e">
        <f t="shared" ca="1" si="1"/>
        <v>#N/A</v>
      </c>
      <c r="N35" s="70" t="e">
        <f t="shared" ca="1" si="2"/>
        <v>#N/A</v>
      </c>
      <c r="R35" s="70" t="s">
        <v>225</v>
      </c>
    </row>
    <row r="36" spans="1:18" x14ac:dyDescent="0.15">
      <c r="A36" s="70">
        <v>35</v>
      </c>
      <c r="B36" s="70" t="e">
        <f>MATCH(A36,Bowling!$CS$5:$CS$32,0)</f>
        <v>#N/A</v>
      </c>
      <c r="C36" s="70" t="e">
        <f ca="1">OFFSET(Bowling!$B$4,BowlAves!B36,0)</f>
        <v>#N/A</v>
      </c>
      <c r="D36" s="135" t="e">
        <f t="array" aca="1" ref="D36:K36" ca="1">OFFSET(Bowling!$CG$4,BowlAves!B36,0,1,8)</f>
        <v>#N/A</v>
      </c>
      <c r="E36" s="74" t="e">
        <f ca="1"/>
        <v>#N/A</v>
      </c>
      <c r="F36" s="74" t="e">
        <f ca="1"/>
        <v>#N/A</v>
      </c>
      <c r="G36" s="74" t="e">
        <f ca="1"/>
        <v>#N/A</v>
      </c>
      <c r="H36" s="79" t="e">
        <f ca="1"/>
        <v>#N/A</v>
      </c>
      <c r="I36" s="136" t="e">
        <f ca="1"/>
        <v>#N/A</v>
      </c>
      <c r="J36" s="136" t="e">
        <f ca="1"/>
        <v>#N/A</v>
      </c>
      <c r="K36" s="137" t="e">
        <f ca="1"/>
        <v>#N/A</v>
      </c>
      <c r="L36" s="137" t="e">
        <f t="shared" ca="1" si="0"/>
        <v>#N/A</v>
      </c>
      <c r="M36" s="137" t="e">
        <f t="shared" ca="1" si="1"/>
        <v>#N/A</v>
      </c>
      <c r="N36" s="70" t="e">
        <f t="shared" ca="1" si="2"/>
        <v>#N/A</v>
      </c>
      <c r="R36" s="70" t="s">
        <v>225</v>
      </c>
    </row>
    <row r="37" spans="1:18" x14ac:dyDescent="0.15">
      <c r="A37" s="70">
        <v>36</v>
      </c>
      <c r="B37" s="70" t="e">
        <f>MATCH(A37,Bowling!$CS$5:$CS$32,0)</f>
        <v>#N/A</v>
      </c>
      <c r="C37" s="70" t="e">
        <f ca="1">OFFSET(Bowling!$B$4,BowlAves!B37,0)</f>
        <v>#N/A</v>
      </c>
      <c r="D37" s="135" t="e">
        <f t="array" aca="1" ref="D37:K37" ca="1">OFFSET(Bowling!$CG$4,BowlAves!B37,0,1,8)</f>
        <v>#N/A</v>
      </c>
      <c r="E37" s="74" t="e">
        <f ca="1"/>
        <v>#N/A</v>
      </c>
      <c r="F37" s="74" t="e">
        <f ca="1"/>
        <v>#N/A</v>
      </c>
      <c r="G37" s="74" t="e">
        <f ca="1"/>
        <v>#N/A</v>
      </c>
      <c r="H37" s="79" t="e">
        <f ca="1"/>
        <v>#N/A</v>
      </c>
      <c r="I37" s="136" t="e">
        <f ca="1"/>
        <v>#N/A</v>
      </c>
      <c r="J37" s="136" t="e">
        <f ca="1"/>
        <v>#N/A</v>
      </c>
      <c r="K37" s="137" t="e">
        <f ca="1"/>
        <v>#N/A</v>
      </c>
      <c r="L37" s="137" t="e">
        <f t="shared" ca="1" si="0"/>
        <v>#N/A</v>
      </c>
      <c r="M37" s="137" t="e">
        <f t="shared" ca="1" si="1"/>
        <v>#N/A</v>
      </c>
      <c r="N37" s="70" t="e">
        <f t="shared" ca="1" si="2"/>
        <v>#N/A</v>
      </c>
      <c r="R37" s="70" t="s">
        <v>225</v>
      </c>
    </row>
    <row r="38" spans="1:18" x14ac:dyDescent="0.15">
      <c r="A38" s="70">
        <v>37</v>
      </c>
      <c r="B38" s="70" t="e">
        <f>MATCH(A38,Bowling!$CS$5:$CS$32,0)</f>
        <v>#N/A</v>
      </c>
      <c r="C38" s="70" t="e">
        <f ca="1">OFFSET(Bowling!$B$4,BowlAves!B38,0)</f>
        <v>#N/A</v>
      </c>
      <c r="D38" s="135" t="e">
        <f t="array" aca="1" ref="D38:K38" ca="1">OFFSET(Bowling!$CG$4,BowlAves!B38,0,1,8)</f>
        <v>#N/A</v>
      </c>
      <c r="E38" s="74" t="e">
        <f ca="1"/>
        <v>#N/A</v>
      </c>
      <c r="F38" s="74" t="e">
        <f ca="1"/>
        <v>#N/A</v>
      </c>
      <c r="G38" s="74" t="e">
        <f ca="1"/>
        <v>#N/A</v>
      </c>
      <c r="H38" s="79" t="e">
        <f ca="1"/>
        <v>#N/A</v>
      </c>
      <c r="I38" s="136" t="e">
        <f ca="1"/>
        <v>#N/A</v>
      </c>
      <c r="J38" s="136" t="e">
        <f ca="1"/>
        <v>#N/A</v>
      </c>
      <c r="K38" s="137" t="e">
        <f ca="1"/>
        <v>#N/A</v>
      </c>
      <c r="L38" s="137" t="e">
        <f t="shared" ca="1" si="0"/>
        <v>#N/A</v>
      </c>
      <c r="M38" s="137" t="e">
        <f t="shared" ca="1" si="1"/>
        <v>#N/A</v>
      </c>
      <c r="N38" s="70" t="e">
        <f t="shared" ca="1" si="2"/>
        <v>#N/A</v>
      </c>
      <c r="R38" s="70" t="s">
        <v>225</v>
      </c>
    </row>
    <row r="39" spans="1:18" x14ac:dyDescent="0.15">
      <c r="A39" s="70">
        <v>38</v>
      </c>
      <c r="B39" s="70" t="e">
        <f>MATCH(A39,Bowling!$CS$5:$CS$32,0)</f>
        <v>#N/A</v>
      </c>
      <c r="C39" s="70" t="e">
        <f ca="1">OFFSET(Bowling!$B$4,BowlAves!B39,0)</f>
        <v>#N/A</v>
      </c>
      <c r="D39" s="135" t="e">
        <f t="array" aca="1" ref="D39:K39" ca="1">OFFSET(Bowling!$CG$4,BowlAves!B39,0,1,8)</f>
        <v>#N/A</v>
      </c>
      <c r="E39" s="74" t="e">
        <f ca="1"/>
        <v>#N/A</v>
      </c>
      <c r="F39" s="74" t="e">
        <f ca="1"/>
        <v>#N/A</v>
      </c>
      <c r="G39" s="74" t="e">
        <f ca="1"/>
        <v>#N/A</v>
      </c>
      <c r="H39" s="79" t="e">
        <f ca="1"/>
        <v>#N/A</v>
      </c>
      <c r="I39" s="136" t="e">
        <f ca="1"/>
        <v>#N/A</v>
      </c>
      <c r="J39" s="136" t="e">
        <f ca="1"/>
        <v>#N/A</v>
      </c>
      <c r="K39" s="137" t="e">
        <f ca="1"/>
        <v>#N/A</v>
      </c>
      <c r="L39" s="137" t="e">
        <f t="shared" ca="1" si="0"/>
        <v>#N/A</v>
      </c>
      <c r="M39" s="137" t="e">
        <f t="shared" ca="1" si="1"/>
        <v>#N/A</v>
      </c>
      <c r="N39" s="70" t="e">
        <f t="shared" ca="1" si="2"/>
        <v>#N/A</v>
      </c>
      <c r="R39" s="70" t="s">
        <v>614</v>
      </c>
    </row>
    <row r="40" spans="1:18" x14ac:dyDescent="0.15">
      <c r="A40" s="70">
        <v>39</v>
      </c>
      <c r="B40" s="70" t="e">
        <f>MATCH(A40,Bowling!$CS$5:$CS$32,0)</f>
        <v>#N/A</v>
      </c>
      <c r="C40" s="70" t="e">
        <f ca="1">OFFSET(Bowling!$B$4,BowlAves!B40,0)</f>
        <v>#N/A</v>
      </c>
      <c r="D40" s="135" t="e">
        <f t="array" aca="1" ref="D40:K40" ca="1">OFFSET(Bowling!$CG$4,BowlAves!B40,0,1,8)</f>
        <v>#N/A</v>
      </c>
      <c r="E40" s="74" t="e">
        <f ca="1"/>
        <v>#N/A</v>
      </c>
      <c r="F40" s="74" t="e">
        <f ca="1"/>
        <v>#N/A</v>
      </c>
      <c r="G40" s="74" t="e">
        <f ca="1"/>
        <v>#N/A</v>
      </c>
      <c r="H40" s="79" t="e">
        <f ca="1"/>
        <v>#N/A</v>
      </c>
      <c r="I40" s="136" t="e">
        <f ca="1"/>
        <v>#N/A</v>
      </c>
      <c r="J40" s="136" t="e">
        <f ca="1"/>
        <v>#N/A</v>
      </c>
      <c r="K40" s="137" t="e">
        <f ca="1"/>
        <v>#N/A</v>
      </c>
      <c r="L40" s="137" t="e">
        <f t="shared" ca="1" si="0"/>
        <v>#N/A</v>
      </c>
      <c r="M40" s="137" t="e">
        <f t="shared" ca="1" si="1"/>
        <v>#N/A</v>
      </c>
      <c r="N40" s="70" t="e">
        <f t="shared" ca="1" si="2"/>
        <v>#N/A</v>
      </c>
      <c r="R40" s="70" t="s">
        <v>609</v>
      </c>
    </row>
    <row r="41" spans="1:18" x14ac:dyDescent="0.15">
      <c r="A41" s="70">
        <v>40</v>
      </c>
      <c r="B41" s="70" t="e">
        <f>MATCH(A41,Bowling!$CS$5:$CS$32,0)</f>
        <v>#N/A</v>
      </c>
      <c r="C41" s="70" t="e">
        <f ca="1">OFFSET(Bowling!$B$4,BowlAves!B41,0)</f>
        <v>#N/A</v>
      </c>
      <c r="D41" s="135" t="e">
        <f t="array" aca="1" ref="D41:K41" ca="1">OFFSET(Bowling!$CG$4,BowlAves!B41,0,1,8)</f>
        <v>#N/A</v>
      </c>
      <c r="E41" s="74" t="e">
        <f ca="1"/>
        <v>#N/A</v>
      </c>
      <c r="F41" s="74" t="e">
        <f ca="1"/>
        <v>#N/A</v>
      </c>
      <c r="G41" s="74" t="e">
        <f ca="1"/>
        <v>#N/A</v>
      </c>
      <c r="H41" s="79" t="e">
        <f ca="1"/>
        <v>#N/A</v>
      </c>
      <c r="I41" s="136" t="e">
        <f ca="1"/>
        <v>#N/A</v>
      </c>
      <c r="J41" s="136" t="e">
        <f ca="1"/>
        <v>#N/A</v>
      </c>
      <c r="K41" s="137" t="e">
        <f ca="1"/>
        <v>#N/A</v>
      </c>
      <c r="L41" s="137" t="e">
        <f t="shared" ca="1" si="0"/>
        <v>#N/A</v>
      </c>
      <c r="M41" s="137" t="e">
        <f t="shared" ca="1" si="1"/>
        <v>#N/A</v>
      </c>
      <c r="N41" s="70" t="e">
        <f t="shared" ca="1" si="2"/>
        <v>#N/A</v>
      </c>
      <c r="R41" s="70" t="s">
        <v>607</v>
      </c>
    </row>
    <row r="42" spans="1:18" x14ac:dyDescent="0.15">
      <c r="A42" s="70">
        <v>41</v>
      </c>
      <c r="B42" s="70" t="e">
        <f>MATCH(A42,Bowling!$CS$5:$CS$32,0)</f>
        <v>#N/A</v>
      </c>
      <c r="C42" s="70" t="e">
        <f ca="1">OFFSET(Bowling!$B$4,BowlAves!B42,0)</f>
        <v>#N/A</v>
      </c>
      <c r="D42" s="135" t="e">
        <f t="array" aca="1" ref="D42:K42" ca="1">OFFSET(Bowling!$CG$4,BowlAves!B42,0,1,8)</f>
        <v>#N/A</v>
      </c>
      <c r="E42" s="74" t="e">
        <f ca="1"/>
        <v>#N/A</v>
      </c>
      <c r="F42" s="74" t="e">
        <f ca="1"/>
        <v>#N/A</v>
      </c>
      <c r="G42" s="74" t="e">
        <f ca="1"/>
        <v>#N/A</v>
      </c>
      <c r="H42" s="79" t="e">
        <f ca="1"/>
        <v>#N/A</v>
      </c>
      <c r="I42" s="136" t="e">
        <f ca="1"/>
        <v>#N/A</v>
      </c>
      <c r="J42" s="136" t="e">
        <f ca="1"/>
        <v>#N/A</v>
      </c>
      <c r="K42" s="137" t="e">
        <f ca="1"/>
        <v>#N/A</v>
      </c>
      <c r="L42" s="137" t="e">
        <f t="shared" ca="1" si="0"/>
        <v>#N/A</v>
      </c>
      <c r="M42" s="137" t="e">
        <f t="shared" ca="1" si="1"/>
        <v>#N/A</v>
      </c>
      <c r="N42" s="70" t="e">
        <f t="shared" ca="1" si="2"/>
        <v>#N/A</v>
      </c>
      <c r="R42" s="70" t="s">
        <v>604</v>
      </c>
    </row>
    <row r="43" spans="1:18" x14ac:dyDescent="0.15">
      <c r="A43" s="70">
        <v>42</v>
      </c>
      <c r="B43" s="70" t="e">
        <f>MATCH(A43,Bowling!$CS$5:$CS$32,0)</f>
        <v>#N/A</v>
      </c>
      <c r="C43" s="70" t="e">
        <f ca="1">OFFSET(Bowling!$B$4,BowlAves!B43,0)</f>
        <v>#N/A</v>
      </c>
      <c r="D43" s="135" t="e">
        <f t="array" aca="1" ref="D43:K43" ca="1">OFFSET(Bowling!$CG$4,BowlAves!B43,0,1,8)</f>
        <v>#N/A</v>
      </c>
      <c r="E43" s="74" t="e">
        <f ca="1"/>
        <v>#N/A</v>
      </c>
      <c r="F43" s="74" t="e">
        <f ca="1"/>
        <v>#N/A</v>
      </c>
      <c r="G43" s="74" t="e">
        <f ca="1"/>
        <v>#N/A</v>
      </c>
      <c r="H43" s="79" t="e">
        <f ca="1"/>
        <v>#N/A</v>
      </c>
      <c r="I43" s="136" t="e">
        <f ca="1"/>
        <v>#N/A</v>
      </c>
      <c r="J43" s="136" t="e">
        <f ca="1"/>
        <v>#N/A</v>
      </c>
      <c r="K43" s="137" t="e">
        <f ca="1"/>
        <v>#N/A</v>
      </c>
      <c r="L43" s="137" t="e">
        <f t="shared" ca="1" si="0"/>
        <v>#N/A</v>
      </c>
      <c r="M43" s="137" t="e">
        <f t="shared" ca="1" si="1"/>
        <v>#N/A</v>
      </c>
      <c r="N43" s="70" t="e">
        <f t="shared" ca="1" si="2"/>
        <v>#N/A</v>
      </c>
      <c r="R43" s="70" t="s">
        <v>601</v>
      </c>
    </row>
    <row r="44" spans="1:18" x14ac:dyDescent="0.15">
      <c r="A44" s="70">
        <v>43</v>
      </c>
      <c r="B44" s="70" t="e">
        <f>MATCH(A44,Bowling!$CS$5:$CS$32,0)</f>
        <v>#N/A</v>
      </c>
      <c r="C44" s="70" t="e">
        <f ca="1">OFFSET(Bowling!$B$4,BowlAves!B44,0)</f>
        <v>#N/A</v>
      </c>
      <c r="D44" s="135" t="e">
        <f t="array" aca="1" ref="D44:K44" ca="1">OFFSET(Bowling!$CG$4,BowlAves!B44,0,1,8)</f>
        <v>#N/A</v>
      </c>
      <c r="E44" s="74" t="e">
        <f ca="1"/>
        <v>#N/A</v>
      </c>
      <c r="F44" s="74" t="e">
        <f ca="1"/>
        <v>#N/A</v>
      </c>
      <c r="G44" s="74" t="e">
        <f ca="1"/>
        <v>#N/A</v>
      </c>
      <c r="H44" s="79" t="e">
        <f ca="1"/>
        <v>#N/A</v>
      </c>
      <c r="I44" s="136" t="e">
        <f ca="1"/>
        <v>#N/A</v>
      </c>
      <c r="J44" s="136" t="e">
        <f ca="1"/>
        <v>#N/A</v>
      </c>
      <c r="K44" s="137" t="e">
        <f ca="1"/>
        <v>#N/A</v>
      </c>
      <c r="L44" s="137" t="e">
        <f t="shared" ca="1" si="0"/>
        <v>#N/A</v>
      </c>
      <c r="M44" s="137" t="e">
        <f t="shared" ca="1" si="1"/>
        <v>#N/A</v>
      </c>
      <c r="N44" s="70" t="e">
        <f t="shared" ca="1" si="2"/>
        <v>#N/A</v>
      </c>
      <c r="R44" s="70" t="s">
        <v>603</v>
      </c>
    </row>
    <row r="45" spans="1:18" x14ac:dyDescent="0.15">
      <c r="A45" s="70">
        <v>44</v>
      </c>
      <c r="B45" s="70" t="e">
        <f>MATCH(A45,Bowling!$CS$5:$CS$32,0)</f>
        <v>#N/A</v>
      </c>
      <c r="C45" s="70" t="e">
        <f ca="1">OFFSET(Bowling!$B$4,BowlAves!B45,0)</f>
        <v>#N/A</v>
      </c>
      <c r="D45" s="135" t="e">
        <f t="array" aca="1" ref="D45:K45" ca="1">OFFSET(Bowling!$CG$4,BowlAves!B45,0,1,8)</f>
        <v>#N/A</v>
      </c>
      <c r="E45" s="74" t="e">
        <f ca="1"/>
        <v>#N/A</v>
      </c>
      <c r="F45" s="74" t="e">
        <f ca="1"/>
        <v>#N/A</v>
      </c>
      <c r="G45" s="74" t="e">
        <f ca="1"/>
        <v>#N/A</v>
      </c>
      <c r="H45" s="79" t="e">
        <f ca="1"/>
        <v>#N/A</v>
      </c>
      <c r="I45" s="136" t="e">
        <f ca="1"/>
        <v>#N/A</v>
      </c>
      <c r="J45" s="136" t="e">
        <f ca="1"/>
        <v>#N/A</v>
      </c>
      <c r="K45" s="137" t="e">
        <f ca="1"/>
        <v>#N/A</v>
      </c>
      <c r="L45" s="137" t="e">
        <f t="shared" ca="1" si="0"/>
        <v>#N/A</v>
      </c>
      <c r="M45" s="137" t="e">
        <f t="shared" ca="1" si="1"/>
        <v>#N/A</v>
      </c>
      <c r="N45" s="70" t="e">
        <f t="shared" ca="1" si="2"/>
        <v>#N/A</v>
      </c>
      <c r="R45" s="70" t="s">
        <v>596</v>
      </c>
    </row>
    <row r="46" spans="1:18" x14ac:dyDescent="0.15">
      <c r="A46" s="70">
        <v>45</v>
      </c>
      <c r="B46" s="70" t="e">
        <f>MATCH(A46,Bowling!$CS$5:$CS$32,0)</f>
        <v>#N/A</v>
      </c>
      <c r="C46" s="70" t="e">
        <f ca="1">OFFSET(Bowling!$B$4,BowlAves!B46,0)</f>
        <v>#N/A</v>
      </c>
      <c r="D46" s="135" t="e">
        <f t="array" aca="1" ref="D46:K46" ca="1">OFFSET(Bowling!$CG$4,BowlAves!B46,0,1,8)</f>
        <v>#N/A</v>
      </c>
      <c r="E46" s="74" t="e">
        <f ca="1"/>
        <v>#N/A</v>
      </c>
      <c r="F46" s="74" t="e">
        <f ca="1"/>
        <v>#N/A</v>
      </c>
      <c r="G46" s="74" t="e">
        <f ca="1"/>
        <v>#N/A</v>
      </c>
      <c r="H46" s="79" t="e">
        <f ca="1"/>
        <v>#N/A</v>
      </c>
      <c r="I46" s="136" t="e">
        <f ca="1"/>
        <v>#N/A</v>
      </c>
      <c r="J46" s="136" t="e">
        <f ca="1"/>
        <v>#N/A</v>
      </c>
      <c r="K46" s="137" t="e">
        <f ca="1"/>
        <v>#N/A</v>
      </c>
      <c r="L46" s="137" t="e">
        <f t="shared" ca="1" si="0"/>
        <v>#N/A</v>
      </c>
      <c r="M46" s="137" t="e">
        <f t="shared" ca="1" si="1"/>
        <v>#N/A</v>
      </c>
      <c r="N46" s="70" t="e">
        <f t="shared" ca="1" si="2"/>
        <v>#N/A</v>
      </c>
      <c r="R46" s="70" t="s">
        <v>606</v>
      </c>
    </row>
    <row r="47" spans="1:18" x14ac:dyDescent="0.15">
      <c r="A47" s="70">
        <v>46</v>
      </c>
      <c r="B47" s="70" t="e">
        <f>MATCH(A47,Bowling!$CS$5:$CS$32,0)</f>
        <v>#N/A</v>
      </c>
      <c r="C47" s="70" t="e">
        <f ca="1">OFFSET(Bowling!$B$4,BowlAves!B47,0)</f>
        <v>#N/A</v>
      </c>
      <c r="D47" s="135" t="e">
        <f t="array" aca="1" ref="D47:K47" ca="1">OFFSET(Bowling!$CG$4,BowlAves!B47,0,1,8)</f>
        <v>#N/A</v>
      </c>
      <c r="E47" s="74" t="e">
        <f ca="1"/>
        <v>#N/A</v>
      </c>
      <c r="F47" s="74" t="e">
        <f ca="1"/>
        <v>#N/A</v>
      </c>
      <c r="G47" s="74" t="e">
        <f ca="1"/>
        <v>#N/A</v>
      </c>
      <c r="H47" s="79" t="e">
        <f ca="1"/>
        <v>#N/A</v>
      </c>
      <c r="I47" s="136" t="e">
        <f ca="1"/>
        <v>#N/A</v>
      </c>
      <c r="J47" s="136" t="e">
        <f ca="1"/>
        <v>#N/A</v>
      </c>
      <c r="K47" s="137" t="e">
        <f ca="1"/>
        <v>#N/A</v>
      </c>
      <c r="L47" s="137" t="e">
        <f t="shared" ca="1" si="0"/>
        <v>#N/A</v>
      </c>
      <c r="M47" s="137" t="e">
        <f t="shared" ca="1" si="1"/>
        <v>#N/A</v>
      </c>
      <c r="N47" s="70" t="e">
        <f t="shared" ca="1" si="2"/>
        <v>#N/A</v>
      </c>
      <c r="R47" s="70" t="s">
        <v>605</v>
      </c>
    </row>
    <row r="48" spans="1:18" x14ac:dyDescent="0.15">
      <c r="A48" s="70">
        <v>47</v>
      </c>
      <c r="B48" s="70" t="e">
        <f>MATCH(A48,Bowling!$CS$5:$CS$32,0)</f>
        <v>#N/A</v>
      </c>
      <c r="C48" s="70" t="e">
        <f ca="1">OFFSET(Bowling!$B$4,BowlAves!B48,0)</f>
        <v>#N/A</v>
      </c>
      <c r="D48" s="135" t="e">
        <f t="array" aca="1" ref="D48:K48" ca="1">OFFSET(Bowling!$CG$4,BowlAves!B48,0,1,8)</f>
        <v>#N/A</v>
      </c>
      <c r="E48" s="74" t="e">
        <f ca="1"/>
        <v>#N/A</v>
      </c>
      <c r="F48" s="74" t="e">
        <f ca="1"/>
        <v>#N/A</v>
      </c>
      <c r="G48" s="74" t="e">
        <f ca="1"/>
        <v>#N/A</v>
      </c>
      <c r="H48" s="79" t="e">
        <f ca="1"/>
        <v>#N/A</v>
      </c>
      <c r="I48" s="136" t="e">
        <f ca="1"/>
        <v>#N/A</v>
      </c>
      <c r="J48" s="136" t="e">
        <f ca="1"/>
        <v>#N/A</v>
      </c>
      <c r="K48" s="137" t="e">
        <f ca="1"/>
        <v>#N/A</v>
      </c>
      <c r="L48" s="137" t="e">
        <f t="shared" ca="1" si="0"/>
        <v>#N/A</v>
      </c>
      <c r="M48" s="137" t="e">
        <f t="shared" ca="1" si="1"/>
        <v>#N/A</v>
      </c>
      <c r="N48" s="70" t="e">
        <f t="shared" ca="1" si="2"/>
        <v>#N/A</v>
      </c>
      <c r="R48" s="70" t="s">
        <v>600</v>
      </c>
    </row>
    <row r="49" spans="1:18" x14ac:dyDescent="0.15">
      <c r="A49" s="70">
        <v>48</v>
      </c>
      <c r="B49" s="70" t="e">
        <f>MATCH(A49,Bowling!$CS$5:$CS$32,0)</f>
        <v>#N/A</v>
      </c>
      <c r="C49" s="70" t="e">
        <f ca="1">OFFSET(Bowling!$B$4,BowlAves!B49,0)</f>
        <v>#N/A</v>
      </c>
      <c r="D49" s="135" t="e">
        <f t="array" aca="1" ref="D49:K49" ca="1">OFFSET(Bowling!$CG$4,BowlAves!B49,0,1,8)</f>
        <v>#N/A</v>
      </c>
      <c r="E49" s="74" t="e">
        <f ca="1"/>
        <v>#N/A</v>
      </c>
      <c r="F49" s="74" t="e">
        <f ca="1"/>
        <v>#N/A</v>
      </c>
      <c r="G49" s="74" t="e">
        <f ca="1"/>
        <v>#N/A</v>
      </c>
      <c r="H49" s="79" t="e">
        <f ca="1"/>
        <v>#N/A</v>
      </c>
      <c r="I49" s="136" t="e">
        <f ca="1"/>
        <v>#N/A</v>
      </c>
      <c r="J49" s="136" t="e">
        <f ca="1"/>
        <v>#N/A</v>
      </c>
      <c r="K49" s="137" t="e">
        <f ca="1"/>
        <v>#N/A</v>
      </c>
      <c r="L49" s="137" t="e">
        <f t="shared" ca="1" si="0"/>
        <v>#N/A</v>
      </c>
      <c r="M49" s="137" t="e">
        <f t="shared" ca="1" si="1"/>
        <v>#N/A</v>
      </c>
      <c r="N49" s="70" t="e">
        <f t="shared" ca="1" si="2"/>
        <v>#N/A</v>
      </c>
      <c r="R49" s="70" t="s">
        <v>608</v>
      </c>
    </row>
    <row r="50" spans="1:18" x14ac:dyDescent="0.15">
      <c r="A50" s="70">
        <v>49</v>
      </c>
      <c r="B50" s="70" t="e">
        <f>MATCH(A50,Bowling!$CS$5:$CS$32,0)</f>
        <v>#N/A</v>
      </c>
      <c r="C50" s="70" t="e">
        <f ca="1">OFFSET(Bowling!$B$4,BowlAves!B50,0)</f>
        <v>#N/A</v>
      </c>
      <c r="D50" s="135" t="e">
        <f t="array" aca="1" ref="D50:K50" ca="1">OFFSET(Bowling!$CG$4,BowlAves!B50,0,1,8)</f>
        <v>#N/A</v>
      </c>
      <c r="E50" s="74" t="e">
        <f ca="1"/>
        <v>#N/A</v>
      </c>
      <c r="F50" s="74" t="e">
        <f ca="1"/>
        <v>#N/A</v>
      </c>
      <c r="G50" s="74" t="e">
        <f ca="1"/>
        <v>#N/A</v>
      </c>
      <c r="H50" s="79" t="e">
        <f ca="1"/>
        <v>#N/A</v>
      </c>
      <c r="I50" s="136" t="e">
        <f ca="1"/>
        <v>#N/A</v>
      </c>
      <c r="J50" s="136" t="e">
        <f ca="1"/>
        <v>#N/A</v>
      </c>
      <c r="K50" s="137" t="e">
        <f ca="1"/>
        <v>#N/A</v>
      </c>
      <c r="L50" s="137" t="e">
        <f t="shared" ca="1" si="0"/>
        <v>#N/A</v>
      </c>
      <c r="M50" s="137" t="e">
        <f t="shared" ca="1" si="1"/>
        <v>#N/A</v>
      </c>
      <c r="N50" s="70" t="e">
        <f t="shared" ca="1" si="2"/>
        <v>#N/A</v>
      </c>
      <c r="R50" s="70" t="s">
        <v>610</v>
      </c>
    </row>
    <row r="51" spans="1:18" x14ac:dyDescent="0.15">
      <c r="A51" s="70">
        <v>50</v>
      </c>
      <c r="B51" s="70" t="e">
        <f>MATCH(A51,Bowling!$CS$5:$CS$32,0)</f>
        <v>#N/A</v>
      </c>
      <c r="C51" s="70" t="e">
        <f ca="1">OFFSET(Bowling!$B$4,BowlAves!B51,0)</f>
        <v>#N/A</v>
      </c>
      <c r="D51" s="135" t="e">
        <f t="array" aca="1" ref="D51:K51" ca="1">OFFSET(Bowling!$CG$4,BowlAves!B51,0,1,8)</f>
        <v>#N/A</v>
      </c>
      <c r="E51" s="74" t="e">
        <f ca="1"/>
        <v>#N/A</v>
      </c>
      <c r="F51" s="74" t="e">
        <f ca="1"/>
        <v>#N/A</v>
      </c>
      <c r="G51" s="74" t="e">
        <f ca="1"/>
        <v>#N/A</v>
      </c>
      <c r="H51" s="79" t="e">
        <f ca="1"/>
        <v>#N/A</v>
      </c>
      <c r="I51" s="136" t="e">
        <f ca="1"/>
        <v>#N/A</v>
      </c>
      <c r="J51" s="136" t="e">
        <f ca="1"/>
        <v>#N/A</v>
      </c>
      <c r="K51" s="137" t="e">
        <f ca="1"/>
        <v>#N/A</v>
      </c>
      <c r="L51" s="137" t="e">
        <f t="shared" ca="1" si="0"/>
        <v>#N/A</v>
      </c>
      <c r="M51" s="137" t="e">
        <f t="shared" ca="1" si="1"/>
        <v>#N/A</v>
      </c>
      <c r="N51" s="70" t="e">
        <f t="shared" ca="1" si="2"/>
        <v>#N/A</v>
      </c>
      <c r="R51" s="70" t="s">
        <v>611</v>
      </c>
    </row>
    <row r="52" spans="1:18" x14ac:dyDescent="0.15">
      <c r="R52" s="70" t="s">
        <v>602</v>
      </c>
    </row>
    <row r="53" spans="1:18" x14ac:dyDescent="0.15">
      <c r="R53" s="70" t="s">
        <v>597</v>
      </c>
    </row>
    <row r="54" spans="1:18" x14ac:dyDescent="0.15">
      <c r="R54" s="70" t="s">
        <v>598</v>
      </c>
    </row>
    <row r="55" spans="1:18" x14ac:dyDescent="0.15">
      <c r="R55" s="70" t="s">
        <v>612</v>
      </c>
    </row>
    <row r="56" spans="1:18" x14ac:dyDescent="0.15">
      <c r="R56" s="70" t="s">
        <v>613</v>
      </c>
    </row>
    <row r="57" spans="1:18" x14ac:dyDescent="0.15">
      <c r="R57" s="70" t="s">
        <v>599</v>
      </c>
    </row>
  </sheetData>
  <sortState ref="R35:R57">
    <sortCondition ref="R35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5" customFormat="1" x14ac:dyDescent="0.15"/>
    <row r="2" spans="1:41" s="86" customFormat="1" x14ac:dyDescent="0.15"/>
    <row r="13" spans="1:41" s="6" customFormat="1" x14ac:dyDescent="0.15"/>
    <row r="14" spans="1:41" s="101" customFormat="1" x14ac:dyDescent="0.15">
      <c r="K14" s="105"/>
    </row>
    <row r="15" spans="1:41" x14ac:dyDescent="0.15">
      <c r="A15" s="84">
        <f t="array" ref="A15">SUM(IF(ISNA(A16:A26),0,A16:A26))</f>
        <v>0</v>
      </c>
      <c r="B15" s="84" t="e">
        <f t="shared" ref="B15:O15" si="0">SUM(B16:B26)</f>
        <v>#N/A</v>
      </c>
      <c r="C15" s="84" t="e">
        <f t="shared" si="0"/>
        <v>#N/A</v>
      </c>
      <c r="D15" s="84" t="e">
        <f t="shared" si="0"/>
        <v>#N/A</v>
      </c>
      <c r="E15" s="84" t="e">
        <f t="shared" si="0"/>
        <v>#N/A</v>
      </c>
      <c r="F15" s="84" t="e">
        <f t="shared" si="0"/>
        <v>#N/A</v>
      </c>
      <c r="G15" s="84" t="e">
        <f t="shared" si="0"/>
        <v>#N/A</v>
      </c>
      <c r="H15" s="84" t="e">
        <f t="shared" si="0"/>
        <v>#N/A</v>
      </c>
      <c r="I15" s="84" t="e">
        <f t="shared" si="0"/>
        <v>#N/A</v>
      </c>
      <c r="J15" s="84" t="e">
        <f t="shared" si="0"/>
        <v>#N/A</v>
      </c>
      <c r="K15" s="84" t="e">
        <f t="shared" si="0"/>
        <v>#N/A</v>
      </c>
      <c r="L15" s="84" t="e">
        <f t="shared" si="0"/>
        <v>#N/A</v>
      </c>
      <c r="M15" s="84" t="e">
        <f t="shared" si="0"/>
        <v>#N/A</v>
      </c>
      <c r="N15" s="84" t="e">
        <f t="shared" si="0"/>
        <v>#N/A</v>
      </c>
      <c r="O15" s="84" t="e">
        <f t="shared" si="0"/>
        <v>#N/A</v>
      </c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 t="e">
        <f t="shared" ref="Z15:AG15" si="1">SUM(Z16:Z26)</f>
        <v>#N/A</v>
      </c>
      <c r="AA15" s="84" t="e">
        <f t="shared" si="1"/>
        <v>#N/A</v>
      </c>
      <c r="AB15" s="84" t="e">
        <f t="shared" si="1"/>
        <v>#N/A</v>
      </c>
      <c r="AC15" s="84" t="e">
        <f t="shared" si="1"/>
        <v>#N/A</v>
      </c>
      <c r="AD15" s="84" t="e">
        <f t="shared" si="1"/>
        <v>#N/A</v>
      </c>
      <c r="AE15" s="84" t="e">
        <f t="shared" si="1"/>
        <v>#N/A</v>
      </c>
      <c r="AF15" s="84" t="e">
        <f t="shared" si="1"/>
        <v>#N/A</v>
      </c>
      <c r="AG15" s="84" t="e">
        <f t="shared" si="1"/>
        <v>#N/A</v>
      </c>
      <c r="AH15" s="84" t="e">
        <f t="shared" ref="AH15:AO15" si="2">SUM(AH16:AH26)</f>
        <v>#N/A</v>
      </c>
      <c r="AI15" s="84" t="e">
        <f t="shared" si="2"/>
        <v>#N/A</v>
      </c>
      <c r="AJ15" s="84" t="e">
        <f t="shared" si="2"/>
        <v>#N/A</v>
      </c>
      <c r="AK15" s="84" t="e">
        <f t="shared" si="2"/>
        <v>#N/A</v>
      </c>
      <c r="AL15" s="84" t="e">
        <f t="shared" si="2"/>
        <v>#N/A</v>
      </c>
      <c r="AM15" s="84" t="e">
        <f t="shared" si="2"/>
        <v>#N/A</v>
      </c>
      <c r="AN15" s="84" t="e">
        <f t="shared" si="2"/>
        <v>#N/A</v>
      </c>
      <c r="AO15" s="84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7" customFormat="1" x14ac:dyDescent="0.15">
      <c r="A28" s="88">
        <f>83-166</f>
        <v>-83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>
        <v>-51</v>
      </c>
      <c r="AG28" s="88"/>
      <c r="AH28" s="88"/>
      <c r="AI28" s="88"/>
      <c r="AJ28" s="88"/>
      <c r="AK28" s="88"/>
      <c r="AL28" s="88"/>
      <c r="AM28" s="88"/>
      <c r="AN28" s="88"/>
      <c r="AO28" s="88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1" t="s">
        <v>78</v>
      </c>
      <c r="D44" s="91" t="s">
        <v>159</v>
      </c>
      <c r="E44" s="91" t="s">
        <v>79</v>
      </c>
      <c r="F44" s="91" t="s">
        <v>80</v>
      </c>
      <c r="G44" s="89" t="s">
        <v>81</v>
      </c>
      <c r="H44" s="90">
        <f>COUNTA(1:1)</f>
        <v>0</v>
      </c>
    </row>
    <row r="45" spans="1:41" x14ac:dyDescent="0.15">
      <c r="A45" s="70" t="s">
        <v>188</v>
      </c>
      <c r="B45" t="s">
        <v>191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189</v>
      </c>
      <c r="B46" t="s">
        <v>197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106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131</v>
      </c>
      <c r="B47" t="s">
        <v>180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74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99</v>
      </c>
      <c r="B50" t="s">
        <v>162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253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187</v>
      </c>
      <c r="B51" t="s">
        <v>192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177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157</v>
      </c>
      <c r="B53" t="s">
        <v>174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232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437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173</v>
      </c>
      <c r="B60" t="s">
        <v>193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170</v>
      </c>
      <c r="B62" t="s">
        <v>169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28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11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190</v>
      </c>
      <c r="B67" t="s">
        <v>194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167</v>
      </c>
      <c r="B68" t="s">
        <v>168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5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76</v>
      </c>
      <c r="B72" t="s">
        <v>175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68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178</v>
      </c>
      <c r="B75" t="s">
        <v>195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166</v>
      </c>
      <c r="B76" t="s">
        <v>176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177</v>
      </c>
      <c r="B77" t="s">
        <v>196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136</v>
      </c>
      <c r="H89">
        <f t="array" ref="H89">SUM(IF($G$45:$G$87=G89,1,0))</f>
        <v>6</v>
      </c>
    </row>
    <row r="90" spans="1:15" x14ac:dyDescent="0.15">
      <c r="G90" t="s">
        <v>134</v>
      </c>
      <c r="H90">
        <f t="array" ref="H90">SUM(IF($G$45:$G$87=G90,1,0))</f>
        <v>14</v>
      </c>
    </row>
    <row r="91" spans="1:15" x14ac:dyDescent="0.15">
      <c r="G91" t="s">
        <v>135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158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82</v>
      </c>
      <c r="C1" s="9">
        <v>89</v>
      </c>
    </row>
    <row r="2" spans="1:20" x14ac:dyDescent="0.2">
      <c r="A2" s="5" t="s">
        <v>83</v>
      </c>
      <c r="C2" s="9">
        <v>91</v>
      </c>
    </row>
    <row r="4" spans="1:20" ht="22.5" x14ac:dyDescent="0.2">
      <c r="A4" s="8"/>
      <c r="B4" s="8" t="s">
        <v>84</v>
      </c>
      <c r="C4" s="8" t="s">
        <v>85</v>
      </c>
      <c r="D4" s="8" t="s">
        <v>171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211</v>
      </c>
      <c r="M4" s="8" t="s">
        <v>91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MATCH(A5,Batting!$A$5:$A$50,0)</f>
        <v>#N/A</v>
      </c>
      <c r="F5" s="9">
        <f ca="1">IF(NOT(ISNA(E5)),OFFSET(Batting!$B$4,E5,$C$1,1,1),0)</f>
        <v>0</v>
      </c>
      <c r="G5" s="9" t="e">
        <f ca="1">MATCH(A5,Bowling!$A$5:$A$36,0)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7</v>
      </c>
      <c r="O5" s="5">
        <v>1</v>
      </c>
      <c r="P5" s="5" t="str">
        <f t="shared" ref="P5:P31" ca="1" si="1">OFFSET($B$4,N5,0)</f>
        <v>Clive Edghill</v>
      </c>
      <c r="Q5" s="7">
        <f t="shared" ref="Q5:Q31" ca="1" si="2">OFFSET($K$4,N5,0)</f>
        <v>88.5</v>
      </c>
      <c r="R5" s="5">
        <f t="shared" ref="R5:R46" ca="1" si="3">OFFSET($J$4,N5,0)</f>
        <v>2</v>
      </c>
    </row>
    <row r="6" spans="1:20" x14ac:dyDescent="0.2">
      <c r="A6" s="70" t="str">
        <f ca="1"/>
        <v>ADLE</v>
      </c>
      <c r="B6" t="str">
        <f ca="1"/>
        <v>Adam Lestrelle</v>
      </c>
      <c r="C6" s="9">
        <f t="shared" ca="1" si="0"/>
        <v>106</v>
      </c>
      <c r="D6" s="9">
        <f ca="1">IF(NOT(ISNA(E6)),5*OFFSET(Batting!$CE$4,E6,0,1,1),0)</f>
        <v>50</v>
      </c>
      <c r="E6" s="9">
        <f ca="1">MATCH(A6,Batting!$A$5:$A$50,0)</f>
        <v>19</v>
      </c>
      <c r="F6" s="9">
        <f ca="1">IF(NOT(ISNA(E6)),OFFSET(Batting!$B$4,E6,$C$1,1,1),0)</f>
        <v>43</v>
      </c>
      <c r="G6" s="9">
        <f ca="1">MATCH(A6,Bowling!$A$5:$A$36,0)</f>
        <v>16</v>
      </c>
      <c r="H6" s="9">
        <f ca="1">IF(NOT(ISNA(G6)),OFFSET(Bowling!$CO$4,G6,0,1,1),0)</f>
        <v>13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53</v>
      </c>
      <c r="L6" s="5">
        <f t="shared" ref="L6:L46" ca="1" si="5">K6+ROW(K6)/100000</f>
        <v>53.000059999999998</v>
      </c>
      <c r="M6" s="5">
        <f t="shared" ref="M6:M46" ca="1" si="6">RANK(L6,$L$5:$L$40)</f>
        <v>4</v>
      </c>
      <c r="N6" s="5">
        <f t="shared" ref="N6:N46" ca="1" si="7">MATCH(O6,$M$5:$M$55,0)</f>
        <v>12</v>
      </c>
      <c r="O6" s="5">
        <f>O5+1</f>
        <v>2</v>
      </c>
      <c r="P6" s="5" t="str">
        <f t="shared" ca="1" si="1"/>
        <v>David Sharpe</v>
      </c>
      <c r="Q6" s="7">
        <f t="shared" ca="1" si="2"/>
        <v>77.332999999999998</v>
      </c>
      <c r="R6" s="5">
        <f t="shared" ca="1" si="3"/>
        <v>3</v>
      </c>
    </row>
    <row r="7" spans="1:20" x14ac:dyDescent="0.2">
      <c r="A7" s="70" t="str">
        <f ca="1"/>
        <v>AICO</v>
      </c>
      <c r="B7" t="str">
        <f ca="1"/>
        <v>Aiden Coloe</v>
      </c>
      <c r="C7" s="9">
        <f t="shared" ca="1" si="0"/>
        <v>74</v>
      </c>
      <c r="D7" s="9">
        <f ca="1">IF(NOT(ISNA(E7)),5*OFFSET(Batting!$CE$4,E7,0,1,1),0)</f>
        <v>35</v>
      </c>
      <c r="E7" s="9">
        <f ca="1">MATCH(A7,Batting!$A$5:$A$50,0)</f>
        <v>6</v>
      </c>
      <c r="F7" s="9">
        <f ca="1">IF(NOT(ISNA(E7)),OFFSET(Batting!$B$4,E7,$C$1,1,1),0)</f>
        <v>29</v>
      </c>
      <c r="G7" s="9">
        <f ca="1">MATCH(A7,Bowling!$A$5:$A$36,0)</f>
        <v>6</v>
      </c>
      <c r="H7" s="9">
        <f ca="1">IF(NOT(ISNA(G7)),OFFSET(Bowling!$CO$4,G7,0,1,1),0)</f>
        <v>0</v>
      </c>
      <c r="I7" s="9">
        <f ca="1">IF(NOT(ISNA(E7)),OFFSET(Batting!$B$4,E7,$C$1+1,1,1),0)</f>
        <v>10</v>
      </c>
      <c r="J7" s="9">
        <f ca="1">VLOOKUP(A7,'Fantasy Teams'!$A$45:$C$87,3,FALSE)</f>
        <v>3</v>
      </c>
      <c r="K7" s="10">
        <f t="shared" ca="1" si="4"/>
        <v>24.666</v>
      </c>
      <c r="L7" s="5">
        <f t="shared" ca="1" si="5"/>
        <v>24.666070000000001</v>
      </c>
      <c r="M7" s="5">
        <f t="shared" ca="1" si="6"/>
        <v>6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72.832999999999998</v>
      </c>
      <c r="R7" s="5">
        <f t="shared" ca="1" si="3"/>
        <v>6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MATCH(A8,Batting!$A$5:$A$50,0)</f>
        <v>#N/A</v>
      </c>
      <c r="F8" s="9">
        <f ca="1">IF(NOT(ISNA(E8)),OFFSET(Batting!$B$4,E8,$C$1,1,1),0)</f>
        <v>0</v>
      </c>
      <c r="G8" s="9" t="e">
        <f ca="1">MATCH(A8,Bowling!$A$5:$A$36,0)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35</v>
      </c>
      <c r="N8" s="5">
        <f t="shared" ca="1" si="7"/>
        <v>2</v>
      </c>
      <c r="O8" s="5">
        <f t="shared" si="8"/>
        <v>4</v>
      </c>
      <c r="P8" s="5" t="str">
        <f t="shared" ca="1" si="1"/>
        <v>Adam Lestrelle</v>
      </c>
      <c r="Q8" s="7">
        <f t="shared" ca="1" si="2"/>
        <v>53</v>
      </c>
      <c r="R8" s="5">
        <f t="shared" ca="1" si="3"/>
        <v>2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MATCH(A9,Batting!$A$5:$A$50,0)</f>
        <v>#N/A</v>
      </c>
      <c r="F9" s="9">
        <f ca="1">IF(NOT(ISNA(E9)),OFFSET(Batting!$B$4,E9,$C$1,1,1),0)</f>
        <v>0</v>
      </c>
      <c r="G9" s="9" t="e">
        <f ca="1">MATCH(A9,Bowling!$A$5:$A$36,0)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34</v>
      </c>
      <c r="N9" s="5">
        <f t="shared" ca="1" si="7"/>
        <v>6</v>
      </c>
      <c r="O9" s="5">
        <f t="shared" si="8"/>
        <v>5</v>
      </c>
      <c r="P9" s="5" t="str">
        <f t="shared" ca="1" si="1"/>
        <v>Chris Clark</v>
      </c>
      <c r="Q9" s="7">
        <f t="shared" ca="1" si="2"/>
        <v>42.165999999999997</v>
      </c>
      <c r="R9" s="5">
        <f t="shared" ca="1" si="3"/>
        <v>6</v>
      </c>
    </row>
    <row r="10" spans="1:20" x14ac:dyDescent="0.2">
      <c r="A10" s="70" t="str">
        <f ca="1"/>
        <v>CHCL</v>
      </c>
      <c r="B10" t="str">
        <f ca="1"/>
        <v>Chris Clark</v>
      </c>
      <c r="C10" s="9">
        <f t="shared" ca="1" si="0"/>
        <v>253</v>
      </c>
      <c r="D10" s="9">
        <f ca="1">IF(NOT(ISNA(E10)),5*OFFSET(Batting!$CE$4,E10,0,1,1),0)</f>
        <v>80</v>
      </c>
      <c r="E10" s="9">
        <f ca="1">MATCH(A10,Batting!$A$5:$A$50,0)</f>
        <v>4</v>
      </c>
      <c r="F10" s="9">
        <f ca="1">IF(NOT(ISNA(E10)),OFFSET(Batting!$B$4,E10,$C$1,1,1),0)</f>
        <v>39</v>
      </c>
      <c r="G10" s="9">
        <f ca="1">MATCH(A10,Bowling!$A$5:$A$36,0)</f>
        <v>4</v>
      </c>
      <c r="H10" s="9">
        <f ca="1">IF(NOT(ISNA(G10)),OFFSET(Bowling!$CO$4,G10,0,1,1),0)</f>
        <v>109</v>
      </c>
      <c r="I10" s="9">
        <f ca="1">IF(NOT(ISNA(E10)),OFFSET(Batting!$B$4,E10,$C$1+1,1,1),0)</f>
        <v>25</v>
      </c>
      <c r="J10" s="9">
        <f ca="1">VLOOKUP(A10,'Fantasy Teams'!$A$45:$C$87,3,FALSE)</f>
        <v>6</v>
      </c>
      <c r="K10" s="10">
        <f t="shared" ca="1" si="4"/>
        <v>42.165999999999997</v>
      </c>
      <c r="L10" s="5">
        <f t="shared" ca="1" si="5"/>
        <v>42.1661</v>
      </c>
      <c r="M10" s="5">
        <f t="shared" ca="1" si="6"/>
        <v>5</v>
      </c>
      <c r="N10" s="5">
        <f t="shared" ca="1" si="7"/>
        <v>3</v>
      </c>
      <c r="O10" s="5">
        <f t="shared" si="8"/>
        <v>6</v>
      </c>
      <c r="P10" s="5" t="str">
        <f t="shared" ca="1" si="1"/>
        <v>Aiden Coloe</v>
      </c>
      <c r="Q10" s="7">
        <f t="shared" ca="1" si="2"/>
        <v>24.666</v>
      </c>
      <c r="R10" s="5">
        <f t="shared" ca="1" si="3"/>
        <v>3</v>
      </c>
    </row>
    <row r="11" spans="1:20" x14ac:dyDescent="0.2">
      <c r="A11" s="70" t="str">
        <f ca="1"/>
        <v>CLED</v>
      </c>
      <c r="B11" t="str">
        <f ca="1"/>
        <v>Clive Edghill</v>
      </c>
      <c r="C11" s="9">
        <f t="shared" ca="1" si="0"/>
        <v>177</v>
      </c>
      <c r="D11" s="9">
        <f ca="1">IF(NOT(ISNA(E11)),5*OFFSET(Batting!$CE$4,E11,0,1,1),0)</f>
        <v>65</v>
      </c>
      <c r="E11" s="9">
        <f ca="1">MATCH(A11,Batting!$A$5:$A$50,0)</f>
        <v>10</v>
      </c>
      <c r="F11" s="9">
        <f ca="1">IF(NOT(ISNA(E11)),OFFSET(Batting!$B$4,E11,$C$1,1,1),0)</f>
        <v>102</v>
      </c>
      <c r="G11" s="9" t="e">
        <f ca="1">MATCH(A11,Bowling!$A$5:$A$36,0)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10</v>
      </c>
      <c r="J11" s="9">
        <f ca="1">VLOOKUP(A11,'Fantasy Teams'!$A$45:$C$87,3,FALSE)</f>
        <v>2</v>
      </c>
      <c r="K11" s="10">
        <f t="shared" ca="1" si="4"/>
        <v>88.5</v>
      </c>
      <c r="L11" s="5">
        <f t="shared" ca="1" si="5"/>
        <v>88.500110000000006</v>
      </c>
      <c r="M11" s="5">
        <f t="shared" ca="1" si="6"/>
        <v>1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17</v>
      </c>
      <c r="R11" s="5">
        <f t="shared" ca="1" si="3"/>
        <v>4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MATCH(A12,Batting!$A$5:$A$50,0)</f>
        <v>#N/A</v>
      </c>
      <c r="F12" s="9">
        <f ca="1">IF(NOT(ISNA(E12)),OFFSET(Batting!$B$4,E12,$C$1,1,1),0)</f>
        <v>0</v>
      </c>
      <c r="G12" s="9" t="e">
        <f ca="1">MATCH(A12,Bowling!$A$5:$A$36,0)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33</v>
      </c>
      <c r="N12" s="5">
        <f t="shared" ca="1" si="7"/>
        <v>19</v>
      </c>
      <c r="O12" s="5">
        <f t="shared" si="8"/>
        <v>8</v>
      </c>
      <c r="P12" s="5" t="str">
        <f t="shared" ca="1" si="1"/>
        <v>Jeff Lestrelle</v>
      </c>
      <c r="Q12" s="7">
        <f t="shared" ca="1" si="2"/>
        <v>7</v>
      </c>
      <c r="R12" s="5">
        <f t="shared" ca="1" si="3"/>
        <v>4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MATCH(A13,Batting!$A$5:$A$50,0)</f>
        <v>#N/A</v>
      </c>
      <c r="F13" s="9">
        <f ca="1">IF(NOT(ISNA(E13)),OFFSET(Batting!$B$4,E13,$C$1,1,1),0)</f>
        <v>0</v>
      </c>
      <c r="G13" s="9" t="e">
        <f ca="1">MATCH(A13,Bowling!$A$5:$A$36,0)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32</v>
      </c>
      <c r="N13" s="5">
        <f t="shared" ca="1" si="7"/>
        <v>27</v>
      </c>
      <c r="O13" s="5">
        <f t="shared" si="8"/>
        <v>9</v>
      </c>
      <c r="P13" s="5" t="str">
        <f t="shared" ca="1" si="1"/>
        <v>Mike Woodhouse</v>
      </c>
      <c r="Q13" s="7">
        <f t="shared" ca="1" si="2"/>
        <v>1</v>
      </c>
      <c r="R13" s="5">
        <f t="shared" ca="1" si="3"/>
        <v>5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MATCH(A14,Batting!$A$5:$A$50,0)</f>
        <v>#N/A</v>
      </c>
      <c r="F14" s="9">
        <f ca="1">IF(NOT(ISNA(E14)),OFFSET(Batting!$B$4,E14,$C$1,1,1),0)</f>
        <v>0</v>
      </c>
      <c r="G14" s="9" t="e">
        <f ca="1">MATCH(A14,Bowling!$A$5:$A$36,0)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31</v>
      </c>
      <c r="N14" s="5">
        <f t="shared" ca="1" si="7"/>
        <v>21</v>
      </c>
      <c r="O14" s="5">
        <f t="shared" si="8"/>
        <v>10</v>
      </c>
      <c r="P14" s="5" t="str">
        <f t="shared" ca="1" si="1"/>
        <v>John Leadley</v>
      </c>
      <c r="Q14" s="7">
        <f t="shared" ca="1" si="2"/>
        <v>1</v>
      </c>
      <c r="R14" s="5">
        <f t="shared" ca="1" si="3"/>
        <v>11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MATCH(A15,Batting!$A$5:$A$50,0)</f>
        <v>#N/A</v>
      </c>
      <c r="F15" s="9">
        <f ca="1">IF(NOT(ISNA(E15)),OFFSET(Batting!$B$4,E15,$C$1,1,1),0)</f>
        <v>0</v>
      </c>
      <c r="G15" s="9" t="e">
        <f ca="1">MATCH(A15,Bowling!$A$5:$A$36,0)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30</v>
      </c>
      <c r="N15" s="5">
        <f t="shared" ca="1" si="7"/>
        <v>25</v>
      </c>
      <c r="O15" s="5">
        <f t="shared" si="8"/>
        <v>11</v>
      </c>
      <c r="P15" s="5" t="str">
        <f t="shared" ca="1" si="1"/>
        <v>Mike Bowers</v>
      </c>
      <c r="Q15" s="7">
        <f t="shared" ca="1" si="2"/>
        <v>0.33300000000000002</v>
      </c>
      <c r="R15" s="5">
        <f t="shared" ca="1" si="3"/>
        <v>3</v>
      </c>
      <c r="S15" s="5">
        <f ca="1">SUM(R5:R15)</f>
        <v>49</v>
      </c>
      <c r="T15" s="107">
        <f t="array" aca="1" ref="T15" ca="1">SUM(Q5:Q15*R5:R15)</f>
        <v>1391.99</v>
      </c>
    </row>
    <row r="16" spans="1:20" x14ac:dyDescent="0.2">
      <c r="A16" s="70" t="str">
        <f ca="1"/>
        <v>DASH</v>
      </c>
      <c r="B16" t="str">
        <f ca="1"/>
        <v>David Sharpe</v>
      </c>
      <c r="C16" s="9">
        <f t="shared" ca="1" si="0"/>
        <v>232</v>
      </c>
      <c r="D16" s="9">
        <f ca="1">IF(NOT(ISNA(E16)),5*OFFSET(Batting!$CE$4,E16,0,1,1),0)</f>
        <v>35</v>
      </c>
      <c r="E16" s="9">
        <f ca="1">MATCH(A16,Batting!$A$5:$A$50,0)</f>
        <v>27</v>
      </c>
      <c r="F16" s="9">
        <f ca="1">IF(NOT(ISNA(E16)),OFFSET(Batting!$B$4,E16,$C$1,1,1),0)</f>
        <v>87</v>
      </c>
      <c r="G16" s="9">
        <f ca="1">MATCH(A16,Bowling!$A$5:$A$36,0)</f>
        <v>22</v>
      </c>
      <c r="H16" s="9">
        <f ca="1">IF(NOT(ISNA(G16)),OFFSET(Bowling!$CO$4,G16,0,1,1),0)</f>
        <v>90</v>
      </c>
      <c r="I16" s="9">
        <f ca="1">IF(NOT(ISNA(E16)),OFFSET(Batting!$B$4,E16,$C$1+1,1,1),0)</f>
        <v>20</v>
      </c>
      <c r="J16" s="9">
        <f ca="1">VLOOKUP(A16,'Fantasy Teams'!$A$45:$C$87,3,FALSE)</f>
        <v>3</v>
      </c>
      <c r="K16" s="10">
        <f t="shared" ca="1" si="4"/>
        <v>77.332999999999998</v>
      </c>
      <c r="L16" s="5">
        <f t="shared" ca="1" si="5"/>
        <v>77.333159999999992</v>
      </c>
      <c r="M16" s="5">
        <f t="shared" ca="1" si="6"/>
        <v>2</v>
      </c>
      <c r="N16" s="5">
        <f t="shared" ca="1" si="7"/>
        <v>36</v>
      </c>
      <c r="O16" s="5">
        <f t="shared" si="8"/>
        <v>12</v>
      </c>
      <c r="P16" s="5" t="str">
        <f t="shared" ca="1" si="1"/>
        <v>Vince Reid</v>
      </c>
      <c r="Q16" s="7">
        <f t="shared" ca="1" si="2"/>
        <v>0</v>
      </c>
      <c r="R16" s="5">
        <f t="shared" ca="1" si="3"/>
        <v>4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MATCH(A17,Batting!$A$5:$A$50,0)</f>
        <v>#N/A</v>
      </c>
      <c r="F17" s="9">
        <f ca="1">IF(NOT(ISNA(E17)),OFFSET(Batting!$B$4,E17,$C$1,1,1),0)</f>
        <v>0</v>
      </c>
      <c r="G17" s="9" t="e">
        <f ca="1">MATCH(A17,Bowling!$A$5:$A$36,0)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29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0</v>
      </c>
      <c r="R17" s="5">
        <f t="shared" ca="1" si="3"/>
        <v>13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MATCH(A18,Batting!$A$5:$A$50,0)</f>
        <v>#N/A</v>
      </c>
      <c r="F18" s="9">
        <f ca="1">IF(NOT(ISNA(E18)),OFFSET(Batting!$B$4,E18,$C$1,1,1),0)</f>
        <v>0</v>
      </c>
      <c r="G18" s="9" t="e">
        <f ca="1">MATCH(A18,Bowling!$A$5:$A$36,0)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28</v>
      </c>
      <c r="N18" s="5">
        <f t="shared" ca="1" si="7"/>
        <v>34</v>
      </c>
      <c r="O18" s="5">
        <f t="shared" si="8"/>
        <v>14</v>
      </c>
      <c r="P18" s="5" t="str">
        <f t="shared" ca="1" si="1"/>
        <v>Ted Dugdale</v>
      </c>
      <c r="Q18" s="7">
        <f t="shared" ca="1" si="2"/>
        <v>0</v>
      </c>
      <c r="R18" s="5">
        <f t="shared" ca="1" si="3"/>
        <v>3</v>
      </c>
    </row>
    <row r="19" spans="1:18" x14ac:dyDescent="0.2">
      <c r="A19" s="70" t="str">
        <f ca="1"/>
        <v>GECO</v>
      </c>
      <c r="B19" t="str">
        <f ca="1"/>
        <v>Geoff Cooper</v>
      </c>
      <c r="C19" s="9">
        <f t="shared" ca="1" si="9"/>
        <v>437</v>
      </c>
      <c r="D19" s="9">
        <f ca="1">IF(NOT(ISNA(E19)),5*OFFSET(Batting!$CE$4,E19,0,1,1),0)</f>
        <v>85</v>
      </c>
      <c r="E19" s="9">
        <f ca="1">MATCH(A19,Batting!$A$5:$A$50,0)</f>
        <v>7</v>
      </c>
      <c r="F19" s="9">
        <f ca="1">IF(NOT(ISNA(E19)),OFFSET(Batting!$B$4,E19,$C$1,1,1),0)</f>
        <v>82</v>
      </c>
      <c r="G19" s="9">
        <f ca="1">MATCH(A19,Bowling!$A$5:$A$36,0)</f>
        <v>7</v>
      </c>
      <c r="H19" s="9">
        <f ca="1">IF(NOT(ISNA(G19)),OFFSET(Bowling!$CO$4,G19,0,1,1),0)</f>
        <v>255</v>
      </c>
      <c r="I19" s="9">
        <f ca="1">IF(NOT(ISNA(E19)),OFFSET(Batting!$B$4,E19,$C$1+1,1,1),0)</f>
        <v>15</v>
      </c>
      <c r="J19" s="9">
        <f ca="1">VLOOKUP(A19,'Fantasy Teams'!$A$45:$C$87,3,FALSE)</f>
        <v>6</v>
      </c>
      <c r="K19" s="10">
        <f t="shared" ca="1" si="4"/>
        <v>72.832999999999998</v>
      </c>
      <c r="L19" s="5">
        <f t="shared" ca="1" si="5"/>
        <v>72.833190000000002</v>
      </c>
      <c r="M19" s="5">
        <f t="shared" ca="1" si="6"/>
        <v>3</v>
      </c>
      <c r="N19" s="5">
        <f t="shared" ca="1" si="7"/>
        <v>33</v>
      </c>
      <c r="O19" s="5">
        <f t="shared" si="8"/>
        <v>15</v>
      </c>
      <c r="P19" s="5" t="str">
        <f t="shared" ca="1" si="1"/>
        <v>Steve Barry</v>
      </c>
      <c r="Q19" s="7">
        <f t="shared" ca="1" si="2"/>
        <v>0</v>
      </c>
      <c r="R19" s="5">
        <f t="shared" ca="1" si="3"/>
        <v>2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MATCH(A20,Batting!$A$5:$A$50,0)</f>
        <v>#N/A</v>
      </c>
      <c r="F20" s="9">
        <f ca="1">IF(NOT(ISNA(E20)),OFFSET(Batting!$B$4,E20,$C$1,1,1),0)</f>
        <v>0</v>
      </c>
      <c r="G20" s="9" t="e">
        <f ca="1">MATCH(A20,Bowling!$A$5:$A$36,0)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27</v>
      </c>
      <c r="N20" s="5">
        <f t="shared" ca="1" si="7"/>
        <v>32</v>
      </c>
      <c r="O20" s="5">
        <f t="shared" si="8"/>
        <v>16</v>
      </c>
      <c r="P20" s="5" t="str">
        <f t="shared" ca="1" si="1"/>
        <v>Roy Odeneal</v>
      </c>
      <c r="Q20" s="7">
        <f t="shared" ca="1" si="2"/>
        <v>0</v>
      </c>
      <c r="R20" s="5">
        <f t="shared" ca="1" si="3"/>
        <v>2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MATCH(A21,Batting!$A$5:$A$50,0)</f>
        <v>#N/A</v>
      </c>
      <c r="F21" s="9">
        <f ca="1">IF(NOT(ISNA(E21)),OFFSET(Batting!$B$4,E21,$C$1,1,1),0)</f>
        <v>0</v>
      </c>
      <c r="G21" s="9" t="e">
        <f ca="1">MATCH(A21,Bowling!$A$5:$A$36,0)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26</v>
      </c>
      <c r="N21" s="5">
        <f t="shared" ca="1" si="7"/>
        <v>31</v>
      </c>
      <c r="O21" s="5">
        <f t="shared" si="8"/>
        <v>17</v>
      </c>
      <c r="P21" s="5" t="str">
        <f t="shared" ca="1" si="1"/>
        <v>Ron Morris</v>
      </c>
      <c r="Q21" s="7">
        <f t="shared" ca="1" si="2"/>
        <v>0</v>
      </c>
      <c r="R21" s="5">
        <f t="shared" ca="1" si="3"/>
        <v>2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MATCH(A22,Batting!$A$5:$A$50,0)</f>
        <v>#N/A</v>
      </c>
      <c r="F22" s="9">
        <f ca="1">IF(NOT(ISNA(E22)),OFFSET(Batting!$B$4,E22,$C$1,1,1),0)</f>
        <v>0</v>
      </c>
      <c r="G22" s="9" t="e">
        <f ca="1">MATCH(A22,Bowling!$A$5:$A$36,0)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25</v>
      </c>
      <c r="N22" s="5">
        <f t="shared" ca="1" si="7"/>
        <v>29</v>
      </c>
      <c r="O22" s="5">
        <f t="shared" si="8"/>
        <v>18</v>
      </c>
      <c r="P22" s="5" t="str">
        <f t="shared" ca="1" si="1"/>
        <v>Neil Mander</v>
      </c>
      <c r="Q22" s="7">
        <f t="shared" ca="1" si="2"/>
        <v>0</v>
      </c>
      <c r="R22" s="5">
        <f t="shared" ca="1" si="3"/>
        <v>9</v>
      </c>
    </row>
    <row r="23" spans="1:18" x14ac:dyDescent="0.2">
      <c r="A23" s="70" t="str">
        <f ca="1"/>
        <v>JELE</v>
      </c>
      <c r="B23" t="str">
        <f ca="1"/>
        <v>Jeff Lestrelle</v>
      </c>
      <c r="C23" s="9">
        <f t="shared" ca="1" si="9"/>
        <v>28</v>
      </c>
      <c r="D23" s="9">
        <f ca="1">IF(NOT(ISNA(E23)),5*OFFSET(Batting!$CE$4,E23,0,1,1),0)</f>
        <v>5</v>
      </c>
      <c r="E23" s="9">
        <f ca="1">MATCH(A23,Batting!$A$5:$A$50,0)</f>
        <v>20</v>
      </c>
      <c r="F23" s="9">
        <f ca="1">IF(NOT(ISNA(E23)),OFFSET(Batting!$B$4,E23,$C$1,1,1),0)</f>
        <v>23</v>
      </c>
      <c r="G23" s="9">
        <f ca="1">MATCH(A23,Bowling!$A$5:$A$36,0)</f>
        <v>17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7</v>
      </c>
      <c r="L23" s="5">
        <f t="shared" ca="1" si="5"/>
        <v>7.0002300000000002</v>
      </c>
      <c r="M23" s="5">
        <f t="shared" ca="1" si="6"/>
        <v>8</v>
      </c>
      <c r="N23" s="5">
        <f t="shared" ca="1" si="7"/>
        <v>28</v>
      </c>
      <c r="O23" s="5">
        <f t="shared" si="8"/>
        <v>19</v>
      </c>
      <c r="P23" s="5" t="str">
        <f t="shared" ca="1" si="1"/>
        <v>Naimish Patel</v>
      </c>
      <c r="Q23" s="7">
        <f t="shared" ca="1" si="2"/>
        <v>0</v>
      </c>
      <c r="R23" s="5">
        <f t="shared" ca="1" si="3"/>
        <v>3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MATCH(A24,Batting!$A$5:$A$50,0)</f>
        <v>#N/A</v>
      </c>
      <c r="F24" s="9">
        <f ca="1">IF(NOT(ISNA(E24)),OFFSET(Batting!$B$4,E24,$C$1,1,1),0)</f>
        <v>0</v>
      </c>
      <c r="G24" s="9" t="e">
        <f ca="1">MATCH(A24,Bowling!$A$5:$A$36,0)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24</v>
      </c>
      <c r="N24" s="5">
        <f t="shared" ca="1" si="7"/>
        <v>26</v>
      </c>
      <c r="O24" s="5">
        <f t="shared" si="8"/>
        <v>20</v>
      </c>
      <c r="P24" s="5" t="str">
        <f t="shared" ca="1" si="1"/>
        <v>Mike Hosking</v>
      </c>
      <c r="Q24" s="7">
        <f t="shared" ca="1" si="2"/>
        <v>0</v>
      </c>
      <c r="R24" s="5">
        <f t="shared" ca="1" si="3"/>
        <v>3</v>
      </c>
    </row>
    <row r="25" spans="1:18" x14ac:dyDescent="0.2">
      <c r="A25" s="70" t="str">
        <f ca="1"/>
        <v>JOLE</v>
      </c>
      <c r="B25" t="str">
        <f ca="1"/>
        <v>John Leadley</v>
      </c>
      <c r="C25" s="9">
        <f t="shared" ca="1" si="9"/>
        <v>11</v>
      </c>
      <c r="D25" s="9">
        <f ca="1">IF(NOT(ISNA(E25)),5*OFFSET(Batting!$CE$4,E25,0,1,1),0)</f>
        <v>5</v>
      </c>
      <c r="E25" s="9">
        <f ca="1">MATCH(A25,Batting!$A$5:$A$50,0)</f>
        <v>18</v>
      </c>
      <c r="F25" s="9">
        <f ca="1">IF(NOT(ISNA(E25)),OFFSET(Batting!$B$4,E25,$C$1,1,1),0)</f>
        <v>6</v>
      </c>
      <c r="G25" s="9">
        <f ca="1">MATCH(A25,Bowling!$A$5:$A$36,0)</f>
        <v>15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1</v>
      </c>
      <c r="L25" s="5">
        <f t="shared" ca="1" si="5"/>
        <v>1.0002500000000001</v>
      </c>
      <c r="M25" s="5">
        <f t="shared" ca="1" si="6"/>
        <v>10</v>
      </c>
      <c r="N25" s="5">
        <f t="shared" ca="1" si="7"/>
        <v>24</v>
      </c>
      <c r="O25" s="5">
        <f t="shared" si="8"/>
        <v>21</v>
      </c>
      <c r="P25" s="5" t="str">
        <f t="shared" ca="1" si="1"/>
        <v>Mick Clark</v>
      </c>
      <c r="Q25" s="7">
        <f t="shared" ca="1" si="2"/>
        <v>0</v>
      </c>
      <c r="R25" s="5">
        <f t="shared" ca="1" si="3"/>
        <v>2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MATCH(A26,Batting!$A$5:$A$50,0)</f>
        <v>#N/A</v>
      </c>
      <c r="F26" s="9">
        <f ca="1">IF(NOT(ISNA(E26)),OFFSET(Batting!$B$4,E26,$C$1,1,1),0)</f>
        <v>0</v>
      </c>
      <c r="G26" s="9" t="e">
        <f ca="1">MATCH(A26,Bowling!$A$5:$A$36,0)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23</v>
      </c>
      <c r="N26" s="5">
        <f t="shared" ca="1" si="7"/>
        <v>23</v>
      </c>
      <c r="O26" s="5">
        <f t="shared" si="8"/>
        <v>22</v>
      </c>
      <c r="P26" s="5" t="str">
        <f t="shared" ca="1" si="1"/>
        <v>Kieran Moore</v>
      </c>
      <c r="Q26" s="7">
        <f t="shared" ca="1" si="2"/>
        <v>0</v>
      </c>
      <c r="R26" s="5">
        <f t="shared" ca="1" si="3"/>
        <v>2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MATCH(A27,Batting!$A$5:$A$50,0)</f>
        <v>#N/A</v>
      </c>
      <c r="F27" s="9">
        <f ca="1">IF(NOT(ISNA(E27)),OFFSET(Batting!$B$4,E27,$C$1,1,1),0)</f>
        <v>0</v>
      </c>
      <c r="G27" s="9" t="e">
        <f ca="1">MATCH(A27,Bowling!$A$5:$A$36,0)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22</v>
      </c>
      <c r="N27" s="5">
        <f t="shared" ca="1" si="7"/>
        <v>22</v>
      </c>
      <c r="O27" s="5">
        <f t="shared" si="8"/>
        <v>23</v>
      </c>
      <c r="P27" s="5" t="str">
        <f t="shared" ca="1" si="1"/>
        <v>Jon Worthy</v>
      </c>
      <c r="Q27" s="7">
        <f t="shared" ca="1" si="2"/>
        <v>0</v>
      </c>
      <c r="R27" s="5">
        <f t="shared" ca="1" si="3"/>
        <v>5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MATCH(A28,Batting!$A$5:$A$50,0)</f>
        <v>#N/A</v>
      </c>
      <c r="F28" s="9">
        <f ca="1">IF(NOT(ISNA(E28)),OFFSET(Batting!$B$4,E28,$C$1,1,1),0)</f>
        <v>0</v>
      </c>
      <c r="G28" s="9" t="e">
        <f ca="1">MATCH(A28,Bowling!$A$5:$A$36,0)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21</v>
      </c>
      <c r="N28" s="5">
        <f t="shared" ca="1" si="7"/>
        <v>20</v>
      </c>
      <c r="O28" s="5">
        <f t="shared" si="8"/>
        <v>24</v>
      </c>
      <c r="P28" s="5" t="str">
        <f t="shared" ca="1" si="1"/>
        <v>John Elliston</v>
      </c>
      <c r="Q28" s="7">
        <f t="shared" ca="1" si="2"/>
        <v>0</v>
      </c>
      <c r="R28" s="5">
        <f t="shared" ca="1" si="3"/>
        <v>5</v>
      </c>
    </row>
    <row r="29" spans="1:18" x14ac:dyDescent="0.2">
      <c r="A29" s="70" t="str">
        <f ca="1"/>
        <v>MIBO</v>
      </c>
      <c r="B29" t="str">
        <f ca="1"/>
        <v>Mike Bowers</v>
      </c>
      <c r="C29" s="9">
        <f t="shared" ca="1" si="9"/>
        <v>1</v>
      </c>
      <c r="D29" s="9">
        <f ca="1">IF(NOT(ISNA(E29)),5*OFFSET(Batting!$CE$4,E29,0,1,1),0)</f>
        <v>5</v>
      </c>
      <c r="E29" s="9">
        <f ca="1">MATCH(A29,Batting!$A$5:$A$50,0)</f>
        <v>1</v>
      </c>
      <c r="F29" s="9">
        <f ca="1">IF(NOT(ISNA(E29)),OFFSET(Batting!$B$4,E29,$C$1,1,1),0)</f>
        <v>1</v>
      </c>
      <c r="G29" s="9">
        <f ca="1">MATCH(A29,Bowling!$A$5:$A$36,0)</f>
        <v>1</v>
      </c>
      <c r="H29" s="9">
        <f ca="1">IF(NOT(ISNA(G29)),OFFSET(Bowling!$CO$4,G29,0,1,1),0)</f>
        <v>-5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0.33300000000000002</v>
      </c>
      <c r="L29" s="5">
        <f t="shared" ca="1" si="5"/>
        <v>0.33329000000000003</v>
      </c>
      <c r="M29" s="5">
        <f t="shared" ca="1" si="6"/>
        <v>11</v>
      </c>
      <c r="N29" s="5">
        <f t="shared" ca="1" si="7"/>
        <v>18</v>
      </c>
      <c r="O29" s="5">
        <f t="shared" si="8"/>
        <v>25</v>
      </c>
      <c r="P29" s="5" t="str">
        <f t="shared" ca="1" si="1"/>
        <v>Jason Crisford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MATCH(A30,Batting!$A$5:$A$50,0)</f>
        <v>#N/A</v>
      </c>
      <c r="F30" s="9">
        <f ca="1">IF(NOT(ISNA(E30)),OFFSET(Batting!$B$4,E30,$C$1,1,1),0)</f>
        <v>0</v>
      </c>
      <c r="G30" s="9" t="e">
        <f ca="1">MATCH(A30,Bowling!$A$5:$A$36,0)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20</v>
      </c>
      <c r="N30" s="5">
        <f t="shared" ca="1" si="7"/>
        <v>17</v>
      </c>
      <c r="O30" s="5">
        <f t="shared" si="8"/>
        <v>26</v>
      </c>
      <c r="P30" s="5" t="str">
        <f t="shared" ca="1" si="1"/>
        <v>Glyn Angell</v>
      </c>
      <c r="Q30" s="7">
        <f t="shared" ca="1" si="2"/>
        <v>0</v>
      </c>
      <c r="R30" s="5">
        <f t="shared" ca="1" si="3"/>
        <v>1</v>
      </c>
    </row>
    <row r="31" spans="1:18" x14ac:dyDescent="0.2">
      <c r="A31" s="70" t="str">
        <f ca="1"/>
        <v>MIWO</v>
      </c>
      <c r="B31" t="str">
        <f ca="1"/>
        <v>Mike Woodhouse</v>
      </c>
      <c r="C31" s="9">
        <f t="shared" ca="1" si="9"/>
        <v>5</v>
      </c>
      <c r="D31" s="9">
        <f ca="1">IF(NOT(ISNA(E31)),5*OFFSET(Batting!$CE$4,E31,0,1,1),0)</f>
        <v>5</v>
      </c>
      <c r="E31" s="9">
        <f ca="1">MATCH(A31,Batting!$A$5:$A$50,0)</f>
        <v>32</v>
      </c>
      <c r="F31" s="9">
        <f ca="1">IF(NOT(ISNA(E31)),OFFSET(Batting!$B$4,E31,$C$1,1,1),0)</f>
        <v>-5</v>
      </c>
      <c r="G31" s="9">
        <f ca="1">MATCH(A31,Bowling!$A$5:$A$36,0)</f>
        <v>27</v>
      </c>
      <c r="H31" s="9">
        <f ca="1">IF(NOT(ISNA(G31)),OFFSET(Bowling!$CO$4,G31,0,1,1),0)</f>
        <v>0</v>
      </c>
      <c r="I31" s="9">
        <f ca="1">IF(NOT(ISNA(E31)),OFFSET(Batting!$B$4,E31,$C$1+1,1,1),0)</f>
        <v>5</v>
      </c>
      <c r="J31" s="9">
        <f ca="1">VLOOKUP(A31,'Fantasy Teams'!$A$45:$C$87,3,FALSE)</f>
        <v>5</v>
      </c>
      <c r="K31" s="10">
        <f t="shared" ca="1" si="4"/>
        <v>1</v>
      </c>
      <c r="L31" s="5">
        <f t="shared" ca="1" si="5"/>
        <v>1.00031</v>
      </c>
      <c r="M31" s="5">
        <f t="shared" ca="1" si="6"/>
        <v>9</v>
      </c>
      <c r="N31" s="5">
        <f t="shared" ca="1" si="7"/>
        <v>16</v>
      </c>
      <c r="O31" s="5">
        <f t="shared" si="8"/>
        <v>27</v>
      </c>
      <c r="P31" s="5" t="str">
        <f t="shared" ca="1" si="1"/>
        <v>Glen Lilley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MATCH(A32,Batting!$A$5:$A$50,0)</f>
        <v>#N/A</v>
      </c>
      <c r="F32" s="9">
        <f ca="1">IF(NOT(ISNA(E32)),OFFSET(Batting!$B$4,E32,$C$1,1,1),0)</f>
        <v>0</v>
      </c>
      <c r="G32" s="9" t="e">
        <f ca="1">MATCH(A32,Bowling!$A$5:$A$36,0)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19</v>
      </c>
      <c r="N32" s="5">
        <f t="shared" ca="1" si="7"/>
        <v>14</v>
      </c>
      <c r="O32" s="5">
        <f t="shared" si="8"/>
        <v>28</v>
      </c>
      <c r="P32" s="5" t="str">
        <f t="shared" ref="P32:P46" ca="1" si="10">OFFSET($B$4,N32,0)</f>
        <v>Del Shewan</v>
      </c>
      <c r="Q32" s="7">
        <f t="shared" ref="Q32:Q46" ca="1" si="11">OFFSET($K$4,N32,0)</f>
        <v>0</v>
      </c>
      <c r="R32" s="5">
        <f t="shared" ca="1" si="3"/>
        <v>3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MATCH(A33,Batting!$A$5:$A$50,0)</f>
        <v>#N/A</v>
      </c>
      <c r="F33" s="9">
        <f ca="1">IF(NOT(ISNA(E33)),OFFSET(Batting!$B$4,E33,$C$1,1,1),0)</f>
        <v>0</v>
      </c>
      <c r="G33" s="9" t="e">
        <f ca="1">MATCH(A33,Bowling!$A$5:$A$36,0)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18</v>
      </c>
      <c r="N33" s="5">
        <f t="shared" ca="1" si="7"/>
        <v>13</v>
      </c>
      <c r="O33" s="5">
        <f t="shared" si="8"/>
        <v>29</v>
      </c>
      <c r="P33" s="5" t="str">
        <f t="shared" ca="1" si="10"/>
        <v>David Snow</v>
      </c>
      <c r="Q33" s="7">
        <f t="shared" ca="1" si="11"/>
        <v>0</v>
      </c>
      <c r="R33" s="5">
        <f t="shared" ca="1" si="3"/>
        <v>3</v>
      </c>
    </row>
    <row r="34" spans="1:18" x14ac:dyDescent="0.2">
      <c r="A34" s="70" t="str">
        <f ca="1"/>
        <v>RIWO</v>
      </c>
      <c r="B34" t="str">
        <f ca="1"/>
        <v>Rick Worthington</v>
      </c>
      <c r="C34" s="9">
        <f t="shared" ca="1" si="12"/>
        <v>68</v>
      </c>
      <c r="D34" s="9">
        <f ca="1">IF(NOT(ISNA(E34)),5*OFFSET(Batting!$CE$4,E34,0,1,1),0)</f>
        <v>30</v>
      </c>
      <c r="E34" s="9">
        <f ca="1">MATCH(A34,Batting!$A$5:$A$50,0)</f>
        <v>33</v>
      </c>
      <c r="F34" s="9">
        <f ca="1">IF(NOT(ISNA(E34)),OFFSET(Batting!$B$4,E34,$C$1,1,1),0)</f>
        <v>38</v>
      </c>
      <c r="G34" s="9" t="e">
        <f ca="1">MATCH(A34,Bowling!$A$5:$A$36,0)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17</v>
      </c>
      <c r="L34" s="5">
        <f t="shared" ca="1" si="5"/>
        <v>17.000340000000001</v>
      </c>
      <c r="M34" s="5">
        <f t="shared" ca="1" si="6"/>
        <v>7</v>
      </c>
      <c r="N34" s="5">
        <f t="shared" ca="1" si="7"/>
        <v>11</v>
      </c>
      <c r="O34" s="5">
        <f t="shared" si="8"/>
        <v>30</v>
      </c>
      <c r="P34" s="5" t="str">
        <f t="shared" ca="1" si="10"/>
        <v>David Brocks</v>
      </c>
      <c r="Q34" s="7">
        <f t="shared" ca="1" si="11"/>
        <v>0</v>
      </c>
      <c r="R34" s="5">
        <f t="shared" ca="1" si="3"/>
        <v>4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MATCH(A35,Batting!$A$5:$A$50,0)</f>
        <v>#N/A</v>
      </c>
      <c r="F35" s="9">
        <f ca="1">IF(NOT(ISNA(E35)),OFFSET(Batting!$B$4,E35,$C$1,1,1),0)</f>
        <v>0</v>
      </c>
      <c r="G35" s="9" t="e">
        <f ca="1">MATCH(A35,Bowling!$A$5:$A$36,0)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17</v>
      </c>
      <c r="N35" s="5">
        <f t="shared" ca="1" si="7"/>
        <v>10</v>
      </c>
      <c r="O35" s="5">
        <f t="shared" si="8"/>
        <v>31</v>
      </c>
      <c r="P35" s="5" t="str">
        <f t="shared" ca="1" si="10"/>
        <v>Dave Morris</v>
      </c>
      <c r="Q35" s="7">
        <f t="shared" ca="1" si="11"/>
        <v>0</v>
      </c>
      <c r="R35" s="5">
        <f t="shared" ca="1" si="3"/>
        <v>5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MATCH(A36,Batting!$A$5:$A$50,0)</f>
        <v>#N/A</v>
      </c>
      <c r="F36" s="9">
        <f ca="1">IF(NOT(ISNA(E36)),OFFSET(Batting!$B$4,E36,$C$1,1,1),0)</f>
        <v>0</v>
      </c>
      <c r="G36" s="9" t="e">
        <f ca="1">MATCH(A36,Bowling!$A$5:$A$36,0)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16</v>
      </c>
      <c r="N36" s="5">
        <f t="shared" ca="1" si="7"/>
        <v>9</v>
      </c>
      <c r="O36" s="5">
        <f t="shared" si="8"/>
        <v>32</v>
      </c>
      <c r="P36" s="5" t="str">
        <f t="shared" ca="1" si="10"/>
        <v>Daragh Corrigan</v>
      </c>
      <c r="Q36" s="7">
        <f t="shared" ca="1" si="11"/>
        <v>0</v>
      </c>
      <c r="R36" s="5">
        <f t="shared" ca="1" si="3"/>
        <v>2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MATCH(A37,Batting!$A$5:$A$50,0)</f>
        <v>#N/A</v>
      </c>
      <c r="F37" s="9">
        <f ca="1">IF(NOT(ISNA(E37)),OFFSET(Batting!$B$4,E37,$C$1,1,1),0)</f>
        <v>0</v>
      </c>
      <c r="G37" s="9" t="e">
        <f ca="1">MATCH(A37,Bowling!$A$5:$A$36,0)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15</v>
      </c>
      <c r="N37" s="5">
        <f t="shared" ca="1" si="7"/>
        <v>8</v>
      </c>
      <c r="O37" s="5">
        <f t="shared" si="8"/>
        <v>33</v>
      </c>
      <c r="P37" s="5" t="str">
        <f t="shared" ca="1" si="10"/>
        <v>Colin Mander</v>
      </c>
      <c r="Q37" s="7">
        <f t="shared" ca="1" si="11"/>
        <v>0</v>
      </c>
      <c r="R37" s="5">
        <f t="shared" ca="1" si="3"/>
        <v>9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MATCH(A38,Batting!$A$5:$A$50,0)</f>
        <v>#N/A</v>
      </c>
      <c r="F38" s="9">
        <f ca="1">IF(NOT(ISNA(E38)),OFFSET(Batting!$B$4,E38,$C$1,1,1),0)</f>
        <v>0</v>
      </c>
      <c r="G38" s="9" t="e">
        <f ca="1">MATCH(A38,Bowling!$A$5:$A$36,0)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14</v>
      </c>
      <c r="N38" s="5">
        <f t="shared" ca="1" si="7"/>
        <v>5</v>
      </c>
      <c r="O38" s="5">
        <f t="shared" si="8"/>
        <v>34</v>
      </c>
      <c r="P38" s="5" t="str">
        <f t="shared" ca="1" si="10"/>
        <v>Bob Young</v>
      </c>
      <c r="Q38" s="7">
        <f t="shared" ca="1" si="11"/>
        <v>0</v>
      </c>
      <c r="R38" s="5">
        <f t="shared" ca="1" si="3"/>
        <v>4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MATCH(A39,Batting!$A$5:$A$50,0)</f>
        <v>#N/A</v>
      </c>
      <c r="F39" s="9">
        <f ca="1">IF(NOT(ISNA(E39)),OFFSET(Batting!$B$4,E39,$C$1,1,1),0)</f>
        <v>0</v>
      </c>
      <c r="G39" s="9">
        <f ca="1">MATCH(A39,Bowling!$A$5:$A$36,0)</f>
        <v>25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13</v>
      </c>
      <c r="N39" s="5">
        <f t="shared" ca="1" si="7"/>
        <v>4</v>
      </c>
      <c r="O39" s="5">
        <f t="shared" si="8"/>
        <v>35</v>
      </c>
      <c r="P39" s="5" t="str">
        <f t="shared" ca="1" si="10"/>
        <v>Andy Mander</v>
      </c>
      <c r="Q39" s="7">
        <f t="shared" ca="1" si="11"/>
        <v>0</v>
      </c>
      <c r="R39" s="5">
        <f t="shared" ca="1" si="3"/>
        <v>6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MATCH(A40,Batting!$A$5:$A$50,0)</f>
        <v>#N/A</v>
      </c>
      <c r="F40" s="9">
        <f ca="1">IF(NOT(ISNA(E40)),OFFSET(Batting!$B$4,E40,$C$1,1,1),0)</f>
        <v>0</v>
      </c>
      <c r="G40" s="9" t="e">
        <f ca="1">MATCH(A40,Bowling!$A$5:$A$36,0)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12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MATCH(A41,Batting!$A$5:$A$50,0)</f>
        <v>#N/A</v>
      </c>
      <c r="F41" s="9">
        <f ca="1">IF(NOT(ISNA(E41)),OFFSET(Batting!$B$4,E41,$C$1,1,1),0)</f>
        <v>0</v>
      </c>
      <c r="G41" s="9" t="e">
        <f ca="1">MATCH(A41,Bowling!$A$5:$A$36,0)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MATCH(A42,Batting!$A$5:$A$50,0)</f>
        <v>#N/A</v>
      </c>
      <c r="F42" s="9">
        <f ca="1">IF(NOT(ISNA(E42)),OFFSET(Batting!$B$4,E42,$C$1,1,1),0)</f>
        <v>0</v>
      </c>
      <c r="G42" s="9" t="e">
        <f ca="1">MATCH(A42,Bowling!$A$5:$A$36,0)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MATCH(A43,Batting!$A$5:$A$50,0)</f>
        <v>#N/A</v>
      </c>
      <c r="F43" s="9">
        <f ca="1">IF(NOT(ISNA(E43)),OFFSET(Batting!$B$4,E43,$C$1,1,1),0)</f>
        <v>0</v>
      </c>
      <c r="G43" s="9" t="e">
        <f ca="1">MATCH(A43,Bowling!$A$5:$A$36,0)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MATCH(A44,Batting!$A$5:$A$50,0)</f>
        <v>#N/A</v>
      </c>
      <c r="F44" s="9">
        <f ca="1">IF(NOT(ISNA(E44)),OFFSET(Batting!$B$4,E44,$C$1,1,1),0)</f>
        <v>0</v>
      </c>
      <c r="G44" s="9" t="e">
        <f ca="1">MATCH(A44,Bowling!$A$5:$A$36,0)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MATCH(A45,Batting!$A$5:$A$50,0)</f>
        <v>#N/A</v>
      </c>
      <c r="F45" s="9">
        <f ca="1">IF(NOT(ISNA(E45)),OFFSET(Batting!$B$4,E45,$C$1,1,1),0)</f>
        <v>0</v>
      </c>
      <c r="G45" s="9" t="e">
        <f ca="1">MATCH(A45,Bowling!$A$5:$A$36,0)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MATCH(A46,Batting!$A$5:$A$50,0)</f>
        <v>#N/A</v>
      </c>
      <c r="F46" s="9">
        <f ca="1">IF(NOT(ISNA(E46)),OFFSET(Batting!$B$4,E46,$C$1,1,1),0)</f>
        <v>0</v>
      </c>
      <c r="G46" s="9" t="e">
        <f ca="1">MATCH(A46,Bowling!$A$5:$A$36,0)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4"/>
    <col min="11" max="16384" width="9.140625" style="16"/>
  </cols>
  <sheetData>
    <row r="1" spans="1:10" ht="12.75" customHeight="1" x14ac:dyDescent="0.25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8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106</v>
      </c>
      <c r="C3" s="18">
        <f ca="1">FantasyPts!D6</f>
        <v>50</v>
      </c>
      <c r="D3" s="18">
        <f ca="1">FantasyPts!F6</f>
        <v>43</v>
      </c>
      <c r="E3" s="18">
        <f ca="1">FantasyPts!H6</f>
        <v>13</v>
      </c>
      <c r="F3" s="18">
        <f ca="1">FantasyPts!I6</f>
        <v>0</v>
      </c>
      <c r="G3" s="18">
        <f ca="1">FantasyPts!J6</f>
        <v>2</v>
      </c>
      <c r="H3" s="19">
        <f ca="1">FantasyPts!K6</f>
        <v>53</v>
      </c>
      <c r="I3" s="16">
        <f t="shared" ref="I3:I38" ca="1" si="0">INT(B3/100+0.5)</f>
        <v>1</v>
      </c>
      <c r="J3" s="108">
        <f t="shared" ref="J3:J42" ca="1" si="1">I3-G3</f>
        <v>-1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74</v>
      </c>
      <c r="C4" s="18">
        <f ca="1">FantasyPts!D7</f>
        <v>35</v>
      </c>
      <c r="D4" s="18">
        <f ca="1">FantasyPts!F7</f>
        <v>29</v>
      </c>
      <c r="E4" s="18">
        <f ca="1">FantasyPts!H7</f>
        <v>0</v>
      </c>
      <c r="F4" s="18">
        <f ca="1">FantasyPts!I7</f>
        <v>10</v>
      </c>
      <c r="G4" s="18">
        <f ca="1">FantasyPts!J7</f>
        <v>3</v>
      </c>
      <c r="H4" s="19">
        <f ca="1">FantasyPts!K7</f>
        <v>24.666</v>
      </c>
      <c r="I4" s="16">
        <f t="shared" ca="1" si="0"/>
        <v>1</v>
      </c>
      <c r="J4" s="108">
        <f t="shared" ca="1" si="1"/>
        <v>-2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8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8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253</v>
      </c>
      <c r="C7" s="18">
        <f ca="1">FantasyPts!D10</f>
        <v>80</v>
      </c>
      <c r="D7" s="18">
        <f ca="1">FantasyPts!F10</f>
        <v>39</v>
      </c>
      <c r="E7" s="18">
        <f ca="1">FantasyPts!H10</f>
        <v>109</v>
      </c>
      <c r="F7" s="18">
        <f ca="1">FantasyPts!I10</f>
        <v>25</v>
      </c>
      <c r="G7" s="18">
        <f ca="1">FantasyPts!J10</f>
        <v>6</v>
      </c>
      <c r="H7" s="19">
        <f ca="1">FantasyPts!K10</f>
        <v>42.165999999999997</v>
      </c>
      <c r="I7" s="16">
        <f t="shared" ca="1" si="0"/>
        <v>3</v>
      </c>
      <c r="J7" s="108">
        <f t="shared" ca="1" si="1"/>
        <v>-3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177</v>
      </c>
      <c r="C8" s="18">
        <f ca="1">FantasyPts!D11</f>
        <v>65</v>
      </c>
      <c r="D8" s="18">
        <f ca="1">FantasyPts!F11</f>
        <v>102</v>
      </c>
      <c r="E8" s="18">
        <f ca="1">FantasyPts!H11</f>
        <v>0</v>
      </c>
      <c r="F8" s="18">
        <f ca="1">FantasyPts!I11</f>
        <v>10</v>
      </c>
      <c r="G8" s="18">
        <f ca="1">FantasyPts!J11</f>
        <v>2</v>
      </c>
      <c r="H8" s="19">
        <f ca="1">FantasyPts!K11</f>
        <v>88.5</v>
      </c>
      <c r="I8" s="16">
        <f t="shared" ca="1" si="0"/>
        <v>2</v>
      </c>
      <c r="J8" s="108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8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8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8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8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232</v>
      </c>
      <c r="C13" s="18">
        <f ca="1">FantasyPts!D16</f>
        <v>35</v>
      </c>
      <c r="D13" s="18">
        <f ca="1">FantasyPts!F16</f>
        <v>87</v>
      </c>
      <c r="E13" s="18">
        <f ca="1">FantasyPts!H16</f>
        <v>90</v>
      </c>
      <c r="F13" s="18">
        <f ca="1">FantasyPts!I16</f>
        <v>20</v>
      </c>
      <c r="G13" s="18">
        <f ca="1">FantasyPts!J16</f>
        <v>3</v>
      </c>
      <c r="H13" s="19">
        <f ca="1">FantasyPts!K16</f>
        <v>77.332999999999998</v>
      </c>
      <c r="I13" s="16">
        <f t="shared" ca="1" si="0"/>
        <v>2</v>
      </c>
      <c r="J13" s="108">
        <f t="shared" ca="1" si="1"/>
        <v>-1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8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8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437</v>
      </c>
      <c r="C16" s="18">
        <f ca="1">FantasyPts!D19</f>
        <v>85</v>
      </c>
      <c r="D16" s="18">
        <f ca="1">FantasyPts!F19</f>
        <v>82</v>
      </c>
      <c r="E16" s="18">
        <f ca="1">FantasyPts!H19</f>
        <v>255</v>
      </c>
      <c r="F16" s="18">
        <f ca="1">FantasyPts!I19</f>
        <v>15</v>
      </c>
      <c r="G16" s="18">
        <f ca="1">FantasyPts!J19</f>
        <v>6</v>
      </c>
      <c r="H16" s="19">
        <f ca="1">FantasyPts!K19</f>
        <v>72.832999999999998</v>
      </c>
      <c r="I16" s="16">
        <f t="shared" ca="1" si="0"/>
        <v>4</v>
      </c>
      <c r="J16" s="108">
        <f t="shared" ca="1" si="1"/>
        <v>-2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8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8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8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28</v>
      </c>
      <c r="C20" s="18">
        <f ca="1">FantasyPts!D23</f>
        <v>5</v>
      </c>
      <c r="D20" s="18">
        <f ca="1">FantasyPts!F23</f>
        <v>23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7</v>
      </c>
      <c r="I20" s="16">
        <f t="shared" ca="1" si="0"/>
        <v>0</v>
      </c>
      <c r="J20" s="108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8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11</v>
      </c>
      <c r="C22" s="18">
        <f ca="1">FantasyPts!D25</f>
        <v>5</v>
      </c>
      <c r="D22" s="18">
        <f ca="1">FantasyPts!F25</f>
        <v>6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1</v>
      </c>
      <c r="I22" s="16">
        <f t="shared" ca="1" si="0"/>
        <v>0</v>
      </c>
      <c r="J22" s="108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8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8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8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</v>
      </c>
      <c r="C26" s="18">
        <f ca="1">FantasyPts!D29</f>
        <v>5</v>
      </c>
      <c r="D26" s="18">
        <f ca="1">FantasyPts!F29</f>
        <v>1</v>
      </c>
      <c r="E26" s="18">
        <f ca="1">FantasyPts!H29</f>
        <v>-5</v>
      </c>
      <c r="F26" s="18">
        <f ca="1">FantasyPts!I29</f>
        <v>0</v>
      </c>
      <c r="G26" s="18">
        <f ca="1">FantasyPts!J29</f>
        <v>3</v>
      </c>
      <c r="H26" s="19">
        <f ca="1">FantasyPts!K29</f>
        <v>0.33300000000000002</v>
      </c>
      <c r="I26" s="16">
        <f t="shared" ca="1" si="0"/>
        <v>0</v>
      </c>
      <c r="J26" s="108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8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5</v>
      </c>
      <c r="C28" s="18">
        <f ca="1">FantasyPts!D31</f>
        <v>5</v>
      </c>
      <c r="D28" s="18">
        <f ca="1">FantasyPts!F31</f>
        <v>-5</v>
      </c>
      <c r="E28" s="18">
        <f ca="1">FantasyPts!H31</f>
        <v>0</v>
      </c>
      <c r="F28" s="18">
        <f ca="1">FantasyPts!I31</f>
        <v>5</v>
      </c>
      <c r="G28" s="18">
        <f ca="1">FantasyPts!J31</f>
        <v>5</v>
      </c>
      <c r="H28" s="19">
        <f ca="1">FantasyPts!K31</f>
        <v>1</v>
      </c>
      <c r="I28" s="16">
        <f t="shared" ca="1" si="0"/>
        <v>0</v>
      </c>
      <c r="J28" s="108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8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8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68</v>
      </c>
      <c r="C31" s="18">
        <f ca="1">FantasyPts!D34</f>
        <v>30</v>
      </c>
      <c r="D31" s="18">
        <f ca="1">FantasyPts!F34</f>
        <v>38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17</v>
      </c>
      <c r="I31" s="16">
        <f t="shared" ca="1" si="0"/>
        <v>1</v>
      </c>
      <c r="J31" s="108">
        <f t="shared" ca="1" si="1"/>
        <v>-3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8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8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8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8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8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8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8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8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8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8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8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3" customWidth="1"/>
    <col min="2" max="2" width="18" style="82" customWidth="1"/>
    <col min="3" max="3" width="40.5703125" style="82" bestFit="1" customWidth="1"/>
    <col min="4" max="4" width="9.7109375" style="83" customWidth="1"/>
    <col min="5" max="8" width="9" style="82" customWidth="1"/>
    <col min="9" max="9" width="12.28515625" style="82" customWidth="1"/>
    <col min="10" max="10" width="9.140625" customWidth="1"/>
    <col min="11" max="15" width="5.85546875" style="82" customWidth="1"/>
    <col min="16" max="16" width="10.5703125" style="82" customWidth="1"/>
    <col min="17" max="17" width="9" style="82" customWidth="1"/>
    <col min="18" max="18" width="11.5703125" style="82" customWidth="1"/>
    <col min="19" max="16384" width="9" style="82"/>
  </cols>
  <sheetData>
    <row r="1" spans="1:27" x14ac:dyDescent="0.25">
      <c r="A1" s="81" t="s">
        <v>210</v>
      </c>
    </row>
    <row r="2" spans="1:27" x14ac:dyDescent="0.25">
      <c r="A2" s="81"/>
    </row>
    <row r="3" spans="1:27" ht="15" x14ac:dyDescent="0.3">
      <c r="A3" s="11" t="s">
        <v>203</v>
      </c>
      <c r="B3" s="12" t="s">
        <v>95</v>
      </c>
      <c r="C3" s="12" t="s">
        <v>96</v>
      </c>
      <c r="D3" s="11" t="s">
        <v>97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2"/>
      <c r="D43" s="82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B1" sqref="B1"/>
    </sheetView>
  </sheetViews>
  <sheetFormatPr defaultRowHeight="10.5" x14ac:dyDescent="0.15"/>
  <cols>
    <col min="1" max="1" width="12.140625" customWidth="1"/>
  </cols>
  <sheetData>
    <row r="1" spans="1:2" x14ac:dyDescent="0.15">
      <c r="A1" t="s">
        <v>227</v>
      </c>
      <c r="B1" t="s">
        <v>3</v>
      </c>
    </row>
    <row r="2" spans="1:2" x14ac:dyDescent="0.15">
      <c r="A2" t="s">
        <v>184</v>
      </c>
      <c r="B2" t="s">
        <v>248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9"/>
  <sheetViews>
    <sheetView workbookViewId="0">
      <selection activeCell="A3" sqref="A3"/>
    </sheetView>
  </sheetViews>
  <sheetFormatPr defaultRowHeight="10.5" x14ac:dyDescent="0.15"/>
  <cols>
    <col min="1" max="1" width="15.140625" bestFit="1" customWidth="1"/>
    <col min="2" max="2" width="16.7109375" bestFit="1" customWidth="1"/>
    <col min="3" max="3" width="2.140625" customWidth="1"/>
    <col min="4" max="4" width="3.5703125" customWidth="1"/>
    <col min="5" max="5" width="2.7109375" customWidth="1"/>
    <col min="6" max="6" width="11.85546875" bestFit="1" customWidth="1"/>
  </cols>
  <sheetData>
    <row r="3" spans="1:6" x14ac:dyDescent="0.15">
      <c r="A3" s="154" t="s">
        <v>627</v>
      </c>
      <c r="B3" s="154" t="s">
        <v>626</v>
      </c>
    </row>
    <row r="4" spans="1:6" x14ac:dyDescent="0.15">
      <c r="A4" s="154" t="s">
        <v>623</v>
      </c>
      <c r="B4" t="s">
        <v>217</v>
      </c>
      <c r="C4" t="s">
        <v>248</v>
      </c>
      <c r="D4" t="s">
        <v>242</v>
      </c>
      <c r="E4" t="s">
        <v>254</v>
      </c>
      <c r="F4" t="s">
        <v>625</v>
      </c>
    </row>
    <row r="5" spans="1:6" x14ac:dyDescent="0.15">
      <c r="A5" s="155" t="s">
        <v>148</v>
      </c>
      <c r="B5" s="156">
        <v>4</v>
      </c>
      <c r="C5" s="156">
        <v>6</v>
      </c>
      <c r="D5" s="156">
        <v>1</v>
      </c>
      <c r="E5" s="156">
        <v>4</v>
      </c>
      <c r="F5" s="156">
        <v>15</v>
      </c>
    </row>
    <row r="6" spans="1:6" x14ac:dyDescent="0.15">
      <c r="A6" s="155" t="s">
        <v>44</v>
      </c>
      <c r="B6" s="156"/>
      <c r="C6" s="156">
        <v>1</v>
      </c>
      <c r="D6" s="156"/>
      <c r="E6" s="156">
        <v>1</v>
      </c>
      <c r="F6" s="156">
        <v>2</v>
      </c>
    </row>
    <row r="7" spans="1:6" x14ac:dyDescent="0.15">
      <c r="A7" s="155" t="s">
        <v>184</v>
      </c>
      <c r="B7" s="156"/>
      <c r="C7" s="156">
        <v>1</v>
      </c>
      <c r="D7" s="156"/>
      <c r="E7" s="156"/>
      <c r="F7" s="156">
        <v>1</v>
      </c>
    </row>
    <row r="8" spans="1:6" x14ac:dyDescent="0.15">
      <c r="A8" s="155" t="s">
        <v>624</v>
      </c>
      <c r="B8" s="156"/>
      <c r="C8" s="156">
        <v>1</v>
      </c>
      <c r="D8" s="156"/>
      <c r="E8" s="156"/>
      <c r="F8" s="156">
        <v>1</v>
      </c>
    </row>
    <row r="9" spans="1:6" x14ac:dyDescent="0.15">
      <c r="A9" s="155" t="s">
        <v>625</v>
      </c>
      <c r="B9" s="156">
        <v>4</v>
      </c>
      <c r="C9" s="156">
        <v>9</v>
      </c>
      <c r="D9" s="156">
        <v>1</v>
      </c>
      <c r="E9" s="156">
        <v>5</v>
      </c>
      <c r="F9" s="156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8"/>
  <sheetViews>
    <sheetView topLeftCell="E25" workbookViewId="0">
      <selection activeCell="H59" sqref="H59:I78"/>
    </sheetView>
  </sheetViews>
  <sheetFormatPr defaultRowHeight="10.5" x14ac:dyDescent="0.15"/>
  <sheetData>
    <row r="1" spans="1:22" x14ac:dyDescent="0.15">
      <c r="A1" t="s">
        <v>84</v>
      </c>
      <c r="B1" t="s">
        <v>14</v>
      </c>
      <c r="C1" t="s">
        <v>21</v>
      </c>
      <c r="D1" t="s">
        <v>22</v>
      </c>
      <c r="E1" t="s">
        <v>23</v>
      </c>
      <c r="F1" t="s">
        <v>24</v>
      </c>
      <c r="G1" t="s">
        <v>127</v>
      </c>
      <c r="H1" t="s">
        <v>128</v>
      </c>
    </row>
    <row r="2" spans="1:22" x14ac:dyDescent="0.15">
      <c r="A2" t="s">
        <v>269</v>
      </c>
      <c r="B2">
        <v>0</v>
      </c>
      <c r="C2">
        <v>1</v>
      </c>
      <c r="D2">
        <v>24</v>
      </c>
      <c r="E2">
        <v>3</v>
      </c>
      <c r="F2">
        <v>0</v>
      </c>
      <c r="G2">
        <v>0</v>
      </c>
      <c r="H2">
        <v>4</v>
      </c>
      <c r="J2" t="str">
        <f>C2&amp;IF(G2&gt;0," ("&amp;G2&amp;")","")</f>
        <v>1</v>
      </c>
      <c r="M2" t="s">
        <v>616</v>
      </c>
      <c r="N2" t="s">
        <v>148</v>
      </c>
      <c r="O2">
        <v>5</v>
      </c>
      <c r="Q2" t="s">
        <v>616</v>
      </c>
      <c r="R2" t="s">
        <v>148</v>
      </c>
      <c r="S2" t="s">
        <v>617</v>
      </c>
      <c r="T2" t="s">
        <v>149</v>
      </c>
      <c r="U2" t="s">
        <v>619</v>
      </c>
      <c r="V2" t="s">
        <v>218</v>
      </c>
    </row>
    <row r="3" spans="1:22" x14ac:dyDescent="0.15">
      <c r="A3" t="s">
        <v>205</v>
      </c>
      <c r="B3">
        <v>4</v>
      </c>
      <c r="C3">
        <v>5</v>
      </c>
      <c r="D3">
        <v>21</v>
      </c>
      <c r="E3">
        <v>0</v>
      </c>
      <c r="F3">
        <v>0</v>
      </c>
      <c r="G3">
        <v>4</v>
      </c>
      <c r="H3">
        <v>2</v>
      </c>
      <c r="J3" t="str">
        <f t="shared" ref="J3:J35" si="0">C3&amp;IF(G3&gt;0," ("&amp;G3&amp;")","")</f>
        <v>5 (4)</v>
      </c>
      <c r="M3" t="s">
        <v>620</v>
      </c>
      <c r="N3" t="s">
        <v>205</v>
      </c>
      <c r="O3">
        <v>5</v>
      </c>
      <c r="Q3" t="s">
        <v>620</v>
      </c>
      <c r="R3" t="s">
        <v>205</v>
      </c>
      <c r="S3" t="s">
        <v>617</v>
      </c>
      <c r="T3" t="s">
        <v>182</v>
      </c>
      <c r="U3" t="s">
        <v>619</v>
      </c>
      <c r="V3" t="s">
        <v>490</v>
      </c>
    </row>
    <row r="4" spans="1:22" x14ac:dyDescent="0.15">
      <c r="A4" t="s">
        <v>250</v>
      </c>
      <c r="B4">
        <v>0</v>
      </c>
      <c r="C4">
        <v>1</v>
      </c>
      <c r="D4">
        <v>10</v>
      </c>
      <c r="E4">
        <v>0</v>
      </c>
      <c r="F4">
        <v>0</v>
      </c>
      <c r="G4">
        <v>0</v>
      </c>
      <c r="H4">
        <v>1</v>
      </c>
      <c r="J4" t="str">
        <f t="shared" si="0"/>
        <v>1</v>
      </c>
      <c r="M4" t="s">
        <v>622</v>
      </c>
      <c r="N4" t="s">
        <v>151</v>
      </c>
      <c r="O4">
        <v>4</v>
      </c>
      <c r="Q4" t="s">
        <v>622</v>
      </c>
      <c r="R4" t="s">
        <v>151</v>
      </c>
      <c r="S4" t="s">
        <v>617</v>
      </c>
      <c r="T4" t="s">
        <v>220</v>
      </c>
      <c r="U4" t="s">
        <v>619</v>
      </c>
      <c r="V4" t="s">
        <v>401</v>
      </c>
    </row>
    <row r="5" spans="1:22" x14ac:dyDescent="0.15">
      <c r="A5" t="s">
        <v>418</v>
      </c>
      <c r="B5">
        <v>0</v>
      </c>
      <c r="C5">
        <v>2</v>
      </c>
      <c r="D5">
        <v>8</v>
      </c>
      <c r="E5">
        <v>1</v>
      </c>
      <c r="F5">
        <v>0</v>
      </c>
      <c r="G5">
        <v>0</v>
      </c>
      <c r="H5">
        <v>1</v>
      </c>
      <c r="J5" t="str">
        <f t="shared" si="0"/>
        <v>2</v>
      </c>
      <c r="M5" t="s">
        <v>618</v>
      </c>
      <c r="N5" t="s">
        <v>44</v>
      </c>
      <c r="O5">
        <v>3</v>
      </c>
      <c r="Q5" t="s">
        <v>618</v>
      </c>
      <c r="R5" t="s">
        <v>44</v>
      </c>
      <c r="S5" t="s">
        <v>619</v>
      </c>
      <c r="T5" t="s">
        <v>232</v>
      </c>
      <c r="U5" t="s">
        <v>619</v>
      </c>
      <c r="V5" t="s">
        <v>269</v>
      </c>
    </row>
    <row r="6" spans="1:22" x14ac:dyDescent="0.15">
      <c r="A6" t="s">
        <v>151</v>
      </c>
      <c r="B6">
        <v>1</v>
      </c>
      <c r="C6">
        <v>4</v>
      </c>
      <c r="D6">
        <v>6</v>
      </c>
      <c r="E6">
        <v>3</v>
      </c>
      <c r="F6">
        <v>1</v>
      </c>
      <c r="G6">
        <v>0</v>
      </c>
      <c r="H6">
        <v>1</v>
      </c>
      <c r="J6" t="str">
        <f t="shared" si="0"/>
        <v>4</v>
      </c>
      <c r="M6" t="s">
        <v>618</v>
      </c>
      <c r="N6" t="s">
        <v>234</v>
      </c>
      <c r="O6">
        <v>3</v>
      </c>
      <c r="Q6" t="s">
        <v>618</v>
      </c>
      <c r="R6" t="s">
        <v>234</v>
      </c>
      <c r="S6" t="s">
        <v>619</v>
      </c>
      <c r="T6" t="s">
        <v>231</v>
      </c>
      <c r="U6" t="s">
        <v>619</v>
      </c>
      <c r="V6" t="s">
        <v>349</v>
      </c>
    </row>
    <row r="7" spans="1:22" x14ac:dyDescent="0.15">
      <c r="A7" t="s">
        <v>315</v>
      </c>
      <c r="B7">
        <v>0</v>
      </c>
      <c r="C7">
        <v>0</v>
      </c>
      <c r="D7">
        <v>6</v>
      </c>
      <c r="E7">
        <v>1</v>
      </c>
      <c r="F7">
        <v>0</v>
      </c>
      <c r="G7">
        <v>0</v>
      </c>
      <c r="H7">
        <v>1</v>
      </c>
      <c r="J7" t="str">
        <f t="shared" si="0"/>
        <v>0</v>
      </c>
      <c r="M7" t="s">
        <v>618</v>
      </c>
      <c r="N7" t="s">
        <v>442</v>
      </c>
      <c r="O7">
        <v>3</v>
      </c>
      <c r="Q7" t="s">
        <v>618</v>
      </c>
      <c r="R7" t="s">
        <v>442</v>
      </c>
      <c r="S7" t="s">
        <v>619</v>
      </c>
      <c r="T7" t="s">
        <v>250</v>
      </c>
      <c r="U7" t="s">
        <v>619</v>
      </c>
      <c r="V7" t="s">
        <v>153</v>
      </c>
    </row>
    <row r="8" spans="1:22" x14ac:dyDescent="0.15">
      <c r="A8" t="s">
        <v>229</v>
      </c>
      <c r="B8">
        <v>7</v>
      </c>
      <c r="C8">
        <v>1</v>
      </c>
      <c r="D8">
        <v>5</v>
      </c>
      <c r="E8">
        <v>0</v>
      </c>
      <c r="F8">
        <v>0</v>
      </c>
      <c r="G8">
        <v>1</v>
      </c>
      <c r="H8">
        <v>1</v>
      </c>
      <c r="J8" t="str">
        <f t="shared" si="0"/>
        <v>1 (1)</v>
      </c>
      <c r="M8" t="s">
        <v>617</v>
      </c>
      <c r="N8" t="s">
        <v>418</v>
      </c>
      <c r="O8">
        <v>2</v>
      </c>
      <c r="Q8" t="s">
        <v>617</v>
      </c>
      <c r="R8" t="s">
        <v>418</v>
      </c>
      <c r="S8" t="s">
        <v>621</v>
      </c>
      <c r="T8" t="s">
        <v>229</v>
      </c>
      <c r="U8" t="s">
        <v>621</v>
      </c>
      <c r="V8" t="s">
        <v>154</v>
      </c>
    </row>
    <row r="9" spans="1:22" x14ac:dyDescent="0.15">
      <c r="A9" t="s">
        <v>401</v>
      </c>
      <c r="B9">
        <v>0</v>
      </c>
      <c r="C9">
        <v>1</v>
      </c>
      <c r="D9">
        <v>4</v>
      </c>
      <c r="E9">
        <v>1</v>
      </c>
      <c r="F9">
        <v>0</v>
      </c>
      <c r="G9">
        <v>0</v>
      </c>
      <c r="H9">
        <v>1</v>
      </c>
      <c r="J9" t="str">
        <f t="shared" si="0"/>
        <v>1</v>
      </c>
      <c r="M9" t="s">
        <v>617</v>
      </c>
      <c r="N9" t="s">
        <v>149</v>
      </c>
      <c r="O9">
        <v>2</v>
      </c>
    </row>
    <row r="10" spans="1:22" x14ac:dyDescent="0.15">
      <c r="A10" t="s">
        <v>442</v>
      </c>
      <c r="B10">
        <v>0</v>
      </c>
      <c r="C10">
        <v>3</v>
      </c>
      <c r="D10">
        <v>4</v>
      </c>
      <c r="E10">
        <v>1</v>
      </c>
      <c r="F10">
        <v>0</v>
      </c>
      <c r="G10">
        <v>0</v>
      </c>
      <c r="H10">
        <v>1</v>
      </c>
      <c r="J10" t="str">
        <f t="shared" si="0"/>
        <v>3</v>
      </c>
      <c r="M10" t="s">
        <v>617</v>
      </c>
      <c r="N10" t="s">
        <v>182</v>
      </c>
      <c r="O10">
        <v>2</v>
      </c>
    </row>
    <row r="11" spans="1:22" x14ac:dyDescent="0.15">
      <c r="A11" t="s">
        <v>149</v>
      </c>
      <c r="B11">
        <v>0</v>
      </c>
      <c r="C11">
        <v>2</v>
      </c>
      <c r="D11">
        <v>3</v>
      </c>
      <c r="E11">
        <v>0</v>
      </c>
      <c r="F11">
        <v>0</v>
      </c>
      <c r="G11">
        <v>0</v>
      </c>
      <c r="H11">
        <v>1</v>
      </c>
      <c r="J11" t="str">
        <f t="shared" si="0"/>
        <v>2</v>
      </c>
      <c r="M11" t="s">
        <v>617</v>
      </c>
      <c r="N11" t="s">
        <v>220</v>
      </c>
      <c r="O11">
        <v>2</v>
      </c>
    </row>
    <row r="12" spans="1:22" x14ac:dyDescent="0.15">
      <c r="A12" t="s">
        <v>535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1</v>
      </c>
      <c r="J12" t="str">
        <f t="shared" si="0"/>
        <v>0</v>
      </c>
      <c r="M12" t="s">
        <v>619</v>
      </c>
      <c r="N12" t="s">
        <v>232</v>
      </c>
      <c r="O12">
        <v>1</v>
      </c>
    </row>
    <row r="13" spans="1:22" x14ac:dyDescent="0.15">
      <c r="A13" t="s">
        <v>182</v>
      </c>
      <c r="B13">
        <v>0</v>
      </c>
      <c r="C13">
        <v>2</v>
      </c>
      <c r="D13">
        <v>10</v>
      </c>
      <c r="E13">
        <v>0</v>
      </c>
      <c r="F13">
        <v>0</v>
      </c>
      <c r="G13">
        <v>0</v>
      </c>
      <c r="H13">
        <v>0</v>
      </c>
      <c r="J13" t="str">
        <f t="shared" si="0"/>
        <v>2</v>
      </c>
      <c r="M13" t="s">
        <v>619</v>
      </c>
      <c r="N13" t="s">
        <v>231</v>
      </c>
      <c r="O13">
        <v>1</v>
      </c>
    </row>
    <row r="14" spans="1:22" x14ac:dyDescent="0.15">
      <c r="A14" t="s">
        <v>148</v>
      </c>
      <c r="B14">
        <v>0</v>
      </c>
      <c r="C14">
        <v>5</v>
      </c>
      <c r="D14">
        <v>6</v>
      </c>
      <c r="E14">
        <v>0</v>
      </c>
      <c r="F14">
        <v>0</v>
      </c>
      <c r="G14">
        <v>0</v>
      </c>
      <c r="H14">
        <v>0</v>
      </c>
      <c r="J14" t="str">
        <f t="shared" si="0"/>
        <v>5</v>
      </c>
      <c r="M14" t="s">
        <v>619</v>
      </c>
      <c r="N14" t="s">
        <v>250</v>
      </c>
      <c r="O14">
        <v>1</v>
      </c>
    </row>
    <row r="15" spans="1:22" x14ac:dyDescent="0.15">
      <c r="A15" t="s">
        <v>184</v>
      </c>
      <c r="B15">
        <v>0</v>
      </c>
      <c r="C15">
        <v>0</v>
      </c>
      <c r="D15">
        <v>6</v>
      </c>
      <c r="E15">
        <v>0</v>
      </c>
      <c r="F15">
        <v>0</v>
      </c>
      <c r="G15">
        <v>0</v>
      </c>
      <c r="H15">
        <v>0</v>
      </c>
      <c r="J15" t="str">
        <f t="shared" si="0"/>
        <v>0</v>
      </c>
      <c r="M15" t="s">
        <v>621</v>
      </c>
      <c r="N15" t="s">
        <v>229</v>
      </c>
      <c r="O15">
        <v>1</v>
      </c>
    </row>
    <row r="16" spans="1:22" x14ac:dyDescent="0.15">
      <c r="A16" t="s">
        <v>44</v>
      </c>
      <c r="B16">
        <v>0</v>
      </c>
      <c r="C16">
        <v>3</v>
      </c>
      <c r="D16">
        <v>5</v>
      </c>
      <c r="E16">
        <v>0</v>
      </c>
      <c r="F16">
        <v>0</v>
      </c>
      <c r="G16">
        <v>0</v>
      </c>
      <c r="H16">
        <v>0</v>
      </c>
      <c r="J16" t="str">
        <f t="shared" si="0"/>
        <v>3</v>
      </c>
      <c r="M16" t="s">
        <v>619</v>
      </c>
      <c r="N16" t="s">
        <v>218</v>
      </c>
      <c r="O16">
        <v>1</v>
      </c>
    </row>
    <row r="17" spans="1:15" x14ac:dyDescent="0.15">
      <c r="A17" t="s">
        <v>228</v>
      </c>
      <c r="B17">
        <v>0</v>
      </c>
      <c r="C17">
        <v>0</v>
      </c>
      <c r="D17">
        <v>5</v>
      </c>
      <c r="E17">
        <v>0</v>
      </c>
      <c r="F17">
        <v>0</v>
      </c>
      <c r="G17">
        <v>0</v>
      </c>
      <c r="H17">
        <v>0</v>
      </c>
      <c r="J17" t="str">
        <f t="shared" si="0"/>
        <v>0</v>
      </c>
      <c r="M17" t="s">
        <v>619</v>
      </c>
      <c r="N17" t="s">
        <v>490</v>
      </c>
      <c r="O17">
        <v>1</v>
      </c>
    </row>
    <row r="18" spans="1:15" x14ac:dyDescent="0.15">
      <c r="A18" t="s">
        <v>220</v>
      </c>
      <c r="B18">
        <v>0</v>
      </c>
      <c r="C18">
        <v>2</v>
      </c>
      <c r="D18">
        <v>4</v>
      </c>
      <c r="E18">
        <v>1</v>
      </c>
      <c r="F18">
        <v>0</v>
      </c>
      <c r="G18">
        <v>0</v>
      </c>
      <c r="H18">
        <v>0</v>
      </c>
      <c r="J18" t="str">
        <f t="shared" si="0"/>
        <v>2</v>
      </c>
      <c r="M18" t="s">
        <v>619</v>
      </c>
      <c r="N18" t="s">
        <v>401</v>
      </c>
      <c r="O18">
        <v>1</v>
      </c>
    </row>
    <row r="19" spans="1:15" x14ac:dyDescent="0.15">
      <c r="A19" t="s">
        <v>232</v>
      </c>
      <c r="B19">
        <v>0</v>
      </c>
      <c r="C19">
        <v>1</v>
      </c>
      <c r="D19">
        <v>4</v>
      </c>
      <c r="E19">
        <v>0</v>
      </c>
      <c r="F19">
        <v>0</v>
      </c>
      <c r="G19">
        <v>0</v>
      </c>
      <c r="H19">
        <v>0</v>
      </c>
      <c r="J19" t="str">
        <f t="shared" si="0"/>
        <v>1</v>
      </c>
      <c r="M19" t="s">
        <v>619</v>
      </c>
      <c r="N19" t="s">
        <v>269</v>
      </c>
      <c r="O19">
        <v>1</v>
      </c>
    </row>
    <row r="20" spans="1:15" x14ac:dyDescent="0.15">
      <c r="A20" t="s">
        <v>234</v>
      </c>
      <c r="B20">
        <v>0</v>
      </c>
      <c r="C20">
        <v>3</v>
      </c>
      <c r="D20">
        <v>4</v>
      </c>
      <c r="E20">
        <v>0</v>
      </c>
      <c r="F20">
        <v>0</v>
      </c>
      <c r="G20">
        <v>0</v>
      </c>
      <c r="H20">
        <v>0</v>
      </c>
      <c r="J20" t="str">
        <f t="shared" si="0"/>
        <v>3</v>
      </c>
      <c r="M20" t="s">
        <v>619</v>
      </c>
      <c r="N20" t="s">
        <v>349</v>
      </c>
      <c r="O20">
        <v>1</v>
      </c>
    </row>
    <row r="21" spans="1:15" x14ac:dyDescent="0.15">
      <c r="A21" t="s">
        <v>154</v>
      </c>
      <c r="B21">
        <v>5</v>
      </c>
      <c r="C21">
        <v>1</v>
      </c>
      <c r="D21">
        <v>4</v>
      </c>
      <c r="E21">
        <v>0</v>
      </c>
      <c r="F21">
        <v>0</v>
      </c>
      <c r="G21">
        <v>1</v>
      </c>
      <c r="H21">
        <v>0</v>
      </c>
      <c r="J21" t="str">
        <f t="shared" si="0"/>
        <v>1 (1)</v>
      </c>
      <c r="M21" t="s">
        <v>619</v>
      </c>
      <c r="N21" t="s">
        <v>153</v>
      </c>
      <c r="O21">
        <v>1</v>
      </c>
    </row>
    <row r="22" spans="1:15" x14ac:dyDescent="0.15">
      <c r="A22" t="s">
        <v>349</v>
      </c>
      <c r="B22">
        <v>0</v>
      </c>
      <c r="C22">
        <v>1</v>
      </c>
      <c r="D22">
        <v>3</v>
      </c>
      <c r="E22">
        <v>0</v>
      </c>
      <c r="F22">
        <v>0</v>
      </c>
      <c r="G22">
        <v>0</v>
      </c>
      <c r="H22">
        <v>0</v>
      </c>
      <c r="J22" t="str">
        <f t="shared" si="0"/>
        <v>1</v>
      </c>
      <c r="M22" t="s">
        <v>621</v>
      </c>
      <c r="N22" t="s">
        <v>154</v>
      </c>
      <c r="O22">
        <v>1</v>
      </c>
    </row>
    <row r="23" spans="1:15" x14ac:dyDescent="0.15">
      <c r="A23" t="s">
        <v>239</v>
      </c>
      <c r="B23">
        <v>0</v>
      </c>
      <c r="C23">
        <v>0</v>
      </c>
      <c r="D23">
        <v>2</v>
      </c>
      <c r="E23">
        <v>0</v>
      </c>
      <c r="F23">
        <v>0</v>
      </c>
      <c r="G23">
        <v>0</v>
      </c>
      <c r="H23">
        <v>0</v>
      </c>
      <c r="J23" t="str">
        <f t="shared" si="0"/>
        <v>0</v>
      </c>
      <c r="M23" t="s">
        <v>615</v>
      </c>
      <c r="N23" t="s">
        <v>147</v>
      </c>
      <c r="O23">
        <v>0</v>
      </c>
    </row>
    <row r="24" spans="1:15" x14ac:dyDescent="0.15">
      <c r="A24" t="s">
        <v>382</v>
      </c>
      <c r="B24">
        <v>0</v>
      </c>
      <c r="C24">
        <v>0</v>
      </c>
      <c r="D24">
        <v>2</v>
      </c>
      <c r="E24">
        <v>0</v>
      </c>
      <c r="F24">
        <v>0</v>
      </c>
      <c r="G24">
        <v>0</v>
      </c>
      <c r="H24">
        <v>0</v>
      </c>
      <c r="J24" t="str">
        <f t="shared" si="0"/>
        <v>0</v>
      </c>
      <c r="M24" t="s">
        <v>615</v>
      </c>
      <c r="N24" t="s">
        <v>239</v>
      </c>
      <c r="O24">
        <v>0</v>
      </c>
    </row>
    <row r="25" spans="1:15" x14ac:dyDescent="0.15">
      <c r="A25" t="s">
        <v>218</v>
      </c>
      <c r="B25">
        <v>0</v>
      </c>
      <c r="C25">
        <v>1</v>
      </c>
      <c r="D25">
        <v>2</v>
      </c>
      <c r="E25">
        <v>0</v>
      </c>
      <c r="F25">
        <v>0</v>
      </c>
      <c r="G25">
        <v>0</v>
      </c>
      <c r="H25">
        <v>0</v>
      </c>
      <c r="J25" t="str">
        <f t="shared" si="0"/>
        <v>1</v>
      </c>
      <c r="M25" t="s">
        <v>615</v>
      </c>
      <c r="N25" t="s">
        <v>382</v>
      </c>
      <c r="O25">
        <v>0</v>
      </c>
    </row>
    <row r="26" spans="1:15" x14ac:dyDescent="0.15">
      <c r="A26" t="s">
        <v>150</v>
      </c>
      <c r="B26">
        <v>0</v>
      </c>
      <c r="C26">
        <v>0</v>
      </c>
      <c r="D26">
        <v>2</v>
      </c>
      <c r="E26">
        <v>0</v>
      </c>
      <c r="F26">
        <v>0</v>
      </c>
      <c r="G26">
        <v>0</v>
      </c>
      <c r="H26">
        <v>0</v>
      </c>
      <c r="J26" t="str">
        <f t="shared" si="0"/>
        <v>0</v>
      </c>
      <c r="M26" t="s">
        <v>615</v>
      </c>
      <c r="N26" t="s">
        <v>273</v>
      </c>
      <c r="O26">
        <v>0</v>
      </c>
    </row>
    <row r="27" spans="1:15" x14ac:dyDescent="0.15">
      <c r="A27" t="s">
        <v>273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J27" t="str">
        <f t="shared" si="0"/>
        <v>0</v>
      </c>
      <c r="M27" t="s">
        <v>615</v>
      </c>
      <c r="N27" t="s">
        <v>570</v>
      </c>
      <c r="O27">
        <v>0</v>
      </c>
    </row>
    <row r="28" spans="1:15" x14ac:dyDescent="0.15">
      <c r="A28" t="s">
        <v>48</v>
      </c>
      <c r="B28">
        <v>0</v>
      </c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J28" t="str">
        <f t="shared" si="0"/>
        <v>0</v>
      </c>
      <c r="M28" t="s">
        <v>615</v>
      </c>
      <c r="N28" t="s">
        <v>563</v>
      </c>
      <c r="O28">
        <v>0</v>
      </c>
    </row>
    <row r="29" spans="1:15" x14ac:dyDescent="0.15">
      <c r="A29" t="s">
        <v>147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J29" t="str">
        <f t="shared" si="0"/>
        <v>0</v>
      </c>
      <c r="M29" t="s">
        <v>615</v>
      </c>
      <c r="N29" t="s">
        <v>48</v>
      </c>
      <c r="O29">
        <v>0</v>
      </c>
    </row>
    <row r="30" spans="1:15" x14ac:dyDescent="0.15">
      <c r="A30" t="s">
        <v>231</v>
      </c>
      <c r="B30">
        <v>0</v>
      </c>
      <c r="C30">
        <v>1</v>
      </c>
      <c r="D30">
        <v>0</v>
      </c>
      <c r="E30">
        <v>0</v>
      </c>
      <c r="F30">
        <v>0</v>
      </c>
      <c r="G30">
        <v>0</v>
      </c>
      <c r="H30">
        <v>0</v>
      </c>
      <c r="J30" t="str">
        <f t="shared" si="0"/>
        <v>1</v>
      </c>
      <c r="M30" t="s">
        <v>615</v>
      </c>
      <c r="N30" t="s">
        <v>184</v>
      </c>
      <c r="O30">
        <v>0</v>
      </c>
    </row>
    <row r="31" spans="1:15" x14ac:dyDescent="0.15">
      <c r="A31" t="s">
        <v>570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 t="str">
        <f t="shared" si="0"/>
        <v>0</v>
      </c>
      <c r="M31" t="s">
        <v>615</v>
      </c>
      <c r="N31" t="s">
        <v>150</v>
      </c>
      <c r="O31">
        <v>0</v>
      </c>
    </row>
    <row r="32" spans="1:15" x14ac:dyDescent="0.15">
      <c r="A32" t="s">
        <v>563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J32" t="str">
        <f t="shared" si="0"/>
        <v>0</v>
      </c>
      <c r="M32" t="s">
        <v>615</v>
      </c>
      <c r="N32" t="s">
        <v>535</v>
      </c>
      <c r="O32">
        <v>0</v>
      </c>
    </row>
    <row r="33" spans="1:15" x14ac:dyDescent="0.15">
      <c r="A33" t="s">
        <v>490</v>
      </c>
      <c r="B33">
        <v>0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J33" t="str">
        <f t="shared" si="0"/>
        <v>1</v>
      </c>
      <c r="M33" t="s">
        <v>615</v>
      </c>
      <c r="N33" t="s">
        <v>228</v>
      </c>
      <c r="O33">
        <v>0</v>
      </c>
    </row>
    <row r="34" spans="1:15" x14ac:dyDescent="0.15">
      <c r="A34" t="s">
        <v>214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J34" t="str">
        <f t="shared" si="0"/>
        <v>0</v>
      </c>
      <c r="M34" t="s">
        <v>615</v>
      </c>
      <c r="N34" t="s">
        <v>315</v>
      </c>
      <c r="O34">
        <v>0</v>
      </c>
    </row>
    <row r="35" spans="1:15" x14ac:dyDescent="0.15">
      <c r="A35" t="s">
        <v>153</v>
      </c>
      <c r="B35">
        <v>0</v>
      </c>
      <c r="C35">
        <v>1</v>
      </c>
      <c r="D35">
        <v>0</v>
      </c>
      <c r="E35">
        <v>0</v>
      </c>
      <c r="F35">
        <v>0</v>
      </c>
      <c r="G35">
        <v>0</v>
      </c>
      <c r="H35">
        <v>0</v>
      </c>
      <c r="J35" t="str">
        <f t="shared" si="0"/>
        <v>1</v>
      </c>
      <c r="M35" t="s">
        <v>615</v>
      </c>
      <c r="N35" t="s">
        <v>214</v>
      </c>
      <c r="O35">
        <v>0</v>
      </c>
    </row>
    <row r="42" spans="1:15" x14ac:dyDescent="0.15">
      <c r="B42" t="s">
        <v>182</v>
      </c>
      <c r="C42">
        <v>4</v>
      </c>
      <c r="F42">
        <v>17</v>
      </c>
      <c r="G42" t="s">
        <v>44</v>
      </c>
      <c r="H42">
        <v>7</v>
      </c>
      <c r="I42" t="s">
        <v>418</v>
      </c>
      <c r="J42">
        <v>4</v>
      </c>
      <c r="K42" t="s">
        <v>490</v>
      </c>
      <c r="L42">
        <v>1</v>
      </c>
      <c r="M42" t="s">
        <v>570</v>
      </c>
    </row>
    <row r="43" spans="1:15" x14ac:dyDescent="0.15">
      <c r="B43" t="s">
        <v>220</v>
      </c>
      <c r="C43">
        <v>3</v>
      </c>
      <c r="F43">
        <v>16</v>
      </c>
      <c r="G43" t="s">
        <v>148</v>
      </c>
      <c r="H43">
        <v>7</v>
      </c>
      <c r="I43" t="s">
        <v>149</v>
      </c>
      <c r="J43">
        <v>4</v>
      </c>
      <c r="K43" t="s">
        <v>442</v>
      </c>
      <c r="L43">
        <v>1</v>
      </c>
      <c r="M43" t="s">
        <v>250</v>
      </c>
    </row>
    <row r="44" spans="1:15" x14ac:dyDescent="0.15">
      <c r="B44" t="s">
        <v>231</v>
      </c>
      <c r="C44">
        <v>2</v>
      </c>
      <c r="F44">
        <v>16</v>
      </c>
      <c r="G44" t="s">
        <v>220</v>
      </c>
      <c r="H44">
        <v>7</v>
      </c>
      <c r="I44" t="s">
        <v>232</v>
      </c>
      <c r="J44">
        <v>3</v>
      </c>
      <c r="K44" t="s">
        <v>228</v>
      </c>
      <c r="L44">
        <v>1</v>
      </c>
      <c r="M44" t="s">
        <v>563</v>
      </c>
    </row>
    <row r="45" spans="1:15" x14ac:dyDescent="0.15">
      <c r="B45" t="s">
        <v>229</v>
      </c>
      <c r="C45">
        <v>2</v>
      </c>
      <c r="F45">
        <v>14</v>
      </c>
      <c r="G45" t="s">
        <v>229</v>
      </c>
      <c r="H45">
        <v>7</v>
      </c>
      <c r="I45" t="s">
        <v>218</v>
      </c>
      <c r="J45">
        <v>3</v>
      </c>
      <c r="K45" t="s">
        <v>349</v>
      </c>
      <c r="L45">
        <v>1</v>
      </c>
      <c r="M45" t="s">
        <v>48</v>
      </c>
    </row>
    <row r="46" spans="1:15" x14ac:dyDescent="0.15">
      <c r="B46" t="s">
        <v>184</v>
      </c>
      <c r="C46">
        <v>2</v>
      </c>
      <c r="F46">
        <v>14</v>
      </c>
      <c r="G46" t="s">
        <v>234</v>
      </c>
      <c r="H46">
        <v>7</v>
      </c>
      <c r="I46" t="s">
        <v>269</v>
      </c>
      <c r="J46">
        <v>2</v>
      </c>
      <c r="K46" t="s">
        <v>382</v>
      </c>
      <c r="L46">
        <v>1</v>
      </c>
      <c r="M46" t="s">
        <v>150</v>
      </c>
    </row>
    <row r="47" spans="1:15" x14ac:dyDescent="0.15">
      <c r="B47" t="s">
        <v>151</v>
      </c>
      <c r="C47">
        <v>2</v>
      </c>
      <c r="F47">
        <v>13</v>
      </c>
      <c r="G47" t="s">
        <v>182</v>
      </c>
      <c r="H47">
        <v>7</v>
      </c>
      <c r="I47" t="s">
        <v>151</v>
      </c>
      <c r="J47">
        <v>2</v>
      </c>
      <c r="K47" t="s">
        <v>401</v>
      </c>
      <c r="L47">
        <v>1</v>
      </c>
      <c r="M47" t="s">
        <v>535</v>
      </c>
    </row>
    <row r="48" spans="1:15" x14ac:dyDescent="0.15">
      <c r="B48" t="s">
        <v>418</v>
      </c>
      <c r="C48">
        <v>1</v>
      </c>
      <c r="F48">
        <v>10</v>
      </c>
      <c r="G48" t="s">
        <v>205</v>
      </c>
      <c r="H48">
        <v>6</v>
      </c>
      <c r="I48" t="s">
        <v>315</v>
      </c>
      <c r="J48">
        <v>2</v>
      </c>
      <c r="K48" t="s">
        <v>214</v>
      </c>
      <c r="L48">
        <v>1</v>
      </c>
      <c r="M48" t="s">
        <v>153</v>
      </c>
    </row>
    <row r="49" spans="2:11" x14ac:dyDescent="0.15">
      <c r="B49" t="s">
        <v>149</v>
      </c>
      <c r="C49">
        <v>1</v>
      </c>
      <c r="F49">
        <v>10</v>
      </c>
      <c r="G49" t="s">
        <v>184</v>
      </c>
      <c r="H49">
        <v>6</v>
      </c>
      <c r="I49" t="s">
        <v>154</v>
      </c>
      <c r="J49">
        <v>1</v>
      </c>
      <c r="K49" t="s">
        <v>147</v>
      </c>
    </row>
    <row r="50" spans="2:11" x14ac:dyDescent="0.15">
      <c r="B50" t="s">
        <v>44</v>
      </c>
      <c r="C50">
        <v>1</v>
      </c>
      <c r="F50">
        <v>7</v>
      </c>
      <c r="G50" t="s">
        <v>239</v>
      </c>
      <c r="H50">
        <v>4</v>
      </c>
      <c r="I50" t="s">
        <v>231</v>
      </c>
      <c r="J50">
        <v>1</v>
      </c>
      <c r="K50" t="s">
        <v>273</v>
      </c>
    </row>
    <row r="51" spans="2:11" x14ac:dyDescent="0.15">
      <c r="B51" t="s">
        <v>232</v>
      </c>
      <c r="C51">
        <v>1</v>
      </c>
    </row>
    <row r="52" spans="2:11" x14ac:dyDescent="0.15">
      <c r="B52" t="s">
        <v>218</v>
      </c>
      <c r="C52">
        <v>1</v>
      </c>
    </row>
    <row r="53" spans="2:11" x14ac:dyDescent="0.15">
      <c r="B53" t="s">
        <v>269</v>
      </c>
      <c r="C53">
        <v>1</v>
      </c>
    </row>
    <row r="54" spans="2:11" x14ac:dyDescent="0.15">
      <c r="B54" t="s">
        <v>214</v>
      </c>
      <c r="C54">
        <v>1</v>
      </c>
    </row>
    <row r="55" spans="2:11" x14ac:dyDescent="0.15">
      <c r="B55" t="s">
        <v>153</v>
      </c>
      <c r="C55">
        <v>1</v>
      </c>
    </row>
    <row r="56" spans="2:11" x14ac:dyDescent="0.15">
      <c r="B56" t="s">
        <v>147</v>
      </c>
      <c r="C56">
        <v>0</v>
      </c>
    </row>
    <row r="57" spans="2:11" x14ac:dyDescent="0.15">
      <c r="B57" t="s">
        <v>239</v>
      </c>
      <c r="C57">
        <v>0</v>
      </c>
    </row>
    <row r="58" spans="2:11" x14ac:dyDescent="0.15">
      <c r="B58" t="s">
        <v>382</v>
      </c>
      <c r="C58">
        <v>0</v>
      </c>
    </row>
    <row r="59" spans="2:11" x14ac:dyDescent="0.15">
      <c r="B59" t="s">
        <v>148</v>
      </c>
      <c r="C59">
        <v>0</v>
      </c>
      <c r="G59" t="s">
        <v>130</v>
      </c>
      <c r="H59" t="s">
        <v>227</v>
      </c>
      <c r="I59" t="s">
        <v>3</v>
      </c>
    </row>
    <row r="60" spans="2:11" x14ac:dyDescent="0.15">
      <c r="B60" t="s">
        <v>273</v>
      </c>
      <c r="C60">
        <v>0</v>
      </c>
      <c r="G60">
        <v>1</v>
      </c>
      <c r="H60" t="s">
        <v>148</v>
      </c>
      <c r="I60" t="s">
        <v>242</v>
      </c>
    </row>
    <row r="61" spans="2:11" x14ac:dyDescent="0.15">
      <c r="B61" t="s">
        <v>570</v>
      </c>
      <c r="C61">
        <v>0</v>
      </c>
      <c r="G61">
        <v>1</v>
      </c>
      <c r="H61" t="s">
        <v>148</v>
      </c>
      <c r="I61" t="s">
        <v>248</v>
      </c>
    </row>
    <row r="62" spans="2:11" x14ac:dyDescent="0.15">
      <c r="B62" t="s">
        <v>250</v>
      </c>
      <c r="C62">
        <v>0</v>
      </c>
      <c r="G62">
        <v>1</v>
      </c>
      <c r="H62" t="s">
        <v>148</v>
      </c>
      <c r="I62" t="s">
        <v>248</v>
      </c>
    </row>
    <row r="63" spans="2:11" x14ac:dyDescent="0.15">
      <c r="B63" t="s">
        <v>563</v>
      </c>
      <c r="C63">
        <v>0</v>
      </c>
      <c r="G63">
        <v>1</v>
      </c>
      <c r="H63" t="s">
        <v>148</v>
      </c>
      <c r="I63" t="s">
        <v>248</v>
      </c>
    </row>
    <row r="64" spans="2:11" x14ac:dyDescent="0.15">
      <c r="B64" t="s">
        <v>205</v>
      </c>
      <c r="C64">
        <v>0</v>
      </c>
      <c r="G64">
        <v>1</v>
      </c>
      <c r="H64" t="s">
        <v>148</v>
      </c>
      <c r="I64" t="s">
        <v>217</v>
      </c>
    </row>
    <row r="65" spans="2:9" x14ac:dyDescent="0.15">
      <c r="B65" t="s">
        <v>48</v>
      </c>
      <c r="C65">
        <v>0</v>
      </c>
      <c r="G65">
        <v>1</v>
      </c>
      <c r="H65" t="s">
        <v>148</v>
      </c>
      <c r="I65" t="s">
        <v>248</v>
      </c>
    </row>
    <row r="66" spans="2:9" x14ac:dyDescent="0.15">
      <c r="B66" t="s">
        <v>150</v>
      </c>
      <c r="C66">
        <v>0</v>
      </c>
      <c r="G66">
        <v>1</v>
      </c>
      <c r="H66" t="s">
        <v>148</v>
      </c>
      <c r="I66" t="s">
        <v>254</v>
      </c>
    </row>
    <row r="67" spans="2:9" x14ac:dyDescent="0.15">
      <c r="B67" t="s">
        <v>490</v>
      </c>
      <c r="C67">
        <v>0</v>
      </c>
      <c r="G67">
        <v>1</v>
      </c>
      <c r="H67" t="s">
        <v>148</v>
      </c>
      <c r="I67" t="s">
        <v>254</v>
      </c>
    </row>
    <row r="68" spans="2:9" x14ac:dyDescent="0.15">
      <c r="B68" t="s">
        <v>401</v>
      </c>
      <c r="C68">
        <v>0</v>
      </c>
      <c r="G68">
        <v>0</v>
      </c>
      <c r="H68" t="s">
        <v>148</v>
      </c>
      <c r="I68" t="s">
        <v>248</v>
      </c>
    </row>
    <row r="69" spans="2:9" x14ac:dyDescent="0.15">
      <c r="B69" t="s">
        <v>535</v>
      </c>
      <c r="C69">
        <v>0</v>
      </c>
      <c r="G69">
        <v>1</v>
      </c>
      <c r="H69" t="s">
        <v>148</v>
      </c>
      <c r="I69" t="s">
        <v>217</v>
      </c>
    </row>
    <row r="70" spans="2:9" x14ac:dyDescent="0.15">
      <c r="B70" t="s">
        <v>228</v>
      </c>
      <c r="C70">
        <v>0</v>
      </c>
      <c r="G70">
        <v>1</v>
      </c>
      <c r="H70" t="s">
        <v>148</v>
      </c>
      <c r="I70" t="s">
        <v>217</v>
      </c>
    </row>
    <row r="71" spans="2:9" x14ac:dyDescent="0.15">
      <c r="B71" t="s">
        <v>234</v>
      </c>
      <c r="C71">
        <v>0</v>
      </c>
      <c r="G71">
        <v>1</v>
      </c>
      <c r="H71" t="s">
        <v>148</v>
      </c>
      <c r="I71" t="s">
        <v>217</v>
      </c>
    </row>
    <row r="72" spans="2:9" x14ac:dyDescent="0.15">
      <c r="B72" t="s">
        <v>349</v>
      </c>
      <c r="C72">
        <v>0</v>
      </c>
      <c r="G72">
        <v>1</v>
      </c>
      <c r="H72" t="s">
        <v>148</v>
      </c>
      <c r="I72" t="s">
        <v>254</v>
      </c>
    </row>
    <row r="73" spans="2:9" x14ac:dyDescent="0.15">
      <c r="B73" t="s">
        <v>315</v>
      </c>
      <c r="C73">
        <v>0</v>
      </c>
      <c r="G73">
        <v>1</v>
      </c>
      <c r="H73" t="s">
        <v>148</v>
      </c>
      <c r="I73" t="s">
        <v>254</v>
      </c>
    </row>
    <row r="74" spans="2:9" x14ac:dyDescent="0.15">
      <c r="B74" t="s">
        <v>154</v>
      </c>
      <c r="C74">
        <v>0</v>
      </c>
      <c r="G74">
        <v>1</v>
      </c>
      <c r="H74" t="s">
        <v>148</v>
      </c>
      <c r="I74" t="s">
        <v>248</v>
      </c>
    </row>
    <row r="75" spans="2:9" x14ac:dyDescent="0.15">
      <c r="B75" t="s">
        <v>442</v>
      </c>
      <c r="C75">
        <v>0</v>
      </c>
      <c r="G75">
        <v>1</v>
      </c>
      <c r="H75" t="s">
        <v>44</v>
      </c>
      <c r="I75" t="s">
        <v>248</v>
      </c>
    </row>
    <row r="76" spans="2:9" x14ac:dyDescent="0.15">
      <c r="G76">
        <v>1</v>
      </c>
      <c r="H76" t="s">
        <v>44</v>
      </c>
      <c r="I76" t="s">
        <v>254</v>
      </c>
    </row>
    <row r="77" spans="2:9" x14ac:dyDescent="0.15">
      <c r="G77">
        <v>1</v>
      </c>
      <c r="H77" t="s">
        <v>184</v>
      </c>
      <c r="I77" t="s">
        <v>248</v>
      </c>
    </row>
    <row r="78" spans="2:9" x14ac:dyDescent="0.15">
      <c r="G78">
        <v>1</v>
      </c>
      <c r="H78" t="e">
        <v>#N/A</v>
      </c>
      <c r="I78" t="s">
        <v>248</v>
      </c>
    </row>
  </sheetData>
  <sortState ref="H60:I78">
    <sortCondition ref="H60:H7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</vt:i4>
      </vt:variant>
    </vt:vector>
  </HeadingPairs>
  <TitlesOfParts>
    <vt:vector size="23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Sheet3</vt:lpstr>
      <vt:lpstr>Sheet2</vt:lpstr>
      <vt:lpstr>Sheet1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2023-11-24T12:32:14Z</dcterms:modified>
</cp:coreProperties>
</file>